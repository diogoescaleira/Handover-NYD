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7. Testes Regressivos/03. PILAR 3/"/>
    </mc:Choice>
  </mc:AlternateContent>
  <xr:revisionPtr revIDLastSave="315" documentId="11_F0CCE639D482B4711C1DA22B133C36FD0BBB939A" xr6:coauthVersionLast="47" xr6:coauthVersionMax="47" xr10:uidLastSave="{BB8A0AF1-6ACD-4D0E-A37C-157510E19DF8}"/>
  <bookViews>
    <workbookView xWindow="28680" yWindow="-120" windowWidth="29040" windowHeight="15720" activeTab="2" xr2:uid="{00000000-000D-0000-FFFF-FFFF00000000}"/>
  </bookViews>
  <sheets>
    <sheet name="0. Instruções" sheetId="5" r:id="rId1"/>
    <sheet name="1. Status" sheetId="7" r:id="rId2"/>
    <sheet name="2. Script " sheetId="4" r:id="rId3"/>
    <sheet name="3. Resultados &gt;&gt;" sheetId="11" r:id="rId4"/>
    <sheet name="ID1&amp;5" sheetId="8" r:id="rId5"/>
    <sheet name="ID6&amp;7" sheetId="10" r:id="rId6"/>
    <sheet name="4. Incidências &gt;&gt; " sheetId="13" r:id="rId7"/>
    <sheet name="ID1" sheetId="14" r:id="rId8"/>
    <sheet name="Input_GF" sheetId="16" r:id="rId9"/>
    <sheet name="Campos" sheetId="20" r:id="rId10"/>
    <sheet name="ANL_CAMPOS_PDS" sheetId="17" r:id="rId11"/>
  </sheets>
  <definedNames>
    <definedName name="_xlnm._FilterDatabase" localSheetId="1" hidden="1">'1. Status'!$H$10:$Z$10</definedName>
    <definedName name="_xlnm._FilterDatabase" localSheetId="2" hidden="1">'2. Script '!$B$8:$M$680</definedName>
    <definedName name="_xlnm._FilterDatabase" localSheetId="10" hidden="1">ANL_CAMPOS_PDS!$B$2:$M$324</definedName>
    <definedName name="_xlnm._FilterDatabase" localSheetId="9" hidden="1">Campos!$K$4:$N$68</definedName>
    <definedName name="_xlnm._FilterDatabase" localSheetId="4" hidden="1">'ID1&amp;5'!$A$8:$L$146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87" i="7" l="1"/>
  <c r="W687" i="7"/>
  <c r="V687" i="7"/>
  <c r="U687" i="7"/>
  <c r="T687" i="7"/>
  <c r="S687" i="7"/>
  <c r="R687" i="7"/>
  <c r="Q687" i="7"/>
  <c r="P687" i="7"/>
  <c r="O687" i="7"/>
  <c r="N687" i="7"/>
  <c r="M687" i="7"/>
  <c r="L687" i="7"/>
  <c r="K687" i="7"/>
  <c r="J687" i="7"/>
  <c r="Z687" i="7" s="1"/>
  <c r="X686" i="7"/>
  <c r="W686" i="7"/>
  <c r="V686" i="7"/>
  <c r="U686" i="7"/>
  <c r="T686" i="7"/>
  <c r="S686" i="7"/>
  <c r="R686" i="7"/>
  <c r="Q686" i="7"/>
  <c r="P686" i="7"/>
  <c r="O686" i="7"/>
  <c r="N686" i="7"/>
  <c r="M686" i="7"/>
  <c r="L686" i="7"/>
  <c r="K686" i="7"/>
  <c r="J686" i="7"/>
  <c r="Z686" i="7" s="1"/>
  <c r="X685" i="7"/>
  <c r="W685" i="7"/>
  <c r="V685" i="7"/>
  <c r="U685" i="7"/>
  <c r="T685" i="7"/>
  <c r="S685" i="7"/>
  <c r="R685" i="7"/>
  <c r="Q685" i="7"/>
  <c r="P685" i="7"/>
  <c r="O685" i="7"/>
  <c r="N685" i="7"/>
  <c r="M685" i="7"/>
  <c r="L685" i="7"/>
  <c r="K685" i="7"/>
  <c r="J685" i="7"/>
  <c r="Z685" i="7" s="1"/>
  <c r="X684" i="7"/>
  <c r="W684" i="7"/>
  <c r="V684" i="7"/>
  <c r="U684" i="7"/>
  <c r="T684" i="7"/>
  <c r="S684" i="7"/>
  <c r="R684" i="7"/>
  <c r="Q684" i="7"/>
  <c r="P684" i="7"/>
  <c r="O684" i="7"/>
  <c r="N684" i="7"/>
  <c r="M684" i="7"/>
  <c r="L684" i="7"/>
  <c r="K684" i="7"/>
  <c r="J684" i="7"/>
  <c r="Z684" i="7" s="1"/>
  <c r="X683" i="7"/>
  <c r="W683" i="7"/>
  <c r="V683" i="7"/>
  <c r="U683" i="7"/>
  <c r="T683" i="7"/>
  <c r="S683" i="7"/>
  <c r="R683" i="7"/>
  <c r="Q683" i="7"/>
  <c r="P683" i="7"/>
  <c r="O683" i="7"/>
  <c r="N683" i="7"/>
  <c r="M683" i="7"/>
  <c r="L683" i="7"/>
  <c r="K683" i="7"/>
  <c r="J683" i="7"/>
  <c r="Z683" i="7" s="1"/>
  <c r="X682" i="7"/>
  <c r="W682" i="7"/>
  <c r="V682" i="7"/>
  <c r="U682" i="7"/>
  <c r="T682" i="7"/>
  <c r="S682" i="7"/>
  <c r="R682" i="7"/>
  <c r="Q682" i="7"/>
  <c r="P682" i="7"/>
  <c r="O682" i="7"/>
  <c r="N682" i="7"/>
  <c r="M682" i="7"/>
  <c r="L682" i="7"/>
  <c r="K682" i="7"/>
  <c r="J682" i="7"/>
  <c r="Z682" i="7" s="1"/>
  <c r="X681" i="7"/>
  <c r="W681" i="7"/>
  <c r="V681" i="7"/>
  <c r="U681" i="7"/>
  <c r="T681" i="7"/>
  <c r="S681" i="7"/>
  <c r="R681" i="7"/>
  <c r="Q681" i="7"/>
  <c r="P681" i="7"/>
  <c r="O681" i="7"/>
  <c r="N681" i="7"/>
  <c r="M681" i="7"/>
  <c r="L681" i="7"/>
  <c r="K681" i="7"/>
  <c r="J681" i="7"/>
  <c r="Z681" i="7" s="1"/>
  <c r="X680" i="7"/>
  <c r="W680" i="7"/>
  <c r="V680" i="7"/>
  <c r="U680" i="7"/>
  <c r="T680" i="7"/>
  <c r="S680" i="7"/>
  <c r="R680" i="7"/>
  <c r="Q680" i="7"/>
  <c r="P680" i="7"/>
  <c r="O680" i="7"/>
  <c r="N680" i="7"/>
  <c r="M680" i="7"/>
  <c r="L680" i="7"/>
  <c r="K680" i="7"/>
  <c r="J680" i="7"/>
  <c r="Z680" i="7" s="1"/>
  <c r="X679" i="7"/>
  <c r="W679" i="7"/>
  <c r="V679" i="7"/>
  <c r="U679" i="7"/>
  <c r="T679" i="7"/>
  <c r="S679" i="7"/>
  <c r="R679" i="7"/>
  <c r="Q679" i="7"/>
  <c r="P679" i="7"/>
  <c r="O679" i="7"/>
  <c r="N679" i="7"/>
  <c r="M679" i="7"/>
  <c r="L679" i="7"/>
  <c r="K679" i="7"/>
  <c r="J679" i="7"/>
  <c r="Z679" i="7" s="1"/>
  <c r="X678" i="7"/>
  <c r="W678" i="7"/>
  <c r="V678" i="7"/>
  <c r="U678" i="7"/>
  <c r="T678" i="7"/>
  <c r="S678" i="7"/>
  <c r="R678" i="7"/>
  <c r="Q678" i="7"/>
  <c r="P678" i="7"/>
  <c r="O678" i="7"/>
  <c r="N678" i="7"/>
  <c r="M678" i="7"/>
  <c r="L678" i="7"/>
  <c r="K678" i="7"/>
  <c r="J678" i="7"/>
  <c r="Z678" i="7" s="1"/>
  <c r="X677" i="7"/>
  <c r="W677" i="7"/>
  <c r="V677" i="7"/>
  <c r="U677" i="7"/>
  <c r="T677" i="7"/>
  <c r="S677" i="7"/>
  <c r="R677" i="7"/>
  <c r="Q677" i="7"/>
  <c r="P677" i="7"/>
  <c r="O677" i="7"/>
  <c r="N677" i="7"/>
  <c r="M677" i="7"/>
  <c r="L677" i="7"/>
  <c r="K677" i="7"/>
  <c r="J677" i="7"/>
  <c r="Z677" i="7" s="1"/>
  <c r="X676" i="7"/>
  <c r="W676" i="7"/>
  <c r="V676" i="7"/>
  <c r="U676" i="7"/>
  <c r="T676" i="7"/>
  <c r="S676" i="7"/>
  <c r="R676" i="7"/>
  <c r="Q676" i="7"/>
  <c r="P676" i="7"/>
  <c r="O676" i="7"/>
  <c r="N676" i="7"/>
  <c r="M676" i="7"/>
  <c r="L676" i="7"/>
  <c r="K676" i="7"/>
  <c r="J676" i="7"/>
  <c r="Z676" i="7" s="1"/>
  <c r="X675" i="7"/>
  <c r="W675" i="7"/>
  <c r="V675" i="7"/>
  <c r="U675" i="7"/>
  <c r="T675" i="7"/>
  <c r="S675" i="7"/>
  <c r="R675" i="7"/>
  <c r="Q675" i="7"/>
  <c r="P675" i="7"/>
  <c r="O675" i="7"/>
  <c r="N675" i="7"/>
  <c r="M675" i="7"/>
  <c r="L675" i="7"/>
  <c r="K675" i="7"/>
  <c r="J675" i="7"/>
  <c r="Z675" i="7" s="1"/>
  <c r="X674" i="7"/>
  <c r="W674" i="7"/>
  <c r="V674" i="7"/>
  <c r="U674" i="7"/>
  <c r="T674" i="7"/>
  <c r="S674" i="7"/>
  <c r="R674" i="7"/>
  <c r="Q674" i="7"/>
  <c r="P674" i="7"/>
  <c r="O674" i="7"/>
  <c r="N674" i="7"/>
  <c r="M674" i="7"/>
  <c r="L674" i="7"/>
  <c r="K674" i="7"/>
  <c r="J674" i="7"/>
  <c r="Z674" i="7" s="1"/>
  <c r="X673" i="7"/>
  <c r="W673" i="7"/>
  <c r="V673" i="7"/>
  <c r="U673" i="7"/>
  <c r="T673" i="7"/>
  <c r="S673" i="7"/>
  <c r="R673" i="7"/>
  <c r="Q673" i="7"/>
  <c r="P673" i="7"/>
  <c r="O673" i="7"/>
  <c r="N673" i="7"/>
  <c r="M673" i="7"/>
  <c r="L673" i="7"/>
  <c r="K673" i="7"/>
  <c r="J673" i="7"/>
  <c r="Z673" i="7" s="1"/>
  <c r="X672" i="7"/>
  <c r="W672" i="7"/>
  <c r="V672" i="7"/>
  <c r="U672" i="7"/>
  <c r="T672" i="7"/>
  <c r="S672" i="7"/>
  <c r="R672" i="7"/>
  <c r="Q672" i="7"/>
  <c r="P672" i="7"/>
  <c r="O672" i="7"/>
  <c r="N672" i="7"/>
  <c r="M672" i="7"/>
  <c r="L672" i="7"/>
  <c r="K672" i="7"/>
  <c r="J672" i="7"/>
  <c r="Z672" i="7" s="1"/>
  <c r="X671" i="7"/>
  <c r="W671" i="7"/>
  <c r="V671" i="7"/>
  <c r="U671" i="7"/>
  <c r="T671" i="7"/>
  <c r="S671" i="7"/>
  <c r="R671" i="7"/>
  <c r="Q671" i="7"/>
  <c r="P671" i="7"/>
  <c r="O671" i="7"/>
  <c r="N671" i="7"/>
  <c r="M671" i="7"/>
  <c r="L671" i="7"/>
  <c r="K671" i="7"/>
  <c r="J671" i="7"/>
  <c r="Z671" i="7" s="1"/>
  <c r="X670" i="7"/>
  <c r="W670" i="7"/>
  <c r="V670" i="7"/>
  <c r="U670" i="7"/>
  <c r="T670" i="7"/>
  <c r="S670" i="7"/>
  <c r="R670" i="7"/>
  <c r="Q670" i="7"/>
  <c r="P670" i="7"/>
  <c r="O670" i="7"/>
  <c r="N670" i="7"/>
  <c r="M670" i="7"/>
  <c r="L670" i="7"/>
  <c r="K670" i="7"/>
  <c r="J670" i="7"/>
  <c r="Z670" i="7" s="1"/>
  <c r="X669" i="7"/>
  <c r="W669" i="7"/>
  <c r="V669" i="7"/>
  <c r="U669" i="7"/>
  <c r="T669" i="7"/>
  <c r="S669" i="7"/>
  <c r="R669" i="7"/>
  <c r="Q669" i="7"/>
  <c r="P669" i="7"/>
  <c r="O669" i="7"/>
  <c r="N669" i="7"/>
  <c r="M669" i="7"/>
  <c r="L669" i="7"/>
  <c r="K669" i="7"/>
  <c r="J669" i="7"/>
  <c r="Z669" i="7" s="1"/>
  <c r="X668" i="7"/>
  <c r="W668" i="7"/>
  <c r="V668" i="7"/>
  <c r="U668" i="7"/>
  <c r="T668" i="7"/>
  <c r="S668" i="7"/>
  <c r="R668" i="7"/>
  <c r="Q668" i="7"/>
  <c r="P668" i="7"/>
  <c r="O668" i="7"/>
  <c r="N668" i="7"/>
  <c r="M668" i="7"/>
  <c r="L668" i="7"/>
  <c r="K668" i="7"/>
  <c r="J668" i="7"/>
  <c r="Z668" i="7" s="1"/>
  <c r="X667" i="7"/>
  <c r="W667" i="7"/>
  <c r="V667" i="7"/>
  <c r="U667" i="7"/>
  <c r="T667" i="7"/>
  <c r="S667" i="7"/>
  <c r="R667" i="7"/>
  <c r="Q667" i="7"/>
  <c r="P667" i="7"/>
  <c r="O667" i="7"/>
  <c r="N667" i="7"/>
  <c r="M667" i="7"/>
  <c r="L667" i="7"/>
  <c r="K667" i="7"/>
  <c r="J667" i="7"/>
  <c r="Z667" i="7" s="1"/>
  <c r="X666" i="7"/>
  <c r="W666" i="7"/>
  <c r="V666" i="7"/>
  <c r="U666" i="7"/>
  <c r="T666" i="7"/>
  <c r="S666" i="7"/>
  <c r="R666" i="7"/>
  <c r="Q666" i="7"/>
  <c r="P666" i="7"/>
  <c r="O666" i="7"/>
  <c r="N666" i="7"/>
  <c r="M666" i="7"/>
  <c r="L666" i="7"/>
  <c r="K666" i="7"/>
  <c r="J666" i="7"/>
  <c r="Z666" i="7" s="1"/>
  <c r="X665" i="7"/>
  <c r="W665" i="7"/>
  <c r="V665" i="7"/>
  <c r="U665" i="7"/>
  <c r="T665" i="7"/>
  <c r="S665" i="7"/>
  <c r="R665" i="7"/>
  <c r="Q665" i="7"/>
  <c r="P665" i="7"/>
  <c r="O665" i="7"/>
  <c r="N665" i="7"/>
  <c r="M665" i="7"/>
  <c r="L665" i="7"/>
  <c r="K665" i="7"/>
  <c r="J665" i="7"/>
  <c r="Z665" i="7" s="1"/>
  <c r="X664" i="7"/>
  <c r="W664" i="7"/>
  <c r="V664" i="7"/>
  <c r="U664" i="7"/>
  <c r="T664" i="7"/>
  <c r="S664" i="7"/>
  <c r="R664" i="7"/>
  <c r="Q664" i="7"/>
  <c r="P664" i="7"/>
  <c r="O664" i="7"/>
  <c r="N664" i="7"/>
  <c r="M664" i="7"/>
  <c r="L664" i="7"/>
  <c r="K664" i="7"/>
  <c r="J664" i="7"/>
  <c r="Z664" i="7" s="1"/>
  <c r="X663" i="7"/>
  <c r="W663" i="7"/>
  <c r="V663" i="7"/>
  <c r="U663" i="7"/>
  <c r="T663" i="7"/>
  <c r="S663" i="7"/>
  <c r="R663" i="7"/>
  <c r="Q663" i="7"/>
  <c r="P663" i="7"/>
  <c r="O663" i="7"/>
  <c r="N663" i="7"/>
  <c r="M663" i="7"/>
  <c r="L663" i="7"/>
  <c r="K663" i="7"/>
  <c r="J663" i="7"/>
  <c r="Z663" i="7" s="1"/>
  <c r="X662" i="7"/>
  <c r="W662" i="7"/>
  <c r="V662" i="7"/>
  <c r="U662" i="7"/>
  <c r="T662" i="7"/>
  <c r="S662" i="7"/>
  <c r="R662" i="7"/>
  <c r="Q662" i="7"/>
  <c r="P662" i="7"/>
  <c r="O662" i="7"/>
  <c r="N662" i="7"/>
  <c r="M662" i="7"/>
  <c r="L662" i="7"/>
  <c r="K662" i="7"/>
  <c r="J662" i="7"/>
  <c r="Z662" i="7" s="1"/>
  <c r="X661" i="7"/>
  <c r="W661" i="7"/>
  <c r="V661" i="7"/>
  <c r="U661" i="7"/>
  <c r="T661" i="7"/>
  <c r="S661" i="7"/>
  <c r="R661" i="7"/>
  <c r="Q661" i="7"/>
  <c r="P661" i="7"/>
  <c r="O661" i="7"/>
  <c r="N661" i="7"/>
  <c r="M661" i="7"/>
  <c r="L661" i="7"/>
  <c r="K661" i="7"/>
  <c r="J661" i="7"/>
  <c r="Z661" i="7" s="1"/>
  <c r="X660" i="7"/>
  <c r="W660" i="7"/>
  <c r="V660" i="7"/>
  <c r="U660" i="7"/>
  <c r="T660" i="7"/>
  <c r="S660" i="7"/>
  <c r="R660" i="7"/>
  <c r="Q660" i="7"/>
  <c r="P660" i="7"/>
  <c r="O660" i="7"/>
  <c r="N660" i="7"/>
  <c r="M660" i="7"/>
  <c r="L660" i="7"/>
  <c r="K660" i="7"/>
  <c r="J660" i="7"/>
  <c r="Z660" i="7" s="1"/>
  <c r="X659" i="7"/>
  <c r="W659" i="7"/>
  <c r="V659" i="7"/>
  <c r="U659" i="7"/>
  <c r="T659" i="7"/>
  <c r="S659" i="7"/>
  <c r="R659" i="7"/>
  <c r="Q659" i="7"/>
  <c r="P659" i="7"/>
  <c r="O659" i="7"/>
  <c r="N659" i="7"/>
  <c r="M659" i="7"/>
  <c r="L659" i="7"/>
  <c r="K659" i="7"/>
  <c r="J659" i="7"/>
  <c r="Z659" i="7" s="1"/>
  <c r="X658" i="7"/>
  <c r="W658" i="7"/>
  <c r="V658" i="7"/>
  <c r="U658" i="7"/>
  <c r="T658" i="7"/>
  <c r="S658" i="7"/>
  <c r="R658" i="7"/>
  <c r="Q658" i="7"/>
  <c r="P658" i="7"/>
  <c r="O658" i="7"/>
  <c r="N658" i="7"/>
  <c r="M658" i="7"/>
  <c r="L658" i="7"/>
  <c r="K658" i="7"/>
  <c r="J658" i="7"/>
  <c r="Z658" i="7" s="1"/>
  <c r="X657" i="7"/>
  <c r="W657" i="7"/>
  <c r="V657" i="7"/>
  <c r="U657" i="7"/>
  <c r="T657" i="7"/>
  <c r="S657" i="7"/>
  <c r="R657" i="7"/>
  <c r="Q657" i="7"/>
  <c r="P657" i="7"/>
  <c r="O657" i="7"/>
  <c r="N657" i="7"/>
  <c r="M657" i="7"/>
  <c r="L657" i="7"/>
  <c r="K657" i="7"/>
  <c r="J657" i="7"/>
  <c r="Z657" i="7" s="1"/>
  <c r="X656" i="7"/>
  <c r="W656" i="7"/>
  <c r="V656" i="7"/>
  <c r="U656" i="7"/>
  <c r="T656" i="7"/>
  <c r="S656" i="7"/>
  <c r="R656" i="7"/>
  <c r="Q656" i="7"/>
  <c r="P656" i="7"/>
  <c r="O656" i="7"/>
  <c r="N656" i="7"/>
  <c r="M656" i="7"/>
  <c r="L656" i="7"/>
  <c r="K656" i="7"/>
  <c r="J656" i="7"/>
  <c r="Z656" i="7" s="1"/>
  <c r="X655" i="7"/>
  <c r="W655" i="7"/>
  <c r="V655" i="7"/>
  <c r="U655" i="7"/>
  <c r="T655" i="7"/>
  <c r="S655" i="7"/>
  <c r="R655" i="7"/>
  <c r="Q655" i="7"/>
  <c r="P655" i="7"/>
  <c r="O655" i="7"/>
  <c r="N655" i="7"/>
  <c r="M655" i="7"/>
  <c r="L655" i="7"/>
  <c r="K655" i="7"/>
  <c r="J655" i="7"/>
  <c r="Z655" i="7" s="1"/>
  <c r="X654" i="7"/>
  <c r="W654" i="7"/>
  <c r="V654" i="7"/>
  <c r="U654" i="7"/>
  <c r="T654" i="7"/>
  <c r="S654" i="7"/>
  <c r="R654" i="7"/>
  <c r="Q654" i="7"/>
  <c r="P654" i="7"/>
  <c r="O654" i="7"/>
  <c r="N654" i="7"/>
  <c r="M654" i="7"/>
  <c r="L654" i="7"/>
  <c r="K654" i="7"/>
  <c r="J654" i="7"/>
  <c r="Z654" i="7" s="1"/>
  <c r="X653" i="7"/>
  <c r="W653" i="7"/>
  <c r="V653" i="7"/>
  <c r="U653" i="7"/>
  <c r="T653" i="7"/>
  <c r="S653" i="7"/>
  <c r="R653" i="7"/>
  <c r="Q653" i="7"/>
  <c r="P653" i="7"/>
  <c r="O653" i="7"/>
  <c r="N653" i="7"/>
  <c r="M653" i="7"/>
  <c r="L653" i="7"/>
  <c r="K653" i="7"/>
  <c r="J653" i="7"/>
  <c r="Z653" i="7" s="1"/>
  <c r="X652" i="7"/>
  <c r="W652" i="7"/>
  <c r="V652" i="7"/>
  <c r="U652" i="7"/>
  <c r="T652" i="7"/>
  <c r="S652" i="7"/>
  <c r="R652" i="7"/>
  <c r="Q652" i="7"/>
  <c r="P652" i="7"/>
  <c r="O652" i="7"/>
  <c r="N652" i="7"/>
  <c r="M652" i="7"/>
  <c r="L652" i="7"/>
  <c r="K652" i="7"/>
  <c r="J652" i="7"/>
  <c r="Z652" i="7" s="1"/>
  <c r="X651" i="7"/>
  <c r="W651" i="7"/>
  <c r="V651" i="7"/>
  <c r="U651" i="7"/>
  <c r="T651" i="7"/>
  <c r="S651" i="7"/>
  <c r="R651" i="7"/>
  <c r="Q651" i="7"/>
  <c r="P651" i="7"/>
  <c r="O651" i="7"/>
  <c r="N651" i="7"/>
  <c r="M651" i="7"/>
  <c r="L651" i="7"/>
  <c r="K651" i="7"/>
  <c r="J651" i="7"/>
  <c r="Z651" i="7" s="1"/>
  <c r="X650" i="7"/>
  <c r="W650" i="7"/>
  <c r="V650" i="7"/>
  <c r="U650" i="7"/>
  <c r="T650" i="7"/>
  <c r="S650" i="7"/>
  <c r="R650" i="7"/>
  <c r="Q650" i="7"/>
  <c r="P650" i="7"/>
  <c r="O650" i="7"/>
  <c r="N650" i="7"/>
  <c r="M650" i="7"/>
  <c r="L650" i="7"/>
  <c r="K650" i="7"/>
  <c r="J650" i="7"/>
  <c r="Z650" i="7" s="1"/>
  <c r="X649" i="7"/>
  <c r="W649" i="7"/>
  <c r="V649" i="7"/>
  <c r="U649" i="7"/>
  <c r="T649" i="7"/>
  <c r="S649" i="7"/>
  <c r="R649" i="7"/>
  <c r="Q649" i="7"/>
  <c r="P649" i="7"/>
  <c r="O649" i="7"/>
  <c r="N649" i="7"/>
  <c r="M649" i="7"/>
  <c r="L649" i="7"/>
  <c r="K649" i="7"/>
  <c r="J649" i="7"/>
  <c r="Z649" i="7" s="1"/>
  <c r="X648" i="7"/>
  <c r="W648" i="7"/>
  <c r="V648" i="7"/>
  <c r="U648" i="7"/>
  <c r="T648" i="7"/>
  <c r="S648" i="7"/>
  <c r="R648" i="7"/>
  <c r="Q648" i="7"/>
  <c r="P648" i="7"/>
  <c r="O648" i="7"/>
  <c r="N648" i="7"/>
  <c r="M648" i="7"/>
  <c r="L648" i="7"/>
  <c r="K648" i="7"/>
  <c r="J648" i="7"/>
  <c r="Z648" i="7" s="1"/>
  <c r="X647" i="7"/>
  <c r="W647" i="7"/>
  <c r="V647" i="7"/>
  <c r="U647" i="7"/>
  <c r="T647" i="7"/>
  <c r="S647" i="7"/>
  <c r="R647" i="7"/>
  <c r="Q647" i="7"/>
  <c r="P647" i="7"/>
  <c r="O647" i="7"/>
  <c r="N647" i="7"/>
  <c r="M647" i="7"/>
  <c r="L647" i="7"/>
  <c r="K647" i="7"/>
  <c r="J647" i="7"/>
  <c r="Z647" i="7" s="1"/>
  <c r="X646" i="7"/>
  <c r="W646" i="7"/>
  <c r="V646" i="7"/>
  <c r="U646" i="7"/>
  <c r="T646" i="7"/>
  <c r="S646" i="7"/>
  <c r="R646" i="7"/>
  <c r="Q646" i="7"/>
  <c r="P646" i="7"/>
  <c r="O646" i="7"/>
  <c r="N646" i="7"/>
  <c r="M646" i="7"/>
  <c r="L646" i="7"/>
  <c r="K646" i="7"/>
  <c r="J646" i="7"/>
  <c r="Z646" i="7" s="1"/>
  <c r="X645" i="7"/>
  <c r="W645" i="7"/>
  <c r="V645" i="7"/>
  <c r="U645" i="7"/>
  <c r="T645" i="7"/>
  <c r="S645" i="7"/>
  <c r="R645" i="7"/>
  <c r="Q645" i="7"/>
  <c r="P645" i="7"/>
  <c r="O645" i="7"/>
  <c r="N645" i="7"/>
  <c r="M645" i="7"/>
  <c r="L645" i="7"/>
  <c r="K645" i="7"/>
  <c r="J645" i="7"/>
  <c r="Z645" i="7" s="1"/>
  <c r="X644" i="7"/>
  <c r="W644" i="7"/>
  <c r="V644" i="7"/>
  <c r="U644" i="7"/>
  <c r="T644" i="7"/>
  <c r="S644" i="7"/>
  <c r="R644" i="7"/>
  <c r="Q644" i="7"/>
  <c r="P644" i="7"/>
  <c r="O644" i="7"/>
  <c r="N644" i="7"/>
  <c r="M644" i="7"/>
  <c r="L644" i="7"/>
  <c r="K644" i="7"/>
  <c r="J644" i="7"/>
  <c r="Z644" i="7" s="1"/>
  <c r="X643" i="7"/>
  <c r="W643" i="7"/>
  <c r="V643" i="7"/>
  <c r="U643" i="7"/>
  <c r="T643" i="7"/>
  <c r="S643" i="7"/>
  <c r="R643" i="7"/>
  <c r="Q643" i="7"/>
  <c r="P643" i="7"/>
  <c r="O643" i="7"/>
  <c r="N643" i="7"/>
  <c r="M643" i="7"/>
  <c r="L643" i="7"/>
  <c r="K643" i="7"/>
  <c r="J643" i="7"/>
  <c r="Z643" i="7" s="1"/>
  <c r="X642" i="7"/>
  <c r="W642" i="7"/>
  <c r="V642" i="7"/>
  <c r="U642" i="7"/>
  <c r="T642" i="7"/>
  <c r="S642" i="7"/>
  <c r="R642" i="7"/>
  <c r="Q642" i="7"/>
  <c r="P642" i="7"/>
  <c r="O642" i="7"/>
  <c r="N642" i="7"/>
  <c r="M642" i="7"/>
  <c r="L642" i="7"/>
  <c r="K642" i="7"/>
  <c r="J642" i="7"/>
  <c r="Z642" i="7" s="1"/>
  <c r="X641" i="7"/>
  <c r="W641" i="7"/>
  <c r="V641" i="7"/>
  <c r="U641" i="7"/>
  <c r="T641" i="7"/>
  <c r="S641" i="7"/>
  <c r="R641" i="7"/>
  <c r="Q641" i="7"/>
  <c r="P641" i="7"/>
  <c r="O641" i="7"/>
  <c r="N641" i="7"/>
  <c r="M641" i="7"/>
  <c r="L641" i="7"/>
  <c r="K641" i="7"/>
  <c r="J641" i="7"/>
  <c r="Z641" i="7" s="1"/>
  <c r="X640" i="7"/>
  <c r="W640" i="7"/>
  <c r="V640" i="7"/>
  <c r="U640" i="7"/>
  <c r="T640" i="7"/>
  <c r="S640" i="7"/>
  <c r="R640" i="7"/>
  <c r="Q640" i="7"/>
  <c r="P640" i="7"/>
  <c r="O640" i="7"/>
  <c r="N640" i="7"/>
  <c r="M640" i="7"/>
  <c r="L640" i="7"/>
  <c r="K640" i="7"/>
  <c r="J640" i="7"/>
  <c r="Z640" i="7" s="1"/>
  <c r="X639" i="7"/>
  <c r="W639" i="7"/>
  <c r="V639" i="7"/>
  <c r="U639" i="7"/>
  <c r="T639" i="7"/>
  <c r="S639" i="7"/>
  <c r="R639" i="7"/>
  <c r="Q639" i="7"/>
  <c r="P639" i="7"/>
  <c r="O639" i="7"/>
  <c r="N639" i="7"/>
  <c r="M639" i="7"/>
  <c r="L639" i="7"/>
  <c r="K639" i="7"/>
  <c r="J639" i="7"/>
  <c r="Z639" i="7" s="1"/>
  <c r="X638" i="7"/>
  <c r="W638" i="7"/>
  <c r="V638" i="7"/>
  <c r="U638" i="7"/>
  <c r="T638" i="7"/>
  <c r="S638" i="7"/>
  <c r="R638" i="7"/>
  <c r="Q638" i="7"/>
  <c r="P638" i="7"/>
  <c r="O638" i="7"/>
  <c r="N638" i="7"/>
  <c r="M638" i="7"/>
  <c r="L638" i="7"/>
  <c r="K638" i="7"/>
  <c r="J638" i="7"/>
  <c r="Z638" i="7" s="1"/>
  <c r="X637" i="7"/>
  <c r="W637" i="7"/>
  <c r="V637" i="7"/>
  <c r="U637" i="7"/>
  <c r="T637" i="7"/>
  <c r="S637" i="7"/>
  <c r="R637" i="7"/>
  <c r="Q637" i="7"/>
  <c r="P637" i="7"/>
  <c r="O637" i="7"/>
  <c r="N637" i="7"/>
  <c r="M637" i="7"/>
  <c r="L637" i="7"/>
  <c r="K637" i="7"/>
  <c r="J637" i="7"/>
  <c r="Z637" i="7" s="1"/>
  <c r="X636" i="7"/>
  <c r="W636" i="7"/>
  <c r="V636" i="7"/>
  <c r="U636" i="7"/>
  <c r="T636" i="7"/>
  <c r="S636" i="7"/>
  <c r="R636" i="7"/>
  <c r="Q636" i="7"/>
  <c r="P636" i="7"/>
  <c r="O636" i="7"/>
  <c r="N636" i="7"/>
  <c r="M636" i="7"/>
  <c r="L636" i="7"/>
  <c r="K636" i="7"/>
  <c r="J636" i="7"/>
  <c r="Z636" i="7" s="1"/>
  <c r="X635" i="7"/>
  <c r="W635" i="7"/>
  <c r="V635" i="7"/>
  <c r="U635" i="7"/>
  <c r="T635" i="7"/>
  <c r="S635" i="7"/>
  <c r="R635" i="7"/>
  <c r="Q635" i="7"/>
  <c r="P635" i="7"/>
  <c r="O635" i="7"/>
  <c r="N635" i="7"/>
  <c r="M635" i="7"/>
  <c r="L635" i="7"/>
  <c r="K635" i="7"/>
  <c r="J635" i="7"/>
  <c r="Z635" i="7" s="1"/>
  <c r="X634" i="7"/>
  <c r="W634" i="7"/>
  <c r="V634" i="7"/>
  <c r="U634" i="7"/>
  <c r="T634" i="7"/>
  <c r="S634" i="7"/>
  <c r="R634" i="7"/>
  <c r="Q634" i="7"/>
  <c r="P634" i="7"/>
  <c r="O634" i="7"/>
  <c r="N634" i="7"/>
  <c r="M634" i="7"/>
  <c r="L634" i="7"/>
  <c r="K634" i="7"/>
  <c r="J634" i="7"/>
  <c r="Z634" i="7" s="1"/>
  <c r="X633" i="7"/>
  <c r="W633" i="7"/>
  <c r="V633" i="7"/>
  <c r="U633" i="7"/>
  <c r="T633" i="7"/>
  <c r="S633" i="7"/>
  <c r="R633" i="7"/>
  <c r="Q633" i="7"/>
  <c r="P633" i="7"/>
  <c r="O633" i="7"/>
  <c r="N633" i="7"/>
  <c r="M633" i="7"/>
  <c r="L633" i="7"/>
  <c r="K633" i="7"/>
  <c r="J633" i="7"/>
  <c r="Z633" i="7" s="1"/>
  <c r="X632" i="7"/>
  <c r="W632" i="7"/>
  <c r="V632" i="7"/>
  <c r="U632" i="7"/>
  <c r="T632" i="7"/>
  <c r="S632" i="7"/>
  <c r="R632" i="7"/>
  <c r="Q632" i="7"/>
  <c r="P632" i="7"/>
  <c r="O632" i="7"/>
  <c r="N632" i="7"/>
  <c r="M632" i="7"/>
  <c r="L632" i="7"/>
  <c r="K632" i="7"/>
  <c r="J632" i="7"/>
  <c r="Z632" i="7" s="1"/>
  <c r="X631" i="7"/>
  <c r="W631" i="7"/>
  <c r="V631" i="7"/>
  <c r="U631" i="7"/>
  <c r="T631" i="7"/>
  <c r="S631" i="7"/>
  <c r="R631" i="7"/>
  <c r="Q631" i="7"/>
  <c r="P631" i="7"/>
  <c r="O631" i="7"/>
  <c r="N631" i="7"/>
  <c r="M631" i="7"/>
  <c r="L631" i="7"/>
  <c r="K631" i="7"/>
  <c r="J631" i="7"/>
  <c r="Z631" i="7" s="1"/>
  <c r="X630" i="7"/>
  <c r="W630" i="7"/>
  <c r="V630" i="7"/>
  <c r="U630" i="7"/>
  <c r="T630" i="7"/>
  <c r="S630" i="7"/>
  <c r="R630" i="7"/>
  <c r="Q630" i="7"/>
  <c r="P630" i="7"/>
  <c r="O630" i="7"/>
  <c r="N630" i="7"/>
  <c r="M630" i="7"/>
  <c r="L630" i="7"/>
  <c r="K630" i="7"/>
  <c r="J630" i="7"/>
  <c r="Z630" i="7" s="1"/>
  <c r="X629" i="7"/>
  <c r="W629" i="7"/>
  <c r="V629" i="7"/>
  <c r="U629" i="7"/>
  <c r="T629" i="7"/>
  <c r="S629" i="7"/>
  <c r="R629" i="7"/>
  <c r="Q629" i="7"/>
  <c r="P629" i="7"/>
  <c r="O629" i="7"/>
  <c r="N629" i="7"/>
  <c r="M629" i="7"/>
  <c r="L629" i="7"/>
  <c r="K629" i="7"/>
  <c r="J629" i="7"/>
  <c r="Z629" i="7" s="1"/>
  <c r="X628" i="7"/>
  <c r="W628" i="7"/>
  <c r="V628" i="7"/>
  <c r="U628" i="7"/>
  <c r="T628" i="7"/>
  <c r="S628" i="7"/>
  <c r="R628" i="7"/>
  <c r="Q628" i="7"/>
  <c r="P628" i="7"/>
  <c r="O628" i="7"/>
  <c r="N628" i="7"/>
  <c r="M628" i="7"/>
  <c r="L628" i="7"/>
  <c r="K628" i="7"/>
  <c r="J628" i="7"/>
  <c r="Z628" i="7" s="1"/>
  <c r="X627" i="7"/>
  <c r="W627" i="7"/>
  <c r="V627" i="7"/>
  <c r="U627" i="7"/>
  <c r="T627" i="7"/>
  <c r="S627" i="7"/>
  <c r="R627" i="7"/>
  <c r="Q627" i="7"/>
  <c r="P627" i="7"/>
  <c r="O627" i="7"/>
  <c r="N627" i="7"/>
  <c r="M627" i="7"/>
  <c r="L627" i="7"/>
  <c r="K627" i="7"/>
  <c r="J627" i="7"/>
  <c r="Z627" i="7" s="1"/>
  <c r="X626" i="7"/>
  <c r="W626" i="7"/>
  <c r="V626" i="7"/>
  <c r="U626" i="7"/>
  <c r="T626" i="7"/>
  <c r="S626" i="7"/>
  <c r="R626" i="7"/>
  <c r="Q626" i="7"/>
  <c r="P626" i="7"/>
  <c r="O626" i="7"/>
  <c r="N626" i="7"/>
  <c r="M626" i="7"/>
  <c r="L626" i="7"/>
  <c r="K626" i="7"/>
  <c r="J626" i="7"/>
  <c r="Z626" i="7" s="1"/>
  <c r="X625" i="7"/>
  <c r="W625" i="7"/>
  <c r="V625" i="7"/>
  <c r="U625" i="7"/>
  <c r="T625" i="7"/>
  <c r="S625" i="7"/>
  <c r="R625" i="7"/>
  <c r="Q625" i="7"/>
  <c r="P625" i="7"/>
  <c r="O625" i="7"/>
  <c r="N625" i="7"/>
  <c r="M625" i="7"/>
  <c r="L625" i="7"/>
  <c r="K625" i="7"/>
  <c r="J625" i="7"/>
  <c r="Z625" i="7" s="1"/>
  <c r="X624" i="7"/>
  <c r="W624" i="7"/>
  <c r="V624" i="7"/>
  <c r="U624" i="7"/>
  <c r="T624" i="7"/>
  <c r="S624" i="7"/>
  <c r="R624" i="7"/>
  <c r="Q624" i="7"/>
  <c r="P624" i="7"/>
  <c r="O624" i="7"/>
  <c r="N624" i="7"/>
  <c r="M624" i="7"/>
  <c r="L624" i="7"/>
  <c r="K624" i="7"/>
  <c r="J624" i="7"/>
  <c r="Z624" i="7" s="1"/>
  <c r="X623" i="7"/>
  <c r="W623" i="7"/>
  <c r="V623" i="7"/>
  <c r="U623" i="7"/>
  <c r="T623" i="7"/>
  <c r="S623" i="7"/>
  <c r="R623" i="7"/>
  <c r="Q623" i="7"/>
  <c r="P623" i="7"/>
  <c r="O623" i="7"/>
  <c r="N623" i="7"/>
  <c r="M623" i="7"/>
  <c r="L623" i="7"/>
  <c r="K623" i="7"/>
  <c r="J623" i="7"/>
  <c r="Z623" i="7" s="1"/>
  <c r="X622" i="7"/>
  <c r="W622" i="7"/>
  <c r="V622" i="7"/>
  <c r="U622" i="7"/>
  <c r="T622" i="7"/>
  <c r="S622" i="7"/>
  <c r="R622" i="7"/>
  <c r="Q622" i="7"/>
  <c r="P622" i="7"/>
  <c r="O622" i="7"/>
  <c r="N622" i="7"/>
  <c r="M622" i="7"/>
  <c r="L622" i="7"/>
  <c r="K622" i="7"/>
  <c r="J622" i="7"/>
  <c r="Z622" i="7" s="1"/>
  <c r="X621" i="7"/>
  <c r="W621" i="7"/>
  <c r="V621" i="7"/>
  <c r="U621" i="7"/>
  <c r="T621" i="7"/>
  <c r="S621" i="7"/>
  <c r="R621" i="7"/>
  <c r="Q621" i="7"/>
  <c r="P621" i="7"/>
  <c r="O621" i="7"/>
  <c r="N621" i="7"/>
  <c r="M621" i="7"/>
  <c r="L621" i="7"/>
  <c r="K621" i="7"/>
  <c r="J621" i="7"/>
  <c r="Z621" i="7" s="1"/>
  <c r="X620" i="7"/>
  <c r="W620" i="7"/>
  <c r="V620" i="7"/>
  <c r="U620" i="7"/>
  <c r="T620" i="7"/>
  <c r="S620" i="7"/>
  <c r="R620" i="7"/>
  <c r="Q620" i="7"/>
  <c r="P620" i="7"/>
  <c r="O620" i="7"/>
  <c r="N620" i="7"/>
  <c r="M620" i="7"/>
  <c r="L620" i="7"/>
  <c r="K620" i="7"/>
  <c r="J620" i="7"/>
  <c r="Z620" i="7" s="1"/>
  <c r="X619" i="7"/>
  <c r="W619" i="7"/>
  <c r="V619" i="7"/>
  <c r="U619" i="7"/>
  <c r="T619" i="7"/>
  <c r="S619" i="7"/>
  <c r="R619" i="7"/>
  <c r="Q619" i="7"/>
  <c r="P619" i="7"/>
  <c r="O619" i="7"/>
  <c r="N619" i="7"/>
  <c r="M619" i="7"/>
  <c r="L619" i="7"/>
  <c r="K619" i="7"/>
  <c r="J619" i="7"/>
  <c r="Z619" i="7" s="1"/>
  <c r="X618" i="7"/>
  <c r="W618" i="7"/>
  <c r="V618" i="7"/>
  <c r="U618" i="7"/>
  <c r="T618" i="7"/>
  <c r="S618" i="7"/>
  <c r="R618" i="7"/>
  <c r="Q618" i="7"/>
  <c r="P618" i="7"/>
  <c r="O618" i="7"/>
  <c r="N618" i="7"/>
  <c r="M618" i="7"/>
  <c r="L618" i="7"/>
  <c r="K618" i="7"/>
  <c r="J618" i="7"/>
  <c r="Z618" i="7" s="1"/>
  <c r="X617" i="7"/>
  <c r="W617" i="7"/>
  <c r="V617" i="7"/>
  <c r="U617" i="7"/>
  <c r="T617" i="7"/>
  <c r="S617" i="7"/>
  <c r="R617" i="7"/>
  <c r="Q617" i="7"/>
  <c r="P617" i="7"/>
  <c r="O617" i="7"/>
  <c r="N617" i="7"/>
  <c r="M617" i="7"/>
  <c r="L617" i="7"/>
  <c r="K617" i="7"/>
  <c r="J617" i="7"/>
  <c r="Z617" i="7" s="1"/>
  <c r="X616" i="7"/>
  <c r="W616" i="7"/>
  <c r="V616" i="7"/>
  <c r="U616" i="7"/>
  <c r="T616" i="7"/>
  <c r="S616" i="7"/>
  <c r="R616" i="7"/>
  <c r="Q616" i="7"/>
  <c r="P616" i="7"/>
  <c r="O616" i="7"/>
  <c r="N616" i="7"/>
  <c r="M616" i="7"/>
  <c r="L616" i="7"/>
  <c r="K616" i="7"/>
  <c r="J616" i="7"/>
  <c r="Z616" i="7" s="1"/>
  <c r="X615" i="7"/>
  <c r="W615" i="7"/>
  <c r="V615" i="7"/>
  <c r="U615" i="7"/>
  <c r="T615" i="7"/>
  <c r="S615" i="7"/>
  <c r="R615" i="7"/>
  <c r="Q615" i="7"/>
  <c r="P615" i="7"/>
  <c r="O615" i="7"/>
  <c r="N615" i="7"/>
  <c r="M615" i="7"/>
  <c r="L615" i="7"/>
  <c r="K615" i="7"/>
  <c r="J615" i="7"/>
  <c r="Z615" i="7" s="1"/>
  <c r="X614" i="7"/>
  <c r="W614" i="7"/>
  <c r="V614" i="7"/>
  <c r="U614" i="7"/>
  <c r="T614" i="7"/>
  <c r="S614" i="7"/>
  <c r="R614" i="7"/>
  <c r="Q614" i="7"/>
  <c r="P614" i="7"/>
  <c r="O614" i="7"/>
  <c r="N614" i="7"/>
  <c r="M614" i="7"/>
  <c r="L614" i="7"/>
  <c r="K614" i="7"/>
  <c r="J614" i="7"/>
  <c r="Z614" i="7" s="1"/>
  <c r="X613" i="7"/>
  <c r="W613" i="7"/>
  <c r="V613" i="7"/>
  <c r="U613" i="7"/>
  <c r="T613" i="7"/>
  <c r="S613" i="7"/>
  <c r="R613" i="7"/>
  <c r="Q613" i="7"/>
  <c r="P613" i="7"/>
  <c r="O613" i="7"/>
  <c r="N613" i="7"/>
  <c r="M613" i="7"/>
  <c r="L613" i="7"/>
  <c r="K613" i="7"/>
  <c r="J613" i="7"/>
  <c r="Z613" i="7" s="1"/>
  <c r="X612" i="7"/>
  <c r="W612" i="7"/>
  <c r="V612" i="7"/>
  <c r="U612" i="7"/>
  <c r="T612" i="7"/>
  <c r="S612" i="7"/>
  <c r="R612" i="7"/>
  <c r="Q612" i="7"/>
  <c r="P612" i="7"/>
  <c r="O612" i="7"/>
  <c r="N612" i="7"/>
  <c r="M612" i="7"/>
  <c r="L612" i="7"/>
  <c r="K612" i="7"/>
  <c r="J612" i="7"/>
  <c r="Z612" i="7" s="1"/>
  <c r="X611" i="7"/>
  <c r="W611" i="7"/>
  <c r="V611" i="7"/>
  <c r="U611" i="7"/>
  <c r="T611" i="7"/>
  <c r="S611" i="7"/>
  <c r="R611" i="7"/>
  <c r="Q611" i="7"/>
  <c r="P611" i="7"/>
  <c r="O611" i="7"/>
  <c r="N611" i="7"/>
  <c r="M611" i="7"/>
  <c r="L611" i="7"/>
  <c r="K611" i="7"/>
  <c r="J611" i="7"/>
  <c r="Z611" i="7" s="1"/>
  <c r="X610" i="7"/>
  <c r="W610" i="7"/>
  <c r="V610" i="7"/>
  <c r="U610" i="7"/>
  <c r="T610" i="7"/>
  <c r="S610" i="7"/>
  <c r="R610" i="7"/>
  <c r="Q610" i="7"/>
  <c r="P610" i="7"/>
  <c r="O610" i="7"/>
  <c r="N610" i="7"/>
  <c r="M610" i="7"/>
  <c r="L610" i="7"/>
  <c r="K610" i="7"/>
  <c r="J610" i="7"/>
  <c r="Z610" i="7" s="1"/>
  <c r="X609" i="7"/>
  <c r="W609" i="7"/>
  <c r="V609" i="7"/>
  <c r="U609" i="7"/>
  <c r="T609" i="7"/>
  <c r="S609" i="7"/>
  <c r="R609" i="7"/>
  <c r="Q609" i="7"/>
  <c r="P609" i="7"/>
  <c r="O609" i="7"/>
  <c r="N609" i="7"/>
  <c r="M609" i="7"/>
  <c r="L609" i="7"/>
  <c r="K609" i="7"/>
  <c r="J609" i="7"/>
  <c r="Z609" i="7" s="1"/>
  <c r="X608" i="7"/>
  <c r="W608" i="7"/>
  <c r="V608" i="7"/>
  <c r="U608" i="7"/>
  <c r="T608" i="7"/>
  <c r="S608" i="7"/>
  <c r="R608" i="7"/>
  <c r="Q608" i="7"/>
  <c r="P608" i="7"/>
  <c r="O608" i="7"/>
  <c r="N608" i="7"/>
  <c r="M608" i="7"/>
  <c r="L608" i="7"/>
  <c r="K608" i="7"/>
  <c r="J608" i="7"/>
  <c r="Z608" i="7" s="1"/>
  <c r="X607" i="7"/>
  <c r="W607" i="7"/>
  <c r="V607" i="7"/>
  <c r="U607" i="7"/>
  <c r="T607" i="7"/>
  <c r="S607" i="7"/>
  <c r="R607" i="7"/>
  <c r="Q607" i="7"/>
  <c r="P607" i="7"/>
  <c r="O607" i="7"/>
  <c r="N607" i="7"/>
  <c r="M607" i="7"/>
  <c r="L607" i="7"/>
  <c r="K607" i="7"/>
  <c r="J607" i="7"/>
  <c r="Z607" i="7" s="1"/>
  <c r="X606" i="7"/>
  <c r="W606" i="7"/>
  <c r="V606" i="7"/>
  <c r="U606" i="7"/>
  <c r="T606" i="7"/>
  <c r="S606" i="7"/>
  <c r="R606" i="7"/>
  <c r="Q606" i="7"/>
  <c r="P606" i="7"/>
  <c r="O606" i="7"/>
  <c r="N606" i="7"/>
  <c r="M606" i="7"/>
  <c r="L606" i="7"/>
  <c r="K606" i="7"/>
  <c r="J606" i="7"/>
  <c r="Z606" i="7" s="1"/>
  <c r="X605" i="7"/>
  <c r="W605" i="7"/>
  <c r="V605" i="7"/>
  <c r="U605" i="7"/>
  <c r="T605" i="7"/>
  <c r="S605" i="7"/>
  <c r="R605" i="7"/>
  <c r="Q605" i="7"/>
  <c r="P605" i="7"/>
  <c r="O605" i="7"/>
  <c r="N605" i="7"/>
  <c r="M605" i="7"/>
  <c r="L605" i="7"/>
  <c r="K605" i="7"/>
  <c r="J605" i="7"/>
  <c r="Z605" i="7" s="1"/>
  <c r="X604" i="7"/>
  <c r="W604" i="7"/>
  <c r="V604" i="7"/>
  <c r="U604" i="7"/>
  <c r="T604" i="7"/>
  <c r="S604" i="7"/>
  <c r="R604" i="7"/>
  <c r="Q604" i="7"/>
  <c r="P604" i="7"/>
  <c r="O604" i="7"/>
  <c r="N604" i="7"/>
  <c r="M604" i="7"/>
  <c r="L604" i="7"/>
  <c r="K604" i="7"/>
  <c r="J604" i="7"/>
  <c r="Z604" i="7" s="1"/>
  <c r="X603" i="7"/>
  <c r="W603" i="7"/>
  <c r="V603" i="7"/>
  <c r="U603" i="7"/>
  <c r="T603" i="7"/>
  <c r="S603" i="7"/>
  <c r="R603" i="7"/>
  <c r="Q603" i="7"/>
  <c r="P603" i="7"/>
  <c r="O603" i="7"/>
  <c r="N603" i="7"/>
  <c r="M603" i="7"/>
  <c r="L603" i="7"/>
  <c r="K603" i="7"/>
  <c r="J603" i="7"/>
  <c r="Z603" i="7" s="1"/>
  <c r="X602" i="7"/>
  <c r="W602" i="7"/>
  <c r="V602" i="7"/>
  <c r="U602" i="7"/>
  <c r="T602" i="7"/>
  <c r="S602" i="7"/>
  <c r="R602" i="7"/>
  <c r="Q602" i="7"/>
  <c r="P602" i="7"/>
  <c r="O602" i="7"/>
  <c r="N602" i="7"/>
  <c r="M602" i="7"/>
  <c r="L602" i="7"/>
  <c r="K602" i="7"/>
  <c r="J602" i="7"/>
  <c r="Z602" i="7" s="1"/>
  <c r="X601" i="7"/>
  <c r="W601" i="7"/>
  <c r="V601" i="7"/>
  <c r="U601" i="7"/>
  <c r="T601" i="7"/>
  <c r="S601" i="7"/>
  <c r="R601" i="7"/>
  <c r="Q601" i="7"/>
  <c r="P601" i="7"/>
  <c r="O601" i="7"/>
  <c r="N601" i="7"/>
  <c r="M601" i="7"/>
  <c r="L601" i="7"/>
  <c r="K601" i="7"/>
  <c r="J601" i="7"/>
  <c r="Z601" i="7" s="1"/>
  <c r="X600" i="7"/>
  <c r="W600" i="7"/>
  <c r="V600" i="7"/>
  <c r="U600" i="7"/>
  <c r="T600" i="7"/>
  <c r="S600" i="7"/>
  <c r="R600" i="7"/>
  <c r="Q600" i="7"/>
  <c r="P600" i="7"/>
  <c r="O600" i="7"/>
  <c r="N600" i="7"/>
  <c r="M600" i="7"/>
  <c r="L600" i="7"/>
  <c r="K600" i="7"/>
  <c r="J600" i="7"/>
  <c r="Z600" i="7" s="1"/>
  <c r="X599" i="7"/>
  <c r="W599" i="7"/>
  <c r="V599" i="7"/>
  <c r="U599" i="7"/>
  <c r="T599" i="7"/>
  <c r="S599" i="7"/>
  <c r="R599" i="7"/>
  <c r="Q599" i="7"/>
  <c r="P599" i="7"/>
  <c r="O599" i="7"/>
  <c r="N599" i="7"/>
  <c r="M599" i="7"/>
  <c r="L599" i="7"/>
  <c r="K599" i="7"/>
  <c r="J599" i="7"/>
  <c r="Z599" i="7" s="1"/>
  <c r="X598" i="7"/>
  <c r="W598" i="7"/>
  <c r="V598" i="7"/>
  <c r="U598" i="7"/>
  <c r="T598" i="7"/>
  <c r="S598" i="7"/>
  <c r="R598" i="7"/>
  <c r="Q598" i="7"/>
  <c r="P598" i="7"/>
  <c r="O598" i="7"/>
  <c r="N598" i="7"/>
  <c r="M598" i="7"/>
  <c r="L598" i="7"/>
  <c r="K598" i="7"/>
  <c r="J598" i="7"/>
  <c r="Z598" i="7" s="1"/>
  <c r="X597" i="7"/>
  <c r="W597" i="7"/>
  <c r="V597" i="7"/>
  <c r="U597" i="7"/>
  <c r="T597" i="7"/>
  <c r="S597" i="7"/>
  <c r="R597" i="7"/>
  <c r="Q597" i="7"/>
  <c r="P597" i="7"/>
  <c r="O597" i="7"/>
  <c r="N597" i="7"/>
  <c r="M597" i="7"/>
  <c r="L597" i="7"/>
  <c r="K597" i="7"/>
  <c r="J597" i="7"/>
  <c r="Z597" i="7" s="1"/>
  <c r="X596" i="7"/>
  <c r="W596" i="7"/>
  <c r="V596" i="7"/>
  <c r="U596" i="7"/>
  <c r="T596" i="7"/>
  <c r="S596" i="7"/>
  <c r="R596" i="7"/>
  <c r="Q596" i="7"/>
  <c r="P596" i="7"/>
  <c r="O596" i="7"/>
  <c r="N596" i="7"/>
  <c r="M596" i="7"/>
  <c r="L596" i="7"/>
  <c r="K596" i="7"/>
  <c r="J596" i="7"/>
  <c r="Z596" i="7" s="1"/>
  <c r="X595" i="7"/>
  <c r="W595" i="7"/>
  <c r="V595" i="7"/>
  <c r="U595" i="7"/>
  <c r="T595" i="7"/>
  <c r="S595" i="7"/>
  <c r="R595" i="7"/>
  <c r="Q595" i="7"/>
  <c r="P595" i="7"/>
  <c r="O595" i="7"/>
  <c r="N595" i="7"/>
  <c r="M595" i="7"/>
  <c r="L595" i="7"/>
  <c r="K595" i="7"/>
  <c r="J595" i="7"/>
  <c r="Z595" i="7" s="1"/>
  <c r="X594" i="7"/>
  <c r="W594" i="7"/>
  <c r="V594" i="7"/>
  <c r="U594" i="7"/>
  <c r="T594" i="7"/>
  <c r="S594" i="7"/>
  <c r="R594" i="7"/>
  <c r="Q594" i="7"/>
  <c r="P594" i="7"/>
  <c r="O594" i="7"/>
  <c r="N594" i="7"/>
  <c r="M594" i="7"/>
  <c r="L594" i="7"/>
  <c r="K594" i="7"/>
  <c r="J594" i="7"/>
  <c r="Z594" i="7" s="1"/>
  <c r="X593" i="7"/>
  <c r="W593" i="7"/>
  <c r="V593" i="7"/>
  <c r="U593" i="7"/>
  <c r="T593" i="7"/>
  <c r="S593" i="7"/>
  <c r="R593" i="7"/>
  <c r="Q593" i="7"/>
  <c r="P593" i="7"/>
  <c r="O593" i="7"/>
  <c r="N593" i="7"/>
  <c r="M593" i="7"/>
  <c r="L593" i="7"/>
  <c r="K593" i="7"/>
  <c r="J593" i="7"/>
  <c r="Z593" i="7" s="1"/>
  <c r="X592" i="7"/>
  <c r="W592" i="7"/>
  <c r="V592" i="7"/>
  <c r="U592" i="7"/>
  <c r="T592" i="7"/>
  <c r="S592" i="7"/>
  <c r="R592" i="7"/>
  <c r="Q592" i="7"/>
  <c r="P592" i="7"/>
  <c r="O592" i="7"/>
  <c r="N592" i="7"/>
  <c r="M592" i="7"/>
  <c r="L592" i="7"/>
  <c r="K592" i="7"/>
  <c r="J592" i="7"/>
  <c r="Z592" i="7" s="1"/>
  <c r="X591" i="7"/>
  <c r="W591" i="7"/>
  <c r="V591" i="7"/>
  <c r="U591" i="7"/>
  <c r="T591" i="7"/>
  <c r="S591" i="7"/>
  <c r="R591" i="7"/>
  <c r="Q591" i="7"/>
  <c r="P591" i="7"/>
  <c r="O591" i="7"/>
  <c r="N591" i="7"/>
  <c r="M591" i="7"/>
  <c r="L591" i="7"/>
  <c r="K591" i="7"/>
  <c r="J591" i="7"/>
  <c r="Z591" i="7" s="1"/>
  <c r="X590" i="7"/>
  <c r="W590" i="7"/>
  <c r="V590" i="7"/>
  <c r="U590" i="7"/>
  <c r="T590" i="7"/>
  <c r="S590" i="7"/>
  <c r="R590" i="7"/>
  <c r="Q590" i="7"/>
  <c r="P590" i="7"/>
  <c r="O590" i="7"/>
  <c r="N590" i="7"/>
  <c r="M590" i="7"/>
  <c r="L590" i="7"/>
  <c r="K590" i="7"/>
  <c r="J590" i="7"/>
  <c r="Z590" i="7" s="1"/>
  <c r="X589" i="7"/>
  <c r="W589" i="7"/>
  <c r="V589" i="7"/>
  <c r="U589" i="7"/>
  <c r="T589" i="7"/>
  <c r="S589" i="7"/>
  <c r="R589" i="7"/>
  <c r="Q589" i="7"/>
  <c r="P589" i="7"/>
  <c r="O589" i="7"/>
  <c r="N589" i="7"/>
  <c r="M589" i="7"/>
  <c r="L589" i="7"/>
  <c r="K589" i="7"/>
  <c r="J589" i="7"/>
  <c r="Z589" i="7" s="1"/>
  <c r="X588" i="7"/>
  <c r="W588" i="7"/>
  <c r="V588" i="7"/>
  <c r="U588" i="7"/>
  <c r="T588" i="7"/>
  <c r="S588" i="7"/>
  <c r="R588" i="7"/>
  <c r="Q588" i="7"/>
  <c r="P588" i="7"/>
  <c r="O588" i="7"/>
  <c r="N588" i="7"/>
  <c r="M588" i="7"/>
  <c r="L588" i="7"/>
  <c r="K588" i="7"/>
  <c r="J588" i="7"/>
  <c r="Z588" i="7" s="1"/>
  <c r="X587" i="7"/>
  <c r="W587" i="7"/>
  <c r="V587" i="7"/>
  <c r="U587" i="7"/>
  <c r="T587" i="7"/>
  <c r="S587" i="7"/>
  <c r="R587" i="7"/>
  <c r="Q587" i="7"/>
  <c r="P587" i="7"/>
  <c r="O587" i="7"/>
  <c r="N587" i="7"/>
  <c r="M587" i="7"/>
  <c r="L587" i="7"/>
  <c r="K587" i="7"/>
  <c r="J587" i="7"/>
  <c r="Z587" i="7" s="1"/>
  <c r="X586" i="7"/>
  <c r="W586" i="7"/>
  <c r="V586" i="7"/>
  <c r="U586" i="7"/>
  <c r="T586" i="7"/>
  <c r="S586" i="7"/>
  <c r="R586" i="7"/>
  <c r="Q586" i="7"/>
  <c r="P586" i="7"/>
  <c r="O586" i="7"/>
  <c r="N586" i="7"/>
  <c r="M586" i="7"/>
  <c r="L586" i="7"/>
  <c r="K586" i="7"/>
  <c r="J586" i="7"/>
  <c r="Z586" i="7" s="1"/>
  <c r="X585" i="7"/>
  <c r="W585" i="7"/>
  <c r="V585" i="7"/>
  <c r="U585" i="7"/>
  <c r="T585" i="7"/>
  <c r="S585" i="7"/>
  <c r="R585" i="7"/>
  <c r="Q585" i="7"/>
  <c r="P585" i="7"/>
  <c r="O585" i="7"/>
  <c r="N585" i="7"/>
  <c r="M585" i="7"/>
  <c r="L585" i="7"/>
  <c r="K585" i="7"/>
  <c r="J585" i="7"/>
  <c r="Z585" i="7" s="1"/>
  <c r="X584" i="7"/>
  <c r="W584" i="7"/>
  <c r="V584" i="7"/>
  <c r="U584" i="7"/>
  <c r="T584" i="7"/>
  <c r="S584" i="7"/>
  <c r="R584" i="7"/>
  <c r="Q584" i="7"/>
  <c r="P584" i="7"/>
  <c r="O584" i="7"/>
  <c r="N584" i="7"/>
  <c r="M584" i="7"/>
  <c r="L584" i="7"/>
  <c r="K584" i="7"/>
  <c r="J584" i="7"/>
  <c r="Z584" i="7" s="1"/>
  <c r="X583" i="7"/>
  <c r="W583" i="7"/>
  <c r="V583" i="7"/>
  <c r="U583" i="7"/>
  <c r="T583" i="7"/>
  <c r="S583" i="7"/>
  <c r="R583" i="7"/>
  <c r="Q583" i="7"/>
  <c r="P583" i="7"/>
  <c r="O583" i="7"/>
  <c r="N583" i="7"/>
  <c r="M583" i="7"/>
  <c r="L583" i="7"/>
  <c r="K583" i="7"/>
  <c r="J583" i="7"/>
  <c r="Z583" i="7" s="1"/>
  <c r="X582" i="7"/>
  <c r="W582" i="7"/>
  <c r="V582" i="7"/>
  <c r="U582" i="7"/>
  <c r="T582" i="7"/>
  <c r="S582" i="7"/>
  <c r="R582" i="7"/>
  <c r="Q582" i="7"/>
  <c r="P582" i="7"/>
  <c r="O582" i="7"/>
  <c r="N582" i="7"/>
  <c r="M582" i="7"/>
  <c r="L582" i="7"/>
  <c r="K582" i="7"/>
  <c r="J582" i="7"/>
  <c r="Z582" i="7" s="1"/>
  <c r="X581" i="7"/>
  <c r="W581" i="7"/>
  <c r="V581" i="7"/>
  <c r="U581" i="7"/>
  <c r="T581" i="7"/>
  <c r="S581" i="7"/>
  <c r="R581" i="7"/>
  <c r="Q581" i="7"/>
  <c r="P581" i="7"/>
  <c r="O581" i="7"/>
  <c r="N581" i="7"/>
  <c r="M581" i="7"/>
  <c r="L581" i="7"/>
  <c r="K581" i="7"/>
  <c r="J581" i="7"/>
  <c r="Z581" i="7" s="1"/>
  <c r="X580" i="7"/>
  <c r="W580" i="7"/>
  <c r="V580" i="7"/>
  <c r="U580" i="7"/>
  <c r="T580" i="7"/>
  <c r="S580" i="7"/>
  <c r="R580" i="7"/>
  <c r="Q580" i="7"/>
  <c r="P580" i="7"/>
  <c r="O580" i="7"/>
  <c r="N580" i="7"/>
  <c r="M580" i="7"/>
  <c r="L580" i="7"/>
  <c r="K580" i="7"/>
  <c r="J580" i="7"/>
  <c r="Z580" i="7" s="1"/>
  <c r="X579" i="7"/>
  <c r="W579" i="7"/>
  <c r="V579" i="7"/>
  <c r="U579" i="7"/>
  <c r="T579" i="7"/>
  <c r="S579" i="7"/>
  <c r="R579" i="7"/>
  <c r="Q579" i="7"/>
  <c r="P579" i="7"/>
  <c r="O579" i="7"/>
  <c r="N579" i="7"/>
  <c r="M579" i="7"/>
  <c r="L579" i="7"/>
  <c r="K579" i="7"/>
  <c r="J579" i="7"/>
  <c r="Z579" i="7" s="1"/>
  <c r="X578" i="7"/>
  <c r="W578" i="7"/>
  <c r="V578" i="7"/>
  <c r="U578" i="7"/>
  <c r="T578" i="7"/>
  <c r="S578" i="7"/>
  <c r="R578" i="7"/>
  <c r="Q578" i="7"/>
  <c r="P578" i="7"/>
  <c r="O578" i="7"/>
  <c r="N578" i="7"/>
  <c r="M578" i="7"/>
  <c r="L578" i="7"/>
  <c r="K578" i="7"/>
  <c r="J578" i="7"/>
  <c r="Z578" i="7" s="1"/>
  <c r="X577" i="7"/>
  <c r="W577" i="7"/>
  <c r="V577" i="7"/>
  <c r="U577" i="7"/>
  <c r="T577" i="7"/>
  <c r="S577" i="7"/>
  <c r="R577" i="7"/>
  <c r="Q577" i="7"/>
  <c r="P577" i="7"/>
  <c r="O577" i="7"/>
  <c r="N577" i="7"/>
  <c r="M577" i="7"/>
  <c r="L577" i="7"/>
  <c r="K577" i="7"/>
  <c r="J577" i="7"/>
  <c r="Z577" i="7" s="1"/>
  <c r="X576" i="7"/>
  <c r="W576" i="7"/>
  <c r="V576" i="7"/>
  <c r="U576" i="7"/>
  <c r="T576" i="7"/>
  <c r="S576" i="7"/>
  <c r="R576" i="7"/>
  <c r="Q576" i="7"/>
  <c r="P576" i="7"/>
  <c r="O576" i="7"/>
  <c r="N576" i="7"/>
  <c r="M576" i="7"/>
  <c r="L576" i="7"/>
  <c r="K576" i="7"/>
  <c r="J576" i="7"/>
  <c r="Z576" i="7" s="1"/>
  <c r="X575" i="7"/>
  <c r="W575" i="7"/>
  <c r="V575" i="7"/>
  <c r="U575" i="7"/>
  <c r="T575" i="7"/>
  <c r="S575" i="7"/>
  <c r="R575" i="7"/>
  <c r="Q575" i="7"/>
  <c r="P575" i="7"/>
  <c r="O575" i="7"/>
  <c r="N575" i="7"/>
  <c r="M575" i="7"/>
  <c r="L575" i="7"/>
  <c r="K575" i="7"/>
  <c r="J575" i="7"/>
  <c r="Z575" i="7" s="1"/>
  <c r="X574" i="7"/>
  <c r="W574" i="7"/>
  <c r="V574" i="7"/>
  <c r="U574" i="7"/>
  <c r="T574" i="7"/>
  <c r="S574" i="7"/>
  <c r="R574" i="7"/>
  <c r="Q574" i="7"/>
  <c r="P574" i="7"/>
  <c r="O574" i="7"/>
  <c r="N574" i="7"/>
  <c r="M574" i="7"/>
  <c r="L574" i="7"/>
  <c r="K574" i="7"/>
  <c r="J574" i="7"/>
  <c r="Z574" i="7" s="1"/>
  <c r="X573" i="7"/>
  <c r="W573" i="7"/>
  <c r="V573" i="7"/>
  <c r="U573" i="7"/>
  <c r="T573" i="7"/>
  <c r="S573" i="7"/>
  <c r="R573" i="7"/>
  <c r="Q573" i="7"/>
  <c r="P573" i="7"/>
  <c r="O573" i="7"/>
  <c r="N573" i="7"/>
  <c r="M573" i="7"/>
  <c r="L573" i="7"/>
  <c r="K573" i="7"/>
  <c r="J573" i="7"/>
  <c r="Z573" i="7" s="1"/>
  <c r="X572" i="7"/>
  <c r="W572" i="7"/>
  <c r="V572" i="7"/>
  <c r="U572" i="7"/>
  <c r="T572" i="7"/>
  <c r="S572" i="7"/>
  <c r="R572" i="7"/>
  <c r="Q572" i="7"/>
  <c r="P572" i="7"/>
  <c r="O572" i="7"/>
  <c r="N572" i="7"/>
  <c r="M572" i="7"/>
  <c r="L572" i="7"/>
  <c r="K572" i="7"/>
  <c r="J572" i="7"/>
  <c r="Z572" i="7" s="1"/>
  <c r="X571" i="7"/>
  <c r="W571" i="7"/>
  <c r="V571" i="7"/>
  <c r="U571" i="7"/>
  <c r="T571" i="7"/>
  <c r="S571" i="7"/>
  <c r="R571" i="7"/>
  <c r="Q571" i="7"/>
  <c r="P571" i="7"/>
  <c r="O571" i="7"/>
  <c r="N571" i="7"/>
  <c r="M571" i="7"/>
  <c r="L571" i="7"/>
  <c r="K571" i="7"/>
  <c r="J571" i="7"/>
  <c r="Z571" i="7" s="1"/>
  <c r="X570" i="7"/>
  <c r="W570" i="7"/>
  <c r="V570" i="7"/>
  <c r="U570" i="7"/>
  <c r="T570" i="7"/>
  <c r="S570" i="7"/>
  <c r="R570" i="7"/>
  <c r="Q570" i="7"/>
  <c r="P570" i="7"/>
  <c r="O570" i="7"/>
  <c r="N570" i="7"/>
  <c r="M570" i="7"/>
  <c r="L570" i="7"/>
  <c r="K570" i="7"/>
  <c r="J570" i="7"/>
  <c r="Z570" i="7" s="1"/>
  <c r="X569" i="7"/>
  <c r="W569" i="7"/>
  <c r="V569" i="7"/>
  <c r="U569" i="7"/>
  <c r="T569" i="7"/>
  <c r="S569" i="7"/>
  <c r="R569" i="7"/>
  <c r="Q569" i="7"/>
  <c r="P569" i="7"/>
  <c r="O569" i="7"/>
  <c r="N569" i="7"/>
  <c r="M569" i="7"/>
  <c r="L569" i="7"/>
  <c r="K569" i="7"/>
  <c r="J569" i="7"/>
  <c r="Z569" i="7" s="1"/>
  <c r="X568" i="7"/>
  <c r="W568" i="7"/>
  <c r="V568" i="7"/>
  <c r="U568" i="7"/>
  <c r="T568" i="7"/>
  <c r="S568" i="7"/>
  <c r="R568" i="7"/>
  <c r="Q568" i="7"/>
  <c r="P568" i="7"/>
  <c r="O568" i="7"/>
  <c r="N568" i="7"/>
  <c r="M568" i="7"/>
  <c r="L568" i="7"/>
  <c r="K568" i="7"/>
  <c r="J568" i="7"/>
  <c r="Z568" i="7" s="1"/>
  <c r="X567" i="7"/>
  <c r="W567" i="7"/>
  <c r="V567" i="7"/>
  <c r="U567" i="7"/>
  <c r="T567" i="7"/>
  <c r="S567" i="7"/>
  <c r="R567" i="7"/>
  <c r="Q567" i="7"/>
  <c r="P567" i="7"/>
  <c r="O567" i="7"/>
  <c r="N567" i="7"/>
  <c r="M567" i="7"/>
  <c r="L567" i="7"/>
  <c r="K567" i="7"/>
  <c r="J567" i="7"/>
  <c r="Z567" i="7" s="1"/>
  <c r="X566" i="7"/>
  <c r="W566" i="7"/>
  <c r="V566" i="7"/>
  <c r="U566" i="7"/>
  <c r="T566" i="7"/>
  <c r="S566" i="7"/>
  <c r="R566" i="7"/>
  <c r="Q566" i="7"/>
  <c r="P566" i="7"/>
  <c r="O566" i="7"/>
  <c r="N566" i="7"/>
  <c r="M566" i="7"/>
  <c r="L566" i="7"/>
  <c r="K566" i="7"/>
  <c r="J566" i="7"/>
  <c r="Z566" i="7" s="1"/>
  <c r="X565" i="7"/>
  <c r="W565" i="7"/>
  <c r="V565" i="7"/>
  <c r="U565" i="7"/>
  <c r="T565" i="7"/>
  <c r="S565" i="7"/>
  <c r="R565" i="7"/>
  <c r="Q565" i="7"/>
  <c r="P565" i="7"/>
  <c r="O565" i="7"/>
  <c r="N565" i="7"/>
  <c r="M565" i="7"/>
  <c r="L565" i="7"/>
  <c r="K565" i="7"/>
  <c r="J565" i="7"/>
  <c r="Z565" i="7" s="1"/>
  <c r="X564" i="7"/>
  <c r="W564" i="7"/>
  <c r="V564" i="7"/>
  <c r="U564" i="7"/>
  <c r="T564" i="7"/>
  <c r="S564" i="7"/>
  <c r="R564" i="7"/>
  <c r="Q564" i="7"/>
  <c r="P564" i="7"/>
  <c r="O564" i="7"/>
  <c r="N564" i="7"/>
  <c r="M564" i="7"/>
  <c r="L564" i="7"/>
  <c r="K564" i="7"/>
  <c r="J564" i="7"/>
  <c r="Z564" i="7" s="1"/>
  <c r="X563" i="7"/>
  <c r="W563" i="7"/>
  <c r="V563" i="7"/>
  <c r="U563" i="7"/>
  <c r="T563" i="7"/>
  <c r="S563" i="7"/>
  <c r="R563" i="7"/>
  <c r="Q563" i="7"/>
  <c r="P563" i="7"/>
  <c r="O563" i="7"/>
  <c r="N563" i="7"/>
  <c r="M563" i="7"/>
  <c r="L563" i="7"/>
  <c r="K563" i="7"/>
  <c r="J563" i="7"/>
  <c r="Z563" i="7" s="1"/>
  <c r="X562" i="7"/>
  <c r="W562" i="7"/>
  <c r="V562" i="7"/>
  <c r="U562" i="7"/>
  <c r="T562" i="7"/>
  <c r="S562" i="7"/>
  <c r="R562" i="7"/>
  <c r="Q562" i="7"/>
  <c r="P562" i="7"/>
  <c r="O562" i="7"/>
  <c r="N562" i="7"/>
  <c r="M562" i="7"/>
  <c r="L562" i="7"/>
  <c r="K562" i="7"/>
  <c r="J562" i="7"/>
  <c r="Z562" i="7" s="1"/>
  <c r="X561" i="7"/>
  <c r="W561" i="7"/>
  <c r="V561" i="7"/>
  <c r="U561" i="7"/>
  <c r="T561" i="7"/>
  <c r="S561" i="7"/>
  <c r="R561" i="7"/>
  <c r="Q561" i="7"/>
  <c r="P561" i="7"/>
  <c r="O561" i="7"/>
  <c r="N561" i="7"/>
  <c r="M561" i="7"/>
  <c r="L561" i="7"/>
  <c r="K561" i="7"/>
  <c r="J561" i="7"/>
  <c r="Z561" i="7" s="1"/>
  <c r="X560" i="7"/>
  <c r="W560" i="7"/>
  <c r="V560" i="7"/>
  <c r="U560" i="7"/>
  <c r="T560" i="7"/>
  <c r="S560" i="7"/>
  <c r="R560" i="7"/>
  <c r="Q560" i="7"/>
  <c r="P560" i="7"/>
  <c r="O560" i="7"/>
  <c r="N560" i="7"/>
  <c r="M560" i="7"/>
  <c r="L560" i="7"/>
  <c r="K560" i="7"/>
  <c r="J560" i="7"/>
  <c r="Z560" i="7" s="1"/>
  <c r="X559" i="7"/>
  <c r="W559" i="7"/>
  <c r="V559" i="7"/>
  <c r="U559" i="7"/>
  <c r="T559" i="7"/>
  <c r="S559" i="7"/>
  <c r="R559" i="7"/>
  <c r="Q559" i="7"/>
  <c r="P559" i="7"/>
  <c r="O559" i="7"/>
  <c r="N559" i="7"/>
  <c r="M559" i="7"/>
  <c r="L559" i="7"/>
  <c r="K559" i="7"/>
  <c r="J559" i="7"/>
  <c r="Z559" i="7" s="1"/>
  <c r="X558" i="7"/>
  <c r="W558" i="7"/>
  <c r="V558" i="7"/>
  <c r="U558" i="7"/>
  <c r="T558" i="7"/>
  <c r="S558" i="7"/>
  <c r="R558" i="7"/>
  <c r="Q558" i="7"/>
  <c r="P558" i="7"/>
  <c r="O558" i="7"/>
  <c r="N558" i="7"/>
  <c r="M558" i="7"/>
  <c r="L558" i="7"/>
  <c r="K558" i="7"/>
  <c r="J558" i="7"/>
  <c r="Z558" i="7" s="1"/>
  <c r="X557" i="7"/>
  <c r="W557" i="7"/>
  <c r="V557" i="7"/>
  <c r="U557" i="7"/>
  <c r="T557" i="7"/>
  <c r="S557" i="7"/>
  <c r="R557" i="7"/>
  <c r="Q557" i="7"/>
  <c r="P557" i="7"/>
  <c r="O557" i="7"/>
  <c r="N557" i="7"/>
  <c r="M557" i="7"/>
  <c r="L557" i="7"/>
  <c r="K557" i="7"/>
  <c r="J557" i="7"/>
  <c r="Z557" i="7" s="1"/>
  <c r="X556" i="7"/>
  <c r="W556" i="7"/>
  <c r="V556" i="7"/>
  <c r="U556" i="7"/>
  <c r="T556" i="7"/>
  <c r="S556" i="7"/>
  <c r="R556" i="7"/>
  <c r="Q556" i="7"/>
  <c r="P556" i="7"/>
  <c r="O556" i="7"/>
  <c r="N556" i="7"/>
  <c r="M556" i="7"/>
  <c r="L556" i="7"/>
  <c r="K556" i="7"/>
  <c r="J556" i="7"/>
  <c r="Z556" i="7" s="1"/>
  <c r="X555" i="7"/>
  <c r="W555" i="7"/>
  <c r="V555" i="7"/>
  <c r="U555" i="7"/>
  <c r="T555" i="7"/>
  <c r="S555" i="7"/>
  <c r="R555" i="7"/>
  <c r="Q555" i="7"/>
  <c r="P555" i="7"/>
  <c r="O555" i="7"/>
  <c r="N555" i="7"/>
  <c r="M555" i="7"/>
  <c r="L555" i="7"/>
  <c r="K555" i="7"/>
  <c r="J555" i="7"/>
  <c r="Z555" i="7" s="1"/>
  <c r="X554" i="7"/>
  <c r="W554" i="7"/>
  <c r="V554" i="7"/>
  <c r="U554" i="7"/>
  <c r="T554" i="7"/>
  <c r="S554" i="7"/>
  <c r="R554" i="7"/>
  <c r="Q554" i="7"/>
  <c r="P554" i="7"/>
  <c r="O554" i="7"/>
  <c r="N554" i="7"/>
  <c r="M554" i="7"/>
  <c r="L554" i="7"/>
  <c r="K554" i="7"/>
  <c r="J554" i="7"/>
  <c r="Z554" i="7" s="1"/>
  <c r="X553" i="7"/>
  <c r="W553" i="7"/>
  <c r="V553" i="7"/>
  <c r="U553" i="7"/>
  <c r="T553" i="7"/>
  <c r="S553" i="7"/>
  <c r="R553" i="7"/>
  <c r="Q553" i="7"/>
  <c r="P553" i="7"/>
  <c r="O553" i="7"/>
  <c r="N553" i="7"/>
  <c r="M553" i="7"/>
  <c r="L553" i="7"/>
  <c r="K553" i="7"/>
  <c r="J553" i="7"/>
  <c r="Z553" i="7" s="1"/>
  <c r="X552" i="7"/>
  <c r="W552" i="7"/>
  <c r="V552" i="7"/>
  <c r="U552" i="7"/>
  <c r="T552" i="7"/>
  <c r="S552" i="7"/>
  <c r="R552" i="7"/>
  <c r="Q552" i="7"/>
  <c r="P552" i="7"/>
  <c r="O552" i="7"/>
  <c r="N552" i="7"/>
  <c r="M552" i="7"/>
  <c r="L552" i="7"/>
  <c r="K552" i="7"/>
  <c r="J552" i="7"/>
  <c r="Z552" i="7" s="1"/>
  <c r="X551" i="7"/>
  <c r="W551" i="7"/>
  <c r="V551" i="7"/>
  <c r="U551" i="7"/>
  <c r="T551" i="7"/>
  <c r="S551" i="7"/>
  <c r="R551" i="7"/>
  <c r="Q551" i="7"/>
  <c r="P551" i="7"/>
  <c r="O551" i="7"/>
  <c r="N551" i="7"/>
  <c r="M551" i="7"/>
  <c r="L551" i="7"/>
  <c r="K551" i="7"/>
  <c r="J551" i="7"/>
  <c r="Z551" i="7" s="1"/>
  <c r="X550" i="7"/>
  <c r="W550" i="7"/>
  <c r="V550" i="7"/>
  <c r="U550" i="7"/>
  <c r="T550" i="7"/>
  <c r="S550" i="7"/>
  <c r="R550" i="7"/>
  <c r="Q550" i="7"/>
  <c r="P550" i="7"/>
  <c r="O550" i="7"/>
  <c r="N550" i="7"/>
  <c r="M550" i="7"/>
  <c r="L550" i="7"/>
  <c r="K550" i="7"/>
  <c r="J550" i="7"/>
  <c r="Z550" i="7" s="1"/>
  <c r="X549" i="7"/>
  <c r="W549" i="7"/>
  <c r="V549" i="7"/>
  <c r="U549" i="7"/>
  <c r="T549" i="7"/>
  <c r="S549" i="7"/>
  <c r="R549" i="7"/>
  <c r="Q549" i="7"/>
  <c r="P549" i="7"/>
  <c r="O549" i="7"/>
  <c r="N549" i="7"/>
  <c r="M549" i="7"/>
  <c r="L549" i="7"/>
  <c r="K549" i="7"/>
  <c r="J549" i="7"/>
  <c r="Z549" i="7" s="1"/>
  <c r="X548" i="7"/>
  <c r="W548" i="7"/>
  <c r="V548" i="7"/>
  <c r="U548" i="7"/>
  <c r="T548" i="7"/>
  <c r="S548" i="7"/>
  <c r="R548" i="7"/>
  <c r="Q548" i="7"/>
  <c r="P548" i="7"/>
  <c r="O548" i="7"/>
  <c r="N548" i="7"/>
  <c r="M548" i="7"/>
  <c r="L548" i="7"/>
  <c r="K548" i="7"/>
  <c r="J548" i="7"/>
  <c r="Z548" i="7" s="1"/>
  <c r="X547" i="7"/>
  <c r="W547" i="7"/>
  <c r="V547" i="7"/>
  <c r="U547" i="7"/>
  <c r="T547" i="7"/>
  <c r="S547" i="7"/>
  <c r="R547" i="7"/>
  <c r="Q547" i="7"/>
  <c r="P547" i="7"/>
  <c r="O547" i="7"/>
  <c r="N547" i="7"/>
  <c r="M547" i="7"/>
  <c r="L547" i="7"/>
  <c r="K547" i="7"/>
  <c r="J547" i="7"/>
  <c r="Z547" i="7" s="1"/>
  <c r="X546" i="7"/>
  <c r="W546" i="7"/>
  <c r="V546" i="7"/>
  <c r="U546" i="7"/>
  <c r="T546" i="7"/>
  <c r="S546" i="7"/>
  <c r="R546" i="7"/>
  <c r="Q546" i="7"/>
  <c r="P546" i="7"/>
  <c r="O546" i="7"/>
  <c r="N546" i="7"/>
  <c r="M546" i="7"/>
  <c r="L546" i="7"/>
  <c r="K546" i="7"/>
  <c r="J546" i="7"/>
  <c r="Z546" i="7" s="1"/>
  <c r="X545" i="7"/>
  <c r="W545" i="7"/>
  <c r="V545" i="7"/>
  <c r="U545" i="7"/>
  <c r="T545" i="7"/>
  <c r="S545" i="7"/>
  <c r="R545" i="7"/>
  <c r="Q545" i="7"/>
  <c r="P545" i="7"/>
  <c r="O545" i="7"/>
  <c r="N545" i="7"/>
  <c r="M545" i="7"/>
  <c r="L545" i="7"/>
  <c r="K545" i="7"/>
  <c r="J545" i="7"/>
  <c r="Z545" i="7" s="1"/>
  <c r="X544" i="7"/>
  <c r="W544" i="7"/>
  <c r="V544" i="7"/>
  <c r="U544" i="7"/>
  <c r="T544" i="7"/>
  <c r="S544" i="7"/>
  <c r="R544" i="7"/>
  <c r="Q544" i="7"/>
  <c r="P544" i="7"/>
  <c r="O544" i="7"/>
  <c r="N544" i="7"/>
  <c r="M544" i="7"/>
  <c r="L544" i="7"/>
  <c r="K544" i="7"/>
  <c r="J544" i="7"/>
  <c r="Z544" i="7" s="1"/>
  <c r="X543" i="7"/>
  <c r="W543" i="7"/>
  <c r="V543" i="7"/>
  <c r="U543" i="7"/>
  <c r="T543" i="7"/>
  <c r="S543" i="7"/>
  <c r="R543" i="7"/>
  <c r="Q543" i="7"/>
  <c r="P543" i="7"/>
  <c r="O543" i="7"/>
  <c r="N543" i="7"/>
  <c r="M543" i="7"/>
  <c r="L543" i="7"/>
  <c r="K543" i="7"/>
  <c r="J543" i="7"/>
  <c r="Z543" i="7" s="1"/>
  <c r="X542" i="7"/>
  <c r="W542" i="7"/>
  <c r="V542" i="7"/>
  <c r="U542" i="7"/>
  <c r="T542" i="7"/>
  <c r="S542" i="7"/>
  <c r="R542" i="7"/>
  <c r="Q542" i="7"/>
  <c r="P542" i="7"/>
  <c r="O542" i="7"/>
  <c r="N542" i="7"/>
  <c r="M542" i="7"/>
  <c r="L542" i="7"/>
  <c r="K542" i="7"/>
  <c r="J542" i="7"/>
  <c r="Z542" i="7" s="1"/>
  <c r="X541" i="7"/>
  <c r="W541" i="7"/>
  <c r="V541" i="7"/>
  <c r="U541" i="7"/>
  <c r="T541" i="7"/>
  <c r="S541" i="7"/>
  <c r="R541" i="7"/>
  <c r="Q541" i="7"/>
  <c r="P541" i="7"/>
  <c r="O541" i="7"/>
  <c r="N541" i="7"/>
  <c r="M541" i="7"/>
  <c r="L541" i="7"/>
  <c r="K541" i="7"/>
  <c r="J541" i="7"/>
  <c r="Z541" i="7" s="1"/>
  <c r="X540" i="7"/>
  <c r="W540" i="7"/>
  <c r="V540" i="7"/>
  <c r="U540" i="7"/>
  <c r="T540" i="7"/>
  <c r="S540" i="7"/>
  <c r="R540" i="7"/>
  <c r="Q540" i="7"/>
  <c r="P540" i="7"/>
  <c r="O540" i="7"/>
  <c r="N540" i="7"/>
  <c r="M540" i="7"/>
  <c r="L540" i="7"/>
  <c r="K540" i="7"/>
  <c r="J540" i="7"/>
  <c r="Z540" i="7" s="1"/>
  <c r="X539" i="7"/>
  <c r="W539" i="7"/>
  <c r="V539" i="7"/>
  <c r="U539" i="7"/>
  <c r="T539" i="7"/>
  <c r="S539" i="7"/>
  <c r="R539" i="7"/>
  <c r="Q539" i="7"/>
  <c r="P539" i="7"/>
  <c r="O539" i="7"/>
  <c r="N539" i="7"/>
  <c r="M539" i="7"/>
  <c r="L539" i="7"/>
  <c r="K539" i="7"/>
  <c r="J539" i="7"/>
  <c r="Z539" i="7" s="1"/>
  <c r="X538" i="7"/>
  <c r="W538" i="7"/>
  <c r="V538" i="7"/>
  <c r="U538" i="7"/>
  <c r="T538" i="7"/>
  <c r="S538" i="7"/>
  <c r="R538" i="7"/>
  <c r="Q538" i="7"/>
  <c r="P538" i="7"/>
  <c r="O538" i="7"/>
  <c r="N538" i="7"/>
  <c r="M538" i="7"/>
  <c r="L538" i="7"/>
  <c r="K538" i="7"/>
  <c r="J538" i="7"/>
  <c r="Z538" i="7" s="1"/>
  <c r="X537" i="7"/>
  <c r="W537" i="7"/>
  <c r="V537" i="7"/>
  <c r="U537" i="7"/>
  <c r="T537" i="7"/>
  <c r="S537" i="7"/>
  <c r="R537" i="7"/>
  <c r="Q537" i="7"/>
  <c r="P537" i="7"/>
  <c r="O537" i="7"/>
  <c r="N537" i="7"/>
  <c r="M537" i="7"/>
  <c r="L537" i="7"/>
  <c r="K537" i="7"/>
  <c r="J537" i="7"/>
  <c r="Z537" i="7" s="1"/>
  <c r="X536" i="7"/>
  <c r="W536" i="7"/>
  <c r="V536" i="7"/>
  <c r="U536" i="7"/>
  <c r="T536" i="7"/>
  <c r="S536" i="7"/>
  <c r="R536" i="7"/>
  <c r="Q536" i="7"/>
  <c r="P536" i="7"/>
  <c r="O536" i="7"/>
  <c r="N536" i="7"/>
  <c r="M536" i="7"/>
  <c r="L536" i="7"/>
  <c r="K536" i="7"/>
  <c r="J536" i="7"/>
  <c r="Z536" i="7" s="1"/>
  <c r="X535" i="7"/>
  <c r="W535" i="7"/>
  <c r="V535" i="7"/>
  <c r="U535" i="7"/>
  <c r="T535" i="7"/>
  <c r="S535" i="7"/>
  <c r="R535" i="7"/>
  <c r="Q535" i="7"/>
  <c r="P535" i="7"/>
  <c r="O535" i="7"/>
  <c r="N535" i="7"/>
  <c r="M535" i="7"/>
  <c r="L535" i="7"/>
  <c r="K535" i="7"/>
  <c r="J535" i="7"/>
  <c r="Z535" i="7" s="1"/>
  <c r="X534" i="7"/>
  <c r="W534" i="7"/>
  <c r="V534" i="7"/>
  <c r="U534" i="7"/>
  <c r="T534" i="7"/>
  <c r="S534" i="7"/>
  <c r="R534" i="7"/>
  <c r="Q534" i="7"/>
  <c r="P534" i="7"/>
  <c r="O534" i="7"/>
  <c r="N534" i="7"/>
  <c r="M534" i="7"/>
  <c r="L534" i="7"/>
  <c r="K534" i="7"/>
  <c r="J534" i="7"/>
  <c r="Z534" i="7" s="1"/>
  <c r="X533" i="7"/>
  <c r="W533" i="7"/>
  <c r="V533" i="7"/>
  <c r="U533" i="7"/>
  <c r="T533" i="7"/>
  <c r="S533" i="7"/>
  <c r="R533" i="7"/>
  <c r="Q533" i="7"/>
  <c r="P533" i="7"/>
  <c r="O533" i="7"/>
  <c r="N533" i="7"/>
  <c r="M533" i="7"/>
  <c r="L533" i="7"/>
  <c r="K533" i="7"/>
  <c r="J533" i="7"/>
  <c r="Z533" i="7" s="1"/>
  <c r="X532" i="7"/>
  <c r="W532" i="7"/>
  <c r="V532" i="7"/>
  <c r="U532" i="7"/>
  <c r="T532" i="7"/>
  <c r="S532" i="7"/>
  <c r="R532" i="7"/>
  <c r="Q532" i="7"/>
  <c r="P532" i="7"/>
  <c r="O532" i="7"/>
  <c r="N532" i="7"/>
  <c r="M532" i="7"/>
  <c r="L532" i="7"/>
  <c r="K532" i="7"/>
  <c r="J532" i="7"/>
  <c r="Z532" i="7" s="1"/>
  <c r="X531" i="7"/>
  <c r="W531" i="7"/>
  <c r="V531" i="7"/>
  <c r="U531" i="7"/>
  <c r="T531" i="7"/>
  <c r="S531" i="7"/>
  <c r="R531" i="7"/>
  <c r="Q531" i="7"/>
  <c r="P531" i="7"/>
  <c r="O531" i="7"/>
  <c r="N531" i="7"/>
  <c r="M531" i="7"/>
  <c r="L531" i="7"/>
  <c r="K531" i="7"/>
  <c r="J531" i="7"/>
  <c r="Z531" i="7" s="1"/>
  <c r="X530" i="7"/>
  <c r="W530" i="7"/>
  <c r="V530" i="7"/>
  <c r="U530" i="7"/>
  <c r="T530" i="7"/>
  <c r="S530" i="7"/>
  <c r="R530" i="7"/>
  <c r="Q530" i="7"/>
  <c r="P530" i="7"/>
  <c r="O530" i="7"/>
  <c r="N530" i="7"/>
  <c r="M530" i="7"/>
  <c r="L530" i="7"/>
  <c r="K530" i="7"/>
  <c r="J530" i="7"/>
  <c r="Z530" i="7" s="1"/>
  <c r="X529" i="7"/>
  <c r="W529" i="7"/>
  <c r="V529" i="7"/>
  <c r="U529" i="7"/>
  <c r="T529" i="7"/>
  <c r="S529" i="7"/>
  <c r="R529" i="7"/>
  <c r="Q529" i="7"/>
  <c r="P529" i="7"/>
  <c r="O529" i="7"/>
  <c r="N529" i="7"/>
  <c r="M529" i="7"/>
  <c r="L529" i="7"/>
  <c r="K529" i="7"/>
  <c r="J529" i="7"/>
  <c r="Z529" i="7" s="1"/>
  <c r="X528" i="7"/>
  <c r="W528" i="7"/>
  <c r="V528" i="7"/>
  <c r="U528" i="7"/>
  <c r="T528" i="7"/>
  <c r="S528" i="7"/>
  <c r="R528" i="7"/>
  <c r="Q528" i="7"/>
  <c r="P528" i="7"/>
  <c r="O528" i="7"/>
  <c r="N528" i="7"/>
  <c r="M528" i="7"/>
  <c r="L528" i="7"/>
  <c r="K528" i="7"/>
  <c r="J528" i="7"/>
  <c r="Z528" i="7" s="1"/>
  <c r="X527" i="7"/>
  <c r="W527" i="7"/>
  <c r="V527" i="7"/>
  <c r="U527" i="7"/>
  <c r="T527" i="7"/>
  <c r="S527" i="7"/>
  <c r="R527" i="7"/>
  <c r="Q527" i="7"/>
  <c r="P527" i="7"/>
  <c r="O527" i="7"/>
  <c r="N527" i="7"/>
  <c r="M527" i="7"/>
  <c r="L527" i="7"/>
  <c r="K527" i="7"/>
  <c r="J527" i="7"/>
  <c r="Z527" i="7" s="1"/>
  <c r="X526" i="7"/>
  <c r="W526" i="7"/>
  <c r="V526" i="7"/>
  <c r="U526" i="7"/>
  <c r="T526" i="7"/>
  <c r="S526" i="7"/>
  <c r="R526" i="7"/>
  <c r="Q526" i="7"/>
  <c r="P526" i="7"/>
  <c r="O526" i="7"/>
  <c r="N526" i="7"/>
  <c r="M526" i="7"/>
  <c r="L526" i="7"/>
  <c r="K526" i="7"/>
  <c r="J526" i="7"/>
  <c r="Z526" i="7" s="1"/>
  <c r="X525" i="7"/>
  <c r="W525" i="7"/>
  <c r="V525" i="7"/>
  <c r="U525" i="7"/>
  <c r="T525" i="7"/>
  <c r="S525" i="7"/>
  <c r="R525" i="7"/>
  <c r="Q525" i="7"/>
  <c r="P525" i="7"/>
  <c r="O525" i="7"/>
  <c r="N525" i="7"/>
  <c r="M525" i="7"/>
  <c r="L525" i="7"/>
  <c r="K525" i="7"/>
  <c r="J525" i="7"/>
  <c r="Z525" i="7" s="1"/>
  <c r="X524" i="7"/>
  <c r="W524" i="7"/>
  <c r="V524" i="7"/>
  <c r="U524" i="7"/>
  <c r="T524" i="7"/>
  <c r="S524" i="7"/>
  <c r="R524" i="7"/>
  <c r="Q524" i="7"/>
  <c r="P524" i="7"/>
  <c r="O524" i="7"/>
  <c r="N524" i="7"/>
  <c r="M524" i="7"/>
  <c r="L524" i="7"/>
  <c r="K524" i="7"/>
  <c r="J524" i="7"/>
  <c r="Z524" i="7" s="1"/>
  <c r="X523" i="7"/>
  <c r="W523" i="7"/>
  <c r="V523" i="7"/>
  <c r="U523" i="7"/>
  <c r="T523" i="7"/>
  <c r="S523" i="7"/>
  <c r="R523" i="7"/>
  <c r="Q523" i="7"/>
  <c r="P523" i="7"/>
  <c r="O523" i="7"/>
  <c r="N523" i="7"/>
  <c r="M523" i="7"/>
  <c r="L523" i="7"/>
  <c r="K523" i="7"/>
  <c r="J523" i="7"/>
  <c r="Z523" i="7" s="1"/>
  <c r="X522" i="7"/>
  <c r="W522" i="7"/>
  <c r="V522" i="7"/>
  <c r="U522" i="7"/>
  <c r="T522" i="7"/>
  <c r="S522" i="7"/>
  <c r="R522" i="7"/>
  <c r="Q522" i="7"/>
  <c r="P522" i="7"/>
  <c r="O522" i="7"/>
  <c r="N522" i="7"/>
  <c r="M522" i="7"/>
  <c r="L522" i="7"/>
  <c r="K522" i="7"/>
  <c r="J522" i="7"/>
  <c r="Z522" i="7" s="1"/>
  <c r="X521" i="7"/>
  <c r="W521" i="7"/>
  <c r="V521" i="7"/>
  <c r="U521" i="7"/>
  <c r="T521" i="7"/>
  <c r="S521" i="7"/>
  <c r="R521" i="7"/>
  <c r="Q521" i="7"/>
  <c r="P521" i="7"/>
  <c r="O521" i="7"/>
  <c r="N521" i="7"/>
  <c r="M521" i="7"/>
  <c r="L521" i="7"/>
  <c r="K521" i="7"/>
  <c r="J521" i="7"/>
  <c r="Z521" i="7" s="1"/>
  <c r="X520" i="7"/>
  <c r="W520" i="7"/>
  <c r="V520" i="7"/>
  <c r="U520" i="7"/>
  <c r="T520" i="7"/>
  <c r="S520" i="7"/>
  <c r="R520" i="7"/>
  <c r="Q520" i="7"/>
  <c r="P520" i="7"/>
  <c r="O520" i="7"/>
  <c r="N520" i="7"/>
  <c r="M520" i="7"/>
  <c r="L520" i="7"/>
  <c r="K520" i="7"/>
  <c r="J520" i="7"/>
  <c r="Z520" i="7" s="1"/>
  <c r="X519" i="7"/>
  <c r="W519" i="7"/>
  <c r="V519" i="7"/>
  <c r="U519" i="7"/>
  <c r="T519" i="7"/>
  <c r="S519" i="7"/>
  <c r="R519" i="7"/>
  <c r="Q519" i="7"/>
  <c r="P519" i="7"/>
  <c r="O519" i="7"/>
  <c r="N519" i="7"/>
  <c r="M519" i="7"/>
  <c r="L519" i="7"/>
  <c r="K519" i="7"/>
  <c r="J519" i="7"/>
  <c r="Z519" i="7" s="1"/>
  <c r="X518" i="7"/>
  <c r="W518" i="7"/>
  <c r="V518" i="7"/>
  <c r="U518" i="7"/>
  <c r="T518" i="7"/>
  <c r="S518" i="7"/>
  <c r="R518" i="7"/>
  <c r="Q518" i="7"/>
  <c r="P518" i="7"/>
  <c r="O518" i="7"/>
  <c r="N518" i="7"/>
  <c r="M518" i="7"/>
  <c r="L518" i="7"/>
  <c r="K518" i="7"/>
  <c r="J518" i="7"/>
  <c r="Z518" i="7" s="1"/>
  <c r="X517" i="7"/>
  <c r="W517" i="7"/>
  <c r="V517" i="7"/>
  <c r="U517" i="7"/>
  <c r="T517" i="7"/>
  <c r="S517" i="7"/>
  <c r="R517" i="7"/>
  <c r="Q517" i="7"/>
  <c r="P517" i="7"/>
  <c r="O517" i="7"/>
  <c r="N517" i="7"/>
  <c r="M517" i="7"/>
  <c r="L517" i="7"/>
  <c r="K517" i="7"/>
  <c r="J517" i="7"/>
  <c r="Z517" i="7" s="1"/>
  <c r="X516" i="7"/>
  <c r="W516" i="7"/>
  <c r="V516" i="7"/>
  <c r="U516" i="7"/>
  <c r="T516" i="7"/>
  <c r="S516" i="7"/>
  <c r="R516" i="7"/>
  <c r="Q516" i="7"/>
  <c r="P516" i="7"/>
  <c r="O516" i="7"/>
  <c r="N516" i="7"/>
  <c r="M516" i="7"/>
  <c r="L516" i="7"/>
  <c r="K516" i="7"/>
  <c r="J516" i="7"/>
  <c r="Z516" i="7" s="1"/>
  <c r="X515" i="7"/>
  <c r="W515" i="7"/>
  <c r="V515" i="7"/>
  <c r="U515" i="7"/>
  <c r="T515" i="7"/>
  <c r="S515" i="7"/>
  <c r="R515" i="7"/>
  <c r="Q515" i="7"/>
  <c r="P515" i="7"/>
  <c r="O515" i="7"/>
  <c r="N515" i="7"/>
  <c r="M515" i="7"/>
  <c r="L515" i="7"/>
  <c r="K515" i="7"/>
  <c r="J515" i="7"/>
  <c r="Z515" i="7" s="1"/>
  <c r="X514" i="7"/>
  <c r="W514" i="7"/>
  <c r="V514" i="7"/>
  <c r="U514" i="7"/>
  <c r="T514" i="7"/>
  <c r="S514" i="7"/>
  <c r="R514" i="7"/>
  <c r="Q514" i="7"/>
  <c r="P514" i="7"/>
  <c r="O514" i="7"/>
  <c r="N514" i="7"/>
  <c r="M514" i="7"/>
  <c r="L514" i="7"/>
  <c r="K514" i="7"/>
  <c r="J514" i="7"/>
  <c r="Z514" i="7" s="1"/>
  <c r="X513" i="7"/>
  <c r="W513" i="7"/>
  <c r="V513" i="7"/>
  <c r="U513" i="7"/>
  <c r="T513" i="7"/>
  <c r="S513" i="7"/>
  <c r="R513" i="7"/>
  <c r="Q513" i="7"/>
  <c r="P513" i="7"/>
  <c r="O513" i="7"/>
  <c r="N513" i="7"/>
  <c r="M513" i="7"/>
  <c r="L513" i="7"/>
  <c r="K513" i="7"/>
  <c r="J513" i="7"/>
  <c r="Z513" i="7" s="1"/>
  <c r="X512" i="7"/>
  <c r="W512" i="7"/>
  <c r="V512" i="7"/>
  <c r="U512" i="7"/>
  <c r="T512" i="7"/>
  <c r="S512" i="7"/>
  <c r="R512" i="7"/>
  <c r="Q512" i="7"/>
  <c r="P512" i="7"/>
  <c r="O512" i="7"/>
  <c r="N512" i="7"/>
  <c r="M512" i="7"/>
  <c r="L512" i="7"/>
  <c r="K512" i="7"/>
  <c r="J512" i="7"/>
  <c r="Z512" i="7" s="1"/>
  <c r="X511" i="7"/>
  <c r="W511" i="7"/>
  <c r="V511" i="7"/>
  <c r="U511" i="7"/>
  <c r="T511" i="7"/>
  <c r="S511" i="7"/>
  <c r="R511" i="7"/>
  <c r="Q511" i="7"/>
  <c r="P511" i="7"/>
  <c r="O511" i="7"/>
  <c r="N511" i="7"/>
  <c r="M511" i="7"/>
  <c r="L511" i="7"/>
  <c r="K511" i="7"/>
  <c r="J511" i="7"/>
  <c r="Z511" i="7" s="1"/>
  <c r="X510" i="7"/>
  <c r="W510" i="7"/>
  <c r="V510" i="7"/>
  <c r="U510" i="7"/>
  <c r="T510" i="7"/>
  <c r="S510" i="7"/>
  <c r="R510" i="7"/>
  <c r="Q510" i="7"/>
  <c r="P510" i="7"/>
  <c r="O510" i="7"/>
  <c r="N510" i="7"/>
  <c r="M510" i="7"/>
  <c r="L510" i="7"/>
  <c r="K510" i="7"/>
  <c r="J510" i="7"/>
  <c r="Z510" i="7" s="1"/>
  <c r="X509" i="7"/>
  <c r="W509" i="7"/>
  <c r="V509" i="7"/>
  <c r="U509" i="7"/>
  <c r="T509" i="7"/>
  <c r="S509" i="7"/>
  <c r="R509" i="7"/>
  <c r="Q509" i="7"/>
  <c r="P509" i="7"/>
  <c r="O509" i="7"/>
  <c r="N509" i="7"/>
  <c r="M509" i="7"/>
  <c r="L509" i="7"/>
  <c r="K509" i="7"/>
  <c r="J509" i="7"/>
  <c r="Z509" i="7" s="1"/>
  <c r="X508" i="7"/>
  <c r="W508" i="7"/>
  <c r="V508" i="7"/>
  <c r="U508" i="7"/>
  <c r="T508" i="7"/>
  <c r="S508" i="7"/>
  <c r="R508" i="7"/>
  <c r="Q508" i="7"/>
  <c r="P508" i="7"/>
  <c r="O508" i="7"/>
  <c r="N508" i="7"/>
  <c r="M508" i="7"/>
  <c r="L508" i="7"/>
  <c r="K508" i="7"/>
  <c r="J508" i="7"/>
  <c r="Z508" i="7" s="1"/>
  <c r="X507" i="7"/>
  <c r="W507" i="7"/>
  <c r="V507" i="7"/>
  <c r="U507" i="7"/>
  <c r="T507" i="7"/>
  <c r="S507" i="7"/>
  <c r="R507" i="7"/>
  <c r="Q507" i="7"/>
  <c r="P507" i="7"/>
  <c r="O507" i="7"/>
  <c r="N507" i="7"/>
  <c r="M507" i="7"/>
  <c r="L507" i="7"/>
  <c r="K507" i="7"/>
  <c r="J507" i="7"/>
  <c r="Z507" i="7" s="1"/>
  <c r="X506" i="7"/>
  <c r="W506" i="7"/>
  <c r="V506" i="7"/>
  <c r="U506" i="7"/>
  <c r="T506" i="7"/>
  <c r="S506" i="7"/>
  <c r="R506" i="7"/>
  <c r="Q506" i="7"/>
  <c r="P506" i="7"/>
  <c r="O506" i="7"/>
  <c r="N506" i="7"/>
  <c r="M506" i="7"/>
  <c r="L506" i="7"/>
  <c r="K506" i="7"/>
  <c r="J506" i="7"/>
  <c r="Z506" i="7" s="1"/>
  <c r="X505" i="7"/>
  <c r="W505" i="7"/>
  <c r="V505" i="7"/>
  <c r="U505" i="7"/>
  <c r="T505" i="7"/>
  <c r="S505" i="7"/>
  <c r="R505" i="7"/>
  <c r="Q505" i="7"/>
  <c r="P505" i="7"/>
  <c r="O505" i="7"/>
  <c r="N505" i="7"/>
  <c r="M505" i="7"/>
  <c r="L505" i="7"/>
  <c r="K505" i="7"/>
  <c r="J505" i="7"/>
  <c r="Z505" i="7" s="1"/>
  <c r="X504" i="7"/>
  <c r="W504" i="7"/>
  <c r="V504" i="7"/>
  <c r="U504" i="7"/>
  <c r="T504" i="7"/>
  <c r="S504" i="7"/>
  <c r="R504" i="7"/>
  <c r="Q504" i="7"/>
  <c r="P504" i="7"/>
  <c r="O504" i="7"/>
  <c r="N504" i="7"/>
  <c r="M504" i="7"/>
  <c r="L504" i="7"/>
  <c r="K504" i="7"/>
  <c r="J504" i="7"/>
  <c r="Z504" i="7" s="1"/>
  <c r="X503" i="7"/>
  <c r="W503" i="7"/>
  <c r="V503" i="7"/>
  <c r="U503" i="7"/>
  <c r="T503" i="7"/>
  <c r="S503" i="7"/>
  <c r="R503" i="7"/>
  <c r="Q503" i="7"/>
  <c r="P503" i="7"/>
  <c r="O503" i="7"/>
  <c r="N503" i="7"/>
  <c r="M503" i="7"/>
  <c r="L503" i="7"/>
  <c r="K503" i="7"/>
  <c r="J503" i="7"/>
  <c r="Z503" i="7" s="1"/>
  <c r="X502" i="7"/>
  <c r="W502" i="7"/>
  <c r="V502" i="7"/>
  <c r="U502" i="7"/>
  <c r="T502" i="7"/>
  <c r="S502" i="7"/>
  <c r="R502" i="7"/>
  <c r="Q502" i="7"/>
  <c r="P502" i="7"/>
  <c r="O502" i="7"/>
  <c r="N502" i="7"/>
  <c r="M502" i="7"/>
  <c r="L502" i="7"/>
  <c r="K502" i="7"/>
  <c r="J502" i="7"/>
  <c r="Z502" i="7" s="1"/>
  <c r="X501" i="7"/>
  <c r="W501" i="7"/>
  <c r="V501" i="7"/>
  <c r="U501" i="7"/>
  <c r="T501" i="7"/>
  <c r="S501" i="7"/>
  <c r="R501" i="7"/>
  <c r="Q501" i="7"/>
  <c r="P501" i="7"/>
  <c r="O501" i="7"/>
  <c r="N501" i="7"/>
  <c r="M501" i="7"/>
  <c r="L501" i="7"/>
  <c r="K501" i="7"/>
  <c r="J501" i="7"/>
  <c r="Z501" i="7" s="1"/>
  <c r="X500" i="7"/>
  <c r="W500" i="7"/>
  <c r="V500" i="7"/>
  <c r="U500" i="7"/>
  <c r="T500" i="7"/>
  <c r="S500" i="7"/>
  <c r="R500" i="7"/>
  <c r="Q500" i="7"/>
  <c r="P500" i="7"/>
  <c r="O500" i="7"/>
  <c r="N500" i="7"/>
  <c r="M500" i="7"/>
  <c r="L500" i="7"/>
  <c r="K500" i="7"/>
  <c r="J500" i="7"/>
  <c r="Z500" i="7" s="1"/>
  <c r="X499" i="7"/>
  <c r="W499" i="7"/>
  <c r="V499" i="7"/>
  <c r="U499" i="7"/>
  <c r="T499" i="7"/>
  <c r="S499" i="7"/>
  <c r="R499" i="7"/>
  <c r="Q499" i="7"/>
  <c r="P499" i="7"/>
  <c r="O499" i="7"/>
  <c r="N499" i="7"/>
  <c r="M499" i="7"/>
  <c r="L499" i="7"/>
  <c r="K499" i="7"/>
  <c r="J499" i="7"/>
  <c r="Z499" i="7" s="1"/>
  <c r="X498" i="7"/>
  <c r="W498" i="7"/>
  <c r="V498" i="7"/>
  <c r="U498" i="7"/>
  <c r="T498" i="7"/>
  <c r="S498" i="7"/>
  <c r="R498" i="7"/>
  <c r="Q498" i="7"/>
  <c r="P498" i="7"/>
  <c r="O498" i="7"/>
  <c r="N498" i="7"/>
  <c r="M498" i="7"/>
  <c r="L498" i="7"/>
  <c r="K498" i="7"/>
  <c r="J498" i="7"/>
  <c r="Z498" i="7" s="1"/>
  <c r="X497" i="7"/>
  <c r="W497" i="7"/>
  <c r="V497" i="7"/>
  <c r="U497" i="7"/>
  <c r="T497" i="7"/>
  <c r="S497" i="7"/>
  <c r="R497" i="7"/>
  <c r="Q497" i="7"/>
  <c r="P497" i="7"/>
  <c r="O497" i="7"/>
  <c r="N497" i="7"/>
  <c r="M497" i="7"/>
  <c r="L497" i="7"/>
  <c r="K497" i="7"/>
  <c r="J497" i="7"/>
  <c r="Z497" i="7" s="1"/>
  <c r="X496" i="7"/>
  <c r="W496" i="7"/>
  <c r="V496" i="7"/>
  <c r="U496" i="7"/>
  <c r="T496" i="7"/>
  <c r="S496" i="7"/>
  <c r="R496" i="7"/>
  <c r="Q496" i="7"/>
  <c r="P496" i="7"/>
  <c r="O496" i="7"/>
  <c r="N496" i="7"/>
  <c r="M496" i="7"/>
  <c r="L496" i="7"/>
  <c r="K496" i="7"/>
  <c r="J496" i="7"/>
  <c r="Z496" i="7" s="1"/>
  <c r="X495" i="7"/>
  <c r="W495" i="7"/>
  <c r="V495" i="7"/>
  <c r="U495" i="7"/>
  <c r="T495" i="7"/>
  <c r="S495" i="7"/>
  <c r="R495" i="7"/>
  <c r="Q495" i="7"/>
  <c r="P495" i="7"/>
  <c r="O495" i="7"/>
  <c r="N495" i="7"/>
  <c r="M495" i="7"/>
  <c r="L495" i="7"/>
  <c r="K495" i="7"/>
  <c r="J495" i="7"/>
  <c r="Z495" i="7" s="1"/>
  <c r="X494" i="7"/>
  <c r="W494" i="7"/>
  <c r="V494" i="7"/>
  <c r="U494" i="7"/>
  <c r="T494" i="7"/>
  <c r="S494" i="7"/>
  <c r="R494" i="7"/>
  <c r="Q494" i="7"/>
  <c r="P494" i="7"/>
  <c r="O494" i="7"/>
  <c r="N494" i="7"/>
  <c r="M494" i="7"/>
  <c r="L494" i="7"/>
  <c r="K494" i="7"/>
  <c r="J494" i="7"/>
  <c r="Z494" i="7" s="1"/>
  <c r="X493" i="7"/>
  <c r="W493" i="7"/>
  <c r="V493" i="7"/>
  <c r="U493" i="7"/>
  <c r="T493" i="7"/>
  <c r="S493" i="7"/>
  <c r="R493" i="7"/>
  <c r="Q493" i="7"/>
  <c r="P493" i="7"/>
  <c r="O493" i="7"/>
  <c r="N493" i="7"/>
  <c r="M493" i="7"/>
  <c r="L493" i="7"/>
  <c r="K493" i="7"/>
  <c r="J493" i="7"/>
  <c r="Z493" i="7" s="1"/>
  <c r="X492" i="7"/>
  <c r="W492" i="7"/>
  <c r="V492" i="7"/>
  <c r="U492" i="7"/>
  <c r="T492" i="7"/>
  <c r="S492" i="7"/>
  <c r="R492" i="7"/>
  <c r="Q492" i="7"/>
  <c r="P492" i="7"/>
  <c r="O492" i="7"/>
  <c r="N492" i="7"/>
  <c r="M492" i="7"/>
  <c r="L492" i="7"/>
  <c r="K492" i="7"/>
  <c r="J492" i="7"/>
  <c r="Z492" i="7" s="1"/>
  <c r="X491" i="7"/>
  <c r="W491" i="7"/>
  <c r="V491" i="7"/>
  <c r="U491" i="7"/>
  <c r="T491" i="7"/>
  <c r="S491" i="7"/>
  <c r="R491" i="7"/>
  <c r="Q491" i="7"/>
  <c r="P491" i="7"/>
  <c r="O491" i="7"/>
  <c r="N491" i="7"/>
  <c r="M491" i="7"/>
  <c r="L491" i="7"/>
  <c r="K491" i="7"/>
  <c r="J491" i="7"/>
  <c r="Z491" i="7" s="1"/>
  <c r="X490" i="7"/>
  <c r="W490" i="7"/>
  <c r="V490" i="7"/>
  <c r="U490" i="7"/>
  <c r="T490" i="7"/>
  <c r="S490" i="7"/>
  <c r="R490" i="7"/>
  <c r="Q490" i="7"/>
  <c r="P490" i="7"/>
  <c r="O490" i="7"/>
  <c r="N490" i="7"/>
  <c r="M490" i="7"/>
  <c r="L490" i="7"/>
  <c r="K490" i="7"/>
  <c r="J490" i="7"/>
  <c r="Z490" i="7" s="1"/>
  <c r="X489" i="7"/>
  <c r="W489" i="7"/>
  <c r="V489" i="7"/>
  <c r="U489" i="7"/>
  <c r="T489" i="7"/>
  <c r="S489" i="7"/>
  <c r="R489" i="7"/>
  <c r="Q489" i="7"/>
  <c r="P489" i="7"/>
  <c r="O489" i="7"/>
  <c r="N489" i="7"/>
  <c r="M489" i="7"/>
  <c r="L489" i="7"/>
  <c r="K489" i="7"/>
  <c r="J489" i="7"/>
  <c r="Z489" i="7" s="1"/>
  <c r="X488" i="7"/>
  <c r="W488" i="7"/>
  <c r="V488" i="7"/>
  <c r="U488" i="7"/>
  <c r="T488" i="7"/>
  <c r="S488" i="7"/>
  <c r="R488" i="7"/>
  <c r="Q488" i="7"/>
  <c r="P488" i="7"/>
  <c r="O488" i="7"/>
  <c r="N488" i="7"/>
  <c r="M488" i="7"/>
  <c r="L488" i="7"/>
  <c r="K488" i="7"/>
  <c r="J488" i="7"/>
  <c r="Z488" i="7" s="1"/>
  <c r="X487" i="7"/>
  <c r="W487" i="7"/>
  <c r="V487" i="7"/>
  <c r="U487" i="7"/>
  <c r="T487" i="7"/>
  <c r="S487" i="7"/>
  <c r="R487" i="7"/>
  <c r="Q487" i="7"/>
  <c r="P487" i="7"/>
  <c r="O487" i="7"/>
  <c r="N487" i="7"/>
  <c r="M487" i="7"/>
  <c r="L487" i="7"/>
  <c r="K487" i="7"/>
  <c r="J487" i="7"/>
  <c r="Z487" i="7" s="1"/>
  <c r="X486" i="7"/>
  <c r="W486" i="7"/>
  <c r="V486" i="7"/>
  <c r="U486" i="7"/>
  <c r="T486" i="7"/>
  <c r="S486" i="7"/>
  <c r="R486" i="7"/>
  <c r="Q486" i="7"/>
  <c r="P486" i="7"/>
  <c r="O486" i="7"/>
  <c r="N486" i="7"/>
  <c r="M486" i="7"/>
  <c r="L486" i="7"/>
  <c r="K486" i="7"/>
  <c r="J486" i="7"/>
  <c r="Z486" i="7" s="1"/>
  <c r="X485" i="7"/>
  <c r="W485" i="7"/>
  <c r="V485" i="7"/>
  <c r="U485" i="7"/>
  <c r="T485" i="7"/>
  <c r="S485" i="7"/>
  <c r="R485" i="7"/>
  <c r="Q485" i="7"/>
  <c r="P485" i="7"/>
  <c r="O485" i="7"/>
  <c r="N485" i="7"/>
  <c r="M485" i="7"/>
  <c r="L485" i="7"/>
  <c r="K485" i="7"/>
  <c r="J485" i="7"/>
  <c r="Z485" i="7" s="1"/>
  <c r="X484" i="7"/>
  <c r="W484" i="7"/>
  <c r="V484" i="7"/>
  <c r="U484" i="7"/>
  <c r="T484" i="7"/>
  <c r="S484" i="7"/>
  <c r="R484" i="7"/>
  <c r="Q484" i="7"/>
  <c r="P484" i="7"/>
  <c r="O484" i="7"/>
  <c r="N484" i="7"/>
  <c r="M484" i="7"/>
  <c r="L484" i="7"/>
  <c r="K484" i="7"/>
  <c r="J484" i="7"/>
  <c r="Z484" i="7" s="1"/>
  <c r="X483" i="7"/>
  <c r="W483" i="7"/>
  <c r="V483" i="7"/>
  <c r="U483" i="7"/>
  <c r="T483" i="7"/>
  <c r="S483" i="7"/>
  <c r="R483" i="7"/>
  <c r="Q483" i="7"/>
  <c r="P483" i="7"/>
  <c r="O483" i="7"/>
  <c r="N483" i="7"/>
  <c r="M483" i="7"/>
  <c r="L483" i="7"/>
  <c r="K483" i="7"/>
  <c r="J483" i="7"/>
  <c r="Z483" i="7" s="1"/>
  <c r="X482" i="7"/>
  <c r="W482" i="7"/>
  <c r="V482" i="7"/>
  <c r="U482" i="7"/>
  <c r="T482" i="7"/>
  <c r="S482" i="7"/>
  <c r="R482" i="7"/>
  <c r="Q482" i="7"/>
  <c r="P482" i="7"/>
  <c r="O482" i="7"/>
  <c r="N482" i="7"/>
  <c r="M482" i="7"/>
  <c r="L482" i="7"/>
  <c r="K482" i="7"/>
  <c r="J482" i="7"/>
  <c r="Z482" i="7" s="1"/>
  <c r="X481" i="7"/>
  <c r="W481" i="7"/>
  <c r="V481" i="7"/>
  <c r="U481" i="7"/>
  <c r="T481" i="7"/>
  <c r="S481" i="7"/>
  <c r="R481" i="7"/>
  <c r="Q481" i="7"/>
  <c r="P481" i="7"/>
  <c r="O481" i="7"/>
  <c r="N481" i="7"/>
  <c r="M481" i="7"/>
  <c r="L481" i="7"/>
  <c r="K481" i="7"/>
  <c r="J481" i="7"/>
  <c r="Z481" i="7" s="1"/>
  <c r="X480" i="7"/>
  <c r="W480" i="7"/>
  <c r="V480" i="7"/>
  <c r="U480" i="7"/>
  <c r="T480" i="7"/>
  <c r="S480" i="7"/>
  <c r="R480" i="7"/>
  <c r="Q480" i="7"/>
  <c r="P480" i="7"/>
  <c r="O480" i="7"/>
  <c r="N480" i="7"/>
  <c r="M480" i="7"/>
  <c r="L480" i="7"/>
  <c r="K480" i="7"/>
  <c r="J480" i="7"/>
  <c r="Z480" i="7" s="1"/>
  <c r="X479" i="7"/>
  <c r="W479" i="7"/>
  <c r="V479" i="7"/>
  <c r="U479" i="7"/>
  <c r="T479" i="7"/>
  <c r="S479" i="7"/>
  <c r="R479" i="7"/>
  <c r="Q479" i="7"/>
  <c r="P479" i="7"/>
  <c r="O479" i="7"/>
  <c r="N479" i="7"/>
  <c r="M479" i="7"/>
  <c r="L479" i="7"/>
  <c r="K479" i="7"/>
  <c r="J479" i="7"/>
  <c r="Z479" i="7" s="1"/>
  <c r="X478" i="7"/>
  <c r="W478" i="7"/>
  <c r="V478" i="7"/>
  <c r="U478" i="7"/>
  <c r="T478" i="7"/>
  <c r="S478" i="7"/>
  <c r="R478" i="7"/>
  <c r="Q478" i="7"/>
  <c r="P478" i="7"/>
  <c r="O478" i="7"/>
  <c r="N478" i="7"/>
  <c r="M478" i="7"/>
  <c r="L478" i="7"/>
  <c r="K478" i="7"/>
  <c r="J478" i="7"/>
  <c r="Z478" i="7" s="1"/>
  <c r="X477" i="7"/>
  <c r="W477" i="7"/>
  <c r="V477" i="7"/>
  <c r="U477" i="7"/>
  <c r="T477" i="7"/>
  <c r="S477" i="7"/>
  <c r="R477" i="7"/>
  <c r="Q477" i="7"/>
  <c r="P477" i="7"/>
  <c r="O477" i="7"/>
  <c r="N477" i="7"/>
  <c r="M477" i="7"/>
  <c r="L477" i="7"/>
  <c r="K477" i="7"/>
  <c r="J477" i="7"/>
  <c r="Z477" i="7" s="1"/>
  <c r="X476" i="7"/>
  <c r="W476" i="7"/>
  <c r="V476" i="7"/>
  <c r="U476" i="7"/>
  <c r="T476" i="7"/>
  <c r="S476" i="7"/>
  <c r="R476" i="7"/>
  <c r="Q476" i="7"/>
  <c r="P476" i="7"/>
  <c r="O476" i="7"/>
  <c r="N476" i="7"/>
  <c r="M476" i="7"/>
  <c r="L476" i="7"/>
  <c r="K476" i="7"/>
  <c r="J476" i="7"/>
  <c r="Z476" i="7" s="1"/>
  <c r="X475" i="7"/>
  <c r="W475" i="7"/>
  <c r="V475" i="7"/>
  <c r="U475" i="7"/>
  <c r="T475" i="7"/>
  <c r="S475" i="7"/>
  <c r="R475" i="7"/>
  <c r="Q475" i="7"/>
  <c r="P475" i="7"/>
  <c r="O475" i="7"/>
  <c r="N475" i="7"/>
  <c r="M475" i="7"/>
  <c r="L475" i="7"/>
  <c r="K475" i="7"/>
  <c r="J475" i="7"/>
  <c r="Z475" i="7" s="1"/>
  <c r="X474" i="7"/>
  <c r="W474" i="7"/>
  <c r="V474" i="7"/>
  <c r="U474" i="7"/>
  <c r="T474" i="7"/>
  <c r="S474" i="7"/>
  <c r="R474" i="7"/>
  <c r="Q474" i="7"/>
  <c r="P474" i="7"/>
  <c r="O474" i="7"/>
  <c r="N474" i="7"/>
  <c r="M474" i="7"/>
  <c r="L474" i="7"/>
  <c r="K474" i="7"/>
  <c r="J474" i="7"/>
  <c r="Z474" i="7" s="1"/>
  <c r="X473" i="7"/>
  <c r="W473" i="7"/>
  <c r="V473" i="7"/>
  <c r="U473" i="7"/>
  <c r="T473" i="7"/>
  <c r="S473" i="7"/>
  <c r="R473" i="7"/>
  <c r="Q473" i="7"/>
  <c r="P473" i="7"/>
  <c r="O473" i="7"/>
  <c r="N473" i="7"/>
  <c r="M473" i="7"/>
  <c r="L473" i="7"/>
  <c r="K473" i="7"/>
  <c r="J473" i="7"/>
  <c r="Z473" i="7" s="1"/>
  <c r="X472" i="7"/>
  <c r="W472" i="7"/>
  <c r="V472" i="7"/>
  <c r="U472" i="7"/>
  <c r="T472" i="7"/>
  <c r="S472" i="7"/>
  <c r="R472" i="7"/>
  <c r="Q472" i="7"/>
  <c r="P472" i="7"/>
  <c r="O472" i="7"/>
  <c r="N472" i="7"/>
  <c r="M472" i="7"/>
  <c r="L472" i="7"/>
  <c r="K472" i="7"/>
  <c r="J472" i="7"/>
  <c r="Z472" i="7" s="1"/>
  <c r="X471" i="7"/>
  <c r="W471" i="7"/>
  <c r="V471" i="7"/>
  <c r="U471" i="7"/>
  <c r="T471" i="7"/>
  <c r="S471" i="7"/>
  <c r="R471" i="7"/>
  <c r="Q471" i="7"/>
  <c r="P471" i="7"/>
  <c r="O471" i="7"/>
  <c r="N471" i="7"/>
  <c r="M471" i="7"/>
  <c r="L471" i="7"/>
  <c r="K471" i="7"/>
  <c r="J471" i="7"/>
  <c r="Z471" i="7" s="1"/>
  <c r="X470" i="7"/>
  <c r="W470" i="7"/>
  <c r="V470" i="7"/>
  <c r="U470" i="7"/>
  <c r="T470" i="7"/>
  <c r="S470" i="7"/>
  <c r="R470" i="7"/>
  <c r="Q470" i="7"/>
  <c r="P470" i="7"/>
  <c r="O470" i="7"/>
  <c r="N470" i="7"/>
  <c r="M470" i="7"/>
  <c r="L470" i="7"/>
  <c r="K470" i="7"/>
  <c r="J470" i="7"/>
  <c r="Z470" i="7" s="1"/>
  <c r="X469" i="7"/>
  <c r="W469" i="7"/>
  <c r="V469" i="7"/>
  <c r="U469" i="7"/>
  <c r="T469" i="7"/>
  <c r="S469" i="7"/>
  <c r="R469" i="7"/>
  <c r="Q469" i="7"/>
  <c r="P469" i="7"/>
  <c r="O469" i="7"/>
  <c r="N469" i="7"/>
  <c r="M469" i="7"/>
  <c r="L469" i="7"/>
  <c r="K469" i="7"/>
  <c r="J469" i="7"/>
  <c r="Z469" i="7" s="1"/>
  <c r="X468" i="7"/>
  <c r="W468" i="7"/>
  <c r="V468" i="7"/>
  <c r="U468" i="7"/>
  <c r="T468" i="7"/>
  <c r="S468" i="7"/>
  <c r="R468" i="7"/>
  <c r="Q468" i="7"/>
  <c r="P468" i="7"/>
  <c r="O468" i="7"/>
  <c r="N468" i="7"/>
  <c r="M468" i="7"/>
  <c r="L468" i="7"/>
  <c r="K468" i="7"/>
  <c r="J468" i="7"/>
  <c r="Z468" i="7" s="1"/>
  <c r="X467" i="7"/>
  <c r="W467" i="7"/>
  <c r="V467" i="7"/>
  <c r="U467" i="7"/>
  <c r="T467" i="7"/>
  <c r="S467" i="7"/>
  <c r="R467" i="7"/>
  <c r="Q467" i="7"/>
  <c r="P467" i="7"/>
  <c r="O467" i="7"/>
  <c r="N467" i="7"/>
  <c r="M467" i="7"/>
  <c r="L467" i="7"/>
  <c r="K467" i="7"/>
  <c r="J467" i="7"/>
  <c r="Z467" i="7" s="1"/>
  <c r="X466" i="7"/>
  <c r="W466" i="7"/>
  <c r="V466" i="7"/>
  <c r="U466" i="7"/>
  <c r="T466" i="7"/>
  <c r="S466" i="7"/>
  <c r="R466" i="7"/>
  <c r="Q466" i="7"/>
  <c r="P466" i="7"/>
  <c r="O466" i="7"/>
  <c r="N466" i="7"/>
  <c r="M466" i="7"/>
  <c r="L466" i="7"/>
  <c r="K466" i="7"/>
  <c r="J466" i="7"/>
  <c r="Z466" i="7" s="1"/>
  <c r="X465" i="7"/>
  <c r="W465" i="7"/>
  <c r="V465" i="7"/>
  <c r="U465" i="7"/>
  <c r="T465" i="7"/>
  <c r="S465" i="7"/>
  <c r="R465" i="7"/>
  <c r="Q465" i="7"/>
  <c r="P465" i="7"/>
  <c r="O465" i="7"/>
  <c r="N465" i="7"/>
  <c r="M465" i="7"/>
  <c r="L465" i="7"/>
  <c r="K465" i="7"/>
  <c r="J465" i="7"/>
  <c r="Z465" i="7" s="1"/>
  <c r="X464" i="7"/>
  <c r="W464" i="7"/>
  <c r="V464" i="7"/>
  <c r="U464" i="7"/>
  <c r="T464" i="7"/>
  <c r="S464" i="7"/>
  <c r="R464" i="7"/>
  <c r="Q464" i="7"/>
  <c r="P464" i="7"/>
  <c r="O464" i="7"/>
  <c r="N464" i="7"/>
  <c r="M464" i="7"/>
  <c r="L464" i="7"/>
  <c r="K464" i="7"/>
  <c r="J464" i="7"/>
  <c r="Z464" i="7" s="1"/>
  <c r="X463" i="7"/>
  <c r="W463" i="7"/>
  <c r="V463" i="7"/>
  <c r="U463" i="7"/>
  <c r="T463" i="7"/>
  <c r="S463" i="7"/>
  <c r="R463" i="7"/>
  <c r="Q463" i="7"/>
  <c r="P463" i="7"/>
  <c r="O463" i="7"/>
  <c r="N463" i="7"/>
  <c r="M463" i="7"/>
  <c r="L463" i="7"/>
  <c r="K463" i="7"/>
  <c r="J463" i="7"/>
  <c r="Z463" i="7" s="1"/>
  <c r="X462" i="7"/>
  <c r="W462" i="7"/>
  <c r="V462" i="7"/>
  <c r="U462" i="7"/>
  <c r="T462" i="7"/>
  <c r="S462" i="7"/>
  <c r="R462" i="7"/>
  <c r="Q462" i="7"/>
  <c r="P462" i="7"/>
  <c r="O462" i="7"/>
  <c r="N462" i="7"/>
  <c r="M462" i="7"/>
  <c r="L462" i="7"/>
  <c r="K462" i="7"/>
  <c r="J462" i="7"/>
  <c r="Z462" i="7" s="1"/>
  <c r="X461" i="7"/>
  <c r="W461" i="7"/>
  <c r="V461" i="7"/>
  <c r="U461" i="7"/>
  <c r="T461" i="7"/>
  <c r="S461" i="7"/>
  <c r="R461" i="7"/>
  <c r="Q461" i="7"/>
  <c r="P461" i="7"/>
  <c r="O461" i="7"/>
  <c r="N461" i="7"/>
  <c r="M461" i="7"/>
  <c r="L461" i="7"/>
  <c r="K461" i="7"/>
  <c r="J461" i="7"/>
  <c r="Z461" i="7" s="1"/>
  <c r="X460" i="7"/>
  <c r="W460" i="7"/>
  <c r="V460" i="7"/>
  <c r="U460" i="7"/>
  <c r="T460" i="7"/>
  <c r="S460" i="7"/>
  <c r="R460" i="7"/>
  <c r="Q460" i="7"/>
  <c r="P460" i="7"/>
  <c r="O460" i="7"/>
  <c r="N460" i="7"/>
  <c r="M460" i="7"/>
  <c r="L460" i="7"/>
  <c r="K460" i="7"/>
  <c r="J460" i="7"/>
  <c r="Z460" i="7" s="1"/>
  <c r="X459" i="7"/>
  <c r="W459" i="7"/>
  <c r="V459" i="7"/>
  <c r="U459" i="7"/>
  <c r="T459" i="7"/>
  <c r="S459" i="7"/>
  <c r="R459" i="7"/>
  <c r="Q459" i="7"/>
  <c r="P459" i="7"/>
  <c r="O459" i="7"/>
  <c r="N459" i="7"/>
  <c r="M459" i="7"/>
  <c r="L459" i="7"/>
  <c r="K459" i="7"/>
  <c r="J459" i="7"/>
  <c r="Z459" i="7" s="1"/>
  <c r="X458" i="7"/>
  <c r="W458" i="7"/>
  <c r="V458" i="7"/>
  <c r="U458" i="7"/>
  <c r="T458" i="7"/>
  <c r="S458" i="7"/>
  <c r="R458" i="7"/>
  <c r="Q458" i="7"/>
  <c r="P458" i="7"/>
  <c r="O458" i="7"/>
  <c r="N458" i="7"/>
  <c r="M458" i="7"/>
  <c r="L458" i="7"/>
  <c r="K458" i="7"/>
  <c r="J458" i="7"/>
  <c r="Z458" i="7" s="1"/>
  <c r="X457" i="7"/>
  <c r="W457" i="7"/>
  <c r="V457" i="7"/>
  <c r="U457" i="7"/>
  <c r="T457" i="7"/>
  <c r="S457" i="7"/>
  <c r="R457" i="7"/>
  <c r="Q457" i="7"/>
  <c r="P457" i="7"/>
  <c r="O457" i="7"/>
  <c r="N457" i="7"/>
  <c r="M457" i="7"/>
  <c r="L457" i="7"/>
  <c r="K457" i="7"/>
  <c r="J457" i="7"/>
  <c r="Z457" i="7" s="1"/>
  <c r="X456" i="7"/>
  <c r="W456" i="7"/>
  <c r="V456" i="7"/>
  <c r="U456" i="7"/>
  <c r="T456" i="7"/>
  <c r="S456" i="7"/>
  <c r="R456" i="7"/>
  <c r="Q456" i="7"/>
  <c r="P456" i="7"/>
  <c r="O456" i="7"/>
  <c r="N456" i="7"/>
  <c r="M456" i="7"/>
  <c r="L456" i="7"/>
  <c r="K456" i="7"/>
  <c r="J456" i="7"/>
  <c r="Z456" i="7" s="1"/>
  <c r="X455" i="7"/>
  <c r="W455" i="7"/>
  <c r="V455" i="7"/>
  <c r="U455" i="7"/>
  <c r="T455" i="7"/>
  <c r="S455" i="7"/>
  <c r="R455" i="7"/>
  <c r="Q455" i="7"/>
  <c r="P455" i="7"/>
  <c r="O455" i="7"/>
  <c r="N455" i="7"/>
  <c r="M455" i="7"/>
  <c r="L455" i="7"/>
  <c r="K455" i="7"/>
  <c r="J455" i="7"/>
  <c r="Z455" i="7" s="1"/>
  <c r="X454" i="7"/>
  <c r="W454" i="7"/>
  <c r="V454" i="7"/>
  <c r="U454" i="7"/>
  <c r="T454" i="7"/>
  <c r="S454" i="7"/>
  <c r="R454" i="7"/>
  <c r="Q454" i="7"/>
  <c r="P454" i="7"/>
  <c r="O454" i="7"/>
  <c r="N454" i="7"/>
  <c r="M454" i="7"/>
  <c r="L454" i="7"/>
  <c r="K454" i="7"/>
  <c r="J454" i="7"/>
  <c r="Z454" i="7" s="1"/>
  <c r="X453" i="7"/>
  <c r="W453" i="7"/>
  <c r="V453" i="7"/>
  <c r="U453" i="7"/>
  <c r="T453" i="7"/>
  <c r="S453" i="7"/>
  <c r="R453" i="7"/>
  <c r="Q453" i="7"/>
  <c r="P453" i="7"/>
  <c r="O453" i="7"/>
  <c r="N453" i="7"/>
  <c r="M453" i="7"/>
  <c r="L453" i="7"/>
  <c r="K453" i="7"/>
  <c r="J453" i="7"/>
  <c r="Z453" i="7" s="1"/>
  <c r="X452" i="7"/>
  <c r="W452" i="7"/>
  <c r="V452" i="7"/>
  <c r="U452" i="7"/>
  <c r="T452" i="7"/>
  <c r="S452" i="7"/>
  <c r="R452" i="7"/>
  <c r="Q452" i="7"/>
  <c r="P452" i="7"/>
  <c r="O452" i="7"/>
  <c r="N452" i="7"/>
  <c r="M452" i="7"/>
  <c r="L452" i="7"/>
  <c r="K452" i="7"/>
  <c r="J452" i="7"/>
  <c r="Z452" i="7" s="1"/>
  <c r="X451" i="7"/>
  <c r="W451" i="7"/>
  <c r="V451" i="7"/>
  <c r="U451" i="7"/>
  <c r="T451" i="7"/>
  <c r="S451" i="7"/>
  <c r="R451" i="7"/>
  <c r="Q451" i="7"/>
  <c r="P451" i="7"/>
  <c r="O451" i="7"/>
  <c r="N451" i="7"/>
  <c r="M451" i="7"/>
  <c r="L451" i="7"/>
  <c r="K451" i="7"/>
  <c r="J451" i="7"/>
  <c r="Z451" i="7" s="1"/>
  <c r="X450" i="7"/>
  <c r="W450" i="7"/>
  <c r="V450" i="7"/>
  <c r="U450" i="7"/>
  <c r="T450" i="7"/>
  <c r="S450" i="7"/>
  <c r="R450" i="7"/>
  <c r="Q450" i="7"/>
  <c r="P450" i="7"/>
  <c r="O450" i="7"/>
  <c r="N450" i="7"/>
  <c r="M450" i="7"/>
  <c r="L450" i="7"/>
  <c r="K450" i="7"/>
  <c r="J450" i="7"/>
  <c r="Z450" i="7" s="1"/>
  <c r="X449" i="7"/>
  <c r="W449" i="7"/>
  <c r="V449" i="7"/>
  <c r="U449" i="7"/>
  <c r="T449" i="7"/>
  <c r="S449" i="7"/>
  <c r="R449" i="7"/>
  <c r="Q449" i="7"/>
  <c r="P449" i="7"/>
  <c r="O449" i="7"/>
  <c r="N449" i="7"/>
  <c r="M449" i="7"/>
  <c r="L449" i="7"/>
  <c r="K449" i="7"/>
  <c r="J449" i="7"/>
  <c r="Z449" i="7" s="1"/>
  <c r="X448" i="7"/>
  <c r="W448" i="7"/>
  <c r="V448" i="7"/>
  <c r="U448" i="7"/>
  <c r="T448" i="7"/>
  <c r="S448" i="7"/>
  <c r="R448" i="7"/>
  <c r="Q448" i="7"/>
  <c r="P448" i="7"/>
  <c r="O448" i="7"/>
  <c r="N448" i="7"/>
  <c r="M448" i="7"/>
  <c r="L448" i="7"/>
  <c r="K448" i="7"/>
  <c r="J448" i="7"/>
  <c r="Z448" i="7" s="1"/>
  <c r="X447" i="7"/>
  <c r="W447" i="7"/>
  <c r="V447" i="7"/>
  <c r="U447" i="7"/>
  <c r="T447" i="7"/>
  <c r="S447" i="7"/>
  <c r="R447" i="7"/>
  <c r="Q447" i="7"/>
  <c r="P447" i="7"/>
  <c r="O447" i="7"/>
  <c r="N447" i="7"/>
  <c r="M447" i="7"/>
  <c r="L447" i="7"/>
  <c r="K447" i="7"/>
  <c r="J447" i="7"/>
  <c r="Z447" i="7" s="1"/>
  <c r="X446" i="7"/>
  <c r="W446" i="7"/>
  <c r="V446" i="7"/>
  <c r="U446" i="7"/>
  <c r="T446" i="7"/>
  <c r="S446" i="7"/>
  <c r="R446" i="7"/>
  <c r="Q446" i="7"/>
  <c r="P446" i="7"/>
  <c r="O446" i="7"/>
  <c r="N446" i="7"/>
  <c r="M446" i="7"/>
  <c r="L446" i="7"/>
  <c r="K446" i="7"/>
  <c r="J446" i="7"/>
  <c r="Z446" i="7" s="1"/>
  <c r="X445" i="7"/>
  <c r="W445" i="7"/>
  <c r="V445" i="7"/>
  <c r="U445" i="7"/>
  <c r="T445" i="7"/>
  <c r="S445" i="7"/>
  <c r="R445" i="7"/>
  <c r="Q445" i="7"/>
  <c r="P445" i="7"/>
  <c r="O445" i="7"/>
  <c r="N445" i="7"/>
  <c r="M445" i="7"/>
  <c r="L445" i="7"/>
  <c r="K445" i="7"/>
  <c r="J445" i="7"/>
  <c r="Z445" i="7" s="1"/>
  <c r="X444" i="7"/>
  <c r="W444" i="7"/>
  <c r="V444" i="7"/>
  <c r="U444" i="7"/>
  <c r="T444" i="7"/>
  <c r="S444" i="7"/>
  <c r="R444" i="7"/>
  <c r="Q444" i="7"/>
  <c r="P444" i="7"/>
  <c r="O444" i="7"/>
  <c r="N444" i="7"/>
  <c r="M444" i="7"/>
  <c r="L444" i="7"/>
  <c r="K444" i="7"/>
  <c r="J444" i="7"/>
  <c r="Z444" i="7" s="1"/>
  <c r="X443" i="7"/>
  <c r="W443" i="7"/>
  <c r="V443" i="7"/>
  <c r="U443" i="7"/>
  <c r="T443" i="7"/>
  <c r="S443" i="7"/>
  <c r="R443" i="7"/>
  <c r="Q443" i="7"/>
  <c r="P443" i="7"/>
  <c r="O443" i="7"/>
  <c r="N443" i="7"/>
  <c r="M443" i="7"/>
  <c r="L443" i="7"/>
  <c r="K443" i="7"/>
  <c r="J443" i="7"/>
  <c r="Z443" i="7" s="1"/>
  <c r="X442" i="7"/>
  <c r="W442" i="7"/>
  <c r="V442" i="7"/>
  <c r="U442" i="7"/>
  <c r="T442" i="7"/>
  <c r="S442" i="7"/>
  <c r="R442" i="7"/>
  <c r="Q442" i="7"/>
  <c r="P442" i="7"/>
  <c r="O442" i="7"/>
  <c r="N442" i="7"/>
  <c r="M442" i="7"/>
  <c r="L442" i="7"/>
  <c r="K442" i="7"/>
  <c r="J442" i="7"/>
  <c r="Z442" i="7" s="1"/>
  <c r="X441" i="7"/>
  <c r="W441" i="7"/>
  <c r="V441" i="7"/>
  <c r="U441" i="7"/>
  <c r="T441" i="7"/>
  <c r="S441" i="7"/>
  <c r="R441" i="7"/>
  <c r="Q441" i="7"/>
  <c r="P441" i="7"/>
  <c r="O441" i="7"/>
  <c r="N441" i="7"/>
  <c r="M441" i="7"/>
  <c r="L441" i="7"/>
  <c r="K441" i="7"/>
  <c r="J441" i="7"/>
  <c r="Z441" i="7" s="1"/>
  <c r="X440" i="7"/>
  <c r="W440" i="7"/>
  <c r="V440" i="7"/>
  <c r="U440" i="7"/>
  <c r="T440" i="7"/>
  <c r="S440" i="7"/>
  <c r="R440" i="7"/>
  <c r="Q440" i="7"/>
  <c r="P440" i="7"/>
  <c r="O440" i="7"/>
  <c r="N440" i="7"/>
  <c r="M440" i="7"/>
  <c r="L440" i="7"/>
  <c r="K440" i="7"/>
  <c r="J440" i="7"/>
  <c r="Z440" i="7" s="1"/>
  <c r="X439" i="7"/>
  <c r="W439" i="7"/>
  <c r="V439" i="7"/>
  <c r="U439" i="7"/>
  <c r="T439" i="7"/>
  <c r="S439" i="7"/>
  <c r="R439" i="7"/>
  <c r="Q439" i="7"/>
  <c r="P439" i="7"/>
  <c r="O439" i="7"/>
  <c r="N439" i="7"/>
  <c r="M439" i="7"/>
  <c r="L439" i="7"/>
  <c r="K439" i="7"/>
  <c r="J439" i="7"/>
  <c r="Z439" i="7" s="1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J438" i="7"/>
  <c r="Z438" i="7" s="1"/>
  <c r="X437" i="7"/>
  <c r="W437" i="7"/>
  <c r="V437" i="7"/>
  <c r="U437" i="7"/>
  <c r="T437" i="7"/>
  <c r="S437" i="7"/>
  <c r="R437" i="7"/>
  <c r="Q437" i="7"/>
  <c r="P437" i="7"/>
  <c r="O437" i="7"/>
  <c r="N437" i="7"/>
  <c r="M437" i="7"/>
  <c r="L437" i="7"/>
  <c r="K437" i="7"/>
  <c r="J437" i="7"/>
  <c r="Z437" i="7" s="1"/>
  <c r="X436" i="7"/>
  <c r="W436" i="7"/>
  <c r="V436" i="7"/>
  <c r="U436" i="7"/>
  <c r="T436" i="7"/>
  <c r="S436" i="7"/>
  <c r="R436" i="7"/>
  <c r="Q436" i="7"/>
  <c r="P436" i="7"/>
  <c r="O436" i="7"/>
  <c r="N436" i="7"/>
  <c r="M436" i="7"/>
  <c r="L436" i="7"/>
  <c r="K436" i="7"/>
  <c r="J436" i="7"/>
  <c r="Z436" i="7" s="1"/>
  <c r="X435" i="7"/>
  <c r="W435" i="7"/>
  <c r="V435" i="7"/>
  <c r="U435" i="7"/>
  <c r="T435" i="7"/>
  <c r="S435" i="7"/>
  <c r="R435" i="7"/>
  <c r="Q435" i="7"/>
  <c r="P435" i="7"/>
  <c r="O435" i="7"/>
  <c r="N435" i="7"/>
  <c r="M435" i="7"/>
  <c r="L435" i="7"/>
  <c r="K435" i="7"/>
  <c r="J435" i="7"/>
  <c r="Z435" i="7" s="1"/>
  <c r="X434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K434" i="7"/>
  <c r="J434" i="7"/>
  <c r="Z434" i="7" s="1"/>
  <c r="X433" i="7"/>
  <c r="W433" i="7"/>
  <c r="V433" i="7"/>
  <c r="U433" i="7"/>
  <c r="T433" i="7"/>
  <c r="S433" i="7"/>
  <c r="R433" i="7"/>
  <c r="Q433" i="7"/>
  <c r="P433" i="7"/>
  <c r="O433" i="7"/>
  <c r="N433" i="7"/>
  <c r="M433" i="7"/>
  <c r="L433" i="7"/>
  <c r="K433" i="7"/>
  <c r="J433" i="7"/>
  <c r="Z433" i="7" s="1"/>
  <c r="X432" i="7"/>
  <c r="W432" i="7"/>
  <c r="V432" i="7"/>
  <c r="U432" i="7"/>
  <c r="T432" i="7"/>
  <c r="S432" i="7"/>
  <c r="R432" i="7"/>
  <c r="Q432" i="7"/>
  <c r="P432" i="7"/>
  <c r="O432" i="7"/>
  <c r="N432" i="7"/>
  <c r="M432" i="7"/>
  <c r="L432" i="7"/>
  <c r="K432" i="7"/>
  <c r="J432" i="7"/>
  <c r="Z432" i="7" s="1"/>
  <c r="X431" i="7"/>
  <c r="W431" i="7"/>
  <c r="V431" i="7"/>
  <c r="U431" i="7"/>
  <c r="T431" i="7"/>
  <c r="S431" i="7"/>
  <c r="R431" i="7"/>
  <c r="Q431" i="7"/>
  <c r="P431" i="7"/>
  <c r="O431" i="7"/>
  <c r="N431" i="7"/>
  <c r="M431" i="7"/>
  <c r="L431" i="7"/>
  <c r="K431" i="7"/>
  <c r="J431" i="7"/>
  <c r="Z431" i="7" s="1"/>
  <c r="X430" i="7"/>
  <c r="W430" i="7"/>
  <c r="V430" i="7"/>
  <c r="U430" i="7"/>
  <c r="T430" i="7"/>
  <c r="S430" i="7"/>
  <c r="R430" i="7"/>
  <c r="Q430" i="7"/>
  <c r="P430" i="7"/>
  <c r="O430" i="7"/>
  <c r="N430" i="7"/>
  <c r="M430" i="7"/>
  <c r="L430" i="7"/>
  <c r="K430" i="7"/>
  <c r="J430" i="7"/>
  <c r="Z430" i="7" s="1"/>
  <c r="X429" i="7"/>
  <c r="W429" i="7"/>
  <c r="V429" i="7"/>
  <c r="U429" i="7"/>
  <c r="T429" i="7"/>
  <c r="S429" i="7"/>
  <c r="R429" i="7"/>
  <c r="Q429" i="7"/>
  <c r="P429" i="7"/>
  <c r="O429" i="7"/>
  <c r="N429" i="7"/>
  <c r="M429" i="7"/>
  <c r="L429" i="7"/>
  <c r="K429" i="7"/>
  <c r="J429" i="7"/>
  <c r="Z429" i="7" s="1"/>
  <c r="X428" i="7"/>
  <c r="W428" i="7"/>
  <c r="V428" i="7"/>
  <c r="U428" i="7"/>
  <c r="T428" i="7"/>
  <c r="S428" i="7"/>
  <c r="R428" i="7"/>
  <c r="Q428" i="7"/>
  <c r="P428" i="7"/>
  <c r="O428" i="7"/>
  <c r="N428" i="7"/>
  <c r="M428" i="7"/>
  <c r="L428" i="7"/>
  <c r="K428" i="7"/>
  <c r="J428" i="7"/>
  <c r="Z428" i="7" s="1"/>
  <c r="X427" i="7"/>
  <c r="W427" i="7"/>
  <c r="V427" i="7"/>
  <c r="U427" i="7"/>
  <c r="T427" i="7"/>
  <c r="S427" i="7"/>
  <c r="R427" i="7"/>
  <c r="Q427" i="7"/>
  <c r="P427" i="7"/>
  <c r="O427" i="7"/>
  <c r="N427" i="7"/>
  <c r="M427" i="7"/>
  <c r="L427" i="7"/>
  <c r="K427" i="7"/>
  <c r="J427" i="7"/>
  <c r="Z427" i="7" s="1"/>
  <c r="X426" i="7"/>
  <c r="W426" i="7"/>
  <c r="V426" i="7"/>
  <c r="U426" i="7"/>
  <c r="T426" i="7"/>
  <c r="S426" i="7"/>
  <c r="R426" i="7"/>
  <c r="Q426" i="7"/>
  <c r="P426" i="7"/>
  <c r="O426" i="7"/>
  <c r="N426" i="7"/>
  <c r="M426" i="7"/>
  <c r="L426" i="7"/>
  <c r="K426" i="7"/>
  <c r="J426" i="7"/>
  <c r="Z426" i="7" s="1"/>
  <c r="X425" i="7"/>
  <c r="W425" i="7"/>
  <c r="V425" i="7"/>
  <c r="U425" i="7"/>
  <c r="T425" i="7"/>
  <c r="S425" i="7"/>
  <c r="R425" i="7"/>
  <c r="Q425" i="7"/>
  <c r="P425" i="7"/>
  <c r="O425" i="7"/>
  <c r="N425" i="7"/>
  <c r="M425" i="7"/>
  <c r="L425" i="7"/>
  <c r="K425" i="7"/>
  <c r="J425" i="7"/>
  <c r="Z425" i="7" s="1"/>
  <c r="X424" i="7"/>
  <c r="W424" i="7"/>
  <c r="V424" i="7"/>
  <c r="U424" i="7"/>
  <c r="T424" i="7"/>
  <c r="S424" i="7"/>
  <c r="R424" i="7"/>
  <c r="Q424" i="7"/>
  <c r="P424" i="7"/>
  <c r="O424" i="7"/>
  <c r="N424" i="7"/>
  <c r="M424" i="7"/>
  <c r="L424" i="7"/>
  <c r="K424" i="7"/>
  <c r="J424" i="7"/>
  <c r="Z424" i="7" s="1"/>
  <c r="X423" i="7"/>
  <c r="W423" i="7"/>
  <c r="V423" i="7"/>
  <c r="U423" i="7"/>
  <c r="T423" i="7"/>
  <c r="S423" i="7"/>
  <c r="R423" i="7"/>
  <c r="Q423" i="7"/>
  <c r="P423" i="7"/>
  <c r="O423" i="7"/>
  <c r="N423" i="7"/>
  <c r="M423" i="7"/>
  <c r="L423" i="7"/>
  <c r="K423" i="7"/>
  <c r="J423" i="7"/>
  <c r="Z423" i="7" s="1"/>
  <c r="X422" i="7"/>
  <c r="W422" i="7"/>
  <c r="V422" i="7"/>
  <c r="U422" i="7"/>
  <c r="T422" i="7"/>
  <c r="S422" i="7"/>
  <c r="R422" i="7"/>
  <c r="Q422" i="7"/>
  <c r="P422" i="7"/>
  <c r="O422" i="7"/>
  <c r="N422" i="7"/>
  <c r="M422" i="7"/>
  <c r="L422" i="7"/>
  <c r="K422" i="7"/>
  <c r="J422" i="7"/>
  <c r="Z422" i="7" s="1"/>
  <c r="X421" i="7"/>
  <c r="W421" i="7"/>
  <c r="V421" i="7"/>
  <c r="U421" i="7"/>
  <c r="T421" i="7"/>
  <c r="S421" i="7"/>
  <c r="R421" i="7"/>
  <c r="Q421" i="7"/>
  <c r="P421" i="7"/>
  <c r="O421" i="7"/>
  <c r="N421" i="7"/>
  <c r="M421" i="7"/>
  <c r="L421" i="7"/>
  <c r="K421" i="7"/>
  <c r="J421" i="7"/>
  <c r="Z421" i="7" s="1"/>
  <c r="X420" i="7"/>
  <c r="W420" i="7"/>
  <c r="V420" i="7"/>
  <c r="U420" i="7"/>
  <c r="T420" i="7"/>
  <c r="S420" i="7"/>
  <c r="R420" i="7"/>
  <c r="Q420" i="7"/>
  <c r="P420" i="7"/>
  <c r="O420" i="7"/>
  <c r="N420" i="7"/>
  <c r="M420" i="7"/>
  <c r="L420" i="7"/>
  <c r="K420" i="7"/>
  <c r="J420" i="7"/>
  <c r="Z420" i="7" s="1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J419" i="7"/>
  <c r="Z419" i="7" s="1"/>
  <c r="X418" i="7"/>
  <c r="W418" i="7"/>
  <c r="V418" i="7"/>
  <c r="U418" i="7"/>
  <c r="T418" i="7"/>
  <c r="S418" i="7"/>
  <c r="R418" i="7"/>
  <c r="Q418" i="7"/>
  <c r="P418" i="7"/>
  <c r="O418" i="7"/>
  <c r="N418" i="7"/>
  <c r="M418" i="7"/>
  <c r="L418" i="7"/>
  <c r="K418" i="7"/>
  <c r="J418" i="7"/>
  <c r="Z418" i="7" s="1"/>
  <c r="X417" i="7"/>
  <c r="W417" i="7"/>
  <c r="V417" i="7"/>
  <c r="U417" i="7"/>
  <c r="T417" i="7"/>
  <c r="S417" i="7"/>
  <c r="R417" i="7"/>
  <c r="Q417" i="7"/>
  <c r="P417" i="7"/>
  <c r="O417" i="7"/>
  <c r="N417" i="7"/>
  <c r="M417" i="7"/>
  <c r="L417" i="7"/>
  <c r="K417" i="7"/>
  <c r="J417" i="7"/>
  <c r="Z417" i="7" s="1"/>
  <c r="X416" i="7"/>
  <c r="W416" i="7"/>
  <c r="V416" i="7"/>
  <c r="U416" i="7"/>
  <c r="T416" i="7"/>
  <c r="S416" i="7"/>
  <c r="R416" i="7"/>
  <c r="Q416" i="7"/>
  <c r="P416" i="7"/>
  <c r="O416" i="7"/>
  <c r="N416" i="7"/>
  <c r="M416" i="7"/>
  <c r="L416" i="7"/>
  <c r="K416" i="7"/>
  <c r="J416" i="7"/>
  <c r="Z416" i="7" s="1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J415" i="7"/>
  <c r="Z415" i="7" s="1"/>
  <c r="X414" i="7"/>
  <c r="W414" i="7"/>
  <c r="V414" i="7"/>
  <c r="U414" i="7"/>
  <c r="T414" i="7"/>
  <c r="S414" i="7"/>
  <c r="R414" i="7"/>
  <c r="Q414" i="7"/>
  <c r="P414" i="7"/>
  <c r="O414" i="7"/>
  <c r="N414" i="7"/>
  <c r="M414" i="7"/>
  <c r="L414" i="7"/>
  <c r="K414" i="7"/>
  <c r="J414" i="7"/>
  <c r="Z414" i="7" s="1"/>
  <c r="X413" i="7"/>
  <c r="W413" i="7"/>
  <c r="V413" i="7"/>
  <c r="U413" i="7"/>
  <c r="T413" i="7"/>
  <c r="S413" i="7"/>
  <c r="R413" i="7"/>
  <c r="Q413" i="7"/>
  <c r="P413" i="7"/>
  <c r="O413" i="7"/>
  <c r="N413" i="7"/>
  <c r="M413" i="7"/>
  <c r="L413" i="7"/>
  <c r="K413" i="7"/>
  <c r="J413" i="7"/>
  <c r="Z413" i="7" s="1"/>
  <c r="X412" i="7"/>
  <c r="W412" i="7"/>
  <c r="V412" i="7"/>
  <c r="U412" i="7"/>
  <c r="T412" i="7"/>
  <c r="S412" i="7"/>
  <c r="R412" i="7"/>
  <c r="Q412" i="7"/>
  <c r="P412" i="7"/>
  <c r="O412" i="7"/>
  <c r="N412" i="7"/>
  <c r="M412" i="7"/>
  <c r="L412" i="7"/>
  <c r="K412" i="7"/>
  <c r="J412" i="7"/>
  <c r="Z412" i="7" s="1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J411" i="7"/>
  <c r="Z411" i="7" s="1"/>
  <c r="X410" i="7"/>
  <c r="W410" i="7"/>
  <c r="V410" i="7"/>
  <c r="U410" i="7"/>
  <c r="T410" i="7"/>
  <c r="S410" i="7"/>
  <c r="R410" i="7"/>
  <c r="Q410" i="7"/>
  <c r="P410" i="7"/>
  <c r="O410" i="7"/>
  <c r="N410" i="7"/>
  <c r="M410" i="7"/>
  <c r="L410" i="7"/>
  <c r="K410" i="7"/>
  <c r="J410" i="7"/>
  <c r="Z410" i="7" s="1"/>
  <c r="X409" i="7"/>
  <c r="W409" i="7"/>
  <c r="V409" i="7"/>
  <c r="U409" i="7"/>
  <c r="T409" i="7"/>
  <c r="S409" i="7"/>
  <c r="R409" i="7"/>
  <c r="Q409" i="7"/>
  <c r="P409" i="7"/>
  <c r="O409" i="7"/>
  <c r="N409" i="7"/>
  <c r="M409" i="7"/>
  <c r="L409" i="7"/>
  <c r="K409" i="7"/>
  <c r="J409" i="7"/>
  <c r="Z409" i="7" s="1"/>
  <c r="X408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K408" i="7"/>
  <c r="J408" i="7"/>
  <c r="Z408" i="7" s="1"/>
  <c r="X407" i="7"/>
  <c r="W407" i="7"/>
  <c r="V407" i="7"/>
  <c r="U407" i="7"/>
  <c r="T407" i="7"/>
  <c r="S407" i="7"/>
  <c r="R407" i="7"/>
  <c r="Q407" i="7"/>
  <c r="P407" i="7"/>
  <c r="O407" i="7"/>
  <c r="N407" i="7"/>
  <c r="M407" i="7"/>
  <c r="L407" i="7"/>
  <c r="K407" i="7"/>
  <c r="J407" i="7"/>
  <c r="Z407" i="7" s="1"/>
  <c r="X406" i="7"/>
  <c r="W406" i="7"/>
  <c r="V406" i="7"/>
  <c r="U406" i="7"/>
  <c r="T406" i="7"/>
  <c r="S406" i="7"/>
  <c r="R406" i="7"/>
  <c r="Q406" i="7"/>
  <c r="P406" i="7"/>
  <c r="O406" i="7"/>
  <c r="N406" i="7"/>
  <c r="M406" i="7"/>
  <c r="L406" i="7"/>
  <c r="K406" i="7"/>
  <c r="J406" i="7"/>
  <c r="Z406" i="7" s="1"/>
  <c r="X405" i="7"/>
  <c r="W405" i="7"/>
  <c r="V405" i="7"/>
  <c r="U405" i="7"/>
  <c r="T405" i="7"/>
  <c r="S405" i="7"/>
  <c r="R405" i="7"/>
  <c r="Q405" i="7"/>
  <c r="P405" i="7"/>
  <c r="O405" i="7"/>
  <c r="N405" i="7"/>
  <c r="M405" i="7"/>
  <c r="L405" i="7"/>
  <c r="K405" i="7"/>
  <c r="J405" i="7"/>
  <c r="Z405" i="7" s="1"/>
  <c r="X404" i="7"/>
  <c r="W404" i="7"/>
  <c r="V404" i="7"/>
  <c r="U404" i="7"/>
  <c r="T404" i="7"/>
  <c r="S404" i="7"/>
  <c r="R404" i="7"/>
  <c r="Q404" i="7"/>
  <c r="P404" i="7"/>
  <c r="O404" i="7"/>
  <c r="N404" i="7"/>
  <c r="M404" i="7"/>
  <c r="L404" i="7"/>
  <c r="K404" i="7"/>
  <c r="J404" i="7"/>
  <c r="Z404" i="7" s="1"/>
  <c r="X403" i="7"/>
  <c r="W403" i="7"/>
  <c r="V403" i="7"/>
  <c r="U403" i="7"/>
  <c r="T403" i="7"/>
  <c r="S403" i="7"/>
  <c r="R403" i="7"/>
  <c r="Q403" i="7"/>
  <c r="P403" i="7"/>
  <c r="O403" i="7"/>
  <c r="N403" i="7"/>
  <c r="M403" i="7"/>
  <c r="L403" i="7"/>
  <c r="K403" i="7"/>
  <c r="J403" i="7"/>
  <c r="Z403" i="7" s="1"/>
  <c r="X402" i="7"/>
  <c r="W402" i="7"/>
  <c r="V402" i="7"/>
  <c r="U402" i="7"/>
  <c r="T402" i="7"/>
  <c r="S402" i="7"/>
  <c r="R402" i="7"/>
  <c r="Q402" i="7"/>
  <c r="P402" i="7"/>
  <c r="O402" i="7"/>
  <c r="N402" i="7"/>
  <c r="M402" i="7"/>
  <c r="L402" i="7"/>
  <c r="K402" i="7"/>
  <c r="J402" i="7"/>
  <c r="Z402" i="7" s="1"/>
  <c r="X401" i="7"/>
  <c r="W401" i="7"/>
  <c r="V401" i="7"/>
  <c r="U401" i="7"/>
  <c r="T401" i="7"/>
  <c r="S401" i="7"/>
  <c r="R401" i="7"/>
  <c r="Q401" i="7"/>
  <c r="P401" i="7"/>
  <c r="O401" i="7"/>
  <c r="N401" i="7"/>
  <c r="M401" i="7"/>
  <c r="L401" i="7"/>
  <c r="K401" i="7"/>
  <c r="J401" i="7"/>
  <c r="Z401" i="7" s="1"/>
  <c r="X400" i="7"/>
  <c r="W400" i="7"/>
  <c r="V400" i="7"/>
  <c r="U400" i="7"/>
  <c r="T400" i="7"/>
  <c r="S400" i="7"/>
  <c r="R400" i="7"/>
  <c r="Q400" i="7"/>
  <c r="P400" i="7"/>
  <c r="O400" i="7"/>
  <c r="N400" i="7"/>
  <c r="M400" i="7"/>
  <c r="L400" i="7"/>
  <c r="K400" i="7"/>
  <c r="J400" i="7"/>
  <c r="Z400" i="7" s="1"/>
  <c r="X399" i="7"/>
  <c r="W399" i="7"/>
  <c r="V399" i="7"/>
  <c r="U399" i="7"/>
  <c r="T399" i="7"/>
  <c r="S399" i="7"/>
  <c r="R399" i="7"/>
  <c r="Q399" i="7"/>
  <c r="P399" i="7"/>
  <c r="O399" i="7"/>
  <c r="N399" i="7"/>
  <c r="M399" i="7"/>
  <c r="L399" i="7"/>
  <c r="K399" i="7"/>
  <c r="J399" i="7"/>
  <c r="Z399" i="7" s="1"/>
  <c r="X398" i="7"/>
  <c r="W398" i="7"/>
  <c r="V398" i="7"/>
  <c r="U398" i="7"/>
  <c r="T398" i="7"/>
  <c r="S398" i="7"/>
  <c r="R398" i="7"/>
  <c r="Q398" i="7"/>
  <c r="P398" i="7"/>
  <c r="O398" i="7"/>
  <c r="N398" i="7"/>
  <c r="M398" i="7"/>
  <c r="L398" i="7"/>
  <c r="K398" i="7"/>
  <c r="J398" i="7"/>
  <c r="Z398" i="7" s="1"/>
  <c r="X397" i="7"/>
  <c r="W397" i="7"/>
  <c r="V397" i="7"/>
  <c r="U397" i="7"/>
  <c r="T397" i="7"/>
  <c r="S397" i="7"/>
  <c r="R397" i="7"/>
  <c r="Q397" i="7"/>
  <c r="P397" i="7"/>
  <c r="O397" i="7"/>
  <c r="N397" i="7"/>
  <c r="M397" i="7"/>
  <c r="L397" i="7"/>
  <c r="K397" i="7"/>
  <c r="J397" i="7"/>
  <c r="Z397" i="7" s="1"/>
  <c r="X396" i="7"/>
  <c r="W396" i="7"/>
  <c r="V396" i="7"/>
  <c r="U396" i="7"/>
  <c r="T396" i="7"/>
  <c r="S396" i="7"/>
  <c r="R396" i="7"/>
  <c r="Q396" i="7"/>
  <c r="P396" i="7"/>
  <c r="O396" i="7"/>
  <c r="N396" i="7"/>
  <c r="M396" i="7"/>
  <c r="L396" i="7"/>
  <c r="K396" i="7"/>
  <c r="J396" i="7"/>
  <c r="Z396" i="7" s="1"/>
  <c r="X395" i="7"/>
  <c r="W395" i="7"/>
  <c r="V395" i="7"/>
  <c r="U395" i="7"/>
  <c r="T395" i="7"/>
  <c r="S395" i="7"/>
  <c r="R395" i="7"/>
  <c r="Q395" i="7"/>
  <c r="P395" i="7"/>
  <c r="O395" i="7"/>
  <c r="N395" i="7"/>
  <c r="M395" i="7"/>
  <c r="L395" i="7"/>
  <c r="K395" i="7"/>
  <c r="J395" i="7"/>
  <c r="Z395" i="7" s="1"/>
  <c r="X394" i="7"/>
  <c r="W394" i="7"/>
  <c r="V394" i="7"/>
  <c r="U394" i="7"/>
  <c r="T394" i="7"/>
  <c r="S394" i="7"/>
  <c r="R394" i="7"/>
  <c r="Q394" i="7"/>
  <c r="P394" i="7"/>
  <c r="O394" i="7"/>
  <c r="N394" i="7"/>
  <c r="M394" i="7"/>
  <c r="L394" i="7"/>
  <c r="K394" i="7"/>
  <c r="J394" i="7"/>
  <c r="Z394" i="7" s="1"/>
  <c r="X393" i="7"/>
  <c r="W393" i="7"/>
  <c r="V393" i="7"/>
  <c r="U393" i="7"/>
  <c r="T393" i="7"/>
  <c r="S393" i="7"/>
  <c r="R393" i="7"/>
  <c r="Q393" i="7"/>
  <c r="P393" i="7"/>
  <c r="O393" i="7"/>
  <c r="N393" i="7"/>
  <c r="M393" i="7"/>
  <c r="L393" i="7"/>
  <c r="K393" i="7"/>
  <c r="J393" i="7"/>
  <c r="Z393" i="7" s="1"/>
  <c r="X392" i="7"/>
  <c r="W392" i="7"/>
  <c r="V392" i="7"/>
  <c r="U392" i="7"/>
  <c r="T392" i="7"/>
  <c r="S392" i="7"/>
  <c r="R392" i="7"/>
  <c r="Q392" i="7"/>
  <c r="P392" i="7"/>
  <c r="O392" i="7"/>
  <c r="N392" i="7"/>
  <c r="M392" i="7"/>
  <c r="L392" i="7"/>
  <c r="K392" i="7"/>
  <c r="J392" i="7"/>
  <c r="Z392" i="7" s="1"/>
  <c r="X391" i="7"/>
  <c r="W391" i="7"/>
  <c r="V391" i="7"/>
  <c r="U391" i="7"/>
  <c r="T391" i="7"/>
  <c r="S391" i="7"/>
  <c r="R391" i="7"/>
  <c r="Q391" i="7"/>
  <c r="P391" i="7"/>
  <c r="O391" i="7"/>
  <c r="N391" i="7"/>
  <c r="M391" i="7"/>
  <c r="L391" i="7"/>
  <c r="K391" i="7"/>
  <c r="J391" i="7"/>
  <c r="Z391" i="7" s="1"/>
  <c r="X390" i="7"/>
  <c r="W390" i="7"/>
  <c r="V390" i="7"/>
  <c r="U390" i="7"/>
  <c r="T390" i="7"/>
  <c r="S390" i="7"/>
  <c r="R390" i="7"/>
  <c r="Q390" i="7"/>
  <c r="P390" i="7"/>
  <c r="O390" i="7"/>
  <c r="N390" i="7"/>
  <c r="M390" i="7"/>
  <c r="L390" i="7"/>
  <c r="K390" i="7"/>
  <c r="J390" i="7"/>
  <c r="Z390" i="7" s="1"/>
  <c r="X389" i="7"/>
  <c r="W389" i="7"/>
  <c r="V389" i="7"/>
  <c r="U389" i="7"/>
  <c r="T389" i="7"/>
  <c r="S389" i="7"/>
  <c r="R389" i="7"/>
  <c r="Q389" i="7"/>
  <c r="P389" i="7"/>
  <c r="O389" i="7"/>
  <c r="N389" i="7"/>
  <c r="M389" i="7"/>
  <c r="L389" i="7"/>
  <c r="K389" i="7"/>
  <c r="J389" i="7"/>
  <c r="Z389" i="7" s="1"/>
  <c r="X388" i="7"/>
  <c r="W388" i="7"/>
  <c r="V388" i="7"/>
  <c r="U388" i="7"/>
  <c r="T388" i="7"/>
  <c r="S388" i="7"/>
  <c r="R388" i="7"/>
  <c r="Q388" i="7"/>
  <c r="P388" i="7"/>
  <c r="O388" i="7"/>
  <c r="N388" i="7"/>
  <c r="M388" i="7"/>
  <c r="L388" i="7"/>
  <c r="K388" i="7"/>
  <c r="J388" i="7"/>
  <c r="Z388" i="7" s="1"/>
  <c r="X387" i="7"/>
  <c r="W387" i="7"/>
  <c r="V387" i="7"/>
  <c r="U387" i="7"/>
  <c r="T387" i="7"/>
  <c r="S387" i="7"/>
  <c r="R387" i="7"/>
  <c r="Q387" i="7"/>
  <c r="P387" i="7"/>
  <c r="O387" i="7"/>
  <c r="N387" i="7"/>
  <c r="M387" i="7"/>
  <c r="L387" i="7"/>
  <c r="K387" i="7"/>
  <c r="J387" i="7"/>
  <c r="Z387" i="7" s="1"/>
  <c r="X386" i="7"/>
  <c r="W386" i="7"/>
  <c r="V386" i="7"/>
  <c r="U386" i="7"/>
  <c r="T386" i="7"/>
  <c r="S386" i="7"/>
  <c r="R386" i="7"/>
  <c r="Q386" i="7"/>
  <c r="P386" i="7"/>
  <c r="O386" i="7"/>
  <c r="N386" i="7"/>
  <c r="M386" i="7"/>
  <c r="L386" i="7"/>
  <c r="K386" i="7"/>
  <c r="J386" i="7"/>
  <c r="Z386" i="7" s="1"/>
  <c r="X385" i="7"/>
  <c r="W385" i="7"/>
  <c r="V385" i="7"/>
  <c r="U385" i="7"/>
  <c r="T385" i="7"/>
  <c r="S385" i="7"/>
  <c r="R385" i="7"/>
  <c r="Q385" i="7"/>
  <c r="P385" i="7"/>
  <c r="O385" i="7"/>
  <c r="N385" i="7"/>
  <c r="M385" i="7"/>
  <c r="L385" i="7"/>
  <c r="K385" i="7"/>
  <c r="J385" i="7"/>
  <c r="Z385" i="7" s="1"/>
  <c r="X384" i="7"/>
  <c r="W384" i="7"/>
  <c r="V384" i="7"/>
  <c r="U384" i="7"/>
  <c r="T384" i="7"/>
  <c r="S384" i="7"/>
  <c r="R384" i="7"/>
  <c r="Q384" i="7"/>
  <c r="P384" i="7"/>
  <c r="O384" i="7"/>
  <c r="N384" i="7"/>
  <c r="M384" i="7"/>
  <c r="L384" i="7"/>
  <c r="K384" i="7"/>
  <c r="J384" i="7"/>
  <c r="Z384" i="7" s="1"/>
  <c r="X383" i="7"/>
  <c r="W383" i="7"/>
  <c r="V383" i="7"/>
  <c r="U383" i="7"/>
  <c r="T383" i="7"/>
  <c r="S383" i="7"/>
  <c r="R383" i="7"/>
  <c r="Q383" i="7"/>
  <c r="P383" i="7"/>
  <c r="O383" i="7"/>
  <c r="N383" i="7"/>
  <c r="M383" i="7"/>
  <c r="L383" i="7"/>
  <c r="K383" i="7"/>
  <c r="J383" i="7"/>
  <c r="Z383" i="7" s="1"/>
  <c r="X382" i="7"/>
  <c r="W382" i="7"/>
  <c r="V382" i="7"/>
  <c r="U382" i="7"/>
  <c r="T382" i="7"/>
  <c r="S382" i="7"/>
  <c r="R382" i="7"/>
  <c r="Q382" i="7"/>
  <c r="P382" i="7"/>
  <c r="O382" i="7"/>
  <c r="N382" i="7"/>
  <c r="M382" i="7"/>
  <c r="L382" i="7"/>
  <c r="K382" i="7"/>
  <c r="J382" i="7"/>
  <c r="Z382" i="7" s="1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J381" i="7"/>
  <c r="Z381" i="7" s="1"/>
  <c r="X380" i="7"/>
  <c r="W380" i="7"/>
  <c r="V380" i="7"/>
  <c r="U380" i="7"/>
  <c r="T380" i="7"/>
  <c r="S380" i="7"/>
  <c r="R380" i="7"/>
  <c r="Q380" i="7"/>
  <c r="P380" i="7"/>
  <c r="O380" i="7"/>
  <c r="N380" i="7"/>
  <c r="M380" i="7"/>
  <c r="L380" i="7"/>
  <c r="K380" i="7"/>
  <c r="J380" i="7"/>
  <c r="Z380" i="7" s="1"/>
  <c r="X379" i="7"/>
  <c r="W379" i="7"/>
  <c r="V379" i="7"/>
  <c r="U379" i="7"/>
  <c r="T379" i="7"/>
  <c r="S379" i="7"/>
  <c r="R379" i="7"/>
  <c r="Q379" i="7"/>
  <c r="P379" i="7"/>
  <c r="O379" i="7"/>
  <c r="N379" i="7"/>
  <c r="M379" i="7"/>
  <c r="L379" i="7"/>
  <c r="K379" i="7"/>
  <c r="J379" i="7"/>
  <c r="Z379" i="7" s="1"/>
  <c r="X378" i="7"/>
  <c r="W378" i="7"/>
  <c r="V378" i="7"/>
  <c r="U378" i="7"/>
  <c r="T378" i="7"/>
  <c r="S378" i="7"/>
  <c r="R378" i="7"/>
  <c r="Q378" i="7"/>
  <c r="P378" i="7"/>
  <c r="O378" i="7"/>
  <c r="N378" i="7"/>
  <c r="M378" i="7"/>
  <c r="L378" i="7"/>
  <c r="K378" i="7"/>
  <c r="J378" i="7"/>
  <c r="Z378" i="7" s="1"/>
  <c r="X377" i="7"/>
  <c r="W377" i="7"/>
  <c r="V377" i="7"/>
  <c r="U377" i="7"/>
  <c r="T377" i="7"/>
  <c r="S377" i="7"/>
  <c r="R377" i="7"/>
  <c r="Q377" i="7"/>
  <c r="P377" i="7"/>
  <c r="O377" i="7"/>
  <c r="N377" i="7"/>
  <c r="M377" i="7"/>
  <c r="L377" i="7"/>
  <c r="K377" i="7"/>
  <c r="J377" i="7"/>
  <c r="Z377" i="7" s="1"/>
  <c r="X376" i="7"/>
  <c r="W376" i="7"/>
  <c r="V376" i="7"/>
  <c r="U376" i="7"/>
  <c r="T376" i="7"/>
  <c r="S376" i="7"/>
  <c r="R376" i="7"/>
  <c r="Q376" i="7"/>
  <c r="P376" i="7"/>
  <c r="O376" i="7"/>
  <c r="N376" i="7"/>
  <c r="M376" i="7"/>
  <c r="L376" i="7"/>
  <c r="K376" i="7"/>
  <c r="J376" i="7"/>
  <c r="Z376" i="7" s="1"/>
  <c r="X375" i="7"/>
  <c r="W375" i="7"/>
  <c r="V375" i="7"/>
  <c r="U375" i="7"/>
  <c r="T375" i="7"/>
  <c r="S375" i="7"/>
  <c r="R375" i="7"/>
  <c r="Q375" i="7"/>
  <c r="P375" i="7"/>
  <c r="O375" i="7"/>
  <c r="N375" i="7"/>
  <c r="M375" i="7"/>
  <c r="L375" i="7"/>
  <c r="K375" i="7"/>
  <c r="J375" i="7"/>
  <c r="Z375" i="7" s="1"/>
  <c r="X374" i="7"/>
  <c r="W374" i="7"/>
  <c r="V374" i="7"/>
  <c r="U374" i="7"/>
  <c r="T374" i="7"/>
  <c r="S374" i="7"/>
  <c r="R374" i="7"/>
  <c r="Q374" i="7"/>
  <c r="P374" i="7"/>
  <c r="O374" i="7"/>
  <c r="N374" i="7"/>
  <c r="M374" i="7"/>
  <c r="L374" i="7"/>
  <c r="K374" i="7"/>
  <c r="J374" i="7"/>
  <c r="Z374" i="7" s="1"/>
  <c r="X373" i="7"/>
  <c r="W373" i="7"/>
  <c r="V373" i="7"/>
  <c r="U373" i="7"/>
  <c r="T373" i="7"/>
  <c r="S373" i="7"/>
  <c r="R373" i="7"/>
  <c r="Q373" i="7"/>
  <c r="P373" i="7"/>
  <c r="O373" i="7"/>
  <c r="N373" i="7"/>
  <c r="M373" i="7"/>
  <c r="L373" i="7"/>
  <c r="K373" i="7"/>
  <c r="J373" i="7"/>
  <c r="Z373" i="7" s="1"/>
  <c r="X372" i="7"/>
  <c r="W372" i="7"/>
  <c r="V372" i="7"/>
  <c r="U372" i="7"/>
  <c r="T372" i="7"/>
  <c r="S372" i="7"/>
  <c r="R372" i="7"/>
  <c r="Q372" i="7"/>
  <c r="P372" i="7"/>
  <c r="O372" i="7"/>
  <c r="N372" i="7"/>
  <c r="M372" i="7"/>
  <c r="L372" i="7"/>
  <c r="K372" i="7"/>
  <c r="J372" i="7"/>
  <c r="Z372" i="7" s="1"/>
  <c r="X371" i="7"/>
  <c r="W371" i="7"/>
  <c r="V371" i="7"/>
  <c r="U371" i="7"/>
  <c r="T371" i="7"/>
  <c r="S371" i="7"/>
  <c r="R371" i="7"/>
  <c r="Q371" i="7"/>
  <c r="P371" i="7"/>
  <c r="O371" i="7"/>
  <c r="N371" i="7"/>
  <c r="M371" i="7"/>
  <c r="L371" i="7"/>
  <c r="K371" i="7"/>
  <c r="J371" i="7"/>
  <c r="Z371" i="7" s="1"/>
  <c r="X370" i="7"/>
  <c r="W370" i="7"/>
  <c r="V370" i="7"/>
  <c r="U370" i="7"/>
  <c r="T370" i="7"/>
  <c r="S370" i="7"/>
  <c r="R370" i="7"/>
  <c r="Q370" i="7"/>
  <c r="P370" i="7"/>
  <c r="O370" i="7"/>
  <c r="N370" i="7"/>
  <c r="M370" i="7"/>
  <c r="L370" i="7"/>
  <c r="K370" i="7"/>
  <c r="J370" i="7"/>
  <c r="Z370" i="7" s="1"/>
  <c r="X369" i="7"/>
  <c r="W369" i="7"/>
  <c r="V369" i="7"/>
  <c r="U369" i="7"/>
  <c r="T369" i="7"/>
  <c r="S369" i="7"/>
  <c r="R369" i="7"/>
  <c r="Q369" i="7"/>
  <c r="P369" i="7"/>
  <c r="O369" i="7"/>
  <c r="N369" i="7"/>
  <c r="M369" i="7"/>
  <c r="L369" i="7"/>
  <c r="K369" i="7"/>
  <c r="J369" i="7"/>
  <c r="Z369" i="7" s="1"/>
  <c r="X368" i="7"/>
  <c r="W368" i="7"/>
  <c r="V368" i="7"/>
  <c r="U368" i="7"/>
  <c r="T368" i="7"/>
  <c r="S368" i="7"/>
  <c r="R368" i="7"/>
  <c r="Q368" i="7"/>
  <c r="P368" i="7"/>
  <c r="O368" i="7"/>
  <c r="N368" i="7"/>
  <c r="M368" i="7"/>
  <c r="L368" i="7"/>
  <c r="K368" i="7"/>
  <c r="J368" i="7"/>
  <c r="Z368" i="7" s="1"/>
  <c r="X367" i="7"/>
  <c r="W367" i="7"/>
  <c r="V367" i="7"/>
  <c r="U367" i="7"/>
  <c r="T367" i="7"/>
  <c r="S367" i="7"/>
  <c r="R367" i="7"/>
  <c r="Q367" i="7"/>
  <c r="P367" i="7"/>
  <c r="O367" i="7"/>
  <c r="N367" i="7"/>
  <c r="M367" i="7"/>
  <c r="L367" i="7"/>
  <c r="K367" i="7"/>
  <c r="J367" i="7"/>
  <c r="Z367" i="7" s="1"/>
  <c r="X366" i="7"/>
  <c r="W366" i="7"/>
  <c r="V366" i="7"/>
  <c r="U366" i="7"/>
  <c r="T366" i="7"/>
  <c r="S366" i="7"/>
  <c r="R366" i="7"/>
  <c r="Q366" i="7"/>
  <c r="P366" i="7"/>
  <c r="O366" i="7"/>
  <c r="N366" i="7"/>
  <c r="M366" i="7"/>
  <c r="L366" i="7"/>
  <c r="K366" i="7"/>
  <c r="J366" i="7"/>
  <c r="Z366" i="7" s="1"/>
  <c r="X365" i="7"/>
  <c r="W365" i="7"/>
  <c r="V365" i="7"/>
  <c r="U365" i="7"/>
  <c r="T365" i="7"/>
  <c r="S365" i="7"/>
  <c r="R365" i="7"/>
  <c r="Q365" i="7"/>
  <c r="P365" i="7"/>
  <c r="O365" i="7"/>
  <c r="N365" i="7"/>
  <c r="M365" i="7"/>
  <c r="L365" i="7"/>
  <c r="K365" i="7"/>
  <c r="J365" i="7"/>
  <c r="Z365" i="7" s="1"/>
  <c r="X364" i="7"/>
  <c r="W364" i="7"/>
  <c r="V364" i="7"/>
  <c r="U364" i="7"/>
  <c r="T364" i="7"/>
  <c r="S364" i="7"/>
  <c r="R364" i="7"/>
  <c r="Q364" i="7"/>
  <c r="P364" i="7"/>
  <c r="O364" i="7"/>
  <c r="N364" i="7"/>
  <c r="M364" i="7"/>
  <c r="L364" i="7"/>
  <c r="K364" i="7"/>
  <c r="J364" i="7"/>
  <c r="Z364" i="7" s="1"/>
  <c r="X363" i="7"/>
  <c r="W363" i="7"/>
  <c r="V363" i="7"/>
  <c r="U363" i="7"/>
  <c r="T363" i="7"/>
  <c r="S363" i="7"/>
  <c r="R363" i="7"/>
  <c r="Q363" i="7"/>
  <c r="P363" i="7"/>
  <c r="O363" i="7"/>
  <c r="N363" i="7"/>
  <c r="M363" i="7"/>
  <c r="L363" i="7"/>
  <c r="K363" i="7"/>
  <c r="J363" i="7"/>
  <c r="Z363" i="7" s="1"/>
  <c r="X362" i="7"/>
  <c r="W362" i="7"/>
  <c r="V362" i="7"/>
  <c r="U362" i="7"/>
  <c r="T362" i="7"/>
  <c r="S362" i="7"/>
  <c r="R362" i="7"/>
  <c r="Q362" i="7"/>
  <c r="P362" i="7"/>
  <c r="O362" i="7"/>
  <c r="N362" i="7"/>
  <c r="M362" i="7"/>
  <c r="L362" i="7"/>
  <c r="K362" i="7"/>
  <c r="J362" i="7"/>
  <c r="Z362" i="7" s="1"/>
  <c r="X361" i="7"/>
  <c r="W361" i="7"/>
  <c r="V361" i="7"/>
  <c r="U361" i="7"/>
  <c r="T361" i="7"/>
  <c r="S361" i="7"/>
  <c r="R361" i="7"/>
  <c r="Q361" i="7"/>
  <c r="P361" i="7"/>
  <c r="O361" i="7"/>
  <c r="N361" i="7"/>
  <c r="M361" i="7"/>
  <c r="L361" i="7"/>
  <c r="K361" i="7"/>
  <c r="J361" i="7"/>
  <c r="Z361" i="7" s="1"/>
  <c r="X360" i="7"/>
  <c r="W360" i="7"/>
  <c r="V360" i="7"/>
  <c r="U360" i="7"/>
  <c r="T360" i="7"/>
  <c r="S360" i="7"/>
  <c r="R360" i="7"/>
  <c r="Q360" i="7"/>
  <c r="P360" i="7"/>
  <c r="O360" i="7"/>
  <c r="N360" i="7"/>
  <c r="M360" i="7"/>
  <c r="L360" i="7"/>
  <c r="K360" i="7"/>
  <c r="J360" i="7"/>
  <c r="Z360" i="7" s="1"/>
  <c r="X359" i="7"/>
  <c r="W359" i="7"/>
  <c r="V359" i="7"/>
  <c r="U359" i="7"/>
  <c r="T359" i="7"/>
  <c r="S359" i="7"/>
  <c r="R359" i="7"/>
  <c r="Q359" i="7"/>
  <c r="P359" i="7"/>
  <c r="O359" i="7"/>
  <c r="N359" i="7"/>
  <c r="M359" i="7"/>
  <c r="L359" i="7"/>
  <c r="K359" i="7"/>
  <c r="J359" i="7"/>
  <c r="Z359" i="7" s="1"/>
  <c r="X358" i="7"/>
  <c r="W358" i="7"/>
  <c r="V358" i="7"/>
  <c r="U358" i="7"/>
  <c r="T358" i="7"/>
  <c r="S358" i="7"/>
  <c r="R358" i="7"/>
  <c r="Q358" i="7"/>
  <c r="P358" i="7"/>
  <c r="O358" i="7"/>
  <c r="N358" i="7"/>
  <c r="M358" i="7"/>
  <c r="L358" i="7"/>
  <c r="K358" i="7"/>
  <c r="J358" i="7"/>
  <c r="Z358" i="7" s="1"/>
  <c r="X357" i="7"/>
  <c r="W357" i="7"/>
  <c r="V357" i="7"/>
  <c r="U357" i="7"/>
  <c r="T357" i="7"/>
  <c r="S357" i="7"/>
  <c r="R357" i="7"/>
  <c r="Q357" i="7"/>
  <c r="P357" i="7"/>
  <c r="O357" i="7"/>
  <c r="N357" i="7"/>
  <c r="M357" i="7"/>
  <c r="L357" i="7"/>
  <c r="K357" i="7"/>
  <c r="J357" i="7"/>
  <c r="Z357" i="7" s="1"/>
  <c r="X356" i="7"/>
  <c r="W356" i="7"/>
  <c r="V356" i="7"/>
  <c r="U356" i="7"/>
  <c r="T356" i="7"/>
  <c r="S356" i="7"/>
  <c r="R356" i="7"/>
  <c r="Q356" i="7"/>
  <c r="P356" i="7"/>
  <c r="O356" i="7"/>
  <c r="N356" i="7"/>
  <c r="M356" i="7"/>
  <c r="L356" i="7"/>
  <c r="K356" i="7"/>
  <c r="J356" i="7"/>
  <c r="Z356" i="7" s="1"/>
  <c r="X355" i="7"/>
  <c r="W355" i="7"/>
  <c r="V355" i="7"/>
  <c r="U355" i="7"/>
  <c r="T355" i="7"/>
  <c r="S355" i="7"/>
  <c r="R355" i="7"/>
  <c r="Q355" i="7"/>
  <c r="P355" i="7"/>
  <c r="O355" i="7"/>
  <c r="N355" i="7"/>
  <c r="M355" i="7"/>
  <c r="L355" i="7"/>
  <c r="K355" i="7"/>
  <c r="J355" i="7"/>
  <c r="Z355" i="7" s="1"/>
  <c r="X354" i="7"/>
  <c r="W354" i="7"/>
  <c r="V354" i="7"/>
  <c r="U354" i="7"/>
  <c r="T354" i="7"/>
  <c r="S354" i="7"/>
  <c r="R354" i="7"/>
  <c r="Q354" i="7"/>
  <c r="P354" i="7"/>
  <c r="O354" i="7"/>
  <c r="N354" i="7"/>
  <c r="M354" i="7"/>
  <c r="L354" i="7"/>
  <c r="K354" i="7"/>
  <c r="J354" i="7"/>
  <c r="Z354" i="7" s="1"/>
  <c r="X353" i="7"/>
  <c r="W353" i="7"/>
  <c r="V353" i="7"/>
  <c r="U353" i="7"/>
  <c r="T353" i="7"/>
  <c r="S353" i="7"/>
  <c r="R353" i="7"/>
  <c r="Q353" i="7"/>
  <c r="P353" i="7"/>
  <c r="O353" i="7"/>
  <c r="N353" i="7"/>
  <c r="M353" i="7"/>
  <c r="L353" i="7"/>
  <c r="K353" i="7"/>
  <c r="J353" i="7"/>
  <c r="Z353" i="7" s="1"/>
  <c r="X352" i="7"/>
  <c r="W352" i="7"/>
  <c r="V352" i="7"/>
  <c r="U352" i="7"/>
  <c r="T352" i="7"/>
  <c r="S352" i="7"/>
  <c r="R352" i="7"/>
  <c r="Q352" i="7"/>
  <c r="P352" i="7"/>
  <c r="O352" i="7"/>
  <c r="N352" i="7"/>
  <c r="M352" i="7"/>
  <c r="L352" i="7"/>
  <c r="K352" i="7"/>
  <c r="J352" i="7"/>
  <c r="Z352" i="7" s="1"/>
  <c r="X351" i="7"/>
  <c r="W351" i="7"/>
  <c r="V351" i="7"/>
  <c r="U351" i="7"/>
  <c r="T351" i="7"/>
  <c r="S351" i="7"/>
  <c r="R351" i="7"/>
  <c r="Q351" i="7"/>
  <c r="P351" i="7"/>
  <c r="O351" i="7"/>
  <c r="N351" i="7"/>
  <c r="M351" i="7"/>
  <c r="L351" i="7"/>
  <c r="K351" i="7"/>
  <c r="J351" i="7"/>
  <c r="Z351" i="7" s="1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J350" i="7"/>
  <c r="Z350" i="7" s="1"/>
  <c r="X349" i="7"/>
  <c r="W349" i="7"/>
  <c r="V349" i="7"/>
  <c r="U349" i="7"/>
  <c r="T349" i="7"/>
  <c r="S349" i="7"/>
  <c r="R349" i="7"/>
  <c r="Q349" i="7"/>
  <c r="P349" i="7"/>
  <c r="O349" i="7"/>
  <c r="N349" i="7"/>
  <c r="M349" i="7"/>
  <c r="L349" i="7"/>
  <c r="K349" i="7"/>
  <c r="J349" i="7"/>
  <c r="Z349" i="7" s="1"/>
  <c r="X348" i="7"/>
  <c r="W348" i="7"/>
  <c r="V348" i="7"/>
  <c r="U348" i="7"/>
  <c r="T348" i="7"/>
  <c r="S348" i="7"/>
  <c r="R348" i="7"/>
  <c r="Q348" i="7"/>
  <c r="P348" i="7"/>
  <c r="O348" i="7"/>
  <c r="N348" i="7"/>
  <c r="M348" i="7"/>
  <c r="L348" i="7"/>
  <c r="K348" i="7"/>
  <c r="J348" i="7"/>
  <c r="Z348" i="7" s="1"/>
  <c r="X347" i="7"/>
  <c r="W347" i="7"/>
  <c r="V347" i="7"/>
  <c r="U347" i="7"/>
  <c r="T347" i="7"/>
  <c r="S347" i="7"/>
  <c r="R347" i="7"/>
  <c r="Q347" i="7"/>
  <c r="P347" i="7"/>
  <c r="O347" i="7"/>
  <c r="N347" i="7"/>
  <c r="M347" i="7"/>
  <c r="L347" i="7"/>
  <c r="K347" i="7"/>
  <c r="J347" i="7"/>
  <c r="Z347" i="7" s="1"/>
  <c r="X346" i="7"/>
  <c r="W346" i="7"/>
  <c r="V346" i="7"/>
  <c r="U346" i="7"/>
  <c r="T346" i="7"/>
  <c r="S346" i="7"/>
  <c r="R346" i="7"/>
  <c r="Q346" i="7"/>
  <c r="P346" i="7"/>
  <c r="O346" i="7"/>
  <c r="N346" i="7"/>
  <c r="M346" i="7"/>
  <c r="L346" i="7"/>
  <c r="K346" i="7"/>
  <c r="J346" i="7"/>
  <c r="Z346" i="7" s="1"/>
  <c r="X345" i="7"/>
  <c r="W345" i="7"/>
  <c r="V345" i="7"/>
  <c r="U345" i="7"/>
  <c r="T345" i="7"/>
  <c r="S345" i="7"/>
  <c r="R345" i="7"/>
  <c r="Q345" i="7"/>
  <c r="P345" i="7"/>
  <c r="O345" i="7"/>
  <c r="N345" i="7"/>
  <c r="M345" i="7"/>
  <c r="L345" i="7"/>
  <c r="K345" i="7"/>
  <c r="J345" i="7"/>
  <c r="Z345" i="7" s="1"/>
  <c r="X344" i="7"/>
  <c r="W344" i="7"/>
  <c r="V344" i="7"/>
  <c r="U344" i="7"/>
  <c r="T344" i="7"/>
  <c r="S344" i="7"/>
  <c r="R344" i="7"/>
  <c r="Q344" i="7"/>
  <c r="P344" i="7"/>
  <c r="O344" i="7"/>
  <c r="N344" i="7"/>
  <c r="M344" i="7"/>
  <c r="L344" i="7"/>
  <c r="K344" i="7"/>
  <c r="J344" i="7"/>
  <c r="Z344" i="7" s="1"/>
  <c r="X343" i="7"/>
  <c r="W343" i="7"/>
  <c r="V343" i="7"/>
  <c r="U343" i="7"/>
  <c r="T343" i="7"/>
  <c r="S343" i="7"/>
  <c r="R343" i="7"/>
  <c r="Q343" i="7"/>
  <c r="P343" i="7"/>
  <c r="O343" i="7"/>
  <c r="N343" i="7"/>
  <c r="M343" i="7"/>
  <c r="L343" i="7"/>
  <c r="K343" i="7"/>
  <c r="J343" i="7"/>
  <c r="Z343" i="7" s="1"/>
  <c r="X342" i="7"/>
  <c r="W342" i="7"/>
  <c r="V342" i="7"/>
  <c r="U342" i="7"/>
  <c r="T342" i="7"/>
  <c r="S342" i="7"/>
  <c r="R342" i="7"/>
  <c r="Q342" i="7"/>
  <c r="P342" i="7"/>
  <c r="O342" i="7"/>
  <c r="N342" i="7"/>
  <c r="M342" i="7"/>
  <c r="L342" i="7"/>
  <c r="K342" i="7"/>
  <c r="J342" i="7"/>
  <c r="Z342" i="7" s="1"/>
  <c r="X341" i="7"/>
  <c r="W341" i="7"/>
  <c r="V341" i="7"/>
  <c r="U341" i="7"/>
  <c r="T341" i="7"/>
  <c r="S341" i="7"/>
  <c r="R341" i="7"/>
  <c r="Q341" i="7"/>
  <c r="P341" i="7"/>
  <c r="O341" i="7"/>
  <c r="N341" i="7"/>
  <c r="M341" i="7"/>
  <c r="L341" i="7"/>
  <c r="K341" i="7"/>
  <c r="J341" i="7"/>
  <c r="Z341" i="7" s="1"/>
  <c r="X340" i="7"/>
  <c r="W340" i="7"/>
  <c r="V340" i="7"/>
  <c r="U340" i="7"/>
  <c r="T340" i="7"/>
  <c r="S340" i="7"/>
  <c r="R340" i="7"/>
  <c r="Q340" i="7"/>
  <c r="P340" i="7"/>
  <c r="O340" i="7"/>
  <c r="N340" i="7"/>
  <c r="M340" i="7"/>
  <c r="L340" i="7"/>
  <c r="K340" i="7"/>
  <c r="J340" i="7"/>
  <c r="Z340" i="7" s="1"/>
  <c r="X339" i="7"/>
  <c r="W339" i="7"/>
  <c r="V339" i="7"/>
  <c r="U339" i="7"/>
  <c r="T339" i="7"/>
  <c r="S339" i="7"/>
  <c r="R339" i="7"/>
  <c r="Q339" i="7"/>
  <c r="P339" i="7"/>
  <c r="O339" i="7"/>
  <c r="N339" i="7"/>
  <c r="M339" i="7"/>
  <c r="L339" i="7"/>
  <c r="K339" i="7"/>
  <c r="J339" i="7"/>
  <c r="Z339" i="7" s="1"/>
  <c r="X338" i="7"/>
  <c r="W338" i="7"/>
  <c r="V338" i="7"/>
  <c r="U338" i="7"/>
  <c r="T338" i="7"/>
  <c r="S338" i="7"/>
  <c r="R338" i="7"/>
  <c r="Q338" i="7"/>
  <c r="P338" i="7"/>
  <c r="O338" i="7"/>
  <c r="N338" i="7"/>
  <c r="M338" i="7"/>
  <c r="L338" i="7"/>
  <c r="K338" i="7"/>
  <c r="J338" i="7"/>
  <c r="Z338" i="7" s="1"/>
  <c r="X337" i="7"/>
  <c r="W337" i="7"/>
  <c r="V337" i="7"/>
  <c r="U337" i="7"/>
  <c r="T337" i="7"/>
  <c r="S337" i="7"/>
  <c r="R337" i="7"/>
  <c r="Q337" i="7"/>
  <c r="P337" i="7"/>
  <c r="O337" i="7"/>
  <c r="N337" i="7"/>
  <c r="M337" i="7"/>
  <c r="L337" i="7"/>
  <c r="K337" i="7"/>
  <c r="J337" i="7"/>
  <c r="Z337" i="7" s="1"/>
  <c r="X336" i="7"/>
  <c r="W336" i="7"/>
  <c r="V336" i="7"/>
  <c r="U336" i="7"/>
  <c r="T336" i="7"/>
  <c r="S336" i="7"/>
  <c r="R336" i="7"/>
  <c r="Q336" i="7"/>
  <c r="P336" i="7"/>
  <c r="O336" i="7"/>
  <c r="N336" i="7"/>
  <c r="M336" i="7"/>
  <c r="L336" i="7"/>
  <c r="K336" i="7"/>
  <c r="J336" i="7"/>
  <c r="Z336" i="7" s="1"/>
  <c r="X335" i="7"/>
  <c r="W335" i="7"/>
  <c r="V335" i="7"/>
  <c r="U335" i="7"/>
  <c r="T335" i="7"/>
  <c r="S335" i="7"/>
  <c r="R335" i="7"/>
  <c r="Q335" i="7"/>
  <c r="P335" i="7"/>
  <c r="O335" i="7"/>
  <c r="N335" i="7"/>
  <c r="M335" i="7"/>
  <c r="L335" i="7"/>
  <c r="K335" i="7"/>
  <c r="J335" i="7"/>
  <c r="Z335" i="7" s="1"/>
  <c r="X334" i="7"/>
  <c r="W334" i="7"/>
  <c r="V334" i="7"/>
  <c r="U334" i="7"/>
  <c r="T334" i="7"/>
  <c r="S334" i="7"/>
  <c r="R334" i="7"/>
  <c r="Q334" i="7"/>
  <c r="P334" i="7"/>
  <c r="O334" i="7"/>
  <c r="N334" i="7"/>
  <c r="M334" i="7"/>
  <c r="L334" i="7"/>
  <c r="K334" i="7"/>
  <c r="J334" i="7"/>
  <c r="Z334" i="7" s="1"/>
  <c r="X333" i="7"/>
  <c r="W333" i="7"/>
  <c r="V333" i="7"/>
  <c r="U333" i="7"/>
  <c r="T333" i="7"/>
  <c r="S333" i="7"/>
  <c r="R333" i="7"/>
  <c r="Q333" i="7"/>
  <c r="P333" i="7"/>
  <c r="O333" i="7"/>
  <c r="N333" i="7"/>
  <c r="M333" i="7"/>
  <c r="L333" i="7"/>
  <c r="K333" i="7"/>
  <c r="J333" i="7"/>
  <c r="Z333" i="7" s="1"/>
  <c r="X332" i="7"/>
  <c r="W332" i="7"/>
  <c r="V332" i="7"/>
  <c r="U332" i="7"/>
  <c r="T332" i="7"/>
  <c r="S332" i="7"/>
  <c r="R332" i="7"/>
  <c r="Q332" i="7"/>
  <c r="P332" i="7"/>
  <c r="O332" i="7"/>
  <c r="N332" i="7"/>
  <c r="M332" i="7"/>
  <c r="L332" i="7"/>
  <c r="K332" i="7"/>
  <c r="J332" i="7"/>
  <c r="Z332" i="7" s="1"/>
  <c r="X331" i="7"/>
  <c r="W331" i="7"/>
  <c r="V331" i="7"/>
  <c r="U331" i="7"/>
  <c r="T331" i="7"/>
  <c r="S331" i="7"/>
  <c r="R331" i="7"/>
  <c r="Q331" i="7"/>
  <c r="P331" i="7"/>
  <c r="O331" i="7"/>
  <c r="N331" i="7"/>
  <c r="M331" i="7"/>
  <c r="L331" i="7"/>
  <c r="K331" i="7"/>
  <c r="J331" i="7"/>
  <c r="Z331" i="7" s="1"/>
  <c r="X330" i="7"/>
  <c r="W330" i="7"/>
  <c r="V330" i="7"/>
  <c r="U330" i="7"/>
  <c r="T330" i="7"/>
  <c r="S330" i="7"/>
  <c r="R330" i="7"/>
  <c r="Q330" i="7"/>
  <c r="P330" i="7"/>
  <c r="O330" i="7"/>
  <c r="N330" i="7"/>
  <c r="M330" i="7"/>
  <c r="L330" i="7"/>
  <c r="K330" i="7"/>
  <c r="J330" i="7"/>
  <c r="Z330" i="7" s="1"/>
  <c r="X329" i="7"/>
  <c r="W329" i="7"/>
  <c r="V329" i="7"/>
  <c r="U329" i="7"/>
  <c r="T329" i="7"/>
  <c r="S329" i="7"/>
  <c r="R329" i="7"/>
  <c r="Q329" i="7"/>
  <c r="P329" i="7"/>
  <c r="O329" i="7"/>
  <c r="N329" i="7"/>
  <c r="M329" i="7"/>
  <c r="L329" i="7"/>
  <c r="K329" i="7"/>
  <c r="J329" i="7"/>
  <c r="Z329" i="7" s="1"/>
  <c r="X328" i="7"/>
  <c r="W328" i="7"/>
  <c r="V328" i="7"/>
  <c r="U328" i="7"/>
  <c r="T328" i="7"/>
  <c r="S328" i="7"/>
  <c r="R328" i="7"/>
  <c r="Q328" i="7"/>
  <c r="P328" i="7"/>
  <c r="O328" i="7"/>
  <c r="N328" i="7"/>
  <c r="M328" i="7"/>
  <c r="L328" i="7"/>
  <c r="K328" i="7"/>
  <c r="J328" i="7"/>
  <c r="Z328" i="7" s="1"/>
  <c r="X327" i="7"/>
  <c r="W327" i="7"/>
  <c r="V327" i="7"/>
  <c r="U327" i="7"/>
  <c r="T327" i="7"/>
  <c r="S327" i="7"/>
  <c r="R327" i="7"/>
  <c r="Q327" i="7"/>
  <c r="P327" i="7"/>
  <c r="O327" i="7"/>
  <c r="N327" i="7"/>
  <c r="M327" i="7"/>
  <c r="L327" i="7"/>
  <c r="K327" i="7"/>
  <c r="J327" i="7"/>
  <c r="Z327" i="7" s="1"/>
  <c r="X326" i="7"/>
  <c r="W326" i="7"/>
  <c r="V326" i="7"/>
  <c r="U326" i="7"/>
  <c r="T326" i="7"/>
  <c r="S326" i="7"/>
  <c r="R326" i="7"/>
  <c r="Q326" i="7"/>
  <c r="P326" i="7"/>
  <c r="O326" i="7"/>
  <c r="N326" i="7"/>
  <c r="M326" i="7"/>
  <c r="L326" i="7"/>
  <c r="K326" i="7"/>
  <c r="J326" i="7"/>
  <c r="Z326" i="7" s="1"/>
  <c r="X325" i="7"/>
  <c r="W325" i="7"/>
  <c r="V325" i="7"/>
  <c r="U325" i="7"/>
  <c r="T325" i="7"/>
  <c r="S325" i="7"/>
  <c r="R325" i="7"/>
  <c r="Q325" i="7"/>
  <c r="P325" i="7"/>
  <c r="O325" i="7"/>
  <c r="N325" i="7"/>
  <c r="M325" i="7"/>
  <c r="L325" i="7"/>
  <c r="K325" i="7"/>
  <c r="J325" i="7"/>
  <c r="Z325" i="7" s="1"/>
  <c r="X324" i="7"/>
  <c r="W324" i="7"/>
  <c r="V324" i="7"/>
  <c r="U324" i="7"/>
  <c r="T324" i="7"/>
  <c r="S324" i="7"/>
  <c r="R324" i="7"/>
  <c r="Q324" i="7"/>
  <c r="P324" i="7"/>
  <c r="O324" i="7"/>
  <c r="N324" i="7"/>
  <c r="M324" i="7"/>
  <c r="L324" i="7"/>
  <c r="K324" i="7"/>
  <c r="J324" i="7"/>
  <c r="Z324" i="7" s="1"/>
  <c r="X323" i="7"/>
  <c r="W323" i="7"/>
  <c r="V323" i="7"/>
  <c r="U323" i="7"/>
  <c r="T323" i="7"/>
  <c r="S323" i="7"/>
  <c r="R323" i="7"/>
  <c r="Q323" i="7"/>
  <c r="P323" i="7"/>
  <c r="O323" i="7"/>
  <c r="N323" i="7"/>
  <c r="M323" i="7"/>
  <c r="L323" i="7"/>
  <c r="K323" i="7"/>
  <c r="J323" i="7"/>
  <c r="Z323" i="7" s="1"/>
  <c r="X322" i="7"/>
  <c r="W322" i="7"/>
  <c r="V322" i="7"/>
  <c r="U322" i="7"/>
  <c r="T322" i="7"/>
  <c r="S322" i="7"/>
  <c r="R322" i="7"/>
  <c r="Q322" i="7"/>
  <c r="P322" i="7"/>
  <c r="O322" i="7"/>
  <c r="N322" i="7"/>
  <c r="M322" i="7"/>
  <c r="L322" i="7"/>
  <c r="K322" i="7"/>
  <c r="J322" i="7"/>
  <c r="Z322" i="7" s="1"/>
  <c r="X321" i="7"/>
  <c r="W321" i="7"/>
  <c r="V321" i="7"/>
  <c r="U321" i="7"/>
  <c r="T321" i="7"/>
  <c r="S321" i="7"/>
  <c r="R321" i="7"/>
  <c r="Q321" i="7"/>
  <c r="P321" i="7"/>
  <c r="O321" i="7"/>
  <c r="N321" i="7"/>
  <c r="M321" i="7"/>
  <c r="L321" i="7"/>
  <c r="K321" i="7"/>
  <c r="J321" i="7"/>
  <c r="Z321" i="7" s="1"/>
  <c r="X320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K320" i="7"/>
  <c r="J320" i="7"/>
  <c r="Z320" i="7" s="1"/>
  <c r="X319" i="7"/>
  <c r="W319" i="7"/>
  <c r="V319" i="7"/>
  <c r="U319" i="7"/>
  <c r="T319" i="7"/>
  <c r="S319" i="7"/>
  <c r="R319" i="7"/>
  <c r="Q319" i="7"/>
  <c r="P319" i="7"/>
  <c r="O319" i="7"/>
  <c r="N319" i="7"/>
  <c r="M319" i="7"/>
  <c r="L319" i="7"/>
  <c r="K319" i="7"/>
  <c r="J319" i="7"/>
  <c r="Z319" i="7" s="1"/>
  <c r="X318" i="7"/>
  <c r="W318" i="7"/>
  <c r="V318" i="7"/>
  <c r="U318" i="7"/>
  <c r="T318" i="7"/>
  <c r="S318" i="7"/>
  <c r="R318" i="7"/>
  <c r="Q318" i="7"/>
  <c r="P318" i="7"/>
  <c r="O318" i="7"/>
  <c r="N318" i="7"/>
  <c r="M318" i="7"/>
  <c r="L318" i="7"/>
  <c r="K318" i="7"/>
  <c r="J318" i="7"/>
  <c r="Z318" i="7" s="1"/>
  <c r="X317" i="7"/>
  <c r="W317" i="7"/>
  <c r="V317" i="7"/>
  <c r="U317" i="7"/>
  <c r="T317" i="7"/>
  <c r="S317" i="7"/>
  <c r="R317" i="7"/>
  <c r="Q317" i="7"/>
  <c r="P317" i="7"/>
  <c r="O317" i="7"/>
  <c r="N317" i="7"/>
  <c r="M317" i="7"/>
  <c r="L317" i="7"/>
  <c r="K317" i="7"/>
  <c r="J317" i="7"/>
  <c r="Z317" i="7" s="1"/>
  <c r="X316" i="7"/>
  <c r="W316" i="7"/>
  <c r="V316" i="7"/>
  <c r="U316" i="7"/>
  <c r="T316" i="7"/>
  <c r="S316" i="7"/>
  <c r="R316" i="7"/>
  <c r="Q316" i="7"/>
  <c r="P316" i="7"/>
  <c r="O316" i="7"/>
  <c r="N316" i="7"/>
  <c r="M316" i="7"/>
  <c r="L316" i="7"/>
  <c r="K316" i="7"/>
  <c r="J316" i="7"/>
  <c r="Z316" i="7" s="1"/>
  <c r="X315" i="7"/>
  <c r="W315" i="7"/>
  <c r="V315" i="7"/>
  <c r="U315" i="7"/>
  <c r="T315" i="7"/>
  <c r="S315" i="7"/>
  <c r="R315" i="7"/>
  <c r="Q315" i="7"/>
  <c r="P315" i="7"/>
  <c r="O315" i="7"/>
  <c r="N315" i="7"/>
  <c r="M315" i="7"/>
  <c r="L315" i="7"/>
  <c r="K315" i="7"/>
  <c r="J315" i="7"/>
  <c r="Z315" i="7" s="1"/>
  <c r="X314" i="7"/>
  <c r="W314" i="7"/>
  <c r="V314" i="7"/>
  <c r="U314" i="7"/>
  <c r="T314" i="7"/>
  <c r="S314" i="7"/>
  <c r="R314" i="7"/>
  <c r="Q314" i="7"/>
  <c r="P314" i="7"/>
  <c r="O314" i="7"/>
  <c r="N314" i="7"/>
  <c r="M314" i="7"/>
  <c r="L314" i="7"/>
  <c r="K314" i="7"/>
  <c r="J314" i="7"/>
  <c r="Z314" i="7" s="1"/>
  <c r="X313" i="7"/>
  <c r="W313" i="7"/>
  <c r="V313" i="7"/>
  <c r="U313" i="7"/>
  <c r="T313" i="7"/>
  <c r="S313" i="7"/>
  <c r="R313" i="7"/>
  <c r="Q313" i="7"/>
  <c r="P313" i="7"/>
  <c r="O313" i="7"/>
  <c r="N313" i="7"/>
  <c r="M313" i="7"/>
  <c r="L313" i="7"/>
  <c r="K313" i="7"/>
  <c r="J313" i="7"/>
  <c r="Z313" i="7" s="1"/>
  <c r="X312" i="7"/>
  <c r="W312" i="7"/>
  <c r="V312" i="7"/>
  <c r="U312" i="7"/>
  <c r="T312" i="7"/>
  <c r="S312" i="7"/>
  <c r="R312" i="7"/>
  <c r="Q312" i="7"/>
  <c r="P312" i="7"/>
  <c r="O312" i="7"/>
  <c r="N312" i="7"/>
  <c r="M312" i="7"/>
  <c r="L312" i="7"/>
  <c r="K312" i="7"/>
  <c r="J312" i="7"/>
  <c r="Z312" i="7" s="1"/>
  <c r="X311" i="7"/>
  <c r="W311" i="7"/>
  <c r="V311" i="7"/>
  <c r="U311" i="7"/>
  <c r="T311" i="7"/>
  <c r="S311" i="7"/>
  <c r="R311" i="7"/>
  <c r="Q311" i="7"/>
  <c r="P311" i="7"/>
  <c r="O311" i="7"/>
  <c r="N311" i="7"/>
  <c r="M311" i="7"/>
  <c r="L311" i="7"/>
  <c r="K311" i="7"/>
  <c r="J311" i="7"/>
  <c r="Z311" i="7" s="1"/>
  <c r="X310" i="7"/>
  <c r="W310" i="7"/>
  <c r="V310" i="7"/>
  <c r="U310" i="7"/>
  <c r="T310" i="7"/>
  <c r="S310" i="7"/>
  <c r="R310" i="7"/>
  <c r="Q310" i="7"/>
  <c r="P310" i="7"/>
  <c r="O310" i="7"/>
  <c r="N310" i="7"/>
  <c r="M310" i="7"/>
  <c r="L310" i="7"/>
  <c r="K310" i="7"/>
  <c r="J310" i="7"/>
  <c r="Z310" i="7" s="1"/>
  <c r="X309" i="7"/>
  <c r="W309" i="7"/>
  <c r="V309" i="7"/>
  <c r="U309" i="7"/>
  <c r="T309" i="7"/>
  <c r="S309" i="7"/>
  <c r="R309" i="7"/>
  <c r="Q309" i="7"/>
  <c r="P309" i="7"/>
  <c r="O309" i="7"/>
  <c r="N309" i="7"/>
  <c r="M309" i="7"/>
  <c r="L309" i="7"/>
  <c r="K309" i="7"/>
  <c r="J309" i="7"/>
  <c r="Z309" i="7" s="1"/>
  <c r="X308" i="7"/>
  <c r="W308" i="7"/>
  <c r="V308" i="7"/>
  <c r="U308" i="7"/>
  <c r="T308" i="7"/>
  <c r="S308" i="7"/>
  <c r="R308" i="7"/>
  <c r="Q308" i="7"/>
  <c r="P308" i="7"/>
  <c r="O308" i="7"/>
  <c r="N308" i="7"/>
  <c r="M308" i="7"/>
  <c r="L308" i="7"/>
  <c r="K308" i="7"/>
  <c r="J308" i="7"/>
  <c r="Z308" i="7" s="1"/>
  <c r="X307" i="7"/>
  <c r="W307" i="7"/>
  <c r="V307" i="7"/>
  <c r="U307" i="7"/>
  <c r="T307" i="7"/>
  <c r="S307" i="7"/>
  <c r="R307" i="7"/>
  <c r="Q307" i="7"/>
  <c r="P307" i="7"/>
  <c r="O307" i="7"/>
  <c r="N307" i="7"/>
  <c r="M307" i="7"/>
  <c r="L307" i="7"/>
  <c r="K307" i="7"/>
  <c r="J307" i="7"/>
  <c r="Z307" i="7" s="1"/>
  <c r="X306" i="7"/>
  <c r="W306" i="7"/>
  <c r="V306" i="7"/>
  <c r="U306" i="7"/>
  <c r="T306" i="7"/>
  <c r="S306" i="7"/>
  <c r="R306" i="7"/>
  <c r="Q306" i="7"/>
  <c r="P306" i="7"/>
  <c r="O306" i="7"/>
  <c r="N306" i="7"/>
  <c r="M306" i="7"/>
  <c r="L306" i="7"/>
  <c r="K306" i="7"/>
  <c r="J306" i="7"/>
  <c r="Z306" i="7" s="1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J305" i="7"/>
  <c r="Z305" i="7" s="1"/>
  <c r="X304" i="7"/>
  <c r="W304" i="7"/>
  <c r="V304" i="7"/>
  <c r="U304" i="7"/>
  <c r="T304" i="7"/>
  <c r="S304" i="7"/>
  <c r="R304" i="7"/>
  <c r="Q304" i="7"/>
  <c r="P304" i="7"/>
  <c r="O304" i="7"/>
  <c r="N304" i="7"/>
  <c r="M304" i="7"/>
  <c r="L304" i="7"/>
  <c r="K304" i="7"/>
  <c r="J304" i="7"/>
  <c r="Z304" i="7" s="1"/>
  <c r="X303" i="7"/>
  <c r="W303" i="7"/>
  <c r="V303" i="7"/>
  <c r="U303" i="7"/>
  <c r="T303" i="7"/>
  <c r="S303" i="7"/>
  <c r="R303" i="7"/>
  <c r="Q303" i="7"/>
  <c r="P303" i="7"/>
  <c r="O303" i="7"/>
  <c r="N303" i="7"/>
  <c r="M303" i="7"/>
  <c r="L303" i="7"/>
  <c r="K303" i="7"/>
  <c r="J303" i="7"/>
  <c r="Z303" i="7" s="1"/>
  <c r="X302" i="7"/>
  <c r="W302" i="7"/>
  <c r="V302" i="7"/>
  <c r="U302" i="7"/>
  <c r="T302" i="7"/>
  <c r="S302" i="7"/>
  <c r="R302" i="7"/>
  <c r="Q302" i="7"/>
  <c r="P302" i="7"/>
  <c r="O302" i="7"/>
  <c r="N302" i="7"/>
  <c r="M302" i="7"/>
  <c r="L302" i="7"/>
  <c r="K302" i="7"/>
  <c r="J302" i="7"/>
  <c r="Z302" i="7" s="1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J301" i="7"/>
  <c r="Z301" i="7" s="1"/>
  <c r="X300" i="7"/>
  <c r="W300" i="7"/>
  <c r="V300" i="7"/>
  <c r="U300" i="7"/>
  <c r="T300" i="7"/>
  <c r="S300" i="7"/>
  <c r="R300" i="7"/>
  <c r="Q300" i="7"/>
  <c r="P300" i="7"/>
  <c r="O300" i="7"/>
  <c r="N300" i="7"/>
  <c r="M300" i="7"/>
  <c r="L300" i="7"/>
  <c r="K300" i="7"/>
  <c r="J300" i="7"/>
  <c r="Z300" i="7" s="1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J299" i="7"/>
  <c r="Z299" i="7" s="1"/>
  <c r="X298" i="7"/>
  <c r="W298" i="7"/>
  <c r="V298" i="7"/>
  <c r="U298" i="7"/>
  <c r="T298" i="7"/>
  <c r="S298" i="7"/>
  <c r="R298" i="7"/>
  <c r="Q298" i="7"/>
  <c r="P298" i="7"/>
  <c r="O298" i="7"/>
  <c r="N298" i="7"/>
  <c r="M298" i="7"/>
  <c r="L298" i="7"/>
  <c r="K298" i="7"/>
  <c r="J298" i="7"/>
  <c r="Z298" i="7" s="1"/>
  <c r="X297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K297" i="7"/>
  <c r="J297" i="7"/>
  <c r="Z297" i="7" s="1"/>
  <c r="X296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K296" i="7"/>
  <c r="J296" i="7"/>
  <c r="Z296" i="7" s="1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J295" i="7"/>
  <c r="Z295" i="7" s="1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Z294" i="7" s="1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Z293" i="7" s="1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Z292" i="7" s="1"/>
  <c r="X291" i="7"/>
  <c r="W291" i="7"/>
  <c r="V291" i="7"/>
  <c r="U291" i="7"/>
  <c r="T291" i="7"/>
  <c r="S291" i="7"/>
  <c r="R291" i="7"/>
  <c r="Q291" i="7"/>
  <c r="P291" i="7"/>
  <c r="O291" i="7"/>
  <c r="N291" i="7"/>
  <c r="M291" i="7"/>
  <c r="L291" i="7"/>
  <c r="K291" i="7"/>
  <c r="J291" i="7"/>
  <c r="Z291" i="7" s="1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J290" i="7"/>
  <c r="Z290" i="7" s="1"/>
  <c r="X289" i="7"/>
  <c r="W289" i="7"/>
  <c r="V289" i="7"/>
  <c r="U289" i="7"/>
  <c r="T289" i="7"/>
  <c r="S289" i="7"/>
  <c r="R289" i="7"/>
  <c r="Q289" i="7"/>
  <c r="P289" i="7"/>
  <c r="O289" i="7"/>
  <c r="N289" i="7"/>
  <c r="M289" i="7"/>
  <c r="L289" i="7"/>
  <c r="K289" i="7"/>
  <c r="J289" i="7"/>
  <c r="Z289" i="7" s="1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J288" i="7"/>
  <c r="Z288" i="7" s="1"/>
  <c r="X287" i="7"/>
  <c r="W287" i="7"/>
  <c r="V287" i="7"/>
  <c r="U287" i="7"/>
  <c r="T287" i="7"/>
  <c r="S287" i="7"/>
  <c r="R287" i="7"/>
  <c r="Q287" i="7"/>
  <c r="P287" i="7"/>
  <c r="O287" i="7"/>
  <c r="N287" i="7"/>
  <c r="M287" i="7"/>
  <c r="L287" i="7"/>
  <c r="K287" i="7"/>
  <c r="J287" i="7"/>
  <c r="Z287" i="7" s="1"/>
  <c r="X286" i="7"/>
  <c r="W286" i="7"/>
  <c r="V286" i="7"/>
  <c r="U286" i="7"/>
  <c r="T286" i="7"/>
  <c r="S286" i="7"/>
  <c r="R286" i="7"/>
  <c r="Q286" i="7"/>
  <c r="P286" i="7"/>
  <c r="O286" i="7"/>
  <c r="N286" i="7"/>
  <c r="M286" i="7"/>
  <c r="L286" i="7"/>
  <c r="K286" i="7"/>
  <c r="J286" i="7"/>
  <c r="Z286" i="7" s="1"/>
  <c r="X285" i="7"/>
  <c r="W285" i="7"/>
  <c r="V285" i="7"/>
  <c r="U285" i="7"/>
  <c r="T285" i="7"/>
  <c r="S285" i="7"/>
  <c r="R285" i="7"/>
  <c r="Q285" i="7"/>
  <c r="P285" i="7"/>
  <c r="O285" i="7"/>
  <c r="N285" i="7"/>
  <c r="M285" i="7"/>
  <c r="L285" i="7"/>
  <c r="K285" i="7"/>
  <c r="J285" i="7"/>
  <c r="Z285" i="7" s="1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J284" i="7"/>
  <c r="Z284" i="7" s="1"/>
  <c r="X283" i="7"/>
  <c r="W283" i="7"/>
  <c r="V283" i="7"/>
  <c r="U283" i="7"/>
  <c r="T283" i="7"/>
  <c r="S283" i="7"/>
  <c r="R283" i="7"/>
  <c r="Q283" i="7"/>
  <c r="P283" i="7"/>
  <c r="O283" i="7"/>
  <c r="N283" i="7"/>
  <c r="M283" i="7"/>
  <c r="L283" i="7"/>
  <c r="K283" i="7"/>
  <c r="J283" i="7"/>
  <c r="Z283" i="7" s="1"/>
  <c r="X282" i="7"/>
  <c r="W282" i="7"/>
  <c r="V282" i="7"/>
  <c r="U282" i="7"/>
  <c r="T282" i="7"/>
  <c r="S282" i="7"/>
  <c r="R282" i="7"/>
  <c r="Q282" i="7"/>
  <c r="P282" i="7"/>
  <c r="O282" i="7"/>
  <c r="N282" i="7"/>
  <c r="M282" i="7"/>
  <c r="L282" i="7"/>
  <c r="K282" i="7"/>
  <c r="J282" i="7"/>
  <c r="Z282" i="7" s="1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J281" i="7"/>
  <c r="Z281" i="7" s="1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Z280" i="7" s="1"/>
  <c r="X279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K279" i="7"/>
  <c r="J279" i="7"/>
  <c r="Z279" i="7" s="1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J278" i="7"/>
  <c r="Z278" i="7" s="1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Z277" i="7" s="1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Z276" i="7" s="1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Z275" i="7" s="1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Z274" i="7" s="1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Z273" i="7" s="1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Z272" i="7" s="1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Z271" i="7" s="1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Z270" i="7" s="1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Z269" i="7" s="1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Z268" i="7" s="1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Z267" i="7" s="1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Z266" i="7" s="1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Z265" i="7" s="1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Z264" i="7" s="1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Z263" i="7" s="1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Z262" i="7" s="1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Z261" i="7" s="1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Z260" i="7" s="1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Z259" i="7" s="1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Z258" i="7" s="1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Z257" i="7" s="1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Z256" i="7" s="1"/>
  <c r="X255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K255" i="7"/>
  <c r="J255" i="7"/>
  <c r="Z255" i="7" s="1"/>
  <c r="X254" i="7"/>
  <c r="W254" i="7"/>
  <c r="V254" i="7"/>
  <c r="U254" i="7"/>
  <c r="T254" i="7"/>
  <c r="S254" i="7"/>
  <c r="R254" i="7"/>
  <c r="Q254" i="7"/>
  <c r="P254" i="7"/>
  <c r="O254" i="7"/>
  <c r="N254" i="7"/>
  <c r="M254" i="7"/>
  <c r="L254" i="7"/>
  <c r="K254" i="7"/>
  <c r="J254" i="7"/>
  <c r="Z254" i="7" s="1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Z253" i="7" s="1"/>
  <c r="X252" i="7"/>
  <c r="W252" i="7"/>
  <c r="V252" i="7"/>
  <c r="U252" i="7"/>
  <c r="T252" i="7"/>
  <c r="S252" i="7"/>
  <c r="R252" i="7"/>
  <c r="Q252" i="7"/>
  <c r="P252" i="7"/>
  <c r="O252" i="7"/>
  <c r="N252" i="7"/>
  <c r="M252" i="7"/>
  <c r="L252" i="7"/>
  <c r="K252" i="7"/>
  <c r="J252" i="7"/>
  <c r="Z252" i="7" s="1"/>
  <c r="X251" i="7"/>
  <c r="W251" i="7"/>
  <c r="V251" i="7"/>
  <c r="U251" i="7"/>
  <c r="T251" i="7"/>
  <c r="S251" i="7"/>
  <c r="R251" i="7"/>
  <c r="Q251" i="7"/>
  <c r="P251" i="7"/>
  <c r="O251" i="7"/>
  <c r="N251" i="7"/>
  <c r="M251" i="7"/>
  <c r="L251" i="7"/>
  <c r="K251" i="7"/>
  <c r="J251" i="7"/>
  <c r="Z251" i="7" s="1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J250" i="7"/>
  <c r="Z250" i="7" s="1"/>
  <c r="X249" i="7"/>
  <c r="W249" i="7"/>
  <c r="V249" i="7"/>
  <c r="U249" i="7"/>
  <c r="T249" i="7"/>
  <c r="S249" i="7"/>
  <c r="R249" i="7"/>
  <c r="Q249" i="7"/>
  <c r="P249" i="7"/>
  <c r="O249" i="7"/>
  <c r="N249" i="7"/>
  <c r="M249" i="7"/>
  <c r="L249" i="7"/>
  <c r="K249" i="7"/>
  <c r="J249" i="7"/>
  <c r="Z249" i="7" s="1"/>
  <c r="X248" i="7"/>
  <c r="W248" i="7"/>
  <c r="V248" i="7"/>
  <c r="U248" i="7"/>
  <c r="T248" i="7"/>
  <c r="S248" i="7"/>
  <c r="R248" i="7"/>
  <c r="Q248" i="7"/>
  <c r="P248" i="7"/>
  <c r="O248" i="7"/>
  <c r="N248" i="7"/>
  <c r="M248" i="7"/>
  <c r="L248" i="7"/>
  <c r="K248" i="7"/>
  <c r="J248" i="7"/>
  <c r="Z248" i="7" s="1"/>
  <c r="X247" i="7"/>
  <c r="W247" i="7"/>
  <c r="V247" i="7"/>
  <c r="U247" i="7"/>
  <c r="T247" i="7"/>
  <c r="S247" i="7"/>
  <c r="R247" i="7"/>
  <c r="Q247" i="7"/>
  <c r="P247" i="7"/>
  <c r="O247" i="7"/>
  <c r="N247" i="7"/>
  <c r="M247" i="7"/>
  <c r="L247" i="7"/>
  <c r="K247" i="7"/>
  <c r="J247" i="7"/>
  <c r="Z247" i="7" s="1"/>
  <c r="X246" i="7"/>
  <c r="W246" i="7"/>
  <c r="V246" i="7"/>
  <c r="U246" i="7"/>
  <c r="T246" i="7"/>
  <c r="S246" i="7"/>
  <c r="R246" i="7"/>
  <c r="Q246" i="7"/>
  <c r="P246" i="7"/>
  <c r="O246" i="7"/>
  <c r="N246" i="7"/>
  <c r="M246" i="7"/>
  <c r="L246" i="7"/>
  <c r="K246" i="7"/>
  <c r="J246" i="7"/>
  <c r="Z246" i="7" s="1"/>
  <c r="X245" i="7"/>
  <c r="W245" i="7"/>
  <c r="V245" i="7"/>
  <c r="U245" i="7"/>
  <c r="T245" i="7"/>
  <c r="S245" i="7"/>
  <c r="R245" i="7"/>
  <c r="Q245" i="7"/>
  <c r="P245" i="7"/>
  <c r="O245" i="7"/>
  <c r="N245" i="7"/>
  <c r="M245" i="7"/>
  <c r="L245" i="7"/>
  <c r="K245" i="7"/>
  <c r="J245" i="7"/>
  <c r="Z245" i="7" s="1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Z244" i="7" s="1"/>
  <c r="X243" i="7"/>
  <c r="W243" i="7"/>
  <c r="V243" i="7"/>
  <c r="U243" i="7"/>
  <c r="T243" i="7"/>
  <c r="S243" i="7"/>
  <c r="R243" i="7"/>
  <c r="Q243" i="7"/>
  <c r="P243" i="7"/>
  <c r="O243" i="7"/>
  <c r="N243" i="7"/>
  <c r="M243" i="7"/>
  <c r="L243" i="7"/>
  <c r="K243" i="7"/>
  <c r="J243" i="7"/>
  <c r="Z243" i="7" s="1"/>
  <c r="X242" i="7"/>
  <c r="W242" i="7"/>
  <c r="V242" i="7"/>
  <c r="U242" i="7"/>
  <c r="T242" i="7"/>
  <c r="S242" i="7"/>
  <c r="R242" i="7"/>
  <c r="Q242" i="7"/>
  <c r="P242" i="7"/>
  <c r="O242" i="7"/>
  <c r="N242" i="7"/>
  <c r="M242" i="7"/>
  <c r="L242" i="7"/>
  <c r="K242" i="7"/>
  <c r="J242" i="7"/>
  <c r="Z242" i="7" s="1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J241" i="7"/>
  <c r="Z241" i="7" s="1"/>
  <c r="X240" i="7"/>
  <c r="W240" i="7"/>
  <c r="V240" i="7"/>
  <c r="U240" i="7"/>
  <c r="T240" i="7"/>
  <c r="S240" i="7"/>
  <c r="R240" i="7"/>
  <c r="Q240" i="7"/>
  <c r="P240" i="7"/>
  <c r="O240" i="7"/>
  <c r="N240" i="7"/>
  <c r="M240" i="7"/>
  <c r="L240" i="7"/>
  <c r="K240" i="7"/>
  <c r="J240" i="7"/>
  <c r="Z240" i="7" s="1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Z239" i="7" s="1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Z238" i="7" s="1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Z237" i="7" s="1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Z236" i="7" s="1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Z235" i="7" s="1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J234" i="7"/>
  <c r="Z234" i="7" s="1"/>
  <c r="X233" i="7"/>
  <c r="W233" i="7"/>
  <c r="V233" i="7"/>
  <c r="U233" i="7"/>
  <c r="T233" i="7"/>
  <c r="S233" i="7"/>
  <c r="R233" i="7"/>
  <c r="Q233" i="7"/>
  <c r="P233" i="7"/>
  <c r="O233" i="7"/>
  <c r="N233" i="7"/>
  <c r="M233" i="7"/>
  <c r="L233" i="7"/>
  <c r="K233" i="7"/>
  <c r="J233" i="7"/>
  <c r="Z233" i="7" s="1"/>
  <c r="X232" i="7"/>
  <c r="W232" i="7"/>
  <c r="V232" i="7"/>
  <c r="U232" i="7"/>
  <c r="T232" i="7"/>
  <c r="S232" i="7"/>
  <c r="R232" i="7"/>
  <c r="Q232" i="7"/>
  <c r="P232" i="7"/>
  <c r="O232" i="7"/>
  <c r="N232" i="7"/>
  <c r="M232" i="7"/>
  <c r="L232" i="7"/>
  <c r="K232" i="7"/>
  <c r="J232" i="7"/>
  <c r="Z232" i="7" s="1"/>
  <c r="X231" i="7"/>
  <c r="W231" i="7"/>
  <c r="V231" i="7"/>
  <c r="U231" i="7"/>
  <c r="T231" i="7"/>
  <c r="S231" i="7"/>
  <c r="R231" i="7"/>
  <c r="Q231" i="7"/>
  <c r="P231" i="7"/>
  <c r="O231" i="7"/>
  <c r="N231" i="7"/>
  <c r="M231" i="7"/>
  <c r="L231" i="7"/>
  <c r="K231" i="7"/>
  <c r="J231" i="7"/>
  <c r="Z231" i="7" s="1"/>
  <c r="X230" i="7"/>
  <c r="W230" i="7"/>
  <c r="V230" i="7"/>
  <c r="U230" i="7"/>
  <c r="T230" i="7"/>
  <c r="S230" i="7"/>
  <c r="R230" i="7"/>
  <c r="Q230" i="7"/>
  <c r="P230" i="7"/>
  <c r="O230" i="7"/>
  <c r="N230" i="7"/>
  <c r="M230" i="7"/>
  <c r="L230" i="7"/>
  <c r="K230" i="7"/>
  <c r="J230" i="7"/>
  <c r="Z230" i="7" s="1"/>
  <c r="X229" i="7"/>
  <c r="W229" i="7"/>
  <c r="V229" i="7"/>
  <c r="U229" i="7"/>
  <c r="T229" i="7"/>
  <c r="S229" i="7"/>
  <c r="R229" i="7"/>
  <c r="Q229" i="7"/>
  <c r="P229" i="7"/>
  <c r="O229" i="7"/>
  <c r="N229" i="7"/>
  <c r="M229" i="7"/>
  <c r="L229" i="7"/>
  <c r="K229" i="7"/>
  <c r="J229" i="7"/>
  <c r="Z229" i="7" s="1"/>
  <c r="X228" i="7"/>
  <c r="W228" i="7"/>
  <c r="V228" i="7"/>
  <c r="U228" i="7"/>
  <c r="T228" i="7"/>
  <c r="S228" i="7"/>
  <c r="R228" i="7"/>
  <c r="Q228" i="7"/>
  <c r="P228" i="7"/>
  <c r="O228" i="7"/>
  <c r="N228" i="7"/>
  <c r="M228" i="7"/>
  <c r="L228" i="7"/>
  <c r="K228" i="7"/>
  <c r="J228" i="7"/>
  <c r="Z228" i="7" s="1"/>
  <c r="X227" i="7"/>
  <c r="W227" i="7"/>
  <c r="V227" i="7"/>
  <c r="U227" i="7"/>
  <c r="T227" i="7"/>
  <c r="S227" i="7"/>
  <c r="R227" i="7"/>
  <c r="Q227" i="7"/>
  <c r="P227" i="7"/>
  <c r="O227" i="7"/>
  <c r="N227" i="7"/>
  <c r="M227" i="7"/>
  <c r="L227" i="7"/>
  <c r="K227" i="7"/>
  <c r="J227" i="7"/>
  <c r="Z227" i="7" s="1"/>
  <c r="X226" i="7"/>
  <c r="W226" i="7"/>
  <c r="V226" i="7"/>
  <c r="U226" i="7"/>
  <c r="T226" i="7"/>
  <c r="S226" i="7"/>
  <c r="R226" i="7"/>
  <c r="Q226" i="7"/>
  <c r="P226" i="7"/>
  <c r="O226" i="7"/>
  <c r="N226" i="7"/>
  <c r="M226" i="7"/>
  <c r="L226" i="7"/>
  <c r="K226" i="7"/>
  <c r="J226" i="7"/>
  <c r="Z226" i="7" s="1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J225" i="7"/>
  <c r="Z225" i="7" s="1"/>
  <c r="X224" i="7"/>
  <c r="W224" i="7"/>
  <c r="V224" i="7"/>
  <c r="U224" i="7"/>
  <c r="T224" i="7"/>
  <c r="S224" i="7"/>
  <c r="R224" i="7"/>
  <c r="Q224" i="7"/>
  <c r="P224" i="7"/>
  <c r="O224" i="7"/>
  <c r="N224" i="7"/>
  <c r="M224" i="7"/>
  <c r="L224" i="7"/>
  <c r="K224" i="7"/>
  <c r="J224" i="7"/>
  <c r="Z224" i="7" s="1"/>
  <c r="X223" i="7"/>
  <c r="W223" i="7"/>
  <c r="V223" i="7"/>
  <c r="U223" i="7"/>
  <c r="T223" i="7"/>
  <c r="S223" i="7"/>
  <c r="R223" i="7"/>
  <c r="Q223" i="7"/>
  <c r="P223" i="7"/>
  <c r="O223" i="7"/>
  <c r="N223" i="7"/>
  <c r="M223" i="7"/>
  <c r="L223" i="7"/>
  <c r="K223" i="7"/>
  <c r="J223" i="7"/>
  <c r="Z223" i="7" s="1"/>
  <c r="X222" i="7"/>
  <c r="W222" i="7"/>
  <c r="V222" i="7"/>
  <c r="U222" i="7"/>
  <c r="T222" i="7"/>
  <c r="S222" i="7"/>
  <c r="R222" i="7"/>
  <c r="Q222" i="7"/>
  <c r="P222" i="7"/>
  <c r="O222" i="7"/>
  <c r="N222" i="7"/>
  <c r="M222" i="7"/>
  <c r="L222" i="7"/>
  <c r="K222" i="7"/>
  <c r="J222" i="7"/>
  <c r="Z222" i="7" s="1"/>
  <c r="X221" i="7"/>
  <c r="W221" i="7"/>
  <c r="V221" i="7"/>
  <c r="U221" i="7"/>
  <c r="T221" i="7"/>
  <c r="S221" i="7"/>
  <c r="R221" i="7"/>
  <c r="Q221" i="7"/>
  <c r="P221" i="7"/>
  <c r="O221" i="7"/>
  <c r="N221" i="7"/>
  <c r="M221" i="7"/>
  <c r="L221" i="7"/>
  <c r="K221" i="7"/>
  <c r="J221" i="7"/>
  <c r="Z221" i="7" s="1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Z220" i="7" s="1"/>
  <c r="X219" i="7"/>
  <c r="W219" i="7"/>
  <c r="V219" i="7"/>
  <c r="U219" i="7"/>
  <c r="T219" i="7"/>
  <c r="S219" i="7"/>
  <c r="R219" i="7"/>
  <c r="Q219" i="7"/>
  <c r="P219" i="7"/>
  <c r="O219" i="7"/>
  <c r="N219" i="7"/>
  <c r="M219" i="7"/>
  <c r="L219" i="7"/>
  <c r="K219" i="7"/>
  <c r="J219" i="7"/>
  <c r="Z219" i="7" s="1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Z218" i="7" s="1"/>
  <c r="X217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K217" i="7"/>
  <c r="J217" i="7"/>
  <c r="Z217" i="7" s="1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J216" i="7"/>
  <c r="Z216" i="7" s="1"/>
  <c r="X215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Z215" i="7" s="1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Z214" i="7" s="1"/>
  <c r="X213" i="7"/>
  <c r="W213" i="7"/>
  <c r="V213" i="7"/>
  <c r="U213" i="7"/>
  <c r="T213" i="7"/>
  <c r="S213" i="7"/>
  <c r="R213" i="7"/>
  <c r="Q213" i="7"/>
  <c r="P213" i="7"/>
  <c r="O213" i="7"/>
  <c r="N213" i="7"/>
  <c r="M213" i="7"/>
  <c r="L213" i="7"/>
  <c r="K213" i="7"/>
  <c r="J213" i="7"/>
  <c r="Z213" i="7" s="1"/>
  <c r="X212" i="7"/>
  <c r="W212" i="7"/>
  <c r="V212" i="7"/>
  <c r="U212" i="7"/>
  <c r="T212" i="7"/>
  <c r="S212" i="7"/>
  <c r="R212" i="7"/>
  <c r="Q212" i="7"/>
  <c r="P212" i="7"/>
  <c r="O212" i="7"/>
  <c r="N212" i="7"/>
  <c r="M212" i="7"/>
  <c r="L212" i="7"/>
  <c r="K212" i="7"/>
  <c r="J212" i="7"/>
  <c r="Z212" i="7" s="1"/>
  <c r="X211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K211" i="7"/>
  <c r="J211" i="7"/>
  <c r="Z211" i="7" s="1"/>
  <c r="X210" i="7"/>
  <c r="W210" i="7"/>
  <c r="V210" i="7"/>
  <c r="U210" i="7"/>
  <c r="T210" i="7"/>
  <c r="S210" i="7"/>
  <c r="R210" i="7"/>
  <c r="Q210" i="7"/>
  <c r="P210" i="7"/>
  <c r="O210" i="7"/>
  <c r="N210" i="7"/>
  <c r="M210" i="7"/>
  <c r="L210" i="7"/>
  <c r="K210" i="7"/>
  <c r="J210" i="7"/>
  <c r="Z210" i="7" s="1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J209" i="7"/>
  <c r="Z209" i="7" s="1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Z208" i="7" s="1"/>
  <c r="X207" i="7"/>
  <c r="W207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Z207" i="7" s="1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Z206" i="7" s="1"/>
  <c r="X205" i="7"/>
  <c r="W205" i="7"/>
  <c r="V205" i="7"/>
  <c r="U205" i="7"/>
  <c r="T205" i="7"/>
  <c r="S205" i="7"/>
  <c r="R205" i="7"/>
  <c r="Q205" i="7"/>
  <c r="P205" i="7"/>
  <c r="O205" i="7"/>
  <c r="N205" i="7"/>
  <c r="M205" i="7"/>
  <c r="L205" i="7"/>
  <c r="K205" i="7"/>
  <c r="J205" i="7"/>
  <c r="Z205" i="7" s="1"/>
  <c r="X204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Z204" i="7" s="1"/>
  <c r="X203" i="7"/>
  <c r="W203" i="7"/>
  <c r="V203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Z203" i="7" s="1"/>
  <c r="X202" i="7"/>
  <c r="W202" i="7"/>
  <c r="V202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Z202" i="7" s="1"/>
  <c r="X201" i="7"/>
  <c r="W201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Z201" i="7" s="1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Z200" i="7" s="1"/>
  <c r="X199" i="7"/>
  <c r="W199" i="7"/>
  <c r="V199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Z199" i="7" s="1"/>
  <c r="X198" i="7"/>
  <c r="W198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Z198" i="7" s="1"/>
  <c r="X197" i="7"/>
  <c r="W197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Z197" i="7" s="1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Z196" i="7" s="1"/>
  <c r="X195" i="7"/>
  <c r="W195" i="7"/>
  <c r="V195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Z195" i="7" s="1"/>
  <c r="X194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Z194" i="7" s="1"/>
  <c r="X193" i="7"/>
  <c r="W193" i="7"/>
  <c r="V193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Z193" i="7" s="1"/>
  <c r="X192" i="7"/>
  <c r="W192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Z192" i="7" s="1"/>
  <c r="X191" i="7"/>
  <c r="W191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Z191" i="7" s="1"/>
  <c r="X190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Z190" i="7" s="1"/>
  <c r="X189" i="7"/>
  <c r="W189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Z189" i="7" s="1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Z188" i="7" s="1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Z187" i="7" s="1"/>
  <c r="X186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Z186" i="7" s="1"/>
  <c r="X185" i="7"/>
  <c r="W185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Z185" i="7" s="1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Z184" i="7" s="1"/>
  <c r="X183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Z183" i="7" s="1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Z182" i="7" s="1"/>
  <c r="X181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Z181" i="7" s="1"/>
  <c r="X180" i="7"/>
  <c r="W180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Z180" i="7" s="1"/>
  <c r="X179" i="7"/>
  <c r="W179" i="7"/>
  <c r="V179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Z179" i="7" s="1"/>
  <c r="X178" i="7"/>
  <c r="W178" i="7"/>
  <c r="V178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Z178" i="7" s="1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Z177" i="7" s="1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Z176" i="7" s="1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Z175" i="7" s="1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Z174" i="7" s="1"/>
  <c r="X173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Z173" i="7" s="1"/>
  <c r="X172" i="7"/>
  <c r="W172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Z172" i="7" s="1"/>
  <c r="X171" i="7"/>
  <c r="W171" i="7"/>
  <c r="V171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Z171" i="7" s="1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Z170" i="7" s="1"/>
  <c r="X169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Z169" i="7" s="1"/>
  <c r="X168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Z168" i="7" s="1"/>
  <c r="X167" i="7"/>
  <c r="W167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Z167" i="7" s="1"/>
  <c r="X166" i="7"/>
  <c r="W166" i="7"/>
  <c r="V166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Z166" i="7" s="1"/>
  <c r="X165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Z165" i="7" s="1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Z164" i="7" s="1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Z163" i="7" s="1"/>
  <c r="X162" i="7"/>
  <c r="W162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Z162" i="7" s="1"/>
  <c r="X161" i="7"/>
  <c r="W161" i="7"/>
  <c r="V161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Z161" i="7" s="1"/>
  <c r="X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Z160" i="7" s="1"/>
  <c r="X159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Z159" i="7" s="1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Z158" i="7" s="1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Z157" i="7" s="1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Z156" i="7" s="1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Z155" i="7" s="1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Z154" i="7" s="1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Z153" i="7" s="1"/>
  <c r="X152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Z152" i="7" s="1"/>
  <c r="X151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Z151" i="7" s="1"/>
  <c r="X150" i="7"/>
  <c r="W150" i="7"/>
  <c r="V150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Z150" i="7" s="1"/>
  <c r="X149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Z149" i="7" s="1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Z148" i="7" s="1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Z147" i="7" s="1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Z146" i="7" s="1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Z145" i="7" s="1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Z144" i="7" s="1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Z143" i="7" s="1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Z142" i="7" s="1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Z141" i="7" s="1"/>
  <c r="X140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Z140" i="7" s="1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Z139" i="7" s="1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Z138" i="7" s="1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Z137" i="7" s="1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Z136" i="7" s="1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Z135" i="7" s="1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Z134" i="7" s="1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Z133" i="7" s="1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Z132" i="7" s="1"/>
  <c r="X131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Z131" i="7" s="1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Z130" i="7" s="1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Z129" i="7" s="1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Z128" i="7" s="1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Z127" i="7" s="1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Z126" i="7" s="1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Z125" i="7" s="1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Z124" i="7" s="1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Z123" i="7" s="1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Z122" i="7" s="1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Z121" i="7" s="1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Z120" i="7" s="1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Z119" i="7" s="1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Z118" i="7" s="1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Z117" i="7" s="1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Z116" i="7" s="1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Z115" i="7" s="1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Z114" i="7" s="1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Z113" i="7" s="1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Z112" i="7" s="1"/>
  <c r="X111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Z111" i="7" s="1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Z110" i="7" s="1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Z109" i="7" s="1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Z108" i="7" s="1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Z107" i="7" s="1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Z106" i="7" s="1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Z105" i="7" s="1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Z104" i="7" s="1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Z103" i="7" s="1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Z102" i="7" s="1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Z101" i="7" s="1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Z100" i="7" s="1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Z99" i="7" s="1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Z98" i="7" s="1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Z97" i="7" s="1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Z96" i="7" s="1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Z95" i="7" s="1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Z94" i="7" s="1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Z93" i="7" s="1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Z92" i="7" s="1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Z91" i="7" s="1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Z90" i="7" s="1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Z89" i="7" s="1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Z88" i="7" s="1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Z87" i="7" s="1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Z86" i="7" s="1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Z85" i="7" s="1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Z84" i="7" s="1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Z83" i="7" s="1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Z82" i="7" s="1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Z81" i="7" s="1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Z80" i="7" s="1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Z79" i="7" s="1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Z78" i="7" s="1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Z77" i="7" s="1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Z76" i="7" s="1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Z75" i="7" s="1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Z74" i="7" s="1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Z73" i="7" s="1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Z72" i="7" s="1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Z71" i="7" s="1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Z70" i="7" s="1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Z69" i="7" s="1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Z68" i="7" s="1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Z67" i="7" s="1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Z66" i="7" s="1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Z65" i="7" s="1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Z64" i="7" s="1"/>
  <c r="K680" i="4"/>
  <c r="K679" i="4"/>
  <c r="K678" i="4"/>
  <c r="K677" i="4"/>
  <c r="K676" i="4"/>
  <c r="K675" i="4"/>
  <c r="K674" i="4"/>
  <c r="K673" i="4"/>
  <c r="K672" i="4"/>
  <c r="K671" i="4"/>
  <c r="K670" i="4"/>
  <c r="K669" i="4"/>
  <c r="E680" i="4"/>
  <c r="J680" i="4" s="1"/>
  <c r="D680" i="4"/>
  <c r="I680" i="4" s="1"/>
  <c r="E679" i="4"/>
  <c r="J679" i="4" s="1"/>
  <c r="D679" i="4"/>
  <c r="I679" i="4" s="1"/>
  <c r="L679" i="4" s="1"/>
  <c r="M679" i="4" s="1"/>
  <c r="E678" i="4"/>
  <c r="J678" i="4" s="1"/>
  <c r="D678" i="4"/>
  <c r="I678" i="4" s="1"/>
  <c r="E677" i="4"/>
  <c r="J677" i="4" s="1"/>
  <c r="D677" i="4"/>
  <c r="I677" i="4" s="1"/>
  <c r="E676" i="4"/>
  <c r="J676" i="4" s="1"/>
  <c r="D676" i="4"/>
  <c r="I676" i="4" s="1"/>
  <c r="L676" i="4" s="1"/>
  <c r="M676" i="4" s="1"/>
  <c r="E675" i="4"/>
  <c r="J675" i="4" s="1"/>
  <c r="D675" i="4"/>
  <c r="I675" i="4" s="1"/>
  <c r="L675" i="4" s="1"/>
  <c r="M675" i="4" s="1"/>
  <c r="E674" i="4"/>
  <c r="J674" i="4" s="1"/>
  <c r="D674" i="4"/>
  <c r="I674" i="4" s="1"/>
  <c r="L674" i="4" s="1"/>
  <c r="M674" i="4" s="1"/>
  <c r="E673" i="4"/>
  <c r="J673" i="4" s="1"/>
  <c r="D673" i="4"/>
  <c r="I673" i="4" s="1"/>
  <c r="L673" i="4" s="1"/>
  <c r="M673" i="4" s="1"/>
  <c r="E672" i="4"/>
  <c r="J672" i="4" s="1"/>
  <c r="D672" i="4"/>
  <c r="I672" i="4" s="1"/>
  <c r="L672" i="4" s="1"/>
  <c r="M672" i="4" s="1"/>
  <c r="E671" i="4"/>
  <c r="J671" i="4" s="1"/>
  <c r="D671" i="4"/>
  <c r="I671" i="4" s="1"/>
  <c r="L671" i="4" s="1"/>
  <c r="M671" i="4" s="1"/>
  <c r="E670" i="4"/>
  <c r="J670" i="4" s="1"/>
  <c r="D670" i="4"/>
  <c r="I670" i="4" s="1"/>
  <c r="L670" i="4" s="1"/>
  <c r="M670" i="4" s="1"/>
  <c r="E669" i="4"/>
  <c r="J669" i="4" s="1"/>
  <c r="D669" i="4"/>
  <c r="I669" i="4" s="1"/>
  <c r="L669" i="4" s="1"/>
  <c r="M669" i="4" s="1"/>
  <c r="E668" i="4"/>
  <c r="D668" i="4"/>
  <c r="I668" i="4" s="1"/>
  <c r="E667" i="4"/>
  <c r="J667" i="4" s="1"/>
  <c r="D667" i="4"/>
  <c r="E666" i="4"/>
  <c r="D666" i="4"/>
  <c r="I666" i="4" s="1"/>
  <c r="E665" i="4"/>
  <c r="D665" i="4"/>
  <c r="I665" i="4" s="1"/>
  <c r="E664" i="4"/>
  <c r="D664" i="4"/>
  <c r="I664" i="4" s="1"/>
  <c r="E663" i="4"/>
  <c r="D663" i="4"/>
  <c r="E662" i="4"/>
  <c r="D662" i="4"/>
  <c r="I662" i="4" s="1"/>
  <c r="E661" i="4"/>
  <c r="D661" i="4"/>
  <c r="E660" i="4"/>
  <c r="D660" i="4"/>
  <c r="I660" i="4" s="1"/>
  <c r="E659" i="4"/>
  <c r="D659" i="4"/>
  <c r="E658" i="4"/>
  <c r="D658" i="4"/>
  <c r="E657" i="4"/>
  <c r="D657" i="4"/>
  <c r="I657" i="4" s="1"/>
  <c r="E656" i="4"/>
  <c r="D656" i="4"/>
  <c r="I656" i="4" s="1"/>
  <c r="L656" i="4" s="1"/>
  <c r="M656" i="4" s="1"/>
  <c r="E655" i="4"/>
  <c r="D655" i="4"/>
  <c r="E654" i="4"/>
  <c r="D654" i="4"/>
  <c r="I654" i="4" s="1"/>
  <c r="E653" i="4"/>
  <c r="D653" i="4"/>
  <c r="K668" i="4"/>
  <c r="J668" i="4"/>
  <c r="K667" i="4"/>
  <c r="I667" i="4"/>
  <c r="L667" i="4" s="1"/>
  <c r="M667" i="4" s="1"/>
  <c r="K666" i="4"/>
  <c r="J666" i="4"/>
  <c r="K665" i="4"/>
  <c r="J665" i="4"/>
  <c r="K664" i="4"/>
  <c r="J664" i="4"/>
  <c r="K663" i="4"/>
  <c r="J663" i="4"/>
  <c r="I663" i="4"/>
  <c r="K662" i="4"/>
  <c r="J662" i="4"/>
  <c r="K661" i="4"/>
  <c r="J661" i="4"/>
  <c r="I661" i="4"/>
  <c r="K660" i="4"/>
  <c r="J660" i="4"/>
  <c r="K659" i="4"/>
  <c r="J659" i="4"/>
  <c r="I659" i="4"/>
  <c r="L659" i="4" s="1"/>
  <c r="M659" i="4" s="1"/>
  <c r="K658" i="4"/>
  <c r="J658" i="4"/>
  <c r="I658" i="4"/>
  <c r="K657" i="4"/>
  <c r="J657" i="4"/>
  <c r="K656" i="4"/>
  <c r="J656" i="4"/>
  <c r="K655" i="4"/>
  <c r="J655" i="4"/>
  <c r="I655" i="4"/>
  <c r="K654" i="4"/>
  <c r="J654" i="4"/>
  <c r="K653" i="4"/>
  <c r="J653" i="4"/>
  <c r="I653" i="4"/>
  <c r="K652" i="4"/>
  <c r="E652" i="4"/>
  <c r="J652" i="4" s="1"/>
  <c r="D652" i="4"/>
  <c r="I652" i="4" s="1"/>
  <c r="L652" i="4" s="1"/>
  <c r="M652" i="4" s="1"/>
  <c r="K651" i="4"/>
  <c r="K650" i="4"/>
  <c r="K649" i="4"/>
  <c r="K648" i="4"/>
  <c r="K647" i="4"/>
  <c r="K646" i="4"/>
  <c r="K645" i="4"/>
  <c r="K644" i="4"/>
  <c r="K643" i="4"/>
  <c r="K642" i="4"/>
  <c r="K641" i="4"/>
  <c r="K640" i="4"/>
  <c r="K639" i="4"/>
  <c r="K638" i="4"/>
  <c r="K637" i="4"/>
  <c r="K636" i="4"/>
  <c r="K635" i="4"/>
  <c r="K634" i="4"/>
  <c r="K633" i="4"/>
  <c r="K632" i="4"/>
  <c r="K631" i="4"/>
  <c r="K630" i="4"/>
  <c r="K629" i="4"/>
  <c r="K628" i="4"/>
  <c r="K627" i="4"/>
  <c r="K626" i="4"/>
  <c r="K625" i="4"/>
  <c r="K624" i="4"/>
  <c r="K623" i="4"/>
  <c r="K622" i="4"/>
  <c r="K621" i="4"/>
  <c r="K620" i="4"/>
  <c r="K619" i="4"/>
  <c r="K618" i="4"/>
  <c r="K617" i="4"/>
  <c r="K616" i="4"/>
  <c r="K615" i="4"/>
  <c r="K614" i="4"/>
  <c r="K613" i="4"/>
  <c r="K612" i="4"/>
  <c r="K611" i="4"/>
  <c r="K610" i="4"/>
  <c r="K609" i="4"/>
  <c r="K608" i="4"/>
  <c r="K607" i="4"/>
  <c r="K606" i="4"/>
  <c r="K605" i="4"/>
  <c r="K604" i="4"/>
  <c r="K603" i="4"/>
  <c r="K602" i="4"/>
  <c r="K601" i="4"/>
  <c r="K600" i="4"/>
  <c r="K599" i="4"/>
  <c r="K598" i="4"/>
  <c r="K597" i="4"/>
  <c r="K596" i="4"/>
  <c r="K595" i="4"/>
  <c r="K594" i="4"/>
  <c r="K593" i="4"/>
  <c r="K592" i="4"/>
  <c r="K591" i="4"/>
  <c r="K590" i="4"/>
  <c r="K589" i="4"/>
  <c r="K588" i="4"/>
  <c r="K587" i="4"/>
  <c r="K586" i="4"/>
  <c r="K585" i="4"/>
  <c r="K584" i="4"/>
  <c r="K583" i="4"/>
  <c r="K582" i="4"/>
  <c r="K581" i="4"/>
  <c r="K580" i="4"/>
  <c r="K579" i="4"/>
  <c r="K578" i="4"/>
  <c r="K577" i="4"/>
  <c r="K576" i="4"/>
  <c r="K575" i="4"/>
  <c r="K574" i="4"/>
  <c r="K573" i="4"/>
  <c r="K572" i="4"/>
  <c r="K571" i="4"/>
  <c r="K570" i="4"/>
  <c r="K569" i="4"/>
  <c r="K568" i="4"/>
  <c r="K567" i="4"/>
  <c r="K566" i="4"/>
  <c r="K565" i="4"/>
  <c r="K564" i="4"/>
  <c r="K563" i="4"/>
  <c r="K562" i="4"/>
  <c r="K561" i="4"/>
  <c r="K560" i="4"/>
  <c r="E651" i="4"/>
  <c r="J651" i="4" s="1"/>
  <c r="D651" i="4"/>
  <c r="I651" i="4" s="1"/>
  <c r="L651" i="4" s="1"/>
  <c r="M651" i="4" s="1"/>
  <c r="E650" i="4"/>
  <c r="J650" i="4" s="1"/>
  <c r="D650" i="4"/>
  <c r="I650" i="4" s="1"/>
  <c r="L650" i="4" s="1"/>
  <c r="M650" i="4" s="1"/>
  <c r="E649" i="4"/>
  <c r="J649" i="4" s="1"/>
  <c r="D649" i="4"/>
  <c r="I649" i="4" s="1"/>
  <c r="E648" i="4"/>
  <c r="J648" i="4" s="1"/>
  <c r="D648" i="4"/>
  <c r="I648" i="4" s="1"/>
  <c r="L648" i="4" s="1"/>
  <c r="M648" i="4" s="1"/>
  <c r="E647" i="4"/>
  <c r="J647" i="4" s="1"/>
  <c r="D647" i="4"/>
  <c r="I647" i="4" s="1"/>
  <c r="L647" i="4" s="1"/>
  <c r="M647" i="4" s="1"/>
  <c r="E646" i="4"/>
  <c r="J646" i="4" s="1"/>
  <c r="D646" i="4"/>
  <c r="I646" i="4" s="1"/>
  <c r="E645" i="4"/>
  <c r="J645" i="4" s="1"/>
  <c r="D645" i="4"/>
  <c r="I645" i="4" s="1"/>
  <c r="E644" i="4"/>
  <c r="J644" i="4" s="1"/>
  <c r="D644" i="4"/>
  <c r="I644" i="4" s="1"/>
  <c r="E643" i="4"/>
  <c r="J643" i="4" s="1"/>
  <c r="D643" i="4"/>
  <c r="I643" i="4" s="1"/>
  <c r="L643" i="4" s="1"/>
  <c r="M643" i="4" s="1"/>
  <c r="E642" i="4"/>
  <c r="J642" i="4" s="1"/>
  <c r="D642" i="4"/>
  <c r="I642" i="4" s="1"/>
  <c r="L642" i="4" s="1"/>
  <c r="M642" i="4" s="1"/>
  <c r="E641" i="4"/>
  <c r="J641" i="4" s="1"/>
  <c r="D641" i="4"/>
  <c r="I641" i="4" s="1"/>
  <c r="E640" i="4"/>
  <c r="J640" i="4" s="1"/>
  <c r="D640" i="4"/>
  <c r="I640" i="4" s="1"/>
  <c r="L640" i="4" s="1"/>
  <c r="M640" i="4" s="1"/>
  <c r="E639" i="4"/>
  <c r="J639" i="4" s="1"/>
  <c r="D639" i="4"/>
  <c r="I639" i="4" s="1"/>
  <c r="L639" i="4" s="1"/>
  <c r="M639" i="4" s="1"/>
  <c r="E638" i="4"/>
  <c r="J638" i="4" s="1"/>
  <c r="D638" i="4"/>
  <c r="I638" i="4" s="1"/>
  <c r="E637" i="4"/>
  <c r="J637" i="4" s="1"/>
  <c r="D637" i="4"/>
  <c r="I637" i="4" s="1"/>
  <c r="E636" i="4"/>
  <c r="J636" i="4" s="1"/>
  <c r="D636" i="4"/>
  <c r="I636" i="4" s="1"/>
  <c r="E635" i="4"/>
  <c r="J635" i="4" s="1"/>
  <c r="D635" i="4"/>
  <c r="I635" i="4" s="1"/>
  <c r="L635" i="4" s="1"/>
  <c r="M635" i="4" s="1"/>
  <c r="E634" i="4"/>
  <c r="J634" i="4" s="1"/>
  <c r="D634" i="4"/>
  <c r="I634" i="4" s="1"/>
  <c r="L634" i="4" s="1"/>
  <c r="M634" i="4" s="1"/>
  <c r="E633" i="4"/>
  <c r="J633" i="4" s="1"/>
  <c r="D633" i="4"/>
  <c r="I633" i="4" s="1"/>
  <c r="E632" i="4"/>
  <c r="J632" i="4" s="1"/>
  <c r="D632" i="4"/>
  <c r="I632" i="4" s="1"/>
  <c r="L632" i="4" s="1"/>
  <c r="M632" i="4" s="1"/>
  <c r="E631" i="4"/>
  <c r="J631" i="4" s="1"/>
  <c r="D631" i="4"/>
  <c r="I631" i="4" s="1"/>
  <c r="L631" i="4" s="1"/>
  <c r="M631" i="4" s="1"/>
  <c r="E630" i="4"/>
  <c r="J630" i="4" s="1"/>
  <c r="D630" i="4"/>
  <c r="I630" i="4" s="1"/>
  <c r="E629" i="4"/>
  <c r="J629" i="4" s="1"/>
  <c r="D629" i="4"/>
  <c r="I629" i="4" s="1"/>
  <c r="E628" i="4"/>
  <c r="J628" i="4" s="1"/>
  <c r="D628" i="4"/>
  <c r="E627" i="4"/>
  <c r="J627" i="4" s="1"/>
  <c r="D627" i="4"/>
  <c r="E626" i="4"/>
  <c r="J626" i="4" s="1"/>
  <c r="D626" i="4"/>
  <c r="E625" i="4"/>
  <c r="J625" i="4" s="1"/>
  <c r="D625" i="4"/>
  <c r="E624" i="4"/>
  <c r="J624" i="4" s="1"/>
  <c r="D624" i="4"/>
  <c r="E623" i="4"/>
  <c r="J623" i="4" s="1"/>
  <c r="D623" i="4"/>
  <c r="E622" i="4"/>
  <c r="J622" i="4" s="1"/>
  <c r="D622" i="4"/>
  <c r="I622" i="4" s="1"/>
  <c r="E621" i="4"/>
  <c r="J621" i="4" s="1"/>
  <c r="D621" i="4"/>
  <c r="E620" i="4"/>
  <c r="J620" i="4" s="1"/>
  <c r="D620" i="4"/>
  <c r="E619" i="4"/>
  <c r="J619" i="4" s="1"/>
  <c r="D619" i="4"/>
  <c r="E618" i="4"/>
  <c r="J618" i="4" s="1"/>
  <c r="D618" i="4"/>
  <c r="E617" i="4"/>
  <c r="J617" i="4" s="1"/>
  <c r="D617" i="4"/>
  <c r="E616" i="4"/>
  <c r="J616" i="4" s="1"/>
  <c r="D616" i="4"/>
  <c r="E615" i="4"/>
  <c r="J615" i="4" s="1"/>
  <c r="D615" i="4"/>
  <c r="E614" i="4"/>
  <c r="J614" i="4" s="1"/>
  <c r="D614" i="4"/>
  <c r="E613" i="4"/>
  <c r="J613" i="4" s="1"/>
  <c r="D613" i="4"/>
  <c r="E612" i="4"/>
  <c r="J612" i="4" s="1"/>
  <c r="D612" i="4"/>
  <c r="E611" i="4"/>
  <c r="J611" i="4" s="1"/>
  <c r="D611" i="4"/>
  <c r="E610" i="4"/>
  <c r="J610" i="4" s="1"/>
  <c r="D610" i="4"/>
  <c r="I610" i="4" s="1"/>
  <c r="E609" i="4"/>
  <c r="J609" i="4" s="1"/>
  <c r="D609" i="4"/>
  <c r="E608" i="4"/>
  <c r="J608" i="4" s="1"/>
  <c r="D608" i="4"/>
  <c r="E607" i="4"/>
  <c r="J607" i="4" s="1"/>
  <c r="D607" i="4"/>
  <c r="E606" i="4"/>
  <c r="J606" i="4" s="1"/>
  <c r="D606" i="4"/>
  <c r="E605" i="4"/>
  <c r="J605" i="4" s="1"/>
  <c r="D605" i="4"/>
  <c r="E604" i="4"/>
  <c r="J604" i="4" s="1"/>
  <c r="D604" i="4"/>
  <c r="E603" i="4"/>
  <c r="J603" i="4" s="1"/>
  <c r="D603" i="4"/>
  <c r="E602" i="4"/>
  <c r="J602" i="4" s="1"/>
  <c r="D602" i="4"/>
  <c r="E601" i="4"/>
  <c r="J601" i="4" s="1"/>
  <c r="D601" i="4"/>
  <c r="E600" i="4"/>
  <c r="J600" i="4" s="1"/>
  <c r="D600" i="4"/>
  <c r="E599" i="4"/>
  <c r="J599" i="4" s="1"/>
  <c r="D599" i="4"/>
  <c r="E598" i="4"/>
  <c r="J598" i="4" s="1"/>
  <c r="D598" i="4"/>
  <c r="E597" i="4"/>
  <c r="J597" i="4" s="1"/>
  <c r="D597" i="4"/>
  <c r="E596" i="4"/>
  <c r="J596" i="4" s="1"/>
  <c r="D596" i="4"/>
  <c r="E595" i="4"/>
  <c r="J595" i="4" s="1"/>
  <c r="D595" i="4"/>
  <c r="E594" i="4"/>
  <c r="J594" i="4" s="1"/>
  <c r="D594" i="4"/>
  <c r="E593" i="4"/>
  <c r="J593" i="4" s="1"/>
  <c r="D593" i="4"/>
  <c r="E592" i="4"/>
  <c r="J592" i="4" s="1"/>
  <c r="D592" i="4"/>
  <c r="E591" i="4"/>
  <c r="J591" i="4" s="1"/>
  <c r="D591" i="4"/>
  <c r="E590" i="4"/>
  <c r="J590" i="4" s="1"/>
  <c r="D590" i="4"/>
  <c r="E589" i="4"/>
  <c r="J589" i="4" s="1"/>
  <c r="D589" i="4"/>
  <c r="E588" i="4"/>
  <c r="J588" i="4" s="1"/>
  <c r="D588" i="4"/>
  <c r="E587" i="4"/>
  <c r="J587" i="4" s="1"/>
  <c r="D587" i="4"/>
  <c r="E586" i="4"/>
  <c r="J586" i="4" s="1"/>
  <c r="D586" i="4"/>
  <c r="E585" i="4"/>
  <c r="J585" i="4" s="1"/>
  <c r="D585" i="4"/>
  <c r="E584" i="4"/>
  <c r="J584" i="4" s="1"/>
  <c r="D584" i="4"/>
  <c r="E583" i="4"/>
  <c r="J583" i="4" s="1"/>
  <c r="D583" i="4"/>
  <c r="E582" i="4"/>
  <c r="J582" i="4" s="1"/>
  <c r="D582" i="4"/>
  <c r="E581" i="4"/>
  <c r="J581" i="4" s="1"/>
  <c r="D581" i="4"/>
  <c r="E580" i="4"/>
  <c r="J580" i="4" s="1"/>
  <c r="D580" i="4"/>
  <c r="E579" i="4"/>
  <c r="J579" i="4" s="1"/>
  <c r="D579" i="4"/>
  <c r="E578" i="4"/>
  <c r="J578" i="4" s="1"/>
  <c r="D578" i="4"/>
  <c r="E577" i="4"/>
  <c r="J577" i="4" s="1"/>
  <c r="D577" i="4"/>
  <c r="E576" i="4"/>
  <c r="J576" i="4" s="1"/>
  <c r="D576" i="4"/>
  <c r="E575" i="4"/>
  <c r="J575" i="4" s="1"/>
  <c r="D575" i="4"/>
  <c r="E574" i="4"/>
  <c r="J574" i="4" s="1"/>
  <c r="D574" i="4"/>
  <c r="E573" i="4"/>
  <c r="J573" i="4" s="1"/>
  <c r="D573" i="4"/>
  <c r="E572" i="4"/>
  <c r="J572" i="4" s="1"/>
  <c r="D572" i="4"/>
  <c r="E571" i="4"/>
  <c r="J571" i="4" s="1"/>
  <c r="D571" i="4"/>
  <c r="E570" i="4"/>
  <c r="J570" i="4" s="1"/>
  <c r="D570" i="4"/>
  <c r="E569" i="4"/>
  <c r="J569" i="4" s="1"/>
  <c r="D569" i="4"/>
  <c r="E568" i="4"/>
  <c r="J568" i="4" s="1"/>
  <c r="D568" i="4"/>
  <c r="E567" i="4"/>
  <c r="J567" i="4" s="1"/>
  <c r="D567" i="4"/>
  <c r="E566" i="4"/>
  <c r="J566" i="4" s="1"/>
  <c r="D566" i="4"/>
  <c r="E565" i="4"/>
  <c r="J565" i="4" s="1"/>
  <c r="D565" i="4"/>
  <c r="E564" i="4"/>
  <c r="J564" i="4" s="1"/>
  <c r="D564" i="4"/>
  <c r="E563" i="4"/>
  <c r="J563" i="4" s="1"/>
  <c r="D563" i="4"/>
  <c r="E562" i="4"/>
  <c r="J562" i="4" s="1"/>
  <c r="D562" i="4"/>
  <c r="E561" i="4"/>
  <c r="J561" i="4" s="1"/>
  <c r="D561" i="4"/>
  <c r="E560" i="4"/>
  <c r="J560" i="4" s="1"/>
  <c r="D560" i="4"/>
  <c r="I560" i="4" s="1"/>
  <c r="L560" i="4" s="1"/>
  <c r="M560" i="4" s="1"/>
  <c r="K559" i="4"/>
  <c r="E559" i="4"/>
  <c r="J559" i="4" s="1"/>
  <c r="D559" i="4"/>
  <c r="I559" i="4" s="1"/>
  <c r="E558" i="4"/>
  <c r="J558" i="4" s="1"/>
  <c r="D558" i="4"/>
  <c r="E557" i="4"/>
  <c r="D557" i="4"/>
  <c r="I557" i="4" s="1"/>
  <c r="E556" i="4"/>
  <c r="J556" i="4" s="1"/>
  <c r="D556" i="4"/>
  <c r="E555" i="4"/>
  <c r="J555" i="4" s="1"/>
  <c r="D555" i="4"/>
  <c r="E554" i="4"/>
  <c r="J554" i="4" s="1"/>
  <c r="D554" i="4"/>
  <c r="E553" i="4"/>
  <c r="D553" i="4"/>
  <c r="E552" i="4"/>
  <c r="J552" i="4" s="1"/>
  <c r="D552" i="4"/>
  <c r="E551" i="4"/>
  <c r="J551" i="4" s="1"/>
  <c r="D551" i="4"/>
  <c r="E550" i="4"/>
  <c r="J550" i="4" s="1"/>
  <c r="D550" i="4"/>
  <c r="E549" i="4"/>
  <c r="D549" i="4"/>
  <c r="I549" i="4" s="1"/>
  <c r="E548" i="4"/>
  <c r="J548" i="4" s="1"/>
  <c r="D548" i="4"/>
  <c r="E547" i="4"/>
  <c r="J547" i="4" s="1"/>
  <c r="D547" i="4"/>
  <c r="E546" i="4"/>
  <c r="J546" i="4" s="1"/>
  <c r="D546" i="4"/>
  <c r="E545" i="4"/>
  <c r="D545" i="4"/>
  <c r="E544" i="4"/>
  <c r="J544" i="4" s="1"/>
  <c r="D544" i="4"/>
  <c r="E543" i="4"/>
  <c r="J543" i="4" s="1"/>
  <c r="D543" i="4"/>
  <c r="I543" i="4" s="1"/>
  <c r="E542" i="4"/>
  <c r="J542" i="4" s="1"/>
  <c r="D542" i="4"/>
  <c r="E541" i="4"/>
  <c r="D541" i="4"/>
  <c r="I541" i="4" s="1"/>
  <c r="E540" i="4"/>
  <c r="D540" i="4"/>
  <c r="E539" i="4"/>
  <c r="J539" i="4" s="1"/>
  <c r="D539" i="4"/>
  <c r="E538" i="4"/>
  <c r="J538" i="4" s="1"/>
  <c r="D538" i="4"/>
  <c r="E537" i="4"/>
  <c r="D537" i="4"/>
  <c r="I537" i="4" s="1"/>
  <c r="E536" i="4"/>
  <c r="J536" i="4" s="1"/>
  <c r="D536" i="4"/>
  <c r="E535" i="4"/>
  <c r="J535" i="4" s="1"/>
  <c r="D535" i="4"/>
  <c r="I535" i="4" s="1"/>
  <c r="E534" i="4"/>
  <c r="D534" i="4"/>
  <c r="E533" i="4"/>
  <c r="D533" i="4"/>
  <c r="I533" i="4" s="1"/>
  <c r="E532" i="4"/>
  <c r="J532" i="4" s="1"/>
  <c r="D532" i="4"/>
  <c r="E531" i="4"/>
  <c r="D531" i="4"/>
  <c r="I531" i="4" s="1"/>
  <c r="E530" i="4"/>
  <c r="J530" i="4" s="1"/>
  <c r="D530" i="4"/>
  <c r="E529" i="4"/>
  <c r="D529" i="4"/>
  <c r="I529" i="4" s="1"/>
  <c r="E528" i="4"/>
  <c r="D528" i="4"/>
  <c r="I528" i="4" s="1"/>
  <c r="E527" i="4"/>
  <c r="D527" i="4"/>
  <c r="E526" i="4"/>
  <c r="J526" i="4" s="1"/>
  <c r="D526" i="4"/>
  <c r="E525" i="4"/>
  <c r="D525" i="4"/>
  <c r="E524" i="4"/>
  <c r="D524" i="4"/>
  <c r="I524" i="4" s="1"/>
  <c r="E523" i="4"/>
  <c r="J523" i="4" s="1"/>
  <c r="D523" i="4"/>
  <c r="I523" i="4" s="1"/>
  <c r="E522" i="4"/>
  <c r="D522" i="4"/>
  <c r="E521" i="4"/>
  <c r="J521" i="4" s="1"/>
  <c r="D521" i="4"/>
  <c r="I521" i="4" s="1"/>
  <c r="E520" i="4"/>
  <c r="D520" i="4"/>
  <c r="E519" i="4"/>
  <c r="J519" i="4" s="1"/>
  <c r="D519" i="4"/>
  <c r="E518" i="4"/>
  <c r="D518" i="4"/>
  <c r="E517" i="4"/>
  <c r="J517" i="4" s="1"/>
  <c r="D517" i="4"/>
  <c r="E516" i="4"/>
  <c r="D516" i="4"/>
  <c r="E515" i="4"/>
  <c r="J515" i="4" s="1"/>
  <c r="D515" i="4"/>
  <c r="E514" i="4"/>
  <c r="D514" i="4"/>
  <c r="E513" i="4"/>
  <c r="D513" i="4"/>
  <c r="I513" i="4" s="1"/>
  <c r="E512" i="4"/>
  <c r="D512" i="4"/>
  <c r="E511" i="4"/>
  <c r="D511" i="4"/>
  <c r="I511" i="4" s="1"/>
  <c r="E510" i="4"/>
  <c r="D510" i="4"/>
  <c r="E509" i="4"/>
  <c r="D509" i="4"/>
  <c r="I509" i="4" s="1"/>
  <c r="E508" i="4"/>
  <c r="J508" i="4" s="1"/>
  <c r="D508" i="4"/>
  <c r="E507" i="4"/>
  <c r="D507" i="4"/>
  <c r="I507" i="4" s="1"/>
  <c r="E506" i="4"/>
  <c r="D506" i="4"/>
  <c r="E505" i="4"/>
  <c r="D505" i="4"/>
  <c r="I505" i="4" s="1"/>
  <c r="E504" i="4"/>
  <c r="D504" i="4"/>
  <c r="E503" i="4"/>
  <c r="J503" i="4" s="1"/>
  <c r="D503" i="4"/>
  <c r="I503" i="4" s="1"/>
  <c r="E502" i="4"/>
  <c r="J502" i="4" s="1"/>
  <c r="D502" i="4"/>
  <c r="E501" i="4"/>
  <c r="D501" i="4"/>
  <c r="I501" i="4" s="1"/>
  <c r="E500" i="4"/>
  <c r="D500" i="4"/>
  <c r="I500" i="4" s="1"/>
  <c r="E499" i="4"/>
  <c r="J499" i="4" s="1"/>
  <c r="D499" i="4"/>
  <c r="I499" i="4" s="1"/>
  <c r="E498" i="4"/>
  <c r="D498" i="4"/>
  <c r="E497" i="4"/>
  <c r="D497" i="4"/>
  <c r="I497" i="4" s="1"/>
  <c r="E496" i="4"/>
  <c r="D496" i="4"/>
  <c r="E495" i="4"/>
  <c r="D495" i="4"/>
  <c r="I495" i="4" s="1"/>
  <c r="E494" i="4"/>
  <c r="J494" i="4" s="1"/>
  <c r="D494" i="4"/>
  <c r="E493" i="4"/>
  <c r="D493" i="4"/>
  <c r="I493" i="4" s="1"/>
  <c r="E492" i="4"/>
  <c r="D492" i="4"/>
  <c r="E491" i="4"/>
  <c r="J491" i="4" s="1"/>
  <c r="D491" i="4"/>
  <c r="E490" i="4"/>
  <c r="D490" i="4"/>
  <c r="E489" i="4"/>
  <c r="D489" i="4"/>
  <c r="E488" i="4"/>
  <c r="J488" i="4" s="1"/>
  <c r="D488" i="4"/>
  <c r="E487" i="4"/>
  <c r="D487" i="4"/>
  <c r="E486" i="4"/>
  <c r="D486" i="4"/>
  <c r="E485" i="4"/>
  <c r="D485" i="4"/>
  <c r="E484" i="4"/>
  <c r="J484" i="4" s="1"/>
  <c r="D484" i="4"/>
  <c r="E483" i="4"/>
  <c r="D483" i="4"/>
  <c r="E482" i="4"/>
  <c r="D482" i="4"/>
  <c r="E481" i="4"/>
  <c r="D481" i="4"/>
  <c r="E480" i="4"/>
  <c r="D480" i="4"/>
  <c r="E479" i="4"/>
  <c r="J479" i="4" s="1"/>
  <c r="D479" i="4"/>
  <c r="E478" i="4"/>
  <c r="D478" i="4"/>
  <c r="E477" i="4"/>
  <c r="D477" i="4"/>
  <c r="I477" i="4" s="1"/>
  <c r="E476" i="4"/>
  <c r="D476" i="4"/>
  <c r="E475" i="4"/>
  <c r="J475" i="4" s="1"/>
  <c r="D475" i="4"/>
  <c r="E474" i="4"/>
  <c r="D474" i="4"/>
  <c r="E473" i="4"/>
  <c r="D473" i="4"/>
  <c r="E472" i="4"/>
  <c r="J472" i="4" s="1"/>
  <c r="D472" i="4"/>
  <c r="E471" i="4"/>
  <c r="J471" i="4" s="1"/>
  <c r="D471" i="4"/>
  <c r="E470" i="4"/>
  <c r="J470" i="4" s="1"/>
  <c r="D470" i="4"/>
  <c r="E469" i="4"/>
  <c r="D469" i="4"/>
  <c r="E468" i="4"/>
  <c r="J468" i="4" s="1"/>
  <c r="D468" i="4"/>
  <c r="E467" i="4"/>
  <c r="D467" i="4"/>
  <c r="E466" i="4"/>
  <c r="J466" i="4" s="1"/>
  <c r="D466" i="4"/>
  <c r="E465" i="4"/>
  <c r="D465" i="4"/>
  <c r="E464" i="4"/>
  <c r="J464" i="4" s="1"/>
  <c r="D464" i="4"/>
  <c r="E463" i="4"/>
  <c r="J463" i="4" s="1"/>
  <c r="D463" i="4"/>
  <c r="E462" i="4"/>
  <c r="D462" i="4"/>
  <c r="E461" i="4"/>
  <c r="D461" i="4"/>
  <c r="E460" i="4"/>
  <c r="D460" i="4"/>
  <c r="I460" i="4" s="1"/>
  <c r="E459" i="4"/>
  <c r="J459" i="4" s="1"/>
  <c r="D459" i="4"/>
  <c r="E458" i="4"/>
  <c r="D458" i="4"/>
  <c r="E457" i="4"/>
  <c r="D457" i="4"/>
  <c r="E456" i="4"/>
  <c r="D456" i="4"/>
  <c r="I456" i="4" s="1"/>
  <c r="E455" i="4"/>
  <c r="J455" i="4" s="1"/>
  <c r="D455" i="4"/>
  <c r="E454" i="4"/>
  <c r="D454" i="4"/>
  <c r="E453" i="4"/>
  <c r="D453" i="4"/>
  <c r="I453" i="4" s="1"/>
  <c r="E452" i="4"/>
  <c r="J452" i="4" s="1"/>
  <c r="D452" i="4"/>
  <c r="E451" i="4"/>
  <c r="D451" i="4"/>
  <c r="E450" i="4"/>
  <c r="D450" i="4"/>
  <c r="E449" i="4"/>
  <c r="D449" i="4"/>
  <c r="E448" i="4"/>
  <c r="D448" i="4"/>
  <c r="E447" i="4"/>
  <c r="D447" i="4"/>
  <c r="E446" i="4"/>
  <c r="J446" i="4" s="1"/>
  <c r="D446" i="4"/>
  <c r="E445" i="4"/>
  <c r="D445" i="4"/>
  <c r="E444" i="4"/>
  <c r="D444" i="4"/>
  <c r="E443" i="4"/>
  <c r="J443" i="4" s="1"/>
  <c r="D443" i="4"/>
  <c r="E442" i="4"/>
  <c r="D442" i="4"/>
  <c r="E441" i="4"/>
  <c r="D441" i="4"/>
  <c r="E440" i="4"/>
  <c r="D440" i="4"/>
  <c r="E439" i="4"/>
  <c r="J439" i="4" s="1"/>
  <c r="D439" i="4"/>
  <c r="E438" i="4"/>
  <c r="D438" i="4"/>
  <c r="E437" i="4"/>
  <c r="D437" i="4"/>
  <c r="E436" i="4"/>
  <c r="D436" i="4"/>
  <c r="E435" i="4"/>
  <c r="J435" i="4" s="1"/>
  <c r="D435" i="4"/>
  <c r="E434" i="4"/>
  <c r="D434" i="4"/>
  <c r="E433" i="4"/>
  <c r="D433" i="4"/>
  <c r="E432" i="4"/>
  <c r="D432" i="4"/>
  <c r="E431" i="4"/>
  <c r="J431" i="4" s="1"/>
  <c r="D431" i="4"/>
  <c r="E430" i="4"/>
  <c r="D430" i="4"/>
  <c r="E429" i="4"/>
  <c r="D429" i="4"/>
  <c r="E428" i="4"/>
  <c r="D428" i="4"/>
  <c r="E427" i="4"/>
  <c r="J427" i="4" s="1"/>
  <c r="D427" i="4"/>
  <c r="E426" i="4"/>
  <c r="D426" i="4"/>
  <c r="E425" i="4"/>
  <c r="J425" i="4" s="1"/>
  <c r="D425" i="4"/>
  <c r="E424" i="4"/>
  <c r="D424" i="4"/>
  <c r="E423" i="4"/>
  <c r="J423" i="4" s="1"/>
  <c r="D423" i="4"/>
  <c r="E422" i="4"/>
  <c r="D422" i="4"/>
  <c r="E421" i="4"/>
  <c r="J421" i="4" s="1"/>
  <c r="D421" i="4"/>
  <c r="I421" i="4" s="1"/>
  <c r="E420" i="4"/>
  <c r="J420" i="4" s="1"/>
  <c r="D420" i="4"/>
  <c r="E419" i="4"/>
  <c r="J419" i="4" s="1"/>
  <c r="D419" i="4"/>
  <c r="E418" i="4"/>
  <c r="D418" i="4"/>
  <c r="E417" i="4"/>
  <c r="J417" i="4" s="1"/>
  <c r="D417" i="4"/>
  <c r="E416" i="4"/>
  <c r="D416" i="4"/>
  <c r="E415" i="4"/>
  <c r="J415" i="4" s="1"/>
  <c r="D415" i="4"/>
  <c r="I415" i="4" s="1"/>
  <c r="E414" i="4"/>
  <c r="J414" i="4" s="1"/>
  <c r="D414" i="4"/>
  <c r="E413" i="4"/>
  <c r="J413" i="4" s="1"/>
  <c r="D413" i="4"/>
  <c r="E412" i="4"/>
  <c r="D412" i="4"/>
  <c r="E411" i="4"/>
  <c r="J411" i="4" s="1"/>
  <c r="D411" i="4"/>
  <c r="E410" i="4"/>
  <c r="D410" i="4"/>
  <c r="E409" i="4"/>
  <c r="J409" i="4" s="1"/>
  <c r="D409" i="4"/>
  <c r="E408" i="4"/>
  <c r="D408" i="4"/>
  <c r="E407" i="4"/>
  <c r="J407" i="4" s="1"/>
  <c r="D407" i="4"/>
  <c r="E406" i="4"/>
  <c r="D406" i="4"/>
  <c r="E405" i="4"/>
  <c r="J405" i="4" s="1"/>
  <c r="D405" i="4"/>
  <c r="I405" i="4" s="1"/>
  <c r="E404" i="4"/>
  <c r="J404" i="4" s="1"/>
  <c r="D404" i="4"/>
  <c r="E403" i="4"/>
  <c r="J403" i="4" s="1"/>
  <c r="D403" i="4"/>
  <c r="E402" i="4"/>
  <c r="D402" i="4"/>
  <c r="E401" i="4"/>
  <c r="J401" i="4" s="1"/>
  <c r="D401" i="4"/>
  <c r="E400" i="4"/>
  <c r="D400" i="4"/>
  <c r="E399" i="4"/>
  <c r="J399" i="4" s="1"/>
  <c r="D399" i="4"/>
  <c r="I399" i="4" s="1"/>
  <c r="E398" i="4"/>
  <c r="D398" i="4"/>
  <c r="E397" i="4"/>
  <c r="D397" i="4"/>
  <c r="I397" i="4" s="1"/>
  <c r="E396" i="4"/>
  <c r="D396" i="4"/>
  <c r="E395" i="4"/>
  <c r="D395" i="4"/>
  <c r="I395" i="4" s="1"/>
  <c r="E394" i="4"/>
  <c r="J394" i="4" s="1"/>
  <c r="D394" i="4"/>
  <c r="E393" i="4"/>
  <c r="D393" i="4"/>
  <c r="I393" i="4" s="1"/>
  <c r="E392" i="4"/>
  <c r="D392" i="4"/>
  <c r="I392" i="4" s="1"/>
  <c r="E391" i="4"/>
  <c r="J391" i="4" s="1"/>
  <c r="D391" i="4"/>
  <c r="I391" i="4" s="1"/>
  <c r="E390" i="4"/>
  <c r="D390" i="4"/>
  <c r="E389" i="4"/>
  <c r="D389" i="4"/>
  <c r="I389" i="4" s="1"/>
  <c r="E388" i="4"/>
  <c r="D388" i="4"/>
  <c r="E387" i="4"/>
  <c r="D387" i="4"/>
  <c r="I387" i="4" s="1"/>
  <c r="E386" i="4"/>
  <c r="D386" i="4"/>
  <c r="E385" i="4"/>
  <c r="D385" i="4"/>
  <c r="I385" i="4" s="1"/>
  <c r="E384" i="4"/>
  <c r="J384" i="4" s="1"/>
  <c r="D384" i="4"/>
  <c r="E383" i="4"/>
  <c r="J383" i="4" s="1"/>
  <c r="D383" i="4"/>
  <c r="E382" i="4"/>
  <c r="D382" i="4"/>
  <c r="E381" i="4"/>
  <c r="D381" i="4"/>
  <c r="E380" i="4"/>
  <c r="J380" i="4" s="1"/>
  <c r="D380" i="4"/>
  <c r="E379" i="4"/>
  <c r="D379" i="4"/>
  <c r="E378" i="4"/>
  <c r="D378" i="4"/>
  <c r="E377" i="4"/>
  <c r="D377" i="4"/>
  <c r="K558" i="4"/>
  <c r="I558" i="4"/>
  <c r="K557" i="4"/>
  <c r="J557" i="4"/>
  <c r="K556" i="4"/>
  <c r="I556" i="4"/>
  <c r="K555" i="4"/>
  <c r="I555" i="4"/>
  <c r="K554" i="4"/>
  <c r="I554" i="4"/>
  <c r="K553" i="4"/>
  <c r="J553" i="4"/>
  <c r="I553" i="4"/>
  <c r="K552" i="4"/>
  <c r="I552" i="4"/>
  <c r="K551" i="4"/>
  <c r="I551" i="4"/>
  <c r="K550" i="4"/>
  <c r="I550" i="4"/>
  <c r="K549" i="4"/>
  <c r="J549" i="4"/>
  <c r="K548" i="4"/>
  <c r="I548" i="4"/>
  <c r="K547" i="4"/>
  <c r="I547" i="4"/>
  <c r="K546" i="4"/>
  <c r="I546" i="4"/>
  <c r="K545" i="4"/>
  <c r="J545" i="4"/>
  <c r="I545" i="4"/>
  <c r="K544" i="4"/>
  <c r="I544" i="4"/>
  <c r="L544" i="4" s="1"/>
  <c r="M544" i="4" s="1"/>
  <c r="K543" i="4"/>
  <c r="K542" i="4"/>
  <c r="I542" i="4"/>
  <c r="K541" i="4"/>
  <c r="J541" i="4"/>
  <c r="K540" i="4"/>
  <c r="J540" i="4"/>
  <c r="I540" i="4"/>
  <c r="K539" i="4"/>
  <c r="I539" i="4"/>
  <c r="K538" i="4"/>
  <c r="I538" i="4"/>
  <c r="K537" i="4"/>
  <c r="J537" i="4"/>
  <c r="K536" i="4"/>
  <c r="I536" i="4"/>
  <c r="K535" i="4"/>
  <c r="K534" i="4"/>
  <c r="J534" i="4"/>
  <c r="I534" i="4"/>
  <c r="K533" i="4"/>
  <c r="J533" i="4"/>
  <c r="K532" i="4"/>
  <c r="K531" i="4"/>
  <c r="J531" i="4"/>
  <c r="K530" i="4"/>
  <c r="I530" i="4"/>
  <c r="K529" i="4"/>
  <c r="J529" i="4"/>
  <c r="K528" i="4"/>
  <c r="J528" i="4"/>
  <c r="K527" i="4"/>
  <c r="J527" i="4"/>
  <c r="I527" i="4"/>
  <c r="K526" i="4"/>
  <c r="I526" i="4"/>
  <c r="K525" i="4"/>
  <c r="J525" i="4"/>
  <c r="I525" i="4"/>
  <c r="L525" i="4" s="1"/>
  <c r="M525" i="4" s="1"/>
  <c r="K524" i="4"/>
  <c r="K523" i="4"/>
  <c r="K522" i="4"/>
  <c r="J522" i="4"/>
  <c r="L522" i="4" s="1"/>
  <c r="M522" i="4" s="1"/>
  <c r="I522" i="4"/>
  <c r="K521" i="4"/>
  <c r="L521" i="4" s="1"/>
  <c r="M521" i="4" s="1"/>
  <c r="K520" i="4"/>
  <c r="J520" i="4"/>
  <c r="I520" i="4"/>
  <c r="L519" i="4"/>
  <c r="M519" i="4" s="1"/>
  <c r="K519" i="4"/>
  <c r="I519" i="4"/>
  <c r="K518" i="4"/>
  <c r="J518" i="4"/>
  <c r="I518" i="4"/>
  <c r="K517" i="4"/>
  <c r="I517" i="4"/>
  <c r="K516" i="4"/>
  <c r="I516" i="4"/>
  <c r="K515" i="4"/>
  <c r="I515" i="4"/>
  <c r="L515" i="4" s="1"/>
  <c r="M515" i="4" s="1"/>
  <c r="K514" i="4"/>
  <c r="J514" i="4"/>
  <c r="I514" i="4"/>
  <c r="K513" i="4"/>
  <c r="J513" i="4"/>
  <c r="K512" i="4"/>
  <c r="I512" i="4"/>
  <c r="K511" i="4"/>
  <c r="J511" i="4"/>
  <c r="L511" i="4" s="1"/>
  <c r="M511" i="4" s="1"/>
  <c r="K510" i="4"/>
  <c r="J510" i="4"/>
  <c r="L510" i="4" s="1"/>
  <c r="M510" i="4" s="1"/>
  <c r="I510" i="4"/>
  <c r="K509" i="4"/>
  <c r="L509" i="4" s="1"/>
  <c r="M509" i="4" s="1"/>
  <c r="J509" i="4"/>
  <c r="K508" i="4"/>
  <c r="L508" i="4" s="1"/>
  <c r="M508" i="4" s="1"/>
  <c r="I508" i="4"/>
  <c r="K507" i="4"/>
  <c r="J507" i="4"/>
  <c r="K506" i="4"/>
  <c r="J506" i="4"/>
  <c r="I506" i="4"/>
  <c r="L505" i="4"/>
  <c r="M505" i="4" s="1"/>
  <c r="K505" i="4"/>
  <c r="J505" i="4"/>
  <c r="K504" i="4"/>
  <c r="J504" i="4"/>
  <c r="I504" i="4"/>
  <c r="K503" i="4"/>
  <c r="K502" i="4"/>
  <c r="I502" i="4"/>
  <c r="L502" i="4" s="1"/>
  <c r="M502" i="4" s="1"/>
  <c r="K501" i="4"/>
  <c r="J501" i="4"/>
  <c r="L501" i="4" s="1"/>
  <c r="M501" i="4" s="1"/>
  <c r="K500" i="4"/>
  <c r="J500" i="4"/>
  <c r="L499" i="4"/>
  <c r="M499" i="4" s="1"/>
  <c r="K499" i="4"/>
  <c r="L498" i="4"/>
  <c r="M498" i="4" s="1"/>
  <c r="K498" i="4"/>
  <c r="J498" i="4"/>
  <c r="I498" i="4"/>
  <c r="K497" i="4"/>
  <c r="J497" i="4"/>
  <c r="K496" i="4"/>
  <c r="I496" i="4"/>
  <c r="L495" i="4"/>
  <c r="M495" i="4" s="1"/>
  <c r="K495" i="4"/>
  <c r="J495" i="4"/>
  <c r="K494" i="4"/>
  <c r="I494" i="4"/>
  <c r="K493" i="4"/>
  <c r="J493" i="4"/>
  <c r="K492" i="4"/>
  <c r="J492" i="4"/>
  <c r="I492" i="4"/>
  <c r="K491" i="4"/>
  <c r="I491" i="4"/>
  <c r="L491" i="4" s="1"/>
  <c r="M491" i="4" s="1"/>
  <c r="K490" i="4"/>
  <c r="J490" i="4"/>
  <c r="I490" i="4"/>
  <c r="K489" i="4"/>
  <c r="J489" i="4"/>
  <c r="I489" i="4"/>
  <c r="K488" i="4"/>
  <c r="I488" i="4"/>
  <c r="K487" i="4"/>
  <c r="J487" i="4"/>
  <c r="L487" i="4" s="1"/>
  <c r="M487" i="4" s="1"/>
  <c r="I487" i="4"/>
  <c r="K486" i="4"/>
  <c r="J486" i="4"/>
  <c r="I486" i="4"/>
  <c r="K485" i="4"/>
  <c r="J485" i="4"/>
  <c r="I485" i="4"/>
  <c r="L485" i="4" s="1"/>
  <c r="M485" i="4" s="1"/>
  <c r="K484" i="4"/>
  <c r="I484" i="4"/>
  <c r="K483" i="4"/>
  <c r="J483" i="4"/>
  <c r="K482" i="4"/>
  <c r="I482" i="4"/>
  <c r="K481" i="4"/>
  <c r="J481" i="4"/>
  <c r="L481" i="4" s="1"/>
  <c r="M481" i="4" s="1"/>
  <c r="I481" i="4"/>
  <c r="K480" i="4"/>
  <c r="J480" i="4"/>
  <c r="I480" i="4"/>
  <c r="K479" i="4"/>
  <c r="I479" i="4"/>
  <c r="K478" i="4"/>
  <c r="I478" i="4"/>
  <c r="K477" i="4"/>
  <c r="J477" i="4"/>
  <c r="K476" i="4"/>
  <c r="J476" i="4"/>
  <c r="I476" i="4"/>
  <c r="K475" i="4"/>
  <c r="I475" i="4"/>
  <c r="L475" i="4" s="1"/>
  <c r="M475" i="4" s="1"/>
  <c r="K474" i="4"/>
  <c r="J474" i="4"/>
  <c r="I474" i="4"/>
  <c r="K473" i="4"/>
  <c r="J473" i="4"/>
  <c r="I473" i="4"/>
  <c r="K472" i="4"/>
  <c r="L471" i="4"/>
  <c r="M471" i="4" s="1"/>
  <c r="K471" i="4"/>
  <c r="I471" i="4"/>
  <c r="K470" i="4"/>
  <c r="I470" i="4"/>
  <c r="K469" i="4"/>
  <c r="J469" i="4"/>
  <c r="L468" i="4"/>
  <c r="M468" i="4" s="1"/>
  <c r="K468" i="4"/>
  <c r="I468" i="4"/>
  <c r="K467" i="4"/>
  <c r="J467" i="4"/>
  <c r="I467" i="4"/>
  <c r="L467" i="4" s="1"/>
  <c r="M467" i="4" s="1"/>
  <c r="K466" i="4"/>
  <c r="I466" i="4"/>
  <c r="K465" i="4"/>
  <c r="J465" i="4"/>
  <c r="I465" i="4"/>
  <c r="K464" i="4"/>
  <c r="I464" i="4"/>
  <c r="L464" i="4" s="1"/>
  <c r="M464" i="4" s="1"/>
  <c r="K463" i="4"/>
  <c r="I463" i="4"/>
  <c r="L463" i="4" s="1"/>
  <c r="M463" i="4" s="1"/>
  <c r="K462" i="4"/>
  <c r="J462" i="4"/>
  <c r="I462" i="4"/>
  <c r="K461" i="4"/>
  <c r="J461" i="4"/>
  <c r="I461" i="4"/>
  <c r="L461" i="4" s="1"/>
  <c r="M461" i="4" s="1"/>
  <c r="K460" i="4"/>
  <c r="J460" i="4"/>
  <c r="K459" i="4"/>
  <c r="I459" i="4"/>
  <c r="K458" i="4"/>
  <c r="J458" i="4"/>
  <c r="L458" i="4" s="1"/>
  <c r="M458" i="4" s="1"/>
  <c r="I458" i="4"/>
  <c r="K457" i="4"/>
  <c r="J457" i="4"/>
  <c r="I457" i="4"/>
  <c r="K456" i="4"/>
  <c r="J456" i="4"/>
  <c r="L456" i="4" s="1"/>
  <c r="M456" i="4" s="1"/>
  <c r="K455" i="4"/>
  <c r="I455" i="4"/>
  <c r="K454" i="4"/>
  <c r="J454" i="4"/>
  <c r="I454" i="4"/>
  <c r="K453" i="4"/>
  <c r="J453" i="4"/>
  <c r="K452" i="4"/>
  <c r="I452" i="4"/>
  <c r="L452" i="4" s="1"/>
  <c r="M452" i="4" s="1"/>
  <c r="K451" i="4"/>
  <c r="J451" i="4"/>
  <c r="I451" i="4"/>
  <c r="K450" i="4"/>
  <c r="I450" i="4"/>
  <c r="K449" i="4"/>
  <c r="J449" i="4"/>
  <c r="I449" i="4"/>
  <c r="L448" i="4"/>
  <c r="M448" i="4" s="1"/>
  <c r="K448" i="4"/>
  <c r="J448" i="4"/>
  <c r="I448" i="4"/>
  <c r="K447" i="4"/>
  <c r="J447" i="4"/>
  <c r="K446" i="4"/>
  <c r="I446" i="4"/>
  <c r="L446" i="4" s="1"/>
  <c r="M446" i="4" s="1"/>
  <c r="K445" i="4"/>
  <c r="J445" i="4"/>
  <c r="I445" i="4"/>
  <c r="L445" i="4" s="1"/>
  <c r="M445" i="4" s="1"/>
  <c r="K444" i="4"/>
  <c r="J444" i="4"/>
  <c r="I444" i="4"/>
  <c r="K443" i="4"/>
  <c r="I443" i="4"/>
  <c r="L443" i="4" s="1"/>
  <c r="M443" i="4" s="1"/>
  <c r="K442" i="4"/>
  <c r="J442" i="4"/>
  <c r="I442" i="4"/>
  <c r="K441" i="4"/>
  <c r="J441" i="4"/>
  <c r="I441" i="4"/>
  <c r="L441" i="4" s="1"/>
  <c r="M441" i="4" s="1"/>
  <c r="K440" i="4"/>
  <c r="J440" i="4"/>
  <c r="I440" i="4"/>
  <c r="K439" i="4"/>
  <c r="I439" i="4"/>
  <c r="L439" i="4" s="1"/>
  <c r="M439" i="4" s="1"/>
  <c r="K438" i="4"/>
  <c r="J438" i="4"/>
  <c r="I438" i="4"/>
  <c r="K437" i="4"/>
  <c r="J437" i="4"/>
  <c r="I437" i="4"/>
  <c r="L437" i="4" s="1"/>
  <c r="M437" i="4" s="1"/>
  <c r="K436" i="4"/>
  <c r="J436" i="4"/>
  <c r="I436" i="4"/>
  <c r="L435" i="4"/>
  <c r="M435" i="4" s="1"/>
  <c r="K435" i="4"/>
  <c r="I435" i="4"/>
  <c r="K434" i="4"/>
  <c r="J434" i="4"/>
  <c r="I434" i="4"/>
  <c r="L433" i="4"/>
  <c r="M433" i="4" s="1"/>
  <c r="K433" i="4"/>
  <c r="J433" i="4"/>
  <c r="I433" i="4"/>
  <c r="K432" i="4"/>
  <c r="J432" i="4"/>
  <c r="I432" i="4"/>
  <c r="K431" i="4"/>
  <c r="I431" i="4"/>
  <c r="L431" i="4" s="1"/>
  <c r="M431" i="4" s="1"/>
  <c r="K430" i="4"/>
  <c r="J430" i="4"/>
  <c r="I430" i="4"/>
  <c r="K429" i="4"/>
  <c r="J429" i="4"/>
  <c r="I429" i="4"/>
  <c r="L429" i="4" s="1"/>
  <c r="M429" i="4" s="1"/>
  <c r="K428" i="4"/>
  <c r="J428" i="4"/>
  <c r="I428" i="4"/>
  <c r="K427" i="4"/>
  <c r="I427" i="4"/>
  <c r="L427" i="4" s="1"/>
  <c r="M427" i="4" s="1"/>
  <c r="K426" i="4"/>
  <c r="J426" i="4"/>
  <c r="I426" i="4"/>
  <c r="K425" i="4"/>
  <c r="K424" i="4"/>
  <c r="I424" i="4"/>
  <c r="K423" i="4"/>
  <c r="I423" i="4"/>
  <c r="L423" i="4" s="1"/>
  <c r="M423" i="4" s="1"/>
  <c r="K422" i="4"/>
  <c r="J422" i="4"/>
  <c r="I422" i="4"/>
  <c r="K421" i="4"/>
  <c r="K420" i="4"/>
  <c r="I420" i="4"/>
  <c r="L420" i="4" s="1"/>
  <c r="M420" i="4" s="1"/>
  <c r="K419" i="4"/>
  <c r="I419" i="4"/>
  <c r="K418" i="4"/>
  <c r="I418" i="4"/>
  <c r="K417" i="4"/>
  <c r="I417" i="4"/>
  <c r="L417" i="4" s="1"/>
  <c r="M417" i="4" s="1"/>
  <c r="K416" i="4"/>
  <c r="J416" i="4"/>
  <c r="L416" i="4" s="1"/>
  <c r="M416" i="4" s="1"/>
  <c r="I416" i="4"/>
  <c r="K415" i="4"/>
  <c r="K414" i="4"/>
  <c r="I414" i="4"/>
  <c r="L414" i="4" s="1"/>
  <c r="M414" i="4" s="1"/>
  <c r="K413" i="4"/>
  <c r="I413" i="4"/>
  <c r="K412" i="4"/>
  <c r="J412" i="4"/>
  <c r="I412" i="4"/>
  <c r="L411" i="4"/>
  <c r="M411" i="4" s="1"/>
  <c r="K411" i="4"/>
  <c r="I411" i="4"/>
  <c r="K410" i="4"/>
  <c r="J410" i="4"/>
  <c r="I410" i="4"/>
  <c r="L410" i="4" s="1"/>
  <c r="M410" i="4" s="1"/>
  <c r="K409" i="4"/>
  <c r="K408" i="4"/>
  <c r="I408" i="4"/>
  <c r="K407" i="4"/>
  <c r="I407" i="4"/>
  <c r="L407" i="4" s="1"/>
  <c r="M407" i="4" s="1"/>
  <c r="K406" i="4"/>
  <c r="J406" i="4"/>
  <c r="I406" i="4"/>
  <c r="K405" i="4"/>
  <c r="K404" i="4"/>
  <c r="I404" i="4"/>
  <c r="L404" i="4" s="1"/>
  <c r="M404" i="4" s="1"/>
  <c r="K403" i="4"/>
  <c r="I403" i="4"/>
  <c r="K402" i="4"/>
  <c r="I402" i="4"/>
  <c r="K401" i="4"/>
  <c r="I401" i="4"/>
  <c r="L401" i="4" s="1"/>
  <c r="M401" i="4" s="1"/>
  <c r="K400" i="4"/>
  <c r="J400" i="4"/>
  <c r="L400" i="4" s="1"/>
  <c r="M400" i="4" s="1"/>
  <c r="I400" i="4"/>
  <c r="K399" i="4"/>
  <c r="K398" i="4"/>
  <c r="L398" i="4" s="1"/>
  <c r="M398" i="4" s="1"/>
  <c r="J398" i="4"/>
  <c r="I398" i="4"/>
  <c r="L397" i="4"/>
  <c r="M397" i="4" s="1"/>
  <c r="K397" i="4"/>
  <c r="J397" i="4"/>
  <c r="K396" i="4"/>
  <c r="J396" i="4"/>
  <c r="I396" i="4"/>
  <c r="L396" i="4" s="1"/>
  <c r="M396" i="4" s="1"/>
  <c r="K395" i="4"/>
  <c r="K394" i="4"/>
  <c r="I394" i="4"/>
  <c r="L394" i="4" s="1"/>
  <c r="M394" i="4" s="1"/>
  <c r="L393" i="4"/>
  <c r="M393" i="4" s="1"/>
  <c r="K393" i="4"/>
  <c r="J393" i="4"/>
  <c r="K392" i="4"/>
  <c r="J392" i="4"/>
  <c r="K391" i="4"/>
  <c r="L391" i="4" s="1"/>
  <c r="M391" i="4" s="1"/>
  <c r="L390" i="4"/>
  <c r="M390" i="4" s="1"/>
  <c r="K390" i="4"/>
  <c r="J390" i="4"/>
  <c r="I390" i="4"/>
  <c r="K389" i="4"/>
  <c r="J389" i="4"/>
  <c r="K388" i="4"/>
  <c r="I388" i="4"/>
  <c r="L387" i="4"/>
  <c r="M387" i="4" s="1"/>
  <c r="K387" i="4"/>
  <c r="J387" i="4"/>
  <c r="K386" i="4"/>
  <c r="J386" i="4"/>
  <c r="L386" i="4" s="1"/>
  <c r="M386" i="4" s="1"/>
  <c r="I386" i="4"/>
  <c r="K385" i="4"/>
  <c r="L385" i="4" s="1"/>
  <c r="M385" i="4" s="1"/>
  <c r="J385" i="4"/>
  <c r="L384" i="4"/>
  <c r="M384" i="4" s="1"/>
  <c r="K384" i="4"/>
  <c r="I384" i="4"/>
  <c r="K383" i="4"/>
  <c r="I383" i="4"/>
  <c r="L383" i="4" s="1"/>
  <c r="M383" i="4" s="1"/>
  <c r="K382" i="4"/>
  <c r="J382" i="4"/>
  <c r="I382" i="4"/>
  <c r="K381" i="4"/>
  <c r="J381" i="4"/>
  <c r="I381" i="4"/>
  <c r="K380" i="4"/>
  <c r="I380" i="4"/>
  <c r="K379" i="4"/>
  <c r="J379" i="4"/>
  <c r="L379" i="4" s="1"/>
  <c r="M379" i="4" s="1"/>
  <c r="I379" i="4"/>
  <c r="K378" i="4"/>
  <c r="J378" i="4"/>
  <c r="I378" i="4"/>
  <c r="K377" i="4"/>
  <c r="J377" i="4"/>
  <c r="I377" i="4"/>
  <c r="L377" i="4" s="1"/>
  <c r="M377" i="4" s="1"/>
  <c r="K376" i="4"/>
  <c r="E376" i="4"/>
  <c r="J376" i="4" s="1"/>
  <c r="D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E375" i="4"/>
  <c r="J375" i="4" s="1"/>
  <c r="D375" i="4"/>
  <c r="I375" i="4" s="1"/>
  <c r="E374" i="4"/>
  <c r="J374" i="4" s="1"/>
  <c r="D374" i="4"/>
  <c r="I374" i="4" s="1"/>
  <c r="E373" i="4"/>
  <c r="J373" i="4" s="1"/>
  <c r="D373" i="4"/>
  <c r="I373" i="4" s="1"/>
  <c r="E372" i="4"/>
  <c r="J372" i="4" s="1"/>
  <c r="D372" i="4"/>
  <c r="I372" i="4" s="1"/>
  <c r="E371" i="4"/>
  <c r="J371" i="4" s="1"/>
  <c r="D371" i="4"/>
  <c r="I371" i="4" s="1"/>
  <c r="E370" i="4"/>
  <c r="J370" i="4" s="1"/>
  <c r="D370" i="4"/>
  <c r="I370" i="4" s="1"/>
  <c r="E369" i="4"/>
  <c r="J369" i="4" s="1"/>
  <c r="D369" i="4"/>
  <c r="I369" i="4" s="1"/>
  <c r="L369" i="4" s="1"/>
  <c r="M369" i="4" s="1"/>
  <c r="E368" i="4"/>
  <c r="J368" i="4" s="1"/>
  <c r="D368" i="4"/>
  <c r="I368" i="4" s="1"/>
  <c r="E367" i="4"/>
  <c r="J367" i="4" s="1"/>
  <c r="D367" i="4"/>
  <c r="I367" i="4" s="1"/>
  <c r="E366" i="4"/>
  <c r="J366" i="4" s="1"/>
  <c r="D366" i="4"/>
  <c r="I366" i="4" s="1"/>
  <c r="L366" i="4" s="1"/>
  <c r="M366" i="4" s="1"/>
  <c r="E365" i="4"/>
  <c r="J365" i="4" s="1"/>
  <c r="D365" i="4"/>
  <c r="I365" i="4" s="1"/>
  <c r="E364" i="4"/>
  <c r="J364" i="4" s="1"/>
  <c r="D364" i="4"/>
  <c r="I364" i="4" s="1"/>
  <c r="E363" i="4"/>
  <c r="J363" i="4" s="1"/>
  <c r="D363" i="4"/>
  <c r="I363" i="4" s="1"/>
  <c r="E362" i="4"/>
  <c r="J362" i="4" s="1"/>
  <c r="D362" i="4"/>
  <c r="I362" i="4" s="1"/>
  <c r="L362" i="4" s="1"/>
  <c r="M362" i="4" s="1"/>
  <c r="E361" i="4"/>
  <c r="J361" i="4" s="1"/>
  <c r="D361" i="4"/>
  <c r="I361" i="4" s="1"/>
  <c r="L361" i="4" s="1"/>
  <c r="M361" i="4" s="1"/>
  <c r="E360" i="4"/>
  <c r="J360" i="4" s="1"/>
  <c r="D360" i="4"/>
  <c r="I360" i="4" s="1"/>
  <c r="E359" i="4"/>
  <c r="J359" i="4" s="1"/>
  <c r="D359" i="4"/>
  <c r="I359" i="4" s="1"/>
  <c r="L359" i="4" s="1"/>
  <c r="M359" i="4" s="1"/>
  <c r="E358" i="4"/>
  <c r="J358" i="4" s="1"/>
  <c r="D358" i="4"/>
  <c r="I358" i="4" s="1"/>
  <c r="L358" i="4" s="1"/>
  <c r="M358" i="4" s="1"/>
  <c r="E357" i="4"/>
  <c r="J357" i="4" s="1"/>
  <c r="D357" i="4"/>
  <c r="I357" i="4" s="1"/>
  <c r="E356" i="4"/>
  <c r="J356" i="4" s="1"/>
  <c r="D356" i="4"/>
  <c r="I356" i="4" s="1"/>
  <c r="E355" i="4"/>
  <c r="J355" i="4" s="1"/>
  <c r="D355" i="4"/>
  <c r="I355" i="4" s="1"/>
  <c r="L355" i="4" s="1"/>
  <c r="M355" i="4" s="1"/>
  <c r="E354" i="4"/>
  <c r="J354" i="4" s="1"/>
  <c r="D354" i="4"/>
  <c r="I354" i="4" s="1"/>
  <c r="L354" i="4" s="1"/>
  <c r="M354" i="4" s="1"/>
  <c r="E353" i="4"/>
  <c r="J353" i="4" s="1"/>
  <c r="D353" i="4"/>
  <c r="I353" i="4" s="1"/>
  <c r="L353" i="4" s="1"/>
  <c r="M353" i="4" s="1"/>
  <c r="E352" i="4"/>
  <c r="J352" i="4" s="1"/>
  <c r="D352" i="4"/>
  <c r="I352" i="4" s="1"/>
  <c r="E351" i="4"/>
  <c r="J351" i="4" s="1"/>
  <c r="D351" i="4"/>
  <c r="I351" i="4" s="1"/>
  <c r="L351" i="4" s="1"/>
  <c r="M351" i="4" s="1"/>
  <c r="E350" i="4"/>
  <c r="J350" i="4" s="1"/>
  <c r="D350" i="4"/>
  <c r="I350" i="4" s="1"/>
  <c r="L350" i="4" s="1"/>
  <c r="M350" i="4" s="1"/>
  <c r="E349" i="4"/>
  <c r="J349" i="4" s="1"/>
  <c r="D349" i="4"/>
  <c r="I349" i="4" s="1"/>
  <c r="E348" i="4"/>
  <c r="J348" i="4" s="1"/>
  <c r="D348" i="4"/>
  <c r="I348" i="4" s="1"/>
  <c r="E347" i="4"/>
  <c r="J347" i="4" s="1"/>
  <c r="D347" i="4"/>
  <c r="I347" i="4" s="1"/>
  <c r="E346" i="4"/>
  <c r="J346" i="4" s="1"/>
  <c r="D346" i="4"/>
  <c r="I346" i="4" s="1"/>
  <c r="L346" i="4" s="1"/>
  <c r="M346" i="4" s="1"/>
  <c r="E345" i="4"/>
  <c r="J345" i="4" s="1"/>
  <c r="D345" i="4"/>
  <c r="I345" i="4" s="1"/>
  <c r="L345" i="4" s="1"/>
  <c r="M345" i="4" s="1"/>
  <c r="E344" i="4"/>
  <c r="J344" i="4" s="1"/>
  <c r="D344" i="4"/>
  <c r="I344" i="4" s="1"/>
  <c r="E343" i="4"/>
  <c r="J343" i="4" s="1"/>
  <c r="D343" i="4"/>
  <c r="I343" i="4" s="1"/>
  <c r="E342" i="4"/>
  <c r="J342" i="4" s="1"/>
  <c r="D342" i="4"/>
  <c r="I342" i="4" s="1"/>
  <c r="L342" i="4" s="1"/>
  <c r="M342" i="4" s="1"/>
  <c r="E341" i="4"/>
  <c r="J341" i="4" s="1"/>
  <c r="D341" i="4"/>
  <c r="I341" i="4" s="1"/>
  <c r="E340" i="4"/>
  <c r="J340" i="4" s="1"/>
  <c r="D340" i="4"/>
  <c r="I340" i="4" s="1"/>
  <c r="E339" i="4"/>
  <c r="J339" i="4" s="1"/>
  <c r="D339" i="4"/>
  <c r="I339" i="4" s="1"/>
  <c r="E338" i="4"/>
  <c r="J338" i="4" s="1"/>
  <c r="D338" i="4"/>
  <c r="I338" i="4" s="1"/>
  <c r="L338" i="4" s="1"/>
  <c r="M338" i="4" s="1"/>
  <c r="E337" i="4"/>
  <c r="J337" i="4" s="1"/>
  <c r="D337" i="4"/>
  <c r="E336" i="4"/>
  <c r="J336" i="4" s="1"/>
  <c r="D336" i="4"/>
  <c r="E335" i="4"/>
  <c r="J335" i="4" s="1"/>
  <c r="D335" i="4"/>
  <c r="E334" i="4"/>
  <c r="J334" i="4" s="1"/>
  <c r="D334" i="4"/>
  <c r="E333" i="4"/>
  <c r="J333" i="4" s="1"/>
  <c r="D333" i="4"/>
  <c r="E332" i="4"/>
  <c r="J332" i="4" s="1"/>
  <c r="D332" i="4"/>
  <c r="E331" i="4"/>
  <c r="J331" i="4" s="1"/>
  <c r="D331" i="4"/>
  <c r="E330" i="4"/>
  <c r="J330" i="4" s="1"/>
  <c r="D330" i="4"/>
  <c r="E329" i="4"/>
  <c r="J329" i="4" s="1"/>
  <c r="D329" i="4"/>
  <c r="E328" i="4"/>
  <c r="J328" i="4" s="1"/>
  <c r="D328" i="4"/>
  <c r="E327" i="4"/>
  <c r="J327" i="4" s="1"/>
  <c r="D327" i="4"/>
  <c r="E326" i="4"/>
  <c r="J326" i="4" s="1"/>
  <c r="D326" i="4"/>
  <c r="E325" i="4"/>
  <c r="J325" i="4" s="1"/>
  <c r="D325" i="4"/>
  <c r="E324" i="4"/>
  <c r="J324" i="4" s="1"/>
  <c r="D324" i="4"/>
  <c r="E323" i="4"/>
  <c r="J323" i="4" s="1"/>
  <c r="D323" i="4"/>
  <c r="E322" i="4"/>
  <c r="J322" i="4" s="1"/>
  <c r="D322" i="4"/>
  <c r="E321" i="4"/>
  <c r="J321" i="4" s="1"/>
  <c r="D321" i="4"/>
  <c r="E320" i="4"/>
  <c r="J320" i="4" s="1"/>
  <c r="D320" i="4"/>
  <c r="E319" i="4"/>
  <c r="J319" i="4" s="1"/>
  <c r="D319" i="4"/>
  <c r="E318" i="4"/>
  <c r="J318" i="4" s="1"/>
  <c r="D318" i="4"/>
  <c r="E317" i="4"/>
  <c r="J317" i="4" s="1"/>
  <c r="D317" i="4"/>
  <c r="E316" i="4"/>
  <c r="J316" i="4" s="1"/>
  <c r="D316" i="4"/>
  <c r="E315" i="4"/>
  <c r="J315" i="4" s="1"/>
  <c r="D315" i="4"/>
  <c r="E314" i="4"/>
  <c r="J314" i="4" s="1"/>
  <c r="D314" i="4"/>
  <c r="E313" i="4"/>
  <c r="J313" i="4" s="1"/>
  <c r="D313" i="4"/>
  <c r="E312" i="4"/>
  <c r="J312" i="4" s="1"/>
  <c r="D312" i="4"/>
  <c r="E311" i="4"/>
  <c r="J311" i="4" s="1"/>
  <c r="D311" i="4"/>
  <c r="E310" i="4"/>
  <c r="J310" i="4" s="1"/>
  <c r="D310" i="4"/>
  <c r="E309" i="4"/>
  <c r="J309" i="4" s="1"/>
  <c r="D309" i="4"/>
  <c r="E308" i="4"/>
  <c r="J308" i="4" s="1"/>
  <c r="D308" i="4"/>
  <c r="E307" i="4"/>
  <c r="J307" i="4" s="1"/>
  <c r="D307" i="4"/>
  <c r="E306" i="4"/>
  <c r="J306" i="4" s="1"/>
  <c r="D306" i="4"/>
  <c r="E305" i="4"/>
  <c r="J305" i="4" s="1"/>
  <c r="D305" i="4"/>
  <c r="E304" i="4"/>
  <c r="J304" i="4" s="1"/>
  <c r="D304" i="4"/>
  <c r="E303" i="4"/>
  <c r="J303" i="4" s="1"/>
  <c r="D303" i="4"/>
  <c r="E302" i="4"/>
  <c r="J302" i="4" s="1"/>
  <c r="D302" i="4"/>
  <c r="E301" i="4"/>
  <c r="J301" i="4" s="1"/>
  <c r="D301" i="4"/>
  <c r="E300" i="4"/>
  <c r="J300" i="4" s="1"/>
  <c r="D300" i="4"/>
  <c r="E299" i="4"/>
  <c r="J299" i="4" s="1"/>
  <c r="D299" i="4"/>
  <c r="E298" i="4"/>
  <c r="J298" i="4" s="1"/>
  <c r="D298" i="4"/>
  <c r="E297" i="4"/>
  <c r="J297" i="4" s="1"/>
  <c r="D297" i="4"/>
  <c r="E296" i="4"/>
  <c r="J296" i="4" s="1"/>
  <c r="D296" i="4"/>
  <c r="E295" i="4"/>
  <c r="J295" i="4" s="1"/>
  <c r="D295" i="4"/>
  <c r="E294" i="4"/>
  <c r="J294" i="4" s="1"/>
  <c r="D294" i="4"/>
  <c r="E293" i="4"/>
  <c r="J293" i="4" s="1"/>
  <c r="D293" i="4"/>
  <c r="I293" i="4" s="1"/>
  <c r="E292" i="4"/>
  <c r="J292" i="4" s="1"/>
  <c r="D292" i="4"/>
  <c r="E291" i="4"/>
  <c r="J291" i="4" s="1"/>
  <c r="D291" i="4"/>
  <c r="E290" i="4"/>
  <c r="J290" i="4" s="1"/>
  <c r="D290" i="4"/>
  <c r="E289" i="4"/>
  <c r="J289" i="4" s="1"/>
  <c r="D289" i="4"/>
  <c r="E288" i="4"/>
  <c r="J288" i="4" s="1"/>
  <c r="D288" i="4"/>
  <c r="E287" i="4"/>
  <c r="J287" i="4" s="1"/>
  <c r="D287" i="4"/>
  <c r="E286" i="4"/>
  <c r="J286" i="4" s="1"/>
  <c r="D286" i="4"/>
  <c r="E285" i="4"/>
  <c r="J285" i="4" s="1"/>
  <c r="D285" i="4"/>
  <c r="E284" i="4"/>
  <c r="J284" i="4" s="1"/>
  <c r="D284" i="4"/>
  <c r="E283" i="4"/>
  <c r="J283" i="4" s="1"/>
  <c r="D283" i="4"/>
  <c r="E282" i="4"/>
  <c r="J282" i="4" s="1"/>
  <c r="D282" i="4"/>
  <c r="E281" i="4"/>
  <c r="J281" i="4" s="1"/>
  <c r="D281" i="4"/>
  <c r="E280" i="4"/>
  <c r="J280" i="4" s="1"/>
  <c r="D280" i="4"/>
  <c r="E279" i="4"/>
  <c r="J279" i="4" s="1"/>
  <c r="D279" i="4"/>
  <c r="E278" i="4"/>
  <c r="J278" i="4" s="1"/>
  <c r="D278" i="4"/>
  <c r="E277" i="4"/>
  <c r="J277" i="4" s="1"/>
  <c r="D277" i="4"/>
  <c r="E276" i="4"/>
  <c r="J276" i="4" s="1"/>
  <c r="D276" i="4"/>
  <c r="E275" i="4"/>
  <c r="J275" i="4" s="1"/>
  <c r="D275" i="4"/>
  <c r="E274" i="4"/>
  <c r="J274" i="4" s="1"/>
  <c r="D274" i="4"/>
  <c r="E273" i="4"/>
  <c r="J273" i="4" s="1"/>
  <c r="D273" i="4"/>
  <c r="E272" i="4"/>
  <c r="J272" i="4" s="1"/>
  <c r="D272" i="4"/>
  <c r="E271" i="4"/>
  <c r="J271" i="4" s="1"/>
  <c r="D271" i="4"/>
  <c r="E270" i="4"/>
  <c r="J270" i="4" s="1"/>
  <c r="D270" i="4"/>
  <c r="E269" i="4"/>
  <c r="J269" i="4" s="1"/>
  <c r="D269" i="4"/>
  <c r="E268" i="4"/>
  <c r="J268" i="4" s="1"/>
  <c r="D268" i="4"/>
  <c r="E267" i="4"/>
  <c r="J267" i="4" s="1"/>
  <c r="D267" i="4"/>
  <c r="E266" i="4"/>
  <c r="J266" i="4" s="1"/>
  <c r="D266" i="4"/>
  <c r="E265" i="4"/>
  <c r="J265" i="4" s="1"/>
  <c r="D265" i="4"/>
  <c r="E264" i="4"/>
  <c r="J264" i="4" s="1"/>
  <c r="D264" i="4"/>
  <c r="E263" i="4"/>
  <c r="J263" i="4" s="1"/>
  <c r="D263" i="4"/>
  <c r="E262" i="4"/>
  <c r="J262" i="4" s="1"/>
  <c r="D262" i="4"/>
  <c r="E261" i="4"/>
  <c r="J261" i="4" s="1"/>
  <c r="D261" i="4"/>
  <c r="E260" i="4"/>
  <c r="J260" i="4" s="1"/>
  <c r="D260" i="4"/>
  <c r="E259" i="4"/>
  <c r="J259" i="4" s="1"/>
  <c r="D259" i="4"/>
  <c r="E258" i="4"/>
  <c r="J258" i="4" s="1"/>
  <c r="D258" i="4"/>
  <c r="E257" i="4"/>
  <c r="J257" i="4" s="1"/>
  <c r="D257" i="4"/>
  <c r="E256" i="4"/>
  <c r="J256" i="4" s="1"/>
  <c r="D256" i="4"/>
  <c r="E255" i="4"/>
  <c r="J255" i="4" s="1"/>
  <c r="D255" i="4"/>
  <c r="E254" i="4"/>
  <c r="J254" i="4" s="1"/>
  <c r="D254" i="4"/>
  <c r="E253" i="4"/>
  <c r="J253" i="4" s="1"/>
  <c r="D253" i="4"/>
  <c r="E252" i="4"/>
  <c r="J252" i="4" s="1"/>
  <c r="D252" i="4"/>
  <c r="E251" i="4"/>
  <c r="J251" i="4" s="1"/>
  <c r="D251" i="4"/>
  <c r="E250" i="4"/>
  <c r="J250" i="4" s="1"/>
  <c r="D250" i="4"/>
  <c r="E249" i="4"/>
  <c r="J249" i="4" s="1"/>
  <c r="D249" i="4"/>
  <c r="E248" i="4"/>
  <c r="J248" i="4" s="1"/>
  <c r="D248" i="4"/>
  <c r="E247" i="4"/>
  <c r="J247" i="4" s="1"/>
  <c r="D247" i="4"/>
  <c r="E246" i="4"/>
  <c r="J246" i="4" s="1"/>
  <c r="D246" i="4"/>
  <c r="E245" i="4"/>
  <c r="J245" i="4" s="1"/>
  <c r="D245" i="4"/>
  <c r="E244" i="4"/>
  <c r="J244" i="4" s="1"/>
  <c r="D244" i="4"/>
  <c r="E243" i="4"/>
  <c r="J243" i="4" s="1"/>
  <c r="D243" i="4"/>
  <c r="E242" i="4"/>
  <c r="J242" i="4" s="1"/>
  <c r="D242" i="4"/>
  <c r="E241" i="4"/>
  <c r="J241" i="4" s="1"/>
  <c r="D241" i="4"/>
  <c r="E240" i="4"/>
  <c r="J240" i="4" s="1"/>
  <c r="D240" i="4"/>
  <c r="E239" i="4"/>
  <c r="J239" i="4" s="1"/>
  <c r="D239" i="4"/>
  <c r="E238" i="4"/>
  <c r="J238" i="4" s="1"/>
  <c r="D238" i="4"/>
  <c r="E237" i="4"/>
  <c r="J237" i="4" s="1"/>
  <c r="D237" i="4"/>
  <c r="E236" i="4"/>
  <c r="J236" i="4" s="1"/>
  <c r="D236" i="4"/>
  <c r="E235" i="4"/>
  <c r="J235" i="4" s="1"/>
  <c r="D235" i="4"/>
  <c r="E234" i="4"/>
  <c r="J234" i="4" s="1"/>
  <c r="D234" i="4"/>
  <c r="E233" i="4"/>
  <c r="J233" i="4" s="1"/>
  <c r="D233" i="4"/>
  <c r="E232" i="4"/>
  <c r="J232" i="4" s="1"/>
  <c r="D232" i="4"/>
  <c r="E231" i="4"/>
  <c r="J231" i="4" s="1"/>
  <c r="D231" i="4"/>
  <c r="E230" i="4"/>
  <c r="J230" i="4" s="1"/>
  <c r="D230" i="4"/>
  <c r="E229" i="4"/>
  <c r="J229" i="4" s="1"/>
  <c r="D229" i="4"/>
  <c r="E228" i="4"/>
  <c r="J228" i="4" s="1"/>
  <c r="D228" i="4"/>
  <c r="E227" i="4"/>
  <c r="J227" i="4" s="1"/>
  <c r="D227" i="4"/>
  <c r="E226" i="4"/>
  <c r="J226" i="4" s="1"/>
  <c r="D226" i="4"/>
  <c r="E225" i="4"/>
  <c r="J225" i="4" s="1"/>
  <c r="D225" i="4"/>
  <c r="E224" i="4"/>
  <c r="J224" i="4" s="1"/>
  <c r="D224" i="4"/>
  <c r="E223" i="4"/>
  <c r="J223" i="4" s="1"/>
  <c r="D223" i="4"/>
  <c r="E222" i="4"/>
  <c r="J222" i="4" s="1"/>
  <c r="D222" i="4"/>
  <c r="E221" i="4"/>
  <c r="J221" i="4" s="1"/>
  <c r="D221" i="4"/>
  <c r="E220" i="4"/>
  <c r="J220" i="4" s="1"/>
  <c r="D220" i="4"/>
  <c r="E219" i="4"/>
  <c r="J219" i="4" s="1"/>
  <c r="D219" i="4"/>
  <c r="E218" i="4"/>
  <c r="J218" i="4" s="1"/>
  <c r="D218" i="4"/>
  <c r="E217" i="4"/>
  <c r="J217" i="4" s="1"/>
  <c r="D217" i="4"/>
  <c r="E216" i="4"/>
  <c r="J216" i="4" s="1"/>
  <c r="D216" i="4"/>
  <c r="E215" i="4"/>
  <c r="J215" i="4" s="1"/>
  <c r="D215" i="4"/>
  <c r="E214" i="4"/>
  <c r="J214" i="4" s="1"/>
  <c r="D214" i="4"/>
  <c r="E213" i="4"/>
  <c r="J213" i="4" s="1"/>
  <c r="D213" i="4"/>
  <c r="E212" i="4"/>
  <c r="J212" i="4" s="1"/>
  <c r="D212" i="4"/>
  <c r="E211" i="4"/>
  <c r="J211" i="4" s="1"/>
  <c r="D211" i="4"/>
  <c r="E210" i="4"/>
  <c r="J210" i="4" s="1"/>
  <c r="D210" i="4"/>
  <c r="E209" i="4"/>
  <c r="J209" i="4" s="1"/>
  <c r="D209" i="4"/>
  <c r="E208" i="4"/>
  <c r="J208" i="4" s="1"/>
  <c r="D208" i="4"/>
  <c r="E207" i="4"/>
  <c r="J207" i="4" s="1"/>
  <c r="D207" i="4"/>
  <c r="E206" i="4"/>
  <c r="J206" i="4" s="1"/>
  <c r="D206" i="4"/>
  <c r="E205" i="4"/>
  <c r="J205" i="4" s="1"/>
  <c r="D205" i="4"/>
  <c r="E204" i="4"/>
  <c r="J204" i="4" s="1"/>
  <c r="D204" i="4"/>
  <c r="E203" i="4"/>
  <c r="J203" i="4" s="1"/>
  <c r="D203" i="4"/>
  <c r="E202" i="4"/>
  <c r="J202" i="4" s="1"/>
  <c r="D202" i="4"/>
  <c r="E201" i="4"/>
  <c r="J201" i="4" s="1"/>
  <c r="D201" i="4"/>
  <c r="E200" i="4"/>
  <c r="J200" i="4" s="1"/>
  <c r="D200" i="4"/>
  <c r="E199" i="4"/>
  <c r="J199" i="4" s="1"/>
  <c r="D199" i="4"/>
  <c r="E198" i="4"/>
  <c r="J198" i="4" s="1"/>
  <c r="D198" i="4"/>
  <c r="E197" i="4"/>
  <c r="J197" i="4" s="1"/>
  <c r="D197" i="4"/>
  <c r="E196" i="4"/>
  <c r="J196" i="4" s="1"/>
  <c r="D196" i="4"/>
  <c r="E195" i="4"/>
  <c r="J195" i="4" s="1"/>
  <c r="D195" i="4"/>
  <c r="E194" i="4"/>
  <c r="J194" i="4" s="1"/>
  <c r="D194" i="4"/>
  <c r="E193" i="4"/>
  <c r="J193" i="4" s="1"/>
  <c r="D193" i="4"/>
  <c r="E192" i="4"/>
  <c r="J192" i="4" s="1"/>
  <c r="D192" i="4"/>
  <c r="E191" i="4"/>
  <c r="J191" i="4" s="1"/>
  <c r="D191" i="4"/>
  <c r="E190" i="4"/>
  <c r="J190" i="4" s="1"/>
  <c r="D190" i="4"/>
  <c r="E189" i="4"/>
  <c r="J189" i="4" s="1"/>
  <c r="D189" i="4"/>
  <c r="E188" i="4"/>
  <c r="J188" i="4" s="1"/>
  <c r="D188" i="4"/>
  <c r="E187" i="4"/>
  <c r="J187" i="4" s="1"/>
  <c r="D187" i="4"/>
  <c r="E186" i="4"/>
  <c r="J186" i="4" s="1"/>
  <c r="D186" i="4"/>
  <c r="E185" i="4"/>
  <c r="J185" i="4" s="1"/>
  <c r="D185" i="4"/>
  <c r="E184" i="4"/>
  <c r="J184" i="4" s="1"/>
  <c r="D184" i="4"/>
  <c r="E183" i="4"/>
  <c r="J183" i="4" s="1"/>
  <c r="D183" i="4"/>
  <c r="E182" i="4"/>
  <c r="J182" i="4" s="1"/>
  <c r="D182" i="4"/>
  <c r="E181" i="4"/>
  <c r="J181" i="4" s="1"/>
  <c r="D181" i="4"/>
  <c r="E180" i="4"/>
  <c r="J180" i="4" s="1"/>
  <c r="D180" i="4"/>
  <c r="E179" i="4"/>
  <c r="J179" i="4" s="1"/>
  <c r="D179" i="4"/>
  <c r="E178" i="4"/>
  <c r="J178" i="4" s="1"/>
  <c r="D178" i="4"/>
  <c r="E177" i="4"/>
  <c r="J177" i="4" s="1"/>
  <c r="D177" i="4"/>
  <c r="E176" i="4"/>
  <c r="J176" i="4" s="1"/>
  <c r="D176" i="4"/>
  <c r="E175" i="4"/>
  <c r="J175" i="4" s="1"/>
  <c r="D175" i="4"/>
  <c r="E174" i="4"/>
  <c r="J174" i="4" s="1"/>
  <c r="D174" i="4"/>
  <c r="E173" i="4"/>
  <c r="J173" i="4" s="1"/>
  <c r="D173" i="4"/>
  <c r="E172" i="4"/>
  <c r="J172" i="4" s="1"/>
  <c r="D172" i="4"/>
  <c r="E171" i="4"/>
  <c r="J171" i="4" s="1"/>
  <c r="D171" i="4"/>
  <c r="E170" i="4"/>
  <c r="J170" i="4" s="1"/>
  <c r="D170" i="4"/>
  <c r="E169" i="4"/>
  <c r="J169" i="4" s="1"/>
  <c r="D169" i="4"/>
  <c r="E168" i="4"/>
  <c r="J168" i="4" s="1"/>
  <c r="D168" i="4"/>
  <c r="E167" i="4"/>
  <c r="J167" i="4" s="1"/>
  <c r="D167" i="4"/>
  <c r="E166" i="4"/>
  <c r="J166" i="4" s="1"/>
  <c r="D166" i="4"/>
  <c r="E165" i="4"/>
  <c r="J165" i="4" s="1"/>
  <c r="D165" i="4"/>
  <c r="E164" i="4"/>
  <c r="J164" i="4" s="1"/>
  <c r="D164" i="4"/>
  <c r="E163" i="4"/>
  <c r="J163" i="4" s="1"/>
  <c r="D163" i="4"/>
  <c r="E162" i="4"/>
  <c r="J162" i="4" s="1"/>
  <c r="D162" i="4"/>
  <c r="E161" i="4"/>
  <c r="J161" i="4" s="1"/>
  <c r="D161" i="4"/>
  <c r="E160" i="4"/>
  <c r="J160" i="4" s="1"/>
  <c r="D160" i="4"/>
  <c r="E159" i="4"/>
  <c r="J159" i="4" s="1"/>
  <c r="D159" i="4"/>
  <c r="E158" i="4"/>
  <c r="J158" i="4" s="1"/>
  <c r="D158" i="4"/>
  <c r="E157" i="4"/>
  <c r="J157" i="4" s="1"/>
  <c r="D157" i="4"/>
  <c r="E156" i="4"/>
  <c r="J156" i="4" s="1"/>
  <c r="D156" i="4"/>
  <c r="E155" i="4"/>
  <c r="J155" i="4" s="1"/>
  <c r="D155" i="4"/>
  <c r="E154" i="4"/>
  <c r="J154" i="4" s="1"/>
  <c r="D154" i="4"/>
  <c r="E153" i="4"/>
  <c r="J153" i="4" s="1"/>
  <c r="D153" i="4"/>
  <c r="E152" i="4"/>
  <c r="J152" i="4" s="1"/>
  <c r="D152" i="4"/>
  <c r="E151" i="4"/>
  <c r="J151" i="4" s="1"/>
  <c r="D151" i="4"/>
  <c r="E150" i="4"/>
  <c r="J150" i="4" s="1"/>
  <c r="D150" i="4"/>
  <c r="E149" i="4"/>
  <c r="J149" i="4" s="1"/>
  <c r="D149" i="4"/>
  <c r="E148" i="4"/>
  <c r="J148" i="4" s="1"/>
  <c r="D148" i="4"/>
  <c r="E147" i="4"/>
  <c r="J147" i="4" s="1"/>
  <c r="D147" i="4"/>
  <c r="E146" i="4"/>
  <c r="J146" i="4" s="1"/>
  <c r="D146" i="4"/>
  <c r="E145" i="4"/>
  <c r="J145" i="4" s="1"/>
  <c r="D145" i="4"/>
  <c r="E144" i="4"/>
  <c r="J144" i="4" s="1"/>
  <c r="D144" i="4"/>
  <c r="E143" i="4"/>
  <c r="J143" i="4" s="1"/>
  <c r="D143" i="4"/>
  <c r="E142" i="4"/>
  <c r="J142" i="4" s="1"/>
  <c r="D142" i="4"/>
  <c r="E141" i="4"/>
  <c r="J141" i="4" s="1"/>
  <c r="D141" i="4"/>
  <c r="E140" i="4"/>
  <c r="J140" i="4" s="1"/>
  <c r="D140" i="4"/>
  <c r="E139" i="4"/>
  <c r="J139" i="4" s="1"/>
  <c r="D139" i="4"/>
  <c r="E138" i="4"/>
  <c r="J138" i="4" s="1"/>
  <c r="D138" i="4"/>
  <c r="E137" i="4"/>
  <c r="J137" i="4" s="1"/>
  <c r="D137" i="4"/>
  <c r="E136" i="4"/>
  <c r="J136" i="4" s="1"/>
  <c r="D136" i="4"/>
  <c r="E135" i="4"/>
  <c r="J135" i="4" s="1"/>
  <c r="D135" i="4"/>
  <c r="E134" i="4"/>
  <c r="J134" i="4" s="1"/>
  <c r="D134" i="4"/>
  <c r="E133" i="4"/>
  <c r="J133" i="4" s="1"/>
  <c r="D133" i="4"/>
  <c r="E132" i="4"/>
  <c r="J132" i="4" s="1"/>
  <c r="D132" i="4"/>
  <c r="E131" i="4"/>
  <c r="J131" i="4" s="1"/>
  <c r="D131" i="4"/>
  <c r="E130" i="4"/>
  <c r="J130" i="4" s="1"/>
  <c r="D130" i="4"/>
  <c r="E129" i="4"/>
  <c r="J129" i="4" s="1"/>
  <c r="D129" i="4"/>
  <c r="E128" i="4"/>
  <c r="J128" i="4" s="1"/>
  <c r="D128" i="4"/>
  <c r="E127" i="4"/>
  <c r="J127" i="4" s="1"/>
  <c r="D127" i="4"/>
  <c r="E126" i="4"/>
  <c r="J126" i="4" s="1"/>
  <c r="D126" i="4"/>
  <c r="E125" i="4"/>
  <c r="J125" i="4" s="1"/>
  <c r="D125" i="4"/>
  <c r="E124" i="4"/>
  <c r="J124" i="4" s="1"/>
  <c r="D124" i="4"/>
  <c r="E123" i="4"/>
  <c r="J123" i="4" s="1"/>
  <c r="D123" i="4"/>
  <c r="E122" i="4"/>
  <c r="J122" i="4" s="1"/>
  <c r="D122" i="4"/>
  <c r="E121" i="4"/>
  <c r="J121" i="4" s="1"/>
  <c r="D121" i="4"/>
  <c r="E120" i="4"/>
  <c r="J120" i="4" s="1"/>
  <c r="D120" i="4"/>
  <c r="E119" i="4"/>
  <c r="J119" i="4" s="1"/>
  <c r="D119" i="4"/>
  <c r="E118" i="4"/>
  <c r="J118" i="4" s="1"/>
  <c r="D118" i="4"/>
  <c r="E117" i="4"/>
  <c r="J117" i="4" s="1"/>
  <c r="D117" i="4"/>
  <c r="E116" i="4"/>
  <c r="J116" i="4" s="1"/>
  <c r="D116" i="4"/>
  <c r="E115" i="4"/>
  <c r="J115" i="4" s="1"/>
  <c r="D115" i="4"/>
  <c r="E114" i="4"/>
  <c r="J114" i="4" s="1"/>
  <c r="D114" i="4"/>
  <c r="E113" i="4"/>
  <c r="J113" i="4" s="1"/>
  <c r="D113" i="4"/>
  <c r="E112" i="4"/>
  <c r="J112" i="4" s="1"/>
  <c r="D112" i="4"/>
  <c r="E111" i="4"/>
  <c r="J111" i="4" s="1"/>
  <c r="D111" i="4"/>
  <c r="E110" i="4"/>
  <c r="J110" i="4" s="1"/>
  <c r="D110" i="4"/>
  <c r="E109" i="4"/>
  <c r="J109" i="4" s="1"/>
  <c r="D109" i="4"/>
  <c r="E108" i="4"/>
  <c r="J108" i="4" s="1"/>
  <c r="D108" i="4"/>
  <c r="E107" i="4"/>
  <c r="J107" i="4" s="1"/>
  <c r="D107" i="4"/>
  <c r="E106" i="4"/>
  <c r="J106" i="4" s="1"/>
  <c r="D106" i="4"/>
  <c r="E105" i="4"/>
  <c r="J105" i="4" s="1"/>
  <c r="D105" i="4"/>
  <c r="E104" i="4"/>
  <c r="J104" i="4" s="1"/>
  <c r="D104" i="4"/>
  <c r="E103" i="4"/>
  <c r="J103" i="4" s="1"/>
  <c r="D103" i="4"/>
  <c r="E102" i="4"/>
  <c r="J102" i="4" s="1"/>
  <c r="D102" i="4"/>
  <c r="E101" i="4"/>
  <c r="J101" i="4" s="1"/>
  <c r="D101" i="4"/>
  <c r="E100" i="4"/>
  <c r="J100" i="4" s="1"/>
  <c r="D100" i="4"/>
  <c r="E99" i="4"/>
  <c r="J99" i="4" s="1"/>
  <c r="D99" i="4"/>
  <c r="E98" i="4"/>
  <c r="J98" i="4" s="1"/>
  <c r="D98" i="4"/>
  <c r="E97" i="4"/>
  <c r="J97" i="4" s="1"/>
  <c r="D97" i="4"/>
  <c r="E96" i="4"/>
  <c r="J96" i="4" s="1"/>
  <c r="D96" i="4"/>
  <c r="E95" i="4"/>
  <c r="J95" i="4" s="1"/>
  <c r="D95" i="4"/>
  <c r="E94" i="4"/>
  <c r="J94" i="4" s="1"/>
  <c r="D94" i="4"/>
  <c r="E93" i="4"/>
  <c r="J93" i="4" s="1"/>
  <c r="D93" i="4"/>
  <c r="E92" i="4"/>
  <c r="J92" i="4" s="1"/>
  <c r="D92" i="4"/>
  <c r="E91" i="4"/>
  <c r="J91" i="4" s="1"/>
  <c r="D91" i="4"/>
  <c r="E90" i="4"/>
  <c r="J90" i="4" s="1"/>
  <c r="D90" i="4"/>
  <c r="E89" i="4"/>
  <c r="J89" i="4" s="1"/>
  <c r="D89" i="4"/>
  <c r="E88" i="4"/>
  <c r="J88" i="4" s="1"/>
  <c r="D88" i="4"/>
  <c r="E87" i="4"/>
  <c r="J87" i="4" s="1"/>
  <c r="D87" i="4"/>
  <c r="E86" i="4"/>
  <c r="J86" i="4" s="1"/>
  <c r="D86" i="4"/>
  <c r="E85" i="4"/>
  <c r="J85" i="4" s="1"/>
  <c r="D85" i="4"/>
  <c r="E84" i="4"/>
  <c r="J84" i="4" s="1"/>
  <c r="D84" i="4"/>
  <c r="E83" i="4"/>
  <c r="J83" i="4" s="1"/>
  <c r="D83" i="4"/>
  <c r="E82" i="4"/>
  <c r="J82" i="4" s="1"/>
  <c r="D82" i="4"/>
  <c r="E81" i="4"/>
  <c r="J81" i="4" s="1"/>
  <c r="D81" i="4"/>
  <c r="E80" i="4"/>
  <c r="J80" i="4" s="1"/>
  <c r="D80" i="4"/>
  <c r="E79" i="4"/>
  <c r="J79" i="4" s="1"/>
  <c r="D79" i="4"/>
  <c r="E78" i="4"/>
  <c r="J78" i="4" s="1"/>
  <c r="D78" i="4"/>
  <c r="E77" i="4"/>
  <c r="J77" i="4" s="1"/>
  <c r="D77" i="4"/>
  <c r="E76" i="4"/>
  <c r="J76" i="4" s="1"/>
  <c r="D76" i="4"/>
  <c r="E75" i="4"/>
  <c r="J75" i="4" s="1"/>
  <c r="D75" i="4"/>
  <c r="E74" i="4"/>
  <c r="J74" i="4" s="1"/>
  <c r="D74" i="4"/>
  <c r="E73" i="4"/>
  <c r="J73" i="4" s="1"/>
  <c r="D73" i="4"/>
  <c r="E72" i="4"/>
  <c r="J72" i="4" s="1"/>
  <c r="D72" i="4"/>
  <c r="E71" i="4"/>
  <c r="J71" i="4" s="1"/>
  <c r="D71" i="4"/>
  <c r="E70" i="4"/>
  <c r="J70" i="4" s="1"/>
  <c r="D70" i="4"/>
  <c r="E69" i="4"/>
  <c r="J69" i="4" s="1"/>
  <c r="D69" i="4"/>
  <c r="E68" i="4"/>
  <c r="J68" i="4" s="1"/>
  <c r="D68" i="4"/>
  <c r="E67" i="4"/>
  <c r="J67" i="4" s="1"/>
  <c r="D67" i="4"/>
  <c r="E66" i="4"/>
  <c r="J66" i="4" s="1"/>
  <c r="D66" i="4"/>
  <c r="E65" i="4"/>
  <c r="J65" i="4" s="1"/>
  <c r="D65" i="4"/>
  <c r="E64" i="4"/>
  <c r="J64" i="4" s="1"/>
  <c r="D64" i="4"/>
  <c r="E63" i="4"/>
  <c r="J63" i="4" s="1"/>
  <c r="D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D62" i="4"/>
  <c r="D61" i="4"/>
  <c r="D60" i="4"/>
  <c r="I60" i="4" s="1"/>
  <c r="D59" i="4"/>
  <c r="I59" i="4" s="1"/>
  <c r="D58" i="4"/>
  <c r="D57" i="4"/>
  <c r="E62" i="4"/>
  <c r="J62" i="4" s="1"/>
  <c r="E61" i="4"/>
  <c r="J61" i="4" s="1"/>
  <c r="E60" i="4"/>
  <c r="J60" i="4" s="1"/>
  <c r="E59" i="4"/>
  <c r="J59" i="4" s="1"/>
  <c r="E58" i="4"/>
  <c r="J58" i="4" s="1"/>
  <c r="E57" i="4"/>
  <c r="J57" i="4" s="1"/>
  <c r="E56" i="4"/>
  <c r="J56" i="4" s="1"/>
  <c r="E55" i="4"/>
  <c r="J55" i="4" s="1"/>
  <c r="E54" i="4"/>
  <c r="J54" i="4" s="1"/>
  <c r="E53" i="4"/>
  <c r="J53" i="4" s="1"/>
  <c r="E52" i="4"/>
  <c r="J52" i="4" s="1"/>
  <c r="E51" i="4"/>
  <c r="J51" i="4" s="1"/>
  <c r="E50" i="4"/>
  <c r="J50" i="4" s="1"/>
  <c r="E49" i="4"/>
  <c r="J49" i="4" s="1"/>
  <c r="E48" i="4"/>
  <c r="J48" i="4" s="1"/>
  <c r="E47" i="4"/>
  <c r="J47" i="4" s="1"/>
  <c r="E46" i="4"/>
  <c r="J46" i="4" s="1"/>
  <c r="E45" i="4"/>
  <c r="J45" i="4" s="1"/>
  <c r="E44" i="4"/>
  <c r="J44" i="4" s="1"/>
  <c r="E43" i="4"/>
  <c r="J43" i="4" s="1"/>
  <c r="E42" i="4"/>
  <c r="J42" i="4" s="1"/>
  <c r="E41" i="4"/>
  <c r="J41" i="4" s="1"/>
  <c r="E40" i="4"/>
  <c r="J40" i="4" s="1"/>
  <c r="E39" i="4"/>
  <c r="J39" i="4" s="1"/>
  <c r="E38" i="4"/>
  <c r="J38" i="4" s="1"/>
  <c r="E37" i="4"/>
  <c r="J37" i="4" s="1"/>
  <c r="E36" i="4"/>
  <c r="J36" i="4" s="1"/>
  <c r="E35" i="4"/>
  <c r="J35" i="4" s="1"/>
  <c r="E34" i="4"/>
  <c r="J34" i="4" s="1"/>
  <c r="E33" i="4"/>
  <c r="J33" i="4" s="1"/>
  <c r="E32" i="4"/>
  <c r="J32" i="4" s="1"/>
  <c r="E31" i="4"/>
  <c r="J31" i="4" s="1"/>
  <c r="E30" i="4"/>
  <c r="J30" i="4" s="1"/>
  <c r="E29" i="4"/>
  <c r="J29" i="4" s="1"/>
  <c r="E28" i="4"/>
  <c r="J28" i="4" s="1"/>
  <c r="E27" i="4"/>
  <c r="J27" i="4" s="1"/>
  <c r="E26" i="4"/>
  <c r="J26" i="4" s="1"/>
  <c r="E25" i="4"/>
  <c r="J25" i="4" s="1"/>
  <c r="E24" i="4"/>
  <c r="J24" i="4" s="1"/>
  <c r="E23" i="4"/>
  <c r="J23" i="4" s="1"/>
  <c r="E22" i="4"/>
  <c r="J22" i="4" s="1"/>
  <c r="E21" i="4"/>
  <c r="J21" i="4" s="1"/>
  <c r="E20" i="4"/>
  <c r="J20" i="4" s="1"/>
  <c r="E19" i="4"/>
  <c r="J19" i="4" s="1"/>
  <c r="E18" i="4"/>
  <c r="J18" i="4" s="1"/>
  <c r="E17" i="4"/>
  <c r="J17" i="4" s="1"/>
  <c r="E16" i="4"/>
  <c r="J16" i="4" s="1"/>
  <c r="E15" i="4"/>
  <c r="J15" i="4" s="1"/>
  <c r="E14" i="4"/>
  <c r="J14" i="4" s="1"/>
  <c r="E13" i="4"/>
  <c r="J13" i="4" s="1"/>
  <c r="E12" i="4"/>
  <c r="J12" i="4" s="1"/>
  <c r="E11" i="4"/>
  <c r="J11" i="4" s="1"/>
  <c r="E10" i="4"/>
  <c r="J10" i="4" s="1"/>
  <c r="E9" i="4"/>
  <c r="J9" i="4" s="1"/>
  <c r="D56" i="4"/>
  <c r="I56" i="4" s="1"/>
  <c r="D55" i="4"/>
  <c r="I55" i="4" s="1"/>
  <c r="D54" i="4"/>
  <c r="I54" i="4" s="1"/>
  <c r="D53" i="4"/>
  <c r="I53" i="4" s="1"/>
  <c r="D52" i="4"/>
  <c r="I52" i="4" s="1"/>
  <c r="D51" i="4"/>
  <c r="I51" i="4" s="1"/>
  <c r="D50" i="4"/>
  <c r="I50" i="4" s="1"/>
  <c r="D49" i="4"/>
  <c r="I49" i="4" s="1"/>
  <c r="D48" i="4"/>
  <c r="I48" i="4" s="1"/>
  <c r="D47" i="4"/>
  <c r="I47" i="4" s="1"/>
  <c r="D46" i="4"/>
  <c r="I46" i="4" s="1"/>
  <c r="D45" i="4"/>
  <c r="I45" i="4" s="1"/>
  <c r="D44" i="4"/>
  <c r="I44" i="4" s="1"/>
  <c r="D43" i="4"/>
  <c r="I43" i="4" s="1"/>
  <c r="D42" i="4"/>
  <c r="I42" i="4" s="1"/>
  <c r="D41" i="4"/>
  <c r="I41" i="4" s="1"/>
  <c r="D40" i="4"/>
  <c r="I40" i="4" s="1"/>
  <c r="D39" i="4"/>
  <c r="I39" i="4" s="1"/>
  <c r="D38" i="4"/>
  <c r="I38" i="4" s="1"/>
  <c r="D37" i="4"/>
  <c r="I37" i="4" s="1"/>
  <c r="D36" i="4"/>
  <c r="I36" i="4" s="1"/>
  <c r="D35" i="4"/>
  <c r="I35" i="4" s="1"/>
  <c r="D34" i="4"/>
  <c r="I34" i="4" s="1"/>
  <c r="D33" i="4"/>
  <c r="I33" i="4" s="1"/>
  <c r="D32" i="4"/>
  <c r="I32" i="4" s="1"/>
  <c r="D31" i="4"/>
  <c r="I31" i="4" s="1"/>
  <c r="D30" i="4"/>
  <c r="I30" i="4" s="1"/>
  <c r="D29" i="4"/>
  <c r="I29" i="4" s="1"/>
  <c r="D28" i="4"/>
  <c r="I28" i="4" s="1"/>
  <c r="D27" i="4"/>
  <c r="I27" i="4" s="1"/>
  <c r="D26" i="4"/>
  <c r="I26" i="4" s="1"/>
  <c r="D25" i="4"/>
  <c r="I25" i="4" s="1"/>
  <c r="D24" i="4"/>
  <c r="I24" i="4" s="1"/>
  <c r="D23" i="4"/>
  <c r="I23" i="4" s="1"/>
  <c r="D22" i="4"/>
  <c r="I22" i="4" s="1"/>
  <c r="D21" i="4"/>
  <c r="I21" i="4" s="1"/>
  <c r="D20" i="4"/>
  <c r="I20" i="4" s="1"/>
  <c r="D19" i="4"/>
  <c r="I19" i="4" s="1"/>
  <c r="D18" i="4"/>
  <c r="I18" i="4" s="1"/>
  <c r="D17" i="4"/>
  <c r="I17" i="4" s="1"/>
  <c r="D16" i="4"/>
  <c r="I16" i="4" s="1"/>
  <c r="D15" i="4"/>
  <c r="I15" i="4" s="1"/>
  <c r="D14" i="4"/>
  <c r="I14" i="4" s="1"/>
  <c r="D13" i="4"/>
  <c r="I13" i="4" s="1"/>
  <c r="D12" i="4"/>
  <c r="I12" i="4" s="1"/>
  <c r="D11" i="4"/>
  <c r="I11" i="4" s="1"/>
  <c r="D10" i="4"/>
  <c r="I10" i="4" s="1"/>
  <c r="D9" i="4"/>
  <c r="I9" i="4" s="1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72" i="17"/>
  <c r="E171" i="17"/>
  <c r="E170" i="17"/>
  <c r="E169" i="17"/>
  <c r="E168" i="17"/>
  <c r="E167" i="17"/>
  <c r="E166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52" i="17"/>
  <c r="E151" i="17"/>
  <c r="E150" i="17"/>
  <c r="E149" i="17"/>
  <c r="E148" i="17"/>
  <c r="E147" i="17"/>
  <c r="E146" i="17"/>
  <c r="E145" i="17"/>
  <c r="E144" i="17"/>
  <c r="E143" i="17"/>
  <c r="E142" i="17"/>
  <c r="E141" i="17"/>
  <c r="E140" i="17"/>
  <c r="E139" i="17"/>
  <c r="E138" i="17"/>
  <c r="E137" i="17"/>
  <c r="E136" i="17"/>
  <c r="E135" i="17"/>
  <c r="E134" i="17"/>
  <c r="E133" i="17"/>
  <c r="E132" i="17"/>
  <c r="E131" i="17"/>
  <c r="E130" i="17"/>
  <c r="E129" i="17"/>
  <c r="E128" i="17"/>
  <c r="E127" i="17"/>
  <c r="E126" i="17"/>
  <c r="E125" i="17"/>
  <c r="E124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111" i="17"/>
  <c r="E110" i="17"/>
  <c r="E109" i="17"/>
  <c r="E108" i="17"/>
  <c r="E107" i="17"/>
  <c r="E106" i="17"/>
  <c r="E105" i="17"/>
  <c r="E104" i="17"/>
  <c r="E103" i="17"/>
  <c r="E102" i="17"/>
  <c r="E101" i="17"/>
  <c r="E100" i="17"/>
  <c r="E99" i="17"/>
  <c r="E98" i="17"/>
  <c r="E97" i="17"/>
  <c r="E96" i="17"/>
  <c r="E95" i="17"/>
  <c r="E94" i="17"/>
  <c r="E93" i="17"/>
  <c r="E92" i="17"/>
  <c r="E91" i="17"/>
  <c r="E90" i="17"/>
  <c r="E89" i="17"/>
  <c r="E88" i="17"/>
  <c r="E87" i="17"/>
  <c r="E86" i="17"/>
  <c r="E85" i="17"/>
  <c r="E84" i="17"/>
  <c r="E83" i="17"/>
  <c r="E82" i="17"/>
  <c r="E81" i="17"/>
  <c r="E80" i="17"/>
  <c r="E79" i="17"/>
  <c r="E78" i="17"/>
  <c r="E77" i="17"/>
  <c r="E76" i="17"/>
  <c r="E75" i="17"/>
  <c r="E74" i="17"/>
  <c r="E73" i="17"/>
  <c r="E72" i="17"/>
  <c r="E71" i="17"/>
  <c r="E70" i="17"/>
  <c r="E69" i="17"/>
  <c r="E68" i="17"/>
  <c r="E67" i="17"/>
  <c r="E66" i="17"/>
  <c r="E65" i="17"/>
  <c r="E64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J68" i="20"/>
  <c r="J67" i="20"/>
  <c r="J66" i="20"/>
  <c r="J65" i="20"/>
  <c r="J64" i="20"/>
  <c r="J63" i="20"/>
  <c r="J62" i="20"/>
  <c r="J61" i="20"/>
  <c r="J60" i="20"/>
  <c r="J59" i="20"/>
  <c r="J58" i="20"/>
  <c r="J57" i="20"/>
  <c r="J56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6" i="20"/>
  <c r="J5" i="20"/>
  <c r="L660" i="4" l="1"/>
  <c r="M660" i="4" s="1"/>
  <c r="L535" i="4"/>
  <c r="M535" i="4" s="1"/>
  <c r="L473" i="4"/>
  <c r="M473" i="4" s="1"/>
  <c r="L493" i="4"/>
  <c r="M493" i="4" s="1"/>
  <c r="L405" i="4"/>
  <c r="M405" i="4" s="1"/>
  <c r="L529" i="4"/>
  <c r="M529" i="4" s="1"/>
  <c r="L434" i="4"/>
  <c r="M434" i="4" s="1"/>
  <c r="L666" i="4"/>
  <c r="M666" i="4" s="1"/>
  <c r="L504" i="4"/>
  <c r="M504" i="4" s="1"/>
  <c r="L421" i="4"/>
  <c r="M421" i="4" s="1"/>
  <c r="L477" i="4"/>
  <c r="M477" i="4" s="1"/>
  <c r="L413" i="4"/>
  <c r="M413" i="4" s="1"/>
  <c r="L543" i="4"/>
  <c r="M543" i="4" s="1"/>
  <c r="L442" i="4"/>
  <c r="M442" i="4" s="1"/>
  <c r="L381" i="4"/>
  <c r="M381" i="4" s="1"/>
  <c r="L457" i="4"/>
  <c r="M457" i="4" s="1"/>
  <c r="L489" i="4"/>
  <c r="M489" i="4" s="1"/>
  <c r="L517" i="4"/>
  <c r="M517" i="4" s="1"/>
  <c r="L537" i="4"/>
  <c r="M537" i="4" s="1"/>
  <c r="L518" i="4"/>
  <c r="M518" i="4" s="1"/>
  <c r="L552" i="4"/>
  <c r="M552" i="4" s="1"/>
  <c r="L347" i="4"/>
  <c r="M347" i="4" s="1"/>
  <c r="L363" i="4"/>
  <c r="M363" i="4" s="1"/>
  <c r="L438" i="4"/>
  <c r="M438" i="4" s="1"/>
  <c r="L506" i="4"/>
  <c r="M506" i="4" s="1"/>
  <c r="L422" i="4"/>
  <c r="M422" i="4" s="1"/>
  <c r="L454" i="4"/>
  <c r="M454" i="4" s="1"/>
  <c r="L494" i="4"/>
  <c r="M494" i="4" s="1"/>
  <c r="L526" i="4"/>
  <c r="M526" i="4" s="1"/>
  <c r="L403" i="4"/>
  <c r="M403" i="4" s="1"/>
  <c r="L419" i="4"/>
  <c r="M419" i="4" s="1"/>
  <c r="L459" i="4"/>
  <c r="M459" i="4" s="1"/>
  <c r="L531" i="4"/>
  <c r="M531" i="4" s="1"/>
  <c r="L406" i="4"/>
  <c r="M406" i="4" s="1"/>
  <c r="L430" i="4"/>
  <c r="M430" i="4" s="1"/>
  <c r="L462" i="4"/>
  <c r="M462" i="4" s="1"/>
  <c r="L514" i="4"/>
  <c r="M514" i="4" s="1"/>
  <c r="L455" i="4"/>
  <c r="M455" i="4" s="1"/>
  <c r="L507" i="4"/>
  <c r="M507" i="4" s="1"/>
  <c r="L465" i="4"/>
  <c r="M465" i="4" s="1"/>
  <c r="L412" i="4"/>
  <c r="M412" i="4" s="1"/>
  <c r="L428" i="4"/>
  <c r="M428" i="4" s="1"/>
  <c r="L432" i="4"/>
  <c r="M432" i="4" s="1"/>
  <c r="L436" i="4"/>
  <c r="M436" i="4" s="1"/>
  <c r="L440" i="4"/>
  <c r="M440" i="4" s="1"/>
  <c r="L444" i="4"/>
  <c r="M444" i="4" s="1"/>
  <c r="L520" i="4"/>
  <c r="M520" i="4" s="1"/>
  <c r="L547" i="4"/>
  <c r="M547" i="4" s="1"/>
  <c r="J388" i="4"/>
  <c r="L388" i="4" s="1"/>
  <c r="M388" i="4" s="1"/>
  <c r="L392" i="4"/>
  <c r="M392" i="4" s="1"/>
  <c r="J408" i="4"/>
  <c r="L408" i="4" s="1"/>
  <c r="M408" i="4" s="1"/>
  <c r="J424" i="4"/>
  <c r="L424" i="4" s="1"/>
  <c r="M424" i="4" s="1"/>
  <c r="L496" i="4"/>
  <c r="M496" i="4" s="1"/>
  <c r="J496" i="4"/>
  <c r="L500" i="4"/>
  <c r="M500" i="4" s="1"/>
  <c r="J512" i="4"/>
  <c r="L512" i="4" s="1"/>
  <c r="M512" i="4" s="1"/>
  <c r="J516" i="4"/>
  <c r="L516" i="4" s="1"/>
  <c r="M516" i="4" s="1"/>
  <c r="J524" i="4"/>
  <c r="L524" i="4" s="1"/>
  <c r="M524" i="4" s="1"/>
  <c r="L655" i="4"/>
  <c r="M655" i="4" s="1"/>
  <c r="L658" i="4"/>
  <c r="M658" i="4" s="1"/>
  <c r="L341" i="4"/>
  <c r="M341" i="4" s="1"/>
  <c r="L349" i="4"/>
  <c r="M349" i="4" s="1"/>
  <c r="L373" i="4"/>
  <c r="M373" i="4" s="1"/>
  <c r="L399" i="4"/>
  <c r="M399" i="4" s="1"/>
  <c r="L415" i="4"/>
  <c r="M415" i="4" s="1"/>
  <c r="L479" i="4"/>
  <c r="M479" i="4" s="1"/>
  <c r="L536" i="4"/>
  <c r="M536" i="4" s="1"/>
  <c r="L542" i="4"/>
  <c r="M542" i="4" s="1"/>
  <c r="L545" i="4"/>
  <c r="M545" i="4" s="1"/>
  <c r="L548" i="4"/>
  <c r="M548" i="4" s="1"/>
  <c r="L551" i="4"/>
  <c r="M551" i="4" s="1"/>
  <c r="L378" i="4"/>
  <c r="M378" i="4" s="1"/>
  <c r="L382" i="4"/>
  <c r="M382" i="4" s="1"/>
  <c r="L474" i="4"/>
  <c r="M474" i="4" s="1"/>
  <c r="L486" i="4"/>
  <c r="M486" i="4" s="1"/>
  <c r="L490" i="4"/>
  <c r="M490" i="4" s="1"/>
  <c r="L622" i="4"/>
  <c r="M622" i="4" s="1"/>
  <c r="L630" i="4"/>
  <c r="M630" i="4" s="1"/>
  <c r="L638" i="4"/>
  <c r="M638" i="4" s="1"/>
  <c r="L646" i="4"/>
  <c r="M646" i="4" s="1"/>
  <c r="J395" i="4"/>
  <c r="L395" i="4" s="1"/>
  <c r="M395" i="4" s="1"/>
  <c r="J402" i="4"/>
  <c r="L402" i="4" s="1"/>
  <c r="M402" i="4" s="1"/>
  <c r="I409" i="4"/>
  <c r="L409" i="4" s="1"/>
  <c r="M409" i="4" s="1"/>
  <c r="J418" i="4"/>
  <c r="L418" i="4" s="1"/>
  <c r="M418" i="4" s="1"/>
  <c r="I425" i="4"/>
  <c r="L425" i="4" s="1"/>
  <c r="M425" i="4" s="1"/>
  <c r="J450" i="4"/>
  <c r="L450" i="4" s="1"/>
  <c r="M450" i="4" s="1"/>
  <c r="L470" i="4"/>
  <c r="M470" i="4" s="1"/>
  <c r="J482" i="4"/>
  <c r="L482" i="4" s="1"/>
  <c r="M482" i="4" s="1"/>
  <c r="L527" i="4"/>
  <c r="M527" i="4" s="1"/>
  <c r="L530" i="4"/>
  <c r="M530" i="4" s="1"/>
  <c r="L451" i="4"/>
  <c r="M451" i="4" s="1"/>
  <c r="L523" i="4"/>
  <c r="M523" i="4" s="1"/>
  <c r="L559" i="4"/>
  <c r="M559" i="4" s="1"/>
  <c r="L610" i="4"/>
  <c r="M610" i="4" s="1"/>
  <c r="L664" i="4"/>
  <c r="M664" i="4" s="1"/>
  <c r="L668" i="4"/>
  <c r="M668" i="4" s="1"/>
  <c r="L555" i="4"/>
  <c r="M555" i="4" s="1"/>
  <c r="L558" i="4"/>
  <c r="M558" i="4" s="1"/>
  <c r="L466" i="4"/>
  <c r="M466" i="4" s="1"/>
  <c r="I469" i="4"/>
  <c r="L469" i="4" s="1"/>
  <c r="M469" i="4" s="1"/>
  <c r="J478" i="4"/>
  <c r="L478" i="4" s="1"/>
  <c r="M478" i="4" s="1"/>
  <c r="I483" i="4"/>
  <c r="L483" i="4" s="1"/>
  <c r="M483" i="4" s="1"/>
  <c r="L503" i="4"/>
  <c r="M503" i="4" s="1"/>
  <c r="L534" i="4"/>
  <c r="M534" i="4" s="1"/>
  <c r="L540" i="4"/>
  <c r="M540" i="4" s="1"/>
  <c r="L380" i="4"/>
  <c r="M380" i="4" s="1"/>
  <c r="L476" i="4"/>
  <c r="M476" i="4" s="1"/>
  <c r="L480" i="4"/>
  <c r="M480" i="4" s="1"/>
  <c r="L484" i="4"/>
  <c r="M484" i="4" s="1"/>
  <c r="L488" i="4"/>
  <c r="M488" i="4" s="1"/>
  <c r="L492" i="4"/>
  <c r="M492" i="4" s="1"/>
  <c r="L528" i="4"/>
  <c r="M528" i="4" s="1"/>
  <c r="L657" i="4"/>
  <c r="M657" i="4" s="1"/>
  <c r="L665" i="4"/>
  <c r="M665" i="4" s="1"/>
  <c r="L636" i="4"/>
  <c r="M636" i="4" s="1"/>
  <c r="L644" i="4"/>
  <c r="M644" i="4" s="1"/>
  <c r="L449" i="4"/>
  <c r="M449" i="4" s="1"/>
  <c r="L453" i="4"/>
  <c r="M453" i="4" s="1"/>
  <c r="L513" i="4"/>
  <c r="M513" i="4" s="1"/>
  <c r="L533" i="4"/>
  <c r="M533" i="4" s="1"/>
  <c r="L541" i="4"/>
  <c r="M541" i="4" s="1"/>
  <c r="L549" i="4"/>
  <c r="M549" i="4" s="1"/>
  <c r="L557" i="4"/>
  <c r="M557" i="4" s="1"/>
  <c r="L654" i="4"/>
  <c r="M654" i="4" s="1"/>
  <c r="L662" i="4"/>
  <c r="M662" i="4" s="1"/>
  <c r="L550" i="4"/>
  <c r="M550" i="4" s="1"/>
  <c r="L556" i="4"/>
  <c r="M556" i="4" s="1"/>
  <c r="L340" i="4"/>
  <c r="M340" i="4" s="1"/>
  <c r="L344" i="4"/>
  <c r="M344" i="4" s="1"/>
  <c r="L348" i="4"/>
  <c r="M348" i="4" s="1"/>
  <c r="L352" i="4"/>
  <c r="M352" i="4" s="1"/>
  <c r="L356" i="4"/>
  <c r="M356" i="4" s="1"/>
  <c r="L364" i="4"/>
  <c r="M364" i="4" s="1"/>
  <c r="L368" i="4"/>
  <c r="M368" i="4" s="1"/>
  <c r="L389" i="4"/>
  <c r="M389" i="4" s="1"/>
  <c r="L426" i="4"/>
  <c r="M426" i="4" s="1"/>
  <c r="I447" i="4"/>
  <c r="L447" i="4" s="1"/>
  <c r="M447" i="4" s="1"/>
  <c r="L460" i="4"/>
  <c r="M460" i="4" s="1"/>
  <c r="L497" i="4"/>
  <c r="M497" i="4" s="1"/>
  <c r="I532" i="4"/>
  <c r="L532" i="4" s="1"/>
  <c r="M532" i="4" s="1"/>
  <c r="L663" i="4"/>
  <c r="M663" i="4" s="1"/>
  <c r="L538" i="4"/>
  <c r="M538" i="4" s="1"/>
  <c r="L629" i="4"/>
  <c r="M629" i="4" s="1"/>
  <c r="L633" i="4"/>
  <c r="M633" i="4" s="1"/>
  <c r="L637" i="4"/>
  <c r="M637" i="4" s="1"/>
  <c r="L641" i="4"/>
  <c r="M641" i="4" s="1"/>
  <c r="L645" i="4"/>
  <c r="M645" i="4" s="1"/>
  <c r="L649" i="4"/>
  <c r="M649" i="4" s="1"/>
  <c r="L680" i="4"/>
  <c r="M680" i="4" s="1"/>
  <c r="L653" i="4"/>
  <c r="M653" i="4" s="1"/>
  <c r="L661" i="4"/>
  <c r="M661" i="4" s="1"/>
  <c r="L677" i="4"/>
  <c r="M677" i="4" s="1"/>
  <c r="L678" i="4"/>
  <c r="M678" i="4" s="1"/>
  <c r="L628" i="4"/>
  <c r="M628" i="4" s="1"/>
  <c r="I628" i="4"/>
  <c r="I627" i="4"/>
  <c r="L627" i="4" s="1"/>
  <c r="M627" i="4" s="1"/>
  <c r="L626" i="4"/>
  <c r="M626" i="4" s="1"/>
  <c r="I626" i="4"/>
  <c r="L625" i="4"/>
  <c r="M625" i="4" s="1"/>
  <c r="I625" i="4"/>
  <c r="L624" i="4"/>
  <c r="M624" i="4" s="1"/>
  <c r="I624" i="4"/>
  <c r="I623" i="4"/>
  <c r="L623" i="4" s="1"/>
  <c r="M623" i="4" s="1"/>
  <c r="L621" i="4"/>
  <c r="M621" i="4" s="1"/>
  <c r="I621" i="4"/>
  <c r="L620" i="4"/>
  <c r="M620" i="4" s="1"/>
  <c r="I620" i="4"/>
  <c r="L619" i="4"/>
  <c r="M619" i="4" s="1"/>
  <c r="I619" i="4"/>
  <c r="I618" i="4"/>
  <c r="L618" i="4" s="1"/>
  <c r="M618" i="4" s="1"/>
  <c r="L617" i="4"/>
  <c r="M617" i="4" s="1"/>
  <c r="I617" i="4"/>
  <c r="L616" i="4"/>
  <c r="M616" i="4" s="1"/>
  <c r="I616" i="4"/>
  <c r="L615" i="4"/>
  <c r="M615" i="4" s="1"/>
  <c r="I615" i="4"/>
  <c r="I614" i="4"/>
  <c r="L614" i="4" s="1"/>
  <c r="M614" i="4" s="1"/>
  <c r="L613" i="4"/>
  <c r="M613" i="4" s="1"/>
  <c r="I613" i="4"/>
  <c r="L612" i="4"/>
  <c r="M612" i="4" s="1"/>
  <c r="I612" i="4"/>
  <c r="L611" i="4"/>
  <c r="M611" i="4" s="1"/>
  <c r="I611" i="4"/>
  <c r="I609" i="4"/>
  <c r="L609" i="4" s="1"/>
  <c r="M609" i="4" s="1"/>
  <c r="L608" i="4"/>
  <c r="M608" i="4" s="1"/>
  <c r="I608" i="4"/>
  <c r="L607" i="4"/>
  <c r="M607" i="4" s="1"/>
  <c r="I607" i="4"/>
  <c r="L606" i="4"/>
  <c r="M606" i="4" s="1"/>
  <c r="I606" i="4"/>
  <c r="I605" i="4"/>
  <c r="L605" i="4" s="1"/>
  <c r="M605" i="4" s="1"/>
  <c r="L604" i="4"/>
  <c r="M604" i="4" s="1"/>
  <c r="I604" i="4"/>
  <c r="L603" i="4"/>
  <c r="M603" i="4" s="1"/>
  <c r="I603" i="4"/>
  <c r="L602" i="4"/>
  <c r="M602" i="4" s="1"/>
  <c r="I602" i="4"/>
  <c r="I601" i="4"/>
  <c r="L601" i="4" s="1"/>
  <c r="M601" i="4" s="1"/>
  <c r="L600" i="4"/>
  <c r="M600" i="4" s="1"/>
  <c r="I600" i="4"/>
  <c r="L599" i="4"/>
  <c r="M599" i="4" s="1"/>
  <c r="I599" i="4"/>
  <c r="L598" i="4"/>
  <c r="M598" i="4" s="1"/>
  <c r="I598" i="4"/>
  <c r="I597" i="4"/>
  <c r="L597" i="4" s="1"/>
  <c r="M597" i="4" s="1"/>
  <c r="L596" i="4"/>
  <c r="M596" i="4" s="1"/>
  <c r="I596" i="4"/>
  <c r="L595" i="4"/>
  <c r="M595" i="4" s="1"/>
  <c r="I595" i="4"/>
  <c r="L594" i="4"/>
  <c r="M594" i="4" s="1"/>
  <c r="I594" i="4"/>
  <c r="I593" i="4"/>
  <c r="L593" i="4" s="1"/>
  <c r="M593" i="4" s="1"/>
  <c r="L592" i="4"/>
  <c r="M592" i="4" s="1"/>
  <c r="I592" i="4"/>
  <c r="L591" i="4"/>
  <c r="M591" i="4" s="1"/>
  <c r="I591" i="4"/>
  <c r="L590" i="4"/>
  <c r="M590" i="4" s="1"/>
  <c r="I590" i="4"/>
  <c r="I589" i="4"/>
  <c r="L589" i="4" s="1"/>
  <c r="M589" i="4" s="1"/>
  <c r="L588" i="4"/>
  <c r="M588" i="4" s="1"/>
  <c r="I588" i="4"/>
  <c r="L587" i="4"/>
  <c r="M587" i="4" s="1"/>
  <c r="I587" i="4"/>
  <c r="L586" i="4"/>
  <c r="M586" i="4" s="1"/>
  <c r="I586" i="4"/>
  <c r="I585" i="4"/>
  <c r="L585" i="4" s="1"/>
  <c r="M585" i="4" s="1"/>
  <c r="I584" i="4"/>
  <c r="L584" i="4" s="1"/>
  <c r="M584" i="4" s="1"/>
  <c r="I583" i="4"/>
  <c r="L583" i="4" s="1"/>
  <c r="M583" i="4" s="1"/>
  <c r="I582" i="4"/>
  <c r="L582" i="4" s="1"/>
  <c r="M582" i="4" s="1"/>
  <c r="I581" i="4"/>
  <c r="L581" i="4" s="1"/>
  <c r="M581" i="4" s="1"/>
  <c r="I580" i="4"/>
  <c r="L580" i="4" s="1"/>
  <c r="M580" i="4" s="1"/>
  <c r="I579" i="4"/>
  <c r="L579" i="4" s="1"/>
  <c r="M579" i="4" s="1"/>
  <c r="I578" i="4"/>
  <c r="L578" i="4" s="1"/>
  <c r="M578" i="4" s="1"/>
  <c r="I577" i="4"/>
  <c r="L577" i="4" s="1"/>
  <c r="M577" i="4" s="1"/>
  <c r="I576" i="4"/>
  <c r="L576" i="4" s="1"/>
  <c r="M576" i="4" s="1"/>
  <c r="I575" i="4"/>
  <c r="L575" i="4" s="1"/>
  <c r="M575" i="4" s="1"/>
  <c r="I574" i="4"/>
  <c r="L574" i="4" s="1"/>
  <c r="M574" i="4" s="1"/>
  <c r="I573" i="4"/>
  <c r="L573" i="4" s="1"/>
  <c r="M573" i="4" s="1"/>
  <c r="I572" i="4"/>
  <c r="L572" i="4" s="1"/>
  <c r="M572" i="4" s="1"/>
  <c r="I571" i="4"/>
  <c r="L571" i="4" s="1"/>
  <c r="M571" i="4" s="1"/>
  <c r="I570" i="4"/>
  <c r="L570" i="4" s="1"/>
  <c r="M570" i="4" s="1"/>
  <c r="I569" i="4"/>
  <c r="L569" i="4" s="1"/>
  <c r="M569" i="4" s="1"/>
  <c r="I568" i="4"/>
  <c r="L568" i="4" s="1"/>
  <c r="M568" i="4" s="1"/>
  <c r="I567" i="4"/>
  <c r="L567" i="4" s="1"/>
  <c r="M567" i="4" s="1"/>
  <c r="I566" i="4"/>
  <c r="L566" i="4" s="1"/>
  <c r="M566" i="4" s="1"/>
  <c r="I565" i="4"/>
  <c r="L565" i="4" s="1"/>
  <c r="M565" i="4" s="1"/>
  <c r="I564" i="4"/>
  <c r="L564" i="4" s="1"/>
  <c r="M564" i="4" s="1"/>
  <c r="I563" i="4"/>
  <c r="L563" i="4" s="1"/>
  <c r="M563" i="4" s="1"/>
  <c r="I562" i="4"/>
  <c r="L562" i="4" s="1"/>
  <c r="M562" i="4" s="1"/>
  <c r="I561" i="4"/>
  <c r="L561" i="4" s="1"/>
  <c r="M561" i="4" s="1"/>
  <c r="L374" i="4"/>
  <c r="M374" i="4" s="1"/>
  <c r="L357" i="4"/>
  <c r="M357" i="4" s="1"/>
  <c r="L365" i="4"/>
  <c r="M365" i="4" s="1"/>
  <c r="L370" i="4"/>
  <c r="M370" i="4" s="1"/>
  <c r="L375" i="4"/>
  <c r="M375" i="4" s="1"/>
  <c r="L360" i="4"/>
  <c r="M360" i="4" s="1"/>
  <c r="I472" i="4"/>
  <c r="L472" i="4" s="1"/>
  <c r="M472" i="4" s="1"/>
  <c r="L343" i="4"/>
  <c r="M343" i="4" s="1"/>
  <c r="L293" i="4"/>
  <c r="M293" i="4" s="1"/>
  <c r="L553" i="4"/>
  <c r="M553" i="4" s="1"/>
  <c r="L371" i="4"/>
  <c r="M371" i="4" s="1"/>
  <c r="L539" i="4"/>
  <c r="M539" i="4" s="1"/>
  <c r="L372" i="4"/>
  <c r="M372" i="4" s="1"/>
  <c r="L339" i="4"/>
  <c r="M339" i="4" s="1"/>
  <c r="L554" i="4"/>
  <c r="M554" i="4" s="1"/>
  <c r="L367" i="4"/>
  <c r="M367" i="4" s="1"/>
  <c r="I62" i="4"/>
  <c r="L62" i="4" s="1"/>
  <c r="M62" i="4" s="1"/>
  <c r="I61" i="4"/>
  <c r="L61" i="4" s="1"/>
  <c r="M61" i="4" s="1"/>
  <c r="I58" i="4"/>
  <c r="L58" i="4" s="1"/>
  <c r="M58" i="4" s="1"/>
  <c r="I57" i="4"/>
  <c r="L57" i="4" s="1"/>
  <c r="M57" i="4" s="1"/>
  <c r="L60" i="4"/>
  <c r="M60" i="4" s="1"/>
  <c r="L59" i="4"/>
  <c r="M59" i="4" s="1"/>
  <c r="I376" i="4"/>
  <c r="L376" i="4" s="1"/>
  <c r="M376" i="4" s="1"/>
  <c r="L546" i="4"/>
  <c r="M546" i="4" s="1"/>
  <c r="I337" i="4"/>
  <c r="L337" i="4" s="1"/>
  <c r="M337" i="4" s="1"/>
  <c r="I336" i="4"/>
  <c r="L336" i="4" s="1"/>
  <c r="M336" i="4" s="1"/>
  <c r="I335" i="4"/>
  <c r="L335" i="4" s="1"/>
  <c r="M335" i="4" s="1"/>
  <c r="I334" i="4"/>
  <c r="L334" i="4" s="1"/>
  <c r="M334" i="4" s="1"/>
  <c r="I333" i="4"/>
  <c r="L333" i="4" s="1"/>
  <c r="M333" i="4" s="1"/>
  <c r="I332" i="4"/>
  <c r="L332" i="4" s="1"/>
  <c r="M332" i="4" s="1"/>
  <c r="I331" i="4"/>
  <c r="L331" i="4" s="1"/>
  <c r="M331" i="4" s="1"/>
  <c r="I330" i="4"/>
  <c r="L330" i="4" s="1"/>
  <c r="M330" i="4" s="1"/>
  <c r="I329" i="4"/>
  <c r="L329" i="4" s="1"/>
  <c r="M329" i="4" s="1"/>
  <c r="I328" i="4"/>
  <c r="L328" i="4" s="1"/>
  <c r="M328" i="4" s="1"/>
  <c r="I327" i="4"/>
  <c r="L327" i="4" s="1"/>
  <c r="M327" i="4" s="1"/>
  <c r="I326" i="4"/>
  <c r="L326" i="4" s="1"/>
  <c r="M326" i="4" s="1"/>
  <c r="I325" i="4"/>
  <c r="L325" i="4" s="1"/>
  <c r="M325" i="4" s="1"/>
  <c r="I324" i="4"/>
  <c r="L324" i="4" s="1"/>
  <c r="M324" i="4" s="1"/>
  <c r="I323" i="4"/>
  <c r="L323" i="4" s="1"/>
  <c r="M323" i="4" s="1"/>
  <c r="I322" i="4"/>
  <c r="L322" i="4" s="1"/>
  <c r="M322" i="4" s="1"/>
  <c r="I321" i="4"/>
  <c r="L321" i="4" s="1"/>
  <c r="M321" i="4" s="1"/>
  <c r="I320" i="4"/>
  <c r="L320" i="4" s="1"/>
  <c r="M320" i="4" s="1"/>
  <c r="I319" i="4"/>
  <c r="L319" i="4" s="1"/>
  <c r="M319" i="4" s="1"/>
  <c r="I318" i="4"/>
  <c r="L318" i="4" s="1"/>
  <c r="M318" i="4" s="1"/>
  <c r="I317" i="4"/>
  <c r="L317" i="4" s="1"/>
  <c r="M317" i="4" s="1"/>
  <c r="I316" i="4"/>
  <c r="L316" i="4" s="1"/>
  <c r="M316" i="4" s="1"/>
  <c r="I315" i="4"/>
  <c r="L315" i="4" s="1"/>
  <c r="M315" i="4" s="1"/>
  <c r="I314" i="4"/>
  <c r="L314" i="4" s="1"/>
  <c r="M314" i="4" s="1"/>
  <c r="I313" i="4"/>
  <c r="L313" i="4" s="1"/>
  <c r="M313" i="4" s="1"/>
  <c r="I312" i="4"/>
  <c r="L312" i="4" s="1"/>
  <c r="M312" i="4" s="1"/>
  <c r="I311" i="4"/>
  <c r="L311" i="4" s="1"/>
  <c r="M311" i="4" s="1"/>
  <c r="I310" i="4"/>
  <c r="L310" i="4" s="1"/>
  <c r="M310" i="4" s="1"/>
  <c r="I309" i="4"/>
  <c r="L309" i="4" s="1"/>
  <c r="M309" i="4" s="1"/>
  <c r="I308" i="4"/>
  <c r="L308" i="4" s="1"/>
  <c r="M308" i="4" s="1"/>
  <c r="I307" i="4"/>
  <c r="L307" i="4" s="1"/>
  <c r="M307" i="4" s="1"/>
  <c r="I306" i="4"/>
  <c r="L306" i="4" s="1"/>
  <c r="M306" i="4" s="1"/>
  <c r="I305" i="4"/>
  <c r="L305" i="4" s="1"/>
  <c r="M305" i="4" s="1"/>
  <c r="I304" i="4"/>
  <c r="L304" i="4" s="1"/>
  <c r="M304" i="4" s="1"/>
  <c r="I303" i="4"/>
  <c r="L303" i="4" s="1"/>
  <c r="M303" i="4" s="1"/>
  <c r="I302" i="4"/>
  <c r="L302" i="4" s="1"/>
  <c r="M302" i="4" s="1"/>
  <c r="I301" i="4"/>
  <c r="L301" i="4" s="1"/>
  <c r="M301" i="4" s="1"/>
  <c r="I300" i="4"/>
  <c r="L300" i="4" s="1"/>
  <c r="M300" i="4" s="1"/>
  <c r="I299" i="4"/>
  <c r="L299" i="4" s="1"/>
  <c r="M299" i="4" s="1"/>
  <c r="I298" i="4"/>
  <c r="L298" i="4" s="1"/>
  <c r="M298" i="4" s="1"/>
  <c r="I297" i="4"/>
  <c r="L297" i="4" s="1"/>
  <c r="M297" i="4" s="1"/>
  <c r="I296" i="4"/>
  <c r="L296" i="4" s="1"/>
  <c r="M296" i="4" s="1"/>
  <c r="I295" i="4"/>
  <c r="L295" i="4" s="1"/>
  <c r="M295" i="4" s="1"/>
  <c r="I294" i="4"/>
  <c r="L294" i="4" s="1"/>
  <c r="M294" i="4" s="1"/>
  <c r="I292" i="4"/>
  <c r="L292" i="4" s="1"/>
  <c r="M292" i="4" s="1"/>
  <c r="I291" i="4"/>
  <c r="L291" i="4" s="1"/>
  <c r="M291" i="4" s="1"/>
  <c r="I290" i="4"/>
  <c r="L290" i="4" s="1"/>
  <c r="M290" i="4" s="1"/>
  <c r="I289" i="4"/>
  <c r="L289" i="4" s="1"/>
  <c r="M289" i="4" s="1"/>
  <c r="I288" i="4"/>
  <c r="L288" i="4" s="1"/>
  <c r="M288" i="4" s="1"/>
  <c r="I287" i="4"/>
  <c r="L287" i="4" s="1"/>
  <c r="M287" i="4" s="1"/>
  <c r="I286" i="4"/>
  <c r="L286" i="4" s="1"/>
  <c r="M286" i="4" s="1"/>
  <c r="I285" i="4"/>
  <c r="L285" i="4" s="1"/>
  <c r="M285" i="4" s="1"/>
  <c r="I284" i="4"/>
  <c r="L284" i="4" s="1"/>
  <c r="M284" i="4" s="1"/>
  <c r="I283" i="4"/>
  <c r="L283" i="4" s="1"/>
  <c r="M283" i="4" s="1"/>
  <c r="I282" i="4"/>
  <c r="L282" i="4" s="1"/>
  <c r="M282" i="4" s="1"/>
  <c r="I281" i="4"/>
  <c r="L281" i="4" s="1"/>
  <c r="M281" i="4" s="1"/>
  <c r="I280" i="4"/>
  <c r="L280" i="4" s="1"/>
  <c r="M280" i="4" s="1"/>
  <c r="I279" i="4"/>
  <c r="L279" i="4" s="1"/>
  <c r="M279" i="4" s="1"/>
  <c r="I278" i="4"/>
  <c r="L278" i="4" s="1"/>
  <c r="M278" i="4" s="1"/>
  <c r="I277" i="4"/>
  <c r="L277" i="4" s="1"/>
  <c r="M277" i="4" s="1"/>
  <c r="I276" i="4"/>
  <c r="L276" i="4" s="1"/>
  <c r="M276" i="4" s="1"/>
  <c r="I275" i="4"/>
  <c r="L275" i="4" s="1"/>
  <c r="M275" i="4" s="1"/>
  <c r="I274" i="4"/>
  <c r="L274" i="4" s="1"/>
  <c r="M274" i="4" s="1"/>
  <c r="I273" i="4"/>
  <c r="L273" i="4" s="1"/>
  <c r="M273" i="4" s="1"/>
  <c r="I272" i="4"/>
  <c r="L272" i="4" s="1"/>
  <c r="M272" i="4" s="1"/>
  <c r="I271" i="4"/>
  <c r="L271" i="4" s="1"/>
  <c r="M271" i="4" s="1"/>
  <c r="I270" i="4"/>
  <c r="L270" i="4" s="1"/>
  <c r="M270" i="4" s="1"/>
  <c r="I269" i="4"/>
  <c r="L269" i="4" s="1"/>
  <c r="M269" i="4" s="1"/>
  <c r="I268" i="4"/>
  <c r="L268" i="4" s="1"/>
  <c r="M268" i="4" s="1"/>
  <c r="I267" i="4"/>
  <c r="L267" i="4" s="1"/>
  <c r="M267" i="4" s="1"/>
  <c r="I266" i="4"/>
  <c r="L266" i="4" s="1"/>
  <c r="M266" i="4" s="1"/>
  <c r="L265" i="4"/>
  <c r="M265" i="4" s="1"/>
  <c r="I265" i="4"/>
  <c r="I264" i="4"/>
  <c r="L264" i="4" s="1"/>
  <c r="M264" i="4" s="1"/>
  <c r="I263" i="4"/>
  <c r="L263" i="4" s="1"/>
  <c r="M263" i="4" s="1"/>
  <c r="I262" i="4"/>
  <c r="L262" i="4" s="1"/>
  <c r="M262" i="4" s="1"/>
  <c r="I261" i="4"/>
  <c r="L261" i="4" s="1"/>
  <c r="M261" i="4" s="1"/>
  <c r="I260" i="4"/>
  <c r="L260" i="4" s="1"/>
  <c r="M260" i="4" s="1"/>
  <c r="I259" i="4"/>
  <c r="L259" i="4" s="1"/>
  <c r="M259" i="4" s="1"/>
  <c r="I258" i="4"/>
  <c r="L258" i="4" s="1"/>
  <c r="M258" i="4" s="1"/>
  <c r="I257" i="4"/>
  <c r="L257" i="4" s="1"/>
  <c r="M257" i="4" s="1"/>
  <c r="I256" i="4"/>
  <c r="L256" i="4" s="1"/>
  <c r="M256" i="4" s="1"/>
  <c r="I255" i="4"/>
  <c r="L255" i="4" s="1"/>
  <c r="M255" i="4" s="1"/>
  <c r="I254" i="4"/>
  <c r="L254" i="4" s="1"/>
  <c r="M254" i="4" s="1"/>
  <c r="I253" i="4"/>
  <c r="L253" i="4" s="1"/>
  <c r="M253" i="4" s="1"/>
  <c r="I252" i="4"/>
  <c r="L252" i="4" s="1"/>
  <c r="M252" i="4" s="1"/>
  <c r="I251" i="4"/>
  <c r="L251" i="4" s="1"/>
  <c r="M251" i="4" s="1"/>
  <c r="I250" i="4"/>
  <c r="L250" i="4" s="1"/>
  <c r="M250" i="4" s="1"/>
  <c r="I249" i="4"/>
  <c r="L249" i="4" s="1"/>
  <c r="M249" i="4" s="1"/>
  <c r="I248" i="4"/>
  <c r="L248" i="4" s="1"/>
  <c r="M248" i="4" s="1"/>
  <c r="I247" i="4"/>
  <c r="L247" i="4" s="1"/>
  <c r="M247" i="4" s="1"/>
  <c r="I246" i="4"/>
  <c r="L246" i="4" s="1"/>
  <c r="M246" i="4" s="1"/>
  <c r="I245" i="4"/>
  <c r="L245" i="4" s="1"/>
  <c r="M245" i="4" s="1"/>
  <c r="I244" i="4"/>
  <c r="L244" i="4" s="1"/>
  <c r="M244" i="4" s="1"/>
  <c r="I243" i="4"/>
  <c r="L243" i="4" s="1"/>
  <c r="M243" i="4" s="1"/>
  <c r="I242" i="4"/>
  <c r="L242" i="4" s="1"/>
  <c r="M242" i="4" s="1"/>
  <c r="I241" i="4"/>
  <c r="L241" i="4" s="1"/>
  <c r="M241" i="4" s="1"/>
  <c r="I240" i="4"/>
  <c r="L240" i="4" s="1"/>
  <c r="M240" i="4" s="1"/>
  <c r="I239" i="4"/>
  <c r="L239" i="4" s="1"/>
  <c r="M239" i="4" s="1"/>
  <c r="I238" i="4"/>
  <c r="L238" i="4" s="1"/>
  <c r="M238" i="4" s="1"/>
  <c r="I237" i="4"/>
  <c r="L237" i="4" s="1"/>
  <c r="M237" i="4" s="1"/>
  <c r="I236" i="4"/>
  <c r="L236" i="4" s="1"/>
  <c r="M236" i="4" s="1"/>
  <c r="I235" i="4"/>
  <c r="L235" i="4" s="1"/>
  <c r="M235" i="4" s="1"/>
  <c r="I234" i="4"/>
  <c r="L234" i="4" s="1"/>
  <c r="M234" i="4" s="1"/>
  <c r="I233" i="4"/>
  <c r="L233" i="4" s="1"/>
  <c r="M233" i="4" s="1"/>
  <c r="I232" i="4"/>
  <c r="L232" i="4" s="1"/>
  <c r="M232" i="4" s="1"/>
  <c r="I231" i="4"/>
  <c r="L231" i="4" s="1"/>
  <c r="M231" i="4" s="1"/>
  <c r="I230" i="4"/>
  <c r="L230" i="4" s="1"/>
  <c r="M230" i="4" s="1"/>
  <c r="I229" i="4"/>
  <c r="L229" i="4" s="1"/>
  <c r="M229" i="4" s="1"/>
  <c r="I228" i="4"/>
  <c r="L228" i="4" s="1"/>
  <c r="M228" i="4" s="1"/>
  <c r="I227" i="4"/>
  <c r="L227" i="4" s="1"/>
  <c r="M227" i="4" s="1"/>
  <c r="I226" i="4"/>
  <c r="L226" i="4" s="1"/>
  <c r="M226" i="4" s="1"/>
  <c r="I225" i="4"/>
  <c r="L225" i="4" s="1"/>
  <c r="M225" i="4" s="1"/>
  <c r="I224" i="4"/>
  <c r="L224" i="4" s="1"/>
  <c r="M224" i="4" s="1"/>
  <c r="I223" i="4"/>
  <c r="L223" i="4" s="1"/>
  <c r="M223" i="4" s="1"/>
  <c r="I222" i="4"/>
  <c r="L222" i="4" s="1"/>
  <c r="M222" i="4" s="1"/>
  <c r="I221" i="4"/>
  <c r="L221" i="4" s="1"/>
  <c r="M221" i="4" s="1"/>
  <c r="I220" i="4"/>
  <c r="L220" i="4" s="1"/>
  <c r="M220" i="4" s="1"/>
  <c r="I219" i="4"/>
  <c r="L219" i="4" s="1"/>
  <c r="M219" i="4" s="1"/>
  <c r="I218" i="4"/>
  <c r="L218" i="4" s="1"/>
  <c r="M218" i="4" s="1"/>
  <c r="I217" i="4"/>
  <c r="L217" i="4" s="1"/>
  <c r="M217" i="4" s="1"/>
  <c r="I216" i="4"/>
  <c r="L216" i="4" s="1"/>
  <c r="M216" i="4" s="1"/>
  <c r="I215" i="4"/>
  <c r="L215" i="4" s="1"/>
  <c r="M215" i="4" s="1"/>
  <c r="I214" i="4"/>
  <c r="L214" i="4" s="1"/>
  <c r="M214" i="4" s="1"/>
  <c r="I213" i="4"/>
  <c r="L213" i="4" s="1"/>
  <c r="M213" i="4" s="1"/>
  <c r="I212" i="4"/>
  <c r="L212" i="4" s="1"/>
  <c r="M212" i="4" s="1"/>
  <c r="I211" i="4"/>
  <c r="L211" i="4" s="1"/>
  <c r="M211" i="4" s="1"/>
  <c r="I210" i="4"/>
  <c r="L210" i="4" s="1"/>
  <c r="M210" i="4" s="1"/>
  <c r="I209" i="4"/>
  <c r="L209" i="4" s="1"/>
  <c r="M209" i="4" s="1"/>
  <c r="I208" i="4"/>
  <c r="L208" i="4" s="1"/>
  <c r="M208" i="4" s="1"/>
  <c r="I207" i="4"/>
  <c r="L207" i="4" s="1"/>
  <c r="M207" i="4" s="1"/>
  <c r="I206" i="4"/>
  <c r="L206" i="4" s="1"/>
  <c r="M206" i="4" s="1"/>
  <c r="I205" i="4"/>
  <c r="L205" i="4" s="1"/>
  <c r="M205" i="4" s="1"/>
  <c r="I204" i="4"/>
  <c r="L204" i="4" s="1"/>
  <c r="M204" i="4" s="1"/>
  <c r="I203" i="4"/>
  <c r="L203" i="4" s="1"/>
  <c r="M203" i="4" s="1"/>
  <c r="I202" i="4"/>
  <c r="L202" i="4" s="1"/>
  <c r="M202" i="4" s="1"/>
  <c r="I201" i="4"/>
  <c r="L201" i="4" s="1"/>
  <c r="M201" i="4" s="1"/>
  <c r="I200" i="4"/>
  <c r="L200" i="4" s="1"/>
  <c r="M200" i="4" s="1"/>
  <c r="I199" i="4"/>
  <c r="L199" i="4" s="1"/>
  <c r="M199" i="4" s="1"/>
  <c r="I198" i="4"/>
  <c r="L198" i="4" s="1"/>
  <c r="M198" i="4" s="1"/>
  <c r="I197" i="4"/>
  <c r="L197" i="4" s="1"/>
  <c r="M197" i="4" s="1"/>
  <c r="I196" i="4"/>
  <c r="L196" i="4" s="1"/>
  <c r="M196" i="4" s="1"/>
  <c r="I195" i="4"/>
  <c r="L195" i="4" s="1"/>
  <c r="M195" i="4" s="1"/>
  <c r="I194" i="4"/>
  <c r="L194" i="4" s="1"/>
  <c r="M194" i="4" s="1"/>
  <c r="I193" i="4"/>
  <c r="L193" i="4" s="1"/>
  <c r="M193" i="4" s="1"/>
  <c r="I192" i="4"/>
  <c r="L192" i="4" s="1"/>
  <c r="M192" i="4" s="1"/>
  <c r="I191" i="4"/>
  <c r="L191" i="4" s="1"/>
  <c r="M191" i="4" s="1"/>
  <c r="I190" i="4"/>
  <c r="L190" i="4" s="1"/>
  <c r="M190" i="4" s="1"/>
  <c r="I189" i="4"/>
  <c r="L189" i="4" s="1"/>
  <c r="M189" i="4" s="1"/>
  <c r="I188" i="4"/>
  <c r="L188" i="4" s="1"/>
  <c r="M188" i="4" s="1"/>
  <c r="I187" i="4"/>
  <c r="L187" i="4" s="1"/>
  <c r="M187" i="4" s="1"/>
  <c r="I186" i="4"/>
  <c r="L186" i="4" s="1"/>
  <c r="M186" i="4" s="1"/>
  <c r="I185" i="4"/>
  <c r="L185" i="4" s="1"/>
  <c r="M185" i="4" s="1"/>
  <c r="I184" i="4"/>
  <c r="L184" i="4" s="1"/>
  <c r="M184" i="4" s="1"/>
  <c r="I183" i="4"/>
  <c r="L183" i="4" s="1"/>
  <c r="M183" i="4" s="1"/>
  <c r="I182" i="4"/>
  <c r="L182" i="4" s="1"/>
  <c r="M182" i="4" s="1"/>
  <c r="I181" i="4"/>
  <c r="L181" i="4" s="1"/>
  <c r="M181" i="4" s="1"/>
  <c r="I180" i="4"/>
  <c r="L180" i="4" s="1"/>
  <c r="M180" i="4" s="1"/>
  <c r="I179" i="4"/>
  <c r="L179" i="4" s="1"/>
  <c r="M179" i="4" s="1"/>
  <c r="I178" i="4"/>
  <c r="L178" i="4" s="1"/>
  <c r="M178" i="4" s="1"/>
  <c r="I177" i="4"/>
  <c r="L177" i="4" s="1"/>
  <c r="M177" i="4" s="1"/>
  <c r="I176" i="4"/>
  <c r="L176" i="4" s="1"/>
  <c r="M176" i="4" s="1"/>
  <c r="I175" i="4"/>
  <c r="L175" i="4" s="1"/>
  <c r="M175" i="4" s="1"/>
  <c r="I174" i="4"/>
  <c r="L174" i="4" s="1"/>
  <c r="M174" i="4" s="1"/>
  <c r="I173" i="4"/>
  <c r="L173" i="4" s="1"/>
  <c r="M173" i="4" s="1"/>
  <c r="I172" i="4"/>
  <c r="L172" i="4" s="1"/>
  <c r="M172" i="4" s="1"/>
  <c r="I171" i="4"/>
  <c r="L171" i="4" s="1"/>
  <c r="M171" i="4" s="1"/>
  <c r="I170" i="4"/>
  <c r="L170" i="4" s="1"/>
  <c r="M170" i="4" s="1"/>
  <c r="I169" i="4"/>
  <c r="L169" i="4" s="1"/>
  <c r="M169" i="4" s="1"/>
  <c r="I168" i="4"/>
  <c r="L168" i="4" s="1"/>
  <c r="M168" i="4" s="1"/>
  <c r="I167" i="4"/>
  <c r="L167" i="4" s="1"/>
  <c r="M167" i="4" s="1"/>
  <c r="I166" i="4"/>
  <c r="L166" i="4" s="1"/>
  <c r="M166" i="4" s="1"/>
  <c r="I165" i="4"/>
  <c r="L165" i="4"/>
  <c r="M165" i="4" s="1"/>
  <c r="I164" i="4"/>
  <c r="L164" i="4" s="1"/>
  <c r="M164" i="4" s="1"/>
  <c r="I163" i="4"/>
  <c r="L163" i="4" s="1"/>
  <c r="M163" i="4" s="1"/>
  <c r="I162" i="4"/>
  <c r="L162" i="4" s="1"/>
  <c r="M162" i="4" s="1"/>
  <c r="I161" i="4"/>
  <c r="L161" i="4" s="1"/>
  <c r="M161" i="4" s="1"/>
  <c r="I160" i="4"/>
  <c r="L160" i="4" s="1"/>
  <c r="M160" i="4" s="1"/>
  <c r="I159" i="4"/>
  <c r="L159" i="4" s="1"/>
  <c r="M159" i="4" s="1"/>
  <c r="I158" i="4"/>
  <c r="L158" i="4"/>
  <c r="M158" i="4" s="1"/>
  <c r="I157" i="4"/>
  <c r="L157" i="4" s="1"/>
  <c r="M157" i="4" s="1"/>
  <c r="I156" i="4"/>
  <c r="L156" i="4" s="1"/>
  <c r="M156" i="4" s="1"/>
  <c r="I155" i="4"/>
  <c r="L155" i="4"/>
  <c r="M155" i="4" s="1"/>
  <c r="I154" i="4"/>
  <c r="L154" i="4" s="1"/>
  <c r="M154" i="4" s="1"/>
  <c r="I153" i="4"/>
  <c r="L153" i="4" s="1"/>
  <c r="M153" i="4" s="1"/>
  <c r="I152" i="4"/>
  <c r="L152" i="4"/>
  <c r="M152" i="4" s="1"/>
  <c r="I151" i="4"/>
  <c r="L151" i="4" s="1"/>
  <c r="M151" i="4" s="1"/>
  <c r="I150" i="4"/>
  <c r="L150" i="4" s="1"/>
  <c r="M150" i="4" s="1"/>
  <c r="I149" i="4"/>
  <c r="L149" i="4"/>
  <c r="M149" i="4" s="1"/>
  <c r="I148" i="4"/>
  <c r="L148" i="4" s="1"/>
  <c r="M148" i="4" s="1"/>
  <c r="I147" i="4"/>
  <c r="L147" i="4" s="1"/>
  <c r="M147" i="4" s="1"/>
  <c r="I146" i="4"/>
  <c r="L146" i="4"/>
  <c r="M146" i="4" s="1"/>
  <c r="I145" i="4"/>
  <c r="L145" i="4"/>
  <c r="M145" i="4" s="1"/>
  <c r="I144" i="4"/>
  <c r="L144" i="4" s="1"/>
  <c r="M144" i="4" s="1"/>
  <c r="I143" i="4"/>
  <c r="L143" i="4" s="1"/>
  <c r="M143" i="4" s="1"/>
  <c r="I142" i="4"/>
  <c r="L142" i="4" s="1"/>
  <c r="M142" i="4" s="1"/>
  <c r="I141" i="4"/>
  <c r="L141" i="4" s="1"/>
  <c r="M141" i="4" s="1"/>
  <c r="I140" i="4"/>
  <c r="L140" i="4" s="1"/>
  <c r="M140" i="4" s="1"/>
  <c r="I139" i="4"/>
  <c r="L139" i="4" s="1"/>
  <c r="M139" i="4" s="1"/>
  <c r="I138" i="4"/>
  <c r="L138" i="4"/>
  <c r="M138" i="4" s="1"/>
  <c r="I137" i="4"/>
  <c r="L137" i="4"/>
  <c r="M137" i="4" s="1"/>
  <c r="I136" i="4"/>
  <c r="L136" i="4"/>
  <c r="M136" i="4" s="1"/>
  <c r="I135" i="4"/>
  <c r="L135" i="4" s="1"/>
  <c r="M135" i="4" s="1"/>
  <c r="I134" i="4"/>
  <c r="L134" i="4" s="1"/>
  <c r="M134" i="4" s="1"/>
  <c r="I133" i="4"/>
  <c r="L133" i="4" s="1"/>
  <c r="M133" i="4" s="1"/>
  <c r="I132" i="4"/>
  <c r="L132" i="4"/>
  <c r="M132" i="4" s="1"/>
  <c r="I131" i="4"/>
  <c r="L131" i="4"/>
  <c r="M131" i="4" s="1"/>
  <c r="I130" i="4"/>
  <c r="L130" i="4" s="1"/>
  <c r="M130" i="4" s="1"/>
  <c r="I129" i="4"/>
  <c r="L129" i="4" s="1"/>
  <c r="M129" i="4" s="1"/>
  <c r="I128" i="4"/>
  <c r="L128" i="4" s="1"/>
  <c r="M128" i="4" s="1"/>
  <c r="I127" i="4"/>
  <c r="L127" i="4"/>
  <c r="M127" i="4" s="1"/>
  <c r="I126" i="4"/>
  <c r="L126" i="4"/>
  <c r="M126" i="4" s="1"/>
  <c r="I125" i="4"/>
  <c r="L125" i="4" s="1"/>
  <c r="M125" i="4" s="1"/>
  <c r="I124" i="4"/>
  <c r="L124" i="4" s="1"/>
  <c r="M124" i="4" s="1"/>
  <c r="I123" i="4"/>
  <c r="L123" i="4" s="1"/>
  <c r="M123" i="4" s="1"/>
  <c r="I122" i="4"/>
  <c r="L122" i="4"/>
  <c r="M122" i="4" s="1"/>
  <c r="I121" i="4"/>
  <c r="L121" i="4" s="1"/>
  <c r="M121" i="4" s="1"/>
  <c r="I120" i="4"/>
  <c r="L120" i="4" s="1"/>
  <c r="M120" i="4" s="1"/>
  <c r="I119" i="4"/>
  <c r="L119" i="4" s="1"/>
  <c r="M119" i="4" s="1"/>
  <c r="I118" i="4"/>
  <c r="L118" i="4" s="1"/>
  <c r="M118" i="4" s="1"/>
  <c r="I117" i="4"/>
  <c r="L117" i="4" s="1"/>
  <c r="M117" i="4" s="1"/>
  <c r="I116" i="4"/>
  <c r="L116" i="4" s="1"/>
  <c r="M116" i="4" s="1"/>
  <c r="I115" i="4"/>
  <c r="L115" i="4" s="1"/>
  <c r="M115" i="4" s="1"/>
  <c r="I114" i="4"/>
  <c r="L114" i="4" s="1"/>
  <c r="M114" i="4" s="1"/>
  <c r="I113" i="4"/>
  <c r="L113" i="4" s="1"/>
  <c r="M113" i="4" s="1"/>
  <c r="I112" i="4"/>
  <c r="L112" i="4" s="1"/>
  <c r="M112" i="4" s="1"/>
  <c r="I111" i="4"/>
  <c r="L111" i="4"/>
  <c r="M111" i="4" s="1"/>
  <c r="I110" i="4"/>
  <c r="L110" i="4" s="1"/>
  <c r="M110" i="4" s="1"/>
  <c r="I109" i="4"/>
  <c r="L109" i="4"/>
  <c r="M109" i="4" s="1"/>
  <c r="I108" i="4"/>
  <c r="L108" i="4" s="1"/>
  <c r="M108" i="4" s="1"/>
  <c r="I107" i="4"/>
  <c r="L107" i="4"/>
  <c r="M107" i="4" s="1"/>
  <c r="I106" i="4"/>
  <c r="L106" i="4"/>
  <c r="M106" i="4" s="1"/>
  <c r="I105" i="4"/>
  <c r="L105" i="4" s="1"/>
  <c r="M105" i="4" s="1"/>
  <c r="I104" i="4"/>
  <c r="L104" i="4" s="1"/>
  <c r="M104" i="4" s="1"/>
  <c r="I103" i="4"/>
  <c r="L103" i="4" s="1"/>
  <c r="M103" i="4" s="1"/>
  <c r="I102" i="4"/>
  <c r="L102" i="4" s="1"/>
  <c r="M102" i="4" s="1"/>
  <c r="I101" i="4"/>
  <c r="L101" i="4" s="1"/>
  <c r="M101" i="4" s="1"/>
  <c r="I100" i="4"/>
  <c r="L100" i="4" s="1"/>
  <c r="M100" i="4" s="1"/>
  <c r="I99" i="4"/>
  <c r="L99" i="4" s="1"/>
  <c r="M99" i="4" s="1"/>
  <c r="I98" i="4"/>
  <c r="L98" i="4" s="1"/>
  <c r="M98" i="4" s="1"/>
  <c r="I97" i="4"/>
  <c r="L97" i="4"/>
  <c r="M97" i="4" s="1"/>
  <c r="I96" i="4"/>
  <c r="L96" i="4"/>
  <c r="M96" i="4" s="1"/>
  <c r="I95" i="4"/>
  <c r="L95" i="4" s="1"/>
  <c r="M95" i="4" s="1"/>
  <c r="I94" i="4"/>
  <c r="L94" i="4" s="1"/>
  <c r="M94" i="4" s="1"/>
  <c r="I93" i="4"/>
  <c r="L93" i="4" s="1"/>
  <c r="M93" i="4" s="1"/>
  <c r="I92" i="4"/>
  <c r="L92" i="4" s="1"/>
  <c r="M92" i="4" s="1"/>
  <c r="I91" i="4"/>
  <c r="L91" i="4"/>
  <c r="M91" i="4" s="1"/>
  <c r="I90" i="4"/>
  <c r="L90" i="4" s="1"/>
  <c r="M90" i="4" s="1"/>
  <c r="I89" i="4"/>
  <c r="L89" i="4" s="1"/>
  <c r="M89" i="4" s="1"/>
  <c r="I88" i="4"/>
  <c r="L88" i="4"/>
  <c r="M88" i="4" s="1"/>
  <c r="I87" i="4"/>
  <c r="L87" i="4"/>
  <c r="M87" i="4" s="1"/>
  <c r="I86" i="4"/>
  <c r="L86" i="4" s="1"/>
  <c r="M86" i="4" s="1"/>
  <c r="I85" i="4"/>
  <c r="L85" i="4" s="1"/>
  <c r="M85" i="4" s="1"/>
  <c r="I84" i="4"/>
  <c r="L84" i="4" s="1"/>
  <c r="M84" i="4" s="1"/>
  <c r="I83" i="4"/>
  <c r="L83" i="4" s="1"/>
  <c r="M83" i="4" s="1"/>
  <c r="I82" i="4"/>
  <c r="L82" i="4" s="1"/>
  <c r="M82" i="4" s="1"/>
  <c r="I81" i="4"/>
  <c r="L81" i="4"/>
  <c r="M81" i="4" s="1"/>
  <c r="I80" i="4"/>
  <c r="L80" i="4" s="1"/>
  <c r="M80" i="4" s="1"/>
  <c r="I79" i="4"/>
  <c r="L79" i="4" s="1"/>
  <c r="M79" i="4" s="1"/>
  <c r="I78" i="4"/>
  <c r="L78" i="4" s="1"/>
  <c r="M78" i="4" s="1"/>
  <c r="I77" i="4"/>
  <c r="L77" i="4"/>
  <c r="M77" i="4" s="1"/>
  <c r="I76" i="4"/>
  <c r="L76" i="4" s="1"/>
  <c r="M76" i="4" s="1"/>
  <c r="I75" i="4"/>
  <c r="L75" i="4" s="1"/>
  <c r="M75" i="4" s="1"/>
  <c r="I74" i="4"/>
  <c r="L74" i="4"/>
  <c r="M74" i="4" s="1"/>
  <c r="I73" i="4"/>
  <c r="L73" i="4" s="1"/>
  <c r="M73" i="4" s="1"/>
  <c r="I72" i="4"/>
  <c r="L72" i="4" s="1"/>
  <c r="M72" i="4" s="1"/>
  <c r="I71" i="4"/>
  <c r="L71" i="4" s="1"/>
  <c r="M71" i="4" s="1"/>
  <c r="I70" i="4"/>
  <c r="L70" i="4"/>
  <c r="M70" i="4" s="1"/>
  <c r="I69" i="4"/>
  <c r="L69" i="4" s="1"/>
  <c r="M69" i="4" s="1"/>
  <c r="I68" i="4"/>
  <c r="L68" i="4" s="1"/>
  <c r="M68" i="4" s="1"/>
  <c r="I67" i="4"/>
  <c r="L67" i="4" s="1"/>
  <c r="M67" i="4" s="1"/>
  <c r="I66" i="4"/>
  <c r="L66" i="4" s="1"/>
  <c r="M66" i="4" s="1"/>
  <c r="I65" i="4"/>
  <c r="L65" i="4" s="1"/>
  <c r="M65" i="4" s="1"/>
  <c r="I64" i="4"/>
  <c r="L64" i="4" s="1"/>
  <c r="M64" i="4" s="1"/>
  <c r="I63" i="4"/>
  <c r="L63" i="4"/>
  <c r="M63" i="4" s="1"/>
  <c r="N46" i="20"/>
  <c r="N56" i="20"/>
  <c r="N61" i="20"/>
  <c r="N64" i="20"/>
  <c r="N54" i="20"/>
  <c r="N62" i="20"/>
  <c r="N55" i="20"/>
  <c r="N63" i="20"/>
  <c r="N57" i="20"/>
  <c r="N65" i="20"/>
  <c r="N58" i="20"/>
  <c r="N66" i="20"/>
  <c r="N59" i="20"/>
  <c r="N67" i="20"/>
  <c r="N60" i="20"/>
  <c r="N68" i="20"/>
  <c r="N5" i="20"/>
  <c r="N14" i="20"/>
  <c r="N22" i="20"/>
  <c r="N30" i="20"/>
  <c r="N38" i="20"/>
  <c r="N13" i="20"/>
  <c r="N21" i="20"/>
  <c r="N29" i="20"/>
  <c r="N37" i="20"/>
  <c r="N45" i="20"/>
  <c r="N53" i="20"/>
  <c r="N6" i="20"/>
  <c r="N15" i="20"/>
  <c r="N23" i="20"/>
  <c r="N31" i="20"/>
  <c r="N39" i="20"/>
  <c r="N47" i="20"/>
  <c r="N8" i="20"/>
  <c r="N16" i="20"/>
  <c r="N24" i="20"/>
  <c r="N32" i="20"/>
  <c r="N40" i="20"/>
  <c r="N48" i="20"/>
  <c r="N9" i="20"/>
  <c r="N17" i="20"/>
  <c r="N25" i="20"/>
  <c r="N33" i="20"/>
  <c r="N41" i="20"/>
  <c r="N49" i="20"/>
  <c r="N10" i="20"/>
  <c r="N18" i="20"/>
  <c r="N26" i="20"/>
  <c r="N34" i="20"/>
  <c r="N42" i="20"/>
  <c r="N50" i="20"/>
  <c r="N11" i="20"/>
  <c r="N19" i="20"/>
  <c r="N27" i="20"/>
  <c r="N35" i="20"/>
  <c r="N43" i="20"/>
  <c r="N51" i="20"/>
  <c r="N12" i="20"/>
  <c r="N20" i="20"/>
  <c r="N28" i="20"/>
  <c r="N36" i="20"/>
  <c r="N44" i="20"/>
  <c r="N52" i="20"/>
  <c r="N7" i="20"/>
  <c r="A63" i="7" l="1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D43" i="5"/>
  <c r="X63" i="7" l="1"/>
  <c r="W63" i="7"/>
  <c r="X62" i="7"/>
  <c r="W62" i="7"/>
  <c r="W61" i="7"/>
  <c r="X61" i="7"/>
  <c r="X60" i="7"/>
  <c r="W60" i="7"/>
  <c r="X59" i="7"/>
  <c r="W59" i="7"/>
  <c r="X58" i="7"/>
  <c r="W58" i="7"/>
  <c r="X57" i="7"/>
  <c r="W57" i="7"/>
  <c r="X56" i="7"/>
  <c r="W56" i="7"/>
  <c r="X55" i="7"/>
  <c r="W55" i="7"/>
  <c r="X54" i="7"/>
  <c r="W54" i="7"/>
  <c r="X53" i="7"/>
  <c r="W53" i="7"/>
  <c r="W52" i="7"/>
  <c r="X52" i="7"/>
  <c r="W51" i="7"/>
  <c r="X51" i="7"/>
  <c r="W50" i="7"/>
  <c r="X50" i="7"/>
  <c r="W49" i="7"/>
  <c r="X49" i="7"/>
  <c r="X48" i="7"/>
  <c r="W48" i="7"/>
  <c r="X47" i="7"/>
  <c r="W47" i="7"/>
  <c r="W46" i="7"/>
  <c r="X46" i="7"/>
  <c r="W45" i="7"/>
  <c r="X45" i="7"/>
  <c r="X44" i="7"/>
  <c r="W44" i="7"/>
  <c r="W43" i="7"/>
  <c r="X43" i="7"/>
  <c r="W42" i="7"/>
  <c r="X42" i="7"/>
  <c r="W41" i="7"/>
  <c r="X41" i="7"/>
  <c r="W40" i="7"/>
  <c r="X40" i="7"/>
  <c r="X39" i="7"/>
  <c r="W39" i="7"/>
  <c r="W38" i="7"/>
  <c r="X38" i="7"/>
  <c r="X37" i="7"/>
  <c r="W37" i="7"/>
  <c r="W36" i="7"/>
  <c r="X36" i="7"/>
  <c r="W35" i="7"/>
  <c r="X35" i="7"/>
  <c r="X34" i="7"/>
  <c r="W34" i="7"/>
  <c r="X33" i="7"/>
  <c r="W33" i="7"/>
  <c r="X32" i="7"/>
  <c r="W32" i="7"/>
  <c r="W31" i="7"/>
  <c r="X31" i="7"/>
  <c r="W30" i="7"/>
  <c r="X30" i="7"/>
  <c r="W29" i="7"/>
  <c r="X29" i="7"/>
  <c r="W28" i="7"/>
  <c r="X28" i="7"/>
  <c r="X27" i="7"/>
  <c r="W27" i="7"/>
  <c r="X26" i="7"/>
  <c r="W26" i="7"/>
  <c r="X25" i="7"/>
  <c r="W25" i="7"/>
  <c r="W24" i="7"/>
  <c r="X24" i="7"/>
  <c r="W23" i="7"/>
  <c r="X23" i="7"/>
  <c r="X22" i="7"/>
  <c r="W22" i="7"/>
  <c r="X21" i="7"/>
  <c r="W21" i="7"/>
  <c r="X20" i="7"/>
  <c r="W20" i="7"/>
  <c r="X19" i="7"/>
  <c r="W19" i="7"/>
  <c r="X18" i="7"/>
  <c r="W18" i="7"/>
  <c r="W17" i="7"/>
  <c r="X17" i="7"/>
  <c r="X16" i="7"/>
  <c r="W16" i="7"/>
  <c r="W15" i="7"/>
  <c r="X15" i="7"/>
  <c r="W14" i="7"/>
  <c r="X14" i="7"/>
  <c r="X13" i="7"/>
  <c r="W13" i="7"/>
  <c r="X12" i="7"/>
  <c r="W12" i="7"/>
  <c r="M25" i="17"/>
  <c r="M184" i="17"/>
  <c r="M183" i="17"/>
  <c r="M182" i="17"/>
  <c r="M181" i="17"/>
  <c r="M180" i="17"/>
  <c r="M179" i="17"/>
  <c r="M178" i="17"/>
  <c r="M177" i="17"/>
  <c r="M176" i="17"/>
  <c r="M175" i="17"/>
  <c r="M174" i="17"/>
  <c r="M173" i="17"/>
  <c r="M172" i="17"/>
  <c r="M171" i="17"/>
  <c r="M170" i="17"/>
  <c r="M169" i="17"/>
  <c r="M168" i="17"/>
  <c r="M167" i="17"/>
  <c r="M166" i="17"/>
  <c r="M165" i="17"/>
  <c r="M164" i="17"/>
  <c r="M163" i="17"/>
  <c r="M162" i="17"/>
  <c r="M161" i="17"/>
  <c r="M160" i="17"/>
  <c r="M159" i="17"/>
  <c r="M158" i="17"/>
  <c r="M157" i="17"/>
  <c r="M156" i="17"/>
  <c r="M155" i="17"/>
  <c r="M154" i="17"/>
  <c r="M153" i="17"/>
  <c r="M152" i="17"/>
  <c r="M151" i="17"/>
  <c r="M150" i="17"/>
  <c r="M149" i="17"/>
  <c r="M148" i="17"/>
  <c r="M147" i="17"/>
  <c r="M146" i="17"/>
  <c r="M145" i="17"/>
  <c r="M144" i="17"/>
  <c r="M143" i="17"/>
  <c r="M142" i="17"/>
  <c r="M141" i="17"/>
  <c r="M140" i="17"/>
  <c r="M139" i="17"/>
  <c r="M138" i="17"/>
  <c r="M137" i="17"/>
  <c r="M136" i="17"/>
  <c r="M135" i="17"/>
  <c r="M134" i="17"/>
  <c r="M133" i="17"/>
  <c r="M132" i="17"/>
  <c r="M131" i="17"/>
  <c r="M130" i="17"/>
  <c r="M129" i="17"/>
  <c r="M128" i="17"/>
  <c r="M127" i="17"/>
  <c r="M126" i="17"/>
  <c r="M125" i="17"/>
  <c r="M124" i="17"/>
  <c r="M123" i="17"/>
  <c r="M122" i="17"/>
  <c r="M121" i="17"/>
  <c r="M120" i="17"/>
  <c r="M119" i="17"/>
  <c r="M118" i="17"/>
  <c r="M117" i="17"/>
  <c r="M116" i="17"/>
  <c r="M115" i="17"/>
  <c r="M114" i="17"/>
  <c r="M113" i="17"/>
  <c r="M112" i="17"/>
  <c r="M111" i="17"/>
  <c r="M110" i="17"/>
  <c r="M109" i="17"/>
  <c r="M108" i="17"/>
  <c r="M107" i="17"/>
  <c r="M106" i="17"/>
  <c r="M105" i="17"/>
  <c r="M104" i="17"/>
  <c r="M103" i="17"/>
  <c r="M102" i="17"/>
  <c r="M101" i="17"/>
  <c r="M100" i="17"/>
  <c r="M99" i="17"/>
  <c r="M98" i="17"/>
  <c r="M97" i="17"/>
  <c r="M96" i="17"/>
  <c r="M95" i="17"/>
  <c r="M94" i="17"/>
  <c r="M93" i="17"/>
  <c r="M92" i="17"/>
  <c r="M91" i="17"/>
  <c r="M90" i="17"/>
  <c r="M89" i="17"/>
  <c r="M88" i="17"/>
  <c r="M87" i="17"/>
  <c r="M86" i="17"/>
  <c r="M85" i="17"/>
  <c r="M84" i="17"/>
  <c r="M83" i="17"/>
  <c r="M82" i="17"/>
  <c r="M81" i="17"/>
  <c r="M80" i="17"/>
  <c r="M79" i="17"/>
  <c r="M78" i="17"/>
  <c r="M77" i="17"/>
  <c r="M76" i="17"/>
  <c r="M75" i="17"/>
  <c r="M74" i="17"/>
  <c r="M73" i="17"/>
  <c r="M72" i="17"/>
  <c r="M71" i="17"/>
  <c r="M70" i="17"/>
  <c r="M69" i="17"/>
  <c r="M68" i="17"/>
  <c r="M67" i="17"/>
  <c r="M66" i="17"/>
  <c r="M65" i="17"/>
  <c r="M64" i="17"/>
  <c r="M63" i="17"/>
  <c r="M62" i="17"/>
  <c r="M61" i="17"/>
  <c r="M60" i="17"/>
  <c r="M59" i="17"/>
  <c r="M58" i="17"/>
  <c r="M57" i="17"/>
  <c r="M56" i="17"/>
  <c r="M55" i="17"/>
  <c r="M54" i="17"/>
  <c r="M53" i="17"/>
  <c r="M52" i="17"/>
  <c r="M51" i="17"/>
  <c r="M50" i="17"/>
  <c r="M49" i="17"/>
  <c r="M48" i="17"/>
  <c r="M47" i="17"/>
  <c r="M46" i="17"/>
  <c r="M45" i="17"/>
  <c r="M44" i="17"/>
  <c r="M43" i="17"/>
  <c r="M42" i="17"/>
  <c r="M41" i="17"/>
  <c r="M40" i="17"/>
  <c r="M39" i="17"/>
  <c r="M38" i="17"/>
  <c r="M37" i="17"/>
  <c r="M36" i="17"/>
  <c r="M35" i="17"/>
  <c r="M34" i="17"/>
  <c r="M33" i="17"/>
  <c r="M32" i="17"/>
  <c r="M31" i="17"/>
  <c r="M30" i="17"/>
  <c r="M29" i="17"/>
  <c r="M28" i="17"/>
  <c r="M27" i="17"/>
  <c r="M26" i="17"/>
  <c r="M24" i="17"/>
  <c r="M23" i="17"/>
  <c r="M22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M3" i="17"/>
  <c r="A56" i="4" l="1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M19" i="20" l="1"/>
  <c r="M12" i="20"/>
  <c r="M32" i="20"/>
  <c r="M11" i="20"/>
  <c r="M62" i="20"/>
  <c r="M47" i="20"/>
  <c r="M25" i="20"/>
  <c r="M10" i="20"/>
  <c r="M18" i="20"/>
  <c r="M26" i="20"/>
  <c r="M49" i="20"/>
  <c r="M37" i="20"/>
  <c r="M57" i="20"/>
  <c r="M65" i="20"/>
  <c r="M24" i="20"/>
  <c r="M39" i="20"/>
  <c r="M27" i="20"/>
  <c r="M20" i="20"/>
  <c r="M13" i="20"/>
  <c r="M6" i="20"/>
  <c r="M40" i="20"/>
  <c r="M55" i="20"/>
  <c r="M33" i="20"/>
  <c r="M41" i="20"/>
  <c r="M64" i="20"/>
  <c r="M44" i="20"/>
  <c r="M30" i="20"/>
  <c r="M42" i="20"/>
  <c r="M46" i="20"/>
  <c r="M68" i="20"/>
  <c r="M56" i="20"/>
  <c r="M35" i="20"/>
  <c r="M28" i="20"/>
  <c r="M21" i="20"/>
  <c r="M14" i="20"/>
  <c r="M5" i="20"/>
  <c r="M63" i="20"/>
  <c r="M51" i="20"/>
  <c r="M15" i="20"/>
  <c r="M23" i="20"/>
  <c r="M31" i="20"/>
  <c r="M54" i="20"/>
  <c r="M43" i="20"/>
  <c r="M36" i="20"/>
  <c r="M29" i="20"/>
  <c r="M22" i="20"/>
  <c r="M7" i="20"/>
  <c r="M34" i="20"/>
  <c r="M16" i="20"/>
  <c r="M48" i="20"/>
  <c r="M9" i="20"/>
  <c r="M61" i="20"/>
  <c r="M59" i="20"/>
  <c r="M52" i="20"/>
  <c r="M45" i="20"/>
  <c r="M38" i="20"/>
  <c r="M50" i="20"/>
  <c r="M8" i="20"/>
  <c r="M66" i="20"/>
  <c r="M67" i="20"/>
  <c r="M60" i="20"/>
  <c r="M53" i="20"/>
  <c r="M58" i="20"/>
  <c r="M17" i="20"/>
  <c r="L184" i="17"/>
  <c r="L176" i="17"/>
  <c r="L168" i="17"/>
  <c r="L160" i="17"/>
  <c r="L152" i="17"/>
  <c r="L144" i="17"/>
  <c r="L136" i="17"/>
  <c r="L128" i="17"/>
  <c r="L120" i="17"/>
  <c r="L112" i="17"/>
  <c r="L104" i="17"/>
  <c r="L96" i="17"/>
  <c r="L88" i="17"/>
  <c r="L80" i="17"/>
  <c r="L72" i="17"/>
  <c r="L64" i="17"/>
  <c r="L56" i="17"/>
  <c r="L48" i="17"/>
  <c r="L40" i="17"/>
  <c r="L32" i="17"/>
  <c r="L24" i="17"/>
  <c r="L16" i="17"/>
  <c r="L8" i="17"/>
  <c r="L55" i="17"/>
  <c r="L39" i="17"/>
  <c r="L23" i="17"/>
  <c r="L7" i="17"/>
  <c r="L73" i="17"/>
  <c r="L17" i="17"/>
  <c r="L183" i="17"/>
  <c r="L175" i="17"/>
  <c r="L167" i="17"/>
  <c r="L159" i="17"/>
  <c r="L151" i="17"/>
  <c r="L143" i="17"/>
  <c r="L135" i="17"/>
  <c r="L127" i="17"/>
  <c r="L119" i="17"/>
  <c r="L111" i="17"/>
  <c r="L103" i="17"/>
  <c r="L95" i="17"/>
  <c r="L87" i="17"/>
  <c r="L79" i="17"/>
  <c r="L71" i="17"/>
  <c r="L63" i="17"/>
  <c r="L47" i="17"/>
  <c r="L31" i="17"/>
  <c r="L15" i="17"/>
  <c r="L81" i="17"/>
  <c r="L33" i="17"/>
  <c r="L182" i="17"/>
  <c r="L174" i="17"/>
  <c r="L166" i="17"/>
  <c r="L158" i="17"/>
  <c r="L150" i="17"/>
  <c r="L142" i="17"/>
  <c r="L134" i="17"/>
  <c r="L126" i="17"/>
  <c r="L118" i="17"/>
  <c r="L110" i="17"/>
  <c r="L102" i="17"/>
  <c r="L94" i="17"/>
  <c r="L86" i="17"/>
  <c r="L78" i="17"/>
  <c r="L70" i="17"/>
  <c r="L62" i="17"/>
  <c r="L54" i="17"/>
  <c r="L46" i="17"/>
  <c r="L38" i="17"/>
  <c r="L30" i="17"/>
  <c r="L22" i="17"/>
  <c r="L14" i="17"/>
  <c r="L6" i="17"/>
  <c r="L53" i="17"/>
  <c r="L37" i="17"/>
  <c r="L21" i="17"/>
  <c r="L13" i="17"/>
  <c r="L97" i="17"/>
  <c r="L181" i="17"/>
  <c r="L173" i="17"/>
  <c r="L165" i="17"/>
  <c r="L157" i="17"/>
  <c r="L149" i="17"/>
  <c r="L141" i="17"/>
  <c r="L133" i="17"/>
  <c r="L125" i="17"/>
  <c r="L117" i="17"/>
  <c r="L109" i="17"/>
  <c r="L101" i="17"/>
  <c r="L93" i="17"/>
  <c r="L85" i="17"/>
  <c r="L77" i="17"/>
  <c r="L69" i="17"/>
  <c r="L61" i="17"/>
  <c r="L45" i="17"/>
  <c r="L29" i="17"/>
  <c r="L5" i="17"/>
  <c r="L89" i="17"/>
  <c r="L41" i="17"/>
  <c r="L180" i="17"/>
  <c r="L172" i="17"/>
  <c r="L164" i="17"/>
  <c r="L156" i="17"/>
  <c r="L148" i="17"/>
  <c r="L140" i="17"/>
  <c r="L132" i="17"/>
  <c r="L124" i="17"/>
  <c r="L116" i="17"/>
  <c r="L108" i="17"/>
  <c r="L100" i="17"/>
  <c r="L92" i="17"/>
  <c r="L84" i="17"/>
  <c r="L76" i="17"/>
  <c r="L68" i="17"/>
  <c r="L60" i="17"/>
  <c r="L52" i="17"/>
  <c r="L44" i="17"/>
  <c r="L36" i="17"/>
  <c r="L28" i="17"/>
  <c r="L20" i="17"/>
  <c r="L12" i="17"/>
  <c r="L4" i="17"/>
  <c r="L3" i="17"/>
  <c r="L161" i="17"/>
  <c r="L137" i="17"/>
  <c r="L113" i="17"/>
  <c r="L57" i="17"/>
  <c r="L49" i="17"/>
  <c r="L179" i="17"/>
  <c r="L171" i="17"/>
  <c r="L163" i="17"/>
  <c r="L155" i="17"/>
  <c r="L147" i="17"/>
  <c r="L139" i="17"/>
  <c r="L131" i="17"/>
  <c r="L123" i="17"/>
  <c r="L115" i="17"/>
  <c r="L107" i="17"/>
  <c r="L99" i="17"/>
  <c r="L91" i="17"/>
  <c r="L83" i="17"/>
  <c r="L75" i="17"/>
  <c r="L67" i="17"/>
  <c r="L59" i="17"/>
  <c r="L51" i="17"/>
  <c r="L43" i="17"/>
  <c r="L35" i="17"/>
  <c r="L27" i="17"/>
  <c r="L19" i="17"/>
  <c r="L11" i="17"/>
  <c r="L153" i="17"/>
  <c r="L121" i="17"/>
  <c r="L25" i="17"/>
  <c r="L178" i="17"/>
  <c r="L170" i="17"/>
  <c r="L162" i="17"/>
  <c r="L154" i="17"/>
  <c r="L146" i="17"/>
  <c r="L138" i="17"/>
  <c r="L130" i="17"/>
  <c r="L122" i="17"/>
  <c r="L114" i="17"/>
  <c r="L106" i="17"/>
  <c r="L98" i="17"/>
  <c r="L90" i="17"/>
  <c r="L82" i="17"/>
  <c r="L74" i="17"/>
  <c r="L66" i="17"/>
  <c r="L58" i="17"/>
  <c r="L50" i="17"/>
  <c r="L42" i="17"/>
  <c r="L34" i="17"/>
  <c r="L26" i="17"/>
  <c r="L18" i="17"/>
  <c r="L10" i="17"/>
  <c r="L177" i="17"/>
  <c r="L169" i="17"/>
  <c r="L145" i="17"/>
  <c r="L129" i="17"/>
  <c r="L105" i="17"/>
  <c r="L65" i="17"/>
  <c r="L9" i="17"/>
  <c r="D42" i="5" l="1"/>
  <c r="A11" i="7"/>
  <c r="W11" i="7" l="1"/>
  <c r="X11" i="7"/>
  <c r="Z63" i="7"/>
  <c r="Z56" i="7"/>
  <c r="Z53" i="7"/>
  <c r="Z51" i="7"/>
  <c r="Z28" i="7"/>
  <c r="Z24" i="7"/>
  <c r="Z13" i="7"/>
  <c r="B214" i="8" l="1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B204" i="8" l="1"/>
  <c r="B205" i="8"/>
  <c r="B206" i="8"/>
  <c r="B207" i="8"/>
  <c r="B208" i="8"/>
  <c r="B209" i="8"/>
  <c r="B210" i="8"/>
  <c r="B211" i="8"/>
  <c r="B212" i="8"/>
  <c r="B213" i="8"/>
  <c r="A204" i="8"/>
  <c r="A205" i="8"/>
  <c r="A206" i="8"/>
  <c r="A207" i="8"/>
  <c r="A208" i="8"/>
  <c r="A209" i="8"/>
  <c r="A210" i="8"/>
  <c r="A211" i="8"/>
  <c r="A212" i="8"/>
  <c r="A213" i="8"/>
  <c r="B189" i="8" l="1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33" i="10" l="1"/>
  <c r="B184" i="8"/>
  <c r="B185" i="8"/>
  <c r="B186" i="8"/>
  <c r="B187" i="8"/>
  <c r="B188" i="8"/>
  <c r="A184" i="8"/>
  <c r="A185" i="8"/>
  <c r="A186" i="8"/>
  <c r="A187" i="8"/>
  <c r="A18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B158" i="8"/>
  <c r="A158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1" i="10" l="1"/>
  <c r="B14" i="8" l="1"/>
  <c r="A14" i="8"/>
  <c r="A9" i="8" l="1"/>
  <c r="A100" i="10" l="1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0" i="10"/>
  <c r="A9" i="10"/>
  <c r="B140" i="8"/>
  <c r="A140" i="8"/>
  <c r="B139" i="8"/>
  <c r="A139" i="8"/>
  <c r="B138" i="8"/>
  <c r="A138" i="8"/>
  <c r="B137" i="8"/>
  <c r="A137" i="8"/>
  <c r="B136" i="8"/>
  <c r="A136" i="8"/>
  <c r="B135" i="8"/>
  <c r="A135" i="8"/>
  <c r="B134" i="8"/>
  <c r="A134" i="8"/>
  <c r="B133" i="8"/>
  <c r="A133" i="8"/>
  <c r="B132" i="8"/>
  <c r="A132" i="8"/>
  <c r="B131" i="8"/>
  <c r="A131" i="8"/>
  <c r="B130" i="8"/>
  <c r="A130" i="8"/>
  <c r="B129" i="8"/>
  <c r="A129" i="8"/>
  <c r="B128" i="8"/>
  <c r="A128" i="8"/>
  <c r="B127" i="8"/>
  <c r="A127" i="8"/>
  <c r="B126" i="8"/>
  <c r="A126" i="8"/>
  <c r="B125" i="8"/>
  <c r="A125" i="8"/>
  <c r="B124" i="8"/>
  <c r="A124" i="8"/>
  <c r="B123" i="8"/>
  <c r="A123" i="8"/>
  <c r="B122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50" i="8"/>
  <c r="A50" i="8"/>
  <c r="B49" i="8"/>
  <c r="A49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 l="1"/>
  <c r="A19" i="8"/>
  <c r="B18" i="8"/>
  <c r="A18" i="8"/>
  <c r="B17" i="8"/>
  <c r="A17" i="8"/>
  <c r="B16" i="8"/>
  <c r="A16" i="8"/>
  <c r="B15" i="8"/>
  <c r="A15" i="8"/>
  <c r="B13" i="8"/>
  <c r="A13" i="8"/>
  <c r="B12" i="8"/>
  <c r="A12" i="8"/>
  <c r="B11" i="8"/>
  <c r="A11" i="8"/>
  <c r="B10" i="8"/>
  <c r="A10" i="8"/>
  <c r="B9" i="8"/>
  <c r="C63" i="7" l="1" a="1"/>
  <c r="C63" i="7" s="1"/>
  <c r="E50" i="7" a="1"/>
  <c r="E50" i="7" s="1"/>
  <c r="B38" i="7" a="1"/>
  <c r="B38" i="7" s="1"/>
  <c r="F23" i="7" a="1"/>
  <c r="F23" i="7" s="1"/>
  <c r="D20" i="7" a="1"/>
  <c r="D20" i="7" s="1"/>
  <c r="C55" i="7" a="1"/>
  <c r="C55" i="7" s="1"/>
  <c r="E42" i="7" a="1"/>
  <c r="E42" i="7" s="1"/>
  <c r="B30" i="7" a="1"/>
  <c r="B30" i="7" s="1"/>
  <c r="F13" i="7" a="1"/>
  <c r="F13" i="7" s="1"/>
  <c r="F51" i="7" a="1"/>
  <c r="F51" i="7" s="1"/>
  <c r="C39" i="7" a="1"/>
  <c r="C39" i="7" s="1"/>
  <c r="E26" i="7" a="1"/>
  <c r="E26" i="7" s="1"/>
  <c r="C61" i="7" a="1"/>
  <c r="C61" i="7" s="1"/>
  <c r="E48" i="7" a="1"/>
  <c r="E48" i="7" s="1"/>
  <c r="F35" i="7" a="1"/>
  <c r="F35" i="7" s="1"/>
  <c r="C23" i="7" a="1"/>
  <c r="C23" i="7" s="1"/>
  <c r="F14" i="7" a="1"/>
  <c r="F14" i="7" s="1"/>
  <c r="E54" i="7" a="1"/>
  <c r="E54" i="7" s="1"/>
  <c r="B42" i="7" a="1"/>
  <c r="B42" i="7" s="1"/>
  <c r="D29" i="7" a="1"/>
  <c r="D29" i="7" s="1"/>
  <c r="E16" i="7" a="1"/>
  <c r="E16" i="7" s="1"/>
  <c r="E57" i="7" a="1"/>
  <c r="E57" i="7" s="1"/>
  <c r="B45" i="7" a="1"/>
  <c r="B45" i="7" s="1"/>
  <c r="D32" i="7" a="1"/>
  <c r="D32" i="7" s="1"/>
  <c r="E19" i="7" a="1"/>
  <c r="E19" i="7" s="1"/>
  <c r="C54" i="7" a="1"/>
  <c r="C54" i="7" s="1"/>
  <c r="E41" i="7" a="1"/>
  <c r="E41" i="7" s="1"/>
  <c r="B29" i="7" a="1"/>
  <c r="B29" i="7" s="1"/>
  <c r="C16" i="7" a="1"/>
  <c r="C16" i="7" s="1"/>
  <c r="D52" i="7" a="1"/>
  <c r="D52" i="7" s="1"/>
  <c r="C38" i="7" a="1"/>
  <c r="C38" i="7" s="1"/>
  <c r="E25" i="7" a="1"/>
  <c r="E25" i="7" s="1"/>
  <c r="F12" i="7" a="1"/>
  <c r="F12" i="7" s="1"/>
  <c r="E11" i="7" a="1"/>
  <c r="E11" i="7" s="1"/>
  <c r="F61" i="7" a="1"/>
  <c r="F61" i="7" s="1"/>
  <c r="C49" i="7" a="1"/>
  <c r="C49" i="7" s="1"/>
  <c r="D36" i="7" a="1"/>
  <c r="D36" i="7" s="1"/>
  <c r="C22" i="7" a="1"/>
  <c r="C22" i="7" s="1"/>
  <c r="E15" i="7" a="1"/>
  <c r="E15" i="7" s="1"/>
  <c r="E53" i="7" a="1"/>
  <c r="E53" i="7" s="1"/>
  <c r="B41" i="7" a="1"/>
  <c r="B41" i="7" s="1"/>
  <c r="D28" i="7" a="1"/>
  <c r="D28" i="7" s="1"/>
  <c r="F62" i="7" a="1"/>
  <c r="F62" i="7" s="1"/>
  <c r="C50" i="7" a="1"/>
  <c r="C50" i="7" s="1"/>
  <c r="E37" i="7" a="1"/>
  <c r="E37" i="7" s="1"/>
  <c r="B25" i="7" a="1"/>
  <c r="B25" i="7" s="1"/>
  <c r="E59" i="7" a="1"/>
  <c r="E59" i="7" s="1"/>
  <c r="B47" i="7" a="1"/>
  <c r="B47" i="7" s="1"/>
  <c r="C34" i="7" a="1"/>
  <c r="C34" i="7" s="1"/>
  <c r="E21" i="7" a="1"/>
  <c r="E21" i="7" s="1"/>
  <c r="B13" i="7" a="1"/>
  <c r="B13" i="7" s="1"/>
  <c r="B53" i="7" a="1"/>
  <c r="B53" i="7" s="1"/>
  <c r="D40" i="7" a="1"/>
  <c r="D40" i="7" s="1"/>
  <c r="F27" i="7" a="1"/>
  <c r="F27" i="7" s="1"/>
  <c r="B15" i="7" a="1"/>
  <c r="B15" i="7" s="1"/>
  <c r="B56" i="7" a="1"/>
  <c r="B56" i="7" s="1"/>
  <c r="D43" i="7" a="1"/>
  <c r="D43" i="7" s="1"/>
  <c r="F30" i="7" a="1"/>
  <c r="F30" i="7" s="1"/>
  <c r="B18" i="7" a="1"/>
  <c r="B18" i="7" s="1"/>
  <c r="E52" i="7" a="1"/>
  <c r="E52" i="7" s="1"/>
  <c r="B40" i="7" a="1"/>
  <c r="B40" i="7" s="1"/>
  <c r="D27" i="7" a="1"/>
  <c r="D27" i="7" s="1"/>
  <c r="D63" i="7" a="1"/>
  <c r="D63" i="7" s="1"/>
  <c r="F50" i="7" a="1"/>
  <c r="F50" i="7" s="1"/>
  <c r="E36" i="7" a="1"/>
  <c r="E36" i="7" s="1"/>
  <c r="B24" i="7" a="1"/>
  <c r="B24" i="7" s="1"/>
  <c r="C60" i="7" a="1"/>
  <c r="C60" i="7" s="1"/>
  <c r="E47" i="7" a="1"/>
  <c r="E47" i="7" s="1"/>
  <c r="F34" i="7" a="1"/>
  <c r="F34" i="7" s="1"/>
  <c r="E20" i="7" a="1"/>
  <c r="E20" i="7" s="1"/>
  <c r="D15" i="7" a="1"/>
  <c r="D15" i="7" s="1"/>
  <c r="B52" i="7" a="1"/>
  <c r="B52" i="7" s="1"/>
  <c r="D39" i="7" a="1"/>
  <c r="D39" i="7" s="1"/>
  <c r="F26" i="7" a="1"/>
  <c r="F26" i="7" s="1"/>
  <c r="D61" i="7" a="1"/>
  <c r="D61" i="7" s="1"/>
  <c r="F48" i="7" a="1"/>
  <c r="F48" i="7" s="1"/>
  <c r="B36" i="7" a="1"/>
  <c r="B36" i="7" s="1"/>
  <c r="D23" i="7" a="1"/>
  <c r="D23" i="7" s="1"/>
  <c r="B58" i="7" a="1"/>
  <c r="B58" i="7" s="1"/>
  <c r="D45" i="7" a="1"/>
  <c r="D45" i="7" s="1"/>
  <c r="F32" i="7" a="1"/>
  <c r="F32" i="7" s="1"/>
  <c r="B20" i="7" a="1"/>
  <c r="B20" i="7" s="1"/>
  <c r="F63" i="7" a="1"/>
  <c r="F63" i="7" s="1"/>
  <c r="D51" i="7" a="1"/>
  <c r="D51" i="7" s="1"/>
  <c r="F38" i="7" a="1"/>
  <c r="F38" i="7" s="1"/>
  <c r="C26" i="7" a="1"/>
  <c r="C26" i="7" s="1"/>
  <c r="D13" i="7" a="1"/>
  <c r="D13" i="7" s="1"/>
  <c r="D54" i="7" a="1"/>
  <c r="D54" i="7" s="1"/>
  <c r="F41" i="7" a="1"/>
  <c r="F41" i="7" s="1"/>
  <c r="C29" i="7" a="1"/>
  <c r="C29" i="7" s="1"/>
  <c r="C13" i="7" a="1"/>
  <c r="C13" i="7" s="1"/>
  <c r="B51" i="7" a="1"/>
  <c r="B51" i="7" s="1"/>
  <c r="D38" i="7" a="1"/>
  <c r="D38" i="7" s="1"/>
  <c r="F25" i="7" a="1"/>
  <c r="F25" i="7" s="1"/>
  <c r="B62" i="7" a="1"/>
  <c r="B62" i="7" s="1"/>
  <c r="F47" i="7" a="1"/>
  <c r="F47" i="7" s="1"/>
  <c r="B35" i="7" a="1"/>
  <c r="B35" i="7" s="1"/>
  <c r="D22" i="7" a="1"/>
  <c r="D22" i="7" s="1"/>
  <c r="E58" i="7" a="1"/>
  <c r="E58" i="7" s="1"/>
  <c r="B46" i="7" a="1"/>
  <c r="B46" i="7" s="1"/>
  <c r="F31" i="7" a="1"/>
  <c r="F31" i="7" s="1"/>
  <c r="B19" i="7" a="1"/>
  <c r="B19" i="7" s="1"/>
  <c r="B63" i="7" a="1"/>
  <c r="B63" i="7" s="1"/>
  <c r="D50" i="7" a="1"/>
  <c r="D50" i="7" s="1"/>
  <c r="F37" i="7" a="1"/>
  <c r="F37" i="7" s="1"/>
  <c r="C25" i="7" a="1"/>
  <c r="C25" i="7" s="1"/>
  <c r="F59" i="7" a="1"/>
  <c r="F59" i="7" s="1"/>
  <c r="C47" i="7" a="1"/>
  <c r="C47" i="7" s="1"/>
  <c r="D34" i="7" a="1"/>
  <c r="D34" i="7" s="1"/>
  <c r="F21" i="7" a="1"/>
  <c r="F21" i="7" s="1"/>
  <c r="D56" i="7" a="1"/>
  <c r="D56" i="7" s="1"/>
  <c r="F43" i="7" a="1"/>
  <c r="F43" i="7" s="1"/>
  <c r="C31" i="7" a="1"/>
  <c r="C31" i="7" s="1"/>
  <c r="D18" i="7" a="1"/>
  <c r="D18" i="7" s="1"/>
  <c r="D62" i="7" a="1"/>
  <c r="D62" i="7" s="1"/>
  <c r="F49" i="7" a="1"/>
  <c r="F49" i="7" s="1"/>
  <c r="C37" i="7" a="1"/>
  <c r="C37" i="7" s="1"/>
  <c r="E24" i="7" a="1"/>
  <c r="E24" i="7" s="1"/>
  <c r="D16" i="7" a="1"/>
  <c r="D16" i="7" s="1"/>
  <c r="F52" i="7" a="1"/>
  <c r="F52" i="7" s="1"/>
  <c r="C40" i="7" a="1"/>
  <c r="C40" i="7" s="1"/>
  <c r="E27" i="7" a="1"/>
  <c r="E27" i="7" s="1"/>
  <c r="E63" i="7" a="1"/>
  <c r="E63" i="7" s="1"/>
  <c r="D49" i="7" a="1"/>
  <c r="D49" i="7" s="1"/>
  <c r="F36" i="7" a="1"/>
  <c r="F36" i="7" s="1"/>
  <c r="C24" i="7" a="1"/>
  <c r="C24" i="7" s="1"/>
  <c r="D60" i="7" a="1"/>
  <c r="D60" i="7" s="1"/>
  <c r="C46" i="7" a="1"/>
  <c r="C46" i="7" s="1"/>
  <c r="D33" i="7" a="1"/>
  <c r="D33" i="7" s="1"/>
  <c r="F20" i="7" a="1"/>
  <c r="F20" i="7" s="1"/>
  <c r="C12" i="7" a="1"/>
  <c r="C12" i="7" s="1"/>
  <c r="D11" i="7" a="1"/>
  <c r="D11" i="7" s="1"/>
  <c r="B57" i="7" a="1"/>
  <c r="B57" i="7" s="1"/>
  <c r="D44" i="7" a="1"/>
  <c r="D44" i="7" s="1"/>
  <c r="C30" i="7" a="1"/>
  <c r="C30" i="7" s="1"/>
  <c r="D17" i="7" a="1"/>
  <c r="D17" i="7" s="1"/>
  <c r="E61" i="7" a="1"/>
  <c r="E61" i="7" s="1"/>
  <c r="B49" i="7" a="1"/>
  <c r="B49" i="7" s="1"/>
  <c r="C36" i="7" a="1"/>
  <c r="C36" i="7" s="1"/>
  <c r="E23" i="7" a="1"/>
  <c r="E23" i="7" s="1"/>
  <c r="C58" i="7" a="1"/>
  <c r="C58" i="7" s="1"/>
  <c r="E45" i="7" a="1"/>
  <c r="E45" i="7" s="1"/>
  <c r="B33" i="7" a="1"/>
  <c r="B33" i="7" s="1"/>
  <c r="C20" i="7" a="1"/>
  <c r="C20" i="7" s="1"/>
  <c r="F54" i="7" a="1"/>
  <c r="F54" i="7" s="1"/>
  <c r="C42" i="7" a="1"/>
  <c r="C42" i="7" s="1"/>
  <c r="E29" i="7" a="1"/>
  <c r="E29" i="7" s="1"/>
  <c r="F16" i="7" a="1"/>
  <c r="F16" i="7" s="1"/>
  <c r="B61" i="7" a="1"/>
  <c r="B61" i="7" s="1"/>
  <c r="D48" i="7" a="1"/>
  <c r="D48" i="7" s="1"/>
  <c r="E35" i="7" a="1"/>
  <c r="E35" i="7" s="1"/>
  <c r="B23" i="7" a="1"/>
  <c r="B23" i="7" s="1"/>
  <c r="E14" i="7" a="1"/>
  <c r="E14" i="7" s="1"/>
  <c r="C51" i="7" a="1"/>
  <c r="C51" i="7" s="1"/>
  <c r="E38" i="7" a="1"/>
  <c r="E38" i="7" s="1"/>
  <c r="B26" i="7" a="1"/>
  <c r="B26" i="7" s="1"/>
  <c r="E60" i="7" a="1"/>
  <c r="E60" i="7" s="1"/>
  <c r="B48" i="7" a="1"/>
  <c r="B48" i="7" s="1"/>
  <c r="C35" i="7" a="1"/>
  <c r="C35" i="7" s="1"/>
  <c r="E22" i="7" a="1"/>
  <c r="E22" i="7" s="1"/>
  <c r="F58" i="7" a="1"/>
  <c r="F58" i="7" s="1"/>
  <c r="E44" i="7" a="1"/>
  <c r="E44" i="7" s="1"/>
  <c r="B32" i="7" a="1"/>
  <c r="B32" i="7" s="1"/>
  <c r="C19" i="7" a="1"/>
  <c r="C19" i="7" s="1"/>
  <c r="B11" i="7" a="1"/>
  <c r="B11" i="7" s="1"/>
  <c r="E17" i="7" a="1"/>
  <c r="E17" i="7" s="1"/>
  <c r="C11" i="7" a="1"/>
  <c r="C11" i="7" s="1"/>
  <c r="D55" i="7" a="1"/>
  <c r="D55" i="7" s="1"/>
  <c r="F42" i="7" a="1"/>
  <c r="F42" i="7" s="1"/>
  <c r="E28" i="7" a="1"/>
  <c r="E28" i="7" s="1"/>
  <c r="F15" i="7" a="1"/>
  <c r="F15" i="7" s="1"/>
  <c r="B60" i="7" a="1"/>
  <c r="B60" i="7" s="1"/>
  <c r="D47" i="7" a="1"/>
  <c r="D47" i="7" s="1"/>
  <c r="E34" i="7" a="1"/>
  <c r="E34" i="7" s="1"/>
  <c r="B22" i="7" a="1"/>
  <c r="B22" i="7" s="1"/>
  <c r="E56" i="7" a="1"/>
  <c r="E56" i="7" s="1"/>
  <c r="B44" i="7" a="1"/>
  <c r="B44" i="7" s="1"/>
  <c r="D31" i="7" a="1"/>
  <c r="D31" i="7" s="1"/>
  <c r="E18" i="7" a="1"/>
  <c r="E18" i="7" s="1"/>
  <c r="C53" i="7" a="1"/>
  <c r="C53" i="7" s="1"/>
  <c r="E40" i="7" a="1"/>
  <c r="E40" i="7" s="1"/>
  <c r="B28" i="7" a="1"/>
  <c r="B28" i="7" s="1"/>
  <c r="C15" i="7" a="1"/>
  <c r="C15" i="7" s="1"/>
  <c r="D59" i="7" a="1"/>
  <c r="D59" i="7" s="1"/>
  <c r="F46" i="7" a="1"/>
  <c r="F46" i="7" s="1"/>
  <c r="B34" i="7" a="1"/>
  <c r="B34" i="7" s="1"/>
  <c r="D21" i="7" a="1"/>
  <c r="D21" i="7" s="1"/>
  <c r="C62" i="7" a="1"/>
  <c r="C62" i="7" s="1"/>
  <c r="E49" i="7" a="1"/>
  <c r="E49" i="7" s="1"/>
  <c r="B37" i="7" a="1"/>
  <c r="B37" i="7" s="1"/>
  <c r="D24" i="7" a="1"/>
  <c r="D24" i="7" s="1"/>
  <c r="B59" i="7" a="1"/>
  <c r="B59" i="7" s="1"/>
  <c r="D46" i="7" a="1"/>
  <c r="D46" i="7" s="1"/>
  <c r="E33" i="7" a="1"/>
  <c r="E33" i="7" s="1"/>
  <c r="B21" i="7" a="1"/>
  <c r="B21" i="7" s="1"/>
  <c r="C57" i="7" a="1"/>
  <c r="C57" i="7" s="1"/>
  <c r="B43" i="7" a="1"/>
  <c r="B43" i="7" s="1"/>
  <c r="D30" i="7" a="1"/>
  <c r="D30" i="7" s="1"/>
  <c r="B14" i="7" a="1"/>
  <c r="B14" i="7" s="1"/>
  <c r="F53" i="7" a="1"/>
  <c r="F53" i="7" s="1"/>
  <c r="C41" i="7" a="1"/>
  <c r="C41" i="7" s="1"/>
  <c r="B27" i="7" a="1"/>
  <c r="B27" i="7" s="1"/>
  <c r="C14" i="7" a="1"/>
  <c r="C14" i="7" s="1"/>
  <c r="D58" i="7" a="1"/>
  <c r="D58" i="7" s="1"/>
  <c r="F45" i="7" a="1"/>
  <c r="F45" i="7" s="1"/>
  <c r="C33" i="7" a="1"/>
  <c r="C33" i="7" s="1"/>
  <c r="F18" i="7" a="1"/>
  <c r="F18" i="7" s="1"/>
  <c r="B55" i="7" a="1"/>
  <c r="B55" i="7" s="1"/>
  <c r="D42" i="7" a="1"/>
  <c r="D42" i="7" s="1"/>
  <c r="F29" i="7" a="1"/>
  <c r="F29" i="7" s="1"/>
  <c r="B17" i="7" a="1"/>
  <c r="B17" i="7" s="1"/>
  <c r="E51" i="7" a="1"/>
  <c r="E51" i="7" s="1"/>
  <c r="B39" i="7" a="1"/>
  <c r="B39" i="7" s="1"/>
  <c r="D26" i="7" a="1"/>
  <c r="D26" i="7" s="1"/>
  <c r="E13" i="7" a="1"/>
  <c r="E13" i="7" s="1"/>
  <c r="F57" i="7" a="1"/>
  <c r="F57" i="7" s="1"/>
  <c r="C45" i="7" a="1"/>
  <c r="C45" i="7" s="1"/>
  <c r="E32" i="7" a="1"/>
  <c r="E32" i="7" s="1"/>
  <c r="F19" i="7" a="1"/>
  <c r="F19" i="7" s="1"/>
  <c r="F60" i="7" a="1"/>
  <c r="F60" i="7" s="1"/>
  <c r="C48" i="7" a="1"/>
  <c r="C48" i="7" s="1"/>
  <c r="D35" i="7" a="1"/>
  <c r="D35" i="7" s="1"/>
  <c r="F22" i="7" a="1"/>
  <c r="F22" i="7" s="1"/>
  <c r="D57" i="7" a="1"/>
  <c r="D57" i="7" s="1"/>
  <c r="F44" i="7" a="1"/>
  <c r="F44" i="7" s="1"/>
  <c r="C32" i="7" a="1"/>
  <c r="C32" i="7" s="1"/>
  <c r="D19" i="7" a="1"/>
  <c r="D19" i="7" s="1"/>
  <c r="E55" i="7" a="1"/>
  <c r="E55" i="7" s="1"/>
  <c r="D41" i="7" a="1"/>
  <c r="D41" i="7" s="1"/>
  <c r="F28" i="7" a="1"/>
  <c r="F28" i="7" s="1"/>
  <c r="B16" i="7" a="1"/>
  <c r="B16" i="7" s="1"/>
  <c r="C52" i="7" a="1"/>
  <c r="C52" i="7" s="1"/>
  <c r="E39" i="7" a="1"/>
  <c r="E39" i="7" s="1"/>
  <c r="D25" i="7" a="1"/>
  <c r="D25" i="7" s="1"/>
  <c r="E12" i="7" a="1"/>
  <c r="E12" i="7" s="1"/>
  <c r="F56" i="7" a="1"/>
  <c r="F56" i="7" s="1"/>
  <c r="C44" i="7" a="1"/>
  <c r="C44" i="7" s="1"/>
  <c r="E31" i="7" a="1"/>
  <c r="E31" i="7" s="1"/>
  <c r="D12" i="7" a="1"/>
  <c r="D12" i="7" s="1"/>
  <c r="D53" i="7" a="1"/>
  <c r="D53" i="7" s="1"/>
  <c r="F40" i="7" a="1"/>
  <c r="F40" i="7" s="1"/>
  <c r="C28" i="7" a="1"/>
  <c r="C28" i="7" s="1"/>
  <c r="E62" i="7" a="1"/>
  <c r="E62" i="7" s="1"/>
  <c r="B50" i="7" a="1"/>
  <c r="B50" i="7" s="1"/>
  <c r="D37" i="7" a="1"/>
  <c r="D37" i="7" s="1"/>
  <c r="F24" i="7" a="1"/>
  <c r="F24" i="7" s="1"/>
  <c r="B12" i="7" a="1"/>
  <c r="B12" i="7" s="1"/>
  <c r="C56" i="7" a="1"/>
  <c r="C56" i="7" s="1"/>
  <c r="E43" i="7" a="1"/>
  <c r="E43" i="7" s="1"/>
  <c r="B31" i="7" a="1"/>
  <c r="B31" i="7" s="1"/>
  <c r="C18" i="7" a="1"/>
  <c r="C18" i="7" s="1"/>
  <c r="C59" i="7" a="1"/>
  <c r="C59" i="7" s="1"/>
  <c r="E46" i="7" a="1"/>
  <c r="E46" i="7" s="1"/>
  <c r="F33" i="7" a="1"/>
  <c r="F33" i="7" s="1"/>
  <c r="C21" i="7" a="1"/>
  <c r="C21" i="7" s="1"/>
  <c r="F55" i="7" a="1"/>
  <c r="F55" i="7" s="1"/>
  <c r="C43" i="7" a="1"/>
  <c r="C43" i="7" s="1"/>
  <c r="E30" i="7" a="1"/>
  <c r="E30" i="7" s="1"/>
  <c r="F17" i="7" a="1"/>
  <c r="F17" i="7" s="1"/>
  <c r="B54" i="7" a="1"/>
  <c r="B54" i="7" s="1"/>
  <c r="F39" i="7" a="1"/>
  <c r="F39" i="7" s="1"/>
  <c r="C27" i="7" a="1"/>
  <c r="C27" i="7" s="1"/>
  <c r="D14" i="7" a="1"/>
  <c r="D14" i="7" s="1"/>
  <c r="F11" i="7" a="1"/>
  <c r="F11" i="7" s="1"/>
  <c r="C17" i="7" a="1"/>
  <c r="C17" i="7" s="1"/>
  <c r="N63" i="7" l="1"/>
  <c r="O63" i="7"/>
  <c r="P63" i="7"/>
  <c r="T50" i="7"/>
  <c r="S50" i="7"/>
  <c r="K38" i="7"/>
  <c r="M38" i="7"/>
  <c r="L38" i="7"/>
  <c r="U23" i="7"/>
  <c r="V23" i="7"/>
  <c r="Q20" i="7"/>
  <c r="R20" i="7"/>
  <c r="O55" i="7"/>
  <c r="P55" i="7"/>
  <c r="N55" i="7"/>
  <c r="S42" i="7"/>
  <c r="T42" i="7"/>
  <c r="K30" i="7"/>
  <c r="M30" i="7"/>
  <c r="L30" i="7"/>
  <c r="U13" i="7"/>
  <c r="V13" i="7"/>
  <c r="V51" i="7"/>
  <c r="U51" i="7"/>
  <c r="N39" i="7"/>
  <c r="O39" i="7"/>
  <c r="P39" i="7"/>
  <c r="T26" i="7"/>
  <c r="S26" i="7"/>
  <c r="O61" i="7"/>
  <c r="P61" i="7"/>
  <c r="N61" i="7"/>
  <c r="T48" i="7"/>
  <c r="S48" i="7"/>
  <c r="U35" i="7"/>
  <c r="V35" i="7"/>
  <c r="O23" i="7"/>
  <c r="N23" i="7"/>
  <c r="P23" i="7"/>
  <c r="U14" i="7"/>
  <c r="V14" i="7"/>
  <c r="T54" i="7"/>
  <c r="S54" i="7"/>
  <c r="M42" i="7"/>
  <c r="L42" i="7"/>
  <c r="K42" i="7"/>
  <c r="Q29" i="7"/>
  <c r="R29" i="7"/>
  <c r="T16" i="7"/>
  <c r="S16" i="7"/>
  <c r="T57" i="7"/>
  <c r="S57" i="7"/>
  <c r="M45" i="7"/>
  <c r="K45" i="7"/>
  <c r="L45" i="7"/>
  <c r="Q32" i="7"/>
  <c r="R32" i="7"/>
  <c r="S19" i="7"/>
  <c r="T19" i="7"/>
  <c r="N54" i="7"/>
  <c r="O54" i="7"/>
  <c r="P54" i="7"/>
  <c r="S41" i="7"/>
  <c r="T41" i="7"/>
  <c r="K29" i="7"/>
  <c r="M29" i="7"/>
  <c r="L29" i="7"/>
  <c r="O16" i="7"/>
  <c r="N16" i="7"/>
  <c r="P16" i="7"/>
  <c r="Q52" i="7"/>
  <c r="R52" i="7"/>
  <c r="N38" i="7"/>
  <c r="P38" i="7"/>
  <c r="O38" i="7"/>
  <c r="S25" i="7"/>
  <c r="T25" i="7"/>
  <c r="V12" i="7"/>
  <c r="U12" i="7"/>
  <c r="S11" i="7"/>
  <c r="T11" i="7"/>
  <c r="V61" i="7"/>
  <c r="U61" i="7"/>
  <c r="P49" i="7"/>
  <c r="N49" i="7"/>
  <c r="O49" i="7"/>
  <c r="Q36" i="7"/>
  <c r="R36" i="7"/>
  <c r="P22" i="7"/>
  <c r="O22" i="7"/>
  <c r="N22" i="7"/>
  <c r="S15" i="7"/>
  <c r="T15" i="7"/>
  <c r="T53" i="7"/>
  <c r="S53" i="7"/>
  <c r="L41" i="7"/>
  <c r="K41" i="7"/>
  <c r="M41" i="7"/>
  <c r="R28" i="7"/>
  <c r="Q28" i="7"/>
  <c r="U62" i="7"/>
  <c r="V62" i="7"/>
  <c r="O50" i="7"/>
  <c r="P50" i="7"/>
  <c r="N50" i="7"/>
  <c r="T37" i="7"/>
  <c r="S37" i="7"/>
  <c r="L25" i="7"/>
  <c r="K25" i="7"/>
  <c r="M25" i="7"/>
  <c r="T59" i="7"/>
  <c r="S59" i="7"/>
  <c r="L47" i="7"/>
  <c r="K47" i="7"/>
  <c r="M47" i="7"/>
  <c r="O34" i="7"/>
  <c r="N34" i="7"/>
  <c r="P34" i="7"/>
  <c r="T21" i="7"/>
  <c r="S21" i="7"/>
  <c r="M13" i="7"/>
  <c r="K13" i="7"/>
  <c r="L13" i="7"/>
  <c r="L53" i="7"/>
  <c r="K53" i="7"/>
  <c r="M53" i="7"/>
  <c r="R40" i="7"/>
  <c r="Q40" i="7"/>
  <c r="U27" i="7"/>
  <c r="V27" i="7"/>
  <c r="M15" i="7"/>
  <c r="L15" i="7"/>
  <c r="K15" i="7"/>
  <c r="K56" i="7"/>
  <c r="M56" i="7"/>
  <c r="L56" i="7"/>
  <c r="Q43" i="7"/>
  <c r="R43" i="7"/>
  <c r="V30" i="7"/>
  <c r="U30" i="7"/>
  <c r="M18" i="7"/>
  <c r="L18" i="7"/>
  <c r="K18" i="7"/>
  <c r="S52" i="7"/>
  <c r="T52" i="7"/>
  <c r="K40" i="7"/>
  <c r="M40" i="7"/>
  <c r="L40" i="7"/>
  <c r="Q27" i="7"/>
  <c r="R27" i="7"/>
  <c r="R63" i="7"/>
  <c r="Q63" i="7"/>
  <c r="U50" i="7"/>
  <c r="V50" i="7"/>
  <c r="S36" i="7"/>
  <c r="T36" i="7"/>
  <c r="K24" i="7"/>
  <c r="M24" i="7"/>
  <c r="L24" i="7"/>
  <c r="O60" i="7"/>
  <c r="P60" i="7"/>
  <c r="N60" i="7"/>
  <c r="T47" i="7"/>
  <c r="S47" i="7"/>
  <c r="U34" i="7"/>
  <c r="V34" i="7"/>
  <c r="S20" i="7"/>
  <c r="T20" i="7"/>
  <c r="R15" i="7"/>
  <c r="Q15" i="7"/>
  <c r="M52" i="7"/>
  <c r="L52" i="7"/>
  <c r="K52" i="7"/>
  <c r="Q39" i="7"/>
  <c r="R39" i="7"/>
  <c r="U26" i="7"/>
  <c r="V26" i="7"/>
  <c r="R61" i="7"/>
  <c r="Q61" i="7"/>
  <c r="U48" i="7"/>
  <c r="V48" i="7"/>
  <c r="L36" i="7"/>
  <c r="M36" i="7"/>
  <c r="K36" i="7"/>
  <c r="Q23" i="7"/>
  <c r="R23" i="7"/>
  <c r="L58" i="7"/>
  <c r="M58" i="7"/>
  <c r="K58" i="7"/>
  <c r="Q45" i="7"/>
  <c r="R45" i="7"/>
  <c r="U32" i="7"/>
  <c r="V32" i="7"/>
  <c r="K20" i="7"/>
  <c r="L20" i="7"/>
  <c r="M20" i="7"/>
  <c r="U63" i="7"/>
  <c r="V63" i="7"/>
  <c r="R51" i="7"/>
  <c r="Q51" i="7"/>
  <c r="U38" i="7"/>
  <c r="V38" i="7"/>
  <c r="N26" i="7"/>
  <c r="P26" i="7"/>
  <c r="O26" i="7"/>
  <c r="Q13" i="7"/>
  <c r="R13" i="7"/>
  <c r="R54" i="7"/>
  <c r="Q54" i="7"/>
  <c r="V41" i="7"/>
  <c r="U41" i="7"/>
  <c r="N29" i="7"/>
  <c r="P29" i="7"/>
  <c r="O29" i="7"/>
  <c r="O13" i="7"/>
  <c r="N13" i="7"/>
  <c r="P13" i="7"/>
  <c r="L51" i="7"/>
  <c r="K51" i="7"/>
  <c r="M51" i="7"/>
  <c r="Q38" i="7"/>
  <c r="R38" i="7"/>
  <c r="U25" i="7"/>
  <c r="V25" i="7"/>
  <c r="K62" i="7"/>
  <c r="M62" i="7"/>
  <c r="L62" i="7"/>
  <c r="V47" i="7"/>
  <c r="U47" i="7"/>
  <c r="L35" i="7"/>
  <c r="M35" i="7"/>
  <c r="K35" i="7"/>
  <c r="Q22" i="7"/>
  <c r="R22" i="7"/>
  <c r="T58" i="7"/>
  <c r="S58" i="7"/>
  <c r="L46" i="7"/>
  <c r="K46" i="7"/>
  <c r="M46" i="7"/>
  <c r="V31" i="7"/>
  <c r="U31" i="7"/>
  <c r="K19" i="7"/>
  <c r="L19" i="7"/>
  <c r="M19" i="7"/>
  <c r="L63" i="7"/>
  <c r="M63" i="7"/>
  <c r="K63" i="7"/>
  <c r="Q50" i="7"/>
  <c r="R50" i="7"/>
  <c r="U37" i="7"/>
  <c r="V37" i="7"/>
  <c r="P25" i="7"/>
  <c r="O25" i="7"/>
  <c r="N25" i="7"/>
  <c r="U59" i="7"/>
  <c r="V59" i="7"/>
  <c r="P47" i="7"/>
  <c r="N47" i="7"/>
  <c r="O47" i="7"/>
  <c r="Q34" i="7"/>
  <c r="R34" i="7"/>
  <c r="V21" i="7"/>
  <c r="U21" i="7"/>
  <c r="Q56" i="7"/>
  <c r="R56" i="7"/>
  <c r="U43" i="7"/>
  <c r="V43" i="7"/>
  <c r="P31" i="7"/>
  <c r="N31" i="7"/>
  <c r="O31" i="7"/>
  <c r="Q18" i="7"/>
  <c r="R18" i="7"/>
  <c r="Q62" i="7"/>
  <c r="R62" i="7"/>
  <c r="V49" i="7"/>
  <c r="U49" i="7"/>
  <c r="N37" i="7"/>
  <c r="P37" i="7"/>
  <c r="O37" i="7"/>
  <c r="T24" i="7"/>
  <c r="S24" i="7"/>
  <c r="Q16" i="7"/>
  <c r="R16" i="7"/>
  <c r="V52" i="7"/>
  <c r="U52" i="7"/>
  <c r="P40" i="7"/>
  <c r="O40" i="7"/>
  <c r="N40" i="7"/>
  <c r="T27" i="7"/>
  <c r="S27" i="7"/>
  <c r="S63" i="7"/>
  <c r="T63" i="7"/>
  <c r="Q49" i="7"/>
  <c r="R49" i="7"/>
  <c r="V36" i="7"/>
  <c r="U36" i="7"/>
  <c r="O24" i="7"/>
  <c r="N24" i="7"/>
  <c r="P24" i="7"/>
  <c r="R60" i="7"/>
  <c r="Q60" i="7"/>
  <c r="O46" i="7"/>
  <c r="N46" i="7"/>
  <c r="P46" i="7"/>
  <c r="R33" i="7"/>
  <c r="Q33" i="7"/>
  <c r="U20" i="7"/>
  <c r="V20" i="7"/>
  <c r="O12" i="7"/>
  <c r="N12" i="7"/>
  <c r="P12" i="7"/>
  <c r="Q11" i="7"/>
  <c r="R11" i="7"/>
  <c r="K57" i="7"/>
  <c r="M57" i="7"/>
  <c r="L57" i="7"/>
  <c r="R44" i="7"/>
  <c r="Q44" i="7"/>
  <c r="P30" i="7"/>
  <c r="N30" i="7"/>
  <c r="O30" i="7"/>
  <c r="R17" i="7"/>
  <c r="Q17" i="7"/>
  <c r="S61" i="7"/>
  <c r="T61" i="7"/>
  <c r="K49" i="7"/>
  <c r="M49" i="7"/>
  <c r="L49" i="7"/>
  <c r="O36" i="7"/>
  <c r="N36" i="7"/>
  <c r="P36" i="7"/>
  <c r="T23" i="7"/>
  <c r="S23" i="7"/>
  <c r="O58" i="7"/>
  <c r="P58" i="7"/>
  <c r="N58" i="7"/>
  <c r="S45" i="7"/>
  <c r="T45" i="7"/>
  <c r="K33" i="7"/>
  <c r="M33" i="7"/>
  <c r="L33" i="7"/>
  <c r="P20" i="7"/>
  <c r="N20" i="7"/>
  <c r="O20" i="7"/>
  <c r="V54" i="7"/>
  <c r="U54" i="7"/>
  <c r="O42" i="7"/>
  <c r="N42" i="7"/>
  <c r="P42" i="7"/>
  <c r="T29" i="7"/>
  <c r="S29" i="7"/>
  <c r="V16" i="7"/>
  <c r="U16" i="7"/>
  <c r="M61" i="7"/>
  <c r="K61" i="7"/>
  <c r="L61" i="7"/>
  <c r="R48" i="7"/>
  <c r="Q48" i="7"/>
  <c r="T35" i="7"/>
  <c r="S35" i="7"/>
  <c r="L23" i="7"/>
  <c r="M23" i="7"/>
  <c r="K23" i="7"/>
  <c r="T14" i="7"/>
  <c r="S14" i="7"/>
  <c r="O51" i="7"/>
  <c r="P51" i="7"/>
  <c r="N51" i="7"/>
  <c r="S38" i="7"/>
  <c r="T38" i="7"/>
  <c r="L26" i="7"/>
  <c r="M26" i="7"/>
  <c r="K26" i="7"/>
  <c r="S60" i="7"/>
  <c r="T60" i="7"/>
  <c r="L48" i="7"/>
  <c r="K48" i="7"/>
  <c r="M48" i="7"/>
  <c r="P35" i="7"/>
  <c r="N35" i="7"/>
  <c r="O35" i="7"/>
  <c r="T22" i="7"/>
  <c r="S22" i="7"/>
  <c r="V58" i="7"/>
  <c r="U58" i="7"/>
  <c r="T44" i="7"/>
  <c r="S44" i="7"/>
  <c r="M32" i="7"/>
  <c r="L32" i="7"/>
  <c r="K32" i="7"/>
  <c r="O19" i="7"/>
  <c r="P19" i="7"/>
  <c r="N19" i="7"/>
  <c r="L11" i="7"/>
  <c r="K11" i="7"/>
  <c r="M11" i="7"/>
  <c r="T17" i="7"/>
  <c r="S17" i="7"/>
  <c r="O11" i="7"/>
  <c r="N11" i="7"/>
  <c r="P11" i="7"/>
  <c r="Q55" i="7"/>
  <c r="R55" i="7"/>
  <c r="V42" i="7"/>
  <c r="U42" i="7"/>
  <c r="S28" i="7"/>
  <c r="T28" i="7"/>
  <c r="U15" i="7"/>
  <c r="V15" i="7"/>
  <c r="M60" i="7"/>
  <c r="K60" i="7"/>
  <c r="L60" i="7"/>
  <c r="R47" i="7"/>
  <c r="Q47" i="7"/>
  <c r="T34" i="7"/>
  <c r="S34" i="7"/>
  <c r="M22" i="7"/>
  <c r="L22" i="7"/>
  <c r="K22" i="7"/>
  <c r="T56" i="7"/>
  <c r="S56" i="7"/>
  <c r="K44" i="7"/>
  <c r="M44" i="7"/>
  <c r="L44" i="7"/>
  <c r="R31" i="7"/>
  <c r="Q31" i="7"/>
  <c r="S18" i="7"/>
  <c r="T18" i="7"/>
  <c r="N53" i="7"/>
  <c r="P53" i="7"/>
  <c r="O53" i="7"/>
  <c r="T40" i="7"/>
  <c r="S40" i="7"/>
  <c r="K28" i="7"/>
  <c r="M28" i="7"/>
  <c r="L28" i="7"/>
  <c r="O15" i="7"/>
  <c r="P15" i="7"/>
  <c r="N15" i="7"/>
  <c r="Q59" i="7"/>
  <c r="R59" i="7"/>
  <c r="U46" i="7"/>
  <c r="V46" i="7"/>
  <c r="K34" i="7"/>
  <c r="L34" i="7"/>
  <c r="M34" i="7"/>
  <c r="Q21" i="7"/>
  <c r="R21" i="7"/>
  <c r="O62" i="7"/>
  <c r="P62" i="7"/>
  <c r="N62" i="7"/>
  <c r="S49" i="7"/>
  <c r="T49" i="7"/>
  <c r="L37" i="7"/>
  <c r="M37" i="7"/>
  <c r="K37" i="7"/>
  <c r="Q24" i="7"/>
  <c r="R24" i="7"/>
  <c r="K59" i="7"/>
  <c r="L59" i="7"/>
  <c r="M59" i="7"/>
  <c r="Q46" i="7"/>
  <c r="R46" i="7"/>
  <c r="S33" i="7"/>
  <c r="T33" i="7"/>
  <c r="L21" i="7"/>
  <c r="M21" i="7"/>
  <c r="K21" i="7"/>
  <c r="N57" i="7"/>
  <c r="O57" i="7"/>
  <c r="P57" i="7"/>
  <c r="L43" i="7"/>
  <c r="K43" i="7"/>
  <c r="M43" i="7"/>
  <c r="Q30" i="7"/>
  <c r="R30" i="7"/>
  <c r="M14" i="7"/>
  <c r="K14" i="7"/>
  <c r="L14" i="7"/>
  <c r="U53" i="7"/>
  <c r="V53" i="7"/>
  <c r="N41" i="7"/>
  <c r="O41" i="7"/>
  <c r="P41" i="7"/>
  <c r="M27" i="7"/>
  <c r="K27" i="7"/>
  <c r="L27" i="7"/>
  <c r="N14" i="7"/>
  <c r="P14" i="7"/>
  <c r="O14" i="7"/>
  <c r="R58" i="7"/>
  <c r="Q58" i="7"/>
  <c r="U45" i="7"/>
  <c r="V45" i="7"/>
  <c r="N33" i="7"/>
  <c r="O33" i="7"/>
  <c r="P33" i="7"/>
  <c r="U18" i="7"/>
  <c r="V18" i="7"/>
  <c r="M55" i="7"/>
  <c r="K55" i="7"/>
  <c r="L55" i="7"/>
  <c r="Q42" i="7"/>
  <c r="R42" i="7"/>
  <c r="V29" i="7"/>
  <c r="U29" i="7"/>
  <c r="L17" i="7"/>
  <c r="M17" i="7"/>
  <c r="K17" i="7"/>
  <c r="S51" i="7"/>
  <c r="T51" i="7"/>
  <c r="K39" i="7"/>
  <c r="L39" i="7"/>
  <c r="M39" i="7"/>
  <c r="R26" i="7"/>
  <c r="Q26" i="7"/>
  <c r="T13" i="7"/>
  <c r="S13" i="7"/>
  <c r="U57" i="7"/>
  <c r="V57" i="7"/>
  <c r="P45" i="7"/>
  <c r="N45" i="7"/>
  <c r="O45" i="7"/>
  <c r="T32" i="7"/>
  <c r="S32" i="7"/>
  <c r="U19" i="7"/>
  <c r="V19" i="7"/>
  <c r="U60" i="7"/>
  <c r="V60" i="7"/>
  <c r="N48" i="7"/>
  <c r="P48" i="7"/>
  <c r="O48" i="7"/>
  <c r="R35" i="7"/>
  <c r="Q35" i="7"/>
  <c r="V22" i="7"/>
  <c r="U22" i="7"/>
  <c r="R57" i="7"/>
  <c r="Q57" i="7"/>
  <c r="V44" i="7"/>
  <c r="U44" i="7"/>
  <c r="P32" i="7"/>
  <c r="N32" i="7"/>
  <c r="O32" i="7"/>
  <c r="Q19" i="7"/>
  <c r="R19" i="7"/>
  <c r="S55" i="7"/>
  <c r="T55" i="7"/>
  <c r="Q41" i="7"/>
  <c r="R41" i="7"/>
  <c r="U28" i="7"/>
  <c r="V28" i="7"/>
  <c r="K16" i="7"/>
  <c r="L16" i="7"/>
  <c r="M16" i="7"/>
  <c r="P52" i="7"/>
  <c r="O52" i="7"/>
  <c r="N52" i="7"/>
  <c r="T39" i="7"/>
  <c r="S39" i="7"/>
  <c r="Q25" i="7"/>
  <c r="R25" i="7"/>
  <c r="S12" i="7"/>
  <c r="T12" i="7"/>
  <c r="U56" i="7"/>
  <c r="V56" i="7"/>
  <c r="O44" i="7"/>
  <c r="N44" i="7"/>
  <c r="P44" i="7"/>
  <c r="T31" i="7"/>
  <c r="S31" i="7"/>
  <c r="Q12" i="7"/>
  <c r="R12" i="7"/>
  <c r="Q53" i="7"/>
  <c r="R53" i="7"/>
  <c r="U40" i="7"/>
  <c r="V40" i="7"/>
  <c r="P28" i="7"/>
  <c r="N28" i="7"/>
  <c r="O28" i="7"/>
  <c r="S62" i="7"/>
  <c r="T62" i="7"/>
  <c r="L50" i="7"/>
  <c r="M50" i="7"/>
  <c r="K50" i="7"/>
  <c r="Q37" i="7"/>
  <c r="R37" i="7"/>
  <c r="U24" i="7"/>
  <c r="V24" i="7"/>
  <c r="K12" i="7"/>
  <c r="L12" i="7"/>
  <c r="M12" i="7"/>
  <c r="P56" i="7"/>
  <c r="O56" i="7"/>
  <c r="N56" i="7"/>
  <c r="T43" i="7"/>
  <c r="S43" i="7"/>
  <c r="K31" i="7"/>
  <c r="M31" i="7"/>
  <c r="L31" i="7"/>
  <c r="O18" i="7"/>
  <c r="P18" i="7"/>
  <c r="N18" i="7"/>
  <c r="O59" i="7"/>
  <c r="P59" i="7"/>
  <c r="N59" i="7"/>
  <c r="T46" i="7"/>
  <c r="S46" i="7"/>
  <c r="V33" i="7"/>
  <c r="U33" i="7"/>
  <c r="N21" i="7"/>
  <c r="P21" i="7"/>
  <c r="O21" i="7"/>
  <c r="V55" i="7"/>
  <c r="U55" i="7"/>
  <c r="N43" i="7"/>
  <c r="P43" i="7"/>
  <c r="O43" i="7"/>
  <c r="S30" i="7"/>
  <c r="T30" i="7"/>
  <c r="V17" i="7"/>
  <c r="U17" i="7"/>
  <c r="L54" i="7"/>
  <c r="M54" i="7"/>
  <c r="K54" i="7"/>
  <c r="U39" i="7"/>
  <c r="V39" i="7"/>
  <c r="P27" i="7"/>
  <c r="N27" i="7"/>
  <c r="O27" i="7"/>
  <c r="Q14" i="7"/>
  <c r="R14" i="7"/>
  <c r="U11" i="7"/>
  <c r="V11" i="7"/>
  <c r="N17" i="7"/>
  <c r="P17" i="7"/>
  <c r="O17" i="7"/>
  <c r="Z11" i="7"/>
  <c r="Z39" i="7"/>
  <c r="Z37" i="7"/>
  <c r="Z54" i="7"/>
  <c r="Z50" i="7"/>
  <c r="Z59" i="7"/>
  <c r="Z43" i="7"/>
  <c r="Z46" i="7"/>
  <c r="Z32" i="7"/>
  <c r="Z42" i="7"/>
  <c r="Z48" i="7"/>
  <c r="Z41" i="7"/>
  <c r="Z60" i="7"/>
  <c r="Z45" i="7"/>
  <c r="Z49" i="7"/>
  <c r="Z40" i="7"/>
  <c r="Z57" i="7"/>
  <c r="Z38" i="7"/>
  <c r="Z35" i="7"/>
  <c r="Z29" i="7"/>
  <c r="Z58" i="7"/>
  <c r="Z19" i="7"/>
  <c r="Z47" i="7"/>
  <c r="Z61" i="7"/>
  <c r="Z25" i="7"/>
  <c r="Z34" i="7"/>
  <c r="Z16" i="7"/>
  <c r="Z44" i="7"/>
  <c r="Z36" i="7"/>
  <c r="Z26" i="7"/>
  <c r="Z33" i="7"/>
  <c r="Z14" i="7"/>
  <c r="Z23" i="7"/>
  <c r="Z22" i="7"/>
  <c r="Z20" i="7"/>
  <c r="Z21" i="7"/>
  <c r="Z15" i="7"/>
  <c r="Z30" i="7"/>
  <c r="Z52" i="7"/>
  <c r="Z55" i="7"/>
  <c r="Z62" i="7"/>
  <c r="L22" i="4"/>
  <c r="L20" i="4"/>
  <c r="L42" i="4"/>
  <c r="L10" i="4"/>
  <c r="L32" i="4"/>
  <c r="L44" i="4"/>
  <c r="L27" i="4"/>
  <c r="L43" i="4"/>
  <c r="L51" i="4"/>
  <c r="L31" i="4"/>
  <c r="L49" i="4"/>
  <c r="L17" i="4"/>
  <c r="L21" i="4"/>
  <c r="L24" i="4"/>
  <c r="L34" i="4"/>
  <c r="L46" i="4"/>
  <c r="L29" i="4"/>
  <c r="L45" i="4"/>
  <c r="L53" i="4"/>
  <c r="L47" i="4"/>
  <c r="L14" i="4"/>
  <c r="L26" i="4"/>
  <c r="L52" i="4"/>
  <c r="L19" i="4"/>
  <c r="L12" i="4"/>
  <c r="L11" i="4"/>
  <c r="L23" i="4"/>
  <c r="L28" i="4"/>
  <c r="L38" i="4"/>
  <c r="L54" i="4"/>
  <c r="L35" i="4"/>
  <c r="L48" i="4"/>
  <c r="L55" i="4"/>
  <c r="L9" i="4"/>
  <c r="L16" i="4"/>
  <c r="L36" i="4"/>
  <c r="L18" i="4"/>
  <c r="L30" i="4"/>
  <c r="L40" i="4"/>
  <c r="L56" i="4"/>
  <c r="L25" i="4"/>
  <c r="L39" i="4"/>
  <c r="L50" i="4"/>
  <c r="L15" i="4"/>
  <c r="L33" i="4"/>
  <c r="L41" i="4"/>
  <c r="L37" i="4"/>
  <c r="L13" i="4"/>
  <c r="Z17" i="7" l="1"/>
  <c r="Z31" i="7"/>
  <c r="Z27" i="7"/>
  <c r="Z18" i="7"/>
  <c r="Z12" i="7"/>
  <c r="M33" i="4"/>
  <c r="M41" i="4"/>
  <c r="M39" i="4"/>
  <c r="M56" i="4"/>
  <c r="M18" i="4"/>
  <c r="M36" i="4"/>
  <c r="M55" i="4"/>
  <c r="M28" i="4"/>
  <c r="M19" i="4"/>
  <c r="M45" i="4"/>
  <c r="M46" i="4"/>
  <c r="M17" i="4"/>
  <c r="M43" i="4"/>
  <c r="M50" i="4"/>
  <c r="M38" i="4"/>
  <c r="M12" i="4"/>
  <c r="M14" i="4"/>
  <c r="M53" i="4"/>
  <c r="M21" i="4"/>
  <c r="M32" i="4"/>
  <c r="M37" i="4"/>
  <c r="M25" i="4"/>
  <c r="M16" i="4"/>
  <c r="M48" i="4"/>
  <c r="M54" i="4"/>
  <c r="M23" i="4"/>
  <c r="M52" i="4"/>
  <c r="M47" i="4"/>
  <c r="M29" i="4"/>
  <c r="M34" i="4"/>
  <c r="M27" i="4"/>
  <c r="M42" i="4"/>
  <c r="M30" i="4"/>
  <c r="M51" i="4"/>
  <c r="M13" i="4"/>
  <c r="M15" i="4"/>
  <c r="M40" i="4"/>
  <c r="M9" i="4"/>
  <c r="M35" i="4"/>
  <c r="M11" i="4"/>
  <c r="M26" i="4"/>
  <c r="M24" i="4"/>
  <c r="M49" i="4"/>
  <c r="M31" i="4"/>
  <c r="M44" i="4"/>
  <c r="M10" i="4"/>
  <c r="M20" i="4"/>
  <c r="M22" i="4"/>
</calcChain>
</file>

<file path=xl/sharedStrings.xml><?xml version="1.0" encoding="utf-8"?>
<sst xmlns="http://schemas.openxmlformats.org/spreadsheetml/2006/main" count="8269" uniqueCount="1578">
  <si>
    <t>TABELA</t>
  </si>
  <si>
    <t>Tabela Simulada</t>
  </si>
  <si>
    <t>TABELA_SIMUL</t>
  </si>
  <si>
    <t>TIPOLOGIA_TESTE</t>
  </si>
  <si>
    <t>Caracteres Especiais</t>
  </si>
  <si>
    <t>Coerência</t>
  </si>
  <si>
    <t>CAMPO</t>
  </si>
  <si>
    <t>TABELA_LT_PILAR3</t>
  </si>
  <si>
    <t>UNIVERSO_PILAR3</t>
  </si>
  <si>
    <t>UNIVERSO_SIMUL</t>
  </si>
  <si>
    <t>CRUZAMENTO</t>
  </si>
  <si>
    <t>Instrument</t>
  </si>
  <si>
    <t>Projeto</t>
  </si>
  <si>
    <t>Âmbito</t>
  </si>
  <si>
    <t>nome_perimetro</t>
  </si>
  <si>
    <t xml:space="preserve">1.1.  Verificar a especificação do campo em análise. Se aplicável, verificar se é necessário reportar valor para ajustes. </t>
  </si>
  <si>
    <t>1.2.  Montar a simulação do campo tendo atenção aos seguintes pormenores:</t>
  </si>
  <si>
    <t xml:space="preserve">a) Não vamos fazer JOIN com a tabela de parametrização (LT803). Em alternativa, montamos um CASE WHEN ou importamos a parametrização. </t>
  </si>
  <si>
    <t>b) Para operações de ajustes verificar se o campo deve reportar valor.</t>
  </si>
  <si>
    <t>c) Se for necessário aplicar algum filtro (ou tratamento) que não está na especificação deixar um comentário no código.</t>
  </si>
  <si>
    <t>d) Garantir que não existem duplicados e deixar no código o número de registos de cada LEFT JOIN.</t>
  </si>
  <si>
    <t>segmento</t>
  </si>
  <si>
    <t>entidade</t>
  </si>
  <si>
    <t>lt002_instrument</t>
  </si>
  <si>
    <t>lt003_entity</t>
  </si>
  <si>
    <t>entty_id</t>
  </si>
  <si>
    <t>lt005_instr_ent</t>
  </si>
  <si>
    <t>instrmnt_id</t>
  </si>
  <si>
    <t>lt006_instr_prot</t>
  </si>
  <si>
    <t>prtctn_id</t>
  </si>
  <si>
    <t>lt004_protection</t>
  </si>
  <si>
    <t>Tabela Loan Tape Pilar 3</t>
  </si>
  <si>
    <t>Nome da Tabela</t>
  </si>
  <si>
    <t>Chave 1</t>
  </si>
  <si>
    <t>Chave 2</t>
  </si>
  <si>
    <t>Filtro Loan Tape Pilar 3</t>
  </si>
  <si>
    <t>bu_loantape_work</t>
  </si>
  <si>
    <t>ESTR</t>
  </si>
  <si>
    <t>PILAR3</t>
  </si>
  <si>
    <t>00100</t>
  </si>
  <si>
    <t/>
  </si>
  <si>
    <t>FORMATO CAMPO</t>
  </si>
  <si>
    <t>REF_DATE</t>
  </si>
  <si>
    <t>NUM_REG_DIF</t>
  </si>
  <si>
    <t>HTIMEST</t>
  </si>
  <si>
    <t>ID_EXEC</t>
  </si>
  <si>
    <t>NUM_REG</t>
  </si>
  <si>
    <t>TABELA_LT</t>
  </si>
  <si>
    <t>Tabela</t>
  </si>
  <si>
    <t>Campo</t>
  </si>
  <si>
    <t>VALOR_MIN</t>
  </si>
  <si>
    <t>VALOR_MAX</t>
  </si>
  <si>
    <t>1. Erros de Coerência (#)</t>
  </si>
  <si>
    <t>2. Erros de Valores Admitidos (#)</t>
  </si>
  <si>
    <t>3. Erros de Caract. Especiais (#)</t>
  </si>
  <si>
    <t>Testes Corridos (#)</t>
  </si>
  <si>
    <t>ID Exec. 1.</t>
  </si>
  <si>
    <t>ID Exec. 2</t>
  </si>
  <si>
    <t>ID Exec. 3.</t>
  </si>
  <si>
    <t>ID Exec. 4.</t>
  </si>
  <si>
    <t>ID Exec. 5.</t>
  </si>
  <si>
    <t>Comentário</t>
  </si>
  <si>
    <t>Status</t>
  </si>
  <si>
    <t>Validade</t>
  </si>
  <si>
    <t>4. Registos com Missing (#)</t>
  </si>
  <si>
    <t>5. Registos com N/A (#)</t>
  </si>
  <si>
    <t>6. Valor Mínimo</t>
  </si>
  <si>
    <t>7. Valor Máximo</t>
  </si>
  <si>
    <r>
      <t>1.</t>
    </r>
    <r>
      <rPr>
        <b/>
        <i/>
        <sz val="11"/>
        <color rgb="FFFF0000"/>
        <rFont val="Arial"/>
        <family val="2"/>
      </rPr>
      <t xml:space="preserve"> Status</t>
    </r>
    <r>
      <rPr>
        <b/>
        <sz val="11"/>
        <color rgb="FFFF0000"/>
        <rFont val="Arial"/>
        <family val="2"/>
      </rPr>
      <t xml:space="preserve"> dos Testes</t>
    </r>
  </si>
  <si>
    <r>
      <t xml:space="preserve">2. </t>
    </r>
    <r>
      <rPr>
        <b/>
        <i/>
        <sz val="11"/>
        <color rgb="FFFF0000"/>
        <rFont val="Arial"/>
        <family val="2"/>
      </rPr>
      <t>Script</t>
    </r>
    <r>
      <rPr>
        <b/>
        <sz val="11"/>
        <color rgb="FFFF0000"/>
        <rFont val="Arial"/>
        <family val="2"/>
      </rPr>
      <t xml:space="preserve"> de Controlos</t>
    </r>
  </si>
  <si>
    <t>3. Resultados dos controlos 1 a 5</t>
  </si>
  <si>
    <t>3. Resultados dos controlos 6 a 7</t>
  </si>
  <si>
    <t>QUERY 1</t>
  </si>
  <si>
    <t>UNION ALL</t>
  </si>
  <si>
    <r>
      <t xml:space="preserve">1. Atualizar o </t>
    </r>
    <r>
      <rPr>
        <b/>
        <i/>
        <sz val="11"/>
        <color theme="1"/>
        <rFont val="Neo sans"/>
      </rPr>
      <t>script</t>
    </r>
    <r>
      <rPr>
        <b/>
        <sz val="11"/>
        <color theme="1"/>
        <rFont val="Neo sans"/>
      </rPr>
      <t xml:space="preserve"> de simulação com o campo em análise.</t>
    </r>
  </si>
  <si>
    <r>
      <t xml:space="preserve">2. Executar no HUE (em HIVE) o CREATE TABLE do </t>
    </r>
    <r>
      <rPr>
        <b/>
        <i/>
        <sz val="11"/>
        <color theme="1"/>
        <rFont val="Neo sans"/>
      </rPr>
      <t>script</t>
    </r>
    <r>
      <rPr>
        <b/>
        <sz val="11"/>
        <color theme="1"/>
        <rFont val="Neo sans"/>
      </rPr>
      <t xml:space="preserve"> de simulação.</t>
    </r>
  </si>
  <si>
    <r>
      <t xml:space="preserve">3. Executar no HUE o </t>
    </r>
    <r>
      <rPr>
        <b/>
        <i/>
        <sz val="11"/>
        <color theme="1"/>
        <rFont val="Neo sans"/>
      </rPr>
      <t xml:space="preserve">script </t>
    </r>
    <r>
      <rPr>
        <b/>
        <sz val="11"/>
        <color theme="1"/>
        <rFont val="Neo sans"/>
      </rPr>
      <t>de controlo de universo.</t>
    </r>
  </si>
  <si>
    <r>
      <t xml:space="preserve">4. Verificar com IT o nome da tabela a testar e filtros. Caso seja necessário, atualizar as tabelas </t>
    </r>
    <r>
      <rPr>
        <b/>
        <i/>
        <sz val="11"/>
        <color theme="1"/>
        <rFont val="Neo sans"/>
      </rPr>
      <t>infra</t>
    </r>
    <r>
      <rPr>
        <b/>
        <sz val="11"/>
        <color theme="1"/>
        <rFont val="Neo sans"/>
      </rPr>
      <t>:</t>
    </r>
  </si>
  <si>
    <t>6. XXX</t>
  </si>
  <si>
    <t>7. XXX</t>
  </si>
  <si>
    <t>Protection</t>
  </si>
  <si>
    <t>Entity</t>
  </si>
  <si>
    <t>0. Instruções</t>
  </si>
  <si>
    <t>Missings</t>
  </si>
  <si>
    <t>Not applicable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</si>
  <si>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</si>
  <si>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</si>
  <si>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</si>
  <si>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</si>
  <si>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</si>
  <si>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</si>
  <si>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</si>
  <si>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</si>
  <si>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</si>
  <si>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</si>
  <si>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</si>
  <si>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</si>
  <si>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</si>
  <si>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</si>
  <si>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</si>
  <si>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</si>
  <si>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</si>
  <si>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IDCMB</t>
  </si>
  <si>
    <t>ISIN</t>
  </si>
  <si>
    <t>CNTRY</t>
  </si>
  <si>
    <t>LEI</t>
  </si>
  <si>
    <t>ECNMC_ACTVTY</t>
  </si>
  <si>
    <t>GRP_EQTY</t>
  </si>
  <si>
    <t>ANNL_TRNVR_LE</t>
  </si>
  <si>
    <t>EQTY</t>
  </si>
  <si>
    <t>GRP_TTL_DBT</t>
  </si>
  <si>
    <t>TTL_DBT</t>
  </si>
  <si>
    <t>RL_ESTT_CLLTRL_LCTN</t>
  </si>
  <si>
    <t>RL_ESTT_PST_CD</t>
  </si>
  <si>
    <t>TYP_PRTCTN</t>
  </si>
  <si>
    <t>ORGNL_PRTCTN_VL</t>
  </si>
  <si>
    <t>PRTCTN_VL</t>
  </si>
  <si>
    <t>INSTRUMENT</t>
  </si>
  <si>
    <t>ENTITY</t>
  </si>
  <si>
    <t>PROTECTION</t>
  </si>
  <si>
    <t>VALORES CODE LIST</t>
  </si>
  <si>
    <t>Número de Registos ID1. (#)</t>
  </si>
  <si>
    <t>Número de Registos ID2&amp;9 (#)</t>
  </si>
  <si>
    <t>Auxiliar</t>
  </si>
  <si>
    <t xml:space="preserve">a) O número de registos em comum tem de ser igual ao número de registos do teste de coerência. Caso tenhamos registos que não são comuns é necessário ver exemplos para ver o que está a acontecer. </t>
  </si>
  <si>
    <t>5. Executar no HUE a bateria de testes da sheet 2. Script para o campo em análise</t>
  </si>
  <si>
    <t>a) Analisar resultados. Caso no teste de coerência conste diferenças é necessário ver exemplos. Deixo abaixo uma query de exemplo:</t>
  </si>
  <si>
    <t>SELECT *</t>
  </si>
  <si>
    <t>FROM</t>
  </si>
  <si>
    <t xml:space="preserve">  (SELECT instrmnt_id,</t>
  </si>
  <si>
    <t xml:space="preserve">          LNS_CLLTRLZD_CLSSFCTN</t>
  </si>
  <si>
    <t xml:space="preserve">   FROM BU_LOANTAPE_WORK.LT002_INSTRUMENT</t>
  </si>
  <si>
    <t xml:space="preserve">   WHERE ref_date='${ref_date}'</t>
  </si>
  <si>
    <t xml:space="preserve">     AND nome_perimetro='Individual Corporativo'</t>
  </si>
  <si>
    <t xml:space="preserve">     AND segmento='ESTR'</t>
  </si>
  <si>
    <t xml:space="preserve">     AND ambito='PILAR3')X</t>
  </si>
  <si>
    <t>INNER JOIN</t>
  </si>
  <si>
    <t xml:space="preserve">  (SELECT instrmnt_id AS instrmnt_id_SIMUL,</t>
  </si>
  <si>
    <t xml:space="preserve">          LNS_CLLTRLZD_CLSSFCTN AS LNS_CLLTRLZD_CLSSFCTN_SIMUL</t>
  </si>
  <si>
    <t xml:space="preserve">   FROM BU_LOANTAPE_WORK.LT002_INSTRUMENT_P3_JUN24)Y ON X.INSTRMNT_ID=Y.INSTRMNT_ID_SIMUL</t>
  </si>
  <si>
    <t>WHERE COALESCE(CAST(X.LNS_CLLTRLZD_CLSSFCTN AS STRING),'')&lt;&gt;COALESCE(CAST(Y.LNS_CLLTRLZD_CLSSFCTN_SIMUL AS STRING),'')</t>
  </si>
  <si>
    <t>4. Incidências pendentes</t>
  </si>
  <si>
    <t>STATUS</t>
  </si>
  <si>
    <t>chave_bem</t>
  </si>
  <si>
    <t>Aberto</t>
  </si>
  <si>
    <t>1</t>
  </si>
  <si>
    <t>lt007_instr_activity</t>
  </si>
  <si>
    <t>origem_scp1_emss</t>
  </si>
  <si>
    <t>origem_scp2_emss</t>
  </si>
  <si>
    <t>origem_scp3_emss</t>
  </si>
  <si>
    <t>scp1_emss</t>
  </si>
  <si>
    <t>scp2_emss</t>
  </si>
  <si>
    <t>unidade_funcional_scp1_emss</t>
  </si>
  <si>
    <t>unidade_funcional_scp2_emss</t>
  </si>
  <si>
    <t>unidade_funcional_scp3_emss</t>
  </si>
  <si>
    <t>net_floor_area</t>
  </si>
  <si>
    <t>epc</t>
  </si>
  <si>
    <t>actual_value_ind</t>
  </si>
  <si>
    <t>property_purpose_code</t>
  </si>
  <si>
    <t>valor_original</t>
  </si>
  <si>
    <t>tipo_finalidade_bem</t>
  </si>
  <si>
    <t>tipo_finalidade_bem_2</t>
  </si>
  <si>
    <t>nome_pais</t>
  </si>
  <si>
    <t>nome_estado</t>
  </si>
  <si>
    <t>tipo_bem</t>
  </si>
  <si>
    <t>nome_unidade_funcional</t>
  </si>
  <si>
    <t>unidade_funcional</t>
  </si>
  <si>
    <t>nome_fator_emissao</t>
  </si>
  <si>
    <t>unidade_fator_de_emissao</t>
  </si>
  <si>
    <t>scp1_ftr_emss</t>
  </si>
  <si>
    <t>scp2_ftr_emss</t>
  </si>
  <si>
    <t>score_qualidade</t>
  </si>
  <si>
    <t>classe_ativo</t>
  </si>
  <si>
    <t>tipo_fator_emissao</t>
  </si>
  <si>
    <t>regiao</t>
  </si>
  <si>
    <t>ano_fator_emissao</t>
  </si>
  <si>
    <t>ckutulmo</t>
  </si>
  <si>
    <t>htimest</t>
  </si>
  <si>
    <t>ref_date</t>
  </si>
  <si>
    <t>cod_visao</t>
  </si>
  <si>
    <t>epc_aux</t>
  </si>
  <si>
    <t>tipo_finalidade_bem_aux</t>
  </si>
  <si>
    <t>row_1</t>
  </si>
  <si>
    <t>chave_respons</t>
  </si>
  <si>
    <t>num_bens</t>
  </si>
  <si>
    <t>Fechado</t>
  </si>
  <si>
    <t>MODESG_OUT_BENS_IMOVEIS</t>
  </si>
  <si>
    <t>15/11: Incoerência de metodologia para o EPC G. No entanto para este tipo de finalidade (Residential total) é possível cruzar em função do tratamento do upper.</t>
  </si>
  <si>
    <t>31003014433390000000000000000000</t>
  </si>
  <si>
    <t>NULL</t>
  </si>
  <si>
    <t>68.00</t>
  </si>
  <si>
    <t>G</t>
  </si>
  <si>
    <t>1-REAL</t>
  </si>
  <si>
    <t>01</t>
  </si>
  <si>
    <t>1_01</t>
  </si>
  <si>
    <t>RESIDENTIAL TOTAL</t>
  </si>
  <si>
    <t>NON-RESIDENTIAL BUILDINGS</t>
  </si>
  <si>
    <t>31000309714436096000000000000000</t>
  </si>
  <si>
    <t>31003018083200000000000000000000</t>
  </si>
  <si>
    <t>99.00</t>
  </si>
  <si>
    <t>31000317146357096000000000000000</t>
  </si>
  <si>
    <t>31003014215320000000000000000000</t>
  </si>
  <si>
    <t>178.00</t>
  </si>
  <si>
    <t>31000308290768096000000000000000</t>
  </si>
  <si>
    <t>31003014123740000000000000000000</t>
  </si>
  <si>
    <t>84.00</t>
  </si>
  <si>
    <t>31000307652802096000000000000000</t>
  </si>
  <si>
    <t>31003015235300000000000000000000</t>
  </si>
  <si>
    <t>31000310720455096000000000000000</t>
  </si>
  <si>
    <t>31003015839710001000000000000000</t>
  </si>
  <si>
    <t>31000312087473096000000000000000</t>
  </si>
  <si>
    <t>31003014670500000000000000000000</t>
  </si>
  <si>
    <t>274.00</t>
  </si>
  <si>
    <t>31000310538923096000000000000000</t>
  </si>
  <si>
    <t>31003016991750000000000000000000</t>
  </si>
  <si>
    <t>100.00</t>
  </si>
  <si>
    <t>31000314240625096000000000000000</t>
  </si>
  <si>
    <t>31003012067010000000000000000000</t>
  </si>
  <si>
    <t>304.00</t>
  </si>
  <si>
    <t>31000301922631096000000000000000</t>
  </si>
  <si>
    <t>31003015538320000000000000000000</t>
  </si>
  <si>
    <t>153.00</t>
  </si>
  <si>
    <t>31000311367462096000000000000000</t>
  </si>
  <si>
    <t>31063416067640000000000000000000</t>
  </si>
  <si>
    <t>494.00</t>
  </si>
  <si>
    <t>31000601257262096000000000000000</t>
  </si>
  <si>
    <t>31003017022440000000000000000000</t>
  </si>
  <si>
    <t>105.00</t>
  </si>
  <si>
    <t>31000314008618096000000000000000</t>
  </si>
  <si>
    <t>31003015771890000000000000000000</t>
  </si>
  <si>
    <t>90.00</t>
  </si>
  <si>
    <t>31000311926077096000000000000000</t>
  </si>
  <si>
    <t>31003016189540000000000000000000</t>
  </si>
  <si>
    <t>160.00</t>
  </si>
  <si>
    <t>31000312773312096000000000000000</t>
  </si>
  <si>
    <t>31003012707370001000000000000000</t>
  </si>
  <si>
    <t>31000303062246096000000000000000</t>
  </si>
  <si>
    <t>31063015958320000000000000000000</t>
  </si>
  <si>
    <t>116.00</t>
  </si>
  <si>
    <t>31000600305088096000000000000000</t>
  </si>
  <si>
    <t>15/11: Incoerência de metodologia para o EPC G. Para este tipo de finalidade não é possível cruzar (o tratamento do upper não é suficiente para esta limitação).</t>
  </si>
  <si>
    <t>31084015188700000000000000000000</t>
  </si>
  <si>
    <t>77.00</t>
  </si>
  <si>
    <t>02</t>
  </si>
  <si>
    <t>1_02</t>
  </si>
  <si>
    <t>RETAIL - HIGH STREET</t>
  </si>
  <si>
    <t>31084015177880000000000000000000</t>
  </si>
  <si>
    <t>22.00</t>
  </si>
  <si>
    <t>31003015636000001000000000000000</t>
  </si>
  <si>
    <t>73.00</t>
  </si>
  <si>
    <t>08</t>
  </si>
  <si>
    <t>1_08</t>
  </si>
  <si>
    <t>NON-RESIDENTIAL TOTAL</t>
  </si>
  <si>
    <t>31003215729440000000000000000000</t>
  </si>
  <si>
    <t>2423.00</t>
  </si>
  <si>
    <t>1_04</t>
  </si>
  <si>
    <t>RETAIL - WAREHOUSE</t>
  </si>
  <si>
    <t>chave_bem_simul</t>
  </si>
  <si>
    <t>origem_scp1_emss_simul</t>
  </si>
  <si>
    <t>MODESG_OUT_EMSS_VCLS</t>
  </si>
  <si>
    <t>26/11: Incoerência entre origem de scope 1 e origem de scope 2</t>
  </si>
  <si>
    <t>89000000005111415000000000000001</t>
  </si>
  <si>
    <t>MVL_DQS4_3A</t>
  </si>
  <si>
    <t>405.0414520000</t>
  </si>
  <si>
    <t>405.04145176226452906275</t>
  </si>
  <si>
    <t>26/11: Incoerência entre origem reportada por IT e método de cálculo</t>
  </si>
  <si>
    <t>89000000005116456000000000000001</t>
  </si>
  <si>
    <t>MVL_DQS5_3B</t>
  </si>
  <si>
    <t>2321.4717340000</t>
  </si>
  <si>
    <t>17.5112080000</t>
  </si>
  <si>
    <t>2321.47173306560000000000</t>
  </si>
  <si>
    <t>17.51120769560000000000</t>
  </si>
  <si>
    <t>26/11: IT não reporta valor</t>
  </si>
  <si>
    <t>89000000008041032000000000000001</t>
  </si>
  <si>
    <t>1291.46905618188799808115</t>
  </si>
  <si>
    <t>43.28045253509438002635</t>
  </si>
  <si>
    <r>
      <t xml:space="preserve">Schema </t>
    </r>
    <r>
      <rPr>
        <b/>
        <sz val="11"/>
        <color theme="1"/>
        <rFont val="Neo sans"/>
      </rPr>
      <t>Loan Tape Pilar 3</t>
    </r>
  </si>
  <si>
    <r>
      <t xml:space="preserve">Schema </t>
    </r>
    <r>
      <rPr>
        <b/>
        <sz val="11"/>
        <color theme="1"/>
        <rFont val="Neo sans"/>
      </rPr>
      <t>Simulada</t>
    </r>
  </si>
  <si>
    <t>Filtros</t>
  </si>
  <si>
    <t>tipologia_teste</t>
  </si>
  <si>
    <t>tabela</t>
  </si>
  <si>
    <t>campo</t>
  </si>
  <si>
    <t>num_reg_dif</t>
  </si>
  <si>
    <t>Validação de campos</t>
  </si>
  <si>
    <t>lt003_entity_srb</t>
  </si>
  <si>
    <t>cr_flg</t>
  </si>
  <si>
    <t>Dependentes de campos com nova especificação - PRFRMNG_STTS_PRVS</t>
  </si>
  <si>
    <t>dt_prfrmng_stts_le</t>
  </si>
  <si>
    <t>Dependentes de campos com nova especificação - DT_PRFRMNG_STTS</t>
  </si>
  <si>
    <t>lt005_instr_ent_srb</t>
  </si>
  <si>
    <t>mn_entty_id</t>
  </si>
  <si>
    <t>CORREÇÃO DE IT</t>
  </si>
  <si>
    <t>lt002_instrument_srb</t>
  </si>
  <si>
    <t>dpd_12m_prfrmng_stts</t>
  </si>
  <si>
    <t>CAMPO COM NOVA ESPECIFICAÇÃO</t>
  </si>
  <si>
    <t>dpd_24m_prfrmng_stts</t>
  </si>
  <si>
    <t>dpd_prfrmng_stts</t>
  </si>
  <si>
    <t>ifrs9_bhvrl_mtrty</t>
  </si>
  <si>
    <t>dt_imprmnt_stts</t>
  </si>
  <si>
    <t>dt_imprmnt_stts_prvs</t>
  </si>
  <si>
    <t>dt_prfrmng_stts</t>
  </si>
  <si>
    <t>dt_prfrmng_stts_prvs</t>
  </si>
  <si>
    <t>frbrnc_stts_instrmnt</t>
  </si>
  <si>
    <t>CAMPO COM INCIDÊNCIAS</t>
  </si>
  <si>
    <t>imprmnt_stts_prvs</t>
  </si>
  <si>
    <t>off_blnc_sht_amnt_instrmnt_prvs</t>
  </si>
  <si>
    <t>prfrmng_stts_prvs</t>
  </si>
  <si>
    <t>rfnnc_prps</t>
  </si>
  <si>
    <t>DEPENDE DO FRBRNC_STTS_INSTRMNT</t>
  </si>
  <si>
    <t>Filtro Simulada</t>
  </si>
  <si>
    <t>INSTR_ENTITY</t>
  </si>
  <si>
    <t>INSTR_PROTECTION</t>
  </si>
  <si>
    <t>INSTR_ACTIVITY</t>
  </si>
  <si>
    <t>DT_BRTH</t>
  </si>
  <si>
    <t>DT_DFLT_STTS</t>
  </si>
  <si>
    <t>DT_FNNCL_STTMTS</t>
  </si>
  <si>
    <t>DT_FNNCL_STTMTS_PRVS</t>
  </si>
  <si>
    <t>DT_INTTN_LGL_PRCDNGS_LE</t>
  </si>
  <si>
    <t>DT_PRFRMNG_STTS_LE</t>
  </si>
  <si>
    <t>GCC_PRNT_ID</t>
  </si>
  <si>
    <t>GCC_PRNT_NM</t>
  </si>
  <si>
    <t>INTRNL_SGMNT</t>
  </si>
  <si>
    <t>INTRNL_UNT</t>
  </si>
  <si>
    <t>ENTTY_NM</t>
  </si>
  <si>
    <t>EXTRNL_RTNG_NM</t>
  </si>
  <si>
    <t>ACCNTNG_FRMWRK_SL</t>
  </si>
  <si>
    <t>CR_FLG</t>
  </si>
  <si>
    <t>DCSD</t>
  </si>
  <si>
    <t>DFLT_STTS</t>
  </si>
  <si>
    <t>DT_EXTRNL_RTNG</t>
  </si>
  <si>
    <t>DT_INTRNL_RTNG</t>
  </si>
  <si>
    <t>EMPLYMNT_STTS_INTRNL</t>
  </si>
  <si>
    <t>EMPLYMNT_STTS</t>
  </si>
  <si>
    <t>ENTRPRS_SZ_LE</t>
  </si>
  <si>
    <t>EXTRNL_RTNG</t>
  </si>
  <si>
    <t>EXTRNL_RTNG_PRVS</t>
  </si>
  <si>
    <t>FLG_BNKRPTCY_IN_GRP</t>
  </si>
  <si>
    <t>FLG_HGH_CDS</t>
  </si>
  <si>
    <t>FLG_ISDA_CRDT_EVNT</t>
  </si>
  <si>
    <t>FLG_NN_ACCRL</t>
  </si>
  <si>
    <t>FLG_RQST_BNKRPTCY</t>
  </si>
  <si>
    <t>FLG_RQST_DSTRSSD_RSTRCTRNG</t>
  </si>
  <si>
    <t>FLG_RQST_EMRGNCY_FNDNG</t>
  </si>
  <si>
    <t>FLG_SLL_WTH_LSS</t>
  </si>
  <si>
    <t>INCM_SC</t>
  </si>
  <si>
    <t>INTRNL_RTNG</t>
  </si>
  <si>
    <t>INTRNL_RTNG_PRVS</t>
  </si>
  <si>
    <t>LGL_PRCDNG_STTS_LE</t>
  </si>
  <si>
    <t>OWND_BY_SPNSR</t>
  </si>
  <si>
    <t>PRFRMNG_STTS_LE</t>
  </si>
  <si>
    <t>RTNG_MTHD</t>
  </si>
  <si>
    <t>RTNG_SCL</t>
  </si>
  <si>
    <t>WTCH_LST</t>
  </si>
  <si>
    <t>SNGL_PRPS_VHCL</t>
  </si>
  <si>
    <t>GRP_EBITDA</t>
  </si>
  <si>
    <t>GRP_NT_DBT</t>
  </si>
  <si>
    <t>ANNL_TRNVR_PRVS</t>
  </si>
  <si>
    <t>CAPEX</t>
  </si>
  <si>
    <t>CAPEX_PRVS</t>
  </si>
  <si>
    <t>CLLCTN_MD</t>
  </si>
  <si>
    <t>CSH</t>
  </si>
  <si>
    <t>CSH_PRVS</t>
  </si>
  <si>
    <t>EBITDA</t>
  </si>
  <si>
    <t>EBITDA_PRVS</t>
  </si>
  <si>
    <t>EQTY_PRVS</t>
  </si>
  <si>
    <t>GDWILL</t>
  </si>
  <si>
    <t>GDWILL_PRVS</t>
  </si>
  <si>
    <t>LTI</t>
  </si>
  <si>
    <t>LVRG</t>
  </si>
  <si>
    <t>LVRG_PRVS</t>
  </si>
  <si>
    <t>MNTHL_INCM</t>
  </si>
  <si>
    <t>MNTHL_INCM_SLR</t>
  </si>
  <si>
    <t>MNTHL_TRNVR</t>
  </si>
  <si>
    <t>NT_INCM</t>
  </si>
  <si>
    <t>NT_INCM_PRVS</t>
  </si>
  <si>
    <t>TTL_DBT_PRVS</t>
  </si>
  <si>
    <t>TTL_INTRST_PD</t>
  </si>
  <si>
    <t>TTL_LVRG_RT</t>
  </si>
  <si>
    <t>TTL_LVRG_RT_PRVS</t>
  </si>
  <si>
    <t>DBT_RPYMNT_CPCTY_SNR_DBT</t>
  </si>
  <si>
    <t>DBT_RPYMNT_CPCTY_TTL</t>
  </si>
  <si>
    <t>DBT_SRVC_RT</t>
  </si>
  <si>
    <t>DBT_SRVC_RT_12M</t>
  </si>
  <si>
    <t>PD_CRR_RD</t>
  </si>
  <si>
    <t>PD_IFRS9_12M_RD</t>
  </si>
  <si>
    <t>PD_IFRS9_12M_RD_T1</t>
  </si>
  <si>
    <t>TAX_ID</t>
  </si>
  <si>
    <t>ANNL_TRNVR_LE_BDR</t>
  </si>
  <si>
    <t>ANNL_TRNVR_PRVS_BDR</t>
  </si>
  <si>
    <t>OSI_ID</t>
  </si>
  <si>
    <t>PD_CRR_RD_T1</t>
  </si>
  <si>
    <t>EC_GRP_ID</t>
  </si>
  <si>
    <t>EC_GRP_NM</t>
  </si>
  <si>
    <t>PRSN_TYP</t>
  </si>
  <si>
    <t>FR_CSH_FLW</t>
  </si>
  <si>
    <t>FR_CSH_FLW_T1</t>
  </si>
  <si>
    <t>FR_CSH_FLW_T2</t>
  </si>
  <si>
    <t>FR_CSH_FLW_T3</t>
  </si>
  <si>
    <t>JNT_LBLTY_AMNT</t>
  </si>
  <si>
    <t>MN_ENTTY_ID</t>
  </si>
  <si>
    <t>CRE_FNRP18</t>
  </si>
  <si>
    <t>SME_FNRP18</t>
  </si>
  <si>
    <t>RRE_FNRP18</t>
  </si>
  <si>
    <t>CNSMPTN_FNRP18</t>
  </si>
  <si>
    <t>CNTRCT_ID</t>
  </si>
  <si>
    <t>CRRNCY_DNMNTN</t>
  </si>
  <si>
    <t>OBSRVD_AGNT_ID</t>
  </si>
  <si>
    <t>OBSRVD_AGNT_NM</t>
  </si>
  <si>
    <t>PRDCT</t>
  </si>
  <si>
    <t>BRCHD_CVNNTS</t>
  </si>
  <si>
    <t>CHNNL_ORGNTN</t>
  </si>
  <si>
    <t>CSH_SWP_TRP</t>
  </si>
  <si>
    <t>CVNNT_STTS</t>
  </si>
  <si>
    <t>CVNNT_TYP</t>
  </si>
  <si>
    <t>DT_DFLT_STTS_INSTRMNT</t>
  </si>
  <si>
    <t>DT_END_GP_PPAL</t>
  </si>
  <si>
    <t>DT_END_INTRST_ONLY</t>
  </si>
  <si>
    <t>DT_FRBRNC_STTS</t>
  </si>
  <si>
    <t>DT_FRBRNC_STTS_PRVS</t>
  </si>
  <si>
    <t>FRBRNC_STTS_INSTRMNT</t>
  </si>
  <si>
    <t>IMPRMNT_STTS_PRVS</t>
  </si>
  <si>
    <t>INTRNL_RTNG_INCPTN</t>
  </si>
  <si>
    <t>LCRE</t>
  </si>
  <si>
    <t>LGL_PRCDNG_STTS</t>
  </si>
  <si>
    <t>LND_DRGTN</t>
  </si>
  <si>
    <t>POCI</t>
  </si>
  <si>
    <t>PRFRMNG_STTS_PRVS</t>
  </si>
  <si>
    <t>PRPS</t>
  </si>
  <si>
    <t>PYMNT_INTRST_ONLY</t>
  </si>
  <si>
    <t>RCRS</t>
  </si>
  <si>
    <t>RFNNC_PRPS</t>
  </si>
  <si>
    <t>SPCLTV_LNDNG</t>
  </si>
  <si>
    <t>STTS_UNDRWRTTN_TRNSCTN</t>
  </si>
  <si>
    <t>TRNCH</t>
  </si>
  <si>
    <t>TYP_AMRTSTN</t>
  </si>
  <si>
    <t>TYP_INTRST_RT</t>
  </si>
  <si>
    <t>TYP_MRTGG</t>
  </si>
  <si>
    <t>TYP_CRE_OPRTN</t>
  </si>
  <si>
    <t>ACCRD_INTRST_INSTRMNT</t>
  </si>
  <si>
    <t>AMNT_D_AT_MTRTY</t>
  </si>
  <si>
    <t>CCF</t>
  </si>
  <si>
    <t>CMMTMNT_INCPTN_INSTRMNT</t>
  </si>
  <si>
    <t>CMMTMNT_INSTRMNT</t>
  </si>
  <si>
    <t>CRRYNG_AMNT_INSTRMNT</t>
  </si>
  <si>
    <t>DBT_YLD</t>
  </si>
  <si>
    <t>DT_ORGNL_MTRTY</t>
  </si>
  <si>
    <t>IFRS9_BHVRL_MTRTY</t>
  </si>
  <si>
    <t>EAD</t>
  </si>
  <si>
    <t>IFRS9_CCF</t>
  </si>
  <si>
    <t>IFRS9_EAD</t>
  </si>
  <si>
    <t>INSTLMNT_PAY</t>
  </si>
  <si>
    <t>OFF_BLNC_SHT_AMNT_INSTRMNT</t>
  </si>
  <si>
    <t>OFF_BLNC_SHT_AMNT_INSTRMNT_PRVS</t>
  </si>
  <si>
    <t>OTSTNDNG_NMNL_AMNT_INSTRMNT</t>
  </si>
  <si>
    <t>OTSTNDNG_NMNL_AMNT_INSTRMNT_PRVS</t>
  </si>
  <si>
    <t>PRVSNS_OFF_BLNC_SHT</t>
  </si>
  <si>
    <t>PYMNT_FRQNCY</t>
  </si>
  <si>
    <t>RTNTN_SHR</t>
  </si>
  <si>
    <t>RWA</t>
  </si>
  <si>
    <t>RWA_MTHD</t>
  </si>
  <si>
    <t>SPNSR_NM</t>
  </si>
  <si>
    <t>ACCMLTD_IMPRMNT_INSTRMNT_PRVS</t>
  </si>
  <si>
    <t>ACCMLTD_WRTFFS_INSTRMNT</t>
  </si>
  <si>
    <t>ARRRS_INSTRMNT</t>
  </si>
  <si>
    <t>ARRRS_INSTRMNT_12M</t>
  </si>
  <si>
    <t>CMLTV_RCVRS_SNC_DFLT_INSTRMNT</t>
  </si>
  <si>
    <t>DPD</t>
  </si>
  <si>
    <t>DPD_12M</t>
  </si>
  <si>
    <t>DPD_12M_FRBRNC_STTS</t>
  </si>
  <si>
    <t>DPD_12M_PRFRMNG_STTS</t>
  </si>
  <si>
    <t>DPD_24M_FRBRNC_STTS</t>
  </si>
  <si>
    <t>DPD_24M_PRFRMNG_STTS</t>
  </si>
  <si>
    <t>DPD_FRBRNC_STTS</t>
  </si>
  <si>
    <t>DPD_PRFRMNG_STTS</t>
  </si>
  <si>
    <t>IMPRMNT_ASSSSMNT_MTHD</t>
  </si>
  <si>
    <t>IMPRMNT_CLCLTN_MTHD</t>
  </si>
  <si>
    <t>NMBR_FRBRNC_MSRS</t>
  </si>
  <si>
    <t>IFRS9_LGD</t>
  </si>
  <si>
    <t>LGD</t>
  </si>
  <si>
    <t>LTV</t>
  </si>
  <si>
    <t>LTV_INCPTN</t>
  </si>
  <si>
    <t>LTV_NPE</t>
  </si>
  <si>
    <t>PD_CRR_INCPTN</t>
  </si>
  <si>
    <t>PD_IFRS9_12M_INCPTN</t>
  </si>
  <si>
    <t>PD_IFRS9_LFTM_INCPTN</t>
  </si>
  <si>
    <t>PD_IFRS9_RMNNG_LFTM_INCPTN</t>
  </si>
  <si>
    <t>PD_IFRS9_RMNNG_LFTM_RD</t>
  </si>
  <si>
    <t>SICR_ASSSSMNT_MTHD</t>
  </si>
  <si>
    <t>ANNLSD_AGRD_RT</t>
  </si>
  <si>
    <t>EIR</t>
  </si>
  <si>
    <t>EIR_INCPTN</t>
  </si>
  <si>
    <t>INTRST_RT_RST_FRQNCY</t>
  </si>
  <si>
    <t>RCVD_AMRTSTN_12M</t>
  </si>
  <si>
    <t>RCVD_AMRTSTN_24M</t>
  </si>
  <si>
    <t>RCVD_INTRST_12M</t>
  </si>
  <si>
    <t>RCVD_INTRST_24M</t>
  </si>
  <si>
    <t>SYNDCT_RL</t>
  </si>
  <si>
    <t>SYNDCTD_AGNT</t>
  </si>
  <si>
    <t>SYNDCTD_CNTRCT_ID</t>
  </si>
  <si>
    <t>SYNDCTD_LNDRS</t>
  </si>
  <si>
    <t>SYNDCTD_SHR</t>
  </si>
  <si>
    <t>SYNDCTN_TYP</t>
  </si>
  <si>
    <t>DT_CMPLNT_MRTR_STTS_C19</t>
  </si>
  <si>
    <t>DT_CMPLNT_MRTR_STTS_PRVS_C19</t>
  </si>
  <si>
    <t>MTRTY_LTST_MRTR_C19</t>
  </si>
  <si>
    <t>TYP_CMPLNT_MRTR_C19</t>
  </si>
  <si>
    <t>GRC_PRD_CPTL_INTRST_C19</t>
  </si>
  <si>
    <t>CMPLNT_MRTR_C19_NM</t>
  </si>
  <si>
    <t>FRBRNC_STTS_C19</t>
  </si>
  <si>
    <t>DT_FRBRNC_STTS_C19</t>
  </si>
  <si>
    <t>MTRTY_LTST_FRBRNC_MSR_C19</t>
  </si>
  <si>
    <t>DT_END_GP_PPAL_C19</t>
  </si>
  <si>
    <t>DT_END_INTRST_ONLY_C19</t>
  </si>
  <si>
    <t>SBJCT_PBLC_GRNT_SCHM_C19</t>
  </si>
  <si>
    <t>PBLC_GRNT_SCHM_C19_NM</t>
  </si>
  <si>
    <t>PMNT_PBLC_GRNT_SCHM_C19</t>
  </si>
  <si>
    <t>ASST_SCRT_CLSS</t>
  </si>
  <si>
    <t>CPN_CRRNCY</t>
  </si>
  <si>
    <t>GRNTR_ID</t>
  </si>
  <si>
    <t>GRNTR_ID_TYP</t>
  </si>
  <si>
    <t>HEDGE_ID</t>
  </si>
  <si>
    <t>INSTR_SNRTY_CLSS</t>
  </si>
  <si>
    <t>INSTRMNT_CLSS</t>
  </si>
  <si>
    <t>ISSR_ESA_2010</t>
  </si>
  <si>
    <t>ISSR_ID</t>
  </si>
  <si>
    <t>ISSR_ID_TYP</t>
  </si>
  <si>
    <t>ISSR_RTNG</t>
  </si>
  <si>
    <t>ISSR_RTNG_SRC</t>
  </si>
  <si>
    <t>ISSR_TYP</t>
  </si>
  <si>
    <t>LCR_BFFR_CTGRY</t>
  </si>
  <si>
    <t>PRCH_UNDR_RSL_AGR</t>
  </si>
  <si>
    <t>PRDNTL_PRTFL</t>
  </si>
  <si>
    <t>PRT_LCR_BFFR</t>
  </si>
  <si>
    <t>SPRD</t>
  </si>
  <si>
    <t>SRCS_ENCMBRNC</t>
  </si>
  <si>
    <t>TYPE_OF_PLCMNT</t>
  </si>
  <si>
    <t>VLTN_CRRNCY</t>
  </si>
  <si>
    <t>VLTN_TYP</t>
  </si>
  <si>
    <t>LVRG_FNNC_FLG</t>
  </si>
  <si>
    <t>INTRNL_SGMNT_IFRS9</t>
  </si>
  <si>
    <t>INTRNL_SGMNT_CAT_MSTA</t>
  </si>
  <si>
    <t>INTRNL_SGMNT_CATGSUB</t>
  </si>
  <si>
    <t>CRRLTN_CFFCNT</t>
  </si>
  <si>
    <t>ISIN_SCRTSTN</t>
  </si>
  <si>
    <t>CNTRCT_ID_BDR</t>
  </si>
  <si>
    <t>COD_SOC_INTRGRP</t>
  </si>
  <si>
    <t>LSTI</t>
  </si>
  <si>
    <t>DSTI</t>
  </si>
  <si>
    <t>LTI_INSTRMNT</t>
  </si>
  <si>
    <t>RFRNC_RT</t>
  </si>
  <si>
    <t>TYP_OFF_BLNC_PRDCT</t>
  </si>
  <si>
    <t>PRTCTN_ALLCTD_VL</t>
  </si>
  <si>
    <t>THRD_PRTY_PRRTY_CLMS</t>
  </si>
  <si>
    <t>DT_MTRTY_PRTCTN</t>
  </si>
  <si>
    <t>NTNL_ID</t>
  </si>
  <si>
    <t>PRTCTN_PRVDR_ID</t>
  </si>
  <si>
    <t>RL_ESTT_ADDRSS</t>
  </si>
  <si>
    <t>RL_ESTT_CLLTRL_LCTN_INT</t>
  </si>
  <si>
    <t>RL_ESTT_CTY</t>
  </si>
  <si>
    <t>HRCT_MV</t>
  </si>
  <si>
    <t>PRTCTN_CLLD</t>
  </si>
  <si>
    <t>TYP_PRTCTN_INTRNL</t>
  </si>
  <si>
    <t>TYP_PRTCTN_VL</t>
  </si>
  <si>
    <t>APPRSL_CRRNCY</t>
  </si>
  <si>
    <t>APPRSR</t>
  </si>
  <si>
    <t>DT_LST_FLL_APPRSL</t>
  </si>
  <si>
    <t>DT_ORGNL_PRTCTN_VL</t>
  </si>
  <si>
    <t>DT_PRTCTN_VL</t>
  </si>
  <si>
    <t>PRTCTN_FRCD_SL_VL</t>
  </si>
  <si>
    <t>PRTCTN_VL_NPE</t>
  </si>
  <si>
    <t>PRTCTN_VLTN_APPRCH</t>
  </si>
  <si>
    <t>DT_APPRSL_PRVS</t>
  </si>
  <si>
    <t>PRTCTN_VL_PRVS</t>
  </si>
  <si>
    <t>CNSTRCTN_STTS</t>
  </si>
  <si>
    <t>DT_CNSTRCTN_STTS</t>
  </si>
  <si>
    <t>DT_FRST_USG</t>
  </si>
  <si>
    <t>DVLPMNT_STTS</t>
  </si>
  <si>
    <t>MN_PRPS</t>
  </si>
  <si>
    <t>PRM_LCTN</t>
  </si>
  <si>
    <t>CRE_INCM_CRRNCY</t>
  </si>
  <si>
    <t>CRE_YRLY_EXPNSS</t>
  </si>
  <si>
    <t>CRE_YRLY_INCM</t>
  </si>
  <si>
    <t>PRTCTN_TYP_PBLC_GRNT_SCHM_C19</t>
  </si>
  <si>
    <t>YR_CNSTRCTN</t>
  </si>
  <si>
    <t>PRCNTG_ACTVTY</t>
  </si>
  <si>
    <t>CPN_RT</t>
  </si>
  <si>
    <t>DT_RFRNC</t>
  </si>
  <si>
    <t>ENTTY_ID</t>
  </si>
  <si>
    <t>INSTRMNT_ID</t>
  </si>
  <si>
    <t>PRTCTN_ID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</si>
  <si>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</si>
  <si>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</si>
  <si>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</si>
  <si>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</si>
  <si>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</si>
  <si>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</si>
  <si>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</si>
  <si>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</si>
  <si>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</si>
  <si>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</si>
  <si>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</si>
  <si>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</si>
  <si>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</si>
  <si>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</si>
  <si>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</si>
  <si>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</si>
  <si>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</si>
  <si>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</si>
  <si>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</si>
  <si>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</si>
  <si>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</si>
  <si>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</si>
  <si>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</si>
  <si>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ttl_lblty</t>
  </si>
  <si>
    <t>isin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</si>
  <si>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</si>
  <si>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</si>
  <si>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</si>
  <si>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</si>
  <si>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</si>
  <si>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</si>
  <si>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</si>
  <si>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</si>
  <si>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</si>
  <si>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</si>
  <si>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</si>
  <si>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</si>
  <si>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</si>
  <si>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</si>
  <si>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</si>
  <si>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</si>
  <si>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</si>
  <si>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</si>
  <si>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</si>
  <si>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</si>
  <si>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</si>
  <si>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</si>
  <si>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</si>
  <si>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</si>
  <si>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</si>
  <si>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dt_rfrnc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</si>
  <si>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</si>
  <si>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</si>
  <si>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</si>
  <si>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</si>
  <si>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</si>
  <si>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</si>
  <si>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</si>
  <si>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</si>
  <si>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</si>
  <si>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</si>
  <si>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</si>
  <si>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</si>
  <si>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</si>
  <si>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</si>
  <si>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</si>
  <si>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</si>
  <si>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</si>
  <si>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grss_intrst_incm</t>
  </si>
  <si>
    <t>grss_cmmssn_incm</t>
  </si>
  <si>
    <t>grss_cmmssn_incm_off_blnc</t>
  </si>
  <si>
    <t>idcmb</t>
  </si>
  <si>
    <t>cntry</t>
  </si>
  <si>
    <t>lei</t>
  </si>
  <si>
    <t>ecnmc_actvty</t>
  </si>
  <si>
    <t>grp_eqty</t>
  </si>
  <si>
    <t>annl_trnvr_le</t>
  </si>
  <si>
    <t>eqty</t>
  </si>
  <si>
    <t>grp_ttl_dbt</t>
  </si>
  <si>
    <t>ttl_dbt</t>
  </si>
  <si>
    <t>rl_estt_clltrl_lctn</t>
  </si>
  <si>
    <t>rl_estt_pst_cd</t>
  </si>
  <si>
    <t>typ_prtctn</t>
  </si>
  <si>
    <t>orgnl_prtctn_vl</t>
  </si>
  <si>
    <t>prtctn_vl</t>
  </si>
  <si>
    <t>flg_fin</t>
  </si>
  <si>
    <t>flg_exec</t>
  </si>
  <si>
    <t>flg_col</t>
  </si>
  <si>
    <t>flg_pro</t>
  </si>
  <si>
    <t>Status Atual</t>
  </si>
  <si>
    <t>Status Anterior</t>
  </si>
  <si>
    <t>Observações - Especificações</t>
  </si>
  <si>
    <t>3. Pendente de outros desenvolvimentos</t>
  </si>
  <si>
    <t>1. Concluído</t>
  </si>
  <si>
    <t>esg_sbsctr</t>
  </si>
  <si>
    <t>Package 2</t>
  </si>
  <si>
    <t>sstnbl_indctr</t>
  </si>
  <si>
    <t>4. Validação EF</t>
  </si>
  <si>
    <t>Package 5</t>
  </si>
  <si>
    <t xml:space="preserve">6. Em implementação </t>
  </si>
  <si>
    <t>7. Por iniciar</t>
  </si>
  <si>
    <t>Package 4</t>
  </si>
  <si>
    <t>Package 3</t>
  </si>
  <si>
    <t>FLG_SBSTNTL_CNTRBTN</t>
  </si>
  <si>
    <t>FLG_DNSH_CMPLNC</t>
  </si>
  <si>
    <t>DNSH_DTL</t>
  </si>
  <si>
    <t>sstnbl_ctgry</t>
  </si>
  <si>
    <t>2.2 Em especificação</t>
  </si>
  <si>
    <t>NW_BSNSS</t>
  </si>
  <si>
    <t>CNCLLD_INSTRMNT_STTS</t>
  </si>
  <si>
    <t>Package 4 --&gt; Não está especificado no LT - não conseguimos testar</t>
  </si>
  <si>
    <t>FLG_MNMM_SFGRDS</t>
  </si>
  <si>
    <t>entty_nm</t>
  </si>
  <si>
    <t>ec_grp_id</t>
  </si>
  <si>
    <t>ec_grp_nm</t>
  </si>
  <si>
    <t>grp_ecnmc_actvty</t>
  </si>
  <si>
    <t>txnmy_elgbl_capex_w</t>
  </si>
  <si>
    <t>Package 1</t>
  </si>
  <si>
    <t>txnmy_elgbl_trnvr_w</t>
  </si>
  <si>
    <t>txnmy_elgbl_capex_p</t>
  </si>
  <si>
    <t>txnmy_elgbl_trnvr_p</t>
  </si>
  <si>
    <t>txnmy_elgbl_capex_b</t>
  </si>
  <si>
    <t>txnmy_elgbl_trnvr_b</t>
  </si>
  <si>
    <t>txnmy_elgbl_capex_ce</t>
  </si>
  <si>
    <t>txnmy_elgbl_trnvr_ce</t>
  </si>
  <si>
    <t>pure_capex_p</t>
  </si>
  <si>
    <t>pure_trnvr_p</t>
  </si>
  <si>
    <t>pure_capex_b</t>
  </si>
  <si>
    <t>pure_trnvr_b</t>
  </si>
  <si>
    <t>pure_capex_w</t>
  </si>
  <si>
    <t>pure_trnvr_w</t>
  </si>
  <si>
    <t>pure_capex_ce</t>
  </si>
  <si>
    <t>pure_trnvr_ce</t>
  </si>
  <si>
    <t>enblng_capex_w</t>
  </si>
  <si>
    <t>enblng_trnvr_w</t>
  </si>
  <si>
    <t>enblng_capex_ce</t>
  </si>
  <si>
    <t>enblng_trnvr_ce</t>
  </si>
  <si>
    <t>prtctn_allctd_vl</t>
  </si>
  <si>
    <t>TYP_RLTN</t>
  </si>
  <si>
    <t>0. Cancelado</t>
  </si>
  <si>
    <t>TYP_EMSSNS_LBL</t>
  </si>
  <si>
    <t>EPC_EMSSNS_LBL</t>
  </si>
  <si>
    <t>VHCL_EMSSNS_LBL</t>
  </si>
  <si>
    <t>TYP_EMSSNS_SCR</t>
  </si>
  <si>
    <t>EPC_EMSSNS_SCR</t>
  </si>
  <si>
    <t>VHCL_EMSSNS_SCR</t>
  </si>
  <si>
    <t>INSRNC_ID</t>
  </si>
  <si>
    <t>TYP_HZRDS_INSRD</t>
  </si>
  <si>
    <t>AMNT_CVRD_INSRNC</t>
  </si>
  <si>
    <t>DT_MTRTY_INSRNC</t>
  </si>
  <si>
    <t>FLG_FRST_HM</t>
  </si>
  <si>
    <t>BLDNG_AR</t>
  </si>
  <si>
    <t>RL_ESTT_CRTFCTN</t>
  </si>
  <si>
    <t>TYP_VHCL</t>
  </si>
  <si>
    <t>DT_RGSTRTN</t>
  </si>
  <si>
    <t>PRMRY_ENRGY_DMND_NN_RNWBL</t>
  </si>
  <si>
    <t>PRMRY_ENRGY_DMND_TTL</t>
  </si>
  <si>
    <t>PRMRY_ENRGY_DMND_RFRNC_VL</t>
  </si>
  <si>
    <t>RL_ESTT_CLMT_ZN</t>
  </si>
  <si>
    <t>AUX</t>
  </si>
  <si>
    <t>2.Script</t>
  </si>
  <si>
    <t>ENTITYCOD_SOC</t>
  </si>
  <si>
    <t>ENTITYCNTRY</t>
  </si>
  <si>
    <t>ENTITYDT_RFRNC</t>
  </si>
  <si>
    <t>ENTITYENTTY_ID</t>
  </si>
  <si>
    <t>ENTITYLEI</t>
  </si>
  <si>
    <t>ENTITYENTTY_NM</t>
  </si>
  <si>
    <t>ENTITYECNMC_ACTVTY</t>
  </si>
  <si>
    <t>ENTITYGRP_EQTY</t>
  </si>
  <si>
    <t>ENTITYANNL_TRNVR_LE</t>
  </si>
  <si>
    <t>ENTITYEQTY</t>
  </si>
  <si>
    <t>ENTITYGRP_TTL_DBT</t>
  </si>
  <si>
    <t>ENTITYTTL_DBT</t>
  </si>
  <si>
    <t>ENTITYEC_GRP_NM</t>
  </si>
  <si>
    <t>INSTR_ENTITYCOD_SOC</t>
  </si>
  <si>
    <t>INSTR_ENTITYDT_RFRNC</t>
  </si>
  <si>
    <t>INSTR_ENTITYENTTY_ID</t>
  </si>
  <si>
    <t>INSTR_ENTITYINSTRMNT_ID</t>
  </si>
  <si>
    <t>INSTR_ENTITYMN_ENTTY_ID</t>
  </si>
  <si>
    <t>INSTRUMENTCOD_SOC</t>
  </si>
  <si>
    <t>INSTRUMENTSUBPORTFOLIO_ID</t>
  </si>
  <si>
    <t>INSTRUMENTINSTRMNT_ID</t>
  </si>
  <si>
    <t>INSTRUMENTDFLT_STTS_INSTRMNT</t>
  </si>
  <si>
    <t>INSTRUMENTFRBRNC_STTS_INSTRMNT</t>
  </si>
  <si>
    <t>INSTRUMENTIMPRMNT_STTS</t>
  </si>
  <si>
    <t>INSTRUMENTPRFRMNG_STTS</t>
  </si>
  <si>
    <t>INSTRUMENTPRJCT_FNNC_LN</t>
  </si>
  <si>
    <t>INSTRUMENTTYP_INSTRMNT</t>
  </si>
  <si>
    <t>INSTRUMENTGRSS_CRRYNG_AMNT_INSTRMNT</t>
  </si>
  <si>
    <t>INSTRUMENTACCMLTD_CHNGS_FV_CR_INSTRMNT</t>
  </si>
  <si>
    <t>INSTRUMENTACCNTNG_CLSSFCTN</t>
  </si>
  <si>
    <t>INSTRUMENTIFRS9_BHVRL_MTRTY</t>
  </si>
  <si>
    <t>INSTRUMENTACCMLTD_IMPRMNT_INSTRMNT</t>
  </si>
  <si>
    <t>INSTRUMENTLTV</t>
  </si>
  <si>
    <t>INSTRUMENTLTV_INCPTN</t>
  </si>
  <si>
    <t>INSTRUMENTANNLSD_AGRD_RT</t>
  </si>
  <si>
    <t>INSTRUMENTISSR_CNTRY</t>
  </si>
  <si>
    <t>INSTRUMENTISSR_NACE_SCTR</t>
  </si>
  <si>
    <t>INSTRUMENTPRMRY_ASST_CLSSF</t>
  </si>
  <si>
    <t>INSTRUMENTLCL_INSTMRNT_ID</t>
  </si>
  <si>
    <t>INSTRUMENTIDCMB</t>
  </si>
  <si>
    <t>INSTR_PROTECTIONCOD_SOC</t>
  </si>
  <si>
    <t>INSTR_PROTECTIONDT_RFRNC</t>
  </si>
  <si>
    <t>INSTR_PROTECTIONINSTRMNT_ID</t>
  </si>
  <si>
    <t>INSTR_PROTECTIONPRTCTN_ID</t>
  </si>
  <si>
    <t>INSTR_PROTECTIONPRTCTN_ALLCTD_VL</t>
  </si>
  <si>
    <t>PROTECTIONCOD_SOC</t>
  </si>
  <si>
    <t>PROTECTIONDT_RFRNC</t>
  </si>
  <si>
    <t>PROTECTIONPRTCTN_ID</t>
  </si>
  <si>
    <t>PROTECTIONRL_ESTT_CLLTRL_LCTN</t>
  </si>
  <si>
    <t>PROTECTIONRL_ESTT_PST_CD</t>
  </si>
  <si>
    <t>PROTECTIONTYP_PRTCTN</t>
  </si>
  <si>
    <t>PROTECTIONORGNL_PRTCTN_VL</t>
  </si>
  <si>
    <t>PROTECTIONPRTCTN_VL</t>
  </si>
  <si>
    <t>PROTECTIONYR_CNSTRCTN</t>
  </si>
  <si>
    <t>INSTRUMENTACCMLTD_IMPRMNT_INSTRMNT_PRVS</t>
  </si>
  <si>
    <t>INSTRUMENTACCMLTD_WRTFFS_INSTRMNT</t>
  </si>
  <si>
    <t>INSTRUMENTACCRD_INTRST_INSTRMNT</t>
  </si>
  <si>
    <t>INSTRUMENTAMNT_D_AT_MTRTY</t>
  </si>
  <si>
    <t>INSTRUMENTARRRS_INSTRMNT</t>
  </si>
  <si>
    <t>INSTRUMENTARRRS_INSTRMNT_12M</t>
  </si>
  <si>
    <t>INSTRUMENTASST_SCRT_CLSS</t>
  </si>
  <si>
    <t>INSTRUMENTBRCHD_CVNNTS</t>
  </si>
  <si>
    <t>INSTRUMENTCCF</t>
  </si>
  <si>
    <t>INSTRUMENTCHNNL_ORGNTN</t>
  </si>
  <si>
    <t>INSTRUMENTCMLTV_RCVRS_SNC_DFLT_INSTRMNT</t>
  </si>
  <si>
    <t>INSTRUMENTCMMTMNT_INCPTN_INSTRMNT</t>
  </si>
  <si>
    <t>INSTRUMENTCMMTMNT_INSTRMNT</t>
  </si>
  <si>
    <t>INSTRUMENTCMPLNT_MRTR_C19_NM</t>
  </si>
  <si>
    <t>INSTRUMENTCNSMPTN_FNRP18</t>
  </si>
  <si>
    <t>INSTRUMENTCNTRCT_ID</t>
  </si>
  <si>
    <t>INSTRUMENTCNTRCT_ID_BDR</t>
  </si>
  <si>
    <t>INSTRUMENTCOD_SOC_INTRGRP</t>
  </si>
  <si>
    <t>INSTRUMENTCPN_CRRNCY</t>
  </si>
  <si>
    <t>INSTRUMENTCPN_RT</t>
  </si>
  <si>
    <t>INSTRUMENTCRE_FNRP18</t>
  </si>
  <si>
    <t>INSTRUMENTCRRLTN_CFFCNT</t>
  </si>
  <si>
    <t>INSTRUMENTCRRNCY_DNMNTN</t>
  </si>
  <si>
    <t>INSTRUMENTCRRYNG_AMNT_INSTRMNT</t>
  </si>
  <si>
    <t>INSTRUMENTCSH_SWP_TRP</t>
  </si>
  <si>
    <t>INSTRUMENTCVNNT_STTS</t>
  </si>
  <si>
    <t>INSTRUMENTCVNNT_TYP</t>
  </si>
  <si>
    <t>INSTRUMENTDBT_YLD</t>
  </si>
  <si>
    <t>INSTRUMENTDPD</t>
  </si>
  <si>
    <t>INSTRUMENTDPD_12M</t>
  </si>
  <si>
    <t>INSTRUMENTDPD_12M_FRBRNC_STTS</t>
  </si>
  <si>
    <t>INSTRUMENTDPD_12M_PRFRMNG_STTS</t>
  </si>
  <si>
    <t>INSTRUMENTDPD_24M_FRBRNC_STTS</t>
  </si>
  <si>
    <t>INSTRUMENTDPD_24M_PRFRMNG_STTS</t>
  </si>
  <si>
    <t>INSTRUMENTDPD_FRBRNC_STTS</t>
  </si>
  <si>
    <t>INSTRUMENTDPD_PRFRMNG_STTS</t>
  </si>
  <si>
    <t>INSTRUMENTDSTI</t>
  </si>
  <si>
    <t>INSTRUMENTDT_CMPLNT_MRTR_STTS_C19</t>
  </si>
  <si>
    <t>INSTRUMENTDT_CMPLNT_MRTR_STTS_PRVS_C19</t>
  </si>
  <si>
    <t>INSTRUMENTDT_DFLT_STTS_INSTRMNT</t>
  </si>
  <si>
    <t>INSTRUMENTDT_END_GP_PPAL</t>
  </si>
  <si>
    <t>INSTRUMENTDT_END_GP_PPAL_C19</t>
  </si>
  <si>
    <t>INSTRUMENTDT_END_INTRST_ONLY</t>
  </si>
  <si>
    <t>INSTRUMENTDT_END_INTRST_ONLY_C19</t>
  </si>
  <si>
    <t>INSTRUMENTDT_FRBRNC_STTS</t>
  </si>
  <si>
    <t>INSTRUMENTDT_FRBRNC_STTS_C19</t>
  </si>
  <si>
    <t>INSTRUMENTDT_FRBRNC_STTS_PRVS</t>
  </si>
  <si>
    <t>INSTRUMENTFRBRNC_STTS_C19</t>
  </si>
  <si>
    <t>INSTRUMENTGRC_PRD_CPTL_INTRST_C19</t>
  </si>
  <si>
    <t>INSTRUMENTGRNTR_ID</t>
  </si>
  <si>
    <t>INSTRUMENTGRNTR_ID_TYP</t>
  </si>
  <si>
    <t>INSTRUMENTHEDGE_ID</t>
  </si>
  <si>
    <t>INSTRUMENTIFRS9_CCF</t>
  </si>
  <si>
    <t>INSTRUMENTIFRS9_EAD</t>
  </si>
  <si>
    <t>INSTRUMENTIFRS9_LGD</t>
  </si>
  <si>
    <t>INSTRUMENTIMPRMNT_ASSSSMNT_MTHD</t>
  </si>
  <si>
    <t>INSTRUMENTIMPRMNT_CLCLTN_MTHD</t>
  </si>
  <si>
    <t>INSTRUMENTIMPRMNT_STTS_PRVS</t>
  </si>
  <si>
    <t>INSTRUMENTINSTLMNT_PAY</t>
  </si>
  <si>
    <t>INSTRUMENTINSTR_SNRTY_CLSS</t>
  </si>
  <si>
    <t>INSTRUMENTINSTRMNT_CLSS</t>
  </si>
  <si>
    <t>INSTRUMENTINTRNL_RTNG</t>
  </si>
  <si>
    <t>INSTRUMENTINTRNL_RTNG_INCPTN</t>
  </si>
  <si>
    <t>INSTRUMENTINTRNL_SGMNT</t>
  </si>
  <si>
    <t>INSTRUMENTINTRNL_SGMNT_CAT_MSTA</t>
  </si>
  <si>
    <t>INSTRUMENTINTRNL_SGMNT_CATGSUB</t>
  </si>
  <si>
    <t>INSTRUMENTINTRNL_SGMNT_IFRS9</t>
  </si>
  <si>
    <t>INSTRUMENTINTRNL_UNT</t>
  </si>
  <si>
    <t>INSTRUMENTINTRST_RT_RST_FRQNCY</t>
  </si>
  <si>
    <t>INSTRUMENTISIN</t>
  </si>
  <si>
    <t>INSTRUMENTISIN_SCRTSTN</t>
  </si>
  <si>
    <t>INSTRUMENTISSR_ESA_2010</t>
  </si>
  <si>
    <t>INSTRUMENTISSR_ID</t>
  </si>
  <si>
    <t>INSTRUMENTISSR_ID_TYP</t>
  </si>
  <si>
    <t>INSTRUMENTISSR_RTNG</t>
  </si>
  <si>
    <t>INSTRUMENTISSR_RTNG_SRC</t>
  </si>
  <si>
    <t>INSTRUMENTISSR_TYP</t>
  </si>
  <si>
    <t>INSTRUMENTLCR_BFFR_CTGRY</t>
  </si>
  <si>
    <t>INSTRUMENTLCRE</t>
  </si>
  <si>
    <t>INSTRUMENTLGD</t>
  </si>
  <si>
    <t>INSTRUMENTLGL_PRCDNG_STTS</t>
  </si>
  <si>
    <t>INSTRUMENTLND_DRGTN</t>
  </si>
  <si>
    <t>INSTRUMENTLSTI</t>
  </si>
  <si>
    <t>INSTRUMENTLTI_INSTRMNT</t>
  </si>
  <si>
    <t>INSTRUMENTLTV_NPE</t>
  </si>
  <si>
    <t>INSTRUMENTLVRG_FNNC_FLG</t>
  </si>
  <si>
    <t>INSTRUMENTMTRTY_LTST_FRBRNC_MSR_C19</t>
  </si>
  <si>
    <t>INSTRUMENTMTRTY_LTST_MRTR_C19</t>
  </si>
  <si>
    <t>INSTRUMENTNMBR_FRBRNC_MSRS</t>
  </si>
  <si>
    <t>INSTRUMENTOBSRVD_AGNT_ID</t>
  </si>
  <si>
    <t>INSTRUMENTOBSRVD_AGNT_NM</t>
  </si>
  <si>
    <t>INSTRUMENTOFF_BLNC_SHT_AMNT_INSTRMNT</t>
  </si>
  <si>
    <t>INSTRUMENTOFF_BLNC_SHT_AMNT_INSTRMNT_PRVS</t>
  </si>
  <si>
    <t>INSTRUMENTOTSTNDNG_NMNL_AMNT_INSTRMNT</t>
  </si>
  <si>
    <t>INSTRUMENTOTSTNDNG_NMNL_AMNT_INSTRMNT_PRVS</t>
  </si>
  <si>
    <t>INSTRUMENTPBLC_GRNT_SCHM_C19_NM</t>
  </si>
  <si>
    <t>INSTRUMENTPD_CRR_INCPTN</t>
  </si>
  <si>
    <t>INSTRUMENTPD_CRR_RD</t>
  </si>
  <si>
    <t>INSTRUMENTPD_CRR_RD_T1</t>
  </si>
  <si>
    <t>INSTRUMENTPD_IFRS9_12M_INCPTN</t>
  </si>
  <si>
    <t>INSTRUMENTPD_IFRS9_12M_RD</t>
  </si>
  <si>
    <t>INSTRUMENTPD_IFRS9_12M_RD_T1</t>
  </si>
  <si>
    <t>INSTRUMENTPD_IFRS9_LFTM_INCPTN</t>
  </si>
  <si>
    <t>INSTRUMENTPD_IFRS9_RMNNG_LFTM_INCPTN</t>
  </si>
  <si>
    <t>INSTRUMENTPD_IFRS9_RMNNG_LFTM_RD</t>
  </si>
  <si>
    <t>INSTRUMENTPMNT_PBLC_GRNT_SCHM_C19</t>
  </si>
  <si>
    <t>INSTRUMENTPOCI</t>
  </si>
  <si>
    <t>INSTRUMENTPRCH_UNDR_RSL_AGR</t>
  </si>
  <si>
    <t>INSTRUMENTPRDCT</t>
  </si>
  <si>
    <t>INSTRUMENTPRDNTL_PRTFL</t>
  </si>
  <si>
    <t>INSTRUMENTPRFRMNG_STTS_PRVS</t>
  </si>
  <si>
    <t>INSTRUMENTPRPS</t>
  </si>
  <si>
    <t>INSTRUMENTPRT_LCR_BFFR</t>
  </si>
  <si>
    <t>INSTRUMENTPRVSNS_OFF_BLNC_SHT</t>
  </si>
  <si>
    <t>INSTRUMENTPYMNT_FRQNCY</t>
  </si>
  <si>
    <t>INSTRUMENTPYMNT_INTRST_ONLY</t>
  </si>
  <si>
    <t>INSTRUMENTRCRS</t>
  </si>
  <si>
    <t>INSTRUMENTRCVD_AMRTSTN_12M</t>
  </si>
  <si>
    <t>INSTRUMENTRCVD_AMRTSTN_24M</t>
  </si>
  <si>
    <t>INSTRUMENTRCVD_INTRST_12M</t>
  </si>
  <si>
    <t>INSTRUMENTRCVD_INTRST_24M</t>
  </si>
  <si>
    <t>INSTRUMENTRFNNC_PRPS</t>
  </si>
  <si>
    <t>INSTRUMENTRFRNC_RT</t>
  </si>
  <si>
    <t>INSTRUMENTRRE_FNRP18</t>
  </si>
  <si>
    <t>INSTRUMENTRTNG_MTHD</t>
  </si>
  <si>
    <t>INSTRUMENTRTNG_SCL</t>
  </si>
  <si>
    <t>INSTRUMENTRTNTN_SHR</t>
  </si>
  <si>
    <t>INSTRUMENTRWA</t>
  </si>
  <si>
    <t>INSTRUMENTRWA_MTHD</t>
  </si>
  <si>
    <t>INSTRUMENTSBJCT_PBLC_GRNT_SCHM_C19</t>
  </si>
  <si>
    <t>INSTRUMENTSICR_ASSSSMNT_MTHD</t>
  </si>
  <si>
    <t>INSTRUMENTSME_FNRP18</t>
  </si>
  <si>
    <t>INSTRUMENTSPCLTV_LNDNG</t>
  </si>
  <si>
    <t>INSTRUMENTSPNSR_NM</t>
  </si>
  <si>
    <t>INSTRUMENTSPRD</t>
  </si>
  <si>
    <t>INSTRUMENTSRCS_ENCMBRNC</t>
  </si>
  <si>
    <t>INSTRUMENTSTTS_UNDRWRTTN_TRNSCTN</t>
  </si>
  <si>
    <t>INSTRUMENTSYNDCT_RL</t>
  </si>
  <si>
    <t>INSTRUMENTSYNDCTD_AGNT</t>
  </si>
  <si>
    <t>INSTRUMENTSYNDCTD_CNTRCT_ID</t>
  </si>
  <si>
    <t>INSTRUMENTSYNDCTD_LNDRS</t>
  </si>
  <si>
    <t>INSTRUMENTSYNDCTD_SHR</t>
  </si>
  <si>
    <t>INSTRUMENTSYNDCTN_TYP</t>
  </si>
  <si>
    <t>INSTRUMENTTRNCH</t>
  </si>
  <si>
    <t>INSTRUMENTTYP_AMRTSTN</t>
  </si>
  <si>
    <t>INSTRUMENTTYP_CMPLNT_MRTR_C19</t>
  </si>
  <si>
    <t>INSTRUMENTTYP_CRE_OPRTN</t>
  </si>
  <si>
    <t>INSTRUMENTTYP_INTRST_RT</t>
  </si>
  <si>
    <t>INSTRUMENTTYP_MRTGG</t>
  </si>
  <si>
    <t>INSTRUMENTTYPE_OF_PLCMNT</t>
  </si>
  <si>
    <t>INSTRUMENTVLTN_CRRNCY</t>
  </si>
  <si>
    <t>INSTRUMENTVLTN_TYP</t>
  </si>
  <si>
    <t>ENTITYACCNTNG_FRMWRK_SL</t>
  </si>
  <si>
    <t>ENTITYANNL_TRNVR_LE_BDR</t>
  </si>
  <si>
    <t>ENTITYANNL_TRNVR_PRVS</t>
  </si>
  <si>
    <t>ENTITYANNL_TRNVR_PRVS_BDR</t>
  </si>
  <si>
    <t>ENTITYCAPEX</t>
  </si>
  <si>
    <t>ENTITYCAPEX_PRVS</t>
  </si>
  <si>
    <t>ENTITYCLLCTN_MD</t>
  </si>
  <si>
    <t>ENTITYCR_FLG</t>
  </si>
  <si>
    <t>ENTITYCSH</t>
  </si>
  <si>
    <t>ENTITYCSH_PRVS</t>
  </si>
  <si>
    <t>ENTITYDBT_RPYMNT_CPCTY_SNR_DBT</t>
  </si>
  <si>
    <t>ENTITYDBT_RPYMNT_CPCTY_TTL</t>
  </si>
  <si>
    <t>ENTITYDBT_SRVC_RT</t>
  </si>
  <si>
    <t>ENTITYDBT_SRVC_RT_12M</t>
  </si>
  <si>
    <t>ENTITYDCSD</t>
  </si>
  <si>
    <t>ENTITYDFLT_STTS</t>
  </si>
  <si>
    <t>ENTITYDT_BRTH</t>
  </si>
  <si>
    <t>ENTITYDT_DFLT_STTS</t>
  </si>
  <si>
    <t>ENTITYDT_EXTRNL_RTNG</t>
  </si>
  <si>
    <t>ENTITYDT_FNNCL_STTMTS</t>
  </si>
  <si>
    <t>ENTITYDT_FNNCL_STTMTS_PRVS</t>
  </si>
  <si>
    <t>ENTITYDT_INTRNL_RTNG</t>
  </si>
  <si>
    <t>ENTITYDT_INTTN_LGL_PRCDNGS_LE</t>
  </si>
  <si>
    <t>ENTITYDT_PRFRMNG_STTS_LE</t>
  </si>
  <si>
    <t>ENTITYEBITDA</t>
  </si>
  <si>
    <t>ENTITYEBITDA_PRVS</t>
  </si>
  <si>
    <t>ENTITYEC_GRP_ID</t>
  </si>
  <si>
    <t>ENTITYEMPLYMNT_STTS</t>
  </si>
  <si>
    <t>ENTITYEMPLYMNT_STTS_INTRNL</t>
  </si>
  <si>
    <t>ENTITYENTRPRS_SZ_LE</t>
  </si>
  <si>
    <t>ENTITYEQTY_PRVS</t>
  </si>
  <si>
    <t>ENTITYEXTRNL_RTNG</t>
  </si>
  <si>
    <t>ENTITYEXTRNL_RTNG_NM</t>
  </si>
  <si>
    <t>ENTITYEXTRNL_RTNG_PRVS</t>
  </si>
  <si>
    <t>ENTITYFLG_BNKRPTCY_IN_GRP</t>
  </si>
  <si>
    <t>ENTITYFLG_HGH_CDS</t>
  </si>
  <si>
    <t>ENTITYFLG_ISDA_CRDT_EVNT</t>
  </si>
  <si>
    <t>ENTITYFLG_NN_ACCRL</t>
  </si>
  <si>
    <t>ENTITYFLG_RQST_BNKRPTCY</t>
  </si>
  <si>
    <t>ENTITYFLG_RQST_DSTRSSD_RSTRCTRNG</t>
  </si>
  <si>
    <t>ENTITYFLG_RQST_EMRGNCY_FNDNG</t>
  </si>
  <si>
    <t>ENTITYFLG_SLL_WTH_LSS</t>
  </si>
  <si>
    <t>ENTITYFR_CSH_FLW</t>
  </si>
  <si>
    <t>ENTITYFR_CSH_FLW_T1</t>
  </si>
  <si>
    <t>ENTITYFR_CSH_FLW_T2</t>
  </si>
  <si>
    <t>ENTITYFR_CSH_FLW_T3</t>
  </si>
  <si>
    <t>ENTITYGCC_PRNT_ID</t>
  </si>
  <si>
    <t>ENTITYGCC_PRNT_NM</t>
  </si>
  <si>
    <t>ENTITYGDWILL</t>
  </si>
  <si>
    <t>ENTITYGDWILL_PRVS</t>
  </si>
  <si>
    <t>ENTITYGRP_EBITDA</t>
  </si>
  <si>
    <t>ENTITYGRP_NT_DBT</t>
  </si>
  <si>
    <t>ENTITYINCM_SC</t>
  </si>
  <si>
    <t>ENTITYINTRNL_RTNG</t>
  </si>
  <si>
    <t>ENTITYINTRNL_RTNG_PRVS</t>
  </si>
  <si>
    <t>ENTITYINTRNL_SGMNT</t>
  </si>
  <si>
    <t>ENTITYINTRNL_UNT</t>
  </si>
  <si>
    <t>ENTITYLGL_PRCDNG_STTS_LE</t>
  </si>
  <si>
    <t>ENTITYLTI</t>
  </si>
  <si>
    <t>ENTITYLVRG</t>
  </si>
  <si>
    <t>ENTITYLVRG_PRVS</t>
  </si>
  <si>
    <t>ENTITYMNTHL_INCM</t>
  </si>
  <si>
    <t>ENTITYMNTHL_INCM_SLR</t>
  </si>
  <si>
    <t>ENTITYMNTHL_TRNVR</t>
  </si>
  <si>
    <t>ENTITYNT_INCM</t>
  </si>
  <si>
    <t>ENTITYNT_INCM_PRVS</t>
  </si>
  <si>
    <t>ENTITYOSI_ID</t>
  </si>
  <si>
    <t>ENTITYOWND_BY_SPNSR</t>
  </si>
  <si>
    <t>ENTITYPD_CRR_RD</t>
  </si>
  <si>
    <t>ENTITYPD_CRR_RD_T1</t>
  </si>
  <si>
    <t>ENTITYPD_IFRS9_12M_RD</t>
  </si>
  <si>
    <t>ENTITYPD_IFRS9_12M_RD_T1</t>
  </si>
  <si>
    <t>ENTITYPRFRMNG_STTS_LE</t>
  </si>
  <si>
    <t>ENTITYPRSN_TYP</t>
  </si>
  <si>
    <t>ENTITYRTNG_MTHD</t>
  </si>
  <si>
    <t>ENTITYRTNG_SCL</t>
  </si>
  <si>
    <t>ENTITYSNGL_PRPS_VHCL</t>
  </si>
  <si>
    <t>ENTITYTAX_ID</t>
  </si>
  <si>
    <t>ENTITYTTL_DBT_PRVS</t>
  </si>
  <si>
    <t>ENTITYTTL_INTRST_PD</t>
  </si>
  <si>
    <t>ENTITYTTL_LVRG_RT</t>
  </si>
  <si>
    <t>ENTITYTTL_LVRG_RT_PRVS</t>
  </si>
  <si>
    <t>ENTITYWTCH_LST</t>
  </si>
  <si>
    <t>PROTECTIONAPPRSL_CRRNCY</t>
  </si>
  <si>
    <t>PROTECTIONAPPRSR</t>
  </si>
  <si>
    <t>PROTECTIONCNSTRCTN_STTS</t>
  </si>
  <si>
    <t>PROTECTIONCRE_INCM_CRRNCY</t>
  </si>
  <si>
    <t>PROTECTIONCRE_YRLY_EXPNSS</t>
  </si>
  <si>
    <t>PROTECTIONCRE_YRLY_INCM</t>
  </si>
  <si>
    <t>PROTECTIONDT_APPRSL_PRVS</t>
  </si>
  <si>
    <t>PROTECTIONDT_CNSTRCTN_STTS</t>
  </si>
  <si>
    <t>PROTECTIONDT_FRST_USG</t>
  </si>
  <si>
    <t>PROTECTIONDT_LST_FLL_APPRSL</t>
  </si>
  <si>
    <t>PROTECTIONDT_MTRTY_PRTCTN</t>
  </si>
  <si>
    <t>PROTECTIONDT_ORGNL_PRTCTN_VL</t>
  </si>
  <si>
    <t>PROTECTIONDT_PRTCTN_VL</t>
  </si>
  <si>
    <t>PROTECTIONDVLPMNT_STTS</t>
  </si>
  <si>
    <t>PROTECTIONHRCT_MV</t>
  </si>
  <si>
    <t>PROTECTIONMN_PRPS</t>
  </si>
  <si>
    <t>PROTECTIONNTNL_ID</t>
  </si>
  <si>
    <t>PROTECTIONPRM_LCTN</t>
  </si>
  <si>
    <t>PROTECTIONPRTCTN_CLLD</t>
  </si>
  <si>
    <t>PROTECTIONPRTCTN_FRCD_SL_VL</t>
  </si>
  <si>
    <t>PROTECTIONPRTCTN_PRVDR_ID</t>
  </si>
  <si>
    <t>PROTECTIONPRTCTN_TYP_PBLC_GRNT_SCHM_C19</t>
  </si>
  <si>
    <t>PROTECTIONPRTCTN_VL_NPE</t>
  </si>
  <si>
    <t>PROTECTIONPRTCTN_VL_PRVS</t>
  </si>
  <si>
    <t>PROTECTIONPRTCTN_VLTN_APPRCH</t>
  </si>
  <si>
    <t>PROTECTIONRL_ESTT_ADDRSS</t>
  </si>
  <si>
    <t>PROTECTIONRL_ESTT_CLLTRL_LCTN_INT</t>
  </si>
  <si>
    <t>PROTECTIONRL_ESTT_CTY</t>
  </si>
  <si>
    <t>PROTECTIONTAX_ID</t>
  </si>
  <si>
    <t>PROTECTIONTYP_PRTCTN_INTRNL</t>
  </si>
  <si>
    <t>PROTECTIONTYP_PRTCTN_VL</t>
  </si>
  <si>
    <t>INSTR_ENTITYJNT_LBLTY_AMNT</t>
  </si>
  <si>
    <t>INSTR_PROTECTIONTHRD_PRTY_PRRTY_CLMS</t>
  </si>
  <si>
    <t>LOAN TAPE</t>
  </si>
  <si>
    <t xml:space="preserve">ambito </t>
  </si>
  <si>
    <t>19042024</t>
  </si>
  <si>
    <t>20092024</t>
  </si>
  <si>
    <t>24012025</t>
  </si>
  <si>
    <t>SCRIPT</t>
  </si>
  <si>
    <t>Testes MBDT</t>
  </si>
  <si>
    <t>Análise dos campo da Loan Tape MBDT</t>
  </si>
  <si>
    <r>
      <t xml:space="preserve">Para a validação dos </t>
    </r>
    <r>
      <rPr>
        <b/>
        <sz val="11"/>
        <color theme="1"/>
        <rFont val="Neo sans"/>
      </rPr>
      <t>campos da Loan Tape MBDT</t>
    </r>
    <r>
      <rPr>
        <sz val="11"/>
        <color theme="1"/>
        <rFont val="Neo sans"/>
      </rPr>
      <t xml:space="preserve"> é necessário percorrer os seguintes </t>
    </r>
    <r>
      <rPr>
        <i/>
        <sz val="11"/>
        <color theme="1"/>
        <rFont val="Neo sans"/>
      </rPr>
      <t>steps</t>
    </r>
    <r>
      <rPr>
        <sz val="11"/>
        <color theme="1"/>
        <rFont val="Neo sans"/>
      </rPr>
      <t>:</t>
    </r>
  </si>
  <si>
    <t>Univ_Oper</t>
  </si>
  <si>
    <t>lt001_univ_oper</t>
  </si>
  <si>
    <t>simul_lt001</t>
  </si>
  <si>
    <t>simul_lt002_instrument</t>
  </si>
  <si>
    <t>simul_lt003_entity</t>
  </si>
  <si>
    <t>simul_lt004</t>
  </si>
  <si>
    <t>simul_lt005_instr_ent</t>
  </si>
  <si>
    <t>simul_lt006_instr_prot</t>
  </si>
  <si>
    <t>Individual Local</t>
  </si>
  <si>
    <t>SRB_MBDT</t>
  </si>
  <si>
    <t>UNIV_OPER</t>
  </si>
  <si>
    <t>cempresa</t>
  </si>
  <si>
    <t>cbalcao</t>
  </si>
  <si>
    <t>cnumecta</t>
  </si>
  <si>
    <t>zdeposit</t>
  </si>
  <si>
    <t>zcliente</t>
  </si>
  <si>
    <t>ccontab_final_ifrs</t>
  </si>
  <si>
    <t>ccontab_final_pcsb</t>
  </si>
  <si>
    <t>ccontab_final_cargabal</t>
  </si>
  <si>
    <t>ccontab_final</t>
  </si>
  <si>
    <t>msaldo_final</t>
  </si>
  <si>
    <t>carteira_contabilistica</t>
  </si>
  <si>
    <t>instrumento_financeiro</t>
  </si>
  <si>
    <t>contraparte</t>
  </si>
  <si>
    <t>contraparte_i</t>
  </si>
  <si>
    <t>produto</t>
  </si>
  <si>
    <t>tipo_conta</t>
  </si>
  <si>
    <t>bruto_imparidade</t>
  </si>
  <si>
    <t>composicao_valor</t>
  </si>
  <si>
    <t>colateral</t>
  </si>
  <si>
    <t>flag_poci</t>
  </si>
  <si>
    <t>purpose_code</t>
  </si>
  <si>
    <t>cod_empr_pme</t>
  </si>
  <si>
    <t>stage</t>
  </si>
  <si>
    <t>stage_atual</t>
  </si>
  <si>
    <t>cproduto</t>
  </si>
  <si>
    <t>subproduto</t>
  </si>
  <si>
    <t>cod_ajust</t>
  </si>
  <si>
    <t>tipo_ajuste</t>
  </si>
  <si>
    <t>desc_ajuste</t>
  </si>
  <si>
    <t>ordem_lt801</t>
  </si>
  <si>
    <t>flag_lvrg_finc</t>
  </si>
  <si>
    <t>flag_pme</t>
  </si>
  <si>
    <t>flag_inst_div</t>
  </si>
  <si>
    <t>flag_inst_cap</t>
  </si>
  <si>
    <t>flag_inst_deriv</t>
  </si>
  <si>
    <t>flag_ajust_ncon</t>
  </si>
  <si>
    <t>flag_mis</t>
  </si>
  <si>
    <t>flag_inst_titulos</t>
  </si>
  <si>
    <t>flag_gar_intrg_san</t>
  </si>
  <si>
    <t>valor_bruto_on</t>
  </si>
  <si>
    <t>valor_bruto_off</t>
  </si>
  <si>
    <t>provisao_on</t>
  </si>
  <si>
    <t>provisao_off</t>
  </si>
  <si>
    <t>valor_bruto_on_prvs</t>
  </si>
  <si>
    <t>valor_bruto_off_prvs</t>
  </si>
  <si>
    <t>provisao_on_prvs</t>
  </si>
  <si>
    <t>provisao_off_prvs</t>
  </si>
  <si>
    <t>juros_corridos</t>
  </si>
  <si>
    <t>juros_corridos_prvs</t>
  </si>
  <si>
    <t>subportfolio_id_inicial</t>
  </si>
  <si>
    <t>subportfolio_id_final</t>
  </si>
  <si>
    <t>idcomb_lt_inicial</t>
  </si>
  <si>
    <t>idcomb_lt_final</t>
  </si>
  <si>
    <t>rank_insolv</t>
  </si>
  <si>
    <t>a</t>
  </si>
  <si>
    <t>b</t>
  </si>
  <si>
    <t>cntrct_id</t>
  </si>
  <si>
    <t>crrncy_dnmntn</t>
  </si>
  <si>
    <t>obsrvd_agnt_id</t>
  </si>
  <si>
    <t>obsrvd_agnt_nm</t>
  </si>
  <si>
    <t>prdct</t>
  </si>
  <si>
    <t>brchd_cvnnts</t>
  </si>
  <si>
    <t>chnnl_orgntn</t>
  </si>
  <si>
    <t>csh_swp_trp</t>
  </si>
  <si>
    <t>cvnnt_stts</t>
  </si>
  <si>
    <t>cvnnt_typ</t>
  </si>
  <si>
    <t>dt_dflt_stts_instrmnt</t>
  </si>
  <si>
    <t>dt_end_gp_ppal</t>
  </si>
  <si>
    <t>dt_end_intrst_only</t>
  </si>
  <si>
    <t>dt_frbrnc_stts</t>
  </si>
  <si>
    <t>dt_frbrnc_stts_prvs</t>
  </si>
  <si>
    <t>dt_intrnl_rtng</t>
  </si>
  <si>
    <t>dt_strt_intrst_only</t>
  </si>
  <si>
    <t>expsr_in_scp</t>
  </si>
  <si>
    <t>fld_syndctn</t>
  </si>
  <si>
    <t>flg_lbo</t>
  </si>
  <si>
    <t>intrnl_rtng</t>
  </si>
  <si>
    <t>intrnl_rtng_incptn</t>
  </si>
  <si>
    <t>intrnl_sgmnt</t>
  </si>
  <si>
    <t>intrnl_unt</t>
  </si>
  <si>
    <t>lcre</t>
  </si>
  <si>
    <t>lgl_prcdng_stts</t>
  </si>
  <si>
    <t>lnd_drgtn</t>
  </si>
  <si>
    <t>poci</t>
  </si>
  <si>
    <t>prps</t>
  </si>
  <si>
    <t>pymnt_intrst_only</t>
  </si>
  <si>
    <t>rcrs</t>
  </si>
  <si>
    <t>spcltv_lndng</t>
  </si>
  <si>
    <t>stts_undrwrttn_trnsctn</t>
  </si>
  <si>
    <t>trnch</t>
  </si>
  <si>
    <t>typ_amrtstn</t>
  </si>
  <si>
    <t>typ_intrst_rt</t>
  </si>
  <si>
    <t>typ_mrtgg</t>
  </si>
  <si>
    <t>typ_cre_oprtn</t>
  </si>
  <si>
    <t>dt_strt_gp_ppal</t>
  </si>
  <si>
    <t>accrd_intrst_instrmnt</t>
  </si>
  <si>
    <t>amnt_d_at_mtrty</t>
  </si>
  <si>
    <t>ccf</t>
  </si>
  <si>
    <t>cmmtmnt_incptn_instrmnt</t>
  </si>
  <si>
    <t>cmmtmnt_instrmnt</t>
  </si>
  <si>
    <t>crryng_amnt_instrmnt</t>
  </si>
  <si>
    <t>dbt_yld</t>
  </si>
  <si>
    <t>dt_nxt_intrst_rt_rst</t>
  </si>
  <si>
    <t>dt_orgnl_mtrty</t>
  </si>
  <si>
    <t>ead</t>
  </si>
  <si>
    <t>ifrs9_ccf</t>
  </si>
  <si>
    <t>ifrs9_ead</t>
  </si>
  <si>
    <t>instlmnt_pay</t>
  </si>
  <si>
    <t>off_blnc_sht_amnt_instrmnt</t>
  </si>
  <si>
    <t>otstndng_nmnl_amnt_instrmnt</t>
  </si>
  <si>
    <t>otstndng_nmnl_amnt_instrmnt_prvs</t>
  </si>
  <si>
    <t>prvsns_off_blnc_sht</t>
  </si>
  <si>
    <t>pymnt_frqncy</t>
  </si>
  <si>
    <t>rtntn_shr</t>
  </si>
  <si>
    <t>rwa</t>
  </si>
  <si>
    <t>rwa_mthd</t>
  </si>
  <si>
    <t>spnsr_nm</t>
  </si>
  <si>
    <t>accmltd_imprmnt_instrmnt_prvs</t>
  </si>
  <si>
    <t>accmltd_wrtffs_instrmnt</t>
  </si>
  <si>
    <t>arrrs_instrmnt</t>
  </si>
  <si>
    <t>arrrs_instrmnt_12m</t>
  </si>
  <si>
    <t>cmltv_rcvrs_snc_dflt_instrmnt</t>
  </si>
  <si>
    <t>dpd</t>
  </si>
  <si>
    <t>dpd_12m</t>
  </si>
  <si>
    <t>dpd_12m_frbrnc_stts</t>
  </si>
  <si>
    <t>dpd_24m_frbrnc_stts</t>
  </si>
  <si>
    <t>dpd_frbrnc_stts</t>
  </si>
  <si>
    <t>dt_pst_d</t>
  </si>
  <si>
    <t>imprmnt_assssmnt_mthd</t>
  </si>
  <si>
    <t>imprmnt_clcltn_mthd</t>
  </si>
  <si>
    <t>nmbr_frbrnc_msrs</t>
  </si>
  <si>
    <t>ifrs9_lgd</t>
  </si>
  <si>
    <t>lgd</t>
  </si>
  <si>
    <t>ltv</t>
  </si>
  <si>
    <t>ltv_incptn</t>
  </si>
  <si>
    <t>ltv_npe</t>
  </si>
  <si>
    <t>pd_crr_incptn</t>
  </si>
  <si>
    <t>pd_crr_rd</t>
  </si>
  <si>
    <t>pd_crr_rd_t1</t>
  </si>
  <si>
    <t>pd_ifrs9_12m_incptn</t>
  </si>
  <si>
    <t>pd_ifrs9_12m_rd</t>
  </si>
  <si>
    <t>pd_ifrs9_12m_rd_t1</t>
  </si>
  <si>
    <t>pd_ifrs9_lftm_incptn</t>
  </si>
  <si>
    <t>pd_ifrs9_rmnng_lftm_incptn</t>
  </si>
  <si>
    <t>pd_ifrs9_rmnng_lftm_rd</t>
  </si>
  <si>
    <t>rtng_mthd</t>
  </si>
  <si>
    <t>rtng_scl</t>
  </si>
  <si>
    <t>sicr_assssmnt_mthd</t>
  </si>
  <si>
    <t>annlsd_agrd_rt</t>
  </si>
  <si>
    <t>eir</t>
  </si>
  <si>
    <t>eir_incptn</t>
  </si>
  <si>
    <t>intrst_rt_rst_frqncy</t>
  </si>
  <si>
    <t>add_fld01</t>
  </si>
  <si>
    <t>add_fld02</t>
  </si>
  <si>
    <t>add_fld03</t>
  </si>
  <si>
    <t>add_fld04</t>
  </si>
  <si>
    <t>add_fld05</t>
  </si>
  <si>
    <t>add_fld06</t>
  </si>
  <si>
    <t>add_fld07</t>
  </si>
  <si>
    <t>add_fld08</t>
  </si>
  <si>
    <t>add_fld09</t>
  </si>
  <si>
    <t>add_fld10</t>
  </si>
  <si>
    <t>rcvd_amrtstn_12m</t>
  </si>
  <si>
    <t>rcvd_amrtstn_24m</t>
  </si>
  <si>
    <t>rcvd_intrst_12m</t>
  </si>
  <si>
    <t>rcvd_intrst_24m</t>
  </si>
  <si>
    <t>syndct_rl</t>
  </si>
  <si>
    <t>syndctd_agnt</t>
  </si>
  <si>
    <t>syndctd_cntrct_id</t>
  </si>
  <si>
    <t>syndctd_lndrs</t>
  </si>
  <si>
    <t>syndctd_shr</t>
  </si>
  <si>
    <t>syndctn_typ</t>
  </si>
  <si>
    <t>eba_cmplnt_mrtr_st_c19</t>
  </si>
  <si>
    <t>dt_cmplnt_mrtr_stts_c19</t>
  </si>
  <si>
    <t>dt_cmplnt_mrtr_stts_prvs_c19</t>
  </si>
  <si>
    <t>mtrty_ltst_mrtr_c19</t>
  </si>
  <si>
    <t>typ_cmplnt_mrtr_c19</t>
  </si>
  <si>
    <t>grc_prd_cptl_intrst_c19</t>
  </si>
  <si>
    <t>cmplnt_mrtr_c19_nm</t>
  </si>
  <si>
    <t>frbrnc_stts_c19</t>
  </si>
  <si>
    <t>dt_frbrnc_stts_c19</t>
  </si>
  <si>
    <t>dt_frbrnc_stts_prvs_c19</t>
  </si>
  <si>
    <t>mtrty_ltst_frbrnc_msr_c19</t>
  </si>
  <si>
    <t>dt_end_gp_ppal_c19</t>
  </si>
  <si>
    <t>dt_end_intrst_only_c19</t>
  </si>
  <si>
    <t>sbjct_pblc_grnt_schm_c19</t>
  </si>
  <si>
    <t>pblc_grnt_schm_c19_nm</t>
  </si>
  <si>
    <t>pmnt_pblc_grnt_schm_c19</t>
  </si>
  <si>
    <t>asst_scrt_clss</t>
  </si>
  <si>
    <t>cpn_crrncy</t>
  </si>
  <si>
    <t>cpn_rt</t>
  </si>
  <si>
    <t>dt_vltn</t>
  </si>
  <si>
    <t>elgblty_ecb</t>
  </si>
  <si>
    <t>grntr_id</t>
  </si>
  <si>
    <t>grntr_id_typ</t>
  </si>
  <si>
    <t>hedge_id</t>
  </si>
  <si>
    <t>instr_snrty_clss</t>
  </si>
  <si>
    <t>instrmnt_clss</t>
  </si>
  <si>
    <t>issr_esa_2010</t>
  </si>
  <si>
    <t>issr_id</t>
  </si>
  <si>
    <t>issr_id_typ</t>
  </si>
  <si>
    <t>issr_rtng</t>
  </si>
  <si>
    <t>issr_rtng_src</t>
  </si>
  <si>
    <t>issr_typ</t>
  </si>
  <si>
    <t>lcr_bffr_ctgry</t>
  </si>
  <si>
    <t>prch_undr_rsl_agr</t>
  </si>
  <si>
    <t>prdntl_prtfl</t>
  </si>
  <si>
    <t>prt_lcr_bffr</t>
  </si>
  <si>
    <t>rfrnc_rt</t>
  </si>
  <si>
    <t>sprd</t>
  </si>
  <si>
    <t>srcs_encmbrnc</t>
  </si>
  <si>
    <t>type_of_plcmnt</t>
  </si>
  <si>
    <t>vltn_crrncy</t>
  </si>
  <si>
    <t>vltn_typ</t>
  </si>
  <si>
    <t>cre_fnrp18</t>
  </si>
  <si>
    <t>sme_fnrp18</t>
  </si>
  <si>
    <t>rre_fnrp18</t>
  </si>
  <si>
    <t>cnsmptn_fnrp18</t>
  </si>
  <si>
    <t>lvrg_fnnc_flg</t>
  </si>
  <si>
    <t>intrnl_sgmnt_ifrs9</t>
  </si>
  <si>
    <t>intrnl_sgmnt_cat_msta</t>
  </si>
  <si>
    <t>intrnl_sgmnt_catgsub</t>
  </si>
  <si>
    <t>crrltn_cffcnt</t>
  </si>
  <si>
    <t>isin_scrtstn</t>
  </si>
  <si>
    <t>cntrct_id_bdr</t>
  </si>
  <si>
    <t>avrg_blnc</t>
  </si>
  <si>
    <t>nw_bsnss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</si>
  <si>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</si>
  <si>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</si>
  <si>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</si>
  <si>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</si>
  <si>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</si>
  <si>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</si>
  <si>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</si>
  <si>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</si>
  <si>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</si>
  <si>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</si>
  <si>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</si>
  <si>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</si>
  <si>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</si>
  <si>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</si>
  <si>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</si>
  <si>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</si>
  <si>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</si>
  <si>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</si>
  <si>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</si>
  <si>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</si>
  <si>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</si>
  <si>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</si>
  <si>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</si>
  <si>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</si>
  <si>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cnclld_instrmnt_stts</t>
  </si>
  <si>
    <t>cod_soc_intrgrp</t>
  </si>
  <si>
    <t>expctd_lss_crr</t>
  </si>
  <si>
    <t>lsti</t>
  </si>
  <si>
    <t>dsti</t>
  </si>
  <si>
    <t>lti_instrmnt</t>
  </si>
  <si>
    <t>counterparty_id</t>
  </si>
  <si>
    <t>counterparty_type_id</t>
  </si>
  <si>
    <t>counterparty_country</t>
  </si>
  <si>
    <t>crr_exposure_class</t>
  </si>
  <si>
    <t>interest_rate_cap</t>
  </si>
  <si>
    <t>interest_rate_floor</t>
  </si>
  <si>
    <t>intrst_indxng</t>
  </si>
  <si>
    <t>settlement_date</t>
  </si>
  <si>
    <t>transferred_amount</t>
  </si>
  <si>
    <t>type_securitization</t>
  </si>
  <si>
    <t>joint_liabilities_amount</t>
  </si>
  <si>
    <t>balance_sheet_recogn</t>
  </si>
  <si>
    <t>type</t>
  </si>
  <si>
    <t>nominal_interest_rate_fee</t>
  </si>
  <si>
    <t>unique_trade_id</t>
  </si>
  <si>
    <t>base_product</t>
  </si>
  <si>
    <t>governing_law</t>
  </si>
  <si>
    <t>contract_recogn_write_down</t>
  </si>
  <si>
    <t>contract_recogn_suspension</t>
  </si>
  <si>
    <t>contract_recogn_resolution</t>
  </si>
  <si>
    <t>collateral_portfolio</t>
  </si>
  <si>
    <t>collateral_posted</t>
  </si>
  <si>
    <t>collateral_posted_currency</t>
  </si>
  <si>
    <t>collateral_received</t>
  </si>
  <si>
    <t>collateral_received_currency</t>
  </si>
  <si>
    <t>leg_1_cash_flow</t>
  </si>
  <si>
    <t>leg_2_cash_flow</t>
  </si>
  <si>
    <t>leg_1_reference_rate</t>
  </si>
  <si>
    <t>leg_2_reference_rate</t>
  </si>
  <si>
    <t>leg_1_reference_period</t>
  </si>
  <si>
    <t>leg_2_reference_period</t>
  </si>
  <si>
    <t>premium</t>
  </si>
  <si>
    <t>netting_agreement</t>
  </si>
  <si>
    <t>hierarchy</t>
  </si>
  <si>
    <t>security_rating</t>
  </si>
  <si>
    <t>dividend_yield</t>
  </si>
  <si>
    <t>flg_mnmm_sfgrds</t>
  </si>
  <si>
    <t>typ_off_blnc_prdct</t>
  </si>
  <si>
    <t>dstntn_fnds</t>
  </si>
  <si>
    <t>dt_mdfctn</t>
  </si>
  <si>
    <t>excldd_lf</t>
  </si>
  <si>
    <t>pd_ec_incptn</t>
  </si>
  <si>
    <t>pd_ec_rd</t>
  </si>
  <si>
    <t>rorac</t>
  </si>
  <si>
    <t>rorwa</t>
  </si>
  <si>
    <t>rwa_mtgtn</t>
  </si>
  <si>
    <t>rwa_prmtgtn</t>
  </si>
  <si>
    <t>ttl_lvrg_rt_incptn</t>
  </si>
  <si>
    <t>ttl_lvrg_rt_incptn_hlt</t>
  </si>
  <si>
    <t>typ_cl</t>
  </si>
  <si>
    <t>typ_dl</t>
  </si>
  <si>
    <t>typ_fclty</t>
  </si>
  <si>
    <t>us_prcds</t>
  </si>
  <si>
    <t>orgnl_amnt_eur</t>
  </si>
  <si>
    <t>orgnl_amnt_fx</t>
  </si>
  <si>
    <t>dt_nxt_intrst_pymnt</t>
  </si>
  <si>
    <t>amnt_scrty_eur</t>
  </si>
  <si>
    <t>amnt_scrty_fx</t>
  </si>
  <si>
    <t>csd</t>
  </si>
  <si>
    <t>csd_lei</t>
  </si>
  <si>
    <t>pyng_agnt</t>
  </si>
  <si>
    <t>pyng_agnt_lei</t>
  </si>
  <si>
    <t>typ_own_fnds_indvdl_lvl</t>
  </si>
  <si>
    <t>elgbl_amnt_own_fnds_indvdl_lvl</t>
  </si>
  <si>
    <t>trdng_mthd</t>
  </si>
  <si>
    <t>dt_brth</t>
  </si>
  <si>
    <t>dt_dflt_stts</t>
  </si>
  <si>
    <t>dt_fnncl_sttmts</t>
  </si>
  <si>
    <t>dt_fnncl_sttmts_prvs</t>
  </si>
  <si>
    <t>dt_inttn_lgl_prcdngs_le</t>
  </si>
  <si>
    <t>gcc_prnt_id</t>
  </si>
  <si>
    <t>gcc_prnt_nm</t>
  </si>
  <si>
    <t>extrnl_rtng_nm</t>
  </si>
  <si>
    <t>accntng_frmwrk_sl</t>
  </si>
  <si>
    <t>dcsd</t>
  </si>
  <si>
    <t>dflt_stts</t>
  </si>
  <si>
    <t>dt_extrnl_rtng</t>
  </si>
  <si>
    <t>emplymnt_stts_intrnl</t>
  </si>
  <si>
    <t>emplymnt_stts</t>
  </si>
  <si>
    <t>entrprs_sz_le</t>
  </si>
  <si>
    <t>extrnl_rtng</t>
  </si>
  <si>
    <t>extrnl_rtng_prvs</t>
  </si>
  <si>
    <t>flg_bnkrptcy_in_grp</t>
  </si>
  <si>
    <t>flg_hgh_cds</t>
  </si>
  <si>
    <t>flg_isda_crdt_evnt</t>
  </si>
  <si>
    <t>flg_rqst_bnkrptcy</t>
  </si>
  <si>
    <t>flg_rqst_dstrssd_rstrctrng</t>
  </si>
  <si>
    <t>flg_rqst_emrgncy_fndng</t>
  </si>
  <si>
    <t>flg_sll_wth_lss</t>
  </si>
  <si>
    <t>incm_sc</t>
  </si>
  <si>
    <t>intrnl_rtng_prvs</t>
  </si>
  <si>
    <t>lgl_prcdng_stts_le</t>
  </si>
  <si>
    <t>ownd_by_spnsr</t>
  </si>
  <si>
    <t>prfrmng_stts_le</t>
  </si>
  <si>
    <t>wtch_lst</t>
  </si>
  <si>
    <t>sngl_prps_vhcl</t>
  </si>
  <si>
    <t>grp_ebitda</t>
  </si>
  <si>
    <t>grp_nt_dbt</t>
  </si>
  <si>
    <t>annl_trnvr_prvs</t>
  </si>
  <si>
    <t>capex</t>
  </si>
  <si>
    <t>capex_prvs</t>
  </si>
  <si>
    <t>cllctn_md</t>
  </si>
  <si>
    <t>csh</t>
  </si>
  <si>
    <t>csh_prvs</t>
  </si>
  <si>
    <t>ebitda</t>
  </si>
  <si>
    <t>ebitda_prvs</t>
  </si>
  <si>
    <t>eqty_prvs</t>
  </si>
  <si>
    <t>gdwill</t>
  </si>
  <si>
    <t>gdwill_prvs</t>
  </si>
  <si>
    <t>lti</t>
  </si>
  <si>
    <t>lvrg</t>
  </si>
  <si>
    <t>lvrg_prvs</t>
  </si>
  <si>
    <t>mnthl_incm</t>
  </si>
  <si>
    <t>mnthl_incm_slr</t>
  </si>
  <si>
    <t>mnthl_trnvr</t>
  </si>
  <si>
    <t>nt_incm</t>
  </si>
  <si>
    <t>nt_incm_prvs</t>
  </si>
  <si>
    <t>ttl_dbt_prvs</t>
  </si>
  <si>
    <t>ttl_intrst_pd</t>
  </si>
  <si>
    <t>ttl_lvrg_rt</t>
  </si>
  <si>
    <t>ttl_lvrg_rt_prvs</t>
  </si>
  <si>
    <t>dbt_rpymnt_cpcty_snr_dbt</t>
  </si>
  <si>
    <t>dbt_rpymnt_cpcty_ttl</t>
  </si>
  <si>
    <t>dbt_srvc_rt</t>
  </si>
  <si>
    <t>dbt_srvc_rt_12m</t>
  </si>
  <si>
    <t>flg_nn_accrl</t>
  </si>
  <si>
    <t>tax_id</t>
  </si>
  <si>
    <t>annl_trnvr_le_bdr</t>
  </si>
  <si>
    <t>annl_trnvr_prvs_bdr</t>
  </si>
  <si>
    <t>osi_id</t>
  </si>
  <si>
    <t>prsn_typ</t>
  </si>
  <si>
    <t>fr_csh_flw</t>
  </si>
  <si>
    <t>fr_csh_flw_t1</t>
  </si>
  <si>
    <t>fr_csh_flw_t2</t>
  </si>
  <si>
    <t>fr_csh_flw_t3</t>
  </si>
  <si>
    <t>flg_csrd_applcblty</t>
  </si>
  <si>
    <t>flg_grp_csrd_applcblty</t>
  </si>
  <si>
    <t>pd_ifrs9_12m_lftm_rd</t>
  </si>
  <si>
    <t>probability_default_others</t>
  </si>
  <si>
    <t>counterparty_role</t>
  </si>
  <si>
    <t>head_office_undertaking_id</t>
  </si>
  <si>
    <t>immediate_parent_undertaking_id</t>
  </si>
  <si>
    <t>ultimate_parent_undertaking_id</t>
  </si>
  <si>
    <t>address_street</t>
  </si>
  <si>
    <t>address_city_town_village</t>
  </si>
  <si>
    <t>address_county_adm_div</t>
  </si>
  <si>
    <t>legal_form</t>
  </si>
  <si>
    <t>institutional_sector</t>
  </si>
  <si>
    <t>date_enterprise_size</t>
  </si>
  <si>
    <t>number_employees</t>
  </si>
  <si>
    <t>balance_sheet_total</t>
  </si>
  <si>
    <t>flln_angl_extndd_dfntn</t>
  </si>
  <si>
    <t>flln_angl_nrrw_dfntn</t>
  </si>
  <si>
    <t>grp_rorac</t>
  </si>
  <si>
    <t>grp_rorwa</t>
  </si>
  <si>
    <t>scan</t>
  </si>
  <si>
    <t>ttl_prmssbl_dbt_blnc</t>
  </si>
  <si>
    <t>company_exposure</t>
  </si>
  <si>
    <t>cntrprty_typ</t>
  </si>
  <si>
    <t>cntrprty_rsltn_grp</t>
  </si>
  <si>
    <t>dt_mtrty_prtctn</t>
  </si>
  <si>
    <t>ntnl_id</t>
  </si>
  <si>
    <t>prtctn_prvdr_id</t>
  </si>
  <si>
    <t>rl_estt_addrss</t>
  </si>
  <si>
    <t>rl_estt_clltrl_lctn_int</t>
  </si>
  <si>
    <t>rl_estt_cty</t>
  </si>
  <si>
    <t>hrct_mv</t>
  </si>
  <si>
    <t>prtctn_clld</t>
  </si>
  <si>
    <t>typ_prtctn_intrnl</t>
  </si>
  <si>
    <t>typ_prtctn_vl</t>
  </si>
  <si>
    <t>apprsl_crrncy</t>
  </si>
  <si>
    <t>apprsr</t>
  </si>
  <si>
    <t>dt_lst_fll_apprsl</t>
  </si>
  <si>
    <t>dt_orgnl_prtctn_vl</t>
  </si>
  <si>
    <t>dt_prtctn_vl</t>
  </si>
  <si>
    <t>prtctn_frcd_sl_vl</t>
  </si>
  <si>
    <t>prtctn_vl_npe</t>
  </si>
  <si>
    <t>prtctn_vltn_apprch</t>
  </si>
  <si>
    <t>dt_apprsl_prvs</t>
  </si>
  <si>
    <t>prtctn_vl_prvs</t>
  </si>
  <si>
    <t>cnstrctn_stts</t>
  </si>
  <si>
    <t>dt_cnstrctn_stts</t>
  </si>
  <si>
    <t>dt_frst_usg</t>
  </si>
  <si>
    <t>dvlpmnt_stts</t>
  </si>
  <si>
    <t>mn_prps</t>
  </si>
  <si>
    <t>prm_lctn</t>
  </si>
  <si>
    <t>cre_incm_crrncy</t>
  </si>
  <si>
    <t>cre_yrly_expnss</t>
  </si>
  <si>
    <t>cre_yrly_incm</t>
  </si>
  <si>
    <t>prtctn_typ_pblc_grnt_schm_c19</t>
  </si>
  <si>
    <t>yr_cnstrctn</t>
  </si>
  <si>
    <t>gross_area</t>
  </si>
  <si>
    <t>land_area</t>
  </si>
  <si>
    <t>lien_position</t>
  </si>
  <si>
    <t>det_type_ship_collateral</t>
  </si>
  <si>
    <t>instrument_id</t>
  </si>
  <si>
    <t>protection_allocated_value</t>
  </si>
  <si>
    <t>thirdparty_claims_protection</t>
  </si>
  <si>
    <t>amnt_cvrd_insrnc</t>
  </si>
  <si>
    <t>bldng_ar</t>
  </si>
  <si>
    <t>dt_mtrty_insrnc</t>
  </si>
  <si>
    <t>dt_rgstrtn</t>
  </si>
  <si>
    <t>epc_emssns_lbl</t>
  </si>
  <si>
    <t>epc_emssns_scr</t>
  </si>
  <si>
    <t>flg_frst_hm</t>
  </si>
  <si>
    <t>insrnc_id</t>
  </si>
  <si>
    <t>prmry_enrgy_dmnd_nn_rnwbl</t>
  </si>
  <si>
    <t>prmry_enrgy_dmnd_rfrnc_vl</t>
  </si>
  <si>
    <t>prmry_enrgy_dmnd_ttl</t>
  </si>
  <si>
    <t>rl_estt_clmt_zn</t>
  </si>
  <si>
    <t>rl_estt_crtfctn</t>
  </si>
  <si>
    <t>typ_emssns_lbl</t>
  </si>
  <si>
    <t>typ_emssns_scr</t>
  </si>
  <si>
    <t>typ_hzrds_insrd</t>
  </si>
  <si>
    <t>typ_vhcl</t>
  </si>
  <si>
    <t>vhcl_emssns_lbl</t>
  </si>
  <si>
    <t>vhcl_emssns_scr</t>
  </si>
  <si>
    <t>flg_elctrc_vhcl</t>
  </si>
  <si>
    <t>flg_scrd</t>
  </si>
  <si>
    <t>jnt_lblty_amnt</t>
  </si>
  <si>
    <t>crelacao_cl_cnt</t>
  </si>
  <si>
    <t>csequencia_rel</t>
  </si>
  <si>
    <t>exporta_rel</t>
  </si>
  <si>
    <t>otstndng_prncpl_amnt</t>
  </si>
  <si>
    <t>prtn_amnt_rprtng_entty</t>
  </si>
  <si>
    <t>thrd_prty_prrty_clms</t>
  </si>
  <si>
    <t>typ_rltn</t>
  </si>
  <si>
    <t>grp_spprt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</si>
</sst>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Neo sans"/>
    </font>
    <font>
      <b/>
      <sz val="11"/>
      <color theme="1"/>
      <name val="Neo sans"/>
    </font>
    <font>
      <i/>
      <sz val="11"/>
      <color theme="1"/>
      <name val="Neo sans"/>
    </font>
    <font>
      <b/>
      <sz val="11"/>
      <color theme="0"/>
      <name val="Neo sans"/>
    </font>
    <font>
      <sz val="11"/>
      <color rgb="FF006100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b/>
      <i/>
      <sz val="10"/>
      <color theme="0"/>
      <name val="Arial"/>
      <family val="2"/>
    </font>
    <font>
      <b/>
      <sz val="10"/>
      <color rgb="FF006100"/>
      <name val="Aptos Narrow"/>
      <family val="2"/>
      <scheme val="minor"/>
    </font>
    <font>
      <b/>
      <i/>
      <sz val="11"/>
      <color rgb="FFFF0000"/>
      <name val="Arial"/>
      <family val="2"/>
    </font>
    <font>
      <b/>
      <sz val="11"/>
      <color theme="0"/>
      <name val="Arial"/>
      <family val="2"/>
    </font>
    <font>
      <b/>
      <i/>
      <sz val="11"/>
      <color theme="1"/>
      <name val="Neo sans"/>
    </font>
    <font>
      <sz val="11"/>
      <color theme="0" tint="-0.249977111117893"/>
      <name val="Arial"/>
      <family val="2"/>
    </font>
    <font>
      <sz val="11"/>
      <color rgb="FFFF0000"/>
      <name val="Arial"/>
      <family val="2"/>
    </font>
    <font>
      <b/>
      <sz val="8"/>
      <color rgb="FFFF0000"/>
      <name val="Arial"/>
      <family val="2"/>
    </font>
    <font>
      <b/>
      <sz val="10"/>
      <color rgb="FF6F6C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0" tint="-0.249977111117893"/>
      <name val="Aptos Narrow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theme="0" tint="-0.499984740745262"/>
      <name val="Aptos Narrow"/>
      <scheme val="minor"/>
    </font>
    <font>
      <sz val="11"/>
      <color theme="0" tint="-0.499984740745262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rgb="FFFF0000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/>
      <diagonal/>
    </border>
    <border>
      <left/>
      <right/>
      <top style="dotted">
        <color theme="0" tint="-0.499984740745262"/>
      </top>
      <bottom/>
      <diagonal/>
    </border>
    <border>
      <left/>
      <right style="dotted">
        <color theme="0" tint="-0.499984740745262"/>
      </right>
      <top style="dotted">
        <color theme="0" tint="-0.499984740745262"/>
      </top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/>
      <top/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/>
      <right style="dotted">
        <color theme="0" tint="-0.499984740745262"/>
      </right>
      <top/>
      <bottom style="dotted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/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</borders>
  <cellStyleXfs count="2">
    <xf numFmtId="0" fontId="0" fillId="0" borderId="0"/>
    <xf numFmtId="0" fontId="9" fillId="5" borderId="0" applyNumberFormat="0" applyBorder="0" applyAlignment="0" applyProtection="0"/>
  </cellStyleXfs>
  <cellXfs count="110">
    <xf numFmtId="0" fontId="0" fillId="0" borderId="0" xfId="0"/>
    <xf numFmtId="0" fontId="1" fillId="3" borderId="0" xfId="0" applyFont="1" applyFill="1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0" borderId="0" xfId="0" applyFont="1"/>
    <xf numFmtId="0" fontId="5" fillId="2" borderId="0" xfId="0" applyFont="1" applyFill="1"/>
    <xf numFmtId="0" fontId="5" fillId="4" borderId="0" xfId="0" applyFont="1" applyFill="1"/>
    <xf numFmtId="0" fontId="5" fillId="4" borderId="6" xfId="0" applyFont="1" applyFill="1" applyBorder="1"/>
    <xf numFmtId="0" fontId="5" fillId="4" borderId="7" xfId="0" applyFont="1" applyFill="1" applyBorder="1"/>
    <xf numFmtId="0" fontId="5" fillId="4" borderId="9" xfId="0" applyFont="1" applyFill="1" applyBorder="1"/>
    <xf numFmtId="0" fontId="5" fillId="4" borderId="10" xfId="0" applyFont="1" applyFill="1" applyBorder="1"/>
    <xf numFmtId="0" fontId="5" fillId="4" borderId="13" xfId="0" applyFont="1" applyFill="1" applyBorder="1"/>
    <xf numFmtId="0" fontId="5" fillId="4" borderId="14" xfId="0" applyFont="1" applyFill="1" applyBorder="1"/>
    <xf numFmtId="0" fontId="4" fillId="0" borderId="0" xfId="0" quotePrefix="1" applyFont="1"/>
    <xf numFmtId="0" fontId="4" fillId="3" borderId="15" xfId="0" applyFont="1" applyFill="1" applyBorder="1"/>
    <xf numFmtId="0" fontId="10" fillId="6" borderId="15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3" fillId="3" borderId="15" xfId="0" applyFont="1" applyFill="1" applyBorder="1"/>
    <xf numFmtId="0" fontId="12" fillId="2" borderId="15" xfId="0" applyFont="1" applyFill="1" applyBorder="1" applyAlignment="1">
      <alignment horizontal="center" vertical="center" wrapText="1"/>
    </xf>
    <xf numFmtId="14" fontId="4" fillId="3" borderId="15" xfId="0" applyNumberFormat="1" applyFont="1" applyFill="1" applyBorder="1"/>
    <xf numFmtId="14" fontId="1" fillId="0" borderId="11" xfId="0" applyNumberFormat="1" applyFont="1" applyBorder="1"/>
    <xf numFmtId="0" fontId="10" fillId="7" borderId="18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13" fillId="5" borderId="15" xfId="1" applyFont="1" applyBorder="1" applyAlignment="1">
      <alignment horizontal="center" vertical="center"/>
    </xf>
    <xf numFmtId="0" fontId="2" fillId="0" borderId="19" xfId="0" applyFont="1" applyBorder="1"/>
    <xf numFmtId="0" fontId="1" fillId="0" borderId="19" xfId="0" applyFont="1" applyBorder="1"/>
    <xf numFmtId="0" fontId="1" fillId="4" borderId="0" xfId="0" applyFont="1" applyFill="1"/>
    <xf numFmtId="0" fontId="2" fillId="4" borderId="19" xfId="0" applyFont="1" applyFill="1" applyBorder="1"/>
    <xf numFmtId="0" fontId="1" fillId="4" borderId="19" xfId="0" applyFont="1" applyFill="1" applyBorder="1"/>
    <xf numFmtId="0" fontId="10" fillId="2" borderId="17" xfId="0" applyFont="1" applyFill="1" applyBorder="1"/>
    <xf numFmtId="0" fontId="4" fillId="0" borderId="17" xfId="0" applyFont="1" applyBorder="1"/>
    <xf numFmtId="0" fontId="4" fillId="0" borderId="17" xfId="0" quotePrefix="1" applyFont="1" applyBorder="1"/>
    <xf numFmtId="0" fontId="1" fillId="0" borderId="17" xfId="0" applyFont="1" applyBorder="1"/>
    <xf numFmtId="0" fontId="10" fillId="7" borderId="17" xfId="0" applyFont="1" applyFill="1" applyBorder="1"/>
    <xf numFmtId="0" fontId="1" fillId="0" borderId="0" xfId="0" quotePrefix="1" applyFont="1"/>
    <xf numFmtId="0" fontId="5" fillId="3" borderId="20" xfId="0" applyFont="1" applyFill="1" applyBorder="1" applyAlignment="1">
      <alignment horizontal="left" indent="1"/>
    </xf>
    <xf numFmtId="0" fontId="5" fillId="3" borderId="21" xfId="0" applyFont="1" applyFill="1" applyBorder="1"/>
    <xf numFmtId="0" fontId="5" fillId="3" borderId="22" xfId="0" applyFont="1" applyFill="1" applyBorder="1"/>
    <xf numFmtId="0" fontId="5" fillId="3" borderId="23" xfId="0" applyFont="1" applyFill="1" applyBorder="1" applyAlignment="1">
      <alignment horizontal="left" indent="2"/>
    </xf>
    <xf numFmtId="0" fontId="5" fillId="3" borderId="24" xfId="0" applyFont="1" applyFill="1" applyBorder="1"/>
    <xf numFmtId="0" fontId="5" fillId="3" borderId="23" xfId="0" applyFont="1" applyFill="1" applyBorder="1" applyAlignment="1">
      <alignment horizontal="left" indent="6"/>
    </xf>
    <xf numFmtId="0" fontId="5" fillId="3" borderId="23" xfId="0" applyFont="1" applyFill="1" applyBorder="1" applyAlignment="1">
      <alignment horizontal="left" indent="1"/>
    </xf>
    <xf numFmtId="0" fontId="5" fillId="3" borderId="0" xfId="0" quotePrefix="1" applyFont="1" applyFill="1"/>
    <xf numFmtId="0" fontId="5" fillId="3" borderId="25" xfId="0" applyFont="1" applyFill="1" applyBorder="1" applyAlignment="1">
      <alignment horizontal="left" indent="1"/>
    </xf>
    <xf numFmtId="0" fontId="5" fillId="3" borderId="26" xfId="0" applyFont="1" applyFill="1" applyBorder="1"/>
    <xf numFmtId="0" fontId="5" fillId="3" borderId="27" xfId="0" applyFont="1" applyFill="1" applyBorder="1"/>
    <xf numFmtId="0" fontId="5" fillId="4" borderId="4" xfId="0" applyFont="1" applyFill="1" applyBorder="1" applyAlignment="1">
      <alignment horizontal="left" indent="1"/>
    </xf>
    <xf numFmtId="0" fontId="5" fillId="4" borderId="0" xfId="0" applyFont="1" applyFill="1" applyAlignment="1">
      <alignment horizontal="left" indent="1"/>
    </xf>
    <xf numFmtId="0" fontId="6" fillId="8" borderId="1" xfId="0" applyFont="1" applyFill="1" applyBorder="1"/>
    <xf numFmtId="0" fontId="5" fillId="8" borderId="2" xfId="0" applyFont="1" applyFill="1" applyBorder="1"/>
    <xf numFmtId="0" fontId="5" fillId="8" borderId="3" xfId="0" applyFont="1" applyFill="1" applyBorder="1"/>
    <xf numFmtId="0" fontId="5" fillId="8" borderId="1" xfId="0" applyFont="1" applyFill="1" applyBorder="1"/>
    <xf numFmtId="0" fontId="6" fillId="3" borderId="23" xfId="0" applyFont="1" applyFill="1" applyBorder="1" applyAlignment="1">
      <alignment horizontal="left" indent="1"/>
    </xf>
    <xf numFmtId="0" fontId="8" fillId="2" borderId="18" xfId="0" applyFont="1" applyFill="1" applyBorder="1"/>
    <xf numFmtId="0" fontId="8" fillId="2" borderId="16" xfId="0" applyFont="1" applyFill="1" applyBorder="1"/>
    <xf numFmtId="0" fontId="8" fillId="2" borderId="28" xfId="0" applyFont="1" applyFill="1" applyBorder="1"/>
    <xf numFmtId="0" fontId="17" fillId="0" borderId="0" xfId="0" applyFont="1"/>
    <xf numFmtId="0" fontId="18" fillId="0" borderId="0" xfId="0" applyFont="1"/>
    <xf numFmtId="0" fontId="2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15" fillId="10" borderId="17" xfId="0" applyFont="1" applyFill="1" applyBorder="1"/>
    <xf numFmtId="0" fontId="3" fillId="3" borderId="3" xfId="0" applyFont="1" applyFill="1" applyBorder="1"/>
    <xf numFmtId="0" fontId="17" fillId="0" borderId="29" xfId="0" applyFont="1" applyBorder="1"/>
    <xf numFmtId="0" fontId="17" fillId="0" borderId="30" xfId="0" applyFont="1" applyBorder="1"/>
    <xf numFmtId="0" fontId="19" fillId="3" borderId="36" xfId="0" applyFont="1" applyFill="1" applyBorder="1" applyAlignment="1">
      <alignment horizontal="left" vertical="center"/>
    </xf>
    <xf numFmtId="0" fontId="19" fillId="3" borderId="37" xfId="0" applyFont="1" applyFill="1" applyBorder="1" applyAlignment="1">
      <alignment horizontal="left" vertical="center"/>
    </xf>
    <xf numFmtId="0" fontId="19" fillId="3" borderId="38" xfId="0" applyFont="1" applyFill="1" applyBorder="1" applyAlignment="1">
      <alignment horizontal="left" vertical="center"/>
    </xf>
    <xf numFmtId="0" fontId="5" fillId="3" borderId="24" xfId="0" quotePrefix="1" applyFont="1" applyFill="1" applyBorder="1"/>
    <xf numFmtId="0" fontId="5" fillId="3" borderId="0" xfId="0" applyFont="1" applyFill="1" applyAlignment="1">
      <alignment horizontal="left" indent="7"/>
    </xf>
    <xf numFmtId="49" fontId="10" fillId="2" borderId="15" xfId="0" applyNumberFormat="1" applyFont="1" applyFill="1" applyBorder="1" applyAlignment="1">
      <alignment horizontal="center"/>
    </xf>
    <xf numFmtId="49" fontId="10" fillId="6" borderId="15" xfId="0" applyNumberFormat="1" applyFont="1" applyFill="1" applyBorder="1" applyAlignment="1">
      <alignment horizontal="center"/>
    </xf>
    <xf numFmtId="49" fontId="4" fillId="3" borderId="15" xfId="0" applyNumberFormat="1" applyFont="1" applyFill="1" applyBorder="1"/>
    <xf numFmtId="0" fontId="20" fillId="11" borderId="15" xfId="1" applyFont="1" applyFill="1" applyBorder="1" applyAlignment="1">
      <alignment horizontal="center" vertical="center"/>
    </xf>
    <xf numFmtId="0" fontId="20" fillId="11" borderId="15" xfId="1" applyFont="1" applyFill="1" applyBorder="1" applyAlignment="1">
      <alignment horizontal="left" vertical="center"/>
    </xf>
    <xf numFmtId="14" fontId="3" fillId="3" borderId="15" xfId="0" applyNumberFormat="1" applyFont="1" applyFill="1" applyBorder="1" applyAlignment="1">
      <alignment horizontal="left" vertical="center"/>
    </xf>
    <xf numFmtId="3" fontId="3" fillId="3" borderId="15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3" fillId="5" borderId="15" xfId="1" applyFont="1" applyBorder="1" applyAlignment="1">
      <alignment horizontal="left" vertical="center"/>
    </xf>
    <xf numFmtId="0" fontId="6" fillId="4" borderId="12" xfId="0" applyFont="1" applyFill="1" applyBorder="1"/>
    <xf numFmtId="0" fontId="6" fillId="4" borderId="5" xfId="0" applyFont="1" applyFill="1" applyBorder="1"/>
    <xf numFmtId="0" fontId="6" fillId="4" borderId="8" xfId="0" applyFont="1" applyFill="1" applyBorder="1"/>
    <xf numFmtId="0" fontId="16" fillId="4" borderId="12" xfId="0" applyFont="1" applyFill="1" applyBorder="1"/>
    <xf numFmtId="0" fontId="16" fillId="4" borderId="5" xfId="0" applyFont="1" applyFill="1" applyBorder="1"/>
    <xf numFmtId="14" fontId="0" fillId="0" borderId="0" xfId="0" applyNumberForma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3" borderId="0" xfId="0" applyFont="1" applyFill="1"/>
    <xf numFmtId="0" fontId="25" fillId="3" borderId="0" xfId="0" applyFont="1" applyFill="1"/>
    <xf numFmtId="0" fontId="0" fillId="12" borderId="0" xfId="0" applyFill="1"/>
    <xf numFmtId="0" fontId="17" fillId="0" borderId="39" xfId="0" applyFont="1" applyBorder="1"/>
    <xf numFmtId="0" fontId="17" fillId="0" borderId="40" xfId="0" applyFont="1" applyBorder="1"/>
    <xf numFmtId="0" fontId="17" fillId="0" borderId="41" xfId="0" applyFont="1" applyBorder="1"/>
    <xf numFmtId="0" fontId="21" fillId="0" borderId="0" xfId="0" quotePrefix="1" applyFont="1"/>
    <xf numFmtId="0" fontId="0" fillId="13" borderId="0" xfId="0" applyFill="1"/>
    <xf numFmtId="0" fontId="23" fillId="1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left" vertical="center"/>
    </xf>
    <xf numFmtId="0" fontId="13" fillId="5" borderId="0" xfId="1" applyFont="1" applyBorder="1" applyAlignment="1">
      <alignment horizontal="center" vertical="center"/>
    </xf>
    <xf numFmtId="0" fontId="8" fillId="2" borderId="31" xfId="0" applyFont="1" applyFill="1" applyBorder="1" applyAlignment="1">
      <alignment horizontal="left" wrapText="1"/>
    </xf>
    <xf numFmtId="0" fontId="8" fillId="2" borderId="32" xfId="0" applyFont="1" applyFill="1" applyBorder="1" applyAlignment="1">
      <alignment horizontal="left" wrapText="1"/>
    </xf>
    <xf numFmtId="0" fontId="19" fillId="9" borderId="33" xfId="0" applyFont="1" applyFill="1" applyBorder="1" applyAlignment="1">
      <alignment horizontal="center" wrapText="1"/>
    </xf>
    <xf numFmtId="0" fontId="19" fillId="9" borderId="34" xfId="0" applyFont="1" applyFill="1" applyBorder="1" applyAlignment="1">
      <alignment horizontal="center" wrapText="1"/>
    </xf>
    <xf numFmtId="0" fontId="19" fillId="9" borderId="35" xfId="0" applyFont="1" applyFill="1" applyBorder="1" applyAlignment="1">
      <alignment horizontal="center" wrapText="1"/>
    </xf>
  </cellXfs>
  <cellStyles count="2">
    <cellStyle name="Good" xfId="1" builtinId="26"/>
    <cellStyle name="Normal" xfId="0" builtinId="0"/>
  </cellStyles>
  <dxfs count="16"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FFB7"/>
      <color rgb="FFFFDD71"/>
      <color rgb="FFFFFFDD"/>
      <color rgb="FF644C00"/>
      <color rgb="FFFFFAEB"/>
      <color rgb="FFFDFDFD"/>
      <color rgb="FFFFF1C5"/>
      <color rgb="FFFFE593"/>
      <color rgb="FF777400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52917</xdr:colOff>
      <xdr:row>0</xdr:row>
      <xdr:rowOff>95250</xdr:rowOff>
    </xdr:from>
    <xdr:to>
      <xdr:col>2</xdr:col>
      <xdr:colOff>10584</xdr:colOff>
      <xdr:row>2</xdr:row>
      <xdr:rowOff>84667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28084" y="95250"/>
          <a:ext cx="1195917" cy="349250"/>
        </a:xfrm>
        <a:prstGeom prst="rect">
          <a:avLst/>
        </a:prstGeom>
        <a:solidFill>
          <a:srgbClr val="FFFFDD"/>
        </a:solidFill>
        <a:ln w="28575" cmpd="sng">
          <a:solidFill>
            <a:srgbClr val="FFDD7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800">
              <a:latin typeface="Arial" panose="020B0604020202020204" pitchFamily="34" charset="0"/>
              <a:cs typeface="Arial" panose="020B0604020202020204" pitchFamily="34" charset="0"/>
            </a:rPr>
            <a:t>Ilustrativo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600075</xdr:colOff>
      <xdr:row>1</xdr:row>
      <xdr:rowOff>76201</xdr:rowOff>
    </xdr:from>
    <xdr:to>
      <xdr:col>17</xdr:col>
      <xdr:colOff>552450</xdr:colOff>
      <xdr:row>19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3639800" y="257176"/>
          <a:ext cx="2695575" cy="3305174"/>
        </a:xfrm>
        <a:prstGeom prst="rect">
          <a:avLst/>
        </a:prstGeom>
        <a:solidFill>
          <a:srgbClr val="FFFFB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 b="1">
              <a:latin typeface="Arial" panose="020B0604020202020204" pitchFamily="34" charset="0"/>
              <a:cs typeface="Arial" panose="020B0604020202020204" pitchFamily="34" charset="0"/>
            </a:rPr>
            <a:t>Notas:</a:t>
          </a:r>
        </a:p>
        <a:p>
          <a:r>
            <a:rPr lang="pt-PT" sz="1100">
              <a:latin typeface="Arial" panose="020B0604020202020204" pitchFamily="34" charset="0"/>
              <a:cs typeface="Arial" panose="020B0604020202020204" pitchFamily="34" charset="0"/>
            </a:rPr>
            <a:t>-</a:t>
          </a:r>
          <a:r>
            <a:rPr lang="pt-PT" sz="1100" baseline="0">
              <a:latin typeface="Arial" panose="020B0604020202020204" pitchFamily="34" charset="0"/>
              <a:cs typeface="Arial" panose="020B0604020202020204" pitchFamily="34" charset="0"/>
            </a:rPr>
            <a:t> Colunas A a C - Ficheiro Loan Tape PM</a:t>
          </a:r>
        </a:p>
        <a:p>
          <a:r>
            <a:rPr lang="pt-PT" sz="1100" baseline="0">
              <a:latin typeface="Arial" panose="020B0604020202020204" pitchFamily="34" charset="0"/>
              <a:cs typeface="Arial" panose="020B0604020202020204" pitchFamily="34" charset="0"/>
            </a:rPr>
            <a:t>-Colunas F a J - PdS (último)</a:t>
          </a:r>
          <a:endParaRPr lang="pt-PT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PT" sz="1100">
              <a:latin typeface="Arial" panose="020B0604020202020204" pitchFamily="34" charset="0"/>
              <a:cs typeface="Arial" panose="020B0604020202020204" pitchFamily="34" charset="0"/>
            </a:rPr>
            <a:t>-</a:t>
          </a:r>
          <a:r>
            <a:rPr lang="pt-PT" sz="1100" baseline="0">
              <a:latin typeface="Arial" panose="020B0604020202020204" pitchFamily="34" charset="0"/>
              <a:cs typeface="Arial" panose="020B0604020202020204" pitchFamily="34" charset="0"/>
            </a:rPr>
            <a:t> Na coluna J o que tem package é referentes aos novos requisitos </a:t>
          </a:r>
        </a:p>
        <a:p>
          <a:r>
            <a:rPr lang="pt-PT" sz="1100" baseline="0">
              <a:latin typeface="Arial" panose="020B0604020202020204" pitchFamily="34" charset="0"/>
              <a:cs typeface="Arial" panose="020B0604020202020204" pitchFamily="34" charset="0"/>
            </a:rPr>
            <a:t>- Rever se falta algum campo para testar (quando filtra K e L por "N")</a:t>
          </a:r>
        </a:p>
        <a:p>
          <a:endParaRPr lang="pt-PT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PT" sz="1100" b="1" baseline="0">
              <a:latin typeface="Arial" panose="020B0604020202020204" pitchFamily="34" charset="0"/>
              <a:cs typeface="Arial" panose="020B0604020202020204" pitchFamily="34" charset="0"/>
            </a:rPr>
            <a:t>Notas sheet 2. Script </a:t>
          </a:r>
        </a:p>
        <a:p>
          <a:r>
            <a:rPr lang="pt-PT" sz="1100" baseline="0">
              <a:latin typeface="Arial" panose="020B0604020202020204" pitchFamily="34" charset="0"/>
              <a:cs typeface="Arial" panose="020B0604020202020204" pitchFamily="34" charset="0"/>
            </a:rPr>
            <a:t>- Os campos são filtro de Y no fich da corp para ESTR e Pilar 3 (exceto chaves de tabela)</a:t>
          </a:r>
        </a:p>
        <a:p>
          <a:endParaRPr lang="pt-PT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PT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PT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PT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PT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1"/>
  <sheetViews>
    <sheetView showGridLines="0" topLeftCell="A7" zoomScale="90" zoomScaleNormal="90" workbookViewId="0">
      <selection activeCell="C32" sqref="C32"/>
    </sheetView>
  </sheetViews>
  <sheetFormatPr defaultColWidth="0" defaultRowHeight="14" zeroHeight="1"/>
  <cols>
    <col min="1" max="2" width="3.6328125" style="7" customWidth="1"/>
    <col min="3" max="7" width="27.453125" style="7" customWidth="1"/>
    <col min="8" max="13" width="9.08984375" style="7" customWidth="1"/>
    <col min="14" max="14" width="3.6328125" style="7" customWidth="1"/>
    <col min="15" max="15" width="9.08984375" style="7" hidden="1" customWidth="1"/>
    <col min="16" max="32" width="0" style="7" hidden="1" customWidth="1"/>
    <col min="33" max="16384" width="9.08984375" style="7" hidden="1"/>
  </cols>
  <sheetData>
    <row r="1" spans="1:30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3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/>
    <row r="6" spans="1:30" ht="14.5" thickBot="1">
      <c r="B6" s="28" t="s">
        <v>82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7" spans="1:30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30">
      <c r="B8" s="52" t="s">
        <v>12</v>
      </c>
      <c r="C8" s="53"/>
      <c r="D8" s="55" t="s">
        <v>1079</v>
      </c>
      <c r="E8" s="53"/>
      <c r="F8" s="53"/>
      <c r="G8" s="53"/>
      <c r="H8" s="53"/>
      <c r="I8" s="53"/>
      <c r="J8" s="53"/>
      <c r="K8" s="53"/>
      <c r="L8" s="53"/>
      <c r="M8" s="54"/>
    </row>
    <row r="9" spans="1:30">
      <c r="B9" s="52" t="s">
        <v>13</v>
      </c>
      <c r="C9" s="53"/>
      <c r="D9" s="55" t="s">
        <v>1080</v>
      </c>
      <c r="E9" s="53"/>
      <c r="F9" s="53"/>
      <c r="G9" s="53"/>
      <c r="H9" s="53"/>
      <c r="I9" s="53"/>
      <c r="J9" s="53"/>
      <c r="K9" s="53"/>
      <c r="L9" s="53"/>
      <c r="M9" s="54"/>
    </row>
    <row r="10" spans="1:30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30" ht="14.5">
      <c r="B11" s="50" t="s">
        <v>1081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30" ht="3" customHeight="1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30" ht="3" customHeight="1">
      <c r="B13" s="39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1"/>
    </row>
    <row r="14" spans="1:30">
      <c r="B14" s="56" t="s">
        <v>74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43"/>
    </row>
    <row r="15" spans="1:30">
      <c r="B15" s="42" t="s">
        <v>15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43"/>
    </row>
    <row r="16" spans="1:30">
      <c r="B16" s="42" t="s">
        <v>16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43"/>
    </row>
    <row r="17" spans="2:13">
      <c r="B17" s="44" t="s">
        <v>17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43"/>
    </row>
    <row r="18" spans="2:13">
      <c r="B18" s="44" t="s">
        <v>18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43"/>
    </row>
    <row r="19" spans="2:13">
      <c r="B19" s="44" t="s">
        <v>19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43"/>
    </row>
    <row r="20" spans="2:13">
      <c r="B20" s="44" t="s">
        <v>20</v>
      </c>
      <c r="C20" s="6"/>
      <c r="D20" s="6"/>
      <c r="E20" s="6"/>
      <c r="F20" s="6"/>
      <c r="G20" s="6"/>
      <c r="H20" s="6"/>
      <c r="I20" s="6"/>
      <c r="J20" s="46" t="s">
        <v>40</v>
      </c>
      <c r="K20" s="6"/>
      <c r="L20" s="6"/>
      <c r="M20" s="43"/>
    </row>
    <row r="21" spans="2:13">
      <c r="B21" s="56" t="s">
        <v>75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43"/>
    </row>
    <row r="22" spans="2:13">
      <c r="B22" s="56" t="s">
        <v>76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43"/>
    </row>
    <row r="23" spans="2:13">
      <c r="B23" s="44" t="s">
        <v>124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71" t="s">
        <v>40</v>
      </c>
    </row>
    <row r="24" spans="2:13">
      <c r="B24" s="56" t="s">
        <v>77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43"/>
    </row>
    <row r="25" spans="2:13" ht="3" customHeight="1">
      <c r="B25" s="45"/>
      <c r="C25" s="6"/>
      <c r="D25" s="6"/>
      <c r="E25" s="6"/>
      <c r="F25" s="6"/>
      <c r="G25" s="6"/>
      <c r="H25" s="6"/>
      <c r="I25" s="6"/>
      <c r="J25" s="6"/>
      <c r="K25" s="6"/>
      <c r="L25" s="6"/>
      <c r="M25" s="43"/>
    </row>
    <row r="26" spans="2:13">
      <c r="B26" s="45"/>
      <c r="C26" s="57" t="s">
        <v>32</v>
      </c>
      <c r="D26" s="58" t="s">
        <v>31</v>
      </c>
      <c r="E26" s="58" t="s">
        <v>1</v>
      </c>
      <c r="F26" s="58" t="s">
        <v>33</v>
      </c>
      <c r="G26" s="59" t="s">
        <v>34</v>
      </c>
      <c r="H26" s="6"/>
      <c r="I26" s="6"/>
      <c r="J26" s="6"/>
      <c r="K26" s="6"/>
      <c r="L26" s="6"/>
      <c r="M26" s="43"/>
    </row>
    <row r="27" spans="2:13">
      <c r="B27" s="45"/>
      <c r="C27" s="82" t="s">
        <v>1082</v>
      </c>
      <c r="D27" s="14" t="s">
        <v>1083</v>
      </c>
      <c r="E27" s="14" t="s">
        <v>1084</v>
      </c>
      <c r="F27" s="14" t="s">
        <v>1147</v>
      </c>
      <c r="G27" s="15" t="s">
        <v>1148</v>
      </c>
      <c r="H27" s="6"/>
      <c r="I27" s="6"/>
      <c r="J27" s="6"/>
      <c r="K27" s="6"/>
      <c r="L27" s="6"/>
      <c r="M27" s="43"/>
    </row>
    <row r="28" spans="2:13">
      <c r="B28" s="45"/>
      <c r="C28" s="83" t="s">
        <v>81</v>
      </c>
      <c r="D28" s="10" t="s">
        <v>24</v>
      </c>
      <c r="E28" s="10" t="s">
        <v>1086</v>
      </c>
      <c r="F28" s="10" t="s">
        <v>25</v>
      </c>
      <c r="G28" s="11"/>
      <c r="H28" s="6"/>
      <c r="I28" s="6"/>
      <c r="J28" s="6"/>
      <c r="K28" s="6"/>
      <c r="L28" s="6"/>
      <c r="M28" s="43"/>
    </row>
    <row r="29" spans="2:13">
      <c r="B29" s="45"/>
      <c r="C29" s="83" t="s">
        <v>11</v>
      </c>
      <c r="D29" s="10" t="s">
        <v>23</v>
      </c>
      <c r="E29" s="10" t="s">
        <v>1085</v>
      </c>
      <c r="F29" s="10" t="s">
        <v>27</v>
      </c>
      <c r="G29" s="11"/>
      <c r="H29" s="6"/>
      <c r="I29" s="6"/>
      <c r="J29" s="6"/>
      <c r="K29" s="6"/>
      <c r="L29" s="6"/>
      <c r="M29" s="43"/>
    </row>
    <row r="30" spans="2:13">
      <c r="B30" s="45"/>
      <c r="C30" s="83" t="s">
        <v>80</v>
      </c>
      <c r="D30" s="10" t="s">
        <v>30</v>
      </c>
      <c r="E30" s="10" t="s">
        <v>1087</v>
      </c>
      <c r="F30" s="10" t="s">
        <v>29</v>
      </c>
      <c r="G30" s="11"/>
      <c r="H30" s="6"/>
      <c r="I30" s="6"/>
      <c r="J30" s="6"/>
      <c r="K30" s="6"/>
      <c r="L30" s="6"/>
      <c r="M30" s="43"/>
    </row>
    <row r="31" spans="2:13">
      <c r="B31" s="45"/>
      <c r="C31" s="83" t="s">
        <v>310</v>
      </c>
      <c r="D31" s="10" t="s">
        <v>26</v>
      </c>
      <c r="E31" s="10" t="s">
        <v>1088</v>
      </c>
      <c r="F31" s="10" t="s">
        <v>27</v>
      </c>
      <c r="G31" s="11" t="s">
        <v>25</v>
      </c>
      <c r="H31" s="6"/>
      <c r="I31" s="6"/>
      <c r="J31" s="6"/>
      <c r="K31" s="6"/>
      <c r="L31" s="6"/>
      <c r="M31" s="43"/>
    </row>
    <row r="32" spans="2:13">
      <c r="B32" s="45"/>
      <c r="C32" s="83" t="s">
        <v>311</v>
      </c>
      <c r="D32" s="10" t="s">
        <v>28</v>
      </c>
      <c r="E32" s="10" t="s">
        <v>1089</v>
      </c>
      <c r="F32" s="10" t="s">
        <v>27</v>
      </c>
      <c r="G32" s="11" t="s">
        <v>29</v>
      </c>
      <c r="H32" s="46" t="s">
        <v>40</v>
      </c>
      <c r="I32" s="6"/>
      <c r="J32" s="6"/>
      <c r="K32" s="6"/>
      <c r="L32" s="6"/>
      <c r="M32" s="43"/>
    </row>
    <row r="33" spans="2:13" ht="3" customHeight="1">
      <c r="B33" s="45"/>
      <c r="C33" s="6"/>
      <c r="D33" s="6"/>
      <c r="E33" s="6"/>
      <c r="F33" s="6"/>
      <c r="G33" s="6"/>
      <c r="H33" s="6"/>
      <c r="I33" s="6"/>
      <c r="J33" s="6"/>
      <c r="K33" s="6"/>
      <c r="L33" s="6"/>
      <c r="M33" s="43"/>
    </row>
    <row r="34" spans="2:13" ht="15" customHeight="1">
      <c r="B34" s="45"/>
      <c r="C34" s="105" t="s">
        <v>278</v>
      </c>
      <c r="D34" s="106"/>
      <c r="E34" s="106"/>
      <c r="F34" s="106"/>
      <c r="G34" s="106"/>
      <c r="H34" s="6"/>
      <c r="I34" s="6"/>
      <c r="J34" s="6"/>
      <c r="K34" s="6"/>
      <c r="L34" s="6"/>
      <c r="M34" s="43"/>
    </row>
    <row r="35" spans="2:13">
      <c r="B35" s="45"/>
      <c r="C35" s="85" t="s">
        <v>276</v>
      </c>
      <c r="D35" s="14" t="s">
        <v>36</v>
      </c>
      <c r="E35" s="14"/>
      <c r="F35" s="14"/>
      <c r="G35" s="15"/>
      <c r="H35" s="6"/>
      <c r="I35" s="6"/>
      <c r="J35" s="6"/>
      <c r="K35" s="6"/>
      <c r="L35" s="6"/>
      <c r="M35" s="43"/>
    </row>
    <row r="36" spans="2:13">
      <c r="B36" s="45"/>
      <c r="C36" s="86" t="s">
        <v>277</v>
      </c>
      <c r="D36" s="10" t="s">
        <v>36</v>
      </c>
      <c r="E36" s="10"/>
      <c r="F36" s="10"/>
      <c r="G36" s="11"/>
      <c r="H36" s="6"/>
      <c r="I36" s="6"/>
      <c r="J36" s="6"/>
      <c r="K36" s="6"/>
      <c r="L36" s="6"/>
      <c r="M36" s="43"/>
    </row>
    <row r="37" spans="2:13">
      <c r="B37" s="45"/>
      <c r="C37" s="83" t="s">
        <v>14</v>
      </c>
      <c r="D37" s="10" t="s">
        <v>1090</v>
      </c>
      <c r="E37" s="10"/>
      <c r="F37" s="10"/>
      <c r="G37" s="11"/>
      <c r="H37" s="6"/>
      <c r="I37" s="6"/>
      <c r="J37" s="6"/>
      <c r="K37" s="6"/>
      <c r="L37" s="6"/>
      <c r="M37" s="43"/>
    </row>
    <row r="38" spans="2:13">
      <c r="B38" s="45"/>
      <c r="C38" s="83" t="s">
        <v>21</v>
      </c>
      <c r="D38" s="10" t="s">
        <v>37</v>
      </c>
      <c r="E38" s="10"/>
      <c r="F38" s="10"/>
      <c r="G38" s="11"/>
      <c r="H38" s="6"/>
      <c r="I38" s="6"/>
      <c r="J38" s="6"/>
      <c r="K38" s="6"/>
      <c r="L38" s="6"/>
      <c r="M38" s="43"/>
    </row>
    <row r="39" spans="2:13">
      <c r="B39" s="45"/>
      <c r="C39" s="83" t="s">
        <v>1074</v>
      </c>
      <c r="D39" s="10" t="s">
        <v>1091</v>
      </c>
      <c r="E39" s="10"/>
      <c r="F39" s="10"/>
      <c r="G39" s="11"/>
      <c r="H39" s="6"/>
      <c r="I39" s="6"/>
      <c r="J39" s="6"/>
      <c r="K39" s="6"/>
      <c r="L39" s="6"/>
      <c r="M39" s="43"/>
    </row>
    <row r="40" spans="2:13">
      <c r="B40" s="45"/>
      <c r="C40" s="83" t="s">
        <v>1074</v>
      </c>
      <c r="D40" s="10" t="s">
        <v>38</v>
      </c>
      <c r="E40" s="10"/>
      <c r="F40" s="10"/>
      <c r="G40" s="11"/>
      <c r="H40" s="6"/>
      <c r="I40" s="6"/>
      <c r="J40" s="6"/>
      <c r="K40" s="6"/>
      <c r="L40" s="6"/>
      <c r="M40" s="43"/>
    </row>
    <row r="41" spans="2:13">
      <c r="B41" s="45"/>
      <c r="C41" s="83" t="s">
        <v>22</v>
      </c>
      <c r="D41" s="10" t="s">
        <v>39</v>
      </c>
      <c r="E41" s="10"/>
      <c r="F41" s="10"/>
      <c r="G41" s="11"/>
      <c r="H41" s="6"/>
      <c r="I41" s="6"/>
      <c r="J41" s="6"/>
      <c r="K41" s="6"/>
      <c r="L41" s="6"/>
      <c r="M41" s="43"/>
    </row>
    <row r="42" spans="2:13">
      <c r="B42" s="45"/>
      <c r="C42" s="83" t="s">
        <v>35</v>
      </c>
      <c r="D42" s="10" t="str">
        <f>+"ref_date='${ref_date}'"&amp;" AND "&amp;C37&amp;"='"&amp;D37&amp;"' AND "&amp;C38&amp;"='"&amp;D38&amp;"' AND ambito='"&amp;D39&amp;"'"&amp;" AND "&amp;C41&amp;"='"&amp;D41&amp;"'"</f>
        <v>ref_date='${ref_date}' AND nome_perimetro='Individual Local' AND segmento='ESTR' AND ambito='SRB_MBDT' AND entidade='00100'</v>
      </c>
      <c r="E42" s="10"/>
      <c r="F42" s="10"/>
      <c r="G42" s="11"/>
      <c r="H42" s="46" t="s">
        <v>40</v>
      </c>
      <c r="I42" s="6"/>
      <c r="J42" s="6"/>
      <c r="K42" s="6"/>
      <c r="L42" s="6"/>
      <c r="M42" s="43"/>
    </row>
    <row r="43" spans="2:13">
      <c r="B43" s="45"/>
      <c r="C43" s="84" t="s">
        <v>309</v>
      </c>
      <c r="D43" s="12" t="str">
        <f>+"ref_date='${ref_date}'"&amp;" AND "&amp;C37&amp;"='"&amp;D37&amp;"' AND "&amp;C38&amp;"='"&amp;D38&amp;"' AND ambito='"&amp;D40&amp;"'"&amp;" AND "&amp;C41&amp;"='"&amp;D41&amp;"'"</f>
        <v>ref_date='${ref_date}' AND nome_perimetro='Individual Local' AND segmento='ESTR' AND ambito='PILAR3' AND entidade='00100'</v>
      </c>
      <c r="E43" s="12"/>
      <c r="F43" s="12"/>
      <c r="G43" s="13"/>
      <c r="H43" s="46"/>
      <c r="I43" s="6"/>
      <c r="J43" s="6"/>
      <c r="K43" s="6"/>
      <c r="L43" s="6"/>
      <c r="M43" s="43"/>
    </row>
    <row r="44" spans="2:13" ht="3" customHeight="1">
      <c r="B44" s="45"/>
      <c r="C44" s="6"/>
      <c r="D44" s="6"/>
      <c r="E44" s="6"/>
      <c r="F44" s="6"/>
      <c r="G44" s="6"/>
      <c r="H44" s="6"/>
      <c r="I44" s="6"/>
      <c r="J44" s="6"/>
      <c r="K44" s="6"/>
      <c r="L44" s="6"/>
      <c r="M44" s="43"/>
    </row>
    <row r="45" spans="2:13" ht="14.25" customHeight="1">
      <c r="B45" s="56" t="s">
        <v>125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43"/>
    </row>
    <row r="46" spans="2:13" ht="14.25" customHeight="1">
      <c r="B46" s="44" t="s">
        <v>126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43"/>
    </row>
    <row r="47" spans="2:13" ht="3" customHeight="1">
      <c r="B47" s="44"/>
      <c r="C47" s="6"/>
      <c r="D47" s="6"/>
      <c r="E47" s="6"/>
      <c r="F47" s="6"/>
      <c r="G47" s="6"/>
      <c r="H47" s="6"/>
      <c r="I47" s="6"/>
      <c r="J47" s="6"/>
      <c r="K47" s="6"/>
      <c r="L47" s="6"/>
      <c r="M47" s="43"/>
    </row>
    <row r="48" spans="2:13" ht="14.25" customHeight="1">
      <c r="B48" s="44"/>
      <c r="C48" s="72" t="s">
        <v>127</v>
      </c>
      <c r="D48" s="6"/>
      <c r="E48" s="6"/>
      <c r="F48" s="6"/>
      <c r="G48" s="6"/>
      <c r="H48" s="6"/>
      <c r="I48" s="6"/>
      <c r="J48" s="6"/>
      <c r="K48" s="6"/>
      <c r="L48" s="6"/>
      <c r="M48" s="43"/>
    </row>
    <row r="49" spans="2:13" ht="14.25" customHeight="1">
      <c r="B49" s="44"/>
      <c r="C49" s="72" t="s">
        <v>128</v>
      </c>
      <c r="D49" s="6"/>
      <c r="E49" s="6"/>
      <c r="F49" s="6"/>
      <c r="G49" s="6"/>
      <c r="H49" s="6"/>
      <c r="I49" s="6"/>
      <c r="J49" s="6"/>
      <c r="K49" s="6"/>
      <c r="L49" s="6"/>
      <c r="M49" s="43"/>
    </row>
    <row r="50" spans="2:13" ht="14.25" customHeight="1">
      <c r="B50" s="44"/>
      <c r="C50" s="72" t="s">
        <v>129</v>
      </c>
      <c r="D50" s="6"/>
      <c r="E50" s="6"/>
      <c r="F50" s="6"/>
      <c r="G50" s="6"/>
      <c r="H50" s="6"/>
      <c r="I50" s="6"/>
      <c r="J50" s="6"/>
      <c r="K50" s="6"/>
      <c r="L50" s="6"/>
      <c r="M50" s="43"/>
    </row>
    <row r="51" spans="2:13" ht="14.25" customHeight="1">
      <c r="B51" s="44"/>
      <c r="C51" s="72" t="s">
        <v>130</v>
      </c>
      <c r="D51" s="6"/>
      <c r="E51" s="6"/>
      <c r="F51" s="6"/>
      <c r="G51" s="6"/>
      <c r="H51" s="6"/>
      <c r="I51" s="6"/>
      <c r="J51" s="6"/>
      <c r="K51" s="6"/>
      <c r="L51" s="6"/>
      <c r="M51" s="43"/>
    </row>
    <row r="52" spans="2:13" ht="14.25" customHeight="1">
      <c r="B52" s="44"/>
      <c r="C52" s="72" t="s">
        <v>131</v>
      </c>
      <c r="D52" s="6"/>
      <c r="E52" s="6"/>
      <c r="F52" s="6"/>
      <c r="G52" s="6"/>
      <c r="H52" s="6"/>
      <c r="I52" s="6"/>
      <c r="J52" s="6"/>
      <c r="K52" s="6"/>
      <c r="L52" s="6"/>
      <c r="M52" s="43"/>
    </row>
    <row r="53" spans="2:13" ht="14.25" customHeight="1">
      <c r="B53" s="44"/>
      <c r="C53" s="72" t="s">
        <v>132</v>
      </c>
      <c r="D53" s="6"/>
      <c r="E53" s="6"/>
      <c r="F53" s="6"/>
      <c r="G53" s="6"/>
      <c r="H53" s="6"/>
      <c r="I53" s="6"/>
      <c r="J53" s="6"/>
      <c r="K53" s="6"/>
      <c r="L53" s="6"/>
      <c r="M53" s="43"/>
    </row>
    <row r="54" spans="2:13" ht="14.25" customHeight="1">
      <c r="B54" s="44"/>
      <c r="C54" s="72" t="s">
        <v>133</v>
      </c>
      <c r="D54" s="6"/>
      <c r="E54" s="6"/>
      <c r="F54" s="6"/>
      <c r="G54" s="6"/>
      <c r="H54" s="6"/>
      <c r="I54" s="6"/>
      <c r="J54" s="6"/>
      <c r="K54" s="6"/>
      <c r="L54" s="6"/>
      <c r="M54" s="43"/>
    </row>
    <row r="55" spans="2:13" ht="14.25" customHeight="1">
      <c r="B55" s="44"/>
      <c r="C55" s="72" t="s">
        <v>134</v>
      </c>
      <c r="D55" s="6"/>
      <c r="E55" s="6"/>
      <c r="F55" s="6"/>
      <c r="G55" s="6"/>
      <c r="H55" s="6"/>
      <c r="I55" s="6"/>
      <c r="J55" s="6"/>
      <c r="K55" s="6"/>
      <c r="L55" s="6"/>
      <c r="M55" s="43"/>
    </row>
    <row r="56" spans="2:13" ht="14.25" customHeight="1">
      <c r="B56" s="44"/>
      <c r="C56" s="72" t="s">
        <v>135</v>
      </c>
      <c r="D56" s="6"/>
      <c r="E56" s="6"/>
      <c r="F56" s="6"/>
      <c r="G56" s="6"/>
      <c r="H56" s="6"/>
      <c r="I56" s="6"/>
      <c r="J56" s="6"/>
      <c r="K56" s="6"/>
      <c r="L56" s="6"/>
      <c r="M56" s="43"/>
    </row>
    <row r="57" spans="2:13" ht="14.25" customHeight="1">
      <c r="B57" s="44"/>
      <c r="C57" s="72" t="s">
        <v>136</v>
      </c>
      <c r="D57" s="6"/>
      <c r="E57" s="6"/>
      <c r="F57" s="6"/>
      <c r="G57" s="6"/>
      <c r="H57" s="6"/>
      <c r="I57" s="6"/>
      <c r="J57" s="6"/>
      <c r="K57" s="6"/>
      <c r="L57" s="6"/>
      <c r="M57" s="43"/>
    </row>
    <row r="58" spans="2:13" ht="14.25" customHeight="1">
      <c r="B58" s="44"/>
      <c r="C58" s="72" t="s">
        <v>137</v>
      </c>
      <c r="D58" s="6"/>
      <c r="E58" s="6"/>
      <c r="F58" s="6"/>
      <c r="G58" s="6"/>
      <c r="H58" s="6"/>
      <c r="I58" s="6"/>
      <c r="J58" s="6"/>
      <c r="K58" s="6"/>
      <c r="L58" s="6"/>
      <c r="M58" s="43"/>
    </row>
    <row r="59" spans="2:13" ht="14.25" customHeight="1">
      <c r="B59" s="44"/>
      <c r="C59" s="72" t="s">
        <v>138</v>
      </c>
      <c r="D59" s="6"/>
      <c r="E59" s="6"/>
      <c r="F59" s="6"/>
      <c r="G59" s="6"/>
      <c r="H59" s="6"/>
      <c r="I59" s="6"/>
      <c r="J59" s="6"/>
      <c r="K59" s="6"/>
      <c r="L59" s="6"/>
      <c r="M59" s="43"/>
    </row>
    <row r="60" spans="2:13" ht="14.25" customHeight="1">
      <c r="B60" s="44"/>
      <c r="C60" s="72" t="s">
        <v>139</v>
      </c>
      <c r="D60" s="6"/>
      <c r="E60" s="6"/>
      <c r="F60" s="6"/>
      <c r="G60" s="6"/>
      <c r="H60" s="6"/>
      <c r="I60" s="6"/>
      <c r="J60" s="6"/>
      <c r="K60" s="6"/>
      <c r="L60" s="6"/>
      <c r="M60" s="43"/>
    </row>
    <row r="61" spans="2:13" ht="14.25" customHeight="1">
      <c r="B61" s="44"/>
      <c r="C61" s="72" t="s">
        <v>140</v>
      </c>
      <c r="D61" s="6"/>
      <c r="E61" s="6"/>
      <c r="F61" s="6"/>
      <c r="G61" s="6"/>
      <c r="H61" s="6"/>
      <c r="I61" s="6"/>
      <c r="J61" s="6"/>
      <c r="K61" s="6"/>
      <c r="L61" s="6"/>
      <c r="M61" s="43"/>
    </row>
    <row r="62" spans="2:13" ht="14.25" customHeight="1">
      <c r="B62" s="44"/>
      <c r="C62" s="6"/>
      <c r="D62" s="6"/>
      <c r="E62" s="6"/>
      <c r="F62" s="6"/>
      <c r="G62" s="6"/>
      <c r="H62" s="6"/>
      <c r="I62" s="6"/>
      <c r="J62" s="6"/>
      <c r="K62" s="6"/>
      <c r="L62" s="6"/>
      <c r="M62" s="43"/>
    </row>
    <row r="63" spans="2:13" ht="14.25" customHeight="1">
      <c r="B63" s="44"/>
      <c r="C63" s="6"/>
      <c r="D63" s="6"/>
      <c r="E63" s="6"/>
      <c r="F63" s="6"/>
      <c r="G63" s="6"/>
      <c r="H63" s="6"/>
      <c r="I63" s="6"/>
      <c r="J63" s="6"/>
      <c r="K63" s="6"/>
      <c r="L63" s="6"/>
      <c r="M63" s="43"/>
    </row>
    <row r="64" spans="2:13" ht="14.25" customHeight="1">
      <c r="B64" s="44"/>
      <c r="C64" s="6"/>
      <c r="D64" s="6"/>
      <c r="E64" s="6"/>
      <c r="F64" s="6"/>
      <c r="G64" s="6"/>
      <c r="H64" s="6"/>
      <c r="I64" s="6"/>
      <c r="J64" s="6"/>
      <c r="K64" s="6"/>
      <c r="L64" s="6"/>
      <c r="M64" s="43"/>
    </row>
    <row r="65" spans="2:13" ht="14.25" customHeight="1">
      <c r="B65" s="44"/>
      <c r="C65" s="6"/>
      <c r="D65" s="6"/>
      <c r="E65" s="6"/>
      <c r="F65" s="6"/>
      <c r="G65" s="6"/>
      <c r="H65" s="6"/>
      <c r="I65" s="6"/>
      <c r="J65" s="6"/>
      <c r="K65" s="6"/>
      <c r="L65" s="6"/>
      <c r="M65" s="43"/>
    </row>
    <row r="66" spans="2:13" ht="14.25" customHeight="1">
      <c r="B66" s="44"/>
      <c r="C66" s="6"/>
      <c r="D66" s="6"/>
      <c r="E66" s="6"/>
      <c r="F66" s="6"/>
      <c r="G66" s="6"/>
      <c r="H66" s="6"/>
      <c r="I66" s="6"/>
      <c r="J66" s="6"/>
      <c r="K66" s="6"/>
      <c r="L66" s="6"/>
      <c r="M66" s="43"/>
    </row>
    <row r="67" spans="2:13" ht="14.25" customHeight="1">
      <c r="B67" s="44"/>
      <c r="C67" s="6"/>
      <c r="D67" s="6"/>
      <c r="E67" s="6"/>
      <c r="F67" s="6"/>
      <c r="G67" s="6"/>
      <c r="H67" s="6"/>
      <c r="I67" s="6"/>
      <c r="J67" s="6"/>
      <c r="K67" s="6"/>
      <c r="L67" s="6"/>
      <c r="M67" s="43"/>
    </row>
    <row r="68" spans="2:13" ht="14.25" customHeight="1">
      <c r="B68" s="44"/>
      <c r="C68" s="6"/>
      <c r="D68" s="6"/>
      <c r="E68" s="6"/>
      <c r="F68" s="6"/>
      <c r="G68" s="6"/>
      <c r="H68" s="6"/>
      <c r="I68" s="6"/>
      <c r="J68" s="6"/>
      <c r="K68" s="6"/>
      <c r="L68" s="6"/>
      <c r="M68" s="43"/>
    </row>
    <row r="69" spans="2:13" ht="14.25" customHeight="1">
      <c r="B69" s="56" t="s">
        <v>78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43"/>
    </row>
    <row r="70" spans="2:13" ht="14.25" customHeight="1">
      <c r="B70" s="56" t="s">
        <v>79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43"/>
    </row>
    <row r="71" spans="2:13" ht="3" customHeight="1">
      <c r="B71" s="47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9"/>
    </row>
    <row r="72" spans="2:13">
      <c r="B72" s="51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2:13" hidden="1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2:13" hidden="1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 spans="2:13" hidden="1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 spans="2:13" hidden="1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 spans="2:13" hidden="1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 spans="2:13" hidden="1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 spans="2:13" hidden="1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spans="2:13" hidden="1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  <row r="81"/>
  </sheetData>
  <mergeCells count="1">
    <mergeCell ref="C34:G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688"/>
  <sheetViews>
    <sheetView showGridLines="0" topLeftCell="H42" zoomScale="80" zoomScaleNormal="80" workbookViewId="0">
      <selection activeCell="M54" sqref="M54"/>
    </sheetView>
  </sheetViews>
  <sheetFormatPr defaultColWidth="0" defaultRowHeight="14" zeroHeight="1"/>
  <cols>
    <col min="1" max="1" width="3.6328125" style="2" customWidth="1"/>
    <col min="2" max="6" width="8.6328125" style="2" hidden="1" customWidth="1"/>
    <col min="7" max="7" width="3.6328125" style="2" hidden="1" customWidth="1"/>
    <col min="8" max="8" width="17.6328125" style="2" customWidth="1"/>
    <col min="9" max="9" width="34.6328125" style="2" bestFit="1" customWidth="1"/>
    <col min="10" max="11" width="16.08984375" style="2" customWidth="1"/>
    <col min="12" max="12" width="13.6328125" style="2" customWidth="1"/>
    <col min="13" max="14" width="16.08984375" style="2" customWidth="1"/>
    <col min="15" max="15" width="13.6328125" style="2" customWidth="1"/>
    <col min="16" max="16" width="16.08984375" style="2" customWidth="1"/>
    <col min="17" max="17" width="13.6328125" style="2" customWidth="1"/>
    <col min="18" max="18" width="16.08984375" style="2" customWidth="1"/>
    <col min="19" max="19" width="13.6328125" style="2" customWidth="1"/>
    <col min="20" max="20" width="16.08984375" style="2" customWidth="1"/>
    <col min="21" max="21" width="13.6328125" style="2" customWidth="1"/>
    <col min="22" max="26" width="16.08984375" style="2" customWidth="1"/>
    <col min="27" max="27" width="3.6328125" style="2" customWidth="1"/>
    <col min="28" max="32" width="9.08984375" style="2" hidden="1" customWidth="1"/>
    <col min="33" max="45" width="0" style="2" hidden="1" customWidth="1"/>
    <col min="46" max="16384" width="9.08984375" style="2" hidden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/>
    <row r="6" spans="1:37" ht="14.5" thickBot="1">
      <c r="H6" s="28" t="s">
        <v>68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37"/>
    <row r="8" spans="1:37">
      <c r="H8" s="25" t="s">
        <v>42</v>
      </c>
      <c r="I8" s="24">
        <v>45991</v>
      </c>
    </row>
    <row r="9" spans="1:37" s="20" customFormat="1">
      <c r="B9" s="107" t="s">
        <v>123</v>
      </c>
      <c r="C9" s="108"/>
      <c r="D9" s="108"/>
      <c r="E9" s="108"/>
      <c r="F9" s="109"/>
      <c r="G9" s="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37" ht="39" customHeight="1">
      <c r="B10" s="68" t="s">
        <v>5</v>
      </c>
      <c r="C10" s="69" t="s">
        <v>63</v>
      </c>
      <c r="D10" s="69" t="s">
        <v>4</v>
      </c>
      <c r="E10" s="69" t="s">
        <v>83</v>
      </c>
      <c r="F10" s="70" t="s">
        <v>84</v>
      </c>
      <c r="G10" s="38" t="s">
        <v>40</v>
      </c>
      <c r="H10" s="63" t="s">
        <v>48</v>
      </c>
      <c r="I10" s="19" t="s">
        <v>49</v>
      </c>
      <c r="J10" s="19" t="s">
        <v>55</v>
      </c>
      <c r="K10" s="19" t="s">
        <v>121</v>
      </c>
      <c r="L10" s="19" t="s">
        <v>56</v>
      </c>
      <c r="M10" s="19" t="s">
        <v>52</v>
      </c>
      <c r="N10" s="19" t="s">
        <v>122</v>
      </c>
      <c r="O10" s="19" t="s">
        <v>57</v>
      </c>
      <c r="P10" s="19" t="s">
        <v>53</v>
      </c>
      <c r="Q10" s="19" t="s">
        <v>58</v>
      </c>
      <c r="R10" s="19" t="s">
        <v>54</v>
      </c>
      <c r="S10" s="19" t="s">
        <v>59</v>
      </c>
      <c r="T10" s="19" t="s">
        <v>64</v>
      </c>
      <c r="U10" s="19" t="s">
        <v>60</v>
      </c>
      <c r="V10" s="19" t="s">
        <v>65</v>
      </c>
      <c r="W10" s="19" t="s">
        <v>66</v>
      </c>
      <c r="X10" s="19" t="s">
        <v>67</v>
      </c>
      <c r="Y10" s="19" t="s">
        <v>61</v>
      </c>
      <c r="Z10" s="22" t="s">
        <v>62</v>
      </c>
    </row>
    <row r="11" spans="1:37">
      <c r="A11" s="20" t="str">
        <f t="shared" ref="A11:A63" si="0">+H11&amp;I11&amp;$I$8</f>
        <v>UNIV_OPERcempresa45991</v>
      </c>
      <c r="B11" s="66">
        <f t="array" ref="B11">+MAX(IF('ID1&amp;5'!A:A='1. Status'!A11&amp;'1. Status'!$B$10,'ID1&amp;5'!K:K))</f>
        <v>0</v>
      </c>
      <c r="C11" s="60">
        <f t="array" ref="C11">+MAX(IF('ID1&amp;5'!A:A='1. Status'!A11&amp;'1. Status'!$C$10,'ID1&amp;5'!K:K))</f>
        <v>0</v>
      </c>
      <c r="D11" s="60">
        <f t="array" ref="D11">+MAX(IF('ID1&amp;5'!A:A='1. Status'!A11&amp;'1. Status'!$D$10,'ID1&amp;5'!K:K))</f>
        <v>0</v>
      </c>
      <c r="E11" s="60">
        <f t="array" ref="E11">+MAX(IF('ID1&amp;5'!A:A='1. Status'!A11&amp;'1. Status'!$E$10,'ID1&amp;5'!K:K))</f>
        <v>0</v>
      </c>
      <c r="F11" s="67">
        <f t="array" ref="F11">+MAX(IF('ID1&amp;5'!A:A='1. Status'!A11&amp;'1. Status'!$F$10,'ID1&amp;5'!K:K))</f>
        <v>0</v>
      </c>
      <c r="G11" s="60"/>
      <c r="H11" s="65" t="s">
        <v>1092</v>
      </c>
      <c r="I11" s="21" t="s">
        <v>1093</v>
      </c>
      <c r="J11" s="26">
        <f>+COUNTIF('ID1&amp;5'!G:G,'1. Status'!I11)</f>
        <v>0</v>
      </c>
      <c r="K11" s="79" t="str">
        <f>+IFERROR(VLOOKUP(CONCATENATE(A11,$B$10,B11),'ID1&amp;5'!B:J,8,FALSE),"-")</f>
        <v>-</v>
      </c>
      <c r="L11" s="78" t="str">
        <f>+IFERROR(VLOOKUP(B11,'ID1&amp;5'!K:L,2,FALSE),"-")</f>
        <v>-</v>
      </c>
      <c r="M11" s="79" t="str">
        <f>+IFERROR(VLOOKUP(CONCATENATE(A11,$B$10,B11),'ID1&amp;5'!B:J,9,FALSE),"-")</f>
        <v>-</v>
      </c>
      <c r="N11" s="79" t="str">
        <f>+IFERROR(VLOOKUP(CONCATENATE(A11,$C$10,C11),'ID1&amp;5'!B:J,8,FALSE),"-")</f>
        <v>-</v>
      </c>
      <c r="O11" s="78" t="str">
        <f>+IFERROR(VLOOKUP(C11,'ID1&amp;5'!K:L,2,FALSE),"-")</f>
        <v>-</v>
      </c>
      <c r="P11" s="79" t="str">
        <f>+IFERROR(VLOOKUP(CONCATENATE(A11,$C$10,C11),'ID1&amp;5'!B:J,9,FALSE),"-")</f>
        <v>-</v>
      </c>
      <c r="Q11" s="78" t="str">
        <f>+IFERROR(VLOOKUP(D11,'ID1&amp;5'!K:L,2,FALSE),"-")</f>
        <v>-</v>
      </c>
      <c r="R11" s="26" t="str">
        <f>+IFERROR(VLOOKUP(CONCATENATE(A11,$D$10,D11),'ID1&amp;5'!B:J,9,FALSE),"-")</f>
        <v>-</v>
      </c>
      <c r="S11" s="78" t="str">
        <f>+IFERROR(VLOOKUP(E11,'ID1&amp;5'!K:L,2,FALSE),"-")</f>
        <v>-</v>
      </c>
      <c r="T11" s="79" t="str">
        <f>+IFERROR(VLOOKUP(CONCATENATE(A11,$E$10,E11),'ID1&amp;5'!B:J,9,FALSE),"-")</f>
        <v>-</v>
      </c>
      <c r="U11" s="78" t="str">
        <f>+IFERROR(VLOOKUP(F11,'ID1&amp;5'!K:L,2,FALSE),"-")</f>
        <v>-</v>
      </c>
      <c r="V11" s="79" t="str">
        <f>+IFERROR(VLOOKUP(CONCATENATE(A11,$F$10,F11),'ID1&amp;5'!B:J,9,FALSE),"-")</f>
        <v>-</v>
      </c>
      <c r="W11" s="26" t="str">
        <f>+IFERROR(VLOOKUP(A11,'ID6&amp;7'!A:I,9,FALSE),"-")</f>
        <v>-</v>
      </c>
      <c r="X11" s="26" t="str">
        <f>+IFERROR(VLOOKUP(A11,'ID6&amp;7'!A:J,10,FALSE),"-")</f>
        <v>-</v>
      </c>
      <c r="Y11" s="26"/>
      <c r="Z11" s="27" t="str">
        <f t="shared" ref="Z11:Z63" si="1">+IF(J11=0,"Por iniciar",IF(OR(K11="-",M11="-",P11="-",R11="-",T11="-",V11="-"),"Em testes",IF(AND(M11=0,P11=0,R11=0,T11&lt;&gt;K11,V11&lt;&gt;K11),"OK","NOK")))</f>
        <v>Por iniciar</v>
      </c>
    </row>
    <row r="12" spans="1:37">
      <c r="A12" s="20" t="str">
        <f t="shared" si="0"/>
        <v>UNIV_OPERcbalcao45991</v>
      </c>
      <c r="B12" s="66">
        <f t="array" ref="B12">+MAX(IF('ID1&amp;5'!A:A='1. Status'!A12&amp;'1. Status'!$B$10,'ID1&amp;5'!K:K))</f>
        <v>0</v>
      </c>
      <c r="C12" s="60">
        <f t="array" ref="C12">+MAX(IF('ID1&amp;5'!A:A='1. Status'!A12&amp;'1. Status'!$C$10,'ID1&amp;5'!K:K))</f>
        <v>0</v>
      </c>
      <c r="D12" s="60">
        <f t="array" ref="D12">+MAX(IF('ID1&amp;5'!A:A='1. Status'!A12&amp;'1. Status'!$D$10,'ID1&amp;5'!K:K))</f>
        <v>0</v>
      </c>
      <c r="E12" s="60">
        <f t="array" ref="E12">+MAX(IF('ID1&amp;5'!A:A='1. Status'!A12&amp;'1. Status'!$E$10,'ID1&amp;5'!K:K))</f>
        <v>0</v>
      </c>
      <c r="F12" s="67">
        <f t="array" ref="F12">+MAX(IF('ID1&amp;5'!A:A='1. Status'!A12&amp;'1. Status'!$F$10,'ID1&amp;5'!K:K))</f>
        <v>0</v>
      </c>
      <c r="G12" s="60"/>
      <c r="H12" s="65" t="s">
        <v>1092</v>
      </c>
      <c r="I12" s="21" t="s">
        <v>1094</v>
      </c>
      <c r="J12" s="26">
        <f>+COUNTIF('ID1&amp;5'!G:G,'1. Status'!I12)</f>
        <v>0</v>
      </c>
      <c r="K12" s="79" t="str">
        <f>+IFERROR(VLOOKUP(CONCATENATE(A12,$B$10,B12),'ID1&amp;5'!B:J,8,FALSE),"-")</f>
        <v>-</v>
      </c>
      <c r="L12" s="78" t="str">
        <f>+IFERROR(VLOOKUP(B12,'ID1&amp;5'!K:L,2,FALSE),"-")</f>
        <v>-</v>
      </c>
      <c r="M12" s="79" t="str">
        <f>+IFERROR(VLOOKUP(CONCATENATE(A12,$B$10,B12),'ID1&amp;5'!B:J,9,FALSE),"-")</f>
        <v>-</v>
      </c>
      <c r="N12" s="79" t="str">
        <f>+IFERROR(VLOOKUP(CONCATENATE(A12,$C$10,C12),'ID1&amp;5'!B:J,8,FALSE),"-")</f>
        <v>-</v>
      </c>
      <c r="O12" s="78" t="str">
        <f>+IFERROR(VLOOKUP(C12,'ID1&amp;5'!K:L,2,FALSE),"-")</f>
        <v>-</v>
      </c>
      <c r="P12" s="79" t="str">
        <f>+IFERROR(VLOOKUP(CONCATENATE(A12,$C$10,C12),'ID1&amp;5'!B:J,9,FALSE),"-")</f>
        <v>-</v>
      </c>
      <c r="Q12" s="78" t="str">
        <f>+IFERROR(VLOOKUP(D12,'ID1&amp;5'!K:L,2,FALSE),"-")</f>
        <v>-</v>
      </c>
      <c r="R12" s="26" t="str">
        <f>+IFERROR(VLOOKUP(CONCATENATE(A12,$D$10,D12),'ID1&amp;5'!B:J,9,FALSE),"-")</f>
        <v>-</v>
      </c>
      <c r="S12" s="78" t="str">
        <f>+IFERROR(VLOOKUP(E12,'ID1&amp;5'!K:L,2,FALSE),"-")</f>
        <v>-</v>
      </c>
      <c r="T12" s="79" t="str">
        <f>+IFERROR(VLOOKUP(CONCATENATE(A12,$E$10,E12),'ID1&amp;5'!B:J,9,FALSE),"-")</f>
        <v>-</v>
      </c>
      <c r="U12" s="78" t="str">
        <f>+IFERROR(VLOOKUP(F12,'ID1&amp;5'!K:L,2,FALSE),"-")</f>
        <v>-</v>
      </c>
      <c r="V12" s="79" t="str">
        <f>+IFERROR(VLOOKUP(CONCATENATE(A12,$F$10,F12),'ID1&amp;5'!B:J,9,FALSE),"-")</f>
        <v>-</v>
      </c>
      <c r="W12" s="26" t="str">
        <f>+IFERROR(VLOOKUP(A12,'ID6&amp;7'!A:I,9,FALSE),"-")</f>
        <v>-</v>
      </c>
      <c r="X12" s="26" t="str">
        <f>+IFERROR(VLOOKUP(A12,'ID6&amp;7'!A:J,10,FALSE),"-")</f>
        <v>-</v>
      </c>
      <c r="Y12" s="26"/>
      <c r="Z12" s="27" t="str">
        <f t="shared" si="1"/>
        <v>Por iniciar</v>
      </c>
    </row>
    <row r="13" spans="1:37">
      <c r="A13" s="20" t="str">
        <f t="shared" si="0"/>
        <v>UNIV_OPERcnumecta45991</v>
      </c>
      <c r="B13" s="66">
        <f t="array" ref="B13">+MAX(IF('ID1&amp;5'!A:A='1. Status'!A13&amp;'1. Status'!$B$10,'ID1&amp;5'!K:K))</f>
        <v>0</v>
      </c>
      <c r="C13" s="60">
        <f t="array" ref="C13">+MAX(IF('ID1&amp;5'!A:A='1. Status'!A13&amp;'1. Status'!$C$10,'ID1&amp;5'!K:K))</f>
        <v>0</v>
      </c>
      <c r="D13" s="60">
        <f t="array" ref="D13">+MAX(IF('ID1&amp;5'!A:A='1. Status'!A13&amp;'1. Status'!$D$10,'ID1&amp;5'!K:K))</f>
        <v>0</v>
      </c>
      <c r="E13" s="60">
        <f t="array" ref="E13">+MAX(IF('ID1&amp;5'!A:A='1. Status'!A13&amp;'1. Status'!$E$10,'ID1&amp;5'!K:K))</f>
        <v>0</v>
      </c>
      <c r="F13" s="67">
        <f t="array" ref="F13">+MAX(IF('ID1&amp;5'!A:A='1. Status'!A13&amp;'1. Status'!$F$10,'ID1&amp;5'!K:K))</f>
        <v>0</v>
      </c>
      <c r="G13" s="60"/>
      <c r="H13" s="65" t="s">
        <v>1092</v>
      </c>
      <c r="I13" s="21" t="s">
        <v>1095</v>
      </c>
      <c r="J13" s="26">
        <f>+COUNTIF('ID1&amp;5'!G:G,'1. Status'!I13)</f>
        <v>0</v>
      </c>
      <c r="K13" s="79" t="str">
        <f>+IFERROR(VLOOKUP(CONCATENATE(A13,$B$10,B13),'ID1&amp;5'!B:J,8,FALSE),"-")</f>
        <v>-</v>
      </c>
      <c r="L13" s="78" t="str">
        <f>+IFERROR(VLOOKUP(B13,'ID1&amp;5'!K:L,2,FALSE),"-")</f>
        <v>-</v>
      </c>
      <c r="M13" s="79" t="str">
        <f>+IFERROR(VLOOKUP(CONCATENATE(A13,$B$10,B13),'ID1&amp;5'!B:J,9,FALSE),"-")</f>
        <v>-</v>
      </c>
      <c r="N13" s="79" t="str">
        <f>+IFERROR(VLOOKUP(CONCATENATE(A13,$C$10,C13),'ID1&amp;5'!B:J,8,FALSE),"-")</f>
        <v>-</v>
      </c>
      <c r="O13" s="78" t="str">
        <f>+IFERROR(VLOOKUP(C13,'ID1&amp;5'!K:L,2,FALSE),"-")</f>
        <v>-</v>
      </c>
      <c r="P13" s="79" t="str">
        <f>+IFERROR(VLOOKUP(CONCATENATE(A13,$C$10,C13),'ID1&amp;5'!B:J,9,FALSE),"-")</f>
        <v>-</v>
      </c>
      <c r="Q13" s="78" t="str">
        <f>+IFERROR(VLOOKUP(D13,'ID1&amp;5'!K:L,2,FALSE),"-")</f>
        <v>-</v>
      </c>
      <c r="R13" s="26" t="str">
        <f>+IFERROR(VLOOKUP(CONCATENATE(A13,$D$10,D13),'ID1&amp;5'!B:J,9,FALSE),"-")</f>
        <v>-</v>
      </c>
      <c r="S13" s="78" t="str">
        <f>+IFERROR(VLOOKUP(E13,'ID1&amp;5'!K:L,2,FALSE),"-")</f>
        <v>-</v>
      </c>
      <c r="T13" s="79" t="str">
        <f>+IFERROR(VLOOKUP(CONCATENATE(A13,$E$10,E13),'ID1&amp;5'!B:J,9,FALSE),"-")</f>
        <v>-</v>
      </c>
      <c r="U13" s="78" t="str">
        <f>+IFERROR(VLOOKUP(F13,'ID1&amp;5'!K:L,2,FALSE),"-")</f>
        <v>-</v>
      </c>
      <c r="V13" s="79" t="str">
        <f>+IFERROR(VLOOKUP(CONCATENATE(A13,$F$10,F13),'ID1&amp;5'!B:J,9,FALSE),"-")</f>
        <v>-</v>
      </c>
      <c r="W13" s="26" t="str">
        <f>+IFERROR(VLOOKUP(A13,'ID6&amp;7'!A:I,9,FALSE),"-")</f>
        <v>-</v>
      </c>
      <c r="X13" s="26" t="str">
        <f>+IFERROR(VLOOKUP(A13,'ID6&amp;7'!A:J,10,FALSE),"-")</f>
        <v>-</v>
      </c>
      <c r="Y13" s="26"/>
      <c r="Z13" s="27" t="str">
        <f t="shared" si="1"/>
        <v>Por iniciar</v>
      </c>
    </row>
    <row r="14" spans="1:37">
      <c r="A14" s="20" t="str">
        <f t="shared" si="0"/>
        <v>UNIV_OPERzdeposit45991</v>
      </c>
      <c r="B14" s="66">
        <f t="array" ref="B14">+MAX(IF('ID1&amp;5'!A:A='1. Status'!A14&amp;'1. Status'!$B$10,'ID1&amp;5'!K:K))</f>
        <v>0</v>
      </c>
      <c r="C14" s="60">
        <f t="array" ref="C14">+MAX(IF('ID1&amp;5'!A:A='1. Status'!A14&amp;'1. Status'!$C$10,'ID1&amp;5'!K:K))</f>
        <v>0</v>
      </c>
      <c r="D14" s="60">
        <f t="array" ref="D14">+MAX(IF('ID1&amp;5'!A:A='1. Status'!A14&amp;'1. Status'!$D$10,'ID1&amp;5'!K:K))</f>
        <v>0</v>
      </c>
      <c r="E14" s="60">
        <f t="array" ref="E14">+MAX(IF('ID1&amp;5'!A:A='1. Status'!A14&amp;'1. Status'!$E$10,'ID1&amp;5'!K:K))</f>
        <v>0</v>
      </c>
      <c r="F14" s="67">
        <f t="array" ref="F14">+MAX(IF('ID1&amp;5'!A:A='1. Status'!A14&amp;'1. Status'!$F$10,'ID1&amp;5'!K:K))</f>
        <v>0</v>
      </c>
      <c r="G14" s="60"/>
      <c r="H14" s="65" t="s">
        <v>1092</v>
      </c>
      <c r="I14" s="21" t="s">
        <v>1096</v>
      </c>
      <c r="J14" s="26">
        <f>+COUNTIF('ID1&amp;5'!G:G,'1. Status'!I14)</f>
        <v>0</v>
      </c>
      <c r="K14" s="79" t="str">
        <f>+IFERROR(VLOOKUP(CONCATENATE(A14,$B$10,B14),'ID1&amp;5'!B:J,8,FALSE),"-")</f>
        <v>-</v>
      </c>
      <c r="L14" s="78" t="str">
        <f>+IFERROR(VLOOKUP(B14,'ID1&amp;5'!K:L,2,FALSE),"-")</f>
        <v>-</v>
      </c>
      <c r="M14" s="79" t="str">
        <f>+IFERROR(VLOOKUP(CONCATENATE(A14,$B$10,B14),'ID1&amp;5'!B:J,9,FALSE),"-")</f>
        <v>-</v>
      </c>
      <c r="N14" s="79" t="str">
        <f>+IFERROR(VLOOKUP(CONCATENATE(A14,$C$10,C14),'ID1&amp;5'!B:J,8,FALSE),"-")</f>
        <v>-</v>
      </c>
      <c r="O14" s="78" t="str">
        <f>+IFERROR(VLOOKUP(C14,'ID1&amp;5'!K:L,2,FALSE),"-")</f>
        <v>-</v>
      </c>
      <c r="P14" s="79" t="str">
        <f>+IFERROR(VLOOKUP(CONCATENATE(A14,$C$10,C14),'ID1&amp;5'!B:J,9,FALSE),"-")</f>
        <v>-</v>
      </c>
      <c r="Q14" s="78" t="str">
        <f>+IFERROR(VLOOKUP(D14,'ID1&amp;5'!K:L,2,FALSE),"-")</f>
        <v>-</v>
      </c>
      <c r="R14" s="26" t="str">
        <f>+IFERROR(VLOOKUP(CONCATENATE(A14,$D$10,D14),'ID1&amp;5'!B:J,9,FALSE),"-")</f>
        <v>-</v>
      </c>
      <c r="S14" s="78" t="str">
        <f>+IFERROR(VLOOKUP(E14,'ID1&amp;5'!K:L,2,FALSE),"-")</f>
        <v>-</v>
      </c>
      <c r="T14" s="79" t="str">
        <f>+IFERROR(VLOOKUP(CONCATENATE(A14,$E$10,E14),'ID1&amp;5'!B:J,9,FALSE),"-")</f>
        <v>-</v>
      </c>
      <c r="U14" s="78" t="str">
        <f>+IFERROR(VLOOKUP(F14,'ID1&amp;5'!K:L,2,FALSE),"-")</f>
        <v>-</v>
      </c>
      <c r="V14" s="79" t="str">
        <f>+IFERROR(VLOOKUP(CONCATENATE(A14,$F$10,F14),'ID1&amp;5'!B:J,9,FALSE),"-")</f>
        <v>-</v>
      </c>
      <c r="W14" s="26" t="str">
        <f>+IFERROR(VLOOKUP(A14,'ID6&amp;7'!A:I,9,FALSE),"-")</f>
        <v>-</v>
      </c>
      <c r="X14" s="26" t="str">
        <f>+IFERROR(VLOOKUP(A14,'ID6&amp;7'!A:J,10,FALSE),"-")</f>
        <v>-</v>
      </c>
      <c r="Y14" s="26"/>
      <c r="Z14" s="27" t="str">
        <f t="shared" si="1"/>
        <v>Por iniciar</v>
      </c>
    </row>
    <row r="15" spans="1:37">
      <c r="A15" s="20" t="str">
        <f t="shared" si="0"/>
        <v>UNIV_OPERzcliente45991</v>
      </c>
      <c r="B15" s="66">
        <f t="array" ref="B15">+MAX(IF('ID1&amp;5'!A:A='1. Status'!A15&amp;'1. Status'!$B$10,'ID1&amp;5'!K:K))</f>
        <v>0</v>
      </c>
      <c r="C15" s="60">
        <f t="array" ref="C15">+MAX(IF('ID1&amp;5'!A:A='1. Status'!A15&amp;'1. Status'!$C$10,'ID1&amp;5'!K:K))</f>
        <v>0</v>
      </c>
      <c r="D15" s="60">
        <f t="array" ref="D15">+MAX(IF('ID1&amp;5'!A:A='1. Status'!A15&amp;'1. Status'!$D$10,'ID1&amp;5'!K:K))</f>
        <v>0</v>
      </c>
      <c r="E15" s="60">
        <f t="array" ref="E15">+MAX(IF('ID1&amp;5'!A:A='1. Status'!A15&amp;'1. Status'!$E$10,'ID1&amp;5'!K:K))</f>
        <v>0</v>
      </c>
      <c r="F15" s="67">
        <f t="array" ref="F15">+MAX(IF('ID1&amp;5'!A:A='1. Status'!A15&amp;'1. Status'!$F$10,'ID1&amp;5'!K:K))</f>
        <v>0</v>
      </c>
      <c r="G15" s="60"/>
      <c r="H15" s="65" t="s">
        <v>1092</v>
      </c>
      <c r="I15" s="21" t="s">
        <v>1097</v>
      </c>
      <c r="J15" s="26">
        <f>+COUNTIF('ID1&amp;5'!G:G,'1. Status'!I15)</f>
        <v>0</v>
      </c>
      <c r="K15" s="79" t="str">
        <f>+IFERROR(VLOOKUP(CONCATENATE(A15,$B$10,B15),'ID1&amp;5'!B:J,8,FALSE),"-")</f>
        <v>-</v>
      </c>
      <c r="L15" s="78" t="str">
        <f>+IFERROR(VLOOKUP(B15,'ID1&amp;5'!K:L,2,FALSE),"-")</f>
        <v>-</v>
      </c>
      <c r="M15" s="79" t="str">
        <f>+IFERROR(VLOOKUP(CONCATENATE(A15,$B$10,B15),'ID1&amp;5'!B:J,9,FALSE),"-")</f>
        <v>-</v>
      </c>
      <c r="N15" s="79" t="str">
        <f>+IFERROR(VLOOKUP(CONCATENATE(A15,$C$10,C15),'ID1&amp;5'!B:J,8,FALSE),"-")</f>
        <v>-</v>
      </c>
      <c r="O15" s="78" t="str">
        <f>+IFERROR(VLOOKUP(C15,'ID1&amp;5'!K:L,2,FALSE),"-")</f>
        <v>-</v>
      </c>
      <c r="P15" s="79" t="str">
        <f>+IFERROR(VLOOKUP(CONCATENATE(A15,$C$10,C15),'ID1&amp;5'!B:J,9,FALSE),"-")</f>
        <v>-</v>
      </c>
      <c r="Q15" s="78" t="str">
        <f>+IFERROR(VLOOKUP(D15,'ID1&amp;5'!K:L,2,FALSE),"-")</f>
        <v>-</v>
      </c>
      <c r="R15" s="26" t="str">
        <f>+IFERROR(VLOOKUP(CONCATENATE(A15,$D$10,D15),'ID1&amp;5'!B:J,9,FALSE),"-")</f>
        <v>-</v>
      </c>
      <c r="S15" s="78" t="str">
        <f>+IFERROR(VLOOKUP(E15,'ID1&amp;5'!K:L,2,FALSE),"-")</f>
        <v>-</v>
      </c>
      <c r="T15" s="79" t="str">
        <f>+IFERROR(VLOOKUP(CONCATENATE(A15,$E$10,E15),'ID1&amp;5'!B:J,9,FALSE),"-")</f>
        <v>-</v>
      </c>
      <c r="U15" s="78" t="str">
        <f>+IFERROR(VLOOKUP(F15,'ID1&amp;5'!K:L,2,FALSE),"-")</f>
        <v>-</v>
      </c>
      <c r="V15" s="79" t="str">
        <f>+IFERROR(VLOOKUP(CONCATENATE(A15,$F$10,F15),'ID1&amp;5'!B:J,9,FALSE),"-")</f>
        <v>-</v>
      </c>
      <c r="W15" s="26" t="str">
        <f>+IFERROR(VLOOKUP(A15,'ID6&amp;7'!A:I,9,FALSE),"-")</f>
        <v>-</v>
      </c>
      <c r="X15" s="26" t="str">
        <f>+IFERROR(VLOOKUP(A15,'ID6&amp;7'!A:J,10,FALSE),"-")</f>
        <v>-</v>
      </c>
      <c r="Y15" s="26"/>
      <c r="Z15" s="27" t="str">
        <f t="shared" si="1"/>
        <v>Por iniciar</v>
      </c>
    </row>
    <row r="16" spans="1:37">
      <c r="A16" s="20" t="str">
        <f t="shared" si="0"/>
        <v>UNIV_OPERccontab_final_ifrs45991</v>
      </c>
      <c r="B16" s="66">
        <f t="array" ref="B16">+MAX(IF('ID1&amp;5'!A:A='1. Status'!A16&amp;'1. Status'!$B$10,'ID1&amp;5'!K:K))</f>
        <v>0</v>
      </c>
      <c r="C16" s="60">
        <f t="array" ref="C16">+MAX(IF('ID1&amp;5'!A:A='1. Status'!A16&amp;'1. Status'!$C$10,'ID1&amp;5'!K:K))</f>
        <v>0</v>
      </c>
      <c r="D16" s="60">
        <f t="array" ref="D16">+MAX(IF('ID1&amp;5'!A:A='1. Status'!A16&amp;'1. Status'!$D$10,'ID1&amp;5'!K:K))</f>
        <v>0</v>
      </c>
      <c r="E16" s="60">
        <f t="array" ref="E16">+MAX(IF('ID1&amp;5'!A:A='1. Status'!A16&amp;'1. Status'!$E$10,'ID1&amp;5'!K:K))</f>
        <v>0</v>
      </c>
      <c r="F16" s="67">
        <f t="array" ref="F16">+MAX(IF('ID1&amp;5'!A:A='1. Status'!A16&amp;'1. Status'!$F$10,'ID1&amp;5'!K:K))</f>
        <v>0</v>
      </c>
      <c r="G16" s="60"/>
      <c r="H16" s="65" t="s">
        <v>1092</v>
      </c>
      <c r="I16" s="21" t="s">
        <v>1098</v>
      </c>
      <c r="J16" s="26">
        <f>+COUNTIF('ID1&amp;5'!G:G,'1. Status'!I16)</f>
        <v>0</v>
      </c>
      <c r="K16" s="79" t="str">
        <f>+IFERROR(VLOOKUP(CONCATENATE(A16,$B$10,B16),'ID1&amp;5'!B:J,8,FALSE),"-")</f>
        <v>-</v>
      </c>
      <c r="L16" s="78" t="str">
        <f>+IFERROR(VLOOKUP(B16,'ID1&amp;5'!K:L,2,FALSE),"-")</f>
        <v>-</v>
      </c>
      <c r="M16" s="79" t="str">
        <f>+IFERROR(VLOOKUP(CONCATENATE(A16,$B$10,B16),'ID1&amp;5'!B:J,9,FALSE),"-")</f>
        <v>-</v>
      </c>
      <c r="N16" s="79" t="str">
        <f>+IFERROR(VLOOKUP(CONCATENATE(A16,$C$10,C16),'ID1&amp;5'!B:J,8,FALSE),"-")</f>
        <v>-</v>
      </c>
      <c r="O16" s="78" t="str">
        <f>+IFERROR(VLOOKUP(C16,'ID1&amp;5'!K:L,2,FALSE),"-")</f>
        <v>-</v>
      </c>
      <c r="P16" s="79" t="str">
        <f>+IFERROR(VLOOKUP(CONCATENATE(A16,$C$10,C16),'ID1&amp;5'!B:J,9,FALSE),"-")</f>
        <v>-</v>
      </c>
      <c r="Q16" s="78" t="str">
        <f>+IFERROR(VLOOKUP(D16,'ID1&amp;5'!K:L,2,FALSE),"-")</f>
        <v>-</v>
      </c>
      <c r="R16" s="26" t="str">
        <f>+IFERROR(VLOOKUP(CONCATENATE(A16,$D$10,D16),'ID1&amp;5'!B:J,9,FALSE),"-")</f>
        <v>-</v>
      </c>
      <c r="S16" s="78" t="str">
        <f>+IFERROR(VLOOKUP(E16,'ID1&amp;5'!K:L,2,FALSE),"-")</f>
        <v>-</v>
      </c>
      <c r="T16" s="79" t="str">
        <f>+IFERROR(VLOOKUP(CONCATENATE(A16,$E$10,E16),'ID1&amp;5'!B:J,9,FALSE),"-")</f>
        <v>-</v>
      </c>
      <c r="U16" s="78" t="str">
        <f>+IFERROR(VLOOKUP(F16,'ID1&amp;5'!K:L,2,FALSE),"-")</f>
        <v>-</v>
      </c>
      <c r="V16" s="79" t="str">
        <f>+IFERROR(VLOOKUP(CONCATENATE(A16,$F$10,F16),'ID1&amp;5'!B:J,9,FALSE),"-")</f>
        <v>-</v>
      </c>
      <c r="W16" s="26" t="str">
        <f>+IFERROR(VLOOKUP(A16,'ID6&amp;7'!A:I,9,FALSE),"-")</f>
        <v>-</v>
      </c>
      <c r="X16" s="26" t="str">
        <f>+IFERROR(VLOOKUP(A16,'ID6&amp;7'!A:J,10,FALSE),"-")</f>
        <v>-</v>
      </c>
      <c r="Y16" s="26"/>
      <c r="Z16" s="27" t="str">
        <f t="shared" si="1"/>
        <v>Por iniciar</v>
      </c>
    </row>
    <row r="17" spans="1:26">
      <c r="A17" s="20" t="str">
        <f t="shared" si="0"/>
        <v>UNIV_OPERccontab_final_pcsb45991</v>
      </c>
      <c r="B17" s="66">
        <f t="array" ref="B17">+MAX(IF('ID1&amp;5'!A:A='1. Status'!A17&amp;'1. Status'!$B$10,'ID1&amp;5'!K:K))</f>
        <v>0</v>
      </c>
      <c r="C17" s="60">
        <f t="array" ref="C17">+MAX(IF('ID1&amp;5'!A:A='1. Status'!A17&amp;'1. Status'!$C$10,'ID1&amp;5'!K:K))</f>
        <v>0</v>
      </c>
      <c r="D17" s="60">
        <f t="array" ref="D17">+MAX(IF('ID1&amp;5'!A:A='1. Status'!A17&amp;'1. Status'!$D$10,'ID1&amp;5'!K:K))</f>
        <v>0</v>
      </c>
      <c r="E17" s="60">
        <f t="array" ref="E17">+MAX(IF('ID1&amp;5'!A:A='1. Status'!A17&amp;'1. Status'!$E$10,'ID1&amp;5'!K:K))</f>
        <v>0</v>
      </c>
      <c r="F17" s="67">
        <f t="array" ref="F17">+MAX(IF('ID1&amp;5'!A:A='1. Status'!A17&amp;'1. Status'!$F$10,'ID1&amp;5'!K:K))</f>
        <v>0</v>
      </c>
      <c r="G17" s="60"/>
      <c r="H17" s="65" t="s">
        <v>1092</v>
      </c>
      <c r="I17" s="21" t="s">
        <v>1099</v>
      </c>
      <c r="J17" s="26">
        <f>+COUNTIF('ID1&amp;5'!G:G,'1. Status'!I17)</f>
        <v>0</v>
      </c>
      <c r="K17" s="79" t="str">
        <f>+IFERROR(VLOOKUP(CONCATENATE(A17,$B$10,B17),'ID1&amp;5'!B:J,8,FALSE),"-")</f>
        <v>-</v>
      </c>
      <c r="L17" s="78" t="str">
        <f>+IFERROR(VLOOKUP(B17,'ID1&amp;5'!K:L,2,FALSE),"-")</f>
        <v>-</v>
      </c>
      <c r="M17" s="79" t="str">
        <f>+IFERROR(VLOOKUP(CONCATENATE(A17,$B$10,B17),'ID1&amp;5'!B:J,9,FALSE),"-")</f>
        <v>-</v>
      </c>
      <c r="N17" s="79" t="str">
        <f>+IFERROR(VLOOKUP(CONCATENATE(A17,$C$10,C17),'ID1&amp;5'!B:J,8,FALSE),"-")</f>
        <v>-</v>
      </c>
      <c r="O17" s="78" t="str">
        <f>+IFERROR(VLOOKUP(C17,'ID1&amp;5'!K:L,2,FALSE),"-")</f>
        <v>-</v>
      </c>
      <c r="P17" s="79" t="str">
        <f>+IFERROR(VLOOKUP(CONCATENATE(A17,$C$10,C17),'ID1&amp;5'!B:J,9,FALSE),"-")</f>
        <v>-</v>
      </c>
      <c r="Q17" s="78" t="str">
        <f>+IFERROR(VLOOKUP(D17,'ID1&amp;5'!K:L,2,FALSE),"-")</f>
        <v>-</v>
      </c>
      <c r="R17" s="26" t="str">
        <f>+IFERROR(VLOOKUP(CONCATENATE(A17,$D$10,D17),'ID1&amp;5'!B:J,9,FALSE),"-")</f>
        <v>-</v>
      </c>
      <c r="S17" s="78" t="str">
        <f>+IFERROR(VLOOKUP(E17,'ID1&amp;5'!K:L,2,FALSE),"-")</f>
        <v>-</v>
      </c>
      <c r="T17" s="79" t="str">
        <f>+IFERROR(VLOOKUP(CONCATENATE(A17,$E$10,E17),'ID1&amp;5'!B:J,9,FALSE),"-")</f>
        <v>-</v>
      </c>
      <c r="U17" s="78" t="str">
        <f>+IFERROR(VLOOKUP(F17,'ID1&amp;5'!K:L,2,FALSE),"-")</f>
        <v>-</v>
      </c>
      <c r="V17" s="79" t="str">
        <f>+IFERROR(VLOOKUP(CONCATENATE(A17,$F$10,F17),'ID1&amp;5'!B:J,9,FALSE),"-")</f>
        <v>-</v>
      </c>
      <c r="W17" s="26" t="str">
        <f>+IFERROR(VLOOKUP(A17,'ID6&amp;7'!A:I,9,FALSE),"-")</f>
        <v>-</v>
      </c>
      <c r="X17" s="26" t="str">
        <f>+IFERROR(VLOOKUP(A17,'ID6&amp;7'!A:J,10,FALSE),"-")</f>
        <v>-</v>
      </c>
      <c r="Y17" s="26"/>
      <c r="Z17" s="27" t="str">
        <f t="shared" si="1"/>
        <v>Por iniciar</v>
      </c>
    </row>
    <row r="18" spans="1:26">
      <c r="A18" s="20" t="str">
        <f t="shared" si="0"/>
        <v>UNIV_OPERccontab_final_cargabal45991</v>
      </c>
      <c r="B18" s="66">
        <f t="array" ref="B18">+MAX(IF('ID1&amp;5'!A:A='1. Status'!A18&amp;'1. Status'!$B$10,'ID1&amp;5'!K:K))</f>
        <v>0</v>
      </c>
      <c r="C18" s="60">
        <f t="array" ref="C18">+MAX(IF('ID1&amp;5'!A:A='1. Status'!A18&amp;'1. Status'!$C$10,'ID1&amp;5'!K:K))</f>
        <v>0</v>
      </c>
      <c r="D18" s="60">
        <f t="array" ref="D18">+MAX(IF('ID1&amp;5'!A:A='1. Status'!A18&amp;'1. Status'!$D$10,'ID1&amp;5'!K:K))</f>
        <v>0</v>
      </c>
      <c r="E18" s="60">
        <f t="array" ref="E18">+MAX(IF('ID1&amp;5'!A:A='1. Status'!A18&amp;'1. Status'!$E$10,'ID1&amp;5'!K:K))</f>
        <v>0</v>
      </c>
      <c r="F18" s="67">
        <f t="array" ref="F18">+MAX(IF('ID1&amp;5'!A:A='1. Status'!A18&amp;'1. Status'!$F$10,'ID1&amp;5'!K:K))</f>
        <v>0</v>
      </c>
      <c r="G18" s="60"/>
      <c r="H18" s="65" t="s">
        <v>1092</v>
      </c>
      <c r="I18" s="21" t="s">
        <v>1100</v>
      </c>
      <c r="J18" s="26">
        <f>+COUNTIF('ID1&amp;5'!G:G,'1. Status'!I18)</f>
        <v>0</v>
      </c>
      <c r="K18" s="79" t="str">
        <f>+IFERROR(VLOOKUP(CONCATENATE(A18,$B$10,B18),'ID1&amp;5'!B:J,8,FALSE),"-")</f>
        <v>-</v>
      </c>
      <c r="L18" s="78" t="str">
        <f>+IFERROR(VLOOKUP(B18,'ID1&amp;5'!K:L,2,FALSE),"-")</f>
        <v>-</v>
      </c>
      <c r="M18" s="79" t="str">
        <f>+IFERROR(VLOOKUP(CONCATENATE(A18,$B$10,B18),'ID1&amp;5'!B:J,9,FALSE),"-")</f>
        <v>-</v>
      </c>
      <c r="N18" s="79" t="str">
        <f>+IFERROR(VLOOKUP(CONCATENATE(A18,$C$10,C18),'ID1&amp;5'!B:J,8,FALSE),"-")</f>
        <v>-</v>
      </c>
      <c r="O18" s="78" t="str">
        <f>+IFERROR(VLOOKUP(C18,'ID1&amp;5'!K:L,2,FALSE),"-")</f>
        <v>-</v>
      </c>
      <c r="P18" s="79" t="str">
        <f>+IFERROR(VLOOKUP(CONCATENATE(A18,$C$10,C18),'ID1&amp;5'!B:J,9,FALSE),"-")</f>
        <v>-</v>
      </c>
      <c r="Q18" s="78" t="str">
        <f>+IFERROR(VLOOKUP(D18,'ID1&amp;5'!K:L,2,FALSE),"-")</f>
        <v>-</v>
      </c>
      <c r="R18" s="26" t="str">
        <f>+IFERROR(VLOOKUP(CONCATENATE(A18,$D$10,D18),'ID1&amp;5'!B:J,9,FALSE),"-")</f>
        <v>-</v>
      </c>
      <c r="S18" s="78" t="str">
        <f>+IFERROR(VLOOKUP(E18,'ID1&amp;5'!K:L,2,FALSE),"-")</f>
        <v>-</v>
      </c>
      <c r="T18" s="79" t="str">
        <f>+IFERROR(VLOOKUP(CONCATENATE(A18,$E$10,E18),'ID1&amp;5'!B:J,9,FALSE),"-")</f>
        <v>-</v>
      </c>
      <c r="U18" s="78" t="str">
        <f>+IFERROR(VLOOKUP(F18,'ID1&amp;5'!K:L,2,FALSE),"-")</f>
        <v>-</v>
      </c>
      <c r="V18" s="79" t="str">
        <f>+IFERROR(VLOOKUP(CONCATENATE(A18,$F$10,F18),'ID1&amp;5'!B:J,9,FALSE),"-")</f>
        <v>-</v>
      </c>
      <c r="W18" s="26" t="str">
        <f>+IFERROR(VLOOKUP(A18,'ID6&amp;7'!A:I,9,FALSE),"-")</f>
        <v>-</v>
      </c>
      <c r="X18" s="26" t="str">
        <f>+IFERROR(VLOOKUP(A18,'ID6&amp;7'!A:J,10,FALSE),"-")</f>
        <v>-</v>
      </c>
      <c r="Y18" s="26"/>
      <c r="Z18" s="27" t="str">
        <f t="shared" si="1"/>
        <v>Por iniciar</v>
      </c>
    </row>
    <row r="19" spans="1:26">
      <c r="A19" s="20" t="str">
        <f t="shared" si="0"/>
        <v>UNIV_OPERccontab_final45991</v>
      </c>
      <c r="B19" s="66">
        <f t="array" ref="B19">+MAX(IF('ID1&amp;5'!A:A='1. Status'!A19&amp;'1. Status'!$B$10,'ID1&amp;5'!K:K))</f>
        <v>0</v>
      </c>
      <c r="C19" s="60">
        <f t="array" ref="C19">+MAX(IF('ID1&amp;5'!A:A='1. Status'!A19&amp;'1. Status'!$C$10,'ID1&amp;5'!K:K))</f>
        <v>0</v>
      </c>
      <c r="D19" s="60">
        <f t="array" ref="D19">+MAX(IF('ID1&amp;5'!A:A='1. Status'!A19&amp;'1. Status'!$D$10,'ID1&amp;5'!K:K))</f>
        <v>0</v>
      </c>
      <c r="E19" s="60">
        <f t="array" ref="E19">+MAX(IF('ID1&amp;5'!A:A='1. Status'!A19&amp;'1. Status'!$E$10,'ID1&amp;5'!K:K))</f>
        <v>0</v>
      </c>
      <c r="F19" s="67">
        <f t="array" ref="F19">+MAX(IF('ID1&amp;5'!A:A='1. Status'!A19&amp;'1. Status'!$F$10,'ID1&amp;5'!K:K))</f>
        <v>0</v>
      </c>
      <c r="G19" s="60"/>
      <c r="H19" s="65" t="s">
        <v>1092</v>
      </c>
      <c r="I19" s="21" t="s">
        <v>1101</v>
      </c>
      <c r="J19" s="26">
        <f>+COUNTIF('ID1&amp;5'!G:G,'1. Status'!I19)</f>
        <v>0</v>
      </c>
      <c r="K19" s="79" t="str">
        <f>+IFERROR(VLOOKUP(CONCATENATE(A19,$B$10,B19),'ID1&amp;5'!B:J,8,FALSE),"-")</f>
        <v>-</v>
      </c>
      <c r="L19" s="78" t="str">
        <f>+IFERROR(VLOOKUP(B19,'ID1&amp;5'!K:L,2,FALSE),"-")</f>
        <v>-</v>
      </c>
      <c r="M19" s="79" t="str">
        <f>+IFERROR(VLOOKUP(CONCATENATE(A19,$B$10,B19),'ID1&amp;5'!B:J,9,FALSE),"-")</f>
        <v>-</v>
      </c>
      <c r="N19" s="79" t="str">
        <f>+IFERROR(VLOOKUP(CONCATENATE(A19,$C$10,C19),'ID1&amp;5'!B:J,8,FALSE),"-")</f>
        <v>-</v>
      </c>
      <c r="O19" s="78" t="str">
        <f>+IFERROR(VLOOKUP(C19,'ID1&amp;5'!K:L,2,FALSE),"-")</f>
        <v>-</v>
      </c>
      <c r="P19" s="79" t="str">
        <f>+IFERROR(VLOOKUP(CONCATENATE(A19,$C$10,C19),'ID1&amp;5'!B:J,9,FALSE),"-")</f>
        <v>-</v>
      </c>
      <c r="Q19" s="78" t="str">
        <f>+IFERROR(VLOOKUP(D19,'ID1&amp;5'!K:L,2,FALSE),"-")</f>
        <v>-</v>
      </c>
      <c r="R19" s="26" t="str">
        <f>+IFERROR(VLOOKUP(CONCATENATE(A19,$D$10,D19),'ID1&amp;5'!B:J,9,FALSE),"-")</f>
        <v>-</v>
      </c>
      <c r="S19" s="78" t="str">
        <f>+IFERROR(VLOOKUP(E19,'ID1&amp;5'!K:L,2,FALSE),"-")</f>
        <v>-</v>
      </c>
      <c r="T19" s="79" t="str">
        <f>+IFERROR(VLOOKUP(CONCATENATE(A19,$E$10,E19),'ID1&amp;5'!B:J,9,FALSE),"-")</f>
        <v>-</v>
      </c>
      <c r="U19" s="78" t="str">
        <f>+IFERROR(VLOOKUP(F19,'ID1&amp;5'!K:L,2,FALSE),"-")</f>
        <v>-</v>
      </c>
      <c r="V19" s="79" t="str">
        <f>+IFERROR(VLOOKUP(CONCATENATE(A19,$F$10,F19),'ID1&amp;5'!B:J,9,FALSE),"-")</f>
        <v>-</v>
      </c>
      <c r="W19" s="26" t="str">
        <f>+IFERROR(VLOOKUP(A19,'ID6&amp;7'!A:I,9,FALSE),"-")</f>
        <v>-</v>
      </c>
      <c r="X19" s="26" t="str">
        <f>+IFERROR(VLOOKUP(A19,'ID6&amp;7'!A:J,10,FALSE),"-")</f>
        <v>-</v>
      </c>
      <c r="Y19" s="26"/>
      <c r="Z19" s="27" t="str">
        <f t="shared" si="1"/>
        <v>Por iniciar</v>
      </c>
    </row>
    <row r="20" spans="1:26">
      <c r="A20" s="20" t="str">
        <f t="shared" si="0"/>
        <v>UNIV_OPERmsaldo_final45991</v>
      </c>
      <c r="B20" s="66">
        <f t="array" ref="B20">+MAX(IF('ID1&amp;5'!A:A='1. Status'!A20&amp;'1. Status'!$B$10,'ID1&amp;5'!K:K))</f>
        <v>0</v>
      </c>
      <c r="C20" s="60">
        <f t="array" ref="C20">+MAX(IF('ID1&amp;5'!A:A='1. Status'!A20&amp;'1. Status'!$C$10,'ID1&amp;5'!K:K))</f>
        <v>0</v>
      </c>
      <c r="D20" s="60">
        <f t="array" ref="D20">+MAX(IF('ID1&amp;5'!A:A='1. Status'!A20&amp;'1. Status'!$D$10,'ID1&amp;5'!K:K))</f>
        <v>0</v>
      </c>
      <c r="E20" s="60">
        <f t="array" ref="E20">+MAX(IF('ID1&amp;5'!A:A='1. Status'!A20&amp;'1. Status'!$E$10,'ID1&amp;5'!K:K))</f>
        <v>0</v>
      </c>
      <c r="F20" s="67">
        <f t="array" ref="F20">+MAX(IF('ID1&amp;5'!A:A='1. Status'!A20&amp;'1. Status'!$F$10,'ID1&amp;5'!K:K))</f>
        <v>0</v>
      </c>
      <c r="G20" s="60"/>
      <c r="H20" s="65" t="s">
        <v>1092</v>
      </c>
      <c r="I20" s="21" t="s">
        <v>1102</v>
      </c>
      <c r="J20" s="26">
        <f>+COUNTIF('ID1&amp;5'!G:G,'1. Status'!I20)</f>
        <v>0</v>
      </c>
      <c r="K20" s="79" t="str">
        <f>+IFERROR(VLOOKUP(CONCATENATE(A20,$B$10,B20),'ID1&amp;5'!B:J,8,FALSE),"-")</f>
        <v>-</v>
      </c>
      <c r="L20" s="78" t="str">
        <f>+IFERROR(VLOOKUP(B20,'ID1&amp;5'!K:L,2,FALSE),"-")</f>
        <v>-</v>
      </c>
      <c r="M20" s="79" t="str">
        <f>+IFERROR(VLOOKUP(CONCATENATE(A20,$B$10,B20),'ID1&amp;5'!B:J,9,FALSE),"-")</f>
        <v>-</v>
      </c>
      <c r="N20" s="79" t="str">
        <f>+IFERROR(VLOOKUP(CONCATENATE(A20,$C$10,C20),'ID1&amp;5'!B:J,8,FALSE),"-")</f>
        <v>-</v>
      </c>
      <c r="O20" s="78" t="str">
        <f>+IFERROR(VLOOKUP(C20,'ID1&amp;5'!K:L,2,FALSE),"-")</f>
        <v>-</v>
      </c>
      <c r="P20" s="79" t="str">
        <f>+IFERROR(VLOOKUP(CONCATENATE(A20,$C$10,C20),'ID1&amp;5'!B:J,9,FALSE),"-")</f>
        <v>-</v>
      </c>
      <c r="Q20" s="78" t="str">
        <f>+IFERROR(VLOOKUP(D20,'ID1&amp;5'!K:L,2,FALSE),"-")</f>
        <v>-</v>
      </c>
      <c r="R20" s="26" t="str">
        <f>+IFERROR(VLOOKUP(CONCATENATE(A20,$D$10,D20),'ID1&amp;5'!B:J,9,FALSE),"-")</f>
        <v>-</v>
      </c>
      <c r="S20" s="78" t="str">
        <f>+IFERROR(VLOOKUP(E20,'ID1&amp;5'!K:L,2,FALSE),"-")</f>
        <v>-</v>
      </c>
      <c r="T20" s="79" t="str">
        <f>+IFERROR(VLOOKUP(CONCATENATE(A20,$E$10,E20),'ID1&amp;5'!B:J,9,FALSE),"-")</f>
        <v>-</v>
      </c>
      <c r="U20" s="78" t="str">
        <f>+IFERROR(VLOOKUP(F20,'ID1&amp;5'!K:L,2,FALSE),"-")</f>
        <v>-</v>
      </c>
      <c r="V20" s="79" t="str">
        <f>+IFERROR(VLOOKUP(CONCATENATE(A20,$F$10,F20),'ID1&amp;5'!B:J,9,FALSE),"-")</f>
        <v>-</v>
      </c>
      <c r="W20" s="26" t="str">
        <f>+IFERROR(VLOOKUP(A20,'ID6&amp;7'!A:I,9,FALSE),"-")</f>
        <v>-</v>
      </c>
      <c r="X20" s="26" t="str">
        <f>+IFERROR(VLOOKUP(A20,'ID6&amp;7'!A:J,10,FALSE),"-")</f>
        <v>-</v>
      </c>
      <c r="Y20" s="26"/>
      <c r="Z20" s="27" t="str">
        <f t="shared" si="1"/>
        <v>Por iniciar</v>
      </c>
    </row>
    <row r="21" spans="1:26">
      <c r="A21" s="20" t="str">
        <f t="shared" si="0"/>
        <v>UNIV_OPERcarteira_contabilistica45991</v>
      </c>
      <c r="B21" s="66">
        <f t="array" ref="B21">+MAX(IF('ID1&amp;5'!A:A='1. Status'!A21&amp;'1. Status'!$B$10,'ID1&amp;5'!K:K))</f>
        <v>0</v>
      </c>
      <c r="C21" s="60">
        <f t="array" ref="C21">+MAX(IF('ID1&amp;5'!A:A='1. Status'!A21&amp;'1. Status'!$C$10,'ID1&amp;5'!K:K))</f>
        <v>0</v>
      </c>
      <c r="D21" s="60">
        <f t="array" ref="D21">+MAX(IF('ID1&amp;5'!A:A='1. Status'!A21&amp;'1. Status'!$D$10,'ID1&amp;5'!K:K))</f>
        <v>0</v>
      </c>
      <c r="E21" s="60">
        <f t="array" ref="E21">+MAX(IF('ID1&amp;5'!A:A='1. Status'!A21&amp;'1. Status'!$E$10,'ID1&amp;5'!K:K))</f>
        <v>0</v>
      </c>
      <c r="F21" s="67">
        <f t="array" ref="F21">+MAX(IF('ID1&amp;5'!A:A='1. Status'!A21&amp;'1. Status'!$F$10,'ID1&amp;5'!K:K))</f>
        <v>0</v>
      </c>
      <c r="G21" s="60"/>
      <c r="H21" s="65" t="s">
        <v>1092</v>
      </c>
      <c r="I21" s="21" t="s">
        <v>1103</v>
      </c>
      <c r="J21" s="26">
        <f>+COUNTIF('ID1&amp;5'!G:G,'1. Status'!I21)</f>
        <v>0</v>
      </c>
      <c r="K21" s="79" t="str">
        <f>+IFERROR(VLOOKUP(CONCATENATE(A21,$B$10,B21),'ID1&amp;5'!B:J,8,FALSE),"-")</f>
        <v>-</v>
      </c>
      <c r="L21" s="78" t="str">
        <f>+IFERROR(VLOOKUP(B21,'ID1&amp;5'!K:L,2,FALSE),"-")</f>
        <v>-</v>
      </c>
      <c r="M21" s="79" t="str">
        <f>+IFERROR(VLOOKUP(CONCATENATE(A21,$B$10,B21),'ID1&amp;5'!B:J,9,FALSE),"-")</f>
        <v>-</v>
      </c>
      <c r="N21" s="79" t="str">
        <f>+IFERROR(VLOOKUP(CONCATENATE(A21,$C$10,C21),'ID1&amp;5'!B:J,8,FALSE),"-")</f>
        <v>-</v>
      </c>
      <c r="O21" s="78" t="str">
        <f>+IFERROR(VLOOKUP(C21,'ID1&amp;5'!K:L,2,FALSE),"-")</f>
        <v>-</v>
      </c>
      <c r="P21" s="79" t="str">
        <f>+IFERROR(VLOOKUP(CONCATENATE(A21,$C$10,C21),'ID1&amp;5'!B:J,9,FALSE),"-")</f>
        <v>-</v>
      </c>
      <c r="Q21" s="78" t="str">
        <f>+IFERROR(VLOOKUP(D21,'ID1&amp;5'!K:L,2,FALSE),"-")</f>
        <v>-</v>
      </c>
      <c r="R21" s="26" t="str">
        <f>+IFERROR(VLOOKUP(CONCATENATE(A21,$D$10,D21),'ID1&amp;5'!B:J,9,FALSE),"-")</f>
        <v>-</v>
      </c>
      <c r="S21" s="78" t="str">
        <f>+IFERROR(VLOOKUP(E21,'ID1&amp;5'!K:L,2,FALSE),"-")</f>
        <v>-</v>
      </c>
      <c r="T21" s="79" t="str">
        <f>+IFERROR(VLOOKUP(CONCATENATE(A21,$E$10,E21),'ID1&amp;5'!B:J,9,FALSE),"-")</f>
        <v>-</v>
      </c>
      <c r="U21" s="78" t="str">
        <f>+IFERROR(VLOOKUP(F21,'ID1&amp;5'!K:L,2,FALSE),"-")</f>
        <v>-</v>
      </c>
      <c r="V21" s="79" t="str">
        <f>+IFERROR(VLOOKUP(CONCATENATE(A21,$F$10,F21),'ID1&amp;5'!B:J,9,FALSE),"-")</f>
        <v>-</v>
      </c>
      <c r="W21" s="26" t="str">
        <f>+IFERROR(VLOOKUP(A21,'ID6&amp;7'!A:I,9,FALSE),"-")</f>
        <v>-</v>
      </c>
      <c r="X21" s="26" t="str">
        <f>+IFERROR(VLOOKUP(A21,'ID6&amp;7'!A:J,10,FALSE),"-")</f>
        <v>-</v>
      </c>
      <c r="Y21" s="26"/>
      <c r="Z21" s="27" t="str">
        <f t="shared" si="1"/>
        <v>Por iniciar</v>
      </c>
    </row>
    <row r="22" spans="1:26">
      <c r="A22" s="20" t="str">
        <f t="shared" si="0"/>
        <v>UNIV_OPERinstrumento_financeiro45991</v>
      </c>
      <c r="B22" s="66">
        <f t="array" ref="B22">+MAX(IF('ID1&amp;5'!A:A='1. Status'!A22&amp;'1. Status'!$B$10,'ID1&amp;5'!K:K))</f>
        <v>0</v>
      </c>
      <c r="C22" s="60">
        <f t="array" ref="C22">+MAX(IF('ID1&amp;5'!A:A='1. Status'!A22&amp;'1. Status'!$C$10,'ID1&amp;5'!K:K))</f>
        <v>0</v>
      </c>
      <c r="D22" s="60">
        <f t="array" ref="D22">+MAX(IF('ID1&amp;5'!A:A='1. Status'!A22&amp;'1. Status'!$D$10,'ID1&amp;5'!K:K))</f>
        <v>0</v>
      </c>
      <c r="E22" s="60">
        <f t="array" ref="E22">+MAX(IF('ID1&amp;5'!A:A='1. Status'!A22&amp;'1. Status'!$E$10,'ID1&amp;5'!K:K))</f>
        <v>0</v>
      </c>
      <c r="F22" s="67">
        <f t="array" ref="F22">+MAX(IF('ID1&amp;5'!A:A='1. Status'!A22&amp;'1. Status'!$F$10,'ID1&amp;5'!K:K))</f>
        <v>0</v>
      </c>
      <c r="G22" s="60"/>
      <c r="H22" s="65" t="s">
        <v>1092</v>
      </c>
      <c r="I22" s="21" t="s">
        <v>1104</v>
      </c>
      <c r="J22" s="26">
        <f>+COUNTIF('ID1&amp;5'!G:G,'1. Status'!I22)</f>
        <v>0</v>
      </c>
      <c r="K22" s="79" t="str">
        <f>+IFERROR(VLOOKUP(CONCATENATE(A22,$B$10,B22),'ID1&amp;5'!B:J,8,FALSE),"-")</f>
        <v>-</v>
      </c>
      <c r="L22" s="78" t="str">
        <f>+IFERROR(VLOOKUP(B22,'ID1&amp;5'!K:L,2,FALSE),"-")</f>
        <v>-</v>
      </c>
      <c r="M22" s="79" t="str">
        <f>+IFERROR(VLOOKUP(CONCATENATE(A22,$B$10,B22),'ID1&amp;5'!B:J,9,FALSE),"-")</f>
        <v>-</v>
      </c>
      <c r="N22" s="79" t="str">
        <f>+IFERROR(VLOOKUP(CONCATENATE(A22,$C$10,C22),'ID1&amp;5'!B:J,8,FALSE),"-")</f>
        <v>-</v>
      </c>
      <c r="O22" s="78" t="str">
        <f>+IFERROR(VLOOKUP(C22,'ID1&amp;5'!K:L,2,FALSE),"-")</f>
        <v>-</v>
      </c>
      <c r="P22" s="79" t="str">
        <f>+IFERROR(VLOOKUP(CONCATENATE(A22,$C$10,C22),'ID1&amp;5'!B:J,9,FALSE),"-")</f>
        <v>-</v>
      </c>
      <c r="Q22" s="78" t="str">
        <f>+IFERROR(VLOOKUP(D22,'ID1&amp;5'!K:L,2,FALSE),"-")</f>
        <v>-</v>
      </c>
      <c r="R22" s="26" t="str">
        <f>+IFERROR(VLOOKUP(CONCATENATE(A22,$D$10,D22),'ID1&amp;5'!B:J,9,FALSE),"-")</f>
        <v>-</v>
      </c>
      <c r="S22" s="78" t="str">
        <f>+IFERROR(VLOOKUP(E22,'ID1&amp;5'!K:L,2,FALSE),"-")</f>
        <v>-</v>
      </c>
      <c r="T22" s="79" t="str">
        <f>+IFERROR(VLOOKUP(CONCATENATE(A22,$E$10,E22),'ID1&amp;5'!B:J,9,FALSE),"-")</f>
        <v>-</v>
      </c>
      <c r="U22" s="78" t="str">
        <f>+IFERROR(VLOOKUP(F22,'ID1&amp;5'!K:L,2,FALSE),"-")</f>
        <v>-</v>
      </c>
      <c r="V22" s="79" t="str">
        <f>+IFERROR(VLOOKUP(CONCATENATE(A22,$F$10,F22),'ID1&amp;5'!B:J,9,FALSE),"-")</f>
        <v>-</v>
      </c>
      <c r="W22" s="26" t="str">
        <f>+IFERROR(VLOOKUP(A22,'ID6&amp;7'!A:I,9,FALSE),"-")</f>
        <v>-</v>
      </c>
      <c r="X22" s="26" t="str">
        <f>+IFERROR(VLOOKUP(A22,'ID6&amp;7'!A:J,10,FALSE),"-")</f>
        <v>-</v>
      </c>
      <c r="Y22" s="26"/>
      <c r="Z22" s="27" t="str">
        <f t="shared" si="1"/>
        <v>Por iniciar</v>
      </c>
    </row>
    <row r="23" spans="1:26">
      <c r="A23" s="20" t="str">
        <f t="shared" si="0"/>
        <v>UNIV_OPERcontraparte45991</v>
      </c>
      <c r="B23" s="66">
        <f t="array" ref="B23">+MAX(IF('ID1&amp;5'!A:A='1. Status'!A23&amp;'1. Status'!$B$10,'ID1&amp;5'!K:K))</f>
        <v>0</v>
      </c>
      <c r="C23" s="60">
        <f t="array" ref="C23">+MAX(IF('ID1&amp;5'!A:A='1. Status'!A23&amp;'1. Status'!$C$10,'ID1&amp;5'!K:K))</f>
        <v>0</v>
      </c>
      <c r="D23" s="60">
        <f t="array" ref="D23">+MAX(IF('ID1&amp;5'!A:A='1. Status'!A23&amp;'1. Status'!$D$10,'ID1&amp;5'!K:K))</f>
        <v>0</v>
      </c>
      <c r="E23" s="60">
        <f t="array" ref="E23">+MAX(IF('ID1&amp;5'!A:A='1. Status'!A23&amp;'1. Status'!$E$10,'ID1&amp;5'!K:K))</f>
        <v>0</v>
      </c>
      <c r="F23" s="67">
        <f t="array" ref="F23">+MAX(IF('ID1&amp;5'!A:A='1. Status'!A23&amp;'1. Status'!$F$10,'ID1&amp;5'!K:K))</f>
        <v>0</v>
      </c>
      <c r="G23" s="60"/>
      <c r="H23" s="65" t="s">
        <v>1092</v>
      </c>
      <c r="I23" s="21" t="s">
        <v>1105</v>
      </c>
      <c r="J23" s="26">
        <f>+COUNTIF('ID1&amp;5'!G:G,'1. Status'!I23)</f>
        <v>0</v>
      </c>
      <c r="K23" s="79" t="str">
        <f>+IFERROR(VLOOKUP(CONCATENATE(A23,$B$10,B23),'ID1&amp;5'!B:J,8,FALSE),"-")</f>
        <v>-</v>
      </c>
      <c r="L23" s="78" t="str">
        <f>+IFERROR(VLOOKUP(B23,'ID1&amp;5'!K:L,2,FALSE),"-")</f>
        <v>-</v>
      </c>
      <c r="M23" s="79" t="str">
        <f>+IFERROR(VLOOKUP(CONCATENATE(A23,$B$10,B23),'ID1&amp;5'!B:J,9,FALSE),"-")</f>
        <v>-</v>
      </c>
      <c r="N23" s="79" t="str">
        <f>+IFERROR(VLOOKUP(CONCATENATE(A23,$C$10,C23),'ID1&amp;5'!B:J,8,FALSE),"-")</f>
        <v>-</v>
      </c>
      <c r="O23" s="78" t="str">
        <f>+IFERROR(VLOOKUP(C23,'ID1&amp;5'!K:L,2,FALSE),"-")</f>
        <v>-</v>
      </c>
      <c r="P23" s="79" t="str">
        <f>+IFERROR(VLOOKUP(CONCATENATE(A23,$C$10,C23),'ID1&amp;5'!B:J,9,FALSE),"-")</f>
        <v>-</v>
      </c>
      <c r="Q23" s="78" t="str">
        <f>+IFERROR(VLOOKUP(D23,'ID1&amp;5'!K:L,2,FALSE),"-")</f>
        <v>-</v>
      </c>
      <c r="R23" s="26" t="str">
        <f>+IFERROR(VLOOKUP(CONCATENATE(A23,$D$10,D23),'ID1&amp;5'!B:J,9,FALSE),"-")</f>
        <v>-</v>
      </c>
      <c r="S23" s="78" t="str">
        <f>+IFERROR(VLOOKUP(E23,'ID1&amp;5'!K:L,2,FALSE),"-")</f>
        <v>-</v>
      </c>
      <c r="T23" s="79" t="str">
        <f>+IFERROR(VLOOKUP(CONCATENATE(A23,$E$10,E23),'ID1&amp;5'!B:J,9,FALSE),"-")</f>
        <v>-</v>
      </c>
      <c r="U23" s="78" t="str">
        <f>+IFERROR(VLOOKUP(F23,'ID1&amp;5'!K:L,2,FALSE),"-")</f>
        <v>-</v>
      </c>
      <c r="V23" s="79" t="str">
        <f>+IFERROR(VLOOKUP(CONCATENATE(A23,$F$10,F23),'ID1&amp;5'!B:J,9,FALSE),"-")</f>
        <v>-</v>
      </c>
      <c r="W23" s="26" t="str">
        <f>+IFERROR(VLOOKUP(A23,'ID6&amp;7'!A:I,9,FALSE),"-")</f>
        <v>-</v>
      </c>
      <c r="X23" s="26" t="str">
        <f>+IFERROR(VLOOKUP(A23,'ID6&amp;7'!A:J,10,FALSE),"-")</f>
        <v>-</v>
      </c>
      <c r="Y23" s="26"/>
      <c r="Z23" s="27" t="str">
        <f t="shared" si="1"/>
        <v>Por iniciar</v>
      </c>
    </row>
    <row r="24" spans="1:26">
      <c r="A24" s="20" t="str">
        <f t="shared" si="0"/>
        <v>UNIV_OPERcontraparte_i45991</v>
      </c>
      <c r="B24" s="66">
        <f t="array" ref="B24">+MAX(IF('ID1&amp;5'!A:A='1. Status'!A24&amp;'1. Status'!$B$10,'ID1&amp;5'!K:K))</f>
        <v>0</v>
      </c>
      <c r="C24" s="60">
        <f t="array" ref="C24">+MAX(IF('ID1&amp;5'!A:A='1. Status'!A24&amp;'1. Status'!$C$10,'ID1&amp;5'!K:K))</f>
        <v>0</v>
      </c>
      <c r="D24" s="60">
        <f t="array" ref="D24">+MAX(IF('ID1&amp;5'!A:A='1. Status'!A24&amp;'1. Status'!$D$10,'ID1&amp;5'!K:K))</f>
        <v>0</v>
      </c>
      <c r="E24" s="60">
        <f t="array" ref="E24">+MAX(IF('ID1&amp;5'!A:A='1. Status'!A24&amp;'1. Status'!$E$10,'ID1&amp;5'!K:K))</f>
        <v>0</v>
      </c>
      <c r="F24" s="67">
        <f t="array" ref="F24">+MAX(IF('ID1&amp;5'!A:A='1. Status'!A24&amp;'1. Status'!$F$10,'ID1&amp;5'!K:K))</f>
        <v>0</v>
      </c>
      <c r="G24" s="60"/>
      <c r="H24" s="65" t="s">
        <v>1092</v>
      </c>
      <c r="I24" s="21" t="s">
        <v>1106</v>
      </c>
      <c r="J24" s="26">
        <f>+COUNTIF('ID1&amp;5'!G:G,'1. Status'!I24)</f>
        <v>0</v>
      </c>
      <c r="K24" s="79" t="str">
        <f>+IFERROR(VLOOKUP(CONCATENATE(A24,$B$10,B24),'ID1&amp;5'!B:J,8,FALSE),"-")</f>
        <v>-</v>
      </c>
      <c r="L24" s="78" t="str">
        <f>+IFERROR(VLOOKUP(B24,'ID1&amp;5'!K:L,2,FALSE),"-")</f>
        <v>-</v>
      </c>
      <c r="M24" s="79" t="str">
        <f>+IFERROR(VLOOKUP(CONCATENATE(A24,$B$10,B24),'ID1&amp;5'!B:J,9,FALSE),"-")</f>
        <v>-</v>
      </c>
      <c r="N24" s="79" t="str">
        <f>+IFERROR(VLOOKUP(CONCATENATE(A24,$C$10,C24),'ID1&amp;5'!B:J,8,FALSE),"-")</f>
        <v>-</v>
      </c>
      <c r="O24" s="78" t="str">
        <f>+IFERROR(VLOOKUP(C24,'ID1&amp;5'!K:L,2,FALSE),"-")</f>
        <v>-</v>
      </c>
      <c r="P24" s="79" t="str">
        <f>+IFERROR(VLOOKUP(CONCATENATE(A24,$C$10,C24),'ID1&amp;5'!B:J,9,FALSE),"-")</f>
        <v>-</v>
      </c>
      <c r="Q24" s="78" t="str">
        <f>+IFERROR(VLOOKUP(D24,'ID1&amp;5'!K:L,2,FALSE),"-")</f>
        <v>-</v>
      </c>
      <c r="R24" s="26" t="str">
        <f>+IFERROR(VLOOKUP(CONCATENATE(A24,$D$10,D24),'ID1&amp;5'!B:J,9,FALSE),"-")</f>
        <v>-</v>
      </c>
      <c r="S24" s="78" t="str">
        <f>+IFERROR(VLOOKUP(E24,'ID1&amp;5'!K:L,2,FALSE),"-")</f>
        <v>-</v>
      </c>
      <c r="T24" s="79" t="str">
        <f>+IFERROR(VLOOKUP(CONCATENATE(A24,$E$10,E24),'ID1&amp;5'!B:J,9,FALSE),"-")</f>
        <v>-</v>
      </c>
      <c r="U24" s="78" t="str">
        <f>+IFERROR(VLOOKUP(F24,'ID1&amp;5'!K:L,2,FALSE),"-")</f>
        <v>-</v>
      </c>
      <c r="V24" s="79" t="str">
        <f>+IFERROR(VLOOKUP(CONCATENATE(A24,$F$10,F24),'ID1&amp;5'!B:J,9,FALSE),"-")</f>
        <v>-</v>
      </c>
      <c r="W24" s="26" t="str">
        <f>+IFERROR(VLOOKUP(A24,'ID6&amp;7'!A:I,9,FALSE),"-")</f>
        <v>-</v>
      </c>
      <c r="X24" s="26" t="str">
        <f>+IFERROR(VLOOKUP(A24,'ID6&amp;7'!A:J,10,FALSE),"-")</f>
        <v>-</v>
      </c>
      <c r="Y24" s="26"/>
      <c r="Z24" s="27" t="str">
        <f t="shared" si="1"/>
        <v>Por iniciar</v>
      </c>
    </row>
    <row r="25" spans="1:26">
      <c r="A25" s="20" t="str">
        <f t="shared" si="0"/>
        <v>UNIV_OPERproduto45991</v>
      </c>
      <c r="B25" s="66">
        <f t="array" ref="B25">+MAX(IF('ID1&amp;5'!A:A='1. Status'!A25&amp;'1. Status'!$B$10,'ID1&amp;5'!K:K))</f>
        <v>0</v>
      </c>
      <c r="C25" s="60">
        <f t="array" ref="C25">+MAX(IF('ID1&amp;5'!A:A='1. Status'!A25&amp;'1. Status'!$C$10,'ID1&amp;5'!K:K))</f>
        <v>0</v>
      </c>
      <c r="D25" s="60">
        <f t="array" ref="D25">+MAX(IF('ID1&amp;5'!A:A='1. Status'!A25&amp;'1. Status'!$D$10,'ID1&amp;5'!K:K))</f>
        <v>0</v>
      </c>
      <c r="E25" s="60">
        <f t="array" ref="E25">+MAX(IF('ID1&amp;5'!A:A='1. Status'!A25&amp;'1. Status'!$E$10,'ID1&amp;5'!K:K))</f>
        <v>0</v>
      </c>
      <c r="F25" s="67">
        <f t="array" ref="F25">+MAX(IF('ID1&amp;5'!A:A='1. Status'!A25&amp;'1. Status'!$F$10,'ID1&amp;5'!K:K))</f>
        <v>0</v>
      </c>
      <c r="G25" s="60"/>
      <c r="H25" s="65" t="s">
        <v>1092</v>
      </c>
      <c r="I25" s="21" t="s">
        <v>1107</v>
      </c>
      <c r="J25" s="26">
        <f>+COUNTIF('ID1&amp;5'!G:G,'1. Status'!I25)</f>
        <v>0</v>
      </c>
      <c r="K25" s="79" t="str">
        <f>+IFERROR(VLOOKUP(CONCATENATE(A25,$B$10,B25),'ID1&amp;5'!B:J,8,FALSE),"-")</f>
        <v>-</v>
      </c>
      <c r="L25" s="78" t="str">
        <f>+IFERROR(VLOOKUP(B25,'ID1&amp;5'!K:L,2,FALSE),"-")</f>
        <v>-</v>
      </c>
      <c r="M25" s="79" t="str">
        <f>+IFERROR(VLOOKUP(CONCATENATE(A25,$B$10,B25),'ID1&amp;5'!B:J,9,FALSE),"-")</f>
        <v>-</v>
      </c>
      <c r="N25" s="79" t="str">
        <f>+IFERROR(VLOOKUP(CONCATENATE(A25,$C$10,C25),'ID1&amp;5'!B:J,8,FALSE),"-")</f>
        <v>-</v>
      </c>
      <c r="O25" s="78" t="str">
        <f>+IFERROR(VLOOKUP(C25,'ID1&amp;5'!K:L,2,FALSE),"-")</f>
        <v>-</v>
      </c>
      <c r="P25" s="79" t="str">
        <f>+IFERROR(VLOOKUP(CONCATENATE(A25,$C$10,C25),'ID1&amp;5'!B:J,9,FALSE),"-")</f>
        <v>-</v>
      </c>
      <c r="Q25" s="78" t="str">
        <f>+IFERROR(VLOOKUP(D25,'ID1&amp;5'!K:L,2,FALSE),"-")</f>
        <v>-</v>
      </c>
      <c r="R25" s="26" t="str">
        <f>+IFERROR(VLOOKUP(CONCATENATE(A25,$D$10,D25),'ID1&amp;5'!B:J,9,FALSE),"-")</f>
        <v>-</v>
      </c>
      <c r="S25" s="78" t="str">
        <f>+IFERROR(VLOOKUP(E25,'ID1&amp;5'!K:L,2,FALSE),"-")</f>
        <v>-</v>
      </c>
      <c r="T25" s="79" t="str">
        <f>+IFERROR(VLOOKUP(CONCATENATE(A25,$E$10,E25),'ID1&amp;5'!B:J,9,FALSE),"-")</f>
        <v>-</v>
      </c>
      <c r="U25" s="78" t="str">
        <f>+IFERROR(VLOOKUP(F25,'ID1&amp;5'!K:L,2,FALSE),"-")</f>
        <v>-</v>
      </c>
      <c r="V25" s="79" t="str">
        <f>+IFERROR(VLOOKUP(CONCATENATE(A25,$F$10,F25),'ID1&amp;5'!B:J,9,FALSE),"-")</f>
        <v>-</v>
      </c>
      <c r="W25" s="26" t="str">
        <f>+IFERROR(VLOOKUP(A25,'ID6&amp;7'!A:I,9,FALSE),"-")</f>
        <v>-</v>
      </c>
      <c r="X25" s="26" t="str">
        <f>+IFERROR(VLOOKUP(A25,'ID6&amp;7'!A:J,10,FALSE),"-")</f>
        <v>-</v>
      </c>
      <c r="Y25" s="26"/>
      <c r="Z25" s="27" t="str">
        <f t="shared" si="1"/>
        <v>Por iniciar</v>
      </c>
    </row>
    <row r="26" spans="1:26">
      <c r="A26" s="20" t="str">
        <f t="shared" si="0"/>
        <v>UNIV_OPERtipo_conta45991</v>
      </c>
      <c r="B26" s="66">
        <f t="array" ref="B26">+MAX(IF('ID1&amp;5'!A:A='1. Status'!A26&amp;'1. Status'!$B$10,'ID1&amp;5'!K:K))</f>
        <v>0</v>
      </c>
      <c r="C26" s="60">
        <f t="array" ref="C26">+MAX(IF('ID1&amp;5'!A:A='1. Status'!A26&amp;'1. Status'!$C$10,'ID1&amp;5'!K:K))</f>
        <v>0</v>
      </c>
      <c r="D26" s="60">
        <f t="array" ref="D26">+MAX(IF('ID1&amp;5'!A:A='1. Status'!A26&amp;'1. Status'!$D$10,'ID1&amp;5'!K:K))</f>
        <v>0</v>
      </c>
      <c r="E26" s="60">
        <f t="array" ref="E26">+MAX(IF('ID1&amp;5'!A:A='1. Status'!A26&amp;'1. Status'!$E$10,'ID1&amp;5'!K:K))</f>
        <v>0</v>
      </c>
      <c r="F26" s="67">
        <f t="array" ref="F26">+MAX(IF('ID1&amp;5'!A:A='1. Status'!A26&amp;'1. Status'!$F$10,'ID1&amp;5'!K:K))</f>
        <v>0</v>
      </c>
      <c r="G26" s="60"/>
      <c r="H26" s="65" t="s">
        <v>1092</v>
      </c>
      <c r="I26" s="21" t="s">
        <v>1108</v>
      </c>
      <c r="J26" s="26">
        <f>+COUNTIF('ID1&amp;5'!G:G,'1. Status'!I26)</f>
        <v>0</v>
      </c>
      <c r="K26" s="79" t="str">
        <f>+IFERROR(VLOOKUP(CONCATENATE(A26,$B$10,B26),'ID1&amp;5'!B:J,8,FALSE),"-")</f>
        <v>-</v>
      </c>
      <c r="L26" s="78" t="str">
        <f>+IFERROR(VLOOKUP(B26,'ID1&amp;5'!K:L,2,FALSE),"-")</f>
        <v>-</v>
      </c>
      <c r="M26" s="79" t="str">
        <f>+IFERROR(VLOOKUP(CONCATENATE(A26,$B$10,B26),'ID1&amp;5'!B:J,9,FALSE),"-")</f>
        <v>-</v>
      </c>
      <c r="N26" s="79" t="str">
        <f>+IFERROR(VLOOKUP(CONCATENATE(A26,$C$10,C26),'ID1&amp;5'!B:J,8,FALSE),"-")</f>
        <v>-</v>
      </c>
      <c r="O26" s="78" t="str">
        <f>+IFERROR(VLOOKUP(C26,'ID1&amp;5'!K:L,2,FALSE),"-")</f>
        <v>-</v>
      </c>
      <c r="P26" s="79" t="str">
        <f>+IFERROR(VLOOKUP(CONCATENATE(A26,$C$10,C26),'ID1&amp;5'!B:J,9,FALSE),"-")</f>
        <v>-</v>
      </c>
      <c r="Q26" s="78" t="str">
        <f>+IFERROR(VLOOKUP(D26,'ID1&amp;5'!K:L,2,FALSE),"-")</f>
        <v>-</v>
      </c>
      <c r="R26" s="26" t="str">
        <f>+IFERROR(VLOOKUP(CONCATENATE(A26,$D$10,D26),'ID1&amp;5'!B:J,9,FALSE),"-")</f>
        <v>-</v>
      </c>
      <c r="S26" s="78" t="str">
        <f>+IFERROR(VLOOKUP(E26,'ID1&amp;5'!K:L,2,FALSE),"-")</f>
        <v>-</v>
      </c>
      <c r="T26" s="79" t="str">
        <f>+IFERROR(VLOOKUP(CONCATENATE(A26,$E$10,E26),'ID1&amp;5'!B:J,9,FALSE),"-")</f>
        <v>-</v>
      </c>
      <c r="U26" s="78" t="str">
        <f>+IFERROR(VLOOKUP(F26,'ID1&amp;5'!K:L,2,FALSE),"-")</f>
        <v>-</v>
      </c>
      <c r="V26" s="79" t="str">
        <f>+IFERROR(VLOOKUP(CONCATENATE(A26,$F$10,F26),'ID1&amp;5'!B:J,9,FALSE),"-")</f>
        <v>-</v>
      </c>
      <c r="W26" s="26" t="str">
        <f>+IFERROR(VLOOKUP(A26,'ID6&amp;7'!A:I,9,FALSE),"-")</f>
        <v>-</v>
      </c>
      <c r="X26" s="26" t="str">
        <f>+IFERROR(VLOOKUP(A26,'ID6&amp;7'!A:J,10,FALSE),"-")</f>
        <v>-</v>
      </c>
      <c r="Y26" s="26"/>
      <c r="Z26" s="27" t="str">
        <f t="shared" si="1"/>
        <v>Por iniciar</v>
      </c>
    </row>
    <row r="27" spans="1:26">
      <c r="A27" s="20" t="str">
        <f t="shared" si="0"/>
        <v>UNIV_OPERbruto_imparidade45991</v>
      </c>
      <c r="B27" s="66">
        <f t="array" ref="B27">+MAX(IF('ID1&amp;5'!A:A='1. Status'!A27&amp;'1. Status'!$B$10,'ID1&amp;5'!K:K))</f>
        <v>0</v>
      </c>
      <c r="C27" s="60">
        <f t="array" ref="C27">+MAX(IF('ID1&amp;5'!A:A='1. Status'!A27&amp;'1. Status'!$C$10,'ID1&amp;5'!K:K))</f>
        <v>0</v>
      </c>
      <c r="D27" s="60">
        <f t="array" ref="D27">+MAX(IF('ID1&amp;5'!A:A='1. Status'!A27&amp;'1. Status'!$D$10,'ID1&amp;5'!K:K))</f>
        <v>0</v>
      </c>
      <c r="E27" s="60">
        <f t="array" ref="E27">+MAX(IF('ID1&amp;5'!A:A='1. Status'!A27&amp;'1. Status'!$E$10,'ID1&amp;5'!K:K))</f>
        <v>0</v>
      </c>
      <c r="F27" s="67">
        <f t="array" ref="F27">+MAX(IF('ID1&amp;5'!A:A='1. Status'!A27&amp;'1. Status'!$F$10,'ID1&amp;5'!K:K))</f>
        <v>0</v>
      </c>
      <c r="G27" s="60"/>
      <c r="H27" s="65" t="s">
        <v>1092</v>
      </c>
      <c r="I27" s="21" t="s">
        <v>1109</v>
      </c>
      <c r="J27" s="26">
        <f>+COUNTIF('ID1&amp;5'!G:G,'1. Status'!I27)</f>
        <v>0</v>
      </c>
      <c r="K27" s="79" t="str">
        <f>+IFERROR(VLOOKUP(CONCATENATE(A27,$B$10,B27),'ID1&amp;5'!B:J,8,FALSE),"-")</f>
        <v>-</v>
      </c>
      <c r="L27" s="78" t="str">
        <f>+IFERROR(VLOOKUP(B27,'ID1&amp;5'!K:L,2,FALSE),"-")</f>
        <v>-</v>
      </c>
      <c r="M27" s="79" t="str">
        <f>+IFERROR(VLOOKUP(CONCATENATE(A27,$B$10,B27),'ID1&amp;5'!B:J,9,FALSE),"-")</f>
        <v>-</v>
      </c>
      <c r="N27" s="79" t="str">
        <f>+IFERROR(VLOOKUP(CONCATENATE(A27,$C$10,C27),'ID1&amp;5'!B:J,8,FALSE),"-")</f>
        <v>-</v>
      </c>
      <c r="O27" s="78" t="str">
        <f>+IFERROR(VLOOKUP(C27,'ID1&amp;5'!K:L,2,FALSE),"-")</f>
        <v>-</v>
      </c>
      <c r="P27" s="79" t="str">
        <f>+IFERROR(VLOOKUP(CONCATENATE(A27,$C$10,C27),'ID1&amp;5'!B:J,9,FALSE),"-")</f>
        <v>-</v>
      </c>
      <c r="Q27" s="78" t="str">
        <f>+IFERROR(VLOOKUP(D27,'ID1&amp;5'!K:L,2,FALSE),"-")</f>
        <v>-</v>
      </c>
      <c r="R27" s="26" t="str">
        <f>+IFERROR(VLOOKUP(CONCATENATE(A27,$D$10,D27),'ID1&amp;5'!B:J,9,FALSE),"-")</f>
        <v>-</v>
      </c>
      <c r="S27" s="78" t="str">
        <f>+IFERROR(VLOOKUP(E27,'ID1&amp;5'!K:L,2,FALSE),"-")</f>
        <v>-</v>
      </c>
      <c r="T27" s="79" t="str">
        <f>+IFERROR(VLOOKUP(CONCATENATE(A27,$E$10,E27),'ID1&amp;5'!B:J,9,FALSE),"-")</f>
        <v>-</v>
      </c>
      <c r="U27" s="78" t="str">
        <f>+IFERROR(VLOOKUP(F27,'ID1&amp;5'!K:L,2,FALSE),"-")</f>
        <v>-</v>
      </c>
      <c r="V27" s="79" t="str">
        <f>+IFERROR(VLOOKUP(CONCATENATE(A27,$F$10,F27),'ID1&amp;5'!B:J,9,FALSE),"-")</f>
        <v>-</v>
      </c>
      <c r="W27" s="26" t="str">
        <f>+IFERROR(VLOOKUP(A27,'ID6&amp;7'!A:I,9,FALSE),"-")</f>
        <v>-</v>
      </c>
      <c r="X27" s="26" t="str">
        <f>+IFERROR(VLOOKUP(A27,'ID6&amp;7'!A:J,10,FALSE),"-")</f>
        <v>-</v>
      </c>
      <c r="Y27" s="26"/>
      <c r="Z27" s="27" t="str">
        <f t="shared" si="1"/>
        <v>Por iniciar</v>
      </c>
    </row>
    <row r="28" spans="1:26">
      <c r="A28" s="20" t="str">
        <f t="shared" si="0"/>
        <v>UNIV_OPERcomposicao_valor45991</v>
      </c>
      <c r="B28" s="66">
        <f t="array" ref="B28">+MAX(IF('ID1&amp;5'!A:A='1. Status'!A28&amp;'1. Status'!$B$10,'ID1&amp;5'!K:K))</f>
        <v>0</v>
      </c>
      <c r="C28" s="60">
        <f t="array" ref="C28">+MAX(IF('ID1&amp;5'!A:A='1. Status'!A28&amp;'1. Status'!$C$10,'ID1&amp;5'!K:K))</f>
        <v>0</v>
      </c>
      <c r="D28" s="60">
        <f t="array" ref="D28">+MAX(IF('ID1&amp;5'!A:A='1. Status'!A28&amp;'1. Status'!$D$10,'ID1&amp;5'!K:K))</f>
        <v>0</v>
      </c>
      <c r="E28" s="60">
        <f t="array" ref="E28">+MAX(IF('ID1&amp;5'!A:A='1. Status'!A28&amp;'1. Status'!$E$10,'ID1&amp;5'!K:K))</f>
        <v>0</v>
      </c>
      <c r="F28" s="67">
        <f t="array" ref="F28">+MAX(IF('ID1&amp;5'!A:A='1. Status'!A28&amp;'1. Status'!$F$10,'ID1&amp;5'!K:K))</f>
        <v>0</v>
      </c>
      <c r="G28" s="60"/>
      <c r="H28" s="65" t="s">
        <v>1092</v>
      </c>
      <c r="I28" s="21" t="s">
        <v>1110</v>
      </c>
      <c r="J28" s="26">
        <f>+COUNTIF('ID1&amp;5'!G:G,'1. Status'!I28)</f>
        <v>0</v>
      </c>
      <c r="K28" s="79" t="str">
        <f>+IFERROR(VLOOKUP(CONCATENATE(A28,$B$10,B28),'ID1&amp;5'!B:J,8,FALSE),"-")</f>
        <v>-</v>
      </c>
      <c r="L28" s="78" t="str">
        <f>+IFERROR(VLOOKUP(B28,'ID1&amp;5'!K:L,2,FALSE),"-")</f>
        <v>-</v>
      </c>
      <c r="M28" s="79" t="str">
        <f>+IFERROR(VLOOKUP(CONCATENATE(A28,$B$10,B28),'ID1&amp;5'!B:J,9,FALSE),"-")</f>
        <v>-</v>
      </c>
      <c r="N28" s="79" t="str">
        <f>+IFERROR(VLOOKUP(CONCATENATE(A28,$C$10,C28),'ID1&amp;5'!B:J,8,FALSE),"-")</f>
        <v>-</v>
      </c>
      <c r="O28" s="78" t="str">
        <f>+IFERROR(VLOOKUP(C28,'ID1&amp;5'!K:L,2,FALSE),"-")</f>
        <v>-</v>
      </c>
      <c r="P28" s="79" t="str">
        <f>+IFERROR(VLOOKUP(CONCATENATE(A28,$C$10,C28),'ID1&amp;5'!B:J,9,FALSE),"-")</f>
        <v>-</v>
      </c>
      <c r="Q28" s="78" t="str">
        <f>+IFERROR(VLOOKUP(D28,'ID1&amp;5'!K:L,2,FALSE),"-")</f>
        <v>-</v>
      </c>
      <c r="R28" s="26" t="str">
        <f>+IFERROR(VLOOKUP(CONCATENATE(A28,$D$10,D28),'ID1&amp;5'!B:J,9,FALSE),"-")</f>
        <v>-</v>
      </c>
      <c r="S28" s="78" t="str">
        <f>+IFERROR(VLOOKUP(E28,'ID1&amp;5'!K:L,2,FALSE),"-")</f>
        <v>-</v>
      </c>
      <c r="T28" s="79" t="str">
        <f>+IFERROR(VLOOKUP(CONCATENATE(A28,$E$10,E28),'ID1&amp;5'!B:J,9,FALSE),"-")</f>
        <v>-</v>
      </c>
      <c r="U28" s="78" t="str">
        <f>+IFERROR(VLOOKUP(F28,'ID1&amp;5'!K:L,2,FALSE),"-")</f>
        <v>-</v>
      </c>
      <c r="V28" s="79" t="str">
        <f>+IFERROR(VLOOKUP(CONCATENATE(A28,$F$10,F28),'ID1&amp;5'!B:J,9,FALSE),"-")</f>
        <v>-</v>
      </c>
      <c r="W28" s="26" t="str">
        <f>+IFERROR(VLOOKUP(A28,'ID6&amp;7'!A:I,9,FALSE),"-")</f>
        <v>-</v>
      </c>
      <c r="X28" s="26" t="str">
        <f>+IFERROR(VLOOKUP(A28,'ID6&amp;7'!A:J,10,FALSE),"-")</f>
        <v>-</v>
      </c>
      <c r="Y28" s="26"/>
      <c r="Z28" s="27" t="str">
        <f t="shared" si="1"/>
        <v>Por iniciar</v>
      </c>
    </row>
    <row r="29" spans="1:26">
      <c r="A29" s="20" t="str">
        <f t="shared" si="0"/>
        <v>UNIV_OPERcolateral45991</v>
      </c>
      <c r="B29" s="66">
        <f t="array" ref="B29">+MAX(IF('ID1&amp;5'!A:A='1. Status'!A29&amp;'1. Status'!$B$10,'ID1&amp;5'!K:K))</f>
        <v>0</v>
      </c>
      <c r="C29" s="60">
        <f t="array" ref="C29">+MAX(IF('ID1&amp;5'!A:A='1. Status'!A29&amp;'1. Status'!$C$10,'ID1&amp;5'!K:K))</f>
        <v>0</v>
      </c>
      <c r="D29" s="60">
        <f t="array" ref="D29">+MAX(IF('ID1&amp;5'!A:A='1. Status'!A29&amp;'1. Status'!$D$10,'ID1&amp;5'!K:K))</f>
        <v>0</v>
      </c>
      <c r="E29" s="60">
        <f t="array" ref="E29">+MAX(IF('ID1&amp;5'!A:A='1. Status'!A29&amp;'1. Status'!$E$10,'ID1&amp;5'!K:K))</f>
        <v>0</v>
      </c>
      <c r="F29" s="67">
        <f t="array" ref="F29">+MAX(IF('ID1&amp;5'!A:A='1. Status'!A29&amp;'1. Status'!$F$10,'ID1&amp;5'!K:K))</f>
        <v>0</v>
      </c>
      <c r="G29" s="60"/>
      <c r="H29" s="65" t="s">
        <v>1092</v>
      </c>
      <c r="I29" s="21" t="s">
        <v>1111</v>
      </c>
      <c r="J29" s="26">
        <f>+COUNTIF('ID1&amp;5'!G:G,'1. Status'!I29)</f>
        <v>0</v>
      </c>
      <c r="K29" s="79" t="str">
        <f>+IFERROR(VLOOKUP(CONCATENATE(A29,$B$10,B29),'ID1&amp;5'!B:J,8,FALSE),"-")</f>
        <v>-</v>
      </c>
      <c r="L29" s="78" t="str">
        <f>+IFERROR(VLOOKUP(B29,'ID1&amp;5'!K:L,2,FALSE),"-")</f>
        <v>-</v>
      </c>
      <c r="M29" s="79" t="str">
        <f>+IFERROR(VLOOKUP(CONCATENATE(A29,$B$10,B29),'ID1&amp;5'!B:J,9,FALSE),"-")</f>
        <v>-</v>
      </c>
      <c r="N29" s="79" t="str">
        <f>+IFERROR(VLOOKUP(CONCATENATE(A29,$C$10,C29),'ID1&amp;5'!B:J,8,FALSE),"-")</f>
        <v>-</v>
      </c>
      <c r="O29" s="78" t="str">
        <f>+IFERROR(VLOOKUP(C29,'ID1&amp;5'!K:L,2,FALSE),"-")</f>
        <v>-</v>
      </c>
      <c r="P29" s="79" t="str">
        <f>+IFERROR(VLOOKUP(CONCATENATE(A29,$C$10,C29),'ID1&amp;5'!B:J,9,FALSE),"-")</f>
        <v>-</v>
      </c>
      <c r="Q29" s="78" t="str">
        <f>+IFERROR(VLOOKUP(D29,'ID1&amp;5'!K:L,2,FALSE),"-")</f>
        <v>-</v>
      </c>
      <c r="R29" s="26" t="str">
        <f>+IFERROR(VLOOKUP(CONCATENATE(A29,$D$10,D29),'ID1&amp;5'!B:J,9,FALSE),"-")</f>
        <v>-</v>
      </c>
      <c r="S29" s="78" t="str">
        <f>+IFERROR(VLOOKUP(E29,'ID1&amp;5'!K:L,2,FALSE),"-")</f>
        <v>-</v>
      </c>
      <c r="T29" s="79" t="str">
        <f>+IFERROR(VLOOKUP(CONCATENATE(A29,$E$10,E29),'ID1&amp;5'!B:J,9,FALSE),"-")</f>
        <v>-</v>
      </c>
      <c r="U29" s="78" t="str">
        <f>+IFERROR(VLOOKUP(F29,'ID1&amp;5'!K:L,2,FALSE),"-")</f>
        <v>-</v>
      </c>
      <c r="V29" s="79" t="str">
        <f>+IFERROR(VLOOKUP(CONCATENATE(A29,$F$10,F29),'ID1&amp;5'!B:J,9,FALSE),"-")</f>
        <v>-</v>
      </c>
      <c r="W29" s="26" t="str">
        <f>+IFERROR(VLOOKUP(A29,'ID6&amp;7'!A:I,9,FALSE),"-")</f>
        <v>-</v>
      </c>
      <c r="X29" s="26" t="str">
        <f>+IFERROR(VLOOKUP(A29,'ID6&amp;7'!A:J,10,FALSE),"-")</f>
        <v>-</v>
      </c>
      <c r="Y29" s="26"/>
      <c r="Z29" s="27" t="str">
        <f t="shared" si="1"/>
        <v>Por iniciar</v>
      </c>
    </row>
    <row r="30" spans="1:26">
      <c r="A30" s="20" t="str">
        <f t="shared" si="0"/>
        <v>UNIV_OPERflag_poci45991</v>
      </c>
      <c r="B30" s="66">
        <f t="array" ref="B30">+MAX(IF('ID1&amp;5'!A:A='1. Status'!A30&amp;'1. Status'!$B$10,'ID1&amp;5'!K:K))</f>
        <v>0</v>
      </c>
      <c r="C30" s="60">
        <f t="array" ref="C30">+MAX(IF('ID1&amp;5'!A:A='1. Status'!A30&amp;'1. Status'!$C$10,'ID1&amp;5'!K:K))</f>
        <v>0</v>
      </c>
      <c r="D30" s="60">
        <f t="array" ref="D30">+MAX(IF('ID1&amp;5'!A:A='1. Status'!A30&amp;'1. Status'!$D$10,'ID1&amp;5'!K:K))</f>
        <v>0</v>
      </c>
      <c r="E30" s="60">
        <f t="array" ref="E30">+MAX(IF('ID1&amp;5'!A:A='1. Status'!A30&amp;'1. Status'!$E$10,'ID1&amp;5'!K:K))</f>
        <v>0</v>
      </c>
      <c r="F30" s="67">
        <f t="array" ref="F30">+MAX(IF('ID1&amp;5'!A:A='1. Status'!A30&amp;'1. Status'!$F$10,'ID1&amp;5'!K:K))</f>
        <v>0</v>
      </c>
      <c r="G30" s="60"/>
      <c r="H30" s="65" t="s">
        <v>1092</v>
      </c>
      <c r="I30" s="21" t="s">
        <v>1112</v>
      </c>
      <c r="J30" s="26">
        <f>+COUNTIF('ID1&amp;5'!G:G,'1. Status'!I30)</f>
        <v>0</v>
      </c>
      <c r="K30" s="79" t="str">
        <f>+IFERROR(VLOOKUP(CONCATENATE(A30,$B$10,B30),'ID1&amp;5'!B:J,8,FALSE),"-")</f>
        <v>-</v>
      </c>
      <c r="L30" s="78" t="str">
        <f>+IFERROR(VLOOKUP(B30,'ID1&amp;5'!K:L,2,FALSE),"-")</f>
        <v>-</v>
      </c>
      <c r="M30" s="79" t="str">
        <f>+IFERROR(VLOOKUP(CONCATENATE(A30,$B$10,B30),'ID1&amp;5'!B:J,9,FALSE),"-")</f>
        <v>-</v>
      </c>
      <c r="N30" s="79" t="str">
        <f>+IFERROR(VLOOKUP(CONCATENATE(A30,$C$10,C30),'ID1&amp;5'!B:J,8,FALSE),"-")</f>
        <v>-</v>
      </c>
      <c r="O30" s="78" t="str">
        <f>+IFERROR(VLOOKUP(C30,'ID1&amp;5'!K:L,2,FALSE),"-")</f>
        <v>-</v>
      </c>
      <c r="P30" s="79" t="str">
        <f>+IFERROR(VLOOKUP(CONCATENATE(A30,$C$10,C30),'ID1&amp;5'!B:J,9,FALSE),"-")</f>
        <v>-</v>
      </c>
      <c r="Q30" s="78" t="str">
        <f>+IFERROR(VLOOKUP(D30,'ID1&amp;5'!K:L,2,FALSE),"-")</f>
        <v>-</v>
      </c>
      <c r="R30" s="26" t="str">
        <f>+IFERROR(VLOOKUP(CONCATENATE(A30,$D$10,D30),'ID1&amp;5'!B:J,9,FALSE),"-")</f>
        <v>-</v>
      </c>
      <c r="S30" s="78" t="str">
        <f>+IFERROR(VLOOKUP(E30,'ID1&amp;5'!K:L,2,FALSE),"-")</f>
        <v>-</v>
      </c>
      <c r="T30" s="79" t="str">
        <f>+IFERROR(VLOOKUP(CONCATENATE(A30,$E$10,E30),'ID1&amp;5'!B:J,9,FALSE),"-")</f>
        <v>-</v>
      </c>
      <c r="U30" s="78" t="str">
        <f>+IFERROR(VLOOKUP(F30,'ID1&amp;5'!K:L,2,FALSE),"-")</f>
        <v>-</v>
      </c>
      <c r="V30" s="79" t="str">
        <f>+IFERROR(VLOOKUP(CONCATENATE(A30,$F$10,F30),'ID1&amp;5'!B:J,9,FALSE),"-")</f>
        <v>-</v>
      </c>
      <c r="W30" s="26" t="str">
        <f>+IFERROR(VLOOKUP(A30,'ID6&amp;7'!A:I,9,FALSE),"-")</f>
        <v>-</v>
      </c>
      <c r="X30" s="26" t="str">
        <f>+IFERROR(VLOOKUP(A30,'ID6&amp;7'!A:J,10,FALSE),"-")</f>
        <v>-</v>
      </c>
      <c r="Y30" s="26"/>
      <c r="Z30" s="27" t="str">
        <f t="shared" si="1"/>
        <v>Por iniciar</v>
      </c>
    </row>
    <row r="31" spans="1:26">
      <c r="A31" s="20" t="str">
        <f t="shared" si="0"/>
        <v>UNIV_OPERpurpose_code45991</v>
      </c>
      <c r="B31" s="66">
        <f t="array" ref="B31">+MAX(IF('ID1&amp;5'!A:A='1. Status'!A31&amp;'1. Status'!$B$10,'ID1&amp;5'!K:K))</f>
        <v>0</v>
      </c>
      <c r="C31" s="60">
        <f t="array" ref="C31">+MAX(IF('ID1&amp;5'!A:A='1. Status'!A31&amp;'1. Status'!$C$10,'ID1&amp;5'!K:K))</f>
        <v>0</v>
      </c>
      <c r="D31" s="60">
        <f t="array" ref="D31">+MAX(IF('ID1&amp;5'!A:A='1. Status'!A31&amp;'1. Status'!$D$10,'ID1&amp;5'!K:K))</f>
        <v>0</v>
      </c>
      <c r="E31" s="60">
        <f t="array" ref="E31">+MAX(IF('ID1&amp;5'!A:A='1. Status'!A31&amp;'1. Status'!$E$10,'ID1&amp;5'!K:K))</f>
        <v>0</v>
      </c>
      <c r="F31" s="67">
        <f t="array" ref="F31">+MAX(IF('ID1&amp;5'!A:A='1. Status'!A31&amp;'1. Status'!$F$10,'ID1&amp;5'!K:K))</f>
        <v>0</v>
      </c>
      <c r="G31" s="60"/>
      <c r="H31" s="65" t="s">
        <v>1092</v>
      </c>
      <c r="I31" s="21" t="s">
        <v>1113</v>
      </c>
      <c r="J31" s="26">
        <f>+COUNTIF('ID1&amp;5'!G:G,'1. Status'!I31)</f>
        <v>0</v>
      </c>
      <c r="K31" s="79" t="str">
        <f>+IFERROR(VLOOKUP(CONCATENATE(A31,$B$10,B31),'ID1&amp;5'!B:J,8,FALSE),"-")</f>
        <v>-</v>
      </c>
      <c r="L31" s="78" t="str">
        <f>+IFERROR(VLOOKUP(B31,'ID1&amp;5'!K:L,2,FALSE),"-")</f>
        <v>-</v>
      </c>
      <c r="M31" s="79" t="str">
        <f>+IFERROR(VLOOKUP(CONCATENATE(A31,$B$10,B31),'ID1&amp;5'!B:J,9,FALSE),"-")</f>
        <v>-</v>
      </c>
      <c r="N31" s="79" t="str">
        <f>+IFERROR(VLOOKUP(CONCATENATE(A31,$C$10,C31),'ID1&amp;5'!B:J,8,FALSE),"-")</f>
        <v>-</v>
      </c>
      <c r="O31" s="78" t="str">
        <f>+IFERROR(VLOOKUP(C31,'ID1&amp;5'!K:L,2,FALSE),"-")</f>
        <v>-</v>
      </c>
      <c r="P31" s="79" t="str">
        <f>+IFERROR(VLOOKUP(CONCATENATE(A31,$C$10,C31),'ID1&amp;5'!B:J,9,FALSE),"-")</f>
        <v>-</v>
      </c>
      <c r="Q31" s="78" t="str">
        <f>+IFERROR(VLOOKUP(D31,'ID1&amp;5'!K:L,2,FALSE),"-")</f>
        <v>-</v>
      </c>
      <c r="R31" s="26" t="str">
        <f>+IFERROR(VLOOKUP(CONCATENATE(A31,$D$10,D31),'ID1&amp;5'!B:J,9,FALSE),"-")</f>
        <v>-</v>
      </c>
      <c r="S31" s="78" t="str">
        <f>+IFERROR(VLOOKUP(E31,'ID1&amp;5'!K:L,2,FALSE),"-")</f>
        <v>-</v>
      </c>
      <c r="T31" s="79" t="str">
        <f>+IFERROR(VLOOKUP(CONCATENATE(A31,$E$10,E31),'ID1&amp;5'!B:J,9,FALSE),"-")</f>
        <v>-</v>
      </c>
      <c r="U31" s="78" t="str">
        <f>+IFERROR(VLOOKUP(F31,'ID1&amp;5'!K:L,2,FALSE),"-")</f>
        <v>-</v>
      </c>
      <c r="V31" s="79" t="str">
        <f>+IFERROR(VLOOKUP(CONCATENATE(A31,$F$10,F31),'ID1&amp;5'!B:J,9,FALSE),"-")</f>
        <v>-</v>
      </c>
      <c r="W31" s="26" t="str">
        <f>+IFERROR(VLOOKUP(A31,'ID6&amp;7'!A:I,9,FALSE),"-")</f>
        <v>-</v>
      </c>
      <c r="X31" s="26" t="str">
        <f>+IFERROR(VLOOKUP(A31,'ID6&amp;7'!A:J,10,FALSE),"-")</f>
        <v>-</v>
      </c>
      <c r="Y31" s="26"/>
      <c r="Z31" s="27" t="str">
        <f t="shared" si="1"/>
        <v>Por iniciar</v>
      </c>
    </row>
    <row r="32" spans="1:26">
      <c r="A32" s="20" t="str">
        <f t="shared" si="0"/>
        <v>UNIV_OPERcod_empr_pme45991</v>
      </c>
      <c r="B32" s="66">
        <f t="array" ref="B32">+MAX(IF('ID1&amp;5'!A:A='1. Status'!A32&amp;'1. Status'!$B$10,'ID1&amp;5'!K:K))</f>
        <v>0</v>
      </c>
      <c r="C32" s="60">
        <f t="array" ref="C32">+MAX(IF('ID1&amp;5'!A:A='1. Status'!A32&amp;'1. Status'!$C$10,'ID1&amp;5'!K:K))</f>
        <v>0</v>
      </c>
      <c r="D32" s="60">
        <f t="array" ref="D32">+MAX(IF('ID1&amp;5'!A:A='1. Status'!A32&amp;'1. Status'!$D$10,'ID1&amp;5'!K:K))</f>
        <v>0</v>
      </c>
      <c r="E32" s="60">
        <f t="array" ref="E32">+MAX(IF('ID1&amp;5'!A:A='1. Status'!A32&amp;'1. Status'!$E$10,'ID1&amp;5'!K:K))</f>
        <v>0</v>
      </c>
      <c r="F32" s="67">
        <f t="array" ref="F32">+MAX(IF('ID1&amp;5'!A:A='1. Status'!A32&amp;'1. Status'!$F$10,'ID1&amp;5'!K:K))</f>
        <v>0</v>
      </c>
      <c r="G32" s="60"/>
      <c r="H32" s="65" t="s">
        <v>1092</v>
      </c>
      <c r="I32" s="21" t="s">
        <v>1114</v>
      </c>
      <c r="J32" s="26">
        <f>+COUNTIF('ID1&amp;5'!G:G,'1. Status'!I32)</f>
        <v>0</v>
      </c>
      <c r="K32" s="79" t="str">
        <f>+IFERROR(VLOOKUP(CONCATENATE(A32,$B$10,B32),'ID1&amp;5'!B:J,8,FALSE),"-")</f>
        <v>-</v>
      </c>
      <c r="L32" s="78" t="str">
        <f>+IFERROR(VLOOKUP(B32,'ID1&amp;5'!K:L,2,FALSE),"-")</f>
        <v>-</v>
      </c>
      <c r="M32" s="79" t="str">
        <f>+IFERROR(VLOOKUP(CONCATENATE(A32,$B$10,B32),'ID1&amp;5'!B:J,9,FALSE),"-")</f>
        <v>-</v>
      </c>
      <c r="N32" s="79" t="str">
        <f>+IFERROR(VLOOKUP(CONCATENATE(A32,$C$10,C32),'ID1&amp;5'!B:J,8,FALSE),"-")</f>
        <v>-</v>
      </c>
      <c r="O32" s="78" t="str">
        <f>+IFERROR(VLOOKUP(C32,'ID1&amp;5'!K:L,2,FALSE),"-")</f>
        <v>-</v>
      </c>
      <c r="P32" s="79" t="str">
        <f>+IFERROR(VLOOKUP(CONCATENATE(A32,$C$10,C32),'ID1&amp;5'!B:J,9,FALSE),"-")</f>
        <v>-</v>
      </c>
      <c r="Q32" s="78" t="str">
        <f>+IFERROR(VLOOKUP(D32,'ID1&amp;5'!K:L,2,FALSE),"-")</f>
        <v>-</v>
      </c>
      <c r="R32" s="26" t="str">
        <f>+IFERROR(VLOOKUP(CONCATENATE(A32,$D$10,D32),'ID1&amp;5'!B:J,9,FALSE),"-")</f>
        <v>-</v>
      </c>
      <c r="S32" s="78" t="str">
        <f>+IFERROR(VLOOKUP(E32,'ID1&amp;5'!K:L,2,FALSE),"-")</f>
        <v>-</v>
      </c>
      <c r="T32" s="79" t="str">
        <f>+IFERROR(VLOOKUP(CONCATENATE(A32,$E$10,E32),'ID1&amp;5'!B:J,9,FALSE),"-")</f>
        <v>-</v>
      </c>
      <c r="U32" s="78" t="str">
        <f>+IFERROR(VLOOKUP(F32,'ID1&amp;5'!K:L,2,FALSE),"-")</f>
        <v>-</v>
      </c>
      <c r="V32" s="79" t="str">
        <f>+IFERROR(VLOOKUP(CONCATENATE(A32,$F$10,F32),'ID1&amp;5'!B:J,9,FALSE),"-")</f>
        <v>-</v>
      </c>
      <c r="W32" s="26" t="str">
        <f>+IFERROR(VLOOKUP(A32,'ID6&amp;7'!A:I,9,FALSE),"-")</f>
        <v>-</v>
      </c>
      <c r="X32" s="26" t="str">
        <f>+IFERROR(VLOOKUP(A32,'ID6&amp;7'!A:J,10,FALSE),"-")</f>
        <v>-</v>
      </c>
      <c r="Y32" s="26"/>
      <c r="Z32" s="27" t="str">
        <f t="shared" si="1"/>
        <v>Por iniciar</v>
      </c>
    </row>
    <row r="33" spans="1:26">
      <c r="A33" s="20" t="str">
        <f t="shared" si="0"/>
        <v>UNIV_OPERstage45991</v>
      </c>
      <c r="B33" s="66">
        <f t="array" ref="B33">+MAX(IF('ID1&amp;5'!A:A='1. Status'!A33&amp;'1. Status'!$B$10,'ID1&amp;5'!K:K))</f>
        <v>0</v>
      </c>
      <c r="C33" s="60">
        <f t="array" ref="C33">+MAX(IF('ID1&amp;5'!A:A='1. Status'!A33&amp;'1. Status'!$C$10,'ID1&amp;5'!K:K))</f>
        <v>0</v>
      </c>
      <c r="D33" s="60">
        <f t="array" ref="D33">+MAX(IF('ID1&amp;5'!A:A='1. Status'!A33&amp;'1. Status'!$D$10,'ID1&amp;5'!K:K))</f>
        <v>0</v>
      </c>
      <c r="E33" s="60">
        <f t="array" ref="E33">+MAX(IF('ID1&amp;5'!A:A='1. Status'!A33&amp;'1. Status'!$E$10,'ID1&amp;5'!K:K))</f>
        <v>0</v>
      </c>
      <c r="F33" s="67">
        <f t="array" ref="F33">+MAX(IF('ID1&amp;5'!A:A='1. Status'!A33&amp;'1. Status'!$F$10,'ID1&amp;5'!K:K))</f>
        <v>0</v>
      </c>
      <c r="G33" s="60"/>
      <c r="H33" s="65" t="s">
        <v>1092</v>
      </c>
      <c r="I33" s="21" t="s">
        <v>1115</v>
      </c>
      <c r="J33" s="26">
        <f>+COUNTIF('ID1&amp;5'!G:G,'1. Status'!I33)</f>
        <v>0</v>
      </c>
      <c r="K33" s="79" t="str">
        <f>+IFERROR(VLOOKUP(CONCATENATE(A33,$B$10,B33),'ID1&amp;5'!B:J,8,FALSE),"-")</f>
        <v>-</v>
      </c>
      <c r="L33" s="78" t="str">
        <f>+IFERROR(VLOOKUP(B33,'ID1&amp;5'!K:L,2,FALSE),"-")</f>
        <v>-</v>
      </c>
      <c r="M33" s="79" t="str">
        <f>+IFERROR(VLOOKUP(CONCATENATE(A33,$B$10,B33),'ID1&amp;5'!B:J,9,FALSE),"-")</f>
        <v>-</v>
      </c>
      <c r="N33" s="79" t="str">
        <f>+IFERROR(VLOOKUP(CONCATENATE(A33,$C$10,C33),'ID1&amp;5'!B:J,8,FALSE),"-")</f>
        <v>-</v>
      </c>
      <c r="O33" s="78" t="str">
        <f>+IFERROR(VLOOKUP(C33,'ID1&amp;5'!K:L,2,FALSE),"-")</f>
        <v>-</v>
      </c>
      <c r="P33" s="79" t="str">
        <f>+IFERROR(VLOOKUP(CONCATENATE(A33,$C$10,C33),'ID1&amp;5'!B:J,9,FALSE),"-")</f>
        <v>-</v>
      </c>
      <c r="Q33" s="78" t="str">
        <f>+IFERROR(VLOOKUP(D33,'ID1&amp;5'!K:L,2,FALSE),"-")</f>
        <v>-</v>
      </c>
      <c r="R33" s="26" t="str">
        <f>+IFERROR(VLOOKUP(CONCATENATE(A33,$D$10,D33),'ID1&amp;5'!B:J,9,FALSE),"-")</f>
        <v>-</v>
      </c>
      <c r="S33" s="78" t="str">
        <f>+IFERROR(VLOOKUP(E33,'ID1&amp;5'!K:L,2,FALSE),"-")</f>
        <v>-</v>
      </c>
      <c r="T33" s="79" t="str">
        <f>+IFERROR(VLOOKUP(CONCATENATE(A33,$E$10,E33),'ID1&amp;5'!B:J,9,FALSE),"-")</f>
        <v>-</v>
      </c>
      <c r="U33" s="78" t="str">
        <f>+IFERROR(VLOOKUP(F33,'ID1&amp;5'!K:L,2,FALSE),"-")</f>
        <v>-</v>
      </c>
      <c r="V33" s="79" t="str">
        <f>+IFERROR(VLOOKUP(CONCATENATE(A33,$F$10,F33),'ID1&amp;5'!B:J,9,FALSE),"-")</f>
        <v>-</v>
      </c>
      <c r="W33" s="26" t="str">
        <f>+IFERROR(VLOOKUP(A33,'ID6&amp;7'!A:I,9,FALSE),"-")</f>
        <v>-</v>
      </c>
      <c r="X33" s="26" t="str">
        <f>+IFERROR(VLOOKUP(A33,'ID6&amp;7'!A:J,10,FALSE),"-")</f>
        <v>-</v>
      </c>
      <c r="Y33" s="26"/>
      <c r="Z33" s="27" t="str">
        <f t="shared" si="1"/>
        <v>Por iniciar</v>
      </c>
    </row>
    <row r="34" spans="1:26">
      <c r="A34" s="20" t="str">
        <f t="shared" si="0"/>
        <v>UNIV_OPERstage_atual45991</v>
      </c>
      <c r="B34" s="66">
        <f t="array" ref="B34">+MAX(IF('ID1&amp;5'!A:A='1. Status'!A34&amp;'1. Status'!$B$10,'ID1&amp;5'!K:K))</f>
        <v>0</v>
      </c>
      <c r="C34" s="60">
        <f t="array" ref="C34">+MAX(IF('ID1&amp;5'!A:A='1. Status'!A34&amp;'1. Status'!$C$10,'ID1&amp;5'!K:K))</f>
        <v>0</v>
      </c>
      <c r="D34" s="60">
        <f t="array" ref="D34">+MAX(IF('ID1&amp;5'!A:A='1. Status'!A34&amp;'1. Status'!$D$10,'ID1&amp;5'!K:K))</f>
        <v>0</v>
      </c>
      <c r="E34" s="60">
        <f t="array" ref="E34">+MAX(IF('ID1&amp;5'!A:A='1. Status'!A34&amp;'1. Status'!$E$10,'ID1&amp;5'!K:K))</f>
        <v>0</v>
      </c>
      <c r="F34" s="67">
        <f t="array" ref="F34">+MAX(IF('ID1&amp;5'!A:A='1. Status'!A34&amp;'1. Status'!$F$10,'ID1&amp;5'!K:K))</f>
        <v>0</v>
      </c>
      <c r="G34" s="60"/>
      <c r="H34" s="65" t="s">
        <v>1092</v>
      </c>
      <c r="I34" s="21" t="s">
        <v>1116</v>
      </c>
      <c r="J34" s="26">
        <f>+COUNTIF('ID1&amp;5'!G:G,'1. Status'!I34)</f>
        <v>0</v>
      </c>
      <c r="K34" s="79" t="str">
        <f>+IFERROR(VLOOKUP(CONCATENATE(A34,$B$10,B34),'ID1&amp;5'!B:J,8,FALSE),"-")</f>
        <v>-</v>
      </c>
      <c r="L34" s="78" t="str">
        <f>+IFERROR(VLOOKUP(B34,'ID1&amp;5'!K:L,2,FALSE),"-")</f>
        <v>-</v>
      </c>
      <c r="M34" s="79" t="str">
        <f>+IFERROR(VLOOKUP(CONCATENATE(A34,$B$10,B34),'ID1&amp;5'!B:J,9,FALSE),"-")</f>
        <v>-</v>
      </c>
      <c r="N34" s="79" t="str">
        <f>+IFERROR(VLOOKUP(CONCATENATE(A34,$C$10,C34),'ID1&amp;5'!B:J,8,FALSE),"-")</f>
        <v>-</v>
      </c>
      <c r="O34" s="78" t="str">
        <f>+IFERROR(VLOOKUP(C34,'ID1&amp;5'!K:L,2,FALSE),"-")</f>
        <v>-</v>
      </c>
      <c r="P34" s="79" t="str">
        <f>+IFERROR(VLOOKUP(CONCATENATE(A34,$C$10,C34),'ID1&amp;5'!B:J,9,FALSE),"-")</f>
        <v>-</v>
      </c>
      <c r="Q34" s="78" t="str">
        <f>+IFERROR(VLOOKUP(D34,'ID1&amp;5'!K:L,2,FALSE),"-")</f>
        <v>-</v>
      </c>
      <c r="R34" s="26" t="str">
        <f>+IFERROR(VLOOKUP(CONCATENATE(A34,$D$10,D34),'ID1&amp;5'!B:J,9,FALSE),"-")</f>
        <v>-</v>
      </c>
      <c r="S34" s="78" t="str">
        <f>+IFERROR(VLOOKUP(E34,'ID1&amp;5'!K:L,2,FALSE),"-")</f>
        <v>-</v>
      </c>
      <c r="T34" s="79" t="str">
        <f>+IFERROR(VLOOKUP(CONCATENATE(A34,$E$10,E34),'ID1&amp;5'!B:J,9,FALSE),"-")</f>
        <v>-</v>
      </c>
      <c r="U34" s="78" t="str">
        <f>+IFERROR(VLOOKUP(F34,'ID1&amp;5'!K:L,2,FALSE),"-")</f>
        <v>-</v>
      </c>
      <c r="V34" s="79" t="str">
        <f>+IFERROR(VLOOKUP(CONCATENATE(A34,$F$10,F34),'ID1&amp;5'!B:J,9,FALSE),"-")</f>
        <v>-</v>
      </c>
      <c r="W34" s="26" t="str">
        <f>+IFERROR(VLOOKUP(A34,'ID6&amp;7'!A:I,9,FALSE),"-")</f>
        <v>-</v>
      </c>
      <c r="X34" s="26" t="str">
        <f>+IFERROR(VLOOKUP(A34,'ID6&amp;7'!A:J,10,FALSE),"-")</f>
        <v>-</v>
      </c>
      <c r="Y34" s="26"/>
      <c r="Z34" s="27" t="str">
        <f t="shared" si="1"/>
        <v>Por iniciar</v>
      </c>
    </row>
    <row r="35" spans="1:26">
      <c r="A35" s="20" t="str">
        <f t="shared" si="0"/>
        <v>UNIV_OPERcproduto45991</v>
      </c>
      <c r="B35" s="66">
        <f t="array" ref="B35">+MAX(IF('ID1&amp;5'!A:A='1. Status'!A35&amp;'1. Status'!$B$10,'ID1&amp;5'!K:K))</f>
        <v>0</v>
      </c>
      <c r="C35" s="60">
        <f t="array" ref="C35">+MAX(IF('ID1&amp;5'!A:A='1. Status'!A35&amp;'1. Status'!$C$10,'ID1&amp;5'!K:K))</f>
        <v>0</v>
      </c>
      <c r="D35" s="60">
        <f t="array" ref="D35">+MAX(IF('ID1&amp;5'!A:A='1. Status'!A35&amp;'1. Status'!$D$10,'ID1&amp;5'!K:K))</f>
        <v>0</v>
      </c>
      <c r="E35" s="60">
        <f t="array" ref="E35">+MAX(IF('ID1&amp;5'!A:A='1. Status'!A35&amp;'1. Status'!$E$10,'ID1&amp;5'!K:K))</f>
        <v>0</v>
      </c>
      <c r="F35" s="67">
        <f t="array" ref="F35">+MAX(IF('ID1&amp;5'!A:A='1. Status'!A35&amp;'1. Status'!$F$10,'ID1&amp;5'!K:K))</f>
        <v>0</v>
      </c>
      <c r="G35" s="60"/>
      <c r="H35" s="65" t="s">
        <v>1092</v>
      </c>
      <c r="I35" s="21" t="s">
        <v>1117</v>
      </c>
      <c r="J35" s="26">
        <f>+COUNTIF('ID1&amp;5'!G:G,'1. Status'!I35)</f>
        <v>0</v>
      </c>
      <c r="K35" s="79" t="str">
        <f>+IFERROR(VLOOKUP(CONCATENATE(A35,$B$10,B35),'ID1&amp;5'!B:J,8,FALSE),"-")</f>
        <v>-</v>
      </c>
      <c r="L35" s="78" t="str">
        <f>+IFERROR(VLOOKUP(B35,'ID1&amp;5'!K:L,2,FALSE),"-")</f>
        <v>-</v>
      </c>
      <c r="M35" s="79" t="str">
        <f>+IFERROR(VLOOKUP(CONCATENATE(A35,$B$10,B35),'ID1&amp;5'!B:J,9,FALSE),"-")</f>
        <v>-</v>
      </c>
      <c r="N35" s="79" t="str">
        <f>+IFERROR(VLOOKUP(CONCATENATE(A35,$C$10,C35),'ID1&amp;5'!B:J,8,FALSE),"-")</f>
        <v>-</v>
      </c>
      <c r="O35" s="78" t="str">
        <f>+IFERROR(VLOOKUP(C35,'ID1&amp;5'!K:L,2,FALSE),"-")</f>
        <v>-</v>
      </c>
      <c r="P35" s="79" t="str">
        <f>+IFERROR(VLOOKUP(CONCATENATE(A35,$C$10,C35),'ID1&amp;5'!B:J,9,FALSE),"-")</f>
        <v>-</v>
      </c>
      <c r="Q35" s="78" t="str">
        <f>+IFERROR(VLOOKUP(D35,'ID1&amp;5'!K:L,2,FALSE),"-")</f>
        <v>-</v>
      </c>
      <c r="R35" s="26" t="str">
        <f>+IFERROR(VLOOKUP(CONCATENATE(A35,$D$10,D35),'ID1&amp;5'!B:J,9,FALSE),"-")</f>
        <v>-</v>
      </c>
      <c r="S35" s="78" t="str">
        <f>+IFERROR(VLOOKUP(E35,'ID1&amp;5'!K:L,2,FALSE),"-")</f>
        <v>-</v>
      </c>
      <c r="T35" s="79" t="str">
        <f>+IFERROR(VLOOKUP(CONCATENATE(A35,$E$10,E35),'ID1&amp;5'!B:J,9,FALSE),"-")</f>
        <v>-</v>
      </c>
      <c r="U35" s="78" t="str">
        <f>+IFERROR(VLOOKUP(F35,'ID1&amp;5'!K:L,2,FALSE),"-")</f>
        <v>-</v>
      </c>
      <c r="V35" s="79" t="str">
        <f>+IFERROR(VLOOKUP(CONCATENATE(A35,$F$10,F35),'ID1&amp;5'!B:J,9,FALSE),"-")</f>
        <v>-</v>
      </c>
      <c r="W35" s="26" t="str">
        <f>+IFERROR(VLOOKUP(A35,'ID6&amp;7'!A:I,9,FALSE),"-")</f>
        <v>-</v>
      </c>
      <c r="X35" s="26" t="str">
        <f>+IFERROR(VLOOKUP(A35,'ID6&amp;7'!A:J,10,FALSE),"-")</f>
        <v>-</v>
      </c>
      <c r="Y35" s="26"/>
      <c r="Z35" s="27" t="str">
        <f t="shared" si="1"/>
        <v>Por iniciar</v>
      </c>
    </row>
    <row r="36" spans="1:26">
      <c r="A36" s="20" t="str">
        <f t="shared" si="0"/>
        <v>UNIV_OPERsubproduto45991</v>
      </c>
      <c r="B36" s="66">
        <f t="array" ref="B36">+MAX(IF('ID1&amp;5'!A:A='1. Status'!A36&amp;'1. Status'!$B$10,'ID1&amp;5'!K:K))</f>
        <v>0</v>
      </c>
      <c r="C36" s="60">
        <f t="array" ref="C36">+MAX(IF('ID1&amp;5'!A:A='1. Status'!A36&amp;'1. Status'!$C$10,'ID1&amp;5'!K:K))</f>
        <v>0</v>
      </c>
      <c r="D36" s="60">
        <f t="array" ref="D36">+MAX(IF('ID1&amp;5'!A:A='1. Status'!A36&amp;'1. Status'!$D$10,'ID1&amp;5'!K:K))</f>
        <v>0</v>
      </c>
      <c r="E36" s="60">
        <f t="array" ref="E36">+MAX(IF('ID1&amp;5'!A:A='1. Status'!A36&amp;'1. Status'!$E$10,'ID1&amp;5'!K:K))</f>
        <v>0</v>
      </c>
      <c r="F36" s="67">
        <f t="array" ref="F36">+MAX(IF('ID1&amp;5'!A:A='1. Status'!A36&amp;'1. Status'!$F$10,'ID1&amp;5'!K:K))</f>
        <v>0</v>
      </c>
      <c r="G36" s="60"/>
      <c r="H36" s="65" t="s">
        <v>1092</v>
      </c>
      <c r="I36" s="21" t="s">
        <v>1118</v>
      </c>
      <c r="J36" s="26">
        <f>+COUNTIF('ID1&amp;5'!G:G,'1. Status'!I36)</f>
        <v>0</v>
      </c>
      <c r="K36" s="79" t="str">
        <f>+IFERROR(VLOOKUP(CONCATENATE(A36,$B$10,B36),'ID1&amp;5'!B:J,8,FALSE),"-")</f>
        <v>-</v>
      </c>
      <c r="L36" s="78" t="str">
        <f>+IFERROR(VLOOKUP(B36,'ID1&amp;5'!K:L,2,FALSE),"-")</f>
        <v>-</v>
      </c>
      <c r="M36" s="79" t="str">
        <f>+IFERROR(VLOOKUP(CONCATENATE(A36,$B$10,B36),'ID1&amp;5'!B:J,9,FALSE),"-")</f>
        <v>-</v>
      </c>
      <c r="N36" s="79" t="str">
        <f>+IFERROR(VLOOKUP(CONCATENATE(A36,$C$10,C36),'ID1&amp;5'!B:J,8,FALSE),"-")</f>
        <v>-</v>
      </c>
      <c r="O36" s="78" t="str">
        <f>+IFERROR(VLOOKUP(C36,'ID1&amp;5'!K:L,2,FALSE),"-")</f>
        <v>-</v>
      </c>
      <c r="P36" s="79" t="str">
        <f>+IFERROR(VLOOKUP(CONCATENATE(A36,$C$10,C36),'ID1&amp;5'!B:J,9,FALSE),"-")</f>
        <v>-</v>
      </c>
      <c r="Q36" s="78" t="str">
        <f>+IFERROR(VLOOKUP(D36,'ID1&amp;5'!K:L,2,FALSE),"-")</f>
        <v>-</v>
      </c>
      <c r="R36" s="26" t="str">
        <f>+IFERROR(VLOOKUP(CONCATENATE(A36,$D$10,D36),'ID1&amp;5'!B:J,9,FALSE),"-")</f>
        <v>-</v>
      </c>
      <c r="S36" s="78" t="str">
        <f>+IFERROR(VLOOKUP(E36,'ID1&amp;5'!K:L,2,FALSE),"-")</f>
        <v>-</v>
      </c>
      <c r="T36" s="79" t="str">
        <f>+IFERROR(VLOOKUP(CONCATENATE(A36,$E$10,E36),'ID1&amp;5'!B:J,9,FALSE),"-")</f>
        <v>-</v>
      </c>
      <c r="U36" s="78" t="str">
        <f>+IFERROR(VLOOKUP(F36,'ID1&amp;5'!K:L,2,FALSE),"-")</f>
        <v>-</v>
      </c>
      <c r="V36" s="79" t="str">
        <f>+IFERROR(VLOOKUP(CONCATENATE(A36,$F$10,F36),'ID1&amp;5'!B:J,9,FALSE),"-")</f>
        <v>-</v>
      </c>
      <c r="W36" s="26" t="str">
        <f>+IFERROR(VLOOKUP(A36,'ID6&amp;7'!A:I,9,FALSE),"-")</f>
        <v>-</v>
      </c>
      <c r="X36" s="26" t="str">
        <f>+IFERROR(VLOOKUP(A36,'ID6&amp;7'!A:J,10,FALSE),"-")</f>
        <v>-</v>
      </c>
      <c r="Y36" s="26"/>
      <c r="Z36" s="27" t="str">
        <f t="shared" si="1"/>
        <v>Por iniciar</v>
      </c>
    </row>
    <row r="37" spans="1:26">
      <c r="A37" s="20" t="str">
        <f t="shared" si="0"/>
        <v>UNIV_OPERcod_ajust45991</v>
      </c>
      <c r="B37" s="66">
        <f t="array" ref="B37">+MAX(IF('ID1&amp;5'!A:A='1. Status'!A37&amp;'1. Status'!$B$10,'ID1&amp;5'!K:K))</f>
        <v>0</v>
      </c>
      <c r="C37" s="60">
        <f t="array" ref="C37">+MAX(IF('ID1&amp;5'!A:A='1. Status'!A37&amp;'1. Status'!$C$10,'ID1&amp;5'!K:K))</f>
        <v>0</v>
      </c>
      <c r="D37" s="60">
        <f t="array" ref="D37">+MAX(IF('ID1&amp;5'!A:A='1. Status'!A37&amp;'1. Status'!$D$10,'ID1&amp;5'!K:K))</f>
        <v>0</v>
      </c>
      <c r="E37" s="60">
        <f t="array" ref="E37">+MAX(IF('ID1&amp;5'!A:A='1. Status'!A37&amp;'1. Status'!$E$10,'ID1&amp;5'!K:K))</f>
        <v>0</v>
      </c>
      <c r="F37" s="67">
        <f t="array" ref="F37">+MAX(IF('ID1&amp;5'!A:A='1. Status'!A37&amp;'1. Status'!$F$10,'ID1&amp;5'!K:K))</f>
        <v>0</v>
      </c>
      <c r="G37" s="60"/>
      <c r="H37" s="65" t="s">
        <v>1092</v>
      </c>
      <c r="I37" s="21" t="s">
        <v>1119</v>
      </c>
      <c r="J37" s="26">
        <f>+COUNTIF('ID1&amp;5'!G:G,'1. Status'!I37)</f>
        <v>0</v>
      </c>
      <c r="K37" s="79" t="str">
        <f>+IFERROR(VLOOKUP(CONCATENATE(A37,$B$10,B37),'ID1&amp;5'!B:J,8,FALSE),"-")</f>
        <v>-</v>
      </c>
      <c r="L37" s="78" t="str">
        <f>+IFERROR(VLOOKUP(B37,'ID1&amp;5'!K:L,2,FALSE),"-")</f>
        <v>-</v>
      </c>
      <c r="M37" s="79" t="str">
        <f>+IFERROR(VLOOKUP(CONCATENATE(A37,$B$10,B37),'ID1&amp;5'!B:J,9,FALSE),"-")</f>
        <v>-</v>
      </c>
      <c r="N37" s="79" t="str">
        <f>+IFERROR(VLOOKUP(CONCATENATE(A37,$C$10,C37),'ID1&amp;5'!B:J,8,FALSE),"-")</f>
        <v>-</v>
      </c>
      <c r="O37" s="78" t="str">
        <f>+IFERROR(VLOOKUP(C37,'ID1&amp;5'!K:L,2,FALSE),"-")</f>
        <v>-</v>
      </c>
      <c r="P37" s="79" t="str">
        <f>+IFERROR(VLOOKUP(CONCATENATE(A37,$C$10,C37),'ID1&amp;5'!B:J,9,FALSE),"-")</f>
        <v>-</v>
      </c>
      <c r="Q37" s="78" t="str">
        <f>+IFERROR(VLOOKUP(D37,'ID1&amp;5'!K:L,2,FALSE),"-")</f>
        <v>-</v>
      </c>
      <c r="R37" s="26" t="str">
        <f>+IFERROR(VLOOKUP(CONCATENATE(A37,$D$10,D37),'ID1&amp;5'!B:J,9,FALSE),"-")</f>
        <v>-</v>
      </c>
      <c r="S37" s="78" t="str">
        <f>+IFERROR(VLOOKUP(E37,'ID1&amp;5'!K:L,2,FALSE),"-")</f>
        <v>-</v>
      </c>
      <c r="T37" s="79" t="str">
        <f>+IFERROR(VLOOKUP(CONCATENATE(A37,$E$10,E37),'ID1&amp;5'!B:J,9,FALSE),"-")</f>
        <v>-</v>
      </c>
      <c r="U37" s="78" t="str">
        <f>+IFERROR(VLOOKUP(F37,'ID1&amp;5'!K:L,2,FALSE),"-")</f>
        <v>-</v>
      </c>
      <c r="V37" s="79" t="str">
        <f>+IFERROR(VLOOKUP(CONCATENATE(A37,$F$10,F37),'ID1&amp;5'!B:J,9,FALSE),"-")</f>
        <v>-</v>
      </c>
      <c r="W37" s="26" t="str">
        <f>+IFERROR(VLOOKUP(A37,'ID6&amp;7'!A:I,9,FALSE),"-")</f>
        <v>-</v>
      </c>
      <c r="X37" s="26" t="str">
        <f>+IFERROR(VLOOKUP(A37,'ID6&amp;7'!A:J,10,FALSE),"-")</f>
        <v>-</v>
      </c>
      <c r="Y37" s="26"/>
      <c r="Z37" s="27" t="str">
        <f t="shared" si="1"/>
        <v>Por iniciar</v>
      </c>
    </row>
    <row r="38" spans="1:26">
      <c r="A38" s="20" t="str">
        <f t="shared" si="0"/>
        <v>UNIV_OPERtipo_ajuste45991</v>
      </c>
      <c r="B38" s="66">
        <f t="array" ref="B38">+MAX(IF('ID1&amp;5'!A:A='1. Status'!A38&amp;'1. Status'!$B$10,'ID1&amp;5'!K:K))</f>
        <v>0</v>
      </c>
      <c r="C38" s="60">
        <f t="array" ref="C38">+MAX(IF('ID1&amp;5'!A:A='1. Status'!A38&amp;'1. Status'!$C$10,'ID1&amp;5'!K:K))</f>
        <v>0</v>
      </c>
      <c r="D38" s="60">
        <f t="array" ref="D38">+MAX(IF('ID1&amp;5'!A:A='1. Status'!A38&amp;'1. Status'!$D$10,'ID1&amp;5'!K:K))</f>
        <v>0</v>
      </c>
      <c r="E38" s="60">
        <f t="array" ref="E38">+MAX(IF('ID1&amp;5'!A:A='1. Status'!A38&amp;'1. Status'!$E$10,'ID1&amp;5'!K:K))</f>
        <v>0</v>
      </c>
      <c r="F38" s="67">
        <f t="array" ref="F38">+MAX(IF('ID1&amp;5'!A:A='1. Status'!A38&amp;'1. Status'!$F$10,'ID1&amp;5'!K:K))</f>
        <v>0</v>
      </c>
      <c r="G38" s="60"/>
      <c r="H38" s="65" t="s">
        <v>1092</v>
      </c>
      <c r="I38" s="21" t="s">
        <v>1120</v>
      </c>
      <c r="J38" s="26">
        <f>+COUNTIF('ID1&amp;5'!G:G,'1. Status'!I38)</f>
        <v>0</v>
      </c>
      <c r="K38" s="79" t="str">
        <f>+IFERROR(VLOOKUP(CONCATENATE(A38,$B$10,B38),'ID1&amp;5'!B:J,8,FALSE),"-")</f>
        <v>-</v>
      </c>
      <c r="L38" s="78" t="str">
        <f>+IFERROR(VLOOKUP(B38,'ID1&amp;5'!K:L,2,FALSE),"-")</f>
        <v>-</v>
      </c>
      <c r="M38" s="79" t="str">
        <f>+IFERROR(VLOOKUP(CONCATENATE(A38,$B$10,B38),'ID1&amp;5'!B:J,9,FALSE),"-")</f>
        <v>-</v>
      </c>
      <c r="N38" s="79" t="str">
        <f>+IFERROR(VLOOKUP(CONCATENATE(A38,$C$10,C38),'ID1&amp;5'!B:J,8,FALSE),"-")</f>
        <v>-</v>
      </c>
      <c r="O38" s="78" t="str">
        <f>+IFERROR(VLOOKUP(C38,'ID1&amp;5'!K:L,2,FALSE),"-")</f>
        <v>-</v>
      </c>
      <c r="P38" s="79" t="str">
        <f>+IFERROR(VLOOKUP(CONCATENATE(A38,$C$10,C38),'ID1&amp;5'!B:J,9,FALSE),"-")</f>
        <v>-</v>
      </c>
      <c r="Q38" s="78" t="str">
        <f>+IFERROR(VLOOKUP(D38,'ID1&amp;5'!K:L,2,FALSE),"-")</f>
        <v>-</v>
      </c>
      <c r="R38" s="26" t="str">
        <f>+IFERROR(VLOOKUP(CONCATENATE(A38,$D$10,D38),'ID1&amp;5'!B:J,9,FALSE),"-")</f>
        <v>-</v>
      </c>
      <c r="S38" s="78" t="str">
        <f>+IFERROR(VLOOKUP(E38,'ID1&amp;5'!K:L,2,FALSE),"-")</f>
        <v>-</v>
      </c>
      <c r="T38" s="79" t="str">
        <f>+IFERROR(VLOOKUP(CONCATENATE(A38,$E$10,E38),'ID1&amp;5'!B:J,9,FALSE),"-")</f>
        <v>-</v>
      </c>
      <c r="U38" s="78" t="str">
        <f>+IFERROR(VLOOKUP(F38,'ID1&amp;5'!K:L,2,FALSE),"-")</f>
        <v>-</v>
      </c>
      <c r="V38" s="79" t="str">
        <f>+IFERROR(VLOOKUP(CONCATENATE(A38,$F$10,F38),'ID1&amp;5'!B:J,9,FALSE),"-")</f>
        <v>-</v>
      </c>
      <c r="W38" s="26" t="str">
        <f>+IFERROR(VLOOKUP(A38,'ID6&amp;7'!A:I,9,FALSE),"-")</f>
        <v>-</v>
      </c>
      <c r="X38" s="26" t="str">
        <f>+IFERROR(VLOOKUP(A38,'ID6&amp;7'!A:J,10,FALSE),"-")</f>
        <v>-</v>
      </c>
      <c r="Y38" s="26"/>
      <c r="Z38" s="27" t="str">
        <f t="shared" si="1"/>
        <v>Por iniciar</v>
      </c>
    </row>
    <row r="39" spans="1:26">
      <c r="A39" s="20" t="str">
        <f t="shared" si="0"/>
        <v>UNIV_OPERdesc_ajuste45991</v>
      </c>
      <c r="B39" s="66">
        <f t="array" ref="B39">+MAX(IF('ID1&amp;5'!A:A='1. Status'!A39&amp;'1. Status'!$B$10,'ID1&amp;5'!K:K))</f>
        <v>0</v>
      </c>
      <c r="C39" s="60">
        <f t="array" ref="C39">+MAX(IF('ID1&amp;5'!A:A='1. Status'!A39&amp;'1. Status'!$C$10,'ID1&amp;5'!K:K))</f>
        <v>0</v>
      </c>
      <c r="D39" s="60">
        <f t="array" ref="D39">+MAX(IF('ID1&amp;5'!A:A='1. Status'!A39&amp;'1. Status'!$D$10,'ID1&amp;5'!K:K))</f>
        <v>0</v>
      </c>
      <c r="E39" s="60">
        <f t="array" ref="E39">+MAX(IF('ID1&amp;5'!A:A='1. Status'!A39&amp;'1. Status'!$E$10,'ID1&amp;5'!K:K))</f>
        <v>0</v>
      </c>
      <c r="F39" s="67">
        <f t="array" ref="F39">+MAX(IF('ID1&amp;5'!A:A='1. Status'!A39&amp;'1. Status'!$F$10,'ID1&amp;5'!K:K))</f>
        <v>0</v>
      </c>
      <c r="G39" s="60"/>
      <c r="H39" s="65" t="s">
        <v>1092</v>
      </c>
      <c r="I39" s="21" t="s">
        <v>1121</v>
      </c>
      <c r="J39" s="26">
        <f>+COUNTIF('ID1&amp;5'!G:G,'1. Status'!I39)</f>
        <v>0</v>
      </c>
      <c r="K39" s="79" t="str">
        <f>+IFERROR(VLOOKUP(CONCATENATE(A39,$B$10,B39),'ID1&amp;5'!B:J,8,FALSE),"-")</f>
        <v>-</v>
      </c>
      <c r="L39" s="78" t="str">
        <f>+IFERROR(VLOOKUP(B39,'ID1&amp;5'!K:L,2,FALSE),"-")</f>
        <v>-</v>
      </c>
      <c r="M39" s="79" t="str">
        <f>+IFERROR(VLOOKUP(CONCATENATE(A39,$B$10,B39),'ID1&amp;5'!B:J,9,FALSE),"-")</f>
        <v>-</v>
      </c>
      <c r="N39" s="79" t="str">
        <f>+IFERROR(VLOOKUP(CONCATENATE(A39,$C$10,C39),'ID1&amp;5'!B:J,8,FALSE),"-")</f>
        <v>-</v>
      </c>
      <c r="O39" s="78" t="str">
        <f>+IFERROR(VLOOKUP(C39,'ID1&amp;5'!K:L,2,FALSE),"-")</f>
        <v>-</v>
      </c>
      <c r="P39" s="79" t="str">
        <f>+IFERROR(VLOOKUP(CONCATENATE(A39,$C$10,C39),'ID1&amp;5'!B:J,9,FALSE),"-")</f>
        <v>-</v>
      </c>
      <c r="Q39" s="78" t="str">
        <f>+IFERROR(VLOOKUP(D39,'ID1&amp;5'!K:L,2,FALSE),"-")</f>
        <v>-</v>
      </c>
      <c r="R39" s="26" t="str">
        <f>+IFERROR(VLOOKUP(CONCATENATE(A39,$D$10,D39),'ID1&amp;5'!B:J,9,FALSE),"-")</f>
        <v>-</v>
      </c>
      <c r="S39" s="78" t="str">
        <f>+IFERROR(VLOOKUP(E39,'ID1&amp;5'!K:L,2,FALSE),"-")</f>
        <v>-</v>
      </c>
      <c r="T39" s="79" t="str">
        <f>+IFERROR(VLOOKUP(CONCATENATE(A39,$E$10,E39),'ID1&amp;5'!B:J,9,FALSE),"-")</f>
        <v>-</v>
      </c>
      <c r="U39" s="78" t="str">
        <f>+IFERROR(VLOOKUP(F39,'ID1&amp;5'!K:L,2,FALSE),"-")</f>
        <v>-</v>
      </c>
      <c r="V39" s="79" t="str">
        <f>+IFERROR(VLOOKUP(CONCATENATE(A39,$F$10,F39),'ID1&amp;5'!B:J,9,FALSE),"-")</f>
        <v>-</v>
      </c>
      <c r="W39" s="26" t="str">
        <f>+IFERROR(VLOOKUP(A39,'ID6&amp;7'!A:I,9,FALSE),"-")</f>
        <v>-</v>
      </c>
      <c r="X39" s="26" t="str">
        <f>+IFERROR(VLOOKUP(A39,'ID6&amp;7'!A:J,10,FALSE),"-")</f>
        <v>-</v>
      </c>
      <c r="Y39" s="26"/>
      <c r="Z39" s="27" t="str">
        <f t="shared" si="1"/>
        <v>Por iniciar</v>
      </c>
    </row>
    <row r="40" spans="1:26">
      <c r="A40" s="20" t="str">
        <f t="shared" si="0"/>
        <v>UNIV_OPERordem_lt80145991</v>
      </c>
      <c r="B40" s="66">
        <f t="array" ref="B40">+MAX(IF('ID1&amp;5'!A:A='1. Status'!A40&amp;'1. Status'!$B$10,'ID1&amp;5'!K:K))</f>
        <v>0</v>
      </c>
      <c r="C40" s="60">
        <f t="array" ref="C40">+MAX(IF('ID1&amp;5'!A:A='1. Status'!A40&amp;'1. Status'!$C$10,'ID1&amp;5'!K:K))</f>
        <v>0</v>
      </c>
      <c r="D40" s="60">
        <f t="array" ref="D40">+MAX(IF('ID1&amp;5'!A:A='1. Status'!A40&amp;'1. Status'!$D$10,'ID1&amp;5'!K:K))</f>
        <v>0</v>
      </c>
      <c r="E40" s="60">
        <f t="array" ref="E40">+MAX(IF('ID1&amp;5'!A:A='1. Status'!A40&amp;'1. Status'!$E$10,'ID1&amp;5'!K:K))</f>
        <v>0</v>
      </c>
      <c r="F40" s="67">
        <f t="array" ref="F40">+MAX(IF('ID1&amp;5'!A:A='1. Status'!A40&amp;'1. Status'!$F$10,'ID1&amp;5'!K:K))</f>
        <v>0</v>
      </c>
      <c r="G40" s="60"/>
      <c r="H40" s="65" t="s">
        <v>1092</v>
      </c>
      <c r="I40" s="21" t="s">
        <v>1122</v>
      </c>
      <c r="J40" s="26">
        <f>+COUNTIF('ID1&amp;5'!G:G,'1. Status'!I40)</f>
        <v>0</v>
      </c>
      <c r="K40" s="79" t="str">
        <f>+IFERROR(VLOOKUP(CONCATENATE(A40,$B$10,B40),'ID1&amp;5'!B:J,8,FALSE),"-")</f>
        <v>-</v>
      </c>
      <c r="L40" s="78" t="str">
        <f>+IFERROR(VLOOKUP(B40,'ID1&amp;5'!K:L,2,FALSE),"-")</f>
        <v>-</v>
      </c>
      <c r="M40" s="79" t="str">
        <f>+IFERROR(VLOOKUP(CONCATENATE(A40,$B$10,B40),'ID1&amp;5'!B:J,9,FALSE),"-")</f>
        <v>-</v>
      </c>
      <c r="N40" s="79" t="str">
        <f>+IFERROR(VLOOKUP(CONCATENATE(A40,$C$10,C40),'ID1&amp;5'!B:J,8,FALSE),"-")</f>
        <v>-</v>
      </c>
      <c r="O40" s="78" t="str">
        <f>+IFERROR(VLOOKUP(C40,'ID1&amp;5'!K:L,2,FALSE),"-")</f>
        <v>-</v>
      </c>
      <c r="P40" s="79" t="str">
        <f>+IFERROR(VLOOKUP(CONCATENATE(A40,$C$10,C40),'ID1&amp;5'!B:J,9,FALSE),"-")</f>
        <v>-</v>
      </c>
      <c r="Q40" s="78" t="str">
        <f>+IFERROR(VLOOKUP(D40,'ID1&amp;5'!K:L,2,FALSE),"-")</f>
        <v>-</v>
      </c>
      <c r="R40" s="26" t="str">
        <f>+IFERROR(VLOOKUP(CONCATENATE(A40,$D$10,D40),'ID1&amp;5'!B:J,9,FALSE),"-")</f>
        <v>-</v>
      </c>
      <c r="S40" s="78" t="str">
        <f>+IFERROR(VLOOKUP(E40,'ID1&amp;5'!K:L,2,FALSE),"-")</f>
        <v>-</v>
      </c>
      <c r="T40" s="79" t="str">
        <f>+IFERROR(VLOOKUP(CONCATENATE(A40,$E$10,E40),'ID1&amp;5'!B:J,9,FALSE),"-")</f>
        <v>-</v>
      </c>
      <c r="U40" s="78" t="str">
        <f>+IFERROR(VLOOKUP(F40,'ID1&amp;5'!K:L,2,FALSE),"-")</f>
        <v>-</v>
      </c>
      <c r="V40" s="79" t="str">
        <f>+IFERROR(VLOOKUP(CONCATENATE(A40,$F$10,F40),'ID1&amp;5'!B:J,9,FALSE),"-")</f>
        <v>-</v>
      </c>
      <c r="W40" s="26" t="str">
        <f>+IFERROR(VLOOKUP(A40,'ID6&amp;7'!A:I,9,FALSE),"-")</f>
        <v>-</v>
      </c>
      <c r="X40" s="26" t="str">
        <f>+IFERROR(VLOOKUP(A40,'ID6&amp;7'!A:J,10,FALSE),"-")</f>
        <v>-</v>
      </c>
      <c r="Y40" s="26"/>
      <c r="Z40" s="27" t="str">
        <f t="shared" si="1"/>
        <v>Por iniciar</v>
      </c>
    </row>
    <row r="41" spans="1:26">
      <c r="A41" s="20" t="str">
        <f t="shared" si="0"/>
        <v>UNIV_OPERflag_lvrg_finc45991</v>
      </c>
      <c r="B41" s="66">
        <f t="array" ref="B41">+MAX(IF('ID1&amp;5'!A:A='1. Status'!A41&amp;'1. Status'!$B$10,'ID1&amp;5'!K:K))</f>
        <v>0</v>
      </c>
      <c r="C41" s="60">
        <f t="array" ref="C41">+MAX(IF('ID1&amp;5'!A:A='1. Status'!A41&amp;'1. Status'!$C$10,'ID1&amp;5'!K:K))</f>
        <v>0</v>
      </c>
      <c r="D41" s="60">
        <f t="array" ref="D41">+MAX(IF('ID1&amp;5'!A:A='1. Status'!A41&amp;'1. Status'!$D$10,'ID1&amp;5'!K:K))</f>
        <v>0</v>
      </c>
      <c r="E41" s="60">
        <f t="array" ref="E41">+MAX(IF('ID1&amp;5'!A:A='1. Status'!A41&amp;'1. Status'!$E$10,'ID1&amp;5'!K:K))</f>
        <v>0</v>
      </c>
      <c r="F41" s="67">
        <f t="array" ref="F41">+MAX(IF('ID1&amp;5'!A:A='1. Status'!A41&amp;'1. Status'!$F$10,'ID1&amp;5'!K:K))</f>
        <v>0</v>
      </c>
      <c r="G41" s="60"/>
      <c r="H41" s="65" t="s">
        <v>1092</v>
      </c>
      <c r="I41" s="21" t="s">
        <v>1123</v>
      </c>
      <c r="J41" s="26">
        <f>+COUNTIF('ID1&amp;5'!G:G,'1. Status'!I41)</f>
        <v>0</v>
      </c>
      <c r="K41" s="79" t="str">
        <f>+IFERROR(VLOOKUP(CONCATENATE(A41,$B$10,B41),'ID1&amp;5'!B:J,8,FALSE),"-")</f>
        <v>-</v>
      </c>
      <c r="L41" s="78" t="str">
        <f>+IFERROR(VLOOKUP(B41,'ID1&amp;5'!K:L,2,FALSE),"-")</f>
        <v>-</v>
      </c>
      <c r="M41" s="79" t="str">
        <f>+IFERROR(VLOOKUP(CONCATENATE(A41,$B$10,B41),'ID1&amp;5'!B:J,9,FALSE),"-")</f>
        <v>-</v>
      </c>
      <c r="N41" s="79" t="str">
        <f>+IFERROR(VLOOKUP(CONCATENATE(A41,$C$10,C41),'ID1&amp;5'!B:J,8,FALSE),"-")</f>
        <v>-</v>
      </c>
      <c r="O41" s="78" t="str">
        <f>+IFERROR(VLOOKUP(C41,'ID1&amp;5'!K:L,2,FALSE),"-")</f>
        <v>-</v>
      </c>
      <c r="P41" s="79" t="str">
        <f>+IFERROR(VLOOKUP(CONCATENATE(A41,$C$10,C41),'ID1&amp;5'!B:J,9,FALSE),"-")</f>
        <v>-</v>
      </c>
      <c r="Q41" s="78" t="str">
        <f>+IFERROR(VLOOKUP(D41,'ID1&amp;5'!K:L,2,FALSE),"-")</f>
        <v>-</v>
      </c>
      <c r="R41" s="26" t="str">
        <f>+IFERROR(VLOOKUP(CONCATENATE(A41,$D$10,D41),'ID1&amp;5'!B:J,9,FALSE),"-")</f>
        <v>-</v>
      </c>
      <c r="S41" s="78" t="str">
        <f>+IFERROR(VLOOKUP(E41,'ID1&amp;5'!K:L,2,FALSE),"-")</f>
        <v>-</v>
      </c>
      <c r="T41" s="79" t="str">
        <f>+IFERROR(VLOOKUP(CONCATENATE(A41,$E$10,E41),'ID1&amp;5'!B:J,9,FALSE),"-")</f>
        <v>-</v>
      </c>
      <c r="U41" s="78" t="str">
        <f>+IFERROR(VLOOKUP(F41,'ID1&amp;5'!K:L,2,FALSE),"-")</f>
        <v>-</v>
      </c>
      <c r="V41" s="79" t="str">
        <f>+IFERROR(VLOOKUP(CONCATENATE(A41,$F$10,F41),'ID1&amp;5'!B:J,9,FALSE),"-")</f>
        <v>-</v>
      </c>
      <c r="W41" s="26" t="str">
        <f>+IFERROR(VLOOKUP(A41,'ID6&amp;7'!A:I,9,FALSE),"-")</f>
        <v>-</v>
      </c>
      <c r="X41" s="26" t="str">
        <f>+IFERROR(VLOOKUP(A41,'ID6&amp;7'!A:J,10,FALSE),"-")</f>
        <v>-</v>
      </c>
      <c r="Y41" s="26"/>
      <c r="Z41" s="27" t="str">
        <f t="shared" si="1"/>
        <v>Por iniciar</v>
      </c>
    </row>
    <row r="42" spans="1:26">
      <c r="A42" s="20" t="str">
        <f t="shared" si="0"/>
        <v>UNIV_OPERflag_pme45991</v>
      </c>
      <c r="B42" s="66">
        <f t="array" ref="B42">+MAX(IF('ID1&amp;5'!A:A='1. Status'!A42&amp;'1. Status'!$B$10,'ID1&amp;5'!K:K))</f>
        <v>0</v>
      </c>
      <c r="C42" s="60">
        <f t="array" ref="C42">+MAX(IF('ID1&amp;5'!A:A='1. Status'!A42&amp;'1. Status'!$C$10,'ID1&amp;5'!K:K))</f>
        <v>0</v>
      </c>
      <c r="D42" s="60">
        <f t="array" ref="D42">+MAX(IF('ID1&amp;5'!A:A='1. Status'!A42&amp;'1. Status'!$D$10,'ID1&amp;5'!K:K))</f>
        <v>0</v>
      </c>
      <c r="E42" s="60">
        <f t="array" ref="E42">+MAX(IF('ID1&amp;5'!A:A='1. Status'!A42&amp;'1. Status'!$E$10,'ID1&amp;5'!K:K))</f>
        <v>0</v>
      </c>
      <c r="F42" s="67">
        <f t="array" ref="F42">+MAX(IF('ID1&amp;5'!A:A='1. Status'!A42&amp;'1. Status'!$F$10,'ID1&amp;5'!K:K))</f>
        <v>0</v>
      </c>
      <c r="G42" s="60"/>
      <c r="H42" s="65" t="s">
        <v>1092</v>
      </c>
      <c r="I42" s="21" t="s">
        <v>1124</v>
      </c>
      <c r="J42" s="26">
        <f>+COUNTIF('ID1&amp;5'!G:G,'1. Status'!I42)</f>
        <v>0</v>
      </c>
      <c r="K42" s="79" t="str">
        <f>+IFERROR(VLOOKUP(CONCATENATE(A42,$B$10,B42),'ID1&amp;5'!B:J,8,FALSE),"-")</f>
        <v>-</v>
      </c>
      <c r="L42" s="78" t="str">
        <f>+IFERROR(VLOOKUP(B42,'ID1&amp;5'!K:L,2,FALSE),"-")</f>
        <v>-</v>
      </c>
      <c r="M42" s="79" t="str">
        <f>+IFERROR(VLOOKUP(CONCATENATE(A42,$B$10,B42),'ID1&amp;5'!B:J,9,FALSE),"-")</f>
        <v>-</v>
      </c>
      <c r="N42" s="79" t="str">
        <f>+IFERROR(VLOOKUP(CONCATENATE(A42,$C$10,C42),'ID1&amp;5'!B:J,8,FALSE),"-")</f>
        <v>-</v>
      </c>
      <c r="O42" s="78" t="str">
        <f>+IFERROR(VLOOKUP(C42,'ID1&amp;5'!K:L,2,FALSE),"-")</f>
        <v>-</v>
      </c>
      <c r="P42" s="79" t="str">
        <f>+IFERROR(VLOOKUP(CONCATENATE(A42,$C$10,C42),'ID1&amp;5'!B:J,9,FALSE),"-")</f>
        <v>-</v>
      </c>
      <c r="Q42" s="78" t="str">
        <f>+IFERROR(VLOOKUP(D42,'ID1&amp;5'!K:L,2,FALSE),"-")</f>
        <v>-</v>
      </c>
      <c r="R42" s="26" t="str">
        <f>+IFERROR(VLOOKUP(CONCATENATE(A42,$D$10,D42),'ID1&amp;5'!B:J,9,FALSE),"-")</f>
        <v>-</v>
      </c>
      <c r="S42" s="78" t="str">
        <f>+IFERROR(VLOOKUP(E42,'ID1&amp;5'!K:L,2,FALSE),"-")</f>
        <v>-</v>
      </c>
      <c r="T42" s="79" t="str">
        <f>+IFERROR(VLOOKUP(CONCATENATE(A42,$E$10,E42),'ID1&amp;5'!B:J,9,FALSE),"-")</f>
        <v>-</v>
      </c>
      <c r="U42" s="78" t="str">
        <f>+IFERROR(VLOOKUP(F42,'ID1&amp;5'!K:L,2,FALSE),"-")</f>
        <v>-</v>
      </c>
      <c r="V42" s="79" t="str">
        <f>+IFERROR(VLOOKUP(CONCATENATE(A42,$F$10,F42),'ID1&amp;5'!B:J,9,FALSE),"-")</f>
        <v>-</v>
      </c>
      <c r="W42" s="26" t="str">
        <f>+IFERROR(VLOOKUP(A42,'ID6&amp;7'!A:I,9,FALSE),"-")</f>
        <v>-</v>
      </c>
      <c r="X42" s="26" t="str">
        <f>+IFERROR(VLOOKUP(A42,'ID6&amp;7'!A:J,10,FALSE),"-")</f>
        <v>-</v>
      </c>
      <c r="Y42" s="26"/>
      <c r="Z42" s="27" t="str">
        <f t="shared" si="1"/>
        <v>Por iniciar</v>
      </c>
    </row>
    <row r="43" spans="1:26">
      <c r="A43" s="20" t="str">
        <f t="shared" si="0"/>
        <v>UNIV_OPERflag_inst_div45991</v>
      </c>
      <c r="B43" s="66">
        <f t="array" ref="B43">+MAX(IF('ID1&amp;5'!A:A='1. Status'!A43&amp;'1. Status'!$B$10,'ID1&amp;5'!K:K))</f>
        <v>0</v>
      </c>
      <c r="C43" s="60">
        <f t="array" ref="C43">+MAX(IF('ID1&amp;5'!A:A='1. Status'!A43&amp;'1. Status'!$C$10,'ID1&amp;5'!K:K))</f>
        <v>0</v>
      </c>
      <c r="D43" s="60">
        <f t="array" ref="D43">+MAX(IF('ID1&amp;5'!A:A='1. Status'!A43&amp;'1. Status'!$D$10,'ID1&amp;5'!K:K))</f>
        <v>0</v>
      </c>
      <c r="E43" s="60">
        <f t="array" ref="E43">+MAX(IF('ID1&amp;5'!A:A='1. Status'!A43&amp;'1. Status'!$E$10,'ID1&amp;5'!K:K))</f>
        <v>0</v>
      </c>
      <c r="F43" s="67">
        <f t="array" ref="F43">+MAX(IF('ID1&amp;5'!A:A='1. Status'!A43&amp;'1. Status'!$F$10,'ID1&amp;5'!K:K))</f>
        <v>0</v>
      </c>
      <c r="G43" s="60"/>
      <c r="H43" s="65" t="s">
        <v>1092</v>
      </c>
      <c r="I43" s="21" t="s">
        <v>1125</v>
      </c>
      <c r="J43" s="26">
        <f>+COUNTIF('ID1&amp;5'!G:G,'1. Status'!I43)</f>
        <v>0</v>
      </c>
      <c r="K43" s="79" t="str">
        <f>+IFERROR(VLOOKUP(CONCATENATE(A43,$B$10,B43),'ID1&amp;5'!B:J,8,FALSE),"-")</f>
        <v>-</v>
      </c>
      <c r="L43" s="78" t="str">
        <f>+IFERROR(VLOOKUP(B43,'ID1&amp;5'!K:L,2,FALSE),"-")</f>
        <v>-</v>
      </c>
      <c r="M43" s="79" t="str">
        <f>+IFERROR(VLOOKUP(CONCATENATE(A43,$B$10,B43),'ID1&amp;5'!B:J,9,FALSE),"-")</f>
        <v>-</v>
      </c>
      <c r="N43" s="79" t="str">
        <f>+IFERROR(VLOOKUP(CONCATENATE(A43,$C$10,C43),'ID1&amp;5'!B:J,8,FALSE),"-")</f>
        <v>-</v>
      </c>
      <c r="O43" s="78" t="str">
        <f>+IFERROR(VLOOKUP(C43,'ID1&amp;5'!K:L,2,FALSE),"-")</f>
        <v>-</v>
      </c>
      <c r="P43" s="79" t="str">
        <f>+IFERROR(VLOOKUP(CONCATENATE(A43,$C$10,C43),'ID1&amp;5'!B:J,9,FALSE),"-")</f>
        <v>-</v>
      </c>
      <c r="Q43" s="78" t="str">
        <f>+IFERROR(VLOOKUP(D43,'ID1&amp;5'!K:L,2,FALSE),"-")</f>
        <v>-</v>
      </c>
      <c r="R43" s="26" t="str">
        <f>+IFERROR(VLOOKUP(CONCATENATE(A43,$D$10,D43),'ID1&amp;5'!B:J,9,FALSE),"-")</f>
        <v>-</v>
      </c>
      <c r="S43" s="78" t="str">
        <f>+IFERROR(VLOOKUP(E43,'ID1&amp;5'!K:L,2,FALSE),"-")</f>
        <v>-</v>
      </c>
      <c r="T43" s="79" t="str">
        <f>+IFERROR(VLOOKUP(CONCATENATE(A43,$E$10,E43),'ID1&amp;5'!B:J,9,FALSE),"-")</f>
        <v>-</v>
      </c>
      <c r="U43" s="78" t="str">
        <f>+IFERROR(VLOOKUP(F43,'ID1&amp;5'!K:L,2,FALSE),"-")</f>
        <v>-</v>
      </c>
      <c r="V43" s="79" t="str">
        <f>+IFERROR(VLOOKUP(CONCATENATE(A43,$F$10,F43),'ID1&amp;5'!B:J,9,FALSE),"-")</f>
        <v>-</v>
      </c>
      <c r="W43" s="26" t="str">
        <f>+IFERROR(VLOOKUP(A43,'ID6&amp;7'!A:I,9,FALSE),"-")</f>
        <v>-</v>
      </c>
      <c r="X43" s="26" t="str">
        <f>+IFERROR(VLOOKUP(A43,'ID6&amp;7'!A:J,10,FALSE),"-")</f>
        <v>-</v>
      </c>
      <c r="Y43" s="26"/>
      <c r="Z43" s="27" t="str">
        <f t="shared" si="1"/>
        <v>Por iniciar</v>
      </c>
    </row>
    <row r="44" spans="1:26">
      <c r="A44" s="20" t="str">
        <f t="shared" si="0"/>
        <v>UNIV_OPERflag_inst_cap45991</v>
      </c>
      <c r="B44" s="66">
        <f t="array" ref="B44">+MAX(IF('ID1&amp;5'!A:A='1. Status'!A44&amp;'1. Status'!$B$10,'ID1&amp;5'!K:K))</f>
        <v>0</v>
      </c>
      <c r="C44" s="60">
        <f t="array" ref="C44">+MAX(IF('ID1&amp;5'!A:A='1. Status'!A44&amp;'1. Status'!$C$10,'ID1&amp;5'!K:K))</f>
        <v>0</v>
      </c>
      <c r="D44" s="60">
        <f t="array" ref="D44">+MAX(IF('ID1&amp;5'!A:A='1. Status'!A44&amp;'1. Status'!$D$10,'ID1&amp;5'!K:K))</f>
        <v>0</v>
      </c>
      <c r="E44" s="60">
        <f t="array" ref="E44">+MAX(IF('ID1&amp;5'!A:A='1. Status'!A44&amp;'1. Status'!$E$10,'ID1&amp;5'!K:K))</f>
        <v>0</v>
      </c>
      <c r="F44" s="67">
        <f t="array" ref="F44">+MAX(IF('ID1&amp;5'!A:A='1. Status'!A44&amp;'1. Status'!$F$10,'ID1&amp;5'!K:K))</f>
        <v>0</v>
      </c>
      <c r="G44" s="60"/>
      <c r="H44" s="65" t="s">
        <v>1092</v>
      </c>
      <c r="I44" s="21" t="s">
        <v>1126</v>
      </c>
      <c r="J44" s="26">
        <f>+COUNTIF('ID1&amp;5'!G:G,'1. Status'!I44)</f>
        <v>0</v>
      </c>
      <c r="K44" s="79" t="str">
        <f>+IFERROR(VLOOKUP(CONCATENATE(A44,$B$10,B44),'ID1&amp;5'!B:J,8,FALSE),"-")</f>
        <v>-</v>
      </c>
      <c r="L44" s="78" t="str">
        <f>+IFERROR(VLOOKUP(B44,'ID1&amp;5'!K:L,2,FALSE),"-")</f>
        <v>-</v>
      </c>
      <c r="M44" s="79" t="str">
        <f>+IFERROR(VLOOKUP(CONCATENATE(A44,$B$10,B44),'ID1&amp;5'!B:J,9,FALSE),"-")</f>
        <v>-</v>
      </c>
      <c r="N44" s="79" t="str">
        <f>+IFERROR(VLOOKUP(CONCATENATE(A44,$C$10,C44),'ID1&amp;5'!B:J,8,FALSE),"-")</f>
        <v>-</v>
      </c>
      <c r="O44" s="78" t="str">
        <f>+IFERROR(VLOOKUP(C44,'ID1&amp;5'!K:L,2,FALSE),"-")</f>
        <v>-</v>
      </c>
      <c r="P44" s="79" t="str">
        <f>+IFERROR(VLOOKUP(CONCATENATE(A44,$C$10,C44),'ID1&amp;5'!B:J,9,FALSE),"-")</f>
        <v>-</v>
      </c>
      <c r="Q44" s="78" t="str">
        <f>+IFERROR(VLOOKUP(D44,'ID1&amp;5'!K:L,2,FALSE),"-")</f>
        <v>-</v>
      </c>
      <c r="R44" s="26" t="str">
        <f>+IFERROR(VLOOKUP(CONCATENATE(A44,$D$10,D44),'ID1&amp;5'!B:J,9,FALSE),"-")</f>
        <v>-</v>
      </c>
      <c r="S44" s="78" t="str">
        <f>+IFERROR(VLOOKUP(E44,'ID1&amp;5'!K:L,2,FALSE),"-")</f>
        <v>-</v>
      </c>
      <c r="T44" s="79" t="str">
        <f>+IFERROR(VLOOKUP(CONCATENATE(A44,$E$10,E44),'ID1&amp;5'!B:J,9,FALSE),"-")</f>
        <v>-</v>
      </c>
      <c r="U44" s="78" t="str">
        <f>+IFERROR(VLOOKUP(F44,'ID1&amp;5'!K:L,2,FALSE),"-")</f>
        <v>-</v>
      </c>
      <c r="V44" s="79" t="str">
        <f>+IFERROR(VLOOKUP(CONCATENATE(A44,$F$10,F44),'ID1&amp;5'!B:J,9,FALSE),"-")</f>
        <v>-</v>
      </c>
      <c r="W44" s="26" t="str">
        <f>+IFERROR(VLOOKUP(A44,'ID6&amp;7'!A:I,9,FALSE),"-")</f>
        <v>-</v>
      </c>
      <c r="X44" s="26" t="str">
        <f>+IFERROR(VLOOKUP(A44,'ID6&amp;7'!A:J,10,FALSE),"-")</f>
        <v>-</v>
      </c>
      <c r="Y44" s="26"/>
      <c r="Z44" s="27" t="str">
        <f t="shared" si="1"/>
        <v>Por iniciar</v>
      </c>
    </row>
    <row r="45" spans="1:26">
      <c r="A45" s="20" t="str">
        <f t="shared" si="0"/>
        <v>UNIV_OPERflag_inst_deriv45991</v>
      </c>
      <c r="B45" s="66">
        <f t="array" ref="B45">+MAX(IF('ID1&amp;5'!A:A='1. Status'!A45&amp;'1. Status'!$B$10,'ID1&amp;5'!K:K))</f>
        <v>0</v>
      </c>
      <c r="C45" s="60">
        <f t="array" ref="C45">+MAX(IF('ID1&amp;5'!A:A='1. Status'!A45&amp;'1. Status'!$C$10,'ID1&amp;5'!K:K))</f>
        <v>0</v>
      </c>
      <c r="D45" s="60">
        <f t="array" ref="D45">+MAX(IF('ID1&amp;5'!A:A='1. Status'!A45&amp;'1. Status'!$D$10,'ID1&amp;5'!K:K))</f>
        <v>0</v>
      </c>
      <c r="E45" s="60">
        <f t="array" ref="E45">+MAX(IF('ID1&amp;5'!A:A='1. Status'!A45&amp;'1. Status'!$E$10,'ID1&amp;5'!K:K))</f>
        <v>0</v>
      </c>
      <c r="F45" s="67">
        <f t="array" ref="F45">+MAX(IF('ID1&amp;5'!A:A='1. Status'!A45&amp;'1. Status'!$F$10,'ID1&amp;5'!K:K))</f>
        <v>0</v>
      </c>
      <c r="G45" s="60"/>
      <c r="H45" s="65" t="s">
        <v>1092</v>
      </c>
      <c r="I45" s="21" t="s">
        <v>1127</v>
      </c>
      <c r="J45" s="26">
        <f>+COUNTIF('ID1&amp;5'!G:G,'1. Status'!I45)</f>
        <v>0</v>
      </c>
      <c r="K45" s="79" t="str">
        <f>+IFERROR(VLOOKUP(CONCATENATE(A45,$B$10,B45),'ID1&amp;5'!B:J,8,FALSE),"-")</f>
        <v>-</v>
      </c>
      <c r="L45" s="78" t="str">
        <f>+IFERROR(VLOOKUP(B45,'ID1&amp;5'!K:L,2,FALSE),"-")</f>
        <v>-</v>
      </c>
      <c r="M45" s="79" t="str">
        <f>+IFERROR(VLOOKUP(CONCATENATE(A45,$B$10,B45),'ID1&amp;5'!B:J,9,FALSE),"-")</f>
        <v>-</v>
      </c>
      <c r="N45" s="79" t="str">
        <f>+IFERROR(VLOOKUP(CONCATENATE(A45,$C$10,C45),'ID1&amp;5'!B:J,8,FALSE),"-")</f>
        <v>-</v>
      </c>
      <c r="O45" s="78" t="str">
        <f>+IFERROR(VLOOKUP(C45,'ID1&amp;5'!K:L,2,FALSE),"-")</f>
        <v>-</v>
      </c>
      <c r="P45" s="79" t="str">
        <f>+IFERROR(VLOOKUP(CONCATENATE(A45,$C$10,C45),'ID1&amp;5'!B:J,9,FALSE),"-")</f>
        <v>-</v>
      </c>
      <c r="Q45" s="78" t="str">
        <f>+IFERROR(VLOOKUP(D45,'ID1&amp;5'!K:L,2,FALSE),"-")</f>
        <v>-</v>
      </c>
      <c r="R45" s="26" t="str">
        <f>+IFERROR(VLOOKUP(CONCATENATE(A45,$D$10,D45),'ID1&amp;5'!B:J,9,FALSE),"-")</f>
        <v>-</v>
      </c>
      <c r="S45" s="78" t="str">
        <f>+IFERROR(VLOOKUP(E45,'ID1&amp;5'!K:L,2,FALSE),"-")</f>
        <v>-</v>
      </c>
      <c r="T45" s="79" t="str">
        <f>+IFERROR(VLOOKUP(CONCATENATE(A45,$E$10,E45),'ID1&amp;5'!B:J,9,FALSE),"-")</f>
        <v>-</v>
      </c>
      <c r="U45" s="78" t="str">
        <f>+IFERROR(VLOOKUP(F45,'ID1&amp;5'!K:L,2,FALSE),"-")</f>
        <v>-</v>
      </c>
      <c r="V45" s="79" t="str">
        <f>+IFERROR(VLOOKUP(CONCATENATE(A45,$F$10,F45),'ID1&amp;5'!B:J,9,FALSE),"-")</f>
        <v>-</v>
      </c>
      <c r="W45" s="26" t="str">
        <f>+IFERROR(VLOOKUP(A45,'ID6&amp;7'!A:I,9,FALSE),"-")</f>
        <v>-</v>
      </c>
      <c r="X45" s="26" t="str">
        <f>+IFERROR(VLOOKUP(A45,'ID6&amp;7'!A:J,10,FALSE),"-")</f>
        <v>-</v>
      </c>
      <c r="Y45" s="26"/>
      <c r="Z45" s="27" t="str">
        <f t="shared" si="1"/>
        <v>Por iniciar</v>
      </c>
    </row>
    <row r="46" spans="1:26">
      <c r="A46" s="20" t="str">
        <f t="shared" si="0"/>
        <v>UNIV_OPERflag_ajust_ncon45991</v>
      </c>
      <c r="B46" s="66">
        <f t="array" ref="B46">+MAX(IF('ID1&amp;5'!A:A='1. Status'!A46&amp;'1. Status'!$B$10,'ID1&amp;5'!K:K))</f>
        <v>0</v>
      </c>
      <c r="C46" s="60">
        <f t="array" ref="C46">+MAX(IF('ID1&amp;5'!A:A='1. Status'!A46&amp;'1. Status'!$C$10,'ID1&amp;5'!K:K))</f>
        <v>0</v>
      </c>
      <c r="D46" s="60">
        <f t="array" ref="D46">+MAX(IF('ID1&amp;5'!A:A='1. Status'!A46&amp;'1. Status'!$D$10,'ID1&amp;5'!K:K))</f>
        <v>0</v>
      </c>
      <c r="E46" s="60">
        <f t="array" ref="E46">+MAX(IF('ID1&amp;5'!A:A='1. Status'!A46&amp;'1. Status'!$E$10,'ID1&amp;5'!K:K))</f>
        <v>0</v>
      </c>
      <c r="F46" s="67">
        <f t="array" ref="F46">+MAX(IF('ID1&amp;5'!A:A='1. Status'!A46&amp;'1. Status'!$F$10,'ID1&amp;5'!K:K))</f>
        <v>0</v>
      </c>
      <c r="G46" s="60"/>
      <c r="H46" s="65" t="s">
        <v>1092</v>
      </c>
      <c r="I46" s="21" t="s">
        <v>1128</v>
      </c>
      <c r="J46" s="26">
        <f>+COUNTIF('ID1&amp;5'!G:G,'1. Status'!I46)</f>
        <v>0</v>
      </c>
      <c r="K46" s="79" t="str">
        <f>+IFERROR(VLOOKUP(CONCATENATE(A46,$B$10,B46),'ID1&amp;5'!B:J,8,FALSE),"-")</f>
        <v>-</v>
      </c>
      <c r="L46" s="78" t="str">
        <f>+IFERROR(VLOOKUP(B46,'ID1&amp;5'!K:L,2,FALSE),"-")</f>
        <v>-</v>
      </c>
      <c r="M46" s="79" t="str">
        <f>+IFERROR(VLOOKUP(CONCATENATE(A46,$B$10,B46),'ID1&amp;5'!B:J,9,FALSE),"-")</f>
        <v>-</v>
      </c>
      <c r="N46" s="79" t="str">
        <f>+IFERROR(VLOOKUP(CONCATENATE(A46,$C$10,C46),'ID1&amp;5'!B:J,8,FALSE),"-")</f>
        <v>-</v>
      </c>
      <c r="O46" s="78" t="str">
        <f>+IFERROR(VLOOKUP(C46,'ID1&amp;5'!K:L,2,FALSE),"-")</f>
        <v>-</v>
      </c>
      <c r="P46" s="79" t="str">
        <f>+IFERROR(VLOOKUP(CONCATENATE(A46,$C$10,C46),'ID1&amp;5'!B:J,9,FALSE),"-")</f>
        <v>-</v>
      </c>
      <c r="Q46" s="78" t="str">
        <f>+IFERROR(VLOOKUP(D46,'ID1&amp;5'!K:L,2,FALSE),"-")</f>
        <v>-</v>
      </c>
      <c r="R46" s="26" t="str">
        <f>+IFERROR(VLOOKUP(CONCATENATE(A46,$D$10,D46),'ID1&amp;5'!B:J,9,FALSE),"-")</f>
        <v>-</v>
      </c>
      <c r="S46" s="78" t="str">
        <f>+IFERROR(VLOOKUP(E46,'ID1&amp;5'!K:L,2,FALSE),"-")</f>
        <v>-</v>
      </c>
      <c r="T46" s="79" t="str">
        <f>+IFERROR(VLOOKUP(CONCATENATE(A46,$E$10,E46),'ID1&amp;5'!B:J,9,FALSE),"-")</f>
        <v>-</v>
      </c>
      <c r="U46" s="78" t="str">
        <f>+IFERROR(VLOOKUP(F46,'ID1&amp;5'!K:L,2,FALSE),"-")</f>
        <v>-</v>
      </c>
      <c r="V46" s="79" t="str">
        <f>+IFERROR(VLOOKUP(CONCATENATE(A46,$F$10,F46),'ID1&amp;5'!B:J,9,FALSE),"-")</f>
        <v>-</v>
      </c>
      <c r="W46" s="26" t="str">
        <f>+IFERROR(VLOOKUP(A46,'ID6&amp;7'!A:I,9,FALSE),"-")</f>
        <v>-</v>
      </c>
      <c r="X46" s="26" t="str">
        <f>+IFERROR(VLOOKUP(A46,'ID6&amp;7'!A:J,10,FALSE),"-")</f>
        <v>-</v>
      </c>
      <c r="Y46" s="26"/>
      <c r="Z46" s="27" t="str">
        <f t="shared" si="1"/>
        <v>Por iniciar</v>
      </c>
    </row>
    <row r="47" spans="1:26">
      <c r="A47" s="20" t="str">
        <f t="shared" si="0"/>
        <v>UNIV_OPERflag_mis45991</v>
      </c>
      <c r="B47" s="66">
        <f t="array" ref="B47">+MAX(IF('ID1&amp;5'!A:A='1. Status'!A47&amp;'1. Status'!$B$10,'ID1&amp;5'!K:K))</f>
        <v>0</v>
      </c>
      <c r="C47" s="60">
        <f t="array" ref="C47">+MAX(IF('ID1&amp;5'!A:A='1. Status'!A47&amp;'1. Status'!$C$10,'ID1&amp;5'!K:K))</f>
        <v>0</v>
      </c>
      <c r="D47" s="60">
        <f t="array" ref="D47">+MAX(IF('ID1&amp;5'!A:A='1. Status'!A47&amp;'1. Status'!$D$10,'ID1&amp;5'!K:K))</f>
        <v>0</v>
      </c>
      <c r="E47" s="60">
        <f t="array" ref="E47">+MAX(IF('ID1&amp;5'!A:A='1. Status'!A47&amp;'1. Status'!$E$10,'ID1&amp;5'!K:K))</f>
        <v>0</v>
      </c>
      <c r="F47" s="67">
        <f t="array" ref="F47">+MAX(IF('ID1&amp;5'!A:A='1. Status'!A47&amp;'1. Status'!$F$10,'ID1&amp;5'!K:K))</f>
        <v>0</v>
      </c>
      <c r="G47" s="60"/>
      <c r="H47" s="65" t="s">
        <v>1092</v>
      </c>
      <c r="I47" s="21" t="s">
        <v>1129</v>
      </c>
      <c r="J47" s="26">
        <f>+COUNTIF('ID1&amp;5'!G:G,'1. Status'!I47)</f>
        <v>0</v>
      </c>
      <c r="K47" s="79" t="str">
        <f>+IFERROR(VLOOKUP(CONCATENATE(A47,$B$10,B47),'ID1&amp;5'!B:J,8,FALSE),"-")</f>
        <v>-</v>
      </c>
      <c r="L47" s="78" t="str">
        <f>+IFERROR(VLOOKUP(B47,'ID1&amp;5'!K:L,2,FALSE),"-")</f>
        <v>-</v>
      </c>
      <c r="M47" s="79" t="str">
        <f>+IFERROR(VLOOKUP(CONCATENATE(A47,$B$10,B47),'ID1&amp;5'!B:J,9,FALSE),"-")</f>
        <v>-</v>
      </c>
      <c r="N47" s="79" t="str">
        <f>+IFERROR(VLOOKUP(CONCATENATE(A47,$C$10,C47),'ID1&amp;5'!B:J,8,FALSE),"-")</f>
        <v>-</v>
      </c>
      <c r="O47" s="78" t="str">
        <f>+IFERROR(VLOOKUP(C47,'ID1&amp;5'!K:L,2,FALSE),"-")</f>
        <v>-</v>
      </c>
      <c r="P47" s="79" t="str">
        <f>+IFERROR(VLOOKUP(CONCATENATE(A47,$C$10,C47),'ID1&amp;5'!B:J,9,FALSE),"-")</f>
        <v>-</v>
      </c>
      <c r="Q47" s="78" t="str">
        <f>+IFERROR(VLOOKUP(D47,'ID1&amp;5'!K:L,2,FALSE),"-")</f>
        <v>-</v>
      </c>
      <c r="R47" s="26" t="str">
        <f>+IFERROR(VLOOKUP(CONCATENATE(A47,$D$10,D47),'ID1&amp;5'!B:J,9,FALSE),"-")</f>
        <v>-</v>
      </c>
      <c r="S47" s="78" t="str">
        <f>+IFERROR(VLOOKUP(E47,'ID1&amp;5'!K:L,2,FALSE),"-")</f>
        <v>-</v>
      </c>
      <c r="T47" s="79" t="str">
        <f>+IFERROR(VLOOKUP(CONCATENATE(A47,$E$10,E47),'ID1&amp;5'!B:J,9,FALSE),"-")</f>
        <v>-</v>
      </c>
      <c r="U47" s="78" t="str">
        <f>+IFERROR(VLOOKUP(F47,'ID1&amp;5'!K:L,2,FALSE),"-")</f>
        <v>-</v>
      </c>
      <c r="V47" s="79" t="str">
        <f>+IFERROR(VLOOKUP(CONCATENATE(A47,$F$10,F47),'ID1&amp;5'!B:J,9,FALSE),"-")</f>
        <v>-</v>
      </c>
      <c r="W47" s="26" t="str">
        <f>+IFERROR(VLOOKUP(A47,'ID6&amp;7'!A:I,9,FALSE),"-")</f>
        <v>-</v>
      </c>
      <c r="X47" s="26" t="str">
        <f>+IFERROR(VLOOKUP(A47,'ID6&amp;7'!A:J,10,FALSE),"-")</f>
        <v>-</v>
      </c>
      <c r="Y47" s="26"/>
      <c r="Z47" s="27" t="str">
        <f t="shared" si="1"/>
        <v>Por iniciar</v>
      </c>
    </row>
    <row r="48" spans="1:26">
      <c r="A48" s="20" t="str">
        <f t="shared" si="0"/>
        <v>UNIV_OPERflag_inst_titulos45991</v>
      </c>
      <c r="B48" s="66">
        <f t="array" ref="B48">+MAX(IF('ID1&amp;5'!A:A='1. Status'!A48&amp;'1. Status'!$B$10,'ID1&amp;5'!K:K))</f>
        <v>0</v>
      </c>
      <c r="C48" s="60">
        <f t="array" ref="C48">+MAX(IF('ID1&amp;5'!A:A='1. Status'!A48&amp;'1. Status'!$C$10,'ID1&amp;5'!K:K))</f>
        <v>0</v>
      </c>
      <c r="D48" s="60">
        <f t="array" ref="D48">+MAX(IF('ID1&amp;5'!A:A='1. Status'!A48&amp;'1. Status'!$D$10,'ID1&amp;5'!K:K))</f>
        <v>0</v>
      </c>
      <c r="E48" s="60">
        <f t="array" ref="E48">+MAX(IF('ID1&amp;5'!A:A='1. Status'!A48&amp;'1. Status'!$E$10,'ID1&amp;5'!K:K))</f>
        <v>0</v>
      </c>
      <c r="F48" s="67">
        <f t="array" ref="F48">+MAX(IF('ID1&amp;5'!A:A='1. Status'!A48&amp;'1. Status'!$F$10,'ID1&amp;5'!K:K))</f>
        <v>0</v>
      </c>
      <c r="G48" s="60"/>
      <c r="H48" s="65" t="s">
        <v>1092</v>
      </c>
      <c r="I48" s="21" t="s">
        <v>1130</v>
      </c>
      <c r="J48" s="26">
        <f>+COUNTIF('ID1&amp;5'!G:G,'1. Status'!I48)</f>
        <v>0</v>
      </c>
      <c r="K48" s="79" t="str">
        <f>+IFERROR(VLOOKUP(CONCATENATE(A48,$B$10,B48),'ID1&amp;5'!B:J,8,FALSE),"-")</f>
        <v>-</v>
      </c>
      <c r="L48" s="78" t="str">
        <f>+IFERROR(VLOOKUP(B48,'ID1&amp;5'!K:L,2,FALSE),"-")</f>
        <v>-</v>
      </c>
      <c r="M48" s="79" t="str">
        <f>+IFERROR(VLOOKUP(CONCATENATE(A48,$B$10,B48),'ID1&amp;5'!B:J,9,FALSE),"-")</f>
        <v>-</v>
      </c>
      <c r="N48" s="79" t="str">
        <f>+IFERROR(VLOOKUP(CONCATENATE(A48,$C$10,C48),'ID1&amp;5'!B:J,8,FALSE),"-")</f>
        <v>-</v>
      </c>
      <c r="O48" s="78" t="str">
        <f>+IFERROR(VLOOKUP(C48,'ID1&amp;5'!K:L,2,FALSE),"-")</f>
        <v>-</v>
      </c>
      <c r="P48" s="79" t="str">
        <f>+IFERROR(VLOOKUP(CONCATENATE(A48,$C$10,C48),'ID1&amp;5'!B:J,9,FALSE),"-")</f>
        <v>-</v>
      </c>
      <c r="Q48" s="78" t="str">
        <f>+IFERROR(VLOOKUP(D48,'ID1&amp;5'!K:L,2,FALSE),"-")</f>
        <v>-</v>
      </c>
      <c r="R48" s="26" t="str">
        <f>+IFERROR(VLOOKUP(CONCATENATE(A48,$D$10,D48),'ID1&amp;5'!B:J,9,FALSE),"-")</f>
        <v>-</v>
      </c>
      <c r="S48" s="78" t="str">
        <f>+IFERROR(VLOOKUP(E48,'ID1&amp;5'!K:L,2,FALSE),"-")</f>
        <v>-</v>
      </c>
      <c r="T48" s="79" t="str">
        <f>+IFERROR(VLOOKUP(CONCATENATE(A48,$E$10,E48),'ID1&amp;5'!B:J,9,FALSE),"-")</f>
        <v>-</v>
      </c>
      <c r="U48" s="78" t="str">
        <f>+IFERROR(VLOOKUP(F48,'ID1&amp;5'!K:L,2,FALSE),"-")</f>
        <v>-</v>
      </c>
      <c r="V48" s="79" t="str">
        <f>+IFERROR(VLOOKUP(CONCATENATE(A48,$F$10,F48),'ID1&amp;5'!B:J,9,FALSE),"-")</f>
        <v>-</v>
      </c>
      <c r="W48" s="26" t="str">
        <f>+IFERROR(VLOOKUP(A48,'ID6&amp;7'!A:I,9,FALSE),"-")</f>
        <v>-</v>
      </c>
      <c r="X48" s="26" t="str">
        <f>+IFERROR(VLOOKUP(A48,'ID6&amp;7'!A:J,10,FALSE),"-")</f>
        <v>-</v>
      </c>
      <c r="Y48" s="26"/>
      <c r="Z48" s="27" t="str">
        <f t="shared" si="1"/>
        <v>Por iniciar</v>
      </c>
    </row>
    <row r="49" spans="1:27">
      <c r="A49" s="20" t="str">
        <f t="shared" si="0"/>
        <v>UNIV_OPERflag_gar_intrg_san45991</v>
      </c>
      <c r="B49" s="66">
        <f t="array" ref="B49">+MAX(IF('ID1&amp;5'!A:A='1. Status'!A49&amp;'1. Status'!$B$10,'ID1&amp;5'!K:K))</f>
        <v>0</v>
      </c>
      <c r="C49" s="60">
        <f t="array" ref="C49">+MAX(IF('ID1&amp;5'!A:A='1. Status'!A49&amp;'1. Status'!$C$10,'ID1&amp;5'!K:K))</f>
        <v>0</v>
      </c>
      <c r="D49" s="60">
        <f t="array" ref="D49">+MAX(IF('ID1&amp;5'!A:A='1. Status'!A49&amp;'1. Status'!$D$10,'ID1&amp;5'!K:K))</f>
        <v>0</v>
      </c>
      <c r="E49" s="60">
        <f t="array" ref="E49">+MAX(IF('ID1&amp;5'!A:A='1. Status'!A49&amp;'1. Status'!$E$10,'ID1&amp;5'!K:K))</f>
        <v>0</v>
      </c>
      <c r="F49" s="67">
        <f t="array" ref="F49">+MAX(IF('ID1&amp;5'!A:A='1. Status'!A49&amp;'1. Status'!$F$10,'ID1&amp;5'!K:K))</f>
        <v>0</v>
      </c>
      <c r="G49" s="60"/>
      <c r="H49" s="65" t="s">
        <v>1092</v>
      </c>
      <c r="I49" s="21" t="s">
        <v>1131</v>
      </c>
      <c r="J49" s="26">
        <f>+COUNTIF('ID1&amp;5'!G:G,'1. Status'!I49)</f>
        <v>0</v>
      </c>
      <c r="K49" s="79" t="str">
        <f>+IFERROR(VLOOKUP(CONCATENATE(A49,$B$10,B49),'ID1&amp;5'!B:J,8,FALSE),"-")</f>
        <v>-</v>
      </c>
      <c r="L49" s="78" t="str">
        <f>+IFERROR(VLOOKUP(B49,'ID1&amp;5'!K:L,2,FALSE),"-")</f>
        <v>-</v>
      </c>
      <c r="M49" s="79" t="str">
        <f>+IFERROR(VLOOKUP(CONCATENATE(A49,$B$10,B49),'ID1&amp;5'!B:J,9,FALSE),"-")</f>
        <v>-</v>
      </c>
      <c r="N49" s="79" t="str">
        <f>+IFERROR(VLOOKUP(CONCATENATE(A49,$C$10,C49),'ID1&amp;5'!B:J,8,FALSE),"-")</f>
        <v>-</v>
      </c>
      <c r="O49" s="78" t="str">
        <f>+IFERROR(VLOOKUP(C49,'ID1&amp;5'!K:L,2,FALSE),"-")</f>
        <v>-</v>
      </c>
      <c r="P49" s="79" t="str">
        <f>+IFERROR(VLOOKUP(CONCATENATE(A49,$C$10,C49),'ID1&amp;5'!B:J,9,FALSE),"-")</f>
        <v>-</v>
      </c>
      <c r="Q49" s="78" t="str">
        <f>+IFERROR(VLOOKUP(D49,'ID1&amp;5'!K:L,2,FALSE),"-")</f>
        <v>-</v>
      </c>
      <c r="R49" s="26" t="str">
        <f>+IFERROR(VLOOKUP(CONCATENATE(A49,$D$10,D49),'ID1&amp;5'!B:J,9,FALSE),"-")</f>
        <v>-</v>
      </c>
      <c r="S49" s="78" t="str">
        <f>+IFERROR(VLOOKUP(E49,'ID1&amp;5'!K:L,2,FALSE),"-")</f>
        <v>-</v>
      </c>
      <c r="T49" s="79" t="str">
        <f>+IFERROR(VLOOKUP(CONCATENATE(A49,$E$10,E49),'ID1&amp;5'!B:J,9,FALSE),"-")</f>
        <v>-</v>
      </c>
      <c r="U49" s="78" t="str">
        <f>+IFERROR(VLOOKUP(F49,'ID1&amp;5'!K:L,2,FALSE),"-")</f>
        <v>-</v>
      </c>
      <c r="V49" s="79" t="str">
        <f>+IFERROR(VLOOKUP(CONCATENATE(A49,$F$10,F49),'ID1&amp;5'!B:J,9,FALSE),"-")</f>
        <v>-</v>
      </c>
      <c r="W49" s="26" t="str">
        <f>+IFERROR(VLOOKUP(A49,'ID6&amp;7'!A:I,9,FALSE),"-")</f>
        <v>-</v>
      </c>
      <c r="X49" s="26" t="str">
        <f>+IFERROR(VLOOKUP(A49,'ID6&amp;7'!A:J,10,FALSE),"-")</f>
        <v>-</v>
      </c>
      <c r="Y49" s="26"/>
      <c r="Z49" s="27" t="str">
        <f t="shared" si="1"/>
        <v>Por iniciar</v>
      </c>
    </row>
    <row r="50" spans="1:27">
      <c r="A50" s="20" t="str">
        <f t="shared" si="0"/>
        <v>UNIV_OPERvalor_bruto_on45991</v>
      </c>
      <c r="B50" s="66">
        <f t="array" ref="B50">+MAX(IF('ID1&amp;5'!A:A='1. Status'!A50&amp;'1. Status'!$B$10,'ID1&amp;5'!K:K))</f>
        <v>0</v>
      </c>
      <c r="C50" s="60">
        <f t="array" ref="C50">+MAX(IF('ID1&amp;5'!A:A='1. Status'!A50&amp;'1. Status'!$C$10,'ID1&amp;5'!K:K))</f>
        <v>0</v>
      </c>
      <c r="D50" s="60">
        <f t="array" ref="D50">+MAX(IF('ID1&amp;5'!A:A='1. Status'!A50&amp;'1. Status'!$D$10,'ID1&amp;5'!K:K))</f>
        <v>0</v>
      </c>
      <c r="E50" s="60">
        <f t="array" ref="E50">+MAX(IF('ID1&amp;5'!A:A='1. Status'!A50&amp;'1. Status'!$E$10,'ID1&amp;5'!K:K))</f>
        <v>0</v>
      </c>
      <c r="F50" s="67">
        <f t="array" ref="F50">+MAX(IF('ID1&amp;5'!A:A='1. Status'!A50&amp;'1. Status'!$F$10,'ID1&amp;5'!K:K))</f>
        <v>0</v>
      </c>
      <c r="G50" s="60"/>
      <c r="H50" s="65" t="s">
        <v>1092</v>
      </c>
      <c r="I50" s="21" t="s">
        <v>1132</v>
      </c>
      <c r="J50" s="26">
        <f>+COUNTIF('ID1&amp;5'!G:G,'1. Status'!I50)</f>
        <v>0</v>
      </c>
      <c r="K50" s="79" t="str">
        <f>+IFERROR(VLOOKUP(CONCATENATE(A50,$B$10,B50),'ID1&amp;5'!B:J,8,FALSE),"-")</f>
        <v>-</v>
      </c>
      <c r="L50" s="78" t="str">
        <f>+IFERROR(VLOOKUP(B50,'ID1&amp;5'!K:L,2,FALSE),"-")</f>
        <v>-</v>
      </c>
      <c r="M50" s="79" t="str">
        <f>+IFERROR(VLOOKUP(CONCATENATE(A50,$B$10,B50),'ID1&amp;5'!B:J,9,FALSE),"-")</f>
        <v>-</v>
      </c>
      <c r="N50" s="79" t="str">
        <f>+IFERROR(VLOOKUP(CONCATENATE(A50,$C$10,C50),'ID1&amp;5'!B:J,8,FALSE),"-")</f>
        <v>-</v>
      </c>
      <c r="O50" s="78" t="str">
        <f>+IFERROR(VLOOKUP(C50,'ID1&amp;5'!K:L,2,FALSE),"-")</f>
        <v>-</v>
      </c>
      <c r="P50" s="79" t="str">
        <f>+IFERROR(VLOOKUP(CONCATENATE(A50,$C$10,C50),'ID1&amp;5'!B:J,9,FALSE),"-")</f>
        <v>-</v>
      </c>
      <c r="Q50" s="78" t="str">
        <f>+IFERROR(VLOOKUP(D50,'ID1&amp;5'!K:L,2,FALSE),"-")</f>
        <v>-</v>
      </c>
      <c r="R50" s="26" t="str">
        <f>+IFERROR(VLOOKUP(CONCATENATE(A50,$D$10,D50),'ID1&amp;5'!B:J,9,FALSE),"-")</f>
        <v>-</v>
      </c>
      <c r="S50" s="78" t="str">
        <f>+IFERROR(VLOOKUP(E50,'ID1&amp;5'!K:L,2,FALSE),"-")</f>
        <v>-</v>
      </c>
      <c r="T50" s="79" t="str">
        <f>+IFERROR(VLOOKUP(CONCATENATE(A50,$E$10,E50),'ID1&amp;5'!B:J,9,FALSE),"-")</f>
        <v>-</v>
      </c>
      <c r="U50" s="78" t="str">
        <f>+IFERROR(VLOOKUP(F50,'ID1&amp;5'!K:L,2,FALSE),"-")</f>
        <v>-</v>
      </c>
      <c r="V50" s="79" t="str">
        <f>+IFERROR(VLOOKUP(CONCATENATE(A50,$F$10,F50),'ID1&amp;5'!B:J,9,FALSE),"-")</f>
        <v>-</v>
      </c>
      <c r="W50" s="26" t="str">
        <f>+IFERROR(VLOOKUP(A50,'ID6&amp;7'!A:I,9,FALSE),"-")</f>
        <v>-</v>
      </c>
      <c r="X50" s="26" t="str">
        <f>+IFERROR(VLOOKUP(A50,'ID6&amp;7'!A:J,10,FALSE),"-")</f>
        <v>-</v>
      </c>
      <c r="Y50" s="26"/>
      <c r="Z50" s="27" t="str">
        <f t="shared" si="1"/>
        <v>Por iniciar</v>
      </c>
    </row>
    <row r="51" spans="1:27">
      <c r="A51" s="20" t="str">
        <f t="shared" si="0"/>
        <v>UNIV_OPERvalor_bruto_off45991</v>
      </c>
      <c r="B51" s="66">
        <f t="array" ref="B51">+MAX(IF('ID1&amp;5'!A:A='1. Status'!A51&amp;'1. Status'!$B$10,'ID1&amp;5'!K:K))</f>
        <v>0</v>
      </c>
      <c r="C51" s="60">
        <f t="array" ref="C51">+MAX(IF('ID1&amp;5'!A:A='1. Status'!A51&amp;'1. Status'!$C$10,'ID1&amp;5'!K:K))</f>
        <v>0</v>
      </c>
      <c r="D51" s="60">
        <f t="array" ref="D51">+MAX(IF('ID1&amp;5'!A:A='1. Status'!A51&amp;'1. Status'!$D$10,'ID1&amp;5'!K:K))</f>
        <v>0</v>
      </c>
      <c r="E51" s="60">
        <f t="array" ref="E51">+MAX(IF('ID1&amp;5'!A:A='1. Status'!A51&amp;'1. Status'!$E$10,'ID1&amp;5'!K:K))</f>
        <v>0</v>
      </c>
      <c r="F51" s="67">
        <f t="array" ref="F51">+MAX(IF('ID1&amp;5'!A:A='1. Status'!A51&amp;'1. Status'!$F$10,'ID1&amp;5'!K:K))</f>
        <v>0</v>
      </c>
      <c r="G51" s="60"/>
      <c r="H51" s="65" t="s">
        <v>1092</v>
      </c>
      <c r="I51" s="21" t="s">
        <v>1133</v>
      </c>
      <c r="J51" s="26">
        <f>+COUNTIF('ID1&amp;5'!G:G,'1. Status'!I51)</f>
        <v>0</v>
      </c>
      <c r="K51" s="79" t="str">
        <f>+IFERROR(VLOOKUP(CONCATENATE(A51,$B$10,B51),'ID1&amp;5'!B:J,8,FALSE),"-")</f>
        <v>-</v>
      </c>
      <c r="L51" s="78" t="str">
        <f>+IFERROR(VLOOKUP(B51,'ID1&amp;5'!K:L,2,FALSE),"-")</f>
        <v>-</v>
      </c>
      <c r="M51" s="79" t="str">
        <f>+IFERROR(VLOOKUP(CONCATENATE(A51,$B$10,B51),'ID1&amp;5'!B:J,9,FALSE),"-")</f>
        <v>-</v>
      </c>
      <c r="N51" s="79" t="str">
        <f>+IFERROR(VLOOKUP(CONCATENATE(A51,$C$10,C51),'ID1&amp;5'!B:J,8,FALSE),"-")</f>
        <v>-</v>
      </c>
      <c r="O51" s="78" t="str">
        <f>+IFERROR(VLOOKUP(C51,'ID1&amp;5'!K:L,2,FALSE),"-")</f>
        <v>-</v>
      </c>
      <c r="P51" s="79" t="str">
        <f>+IFERROR(VLOOKUP(CONCATENATE(A51,$C$10,C51),'ID1&amp;5'!B:J,9,FALSE),"-")</f>
        <v>-</v>
      </c>
      <c r="Q51" s="78" t="str">
        <f>+IFERROR(VLOOKUP(D51,'ID1&amp;5'!K:L,2,FALSE),"-")</f>
        <v>-</v>
      </c>
      <c r="R51" s="26" t="str">
        <f>+IFERROR(VLOOKUP(CONCATENATE(A51,$D$10,D51),'ID1&amp;5'!B:J,9,FALSE),"-")</f>
        <v>-</v>
      </c>
      <c r="S51" s="78" t="str">
        <f>+IFERROR(VLOOKUP(E51,'ID1&amp;5'!K:L,2,FALSE),"-")</f>
        <v>-</v>
      </c>
      <c r="T51" s="79" t="str">
        <f>+IFERROR(VLOOKUP(CONCATENATE(A51,$E$10,E51),'ID1&amp;5'!B:J,9,FALSE),"-")</f>
        <v>-</v>
      </c>
      <c r="U51" s="78" t="str">
        <f>+IFERROR(VLOOKUP(F51,'ID1&amp;5'!K:L,2,FALSE),"-")</f>
        <v>-</v>
      </c>
      <c r="V51" s="79" t="str">
        <f>+IFERROR(VLOOKUP(CONCATENATE(A51,$F$10,F51),'ID1&amp;5'!B:J,9,FALSE),"-")</f>
        <v>-</v>
      </c>
      <c r="W51" s="26" t="str">
        <f>+IFERROR(VLOOKUP(A51,'ID6&amp;7'!A:I,9,FALSE),"-")</f>
        <v>-</v>
      </c>
      <c r="X51" s="26" t="str">
        <f>+IFERROR(VLOOKUP(A51,'ID6&amp;7'!A:J,10,FALSE),"-")</f>
        <v>-</v>
      </c>
      <c r="Y51" s="26"/>
      <c r="Z51" s="27" t="str">
        <f t="shared" si="1"/>
        <v>Por iniciar</v>
      </c>
    </row>
    <row r="52" spans="1:27">
      <c r="A52" s="20" t="str">
        <f t="shared" si="0"/>
        <v>UNIV_OPERprovisao_on45991</v>
      </c>
      <c r="B52" s="66">
        <f t="array" ref="B52">+MAX(IF('ID1&amp;5'!A:A='1. Status'!A52&amp;'1. Status'!$B$10,'ID1&amp;5'!K:K))</f>
        <v>0</v>
      </c>
      <c r="C52" s="60">
        <f t="array" ref="C52">+MAX(IF('ID1&amp;5'!A:A='1. Status'!A52&amp;'1. Status'!$C$10,'ID1&amp;5'!K:K))</f>
        <v>0</v>
      </c>
      <c r="D52" s="60">
        <f t="array" ref="D52">+MAX(IF('ID1&amp;5'!A:A='1. Status'!A52&amp;'1. Status'!$D$10,'ID1&amp;5'!K:K))</f>
        <v>0</v>
      </c>
      <c r="E52" s="60">
        <f t="array" ref="E52">+MAX(IF('ID1&amp;5'!A:A='1. Status'!A52&amp;'1. Status'!$E$10,'ID1&amp;5'!K:K))</f>
        <v>0</v>
      </c>
      <c r="F52" s="67">
        <f t="array" ref="F52">+MAX(IF('ID1&amp;5'!A:A='1. Status'!A52&amp;'1. Status'!$F$10,'ID1&amp;5'!K:K))</f>
        <v>0</v>
      </c>
      <c r="G52" s="60"/>
      <c r="H52" s="65" t="s">
        <v>1092</v>
      </c>
      <c r="I52" s="21" t="s">
        <v>1134</v>
      </c>
      <c r="J52" s="26">
        <f>+COUNTIF('ID1&amp;5'!G:G,'1. Status'!I52)</f>
        <v>0</v>
      </c>
      <c r="K52" s="79" t="str">
        <f>+IFERROR(VLOOKUP(CONCATENATE(A52,$B$10,B52),'ID1&amp;5'!B:J,8,FALSE),"-")</f>
        <v>-</v>
      </c>
      <c r="L52" s="78" t="str">
        <f>+IFERROR(VLOOKUP(B52,'ID1&amp;5'!K:L,2,FALSE),"-")</f>
        <v>-</v>
      </c>
      <c r="M52" s="79" t="str">
        <f>+IFERROR(VLOOKUP(CONCATENATE(A52,$B$10,B52),'ID1&amp;5'!B:J,9,FALSE),"-")</f>
        <v>-</v>
      </c>
      <c r="N52" s="79" t="str">
        <f>+IFERROR(VLOOKUP(CONCATENATE(A52,$C$10,C52),'ID1&amp;5'!B:J,8,FALSE),"-")</f>
        <v>-</v>
      </c>
      <c r="O52" s="78" t="str">
        <f>+IFERROR(VLOOKUP(C52,'ID1&amp;5'!K:L,2,FALSE),"-")</f>
        <v>-</v>
      </c>
      <c r="P52" s="79" t="str">
        <f>+IFERROR(VLOOKUP(CONCATENATE(A52,$C$10,C52),'ID1&amp;5'!B:J,9,FALSE),"-")</f>
        <v>-</v>
      </c>
      <c r="Q52" s="78" t="str">
        <f>+IFERROR(VLOOKUP(D52,'ID1&amp;5'!K:L,2,FALSE),"-")</f>
        <v>-</v>
      </c>
      <c r="R52" s="26" t="str">
        <f>+IFERROR(VLOOKUP(CONCATENATE(A52,$D$10,D52),'ID1&amp;5'!B:J,9,FALSE),"-")</f>
        <v>-</v>
      </c>
      <c r="S52" s="78" t="str">
        <f>+IFERROR(VLOOKUP(E52,'ID1&amp;5'!K:L,2,FALSE),"-")</f>
        <v>-</v>
      </c>
      <c r="T52" s="79" t="str">
        <f>+IFERROR(VLOOKUP(CONCATENATE(A52,$E$10,E52),'ID1&amp;5'!B:J,9,FALSE),"-")</f>
        <v>-</v>
      </c>
      <c r="U52" s="78" t="str">
        <f>+IFERROR(VLOOKUP(F52,'ID1&amp;5'!K:L,2,FALSE),"-")</f>
        <v>-</v>
      </c>
      <c r="V52" s="79" t="str">
        <f>+IFERROR(VLOOKUP(CONCATENATE(A52,$F$10,F52),'ID1&amp;5'!B:J,9,FALSE),"-")</f>
        <v>-</v>
      </c>
      <c r="W52" s="26" t="str">
        <f>+IFERROR(VLOOKUP(A52,'ID6&amp;7'!A:I,9,FALSE),"-")</f>
        <v>-</v>
      </c>
      <c r="X52" s="26" t="str">
        <f>+IFERROR(VLOOKUP(A52,'ID6&amp;7'!A:J,10,FALSE),"-")</f>
        <v>-</v>
      </c>
      <c r="Y52" s="26"/>
      <c r="Z52" s="27" t="str">
        <f t="shared" si="1"/>
        <v>Por iniciar</v>
      </c>
    </row>
    <row r="53" spans="1:27">
      <c r="A53" s="20" t="str">
        <f t="shared" si="0"/>
        <v>UNIV_OPERprovisao_off45991</v>
      </c>
      <c r="B53" s="66">
        <f t="array" ref="B53">+MAX(IF('ID1&amp;5'!A:A='1. Status'!A53&amp;'1. Status'!$B$10,'ID1&amp;5'!K:K))</f>
        <v>0</v>
      </c>
      <c r="C53" s="60">
        <f t="array" ref="C53">+MAX(IF('ID1&amp;5'!A:A='1. Status'!A53&amp;'1. Status'!$C$10,'ID1&amp;5'!K:K))</f>
        <v>0</v>
      </c>
      <c r="D53" s="60">
        <f t="array" ref="D53">+MAX(IF('ID1&amp;5'!A:A='1. Status'!A53&amp;'1. Status'!$D$10,'ID1&amp;5'!K:K))</f>
        <v>0</v>
      </c>
      <c r="E53" s="60">
        <f t="array" ref="E53">+MAX(IF('ID1&amp;5'!A:A='1. Status'!A53&amp;'1. Status'!$E$10,'ID1&amp;5'!K:K))</f>
        <v>0</v>
      </c>
      <c r="F53" s="67">
        <f t="array" ref="F53">+MAX(IF('ID1&amp;5'!A:A='1. Status'!A53&amp;'1. Status'!$F$10,'ID1&amp;5'!K:K))</f>
        <v>0</v>
      </c>
      <c r="G53" s="60"/>
      <c r="H53" s="65" t="s">
        <v>1092</v>
      </c>
      <c r="I53" s="21" t="s">
        <v>1135</v>
      </c>
      <c r="J53" s="26">
        <f>+COUNTIF('ID1&amp;5'!G:G,'1. Status'!I53)</f>
        <v>0</v>
      </c>
      <c r="K53" s="79" t="str">
        <f>+IFERROR(VLOOKUP(CONCATENATE(A53,$B$10,B53),'ID1&amp;5'!B:J,8,FALSE),"-")</f>
        <v>-</v>
      </c>
      <c r="L53" s="78" t="str">
        <f>+IFERROR(VLOOKUP(B53,'ID1&amp;5'!K:L,2,FALSE),"-")</f>
        <v>-</v>
      </c>
      <c r="M53" s="79" t="str">
        <f>+IFERROR(VLOOKUP(CONCATENATE(A53,$B$10,B53),'ID1&amp;5'!B:J,9,FALSE),"-")</f>
        <v>-</v>
      </c>
      <c r="N53" s="79" t="str">
        <f>+IFERROR(VLOOKUP(CONCATENATE(A53,$C$10,C53),'ID1&amp;5'!B:J,8,FALSE),"-")</f>
        <v>-</v>
      </c>
      <c r="O53" s="78" t="str">
        <f>+IFERROR(VLOOKUP(C53,'ID1&amp;5'!K:L,2,FALSE),"-")</f>
        <v>-</v>
      </c>
      <c r="P53" s="79" t="str">
        <f>+IFERROR(VLOOKUP(CONCATENATE(A53,$C$10,C53),'ID1&amp;5'!B:J,9,FALSE),"-")</f>
        <v>-</v>
      </c>
      <c r="Q53" s="78" t="str">
        <f>+IFERROR(VLOOKUP(D53,'ID1&amp;5'!K:L,2,FALSE),"-")</f>
        <v>-</v>
      </c>
      <c r="R53" s="26" t="str">
        <f>+IFERROR(VLOOKUP(CONCATENATE(A53,$D$10,D53),'ID1&amp;5'!B:J,9,FALSE),"-")</f>
        <v>-</v>
      </c>
      <c r="S53" s="78" t="str">
        <f>+IFERROR(VLOOKUP(E53,'ID1&amp;5'!K:L,2,FALSE),"-")</f>
        <v>-</v>
      </c>
      <c r="T53" s="79" t="str">
        <f>+IFERROR(VLOOKUP(CONCATENATE(A53,$E$10,E53),'ID1&amp;5'!B:J,9,FALSE),"-")</f>
        <v>-</v>
      </c>
      <c r="U53" s="78" t="str">
        <f>+IFERROR(VLOOKUP(F53,'ID1&amp;5'!K:L,2,FALSE),"-")</f>
        <v>-</v>
      </c>
      <c r="V53" s="79" t="str">
        <f>+IFERROR(VLOOKUP(CONCATENATE(A53,$F$10,F53),'ID1&amp;5'!B:J,9,FALSE),"-")</f>
        <v>-</v>
      </c>
      <c r="W53" s="26" t="str">
        <f>+IFERROR(VLOOKUP(A53,'ID6&amp;7'!A:I,9,FALSE),"-")</f>
        <v>-</v>
      </c>
      <c r="X53" s="26" t="str">
        <f>+IFERROR(VLOOKUP(A53,'ID6&amp;7'!A:J,10,FALSE),"-")</f>
        <v>-</v>
      </c>
      <c r="Y53" s="26"/>
      <c r="Z53" s="27" t="str">
        <f t="shared" si="1"/>
        <v>Por iniciar</v>
      </c>
    </row>
    <row r="54" spans="1:27">
      <c r="A54" s="20" t="str">
        <f t="shared" si="0"/>
        <v>UNIV_OPERvalor_bruto_on_prvs45991</v>
      </c>
      <c r="B54" s="66">
        <f t="array" ref="B54">+MAX(IF('ID1&amp;5'!A:A='1. Status'!A54&amp;'1. Status'!$B$10,'ID1&amp;5'!K:K))</f>
        <v>0</v>
      </c>
      <c r="C54" s="60">
        <f t="array" ref="C54">+MAX(IF('ID1&amp;5'!A:A='1. Status'!A54&amp;'1. Status'!$C$10,'ID1&amp;5'!K:K))</f>
        <v>0</v>
      </c>
      <c r="D54" s="60">
        <f t="array" ref="D54">+MAX(IF('ID1&amp;5'!A:A='1. Status'!A54&amp;'1. Status'!$D$10,'ID1&amp;5'!K:K))</f>
        <v>0</v>
      </c>
      <c r="E54" s="60">
        <f t="array" ref="E54">+MAX(IF('ID1&amp;5'!A:A='1. Status'!A54&amp;'1. Status'!$E$10,'ID1&amp;5'!K:K))</f>
        <v>0</v>
      </c>
      <c r="F54" s="67">
        <f t="array" ref="F54">+MAX(IF('ID1&amp;5'!A:A='1. Status'!A54&amp;'1. Status'!$F$10,'ID1&amp;5'!K:K))</f>
        <v>0</v>
      </c>
      <c r="G54" s="60"/>
      <c r="H54" s="65" t="s">
        <v>1092</v>
      </c>
      <c r="I54" s="21" t="s">
        <v>1136</v>
      </c>
      <c r="J54" s="26">
        <f>+COUNTIF('ID1&amp;5'!G:G,'1. Status'!I54)</f>
        <v>0</v>
      </c>
      <c r="K54" s="79" t="str">
        <f>+IFERROR(VLOOKUP(CONCATENATE(A54,$B$10,B54),'ID1&amp;5'!B:J,8,FALSE),"-")</f>
        <v>-</v>
      </c>
      <c r="L54" s="78" t="str">
        <f>+IFERROR(VLOOKUP(B54,'ID1&amp;5'!K:L,2,FALSE),"-")</f>
        <v>-</v>
      </c>
      <c r="M54" s="79" t="str">
        <f>+IFERROR(VLOOKUP(CONCATENATE(A54,$B$10,B54),'ID1&amp;5'!B:J,9,FALSE),"-")</f>
        <v>-</v>
      </c>
      <c r="N54" s="79" t="str">
        <f>+IFERROR(VLOOKUP(CONCATENATE(A54,$C$10,C54),'ID1&amp;5'!B:J,8,FALSE),"-")</f>
        <v>-</v>
      </c>
      <c r="O54" s="78" t="str">
        <f>+IFERROR(VLOOKUP(C54,'ID1&amp;5'!K:L,2,FALSE),"-")</f>
        <v>-</v>
      </c>
      <c r="P54" s="79" t="str">
        <f>+IFERROR(VLOOKUP(CONCATENATE(A54,$C$10,C54),'ID1&amp;5'!B:J,9,FALSE),"-")</f>
        <v>-</v>
      </c>
      <c r="Q54" s="78" t="str">
        <f>+IFERROR(VLOOKUP(D54,'ID1&amp;5'!K:L,2,FALSE),"-")</f>
        <v>-</v>
      </c>
      <c r="R54" s="26" t="str">
        <f>+IFERROR(VLOOKUP(CONCATENATE(A54,$D$10,D54),'ID1&amp;5'!B:J,9,FALSE),"-")</f>
        <v>-</v>
      </c>
      <c r="S54" s="78" t="str">
        <f>+IFERROR(VLOOKUP(E54,'ID1&amp;5'!K:L,2,FALSE),"-")</f>
        <v>-</v>
      </c>
      <c r="T54" s="79" t="str">
        <f>+IFERROR(VLOOKUP(CONCATENATE(A54,$E$10,E54),'ID1&amp;5'!B:J,9,FALSE),"-")</f>
        <v>-</v>
      </c>
      <c r="U54" s="78" t="str">
        <f>+IFERROR(VLOOKUP(F54,'ID1&amp;5'!K:L,2,FALSE),"-")</f>
        <v>-</v>
      </c>
      <c r="V54" s="79" t="str">
        <f>+IFERROR(VLOOKUP(CONCATENATE(A54,$F$10,F54),'ID1&amp;5'!B:J,9,FALSE),"-")</f>
        <v>-</v>
      </c>
      <c r="W54" s="26" t="str">
        <f>+IFERROR(VLOOKUP(A54,'ID6&amp;7'!A:I,9,FALSE),"-")</f>
        <v>-</v>
      </c>
      <c r="X54" s="26" t="str">
        <f>+IFERROR(VLOOKUP(A54,'ID6&amp;7'!A:J,10,FALSE),"-")</f>
        <v>-</v>
      </c>
      <c r="Y54" s="26"/>
      <c r="Z54" s="27" t="str">
        <f t="shared" si="1"/>
        <v>Por iniciar</v>
      </c>
    </row>
    <row r="55" spans="1:27">
      <c r="A55" s="20" t="str">
        <f t="shared" si="0"/>
        <v>UNIV_OPERvalor_bruto_off_prvs45991</v>
      </c>
      <c r="B55" s="66">
        <f t="array" ref="B55">+MAX(IF('ID1&amp;5'!A:A='1. Status'!A55&amp;'1. Status'!$B$10,'ID1&amp;5'!K:K))</f>
        <v>0</v>
      </c>
      <c r="C55" s="60">
        <f t="array" ref="C55">+MAX(IF('ID1&amp;5'!A:A='1. Status'!A55&amp;'1. Status'!$C$10,'ID1&amp;5'!K:K))</f>
        <v>0</v>
      </c>
      <c r="D55" s="60">
        <f t="array" ref="D55">+MAX(IF('ID1&amp;5'!A:A='1. Status'!A55&amp;'1. Status'!$D$10,'ID1&amp;5'!K:K))</f>
        <v>0</v>
      </c>
      <c r="E55" s="60">
        <f t="array" ref="E55">+MAX(IF('ID1&amp;5'!A:A='1. Status'!A55&amp;'1. Status'!$E$10,'ID1&amp;5'!K:K))</f>
        <v>0</v>
      </c>
      <c r="F55" s="67">
        <f t="array" ref="F55">+MAX(IF('ID1&amp;5'!A:A='1. Status'!A55&amp;'1. Status'!$F$10,'ID1&amp;5'!K:K))</f>
        <v>0</v>
      </c>
      <c r="G55" s="60"/>
      <c r="H55" s="65" t="s">
        <v>1092</v>
      </c>
      <c r="I55" s="21" t="s">
        <v>1137</v>
      </c>
      <c r="J55" s="26">
        <f>+COUNTIF('ID1&amp;5'!G:G,'1. Status'!I55)</f>
        <v>0</v>
      </c>
      <c r="K55" s="79" t="str">
        <f>+IFERROR(VLOOKUP(CONCATENATE(A55,$B$10,B55),'ID1&amp;5'!B:J,8,FALSE),"-")</f>
        <v>-</v>
      </c>
      <c r="L55" s="78" t="str">
        <f>+IFERROR(VLOOKUP(B55,'ID1&amp;5'!K:L,2,FALSE),"-")</f>
        <v>-</v>
      </c>
      <c r="M55" s="79" t="str">
        <f>+IFERROR(VLOOKUP(CONCATENATE(A55,$B$10,B55),'ID1&amp;5'!B:J,9,FALSE),"-")</f>
        <v>-</v>
      </c>
      <c r="N55" s="79" t="str">
        <f>+IFERROR(VLOOKUP(CONCATENATE(A55,$C$10,C55),'ID1&amp;5'!B:J,8,FALSE),"-")</f>
        <v>-</v>
      </c>
      <c r="O55" s="78" t="str">
        <f>+IFERROR(VLOOKUP(C55,'ID1&amp;5'!K:L,2,FALSE),"-")</f>
        <v>-</v>
      </c>
      <c r="P55" s="79" t="str">
        <f>+IFERROR(VLOOKUP(CONCATENATE(A55,$C$10,C55),'ID1&amp;5'!B:J,9,FALSE),"-")</f>
        <v>-</v>
      </c>
      <c r="Q55" s="78" t="str">
        <f>+IFERROR(VLOOKUP(D55,'ID1&amp;5'!K:L,2,FALSE),"-")</f>
        <v>-</v>
      </c>
      <c r="R55" s="26" t="str">
        <f>+IFERROR(VLOOKUP(CONCATENATE(A55,$D$10,D55),'ID1&amp;5'!B:J,9,FALSE),"-")</f>
        <v>-</v>
      </c>
      <c r="S55" s="78" t="str">
        <f>+IFERROR(VLOOKUP(E55,'ID1&amp;5'!K:L,2,FALSE),"-")</f>
        <v>-</v>
      </c>
      <c r="T55" s="79" t="str">
        <f>+IFERROR(VLOOKUP(CONCATENATE(A55,$E$10,E55),'ID1&amp;5'!B:J,9,FALSE),"-")</f>
        <v>-</v>
      </c>
      <c r="U55" s="78" t="str">
        <f>+IFERROR(VLOOKUP(F55,'ID1&amp;5'!K:L,2,FALSE),"-")</f>
        <v>-</v>
      </c>
      <c r="V55" s="79" t="str">
        <f>+IFERROR(VLOOKUP(CONCATENATE(A55,$F$10,F55),'ID1&amp;5'!B:J,9,FALSE),"-")</f>
        <v>-</v>
      </c>
      <c r="W55" s="26" t="str">
        <f>+IFERROR(VLOOKUP(A55,'ID6&amp;7'!A:I,9,FALSE),"-")</f>
        <v>-</v>
      </c>
      <c r="X55" s="26" t="str">
        <f>+IFERROR(VLOOKUP(A55,'ID6&amp;7'!A:J,10,FALSE),"-")</f>
        <v>-</v>
      </c>
      <c r="Y55" s="26"/>
      <c r="Z55" s="27" t="str">
        <f t="shared" si="1"/>
        <v>Por iniciar</v>
      </c>
    </row>
    <row r="56" spans="1:27">
      <c r="A56" s="20" t="str">
        <f t="shared" si="0"/>
        <v>UNIV_OPERprovisao_on_prvs45991</v>
      </c>
      <c r="B56" s="66">
        <f t="array" ref="B56">+MAX(IF('ID1&amp;5'!A:A='1. Status'!A56&amp;'1. Status'!$B$10,'ID1&amp;5'!K:K))</f>
        <v>0</v>
      </c>
      <c r="C56" s="60">
        <f t="array" ref="C56">+MAX(IF('ID1&amp;5'!A:A='1. Status'!A56&amp;'1. Status'!$C$10,'ID1&amp;5'!K:K))</f>
        <v>0</v>
      </c>
      <c r="D56" s="60">
        <f t="array" ref="D56">+MAX(IF('ID1&amp;5'!A:A='1. Status'!A56&amp;'1. Status'!$D$10,'ID1&amp;5'!K:K))</f>
        <v>0</v>
      </c>
      <c r="E56" s="60">
        <f t="array" ref="E56">+MAX(IF('ID1&amp;5'!A:A='1. Status'!A56&amp;'1. Status'!$E$10,'ID1&amp;5'!K:K))</f>
        <v>0</v>
      </c>
      <c r="F56" s="67">
        <f t="array" ref="F56">+MAX(IF('ID1&amp;5'!A:A='1. Status'!A56&amp;'1. Status'!$F$10,'ID1&amp;5'!K:K))</f>
        <v>0</v>
      </c>
      <c r="G56" s="60"/>
      <c r="H56" s="65" t="s">
        <v>1092</v>
      </c>
      <c r="I56" s="21" t="s">
        <v>1138</v>
      </c>
      <c r="J56" s="26">
        <f>+COUNTIF('ID1&amp;5'!G:G,'1. Status'!I56)</f>
        <v>0</v>
      </c>
      <c r="K56" s="79" t="str">
        <f>+IFERROR(VLOOKUP(CONCATENATE(A56,$B$10,B56),'ID1&amp;5'!B:J,8,FALSE),"-")</f>
        <v>-</v>
      </c>
      <c r="L56" s="78" t="str">
        <f>+IFERROR(VLOOKUP(B56,'ID1&amp;5'!K:L,2,FALSE),"-")</f>
        <v>-</v>
      </c>
      <c r="M56" s="79" t="str">
        <f>+IFERROR(VLOOKUP(CONCATENATE(A56,$B$10,B56),'ID1&amp;5'!B:J,9,FALSE),"-")</f>
        <v>-</v>
      </c>
      <c r="N56" s="79" t="str">
        <f>+IFERROR(VLOOKUP(CONCATENATE(A56,$C$10,C56),'ID1&amp;5'!B:J,8,FALSE),"-")</f>
        <v>-</v>
      </c>
      <c r="O56" s="78" t="str">
        <f>+IFERROR(VLOOKUP(C56,'ID1&amp;5'!K:L,2,FALSE),"-")</f>
        <v>-</v>
      </c>
      <c r="P56" s="79" t="str">
        <f>+IFERROR(VLOOKUP(CONCATENATE(A56,$C$10,C56),'ID1&amp;5'!B:J,9,FALSE),"-")</f>
        <v>-</v>
      </c>
      <c r="Q56" s="78" t="str">
        <f>+IFERROR(VLOOKUP(D56,'ID1&amp;5'!K:L,2,FALSE),"-")</f>
        <v>-</v>
      </c>
      <c r="R56" s="26" t="str">
        <f>+IFERROR(VLOOKUP(CONCATENATE(A56,$D$10,D56),'ID1&amp;5'!B:J,9,FALSE),"-")</f>
        <v>-</v>
      </c>
      <c r="S56" s="78" t="str">
        <f>+IFERROR(VLOOKUP(E56,'ID1&amp;5'!K:L,2,FALSE),"-")</f>
        <v>-</v>
      </c>
      <c r="T56" s="79" t="str">
        <f>+IFERROR(VLOOKUP(CONCATENATE(A56,$E$10,E56),'ID1&amp;5'!B:J,9,FALSE),"-")</f>
        <v>-</v>
      </c>
      <c r="U56" s="78" t="str">
        <f>+IFERROR(VLOOKUP(F56,'ID1&amp;5'!K:L,2,FALSE),"-")</f>
        <v>-</v>
      </c>
      <c r="V56" s="79" t="str">
        <f>+IFERROR(VLOOKUP(CONCATENATE(A56,$F$10,F56),'ID1&amp;5'!B:J,9,FALSE),"-")</f>
        <v>-</v>
      </c>
      <c r="W56" s="26" t="str">
        <f>+IFERROR(VLOOKUP(A56,'ID6&amp;7'!A:I,9,FALSE),"-")</f>
        <v>-</v>
      </c>
      <c r="X56" s="26" t="str">
        <f>+IFERROR(VLOOKUP(A56,'ID6&amp;7'!A:J,10,FALSE),"-")</f>
        <v>-</v>
      </c>
      <c r="Y56" s="26"/>
      <c r="Z56" s="27" t="str">
        <f t="shared" si="1"/>
        <v>Por iniciar</v>
      </c>
    </row>
    <row r="57" spans="1:27">
      <c r="A57" s="20" t="str">
        <f t="shared" si="0"/>
        <v>UNIV_OPERprovisao_off_prvs45991</v>
      </c>
      <c r="B57" s="66">
        <f t="array" ref="B57">+MAX(IF('ID1&amp;5'!A:A='1. Status'!A57&amp;'1. Status'!$B$10,'ID1&amp;5'!K:K))</f>
        <v>0</v>
      </c>
      <c r="C57" s="60">
        <f t="array" ref="C57">+MAX(IF('ID1&amp;5'!A:A='1. Status'!A57&amp;'1. Status'!$C$10,'ID1&amp;5'!K:K))</f>
        <v>0</v>
      </c>
      <c r="D57" s="60">
        <f t="array" ref="D57">+MAX(IF('ID1&amp;5'!A:A='1. Status'!A57&amp;'1. Status'!$D$10,'ID1&amp;5'!K:K))</f>
        <v>0</v>
      </c>
      <c r="E57" s="60">
        <f t="array" ref="E57">+MAX(IF('ID1&amp;5'!A:A='1. Status'!A57&amp;'1. Status'!$E$10,'ID1&amp;5'!K:K))</f>
        <v>0</v>
      </c>
      <c r="F57" s="67">
        <f t="array" ref="F57">+MAX(IF('ID1&amp;5'!A:A='1. Status'!A57&amp;'1. Status'!$F$10,'ID1&amp;5'!K:K))</f>
        <v>0</v>
      </c>
      <c r="G57" s="60"/>
      <c r="H57" s="65" t="s">
        <v>1092</v>
      </c>
      <c r="I57" s="21" t="s">
        <v>1139</v>
      </c>
      <c r="J57" s="26">
        <f>+COUNTIF('ID1&amp;5'!G:G,'1. Status'!I57)</f>
        <v>0</v>
      </c>
      <c r="K57" s="79" t="str">
        <f>+IFERROR(VLOOKUP(CONCATENATE(A57,$B$10,B57),'ID1&amp;5'!B:J,8,FALSE),"-")</f>
        <v>-</v>
      </c>
      <c r="L57" s="78" t="str">
        <f>+IFERROR(VLOOKUP(B57,'ID1&amp;5'!K:L,2,FALSE),"-")</f>
        <v>-</v>
      </c>
      <c r="M57" s="79" t="str">
        <f>+IFERROR(VLOOKUP(CONCATENATE(A57,$B$10,B57),'ID1&amp;5'!B:J,9,FALSE),"-")</f>
        <v>-</v>
      </c>
      <c r="N57" s="79" t="str">
        <f>+IFERROR(VLOOKUP(CONCATENATE(A57,$C$10,C57),'ID1&amp;5'!B:J,8,FALSE),"-")</f>
        <v>-</v>
      </c>
      <c r="O57" s="78" t="str">
        <f>+IFERROR(VLOOKUP(C57,'ID1&amp;5'!K:L,2,FALSE),"-")</f>
        <v>-</v>
      </c>
      <c r="P57" s="79" t="str">
        <f>+IFERROR(VLOOKUP(CONCATENATE(A57,$C$10,C57),'ID1&amp;5'!B:J,9,FALSE),"-")</f>
        <v>-</v>
      </c>
      <c r="Q57" s="78" t="str">
        <f>+IFERROR(VLOOKUP(D57,'ID1&amp;5'!K:L,2,FALSE),"-")</f>
        <v>-</v>
      </c>
      <c r="R57" s="26" t="str">
        <f>+IFERROR(VLOOKUP(CONCATENATE(A57,$D$10,D57),'ID1&amp;5'!B:J,9,FALSE),"-")</f>
        <v>-</v>
      </c>
      <c r="S57" s="78" t="str">
        <f>+IFERROR(VLOOKUP(E57,'ID1&amp;5'!K:L,2,FALSE),"-")</f>
        <v>-</v>
      </c>
      <c r="T57" s="79" t="str">
        <f>+IFERROR(VLOOKUP(CONCATENATE(A57,$E$10,E57),'ID1&amp;5'!B:J,9,FALSE),"-")</f>
        <v>-</v>
      </c>
      <c r="U57" s="78" t="str">
        <f>+IFERROR(VLOOKUP(F57,'ID1&amp;5'!K:L,2,FALSE),"-")</f>
        <v>-</v>
      </c>
      <c r="V57" s="79" t="str">
        <f>+IFERROR(VLOOKUP(CONCATENATE(A57,$F$10,F57),'ID1&amp;5'!B:J,9,FALSE),"-")</f>
        <v>-</v>
      </c>
      <c r="W57" s="26" t="str">
        <f>+IFERROR(VLOOKUP(A57,'ID6&amp;7'!A:I,9,FALSE),"-")</f>
        <v>-</v>
      </c>
      <c r="X57" s="26" t="str">
        <f>+IFERROR(VLOOKUP(A57,'ID6&amp;7'!A:J,10,FALSE),"-")</f>
        <v>-</v>
      </c>
      <c r="Y57" s="26"/>
      <c r="Z57" s="27" t="str">
        <f t="shared" si="1"/>
        <v>Por iniciar</v>
      </c>
    </row>
    <row r="58" spans="1:27">
      <c r="A58" s="20" t="str">
        <f t="shared" si="0"/>
        <v>UNIV_OPERjuros_corridos45991</v>
      </c>
      <c r="B58" s="66">
        <f t="array" ref="B58">+MAX(IF('ID1&amp;5'!A:A='1. Status'!A58&amp;'1. Status'!$B$10,'ID1&amp;5'!K:K))</f>
        <v>0</v>
      </c>
      <c r="C58" s="60">
        <f t="array" ref="C58">+MAX(IF('ID1&amp;5'!A:A='1. Status'!A58&amp;'1. Status'!$C$10,'ID1&amp;5'!K:K))</f>
        <v>0</v>
      </c>
      <c r="D58" s="60">
        <f t="array" ref="D58">+MAX(IF('ID1&amp;5'!A:A='1. Status'!A58&amp;'1. Status'!$D$10,'ID1&amp;5'!K:K))</f>
        <v>0</v>
      </c>
      <c r="E58" s="60">
        <f t="array" ref="E58">+MAX(IF('ID1&amp;5'!A:A='1. Status'!A58&amp;'1. Status'!$E$10,'ID1&amp;5'!K:K))</f>
        <v>0</v>
      </c>
      <c r="F58" s="67">
        <f t="array" ref="F58">+MAX(IF('ID1&amp;5'!A:A='1. Status'!A58&amp;'1. Status'!$F$10,'ID1&amp;5'!K:K))</f>
        <v>0</v>
      </c>
      <c r="G58" s="60"/>
      <c r="H58" s="65" t="s">
        <v>1092</v>
      </c>
      <c r="I58" s="21" t="s">
        <v>1140</v>
      </c>
      <c r="J58" s="26">
        <f>+COUNTIF('ID1&amp;5'!G:G,'1. Status'!I58)</f>
        <v>0</v>
      </c>
      <c r="K58" s="79" t="str">
        <f>+IFERROR(VLOOKUP(CONCATENATE(A58,$B$10,B58),'ID1&amp;5'!B:J,8,FALSE),"-")</f>
        <v>-</v>
      </c>
      <c r="L58" s="78" t="str">
        <f>+IFERROR(VLOOKUP(B58,'ID1&amp;5'!K:L,2,FALSE),"-")</f>
        <v>-</v>
      </c>
      <c r="M58" s="79" t="str">
        <f>+IFERROR(VLOOKUP(CONCATENATE(A58,$B$10,B58),'ID1&amp;5'!B:J,9,FALSE),"-")</f>
        <v>-</v>
      </c>
      <c r="N58" s="79" t="str">
        <f>+IFERROR(VLOOKUP(CONCATENATE(A58,$C$10,C58),'ID1&amp;5'!B:J,8,FALSE),"-")</f>
        <v>-</v>
      </c>
      <c r="O58" s="78" t="str">
        <f>+IFERROR(VLOOKUP(C58,'ID1&amp;5'!K:L,2,FALSE),"-")</f>
        <v>-</v>
      </c>
      <c r="P58" s="79" t="str">
        <f>+IFERROR(VLOOKUP(CONCATENATE(A58,$C$10,C58),'ID1&amp;5'!B:J,9,FALSE),"-")</f>
        <v>-</v>
      </c>
      <c r="Q58" s="78" t="str">
        <f>+IFERROR(VLOOKUP(D58,'ID1&amp;5'!K:L,2,FALSE),"-")</f>
        <v>-</v>
      </c>
      <c r="R58" s="26" t="str">
        <f>+IFERROR(VLOOKUP(CONCATENATE(A58,$D$10,D58),'ID1&amp;5'!B:J,9,FALSE),"-")</f>
        <v>-</v>
      </c>
      <c r="S58" s="78" t="str">
        <f>+IFERROR(VLOOKUP(E58,'ID1&amp;5'!K:L,2,FALSE),"-")</f>
        <v>-</v>
      </c>
      <c r="T58" s="79" t="str">
        <f>+IFERROR(VLOOKUP(CONCATENATE(A58,$E$10,E58),'ID1&amp;5'!B:J,9,FALSE),"-")</f>
        <v>-</v>
      </c>
      <c r="U58" s="78" t="str">
        <f>+IFERROR(VLOOKUP(F58,'ID1&amp;5'!K:L,2,FALSE),"-")</f>
        <v>-</v>
      </c>
      <c r="V58" s="79" t="str">
        <f>+IFERROR(VLOOKUP(CONCATENATE(A58,$F$10,F58),'ID1&amp;5'!B:J,9,FALSE),"-")</f>
        <v>-</v>
      </c>
      <c r="W58" s="26" t="str">
        <f>+IFERROR(VLOOKUP(A58,'ID6&amp;7'!A:I,9,FALSE),"-")</f>
        <v>-</v>
      </c>
      <c r="X58" s="26" t="str">
        <f>+IFERROR(VLOOKUP(A58,'ID6&amp;7'!A:J,10,FALSE),"-")</f>
        <v>-</v>
      </c>
      <c r="Y58" s="26"/>
      <c r="Z58" s="27" t="str">
        <f t="shared" si="1"/>
        <v>Por iniciar</v>
      </c>
    </row>
    <row r="59" spans="1:27">
      <c r="A59" s="20" t="str">
        <f t="shared" si="0"/>
        <v>UNIV_OPERjuros_corridos_prvs45991</v>
      </c>
      <c r="B59" s="66">
        <f t="array" ref="B59">+MAX(IF('ID1&amp;5'!A:A='1. Status'!A59&amp;'1. Status'!$B$10,'ID1&amp;5'!K:K))</f>
        <v>0</v>
      </c>
      <c r="C59" s="60">
        <f t="array" ref="C59">+MAX(IF('ID1&amp;5'!A:A='1. Status'!A59&amp;'1. Status'!$C$10,'ID1&amp;5'!K:K))</f>
        <v>0</v>
      </c>
      <c r="D59" s="60">
        <f t="array" ref="D59">+MAX(IF('ID1&amp;5'!A:A='1. Status'!A59&amp;'1. Status'!$D$10,'ID1&amp;5'!K:K))</f>
        <v>0</v>
      </c>
      <c r="E59" s="60">
        <f t="array" ref="E59">+MAX(IF('ID1&amp;5'!A:A='1. Status'!A59&amp;'1. Status'!$E$10,'ID1&amp;5'!K:K))</f>
        <v>0</v>
      </c>
      <c r="F59" s="67">
        <f t="array" ref="F59">+MAX(IF('ID1&amp;5'!A:A='1. Status'!A59&amp;'1. Status'!$F$10,'ID1&amp;5'!K:K))</f>
        <v>0</v>
      </c>
      <c r="G59" s="60"/>
      <c r="H59" s="65" t="s">
        <v>1092</v>
      </c>
      <c r="I59" s="21" t="s">
        <v>1141</v>
      </c>
      <c r="J59" s="26">
        <f>+COUNTIF('ID1&amp;5'!G:G,'1. Status'!I59)</f>
        <v>0</v>
      </c>
      <c r="K59" s="79" t="str">
        <f>+IFERROR(VLOOKUP(CONCATENATE(A59,$B$10,B59),'ID1&amp;5'!B:J,8,FALSE),"-")</f>
        <v>-</v>
      </c>
      <c r="L59" s="78" t="str">
        <f>+IFERROR(VLOOKUP(B59,'ID1&amp;5'!K:L,2,FALSE),"-")</f>
        <v>-</v>
      </c>
      <c r="M59" s="79" t="str">
        <f>+IFERROR(VLOOKUP(CONCATENATE(A59,$B$10,B59),'ID1&amp;5'!B:J,9,FALSE),"-")</f>
        <v>-</v>
      </c>
      <c r="N59" s="79" t="str">
        <f>+IFERROR(VLOOKUP(CONCATENATE(A59,$C$10,C59),'ID1&amp;5'!B:J,8,FALSE),"-")</f>
        <v>-</v>
      </c>
      <c r="O59" s="78" t="str">
        <f>+IFERROR(VLOOKUP(C59,'ID1&amp;5'!K:L,2,FALSE),"-")</f>
        <v>-</v>
      </c>
      <c r="P59" s="79" t="str">
        <f>+IFERROR(VLOOKUP(CONCATENATE(A59,$C$10,C59),'ID1&amp;5'!B:J,9,FALSE),"-")</f>
        <v>-</v>
      </c>
      <c r="Q59" s="78" t="str">
        <f>+IFERROR(VLOOKUP(D59,'ID1&amp;5'!K:L,2,FALSE),"-")</f>
        <v>-</v>
      </c>
      <c r="R59" s="26" t="str">
        <f>+IFERROR(VLOOKUP(CONCATENATE(A59,$D$10,D59),'ID1&amp;5'!B:J,9,FALSE),"-")</f>
        <v>-</v>
      </c>
      <c r="S59" s="78" t="str">
        <f>+IFERROR(VLOOKUP(E59,'ID1&amp;5'!K:L,2,FALSE),"-")</f>
        <v>-</v>
      </c>
      <c r="T59" s="79" t="str">
        <f>+IFERROR(VLOOKUP(CONCATENATE(A59,$E$10,E59),'ID1&amp;5'!B:J,9,FALSE),"-")</f>
        <v>-</v>
      </c>
      <c r="U59" s="78" t="str">
        <f>+IFERROR(VLOOKUP(F59,'ID1&amp;5'!K:L,2,FALSE),"-")</f>
        <v>-</v>
      </c>
      <c r="V59" s="79" t="str">
        <f>+IFERROR(VLOOKUP(CONCATENATE(A59,$F$10,F59),'ID1&amp;5'!B:J,9,FALSE),"-")</f>
        <v>-</v>
      </c>
      <c r="W59" s="26" t="str">
        <f>+IFERROR(VLOOKUP(A59,'ID6&amp;7'!A:I,9,FALSE),"-")</f>
        <v>-</v>
      </c>
      <c r="X59" s="26" t="str">
        <f>+IFERROR(VLOOKUP(A59,'ID6&amp;7'!A:J,10,FALSE),"-")</f>
        <v>-</v>
      </c>
      <c r="Y59" s="26"/>
      <c r="Z59" s="27" t="str">
        <f t="shared" si="1"/>
        <v>Por iniciar</v>
      </c>
    </row>
    <row r="60" spans="1:27">
      <c r="A60" s="20" t="str">
        <f t="shared" si="0"/>
        <v>UNIV_OPERsubportfolio_id_inicial45991</v>
      </c>
      <c r="B60" s="66">
        <f t="array" ref="B60">+MAX(IF('ID1&amp;5'!A:A='1. Status'!A60&amp;'1. Status'!$B$10,'ID1&amp;5'!K:K))</f>
        <v>0</v>
      </c>
      <c r="C60" s="60">
        <f t="array" ref="C60">+MAX(IF('ID1&amp;5'!A:A='1. Status'!A60&amp;'1. Status'!$C$10,'ID1&amp;5'!K:K))</f>
        <v>0</v>
      </c>
      <c r="D60" s="60">
        <f t="array" ref="D60">+MAX(IF('ID1&amp;5'!A:A='1. Status'!A60&amp;'1. Status'!$D$10,'ID1&amp;5'!K:K))</f>
        <v>0</v>
      </c>
      <c r="E60" s="60">
        <f t="array" ref="E60">+MAX(IF('ID1&amp;5'!A:A='1. Status'!A60&amp;'1. Status'!$E$10,'ID1&amp;5'!K:K))</f>
        <v>0</v>
      </c>
      <c r="F60" s="67">
        <f t="array" ref="F60">+MAX(IF('ID1&amp;5'!A:A='1. Status'!A60&amp;'1. Status'!$F$10,'ID1&amp;5'!K:K))</f>
        <v>0</v>
      </c>
      <c r="G60" s="60"/>
      <c r="H60" s="65" t="s">
        <v>1092</v>
      </c>
      <c r="I60" s="21" t="s">
        <v>1142</v>
      </c>
      <c r="J60" s="26">
        <f>+COUNTIF('ID1&amp;5'!G:G,'1. Status'!I60)</f>
        <v>0</v>
      </c>
      <c r="K60" s="79" t="str">
        <f>+IFERROR(VLOOKUP(CONCATENATE(A60,$B$10,B60),'ID1&amp;5'!B:J,8,FALSE),"-")</f>
        <v>-</v>
      </c>
      <c r="L60" s="78" t="str">
        <f>+IFERROR(VLOOKUP(B60,'ID1&amp;5'!K:L,2,FALSE),"-")</f>
        <v>-</v>
      </c>
      <c r="M60" s="79" t="str">
        <f>+IFERROR(VLOOKUP(CONCATENATE(A60,$B$10,B60),'ID1&amp;5'!B:J,9,FALSE),"-")</f>
        <v>-</v>
      </c>
      <c r="N60" s="79" t="str">
        <f>+IFERROR(VLOOKUP(CONCATENATE(A60,$C$10,C60),'ID1&amp;5'!B:J,8,FALSE),"-")</f>
        <v>-</v>
      </c>
      <c r="O60" s="78" t="str">
        <f>+IFERROR(VLOOKUP(C60,'ID1&amp;5'!K:L,2,FALSE),"-")</f>
        <v>-</v>
      </c>
      <c r="P60" s="79" t="str">
        <f>+IFERROR(VLOOKUP(CONCATENATE(A60,$C$10,C60),'ID1&amp;5'!B:J,9,FALSE),"-")</f>
        <v>-</v>
      </c>
      <c r="Q60" s="78" t="str">
        <f>+IFERROR(VLOOKUP(D60,'ID1&amp;5'!K:L,2,FALSE),"-")</f>
        <v>-</v>
      </c>
      <c r="R60" s="26" t="str">
        <f>+IFERROR(VLOOKUP(CONCATENATE(A60,$D$10,D60),'ID1&amp;5'!B:J,9,FALSE),"-")</f>
        <v>-</v>
      </c>
      <c r="S60" s="78" t="str">
        <f>+IFERROR(VLOOKUP(E60,'ID1&amp;5'!K:L,2,FALSE),"-")</f>
        <v>-</v>
      </c>
      <c r="T60" s="79" t="str">
        <f>+IFERROR(VLOOKUP(CONCATENATE(A60,$E$10,E60),'ID1&amp;5'!B:J,9,FALSE),"-")</f>
        <v>-</v>
      </c>
      <c r="U60" s="78" t="str">
        <f>+IFERROR(VLOOKUP(F60,'ID1&amp;5'!K:L,2,FALSE),"-")</f>
        <v>-</v>
      </c>
      <c r="V60" s="79" t="str">
        <f>+IFERROR(VLOOKUP(CONCATENATE(A60,$F$10,F60),'ID1&amp;5'!B:J,9,FALSE),"-")</f>
        <v>-</v>
      </c>
      <c r="W60" s="26" t="str">
        <f>+IFERROR(VLOOKUP(A60,'ID6&amp;7'!A:I,9,FALSE),"-")</f>
        <v>-</v>
      </c>
      <c r="X60" s="26" t="str">
        <f>+IFERROR(VLOOKUP(A60,'ID6&amp;7'!A:J,10,FALSE),"-")</f>
        <v>-</v>
      </c>
      <c r="Y60" s="26"/>
      <c r="Z60" s="27" t="str">
        <f t="shared" si="1"/>
        <v>Por iniciar</v>
      </c>
    </row>
    <row r="61" spans="1:27">
      <c r="A61" s="20" t="str">
        <f t="shared" si="0"/>
        <v>UNIV_OPERsubportfolio_id_final45991</v>
      </c>
      <c r="B61" s="66">
        <f t="array" ref="B61">+MAX(IF('ID1&amp;5'!A:A='1. Status'!A61&amp;'1. Status'!$B$10,'ID1&amp;5'!K:K))</f>
        <v>0</v>
      </c>
      <c r="C61" s="60">
        <f t="array" ref="C61">+MAX(IF('ID1&amp;5'!A:A='1. Status'!A61&amp;'1. Status'!$C$10,'ID1&amp;5'!K:K))</f>
        <v>0</v>
      </c>
      <c r="D61" s="60">
        <f t="array" ref="D61">+MAX(IF('ID1&amp;5'!A:A='1. Status'!A61&amp;'1. Status'!$D$10,'ID1&amp;5'!K:K))</f>
        <v>0</v>
      </c>
      <c r="E61" s="60">
        <f t="array" ref="E61">+MAX(IF('ID1&amp;5'!A:A='1. Status'!A61&amp;'1. Status'!$E$10,'ID1&amp;5'!K:K))</f>
        <v>0</v>
      </c>
      <c r="F61" s="67">
        <f t="array" ref="F61">+MAX(IF('ID1&amp;5'!A:A='1. Status'!A61&amp;'1. Status'!$F$10,'ID1&amp;5'!K:K))</f>
        <v>0</v>
      </c>
      <c r="G61" s="60"/>
      <c r="H61" s="65" t="s">
        <v>1092</v>
      </c>
      <c r="I61" s="21" t="s">
        <v>1143</v>
      </c>
      <c r="J61" s="26">
        <f>+COUNTIF('ID1&amp;5'!G:G,'1. Status'!I61)</f>
        <v>0</v>
      </c>
      <c r="K61" s="79" t="str">
        <f>+IFERROR(VLOOKUP(CONCATENATE(A61,$B$10,B61),'ID1&amp;5'!B:J,8,FALSE),"-")</f>
        <v>-</v>
      </c>
      <c r="L61" s="78" t="str">
        <f>+IFERROR(VLOOKUP(B61,'ID1&amp;5'!K:L,2,FALSE),"-")</f>
        <v>-</v>
      </c>
      <c r="M61" s="79" t="str">
        <f>+IFERROR(VLOOKUP(CONCATENATE(A61,$B$10,B61),'ID1&amp;5'!B:J,9,FALSE),"-")</f>
        <v>-</v>
      </c>
      <c r="N61" s="79" t="str">
        <f>+IFERROR(VLOOKUP(CONCATENATE(A61,$C$10,C61),'ID1&amp;5'!B:J,8,FALSE),"-")</f>
        <v>-</v>
      </c>
      <c r="O61" s="78" t="str">
        <f>+IFERROR(VLOOKUP(C61,'ID1&amp;5'!K:L,2,FALSE),"-")</f>
        <v>-</v>
      </c>
      <c r="P61" s="79" t="str">
        <f>+IFERROR(VLOOKUP(CONCATENATE(A61,$C$10,C61),'ID1&amp;5'!B:J,9,FALSE),"-")</f>
        <v>-</v>
      </c>
      <c r="Q61" s="78" t="str">
        <f>+IFERROR(VLOOKUP(D61,'ID1&amp;5'!K:L,2,FALSE),"-")</f>
        <v>-</v>
      </c>
      <c r="R61" s="26" t="str">
        <f>+IFERROR(VLOOKUP(CONCATENATE(A61,$D$10,D61),'ID1&amp;5'!B:J,9,FALSE),"-")</f>
        <v>-</v>
      </c>
      <c r="S61" s="78" t="str">
        <f>+IFERROR(VLOOKUP(E61,'ID1&amp;5'!K:L,2,FALSE),"-")</f>
        <v>-</v>
      </c>
      <c r="T61" s="79" t="str">
        <f>+IFERROR(VLOOKUP(CONCATENATE(A61,$E$10,E61),'ID1&amp;5'!B:J,9,FALSE),"-")</f>
        <v>-</v>
      </c>
      <c r="U61" s="78" t="str">
        <f>+IFERROR(VLOOKUP(F61,'ID1&amp;5'!K:L,2,FALSE),"-")</f>
        <v>-</v>
      </c>
      <c r="V61" s="79" t="str">
        <f>+IFERROR(VLOOKUP(CONCATENATE(A61,$F$10,F61),'ID1&amp;5'!B:J,9,FALSE),"-")</f>
        <v>-</v>
      </c>
      <c r="W61" s="26" t="str">
        <f>+IFERROR(VLOOKUP(A61,'ID6&amp;7'!A:I,9,FALSE),"-")</f>
        <v>-</v>
      </c>
      <c r="X61" s="26" t="str">
        <f>+IFERROR(VLOOKUP(A61,'ID6&amp;7'!A:J,10,FALSE),"-")</f>
        <v>-</v>
      </c>
      <c r="Y61" s="26"/>
      <c r="Z61" s="27" t="str">
        <f t="shared" si="1"/>
        <v>Por iniciar</v>
      </c>
    </row>
    <row r="62" spans="1:27">
      <c r="A62" s="20" t="str">
        <f t="shared" si="0"/>
        <v>UNIV_OPERidcomb_lt_inicial45991</v>
      </c>
      <c r="B62" s="66">
        <f t="array" ref="B62">+MAX(IF('ID1&amp;5'!A:A='1. Status'!A62&amp;'1. Status'!$B$10,'ID1&amp;5'!K:K))</f>
        <v>0</v>
      </c>
      <c r="C62" s="60">
        <f t="array" ref="C62">+MAX(IF('ID1&amp;5'!A:A='1. Status'!A62&amp;'1. Status'!$C$10,'ID1&amp;5'!K:K))</f>
        <v>0</v>
      </c>
      <c r="D62" s="60">
        <f t="array" ref="D62">+MAX(IF('ID1&amp;5'!A:A='1. Status'!A62&amp;'1. Status'!$D$10,'ID1&amp;5'!K:K))</f>
        <v>0</v>
      </c>
      <c r="E62" s="60">
        <f t="array" ref="E62">+MAX(IF('ID1&amp;5'!A:A='1. Status'!A62&amp;'1. Status'!$E$10,'ID1&amp;5'!K:K))</f>
        <v>0</v>
      </c>
      <c r="F62" s="67">
        <f t="array" ref="F62">+MAX(IF('ID1&amp;5'!A:A='1. Status'!A62&amp;'1. Status'!$F$10,'ID1&amp;5'!K:K))</f>
        <v>0</v>
      </c>
      <c r="G62" s="60"/>
      <c r="H62" s="65" t="s">
        <v>1092</v>
      </c>
      <c r="I62" s="21" t="s">
        <v>1144</v>
      </c>
      <c r="J62" s="26">
        <f>+COUNTIF('ID1&amp;5'!G:G,'1. Status'!I62)</f>
        <v>0</v>
      </c>
      <c r="K62" s="79" t="str">
        <f>+IFERROR(VLOOKUP(CONCATENATE(A62,$B$10,B62),'ID1&amp;5'!B:J,8,FALSE),"-")</f>
        <v>-</v>
      </c>
      <c r="L62" s="78" t="str">
        <f>+IFERROR(VLOOKUP(B62,'ID1&amp;5'!K:L,2,FALSE),"-")</f>
        <v>-</v>
      </c>
      <c r="M62" s="79" t="str">
        <f>+IFERROR(VLOOKUP(CONCATENATE(A62,$B$10,B62),'ID1&amp;5'!B:J,9,FALSE),"-")</f>
        <v>-</v>
      </c>
      <c r="N62" s="79" t="str">
        <f>+IFERROR(VLOOKUP(CONCATENATE(A62,$C$10,C62),'ID1&amp;5'!B:J,8,FALSE),"-")</f>
        <v>-</v>
      </c>
      <c r="O62" s="78" t="str">
        <f>+IFERROR(VLOOKUP(C62,'ID1&amp;5'!K:L,2,FALSE),"-")</f>
        <v>-</v>
      </c>
      <c r="P62" s="79" t="str">
        <f>+IFERROR(VLOOKUP(CONCATENATE(A62,$C$10,C62),'ID1&amp;5'!B:J,9,FALSE),"-")</f>
        <v>-</v>
      </c>
      <c r="Q62" s="78" t="str">
        <f>+IFERROR(VLOOKUP(D62,'ID1&amp;5'!K:L,2,FALSE),"-")</f>
        <v>-</v>
      </c>
      <c r="R62" s="26" t="str">
        <f>+IFERROR(VLOOKUP(CONCATENATE(A62,$D$10,D62),'ID1&amp;5'!B:J,9,FALSE),"-")</f>
        <v>-</v>
      </c>
      <c r="S62" s="78" t="str">
        <f>+IFERROR(VLOOKUP(E62,'ID1&amp;5'!K:L,2,FALSE),"-")</f>
        <v>-</v>
      </c>
      <c r="T62" s="79" t="str">
        <f>+IFERROR(VLOOKUP(CONCATENATE(A62,$E$10,E62),'ID1&amp;5'!B:J,9,FALSE),"-")</f>
        <v>-</v>
      </c>
      <c r="U62" s="78" t="str">
        <f>+IFERROR(VLOOKUP(F62,'ID1&amp;5'!K:L,2,FALSE),"-")</f>
        <v>-</v>
      </c>
      <c r="V62" s="79" t="str">
        <f>+IFERROR(VLOOKUP(CONCATENATE(A62,$F$10,F62),'ID1&amp;5'!B:J,9,FALSE),"-")</f>
        <v>-</v>
      </c>
      <c r="W62" s="26" t="str">
        <f>+IFERROR(VLOOKUP(A62,'ID6&amp;7'!A:I,9,FALSE),"-")</f>
        <v>-</v>
      </c>
      <c r="X62" s="26" t="str">
        <f>+IFERROR(VLOOKUP(A62,'ID6&amp;7'!A:J,10,FALSE),"-")</f>
        <v>-</v>
      </c>
      <c r="Y62" s="26"/>
      <c r="Z62" s="27" t="str">
        <f t="shared" si="1"/>
        <v>Por iniciar</v>
      </c>
    </row>
    <row r="63" spans="1:27">
      <c r="A63" s="20" t="str">
        <f t="shared" si="0"/>
        <v>UNIV_OPERidcomb_lt_final45991</v>
      </c>
      <c r="B63" s="94">
        <f t="array" ref="B63">+MAX(IF('ID1&amp;5'!A:A='1. Status'!A63&amp;'1. Status'!$B$10,'ID1&amp;5'!K:K))</f>
        <v>0</v>
      </c>
      <c r="C63" s="95">
        <f t="array" ref="C63">+MAX(IF('ID1&amp;5'!A:A='1. Status'!A63&amp;'1. Status'!$C$10,'ID1&amp;5'!K:K))</f>
        <v>0</v>
      </c>
      <c r="D63" s="95">
        <f t="array" ref="D63">+MAX(IF('ID1&amp;5'!A:A='1. Status'!A63&amp;'1. Status'!$D$10,'ID1&amp;5'!K:K))</f>
        <v>0</v>
      </c>
      <c r="E63" s="95">
        <f t="array" ref="E63">+MAX(IF('ID1&amp;5'!A:A='1. Status'!A63&amp;'1. Status'!$E$10,'ID1&amp;5'!K:K))</f>
        <v>0</v>
      </c>
      <c r="F63" s="96">
        <f t="array" ref="F63">+MAX(IF('ID1&amp;5'!A:A='1. Status'!A63&amp;'1. Status'!$F$10,'ID1&amp;5'!K:K))</f>
        <v>0</v>
      </c>
      <c r="G63" s="60"/>
      <c r="H63" s="65" t="s">
        <v>1092</v>
      </c>
      <c r="I63" s="21" t="s">
        <v>1145</v>
      </c>
      <c r="J63" s="26">
        <f>+COUNTIF('ID1&amp;5'!G:G,'1. Status'!I63)</f>
        <v>0</v>
      </c>
      <c r="K63" s="79" t="str">
        <f>+IFERROR(VLOOKUP(CONCATENATE(A63,$B$10,B63),'ID1&amp;5'!B:J,8,FALSE),"-")</f>
        <v>-</v>
      </c>
      <c r="L63" s="78" t="str">
        <f>+IFERROR(VLOOKUP(B63,'ID1&amp;5'!K:L,2,FALSE),"-")</f>
        <v>-</v>
      </c>
      <c r="M63" s="79" t="str">
        <f>+IFERROR(VLOOKUP(CONCATENATE(A63,$B$10,B63),'ID1&amp;5'!B:J,9,FALSE),"-")</f>
        <v>-</v>
      </c>
      <c r="N63" s="79" t="str">
        <f>+IFERROR(VLOOKUP(CONCATENATE(A63,$C$10,C63),'ID1&amp;5'!B:J,8,FALSE),"-")</f>
        <v>-</v>
      </c>
      <c r="O63" s="78" t="str">
        <f>+IFERROR(VLOOKUP(C63,'ID1&amp;5'!K:L,2,FALSE),"-")</f>
        <v>-</v>
      </c>
      <c r="P63" s="79" t="str">
        <f>+IFERROR(VLOOKUP(CONCATENATE(A63,$C$10,C63),'ID1&amp;5'!B:J,9,FALSE),"-")</f>
        <v>-</v>
      </c>
      <c r="Q63" s="78" t="str">
        <f>+IFERROR(VLOOKUP(D63,'ID1&amp;5'!K:L,2,FALSE),"-")</f>
        <v>-</v>
      </c>
      <c r="R63" s="26" t="str">
        <f>+IFERROR(VLOOKUP(CONCATENATE(A63,$D$10,D63),'ID1&amp;5'!B:J,9,FALSE),"-")</f>
        <v>-</v>
      </c>
      <c r="S63" s="78" t="str">
        <f>+IFERROR(VLOOKUP(E63,'ID1&amp;5'!K:L,2,FALSE),"-")</f>
        <v>-</v>
      </c>
      <c r="T63" s="79" t="str">
        <f>+IFERROR(VLOOKUP(CONCATENATE(A63,$E$10,E63),'ID1&amp;5'!B:J,9,FALSE),"-")</f>
        <v>-</v>
      </c>
      <c r="U63" s="78" t="str">
        <f>+IFERROR(VLOOKUP(F63,'ID1&amp;5'!K:L,2,FALSE),"-")</f>
        <v>-</v>
      </c>
      <c r="V63" s="79" t="str">
        <f>+IFERROR(VLOOKUP(CONCATENATE(A63,$F$10,F63),'ID1&amp;5'!B:J,9,FALSE),"-")</f>
        <v>-</v>
      </c>
      <c r="W63" s="26" t="str">
        <f>+IFERROR(VLOOKUP(A63,'ID6&amp;7'!A:I,9,FALSE),"-")</f>
        <v>-</v>
      </c>
      <c r="X63" s="26" t="str">
        <f>+IFERROR(VLOOKUP(A63,'ID6&amp;7'!A:J,10,FALSE),"-")</f>
        <v>-</v>
      </c>
      <c r="Y63" s="26"/>
      <c r="Z63" s="27" t="str">
        <f t="shared" si="1"/>
        <v>Por iniciar</v>
      </c>
    </row>
    <row r="64" spans="1:27">
      <c r="A64" s="20"/>
      <c r="B64" s="60"/>
      <c r="C64" s="60"/>
      <c r="D64" s="60"/>
      <c r="E64" s="60"/>
      <c r="F64" s="60"/>
      <c r="G64" s="60"/>
      <c r="H64" s="65" t="s">
        <v>1092</v>
      </c>
      <c r="I64" s="21" t="s">
        <v>1146</v>
      </c>
      <c r="J64" s="26">
        <f>+COUNTIF('ID1&amp;5'!G:G,'1. Status'!I64)</f>
        <v>0</v>
      </c>
      <c r="K64" s="79" t="str">
        <f>+IFERROR(VLOOKUP(CONCATENATE(A64,$B$10,B64),'ID1&amp;5'!B:J,8,FALSE),"-")</f>
        <v>-</v>
      </c>
      <c r="L64" s="78" t="str">
        <f>+IFERROR(VLOOKUP(B64,'ID1&amp;5'!K:L,2,FALSE),"-")</f>
        <v>-</v>
      </c>
      <c r="M64" s="79" t="str">
        <f>+IFERROR(VLOOKUP(CONCATENATE(A64,$B$10,B64),'ID1&amp;5'!B:J,9,FALSE),"-")</f>
        <v>-</v>
      </c>
      <c r="N64" s="79" t="str">
        <f>+IFERROR(VLOOKUP(CONCATENATE(A64,$C$10,C64),'ID1&amp;5'!B:J,8,FALSE),"-")</f>
        <v>-</v>
      </c>
      <c r="O64" s="78" t="str">
        <f>+IFERROR(VLOOKUP(C64,'ID1&amp;5'!K:L,2,FALSE),"-")</f>
        <v>-</v>
      </c>
      <c r="P64" s="79" t="str">
        <f>+IFERROR(VLOOKUP(CONCATENATE(A64,$C$10,C64),'ID1&amp;5'!B:J,9,FALSE),"-")</f>
        <v>-</v>
      </c>
      <c r="Q64" s="78" t="str">
        <f>+IFERROR(VLOOKUP(D64,'ID1&amp;5'!K:L,2,FALSE),"-")</f>
        <v>-</v>
      </c>
      <c r="R64" s="26" t="str">
        <f>+IFERROR(VLOOKUP(CONCATENATE(A64,$D$10,D64),'ID1&amp;5'!B:J,9,FALSE),"-")</f>
        <v>-</v>
      </c>
      <c r="S64" s="78" t="str">
        <f>+IFERROR(VLOOKUP(E64,'ID1&amp;5'!K:L,2,FALSE),"-")</f>
        <v>-</v>
      </c>
      <c r="T64" s="79" t="str">
        <f>+IFERROR(VLOOKUP(CONCATENATE(A64,$E$10,E64),'ID1&amp;5'!B:J,9,FALSE),"-")</f>
        <v>-</v>
      </c>
      <c r="U64" s="78" t="str">
        <f>+IFERROR(VLOOKUP(F64,'ID1&amp;5'!K:L,2,FALSE),"-")</f>
        <v>-</v>
      </c>
      <c r="V64" s="79" t="str">
        <f>+IFERROR(VLOOKUP(CONCATENATE(A64,$F$10,F64),'ID1&amp;5'!B:J,9,FALSE),"-")</f>
        <v>-</v>
      </c>
      <c r="W64" s="26" t="str">
        <f>+IFERROR(VLOOKUP(A64,'ID6&amp;7'!A:I,9,FALSE),"-")</f>
        <v>-</v>
      </c>
      <c r="X64" s="26" t="str">
        <f>+IFERROR(VLOOKUP(A64,'ID6&amp;7'!A:J,10,FALSE),"-")</f>
        <v>-</v>
      </c>
      <c r="Y64" s="26"/>
      <c r="Z64" s="27" t="str">
        <f t="shared" ref="Z64:Z127" si="2">+IF(J64=0,"Por iniciar",IF(OR(K64="-",M64="-",P64="-",R64="-",T64="-",V64="-"),"Em testes",IF(AND(M64=0,P64=0,R64=0,T64&lt;&gt;K64,V64&lt;&gt;K64),"OK","NOK")))</f>
        <v>Por iniciar</v>
      </c>
      <c r="AA64" s="65"/>
    </row>
    <row r="65" spans="1:27">
      <c r="A65" s="20"/>
      <c r="B65" s="60"/>
      <c r="C65" s="60"/>
      <c r="D65" s="60"/>
      <c r="E65" s="60"/>
      <c r="F65" s="60"/>
      <c r="G65" s="60"/>
      <c r="H65" s="65" t="s">
        <v>117</v>
      </c>
      <c r="I65" s="21" t="s">
        <v>1149</v>
      </c>
      <c r="J65" s="26">
        <f>+COUNTIF('ID1&amp;5'!G:G,'1. Status'!I65)</f>
        <v>0</v>
      </c>
      <c r="K65" s="79" t="str">
        <f>+IFERROR(VLOOKUP(CONCATENATE(A65,$B$10,B65),'ID1&amp;5'!B:J,8,FALSE),"-")</f>
        <v>-</v>
      </c>
      <c r="L65" s="78" t="str">
        <f>+IFERROR(VLOOKUP(B65,'ID1&amp;5'!K:L,2,FALSE),"-")</f>
        <v>-</v>
      </c>
      <c r="M65" s="79" t="str">
        <f>+IFERROR(VLOOKUP(CONCATENATE(A65,$B$10,B65),'ID1&amp;5'!B:J,9,FALSE),"-")</f>
        <v>-</v>
      </c>
      <c r="N65" s="79" t="str">
        <f>+IFERROR(VLOOKUP(CONCATENATE(A65,$C$10,C65),'ID1&amp;5'!B:J,8,FALSE),"-")</f>
        <v>-</v>
      </c>
      <c r="O65" s="78" t="str">
        <f>+IFERROR(VLOOKUP(C65,'ID1&amp;5'!K:L,2,FALSE),"-")</f>
        <v>-</v>
      </c>
      <c r="P65" s="79" t="str">
        <f>+IFERROR(VLOOKUP(CONCATENATE(A65,$C$10,C65),'ID1&amp;5'!B:J,9,FALSE),"-")</f>
        <v>-</v>
      </c>
      <c r="Q65" s="78" t="str">
        <f>+IFERROR(VLOOKUP(D65,'ID1&amp;5'!K:L,2,FALSE),"-")</f>
        <v>-</v>
      </c>
      <c r="R65" s="26" t="str">
        <f>+IFERROR(VLOOKUP(CONCATENATE(A65,$D$10,D65),'ID1&amp;5'!B:J,9,FALSE),"-")</f>
        <v>-</v>
      </c>
      <c r="S65" s="78" t="str">
        <f>+IFERROR(VLOOKUP(E65,'ID1&amp;5'!K:L,2,FALSE),"-")</f>
        <v>-</v>
      </c>
      <c r="T65" s="79" t="str">
        <f>+IFERROR(VLOOKUP(CONCATENATE(A65,$E$10,E65),'ID1&amp;5'!B:J,9,FALSE),"-")</f>
        <v>-</v>
      </c>
      <c r="U65" s="78" t="str">
        <f>+IFERROR(VLOOKUP(F65,'ID1&amp;5'!K:L,2,FALSE),"-")</f>
        <v>-</v>
      </c>
      <c r="V65" s="79" t="str">
        <f>+IFERROR(VLOOKUP(CONCATENATE(A65,$F$10,F65),'ID1&amp;5'!B:J,9,FALSE),"-")</f>
        <v>-</v>
      </c>
      <c r="W65" s="26" t="str">
        <f>+IFERROR(VLOOKUP(A65,'ID6&amp;7'!A:I,9,FALSE),"-")</f>
        <v>-</v>
      </c>
      <c r="X65" s="26" t="str">
        <f>+IFERROR(VLOOKUP(A65,'ID6&amp;7'!A:J,10,FALSE),"-")</f>
        <v>-</v>
      </c>
      <c r="Y65" s="26"/>
      <c r="Z65" s="27" t="str">
        <f t="shared" si="2"/>
        <v>Por iniciar</v>
      </c>
      <c r="AA65" s="65"/>
    </row>
    <row r="66" spans="1:27">
      <c r="A66" s="20"/>
      <c r="B66" s="60"/>
      <c r="C66" s="60"/>
      <c r="D66" s="60"/>
      <c r="E66" s="60"/>
      <c r="F66" s="60"/>
      <c r="G66" s="60"/>
      <c r="H66" s="65" t="s">
        <v>117</v>
      </c>
      <c r="I66" s="21" t="s">
        <v>1150</v>
      </c>
      <c r="J66" s="26">
        <f>+COUNTIF('ID1&amp;5'!G:G,'1. Status'!I66)</f>
        <v>0</v>
      </c>
      <c r="K66" s="79" t="str">
        <f>+IFERROR(VLOOKUP(CONCATENATE(A66,$B$10,B66),'ID1&amp;5'!B:J,8,FALSE),"-")</f>
        <v>-</v>
      </c>
      <c r="L66" s="78" t="str">
        <f>+IFERROR(VLOOKUP(B66,'ID1&amp;5'!K:L,2,FALSE),"-")</f>
        <v>-</v>
      </c>
      <c r="M66" s="79" t="str">
        <f>+IFERROR(VLOOKUP(CONCATENATE(A66,$B$10,B66),'ID1&amp;5'!B:J,9,FALSE),"-")</f>
        <v>-</v>
      </c>
      <c r="N66" s="79" t="str">
        <f>+IFERROR(VLOOKUP(CONCATENATE(A66,$C$10,C66),'ID1&amp;5'!B:J,8,FALSE),"-")</f>
        <v>-</v>
      </c>
      <c r="O66" s="78" t="str">
        <f>+IFERROR(VLOOKUP(C66,'ID1&amp;5'!K:L,2,FALSE),"-")</f>
        <v>-</v>
      </c>
      <c r="P66" s="79" t="str">
        <f>+IFERROR(VLOOKUP(CONCATENATE(A66,$C$10,C66),'ID1&amp;5'!B:J,9,FALSE),"-")</f>
        <v>-</v>
      </c>
      <c r="Q66" s="78" t="str">
        <f>+IFERROR(VLOOKUP(D66,'ID1&amp;5'!K:L,2,FALSE),"-")</f>
        <v>-</v>
      </c>
      <c r="R66" s="26" t="str">
        <f>+IFERROR(VLOOKUP(CONCATENATE(A66,$D$10,D66),'ID1&amp;5'!B:J,9,FALSE),"-")</f>
        <v>-</v>
      </c>
      <c r="S66" s="78" t="str">
        <f>+IFERROR(VLOOKUP(E66,'ID1&amp;5'!K:L,2,FALSE),"-")</f>
        <v>-</v>
      </c>
      <c r="T66" s="79" t="str">
        <f>+IFERROR(VLOOKUP(CONCATENATE(A66,$E$10,E66),'ID1&amp;5'!B:J,9,FALSE),"-")</f>
        <v>-</v>
      </c>
      <c r="U66" s="78" t="str">
        <f>+IFERROR(VLOOKUP(F66,'ID1&amp;5'!K:L,2,FALSE),"-")</f>
        <v>-</v>
      </c>
      <c r="V66" s="79" t="str">
        <f>+IFERROR(VLOOKUP(CONCATENATE(A66,$F$10,F66),'ID1&amp;5'!B:J,9,FALSE),"-")</f>
        <v>-</v>
      </c>
      <c r="W66" s="26" t="str">
        <f>+IFERROR(VLOOKUP(A66,'ID6&amp;7'!A:I,9,FALSE),"-")</f>
        <v>-</v>
      </c>
      <c r="X66" s="26" t="str">
        <f>+IFERROR(VLOOKUP(A66,'ID6&amp;7'!A:J,10,FALSE),"-")</f>
        <v>-</v>
      </c>
      <c r="Y66" s="26"/>
      <c r="Z66" s="27" t="str">
        <f t="shared" si="2"/>
        <v>Por iniciar</v>
      </c>
      <c r="AA66" s="65"/>
    </row>
    <row r="67" spans="1:27">
      <c r="A67" s="20"/>
      <c r="B67" s="60"/>
      <c r="C67" s="60"/>
      <c r="D67" s="60"/>
      <c r="E67" s="60"/>
      <c r="F67" s="60"/>
      <c r="G67" s="60"/>
      <c r="H67" s="65" t="s">
        <v>117</v>
      </c>
      <c r="I67" s="21" t="s">
        <v>641</v>
      </c>
      <c r="J67" s="26">
        <f>+COUNTIF('ID1&amp;5'!G:G,'1. Status'!I67)</f>
        <v>0</v>
      </c>
      <c r="K67" s="79" t="str">
        <f>+IFERROR(VLOOKUP(CONCATENATE(A67,$B$10,B67),'ID1&amp;5'!B:J,8,FALSE),"-")</f>
        <v>-</v>
      </c>
      <c r="L67" s="78" t="str">
        <f>+IFERROR(VLOOKUP(B67,'ID1&amp;5'!K:L,2,FALSE),"-")</f>
        <v>-</v>
      </c>
      <c r="M67" s="79" t="str">
        <f>+IFERROR(VLOOKUP(CONCATENATE(A67,$B$10,B67),'ID1&amp;5'!B:J,9,FALSE),"-")</f>
        <v>-</v>
      </c>
      <c r="N67" s="79" t="str">
        <f>+IFERROR(VLOOKUP(CONCATENATE(A67,$C$10,C67),'ID1&amp;5'!B:J,8,FALSE),"-")</f>
        <v>-</v>
      </c>
      <c r="O67" s="78" t="str">
        <f>+IFERROR(VLOOKUP(C67,'ID1&amp;5'!K:L,2,FALSE),"-")</f>
        <v>-</v>
      </c>
      <c r="P67" s="79" t="str">
        <f>+IFERROR(VLOOKUP(CONCATENATE(A67,$C$10,C67),'ID1&amp;5'!B:J,9,FALSE),"-")</f>
        <v>-</v>
      </c>
      <c r="Q67" s="78" t="str">
        <f>+IFERROR(VLOOKUP(D67,'ID1&amp;5'!K:L,2,FALSE),"-")</f>
        <v>-</v>
      </c>
      <c r="R67" s="26" t="str">
        <f>+IFERROR(VLOOKUP(CONCATENATE(A67,$D$10,D67),'ID1&amp;5'!B:J,9,FALSE),"-")</f>
        <v>-</v>
      </c>
      <c r="S67" s="78" t="str">
        <f>+IFERROR(VLOOKUP(E67,'ID1&amp;5'!K:L,2,FALSE),"-")</f>
        <v>-</v>
      </c>
      <c r="T67" s="79" t="str">
        <f>+IFERROR(VLOOKUP(CONCATENATE(A67,$E$10,E67),'ID1&amp;5'!B:J,9,FALSE),"-")</f>
        <v>-</v>
      </c>
      <c r="U67" s="78" t="str">
        <f>+IFERROR(VLOOKUP(F67,'ID1&amp;5'!K:L,2,FALSE),"-")</f>
        <v>-</v>
      </c>
      <c r="V67" s="79" t="str">
        <f>+IFERROR(VLOOKUP(CONCATENATE(A67,$F$10,F67),'ID1&amp;5'!B:J,9,FALSE),"-")</f>
        <v>-</v>
      </c>
      <c r="W67" s="26" t="str">
        <f>+IFERROR(VLOOKUP(A67,'ID6&amp;7'!A:I,9,FALSE),"-")</f>
        <v>-</v>
      </c>
      <c r="X67" s="26" t="str">
        <f>+IFERROR(VLOOKUP(A67,'ID6&amp;7'!A:J,10,FALSE),"-")</f>
        <v>-</v>
      </c>
      <c r="Y67" s="26"/>
      <c r="Z67" s="27" t="str">
        <f t="shared" si="2"/>
        <v>Por iniciar</v>
      </c>
      <c r="AA67" s="65"/>
    </row>
    <row r="68" spans="1:27">
      <c r="A68" s="20"/>
      <c r="B68" s="60"/>
      <c r="C68" s="60"/>
      <c r="D68" s="60"/>
      <c r="E68" s="60"/>
      <c r="F68" s="60"/>
      <c r="G68" s="60"/>
      <c r="H68" s="65" t="s">
        <v>117</v>
      </c>
      <c r="I68" s="21" t="s">
        <v>1151</v>
      </c>
      <c r="J68" s="26">
        <f>+COUNTIF('ID1&amp;5'!G:G,'1. Status'!I68)</f>
        <v>0</v>
      </c>
      <c r="K68" s="79" t="str">
        <f>+IFERROR(VLOOKUP(CONCATENATE(A68,$B$10,B68),'ID1&amp;5'!B:J,8,FALSE),"-")</f>
        <v>-</v>
      </c>
      <c r="L68" s="78" t="str">
        <f>+IFERROR(VLOOKUP(B68,'ID1&amp;5'!K:L,2,FALSE),"-")</f>
        <v>-</v>
      </c>
      <c r="M68" s="79" t="str">
        <f>+IFERROR(VLOOKUP(CONCATENATE(A68,$B$10,B68),'ID1&amp;5'!B:J,9,FALSE),"-")</f>
        <v>-</v>
      </c>
      <c r="N68" s="79" t="str">
        <f>+IFERROR(VLOOKUP(CONCATENATE(A68,$C$10,C68),'ID1&amp;5'!B:J,8,FALSE),"-")</f>
        <v>-</v>
      </c>
      <c r="O68" s="78" t="str">
        <f>+IFERROR(VLOOKUP(C68,'ID1&amp;5'!K:L,2,FALSE),"-")</f>
        <v>-</v>
      </c>
      <c r="P68" s="79" t="str">
        <f>+IFERROR(VLOOKUP(CONCATENATE(A68,$C$10,C68),'ID1&amp;5'!B:J,9,FALSE),"-")</f>
        <v>-</v>
      </c>
      <c r="Q68" s="78" t="str">
        <f>+IFERROR(VLOOKUP(D68,'ID1&amp;5'!K:L,2,FALSE),"-")</f>
        <v>-</v>
      </c>
      <c r="R68" s="26" t="str">
        <f>+IFERROR(VLOOKUP(CONCATENATE(A68,$D$10,D68),'ID1&amp;5'!B:J,9,FALSE),"-")</f>
        <v>-</v>
      </c>
      <c r="S68" s="78" t="str">
        <f>+IFERROR(VLOOKUP(E68,'ID1&amp;5'!K:L,2,FALSE),"-")</f>
        <v>-</v>
      </c>
      <c r="T68" s="79" t="str">
        <f>+IFERROR(VLOOKUP(CONCATENATE(A68,$E$10,E68),'ID1&amp;5'!B:J,9,FALSE),"-")</f>
        <v>-</v>
      </c>
      <c r="U68" s="78" t="str">
        <f>+IFERROR(VLOOKUP(F68,'ID1&amp;5'!K:L,2,FALSE),"-")</f>
        <v>-</v>
      </c>
      <c r="V68" s="79" t="str">
        <f>+IFERROR(VLOOKUP(CONCATENATE(A68,$F$10,F68),'ID1&amp;5'!B:J,9,FALSE),"-")</f>
        <v>-</v>
      </c>
      <c r="W68" s="26" t="str">
        <f>+IFERROR(VLOOKUP(A68,'ID6&amp;7'!A:I,9,FALSE),"-")</f>
        <v>-</v>
      </c>
      <c r="X68" s="26" t="str">
        <f>+IFERROR(VLOOKUP(A68,'ID6&amp;7'!A:J,10,FALSE),"-")</f>
        <v>-</v>
      </c>
      <c r="Y68" s="26"/>
      <c r="Z68" s="27" t="str">
        <f t="shared" si="2"/>
        <v>Por iniciar</v>
      </c>
      <c r="AA68" s="65"/>
    </row>
    <row r="69" spans="1:27">
      <c r="A69" s="20"/>
      <c r="B69" s="60"/>
      <c r="C69" s="60"/>
      <c r="D69" s="60"/>
      <c r="E69" s="60"/>
      <c r="F69" s="60"/>
      <c r="G69" s="60"/>
      <c r="H69" s="65" t="s">
        <v>117</v>
      </c>
      <c r="I69" s="21" t="s">
        <v>1152</v>
      </c>
      <c r="J69" s="26">
        <f>+COUNTIF('ID1&amp;5'!G:G,'1. Status'!I69)</f>
        <v>0</v>
      </c>
      <c r="K69" s="79" t="str">
        <f>+IFERROR(VLOOKUP(CONCATENATE(A69,$B$10,B69),'ID1&amp;5'!B:J,8,FALSE),"-")</f>
        <v>-</v>
      </c>
      <c r="L69" s="78" t="str">
        <f>+IFERROR(VLOOKUP(B69,'ID1&amp;5'!K:L,2,FALSE),"-")</f>
        <v>-</v>
      </c>
      <c r="M69" s="79" t="str">
        <f>+IFERROR(VLOOKUP(CONCATENATE(A69,$B$10,B69),'ID1&amp;5'!B:J,9,FALSE),"-")</f>
        <v>-</v>
      </c>
      <c r="N69" s="79" t="str">
        <f>+IFERROR(VLOOKUP(CONCATENATE(A69,$C$10,C69),'ID1&amp;5'!B:J,8,FALSE),"-")</f>
        <v>-</v>
      </c>
      <c r="O69" s="78" t="str">
        <f>+IFERROR(VLOOKUP(C69,'ID1&amp;5'!K:L,2,FALSE),"-")</f>
        <v>-</v>
      </c>
      <c r="P69" s="79" t="str">
        <f>+IFERROR(VLOOKUP(CONCATENATE(A69,$C$10,C69),'ID1&amp;5'!B:J,9,FALSE),"-")</f>
        <v>-</v>
      </c>
      <c r="Q69" s="78" t="str">
        <f>+IFERROR(VLOOKUP(D69,'ID1&amp;5'!K:L,2,FALSE),"-")</f>
        <v>-</v>
      </c>
      <c r="R69" s="26" t="str">
        <f>+IFERROR(VLOOKUP(CONCATENATE(A69,$D$10,D69),'ID1&amp;5'!B:J,9,FALSE),"-")</f>
        <v>-</v>
      </c>
      <c r="S69" s="78" t="str">
        <f>+IFERROR(VLOOKUP(E69,'ID1&amp;5'!K:L,2,FALSE),"-")</f>
        <v>-</v>
      </c>
      <c r="T69" s="79" t="str">
        <f>+IFERROR(VLOOKUP(CONCATENATE(A69,$E$10,E69),'ID1&amp;5'!B:J,9,FALSE),"-")</f>
        <v>-</v>
      </c>
      <c r="U69" s="78" t="str">
        <f>+IFERROR(VLOOKUP(F69,'ID1&amp;5'!K:L,2,FALSE),"-")</f>
        <v>-</v>
      </c>
      <c r="V69" s="79" t="str">
        <f>+IFERROR(VLOOKUP(CONCATENATE(A69,$F$10,F69),'ID1&amp;5'!B:J,9,FALSE),"-")</f>
        <v>-</v>
      </c>
      <c r="W69" s="26" t="str">
        <f>+IFERROR(VLOOKUP(A69,'ID6&amp;7'!A:I,9,FALSE),"-")</f>
        <v>-</v>
      </c>
      <c r="X69" s="26" t="str">
        <f>+IFERROR(VLOOKUP(A69,'ID6&amp;7'!A:J,10,FALSE),"-")</f>
        <v>-</v>
      </c>
      <c r="Y69" s="26"/>
      <c r="Z69" s="27" t="str">
        <f t="shared" si="2"/>
        <v>Por iniciar</v>
      </c>
      <c r="AA69" s="65"/>
    </row>
    <row r="70" spans="1:27">
      <c r="A70" s="20"/>
      <c r="B70" s="60"/>
      <c r="C70" s="60"/>
      <c r="D70" s="60"/>
      <c r="E70" s="60"/>
      <c r="F70" s="60"/>
      <c r="G70" s="60"/>
      <c r="H70" s="65" t="s">
        <v>117</v>
      </c>
      <c r="I70" s="21" t="s">
        <v>1153</v>
      </c>
      <c r="J70" s="26">
        <f>+COUNTIF('ID1&amp;5'!G:G,'1. Status'!I70)</f>
        <v>0</v>
      </c>
      <c r="K70" s="79" t="str">
        <f>+IFERROR(VLOOKUP(CONCATENATE(A70,$B$10,B70),'ID1&amp;5'!B:J,8,FALSE),"-")</f>
        <v>-</v>
      </c>
      <c r="L70" s="78" t="str">
        <f>+IFERROR(VLOOKUP(B70,'ID1&amp;5'!K:L,2,FALSE),"-")</f>
        <v>-</v>
      </c>
      <c r="M70" s="79" t="str">
        <f>+IFERROR(VLOOKUP(CONCATENATE(A70,$B$10,B70),'ID1&amp;5'!B:J,9,FALSE),"-")</f>
        <v>-</v>
      </c>
      <c r="N70" s="79" t="str">
        <f>+IFERROR(VLOOKUP(CONCATENATE(A70,$C$10,C70),'ID1&amp;5'!B:J,8,FALSE),"-")</f>
        <v>-</v>
      </c>
      <c r="O70" s="78" t="str">
        <f>+IFERROR(VLOOKUP(C70,'ID1&amp;5'!K:L,2,FALSE),"-")</f>
        <v>-</v>
      </c>
      <c r="P70" s="79" t="str">
        <f>+IFERROR(VLOOKUP(CONCATENATE(A70,$C$10,C70),'ID1&amp;5'!B:J,9,FALSE),"-")</f>
        <v>-</v>
      </c>
      <c r="Q70" s="78" t="str">
        <f>+IFERROR(VLOOKUP(D70,'ID1&amp;5'!K:L,2,FALSE),"-")</f>
        <v>-</v>
      </c>
      <c r="R70" s="26" t="str">
        <f>+IFERROR(VLOOKUP(CONCATENATE(A70,$D$10,D70),'ID1&amp;5'!B:J,9,FALSE),"-")</f>
        <v>-</v>
      </c>
      <c r="S70" s="78" t="str">
        <f>+IFERROR(VLOOKUP(E70,'ID1&amp;5'!K:L,2,FALSE),"-")</f>
        <v>-</v>
      </c>
      <c r="T70" s="79" t="str">
        <f>+IFERROR(VLOOKUP(CONCATENATE(A70,$E$10,E70),'ID1&amp;5'!B:J,9,FALSE),"-")</f>
        <v>-</v>
      </c>
      <c r="U70" s="78" t="str">
        <f>+IFERROR(VLOOKUP(F70,'ID1&amp;5'!K:L,2,FALSE),"-")</f>
        <v>-</v>
      </c>
      <c r="V70" s="79" t="str">
        <f>+IFERROR(VLOOKUP(CONCATENATE(A70,$F$10,F70),'ID1&amp;5'!B:J,9,FALSE),"-")</f>
        <v>-</v>
      </c>
      <c r="W70" s="26" t="str">
        <f>+IFERROR(VLOOKUP(A70,'ID6&amp;7'!A:I,9,FALSE),"-")</f>
        <v>-</v>
      </c>
      <c r="X70" s="26" t="str">
        <f>+IFERROR(VLOOKUP(A70,'ID6&amp;7'!A:J,10,FALSE),"-")</f>
        <v>-</v>
      </c>
      <c r="Y70" s="26"/>
      <c r="Z70" s="27" t="str">
        <f t="shared" si="2"/>
        <v>Por iniciar</v>
      </c>
      <c r="AA70" s="65"/>
    </row>
    <row r="71" spans="1:27">
      <c r="A71" s="20"/>
      <c r="B71" s="60"/>
      <c r="C71" s="60"/>
      <c r="D71" s="60"/>
      <c r="E71" s="60"/>
      <c r="F71" s="60"/>
      <c r="G71" s="60"/>
      <c r="H71" s="65" t="s">
        <v>117</v>
      </c>
      <c r="I71" s="21" t="s">
        <v>1154</v>
      </c>
      <c r="J71" s="26">
        <f>+COUNTIF('ID1&amp;5'!G:G,'1. Status'!I71)</f>
        <v>0</v>
      </c>
      <c r="K71" s="79" t="str">
        <f>+IFERROR(VLOOKUP(CONCATENATE(A71,$B$10,B71),'ID1&amp;5'!B:J,8,FALSE),"-")</f>
        <v>-</v>
      </c>
      <c r="L71" s="78" t="str">
        <f>+IFERROR(VLOOKUP(B71,'ID1&amp;5'!K:L,2,FALSE),"-")</f>
        <v>-</v>
      </c>
      <c r="M71" s="79" t="str">
        <f>+IFERROR(VLOOKUP(CONCATENATE(A71,$B$10,B71),'ID1&amp;5'!B:J,9,FALSE),"-")</f>
        <v>-</v>
      </c>
      <c r="N71" s="79" t="str">
        <f>+IFERROR(VLOOKUP(CONCATENATE(A71,$C$10,C71),'ID1&amp;5'!B:J,8,FALSE),"-")</f>
        <v>-</v>
      </c>
      <c r="O71" s="78" t="str">
        <f>+IFERROR(VLOOKUP(C71,'ID1&amp;5'!K:L,2,FALSE),"-")</f>
        <v>-</v>
      </c>
      <c r="P71" s="79" t="str">
        <f>+IFERROR(VLOOKUP(CONCATENATE(A71,$C$10,C71),'ID1&amp;5'!B:J,9,FALSE),"-")</f>
        <v>-</v>
      </c>
      <c r="Q71" s="78" t="str">
        <f>+IFERROR(VLOOKUP(D71,'ID1&amp;5'!K:L,2,FALSE),"-")</f>
        <v>-</v>
      </c>
      <c r="R71" s="26" t="str">
        <f>+IFERROR(VLOOKUP(CONCATENATE(A71,$D$10,D71),'ID1&amp;5'!B:J,9,FALSE),"-")</f>
        <v>-</v>
      </c>
      <c r="S71" s="78" t="str">
        <f>+IFERROR(VLOOKUP(E71,'ID1&amp;5'!K:L,2,FALSE),"-")</f>
        <v>-</v>
      </c>
      <c r="T71" s="79" t="str">
        <f>+IFERROR(VLOOKUP(CONCATENATE(A71,$E$10,E71),'ID1&amp;5'!B:J,9,FALSE),"-")</f>
        <v>-</v>
      </c>
      <c r="U71" s="78" t="str">
        <f>+IFERROR(VLOOKUP(F71,'ID1&amp;5'!K:L,2,FALSE),"-")</f>
        <v>-</v>
      </c>
      <c r="V71" s="79" t="str">
        <f>+IFERROR(VLOOKUP(CONCATENATE(A71,$F$10,F71),'ID1&amp;5'!B:J,9,FALSE),"-")</f>
        <v>-</v>
      </c>
      <c r="W71" s="26" t="str">
        <f>+IFERROR(VLOOKUP(A71,'ID6&amp;7'!A:I,9,FALSE),"-")</f>
        <v>-</v>
      </c>
      <c r="X71" s="26" t="str">
        <f>+IFERROR(VLOOKUP(A71,'ID6&amp;7'!A:J,10,FALSE),"-")</f>
        <v>-</v>
      </c>
      <c r="Y71" s="26"/>
      <c r="Z71" s="27" t="str">
        <f t="shared" si="2"/>
        <v>Por iniciar</v>
      </c>
      <c r="AA71" s="65"/>
    </row>
    <row r="72" spans="1:27">
      <c r="A72" s="20"/>
      <c r="B72" s="60"/>
      <c r="C72" s="60"/>
      <c r="D72" s="60"/>
      <c r="E72" s="60"/>
      <c r="F72" s="60"/>
      <c r="G72" s="60"/>
      <c r="H72" s="65" t="s">
        <v>117</v>
      </c>
      <c r="I72" s="21" t="s">
        <v>1155</v>
      </c>
      <c r="J72" s="26">
        <f>+COUNTIF('ID1&amp;5'!G:G,'1. Status'!I72)</f>
        <v>0</v>
      </c>
      <c r="K72" s="79" t="str">
        <f>+IFERROR(VLOOKUP(CONCATENATE(A72,$B$10,B72),'ID1&amp;5'!B:J,8,FALSE),"-")</f>
        <v>-</v>
      </c>
      <c r="L72" s="78" t="str">
        <f>+IFERROR(VLOOKUP(B72,'ID1&amp;5'!K:L,2,FALSE),"-")</f>
        <v>-</v>
      </c>
      <c r="M72" s="79" t="str">
        <f>+IFERROR(VLOOKUP(CONCATENATE(A72,$B$10,B72),'ID1&amp;5'!B:J,9,FALSE),"-")</f>
        <v>-</v>
      </c>
      <c r="N72" s="79" t="str">
        <f>+IFERROR(VLOOKUP(CONCATENATE(A72,$C$10,C72),'ID1&amp;5'!B:J,8,FALSE),"-")</f>
        <v>-</v>
      </c>
      <c r="O72" s="78" t="str">
        <f>+IFERROR(VLOOKUP(C72,'ID1&amp;5'!K:L,2,FALSE),"-")</f>
        <v>-</v>
      </c>
      <c r="P72" s="79" t="str">
        <f>+IFERROR(VLOOKUP(CONCATENATE(A72,$C$10,C72),'ID1&amp;5'!B:J,9,FALSE),"-")</f>
        <v>-</v>
      </c>
      <c r="Q72" s="78" t="str">
        <f>+IFERROR(VLOOKUP(D72,'ID1&amp;5'!K:L,2,FALSE),"-")</f>
        <v>-</v>
      </c>
      <c r="R72" s="26" t="str">
        <f>+IFERROR(VLOOKUP(CONCATENATE(A72,$D$10,D72),'ID1&amp;5'!B:J,9,FALSE),"-")</f>
        <v>-</v>
      </c>
      <c r="S72" s="78" t="str">
        <f>+IFERROR(VLOOKUP(E72,'ID1&amp;5'!K:L,2,FALSE),"-")</f>
        <v>-</v>
      </c>
      <c r="T72" s="79" t="str">
        <f>+IFERROR(VLOOKUP(CONCATENATE(A72,$E$10,E72),'ID1&amp;5'!B:J,9,FALSE),"-")</f>
        <v>-</v>
      </c>
      <c r="U72" s="78" t="str">
        <f>+IFERROR(VLOOKUP(F72,'ID1&amp;5'!K:L,2,FALSE),"-")</f>
        <v>-</v>
      </c>
      <c r="V72" s="79" t="str">
        <f>+IFERROR(VLOOKUP(CONCATENATE(A72,$F$10,F72),'ID1&amp;5'!B:J,9,FALSE),"-")</f>
        <v>-</v>
      </c>
      <c r="W72" s="26" t="str">
        <f>+IFERROR(VLOOKUP(A72,'ID6&amp;7'!A:I,9,FALSE),"-")</f>
        <v>-</v>
      </c>
      <c r="X72" s="26" t="str">
        <f>+IFERROR(VLOOKUP(A72,'ID6&amp;7'!A:J,10,FALSE),"-")</f>
        <v>-</v>
      </c>
      <c r="Y72" s="26"/>
      <c r="Z72" s="27" t="str">
        <f t="shared" si="2"/>
        <v>Por iniciar</v>
      </c>
      <c r="AA72" s="65"/>
    </row>
    <row r="73" spans="1:27">
      <c r="A73" s="20"/>
      <c r="B73" s="60"/>
      <c r="C73" s="60"/>
      <c r="D73" s="60"/>
      <c r="E73" s="60"/>
      <c r="F73" s="60"/>
      <c r="G73" s="60"/>
      <c r="H73" s="65" t="s">
        <v>117</v>
      </c>
      <c r="I73" s="21" t="s">
        <v>1156</v>
      </c>
      <c r="J73" s="26">
        <f>+COUNTIF('ID1&amp;5'!G:G,'1. Status'!I73)</f>
        <v>0</v>
      </c>
      <c r="K73" s="79" t="str">
        <f>+IFERROR(VLOOKUP(CONCATENATE(A73,$B$10,B73),'ID1&amp;5'!B:J,8,FALSE),"-")</f>
        <v>-</v>
      </c>
      <c r="L73" s="78" t="str">
        <f>+IFERROR(VLOOKUP(B73,'ID1&amp;5'!K:L,2,FALSE),"-")</f>
        <v>-</v>
      </c>
      <c r="M73" s="79" t="str">
        <f>+IFERROR(VLOOKUP(CONCATENATE(A73,$B$10,B73),'ID1&amp;5'!B:J,9,FALSE),"-")</f>
        <v>-</v>
      </c>
      <c r="N73" s="79" t="str">
        <f>+IFERROR(VLOOKUP(CONCATENATE(A73,$C$10,C73),'ID1&amp;5'!B:J,8,FALSE),"-")</f>
        <v>-</v>
      </c>
      <c r="O73" s="78" t="str">
        <f>+IFERROR(VLOOKUP(C73,'ID1&amp;5'!K:L,2,FALSE),"-")</f>
        <v>-</v>
      </c>
      <c r="P73" s="79" t="str">
        <f>+IFERROR(VLOOKUP(CONCATENATE(A73,$C$10,C73),'ID1&amp;5'!B:J,9,FALSE),"-")</f>
        <v>-</v>
      </c>
      <c r="Q73" s="78" t="str">
        <f>+IFERROR(VLOOKUP(D73,'ID1&amp;5'!K:L,2,FALSE),"-")</f>
        <v>-</v>
      </c>
      <c r="R73" s="26" t="str">
        <f>+IFERROR(VLOOKUP(CONCATENATE(A73,$D$10,D73),'ID1&amp;5'!B:J,9,FALSE),"-")</f>
        <v>-</v>
      </c>
      <c r="S73" s="78" t="str">
        <f>+IFERROR(VLOOKUP(E73,'ID1&amp;5'!K:L,2,FALSE),"-")</f>
        <v>-</v>
      </c>
      <c r="T73" s="79" t="str">
        <f>+IFERROR(VLOOKUP(CONCATENATE(A73,$E$10,E73),'ID1&amp;5'!B:J,9,FALSE),"-")</f>
        <v>-</v>
      </c>
      <c r="U73" s="78" t="str">
        <f>+IFERROR(VLOOKUP(F73,'ID1&amp;5'!K:L,2,FALSE),"-")</f>
        <v>-</v>
      </c>
      <c r="V73" s="79" t="str">
        <f>+IFERROR(VLOOKUP(CONCATENATE(A73,$F$10,F73),'ID1&amp;5'!B:J,9,FALSE),"-")</f>
        <v>-</v>
      </c>
      <c r="W73" s="26" t="str">
        <f>+IFERROR(VLOOKUP(A73,'ID6&amp;7'!A:I,9,FALSE),"-")</f>
        <v>-</v>
      </c>
      <c r="X73" s="26" t="str">
        <f>+IFERROR(VLOOKUP(A73,'ID6&amp;7'!A:J,10,FALSE),"-")</f>
        <v>-</v>
      </c>
      <c r="Y73" s="26"/>
      <c r="Z73" s="27" t="str">
        <f t="shared" si="2"/>
        <v>Por iniciar</v>
      </c>
      <c r="AA73" s="65"/>
    </row>
    <row r="74" spans="1:27">
      <c r="A74" s="20"/>
      <c r="B74" s="60"/>
      <c r="C74" s="60"/>
      <c r="D74" s="60"/>
      <c r="E74" s="60"/>
      <c r="F74" s="60"/>
      <c r="G74" s="60"/>
      <c r="H74" s="65" t="s">
        <v>117</v>
      </c>
      <c r="I74" s="21" t="s">
        <v>1157</v>
      </c>
      <c r="J74" s="26">
        <f>+COUNTIF('ID1&amp;5'!G:G,'1. Status'!I74)</f>
        <v>0</v>
      </c>
      <c r="K74" s="79" t="str">
        <f>+IFERROR(VLOOKUP(CONCATENATE(A74,$B$10,B74),'ID1&amp;5'!B:J,8,FALSE),"-")</f>
        <v>-</v>
      </c>
      <c r="L74" s="78" t="str">
        <f>+IFERROR(VLOOKUP(B74,'ID1&amp;5'!K:L,2,FALSE),"-")</f>
        <v>-</v>
      </c>
      <c r="M74" s="79" t="str">
        <f>+IFERROR(VLOOKUP(CONCATENATE(A74,$B$10,B74),'ID1&amp;5'!B:J,9,FALSE),"-")</f>
        <v>-</v>
      </c>
      <c r="N74" s="79" t="str">
        <f>+IFERROR(VLOOKUP(CONCATENATE(A74,$C$10,C74),'ID1&amp;5'!B:J,8,FALSE),"-")</f>
        <v>-</v>
      </c>
      <c r="O74" s="78" t="str">
        <f>+IFERROR(VLOOKUP(C74,'ID1&amp;5'!K:L,2,FALSE),"-")</f>
        <v>-</v>
      </c>
      <c r="P74" s="79" t="str">
        <f>+IFERROR(VLOOKUP(CONCATENATE(A74,$C$10,C74),'ID1&amp;5'!B:J,9,FALSE),"-")</f>
        <v>-</v>
      </c>
      <c r="Q74" s="78" t="str">
        <f>+IFERROR(VLOOKUP(D74,'ID1&amp;5'!K:L,2,FALSE),"-")</f>
        <v>-</v>
      </c>
      <c r="R74" s="26" t="str">
        <f>+IFERROR(VLOOKUP(CONCATENATE(A74,$D$10,D74),'ID1&amp;5'!B:J,9,FALSE),"-")</f>
        <v>-</v>
      </c>
      <c r="S74" s="78" t="str">
        <f>+IFERROR(VLOOKUP(E74,'ID1&amp;5'!K:L,2,FALSE),"-")</f>
        <v>-</v>
      </c>
      <c r="T74" s="79" t="str">
        <f>+IFERROR(VLOOKUP(CONCATENATE(A74,$E$10,E74),'ID1&amp;5'!B:J,9,FALSE),"-")</f>
        <v>-</v>
      </c>
      <c r="U74" s="78" t="str">
        <f>+IFERROR(VLOOKUP(F74,'ID1&amp;5'!K:L,2,FALSE),"-")</f>
        <v>-</v>
      </c>
      <c r="V74" s="79" t="str">
        <f>+IFERROR(VLOOKUP(CONCATENATE(A74,$F$10,F74),'ID1&amp;5'!B:J,9,FALSE),"-")</f>
        <v>-</v>
      </c>
      <c r="W74" s="26" t="str">
        <f>+IFERROR(VLOOKUP(A74,'ID6&amp;7'!A:I,9,FALSE),"-")</f>
        <v>-</v>
      </c>
      <c r="X74" s="26" t="str">
        <f>+IFERROR(VLOOKUP(A74,'ID6&amp;7'!A:J,10,FALSE),"-")</f>
        <v>-</v>
      </c>
      <c r="Y74" s="26"/>
      <c r="Z74" s="27" t="str">
        <f t="shared" si="2"/>
        <v>Por iniciar</v>
      </c>
      <c r="AA74" s="65"/>
    </row>
    <row r="75" spans="1:27">
      <c r="A75" s="20"/>
      <c r="B75" s="60"/>
      <c r="C75" s="60"/>
      <c r="D75" s="60"/>
      <c r="E75" s="60"/>
      <c r="F75" s="60"/>
      <c r="G75" s="60"/>
      <c r="H75" s="65" t="s">
        <v>117</v>
      </c>
      <c r="I75" s="21" t="s">
        <v>1158</v>
      </c>
      <c r="J75" s="26">
        <f>+COUNTIF('ID1&amp;5'!G:G,'1. Status'!I75)</f>
        <v>0</v>
      </c>
      <c r="K75" s="79" t="str">
        <f>+IFERROR(VLOOKUP(CONCATENATE(A75,$B$10,B75),'ID1&amp;5'!B:J,8,FALSE),"-")</f>
        <v>-</v>
      </c>
      <c r="L75" s="78" t="str">
        <f>+IFERROR(VLOOKUP(B75,'ID1&amp;5'!K:L,2,FALSE),"-")</f>
        <v>-</v>
      </c>
      <c r="M75" s="79" t="str">
        <f>+IFERROR(VLOOKUP(CONCATENATE(A75,$B$10,B75),'ID1&amp;5'!B:J,9,FALSE),"-")</f>
        <v>-</v>
      </c>
      <c r="N75" s="79" t="str">
        <f>+IFERROR(VLOOKUP(CONCATENATE(A75,$C$10,C75),'ID1&amp;5'!B:J,8,FALSE),"-")</f>
        <v>-</v>
      </c>
      <c r="O75" s="78" t="str">
        <f>+IFERROR(VLOOKUP(C75,'ID1&amp;5'!K:L,2,FALSE),"-")</f>
        <v>-</v>
      </c>
      <c r="P75" s="79" t="str">
        <f>+IFERROR(VLOOKUP(CONCATENATE(A75,$C$10,C75),'ID1&amp;5'!B:J,9,FALSE),"-")</f>
        <v>-</v>
      </c>
      <c r="Q75" s="78" t="str">
        <f>+IFERROR(VLOOKUP(D75,'ID1&amp;5'!K:L,2,FALSE),"-")</f>
        <v>-</v>
      </c>
      <c r="R75" s="26" t="str">
        <f>+IFERROR(VLOOKUP(CONCATENATE(A75,$D$10,D75),'ID1&amp;5'!B:J,9,FALSE),"-")</f>
        <v>-</v>
      </c>
      <c r="S75" s="78" t="str">
        <f>+IFERROR(VLOOKUP(E75,'ID1&amp;5'!K:L,2,FALSE),"-")</f>
        <v>-</v>
      </c>
      <c r="T75" s="79" t="str">
        <f>+IFERROR(VLOOKUP(CONCATENATE(A75,$E$10,E75),'ID1&amp;5'!B:J,9,FALSE),"-")</f>
        <v>-</v>
      </c>
      <c r="U75" s="78" t="str">
        <f>+IFERROR(VLOOKUP(F75,'ID1&amp;5'!K:L,2,FALSE),"-")</f>
        <v>-</v>
      </c>
      <c r="V75" s="79" t="str">
        <f>+IFERROR(VLOOKUP(CONCATENATE(A75,$F$10,F75),'ID1&amp;5'!B:J,9,FALSE),"-")</f>
        <v>-</v>
      </c>
      <c r="W75" s="26" t="str">
        <f>+IFERROR(VLOOKUP(A75,'ID6&amp;7'!A:I,9,FALSE),"-")</f>
        <v>-</v>
      </c>
      <c r="X75" s="26" t="str">
        <f>+IFERROR(VLOOKUP(A75,'ID6&amp;7'!A:J,10,FALSE),"-")</f>
        <v>-</v>
      </c>
      <c r="Y75" s="26"/>
      <c r="Z75" s="27" t="str">
        <f t="shared" si="2"/>
        <v>Por iniciar</v>
      </c>
      <c r="AA75" s="65"/>
    </row>
    <row r="76" spans="1:27">
      <c r="A76" s="20"/>
      <c r="B76" s="60"/>
      <c r="C76" s="60"/>
      <c r="D76" s="60"/>
      <c r="E76" s="60"/>
      <c r="F76" s="60"/>
      <c r="G76" s="60"/>
      <c r="H76" s="65" t="s">
        <v>117</v>
      </c>
      <c r="I76" s="21" t="s">
        <v>642</v>
      </c>
      <c r="J76" s="26">
        <f>+COUNTIF('ID1&amp;5'!G:G,'1. Status'!I76)</f>
        <v>0</v>
      </c>
      <c r="K76" s="79" t="str">
        <f>+IFERROR(VLOOKUP(CONCATENATE(A76,$B$10,B76),'ID1&amp;5'!B:J,8,FALSE),"-")</f>
        <v>-</v>
      </c>
      <c r="L76" s="78" t="str">
        <f>+IFERROR(VLOOKUP(B76,'ID1&amp;5'!K:L,2,FALSE),"-")</f>
        <v>-</v>
      </c>
      <c r="M76" s="79" t="str">
        <f>+IFERROR(VLOOKUP(CONCATENATE(A76,$B$10,B76),'ID1&amp;5'!B:J,9,FALSE),"-")</f>
        <v>-</v>
      </c>
      <c r="N76" s="79" t="str">
        <f>+IFERROR(VLOOKUP(CONCATENATE(A76,$C$10,C76),'ID1&amp;5'!B:J,8,FALSE),"-")</f>
        <v>-</v>
      </c>
      <c r="O76" s="78" t="str">
        <f>+IFERROR(VLOOKUP(C76,'ID1&amp;5'!K:L,2,FALSE),"-")</f>
        <v>-</v>
      </c>
      <c r="P76" s="79" t="str">
        <f>+IFERROR(VLOOKUP(CONCATENATE(A76,$C$10,C76),'ID1&amp;5'!B:J,9,FALSE),"-")</f>
        <v>-</v>
      </c>
      <c r="Q76" s="78" t="str">
        <f>+IFERROR(VLOOKUP(D76,'ID1&amp;5'!K:L,2,FALSE),"-")</f>
        <v>-</v>
      </c>
      <c r="R76" s="26" t="str">
        <f>+IFERROR(VLOOKUP(CONCATENATE(A76,$D$10,D76),'ID1&amp;5'!B:J,9,FALSE),"-")</f>
        <v>-</v>
      </c>
      <c r="S76" s="78" t="str">
        <f>+IFERROR(VLOOKUP(E76,'ID1&amp;5'!K:L,2,FALSE),"-")</f>
        <v>-</v>
      </c>
      <c r="T76" s="79" t="str">
        <f>+IFERROR(VLOOKUP(CONCATENATE(A76,$E$10,E76),'ID1&amp;5'!B:J,9,FALSE),"-")</f>
        <v>-</v>
      </c>
      <c r="U76" s="78" t="str">
        <f>+IFERROR(VLOOKUP(F76,'ID1&amp;5'!K:L,2,FALSE),"-")</f>
        <v>-</v>
      </c>
      <c r="V76" s="79" t="str">
        <f>+IFERROR(VLOOKUP(CONCATENATE(A76,$F$10,F76),'ID1&amp;5'!B:J,9,FALSE),"-")</f>
        <v>-</v>
      </c>
      <c r="W76" s="26" t="str">
        <f>+IFERROR(VLOOKUP(A76,'ID6&amp;7'!A:I,9,FALSE),"-")</f>
        <v>-</v>
      </c>
      <c r="X76" s="26" t="str">
        <f>+IFERROR(VLOOKUP(A76,'ID6&amp;7'!A:J,10,FALSE),"-")</f>
        <v>-</v>
      </c>
      <c r="Y76" s="26"/>
      <c r="Z76" s="27" t="str">
        <f t="shared" si="2"/>
        <v>Por iniciar</v>
      </c>
      <c r="AA76" s="65"/>
    </row>
    <row r="77" spans="1:27">
      <c r="A77" s="20"/>
      <c r="B77" s="60"/>
      <c r="C77" s="60"/>
      <c r="D77" s="60"/>
      <c r="E77" s="60"/>
      <c r="F77" s="60"/>
      <c r="G77" s="60"/>
      <c r="H77" s="65" t="s">
        <v>117</v>
      </c>
      <c r="I77" s="21" t="s">
        <v>1159</v>
      </c>
      <c r="J77" s="26">
        <f>+COUNTIF('ID1&amp;5'!G:G,'1. Status'!I77)</f>
        <v>0</v>
      </c>
      <c r="K77" s="79" t="str">
        <f>+IFERROR(VLOOKUP(CONCATENATE(A77,$B$10,B77),'ID1&amp;5'!B:J,8,FALSE),"-")</f>
        <v>-</v>
      </c>
      <c r="L77" s="78" t="str">
        <f>+IFERROR(VLOOKUP(B77,'ID1&amp;5'!K:L,2,FALSE),"-")</f>
        <v>-</v>
      </c>
      <c r="M77" s="79" t="str">
        <f>+IFERROR(VLOOKUP(CONCATENATE(A77,$B$10,B77),'ID1&amp;5'!B:J,9,FALSE),"-")</f>
        <v>-</v>
      </c>
      <c r="N77" s="79" t="str">
        <f>+IFERROR(VLOOKUP(CONCATENATE(A77,$C$10,C77),'ID1&amp;5'!B:J,8,FALSE),"-")</f>
        <v>-</v>
      </c>
      <c r="O77" s="78" t="str">
        <f>+IFERROR(VLOOKUP(C77,'ID1&amp;5'!K:L,2,FALSE),"-")</f>
        <v>-</v>
      </c>
      <c r="P77" s="79" t="str">
        <f>+IFERROR(VLOOKUP(CONCATENATE(A77,$C$10,C77),'ID1&amp;5'!B:J,9,FALSE),"-")</f>
        <v>-</v>
      </c>
      <c r="Q77" s="78" t="str">
        <f>+IFERROR(VLOOKUP(D77,'ID1&amp;5'!K:L,2,FALSE),"-")</f>
        <v>-</v>
      </c>
      <c r="R77" s="26" t="str">
        <f>+IFERROR(VLOOKUP(CONCATENATE(A77,$D$10,D77),'ID1&amp;5'!B:J,9,FALSE),"-")</f>
        <v>-</v>
      </c>
      <c r="S77" s="78" t="str">
        <f>+IFERROR(VLOOKUP(E77,'ID1&amp;5'!K:L,2,FALSE),"-")</f>
        <v>-</v>
      </c>
      <c r="T77" s="79" t="str">
        <f>+IFERROR(VLOOKUP(CONCATENATE(A77,$E$10,E77),'ID1&amp;5'!B:J,9,FALSE),"-")</f>
        <v>-</v>
      </c>
      <c r="U77" s="78" t="str">
        <f>+IFERROR(VLOOKUP(F77,'ID1&amp;5'!K:L,2,FALSE),"-")</f>
        <v>-</v>
      </c>
      <c r="V77" s="79" t="str">
        <f>+IFERROR(VLOOKUP(CONCATENATE(A77,$F$10,F77),'ID1&amp;5'!B:J,9,FALSE),"-")</f>
        <v>-</v>
      </c>
      <c r="W77" s="26" t="str">
        <f>+IFERROR(VLOOKUP(A77,'ID6&amp;7'!A:I,9,FALSE),"-")</f>
        <v>-</v>
      </c>
      <c r="X77" s="26" t="str">
        <f>+IFERROR(VLOOKUP(A77,'ID6&amp;7'!A:J,10,FALSE),"-")</f>
        <v>-</v>
      </c>
      <c r="Y77" s="26"/>
      <c r="Z77" s="27" t="str">
        <f t="shared" si="2"/>
        <v>Por iniciar</v>
      </c>
      <c r="AA77" s="65"/>
    </row>
    <row r="78" spans="1:27">
      <c r="A78" s="20"/>
      <c r="B78" s="60"/>
      <c r="C78" s="60"/>
      <c r="D78" s="60"/>
      <c r="E78" s="60"/>
      <c r="F78" s="60"/>
      <c r="G78" s="60"/>
      <c r="H78" s="65" t="s">
        <v>117</v>
      </c>
      <c r="I78" s="21" t="s">
        <v>1160</v>
      </c>
      <c r="J78" s="26">
        <f>+COUNTIF('ID1&amp;5'!G:G,'1. Status'!I78)</f>
        <v>0</v>
      </c>
      <c r="K78" s="79" t="str">
        <f>+IFERROR(VLOOKUP(CONCATENATE(A78,$B$10,B78),'ID1&amp;5'!B:J,8,FALSE),"-")</f>
        <v>-</v>
      </c>
      <c r="L78" s="78" t="str">
        <f>+IFERROR(VLOOKUP(B78,'ID1&amp;5'!K:L,2,FALSE),"-")</f>
        <v>-</v>
      </c>
      <c r="M78" s="79" t="str">
        <f>+IFERROR(VLOOKUP(CONCATENATE(A78,$B$10,B78),'ID1&amp;5'!B:J,9,FALSE),"-")</f>
        <v>-</v>
      </c>
      <c r="N78" s="79" t="str">
        <f>+IFERROR(VLOOKUP(CONCATENATE(A78,$C$10,C78),'ID1&amp;5'!B:J,8,FALSE),"-")</f>
        <v>-</v>
      </c>
      <c r="O78" s="78" t="str">
        <f>+IFERROR(VLOOKUP(C78,'ID1&amp;5'!K:L,2,FALSE),"-")</f>
        <v>-</v>
      </c>
      <c r="P78" s="79" t="str">
        <f>+IFERROR(VLOOKUP(CONCATENATE(A78,$C$10,C78),'ID1&amp;5'!B:J,9,FALSE),"-")</f>
        <v>-</v>
      </c>
      <c r="Q78" s="78" t="str">
        <f>+IFERROR(VLOOKUP(D78,'ID1&amp;5'!K:L,2,FALSE),"-")</f>
        <v>-</v>
      </c>
      <c r="R78" s="26" t="str">
        <f>+IFERROR(VLOOKUP(CONCATENATE(A78,$D$10,D78),'ID1&amp;5'!B:J,9,FALSE),"-")</f>
        <v>-</v>
      </c>
      <c r="S78" s="78" t="str">
        <f>+IFERROR(VLOOKUP(E78,'ID1&amp;5'!K:L,2,FALSE),"-")</f>
        <v>-</v>
      </c>
      <c r="T78" s="79" t="str">
        <f>+IFERROR(VLOOKUP(CONCATENATE(A78,$E$10,E78),'ID1&amp;5'!B:J,9,FALSE),"-")</f>
        <v>-</v>
      </c>
      <c r="U78" s="78" t="str">
        <f>+IFERROR(VLOOKUP(F78,'ID1&amp;5'!K:L,2,FALSE),"-")</f>
        <v>-</v>
      </c>
      <c r="V78" s="79" t="str">
        <f>+IFERROR(VLOOKUP(CONCATENATE(A78,$F$10,F78),'ID1&amp;5'!B:J,9,FALSE),"-")</f>
        <v>-</v>
      </c>
      <c r="W78" s="26" t="str">
        <f>+IFERROR(VLOOKUP(A78,'ID6&amp;7'!A:I,9,FALSE),"-")</f>
        <v>-</v>
      </c>
      <c r="X78" s="26" t="str">
        <f>+IFERROR(VLOOKUP(A78,'ID6&amp;7'!A:J,10,FALSE),"-")</f>
        <v>-</v>
      </c>
      <c r="Y78" s="26"/>
      <c r="Z78" s="27" t="str">
        <f t="shared" si="2"/>
        <v>Por iniciar</v>
      </c>
      <c r="AA78" s="65"/>
    </row>
    <row r="79" spans="1:27">
      <c r="A79" s="20"/>
      <c r="B79" s="60"/>
      <c r="C79" s="60"/>
      <c r="D79" s="60"/>
      <c r="E79" s="60"/>
      <c r="F79" s="60"/>
      <c r="G79" s="60"/>
      <c r="H79" s="65" t="s">
        <v>117</v>
      </c>
      <c r="I79" s="21" t="s">
        <v>1161</v>
      </c>
      <c r="J79" s="26">
        <f>+COUNTIF('ID1&amp;5'!G:G,'1. Status'!I79)</f>
        <v>0</v>
      </c>
      <c r="K79" s="79" t="str">
        <f>+IFERROR(VLOOKUP(CONCATENATE(A79,$B$10,B79),'ID1&amp;5'!B:J,8,FALSE),"-")</f>
        <v>-</v>
      </c>
      <c r="L79" s="78" t="str">
        <f>+IFERROR(VLOOKUP(B79,'ID1&amp;5'!K:L,2,FALSE),"-")</f>
        <v>-</v>
      </c>
      <c r="M79" s="79" t="str">
        <f>+IFERROR(VLOOKUP(CONCATENATE(A79,$B$10,B79),'ID1&amp;5'!B:J,9,FALSE),"-")</f>
        <v>-</v>
      </c>
      <c r="N79" s="79" t="str">
        <f>+IFERROR(VLOOKUP(CONCATENATE(A79,$C$10,C79),'ID1&amp;5'!B:J,8,FALSE),"-")</f>
        <v>-</v>
      </c>
      <c r="O79" s="78" t="str">
        <f>+IFERROR(VLOOKUP(C79,'ID1&amp;5'!K:L,2,FALSE),"-")</f>
        <v>-</v>
      </c>
      <c r="P79" s="79" t="str">
        <f>+IFERROR(VLOOKUP(CONCATENATE(A79,$C$10,C79),'ID1&amp;5'!B:J,9,FALSE),"-")</f>
        <v>-</v>
      </c>
      <c r="Q79" s="78" t="str">
        <f>+IFERROR(VLOOKUP(D79,'ID1&amp;5'!K:L,2,FALSE),"-")</f>
        <v>-</v>
      </c>
      <c r="R79" s="26" t="str">
        <f>+IFERROR(VLOOKUP(CONCATENATE(A79,$D$10,D79),'ID1&amp;5'!B:J,9,FALSE),"-")</f>
        <v>-</v>
      </c>
      <c r="S79" s="78" t="str">
        <f>+IFERROR(VLOOKUP(E79,'ID1&amp;5'!K:L,2,FALSE),"-")</f>
        <v>-</v>
      </c>
      <c r="T79" s="79" t="str">
        <f>+IFERROR(VLOOKUP(CONCATENATE(A79,$E$10,E79),'ID1&amp;5'!B:J,9,FALSE),"-")</f>
        <v>-</v>
      </c>
      <c r="U79" s="78" t="str">
        <f>+IFERROR(VLOOKUP(F79,'ID1&amp;5'!K:L,2,FALSE),"-")</f>
        <v>-</v>
      </c>
      <c r="V79" s="79" t="str">
        <f>+IFERROR(VLOOKUP(CONCATENATE(A79,$F$10,F79),'ID1&amp;5'!B:J,9,FALSE),"-")</f>
        <v>-</v>
      </c>
      <c r="W79" s="26" t="str">
        <f>+IFERROR(VLOOKUP(A79,'ID6&amp;7'!A:I,9,FALSE),"-")</f>
        <v>-</v>
      </c>
      <c r="X79" s="26" t="str">
        <f>+IFERROR(VLOOKUP(A79,'ID6&amp;7'!A:J,10,FALSE),"-")</f>
        <v>-</v>
      </c>
      <c r="Y79" s="26"/>
      <c r="Z79" s="27" t="str">
        <f t="shared" si="2"/>
        <v>Por iniciar</v>
      </c>
      <c r="AA79" s="65"/>
    </row>
    <row r="80" spans="1:27">
      <c r="A80" s="20"/>
      <c r="B80" s="60"/>
      <c r="C80" s="60"/>
      <c r="D80" s="60"/>
      <c r="E80" s="60"/>
      <c r="F80" s="60"/>
      <c r="G80" s="60"/>
      <c r="H80" s="65" t="s">
        <v>117</v>
      </c>
      <c r="I80" s="21" t="s">
        <v>1162</v>
      </c>
      <c r="J80" s="26">
        <f>+COUNTIF('ID1&amp;5'!G:G,'1. Status'!I80)</f>
        <v>0</v>
      </c>
      <c r="K80" s="79" t="str">
        <f>+IFERROR(VLOOKUP(CONCATENATE(A80,$B$10,B80),'ID1&amp;5'!B:J,8,FALSE),"-")</f>
        <v>-</v>
      </c>
      <c r="L80" s="78" t="str">
        <f>+IFERROR(VLOOKUP(B80,'ID1&amp;5'!K:L,2,FALSE),"-")</f>
        <v>-</v>
      </c>
      <c r="M80" s="79" t="str">
        <f>+IFERROR(VLOOKUP(CONCATENATE(A80,$B$10,B80),'ID1&amp;5'!B:J,9,FALSE),"-")</f>
        <v>-</v>
      </c>
      <c r="N80" s="79" t="str">
        <f>+IFERROR(VLOOKUP(CONCATENATE(A80,$C$10,C80),'ID1&amp;5'!B:J,8,FALSE),"-")</f>
        <v>-</v>
      </c>
      <c r="O80" s="78" t="str">
        <f>+IFERROR(VLOOKUP(C80,'ID1&amp;5'!K:L,2,FALSE),"-")</f>
        <v>-</v>
      </c>
      <c r="P80" s="79" t="str">
        <f>+IFERROR(VLOOKUP(CONCATENATE(A80,$C$10,C80),'ID1&amp;5'!B:J,9,FALSE),"-")</f>
        <v>-</v>
      </c>
      <c r="Q80" s="78" t="str">
        <f>+IFERROR(VLOOKUP(D80,'ID1&amp;5'!K:L,2,FALSE),"-")</f>
        <v>-</v>
      </c>
      <c r="R80" s="26" t="str">
        <f>+IFERROR(VLOOKUP(CONCATENATE(A80,$D$10,D80),'ID1&amp;5'!B:J,9,FALSE),"-")</f>
        <v>-</v>
      </c>
      <c r="S80" s="78" t="str">
        <f>+IFERROR(VLOOKUP(E80,'ID1&amp;5'!K:L,2,FALSE),"-")</f>
        <v>-</v>
      </c>
      <c r="T80" s="79" t="str">
        <f>+IFERROR(VLOOKUP(CONCATENATE(A80,$E$10,E80),'ID1&amp;5'!B:J,9,FALSE),"-")</f>
        <v>-</v>
      </c>
      <c r="U80" s="78" t="str">
        <f>+IFERROR(VLOOKUP(F80,'ID1&amp;5'!K:L,2,FALSE),"-")</f>
        <v>-</v>
      </c>
      <c r="V80" s="79" t="str">
        <f>+IFERROR(VLOOKUP(CONCATENATE(A80,$F$10,F80),'ID1&amp;5'!B:J,9,FALSE),"-")</f>
        <v>-</v>
      </c>
      <c r="W80" s="26" t="str">
        <f>+IFERROR(VLOOKUP(A80,'ID6&amp;7'!A:I,9,FALSE),"-")</f>
        <v>-</v>
      </c>
      <c r="X80" s="26" t="str">
        <f>+IFERROR(VLOOKUP(A80,'ID6&amp;7'!A:J,10,FALSE),"-")</f>
        <v>-</v>
      </c>
      <c r="Y80" s="26"/>
      <c r="Z80" s="27" t="str">
        <f t="shared" si="2"/>
        <v>Por iniciar</v>
      </c>
      <c r="AA80" s="65"/>
    </row>
    <row r="81" spans="1:27">
      <c r="A81" s="20"/>
      <c r="B81" s="60"/>
      <c r="C81" s="60"/>
      <c r="D81" s="60"/>
      <c r="E81" s="60"/>
      <c r="F81" s="60"/>
      <c r="G81" s="60"/>
      <c r="H81" s="65" t="s">
        <v>117</v>
      </c>
      <c r="I81" s="21" t="s">
        <v>1163</v>
      </c>
      <c r="J81" s="26">
        <f>+COUNTIF('ID1&amp;5'!G:G,'1. Status'!I81)</f>
        <v>0</v>
      </c>
      <c r="K81" s="79" t="str">
        <f>+IFERROR(VLOOKUP(CONCATENATE(A81,$B$10,B81),'ID1&amp;5'!B:J,8,FALSE),"-")</f>
        <v>-</v>
      </c>
      <c r="L81" s="78" t="str">
        <f>+IFERROR(VLOOKUP(B81,'ID1&amp;5'!K:L,2,FALSE),"-")</f>
        <v>-</v>
      </c>
      <c r="M81" s="79" t="str">
        <f>+IFERROR(VLOOKUP(CONCATENATE(A81,$B$10,B81),'ID1&amp;5'!B:J,9,FALSE),"-")</f>
        <v>-</v>
      </c>
      <c r="N81" s="79" t="str">
        <f>+IFERROR(VLOOKUP(CONCATENATE(A81,$C$10,C81),'ID1&amp;5'!B:J,8,FALSE),"-")</f>
        <v>-</v>
      </c>
      <c r="O81" s="78" t="str">
        <f>+IFERROR(VLOOKUP(C81,'ID1&amp;5'!K:L,2,FALSE),"-")</f>
        <v>-</v>
      </c>
      <c r="P81" s="79" t="str">
        <f>+IFERROR(VLOOKUP(CONCATENATE(A81,$C$10,C81),'ID1&amp;5'!B:J,9,FALSE),"-")</f>
        <v>-</v>
      </c>
      <c r="Q81" s="78" t="str">
        <f>+IFERROR(VLOOKUP(D81,'ID1&amp;5'!K:L,2,FALSE),"-")</f>
        <v>-</v>
      </c>
      <c r="R81" s="26" t="str">
        <f>+IFERROR(VLOOKUP(CONCATENATE(A81,$D$10,D81),'ID1&amp;5'!B:J,9,FALSE),"-")</f>
        <v>-</v>
      </c>
      <c r="S81" s="78" t="str">
        <f>+IFERROR(VLOOKUP(E81,'ID1&amp;5'!K:L,2,FALSE),"-")</f>
        <v>-</v>
      </c>
      <c r="T81" s="79" t="str">
        <f>+IFERROR(VLOOKUP(CONCATENATE(A81,$E$10,E81),'ID1&amp;5'!B:J,9,FALSE),"-")</f>
        <v>-</v>
      </c>
      <c r="U81" s="78" t="str">
        <f>+IFERROR(VLOOKUP(F81,'ID1&amp;5'!K:L,2,FALSE),"-")</f>
        <v>-</v>
      </c>
      <c r="V81" s="79" t="str">
        <f>+IFERROR(VLOOKUP(CONCATENATE(A81,$F$10,F81),'ID1&amp;5'!B:J,9,FALSE),"-")</f>
        <v>-</v>
      </c>
      <c r="W81" s="26" t="str">
        <f>+IFERROR(VLOOKUP(A81,'ID6&amp;7'!A:I,9,FALSE),"-")</f>
        <v>-</v>
      </c>
      <c r="X81" s="26" t="str">
        <f>+IFERROR(VLOOKUP(A81,'ID6&amp;7'!A:J,10,FALSE),"-")</f>
        <v>-</v>
      </c>
      <c r="Y81" s="26"/>
      <c r="Z81" s="27" t="str">
        <f t="shared" si="2"/>
        <v>Por iniciar</v>
      </c>
      <c r="AA81" s="65"/>
    </row>
    <row r="82" spans="1:27">
      <c r="A82" s="20"/>
      <c r="B82" s="60"/>
      <c r="C82" s="60"/>
      <c r="D82" s="60"/>
      <c r="E82" s="60"/>
      <c r="F82" s="60"/>
      <c r="G82" s="60"/>
      <c r="H82" s="65" t="s">
        <v>117</v>
      </c>
      <c r="I82" s="21" t="s">
        <v>1164</v>
      </c>
      <c r="J82" s="26">
        <f>+COUNTIF('ID1&amp;5'!G:G,'1. Status'!I82)</f>
        <v>0</v>
      </c>
      <c r="K82" s="79" t="str">
        <f>+IFERROR(VLOOKUP(CONCATENATE(A82,$B$10,B82),'ID1&amp;5'!B:J,8,FALSE),"-")</f>
        <v>-</v>
      </c>
      <c r="L82" s="78" t="str">
        <f>+IFERROR(VLOOKUP(B82,'ID1&amp;5'!K:L,2,FALSE),"-")</f>
        <v>-</v>
      </c>
      <c r="M82" s="79" t="str">
        <f>+IFERROR(VLOOKUP(CONCATENATE(A82,$B$10,B82),'ID1&amp;5'!B:J,9,FALSE),"-")</f>
        <v>-</v>
      </c>
      <c r="N82" s="79" t="str">
        <f>+IFERROR(VLOOKUP(CONCATENATE(A82,$C$10,C82),'ID1&amp;5'!B:J,8,FALSE),"-")</f>
        <v>-</v>
      </c>
      <c r="O82" s="78" t="str">
        <f>+IFERROR(VLOOKUP(C82,'ID1&amp;5'!K:L,2,FALSE),"-")</f>
        <v>-</v>
      </c>
      <c r="P82" s="79" t="str">
        <f>+IFERROR(VLOOKUP(CONCATENATE(A82,$C$10,C82),'ID1&amp;5'!B:J,9,FALSE),"-")</f>
        <v>-</v>
      </c>
      <c r="Q82" s="78" t="str">
        <f>+IFERROR(VLOOKUP(D82,'ID1&amp;5'!K:L,2,FALSE),"-")</f>
        <v>-</v>
      </c>
      <c r="R82" s="26" t="str">
        <f>+IFERROR(VLOOKUP(CONCATENATE(A82,$D$10,D82),'ID1&amp;5'!B:J,9,FALSE),"-")</f>
        <v>-</v>
      </c>
      <c r="S82" s="78" t="str">
        <f>+IFERROR(VLOOKUP(E82,'ID1&amp;5'!K:L,2,FALSE),"-")</f>
        <v>-</v>
      </c>
      <c r="T82" s="79" t="str">
        <f>+IFERROR(VLOOKUP(CONCATENATE(A82,$E$10,E82),'ID1&amp;5'!B:J,9,FALSE),"-")</f>
        <v>-</v>
      </c>
      <c r="U82" s="78" t="str">
        <f>+IFERROR(VLOOKUP(F82,'ID1&amp;5'!K:L,2,FALSE),"-")</f>
        <v>-</v>
      </c>
      <c r="V82" s="79" t="str">
        <f>+IFERROR(VLOOKUP(CONCATENATE(A82,$F$10,F82),'ID1&amp;5'!B:J,9,FALSE),"-")</f>
        <v>-</v>
      </c>
      <c r="W82" s="26" t="str">
        <f>+IFERROR(VLOOKUP(A82,'ID6&amp;7'!A:I,9,FALSE),"-")</f>
        <v>-</v>
      </c>
      <c r="X82" s="26" t="str">
        <f>+IFERROR(VLOOKUP(A82,'ID6&amp;7'!A:J,10,FALSE),"-")</f>
        <v>-</v>
      </c>
      <c r="Y82" s="26"/>
      <c r="Z82" s="27" t="str">
        <f t="shared" si="2"/>
        <v>Por iniciar</v>
      </c>
      <c r="AA82" s="65"/>
    </row>
    <row r="83" spans="1:27">
      <c r="A83" s="20"/>
      <c r="B83" s="60"/>
      <c r="C83" s="60"/>
      <c r="D83" s="60"/>
      <c r="E83" s="60"/>
      <c r="F83" s="60"/>
      <c r="G83" s="60"/>
      <c r="H83" s="65" t="s">
        <v>117</v>
      </c>
      <c r="I83" s="21" t="s">
        <v>300</v>
      </c>
      <c r="J83" s="26">
        <f>+COUNTIF('ID1&amp;5'!G:G,'1. Status'!I83)</f>
        <v>0</v>
      </c>
      <c r="K83" s="79" t="str">
        <f>+IFERROR(VLOOKUP(CONCATENATE(A83,$B$10,B83),'ID1&amp;5'!B:J,8,FALSE),"-")</f>
        <v>-</v>
      </c>
      <c r="L83" s="78" t="str">
        <f>+IFERROR(VLOOKUP(B83,'ID1&amp;5'!K:L,2,FALSE),"-")</f>
        <v>-</v>
      </c>
      <c r="M83" s="79" t="str">
        <f>+IFERROR(VLOOKUP(CONCATENATE(A83,$B$10,B83),'ID1&amp;5'!B:J,9,FALSE),"-")</f>
        <v>-</v>
      </c>
      <c r="N83" s="79" t="str">
        <f>+IFERROR(VLOOKUP(CONCATENATE(A83,$C$10,C83),'ID1&amp;5'!B:J,8,FALSE),"-")</f>
        <v>-</v>
      </c>
      <c r="O83" s="78" t="str">
        <f>+IFERROR(VLOOKUP(C83,'ID1&amp;5'!K:L,2,FALSE),"-")</f>
        <v>-</v>
      </c>
      <c r="P83" s="79" t="str">
        <f>+IFERROR(VLOOKUP(CONCATENATE(A83,$C$10,C83),'ID1&amp;5'!B:J,9,FALSE),"-")</f>
        <v>-</v>
      </c>
      <c r="Q83" s="78" t="str">
        <f>+IFERROR(VLOOKUP(D83,'ID1&amp;5'!K:L,2,FALSE),"-")</f>
        <v>-</v>
      </c>
      <c r="R83" s="26" t="str">
        <f>+IFERROR(VLOOKUP(CONCATENATE(A83,$D$10,D83),'ID1&amp;5'!B:J,9,FALSE),"-")</f>
        <v>-</v>
      </c>
      <c r="S83" s="78" t="str">
        <f>+IFERROR(VLOOKUP(E83,'ID1&amp;5'!K:L,2,FALSE),"-")</f>
        <v>-</v>
      </c>
      <c r="T83" s="79" t="str">
        <f>+IFERROR(VLOOKUP(CONCATENATE(A83,$E$10,E83),'ID1&amp;5'!B:J,9,FALSE),"-")</f>
        <v>-</v>
      </c>
      <c r="U83" s="78" t="str">
        <f>+IFERROR(VLOOKUP(F83,'ID1&amp;5'!K:L,2,FALSE),"-")</f>
        <v>-</v>
      </c>
      <c r="V83" s="79" t="str">
        <f>+IFERROR(VLOOKUP(CONCATENATE(A83,$F$10,F83),'ID1&amp;5'!B:J,9,FALSE),"-")</f>
        <v>-</v>
      </c>
      <c r="W83" s="26" t="str">
        <f>+IFERROR(VLOOKUP(A83,'ID6&amp;7'!A:I,9,FALSE),"-")</f>
        <v>-</v>
      </c>
      <c r="X83" s="26" t="str">
        <f>+IFERROR(VLOOKUP(A83,'ID6&amp;7'!A:J,10,FALSE),"-")</f>
        <v>-</v>
      </c>
      <c r="Y83" s="26"/>
      <c r="Z83" s="27" t="str">
        <f t="shared" si="2"/>
        <v>Por iniciar</v>
      </c>
      <c r="AA83" s="65"/>
    </row>
    <row r="84" spans="1:27">
      <c r="A84" s="20"/>
      <c r="B84" s="60"/>
      <c r="C84" s="60"/>
      <c r="D84" s="60"/>
      <c r="E84" s="60"/>
      <c r="F84" s="60"/>
      <c r="G84" s="60"/>
      <c r="H84" s="65" t="s">
        <v>117</v>
      </c>
      <c r="I84" s="21" t="s">
        <v>301</v>
      </c>
      <c r="J84" s="26">
        <f>+COUNTIF('ID1&amp;5'!G:G,'1. Status'!I84)</f>
        <v>0</v>
      </c>
      <c r="K84" s="79" t="str">
        <f>+IFERROR(VLOOKUP(CONCATENATE(A84,$B$10,B84),'ID1&amp;5'!B:J,8,FALSE),"-")</f>
        <v>-</v>
      </c>
      <c r="L84" s="78" t="str">
        <f>+IFERROR(VLOOKUP(B84,'ID1&amp;5'!K:L,2,FALSE),"-")</f>
        <v>-</v>
      </c>
      <c r="M84" s="79" t="str">
        <f>+IFERROR(VLOOKUP(CONCATENATE(A84,$B$10,B84),'ID1&amp;5'!B:J,9,FALSE),"-")</f>
        <v>-</v>
      </c>
      <c r="N84" s="79" t="str">
        <f>+IFERROR(VLOOKUP(CONCATENATE(A84,$C$10,C84),'ID1&amp;5'!B:J,8,FALSE),"-")</f>
        <v>-</v>
      </c>
      <c r="O84" s="78" t="str">
        <f>+IFERROR(VLOOKUP(C84,'ID1&amp;5'!K:L,2,FALSE),"-")</f>
        <v>-</v>
      </c>
      <c r="P84" s="79" t="str">
        <f>+IFERROR(VLOOKUP(CONCATENATE(A84,$C$10,C84),'ID1&amp;5'!B:J,9,FALSE),"-")</f>
        <v>-</v>
      </c>
      <c r="Q84" s="78" t="str">
        <f>+IFERROR(VLOOKUP(D84,'ID1&amp;5'!K:L,2,FALSE),"-")</f>
        <v>-</v>
      </c>
      <c r="R84" s="26" t="str">
        <f>+IFERROR(VLOOKUP(CONCATENATE(A84,$D$10,D84),'ID1&amp;5'!B:J,9,FALSE),"-")</f>
        <v>-</v>
      </c>
      <c r="S84" s="78" t="str">
        <f>+IFERROR(VLOOKUP(E84,'ID1&amp;5'!K:L,2,FALSE),"-")</f>
        <v>-</v>
      </c>
      <c r="T84" s="79" t="str">
        <f>+IFERROR(VLOOKUP(CONCATENATE(A84,$E$10,E84),'ID1&amp;5'!B:J,9,FALSE),"-")</f>
        <v>-</v>
      </c>
      <c r="U84" s="78" t="str">
        <f>+IFERROR(VLOOKUP(F84,'ID1&amp;5'!K:L,2,FALSE),"-")</f>
        <v>-</v>
      </c>
      <c r="V84" s="79" t="str">
        <f>+IFERROR(VLOOKUP(CONCATENATE(A84,$F$10,F84),'ID1&amp;5'!B:J,9,FALSE),"-")</f>
        <v>-</v>
      </c>
      <c r="W84" s="26" t="str">
        <f>+IFERROR(VLOOKUP(A84,'ID6&amp;7'!A:I,9,FALSE),"-")</f>
        <v>-</v>
      </c>
      <c r="X84" s="26" t="str">
        <f>+IFERROR(VLOOKUP(A84,'ID6&amp;7'!A:J,10,FALSE),"-")</f>
        <v>-</v>
      </c>
      <c r="Y84" s="26"/>
      <c r="Z84" s="27" t="str">
        <f t="shared" si="2"/>
        <v>Por iniciar</v>
      </c>
      <c r="AA84" s="65"/>
    </row>
    <row r="85" spans="1:27">
      <c r="A85" s="20"/>
      <c r="B85" s="60"/>
      <c r="C85" s="60"/>
      <c r="D85" s="60"/>
      <c r="E85" s="60"/>
      <c r="F85" s="60"/>
      <c r="G85" s="60"/>
      <c r="H85" s="65" t="s">
        <v>117</v>
      </c>
      <c r="I85" s="21" t="s">
        <v>1165</v>
      </c>
      <c r="J85" s="26">
        <f>+COUNTIF('ID1&amp;5'!G:G,'1. Status'!I85)</f>
        <v>0</v>
      </c>
      <c r="K85" s="79" t="str">
        <f>+IFERROR(VLOOKUP(CONCATENATE(A85,$B$10,B85),'ID1&amp;5'!B:J,8,FALSE),"-")</f>
        <v>-</v>
      </c>
      <c r="L85" s="78" t="str">
        <f>+IFERROR(VLOOKUP(B85,'ID1&amp;5'!K:L,2,FALSE),"-")</f>
        <v>-</v>
      </c>
      <c r="M85" s="79" t="str">
        <f>+IFERROR(VLOOKUP(CONCATENATE(A85,$B$10,B85),'ID1&amp;5'!B:J,9,FALSE),"-")</f>
        <v>-</v>
      </c>
      <c r="N85" s="79" t="str">
        <f>+IFERROR(VLOOKUP(CONCATENATE(A85,$C$10,C85),'ID1&amp;5'!B:J,8,FALSE),"-")</f>
        <v>-</v>
      </c>
      <c r="O85" s="78" t="str">
        <f>+IFERROR(VLOOKUP(C85,'ID1&amp;5'!K:L,2,FALSE),"-")</f>
        <v>-</v>
      </c>
      <c r="P85" s="79" t="str">
        <f>+IFERROR(VLOOKUP(CONCATENATE(A85,$C$10,C85),'ID1&amp;5'!B:J,9,FALSE),"-")</f>
        <v>-</v>
      </c>
      <c r="Q85" s="78" t="str">
        <f>+IFERROR(VLOOKUP(D85,'ID1&amp;5'!K:L,2,FALSE),"-")</f>
        <v>-</v>
      </c>
      <c r="R85" s="26" t="str">
        <f>+IFERROR(VLOOKUP(CONCATENATE(A85,$D$10,D85),'ID1&amp;5'!B:J,9,FALSE),"-")</f>
        <v>-</v>
      </c>
      <c r="S85" s="78" t="str">
        <f>+IFERROR(VLOOKUP(E85,'ID1&amp;5'!K:L,2,FALSE),"-")</f>
        <v>-</v>
      </c>
      <c r="T85" s="79" t="str">
        <f>+IFERROR(VLOOKUP(CONCATENATE(A85,$E$10,E85),'ID1&amp;5'!B:J,9,FALSE),"-")</f>
        <v>-</v>
      </c>
      <c r="U85" s="78" t="str">
        <f>+IFERROR(VLOOKUP(F85,'ID1&amp;5'!K:L,2,FALSE),"-")</f>
        <v>-</v>
      </c>
      <c r="V85" s="79" t="str">
        <f>+IFERROR(VLOOKUP(CONCATENATE(A85,$F$10,F85),'ID1&amp;5'!B:J,9,FALSE),"-")</f>
        <v>-</v>
      </c>
      <c r="W85" s="26" t="str">
        <f>+IFERROR(VLOOKUP(A85,'ID6&amp;7'!A:I,9,FALSE),"-")</f>
        <v>-</v>
      </c>
      <c r="X85" s="26" t="str">
        <f>+IFERROR(VLOOKUP(A85,'ID6&amp;7'!A:J,10,FALSE),"-")</f>
        <v>-</v>
      </c>
      <c r="Y85" s="26"/>
      <c r="Z85" s="27" t="str">
        <f t="shared" si="2"/>
        <v>Por iniciar</v>
      </c>
      <c r="AA85" s="65"/>
    </row>
    <row r="86" spans="1:27">
      <c r="A86" s="20"/>
      <c r="B86" s="60"/>
      <c r="C86" s="60"/>
      <c r="D86" s="60"/>
      <c r="E86" s="60"/>
      <c r="F86" s="60"/>
      <c r="G86" s="60"/>
      <c r="H86" s="65" t="s">
        <v>117</v>
      </c>
      <c r="I86" s="21" t="s">
        <v>1166</v>
      </c>
      <c r="J86" s="26">
        <f>+COUNTIF('ID1&amp;5'!G:G,'1. Status'!I86)</f>
        <v>0</v>
      </c>
      <c r="K86" s="79" t="str">
        <f>+IFERROR(VLOOKUP(CONCATENATE(A86,$B$10,B86),'ID1&amp;5'!B:J,8,FALSE),"-")</f>
        <v>-</v>
      </c>
      <c r="L86" s="78" t="str">
        <f>+IFERROR(VLOOKUP(B86,'ID1&amp;5'!K:L,2,FALSE),"-")</f>
        <v>-</v>
      </c>
      <c r="M86" s="79" t="str">
        <f>+IFERROR(VLOOKUP(CONCATENATE(A86,$B$10,B86),'ID1&amp;5'!B:J,9,FALSE),"-")</f>
        <v>-</v>
      </c>
      <c r="N86" s="79" t="str">
        <f>+IFERROR(VLOOKUP(CONCATENATE(A86,$C$10,C86),'ID1&amp;5'!B:J,8,FALSE),"-")</f>
        <v>-</v>
      </c>
      <c r="O86" s="78" t="str">
        <f>+IFERROR(VLOOKUP(C86,'ID1&amp;5'!K:L,2,FALSE),"-")</f>
        <v>-</v>
      </c>
      <c r="P86" s="79" t="str">
        <f>+IFERROR(VLOOKUP(CONCATENATE(A86,$C$10,C86),'ID1&amp;5'!B:J,9,FALSE),"-")</f>
        <v>-</v>
      </c>
      <c r="Q86" s="78" t="str">
        <f>+IFERROR(VLOOKUP(D86,'ID1&amp;5'!K:L,2,FALSE),"-")</f>
        <v>-</v>
      </c>
      <c r="R86" s="26" t="str">
        <f>+IFERROR(VLOOKUP(CONCATENATE(A86,$D$10,D86),'ID1&amp;5'!B:J,9,FALSE),"-")</f>
        <v>-</v>
      </c>
      <c r="S86" s="78" t="str">
        <f>+IFERROR(VLOOKUP(E86,'ID1&amp;5'!K:L,2,FALSE),"-")</f>
        <v>-</v>
      </c>
      <c r="T86" s="79" t="str">
        <f>+IFERROR(VLOOKUP(CONCATENATE(A86,$E$10,E86),'ID1&amp;5'!B:J,9,FALSE),"-")</f>
        <v>-</v>
      </c>
      <c r="U86" s="78" t="str">
        <f>+IFERROR(VLOOKUP(F86,'ID1&amp;5'!K:L,2,FALSE),"-")</f>
        <v>-</v>
      </c>
      <c r="V86" s="79" t="str">
        <f>+IFERROR(VLOOKUP(CONCATENATE(A86,$F$10,F86),'ID1&amp;5'!B:J,9,FALSE),"-")</f>
        <v>-</v>
      </c>
      <c r="W86" s="26" t="str">
        <f>+IFERROR(VLOOKUP(A86,'ID6&amp;7'!A:I,9,FALSE),"-")</f>
        <v>-</v>
      </c>
      <c r="X86" s="26" t="str">
        <f>+IFERROR(VLOOKUP(A86,'ID6&amp;7'!A:J,10,FALSE),"-")</f>
        <v>-</v>
      </c>
      <c r="Y86" s="26"/>
      <c r="Z86" s="27" t="str">
        <f t="shared" si="2"/>
        <v>Por iniciar</v>
      </c>
      <c r="AA86" s="65"/>
    </row>
    <row r="87" spans="1:27">
      <c r="A87" s="20"/>
      <c r="B87" s="60"/>
      <c r="C87" s="60"/>
      <c r="D87" s="60"/>
      <c r="E87" s="60"/>
      <c r="F87" s="60"/>
      <c r="G87" s="60"/>
      <c r="H87" s="65" t="s">
        <v>117</v>
      </c>
      <c r="I87" s="21" t="s">
        <v>1167</v>
      </c>
      <c r="J87" s="26">
        <f>+COUNTIF('ID1&amp;5'!G:G,'1. Status'!I87)</f>
        <v>0</v>
      </c>
      <c r="K87" s="79" t="str">
        <f>+IFERROR(VLOOKUP(CONCATENATE(A87,$B$10,B87),'ID1&amp;5'!B:J,8,FALSE),"-")</f>
        <v>-</v>
      </c>
      <c r="L87" s="78" t="str">
        <f>+IFERROR(VLOOKUP(B87,'ID1&amp;5'!K:L,2,FALSE),"-")</f>
        <v>-</v>
      </c>
      <c r="M87" s="79" t="str">
        <f>+IFERROR(VLOOKUP(CONCATENATE(A87,$B$10,B87),'ID1&amp;5'!B:J,9,FALSE),"-")</f>
        <v>-</v>
      </c>
      <c r="N87" s="79" t="str">
        <f>+IFERROR(VLOOKUP(CONCATENATE(A87,$C$10,C87),'ID1&amp;5'!B:J,8,FALSE),"-")</f>
        <v>-</v>
      </c>
      <c r="O87" s="78" t="str">
        <f>+IFERROR(VLOOKUP(C87,'ID1&amp;5'!K:L,2,FALSE),"-")</f>
        <v>-</v>
      </c>
      <c r="P87" s="79" t="str">
        <f>+IFERROR(VLOOKUP(CONCATENATE(A87,$C$10,C87),'ID1&amp;5'!B:J,9,FALSE),"-")</f>
        <v>-</v>
      </c>
      <c r="Q87" s="78" t="str">
        <f>+IFERROR(VLOOKUP(D87,'ID1&amp;5'!K:L,2,FALSE),"-")</f>
        <v>-</v>
      </c>
      <c r="R87" s="26" t="str">
        <f>+IFERROR(VLOOKUP(CONCATENATE(A87,$D$10,D87),'ID1&amp;5'!B:J,9,FALSE),"-")</f>
        <v>-</v>
      </c>
      <c r="S87" s="78" t="str">
        <f>+IFERROR(VLOOKUP(E87,'ID1&amp;5'!K:L,2,FALSE),"-")</f>
        <v>-</v>
      </c>
      <c r="T87" s="79" t="str">
        <f>+IFERROR(VLOOKUP(CONCATENATE(A87,$E$10,E87),'ID1&amp;5'!B:J,9,FALSE),"-")</f>
        <v>-</v>
      </c>
      <c r="U87" s="78" t="str">
        <f>+IFERROR(VLOOKUP(F87,'ID1&amp;5'!K:L,2,FALSE),"-")</f>
        <v>-</v>
      </c>
      <c r="V87" s="79" t="str">
        <f>+IFERROR(VLOOKUP(CONCATENATE(A87,$F$10,F87),'ID1&amp;5'!B:J,9,FALSE),"-")</f>
        <v>-</v>
      </c>
      <c r="W87" s="26" t="str">
        <f>+IFERROR(VLOOKUP(A87,'ID6&amp;7'!A:I,9,FALSE),"-")</f>
        <v>-</v>
      </c>
      <c r="X87" s="26" t="str">
        <f>+IFERROR(VLOOKUP(A87,'ID6&amp;7'!A:J,10,FALSE),"-")</f>
        <v>-</v>
      </c>
      <c r="Y87" s="26"/>
      <c r="Z87" s="27" t="str">
        <f t="shared" si="2"/>
        <v>Por iniciar</v>
      </c>
      <c r="AA87" s="65"/>
    </row>
    <row r="88" spans="1:27">
      <c r="A88" s="20"/>
      <c r="B88" s="60"/>
      <c r="C88" s="60"/>
      <c r="D88" s="60"/>
      <c r="E88" s="60"/>
      <c r="F88" s="60"/>
      <c r="G88" s="60"/>
      <c r="H88" s="65" t="s">
        <v>117</v>
      </c>
      <c r="I88" s="21" t="s">
        <v>1168</v>
      </c>
      <c r="J88" s="26">
        <f>+COUNTIF('ID1&amp;5'!G:G,'1. Status'!I88)</f>
        <v>0</v>
      </c>
      <c r="K88" s="79" t="str">
        <f>+IFERROR(VLOOKUP(CONCATENATE(A88,$B$10,B88),'ID1&amp;5'!B:J,8,FALSE),"-")</f>
        <v>-</v>
      </c>
      <c r="L88" s="78" t="str">
        <f>+IFERROR(VLOOKUP(B88,'ID1&amp;5'!K:L,2,FALSE),"-")</f>
        <v>-</v>
      </c>
      <c r="M88" s="79" t="str">
        <f>+IFERROR(VLOOKUP(CONCATENATE(A88,$B$10,B88),'ID1&amp;5'!B:J,9,FALSE),"-")</f>
        <v>-</v>
      </c>
      <c r="N88" s="79" t="str">
        <f>+IFERROR(VLOOKUP(CONCATENATE(A88,$C$10,C88),'ID1&amp;5'!B:J,8,FALSE),"-")</f>
        <v>-</v>
      </c>
      <c r="O88" s="78" t="str">
        <f>+IFERROR(VLOOKUP(C88,'ID1&amp;5'!K:L,2,FALSE),"-")</f>
        <v>-</v>
      </c>
      <c r="P88" s="79" t="str">
        <f>+IFERROR(VLOOKUP(CONCATENATE(A88,$C$10,C88),'ID1&amp;5'!B:J,9,FALSE),"-")</f>
        <v>-</v>
      </c>
      <c r="Q88" s="78" t="str">
        <f>+IFERROR(VLOOKUP(D88,'ID1&amp;5'!K:L,2,FALSE),"-")</f>
        <v>-</v>
      </c>
      <c r="R88" s="26" t="str">
        <f>+IFERROR(VLOOKUP(CONCATENATE(A88,$D$10,D88),'ID1&amp;5'!B:J,9,FALSE),"-")</f>
        <v>-</v>
      </c>
      <c r="S88" s="78" t="str">
        <f>+IFERROR(VLOOKUP(E88,'ID1&amp;5'!K:L,2,FALSE),"-")</f>
        <v>-</v>
      </c>
      <c r="T88" s="79" t="str">
        <f>+IFERROR(VLOOKUP(CONCATENATE(A88,$E$10,E88),'ID1&amp;5'!B:J,9,FALSE),"-")</f>
        <v>-</v>
      </c>
      <c r="U88" s="78" t="str">
        <f>+IFERROR(VLOOKUP(F88,'ID1&amp;5'!K:L,2,FALSE),"-")</f>
        <v>-</v>
      </c>
      <c r="V88" s="79" t="str">
        <f>+IFERROR(VLOOKUP(CONCATENATE(A88,$F$10,F88),'ID1&amp;5'!B:J,9,FALSE),"-")</f>
        <v>-</v>
      </c>
      <c r="W88" s="26" t="str">
        <f>+IFERROR(VLOOKUP(A88,'ID6&amp;7'!A:I,9,FALSE),"-")</f>
        <v>-</v>
      </c>
      <c r="X88" s="26" t="str">
        <f>+IFERROR(VLOOKUP(A88,'ID6&amp;7'!A:J,10,FALSE),"-")</f>
        <v>-</v>
      </c>
      <c r="Y88" s="26"/>
      <c r="Z88" s="27" t="str">
        <f t="shared" si="2"/>
        <v>Por iniciar</v>
      </c>
      <c r="AA88" s="65"/>
    </row>
    <row r="89" spans="1:27">
      <c r="A89" s="20"/>
      <c r="B89" s="60"/>
      <c r="C89" s="60"/>
      <c r="D89" s="60"/>
      <c r="E89" s="60"/>
      <c r="F89" s="60"/>
      <c r="G89" s="60"/>
      <c r="H89" s="65" t="s">
        <v>117</v>
      </c>
      <c r="I89" s="21" t="s">
        <v>302</v>
      </c>
      <c r="J89" s="26">
        <f>+COUNTIF('ID1&amp;5'!G:G,'1. Status'!I89)</f>
        <v>0</v>
      </c>
      <c r="K89" s="79" t="str">
        <f>+IFERROR(VLOOKUP(CONCATENATE(A89,$B$10,B89),'ID1&amp;5'!B:J,8,FALSE),"-")</f>
        <v>-</v>
      </c>
      <c r="L89" s="78" t="str">
        <f>+IFERROR(VLOOKUP(B89,'ID1&amp;5'!K:L,2,FALSE),"-")</f>
        <v>-</v>
      </c>
      <c r="M89" s="79" t="str">
        <f>+IFERROR(VLOOKUP(CONCATENATE(A89,$B$10,B89),'ID1&amp;5'!B:J,9,FALSE),"-")</f>
        <v>-</v>
      </c>
      <c r="N89" s="79" t="str">
        <f>+IFERROR(VLOOKUP(CONCATENATE(A89,$C$10,C89),'ID1&amp;5'!B:J,8,FALSE),"-")</f>
        <v>-</v>
      </c>
      <c r="O89" s="78" t="str">
        <f>+IFERROR(VLOOKUP(C89,'ID1&amp;5'!K:L,2,FALSE),"-")</f>
        <v>-</v>
      </c>
      <c r="P89" s="79" t="str">
        <f>+IFERROR(VLOOKUP(CONCATENATE(A89,$C$10,C89),'ID1&amp;5'!B:J,9,FALSE),"-")</f>
        <v>-</v>
      </c>
      <c r="Q89" s="78" t="str">
        <f>+IFERROR(VLOOKUP(D89,'ID1&amp;5'!K:L,2,FALSE),"-")</f>
        <v>-</v>
      </c>
      <c r="R89" s="26" t="str">
        <f>+IFERROR(VLOOKUP(CONCATENATE(A89,$D$10,D89),'ID1&amp;5'!B:J,9,FALSE),"-")</f>
        <v>-</v>
      </c>
      <c r="S89" s="78" t="str">
        <f>+IFERROR(VLOOKUP(E89,'ID1&amp;5'!K:L,2,FALSE),"-")</f>
        <v>-</v>
      </c>
      <c r="T89" s="79" t="str">
        <f>+IFERROR(VLOOKUP(CONCATENATE(A89,$E$10,E89),'ID1&amp;5'!B:J,9,FALSE),"-")</f>
        <v>-</v>
      </c>
      <c r="U89" s="78" t="str">
        <f>+IFERROR(VLOOKUP(F89,'ID1&amp;5'!K:L,2,FALSE),"-")</f>
        <v>-</v>
      </c>
      <c r="V89" s="79" t="str">
        <f>+IFERROR(VLOOKUP(CONCATENATE(A89,$F$10,F89),'ID1&amp;5'!B:J,9,FALSE),"-")</f>
        <v>-</v>
      </c>
      <c r="W89" s="26" t="str">
        <f>+IFERROR(VLOOKUP(A89,'ID6&amp;7'!A:I,9,FALSE),"-")</f>
        <v>-</v>
      </c>
      <c r="X89" s="26" t="str">
        <f>+IFERROR(VLOOKUP(A89,'ID6&amp;7'!A:J,10,FALSE),"-")</f>
        <v>-</v>
      </c>
      <c r="Y89" s="26"/>
      <c r="Z89" s="27" t="str">
        <f t="shared" si="2"/>
        <v>Por iniciar</v>
      </c>
      <c r="AA89" s="65"/>
    </row>
    <row r="90" spans="1:27">
      <c r="A90" s="20"/>
      <c r="B90" s="60"/>
      <c r="C90" s="60"/>
      <c r="D90" s="60"/>
      <c r="E90" s="60"/>
      <c r="F90" s="60"/>
      <c r="G90" s="60"/>
      <c r="H90" s="65" t="s">
        <v>117</v>
      </c>
      <c r="I90" s="21" t="s">
        <v>643</v>
      </c>
      <c r="J90" s="26">
        <f>+COUNTIF('ID1&amp;5'!G:G,'1. Status'!I90)</f>
        <v>0</v>
      </c>
      <c r="K90" s="79" t="str">
        <f>+IFERROR(VLOOKUP(CONCATENATE(A90,$B$10,B90),'ID1&amp;5'!B:J,8,FALSE),"-")</f>
        <v>-</v>
      </c>
      <c r="L90" s="78" t="str">
        <f>+IFERROR(VLOOKUP(B90,'ID1&amp;5'!K:L,2,FALSE),"-")</f>
        <v>-</v>
      </c>
      <c r="M90" s="79" t="str">
        <f>+IFERROR(VLOOKUP(CONCATENATE(A90,$B$10,B90),'ID1&amp;5'!B:J,9,FALSE),"-")</f>
        <v>-</v>
      </c>
      <c r="N90" s="79" t="str">
        <f>+IFERROR(VLOOKUP(CONCATENATE(A90,$C$10,C90),'ID1&amp;5'!B:J,8,FALSE),"-")</f>
        <v>-</v>
      </c>
      <c r="O90" s="78" t="str">
        <f>+IFERROR(VLOOKUP(C90,'ID1&amp;5'!K:L,2,FALSE),"-")</f>
        <v>-</v>
      </c>
      <c r="P90" s="79" t="str">
        <f>+IFERROR(VLOOKUP(CONCATENATE(A90,$C$10,C90),'ID1&amp;5'!B:J,9,FALSE),"-")</f>
        <v>-</v>
      </c>
      <c r="Q90" s="78" t="str">
        <f>+IFERROR(VLOOKUP(D90,'ID1&amp;5'!K:L,2,FALSE),"-")</f>
        <v>-</v>
      </c>
      <c r="R90" s="26" t="str">
        <f>+IFERROR(VLOOKUP(CONCATENATE(A90,$D$10,D90),'ID1&amp;5'!B:J,9,FALSE),"-")</f>
        <v>-</v>
      </c>
      <c r="S90" s="78" t="str">
        <f>+IFERROR(VLOOKUP(E90,'ID1&amp;5'!K:L,2,FALSE),"-")</f>
        <v>-</v>
      </c>
      <c r="T90" s="79" t="str">
        <f>+IFERROR(VLOOKUP(CONCATENATE(A90,$E$10,E90),'ID1&amp;5'!B:J,9,FALSE),"-")</f>
        <v>-</v>
      </c>
      <c r="U90" s="78" t="str">
        <f>+IFERROR(VLOOKUP(F90,'ID1&amp;5'!K:L,2,FALSE),"-")</f>
        <v>-</v>
      </c>
      <c r="V90" s="79" t="str">
        <f>+IFERROR(VLOOKUP(CONCATENATE(A90,$F$10,F90),'ID1&amp;5'!B:J,9,FALSE),"-")</f>
        <v>-</v>
      </c>
      <c r="W90" s="26" t="str">
        <f>+IFERROR(VLOOKUP(A90,'ID6&amp;7'!A:I,9,FALSE),"-")</f>
        <v>-</v>
      </c>
      <c r="X90" s="26" t="str">
        <f>+IFERROR(VLOOKUP(A90,'ID6&amp;7'!A:J,10,FALSE),"-")</f>
        <v>-</v>
      </c>
      <c r="Y90" s="26"/>
      <c r="Z90" s="27" t="str">
        <f t="shared" si="2"/>
        <v>Por iniciar</v>
      </c>
      <c r="AA90" s="65"/>
    </row>
    <row r="91" spans="1:27">
      <c r="A91" s="20"/>
      <c r="B91" s="60"/>
      <c r="C91" s="60"/>
      <c r="D91" s="60"/>
      <c r="E91" s="60"/>
      <c r="F91" s="60"/>
      <c r="G91" s="60"/>
      <c r="H91" s="65" t="s">
        <v>117</v>
      </c>
      <c r="I91" s="21" t="s">
        <v>304</v>
      </c>
      <c r="J91" s="26">
        <f>+COUNTIF('ID1&amp;5'!G:G,'1. Status'!I91)</f>
        <v>0</v>
      </c>
      <c r="K91" s="79" t="str">
        <f>+IFERROR(VLOOKUP(CONCATENATE(A91,$B$10,B91),'ID1&amp;5'!B:J,8,FALSE),"-")</f>
        <v>-</v>
      </c>
      <c r="L91" s="78" t="str">
        <f>+IFERROR(VLOOKUP(B91,'ID1&amp;5'!K:L,2,FALSE),"-")</f>
        <v>-</v>
      </c>
      <c r="M91" s="79" t="str">
        <f>+IFERROR(VLOOKUP(CONCATENATE(A91,$B$10,B91),'ID1&amp;5'!B:J,9,FALSE),"-")</f>
        <v>-</v>
      </c>
      <c r="N91" s="79" t="str">
        <f>+IFERROR(VLOOKUP(CONCATENATE(A91,$C$10,C91),'ID1&amp;5'!B:J,8,FALSE),"-")</f>
        <v>-</v>
      </c>
      <c r="O91" s="78" t="str">
        <f>+IFERROR(VLOOKUP(C91,'ID1&amp;5'!K:L,2,FALSE),"-")</f>
        <v>-</v>
      </c>
      <c r="P91" s="79" t="str">
        <f>+IFERROR(VLOOKUP(CONCATENATE(A91,$C$10,C91),'ID1&amp;5'!B:J,9,FALSE),"-")</f>
        <v>-</v>
      </c>
      <c r="Q91" s="78" t="str">
        <f>+IFERROR(VLOOKUP(D91,'ID1&amp;5'!K:L,2,FALSE),"-")</f>
        <v>-</v>
      </c>
      <c r="R91" s="26" t="str">
        <f>+IFERROR(VLOOKUP(CONCATENATE(A91,$D$10,D91),'ID1&amp;5'!B:J,9,FALSE),"-")</f>
        <v>-</v>
      </c>
      <c r="S91" s="78" t="str">
        <f>+IFERROR(VLOOKUP(E91,'ID1&amp;5'!K:L,2,FALSE),"-")</f>
        <v>-</v>
      </c>
      <c r="T91" s="79" t="str">
        <f>+IFERROR(VLOOKUP(CONCATENATE(A91,$E$10,E91),'ID1&amp;5'!B:J,9,FALSE),"-")</f>
        <v>-</v>
      </c>
      <c r="U91" s="78" t="str">
        <f>+IFERROR(VLOOKUP(F91,'ID1&amp;5'!K:L,2,FALSE),"-")</f>
        <v>-</v>
      </c>
      <c r="V91" s="79" t="str">
        <f>+IFERROR(VLOOKUP(CONCATENATE(A91,$F$10,F91),'ID1&amp;5'!B:J,9,FALSE),"-")</f>
        <v>-</v>
      </c>
      <c r="W91" s="26" t="str">
        <f>+IFERROR(VLOOKUP(A91,'ID6&amp;7'!A:I,9,FALSE),"-")</f>
        <v>-</v>
      </c>
      <c r="X91" s="26" t="str">
        <f>+IFERROR(VLOOKUP(A91,'ID6&amp;7'!A:J,10,FALSE),"-")</f>
        <v>-</v>
      </c>
      <c r="Y91" s="26"/>
      <c r="Z91" s="27" t="str">
        <f t="shared" si="2"/>
        <v>Por iniciar</v>
      </c>
      <c r="AA91" s="65"/>
    </row>
    <row r="92" spans="1:27">
      <c r="A92" s="20"/>
      <c r="B92" s="60"/>
      <c r="C92" s="60"/>
      <c r="D92" s="60"/>
      <c r="E92" s="60"/>
      <c r="F92" s="60"/>
      <c r="G92" s="60"/>
      <c r="H92" s="65" t="s">
        <v>117</v>
      </c>
      <c r="I92" s="21" t="s">
        <v>1169</v>
      </c>
      <c r="J92" s="26">
        <f>+COUNTIF('ID1&amp;5'!G:G,'1. Status'!I92)</f>
        <v>0</v>
      </c>
      <c r="K92" s="79" t="str">
        <f>+IFERROR(VLOOKUP(CONCATENATE(A92,$B$10,B92),'ID1&amp;5'!B:J,8,FALSE),"-")</f>
        <v>-</v>
      </c>
      <c r="L92" s="78" t="str">
        <f>+IFERROR(VLOOKUP(B92,'ID1&amp;5'!K:L,2,FALSE),"-")</f>
        <v>-</v>
      </c>
      <c r="M92" s="79" t="str">
        <f>+IFERROR(VLOOKUP(CONCATENATE(A92,$B$10,B92),'ID1&amp;5'!B:J,9,FALSE),"-")</f>
        <v>-</v>
      </c>
      <c r="N92" s="79" t="str">
        <f>+IFERROR(VLOOKUP(CONCATENATE(A92,$C$10,C92),'ID1&amp;5'!B:J,8,FALSE),"-")</f>
        <v>-</v>
      </c>
      <c r="O92" s="78" t="str">
        <f>+IFERROR(VLOOKUP(C92,'ID1&amp;5'!K:L,2,FALSE),"-")</f>
        <v>-</v>
      </c>
      <c r="P92" s="79" t="str">
        <f>+IFERROR(VLOOKUP(CONCATENATE(A92,$C$10,C92),'ID1&amp;5'!B:J,9,FALSE),"-")</f>
        <v>-</v>
      </c>
      <c r="Q92" s="78" t="str">
        <f>+IFERROR(VLOOKUP(D92,'ID1&amp;5'!K:L,2,FALSE),"-")</f>
        <v>-</v>
      </c>
      <c r="R92" s="26" t="str">
        <f>+IFERROR(VLOOKUP(CONCATENATE(A92,$D$10,D92),'ID1&amp;5'!B:J,9,FALSE),"-")</f>
        <v>-</v>
      </c>
      <c r="S92" s="78" t="str">
        <f>+IFERROR(VLOOKUP(E92,'ID1&amp;5'!K:L,2,FALSE),"-")</f>
        <v>-</v>
      </c>
      <c r="T92" s="79" t="str">
        <f>+IFERROR(VLOOKUP(CONCATENATE(A92,$E$10,E92),'ID1&amp;5'!B:J,9,FALSE),"-")</f>
        <v>-</v>
      </c>
      <c r="U92" s="78" t="str">
        <f>+IFERROR(VLOOKUP(F92,'ID1&amp;5'!K:L,2,FALSE),"-")</f>
        <v>-</v>
      </c>
      <c r="V92" s="79" t="str">
        <f>+IFERROR(VLOOKUP(CONCATENATE(A92,$F$10,F92),'ID1&amp;5'!B:J,9,FALSE),"-")</f>
        <v>-</v>
      </c>
      <c r="W92" s="26" t="str">
        <f>+IFERROR(VLOOKUP(A92,'ID6&amp;7'!A:I,9,FALSE),"-")</f>
        <v>-</v>
      </c>
      <c r="X92" s="26" t="str">
        <f>+IFERROR(VLOOKUP(A92,'ID6&amp;7'!A:J,10,FALSE),"-")</f>
        <v>-</v>
      </c>
      <c r="Y92" s="26"/>
      <c r="Z92" s="27" t="str">
        <f t="shared" si="2"/>
        <v>Por iniciar</v>
      </c>
      <c r="AA92" s="65"/>
    </row>
    <row r="93" spans="1:27">
      <c r="A93" s="20"/>
      <c r="B93" s="60"/>
      <c r="C93" s="60"/>
      <c r="D93" s="60"/>
      <c r="E93" s="60"/>
      <c r="F93" s="60"/>
      <c r="G93" s="60"/>
      <c r="H93" s="65" t="s">
        <v>117</v>
      </c>
      <c r="I93" s="21" t="s">
        <v>1170</v>
      </c>
      <c r="J93" s="26">
        <f>+COUNTIF('ID1&amp;5'!G:G,'1. Status'!I93)</f>
        <v>0</v>
      </c>
      <c r="K93" s="79" t="str">
        <f>+IFERROR(VLOOKUP(CONCATENATE(A93,$B$10,B93),'ID1&amp;5'!B:J,8,FALSE),"-")</f>
        <v>-</v>
      </c>
      <c r="L93" s="78" t="str">
        <f>+IFERROR(VLOOKUP(B93,'ID1&amp;5'!K:L,2,FALSE),"-")</f>
        <v>-</v>
      </c>
      <c r="M93" s="79" t="str">
        <f>+IFERROR(VLOOKUP(CONCATENATE(A93,$B$10,B93),'ID1&amp;5'!B:J,9,FALSE),"-")</f>
        <v>-</v>
      </c>
      <c r="N93" s="79" t="str">
        <f>+IFERROR(VLOOKUP(CONCATENATE(A93,$C$10,C93),'ID1&amp;5'!B:J,8,FALSE),"-")</f>
        <v>-</v>
      </c>
      <c r="O93" s="78" t="str">
        <f>+IFERROR(VLOOKUP(C93,'ID1&amp;5'!K:L,2,FALSE),"-")</f>
        <v>-</v>
      </c>
      <c r="P93" s="79" t="str">
        <f>+IFERROR(VLOOKUP(CONCATENATE(A93,$C$10,C93),'ID1&amp;5'!B:J,9,FALSE),"-")</f>
        <v>-</v>
      </c>
      <c r="Q93" s="78" t="str">
        <f>+IFERROR(VLOOKUP(D93,'ID1&amp;5'!K:L,2,FALSE),"-")</f>
        <v>-</v>
      </c>
      <c r="R93" s="26" t="str">
        <f>+IFERROR(VLOOKUP(CONCATENATE(A93,$D$10,D93),'ID1&amp;5'!B:J,9,FALSE),"-")</f>
        <v>-</v>
      </c>
      <c r="S93" s="78" t="str">
        <f>+IFERROR(VLOOKUP(E93,'ID1&amp;5'!K:L,2,FALSE),"-")</f>
        <v>-</v>
      </c>
      <c r="T93" s="79" t="str">
        <f>+IFERROR(VLOOKUP(CONCATENATE(A93,$E$10,E93),'ID1&amp;5'!B:J,9,FALSE),"-")</f>
        <v>-</v>
      </c>
      <c r="U93" s="78" t="str">
        <f>+IFERROR(VLOOKUP(F93,'ID1&amp;5'!K:L,2,FALSE),"-")</f>
        <v>-</v>
      </c>
      <c r="V93" s="79" t="str">
        <f>+IFERROR(VLOOKUP(CONCATENATE(A93,$F$10,F93),'ID1&amp;5'!B:J,9,FALSE),"-")</f>
        <v>-</v>
      </c>
      <c r="W93" s="26" t="str">
        <f>+IFERROR(VLOOKUP(A93,'ID6&amp;7'!A:I,9,FALSE),"-")</f>
        <v>-</v>
      </c>
      <c r="X93" s="26" t="str">
        <f>+IFERROR(VLOOKUP(A93,'ID6&amp;7'!A:J,10,FALSE),"-")</f>
        <v>-</v>
      </c>
      <c r="Y93" s="26"/>
      <c r="Z93" s="27" t="str">
        <f t="shared" si="2"/>
        <v>Por iniciar</v>
      </c>
      <c r="AA93" s="65"/>
    </row>
    <row r="94" spans="1:27">
      <c r="A94" s="20"/>
      <c r="B94" s="60"/>
      <c r="C94" s="60"/>
      <c r="D94" s="60"/>
      <c r="E94" s="60"/>
      <c r="F94" s="60"/>
      <c r="G94" s="60"/>
      <c r="H94" s="65" t="s">
        <v>117</v>
      </c>
      <c r="I94" s="21" t="s">
        <v>1171</v>
      </c>
      <c r="J94" s="26">
        <f>+COUNTIF('ID1&amp;5'!G:G,'1. Status'!I94)</f>
        <v>0</v>
      </c>
      <c r="K94" s="79" t="str">
        <f>+IFERROR(VLOOKUP(CONCATENATE(A94,$B$10,B94),'ID1&amp;5'!B:J,8,FALSE),"-")</f>
        <v>-</v>
      </c>
      <c r="L94" s="78" t="str">
        <f>+IFERROR(VLOOKUP(B94,'ID1&amp;5'!K:L,2,FALSE),"-")</f>
        <v>-</v>
      </c>
      <c r="M94" s="79" t="str">
        <f>+IFERROR(VLOOKUP(CONCATENATE(A94,$B$10,B94),'ID1&amp;5'!B:J,9,FALSE),"-")</f>
        <v>-</v>
      </c>
      <c r="N94" s="79" t="str">
        <f>+IFERROR(VLOOKUP(CONCATENATE(A94,$C$10,C94),'ID1&amp;5'!B:J,8,FALSE),"-")</f>
        <v>-</v>
      </c>
      <c r="O94" s="78" t="str">
        <f>+IFERROR(VLOOKUP(C94,'ID1&amp;5'!K:L,2,FALSE),"-")</f>
        <v>-</v>
      </c>
      <c r="P94" s="79" t="str">
        <f>+IFERROR(VLOOKUP(CONCATENATE(A94,$C$10,C94),'ID1&amp;5'!B:J,9,FALSE),"-")</f>
        <v>-</v>
      </c>
      <c r="Q94" s="78" t="str">
        <f>+IFERROR(VLOOKUP(D94,'ID1&amp;5'!K:L,2,FALSE),"-")</f>
        <v>-</v>
      </c>
      <c r="R94" s="26" t="str">
        <f>+IFERROR(VLOOKUP(CONCATENATE(A94,$D$10,D94),'ID1&amp;5'!B:J,9,FALSE),"-")</f>
        <v>-</v>
      </c>
      <c r="S94" s="78" t="str">
        <f>+IFERROR(VLOOKUP(E94,'ID1&amp;5'!K:L,2,FALSE),"-")</f>
        <v>-</v>
      </c>
      <c r="T94" s="79" t="str">
        <f>+IFERROR(VLOOKUP(CONCATENATE(A94,$E$10,E94),'ID1&amp;5'!B:J,9,FALSE),"-")</f>
        <v>-</v>
      </c>
      <c r="U94" s="78" t="str">
        <f>+IFERROR(VLOOKUP(F94,'ID1&amp;5'!K:L,2,FALSE),"-")</f>
        <v>-</v>
      </c>
      <c r="V94" s="79" t="str">
        <f>+IFERROR(VLOOKUP(CONCATENATE(A94,$F$10,F94),'ID1&amp;5'!B:J,9,FALSE),"-")</f>
        <v>-</v>
      </c>
      <c r="W94" s="26" t="str">
        <f>+IFERROR(VLOOKUP(A94,'ID6&amp;7'!A:I,9,FALSE),"-")</f>
        <v>-</v>
      </c>
      <c r="X94" s="26" t="str">
        <f>+IFERROR(VLOOKUP(A94,'ID6&amp;7'!A:J,10,FALSE),"-")</f>
        <v>-</v>
      </c>
      <c r="Y94" s="26"/>
      <c r="Z94" s="27" t="str">
        <f t="shared" si="2"/>
        <v>Por iniciar</v>
      </c>
      <c r="AA94" s="65"/>
    </row>
    <row r="95" spans="1:27">
      <c r="A95" s="20"/>
      <c r="B95" s="60"/>
      <c r="C95" s="60"/>
      <c r="D95" s="60"/>
      <c r="E95" s="60"/>
      <c r="F95" s="60"/>
      <c r="G95" s="60"/>
      <c r="H95" s="65" t="s">
        <v>117</v>
      </c>
      <c r="I95" s="21" t="s">
        <v>1172</v>
      </c>
      <c r="J95" s="26">
        <f>+COUNTIF('ID1&amp;5'!G:G,'1. Status'!I95)</f>
        <v>0</v>
      </c>
      <c r="K95" s="79" t="str">
        <f>+IFERROR(VLOOKUP(CONCATENATE(A95,$B$10,B95),'ID1&amp;5'!B:J,8,FALSE),"-")</f>
        <v>-</v>
      </c>
      <c r="L95" s="78" t="str">
        <f>+IFERROR(VLOOKUP(B95,'ID1&amp;5'!K:L,2,FALSE),"-")</f>
        <v>-</v>
      </c>
      <c r="M95" s="79" t="str">
        <f>+IFERROR(VLOOKUP(CONCATENATE(A95,$B$10,B95),'ID1&amp;5'!B:J,9,FALSE),"-")</f>
        <v>-</v>
      </c>
      <c r="N95" s="79" t="str">
        <f>+IFERROR(VLOOKUP(CONCATENATE(A95,$C$10,C95),'ID1&amp;5'!B:J,8,FALSE),"-")</f>
        <v>-</v>
      </c>
      <c r="O95" s="78" t="str">
        <f>+IFERROR(VLOOKUP(C95,'ID1&amp;5'!K:L,2,FALSE),"-")</f>
        <v>-</v>
      </c>
      <c r="P95" s="79" t="str">
        <f>+IFERROR(VLOOKUP(CONCATENATE(A95,$C$10,C95),'ID1&amp;5'!B:J,9,FALSE),"-")</f>
        <v>-</v>
      </c>
      <c r="Q95" s="78" t="str">
        <f>+IFERROR(VLOOKUP(D95,'ID1&amp;5'!K:L,2,FALSE),"-")</f>
        <v>-</v>
      </c>
      <c r="R95" s="26" t="str">
        <f>+IFERROR(VLOOKUP(CONCATENATE(A95,$D$10,D95),'ID1&amp;5'!B:J,9,FALSE),"-")</f>
        <v>-</v>
      </c>
      <c r="S95" s="78" t="str">
        <f>+IFERROR(VLOOKUP(E95,'ID1&amp;5'!K:L,2,FALSE),"-")</f>
        <v>-</v>
      </c>
      <c r="T95" s="79" t="str">
        <f>+IFERROR(VLOOKUP(CONCATENATE(A95,$E$10,E95),'ID1&amp;5'!B:J,9,FALSE),"-")</f>
        <v>-</v>
      </c>
      <c r="U95" s="78" t="str">
        <f>+IFERROR(VLOOKUP(F95,'ID1&amp;5'!K:L,2,FALSE),"-")</f>
        <v>-</v>
      </c>
      <c r="V95" s="79" t="str">
        <f>+IFERROR(VLOOKUP(CONCATENATE(A95,$F$10,F95),'ID1&amp;5'!B:J,9,FALSE),"-")</f>
        <v>-</v>
      </c>
      <c r="W95" s="26" t="str">
        <f>+IFERROR(VLOOKUP(A95,'ID6&amp;7'!A:I,9,FALSE),"-")</f>
        <v>-</v>
      </c>
      <c r="X95" s="26" t="str">
        <f>+IFERROR(VLOOKUP(A95,'ID6&amp;7'!A:J,10,FALSE),"-")</f>
        <v>-</v>
      </c>
      <c r="Y95" s="26"/>
      <c r="Z95" s="27" t="str">
        <f t="shared" si="2"/>
        <v>Por iniciar</v>
      </c>
      <c r="AA95" s="65"/>
    </row>
    <row r="96" spans="1:27">
      <c r="A96" s="20"/>
      <c r="B96" s="60"/>
      <c r="C96" s="60"/>
      <c r="D96" s="60"/>
      <c r="E96" s="60"/>
      <c r="F96" s="60"/>
      <c r="G96" s="60"/>
      <c r="H96" s="65" t="s">
        <v>117</v>
      </c>
      <c r="I96" s="21" t="s">
        <v>1173</v>
      </c>
      <c r="J96" s="26">
        <f>+COUNTIF('ID1&amp;5'!G:G,'1. Status'!I96)</f>
        <v>0</v>
      </c>
      <c r="K96" s="79" t="str">
        <f>+IFERROR(VLOOKUP(CONCATENATE(A96,$B$10,B96),'ID1&amp;5'!B:J,8,FALSE),"-")</f>
        <v>-</v>
      </c>
      <c r="L96" s="78" t="str">
        <f>+IFERROR(VLOOKUP(B96,'ID1&amp;5'!K:L,2,FALSE),"-")</f>
        <v>-</v>
      </c>
      <c r="M96" s="79" t="str">
        <f>+IFERROR(VLOOKUP(CONCATENATE(A96,$B$10,B96),'ID1&amp;5'!B:J,9,FALSE),"-")</f>
        <v>-</v>
      </c>
      <c r="N96" s="79" t="str">
        <f>+IFERROR(VLOOKUP(CONCATENATE(A96,$C$10,C96),'ID1&amp;5'!B:J,8,FALSE),"-")</f>
        <v>-</v>
      </c>
      <c r="O96" s="78" t="str">
        <f>+IFERROR(VLOOKUP(C96,'ID1&amp;5'!K:L,2,FALSE),"-")</f>
        <v>-</v>
      </c>
      <c r="P96" s="79" t="str">
        <f>+IFERROR(VLOOKUP(CONCATENATE(A96,$C$10,C96),'ID1&amp;5'!B:J,9,FALSE),"-")</f>
        <v>-</v>
      </c>
      <c r="Q96" s="78" t="str">
        <f>+IFERROR(VLOOKUP(D96,'ID1&amp;5'!K:L,2,FALSE),"-")</f>
        <v>-</v>
      </c>
      <c r="R96" s="26" t="str">
        <f>+IFERROR(VLOOKUP(CONCATENATE(A96,$D$10,D96),'ID1&amp;5'!B:J,9,FALSE),"-")</f>
        <v>-</v>
      </c>
      <c r="S96" s="78" t="str">
        <f>+IFERROR(VLOOKUP(E96,'ID1&amp;5'!K:L,2,FALSE),"-")</f>
        <v>-</v>
      </c>
      <c r="T96" s="79" t="str">
        <f>+IFERROR(VLOOKUP(CONCATENATE(A96,$E$10,E96),'ID1&amp;5'!B:J,9,FALSE),"-")</f>
        <v>-</v>
      </c>
      <c r="U96" s="78" t="str">
        <f>+IFERROR(VLOOKUP(F96,'ID1&amp;5'!K:L,2,FALSE),"-")</f>
        <v>-</v>
      </c>
      <c r="V96" s="79" t="str">
        <f>+IFERROR(VLOOKUP(CONCATENATE(A96,$F$10,F96),'ID1&amp;5'!B:J,9,FALSE),"-")</f>
        <v>-</v>
      </c>
      <c r="W96" s="26" t="str">
        <f>+IFERROR(VLOOKUP(A96,'ID6&amp;7'!A:I,9,FALSE),"-")</f>
        <v>-</v>
      </c>
      <c r="X96" s="26" t="str">
        <f>+IFERROR(VLOOKUP(A96,'ID6&amp;7'!A:J,10,FALSE),"-")</f>
        <v>-</v>
      </c>
      <c r="Y96" s="26"/>
      <c r="Z96" s="27" t="str">
        <f t="shared" si="2"/>
        <v>Por iniciar</v>
      </c>
      <c r="AA96" s="65"/>
    </row>
    <row r="97" spans="1:27">
      <c r="A97" s="20"/>
      <c r="B97" s="60"/>
      <c r="C97" s="60"/>
      <c r="D97" s="60"/>
      <c r="E97" s="60"/>
      <c r="F97" s="60"/>
      <c r="G97" s="60"/>
      <c r="H97" s="65" t="s">
        <v>117</v>
      </c>
      <c r="I97" s="21" t="s">
        <v>1174</v>
      </c>
      <c r="J97" s="26">
        <f>+COUNTIF('ID1&amp;5'!G:G,'1. Status'!I97)</f>
        <v>0</v>
      </c>
      <c r="K97" s="79" t="str">
        <f>+IFERROR(VLOOKUP(CONCATENATE(A97,$B$10,B97),'ID1&amp;5'!B:J,8,FALSE),"-")</f>
        <v>-</v>
      </c>
      <c r="L97" s="78" t="str">
        <f>+IFERROR(VLOOKUP(B97,'ID1&amp;5'!K:L,2,FALSE),"-")</f>
        <v>-</v>
      </c>
      <c r="M97" s="79" t="str">
        <f>+IFERROR(VLOOKUP(CONCATENATE(A97,$B$10,B97),'ID1&amp;5'!B:J,9,FALSE),"-")</f>
        <v>-</v>
      </c>
      <c r="N97" s="79" t="str">
        <f>+IFERROR(VLOOKUP(CONCATENATE(A97,$C$10,C97),'ID1&amp;5'!B:J,8,FALSE),"-")</f>
        <v>-</v>
      </c>
      <c r="O97" s="78" t="str">
        <f>+IFERROR(VLOOKUP(C97,'ID1&amp;5'!K:L,2,FALSE),"-")</f>
        <v>-</v>
      </c>
      <c r="P97" s="79" t="str">
        <f>+IFERROR(VLOOKUP(CONCATENATE(A97,$C$10,C97),'ID1&amp;5'!B:J,9,FALSE),"-")</f>
        <v>-</v>
      </c>
      <c r="Q97" s="78" t="str">
        <f>+IFERROR(VLOOKUP(D97,'ID1&amp;5'!K:L,2,FALSE),"-")</f>
        <v>-</v>
      </c>
      <c r="R97" s="26" t="str">
        <f>+IFERROR(VLOOKUP(CONCATENATE(A97,$D$10,D97),'ID1&amp;5'!B:J,9,FALSE),"-")</f>
        <v>-</v>
      </c>
      <c r="S97" s="78" t="str">
        <f>+IFERROR(VLOOKUP(E97,'ID1&amp;5'!K:L,2,FALSE),"-")</f>
        <v>-</v>
      </c>
      <c r="T97" s="79" t="str">
        <f>+IFERROR(VLOOKUP(CONCATENATE(A97,$E$10,E97),'ID1&amp;5'!B:J,9,FALSE),"-")</f>
        <v>-</v>
      </c>
      <c r="U97" s="78" t="str">
        <f>+IFERROR(VLOOKUP(F97,'ID1&amp;5'!K:L,2,FALSE),"-")</f>
        <v>-</v>
      </c>
      <c r="V97" s="79" t="str">
        <f>+IFERROR(VLOOKUP(CONCATENATE(A97,$F$10,F97),'ID1&amp;5'!B:J,9,FALSE),"-")</f>
        <v>-</v>
      </c>
      <c r="W97" s="26" t="str">
        <f>+IFERROR(VLOOKUP(A97,'ID6&amp;7'!A:I,9,FALSE),"-")</f>
        <v>-</v>
      </c>
      <c r="X97" s="26" t="str">
        <f>+IFERROR(VLOOKUP(A97,'ID6&amp;7'!A:J,10,FALSE),"-")</f>
        <v>-</v>
      </c>
      <c r="Y97" s="26"/>
      <c r="Z97" s="27" t="str">
        <f t="shared" si="2"/>
        <v>Por iniciar</v>
      </c>
      <c r="AA97" s="65"/>
    </row>
    <row r="98" spans="1:27">
      <c r="A98" s="20"/>
      <c r="B98" s="60"/>
      <c r="C98" s="60"/>
      <c r="D98" s="60"/>
      <c r="E98" s="60"/>
      <c r="F98" s="60"/>
      <c r="G98" s="60"/>
      <c r="H98" s="65" t="s">
        <v>117</v>
      </c>
      <c r="I98" s="21" t="s">
        <v>1175</v>
      </c>
      <c r="J98" s="26">
        <f>+COUNTIF('ID1&amp;5'!G:G,'1. Status'!I98)</f>
        <v>0</v>
      </c>
      <c r="K98" s="79" t="str">
        <f>+IFERROR(VLOOKUP(CONCATENATE(A98,$B$10,B98),'ID1&amp;5'!B:J,8,FALSE),"-")</f>
        <v>-</v>
      </c>
      <c r="L98" s="78" t="str">
        <f>+IFERROR(VLOOKUP(B98,'ID1&amp;5'!K:L,2,FALSE),"-")</f>
        <v>-</v>
      </c>
      <c r="M98" s="79" t="str">
        <f>+IFERROR(VLOOKUP(CONCATENATE(A98,$B$10,B98),'ID1&amp;5'!B:J,9,FALSE),"-")</f>
        <v>-</v>
      </c>
      <c r="N98" s="79" t="str">
        <f>+IFERROR(VLOOKUP(CONCATENATE(A98,$C$10,C98),'ID1&amp;5'!B:J,8,FALSE),"-")</f>
        <v>-</v>
      </c>
      <c r="O98" s="78" t="str">
        <f>+IFERROR(VLOOKUP(C98,'ID1&amp;5'!K:L,2,FALSE),"-")</f>
        <v>-</v>
      </c>
      <c r="P98" s="79" t="str">
        <f>+IFERROR(VLOOKUP(CONCATENATE(A98,$C$10,C98),'ID1&amp;5'!B:J,9,FALSE),"-")</f>
        <v>-</v>
      </c>
      <c r="Q98" s="78" t="str">
        <f>+IFERROR(VLOOKUP(D98,'ID1&amp;5'!K:L,2,FALSE),"-")</f>
        <v>-</v>
      </c>
      <c r="R98" s="26" t="str">
        <f>+IFERROR(VLOOKUP(CONCATENATE(A98,$D$10,D98),'ID1&amp;5'!B:J,9,FALSE),"-")</f>
        <v>-</v>
      </c>
      <c r="S98" s="78" t="str">
        <f>+IFERROR(VLOOKUP(E98,'ID1&amp;5'!K:L,2,FALSE),"-")</f>
        <v>-</v>
      </c>
      <c r="T98" s="79" t="str">
        <f>+IFERROR(VLOOKUP(CONCATENATE(A98,$E$10,E98),'ID1&amp;5'!B:J,9,FALSE),"-")</f>
        <v>-</v>
      </c>
      <c r="U98" s="78" t="str">
        <f>+IFERROR(VLOOKUP(F98,'ID1&amp;5'!K:L,2,FALSE),"-")</f>
        <v>-</v>
      </c>
      <c r="V98" s="79" t="str">
        <f>+IFERROR(VLOOKUP(CONCATENATE(A98,$F$10,F98),'ID1&amp;5'!B:J,9,FALSE),"-")</f>
        <v>-</v>
      </c>
      <c r="W98" s="26" t="str">
        <f>+IFERROR(VLOOKUP(A98,'ID6&amp;7'!A:I,9,FALSE),"-")</f>
        <v>-</v>
      </c>
      <c r="X98" s="26" t="str">
        <f>+IFERROR(VLOOKUP(A98,'ID6&amp;7'!A:J,10,FALSE),"-")</f>
        <v>-</v>
      </c>
      <c r="Y98" s="26"/>
      <c r="Z98" s="27" t="str">
        <f t="shared" si="2"/>
        <v>Por iniciar</v>
      </c>
      <c r="AA98" s="65"/>
    </row>
    <row r="99" spans="1:27">
      <c r="A99" s="20"/>
      <c r="B99" s="60"/>
      <c r="C99" s="60"/>
      <c r="D99" s="60"/>
      <c r="E99" s="60"/>
      <c r="F99" s="60"/>
      <c r="G99" s="60"/>
      <c r="H99" s="65" t="s">
        <v>117</v>
      </c>
      <c r="I99" s="21" t="s">
        <v>1176</v>
      </c>
      <c r="J99" s="26">
        <f>+COUNTIF('ID1&amp;5'!G:G,'1. Status'!I99)</f>
        <v>0</v>
      </c>
      <c r="K99" s="79" t="str">
        <f>+IFERROR(VLOOKUP(CONCATENATE(A99,$B$10,B99),'ID1&amp;5'!B:J,8,FALSE),"-")</f>
        <v>-</v>
      </c>
      <c r="L99" s="78" t="str">
        <f>+IFERROR(VLOOKUP(B99,'ID1&amp;5'!K:L,2,FALSE),"-")</f>
        <v>-</v>
      </c>
      <c r="M99" s="79" t="str">
        <f>+IFERROR(VLOOKUP(CONCATENATE(A99,$B$10,B99),'ID1&amp;5'!B:J,9,FALSE),"-")</f>
        <v>-</v>
      </c>
      <c r="N99" s="79" t="str">
        <f>+IFERROR(VLOOKUP(CONCATENATE(A99,$C$10,C99),'ID1&amp;5'!B:J,8,FALSE),"-")</f>
        <v>-</v>
      </c>
      <c r="O99" s="78" t="str">
        <f>+IFERROR(VLOOKUP(C99,'ID1&amp;5'!K:L,2,FALSE),"-")</f>
        <v>-</v>
      </c>
      <c r="P99" s="79" t="str">
        <f>+IFERROR(VLOOKUP(CONCATENATE(A99,$C$10,C99),'ID1&amp;5'!B:J,9,FALSE),"-")</f>
        <v>-</v>
      </c>
      <c r="Q99" s="78" t="str">
        <f>+IFERROR(VLOOKUP(D99,'ID1&amp;5'!K:L,2,FALSE),"-")</f>
        <v>-</v>
      </c>
      <c r="R99" s="26" t="str">
        <f>+IFERROR(VLOOKUP(CONCATENATE(A99,$D$10,D99),'ID1&amp;5'!B:J,9,FALSE),"-")</f>
        <v>-</v>
      </c>
      <c r="S99" s="78" t="str">
        <f>+IFERROR(VLOOKUP(E99,'ID1&amp;5'!K:L,2,FALSE),"-")</f>
        <v>-</v>
      </c>
      <c r="T99" s="79" t="str">
        <f>+IFERROR(VLOOKUP(CONCATENATE(A99,$E$10,E99),'ID1&amp;5'!B:J,9,FALSE),"-")</f>
        <v>-</v>
      </c>
      <c r="U99" s="78" t="str">
        <f>+IFERROR(VLOOKUP(F99,'ID1&amp;5'!K:L,2,FALSE),"-")</f>
        <v>-</v>
      </c>
      <c r="V99" s="79" t="str">
        <f>+IFERROR(VLOOKUP(CONCATENATE(A99,$F$10,F99),'ID1&amp;5'!B:J,9,FALSE),"-")</f>
        <v>-</v>
      </c>
      <c r="W99" s="26" t="str">
        <f>+IFERROR(VLOOKUP(A99,'ID6&amp;7'!A:I,9,FALSE),"-")</f>
        <v>-</v>
      </c>
      <c r="X99" s="26" t="str">
        <f>+IFERROR(VLOOKUP(A99,'ID6&amp;7'!A:J,10,FALSE),"-")</f>
        <v>-</v>
      </c>
      <c r="Y99" s="26"/>
      <c r="Z99" s="27" t="str">
        <f t="shared" si="2"/>
        <v>Por iniciar</v>
      </c>
      <c r="AA99" s="65"/>
    </row>
    <row r="100" spans="1:27">
      <c r="A100" s="20"/>
      <c r="B100" s="60"/>
      <c r="C100" s="60"/>
      <c r="D100" s="60"/>
      <c r="E100" s="60"/>
      <c r="F100" s="60"/>
      <c r="G100" s="60"/>
      <c r="H100" s="65" t="s">
        <v>117</v>
      </c>
      <c r="I100" s="21" t="s">
        <v>644</v>
      </c>
      <c r="J100" s="26">
        <f>+COUNTIF('ID1&amp;5'!G:G,'1. Status'!I100)</f>
        <v>0</v>
      </c>
      <c r="K100" s="79" t="str">
        <f>+IFERROR(VLOOKUP(CONCATENATE(A100,$B$10,B100),'ID1&amp;5'!B:J,8,FALSE),"-")</f>
        <v>-</v>
      </c>
      <c r="L100" s="78" t="str">
        <f>+IFERROR(VLOOKUP(B100,'ID1&amp;5'!K:L,2,FALSE),"-")</f>
        <v>-</v>
      </c>
      <c r="M100" s="79" t="str">
        <f>+IFERROR(VLOOKUP(CONCATENATE(A100,$B$10,B100),'ID1&amp;5'!B:J,9,FALSE),"-")</f>
        <v>-</v>
      </c>
      <c r="N100" s="79" t="str">
        <f>+IFERROR(VLOOKUP(CONCATENATE(A100,$C$10,C100),'ID1&amp;5'!B:J,8,FALSE),"-")</f>
        <v>-</v>
      </c>
      <c r="O100" s="78" t="str">
        <f>+IFERROR(VLOOKUP(C100,'ID1&amp;5'!K:L,2,FALSE),"-")</f>
        <v>-</v>
      </c>
      <c r="P100" s="79" t="str">
        <f>+IFERROR(VLOOKUP(CONCATENATE(A100,$C$10,C100),'ID1&amp;5'!B:J,9,FALSE),"-")</f>
        <v>-</v>
      </c>
      <c r="Q100" s="78" t="str">
        <f>+IFERROR(VLOOKUP(D100,'ID1&amp;5'!K:L,2,FALSE),"-")</f>
        <v>-</v>
      </c>
      <c r="R100" s="26" t="str">
        <f>+IFERROR(VLOOKUP(CONCATENATE(A100,$D$10,D100),'ID1&amp;5'!B:J,9,FALSE),"-")</f>
        <v>-</v>
      </c>
      <c r="S100" s="78" t="str">
        <f>+IFERROR(VLOOKUP(E100,'ID1&amp;5'!K:L,2,FALSE),"-")</f>
        <v>-</v>
      </c>
      <c r="T100" s="79" t="str">
        <f>+IFERROR(VLOOKUP(CONCATENATE(A100,$E$10,E100),'ID1&amp;5'!B:J,9,FALSE),"-")</f>
        <v>-</v>
      </c>
      <c r="U100" s="78" t="str">
        <f>+IFERROR(VLOOKUP(F100,'ID1&amp;5'!K:L,2,FALSE),"-")</f>
        <v>-</v>
      </c>
      <c r="V100" s="79" t="str">
        <f>+IFERROR(VLOOKUP(CONCATENATE(A100,$F$10,F100),'ID1&amp;5'!B:J,9,FALSE),"-")</f>
        <v>-</v>
      </c>
      <c r="W100" s="26" t="str">
        <f>+IFERROR(VLOOKUP(A100,'ID6&amp;7'!A:I,9,FALSE),"-")</f>
        <v>-</v>
      </c>
      <c r="X100" s="26" t="str">
        <f>+IFERROR(VLOOKUP(A100,'ID6&amp;7'!A:J,10,FALSE),"-")</f>
        <v>-</v>
      </c>
      <c r="Y100" s="26"/>
      <c r="Z100" s="27" t="str">
        <f t="shared" si="2"/>
        <v>Por iniciar</v>
      </c>
      <c r="AA100" s="65"/>
    </row>
    <row r="101" spans="1:27">
      <c r="A101" s="20"/>
      <c r="B101" s="60"/>
      <c r="C101" s="60"/>
      <c r="D101" s="60"/>
      <c r="E101" s="60"/>
      <c r="F101" s="60"/>
      <c r="G101" s="60"/>
      <c r="H101" s="65" t="s">
        <v>117</v>
      </c>
      <c r="I101" s="21" t="s">
        <v>306</v>
      </c>
      <c r="J101" s="26">
        <f>+COUNTIF('ID1&amp;5'!G:G,'1. Status'!I101)</f>
        <v>0</v>
      </c>
      <c r="K101" s="79" t="str">
        <f>+IFERROR(VLOOKUP(CONCATENATE(A101,$B$10,B101),'ID1&amp;5'!B:J,8,FALSE),"-")</f>
        <v>-</v>
      </c>
      <c r="L101" s="78" t="str">
        <f>+IFERROR(VLOOKUP(B101,'ID1&amp;5'!K:L,2,FALSE),"-")</f>
        <v>-</v>
      </c>
      <c r="M101" s="79" t="str">
        <f>+IFERROR(VLOOKUP(CONCATENATE(A101,$B$10,B101),'ID1&amp;5'!B:J,9,FALSE),"-")</f>
        <v>-</v>
      </c>
      <c r="N101" s="79" t="str">
        <f>+IFERROR(VLOOKUP(CONCATENATE(A101,$C$10,C101),'ID1&amp;5'!B:J,8,FALSE),"-")</f>
        <v>-</v>
      </c>
      <c r="O101" s="78" t="str">
        <f>+IFERROR(VLOOKUP(C101,'ID1&amp;5'!K:L,2,FALSE),"-")</f>
        <v>-</v>
      </c>
      <c r="P101" s="79" t="str">
        <f>+IFERROR(VLOOKUP(CONCATENATE(A101,$C$10,C101),'ID1&amp;5'!B:J,9,FALSE),"-")</f>
        <v>-</v>
      </c>
      <c r="Q101" s="78" t="str">
        <f>+IFERROR(VLOOKUP(D101,'ID1&amp;5'!K:L,2,FALSE),"-")</f>
        <v>-</v>
      </c>
      <c r="R101" s="26" t="str">
        <f>+IFERROR(VLOOKUP(CONCATENATE(A101,$D$10,D101),'ID1&amp;5'!B:J,9,FALSE),"-")</f>
        <v>-</v>
      </c>
      <c r="S101" s="78" t="str">
        <f>+IFERROR(VLOOKUP(E101,'ID1&amp;5'!K:L,2,FALSE),"-")</f>
        <v>-</v>
      </c>
      <c r="T101" s="79" t="str">
        <f>+IFERROR(VLOOKUP(CONCATENATE(A101,$E$10,E101),'ID1&amp;5'!B:J,9,FALSE),"-")</f>
        <v>-</v>
      </c>
      <c r="U101" s="78" t="str">
        <f>+IFERROR(VLOOKUP(F101,'ID1&amp;5'!K:L,2,FALSE),"-")</f>
        <v>-</v>
      </c>
      <c r="V101" s="79" t="str">
        <f>+IFERROR(VLOOKUP(CONCATENATE(A101,$F$10,F101),'ID1&amp;5'!B:J,9,FALSE),"-")</f>
        <v>-</v>
      </c>
      <c r="W101" s="26" t="str">
        <f>+IFERROR(VLOOKUP(A101,'ID6&amp;7'!A:I,9,FALSE),"-")</f>
        <v>-</v>
      </c>
      <c r="X101" s="26" t="str">
        <f>+IFERROR(VLOOKUP(A101,'ID6&amp;7'!A:J,10,FALSE),"-")</f>
        <v>-</v>
      </c>
      <c r="Y101" s="26"/>
      <c r="Z101" s="27" t="str">
        <f t="shared" si="2"/>
        <v>Por iniciar</v>
      </c>
      <c r="AA101" s="65"/>
    </row>
    <row r="102" spans="1:27">
      <c r="A102" s="20"/>
      <c r="B102" s="60"/>
      <c r="C102" s="60"/>
      <c r="D102" s="60"/>
      <c r="E102" s="60"/>
      <c r="F102" s="60"/>
      <c r="G102" s="60"/>
      <c r="H102" s="65" t="s">
        <v>117</v>
      </c>
      <c r="I102" s="21" t="s">
        <v>645</v>
      </c>
      <c r="J102" s="26">
        <f>+COUNTIF('ID1&amp;5'!G:G,'1. Status'!I102)</f>
        <v>0</v>
      </c>
      <c r="K102" s="79" t="str">
        <f>+IFERROR(VLOOKUP(CONCATENATE(A102,$B$10,B102),'ID1&amp;5'!B:J,8,FALSE),"-")</f>
        <v>-</v>
      </c>
      <c r="L102" s="78" t="str">
        <f>+IFERROR(VLOOKUP(B102,'ID1&amp;5'!K:L,2,FALSE),"-")</f>
        <v>-</v>
      </c>
      <c r="M102" s="79" t="str">
        <f>+IFERROR(VLOOKUP(CONCATENATE(A102,$B$10,B102),'ID1&amp;5'!B:J,9,FALSE),"-")</f>
        <v>-</v>
      </c>
      <c r="N102" s="79" t="str">
        <f>+IFERROR(VLOOKUP(CONCATENATE(A102,$C$10,C102),'ID1&amp;5'!B:J,8,FALSE),"-")</f>
        <v>-</v>
      </c>
      <c r="O102" s="78" t="str">
        <f>+IFERROR(VLOOKUP(C102,'ID1&amp;5'!K:L,2,FALSE),"-")</f>
        <v>-</v>
      </c>
      <c r="P102" s="79" t="str">
        <f>+IFERROR(VLOOKUP(CONCATENATE(A102,$C$10,C102),'ID1&amp;5'!B:J,9,FALSE),"-")</f>
        <v>-</v>
      </c>
      <c r="Q102" s="78" t="str">
        <f>+IFERROR(VLOOKUP(D102,'ID1&amp;5'!K:L,2,FALSE),"-")</f>
        <v>-</v>
      </c>
      <c r="R102" s="26" t="str">
        <f>+IFERROR(VLOOKUP(CONCATENATE(A102,$D$10,D102),'ID1&amp;5'!B:J,9,FALSE),"-")</f>
        <v>-</v>
      </c>
      <c r="S102" s="78" t="str">
        <f>+IFERROR(VLOOKUP(E102,'ID1&amp;5'!K:L,2,FALSE),"-")</f>
        <v>-</v>
      </c>
      <c r="T102" s="79" t="str">
        <f>+IFERROR(VLOOKUP(CONCATENATE(A102,$E$10,E102),'ID1&amp;5'!B:J,9,FALSE),"-")</f>
        <v>-</v>
      </c>
      <c r="U102" s="78" t="str">
        <f>+IFERROR(VLOOKUP(F102,'ID1&amp;5'!K:L,2,FALSE),"-")</f>
        <v>-</v>
      </c>
      <c r="V102" s="79" t="str">
        <f>+IFERROR(VLOOKUP(CONCATENATE(A102,$F$10,F102),'ID1&amp;5'!B:J,9,FALSE),"-")</f>
        <v>-</v>
      </c>
      <c r="W102" s="26" t="str">
        <f>+IFERROR(VLOOKUP(A102,'ID6&amp;7'!A:I,9,FALSE),"-")</f>
        <v>-</v>
      </c>
      <c r="X102" s="26" t="str">
        <f>+IFERROR(VLOOKUP(A102,'ID6&amp;7'!A:J,10,FALSE),"-")</f>
        <v>-</v>
      </c>
      <c r="Y102" s="26"/>
      <c r="Z102" s="27" t="str">
        <f t="shared" si="2"/>
        <v>Por iniciar</v>
      </c>
      <c r="AA102" s="65"/>
    </row>
    <row r="103" spans="1:27">
      <c r="A103" s="20"/>
      <c r="B103" s="60"/>
      <c r="C103" s="60"/>
      <c r="D103" s="60"/>
      <c r="E103" s="60"/>
      <c r="F103" s="60"/>
      <c r="G103" s="60"/>
      <c r="H103" s="65" t="s">
        <v>117</v>
      </c>
      <c r="I103" s="21" t="s">
        <v>1177</v>
      </c>
      <c r="J103" s="26">
        <f>+COUNTIF('ID1&amp;5'!G:G,'1. Status'!I103)</f>
        <v>0</v>
      </c>
      <c r="K103" s="79" t="str">
        <f>+IFERROR(VLOOKUP(CONCATENATE(A103,$B$10,B103),'ID1&amp;5'!B:J,8,FALSE),"-")</f>
        <v>-</v>
      </c>
      <c r="L103" s="78" t="str">
        <f>+IFERROR(VLOOKUP(B103,'ID1&amp;5'!K:L,2,FALSE),"-")</f>
        <v>-</v>
      </c>
      <c r="M103" s="79" t="str">
        <f>+IFERROR(VLOOKUP(CONCATENATE(A103,$B$10,B103),'ID1&amp;5'!B:J,9,FALSE),"-")</f>
        <v>-</v>
      </c>
      <c r="N103" s="79" t="str">
        <f>+IFERROR(VLOOKUP(CONCATENATE(A103,$C$10,C103),'ID1&amp;5'!B:J,8,FALSE),"-")</f>
        <v>-</v>
      </c>
      <c r="O103" s="78" t="str">
        <f>+IFERROR(VLOOKUP(C103,'ID1&amp;5'!K:L,2,FALSE),"-")</f>
        <v>-</v>
      </c>
      <c r="P103" s="79" t="str">
        <f>+IFERROR(VLOOKUP(CONCATENATE(A103,$C$10,C103),'ID1&amp;5'!B:J,9,FALSE),"-")</f>
        <v>-</v>
      </c>
      <c r="Q103" s="78" t="str">
        <f>+IFERROR(VLOOKUP(D103,'ID1&amp;5'!K:L,2,FALSE),"-")</f>
        <v>-</v>
      </c>
      <c r="R103" s="26" t="str">
        <f>+IFERROR(VLOOKUP(CONCATENATE(A103,$D$10,D103),'ID1&amp;5'!B:J,9,FALSE),"-")</f>
        <v>-</v>
      </c>
      <c r="S103" s="78" t="str">
        <f>+IFERROR(VLOOKUP(E103,'ID1&amp;5'!K:L,2,FALSE),"-")</f>
        <v>-</v>
      </c>
      <c r="T103" s="79" t="str">
        <f>+IFERROR(VLOOKUP(CONCATENATE(A103,$E$10,E103),'ID1&amp;5'!B:J,9,FALSE),"-")</f>
        <v>-</v>
      </c>
      <c r="U103" s="78" t="str">
        <f>+IFERROR(VLOOKUP(F103,'ID1&amp;5'!K:L,2,FALSE),"-")</f>
        <v>-</v>
      </c>
      <c r="V103" s="79" t="str">
        <f>+IFERROR(VLOOKUP(CONCATENATE(A103,$F$10,F103),'ID1&amp;5'!B:J,9,FALSE),"-")</f>
        <v>-</v>
      </c>
      <c r="W103" s="26" t="str">
        <f>+IFERROR(VLOOKUP(A103,'ID6&amp;7'!A:I,9,FALSE),"-")</f>
        <v>-</v>
      </c>
      <c r="X103" s="26" t="str">
        <f>+IFERROR(VLOOKUP(A103,'ID6&amp;7'!A:J,10,FALSE),"-")</f>
        <v>-</v>
      </c>
      <c r="Y103" s="26"/>
      <c r="Z103" s="27" t="str">
        <f t="shared" si="2"/>
        <v>Por iniciar</v>
      </c>
      <c r="AA103" s="65"/>
    </row>
    <row r="104" spans="1:27">
      <c r="A104" s="20"/>
      <c r="B104" s="60"/>
      <c r="C104" s="60"/>
      <c r="D104" s="60"/>
      <c r="E104" s="60"/>
      <c r="F104" s="60"/>
      <c r="G104" s="60"/>
      <c r="H104" s="65" t="s">
        <v>117</v>
      </c>
      <c r="I104" s="21" t="s">
        <v>1178</v>
      </c>
      <c r="J104" s="26">
        <f>+COUNTIF('ID1&amp;5'!G:G,'1. Status'!I104)</f>
        <v>0</v>
      </c>
      <c r="K104" s="79" t="str">
        <f>+IFERROR(VLOOKUP(CONCATENATE(A104,$B$10,B104),'ID1&amp;5'!B:J,8,FALSE),"-")</f>
        <v>-</v>
      </c>
      <c r="L104" s="78" t="str">
        <f>+IFERROR(VLOOKUP(B104,'ID1&amp;5'!K:L,2,FALSE),"-")</f>
        <v>-</v>
      </c>
      <c r="M104" s="79" t="str">
        <f>+IFERROR(VLOOKUP(CONCATENATE(A104,$B$10,B104),'ID1&amp;5'!B:J,9,FALSE),"-")</f>
        <v>-</v>
      </c>
      <c r="N104" s="79" t="str">
        <f>+IFERROR(VLOOKUP(CONCATENATE(A104,$C$10,C104),'ID1&amp;5'!B:J,8,FALSE),"-")</f>
        <v>-</v>
      </c>
      <c r="O104" s="78" t="str">
        <f>+IFERROR(VLOOKUP(C104,'ID1&amp;5'!K:L,2,FALSE),"-")</f>
        <v>-</v>
      </c>
      <c r="P104" s="79" t="str">
        <f>+IFERROR(VLOOKUP(CONCATENATE(A104,$C$10,C104),'ID1&amp;5'!B:J,9,FALSE),"-")</f>
        <v>-</v>
      </c>
      <c r="Q104" s="78" t="str">
        <f>+IFERROR(VLOOKUP(D104,'ID1&amp;5'!K:L,2,FALSE),"-")</f>
        <v>-</v>
      </c>
      <c r="R104" s="26" t="str">
        <f>+IFERROR(VLOOKUP(CONCATENATE(A104,$D$10,D104),'ID1&amp;5'!B:J,9,FALSE),"-")</f>
        <v>-</v>
      </c>
      <c r="S104" s="78" t="str">
        <f>+IFERROR(VLOOKUP(E104,'ID1&amp;5'!K:L,2,FALSE),"-")</f>
        <v>-</v>
      </c>
      <c r="T104" s="79" t="str">
        <f>+IFERROR(VLOOKUP(CONCATENATE(A104,$E$10,E104),'ID1&amp;5'!B:J,9,FALSE),"-")</f>
        <v>-</v>
      </c>
      <c r="U104" s="78" t="str">
        <f>+IFERROR(VLOOKUP(F104,'ID1&amp;5'!K:L,2,FALSE),"-")</f>
        <v>-</v>
      </c>
      <c r="V104" s="79" t="str">
        <f>+IFERROR(VLOOKUP(CONCATENATE(A104,$F$10,F104),'ID1&amp;5'!B:J,9,FALSE),"-")</f>
        <v>-</v>
      </c>
      <c r="W104" s="26" t="str">
        <f>+IFERROR(VLOOKUP(A104,'ID6&amp;7'!A:I,9,FALSE),"-")</f>
        <v>-</v>
      </c>
      <c r="X104" s="26" t="str">
        <f>+IFERROR(VLOOKUP(A104,'ID6&amp;7'!A:J,10,FALSE),"-")</f>
        <v>-</v>
      </c>
      <c r="Y104" s="26"/>
      <c r="Z104" s="27" t="str">
        <f t="shared" si="2"/>
        <v>Por iniciar</v>
      </c>
      <c r="AA104" s="65"/>
    </row>
    <row r="105" spans="1:27">
      <c r="A105" s="20"/>
      <c r="B105" s="60"/>
      <c r="C105" s="60"/>
      <c r="D105" s="60"/>
      <c r="E105" s="60"/>
      <c r="F105" s="60"/>
      <c r="G105" s="60"/>
      <c r="H105" s="65" t="s">
        <v>117</v>
      </c>
      <c r="I105" s="21" t="s">
        <v>1179</v>
      </c>
      <c r="J105" s="26">
        <f>+COUNTIF('ID1&amp;5'!G:G,'1. Status'!I105)</f>
        <v>0</v>
      </c>
      <c r="K105" s="79" t="str">
        <f>+IFERROR(VLOOKUP(CONCATENATE(A105,$B$10,B105),'ID1&amp;5'!B:J,8,FALSE),"-")</f>
        <v>-</v>
      </c>
      <c r="L105" s="78" t="str">
        <f>+IFERROR(VLOOKUP(B105,'ID1&amp;5'!K:L,2,FALSE),"-")</f>
        <v>-</v>
      </c>
      <c r="M105" s="79" t="str">
        <f>+IFERROR(VLOOKUP(CONCATENATE(A105,$B$10,B105),'ID1&amp;5'!B:J,9,FALSE),"-")</f>
        <v>-</v>
      </c>
      <c r="N105" s="79" t="str">
        <f>+IFERROR(VLOOKUP(CONCATENATE(A105,$C$10,C105),'ID1&amp;5'!B:J,8,FALSE),"-")</f>
        <v>-</v>
      </c>
      <c r="O105" s="78" t="str">
        <f>+IFERROR(VLOOKUP(C105,'ID1&amp;5'!K:L,2,FALSE),"-")</f>
        <v>-</v>
      </c>
      <c r="P105" s="79" t="str">
        <f>+IFERROR(VLOOKUP(CONCATENATE(A105,$C$10,C105),'ID1&amp;5'!B:J,9,FALSE),"-")</f>
        <v>-</v>
      </c>
      <c r="Q105" s="78" t="str">
        <f>+IFERROR(VLOOKUP(D105,'ID1&amp;5'!K:L,2,FALSE),"-")</f>
        <v>-</v>
      </c>
      <c r="R105" s="26" t="str">
        <f>+IFERROR(VLOOKUP(CONCATENATE(A105,$D$10,D105),'ID1&amp;5'!B:J,9,FALSE),"-")</f>
        <v>-</v>
      </c>
      <c r="S105" s="78" t="str">
        <f>+IFERROR(VLOOKUP(E105,'ID1&amp;5'!K:L,2,FALSE),"-")</f>
        <v>-</v>
      </c>
      <c r="T105" s="79" t="str">
        <f>+IFERROR(VLOOKUP(CONCATENATE(A105,$E$10,E105),'ID1&amp;5'!B:J,9,FALSE),"-")</f>
        <v>-</v>
      </c>
      <c r="U105" s="78" t="str">
        <f>+IFERROR(VLOOKUP(F105,'ID1&amp;5'!K:L,2,FALSE),"-")</f>
        <v>-</v>
      </c>
      <c r="V105" s="79" t="str">
        <f>+IFERROR(VLOOKUP(CONCATENATE(A105,$F$10,F105),'ID1&amp;5'!B:J,9,FALSE),"-")</f>
        <v>-</v>
      </c>
      <c r="W105" s="26" t="str">
        <f>+IFERROR(VLOOKUP(A105,'ID6&amp;7'!A:I,9,FALSE),"-")</f>
        <v>-</v>
      </c>
      <c r="X105" s="26" t="str">
        <f>+IFERROR(VLOOKUP(A105,'ID6&amp;7'!A:J,10,FALSE),"-")</f>
        <v>-</v>
      </c>
      <c r="Y105" s="26"/>
      <c r="Z105" s="27" t="str">
        <f t="shared" si="2"/>
        <v>Por iniciar</v>
      </c>
      <c r="AA105" s="65"/>
    </row>
    <row r="106" spans="1:27">
      <c r="A106" s="20"/>
      <c r="B106" s="60"/>
      <c r="C106" s="60"/>
      <c r="D106" s="60"/>
      <c r="E106" s="60"/>
      <c r="F106" s="60"/>
      <c r="G106" s="60"/>
      <c r="H106" s="65" t="s">
        <v>117</v>
      </c>
      <c r="I106" s="21" t="s">
        <v>307</v>
      </c>
      <c r="J106" s="26">
        <f>+COUNTIF('ID1&amp;5'!G:G,'1. Status'!I106)</f>
        <v>0</v>
      </c>
      <c r="K106" s="79" t="str">
        <f>+IFERROR(VLOOKUP(CONCATENATE(A106,$B$10,B106),'ID1&amp;5'!B:J,8,FALSE),"-")</f>
        <v>-</v>
      </c>
      <c r="L106" s="78" t="str">
        <f>+IFERROR(VLOOKUP(B106,'ID1&amp;5'!K:L,2,FALSE),"-")</f>
        <v>-</v>
      </c>
      <c r="M106" s="79" t="str">
        <f>+IFERROR(VLOOKUP(CONCATENATE(A106,$B$10,B106),'ID1&amp;5'!B:J,9,FALSE),"-")</f>
        <v>-</v>
      </c>
      <c r="N106" s="79" t="str">
        <f>+IFERROR(VLOOKUP(CONCATENATE(A106,$C$10,C106),'ID1&amp;5'!B:J,8,FALSE),"-")</f>
        <v>-</v>
      </c>
      <c r="O106" s="78" t="str">
        <f>+IFERROR(VLOOKUP(C106,'ID1&amp;5'!K:L,2,FALSE),"-")</f>
        <v>-</v>
      </c>
      <c r="P106" s="79" t="str">
        <f>+IFERROR(VLOOKUP(CONCATENATE(A106,$C$10,C106),'ID1&amp;5'!B:J,9,FALSE),"-")</f>
        <v>-</v>
      </c>
      <c r="Q106" s="78" t="str">
        <f>+IFERROR(VLOOKUP(D106,'ID1&amp;5'!K:L,2,FALSE),"-")</f>
        <v>-</v>
      </c>
      <c r="R106" s="26" t="str">
        <f>+IFERROR(VLOOKUP(CONCATENATE(A106,$D$10,D106),'ID1&amp;5'!B:J,9,FALSE),"-")</f>
        <v>-</v>
      </c>
      <c r="S106" s="78" t="str">
        <f>+IFERROR(VLOOKUP(E106,'ID1&amp;5'!K:L,2,FALSE),"-")</f>
        <v>-</v>
      </c>
      <c r="T106" s="79" t="str">
        <f>+IFERROR(VLOOKUP(CONCATENATE(A106,$E$10,E106),'ID1&amp;5'!B:J,9,FALSE),"-")</f>
        <v>-</v>
      </c>
      <c r="U106" s="78" t="str">
        <f>+IFERROR(VLOOKUP(F106,'ID1&amp;5'!K:L,2,FALSE),"-")</f>
        <v>-</v>
      </c>
      <c r="V106" s="79" t="str">
        <f>+IFERROR(VLOOKUP(CONCATENATE(A106,$F$10,F106),'ID1&amp;5'!B:J,9,FALSE),"-")</f>
        <v>-</v>
      </c>
      <c r="W106" s="26" t="str">
        <f>+IFERROR(VLOOKUP(A106,'ID6&amp;7'!A:I,9,FALSE),"-")</f>
        <v>-</v>
      </c>
      <c r="X106" s="26" t="str">
        <f>+IFERROR(VLOOKUP(A106,'ID6&amp;7'!A:J,10,FALSE),"-")</f>
        <v>-</v>
      </c>
      <c r="Y106" s="26"/>
      <c r="Z106" s="27" t="str">
        <f t="shared" si="2"/>
        <v>Por iniciar</v>
      </c>
      <c r="AA106" s="65"/>
    </row>
    <row r="107" spans="1:27">
      <c r="A107" s="20"/>
      <c r="B107" s="60"/>
      <c r="C107" s="60"/>
      <c r="D107" s="60"/>
      <c r="E107" s="60"/>
      <c r="F107" s="60"/>
      <c r="G107" s="60"/>
      <c r="H107" s="65" t="s">
        <v>117</v>
      </c>
      <c r="I107" s="21" t="s">
        <v>1180</v>
      </c>
      <c r="J107" s="26">
        <f>+COUNTIF('ID1&amp;5'!G:G,'1. Status'!I107)</f>
        <v>0</v>
      </c>
      <c r="K107" s="79" t="str">
        <f>+IFERROR(VLOOKUP(CONCATENATE(A107,$B$10,B107),'ID1&amp;5'!B:J,8,FALSE),"-")</f>
        <v>-</v>
      </c>
      <c r="L107" s="78" t="str">
        <f>+IFERROR(VLOOKUP(B107,'ID1&amp;5'!K:L,2,FALSE),"-")</f>
        <v>-</v>
      </c>
      <c r="M107" s="79" t="str">
        <f>+IFERROR(VLOOKUP(CONCATENATE(A107,$B$10,B107),'ID1&amp;5'!B:J,9,FALSE),"-")</f>
        <v>-</v>
      </c>
      <c r="N107" s="79" t="str">
        <f>+IFERROR(VLOOKUP(CONCATENATE(A107,$C$10,C107),'ID1&amp;5'!B:J,8,FALSE),"-")</f>
        <v>-</v>
      </c>
      <c r="O107" s="78" t="str">
        <f>+IFERROR(VLOOKUP(C107,'ID1&amp;5'!K:L,2,FALSE),"-")</f>
        <v>-</v>
      </c>
      <c r="P107" s="79" t="str">
        <f>+IFERROR(VLOOKUP(CONCATENATE(A107,$C$10,C107),'ID1&amp;5'!B:J,9,FALSE),"-")</f>
        <v>-</v>
      </c>
      <c r="Q107" s="78" t="str">
        <f>+IFERROR(VLOOKUP(D107,'ID1&amp;5'!K:L,2,FALSE),"-")</f>
        <v>-</v>
      </c>
      <c r="R107" s="26" t="str">
        <f>+IFERROR(VLOOKUP(CONCATENATE(A107,$D$10,D107),'ID1&amp;5'!B:J,9,FALSE),"-")</f>
        <v>-</v>
      </c>
      <c r="S107" s="78" t="str">
        <f>+IFERROR(VLOOKUP(E107,'ID1&amp;5'!K:L,2,FALSE),"-")</f>
        <v>-</v>
      </c>
      <c r="T107" s="79" t="str">
        <f>+IFERROR(VLOOKUP(CONCATENATE(A107,$E$10,E107),'ID1&amp;5'!B:J,9,FALSE),"-")</f>
        <v>-</v>
      </c>
      <c r="U107" s="78" t="str">
        <f>+IFERROR(VLOOKUP(F107,'ID1&amp;5'!K:L,2,FALSE),"-")</f>
        <v>-</v>
      </c>
      <c r="V107" s="79" t="str">
        <f>+IFERROR(VLOOKUP(CONCATENATE(A107,$F$10,F107),'ID1&amp;5'!B:J,9,FALSE),"-")</f>
        <v>-</v>
      </c>
      <c r="W107" s="26" t="str">
        <f>+IFERROR(VLOOKUP(A107,'ID6&amp;7'!A:I,9,FALSE),"-")</f>
        <v>-</v>
      </c>
      <c r="X107" s="26" t="str">
        <f>+IFERROR(VLOOKUP(A107,'ID6&amp;7'!A:J,10,FALSE),"-")</f>
        <v>-</v>
      </c>
      <c r="Y107" s="26"/>
      <c r="Z107" s="27" t="str">
        <f t="shared" si="2"/>
        <v>Por iniciar</v>
      </c>
      <c r="AA107" s="65"/>
    </row>
    <row r="108" spans="1:27">
      <c r="A108" s="20"/>
      <c r="B108" s="60"/>
      <c r="C108" s="60"/>
      <c r="D108" s="60"/>
      <c r="E108" s="60"/>
      <c r="F108" s="60"/>
      <c r="G108" s="60"/>
      <c r="H108" s="65" t="s">
        <v>117</v>
      </c>
      <c r="I108" s="21" t="s">
        <v>1181</v>
      </c>
      <c r="J108" s="26">
        <f>+COUNTIF('ID1&amp;5'!G:G,'1. Status'!I108)</f>
        <v>0</v>
      </c>
      <c r="K108" s="79" t="str">
        <f>+IFERROR(VLOOKUP(CONCATENATE(A108,$B$10,B108),'ID1&amp;5'!B:J,8,FALSE),"-")</f>
        <v>-</v>
      </c>
      <c r="L108" s="78" t="str">
        <f>+IFERROR(VLOOKUP(B108,'ID1&amp;5'!K:L,2,FALSE),"-")</f>
        <v>-</v>
      </c>
      <c r="M108" s="79" t="str">
        <f>+IFERROR(VLOOKUP(CONCATENATE(A108,$B$10,B108),'ID1&amp;5'!B:J,9,FALSE),"-")</f>
        <v>-</v>
      </c>
      <c r="N108" s="79" t="str">
        <f>+IFERROR(VLOOKUP(CONCATENATE(A108,$C$10,C108),'ID1&amp;5'!B:J,8,FALSE),"-")</f>
        <v>-</v>
      </c>
      <c r="O108" s="78" t="str">
        <f>+IFERROR(VLOOKUP(C108,'ID1&amp;5'!K:L,2,FALSE),"-")</f>
        <v>-</v>
      </c>
      <c r="P108" s="79" t="str">
        <f>+IFERROR(VLOOKUP(CONCATENATE(A108,$C$10,C108),'ID1&amp;5'!B:J,9,FALSE),"-")</f>
        <v>-</v>
      </c>
      <c r="Q108" s="78" t="str">
        <f>+IFERROR(VLOOKUP(D108,'ID1&amp;5'!K:L,2,FALSE),"-")</f>
        <v>-</v>
      </c>
      <c r="R108" s="26" t="str">
        <f>+IFERROR(VLOOKUP(CONCATENATE(A108,$D$10,D108),'ID1&amp;5'!B:J,9,FALSE),"-")</f>
        <v>-</v>
      </c>
      <c r="S108" s="78" t="str">
        <f>+IFERROR(VLOOKUP(E108,'ID1&amp;5'!K:L,2,FALSE),"-")</f>
        <v>-</v>
      </c>
      <c r="T108" s="79" t="str">
        <f>+IFERROR(VLOOKUP(CONCATENATE(A108,$E$10,E108),'ID1&amp;5'!B:J,9,FALSE),"-")</f>
        <v>-</v>
      </c>
      <c r="U108" s="78" t="str">
        <f>+IFERROR(VLOOKUP(F108,'ID1&amp;5'!K:L,2,FALSE),"-")</f>
        <v>-</v>
      </c>
      <c r="V108" s="79" t="str">
        <f>+IFERROR(VLOOKUP(CONCATENATE(A108,$F$10,F108),'ID1&amp;5'!B:J,9,FALSE),"-")</f>
        <v>-</v>
      </c>
      <c r="W108" s="26" t="str">
        <f>+IFERROR(VLOOKUP(A108,'ID6&amp;7'!A:I,9,FALSE),"-")</f>
        <v>-</v>
      </c>
      <c r="X108" s="26" t="str">
        <f>+IFERROR(VLOOKUP(A108,'ID6&amp;7'!A:J,10,FALSE),"-")</f>
        <v>-</v>
      </c>
      <c r="Y108" s="26"/>
      <c r="Z108" s="27" t="str">
        <f t="shared" si="2"/>
        <v>Por iniciar</v>
      </c>
      <c r="AA108" s="65"/>
    </row>
    <row r="109" spans="1:27">
      <c r="A109" s="20"/>
      <c r="B109" s="60"/>
      <c r="C109" s="60"/>
      <c r="D109" s="60"/>
      <c r="E109" s="60"/>
      <c r="F109" s="60"/>
      <c r="G109" s="60"/>
      <c r="H109" s="65" t="s">
        <v>117</v>
      </c>
      <c r="I109" s="21" t="s">
        <v>1182</v>
      </c>
      <c r="J109" s="26">
        <f>+COUNTIF('ID1&amp;5'!G:G,'1. Status'!I109)</f>
        <v>0</v>
      </c>
      <c r="K109" s="79" t="str">
        <f>+IFERROR(VLOOKUP(CONCATENATE(A109,$B$10,B109),'ID1&amp;5'!B:J,8,FALSE),"-")</f>
        <v>-</v>
      </c>
      <c r="L109" s="78" t="str">
        <f>+IFERROR(VLOOKUP(B109,'ID1&amp;5'!K:L,2,FALSE),"-")</f>
        <v>-</v>
      </c>
      <c r="M109" s="79" t="str">
        <f>+IFERROR(VLOOKUP(CONCATENATE(A109,$B$10,B109),'ID1&amp;5'!B:J,9,FALSE),"-")</f>
        <v>-</v>
      </c>
      <c r="N109" s="79" t="str">
        <f>+IFERROR(VLOOKUP(CONCATENATE(A109,$C$10,C109),'ID1&amp;5'!B:J,8,FALSE),"-")</f>
        <v>-</v>
      </c>
      <c r="O109" s="78" t="str">
        <f>+IFERROR(VLOOKUP(C109,'ID1&amp;5'!K:L,2,FALSE),"-")</f>
        <v>-</v>
      </c>
      <c r="P109" s="79" t="str">
        <f>+IFERROR(VLOOKUP(CONCATENATE(A109,$C$10,C109),'ID1&amp;5'!B:J,9,FALSE),"-")</f>
        <v>-</v>
      </c>
      <c r="Q109" s="78" t="str">
        <f>+IFERROR(VLOOKUP(D109,'ID1&amp;5'!K:L,2,FALSE),"-")</f>
        <v>-</v>
      </c>
      <c r="R109" s="26" t="str">
        <f>+IFERROR(VLOOKUP(CONCATENATE(A109,$D$10,D109),'ID1&amp;5'!B:J,9,FALSE),"-")</f>
        <v>-</v>
      </c>
      <c r="S109" s="78" t="str">
        <f>+IFERROR(VLOOKUP(E109,'ID1&amp;5'!K:L,2,FALSE),"-")</f>
        <v>-</v>
      </c>
      <c r="T109" s="79" t="str">
        <f>+IFERROR(VLOOKUP(CONCATENATE(A109,$E$10,E109),'ID1&amp;5'!B:J,9,FALSE),"-")</f>
        <v>-</v>
      </c>
      <c r="U109" s="78" t="str">
        <f>+IFERROR(VLOOKUP(F109,'ID1&amp;5'!K:L,2,FALSE),"-")</f>
        <v>-</v>
      </c>
      <c r="V109" s="79" t="str">
        <f>+IFERROR(VLOOKUP(CONCATENATE(A109,$F$10,F109),'ID1&amp;5'!B:J,9,FALSE),"-")</f>
        <v>-</v>
      </c>
      <c r="W109" s="26" t="str">
        <f>+IFERROR(VLOOKUP(A109,'ID6&amp;7'!A:I,9,FALSE),"-")</f>
        <v>-</v>
      </c>
      <c r="X109" s="26" t="str">
        <f>+IFERROR(VLOOKUP(A109,'ID6&amp;7'!A:J,10,FALSE),"-")</f>
        <v>-</v>
      </c>
      <c r="Y109" s="26"/>
      <c r="Z109" s="27" t="str">
        <f t="shared" si="2"/>
        <v>Por iniciar</v>
      </c>
      <c r="AA109" s="65"/>
    </row>
    <row r="110" spans="1:27">
      <c r="A110" s="20"/>
      <c r="B110" s="60"/>
      <c r="C110" s="60"/>
      <c r="D110" s="60"/>
      <c r="E110" s="60"/>
      <c r="F110" s="60"/>
      <c r="G110" s="60"/>
      <c r="H110" s="65" t="s">
        <v>117</v>
      </c>
      <c r="I110" s="21" t="s">
        <v>1183</v>
      </c>
      <c r="J110" s="26">
        <f>+COUNTIF('ID1&amp;5'!G:G,'1. Status'!I110)</f>
        <v>0</v>
      </c>
      <c r="K110" s="79" t="str">
        <f>+IFERROR(VLOOKUP(CONCATENATE(A110,$B$10,B110),'ID1&amp;5'!B:J,8,FALSE),"-")</f>
        <v>-</v>
      </c>
      <c r="L110" s="78" t="str">
        <f>+IFERROR(VLOOKUP(B110,'ID1&amp;5'!K:L,2,FALSE),"-")</f>
        <v>-</v>
      </c>
      <c r="M110" s="79" t="str">
        <f>+IFERROR(VLOOKUP(CONCATENATE(A110,$B$10,B110),'ID1&amp;5'!B:J,9,FALSE),"-")</f>
        <v>-</v>
      </c>
      <c r="N110" s="79" t="str">
        <f>+IFERROR(VLOOKUP(CONCATENATE(A110,$C$10,C110),'ID1&amp;5'!B:J,8,FALSE),"-")</f>
        <v>-</v>
      </c>
      <c r="O110" s="78" t="str">
        <f>+IFERROR(VLOOKUP(C110,'ID1&amp;5'!K:L,2,FALSE),"-")</f>
        <v>-</v>
      </c>
      <c r="P110" s="79" t="str">
        <f>+IFERROR(VLOOKUP(CONCATENATE(A110,$C$10,C110),'ID1&amp;5'!B:J,9,FALSE),"-")</f>
        <v>-</v>
      </c>
      <c r="Q110" s="78" t="str">
        <f>+IFERROR(VLOOKUP(D110,'ID1&amp;5'!K:L,2,FALSE),"-")</f>
        <v>-</v>
      </c>
      <c r="R110" s="26" t="str">
        <f>+IFERROR(VLOOKUP(CONCATENATE(A110,$D$10,D110),'ID1&amp;5'!B:J,9,FALSE),"-")</f>
        <v>-</v>
      </c>
      <c r="S110" s="78" t="str">
        <f>+IFERROR(VLOOKUP(E110,'ID1&amp;5'!K:L,2,FALSE),"-")</f>
        <v>-</v>
      </c>
      <c r="T110" s="79" t="str">
        <f>+IFERROR(VLOOKUP(CONCATENATE(A110,$E$10,E110),'ID1&amp;5'!B:J,9,FALSE),"-")</f>
        <v>-</v>
      </c>
      <c r="U110" s="78" t="str">
        <f>+IFERROR(VLOOKUP(F110,'ID1&amp;5'!K:L,2,FALSE),"-")</f>
        <v>-</v>
      </c>
      <c r="V110" s="79" t="str">
        <f>+IFERROR(VLOOKUP(CONCATENATE(A110,$F$10,F110),'ID1&amp;5'!B:J,9,FALSE),"-")</f>
        <v>-</v>
      </c>
      <c r="W110" s="26" t="str">
        <f>+IFERROR(VLOOKUP(A110,'ID6&amp;7'!A:I,9,FALSE),"-")</f>
        <v>-</v>
      </c>
      <c r="X110" s="26" t="str">
        <f>+IFERROR(VLOOKUP(A110,'ID6&amp;7'!A:J,10,FALSE),"-")</f>
        <v>-</v>
      </c>
      <c r="Y110" s="26"/>
      <c r="Z110" s="27" t="str">
        <f t="shared" si="2"/>
        <v>Por iniciar</v>
      </c>
      <c r="AA110" s="65"/>
    </row>
    <row r="111" spans="1:27">
      <c r="A111" s="20"/>
      <c r="B111" s="60"/>
      <c r="C111" s="60"/>
      <c r="D111" s="60"/>
      <c r="E111" s="60"/>
      <c r="F111" s="60"/>
      <c r="G111" s="60"/>
      <c r="H111" s="65" t="s">
        <v>117</v>
      </c>
      <c r="I111" s="21" t="s">
        <v>646</v>
      </c>
      <c r="J111" s="26">
        <f>+COUNTIF('ID1&amp;5'!G:G,'1. Status'!I111)</f>
        <v>0</v>
      </c>
      <c r="K111" s="79" t="str">
        <f>+IFERROR(VLOOKUP(CONCATENATE(A111,$B$10,B111),'ID1&amp;5'!B:J,8,FALSE),"-")</f>
        <v>-</v>
      </c>
      <c r="L111" s="78" t="str">
        <f>+IFERROR(VLOOKUP(B111,'ID1&amp;5'!K:L,2,FALSE),"-")</f>
        <v>-</v>
      </c>
      <c r="M111" s="79" t="str">
        <f>+IFERROR(VLOOKUP(CONCATENATE(A111,$B$10,B111),'ID1&amp;5'!B:J,9,FALSE),"-")</f>
        <v>-</v>
      </c>
      <c r="N111" s="79" t="str">
        <f>+IFERROR(VLOOKUP(CONCATENATE(A111,$C$10,C111),'ID1&amp;5'!B:J,8,FALSE),"-")</f>
        <v>-</v>
      </c>
      <c r="O111" s="78" t="str">
        <f>+IFERROR(VLOOKUP(C111,'ID1&amp;5'!K:L,2,FALSE),"-")</f>
        <v>-</v>
      </c>
      <c r="P111" s="79" t="str">
        <f>+IFERROR(VLOOKUP(CONCATENATE(A111,$C$10,C111),'ID1&amp;5'!B:J,9,FALSE),"-")</f>
        <v>-</v>
      </c>
      <c r="Q111" s="78" t="str">
        <f>+IFERROR(VLOOKUP(D111,'ID1&amp;5'!K:L,2,FALSE),"-")</f>
        <v>-</v>
      </c>
      <c r="R111" s="26" t="str">
        <f>+IFERROR(VLOOKUP(CONCATENATE(A111,$D$10,D111),'ID1&amp;5'!B:J,9,FALSE),"-")</f>
        <v>-</v>
      </c>
      <c r="S111" s="78" t="str">
        <f>+IFERROR(VLOOKUP(E111,'ID1&amp;5'!K:L,2,FALSE),"-")</f>
        <v>-</v>
      </c>
      <c r="T111" s="79" t="str">
        <f>+IFERROR(VLOOKUP(CONCATENATE(A111,$E$10,E111),'ID1&amp;5'!B:J,9,FALSE),"-")</f>
        <v>-</v>
      </c>
      <c r="U111" s="78" t="str">
        <f>+IFERROR(VLOOKUP(F111,'ID1&amp;5'!K:L,2,FALSE),"-")</f>
        <v>-</v>
      </c>
      <c r="V111" s="79" t="str">
        <f>+IFERROR(VLOOKUP(CONCATENATE(A111,$F$10,F111),'ID1&amp;5'!B:J,9,FALSE),"-")</f>
        <v>-</v>
      </c>
      <c r="W111" s="26" t="str">
        <f>+IFERROR(VLOOKUP(A111,'ID6&amp;7'!A:I,9,FALSE),"-")</f>
        <v>-</v>
      </c>
      <c r="X111" s="26" t="str">
        <f>+IFERROR(VLOOKUP(A111,'ID6&amp;7'!A:J,10,FALSE),"-")</f>
        <v>-</v>
      </c>
      <c r="Y111" s="26"/>
      <c r="Z111" s="27" t="str">
        <f t="shared" si="2"/>
        <v>Por iniciar</v>
      </c>
      <c r="AA111" s="65"/>
    </row>
    <row r="112" spans="1:27">
      <c r="A112" s="20"/>
      <c r="B112" s="60"/>
      <c r="C112" s="60"/>
      <c r="D112" s="60"/>
      <c r="E112" s="60"/>
      <c r="F112" s="60"/>
      <c r="G112" s="60"/>
      <c r="H112" s="65" t="s">
        <v>117</v>
      </c>
      <c r="I112" s="21" t="s">
        <v>1184</v>
      </c>
      <c r="J112" s="26">
        <f>+COUNTIF('ID1&amp;5'!G:G,'1. Status'!I112)</f>
        <v>0</v>
      </c>
      <c r="K112" s="79" t="str">
        <f>+IFERROR(VLOOKUP(CONCATENATE(A112,$B$10,B112),'ID1&amp;5'!B:J,8,FALSE),"-")</f>
        <v>-</v>
      </c>
      <c r="L112" s="78" t="str">
        <f>+IFERROR(VLOOKUP(B112,'ID1&amp;5'!K:L,2,FALSE),"-")</f>
        <v>-</v>
      </c>
      <c r="M112" s="79" t="str">
        <f>+IFERROR(VLOOKUP(CONCATENATE(A112,$B$10,B112),'ID1&amp;5'!B:J,9,FALSE),"-")</f>
        <v>-</v>
      </c>
      <c r="N112" s="79" t="str">
        <f>+IFERROR(VLOOKUP(CONCATENATE(A112,$C$10,C112),'ID1&amp;5'!B:J,8,FALSE),"-")</f>
        <v>-</v>
      </c>
      <c r="O112" s="78" t="str">
        <f>+IFERROR(VLOOKUP(C112,'ID1&amp;5'!K:L,2,FALSE),"-")</f>
        <v>-</v>
      </c>
      <c r="P112" s="79" t="str">
        <f>+IFERROR(VLOOKUP(CONCATENATE(A112,$C$10,C112),'ID1&amp;5'!B:J,9,FALSE),"-")</f>
        <v>-</v>
      </c>
      <c r="Q112" s="78" t="str">
        <f>+IFERROR(VLOOKUP(D112,'ID1&amp;5'!K:L,2,FALSE),"-")</f>
        <v>-</v>
      </c>
      <c r="R112" s="26" t="str">
        <f>+IFERROR(VLOOKUP(CONCATENATE(A112,$D$10,D112),'ID1&amp;5'!B:J,9,FALSE),"-")</f>
        <v>-</v>
      </c>
      <c r="S112" s="78" t="str">
        <f>+IFERROR(VLOOKUP(E112,'ID1&amp;5'!K:L,2,FALSE),"-")</f>
        <v>-</v>
      </c>
      <c r="T112" s="79" t="str">
        <f>+IFERROR(VLOOKUP(CONCATENATE(A112,$E$10,E112),'ID1&amp;5'!B:J,9,FALSE),"-")</f>
        <v>-</v>
      </c>
      <c r="U112" s="78" t="str">
        <f>+IFERROR(VLOOKUP(F112,'ID1&amp;5'!K:L,2,FALSE),"-")</f>
        <v>-</v>
      </c>
      <c r="V112" s="79" t="str">
        <f>+IFERROR(VLOOKUP(CONCATENATE(A112,$F$10,F112),'ID1&amp;5'!B:J,9,FALSE),"-")</f>
        <v>-</v>
      </c>
      <c r="W112" s="26" t="str">
        <f>+IFERROR(VLOOKUP(A112,'ID6&amp;7'!A:I,9,FALSE),"-")</f>
        <v>-</v>
      </c>
      <c r="X112" s="26" t="str">
        <f>+IFERROR(VLOOKUP(A112,'ID6&amp;7'!A:J,10,FALSE),"-")</f>
        <v>-</v>
      </c>
      <c r="Y112" s="26"/>
      <c r="Z112" s="27" t="str">
        <f t="shared" si="2"/>
        <v>Por iniciar</v>
      </c>
      <c r="AA112" s="65"/>
    </row>
    <row r="113" spans="1:27">
      <c r="A113" s="20"/>
      <c r="B113" s="60"/>
      <c r="C113" s="60"/>
      <c r="D113" s="60"/>
      <c r="E113" s="60"/>
      <c r="F113" s="60"/>
      <c r="G113" s="60"/>
      <c r="H113" s="65" t="s">
        <v>117</v>
      </c>
      <c r="I113" s="21" t="s">
        <v>1185</v>
      </c>
      <c r="J113" s="26">
        <f>+COUNTIF('ID1&amp;5'!G:G,'1. Status'!I113)</f>
        <v>0</v>
      </c>
      <c r="K113" s="79" t="str">
        <f>+IFERROR(VLOOKUP(CONCATENATE(A113,$B$10,B113),'ID1&amp;5'!B:J,8,FALSE),"-")</f>
        <v>-</v>
      </c>
      <c r="L113" s="78" t="str">
        <f>+IFERROR(VLOOKUP(B113,'ID1&amp;5'!K:L,2,FALSE),"-")</f>
        <v>-</v>
      </c>
      <c r="M113" s="79" t="str">
        <f>+IFERROR(VLOOKUP(CONCATENATE(A113,$B$10,B113),'ID1&amp;5'!B:J,9,FALSE),"-")</f>
        <v>-</v>
      </c>
      <c r="N113" s="79" t="str">
        <f>+IFERROR(VLOOKUP(CONCATENATE(A113,$C$10,C113),'ID1&amp;5'!B:J,8,FALSE),"-")</f>
        <v>-</v>
      </c>
      <c r="O113" s="78" t="str">
        <f>+IFERROR(VLOOKUP(C113,'ID1&amp;5'!K:L,2,FALSE),"-")</f>
        <v>-</v>
      </c>
      <c r="P113" s="79" t="str">
        <f>+IFERROR(VLOOKUP(CONCATENATE(A113,$C$10,C113),'ID1&amp;5'!B:J,9,FALSE),"-")</f>
        <v>-</v>
      </c>
      <c r="Q113" s="78" t="str">
        <f>+IFERROR(VLOOKUP(D113,'ID1&amp;5'!K:L,2,FALSE),"-")</f>
        <v>-</v>
      </c>
      <c r="R113" s="26" t="str">
        <f>+IFERROR(VLOOKUP(CONCATENATE(A113,$D$10,D113),'ID1&amp;5'!B:J,9,FALSE),"-")</f>
        <v>-</v>
      </c>
      <c r="S113" s="78" t="str">
        <f>+IFERROR(VLOOKUP(E113,'ID1&amp;5'!K:L,2,FALSE),"-")</f>
        <v>-</v>
      </c>
      <c r="T113" s="79" t="str">
        <f>+IFERROR(VLOOKUP(CONCATENATE(A113,$E$10,E113),'ID1&amp;5'!B:J,9,FALSE),"-")</f>
        <v>-</v>
      </c>
      <c r="U113" s="78" t="str">
        <f>+IFERROR(VLOOKUP(F113,'ID1&amp;5'!K:L,2,FALSE),"-")</f>
        <v>-</v>
      </c>
      <c r="V113" s="79" t="str">
        <f>+IFERROR(VLOOKUP(CONCATENATE(A113,$F$10,F113),'ID1&amp;5'!B:J,9,FALSE),"-")</f>
        <v>-</v>
      </c>
      <c r="W113" s="26" t="str">
        <f>+IFERROR(VLOOKUP(A113,'ID6&amp;7'!A:I,9,FALSE),"-")</f>
        <v>-</v>
      </c>
      <c r="X113" s="26" t="str">
        <f>+IFERROR(VLOOKUP(A113,'ID6&amp;7'!A:J,10,FALSE),"-")</f>
        <v>-</v>
      </c>
      <c r="Y113" s="26"/>
      <c r="Z113" s="27" t="str">
        <f t="shared" si="2"/>
        <v>Por iniciar</v>
      </c>
      <c r="AA113" s="65"/>
    </row>
    <row r="114" spans="1:27">
      <c r="A114" s="20"/>
      <c r="B114" s="60"/>
      <c r="C114" s="60"/>
      <c r="D114" s="60"/>
      <c r="E114" s="60"/>
      <c r="F114" s="60"/>
      <c r="G114" s="60"/>
      <c r="H114" s="65" t="s">
        <v>117</v>
      </c>
      <c r="I114" s="21" t="s">
        <v>1186</v>
      </c>
      <c r="J114" s="26">
        <f>+COUNTIF('ID1&amp;5'!G:G,'1. Status'!I114)</f>
        <v>0</v>
      </c>
      <c r="K114" s="79" t="str">
        <f>+IFERROR(VLOOKUP(CONCATENATE(A114,$B$10,B114),'ID1&amp;5'!B:J,8,FALSE),"-")</f>
        <v>-</v>
      </c>
      <c r="L114" s="78" t="str">
        <f>+IFERROR(VLOOKUP(B114,'ID1&amp;5'!K:L,2,FALSE),"-")</f>
        <v>-</v>
      </c>
      <c r="M114" s="79" t="str">
        <f>+IFERROR(VLOOKUP(CONCATENATE(A114,$B$10,B114),'ID1&amp;5'!B:J,9,FALSE),"-")</f>
        <v>-</v>
      </c>
      <c r="N114" s="79" t="str">
        <f>+IFERROR(VLOOKUP(CONCATENATE(A114,$C$10,C114),'ID1&amp;5'!B:J,8,FALSE),"-")</f>
        <v>-</v>
      </c>
      <c r="O114" s="78" t="str">
        <f>+IFERROR(VLOOKUP(C114,'ID1&amp;5'!K:L,2,FALSE),"-")</f>
        <v>-</v>
      </c>
      <c r="P114" s="79" t="str">
        <f>+IFERROR(VLOOKUP(CONCATENATE(A114,$C$10,C114),'ID1&amp;5'!B:J,9,FALSE),"-")</f>
        <v>-</v>
      </c>
      <c r="Q114" s="78" t="str">
        <f>+IFERROR(VLOOKUP(D114,'ID1&amp;5'!K:L,2,FALSE),"-")</f>
        <v>-</v>
      </c>
      <c r="R114" s="26" t="str">
        <f>+IFERROR(VLOOKUP(CONCATENATE(A114,$D$10,D114),'ID1&amp;5'!B:J,9,FALSE),"-")</f>
        <v>-</v>
      </c>
      <c r="S114" s="78" t="str">
        <f>+IFERROR(VLOOKUP(E114,'ID1&amp;5'!K:L,2,FALSE),"-")</f>
        <v>-</v>
      </c>
      <c r="T114" s="79" t="str">
        <f>+IFERROR(VLOOKUP(CONCATENATE(A114,$E$10,E114),'ID1&amp;5'!B:J,9,FALSE),"-")</f>
        <v>-</v>
      </c>
      <c r="U114" s="78" t="str">
        <f>+IFERROR(VLOOKUP(F114,'ID1&amp;5'!K:L,2,FALSE),"-")</f>
        <v>-</v>
      </c>
      <c r="V114" s="79" t="str">
        <f>+IFERROR(VLOOKUP(CONCATENATE(A114,$F$10,F114),'ID1&amp;5'!B:J,9,FALSE),"-")</f>
        <v>-</v>
      </c>
      <c r="W114" s="26" t="str">
        <f>+IFERROR(VLOOKUP(A114,'ID6&amp;7'!A:I,9,FALSE),"-")</f>
        <v>-</v>
      </c>
      <c r="X114" s="26" t="str">
        <f>+IFERROR(VLOOKUP(A114,'ID6&amp;7'!A:J,10,FALSE),"-")</f>
        <v>-</v>
      </c>
      <c r="Y114" s="26"/>
      <c r="Z114" s="27" t="str">
        <f t="shared" si="2"/>
        <v>Por iniciar</v>
      </c>
      <c r="AA114" s="65"/>
    </row>
    <row r="115" spans="1:27">
      <c r="A115" s="20"/>
      <c r="B115" s="60"/>
      <c r="C115" s="60"/>
      <c r="D115" s="60"/>
      <c r="E115" s="60"/>
      <c r="F115" s="60"/>
      <c r="G115" s="60"/>
      <c r="H115" s="65" t="s">
        <v>117</v>
      </c>
      <c r="I115" s="21" t="s">
        <v>1187</v>
      </c>
      <c r="J115" s="26">
        <f>+COUNTIF('ID1&amp;5'!G:G,'1. Status'!I115)</f>
        <v>0</v>
      </c>
      <c r="K115" s="79" t="str">
        <f>+IFERROR(VLOOKUP(CONCATENATE(A115,$B$10,B115),'ID1&amp;5'!B:J,8,FALSE),"-")</f>
        <v>-</v>
      </c>
      <c r="L115" s="78" t="str">
        <f>+IFERROR(VLOOKUP(B115,'ID1&amp;5'!K:L,2,FALSE),"-")</f>
        <v>-</v>
      </c>
      <c r="M115" s="79" t="str">
        <f>+IFERROR(VLOOKUP(CONCATENATE(A115,$B$10,B115),'ID1&amp;5'!B:J,9,FALSE),"-")</f>
        <v>-</v>
      </c>
      <c r="N115" s="79" t="str">
        <f>+IFERROR(VLOOKUP(CONCATENATE(A115,$C$10,C115),'ID1&amp;5'!B:J,8,FALSE),"-")</f>
        <v>-</v>
      </c>
      <c r="O115" s="78" t="str">
        <f>+IFERROR(VLOOKUP(C115,'ID1&amp;5'!K:L,2,FALSE),"-")</f>
        <v>-</v>
      </c>
      <c r="P115" s="79" t="str">
        <f>+IFERROR(VLOOKUP(CONCATENATE(A115,$C$10,C115),'ID1&amp;5'!B:J,9,FALSE),"-")</f>
        <v>-</v>
      </c>
      <c r="Q115" s="78" t="str">
        <f>+IFERROR(VLOOKUP(D115,'ID1&amp;5'!K:L,2,FALSE),"-")</f>
        <v>-</v>
      </c>
      <c r="R115" s="26" t="str">
        <f>+IFERROR(VLOOKUP(CONCATENATE(A115,$D$10,D115),'ID1&amp;5'!B:J,9,FALSE),"-")</f>
        <v>-</v>
      </c>
      <c r="S115" s="78" t="str">
        <f>+IFERROR(VLOOKUP(E115,'ID1&amp;5'!K:L,2,FALSE),"-")</f>
        <v>-</v>
      </c>
      <c r="T115" s="79" t="str">
        <f>+IFERROR(VLOOKUP(CONCATENATE(A115,$E$10,E115),'ID1&amp;5'!B:J,9,FALSE),"-")</f>
        <v>-</v>
      </c>
      <c r="U115" s="78" t="str">
        <f>+IFERROR(VLOOKUP(F115,'ID1&amp;5'!K:L,2,FALSE),"-")</f>
        <v>-</v>
      </c>
      <c r="V115" s="79" t="str">
        <f>+IFERROR(VLOOKUP(CONCATENATE(A115,$F$10,F115),'ID1&amp;5'!B:J,9,FALSE),"-")</f>
        <v>-</v>
      </c>
      <c r="W115" s="26" t="str">
        <f>+IFERROR(VLOOKUP(A115,'ID6&amp;7'!A:I,9,FALSE),"-")</f>
        <v>-</v>
      </c>
      <c r="X115" s="26" t="str">
        <f>+IFERROR(VLOOKUP(A115,'ID6&amp;7'!A:J,10,FALSE),"-")</f>
        <v>-</v>
      </c>
      <c r="Y115" s="26"/>
      <c r="Z115" s="27" t="str">
        <f t="shared" si="2"/>
        <v>Por iniciar</v>
      </c>
      <c r="AA115" s="65"/>
    </row>
    <row r="116" spans="1:27">
      <c r="A116" s="20"/>
      <c r="B116" s="60"/>
      <c r="C116" s="60"/>
      <c r="D116" s="60"/>
      <c r="E116" s="60"/>
      <c r="F116" s="60"/>
      <c r="G116" s="60"/>
      <c r="H116" s="65" t="s">
        <v>117</v>
      </c>
      <c r="I116" s="21" t="s">
        <v>647</v>
      </c>
      <c r="J116" s="26">
        <f>+COUNTIF('ID1&amp;5'!G:G,'1. Status'!I116)</f>
        <v>0</v>
      </c>
      <c r="K116" s="79" t="str">
        <f>+IFERROR(VLOOKUP(CONCATENATE(A116,$B$10,B116),'ID1&amp;5'!B:J,8,FALSE),"-")</f>
        <v>-</v>
      </c>
      <c r="L116" s="78" t="str">
        <f>+IFERROR(VLOOKUP(B116,'ID1&amp;5'!K:L,2,FALSE),"-")</f>
        <v>-</v>
      </c>
      <c r="M116" s="79" t="str">
        <f>+IFERROR(VLOOKUP(CONCATENATE(A116,$B$10,B116),'ID1&amp;5'!B:J,9,FALSE),"-")</f>
        <v>-</v>
      </c>
      <c r="N116" s="79" t="str">
        <f>+IFERROR(VLOOKUP(CONCATENATE(A116,$C$10,C116),'ID1&amp;5'!B:J,8,FALSE),"-")</f>
        <v>-</v>
      </c>
      <c r="O116" s="78" t="str">
        <f>+IFERROR(VLOOKUP(C116,'ID1&amp;5'!K:L,2,FALSE),"-")</f>
        <v>-</v>
      </c>
      <c r="P116" s="79" t="str">
        <f>+IFERROR(VLOOKUP(CONCATENATE(A116,$C$10,C116),'ID1&amp;5'!B:J,9,FALSE),"-")</f>
        <v>-</v>
      </c>
      <c r="Q116" s="78" t="str">
        <f>+IFERROR(VLOOKUP(D116,'ID1&amp;5'!K:L,2,FALSE),"-")</f>
        <v>-</v>
      </c>
      <c r="R116" s="26" t="str">
        <f>+IFERROR(VLOOKUP(CONCATENATE(A116,$D$10,D116),'ID1&amp;5'!B:J,9,FALSE),"-")</f>
        <v>-</v>
      </c>
      <c r="S116" s="78" t="str">
        <f>+IFERROR(VLOOKUP(E116,'ID1&amp;5'!K:L,2,FALSE),"-")</f>
        <v>-</v>
      </c>
      <c r="T116" s="79" t="str">
        <f>+IFERROR(VLOOKUP(CONCATENATE(A116,$E$10,E116),'ID1&amp;5'!B:J,9,FALSE),"-")</f>
        <v>-</v>
      </c>
      <c r="U116" s="78" t="str">
        <f>+IFERROR(VLOOKUP(F116,'ID1&amp;5'!K:L,2,FALSE),"-")</f>
        <v>-</v>
      </c>
      <c r="V116" s="79" t="str">
        <f>+IFERROR(VLOOKUP(CONCATENATE(A116,$F$10,F116),'ID1&amp;5'!B:J,9,FALSE),"-")</f>
        <v>-</v>
      </c>
      <c r="W116" s="26" t="str">
        <f>+IFERROR(VLOOKUP(A116,'ID6&amp;7'!A:I,9,FALSE),"-")</f>
        <v>-</v>
      </c>
      <c r="X116" s="26" t="str">
        <f>+IFERROR(VLOOKUP(A116,'ID6&amp;7'!A:J,10,FALSE),"-")</f>
        <v>-</v>
      </c>
      <c r="Y116" s="26"/>
      <c r="Z116" s="27" t="str">
        <f t="shared" si="2"/>
        <v>Por iniciar</v>
      </c>
      <c r="AA116" s="65"/>
    </row>
    <row r="117" spans="1:27">
      <c r="A117" s="20"/>
      <c r="B117" s="60"/>
      <c r="C117" s="60"/>
      <c r="D117" s="60"/>
      <c r="E117" s="60"/>
      <c r="F117" s="60"/>
      <c r="G117" s="60"/>
      <c r="H117" s="65" t="s">
        <v>117</v>
      </c>
      <c r="I117" s="21" t="s">
        <v>648</v>
      </c>
      <c r="J117" s="26">
        <f>+COUNTIF('ID1&amp;5'!G:G,'1. Status'!I117)</f>
        <v>0</v>
      </c>
      <c r="K117" s="79" t="str">
        <f>+IFERROR(VLOOKUP(CONCATENATE(A117,$B$10,B117),'ID1&amp;5'!B:J,8,FALSE),"-")</f>
        <v>-</v>
      </c>
      <c r="L117" s="78" t="str">
        <f>+IFERROR(VLOOKUP(B117,'ID1&amp;5'!K:L,2,FALSE),"-")</f>
        <v>-</v>
      </c>
      <c r="M117" s="79" t="str">
        <f>+IFERROR(VLOOKUP(CONCATENATE(A117,$B$10,B117),'ID1&amp;5'!B:J,9,FALSE),"-")</f>
        <v>-</v>
      </c>
      <c r="N117" s="79" t="str">
        <f>+IFERROR(VLOOKUP(CONCATENATE(A117,$C$10,C117),'ID1&amp;5'!B:J,8,FALSE),"-")</f>
        <v>-</v>
      </c>
      <c r="O117" s="78" t="str">
        <f>+IFERROR(VLOOKUP(C117,'ID1&amp;5'!K:L,2,FALSE),"-")</f>
        <v>-</v>
      </c>
      <c r="P117" s="79" t="str">
        <f>+IFERROR(VLOOKUP(CONCATENATE(A117,$C$10,C117),'ID1&amp;5'!B:J,9,FALSE),"-")</f>
        <v>-</v>
      </c>
      <c r="Q117" s="78" t="str">
        <f>+IFERROR(VLOOKUP(D117,'ID1&amp;5'!K:L,2,FALSE),"-")</f>
        <v>-</v>
      </c>
      <c r="R117" s="26" t="str">
        <f>+IFERROR(VLOOKUP(CONCATENATE(A117,$D$10,D117),'ID1&amp;5'!B:J,9,FALSE),"-")</f>
        <v>-</v>
      </c>
      <c r="S117" s="78" t="str">
        <f>+IFERROR(VLOOKUP(E117,'ID1&amp;5'!K:L,2,FALSE),"-")</f>
        <v>-</v>
      </c>
      <c r="T117" s="79" t="str">
        <f>+IFERROR(VLOOKUP(CONCATENATE(A117,$E$10,E117),'ID1&amp;5'!B:J,9,FALSE),"-")</f>
        <v>-</v>
      </c>
      <c r="U117" s="78" t="str">
        <f>+IFERROR(VLOOKUP(F117,'ID1&amp;5'!K:L,2,FALSE),"-")</f>
        <v>-</v>
      </c>
      <c r="V117" s="79" t="str">
        <f>+IFERROR(VLOOKUP(CONCATENATE(A117,$F$10,F117),'ID1&amp;5'!B:J,9,FALSE),"-")</f>
        <v>-</v>
      </c>
      <c r="W117" s="26" t="str">
        <f>+IFERROR(VLOOKUP(A117,'ID6&amp;7'!A:I,9,FALSE),"-")</f>
        <v>-</v>
      </c>
      <c r="X117" s="26" t="str">
        <f>+IFERROR(VLOOKUP(A117,'ID6&amp;7'!A:J,10,FALSE),"-")</f>
        <v>-</v>
      </c>
      <c r="Y117" s="26"/>
      <c r="Z117" s="27" t="str">
        <f t="shared" si="2"/>
        <v>Por iniciar</v>
      </c>
      <c r="AA117" s="65"/>
    </row>
    <row r="118" spans="1:27">
      <c r="A118" s="20"/>
      <c r="B118" s="60"/>
      <c r="C118" s="60"/>
      <c r="D118" s="60"/>
      <c r="E118" s="60"/>
      <c r="F118" s="60"/>
      <c r="G118" s="60"/>
      <c r="H118" s="65" t="s">
        <v>117</v>
      </c>
      <c r="I118" s="21" t="s">
        <v>649</v>
      </c>
      <c r="J118" s="26">
        <f>+COUNTIF('ID1&amp;5'!G:G,'1. Status'!I118)</f>
        <v>0</v>
      </c>
      <c r="K118" s="79" t="str">
        <f>+IFERROR(VLOOKUP(CONCATENATE(A118,$B$10,B118),'ID1&amp;5'!B:J,8,FALSE),"-")</f>
        <v>-</v>
      </c>
      <c r="L118" s="78" t="str">
        <f>+IFERROR(VLOOKUP(B118,'ID1&amp;5'!K:L,2,FALSE),"-")</f>
        <v>-</v>
      </c>
      <c r="M118" s="79" t="str">
        <f>+IFERROR(VLOOKUP(CONCATENATE(A118,$B$10,B118),'ID1&amp;5'!B:J,9,FALSE),"-")</f>
        <v>-</v>
      </c>
      <c r="N118" s="79" t="str">
        <f>+IFERROR(VLOOKUP(CONCATENATE(A118,$C$10,C118),'ID1&amp;5'!B:J,8,FALSE),"-")</f>
        <v>-</v>
      </c>
      <c r="O118" s="78" t="str">
        <f>+IFERROR(VLOOKUP(C118,'ID1&amp;5'!K:L,2,FALSE),"-")</f>
        <v>-</v>
      </c>
      <c r="P118" s="79" t="str">
        <f>+IFERROR(VLOOKUP(CONCATENATE(A118,$C$10,C118),'ID1&amp;5'!B:J,9,FALSE),"-")</f>
        <v>-</v>
      </c>
      <c r="Q118" s="78" t="str">
        <f>+IFERROR(VLOOKUP(D118,'ID1&amp;5'!K:L,2,FALSE),"-")</f>
        <v>-</v>
      </c>
      <c r="R118" s="26" t="str">
        <f>+IFERROR(VLOOKUP(CONCATENATE(A118,$D$10,D118),'ID1&amp;5'!B:J,9,FALSE),"-")</f>
        <v>-</v>
      </c>
      <c r="S118" s="78" t="str">
        <f>+IFERROR(VLOOKUP(E118,'ID1&amp;5'!K:L,2,FALSE),"-")</f>
        <v>-</v>
      </c>
      <c r="T118" s="79" t="str">
        <f>+IFERROR(VLOOKUP(CONCATENATE(A118,$E$10,E118),'ID1&amp;5'!B:J,9,FALSE),"-")</f>
        <v>-</v>
      </c>
      <c r="U118" s="78" t="str">
        <f>+IFERROR(VLOOKUP(F118,'ID1&amp;5'!K:L,2,FALSE),"-")</f>
        <v>-</v>
      </c>
      <c r="V118" s="79" t="str">
        <f>+IFERROR(VLOOKUP(CONCATENATE(A118,$F$10,F118),'ID1&amp;5'!B:J,9,FALSE),"-")</f>
        <v>-</v>
      </c>
      <c r="W118" s="26" t="str">
        <f>+IFERROR(VLOOKUP(A118,'ID6&amp;7'!A:I,9,FALSE),"-")</f>
        <v>-</v>
      </c>
      <c r="X118" s="26" t="str">
        <f>+IFERROR(VLOOKUP(A118,'ID6&amp;7'!A:J,10,FALSE),"-")</f>
        <v>-</v>
      </c>
      <c r="Y118" s="26"/>
      <c r="Z118" s="27" t="str">
        <f t="shared" si="2"/>
        <v>Por iniciar</v>
      </c>
      <c r="AA118" s="65"/>
    </row>
    <row r="119" spans="1:27">
      <c r="A119" s="20"/>
      <c r="B119" s="60"/>
      <c r="C119" s="60"/>
      <c r="D119" s="60"/>
      <c r="E119" s="60"/>
      <c r="F119" s="60"/>
      <c r="G119" s="60"/>
      <c r="H119" s="65" t="s">
        <v>117</v>
      </c>
      <c r="I119" s="21" t="s">
        <v>1188</v>
      </c>
      <c r="J119" s="26">
        <f>+COUNTIF('ID1&amp;5'!G:G,'1. Status'!I119)</f>
        <v>0</v>
      </c>
      <c r="K119" s="79" t="str">
        <f>+IFERROR(VLOOKUP(CONCATENATE(A119,$B$10,B119),'ID1&amp;5'!B:J,8,FALSE),"-")</f>
        <v>-</v>
      </c>
      <c r="L119" s="78" t="str">
        <f>+IFERROR(VLOOKUP(B119,'ID1&amp;5'!K:L,2,FALSE),"-")</f>
        <v>-</v>
      </c>
      <c r="M119" s="79" t="str">
        <f>+IFERROR(VLOOKUP(CONCATENATE(A119,$B$10,B119),'ID1&amp;5'!B:J,9,FALSE),"-")</f>
        <v>-</v>
      </c>
      <c r="N119" s="79" t="str">
        <f>+IFERROR(VLOOKUP(CONCATENATE(A119,$C$10,C119),'ID1&amp;5'!B:J,8,FALSE),"-")</f>
        <v>-</v>
      </c>
      <c r="O119" s="78" t="str">
        <f>+IFERROR(VLOOKUP(C119,'ID1&amp;5'!K:L,2,FALSE),"-")</f>
        <v>-</v>
      </c>
      <c r="P119" s="79" t="str">
        <f>+IFERROR(VLOOKUP(CONCATENATE(A119,$C$10,C119),'ID1&amp;5'!B:J,9,FALSE),"-")</f>
        <v>-</v>
      </c>
      <c r="Q119" s="78" t="str">
        <f>+IFERROR(VLOOKUP(D119,'ID1&amp;5'!K:L,2,FALSE),"-")</f>
        <v>-</v>
      </c>
      <c r="R119" s="26" t="str">
        <f>+IFERROR(VLOOKUP(CONCATENATE(A119,$D$10,D119),'ID1&amp;5'!B:J,9,FALSE),"-")</f>
        <v>-</v>
      </c>
      <c r="S119" s="78" t="str">
        <f>+IFERROR(VLOOKUP(E119,'ID1&amp;5'!K:L,2,FALSE),"-")</f>
        <v>-</v>
      </c>
      <c r="T119" s="79" t="str">
        <f>+IFERROR(VLOOKUP(CONCATENATE(A119,$E$10,E119),'ID1&amp;5'!B:J,9,FALSE),"-")</f>
        <v>-</v>
      </c>
      <c r="U119" s="78" t="str">
        <f>+IFERROR(VLOOKUP(F119,'ID1&amp;5'!K:L,2,FALSE),"-")</f>
        <v>-</v>
      </c>
      <c r="V119" s="79" t="str">
        <f>+IFERROR(VLOOKUP(CONCATENATE(A119,$F$10,F119),'ID1&amp;5'!B:J,9,FALSE),"-")</f>
        <v>-</v>
      </c>
      <c r="W119" s="26" t="str">
        <f>+IFERROR(VLOOKUP(A119,'ID6&amp;7'!A:I,9,FALSE),"-")</f>
        <v>-</v>
      </c>
      <c r="X119" s="26" t="str">
        <f>+IFERROR(VLOOKUP(A119,'ID6&amp;7'!A:J,10,FALSE),"-")</f>
        <v>-</v>
      </c>
      <c r="Y119" s="26"/>
      <c r="Z119" s="27" t="str">
        <f t="shared" si="2"/>
        <v>Por iniciar</v>
      </c>
      <c r="AA119" s="65"/>
    </row>
    <row r="120" spans="1:27">
      <c r="A120" s="20"/>
      <c r="B120" s="60"/>
      <c r="C120" s="60"/>
      <c r="D120" s="60"/>
      <c r="E120" s="60"/>
      <c r="F120" s="60"/>
      <c r="G120" s="60"/>
      <c r="H120" s="65" t="s">
        <v>117</v>
      </c>
      <c r="I120" s="21" t="s">
        <v>1189</v>
      </c>
      <c r="J120" s="26">
        <f>+COUNTIF('ID1&amp;5'!G:G,'1. Status'!I120)</f>
        <v>0</v>
      </c>
      <c r="K120" s="79" t="str">
        <f>+IFERROR(VLOOKUP(CONCATENATE(A120,$B$10,B120),'ID1&amp;5'!B:J,8,FALSE),"-")</f>
        <v>-</v>
      </c>
      <c r="L120" s="78" t="str">
        <f>+IFERROR(VLOOKUP(B120,'ID1&amp;5'!K:L,2,FALSE),"-")</f>
        <v>-</v>
      </c>
      <c r="M120" s="79" t="str">
        <f>+IFERROR(VLOOKUP(CONCATENATE(A120,$B$10,B120),'ID1&amp;5'!B:J,9,FALSE),"-")</f>
        <v>-</v>
      </c>
      <c r="N120" s="79" t="str">
        <f>+IFERROR(VLOOKUP(CONCATENATE(A120,$C$10,C120),'ID1&amp;5'!B:J,8,FALSE),"-")</f>
        <v>-</v>
      </c>
      <c r="O120" s="78" t="str">
        <f>+IFERROR(VLOOKUP(C120,'ID1&amp;5'!K:L,2,FALSE),"-")</f>
        <v>-</v>
      </c>
      <c r="P120" s="79" t="str">
        <f>+IFERROR(VLOOKUP(CONCATENATE(A120,$C$10,C120),'ID1&amp;5'!B:J,9,FALSE),"-")</f>
        <v>-</v>
      </c>
      <c r="Q120" s="78" t="str">
        <f>+IFERROR(VLOOKUP(D120,'ID1&amp;5'!K:L,2,FALSE),"-")</f>
        <v>-</v>
      </c>
      <c r="R120" s="26" t="str">
        <f>+IFERROR(VLOOKUP(CONCATENATE(A120,$D$10,D120),'ID1&amp;5'!B:J,9,FALSE),"-")</f>
        <v>-</v>
      </c>
      <c r="S120" s="78" t="str">
        <f>+IFERROR(VLOOKUP(E120,'ID1&amp;5'!K:L,2,FALSE),"-")</f>
        <v>-</v>
      </c>
      <c r="T120" s="79" t="str">
        <f>+IFERROR(VLOOKUP(CONCATENATE(A120,$E$10,E120),'ID1&amp;5'!B:J,9,FALSE),"-")</f>
        <v>-</v>
      </c>
      <c r="U120" s="78" t="str">
        <f>+IFERROR(VLOOKUP(F120,'ID1&amp;5'!K:L,2,FALSE),"-")</f>
        <v>-</v>
      </c>
      <c r="V120" s="79" t="str">
        <f>+IFERROR(VLOOKUP(CONCATENATE(A120,$F$10,F120),'ID1&amp;5'!B:J,9,FALSE),"-")</f>
        <v>-</v>
      </c>
      <c r="W120" s="26" t="str">
        <f>+IFERROR(VLOOKUP(A120,'ID6&amp;7'!A:I,9,FALSE),"-")</f>
        <v>-</v>
      </c>
      <c r="X120" s="26" t="str">
        <f>+IFERROR(VLOOKUP(A120,'ID6&amp;7'!A:J,10,FALSE),"-")</f>
        <v>-</v>
      </c>
      <c r="Y120" s="26"/>
      <c r="Z120" s="27" t="str">
        <f t="shared" si="2"/>
        <v>Por iniciar</v>
      </c>
      <c r="AA120" s="65"/>
    </row>
    <row r="121" spans="1:27">
      <c r="A121" s="20"/>
      <c r="B121" s="60"/>
      <c r="C121" s="60"/>
      <c r="D121" s="60"/>
      <c r="E121" s="60"/>
      <c r="F121" s="60"/>
      <c r="G121" s="60"/>
      <c r="H121" s="65" t="s">
        <v>117</v>
      </c>
      <c r="I121" s="21" t="s">
        <v>1190</v>
      </c>
      <c r="J121" s="26">
        <f>+COUNTIF('ID1&amp;5'!G:G,'1. Status'!I121)</f>
        <v>0</v>
      </c>
      <c r="K121" s="79" t="str">
        <f>+IFERROR(VLOOKUP(CONCATENATE(A121,$B$10,B121),'ID1&amp;5'!B:J,8,FALSE),"-")</f>
        <v>-</v>
      </c>
      <c r="L121" s="78" t="str">
        <f>+IFERROR(VLOOKUP(B121,'ID1&amp;5'!K:L,2,FALSE),"-")</f>
        <v>-</v>
      </c>
      <c r="M121" s="79" t="str">
        <f>+IFERROR(VLOOKUP(CONCATENATE(A121,$B$10,B121),'ID1&amp;5'!B:J,9,FALSE),"-")</f>
        <v>-</v>
      </c>
      <c r="N121" s="79" t="str">
        <f>+IFERROR(VLOOKUP(CONCATENATE(A121,$C$10,C121),'ID1&amp;5'!B:J,8,FALSE),"-")</f>
        <v>-</v>
      </c>
      <c r="O121" s="78" t="str">
        <f>+IFERROR(VLOOKUP(C121,'ID1&amp;5'!K:L,2,FALSE),"-")</f>
        <v>-</v>
      </c>
      <c r="P121" s="79" t="str">
        <f>+IFERROR(VLOOKUP(CONCATENATE(A121,$C$10,C121),'ID1&amp;5'!B:J,9,FALSE),"-")</f>
        <v>-</v>
      </c>
      <c r="Q121" s="78" t="str">
        <f>+IFERROR(VLOOKUP(D121,'ID1&amp;5'!K:L,2,FALSE),"-")</f>
        <v>-</v>
      </c>
      <c r="R121" s="26" t="str">
        <f>+IFERROR(VLOOKUP(CONCATENATE(A121,$D$10,D121),'ID1&amp;5'!B:J,9,FALSE),"-")</f>
        <v>-</v>
      </c>
      <c r="S121" s="78" t="str">
        <f>+IFERROR(VLOOKUP(E121,'ID1&amp;5'!K:L,2,FALSE),"-")</f>
        <v>-</v>
      </c>
      <c r="T121" s="79" t="str">
        <f>+IFERROR(VLOOKUP(CONCATENATE(A121,$E$10,E121),'ID1&amp;5'!B:J,9,FALSE),"-")</f>
        <v>-</v>
      </c>
      <c r="U121" s="78" t="str">
        <f>+IFERROR(VLOOKUP(F121,'ID1&amp;5'!K:L,2,FALSE),"-")</f>
        <v>-</v>
      </c>
      <c r="V121" s="79" t="str">
        <f>+IFERROR(VLOOKUP(CONCATENATE(A121,$F$10,F121),'ID1&amp;5'!B:J,9,FALSE),"-")</f>
        <v>-</v>
      </c>
      <c r="W121" s="26" t="str">
        <f>+IFERROR(VLOOKUP(A121,'ID6&amp;7'!A:I,9,FALSE),"-")</f>
        <v>-</v>
      </c>
      <c r="X121" s="26" t="str">
        <f>+IFERROR(VLOOKUP(A121,'ID6&amp;7'!A:J,10,FALSE),"-")</f>
        <v>-</v>
      </c>
      <c r="Y121" s="26"/>
      <c r="Z121" s="27" t="str">
        <f t="shared" si="2"/>
        <v>Por iniciar</v>
      </c>
      <c r="AA121" s="65"/>
    </row>
    <row r="122" spans="1:27">
      <c r="A122" s="20"/>
      <c r="B122" s="60"/>
      <c r="C122" s="60"/>
      <c r="D122" s="60"/>
      <c r="E122" s="60"/>
      <c r="F122" s="60"/>
      <c r="G122" s="60"/>
      <c r="H122" s="65" t="s">
        <v>117</v>
      </c>
      <c r="I122" s="21" t="s">
        <v>1191</v>
      </c>
      <c r="J122" s="26">
        <f>+COUNTIF('ID1&amp;5'!G:G,'1. Status'!I122)</f>
        <v>0</v>
      </c>
      <c r="K122" s="79" t="str">
        <f>+IFERROR(VLOOKUP(CONCATENATE(A122,$B$10,B122),'ID1&amp;5'!B:J,8,FALSE),"-")</f>
        <v>-</v>
      </c>
      <c r="L122" s="78" t="str">
        <f>+IFERROR(VLOOKUP(B122,'ID1&amp;5'!K:L,2,FALSE),"-")</f>
        <v>-</v>
      </c>
      <c r="M122" s="79" t="str">
        <f>+IFERROR(VLOOKUP(CONCATENATE(A122,$B$10,B122),'ID1&amp;5'!B:J,9,FALSE),"-")</f>
        <v>-</v>
      </c>
      <c r="N122" s="79" t="str">
        <f>+IFERROR(VLOOKUP(CONCATENATE(A122,$C$10,C122),'ID1&amp;5'!B:J,8,FALSE),"-")</f>
        <v>-</v>
      </c>
      <c r="O122" s="78" t="str">
        <f>+IFERROR(VLOOKUP(C122,'ID1&amp;5'!K:L,2,FALSE),"-")</f>
        <v>-</v>
      </c>
      <c r="P122" s="79" t="str">
        <f>+IFERROR(VLOOKUP(CONCATENATE(A122,$C$10,C122),'ID1&amp;5'!B:J,9,FALSE),"-")</f>
        <v>-</v>
      </c>
      <c r="Q122" s="78" t="str">
        <f>+IFERROR(VLOOKUP(D122,'ID1&amp;5'!K:L,2,FALSE),"-")</f>
        <v>-</v>
      </c>
      <c r="R122" s="26" t="str">
        <f>+IFERROR(VLOOKUP(CONCATENATE(A122,$D$10,D122),'ID1&amp;5'!B:J,9,FALSE),"-")</f>
        <v>-</v>
      </c>
      <c r="S122" s="78" t="str">
        <f>+IFERROR(VLOOKUP(E122,'ID1&amp;5'!K:L,2,FALSE),"-")</f>
        <v>-</v>
      </c>
      <c r="T122" s="79" t="str">
        <f>+IFERROR(VLOOKUP(CONCATENATE(A122,$E$10,E122),'ID1&amp;5'!B:J,9,FALSE),"-")</f>
        <v>-</v>
      </c>
      <c r="U122" s="78" t="str">
        <f>+IFERROR(VLOOKUP(F122,'ID1&amp;5'!K:L,2,FALSE),"-")</f>
        <v>-</v>
      </c>
      <c r="V122" s="79" t="str">
        <f>+IFERROR(VLOOKUP(CONCATENATE(A122,$F$10,F122),'ID1&amp;5'!B:J,9,FALSE),"-")</f>
        <v>-</v>
      </c>
      <c r="W122" s="26" t="str">
        <f>+IFERROR(VLOOKUP(A122,'ID6&amp;7'!A:I,9,FALSE),"-")</f>
        <v>-</v>
      </c>
      <c r="X122" s="26" t="str">
        <f>+IFERROR(VLOOKUP(A122,'ID6&amp;7'!A:J,10,FALSE),"-")</f>
        <v>-</v>
      </c>
      <c r="Y122" s="26"/>
      <c r="Z122" s="27" t="str">
        <f t="shared" si="2"/>
        <v>Por iniciar</v>
      </c>
      <c r="AA122" s="65"/>
    </row>
    <row r="123" spans="1:27">
      <c r="A123" s="20"/>
      <c r="B123" s="60"/>
      <c r="C123" s="60"/>
      <c r="D123" s="60"/>
      <c r="E123" s="60"/>
      <c r="F123" s="60"/>
      <c r="G123" s="60"/>
      <c r="H123" s="65" t="s">
        <v>117</v>
      </c>
      <c r="I123" s="21" t="s">
        <v>1192</v>
      </c>
      <c r="J123" s="26">
        <f>+COUNTIF('ID1&amp;5'!G:G,'1. Status'!I123)</f>
        <v>0</v>
      </c>
      <c r="K123" s="79" t="str">
        <f>+IFERROR(VLOOKUP(CONCATENATE(A123,$B$10,B123),'ID1&amp;5'!B:J,8,FALSE),"-")</f>
        <v>-</v>
      </c>
      <c r="L123" s="78" t="str">
        <f>+IFERROR(VLOOKUP(B123,'ID1&amp;5'!K:L,2,FALSE),"-")</f>
        <v>-</v>
      </c>
      <c r="M123" s="79" t="str">
        <f>+IFERROR(VLOOKUP(CONCATENATE(A123,$B$10,B123),'ID1&amp;5'!B:J,9,FALSE),"-")</f>
        <v>-</v>
      </c>
      <c r="N123" s="79" t="str">
        <f>+IFERROR(VLOOKUP(CONCATENATE(A123,$C$10,C123),'ID1&amp;5'!B:J,8,FALSE),"-")</f>
        <v>-</v>
      </c>
      <c r="O123" s="78" t="str">
        <f>+IFERROR(VLOOKUP(C123,'ID1&amp;5'!K:L,2,FALSE),"-")</f>
        <v>-</v>
      </c>
      <c r="P123" s="79" t="str">
        <f>+IFERROR(VLOOKUP(CONCATENATE(A123,$C$10,C123),'ID1&amp;5'!B:J,9,FALSE),"-")</f>
        <v>-</v>
      </c>
      <c r="Q123" s="78" t="str">
        <f>+IFERROR(VLOOKUP(D123,'ID1&amp;5'!K:L,2,FALSE),"-")</f>
        <v>-</v>
      </c>
      <c r="R123" s="26" t="str">
        <f>+IFERROR(VLOOKUP(CONCATENATE(A123,$D$10,D123),'ID1&amp;5'!B:J,9,FALSE),"-")</f>
        <v>-</v>
      </c>
      <c r="S123" s="78" t="str">
        <f>+IFERROR(VLOOKUP(E123,'ID1&amp;5'!K:L,2,FALSE),"-")</f>
        <v>-</v>
      </c>
      <c r="T123" s="79" t="str">
        <f>+IFERROR(VLOOKUP(CONCATENATE(A123,$E$10,E123),'ID1&amp;5'!B:J,9,FALSE),"-")</f>
        <v>-</v>
      </c>
      <c r="U123" s="78" t="str">
        <f>+IFERROR(VLOOKUP(F123,'ID1&amp;5'!K:L,2,FALSE),"-")</f>
        <v>-</v>
      </c>
      <c r="V123" s="79" t="str">
        <f>+IFERROR(VLOOKUP(CONCATENATE(A123,$F$10,F123),'ID1&amp;5'!B:J,9,FALSE),"-")</f>
        <v>-</v>
      </c>
      <c r="W123" s="26" t="str">
        <f>+IFERROR(VLOOKUP(A123,'ID6&amp;7'!A:I,9,FALSE),"-")</f>
        <v>-</v>
      </c>
      <c r="X123" s="26" t="str">
        <f>+IFERROR(VLOOKUP(A123,'ID6&amp;7'!A:J,10,FALSE),"-")</f>
        <v>-</v>
      </c>
      <c r="Y123" s="26"/>
      <c r="Z123" s="27" t="str">
        <f t="shared" si="2"/>
        <v>Por iniciar</v>
      </c>
      <c r="AA123" s="65"/>
    </row>
    <row r="124" spans="1:27">
      <c r="A124" s="20"/>
      <c r="B124" s="60"/>
      <c r="C124" s="60"/>
      <c r="D124" s="60"/>
      <c r="E124" s="60"/>
      <c r="F124" s="60"/>
      <c r="G124" s="60"/>
      <c r="H124" s="65" t="s">
        <v>117</v>
      </c>
      <c r="I124" s="21" t="s">
        <v>1193</v>
      </c>
      <c r="J124" s="26">
        <f>+COUNTIF('ID1&amp;5'!G:G,'1. Status'!I124)</f>
        <v>0</v>
      </c>
      <c r="K124" s="79" t="str">
        <f>+IFERROR(VLOOKUP(CONCATENATE(A124,$B$10,B124),'ID1&amp;5'!B:J,8,FALSE),"-")</f>
        <v>-</v>
      </c>
      <c r="L124" s="78" t="str">
        <f>+IFERROR(VLOOKUP(B124,'ID1&amp;5'!K:L,2,FALSE),"-")</f>
        <v>-</v>
      </c>
      <c r="M124" s="79" t="str">
        <f>+IFERROR(VLOOKUP(CONCATENATE(A124,$B$10,B124),'ID1&amp;5'!B:J,9,FALSE),"-")</f>
        <v>-</v>
      </c>
      <c r="N124" s="79" t="str">
        <f>+IFERROR(VLOOKUP(CONCATENATE(A124,$C$10,C124),'ID1&amp;5'!B:J,8,FALSE),"-")</f>
        <v>-</v>
      </c>
      <c r="O124" s="78" t="str">
        <f>+IFERROR(VLOOKUP(C124,'ID1&amp;5'!K:L,2,FALSE),"-")</f>
        <v>-</v>
      </c>
      <c r="P124" s="79" t="str">
        <f>+IFERROR(VLOOKUP(CONCATENATE(A124,$C$10,C124),'ID1&amp;5'!B:J,9,FALSE),"-")</f>
        <v>-</v>
      </c>
      <c r="Q124" s="78" t="str">
        <f>+IFERROR(VLOOKUP(D124,'ID1&amp;5'!K:L,2,FALSE),"-")</f>
        <v>-</v>
      </c>
      <c r="R124" s="26" t="str">
        <f>+IFERROR(VLOOKUP(CONCATENATE(A124,$D$10,D124),'ID1&amp;5'!B:J,9,FALSE),"-")</f>
        <v>-</v>
      </c>
      <c r="S124" s="78" t="str">
        <f>+IFERROR(VLOOKUP(E124,'ID1&amp;5'!K:L,2,FALSE),"-")</f>
        <v>-</v>
      </c>
      <c r="T124" s="79" t="str">
        <f>+IFERROR(VLOOKUP(CONCATENATE(A124,$E$10,E124),'ID1&amp;5'!B:J,9,FALSE),"-")</f>
        <v>-</v>
      </c>
      <c r="U124" s="78" t="str">
        <f>+IFERROR(VLOOKUP(F124,'ID1&amp;5'!K:L,2,FALSE),"-")</f>
        <v>-</v>
      </c>
      <c r="V124" s="79" t="str">
        <f>+IFERROR(VLOOKUP(CONCATENATE(A124,$F$10,F124),'ID1&amp;5'!B:J,9,FALSE),"-")</f>
        <v>-</v>
      </c>
      <c r="W124" s="26" t="str">
        <f>+IFERROR(VLOOKUP(A124,'ID6&amp;7'!A:I,9,FALSE),"-")</f>
        <v>-</v>
      </c>
      <c r="X124" s="26" t="str">
        <f>+IFERROR(VLOOKUP(A124,'ID6&amp;7'!A:J,10,FALSE),"-")</f>
        <v>-</v>
      </c>
      <c r="Y124" s="26"/>
      <c r="Z124" s="27" t="str">
        <f t="shared" si="2"/>
        <v>Por iniciar</v>
      </c>
      <c r="AA124" s="65"/>
    </row>
    <row r="125" spans="1:27">
      <c r="A125" s="20"/>
      <c r="B125" s="60"/>
      <c r="C125" s="60"/>
      <c r="D125" s="60"/>
      <c r="E125" s="60"/>
      <c r="F125" s="60"/>
      <c r="G125" s="60"/>
      <c r="H125" s="65" t="s">
        <v>117</v>
      </c>
      <c r="I125" s="21" t="s">
        <v>1194</v>
      </c>
      <c r="J125" s="26">
        <f>+COUNTIF('ID1&amp;5'!G:G,'1. Status'!I125)</f>
        <v>0</v>
      </c>
      <c r="K125" s="79" t="str">
        <f>+IFERROR(VLOOKUP(CONCATENATE(A125,$B$10,B125),'ID1&amp;5'!B:J,8,FALSE),"-")</f>
        <v>-</v>
      </c>
      <c r="L125" s="78" t="str">
        <f>+IFERROR(VLOOKUP(B125,'ID1&amp;5'!K:L,2,FALSE),"-")</f>
        <v>-</v>
      </c>
      <c r="M125" s="79" t="str">
        <f>+IFERROR(VLOOKUP(CONCATENATE(A125,$B$10,B125),'ID1&amp;5'!B:J,9,FALSE),"-")</f>
        <v>-</v>
      </c>
      <c r="N125" s="79" t="str">
        <f>+IFERROR(VLOOKUP(CONCATENATE(A125,$C$10,C125),'ID1&amp;5'!B:J,8,FALSE),"-")</f>
        <v>-</v>
      </c>
      <c r="O125" s="78" t="str">
        <f>+IFERROR(VLOOKUP(C125,'ID1&amp;5'!K:L,2,FALSE),"-")</f>
        <v>-</v>
      </c>
      <c r="P125" s="79" t="str">
        <f>+IFERROR(VLOOKUP(CONCATENATE(A125,$C$10,C125),'ID1&amp;5'!B:J,9,FALSE),"-")</f>
        <v>-</v>
      </c>
      <c r="Q125" s="78" t="str">
        <f>+IFERROR(VLOOKUP(D125,'ID1&amp;5'!K:L,2,FALSE),"-")</f>
        <v>-</v>
      </c>
      <c r="R125" s="26" t="str">
        <f>+IFERROR(VLOOKUP(CONCATENATE(A125,$D$10,D125),'ID1&amp;5'!B:J,9,FALSE),"-")</f>
        <v>-</v>
      </c>
      <c r="S125" s="78" t="str">
        <f>+IFERROR(VLOOKUP(E125,'ID1&amp;5'!K:L,2,FALSE),"-")</f>
        <v>-</v>
      </c>
      <c r="T125" s="79" t="str">
        <f>+IFERROR(VLOOKUP(CONCATENATE(A125,$E$10,E125),'ID1&amp;5'!B:J,9,FALSE),"-")</f>
        <v>-</v>
      </c>
      <c r="U125" s="78" t="str">
        <f>+IFERROR(VLOOKUP(F125,'ID1&amp;5'!K:L,2,FALSE),"-")</f>
        <v>-</v>
      </c>
      <c r="V125" s="79" t="str">
        <f>+IFERROR(VLOOKUP(CONCATENATE(A125,$F$10,F125),'ID1&amp;5'!B:J,9,FALSE),"-")</f>
        <v>-</v>
      </c>
      <c r="W125" s="26" t="str">
        <f>+IFERROR(VLOOKUP(A125,'ID6&amp;7'!A:I,9,FALSE),"-")</f>
        <v>-</v>
      </c>
      <c r="X125" s="26" t="str">
        <f>+IFERROR(VLOOKUP(A125,'ID6&amp;7'!A:J,10,FALSE),"-")</f>
        <v>-</v>
      </c>
      <c r="Y125" s="26"/>
      <c r="Z125" s="27" t="str">
        <f t="shared" si="2"/>
        <v>Por iniciar</v>
      </c>
      <c r="AA125" s="65"/>
    </row>
    <row r="126" spans="1:27">
      <c r="A126" s="20"/>
      <c r="B126" s="60"/>
      <c r="C126" s="60"/>
      <c r="D126" s="60"/>
      <c r="E126" s="60"/>
      <c r="F126" s="60"/>
      <c r="G126" s="60"/>
      <c r="H126" s="65" t="s">
        <v>117</v>
      </c>
      <c r="I126" s="21" t="s">
        <v>650</v>
      </c>
      <c r="J126" s="26">
        <f>+COUNTIF('ID1&amp;5'!G:G,'1. Status'!I126)</f>
        <v>0</v>
      </c>
      <c r="K126" s="79" t="str">
        <f>+IFERROR(VLOOKUP(CONCATENATE(A126,$B$10,B126),'ID1&amp;5'!B:J,8,FALSE),"-")</f>
        <v>-</v>
      </c>
      <c r="L126" s="78" t="str">
        <f>+IFERROR(VLOOKUP(B126,'ID1&amp;5'!K:L,2,FALSE),"-")</f>
        <v>-</v>
      </c>
      <c r="M126" s="79" t="str">
        <f>+IFERROR(VLOOKUP(CONCATENATE(A126,$B$10,B126),'ID1&amp;5'!B:J,9,FALSE),"-")</f>
        <v>-</v>
      </c>
      <c r="N126" s="79" t="str">
        <f>+IFERROR(VLOOKUP(CONCATENATE(A126,$C$10,C126),'ID1&amp;5'!B:J,8,FALSE),"-")</f>
        <v>-</v>
      </c>
      <c r="O126" s="78" t="str">
        <f>+IFERROR(VLOOKUP(C126,'ID1&amp;5'!K:L,2,FALSE),"-")</f>
        <v>-</v>
      </c>
      <c r="P126" s="79" t="str">
        <f>+IFERROR(VLOOKUP(CONCATENATE(A126,$C$10,C126),'ID1&amp;5'!B:J,9,FALSE),"-")</f>
        <v>-</v>
      </c>
      <c r="Q126" s="78" t="str">
        <f>+IFERROR(VLOOKUP(D126,'ID1&amp;5'!K:L,2,FALSE),"-")</f>
        <v>-</v>
      </c>
      <c r="R126" s="26" t="str">
        <f>+IFERROR(VLOOKUP(CONCATENATE(A126,$D$10,D126),'ID1&amp;5'!B:J,9,FALSE),"-")</f>
        <v>-</v>
      </c>
      <c r="S126" s="78" t="str">
        <f>+IFERROR(VLOOKUP(E126,'ID1&amp;5'!K:L,2,FALSE),"-")</f>
        <v>-</v>
      </c>
      <c r="T126" s="79" t="str">
        <f>+IFERROR(VLOOKUP(CONCATENATE(A126,$E$10,E126),'ID1&amp;5'!B:J,9,FALSE),"-")</f>
        <v>-</v>
      </c>
      <c r="U126" s="78" t="str">
        <f>+IFERROR(VLOOKUP(F126,'ID1&amp;5'!K:L,2,FALSE),"-")</f>
        <v>-</v>
      </c>
      <c r="V126" s="79" t="str">
        <f>+IFERROR(VLOOKUP(CONCATENATE(A126,$F$10,F126),'ID1&amp;5'!B:J,9,FALSE),"-")</f>
        <v>-</v>
      </c>
      <c r="W126" s="26" t="str">
        <f>+IFERROR(VLOOKUP(A126,'ID6&amp;7'!A:I,9,FALSE),"-")</f>
        <v>-</v>
      </c>
      <c r="X126" s="26" t="str">
        <f>+IFERROR(VLOOKUP(A126,'ID6&amp;7'!A:J,10,FALSE),"-")</f>
        <v>-</v>
      </c>
      <c r="Y126" s="26"/>
      <c r="Z126" s="27" t="str">
        <f t="shared" si="2"/>
        <v>Por iniciar</v>
      </c>
      <c r="AA126" s="65"/>
    </row>
    <row r="127" spans="1:27">
      <c r="A127" s="20"/>
      <c r="B127" s="60"/>
      <c r="C127" s="60"/>
      <c r="D127" s="60"/>
      <c r="E127" s="60"/>
      <c r="F127" s="60"/>
      <c r="G127" s="60"/>
      <c r="H127" s="65" t="s">
        <v>117</v>
      </c>
      <c r="I127" s="21" t="s">
        <v>1195</v>
      </c>
      <c r="J127" s="26">
        <f>+COUNTIF('ID1&amp;5'!G:G,'1. Status'!I127)</f>
        <v>0</v>
      </c>
      <c r="K127" s="79" t="str">
        <f>+IFERROR(VLOOKUP(CONCATENATE(A127,$B$10,B127),'ID1&amp;5'!B:J,8,FALSE),"-")</f>
        <v>-</v>
      </c>
      <c r="L127" s="78" t="str">
        <f>+IFERROR(VLOOKUP(B127,'ID1&amp;5'!K:L,2,FALSE),"-")</f>
        <v>-</v>
      </c>
      <c r="M127" s="79" t="str">
        <f>+IFERROR(VLOOKUP(CONCATENATE(A127,$B$10,B127),'ID1&amp;5'!B:J,9,FALSE),"-")</f>
        <v>-</v>
      </c>
      <c r="N127" s="79" t="str">
        <f>+IFERROR(VLOOKUP(CONCATENATE(A127,$C$10,C127),'ID1&amp;5'!B:J,8,FALSE),"-")</f>
        <v>-</v>
      </c>
      <c r="O127" s="78" t="str">
        <f>+IFERROR(VLOOKUP(C127,'ID1&amp;5'!K:L,2,FALSE),"-")</f>
        <v>-</v>
      </c>
      <c r="P127" s="79" t="str">
        <f>+IFERROR(VLOOKUP(CONCATENATE(A127,$C$10,C127),'ID1&amp;5'!B:J,9,FALSE),"-")</f>
        <v>-</v>
      </c>
      <c r="Q127" s="78" t="str">
        <f>+IFERROR(VLOOKUP(D127,'ID1&amp;5'!K:L,2,FALSE),"-")</f>
        <v>-</v>
      </c>
      <c r="R127" s="26" t="str">
        <f>+IFERROR(VLOOKUP(CONCATENATE(A127,$D$10,D127),'ID1&amp;5'!B:J,9,FALSE),"-")</f>
        <v>-</v>
      </c>
      <c r="S127" s="78" t="str">
        <f>+IFERROR(VLOOKUP(E127,'ID1&amp;5'!K:L,2,FALSE),"-")</f>
        <v>-</v>
      </c>
      <c r="T127" s="79" t="str">
        <f>+IFERROR(VLOOKUP(CONCATENATE(A127,$E$10,E127),'ID1&amp;5'!B:J,9,FALSE),"-")</f>
        <v>-</v>
      </c>
      <c r="U127" s="78" t="str">
        <f>+IFERROR(VLOOKUP(F127,'ID1&amp;5'!K:L,2,FALSE),"-")</f>
        <v>-</v>
      </c>
      <c r="V127" s="79" t="str">
        <f>+IFERROR(VLOOKUP(CONCATENATE(A127,$F$10,F127),'ID1&amp;5'!B:J,9,FALSE),"-")</f>
        <v>-</v>
      </c>
      <c r="W127" s="26" t="str">
        <f>+IFERROR(VLOOKUP(A127,'ID6&amp;7'!A:I,9,FALSE),"-")</f>
        <v>-</v>
      </c>
      <c r="X127" s="26" t="str">
        <f>+IFERROR(VLOOKUP(A127,'ID6&amp;7'!A:J,10,FALSE),"-")</f>
        <v>-</v>
      </c>
      <c r="Y127" s="26"/>
      <c r="Z127" s="27" t="str">
        <f t="shared" si="2"/>
        <v>Por iniciar</v>
      </c>
      <c r="AA127" s="65"/>
    </row>
    <row r="128" spans="1:27">
      <c r="A128" s="20"/>
      <c r="B128" s="60"/>
      <c r="C128" s="60"/>
      <c r="D128" s="60"/>
      <c r="E128" s="60"/>
      <c r="F128" s="60"/>
      <c r="G128" s="60"/>
      <c r="H128" s="65" t="s">
        <v>117</v>
      </c>
      <c r="I128" s="21" t="s">
        <v>1196</v>
      </c>
      <c r="J128" s="26">
        <f>+COUNTIF('ID1&amp;5'!G:G,'1. Status'!I128)</f>
        <v>0</v>
      </c>
      <c r="K128" s="79" t="str">
        <f>+IFERROR(VLOOKUP(CONCATENATE(A128,$B$10,B128),'ID1&amp;5'!B:J,8,FALSE),"-")</f>
        <v>-</v>
      </c>
      <c r="L128" s="78" t="str">
        <f>+IFERROR(VLOOKUP(B128,'ID1&amp;5'!K:L,2,FALSE),"-")</f>
        <v>-</v>
      </c>
      <c r="M128" s="79" t="str">
        <f>+IFERROR(VLOOKUP(CONCATENATE(A128,$B$10,B128),'ID1&amp;5'!B:J,9,FALSE),"-")</f>
        <v>-</v>
      </c>
      <c r="N128" s="79" t="str">
        <f>+IFERROR(VLOOKUP(CONCATENATE(A128,$C$10,C128),'ID1&amp;5'!B:J,8,FALSE),"-")</f>
        <v>-</v>
      </c>
      <c r="O128" s="78" t="str">
        <f>+IFERROR(VLOOKUP(C128,'ID1&amp;5'!K:L,2,FALSE),"-")</f>
        <v>-</v>
      </c>
      <c r="P128" s="79" t="str">
        <f>+IFERROR(VLOOKUP(CONCATENATE(A128,$C$10,C128),'ID1&amp;5'!B:J,9,FALSE),"-")</f>
        <v>-</v>
      </c>
      <c r="Q128" s="78" t="str">
        <f>+IFERROR(VLOOKUP(D128,'ID1&amp;5'!K:L,2,FALSE),"-")</f>
        <v>-</v>
      </c>
      <c r="R128" s="26" t="str">
        <f>+IFERROR(VLOOKUP(CONCATENATE(A128,$D$10,D128),'ID1&amp;5'!B:J,9,FALSE),"-")</f>
        <v>-</v>
      </c>
      <c r="S128" s="78" t="str">
        <f>+IFERROR(VLOOKUP(E128,'ID1&amp;5'!K:L,2,FALSE),"-")</f>
        <v>-</v>
      </c>
      <c r="T128" s="79" t="str">
        <f>+IFERROR(VLOOKUP(CONCATENATE(A128,$E$10,E128),'ID1&amp;5'!B:J,9,FALSE),"-")</f>
        <v>-</v>
      </c>
      <c r="U128" s="78" t="str">
        <f>+IFERROR(VLOOKUP(F128,'ID1&amp;5'!K:L,2,FALSE),"-")</f>
        <v>-</v>
      </c>
      <c r="V128" s="79" t="str">
        <f>+IFERROR(VLOOKUP(CONCATENATE(A128,$F$10,F128),'ID1&amp;5'!B:J,9,FALSE),"-")</f>
        <v>-</v>
      </c>
      <c r="W128" s="26" t="str">
        <f>+IFERROR(VLOOKUP(A128,'ID6&amp;7'!A:I,9,FALSE),"-")</f>
        <v>-</v>
      </c>
      <c r="X128" s="26" t="str">
        <f>+IFERROR(VLOOKUP(A128,'ID6&amp;7'!A:J,10,FALSE),"-")</f>
        <v>-</v>
      </c>
      <c r="Y128" s="26"/>
      <c r="Z128" s="27" t="str">
        <f t="shared" ref="Z128:Z191" si="3">+IF(J128=0,"Por iniciar",IF(OR(K128="-",M128="-",P128="-",R128="-",T128="-",V128="-"),"Em testes",IF(AND(M128=0,P128=0,R128=0,T128&lt;&gt;K128,V128&lt;&gt;K128),"OK","NOK")))</f>
        <v>Por iniciar</v>
      </c>
      <c r="AA128" s="65"/>
    </row>
    <row r="129" spans="1:27">
      <c r="A129" s="20"/>
      <c r="B129" s="60"/>
      <c r="C129" s="60"/>
      <c r="D129" s="60"/>
      <c r="E129" s="60"/>
      <c r="F129" s="60"/>
      <c r="G129" s="60"/>
      <c r="H129" s="65" t="s">
        <v>117</v>
      </c>
      <c r="I129" s="21" t="s">
        <v>297</v>
      </c>
      <c r="J129" s="26">
        <f>+COUNTIF('ID1&amp;5'!G:G,'1. Status'!I129)</f>
        <v>0</v>
      </c>
      <c r="K129" s="79" t="str">
        <f>+IFERROR(VLOOKUP(CONCATENATE(A129,$B$10,B129),'ID1&amp;5'!B:J,8,FALSE),"-")</f>
        <v>-</v>
      </c>
      <c r="L129" s="78" t="str">
        <f>+IFERROR(VLOOKUP(B129,'ID1&amp;5'!K:L,2,FALSE),"-")</f>
        <v>-</v>
      </c>
      <c r="M129" s="79" t="str">
        <f>+IFERROR(VLOOKUP(CONCATENATE(A129,$B$10,B129),'ID1&amp;5'!B:J,9,FALSE),"-")</f>
        <v>-</v>
      </c>
      <c r="N129" s="79" t="str">
        <f>+IFERROR(VLOOKUP(CONCATENATE(A129,$C$10,C129),'ID1&amp;5'!B:J,8,FALSE),"-")</f>
        <v>-</v>
      </c>
      <c r="O129" s="78" t="str">
        <f>+IFERROR(VLOOKUP(C129,'ID1&amp;5'!K:L,2,FALSE),"-")</f>
        <v>-</v>
      </c>
      <c r="P129" s="79" t="str">
        <f>+IFERROR(VLOOKUP(CONCATENATE(A129,$C$10,C129),'ID1&amp;5'!B:J,9,FALSE),"-")</f>
        <v>-</v>
      </c>
      <c r="Q129" s="78" t="str">
        <f>+IFERROR(VLOOKUP(D129,'ID1&amp;5'!K:L,2,FALSE),"-")</f>
        <v>-</v>
      </c>
      <c r="R129" s="26" t="str">
        <f>+IFERROR(VLOOKUP(CONCATENATE(A129,$D$10,D129),'ID1&amp;5'!B:J,9,FALSE),"-")</f>
        <v>-</v>
      </c>
      <c r="S129" s="78" t="str">
        <f>+IFERROR(VLOOKUP(E129,'ID1&amp;5'!K:L,2,FALSE),"-")</f>
        <v>-</v>
      </c>
      <c r="T129" s="79" t="str">
        <f>+IFERROR(VLOOKUP(CONCATENATE(A129,$E$10,E129),'ID1&amp;5'!B:J,9,FALSE),"-")</f>
        <v>-</v>
      </c>
      <c r="U129" s="78" t="str">
        <f>+IFERROR(VLOOKUP(F129,'ID1&amp;5'!K:L,2,FALSE),"-")</f>
        <v>-</v>
      </c>
      <c r="V129" s="79" t="str">
        <f>+IFERROR(VLOOKUP(CONCATENATE(A129,$F$10,F129),'ID1&amp;5'!B:J,9,FALSE),"-")</f>
        <v>-</v>
      </c>
      <c r="W129" s="26" t="str">
        <f>+IFERROR(VLOOKUP(A129,'ID6&amp;7'!A:I,9,FALSE),"-")</f>
        <v>-</v>
      </c>
      <c r="X129" s="26" t="str">
        <f>+IFERROR(VLOOKUP(A129,'ID6&amp;7'!A:J,10,FALSE),"-")</f>
        <v>-</v>
      </c>
      <c r="Y129" s="26"/>
      <c r="Z129" s="27" t="str">
        <f t="shared" si="3"/>
        <v>Por iniciar</v>
      </c>
      <c r="AA129" s="65"/>
    </row>
    <row r="130" spans="1:27">
      <c r="A130" s="20"/>
      <c r="B130" s="60"/>
      <c r="C130" s="60"/>
      <c r="D130" s="60"/>
      <c r="E130" s="60"/>
      <c r="F130" s="60"/>
      <c r="G130" s="60"/>
      <c r="H130" s="65" t="s">
        <v>117</v>
      </c>
      <c r="I130" s="21" t="s">
        <v>1197</v>
      </c>
      <c r="J130" s="26">
        <f>+COUNTIF('ID1&amp;5'!G:G,'1. Status'!I130)</f>
        <v>0</v>
      </c>
      <c r="K130" s="79" t="str">
        <f>+IFERROR(VLOOKUP(CONCATENATE(A130,$B$10,B130),'ID1&amp;5'!B:J,8,FALSE),"-")</f>
        <v>-</v>
      </c>
      <c r="L130" s="78" t="str">
        <f>+IFERROR(VLOOKUP(B130,'ID1&amp;5'!K:L,2,FALSE),"-")</f>
        <v>-</v>
      </c>
      <c r="M130" s="79" t="str">
        <f>+IFERROR(VLOOKUP(CONCATENATE(A130,$B$10,B130),'ID1&amp;5'!B:J,9,FALSE),"-")</f>
        <v>-</v>
      </c>
      <c r="N130" s="79" t="str">
        <f>+IFERROR(VLOOKUP(CONCATENATE(A130,$C$10,C130),'ID1&amp;5'!B:J,8,FALSE),"-")</f>
        <v>-</v>
      </c>
      <c r="O130" s="78" t="str">
        <f>+IFERROR(VLOOKUP(C130,'ID1&amp;5'!K:L,2,FALSE),"-")</f>
        <v>-</v>
      </c>
      <c r="P130" s="79" t="str">
        <f>+IFERROR(VLOOKUP(CONCATENATE(A130,$C$10,C130),'ID1&amp;5'!B:J,9,FALSE),"-")</f>
        <v>-</v>
      </c>
      <c r="Q130" s="78" t="str">
        <f>+IFERROR(VLOOKUP(D130,'ID1&amp;5'!K:L,2,FALSE),"-")</f>
        <v>-</v>
      </c>
      <c r="R130" s="26" t="str">
        <f>+IFERROR(VLOOKUP(CONCATENATE(A130,$D$10,D130),'ID1&amp;5'!B:J,9,FALSE),"-")</f>
        <v>-</v>
      </c>
      <c r="S130" s="78" t="str">
        <f>+IFERROR(VLOOKUP(E130,'ID1&amp;5'!K:L,2,FALSE),"-")</f>
        <v>-</v>
      </c>
      <c r="T130" s="79" t="str">
        <f>+IFERROR(VLOOKUP(CONCATENATE(A130,$E$10,E130),'ID1&amp;5'!B:J,9,FALSE),"-")</f>
        <v>-</v>
      </c>
      <c r="U130" s="78" t="str">
        <f>+IFERROR(VLOOKUP(F130,'ID1&amp;5'!K:L,2,FALSE),"-")</f>
        <v>-</v>
      </c>
      <c r="V130" s="79" t="str">
        <f>+IFERROR(VLOOKUP(CONCATENATE(A130,$F$10,F130),'ID1&amp;5'!B:J,9,FALSE),"-")</f>
        <v>-</v>
      </c>
      <c r="W130" s="26" t="str">
        <f>+IFERROR(VLOOKUP(A130,'ID6&amp;7'!A:I,9,FALSE),"-")</f>
        <v>-</v>
      </c>
      <c r="X130" s="26" t="str">
        <f>+IFERROR(VLOOKUP(A130,'ID6&amp;7'!A:J,10,FALSE),"-")</f>
        <v>-</v>
      </c>
      <c r="Y130" s="26"/>
      <c r="Z130" s="27" t="str">
        <f t="shared" si="3"/>
        <v>Por iniciar</v>
      </c>
      <c r="AA130" s="65"/>
    </row>
    <row r="131" spans="1:27">
      <c r="A131" s="20"/>
      <c r="B131" s="60"/>
      <c r="C131" s="60"/>
      <c r="D131" s="60"/>
      <c r="E131" s="60"/>
      <c r="F131" s="60"/>
      <c r="G131" s="60"/>
      <c r="H131" s="65" t="s">
        <v>117</v>
      </c>
      <c r="I131" s="21" t="s">
        <v>1198</v>
      </c>
      <c r="J131" s="26">
        <f>+COUNTIF('ID1&amp;5'!G:G,'1. Status'!I131)</f>
        <v>0</v>
      </c>
      <c r="K131" s="79" t="str">
        <f>+IFERROR(VLOOKUP(CONCATENATE(A131,$B$10,B131),'ID1&amp;5'!B:J,8,FALSE),"-")</f>
        <v>-</v>
      </c>
      <c r="L131" s="78" t="str">
        <f>+IFERROR(VLOOKUP(B131,'ID1&amp;5'!K:L,2,FALSE),"-")</f>
        <v>-</v>
      </c>
      <c r="M131" s="79" t="str">
        <f>+IFERROR(VLOOKUP(CONCATENATE(A131,$B$10,B131),'ID1&amp;5'!B:J,9,FALSE),"-")</f>
        <v>-</v>
      </c>
      <c r="N131" s="79" t="str">
        <f>+IFERROR(VLOOKUP(CONCATENATE(A131,$C$10,C131),'ID1&amp;5'!B:J,8,FALSE),"-")</f>
        <v>-</v>
      </c>
      <c r="O131" s="78" t="str">
        <f>+IFERROR(VLOOKUP(C131,'ID1&amp;5'!K:L,2,FALSE),"-")</f>
        <v>-</v>
      </c>
      <c r="P131" s="79" t="str">
        <f>+IFERROR(VLOOKUP(CONCATENATE(A131,$C$10,C131),'ID1&amp;5'!B:J,9,FALSE),"-")</f>
        <v>-</v>
      </c>
      <c r="Q131" s="78" t="str">
        <f>+IFERROR(VLOOKUP(D131,'ID1&amp;5'!K:L,2,FALSE),"-")</f>
        <v>-</v>
      </c>
      <c r="R131" s="26" t="str">
        <f>+IFERROR(VLOOKUP(CONCATENATE(A131,$D$10,D131),'ID1&amp;5'!B:J,9,FALSE),"-")</f>
        <v>-</v>
      </c>
      <c r="S131" s="78" t="str">
        <f>+IFERROR(VLOOKUP(E131,'ID1&amp;5'!K:L,2,FALSE),"-")</f>
        <v>-</v>
      </c>
      <c r="T131" s="79" t="str">
        <f>+IFERROR(VLOOKUP(CONCATENATE(A131,$E$10,E131),'ID1&amp;5'!B:J,9,FALSE),"-")</f>
        <v>-</v>
      </c>
      <c r="U131" s="78" t="str">
        <f>+IFERROR(VLOOKUP(F131,'ID1&amp;5'!K:L,2,FALSE),"-")</f>
        <v>-</v>
      </c>
      <c r="V131" s="79" t="str">
        <f>+IFERROR(VLOOKUP(CONCATENATE(A131,$F$10,F131),'ID1&amp;5'!B:J,9,FALSE),"-")</f>
        <v>-</v>
      </c>
      <c r="W131" s="26" t="str">
        <f>+IFERROR(VLOOKUP(A131,'ID6&amp;7'!A:I,9,FALSE),"-")</f>
        <v>-</v>
      </c>
      <c r="X131" s="26" t="str">
        <f>+IFERROR(VLOOKUP(A131,'ID6&amp;7'!A:J,10,FALSE),"-")</f>
        <v>-</v>
      </c>
      <c r="Y131" s="26"/>
      <c r="Z131" s="27" t="str">
        <f t="shared" si="3"/>
        <v>Por iniciar</v>
      </c>
      <c r="AA131" s="65"/>
    </row>
    <row r="132" spans="1:27">
      <c r="A132" s="20"/>
      <c r="B132" s="60"/>
      <c r="C132" s="60"/>
      <c r="D132" s="60"/>
      <c r="E132" s="60"/>
      <c r="F132" s="60"/>
      <c r="G132" s="60"/>
      <c r="H132" s="65" t="s">
        <v>117</v>
      </c>
      <c r="I132" s="21" t="s">
        <v>1199</v>
      </c>
      <c r="J132" s="26">
        <f>+COUNTIF('ID1&amp;5'!G:G,'1. Status'!I132)</f>
        <v>0</v>
      </c>
      <c r="K132" s="79" t="str">
        <f>+IFERROR(VLOOKUP(CONCATENATE(A132,$B$10,B132),'ID1&amp;5'!B:J,8,FALSE),"-")</f>
        <v>-</v>
      </c>
      <c r="L132" s="78" t="str">
        <f>+IFERROR(VLOOKUP(B132,'ID1&amp;5'!K:L,2,FALSE),"-")</f>
        <v>-</v>
      </c>
      <c r="M132" s="79" t="str">
        <f>+IFERROR(VLOOKUP(CONCATENATE(A132,$B$10,B132),'ID1&amp;5'!B:J,9,FALSE),"-")</f>
        <v>-</v>
      </c>
      <c r="N132" s="79" t="str">
        <f>+IFERROR(VLOOKUP(CONCATENATE(A132,$C$10,C132),'ID1&amp;5'!B:J,8,FALSE),"-")</f>
        <v>-</v>
      </c>
      <c r="O132" s="78" t="str">
        <f>+IFERROR(VLOOKUP(C132,'ID1&amp;5'!K:L,2,FALSE),"-")</f>
        <v>-</v>
      </c>
      <c r="P132" s="79" t="str">
        <f>+IFERROR(VLOOKUP(CONCATENATE(A132,$C$10,C132),'ID1&amp;5'!B:J,9,FALSE),"-")</f>
        <v>-</v>
      </c>
      <c r="Q132" s="78" t="str">
        <f>+IFERROR(VLOOKUP(D132,'ID1&amp;5'!K:L,2,FALSE),"-")</f>
        <v>-</v>
      </c>
      <c r="R132" s="26" t="str">
        <f>+IFERROR(VLOOKUP(CONCATENATE(A132,$D$10,D132),'ID1&amp;5'!B:J,9,FALSE),"-")</f>
        <v>-</v>
      </c>
      <c r="S132" s="78" t="str">
        <f>+IFERROR(VLOOKUP(E132,'ID1&amp;5'!K:L,2,FALSE),"-")</f>
        <v>-</v>
      </c>
      <c r="T132" s="79" t="str">
        <f>+IFERROR(VLOOKUP(CONCATENATE(A132,$E$10,E132),'ID1&amp;5'!B:J,9,FALSE),"-")</f>
        <v>-</v>
      </c>
      <c r="U132" s="78" t="str">
        <f>+IFERROR(VLOOKUP(F132,'ID1&amp;5'!K:L,2,FALSE),"-")</f>
        <v>-</v>
      </c>
      <c r="V132" s="79" t="str">
        <f>+IFERROR(VLOOKUP(CONCATENATE(A132,$F$10,F132),'ID1&amp;5'!B:J,9,FALSE),"-")</f>
        <v>-</v>
      </c>
      <c r="W132" s="26" t="str">
        <f>+IFERROR(VLOOKUP(A132,'ID6&amp;7'!A:I,9,FALSE),"-")</f>
        <v>-</v>
      </c>
      <c r="X132" s="26" t="str">
        <f>+IFERROR(VLOOKUP(A132,'ID6&amp;7'!A:J,10,FALSE),"-")</f>
        <v>-</v>
      </c>
      <c r="Y132" s="26"/>
      <c r="Z132" s="27" t="str">
        <f t="shared" si="3"/>
        <v>Por iniciar</v>
      </c>
      <c r="AA132" s="65"/>
    </row>
    <row r="133" spans="1:27">
      <c r="A133" s="20"/>
      <c r="B133" s="60"/>
      <c r="C133" s="60"/>
      <c r="D133" s="60"/>
      <c r="E133" s="60"/>
      <c r="F133" s="60"/>
      <c r="G133" s="60"/>
      <c r="H133" s="65" t="s">
        <v>117</v>
      </c>
      <c r="I133" s="21" t="s">
        <v>1200</v>
      </c>
      <c r="J133" s="26">
        <f>+COUNTIF('ID1&amp;5'!G:G,'1. Status'!I133)</f>
        <v>0</v>
      </c>
      <c r="K133" s="79" t="str">
        <f>+IFERROR(VLOOKUP(CONCATENATE(A133,$B$10,B133),'ID1&amp;5'!B:J,8,FALSE),"-")</f>
        <v>-</v>
      </c>
      <c r="L133" s="78" t="str">
        <f>+IFERROR(VLOOKUP(B133,'ID1&amp;5'!K:L,2,FALSE),"-")</f>
        <v>-</v>
      </c>
      <c r="M133" s="79" t="str">
        <f>+IFERROR(VLOOKUP(CONCATENATE(A133,$B$10,B133),'ID1&amp;5'!B:J,9,FALSE),"-")</f>
        <v>-</v>
      </c>
      <c r="N133" s="79" t="str">
        <f>+IFERROR(VLOOKUP(CONCATENATE(A133,$C$10,C133),'ID1&amp;5'!B:J,8,FALSE),"-")</f>
        <v>-</v>
      </c>
      <c r="O133" s="78" t="str">
        <f>+IFERROR(VLOOKUP(C133,'ID1&amp;5'!K:L,2,FALSE),"-")</f>
        <v>-</v>
      </c>
      <c r="P133" s="79" t="str">
        <f>+IFERROR(VLOOKUP(CONCATENATE(A133,$C$10,C133),'ID1&amp;5'!B:J,9,FALSE),"-")</f>
        <v>-</v>
      </c>
      <c r="Q133" s="78" t="str">
        <f>+IFERROR(VLOOKUP(D133,'ID1&amp;5'!K:L,2,FALSE),"-")</f>
        <v>-</v>
      </c>
      <c r="R133" s="26" t="str">
        <f>+IFERROR(VLOOKUP(CONCATENATE(A133,$D$10,D133),'ID1&amp;5'!B:J,9,FALSE),"-")</f>
        <v>-</v>
      </c>
      <c r="S133" s="78" t="str">
        <f>+IFERROR(VLOOKUP(E133,'ID1&amp;5'!K:L,2,FALSE),"-")</f>
        <v>-</v>
      </c>
      <c r="T133" s="79" t="str">
        <f>+IFERROR(VLOOKUP(CONCATENATE(A133,$E$10,E133),'ID1&amp;5'!B:J,9,FALSE),"-")</f>
        <v>-</v>
      </c>
      <c r="U133" s="78" t="str">
        <f>+IFERROR(VLOOKUP(F133,'ID1&amp;5'!K:L,2,FALSE),"-")</f>
        <v>-</v>
      </c>
      <c r="V133" s="79" t="str">
        <f>+IFERROR(VLOOKUP(CONCATENATE(A133,$F$10,F133),'ID1&amp;5'!B:J,9,FALSE),"-")</f>
        <v>-</v>
      </c>
      <c r="W133" s="26" t="str">
        <f>+IFERROR(VLOOKUP(A133,'ID6&amp;7'!A:I,9,FALSE),"-")</f>
        <v>-</v>
      </c>
      <c r="X133" s="26" t="str">
        <f>+IFERROR(VLOOKUP(A133,'ID6&amp;7'!A:J,10,FALSE),"-")</f>
        <v>-</v>
      </c>
      <c r="Y133" s="26"/>
      <c r="Z133" s="27" t="str">
        <f t="shared" si="3"/>
        <v>Por iniciar</v>
      </c>
      <c r="AA133" s="65"/>
    </row>
    <row r="134" spans="1:27">
      <c r="A134" s="20"/>
      <c r="B134" s="60"/>
      <c r="C134" s="60"/>
      <c r="D134" s="60"/>
      <c r="E134" s="60"/>
      <c r="F134" s="60"/>
      <c r="G134" s="60"/>
      <c r="H134" s="65" t="s">
        <v>117</v>
      </c>
      <c r="I134" s="21" t="s">
        <v>1201</v>
      </c>
      <c r="J134" s="26">
        <f>+COUNTIF('ID1&amp;5'!G:G,'1. Status'!I134)</f>
        <v>0</v>
      </c>
      <c r="K134" s="79" t="str">
        <f>+IFERROR(VLOOKUP(CONCATENATE(A134,$B$10,B134),'ID1&amp;5'!B:J,8,FALSE),"-")</f>
        <v>-</v>
      </c>
      <c r="L134" s="78" t="str">
        <f>+IFERROR(VLOOKUP(B134,'ID1&amp;5'!K:L,2,FALSE),"-")</f>
        <v>-</v>
      </c>
      <c r="M134" s="79" t="str">
        <f>+IFERROR(VLOOKUP(CONCATENATE(A134,$B$10,B134),'ID1&amp;5'!B:J,9,FALSE),"-")</f>
        <v>-</v>
      </c>
      <c r="N134" s="79" t="str">
        <f>+IFERROR(VLOOKUP(CONCATENATE(A134,$C$10,C134),'ID1&amp;5'!B:J,8,FALSE),"-")</f>
        <v>-</v>
      </c>
      <c r="O134" s="78" t="str">
        <f>+IFERROR(VLOOKUP(C134,'ID1&amp;5'!K:L,2,FALSE),"-")</f>
        <v>-</v>
      </c>
      <c r="P134" s="79" t="str">
        <f>+IFERROR(VLOOKUP(CONCATENATE(A134,$C$10,C134),'ID1&amp;5'!B:J,9,FALSE),"-")</f>
        <v>-</v>
      </c>
      <c r="Q134" s="78" t="str">
        <f>+IFERROR(VLOOKUP(D134,'ID1&amp;5'!K:L,2,FALSE),"-")</f>
        <v>-</v>
      </c>
      <c r="R134" s="26" t="str">
        <f>+IFERROR(VLOOKUP(CONCATENATE(A134,$D$10,D134),'ID1&amp;5'!B:J,9,FALSE),"-")</f>
        <v>-</v>
      </c>
      <c r="S134" s="78" t="str">
        <f>+IFERROR(VLOOKUP(E134,'ID1&amp;5'!K:L,2,FALSE),"-")</f>
        <v>-</v>
      </c>
      <c r="T134" s="79" t="str">
        <f>+IFERROR(VLOOKUP(CONCATENATE(A134,$E$10,E134),'ID1&amp;5'!B:J,9,FALSE),"-")</f>
        <v>-</v>
      </c>
      <c r="U134" s="78" t="str">
        <f>+IFERROR(VLOOKUP(F134,'ID1&amp;5'!K:L,2,FALSE),"-")</f>
        <v>-</v>
      </c>
      <c r="V134" s="79" t="str">
        <f>+IFERROR(VLOOKUP(CONCATENATE(A134,$F$10,F134),'ID1&amp;5'!B:J,9,FALSE),"-")</f>
        <v>-</v>
      </c>
      <c r="W134" s="26" t="str">
        <f>+IFERROR(VLOOKUP(A134,'ID6&amp;7'!A:I,9,FALSE),"-")</f>
        <v>-</v>
      </c>
      <c r="X134" s="26" t="str">
        <f>+IFERROR(VLOOKUP(A134,'ID6&amp;7'!A:J,10,FALSE),"-")</f>
        <v>-</v>
      </c>
      <c r="Y134" s="26"/>
      <c r="Z134" s="27" t="str">
        <f t="shared" si="3"/>
        <v>Por iniciar</v>
      </c>
      <c r="AA134" s="65"/>
    </row>
    <row r="135" spans="1:27">
      <c r="A135" s="20"/>
      <c r="B135" s="60"/>
      <c r="C135" s="60"/>
      <c r="D135" s="60"/>
      <c r="E135" s="60"/>
      <c r="F135" s="60"/>
      <c r="G135" s="60"/>
      <c r="H135" s="65" t="s">
        <v>117</v>
      </c>
      <c r="I135" s="21" t="s">
        <v>305</v>
      </c>
      <c r="J135" s="26">
        <f>+COUNTIF('ID1&amp;5'!G:G,'1. Status'!I135)</f>
        <v>0</v>
      </c>
      <c r="K135" s="79" t="str">
        <f>+IFERROR(VLOOKUP(CONCATENATE(A135,$B$10,B135),'ID1&amp;5'!B:J,8,FALSE),"-")</f>
        <v>-</v>
      </c>
      <c r="L135" s="78" t="str">
        <f>+IFERROR(VLOOKUP(B135,'ID1&amp;5'!K:L,2,FALSE),"-")</f>
        <v>-</v>
      </c>
      <c r="M135" s="79" t="str">
        <f>+IFERROR(VLOOKUP(CONCATENATE(A135,$B$10,B135),'ID1&amp;5'!B:J,9,FALSE),"-")</f>
        <v>-</v>
      </c>
      <c r="N135" s="79" t="str">
        <f>+IFERROR(VLOOKUP(CONCATENATE(A135,$C$10,C135),'ID1&amp;5'!B:J,8,FALSE),"-")</f>
        <v>-</v>
      </c>
      <c r="O135" s="78" t="str">
        <f>+IFERROR(VLOOKUP(C135,'ID1&amp;5'!K:L,2,FALSE),"-")</f>
        <v>-</v>
      </c>
      <c r="P135" s="79" t="str">
        <f>+IFERROR(VLOOKUP(CONCATENATE(A135,$C$10,C135),'ID1&amp;5'!B:J,9,FALSE),"-")</f>
        <v>-</v>
      </c>
      <c r="Q135" s="78" t="str">
        <f>+IFERROR(VLOOKUP(D135,'ID1&amp;5'!K:L,2,FALSE),"-")</f>
        <v>-</v>
      </c>
      <c r="R135" s="26" t="str">
        <f>+IFERROR(VLOOKUP(CONCATENATE(A135,$D$10,D135),'ID1&amp;5'!B:J,9,FALSE),"-")</f>
        <v>-</v>
      </c>
      <c r="S135" s="78" t="str">
        <f>+IFERROR(VLOOKUP(E135,'ID1&amp;5'!K:L,2,FALSE),"-")</f>
        <v>-</v>
      </c>
      <c r="T135" s="79" t="str">
        <f>+IFERROR(VLOOKUP(CONCATENATE(A135,$E$10,E135),'ID1&amp;5'!B:J,9,FALSE),"-")</f>
        <v>-</v>
      </c>
      <c r="U135" s="78" t="str">
        <f>+IFERROR(VLOOKUP(F135,'ID1&amp;5'!K:L,2,FALSE),"-")</f>
        <v>-</v>
      </c>
      <c r="V135" s="79" t="str">
        <f>+IFERROR(VLOOKUP(CONCATENATE(A135,$F$10,F135),'ID1&amp;5'!B:J,9,FALSE),"-")</f>
        <v>-</v>
      </c>
      <c r="W135" s="26" t="str">
        <f>+IFERROR(VLOOKUP(A135,'ID6&amp;7'!A:I,9,FALSE),"-")</f>
        <v>-</v>
      </c>
      <c r="X135" s="26" t="str">
        <f>+IFERROR(VLOOKUP(A135,'ID6&amp;7'!A:J,10,FALSE),"-")</f>
        <v>-</v>
      </c>
      <c r="Y135" s="26"/>
      <c r="Z135" s="27" t="str">
        <f t="shared" si="3"/>
        <v>Por iniciar</v>
      </c>
      <c r="AA135" s="65"/>
    </row>
    <row r="136" spans="1:27">
      <c r="A136" s="20"/>
      <c r="B136" s="60"/>
      <c r="C136" s="60"/>
      <c r="D136" s="60"/>
      <c r="E136" s="60"/>
      <c r="F136" s="60"/>
      <c r="G136" s="60"/>
      <c r="H136" s="65" t="s">
        <v>117</v>
      </c>
      <c r="I136" s="21" t="s">
        <v>1202</v>
      </c>
      <c r="J136" s="26">
        <f>+COUNTIF('ID1&amp;5'!G:G,'1. Status'!I136)</f>
        <v>0</v>
      </c>
      <c r="K136" s="79" t="str">
        <f>+IFERROR(VLOOKUP(CONCATENATE(A136,$B$10,B136),'ID1&amp;5'!B:J,8,FALSE),"-")</f>
        <v>-</v>
      </c>
      <c r="L136" s="78" t="str">
        <f>+IFERROR(VLOOKUP(B136,'ID1&amp;5'!K:L,2,FALSE),"-")</f>
        <v>-</v>
      </c>
      <c r="M136" s="79" t="str">
        <f>+IFERROR(VLOOKUP(CONCATENATE(A136,$B$10,B136),'ID1&amp;5'!B:J,9,FALSE),"-")</f>
        <v>-</v>
      </c>
      <c r="N136" s="79" t="str">
        <f>+IFERROR(VLOOKUP(CONCATENATE(A136,$C$10,C136),'ID1&amp;5'!B:J,8,FALSE),"-")</f>
        <v>-</v>
      </c>
      <c r="O136" s="78" t="str">
        <f>+IFERROR(VLOOKUP(C136,'ID1&amp;5'!K:L,2,FALSE),"-")</f>
        <v>-</v>
      </c>
      <c r="P136" s="79" t="str">
        <f>+IFERROR(VLOOKUP(CONCATENATE(A136,$C$10,C136),'ID1&amp;5'!B:J,9,FALSE),"-")</f>
        <v>-</v>
      </c>
      <c r="Q136" s="78" t="str">
        <f>+IFERROR(VLOOKUP(D136,'ID1&amp;5'!K:L,2,FALSE),"-")</f>
        <v>-</v>
      </c>
      <c r="R136" s="26" t="str">
        <f>+IFERROR(VLOOKUP(CONCATENATE(A136,$D$10,D136),'ID1&amp;5'!B:J,9,FALSE),"-")</f>
        <v>-</v>
      </c>
      <c r="S136" s="78" t="str">
        <f>+IFERROR(VLOOKUP(E136,'ID1&amp;5'!K:L,2,FALSE),"-")</f>
        <v>-</v>
      </c>
      <c r="T136" s="79" t="str">
        <f>+IFERROR(VLOOKUP(CONCATENATE(A136,$E$10,E136),'ID1&amp;5'!B:J,9,FALSE),"-")</f>
        <v>-</v>
      </c>
      <c r="U136" s="78" t="str">
        <f>+IFERROR(VLOOKUP(F136,'ID1&amp;5'!K:L,2,FALSE),"-")</f>
        <v>-</v>
      </c>
      <c r="V136" s="79" t="str">
        <f>+IFERROR(VLOOKUP(CONCATENATE(A136,$F$10,F136),'ID1&amp;5'!B:J,9,FALSE),"-")</f>
        <v>-</v>
      </c>
      <c r="W136" s="26" t="str">
        <f>+IFERROR(VLOOKUP(A136,'ID6&amp;7'!A:I,9,FALSE),"-")</f>
        <v>-</v>
      </c>
      <c r="X136" s="26" t="str">
        <f>+IFERROR(VLOOKUP(A136,'ID6&amp;7'!A:J,10,FALSE),"-")</f>
        <v>-</v>
      </c>
      <c r="Y136" s="26"/>
      <c r="Z136" s="27" t="str">
        <f t="shared" si="3"/>
        <v>Por iniciar</v>
      </c>
      <c r="AA136" s="65"/>
    </row>
    <row r="137" spans="1:27">
      <c r="A137" s="20"/>
      <c r="B137" s="60"/>
      <c r="C137" s="60"/>
      <c r="D137" s="60"/>
      <c r="E137" s="60"/>
      <c r="F137" s="60"/>
      <c r="G137" s="60"/>
      <c r="H137" s="65" t="s">
        <v>117</v>
      </c>
      <c r="I137" s="21" t="s">
        <v>1203</v>
      </c>
      <c r="J137" s="26">
        <f>+COUNTIF('ID1&amp;5'!G:G,'1. Status'!I137)</f>
        <v>0</v>
      </c>
      <c r="K137" s="79" t="str">
        <f>+IFERROR(VLOOKUP(CONCATENATE(A137,$B$10,B137),'ID1&amp;5'!B:J,8,FALSE),"-")</f>
        <v>-</v>
      </c>
      <c r="L137" s="78" t="str">
        <f>+IFERROR(VLOOKUP(B137,'ID1&amp;5'!K:L,2,FALSE),"-")</f>
        <v>-</v>
      </c>
      <c r="M137" s="79" t="str">
        <f>+IFERROR(VLOOKUP(CONCATENATE(A137,$B$10,B137),'ID1&amp;5'!B:J,9,FALSE),"-")</f>
        <v>-</v>
      </c>
      <c r="N137" s="79" t="str">
        <f>+IFERROR(VLOOKUP(CONCATENATE(A137,$C$10,C137),'ID1&amp;5'!B:J,8,FALSE),"-")</f>
        <v>-</v>
      </c>
      <c r="O137" s="78" t="str">
        <f>+IFERROR(VLOOKUP(C137,'ID1&amp;5'!K:L,2,FALSE),"-")</f>
        <v>-</v>
      </c>
      <c r="P137" s="79" t="str">
        <f>+IFERROR(VLOOKUP(CONCATENATE(A137,$C$10,C137),'ID1&amp;5'!B:J,9,FALSE),"-")</f>
        <v>-</v>
      </c>
      <c r="Q137" s="78" t="str">
        <f>+IFERROR(VLOOKUP(D137,'ID1&amp;5'!K:L,2,FALSE),"-")</f>
        <v>-</v>
      </c>
      <c r="R137" s="26" t="str">
        <f>+IFERROR(VLOOKUP(CONCATENATE(A137,$D$10,D137),'ID1&amp;5'!B:J,9,FALSE),"-")</f>
        <v>-</v>
      </c>
      <c r="S137" s="78" t="str">
        <f>+IFERROR(VLOOKUP(E137,'ID1&amp;5'!K:L,2,FALSE),"-")</f>
        <v>-</v>
      </c>
      <c r="T137" s="79" t="str">
        <f>+IFERROR(VLOOKUP(CONCATENATE(A137,$E$10,E137),'ID1&amp;5'!B:J,9,FALSE),"-")</f>
        <v>-</v>
      </c>
      <c r="U137" s="78" t="str">
        <f>+IFERROR(VLOOKUP(F137,'ID1&amp;5'!K:L,2,FALSE),"-")</f>
        <v>-</v>
      </c>
      <c r="V137" s="79" t="str">
        <f>+IFERROR(VLOOKUP(CONCATENATE(A137,$F$10,F137),'ID1&amp;5'!B:J,9,FALSE),"-")</f>
        <v>-</v>
      </c>
      <c r="W137" s="26" t="str">
        <f>+IFERROR(VLOOKUP(A137,'ID6&amp;7'!A:I,9,FALSE),"-")</f>
        <v>-</v>
      </c>
      <c r="X137" s="26" t="str">
        <f>+IFERROR(VLOOKUP(A137,'ID6&amp;7'!A:J,10,FALSE),"-")</f>
        <v>-</v>
      </c>
      <c r="Y137" s="26"/>
      <c r="Z137" s="27" t="str">
        <f t="shared" si="3"/>
        <v>Por iniciar</v>
      </c>
      <c r="AA137" s="65"/>
    </row>
    <row r="138" spans="1:27">
      <c r="A138" s="20"/>
      <c r="B138" s="60"/>
      <c r="C138" s="60"/>
      <c r="D138" s="60"/>
      <c r="E138" s="60"/>
      <c r="F138" s="60"/>
      <c r="G138" s="60"/>
      <c r="H138" s="65" t="s">
        <v>117</v>
      </c>
      <c r="I138" s="21" t="s">
        <v>1204</v>
      </c>
      <c r="J138" s="26">
        <f>+COUNTIF('ID1&amp;5'!G:G,'1. Status'!I138)</f>
        <v>0</v>
      </c>
      <c r="K138" s="79" t="str">
        <f>+IFERROR(VLOOKUP(CONCATENATE(A138,$B$10,B138),'ID1&amp;5'!B:J,8,FALSE),"-")</f>
        <v>-</v>
      </c>
      <c r="L138" s="78" t="str">
        <f>+IFERROR(VLOOKUP(B138,'ID1&amp;5'!K:L,2,FALSE),"-")</f>
        <v>-</v>
      </c>
      <c r="M138" s="79" t="str">
        <f>+IFERROR(VLOOKUP(CONCATENATE(A138,$B$10,B138),'ID1&amp;5'!B:J,9,FALSE),"-")</f>
        <v>-</v>
      </c>
      <c r="N138" s="79" t="str">
        <f>+IFERROR(VLOOKUP(CONCATENATE(A138,$C$10,C138),'ID1&amp;5'!B:J,8,FALSE),"-")</f>
        <v>-</v>
      </c>
      <c r="O138" s="78" t="str">
        <f>+IFERROR(VLOOKUP(C138,'ID1&amp;5'!K:L,2,FALSE),"-")</f>
        <v>-</v>
      </c>
      <c r="P138" s="79" t="str">
        <f>+IFERROR(VLOOKUP(CONCATENATE(A138,$C$10,C138),'ID1&amp;5'!B:J,9,FALSE),"-")</f>
        <v>-</v>
      </c>
      <c r="Q138" s="78" t="str">
        <f>+IFERROR(VLOOKUP(D138,'ID1&amp;5'!K:L,2,FALSE),"-")</f>
        <v>-</v>
      </c>
      <c r="R138" s="26" t="str">
        <f>+IFERROR(VLOOKUP(CONCATENATE(A138,$D$10,D138),'ID1&amp;5'!B:J,9,FALSE),"-")</f>
        <v>-</v>
      </c>
      <c r="S138" s="78" t="str">
        <f>+IFERROR(VLOOKUP(E138,'ID1&amp;5'!K:L,2,FALSE),"-")</f>
        <v>-</v>
      </c>
      <c r="T138" s="79" t="str">
        <f>+IFERROR(VLOOKUP(CONCATENATE(A138,$E$10,E138),'ID1&amp;5'!B:J,9,FALSE),"-")</f>
        <v>-</v>
      </c>
      <c r="U138" s="78" t="str">
        <f>+IFERROR(VLOOKUP(F138,'ID1&amp;5'!K:L,2,FALSE),"-")</f>
        <v>-</v>
      </c>
      <c r="V138" s="79" t="str">
        <f>+IFERROR(VLOOKUP(CONCATENATE(A138,$F$10,F138),'ID1&amp;5'!B:J,9,FALSE),"-")</f>
        <v>-</v>
      </c>
      <c r="W138" s="26" t="str">
        <f>+IFERROR(VLOOKUP(A138,'ID6&amp;7'!A:I,9,FALSE),"-")</f>
        <v>-</v>
      </c>
      <c r="X138" s="26" t="str">
        <f>+IFERROR(VLOOKUP(A138,'ID6&amp;7'!A:J,10,FALSE),"-")</f>
        <v>-</v>
      </c>
      <c r="Y138" s="26"/>
      <c r="Z138" s="27" t="str">
        <f t="shared" si="3"/>
        <v>Por iniciar</v>
      </c>
      <c r="AA138" s="65"/>
    </row>
    <row r="139" spans="1:27">
      <c r="A139" s="20"/>
      <c r="B139" s="60"/>
      <c r="C139" s="60"/>
      <c r="D139" s="60"/>
      <c r="E139" s="60"/>
      <c r="F139" s="60"/>
      <c r="G139" s="60"/>
      <c r="H139" s="65" t="s">
        <v>117</v>
      </c>
      <c r="I139" s="21" t="s">
        <v>1205</v>
      </c>
      <c r="J139" s="26">
        <f>+COUNTIF('ID1&amp;5'!G:G,'1. Status'!I139)</f>
        <v>0</v>
      </c>
      <c r="K139" s="79" t="str">
        <f>+IFERROR(VLOOKUP(CONCATENATE(A139,$B$10,B139),'ID1&amp;5'!B:J,8,FALSE),"-")</f>
        <v>-</v>
      </c>
      <c r="L139" s="78" t="str">
        <f>+IFERROR(VLOOKUP(B139,'ID1&amp;5'!K:L,2,FALSE),"-")</f>
        <v>-</v>
      </c>
      <c r="M139" s="79" t="str">
        <f>+IFERROR(VLOOKUP(CONCATENATE(A139,$B$10,B139),'ID1&amp;5'!B:J,9,FALSE),"-")</f>
        <v>-</v>
      </c>
      <c r="N139" s="79" t="str">
        <f>+IFERROR(VLOOKUP(CONCATENATE(A139,$C$10,C139),'ID1&amp;5'!B:J,8,FALSE),"-")</f>
        <v>-</v>
      </c>
      <c r="O139" s="78" t="str">
        <f>+IFERROR(VLOOKUP(C139,'ID1&amp;5'!K:L,2,FALSE),"-")</f>
        <v>-</v>
      </c>
      <c r="P139" s="79" t="str">
        <f>+IFERROR(VLOOKUP(CONCATENATE(A139,$C$10,C139),'ID1&amp;5'!B:J,9,FALSE),"-")</f>
        <v>-</v>
      </c>
      <c r="Q139" s="78" t="str">
        <f>+IFERROR(VLOOKUP(D139,'ID1&amp;5'!K:L,2,FALSE),"-")</f>
        <v>-</v>
      </c>
      <c r="R139" s="26" t="str">
        <f>+IFERROR(VLOOKUP(CONCATENATE(A139,$D$10,D139),'ID1&amp;5'!B:J,9,FALSE),"-")</f>
        <v>-</v>
      </c>
      <c r="S139" s="78" t="str">
        <f>+IFERROR(VLOOKUP(E139,'ID1&amp;5'!K:L,2,FALSE),"-")</f>
        <v>-</v>
      </c>
      <c r="T139" s="79" t="str">
        <f>+IFERROR(VLOOKUP(CONCATENATE(A139,$E$10,E139),'ID1&amp;5'!B:J,9,FALSE),"-")</f>
        <v>-</v>
      </c>
      <c r="U139" s="78" t="str">
        <f>+IFERROR(VLOOKUP(F139,'ID1&amp;5'!K:L,2,FALSE),"-")</f>
        <v>-</v>
      </c>
      <c r="V139" s="79" t="str">
        <f>+IFERROR(VLOOKUP(CONCATENATE(A139,$F$10,F139),'ID1&amp;5'!B:J,9,FALSE),"-")</f>
        <v>-</v>
      </c>
      <c r="W139" s="26" t="str">
        <f>+IFERROR(VLOOKUP(A139,'ID6&amp;7'!A:I,9,FALSE),"-")</f>
        <v>-</v>
      </c>
      <c r="X139" s="26" t="str">
        <f>+IFERROR(VLOOKUP(A139,'ID6&amp;7'!A:J,10,FALSE),"-")</f>
        <v>-</v>
      </c>
      <c r="Y139" s="26"/>
      <c r="Z139" s="27" t="str">
        <f t="shared" si="3"/>
        <v>Por iniciar</v>
      </c>
      <c r="AA139" s="65"/>
    </row>
    <row r="140" spans="1:27">
      <c r="A140" s="20"/>
      <c r="B140" s="60"/>
      <c r="C140" s="60"/>
      <c r="D140" s="60"/>
      <c r="E140" s="60"/>
      <c r="F140" s="60"/>
      <c r="G140" s="60"/>
      <c r="H140" s="65" t="s">
        <v>117</v>
      </c>
      <c r="I140" s="21" t="s">
        <v>1206</v>
      </c>
      <c r="J140" s="26">
        <f>+COUNTIF('ID1&amp;5'!G:G,'1. Status'!I140)</f>
        <v>0</v>
      </c>
      <c r="K140" s="79" t="str">
        <f>+IFERROR(VLOOKUP(CONCATENATE(A140,$B$10,B140),'ID1&amp;5'!B:J,8,FALSE),"-")</f>
        <v>-</v>
      </c>
      <c r="L140" s="78" t="str">
        <f>+IFERROR(VLOOKUP(B140,'ID1&amp;5'!K:L,2,FALSE),"-")</f>
        <v>-</v>
      </c>
      <c r="M140" s="79" t="str">
        <f>+IFERROR(VLOOKUP(CONCATENATE(A140,$B$10,B140),'ID1&amp;5'!B:J,9,FALSE),"-")</f>
        <v>-</v>
      </c>
      <c r="N140" s="79" t="str">
        <f>+IFERROR(VLOOKUP(CONCATENATE(A140,$C$10,C140),'ID1&amp;5'!B:J,8,FALSE),"-")</f>
        <v>-</v>
      </c>
      <c r="O140" s="78" t="str">
        <f>+IFERROR(VLOOKUP(C140,'ID1&amp;5'!K:L,2,FALSE),"-")</f>
        <v>-</v>
      </c>
      <c r="P140" s="79" t="str">
        <f>+IFERROR(VLOOKUP(CONCATENATE(A140,$C$10,C140),'ID1&amp;5'!B:J,9,FALSE),"-")</f>
        <v>-</v>
      </c>
      <c r="Q140" s="78" t="str">
        <f>+IFERROR(VLOOKUP(D140,'ID1&amp;5'!K:L,2,FALSE),"-")</f>
        <v>-</v>
      </c>
      <c r="R140" s="26" t="str">
        <f>+IFERROR(VLOOKUP(CONCATENATE(A140,$D$10,D140),'ID1&amp;5'!B:J,9,FALSE),"-")</f>
        <v>-</v>
      </c>
      <c r="S140" s="78" t="str">
        <f>+IFERROR(VLOOKUP(E140,'ID1&amp;5'!K:L,2,FALSE),"-")</f>
        <v>-</v>
      </c>
      <c r="T140" s="79" t="str">
        <f>+IFERROR(VLOOKUP(CONCATENATE(A140,$E$10,E140),'ID1&amp;5'!B:J,9,FALSE),"-")</f>
        <v>-</v>
      </c>
      <c r="U140" s="78" t="str">
        <f>+IFERROR(VLOOKUP(F140,'ID1&amp;5'!K:L,2,FALSE),"-")</f>
        <v>-</v>
      </c>
      <c r="V140" s="79" t="str">
        <f>+IFERROR(VLOOKUP(CONCATENATE(A140,$F$10,F140),'ID1&amp;5'!B:J,9,FALSE),"-")</f>
        <v>-</v>
      </c>
      <c r="W140" s="26" t="str">
        <f>+IFERROR(VLOOKUP(A140,'ID6&amp;7'!A:I,9,FALSE),"-")</f>
        <v>-</v>
      </c>
      <c r="X140" s="26" t="str">
        <f>+IFERROR(VLOOKUP(A140,'ID6&amp;7'!A:J,10,FALSE),"-")</f>
        <v>-</v>
      </c>
      <c r="Y140" s="26"/>
      <c r="Z140" s="27" t="str">
        <f t="shared" si="3"/>
        <v>Por iniciar</v>
      </c>
      <c r="AA140" s="65"/>
    </row>
    <row r="141" spans="1:27">
      <c r="A141" s="20"/>
      <c r="B141" s="60"/>
      <c r="C141" s="60"/>
      <c r="D141" s="60"/>
      <c r="E141" s="60"/>
      <c r="F141" s="60"/>
      <c r="G141" s="60"/>
      <c r="H141" s="65" t="s">
        <v>117</v>
      </c>
      <c r="I141" s="21" t="s">
        <v>1207</v>
      </c>
      <c r="J141" s="26">
        <f>+COUNTIF('ID1&amp;5'!G:G,'1. Status'!I141)</f>
        <v>0</v>
      </c>
      <c r="K141" s="79" t="str">
        <f>+IFERROR(VLOOKUP(CONCATENATE(A141,$B$10,B141),'ID1&amp;5'!B:J,8,FALSE),"-")</f>
        <v>-</v>
      </c>
      <c r="L141" s="78" t="str">
        <f>+IFERROR(VLOOKUP(B141,'ID1&amp;5'!K:L,2,FALSE),"-")</f>
        <v>-</v>
      </c>
      <c r="M141" s="79" t="str">
        <f>+IFERROR(VLOOKUP(CONCATENATE(A141,$B$10,B141),'ID1&amp;5'!B:J,9,FALSE),"-")</f>
        <v>-</v>
      </c>
      <c r="N141" s="79" t="str">
        <f>+IFERROR(VLOOKUP(CONCATENATE(A141,$C$10,C141),'ID1&amp;5'!B:J,8,FALSE),"-")</f>
        <v>-</v>
      </c>
      <c r="O141" s="78" t="str">
        <f>+IFERROR(VLOOKUP(C141,'ID1&amp;5'!K:L,2,FALSE),"-")</f>
        <v>-</v>
      </c>
      <c r="P141" s="79" t="str">
        <f>+IFERROR(VLOOKUP(CONCATENATE(A141,$C$10,C141),'ID1&amp;5'!B:J,9,FALSE),"-")</f>
        <v>-</v>
      </c>
      <c r="Q141" s="78" t="str">
        <f>+IFERROR(VLOOKUP(D141,'ID1&amp;5'!K:L,2,FALSE),"-")</f>
        <v>-</v>
      </c>
      <c r="R141" s="26" t="str">
        <f>+IFERROR(VLOOKUP(CONCATENATE(A141,$D$10,D141),'ID1&amp;5'!B:J,9,FALSE),"-")</f>
        <v>-</v>
      </c>
      <c r="S141" s="78" t="str">
        <f>+IFERROR(VLOOKUP(E141,'ID1&amp;5'!K:L,2,FALSE),"-")</f>
        <v>-</v>
      </c>
      <c r="T141" s="79" t="str">
        <f>+IFERROR(VLOOKUP(CONCATENATE(A141,$E$10,E141),'ID1&amp;5'!B:J,9,FALSE),"-")</f>
        <v>-</v>
      </c>
      <c r="U141" s="78" t="str">
        <f>+IFERROR(VLOOKUP(F141,'ID1&amp;5'!K:L,2,FALSE),"-")</f>
        <v>-</v>
      </c>
      <c r="V141" s="79" t="str">
        <f>+IFERROR(VLOOKUP(CONCATENATE(A141,$F$10,F141),'ID1&amp;5'!B:J,9,FALSE),"-")</f>
        <v>-</v>
      </c>
      <c r="W141" s="26" t="str">
        <f>+IFERROR(VLOOKUP(A141,'ID6&amp;7'!A:I,9,FALSE),"-")</f>
        <v>-</v>
      </c>
      <c r="X141" s="26" t="str">
        <f>+IFERROR(VLOOKUP(A141,'ID6&amp;7'!A:J,10,FALSE),"-")</f>
        <v>-</v>
      </c>
      <c r="Y141" s="26"/>
      <c r="Z141" s="27" t="str">
        <f t="shared" si="3"/>
        <v>Por iniciar</v>
      </c>
      <c r="AA141" s="65"/>
    </row>
    <row r="142" spans="1:27">
      <c r="A142" s="20"/>
      <c r="B142" s="60"/>
      <c r="C142" s="60"/>
      <c r="D142" s="60"/>
      <c r="E142" s="60"/>
      <c r="F142" s="60"/>
      <c r="G142" s="60"/>
      <c r="H142" s="65" t="s">
        <v>117</v>
      </c>
      <c r="I142" s="21" t="s">
        <v>1208</v>
      </c>
      <c r="J142" s="26">
        <f>+COUNTIF('ID1&amp;5'!G:G,'1. Status'!I142)</f>
        <v>0</v>
      </c>
      <c r="K142" s="79" t="str">
        <f>+IFERROR(VLOOKUP(CONCATENATE(A142,$B$10,B142),'ID1&amp;5'!B:J,8,FALSE),"-")</f>
        <v>-</v>
      </c>
      <c r="L142" s="78" t="str">
        <f>+IFERROR(VLOOKUP(B142,'ID1&amp;5'!K:L,2,FALSE),"-")</f>
        <v>-</v>
      </c>
      <c r="M142" s="79" t="str">
        <f>+IFERROR(VLOOKUP(CONCATENATE(A142,$B$10,B142),'ID1&amp;5'!B:J,9,FALSE),"-")</f>
        <v>-</v>
      </c>
      <c r="N142" s="79" t="str">
        <f>+IFERROR(VLOOKUP(CONCATENATE(A142,$C$10,C142),'ID1&amp;5'!B:J,8,FALSE),"-")</f>
        <v>-</v>
      </c>
      <c r="O142" s="78" t="str">
        <f>+IFERROR(VLOOKUP(C142,'ID1&amp;5'!K:L,2,FALSE),"-")</f>
        <v>-</v>
      </c>
      <c r="P142" s="79" t="str">
        <f>+IFERROR(VLOOKUP(CONCATENATE(A142,$C$10,C142),'ID1&amp;5'!B:J,9,FALSE),"-")</f>
        <v>-</v>
      </c>
      <c r="Q142" s="78" t="str">
        <f>+IFERROR(VLOOKUP(D142,'ID1&amp;5'!K:L,2,FALSE),"-")</f>
        <v>-</v>
      </c>
      <c r="R142" s="26" t="str">
        <f>+IFERROR(VLOOKUP(CONCATENATE(A142,$D$10,D142),'ID1&amp;5'!B:J,9,FALSE),"-")</f>
        <v>-</v>
      </c>
      <c r="S142" s="78" t="str">
        <f>+IFERROR(VLOOKUP(E142,'ID1&amp;5'!K:L,2,FALSE),"-")</f>
        <v>-</v>
      </c>
      <c r="T142" s="79" t="str">
        <f>+IFERROR(VLOOKUP(CONCATENATE(A142,$E$10,E142),'ID1&amp;5'!B:J,9,FALSE),"-")</f>
        <v>-</v>
      </c>
      <c r="U142" s="78" t="str">
        <f>+IFERROR(VLOOKUP(F142,'ID1&amp;5'!K:L,2,FALSE),"-")</f>
        <v>-</v>
      </c>
      <c r="V142" s="79" t="str">
        <f>+IFERROR(VLOOKUP(CONCATENATE(A142,$F$10,F142),'ID1&amp;5'!B:J,9,FALSE),"-")</f>
        <v>-</v>
      </c>
      <c r="W142" s="26" t="str">
        <f>+IFERROR(VLOOKUP(A142,'ID6&amp;7'!A:I,9,FALSE),"-")</f>
        <v>-</v>
      </c>
      <c r="X142" s="26" t="str">
        <f>+IFERROR(VLOOKUP(A142,'ID6&amp;7'!A:J,10,FALSE),"-")</f>
        <v>-</v>
      </c>
      <c r="Y142" s="26"/>
      <c r="Z142" s="27" t="str">
        <f t="shared" si="3"/>
        <v>Por iniciar</v>
      </c>
      <c r="AA142" s="65"/>
    </row>
    <row r="143" spans="1:27">
      <c r="A143" s="20"/>
      <c r="B143" s="60"/>
      <c r="C143" s="60"/>
      <c r="D143" s="60"/>
      <c r="E143" s="60"/>
      <c r="F143" s="60"/>
      <c r="G143" s="60"/>
      <c r="H143" s="65" t="s">
        <v>117</v>
      </c>
      <c r="I143" s="21" t="s">
        <v>1209</v>
      </c>
      <c r="J143" s="26">
        <f>+COUNTIF('ID1&amp;5'!G:G,'1. Status'!I143)</f>
        <v>0</v>
      </c>
      <c r="K143" s="79" t="str">
        <f>+IFERROR(VLOOKUP(CONCATENATE(A143,$B$10,B143),'ID1&amp;5'!B:J,8,FALSE),"-")</f>
        <v>-</v>
      </c>
      <c r="L143" s="78" t="str">
        <f>+IFERROR(VLOOKUP(B143,'ID1&amp;5'!K:L,2,FALSE),"-")</f>
        <v>-</v>
      </c>
      <c r="M143" s="79" t="str">
        <f>+IFERROR(VLOOKUP(CONCATENATE(A143,$B$10,B143),'ID1&amp;5'!B:J,9,FALSE),"-")</f>
        <v>-</v>
      </c>
      <c r="N143" s="79" t="str">
        <f>+IFERROR(VLOOKUP(CONCATENATE(A143,$C$10,C143),'ID1&amp;5'!B:J,8,FALSE),"-")</f>
        <v>-</v>
      </c>
      <c r="O143" s="78" t="str">
        <f>+IFERROR(VLOOKUP(C143,'ID1&amp;5'!K:L,2,FALSE),"-")</f>
        <v>-</v>
      </c>
      <c r="P143" s="79" t="str">
        <f>+IFERROR(VLOOKUP(CONCATENATE(A143,$C$10,C143),'ID1&amp;5'!B:J,9,FALSE),"-")</f>
        <v>-</v>
      </c>
      <c r="Q143" s="78" t="str">
        <f>+IFERROR(VLOOKUP(D143,'ID1&amp;5'!K:L,2,FALSE),"-")</f>
        <v>-</v>
      </c>
      <c r="R143" s="26" t="str">
        <f>+IFERROR(VLOOKUP(CONCATENATE(A143,$D$10,D143),'ID1&amp;5'!B:J,9,FALSE),"-")</f>
        <v>-</v>
      </c>
      <c r="S143" s="78" t="str">
        <f>+IFERROR(VLOOKUP(E143,'ID1&amp;5'!K:L,2,FALSE),"-")</f>
        <v>-</v>
      </c>
      <c r="T143" s="79" t="str">
        <f>+IFERROR(VLOOKUP(CONCATENATE(A143,$E$10,E143),'ID1&amp;5'!B:J,9,FALSE),"-")</f>
        <v>-</v>
      </c>
      <c r="U143" s="78" t="str">
        <f>+IFERROR(VLOOKUP(F143,'ID1&amp;5'!K:L,2,FALSE),"-")</f>
        <v>-</v>
      </c>
      <c r="V143" s="79" t="str">
        <f>+IFERROR(VLOOKUP(CONCATENATE(A143,$F$10,F143),'ID1&amp;5'!B:J,9,FALSE),"-")</f>
        <v>-</v>
      </c>
      <c r="W143" s="26" t="str">
        <f>+IFERROR(VLOOKUP(A143,'ID6&amp;7'!A:I,9,FALSE),"-")</f>
        <v>-</v>
      </c>
      <c r="X143" s="26" t="str">
        <f>+IFERROR(VLOOKUP(A143,'ID6&amp;7'!A:J,10,FALSE),"-")</f>
        <v>-</v>
      </c>
      <c r="Y143" s="26"/>
      <c r="Z143" s="27" t="str">
        <f t="shared" si="3"/>
        <v>Por iniciar</v>
      </c>
      <c r="AA143" s="65"/>
    </row>
    <row r="144" spans="1:27">
      <c r="A144" s="20"/>
      <c r="B144" s="60"/>
      <c r="C144" s="60"/>
      <c r="D144" s="60"/>
      <c r="E144" s="60"/>
      <c r="F144" s="60"/>
      <c r="G144" s="60"/>
      <c r="H144" s="65" t="s">
        <v>117</v>
      </c>
      <c r="I144" s="21" t="s">
        <v>651</v>
      </c>
      <c r="J144" s="26">
        <f>+COUNTIF('ID1&amp;5'!G:G,'1. Status'!I144)</f>
        <v>0</v>
      </c>
      <c r="K144" s="79" t="str">
        <f>+IFERROR(VLOOKUP(CONCATENATE(A144,$B$10,B144),'ID1&amp;5'!B:J,8,FALSE),"-")</f>
        <v>-</v>
      </c>
      <c r="L144" s="78" t="str">
        <f>+IFERROR(VLOOKUP(B144,'ID1&amp;5'!K:L,2,FALSE),"-")</f>
        <v>-</v>
      </c>
      <c r="M144" s="79" t="str">
        <f>+IFERROR(VLOOKUP(CONCATENATE(A144,$B$10,B144),'ID1&amp;5'!B:J,9,FALSE),"-")</f>
        <v>-</v>
      </c>
      <c r="N144" s="79" t="str">
        <f>+IFERROR(VLOOKUP(CONCATENATE(A144,$C$10,C144),'ID1&amp;5'!B:J,8,FALSE),"-")</f>
        <v>-</v>
      </c>
      <c r="O144" s="78" t="str">
        <f>+IFERROR(VLOOKUP(C144,'ID1&amp;5'!K:L,2,FALSE),"-")</f>
        <v>-</v>
      </c>
      <c r="P144" s="79" t="str">
        <f>+IFERROR(VLOOKUP(CONCATENATE(A144,$C$10,C144),'ID1&amp;5'!B:J,9,FALSE),"-")</f>
        <v>-</v>
      </c>
      <c r="Q144" s="78" t="str">
        <f>+IFERROR(VLOOKUP(D144,'ID1&amp;5'!K:L,2,FALSE),"-")</f>
        <v>-</v>
      </c>
      <c r="R144" s="26" t="str">
        <f>+IFERROR(VLOOKUP(CONCATENATE(A144,$D$10,D144),'ID1&amp;5'!B:J,9,FALSE),"-")</f>
        <v>-</v>
      </c>
      <c r="S144" s="78" t="str">
        <f>+IFERROR(VLOOKUP(E144,'ID1&amp;5'!K:L,2,FALSE),"-")</f>
        <v>-</v>
      </c>
      <c r="T144" s="79" t="str">
        <f>+IFERROR(VLOOKUP(CONCATENATE(A144,$E$10,E144),'ID1&amp;5'!B:J,9,FALSE),"-")</f>
        <v>-</v>
      </c>
      <c r="U144" s="78" t="str">
        <f>+IFERROR(VLOOKUP(F144,'ID1&amp;5'!K:L,2,FALSE),"-")</f>
        <v>-</v>
      </c>
      <c r="V144" s="79" t="str">
        <f>+IFERROR(VLOOKUP(CONCATENATE(A144,$F$10,F144),'ID1&amp;5'!B:J,9,FALSE),"-")</f>
        <v>-</v>
      </c>
      <c r="W144" s="26" t="str">
        <f>+IFERROR(VLOOKUP(A144,'ID6&amp;7'!A:I,9,FALSE),"-")</f>
        <v>-</v>
      </c>
      <c r="X144" s="26" t="str">
        <f>+IFERROR(VLOOKUP(A144,'ID6&amp;7'!A:J,10,FALSE),"-")</f>
        <v>-</v>
      </c>
      <c r="Y144" s="26"/>
      <c r="Z144" s="27" t="str">
        <f t="shared" si="3"/>
        <v>Por iniciar</v>
      </c>
      <c r="AA144" s="65"/>
    </row>
    <row r="145" spans="1:27">
      <c r="A145" s="20"/>
      <c r="B145" s="60"/>
      <c r="C145" s="60"/>
      <c r="D145" s="60"/>
      <c r="E145" s="60"/>
      <c r="F145" s="60"/>
      <c r="G145" s="60"/>
      <c r="H145" s="65" t="s">
        <v>117</v>
      </c>
      <c r="I145" s="21" t="s">
        <v>1210</v>
      </c>
      <c r="J145" s="26">
        <f>+COUNTIF('ID1&amp;5'!G:G,'1. Status'!I145)</f>
        <v>0</v>
      </c>
      <c r="K145" s="79" t="str">
        <f>+IFERROR(VLOOKUP(CONCATENATE(A145,$B$10,B145),'ID1&amp;5'!B:J,8,FALSE),"-")</f>
        <v>-</v>
      </c>
      <c r="L145" s="78" t="str">
        <f>+IFERROR(VLOOKUP(B145,'ID1&amp;5'!K:L,2,FALSE),"-")</f>
        <v>-</v>
      </c>
      <c r="M145" s="79" t="str">
        <f>+IFERROR(VLOOKUP(CONCATENATE(A145,$B$10,B145),'ID1&amp;5'!B:J,9,FALSE),"-")</f>
        <v>-</v>
      </c>
      <c r="N145" s="79" t="str">
        <f>+IFERROR(VLOOKUP(CONCATENATE(A145,$C$10,C145),'ID1&amp;5'!B:J,8,FALSE),"-")</f>
        <v>-</v>
      </c>
      <c r="O145" s="78" t="str">
        <f>+IFERROR(VLOOKUP(C145,'ID1&amp;5'!K:L,2,FALSE),"-")</f>
        <v>-</v>
      </c>
      <c r="P145" s="79" t="str">
        <f>+IFERROR(VLOOKUP(CONCATENATE(A145,$C$10,C145),'ID1&amp;5'!B:J,9,FALSE),"-")</f>
        <v>-</v>
      </c>
      <c r="Q145" s="78" t="str">
        <f>+IFERROR(VLOOKUP(D145,'ID1&amp;5'!K:L,2,FALSE),"-")</f>
        <v>-</v>
      </c>
      <c r="R145" s="26" t="str">
        <f>+IFERROR(VLOOKUP(CONCATENATE(A145,$D$10,D145),'ID1&amp;5'!B:J,9,FALSE),"-")</f>
        <v>-</v>
      </c>
      <c r="S145" s="78" t="str">
        <f>+IFERROR(VLOOKUP(E145,'ID1&amp;5'!K:L,2,FALSE),"-")</f>
        <v>-</v>
      </c>
      <c r="T145" s="79" t="str">
        <f>+IFERROR(VLOOKUP(CONCATENATE(A145,$E$10,E145),'ID1&amp;5'!B:J,9,FALSE),"-")</f>
        <v>-</v>
      </c>
      <c r="U145" s="78" t="str">
        <f>+IFERROR(VLOOKUP(F145,'ID1&amp;5'!K:L,2,FALSE),"-")</f>
        <v>-</v>
      </c>
      <c r="V145" s="79" t="str">
        <f>+IFERROR(VLOOKUP(CONCATENATE(A145,$F$10,F145),'ID1&amp;5'!B:J,9,FALSE),"-")</f>
        <v>-</v>
      </c>
      <c r="W145" s="26" t="str">
        <f>+IFERROR(VLOOKUP(A145,'ID6&amp;7'!A:I,9,FALSE),"-")</f>
        <v>-</v>
      </c>
      <c r="X145" s="26" t="str">
        <f>+IFERROR(VLOOKUP(A145,'ID6&amp;7'!A:J,10,FALSE),"-")</f>
        <v>-</v>
      </c>
      <c r="Y145" s="26"/>
      <c r="Z145" s="27" t="str">
        <f t="shared" si="3"/>
        <v>Por iniciar</v>
      </c>
      <c r="AA145" s="65"/>
    </row>
    <row r="146" spans="1:27">
      <c r="A146" s="20"/>
      <c r="B146" s="60"/>
      <c r="C146" s="60"/>
      <c r="D146" s="60"/>
      <c r="E146" s="60"/>
      <c r="F146" s="60"/>
      <c r="G146" s="60"/>
      <c r="H146" s="65" t="s">
        <v>117</v>
      </c>
      <c r="I146" s="21" t="s">
        <v>1211</v>
      </c>
      <c r="J146" s="26">
        <f>+COUNTIF('ID1&amp;5'!G:G,'1. Status'!I146)</f>
        <v>0</v>
      </c>
      <c r="K146" s="79" t="str">
        <f>+IFERROR(VLOOKUP(CONCATENATE(A146,$B$10,B146),'ID1&amp;5'!B:J,8,FALSE),"-")</f>
        <v>-</v>
      </c>
      <c r="L146" s="78" t="str">
        <f>+IFERROR(VLOOKUP(B146,'ID1&amp;5'!K:L,2,FALSE),"-")</f>
        <v>-</v>
      </c>
      <c r="M146" s="79" t="str">
        <f>+IFERROR(VLOOKUP(CONCATENATE(A146,$B$10,B146),'ID1&amp;5'!B:J,9,FALSE),"-")</f>
        <v>-</v>
      </c>
      <c r="N146" s="79" t="str">
        <f>+IFERROR(VLOOKUP(CONCATENATE(A146,$C$10,C146),'ID1&amp;5'!B:J,8,FALSE),"-")</f>
        <v>-</v>
      </c>
      <c r="O146" s="78" t="str">
        <f>+IFERROR(VLOOKUP(C146,'ID1&amp;5'!K:L,2,FALSE),"-")</f>
        <v>-</v>
      </c>
      <c r="P146" s="79" t="str">
        <f>+IFERROR(VLOOKUP(CONCATENATE(A146,$C$10,C146),'ID1&amp;5'!B:J,9,FALSE),"-")</f>
        <v>-</v>
      </c>
      <c r="Q146" s="78" t="str">
        <f>+IFERROR(VLOOKUP(D146,'ID1&amp;5'!K:L,2,FALSE),"-")</f>
        <v>-</v>
      </c>
      <c r="R146" s="26" t="str">
        <f>+IFERROR(VLOOKUP(CONCATENATE(A146,$D$10,D146),'ID1&amp;5'!B:J,9,FALSE),"-")</f>
        <v>-</v>
      </c>
      <c r="S146" s="78" t="str">
        <f>+IFERROR(VLOOKUP(E146,'ID1&amp;5'!K:L,2,FALSE),"-")</f>
        <v>-</v>
      </c>
      <c r="T146" s="79" t="str">
        <f>+IFERROR(VLOOKUP(CONCATENATE(A146,$E$10,E146),'ID1&amp;5'!B:J,9,FALSE),"-")</f>
        <v>-</v>
      </c>
      <c r="U146" s="78" t="str">
        <f>+IFERROR(VLOOKUP(F146,'ID1&amp;5'!K:L,2,FALSE),"-")</f>
        <v>-</v>
      </c>
      <c r="V146" s="79" t="str">
        <f>+IFERROR(VLOOKUP(CONCATENATE(A146,$F$10,F146),'ID1&amp;5'!B:J,9,FALSE),"-")</f>
        <v>-</v>
      </c>
      <c r="W146" s="26" t="str">
        <f>+IFERROR(VLOOKUP(A146,'ID6&amp;7'!A:I,9,FALSE),"-")</f>
        <v>-</v>
      </c>
      <c r="X146" s="26" t="str">
        <f>+IFERROR(VLOOKUP(A146,'ID6&amp;7'!A:J,10,FALSE),"-")</f>
        <v>-</v>
      </c>
      <c r="Y146" s="26"/>
      <c r="Z146" s="27" t="str">
        <f t="shared" si="3"/>
        <v>Por iniciar</v>
      </c>
      <c r="AA146" s="65"/>
    </row>
    <row r="147" spans="1:27">
      <c r="A147" s="20"/>
      <c r="B147" s="60"/>
      <c r="C147" s="60"/>
      <c r="D147" s="60"/>
      <c r="E147" s="60"/>
      <c r="F147" s="60"/>
      <c r="G147" s="60"/>
      <c r="H147" s="65" t="s">
        <v>117</v>
      </c>
      <c r="I147" s="21" t="s">
        <v>1212</v>
      </c>
      <c r="J147" s="26">
        <f>+COUNTIF('ID1&amp;5'!G:G,'1. Status'!I147)</f>
        <v>0</v>
      </c>
      <c r="K147" s="79" t="str">
        <f>+IFERROR(VLOOKUP(CONCATENATE(A147,$B$10,B147),'ID1&amp;5'!B:J,8,FALSE),"-")</f>
        <v>-</v>
      </c>
      <c r="L147" s="78" t="str">
        <f>+IFERROR(VLOOKUP(B147,'ID1&amp;5'!K:L,2,FALSE),"-")</f>
        <v>-</v>
      </c>
      <c r="M147" s="79" t="str">
        <f>+IFERROR(VLOOKUP(CONCATENATE(A147,$B$10,B147),'ID1&amp;5'!B:J,9,FALSE),"-")</f>
        <v>-</v>
      </c>
      <c r="N147" s="79" t="str">
        <f>+IFERROR(VLOOKUP(CONCATENATE(A147,$C$10,C147),'ID1&amp;5'!B:J,8,FALSE),"-")</f>
        <v>-</v>
      </c>
      <c r="O147" s="78" t="str">
        <f>+IFERROR(VLOOKUP(C147,'ID1&amp;5'!K:L,2,FALSE),"-")</f>
        <v>-</v>
      </c>
      <c r="P147" s="79" t="str">
        <f>+IFERROR(VLOOKUP(CONCATENATE(A147,$C$10,C147),'ID1&amp;5'!B:J,9,FALSE),"-")</f>
        <v>-</v>
      </c>
      <c r="Q147" s="78" t="str">
        <f>+IFERROR(VLOOKUP(D147,'ID1&amp;5'!K:L,2,FALSE),"-")</f>
        <v>-</v>
      </c>
      <c r="R147" s="26" t="str">
        <f>+IFERROR(VLOOKUP(CONCATENATE(A147,$D$10,D147),'ID1&amp;5'!B:J,9,FALSE),"-")</f>
        <v>-</v>
      </c>
      <c r="S147" s="78" t="str">
        <f>+IFERROR(VLOOKUP(E147,'ID1&amp;5'!K:L,2,FALSE),"-")</f>
        <v>-</v>
      </c>
      <c r="T147" s="79" t="str">
        <f>+IFERROR(VLOOKUP(CONCATENATE(A147,$E$10,E147),'ID1&amp;5'!B:J,9,FALSE),"-")</f>
        <v>-</v>
      </c>
      <c r="U147" s="78" t="str">
        <f>+IFERROR(VLOOKUP(F147,'ID1&amp;5'!K:L,2,FALSE),"-")</f>
        <v>-</v>
      </c>
      <c r="V147" s="79" t="str">
        <f>+IFERROR(VLOOKUP(CONCATENATE(A147,$F$10,F147),'ID1&amp;5'!B:J,9,FALSE),"-")</f>
        <v>-</v>
      </c>
      <c r="W147" s="26" t="str">
        <f>+IFERROR(VLOOKUP(A147,'ID6&amp;7'!A:I,9,FALSE),"-")</f>
        <v>-</v>
      </c>
      <c r="X147" s="26" t="str">
        <f>+IFERROR(VLOOKUP(A147,'ID6&amp;7'!A:J,10,FALSE),"-")</f>
        <v>-</v>
      </c>
      <c r="Y147" s="26"/>
      <c r="Z147" s="27" t="str">
        <f t="shared" si="3"/>
        <v>Por iniciar</v>
      </c>
      <c r="AA147" s="65"/>
    </row>
    <row r="148" spans="1:27">
      <c r="A148" s="20"/>
      <c r="B148" s="60"/>
      <c r="C148" s="60"/>
      <c r="D148" s="60"/>
      <c r="E148" s="60"/>
      <c r="F148" s="60"/>
      <c r="G148" s="60"/>
      <c r="H148" s="65" t="s">
        <v>117</v>
      </c>
      <c r="I148" s="21" t="s">
        <v>1213</v>
      </c>
      <c r="J148" s="26">
        <f>+COUNTIF('ID1&amp;5'!G:G,'1. Status'!I148)</f>
        <v>0</v>
      </c>
      <c r="K148" s="79" t="str">
        <f>+IFERROR(VLOOKUP(CONCATENATE(A148,$B$10,B148),'ID1&amp;5'!B:J,8,FALSE),"-")</f>
        <v>-</v>
      </c>
      <c r="L148" s="78" t="str">
        <f>+IFERROR(VLOOKUP(B148,'ID1&amp;5'!K:L,2,FALSE),"-")</f>
        <v>-</v>
      </c>
      <c r="M148" s="79" t="str">
        <f>+IFERROR(VLOOKUP(CONCATENATE(A148,$B$10,B148),'ID1&amp;5'!B:J,9,FALSE),"-")</f>
        <v>-</v>
      </c>
      <c r="N148" s="79" t="str">
        <f>+IFERROR(VLOOKUP(CONCATENATE(A148,$C$10,C148),'ID1&amp;5'!B:J,8,FALSE),"-")</f>
        <v>-</v>
      </c>
      <c r="O148" s="78" t="str">
        <f>+IFERROR(VLOOKUP(C148,'ID1&amp;5'!K:L,2,FALSE),"-")</f>
        <v>-</v>
      </c>
      <c r="P148" s="79" t="str">
        <f>+IFERROR(VLOOKUP(CONCATENATE(A148,$C$10,C148),'ID1&amp;5'!B:J,9,FALSE),"-")</f>
        <v>-</v>
      </c>
      <c r="Q148" s="78" t="str">
        <f>+IFERROR(VLOOKUP(D148,'ID1&amp;5'!K:L,2,FALSE),"-")</f>
        <v>-</v>
      </c>
      <c r="R148" s="26" t="str">
        <f>+IFERROR(VLOOKUP(CONCATENATE(A148,$D$10,D148),'ID1&amp;5'!B:J,9,FALSE),"-")</f>
        <v>-</v>
      </c>
      <c r="S148" s="78" t="str">
        <f>+IFERROR(VLOOKUP(E148,'ID1&amp;5'!K:L,2,FALSE),"-")</f>
        <v>-</v>
      </c>
      <c r="T148" s="79" t="str">
        <f>+IFERROR(VLOOKUP(CONCATENATE(A148,$E$10,E148),'ID1&amp;5'!B:J,9,FALSE),"-")</f>
        <v>-</v>
      </c>
      <c r="U148" s="78" t="str">
        <f>+IFERROR(VLOOKUP(F148,'ID1&amp;5'!K:L,2,FALSE),"-")</f>
        <v>-</v>
      </c>
      <c r="V148" s="79" t="str">
        <f>+IFERROR(VLOOKUP(CONCATENATE(A148,$F$10,F148),'ID1&amp;5'!B:J,9,FALSE),"-")</f>
        <v>-</v>
      </c>
      <c r="W148" s="26" t="str">
        <f>+IFERROR(VLOOKUP(A148,'ID6&amp;7'!A:I,9,FALSE),"-")</f>
        <v>-</v>
      </c>
      <c r="X148" s="26" t="str">
        <f>+IFERROR(VLOOKUP(A148,'ID6&amp;7'!A:J,10,FALSE),"-")</f>
        <v>-</v>
      </c>
      <c r="Y148" s="26"/>
      <c r="Z148" s="27" t="str">
        <f t="shared" si="3"/>
        <v>Por iniciar</v>
      </c>
      <c r="AA148" s="65"/>
    </row>
    <row r="149" spans="1:27">
      <c r="A149" s="20"/>
      <c r="B149" s="60"/>
      <c r="C149" s="60"/>
      <c r="D149" s="60"/>
      <c r="E149" s="60"/>
      <c r="F149" s="60"/>
      <c r="G149" s="60"/>
      <c r="H149" s="65" t="s">
        <v>117</v>
      </c>
      <c r="I149" s="21" t="s">
        <v>1214</v>
      </c>
      <c r="J149" s="26">
        <f>+COUNTIF('ID1&amp;5'!G:G,'1. Status'!I149)</f>
        <v>0</v>
      </c>
      <c r="K149" s="79" t="str">
        <f>+IFERROR(VLOOKUP(CONCATENATE(A149,$B$10,B149),'ID1&amp;5'!B:J,8,FALSE),"-")</f>
        <v>-</v>
      </c>
      <c r="L149" s="78" t="str">
        <f>+IFERROR(VLOOKUP(B149,'ID1&amp;5'!K:L,2,FALSE),"-")</f>
        <v>-</v>
      </c>
      <c r="M149" s="79" t="str">
        <f>+IFERROR(VLOOKUP(CONCATENATE(A149,$B$10,B149),'ID1&amp;5'!B:J,9,FALSE),"-")</f>
        <v>-</v>
      </c>
      <c r="N149" s="79" t="str">
        <f>+IFERROR(VLOOKUP(CONCATENATE(A149,$C$10,C149),'ID1&amp;5'!B:J,8,FALSE),"-")</f>
        <v>-</v>
      </c>
      <c r="O149" s="78" t="str">
        <f>+IFERROR(VLOOKUP(C149,'ID1&amp;5'!K:L,2,FALSE),"-")</f>
        <v>-</v>
      </c>
      <c r="P149" s="79" t="str">
        <f>+IFERROR(VLOOKUP(CONCATENATE(A149,$C$10,C149),'ID1&amp;5'!B:J,9,FALSE),"-")</f>
        <v>-</v>
      </c>
      <c r="Q149" s="78" t="str">
        <f>+IFERROR(VLOOKUP(D149,'ID1&amp;5'!K:L,2,FALSE),"-")</f>
        <v>-</v>
      </c>
      <c r="R149" s="26" t="str">
        <f>+IFERROR(VLOOKUP(CONCATENATE(A149,$D$10,D149),'ID1&amp;5'!B:J,9,FALSE),"-")</f>
        <v>-</v>
      </c>
      <c r="S149" s="78" t="str">
        <f>+IFERROR(VLOOKUP(E149,'ID1&amp;5'!K:L,2,FALSE),"-")</f>
        <v>-</v>
      </c>
      <c r="T149" s="79" t="str">
        <f>+IFERROR(VLOOKUP(CONCATENATE(A149,$E$10,E149),'ID1&amp;5'!B:J,9,FALSE),"-")</f>
        <v>-</v>
      </c>
      <c r="U149" s="78" t="str">
        <f>+IFERROR(VLOOKUP(F149,'ID1&amp;5'!K:L,2,FALSE),"-")</f>
        <v>-</v>
      </c>
      <c r="V149" s="79" t="str">
        <f>+IFERROR(VLOOKUP(CONCATENATE(A149,$F$10,F149),'ID1&amp;5'!B:J,9,FALSE),"-")</f>
        <v>-</v>
      </c>
      <c r="W149" s="26" t="str">
        <f>+IFERROR(VLOOKUP(A149,'ID6&amp;7'!A:I,9,FALSE),"-")</f>
        <v>-</v>
      </c>
      <c r="X149" s="26" t="str">
        <f>+IFERROR(VLOOKUP(A149,'ID6&amp;7'!A:J,10,FALSE),"-")</f>
        <v>-</v>
      </c>
      <c r="Y149" s="26"/>
      <c r="Z149" s="27" t="str">
        <f t="shared" si="3"/>
        <v>Por iniciar</v>
      </c>
      <c r="AA149" s="65"/>
    </row>
    <row r="150" spans="1:27">
      <c r="A150" s="20"/>
      <c r="B150" s="60"/>
      <c r="C150" s="60"/>
      <c r="D150" s="60"/>
      <c r="E150" s="60"/>
      <c r="F150" s="60"/>
      <c r="G150" s="60"/>
      <c r="H150" s="65" t="s">
        <v>117</v>
      </c>
      <c r="I150" s="21" t="s">
        <v>1215</v>
      </c>
      <c r="J150" s="26">
        <f>+COUNTIF('ID1&amp;5'!G:G,'1. Status'!I150)</f>
        <v>0</v>
      </c>
      <c r="K150" s="79" t="str">
        <f>+IFERROR(VLOOKUP(CONCATENATE(A150,$B$10,B150),'ID1&amp;5'!B:J,8,FALSE),"-")</f>
        <v>-</v>
      </c>
      <c r="L150" s="78" t="str">
        <f>+IFERROR(VLOOKUP(B150,'ID1&amp;5'!K:L,2,FALSE),"-")</f>
        <v>-</v>
      </c>
      <c r="M150" s="79" t="str">
        <f>+IFERROR(VLOOKUP(CONCATENATE(A150,$B$10,B150),'ID1&amp;5'!B:J,9,FALSE),"-")</f>
        <v>-</v>
      </c>
      <c r="N150" s="79" t="str">
        <f>+IFERROR(VLOOKUP(CONCATENATE(A150,$C$10,C150),'ID1&amp;5'!B:J,8,FALSE),"-")</f>
        <v>-</v>
      </c>
      <c r="O150" s="78" t="str">
        <f>+IFERROR(VLOOKUP(C150,'ID1&amp;5'!K:L,2,FALSE),"-")</f>
        <v>-</v>
      </c>
      <c r="P150" s="79" t="str">
        <f>+IFERROR(VLOOKUP(CONCATENATE(A150,$C$10,C150),'ID1&amp;5'!B:J,9,FALSE),"-")</f>
        <v>-</v>
      </c>
      <c r="Q150" s="78" t="str">
        <f>+IFERROR(VLOOKUP(D150,'ID1&amp;5'!K:L,2,FALSE),"-")</f>
        <v>-</v>
      </c>
      <c r="R150" s="26" t="str">
        <f>+IFERROR(VLOOKUP(CONCATENATE(A150,$D$10,D150),'ID1&amp;5'!B:J,9,FALSE),"-")</f>
        <v>-</v>
      </c>
      <c r="S150" s="78" t="str">
        <f>+IFERROR(VLOOKUP(E150,'ID1&amp;5'!K:L,2,FALSE),"-")</f>
        <v>-</v>
      </c>
      <c r="T150" s="79" t="str">
        <f>+IFERROR(VLOOKUP(CONCATENATE(A150,$E$10,E150),'ID1&amp;5'!B:J,9,FALSE),"-")</f>
        <v>-</v>
      </c>
      <c r="U150" s="78" t="str">
        <f>+IFERROR(VLOOKUP(F150,'ID1&amp;5'!K:L,2,FALSE),"-")</f>
        <v>-</v>
      </c>
      <c r="V150" s="79" t="str">
        <f>+IFERROR(VLOOKUP(CONCATENATE(A150,$F$10,F150),'ID1&amp;5'!B:J,9,FALSE),"-")</f>
        <v>-</v>
      </c>
      <c r="W150" s="26" t="str">
        <f>+IFERROR(VLOOKUP(A150,'ID6&amp;7'!A:I,9,FALSE),"-")</f>
        <v>-</v>
      </c>
      <c r="X150" s="26" t="str">
        <f>+IFERROR(VLOOKUP(A150,'ID6&amp;7'!A:J,10,FALSE),"-")</f>
        <v>-</v>
      </c>
      <c r="Y150" s="26"/>
      <c r="Z150" s="27" t="str">
        <f t="shared" si="3"/>
        <v>Por iniciar</v>
      </c>
      <c r="AA150" s="65"/>
    </row>
    <row r="151" spans="1:27">
      <c r="A151" s="20"/>
      <c r="B151" s="60"/>
      <c r="C151" s="60"/>
      <c r="D151" s="60"/>
      <c r="E151" s="60"/>
      <c r="F151" s="60"/>
      <c r="G151" s="60"/>
      <c r="H151" s="65" t="s">
        <v>117</v>
      </c>
      <c r="I151" s="21" t="s">
        <v>1216</v>
      </c>
      <c r="J151" s="26">
        <f>+COUNTIF('ID1&amp;5'!G:G,'1. Status'!I151)</f>
        <v>0</v>
      </c>
      <c r="K151" s="79" t="str">
        <f>+IFERROR(VLOOKUP(CONCATENATE(A151,$B$10,B151),'ID1&amp;5'!B:J,8,FALSE),"-")</f>
        <v>-</v>
      </c>
      <c r="L151" s="78" t="str">
        <f>+IFERROR(VLOOKUP(B151,'ID1&amp;5'!K:L,2,FALSE),"-")</f>
        <v>-</v>
      </c>
      <c r="M151" s="79" t="str">
        <f>+IFERROR(VLOOKUP(CONCATENATE(A151,$B$10,B151),'ID1&amp;5'!B:J,9,FALSE),"-")</f>
        <v>-</v>
      </c>
      <c r="N151" s="79" t="str">
        <f>+IFERROR(VLOOKUP(CONCATENATE(A151,$C$10,C151),'ID1&amp;5'!B:J,8,FALSE),"-")</f>
        <v>-</v>
      </c>
      <c r="O151" s="78" t="str">
        <f>+IFERROR(VLOOKUP(C151,'ID1&amp;5'!K:L,2,FALSE),"-")</f>
        <v>-</v>
      </c>
      <c r="P151" s="79" t="str">
        <f>+IFERROR(VLOOKUP(CONCATENATE(A151,$C$10,C151),'ID1&amp;5'!B:J,9,FALSE),"-")</f>
        <v>-</v>
      </c>
      <c r="Q151" s="78" t="str">
        <f>+IFERROR(VLOOKUP(D151,'ID1&amp;5'!K:L,2,FALSE),"-")</f>
        <v>-</v>
      </c>
      <c r="R151" s="26" t="str">
        <f>+IFERROR(VLOOKUP(CONCATENATE(A151,$D$10,D151),'ID1&amp;5'!B:J,9,FALSE),"-")</f>
        <v>-</v>
      </c>
      <c r="S151" s="78" t="str">
        <f>+IFERROR(VLOOKUP(E151,'ID1&amp;5'!K:L,2,FALSE),"-")</f>
        <v>-</v>
      </c>
      <c r="T151" s="79" t="str">
        <f>+IFERROR(VLOOKUP(CONCATENATE(A151,$E$10,E151),'ID1&amp;5'!B:J,9,FALSE),"-")</f>
        <v>-</v>
      </c>
      <c r="U151" s="78" t="str">
        <f>+IFERROR(VLOOKUP(F151,'ID1&amp;5'!K:L,2,FALSE),"-")</f>
        <v>-</v>
      </c>
      <c r="V151" s="79" t="str">
        <f>+IFERROR(VLOOKUP(CONCATENATE(A151,$F$10,F151),'ID1&amp;5'!B:J,9,FALSE),"-")</f>
        <v>-</v>
      </c>
      <c r="W151" s="26" t="str">
        <f>+IFERROR(VLOOKUP(A151,'ID6&amp;7'!A:I,9,FALSE),"-")</f>
        <v>-</v>
      </c>
      <c r="X151" s="26" t="str">
        <f>+IFERROR(VLOOKUP(A151,'ID6&amp;7'!A:J,10,FALSE),"-")</f>
        <v>-</v>
      </c>
      <c r="Y151" s="26"/>
      <c r="Z151" s="27" t="str">
        <f t="shared" si="3"/>
        <v>Por iniciar</v>
      </c>
      <c r="AA151" s="65"/>
    </row>
    <row r="152" spans="1:27">
      <c r="A152" s="20"/>
      <c r="B152" s="60"/>
      <c r="C152" s="60"/>
      <c r="D152" s="60"/>
      <c r="E152" s="60"/>
      <c r="F152" s="60"/>
      <c r="G152" s="60"/>
      <c r="H152" s="65" t="s">
        <v>117</v>
      </c>
      <c r="I152" s="21" t="s">
        <v>1217</v>
      </c>
      <c r="J152" s="26">
        <f>+COUNTIF('ID1&amp;5'!G:G,'1. Status'!I152)</f>
        <v>0</v>
      </c>
      <c r="K152" s="79" t="str">
        <f>+IFERROR(VLOOKUP(CONCATENATE(A152,$B$10,B152),'ID1&amp;5'!B:J,8,FALSE),"-")</f>
        <v>-</v>
      </c>
      <c r="L152" s="78" t="str">
        <f>+IFERROR(VLOOKUP(B152,'ID1&amp;5'!K:L,2,FALSE),"-")</f>
        <v>-</v>
      </c>
      <c r="M152" s="79" t="str">
        <f>+IFERROR(VLOOKUP(CONCATENATE(A152,$B$10,B152),'ID1&amp;5'!B:J,9,FALSE),"-")</f>
        <v>-</v>
      </c>
      <c r="N152" s="79" t="str">
        <f>+IFERROR(VLOOKUP(CONCATENATE(A152,$C$10,C152),'ID1&amp;5'!B:J,8,FALSE),"-")</f>
        <v>-</v>
      </c>
      <c r="O152" s="78" t="str">
        <f>+IFERROR(VLOOKUP(C152,'ID1&amp;5'!K:L,2,FALSE),"-")</f>
        <v>-</v>
      </c>
      <c r="P152" s="79" t="str">
        <f>+IFERROR(VLOOKUP(CONCATENATE(A152,$C$10,C152),'ID1&amp;5'!B:J,9,FALSE),"-")</f>
        <v>-</v>
      </c>
      <c r="Q152" s="78" t="str">
        <f>+IFERROR(VLOOKUP(D152,'ID1&amp;5'!K:L,2,FALSE),"-")</f>
        <v>-</v>
      </c>
      <c r="R152" s="26" t="str">
        <f>+IFERROR(VLOOKUP(CONCATENATE(A152,$D$10,D152),'ID1&amp;5'!B:J,9,FALSE),"-")</f>
        <v>-</v>
      </c>
      <c r="S152" s="78" t="str">
        <f>+IFERROR(VLOOKUP(E152,'ID1&amp;5'!K:L,2,FALSE),"-")</f>
        <v>-</v>
      </c>
      <c r="T152" s="79" t="str">
        <f>+IFERROR(VLOOKUP(CONCATENATE(A152,$E$10,E152),'ID1&amp;5'!B:J,9,FALSE),"-")</f>
        <v>-</v>
      </c>
      <c r="U152" s="78" t="str">
        <f>+IFERROR(VLOOKUP(F152,'ID1&amp;5'!K:L,2,FALSE),"-")</f>
        <v>-</v>
      </c>
      <c r="V152" s="79" t="str">
        <f>+IFERROR(VLOOKUP(CONCATENATE(A152,$F$10,F152),'ID1&amp;5'!B:J,9,FALSE),"-")</f>
        <v>-</v>
      </c>
      <c r="W152" s="26" t="str">
        <f>+IFERROR(VLOOKUP(A152,'ID6&amp;7'!A:I,9,FALSE),"-")</f>
        <v>-</v>
      </c>
      <c r="X152" s="26" t="str">
        <f>+IFERROR(VLOOKUP(A152,'ID6&amp;7'!A:J,10,FALSE),"-")</f>
        <v>-</v>
      </c>
      <c r="Y152" s="26"/>
      <c r="Z152" s="27" t="str">
        <f t="shared" si="3"/>
        <v>Por iniciar</v>
      </c>
      <c r="AA152" s="65"/>
    </row>
    <row r="153" spans="1:27">
      <c r="A153" s="20"/>
      <c r="B153" s="60"/>
      <c r="C153" s="60"/>
      <c r="D153" s="60"/>
      <c r="E153" s="60"/>
      <c r="F153" s="60"/>
      <c r="G153" s="60"/>
      <c r="H153" s="65" t="s">
        <v>117</v>
      </c>
      <c r="I153" s="21" t="s">
        <v>293</v>
      </c>
      <c r="J153" s="26">
        <f>+COUNTIF('ID1&amp;5'!G:G,'1. Status'!I153)</f>
        <v>0</v>
      </c>
      <c r="K153" s="79" t="str">
        <f>+IFERROR(VLOOKUP(CONCATENATE(A153,$B$10,B153),'ID1&amp;5'!B:J,8,FALSE),"-")</f>
        <v>-</v>
      </c>
      <c r="L153" s="78" t="str">
        <f>+IFERROR(VLOOKUP(B153,'ID1&amp;5'!K:L,2,FALSE),"-")</f>
        <v>-</v>
      </c>
      <c r="M153" s="79" t="str">
        <f>+IFERROR(VLOOKUP(CONCATENATE(A153,$B$10,B153),'ID1&amp;5'!B:J,9,FALSE),"-")</f>
        <v>-</v>
      </c>
      <c r="N153" s="79" t="str">
        <f>+IFERROR(VLOOKUP(CONCATENATE(A153,$C$10,C153),'ID1&amp;5'!B:J,8,FALSE),"-")</f>
        <v>-</v>
      </c>
      <c r="O153" s="78" t="str">
        <f>+IFERROR(VLOOKUP(C153,'ID1&amp;5'!K:L,2,FALSE),"-")</f>
        <v>-</v>
      </c>
      <c r="P153" s="79" t="str">
        <f>+IFERROR(VLOOKUP(CONCATENATE(A153,$C$10,C153),'ID1&amp;5'!B:J,9,FALSE),"-")</f>
        <v>-</v>
      </c>
      <c r="Q153" s="78" t="str">
        <f>+IFERROR(VLOOKUP(D153,'ID1&amp;5'!K:L,2,FALSE),"-")</f>
        <v>-</v>
      </c>
      <c r="R153" s="26" t="str">
        <f>+IFERROR(VLOOKUP(CONCATENATE(A153,$D$10,D153),'ID1&amp;5'!B:J,9,FALSE),"-")</f>
        <v>-</v>
      </c>
      <c r="S153" s="78" t="str">
        <f>+IFERROR(VLOOKUP(E153,'ID1&amp;5'!K:L,2,FALSE),"-")</f>
        <v>-</v>
      </c>
      <c r="T153" s="79" t="str">
        <f>+IFERROR(VLOOKUP(CONCATENATE(A153,$E$10,E153),'ID1&amp;5'!B:J,9,FALSE),"-")</f>
        <v>-</v>
      </c>
      <c r="U153" s="78" t="str">
        <f>+IFERROR(VLOOKUP(F153,'ID1&amp;5'!K:L,2,FALSE),"-")</f>
        <v>-</v>
      </c>
      <c r="V153" s="79" t="str">
        <f>+IFERROR(VLOOKUP(CONCATENATE(A153,$F$10,F153),'ID1&amp;5'!B:J,9,FALSE),"-")</f>
        <v>-</v>
      </c>
      <c r="W153" s="26" t="str">
        <f>+IFERROR(VLOOKUP(A153,'ID6&amp;7'!A:I,9,FALSE),"-")</f>
        <v>-</v>
      </c>
      <c r="X153" s="26" t="str">
        <f>+IFERROR(VLOOKUP(A153,'ID6&amp;7'!A:J,10,FALSE),"-")</f>
        <v>-</v>
      </c>
      <c r="Y153" s="26"/>
      <c r="Z153" s="27" t="str">
        <f t="shared" si="3"/>
        <v>Por iniciar</v>
      </c>
      <c r="AA153" s="65"/>
    </row>
    <row r="154" spans="1:27">
      <c r="A154" s="20"/>
      <c r="B154" s="60"/>
      <c r="C154" s="60"/>
      <c r="D154" s="60"/>
      <c r="E154" s="60"/>
      <c r="F154" s="60"/>
      <c r="G154" s="60"/>
      <c r="H154" s="65" t="s">
        <v>117</v>
      </c>
      <c r="I154" s="21" t="s">
        <v>1218</v>
      </c>
      <c r="J154" s="26">
        <f>+COUNTIF('ID1&amp;5'!G:G,'1. Status'!I154)</f>
        <v>0</v>
      </c>
      <c r="K154" s="79" t="str">
        <f>+IFERROR(VLOOKUP(CONCATENATE(A154,$B$10,B154),'ID1&amp;5'!B:J,8,FALSE),"-")</f>
        <v>-</v>
      </c>
      <c r="L154" s="78" t="str">
        <f>+IFERROR(VLOOKUP(B154,'ID1&amp;5'!K:L,2,FALSE),"-")</f>
        <v>-</v>
      </c>
      <c r="M154" s="79" t="str">
        <f>+IFERROR(VLOOKUP(CONCATENATE(A154,$B$10,B154),'ID1&amp;5'!B:J,9,FALSE),"-")</f>
        <v>-</v>
      </c>
      <c r="N154" s="79" t="str">
        <f>+IFERROR(VLOOKUP(CONCATENATE(A154,$C$10,C154),'ID1&amp;5'!B:J,8,FALSE),"-")</f>
        <v>-</v>
      </c>
      <c r="O154" s="78" t="str">
        <f>+IFERROR(VLOOKUP(C154,'ID1&amp;5'!K:L,2,FALSE),"-")</f>
        <v>-</v>
      </c>
      <c r="P154" s="79" t="str">
        <f>+IFERROR(VLOOKUP(CONCATENATE(A154,$C$10,C154),'ID1&amp;5'!B:J,9,FALSE),"-")</f>
        <v>-</v>
      </c>
      <c r="Q154" s="78" t="str">
        <f>+IFERROR(VLOOKUP(D154,'ID1&amp;5'!K:L,2,FALSE),"-")</f>
        <v>-</v>
      </c>
      <c r="R154" s="26" t="str">
        <f>+IFERROR(VLOOKUP(CONCATENATE(A154,$D$10,D154),'ID1&amp;5'!B:J,9,FALSE),"-")</f>
        <v>-</v>
      </c>
      <c r="S154" s="78" t="str">
        <f>+IFERROR(VLOOKUP(E154,'ID1&amp;5'!K:L,2,FALSE),"-")</f>
        <v>-</v>
      </c>
      <c r="T154" s="79" t="str">
        <f>+IFERROR(VLOOKUP(CONCATENATE(A154,$E$10,E154),'ID1&amp;5'!B:J,9,FALSE),"-")</f>
        <v>-</v>
      </c>
      <c r="U154" s="78" t="str">
        <f>+IFERROR(VLOOKUP(F154,'ID1&amp;5'!K:L,2,FALSE),"-")</f>
        <v>-</v>
      </c>
      <c r="V154" s="79" t="str">
        <f>+IFERROR(VLOOKUP(CONCATENATE(A154,$F$10,F154),'ID1&amp;5'!B:J,9,FALSE),"-")</f>
        <v>-</v>
      </c>
      <c r="W154" s="26" t="str">
        <f>+IFERROR(VLOOKUP(A154,'ID6&amp;7'!A:I,9,FALSE),"-")</f>
        <v>-</v>
      </c>
      <c r="X154" s="26" t="str">
        <f>+IFERROR(VLOOKUP(A154,'ID6&amp;7'!A:J,10,FALSE),"-")</f>
        <v>-</v>
      </c>
      <c r="Y154" s="26"/>
      <c r="Z154" s="27" t="str">
        <f t="shared" si="3"/>
        <v>Por iniciar</v>
      </c>
      <c r="AA154" s="65"/>
    </row>
    <row r="155" spans="1:27">
      <c r="A155" s="20"/>
      <c r="B155" s="60"/>
      <c r="C155" s="60"/>
      <c r="D155" s="60"/>
      <c r="E155" s="60"/>
      <c r="F155" s="60"/>
      <c r="G155" s="60"/>
      <c r="H155" s="65" t="s">
        <v>117</v>
      </c>
      <c r="I155" s="21" t="s">
        <v>295</v>
      </c>
      <c r="J155" s="26">
        <f>+COUNTIF('ID1&amp;5'!G:G,'1. Status'!I155)</f>
        <v>0</v>
      </c>
      <c r="K155" s="79" t="str">
        <f>+IFERROR(VLOOKUP(CONCATENATE(A155,$B$10,B155),'ID1&amp;5'!B:J,8,FALSE),"-")</f>
        <v>-</v>
      </c>
      <c r="L155" s="78" t="str">
        <f>+IFERROR(VLOOKUP(B155,'ID1&amp;5'!K:L,2,FALSE),"-")</f>
        <v>-</v>
      </c>
      <c r="M155" s="79" t="str">
        <f>+IFERROR(VLOOKUP(CONCATENATE(A155,$B$10,B155),'ID1&amp;5'!B:J,9,FALSE),"-")</f>
        <v>-</v>
      </c>
      <c r="N155" s="79" t="str">
        <f>+IFERROR(VLOOKUP(CONCATENATE(A155,$C$10,C155),'ID1&amp;5'!B:J,8,FALSE),"-")</f>
        <v>-</v>
      </c>
      <c r="O155" s="78" t="str">
        <f>+IFERROR(VLOOKUP(C155,'ID1&amp;5'!K:L,2,FALSE),"-")</f>
        <v>-</v>
      </c>
      <c r="P155" s="79" t="str">
        <f>+IFERROR(VLOOKUP(CONCATENATE(A155,$C$10,C155),'ID1&amp;5'!B:J,9,FALSE),"-")</f>
        <v>-</v>
      </c>
      <c r="Q155" s="78" t="str">
        <f>+IFERROR(VLOOKUP(D155,'ID1&amp;5'!K:L,2,FALSE),"-")</f>
        <v>-</v>
      </c>
      <c r="R155" s="26" t="str">
        <f>+IFERROR(VLOOKUP(CONCATENATE(A155,$D$10,D155),'ID1&amp;5'!B:J,9,FALSE),"-")</f>
        <v>-</v>
      </c>
      <c r="S155" s="78" t="str">
        <f>+IFERROR(VLOOKUP(E155,'ID1&amp;5'!K:L,2,FALSE),"-")</f>
        <v>-</v>
      </c>
      <c r="T155" s="79" t="str">
        <f>+IFERROR(VLOOKUP(CONCATENATE(A155,$E$10,E155),'ID1&amp;5'!B:J,9,FALSE),"-")</f>
        <v>-</v>
      </c>
      <c r="U155" s="78" t="str">
        <f>+IFERROR(VLOOKUP(F155,'ID1&amp;5'!K:L,2,FALSE),"-")</f>
        <v>-</v>
      </c>
      <c r="V155" s="79" t="str">
        <f>+IFERROR(VLOOKUP(CONCATENATE(A155,$F$10,F155),'ID1&amp;5'!B:J,9,FALSE),"-")</f>
        <v>-</v>
      </c>
      <c r="W155" s="26" t="str">
        <f>+IFERROR(VLOOKUP(A155,'ID6&amp;7'!A:I,9,FALSE),"-")</f>
        <v>-</v>
      </c>
      <c r="X155" s="26" t="str">
        <f>+IFERROR(VLOOKUP(A155,'ID6&amp;7'!A:J,10,FALSE),"-")</f>
        <v>-</v>
      </c>
      <c r="Y155" s="26"/>
      <c r="Z155" s="27" t="str">
        <f t="shared" si="3"/>
        <v>Por iniciar</v>
      </c>
      <c r="AA155" s="65"/>
    </row>
    <row r="156" spans="1:27">
      <c r="A156" s="20"/>
      <c r="B156" s="60"/>
      <c r="C156" s="60"/>
      <c r="D156" s="60"/>
      <c r="E156" s="60"/>
      <c r="F156" s="60"/>
      <c r="G156" s="60"/>
      <c r="H156" s="65" t="s">
        <v>117</v>
      </c>
      <c r="I156" s="21" t="s">
        <v>1219</v>
      </c>
      <c r="J156" s="26">
        <f>+COUNTIF('ID1&amp;5'!G:G,'1. Status'!I156)</f>
        <v>0</v>
      </c>
      <c r="K156" s="79" t="str">
        <f>+IFERROR(VLOOKUP(CONCATENATE(A156,$B$10,B156),'ID1&amp;5'!B:J,8,FALSE),"-")</f>
        <v>-</v>
      </c>
      <c r="L156" s="78" t="str">
        <f>+IFERROR(VLOOKUP(B156,'ID1&amp;5'!K:L,2,FALSE),"-")</f>
        <v>-</v>
      </c>
      <c r="M156" s="79" t="str">
        <f>+IFERROR(VLOOKUP(CONCATENATE(A156,$B$10,B156),'ID1&amp;5'!B:J,9,FALSE),"-")</f>
        <v>-</v>
      </c>
      <c r="N156" s="79" t="str">
        <f>+IFERROR(VLOOKUP(CONCATENATE(A156,$C$10,C156),'ID1&amp;5'!B:J,8,FALSE),"-")</f>
        <v>-</v>
      </c>
      <c r="O156" s="78" t="str">
        <f>+IFERROR(VLOOKUP(C156,'ID1&amp;5'!K:L,2,FALSE),"-")</f>
        <v>-</v>
      </c>
      <c r="P156" s="79" t="str">
        <f>+IFERROR(VLOOKUP(CONCATENATE(A156,$C$10,C156),'ID1&amp;5'!B:J,9,FALSE),"-")</f>
        <v>-</v>
      </c>
      <c r="Q156" s="78" t="str">
        <f>+IFERROR(VLOOKUP(D156,'ID1&amp;5'!K:L,2,FALSE),"-")</f>
        <v>-</v>
      </c>
      <c r="R156" s="26" t="str">
        <f>+IFERROR(VLOOKUP(CONCATENATE(A156,$D$10,D156),'ID1&amp;5'!B:J,9,FALSE),"-")</f>
        <v>-</v>
      </c>
      <c r="S156" s="78" t="str">
        <f>+IFERROR(VLOOKUP(E156,'ID1&amp;5'!K:L,2,FALSE),"-")</f>
        <v>-</v>
      </c>
      <c r="T156" s="79" t="str">
        <f>+IFERROR(VLOOKUP(CONCATENATE(A156,$E$10,E156),'ID1&amp;5'!B:J,9,FALSE),"-")</f>
        <v>-</v>
      </c>
      <c r="U156" s="78" t="str">
        <f>+IFERROR(VLOOKUP(F156,'ID1&amp;5'!K:L,2,FALSE),"-")</f>
        <v>-</v>
      </c>
      <c r="V156" s="79" t="str">
        <f>+IFERROR(VLOOKUP(CONCATENATE(A156,$F$10,F156),'ID1&amp;5'!B:J,9,FALSE),"-")</f>
        <v>-</v>
      </c>
      <c r="W156" s="26" t="str">
        <f>+IFERROR(VLOOKUP(A156,'ID6&amp;7'!A:I,9,FALSE),"-")</f>
        <v>-</v>
      </c>
      <c r="X156" s="26" t="str">
        <f>+IFERROR(VLOOKUP(A156,'ID6&amp;7'!A:J,10,FALSE),"-")</f>
        <v>-</v>
      </c>
      <c r="Y156" s="26"/>
      <c r="Z156" s="27" t="str">
        <f t="shared" si="3"/>
        <v>Por iniciar</v>
      </c>
      <c r="AA156" s="65"/>
    </row>
    <row r="157" spans="1:27">
      <c r="A157" s="20"/>
      <c r="B157" s="60"/>
      <c r="C157" s="60"/>
      <c r="D157" s="60"/>
      <c r="E157" s="60"/>
      <c r="F157" s="60"/>
      <c r="G157" s="60"/>
      <c r="H157" s="65" t="s">
        <v>117</v>
      </c>
      <c r="I157" s="21" t="s">
        <v>296</v>
      </c>
      <c r="J157" s="26">
        <f>+COUNTIF('ID1&amp;5'!G:G,'1. Status'!I157)</f>
        <v>0</v>
      </c>
      <c r="K157" s="79" t="str">
        <f>+IFERROR(VLOOKUP(CONCATENATE(A157,$B$10,B157),'ID1&amp;5'!B:J,8,FALSE),"-")</f>
        <v>-</v>
      </c>
      <c r="L157" s="78" t="str">
        <f>+IFERROR(VLOOKUP(B157,'ID1&amp;5'!K:L,2,FALSE),"-")</f>
        <v>-</v>
      </c>
      <c r="M157" s="79" t="str">
        <f>+IFERROR(VLOOKUP(CONCATENATE(A157,$B$10,B157),'ID1&amp;5'!B:J,9,FALSE),"-")</f>
        <v>-</v>
      </c>
      <c r="N157" s="79" t="str">
        <f>+IFERROR(VLOOKUP(CONCATENATE(A157,$C$10,C157),'ID1&amp;5'!B:J,8,FALSE),"-")</f>
        <v>-</v>
      </c>
      <c r="O157" s="78" t="str">
        <f>+IFERROR(VLOOKUP(C157,'ID1&amp;5'!K:L,2,FALSE),"-")</f>
        <v>-</v>
      </c>
      <c r="P157" s="79" t="str">
        <f>+IFERROR(VLOOKUP(CONCATENATE(A157,$C$10,C157),'ID1&amp;5'!B:J,9,FALSE),"-")</f>
        <v>-</v>
      </c>
      <c r="Q157" s="78" t="str">
        <f>+IFERROR(VLOOKUP(D157,'ID1&amp;5'!K:L,2,FALSE),"-")</f>
        <v>-</v>
      </c>
      <c r="R157" s="26" t="str">
        <f>+IFERROR(VLOOKUP(CONCATENATE(A157,$D$10,D157),'ID1&amp;5'!B:J,9,FALSE),"-")</f>
        <v>-</v>
      </c>
      <c r="S157" s="78" t="str">
        <f>+IFERROR(VLOOKUP(E157,'ID1&amp;5'!K:L,2,FALSE),"-")</f>
        <v>-</v>
      </c>
      <c r="T157" s="79" t="str">
        <f>+IFERROR(VLOOKUP(CONCATENATE(A157,$E$10,E157),'ID1&amp;5'!B:J,9,FALSE),"-")</f>
        <v>-</v>
      </c>
      <c r="U157" s="78" t="str">
        <f>+IFERROR(VLOOKUP(F157,'ID1&amp;5'!K:L,2,FALSE),"-")</f>
        <v>-</v>
      </c>
      <c r="V157" s="79" t="str">
        <f>+IFERROR(VLOOKUP(CONCATENATE(A157,$F$10,F157),'ID1&amp;5'!B:J,9,FALSE),"-")</f>
        <v>-</v>
      </c>
      <c r="W157" s="26" t="str">
        <f>+IFERROR(VLOOKUP(A157,'ID6&amp;7'!A:I,9,FALSE),"-")</f>
        <v>-</v>
      </c>
      <c r="X157" s="26" t="str">
        <f>+IFERROR(VLOOKUP(A157,'ID6&amp;7'!A:J,10,FALSE),"-")</f>
        <v>-</v>
      </c>
      <c r="Y157" s="26"/>
      <c r="Z157" s="27" t="str">
        <f t="shared" si="3"/>
        <v>Por iniciar</v>
      </c>
      <c r="AA157" s="65"/>
    </row>
    <row r="158" spans="1:27">
      <c r="A158" s="20"/>
      <c r="B158" s="60"/>
      <c r="C158" s="60"/>
      <c r="D158" s="60"/>
      <c r="E158" s="60"/>
      <c r="F158" s="60"/>
      <c r="G158" s="60"/>
      <c r="H158" s="65" t="s">
        <v>117</v>
      </c>
      <c r="I158" s="21" t="s">
        <v>298</v>
      </c>
      <c r="J158" s="26">
        <f>+COUNTIF('ID1&amp;5'!G:G,'1. Status'!I158)</f>
        <v>0</v>
      </c>
      <c r="K158" s="79" t="str">
        <f>+IFERROR(VLOOKUP(CONCATENATE(A158,$B$10,B158),'ID1&amp;5'!B:J,8,FALSE),"-")</f>
        <v>-</v>
      </c>
      <c r="L158" s="78" t="str">
        <f>+IFERROR(VLOOKUP(B158,'ID1&amp;5'!K:L,2,FALSE),"-")</f>
        <v>-</v>
      </c>
      <c r="M158" s="79" t="str">
        <f>+IFERROR(VLOOKUP(CONCATENATE(A158,$B$10,B158),'ID1&amp;5'!B:J,9,FALSE),"-")</f>
        <v>-</v>
      </c>
      <c r="N158" s="79" t="str">
        <f>+IFERROR(VLOOKUP(CONCATENATE(A158,$C$10,C158),'ID1&amp;5'!B:J,8,FALSE),"-")</f>
        <v>-</v>
      </c>
      <c r="O158" s="78" t="str">
        <f>+IFERROR(VLOOKUP(C158,'ID1&amp;5'!K:L,2,FALSE),"-")</f>
        <v>-</v>
      </c>
      <c r="P158" s="79" t="str">
        <f>+IFERROR(VLOOKUP(CONCATENATE(A158,$C$10,C158),'ID1&amp;5'!B:J,9,FALSE),"-")</f>
        <v>-</v>
      </c>
      <c r="Q158" s="78" t="str">
        <f>+IFERROR(VLOOKUP(D158,'ID1&amp;5'!K:L,2,FALSE),"-")</f>
        <v>-</v>
      </c>
      <c r="R158" s="26" t="str">
        <f>+IFERROR(VLOOKUP(CONCATENATE(A158,$D$10,D158),'ID1&amp;5'!B:J,9,FALSE),"-")</f>
        <v>-</v>
      </c>
      <c r="S158" s="78" t="str">
        <f>+IFERROR(VLOOKUP(E158,'ID1&amp;5'!K:L,2,FALSE),"-")</f>
        <v>-</v>
      </c>
      <c r="T158" s="79" t="str">
        <f>+IFERROR(VLOOKUP(CONCATENATE(A158,$E$10,E158),'ID1&amp;5'!B:J,9,FALSE),"-")</f>
        <v>-</v>
      </c>
      <c r="U158" s="78" t="str">
        <f>+IFERROR(VLOOKUP(F158,'ID1&amp;5'!K:L,2,FALSE),"-")</f>
        <v>-</v>
      </c>
      <c r="V158" s="79" t="str">
        <f>+IFERROR(VLOOKUP(CONCATENATE(A158,$F$10,F158),'ID1&amp;5'!B:J,9,FALSE),"-")</f>
        <v>-</v>
      </c>
      <c r="W158" s="26" t="str">
        <f>+IFERROR(VLOOKUP(A158,'ID6&amp;7'!A:I,9,FALSE),"-")</f>
        <v>-</v>
      </c>
      <c r="X158" s="26" t="str">
        <f>+IFERROR(VLOOKUP(A158,'ID6&amp;7'!A:J,10,FALSE),"-")</f>
        <v>-</v>
      </c>
      <c r="Y158" s="26"/>
      <c r="Z158" s="27" t="str">
        <f t="shared" si="3"/>
        <v>Por iniciar</v>
      </c>
      <c r="AA158" s="65"/>
    </row>
    <row r="159" spans="1:27">
      <c r="A159" s="20"/>
      <c r="B159" s="60"/>
      <c r="C159" s="60"/>
      <c r="D159" s="60"/>
      <c r="E159" s="60"/>
      <c r="F159" s="60"/>
      <c r="G159" s="60"/>
      <c r="H159" s="65" t="s">
        <v>117</v>
      </c>
      <c r="I159" s="21" t="s">
        <v>299</v>
      </c>
      <c r="J159" s="26">
        <f>+COUNTIF('ID1&amp;5'!G:G,'1. Status'!I159)</f>
        <v>0</v>
      </c>
      <c r="K159" s="79" t="str">
        <f>+IFERROR(VLOOKUP(CONCATENATE(A159,$B$10,B159),'ID1&amp;5'!B:J,8,FALSE),"-")</f>
        <v>-</v>
      </c>
      <c r="L159" s="78" t="str">
        <f>+IFERROR(VLOOKUP(B159,'ID1&amp;5'!K:L,2,FALSE),"-")</f>
        <v>-</v>
      </c>
      <c r="M159" s="79" t="str">
        <f>+IFERROR(VLOOKUP(CONCATENATE(A159,$B$10,B159),'ID1&amp;5'!B:J,9,FALSE),"-")</f>
        <v>-</v>
      </c>
      <c r="N159" s="79" t="str">
        <f>+IFERROR(VLOOKUP(CONCATENATE(A159,$C$10,C159),'ID1&amp;5'!B:J,8,FALSE),"-")</f>
        <v>-</v>
      </c>
      <c r="O159" s="78" t="str">
        <f>+IFERROR(VLOOKUP(C159,'ID1&amp;5'!K:L,2,FALSE),"-")</f>
        <v>-</v>
      </c>
      <c r="P159" s="79" t="str">
        <f>+IFERROR(VLOOKUP(CONCATENATE(A159,$C$10,C159),'ID1&amp;5'!B:J,9,FALSE),"-")</f>
        <v>-</v>
      </c>
      <c r="Q159" s="78" t="str">
        <f>+IFERROR(VLOOKUP(D159,'ID1&amp;5'!K:L,2,FALSE),"-")</f>
        <v>-</v>
      </c>
      <c r="R159" s="26" t="str">
        <f>+IFERROR(VLOOKUP(CONCATENATE(A159,$D$10,D159),'ID1&amp;5'!B:J,9,FALSE),"-")</f>
        <v>-</v>
      </c>
      <c r="S159" s="78" t="str">
        <f>+IFERROR(VLOOKUP(E159,'ID1&amp;5'!K:L,2,FALSE),"-")</f>
        <v>-</v>
      </c>
      <c r="T159" s="79" t="str">
        <f>+IFERROR(VLOOKUP(CONCATENATE(A159,$E$10,E159),'ID1&amp;5'!B:J,9,FALSE),"-")</f>
        <v>-</v>
      </c>
      <c r="U159" s="78" t="str">
        <f>+IFERROR(VLOOKUP(F159,'ID1&amp;5'!K:L,2,FALSE),"-")</f>
        <v>-</v>
      </c>
      <c r="V159" s="79" t="str">
        <f>+IFERROR(VLOOKUP(CONCATENATE(A159,$F$10,F159),'ID1&amp;5'!B:J,9,FALSE),"-")</f>
        <v>-</v>
      </c>
      <c r="W159" s="26" t="str">
        <f>+IFERROR(VLOOKUP(A159,'ID6&amp;7'!A:I,9,FALSE),"-")</f>
        <v>-</v>
      </c>
      <c r="X159" s="26" t="str">
        <f>+IFERROR(VLOOKUP(A159,'ID6&amp;7'!A:J,10,FALSE),"-")</f>
        <v>-</v>
      </c>
      <c r="Y159" s="26"/>
      <c r="Z159" s="27" t="str">
        <f t="shared" si="3"/>
        <v>Por iniciar</v>
      </c>
      <c r="AA159" s="65"/>
    </row>
    <row r="160" spans="1:27">
      <c r="A160" s="20"/>
      <c r="B160" s="60"/>
      <c r="C160" s="60"/>
      <c r="D160" s="60"/>
      <c r="E160" s="60"/>
      <c r="F160" s="60"/>
      <c r="G160" s="60"/>
      <c r="H160" s="65" t="s">
        <v>117</v>
      </c>
      <c r="I160" s="21" t="s">
        <v>1220</v>
      </c>
      <c r="J160" s="26">
        <f>+COUNTIF('ID1&amp;5'!G:G,'1. Status'!I160)</f>
        <v>0</v>
      </c>
      <c r="K160" s="79" t="str">
        <f>+IFERROR(VLOOKUP(CONCATENATE(A160,$B$10,B160),'ID1&amp;5'!B:J,8,FALSE),"-")</f>
        <v>-</v>
      </c>
      <c r="L160" s="78" t="str">
        <f>+IFERROR(VLOOKUP(B160,'ID1&amp;5'!K:L,2,FALSE),"-")</f>
        <v>-</v>
      </c>
      <c r="M160" s="79" t="str">
        <f>+IFERROR(VLOOKUP(CONCATENATE(A160,$B$10,B160),'ID1&amp;5'!B:J,9,FALSE),"-")</f>
        <v>-</v>
      </c>
      <c r="N160" s="79" t="str">
        <f>+IFERROR(VLOOKUP(CONCATENATE(A160,$C$10,C160),'ID1&amp;5'!B:J,8,FALSE),"-")</f>
        <v>-</v>
      </c>
      <c r="O160" s="78" t="str">
        <f>+IFERROR(VLOOKUP(C160,'ID1&amp;5'!K:L,2,FALSE),"-")</f>
        <v>-</v>
      </c>
      <c r="P160" s="79" t="str">
        <f>+IFERROR(VLOOKUP(CONCATENATE(A160,$C$10,C160),'ID1&amp;5'!B:J,9,FALSE),"-")</f>
        <v>-</v>
      </c>
      <c r="Q160" s="78" t="str">
        <f>+IFERROR(VLOOKUP(D160,'ID1&amp;5'!K:L,2,FALSE),"-")</f>
        <v>-</v>
      </c>
      <c r="R160" s="26" t="str">
        <f>+IFERROR(VLOOKUP(CONCATENATE(A160,$D$10,D160),'ID1&amp;5'!B:J,9,FALSE),"-")</f>
        <v>-</v>
      </c>
      <c r="S160" s="78" t="str">
        <f>+IFERROR(VLOOKUP(E160,'ID1&amp;5'!K:L,2,FALSE),"-")</f>
        <v>-</v>
      </c>
      <c r="T160" s="79" t="str">
        <f>+IFERROR(VLOOKUP(CONCATENATE(A160,$E$10,E160),'ID1&amp;5'!B:J,9,FALSE),"-")</f>
        <v>-</v>
      </c>
      <c r="U160" s="78" t="str">
        <f>+IFERROR(VLOOKUP(F160,'ID1&amp;5'!K:L,2,FALSE),"-")</f>
        <v>-</v>
      </c>
      <c r="V160" s="79" t="str">
        <f>+IFERROR(VLOOKUP(CONCATENATE(A160,$F$10,F160),'ID1&amp;5'!B:J,9,FALSE),"-")</f>
        <v>-</v>
      </c>
      <c r="W160" s="26" t="str">
        <f>+IFERROR(VLOOKUP(A160,'ID6&amp;7'!A:I,9,FALSE),"-")</f>
        <v>-</v>
      </c>
      <c r="X160" s="26" t="str">
        <f>+IFERROR(VLOOKUP(A160,'ID6&amp;7'!A:J,10,FALSE),"-")</f>
        <v>-</v>
      </c>
      <c r="Y160" s="26"/>
      <c r="Z160" s="27" t="str">
        <f t="shared" si="3"/>
        <v>Por iniciar</v>
      </c>
      <c r="AA160" s="65"/>
    </row>
    <row r="161" spans="1:27">
      <c r="A161" s="20"/>
      <c r="B161" s="60"/>
      <c r="C161" s="60"/>
      <c r="D161" s="60"/>
      <c r="E161" s="60"/>
      <c r="F161" s="60"/>
      <c r="G161" s="60"/>
      <c r="H161" s="65" t="s">
        <v>117</v>
      </c>
      <c r="I161" s="21" t="s">
        <v>1221</v>
      </c>
      <c r="J161" s="26">
        <f>+COUNTIF('ID1&amp;5'!G:G,'1. Status'!I161)</f>
        <v>0</v>
      </c>
      <c r="K161" s="79" t="str">
        <f>+IFERROR(VLOOKUP(CONCATENATE(A161,$B$10,B161),'ID1&amp;5'!B:J,8,FALSE),"-")</f>
        <v>-</v>
      </c>
      <c r="L161" s="78" t="str">
        <f>+IFERROR(VLOOKUP(B161,'ID1&amp;5'!K:L,2,FALSE),"-")</f>
        <v>-</v>
      </c>
      <c r="M161" s="79" t="str">
        <f>+IFERROR(VLOOKUP(CONCATENATE(A161,$B$10,B161),'ID1&amp;5'!B:J,9,FALSE),"-")</f>
        <v>-</v>
      </c>
      <c r="N161" s="79" t="str">
        <f>+IFERROR(VLOOKUP(CONCATENATE(A161,$C$10,C161),'ID1&amp;5'!B:J,8,FALSE),"-")</f>
        <v>-</v>
      </c>
      <c r="O161" s="78" t="str">
        <f>+IFERROR(VLOOKUP(C161,'ID1&amp;5'!K:L,2,FALSE),"-")</f>
        <v>-</v>
      </c>
      <c r="P161" s="79" t="str">
        <f>+IFERROR(VLOOKUP(CONCATENATE(A161,$C$10,C161),'ID1&amp;5'!B:J,9,FALSE),"-")</f>
        <v>-</v>
      </c>
      <c r="Q161" s="78" t="str">
        <f>+IFERROR(VLOOKUP(D161,'ID1&amp;5'!K:L,2,FALSE),"-")</f>
        <v>-</v>
      </c>
      <c r="R161" s="26" t="str">
        <f>+IFERROR(VLOOKUP(CONCATENATE(A161,$D$10,D161),'ID1&amp;5'!B:J,9,FALSE),"-")</f>
        <v>-</v>
      </c>
      <c r="S161" s="78" t="str">
        <f>+IFERROR(VLOOKUP(E161,'ID1&amp;5'!K:L,2,FALSE),"-")</f>
        <v>-</v>
      </c>
      <c r="T161" s="79" t="str">
        <f>+IFERROR(VLOOKUP(CONCATENATE(A161,$E$10,E161),'ID1&amp;5'!B:J,9,FALSE),"-")</f>
        <v>-</v>
      </c>
      <c r="U161" s="78" t="str">
        <f>+IFERROR(VLOOKUP(F161,'ID1&amp;5'!K:L,2,FALSE),"-")</f>
        <v>-</v>
      </c>
      <c r="V161" s="79" t="str">
        <f>+IFERROR(VLOOKUP(CONCATENATE(A161,$F$10,F161),'ID1&amp;5'!B:J,9,FALSE),"-")</f>
        <v>-</v>
      </c>
      <c r="W161" s="26" t="str">
        <f>+IFERROR(VLOOKUP(A161,'ID6&amp;7'!A:I,9,FALSE),"-")</f>
        <v>-</v>
      </c>
      <c r="X161" s="26" t="str">
        <f>+IFERROR(VLOOKUP(A161,'ID6&amp;7'!A:J,10,FALSE),"-")</f>
        <v>-</v>
      </c>
      <c r="Y161" s="26"/>
      <c r="Z161" s="27" t="str">
        <f t="shared" si="3"/>
        <v>Por iniciar</v>
      </c>
      <c r="AA161" s="65"/>
    </row>
    <row r="162" spans="1:27">
      <c r="A162" s="20"/>
      <c r="B162" s="60"/>
      <c r="C162" s="60"/>
      <c r="D162" s="60"/>
      <c r="E162" s="60"/>
      <c r="F162" s="60"/>
      <c r="G162" s="60"/>
      <c r="H162" s="65" t="s">
        <v>117</v>
      </c>
      <c r="I162" s="21" t="s">
        <v>1222</v>
      </c>
      <c r="J162" s="26">
        <f>+COUNTIF('ID1&amp;5'!G:G,'1. Status'!I162)</f>
        <v>0</v>
      </c>
      <c r="K162" s="79" t="str">
        <f>+IFERROR(VLOOKUP(CONCATENATE(A162,$B$10,B162),'ID1&amp;5'!B:J,8,FALSE),"-")</f>
        <v>-</v>
      </c>
      <c r="L162" s="78" t="str">
        <f>+IFERROR(VLOOKUP(B162,'ID1&amp;5'!K:L,2,FALSE),"-")</f>
        <v>-</v>
      </c>
      <c r="M162" s="79" t="str">
        <f>+IFERROR(VLOOKUP(CONCATENATE(A162,$B$10,B162),'ID1&amp;5'!B:J,9,FALSE),"-")</f>
        <v>-</v>
      </c>
      <c r="N162" s="79" t="str">
        <f>+IFERROR(VLOOKUP(CONCATENATE(A162,$C$10,C162),'ID1&amp;5'!B:J,8,FALSE),"-")</f>
        <v>-</v>
      </c>
      <c r="O162" s="78" t="str">
        <f>+IFERROR(VLOOKUP(C162,'ID1&amp;5'!K:L,2,FALSE),"-")</f>
        <v>-</v>
      </c>
      <c r="P162" s="79" t="str">
        <f>+IFERROR(VLOOKUP(CONCATENATE(A162,$C$10,C162),'ID1&amp;5'!B:J,9,FALSE),"-")</f>
        <v>-</v>
      </c>
      <c r="Q162" s="78" t="str">
        <f>+IFERROR(VLOOKUP(D162,'ID1&amp;5'!K:L,2,FALSE),"-")</f>
        <v>-</v>
      </c>
      <c r="R162" s="26" t="str">
        <f>+IFERROR(VLOOKUP(CONCATENATE(A162,$D$10,D162),'ID1&amp;5'!B:J,9,FALSE),"-")</f>
        <v>-</v>
      </c>
      <c r="S162" s="78" t="str">
        <f>+IFERROR(VLOOKUP(E162,'ID1&amp;5'!K:L,2,FALSE),"-")</f>
        <v>-</v>
      </c>
      <c r="T162" s="79" t="str">
        <f>+IFERROR(VLOOKUP(CONCATENATE(A162,$E$10,E162),'ID1&amp;5'!B:J,9,FALSE),"-")</f>
        <v>-</v>
      </c>
      <c r="U162" s="78" t="str">
        <f>+IFERROR(VLOOKUP(F162,'ID1&amp;5'!K:L,2,FALSE),"-")</f>
        <v>-</v>
      </c>
      <c r="V162" s="79" t="str">
        <f>+IFERROR(VLOOKUP(CONCATENATE(A162,$F$10,F162),'ID1&amp;5'!B:J,9,FALSE),"-")</f>
        <v>-</v>
      </c>
      <c r="W162" s="26" t="str">
        <f>+IFERROR(VLOOKUP(A162,'ID6&amp;7'!A:I,9,FALSE),"-")</f>
        <v>-</v>
      </c>
      <c r="X162" s="26" t="str">
        <f>+IFERROR(VLOOKUP(A162,'ID6&amp;7'!A:J,10,FALSE),"-")</f>
        <v>-</v>
      </c>
      <c r="Y162" s="26"/>
      <c r="Z162" s="27" t="str">
        <f t="shared" si="3"/>
        <v>Por iniciar</v>
      </c>
      <c r="AA162" s="65"/>
    </row>
    <row r="163" spans="1:27">
      <c r="A163" s="20"/>
      <c r="B163" s="60"/>
      <c r="C163" s="60"/>
      <c r="D163" s="60"/>
      <c r="E163" s="60"/>
      <c r="F163" s="60"/>
      <c r="G163" s="60"/>
      <c r="H163" s="65" t="s">
        <v>117</v>
      </c>
      <c r="I163" s="21" t="s">
        <v>1223</v>
      </c>
      <c r="J163" s="26">
        <f>+COUNTIF('ID1&amp;5'!G:G,'1. Status'!I163)</f>
        <v>0</v>
      </c>
      <c r="K163" s="79" t="str">
        <f>+IFERROR(VLOOKUP(CONCATENATE(A163,$B$10,B163),'ID1&amp;5'!B:J,8,FALSE),"-")</f>
        <v>-</v>
      </c>
      <c r="L163" s="78" t="str">
        <f>+IFERROR(VLOOKUP(B163,'ID1&amp;5'!K:L,2,FALSE),"-")</f>
        <v>-</v>
      </c>
      <c r="M163" s="79" t="str">
        <f>+IFERROR(VLOOKUP(CONCATENATE(A163,$B$10,B163),'ID1&amp;5'!B:J,9,FALSE),"-")</f>
        <v>-</v>
      </c>
      <c r="N163" s="79" t="str">
        <f>+IFERROR(VLOOKUP(CONCATENATE(A163,$C$10,C163),'ID1&amp;5'!B:J,8,FALSE),"-")</f>
        <v>-</v>
      </c>
      <c r="O163" s="78" t="str">
        <f>+IFERROR(VLOOKUP(C163,'ID1&amp;5'!K:L,2,FALSE),"-")</f>
        <v>-</v>
      </c>
      <c r="P163" s="79" t="str">
        <f>+IFERROR(VLOOKUP(CONCATENATE(A163,$C$10,C163),'ID1&amp;5'!B:J,9,FALSE),"-")</f>
        <v>-</v>
      </c>
      <c r="Q163" s="78" t="str">
        <f>+IFERROR(VLOOKUP(D163,'ID1&amp;5'!K:L,2,FALSE),"-")</f>
        <v>-</v>
      </c>
      <c r="R163" s="26" t="str">
        <f>+IFERROR(VLOOKUP(CONCATENATE(A163,$D$10,D163),'ID1&amp;5'!B:J,9,FALSE),"-")</f>
        <v>-</v>
      </c>
      <c r="S163" s="78" t="str">
        <f>+IFERROR(VLOOKUP(E163,'ID1&amp;5'!K:L,2,FALSE),"-")</f>
        <v>-</v>
      </c>
      <c r="T163" s="79" t="str">
        <f>+IFERROR(VLOOKUP(CONCATENATE(A163,$E$10,E163),'ID1&amp;5'!B:J,9,FALSE),"-")</f>
        <v>-</v>
      </c>
      <c r="U163" s="78" t="str">
        <f>+IFERROR(VLOOKUP(F163,'ID1&amp;5'!K:L,2,FALSE),"-")</f>
        <v>-</v>
      </c>
      <c r="V163" s="79" t="str">
        <f>+IFERROR(VLOOKUP(CONCATENATE(A163,$F$10,F163),'ID1&amp;5'!B:J,9,FALSE),"-")</f>
        <v>-</v>
      </c>
      <c r="W163" s="26" t="str">
        <f>+IFERROR(VLOOKUP(A163,'ID6&amp;7'!A:I,9,FALSE),"-")</f>
        <v>-</v>
      </c>
      <c r="X163" s="26" t="str">
        <f>+IFERROR(VLOOKUP(A163,'ID6&amp;7'!A:J,10,FALSE),"-")</f>
        <v>-</v>
      </c>
      <c r="Y163" s="26"/>
      <c r="Z163" s="27" t="str">
        <f t="shared" si="3"/>
        <v>Por iniciar</v>
      </c>
      <c r="AA163" s="65"/>
    </row>
    <row r="164" spans="1:27">
      <c r="A164" s="20"/>
      <c r="B164" s="60"/>
      <c r="C164" s="60"/>
      <c r="D164" s="60"/>
      <c r="E164" s="60"/>
      <c r="F164" s="60"/>
      <c r="G164" s="60"/>
      <c r="H164" s="65" t="s">
        <v>117</v>
      </c>
      <c r="I164" s="21" t="s">
        <v>1224</v>
      </c>
      <c r="J164" s="26">
        <f>+COUNTIF('ID1&amp;5'!G:G,'1. Status'!I164)</f>
        <v>0</v>
      </c>
      <c r="K164" s="79" t="str">
        <f>+IFERROR(VLOOKUP(CONCATENATE(A164,$B$10,B164),'ID1&amp;5'!B:J,8,FALSE),"-")</f>
        <v>-</v>
      </c>
      <c r="L164" s="78" t="str">
        <f>+IFERROR(VLOOKUP(B164,'ID1&amp;5'!K:L,2,FALSE),"-")</f>
        <v>-</v>
      </c>
      <c r="M164" s="79" t="str">
        <f>+IFERROR(VLOOKUP(CONCATENATE(A164,$B$10,B164),'ID1&amp;5'!B:J,9,FALSE),"-")</f>
        <v>-</v>
      </c>
      <c r="N164" s="79" t="str">
        <f>+IFERROR(VLOOKUP(CONCATENATE(A164,$C$10,C164),'ID1&amp;5'!B:J,8,FALSE),"-")</f>
        <v>-</v>
      </c>
      <c r="O164" s="78" t="str">
        <f>+IFERROR(VLOOKUP(C164,'ID1&amp;5'!K:L,2,FALSE),"-")</f>
        <v>-</v>
      </c>
      <c r="P164" s="79" t="str">
        <f>+IFERROR(VLOOKUP(CONCATENATE(A164,$C$10,C164),'ID1&amp;5'!B:J,9,FALSE),"-")</f>
        <v>-</v>
      </c>
      <c r="Q164" s="78" t="str">
        <f>+IFERROR(VLOOKUP(D164,'ID1&amp;5'!K:L,2,FALSE),"-")</f>
        <v>-</v>
      </c>
      <c r="R164" s="26" t="str">
        <f>+IFERROR(VLOOKUP(CONCATENATE(A164,$D$10,D164),'ID1&amp;5'!B:J,9,FALSE),"-")</f>
        <v>-</v>
      </c>
      <c r="S164" s="78" t="str">
        <f>+IFERROR(VLOOKUP(E164,'ID1&amp;5'!K:L,2,FALSE),"-")</f>
        <v>-</v>
      </c>
      <c r="T164" s="79" t="str">
        <f>+IFERROR(VLOOKUP(CONCATENATE(A164,$E$10,E164),'ID1&amp;5'!B:J,9,FALSE),"-")</f>
        <v>-</v>
      </c>
      <c r="U164" s="78" t="str">
        <f>+IFERROR(VLOOKUP(F164,'ID1&amp;5'!K:L,2,FALSE),"-")</f>
        <v>-</v>
      </c>
      <c r="V164" s="79" t="str">
        <f>+IFERROR(VLOOKUP(CONCATENATE(A164,$F$10,F164),'ID1&amp;5'!B:J,9,FALSE),"-")</f>
        <v>-</v>
      </c>
      <c r="W164" s="26" t="str">
        <f>+IFERROR(VLOOKUP(A164,'ID6&amp;7'!A:I,9,FALSE),"-")</f>
        <v>-</v>
      </c>
      <c r="X164" s="26" t="str">
        <f>+IFERROR(VLOOKUP(A164,'ID6&amp;7'!A:J,10,FALSE),"-")</f>
        <v>-</v>
      </c>
      <c r="Y164" s="26"/>
      <c r="Z164" s="27" t="str">
        <f t="shared" si="3"/>
        <v>Por iniciar</v>
      </c>
      <c r="AA164" s="65"/>
    </row>
    <row r="165" spans="1:27">
      <c r="A165" s="20"/>
      <c r="B165" s="60"/>
      <c r="C165" s="60"/>
      <c r="D165" s="60"/>
      <c r="E165" s="60"/>
      <c r="F165" s="60"/>
      <c r="G165" s="60"/>
      <c r="H165" s="65" t="s">
        <v>117</v>
      </c>
      <c r="I165" s="21" t="s">
        <v>1225</v>
      </c>
      <c r="J165" s="26">
        <f>+COUNTIF('ID1&amp;5'!G:G,'1. Status'!I165)</f>
        <v>0</v>
      </c>
      <c r="K165" s="79" t="str">
        <f>+IFERROR(VLOOKUP(CONCATENATE(A165,$B$10,B165),'ID1&amp;5'!B:J,8,FALSE),"-")</f>
        <v>-</v>
      </c>
      <c r="L165" s="78" t="str">
        <f>+IFERROR(VLOOKUP(B165,'ID1&amp;5'!K:L,2,FALSE),"-")</f>
        <v>-</v>
      </c>
      <c r="M165" s="79" t="str">
        <f>+IFERROR(VLOOKUP(CONCATENATE(A165,$B$10,B165),'ID1&amp;5'!B:J,9,FALSE),"-")</f>
        <v>-</v>
      </c>
      <c r="N165" s="79" t="str">
        <f>+IFERROR(VLOOKUP(CONCATENATE(A165,$C$10,C165),'ID1&amp;5'!B:J,8,FALSE),"-")</f>
        <v>-</v>
      </c>
      <c r="O165" s="78" t="str">
        <f>+IFERROR(VLOOKUP(C165,'ID1&amp;5'!K:L,2,FALSE),"-")</f>
        <v>-</v>
      </c>
      <c r="P165" s="79" t="str">
        <f>+IFERROR(VLOOKUP(CONCATENATE(A165,$C$10,C165),'ID1&amp;5'!B:J,9,FALSE),"-")</f>
        <v>-</v>
      </c>
      <c r="Q165" s="78" t="str">
        <f>+IFERROR(VLOOKUP(D165,'ID1&amp;5'!K:L,2,FALSE),"-")</f>
        <v>-</v>
      </c>
      <c r="R165" s="26" t="str">
        <f>+IFERROR(VLOOKUP(CONCATENATE(A165,$D$10,D165),'ID1&amp;5'!B:J,9,FALSE),"-")</f>
        <v>-</v>
      </c>
      <c r="S165" s="78" t="str">
        <f>+IFERROR(VLOOKUP(E165,'ID1&amp;5'!K:L,2,FALSE),"-")</f>
        <v>-</v>
      </c>
      <c r="T165" s="79" t="str">
        <f>+IFERROR(VLOOKUP(CONCATENATE(A165,$E$10,E165),'ID1&amp;5'!B:J,9,FALSE),"-")</f>
        <v>-</v>
      </c>
      <c r="U165" s="78" t="str">
        <f>+IFERROR(VLOOKUP(F165,'ID1&amp;5'!K:L,2,FALSE),"-")</f>
        <v>-</v>
      </c>
      <c r="V165" s="79" t="str">
        <f>+IFERROR(VLOOKUP(CONCATENATE(A165,$F$10,F165),'ID1&amp;5'!B:J,9,FALSE),"-")</f>
        <v>-</v>
      </c>
      <c r="W165" s="26" t="str">
        <f>+IFERROR(VLOOKUP(A165,'ID6&amp;7'!A:I,9,FALSE),"-")</f>
        <v>-</v>
      </c>
      <c r="X165" s="26" t="str">
        <f>+IFERROR(VLOOKUP(A165,'ID6&amp;7'!A:J,10,FALSE),"-")</f>
        <v>-</v>
      </c>
      <c r="Y165" s="26"/>
      <c r="Z165" s="27" t="str">
        <f t="shared" si="3"/>
        <v>Por iniciar</v>
      </c>
      <c r="AA165" s="65"/>
    </row>
    <row r="166" spans="1:27">
      <c r="A166" s="20"/>
      <c r="B166" s="60"/>
      <c r="C166" s="60"/>
      <c r="D166" s="60"/>
      <c r="E166" s="60"/>
      <c r="F166" s="60"/>
      <c r="G166" s="60"/>
      <c r="H166" s="65" t="s">
        <v>117</v>
      </c>
      <c r="I166" s="21" t="s">
        <v>1226</v>
      </c>
      <c r="J166" s="26">
        <f>+COUNTIF('ID1&amp;5'!G:G,'1. Status'!I166)</f>
        <v>0</v>
      </c>
      <c r="K166" s="79" t="str">
        <f>+IFERROR(VLOOKUP(CONCATENATE(A166,$B$10,B166),'ID1&amp;5'!B:J,8,FALSE),"-")</f>
        <v>-</v>
      </c>
      <c r="L166" s="78" t="str">
        <f>+IFERROR(VLOOKUP(B166,'ID1&amp;5'!K:L,2,FALSE),"-")</f>
        <v>-</v>
      </c>
      <c r="M166" s="79" t="str">
        <f>+IFERROR(VLOOKUP(CONCATENATE(A166,$B$10,B166),'ID1&amp;5'!B:J,9,FALSE),"-")</f>
        <v>-</v>
      </c>
      <c r="N166" s="79" t="str">
        <f>+IFERROR(VLOOKUP(CONCATENATE(A166,$C$10,C166),'ID1&amp;5'!B:J,8,FALSE),"-")</f>
        <v>-</v>
      </c>
      <c r="O166" s="78" t="str">
        <f>+IFERROR(VLOOKUP(C166,'ID1&amp;5'!K:L,2,FALSE),"-")</f>
        <v>-</v>
      </c>
      <c r="P166" s="79" t="str">
        <f>+IFERROR(VLOOKUP(CONCATENATE(A166,$C$10,C166),'ID1&amp;5'!B:J,9,FALSE),"-")</f>
        <v>-</v>
      </c>
      <c r="Q166" s="78" t="str">
        <f>+IFERROR(VLOOKUP(D166,'ID1&amp;5'!K:L,2,FALSE),"-")</f>
        <v>-</v>
      </c>
      <c r="R166" s="26" t="str">
        <f>+IFERROR(VLOOKUP(CONCATENATE(A166,$D$10,D166),'ID1&amp;5'!B:J,9,FALSE),"-")</f>
        <v>-</v>
      </c>
      <c r="S166" s="78" t="str">
        <f>+IFERROR(VLOOKUP(E166,'ID1&amp;5'!K:L,2,FALSE),"-")</f>
        <v>-</v>
      </c>
      <c r="T166" s="79" t="str">
        <f>+IFERROR(VLOOKUP(CONCATENATE(A166,$E$10,E166),'ID1&amp;5'!B:J,9,FALSE),"-")</f>
        <v>-</v>
      </c>
      <c r="U166" s="78" t="str">
        <f>+IFERROR(VLOOKUP(F166,'ID1&amp;5'!K:L,2,FALSE),"-")</f>
        <v>-</v>
      </c>
      <c r="V166" s="79" t="str">
        <f>+IFERROR(VLOOKUP(CONCATENATE(A166,$F$10,F166),'ID1&amp;5'!B:J,9,FALSE),"-")</f>
        <v>-</v>
      </c>
      <c r="W166" s="26" t="str">
        <f>+IFERROR(VLOOKUP(A166,'ID6&amp;7'!A:I,9,FALSE),"-")</f>
        <v>-</v>
      </c>
      <c r="X166" s="26" t="str">
        <f>+IFERROR(VLOOKUP(A166,'ID6&amp;7'!A:J,10,FALSE),"-")</f>
        <v>-</v>
      </c>
      <c r="Y166" s="26"/>
      <c r="Z166" s="27" t="str">
        <f t="shared" si="3"/>
        <v>Por iniciar</v>
      </c>
      <c r="AA166" s="65"/>
    </row>
    <row r="167" spans="1:27">
      <c r="A167" s="20"/>
      <c r="B167" s="60"/>
      <c r="C167" s="60"/>
      <c r="D167" s="60"/>
      <c r="E167" s="60"/>
      <c r="F167" s="60"/>
      <c r="G167" s="60"/>
      <c r="H167" s="65" t="s">
        <v>117</v>
      </c>
      <c r="I167" s="21" t="s">
        <v>1227</v>
      </c>
      <c r="J167" s="26">
        <f>+COUNTIF('ID1&amp;5'!G:G,'1. Status'!I167)</f>
        <v>0</v>
      </c>
      <c r="K167" s="79" t="str">
        <f>+IFERROR(VLOOKUP(CONCATENATE(A167,$B$10,B167),'ID1&amp;5'!B:J,8,FALSE),"-")</f>
        <v>-</v>
      </c>
      <c r="L167" s="78" t="str">
        <f>+IFERROR(VLOOKUP(B167,'ID1&amp;5'!K:L,2,FALSE),"-")</f>
        <v>-</v>
      </c>
      <c r="M167" s="79" t="str">
        <f>+IFERROR(VLOOKUP(CONCATENATE(A167,$B$10,B167),'ID1&amp;5'!B:J,9,FALSE),"-")</f>
        <v>-</v>
      </c>
      <c r="N167" s="79" t="str">
        <f>+IFERROR(VLOOKUP(CONCATENATE(A167,$C$10,C167),'ID1&amp;5'!B:J,8,FALSE),"-")</f>
        <v>-</v>
      </c>
      <c r="O167" s="78" t="str">
        <f>+IFERROR(VLOOKUP(C167,'ID1&amp;5'!K:L,2,FALSE),"-")</f>
        <v>-</v>
      </c>
      <c r="P167" s="79" t="str">
        <f>+IFERROR(VLOOKUP(CONCATENATE(A167,$C$10,C167),'ID1&amp;5'!B:J,9,FALSE),"-")</f>
        <v>-</v>
      </c>
      <c r="Q167" s="78" t="str">
        <f>+IFERROR(VLOOKUP(D167,'ID1&amp;5'!K:L,2,FALSE),"-")</f>
        <v>-</v>
      </c>
      <c r="R167" s="26" t="str">
        <f>+IFERROR(VLOOKUP(CONCATENATE(A167,$D$10,D167),'ID1&amp;5'!B:J,9,FALSE),"-")</f>
        <v>-</v>
      </c>
      <c r="S167" s="78" t="str">
        <f>+IFERROR(VLOOKUP(E167,'ID1&amp;5'!K:L,2,FALSE),"-")</f>
        <v>-</v>
      </c>
      <c r="T167" s="79" t="str">
        <f>+IFERROR(VLOOKUP(CONCATENATE(A167,$E$10,E167),'ID1&amp;5'!B:J,9,FALSE),"-")</f>
        <v>-</v>
      </c>
      <c r="U167" s="78" t="str">
        <f>+IFERROR(VLOOKUP(F167,'ID1&amp;5'!K:L,2,FALSE),"-")</f>
        <v>-</v>
      </c>
      <c r="V167" s="79" t="str">
        <f>+IFERROR(VLOOKUP(CONCATENATE(A167,$F$10,F167),'ID1&amp;5'!B:J,9,FALSE),"-")</f>
        <v>-</v>
      </c>
      <c r="W167" s="26" t="str">
        <f>+IFERROR(VLOOKUP(A167,'ID6&amp;7'!A:I,9,FALSE),"-")</f>
        <v>-</v>
      </c>
      <c r="X167" s="26" t="str">
        <f>+IFERROR(VLOOKUP(A167,'ID6&amp;7'!A:J,10,FALSE),"-")</f>
        <v>-</v>
      </c>
      <c r="Y167" s="26"/>
      <c r="Z167" s="27" t="str">
        <f t="shared" si="3"/>
        <v>Por iniciar</v>
      </c>
      <c r="AA167" s="65"/>
    </row>
    <row r="168" spans="1:27">
      <c r="A168" s="20"/>
      <c r="B168" s="60"/>
      <c r="C168" s="60"/>
      <c r="D168" s="60"/>
      <c r="E168" s="60"/>
      <c r="F168" s="60"/>
      <c r="G168" s="60"/>
      <c r="H168" s="65" t="s">
        <v>117</v>
      </c>
      <c r="I168" s="21" t="s">
        <v>1228</v>
      </c>
      <c r="J168" s="26">
        <f>+COUNTIF('ID1&amp;5'!G:G,'1. Status'!I168)</f>
        <v>0</v>
      </c>
      <c r="K168" s="79" t="str">
        <f>+IFERROR(VLOOKUP(CONCATENATE(A168,$B$10,B168),'ID1&amp;5'!B:J,8,FALSE),"-")</f>
        <v>-</v>
      </c>
      <c r="L168" s="78" t="str">
        <f>+IFERROR(VLOOKUP(B168,'ID1&amp;5'!K:L,2,FALSE),"-")</f>
        <v>-</v>
      </c>
      <c r="M168" s="79" t="str">
        <f>+IFERROR(VLOOKUP(CONCATENATE(A168,$B$10,B168),'ID1&amp;5'!B:J,9,FALSE),"-")</f>
        <v>-</v>
      </c>
      <c r="N168" s="79" t="str">
        <f>+IFERROR(VLOOKUP(CONCATENATE(A168,$C$10,C168),'ID1&amp;5'!B:J,8,FALSE),"-")</f>
        <v>-</v>
      </c>
      <c r="O168" s="78" t="str">
        <f>+IFERROR(VLOOKUP(C168,'ID1&amp;5'!K:L,2,FALSE),"-")</f>
        <v>-</v>
      </c>
      <c r="P168" s="79" t="str">
        <f>+IFERROR(VLOOKUP(CONCATENATE(A168,$C$10,C168),'ID1&amp;5'!B:J,9,FALSE),"-")</f>
        <v>-</v>
      </c>
      <c r="Q168" s="78" t="str">
        <f>+IFERROR(VLOOKUP(D168,'ID1&amp;5'!K:L,2,FALSE),"-")</f>
        <v>-</v>
      </c>
      <c r="R168" s="26" t="str">
        <f>+IFERROR(VLOOKUP(CONCATENATE(A168,$D$10,D168),'ID1&amp;5'!B:J,9,FALSE),"-")</f>
        <v>-</v>
      </c>
      <c r="S168" s="78" t="str">
        <f>+IFERROR(VLOOKUP(E168,'ID1&amp;5'!K:L,2,FALSE),"-")</f>
        <v>-</v>
      </c>
      <c r="T168" s="79" t="str">
        <f>+IFERROR(VLOOKUP(CONCATENATE(A168,$E$10,E168),'ID1&amp;5'!B:J,9,FALSE),"-")</f>
        <v>-</v>
      </c>
      <c r="U168" s="78" t="str">
        <f>+IFERROR(VLOOKUP(F168,'ID1&amp;5'!K:L,2,FALSE),"-")</f>
        <v>-</v>
      </c>
      <c r="V168" s="79" t="str">
        <f>+IFERROR(VLOOKUP(CONCATENATE(A168,$F$10,F168),'ID1&amp;5'!B:J,9,FALSE),"-")</f>
        <v>-</v>
      </c>
      <c r="W168" s="26" t="str">
        <f>+IFERROR(VLOOKUP(A168,'ID6&amp;7'!A:I,9,FALSE),"-")</f>
        <v>-</v>
      </c>
      <c r="X168" s="26" t="str">
        <f>+IFERROR(VLOOKUP(A168,'ID6&amp;7'!A:J,10,FALSE),"-")</f>
        <v>-</v>
      </c>
      <c r="Y168" s="26"/>
      <c r="Z168" s="27" t="str">
        <f t="shared" si="3"/>
        <v>Por iniciar</v>
      </c>
      <c r="AA168" s="65"/>
    </row>
    <row r="169" spans="1:27">
      <c r="A169" s="20"/>
      <c r="B169" s="60"/>
      <c r="C169" s="60"/>
      <c r="D169" s="60"/>
      <c r="E169" s="60"/>
      <c r="F169" s="60"/>
      <c r="G169" s="60"/>
      <c r="H169" s="65" t="s">
        <v>117</v>
      </c>
      <c r="I169" s="21" t="s">
        <v>1229</v>
      </c>
      <c r="J169" s="26">
        <f>+COUNTIF('ID1&amp;5'!G:G,'1. Status'!I169)</f>
        <v>0</v>
      </c>
      <c r="K169" s="79" t="str">
        <f>+IFERROR(VLOOKUP(CONCATENATE(A169,$B$10,B169),'ID1&amp;5'!B:J,8,FALSE),"-")</f>
        <v>-</v>
      </c>
      <c r="L169" s="78" t="str">
        <f>+IFERROR(VLOOKUP(B169,'ID1&amp;5'!K:L,2,FALSE),"-")</f>
        <v>-</v>
      </c>
      <c r="M169" s="79" t="str">
        <f>+IFERROR(VLOOKUP(CONCATENATE(A169,$B$10,B169),'ID1&amp;5'!B:J,9,FALSE),"-")</f>
        <v>-</v>
      </c>
      <c r="N169" s="79" t="str">
        <f>+IFERROR(VLOOKUP(CONCATENATE(A169,$C$10,C169),'ID1&amp;5'!B:J,8,FALSE),"-")</f>
        <v>-</v>
      </c>
      <c r="O169" s="78" t="str">
        <f>+IFERROR(VLOOKUP(C169,'ID1&amp;5'!K:L,2,FALSE),"-")</f>
        <v>-</v>
      </c>
      <c r="P169" s="79" t="str">
        <f>+IFERROR(VLOOKUP(CONCATENATE(A169,$C$10,C169),'ID1&amp;5'!B:J,9,FALSE),"-")</f>
        <v>-</v>
      </c>
      <c r="Q169" s="78" t="str">
        <f>+IFERROR(VLOOKUP(D169,'ID1&amp;5'!K:L,2,FALSE),"-")</f>
        <v>-</v>
      </c>
      <c r="R169" s="26" t="str">
        <f>+IFERROR(VLOOKUP(CONCATENATE(A169,$D$10,D169),'ID1&amp;5'!B:J,9,FALSE),"-")</f>
        <v>-</v>
      </c>
      <c r="S169" s="78" t="str">
        <f>+IFERROR(VLOOKUP(E169,'ID1&amp;5'!K:L,2,FALSE),"-")</f>
        <v>-</v>
      </c>
      <c r="T169" s="79" t="str">
        <f>+IFERROR(VLOOKUP(CONCATENATE(A169,$E$10,E169),'ID1&amp;5'!B:J,9,FALSE),"-")</f>
        <v>-</v>
      </c>
      <c r="U169" s="78" t="str">
        <f>+IFERROR(VLOOKUP(F169,'ID1&amp;5'!K:L,2,FALSE),"-")</f>
        <v>-</v>
      </c>
      <c r="V169" s="79" t="str">
        <f>+IFERROR(VLOOKUP(CONCATENATE(A169,$F$10,F169),'ID1&amp;5'!B:J,9,FALSE),"-")</f>
        <v>-</v>
      </c>
      <c r="W169" s="26" t="str">
        <f>+IFERROR(VLOOKUP(A169,'ID6&amp;7'!A:I,9,FALSE),"-")</f>
        <v>-</v>
      </c>
      <c r="X169" s="26" t="str">
        <f>+IFERROR(VLOOKUP(A169,'ID6&amp;7'!A:J,10,FALSE),"-")</f>
        <v>-</v>
      </c>
      <c r="Y169" s="26"/>
      <c r="Z169" s="27" t="str">
        <f t="shared" si="3"/>
        <v>Por iniciar</v>
      </c>
      <c r="AA169" s="65"/>
    </row>
    <row r="170" spans="1:27">
      <c r="A170" s="20"/>
      <c r="B170" s="60"/>
      <c r="C170" s="60"/>
      <c r="D170" s="60"/>
      <c r="E170" s="60"/>
      <c r="F170" s="60"/>
      <c r="G170" s="60"/>
      <c r="H170" s="65" t="s">
        <v>117</v>
      </c>
      <c r="I170" s="21" t="s">
        <v>1230</v>
      </c>
      <c r="J170" s="26">
        <f>+COUNTIF('ID1&amp;5'!G:G,'1. Status'!I170)</f>
        <v>0</v>
      </c>
      <c r="K170" s="79" t="str">
        <f>+IFERROR(VLOOKUP(CONCATENATE(A170,$B$10,B170),'ID1&amp;5'!B:J,8,FALSE),"-")</f>
        <v>-</v>
      </c>
      <c r="L170" s="78" t="str">
        <f>+IFERROR(VLOOKUP(B170,'ID1&amp;5'!K:L,2,FALSE),"-")</f>
        <v>-</v>
      </c>
      <c r="M170" s="79" t="str">
        <f>+IFERROR(VLOOKUP(CONCATENATE(A170,$B$10,B170),'ID1&amp;5'!B:J,9,FALSE),"-")</f>
        <v>-</v>
      </c>
      <c r="N170" s="79" t="str">
        <f>+IFERROR(VLOOKUP(CONCATENATE(A170,$C$10,C170),'ID1&amp;5'!B:J,8,FALSE),"-")</f>
        <v>-</v>
      </c>
      <c r="O170" s="78" t="str">
        <f>+IFERROR(VLOOKUP(C170,'ID1&amp;5'!K:L,2,FALSE),"-")</f>
        <v>-</v>
      </c>
      <c r="P170" s="79" t="str">
        <f>+IFERROR(VLOOKUP(CONCATENATE(A170,$C$10,C170),'ID1&amp;5'!B:J,9,FALSE),"-")</f>
        <v>-</v>
      </c>
      <c r="Q170" s="78" t="str">
        <f>+IFERROR(VLOOKUP(D170,'ID1&amp;5'!K:L,2,FALSE),"-")</f>
        <v>-</v>
      </c>
      <c r="R170" s="26" t="str">
        <f>+IFERROR(VLOOKUP(CONCATENATE(A170,$D$10,D170),'ID1&amp;5'!B:J,9,FALSE),"-")</f>
        <v>-</v>
      </c>
      <c r="S170" s="78" t="str">
        <f>+IFERROR(VLOOKUP(E170,'ID1&amp;5'!K:L,2,FALSE),"-")</f>
        <v>-</v>
      </c>
      <c r="T170" s="79" t="str">
        <f>+IFERROR(VLOOKUP(CONCATENATE(A170,$E$10,E170),'ID1&amp;5'!B:J,9,FALSE),"-")</f>
        <v>-</v>
      </c>
      <c r="U170" s="78" t="str">
        <f>+IFERROR(VLOOKUP(F170,'ID1&amp;5'!K:L,2,FALSE),"-")</f>
        <v>-</v>
      </c>
      <c r="V170" s="79" t="str">
        <f>+IFERROR(VLOOKUP(CONCATENATE(A170,$F$10,F170),'ID1&amp;5'!B:J,9,FALSE),"-")</f>
        <v>-</v>
      </c>
      <c r="W170" s="26" t="str">
        <f>+IFERROR(VLOOKUP(A170,'ID6&amp;7'!A:I,9,FALSE),"-")</f>
        <v>-</v>
      </c>
      <c r="X170" s="26" t="str">
        <f>+IFERROR(VLOOKUP(A170,'ID6&amp;7'!A:J,10,FALSE),"-")</f>
        <v>-</v>
      </c>
      <c r="Y170" s="26"/>
      <c r="Z170" s="27" t="str">
        <f t="shared" si="3"/>
        <v>Por iniciar</v>
      </c>
      <c r="AA170" s="65"/>
    </row>
    <row r="171" spans="1:27">
      <c r="A171" s="20"/>
      <c r="B171" s="60"/>
      <c r="C171" s="60"/>
      <c r="D171" s="60"/>
      <c r="E171" s="60"/>
      <c r="F171" s="60"/>
      <c r="G171" s="60"/>
      <c r="H171" s="65" t="s">
        <v>117</v>
      </c>
      <c r="I171" s="21" t="s">
        <v>1231</v>
      </c>
      <c r="J171" s="26">
        <f>+COUNTIF('ID1&amp;5'!G:G,'1. Status'!I171)</f>
        <v>0</v>
      </c>
      <c r="K171" s="79" t="str">
        <f>+IFERROR(VLOOKUP(CONCATENATE(A171,$B$10,B171),'ID1&amp;5'!B:J,8,FALSE),"-")</f>
        <v>-</v>
      </c>
      <c r="L171" s="78" t="str">
        <f>+IFERROR(VLOOKUP(B171,'ID1&amp;5'!K:L,2,FALSE),"-")</f>
        <v>-</v>
      </c>
      <c r="M171" s="79" t="str">
        <f>+IFERROR(VLOOKUP(CONCATENATE(A171,$B$10,B171),'ID1&amp;5'!B:J,9,FALSE),"-")</f>
        <v>-</v>
      </c>
      <c r="N171" s="79" t="str">
        <f>+IFERROR(VLOOKUP(CONCATENATE(A171,$C$10,C171),'ID1&amp;5'!B:J,8,FALSE),"-")</f>
        <v>-</v>
      </c>
      <c r="O171" s="78" t="str">
        <f>+IFERROR(VLOOKUP(C171,'ID1&amp;5'!K:L,2,FALSE),"-")</f>
        <v>-</v>
      </c>
      <c r="P171" s="79" t="str">
        <f>+IFERROR(VLOOKUP(CONCATENATE(A171,$C$10,C171),'ID1&amp;5'!B:J,9,FALSE),"-")</f>
        <v>-</v>
      </c>
      <c r="Q171" s="78" t="str">
        <f>+IFERROR(VLOOKUP(D171,'ID1&amp;5'!K:L,2,FALSE),"-")</f>
        <v>-</v>
      </c>
      <c r="R171" s="26" t="str">
        <f>+IFERROR(VLOOKUP(CONCATENATE(A171,$D$10,D171),'ID1&amp;5'!B:J,9,FALSE),"-")</f>
        <v>-</v>
      </c>
      <c r="S171" s="78" t="str">
        <f>+IFERROR(VLOOKUP(E171,'ID1&amp;5'!K:L,2,FALSE),"-")</f>
        <v>-</v>
      </c>
      <c r="T171" s="79" t="str">
        <f>+IFERROR(VLOOKUP(CONCATENATE(A171,$E$10,E171),'ID1&amp;5'!B:J,9,FALSE),"-")</f>
        <v>-</v>
      </c>
      <c r="U171" s="78" t="str">
        <f>+IFERROR(VLOOKUP(F171,'ID1&amp;5'!K:L,2,FALSE),"-")</f>
        <v>-</v>
      </c>
      <c r="V171" s="79" t="str">
        <f>+IFERROR(VLOOKUP(CONCATENATE(A171,$F$10,F171),'ID1&amp;5'!B:J,9,FALSE),"-")</f>
        <v>-</v>
      </c>
      <c r="W171" s="26" t="str">
        <f>+IFERROR(VLOOKUP(A171,'ID6&amp;7'!A:I,9,FALSE),"-")</f>
        <v>-</v>
      </c>
      <c r="X171" s="26" t="str">
        <f>+IFERROR(VLOOKUP(A171,'ID6&amp;7'!A:J,10,FALSE),"-")</f>
        <v>-</v>
      </c>
      <c r="Y171" s="26"/>
      <c r="Z171" s="27" t="str">
        <f t="shared" si="3"/>
        <v>Por iniciar</v>
      </c>
      <c r="AA171" s="65"/>
    </row>
    <row r="172" spans="1:27">
      <c r="A172" s="20"/>
      <c r="B172" s="60"/>
      <c r="C172" s="60"/>
      <c r="D172" s="60"/>
      <c r="E172" s="60"/>
      <c r="F172" s="60"/>
      <c r="G172" s="60"/>
      <c r="H172" s="65" t="s">
        <v>117</v>
      </c>
      <c r="I172" s="21" t="s">
        <v>1232</v>
      </c>
      <c r="J172" s="26">
        <f>+COUNTIF('ID1&amp;5'!G:G,'1. Status'!I172)</f>
        <v>0</v>
      </c>
      <c r="K172" s="79" t="str">
        <f>+IFERROR(VLOOKUP(CONCATENATE(A172,$B$10,B172),'ID1&amp;5'!B:J,8,FALSE),"-")</f>
        <v>-</v>
      </c>
      <c r="L172" s="78" t="str">
        <f>+IFERROR(VLOOKUP(B172,'ID1&amp;5'!K:L,2,FALSE),"-")</f>
        <v>-</v>
      </c>
      <c r="M172" s="79" t="str">
        <f>+IFERROR(VLOOKUP(CONCATENATE(A172,$B$10,B172),'ID1&amp;5'!B:J,9,FALSE),"-")</f>
        <v>-</v>
      </c>
      <c r="N172" s="79" t="str">
        <f>+IFERROR(VLOOKUP(CONCATENATE(A172,$C$10,C172),'ID1&amp;5'!B:J,8,FALSE),"-")</f>
        <v>-</v>
      </c>
      <c r="O172" s="78" t="str">
        <f>+IFERROR(VLOOKUP(C172,'ID1&amp;5'!K:L,2,FALSE),"-")</f>
        <v>-</v>
      </c>
      <c r="P172" s="79" t="str">
        <f>+IFERROR(VLOOKUP(CONCATENATE(A172,$C$10,C172),'ID1&amp;5'!B:J,9,FALSE),"-")</f>
        <v>-</v>
      </c>
      <c r="Q172" s="78" t="str">
        <f>+IFERROR(VLOOKUP(D172,'ID1&amp;5'!K:L,2,FALSE),"-")</f>
        <v>-</v>
      </c>
      <c r="R172" s="26" t="str">
        <f>+IFERROR(VLOOKUP(CONCATENATE(A172,$D$10,D172),'ID1&amp;5'!B:J,9,FALSE),"-")</f>
        <v>-</v>
      </c>
      <c r="S172" s="78" t="str">
        <f>+IFERROR(VLOOKUP(E172,'ID1&amp;5'!K:L,2,FALSE),"-")</f>
        <v>-</v>
      </c>
      <c r="T172" s="79" t="str">
        <f>+IFERROR(VLOOKUP(CONCATENATE(A172,$E$10,E172),'ID1&amp;5'!B:J,9,FALSE),"-")</f>
        <v>-</v>
      </c>
      <c r="U172" s="78" t="str">
        <f>+IFERROR(VLOOKUP(F172,'ID1&amp;5'!K:L,2,FALSE),"-")</f>
        <v>-</v>
      </c>
      <c r="V172" s="79" t="str">
        <f>+IFERROR(VLOOKUP(CONCATENATE(A172,$F$10,F172),'ID1&amp;5'!B:J,9,FALSE),"-")</f>
        <v>-</v>
      </c>
      <c r="W172" s="26" t="str">
        <f>+IFERROR(VLOOKUP(A172,'ID6&amp;7'!A:I,9,FALSE),"-")</f>
        <v>-</v>
      </c>
      <c r="X172" s="26" t="str">
        <f>+IFERROR(VLOOKUP(A172,'ID6&amp;7'!A:J,10,FALSE),"-")</f>
        <v>-</v>
      </c>
      <c r="Y172" s="26"/>
      <c r="Z172" s="27" t="str">
        <f t="shared" si="3"/>
        <v>Por iniciar</v>
      </c>
      <c r="AA172" s="65"/>
    </row>
    <row r="173" spans="1:27">
      <c r="A173" s="20"/>
      <c r="B173" s="60"/>
      <c r="C173" s="60"/>
      <c r="D173" s="60"/>
      <c r="E173" s="60"/>
      <c r="F173" s="60"/>
      <c r="G173" s="60"/>
      <c r="H173" s="65" t="s">
        <v>117</v>
      </c>
      <c r="I173" s="21" t="s">
        <v>1233</v>
      </c>
      <c r="J173" s="26">
        <f>+COUNTIF('ID1&amp;5'!G:G,'1. Status'!I173)</f>
        <v>0</v>
      </c>
      <c r="K173" s="79" t="str">
        <f>+IFERROR(VLOOKUP(CONCATENATE(A173,$B$10,B173),'ID1&amp;5'!B:J,8,FALSE),"-")</f>
        <v>-</v>
      </c>
      <c r="L173" s="78" t="str">
        <f>+IFERROR(VLOOKUP(B173,'ID1&amp;5'!K:L,2,FALSE),"-")</f>
        <v>-</v>
      </c>
      <c r="M173" s="79" t="str">
        <f>+IFERROR(VLOOKUP(CONCATENATE(A173,$B$10,B173),'ID1&amp;5'!B:J,9,FALSE),"-")</f>
        <v>-</v>
      </c>
      <c r="N173" s="79" t="str">
        <f>+IFERROR(VLOOKUP(CONCATENATE(A173,$C$10,C173),'ID1&amp;5'!B:J,8,FALSE),"-")</f>
        <v>-</v>
      </c>
      <c r="O173" s="78" t="str">
        <f>+IFERROR(VLOOKUP(C173,'ID1&amp;5'!K:L,2,FALSE),"-")</f>
        <v>-</v>
      </c>
      <c r="P173" s="79" t="str">
        <f>+IFERROR(VLOOKUP(CONCATENATE(A173,$C$10,C173),'ID1&amp;5'!B:J,9,FALSE),"-")</f>
        <v>-</v>
      </c>
      <c r="Q173" s="78" t="str">
        <f>+IFERROR(VLOOKUP(D173,'ID1&amp;5'!K:L,2,FALSE),"-")</f>
        <v>-</v>
      </c>
      <c r="R173" s="26" t="str">
        <f>+IFERROR(VLOOKUP(CONCATENATE(A173,$D$10,D173),'ID1&amp;5'!B:J,9,FALSE),"-")</f>
        <v>-</v>
      </c>
      <c r="S173" s="78" t="str">
        <f>+IFERROR(VLOOKUP(E173,'ID1&amp;5'!K:L,2,FALSE),"-")</f>
        <v>-</v>
      </c>
      <c r="T173" s="79" t="str">
        <f>+IFERROR(VLOOKUP(CONCATENATE(A173,$E$10,E173),'ID1&amp;5'!B:J,9,FALSE),"-")</f>
        <v>-</v>
      </c>
      <c r="U173" s="78" t="str">
        <f>+IFERROR(VLOOKUP(F173,'ID1&amp;5'!K:L,2,FALSE),"-")</f>
        <v>-</v>
      </c>
      <c r="V173" s="79" t="str">
        <f>+IFERROR(VLOOKUP(CONCATENATE(A173,$F$10,F173),'ID1&amp;5'!B:J,9,FALSE),"-")</f>
        <v>-</v>
      </c>
      <c r="W173" s="26" t="str">
        <f>+IFERROR(VLOOKUP(A173,'ID6&amp;7'!A:I,9,FALSE),"-")</f>
        <v>-</v>
      </c>
      <c r="X173" s="26" t="str">
        <f>+IFERROR(VLOOKUP(A173,'ID6&amp;7'!A:J,10,FALSE),"-")</f>
        <v>-</v>
      </c>
      <c r="Y173" s="26"/>
      <c r="Z173" s="27" t="str">
        <f t="shared" si="3"/>
        <v>Por iniciar</v>
      </c>
      <c r="AA173" s="65"/>
    </row>
    <row r="174" spans="1:27">
      <c r="A174" s="20"/>
      <c r="B174" s="60"/>
      <c r="C174" s="60"/>
      <c r="D174" s="60"/>
      <c r="E174" s="60"/>
      <c r="F174" s="60"/>
      <c r="G174" s="60"/>
      <c r="H174" s="65" t="s">
        <v>117</v>
      </c>
      <c r="I174" s="21" t="s">
        <v>1234</v>
      </c>
      <c r="J174" s="26">
        <f>+COUNTIF('ID1&amp;5'!G:G,'1. Status'!I174)</f>
        <v>0</v>
      </c>
      <c r="K174" s="79" t="str">
        <f>+IFERROR(VLOOKUP(CONCATENATE(A174,$B$10,B174),'ID1&amp;5'!B:J,8,FALSE),"-")</f>
        <v>-</v>
      </c>
      <c r="L174" s="78" t="str">
        <f>+IFERROR(VLOOKUP(B174,'ID1&amp;5'!K:L,2,FALSE),"-")</f>
        <v>-</v>
      </c>
      <c r="M174" s="79" t="str">
        <f>+IFERROR(VLOOKUP(CONCATENATE(A174,$B$10,B174),'ID1&amp;5'!B:J,9,FALSE),"-")</f>
        <v>-</v>
      </c>
      <c r="N174" s="79" t="str">
        <f>+IFERROR(VLOOKUP(CONCATENATE(A174,$C$10,C174),'ID1&amp;5'!B:J,8,FALSE),"-")</f>
        <v>-</v>
      </c>
      <c r="O174" s="78" t="str">
        <f>+IFERROR(VLOOKUP(C174,'ID1&amp;5'!K:L,2,FALSE),"-")</f>
        <v>-</v>
      </c>
      <c r="P174" s="79" t="str">
        <f>+IFERROR(VLOOKUP(CONCATENATE(A174,$C$10,C174),'ID1&amp;5'!B:J,9,FALSE),"-")</f>
        <v>-</v>
      </c>
      <c r="Q174" s="78" t="str">
        <f>+IFERROR(VLOOKUP(D174,'ID1&amp;5'!K:L,2,FALSE),"-")</f>
        <v>-</v>
      </c>
      <c r="R174" s="26" t="str">
        <f>+IFERROR(VLOOKUP(CONCATENATE(A174,$D$10,D174),'ID1&amp;5'!B:J,9,FALSE),"-")</f>
        <v>-</v>
      </c>
      <c r="S174" s="78" t="str">
        <f>+IFERROR(VLOOKUP(E174,'ID1&amp;5'!K:L,2,FALSE),"-")</f>
        <v>-</v>
      </c>
      <c r="T174" s="79" t="str">
        <f>+IFERROR(VLOOKUP(CONCATENATE(A174,$E$10,E174),'ID1&amp;5'!B:J,9,FALSE),"-")</f>
        <v>-</v>
      </c>
      <c r="U174" s="78" t="str">
        <f>+IFERROR(VLOOKUP(F174,'ID1&amp;5'!K:L,2,FALSE),"-")</f>
        <v>-</v>
      </c>
      <c r="V174" s="79" t="str">
        <f>+IFERROR(VLOOKUP(CONCATENATE(A174,$F$10,F174),'ID1&amp;5'!B:J,9,FALSE),"-")</f>
        <v>-</v>
      </c>
      <c r="W174" s="26" t="str">
        <f>+IFERROR(VLOOKUP(A174,'ID6&amp;7'!A:I,9,FALSE),"-")</f>
        <v>-</v>
      </c>
      <c r="X174" s="26" t="str">
        <f>+IFERROR(VLOOKUP(A174,'ID6&amp;7'!A:J,10,FALSE),"-")</f>
        <v>-</v>
      </c>
      <c r="Y174" s="26"/>
      <c r="Z174" s="27" t="str">
        <f t="shared" si="3"/>
        <v>Por iniciar</v>
      </c>
      <c r="AA174" s="65"/>
    </row>
    <row r="175" spans="1:27">
      <c r="A175" s="20"/>
      <c r="B175" s="60"/>
      <c r="C175" s="60"/>
      <c r="D175" s="60"/>
      <c r="E175" s="60"/>
      <c r="F175" s="60"/>
      <c r="G175" s="60"/>
      <c r="H175" s="65" t="s">
        <v>117</v>
      </c>
      <c r="I175" s="21" t="s">
        <v>1235</v>
      </c>
      <c r="J175" s="26">
        <f>+COUNTIF('ID1&amp;5'!G:G,'1. Status'!I175)</f>
        <v>0</v>
      </c>
      <c r="K175" s="79" t="str">
        <f>+IFERROR(VLOOKUP(CONCATENATE(A175,$B$10,B175),'ID1&amp;5'!B:J,8,FALSE),"-")</f>
        <v>-</v>
      </c>
      <c r="L175" s="78" t="str">
        <f>+IFERROR(VLOOKUP(B175,'ID1&amp;5'!K:L,2,FALSE),"-")</f>
        <v>-</v>
      </c>
      <c r="M175" s="79" t="str">
        <f>+IFERROR(VLOOKUP(CONCATENATE(A175,$B$10,B175),'ID1&amp;5'!B:J,9,FALSE),"-")</f>
        <v>-</v>
      </c>
      <c r="N175" s="79" t="str">
        <f>+IFERROR(VLOOKUP(CONCATENATE(A175,$C$10,C175),'ID1&amp;5'!B:J,8,FALSE),"-")</f>
        <v>-</v>
      </c>
      <c r="O175" s="78" t="str">
        <f>+IFERROR(VLOOKUP(C175,'ID1&amp;5'!K:L,2,FALSE),"-")</f>
        <v>-</v>
      </c>
      <c r="P175" s="79" t="str">
        <f>+IFERROR(VLOOKUP(CONCATENATE(A175,$C$10,C175),'ID1&amp;5'!B:J,9,FALSE),"-")</f>
        <v>-</v>
      </c>
      <c r="Q175" s="78" t="str">
        <f>+IFERROR(VLOOKUP(D175,'ID1&amp;5'!K:L,2,FALSE),"-")</f>
        <v>-</v>
      </c>
      <c r="R175" s="26" t="str">
        <f>+IFERROR(VLOOKUP(CONCATENATE(A175,$D$10,D175),'ID1&amp;5'!B:J,9,FALSE),"-")</f>
        <v>-</v>
      </c>
      <c r="S175" s="78" t="str">
        <f>+IFERROR(VLOOKUP(E175,'ID1&amp;5'!K:L,2,FALSE),"-")</f>
        <v>-</v>
      </c>
      <c r="T175" s="79" t="str">
        <f>+IFERROR(VLOOKUP(CONCATENATE(A175,$E$10,E175),'ID1&amp;5'!B:J,9,FALSE),"-")</f>
        <v>-</v>
      </c>
      <c r="U175" s="78" t="str">
        <f>+IFERROR(VLOOKUP(F175,'ID1&amp;5'!K:L,2,FALSE),"-")</f>
        <v>-</v>
      </c>
      <c r="V175" s="79" t="str">
        <f>+IFERROR(VLOOKUP(CONCATENATE(A175,$F$10,F175),'ID1&amp;5'!B:J,9,FALSE),"-")</f>
        <v>-</v>
      </c>
      <c r="W175" s="26" t="str">
        <f>+IFERROR(VLOOKUP(A175,'ID6&amp;7'!A:I,9,FALSE),"-")</f>
        <v>-</v>
      </c>
      <c r="X175" s="26" t="str">
        <f>+IFERROR(VLOOKUP(A175,'ID6&amp;7'!A:J,10,FALSE),"-")</f>
        <v>-</v>
      </c>
      <c r="Y175" s="26"/>
      <c r="Z175" s="27" t="str">
        <f t="shared" si="3"/>
        <v>Por iniciar</v>
      </c>
      <c r="AA175" s="65"/>
    </row>
    <row r="176" spans="1:27">
      <c r="A176" s="20"/>
      <c r="B176" s="60"/>
      <c r="C176" s="60"/>
      <c r="D176" s="60"/>
      <c r="E176" s="60"/>
      <c r="F176" s="60"/>
      <c r="G176" s="60"/>
      <c r="H176" s="65" t="s">
        <v>117</v>
      </c>
      <c r="I176" s="21" t="s">
        <v>1236</v>
      </c>
      <c r="J176" s="26">
        <f>+COUNTIF('ID1&amp;5'!G:G,'1. Status'!I176)</f>
        <v>0</v>
      </c>
      <c r="K176" s="79" t="str">
        <f>+IFERROR(VLOOKUP(CONCATENATE(A176,$B$10,B176),'ID1&amp;5'!B:J,8,FALSE),"-")</f>
        <v>-</v>
      </c>
      <c r="L176" s="78" t="str">
        <f>+IFERROR(VLOOKUP(B176,'ID1&amp;5'!K:L,2,FALSE),"-")</f>
        <v>-</v>
      </c>
      <c r="M176" s="79" t="str">
        <f>+IFERROR(VLOOKUP(CONCATENATE(A176,$B$10,B176),'ID1&amp;5'!B:J,9,FALSE),"-")</f>
        <v>-</v>
      </c>
      <c r="N176" s="79" t="str">
        <f>+IFERROR(VLOOKUP(CONCATENATE(A176,$C$10,C176),'ID1&amp;5'!B:J,8,FALSE),"-")</f>
        <v>-</v>
      </c>
      <c r="O176" s="78" t="str">
        <f>+IFERROR(VLOOKUP(C176,'ID1&amp;5'!K:L,2,FALSE),"-")</f>
        <v>-</v>
      </c>
      <c r="P176" s="79" t="str">
        <f>+IFERROR(VLOOKUP(CONCATENATE(A176,$C$10,C176),'ID1&amp;5'!B:J,9,FALSE),"-")</f>
        <v>-</v>
      </c>
      <c r="Q176" s="78" t="str">
        <f>+IFERROR(VLOOKUP(D176,'ID1&amp;5'!K:L,2,FALSE),"-")</f>
        <v>-</v>
      </c>
      <c r="R176" s="26" t="str">
        <f>+IFERROR(VLOOKUP(CONCATENATE(A176,$D$10,D176),'ID1&amp;5'!B:J,9,FALSE),"-")</f>
        <v>-</v>
      </c>
      <c r="S176" s="78" t="str">
        <f>+IFERROR(VLOOKUP(E176,'ID1&amp;5'!K:L,2,FALSE),"-")</f>
        <v>-</v>
      </c>
      <c r="T176" s="79" t="str">
        <f>+IFERROR(VLOOKUP(CONCATENATE(A176,$E$10,E176),'ID1&amp;5'!B:J,9,FALSE),"-")</f>
        <v>-</v>
      </c>
      <c r="U176" s="78" t="str">
        <f>+IFERROR(VLOOKUP(F176,'ID1&amp;5'!K:L,2,FALSE),"-")</f>
        <v>-</v>
      </c>
      <c r="V176" s="79" t="str">
        <f>+IFERROR(VLOOKUP(CONCATENATE(A176,$F$10,F176),'ID1&amp;5'!B:J,9,FALSE),"-")</f>
        <v>-</v>
      </c>
      <c r="W176" s="26" t="str">
        <f>+IFERROR(VLOOKUP(A176,'ID6&amp;7'!A:I,9,FALSE),"-")</f>
        <v>-</v>
      </c>
      <c r="X176" s="26" t="str">
        <f>+IFERROR(VLOOKUP(A176,'ID6&amp;7'!A:J,10,FALSE),"-")</f>
        <v>-</v>
      </c>
      <c r="Y176" s="26"/>
      <c r="Z176" s="27" t="str">
        <f t="shared" si="3"/>
        <v>Por iniciar</v>
      </c>
      <c r="AA176" s="65"/>
    </row>
    <row r="177" spans="1:27">
      <c r="A177" s="20"/>
      <c r="B177" s="60"/>
      <c r="C177" s="60"/>
      <c r="D177" s="60"/>
      <c r="E177" s="60"/>
      <c r="F177" s="60"/>
      <c r="G177" s="60"/>
      <c r="H177" s="65" t="s">
        <v>117</v>
      </c>
      <c r="I177" s="21" t="s">
        <v>1237</v>
      </c>
      <c r="J177" s="26">
        <f>+COUNTIF('ID1&amp;5'!G:G,'1. Status'!I177)</f>
        <v>0</v>
      </c>
      <c r="K177" s="79" t="str">
        <f>+IFERROR(VLOOKUP(CONCATENATE(A177,$B$10,B177),'ID1&amp;5'!B:J,8,FALSE),"-")</f>
        <v>-</v>
      </c>
      <c r="L177" s="78" t="str">
        <f>+IFERROR(VLOOKUP(B177,'ID1&amp;5'!K:L,2,FALSE),"-")</f>
        <v>-</v>
      </c>
      <c r="M177" s="79" t="str">
        <f>+IFERROR(VLOOKUP(CONCATENATE(A177,$B$10,B177),'ID1&amp;5'!B:J,9,FALSE),"-")</f>
        <v>-</v>
      </c>
      <c r="N177" s="79" t="str">
        <f>+IFERROR(VLOOKUP(CONCATENATE(A177,$C$10,C177),'ID1&amp;5'!B:J,8,FALSE),"-")</f>
        <v>-</v>
      </c>
      <c r="O177" s="78" t="str">
        <f>+IFERROR(VLOOKUP(C177,'ID1&amp;5'!K:L,2,FALSE),"-")</f>
        <v>-</v>
      </c>
      <c r="P177" s="79" t="str">
        <f>+IFERROR(VLOOKUP(CONCATENATE(A177,$C$10,C177),'ID1&amp;5'!B:J,9,FALSE),"-")</f>
        <v>-</v>
      </c>
      <c r="Q177" s="78" t="str">
        <f>+IFERROR(VLOOKUP(D177,'ID1&amp;5'!K:L,2,FALSE),"-")</f>
        <v>-</v>
      </c>
      <c r="R177" s="26" t="str">
        <f>+IFERROR(VLOOKUP(CONCATENATE(A177,$D$10,D177),'ID1&amp;5'!B:J,9,FALSE),"-")</f>
        <v>-</v>
      </c>
      <c r="S177" s="78" t="str">
        <f>+IFERROR(VLOOKUP(E177,'ID1&amp;5'!K:L,2,FALSE),"-")</f>
        <v>-</v>
      </c>
      <c r="T177" s="79" t="str">
        <f>+IFERROR(VLOOKUP(CONCATENATE(A177,$E$10,E177),'ID1&amp;5'!B:J,9,FALSE),"-")</f>
        <v>-</v>
      </c>
      <c r="U177" s="78" t="str">
        <f>+IFERROR(VLOOKUP(F177,'ID1&amp;5'!K:L,2,FALSE),"-")</f>
        <v>-</v>
      </c>
      <c r="V177" s="79" t="str">
        <f>+IFERROR(VLOOKUP(CONCATENATE(A177,$F$10,F177),'ID1&amp;5'!B:J,9,FALSE),"-")</f>
        <v>-</v>
      </c>
      <c r="W177" s="26" t="str">
        <f>+IFERROR(VLOOKUP(A177,'ID6&amp;7'!A:I,9,FALSE),"-")</f>
        <v>-</v>
      </c>
      <c r="X177" s="26" t="str">
        <f>+IFERROR(VLOOKUP(A177,'ID6&amp;7'!A:J,10,FALSE),"-")</f>
        <v>-</v>
      </c>
      <c r="Y177" s="26"/>
      <c r="Z177" s="27" t="str">
        <f t="shared" si="3"/>
        <v>Por iniciar</v>
      </c>
      <c r="AA177" s="65"/>
    </row>
    <row r="178" spans="1:27">
      <c r="A178" s="20"/>
      <c r="B178" s="60"/>
      <c r="C178" s="60"/>
      <c r="D178" s="60"/>
      <c r="E178" s="60"/>
      <c r="F178" s="60"/>
      <c r="G178" s="60"/>
      <c r="H178" s="65" t="s">
        <v>117</v>
      </c>
      <c r="I178" s="21" t="s">
        <v>1238</v>
      </c>
      <c r="J178" s="26">
        <f>+COUNTIF('ID1&amp;5'!G:G,'1. Status'!I178)</f>
        <v>0</v>
      </c>
      <c r="K178" s="79" t="str">
        <f>+IFERROR(VLOOKUP(CONCATENATE(A178,$B$10,B178),'ID1&amp;5'!B:J,8,FALSE),"-")</f>
        <v>-</v>
      </c>
      <c r="L178" s="78" t="str">
        <f>+IFERROR(VLOOKUP(B178,'ID1&amp;5'!K:L,2,FALSE),"-")</f>
        <v>-</v>
      </c>
      <c r="M178" s="79" t="str">
        <f>+IFERROR(VLOOKUP(CONCATENATE(A178,$B$10,B178),'ID1&amp;5'!B:J,9,FALSE),"-")</f>
        <v>-</v>
      </c>
      <c r="N178" s="79" t="str">
        <f>+IFERROR(VLOOKUP(CONCATENATE(A178,$C$10,C178),'ID1&amp;5'!B:J,8,FALSE),"-")</f>
        <v>-</v>
      </c>
      <c r="O178" s="78" t="str">
        <f>+IFERROR(VLOOKUP(C178,'ID1&amp;5'!K:L,2,FALSE),"-")</f>
        <v>-</v>
      </c>
      <c r="P178" s="79" t="str">
        <f>+IFERROR(VLOOKUP(CONCATENATE(A178,$C$10,C178),'ID1&amp;5'!B:J,9,FALSE),"-")</f>
        <v>-</v>
      </c>
      <c r="Q178" s="78" t="str">
        <f>+IFERROR(VLOOKUP(D178,'ID1&amp;5'!K:L,2,FALSE),"-")</f>
        <v>-</v>
      </c>
      <c r="R178" s="26" t="str">
        <f>+IFERROR(VLOOKUP(CONCATENATE(A178,$D$10,D178),'ID1&amp;5'!B:J,9,FALSE),"-")</f>
        <v>-</v>
      </c>
      <c r="S178" s="78" t="str">
        <f>+IFERROR(VLOOKUP(E178,'ID1&amp;5'!K:L,2,FALSE),"-")</f>
        <v>-</v>
      </c>
      <c r="T178" s="79" t="str">
        <f>+IFERROR(VLOOKUP(CONCATENATE(A178,$E$10,E178),'ID1&amp;5'!B:J,9,FALSE),"-")</f>
        <v>-</v>
      </c>
      <c r="U178" s="78" t="str">
        <f>+IFERROR(VLOOKUP(F178,'ID1&amp;5'!K:L,2,FALSE),"-")</f>
        <v>-</v>
      </c>
      <c r="V178" s="79" t="str">
        <f>+IFERROR(VLOOKUP(CONCATENATE(A178,$F$10,F178),'ID1&amp;5'!B:J,9,FALSE),"-")</f>
        <v>-</v>
      </c>
      <c r="W178" s="26" t="str">
        <f>+IFERROR(VLOOKUP(A178,'ID6&amp;7'!A:I,9,FALSE),"-")</f>
        <v>-</v>
      </c>
      <c r="X178" s="26" t="str">
        <f>+IFERROR(VLOOKUP(A178,'ID6&amp;7'!A:J,10,FALSE),"-")</f>
        <v>-</v>
      </c>
      <c r="Y178" s="26"/>
      <c r="Z178" s="27" t="str">
        <f t="shared" si="3"/>
        <v>Por iniciar</v>
      </c>
      <c r="AA178" s="65"/>
    </row>
    <row r="179" spans="1:27">
      <c r="A179" s="20"/>
      <c r="B179" s="60"/>
      <c r="C179" s="60"/>
      <c r="D179" s="60"/>
      <c r="E179" s="60"/>
      <c r="F179" s="60"/>
      <c r="G179" s="60"/>
      <c r="H179" s="65" t="s">
        <v>117</v>
      </c>
      <c r="I179" s="21" t="s">
        <v>1239</v>
      </c>
      <c r="J179" s="26">
        <f>+COUNTIF('ID1&amp;5'!G:G,'1. Status'!I179)</f>
        <v>0</v>
      </c>
      <c r="K179" s="79" t="str">
        <f>+IFERROR(VLOOKUP(CONCATENATE(A179,$B$10,B179),'ID1&amp;5'!B:J,8,FALSE),"-")</f>
        <v>-</v>
      </c>
      <c r="L179" s="78" t="str">
        <f>+IFERROR(VLOOKUP(B179,'ID1&amp;5'!K:L,2,FALSE),"-")</f>
        <v>-</v>
      </c>
      <c r="M179" s="79" t="str">
        <f>+IFERROR(VLOOKUP(CONCATENATE(A179,$B$10,B179),'ID1&amp;5'!B:J,9,FALSE),"-")</f>
        <v>-</v>
      </c>
      <c r="N179" s="79" t="str">
        <f>+IFERROR(VLOOKUP(CONCATENATE(A179,$C$10,C179),'ID1&amp;5'!B:J,8,FALSE),"-")</f>
        <v>-</v>
      </c>
      <c r="O179" s="78" t="str">
        <f>+IFERROR(VLOOKUP(C179,'ID1&amp;5'!K:L,2,FALSE),"-")</f>
        <v>-</v>
      </c>
      <c r="P179" s="79" t="str">
        <f>+IFERROR(VLOOKUP(CONCATENATE(A179,$C$10,C179),'ID1&amp;5'!B:J,9,FALSE),"-")</f>
        <v>-</v>
      </c>
      <c r="Q179" s="78" t="str">
        <f>+IFERROR(VLOOKUP(D179,'ID1&amp;5'!K:L,2,FALSE),"-")</f>
        <v>-</v>
      </c>
      <c r="R179" s="26" t="str">
        <f>+IFERROR(VLOOKUP(CONCATENATE(A179,$D$10,D179),'ID1&amp;5'!B:J,9,FALSE),"-")</f>
        <v>-</v>
      </c>
      <c r="S179" s="78" t="str">
        <f>+IFERROR(VLOOKUP(E179,'ID1&amp;5'!K:L,2,FALSE),"-")</f>
        <v>-</v>
      </c>
      <c r="T179" s="79" t="str">
        <f>+IFERROR(VLOOKUP(CONCATENATE(A179,$E$10,E179),'ID1&amp;5'!B:J,9,FALSE),"-")</f>
        <v>-</v>
      </c>
      <c r="U179" s="78" t="str">
        <f>+IFERROR(VLOOKUP(F179,'ID1&amp;5'!K:L,2,FALSE),"-")</f>
        <v>-</v>
      </c>
      <c r="V179" s="79" t="str">
        <f>+IFERROR(VLOOKUP(CONCATENATE(A179,$F$10,F179),'ID1&amp;5'!B:J,9,FALSE),"-")</f>
        <v>-</v>
      </c>
      <c r="W179" s="26" t="str">
        <f>+IFERROR(VLOOKUP(A179,'ID6&amp;7'!A:I,9,FALSE),"-")</f>
        <v>-</v>
      </c>
      <c r="X179" s="26" t="str">
        <f>+IFERROR(VLOOKUP(A179,'ID6&amp;7'!A:J,10,FALSE),"-")</f>
        <v>-</v>
      </c>
      <c r="Y179" s="26"/>
      <c r="Z179" s="27" t="str">
        <f t="shared" si="3"/>
        <v>Por iniciar</v>
      </c>
      <c r="AA179" s="65"/>
    </row>
    <row r="180" spans="1:27">
      <c r="A180" s="20"/>
      <c r="B180" s="60"/>
      <c r="C180" s="60"/>
      <c r="D180" s="60"/>
      <c r="E180" s="60"/>
      <c r="F180" s="60"/>
      <c r="G180" s="60"/>
      <c r="H180" s="65" t="s">
        <v>117</v>
      </c>
      <c r="I180" s="21" t="s">
        <v>1240</v>
      </c>
      <c r="J180" s="26">
        <f>+COUNTIF('ID1&amp;5'!G:G,'1. Status'!I180)</f>
        <v>0</v>
      </c>
      <c r="K180" s="79" t="str">
        <f>+IFERROR(VLOOKUP(CONCATENATE(A180,$B$10,B180),'ID1&amp;5'!B:J,8,FALSE),"-")</f>
        <v>-</v>
      </c>
      <c r="L180" s="78" t="str">
        <f>+IFERROR(VLOOKUP(B180,'ID1&amp;5'!K:L,2,FALSE),"-")</f>
        <v>-</v>
      </c>
      <c r="M180" s="79" t="str">
        <f>+IFERROR(VLOOKUP(CONCATENATE(A180,$B$10,B180),'ID1&amp;5'!B:J,9,FALSE),"-")</f>
        <v>-</v>
      </c>
      <c r="N180" s="79" t="str">
        <f>+IFERROR(VLOOKUP(CONCATENATE(A180,$C$10,C180),'ID1&amp;5'!B:J,8,FALSE),"-")</f>
        <v>-</v>
      </c>
      <c r="O180" s="78" t="str">
        <f>+IFERROR(VLOOKUP(C180,'ID1&amp;5'!K:L,2,FALSE),"-")</f>
        <v>-</v>
      </c>
      <c r="P180" s="79" t="str">
        <f>+IFERROR(VLOOKUP(CONCATENATE(A180,$C$10,C180),'ID1&amp;5'!B:J,9,FALSE),"-")</f>
        <v>-</v>
      </c>
      <c r="Q180" s="78" t="str">
        <f>+IFERROR(VLOOKUP(D180,'ID1&amp;5'!K:L,2,FALSE),"-")</f>
        <v>-</v>
      </c>
      <c r="R180" s="26" t="str">
        <f>+IFERROR(VLOOKUP(CONCATENATE(A180,$D$10,D180),'ID1&amp;5'!B:J,9,FALSE),"-")</f>
        <v>-</v>
      </c>
      <c r="S180" s="78" t="str">
        <f>+IFERROR(VLOOKUP(E180,'ID1&amp;5'!K:L,2,FALSE),"-")</f>
        <v>-</v>
      </c>
      <c r="T180" s="79" t="str">
        <f>+IFERROR(VLOOKUP(CONCATENATE(A180,$E$10,E180),'ID1&amp;5'!B:J,9,FALSE),"-")</f>
        <v>-</v>
      </c>
      <c r="U180" s="78" t="str">
        <f>+IFERROR(VLOOKUP(F180,'ID1&amp;5'!K:L,2,FALSE),"-")</f>
        <v>-</v>
      </c>
      <c r="V180" s="79" t="str">
        <f>+IFERROR(VLOOKUP(CONCATENATE(A180,$F$10,F180),'ID1&amp;5'!B:J,9,FALSE),"-")</f>
        <v>-</v>
      </c>
      <c r="W180" s="26" t="str">
        <f>+IFERROR(VLOOKUP(A180,'ID6&amp;7'!A:I,9,FALSE),"-")</f>
        <v>-</v>
      </c>
      <c r="X180" s="26" t="str">
        <f>+IFERROR(VLOOKUP(A180,'ID6&amp;7'!A:J,10,FALSE),"-")</f>
        <v>-</v>
      </c>
      <c r="Y180" s="26"/>
      <c r="Z180" s="27" t="str">
        <f t="shared" si="3"/>
        <v>Por iniciar</v>
      </c>
      <c r="AA180" s="65"/>
    </row>
    <row r="181" spans="1:27">
      <c r="A181" s="20"/>
      <c r="B181" s="60"/>
      <c r="C181" s="60"/>
      <c r="D181" s="60"/>
      <c r="E181" s="60"/>
      <c r="F181" s="60"/>
      <c r="G181" s="60"/>
      <c r="H181" s="65" t="s">
        <v>117</v>
      </c>
      <c r="I181" s="21" t="s">
        <v>1241</v>
      </c>
      <c r="J181" s="26">
        <f>+COUNTIF('ID1&amp;5'!G:G,'1. Status'!I181)</f>
        <v>0</v>
      </c>
      <c r="K181" s="79" t="str">
        <f>+IFERROR(VLOOKUP(CONCATENATE(A181,$B$10,B181),'ID1&amp;5'!B:J,8,FALSE),"-")</f>
        <v>-</v>
      </c>
      <c r="L181" s="78" t="str">
        <f>+IFERROR(VLOOKUP(B181,'ID1&amp;5'!K:L,2,FALSE),"-")</f>
        <v>-</v>
      </c>
      <c r="M181" s="79" t="str">
        <f>+IFERROR(VLOOKUP(CONCATENATE(A181,$B$10,B181),'ID1&amp;5'!B:J,9,FALSE),"-")</f>
        <v>-</v>
      </c>
      <c r="N181" s="79" t="str">
        <f>+IFERROR(VLOOKUP(CONCATENATE(A181,$C$10,C181),'ID1&amp;5'!B:J,8,FALSE),"-")</f>
        <v>-</v>
      </c>
      <c r="O181" s="78" t="str">
        <f>+IFERROR(VLOOKUP(C181,'ID1&amp;5'!K:L,2,FALSE),"-")</f>
        <v>-</v>
      </c>
      <c r="P181" s="79" t="str">
        <f>+IFERROR(VLOOKUP(CONCATENATE(A181,$C$10,C181),'ID1&amp;5'!B:J,9,FALSE),"-")</f>
        <v>-</v>
      </c>
      <c r="Q181" s="78" t="str">
        <f>+IFERROR(VLOOKUP(D181,'ID1&amp;5'!K:L,2,FALSE),"-")</f>
        <v>-</v>
      </c>
      <c r="R181" s="26" t="str">
        <f>+IFERROR(VLOOKUP(CONCATENATE(A181,$D$10,D181),'ID1&amp;5'!B:J,9,FALSE),"-")</f>
        <v>-</v>
      </c>
      <c r="S181" s="78" t="str">
        <f>+IFERROR(VLOOKUP(E181,'ID1&amp;5'!K:L,2,FALSE),"-")</f>
        <v>-</v>
      </c>
      <c r="T181" s="79" t="str">
        <f>+IFERROR(VLOOKUP(CONCATENATE(A181,$E$10,E181),'ID1&amp;5'!B:J,9,FALSE),"-")</f>
        <v>-</v>
      </c>
      <c r="U181" s="78" t="str">
        <f>+IFERROR(VLOOKUP(F181,'ID1&amp;5'!K:L,2,FALSE),"-")</f>
        <v>-</v>
      </c>
      <c r="V181" s="79" t="str">
        <f>+IFERROR(VLOOKUP(CONCATENATE(A181,$F$10,F181),'ID1&amp;5'!B:J,9,FALSE),"-")</f>
        <v>-</v>
      </c>
      <c r="W181" s="26" t="str">
        <f>+IFERROR(VLOOKUP(A181,'ID6&amp;7'!A:I,9,FALSE),"-")</f>
        <v>-</v>
      </c>
      <c r="X181" s="26" t="str">
        <f>+IFERROR(VLOOKUP(A181,'ID6&amp;7'!A:J,10,FALSE),"-")</f>
        <v>-</v>
      </c>
      <c r="Y181" s="26"/>
      <c r="Z181" s="27" t="str">
        <f t="shared" si="3"/>
        <v>Por iniciar</v>
      </c>
      <c r="AA181" s="65"/>
    </row>
    <row r="182" spans="1:27">
      <c r="A182" s="20"/>
      <c r="B182" s="60"/>
      <c r="C182" s="60"/>
      <c r="D182" s="60"/>
      <c r="E182" s="60"/>
      <c r="F182" s="60"/>
      <c r="G182" s="60"/>
      <c r="H182" s="65" t="s">
        <v>117</v>
      </c>
      <c r="I182" s="21" t="s">
        <v>1242</v>
      </c>
      <c r="J182" s="26">
        <f>+COUNTIF('ID1&amp;5'!G:G,'1. Status'!I182)</f>
        <v>0</v>
      </c>
      <c r="K182" s="79" t="str">
        <f>+IFERROR(VLOOKUP(CONCATENATE(A182,$B$10,B182),'ID1&amp;5'!B:J,8,FALSE),"-")</f>
        <v>-</v>
      </c>
      <c r="L182" s="78" t="str">
        <f>+IFERROR(VLOOKUP(B182,'ID1&amp;5'!K:L,2,FALSE),"-")</f>
        <v>-</v>
      </c>
      <c r="M182" s="79" t="str">
        <f>+IFERROR(VLOOKUP(CONCATENATE(A182,$B$10,B182),'ID1&amp;5'!B:J,9,FALSE),"-")</f>
        <v>-</v>
      </c>
      <c r="N182" s="79" t="str">
        <f>+IFERROR(VLOOKUP(CONCATENATE(A182,$C$10,C182),'ID1&amp;5'!B:J,8,FALSE),"-")</f>
        <v>-</v>
      </c>
      <c r="O182" s="78" t="str">
        <f>+IFERROR(VLOOKUP(C182,'ID1&amp;5'!K:L,2,FALSE),"-")</f>
        <v>-</v>
      </c>
      <c r="P182" s="79" t="str">
        <f>+IFERROR(VLOOKUP(CONCATENATE(A182,$C$10,C182),'ID1&amp;5'!B:J,9,FALSE),"-")</f>
        <v>-</v>
      </c>
      <c r="Q182" s="78" t="str">
        <f>+IFERROR(VLOOKUP(D182,'ID1&amp;5'!K:L,2,FALSE),"-")</f>
        <v>-</v>
      </c>
      <c r="R182" s="26" t="str">
        <f>+IFERROR(VLOOKUP(CONCATENATE(A182,$D$10,D182),'ID1&amp;5'!B:J,9,FALSE),"-")</f>
        <v>-</v>
      </c>
      <c r="S182" s="78" t="str">
        <f>+IFERROR(VLOOKUP(E182,'ID1&amp;5'!K:L,2,FALSE),"-")</f>
        <v>-</v>
      </c>
      <c r="T182" s="79" t="str">
        <f>+IFERROR(VLOOKUP(CONCATENATE(A182,$E$10,E182),'ID1&amp;5'!B:J,9,FALSE),"-")</f>
        <v>-</v>
      </c>
      <c r="U182" s="78" t="str">
        <f>+IFERROR(VLOOKUP(F182,'ID1&amp;5'!K:L,2,FALSE),"-")</f>
        <v>-</v>
      </c>
      <c r="V182" s="79" t="str">
        <f>+IFERROR(VLOOKUP(CONCATENATE(A182,$F$10,F182),'ID1&amp;5'!B:J,9,FALSE),"-")</f>
        <v>-</v>
      </c>
      <c r="W182" s="26" t="str">
        <f>+IFERROR(VLOOKUP(A182,'ID6&amp;7'!A:I,9,FALSE),"-")</f>
        <v>-</v>
      </c>
      <c r="X182" s="26" t="str">
        <f>+IFERROR(VLOOKUP(A182,'ID6&amp;7'!A:J,10,FALSE),"-")</f>
        <v>-</v>
      </c>
      <c r="Y182" s="26"/>
      <c r="Z182" s="27" t="str">
        <f t="shared" si="3"/>
        <v>Por iniciar</v>
      </c>
      <c r="AA182" s="65"/>
    </row>
    <row r="183" spans="1:27">
      <c r="A183" s="20"/>
      <c r="B183" s="60"/>
      <c r="C183" s="60"/>
      <c r="D183" s="60"/>
      <c r="E183" s="60"/>
      <c r="F183" s="60"/>
      <c r="G183" s="60"/>
      <c r="H183" s="65" t="s">
        <v>117</v>
      </c>
      <c r="I183" s="21" t="s">
        <v>1243</v>
      </c>
      <c r="J183" s="26">
        <f>+COUNTIF('ID1&amp;5'!G:G,'1. Status'!I183)</f>
        <v>0</v>
      </c>
      <c r="K183" s="79" t="str">
        <f>+IFERROR(VLOOKUP(CONCATENATE(A183,$B$10,B183),'ID1&amp;5'!B:J,8,FALSE),"-")</f>
        <v>-</v>
      </c>
      <c r="L183" s="78" t="str">
        <f>+IFERROR(VLOOKUP(B183,'ID1&amp;5'!K:L,2,FALSE),"-")</f>
        <v>-</v>
      </c>
      <c r="M183" s="79" t="str">
        <f>+IFERROR(VLOOKUP(CONCATENATE(A183,$B$10,B183),'ID1&amp;5'!B:J,9,FALSE),"-")</f>
        <v>-</v>
      </c>
      <c r="N183" s="79" t="str">
        <f>+IFERROR(VLOOKUP(CONCATENATE(A183,$C$10,C183),'ID1&amp;5'!B:J,8,FALSE),"-")</f>
        <v>-</v>
      </c>
      <c r="O183" s="78" t="str">
        <f>+IFERROR(VLOOKUP(C183,'ID1&amp;5'!K:L,2,FALSE),"-")</f>
        <v>-</v>
      </c>
      <c r="P183" s="79" t="str">
        <f>+IFERROR(VLOOKUP(CONCATENATE(A183,$C$10,C183),'ID1&amp;5'!B:J,9,FALSE),"-")</f>
        <v>-</v>
      </c>
      <c r="Q183" s="78" t="str">
        <f>+IFERROR(VLOOKUP(D183,'ID1&amp;5'!K:L,2,FALSE),"-")</f>
        <v>-</v>
      </c>
      <c r="R183" s="26" t="str">
        <f>+IFERROR(VLOOKUP(CONCATENATE(A183,$D$10,D183),'ID1&amp;5'!B:J,9,FALSE),"-")</f>
        <v>-</v>
      </c>
      <c r="S183" s="78" t="str">
        <f>+IFERROR(VLOOKUP(E183,'ID1&amp;5'!K:L,2,FALSE),"-")</f>
        <v>-</v>
      </c>
      <c r="T183" s="79" t="str">
        <f>+IFERROR(VLOOKUP(CONCATENATE(A183,$E$10,E183),'ID1&amp;5'!B:J,9,FALSE),"-")</f>
        <v>-</v>
      </c>
      <c r="U183" s="78" t="str">
        <f>+IFERROR(VLOOKUP(F183,'ID1&amp;5'!K:L,2,FALSE),"-")</f>
        <v>-</v>
      </c>
      <c r="V183" s="79" t="str">
        <f>+IFERROR(VLOOKUP(CONCATENATE(A183,$F$10,F183),'ID1&amp;5'!B:J,9,FALSE),"-")</f>
        <v>-</v>
      </c>
      <c r="W183" s="26" t="str">
        <f>+IFERROR(VLOOKUP(A183,'ID6&amp;7'!A:I,9,FALSE),"-")</f>
        <v>-</v>
      </c>
      <c r="X183" s="26" t="str">
        <f>+IFERROR(VLOOKUP(A183,'ID6&amp;7'!A:J,10,FALSE),"-")</f>
        <v>-</v>
      </c>
      <c r="Y183" s="26"/>
      <c r="Z183" s="27" t="str">
        <f t="shared" si="3"/>
        <v>Por iniciar</v>
      </c>
      <c r="AA183" s="65"/>
    </row>
    <row r="184" spans="1:27">
      <c r="A184" s="20"/>
      <c r="B184" s="60"/>
      <c r="C184" s="60"/>
      <c r="D184" s="60"/>
      <c r="E184" s="60"/>
      <c r="F184" s="60"/>
      <c r="G184" s="60"/>
      <c r="H184" s="65" t="s">
        <v>117</v>
      </c>
      <c r="I184" s="21" t="s">
        <v>1244</v>
      </c>
      <c r="J184" s="26">
        <f>+COUNTIF('ID1&amp;5'!G:G,'1. Status'!I184)</f>
        <v>0</v>
      </c>
      <c r="K184" s="79" t="str">
        <f>+IFERROR(VLOOKUP(CONCATENATE(A184,$B$10,B184),'ID1&amp;5'!B:J,8,FALSE),"-")</f>
        <v>-</v>
      </c>
      <c r="L184" s="78" t="str">
        <f>+IFERROR(VLOOKUP(B184,'ID1&amp;5'!K:L,2,FALSE),"-")</f>
        <v>-</v>
      </c>
      <c r="M184" s="79" t="str">
        <f>+IFERROR(VLOOKUP(CONCATENATE(A184,$B$10,B184),'ID1&amp;5'!B:J,9,FALSE),"-")</f>
        <v>-</v>
      </c>
      <c r="N184" s="79" t="str">
        <f>+IFERROR(VLOOKUP(CONCATENATE(A184,$C$10,C184),'ID1&amp;5'!B:J,8,FALSE),"-")</f>
        <v>-</v>
      </c>
      <c r="O184" s="78" t="str">
        <f>+IFERROR(VLOOKUP(C184,'ID1&amp;5'!K:L,2,FALSE),"-")</f>
        <v>-</v>
      </c>
      <c r="P184" s="79" t="str">
        <f>+IFERROR(VLOOKUP(CONCATENATE(A184,$C$10,C184),'ID1&amp;5'!B:J,9,FALSE),"-")</f>
        <v>-</v>
      </c>
      <c r="Q184" s="78" t="str">
        <f>+IFERROR(VLOOKUP(D184,'ID1&amp;5'!K:L,2,FALSE),"-")</f>
        <v>-</v>
      </c>
      <c r="R184" s="26" t="str">
        <f>+IFERROR(VLOOKUP(CONCATENATE(A184,$D$10,D184),'ID1&amp;5'!B:J,9,FALSE),"-")</f>
        <v>-</v>
      </c>
      <c r="S184" s="78" t="str">
        <f>+IFERROR(VLOOKUP(E184,'ID1&amp;5'!K:L,2,FALSE),"-")</f>
        <v>-</v>
      </c>
      <c r="T184" s="79" t="str">
        <f>+IFERROR(VLOOKUP(CONCATENATE(A184,$E$10,E184),'ID1&amp;5'!B:J,9,FALSE),"-")</f>
        <v>-</v>
      </c>
      <c r="U184" s="78" t="str">
        <f>+IFERROR(VLOOKUP(F184,'ID1&amp;5'!K:L,2,FALSE),"-")</f>
        <v>-</v>
      </c>
      <c r="V184" s="79" t="str">
        <f>+IFERROR(VLOOKUP(CONCATENATE(A184,$F$10,F184),'ID1&amp;5'!B:J,9,FALSE),"-")</f>
        <v>-</v>
      </c>
      <c r="W184" s="26" t="str">
        <f>+IFERROR(VLOOKUP(A184,'ID6&amp;7'!A:I,9,FALSE),"-")</f>
        <v>-</v>
      </c>
      <c r="X184" s="26" t="str">
        <f>+IFERROR(VLOOKUP(A184,'ID6&amp;7'!A:J,10,FALSE),"-")</f>
        <v>-</v>
      </c>
      <c r="Y184" s="26"/>
      <c r="Z184" s="27" t="str">
        <f t="shared" si="3"/>
        <v>Por iniciar</v>
      </c>
      <c r="AA184" s="65"/>
    </row>
    <row r="185" spans="1:27">
      <c r="A185" s="20"/>
      <c r="B185" s="60"/>
      <c r="C185" s="60"/>
      <c r="D185" s="60"/>
      <c r="E185" s="60"/>
      <c r="F185" s="60"/>
      <c r="G185" s="60"/>
      <c r="H185" s="65" t="s">
        <v>117</v>
      </c>
      <c r="I185" s="21" t="s">
        <v>1245</v>
      </c>
      <c r="J185" s="26">
        <f>+COUNTIF('ID1&amp;5'!G:G,'1. Status'!I185)</f>
        <v>0</v>
      </c>
      <c r="K185" s="79" t="str">
        <f>+IFERROR(VLOOKUP(CONCATENATE(A185,$B$10,B185),'ID1&amp;5'!B:J,8,FALSE),"-")</f>
        <v>-</v>
      </c>
      <c r="L185" s="78" t="str">
        <f>+IFERROR(VLOOKUP(B185,'ID1&amp;5'!K:L,2,FALSE),"-")</f>
        <v>-</v>
      </c>
      <c r="M185" s="79" t="str">
        <f>+IFERROR(VLOOKUP(CONCATENATE(A185,$B$10,B185),'ID1&amp;5'!B:J,9,FALSE),"-")</f>
        <v>-</v>
      </c>
      <c r="N185" s="79" t="str">
        <f>+IFERROR(VLOOKUP(CONCATENATE(A185,$C$10,C185),'ID1&amp;5'!B:J,8,FALSE),"-")</f>
        <v>-</v>
      </c>
      <c r="O185" s="78" t="str">
        <f>+IFERROR(VLOOKUP(C185,'ID1&amp;5'!K:L,2,FALSE),"-")</f>
        <v>-</v>
      </c>
      <c r="P185" s="79" t="str">
        <f>+IFERROR(VLOOKUP(CONCATENATE(A185,$C$10,C185),'ID1&amp;5'!B:J,9,FALSE),"-")</f>
        <v>-</v>
      </c>
      <c r="Q185" s="78" t="str">
        <f>+IFERROR(VLOOKUP(D185,'ID1&amp;5'!K:L,2,FALSE),"-")</f>
        <v>-</v>
      </c>
      <c r="R185" s="26" t="str">
        <f>+IFERROR(VLOOKUP(CONCATENATE(A185,$D$10,D185),'ID1&amp;5'!B:J,9,FALSE),"-")</f>
        <v>-</v>
      </c>
      <c r="S185" s="78" t="str">
        <f>+IFERROR(VLOOKUP(E185,'ID1&amp;5'!K:L,2,FALSE),"-")</f>
        <v>-</v>
      </c>
      <c r="T185" s="79" t="str">
        <f>+IFERROR(VLOOKUP(CONCATENATE(A185,$E$10,E185),'ID1&amp;5'!B:J,9,FALSE),"-")</f>
        <v>-</v>
      </c>
      <c r="U185" s="78" t="str">
        <f>+IFERROR(VLOOKUP(F185,'ID1&amp;5'!K:L,2,FALSE),"-")</f>
        <v>-</v>
      </c>
      <c r="V185" s="79" t="str">
        <f>+IFERROR(VLOOKUP(CONCATENATE(A185,$F$10,F185),'ID1&amp;5'!B:J,9,FALSE),"-")</f>
        <v>-</v>
      </c>
      <c r="W185" s="26" t="str">
        <f>+IFERROR(VLOOKUP(A185,'ID6&amp;7'!A:I,9,FALSE),"-")</f>
        <v>-</v>
      </c>
      <c r="X185" s="26" t="str">
        <f>+IFERROR(VLOOKUP(A185,'ID6&amp;7'!A:J,10,FALSE),"-")</f>
        <v>-</v>
      </c>
      <c r="Y185" s="26"/>
      <c r="Z185" s="27" t="str">
        <f t="shared" si="3"/>
        <v>Por iniciar</v>
      </c>
      <c r="AA185" s="65"/>
    </row>
    <row r="186" spans="1:27">
      <c r="A186" s="20"/>
      <c r="B186" s="60"/>
      <c r="C186" s="60"/>
      <c r="D186" s="60"/>
      <c r="E186" s="60"/>
      <c r="F186" s="60"/>
      <c r="G186" s="60"/>
      <c r="H186" s="65" t="s">
        <v>117</v>
      </c>
      <c r="I186" s="21" t="s">
        <v>1246</v>
      </c>
      <c r="J186" s="26">
        <f>+COUNTIF('ID1&amp;5'!G:G,'1. Status'!I186)</f>
        <v>0</v>
      </c>
      <c r="K186" s="79" t="str">
        <f>+IFERROR(VLOOKUP(CONCATENATE(A186,$B$10,B186),'ID1&amp;5'!B:J,8,FALSE),"-")</f>
        <v>-</v>
      </c>
      <c r="L186" s="78" t="str">
        <f>+IFERROR(VLOOKUP(B186,'ID1&amp;5'!K:L,2,FALSE),"-")</f>
        <v>-</v>
      </c>
      <c r="M186" s="79" t="str">
        <f>+IFERROR(VLOOKUP(CONCATENATE(A186,$B$10,B186),'ID1&amp;5'!B:J,9,FALSE),"-")</f>
        <v>-</v>
      </c>
      <c r="N186" s="79" t="str">
        <f>+IFERROR(VLOOKUP(CONCATENATE(A186,$C$10,C186),'ID1&amp;5'!B:J,8,FALSE),"-")</f>
        <v>-</v>
      </c>
      <c r="O186" s="78" t="str">
        <f>+IFERROR(VLOOKUP(C186,'ID1&amp;5'!K:L,2,FALSE),"-")</f>
        <v>-</v>
      </c>
      <c r="P186" s="79" t="str">
        <f>+IFERROR(VLOOKUP(CONCATENATE(A186,$C$10,C186),'ID1&amp;5'!B:J,9,FALSE),"-")</f>
        <v>-</v>
      </c>
      <c r="Q186" s="78" t="str">
        <f>+IFERROR(VLOOKUP(D186,'ID1&amp;5'!K:L,2,FALSE),"-")</f>
        <v>-</v>
      </c>
      <c r="R186" s="26" t="str">
        <f>+IFERROR(VLOOKUP(CONCATENATE(A186,$D$10,D186),'ID1&amp;5'!B:J,9,FALSE),"-")</f>
        <v>-</v>
      </c>
      <c r="S186" s="78" t="str">
        <f>+IFERROR(VLOOKUP(E186,'ID1&amp;5'!K:L,2,FALSE),"-")</f>
        <v>-</v>
      </c>
      <c r="T186" s="79" t="str">
        <f>+IFERROR(VLOOKUP(CONCATENATE(A186,$E$10,E186),'ID1&amp;5'!B:J,9,FALSE),"-")</f>
        <v>-</v>
      </c>
      <c r="U186" s="78" t="str">
        <f>+IFERROR(VLOOKUP(F186,'ID1&amp;5'!K:L,2,FALSE),"-")</f>
        <v>-</v>
      </c>
      <c r="V186" s="79" t="str">
        <f>+IFERROR(VLOOKUP(CONCATENATE(A186,$F$10,F186),'ID1&amp;5'!B:J,9,FALSE),"-")</f>
        <v>-</v>
      </c>
      <c r="W186" s="26" t="str">
        <f>+IFERROR(VLOOKUP(A186,'ID6&amp;7'!A:I,9,FALSE),"-")</f>
        <v>-</v>
      </c>
      <c r="X186" s="26" t="str">
        <f>+IFERROR(VLOOKUP(A186,'ID6&amp;7'!A:J,10,FALSE),"-")</f>
        <v>-</v>
      </c>
      <c r="Y186" s="26"/>
      <c r="Z186" s="27" t="str">
        <f t="shared" si="3"/>
        <v>Por iniciar</v>
      </c>
      <c r="AA186" s="65"/>
    </row>
    <row r="187" spans="1:27">
      <c r="A187" s="20"/>
      <c r="B187" s="60"/>
      <c r="C187" s="60"/>
      <c r="D187" s="60"/>
      <c r="E187" s="60"/>
      <c r="F187" s="60"/>
      <c r="G187" s="60"/>
      <c r="H187" s="65" t="s">
        <v>117</v>
      </c>
      <c r="I187" s="21" t="s">
        <v>1247</v>
      </c>
      <c r="J187" s="26">
        <f>+COUNTIF('ID1&amp;5'!G:G,'1. Status'!I187)</f>
        <v>0</v>
      </c>
      <c r="K187" s="79" t="str">
        <f>+IFERROR(VLOOKUP(CONCATENATE(A187,$B$10,B187),'ID1&amp;5'!B:J,8,FALSE),"-")</f>
        <v>-</v>
      </c>
      <c r="L187" s="78" t="str">
        <f>+IFERROR(VLOOKUP(B187,'ID1&amp;5'!K:L,2,FALSE),"-")</f>
        <v>-</v>
      </c>
      <c r="M187" s="79" t="str">
        <f>+IFERROR(VLOOKUP(CONCATENATE(A187,$B$10,B187),'ID1&amp;5'!B:J,9,FALSE),"-")</f>
        <v>-</v>
      </c>
      <c r="N187" s="79" t="str">
        <f>+IFERROR(VLOOKUP(CONCATENATE(A187,$C$10,C187),'ID1&amp;5'!B:J,8,FALSE),"-")</f>
        <v>-</v>
      </c>
      <c r="O187" s="78" t="str">
        <f>+IFERROR(VLOOKUP(C187,'ID1&amp;5'!K:L,2,FALSE),"-")</f>
        <v>-</v>
      </c>
      <c r="P187" s="79" t="str">
        <f>+IFERROR(VLOOKUP(CONCATENATE(A187,$C$10,C187),'ID1&amp;5'!B:J,9,FALSE),"-")</f>
        <v>-</v>
      </c>
      <c r="Q187" s="78" t="str">
        <f>+IFERROR(VLOOKUP(D187,'ID1&amp;5'!K:L,2,FALSE),"-")</f>
        <v>-</v>
      </c>
      <c r="R187" s="26" t="str">
        <f>+IFERROR(VLOOKUP(CONCATENATE(A187,$D$10,D187),'ID1&amp;5'!B:J,9,FALSE),"-")</f>
        <v>-</v>
      </c>
      <c r="S187" s="78" t="str">
        <f>+IFERROR(VLOOKUP(E187,'ID1&amp;5'!K:L,2,FALSE),"-")</f>
        <v>-</v>
      </c>
      <c r="T187" s="79" t="str">
        <f>+IFERROR(VLOOKUP(CONCATENATE(A187,$E$10,E187),'ID1&amp;5'!B:J,9,FALSE),"-")</f>
        <v>-</v>
      </c>
      <c r="U187" s="78" t="str">
        <f>+IFERROR(VLOOKUP(F187,'ID1&amp;5'!K:L,2,FALSE),"-")</f>
        <v>-</v>
      </c>
      <c r="V187" s="79" t="str">
        <f>+IFERROR(VLOOKUP(CONCATENATE(A187,$F$10,F187),'ID1&amp;5'!B:J,9,FALSE),"-")</f>
        <v>-</v>
      </c>
      <c r="W187" s="26" t="str">
        <f>+IFERROR(VLOOKUP(A187,'ID6&amp;7'!A:I,9,FALSE),"-")</f>
        <v>-</v>
      </c>
      <c r="X187" s="26" t="str">
        <f>+IFERROR(VLOOKUP(A187,'ID6&amp;7'!A:J,10,FALSE),"-")</f>
        <v>-</v>
      </c>
      <c r="Y187" s="26"/>
      <c r="Z187" s="27" t="str">
        <f t="shared" si="3"/>
        <v>Por iniciar</v>
      </c>
      <c r="AA187" s="65"/>
    </row>
    <row r="188" spans="1:27">
      <c r="A188" s="20"/>
      <c r="B188" s="60"/>
      <c r="C188" s="60"/>
      <c r="D188" s="60"/>
      <c r="E188" s="60"/>
      <c r="F188" s="60"/>
      <c r="G188" s="60"/>
      <c r="H188" s="65" t="s">
        <v>117</v>
      </c>
      <c r="I188" s="21" t="s">
        <v>1248</v>
      </c>
      <c r="J188" s="26">
        <f>+COUNTIF('ID1&amp;5'!G:G,'1. Status'!I188)</f>
        <v>0</v>
      </c>
      <c r="K188" s="79" t="str">
        <f>+IFERROR(VLOOKUP(CONCATENATE(A188,$B$10,B188),'ID1&amp;5'!B:J,8,FALSE),"-")</f>
        <v>-</v>
      </c>
      <c r="L188" s="78" t="str">
        <f>+IFERROR(VLOOKUP(B188,'ID1&amp;5'!K:L,2,FALSE),"-")</f>
        <v>-</v>
      </c>
      <c r="M188" s="79" t="str">
        <f>+IFERROR(VLOOKUP(CONCATENATE(A188,$B$10,B188),'ID1&amp;5'!B:J,9,FALSE),"-")</f>
        <v>-</v>
      </c>
      <c r="N188" s="79" t="str">
        <f>+IFERROR(VLOOKUP(CONCATENATE(A188,$C$10,C188),'ID1&amp;5'!B:J,8,FALSE),"-")</f>
        <v>-</v>
      </c>
      <c r="O188" s="78" t="str">
        <f>+IFERROR(VLOOKUP(C188,'ID1&amp;5'!K:L,2,FALSE),"-")</f>
        <v>-</v>
      </c>
      <c r="P188" s="79" t="str">
        <f>+IFERROR(VLOOKUP(CONCATENATE(A188,$C$10,C188),'ID1&amp;5'!B:J,9,FALSE),"-")</f>
        <v>-</v>
      </c>
      <c r="Q188" s="78" t="str">
        <f>+IFERROR(VLOOKUP(D188,'ID1&amp;5'!K:L,2,FALSE),"-")</f>
        <v>-</v>
      </c>
      <c r="R188" s="26" t="str">
        <f>+IFERROR(VLOOKUP(CONCATENATE(A188,$D$10,D188),'ID1&amp;5'!B:J,9,FALSE),"-")</f>
        <v>-</v>
      </c>
      <c r="S188" s="78" t="str">
        <f>+IFERROR(VLOOKUP(E188,'ID1&amp;5'!K:L,2,FALSE),"-")</f>
        <v>-</v>
      </c>
      <c r="T188" s="79" t="str">
        <f>+IFERROR(VLOOKUP(CONCATENATE(A188,$E$10,E188),'ID1&amp;5'!B:J,9,FALSE),"-")</f>
        <v>-</v>
      </c>
      <c r="U188" s="78" t="str">
        <f>+IFERROR(VLOOKUP(F188,'ID1&amp;5'!K:L,2,FALSE),"-")</f>
        <v>-</v>
      </c>
      <c r="V188" s="79" t="str">
        <f>+IFERROR(VLOOKUP(CONCATENATE(A188,$F$10,F188),'ID1&amp;5'!B:J,9,FALSE),"-")</f>
        <v>-</v>
      </c>
      <c r="W188" s="26" t="str">
        <f>+IFERROR(VLOOKUP(A188,'ID6&amp;7'!A:I,9,FALSE),"-")</f>
        <v>-</v>
      </c>
      <c r="X188" s="26" t="str">
        <f>+IFERROR(VLOOKUP(A188,'ID6&amp;7'!A:J,10,FALSE),"-")</f>
        <v>-</v>
      </c>
      <c r="Y188" s="26"/>
      <c r="Z188" s="27" t="str">
        <f t="shared" si="3"/>
        <v>Por iniciar</v>
      </c>
      <c r="AA188" s="65"/>
    </row>
    <row r="189" spans="1:27">
      <c r="A189" s="20"/>
      <c r="B189" s="60"/>
      <c r="C189" s="60"/>
      <c r="D189" s="60"/>
      <c r="E189" s="60"/>
      <c r="F189" s="60"/>
      <c r="G189" s="60"/>
      <c r="H189" s="65" t="s">
        <v>117</v>
      </c>
      <c r="I189" s="21" t="s">
        <v>1249</v>
      </c>
      <c r="J189" s="26">
        <f>+COUNTIF('ID1&amp;5'!G:G,'1. Status'!I189)</f>
        <v>0</v>
      </c>
      <c r="K189" s="79" t="str">
        <f>+IFERROR(VLOOKUP(CONCATENATE(A189,$B$10,B189),'ID1&amp;5'!B:J,8,FALSE),"-")</f>
        <v>-</v>
      </c>
      <c r="L189" s="78" t="str">
        <f>+IFERROR(VLOOKUP(B189,'ID1&amp;5'!K:L,2,FALSE),"-")</f>
        <v>-</v>
      </c>
      <c r="M189" s="79" t="str">
        <f>+IFERROR(VLOOKUP(CONCATENATE(A189,$B$10,B189),'ID1&amp;5'!B:J,9,FALSE),"-")</f>
        <v>-</v>
      </c>
      <c r="N189" s="79" t="str">
        <f>+IFERROR(VLOOKUP(CONCATENATE(A189,$C$10,C189),'ID1&amp;5'!B:J,8,FALSE),"-")</f>
        <v>-</v>
      </c>
      <c r="O189" s="78" t="str">
        <f>+IFERROR(VLOOKUP(C189,'ID1&amp;5'!K:L,2,FALSE),"-")</f>
        <v>-</v>
      </c>
      <c r="P189" s="79" t="str">
        <f>+IFERROR(VLOOKUP(CONCATENATE(A189,$C$10,C189),'ID1&amp;5'!B:J,9,FALSE),"-")</f>
        <v>-</v>
      </c>
      <c r="Q189" s="78" t="str">
        <f>+IFERROR(VLOOKUP(D189,'ID1&amp;5'!K:L,2,FALSE),"-")</f>
        <v>-</v>
      </c>
      <c r="R189" s="26" t="str">
        <f>+IFERROR(VLOOKUP(CONCATENATE(A189,$D$10,D189),'ID1&amp;5'!B:J,9,FALSE),"-")</f>
        <v>-</v>
      </c>
      <c r="S189" s="78" t="str">
        <f>+IFERROR(VLOOKUP(E189,'ID1&amp;5'!K:L,2,FALSE),"-")</f>
        <v>-</v>
      </c>
      <c r="T189" s="79" t="str">
        <f>+IFERROR(VLOOKUP(CONCATENATE(A189,$E$10,E189),'ID1&amp;5'!B:J,9,FALSE),"-")</f>
        <v>-</v>
      </c>
      <c r="U189" s="78" t="str">
        <f>+IFERROR(VLOOKUP(F189,'ID1&amp;5'!K:L,2,FALSE),"-")</f>
        <v>-</v>
      </c>
      <c r="V189" s="79" t="str">
        <f>+IFERROR(VLOOKUP(CONCATENATE(A189,$F$10,F189),'ID1&amp;5'!B:J,9,FALSE),"-")</f>
        <v>-</v>
      </c>
      <c r="W189" s="26" t="str">
        <f>+IFERROR(VLOOKUP(A189,'ID6&amp;7'!A:I,9,FALSE),"-")</f>
        <v>-</v>
      </c>
      <c r="X189" s="26" t="str">
        <f>+IFERROR(VLOOKUP(A189,'ID6&amp;7'!A:J,10,FALSE),"-")</f>
        <v>-</v>
      </c>
      <c r="Y189" s="26"/>
      <c r="Z189" s="27" t="str">
        <f t="shared" si="3"/>
        <v>Por iniciar</v>
      </c>
      <c r="AA189" s="65"/>
    </row>
    <row r="190" spans="1:27">
      <c r="A190" s="20"/>
      <c r="B190" s="60"/>
      <c r="C190" s="60"/>
      <c r="D190" s="60"/>
      <c r="E190" s="60"/>
      <c r="F190" s="60"/>
      <c r="G190" s="60"/>
      <c r="H190" s="65" t="s">
        <v>117</v>
      </c>
      <c r="I190" s="21" t="s">
        <v>1250</v>
      </c>
      <c r="J190" s="26">
        <f>+COUNTIF('ID1&amp;5'!G:G,'1. Status'!I190)</f>
        <v>0</v>
      </c>
      <c r="K190" s="79" t="str">
        <f>+IFERROR(VLOOKUP(CONCATENATE(A190,$B$10,B190),'ID1&amp;5'!B:J,8,FALSE),"-")</f>
        <v>-</v>
      </c>
      <c r="L190" s="78" t="str">
        <f>+IFERROR(VLOOKUP(B190,'ID1&amp;5'!K:L,2,FALSE),"-")</f>
        <v>-</v>
      </c>
      <c r="M190" s="79" t="str">
        <f>+IFERROR(VLOOKUP(CONCATENATE(A190,$B$10,B190),'ID1&amp;5'!B:J,9,FALSE),"-")</f>
        <v>-</v>
      </c>
      <c r="N190" s="79" t="str">
        <f>+IFERROR(VLOOKUP(CONCATENATE(A190,$C$10,C190),'ID1&amp;5'!B:J,8,FALSE),"-")</f>
        <v>-</v>
      </c>
      <c r="O190" s="78" t="str">
        <f>+IFERROR(VLOOKUP(C190,'ID1&amp;5'!K:L,2,FALSE),"-")</f>
        <v>-</v>
      </c>
      <c r="P190" s="79" t="str">
        <f>+IFERROR(VLOOKUP(CONCATENATE(A190,$C$10,C190),'ID1&amp;5'!B:J,9,FALSE),"-")</f>
        <v>-</v>
      </c>
      <c r="Q190" s="78" t="str">
        <f>+IFERROR(VLOOKUP(D190,'ID1&amp;5'!K:L,2,FALSE),"-")</f>
        <v>-</v>
      </c>
      <c r="R190" s="26" t="str">
        <f>+IFERROR(VLOOKUP(CONCATENATE(A190,$D$10,D190),'ID1&amp;5'!B:J,9,FALSE),"-")</f>
        <v>-</v>
      </c>
      <c r="S190" s="78" t="str">
        <f>+IFERROR(VLOOKUP(E190,'ID1&amp;5'!K:L,2,FALSE),"-")</f>
        <v>-</v>
      </c>
      <c r="T190" s="79" t="str">
        <f>+IFERROR(VLOOKUP(CONCATENATE(A190,$E$10,E190),'ID1&amp;5'!B:J,9,FALSE),"-")</f>
        <v>-</v>
      </c>
      <c r="U190" s="78" t="str">
        <f>+IFERROR(VLOOKUP(F190,'ID1&amp;5'!K:L,2,FALSE),"-")</f>
        <v>-</v>
      </c>
      <c r="V190" s="79" t="str">
        <f>+IFERROR(VLOOKUP(CONCATENATE(A190,$F$10,F190),'ID1&amp;5'!B:J,9,FALSE),"-")</f>
        <v>-</v>
      </c>
      <c r="W190" s="26" t="str">
        <f>+IFERROR(VLOOKUP(A190,'ID6&amp;7'!A:I,9,FALSE),"-")</f>
        <v>-</v>
      </c>
      <c r="X190" s="26" t="str">
        <f>+IFERROR(VLOOKUP(A190,'ID6&amp;7'!A:J,10,FALSE),"-")</f>
        <v>-</v>
      </c>
      <c r="Y190" s="26"/>
      <c r="Z190" s="27" t="str">
        <f t="shared" si="3"/>
        <v>Por iniciar</v>
      </c>
      <c r="AA190" s="65"/>
    </row>
    <row r="191" spans="1:27">
      <c r="A191" s="20"/>
      <c r="B191" s="60"/>
      <c r="C191" s="60"/>
      <c r="D191" s="60"/>
      <c r="E191" s="60"/>
      <c r="F191" s="60"/>
      <c r="G191" s="60"/>
      <c r="H191" s="65" t="s">
        <v>117</v>
      </c>
      <c r="I191" s="21" t="s">
        <v>1251</v>
      </c>
      <c r="J191" s="26">
        <f>+COUNTIF('ID1&amp;5'!G:G,'1. Status'!I191)</f>
        <v>0</v>
      </c>
      <c r="K191" s="79" t="str">
        <f>+IFERROR(VLOOKUP(CONCATENATE(A191,$B$10,B191),'ID1&amp;5'!B:J,8,FALSE),"-")</f>
        <v>-</v>
      </c>
      <c r="L191" s="78" t="str">
        <f>+IFERROR(VLOOKUP(B191,'ID1&amp;5'!K:L,2,FALSE),"-")</f>
        <v>-</v>
      </c>
      <c r="M191" s="79" t="str">
        <f>+IFERROR(VLOOKUP(CONCATENATE(A191,$B$10,B191),'ID1&amp;5'!B:J,9,FALSE),"-")</f>
        <v>-</v>
      </c>
      <c r="N191" s="79" t="str">
        <f>+IFERROR(VLOOKUP(CONCATENATE(A191,$C$10,C191),'ID1&amp;5'!B:J,8,FALSE),"-")</f>
        <v>-</v>
      </c>
      <c r="O191" s="78" t="str">
        <f>+IFERROR(VLOOKUP(C191,'ID1&amp;5'!K:L,2,FALSE),"-")</f>
        <v>-</v>
      </c>
      <c r="P191" s="79" t="str">
        <f>+IFERROR(VLOOKUP(CONCATENATE(A191,$C$10,C191),'ID1&amp;5'!B:J,9,FALSE),"-")</f>
        <v>-</v>
      </c>
      <c r="Q191" s="78" t="str">
        <f>+IFERROR(VLOOKUP(D191,'ID1&amp;5'!K:L,2,FALSE),"-")</f>
        <v>-</v>
      </c>
      <c r="R191" s="26" t="str">
        <f>+IFERROR(VLOOKUP(CONCATENATE(A191,$D$10,D191),'ID1&amp;5'!B:J,9,FALSE),"-")</f>
        <v>-</v>
      </c>
      <c r="S191" s="78" t="str">
        <f>+IFERROR(VLOOKUP(E191,'ID1&amp;5'!K:L,2,FALSE),"-")</f>
        <v>-</v>
      </c>
      <c r="T191" s="79" t="str">
        <f>+IFERROR(VLOOKUP(CONCATENATE(A191,$E$10,E191),'ID1&amp;5'!B:J,9,FALSE),"-")</f>
        <v>-</v>
      </c>
      <c r="U191" s="78" t="str">
        <f>+IFERROR(VLOOKUP(F191,'ID1&amp;5'!K:L,2,FALSE),"-")</f>
        <v>-</v>
      </c>
      <c r="V191" s="79" t="str">
        <f>+IFERROR(VLOOKUP(CONCATENATE(A191,$F$10,F191),'ID1&amp;5'!B:J,9,FALSE),"-")</f>
        <v>-</v>
      </c>
      <c r="W191" s="26" t="str">
        <f>+IFERROR(VLOOKUP(A191,'ID6&amp;7'!A:I,9,FALSE),"-")</f>
        <v>-</v>
      </c>
      <c r="X191" s="26" t="str">
        <f>+IFERROR(VLOOKUP(A191,'ID6&amp;7'!A:J,10,FALSE),"-")</f>
        <v>-</v>
      </c>
      <c r="Y191" s="26"/>
      <c r="Z191" s="27" t="str">
        <f t="shared" si="3"/>
        <v>Por iniciar</v>
      </c>
      <c r="AA191" s="65"/>
    </row>
    <row r="192" spans="1:27">
      <c r="A192" s="20"/>
      <c r="B192" s="60"/>
      <c r="C192" s="60"/>
      <c r="D192" s="60"/>
      <c r="E192" s="60"/>
      <c r="F192" s="60"/>
      <c r="G192" s="60"/>
      <c r="H192" s="65" t="s">
        <v>117</v>
      </c>
      <c r="I192" s="21" t="s">
        <v>1252</v>
      </c>
      <c r="J192" s="26">
        <f>+COUNTIF('ID1&amp;5'!G:G,'1. Status'!I192)</f>
        <v>0</v>
      </c>
      <c r="K192" s="79" t="str">
        <f>+IFERROR(VLOOKUP(CONCATENATE(A192,$B$10,B192),'ID1&amp;5'!B:J,8,FALSE),"-")</f>
        <v>-</v>
      </c>
      <c r="L192" s="78" t="str">
        <f>+IFERROR(VLOOKUP(B192,'ID1&amp;5'!K:L,2,FALSE),"-")</f>
        <v>-</v>
      </c>
      <c r="M192" s="79" t="str">
        <f>+IFERROR(VLOOKUP(CONCATENATE(A192,$B$10,B192),'ID1&amp;5'!B:J,9,FALSE),"-")</f>
        <v>-</v>
      </c>
      <c r="N192" s="79" t="str">
        <f>+IFERROR(VLOOKUP(CONCATENATE(A192,$C$10,C192),'ID1&amp;5'!B:J,8,FALSE),"-")</f>
        <v>-</v>
      </c>
      <c r="O192" s="78" t="str">
        <f>+IFERROR(VLOOKUP(C192,'ID1&amp;5'!K:L,2,FALSE),"-")</f>
        <v>-</v>
      </c>
      <c r="P192" s="79" t="str">
        <f>+IFERROR(VLOOKUP(CONCATENATE(A192,$C$10,C192),'ID1&amp;5'!B:J,9,FALSE),"-")</f>
        <v>-</v>
      </c>
      <c r="Q192" s="78" t="str">
        <f>+IFERROR(VLOOKUP(D192,'ID1&amp;5'!K:L,2,FALSE),"-")</f>
        <v>-</v>
      </c>
      <c r="R192" s="26" t="str">
        <f>+IFERROR(VLOOKUP(CONCATENATE(A192,$D$10,D192),'ID1&amp;5'!B:J,9,FALSE),"-")</f>
        <v>-</v>
      </c>
      <c r="S192" s="78" t="str">
        <f>+IFERROR(VLOOKUP(E192,'ID1&amp;5'!K:L,2,FALSE),"-")</f>
        <v>-</v>
      </c>
      <c r="T192" s="79" t="str">
        <f>+IFERROR(VLOOKUP(CONCATENATE(A192,$E$10,E192),'ID1&amp;5'!B:J,9,FALSE),"-")</f>
        <v>-</v>
      </c>
      <c r="U192" s="78" t="str">
        <f>+IFERROR(VLOOKUP(F192,'ID1&amp;5'!K:L,2,FALSE),"-")</f>
        <v>-</v>
      </c>
      <c r="V192" s="79" t="str">
        <f>+IFERROR(VLOOKUP(CONCATENATE(A192,$F$10,F192),'ID1&amp;5'!B:J,9,FALSE),"-")</f>
        <v>-</v>
      </c>
      <c r="W192" s="26" t="str">
        <f>+IFERROR(VLOOKUP(A192,'ID6&amp;7'!A:I,9,FALSE),"-")</f>
        <v>-</v>
      </c>
      <c r="X192" s="26" t="str">
        <f>+IFERROR(VLOOKUP(A192,'ID6&amp;7'!A:J,10,FALSE),"-")</f>
        <v>-</v>
      </c>
      <c r="Y192" s="26"/>
      <c r="Z192" s="27" t="str">
        <f t="shared" ref="Z192:Z255" si="4">+IF(J192=0,"Por iniciar",IF(OR(K192="-",M192="-",P192="-",R192="-",T192="-",V192="-"),"Em testes",IF(AND(M192=0,P192=0,R192=0,T192&lt;&gt;K192,V192&lt;&gt;K192),"OK","NOK")))</f>
        <v>Por iniciar</v>
      </c>
      <c r="AA192" s="65"/>
    </row>
    <row r="193" spans="1:27">
      <c r="A193" s="20"/>
      <c r="B193" s="60"/>
      <c r="C193" s="60"/>
      <c r="D193" s="60"/>
      <c r="E193" s="60"/>
      <c r="F193" s="60"/>
      <c r="G193" s="60"/>
      <c r="H193" s="65" t="s">
        <v>117</v>
      </c>
      <c r="I193" s="21" t="s">
        <v>1253</v>
      </c>
      <c r="J193" s="26">
        <f>+COUNTIF('ID1&amp;5'!G:G,'1. Status'!I193)</f>
        <v>0</v>
      </c>
      <c r="K193" s="79" t="str">
        <f>+IFERROR(VLOOKUP(CONCATENATE(A193,$B$10,B193),'ID1&amp;5'!B:J,8,FALSE),"-")</f>
        <v>-</v>
      </c>
      <c r="L193" s="78" t="str">
        <f>+IFERROR(VLOOKUP(B193,'ID1&amp;5'!K:L,2,FALSE),"-")</f>
        <v>-</v>
      </c>
      <c r="M193" s="79" t="str">
        <f>+IFERROR(VLOOKUP(CONCATENATE(A193,$B$10,B193),'ID1&amp;5'!B:J,9,FALSE),"-")</f>
        <v>-</v>
      </c>
      <c r="N193" s="79" t="str">
        <f>+IFERROR(VLOOKUP(CONCATENATE(A193,$C$10,C193),'ID1&amp;5'!B:J,8,FALSE),"-")</f>
        <v>-</v>
      </c>
      <c r="O193" s="78" t="str">
        <f>+IFERROR(VLOOKUP(C193,'ID1&amp;5'!K:L,2,FALSE),"-")</f>
        <v>-</v>
      </c>
      <c r="P193" s="79" t="str">
        <f>+IFERROR(VLOOKUP(CONCATENATE(A193,$C$10,C193),'ID1&amp;5'!B:J,9,FALSE),"-")</f>
        <v>-</v>
      </c>
      <c r="Q193" s="78" t="str">
        <f>+IFERROR(VLOOKUP(D193,'ID1&amp;5'!K:L,2,FALSE),"-")</f>
        <v>-</v>
      </c>
      <c r="R193" s="26" t="str">
        <f>+IFERROR(VLOOKUP(CONCATENATE(A193,$D$10,D193),'ID1&amp;5'!B:J,9,FALSE),"-")</f>
        <v>-</v>
      </c>
      <c r="S193" s="78" t="str">
        <f>+IFERROR(VLOOKUP(E193,'ID1&amp;5'!K:L,2,FALSE),"-")</f>
        <v>-</v>
      </c>
      <c r="T193" s="79" t="str">
        <f>+IFERROR(VLOOKUP(CONCATENATE(A193,$E$10,E193),'ID1&amp;5'!B:J,9,FALSE),"-")</f>
        <v>-</v>
      </c>
      <c r="U193" s="78" t="str">
        <f>+IFERROR(VLOOKUP(F193,'ID1&amp;5'!K:L,2,FALSE),"-")</f>
        <v>-</v>
      </c>
      <c r="V193" s="79" t="str">
        <f>+IFERROR(VLOOKUP(CONCATENATE(A193,$F$10,F193),'ID1&amp;5'!B:J,9,FALSE),"-")</f>
        <v>-</v>
      </c>
      <c r="W193" s="26" t="str">
        <f>+IFERROR(VLOOKUP(A193,'ID6&amp;7'!A:I,9,FALSE),"-")</f>
        <v>-</v>
      </c>
      <c r="X193" s="26" t="str">
        <f>+IFERROR(VLOOKUP(A193,'ID6&amp;7'!A:J,10,FALSE),"-")</f>
        <v>-</v>
      </c>
      <c r="Y193" s="26"/>
      <c r="Z193" s="27" t="str">
        <f t="shared" si="4"/>
        <v>Por iniciar</v>
      </c>
      <c r="AA193" s="65"/>
    </row>
    <row r="194" spans="1:27">
      <c r="A194" s="20"/>
      <c r="B194" s="60"/>
      <c r="C194" s="60"/>
      <c r="D194" s="60"/>
      <c r="E194" s="60"/>
      <c r="F194" s="60"/>
      <c r="G194" s="60"/>
      <c r="H194" s="65" t="s">
        <v>117</v>
      </c>
      <c r="I194" s="21" t="s">
        <v>1254</v>
      </c>
      <c r="J194" s="26">
        <f>+COUNTIF('ID1&amp;5'!G:G,'1. Status'!I194)</f>
        <v>0</v>
      </c>
      <c r="K194" s="79" t="str">
        <f>+IFERROR(VLOOKUP(CONCATENATE(A194,$B$10,B194),'ID1&amp;5'!B:J,8,FALSE),"-")</f>
        <v>-</v>
      </c>
      <c r="L194" s="78" t="str">
        <f>+IFERROR(VLOOKUP(B194,'ID1&amp;5'!K:L,2,FALSE),"-")</f>
        <v>-</v>
      </c>
      <c r="M194" s="79" t="str">
        <f>+IFERROR(VLOOKUP(CONCATENATE(A194,$B$10,B194),'ID1&amp;5'!B:J,9,FALSE),"-")</f>
        <v>-</v>
      </c>
      <c r="N194" s="79" t="str">
        <f>+IFERROR(VLOOKUP(CONCATENATE(A194,$C$10,C194),'ID1&amp;5'!B:J,8,FALSE),"-")</f>
        <v>-</v>
      </c>
      <c r="O194" s="78" t="str">
        <f>+IFERROR(VLOOKUP(C194,'ID1&amp;5'!K:L,2,FALSE),"-")</f>
        <v>-</v>
      </c>
      <c r="P194" s="79" t="str">
        <f>+IFERROR(VLOOKUP(CONCATENATE(A194,$C$10,C194),'ID1&amp;5'!B:J,9,FALSE),"-")</f>
        <v>-</v>
      </c>
      <c r="Q194" s="78" t="str">
        <f>+IFERROR(VLOOKUP(D194,'ID1&amp;5'!K:L,2,FALSE),"-")</f>
        <v>-</v>
      </c>
      <c r="R194" s="26" t="str">
        <f>+IFERROR(VLOOKUP(CONCATENATE(A194,$D$10,D194),'ID1&amp;5'!B:J,9,FALSE),"-")</f>
        <v>-</v>
      </c>
      <c r="S194" s="78" t="str">
        <f>+IFERROR(VLOOKUP(E194,'ID1&amp;5'!K:L,2,FALSE),"-")</f>
        <v>-</v>
      </c>
      <c r="T194" s="79" t="str">
        <f>+IFERROR(VLOOKUP(CONCATENATE(A194,$E$10,E194),'ID1&amp;5'!B:J,9,FALSE),"-")</f>
        <v>-</v>
      </c>
      <c r="U194" s="78" t="str">
        <f>+IFERROR(VLOOKUP(F194,'ID1&amp;5'!K:L,2,FALSE),"-")</f>
        <v>-</v>
      </c>
      <c r="V194" s="79" t="str">
        <f>+IFERROR(VLOOKUP(CONCATENATE(A194,$F$10,F194),'ID1&amp;5'!B:J,9,FALSE),"-")</f>
        <v>-</v>
      </c>
      <c r="W194" s="26" t="str">
        <f>+IFERROR(VLOOKUP(A194,'ID6&amp;7'!A:I,9,FALSE),"-")</f>
        <v>-</v>
      </c>
      <c r="X194" s="26" t="str">
        <f>+IFERROR(VLOOKUP(A194,'ID6&amp;7'!A:J,10,FALSE),"-")</f>
        <v>-</v>
      </c>
      <c r="Y194" s="26"/>
      <c r="Z194" s="27" t="str">
        <f t="shared" si="4"/>
        <v>Por iniciar</v>
      </c>
      <c r="AA194" s="65"/>
    </row>
    <row r="195" spans="1:27">
      <c r="A195" s="20"/>
      <c r="B195" s="60"/>
      <c r="C195" s="60"/>
      <c r="D195" s="60"/>
      <c r="E195" s="60"/>
      <c r="F195" s="60"/>
      <c r="G195" s="60"/>
      <c r="H195" s="65" t="s">
        <v>117</v>
      </c>
      <c r="I195" s="21" t="s">
        <v>1255</v>
      </c>
      <c r="J195" s="26">
        <f>+COUNTIF('ID1&amp;5'!G:G,'1. Status'!I195)</f>
        <v>0</v>
      </c>
      <c r="K195" s="79" t="str">
        <f>+IFERROR(VLOOKUP(CONCATENATE(A195,$B$10,B195),'ID1&amp;5'!B:J,8,FALSE),"-")</f>
        <v>-</v>
      </c>
      <c r="L195" s="78" t="str">
        <f>+IFERROR(VLOOKUP(B195,'ID1&amp;5'!K:L,2,FALSE),"-")</f>
        <v>-</v>
      </c>
      <c r="M195" s="79" t="str">
        <f>+IFERROR(VLOOKUP(CONCATENATE(A195,$B$10,B195),'ID1&amp;5'!B:J,9,FALSE),"-")</f>
        <v>-</v>
      </c>
      <c r="N195" s="79" t="str">
        <f>+IFERROR(VLOOKUP(CONCATENATE(A195,$C$10,C195),'ID1&amp;5'!B:J,8,FALSE),"-")</f>
        <v>-</v>
      </c>
      <c r="O195" s="78" t="str">
        <f>+IFERROR(VLOOKUP(C195,'ID1&amp;5'!K:L,2,FALSE),"-")</f>
        <v>-</v>
      </c>
      <c r="P195" s="79" t="str">
        <f>+IFERROR(VLOOKUP(CONCATENATE(A195,$C$10,C195),'ID1&amp;5'!B:J,9,FALSE),"-")</f>
        <v>-</v>
      </c>
      <c r="Q195" s="78" t="str">
        <f>+IFERROR(VLOOKUP(D195,'ID1&amp;5'!K:L,2,FALSE),"-")</f>
        <v>-</v>
      </c>
      <c r="R195" s="26" t="str">
        <f>+IFERROR(VLOOKUP(CONCATENATE(A195,$D$10,D195),'ID1&amp;5'!B:J,9,FALSE),"-")</f>
        <v>-</v>
      </c>
      <c r="S195" s="78" t="str">
        <f>+IFERROR(VLOOKUP(E195,'ID1&amp;5'!K:L,2,FALSE),"-")</f>
        <v>-</v>
      </c>
      <c r="T195" s="79" t="str">
        <f>+IFERROR(VLOOKUP(CONCATENATE(A195,$E$10,E195),'ID1&amp;5'!B:J,9,FALSE),"-")</f>
        <v>-</v>
      </c>
      <c r="U195" s="78" t="str">
        <f>+IFERROR(VLOOKUP(F195,'ID1&amp;5'!K:L,2,FALSE),"-")</f>
        <v>-</v>
      </c>
      <c r="V195" s="79" t="str">
        <f>+IFERROR(VLOOKUP(CONCATENATE(A195,$F$10,F195),'ID1&amp;5'!B:J,9,FALSE),"-")</f>
        <v>-</v>
      </c>
      <c r="W195" s="26" t="str">
        <f>+IFERROR(VLOOKUP(A195,'ID6&amp;7'!A:I,9,FALSE),"-")</f>
        <v>-</v>
      </c>
      <c r="X195" s="26" t="str">
        <f>+IFERROR(VLOOKUP(A195,'ID6&amp;7'!A:J,10,FALSE),"-")</f>
        <v>-</v>
      </c>
      <c r="Y195" s="26"/>
      <c r="Z195" s="27" t="str">
        <f t="shared" si="4"/>
        <v>Por iniciar</v>
      </c>
      <c r="AA195" s="65"/>
    </row>
    <row r="196" spans="1:27">
      <c r="A196" s="20"/>
      <c r="B196" s="60"/>
      <c r="C196" s="60"/>
      <c r="D196" s="60"/>
      <c r="E196" s="60"/>
      <c r="F196" s="60"/>
      <c r="G196" s="60"/>
      <c r="H196" s="65" t="s">
        <v>117</v>
      </c>
      <c r="I196" s="21" t="s">
        <v>1256</v>
      </c>
      <c r="J196" s="26">
        <f>+COUNTIF('ID1&amp;5'!G:G,'1. Status'!I196)</f>
        <v>0</v>
      </c>
      <c r="K196" s="79" t="str">
        <f>+IFERROR(VLOOKUP(CONCATENATE(A196,$B$10,B196),'ID1&amp;5'!B:J,8,FALSE),"-")</f>
        <v>-</v>
      </c>
      <c r="L196" s="78" t="str">
        <f>+IFERROR(VLOOKUP(B196,'ID1&amp;5'!K:L,2,FALSE),"-")</f>
        <v>-</v>
      </c>
      <c r="M196" s="79" t="str">
        <f>+IFERROR(VLOOKUP(CONCATENATE(A196,$B$10,B196),'ID1&amp;5'!B:J,9,FALSE),"-")</f>
        <v>-</v>
      </c>
      <c r="N196" s="79" t="str">
        <f>+IFERROR(VLOOKUP(CONCATENATE(A196,$C$10,C196),'ID1&amp;5'!B:J,8,FALSE),"-")</f>
        <v>-</v>
      </c>
      <c r="O196" s="78" t="str">
        <f>+IFERROR(VLOOKUP(C196,'ID1&amp;5'!K:L,2,FALSE),"-")</f>
        <v>-</v>
      </c>
      <c r="P196" s="79" t="str">
        <f>+IFERROR(VLOOKUP(CONCATENATE(A196,$C$10,C196),'ID1&amp;5'!B:J,9,FALSE),"-")</f>
        <v>-</v>
      </c>
      <c r="Q196" s="78" t="str">
        <f>+IFERROR(VLOOKUP(D196,'ID1&amp;5'!K:L,2,FALSE),"-")</f>
        <v>-</v>
      </c>
      <c r="R196" s="26" t="str">
        <f>+IFERROR(VLOOKUP(CONCATENATE(A196,$D$10,D196),'ID1&amp;5'!B:J,9,FALSE),"-")</f>
        <v>-</v>
      </c>
      <c r="S196" s="78" t="str">
        <f>+IFERROR(VLOOKUP(E196,'ID1&amp;5'!K:L,2,FALSE),"-")</f>
        <v>-</v>
      </c>
      <c r="T196" s="79" t="str">
        <f>+IFERROR(VLOOKUP(CONCATENATE(A196,$E$10,E196),'ID1&amp;5'!B:J,9,FALSE),"-")</f>
        <v>-</v>
      </c>
      <c r="U196" s="78" t="str">
        <f>+IFERROR(VLOOKUP(F196,'ID1&amp;5'!K:L,2,FALSE),"-")</f>
        <v>-</v>
      </c>
      <c r="V196" s="79" t="str">
        <f>+IFERROR(VLOOKUP(CONCATENATE(A196,$F$10,F196),'ID1&amp;5'!B:J,9,FALSE),"-")</f>
        <v>-</v>
      </c>
      <c r="W196" s="26" t="str">
        <f>+IFERROR(VLOOKUP(A196,'ID6&amp;7'!A:I,9,FALSE),"-")</f>
        <v>-</v>
      </c>
      <c r="X196" s="26" t="str">
        <f>+IFERROR(VLOOKUP(A196,'ID6&amp;7'!A:J,10,FALSE),"-")</f>
        <v>-</v>
      </c>
      <c r="Y196" s="26"/>
      <c r="Z196" s="27" t="str">
        <f t="shared" si="4"/>
        <v>Por iniciar</v>
      </c>
      <c r="AA196" s="65"/>
    </row>
    <row r="197" spans="1:27">
      <c r="A197" s="20"/>
      <c r="B197" s="60"/>
      <c r="C197" s="60"/>
      <c r="D197" s="60"/>
      <c r="E197" s="60"/>
      <c r="F197" s="60"/>
      <c r="G197" s="60"/>
      <c r="H197" s="65" t="s">
        <v>117</v>
      </c>
      <c r="I197" s="21" t="s">
        <v>1257</v>
      </c>
      <c r="J197" s="26">
        <f>+COUNTIF('ID1&amp;5'!G:G,'1. Status'!I197)</f>
        <v>0</v>
      </c>
      <c r="K197" s="79" t="str">
        <f>+IFERROR(VLOOKUP(CONCATENATE(A197,$B$10,B197),'ID1&amp;5'!B:J,8,FALSE),"-")</f>
        <v>-</v>
      </c>
      <c r="L197" s="78" t="str">
        <f>+IFERROR(VLOOKUP(B197,'ID1&amp;5'!K:L,2,FALSE),"-")</f>
        <v>-</v>
      </c>
      <c r="M197" s="79" t="str">
        <f>+IFERROR(VLOOKUP(CONCATENATE(A197,$B$10,B197),'ID1&amp;5'!B:J,9,FALSE),"-")</f>
        <v>-</v>
      </c>
      <c r="N197" s="79" t="str">
        <f>+IFERROR(VLOOKUP(CONCATENATE(A197,$C$10,C197),'ID1&amp;5'!B:J,8,FALSE),"-")</f>
        <v>-</v>
      </c>
      <c r="O197" s="78" t="str">
        <f>+IFERROR(VLOOKUP(C197,'ID1&amp;5'!K:L,2,FALSE),"-")</f>
        <v>-</v>
      </c>
      <c r="P197" s="79" t="str">
        <f>+IFERROR(VLOOKUP(CONCATENATE(A197,$C$10,C197),'ID1&amp;5'!B:J,9,FALSE),"-")</f>
        <v>-</v>
      </c>
      <c r="Q197" s="78" t="str">
        <f>+IFERROR(VLOOKUP(D197,'ID1&amp;5'!K:L,2,FALSE),"-")</f>
        <v>-</v>
      </c>
      <c r="R197" s="26" t="str">
        <f>+IFERROR(VLOOKUP(CONCATENATE(A197,$D$10,D197),'ID1&amp;5'!B:J,9,FALSE),"-")</f>
        <v>-</v>
      </c>
      <c r="S197" s="78" t="str">
        <f>+IFERROR(VLOOKUP(E197,'ID1&amp;5'!K:L,2,FALSE),"-")</f>
        <v>-</v>
      </c>
      <c r="T197" s="79" t="str">
        <f>+IFERROR(VLOOKUP(CONCATENATE(A197,$E$10,E197),'ID1&amp;5'!B:J,9,FALSE),"-")</f>
        <v>-</v>
      </c>
      <c r="U197" s="78" t="str">
        <f>+IFERROR(VLOOKUP(F197,'ID1&amp;5'!K:L,2,FALSE),"-")</f>
        <v>-</v>
      </c>
      <c r="V197" s="79" t="str">
        <f>+IFERROR(VLOOKUP(CONCATENATE(A197,$F$10,F197),'ID1&amp;5'!B:J,9,FALSE),"-")</f>
        <v>-</v>
      </c>
      <c r="W197" s="26" t="str">
        <f>+IFERROR(VLOOKUP(A197,'ID6&amp;7'!A:I,9,FALSE),"-")</f>
        <v>-</v>
      </c>
      <c r="X197" s="26" t="str">
        <f>+IFERROR(VLOOKUP(A197,'ID6&amp;7'!A:J,10,FALSE),"-")</f>
        <v>-</v>
      </c>
      <c r="Y197" s="26"/>
      <c r="Z197" s="27" t="str">
        <f t="shared" si="4"/>
        <v>Por iniciar</v>
      </c>
      <c r="AA197" s="65"/>
    </row>
    <row r="198" spans="1:27">
      <c r="A198" s="20"/>
      <c r="B198" s="60"/>
      <c r="C198" s="60"/>
      <c r="D198" s="60"/>
      <c r="E198" s="60"/>
      <c r="F198" s="60"/>
      <c r="G198" s="60"/>
      <c r="H198" s="65" t="s">
        <v>117</v>
      </c>
      <c r="I198" s="21" t="s">
        <v>1258</v>
      </c>
      <c r="J198" s="26">
        <f>+COUNTIF('ID1&amp;5'!G:G,'1. Status'!I198)</f>
        <v>0</v>
      </c>
      <c r="K198" s="79" t="str">
        <f>+IFERROR(VLOOKUP(CONCATENATE(A198,$B$10,B198),'ID1&amp;5'!B:J,8,FALSE),"-")</f>
        <v>-</v>
      </c>
      <c r="L198" s="78" t="str">
        <f>+IFERROR(VLOOKUP(B198,'ID1&amp;5'!K:L,2,FALSE),"-")</f>
        <v>-</v>
      </c>
      <c r="M198" s="79" t="str">
        <f>+IFERROR(VLOOKUP(CONCATENATE(A198,$B$10,B198),'ID1&amp;5'!B:J,9,FALSE),"-")</f>
        <v>-</v>
      </c>
      <c r="N198" s="79" t="str">
        <f>+IFERROR(VLOOKUP(CONCATENATE(A198,$C$10,C198),'ID1&amp;5'!B:J,8,FALSE),"-")</f>
        <v>-</v>
      </c>
      <c r="O198" s="78" t="str">
        <f>+IFERROR(VLOOKUP(C198,'ID1&amp;5'!K:L,2,FALSE),"-")</f>
        <v>-</v>
      </c>
      <c r="P198" s="79" t="str">
        <f>+IFERROR(VLOOKUP(CONCATENATE(A198,$C$10,C198),'ID1&amp;5'!B:J,9,FALSE),"-")</f>
        <v>-</v>
      </c>
      <c r="Q198" s="78" t="str">
        <f>+IFERROR(VLOOKUP(D198,'ID1&amp;5'!K:L,2,FALSE),"-")</f>
        <v>-</v>
      </c>
      <c r="R198" s="26" t="str">
        <f>+IFERROR(VLOOKUP(CONCATENATE(A198,$D$10,D198),'ID1&amp;5'!B:J,9,FALSE),"-")</f>
        <v>-</v>
      </c>
      <c r="S198" s="78" t="str">
        <f>+IFERROR(VLOOKUP(E198,'ID1&amp;5'!K:L,2,FALSE),"-")</f>
        <v>-</v>
      </c>
      <c r="T198" s="79" t="str">
        <f>+IFERROR(VLOOKUP(CONCATENATE(A198,$E$10,E198),'ID1&amp;5'!B:J,9,FALSE),"-")</f>
        <v>-</v>
      </c>
      <c r="U198" s="78" t="str">
        <f>+IFERROR(VLOOKUP(F198,'ID1&amp;5'!K:L,2,FALSE),"-")</f>
        <v>-</v>
      </c>
      <c r="V198" s="79" t="str">
        <f>+IFERROR(VLOOKUP(CONCATENATE(A198,$F$10,F198),'ID1&amp;5'!B:J,9,FALSE),"-")</f>
        <v>-</v>
      </c>
      <c r="W198" s="26" t="str">
        <f>+IFERROR(VLOOKUP(A198,'ID6&amp;7'!A:I,9,FALSE),"-")</f>
        <v>-</v>
      </c>
      <c r="X198" s="26" t="str">
        <f>+IFERROR(VLOOKUP(A198,'ID6&amp;7'!A:J,10,FALSE),"-")</f>
        <v>-</v>
      </c>
      <c r="Y198" s="26"/>
      <c r="Z198" s="27" t="str">
        <f t="shared" si="4"/>
        <v>Por iniciar</v>
      </c>
      <c r="AA198" s="65"/>
    </row>
    <row r="199" spans="1:27">
      <c r="A199" s="20"/>
      <c r="B199" s="60"/>
      <c r="C199" s="60"/>
      <c r="D199" s="60"/>
      <c r="E199" s="60"/>
      <c r="F199" s="60"/>
      <c r="G199" s="60"/>
      <c r="H199" s="65" t="s">
        <v>117</v>
      </c>
      <c r="I199" s="21" t="s">
        <v>1259</v>
      </c>
      <c r="J199" s="26">
        <f>+COUNTIF('ID1&amp;5'!G:G,'1. Status'!I199)</f>
        <v>0</v>
      </c>
      <c r="K199" s="79" t="str">
        <f>+IFERROR(VLOOKUP(CONCATENATE(A199,$B$10,B199),'ID1&amp;5'!B:J,8,FALSE),"-")</f>
        <v>-</v>
      </c>
      <c r="L199" s="78" t="str">
        <f>+IFERROR(VLOOKUP(B199,'ID1&amp;5'!K:L,2,FALSE),"-")</f>
        <v>-</v>
      </c>
      <c r="M199" s="79" t="str">
        <f>+IFERROR(VLOOKUP(CONCATENATE(A199,$B$10,B199),'ID1&amp;5'!B:J,9,FALSE),"-")</f>
        <v>-</v>
      </c>
      <c r="N199" s="79" t="str">
        <f>+IFERROR(VLOOKUP(CONCATENATE(A199,$C$10,C199),'ID1&amp;5'!B:J,8,FALSE),"-")</f>
        <v>-</v>
      </c>
      <c r="O199" s="78" t="str">
        <f>+IFERROR(VLOOKUP(C199,'ID1&amp;5'!K:L,2,FALSE),"-")</f>
        <v>-</v>
      </c>
      <c r="P199" s="79" t="str">
        <f>+IFERROR(VLOOKUP(CONCATENATE(A199,$C$10,C199),'ID1&amp;5'!B:J,9,FALSE),"-")</f>
        <v>-</v>
      </c>
      <c r="Q199" s="78" t="str">
        <f>+IFERROR(VLOOKUP(D199,'ID1&amp;5'!K:L,2,FALSE),"-")</f>
        <v>-</v>
      </c>
      <c r="R199" s="26" t="str">
        <f>+IFERROR(VLOOKUP(CONCATENATE(A199,$D$10,D199),'ID1&amp;5'!B:J,9,FALSE),"-")</f>
        <v>-</v>
      </c>
      <c r="S199" s="78" t="str">
        <f>+IFERROR(VLOOKUP(E199,'ID1&amp;5'!K:L,2,FALSE),"-")</f>
        <v>-</v>
      </c>
      <c r="T199" s="79" t="str">
        <f>+IFERROR(VLOOKUP(CONCATENATE(A199,$E$10,E199),'ID1&amp;5'!B:J,9,FALSE),"-")</f>
        <v>-</v>
      </c>
      <c r="U199" s="78" t="str">
        <f>+IFERROR(VLOOKUP(F199,'ID1&amp;5'!K:L,2,FALSE),"-")</f>
        <v>-</v>
      </c>
      <c r="V199" s="79" t="str">
        <f>+IFERROR(VLOOKUP(CONCATENATE(A199,$F$10,F199),'ID1&amp;5'!B:J,9,FALSE),"-")</f>
        <v>-</v>
      </c>
      <c r="W199" s="26" t="str">
        <f>+IFERROR(VLOOKUP(A199,'ID6&amp;7'!A:I,9,FALSE),"-")</f>
        <v>-</v>
      </c>
      <c r="X199" s="26" t="str">
        <f>+IFERROR(VLOOKUP(A199,'ID6&amp;7'!A:J,10,FALSE),"-")</f>
        <v>-</v>
      </c>
      <c r="Y199" s="26"/>
      <c r="Z199" s="27" t="str">
        <f t="shared" si="4"/>
        <v>Por iniciar</v>
      </c>
      <c r="AA199" s="65"/>
    </row>
    <row r="200" spans="1:27">
      <c r="A200" s="20"/>
      <c r="B200" s="60"/>
      <c r="C200" s="60"/>
      <c r="D200" s="60"/>
      <c r="E200" s="60"/>
      <c r="F200" s="60"/>
      <c r="G200" s="60"/>
      <c r="H200" s="65" t="s">
        <v>117</v>
      </c>
      <c r="I200" s="21" t="s">
        <v>1260</v>
      </c>
      <c r="J200" s="26">
        <f>+COUNTIF('ID1&amp;5'!G:G,'1. Status'!I200)</f>
        <v>0</v>
      </c>
      <c r="K200" s="79" t="str">
        <f>+IFERROR(VLOOKUP(CONCATENATE(A200,$B$10,B200),'ID1&amp;5'!B:J,8,FALSE),"-")</f>
        <v>-</v>
      </c>
      <c r="L200" s="78" t="str">
        <f>+IFERROR(VLOOKUP(B200,'ID1&amp;5'!K:L,2,FALSE),"-")</f>
        <v>-</v>
      </c>
      <c r="M200" s="79" t="str">
        <f>+IFERROR(VLOOKUP(CONCATENATE(A200,$B$10,B200),'ID1&amp;5'!B:J,9,FALSE),"-")</f>
        <v>-</v>
      </c>
      <c r="N200" s="79" t="str">
        <f>+IFERROR(VLOOKUP(CONCATENATE(A200,$C$10,C200),'ID1&amp;5'!B:J,8,FALSE),"-")</f>
        <v>-</v>
      </c>
      <c r="O200" s="78" t="str">
        <f>+IFERROR(VLOOKUP(C200,'ID1&amp;5'!K:L,2,FALSE),"-")</f>
        <v>-</v>
      </c>
      <c r="P200" s="79" t="str">
        <f>+IFERROR(VLOOKUP(CONCATENATE(A200,$C$10,C200),'ID1&amp;5'!B:J,9,FALSE),"-")</f>
        <v>-</v>
      </c>
      <c r="Q200" s="78" t="str">
        <f>+IFERROR(VLOOKUP(D200,'ID1&amp;5'!K:L,2,FALSE),"-")</f>
        <v>-</v>
      </c>
      <c r="R200" s="26" t="str">
        <f>+IFERROR(VLOOKUP(CONCATENATE(A200,$D$10,D200),'ID1&amp;5'!B:J,9,FALSE),"-")</f>
        <v>-</v>
      </c>
      <c r="S200" s="78" t="str">
        <f>+IFERROR(VLOOKUP(E200,'ID1&amp;5'!K:L,2,FALSE),"-")</f>
        <v>-</v>
      </c>
      <c r="T200" s="79" t="str">
        <f>+IFERROR(VLOOKUP(CONCATENATE(A200,$E$10,E200),'ID1&amp;5'!B:J,9,FALSE),"-")</f>
        <v>-</v>
      </c>
      <c r="U200" s="78" t="str">
        <f>+IFERROR(VLOOKUP(F200,'ID1&amp;5'!K:L,2,FALSE),"-")</f>
        <v>-</v>
      </c>
      <c r="V200" s="79" t="str">
        <f>+IFERROR(VLOOKUP(CONCATENATE(A200,$F$10,F200),'ID1&amp;5'!B:J,9,FALSE),"-")</f>
        <v>-</v>
      </c>
      <c r="W200" s="26" t="str">
        <f>+IFERROR(VLOOKUP(A200,'ID6&amp;7'!A:I,9,FALSE),"-")</f>
        <v>-</v>
      </c>
      <c r="X200" s="26" t="str">
        <f>+IFERROR(VLOOKUP(A200,'ID6&amp;7'!A:J,10,FALSE),"-")</f>
        <v>-</v>
      </c>
      <c r="Y200" s="26"/>
      <c r="Z200" s="27" t="str">
        <f t="shared" si="4"/>
        <v>Por iniciar</v>
      </c>
      <c r="AA200" s="65"/>
    </row>
    <row r="201" spans="1:27">
      <c r="A201" s="20"/>
      <c r="B201" s="60"/>
      <c r="C201" s="60"/>
      <c r="D201" s="60"/>
      <c r="E201" s="60"/>
      <c r="F201" s="60"/>
      <c r="G201" s="60"/>
      <c r="H201" s="65" t="s">
        <v>117</v>
      </c>
      <c r="I201" s="21" t="s">
        <v>1261</v>
      </c>
      <c r="J201" s="26">
        <f>+COUNTIF('ID1&amp;5'!G:G,'1. Status'!I201)</f>
        <v>0</v>
      </c>
      <c r="K201" s="79" t="str">
        <f>+IFERROR(VLOOKUP(CONCATENATE(A201,$B$10,B201),'ID1&amp;5'!B:J,8,FALSE),"-")</f>
        <v>-</v>
      </c>
      <c r="L201" s="78" t="str">
        <f>+IFERROR(VLOOKUP(B201,'ID1&amp;5'!K:L,2,FALSE),"-")</f>
        <v>-</v>
      </c>
      <c r="M201" s="79" t="str">
        <f>+IFERROR(VLOOKUP(CONCATENATE(A201,$B$10,B201),'ID1&amp;5'!B:J,9,FALSE),"-")</f>
        <v>-</v>
      </c>
      <c r="N201" s="79" t="str">
        <f>+IFERROR(VLOOKUP(CONCATENATE(A201,$C$10,C201),'ID1&amp;5'!B:J,8,FALSE),"-")</f>
        <v>-</v>
      </c>
      <c r="O201" s="78" t="str">
        <f>+IFERROR(VLOOKUP(C201,'ID1&amp;5'!K:L,2,FALSE),"-")</f>
        <v>-</v>
      </c>
      <c r="P201" s="79" t="str">
        <f>+IFERROR(VLOOKUP(CONCATENATE(A201,$C$10,C201),'ID1&amp;5'!B:J,9,FALSE),"-")</f>
        <v>-</v>
      </c>
      <c r="Q201" s="78" t="str">
        <f>+IFERROR(VLOOKUP(D201,'ID1&amp;5'!K:L,2,FALSE),"-")</f>
        <v>-</v>
      </c>
      <c r="R201" s="26" t="str">
        <f>+IFERROR(VLOOKUP(CONCATENATE(A201,$D$10,D201),'ID1&amp;5'!B:J,9,FALSE),"-")</f>
        <v>-</v>
      </c>
      <c r="S201" s="78" t="str">
        <f>+IFERROR(VLOOKUP(E201,'ID1&amp;5'!K:L,2,FALSE),"-")</f>
        <v>-</v>
      </c>
      <c r="T201" s="79" t="str">
        <f>+IFERROR(VLOOKUP(CONCATENATE(A201,$E$10,E201),'ID1&amp;5'!B:J,9,FALSE),"-")</f>
        <v>-</v>
      </c>
      <c r="U201" s="78" t="str">
        <f>+IFERROR(VLOOKUP(F201,'ID1&amp;5'!K:L,2,FALSE),"-")</f>
        <v>-</v>
      </c>
      <c r="V201" s="79" t="str">
        <f>+IFERROR(VLOOKUP(CONCATENATE(A201,$F$10,F201),'ID1&amp;5'!B:J,9,FALSE),"-")</f>
        <v>-</v>
      </c>
      <c r="W201" s="26" t="str">
        <f>+IFERROR(VLOOKUP(A201,'ID6&amp;7'!A:I,9,FALSE),"-")</f>
        <v>-</v>
      </c>
      <c r="X201" s="26" t="str">
        <f>+IFERROR(VLOOKUP(A201,'ID6&amp;7'!A:J,10,FALSE),"-")</f>
        <v>-</v>
      </c>
      <c r="Y201" s="26"/>
      <c r="Z201" s="27" t="str">
        <f t="shared" si="4"/>
        <v>Por iniciar</v>
      </c>
      <c r="AA201" s="65"/>
    </row>
    <row r="202" spans="1:27">
      <c r="A202" s="20"/>
      <c r="B202" s="60"/>
      <c r="C202" s="60"/>
      <c r="D202" s="60"/>
      <c r="E202" s="60"/>
      <c r="F202" s="60"/>
      <c r="G202" s="60"/>
      <c r="H202" s="65" t="s">
        <v>117</v>
      </c>
      <c r="I202" s="21" t="s">
        <v>1262</v>
      </c>
      <c r="J202" s="26">
        <f>+COUNTIF('ID1&amp;5'!G:G,'1. Status'!I202)</f>
        <v>0</v>
      </c>
      <c r="K202" s="79" t="str">
        <f>+IFERROR(VLOOKUP(CONCATENATE(A202,$B$10,B202),'ID1&amp;5'!B:J,8,FALSE),"-")</f>
        <v>-</v>
      </c>
      <c r="L202" s="78" t="str">
        <f>+IFERROR(VLOOKUP(B202,'ID1&amp;5'!K:L,2,FALSE),"-")</f>
        <v>-</v>
      </c>
      <c r="M202" s="79" t="str">
        <f>+IFERROR(VLOOKUP(CONCATENATE(A202,$B$10,B202),'ID1&amp;5'!B:J,9,FALSE),"-")</f>
        <v>-</v>
      </c>
      <c r="N202" s="79" t="str">
        <f>+IFERROR(VLOOKUP(CONCATENATE(A202,$C$10,C202),'ID1&amp;5'!B:J,8,FALSE),"-")</f>
        <v>-</v>
      </c>
      <c r="O202" s="78" t="str">
        <f>+IFERROR(VLOOKUP(C202,'ID1&amp;5'!K:L,2,FALSE),"-")</f>
        <v>-</v>
      </c>
      <c r="P202" s="79" t="str">
        <f>+IFERROR(VLOOKUP(CONCATENATE(A202,$C$10,C202),'ID1&amp;5'!B:J,9,FALSE),"-")</f>
        <v>-</v>
      </c>
      <c r="Q202" s="78" t="str">
        <f>+IFERROR(VLOOKUP(D202,'ID1&amp;5'!K:L,2,FALSE),"-")</f>
        <v>-</v>
      </c>
      <c r="R202" s="26" t="str">
        <f>+IFERROR(VLOOKUP(CONCATENATE(A202,$D$10,D202),'ID1&amp;5'!B:J,9,FALSE),"-")</f>
        <v>-</v>
      </c>
      <c r="S202" s="78" t="str">
        <f>+IFERROR(VLOOKUP(E202,'ID1&amp;5'!K:L,2,FALSE),"-")</f>
        <v>-</v>
      </c>
      <c r="T202" s="79" t="str">
        <f>+IFERROR(VLOOKUP(CONCATENATE(A202,$E$10,E202),'ID1&amp;5'!B:J,9,FALSE),"-")</f>
        <v>-</v>
      </c>
      <c r="U202" s="78" t="str">
        <f>+IFERROR(VLOOKUP(F202,'ID1&amp;5'!K:L,2,FALSE),"-")</f>
        <v>-</v>
      </c>
      <c r="V202" s="79" t="str">
        <f>+IFERROR(VLOOKUP(CONCATENATE(A202,$F$10,F202),'ID1&amp;5'!B:J,9,FALSE),"-")</f>
        <v>-</v>
      </c>
      <c r="W202" s="26" t="str">
        <f>+IFERROR(VLOOKUP(A202,'ID6&amp;7'!A:I,9,FALSE),"-")</f>
        <v>-</v>
      </c>
      <c r="X202" s="26" t="str">
        <f>+IFERROR(VLOOKUP(A202,'ID6&amp;7'!A:J,10,FALSE),"-")</f>
        <v>-</v>
      </c>
      <c r="Y202" s="26"/>
      <c r="Z202" s="27" t="str">
        <f t="shared" si="4"/>
        <v>Por iniciar</v>
      </c>
      <c r="AA202" s="65"/>
    </row>
    <row r="203" spans="1:27">
      <c r="A203" s="20"/>
      <c r="B203" s="60"/>
      <c r="C203" s="60"/>
      <c r="D203" s="60"/>
      <c r="E203" s="60"/>
      <c r="F203" s="60"/>
      <c r="G203" s="60"/>
      <c r="H203" s="65" t="s">
        <v>117</v>
      </c>
      <c r="I203" s="21" t="s">
        <v>1263</v>
      </c>
      <c r="J203" s="26">
        <f>+COUNTIF('ID1&amp;5'!G:G,'1. Status'!I203)</f>
        <v>0</v>
      </c>
      <c r="K203" s="79" t="str">
        <f>+IFERROR(VLOOKUP(CONCATENATE(A203,$B$10,B203),'ID1&amp;5'!B:J,8,FALSE),"-")</f>
        <v>-</v>
      </c>
      <c r="L203" s="78" t="str">
        <f>+IFERROR(VLOOKUP(B203,'ID1&amp;5'!K:L,2,FALSE),"-")</f>
        <v>-</v>
      </c>
      <c r="M203" s="79" t="str">
        <f>+IFERROR(VLOOKUP(CONCATENATE(A203,$B$10,B203),'ID1&amp;5'!B:J,9,FALSE),"-")</f>
        <v>-</v>
      </c>
      <c r="N203" s="79" t="str">
        <f>+IFERROR(VLOOKUP(CONCATENATE(A203,$C$10,C203),'ID1&amp;5'!B:J,8,FALSE),"-")</f>
        <v>-</v>
      </c>
      <c r="O203" s="78" t="str">
        <f>+IFERROR(VLOOKUP(C203,'ID1&amp;5'!K:L,2,FALSE),"-")</f>
        <v>-</v>
      </c>
      <c r="P203" s="79" t="str">
        <f>+IFERROR(VLOOKUP(CONCATENATE(A203,$C$10,C203),'ID1&amp;5'!B:J,9,FALSE),"-")</f>
        <v>-</v>
      </c>
      <c r="Q203" s="78" t="str">
        <f>+IFERROR(VLOOKUP(D203,'ID1&amp;5'!K:L,2,FALSE),"-")</f>
        <v>-</v>
      </c>
      <c r="R203" s="26" t="str">
        <f>+IFERROR(VLOOKUP(CONCATENATE(A203,$D$10,D203),'ID1&amp;5'!B:J,9,FALSE),"-")</f>
        <v>-</v>
      </c>
      <c r="S203" s="78" t="str">
        <f>+IFERROR(VLOOKUP(E203,'ID1&amp;5'!K:L,2,FALSE),"-")</f>
        <v>-</v>
      </c>
      <c r="T203" s="79" t="str">
        <f>+IFERROR(VLOOKUP(CONCATENATE(A203,$E$10,E203),'ID1&amp;5'!B:J,9,FALSE),"-")</f>
        <v>-</v>
      </c>
      <c r="U203" s="78" t="str">
        <f>+IFERROR(VLOOKUP(F203,'ID1&amp;5'!K:L,2,FALSE),"-")</f>
        <v>-</v>
      </c>
      <c r="V203" s="79" t="str">
        <f>+IFERROR(VLOOKUP(CONCATENATE(A203,$F$10,F203),'ID1&amp;5'!B:J,9,FALSE),"-")</f>
        <v>-</v>
      </c>
      <c r="W203" s="26" t="str">
        <f>+IFERROR(VLOOKUP(A203,'ID6&amp;7'!A:I,9,FALSE),"-")</f>
        <v>-</v>
      </c>
      <c r="X203" s="26" t="str">
        <f>+IFERROR(VLOOKUP(A203,'ID6&amp;7'!A:J,10,FALSE),"-")</f>
        <v>-</v>
      </c>
      <c r="Y203" s="26"/>
      <c r="Z203" s="27" t="str">
        <f t="shared" si="4"/>
        <v>Por iniciar</v>
      </c>
      <c r="AA203" s="65"/>
    </row>
    <row r="204" spans="1:27">
      <c r="A204" s="20"/>
      <c r="B204" s="60"/>
      <c r="C204" s="60"/>
      <c r="D204" s="60"/>
      <c r="E204" s="60"/>
      <c r="F204" s="60"/>
      <c r="G204" s="60"/>
      <c r="H204" s="65" t="s">
        <v>117</v>
      </c>
      <c r="I204" s="21" t="s">
        <v>1264</v>
      </c>
      <c r="J204" s="26">
        <f>+COUNTIF('ID1&amp;5'!G:G,'1. Status'!I204)</f>
        <v>0</v>
      </c>
      <c r="K204" s="79" t="str">
        <f>+IFERROR(VLOOKUP(CONCATENATE(A204,$B$10,B204),'ID1&amp;5'!B:J,8,FALSE),"-")</f>
        <v>-</v>
      </c>
      <c r="L204" s="78" t="str">
        <f>+IFERROR(VLOOKUP(B204,'ID1&amp;5'!K:L,2,FALSE),"-")</f>
        <v>-</v>
      </c>
      <c r="M204" s="79" t="str">
        <f>+IFERROR(VLOOKUP(CONCATENATE(A204,$B$10,B204),'ID1&amp;5'!B:J,9,FALSE),"-")</f>
        <v>-</v>
      </c>
      <c r="N204" s="79" t="str">
        <f>+IFERROR(VLOOKUP(CONCATENATE(A204,$C$10,C204),'ID1&amp;5'!B:J,8,FALSE),"-")</f>
        <v>-</v>
      </c>
      <c r="O204" s="78" t="str">
        <f>+IFERROR(VLOOKUP(C204,'ID1&amp;5'!K:L,2,FALSE),"-")</f>
        <v>-</v>
      </c>
      <c r="P204" s="79" t="str">
        <f>+IFERROR(VLOOKUP(CONCATENATE(A204,$C$10,C204),'ID1&amp;5'!B:J,9,FALSE),"-")</f>
        <v>-</v>
      </c>
      <c r="Q204" s="78" t="str">
        <f>+IFERROR(VLOOKUP(D204,'ID1&amp;5'!K:L,2,FALSE),"-")</f>
        <v>-</v>
      </c>
      <c r="R204" s="26" t="str">
        <f>+IFERROR(VLOOKUP(CONCATENATE(A204,$D$10,D204),'ID1&amp;5'!B:J,9,FALSE),"-")</f>
        <v>-</v>
      </c>
      <c r="S204" s="78" t="str">
        <f>+IFERROR(VLOOKUP(E204,'ID1&amp;5'!K:L,2,FALSE),"-")</f>
        <v>-</v>
      </c>
      <c r="T204" s="79" t="str">
        <f>+IFERROR(VLOOKUP(CONCATENATE(A204,$E$10,E204),'ID1&amp;5'!B:J,9,FALSE),"-")</f>
        <v>-</v>
      </c>
      <c r="U204" s="78" t="str">
        <f>+IFERROR(VLOOKUP(F204,'ID1&amp;5'!K:L,2,FALSE),"-")</f>
        <v>-</v>
      </c>
      <c r="V204" s="79" t="str">
        <f>+IFERROR(VLOOKUP(CONCATENATE(A204,$F$10,F204),'ID1&amp;5'!B:J,9,FALSE),"-")</f>
        <v>-</v>
      </c>
      <c r="W204" s="26" t="str">
        <f>+IFERROR(VLOOKUP(A204,'ID6&amp;7'!A:I,9,FALSE),"-")</f>
        <v>-</v>
      </c>
      <c r="X204" s="26" t="str">
        <f>+IFERROR(VLOOKUP(A204,'ID6&amp;7'!A:J,10,FALSE),"-")</f>
        <v>-</v>
      </c>
      <c r="Y204" s="26"/>
      <c r="Z204" s="27" t="str">
        <f t="shared" si="4"/>
        <v>Por iniciar</v>
      </c>
      <c r="AA204" s="65"/>
    </row>
    <row r="205" spans="1:27">
      <c r="A205" s="20"/>
      <c r="B205" s="60"/>
      <c r="C205" s="60"/>
      <c r="D205" s="60"/>
      <c r="E205" s="60"/>
      <c r="F205" s="60"/>
      <c r="G205" s="60"/>
      <c r="H205" s="65" t="s">
        <v>117</v>
      </c>
      <c r="I205" s="21" t="s">
        <v>1265</v>
      </c>
      <c r="J205" s="26">
        <f>+COUNTIF('ID1&amp;5'!G:G,'1. Status'!I205)</f>
        <v>0</v>
      </c>
      <c r="K205" s="79" t="str">
        <f>+IFERROR(VLOOKUP(CONCATENATE(A205,$B$10,B205),'ID1&amp;5'!B:J,8,FALSE),"-")</f>
        <v>-</v>
      </c>
      <c r="L205" s="78" t="str">
        <f>+IFERROR(VLOOKUP(B205,'ID1&amp;5'!K:L,2,FALSE),"-")</f>
        <v>-</v>
      </c>
      <c r="M205" s="79" t="str">
        <f>+IFERROR(VLOOKUP(CONCATENATE(A205,$B$10,B205),'ID1&amp;5'!B:J,9,FALSE),"-")</f>
        <v>-</v>
      </c>
      <c r="N205" s="79" t="str">
        <f>+IFERROR(VLOOKUP(CONCATENATE(A205,$C$10,C205),'ID1&amp;5'!B:J,8,FALSE),"-")</f>
        <v>-</v>
      </c>
      <c r="O205" s="78" t="str">
        <f>+IFERROR(VLOOKUP(C205,'ID1&amp;5'!K:L,2,FALSE),"-")</f>
        <v>-</v>
      </c>
      <c r="P205" s="79" t="str">
        <f>+IFERROR(VLOOKUP(CONCATENATE(A205,$C$10,C205),'ID1&amp;5'!B:J,9,FALSE),"-")</f>
        <v>-</v>
      </c>
      <c r="Q205" s="78" t="str">
        <f>+IFERROR(VLOOKUP(D205,'ID1&amp;5'!K:L,2,FALSE),"-")</f>
        <v>-</v>
      </c>
      <c r="R205" s="26" t="str">
        <f>+IFERROR(VLOOKUP(CONCATENATE(A205,$D$10,D205),'ID1&amp;5'!B:J,9,FALSE),"-")</f>
        <v>-</v>
      </c>
      <c r="S205" s="78" t="str">
        <f>+IFERROR(VLOOKUP(E205,'ID1&amp;5'!K:L,2,FALSE),"-")</f>
        <v>-</v>
      </c>
      <c r="T205" s="79" t="str">
        <f>+IFERROR(VLOOKUP(CONCATENATE(A205,$E$10,E205),'ID1&amp;5'!B:J,9,FALSE),"-")</f>
        <v>-</v>
      </c>
      <c r="U205" s="78" t="str">
        <f>+IFERROR(VLOOKUP(F205,'ID1&amp;5'!K:L,2,FALSE),"-")</f>
        <v>-</v>
      </c>
      <c r="V205" s="79" t="str">
        <f>+IFERROR(VLOOKUP(CONCATENATE(A205,$F$10,F205),'ID1&amp;5'!B:J,9,FALSE),"-")</f>
        <v>-</v>
      </c>
      <c r="W205" s="26" t="str">
        <f>+IFERROR(VLOOKUP(A205,'ID6&amp;7'!A:I,9,FALSE),"-")</f>
        <v>-</v>
      </c>
      <c r="X205" s="26" t="str">
        <f>+IFERROR(VLOOKUP(A205,'ID6&amp;7'!A:J,10,FALSE),"-")</f>
        <v>-</v>
      </c>
      <c r="Y205" s="26"/>
      <c r="Z205" s="27" t="str">
        <f t="shared" si="4"/>
        <v>Por iniciar</v>
      </c>
      <c r="AA205" s="65"/>
    </row>
    <row r="206" spans="1:27">
      <c r="A206" s="20"/>
      <c r="B206" s="60"/>
      <c r="C206" s="60"/>
      <c r="D206" s="60"/>
      <c r="E206" s="60"/>
      <c r="F206" s="60"/>
      <c r="G206" s="60"/>
      <c r="H206" s="65" t="s">
        <v>117</v>
      </c>
      <c r="I206" s="21" t="s">
        <v>1266</v>
      </c>
      <c r="J206" s="26">
        <f>+COUNTIF('ID1&amp;5'!G:G,'1. Status'!I206)</f>
        <v>0</v>
      </c>
      <c r="K206" s="79" t="str">
        <f>+IFERROR(VLOOKUP(CONCATENATE(A206,$B$10,B206),'ID1&amp;5'!B:J,8,FALSE),"-")</f>
        <v>-</v>
      </c>
      <c r="L206" s="78" t="str">
        <f>+IFERROR(VLOOKUP(B206,'ID1&amp;5'!K:L,2,FALSE),"-")</f>
        <v>-</v>
      </c>
      <c r="M206" s="79" t="str">
        <f>+IFERROR(VLOOKUP(CONCATENATE(A206,$B$10,B206),'ID1&amp;5'!B:J,9,FALSE),"-")</f>
        <v>-</v>
      </c>
      <c r="N206" s="79" t="str">
        <f>+IFERROR(VLOOKUP(CONCATENATE(A206,$C$10,C206),'ID1&amp;5'!B:J,8,FALSE),"-")</f>
        <v>-</v>
      </c>
      <c r="O206" s="78" t="str">
        <f>+IFERROR(VLOOKUP(C206,'ID1&amp;5'!K:L,2,FALSE),"-")</f>
        <v>-</v>
      </c>
      <c r="P206" s="79" t="str">
        <f>+IFERROR(VLOOKUP(CONCATENATE(A206,$C$10,C206),'ID1&amp;5'!B:J,9,FALSE),"-")</f>
        <v>-</v>
      </c>
      <c r="Q206" s="78" t="str">
        <f>+IFERROR(VLOOKUP(D206,'ID1&amp;5'!K:L,2,FALSE),"-")</f>
        <v>-</v>
      </c>
      <c r="R206" s="26" t="str">
        <f>+IFERROR(VLOOKUP(CONCATENATE(A206,$D$10,D206),'ID1&amp;5'!B:J,9,FALSE),"-")</f>
        <v>-</v>
      </c>
      <c r="S206" s="78" t="str">
        <f>+IFERROR(VLOOKUP(E206,'ID1&amp;5'!K:L,2,FALSE),"-")</f>
        <v>-</v>
      </c>
      <c r="T206" s="79" t="str">
        <f>+IFERROR(VLOOKUP(CONCATENATE(A206,$E$10,E206),'ID1&amp;5'!B:J,9,FALSE),"-")</f>
        <v>-</v>
      </c>
      <c r="U206" s="78" t="str">
        <f>+IFERROR(VLOOKUP(F206,'ID1&amp;5'!K:L,2,FALSE),"-")</f>
        <v>-</v>
      </c>
      <c r="V206" s="79" t="str">
        <f>+IFERROR(VLOOKUP(CONCATENATE(A206,$F$10,F206),'ID1&amp;5'!B:J,9,FALSE),"-")</f>
        <v>-</v>
      </c>
      <c r="W206" s="26" t="str">
        <f>+IFERROR(VLOOKUP(A206,'ID6&amp;7'!A:I,9,FALSE),"-")</f>
        <v>-</v>
      </c>
      <c r="X206" s="26" t="str">
        <f>+IFERROR(VLOOKUP(A206,'ID6&amp;7'!A:J,10,FALSE),"-")</f>
        <v>-</v>
      </c>
      <c r="Y206" s="26"/>
      <c r="Z206" s="27" t="str">
        <f t="shared" si="4"/>
        <v>Por iniciar</v>
      </c>
      <c r="AA206" s="65"/>
    </row>
    <row r="207" spans="1:27">
      <c r="A207" s="20"/>
      <c r="B207" s="60"/>
      <c r="C207" s="60"/>
      <c r="D207" s="60"/>
      <c r="E207" s="60"/>
      <c r="F207" s="60"/>
      <c r="G207" s="60"/>
      <c r="H207" s="65" t="s">
        <v>117</v>
      </c>
      <c r="I207" s="21" t="s">
        <v>1267</v>
      </c>
      <c r="J207" s="26">
        <f>+COUNTIF('ID1&amp;5'!G:G,'1. Status'!I207)</f>
        <v>0</v>
      </c>
      <c r="K207" s="79" t="str">
        <f>+IFERROR(VLOOKUP(CONCATENATE(A207,$B$10,B207),'ID1&amp;5'!B:J,8,FALSE),"-")</f>
        <v>-</v>
      </c>
      <c r="L207" s="78" t="str">
        <f>+IFERROR(VLOOKUP(B207,'ID1&amp;5'!K:L,2,FALSE),"-")</f>
        <v>-</v>
      </c>
      <c r="M207" s="79" t="str">
        <f>+IFERROR(VLOOKUP(CONCATENATE(A207,$B$10,B207),'ID1&amp;5'!B:J,9,FALSE),"-")</f>
        <v>-</v>
      </c>
      <c r="N207" s="79" t="str">
        <f>+IFERROR(VLOOKUP(CONCATENATE(A207,$C$10,C207),'ID1&amp;5'!B:J,8,FALSE),"-")</f>
        <v>-</v>
      </c>
      <c r="O207" s="78" t="str">
        <f>+IFERROR(VLOOKUP(C207,'ID1&amp;5'!K:L,2,FALSE),"-")</f>
        <v>-</v>
      </c>
      <c r="P207" s="79" t="str">
        <f>+IFERROR(VLOOKUP(CONCATENATE(A207,$C$10,C207),'ID1&amp;5'!B:J,9,FALSE),"-")</f>
        <v>-</v>
      </c>
      <c r="Q207" s="78" t="str">
        <f>+IFERROR(VLOOKUP(D207,'ID1&amp;5'!K:L,2,FALSE),"-")</f>
        <v>-</v>
      </c>
      <c r="R207" s="26" t="str">
        <f>+IFERROR(VLOOKUP(CONCATENATE(A207,$D$10,D207),'ID1&amp;5'!B:J,9,FALSE),"-")</f>
        <v>-</v>
      </c>
      <c r="S207" s="78" t="str">
        <f>+IFERROR(VLOOKUP(E207,'ID1&amp;5'!K:L,2,FALSE),"-")</f>
        <v>-</v>
      </c>
      <c r="T207" s="79" t="str">
        <f>+IFERROR(VLOOKUP(CONCATENATE(A207,$E$10,E207),'ID1&amp;5'!B:J,9,FALSE),"-")</f>
        <v>-</v>
      </c>
      <c r="U207" s="78" t="str">
        <f>+IFERROR(VLOOKUP(F207,'ID1&amp;5'!K:L,2,FALSE),"-")</f>
        <v>-</v>
      </c>
      <c r="V207" s="79" t="str">
        <f>+IFERROR(VLOOKUP(CONCATENATE(A207,$F$10,F207),'ID1&amp;5'!B:J,9,FALSE),"-")</f>
        <v>-</v>
      </c>
      <c r="W207" s="26" t="str">
        <f>+IFERROR(VLOOKUP(A207,'ID6&amp;7'!A:I,9,FALSE),"-")</f>
        <v>-</v>
      </c>
      <c r="X207" s="26" t="str">
        <f>+IFERROR(VLOOKUP(A207,'ID6&amp;7'!A:J,10,FALSE),"-")</f>
        <v>-</v>
      </c>
      <c r="Y207" s="26"/>
      <c r="Z207" s="27" t="str">
        <f t="shared" si="4"/>
        <v>Por iniciar</v>
      </c>
      <c r="AA207" s="65"/>
    </row>
    <row r="208" spans="1:27">
      <c r="A208" s="20"/>
      <c r="B208" s="60"/>
      <c r="C208" s="60"/>
      <c r="D208" s="60"/>
      <c r="E208" s="60"/>
      <c r="F208" s="60"/>
      <c r="G208" s="60"/>
      <c r="H208" s="65" t="s">
        <v>117</v>
      </c>
      <c r="I208" s="21" t="s">
        <v>1268</v>
      </c>
      <c r="J208" s="26">
        <f>+COUNTIF('ID1&amp;5'!G:G,'1. Status'!I208)</f>
        <v>0</v>
      </c>
      <c r="K208" s="79" t="str">
        <f>+IFERROR(VLOOKUP(CONCATENATE(A208,$B$10,B208),'ID1&amp;5'!B:J,8,FALSE),"-")</f>
        <v>-</v>
      </c>
      <c r="L208" s="78" t="str">
        <f>+IFERROR(VLOOKUP(B208,'ID1&amp;5'!K:L,2,FALSE),"-")</f>
        <v>-</v>
      </c>
      <c r="M208" s="79" t="str">
        <f>+IFERROR(VLOOKUP(CONCATENATE(A208,$B$10,B208),'ID1&amp;5'!B:J,9,FALSE),"-")</f>
        <v>-</v>
      </c>
      <c r="N208" s="79" t="str">
        <f>+IFERROR(VLOOKUP(CONCATENATE(A208,$C$10,C208),'ID1&amp;5'!B:J,8,FALSE),"-")</f>
        <v>-</v>
      </c>
      <c r="O208" s="78" t="str">
        <f>+IFERROR(VLOOKUP(C208,'ID1&amp;5'!K:L,2,FALSE),"-")</f>
        <v>-</v>
      </c>
      <c r="P208" s="79" t="str">
        <f>+IFERROR(VLOOKUP(CONCATENATE(A208,$C$10,C208),'ID1&amp;5'!B:J,9,FALSE),"-")</f>
        <v>-</v>
      </c>
      <c r="Q208" s="78" t="str">
        <f>+IFERROR(VLOOKUP(D208,'ID1&amp;5'!K:L,2,FALSE),"-")</f>
        <v>-</v>
      </c>
      <c r="R208" s="26" t="str">
        <f>+IFERROR(VLOOKUP(CONCATENATE(A208,$D$10,D208),'ID1&amp;5'!B:J,9,FALSE),"-")</f>
        <v>-</v>
      </c>
      <c r="S208" s="78" t="str">
        <f>+IFERROR(VLOOKUP(E208,'ID1&amp;5'!K:L,2,FALSE),"-")</f>
        <v>-</v>
      </c>
      <c r="T208" s="79" t="str">
        <f>+IFERROR(VLOOKUP(CONCATENATE(A208,$E$10,E208),'ID1&amp;5'!B:J,9,FALSE),"-")</f>
        <v>-</v>
      </c>
      <c r="U208" s="78" t="str">
        <f>+IFERROR(VLOOKUP(F208,'ID1&amp;5'!K:L,2,FALSE),"-")</f>
        <v>-</v>
      </c>
      <c r="V208" s="79" t="str">
        <f>+IFERROR(VLOOKUP(CONCATENATE(A208,$F$10,F208),'ID1&amp;5'!B:J,9,FALSE),"-")</f>
        <v>-</v>
      </c>
      <c r="W208" s="26" t="str">
        <f>+IFERROR(VLOOKUP(A208,'ID6&amp;7'!A:I,9,FALSE),"-")</f>
        <v>-</v>
      </c>
      <c r="X208" s="26" t="str">
        <f>+IFERROR(VLOOKUP(A208,'ID6&amp;7'!A:J,10,FALSE),"-")</f>
        <v>-</v>
      </c>
      <c r="Y208" s="26"/>
      <c r="Z208" s="27" t="str">
        <f t="shared" si="4"/>
        <v>Por iniciar</v>
      </c>
      <c r="AA208" s="65"/>
    </row>
    <row r="209" spans="1:27">
      <c r="A209" s="20"/>
      <c r="B209" s="60"/>
      <c r="C209" s="60"/>
      <c r="D209" s="60"/>
      <c r="E209" s="60"/>
      <c r="F209" s="60"/>
      <c r="G209" s="60"/>
      <c r="H209" s="65" t="s">
        <v>117</v>
      </c>
      <c r="I209" s="21" t="s">
        <v>1269</v>
      </c>
      <c r="J209" s="26">
        <f>+COUNTIF('ID1&amp;5'!G:G,'1. Status'!I209)</f>
        <v>0</v>
      </c>
      <c r="K209" s="79" t="str">
        <f>+IFERROR(VLOOKUP(CONCATENATE(A209,$B$10,B209),'ID1&amp;5'!B:J,8,FALSE),"-")</f>
        <v>-</v>
      </c>
      <c r="L209" s="78" t="str">
        <f>+IFERROR(VLOOKUP(B209,'ID1&amp;5'!K:L,2,FALSE),"-")</f>
        <v>-</v>
      </c>
      <c r="M209" s="79" t="str">
        <f>+IFERROR(VLOOKUP(CONCATENATE(A209,$B$10,B209),'ID1&amp;5'!B:J,9,FALSE),"-")</f>
        <v>-</v>
      </c>
      <c r="N209" s="79" t="str">
        <f>+IFERROR(VLOOKUP(CONCATENATE(A209,$C$10,C209),'ID1&amp;5'!B:J,8,FALSE),"-")</f>
        <v>-</v>
      </c>
      <c r="O209" s="78" t="str">
        <f>+IFERROR(VLOOKUP(C209,'ID1&amp;5'!K:L,2,FALSE),"-")</f>
        <v>-</v>
      </c>
      <c r="P209" s="79" t="str">
        <f>+IFERROR(VLOOKUP(CONCATENATE(A209,$C$10,C209),'ID1&amp;5'!B:J,9,FALSE),"-")</f>
        <v>-</v>
      </c>
      <c r="Q209" s="78" t="str">
        <f>+IFERROR(VLOOKUP(D209,'ID1&amp;5'!K:L,2,FALSE),"-")</f>
        <v>-</v>
      </c>
      <c r="R209" s="26" t="str">
        <f>+IFERROR(VLOOKUP(CONCATENATE(A209,$D$10,D209),'ID1&amp;5'!B:J,9,FALSE),"-")</f>
        <v>-</v>
      </c>
      <c r="S209" s="78" t="str">
        <f>+IFERROR(VLOOKUP(E209,'ID1&amp;5'!K:L,2,FALSE),"-")</f>
        <v>-</v>
      </c>
      <c r="T209" s="79" t="str">
        <f>+IFERROR(VLOOKUP(CONCATENATE(A209,$E$10,E209),'ID1&amp;5'!B:J,9,FALSE),"-")</f>
        <v>-</v>
      </c>
      <c r="U209" s="78" t="str">
        <f>+IFERROR(VLOOKUP(F209,'ID1&amp;5'!K:L,2,FALSE),"-")</f>
        <v>-</v>
      </c>
      <c r="V209" s="79" t="str">
        <f>+IFERROR(VLOOKUP(CONCATENATE(A209,$F$10,F209),'ID1&amp;5'!B:J,9,FALSE),"-")</f>
        <v>-</v>
      </c>
      <c r="W209" s="26" t="str">
        <f>+IFERROR(VLOOKUP(A209,'ID6&amp;7'!A:I,9,FALSE),"-")</f>
        <v>-</v>
      </c>
      <c r="X209" s="26" t="str">
        <f>+IFERROR(VLOOKUP(A209,'ID6&amp;7'!A:J,10,FALSE),"-")</f>
        <v>-</v>
      </c>
      <c r="Y209" s="26"/>
      <c r="Z209" s="27" t="str">
        <f t="shared" si="4"/>
        <v>Por iniciar</v>
      </c>
      <c r="AA209" s="65"/>
    </row>
    <row r="210" spans="1:27">
      <c r="A210" s="20"/>
      <c r="B210" s="60"/>
      <c r="C210" s="60"/>
      <c r="D210" s="60"/>
      <c r="E210" s="60"/>
      <c r="F210" s="60"/>
      <c r="G210" s="60"/>
      <c r="H210" s="65" t="s">
        <v>117</v>
      </c>
      <c r="I210" s="21" t="s">
        <v>1270</v>
      </c>
      <c r="J210" s="26">
        <f>+COUNTIF('ID1&amp;5'!G:G,'1. Status'!I210)</f>
        <v>0</v>
      </c>
      <c r="K210" s="79" t="str">
        <f>+IFERROR(VLOOKUP(CONCATENATE(A210,$B$10,B210),'ID1&amp;5'!B:J,8,FALSE),"-")</f>
        <v>-</v>
      </c>
      <c r="L210" s="78" t="str">
        <f>+IFERROR(VLOOKUP(B210,'ID1&amp;5'!K:L,2,FALSE),"-")</f>
        <v>-</v>
      </c>
      <c r="M210" s="79" t="str">
        <f>+IFERROR(VLOOKUP(CONCATENATE(A210,$B$10,B210),'ID1&amp;5'!B:J,9,FALSE),"-")</f>
        <v>-</v>
      </c>
      <c r="N210" s="79" t="str">
        <f>+IFERROR(VLOOKUP(CONCATENATE(A210,$C$10,C210),'ID1&amp;5'!B:J,8,FALSE),"-")</f>
        <v>-</v>
      </c>
      <c r="O210" s="78" t="str">
        <f>+IFERROR(VLOOKUP(C210,'ID1&amp;5'!K:L,2,FALSE),"-")</f>
        <v>-</v>
      </c>
      <c r="P210" s="79" t="str">
        <f>+IFERROR(VLOOKUP(CONCATENATE(A210,$C$10,C210),'ID1&amp;5'!B:J,9,FALSE),"-")</f>
        <v>-</v>
      </c>
      <c r="Q210" s="78" t="str">
        <f>+IFERROR(VLOOKUP(D210,'ID1&amp;5'!K:L,2,FALSE),"-")</f>
        <v>-</v>
      </c>
      <c r="R210" s="26" t="str">
        <f>+IFERROR(VLOOKUP(CONCATENATE(A210,$D$10,D210),'ID1&amp;5'!B:J,9,FALSE),"-")</f>
        <v>-</v>
      </c>
      <c r="S210" s="78" t="str">
        <f>+IFERROR(VLOOKUP(E210,'ID1&amp;5'!K:L,2,FALSE),"-")</f>
        <v>-</v>
      </c>
      <c r="T210" s="79" t="str">
        <f>+IFERROR(VLOOKUP(CONCATENATE(A210,$E$10,E210),'ID1&amp;5'!B:J,9,FALSE),"-")</f>
        <v>-</v>
      </c>
      <c r="U210" s="78" t="str">
        <f>+IFERROR(VLOOKUP(F210,'ID1&amp;5'!K:L,2,FALSE),"-")</f>
        <v>-</v>
      </c>
      <c r="V210" s="79" t="str">
        <f>+IFERROR(VLOOKUP(CONCATENATE(A210,$F$10,F210),'ID1&amp;5'!B:J,9,FALSE),"-")</f>
        <v>-</v>
      </c>
      <c r="W210" s="26" t="str">
        <f>+IFERROR(VLOOKUP(A210,'ID6&amp;7'!A:I,9,FALSE),"-")</f>
        <v>-</v>
      </c>
      <c r="X210" s="26" t="str">
        <f>+IFERROR(VLOOKUP(A210,'ID6&amp;7'!A:J,10,FALSE),"-")</f>
        <v>-</v>
      </c>
      <c r="Y210" s="26"/>
      <c r="Z210" s="27" t="str">
        <f t="shared" si="4"/>
        <v>Por iniciar</v>
      </c>
      <c r="AA210" s="65"/>
    </row>
    <row r="211" spans="1:27">
      <c r="A211" s="20"/>
      <c r="B211" s="60"/>
      <c r="C211" s="60"/>
      <c r="D211" s="60"/>
      <c r="E211" s="60"/>
      <c r="F211" s="60"/>
      <c r="G211" s="60"/>
      <c r="H211" s="65" t="s">
        <v>117</v>
      </c>
      <c r="I211" s="21" t="s">
        <v>1271</v>
      </c>
      <c r="J211" s="26">
        <f>+COUNTIF('ID1&amp;5'!G:G,'1. Status'!I211)</f>
        <v>0</v>
      </c>
      <c r="K211" s="79" t="str">
        <f>+IFERROR(VLOOKUP(CONCATENATE(A211,$B$10,B211),'ID1&amp;5'!B:J,8,FALSE),"-")</f>
        <v>-</v>
      </c>
      <c r="L211" s="78" t="str">
        <f>+IFERROR(VLOOKUP(B211,'ID1&amp;5'!K:L,2,FALSE),"-")</f>
        <v>-</v>
      </c>
      <c r="M211" s="79" t="str">
        <f>+IFERROR(VLOOKUP(CONCATENATE(A211,$B$10,B211),'ID1&amp;5'!B:J,9,FALSE),"-")</f>
        <v>-</v>
      </c>
      <c r="N211" s="79" t="str">
        <f>+IFERROR(VLOOKUP(CONCATENATE(A211,$C$10,C211),'ID1&amp;5'!B:J,8,FALSE),"-")</f>
        <v>-</v>
      </c>
      <c r="O211" s="78" t="str">
        <f>+IFERROR(VLOOKUP(C211,'ID1&amp;5'!K:L,2,FALSE),"-")</f>
        <v>-</v>
      </c>
      <c r="P211" s="79" t="str">
        <f>+IFERROR(VLOOKUP(CONCATENATE(A211,$C$10,C211),'ID1&amp;5'!B:J,9,FALSE),"-")</f>
        <v>-</v>
      </c>
      <c r="Q211" s="78" t="str">
        <f>+IFERROR(VLOOKUP(D211,'ID1&amp;5'!K:L,2,FALSE),"-")</f>
        <v>-</v>
      </c>
      <c r="R211" s="26" t="str">
        <f>+IFERROR(VLOOKUP(CONCATENATE(A211,$D$10,D211),'ID1&amp;5'!B:J,9,FALSE),"-")</f>
        <v>-</v>
      </c>
      <c r="S211" s="78" t="str">
        <f>+IFERROR(VLOOKUP(E211,'ID1&amp;5'!K:L,2,FALSE),"-")</f>
        <v>-</v>
      </c>
      <c r="T211" s="79" t="str">
        <f>+IFERROR(VLOOKUP(CONCATENATE(A211,$E$10,E211),'ID1&amp;5'!B:J,9,FALSE),"-")</f>
        <v>-</v>
      </c>
      <c r="U211" s="78" t="str">
        <f>+IFERROR(VLOOKUP(F211,'ID1&amp;5'!K:L,2,FALSE),"-")</f>
        <v>-</v>
      </c>
      <c r="V211" s="79" t="str">
        <f>+IFERROR(VLOOKUP(CONCATENATE(A211,$F$10,F211),'ID1&amp;5'!B:J,9,FALSE),"-")</f>
        <v>-</v>
      </c>
      <c r="W211" s="26" t="str">
        <f>+IFERROR(VLOOKUP(A211,'ID6&amp;7'!A:I,9,FALSE),"-")</f>
        <v>-</v>
      </c>
      <c r="X211" s="26" t="str">
        <f>+IFERROR(VLOOKUP(A211,'ID6&amp;7'!A:J,10,FALSE),"-")</f>
        <v>-</v>
      </c>
      <c r="Y211" s="26"/>
      <c r="Z211" s="27" t="str">
        <f t="shared" si="4"/>
        <v>Por iniciar</v>
      </c>
      <c r="AA211" s="65"/>
    </row>
    <row r="212" spans="1:27">
      <c r="A212" s="20"/>
      <c r="B212" s="60"/>
      <c r="C212" s="60"/>
      <c r="D212" s="60"/>
      <c r="E212" s="60"/>
      <c r="F212" s="60"/>
      <c r="G212" s="60"/>
      <c r="H212" s="65" t="s">
        <v>117</v>
      </c>
      <c r="I212" s="21" t="s">
        <v>1272</v>
      </c>
      <c r="J212" s="26">
        <f>+COUNTIF('ID1&amp;5'!G:G,'1. Status'!I212)</f>
        <v>0</v>
      </c>
      <c r="K212" s="79" t="str">
        <f>+IFERROR(VLOOKUP(CONCATENATE(A212,$B$10,B212),'ID1&amp;5'!B:J,8,FALSE),"-")</f>
        <v>-</v>
      </c>
      <c r="L212" s="78" t="str">
        <f>+IFERROR(VLOOKUP(B212,'ID1&amp;5'!K:L,2,FALSE),"-")</f>
        <v>-</v>
      </c>
      <c r="M212" s="79" t="str">
        <f>+IFERROR(VLOOKUP(CONCATENATE(A212,$B$10,B212),'ID1&amp;5'!B:J,9,FALSE),"-")</f>
        <v>-</v>
      </c>
      <c r="N212" s="79" t="str">
        <f>+IFERROR(VLOOKUP(CONCATENATE(A212,$C$10,C212),'ID1&amp;5'!B:J,8,FALSE),"-")</f>
        <v>-</v>
      </c>
      <c r="O212" s="78" t="str">
        <f>+IFERROR(VLOOKUP(C212,'ID1&amp;5'!K:L,2,FALSE),"-")</f>
        <v>-</v>
      </c>
      <c r="P212" s="79" t="str">
        <f>+IFERROR(VLOOKUP(CONCATENATE(A212,$C$10,C212),'ID1&amp;5'!B:J,9,FALSE),"-")</f>
        <v>-</v>
      </c>
      <c r="Q212" s="78" t="str">
        <f>+IFERROR(VLOOKUP(D212,'ID1&amp;5'!K:L,2,FALSE),"-")</f>
        <v>-</v>
      </c>
      <c r="R212" s="26" t="str">
        <f>+IFERROR(VLOOKUP(CONCATENATE(A212,$D$10,D212),'ID1&amp;5'!B:J,9,FALSE),"-")</f>
        <v>-</v>
      </c>
      <c r="S212" s="78" t="str">
        <f>+IFERROR(VLOOKUP(E212,'ID1&amp;5'!K:L,2,FALSE),"-")</f>
        <v>-</v>
      </c>
      <c r="T212" s="79" t="str">
        <f>+IFERROR(VLOOKUP(CONCATENATE(A212,$E$10,E212),'ID1&amp;5'!B:J,9,FALSE),"-")</f>
        <v>-</v>
      </c>
      <c r="U212" s="78" t="str">
        <f>+IFERROR(VLOOKUP(F212,'ID1&amp;5'!K:L,2,FALSE),"-")</f>
        <v>-</v>
      </c>
      <c r="V212" s="79" t="str">
        <f>+IFERROR(VLOOKUP(CONCATENATE(A212,$F$10,F212),'ID1&amp;5'!B:J,9,FALSE),"-")</f>
        <v>-</v>
      </c>
      <c r="W212" s="26" t="str">
        <f>+IFERROR(VLOOKUP(A212,'ID6&amp;7'!A:I,9,FALSE),"-")</f>
        <v>-</v>
      </c>
      <c r="X212" s="26" t="str">
        <f>+IFERROR(VLOOKUP(A212,'ID6&amp;7'!A:J,10,FALSE),"-")</f>
        <v>-</v>
      </c>
      <c r="Y212" s="26"/>
      <c r="Z212" s="27" t="str">
        <f t="shared" si="4"/>
        <v>Por iniciar</v>
      </c>
      <c r="AA212" s="65"/>
    </row>
    <row r="213" spans="1:27">
      <c r="A213" s="20"/>
      <c r="B213" s="60"/>
      <c r="C213" s="60"/>
      <c r="D213" s="60"/>
      <c r="E213" s="60"/>
      <c r="F213" s="60"/>
      <c r="G213" s="60"/>
      <c r="H213" s="65" t="s">
        <v>117</v>
      </c>
      <c r="I213" s="21" t="s">
        <v>1273</v>
      </c>
      <c r="J213" s="26">
        <f>+COUNTIF('ID1&amp;5'!G:G,'1. Status'!I213)</f>
        <v>0</v>
      </c>
      <c r="K213" s="79" t="str">
        <f>+IFERROR(VLOOKUP(CONCATENATE(A213,$B$10,B213),'ID1&amp;5'!B:J,8,FALSE),"-")</f>
        <v>-</v>
      </c>
      <c r="L213" s="78" t="str">
        <f>+IFERROR(VLOOKUP(B213,'ID1&amp;5'!K:L,2,FALSE),"-")</f>
        <v>-</v>
      </c>
      <c r="M213" s="79" t="str">
        <f>+IFERROR(VLOOKUP(CONCATENATE(A213,$B$10,B213),'ID1&amp;5'!B:J,9,FALSE),"-")</f>
        <v>-</v>
      </c>
      <c r="N213" s="79" t="str">
        <f>+IFERROR(VLOOKUP(CONCATENATE(A213,$C$10,C213),'ID1&amp;5'!B:J,8,FALSE),"-")</f>
        <v>-</v>
      </c>
      <c r="O213" s="78" t="str">
        <f>+IFERROR(VLOOKUP(C213,'ID1&amp;5'!K:L,2,FALSE),"-")</f>
        <v>-</v>
      </c>
      <c r="P213" s="79" t="str">
        <f>+IFERROR(VLOOKUP(CONCATENATE(A213,$C$10,C213),'ID1&amp;5'!B:J,9,FALSE),"-")</f>
        <v>-</v>
      </c>
      <c r="Q213" s="78" t="str">
        <f>+IFERROR(VLOOKUP(D213,'ID1&amp;5'!K:L,2,FALSE),"-")</f>
        <v>-</v>
      </c>
      <c r="R213" s="26" t="str">
        <f>+IFERROR(VLOOKUP(CONCATENATE(A213,$D$10,D213),'ID1&amp;5'!B:J,9,FALSE),"-")</f>
        <v>-</v>
      </c>
      <c r="S213" s="78" t="str">
        <f>+IFERROR(VLOOKUP(E213,'ID1&amp;5'!K:L,2,FALSE),"-")</f>
        <v>-</v>
      </c>
      <c r="T213" s="79" t="str">
        <f>+IFERROR(VLOOKUP(CONCATENATE(A213,$E$10,E213),'ID1&amp;5'!B:J,9,FALSE),"-")</f>
        <v>-</v>
      </c>
      <c r="U213" s="78" t="str">
        <f>+IFERROR(VLOOKUP(F213,'ID1&amp;5'!K:L,2,FALSE),"-")</f>
        <v>-</v>
      </c>
      <c r="V213" s="79" t="str">
        <f>+IFERROR(VLOOKUP(CONCATENATE(A213,$F$10,F213),'ID1&amp;5'!B:J,9,FALSE),"-")</f>
        <v>-</v>
      </c>
      <c r="W213" s="26" t="str">
        <f>+IFERROR(VLOOKUP(A213,'ID6&amp;7'!A:I,9,FALSE),"-")</f>
        <v>-</v>
      </c>
      <c r="X213" s="26" t="str">
        <f>+IFERROR(VLOOKUP(A213,'ID6&amp;7'!A:J,10,FALSE),"-")</f>
        <v>-</v>
      </c>
      <c r="Y213" s="26"/>
      <c r="Z213" s="27" t="str">
        <f t="shared" si="4"/>
        <v>Por iniciar</v>
      </c>
      <c r="AA213" s="65"/>
    </row>
    <row r="214" spans="1:27">
      <c r="A214" s="20"/>
      <c r="B214" s="60"/>
      <c r="C214" s="60"/>
      <c r="D214" s="60"/>
      <c r="E214" s="60"/>
      <c r="F214" s="60"/>
      <c r="G214" s="60"/>
      <c r="H214" s="65" t="s">
        <v>117</v>
      </c>
      <c r="I214" s="21" t="s">
        <v>1274</v>
      </c>
      <c r="J214" s="26">
        <f>+COUNTIF('ID1&amp;5'!G:G,'1. Status'!I214)</f>
        <v>0</v>
      </c>
      <c r="K214" s="79" t="str">
        <f>+IFERROR(VLOOKUP(CONCATENATE(A214,$B$10,B214),'ID1&amp;5'!B:J,8,FALSE),"-")</f>
        <v>-</v>
      </c>
      <c r="L214" s="78" t="str">
        <f>+IFERROR(VLOOKUP(B214,'ID1&amp;5'!K:L,2,FALSE),"-")</f>
        <v>-</v>
      </c>
      <c r="M214" s="79" t="str">
        <f>+IFERROR(VLOOKUP(CONCATENATE(A214,$B$10,B214),'ID1&amp;5'!B:J,9,FALSE),"-")</f>
        <v>-</v>
      </c>
      <c r="N214" s="79" t="str">
        <f>+IFERROR(VLOOKUP(CONCATENATE(A214,$C$10,C214),'ID1&amp;5'!B:J,8,FALSE),"-")</f>
        <v>-</v>
      </c>
      <c r="O214" s="78" t="str">
        <f>+IFERROR(VLOOKUP(C214,'ID1&amp;5'!K:L,2,FALSE),"-")</f>
        <v>-</v>
      </c>
      <c r="P214" s="79" t="str">
        <f>+IFERROR(VLOOKUP(CONCATENATE(A214,$C$10,C214),'ID1&amp;5'!B:J,9,FALSE),"-")</f>
        <v>-</v>
      </c>
      <c r="Q214" s="78" t="str">
        <f>+IFERROR(VLOOKUP(D214,'ID1&amp;5'!K:L,2,FALSE),"-")</f>
        <v>-</v>
      </c>
      <c r="R214" s="26" t="str">
        <f>+IFERROR(VLOOKUP(CONCATENATE(A214,$D$10,D214),'ID1&amp;5'!B:J,9,FALSE),"-")</f>
        <v>-</v>
      </c>
      <c r="S214" s="78" t="str">
        <f>+IFERROR(VLOOKUP(E214,'ID1&amp;5'!K:L,2,FALSE),"-")</f>
        <v>-</v>
      </c>
      <c r="T214" s="79" t="str">
        <f>+IFERROR(VLOOKUP(CONCATENATE(A214,$E$10,E214),'ID1&amp;5'!B:J,9,FALSE),"-")</f>
        <v>-</v>
      </c>
      <c r="U214" s="78" t="str">
        <f>+IFERROR(VLOOKUP(F214,'ID1&amp;5'!K:L,2,FALSE),"-")</f>
        <v>-</v>
      </c>
      <c r="V214" s="79" t="str">
        <f>+IFERROR(VLOOKUP(CONCATENATE(A214,$F$10,F214),'ID1&amp;5'!B:J,9,FALSE),"-")</f>
        <v>-</v>
      </c>
      <c r="W214" s="26" t="str">
        <f>+IFERROR(VLOOKUP(A214,'ID6&amp;7'!A:I,9,FALSE),"-")</f>
        <v>-</v>
      </c>
      <c r="X214" s="26" t="str">
        <f>+IFERROR(VLOOKUP(A214,'ID6&amp;7'!A:J,10,FALSE),"-")</f>
        <v>-</v>
      </c>
      <c r="Y214" s="26"/>
      <c r="Z214" s="27" t="str">
        <f t="shared" si="4"/>
        <v>Por iniciar</v>
      </c>
      <c r="AA214" s="65"/>
    </row>
    <row r="215" spans="1:27">
      <c r="A215" s="20"/>
      <c r="B215" s="60"/>
      <c r="C215" s="60"/>
      <c r="D215" s="60"/>
      <c r="E215" s="60"/>
      <c r="F215" s="60"/>
      <c r="G215" s="60"/>
      <c r="H215" s="65" t="s">
        <v>117</v>
      </c>
      <c r="I215" s="21" t="s">
        <v>1275</v>
      </c>
      <c r="J215" s="26">
        <f>+COUNTIF('ID1&amp;5'!G:G,'1. Status'!I215)</f>
        <v>0</v>
      </c>
      <c r="K215" s="79" t="str">
        <f>+IFERROR(VLOOKUP(CONCATENATE(A215,$B$10,B215),'ID1&amp;5'!B:J,8,FALSE),"-")</f>
        <v>-</v>
      </c>
      <c r="L215" s="78" t="str">
        <f>+IFERROR(VLOOKUP(B215,'ID1&amp;5'!K:L,2,FALSE),"-")</f>
        <v>-</v>
      </c>
      <c r="M215" s="79" t="str">
        <f>+IFERROR(VLOOKUP(CONCATENATE(A215,$B$10,B215),'ID1&amp;5'!B:J,9,FALSE),"-")</f>
        <v>-</v>
      </c>
      <c r="N215" s="79" t="str">
        <f>+IFERROR(VLOOKUP(CONCATENATE(A215,$C$10,C215),'ID1&amp;5'!B:J,8,FALSE),"-")</f>
        <v>-</v>
      </c>
      <c r="O215" s="78" t="str">
        <f>+IFERROR(VLOOKUP(C215,'ID1&amp;5'!K:L,2,FALSE),"-")</f>
        <v>-</v>
      </c>
      <c r="P215" s="79" t="str">
        <f>+IFERROR(VLOOKUP(CONCATENATE(A215,$C$10,C215),'ID1&amp;5'!B:J,9,FALSE),"-")</f>
        <v>-</v>
      </c>
      <c r="Q215" s="78" t="str">
        <f>+IFERROR(VLOOKUP(D215,'ID1&amp;5'!K:L,2,FALSE),"-")</f>
        <v>-</v>
      </c>
      <c r="R215" s="26" t="str">
        <f>+IFERROR(VLOOKUP(CONCATENATE(A215,$D$10,D215),'ID1&amp;5'!B:J,9,FALSE),"-")</f>
        <v>-</v>
      </c>
      <c r="S215" s="78" t="str">
        <f>+IFERROR(VLOOKUP(E215,'ID1&amp;5'!K:L,2,FALSE),"-")</f>
        <v>-</v>
      </c>
      <c r="T215" s="79" t="str">
        <f>+IFERROR(VLOOKUP(CONCATENATE(A215,$E$10,E215),'ID1&amp;5'!B:J,9,FALSE),"-")</f>
        <v>-</v>
      </c>
      <c r="U215" s="78" t="str">
        <f>+IFERROR(VLOOKUP(F215,'ID1&amp;5'!K:L,2,FALSE),"-")</f>
        <v>-</v>
      </c>
      <c r="V215" s="79" t="str">
        <f>+IFERROR(VLOOKUP(CONCATENATE(A215,$F$10,F215),'ID1&amp;5'!B:J,9,FALSE),"-")</f>
        <v>-</v>
      </c>
      <c r="W215" s="26" t="str">
        <f>+IFERROR(VLOOKUP(A215,'ID6&amp;7'!A:I,9,FALSE),"-")</f>
        <v>-</v>
      </c>
      <c r="X215" s="26" t="str">
        <f>+IFERROR(VLOOKUP(A215,'ID6&amp;7'!A:J,10,FALSE),"-")</f>
        <v>-</v>
      </c>
      <c r="Y215" s="26"/>
      <c r="Z215" s="27" t="str">
        <f t="shared" si="4"/>
        <v>Por iniciar</v>
      </c>
      <c r="AA215" s="65"/>
    </row>
    <row r="216" spans="1:27">
      <c r="A216" s="20"/>
      <c r="B216" s="60"/>
      <c r="C216" s="60"/>
      <c r="D216" s="60"/>
      <c r="E216" s="60"/>
      <c r="F216" s="60"/>
      <c r="G216" s="60"/>
      <c r="H216" s="65" t="s">
        <v>117</v>
      </c>
      <c r="I216" s="21" t="s">
        <v>1276</v>
      </c>
      <c r="J216" s="26">
        <f>+COUNTIF('ID1&amp;5'!G:G,'1. Status'!I216)</f>
        <v>0</v>
      </c>
      <c r="K216" s="79" t="str">
        <f>+IFERROR(VLOOKUP(CONCATENATE(A216,$B$10,B216),'ID1&amp;5'!B:J,8,FALSE),"-")</f>
        <v>-</v>
      </c>
      <c r="L216" s="78" t="str">
        <f>+IFERROR(VLOOKUP(B216,'ID1&amp;5'!K:L,2,FALSE),"-")</f>
        <v>-</v>
      </c>
      <c r="M216" s="79" t="str">
        <f>+IFERROR(VLOOKUP(CONCATENATE(A216,$B$10,B216),'ID1&amp;5'!B:J,9,FALSE),"-")</f>
        <v>-</v>
      </c>
      <c r="N216" s="79" t="str">
        <f>+IFERROR(VLOOKUP(CONCATENATE(A216,$C$10,C216),'ID1&amp;5'!B:J,8,FALSE),"-")</f>
        <v>-</v>
      </c>
      <c r="O216" s="78" t="str">
        <f>+IFERROR(VLOOKUP(C216,'ID1&amp;5'!K:L,2,FALSE),"-")</f>
        <v>-</v>
      </c>
      <c r="P216" s="79" t="str">
        <f>+IFERROR(VLOOKUP(CONCATENATE(A216,$C$10,C216),'ID1&amp;5'!B:J,9,FALSE),"-")</f>
        <v>-</v>
      </c>
      <c r="Q216" s="78" t="str">
        <f>+IFERROR(VLOOKUP(D216,'ID1&amp;5'!K:L,2,FALSE),"-")</f>
        <v>-</v>
      </c>
      <c r="R216" s="26" t="str">
        <f>+IFERROR(VLOOKUP(CONCATENATE(A216,$D$10,D216),'ID1&amp;5'!B:J,9,FALSE),"-")</f>
        <v>-</v>
      </c>
      <c r="S216" s="78" t="str">
        <f>+IFERROR(VLOOKUP(E216,'ID1&amp;5'!K:L,2,FALSE),"-")</f>
        <v>-</v>
      </c>
      <c r="T216" s="79" t="str">
        <f>+IFERROR(VLOOKUP(CONCATENATE(A216,$E$10,E216),'ID1&amp;5'!B:J,9,FALSE),"-")</f>
        <v>-</v>
      </c>
      <c r="U216" s="78" t="str">
        <f>+IFERROR(VLOOKUP(F216,'ID1&amp;5'!K:L,2,FALSE),"-")</f>
        <v>-</v>
      </c>
      <c r="V216" s="79" t="str">
        <f>+IFERROR(VLOOKUP(CONCATENATE(A216,$F$10,F216),'ID1&amp;5'!B:J,9,FALSE),"-")</f>
        <v>-</v>
      </c>
      <c r="W216" s="26" t="str">
        <f>+IFERROR(VLOOKUP(A216,'ID6&amp;7'!A:I,9,FALSE),"-")</f>
        <v>-</v>
      </c>
      <c r="X216" s="26" t="str">
        <f>+IFERROR(VLOOKUP(A216,'ID6&amp;7'!A:J,10,FALSE),"-")</f>
        <v>-</v>
      </c>
      <c r="Y216" s="26"/>
      <c r="Z216" s="27" t="str">
        <f t="shared" si="4"/>
        <v>Por iniciar</v>
      </c>
      <c r="AA216" s="65"/>
    </row>
    <row r="217" spans="1:27">
      <c r="A217" s="20"/>
      <c r="B217" s="60"/>
      <c r="C217" s="60"/>
      <c r="D217" s="60"/>
      <c r="E217" s="60"/>
      <c r="F217" s="60"/>
      <c r="G217" s="60"/>
      <c r="H217" s="65" t="s">
        <v>117</v>
      </c>
      <c r="I217" s="21" t="s">
        <v>1277</v>
      </c>
      <c r="J217" s="26">
        <f>+COUNTIF('ID1&amp;5'!G:G,'1. Status'!I217)</f>
        <v>0</v>
      </c>
      <c r="K217" s="79" t="str">
        <f>+IFERROR(VLOOKUP(CONCATENATE(A217,$B$10,B217),'ID1&amp;5'!B:J,8,FALSE),"-")</f>
        <v>-</v>
      </c>
      <c r="L217" s="78" t="str">
        <f>+IFERROR(VLOOKUP(B217,'ID1&amp;5'!K:L,2,FALSE),"-")</f>
        <v>-</v>
      </c>
      <c r="M217" s="79" t="str">
        <f>+IFERROR(VLOOKUP(CONCATENATE(A217,$B$10,B217),'ID1&amp;5'!B:J,9,FALSE),"-")</f>
        <v>-</v>
      </c>
      <c r="N217" s="79" t="str">
        <f>+IFERROR(VLOOKUP(CONCATENATE(A217,$C$10,C217),'ID1&amp;5'!B:J,8,FALSE),"-")</f>
        <v>-</v>
      </c>
      <c r="O217" s="78" t="str">
        <f>+IFERROR(VLOOKUP(C217,'ID1&amp;5'!K:L,2,FALSE),"-")</f>
        <v>-</v>
      </c>
      <c r="P217" s="79" t="str">
        <f>+IFERROR(VLOOKUP(CONCATENATE(A217,$C$10,C217),'ID1&amp;5'!B:J,9,FALSE),"-")</f>
        <v>-</v>
      </c>
      <c r="Q217" s="78" t="str">
        <f>+IFERROR(VLOOKUP(D217,'ID1&amp;5'!K:L,2,FALSE),"-")</f>
        <v>-</v>
      </c>
      <c r="R217" s="26" t="str">
        <f>+IFERROR(VLOOKUP(CONCATENATE(A217,$D$10,D217),'ID1&amp;5'!B:J,9,FALSE),"-")</f>
        <v>-</v>
      </c>
      <c r="S217" s="78" t="str">
        <f>+IFERROR(VLOOKUP(E217,'ID1&amp;5'!K:L,2,FALSE),"-")</f>
        <v>-</v>
      </c>
      <c r="T217" s="79" t="str">
        <f>+IFERROR(VLOOKUP(CONCATENATE(A217,$E$10,E217),'ID1&amp;5'!B:J,9,FALSE),"-")</f>
        <v>-</v>
      </c>
      <c r="U217" s="78" t="str">
        <f>+IFERROR(VLOOKUP(F217,'ID1&amp;5'!K:L,2,FALSE),"-")</f>
        <v>-</v>
      </c>
      <c r="V217" s="79" t="str">
        <f>+IFERROR(VLOOKUP(CONCATENATE(A217,$F$10,F217),'ID1&amp;5'!B:J,9,FALSE),"-")</f>
        <v>-</v>
      </c>
      <c r="W217" s="26" t="str">
        <f>+IFERROR(VLOOKUP(A217,'ID6&amp;7'!A:I,9,FALSE),"-")</f>
        <v>-</v>
      </c>
      <c r="X217" s="26" t="str">
        <f>+IFERROR(VLOOKUP(A217,'ID6&amp;7'!A:J,10,FALSE),"-")</f>
        <v>-</v>
      </c>
      <c r="Y217" s="26"/>
      <c r="Z217" s="27" t="str">
        <f t="shared" si="4"/>
        <v>Por iniciar</v>
      </c>
      <c r="AA217" s="65"/>
    </row>
    <row r="218" spans="1:27">
      <c r="A218" s="20"/>
      <c r="B218" s="60"/>
      <c r="C218" s="60"/>
      <c r="D218" s="60"/>
      <c r="E218" s="60"/>
      <c r="F218" s="60"/>
      <c r="G218" s="60"/>
      <c r="H218" s="65" t="s">
        <v>117</v>
      </c>
      <c r="I218" s="21" t="s">
        <v>1278</v>
      </c>
      <c r="J218" s="26">
        <f>+COUNTIF('ID1&amp;5'!G:G,'1. Status'!I218)</f>
        <v>0</v>
      </c>
      <c r="K218" s="79" t="str">
        <f>+IFERROR(VLOOKUP(CONCATENATE(A218,$B$10,B218),'ID1&amp;5'!B:J,8,FALSE),"-")</f>
        <v>-</v>
      </c>
      <c r="L218" s="78" t="str">
        <f>+IFERROR(VLOOKUP(B218,'ID1&amp;5'!K:L,2,FALSE),"-")</f>
        <v>-</v>
      </c>
      <c r="M218" s="79" t="str">
        <f>+IFERROR(VLOOKUP(CONCATENATE(A218,$B$10,B218),'ID1&amp;5'!B:J,9,FALSE),"-")</f>
        <v>-</v>
      </c>
      <c r="N218" s="79" t="str">
        <f>+IFERROR(VLOOKUP(CONCATENATE(A218,$C$10,C218),'ID1&amp;5'!B:J,8,FALSE),"-")</f>
        <v>-</v>
      </c>
      <c r="O218" s="78" t="str">
        <f>+IFERROR(VLOOKUP(C218,'ID1&amp;5'!K:L,2,FALSE),"-")</f>
        <v>-</v>
      </c>
      <c r="P218" s="79" t="str">
        <f>+IFERROR(VLOOKUP(CONCATENATE(A218,$C$10,C218),'ID1&amp;5'!B:J,9,FALSE),"-")</f>
        <v>-</v>
      </c>
      <c r="Q218" s="78" t="str">
        <f>+IFERROR(VLOOKUP(D218,'ID1&amp;5'!K:L,2,FALSE),"-")</f>
        <v>-</v>
      </c>
      <c r="R218" s="26" t="str">
        <f>+IFERROR(VLOOKUP(CONCATENATE(A218,$D$10,D218),'ID1&amp;5'!B:J,9,FALSE),"-")</f>
        <v>-</v>
      </c>
      <c r="S218" s="78" t="str">
        <f>+IFERROR(VLOOKUP(E218,'ID1&amp;5'!K:L,2,FALSE),"-")</f>
        <v>-</v>
      </c>
      <c r="T218" s="79" t="str">
        <f>+IFERROR(VLOOKUP(CONCATENATE(A218,$E$10,E218),'ID1&amp;5'!B:J,9,FALSE),"-")</f>
        <v>-</v>
      </c>
      <c r="U218" s="78" t="str">
        <f>+IFERROR(VLOOKUP(F218,'ID1&amp;5'!K:L,2,FALSE),"-")</f>
        <v>-</v>
      </c>
      <c r="V218" s="79" t="str">
        <f>+IFERROR(VLOOKUP(CONCATENATE(A218,$F$10,F218),'ID1&amp;5'!B:J,9,FALSE),"-")</f>
        <v>-</v>
      </c>
      <c r="W218" s="26" t="str">
        <f>+IFERROR(VLOOKUP(A218,'ID6&amp;7'!A:I,9,FALSE),"-")</f>
        <v>-</v>
      </c>
      <c r="X218" s="26" t="str">
        <f>+IFERROR(VLOOKUP(A218,'ID6&amp;7'!A:J,10,FALSE),"-")</f>
        <v>-</v>
      </c>
      <c r="Y218" s="26"/>
      <c r="Z218" s="27" t="str">
        <f t="shared" si="4"/>
        <v>Por iniciar</v>
      </c>
      <c r="AA218" s="65"/>
    </row>
    <row r="219" spans="1:27">
      <c r="A219" s="20"/>
      <c r="B219" s="60"/>
      <c r="C219" s="60"/>
      <c r="D219" s="60"/>
      <c r="E219" s="60"/>
      <c r="F219" s="60"/>
      <c r="G219" s="60"/>
      <c r="H219" s="65" t="s">
        <v>117</v>
      </c>
      <c r="I219" s="21" t="s">
        <v>1279</v>
      </c>
      <c r="J219" s="26">
        <f>+COUNTIF('ID1&amp;5'!G:G,'1. Status'!I219)</f>
        <v>0</v>
      </c>
      <c r="K219" s="79" t="str">
        <f>+IFERROR(VLOOKUP(CONCATENATE(A219,$B$10,B219),'ID1&amp;5'!B:J,8,FALSE),"-")</f>
        <v>-</v>
      </c>
      <c r="L219" s="78" t="str">
        <f>+IFERROR(VLOOKUP(B219,'ID1&amp;5'!K:L,2,FALSE),"-")</f>
        <v>-</v>
      </c>
      <c r="M219" s="79" t="str">
        <f>+IFERROR(VLOOKUP(CONCATENATE(A219,$B$10,B219),'ID1&amp;5'!B:J,9,FALSE),"-")</f>
        <v>-</v>
      </c>
      <c r="N219" s="79" t="str">
        <f>+IFERROR(VLOOKUP(CONCATENATE(A219,$C$10,C219),'ID1&amp;5'!B:J,8,FALSE),"-")</f>
        <v>-</v>
      </c>
      <c r="O219" s="78" t="str">
        <f>+IFERROR(VLOOKUP(C219,'ID1&amp;5'!K:L,2,FALSE),"-")</f>
        <v>-</v>
      </c>
      <c r="P219" s="79" t="str">
        <f>+IFERROR(VLOOKUP(CONCATENATE(A219,$C$10,C219),'ID1&amp;5'!B:J,9,FALSE),"-")</f>
        <v>-</v>
      </c>
      <c r="Q219" s="78" t="str">
        <f>+IFERROR(VLOOKUP(D219,'ID1&amp;5'!K:L,2,FALSE),"-")</f>
        <v>-</v>
      </c>
      <c r="R219" s="26" t="str">
        <f>+IFERROR(VLOOKUP(CONCATENATE(A219,$D$10,D219),'ID1&amp;5'!B:J,9,FALSE),"-")</f>
        <v>-</v>
      </c>
      <c r="S219" s="78" t="str">
        <f>+IFERROR(VLOOKUP(E219,'ID1&amp;5'!K:L,2,FALSE),"-")</f>
        <v>-</v>
      </c>
      <c r="T219" s="79" t="str">
        <f>+IFERROR(VLOOKUP(CONCATENATE(A219,$E$10,E219),'ID1&amp;5'!B:J,9,FALSE),"-")</f>
        <v>-</v>
      </c>
      <c r="U219" s="78" t="str">
        <f>+IFERROR(VLOOKUP(F219,'ID1&amp;5'!K:L,2,FALSE),"-")</f>
        <v>-</v>
      </c>
      <c r="V219" s="79" t="str">
        <f>+IFERROR(VLOOKUP(CONCATENATE(A219,$F$10,F219),'ID1&amp;5'!B:J,9,FALSE),"-")</f>
        <v>-</v>
      </c>
      <c r="W219" s="26" t="str">
        <f>+IFERROR(VLOOKUP(A219,'ID6&amp;7'!A:I,9,FALSE),"-")</f>
        <v>-</v>
      </c>
      <c r="X219" s="26" t="str">
        <f>+IFERROR(VLOOKUP(A219,'ID6&amp;7'!A:J,10,FALSE),"-")</f>
        <v>-</v>
      </c>
      <c r="Y219" s="26"/>
      <c r="Z219" s="27" t="str">
        <f t="shared" si="4"/>
        <v>Por iniciar</v>
      </c>
      <c r="AA219" s="65"/>
    </row>
    <row r="220" spans="1:27">
      <c r="A220" s="20"/>
      <c r="B220" s="60"/>
      <c r="C220" s="60"/>
      <c r="D220" s="60"/>
      <c r="E220" s="60"/>
      <c r="F220" s="60"/>
      <c r="G220" s="60"/>
      <c r="H220" s="65" t="s">
        <v>117</v>
      </c>
      <c r="I220" s="21" t="s">
        <v>1280</v>
      </c>
      <c r="J220" s="26">
        <f>+COUNTIF('ID1&amp;5'!G:G,'1. Status'!I220)</f>
        <v>0</v>
      </c>
      <c r="K220" s="79" t="str">
        <f>+IFERROR(VLOOKUP(CONCATENATE(A220,$B$10,B220),'ID1&amp;5'!B:J,8,FALSE),"-")</f>
        <v>-</v>
      </c>
      <c r="L220" s="78" t="str">
        <f>+IFERROR(VLOOKUP(B220,'ID1&amp;5'!K:L,2,FALSE),"-")</f>
        <v>-</v>
      </c>
      <c r="M220" s="79" t="str">
        <f>+IFERROR(VLOOKUP(CONCATENATE(A220,$B$10,B220),'ID1&amp;5'!B:J,9,FALSE),"-")</f>
        <v>-</v>
      </c>
      <c r="N220" s="79" t="str">
        <f>+IFERROR(VLOOKUP(CONCATENATE(A220,$C$10,C220),'ID1&amp;5'!B:J,8,FALSE),"-")</f>
        <v>-</v>
      </c>
      <c r="O220" s="78" t="str">
        <f>+IFERROR(VLOOKUP(C220,'ID1&amp;5'!K:L,2,FALSE),"-")</f>
        <v>-</v>
      </c>
      <c r="P220" s="79" t="str">
        <f>+IFERROR(VLOOKUP(CONCATENATE(A220,$C$10,C220),'ID1&amp;5'!B:J,9,FALSE),"-")</f>
        <v>-</v>
      </c>
      <c r="Q220" s="78" t="str">
        <f>+IFERROR(VLOOKUP(D220,'ID1&amp;5'!K:L,2,FALSE),"-")</f>
        <v>-</v>
      </c>
      <c r="R220" s="26" t="str">
        <f>+IFERROR(VLOOKUP(CONCATENATE(A220,$D$10,D220),'ID1&amp;5'!B:J,9,FALSE),"-")</f>
        <v>-</v>
      </c>
      <c r="S220" s="78" t="str">
        <f>+IFERROR(VLOOKUP(E220,'ID1&amp;5'!K:L,2,FALSE),"-")</f>
        <v>-</v>
      </c>
      <c r="T220" s="79" t="str">
        <f>+IFERROR(VLOOKUP(CONCATENATE(A220,$E$10,E220),'ID1&amp;5'!B:J,9,FALSE),"-")</f>
        <v>-</v>
      </c>
      <c r="U220" s="78" t="str">
        <f>+IFERROR(VLOOKUP(F220,'ID1&amp;5'!K:L,2,FALSE),"-")</f>
        <v>-</v>
      </c>
      <c r="V220" s="79" t="str">
        <f>+IFERROR(VLOOKUP(CONCATENATE(A220,$F$10,F220),'ID1&amp;5'!B:J,9,FALSE),"-")</f>
        <v>-</v>
      </c>
      <c r="W220" s="26" t="str">
        <f>+IFERROR(VLOOKUP(A220,'ID6&amp;7'!A:I,9,FALSE),"-")</f>
        <v>-</v>
      </c>
      <c r="X220" s="26" t="str">
        <f>+IFERROR(VLOOKUP(A220,'ID6&amp;7'!A:J,10,FALSE),"-")</f>
        <v>-</v>
      </c>
      <c r="Y220" s="26"/>
      <c r="Z220" s="27" t="str">
        <f t="shared" si="4"/>
        <v>Por iniciar</v>
      </c>
      <c r="AA220" s="65"/>
    </row>
    <row r="221" spans="1:27">
      <c r="A221" s="20"/>
      <c r="B221" s="60"/>
      <c r="C221" s="60"/>
      <c r="D221" s="60"/>
      <c r="E221" s="60"/>
      <c r="F221" s="60"/>
      <c r="G221" s="60"/>
      <c r="H221" s="65" t="s">
        <v>117</v>
      </c>
      <c r="I221" s="21" t="s">
        <v>1281</v>
      </c>
      <c r="J221" s="26">
        <f>+COUNTIF('ID1&amp;5'!G:G,'1. Status'!I221)</f>
        <v>0</v>
      </c>
      <c r="K221" s="79" t="str">
        <f>+IFERROR(VLOOKUP(CONCATENATE(A221,$B$10,B221),'ID1&amp;5'!B:J,8,FALSE),"-")</f>
        <v>-</v>
      </c>
      <c r="L221" s="78" t="str">
        <f>+IFERROR(VLOOKUP(B221,'ID1&amp;5'!K:L,2,FALSE),"-")</f>
        <v>-</v>
      </c>
      <c r="M221" s="79" t="str">
        <f>+IFERROR(VLOOKUP(CONCATENATE(A221,$B$10,B221),'ID1&amp;5'!B:J,9,FALSE),"-")</f>
        <v>-</v>
      </c>
      <c r="N221" s="79" t="str">
        <f>+IFERROR(VLOOKUP(CONCATENATE(A221,$C$10,C221),'ID1&amp;5'!B:J,8,FALSE),"-")</f>
        <v>-</v>
      </c>
      <c r="O221" s="78" t="str">
        <f>+IFERROR(VLOOKUP(C221,'ID1&amp;5'!K:L,2,FALSE),"-")</f>
        <v>-</v>
      </c>
      <c r="P221" s="79" t="str">
        <f>+IFERROR(VLOOKUP(CONCATENATE(A221,$C$10,C221),'ID1&amp;5'!B:J,9,FALSE),"-")</f>
        <v>-</v>
      </c>
      <c r="Q221" s="78" t="str">
        <f>+IFERROR(VLOOKUP(D221,'ID1&amp;5'!K:L,2,FALSE),"-")</f>
        <v>-</v>
      </c>
      <c r="R221" s="26" t="str">
        <f>+IFERROR(VLOOKUP(CONCATENATE(A221,$D$10,D221),'ID1&amp;5'!B:J,9,FALSE),"-")</f>
        <v>-</v>
      </c>
      <c r="S221" s="78" t="str">
        <f>+IFERROR(VLOOKUP(E221,'ID1&amp;5'!K:L,2,FALSE),"-")</f>
        <v>-</v>
      </c>
      <c r="T221" s="79" t="str">
        <f>+IFERROR(VLOOKUP(CONCATENATE(A221,$E$10,E221),'ID1&amp;5'!B:J,9,FALSE),"-")</f>
        <v>-</v>
      </c>
      <c r="U221" s="78" t="str">
        <f>+IFERROR(VLOOKUP(F221,'ID1&amp;5'!K:L,2,FALSE),"-")</f>
        <v>-</v>
      </c>
      <c r="V221" s="79" t="str">
        <f>+IFERROR(VLOOKUP(CONCATENATE(A221,$F$10,F221),'ID1&amp;5'!B:J,9,FALSE),"-")</f>
        <v>-</v>
      </c>
      <c r="W221" s="26" t="str">
        <f>+IFERROR(VLOOKUP(A221,'ID6&amp;7'!A:I,9,FALSE),"-")</f>
        <v>-</v>
      </c>
      <c r="X221" s="26" t="str">
        <f>+IFERROR(VLOOKUP(A221,'ID6&amp;7'!A:J,10,FALSE),"-")</f>
        <v>-</v>
      </c>
      <c r="Y221" s="26"/>
      <c r="Z221" s="27" t="str">
        <f t="shared" si="4"/>
        <v>Por iniciar</v>
      </c>
      <c r="AA221" s="65"/>
    </row>
    <row r="222" spans="1:27">
      <c r="A222" s="20"/>
      <c r="B222" s="60"/>
      <c r="C222" s="60"/>
      <c r="D222" s="60"/>
      <c r="E222" s="60"/>
      <c r="F222" s="60"/>
      <c r="G222" s="60"/>
      <c r="H222" s="65" t="s">
        <v>117</v>
      </c>
      <c r="I222" s="21" t="s">
        <v>1282</v>
      </c>
      <c r="J222" s="26">
        <f>+COUNTIF('ID1&amp;5'!G:G,'1. Status'!I222)</f>
        <v>0</v>
      </c>
      <c r="K222" s="79" t="str">
        <f>+IFERROR(VLOOKUP(CONCATENATE(A222,$B$10,B222),'ID1&amp;5'!B:J,8,FALSE),"-")</f>
        <v>-</v>
      </c>
      <c r="L222" s="78" t="str">
        <f>+IFERROR(VLOOKUP(B222,'ID1&amp;5'!K:L,2,FALSE),"-")</f>
        <v>-</v>
      </c>
      <c r="M222" s="79" t="str">
        <f>+IFERROR(VLOOKUP(CONCATENATE(A222,$B$10,B222),'ID1&amp;5'!B:J,9,FALSE),"-")</f>
        <v>-</v>
      </c>
      <c r="N222" s="79" t="str">
        <f>+IFERROR(VLOOKUP(CONCATENATE(A222,$C$10,C222),'ID1&amp;5'!B:J,8,FALSE),"-")</f>
        <v>-</v>
      </c>
      <c r="O222" s="78" t="str">
        <f>+IFERROR(VLOOKUP(C222,'ID1&amp;5'!K:L,2,FALSE),"-")</f>
        <v>-</v>
      </c>
      <c r="P222" s="79" t="str">
        <f>+IFERROR(VLOOKUP(CONCATENATE(A222,$C$10,C222),'ID1&amp;5'!B:J,9,FALSE),"-")</f>
        <v>-</v>
      </c>
      <c r="Q222" s="78" t="str">
        <f>+IFERROR(VLOOKUP(D222,'ID1&amp;5'!K:L,2,FALSE),"-")</f>
        <v>-</v>
      </c>
      <c r="R222" s="26" t="str">
        <f>+IFERROR(VLOOKUP(CONCATENATE(A222,$D$10,D222),'ID1&amp;5'!B:J,9,FALSE),"-")</f>
        <v>-</v>
      </c>
      <c r="S222" s="78" t="str">
        <f>+IFERROR(VLOOKUP(E222,'ID1&amp;5'!K:L,2,FALSE),"-")</f>
        <v>-</v>
      </c>
      <c r="T222" s="79" t="str">
        <f>+IFERROR(VLOOKUP(CONCATENATE(A222,$E$10,E222),'ID1&amp;5'!B:J,9,FALSE),"-")</f>
        <v>-</v>
      </c>
      <c r="U222" s="78" t="str">
        <f>+IFERROR(VLOOKUP(F222,'ID1&amp;5'!K:L,2,FALSE),"-")</f>
        <v>-</v>
      </c>
      <c r="V222" s="79" t="str">
        <f>+IFERROR(VLOOKUP(CONCATENATE(A222,$F$10,F222),'ID1&amp;5'!B:J,9,FALSE),"-")</f>
        <v>-</v>
      </c>
      <c r="W222" s="26" t="str">
        <f>+IFERROR(VLOOKUP(A222,'ID6&amp;7'!A:I,9,FALSE),"-")</f>
        <v>-</v>
      </c>
      <c r="X222" s="26" t="str">
        <f>+IFERROR(VLOOKUP(A222,'ID6&amp;7'!A:J,10,FALSE),"-")</f>
        <v>-</v>
      </c>
      <c r="Y222" s="26"/>
      <c r="Z222" s="27" t="str">
        <f t="shared" si="4"/>
        <v>Por iniciar</v>
      </c>
      <c r="AA222" s="65"/>
    </row>
    <row r="223" spans="1:27">
      <c r="A223" s="20"/>
      <c r="B223" s="60"/>
      <c r="C223" s="60"/>
      <c r="D223" s="60"/>
      <c r="E223" s="60"/>
      <c r="F223" s="60"/>
      <c r="G223" s="60"/>
      <c r="H223" s="65" t="s">
        <v>117</v>
      </c>
      <c r="I223" s="21" t="s">
        <v>1283</v>
      </c>
      <c r="J223" s="26">
        <f>+COUNTIF('ID1&amp;5'!G:G,'1. Status'!I223)</f>
        <v>0</v>
      </c>
      <c r="K223" s="79" t="str">
        <f>+IFERROR(VLOOKUP(CONCATENATE(A223,$B$10,B223),'ID1&amp;5'!B:J,8,FALSE),"-")</f>
        <v>-</v>
      </c>
      <c r="L223" s="78" t="str">
        <f>+IFERROR(VLOOKUP(B223,'ID1&amp;5'!K:L,2,FALSE),"-")</f>
        <v>-</v>
      </c>
      <c r="M223" s="79" t="str">
        <f>+IFERROR(VLOOKUP(CONCATENATE(A223,$B$10,B223),'ID1&amp;5'!B:J,9,FALSE),"-")</f>
        <v>-</v>
      </c>
      <c r="N223" s="79" t="str">
        <f>+IFERROR(VLOOKUP(CONCATENATE(A223,$C$10,C223),'ID1&amp;5'!B:J,8,FALSE),"-")</f>
        <v>-</v>
      </c>
      <c r="O223" s="78" t="str">
        <f>+IFERROR(VLOOKUP(C223,'ID1&amp;5'!K:L,2,FALSE),"-")</f>
        <v>-</v>
      </c>
      <c r="P223" s="79" t="str">
        <f>+IFERROR(VLOOKUP(CONCATENATE(A223,$C$10,C223),'ID1&amp;5'!B:J,9,FALSE),"-")</f>
        <v>-</v>
      </c>
      <c r="Q223" s="78" t="str">
        <f>+IFERROR(VLOOKUP(D223,'ID1&amp;5'!K:L,2,FALSE),"-")</f>
        <v>-</v>
      </c>
      <c r="R223" s="26" t="str">
        <f>+IFERROR(VLOOKUP(CONCATENATE(A223,$D$10,D223),'ID1&amp;5'!B:J,9,FALSE),"-")</f>
        <v>-</v>
      </c>
      <c r="S223" s="78" t="str">
        <f>+IFERROR(VLOOKUP(E223,'ID1&amp;5'!K:L,2,FALSE),"-")</f>
        <v>-</v>
      </c>
      <c r="T223" s="79" t="str">
        <f>+IFERROR(VLOOKUP(CONCATENATE(A223,$E$10,E223),'ID1&amp;5'!B:J,9,FALSE),"-")</f>
        <v>-</v>
      </c>
      <c r="U223" s="78" t="str">
        <f>+IFERROR(VLOOKUP(F223,'ID1&amp;5'!K:L,2,FALSE),"-")</f>
        <v>-</v>
      </c>
      <c r="V223" s="79" t="str">
        <f>+IFERROR(VLOOKUP(CONCATENATE(A223,$F$10,F223),'ID1&amp;5'!B:J,9,FALSE),"-")</f>
        <v>-</v>
      </c>
      <c r="W223" s="26" t="str">
        <f>+IFERROR(VLOOKUP(A223,'ID6&amp;7'!A:I,9,FALSE),"-")</f>
        <v>-</v>
      </c>
      <c r="X223" s="26" t="str">
        <f>+IFERROR(VLOOKUP(A223,'ID6&amp;7'!A:J,10,FALSE),"-")</f>
        <v>-</v>
      </c>
      <c r="Y223" s="26"/>
      <c r="Z223" s="27" t="str">
        <f t="shared" si="4"/>
        <v>Por iniciar</v>
      </c>
      <c r="AA223" s="65"/>
    </row>
    <row r="224" spans="1:27">
      <c r="A224" s="20"/>
      <c r="B224" s="60"/>
      <c r="C224" s="60"/>
      <c r="D224" s="60"/>
      <c r="E224" s="60"/>
      <c r="F224" s="60"/>
      <c r="G224" s="60"/>
      <c r="H224" s="65" t="s">
        <v>117</v>
      </c>
      <c r="I224" s="21" t="s">
        <v>1284</v>
      </c>
      <c r="J224" s="26">
        <f>+COUNTIF('ID1&amp;5'!G:G,'1. Status'!I224)</f>
        <v>0</v>
      </c>
      <c r="K224" s="79" t="str">
        <f>+IFERROR(VLOOKUP(CONCATENATE(A224,$B$10,B224),'ID1&amp;5'!B:J,8,FALSE),"-")</f>
        <v>-</v>
      </c>
      <c r="L224" s="78" t="str">
        <f>+IFERROR(VLOOKUP(B224,'ID1&amp;5'!K:L,2,FALSE),"-")</f>
        <v>-</v>
      </c>
      <c r="M224" s="79" t="str">
        <f>+IFERROR(VLOOKUP(CONCATENATE(A224,$B$10,B224),'ID1&amp;5'!B:J,9,FALSE),"-")</f>
        <v>-</v>
      </c>
      <c r="N224" s="79" t="str">
        <f>+IFERROR(VLOOKUP(CONCATENATE(A224,$C$10,C224),'ID1&amp;5'!B:J,8,FALSE),"-")</f>
        <v>-</v>
      </c>
      <c r="O224" s="78" t="str">
        <f>+IFERROR(VLOOKUP(C224,'ID1&amp;5'!K:L,2,FALSE),"-")</f>
        <v>-</v>
      </c>
      <c r="P224" s="79" t="str">
        <f>+IFERROR(VLOOKUP(CONCATENATE(A224,$C$10,C224),'ID1&amp;5'!B:J,9,FALSE),"-")</f>
        <v>-</v>
      </c>
      <c r="Q224" s="78" t="str">
        <f>+IFERROR(VLOOKUP(D224,'ID1&amp;5'!K:L,2,FALSE),"-")</f>
        <v>-</v>
      </c>
      <c r="R224" s="26" t="str">
        <f>+IFERROR(VLOOKUP(CONCATENATE(A224,$D$10,D224),'ID1&amp;5'!B:J,9,FALSE),"-")</f>
        <v>-</v>
      </c>
      <c r="S224" s="78" t="str">
        <f>+IFERROR(VLOOKUP(E224,'ID1&amp;5'!K:L,2,FALSE),"-")</f>
        <v>-</v>
      </c>
      <c r="T224" s="79" t="str">
        <f>+IFERROR(VLOOKUP(CONCATENATE(A224,$E$10,E224),'ID1&amp;5'!B:J,9,FALSE),"-")</f>
        <v>-</v>
      </c>
      <c r="U224" s="78" t="str">
        <f>+IFERROR(VLOOKUP(F224,'ID1&amp;5'!K:L,2,FALSE),"-")</f>
        <v>-</v>
      </c>
      <c r="V224" s="79" t="str">
        <f>+IFERROR(VLOOKUP(CONCATENATE(A224,$F$10,F224),'ID1&amp;5'!B:J,9,FALSE),"-")</f>
        <v>-</v>
      </c>
      <c r="W224" s="26" t="str">
        <f>+IFERROR(VLOOKUP(A224,'ID6&amp;7'!A:I,9,FALSE),"-")</f>
        <v>-</v>
      </c>
      <c r="X224" s="26" t="str">
        <f>+IFERROR(VLOOKUP(A224,'ID6&amp;7'!A:J,10,FALSE),"-")</f>
        <v>-</v>
      </c>
      <c r="Y224" s="26"/>
      <c r="Z224" s="27" t="str">
        <f t="shared" si="4"/>
        <v>Por iniciar</v>
      </c>
      <c r="AA224" s="65"/>
    </row>
    <row r="225" spans="1:27">
      <c r="A225" s="20"/>
      <c r="B225" s="60"/>
      <c r="C225" s="60"/>
      <c r="D225" s="60"/>
      <c r="E225" s="60"/>
      <c r="F225" s="60"/>
      <c r="G225" s="60"/>
      <c r="H225" s="65" t="s">
        <v>117</v>
      </c>
      <c r="I225" s="21" t="s">
        <v>1285</v>
      </c>
      <c r="J225" s="26">
        <f>+COUNTIF('ID1&amp;5'!G:G,'1. Status'!I225)</f>
        <v>0</v>
      </c>
      <c r="K225" s="79" t="str">
        <f>+IFERROR(VLOOKUP(CONCATENATE(A225,$B$10,B225),'ID1&amp;5'!B:J,8,FALSE),"-")</f>
        <v>-</v>
      </c>
      <c r="L225" s="78" t="str">
        <f>+IFERROR(VLOOKUP(B225,'ID1&amp;5'!K:L,2,FALSE),"-")</f>
        <v>-</v>
      </c>
      <c r="M225" s="79" t="str">
        <f>+IFERROR(VLOOKUP(CONCATENATE(A225,$B$10,B225),'ID1&amp;5'!B:J,9,FALSE),"-")</f>
        <v>-</v>
      </c>
      <c r="N225" s="79" t="str">
        <f>+IFERROR(VLOOKUP(CONCATENATE(A225,$C$10,C225),'ID1&amp;5'!B:J,8,FALSE),"-")</f>
        <v>-</v>
      </c>
      <c r="O225" s="78" t="str">
        <f>+IFERROR(VLOOKUP(C225,'ID1&amp;5'!K:L,2,FALSE),"-")</f>
        <v>-</v>
      </c>
      <c r="P225" s="79" t="str">
        <f>+IFERROR(VLOOKUP(CONCATENATE(A225,$C$10,C225),'ID1&amp;5'!B:J,9,FALSE),"-")</f>
        <v>-</v>
      </c>
      <c r="Q225" s="78" t="str">
        <f>+IFERROR(VLOOKUP(D225,'ID1&amp;5'!K:L,2,FALSE),"-")</f>
        <v>-</v>
      </c>
      <c r="R225" s="26" t="str">
        <f>+IFERROR(VLOOKUP(CONCATENATE(A225,$D$10,D225),'ID1&amp;5'!B:J,9,FALSE),"-")</f>
        <v>-</v>
      </c>
      <c r="S225" s="78" t="str">
        <f>+IFERROR(VLOOKUP(E225,'ID1&amp;5'!K:L,2,FALSE),"-")</f>
        <v>-</v>
      </c>
      <c r="T225" s="79" t="str">
        <f>+IFERROR(VLOOKUP(CONCATENATE(A225,$E$10,E225),'ID1&amp;5'!B:J,9,FALSE),"-")</f>
        <v>-</v>
      </c>
      <c r="U225" s="78" t="str">
        <f>+IFERROR(VLOOKUP(F225,'ID1&amp;5'!K:L,2,FALSE),"-")</f>
        <v>-</v>
      </c>
      <c r="V225" s="79" t="str">
        <f>+IFERROR(VLOOKUP(CONCATENATE(A225,$F$10,F225),'ID1&amp;5'!B:J,9,FALSE),"-")</f>
        <v>-</v>
      </c>
      <c r="W225" s="26" t="str">
        <f>+IFERROR(VLOOKUP(A225,'ID6&amp;7'!A:I,9,FALSE),"-")</f>
        <v>-</v>
      </c>
      <c r="X225" s="26" t="str">
        <f>+IFERROR(VLOOKUP(A225,'ID6&amp;7'!A:J,10,FALSE),"-")</f>
        <v>-</v>
      </c>
      <c r="Y225" s="26"/>
      <c r="Z225" s="27" t="str">
        <f t="shared" si="4"/>
        <v>Por iniciar</v>
      </c>
      <c r="AA225" s="65"/>
    </row>
    <row r="226" spans="1:27">
      <c r="A226" s="20"/>
      <c r="B226" s="60"/>
      <c r="C226" s="60"/>
      <c r="D226" s="60"/>
      <c r="E226" s="60"/>
      <c r="F226" s="60"/>
      <c r="G226" s="60"/>
      <c r="H226" s="65" t="s">
        <v>117</v>
      </c>
      <c r="I226" s="21" t="s">
        <v>1286</v>
      </c>
      <c r="J226" s="26">
        <f>+COUNTIF('ID1&amp;5'!G:G,'1. Status'!I226)</f>
        <v>0</v>
      </c>
      <c r="K226" s="79" t="str">
        <f>+IFERROR(VLOOKUP(CONCATENATE(A226,$B$10,B226),'ID1&amp;5'!B:J,8,FALSE),"-")</f>
        <v>-</v>
      </c>
      <c r="L226" s="78" t="str">
        <f>+IFERROR(VLOOKUP(B226,'ID1&amp;5'!K:L,2,FALSE),"-")</f>
        <v>-</v>
      </c>
      <c r="M226" s="79" t="str">
        <f>+IFERROR(VLOOKUP(CONCATENATE(A226,$B$10,B226),'ID1&amp;5'!B:J,9,FALSE),"-")</f>
        <v>-</v>
      </c>
      <c r="N226" s="79" t="str">
        <f>+IFERROR(VLOOKUP(CONCATENATE(A226,$C$10,C226),'ID1&amp;5'!B:J,8,FALSE),"-")</f>
        <v>-</v>
      </c>
      <c r="O226" s="78" t="str">
        <f>+IFERROR(VLOOKUP(C226,'ID1&amp;5'!K:L,2,FALSE),"-")</f>
        <v>-</v>
      </c>
      <c r="P226" s="79" t="str">
        <f>+IFERROR(VLOOKUP(CONCATENATE(A226,$C$10,C226),'ID1&amp;5'!B:J,9,FALSE),"-")</f>
        <v>-</v>
      </c>
      <c r="Q226" s="78" t="str">
        <f>+IFERROR(VLOOKUP(D226,'ID1&amp;5'!K:L,2,FALSE),"-")</f>
        <v>-</v>
      </c>
      <c r="R226" s="26" t="str">
        <f>+IFERROR(VLOOKUP(CONCATENATE(A226,$D$10,D226),'ID1&amp;5'!B:J,9,FALSE),"-")</f>
        <v>-</v>
      </c>
      <c r="S226" s="78" t="str">
        <f>+IFERROR(VLOOKUP(E226,'ID1&amp;5'!K:L,2,FALSE),"-")</f>
        <v>-</v>
      </c>
      <c r="T226" s="79" t="str">
        <f>+IFERROR(VLOOKUP(CONCATENATE(A226,$E$10,E226),'ID1&amp;5'!B:J,9,FALSE),"-")</f>
        <v>-</v>
      </c>
      <c r="U226" s="78" t="str">
        <f>+IFERROR(VLOOKUP(F226,'ID1&amp;5'!K:L,2,FALSE),"-")</f>
        <v>-</v>
      </c>
      <c r="V226" s="79" t="str">
        <f>+IFERROR(VLOOKUP(CONCATENATE(A226,$F$10,F226),'ID1&amp;5'!B:J,9,FALSE),"-")</f>
        <v>-</v>
      </c>
      <c r="W226" s="26" t="str">
        <f>+IFERROR(VLOOKUP(A226,'ID6&amp;7'!A:I,9,FALSE),"-")</f>
        <v>-</v>
      </c>
      <c r="X226" s="26" t="str">
        <f>+IFERROR(VLOOKUP(A226,'ID6&amp;7'!A:J,10,FALSE),"-")</f>
        <v>-</v>
      </c>
      <c r="Y226" s="26"/>
      <c r="Z226" s="27" t="str">
        <f t="shared" si="4"/>
        <v>Por iniciar</v>
      </c>
      <c r="AA226" s="65"/>
    </row>
    <row r="227" spans="1:27">
      <c r="A227" s="20"/>
      <c r="B227" s="60"/>
      <c r="C227" s="60"/>
      <c r="D227" s="60"/>
      <c r="E227" s="60"/>
      <c r="F227" s="60"/>
      <c r="G227" s="60"/>
      <c r="H227" s="65" t="s">
        <v>117</v>
      </c>
      <c r="I227" s="21" t="s">
        <v>1287</v>
      </c>
      <c r="J227" s="26">
        <f>+COUNTIF('ID1&amp;5'!G:G,'1. Status'!I227)</f>
        <v>0</v>
      </c>
      <c r="K227" s="79" t="str">
        <f>+IFERROR(VLOOKUP(CONCATENATE(A227,$B$10,B227),'ID1&amp;5'!B:J,8,FALSE),"-")</f>
        <v>-</v>
      </c>
      <c r="L227" s="78" t="str">
        <f>+IFERROR(VLOOKUP(B227,'ID1&amp;5'!K:L,2,FALSE),"-")</f>
        <v>-</v>
      </c>
      <c r="M227" s="79" t="str">
        <f>+IFERROR(VLOOKUP(CONCATENATE(A227,$B$10,B227),'ID1&amp;5'!B:J,9,FALSE),"-")</f>
        <v>-</v>
      </c>
      <c r="N227" s="79" t="str">
        <f>+IFERROR(VLOOKUP(CONCATENATE(A227,$C$10,C227),'ID1&amp;5'!B:J,8,FALSE),"-")</f>
        <v>-</v>
      </c>
      <c r="O227" s="78" t="str">
        <f>+IFERROR(VLOOKUP(C227,'ID1&amp;5'!K:L,2,FALSE),"-")</f>
        <v>-</v>
      </c>
      <c r="P227" s="79" t="str">
        <f>+IFERROR(VLOOKUP(CONCATENATE(A227,$C$10,C227),'ID1&amp;5'!B:J,9,FALSE),"-")</f>
        <v>-</v>
      </c>
      <c r="Q227" s="78" t="str">
        <f>+IFERROR(VLOOKUP(D227,'ID1&amp;5'!K:L,2,FALSE),"-")</f>
        <v>-</v>
      </c>
      <c r="R227" s="26" t="str">
        <f>+IFERROR(VLOOKUP(CONCATENATE(A227,$D$10,D227),'ID1&amp;5'!B:J,9,FALSE),"-")</f>
        <v>-</v>
      </c>
      <c r="S227" s="78" t="str">
        <f>+IFERROR(VLOOKUP(E227,'ID1&amp;5'!K:L,2,FALSE),"-")</f>
        <v>-</v>
      </c>
      <c r="T227" s="79" t="str">
        <f>+IFERROR(VLOOKUP(CONCATENATE(A227,$E$10,E227),'ID1&amp;5'!B:J,9,FALSE),"-")</f>
        <v>-</v>
      </c>
      <c r="U227" s="78" t="str">
        <f>+IFERROR(VLOOKUP(F227,'ID1&amp;5'!K:L,2,FALSE),"-")</f>
        <v>-</v>
      </c>
      <c r="V227" s="79" t="str">
        <f>+IFERROR(VLOOKUP(CONCATENATE(A227,$F$10,F227),'ID1&amp;5'!B:J,9,FALSE),"-")</f>
        <v>-</v>
      </c>
      <c r="W227" s="26" t="str">
        <f>+IFERROR(VLOOKUP(A227,'ID6&amp;7'!A:I,9,FALSE),"-")</f>
        <v>-</v>
      </c>
      <c r="X227" s="26" t="str">
        <f>+IFERROR(VLOOKUP(A227,'ID6&amp;7'!A:J,10,FALSE),"-")</f>
        <v>-</v>
      </c>
      <c r="Y227" s="26"/>
      <c r="Z227" s="27" t="str">
        <f t="shared" si="4"/>
        <v>Por iniciar</v>
      </c>
      <c r="AA227" s="65"/>
    </row>
    <row r="228" spans="1:27">
      <c r="A228" s="20"/>
      <c r="B228" s="60"/>
      <c r="C228" s="60"/>
      <c r="D228" s="60"/>
      <c r="E228" s="60"/>
      <c r="F228" s="60"/>
      <c r="G228" s="60"/>
      <c r="H228" s="65" t="s">
        <v>117</v>
      </c>
      <c r="I228" s="21" t="s">
        <v>1288</v>
      </c>
      <c r="J228" s="26">
        <f>+COUNTIF('ID1&amp;5'!G:G,'1. Status'!I228)</f>
        <v>0</v>
      </c>
      <c r="K228" s="79" t="str">
        <f>+IFERROR(VLOOKUP(CONCATENATE(A228,$B$10,B228),'ID1&amp;5'!B:J,8,FALSE),"-")</f>
        <v>-</v>
      </c>
      <c r="L228" s="78" t="str">
        <f>+IFERROR(VLOOKUP(B228,'ID1&amp;5'!K:L,2,FALSE),"-")</f>
        <v>-</v>
      </c>
      <c r="M228" s="79" t="str">
        <f>+IFERROR(VLOOKUP(CONCATENATE(A228,$B$10,B228),'ID1&amp;5'!B:J,9,FALSE),"-")</f>
        <v>-</v>
      </c>
      <c r="N228" s="79" t="str">
        <f>+IFERROR(VLOOKUP(CONCATENATE(A228,$C$10,C228),'ID1&amp;5'!B:J,8,FALSE),"-")</f>
        <v>-</v>
      </c>
      <c r="O228" s="78" t="str">
        <f>+IFERROR(VLOOKUP(C228,'ID1&amp;5'!K:L,2,FALSE),"-")</f>
        <v>-</v>
      </c>
      <c r="P228" s="79" t="str">
        <f>+IFERROR(VLOOKUP(CONCATENATE(A228,$C$10,C228),'ID1&amp;5'!B:J,9,FALSE),"-")</f>
        <v>-</v>
      </c>
      <c r="Q228" s="78" t="str">
        <f>+IFERROR(VLOOKUP(D228,'ID1&amp;5'!K:L,2,FALSE),"-")</f>
        <v>-</v>
      </c>
      <c r="R228" s="26" t="str">
        <f>+IFERROR(VLOOKUP(CONCATENATE(A228,$D$10,D228),'ID1&amp;5'!B:J,9,FALSE),"-")</f>
        <v>-</v>
      </c>
      <c r="S228" s="78" t="str">
        <f>+IFERROR(VLOOKUP(E228,'ID1&amp;5'!K:L,2,FALSE),"-")</f>
        <v>-</v>
      </c>
      <c r="T228" s="79" t="str">
        <f>+IFERROR(VLOOKUP(CONCATENATE(A228,$E$10,E228),'ID1&amp;5'!B:J,9,FALSE),"-")</f>
        <v>-</v>
      </c>
      <c r="U228" s="78" t="str">
        <f>+IFERROR(VLOOKUP(F228,'ID1&amp;5'!K:L,2,FALSE),"-")</f>
        <v>-</v>
      </c>
      <c r="V228" s="79" t="str">
        <f>+IFERROR(VLOOKUP(CONCATENATE(A228,$F$10,F228),'ID1&amp;5'!B:J,9,FALSE),"-")</f>
        <v>-</v>
      </c>
      <c r="W228" s="26" t="str">
        <f>+IFERROR(VLOOKUP(A228,'ID6&amp;7'!A:I,9,FALSE),"-")</f>
        <v>-</v>
      </c>
      <c r="X228" s="26" t="str">
        <f>+IFERROR(VLOOKUP(A228,'ID6&amp;7'!A:J,10,FALSE),"-")</f>
        <v>-</v>
      </c>
      <c r="Y228" s="26"/>
      <c r="Z228" s="27" t="str">
        <f t="shared" si="4"/>
        <v>Por iniciar</v>
      </c>
      <c r="AA228" s="65"/>
    </row>
    <row r="229" spans="1:27">
      <c r="A229" s="20"/>
      <c r="B229" s="60"/>
      <c r="C229" s="60"/>
      <c r="D229" s="60"/>
      <c r="E229" s="60"/>
      <c r="F229" s="60"/>
      <c r="G229" s="60"/>
      <c r="H229" s="65" t="s">
        <v>117</v>
      </c>
      <c r="I229" s="21" t="s">
        <v>1289</v>
      </c>
      <c r="J229" s="26">
        <f>+COUNTIF('ID1&amp;5'!G:G,'1. Status'!I229)</f>
        <v>0</v>
      </c>
      <c r="K229" s="79" t="str">
        <f>+IFERROR(VLOOKUP(CONCATENATE(A229,$B$10,B229),'ID1&amp;5'!B:J,8,FALSE),"-")</f>
        <v>-</v>
      </c>
      <c r="L229" s="78" t="str">
        <f>+IFERROR(VLOOKUP(B229,'ID1&amp;5'!K:L,2,FALSE),"-")</f>
        <v>-</v>
      </c>
      <c r="M229" s="79" t="str">
        <f>+IFERROR(VLOOKUP(CONCATENATE(A229,$B$10,B229),'ID1&amp;5'!B:J,9,FALSE),"-")</f>
        <v>-</v>
      </c>
      <c r="N229" s="79" t="str">
        <f>+IFERROR(VLOOKUP(CONCATENATE(A229,$C$10,C229),'ID1&amp;5'!B:J,8,FALSE),"-")</f>
        <v>-</v>
      </c>
      <c r="O229" s="78" t="str">
        <f>+IFERROR(VLOOKUP(C229,'ID1&amp;5'!K:L,2,FALSE),"-")</f>
        <v>-</v>
      </c>
      <c r="P229" s="79" t="str">
        <f>+IFERROR(VLOOKUP(CONCATENATE(A229,$C$10,C229),'ID1&amp;5'!B:J,9,FALSE),"-")</f>
        <v>-</v>
      </c>
      <c r="Q229" s="78" t="str">
        <f>+IFERROR(VLOOKUP(D229,'ID1&amp;5'!K:L,2,FALSE),"-")</f>
        <v>-</v>
      </c>
      <c r="R229" s="26" t="str">
        <f>+IFERROR(VLOOKUP(CONCATENATE(A229,$D$10,D229),'ID1&amp;5'!B:J,9,FALSE),"-")</f>
        <v>-</v>
      </c>
      <c r="S229" s="78" t="str">
        <f>+IFERROR(VLOOKUP(E229,'ID1&amp;5'!K:L,2,FALSE),"-")</f>
        <v>-</v>
      </c>
      <c r="T229" s="79" t="str">
        <f>+IFERROR(VLOOKUP(CONCATENATE(A229,$E$10,E229),'ID1&amp;5'!B:J,9,FALSE),"-")</f>
        <v>-</v>
      </c>
      <c r="U229" s="78" t="str">
        <f>+IFERROR(VLOOKUP(F229,'ID1&amp;5'!K:L,2,FALSE),"-")</f>
        <v>-</v>
      </c>
      <c r="V229" s="79" t="str">
        <f>+IFERROR(VLOOKUP(CONCATENATE(A229,$F$10,F229),'ID1&amp;5'!B:J,9,FALSE),"-")</f>
        <v>-</v>
      </c>
      <c r="W229" s="26" t="str">
        <f>+IFERROR(VLOOKUP(A229,'ID6&amp;7'!A:I,9,FALSE),"-")</f>
        <v>-</v>
      </c>
      <c r="X229" s="26" t="str">
        <f>+IFERROR(VLOOKUP(A229,'ID6&amp;7'!A:J,10,FALSE),"-")</f>
        <v>-</v>
      </c>
      <c r="Y229" s="26"/>
      <c r="Z229" s="27" t="str">
        <f t="shared" si="4"/>
        <v>Por iniciar</v>
      </c>
      <c r="AA229" s="65"/>
    </row>
    <row r="230" spans="1:27">
      <c r="A230" s="20"/>
      <c r="B230" s="60"/>
      <c r="C230" s="60"/>
      <c r="D230" s="60"/>
      <c r="E230" s="60"/>
      <c r="F230" s="60"/>
      <c r="G230" s="60"/>
      <c r="H230" s="65" t="s">
        <v>117</v>
      </c>
      <c r="I230" s="21" t="s">
        <v>1290</v>
      </c>
      <c r="J230" s="26">
        <f>+COUNTIF('ID1&amp;5'!G:G,'1. Status'!I230)</f>
        <v>0</v>
      </c>
      <c r="K230" s="79" t="str">
        <f>+IFERROR(VLOOKUP(CONCATENATE(A230,$B$10,B230),'ID1&amp;5'!B:J,8,FALSE),"-")</f>
        <v>-</v>
      </c>
      <c r="L230" s="78" t="str">
        <f>+IFERROR(VLOOKUP(B230,'ID1&amp;5'!K:L,2,FALSE),"-")</f>
        <v>-</v>
      </c>
      <c r="M230" s="79" t="str">
        <f>+IFERROR(VLOOKUP(CONCATENATE(A230,$B$10,B230),'ID1&amp;5'!B:J,9,FALSE),"-")</f>
        <v>-</v>
      </c>
      <c r="N230" s="79" t="str">
        <f>+IFERROR(VLOOKUP(CONCATENATE(A230,$C$10,C230),'ID1&amp;5'!B:J,8,FALSE),"-")</f>
        <v>-</v>
      </c>
      <c r="O230" s="78" t="str">
        <f>+IFERROR(VLOOKUP(C230,'ID1&amp;5'!K:L,2,FALSE),"-")</f>
        <v>-</v>
      </c>
      <c r="P230" s="79" t="str">
        <f>+IFERROR(VLOOKUP(CONCATENATE(A230,$C$10,C230),'ID1&amp;5'!B:J,9,FALSE),"-")</f>
        <v>-</v>
      </c>
      <c r="Q230" s="78" t="str">
        <f>+IFERROR(VLOOKUP(D230,'ID1&amp;5'!K:L,2,FALSE),"-")</f>
        <v>-</v>
      </c>
      <c r="R230" s="26" t="str">
        <f>+IFERROR(VLOOKUP(CONCATENATE(A230,$D$10,D230),'ID1&amp;5'!B:J,9,FALSE),"-")</f>
        <v>-</v>
      </c>
      <c r="S230" s="78" t="str">
        <f>+IFERROR(VLOOKUP(E230,'ID1&amp;5'!K:L,2,FALSE),"-")</f>
        <v>-</v>
      </c>
      <c r="T230" s="79" t="str">
        <f>+IFERROR(VLOOKUP(CONCATENATE(A230,$E$10,E230),'ID1&amp;5'!B:J,9,FALSE),"-")</f>
        <v>-</v>
      </c>
      <c r="U230" s="78" t="str">
        <f>+IFERROR(VLOOKUP(F230,'ID1&amp;5'!K:L,2,FALSE),"-")</f>
        <v>-</v>
      </c>
      <c r="V230" s="79" t="str">
        <f>+IFERROR(VLOOKUP(CONCATENATE(A230,$F$10,F230),'ID1&amp;5'!B:J,9,FALSE),"-")</f>
        <v>-</v>
      </c>
      <c r="W230" s="26" t="str">
        <f>+IFERROR(VLOOKUP(A230,'ID6&amp;7'!A:I,9,FALSE),"-")</f>
        <v>-</v>
      </c>
      <c r="X230" s="26" t="str">
        <f>+IFERROR(VLOOKUP(A230,'ID6&amp;7'!A:J,10,FALSE),"-")</f>
        <v>-</v>
      </c>
      <c r="Y230" s="26"/>
      <c r="Z230" s="27" t="str">
        <f t="shared" si="4"/>
        <v>Por iniciar</v>
      </c>
      <c r="AA230" s="65"/>
    </row>
    <row r="231" spans="1:27">
      <c r="A231" s="20"/>
      <c r="B231" s="60"/>
      <c r="C231" s="60"/>
      <c r="D231" s="60"/>
      <c r="E231" s="60"/>
      <c r="F231" s="60"/>
      <c r="G231" s="60"/>
      <c r="H231" s="65" t="s">
        <v>117</v>
      </c>
      <c r="I231" s="21" t="s">
        <v>614</v>
      </c>
      <c r="J231" s="26">
        <f>+COUNTIF('ID1&amp;5'!G:G,'1. Status'!I231)</f>
        <v>0</v>
      </c>
      <c r="K231" s="79" t="str">
        <f>+IFERROR(VLOOKUP(CONCATENATE(A231,$B$10,B231),'ID1&amp;5'!B:J,8,FALSE),"-")</f>
        <v>-</v>
      </c>
      <c r="L231" s="78" t="str">
        <f>+IFERROR(VLOOKUP(B231,'ID1&amp;5'!K:L,2,FALSE),"-")</f>
        <v>-</v>
      </c>
      <c r="M231" s="79" t="str">
        <f>+IFERROR(VLOOKUP(CONCATENATE(A231,$B$10,B231),'ID1&amp;5'!B:J,9,FALSE),"-")</f>
        <v>-</v>
      </c>
      <c r="N231" s="79" t="str">
        <f>+IFERROR(VLOOKUP(CONCATENATE(A231,$C$10,C231),'ID1&amp;5'!B:J,8,FALSE),"-")</f>
        <v>-</v>
      </c>
      <c r="O231" s="78" t="str">
        <f>+IFERROR(VLOOKUP(C231,'ID1&amp;5'!K:L,2,FALSE),"-")</f>
        <v>-</v>
      </c>
      <c r="P231" s="79" t="str">
        <f>+IFERROR(VLOOKUP(CONCATENATE(A231,$C$10,C231),'ID1&amp;5'!B:J,9,FALSE),"-")</f>
        <v>-</v>
      </c>
      <c r="Q231" s="78" t="str">
        <f>+IFERROR(VLOOKUP(D231,'ID1&amp;5'!K:L,2,FALSE),"-")</f>
        <v>-</v>
      </c>
      <c r="R231" s="26" t="str">
        <f>+IFERROR(VLOOKUP(CONCATENATE(A231,$D$10,D231),'ID1&amp;5'!B:J,9,FALSE),"-")</f>
        <v>-</v>
      </c>
      <c r="S231" s="78" t="str">
        <f>+IFERROR(VLOOKUP(E231,'ID1&amp;5'!K:L,2,FALSE),"-")</f>
        <v>-</v>
      </c>
      <c r="T231" s="79" t="str">
        <f>+IFERROR(VLOOKUP(CONCATENATE(A231,$E$10,E231),'ID1&amp;5'!B:J,9,FALSE),"-")</f>
        <v>-</v>
      </c>
      <c r="U231" s="78" t="str">
        <f>+IFERROR(VLOOKUP(F231,'ID1&amp;5'!K:L,2,FALSE),"-")</f>
        <v>-</v>
      </c>
      <c r="V231" s="79" t="str">
        <f>+IFERROR(VLOOKUP(CONCATENATE(A231,$F$10,F231),'ID1&amp;5'!B:J,9,FALSE),"-")</f>
        <v>-</v>
      </c>
      <c r="W231" s="26" t="str">
        <f>+IFERROR(VLOOKUP(A231,'ID6&amp;7'!A:I,9,FALSE),"-")</f>
        <v>-</v>
      </c>
      <c r="X231" s="26" t="str">
        <f>+IFERROR(VLOOKUP(A231,'ID6&amp;7'!A:J,10,FALSE),"-")</f>
        <v>-</v>
      </c>
      <c r="Y231" s="26"/>
      <c r="Z231" s="27" t="str">
        <f t="shared" si="4"/>
        <v>Por iniciar</v>
      </c>
      <c r="AA231" s="65"/>
    </row>
    <row r="232" spans="1:27">
      <c r="A232" s="20"/>
      <c r="B232" s="60"/>
      <c r="C232" s="60"/>
      <c r="D232" s="60"/>
      <c r="E232" s="60"/>
      <c r="F232" s="60"/>
      <c r="G232" s="60"/>
      <c r="H232" s="65" t="s">
        <v>117</v>
      </c>
      <c r="I232" s="21" t="s">
        <v>652</v>
      </c>
      <c r="J232" s="26">
        <f>+COUNTIF('ID1&amp;5'!G:G,'1. Status'!I232)</f>
        <v>0</v>
      </c>
      <c r="K232" s="79" t="str">
        <f>+IFERROR(VLOOKUP(CONCATENATE(A232,$B$10,B232),'ID1&amp;5'!B:J,8,FALSE),"-")</f>
        <v>-</v>
      </c>
      <c r="L232" s="78" t="str">
        <f>+IFERROR(VLOOKUP(B232,'ID1&amp;5'!K:L,2,FALSE),"-")</f>
        <v>-</v>
      </c>
      <c r="M232" s="79" t="str">
        <f>+IFERROR(VLOOKUP(CONCATENATE(A232,$B$10,B232),'ID1&amp;5'!B:J,9,FALSE),"-")</f>
        <v>-</v>
      </c>
      <c r="N232" s="79" t="str">
        <f>+IFERROR(VLOOKUP(CONCATENATE(A232,$C$10,C232),'ID1&amp;5'!B:J,8,FALSE),"-")</f>
        <v>-</v>
      </c>
      <c r="O232" s="78" t="str">
        <f>+IFERROR(VLOOKUP(C232,'ID1&amp;5'!K:L,2,FALSE),"-")</f>
        <v>-</v>
      </c>
      <c r="P232" s="79" t="str">
        <f>+IFERROR(VLOOKUP(CONCATENATE(A232,$C$10,C232),'ID1&amp;5'!B:J,9,FALSE),"-")</f>
        <v>-</v>
      </c>
      <c r="Q232" s="78" t="str">
        <f>+IFERROR(VLOOKUP(D232,'ID1&amp;5'!K:L,2,FALSE),"-")</f>
        <v>-</v>
      </c>
      <c r="R232" s="26" t="str">
        <f>+IFERROR(VLOOKUP(CONCATENATE(A232,$D$10,D232),'ID1&amp;5'!B:J,9,FALSE),"-")</f>
        <v>-</v>
      </c>
      <c r="S232" s="78" t="str">
        <f>+IFERROR(VLOOKUP(E232,'ID1&amp;5'!K:L,2,FALSE),"-")</f>
        <v>-</v>
      </c>
      <c r="T232" s="79" t="str">
        <f>+IFERROR(VLOOKUP(CONCATENATE(A232,$E$10,E232),'ID1&amp;5'!B:J,9,FALSE),"-")</f>
        <v>-</v>
      </c>
      <c r="U232" s="78" t="str">
        <f>+IFERROR(VLOOKUP(F232,'ID1&amp;5'!K:L,2,FALSE),"-")</f>
        <v>-</v>
      </c>
      <c r="V232" s="79" t="str">
        <f>+IFERROR(VLOOKUP(CONCATENATE(A232,$F$10,F232),'ID1&amp;5'!B:J,9,FALSE),"-")</f>
        <v>-</v>
      </c>
      <c r="W232" s="26" t="str">
        <f>+IFERROR(VLOOKUP(A232,'ID6&amp;7'!A:I,9,FALSE),"-")</f>
        <v>-</v>
      </c>
      <c r="X232" s="26" t="str">
        <f>+IFERROR(VLOOKUP(A232,'ID6&amp;7'!A:J,10,FALSE),"-")</f>
        <v>-</v>
      </c>
      <c r="Y232" s="26"/>
      <c r="Z232" s="27" t="str">
        <f t="shared" si="4"/>
        <v>Por iniciar</v>
      </c>
      <c r="AA232" s="65"/>
    </row>
    <row r="233" spans="1:27">
      <c r="A233" s="20"/>
      <c r="B233" s="60"/>
      <c r="C233" s="60"/>
      <c r="D233" s="60"/>
      <c r="E233" s="60"/>
      <c r="F233" s="60"/>
      <c r="G233" s="60"/>
      <c r="H233" s="65" t="s">
        <v>117</v>
      </c>
      <c r="I233" s="21" t="s">
        <v>1291</v>
      </c>
      <c r="J233" s="26">
        <f>+COUNTIF('ID1&amp;5'!G:G,'1. Status'!I233)</f>
        <v>0</v>
      </c>
      <c r="K233" s="79" t="str">
        <f>+IFERROR(VLOOKUP(CONCATENATE(A233,$B$10,B233),'ID1&amp;5'!B:J,8,FALSE),"-")</f>
        <v>-</v>
      </c>
      <c r="L233" s="78" t="str">
        <f>+IFERROR(VLOOKUP(B233,'ID1&amp;5'!K:L,2,FALSE),"-")</f>
        <v>-</v>
      </c>
      <c r="M233" s="79" t="str">
        <f>+IFERROR(VLOOKUP(CONCATENATE(A233,$B$10,B233),'ID1&amp;5'!B:J,9,FALSE),"-")</f>
        <v>-</v>
      </c>
      <c r="N233" s="79" t="str">
        <f>+IFERROR(VLOOKUP(CONCATENATE(A233,$C$10,C233),'ID1&amp;5'!B:J,8,FALSE),"-")</f>
        <v>-</v>
      </c>
      <c r="O233" s="78" t="str">
        <f>+IFERROR(VLOOKUP(C233,'ID1&amp;5'!K:L,2,FALSE),"-")</f>
        <v>-</v>
      </c>
      <c r="P233" s="79" t="str">
        <f>+IFERROR(VLOOKUP(CONCATENATE(A233,$C$10,C233),'ID1&amp;5'!B:J,9,FALSE),"-")</f>
        <v>-</v>
      </c>
      <c r="Q233" s="78" t="str">
        <f>+IFERROR(VLOOKUP(D233,'ID1&amp;5'!K:L,2,FALSE),"-")</f>
        <v>-</v>
      </c>
      <c r="R233" s="26" t="str">
        <f>+IFERROR(VLOOKUP(CONCATENATE(A233,$D$10,D233),'ID1&amp;5'!B:J,9,FALSE),"-")</f>
        <v>-</v>
      </c>
      <c r="S233" s="78" t="str">
        <f>+IFERROR(VLOOKUP(E233,'ID1&amp;5'!K:L,2,FALSE),"-")</f>
        <v>-</v>
      </c>
      <c r="T233" s="79" t="str">
        <f>+IFERROR(VLOOKUP(CONCATENATE(A233,$E$10,E233),'ID1&amp;5'!B:J,9,FALSE),"-")</f>
        <v>-</v>
      </c>
      <c r="U233" s="78" t="str">
        <f>+IFERROR(VLOOKUP(F233,'ID1&amp;5'!K:L,2,FALSE),"-")</f>
        <v>-</v>
      </c>
      <c r="V233" s="79" t="str">
        <f>+IFERROR(VLOOKUP(CONCATENATE(A233,$F$10,F233),'ID1&amp;5'!B:J,9,FALSE),"-")</f>
        <v>-</v>
      </c>
      <c r="W233" s="26" t="str">
        <f>+IFERROR(VLOOKUP(A233,'ID6&amp;7'!A:I,9,FALSE),"-")</f>
        <v>-</v>
      </c>
      <c r="X233" s="26" t="str">
        <f>+IFERROR(VLOOKUP(A233,'ID6&amp;7'!A:J,10,FALSE),"-")</f>
        <v>-</v>
      </c>
      <c r="Y233" s="26"/>
      <c r="Z233" s="27" t="str">
        <f t="shared" si="4"/>
        <v>Por iniciar</v>
      </c>
      <c r="AA233" s="65"/>
    </row>
    <row r="234" spans="1:27">
      <c r="A234" s="20"/>
      <c r="B234" s="60"/>
      <c r="C234" s="60"/>
      <c r="D234" s="60"/>
      <c r="E234" s="60"/>
      <c r="F234" s="60"/>
      <c r="G234" s="60"/>
      <c r="H234" s="65" t="s">
        <v>117</v>
      </c>
      <c r="I234" s="21" t="s">
        <v>1292</v>
      </c>
      <c r="J234" s="26">
        <f>+COUNTIF('ID1&amp;5'!G:G,'1. Status'!I234)</f>
        <v>0</v>
      </c>
      <c r="K234" s="79" t="str">
        <f>+IFERROR(VLOOKUP(CONCATENATE(A234,$B$10,B234),'ID1&amp;5'!B:J,8,FALSE),"-")</f>
        <v>-</v>
      </c>
      <c r="L234" s="78" t="str">
        <f>+IFERROR(VLOOKUP(B234,'ID1&amp;5'!K:L,2,FALSE),"-")</f>
        <v>-</v>
      </c>
      <c r="M234" s="79" t="str">
        <f>+IFERROR(VLOOKUP(CONCATENATE(A234,$B$10,B234),'ID1&amp;5'!B:J,9,FALSE),"-")</f>
        <v>-</v>
      </c>
      <c r="N234" s="79" t="str">
        <f>+IFERROR(VLOOKUP(CONCATENATE(A234,$C$10,C234),'ID1&amp;5'!B:J,8,FALSE),"-")</f>
        <v>-</v>
      </c>
      <c r="O234" s="78" t="str">
        <f>+IFERROR(VLOOKUP(C234,'ID1&amp;5'!K:L,2,FALSE),"-")</f>
        <v>-</v>
      </c>
      <c r="P234" s="79" t="str">
        <f>+IFERROR(VLOOKUP(CONCATENATE(A234,$C$10,C234),'ID1&amp;5'!B:J,9,FALSE),"-")</f>
        <v>-</v>
      </c>
      <c r="Q234" s="78" t="str">
        <f>+IFERROR(VLOOKUP(D234,'ID1&amp;5'!K:L,2,FALSE),"-")</f>
        <v>-</v>
      </c>
      <c r="R234" s="26" t="str">
        <f>+IFERROR(VLOOKUP(CONCATENATE(A234,$D$10,D234),'ID1&amp;5'!B:J,9,FALSE),"-")</f>
        <v>-</v>
      </c>
      <c r="S234" s="78" t="str">
        <f>+IFERROR(VLOOKUP(E234,'ID1&amp;5'!K:L,2,FALSE),"-")</f>
        <v>-</v>
      </c>
      <c r="T234" s="79" t="str">
        <f>+IFERROR(VLOOKUP(CONCATENATE(A234,$E$10,E234),'ID1&amp;5'!B:J,9,FALSE),"-")</f>
        <v>-</v>
      </c>
      <c r="U234" s="78" t="str">
        <f>+IFERROR(VLOOKUP(F234,'ID1&amp;5'!K:L,2,FALSE),"-")</f>
        <v>-</v>
      </c>
      <c r="V234" s="79" t="str">
        <f>+IFERROR(VLOOKUP(CONCATENATE(A234,$F$10,F234),'ID1&amp;5'!B:J,9,FALSE),"-")</f>
        <v>-</v>
      </c>
      <c r="W234" s="26" t="str">
        <f>+IFERROR(VLOOKUP(A234,'ID6&amp;7'!A:I,9,FALSE),"-")</f>
        <v>-</v>
      </c>
      <c r="X234" s="26" t="str">
        <f>+IFERROR(VLOOKUP(A234,'ID6&amp;7'!A:J,10,FALSE),"-")</f>
        <v>-</v>
      </c>
      <c r="Y234" s="26"/>
      <c r="Z234" s="27" t="str">
        <f t="shared" si="4"/>
        <v>Por iniciar</v>
      </c>
      <c r="AA234" s="65"/>
    </row>
    <row r="235" spans="1:27">
      <c r="A235" s="20"/>
      <c r="B235" s="60"/>
      <c r="C235" s="60"/>
      <c r="D235" s="60"/>
      <c r="E235" s="60"/>
      <c r="F235" s="60"/>
      <c r="G235" s="60"/>
      <c r="H235" s="65" t="s">
        <v>117</v>
      </c>
      <c r="I235" s="21" t="s">
        <v>1293</v>
      </c>
      <c r="J235" s="26">
        <f>+COUNTIF('ID1&amp;5'!G:G,'1. Status'!I235)</f>
        <v>0</v>
      </c>
      <c r="K235" s="79" t="str">
        <f>+IFERROR(VLOOKUP(CONCATENATE(A235,$B$10,B235),'ID1&amp;5'!B:J,8,FALSE),"-")</f>
        <v>-</v>
      </c>
      <c r="L235" s="78" t="str">
        <f>+IFERROR(VLOOKUP(B235,'ID1&amp;5'!K:L,2,FALSE),"-")</f>
        <v>-</v>
      </c>
      <c r="M235" s="79" t="str">
        <f>+IFERROR(VLOOKUP(CONCATENATE(A235,$B$10,B235),'ID1&amp;5'!B:J,9,FALSE),"-")</f>
        <v>-</v>
      </c>
      <c r="N235" s="79" t="str">
        <f>+IFERROR(VLOOKUP(CONCATENATE(A235,$C$10,C235),'ID1&amp;5'!B:J,8,FALSE),"-")</f>
        <v>-</v>
      </c>
      <c r="O235" s="78" t="str">
        <f>+IFERROR(VLOOKUP(C235,'ID1&amp;5'!K:L,2,FALSE),"-")</f>
        <v>-</v>
      </c>
      <c r="P235" s="79" t="str">
        <f>+IFERROR(VLOOKUP(CONCATENATE(A235,$C$10,C235),'ID1&amp;5'!B:J,9,FALSE),"-")</f>
        <v>-</v>
      </c>
      <c r="Q235" s="78" t="str">
        <f>+IFERROR(VLOOKUP(D235,'ID1&amp;5'!K:L,2,FALSE),"-")</f>
        <v>-</v>
      </c>
      <c r="R235" s="26" t="str">
        <f>+IFERROR(VLOOKUP(CONCATENATE(A235,$D$10,D235),'ID1&amp;5'!B:J,9,FALSE),"-")</f>
        <v>-</v>
      </c>
      <c r="S235" s="78" t="str">
        <f>+IFERROR(VLOOKUP(E235,'ID1&amp;5'!K:L,2,FALSE),"-")</f>
        <v>-</v>
      </c>
      <c r="T235" s="79" t="str">
        <f>+IFERROR(VLOOKUP(CONCATENATE(A235,$E$10,E235),'ID1&amp;5'!B:J,9,FALSE),"-")</f>
        <v>-</v>
      </c>
      <c r="U235" s="78" t="str">
        <f>+IFERROR(VLOOKUP(F235,'ID1&amp;5'!K:L,2,FALSE),"-")</f>
        <v>-</v>
      </c>
      <c r="V235" s="79" t="str">
        <f>+IFERROR(VLOOKUP(CONCATENATE(A235,$F$10,F235),'ID1&amp;5'!B:J,9,FALSE),"-")</f>
        <v>-</v>
      </c>
      <c r="W235" s="26" t="str">
        <f>+IFERROR(VLOOKUP(A235,'ID6&amp;7'!A:I,9,FALSE),"-")</f>
        <v>-</v>
      </c>
      <c r="X235" s="26" t="str">
        <f>+IFERROR(VLOOKUP(A235,'ID6&amp;7'!A:J,10,FALSE),"-")</f>
        <v>-</v>
      </c>
      <c r="Y235" s="26"/>
      <c r="Z235" s="27" t="str">
        <f t="shared" si="4"/>
        <v>Por iniciar</v>
      </c>
      <c r="AA235" s="65"/>
    </row>
    <row r="236" spans="1:27">
      <c r="A236" s="20"/>
      <c r="B236" s="60"/>
      <c r="C236" s="60"/>
      <c r="D236" s="60"/>
      <c r="E236" s="60"/>
      <c r="F236" s="60"/>
      <c r="G236" s="60"/>
      <c r="H236" s="65" t="s">
        <v>117</v>
      </c>
      <c r="I236" s="21" t="s">
        <v>653</v>
      </c>
      <c r="J236" s="26">
        <f>+COUNTIF('ID1&amp;5'!G:G,'1. Status'!I236)</f>
        <v>0</v>
      </c>
      <c r="K236" s="79" t="str">
        <f>+IFERROR(VLOOKUP(CONCATENATE(A236,$B$10,B236),'ID1&amp;5'!B:J,8,FALSE),"-")</f>
        <v>-</v>
      </c>
      <c r="L236" s="78" t="str">
        <f>+IFERROR(VLOOKUP(B236,'ID1&amp;5'!K:L,2,FALSE),"-")</f>
        <v>-</v>
      </c>
      <c r="M236" s="79" t="str">
        <f>+IFERROR(VLOOKUP(CONCATENATE(A236,$B$10,B236),'ID1&amp;5'!B:J,9,FALSE),"-")</f>
        <v>-</v>
      </c>
      <c r="N236" s="79" t="str">
        <f>+IFERROR(VLOOKUP(CONCATENATE(A236,$C$10,C236),'ID1&amp;5'!B:J,8,FALSE),"-")</f>
        <v>-</v>
      </c>
      <c r="O236" s="78" t="str">
        <f>+IFERROR(VLOOKUP(C236,'ID1&amp;5'!K:L,2,FALSE),"-")</f>
        <v>-</v>
      </c>
      <c r="P236" s="79" t="str">
        <f>+IFERROR(VLOOKUP(CONCATENATE(A236,$C$10,C236),'ID1&amp;5'!B:J,9,FALSE),"-")</f>
        <v>-</v>
      </c>
      <c r="Q236" s="78" t="str">
        <f>+IFERROR(VLOOKUP(D236,'ID1&amp;5'!K:L,2,FALSE),"-")</f>
        <v>-</v>
      </c>
      <c r="R236" s="26" t="str">
        <f>+IFERROR(VLOOKUP(CONCATENATE(A236,$D$10,D236),'ID1&amp;5'!B:J,9,FALSE),"-")</f>
        <v>-</v>
      </c>
      <c r="S236" s="78" t="str">
        <f>+IFERROR(VLOOKUP(E236,'ID1&amp;5'!K:L,2,FALSE),"-")</f>
        <v>-</v>
      </c>
      <c r="T236" s="79" t="str">
        <f>+IFERROR(VLOOKUP(CONCATENATE(A236,$E$10,E236),'ID1&amp;5'!B:J,9,FALSE),"-")</f>
        <v>-</v>
      </c>
      <c r="U236" s="78" t="str">
        <f>+IFERROR(VLOOKUP(F236,'ID1&amp;5'!K:L,2,FALSE),"-")</f>
        <v>-</v>
      </c>
      <c r="V236" s="79" t="str">
        <f>+IFERROR(VLOOKUP(CONCATENATE(A236,$F$10,F236),'ID1&amp;5'!B:J,9,FALSE),"-")</f>
        <v>-</v>
      </c>
      <c r="W236" s="26" t="str">
        <f>+IFERROR(VLOOKUP(A236,'ID6&amp;7'!A:I,9,FALSE),"-")</f>
        <v>-</v>
      </c>
      <c r="X236" s="26" t="str">
        <f>+IFERROR(VLOOKUP(A236,'ID6&amp;7'!A:J,10,FALSE),"-")</f>
        <v>-</v>
      </c>
      <c r="Y236" s="26"/>
      <c r="Z236" s="27" t="str">
        <f t="shared" si="4"/>
        <v>Por iniciar</v>
      </c>
      <c r="AA236" s="65"/>
    </row>
    <row r="237" spans="1:27">
      <c r="A237" s="20"/>
      <c r="B237" s="60"/>
      <c r="C237" s="60"/>
      <c r="D237" s="60"/>
      <c r="E237" s="60"/>
      <c r="F237" s="60"/>
      <c r="G237" s="60"/>
      <c r="H237" s="65" t="s">
        <v>117</v>
      </c>
      <c r="I237" s="21" t="s">
        <v>1294</v>
      </c>
      <c r="J237" s="26">
        <f>+COUNTIF('ID1&amp;5'!G:G,'1. Status'!I237)</f>
        <v>0</v>
      </c>
      <c r="K237" s="79" t="str">
        <f>+IFERROR(VLOOKUP(CONCATENATE(A237,$B$10,B237),'ID1&amp;5'!B:J,8,FALSE),"-")</f>
        <v>-</v>
      </c>
      <c r="L237" s="78" t="str">
        <f>+IFERROR(VLOOKUP(B237,'ID1&amp;5'!K:L,2,FALSE),"-")</f>
        <v>-</v>
      </c>
      <c r="M237" s="79" t="str">
        <f>+IFERROR(VLOOKUP(CONCATENATE(A237,$B$10,B237),'ID1&amp;5'!B:J,9,FALSE),"-")</f>
        <v>-</v>
      </c>
      <c r="N237" s="79" t="str">
        <f>+IFERROR(VLOOKUP(CONCATENATE(A237,$C$10,C237),'ID1&amp;5'!B:J,8,FALSE),"-")</f>
        <v>-</v>
      </c>
      <c r="O237" s="78" t="str">
        <f>+IFERROR(VLOOKUP(C237,'ID1&amp;5'!K:L,2,FALSE),"-")</f>
        <v>-</v>
      </c>
      <c r="P237" s="79" t="str">
        <f>+IFERROR(VLOOKUP(CONCATENATE(A237,$C$10,C237),'ID1&amp;5'!B:J,9,FALSE),"-")</f>
        <v>-</v>
      </c>
      <c r="Q237" s="78" t="str">
        <f>+IFERROR(VLOOKUP(D237,'ID1&amp;5'!K:L,2,FALSE),"-")</f>
        <v>-</v>
      </c>
      <c r="R237" s="26" t="str">
        <f>+IFERROR(VLOOKUP(CONCATENATE(A237,$D$10,D237),'ID1&amp;5'!B:J,9,FALSE),"-")</f>
        <v>-</v>
      </c>
      <c r="S237" s="78" t="str">
        <f>+IFERROR(VLOOKUP(E237,'ID1&amp;5'!K:L,2,FALSE),"-")</f>
        <v>-</v>
      </c>
      <c r="T237" s="79" t="str">
        <f>+IFERROR(VLOOKUP(CONCATENATE(A237,$E$10,E237),'ID1&amp;5'!B:J,9,FALSE),"-")</f>
        <v>-</v>
      </c>
      <c r="U237" s="78" t="str">
        <f>+IFERROR(VLOOKUP(F237,'ID1&amp;5'!K:L,2,FALSE),"-")</f>
        <v>-</v>
      </c>
      <c r="V237" s="79" t="str">
        <f>+IFERROR(VLOOKUP(CONCATENATE(A237,$F$10,F237),'ID1&amp;5'!B:J,9,FALSE),"-")</f>
        <v>-</v>
      </c>
      <c r="W237" s="26" t="str">
        <f>+IFERROR(VLOOKUP(A237,'ID6&amp;7'!A:I,9,FALSE),"-")</f>
        <v>-</v>
      </c>
      <c r="X237" s="26" t="str">
        <f>+IFERROR(VLOOKUP(A237,'ID6&amp;7'!A:J,10,FALSE),"-")</f>
        <v>-</v>
      </c>
      <c r="Y237" s="26"/>
      <c r="Z237" s="27" t="str">
        <f t="shared" si="4"/>
        <v>Por iniciar</v>
      </c>
      <c r="AA237" s="65"/>
    </row>
    <row r="238" spans="1:27">
      <c r="A238" s="20"/>
      <c r="B238" s="60"/>
      <c r="C238" s="60"/>
      <c r="D238" s="60"/>
      <c r="E238" s="60"/>
      <c r="F238" s="60"/>
      <c r="G238" s="60"/>
      <c r="H238" s="65" t="s">
        <v>117</v>
      </c>
      <c r="I238" s="21" t="s">
        <v>1295</v>
      </c>
      <c r="J238" s="26">
        <f>+COUNTIF('ID1&amp;5'!G:G,'1. Status'!I238)</f>
        <v>0</v>
      </c>
      <c r="K238" s="79" t="str">
        <f>+IFERROR(VLOOKUP(CONCATENATE(A238,$B$10,B238),'ID1&amp;5'!B:J,8,FALSE),"-")</f>
        <v>-</v>
      </c>
      <c r="L238" s="78" t="str">
        <f>+IFERROR(VLOOKUP(B238,'ID1&amp;5'!K:L,2,FALSE),"-")</f>
        <v>-</v>
      </c>
      <c r="M238" s="79" t="str">
        <f>+IFERROR(VLOOKUP(CONCATENATE(A238,$B$10,B238),'ID1&amp;5'!B:J,9,FALSE),"-")</f>
        <v>-</v>
      </c>
      <c r="N238" s="79" t="str">
        <f>+IFERROR(VLOOKUP(CONCATENATE(A238,$C$10,C238),'ID1&amp;5'!B:J,8,FALSE),"-")</f>
        <v>-</v>
      </c>
      <c r="O238" s="78" t="str">
        <f>+IFERROR(VLOOKUP(C238,'ID1&amp;5'!K:L,2,FALSE),"-")</f>
        <v>-</v>
      </c>
      <c r="P238" s="79" t="str">
        <f>+IFERROR(VLOOKUP(CONCATENATE(A238,$C$10,C238),'ID1&amp;5'!B:J,9,FALSE),"-")</f>
        <v>-</v>
      </c>
      <c r="Q238" s="78" t="str">
        <f>+IFERROR(VLOOKUP(D238,'ID1&amp;5'!K:L,2,FALSE),"-")</f>
        <v>-</v>
      </c>
      <c r="R238" s="26" t="str">
        <f>+IFERROR(VLOOKUP(CONCATENATE(A238,$D$10,D238),'ID1&amp;5'!B:J,9,FALSE),"-")</f>
        <v>-</v>
      </c>
      <c r="S238" s="78" t="str">
        <f>+IFERROR(VLOOKUP(E238,'ID1&amp;5'!K:L,2,FALSE),"-")</f>
        <v>-</v>
      </c>
      <c r="T238" s="79" t="str">
        <f>+IFERROR(VLOOKUP(CONCATENATE(A238,$E$10,E238),'ID1&amp;5'!B:J,9,FALSE),"-")</f>
        <v>-</v>
      </c>
      <c r="U238" s="78" t="str">
        <f>+IFERROR(VLOOKUP(F238,'ID1&amp;5'!K:L,2,FALSE),"-")</f>
        <v>-</v>
      </c>
      <c r="V238" s="79" t="str">
        <f>+IFERROR(VLOOKUP(CONCATENATE(A238,$F$10,F238),'ID1&amp;5'!B:J,9,FALSE),"-")</f>
        <v>-</v>
      </c>
      <c r="W238" s="26" t="str">
        <f>+IFERROR(VLOOKUP(A238,'ID6&amp;7'!A:I,9,FALSE),"-")</f>
        <v>-</v>
      </c>
      <c r="X238" s="26" t="str">
        <f>+IFERROR(VLOOKUP(A238,'ID6&amp;7'!A:J,10,FALSE),"-")</f>
        <v>-</v>
      </c>
      <c r="Y238" s="26"/>
      <c r="Z238" s="27" t="str">
        <f t="shared" si="4"/>
        <v>Por iniciar</v>
      </c>
      <c r="AA238" s="65"/>
    </row>
    <row r="239" spans="1:27">
      <c r="A239" s="20"/>
      <c r="B239" s="60"/>
      <c r="C239" s="60"/>
      <c r="D239" s="60"/>
      <c r="E239" s="60"/>
      <c r="F239" s="60"/>
      <c r="G239" s="60"/>
      <c r="H239" s="65" t="s">
        <v>117</v>
      </c>
      <c r="I239" s="21" t="s">
        <v>1296</v>
      </c>
      <c r="J239" s="26">
        <f>+COUNTIF('ID1&amp;5'!G:G,'1. Status'!I239)</f>
        <v>0</v>
      </c>
      <c r="K239" s="79" t="str">
        <f>+IFERROR(VLOOKUP(CONCATENATE(A239,$B$10,B239),'ID1&amp;5'!B:J,8,FALSE),"-")</f>
        <v>-</v>
      </c>
      <c r="L239" s="78" t="str">
        <f>+IFERROR(VLOOKUP(B239,'ID1&amp;5'!K:L,2,FALSE),"-")</f>
        <v>-</v>
      </c>
      <c r="M239" s="79" t="str">
        <f>+IFERROR(VLOOKUP(CONCATENATE(A239,$B$10,B239),'ID1&amp;5'!B:J,9,FALSE),"-")</f>
        <v>-</v>
      </c>
      <c r="N239" s="79" t="str">
        <f>+IFERROR(VLOOKUP(CONCATENATE(A239,$C$10,C239),'ID1&amp;5'!B:J,8,FALSE),"-")</f>
        <v>-</v>
      </c>
      <c r="O239" s="78" t="str">
        <f>+IFERROR(VLOOKUP(C239,'ID1&amp;5'!K:L,2,FALSE),"-")</f>
        <v>-</v>
      </c>
      <c r="P239" s="79" t="str">
        <f>+IFERROR(VLOOKUP(CONCATENATE(A239,$C$10,C239),'ID1&amp;5'!B:J,9,FALSE),"-")</f>
        <v>-</v>
      </c>
      <c r="Q239" s="78" t="str">
        <f>+IFERROR(VLOOKUP(D239,'ID1&amp;5'!K:L,2,FALSE),"-")</f>
        <v>-</v>
      </c>
      <c r="R239" s="26" t="str">
        <f>+IFERROR(VLOOKUP(CONCATENATE(A239,$D$10,D239),'ID1&amp;5'!B:J,9,FALSE),"-")</f>
        <v>-</v>
      </c>
      <c r="S239" s="78" t="str">
        <f>+IFERROR(VLOOKUP(E239,'ID1&amp;5'!K:L,2,FALSE),"-")</f>
        <v>-</v>
      </c>
      <c r="T239" s="79" t="str">
        <f>+IFERROR(VLOOKUP(CONCATENATE(A239,$E$10,E239),'ID1&amp;5'!B:J,9,FALSE),"-")</f>
        <v>-</v>
      </c>
      <c r="U239" s="78" t="str">
        <f>+IFERROR(VLOOKUP(F239,'ID1&amp;5'!K:L,2,FALSE),"-")</f>
        <v>-</v>
      </c>
      <c r="V239" s="79" t="str">
        <f>+IFERROR(VLOOKUP(CONCATENATE(A239,$F$10,F239),'ID1&amp;5'!B:J,9,FALSE),"-")</f>
        <v>-</v>
      </c>
      <c r="W239" s="26" t="str">
        <f>+IFERROR(VLOOKUP(A239,'ID6&amp;7'!A:I,9,FALSE),"-")</f>
        <v>-</v>
      </c>
      <c r="X239" s="26" t="str">
        <f>+IFERROR(VLOOKUP(A239,'ID6&amp;7'!A:J,10,FALSE),"-")</f>
        <v>-</v>
      </c>
      <c r="Y239" s="26"/>
      <c r="Z239" s="27" t="str">
        <f t="shared" si="4"/>
        <v>Por iniciar</v>
      </c>
      <c r="AA239" s="65"/>
    </row>
    <row r="240" spans="1:27">
      <c r="A240" s="20"/>
      <c r="B240" s="60"/>
      <c r="C240" s="60"/>
      <c r="D240" s="60"/>
      <c r="E240" s="60"/>
      <c r="F240" s="60"/>
      <c r="G240" s="60"/>
      <c r="H240" s="65" t="s">
        <v>117</v>
      </c>
      <c r="I240" s="21" t="s">
        <v>1297</v>
      </c>
      <c r="J240" s="26">
        <f>+COUNTIF('ID1&amp;5'!G:G,'1. Status'!I240)</f>
        <v>0</v>
      </c>
      <c r="K240" s="79" t="str">
        <f>+IFERROR(VLOOKUP(CONCATENATE(A240,$B$10,B240),'ID1&amp;5'!B:J,8,FALSE),"-")</f>
        <v>-</v>
      </c>
      <c r="L240" s="78" t="str">
        <f>+IFERROR(VLOOKUP(B240,'ID1&amp;5'!K:L,2,FALSE),"-")</f>
        <v>-</v>
      </c>
      <c r="M240" s="79" t="str">
        <f>+IFERROR(VLOOKUP(CONCATENATE(A240,$B$10,B240),'ID1&amp;5'!B:J,9,FALSE),"-")</f>
        <v>-</v>
      </c>
      <c r="N240" s="79" t="str">
        <f>+IFERROR(VLOOKUP(CONCATENATE(A240,$C$10,C240),'ID1&amp;5'!B:J,8,FALSE),"-")</f>
        <v>-</v>
      </c>
      <c r="O240" s="78" t="str">
        <f>+IFERROR(VLOOKUP(C240,'ID1&amp;5'!K:L,2,FALSE),"-")</f>
        <v>-</v>
      </c>
      <c r="P240" s="79" t="str">
        <f>+IFERROR(VLOOKUP(CONCATENATE(A240,$C$10,C240),'ID1&amp;5'!B:J,9,FALSE),"-")</f>
        <v>-</v>
      </c>
      <c r="Q240" s="78" t="str">
        <f>+IFERROR(VLOOKUP(D240,'ID1&amp;5'!K:L,2,FALSE),"-")</f>
        <v>-</v>
      </c>
      <c r="R240" s="26" t="str">
        <f>+IFERROR(VLOOKUP(CONCATENATE(A240,$D$10,D240),'ID1&amp;5'!B:J,9,FALSE),"-")</f>
        <v>-</v>
      </c>
      <c r="S240" s="78" t="str">
        <f>+IFERROR(VLOOKUP(E240,'ID1&amp;5'!K:L,2,FALSE),"-")</f>
        <v>-</v>
      </c>
      <c r="T240" s="79" t="str">
        <f>+IFERROR(VLOOKUP(CONCATENATE(A240,$E$10,E240),'ID1&amp;5'!B:J,9,FALSE),"-")</f>
        <v>-</v>
      </c>
      <c r="U240" s="78" t="str">
        <f>+IFERROR(VLOOKUP(F240,'ID1&amp;5'!K:L,2,FALSE),"-")</f>
        <v>-</v>
      </c>
      <c r="V240" s="79" t="str">
        <f>+IFERROR(VLOOKUP(CONCATENATE(A240,$F$10,F240),'ID1&amp;5'!B:J,9,FALSE),"-")</f>
        <v>-</v>
      </c>
      <c r="W240" s="26" t="str">
        <f>+IFERROR(VLOOKUP(A240,'ID6&amp;7'!A:I,9,FALSE),"-")</f>
        <v>-</v>
      </c>
      <c r="X240" s="26" t="str">
        <f>+IFERROR(VLOOKUP(A240,'ID6&amp;7'!A:J,10,FALSE),"-")</f>
        <v>-</v>
      </c>
      <c r="Y240" s="26"/>
      <c r="Z240" s="27" t="str">
        <f t="shared" si="4"/>
        <v>Por iniciar</v>
      </c>
      <c r="AA240" s="65"/>
    </row>
    <row r="241" spans="1:27">
      <c r="A241" s="20"/>
      <c r="B241" s="60"/>
      <c r="C241" s="60"/>
      <c r="D241" s="60"/>
      <c r="E241" s="60"/>
      <c r="F241" s="60"/>
      <c r="G241" s="60"/>
      <c r="H241" s="65" t="s">
        <v>117</v>
      </c>
      <c r="I241" s="21" t="s">
        <v>1298</v>
      </c>
      <c r="J241" s="26">
        <f>+COUNTIF('ID1&amp;5'!G:G,'1. Status'!I241)</f>
        <v>0</v>
      </c>
      <c r="K241" s="79" t="str">
        <f>+IFERROR(VLOOKUP(CONCATENATE(A241,$B$10,B241),'ID1&amp;5'!B:J,8,FALSE),"-")</f>
        <v>-</v>
      </c>
      <c r="L241" s="78" t="str">
        <f>+IFERROR(VLOOKUP(B241,'ID1&amp;5'!K:L,2,FALSE),"-")</f>
        <v>-</v>
      </c>
      <c r="M241" s="79" t="str">
        <f>+IFERROR(VLOOKUP(CONCATENATE(A241,$B$10,B241),'ID1&amp;5'!B:J,9,FALSE),"-")</f>
        <v>-</v>
      </c>
      <c r="N241" s="79" t="str">
        <f>+IFERROR(VLOOKUP(CONCATENATE(A241,$C$10,C241),'ID1&amp;5'!B:J,8,FALSE),"-")</f>
        <v>-</v>
      </c>
      <c r="O241" s="78" t="str">
        <f>+IFERROR(VLOOKUP(C241,'ID1&amp;5'!K:L,2,FALSE),"-")</f>
        <v>-</v>
      </c>
      <c r="P241" s="79" t="str">
        <f>+IFERROR(VLOOKUP(CONCATENATE(A241,$C$10,C241),'ID1&amp;5'!B:J,9,FALSE),"-")</f>
        <v>-</v>
      </c>
      <c r="Q241" s="78" t="str">
        <f>+IFERROR(VLOOKUP(D241,'ID1&amp;5'!K:L,2,FALSE),"-")</f>
        <v>-</v>
      </c>
      <c r="R241" s="26" t="str">
        <f>+IFERROR(VLOOKUP(CONCATENATE(A241,$D$10,D241),'ID1&amp;5'!B:J,9,FALSE),"-")</f>
        <v>-</v>
      </c>
      <c r="S241" s="78" t="str">
        <f>+IFERROR(VLOOKUP(E241,'ID1&amp;5'!K:L,2,FALSE),"-")</f>
        <v>-</v>
      </c>
      <c r="T241" s="79" t="str">
        <f>+IFERROR(VLOOKUP(CONCATENATE(A241,$E$10,E241),'ID1&amp;5'!B:J,9,FALSE),"-")</f>
        <v>-</v>
      </c>
      <c r="U241" s="78" t="str">
        <f>+IFERROR(VLOOKUP(F241,'ID1&amp;5'!K:L,2,FALSE),"-")</f>
        <v>-</v>
      </c>
      <c r="V241" s="79" t="str">
        <f>+IFERROR(VLOOKUP(CONCATENATE(A241,$F$10,F241),'ID1&amp;5'!B:J,9,FALSE),"-")</f>
        <v>-</v>
      </c>
      <c r="W241" s="26" t="str">
        <f>+IFERROR(VLOOKUP(A241,'ID6&amp;7'!A:I,9,FALSE),"-")</f>
        <v>-</v>
      </c>
      <c r="X241" s="26" t="str">
        <f>+IFERROR(VLOOKUP(A241,'ID6&amp;7'!A:J,10,FALSE),"-")</f>
        <v>-</v>
      </c>
      <c r="Y241" s="26"/>
      <c r="Z241" s="27" t="str">
        <f t="shared" si="4"/>
        <v>Por iniciar</v>
      </c>
      <c r="AA241" s="65"/>
    </row>
    <row r="242" spans="1:27">
      <c r="A242" s="20"/>
      <c r="B242" s="60"/>
      <c r="C242" s="60"/>
      <c r="D242" s="60"/>
      <c r="E242" s="60"/>
      <c r="F242" s="60"/>
      <c r="G242" s="60"/>
      <c r="H242" s="65" t="s">
        <v>117</v>
      </c>
      <c r="I242" s="21" t="s">
        <v>1299</v>
      </c>
      <c r="J242" s="26">
        <f>+COUNTIF('ID1&amp;5'!G:G,'1. Status'!I242)</f>
        <v>0</v>
      </c>
      <c r="K242" s="79" t="str">
        <f>+IFERROR(VLOOKUP(CONCATENATE(A242,$B$10,B242),'ID1&amp;5'!B:J,8,FALSE),"-")</f>
        <v>-</v>
      </c>
      <c r="L242" s="78" t="str">
        <f>+IFERROR(VLOOKUP(B242,'ID1&amp;5'!K:L,2,FALSE),"-")</f>
        <v>-</v>
      </c>
      <c r="M242" s="79" t="str">
        <f>+IFERROR(VLOOKUP(CONCATENATE(A242,$B$10,B242),'ID1&amp;5'!B:J,9,FALSE),"-")</f>
        <v>-</v>
      </c>
      <c r="N242" s="79" t="str">
        <f>+IFERROR(VLOOKUP(CONCATENATE(A242,$C$10,C242),'ID1&amp;5'!B:J,8,FALSE),"-")</f>
        <v>-</v>
      </c>
      <c r="O242" s="78" t="str">
        <f>+IFERROR(VLOOKUP(C242,'ID1&amp;5'!K:L,2,FALSE),"-")</f>
        <v>-</v>
      </c>
      <c r="P242" s="79" t="str">
        <f>+IFERROR(VLOOKUP(CONCATENATE(A242,$C$10,C242),'ID1&amp;5'!B:J,9,FALSE),"-")</f>
        <v>-</v>
      </c>
      <c r="Q242" s="78" t="str">
        <f>+IFERROR(VLOOKUP(D242,'ID1&amp;5'!K:L,2,FALSE),"-")</f>
        <v>-</v>
      </c>
      <c r="R242" s="26" t="str">
        <f>+IFERROR(VLOOKUP(CONCATENATE(A242,$D$10,D242),'ID1&amp;5'!B:J,9,FALSE),"-")</f>
        <v>-</v>
      </c>
      <c r="S242" s="78" t="str">
        <f>+IFERROR(VLOOKUP(E242,'ID1&amp;5'!K:L,2,FALSE),"-")</f>
        <v>-</v>
      </c>
      <c r="T242" s="79" t="str">
        <f>+IFERROR(VLOOKUP(CONCATENATE(A242,$E$10,E242),'ID1&amp;5'!B:J,9,FALSE),"-")</f>
        <v>-</v>
      </c>
      <c r="U242" s="78" t="str">
        <f>+IFERROR(VLOOKUP(F242,'ID1&amp;5'!K:L,2,FALSE),"-")</f>
        <v>-</v>
      </c>
      <c r="V242" s="79" t="str">
        <f>+IFERROR(VLOOKUP(CONCATENATE(A242,$F$10,F242),'ID1&amp;5'!B:J,9,FALSE),"-")</f>
        <v>-</v>
      </c>
      <c r="W242" s="26" t="str">
        <f>+IFERROR(VLOOKUP(A242,'ID6&amp;7'!A:I,9,FALSE),"-")</f>
        <v>-</v>
      </c>
      <c r="X242" s="26" t="str">
        <f>+IFERROR(VLOOKUP(A242,'ID6&amp;7'!A:J,10,FALSE),"-")</f>
        <v>-</v>
      </c>
      <c r="Y242" s="26"/>
      <c r="Z242" s="27" t="str">
        <f t="shared" si="4"/>
        <v>Por iniciar</v>
      </c>
      <c r="AA242" s="65"/>
    </row>
    <row r="243" spans="1:27">
      <c r="A243" s="20"/>
      <c r="B243" s="60"/>
      <c r="C243" s="60"/>
      <c r="D243" s="60"/>
      <c r="E243" s="60"/>
      <c r="F243" s="60"/>
      <c r="G243" s="60"/>
      <c r="H243" s="65" t="s">
        <v>117</v>
      </c>
      <c r="I243" s="21" t="s">
        <v>654</v>
      </c>
      <c r="J243" s="26">
        <f>+COUNTIF('ID1&amp;5'!G:G,'1. Status'!I243)</f>
        <v>0</v>
      </c>
      <c r="K243" s="79" t="str">
        <f>+IFERROR(VLOOKUP(CONCATENATE(A243,$B$10,B243),'ID1&amp;5'!B:J,8,FALSE),"-")</f>
        <v>-</v>
      </c>
      <c r="L243" s="78" t="str">
        <f>+IFERROR(VLOOKUP(B243,'ID1&amp;5'!K:L,2,FALSE),"-")</f>
        <v>-</v>
      </c>
      <c r="M243" s="79" t="str">
        <f>+IFERROR(VLOOKUP(CONCATENATE(A243,$B$10,B243),'ID1&amp;5'!B:J,9,FALSE),"-")</f>
        <v>-</v>
      </c>
      <c r="N243" s="79" t="str">
        <f>+IFERROR(VLOOKUP(CONCATENATE(A243,$C$10,C243),'ID1&amp;5'!B:J,8,FALSE),"-")</f>
        <v>-</v>
      </c>
      <c r="O243" s="78" t="str">
        <f>+IFERROR(VLOOKUP(C243,'ID1&amp;5'!K:L,2,FALSE),"-")</f>
        <v>-</v>
      </c>
      <c r="P243" s="79" t="str">
        <f>+IFERROR(VLOOKUP(CONCATENATE(A243,$C$10,C243),'ID1&amp;5'!B:J,9,FALSE),"-")</f>
        <v>-</v>
      </c>
      <c r="Q243" s="78" t="str">
        <f>+IFERROR(VLOOKUP(D243,'ID1&amp;5'!K:L,2,FALSE),"-")</f>
        <v>-</v>
      </c>
      <c r="R243" s="26" t="str">
        <f>+IFERROR(VLOOKUP(CONCATENATE(A243,$D$10,D243),'ID1&amp;5'!B:J,9,FALSE),"-")</f>
        <v>-</v>
      </c>
      <c r="S243" s="78" t="str">
        <f>+IFERROR(VLOOKUP(E243,'ID1&amp;5'!K:L,2,FALSE),"-")</f>
        <v>-</v>
      </c>
      <c r="T243" s="79" t="str">
        <f>+IFERROR(VLOOKUP(CONCATENATE(A243,$E$10,E243),'ID1&amp;5'!B:J,9,FALSE),"-")</f>
        <v>-</v>
      </c>
      <c r="U243" s="78" t="str">
        <f>+IFERROR(VLOOKUP(F243,'ID1&amp;5'!K:L,2,FALSE),"-")</f>
        <v>-</v>
      </c>
      <c r="V243" s="79" t="str">
        <f>+IFERROR(VLOOKUP(CONCATENATE(A243,$F$10,F243),'ID1&amp;5'!B:J,9,FALSE),"-")</f>
        <v>-</v>
      </c>
      <c r="W243" s="26" t="str">
        <f>+IFERROR(VLOOKUP(A243,'ID6&amp;7'!A:I,9,FALSE),"-")</f>
        <v>-</v>
      </c>
      <c r="X243" s="26" t="str">
        <f>+IFERROR(VLOOKUP(A243,'ID6&amp;7'!A:J,10,FALSE),"-")</f>
        <v>-</v>
      </c>
      <c r="Y243" s="26"/>
      <c r="Z243" s="27" t="str">
        <f t="shared" si="4"/>
        <v>Por iniciar</v>
      </c>
      <c r="AA243" s="65"/>
    </row>
    <row r="244" spans="1:27">
      <c r="A244" s="20"/>
      <c r="B244" s="60"/>
      <c r="C244" s="60"/>
      <c r="D244" s="60"/>
      <c r="E244" s="60"/>
      <c r="F244" s="60"/>
      <c r="G244" s="60"/>
      <c r="H244" s="65" t="s">
        <v>117</v>
      </c>
      <c r="I244" s="21" t="s">
        <v>1300</v>
      </c>
      <c r="J244" s="26">
        <f>+COUNTIF('ID1&amp;5'!G:G,'1. Status'!I244)</f>
        <v>0</v>
      </c>
      <c r="K244" s="79" t="str">
        <f>+IFERROR(VLOOKUP(CONCATENATE(A244,$B$10,B244),'ID1&amp;5'!B:J,8,FALSE),"-")</f>
        <v>-</v>
      </c>
      <c r="L244" s="78" t="str">
        <f>+IFERROR(VLOOKUP(B244,'ID1&amp;5'!K:L,2,FALSE),"-")</f>
        <v>-</v>
      </c>
      <c r="M244" s="79" t="str">
        <f>+IFERROR(VLOOKUP(CONCATENATE(A244,$B$10,B244),'ID1&amp;5'!B:J,9,FALSE),"-")</f>
        <v>-</v>
      </c>
      <c r="N244" s="79" t="str">
        <f>+IFERROR(VLOOKUP(CONCATENATE(A244,$C$10,C244),'ID1&amp;5'!B:J,8,FALSE),"-")</f>
        <v>-</v>
      </c>
      <c r="O244" s="78" t="str">
        <f>+IFERROR(VLOOKUP(C244,'ID1&amp;5'!K:L,2,FALSE),"-")</f>
        <v>-</v>
      </c>
      <c r="P244" s="79" t="str">
        <f>+IFERROR(VLOOKUP(CONCATENATE(A244,$C$10,C244),'ID1&amp;5'!B:J,9,FALSE),"-")</f>
        <v>-</v>
      </c>
      <c r="Q244" s="78" t="str">
        <f>+IFERROR(VLOOKUP(D244,'ID1&amp;5'!K:L,2,FALSE),"-")</f>
        <v>-</v>
      </c>
      <c r="R244" s="26" t="str">
        <f>+IFERROR(VLOOKUP(CONCATENATE(A244,$D$10,D244),'ID1&amp;5'!B:J,9,FALSE),"-")</f>
        <v>-</v>
      </c>
      <c r="S244" s="78" t="str">
        <f>+IFERROR(VLOOKUP(E244,'ID1&amp;5'!K:L,2,FALSE),"-")</f>
        <v>-</v>
      </c>
      <c r="T244" s="79" t="str">
        <f>+IFERROR(VLOOKUP(CONCATENATE(A244,$E$10,E244),'ID1&amp;5'!B:J,9,FALSE),"-")</f>
        <v>-</v>
      </c>
      <c r="U244" s="78" t="str">
        <f>+IFERROR(VLOOKUP(F244,'ID1&amp;5'!K:L,2,FALSE),"-")</f>
        <v>-</v>
      </c>
      <c r="V244" s="79" t="str">
        <f>+IFERROR(VLOOKUP(CONCATENATE(A244,$F$10,F244),'ID1&amp;5'!B:J,9,FALSE),"-")</f>
        <v>-</v>
      </c>
      <c r="W244" s="26" t="str">
        <f>+IFERROR(VLOOKUP(A244,'ID6&amp;7'!A:I,9,FALSE),"-")</f>
        <v>-</v>
      </c>
      <c r="X244" s="26" t="str">
        <f>+IFERROR(VLOOKUP(A244,'ID6&amp;7'!A:J,10,FALSE),"-")</f>
        <v>-</v>
      </c>
      <c r="Y244" s="26"/>
      <c r="Z244" s="27" t="str">
        <f t="shared" si="4"/>
        <v>Por iniciar</v>
      </c>
      <c r="AA244" s="65"/>
    </row>
    <row r="245" spans="1:27">
      <c r="A245" s="20"/>
      <c r="B245" s="60"/>
      <c r="C245" s="60"/>
      <c r="D245" s="60"/>
      <c r="E245" s="60"/>
      <c r="F245" s="60"/>
      <c r="G245" s="60"/>
      <c r="H245" s="65" t="s">
        <v>117</v>
      </c>
      <c r="I245" s="21" t="s">
        <v>1301</v>
      </c>
      <c r="J245" s="26">
        <f>+COUNTIF('ID1&amp;5'!G:G,'1. Status'!I245)</f>
        <v>0</v>
      </c>
      <c r="K245" s="79" t="str">
        <f>+IFERROR(VLOOKUP(CONCATENATE(A245,$B$10,B245),'ID1&amp;5'!B:J,8,FALSE),"-")</f>
        <v>-</v>
      </c>
      <c r="L245" s="78" t="str">
        <f>+IFERROR(VLOOKUP(B245,'ID1&amp;5'!K:L,2,FALSE),"-")</f>
        <v>-</v>
      </c>
      <c r="M245" s="79" t="str">
        <f>+IFERROR(VLOOKUP(CONCATENATE(A245,$B$10,B245),'ID1&amp;5'!B:J,9,FALSE),"-")</f>
        <v>-</v>
      </c>
      <c r="N245" s="79" t="str">
        <f>+IFERROR(VLOOKUP(CONCATENATE(A245,$C$10,C245),'ID1&amp;5'!B:J,8,FALSE),"-")</f>
        <v>-</v>
      </c>
      <c r="O245" s="78" t="str">
        <f>+IFERROR(VLOOKUP(C245,'ID1&amp;5'!K:L,2,FALSE),"-")</f>
        <v>-</v>
      </c>
      <c r="P245" s="79" t="str">
        <f>+IFERROR(VLOOKUP(CONCATENATE(A245,$C$10,C245),'ID1&amp;5'!B:J,9,FALSE),"-")</f>
        <v>-</v>
      </c>
      <c r="Q245" s="78" t="str">
        <f>+IFERROR(VLOOKUP(D245,'ID1&amp;5'!K:L,2,FALSE),"-")</f>
        <v>-</v>
      </c>
      <c r="R245" s="26" t="str">
        <f>+IFERROR(VLOOKUP(CONCATENATE(A245,$D$10,D245),'ID1&amp;5'!B:J,9,FALSE),"-")</f>
        <v>-</v>
      </c>
      <c r="S245" s="78" t="str">
        <f>+IFERROR(VLOOKUP(E245,'ID1&amp;5'!K:L,2,FALSE),"-")</f>
        <v>-</v>
      </c>
      <c r="T245" s="79" t="str">
        <f>+IFERROR(VLOOKUP(CONCATENATE(A245,$E$10,E245),'ID1&amp;5'!B:J,9,FALSE),"-")</f>
        <v>-</v>
      </c>
      <c r="U245" s="78" t="str">
        <f>+IFERROR(VLOOKUP(F245,'ID1&amp;5'!K:L,2,FALSE),"-")</f>
        <v>-</v>
      </c>
      <c r="V245" s="79" t="str">
        <f>+IFERROR(VLOOKUP(CONCATENATE(A245,$F$10,F245),'ID1&amp;5'!B:J,9,FALSE),"-")</f>
        <v>-</v>
      </c>
      <c r="W245" s="26" t="str">
        <f>+IFERROR(VLOOKUP(A245,'ID6&amp;7'!A:I,9,FALSE),"-")</f>
        <v>-</v>
      </c>
      <c r="X245" s="26" t="str">
        <f>+IFERROR(VLOOKUP(A245,'ID6&amp;7'!A:J,10,FALSE),"-")</f>
        <v>-</v>
      </c>
      <c r="Y245" s="26"/>
      <c r="Z245" s="27" t="str">
        <f t="shared" si="4"/>
        <v>Por iniciar</v>
      </c>
      <c r="AA245" s="65"/>
    </row>
    <row r="246" spans="1:27">
      <c r="A246" s="20"/>
      <c r="B246" s="60"/>
      <c r="C246" s="60"/>
      <c r="D246" s="60"/>
      <c r="E246" s="60"/>
      <c r="F246" s="60"/>
      <c r="G246" s="60"/>
      <c r="H246" s="65" t="s">
        <v>117</v>
      </c>
      <c r="I246" s="21" t="s">
        <v>1302</v>
      </c>
      <c r="J246" s="26">
        <f>+COUNTIF('ID1&amp;5'!G:G,'1. Status'!I246)</f>
        <v>0</v>
      </c>
      <c r="K246" s="79" t="str">
        <f>+IFERROR(VLOOKUP(CONCATENATE(A246,$B$10,B246),'ID1&amp;5'!B:J,8,FALSE),"-")</f>
        <v>-</v>
      </c>
      <c r="L246" s="78" t="str">
        <f>+IFERROR(VLOOKUP(B246,'ID1&amp;5'!K:L,2,FALSE),"-")</f>
        <v>-</v>
      </c>
      <c r="M246" s="79" t="str">
        <f>+IFERROR(VLOOKUP(CONCATENATE(A246,$B$10,B246),'ID1&amp;5'!B:J,9,FALSE),"-")</f>
        <v>-</v>
      </c>
      <c r="N246" s="79" t="str">
        <f>+IFERROR(VLOOKUP(CONCATENATE(A246,$C$10,C246),'ID1&amp;5'!B:J,8,FALSE),"-")</f>
        <v>-</v>
      </c>
      <c r="O246" s="78" t="str">
        <f>+IFERROR(VLOOKUP(C246,'ID1&amp;5'!K:L,2,FALSE),"-")</f>
        <v>-</v>
      </c>
      <c r="P246" s="79" t="str">
        <f>+IFERROR(VLOOKUP(CONCATENATE(A246,$C$10,C246),'ID1&amp;5'!B:J,9,FALSE),"-")</f>
        <v>-</v>
      </c>
      <c r="Q246" s="78" t="str">
        <f>+IFERROR(VLOOKUP(D246,'ID1&amp;5'!K:L,2,FALSE),"-")</f>
        <v>-</v>
      </c>
      <c r="R246" s="26" t="str">
        <f>+IFERROR(VLOOKUP(CONCATENATE(A246,$D$10,D246),'ID1&amp;5'!B:J,9,FALSE),"-")</f>
        <v>-</v>
      </c>
      <c r="S246" s="78" t="str">
        <f>+IFERROR(VLOOKUP(E246,'ID1&amp;5'!K:L,2,FALSE),"-")</f>
        <v>-</v>
      </c>
      <c r="T246" s="79" t="str">
        <f>+IFERROR(VLOOKUP(CONCATENATE(A246,$E$10,E246),'ID1&amp;5'!B:J,9,FALSE),"-")</f>
        <v>-</v>
      </c>
      <c r="U246" s="78" t="str">
        <f>+IFERROR(VLOOKUP(F246,'ID1&amp;5'!K:L,2,FALSE),"-")</f>
        <v>-</v>
      </c>
      <c r="V246" s="79" t="str">
        <f>+IFERROR(VLOOKUP(CONCATENATE(A246,$F$10,F246),'ID1&amp;5'!B:J,9,FALSE),"-")</f>
        <v>-</v>
      </c>
      <c r="W246" s="26" t="str">
        <f>+IFERROR(VLOOKUP(A246,'ID6&amp;7'!A:I,9,FALSE),"-")</f>
        <v>-</v>
      </c>
      <c r="X246" s="26" t="str">
        <f>+IFERROR(VLOOKUP(A246,'ID6&amp;7'!A:J,10,FALSE),"-")</f>
        <v>-</v>
      </c>
      <c r="Y246" s="26"/>
      <c r="Z246" s="27" t="str">
        <f t="shared" si="4"/>
        <v>Por iniciar</v>
      </c>
      <c r="AA246" s="65"/>
    </row>
    <row r="247" spans="1:27">
      <c r="A247" s="20"/>
      <c r="B247" s="60"/>
      <c r="C247" s="60"/>
      <c r="D247" s="60"/>
      <c r="E247" s="60"/>
      <c r="F247" s="60"/>
      <c r="G247" s="60"/>
      <c r="H247" s="65" t="s">
        <v>117</v>
      </c>
      <c r="I247" s="21" t="s">
        <v>1303</v>
      </c>
      <c r="J247" s="26">
        <f>+COUNTIF('ID1&amp;5'!G:G,'1. Status'!I247)</f>
        <v>0</v>
      </c>
      <c r="K247" s="79" t="str">
        <f>+IFERROR(VLOOKUP(CONCATENATE(A247,$B$10,B247),'ID1&amp;5'!B:J,8,FALSE),"-")</f>
        <v>-</v>
      </c>
      <c r="L247" s="78" t="str">
        <f>+IFERROR(VLOOKUP(B247,'ID1&amp;5'!K:L,2,FALSE),"-")</f>
        <v>-</v>
      </c>
      <c r="M247" s="79" t="str">
        <f>+IFERROR(VLOOKUP(CONCATENATE(A247,$B$10,B247),'ID1&amp;5'!B:J,9,FALSE),"-")</f>
        <v>-</v>
      </c>
      <c r="N247" s="79" t="str">
        <f>+IFERROR(VLOOKUP(CONCATENATE(A247,$C$10,C247),'ID1&amp;5'!B:J,8,FALSE),"-")</f>
        <v>-</v>
      </c>
      <c r="O247" s="78" t="str">
        <f>+IFERROR(VLOOKUP(C247,'ID1&amp;5'!K:L,2,FALSE),"-")</f>
        <v>-</v>
      </c>
      <c r="P247" s="79" t="str">
        <f>+IFERROR(VLOOKUP(CONCATENATE(A247,$C$10,C247),'ID1&amp;5'!B:J,9,FALSE),"-")</f>
        <v>-</v>
      </c>
      <c r="Q247" s="78" t="str">
        <f>+IFERROR(VLOOKUP(D247,'ID1&amp;5'!K:L,2,FALSE),"-")</f>
        <v>-</v>
      </c>
      <c r="R247" s="26" t="str">
        <f>+IFERROR(VLOOKUP(CONCATENATE(A247,$D$10,D247),'ID1&amp;5'!B:J,9,FALSE),"-")</f>
        <v>-</v>
      </c>
      <c r="S247" s="78" t="str">
        <f>+IFERROR(VLOOKUP(E247,'ID1&amp;5'!K:L,2,FALSE),"-")</f>
        <v>-</v>
      </c>
      <c r="T247" s="79" t="str">
        <f>+IFERROR(VLOOKUP(CONCATENATE(A247,$E$10,E247),'ID1&amp;5'!B:J,9,FALSE),"-")</f>
        <v>-</v>
      </c>
      <c r="U247" s="78" t="str">
        <f>+IFERROR(VLOOKUP(F247,'ID1&amp;5'!K:L,2,FALSE),"-")</f>
        <v>-</v>
      </c>
      <c r="V247" s="79" t="str">
        <f>+IFERROR(VLOOKUP(CONCATENATE(A247,$F$10,F247),'ID1&amp;5'!B:J,9,FALSE),"-")</f>
        <v>-</v>
      </c>
      <c r="W247" s="26" t="str">
        <f>+IFERROR(VLOOKUP(A247,'ID6&amp;7'!A:I,9,FALSE),"-")</f>
        <v>-</v>
      </c>
      <c r="X247" s="26" t="str">
        <f>+IFERROR(VLOOKUP(A247,'ID6&amp;7'!A:J,10,FALSE),"-")</f>
        <v>-</v>
      </c>
      <c r="Y247" s="26"/>
      <c r="Z247" s="27" t="str">
        <f t="shared" si="4"/>
        <v>Por iniciar</v>
      </c>
      <c r="AA247" s="65"/>
    </row>
    <row r="248" spans="1:27">
      <c r="A248" s="20"/>
      <c r="B248" s="60"/>
      <c r="C248" s="60"/>
      <c r="D248" s="60"/>
      <c r="E248" s="60"/>
      <c r="F248" s="60"/>
      <c r="G248" s="60"/>
      <c r="H248" s="65" t="s">
        <v>117</v>
      </c>
      <c r="I248" s="21" t="s">
        <v>1304</v>
      </c>
      <c r="J248" s="26">
        <f>+COUNTIF('ID1&amp;5'!G:G,'1. Status'!I248)</f>
        <v>0</v>
      </c>
      <c r="K248" s="79" t="str">
        <f>+IFERROR(VLOOKUP(CONCATENATE(A248,$B$10,B248),'ID1&amp;5'!B:J,8,FALSE),"-")</f>
        <v>-</v>
      </c>
      <c r="L248" s="78" t="str">
        <f>+IFERROR(VLOOKUP(B248,'ID1&amp;5'!K:L,2,FALSE),"-")</f>
        <v>-</v>
      </c>
      <c r="M248" s="79" t="str">
        <f>+IFERROR(VLOOKUP(CONCATENATE(A248,$B$10,B248),'ID1&amp;5'!B:J,9,FALSE),"-")</f>
        <v>-</v>
      </c>
      <c r="N248" s="79" t="str">
        <f>+IFERROR(VLOOKUP(CONCATENATE(A248,$C$10,C248),'ID1&amp;5'!B:J,8,FALSE),"-")</f>
        <v>-</v>
      </c>
      <c r="O248" s="78" t="str">
        <f>+IFERROR(VLOOKUP(C248,'ID1&amp;5'!K:L,2,FALSE),"-")</f>
        <v>-</v>
      </c>
      <c r="P248" s="79" t="str">
        <f>+IFERROR(VLOOKUP(CONCATENATE(A248,$C$10,C248),'ID1&amp;5'!B:J,9,FALSE),"-")</f>
        <v>-</v>
      </c>
      <c r="Q248" s="78" t="str">
        <f>+IFERROR(VLOOKUP(D248,'ID1&amp;5'!K:L,2,FALSE),"-")</f>
        <v>-</v>
      </c>
      <c r="R248" s="26" t="str">
        <f>+IFERROR(VLOOKUP(CONCATENATE(A248,$D$10,D248),'ID1&amp;5'!B:J,9,FALSE),"-")</f>
        <v>-</v>
      </c>
      <c r="S248" s="78" t="str">
        <f>+IFERROR(VLOOKUP(E248,'ID1&amp;5'!K:L,2,FALSE),"-")</f>
        <v>-</v>
      </c>
      <c r="T248" s="79" t="str">
        <f>+IFERROR(VLOOKUP(CONCATENATE(A248,$E$10,E248),'ID1&amp;5'!B:J,9,FALSE),"-")</f>
        <v>-</v>
      </c>
      <c r="U248" s="78" t="str">
        <f>+IFERROR(VLOOKUP(F248,'ID1&amp;5'!K:L,2,FALSE),"-")</f>
        <v>-</v>
      </c>
      <c r="V248" s="79" t="str">
        <f>+IFERROR(VLOOKUP(CONCATENATE(A248,$F$10,F248),'ID1&amp;5'!B:J,9,FALSE),"-")</f>
        <v>-</v>
      </c>
      <c r="W248" s="26" t="str">
        <f>+IFERROR(VLOOKUP(A248,'ID6&amp;7'!A:I,9,FALSE),"-")</f>
        <v>-</v>
      </c>
      <c r="X248" s="26" t="str">
        <f>+IFERROR(VLOOKUP(A248,'ID6&amp;7'!A:J,10,FALSE),"-")</f>
        <v>-</v>
      </c>
      <c r="Y248" s="26"/>
      <c r="Z248" s="27" t="str">
        <f t="shared" si="4"/>
        <v>Por iniciar</v>
      </c>
      <c r="AA248" s="65"/>
    </row>
    <row r="249" spans="1:27">
      <c r="A249" s="20"/>
      <c r="B249" s="60"/>
      <c r="C249" s="60"/>
      <c r="D249" s="60"/>
      <c r="E249" s="60"/>
      <c r="F249" s="60"/>
      <c r="G249" s="60"/>
      <c r="H249" s="65" t="s">
        <v>117</v>
      </c>
      <c r="I249" s="21" t="s">
        <v>1305</v>
      </c>
      <c r="J249" s="26">
        <f>+COUNTIF('ID1&amp;5'!G:G,'1. Status'!I249)</f>
        <v>0</v>
      </c>
      <c r="K249" s="79" t="str">
        <f>+IFERROR(VLOOKUP(CONCATENATE(A249,$B$10,B249),'ID1&amp;5'!B:J,8,FALSE),"-")</f>
        <v>-</v>
      </c>
      <c r="L249" s="78" t="str">
        <f>+IFERROR(VLOOKUP(B249,'ID1&amp;5'!K:L,2,FALSE),"-")</f>
        <v>-</v>
      </c>
      <c r="M249" s="79" t="str">
        <f>+IFERROR(VLOOKUP(CONCATENATE(A249,$B$10,B249),'ID1&amp;5'!B:J,9,FALSE),"-")</f>
        <v>-</v>
      </c>
      <c r="N249" s="79" t="str">
        <f>+IFERROR(VLOOKUP(CONCATENATE(A249,$C$10,C249),'ID1&amp;5'!B:J,8,FALSE),"-")</f>
        <v>-</v>
      </c>
      <c r="O249" s="78" t="str">
        <f>+IFERROR(VLOOKUP(C249,'ID1&amp;5'!K:L,2,FALSE),"-")</f>
        <v>-</v>
      </c>
      <c r="P249" s="79" t="str">
        <f>+IFERROR(VLOOKUP(CONCATENATE(A249,$C$10,C249),'ID1&amp;5'!B:J,9,FALSE),"-")</f>
        <v>-</v>
      </c>
      <c r="Q249" s="78" t="str">
        <f>+IFERROR(VLOOKUP(D249,'ID1&amp;5'!K:L,2,FALSE),"-")</f>
        <v>-</v>
      </c>
      <c r="R249" s="26" t="str">
        <f>+IFERROR(VLOOKUP(CONCATENATE(A249,$D$10,D249),'ID1&amp;5'!B:J,9,FALSE),"-")</f>
        <v>-</v>
      </c>
      <c r="S249" s="78" t="str">
        <f>+IFERROR(VLOOKUP(E249,'ID1&amp;5'!K:L,2,FALSE),"-")</f>
        <v>-</v>
      </c>
      <c r="T249" s="79" t="str">
        <f>+IFERROR(VLOOKUP(CONCATENATE(A249,$E$10,E249),'ID1&amp;5'!B:J,9,FALSE),"-")</f>
        <v>-</v>
      </c>
      <c r="U249" s="78" t="str">
        <f>+IFERROR(VLOOKUP(F249,'ID1&amp;5'!K:L,2,FALSE),"-")</f>
        <v>-</v>
      </c>
      <c r="V249" s="79" t="str">
        <f>+IFERROR(VLOOKUP(CONCATENATE(A249,$F$10,F249),'ID1&amp;5'!B:J,9,FALSE),"-")</f>
        <v>-</v>
      </c>
      <c r="W249" s="26" t="str">
        <f>+IFERROR(VLOOKUP(A249,'ID6&amp;7'!A:I,9,FALSE),"-")</f>
        <v>-</v>
      </c>
      <c r="X249" s="26" t="str">
        <f>+IFERROR(VLOOKUP(A249,'ID6&amp;7'!A:J,10,FALSE),"-")</f>
        <v>-</v>
      </c>
      <c r="Y249" s="26"/>
      <c r="Z249" s="27" t="str">
        <f t="shared" si="4"/>
        <v>Por iniciar</v>
      </c>
      <c r="AA249" s="65"/>
    </row>
    <row r="250" spans="1:27">
      <c r="A250" s="20"/>
      <c r="B250" s="60"/>
      <c r="C250" s="60"/>
      <c r="D250" s="60"/>
      <c r="E250" s="60"/>
      <c r="F250" s="60"/>
      <c r="G250" s="60"/>
      <c r="H250" s="65" t="s">
        <v>117</v>
      </c>
      <c r="I250" s="21" t="s">
        <v>1306</v>
      </c>
      <c r="J250" s="26">
        <f>+COUNTIF('ID1&amp;5'!G:G,'1. Status'!I250)</f>
        <v>0</v>
      </c>
      <c r="K250" s="79" t="str">
        <f>+IFERROR(VLOOKUP(CONCATENATE(A250,$B$10,B250),'ID1&amp;5'!B:J,8,FALSE),"-")</f>
        <v>-</v>
      </c>
      <c r="L250" s="78" t="str">
        <f>+IFERROR(VLOOKUP(B250,'ID1&amp;5'!K:L,2,FALSE),"-")</f>
        <v>-</v>
      </c>
      <c r="M250" s="79" t="str">
        <f>+IFERROR(VLOOKUP(CONCATENATE(A250,$B$10,B250),'ID1&amp;5'!B:J,9,FALSE),"-")</f>
        <v>-</v>
      </c>
      <c r="N250" s="79" t="str">
        <f>+IFERROR(VLOOKUP(CONCATENATE(A250,$C$10,C250),'ID1&amp;5'!B:J,8,FALSE),"-")</f>
        <v>-</v>
      </c>
      <c r="O250" s="78" t="str">
        <f>+IFERROR(VLOOKUP(C250,'ID1&amp;5'!K:L,2,FALSE),"-")</f>
        <v>-</v>
      </c>
      <c r="P250" s="79" t="str">
        <f>+IFERROR(VLOOKUP(CONCATENATE(A250,$C$10,C250),'ID1&amp;5'!B:J,9,FALSE),"-")</f>
        <v>-</v>
      </c>
      <c r="Q250" s="78" t="str">
        <f>+IFERROR(VLOOKUP(D250,'ID1&amp;5'!K:L,2,FALSE),"-")</f>
        <v>-</v>
      </c>
      <c r="R250" s="26" t="str">
        <f>+IFERROR(VLOOKUP(CONCATENATE(A250,$D$10,D250),'ID1&amp;5'!B:J,9,FALSE),"-")</f>
        <v>-</v>
      </c>
      <c r="S250" s="78" t="str">
        <f>+IFERROR(VLOOKUP(E250,'ID1&amp;5'!K:L,2,FALSE),"-")</f>
        <v>-</v>
      </c>
      <c r="T250" s="79" t="str">
        <f>+IFERROR(VLOOKUP(CONCATENATE(A250,$E$10,E250),'ID1&amp;5'!B:J,9,FALSE),"-")</f>
        <v>-</v>
      </c>
      <c r="U250" s="78" t="str">
        <f>+IFERROR(VLOOKUP(F250,'ID1&amp;5'!K:L,2,FALSE),"-")</f>
        <v>-</v>
      </c>
      <c r="V250" s="79" t="str">
        <f>+IFERROR(VLOOKUP(CONCATENATE(A250,$F$10,F250),'ID1&amp;5'!B:J,9,FALSE),"-")</f>
        <v>-</v>
      </c>
      <c r="W250" s="26" t="str">
        <f>+IFERROR(VLOOKUP(A250,'ID6&amp;7'!A:I,9,FALSE),"-")</f>
        <v>-</v>
      </c>
      <c r="X250" s="26" t="str">
        <f>+IFERROR(VLOOKUP(A250,'ID6&amp;7'!A:J,10,FALSE),"-")</f>
        <v>-</v>
      </c>
      <c r="Y250" s="26"/>
      <c r="Z250" s="27" t="str">
        <f t="shared" si="4"/>
        <v>Por iniciar</v>
      </c>
      <c r="AA250" s="65"/>
    </row>
    <row r="251" spans="1:27">
      <c r="A251" s="20"/>
      <c r="B251" s="60"/>
      <c r="C251" s="60"/>
      <c r="D251" s="60"/>
      <c r="E251" s="60"/>
      <c r="F251" s="60"/>
      <c r="G251" s="60"/>
      <c r="H251" s="65" t="s">
        <v>117</v>
      </c>
      <c r="I251" s="21" t="s">
        <v>656</v>
      </c>
      <c r="J251" s="26">
        <f>+COUNTIF('ID1&amp;5'!G:G,'1. Status'!I251)</f>
        <v>0</v>
      </c>
      <c r="K251" s="79" t="str">
        <f>+IFERROR(VLOOKUP(CONCATENATE(A251,$B$10,B251),'ID1&amp;5'!B:J,8,FALSE),"-")</f>
        <v>-</v>
      </c>
      <c r="L251" s="78" t="str">
        <f>+IFERROR(VLOOKUP(B251,'ID1&amp;5'!K:L,2,FALSE),"-")</f>
        <v>-</v>
      </c>
      <c r="M251" s="79" t="str">
        <f>+IFERROR(VLOOKUP(CONCATENATE(A251,$B$10,B251),'ID1&amp;5'!B:J,9,FALSE),"-")</f>
        <v>-</v>
      </c>
      <c r="N251" s="79" t="str">
        <f>+IFERROR(VLOOKUP(CONCATENATE(A251,$C$10,C251),'ID1&amp;5'!B:J,8,FALSE),"-")</f>
        <v>-</v>
      </c>
      <c r="O251" s="78" t="str">
        <f>+IFERROR(VLOOKUP(C251,'ID1&amp;5'!K:L,2,FALSE),"-")</f>
        <v>-</v>
      </c>
      <c r="P251" s="79" t="str">
        <f>+IFERROR(VLOOKUP(CONCATENATE(A251,$C$10,C251),'ID1&amp;5'!B:J,9,FALSE),"-")</f>
        <v>-</v>
      </c>
      <c r="Q251" s="78" t="str">
        <f>+IFERROR(VLOOKUP(D251,'ID1&amp;5'!K:L,2,FALSE),"-")</f>
        <v>-</v>
      </c>
      <c r="R251" s="26" t="str">
        <f>+IFERROR(VLOOKUP(CONCATENATE(A251,$D$10,D251),'ID1&amp;5'!B:J,9,FALSE),"-")</f>
        <v>-</v>
      </c>
      <c r="S251" s="78" t="str">
        <f>+IFERROR(VLOOKUP(E251,'ID1&amp;5'!K:L,2,FALSE),"-")</f>
        <v>-</v>
      </c>
      <c r="T251" s="79" t="str">
        <f>+IFERROR(VLOOKUP(CONCATENATE(A251,$E$10,E251),'ID1&amp;5'!B:J,9,FALSE),"-")</f>
        <v>-</v>
      </c>
      <c r="U251" s="78" t="str">
        <f>+IFERROR(VLOOKUP(F251,'ID1&amp;5'!K:L,2,FALSE),"-")</f>
        <v>-</v>
      </c>
      <c r="V251" s="79" t="str">
        <f>+IFERROR(VLOOKUP(CONCATENATE(A251,$F$10,F251),'ID1&amp;5'!B:J,9,FALSE),"-")</f>
        <v>-</v>
      </c>
      <c r="W251" s="26" t="str">
        <f>+IFERROR(VLOOKUP(A251,'ID6&amp;7'!A:I,9,FALSE),"-")</f>
        <v>-</v>
      </c>
      <c r="X251" s="26" t="str">
        <f>+IFERROR(VLOOKUP(A251,'ID6&amp;7'!A:J,10,FALSE),"-")</f>
        <v>-</v>
      </c>
      <c r="Y251" s="26"/>
      <c r="Z251" s="27" t="str">
        <f t="shared" si="4"/>
        <v>Por iniciar</v>
      </c>
      <c r="AA251" s="65"/>
    </row>
    <row r="252" spans="1:27">
      <c r="A252" s="20"/>
      <c r="B252" s="60"/>
      <c r="C252" s="60"/>
      <c r="D252" s="60"/>
      <c r="E252" s="60"/>
      <c r="F252" s="60"/>
      <c r="G252" s="60"/>
      <c r="H252" s="65" t="s">
        <v>117</v>
      </c>
      <c r="I252" s="21" t="s">
        <v>655</v>
      </c>
      <c r="J252" s="26">
        <f>+COUNTIF('ID1&amp;5'!G:G,'1. Status'!I252)</f>
        <v>0</v>
      </c>
      <c r="K252" s="79" t="str">
        <f>+IFERROR(VLOOKUP(CONCATENATE(A252,$B$10,B252),'ID1&amp;5'!B:J,8,FALSE),"-")</f>
        <v>-</v>
      </c>
      <c r="L252" s="78" t="str">
        <f>+IFERROR(VLOOKUP(B252,'ID1&amp;5'!K:L,2,FALSE),"-")</f>
        <v>-</v>
      </c>
      <c r="M252" s="79" t="str">
        <f>+IFERROR(VLOOKUP(CONCATENATE(A252,$B$10,B252),'ID1&amp;5'!B:J,9,FALSE),"-")</f>
        <v>-</v>
      </c>
      <c r="N252" s="79" t="str">
        <f>+IFERROR(VLOOKUP(CONCATENATE(A252,$C$10,C252),'ID1&amp;5'!B:J,8,FALSE),"-")</f>
        <v>-</v>
      </c>
      <c r="O252" s="78" t="str">
        <f>+IFERROR(VLOOKUP(C252,'ID1&amp;5'!K:L,2,FALSE),"-")</f>
        <v>-</v>
      </c>
      <c r="P252" s="79" t="str">
        <f>+IFERROR(VLOOKUP(CONCATENATE(A252,$C$10,C252),'ID1&amp;5'!B:J,9,FALSE),"-")</f>
        <v>-</v>
      </c>
      <c r="Q252" s="78" t="str">
        <f>+IFERROR(VLOOKUP(D252,'ID1&amp;5'!K:L,2,FALSE),"-")</f>
        <v>-</v>
      </c>
      <c r="R252" s="26" t="str">
        <f>+IFERROR(VLOOKUP(CONCATENATE(A252,$D$10,D252),'ID1&amp;5'!B:J,9,FALSE),"-")</f>
        <v>-</v>
      </c>
      <c r="S252" s="78" t="str">
        <f>+IFERROR(VLOOKUP(E252,'ID1&amp;5'!K:L,2,FALSE),"-")</f>
        <v>-</v>
      </c>
      <c r="T252" s="79" t="str">
        <f>+IFERROR(VLOOKUP(CONCATENATE(A252,$E$10,E252),'ID1&amp;5'!B:J,9,FALSE),"-")</f>
        <v>-</v>
      </c>
      <c r="U252" s="78" t="str">
        <f>+IFERROR(VLOOKUP(F252,'ID1&amp;5'!K:L,2,FALSE),"-")</f>
        <v>-</v>
      </c>
      <c r="V252" s="79" t="str">
        <f>+IFERROR(VLOOKUP(CONCATENATE(A252,$F$10,F252),'ID1&amp;5'!B:J,9,FALSE),"-")</f>
        <v>-</v>
      </c>
      <c r="W252" s="26" t="str">
        <f>+IFERROR(VLOOKUP(A252,'ID6&amp;7'!A:I,9,FALSE),"-")</f>
        <v>-</v>
      </c>
      <c r="X252" s="26" t="str">
        <f>+IFERROR(VLOOKUP(A252,'ID6&amp;7'!A:J,10,FALSE),"-")</f>
        <v>-</v>
      </c>
      <c r="Y252" s="26"/>
      <c r="Z252" s="27" t="str">
        <f t="shared" si="4"/>
        <v>Por iniciar</v>
      </c>
      <c r="AA252" s="65"/>
    </row>
    <row r="253" spans="1:27">
      <c r="A253" s="20"/>
      <c r="B253" s="60"/>
      <c r="C253" s="60"/>
      <c r="D253" s="60"/>
      <c r="E253" s="60"/>
      <c r="F253" s="60"/>
      <c r="G253" s="60"/>
      <c r="H253" s="65" t="s">
        <v>117</v>
      </c>
      <c r="I253" s="21" t="s">
        <v>1307</v>
      </c>
      <c r="J253" s="26">
        <f>+COUNTIF('ID1&amp;5'!G:G,'1. Status'!I253)</f>
        <v>0</v>
      </c>
      <c r="K253" s="79" t="str">
        <f>+IFERROR(VLOOKUP(CONCATENATE(A253,$B$10,B253),'ID1&amp;5'!B:J,8,FALSE),"-")</f>
        <v>-</v>
      </c>
      <c r="L253" s="78" t="str">
        <f>+IFERROR(VLOOKUP(B253,'ID1&amp;5'!K:L,2,FALSE),"-")</f>
        <v>-</v>
      </c>
      <c r="M253" s="79" t="str">
        <f>+IFERROR(VLOOKUP(CONCATENATE(A253,$B$10,B253),'ID1&amp;5'!B:J,9,FALSE),"-")</f>
        <v>-</v>
      </c>
      <c r="N253" s="79" t="str">
        <f>+IFERROR(VLOOKUP(CONCATENATE(A253,$C$10,C253),'ID1&amp;5'!B:J,8,FALSE),"-")</f>
        <v>-</v>
      </c>
      <c r="O253" s="78" t="str">
        <f>+IFERROR(VLOOKUP(C253,'ID1&amp;5'!K:L,2,FALSE),"-")</f>
        <v>-</v>
      </c>
      <c r="P253" s="79" t="str">
        <f>+IFERROR(VLOOKUP(CONCATENATE(A253,$C$10,C253),'ID1&amp;5'!B:J,9,FALSE),"-")</f>
        <v>-</v>
      </c>
      <c r="Q253" s="78" t="str">
        <f>+IFERROR(VLOOKUP(D253,'ID1&amp;5'!K:L,2,FALSE),"-")</f>
        <v>-</v>
      </c>
      <c r="R253" s="26" t="str">
        <f>+IFERROR(VLOOKUP(CONCATENATE(A253,$D$10,D253),'ID1&amp;5'!B:J,9,FALSE),"-")</f>
        <v>-</v>
      </c>
      <c r="S253" s="78" t="str">
        <f>+IFERROR(VLOOKUP(E253,'ID1&amp;5'!K:L,2,FALSE),"-")</f>
        <v>-</v>
      </c>
      <c r="T253" s="79" t="str">
        <f>+IFERROR(VLOOKUP(CONCATENATE(A253,$E$10,E253),'ID1&amp;5'!B:J,9,FALSE),"-")</f>
        <v>-</v>
      </c>
      <c r="U253" s="78" t="str">
        <f>+IFERROR(VLOOKUP(F253,'ID1&amp;5'!K:L,2,FALSE),"-")</f>
        <v>-</v>
      </c>
      <c r="V253" s="79" t="str">
        <f>+IFERROR(VLOOKUP(CONCATENATE(A253,$F$10,F253),'ID1&amp;5'!B:J,9,FALSE),"-")</f>
        <v>-</v>
      </c>
      <c r="W253" s="26" t="str">
        <f>+IFERROR(VLOOKUP(A253,'ID6&amp;7'!A:I,9,FALSE),"-")</f>
        <v>-</v>
      </c>
      <c r="X253" s="26" t="str">
        <f>+IFERROR(VLOOKUP(A253,'ID6&amp;7'!A:J,10,FALSE),"-")</f>
        <v>-</v>
      </c>
      <c r="Y253" s="26"/>
      <c r="Z253" s="27" t="str">
        <f t="shared" si="4"/>
        <v>Por iniciar</v>
      </c>
      <c r="AA253" s="65"/>
    </row>
    <row r="254" spans="1:27">
      <c r="A254" s="20"/>
      <c r="B254" s="60"/>
      <c r="C254" s="60"/>
      <c r="D254" s="60"/>
      <c r="E254" s="60"/>
      <c r="F254" s="60"/>
      <c r="G254" s="60"/>
      <c r="H254" s="65" t="s">
        <v>117</v>
      </c>
      <c r="I254" s="21" t="s">
        <v>1308</v>
      </c>
      <c r="J254" s="26">
        <f>+COUNTIF('ID1&amp;5'!G:G,'1. Status'!I254)</f>
        <v>0</v>
      </c>
      <c r="K254" s="79" t="str">
        <f>+IFERROR(VLOOKUP(CONCATENATE(A254,$B$10,B254),'ID1&amp;5'!B:J,8,FALSE),"-")</f>
        <v>-</v>
      </c>
      <c r="L254" s="78" t="str">
        <f>+IFERROR(VLOOKUP(B254,'ID1&amp;5'!K:L,2,FALSE),"-")</f>
        <v>-</v>
      </c>
      <c r="M254" s="79" t="str">
        <f>+IFERROR(VLOOKUP(CONCATENATE(A254,$B$10,B254),'ID1&amp;5'!B:J,9,FALSE),"-")</f>
        <v>-</v>
      </c>
      <c r="N254" s="79" t="str">
        <f>+IFERROR(VLOOKUP(CONCATENATE(A254,$C$10,C254),'ID1&amp;5'!B:J,8,FALSE),"-")</f>
        <v>-</v>
      </c>
      <c r="O254" s="78" t="str">
        <f>+IFERROR(VLOOKUP(C254,'ID1&amp;5'!K:L,2,FALSE),"-")</f>
        <v>-</v>
      </c>
      <c r="P254" s="79" t="str">
        <f>+IFERROR(VLOOKUP(CONCATENATE(A254,$C$10,C254),'ID1&amp;5'!B:J,9,FALSE),"-")</f>
        <v>-</v>
      </c>
      <c r="Q254" s="78" t="str">
        <f>+IFERROR(VLOOKUP(D254,'ID1&amp;5'!K:L,2,FALSE),"-")</f>
        <v>-</v>
      </c>
      <c r="R254" s="26" t="str">
        <f>+IFERROR(VLOOKUP(CONCATENATE(A254,$D$10,D254),'ID1&amp;5'!B:J,9,FALSE),"-")</f>
        <v>-</v>
      </c>
      <c r="S254" s="78" t="str">
        <f>+IFERROR(VLOOKUP(E254,'ID1&amp;5'!K:L,2,FALSE),"-")</f>
        <v>-</v>
      </c>
      <c r="T254" s="79" t="str">
        <f>+IFERROR(VLOOKUP(CONCATENATE(A254,$E$10,E254),'ID1&amp;5'!B:J,9,FALSE),"-")</f>
        <v>-</v>
      </c>
      <c r="U254" s="78" t="str">
        <f>+IFERROR(VLOOKUP(F254,'ID1&amp;5'!K:L,2,FALSE),"-")</f>
        <v>-</v>
      </c>
      <c r="V254" s="79" t="str">
        <f>+IFERROR(VLOOKUP(CONCATENATE(A254,$F$10,F254),'ID1&amp;5'!B:J,9,FALSE),"-")</f>
        <v>-</v>
      </c>
      <c r="W254" s="26" t="str">
        <f>+IFERROR(VLOOKUP(A254,'ID6&amp;7'!A:I,9,FALSE),"-")</f>
        <v>-</v>
      </c>
      <c r="X254" s="26" t="str">
        <f>+IFERROR(VLOOKUP(A254,'ID6&amp;7'!A:J,10,FALSE),"-")</f>
        <v>-</v>
      </c>
      <c r="Y254" s="26"/>
      <c r="Z254" s="27" t="str">
        <f t="shared" si="4"/>
        <v>Por iniciar</v>
      </c>
      <c r="AA254" s="65"/>
    </row>
    <row r="255" spans="1:27">
      <c r="A255" s="20"/>
      <c r="B255" s="60"/>
      <c r="C255" s="60"/>
      <c r="D255" s="60"/>
      <c r="E255" s="60"/>
      <c r="F255" s="60"/>
      <c r="G255" s="60"/>
      <c r="H255" s="65" t="s">
        <v>117</v>
      </c>
      <c r="I255" s="21" t="s">
        <v>1309</v>
      </c>
      <c r="J255" s="26">
        <f>+COUNTIF('ID1&amp;5'!G:G,'1. Status'!I255)</f>
        <v>0</v>
      </c>
      <c r="K255" s="79" t="str">
        <f>+IFERROR(VLOOKUP(CONCATENATE(A255,$B$10,B255),'ID1&amp;5'!B:J,8,FALSE),"-")</f>
        <v>-</v>
      </c>
      <c r="L255" s="78" t="str">
        <f>+IFERROR(VLOOKUP(B255,'ID1&amp;5'!K:L,2,FALSE),"-")</f>
        <v>-</v>
      </c>
      <c r="M255" s="79" t="str">
        <f>+IFERROR(VLOOKUP(CONCATENATE(A255,$B$10,B255),'ID1&amp;5'!B:J,9,FALSE),"-")</f>
        <v>-</v>
      </c>
      <c r="N255" s="79" t="str">
        <f>+IFERROR(VLOOKUP(CONCATENATE(A255,$C$10,C255),'ID1&amp;5'!B:J,8,FALSE),"-")</f>
        <v>-</v>
      </c>
      <c r="O255" s="78" t="str">
        <f>+IFERROR(VLOOKUP(C255,'ID1&amp;5'!K:L,2,FALSE),"-")</f>
        <v>-</v>
      </c>
      <c r="P255" s="79" t="str">
        <f>+IFERROR(VLOOKUP(CONCATENATE(A255,$C$10,C255),'ID1&amp;5'!B:J,9,FALSE),"-")</f>
        <v>-</v>
      </c>
      <c r="Q255" s="78" t="str">
        <f>+IFERROR(VLOOKUP(D255,'ID1&amp;5'!K:L,2,FALSE),"-")</f>
        <v>-</v>
      </c>
      <c r="R255" s="26" t="str">
        <f>+IFERROR(VLOOKUP(CONCATENATE(A255,$D$10,D255),'ID1&amp;5'!B:J,9,FALSE),"-")</f>
        <v>-</v>
      </c>
      <c r="S255" s="78" t="str">
        <f>+IFERROR(VLOOKUP(E255,'ID1&amp;5'!K:L,2,FALSE),"-")</f>
        <v>-</v>
      </c>
      <c r="T255" s="79" t="str">
        <f>+IFERROR(VLOOKUP(CONCATENATE(A255,$E$10,E255),'ID1&amp;5'!B:J,9,FALSE),"-")</f>
        <v>-</v>
      </c>
      <c r="U255" s="78" t="str">
        <f>+IFERROR(VLOOKUP(F255,'ID1&amp;5'!K:L,2,FALSE),"-")</f>
        <v>-</v>
      </c>
      <c r="V255" s="79" t="str">
        <f>+IFERROR(VLOOKUP(CONCATENATE(A255,$F$10,F255),'ID1&amp;5'!B:J,9,FALSE),"-")</f>
        <v>-</v>
      </c>
      <c r="W255" s="26" t="str">
        <f>+IFERROR(VLOOKUP(A255,'ID6&amp;7'!A:I,9,FALSE),"-")</f>
        <v>-</v>
      </c>
      <c r="X255" s="26" t="str">
        <f>+IFERROR(VLOOKUP(A255,'ID6&amp;7'!A:J,10,FALSE),"-")</f>
        <v>-</v>
      </c>
      <c r="Y255" s="26"/>
      <c r="Z255" s="27" t="str">
        <f t="shared" si="4"/>
        <v>Por iniciar</v>
      </c>
      <c r="AA255" s="65"/>
    </row>
    <row r="256" spans="1:27">
      <c r="A256" s="20"/>
      <c r="B256" s="60"/>
      <c r="C256" s="60"/>
      <c r="D256" s="60"/>
      <c r="E256" s="60"/>
      <c r="F256" s="60"/>
      <c r="G256" s="60"/>
      <c r="H256" s="65" t="s">
        <v>117</v>
      </c>
      <c r="I256" s="21" t="s">
        <v>1310</v>
      </c>
      <c r="J256" s="26">
        <f>+COUNTIF('ID1&amp;5'!G:G,'1. Status'!I256)</f>
        <v>0</v>
      </c>
      <c r="K256" s="79" t="str">
        <f>+IFERROR(VLOOKUP(CONCATENATE(A256,$B$10,B256),'ID1&amp;5'!B:J,8,FALSE),"-")</f>
        <v>-</v>
      </c>
      <c r="L256" s="78" t="str">
        <f>+IFERROR(VLOOKUP(B256,'ID1&amp;5'!K:L,2,FALSE),"-")</f>
        <v>-</v>
      </c>
      <c r="M256" s="79" t="str">
        <f>+IFERROR(VLOOKUP(CONCATENATE(A256,$B$10,B256),'ID1&amp;5'!B:J,9,FALSE),"-")</f>
        <v>-</v>
      </c>
      <c r="N256" s="79" t="str">
        <f>+IFERROR(VLOOKUP(CONCATENATE(A256,$C$10,C256),'ID1&amp;5'!B:J,8,FALSE),"-")</f>
        <v>-</v>
      </c>
      <c r="O256" s="78" t="str">
        <f>+IFERROR(VLOOKUP(C256,'ID1&amp;5'!K:L,2,FALSE),"-")</f>
        <v>-</v>
      </c>
      <c r="P256" s="79" t="str">
        <f>+IFERROR(VLOOKUP(CONCATENATE(A256,$C$10,C256),'ID1&amp;5'!B:J,9,FALSE),"-")</f>
        <v>-</v>
      </c>
      <c r="Q256" s="78" t="str">
        <f>+IFERROR(VLOOKUP(D256,'ID1&amp;5'!K:L,2,FALSE),"-")</f>
        <v>-</v>
      </c>
      <c r="R256" s="26" t="str">
        <f>+IFERROR(VLOOKUP(CONCATENATE(A256,$D$10,D256),'ID1&amp;5'!B:J,9,FALSE),"-")</f>
        <v>-</v>
      </c>
      <c r="S256" s="78" t="str">
        <f>+IFERROR(VLOOKUP(E256,'ID1&amp;5'!K:L,2,FALSE),"-")</f>
        <v>-</v>
      </c>
      <c r="T256" s="79" t="str">
        <f>+IFERROR(VLOOKUP(CONCATENATE(A256,$E$10,E256),'ID1&amp;5'!B:J,9,FALSE),"-")</f>
        <v>-</v>
      </c>
      <c r="U256" s="78" t="str">
        <f>+IFERROR(VLOOKUP(F256,'ID1&amp;5'!K:L,2,FALSE),"-")</f>
        <v>-</v>
      </c>
      <c r="V256" s="79" t="str">
        <f>+IFERROR(VLOOKUP(CONCATENATE(A256,$F$10,F256),'ID1&amp;5'!B:J,9,FALSE),"-")</f>
        <v>-</v>
      </c>
      <c r="W256" s="26" t="str">
        <f>+IFERROR(VLOOKUP(A256,'ID6&amp;7'!A:I,9,FALSE),"-")</f>
        <v>-</v>
      </c>
      <c r="X256" s="26" t="str">
        <f>+IFERROR(VLOOKUP(A256,'ID6&amp;7'!A:J,10,FALSE),"-")</f>
        <v>-</v>
      </c>
      <c r="Y256" s="26"/>
      <c r="Z256" s="27" t="str">
        <f t="shared" ref="Z256:Z319" si="5">+IF(J256=0,"Por iniciar",IF(OR(K256="-",M256="-",P256="-",R256="-",T256="-",V256="-"),"Em testes",IF(AND(M256=0,P256=0,R256=0,T256&lt;&gt;K256,V256&lt;&gt;K256),"OK","NOK")))</f>
        <v>Por iniciar</v>
      </c>
      <c r="AA256" s="65"/>
    </row>
    <row r="257" spans="1:27">
      <c r="A257" s="20"/>
      <c r="B257" s="60"/>
      <c r="C257" s="60"/>
      <c r="D257" s="60"/>
      <c r="E257" s="60"/>
      <c r="F257" s="60"/>
      <c r="G257" s="60"/>
      <c r="H257" s="65" t="s">
        <v>117</v>
      </c>
      <c r="I257" s="21" t="s">
        <v>1311</v>
      </c>
      <c r="J257" s="26">
        <f>+COUNTIF('ID1&amp;5'!G:G,'1. Status'!I257)</f>
        <v>0</v>
      </c>
      <c r="K257" s="79" t="str">
        <f>+IFERROR(VLOOKUP(CONCATENATE(A257,$B$10,B257),'ID1&amp;5'!B:J,8,FALSE),"-")</f>
        <v>-</v>
      </c>
      <c r="L257" s="78" t="str">
        <f>+IFERROR(VLOOKUP(B257,'ID1&amp;5'!K:L,2,FALSE),"-")</f>
        <v>-</v>
      </c>
      <c r="M257" s="79" t="str">
        <f>+IFERROR(VLOOKUP(CONCATENATE(A257,$B$10,B257),'ID1&amp;5'!B:J,9,FALSE),"-")</f>
        <v>-</v>
      </c>
      <c r="N257" s="79" t="str">
        <f>+IFERROR(VLOOKUP(CONCATENATE(A257,$C$10,C257),'ID1&amp;5'!B:J,8,FALSE),"-")</f>
        <v>-</v>
      </c>
      <c r="O257" s="78" t="str">
        <f>+IFERROR(VLOOKUP(C257,'ID1&amp;5'!K:L,2,FALSE),"-")</f>
        <v>-</v>
      </c>
      <c r="P257" s="79" t="str">
        <f>+IFERROR(VLOOKUP(CONCATENATE(A257,$C$10,C257),'ID1&amp;5'!B:J,9,FALSE),"-")</f>
        <v>-</v>
      </c>
      <c r="Q257" s="78" t="str">
        <f>+IFERROR(VLOOKUP(D257,'ID1&amp;5'!K:L,2,FALSE),"-")</f>
        <v>-</v>
      </c>
      <c r="R257" s="26" t="str">
        <f>+IFERROR(VLOOKUP(CONCATENATE(A257,$D$10,D257),'ID1&amp;5'!B:J,9,FALSE),"-")</f>
        <v>-</v>
      </c>
      <c r="S257" s="78" t="str">
        <f>+IFERROR(VLOOKUP(E257,'ID1&amp;5'!K:L,2,FALSE),"-")</f>
        <v>-</v>
      </c>
      <c r="T257" s="79" t="str">
        <f>+IFERROR(VLOOKUP(CONCATENATE(A257,$E$10,E257),'ID1&amp;5'!B:J,9,FALSE),"-")</f>
        <v>-</v>
      </c>
      <c r="U257" s="78" t="str">
        <f>+IFERROR(VLOOKUP(F257,'ID1&amp;5'!K:L,2,FALSE),"-")</f>
        <v>-</v>
      </c>
      <c r="V257" s="79" t="str">
        <f>+IFERROR(VLOOKUP(CONCATENATE(A257,$F$10,F257),'ID1&amp;5'!B:J,9,FALSE),"-")</f>
        <v>-</v>
      </c>
      <c r="W257" s="26" t="str">
        <f>+IFERROR(VLOOKUP(A257,'ID6&amp;7'!A:I,9,FALSE),"-")</f>
        <v>-</v>
      </c>
      <c r="X257" s="26" t="str">
        <f>+IFERROR(VLOOKUP(A257,'ID6&amp;7'!A:J,10,FALSE),"-")</f>
        <v>-</v>
      </c>
      <c r="Y257" s="26"/>
      <c r="Z257" s="27" t="str">
        <f t="shared" si="5"/>
        <v>Por iniciar</v>
      </c>
      <c r="AA257" s="65"/>
    </row>
    <row r="258" spans="1:27">
      <c r="A258" s="20"/>
      <c r="B258" s="60"/>
      <c r="C258" s="60"/>
      <c r="D258" s="60"/>
      <c r="E258" s="60"/>
      <c r="F258" s="60"/>
      <c r="G258" s="60"/>
      <c r="H258" s="65" t="s">
        <v>117</v>
      </c>
      <c r="I258" s="21" t="s">
        <v>1312</v>
      </c>
      <c r="J258" s="26">
        <f>+COUNTIF('ID1&amp;5'!G:G,'1. Status'!I258)</f>
        <v>0</v>
      </c>
      <c r="K258" s="79" t="str">
        <f>+IFERROR(VLOOKUP(CONCATENATE(A258,$B$10,B258),'ID1&amp;5'!B:J,8,FALSE),"-")</f>
        <v>-</v>
      </c>
      <c r="L258" s="78" t="str">
        <f>+IFERROR(VLOOKUP(B258,'ID1&amp;5'!K:L,2,FALSE),"-")</f>
        <v>-</v>
      </c>
      <c r="M258" s="79" t="str">
        <f>+IFERROR(VLOOKUP(CONCATENATE(A258,$B$10,B258),'ID1&amp;5'!B:J,9,FALSE),"-")</f>
        <v>-</v>
      </c>
      <c r="N258" s="79" t="str">
        <f>+IFERROR(VLOOKUP(CONCATENATE(A258,$C$10,C258),'ID1&amp;5'!B:J,8,FALSE),"-")</f>
        <v>-</v>
      </c>
      <c r="O258" s="78" t="str">
        <f>+IFERROR(VLOOKUP(C258,'ID1&amp;5'!K:L,2,FALSE),"-")</f>
        <v>-</v>
      </c>
      <c r="P258" s="79" t="str">
        <f>+IFERROR(VLOOKUP(CONCATENATE(A258,$C$10,C258),'ID1&amp;5'!B:J,9,FALSE),"-")</f>
        <v>-</v>
      </c>
      <c r="Q258" s="78" t="str">
        <f>+IFERROR(VLOOKUP(D258,'ID1&amp;5'!K:L,2,FALSE),"-")</f>
        <v>-</v>
      </c>
      <c r="R258" s="26" t="str">
        <f>+IFERROR(VLOOKUP(CONCATENATE(A258,$D$10,D258),'ID1&amp;5'!B:J,9,FALSE),"-")</f>
        <v>-</v>
      </c>
      <c r="S258" s="78" t="str">
        <f>+IFERROR(VLOOKUP(E258,'ID1&amp;5'!K:L,2,FALSE),"-")</f>
        <v>-</v>
      </c>
      <c r="T258" s="79" t="str">
        <f>+IFERROR(VLOOKUP(CONCATENATE(A258,$E$10,E258),'ID1&amp;5'!B:J,9,FALSE),"-")</f>
        <v>-</v>
      </c>
      <c r="U258" s="78" t="str">
        <f>+IFERROR(VLOOKUP(F258,'ID1&amp;5'!K:L,2,FALSE),"-")</f>
        <v>-</v>
      </c>
      <c r="V258" s="79" t="str">
        <f>+IFERROR(VLOOKUP(CONCATENATE(A258,$F$10,F258),'ID1&amp;5'!B:J,9,FALSE),"-")</f>
        <v>-</v>
      </c>
      <c r="W258" s="26" t="str">
        <f>+IFERROR(VLOOKUP(A258,'ID6&amp;7'!A:I,9,FALSE),"-")</f>
        <v>-</v>
      </c>
      <c r="X258" s="26" t="str">
        <f>+IFERROR(VLOOKUP(A258,'ID6&amp;7'!A:J,10,FALSE),"-")</f>
        <v>-</v>
      </c>
      <c r="Y258" s="26"/>
      <c r="Z258" s="27" t="str">
        <f t="shared" si="5"/>
        <v>Por iniciar</v>
      </c>
      <c r="AA258" s="65"/>
    </row>
    <row r="259" spans="1:27">
      <c r="A259" s="20"/>
      <c r="B259" s="60"/>
      <c r="C259" s="60"/>
      <c r="D259" s="60"/>
      <c r="E259" s="60"/>
      <c r="F259" s="60"/>
      <c r="G259" s="60"/>
      <c r="H259" s="65" t="s">
        <v>117</v>
      </c>
      <c r="I259" s="21" t="s">
        <v>1313</v>
      </c>
      <c r="J259" s="26">
        <f>+COUNTIF('ID1&amp;5'!G:G,'1. Status'!I259)</f>
        <v>0</v>
      </c>
      <c r="K259" s="79" t="str">
        <f>+IFERROR(VLOOKUP(CONCATENATE(A259,$B$10,B259),'ID1&amp;5'!B:J,8,FALSE),"-")</f>
        <v>-</v>
      </c>
      <c r="L259" s="78" t="str">
        <f>+IFERROR(VLOOKUP(B259,'ID1&amp;5'!K:L,2,FALSE),"-")</f>
        <v>-</v>
      </c>
      <c r="M259" s="79" t="str">
        <f>+IFERROR(VLOOKUP(CONCATENATE(A259,$B$10,B259),'ID1&amp;5'!B:J,9,FALSE),"-")</f>
        <v>-</v>
      </c>
      <c r="N259" s="79" t="str">
        <f>+IFERROR(VLOOKUP(CONCATENATE(A259,$C$10,C259),'ID1&amp;5'!B:J,8,FALSE),"-")</f>
        <v>-</v>
      </c>
      <c r="O259" s="78" t="str">
        <f>+IFERROR(VLOOKUP(C259,'ID1&amp;5'!K:L,2,FALSE),"-")</f>
        <v>-</v>
      </c>
      <c r="P259" s="79" t="str">
        <f>+IFERROR(VLOOKUP(CONCATENATE(A259,$C$10,C259),'ID1&amp;5'!B:J,9,FALSE),"-")</f>
        <v>-</v>
      </c>
      <c r="Q259" s="78" t="str">
        <f>+IFERROR(VLOOKUP(D259,'ID1&amp;5'!K:L,2,FALSE),"-")</f>
        <v>-</v>
      </c>
      <c r="R259" s="26" t="str">
        <f>+IFERROR(VLOOKUP(CONCATENATE(A259,$D$10,D259),'ID1&amp;5'!B:J,9,FALSE),"-")</f>
        <v>-</v>
      </c>
      <c r="S259" s="78" t="str">
        <f>+IFERROR(VLOOKUP(E259,'ID1&amp;5'!K:L,2,FALSE),"-")</f>
        <v>-</v>
      </c>
      <c r="T259" s="79" t="str">
        <f>+IFERROR(VLOOKUP(CONCATENATE(A259,$E$10,E259),'ID1&amp;5'!B:J,9,FALSE),"-")</f>
        <v>-</v>
      </c>
      <c r="U259" s="78" t="str">
        <f>+IFERROR(VLOOKUP(F259,'ID1&amp;5'!K:L,2,FALSE),"-")</f>
        <v>-</v>
      </c>
      <c r="V259" s="79" t="str">
        <f>+IFERROR(VLOOKUP(CONCATENATE(A259,$F$10,F259),'ID1&amp;5'!B:J,9,FALSE),"-")</f>
        <v>-</v>
      </c>
      <c r="W259" s="26" t="str">
        <f>+IFERROR(VLOOKUP(A259,'ID6&amp;7'!A:I,9,FALSE),"-")</f>
        <v>-</v>
      </c>
      <c r="X259" s="26" t="str">
        <f>+IFERROR(VLOOKUP(A259,'ID6&amp;7'!A:J,10,FALSE),"-")</f>
        <v>-</v>
      </c>
      <c r="Y259" s="26"/>
      <c r="Z259" s="27" t="str">
        <f t="shared" si="5"/>
        <v>Por iniciar</v>
      </c>
      <c r="AA259" s="65"/>
    </row>
    <row r="260" spans="1:27">
      <c r="A260" s="20"/>
      <c r="B260" s="60"/>
      <c r="C260" s="60"/>
      <c r="D260" s="60"/>
      <c r="E260" s="60"/>
      <c r="F260" s="60"/>
      <c r="G260" s="60"/>
      <c r="H260" s="65" t="s">
        <v>117</v>
      </c>
      <c r="I260" s="21" t="s">
        <v>1314</v>
      </c>
      <c r="J260" s="26">
        <f>+COUNTIF('ID1&amp;5'!G:G,'1. Status'!I260)</f>
        <v>0</v>
      </c>
      <c r="K260" s="79" t="str">
        <f>+IFERROR(VLOOKUP(CONCATENATE(A260,$B$10,B260),'ID1&amp;5'!B:J,8,FALSE),"-")</f>
        <v>-</v>
      </c>
      <c r="L260" s="78" t="str">
        <f>+IFERROR(VLOOKUP(B260,'ID1&amp;5'!K:L,2,FALSE),"-")</f>
        <v>-</v>
      </c>
      <c r="M260" s="79" t="str">
        <f>+IFERROR(VLOOKUP(CONCATENATE(A260,$B$10,B260),'ID1&amp;5'!B:J,9,FALSE),"-")</f>
        <v>-</v>
      </c>
      <c r="N260" s="79" t="str">
        <f>+IFERROR(VLOOKUP(CONCATENATE(A260,$C$10,C260),'ID1&amp;5'!B:J,8,FALSE),"-")</f>
        <v>-</v>
      </c>
      <c r="O260" s="78" t="str">
        <f>+IFERROR(VLOOKUP(C260,'ID1&amp;5'!K:L,2,FALSE),"-")</f>
        <v>-</v>
      </c>
      <c r="P260" s="79" t="str">
        <f>+IFERROR(VLOOKUP(CONCATENATE(A260,$C$10,C260),'ID1&amp;5'!B:J,9,FALSE),"-")</f>
        <v>-</v>
      </c>
      <c r="Q260" s="78" t="str">
        <f>+IFERROR(VLOOKUP(D260,'ID1&amp;5'!K:L,2,FALSE),"-")</f>
        <v>-</v>
      </c>
      <c r="R260" s="26" t="str">
        <f>+IFERROR(VLOOKUP(CONCATENATE(A260,$D$10,D260),'ID1&amp;5'!B:J,9,FALSE),"-")</f>
        <v>-</v>
      </c>
      <c r="S260" s="78" t="str">
        <f>+IFERROR(VLOOKUP(E260,'ID1&amp;5'!K:L,2,FALSE),"-")</f>
        <v>-</v>
      </c>
      <c r="T260" s="79" t="str">
        <f>+IFERROR(VLOOKUP(CONCATENATE(A260,$E$10,E260),'ID1&amp;5'!B:J,9,FALSE),"-")</f>
        <v>-</v>
      </c>
      <c r="U260" s="78" t="str">
        <f>+IFERROR(VLOOKUP(F260,'ID1&amp;5'!K:L,2,FALSE),"-")</f>
        <v>-</v>
      </c>
      <c r="V260" s="79" t="str">
        <f>+IFERROR(VLOOKUP(CONCATENATE(A260,$F$10,F260),'ID1&amp;5'!B:J,9,FALSE),"-")</f>
        <v>-</v>
      </c>
      <c r="W260" s="26" t="str">
        <f>+IFERROR(VLOOKUP(A260,'ID6&amp;7'!A:I,9,FALSE),"-")</f>
        <v>-</v>
      </c>
      <c r="X260" s="26" t="str">
        <f>+IFERROR(VLOOKUP(A260,'ID6&amp;7'!A:J,10,FALSE),"-")</f>
        <v>-</v>
      </c>
      <c r="Y260" s="26"/>
      <c r="Z260" s="27" t="str">
        <f t="shared" si="5"/>
        <v>Por iniciar</v>
      </c>
      <c r="AA260" s="65"/>
    </row>
    <row r="261" spans="1:27">
      <c r="A261" s="20"/>
      <c r="B261" s="60"/>
      <c r="C261" s="60"/>
      <c r="D261" s="60"/>
      <c r="E261" s="60"/>
      <c r="F261" s="60"/>
      <c r="G261" s="60"/>
      <c r="H261" s="65" t="s">
        <v>117</v>
      </c>
      <c r="I261" s="21" t="s">
        <v>1315</v>
      </c>
      <c r="J261" s="26">
        <f>+COUNTIF('ID1&amp;5'!G:G,'1. Status'!I261)</f>
        <v>0</v>
      </c>
      <c r="K261" s="79" t="str">
        <f>+IFERROR(VLOOKUP(CONCATENATE(A261,$B$10,B261),'ID1&amp;5'!B:J,8,FALSE),"-")</f>
        <v>-</v>
      </c>
      <c r="L261" s="78" t="str">
        <f>+IFERROR(VLOOKUP(B261,'ID1&amp;5'!K:L,2,FALSE),"-")</f>
        <v>-</v>
      </c>
      <c r="M261" s="79" t="str">
        <f>+IFERROR(VLOOKUP(CONCATENATE(A261,$B$10,B261),'ID1&amp;5'!B:J,9,FALSE),"-")</f>
        <v>-</v>
      </c>
      <c r="N261" s="79" t="str">
        <f>+IFERROR(VLOOKUP(CONCATENATE(A261,$C$10,C261),'ID1&amp;5'!B:J,8,FALSE),"-")</f>
        <v>-</v>
      </c>
      <c r="O261" s="78" t="str">
        <f>+IFERROR(VLOOKUP(C261,'ID1&amp;5'!K:L,2,FALSE),"-")</f>
        <v>-</v>
      </c>
      <c r="P261" s="79" t="str">
        <f>+IFERROR(VLOOKUP(CONCATENATE(A261,$C$10,C261),'ID1&amp;5'!B:J,9,FALSE),"-")</f>
        <v>-</v>
      </c>
      <c r="Q261" s="78" t="str">
        <f>+IFERROR(VLOOKUP(D261,'ID1&amp;5'!K:L,2,FALSE),"-")</f>
        <v>-</v>
      </c>
      <c r="R261" s="26" t="str">
        <f>+IFERROR(VLOOKUP(CONCATENATE(A261,$D$10,D261),'ID1&amp;5'!B:J,9,FALSE),"-")</f>
        <v>-</v>
      </c>
      <c r="S261" s="78" t="str">
        <f>+IFERROR(VLOOKUP(E261,'ID1&amp;5'!K:L,2,FALSE),"-")</f>
        <v>-</v>
      </c>
      <c r="T261" s="79" t="str">
        <f>+IFERROR(VLOOKUP(CONCATENATE(A261,$E$10,E261),'ID1&amp;5'!B:J,9,FALSE),"-")</f>
        <v>-</v>
      </c>
      <c r="U261" s="78" t="str">
        <f>+IFERROR(VLOOKUP(F261,'ID1&amp;5'!K:L,2,FALSE),"-")</f>
        <v>-</v>
      </c>
      <c r="V261" s="79" t="str">
        <f>+IFERROR(VLOOKUP(CONCATENATE(A261,$F$10,F261),'ID1&amp;5'!B:J,9,FALSE),"-")</f>
        <v>-</v>
      </c>
      <c r="W261" s="26" t="str">
        <f>+IFERROR(VLOOKUP(A261,'ID6&amp;7'!A:I,9,FALSE),"-")</f>
        <v>-</v>
      </c>
      <c r="X261" s="26" t="str">
        <f>+IFERROR(VLOOKUP(A261,'ID6&amp;7'!A:J,10,FALSE),"-")</f>
        <v>-</v>
      </c>
      <c r="Y261" s="26"/>
      <c r="Z261" s="27" t="str">
        <f t="shared" si="5"/>
        <v>Por iniciar</v>
      </c>
      <c r="AA261" s="65"/>
    </row>
    <row r="262" spans="1:27">
      <c r="A262" s="20"/>
      <c r="B262" s="60"/>
      <c r="C262" s="60"/>
      <c r="D262" s="60"/>
      <c r="E262" s="60"/>
      <c r="F262" s="60"/>
      <c r="G262" s="60"/>
      <c r="H262" s="65" t="s">
        <v>117</v>
      </c>
      <c r="I262" s="21" t="s">
        <v>1316</v>
      </c>
      <c r="J262" s="26">
        <f>+COUNTIF('ID1&amp;5'!G:G,'1. Status'!I262)</f>
        <v>0</v>
      </c>
      <c r="K262" s="79" t="str">
        <f>+IFERROR(VLOOKUP(CONCATENATE(A262,$B$10,B262),'ID1&amp;5'!B:J,8,FALSE),"-")</f>
        <v>-</v>
      </c>
      <c r="L262" s="78" t="str">
        <f>+IFERROR(VLOOKUP(B262,'ID1&amp;5'!K:L,2,FALSE),"-")</f>
        <v>-</v>
      </c>
      <c r="M262" s="79" t="str">
        <f>+IFERROR(VLOOKUP(CONCATENATE(A262,$B$10,B262),'ID1&amp;5'!B:J,9,FALSE),"-")</f>
        <v>-</v>
      </c>
      <c r="N262" s="79" t="str">
        <f>+IFERROR(VLOOKUP(CONCATENATE(A262,$C$10,C262),'ID1&amp;5'!B:J,8,FALSE),"-")</f>
        <v>-</v>
      </c>
      <c r="O262" s="78" t="str">
        <f>+IFERROR(VLOOKUP(C262,'ID1&amp;5'!K:L,2,FALSE),"-")</f>
        <v>-</v>
      </c>
      <c r="P262" s="79" t="str">
        <f>+IFERROR(VLOOKUP(CONCATENATE(A262,$C$10,C262),'ID1&amp;5'!B:J,9,FALSE),"-")</f>
        <v>-</v>
      </c>
      <c r="Q262" s="78" t="str">
        <f>+IFERROR(VLOOKUP(D262,'ID1&amp;5'!K:L,2,FALSE),"-")</f>
        <v>-</v>
      </c>
      <c r="R262" s="26" t="str">
        <f>+IFERROR(VLOOKUP(CONCATENATE(A262,$D$10,D262),'ID1&amp;5'!B:J,9,FALSE),"-")</f>
        <v>-</v>
      </c>
      <c r="S262" s="78" t="str">
        <f>+IFERROR(VLOOKUP(E262,'ID1&amp;5'!K:L,2,FALSE),"-")</f>
        <v>-</v>
      </c>
      <c r="T262" s="79" t="str">
        <f>+IFERROR(VLOOKUP(CONCATENATE(A262,$E$10,E262),'ID1&amp;5'!B:J,9,FALSE),"-")</f>
        <v>-</v>
      </c>
      <c r="U262" s="78" t="str">
        <f>+IFERROR(VLOOKUP(F262,'ID1&amp;5'!K:L,2,FALSE),"-")</f>
        <v>-</v>
      </c>
      <c r="V262" s="79" t="str">
        <f>+IFERROR(VLOOKUP(CONCATENATE(A262,$F$10,F262),'ID1&amp;5'!B:J,9,FALSE),"-")</f>
        <v>-</v>
      </c>
      <c r="W262" s="26" t="str">
        <f>+IFERROR(VLOOKUP(A262,'ID6&amp;7'!A:I,9,FALSE),"-")</f>
        <v>-</v>
      </c>
      <c r="X262" s="26" t="str">
        <f>+IFERROR(VLOOKUP(A262,'ID6&amp;7'!A:J,10,FALSE),"-")</f>
        <v>-</v>
      </c>
      <c r="Y262" s="26"/>
      <c r="Z262" s="27" t="str">
        <f t="shared" si="5"/>
        <v>Por iniciar</v>
      </c>
      <c r="AA262" s="65"/>
    </row>
    <row r="263" spans="1:27">
      <c r="A263" s="20"/>
      <c r="B263" s="60"/>
      <c r="C263" s="60"/>
      <c r="D263" s="60"/>
      <c r="E263" s="60"/>
      <c r="F263" s="60"/>
      <c r="G263" s="60"/>
      <c r="H263" s="65" t="s">
        <v>117</v>
      </c>
      <c r="I263" s="21" t="s">
        <v>1317</v>
      </c>
      <c r="J263" s="26">
        <f>+COUNTIF('ID1&amp;5'!G:G,'1. Status'!I263)</f>
        <v>0</v>
      </c>
      <c r="K263" s="79" t="str">
        <f>+IFERROR(VLOOKUP(CONCATENATE(A263,$B$10,B263),'ID1&amp;5'!B:J,8,FALSE),"-")</f>
        <v>-</v>
      </c>
      <c r="L263" s="78" t="str">
        <f>+IFERROR(VLOOKUP(B263,'ID1&amp;5'!K:L,2,FALSE),"-")</f>
        <v>-</v>
      </c>
      <c r="M263" s="79" t="str">
        <f>+IFERROR(VLOOKUP(CONCATENATE(A263,$B$10,B263),'ID1&amp;5'!B:J,9,FALSE),"-")</f>
        <v>-</v>
      </c>
      <c r="N263" s="79" t="str">
        <f>+IFERROR(VLOOKUP(CONCATENATE(A263,$C$10,C263),'ID1&amp;5'!B:J,8,FALSE),"-")</f>
        <v>-</v>
      </c>
      <c r="O263" s="78" t="str">
        <f>+IFERROR(VLOOKUP(C263,'ID1&amp;5'!K:L,2,FALSE),"-")</f>
        <v>-</v>
      </c>
      <c r="P263" s="79" t="str">
        <f>+IFERROR(VLOOKUP(CONCATENATE(A263,$C$10,C263),'ID1&amp;5'!B:J,9,FALSE),"-")</f>
        <v>-</v>
      </c>
      <c r="Q263" s="78" t="str">
        <f>+IFERROR(VLOOKUP(D263,'ID1&amp;5'!K:L,2,FALSE),"-")</f>
        <v>-</v>
      </c>
      <c r="R263" s="26" t="str">
        <f>+IFERROR(VLOOKUP(CONCATENATE(A263,$D$10,D263),'ID1&amp;5'!B:J,9,FALSE),"-")</f>
        <v>-</v>
      </c>
      <c r="S263" s="78" t="str">
        <f>+IFERROR(VLOOKUP(E263,'ID1&amp;5'!K:L,2,FALSE),"-")</f>
        <v>-</v>
      </c>
      <c r="T263" s="79" t="str">
        <f>+IFERROR(VLOOKUP(CONCATENATE(A263,$E$10,E263),'ID1&amp;5'!B:J,9,FALSE),"-")</f>
        <v>-</v>
      </c>
      <c r="U263" s="78" t="str">
        <f>+IFERROR(VLOOKUP(F263,'ID1&amp;5'!K:L,2,FALSE),"-")</f>
        <v>-</v>
      </c>
      <c r="V263" s="79" t="str">
        <f>+IFERROR(VLOOKUP(CONCATENATE(A263,$F$10,F263),'ID1&amp;5'!B:J,9,FALSE),"-")</f>
        <v>-</v>
      </c>
      <c r="W263" s="26" t="str">
        <f>+IFERROR(VLOOKUP(A263,'ID6&amp;7'!A:I,9,FALSE),"-")</f>
        <v>-</v>
      </c>
      <c r="X263" s="26" t="str">
        <f>+IFERROR(VLOOKUP(A263,'ID6&amp;7'!A:J,10,FALSE),"-")</f>
        <v>-</v>
      </c>
      <c r="Y263" s="26"/>
      <c r="Z263" s="27" t="str">
        <f t="shared" si="5"/>
        <v>Por iniciar</v>
      </c>
      <c r="AA263" s="65"/>
    </row>
    <row r="264" spans="1:27">
      <c r="A264" s="20"/>
      <c r="B264" s="60"/>
      <c r="C264" s="60"/>
      <c r="D264" s="60"/>
      <c r="E264" s="60"/>
      <c r="F264" s="60"/>
      <c r="G264" s="60"/>
      <c r="H264" s="65" t="s">
        <v>117</v>
      </c>
      <c r="I264" s="21" t="s">
        <v>686</v>
      </c>
      <c r="J264" s="26">
        <f>+COUNTIF('ID1&amp;5'!G:G,'1. Status'!I264)</f>
        <v>0</v>
      </c>
      <c r="K264" s="79" t="str">
        <f>+IFERROR(VLOOKUP(CONCATENATE(A264,$B$10,B264),'ID1&amp;5'!B:J,8,FALSE),"-")</f>
        <v>-</v>
      </c>
      <c r="L264" s="78" t="str">
        <f>+IFERROR(VLOOKUP(B264,'ID1&amp;5'!K:L,2,FALSE),"-")</f>
        <v>-</v>
      </c>
      <c r="M264" s="79" t="str">
        <f>+IFERROR(VLOOKUP(CONCATENATE(A264,$B$10,B264),'ID1&amp;5'!B:J,9,FALSE),"-")</f>
        <v>-</v>
      </c>
      <c r="N264" s="79" t="str">
        <f>+IFERROR(VLOOKUP(CONCATENATE(A264,$C$10,C264),'ID1&amp;5'!B:J,8,FALSE),"-")</f>
        <v>-</v>
      </c>
      <c r="O264" s="78" t="str">
        <f>+IFERROR(VLOOKUP(C264,'ID1&amp;5'!K:L,2,FALSE),"-")</f>
        <v>-</v>
      </c>
      <c r="P264" s="79" t="str">
        <f>+IFERROR(VLOOKUP(CONCATENATE(A264,$C$10,C264),'ID1&amp;5'!B:J,9,FALSE),"-")</f>
        <v>-</v>
      </c>
      <c r="Q264" s="78" t="str">
        <f>+IFERROR(VLOOKUP(D264,'ID1&amp;5'!K:L,2,FALSE),"-")</f>
        <v>-</v>
      </c>
      <c r="R264" s="26" t="str">
        <f>+IFERROR(VLOOKUP(CONCATENATE(A264,$D$10,D264),'ID1&amp;5'!B:J,9,FALSE),"-")</f>
        <v>-</v>
      </c>
      <c r="S264" s="78" t="str">
        <f>+IFERROR(VLOOKUP(E264,'ID1&amp;5'!K:L,2,FALSE),"-")</f>
        <v>-</v>
      </c>
      <c r="T264" s="79" t="str">
        <f>+IFERROR(VLOOKUP(CONCATENATE(A264,$E$10,E264),'ID1&amp;5'!B:J,9,FALSE),"-")</f>
        <v>-</v>
      </c>
      <c r="U264" s="78" t="str">
        <f>+IFERROR(VLOOKUP(F264,'ID1&amp;5'!K:L,2,FALSE),"-")</f>
        <v>-</v>
      </c>
      <c r="V264" s="79" t="str">
        <f>+IFERROR(VLOOKUP(CONCATENATE(A264,$F$10,F264),'ID1&amp;5'!B:J,9,FALSE),"-")</f>
        <v>-</v>
      </c>
      <c r="W264" s="26" t="str">
        <f>+IFERROR(VLOOKUP(A264,'ID6&amp;7'!A:I,9,FALSE),"-")</f>
        <v>-</v>
      </c>
      <c r="X264" s="26" t="str">
        <f>+IFERROR(VLOOKUP(A264,'ID6&amp;7'!A:J,10,FALSE),"-")</f>
        <v>-</v>
      </c>
      <c r="Y264" s="26"/>
      <c r="Z264" s="27" t="str">
        <f t="shared" si="5"/>
        <v>Por iniciar</v>
      </c>
      <c r="AA264" s="65"/>
    </row>
    <row r="265" spans="1:27">
      <c r="A265" s="20"/>
      <c r="B265" s="60"/>
      <c r="C265" s="60"/>
      <c r="D265" s="60"/>
      <c r="E265" s="60"/>
      <c r="F265" s="60"/>
      <c r="G265" s="60"/>
      <c r="H265" s="65" t="s">
        <v>117</v>
      </c>
      <c r="I265" s="21" t="s">
        <v>696</v>
      </c>
      <c r="J265" s="26">
        <f>+COUNTIF('ID1&amp;5'!G:G,'1. Status'!I265)</f>
        <v>0</v>
      </c>
      <c r="K265" s="79" t="str">
        <f>+IFERROR(VLOOKUP(CONCATENATE(A265,$B$10,B265),'ID1&amp;5'!B:J,8,FALSE),"-")</f>
        <v>-</v>
      </c>
      <c r="L265" s="78" t="str">
        <f>+IFERROR(VLOOKUP(B265,'ID1&amp;5'!K:L,2,FALSE),"-")</f>
        <v>-</v>
      </c>
      <c r="M265" s="79" t="str">
        <f>+IFERROR(VLOOKUP(CONCATENATE(A265,$B$10,B265),'ID1&amp;5'!B:J,9,FALSE),"-")</f>
        <v>-</v>
      </c>
      <c r="N265" s="79" t="str">
        <f>+IFERROR(VLOOKUP(CONCATENATE(A265,$C$10,C265),'ID1&amp;5'!B:J,8,FALSE),"-")</f>
        <v>-</v>
      </c>
      <c r="O265" s="78" t="str">
        <f>+IFERROR(VLOOKUP(C265,'ID1&amp;5'!K:L,2,FALSE),"-")</f>
        <v>-</v>
      </c>
      <c r="P265" s="79" t="str">
        <f>+IFERROR(VLOOKUP(CONCATENATE(A265,$C$10,C265),'ID1&amp;5'!B:J,9,FALSE),"-")</f>
        <v>-</v>
      </c>
      <c r="Q265" s="78" t="str">
        <f>+IFERROR(VLOOKUP(D265,'ID1&amp;5'!K:L,2,FALSE),"-")</f>
        <v>-</v>
      </c>
      <c r="R265" s="26" t="str">
        <f>+IFERROR(VLOOKUP(CONCATENATE(A265,$D$10,D265),'ID1&amp;5'!B:J,9,FALSE),"-")</f>
        <v>-</v>
      </c>
      <c r="S265" s="78" t="str">
        <f>+IFERROR(VLOOKUP(E265,'ID1&amp;5'!K:L,2,FALSE),"-")</f>
        <v>-</v>
      </c>
      <c r="T265" s="79" t="str">
        <f>+IFERROR(VLOOKUP(CONCATENATE(A265,$E$10,E265),'ID1&amp;5'!B:J,9,FALSE),"-")</f>
        <v>-</v>
      </c>
      <c r="U265" s="78" t="str">
        <f>+IFERROR(VLOOKUP(F265,'ID1&amp;5'!K:L,2,FALSE),"-")</f>
        <v>-</v>
      </c>
      <c r="V265" s="79" t="str">
        <f>+IFERROR(VLOOKUP(CONCATENATE(A265,$F$10,F265),'ID1&amp;5'!B:J,9,FALSE),"-")</f>
        <v>-</v>
      </c>
      <c r="W265" s="26" t="str">
        <f>+IFERROR(VLOOKUP(A265,'ID6&amp;7'!A:I,9,FALSE),"-")</f>
        <v>-</v>
      </c>
      <c r="X265" s="26" t="str">
        <f>+IFERROR(VLOOKUP(A265,'ID6&amp;7'!A:J,10,FALSE),"-")</f>
        <v>-</v>
      </c>
      <c r="Y265" s="26"/>
      <c r="Z265" s="27" t="str">
        <f t="shared" si="5"/>
        <v>Por iniciar</v>
      </c>
      <c r="AA265" s="65"/>
    </row>
    <row r="266" spans="1:27">
      <c r="A266" s="20"/>
      <c r="B266" s="60"/>
      <c r="C266" s="60"/>
      <c r="D266" s="60"/>
      <c r="E266" s="60"/>
      <c r="F266" s="60"/>
      <c r="G266" s="60"/>
      <c r="H266" s="65" t="s">
        <v>117</v>
      </c>
      <c r="I266" s="21" t="s">
        <v>1318</v>
      </c>
      <c r="J266" s="26">
        <f>+COUNTIF('ID1&amp;5'!G:G,'1. Status'!I266)</f>
        <v>0</v>
      </c>
      <c r="K266" s="79" t="str">
        <f>+IFERROR(VLOOKUP(CONCATENATE(A266,$B$10,B266),'ID1&amp;5'!B:J,8,FALSE),"-")</f>
        <v>-</v>
      </c>
      <c r="L266" s="78" t="str">
        <f>+IFERROR(VLOOKUP(B266,'ID1&amp;5'!K:L,2,FALSE),"-")</f>
        <v>-</v>
      </c>
      <c r="M266" s="79" t="str">
        <f>+IFERROR(VLOOKUP(CONCATENATE(A266,$B$10,B266),'ID1&amp;5'!B:J,9,FALSE),"-")</f>
        <v>-</v>
      </c>
      <c r="N266" s="79" t="str">
        <f>+IFERROR(VLOOKUP(CONCATENATE(A266,$C$10,C266),'ID1&amp;5'!B:J,8,FALSE),"-")</f>
        <v>-</v>
      </c>
      <c r="O266" s="78" t="str">
        <f>+IFERROR(VLOOKUP(C266,'ID1&amp;5'!K:L,2,FALSE),"-")</f>
        <v>-</v>
      </c>
      <c r="P266" s="79" t="str">
        <f>+IFERROR(VLOOKUP(CONCATENATE(A266,$C$10,C266),'ID1&amp;5'!B:J,9,FALSE),"-")</f>
        <v>-</v>
      </c>
      <c r="Q266" s="78" t="str">
        <f>+IFERROR(VLOOKUP(D266,'ID1&amp;5'!K:L,2,FALSE),"-")</f>
        <v>-</v>
      </c>
      <c r="R266" s="26" t="str">
        <f>+IFERROR(VLOOKUP(CONCATENATE(A266,$D$10,D266),'ID1&amp;5'!B:J,9,FALSE),"-")</f>
        <v>-</v>
      </c>
      <c r="S266" s="78" t="str">
        <f>+IFERROR(VLOOKUP(E266,'ID1&amp;5'!K:L,2,FALSE),"-")</f>
        <v>-</v>
      </c>
      <c r="T266" s="79" t="str">
        <f>+IFERROR(VLOOKUP(CONCATENATE(A266,$E$10,E266),'ID1&amp;5'!B:J,9,FALSE),"-")</f>
        <v>-</v>
      </c>
      <c r="U266" s="78" t="str">
        <f>+IFERROR(VLOOKUP(F266,'ID1&amp;5'!K:L,2,FALSE),"-")</f>
        <v>-</v>
      </c>
      <c r="V266" s="79" t="str">
        <f>+IFERROR(VLOOKUP(CONCATENATE(A266,$F$10,F266),'ID1&amp;5'!B:J,9,FALSE),"-")</f>
        <v>-</v>
      </c>
      <c r="W266" s="26" t="str">
        <f>+IFERROR(VLOOKUP(A266,'ID6&amp;7'!A:I,9,FALSE),"-")</f>
        <v>-</v>
      </c>
      <c r="X266" s="26" t="str">
        <f>+IFERROR(VLOOKUP(A266,'ID6&amp;7'!A:J,10,FALSE),"-")</f>
        <v>-</v>
      </c>
      <c r="Y266" s="26"/>
      <c r="Z266" s="27" t="str">
        <f t="shared" si="5"/>
        <v>Por iniciar</v>
      </c>
      <c r="AA266" s="65"/>
    </row>
    <row r="267" spans="1:27">
      <c r="A267" s="20"/>
      <c r="B267" s="60"/>
      <c r="C267" s="60"/>
      <c r="D267" s="60"/>
      <c r="E267" s="60"/>
      <c r="F267" s="60"/>
      <c r="G267" s="60"/>
      <c r="H267" s="65" t="s">
        <v>117</v>
      </c>
      <c r="I267" s="21" t="s">
        <v>1319</v>
      </c>
      <c r="J267" s="26">
        <f>+COUNTIF('ID1&amp;5'!G:G,'1. Status'!I267)</f>
        <v>0</v>
      </c>
      <c r="K267" s="79" t="str">
        <f>+IFERROR(VLOOKUP(CONCATENATE(A267,$B$10,B267),'ID1&amp;5'!B:J,8,FALSE),"-")</f>
        <v>-</v>
      </c>
      <c r="L267" s="78" t="str">
        <f>+IFERROR(VLOOKUP(B267,'ID1&amp;5'!K:L,2,FALSE),"-")</f>
        <v>-</v>
      </c>
      <c r="M267" s="79" t="str">
        <f>+IFERROR(VLOOKUP(CONCATENATE(A267,$B$10,B267),'ID1&amp;5'!B:J,9,FALSE),"-")</f>
        <v>-</v>
      </c>
      <c r="N267" s="79" t="str">
        <f>+IFERROR(VLOOKUP(CONCATENATE(A267,$C$10,C267),'ID1&amp;5'!B:J,8,FALSE),"-")</f>
        <v>-</v>
      </c>
      <c r="O267" s="78" t="str">
        <f>+IFERROR(VLOOKUP(C267,'ID1&amp;5'!K:L,2,FALSE),"-")</f>
        <v>-</v>
      </c>
      <c r="P267" s="79" t="str">
        <f>+IFERROR(VLOOKUP(CONCATENATE(A267,$C$10,C267),'ID1&amp;5'!B:J,9,FALSE),"-")</f>
        <v>-</v>
      </c>
      <c r="Q267" s="78" t="str">
        <f>+IFERROR(VLOOKUP(D267,'ID1&amp;5'!K:L,2,FALSE),"-")</f>
        <v>-</v>
      </c>
      <c r="R267" s="26" t="str">
        <f>+IFERROR(VLOOKUP(CONCATENATE(A267,$D$10,D267),'ID1&amp;5'!B:J,9,FALSE),"-")</f>
        <v>-</v>
      </c>
      <c r="S267" s="78" t="str">
        <f>+IFERROR(VLOOKUP(E267,'ID1&amp;5'!K:L,2,FALSE),"-")</f>
        <v>-</v>
      </c>
      <c r="T267" s="79" t="str">
        <f>+IFERROR(VLOOKUP(CONCATENATE(A267,$E$10,E267),'ID1&amp;5'!B:J,9,FALSE),"-")</f>
        <v>-</v>
      </c>
      <c r="U267" s="78" t="str">
        <f>+IFERROR(VLOOKUP(F267,'ID1&amp;5'!K:L,2,FALSE),"-")</f>
        <v>-</v>
      </c>
      <c r="V267" s="79" t="str">
        <f>+IFERROR(VLOOKUP(CONCATENATE(A267,$F$10,F267),'ID1&amp;5'!B:J,9,FALSE),"-")</f>
        <v>-</v>
      </c>
      <c r="W267" s="26" t="str">
        <f>+IFERROR(VLOOKUP(A267,'ID6&amp;7'!A:I,9,FALSE),"-")</f>
        <v>-</v>
      </c>
      <c r="X267" s="26" t="str">
        <f>+IFERROR(VLOOKUP(A267,'ID6&amp;7'!A:J,10,FALSE),"-")</f>
        <v>-</v>
      </c>
      <c r="Y267" s="26"/>
      <c r="Z267" s="27" t="str">
        <f t="shared" si="5"/>
        <v>Por iniciar</v>
      </c>
      <c r="AA267" s="65"/>
    </row>
    <row r="268" spans="1:27">
      <c r="A268" s="20"/>
      <c r="B268" s="60"/>
      <c r="C268" s="60"/>
      <c r="D268" s="60"/>
      <c r="E268" s="60"/>
      <c r="F268" s="60"/>
      <c r="G268" s="60"/>
      <c r="H268" s="65" t="s">
        <v>117</v>
      </c>
      <c r="I268" s="21" t="s">
        <v>658</v>
      </c>
      <c r="J268" s="26">
        <f>+COUNTIF('ID1&amp;5'!G:G,'1. Status'!I268)</f>
        <v>0</v>
      </c>
      <c r="K268" s="79" t="str">
        <f>+IFERROR(VLOOKUP(CONCATENATE(A268,$B$10,B268),'ID1&amp;5'!B:J,8,FALSE),"-")</f>
        <v>-</v>
      </c>
      <c r="L268" s="78" t="str">
        <f>+IFERROR(VLOOKUP(B268,'ID1&amp;5'!K:L,2,FALSE),"-")</f>
        <v>-</v>
      </c>
      <c r="M268" s="79" t="str">
        <f>+IFERROR(VLOOKUP(CONCATENATE(A268,$B$10,B268),'ID1&amp;5'!B:J,9,FALSE),"-")</f>
        <v>-</v>
      </c>
      <c r="N268" s="79" t="str">
        <f>+IFERROR(VLOOKUP(CONCATENATE(A268,$C$10,C268),'ID1&amp;5'!B:J,8,FALSE),"-")</f>
        <v>-</v>
      </c>
      <c r="O268" s="78" t="str">
        <f>+IFERROR(VLOOKUP(C268,'ID1&amp;5'!K:L,2,FALSE),"-")</f>
        <v>-</v>
      </c>
      <c r="P268" s="79" t="str">
        <f>+IFERROR(VLOOKUP(CONCATENATE(A268,$C$10,C268),'ID1&amp;5'!B:J,9,FALSE),"-")</f>
        <v>-</v>
      </c>
      <c r="Q268" s="78" t="str">
        <f>+IFERROR(VLOOKUP(D268,'ID1&amp;5'!K:L,2,FALSE),"-")</f>
        <v>-</v>
      </c>
      <c r="R268" s="26" t="str">
        <f>+IFERROR(VLOOKUP(CONCATENATE(A268,$D$10,D268),'ID1&amp;5'!B:J,9,FALSE),"-")</f>
        <v>-</v>
      </c>
      <c r="S268" s="78" t="str">
        <f>+IFERROR(VLOOKUP(E268,'ID1&amp;5'!K:L,2,FALSE),"-")</f>
        <v>-</v>
      </c>
      <c r="T268" s="79" t="str">
        <f>+IFERROR(VLOOKUP(CONCATENATE(A268,$E$10,E268),'ID1&amp;5'!B:J,9,FALSE),"-")</f>
        <v>-</v>
      </c>
      <c r="U268" s="78" t="str">
        <f>+IFERROR(VLOOKUP(F268,'ID1&amp;5'!K:L,2,FALSE),"-")</f>
        <v>-</v>
      </c>
      <c r="V268" s="79" t="str">
        <f>+IFERROR(VLOOKUP(CONCATENATE(A268,$F$10,F268),'ID1&amp;5'!B:J,9,FALSE),"-")</f>
        <v>-</v>
      </c>
      <c r="W268" s="26" t="str">
        <f>+IFERROR(VLOOKUP(A268,'ID6&amp;7'!A:I,9,FALSE),"-")</f>
        <v>-</v>
      </c>
      <c r="X268" s="26" t="str">
        <f>+IFERROR(VLOOKUP(A268,'ID6&amp;7'!A:J,10,FALSE),"-")</f>
        <v>-</v>
      </c>
      <c r="Y268" s="26"/>
      <c r="Z268" s="27" t="str">
        <f t="shared" si="5"/>
        <v>Por iniciar</v>
      </c>
      <c r="AA268" s="65"/>
    </row>
    <row r="269" spans="1:27">
      <c r="A269" s="20"/>
      <c r="B269" s="60"/>
      <c r="C269" s="60"/>
      <c r="D269" s="60"/>
      <c r="E269" s="60"/>
      <c r="F269" s="60"/>
      <c r="G269" s="60"/>
      <c r="H269" s="65" t="s">
        <v>117</v>
      </c>
      <c r="I269" s="21" t="s">
        <v>659</v>
      </c>
      <c r="J269" s="26">
        <f>+COUNTIF('ID1&amp;5'!G:G,'1. Status'!I269)</f>
        <v>0</v>
      </c>
      <c r="K269" s="79" t="str">
        <f>+IFERROR(VLOOKUP(CONCATENATE(A269,$B$10,B269),'ID1&amp;5'!B:J,8,FALSE),"-")</f>
        <v>-</v>
      </c>
      <c r="L269" s="78" t="str">
        <f>+IFERROR(VLOOKUP(B269,'ID1&amp;5'!K:L,2,FALSE),"-")</f>
        <v>-</v>
      </c>
      <c r="M269" s="79" t="str">
        <f>+IFERROR(VLOOKUP(CONCATENATE(A269,$B$10,B269),'ID1&amp;5'!B:J,9,FALSE),"-")</f>
        <v>-</v>
      </c>
      <c r="N269" s="79" t="str">
        <f>+IFERROR(VLOOKUP(CONCATENATE(A269,$C$10,C269),'ID1&amp;5'!B:J,8,FALSE),"-")</f>
        <v>-</v>
      </c>
      <c r="O269" s="78" t="str">
        <f>+IFERROR(VLOOKUP(C269,'ID1&amp;5'!K:L,2,FALSE),"-")</f>
        <v>-</v>
      </c>
      <c r="P269" s="79" t="str">
        <f>+IFERROR(VLOOKUP(CONCATENATE(A269,$C$10,C269),'ID1&amp;5'!B:J,9,FALSE),"-")</f>
        <v>-</v>
      </c>
      <c r="Q269" s="78" t="str">
        <f>+IFERROR(VLOOKUP(D269,'ID1&amp;5'!K:L,2,FALSE),"-")</f>
        <v>-</v>
      </c>
      <c r="R269" s="26" t="str">
        <f>+IFERROR(VLOOKUP(CONCATENATE(A269,$D$10,D269),'ID1&amp;5'!B:J,9,FALSE),"-")</f>
        <v>-</v>
      </c>
      <c r="S269" s="78" t="str">
        <f>+IFERROR(VLOOKUP(E269,'ID1&amp;5'!K:L,2,FALSE),"-")</f>
        <v>-</v>
      </c>
      <c r="T269" s="79" t="str">
        <f>+IFERROR(VLOOKUP(CONCATENATE(A269,$E$10,E269),'ID1&amp;5'!B:J,9,FALSE),"-")</f>
        <v>-</v>
      </c>
      <c r="U269" s="78" t="str">
        <f>+IFERROR(VLOOKUP(F269,'ID1&amp;5'!K:L,2,FALSE),"-")</f>
        <v>-</v>
      </c>
      <c r="V269" s="79" t="str">
        <f>+IFERROR(VLOOKUP(CONCATENATE(A269,$F$10,F269),'ID1&amp;5'!B:J,9,FALSE),"-")</f>
        <v>-</v>
      </c>
      <c r="W269" s="26" t="str">
        <f>+IFERROR(VLOOKUP(A269,'ID6&amp;7'!A:I,9,FALSE),"-")</f>
        <v>-</v>
      </c>
      <c r="X269" s="26" t="str">
        <f>+IFERROR(VLOOKUP(A269,'ID6&amp;7'!A:J,10,FALSE),"-")</f>
        <v>-</v>
      </c>
      <c r="Y269" s="26"/>
      <c r="Z269" s="27" t="str">
        <f t="shared" si="5"/>
        <v>Por iniciar</v>
      </c>
      <c r="AA269" s="65"/>
    </row>
    <row r="270" spans="1:27">
      <c r="A270" s="20"/>
      <c r="B270" s="60"/>
      <c r="C270" s="60"/>
      <c r="D270" s="60"/>
      <c r="E270" s="60"/>
      <c r="F270" s="60"/>
      <c r="G270" s="60"/>
      <c r="H270" s="65" t="s">
        <v>117</v>
      </c>
      <c r="I270" s="21" t="s">
        <v>1320</v>
      </c>
      <c r="J270" s="26">
        <f>+COUNTIF('ID1&amp;5'!G:G,'1. Status'!I270)</f>
        <v>0</v>
      </c>
      <c r="K270" s="79" t="str">
        <f>+IFERROR(VLOOKUP(CONCATENATE(A270,$B$10,B270),'ID1&amp;5'!B:J,8,FALSE),"-")</f>
        <v>-</v>
      </c>
      <c r="L270" s="78" t="str">
        <f>+IFERROR(VLOOKUP(B270,'ID1&amp;5'!K:L,2,FALSE),"-")</f>
        <v>-</v>
      </c>
      <c r="M270" s="79" t="str">
        <f>+IFERROR(VLOOKUP(CONCATENATE(A270,$B$10,B270),'ID1&amp;5'!B:J,9,FALSE),"-")</f>
        <v>-</v>
      </c>
      <c r="N270" s="79" t="str">
        <f>+IFERROR(VLOOKUP(CONCATENATE(A270,$C$10,C270),'ID1&amp;5'!B:J,8,FALSE),"-")</f>
        <v>-</v>
      </c>
      <c r="O270" s="78" t="str">
        <f>+IFERROR(VLOOKUP(C270,'ID1&amp;5'!K:L,2,FALSE),"-")</f>
        <v>-</v>
      </c>
      <c r="P270" s="79" t="str">
        <f>+IFERROR(VLOOKUP(CONCATENATE(A270,$C$10,C270),'ID1&amp;5'!B:J,9,FALSE),"-")</f>
        <v>-</v>
      </c>
      <c r="Q270" s="78" t="str">
        <f>+IFERROR(VLOOKUP(D270,'ID1&amp;5'!K:L,2,FALSE),"-")</f>
        <v>-</v>
      </c>
      <c r="R270" s="26" t="str">
        <f>+IFERROR(VLOOKUP(CONCATENATE(A270,$D$10,D270),'ID1&amp;5'!B:J,9,FALSE),"-")</f>
        <v>-</v>
      </c>
      <c r="S270" s="78" t="str">
        <f>+IFERROR(VLOOKUP(E270,'ID1&amp;5'!K:L,2,FALSE),"-")</f>
        <v>-</v>
      </c>
      <c r="T270" s="79" t="str">
        <f>+IFERROR(VLOOKUP(CONCATENATE(A270,$E$10,E270),'ID1&amp;5'!B:J,9,FALSE),"-")</f>
        <v>-</v>
      </c>
      <c r="U270" s="78" t="str">
        <f>+IFERROR(VLOOKUP(F270,'ID1&amp;5'!K:L,2,FALSE),"-")</f>
        <v>-</v>
      </c>
      <c r="V270" s="79" t="str">
        <f>+IFERROR(VLOOKUP(CONCATENATE(A270,$F$10,F270),'ID1&amp;5'!B:J,9,FALSE),"-")</f>
        <v>-</v>
      </c>
      <c r="W270" s="26" t="str">
        <f>+IFERROR(VLOOKUP(A270,'ID6&amp;7'!A:I,9,FALSE),"-")</f>
        <v>-</v>
      </c>
      <c r="X270" s="26" t="str">
        <f>+IFERROR(VLOOKUP(A270,'ID6&amp;7'!A:J,10,FALSE),"-")</f>
        <v>-</v>
      </c>
      <c r="Y270" s="26"/>
      <c r="Z270" s="27" t="str">
        <f t="shared" si="5"/>
        <v>Por iniciar</v>
      </c>
      <c r="AA270" s="65"/>
    </row>
    <row r="271" spans="1:27">
      <c r="A271" s="20"/>
      <c r="B271" s="60"/>
      <c r="C271" s="60"/>
      <c r="D271" s="60"/>
      <c r="E271" s="60"/>
      <c r="F271" s="60"/>
      <c r="G271" s="60"/>
      <c r="H271" s="65" t="s">
        <v>117</v>
      </c>
      <c r="I271" s="21" t="s">
        <v>1321</v>
      </c>
      <c r="J271" s="26">
        <f>+COUNTIF('ID1&amp;5'!G:G,'1. Status'!I271)</f>
        <v>0</v>
      </c>
      <c r="K271" s="79" t="str">
        <f>+IFERROR(VLOOKUP(CONCATENATE(A271,$B$10,B271),'ID1&amp;5'!B:J,8,FALSE),"-")</f>
        <v>-</v>
      </c>
      <c r="L271" s="78" t="str">
        <f>+IFERROR(VLOOKUP(B271,'ID1&amp;5'!K:L,2,FALSE),"-")</f>
        <v>-</v>
      </c>
      <c r="M271" s="79" t="str">
        <f>+IFERROR(VLOOKUP(CONCATENATE(A271,$B$10,B271),'ID1&amp;5'!B:J,9,FALSE),"-")</f>
        <v>-</v>
      </c>
      <c r="N271" s="79" t="str">
        <f>+IFERROR(VLOOKUP(CONCATENATE(A271,$C$10,C271),'ID1&amp;5'!B:J,8,FALSE),"-")</f>
        <v>-</v>
      </c>
      <c r="O271" s="78" t="str">
        <f>+IFERROR(VLOOKUP(C271,'ID1&amp;5'!K:L,2,FALSE),"-")</f>
        <v>-</v>
      </c>
      <c r="P271" s="79" t="str">
        <f>+IFERROR(VLOOKUP(CONCATENATE(A271,$C$10,C271),'ID1&amp;5'!B:J,9,FALSE),"-")</f>
        <v>-</v>
      </c>
      <c r="Q271" s="78" t="str">
        <f>+IFERROR(VLOOKUP(D271,'ID1&amp;5'!K:L,2,FALSE),"-")</f>
        <v>-</v>
      </c>
      <c r="R271" s="26" t="str">
        <f>+IFERROR(VLOOKUP(CONCATENATE(A271,$D$10,D271),'ID1&amp;5'!B:J,9,FALSE),"-")</f>
        <v>-</v>
      </c>
      <c r="S271" s="78" t="str">
        <f>+IFERROR(VLOOKUP(E271,'ID1&amp;5'!K:L,2,FALSE),"-")</f>
        <v>-</v>
      </c>
      <c r="T271" s="79" t="str">
        <f>+IFERROR(VLOOKUP(CONCATENATE(A271,$E$10,E271),'ID1&amp;5'!B:J,9,FALSE),"-")</f>
        <v>-</v>
      </c>
      <c r="U271" s="78" t="str">
        <f>+IFERROR(VLOOKUP(F271,'ID1&amp;5'!K:L,2,FALSE),"-")</f>
        <v>-</v>
      </c>
      <c r="V271" s="79" t="str">
        <f>+IFERROR(VLOOKUP(CONCATENATE(A271,$F$10,F271),'ID1&amp;5'!B:J,9,FALSE),"-")</f>
        <v>-</v>
      </c>
      <c r="W271" s="26" t="str">
        <f>+IFERROR(VLOOKUP(A271,'ID6&amp;7'!A:I,9,FALSE),"-")</f>
        <v>-</v>
      </c>
      <c r="X271" s="26" t="str">
        <f>+IFERROR(VLOOKUP(A271,'ID6&amp;7'!A:J,10,FALSE),"-")</f>
        <v>-</v>
      </c>
      <c r="Y271" s="26"/>
      <c r="Z271" s="27" t="str">
        <f t="shared" si="5"/>
        <v>Por iniciar</v>
      </c>
      <c r="AA271" s="65"/>
    </row>
    <row r="272" spans="1:27">
      <c r="A272" s="20"/>
      <c r="B272" s="60"/>
      <c r="C272" s="60"/>
      <c r="D272" s="60"/>
      <c r="E272" s="60"/>
      <c r="F272" s="60"/>
      <c r="G272" s="60"/>
      <c r="H272" s="65" t="s">
        <v>117</v>
      </c>
      <c r="I272" s="21" t="s">
        <v>1322</v>
      </c>
      <c r="J272" s="26">
        <f>+COUNTIF('ID1&amp;5'!G:G,'1. Status'!I272)</f>
        <v>0</v>
      </c>
      <c r="K272" s="79" t="str">
        <f>+IFERROR(VLOOKUP(CONCATENATE(A272,$B$10,B272),'ID1&amp;5'!B:J,8,FALSE),"-")</f>
        <v>-</v>
      </c>
      <c r="L272" s="78" t="str">
        <f>+IFERROR(VLOOKUP(B272,'ID1&amp;5'!K:L,2,FALSE),"-")</f>
        <v>-</v>
      </c>
      <c r="M272" s="79" t="str">
        <f>+IFERROR(VLOOKUP(CONCATENATE(A272,$B$10,B272),'ID1&amp;5'!B:J,9,FALSE),"-")</f>
        <v>-</v>
      </c>
      <c r="N272" s="79" t="str">
        <f>+IFERROR(VLOOKUP(CONCATENATE(A272,$C$10,C272),'ID1&amp;5'!B:J,8,FALSE),"-")</f>
        <v>-</v>
      </c>
      <c r="O272" s="78" t="str">
        <f>+IFERROR(VLOOKUP(C272,'ID1&amp;5'!K:L,2,FALSE),"-")</f>
        <v>-</v>
      </c>
      <c r="P272" s="79" t="str">
        <f>+IFERROR(VLOOKUP(CONCATENATE(A272,$C$10,C272),'ID1&amp;5'!B:J,9,FALSE),"-")</f>
        <v>-</v>
      </c>
      <c r="Q272" s="78" t="str">
        <f>+IFERROR(VLOOKUP(D272,'ID1&amp;5'!K:L,2,FALSE),"-")</f>
        <v>-</v>
      </c>
      <c r="R272" s="26" t="str">
        <f>+IFERROR(VLOOKUP(CONCATENATE(A272,$D$10,D272),'ID1&amp;5'!B:J,9,FALSE),"-")</f>
        <v>-</v>
      </c>
      <c r="S272" s="78" t="str">
        <f>+IFERROR(VLOOKUP(E272,'ID1&amp;5'!K:L,2,FALSE),"-")</f>
        <v>-</v>
      </c>
      <c r="T272" s="79" t="str">
        <f>+IFERROR(VLOOKUP(CONCATENATE(A272,$E$10,E272),'ID1&amp;5'!B:J,9,FALSE),"-")</f>
        <v>-</v>
      </c>
      <c r="U272" s="78" t="str">
        <f>+IFERROR(VLOOKUP(F272,'ID1&amp;5'!K:L,2,FALSE),"-")</f>
        <v>-</v>
      </c>
      <c r="V272" s="79" t="str">
        <f>+IFERROR(VLOOKUP(CONCATENATE(A272,$F$10,F272),'ID1&amp;5'!B:J,9,FALSE),"-")</f>
        <v>-</v>
      </c>
      <c r="W272" s="26" t="str">
        <f>+IFERROR(VLOOKUP(A272,'ID6&amp;7'!A:I,9,FALSE),"-")</f>
        <v>-</v>
      </c>
      <c r="X272" s="26" t="str">
        <f>+IFERROR(VLOOKUP(A272,'ID6&amp;7'!A:J,10,FALSE),"-")</f>
        <v>-</v>
      </c>
      <c r="Y272" s="26"/>
      <c r="Z272" s="27" t="str">
        <f t="shared" si="5"/>
        <v>Por iniciar</v>
      </c>
      <c r="AA272" s="65"/>
    </row>
    <row r="273" spans="1:27">
      <c r="A273" s="20"/>
      <c r="B273" s="60"/>
      <c r="C273" s="60"/>
      <c r="D273" s="60"/>
      <c r="E273" s="60"/>
      <c r="F273" s="60"/>
      <c r="G273" s="60"/>
      <c r="H273" s="65" t="s">
        <v>117</v>
      </c>
      <c r="I273" s="21" t="s">
        <v>1323</v>
      </c>
      <c r="J273" s="26">
        <f>+COUNTIF('ID1&amp;5'!G:G,'1. Status'!I273)</f>
        <v>0</v>
      </c>
      <c r="K273" s="79" t="str">
        <f>+IFERROR(VLOOKUP(CONCATENATE(A273,$B$10,B273),'ID1&amp;5'!B:J,8,FALSE),"-")</f>
        <v>-</v>
      </c>
      <c r="L273" s="78" t="str">
        <f>+IFERROR(VLOOKUP(B273,'ID1&amp;5'!K:L,2,FALSE),"-")</f>
        <v>-</v>
      </c>
      <c r="M273" s="79" t="str">
        <f>+IFERROR(VLOOKUP(CONCATENATE(A273,$B$10,B273),'ID1&amp;5'!B:J,9,FALSE),"-")</f>
        <v>-</v>
      </c>
      <c r="N273" s="79" t="str">
        <f>+IFERROR(VLOOKUP(CONCATENATE(A273,$C$10,C273),'ID1&amp;5'!B:J,8,FALSE),"-")</f>
        <v>-</v>
      </c>
      <c r="O273" s="78" t="str">
        <f>+IFERROR(VLOOKUP(C273,'ID1&amp;5'!K:L,2,FALSE),"-")</f>
        <v>-</v>
      </c>
      <c r="P273" s="79" t="str">
        <f>+IFERROR(VLOOKUP(CONCATENATE(A273,$C$10,C273),'ID1&amp;5'!B:J,9,FALSE),"-")</f>
        <v>-</v>
      </c>
      <c r="Q273" s="78" t="str">
        <f>+IFERROR(VLOOKUP(D273,'ID1&amp;5'!K:L,2,FALSE),"-")</f>
        <v>-</v>
      </c>
      <c r="R273" s="26" t="str">
        <f>+IFERROR(VLOOKUP(CONCATENATE(A273,$D$10,D273),'ID1&amp;5'!B:J,9,FALSE),"-")</f>
        <v>-</v>
      </c>
      <c r="S273" s="78" t="str">
        <f>+IFERROR(VLOOKUP(E273,'ID1&amp;5'!K:L,2,FALSE),"-")</f>
        <v>-</v>
      </c>
      <c r="T273" s="79" t="str">
        <f>+IFERROR(VLOOKUP(CONCATENATE(A273,$E$10,E273),'ID1&amp;5'!B:J,9,FALSE),"-")</f>
        <v>-</v>
      </c>
      <c r="U273" s="78" t="str">
        <f>+IFERROR(VLOOKUP(F273,'ID1&amp;5'!K:L,2,FALSE),"-")</f>
        <v>-</v>
      </c>
      <c r="V273" s="79" t="str">
        <f>+IFERROR(VLOOKUP(CONCATENATE(A273,$F$10,F273),'ID1&amp;5'!B:J,9,FALSE),"-")</f>
        <v>-</v>
      </c>
      <c r="W273" s="26" t="str">
        <f>+IFERROR(VLOOKUP(A273,'ID6&amp;7'!A:I,9,FALSE),"-")</f>
        <v>-</v>
      </c>
      <c r="X273" s="26" t="str">
        <f>+IFERROR(VLOOKUP(A273,'ID6&amp;7'!A:J,10,FALSE),"-")</f>
        <v>-</v>
      </c>
      <c r="Y273" s="26"/>
      <c r="Z273" s="27" t="str">
        <f t="shared" si="5"/>
        <v>Por iniciar</v>
      </c>
      <c r="AA273" s="65"/>
    </row>
    <row r="274" spans="1:27">
      <c r="A274" s="20"/>
      <c r="B274" s="60"/>
      <c r="C274" s="60"/>
      <c r="D274" s="60"/>
      <c r="E274" s="60"/>
      <c r="F274" s="60"/>
      <c r="G274" s="60"/>
      <c r="H274" s="65" t="s">
        <v>117</v>
      </c>
      <c r="I274" s="21" t="s">
        <v>1324</v>
      </c>
      <c r="J274" s="26">
        <f>+COUNTIF('ID1&amp;5'!G:G,'1. Status'!I274)</f>
        <v>0</v>
      </c>
      <c r="K274" s="79" t="str">
        <f>+IFERROR(VLOOKUP(CONCATENATE(A274,$B$10,B274),'ID1&amp;5'!B:J,8,FALSE),"-")</f>
        <v>-</v>
      </c>
      <c r="L274" s="78" t="str">
        <f>+IFERROR(VLOOKUP(B274,'ID1&amp;5'!K:L,2,FALSE),"-")</f>
        <v>-</v>
      </c>
      <c r="M274" s="79" t="str">
        <f>+IFERROR(VLOOKUP(CONCATENATE(A274,$B$10,B274),'ID1&amp;5'!B:J,9,FALSE),"-")</f>
        <v>-</v>
      </c>
      <c r="N274" s="79" t="str">
        <f>+IFERROR(VLOOKUP(CONCATENATE(A274,$C$10,C274),'ID1&amp;5'!B:J,8,FALSE),"-")</f>
        <v>-</v>
      </c>
      <c r="O274" s="78" t="str">
        <f>+IFERROR(VLOOKUP(C274,'ID1&amp;5'!K:L,2,FALSE),"-")</f>
        <v>-</v>
      </c>
      <c r="P274" s="79" t="str">
        <f>+IFERROR(VLOOKUP(CONCATENATE(A274,$C$10,C274),'ID1&amp;5'!B:J,9,FALSE),"-")</f>
        <v>-</v>
      </c>
      <c r="Q274" s="78" t="str">
        <f>+IFERROR(VLOOKUP(D274,'ID1&amp;5'!K:L,2,FALSE),"-")</f>
        <v>-</v>
      </c>
      <c r="R274" s="26" t="str">
        <f>+IFERROR(VLOOKUP(CONCATENATE(A274,$D$10,D274),'ID1&amp;5'!B:J,9,FALSE),"-")</f>
        <v>-</v>
      </c>
      <c r="S274" s="78" t="str">
        <f>+IFERROR(VLOOKUP(E274,'ID1&amp;5'!K:L,2,FALSE),"-")</f>
        <v>-</v>
      </c>
      <c r="T274" s="79" t="str">
        <f>+IFERROR(VLOOKUP(CONCATENATE(A274,$E$10,E274),'ID1&amp;5'!B:J,9,FALSE),"-")</f>
        <v>-</v>
      </c>
      <c r="U274" s="78" t="str">
        <f>+IFERROR(VLOOKUP(F274,'ID1&amp;5'!K:L,2,FALSE),"-")</f>
        <v>-</v>
      </c>
      <c r="V274" s="79" t="str">
        <f>+IFERROR(VLOOKUP(CONCATENATE(A274,$F$10,F274),'ID1&amp;5'!B:J,9,FALSE),"-")</f>
        <v>-</v>
      </c>
      <c r="W274" s="26" t="str">
        <f>+IFERROR(VLOOKUP(A274,'ID6&amp;7'!A:I,9,FALSE),"-")</f>
        <v>-</v>
      </c>
      <c r="X274" s="26" t="str">
        <f>+IFERROR(VLOOKUP(A274,'ID6&amp;7'!A:J,10,FALSE),"-")</f>
        <v>-</v>
      </c>
      <c r="Y274" s="26"/>
      <c r="Z274" s="27" t="str">
        <f t="shared" si="5"/>
        <v>Por iniciar</v>
      </c>
      <c r="AA274" s="65"/>
    </row>
    <row r="275" spans="1:27">
      <c r="A275" s="20"/>
      <c r="B275" s="60"/>
      <c r="C275" s="60"/>
      <c r="D275" s="60"/>
      <c r="E275" s="60"/>
      <c r="F275" s="60"/>
      <c r="G275" s="60"/>
      <c r="H275" s="65" t="s">
        <v>117</v>
      </c>
      <c r="I275" s="21" t="s">
        <v>1325</v>
      </c>
      <c r="J275" s="26">
        <f>+COUNTIF('ID1&amp;5'!G:G,'1. Status'!I275)</f>
        <v>0</v>
      </c>
      <c r="K275" s="79" t="str">
        <f>+IFERROR(VLOOKUP(CONCATENATE(A275,$B$10,B275),'ID1&amp;5'!B:J,8,FALSE),"-")</f>
        <v>-</v>
      </c>
      <c r="L275" s="78" t="str">
        <f>+IFERROR(VLOOKUP(B275,'ID1&amp;5'!K:L,2,FALSE),"-")</f>
        <v>-</v>
      </c>
      <c r="M275" s="79" t="str">
        <f>+IFERROR(VLOOKUP(CONCATENATE(A275,$B$10,B275),'ID1&amp;5'!B:J,9,FALSE),"-")</f>
        <v>-</v>
      </c>
      <c r="N275" s="79" t="str">
        <f>+IFERROR(VLOOKUP(CONCATENATE(A275,$C$10,C275),'ID1&amp;5'!B:J,8,FALSE),"-")</f>
        <v>-</v>
      </c>
      <c r="O275" s="78" t="str">
        <f>+IFERROR(VLOOKUP(C275,'ID1&amp;5'!K:L,2,FALSE),"-")</f>
        <v>-</v>
      </c>
      <c r="P275" s="79" t="str">
        <f>+IFERROR(VLOOKUP(CONCATENATE(A275,$C$10,C275),'ID1&amp;5'!B:J,9,FALSE),"-")</f>
        <v>-</v>
      </c>
      <c r="Q275" s="78" t="str">
        <f>+IFERROR(VLOOKUP(D275,'ID1&amp;5'!K:L,2,FALSE),"-")</f>
        <v>-</v>
      </c>
      <c r="R275" s="26" t="str">
        <f>+IFERROR(VLOOKUP(CONCATENATE(A275,$D$10,D275),'ID1&amp;5'!B:J,9,FALSE),"-")</f>
        <v>-</v>
      </c>
      <c r="S275" s="78" t="str">
        <f>+IFERROR(VLOOKUP(E275,'ID1&amp;5'!K:L,2,FALSE),"-")</f>
        <v>-</v>
      </c>
      <c r="T275" s="79" t="str">
        <f>+IFERROR(VLOOKUP(CONCATENATE(A275,$E$10,E275),'ID1&amp;5'!B:J,9,FALSE),"-")</f>
        <v>-</v>
      </c>
      <c r="U275" s="78" t="str">
        <f>+IFERROR(VLOOKUP(F275,'ID1&amp;5'!K:L,2,FALSE),"-")</f>
        <v>-</v>
      </c>
      <c r="V275" s="79" t="str">
        <f>+IFERROR(VLOOKUP(CONCATENATE(A275,$F$10,F275),'ID1&amp;5'!B:J,9,FALSE),"-")</f>
        <v>-</v>
      </c>
      <c r="W275" s="26" t="str">
        <f>+IFERROR(VLOOKUP(A275,'ID6&amp;7'!A:I,9,FALSE),"-")</f>
        <v>-</v>
      </c>
      <c r="X275" s="26" t="str">
        <f>+IFERROR(VLOOKUP(A275,'ID6&amp;7'!A:J,10,FALSE),"-")</f>
        <v>-</v>
      </c>
      <c r="Y275" s="26"/>
      <c r="Z275" s="27" t="str">
        <f t="shared" si="5"/>
        <v>Por iniciar</v>
      </c>
      <c r="AA275" s="65"/>
    </row>
    <row r="276" spans="1:27">
      <c r="A276" s="20"/>
      <c r="B276" s="60"/>
      <c r="C276" s="60"/>
      <c r="D276" s="60"/>
      <c r="E276" s="60"/>
      <c r="F276" s="60"/>
      <c r="G276" s="60"/>
      <c r="H276" s="65" t="s">
        <v>117</v>
      </c>
      <c r="I276" s="21" t="s">
        <v>1326</v>
      </c>
      <c r="J276" s="26">
        <f>+COUNTIF('ID1&amp;5'!G:G,'1. Status'!I276)</f>
        <v>0</v>
      </c>
      <c r="K276" s="79" t="str">
        <f>+IFERROR(VLOOKUP(CONCATENATE(A276,$B$10,B276),'ID1&amp;5'!B:J,8,FALSE),"-")</f>
        <v>-</v>
      </c>
      <c r="L276" s="78" t="str">
        <f>+IFERROR(VLOOKUP(B276,'ID1&amp;5'!K:L,2,FALSE),"-")</f>
        <v>-</v>
      </c>
      <c r="M276" s="79" t="str">
        <f>+IFERROR(VLOOKUP(CONCATENATE(A276,$B$10,B276),'ID1&amp;5'!B:J,9,FALSE),"-")</f>
        <v>-</v>
      </c>
      <c r="N276" s="79" t="str">
        <f>+IFERROR(VLOOKUP(CONCATENATE(A276,$C$10,C276),'ID1&amp;5'!B:J,8,FALSE),"-")</f>
        <v>-</v>
      </c>
      <c r="O276" s="78" t="str">
        <f>+IFERROR(VLOOKUP(C276,'ID1&amp;5'!K:L,2,FALSE),"-")</f>
        <v>-</v>
      </c>
      <c r="P276" s="79" t="str">
        <f>+IFERROR(VLOOKUP(CONCATENATE(A276,$C$10,C276),'ID1&amp;5'!B:J,9,FALSE),"-")</f>
        <v>-</v>
      </c>
      <c r="Q276" s="78" t="str">
        <f>+IFERROR(VLOOKUP(D276,'ID1&amp;5'!K:L,2,FALSE),"-")</f>
        <v>-</v>
      </c>
      <c r="R276" s="26" t="str">
        <f>+IFERROR(VLOOKUP(CONCATENATE(A276,$D$10,D276),'ID1&amp;5'!B:J,9,FALSE),"-")</f>
        <v>-</v>
      </c>
      <c r="S276" s="78" t="str">
        <f>+IFERROR(VLOOKUP(E276,'ID1&amp;5'!K:L,2,FALSE),"-")</f>
        <v>-</v>
      </c>
      <c r="T276" s="79" t="str">
        <f>+IFERROR(VLOOKUP(CONCATENATE(A276,$E$10,E276),'ID1&amp;5'!B:J,9,FALSE),"-")</f>
        <v>-</v>
      </c>
      <c r="U276" s="78" t="str">
        <f>+IFERROR(VLOOKUP(F276,'ID1&amp;5'!K:L,2,FALSE),"-")</f>
        <v>-</v>
      </c>
      <c r="V276" s="79" t="str">
        <f>+IFERROR(VLOOKUP(CONCATENATE(A276,$F$10,F276),'ID1&amp;5'!B:J,9,FALSE),"-")</f>
        <v>-</v>
      </c>
      <c r="W276" s="26" t="str">
        <f>+IFERROR(VLOOKUP(A276,'ID6&amp;7'!A:I,9,FALSE),"-")</f>
        <v>-</v>
      </c>
      <c r="X276" s="26" t="str">
        <f>+IFERROR(VLOOKUP(A276,'ID6&amp;7'!A:J,10,FALSE),"-")</f>
        <v>-</v>
      </c>
      <c r="Y276" s="26"/>
      <c r="Z276" s="27" t="str">
        <f t="shared" si="5"/>
        <v>Por iniciar</v>
      </c>
      <c r="AA276" s="65"/>
    </row>
    <row r="277" spans="1:27">
      <c r="A277" s="20"/>
      <c r="B277" s="60"/>
      <c r="C277" s="60"/>
      <c r="D277" s="60"/>
      <c r="E277" s="60"/>
      <c r="F277" s="60"/>
      <c r="G277" s="60"/>
      <c r="H277" s="65" t="s">
        <v>117</v>
      </c>
      <c r="I277" s="21" t="s">
        <v>1327</v>
      </c>
      <c r="J277" s="26">
        <f>+COUNTIF('ID1&amp;5'!G:G,'1. Status'!I277)</f>
        <v>0</v>
      </c>
      <c r="K277" s="79" t="str">
        <f>+IFERROR(VLOOKUP(CONCATENATE(A277,$B$10,B277),'ID1&amp;5'!B:J,8,FALSE),"-")</f>
        <v>-</v>
      </c>
      <c r="L277" s="78" t="str">
        <f>+IFERROR(VLOOKUP(B277,'ID1&amp;5'!K:L,2,FALSE),"-")</f>
        <v>-</v>
      </c>
      <c r="M277" s="79" t="str">
        <f>+IFERROR(VLOOKUP(CONCATENATE(A277,$B$10,B277),'ID1&amp;5'!B:J,9,FALSE),"-")</f>
        <v>-</v>
      </c>
      <c r="N277" s="79" t="str">
        <f>+IFERROR(VLOOKUP(CONCATENATE(A277,$C$10,C277),'ID1&amp;5'!B:J,8,FALSE),"-")</f>
        <v>-</v>
      </c>
      <c r="O277" s="78" t="str">
        <f>+IFERROR(VLOOKUP(C277,'ID1&amp;5'!K:L,2,FALSE),"-")</f>
        <v>-</v>
      </c>
      <c r="P277" s="79" t="str">
        <f>+IFERROR(VLOOKUP(CONCATENATE(A277,$C$10,C277),'ID1&amp;5'!B:J,9,FALSE),"-")</f>
        <v>-</v>
      </c>
      <c r="Q277" s="78" t="str">
        <f>+IFERROR(VLOOKUP(D277,'ID1&amp;5'!K:L,2,FALSE),"-")</f>
        <v>-</v>
      </c>
      <c r="R277" s="26" t="str">
        <f>+IFERROR(VLOOKUP(CONCATENATE(A277,$D$10,D277),'ID1&amp;5'!B:J,9,FALSE),"-")</f>
        <v>-</v>
      </c>
      <c r="S277" s="78" t="str">
        <f>+IFERROR(VLOOKUP(E277,'ID1&amp;5'!K:L,2,FALSE),"-")</f>
        <v>-</v>
      </c>
      <c r="T277" s="79" t="str">
        <f>+IFERROR(VLOOKUP(CONCATENATE(A277,$E$10,E277),'ID1&amp;5'!B:J,9,FALSE),"-")</f>
        <v>-</v>
      </c>
      <c r="U277" s="78" t="str">
        <f>+IFERROR(VLOOKUP(F277,'ID1&amp;5'!K:L,2,FALSE),"-")</f>
        <v>-</v>
      </c>
      <c r="V277" s="79" t="str">
        <f>+IFERROR(VLOOKUP(CONCATENATE(A277,$F$10,F277),'ID1&amp;5'!B:J,9,FALSE),"-")</f>
        <v>-</v>
      </c>
      <c r="W277" s="26" t="str">
        <f>+IFERROR(VLOOKUP(A277,'ID6&amp;7'!A:I,9,FALSE),"-")</f>
        <v>-</v>
      </c>
      <c r="X277" s="26" t="str">
        <f>+IFERROR(VLOOKUP(A277,'ID6&amp;7'!A:J,10,FALSE),"-")</f>
        <v>-</v>
      </c>
      <c r="Y277" s="26"/>
      <c r="Z277" s="27" t="str">
        <f t="shared" si="5"/>
        <v>Por iniciar</v>
      </c>
      <c r="AA277" s="65"/>
    </row>
    <row r="278" spans="1:27">
      <c r="A278" s="20"/>
      <c r="B278" s="60"/>
      <c r="C278" s="60"/>
      <c r="D278" s="60"/>
      <c r="E278" s="60"/>
      <c r="F278" s="60"/>
      <c r="G278" s="60"/>
      <c r="H278" s="65" t="s">
        <v>117</v>
      </c>
      <c r="I278" s="21" t="s">
        <v>1328</v>
      </c>
      <c r="J278" s="26">
        <f>+COUNTIF('ID1&amp;5'!G:G,'1. Status'!I278)</f>
        <v>0</v>
      </c>
      <c r="K278" s="79" t="str">
        <f>+IFERROR(VLOOKUP(CONCATENATE(A278,$B$10,B278),'ID1&amp;5'!B:J,8,FALSE),"-")</f>
        <v>-</v>
      </c>
      <c r="L278" s="78" t="str">
        <f>+IFERROR(VLOOKUP(B278,'ID1&amp;5'!K:L,2,FALSE),"-")</f>
        <v>-</v>
      </c>
      <c r="M278" s="79" t="str">
        <f>+IFERROR(VLOOKUP(CONCATENATE(A278,$B$10,B278),'ID1&amp;5'!B:J,9,FALSE),"-")</f>
        <v>-</v>
      </c>
      <c r="N278" s="79" t="str">
        <f>+IFERROR(VLOOKUP(CONCATENATE(A278,$C$10,C278),'ID1&amp;5'!B:J,8,FALSE),"-")</f>
        <v>-</v>
      </c>
      <c r="O278" s="78" t="str">
        <f>+IFERROR(VLOOKUP(C278,'ID1&amp;5'!K:L,2,FALSE),"-")</f>
        <v>-</v>
      </c>
      <c r="P278" s="79" t="str">
        <f>+IFERROR(VLOOKUP(CONCATENATE(A278,$C$10,C278),'ID1&amp;5'!B:J,9,FALSE),"-")</f>
        <v>-</v>
      </c>
      <c r="Q278" s="78" t="str">
        <f>+IFERROR(VLOOKUP(D278,'ID1&amp;5'!K:L,2,FALSE),"-")</f>
        <v>-</v>
      </c>
      <c r="R278" s="26" t="str">
        <f>+IFERROR(VLOOKUP(CONCATENATE(A278,$D$10,D278),'ID1&amp;5'!B:J,9,FALSE),"-")</f>
        <v>-</v>
      </c>
      <c r="S278" s="78" t="str">
        <f>+IFERROR(VLOOKUP(E278,'ID1&amp;5'!K:L,2,FALSE),"-")</f>
        <v>-</v>
      </c>
      <c r="T278" s="79" t="str">
        <f>+IFERROR(VLOOKUP(CONCATENATE(A278,$E$10,E278),'ID1&amp;5'!B:J,9,FALSE),"-")</f>
        <v>-</v>
      </c>
      <c r="U278" s="78" t="str">
        <f>+IFERROR(VLOOKUP(F278,'ID1&amp;5'!K:L,2,FALSE),"-")</f>
        <v>-</v>
      </c>
      <c r="V278" s="79" t="str">
        <f>+IFERROR(VLOOKUP(CONCATENATE(A278,$F$10,F278),'ID1&amp;5'!B:J,9,FALSE),"-")</f>
        <v>-</v>
      </c>
      <c r="W278" s="26" t="str">
        <f>+IFERROR(VLOOKUP(A278,'ID6&amp;7'!A:I,9,FALSE),"-")</f>
        <v>-</v>
      </c>
      <c r="X278" s="26" t="str">
        <f>+IFERROR(VLOOKUP(A278,'ID6&amp;7'!A:J,10,FALSE),"-")</f>
        <v>-</v>
      </c>
      <c r="Y278" s="26"/>
      <c r="Z278" s="27" t="str">
        <f t="shared" si="5"/>
        <v>Por iniciar</v>
      </c>
      <c r="AA278" s="65"/>
    </row>
    <row r="279" spans="1:27">
      <c r="A279" s="20"/>
      <c r="B279" s="60"/>
      <c r="C279" s="60"/>
      <c r="D279" s="60"/>
      <c r="E279" s="60"/>
      <c r="F279" s="60"/>
      <c r="G279" s="60"/>
      <c r="H279" s="65" t="s">
        <v>117</v>
      </c>
      <c r="I279" s="21" t="s">
        <v>1329</v>
      </c>
      <c r="J279" s="26">
        <f>+COUNTIF('ID1&amp;5'!G:G,'1. Status'!I279)</f>
        <v>0</v>
      </c>
      <c r="K279" s="79" t="str">
        <f>+IFERROR(VLOOKUP(CONCATENATE(A279,$B$10,B279),'ID1&amp;5'!B:J,8,FALSE),"-")</f>
        <v>-</v>
      </c>
      <c r="L279" s="78" t="str">
        <f>+IFERROR(VLOOKUP(B279,'ID1&amp;5'!K:L,2,FALSE),"-")</f>
        <v>-</v>
      </c>
      <c r="M279" s="79" t="str">
        <f>+IFERROR(VLOOKUP(CONCATENATE(A279,$B$10,B279),'ID1&amp;5'!B:J,9,FALSE),"-")</f>
        <v>-</v>
      </c>
      <c r="N279" s="79" t="str">
        <f>+IFERROR(VLOOKUP(CONCATENATE(A279,$C$10,C279),'ID1&amp;5'!B:J,8,FALSE),"-")</f>
        <v>-</v>
      </c>
      <c r="O279" s="78" t="str">
        <f>+IFERROR(VLOOKUP(C279,'ID1&amp;5'!K:L,2,FALSE),"-")</f>
        <v>-</v>
      </c>
      <c r="P279" s="79" t="str">
        <f>+IFERROR(VLOOKUP(CONCATENATE(A279,$C$10,C279),'ID1&amp;5'!B:J,9,FALSE),"-")</f>
        <v>-</v>
      </c>
      <c r="Q279" s="78" t="str">
        <f>+IFERROR(VLOOKUP(D279,'ID1&amp;5'!K:L,2,FALSE),"-")</f>
        <v>-</v>
      </c>
      <c r="R279" s="26" t="str">
        <f>+IFERROR(VLOOKUP(CONCATENATE(A279,$D$10,D279),'ID1&amp;5'!B:J,9,FALSE),"-")</f>
        <v>-</v>
      </c>
      <c r="S279" s="78" t="str">
        <f>+IFERROR(VLOOKUP(E279,'ID1&amp;5'!K:L,2,FALSE),"-")</f>
        <v>-</v>
      </c>
      <c r="T279" s="79" t="str">
        <f>+IFERROR(VLOOKUP(CONCATENATE(A279,$E$10,E279),'ID1&amp;5'!B:J,9,FALSE),"-")</f>
        <v>-</v>
      </c>
      <c r="U279" s="78" t="str">
        <f>+IFERROR(VLOOKUP(F279,'ID1&amp;5'!K:L,2,FALSE),"-")</f>
        <v>-</v>
      </c>
      <c r="V279" s="79" t="str">
        <f>+IFERROR(VLOOKUP(CONCATENATE(A279,$F$10,F279),'ID1&amp;5'!B:J,9,FALSE),"-")</f>
        <v>-</v>
      </c>
      <c r="W279" s="26" t="str">
        <f>+IFERROR(VLOOKUP(A279,'ID6&amp;7'!A:I,9,FALSE),"-")</f>
        <v>-</v>
      </c>
      <c r="X279" s="26" t="str">
        <f>+IFERROR(VLOOKUP(A279,'ID6&amp;7'!A:J,10,FALSE),"-")</f>
        <v>-</v>
      </c>
      <c r="Y279" s="26"/>
      <c r="Z279" s="27" t="str">
        <f t="shared" si="5"/>
        <v>Por iniciar</v>
      </c>
      <c r="AA279" s="65"/>
    </row>
    <row r="280" spans="1:27">
      <c r="A280" s="20"/>
      <c r="B280" s="60"/>
      <c r="C280" s="60"/>
      <c r="D280" s="60"/>
      <c r="E280" s="60"/>
      <c r="F280" s="60"/>
      <c r="G280" s="60"/>
      <c r="H280" s="65" t="s">
        <v>117</v>
      </c>
      <c r="I280" s="21" t="s">
        <v>1330</v>
      </c>
      <c r="J280" s="26">
        <f>+COUNTIF('ID1&amp;5'!G:G,'1. Status'!I280)</f>
        <v>0</v>
      </c>
      <c r="K280" s="79" t="str">
        <f>+IFERROR(VLOOKUP(CONCATENATE(A280,$B$10,B280),'ID1&amp;5'!B:J,8,FALSE),"-")</f>
        <v>-</v>
      </c>
      <c r="L280" s="78" t="str">
        <f>+IFERROR(VLOOKUP(B280,'ID1&amp;5'!K:L,2,FALSE),"-")</f>
        <v>-</v>
      </c>
      <c r="M280" s="79" t="str">
        <f>+IFERROR(VLOOKUP(CONCATENATE(A280,$B$10,B280),'ID1&amp;5'!B:J,9,FALSE),"-")</f>
        <v>-</v>
      </c>
      <c r="N280" s="79" t="str">
        <f>+IFERROR(VLOOKUP(CONCATENATE(A280,$C$10,C280),'ID1&amp;5'!B:J,8,FALSE),"-")</f>
        <v>-</v>
      </c>
      <c r="O280" s="78" t="str">
        <f>+IFERROR(VLOOKUP(C280,'ID1&amp;5'!K:L,2,FALSE),"-")</f>
        <v>-</v>
      </c>
      <c r="P280" s="79" t="str">
        <f>+IFERROR(VLOOKUP(CONCATENATE(A280,$C$10,C280),'ID1&amp;5'!B:J,9,FALSE),"-")</f>
        <v>-</v>
      </c>
      <c r="Q280" s="78" t="str">
        <f>+IFERROR(VLOOKUP(D280,'ID1&amp;5'!K:L,2,FALSE),"-")</f>
        <v>-</v>
      </c>
      <c r="R280" s="26" t="str">
        <f>+IFERROR(VLOOKUP(CONCATENATE(A280,$D$10,D280),'ID1&amp;5'!B:J,9,FALSE),"-")</f>
        <v>-</v>
      </c>
      <c r="S280" s="78" t="str">
        <f>+IFERROR(VLOOKUP(E280,'ID1&amp;5'!K:L,2,FALSE),"-")</f>
        <v>-</v>
      </c>
      <c r="T280" s="79" t="str">
        <f>+IFERROR(VLOOKUP(CONCATENATE(A280,$E$10,E280),'ID1&amp;5'!B:J,9,FALSE),"-")</f>
        <v>-</v>
      </c>
      <c r="U280" s="78" t="str">
        <f>+IFERROR(VLOOKUP(F280,'ID1&amp;5'!K:L,2,FALSE),"-")</f>
        <v>-</v>
      </c>
      <c r="V280" s="79" t="str">
        <f>+IFERROR(VLOOKUP(CONCATENATE(A280,$F$10,F280),'ID1&amp;5'!B:J,9,FALSE),"-")</f>
        <v>-</v>
      </c>
      <c r="W280" s="26" t="str">
        <f>+IFERROR(VLOOKUP(A280,'ID6&amp;7'!A:I,9,FALSE),"-")</f>
        <v>-</v>
      </c>
      <c r="X280" s="26" t="str">
        <f>+IFERROR(VLOOKUP(A280,'ID6&amp;7'!A:J,10,FALSE),"-")</f>
        <v>-</v>
      </c>
      <c r="Y280" s="26"/>
      <c r="Z280" s="27" t="str">
        <f t="shared" si="5"/>
        <v>Por iniciar</v>
      </c>
      <c r="AA280" s="65"/>
    </row>
    <row r="281" spans="1:27">
      <c r="A281" s="20"/>
      <c r="B281" s="60"/>
      <c r="C281" s="60"/>
      <c r="D281" s="60"/>
      <c r="E281" s="60"/>
      <c r="F281" s="60"/>
      <c r="G281" s="60"/>
      <c r="H281" s="65" t="s">
        <v>117</v>
      </c>
      <c r="I281" s="21" t="s">
        <v>1331</v>
      </c>
      <c r="J281" s="26">
        <f>+COUNTIF('ID1&amp;5'!G:G,'1. Status'!I281)</f>
        <v>0</v>
      </c>
      <c r="K281" s="79" t="str">
        <f>+IFERROR(VLOOKUP(CONCATENATE(A281,$B$10,B281),'ID1&amp;5'!B:J,8,FALSE),"-")</f>
        <v>-</v>
      </c>
      <c r="L281" s="78" t="str">
        <f>+IFERROR(VLOOKUP(B281,'ID1&amp;5'!K:L,2,FALSE),"-")</f>
        <v>-</v>
      </c>
      <c r="M281" s="79" t="str">
        <f>+IFERROR(VLOOKUP(CONCATENATE(A281,$B$10,B281),'ID1&amp;5'!B:J,9,FALSE),"-")</f>
        <v>-</v>
      </c>
      <c r="N281" s="79" t="str">
        <f>+IFERROR(VLOOKUP(CONCATENATE(A281,$C$10,C281),'ID1&amp;5'!B:J,8,FALSE),"-")</f>
        <v>-</v>
      </c>
      <c r="O281" s="78" t="str">
        <f>+IFERROR(VLOOKUP(C281,'ID1&amp;5'!K:L,2,FALSE),"-")</f>
        <v>-</v>
      </c>
      <c r="P281" s="79" t="str">
        <f>+IFERROR(VLOOKUP(CONCATENATE(A281,$C$10,C281),'ID1&amp;5'!B:J,9,FALSE),"-")</f>
        <v>-</v>
      </c>
      <c r="Q281" s="78" t="str">
        <f>+IFERROR(VLOOKUP(D281,'ID1&amp;5'!K:L,2,FALSE),"-")</f>
        <v>-</v>
      </c>
      <c r="R281" s="26" t="str">
        <f>+IFERROR(VLOOKUP(CONCATENATE(A281,$D$10,D281),'ID1&amp;5'!B:J,9,FALSE),"-")</f>
        <v>-</v>
      </c>
      <c r="S281" s="78" t="str">
        <f>+IFERROR(VLOOKUP(E281,'ID1&amp;5'!K:L,2,FALSE),"-")</f>
        <v>-</v>
      </c>
      <c r="T281" s="79" t="str">
        <f>+IFERROR(VLOOKUP(CONCATENATE(A281,$E$10,E281),'ID1&amp;5'!B:J,9,FALSE),"-")</f>
        <v>-</v>
      </c>
      <c r="U281" s="78" t="str">
        <f>+IFERROR(VLOOKUP(F281,'ID1&amp;5'!K:L,2,FALSE),"-")</f>
        <v>-</v>
      </c>
      <c r="V281" s="79" t="str">
        <f>+IFERROR(VLOOKUP(CONCATENATE(A281,$F$10,F281),'ID1&amp;5'!B:J,9,FALSE),"-")</f>
        <v>-</v>
      </c>
      <c r="W281" s="26" t="str">
        <f>+IFERROR(VLOOKUP(A281,'ID6&amp;7'!A:I,9,FALSE),"-")</f>
        <v>-</v>
      </c>
      <c r="X281" s="26" t="str">
        <f>+IFERROR(VLOOKUP(A281,'ID6&amp;7'!A:J,10,FALSE),"-")</f>
        <v>-</v>
      </c>
      <c r="Y281" s="26"/>
      <c r="Z281" s="27" t="str">
        <f t="shared" si="5"/>
        <v>Por iniciar</v>
      </c>
      <c r="AA281" s="65"/>
    </row>
    <row r="282" spans="1:27">
      <c r="A282" s="20"/>
      <c r="B282" s="60"/>
      <c r="C282" s="60"/>
      <c r="D282" s="60"/>
      <c r="E282" s="60"/>
      <c r="F282" s="60"/>
      <c r="G282" s="60"/>
      <c r="H282" s="65" t="s">
        <v>117</v>
      </c>
      <c r="I282" s="21" t="s">
        <v>660</v>
      </c>
      <c r="J282" s="26">
        <f>+COUNTIF('ID1&amp;5'!G:G,'1. Status'!I282)</f>
        <v>0</v>
      </c>
      <c r="K282" s="79" t="str">
        <f>+IFERROR(VLOOKUP(CONCATENATE(A282,$B$10,B282),'ID1&amp;5'!B:J,8,FALSE),"-")</f>
        <v>-</v>
      </c>
      <c r="L282" s="78" t="str">
        <f>+IFERROR(VLOOKUP(B282,'ID1&amp;5'!K:L,2,FALSE),"-")</f>
        <v>-</v>
      </c>
      <c r="M282" s="79" t="str">
        <f>+IFERROR(VLOOKUP(CONCATENATE(A282,$B$10,B282),'ID1&amp;5'!B:J,9,FALSE),"-")</f>
        <v>-</v>
      </c>
      <c r="N282" s="79" t="str">
        <f>+IFERROR(VLOOKUP(CONCATENATE(A282,$C$10,C282),'ID1&amp;5'!B:J,8,FALSE),"-")</f>
        <v>-</v>
      </c>
      <c r="O282" s="78" t="str">
        <f>+IFERROR(VLOOKUP(C282,'ID1&amp;5'!K:L,2,FALSE),"-")</f>
        <v>-</v>
      </c>
      <c r="P282" s="79" t="str">
        <f>+IFERROR(VLOOKUP(CONCATENATE(A282,$C$10,C282),'ID1&amp;5'!B:J,9,FALSE),"-")</f>
        <v>-</v>
      </c>
      <c r="Q282" s="78" t="str">
        <f>+IFERROR(VLOOKUP(D282,'ID1&amp;5'!K:L,2,FALSE),"-")</f>
        <v>-</v>
      </c>
      <c r="R282" s="26" t="str">
        <f>+IFERROR(VLOOKUP(CONCATENATE(A282,$D$10,D282),'ID1&amp;5'!B:J,9,FALSE),"-")</f>
        <v>-</v>
      </c>
      <c r="S282" s="78" t="str">
        <f>+IFERROR(VLOOKUP(E282,'ID1&amp;5'!K:L,2,FALSE),"-")</f>
        <v>-</v>
      </c>
      <c r="T282" s="79" t="str">
        <f>+IFERROR(VLOOKUP(CONCATENATE(A282,$E$10,E282),'ID1&amp;5'!B:J,9,FALSE),"-")</f>
        <v>-</v>
      </c>
      <c r="U282" s="78" t="str">
        <f>+IFERROR(VLOOKUP(F282,'ID1&amp;5'!K:L,2,FALSE),"-")</f>
        <v>-</v>
      </c>
      <c r="V282" s="79" t="str">
        <f>+IFERROR(VLOOKUP(CONCATENATE(A282,$F$10,F282),'ID1&amp;5'!B:J,9,FALSE),"-")</f>
        <v>-</v>
      </c>
      <c r="W282" s="26" t="str">
        <f>+IFERROR(VLOOKUP(A282,'ID6&amp;7'!A:I,9,FALSE),"-")</f>
        <v>-</v>
      </c>
      <c r="X282" s="26" t="str">
        <f>+IFERROR(VLOOKUP(A282,'ID6&amp;7'!A:J,10,FALSE),"-")</f>
        <v>-</v>
      </c>
      <c r="Y282" s="26"/>
      <c r="Z282" s="27" t="str">
        <f t="shared" si="5"/>
        <v>Por iniciar</v>
      </c>
      <c r="AA282" s="65"/>
    </row>
    <row r="283" spans="1:27">
      <c r="A283" s="20"/>
      <c r="B283" s="60"/>
      <c r="C283" s="60"/>
      <c r="D283" s="60"/>
      <c r="E283" s="60"/>
      <c r="F283" s="60"/>
      <c r="G283" s="60"/>
      <c r="H283" s="65" t="s">
        <v>117</v>
      </c>
      <c r="I283" s="21" t="s">
        <v>1332</v>
      </c>
      <c r="J283" s="26">
        <f>+COUNTIF('ID1&amp;5'!G:G,'1. Status'!I283)</f>
        <v>0</v>
      </c>
      <c r="K283" s="79" t="str">
        <f>+IFERROR(VLOOKUP(CONCATENATE(A283,$B$10,B283),'ID1&amp;5'!B:J,8,FALSE),"-")</f>
        <v>-</v>
      </c>
      <c r="L283" s="78" t="str">
        <f>+IFERROR(VLOOKUP(B283,'ID1&amp;5'!K:L,2,FALSE),"-")</f>
        <v>-</v>
      </c>
      <c r="M283" s="79" t="str">
        <f>+IFERROR(VLOOKUP(CONCATENATE(A283,$B$10,B283),'ID1&amp;5'!B:J,9,FALSE),"-")</f>
        <v>-</v>
      </c>
      <c r="N283" s="79" t="str">
        <f>+IFERROR(VLOOKUP(CONCATENATE(A283,$C$10,C283),'ID1&amp;5'!B:J,8,FALSE),"-")</f>
        <v>-</v>
      </c>
      <c r="O283" s="78" t="str">
        <f>+IFERROR(VLOOKUP(C283,'ID1&amp;5'!K:L,2,FALSE),"-")</f>
        <v>-</v>
      </c>
      <c r="P283" s="79" t="str">
        <f>+IFERROR(VLOOKUP(CONCATENATE(A283,$C$10,C283),'ID1&amp;5'!B:J,9,FALSE),"-")</f>
        <v>-</v>
      </c>
      <c r="Q283" s="78" t="str">
        <f>+IFERROR(VLOOKUP(D283,'ID1&amp;5'!K:L,2,FALSE),"-")</f>
        <v>-</v>
      </c>
      <c r="R283" s="26" t="str">
        <f>+IFERROR(VLOOKUP(CONCATENATE(A283,$D$10,D283),'ID1&amp;5'!B:J,9,FALSE),"-")</f>
        <v>-</v>
      </c>
      <c r="S283" s="78" t="str">
        <f>+IFERROR(VLOOKUP(E283,'ID1&amp;5'!K:L,2,FALSE),"-")</f>
        <v>-</v>
      </c>
      <c r="T283" s="79" t="str">
        <f>+IFERROR(VLOOKUP(CONCATENATE(A283,$E$10,E283),'ID1&amp;5'!B:J,9,FALSE),"-")</f>
        <v>-</v>
      </c>
      <c r="U283" s="78" t="str">
        <f>+IFERROR(VLOOKUP(F283,'ID1&amp;5'!K:L,2,FALSE),"-")</f>
        <v>-</v>
      </c>
      <c r="V283" s="79" t="str">
        <f>+IFERROR(VLOOKUP(CONCATENATE(A283,$F$10,F283),'ID1&amp;5'!B:J,9,FALSE),"-")</f>
        <v>-</v>
      </c>
      <c r="W283" s="26" t="str">
        <f>+IFERROR(VLOOKUP(A283,'ID6&amp;7'!A:I,9,FALSE),"-")</f>
        <v>-</v>
      </c>
      <c r="X283" s="26" t="str">
        <f>+IFERROR(VLOOKUP(A283,'ID6&amp;7'!A:J,10,FALSE),"-")</f>
        <v>-</v>
      </c>
      <c r="Y283" s="26"/>
      <c r="Z283" s="27" t="str">
        <f t="shared" si="5"/>
        <v>Por iniciar</v>
      </c>
      <c r="AA283" s="65"/>
    </row>
    <row r="284" spans="1:27">
      <c r="A284" s="20"/>
      <c r="B284" s="60"/>
      <c r="C284" s="60"/>
      <c r="D284" s="60"/>
      <c r="E284" s="60"/>
      <c r="F284" s="60"/>
      <c r="G284" s="60"/>
      <c r="H284" s="65" t="s">
        <v>117</v>
      </c>
      <c r="I284" s="21" t="s">
        <v>1333</v>
      </c>
      <c r="J284" s="26">
        <f>+COUNTIF('ID1&amp;5'!G:G,'1. Status'!I284)</f>
        <v>0</v>
      </c>
      <c r="K284" s="79" t="str">
        <f>+IFERROR(VLOOKUP(CONCATENATE(A284,$B$10,B284),'ID1&amp;5'!B:J,8,FALSE),"-")</f>
        <v>-</v>
      </c>
      <c r="L284" s="78" t="str">
        <f>+IFERROR(VLOOKUP(B284,'ID1&amp;5'!K:L,2,FALSE),"-")</f>
        <v>-</v>
      </c>
      <c r="M284" s="79" t="str">
        <f>+IFERROR(VLOOKUP(CONCATENATE(A284,$B$10,B284),'ID1&amp;5'!B:J,9,FALSE),"-")</f>
        <v>-</v>
      </c>
      <c r="N284" s="79" t="str">
        <f>+IFERROR(VLOOKUP(CONCATENATE(A284,$C$10,C284),'ID1&amp;5'!B:J,8,FALSE),"-")</f>
        <v>-</v>
      </c>
      <c r="O284" s="78" t="str">
        <f>+IFERROR(VLOOKUP(C284,'ID1&amp;5'!K:L,2,FALSE),"-")</f>
        <v>-</v>
      </c>
      <c r="P284" s="79" t="str">
        <f>+IFERROR(VLOOKUP(CONCATENATE(A284,$C$10,C284),'ID1&amp;5'!B:J,9,FALSE),"-")</f>
        <v>-</v>
      </c>
      <c r="Q284" s="78" t="str">
        <f>+IFERROR(VLOOKUP(D284,'ID1&amp;5'!K:L,2,FALSE),"-")</f>
        <v>-</v>
      </c>
      <c r="R284" s="26" t="str">
        <f>+IFERROR(VLOOKUP(CONCATENATE(A284,$D$10,D284),'ID1&amp;5'!B:J,9,FALSE),"-")</f>
        <v>-</v>
      </c>
      <c r="S284" s="78" t="str">
        <f>+IFERROR(VLOOKUP(E284,'ID1&amp;5'!K:L,2,FALSE),"-")</f>
        <v>-</v>
      </c>
      <c r="T284" s="79" t="str">
        <f>+IFERROR(VLOOKUP(CONCATENATE(A284,$E$10,E284),'ID1&amp;5'!B:J,9,FALSE),"-")</f>
        <v>-</v>
      </c>
      <c r="U284" s="78" t="str">
        <f>+IFERROR(VLOOKUP(F284,'ID1&amp;5'!K:L,2,FALSE),"-")</f>
        <v>-</v>
      </c>
      <c r="V284" s="79" t="str">
        <f>+IFERROR(VLOOKUP(CONCATENATE(A284,$F$10,F284),'ID1&amp;5'!B:J,9,FALSE),"-")</f>
        <v>-</v>
      </c>
      <c r="W284" s="26" t="str">
        <f>+IFERROR(VLOOKUP(A284,'ID6&amp;7'!A:I,9,FALSE),"-")</f>
        <v>-</v>
      </c>
      <c r="X284" s="26" t="str">
        <f>+IFERROR(VLOOKUP(A284,'ID6&amp;7'!A:J,10,FALSE),"-")</f>
        <v>-</v>
      </c>
      <c r="Y284" s="26"/>
      <c r="Z284" s="27" t="str">
        <f t="shared" si="5"/>
        <v>Por iniciar</v>
      </c>
      <c r="AA284" s="65"/>
    </row>
    <row r="285" spans="1:27">
      <c r="A285" s="20"/>
      <c r="B285" s="60"/>
      <c r="C285" s="60"/>
      <c r="D285" s="60"/>
      <c r="E285" s="60"/>
      <c r="F285" s="60"/>
      <c r="G285" s="60"/>
      <c r="H285" s="65" t="s">
        <v>117</v>
      </c>
      <c r="I285" s="21" t="s">
        <v>1334</v>
      </c>
      <c r="J285" s="26">
        <f>+COUNTIF('ID1&amp;5'!G:G,'1. Status'!I285)</f>
        <v>0</v>
      </c>
      <c r="K285" s="79" t="str">
        <f>+IFERROR(VLOOKUP(CONCATENATE(A285,$B$10,B285),'ID1&amp;5'!B:J,8,FALSE),"-")</f>
        <v>-</v>
      </c>
      <c r="L285" s="78" t="str">
        <f>+IFERROR(VLOOKUP(B285,'ID1&amp;5'!K:L,2,FALSE),"-")</f>
        <v>-</v>
      </c>
      <c r="M285" s="79" t="str">
        <f>+IFERROR(VLOOKUP(CONCATENATE(A285,$B$10,B285),'ID1&amp;5'!B:J,9,FALSE),"-")</f>
        <v>-</v>
      </c>
      <c r="N285" s="79" t="str">
        <f>+IFERROR(VLOOKUP(CONCATENATE(A285,$C$10,C285),'ID1&amp;5'!B:J,8,FALSE),"-")</f>
        <v>-</v>
      </c>
      <c r="O285" s="78" t="str">
        <f>+IFERROR(VLOOKUP(C285,'ID1&amp;5'!K:L,2,FALSE),"-")</f>
        <v>-</v>
      </c>
      <c r="P285" s="79" t="str">
        <f>+IFERROR(VLOOKUP(CONCATENATE(A285,$C$10,C285),'ID1&amp;5'!B:J,9,FALSE),"-")</f>
        <v>-</v>
      </c>
      <c r="Q285" s="78" t="str">
        <f>+IFERROR(VLOOKUP(D285,'ID1&amp;5'!K:L,2,FALSE),"-")</f>
        <v>-</v>
      </c>
      <c r="R285" s="26" t="str">
        <f>+IFERROR(VLOOKUP(CONCATENATE(A285,$D$10,D285),'ID1&amp;5'!B:J,9,FALSE),"-")</f>
        <v>-</v>
      </c>
      <c r="S285" s="78" t="str">
        <f>+IFERROR(VLOOKUP(E285,'ID1&amp;5'!K:L,2,FALSE),"-")</f>
        <v>-</v>
      </c>
      <c r="T285" s="79" t="str">
        <f>+IFERROR(VLOOKUP(CONCATENATE(A285,$E$10,E285),'ID1&amp;5'!B:J,9,FALSE),"-")</f>
        <v>-</v>
      </c>
      <c r="U285" s="78" t="str">
        <f>+IFERROR(VLOOKUP(F285,'ID1&amp;5'!K:L,2,FALSE),"-")</f>
        <v>-</v>
      </c>
      <c r="V285" s="79" t="str">
        <f>+IFERROR(VLOOKUP(CONCATENATE(A285,$F$10,F285),'ID1&amp;5'!B:J,9,FALSE),"-")</f>
        <v>-</v>
      </c>
      <c r="W285" s="26" t="str">
        <f>+IFERROR(VLOOKUP(A285,'ID6&amp;7'!A:I,9,FALSE),"-")</f>
        <v>-</v>
      </c>
      <c r="X285" s="26" t="str">
        <f>+IFERROR(VLOOKUP(A285,'ID6&amp;7'!A:J,10,FALSE),"-")</f>
        <v>-</v>
      </c>
      <c r="Y285" s="26"/>
      <c r="Z285" s="27" t="str">
        <f t="shared" si="5"/>
        <v>Por iniciar</v>
      </c>
      <c r="AA285" s="65"/>
    </row>
    <row r="286" spans="1:27">
      <c r="A286" s="20"/>
      <c r="B286" s="60"/>
      <c r="C286" s="60"/>
      <c r="D286" s="60"/>
      <c r="E286" s="60"/>
      <c r="F286" s="60"/>
      <c r="G286" s="60"/>
      <c r="H286" s="65" t="s">
        <v>117</v>
      </c>
      <c r="I286" s="21" t="s">
        <v>1335</v>
      </c>
      <c r="J286" s="26">
        <f>+COUNTIF('ID1&amp;5'!G:G,'1. Status'!I286)</f>
        <v>0</v>
      </c>
      <c r="K286" s="79" t="str">
        <f>+IFERROR(VLOOKUP(CONCATENATE(A286,$B$10,B286),'ID1&amp;5'!B:J,8,FALSE),"-")</f>
        <v>-</v>
      </c>
      <c r="L286" s="78" t="str">
        <f>+IFERROR(VLOOKUP(B286,'ID1&amp;5'!K:L,2,FALSE),"-")</f>
        <v>-</v>
      </c>
      <c r="M286" s="79" t="str">
        <f>+IFERROR(VLOOKUP(CONCATENATE(A286,$B$10,B286),'ID1&amp;5'!B:J,9,FALSE),"-")</f>
        <v>-</v>
      </c>
      <c r="N286" s="79" t="str">
        <f>+IFERROR(VLOOKUP(CONCATENATE(A286,$C$10,C286),'ID1&amp;5'!B:J,8,FALSE),"-")</f>
        <v>-</v>
      </c>
      <c r="O286" s="78" t="str">
        <f>+IFERROR(VLOOKUP(C286,'ID1&amp;5'!K:L,2,FALSE),"-")</f>
        <v>-</v>
      </c>
      <c r="P286" s="79" t="str">
        <f>+IFERROR(VLOOKUP(CONCATENATE(A286,$C$10,C286),'ID1&amp;5'!B:J,9,FALSE),"-")</f>
        <v>-</v>
      </c>
      <c r="Q286" s="78" t="str">
        <f>+IFERROR(VLOOKUP(D286,'ID1&amp;5'!K:L,2,FALSE),"-")</f>
        <v>-</v>
      </c>
      <c r="R286" s="26" t="str">
        <f>+IFERROR(VLOOKUP(CONCATENATE(A286,$D$10,D286),'ID1&amp;5'!B:J,9,FALSE),"-")</f>
        <v>-</v>
      </c>
      <c r="S286" s="78" t="str">
        <f>+IFERROR(VLOOKUP(E286,'ID1&amp;5'!K:L,2,FALSE),"-")</f>
        <v>-</v>
      </c>
      <c r="T286" s="79" t="str">
        <f>+IFERROR(VLOOKUP(CONCATENATE(A286,$E$10,E286),'ID1&amp;5'!B:J,9,FALSE),"-")</f>
        <v>-</v>
      </c>
      <c r="U286" s="78" t="str">
        <f>+IFERROR(VLOOKUP(F286,'ID1&amp;5'!K:L,2,FALSE),"-")</f>
        <v>-</v>
      </c>
      <c r="V286" s="79" t="str">
        <f>+IFERROR(VLOOKUP(CONCATENATE(A286,$F$10,F286),'ID1&amp;5'!B:J,9,FALSE),"-")</f>
        <v>-</v>
      </c>
      <c r="W286" s="26" t="str">
        <f>+IFERROR(VLOOKUP(A286,'ID6&amp;7'!A:I,9,FALSE),"-")</f>
        <v>-</v>
      </c>
      <c r="X286" s="26" t="str">
        <f>+IFERROR(VLOOKUP(A286,'ID6&amp;7'!A:J,10,FALSE),"-")</f>
        <v>-</v>
      </c>
      <c r="Y286" s="26"/>
      <c r="Z286" s="27" t="str">
        <f t="shared" si="5"/>
        <v>Por iniciar</v>
      </c>
      <c r="AA286" s="65"/>
    </row>
    <row r="287" spans="1:27">
      <c r="A287" s="20"/>
      <c r="B287" s="60"/>
      <c r="C287" s="60"/>
      <c r="D287" s="60"/>
      <c r="E287" s="60"/>
      <c r="F287" s="60"/>
      <c r="G287" s="60"/>
      <c r="H287" s="65" t="s">
        <v>117</v>
      </c>
      <c r="I287" s="21" t="s">
        <v>1336</v>
      </c>
      <c r="J287" s="26">
        <f>+COUNTIF('ID1&amp;5'!G:G,'1. Status'!I287)</f>
        <v>0</v>
      </c>
      <c r="K287" s="79" t="str">
        <f>+IFERROR(VLOOKUP(CONCATENATE(A287,$B$10,B287),'ID1&amp;5'!B:J,8,FALSE),"-")</f>
        <v>-</v>
      </c>
      <c r="L287" s="78" t="str">
        <f>+IFERROR(VLOOKUP(B287,'ID1&amp;5'!K:L,2,FALSE),"-")</f>
        <v>-</v>
      </c>
      <c r="M287" s="79" t="str">
        <f>+IFERROR(VLOOKUP(CONCATENATE(A287,$B$10,B287),'ID1&amp;5'!B:J,9,FALSE),"-")</f>
        <v>-</v>
      </c>
      <c r="N287" s="79" t="str">
        <f>+IFERROR(VLOOKUP(CONCATENATE(A287,$C$10,C287),'ID1&amp;5'!B:J,8,FALSE),"-")</f>
        <v>-</v>
      </c>
      <c r="O287" s="78" t="str">
        <f>+IFERROR(VLOOKUP(C287,'ID1&amp;5'!K:L,2,FALSE),"-")</f>
        <v>-</v>
      </c>
      <c r="P287" s="79" t="str">
        <f>+IFERROR(VLOOKUP(CONCATENATE(A287,$C$10,C287),'ID1&amp;5'!B:J,9,FALSE),"-")</f>
        <v>-</v>
      </c>
      <c r="Q287" s="78" t="str">
        <f>+IFERROR(VLOOKUP(D287,'ID1&amp;5'!K:L,2,FALSE),"-")</f>
        <v>-</v>
      </c>
      <c r="R287" s="26" t="str">
        <f>+IFERROR(VLOOKUP(CONCATENATE(A287,$D$10,D287),'ID1&amp;5'!B:J,9,FALSE),"-")</f>
        <v>-</v>
      </c>
      <c r="S287" s="78" t="str">
        <f>+IFERROR(VLOOKUP(E287,'ID1&amp;5'!K:L,2,FALSE),"-")</f>
        <v>-</v>
      </c>
      <c r="T287" s="79" t="str">
        <f>+IFERROR(VLOOKUP(CONCATENATE(A287,$E$10,E287),'ID1&amp;5'!B:J,9,FALSE),"-")</f>
        <v>-</v>
      </c>
      <c r="U287" s="78" t="str">
        <f>+IFERROR(VLOOKUP(F287,'ID1&amp;5'!K:L,2,FALSE),"-")</f>
        <v>-</v>
      </c>
      <c r="V287" s="79" t="str">
        <f>+IFERROR(VLOOKUP(CONCATENATE(A287,$F$10,F287),'ID1&amp;5'!B:J,9,FALSE),"-")</f>
        <v>-</v>
      </c>
      <c r="W287" s="26" t="str">
        <f>+IFERROR(VLOOKUP(A287,'ID6&amp;7'!A:I,9,FALSE),"-")</f>
        <v>-</v>
      </c>
      <c r="X287" s="26" t="str">
        <f>+IFERROR(VLOOKUP(A287,'ID6&amp;7'!A:J,10,FALSE),"-")</f>
        <v>-</v>
      </c>
      <c r="Y287" s="26"/>
      <c r="Z287" s="27" t="str">
        <f t="shared" si="5"/>
        <v>Por iniciar</v>
      </c>
      <c r="AA287" s="65"/>
    </row>
    <row r="288" spans="1:27">
      <c r="A288" s="20"/>
      <c r="B288" s="60"/>
      <c r="C288" s="60"/>
      <c r="D288" s="60"/>
      <c r="E288" s="60"/>
      <c r="F288" s="60"/>
      <c r="G288" s="60"/>
      <c r="H288" s="65" t="s">
        <v>117</v>
      </c>
      <c r="I288" s="21" t="s">
        <v>1337</v>
      </c>
      <c r="J288" s="26">
        <f>+COUNTIF('ID1&amp;5'!G:G,'1. Status'!I288)</f>
        <v>0</v>
      </c>
      <c r="K288" s="79" t="str">
        <f>+IFERROR(VLOOKUP(CONCATENATE(A288,$B$10,B288),'ID1&amp;5'!B:J,8,FALSE),"-")</f>
        <v>-</v>
      </c>
      <c r="L288" s="78" t="str">
        <f>+IFERROR(VLOOKUP(B288,'ID1&amp;5'!K:L,2,FALSE),"-")</f>
        <v>-</v>
      </c>
      <c r="M288" s="79" t="str">
        <f>+IFERROR(VLOOKUP(CONCATENATE(A288,$B$10,B288),'ID1&amp;5'!B:J,9,FALSE),"-")</f>
        <v>-</v>
      </c>
      <c r="N288" s="79" t="str">
        <f>+IFERROR(VLOOKUP(CONCATENATE(A288,$C$10,C288),'ID1&amp;5'!B:J,8,FALSE),"-")</f>
        <v>-</v>
      </c>
      <c r="O288" s="78" t="str">
        <f>+IFERROR(VLOOKUP(C288,'ID1&amp;5'!K:L,2,FALSE),"-")</f>
        <v>-</v>
      </c>
      <c r="P288" s="79" t="str">
        <f>+IFERROR(VLOOKUP(CONCATENATE(A288,$C$10,C288),'ID1&amp;5'!B:J,9,FALSE),"-")</f>
        <v>-</v>
      </c>
      <c r="Q288" s="78" t="str">
        <f>+IFERROR(VLOOKUP(D288,'ID1&amp;5'!K:L,2,FALSE),"-")</f>
        <v>-</v>
      </c>
      <c r="R288" s="26" t="str">
        <f>+IFERROR(VLOOKUP(CONCATENATE(A288,$D$10,D288),'ID1&amp;5'!B:J,9,FALSE),"-")</f>
        <v>-</v>
      </c>
      <c r="S288" s="78" t="str">
        <f>+IFERROR(VLOOKUP(E288,'ID1&amp;5'!K:L,2,FALSE),"-")</f>
        <v>-</v>
      </c>
      <c r="T288" s="79" t="str">
        <f>+IFERROR(VLOOKUP(CONCATENATE(A288,$E$10,E288),'ID1&amp;5'!B:J,9,FALSE),"-")</f>
        <v>-</v>
      </c>
      <c r="U288" s="78" t="str">
        <f>+IFERROR(VLOOKUP(F288,'ID1&amp;5'!K:L,2,FALSE),"-")</f>
        <v>-</v>
      </c>
      <c r="V288" s="79" t="str">
        <f>+IFERROR(VLOOKUP(CONCATENATE(A288,$F$10,F288),'ID1&amp;5'!B:J,9,FALSE),"-")</f>
        <v>-</v>
      </c>
      <c r="W288" s="26" t="str">
        <f>+IFERROR(VLOOKUP(A288,'ID6&amp;7'!A:I,9,FALSE),"-")</f>
        <v>-</v>
      </c>
      <c r="X288" s="26" t="str">
        <f>+IFERROR(VLOOKUP(A288,'ID6&amp;7'!A:J,10,FALSE),"-")</f>
        <v>-</v>
      </c>
      <c r="Y288" s="26"/>
      <c r="Z288" s="27" t="str">
        <f t="shared" si="5"/>
        <v>Por iniciar</v>
      </c>
      <c r="AA288" s="65"/>
    </row>
    <row r="289" spans="1:27">
      <c r="A289" s="20"/>
      <c r="B289" s="60"/>
      <c r="C289" s="60"/>
      <c r="D289" s="60"/>
      <c r="E289" s="60"/>
      <c r="F289" s="60"/>
      <c r="G289" s="60"/>
      <c r="H289" s="65" t="s">
        <v>117</v>
      </c>
      <c r="I289" s="21" t="s">
        <v>1338</v>
      </c>
      <c r="J289" s="26">
        <f>+COUNTIF('ID1&amp;5'!G:G,'1. Status'!I289)</f>
        <v>0</v>
      </c>
      <c r="K289" s="79" t="str">
        <f>+IFERROR(VLOOKUP(CONCATENATE(A289,$B$10,B289),'ID1&amp;5'!B:J,8,FALSE),"-")</f>
        <v>-</v>
      </c>
      <c r="L289" s="78" t="str">
        <f>+IFERROR(VLOOKUP(B289,'ID1&amp;5'!K:L,2,FALSE),"-")</f>
        <v>-</v>
      </c>
      <c r="M289" s="79" t="str">
        <f>+IFERROR(VLOOKUP(CONCATENATE(A289,$B$10,B289),'ID1&amp;5'!B:J,9,FALSE),"-")</f>
        <v>-</v>
      </c>
      <c r="N289" s="79" t="str">
        <f>+IFERROR(VLOOKUP(CONCATENATE(A289,$C$10,C289),'ID1&amp;5'!B:J,8,FALSE),"-")</f>
        <v>-</v>
      </c>
      <c r="O289" s="78" t="str">
        <f>+IFERROR(VLOOKUP(C289,'ID1&amp;5'!K:L,2,FALSE),"-")</f>
        <v>-</v>
      </c>
      <c r="P289" s="79" t="str">
        <f>+IFERROR(VLOOKUP(CONCATENATE(A289,$C$10,C289),'ID1&amp;5'!B:J,9,FALSE),"-")</f>
        <v>-</v>
      </c>
      <c r="Q289" s="78" t="str">
        <f>+IFERROR(VLOOKUP(D289,'ID1&amp;5'!K:L,2,FALSE),"-")</f>
        <v>-</v>
      </c>
      <c r="R289" s="26" t="str">
        <f>+IFERROR(VLOOKUP(CONCATENATE(A289,$D$10,D289),'ID1&amp;5'!B:J,9,FALSE),"-")</f>
        <v>-</v>
      </c>
      <c r="S289" s="78" t="str">
        <f>+IFERROR(VLOOKUP(E289,'ID1&amp;5'!K:L,2,FALSE),"-")</f>
        <v>-</v>
      </c>
      <c r="T289" s="79" t="str">
        <f>+IFERROR(VLOOKUP(CONCATENATE(A289,$E$10,E289),'ID1&amp;5'!B:J,9,FALSE),"-")</f>
        <v>-</v>
      </c>
      <c r="U289" s="78" t="str">
        <f>+IFERROR(VLOOKUP(F289,'ID1&amp;5'!K:L,2,FALSE),"-")</f>
        <v>-</v>
      </c>
      <c r="V289" s="79" t="str">
        <f>+IFERROR(VLOOKUP(CONCATENATE(A289,$F$10,F289),'ID1&amp;5'!B:J,9,FALSE),"-")</f>
        <v>-</v>
      </c>
      <c r="W289" s="26" t="str">
        <f>+IFERROR(VLOOKUP(A289,'ID6&amp;7'!A:I,9,FALSE),"-")</f>
        <v>-</v>
      </c>
      <c r="X289" s="26" t="str">
        <f>+IFERROR(VLOOKUP(A289,'ID6&amp;7'!A:J,10,FALSE),"-")</f>
        <v>-</v>
      </c>
      <c r="Y289" s="26"/>
      <c r="Z289" s="27" t="str">
        <f t="shared" si="5"/>
        <v>Por iniciar</v>
      </c>
      <c r="AA289" s="65"/>
    </row>
    <row r="290" spans="1:27">
      <c r="A290" s="20"/>
      <c r="B290" s="60"/>
      <c r="C290" s="60"/>
      <c r="D290" s="60"/>
      <c r="E290" s="60"/>
      <c r="F290" s="60"/>
      <c r="G290" s="60"/>
      <c r="H290" s="65" t="s">
        <v>117</v>
      </c>
      <c r="I290" s="21" t="s">
        <v>1339</v>
      </c>
      <c r="J290" s="26">
        <f>+COUNTIF('ID1&amp;5'!G:G,'1. Status'!I290)</f>
        <v>0</v>
      </c>
      <c r="K290" s="79" t="str">
        <f>+IFERROR(VLOOKUP(CONCATENATE(A290,$B$10,B290),'ID1&amp;5'!B:J,8,FALSE),"-")</f>
        <v>-</v>
      </c>
      <c r="L290" s="78" t="str">
        <f>+IFERROR(VLOOKUP(B290,'ID1&amp;5'!K:L,2,FALSE),"-")</f>
        <v>-</v>
      </c>
      <c r="M290" s="79" t="str">
        <f>+IFERROR(VLOOKUP(CONCATENATE(A290,$B$10,B290),'ID1&amp;5'!B:J,9,FALSE),"-")</f>
        <v>-</v>
      </c>
      <c r="N290" s="79" t="str">
        <f>+IFERROR(VLOOKUP(CONCATENATE(A290,$C$10,C290),'ID1&amp;5'!B:J,8,FALSE),"-")</f>
        <v>-</v>
      </c>
      <c r="O290" s="78" t="str">
        <f>+IFERROR(VLOOKUP(C290,'ID1&amp;5'!K:L,2,FALSE),"-")</f>
        <v>-</v>
      </c>
      <c r="P290" s="79" t="str">
        <f>+IFERROR(VLOOKUP(CONCATENATE(A290,$C$10,C290),'ID1&amp;5'!B:J,9,FALSE),"-")</f>
        <v>-</v>
      </c>
      <c r="Q290" s="78" t="str">
        <f>+IFERROR(VLOOKUP(D290,'ID1&amp;5'!K:L,2,FALSE),"-")</f>
        <v>-</v>
      </c>
      <c r="R290" s="26" t="str">
        <f>+IFERROR(VLOOKUP(CONCATENATE(A290,$D$10,D290),'ID1&amp;5'!B:J,9,FALSE),"-")</f>
        <v>-</v>
      </c>
      <c r="S290" s="78" t="str">
        <f>+IFERROR(VLOOKUP(E290,'ID1&amp;5'!K:L,2,FALSE),"-")</f>
        <v>-</v>
      </c>
      <c r="T290" s="79" t="str">
        <f>+IFERROR(VLOOKUP(CONCATENATE(A290,$E$10,E290),'ID1&amp;5'!B:J,9,FALSE),"-")</f>
        <v>-</v>
      </c>
      <c r="U290" s="78" t="str">
        <f>+IFERROR(VLOOKUP(F290,'ID1&amp;5'!K:L,2,FALSE),"-")</f>
        <v>-</v>
      </c>
      <c r="V290" s="79" t="str">
        <f>+IFERROR(VLOOKUP(CONCATENATE(A290,$F$10,F290),'ID1&amp;5'!B:J,9,FALSE),"-")</f>
        <v>-</v>
      </c>
      <c r="W290" s="26" t="str">
        <f>+IFERROR(VLOOKUP(A290,'ID6&amp;7'!A:I,9,FALSE),"-")</f>
        <v>-</v>
      </c>
      <c r="X290" s="26" t="str">
        <f>+IFERROR(VLOOKUP(A290,'ID6&amp;7'!A:J,10,FALSE),"-")</f>
        <v>-</v>
      </c>
      <c r="Y290" s="26"/>
      <c r="Z290" s="27" t="str">
        <f t="shared" si="5"/>
        <v>Por iniciar</v>
      </c>
      <c r="AA290" s="65"/>
    </row>
    <row r="291" spans="1:27">
      <c r="A291" s="20"/>
      <c r="B291" s="60"/>
      <c r="C291" s="60"/>
      <c r="D291" s="60"/>
      <c r="E291" s="60"/>
      <c r="F291" s="60"/>
      <c r="G291" s="60"/>
      <c r="H291" s="65" t="s">
        <v>117</v>
      </c>
      <c r="I291" s="21" t="s">
        <v>1340</v>
      </c>
      <c r="J291" s="26">
        <f>+COUNTIF('ID1&amp;5'!G:G,'1. Status'!I291)</f>
        <v>0</v>
      </c>
      <c r="K291" s="79" t="str">
        <f>+IFERROR(VLOOKUP(CONCATENATE(A291,$B$10,B291),'ID1&amp;5'!B:J,8,FALSE),"-")</f>
        <v>-</v>
      </c>
      <c r="L291" s="78" t="str">
        <f>+IFERROR(VLOOKUP(B291,'ID1&amp;5'!K:L,2,FALSE),"-")</f>
        <v>-</v>
      </c>
      <c r="M291" s="79" t="str">
        <f>+IFERROR(VLOOKUP(CONCATENATE(A291,$B$10,B291),'ID1&amp;5'!B:J,9,FALSE),"-")</f>
        <v>-</v>
      </c>
      <c r="N291" s="79" t="str">
        <f>+IFERROR(VLOOKUP(CONCATENATE(A291,$C$10,C291),'ID1&amp;5'!B:J,8,FALSE),"-")</f>
        <v>-</v>
      </c>
      <c r="O291" s="78" t="str">
        <f>+IFERROR(VLOOKUP(C291,'ID1&amp;5'!K:L,2,FALSE),"-")</f>
        <v>-</v>
      </c>
      <c r="P291" s="79" t="str">
        <f>+IFERROR(VLOOKUP(CONCATENATE(A291,$C$10,C291),'ID1&amp;5'!B:J,9,FALSE),"-")</f>
        <v>-</v>
      </c>
      <c r="Q291" s="78" t="str">
        <f>+IFERROR(VLOOKUP(D291,'ID1&amp;5'!K:L,2,FALSE),"-")</f>
        <v>-</v>
      </c>
      <c r="R291" s="26" t="str">
        <f>+IFERROR(VLOOKUP(CONCATENATE(A291,$D$10,D291),'ID1&amp;5'!B:J,9,FALSE),"-")</f>
        <v>-</v>
      </c>
      <c r="S291" s="78" t="str">
        <f>+IFERROR(VLOOKUP(E291,'ID1&amp;5'!K:L,2,FALSE),"-")</f>
        <v>-</v>
      </c>
      <c r="T291" s="79" t="str">
        <f>+IFERROR(VLOOKUP(CONCATENATE(A291,$E$10,E291),'ID1&amp;5'!B:J,9,FALSE),"-")</f>
        <v>-</v>
      </c>
      <c r="U291" s="78" t="str">
        <f>+IFERROR(VLOOKUP(F291,'ID1&amp;5'!K:L,2,FALSE),"-")</f>
        <v>-</v>
      </c>
      <c r="V291" s="79" t="str">
        <f>+IFERROR(VLOOKUP(CONCATENATE(A291,$F$10,F291),'ID1&amp;5'!B:J,9,FALSE),"-")</f>
        <v>-</v>
      </c>
      <c r="W291" s="26" t="str">
        <f>+IFERROR(VLOOKUP(A291,'ID6&amp;7'!A:I,9,FALSE),"-")</f>
        <v>-</v>
      </c>
      <c r="X291" s="26" t="str">
        <f>+IFERROR(VLOOKUP(A291,'ID6&amp;7'!A:J,10,FALSE),"-")</f>
        <v>-</v>
      </c>
      <c r="Y291" s="26"/>
      <c r="Z291" s="27" t="str">
        <f t="shared" si="5"/>
        <v>Por iniciar</v>
      </c>
      <c r="AA291" s="65"/>
    </row>
    <row r="292" spans="1:27">
      <c r="A292" s="20"/>
      <c r="B292" s="60"/>
      <c r="C292" s="60"/>
      <c r="D292" s="60"/>
      <c r="E292" s="60"/>
      <c r="F292" s="60"/>
      <c r="G292" s="60"/>
      <c r="H292" s="65" t="s">
        <v>117</v>
      </c>
      <c r="I292" s="21" t="s">
        <v>1341</v>
      </c>
      <c r="J292" s="26">
        <f>+COUNTIF('ID1&amp;5'!G:G,'1. Status'!I292)</f>
        <v>0</v>
      </c>
      <c r="K292" s="79" t="str">
        <f>+IFERROR(VLOOKUP(CONCATENATE(A292,$B$10,B292),'ID1&amp;5'!B:J,8,FALSE),"-")</f>
        <v>-</v>
      </c>
      <c r="L292" s="78" t="str">
        <f>+IFERROR(VLOOKUP(B292,'ID1&amp;5'!K:L,2,FALSE),"-")</f>
        <v>-</v>
      </c>
      <c r="M292" s="79" t="str">
        <f>+IFERROR(VLOOKUP(CONCATENATE(A292,$B$10,B292),'ID1&amp;5'!B:J,9,FALSE),"-")</f>
        <v>-</v>
      </c>
      <c r="N292" s="79" t="str">
        <f>+IFERROR(VLOOKUP(CONCATENATE(A292,$C$10,C292),'ID1&amp;5'!B:J,8,FALSE),"-")</f>
        <v>-</v>
      </c>
      <c r="O292" s="78" t="str">
        <f>+IFERROR(VLOOKUP(C292,'ID1&amp;5'!K:L,2,FALSE),"-")</f>
        <v>-</v>
      </c>
      <c r="P292" s="79" t="str">
        <f>+IFERROR(VLOOKUP(CONCATENATE(A292,$C$10,C292),'ID1&amp;5'!B:J,9,FALSE),"-")</f>
        <v>-</v>
      </c>
      <c r="Q292" s="78" t="str">
        <f>+IFERROR(VLOOKUP(D292,'ID1&amp;5'!K:L,2,FALSE),"-")</f>
        <v>-</v>
      </c>
      <c r="R292" s="26" t="str">
        <f>+IFERROR(VLOOKUP(CONCATENATE(A292,$D$10,D292),'ID1&amp;5'!B:J,9,FALSE),"-")</f>
        <v>-</v>
      </c>
      <c r="S292" s="78" t="str">
        <f>+IFERROR(VLOOKUP(E292,'ID1&amp;5'!K:L,2,FALSE),"-")</f>
        <v>-</v>
      </c>
      <c r="T292" s="79" t="str">
        <f>+IFERROR(VLOOKUP(CONCATENATE(A292,$E$10,E292),'ID1&amp;5'!B:J,9,FALSE),"-")</f>
        <v>-</v>
      </c>
      <c r="U292" s="78" t="str">
        <f>+IFERROR(VLOOKUP(F292,'ID1&amp;5'!K:L,2,FALSE),"-")</f>
        <v>-</v>
      </c>
      <c r="V292" s="79" t="str">
        <f>+IFERROR(VLOOKUP(CONCATENATE(A292,$F$10,F292),'ID1&amp;5'!B:J,9,FALSE),"-")</f>
        <v>-</v>
      </c>
      <c r="W292" s="26" t="str">
        <f>+IFERROR(VLOOKUP(A292,'ID6&amp;7'!A:I,9,FALSE),"-")</f>
        <v>-</v>
      </c>
      <c r="X292" s="26" t="str">
        <f>+IFERROR(VLOOKUP(A292,'ID6&amp;7'!A:J,10,FALSE),"-")</f>
        <v>-</v>
      </c>
      <c r="Y292" s="26"/>
      <c r="Z292" s="27" t="str">
        <f t="shared" si="5"/>
        <v>Por iniciar</v>
      </c>
      <c r="AA292" s="65"/>
    </row>
    <row r="293" spans="1:27">
      <c r="A293" s="20"/>
      <c r="B293" s="60"/>
      <c r="C293" s="60"/>
      <c r="D293" s="60"/>
      <c r="E293" s="60"/>
      <c r="F293" s="60"/>
      <c r="G293" s="60"/>
      <c r="H293" s="65" t="s">
        <v>117</v>
      </c>
      <c r="I293" s="21" t="s">
        <v>1342</v>
      </c>
      <c r="J293" s="26">
        <f>+COUNTIF('ID1&amp;5'!G:G,'1. Status'!I293)</f>
        <v>0</v>
      </c>
      <c r="K293" s="79" t="str">
        <f>+IFERROR(VLOOKUP(CONCATENATE(A293,$B$10,B293),'ID1&amp;5'!B:J,8,FALSE),"-")</f>
        <v>-</v>
      </c>
      <c r="L293" s="78" t="str">
        <f>+IFERROR(VLOOKUP(B293,'ID1&amp;5'!K:L,2,FALSE),"-")</f>
        <v>-</v>
      </c>
      <c r="M293" s="79" t="str">
        <f>+IFERROR(VLOOKUP(CONCATENATE(A293,$B$10,B293),'ID1&amp;5'!B:J,9,FALSE),"-")</f>
        <v>-</v>
      </c>
      <c r="N293" s="79" t="str">
        <f>+IFERROR(VLOOKUP(CONCATENATE(A293,$C$10,C293),'ID1&amp;5'!B:J,8,FALSE),"-")</f>
        <v>-</v>
      </c>
      <c r="O293" s="78" t="str">
        <f>+IFERROR(VLOOKUP(C293,'ID1&amp;5'!K:L,2,FALSE),"-")</f>
        <v>-</v>
      </c>
      <c r="P293" s="79" t="str">
        <f>+IFERROR(VLOOKUP(CONCATENATE(A293,$C$10,C293),'ID1&amp;5'!B:J,9,FALSE),"-")</f>
        <v>-</v>
      </c>
      <c r="Q293" s="78" t="str">
        <f>+IFERROR(VLOOKUP(D293,'ID1&amp;5'!K:L,2,FALSE),"-")</f>
        <v>-</v>
      </c>
      <c r="R293" s="26" t="str">
        <f>+IFERROR(VLOOKUP(CONCATENATE(A293,$D$10,D293),'ID1&amp;5'!B:J,9,FALSE),"-")</f>
        <v>-</v>
      </c>
      <c r="S293" s="78" t="str">
        <f>+IFERROR(VLOOKUP(E293,'ID1&amp;5'!K:L,2,FALSE),"-")</f>
        <v>-</v>
      </c>
      <c r="T293" s="79" t="str">
        <f>+IFERROR(VLOOKUP(CONCATENATE(A293,$E$10,E293),'ID1&amp;5'!B:J,9,FALSE),"-")</f>
        <v>-</v>
      </c>
      <c r="U293" s="78" t="str">
        <f>+IFERROR(VLOOKUP(F293,'ID1&amp;5'!K:L,2,FALSE),"-")</f>
        <v>-</v>
      </c>
      <c r="V293" s="79" t="str">
        <f>+IFERROR(VLOOKUP(CONCATENATE(A293,$F$10,F293),'ID1&amp;5'!B:J,9,FALSE),"-")</f>
        <v>-</v>
      </c>
      <c r="W293" s="26" t="str">
        <f>+IFERROR(VLOOKUP(A293,'ID6&amp;7'!A:I,9,FALSE),"-")</f>
        <v>-</v>
      </c>
      <c r="X293" s="26" t="str">
        <f>+IFERROR(VLOOKUP(A293,'ID6&amp;7'!A:J,10,FALSE),"-")</f>
        <v>-</v>
      </c>
      <c r="Y293" s="26"/>
      <c r="Z293" s="27" t="str">
        <f t="shared" si="5"/>
        <v>Por iniciar</v>
      </c>
      <c r="AA293" s="65"/>
    </row>
    <row r="294" spans="1:27">
      <c r="A294" s="20"/>
      <c r="B294" s="60"/>
      <c r="C294" s="60"/>
      <c r="D294" s="60"/>
      <c r="E294" s="60"/>
      <c r="F294" s="60"/>
      <c r="G294" s="60"/>
      <c r="H294" s="65" t="s">
        <v>117</v>
      </c>
      <c r="I294" s="21" t="s">
        <v>1343</v>
      </c>
      <c r="J294" s="26">
        <f>+COUNTIF('ID1&amp;5'!G:G,'1. Status'!I294)</f>
        <v>0</v>
      </c>
      <c r="K294" s="79" t="str">
        <f>+IFERROR(VLOOKUP(CONCATENATE(A294,$B$10,B294),'ID1&amp;5'!B:J,8,FALSE),"-")</f>
        <v>-</v>
      </c>
      <c r="L294" s="78" t="str">
        <f>+IFERROR(VLOOKUP(B294,'ID1&amp;5'!K:L,2,FALSE),"-")</f>
        <v>-</v>
      </c>
      <c r="M294" s="79" t="str">
        <f>+IFERROR(VLOOKUP(CONCATENATE(A294,$B$10,B294),'ID1&amp;5'!B:J,9,FALSE),"-")</f>
        <v>-</v>
      </c>
      <c r="N294" s="79" t="str">
        <f>+IFERROR(VLOOKUP(CONCATENATE(A294,$C$10,C294),'ID1&amp;5'!B:J,8,FALSE),"-")</f>
        <v>-</v>
      </c>
      <c r="O294" s="78" t="str">
        <f>+IFERROR(VLOOKUP(C294,'ID1&amp;5'!K:L,2,FALSE),"-")</f>
        <v>-</v>
      </c>
      <c r="P294" s="79" t="str">
        <f>+IFERROR(VLOOKUP(CONCATENATE(A294,$C$10,C294),'ID1&amp;5'!B:J,9,FALSE),"-")</f>
        <v>-</v>
      </c>
      <c r="Q294" s="78" t="str">
        <f>+IFERROR(VLOOKUP(D294,'ID1&amp;5'!K:L,2,FALSE),"-")</f>
        <v>-</v>
      </c>
      <c r="R294" s="26" t="str">
        <f>+IFERROR(VLOOKUP(CONCATENATE(A294,$D$10,D294),'ID1&amp;5'!B:J,9,FALSE),"-")</f>
        <v>-</v>
      </c>
      <c r="S294" s="78" t="str">
        <f>+IFERROR(VLOOKUP(E294,'ID1&amp;5'!K:L,2,FALSE),"-")</f>
        <v>-</v>
      </c>
      <c r="T294" s="79" t="str">
        <f>+IFERROR(VLOOKUP(CONCATENATE(A294,$E$10,E294),'ID1&amp;5'!B:J,9,FALSE),"-")</f>
        <v>-</v>
      </c>
      <c r="U294" s="78" t="str">
        <f>+IFERROR(VLOOKUP(F294,'ID1&amp;5'!K:L,2,FALSE),"-")</f>
        <v>-</v>
      </c>
      <c r="V294" s="79" t="str">
        <f>+IFERROR(VLOOKUP(CONCATENATE(A294,$F$10,F294),'ID1&amp;5'!B:J,9,FALSE),"-")</f>
        <v>-</v>
      </c>
      <c r="W294" s="26" t="str">
        <f>+IFERROR(VLOOKUP(A294,'ID6&amp;7'!A:I,9,FALSE),"-")</f>
        <v>-</v>
      </c>
      <c r="X294" s="26" t="str">
        <f>+IFERROR(VLOOKUP(A294,'ID6&amp;7'!A:J,10,FALSE),"-")</f>
        <v>-</v>
      </c>
      <c r="Y294" s="26"/>
      <c r="Z294" s="27" t="str">
        <f t="shared" si="5"/>
        <v>Por iniciar</v>
      </c>
      <c r="AA294" s="65"/>
    </row>
    <row r="295" spans="1:27">
      <c r="A295" s="20"/>
      <c r="B295" s="60"/>
      <c r="C295" s="60"/>
      <c r="D295" s="60"/>
      <c r="E295" s="60"/>
      <c r="F295" s="60"/>
      <c r="G295" s="60"/>
      <c r="H295" s="65" t="s">
        <v>117</v>
      </c>
      <c r="I295" s="21" t="s">
        <v>657</v>
      </c>
      <c r="J295" s="26">
        <f>+COUNTIF('ID1&amp;5'!G:G,'1. Status'!I295)</f>
        <v>0</v>
      </c>
      <c r="K295" s="79" t="str">
        <f>+IFERROR(VLOOKUP(CONCATENATE(A295,$B$10,B295),'ID1&amp;5'!B:J,8,FALSE),"-")</f>
        <v>-</v>
      </c>
      <c r="L295" s="78" t="str">
        <f>+IFERROR(VLOOKUP(B295,'ID1&amp;5'!K:L,2,FALSE),"-")</f>
        <v>-</v>
      </c>
      <c r="M295" s="79" t="str">
        <f>+IFERROR(VLOOKUP(CONCATENATE(A295,$B$10,B295),'ID1&amp;5'!B:J,9,FALSE),"-")</f>
        <v>-</v>
      </c>
      <c r="N295" s="79" t="str">
        <f>+IFERROR(VLOOKUP(CONCATENATE(A295,$C$10,C295),'ID1&amp;5'!B:J,8,FALSE),"-")</f>
        <v>-</v>
      </c>
      <c r="O295" s="78" t="str">
        <f>+IFERROR(VLOOKUP(C295,'ID1&amp;5'!K:L,2,FALSE),"-")</f>
        <v>-</v>
      </c>
      <c r="P295" s="79" t="str">
        <f>+IFERROR(VLOOKUP(CONCATENATE(A295,$C$10,C295),'ID1&amp;5'!B:J,9,FALSE),"-")</f>
        <v>-</v>
      </c>
      <c r="Q295" s="78" t="str">
        <f>+IFERROR(VLOOKUP(D295,'ID1&amp;5'!K:L,2,FALSE),"-")</f>
        <v>-</v>
      </c>
      <c r="R295" s="26" t="str">
        <f>+IFERROR(VLOOKUP(CONCATENATE(A295,$D$10,D295),'ID1&amp;5'!B:J,9,FALSE),"-")</f>
        <v>-</v>
      </c>
      <c r="S295" s="78" t="str">
        <f>+IFERROR(VLOOKUP(E295,'ID1&amp;5'!K:L,2,FALSE),"-")</f>
        <v>-</v>
      </c>
      <c r="T295" s="79" t="str">
        <f>+IFERROR(VLOOKUP(CONCATENATE(A295,$E$10,E295),'ID1&amp;5'!B:J,9,FALSE),"-")</f>
        <v>-</v>
      </c>
      <c r="U295" s="78" t="str">
        <f>+IFERROR(VLOOKUP(F295,'ID1&amp;5'!K:L,2,FALSE),"-")</f>
        <v>-</v>
      </c>
      <c r="V295" s="79" t="str">
        <f>+IFERROR(VLOOKUP(CONCATENATE(A295,$F$10,F295),'ID1&amp;5'!B:J,9,FALSE),"-")</f>
        <v>-</v>
      </c>
      <c r="W295" s="26" t="str">
        <f>+IFERROR(VLOOKUP(A295,'ID6&amp;7'!A:I,9,FALSE),"-")</f>
        <v>-</v>
      </c>
      <c r="X295" s="26" t="str">
        <f>+IFERROR(VLOOKUP(A295,'ID6&amp;7'!A:J,10,FALSE),"-")</f>
        <v>-</v>
      </c>
      <c r="Y295" s="26"/>
      <c r="Z295" s="27" t="str">
        <f t="shared" si="5"/>
        <v>Por iniciar</v>
      </c>
      <c r="AA295" s="65"/>
    </row>
    <row r="296" spans="1:27">
      <c r="A296" s="20"/>
      <c r="B296" s="60"/>
      <c r="C296" s="60"/>
      <c r="D296" s="60"/>
      <c r="E296" s="60"/>
      <c r="F296" s="60"/>
      <c r="G296" s="60"/>
      <c r="H296" s="65" t="s">
        <v>117</v>
      </c>
      <c r="I296" s="21" t="s">
        <v>1344</v>
      </c>
      <c r="J296" s="26">
        <f>+COUNTIF('ID1&amp;5'!G:G,'1. Status'!I296)</f>
        <v>0</v>
      </c>
      <c r="K296" s="79" t="str">
        <f>+IFERROR(VLOOKUP(CONCATENATE(A296,$B$10,B296),'ID1&amp;5'!B:J,8,FALSE),"-")</f>
        <v>-</v>
      </c>
      <c r="L296" s="78" t="str">
        <f>+IFERROR(VLOOKUP(B296,'ID1&amp;5'!K:L,2,FALSE),"-")</f>
        <v>-</v>
      </c>
      <c r="M296" s="79" t="str">
        <f>+IFERROR(VLOOKUP(CONCATENATE(A296,$B$10,B296),'ID1&amp;5'!B:J,9,FALSE),"-")</f>
        <v>-</v>
      </c>
      <c r="N296" s="79" t="str">
        <f>+IFERROR(VLOOKUP(CONCATENATE(A296,$C$10,C296),'ID1&amp;5'!B:J,8,FALSE),"-")</f>
        <v>-</v>
      </c>
      <c r="O296" s="78" t="str">
        <f>+IFERROR(VLOOKUP(C296,'ID1&amp;5'!K:L,2,FALSE),"-")</f>
        <v>-</v>
      </c>
      <c r="P296" s="79" t="str">
        <f>+IFERROR(VLOOKUP(CONCATENATE(A296,$C$10,C296),'ID1&amp;5'!B:J,9,FALSE),"-")</f>
        <v>-</v>
      </c>
      <c r="Q296" s="78" t="str">
        <f>+IFERROR(VLOOKUP(D296,'ID1&amp;5'!K:L,2,FALSE),"-")</f>
        <v>-</v>
      </c>
      <c r="R296" s="26" t="str">
        <f>+IFERROR(VLOOKUP(CONCATENATE(A296,$D$10,D296),'ID1&amp;5'!B:J,9,FALSE),"-")</f>
        <v>-</v>
      </c>
      <c r="S296" s="78" t="str">
        <f>+IFERROR(VLOOKUP(E296,'ID1&amp;5'!K:L,2,FALSE),"-")</f>
        <v>-</v>
      </c>
      <c r="T296" s="79" t="str">
        <f>+IFERROR(VLOOKUP(CONCATENATE(A296,$E$10,E296),'ID1&amp;5'!B:J,9,FALSE),"-")</f>
        <v>-</v>
      </c>
      <c r="U296" s="78" t="str">
        <f>+IFERROR(VLOOKUP(F296,'ID1&amp;5'!K:L,2,FALSE),"-")</f>
        <v>-</v>
      </c>
      <c r="V296" s="79" t="str">
        <f>+IFERROR(VLOOKUP(CONCATENATE(A296,$F$10,F296),'ID1&amp;5'!B:J,9,FALSE),"-")</f>
        <v>-</v>
      </c>
      <c r="W296" s="26" t="str">
        <f>+IFERROR(VLOOKUP(A296,'ID6&amp;7'!A:I,9,FALSE),"-")</f>
        <v>-</v>
      </c>
      <c r="X296" s="26" t="str">
        <f>+IFERROR(VLOOKUP(A296,'ID6&amp;7'!A:J,10,FALSE),"-")</f>
        <v>-</v>
      </c>
      <c r="Y296" s="26"/>
      <c r="Z296" s="27" t="str">
        <f t="shared" si="5"/>
        <v>Por iniciar</v>
      </c>
      <c r="AA296" s="65"/>
    </row>
    <row r="297" spans="1:27">
      <c r="A297" s="20"/>
      <c r="B297" s="60"/>
      <c r="C297" s="60"/>
      <c r="D297" s="60"/>
      <c r="E297" s="60"/>
      <c r="F297" s="60"/>
      <c r="G297" s="60"/>
      <c r="H297" s="65" t="s">
        <v>117</v>
      </c>
      <c r="I297" s="21" t="s">
        <v>661</v>
      </c>
      <c r="J297" s="26">
        <f>+COUNTIF('ID1&amp;5'!G:G,'1. Status'!I297)</f>
        <v>0</v>
      </c>
      <c r="K297" s="79" t="str">
        <f>+IFERROR(VLOOKUP(CONCATENATE(A297,$B$10,B297),'ID1&amp;5'!B:J,8,FALSE),"-")</f>
        <v>-</v>
      </c>
      <c r="L297" s="78" t="str">
        <f>+IFERROR(VLOOKUP(B297,'ID1&amp;5'!K:L,2,FALSE),"-")</f>
        <v>-</v>
      </c>
      <c r="M297" s="79" t="str">
        <f>+IFERROR(VLOOKUP(CONCATENATE(A297,$B$10,B297),'ID1&amp;5'!B:J,9,FALSE),"-")</f>
        <v>-</v>
      </c>
      <c r="N297" s="79" t="str">
        <f>+IFERROR(VLOOKUP(CONCATENATE(A297,$C$10,C297),'ID1&amp;5'!B:J,8,FALSE),"-")</f>
        <v>-</v>
      </c>
      <c r="O297" s="78" t="str">
        <f>+IFERROR(VLOOKUP(C297,'ID1&amp;5'!K:L,2,FALSE),"-")</f>
        <v>-</v>
      </c>
      <c r="P297" s="79" t="str">
        <f>+IFERROR(VLOOKUP(CONCATENATE(A297,$C$10,C297),'ID1&amp;5'!B:J,9,FALSE),"-")</f>
        <v>-</v>
      </c>
      <c r="Q297" s="78" t="str">
        <f>+IFERROR(VLOOKUP(D297,'ID1&amp;5'!K:L,2,FALSE),"-")</f>
        <v>-</v>
      </c>
      <c r="R297" s="26" t="str">
        <f>+IFERROR(VLOOKUP(CONCATENATE(A297,$D$10,D297),'ID1&amp;5'!B:J,9,FALSE),"-")</f>
        <v>-</v>
      </c>
      <c r="S297" s="78" t="str">
        <f>+IFERROR(VLOOKUP(E297,'ID1&amp;5'!K:L,2,FALSE),"-")</f>
        <v>-</v>
      </c>
      <c r="T297" s="79" t="str">
        <f>+IFERROR(VLOOKUP(CONCATENATE(A297,$E$10,E297),'ID1&amp;5'!B:J,9,FALSE),"-")</f>
        <v>-</v>
      </c>
      <c r="U297" s="78" t="str">
        <f>+IFERROR(VLOOKUP(F297,'ID1&amp;5'!K:L,2,FALSE),"-")</f>
        <v>-</v>
      </c>
      <c r="V297" s="79" t="str">
        <f>+IFERROR(VLOOKUP(CONCATENATE(A297,$F$10,F297),'ID1&amp;5'!B:J,9,FALSE),"-")</f>
        <v>-</v>
      </c>
      <c r="W297" s="26" t="str">
        <f>+IFERROR(VLOOKUP(A297,'ID6&amp;7'!A:I,9,FALSE),"-")</f>
        <v>-</v>
      </c>
      <c r="X297" s="26" t="str">
        <f>+IFERROR(VLOOKUP(A297,'ID6&amp;7'!A:J,10,FALSE),"-")</f>
        <v>-</v>
      </c>
      <c r="Y297" s="26"/>
      <c r="Z297" s="27" t="str">
        <f t="shared" si="5"/>
        <v>Por iniciar</v>
      </c>
      <c r="AA297" s="65"/>
    </row>
    <row r="298" spans="1:27">
      <c r="A298" s="20"/>
      <c r="B298" s="60"/>
      <c r="C298" s="60"/>
      <c r="D298" s="60"/>
      <c r="E298" s="60"/>
      <c r="F298" s="60"/>
      <c r="G298" s="60"/>
      <c r="H298" s="65" t="s">
        <v>117</v>
      </c>
      <c r="I298" s="21" t="s">
        <v>1345</v>
      </c>
      <c r="J298" s="26">
        <f>+COUNTIF('ID1&amp;5'!G:G,'1. Status'!I298)</f>
        <v>0</v>
      </c>
      <c r="K298" s="79" t="str">
        <f>+IFERROR(VLOOKUP(CONCATENATE(A298,$B$10,B298),'ID1&amp;5'!B:J,8,FALSE),"-")</f>
        <v>-</v>
      </c>
      <c r="L298" s="78" t="str">
        <f>+IFERROR(VLOOKUP(B298,'ID1&amp;5'!K:L,2,FALSE),"-")</f>
        <v>-</v>
      </c>
      <c r="M298" s="79" t="str">
        <f>+IFERROR(VLOOKUP(CONCATENATE(A298,$B$10,B298),'ID1&amp;5'!B:J,9,FALSE),"-")</f>
        <v>-</v>
      </c>
      <c r="N298" s="79" t="str">
        <f>+IFERROR(VLOOKUP(CONCATENATE(A298,$C$10,C298),'ID1&amp;5'!B:J,8,FALSE),"-")</f>
        <v>-</v>
      </c>
      <c r="O298" s="78" t="str">
        <f>+IFERROR(VLOOKUP(C298,'ID1&amp;5'!K:L,2,FALSE),"-")</f>
        <v>-</v>
      </c>
      <c r="P298" s="79" t="str">
        <f>+IFERROR(VLOOKUP(CONCATENATE(A298,$C$10,C298),'ID1&amp;5'!B:J,9,FALSE),"-")</f>
        <v>-</v>
      </c>
      <c r="Q298" s="78" t="str">
        <f>+IFERROR(VLOOKUP(D298,'ID1&amp;5'!K:L,2,FALSE),"-")</f>
        <v>-</v>
      </c>
      <c r="R298" s="26" t="str">
        <f>+IFERROR(VLOOKUP(CONCATENATE(A298,$D$10,D298),'ID1&amp;5'!B:J,9,FALSE),"-")</f>
        <v>-</v>
      </c>
      <c r="S298" s="78" t="str">
        <f>+IFERROR(VLOOKUP(E298,'ID1&amp;5'!K:L,2,FALSE),"-")</f>
        <v>-</v>
      </c>
      <c r="T298" s="79" t="str">
        <f>+IFERROR(VLOOKUP(CONCATENATE(A298,$E$10,E298),'ID1&amp;5'!B:J,9,FALSE),"-")</f>
        <v>-</v>
      </c>
      <c r="U298" s="78" t="str">
        <f>+IFERROR(VLOOKUP(F298,'ID1&amp;5'!K:L,2,FALSE),"-")</f>
        <v>-</v>
      </c>
      <c r="V298" s="79" t="str">
        <f>+IFERROR(VLOOKUP(CONCATENATE(A298,$F$10,F298),'ID1&amp;5'!B:J,9,FALSE),"-")</f>
        <v>-</v>
      </c>
      <c r="W298" s="26" t="str">
        <f>+IFERROR(VLOOKUP(A298,'ID6&amp;7'!A:I,9,FALSE),"-")</f>
        <v>-</v>
      </c>
      <c r="X298" s="26" t="str">
        <f>+IFERROR(VLOOKUP(A298,'ID6&amp;7'!A:J,10,FALSE),"-")</f>
        <v>-</v>
      </c>
      <c r="Y298" s="26"/>
      <c r="Z298" s="27" t="str">
        <f t="shared" si="5"/>
        <v>Por iniciar</v>
      </c>
      <c r="AA298" s="65"/>
    </row>
    <row r="299" spans="1:27">
      <c r="A299" s="20"/>
      <c r="B299" s="60"/>
      <c r="C299" s="60"/>
      <c r="D299" s="60"/>
      <c r="E299" s="60"/>
      <c r="F299" s="60"/>
      <c r="G299" s="60"/>
      <c r="H299" s="65" t="s">
        <v>117</v>
      </c>
      <c r="I299" s="21" t="s">
        <v>1346</v>
      </c>
      <c r="J299" s="26">
        <f>+COUNTIF('ID1&amp;5'!G:G,'1. Status'!I299)</f>
        <v>0</v>
      </c>
      <c r="K299" s="79" t="str">
        <f>+IFERROR(VLOOKUP(CONCATENATE(A299,$B$10,B299),'ID1&amp;5'!B:J,8,FALSE),"-")</f>
        <v>-</v>
      </c>
      <c r="L299" s="78" t="str">
        <f>+IFERROR(VLOOKUP(B299,'ID1&amp;5'!K:L,2,FALSE),"-")</f>
        <v>-</v>
      </c>
      <c r="M299" s="79" t="str">
        <f>+IFERROR(VLOOKUP(CONCATENATE(A299,$B$10,B299),'ID1&amp;5'!B:J,9,FALSE),"-")</f>
        <v>-</v>
      </c>
      <c r="N299" s="79" t="str">
        <f>+IFERROR(VLOOKUP(CONCATENATE(A299,$C$10,C299),'ID1&amp;5'!B:J,8,FALSE),"-")</f>
        <v>-</v>
      </c>
      <c r="O299" s="78" t="str">
        <f>+IFERROR(VLOOKUP(C299,'ID1&amp;5'!K:L,2,FALSE),"-")</f>
        <v>-</v>
      </c>
      <c r="P299" s="79" t="str">
        <f>+IFERROR(VLOOKUP(CONCATENATE(A299,$C$10,C299),'ID1&amp;5'!B:J,9,FALSE),"-")</f>
        <v>-</v>
      </c>
      <c r="Q299" s="78" t="str">
        <f>+IFERROR(VLOOKUP(D299,'ID1&amp;5'!K:L,2,FALSE),"-")</f>
        <v>-</v>
      </c>
      <c r="R299" s="26" t="str">
        <f>+IFERROR(VLOOKUP(CONCATENATE(A299,$D$10,D299),'ID1&amp;5'!B:J,9,FALSE),"-")</f>
        <v>-</v>
      </c>
      <c r="S299" s="78" t="str">
        <f>+IFERROR(VLOOKUP(E299,'ID1&amp;5'!K:L,2,FALSE),"-")</f>
        <v>-</v>
      </c>
      <c r="T299" s="79" t="str">
        <f>+IFERROR(VLOOKUP(CONCATENATE(A299,$E$10,E299),'ID1&amp;5'!B:J,9,FALSE),"-")</f>
        <v>-</v>
      </c>
      <c r="U299" s="78" t="str">
        <f>+IFERROR(VLOOKUP(F299,'ID1&amp;5'!K:L,2,FALSE),"-")</f>
        <v>-</v>
      </c>
      <c r="V299" s="79" t="str">
        <f>+IFERROR(VLOOKUP(CONCATENATE(A299,$F$10,F299),'ID1&amp;5'!B:J,9,FALSE),"-")</f>
        <v>-</v>
      </c>
      <c r="W299" s="26" t="str">
        <f>+IFERROR(VLOOKUP(A299,'ID6&amp;7'!A:I,9,FALSE),"-")</f>
        <v>-</v>
      </c>
      <c r="X299" s="26" t="str">
        <f>+IFERROR(VLOOKUP(A299,'ID6&amp;7'!A:J,10,FALSE),"-")</f>
        <v>-</v>
      </c>
      <c r="Y299" s="26"/>
      <c r="Z299" s="27" t="str">
        <f t="shared" si="5"/>
        <v>Por iniciar</v>
      </c>
      <c r="AA299" s="65"/>
    </row>
    <row r="300" spans="1:27">
      <c r="A300" s="20"/>
      <c r="B300" s="60"/>
      <c r="C300" s="60"/>
      <c r="D300" s="60"/>
      <c r="E300" s="60"/>
      <c r="F300" s="60"/>
      <c r="G300" s="60"/>
      <c r="H300" s="65" t="s">
        <v>117</v>
      </c>
      <c r="I300" s="21" t="s">
        <v>1347</v>
      </c>
      <c r="J300" s="26">
        <f>+COUNTIF('ID1&amp;5'!G:G,'1. Status'!I300)</f>
        <v>0</v>
      </c>
      <c r="K300" s="79" t="str">
        <f>+IFERROR(VLOOKUP(CONCATENATE(A300,$B$10,B300),'ID1&amp;5'!B:J,8,FALSE),"-")</f>
        <v>-</v>
      </c>
      <c r="L300" s="78" t="str">
        <f>+IFERROR(VLOOKUP(B300,'ID1&amp;5'!K:L,2,FALSE),"-")</f>
        <v>-</v>
      </c>
      <c r="M300" s="79" t="str">
        <f>+IFERROR(VLOOKUP(CONCATENATE(A300,$B$10,B300),'ID1&amp;5'!B:J,9,FALSE),"-")</f>
        <v>-</v>
      </c>
      <c r="N300" s="79" t="str">
        <f>+IFERROR(VLOOKUP(CONCATENATE(A300,$C$10,C300),'ID1&amp;5'!B:J,8,FALSE),"-")</f>
        <v>-</v>
      </c>
      <c r="O300" s="78" t="str">
        <f>+IFERROR(VLOOKUP(C300,'ID1&amp;5'!K:L,2,FALSE),"-")</f>
        <v>-</v>
      </c>
      <c r="P300" s="79" t="str">
        <f>+IFERROR(VLOOKUP(CONCATENATE(A300,$C$10,C300),'ID1&amp;5'!B:J,9,FALSE),"-")</f>
        <v>-</v>
      </c>
      <c r="Q300" s="78" t="str">
        <f>+IFERROR(VLOOKUP(D300,'ID1&amp;5'!K:L,2,FALSE),"-")</f>
        <v>-</v>
      </c>
      <c r="R300" s="26" t="str">
        <f>+IFERROR(VLOOKUP(CONCATENATE(A300,$D$10,D300),'ID1&amp;5'!B:J,9,FALSE),"-")</f>
        <v>-</v>
      </c>
      <c r="S300" s="78" t="str">
        <f>+IFERROR(VLOOKUP(E300,'ID1&amp;5'!K:L,2,FALSE),"-")</f>
        <v>-</v>
      </c>
      <c r="T300" s="79" t="str">
        <f>+IFERROR(VLOOKUP(CONCATENATE(A300,$E$10,E300),'ID1&amp;5'!B:J,9,FALSE),"-")</f>
        <v>-</v>
      </c>
      <c r="U300" s="78" t="str">
        <f>+IFERROR(VLOOKUP(F300,'ID1&amp;5'!K:L,2,FALSE),"-")</f>
        <v>-</v>
      </c>
      <c r="V300" s="79" t="str">
        <f>+IFERROR(VLOOKUP(CONCATENATE(A300,$F$10,F300),'ID1&amp;5'!B:J,9,FALSE),"-")</f>
        <v>-</v>
      </c>
      <c r="W300" s="26" t="str">
        <f>+IFERROR(VLOOKUP(A300,'ID6&amp;7'!A:I,9,FALSE),"-")</f>
        <v>-</v>
      </c>
      <c r="X300" s="26" t="str">
        <f>+IFERROR(VLOOKUP(A300,'ID6&amp;7'!A:J,10,FALSE),"-")</f>
        <v>-</v>
      </c>
      <c r="Y300" s="26"/>
      <c r="Z300" s="27" t="str">
        <f t="shared" si="5"/>
        <v>Por iniciar</v>
      </c>
      <c r="AA300" s="65"/>
    </row>
    <row r="301" spans="1:27">
      <c r="A301" s="20"/>
      <c r="B301" s="60"/>
      <c r="C301" s="60"/>
      <c r="D301" s="60"/>
      <c r="E301" s="60"/>
      <c r="F301" s="60"/>
      <c r="G301" s="60"/>
      <c r="H301" s="65" t="s">
        <v>117</v>
      </c>
      <c r="I301" s="21" t="s">
        <v>1348</v>
      </c>
      <c r="J301" s="26">
        <f>+COUNTIF('ID1&amp;5'!G:G,'1. Status'!I301)</f>
        <v>0</v>
      </c>
      <c r="K301" s="79" t="str">
        <f>+IFERROR(VLOOKUP(CONCATENATE(A301,$B$10,B301),'ID1&amp;5'!B:J,8,FALSE),"-")</f>
        <v>-</v>
      </c>
      <c r="L301" s="78" t="str">
        <f>+IFERROR(VLOOKUP(B301,'ID1&amp;5'!K:L,2,FALSE),"-")</f>
        <v>-</v>
      </c>
      <c r="M301" s="79" t="str">
        <f>+IFERROR(VLOOKUP(CONCATENATE(A301,$B$10,B301),'ID1&amp;5'!B:J,9,FALSE),"-")</f>
        <v>-</v>
      </c>
      <c r="N301" s="79" t="str">
        <f>+IFERROR(VLOOKUP(CONCATENATE(A301,$C$10,C301),'ID1&amp;5'!B:J,8,FALSE),"-")</f>
        <v>-</v>
      </c>
      <c r="O301" s="78" t="str">
        <f>+IFERROR(VLOOKUP(C301,'ID1&amp;5'!K:L,2,FALSE),"-")</f>
        <v>-</v>
      </c>
      <c r="P301" s="79" t="str">
        <f>+IFERROR(VLOOKUP(CONCATENATE(A301,$C$10,C301),'ID1&amp;5'!B:J,9,FALSE),"-")</f>
        <v>-</v>
      </c>
      <c r="Q301" s="78" t="str">
        <f>+IFERROR(VLOOKUP(D301,'ID1&amp;5'!K:L,2,FALSE),"-")</f>
        <v>-</v>
      </c>
      <c r="R301" s="26" t="str">
        <f>+IFERROR(VLOOKUP(CONCATENATE(A301,$D$10,D301),'ID1&amp;5'!B:J,9,FALSE),"-")</f>
        <v>-</v>
      </c>
      <c r="S301" s="78" t="str">
        <f>+IFERROR(VLOOKUP(E301,'ID1&amp;5'!K:L,2,FALSE),"-")</f>
        <v>-</v>
      </c>
      <c r="T301" s="79" t="str">
        <f>+IFERROR(VLOOKUP(CONCATENATE(A301,$E$10,E301),'ID1&amp;5'!B:J,9,FALSE),"-")</f>
        <v>-</v>
      </c>
      <c r="U301" s="78" t="str">
        <f>+IFERROR(VLOOKUP(F301,'ID1&amp;5'!K:L,2,FALSE),"-")</f>
        <v>-</v>
      </c>
      <c r="V301" s="79" t="str">
        <f>+IFERROR(VLOOKUP(CONCATENATE(A301,$F$10,F301),'ID1&amp;5'!B:J,9,FALSE),"-")</f>
        <v>-</v>
      </c>
      <c r="W301" s="26" t="str">
        <f>+IFERROR(VLOOKUP(A301,'ID6&amp;7'!A:I,9,FALSE),"-")</f>
        <v>-</v>
      </c>
      <c r="X301" s="26" t="str">
        <f>+IFERROR(VLOOKUP(A301,'ID6&amp;7'!A:J,10,FALSE),"-")</f>
        <v>-</v>
      </c>
      <c r="Y301" s="26"/>
      <c r="Z301" s="27" t="str">
        <f t="shared" si="5"/>
        <v>Por iniciar</v>
      </c>
      <c r="AA301" s="65"/>
    </row>
    <row r="302" spans="1:27">
      <c r="A302" s="20"/>
      <c r="B302" s="60"/>
      <c r="C302" s="60"/>
      <c r="D302" s="60"/>
      <c r="E302" s="60"/>
      <c r="F302" s="60"/>
      <c r="G302" s="60"/>
      <c r="H302" s="65" t="s">
        <v>117</v>
      </c>
      <c r="I302" s="21" t="s">
        <v>1349</v>
      </c>
      <c r="J302" s="26">
        <f>+COUNTIF('ID1&amp;5'!G:G,'1. Status'!I302)</f>
        <v>0</v>
      </c>
      <c r="K302" s="79" t="str">
        <f>+IFERROR(VLOOKUP(CONCATENATE(A302,$B$10,B302),'ID1&amp;5'!B:J,8,FALSE),"-")</f>
        <v>-</v>
      </c>
      <c r="L302" s="78" t="str">
        <f>+IFERROR(VLOOKUP(B302,'ID1&amp;5'!K:L,2,FALSE),"-")</f>
        <v>-</v>
      </c>
      <c r="M302" s="79" t="str">
        <f>+IFERROR(VLOOKUP(CONCATENATE(A302,$B$10,B302),'ID1&amp;5'!B:J,9,FALSE),"-")</f>
        <v>-</v>
      </c>
      <c r="N302" s="79" t="str">
        <f>+IFERROR(VLOOKUP(CONCATENATE(A302,$C$10,C302),'ID1&amp;5'!B:J,8,FALSE),"-")</f>
        <v>-</v>
      </c>
      <c r="O302" s="78" t="str">
        <f>+IFERROR(VLOOKUP(C302,'ID1&amp;5'!K:L,2,FALSE),"-")</f>
        <v>-</v>
      </c>
      <c r="P302" s="79" t="str">
        <f>+IFERROR(VLOOKUP(CONCATENATE(A302,$C$10,C302),'ID1&amp;5'!B:J,9,FALSE),"-")</f>
        <v>-</v>
      </c>
      <c r="Q302" s="78" t="str">
        <f>+IFERROR(VLOOKUP(D302,'ID1&amp;5'!K:L,2,FALSE),"-")</f>
        <v>-</v>
      </c>
      <c r="R302" s="26" t="str">
        <f>+IFERROR(VLOOKUP(CONCATENATE(A302,$D$10,D302),'ID1&amp;5'!B:J,9,FALSE),"-")</f>
        <v>-</v>
      </c>
      <c r="S302" s="78" t="str">
        <f>+IFERROR(VLOOKUP(E302,'ID1&amp;5'!K:L,2,FALSE),"-")</f>
        <v>-</v>
      </c>
      <c r="T302" s="79" t="str">
        <f>+IFERROR(VLOOKUP(CONCATENATE(A302,$E$10,E302),'ID1&amp;5'!B:J,9,FALSE),"-")</f>
        <v>-</v>
      </c>
      <c r="U302" s="78" t="str">
        <f>+IFERROR(VLOOKUP(F302,'ID1&amp;5'!K:L,2,FALSE),"-")</f>
        <v>-</v>
      </c>
      <c r="V302" s="79" t="str">
        <f>+IFERROR(VLOOKUP(CONCATENATE(A302,$F$10,F302),'ID1&amp;5'!B:J,9,FALSE),"-")</f>
        <v>-</v>
      </c>
      <c r="W302" s="26" t="str">
        <f>+IFERROR(VLOOKUP(A302,'ID6&amp;7'!A:I,9,FALSE),"-")</f>
        <v>-</v>
      </c>
      <c r="X302" s="26" t="str">
        <f>+IFERROR(VLOOKUP(A302,'ID6&amp;7'!A:J,10,FALSE),"-")</f>
        <v>-</v>
      </c>
      <c r="Y302" s="26"/>
      <c r="Z302" s="27" t="str">
        <f t="shared" si="5"/>
        <v>Por iniciar</v>
      </c>
      <c r="AA302" s="65"/>
    </row>
    <row r="303" spans="1:27">
      <c r="A303" s="20"/>
      <c r="B303" s="60"/>
      <c r="C303" s="60"/>
      <c r="D303" s="60"/>
      <c r="E303" s="60"/>
      <c r="F303" s="60"/>
      <c r="G303" s="60"/>
      <c r="H303" s="65" t="s">
        <v>117</v>
      </c>
      <c r="I303" s="21" t="s">
        <v>631</v>
      </c>
      <c r="J303" s="26">
        <f>+COUNTIF('ID1&amp;5'!G:G,'1. Status'!I303)</f>
        <v>0</v>
      </c>
      <c r="K303" s="79" t="str">
        <f>+IFERROR(VLOOKUP(CONCATENATE(A303,$B$10,B303),'ID1&amp;5'!B:J,8,FALSE),"-")</f>
        <v>-</v>
      </c>
      <c r="L303" s="78" t="str">
        <f>+IFERROR(VLOOKUP(B303,'ID1&amp;5'!K:L,2,FALSE),"-")</f>
        <v>-</v>
      </c>
      <c r="M303" s="79" t="str">
        <f>+IFERROR(VLOOKUP(CONCATENATE(A303,$B$10,B303),'ID1&amp;5'!B:J,9,FALSE),"-")</f>
        <v>-</v>
      </c>
      <c r="N303" s="79" t="str">
        <f>+IFERROR(VLOOKUP(CONCATENATE(A303,$C$10,C303),'ID1&amp;5'!B:J,8,FALSE),"-")</f>
        <v>-</v>
      </c>
      <c r="O303" s="78" t="str">
        <f>+IFERROR(VLOOKUP(C303,'ID1&amp;5'!K:L,2,FALSE),"-")</f>
        <v>-</v>
      </c>
      <c r="P303" s="79" t="str">
        <f>+IFERROR(VLOOKUP(CONCATENATE(A303,$C$10,C303),'ID1&amp;5'!B:J,9,FALSE),"-")</f>
        <v>-</v>
      </c>
      <c r="Q303" s="78" t="str">
        <f>+IFERROR(VLOOKUP(D303,'ID1&amp;5'!K:L,2,FALSE),"-")</f>
        <v>-</v>
      </c>
      <c r="R303" s="26" t="str">
        <f>+IFERROR(VLOOKUP(CONCATENATE(A303,$D$10,D303),'ID1&amp;5'!B:J,9,FALSE),"-")</f>
        <v>-</v>
      </c>
      <c r="S303" s="78" t="str">
        <f>+IFERROR(VLOOKUP(E303,'ID1&amp;5'!K:L,2,FALSE),"-")</f>
        <v>-</v>
      </c>
      <c r="T303" s="79" t="str">
        <f>+IFERROR(VLOOKUP(CONCATENATE(A303,$E$10,E303),'ID1&amp;5'!B:J,9,FALSE),"-")</f>
        <v>-</v>
      </c>
      <c r="U303" s="78" t="str">
        <f>+IFERROR(VLOOKUP(F303,'ID1&amp;5'!K:L,2,FALSE),"-")</f>
        <v>-</v>
      </c>
      <c r="V303" s="79" t="str">
        <f>+IFERROR(VLOOKUP(CONCATENATE(A303,$F$10,F303),'ID1&amp;5'!B:J,9,FALSE),"-")</f>
        <v>-</v>
      </c>
      <c r="W303" s="26" t="str">
        <f>+IFERROR(VLOOKUP(A303,'ID6&amp;7'!A:I,9,FALSE),"-")</f>
        <v>-</v>
      </c>
      <c r="X303" s="26" t="str">
        <f>+IFERROR(VLOOKUP(A303,'ID6&amp;7'!A:J,10,FALSE),"-")</f>
        <v>-</v>
      </c>
      <c r="Y303" s="26"/>
      <c r="Z303" s="27" t="str">
        <f t="shared" si="5"/>
        <v>Por iniciar</v>
      </c>
      <c r="AA303" s="65"/>
    </row>
    <row r="304" spans="1:27">
      <c r="A304" s="20"/>
      <c r="B304" s="60"/>
      <c r="C304" s="60"/>
      <c r="D304" s="60"/>
      <c r="E304" s="60"/>
      <c r="F304" s="60"/>
      <c r="G304" s="60"/>
      <c r="H304" s="65" t="s">
        <v>117</v>
      </c>
      <c r="I304" s="21" t="s">
        <v>632</v>
      </c>
      <c r="J304" s="26">
        <f>+COUNTIF('ID1&amp;5'!G:G,'1. Status'!I304)</f>
        <v>0</v>
      </c>
      <c r="K304" s="79" t="str">
        <f>+IFERROR(VLOOKUP(CONCATENATE(A304,$B$10,B304),'ID1&amp;5'!B:J,8,FALSE),"-")</f>
        <v>-</v>
      </c>
      <c r="L304" s="78" t="str">
        <f>+IFERROR(VLOOKUP(B304,'ID1&amp;5'!K:L,2,FALSE),"-")</f>
        <v>-</v>
      </c>
      <c r="M304" s="79" t="str">
        <f>+IFERROR(VLOOKUP(CONCATENATE(A304,$B$10,B304),'ID1&amp;5'!B:J,9,FALSE),"-")</f>
        <v>-</v>
      </c>
      <c r="N304" s="79" t="str">
        <f>+IFERROR(VLOOKUP(CONCATENATE(A304,$C$10,C304),'ID1&amp;5'!B:J,8,FALSE),"-")</f>
        <v>-</v>
      </c>
      <c r="O304" s="78" t="str">
        <f>+IFERROR(VLOOKUP(C304,'ID1&amp;5'!K:L,2,FALSE),"-")</f>
        <v>-</v>
      </c>
      <c r="P304" s="79" t="str">
        <f>+IFERROR(VLOOKUP(CONCATENATE(A304,$C$10,C304),'ID1&amp;5'!B:J,9,FALSE),"-")</f>
        <v>-</v>
      </c>
      <c r="Q304" s="78" t="str">
        <f>+IFERROR(VLOOKUP(D304,'ID1&amp;5'!K:L,2,FALSE),"-")</f>
        <v>-</v>
      </c>
      <c r="R304" s="26" t="str">
        <f>+IFERROR(VLOOKUP(CONCATENATE(A304,$D$10,D304),'ID1&amp;5'!B:J,9,FALSE),"-")</f>
        <v>-</v>
      </c>
      <c r="S304" s="78" t="str">
        <f>+IFERROR(VLOOKUP(E304,'ID1&amp;5'!K:L,2,FALSE),"-")</f>
        <v>-</v>
      </c>
      <c r="T304" s="79" t="str">
        <f>+IFERROR(VLOOKUP(CONCATENATE(A304,$E$10,E304),'ID1&amp;5'!B:J,9,FALSE),"-")</f>
        <v>-</v>
      </c>
      <c r="U304" s="78" t="str">
        <f>+IFERROR(VLOOKUP(F304,'ID1&amp;5'!K:L,2,FALSE),"-")</f>
        <v>-</v>
      </c>
      <c r="V304" s="79" t="str">
        <f>+IFERROR(VLOOKUP(CONCATENATE(A304,$F$10,F304),'ID1&amp;5'!B:J,9,FALSE),"-")</f>
        <v>-</v>
      </c>
      <c r="W304" s="26" t="str">
        <f>+IFERROR(VLOOKUP(A304,'ID6&amp;7'!A:I,9,FALSE),"-")</f>
        <v>-</v>
      </c>
      <c r="X304" s="26" t="str">
        <f>+IFERROR(VLOOKUP(A304,'ID6&amp;7'!A:J,10,FALSE),"-")</f>
        <v>-</v>
      </c>
      <c r="Y304" s="26"/>
      <c r="Z304" s="27" t="str">
        <f t="shared" si="5"/>
        <v>Por iniciar</v>
      </c>
      <c r="AA304" s="65"/>
    </row>
    <row r="305" spans="1:27">
      <c r="A305" s="20"/>
      <c r="B305" s="60"/>
      <c r="C305" s="60"/>
      <c r="D305" s="60"/>
      <c r="E305" s="60"/>
      <c r="F305" s="60"/>
      <c r="G305" s="60"/>
      <c r="H305" s="65" t="s">
        <v>117</v>
      </c>
      <c r="I305" s="21" t="s">
        <v>633</v>
      </c>
      <c r="J305" s="26">
        <f>+COUNTIF('ID1&amp;5'!G:G,'1. Status'!I305)</f>
        <v>0</v>
      </c>
      <c r="K305" s="79" t="str">
        <f>+IFERROR(VLOOKUP(CONCATENATE(A305,$B$10,B305),'ID1&amp;5'!B:J,8,FALSE),"-")</f>
        <v>-</v>
      </c>
      <c r="L305" s="78" t="str">
        <f>+IFERROR(VLOOKUP(B305,'ID1&amp;5'!K:L,2,FALSE),"-")</f>
        <v>-</v>
      </c>
      <c r="M305" s="79" t="str">
        <f>+IFERROR(VLOOKUP(CONCATENATE(A305,$B$10,B305),'ID1&amp;5'!B:J,9,FALSE),"-")</f>
        <v>-</v>
      </c>
      <c r="N305" s="79" t="str">
        <f>+IFERROR(VLOOKUP(CONCATENATE(A305,$C$10,C305),'ID1&amp;5'!B:J,8,FALSE),"-")</f>
        <v>-</v>
      </c>
      <c r="O305" s="78" t="str">
        <f>+IFERROR(VLOOKUP(C305,'ID1&amp;5'!K:L,2,FALSE),"-")</f>
        <v>-</v>
      </c>
      <c r="P305" s="79" t="str">
        <f>+IFERROR(VLOOKUP(CONCATENATE(A305,$C$10,C305),'ID1&amp;5'!B:J,9,FALSE),"-")</f>
        <v>-</v>
      </c>
      <c r="Q305" s="78" t="str">
        <f>+IFERROR(VLOOKUP(D305,'ID1&amp;5'!K:L,2,FALSE),"-")</f>
        <v>-</v>
      </c>
      <c r="R305" s="26" t="str">
        <f>+IFERROR(VLOOKUP(CONCATENATE(A305,$D$10,D305),'ID1&amp;5'!B:J,9,FALSE),"-")</f>
        <v>-</v>
      </c>
      <c r="S305" s="78" t="str">
        <f>+IFERROR(VLOOKUP(E305,'ID1&amp;5'!K:L,2,FALSE),"-")</f>
        <v>-</v>
      </c>
      <c r="T305" s="79" t="str">
        <f>+IFERROR(VLOOKUP(CONCATENATE(A305,$E$10,E305),'ID1&amp;5'!B:J,9,FALSE),"-")</f>
        <v>-</v>
      </c>
      <c r="U305" s="78" t="str">
        <f>+IFERROR(VLOOKUP(F305,'ID1&amp;5'!K:L,2,FALSE),"-")</f>
        <v>-</v>
      </c>
      <c r="V305" s="79" t="str">
        <f>+IFERROR(VLOOKUP(CONCATENATE(A305,$F$10,F305),'ID1&amp;5'!B:J,9,FALSE),"-")</f>
        <v>-</v>
      </c>
      <c r="W305" s="26" t="str">
        <f>+IFERROR(VLOOKUP(A305,'ID6&amp;7'!A:I,9,FALSE),"-")</f>
        <v>-</v>
      </c>
      <c r="X305" s="26" t="str">
        <f>+IFERROR(VLOOKUP(A305,'ID6&amp;7'!A:J,10,FALSE),"-")</f>
        <v>-</v>
      </c>
      <c r="Y305" s="26"/>
      <c r="Z305" s="27" t="str">
        <f t="shared" si="5"/>
        <v>Por iniciar</v>
      </c>
      <c r="AA305" s="65"/>
    </row>
    <row r="306" spans="1:27">
      <c r="A306" s="20"/>
      <c r="B306" s="60"/>
      <c r="C306" s="60"/>
      <c r="D306" s="60"/>
      <c r="E306" s="60"/>
      <c r="F306" s="60"/>
      <c r="G306" s="60"/>
      <c r="H306" s="65" t="s">
        <v>117</v>
      </c>
      <c r="I306" s="21" t="s">
        <v>634</v>
      </c>
      <c r="J306" s="26">
        <f>+COUNTIF('ID1&amp;5'!G:G,'1. Status'!I306)</f>
        <v>0</v>
      </c>
      <c r="K306" s="79" t="str">
        <f>+IFERROR(VLOOKUP(CONCATENATE(A306,$B$10,B306),'ID1&amp;5'!B:J,8,FALSE),"-")</f>
        <v>-</v>
      </c>
      <c r="L306" s="78" t="str">
        <f>+IFERROR(VLOOKUP(B306,'ID1&amp;5'!K:L,2,FALSE),"-")</f>
        <v>-</v>
      </c>
      <c r="M306" s="79" t="str">
        <f>+IFERROR(VLOOKUP(CONCATENATE(A306,$B$10,B306),'ID1&amp;5'!B:J,9,FALSE),"-")</f>
        <v>-</v>
      </c>
      <c r="N306" s="79" t="str">
        <f>+IFERROR(VLOOKUP(CONCATENATE(A306,$C$10,C306),'ID1&amp;5'!B:J,8,FALSE),"-")</f>
        <v>-</v>
      </c>
      <c r="O306" s="78" t="str">
        <f>+IFERROR(VLOOKUP(C306,'ID1&amp;5'!K:L,2,FALSE),"-")</f>
        <v>-</v>
      </c>
      <c r="P306" s="79" t="str">
        <f>+IFERROR(VLOOKUP(CONCATENATE(A306,$C$10,C306),'ID1&amp;5'!B:J,9,FALSE),"-")</f>
        <v>-</v>
      </c>
      <c r="Q306" s="78" t="str">
        <f>+IFERROR(VLOOKUP(D306,'ID1&amp;5'!K:L,2,FALSE),"-")</f>
        <v>-</v>
      </c>
      <c r="R306" s="26" t="str">
        <f>+IFERROR(VLOOKUP(CONCATENATE(A306,$D$10,D306),'ID1&amp;5'!B:J,9,FALSE),"-")</f>
        <v>-</v>
      </c>
      <c r="S306" s="78" t="str">
        <f>+IFERROR(VLOOKUP(E306,'ID1&amp;5'!K:L,2,FALSE),"-")</f>
        <v>-</v>
      </c>
      <c r="T306" s="79" t="str">
        <f>+IFERROR(VLOOKUP(CONCATENATE(A306,$E$10,E306),'ID1&amp;5'!B:J,9,FALSE),"-")</f>
        <v>-</v>
      </c>
      <c r="U306" s="78" t="str">
        <f>+IFERROR(VLOOKUP(F306,'ID1&amp;5'!K:L,2,FALSE),"-")</f>
        <v>-</v>
      </c>
      <c r="V306" s="79" t="str">
        <f>+IFERROR(VLOOKUP(CONCATENATE(A306,$F$10,F306),'ID1&amp;5'!B:J,9,FALSE),"-")</f>
        <v>-</v>
      </c>
      <c r="W306" s="26" t="str">
        <f>+IFERROR(VLOOKUP(A306,'ID6&amp;7'!A:I,9,FALSE),"-")</f>
        <v>-</v>
      </c>
      <c r="X306" s="26" t="str">
        <f>+IFERROR(VLOOKUP(A306,'ID6&amp;7'!A:J,10,FALSE),"-")</f>
        <v>-</v>
      </c>
      <c r="Y306" s="26"/>
      <c r="Z306" s="27" t="str">
        <f t="shared" si="5"/>
        <v>Por iniciar</v>
      </c>
      <c r="AA306" s="65"/>
    </row>
    <row r="307" spans="1:27">
      <c r="A307" s="20"/>
      <c r="B307" s="60"/>
      <c r="C307" s="60"/>
      <c r="D307" s="60"/>
      <c r="E307" s="60"/>
      <c r="F307" s="60"/>
      <c r="G307" s="60"/>
      <c r="H307" s="65" t="s">
        <v>117</v>
      </c>
      <c r="I307" s="21" t="s">
        <v>635</v>
      </c>
      <c r="J307" s="26">
        <f>+COUNTIF('ID1&amp;5'!G:G,'1. Status'!I307)</f>
        <v>0</v>
      </c>
      <c r="K307" s="79" t="str">
        <f>+IFERROR(VLOOKUP(CONCATENATE(A307,$B$10,B307),'ID1&amp;5'!B:J,8,FALSE),"-")</f>
        <v>-</v>
      </c>
      <c r="L307" s="78" t="str">
        <f>+IFERROR(VLOOKUP(B307,'ID1&amp;5'!K:L,2,FALSE),"-")</f>
        <v>-</v>
      </c>
      <c r="M307" s="79" t="str">
        <f>+IFERROR(VLOOKUP(CONCATENATE(A307,$B$10,B307),'ID1&amp;5'!B:J,9,FALSE),"-")</f>
        <v>-</v>
      </c>
      <c r="N307" s="79" t="str">
        <f>+IFERROR(VLOOKUP(CONCATENATE(A307,$C$10,C307),'ID1&amp;5'!B:J,8,FALSE),"-")</f>
        <v>-</v>
      </c>
      <c r="O307" s="78" t="str">
        <f>+IFERROR(VLOOKUP(C307,'ID1&amp;5'!K:L,2,FALSE),"-")</f>
        <v>-</v>
      </c>
      <c r="P307" s="79" t="str">
        <f>+IFERROR(VLOOKUP(CONCATENATE(A307,$C$10,C307),'ID1&amp;5'!B:J,9,FALSE),"-")</f>
        <v>-</v>
      </c>
      <c r="Q307" s="78" t="str">
        <f>+IFERROR(VLOOKUP(D307,'ID1&amp;5'!K:L,2,FALSE),"-")</f>
        <v>-</v>
      </c>
      <c r="R307" s="26" t="str">
        <f>+IFERROR(VLOOKUP(CONCATENATE(A307,$D$10,D307),'ID1&amp;5'!B:J,9,FALSE),"-")</f>
        <v>-</v>
      </c>
      <c r="S307" s="78" t="str">
        <f>+IFERROR(VLOOKUP(E307,'ID1&amp;5'!K:L,2,FALSE),"-")</f>
        <v>-</v>
      </c>
      <c r="T307" s="79" t="str">
        <f>+IFERROR(VLOOKUP(CONCATENATE(A307,$E$10,E307),'ID1&amp;5'!B:J,9,FALSE),"-")</f>
        <v>-</v>
      </c>
      <c r="U307" s="78" t="str">
        <f>+IFERROR(VLOOKUP(F307,'ID1&amp;5'!K:L,2,FALSE),"-")</f>
        <v>-</v>
      </c>
      <c r="V307" s="79" t="str">
        <f>+IFERROR(VLOOKUP(CONCATENATE(A307,$F$10,F307),'ID1&amp;5'!B:J,9,FALSE),"-")</f>
        <v>-</v>
      </c>
      <c r="W307" s="26" t="str">
        <f>+IFERROR(VLOOKUP(A307,'ID6&amp;7'!A:I,9,FALSE),"-")</f>
        <v>-</v>
      </c>
      <c r="X307" s="26" t="str">
        <f>+IFERROR(VLOOKUP(A307,'ID6&amp;7'!A:J,10,FALSE),"-")</f>
        <v>-</v>
      </c>
      <c r="Y307" s="26"/>
      <c r="Z307" s="27" t="str">
        <f t="shared" si="5"/>
        <v>Por iniciar</v>
      </c>
      <c r="AA307" s="65"/>
    </row>
    <row r="308" spans="1:27">
      <c r="A308" s="20"/>
      <c r="B308" s="60"/>
      <c r="C308" s="60"/>
      <c r="D308" s="60"/>
      <c r="E308" s="60"/>
      <c r="F308" s="60"/>
      <c r="G308" s="60"/>
      <c r="H308" s="65" t="s">
        <v>117</v>
      </c>
      <c r="I308" s="21" t="s">
        <v>636</v>
      </c>
      <c r="J308" s="26">
        <f>+COUNTIF('ID1&amp;5'!G:G,'1. Status'!I308)</f>
        <v>0</v>
      </c>
      <c r="K308" s="79" t="str">
        <f>+IFERROR(VLOOKUP(CONCATENATE(A308,$B$10,B308),'ID1&amp;5'!B:J,8,FALSE),"-")</f>
        <v>-</v>
      </c>
      <c r="L308" s="78" t="str">
        <f>+IFERROR(VLOOKUP(B308,'ID1&amp;5'!K:L,2,FALSE),"-")</f>
        <v>-</v>
      </c>
      <c r="M308" s="79" t="str">
        <f>+IFERROR(VLOOKUP(CONCATENATE(A308,$B$10,B308),'ID1&amp;5'!B:J,9,FALSE),"-")</f>
        <v>-</v>
      </c>
      <c r="N308" s="79" t="str">
        <f>+IFERROR(VLOOKUP(CONCATENATE(A308,$C$10,C308),'ID1&amp;5'!B:J,8,FALSE),"-")</f>
        <v>-</v>
      </c>
      <c r="O308" s="78" t="str">
        <f>+IFERROR(VLOOKUP(C308,'ID1&amp;5'!K:L,2,FALSE),"-")</f>
        <v>-</v>
      </c>
      <c r="P308" s="79" t="str">
        <f>+IFERROR(VLOOKUP(CONCATENATE(A308,$C$10,C308),'ID1&amp;5'!B:J,9,FALSE),"-")</f>
        <v>-</v>
      </c>
      <c r="Q308" s="78" t="str">
        <f>+IFERROR(VLOOKUP(D308,'ID1&amp;5'!K:L,2,FALSE),"-")</f>
        <v>-</v>
      </c>
      <c r="R308" s="26" t="str">
        <f>+IFERROR(VLOOKUP(CONCATENATE(A308,$D$10,D308),'ID1&amp;5'!B:J,9,FALSE),"-")</f>
        <v>-</v>
      </c>
      <c r="S308" s="78" t="str">
        <f>+IFERROR(VLOOKUP(E308,'ID1&amp;5'!K:L,2,FALSE),"-")</f>
        <v>-</v>
      </c>
      <c r="T308" s="79" t="str">
        <f>+IFERROR(VLOOKUP(CONCATENATE(A308,$E$10,E308),'ID1&amp;5'!B:J,9,FALSE),"-")</f>
        <v>-</v>
      </c>
      <c r="U308" s="78" t="str">
        <f>+IFERROR(VLOOKUP(F308,'ID1&amp;5'!K:L,2,FALSE),"-")</f>
        <v>-</v>
      </c>
      <c r="V308" s="79" t="str">
        <f>+IFERROR(VLOOKUP(CONCATENATE(A308,$F$10,F308),'ID1&amp;5'!B:J,9,FALSE),"-")</f>
        <v>-</v>
      </c>
      <c r="W308" s="26" t="str">
        <f>+IFERROR(VLOOKUP(A308,'ID6&amp;7'!A:I,9,FALSE),"-")</f>
        <v>-</v>
      </c>
      <c r="X308" s="26" t="str">
        <f>+IFERROR(VLOOKUP(A308,'ID6&amp;7'!A:J,10,FALSE),"-")</f>
        <v>-</v>
      </c>
      <c r="Y308" s="26"/>
      <c r="Z308" s="27" t="str">
        <f t="shared" si="5"/>
        <v>Por iniciar</v>
      </c>
      <c r="AA308" s="65"/>
    </row>
    <row r="309" spans="1:27">
      <c r="A309" s="20"/>
      <c r="B309" s="60"/>
      <c r="C309" s="60"/>
      <c r="D309" s="60"/>
      <c r="E309" s="60"/>
      <c r="F309" s="60"/>
      <c r="G309" s="60"/>
      <c r="H309" s="65" t="s">
        <v>117</v>
      </c>
      <c r="I309" s="21" t="s">
        <v>637</v>
      </c>
      <c r="J309" s="26">
        <f>+COUNTIF('ID1&amp;5'!G:G,'1. Status'!I309)</f>
        <v>0</v>
      </c>
      <c r="K309" s="79" t="str">
        <f>+IFERROR(VLOOKUP(CONCATENATE(A309,$B$10,B309),'ID1&amp;5'!B:J,8,FALSE),"-")</f>
        <v>-</v>
      </c>
      <c r="L309" s="78" t="str">
        <f>+IFERROR(VLOOKUP(B309,'ID1&amp;5'!K:L,2,FALSE),"-")</f>
        <v>-</v>
      </c>
      <c r="M309" s="79" t="str">
        <f>+IFERROR(VLOOKUP(CONCATENATE(A309,$B$10,B309),'ID1&amp;5'!B:J,9,FALSE),"-")</f>
        <v>-</v>
      </c>
      <c r="N309" s="79" t="str">
        <f>+IFERROR(VLOOKUP(CONCATENATE(A309,$C$10,C309),'ID1&amp;5'!B:J,8,FALSE),"-")</f>
        <v>-</v>
      </c>
      <c r="O309" s="78" t="str">
        <f>+IFERROR(VLOOKUP(C309,'ID1&amp;5'!K:L,2,FALSE),"-")</f>
        <v>-</v>
      </c>
      <c r="P309" s="79" t="str">
        <f>+IFERROR(VLOOKUP(CONCATENATE(A309,$C$10,C309),'ID1&amp;5'!B:J,9,FALSE),"-")</f>
        <v>-</v>
      </c>
      <c r="Q309" s="78" t="str">
        <f>+IFERROR(VLOOKUP(D309,'ID1&amp;5'!K:L,2,FALSE),"-")</f>
        <v>-</v>
      </c>
      <c r="R309" s="26" t="str">
        <f>+IFERROR(VLOOKUP(CONCATENATE(A309,$D$10,D309),'ID1&amp;5'!B:J,9,FALSE),"-")</f>
        <v>-</v>
      </c>
      <c r="S309" s="78" t="str">
        <f>+IFERROR(VLOOKUP(E309,'ID1&amp;5'!K:L,2,FALSE),"-")</f>
        <v>-</v>
      </c>
      <c r="T309" s="79" t="str">
        <f>+IFERROR(VLOOKUP(CONCATENATE(A309,$E$10,E309),'ID1&amp;5'!B:J,9,FALSE),"-")</f>
        <v>-</v>
      </c>
      <c r="U309" s="78" t="str">
        <f>+IFERROR(VLOOKUP(F309,'ID1&amp;5'!K:L,2,FALSE),"-")</f>
        <v>-</v>
      </c>
      <c r="V309" s="79" t="str">
        <f>+IFERROR(VLOOKUP(CONCATENATE(A309,$F$10,F309),'ID1&amp;5'!B:J,9,FALSE),"-")</f>
        <v>-</v>
      </c>
      <c r="W309" s="26" t="str">
        <f>+IFERROR(VLOOKUP(A309,'ID6&amp;7'!A:I,9,FALSE),"-")</f>
        <v>-</v>
      </c>
      <c r="X309" s="26" t="str">
        <f>+IFERROR(VLOOKUP(A309,'ID6&amp;7'!A:J,10,FALSE),"-")</f>
        <v>-</v>
      </c>
      <c r="Y309" s="26"/>
      <c r="Z309" s="27" t="str">
        <f t="shared" si="5"/>
        <v>Por iniciar</v>
      </c>
      <c r="AA309" s="65"/>
    </row>
    <row r="310" spans="1:27">
      <c r="A310" s="20"/>
      <c r="B310" s="60"/>
      <c r="C310" s="60"/>
      <c r="D310" s="60"/>
      <c r="E310" s="60"/>
      <c r="F310" s="60"/>
      <c r="G310" s="60"/>
      <c r="H310" s="65" t="s">
        <v>117</v>
      </c>
      <c r="I310" s="21" t="s">
        <v>638</v>
      </c>
      <c r="J310" s="26">
        <f>+COUNTIF('ID1&amp;5'!G:G,'1. Status'!I310)</f>
        <v>0</v>
      </c>
      <c r="K310" s="79" t="str">
        <f>+IFERROR(VLOOKUP(CONCATENATE(A310,$B$10,B310),'ID1&amp;5'!B:J,8,FALSE),"-")</f>
        <v>-</v>
      </c>
      <c r="L310" s="78" t="str">
        <f>+IFERROR(VLOOKUP(B310,'ID1&amp;5'!K:L,2,FALSE),"-")</f>
        <v>-</v>
      </c>
      <c r="M310" s="79" t="str">
        <f>+IFERROR(VLOOKUP(CONCATENATE(A310,$B$10,B310),'ID1&amp;5'!B:J,9,FALSE),"-")</f>
        <v>-</v>
      </c>
      <c r="N310" s="79" t="str">
        <f>+IFERROR(VLOOKUP(CONCATENATE(A310,$C$10,C310),'ID1&amp;5'!B:J,8,FALSE),"-")</f>
        <v>-</v>
      </c>
      <c r="O310" s="78" t="str">
        <f>+IFERROR(VLOOKUP(C310,'ID1&amp;5'!K:L,2,FALSE),"-")</f>
        <v>-</v>
      </c>
      <c r="P310" s="79" t="str">
        <f>+IFERROR(VLOOKUP(CONCATENATE(A310,$C$10,C310),'ID1&amp;5'!B:J,9,FALSE),"-")</f>
        <v>-</v>
      </c>
      <c r="Q310" s="78" t="str">
        <f>+IFERROR(VLOOKUP(D310,'ID1&amp;5'!K:L,2,FALSE),"-")</f>
        <v>-</v>
      </c>
      <c r="R310" s="26" t="str">
        <f>+IFERROR(VLOOKUP(CONCATENATE(A310,$D$10,D310),'ID1&amp;5'!B:J,9,FALSE),"-")</f>
        <v>-</v>
      </c>
      <c r="S310" s="78" t="str">
        <f>+IFERROR(VLOOKUP(E310,'ID1&amp;5'!K:L,2,FALSE),"-")</f>
        <v>-</v>
      </c>
      <c r="T310" s="79" t="str">
        <f>+IFERROR(VLOOKUP(CONCATENATE(A310,$E$10,E310),'ID1&amp;5'!B:J,9,FALSE),"-")</f>
        <v>-</v>
      </c>
      <c r="U310" s="78" t="str">
        <f>+IFERROR(VLOOKUP(F310,'ID1&amp;5'!K:L,2,FALSE),"-")</f>
        <v>-</v>
      </c>
      <c r="V310" s="79" t="str">
        <f>+IFERROR(VLOOKUP(CONCATENATE(A310,$F$10,F310),'ID1&amp;5'!B:J,9,FALSE),"-")</f>
        <v>-</v>
      </c>
      <c r="W310" s="26" t="str">
        <f>+IFERROR(VLOOKUP(A310,'ID6&amp;7'!A:I,9,FALSE),"-")</f>
        <v>-</v>
      </c>
      <c r="X310" s="26" t="str">
        <f>+IFERROR(VLOOKUP(A310,'ID6&amp;7'!A:J,10,FALSE),"-")</f>
        <v>-</v>
      </c>
      <c r="Y310" s="26"/>
      <c r="Z310" s="27" t="str">
        <f t="shared" si="5"/>
        <v>Por iniciar</v>
      </c>
      <c r="AA310" s="65"/>
    </row>
    <row r="311" spans="1:27">
      <c r="A311" s="20"/>
      <c r="B311" s="60"/>
      <c r="C311" s="60"/>
      <c r="D311" s="60"/>
      <c r="E311" s="60"/>
      <c r="F311" s="60"/>
      <c r="G311" s="60"/>
      <c r="H311" s="65" t="s">
        <v>117</v>
      </c>
      <c r="I311" s="21" t="s">
        <v>639</v>
      </c>
      <c r="J311" s="26">
        <f>+COUNTIF('ID1&amp;5'!G:G,'1. Status'!I311)</f>
        <v>0</v>
      </c>
      <c r="K311" s="79" t="str">
        <f>+IFERROR(VLOOKUP(CONCATENATE(A311,$B$10,B311),'ID1&amp;5'!B:J,8,FALSE),"-")</f>
        <v>-</v>
      </c>
      <c r="L311" s="78" t="str">
        <f>+IFERROR(VLOOKUP(B311,'ID1&amp;5'!K:L,2,FALSE),"-")</f>
        <v>-</v>
      </c>
      <c r="M311" s="79" t="str">
        <f>+IFERROR(VLOOKUP(CONCATENATE(A311,$B$10,B311),'ID1&amp;5'!B:J,9,FALSE),"-")</f>
        <v>-</v>
      </c>
      <c r="N311" s="79" t="str">
        <f>+IFERROR(VLOOKUP(CONCATENATE(A311,$C$10,C311),'ID1&amp;5'!B:J,8,FALSE),"-")</f>
        <v>-</v>
      </c>
      <c r="O311" s="78" t="str">
        <f>+IFERROR(VLOOKUP(C311,'ID1&amp;5'!K:L,2,FALSE),"-")</f>
        <v>-</v>
      </c>
      <c r="P311" s="79" t="str">
        <f>+IFERROR(VLOOKUP(CONCATENATE(A311,$C$10,C311),'ID1&amp;5'!B:J,9,FALSE),"-")</f>
        <v>-</v>
      </c>
      <c r="Q311" s="78" t="str">
        <f>+IFERROR(VLOOKUP(D311,'ID1&amp;5'!K:L,2,FALSE),"-")</f>
        <v>-</v>
      </c>
      <c r="R311" s="26" t="str">
        <f>+IFERROR(VLOOKUP(CONCATENATE(A311,$D$10,D311),'ID1&amp;5'!B:J,9,FALSE),"-")</f>
        <v>-</v>
      </c>
      <c r="S311" s="78" t="str">
        <f>+IFERROR(VLOOKUP(E311,'ID1&amp;5'!K:L,2,FALSE),"-")</f>
        <v>-</v>
      </c>
      <c r="T311" s="79" t="str">
        <f>+IFERROR(VLOOKUP(CONCATENATE(A311,$E$10,E311),'ID1&amp;5'!B:J,9,FALSE),"-")</f>
        <v>-</v>
      </c>
      <c r="U311" s="78" t="str">
        <f>+IFERROR(VLOOKUP(F311,'ID1&amp;5'!K:L,2,FALSE),"-")</f>
        <v>-</v>
      </c>
      <c r="V311" s="79" t="str">
        <f>+IFERROR(VLOOKUP(CONCATENATE(A311,$F$10,F311),'ID1&amp;5'!B:J,9,FALSE),"-")</f>
        <v>-</v>
      </c>
      <c r="W311" s="26" t="str">
        <f>+IFERROR(VLOOKUP(A311,'ID6&amp;7'!A:I,9,FALSE),"-")</f>
        <v>-</v>
      </c>
      <c r="X311" s="26" t="str">
        <f>+IFERROR(VLOOKUP(A311,'ID6&amp;7'!A:J,10,FALSE),"-")</f>
        <v>-</v>
      </c>
      <c r="Y311" s="26"/>
      <c r="Z311" s="27" t="str">
        <f t="shared" si="5"/>
        <v>Por iniciar</v>
      </c>
      <c r="AA311" s="65"/>
    </row>
    <row r="312" spans="1:27">
      <c r="A312" s="20"/>
      <c r="B312" s="60"/>
      <c r="C312" s="60"/>
      <c r="D312" s="60"/>
      <c r="E312" s="60"/>
      <c r="F312" s="60"/>
      <c r="G312" s="60"/>
      <c r="H312" s="65" t="s">
        <v>117</v>
      </c>
      <c r="I312" s="21" t="s">
        <v>1350</v>
      </c>
      <c r="J312" s="26">
        <f>+COUNTIF('ID1&amp;5'!G:G,'1. Status'!I312)</f>
        <v>0</v>
      </c>
      <c r="K312" s="79" t="str">
        <f>+IFERROR(VLOOKUP(CONCATENATE(A312,$B$10,B312),'ID1&amp;5'!B:J,8,FALSE),"-")</f>
        <v>-</v>
      </c>
      <c r="L312" s="78" t="str">
        <f>+IFERROR(VLOOKUP(B312,'ID1&amp;5'!K:L,2,FALSE),"-")</f>
        <v>-</v>
      </c>
      <c r="M312" s="79" t="str">
        <f>+IFERROR(VLOOKUP(CONCATENATE(A312,$B$10,B312),'ID1&amp;5'!B:J,9,FALSE),"-")</f>
        <v>-</v>
      </c>
      <c r="N312" s="79" t="str">
        <f>+IFERROR(VLOOKUP(CONCATENATE(A312,$C$10,C312),'ID1&amp;5'!B:J,8,FALSE),"-")</f>
        <v>-</v>
      </c>
      <c r="O312" s="78" t="str">
        <f>+IFERROR(VLOOKUP(C312,'ID1&amp;5'!K:L,2,FALSE),"-")</f>
        <v>-</v>
      </c>
      <c r="P312" s="79" t="str">
        <f>+IFERROR(VLOOKUP(CONCATENATE(A312,$C$10,C312),'ID1&amp;5'!B:J,9,FALSE),"-")</f>
        <v>-</v>
      </c>
      <c r="Q312" s="78" t="str">
        <f>+IFERROR(VLOOKUP(D312,'ID1&amp;5'!K:L,2,FALSE),"-")</f>
        <v>-</v>
      </c>
      <c r="R312" s="26" t="str">
        <f>+IFERROR(VLOOKUP(CONCATENATE(A312,$D$10,D312),'ID1&amp;5'!B:J,9,FALSE),"-")</f>
        <v>-</v>
      </c>
      <c r="S312" s="78" t="str">
        <f>+IFERROR(VLOOKUP(E312,'ID1&amp;5'!K:L,2,FALSE),"-")</f>
        <v>-</v>
      </c>
      <c r="T312" s="79" t="str">
        <f>+IFERROR(VLOOKUP(CONCATENATE(A312,$E$10,E312),'ID1&amp;5'!B:J,9,FALSE),"-")</f>
        <v>-</v>
      </c>
      <c r="U312" s="78" t="str">
        <f>+IFERROR(VLOOKUP(F312,'ID1&amp;5'!K:L,2,FALSE),"-")</f>
        <v>-</v>
      </c>
      <c r="V312" s="79" t="str">
        <f>+IFERROR(VLOOKUP(CONCATENATE(A312,$F$10,F312),'ID1&amp;5'!B:J,9,FALSE),"-")</f>
        <v>-</v>
      </c>
      <c r="W312" s="26" t="str">
        <f>+IFERROR(VLOOKUP(A312,'ID6&amp;7'!A:I,9,FALSE),"-")</f>
        <v>-</v>
      </c>
      <c r="X312" s="26" t="str">
        <f>+IFERROR(VLOOKUP(A312,'ID6&amp;7'!A:J,10,FALSE),"-")</f>
        <v>-</v>
      </c>
      <c r="Y312" s="26"/>
      <c r="Z312" s="27" t="str">
        <f t="shared" si="5"/>
        <v>Por iniciar</v>
      </c>
      <c r="AA312" s="65"/>
    </row>
    <row r="313" spans="1:27">
      <c r="A313" s="20"/>
      <c r="B313" s="60"/>
      <c r="C313" s="60"/>
      <c r="D313" s="60"/>
      <c r="E313" s="60"/>
      <c r="F313" s="60"/>
      <c r="G313" s="60"/>
      <c r="H313" s="65" t="s">
        <v>117</v>
      </c>
      <c r="I313" s="21" t="s">
        <v>1351</v>
      </c>
      <c r="J313" s="26">
        <f>+COUNTIF('ID1&amp;5'!G:G,'1. Status'!I313)</f>
        <v>0</v>
      </c>
      <c r="K313" s="79" t="str">
        <f>+IFERROR(VLOOKUP(CONCATENATE(A313,$B$10,B313),'ID1&amp;5'!B:J,8,FALSE),"-")</f>
        <v>-</v>
      </c>
      <c r="L313" s="78" t="str">
        <f>+IFERROR(VLOOKUP(B313,'ID1&amp;5'!K:L,2,FALSE),"-")</f>
        <v>-</v>
      </c>
      <c r="M313" s="79" t="str">
        <f>+IFERROR(VLOOKUP(CONCATENATE(A313,$B$10,B313),'ID1&amp;5'!B:J,9,FALSE),"-")</f>
        <v>-</v>
      </c>
      <c r="N313" s="79" t="str">
        <f>+IFERROR(VLOOKUP(CONCATENATE(A313,$C$10,C313),'ID1&amp;5'!B:J,8,FALSE),"-")</f>
        <v>-</v>
      </c>
      <c r="O313" s="78" t="str">
        <f>+IFERROR(VLOOKUP(C313,'ID1&amp;5'!K:L,2,FALSE),"-")</f>
        <v>-</v>
      </c>
      <c r="P313" s="79" t="str">
        <f>+IFERROR(VLOOKUP(CONCATENATE(A313,$C$10,C313),'ID1&amp;5'!B:J,9,FALSE),"-")</f>
        <v>-</v>
      </c>
      <c r="Q313" s="78" t="str">
        <f>+IFERROR(VLOOKUP(D313,'ID1&amp;5'!K:L,2,FALSE),"-")</f>
        <v>-</v>
      </c>
      <c r="R313" s="26" t="str">
        <f>+IFERROR(VLOOKUP(CONCATENATE(A313,$D$10,D313),'ID1&amp;5'!B:J,9,FALSE),"-")</f>
        <v>-</v>
      </c>
      <c r="S313" s="78" t="str">
        <f>+IFERROR(VLOOKUP(E313,'ID1&amp;5'!K:L,2,FALSE),"-")</f>
        <v>-</v>
      </c>
      <c r="T313" s="79" t="str">
        <f>+IFERROR(VLOOKUP(CONCATENATE(A313,$E$10,E313),'ID1&amp;5'!B:J,9,FALSE),"-")</f>
        <v>-</v>
      </c>
      <c r="U313" s="78" t="str">
        <f>+IFERROR(VLOOKUP(F313,'ID1&amp;5'!K:L,2,FALSE),"-")</f>
        <v>-</v>
      </c>
      <c r="V313" s="79" t="str">
        <f>+IFERROR(VLOOKUP(CONCATENATE(A313,$F$10,F313),'ID1&amp;5'!B:J,9,FALSE),"-")</f>
        <v>-</v>
      </c>
      <c r="W313" s="26" t="str">
        <f>+IFERROR(VLOOKUP(A313,'ID6&amp;7'!A:I,9,FALSE),"-")</f>
        <v>-</v>
      </c>
      <c r="X313" s="26" t="str">
        <f>+IFERROR(VLOOKUP(A313,'ID6&amp;7'!A:J,10,FALSE),"-")</f>
        <v>-</v>
      </c>
      <c r="Y313" s="26"/>
      <c r="Z313" s="27" t="str">
        <f t="shared" si="5"/>
        <v>Por iniciar</v>
      </c>
      <c r="AA313" s="65"/>
    </row>
    <row r="314" spans="1:27">
      <c r="A314" s="20"/>
      <c r="B314" s="60"/>
      <c r="C314" s="60"/>
      <c r="D314" s="60"/>
      <c r="E314" s="60"/>
      <c r="F314" s="60"/>
      <c r="G314" s="60"/>
      <c r="H314" s="65" t="s">
        <v>117</v>
      </c>
      <c r="I314" s="21" t="s">
        <v>1352</v>
      </c>
      <c r="J314" s="26">
        <f>+COUNTIF('ID1&amp;5'!G:G,'1. Status'!I314)</f>
        <v>0</v>
      </c>
      <c r="K314" s="79" t="str">
        <f>+IFERROR(VLOOKUP(CONCATENATE(A314,$B$10,B314),'ID1&amp;5'!B:J,8,FALSE),"-")</f>
        <v>-</v>
      </c>
      <c r="L314" s="78" t="str">
        <f>+IFERROR(VLOOKUP(B314,'ID1&amp;5'!K:L,2,FALSE),"-")</f>
        <v>-</v>
      </c>
      <c r="M314" s="79" t="str">
        <f>+IFERROR(VLOOKUP(CONCATENATE(A314,$B$10,B314),'ID1&amp;5'!B:J,9,FALSE),"-")</f>
        <v>-</v>
      </c>
      <c r="N314" s="79" t="str">
        <f>+IFERROR(VLOOKUP(CONCATENATE(A314,$C$10,C314),'ID1&amp;5'!B:J,8,FALSE),"-")</f>
        <v>-</v>
      </c>
      <c r="O314" s="78" t="str">
        <f>+IFERROR(VLOOKUP(C314,'ID1&amp;5'!K:L,2,FALSE),"-")</f>
        <v>-</v>
      </c>
      <c r="P314" s="79" t="str">
        <f>+IFERROR(VLOOKUP(CONCATENATE(A314,$C$10,C314),'ID1&amp;5'!B:J,9,FALSE),"-")</f>
        <v>-</v>
      </c>
      <c r="Q314" s="78" t="str">
        <f>+IFERROR(VLOOKUP(D314,'ID1&amp;5'!K:L,2,FALSE),"-")</f>
        <v>-</v>
      </c>
      <c r="R314" s="26" t="str">
        <f>+IFERROR(VLOOKUP(CONCATENATE(A314,$D$10,D314),'ID1&amp;5'!B:J,9,FALSE),"-")</f>
        <v>-</v>
      </c>
      <c r="S314" s="78" t="str">
        <f>+IFERROR(VLOOKUP(E314,'ID1&amp;5'!K:L,2,FALSE),"-")</f>
        <v>-</v>
      </c>
      <c r="T314" s="79" t="str">
        <f>+IFERROR(VLOOKUP(CONCATENATE(A314,$E$10,E314),'ID1&amp;5'!B:J,9,FALSE),"-")</f>
        <v>-</v>
      </c>
      <c r="U314" s="78" t="str">
        <f>+IFERROR(VLOOKUP(F314,'ID1&amp;5'!K:L,2,FALSE),"-")</f>
        <v>-</v>
      </c>
      <c r="V314" s="79" t="str">
        <f>+IFERROR(VLOOKUP(CONCATENATE(A314,$F$10,F314),'ID1&amp;5'!B:J,9,FALSE),"-")</f>
        <v>-</v>
      </c>
      <c r="W314" s="26" t="str">
        <f>+IFERROR(VLOOKUP(A314,'ID6&amp;7'!A:I,9,FALSE),"-")</f>
        <v>-</v>
      </c>
      <c r="X314" s="26" t="str">
        <f>+IFERROR(VLOOKUP(A314,'ID6&amp;7'!A:J,10,FALSE),"-")</f>
        <v>-</v>
      </c>
      <c r="Y314" s="26"/>
      <c r="Z314" s="27" t="str">
        <f t="shared" si="5"/>
        <v>Por iniciar</v>
      </c>
      <c r="AA314" s="65"/>
    </row>
    <row r="315" spans="1:27">
      <c r="A315" s="20"/>
      <c r="B315" s="60"/>
      <c r="C315" s="60"/>
      <c r="D315" s="60"/>
      <c r="E315" s="60"/>
      <c r="F315" s="60"/>
      <c r="G315" s="60"/>
      <c r="H315" s="65" t="s">
        <v>117</v>
      </c>
      <c r="I315" s="21" t="s">
        <v>1353</v>
      </c>
      <c r="J315" s="26">
        <f>+COUNTIF('ID1&amp;5'!G:G,'1. Status'!I315)</f>
        <v>0</v>
      </c>
      <c r="K315" s="79" t="str">
        <f>+IFERROR(VLOOKUP(CONCATENATE(A315,$B$10,B315),'ID1&amp;5'!B:J,8,FALSE),"-")</f>
        <v>-</v>
      </c>
      <c r="L315" s="78" t="str">
        <f>+IFERROR(VLOOKUP(B315,'ID1&amp;5'!K:L,2,FALSE),"-")</f>
        <v>-</v>
      </c>
      <c r="M315" s="79" t="str">
        <f>+IFERROR(VLOOKUP(CONCATENATE(A315,$B$10,B315),'ID1&amp;5'!B:J,9,FALSE),"-")</f>
        <v>-</v>
      </c>
      <c r="N315" s="79" t="str">
        <f>+IFERROR(VLOOKUP(CONCATENATE(A315,$C$10,C315),'ID1&amp;5'!B:J,8,FALSE),"-")</f>
        <v>-</v>
      </c>
      <c r="O315" s="78" t="str">
        <f>+IFERROR(VLOOKUP(C315,'ID1&amp;5'!K:L,2,FALSE),"-")</f>
        <v>-</v>
      </c>
      <c r="P315" s="79" t="str">
        <f>+IFERROR(VLOOKUP(CONCATENATE(A315,$C$10,C315),'ID1&amp;5'!B:J,9,FALSE),"-")</f>
        <v>-</v>
      </c>
      <c r="Q315" s="78" t="str">
        <f>+IFERROR(VLOOKUP(D315,'ID1&amp;5'!K:L,2,FALSE),"-")</f>
        <v>-</v>
      </c>
      <c r="R315" s="26" t="str">
        <f>+IFERROR(VLOOKUP(CONCATENATE(A315,$D$10,D315),'ID1&amp;5'!B:J,9,FALSE),"-")</f>
        <v>-</v>
      </c>
      <c r="S315" s="78" t="str">
        <f>+IFERROR(VLOOKUP(E315,'ID1&amp;5'!K:L,2,FALSE),"-")</f>
        <v>-</v>
      </c>
      <c r="T315" s="79" t="str">
        <f>+IFERROR(VLOOKUP(CONCATENATE(A315,$E$10,E315),'ID1&amp;5'!B:J,9,FALSE),"-")</f>
        <v>-</v>
      </c>
      <c r="U315" s="78" t="str">
        <f>+IFERROR(VLOOKUP(F315,'ID1&amp;5'!K:L,2,FALSE),"-")</f>
        <v>-</v>
      </c>
      <c r="V315" s="79" t="str">
        <f>+IFERROR(VLOOKUP(CONCATENATE(A315,$F$10,F315),'ID1&amp;5'!B:J,9,FALSE),"-")</f>
        <v>-</v>
      </c>
      <c r="W315" s="26" t="str">
        <f>+IFERROR(VLOOKUP(A315,'ID6&amp;7'!A:I,9,FALSE),"-")</f>
        <v>-</v>
      </c>
      <c r="X315" s="26" t="str">
        <f>+IFERROR(VLOOKUP(A315,'ID6&amp;7'!A:J,10,FALSE),"-")</f>
        <v>-</v>
      </c>
      <c r="Y315" s="26"/>
      <c r="Z315" s="27" t="str">
        <f t="shared" si="5"/>
        <v>Por iniciar</v>
      </c>
      <c r="AA315" s="65"/>
    </row>
    <row r="316" spans="1:27">
      <c r="A316" s="20"/>
      <c r="B316" s="60"/>
      <c r="C316" s="60"/>
      <c r="D316" s="60"/>
      <c r="E316" s="60"/>
      <c r="F316" s="60"/>
      <c r="G316" s="60"/>
      <c r="H316" s="65" t="s">
        <v>117</v>
      </c>
      <c r="I316" s="21" t="s">
        <v>1354</v>
      </c>
      <c r="J316" s="26">
        <f>+COUNTIF('ID1&amp;5'!G:G,'1. Status'!I316)</f>
        <v>0</v>
      </c>
      <c r="K316" s="79" t="str">
        <f>+IFERROR(VLOOKUP(CONCATENATE(A316,$B$10,B316),'ID1&amp;5'!B:J,8,FALSE),"-")</f>
        <v>-</v>
      </c>
      <c r="L316" s="78" t="str">
        <f>+IFERROR(VLOOKUP(B316,'ID1&amp;5'!K:L,2,FALSE),"-")</f>
        <v>-</v>
      </c>
      <c r="M316" s="79" t="str">
        <f>+IFERROR(VLOOKUP(CONCATENATE(A316,$B$10,B316),'ID1&amp;5'!B:J,9,FALSE),"-")</f>
        <v>-</v>
      </c>
      <c r="N316" s="79" t="str">
        <f>+IFERROR(VLOOKUP(CONCATENATE(A316,$C$10,C316),'ID1&amp;5'!B:J,8,FALSE),"-")</f>
        <v>-</v>
      </c>
      <c r="O316" s="78" t="str">
        <f>+IFERROR(VLOOKUP(C316,'ID1&amp;5'!K:L,2,FALSE),"-")</f>
        <v>-</v>
      </c>
      <c r="P316" s="79" t="str">
        <f>+IFERROR(VLOOKUP(CONCATENATE(A316,$C$10,C316),'ID1&amp;5'!B:J,9,FALSE),"-")</f>
        <v>-</v>
      </c>
      <c r="Q316" s="78" t="str">
        <f>+IFERROR(VLOOKUP(D316,'ID1&amp;5'!K:L,2,FALSE),"-")</f>
        <v>-</v>
      </c>
      <c r="R316" s="26" t="str">
        <f>+IFERROR(VLOOKUP(CONCATENATE(A316,$D$10,D316),'ID1&amp;5'!B:J,9,FALSE),"-")</f>
        <v>-</v>
      </c>
      <c r="S316" s="78" t="str">
        <f>+IFERROR(VLOOKUP(E316,'ID1&amp;5'!K:L,2,FALSE),"-")</f>
        <v>-</v>
      </c>
      <c r="T316" s="79" t="str">
        <f>+IFERROR(VLOOKUP(CONCATENATE(A316,$E$10,E316),'ID1&amp;5'!B:J,9,FALSE),"-")</f>
        <v>-</v>
      </c>
      <c r="U316" s="78" t="str">
        <f>+IFERROR(VLOOKUP(F316,'ID1&amp;5'!K:L,2,FALSE),"-")</f>
        <v>-</v>
      </c>
      <c r="V316" s="79" t="str">
        <f>+IFERROR(VLOOKUP(CONCATENATE(A316,$F$10,F316),'ID1&amp;5'!B:J,9,FALSE),"-")</f>
        <v>-</v>
      </c>
      <c r="W316" s="26" t="str">
        <f>+IFERROR(VLOOKUP(A316,'ID6&amp;7'!A:I,9,FALSE),"-")</f>
        <v>-</v>
      </c>
      <c r="X316" s="26" t="str">
        <f>+IFERROR(VLOOKUP(A316,'ID6&amp;7'!A:J,10,FALSE),"-")</f>
        <v>-</v>
      </c>
      <c r="Y316" s="26"/>
      <c r="Z316" s="27" t="str">
        <f t="shared" si="5"/>
        <v>Por iniciar</v>
      </c>
      <c r="AA316" s="65"/>
    </row>
    <row r="317" spans="1:27">
      <c r="A317" s="20"/>
      <c r="B317" s="60"/>
      <c r="C317" s="60"/>
      <c r="D317" s="60"/>
      <c r="E317" s="60"/>
      <c r="F317" s="60"/>
      <c r="G317" s="60"/>
      <c r="H317" s="65" t="s">
        <v>117</v>
      </c>
      <c r="I317" s="21" t="s">
        <v>1355</v>
      </c>
      <c r="J317" s="26">
        <f>+COUNTIF('ID1&amp;5'!G:G,'1. Status'!I317)</f>
        <v>0</v>
      </c>
      <c r="K317" s="79" t="str">
        <f>+IFERROR(VLOOKUP(CONCATENATE(A317,$B$10,B317),'ID1&amp;5'!B:J,8,FALSE),"-")</f>
        <v>-</v>
      </c>
      <c r="L317" s="78" t="str">
        <f>+IFERROR(VLOOKUP(B317,'ID1&amp;5'!K:L,2,FALSE),"-")</f>
        <v>-</v>
      </c>
      <c r="M317" s="79" t="str">
        <f>+IFERROR(VLOOKUP(CONCATENATE(A317,$B$10,B317),'ID1&amp;5'!B:J,9,FALSE),"-")</f>
        <v>-</v>
      </c>
      <c r="N317" s="79" t="str">
        <f>+IFERROR(VLOOKUP(CONCATENATE(A317,$C$10,C317),'ID1&amp;5'!B:J,8,FALSE),"-")</f>
        <v>-</v>
      </c>
      <c r="O317" s="78" t="str">
        <f>+IFERROR(VLOOKUP(C317,'ID1&amp;5'!K:L,2,FALSE),"-")</f>
        <v>-</v>
      </c>
      <c r="P317" s="79" t="str">
        <f>+IFERROR(VLOOKUP(CONCATENATE(A317,$C$10,C317),'ID1&amp;5'!B:J,9,FALSE),"-")</f>
        <v>-</v>
      </c>
      <c r="Q317" s="78" t="str">
        <f>+IFERROR(VLOOKUP(D317,'ID1&amp;5'!K:L,2,FALSE),"-")</f>
        <v>-</v>
      </c>
      <c r="R317" s="26" t="str">
        <f>+IFERROR(VLOOKUP(CONCATENATE(A317,$D$10,D317),'ID1&amp;5'!B:J,9,FALSE),"-")</f>
        <v>-</v>
      </c>
      <c r="S317" s="78" t="str">
        <f>+IFERROR(VLOOKUP(E317,'ID1&amp;5'!K:L,2,FALSE),"-")</f>
        <v>-</v>
      </c>
      <c r="T317" s="79" t="str">
        <f>+IFERROR(VLOOKUP(CONCATENATE(A317,$E$10,E317),'ID1&amp;5'!B:J,9,FALSE),"-")</f>
        <v>-</v>
      </c>
      <c r="U317" s="78" t="str">
        <f>+IFERROR(VLOOKUP(F317,'ID1&amp;5'!K:L,2,FALSE),"-")</f>
        <v>-</v>
      </c>
      <c r="V317" s="79" t="str">
        <f>+IFERROR(VLOOKUP(CONCATENATE(A317,$F$10,F317),'ID1&amp;5'!B:J,9,FALSE),"-")</f>
        <v>-</v>
      </c>
      <c r="W317" s="26" t="str">
        <f>+IFERROR(VLOOKUP(A317,'ID6&amp;7'!A:I,9,FALSE),"-")</f>
        <v>-</v>
      </c>
      <c r="X317" s="26" t="str">
        <f>+IFERROR(VLOOKUP(A317,'ID6&amp;7'!A:J,10,FALSE),"-")</f>
        <v>-</v>
      </c>
      <c r="Y317" s="26"/>
      <c r="Z317" s="27" t="str">
        <f t="shared" si="5"/>
        <v>Por iniciar</v>
      </c>
      <c r="AA317" s="65"/>
    </row>
    <row r="318" spans="1:27">
      <c r="A318" s="20"/>
      <c r="B318" s="60"/>
      <c r="C318" s="60"/>
      <c r="D318" s="60"/>
      <c r="E318" s="60"/>
      <c r="F318" s="60"/>
      <c r="G318" s="60"/>
      <c r="H318" s="65" t="s">
        <v>117</v>
      </c>
      <c r="I318" s="21" t="s">
        <v>1356</v>
      </c>
      <c r="J318" s="26">
        <f>+COUNTIF('ID1&amp;5'!G:G,'1. Status'!I318)</f>
        <v>0</v>
      </c>
      <c r="K318" s="79" t="str">
        <f>+IFERROR(VLOOKUP(CONCATENATE(A318,$B$10,B318),'ID1&amp;5'!B:J,8,FALSE),"-")</f>
        <v>-</v>
      </c>
      <c r="L318" s="78" t="str">
        <f>+IFERROR(VLOOKUP(B318,'ID1&amp;5'!K:L,2,FALSE),"-")</f>
        <v>-</v>
      </c>
      <c r="M318" s="79" t="str">
        <f>+IFERROR(VLOOKUP(CONCATENATE(A318,$B$10,B318),'ID1&amp;5'!B:J,9,FALSE),"-")</f>
        <v>-</v>
      </c>
      <c r="N318" s="79" t="str">
        <f>+IFERROR(VLOOKUP(CONCATENATE(A318,$C$10,C318),'ID1&amp;5'!B:J,8,FALSE),"-")</f>
        <v>-</v>
      </c>
      <c r="O318" s="78" t="str">
        <f>+IFERROR(VLOOKUP(C318,'ID1&amp;5'!K:L,2,FALSE),"-")</f>
        <v>-</v>
      </c>
      <c r="P318" s="79" t="str">
        <f>+IFERROR(VLOOKUP(CONCATENATE(A318,$C$10,C318),'ID1&amp;5'!B:J,9,FALSE),"-")</f>
        <v>-</v>
      </c>
      <c r="Q318" s="78" t="str">
        <f>+IFERROR(VLOOKUP(D318,'ID1&amp;5'!K:L,2,FALSE),"-")</f>
        <v>-</v>
      </c>
      <c r="R318" s="26" t="str">
        <f>+IFERROR(VLOOKUP(CONCATENATE(A318,$D$10,D318),'ID1&amp;5'!B:J,9,FALSE),"-")</f>
        <v>-</v>
      </c>
      <c r="S318" s="78" t="str">
        <f>+IFERROR(VLOOKUP(E318,'ID1&amp;5'!K:L,2,FALSE),"-")</f>
        <v>-</v>
      </c>
      <c r="T318" s="79" t="str">
        <f>+IFERROR(VLOOKUP(CONCATENATE(A318,$E$10,E318),'ID1&amp;5'!B:J,9,FALSE),"-")</f>
        <v>-</v>
      </c>
      <c r="U318" s="78" t="str">
        <f>+IFERROR(VLOOKUP(F318,'ID1&amp;5'!K:L,2,FALSE),"-")</f>
        <v>-</v>
      </c>
      <c r="V318" s="79" t="str">
        <f>+IFERROR(VLOOKUP(CONCATENATE(A318,$F$10,F318),'ID1&amp;5'!B:J,9,FALSE),"-")</f>
        <v>-</v>
      </c>
      <c r="W318" s="26" t="str">
        <f>+IFERROR(VLOOKUP(A318,'ID6&amp;7'!A:I,9,FALSE),"-")</f>
        <v>-</v>
      </c>
      <c r="X318" s="26" t="str">
        <f>+IFERROR(VLOOKUP(A318,'ID6&amp;7'!A:J,10,FALSE),"-")</f>
        <v>-</v>
      </c>
      <c r="Y318" s="26"/>
      <c r="Z318" s="27" t="str">
        <f t="shared" si="5"/>
        <v>Por iniciar</v>
      </c>
      <c r="AA318" s="65"/>
    </row>
    <row r="319" spans="1:27">
      <c r="A319" s="20"/>
      <c r="B319" s="60"/>
      <c r="C319" s="60"/>
      <c r="D319" s="60"/>
      <c r="E319" s="60"/>
      <c r="F319" s="60"/>
      <c r="G319" s="60"/>
      <c r="H319" s="65" t="s">
        <v>117</v>
      </c>
      <c r="I319" s="21" t="s">
        <v>1357</v>
      </c>
      <c r="J319" s="26">
        <f>+COUNTIF('ID1&amp;5'!G:G,'1. Status'!I319)</f>
        <v>0</v>
      </c>
      <c r="K319" s="79" t="str">
        <f>+IFERROR(VLOOKUP(CONCATENATE(A319,$B$10,B319),'ID1&amp;5'!B:J,8,FALSE),"-")</f>
        <v>-</v>
      </c>
      <c r="L319" s="78" t="str">
        <f>+IFERROR(VLOOKUP(B319,'ID1&amp;5'!K:L,2,FALSE),"-")</f>
        <v>-</v>
      </c>
      <c r="M319" s="79" t="str">
        <f>+IFERROR(VLOOKUP(CONCATENATE(A319,$B$10,B319),'ID1&amp;5'!B:J,9,FALSE),"-")</f>
        <v>-</v>
      </c>
      <c r="N319" s="79" t="str">
        <f>+IFERROR(VLOOKUP(CONCATENATE(A319,$C$10,C319),'ID1&amp;5'!B:J,8,FALSE),"-")</f>
        <v>-</v>
      </c>
      <c r="O319" s="78" t="str">
        <f>+IFERROR(VLOOKUP(C319,'ID1&amp;5'!K:L,2,FALSE),"-")</f>
        <v>-</v>
      </c>
      <c r="P319" s="79" t="str">
        <f>+IFERROR(VLOOKUP(CONCATENATE(A319,$C$10,C319),'ID1&amp;5'!B:J,9,FALSE),"-")</f>
        <v>-</v>
      </c>
      <c r="Q319" s="78" t="str">
        <f>+IFERROR(VLOOKUP(D319,'ID1&amp;5'!K:L,2,FALSE),"-")</f>
        <v>-</v>
      </c>
      <c r="R319" s="26" t="str">
        <f>+IFERROR(VLOOKUP(CONCATENATE(A319,$D$10,D319),'ID1&amp;5'!B:J,9,FALSE),"-")</f>
        <v>-</v>
      </c>
      <c r="S319" s="78" t="str">
        <f>+IFERROR(VLOOKUP(E319,'ID1&amp;5'!K:L,2,FALSE),"-")</f>
        <v>-</v>
      </c>
      <c r="T319" s="79" t="str">
        <f>+IFERROR(VLOOKUP(CONCATENATE(A319,$E$10,E319),'ID1&amp;5'!B:J,9,FALSE),"-")</f>
        <v>-</v>
      </c>
      <c r="U319" s="78" t="str">
        <f>+IFERROR(VLOOKUP(F319,'ID1&amp;5'!K:L,2,FALSE),"-")</f>
        <v>-</v>
      </c>
      <c r="V319" s="79" t="str">
        <f>+IFERROR(VLOOKUP(CONCATENATE(A319,$F$10,F319),'ID1&amp;5'!B:J,9,FALSE),"-")</f>
        <v>-</v>
      </c>
      <c r="W319" s="26" t="str">
        <f>+IFERROR(VLOOKUP(A319,'ID6&amp;7'!A:I,9,FALSE),"-")</f>
        <v>-</v>
      </c>
      <c r="X319" s="26" t="str">
        <f>+IFERROR(VLOOKUP(A319,'ID6&amp;7'!A:J,10,FALSE),"-")</f>
        <v>-</v>
      </c>
      <c r="Y319" s="26"/>
      <c r="Z319" s="27" t="str">
        <f t="shared" si="5"/>
        <v>Por iniciar</v>
      </c>
      <c r="AA319" s="65"/>
    </row>
    <row r="320" spans="1:27">
      <c r="A320" s="20"/>
      <c r="B320" s="60"/>
      <c r="C320" s="60"/>
      <c r="D320" s="60"/>
      <c r="E320" s="60"/>
      <c r="F320" s="60"/>
      <c r="G320" s="60"/>
      <c r="H320" s="65" t="s">
        <v>117</v>
      </c>
      <c r="I320" s="21" t="s">
        <v>1358</v>
      </c>
      <c r="J320" s="26">
        <f>+COUNTIF('ID1&amp;5'!G:G,'1. Status'!I320)</f>
        <v>0</v>
      </c>
      <c r="K320" s="79" t="str">
        <f>+IFERROR(VLOOKUP(CONCATENATE(A320,$B$10,B320),'ID1&amp;5'!B:J,8,FALSE),"-")</f>
        <v>-</v>
      </c>
      <c r="L320" s="78" t="str">
        <f>+IFERROR(VLOOKUP(B320,'ID1&amp;5'!K:L,2,FALSE),"-")</f>
        <v>-</v>
      </c>
      <c r="M320" s="79" t="str">
        <f>+IFERROR(VLOOKUP(CONCATENATE(A320,$B$10,B320),'ID1&amp;5'!B:J,9,FALSE),"-")</f>
        <v>-</v>
      </c>
      <c r="N320" s="79" t="str">
        <f>+IFERROR(VLOOKUP(CONCATENATE(A320,$C$10,C320),'ID1&amp;5'!B:J,8,FALSE),"-")</f>
        <v>-</v>
      </c>
      <c r="O320" s="78" t="str">
        <f>+IFERROR(VLOOKUP(C320,'ID1&amp;5'!K:L,2,FALSE),"-")</f>
        <v>-</v>
      </c>
      <c r="P320" s="79" t="str">
        <f>+IFERROR(VLOOKUP(CONCATENATE(A320,$C$10,C320),'ID1&amp;5'!B:J,9,FALSE),"-")</f>
        <v>-</v>
      </c>
      <c r="Q320" s="78" t="str">
        <f>+IFERROR(VLOOKUP(D320,'ID1&amp;5'!K:L,2,FALSE),"-")</f>
        <v>-</v>
      </c>
      <c r="R320" s="26" t="str">
        <f>+IFERROR(VLOOKUP(CONCATENATE(A320,$D$10,D320),'ID1&amp;5'!B:J,9,FALSE),"-")</f>
        <v>-</v>
      </c>
      <c r="S320" s="78" t="str">
        <f>+IFERROR(VLOOKUP(E320,'ID1&amp;5'!K:L,2,FALSE),"-")</f>
        <v>-</v>
      </c>
      <c r="T320" s="79" t="str">
        <f>+IFERROR(VLOOKUP(CONCATENATE(A320,$E$10,E320),'ID1&amp;5'!B:J,9,FALSE),"-")</f>
        <v>-</v>
      </c>
      <c r="U320" s="78" t="str">
        <f>+IFERROR(VLOOKUP(F320,'ID1&amp;5'!K:L,2,FALSE),"-")</f>
        <v>-</v>
      </c>
      <c r="V320" s="79" t="str">
        <f>+IFERROR(VLOOKUP(CONCATENATE(A320,$F$10,F320),'ID1&amp;5'!B:J,9,FALSE),"-")</f>
        <v>-</v>
      </c>
      <c r="W320" s="26" t="str">
        <f>+IFERROR(VLOOKUP(A320,'ID6&amp;7'!A:I,9,FALSE),"-")</f>
        <v>-</v>
      </c>
      <c r="X320" s="26" t="str">
        <f>+IFERROR(VLOOKUP(A320,'ID6&amp;7'!A:J,10,FALSE),"-")</f>
        <v>-</v>
      </c>
      <c r="Y320" s="26"/>
      <c r="Z320" s="27" t="str">
        <f t="shared" ref="Z320:Z383" si="6">+IF(J320=0,"Por iniciar",IF(OR(K320="-",M320="-",P320="-",R320="-",T320="-",V320="-"),"Em testes",IF(AND(M320=0,P320=0,R320=0,T320&lt;&gt;K320,V320&lt;&gt;K320),"OK","NOK")))</f>
        <v>Por iniciar</v>
      </c>
      <c r="AA320" s="65"/>
    </row>
    <row r="321" spans="1:27">
      <c r="A321" s="20"/>
      <c r="B321" s="60"/>
      <c r="C321" s="60"/>
      <c r="D321" s="60"/>
      <c r="E321" s="60"/>
      <c r="F321" s="60"/>
      <c r="G321" s="60"/>
      <c r="H321" s="65" t="s">
        <v>117</v>
      </c>
      <c r="I321" s="21" t="s">
        <v>1359</v>
      </c>
      <c r="J321" s="26">
        <f>+COUNTIF('ID1&amp;5'!G:G,'1. Status'!I321)</f>
        <v>0</v>
      </c>
      <c r="K321" s="79" t="str">
        <f>+IFERROR(VLOOKUP(CONCATENATE(A321,$B$10,B321),'ID1&amp;5'!B:J,8,FALSE),"-")</f>
        <v>-</v>
      </c>
      <c r="L321" s="78" t="str">
        <f>+IFERROR(VLOOKUP(B321,'ID1&amp;5'!K:L,2,FALSE),"-")</f>
        <v>-</v>
      </c>
      <c r="M321" s="79" t="str">
        <f>+IFERROR(VLOOKUP(CONCATENATE(A321,$B$10,B321),'ID1&amp;5'!B:J,9,FALSE),"-")</f>
        <v>-</v>
      </c>
      <c r="N321" s="79" t="str">
        <f>+IFERROR(VLOOKUP(CONCATENATE(A321,$C$10,C321),'ID1&amp;5'!B:J,8,FALSE),"-")</f>
        <v>-</v>
      </c>
      <c r="O321" s="78" t="str">
        <f>+IFERROR(VLOOKUP(C321,'ID1&amp;5'!K:L,2,FALSE),"-")</f>
        <v>-</v>
      </c>
      <c r="P321" s="79" t="str">
        <f>+IFERROR(VLOOKUP(CONCATENATE(A321,$C$10,C321),'ID1&amp;5'!B:J,9,FALSE),"-")</f>
        <v>-</v>
      </c>
      <c r="Q321" s="78" t="str">
        <f>+IFERROR(VLOOKUP(D321,'ID1&amp;5'!K:L,2,FALSE),"-")</f>
        <v>-</v>
      </c>
      <c r="R321" s="26" t="str">
        <f>+IFERROR(VLOOKUP(CONCATENATE(A321,$D$10,D321),'ID1&amp;5'!B:J,9,FALSE),"-")</f>
        <v>-</v>
      </c>
      <c r="S321" s="78" t="str">
        <f>+IFERROR(VLOOKUP(E321,'ID1&amp;5'!K:L,2,FALSE),"-")</f>
        <v>-</v>
      </c>
      <c r="T321" s="79" t="str">
        <f>+IFERROR(VLOOKUP(CONCATENATE(A321,$E$10,E321),'ID1&amp;5'!B:J,9,FALSE),"-")</f>
        <v>-</v>
      </c>
      <c r="U321" s="78" t="str">
        <f>+IFERROR(VLOOKUP(F321,'ID1&amp;5'!K:L,2,FALSE),"-")</f>
        <v>-</v>
      </c>
      <c r="V321" s="79" t="str">
        <f>+IFERROR(VLOOKUP(CONCATENATE(A321,$F$10,F321),'ID1&amp;5'!B:J,9,FALSE),"-")</f>
        <v>-</v>
      </c>
      <c r="W321" s="26" t="str">
        <f>+IFERROR(VLOOKUP(A321,'ID6&amp;7'!A:I,9,FALSE),"-")</f>
        <v>-</v>
      </c>
      <c r="X321" s="26" t="str">
        <f>+IFERROR(VLOOKUP(A321,'ID6&amp;7'!A:J,10,FALSE),"-")</f>
        <v>-</v>
      </c>
      <c r="Y321" s="26"/>
      <c r="Z321" s="27" t="str">
        <f t="shared" si="6"/>
        <v>Por iniciar</v>
      </c>
      <c r="AA321" s="65"/>
    </row>
    <row r="322" spans="1:27">
      <c r="A322" s="20"/>
      <c r="B322" s="60"/>
      <c r="C322" s="60"/>
      <c r="D322" s="60"/>
      <c r="E322" s="60"/>
      <c r="F322" s="60"/>
      <c r="G322" s="60"/>
      <c r="H322" s="65" t="s">
        <v>117</v>
      </c>
      <c r="I322" s="21" t="s">
        <v>1360</v>
      </c>
      <c r="J322" s="26">
        <f>+COUNTIF('ID1&amp;5'!G:G,'1. Status'!I322)</f>
        <v>0</v>
      </c>
      <c r="K322" s="79" t="str">
        <f>+IFERROR(VLOOKUP(CONCATENATE(A322,$B$10,B322),'ID1&amp;5'!B:J,8,FALSE),"-")</f>
        <v>-</v>
      </c>
      <c r="L322" s="78" t="str">
        <f>+IFERROR(VLOOKUP(B322,'ID1&amp;5'!K:L,2,FALSE),"-")</f>
        <v>-</v>
      </c>
      <c r="M322" s="79" t="str">
        <f>+IFERROR(VLOOKUP(CONCATENATE(A322,$B$10,B322),'ID1&amp;5'!B:J,9,FALSE),"-")</f>
        <v>-</v>
      </c>
      <c r="N322" s="79" t="str">
        <f>+IFERROR(VLOOKUP(CONCATENATE(A322,$C$10,C322),'ID1&amp;5'!B:J,8,FALSE),"-")</f>
        <v>-</v>
      </c>
      <c r="O322" s="78" t="str">
        <f>+IFERROR(VLOOKUP(C322,'ID1&amp;5'!K:L,2,FALSE),"-")</f>
        <v>-</v>
      </c>
      <c r="P322" s="79" t="str">
        <f>+IFERROR(VLOOKUP(CONCATENATE(A322,$C$10,C322),'ID1&amp;5'!B:J,9,FALSE),"-")</f>
        <v>-</v>
      </c>
      <c r="Q322" s="78" t="str">
        <f>+IFERROR(VLOOKUP(D322,'ID1&amp;5'!K:L,2,FALSE),"-")</f>
        <v>-</v>
      </c>
      <c r="R322" s="26" t="str">
        <f>+IFERROR(VLOOKUP(CONCATENATE(A322,$D$10,D322),'ID1&amp;5'!B:J,9,FALSE),"-")</f>
        <v>-</v>
      </c>
      <c r="S322" s="78" t="str">
        <f>+IFERROR(VLOOKUP(E322,'ID1&amp;5'!K:L,2,FALSE),"-")</f>
        <v>-</v>
      </c>
      <c r="T322" s="79" t="str">
        <f>+IFERROR(VLOOKUP(CONCATENATE(A322,$E$10,E322),'ID1&amp;5'!B:J,9,FALSE),"-")</f>
        <v>-</v>
      </c>
      <c r="U322" s="78" t="str">
        <f>+IFERROR(VLOOKUP(F322,'ID1&amp;5'!K:L,2,FALSE),"-")</f>
        <v>-</v>
      </c>
      <c r="V322" s="79" t="str">
        <f>+IFERROR(VLOOKUP(CONCATENATE(A322,$F$10,F322),'ID1&amp;5'!B:J,9,FALSE),"-")</f>
        <v>-</v>
      </c>
      <c r="W322" s="26" t="str">
        <f>+IFERROR(VLOOKUP(A322,'ID6&amp;7'!A:I,9,FALSE),"-")</f>
        <v>-</v>
      </c>
      <c r="X322" s="26" t="str">
        <f>+IFERROR(VLOOKUP(A322,'ID6&amp;7'!A:J,10,FALSE),"-")</f>
        <v>-</v>
      </c>
      <c r="Y322" s="26"/>
      <c r="Z322" s="27" t="str">
        <f t="shared" si="6"/>
        <v>Por iniciar</v>
      </c>
      <c r="AA322" s="65"/>
    </row>
    <row r="323" spans="1:27">
      <c r="A323" s="20"/>
      <c r="B323" s="60"/>
      <c r="C323" s="60"/>
      <c r="D323" s="60"/>
      <c r="E323" s="60"/>
      <c r="F323" s="60"/>
      <c r="G323" s="60"/>
      <c r="H323" s="65" t="s">
        <v>117</v>
      </c>
      <c r="I323" s="21" t="s">
        <v>1361</v>
      </c>
      <c r="J323" s="26">
        <f>+COUNTIF('ID1&amp;5'!G:G,'1. Status'!I323)</f>
        <v>0</v>
      </c>
      <c r="K323" s="79" t="str">
        <f>+IFERROR(VLOOKUP(CONCATENATE(A323,$B$10,B323),'ID1&amp;5'!B:J,8,FALSE),"-")</f>
        <v>-</v>
      </c>
      <c r="L323" s="78" t="str">
        <f>+IFERROR(VLOOKUP(B323,'ID1&amp;5'!K:L,2,FALSE),"-")</f>
        <v>-</v>
      </c>
      <c r="M323" s="79" t="str">
        <f>+IFERROR(VLOOKUP(CONCATENATE(A323,$B$10,B323),'ID1&amp;5'!B:J,9,FALSE),"-")</f>
        <v>-</v>
      </c>
      <c r="N323" s="79" t="str">
        <f>+IFERROR(VLOOKUP(CONCATENATE(A323,$C$10,C323),'ID1&amp;5'!B:J,8,FALSE),"-")</f>
        <v>-</v>
      </c>
      <c r="O323" s="78" t="str">
        <f>+IFERROR(VLOOKUP(C323,'ID1&amp;5'!K:L,2,FALSE),"-")</f>
        <v>-</v>
      </c>
      <c r="P323" s="79" t="str">
        <f>+IFERROR(VLOOKUP(CONCATENATE(A323,$C$10,C323),'ID1&amp;5'!B:J,9,FALSE),"-")</f>
        <v>-</v>
      </c>
      <c r="Q323" s="78" t="str">
        <f>+IFERROR(VLOOKUP(D323,'ID1&amp;5'!K:L,2,FALSE),"-")</f>
        <v>-</v>
      </c>
      <c r="R323" s="26" t="str">
        <f>+IFERROR(VLOOKUP(CONCATENATE(A323,$D$10,D323),'ID1&amp;5'!B:J,9,FALSE),"-")</f>
        <v>-</v>
      </c>
      <c r="S323" s="78" t="str">
        <f>+IFERROR(VLOOKUP(E323,'ID1&amp;5'!K:L,2,FALSE),"-")</f>
        <v>-</v>
      </c>
      <c r="T323" s="79" t="str">
        <f>+IFERROR(VLOOKUP(CONCATENATE(A323,$E$10,E323),'ID1&amp;5'!B:J,9,FALSE),"-")</f>
        <v>-</v>
      </c>
      <c r="U323" s="78" t="str">
        <f>+IFERROR(VLOOKUP(F323,'ID1&amp;5'!K:L,2,FALSE),"-")</f>
        <v>-</v>
      </c>
      <c r="V323" s="79" t="str">
        <f>+IFERROR(VLOOKUP(CONCATENATE(A323,$F$10,F323),'ID1&amp;5'!B:J,9,FALSE),"-")</f>
        <v>-</v>
      </c>
      <c r="W323" s="26" t="str">
        <f>+IFERROR(VLOOKUP(A323,'ID6&amp;7'!A:I,9,FALSE),"-")</f>
        <v>-</v>
      </c>
      <c r="X323" s="26" t="str">
        <f>+IFERROR(VLOOKUP(A323,'ID6&amp;7'!A:J,10,FALSE),"-")</f>
        <v>-</v>
      </c>
      <c r="Y323" s="26"/>
      <c r="Z323" s="27" t="str">
        <f t="shared" si="6"/>
        <v>Por iniciar</v>
      </c>
      <c r="AA323" s="65"/>
    </row>
    <row r="324" spans="1:27">
      <c r="A324" s="20"/>
      <c r="B324" s="60"/>
      <c r="C324" s="60"/>
      <c r="D324" s="60"/>
      <c r="E324" s="60"/>
      <c r="F324" s="60"/>
      <c r="G324" s="60"/>
      <c r="H324" s="65" t="s">
        <v>117</v>
      </c>
      <c r="I324" s="21" t="s">
        <v>1362</v>
      </c>
      <c r="J324" s="26">
        <f>+COUNTIF('ID1&amp;5'!G:G,'1. Status'!I324)</f>
        <v>0</v>
      </c>
      <c r="K324" s="79" t="str">
        <f>+IFERROR(VLOOKUP(CONCATENATE(A324,$B$10,B324),'ID1&amp;5'!B:J,8,FALSE),"-")</f>
        <v>-</v>
      </c>
      <c r="L324" s="78" t="str">
        <f>+IFERROR(VLOOKUP(B324,'ID1&amp;5'!K:L,2,FALSE),"-")</f>
        <v>-</v>
      </c>
      <c r="M324" s="79" t="str">
        <f>+IFERROR(VLOOKUP(CONCATENATE(A324,$B$10,B324),'ID1&amp;5'!B:J,9,FALSE),"-")</f>
        <v>-</v>
      </c>
      <c r="N324" s="79" t="str">
        <f>+IFERROR(VLOOKUP(CONCATENATE(A324,$C$10,C324),'ID1&amp;5'!B:J,8,FALSE),"-")</f>
        <v>-</v>
      </c>
      <c r="O324" s="78" t="str">
        <f>+IFERROR(VLOOKUP(C324,'ID1&amp;5'!K:L,2,FALSE),"-")</f>
        <v>-</v>
      </c>
      <c r="P324" s="79" t="str">
        <f>+IFERROR(VLOOKUP(CONCATENATE(A324,$C$10,C324),'ID1&amp;5'!B:J,9,FALSE),"-")</f>
        <v>-</v>
      </c>
      <c r="Q324" s="78" t="str">
        <f>+IFERROR(VLOOKUP(D324,'ID1&amp;5'!K:L,2,FALSE),"-")</f>
        <v>-</v>
      </c>
      <c r="R324" s="26" t="str">
        <f>+IFERROR(VLOOKUP(CONCATENATE(A324,$D$10,D324),'ID1&amp;5'!B:J,9,FALSE),"-")</f>
        <v>-</v>
      </c>
      <c r="S324" s="78" t="str">
        <f>+IFERROR(VLOOKUP(E324,'ID1&amp;5'!K:L,2,FALSE),"-")</f>
        <v>-</v>
      </c>
      <c r="T324" s="79" t="str">
        <f>+IFERROR(VLOOKUP(CONCATENATE(A324,$E$10,E324),'ID1&amp;5'!B:J,9,FALSE),"-")</f>
        <v>-</v>
      </c>
      <c r="U324" s="78" t="str">
        <f>+IFERROR(VLOOKUP(F324,'ID1&amp;5'!K:L,2,FALSE),"-")</f>
        <v>-</v>
      </c>
      <c r="V324" s="79" t="str">
        <f>+IFERROR(VLOOKUP(CONCATENATE(A324,$F$10,F324),'ID1&amp;5'!B:J,9,FALSE),"-")</f>
        <v>-</v>
      </c>
      <c r="W324" s="26" t="str">
        <f>+IFERROR(VLOOKUP(A324,'ID6&amp;7'!A:I,9,FALSE),"-")</f>
        <v>-</v>
      </c>
      <c r="X324" s="26" t="str">
        <f>+IFERROR(VLOOKUP(A324,'ID6&amp;7'!A:J,10,FALSE),"-")</f>
        <v>-</v>
      </c>
      <c r="Y324" s="26"/>
      <c r="Z324" s="27" t="str">
        <f t="shared" si="6"/>
        <v>Por iniciar</v>
      </c>
      <c r="AA324" s="65"/>
    </row>
    <row r="325" spans="1:27">
      <c r="A325" s="20"/>
      <c r="B325" s="60"/>
      <c r="C325" s="60"/>
      <c r="D325" s="60"/>
      <c r="E325" s="60"/>
      <c r="F325" s="60"/>
      <c r="G325" s="60"/>
      <c r="H325" s="65" t="s">
        <v>117</v>
      </c>
      <c r="I325" s="21" t="s">
        <v>1363</v>
      </c>
      <c r="J325" s="26">
        <f>+COUNTIF('ID1&amp;5'!G:G,'1. Status'!I325)</f>
        <v>0</v>
      </c>
      <c r="K325" s="79" t="str">
        <f>+IFERROR(VLOOKUP(CONCATENATE(A325,$B$10,B325),'ID1&amp;5'!B:J,8,FALSE),"-")</f>
        <v>-</v>
      </c>
      <c r="L325" s="78" t="str">
        <f>+IFERROR(VLOOKUP(B325,'ID1&amp;5'!K:L,2,FALSE),"-")</f>
        <v>-</v>
      </c>
      <c r="M325" s="79" t="str">
        <f>+IFERROR(VLOOKUP(CONCATENATE(A325,$B$10,B325),'ID1&amp;5'!B:J,9,FALSE),"-")</f>
        <v>-</v>
      </c>
      <c r="N325" s="79" t="str">
        <f>+IFERROR(VLOOKUP(CONCATENATE(A325,$C$10,C325),'ID1&amp;5'!B:J,8,FALSE),"-")</f>
        <v>-</v>
      </c>
      <c r="O325" s="78" t="str">
        <f>+IFERROR(VLOOKUP(C325,'ID1&amp;5'!K:L,2,FALSE),"-")</f>
        <v>-</v>
      </c>
      <c r="P325" s="79" t="str">
        <f>+IFERROR(VLOOKUP(CONCATENATE(A325,$C$10,C325),'ID1&amp;5'!B:J,9,FALSE),"-")</f>
        <v>-</v>
      </c>
      <c r="Q325" s="78" t="str">
        <f>+IFERROR(VLOOKUP(D325,'ID1&amp;5'!K:L,2,FALSE),"-")</f>
        <v>-</v>
      </c>
      <c r="R325" s="26" t="str">
        <f>+IFERROR(VLOOKUP(CONCATENATE(A325,$D$10,D325),'ID1&amp;5'!B:J,9,FALSE),"-")</f>
        <v>-</v>
      </c>
      <c r="S325" s="78" t="str">
        <f>+IFERROR(VLOOKUP(E325,'ID1&amp;5'!K:L,2,FALSE),"-")</f>
        <v>-</v>
      </c>
      <c r="T325" s="79" t="str">
        <f>+IFERROR(VLOOKUP(CONCATENATE(A325,$E$10,E325),'ID1&amp;5'!B:J,9,FALSE),"-")</f>
        <v>-</v>
      </c>
      <c r="U325" s="78" t="str">
        <f>+IFERROR(VLOOKUP(F325,'ID1&amp;5'!K:L,2,FALSE),"-")</f>
        <v>-</v>
      </c>
      <c r="V325" s="79" t="str">
        <f>+IFERROR(VLOOKUP(CONCATENATE(A325,$F$10,F325),'ID1&amp;5'!B:J,9,FALSE),"-")</f>
        <v>-</v>
      </c>
      <c r="W325" s="26" t="str">
        <f>+IFERROR(VLOOKUP(A325,'ID6&amp;7'!A:I,9,FALSE),"-")</f>
        <v>-</v>
      </c>
      <c r="X325" s="26" t="str">
        <f>+IFERROR(VLOOKUP(A325,'ID6&amp;7'!A:J,10,FALSE),"-")</f>
        <v>-</v>
      </c>
      <c r="Y325" s="26"/>
      <c r="Z325" s="27" t="str">
        <f t="shared" si="6"/>
        <v>Por iniciar</v>
      </c>
      <c r="AA325" s="65"/>
    </row>
    <row r="326" spans="1:27">
      <c r="A326" s="20"/>
      <c r="B326" s="60"/>
      <c r="C326" s="60"/>
      <c r="D326" s="60"/>
      <c r="E326" s="60"/>
      <c r="F326" s="60"/>
      <c r="G326" s="60"/>
      <c r="H326" s="65" t="s">
        <v>117</v>
      </c>
      <c r="I326" s="21" t="s">
        <v>1364</v>
      </c>
      <c r="J326" s="26">
        <f>+COUNTIF('ID1&amp;5'!G:G,'1. Status'!I326)</f>
        <v>0</v>
      </c>
      <c r="K326" s="79" t="str">
        <f>+IFERROR(VLOOKUP(CONCATENATE(A326,$B$10,B326),'ID1&amp;5'!B:J,8,FALSE),"-")</f>
        <v>-</v>
      </c>
      <c r="L326" s="78" t="str">
        <f>+IFERROR(VLOOKUP(B326,'ID1&amp;5'!K:L,2,FALSE),"-")</f>
        <v>-</v>
      </c>
      <c r="M326" s="79" t="str">
        <f>+IFERROR(VLOOKUP(CONCATENATE(A326,$B$10,B326),'ID1&amp;5'!B:J,9,FALSE),"-")</f>
        <v>-</v>
      </c>
      <c r="N326" s="79" t="str">
        <f>+IFERROR(VLOOKUP(CONCATENATE(A326,$C$10,C326),'ID1&amp;5'!B:J,8,FALSE),"-")</f>
        <v>-</v>
      </c>
      <c r="O326" s="78" t="str">
        <f>+IFERROR(VLOOKUP(C326,'ID1&amp;5'!K:L,2,FALSE),"-")</f>
        <v>-</v>
      </c>
      <c r="P326" s="79" t="str">
        <f>+IFERROR(VLOOKUP(CONCATENATE(A326,$C$10,C326),'ID1&amp;5'!B:J,9,FALSE),"-")</f>
        <v>-</v>
      </c>
      <c r="Q326" s="78" t="str">
        <f>+IFERROR(VLOOKUP(D326,'ID1&amp;5'!K:L,2,FALSE),"-")</f>
        <v>-</v>
      </c>
      <c r="R326" s="26" t="str">
        <f>+IFERROR(VLOOKUP(CONCATENATE(A326,$D$10,D326),'ID1&amp;5'!B:J,9,FALSE),"-")</f>
        <v>-</v>
      </c>
      <c r="S326" s="78" t="str">
        <f>+IFERROR(VLOOKUP(E326,'ID1&amp;5'!K:L,2,FALSE),"-")</f>
        <v>-</v>
      </c>
      <c r="T326" s="79" t="str">
        <f>+IFERROR(VLOOKUP(CONCATENATE(A326,$E$10,E326),'ID1&amp;5'!B:J,9,FALSE),"-")</f>
        <v>-</v>
      </c>
      <c r="U326" s="78" t="str">
        <f>+IFERROR(VLOOKUP(F326,'ID1&amp;5'!K:L,2,FALSE),"-")</f>
        <v>-</v>
      </c>
      <c r="V326" s="79" t="str">
        <f>+IFERROR(VLOOKUP(CONCATENATE(A326,$F$10,F326),'ID1&amp;5'!B:J,9,FALSE),"-")</f>
        <v>-</v>
      </c>
      <c r="W326" s="26" t="str">
        <f>+IFERROR(VLOOKUP(A326,'ID6&amp;7'!A:I,9,FALSE),"-")</f>
        <v>-</v>
      </c>
      <c r="X326" s="26" t="str">
        <f>+IFERROR(VLOOKUP(A326,'ID6&amp;7'!A:J,10,FALSE),"-")</f>
        <v>-</v>
      </c>
      <c r="Y326" s="26"/>
      <c r="Z326" s="27" t="str">
        <f t="shared" si="6"/>
        <v>Por iniciar</v>
      </c>
      <c r="AA326" s="65"/>
    </row>
    <row r="327" spans="1:27">
      <c r="A327" s="20"/>
      <c r="B327" s="60"/>
      <c r="C327" s="60"/>
      <c r="D327" s="60"/>
      <c r="E327" s="60"/>
      <c r="F327" s="60"/>
      <c r="G327" s="60"/>
      <c r="H327" s="65" t="s">
        <v>117</v>
      </c>
      <c r="I327" s="21" t="s">
        <v>1365</v>
      </c>
      <c r="J327" s="26">
        <f>+COUNTIF('ID1&amp;5'!G:G,'1. Status'!I327)</f>
        <v>0</v>
      </c>
      <c r="K327" s="79" t="str">
        <f>+IFERROR(VLOOKUP(CONCATENATE(A327,$B$10,B327),'ID1&amp;5'!B:J,8,FALSE),"-")</f>
        <v>-</v>
      </c>
      <c r="L327" s="78" t="str">
        <f>+IFERROR(VLOOKUP(B327,'ID1&amp;5'!K:L,2,FALSE),"-")</f>
        <v>-</v>
      </c>
      <c r="M327" s="79" t="str">
        <f>+IFERROR(VLOOKUP(CONCATENATE(A327,$B$10,B327),'ID1&amp;5'!B:J,9,FALSE),"-")</f>
        <v>-</v>
      </c>
      <c r="N327" s="79" t="str">
        <f>+IFERROR(VLOOKUP(CONCATENATE(A327,$C$10,C327),'ID1&amp;5'!B:J,8,FALSE),"-")</f>
        <v>-</v>
      </c>
      <c r="O327" s="78" t="str">
        <f>+IFERROR(VLOOKUP(C327,'ID1&amp;5'!K:L,2,FALSE),"-")</f>
        <v>-</v>
      </c>
      <c r="P327" s="79" t="str">
        <f>+IFERROR(VLOOKUP(CONCATENATE(A327,$C$10,C327),'ID1&amp;5'!B:J,9,FALSE),"-")</f>
        <v>-</v>
      </c>
      <c r="Q327" s="78" t="str">
        <f>+IFERROR(VLOOKUP(D327,'ID1&amp;5'!K:L,2,FALSE),"-")</f>
        <v>-</v>
      </c>
      <c r="R327" s="26" t="str">
        <f>+IFERROR(VLOOKUP(CONCATENATE(A327,$D$10,D327),'ID1&amp;5'!B:J,9,FALSE),"-")</f>
        <v>-</v>
      </c>
      <c r="S327" s="78" t="str">
        <f>+IFERROR(VLOOKUP(E327,'ID1&amp;5'!K:L,2,FALSE),"-")</f>
        <v>-</v>
      </c>
      <c r="T327" s="79" t="str">
        <f>+IFERROR(VLOOKUP(CONCATENATE(A327,$E$10,E327),'ID1&amp;5'!B:J,9,FALSE),"-")</f>
        <v>-</v>
      </c>
      <c r="U327" s="78" t="str">
        <f>+IFERROR(VLOOKUP(F327,'ID1&amp;5'!K:L,2,FALSE),"-")</f>
        <v>-</v>
      </c>
      <c r="V327" s="79" t="str">
        <f>+IFERROR(VLOOKUP(CONCATENATE(A327,$F$10,F327),'ID1&amp;5'!B:J,9,FALSE),"-")</f>
        <v>-</v>
      </c>
      <c r="W327" s="26" t="str">
        <f>+IFERROR(VLOOKUP(A327,'ID6&amp;7'!A:I,9,FALSE),"-")</f>
        <v>-</v>
      </c>
      <c r="X327" s="26" t="str">
        <f>+IFERROR(VLOOKUP(A327,'ID6&amp;7'!A:J,10,FALSE),"-")</f>
        <v>-</v>
      </c>
      <c r="Y327" s="26"/>
      <c r="Z327" s="27" t="str">
        <f t="shared" si="6"/>
        <v>Por iniciar</v>
      </c>
      <c r="AA327" s="65"/>
    </row>
    <row r="328" spans="1:27">
      <c r="A328" s="20"/>
      <c r="B328" s="60"/>
      <c r="C328" s="60"/>
      <c r="D328" s="60"/>
      <c r="E328" s="60"/>
      <c r="F328" s="60"/>
      <c r="G328" s="60"/>
      <c r="H328" s="65" t="s">
        <v>117</v>
      </c>
      <c r="I328" s="21" t="s">
        <v>1366</v>
      </c>
      <c r="J328" s="26">
        <f>+COUNTIF('ID1&amp;5'!G:G,'1. Status'!I328)</f>
        <v>0</v>
      </c>
      <c r="K328" s="79" t="str">
        <f>+IFERROR(VLOOKUP(CONCATENATE(A328,$B$10,B328),'ID1&amp;5'!B:J,8,FALSE),"-")</f>
        <v>-</v>
      </c>
      <c r="L328" s="78" t="str">
        <f>+IFERROR(VLOOKUP(B328,'ID1&amp;5'!K:L,2,FALSE),"-")</f>
        <v>-</v>
      </c>
      <c r="M328" s="79" t="str">
        <f>+IFERROR(VLOOKUP(CONCATENATE(A328,$B$10,B328),'ID1&amp;5'!B:J,9,FALSE),"-")</f>
        <v>-</v>
      </c>
      <c r="N328" s="79" t="str">
        <f>+IFERROR(VLOOKUP(CONCATENATE(A328,$C$10,C328),'ID1&amp;5'!B:J,8,FALSE),"-")</f>
        <v>-</v>
      </c>
      <c r="O328" s="78" t="str">
        <f>+IFERROR(VLOOKUP(C328,'ID1&amp;5'!K:L,2,FALSE),"-")</f>
        <v>-</v>
      </c>
      <c r="P328" s="79" t="str">
        <f>+IFERROR(VLOOKUP(CONCATENATE(A328,$C$10,C328),'ID1&amp;5'!B:J,9,FALSE),"-")</f>
        <v>-</v>
      </c>
      <c r="Q328" s="78" t="str">
        <f>+IFERROR(VLOOKUP(D328,'ID1&amp;5'!K:L,2,FALSE),"-")</f>
        <v>-</v>
      </c>
      <c r="R328" s="26" t="str">
        <f>+IFERROR(VLOOKUP(CONCATENATE(A328,$D$10,D328),'ID1&amp;5'!B:J,9,FALSE),"-")</f>
        <v>-</v>
      </c>
      <c r="S328" s="78" t="str">
        <f>+IFERROR(VLOOKUP(E328,'ID1&amp;5'!K:L,2,FALSE),"-")</f>
        <v>-</v>
      </c>
      <c r="T328" s="79" t="str">
        <f>+IFERROR(VLOOKUP(CONCATENATE(A328,$E$10,E328),'ID1&amp;5'!B:J,9,FALSE),"-")</f>
        <v>-</v>
      </c>
      <c r="U328" s="78" t="str">
        <f>+IFERROR(VLOOKUP(F328,'ID1&amp;5'!K:L,2,FALSE),"-")</f>
        <v>-</v>
      </c>
      <c r="V328" s="79" t="str">
        <f>+IFERROR(VLOOKUP(CONCATENATE(A328,$F$10,F328),'ID1&amp;5'!B:J,9,FALSE),"-")</f>
        <v>-</v>
      </c>
      <c r="W328" s="26" t="str">
        <f>+IFERROR(VLOOKUP(A328,'ID6&amp;7'!A:I,9,FALSE),"-")</f>
        <v>-</v>
      </c>
      <c r="X328" s="26" t="str">
        <f>+IFERROR(VLOOKUP(A328,'ID6&amp;7'!A:J,10,FALSE),"-")</f>
        <v>-</v>
      </c>
      <c r="Y328" s="26"/>
      <c r="Z328" s="27" t="str">
        <f t="shared" si="6"/>
        <v>Por iniciar</v>
      </c>
      <c r="AA328" s="65"/>
    </row>
    <row r="329" spans="1:27">
      <c r="A329" s="20"/>
      <c r="B329" s="60"/>
      <c r="C329" s="60"/>
      <c r="D329" s="60"/>
      <c r="E329" s="60"/>
      <c r="F329" s="60"/>
      <c r="G329" s="60"/>
      <c r="H329" s="65" t="s">
        <v>117</v>
      </c>
      <c r="I329" s="21" t="s">
        <v>1367</v>
      </c>
      <c r="J329" s="26">
        <f>+COUNTIF('ID1&amp;5'!G:G,'1. Status'!I329)</f>
        <v>0</v>
      </c>
      <c r="K329" s="79" t="str">
        <f>+IFERROR(VLOOKUP(CONCATENATE(A329,$B$10,B329),'ID1&amp;5'!B:J,8,FALSE),"-")</f>
        <v>-</v>
      </c>
      <c r="L329" s="78" t="str">
        <f>+IFERROR(VLOOKUP(B329,'ID1&amp;5'!K:L,2,FALSE),"-")</f>
        <v>-</v>
      </c>
      <c r="M329" s="79" t="str">
        <f>+IFERROR(VLOOKUP(CONCATENATE(A329,$B$10,B329),'ID1&amp;5'!B:J,9,FALSE),"-")</f>
        <v>-</v>
      </c>
      <c r="N329" s="79" t="str">
        <f>+IFERROR(VLOOKUP(CONCATENATE(A329,$C$10,C329),'ID1&amp;5'!B:J,8,FALSE),"-")</f>
        <v>-</v>
      </c>
      <c r="O329" s="78" t="str">
        <f>+IFERROR(VLOOKUP(C329,'ID1&amp;5'!K:L,2,FALSE),"-")</f>
        <v>-</v>
      </c>
      <c r="P329" s="79" t="str">
        <f>+IFERROR(VLOOKUP(CONCATENATE(A329,$C$10,C329),'ID1&amp;5'!B:J,9,FALSE),"-")</f>
        <v>-</v>
      </c>
      <c r="Q329" s="78" t="str">
        <f>+IFERROR(VLOOKUP(D329,'ID1&amp;5'!K:L,2,FALSE),"-")</f>
        <v>-</v>
      </c>
      <c r="R329" s="26" t="str">
        <f>+IFERROR(VLOOKUP(CONCATENATE(A329,$D$10,D329),'ID1&amp;5'!B:J,9,FALSE),"-")</f>
        <v>-</v>
      </c>
      <c r="S329" s="78" t="str">
        <f>+IFERROR(VLOOKUP(E329,'ID1&amp;5'!K:L,2,FALSE),"-")</f>
        <v>-</v>
      </c>
      <c r="T329" s="79" t="str">
        <f>+IFERROR(VLOOKUP(CONCATENATE(A329,$E$10,E329),'ID1&amp;5'!B:J,9,FALSE),"-")</f>
        <v>-</v>
      </c>
      <c r="U329" s="78" t="str">
        <f>+IFERROR(VLOOKUP(F329,'ID1&amp;5'!K:L,2,FALSE),"-")</f>
        <v>-</v>
      </c>
      <c r="V329" s="79" t="str">
        <f>+IFERROR(VLOOKUP(CONCATENATE(A329,$F$10,F329),'ID1&amp;5'!B:J,9,FALSE),"-")</f>
        <v>-</v>
      </c>
      <c r="W329" s="26" t="str">
        <f>+IFERROR(VLOOKUP(A329,'ID6&amp;7'!A:I,9,FALSE),"-")</f>
        <v>-</v>
      </c>
      <c r="X329" s="26" t="str">
        <f>+IFERROR(VLOOKUP(A329,'ID6&amp;7'!A:J,10,FALSE),"-")</f>
        <v>-</v>
      </c>
      <c r="Y329" s="26"/>
      <c r="Z329" s="27" t="str">
        <f t="shared" si="6"/>
        <v>Por iniciar</v>
      </c>
      <c r="AA329" s="65"/>
    </row>
    <row r="330" spans="1:27">
      <c r="A330" s="20"/>
      <c r="B330" s="60"/>
      <c r="C330" s="60"/>
      <c r="D330" s="60"/>
      <c r="E330" s="60"/>
      <c r="F330" s="60"/>
      <c r="G330" s="60"/>
      <c r="H330" s="65" t="s">
        <v>117</v>
      </c>
      <c r="I330" s="21" t="s">
        <v>1368</v>
      </c>
      <c r="J330" s="26">
        <f>+COUNTIF('ID1&amp;5'!G:G,'1. Status'!I330)</f>
        <v>0</v>
      </c>
      <c r="K330" s="79" t="str">
        <f>+IFERROR(VLOOKUP(CONCATENATE(A330,$B$10,B330),'ID1&amp;5'!B:J,8,FALSE),"-")</f>
        <v>-</v>
      </c>
      <c r="L330" s="78" t="str">
        <f>+IFERROR(VLOOKUP(B330,'ID1&amp;5'!K:L,2,FALSE),"-")</f>
        <v>-</v>
      </c>
      <c r="M330" s="79" t="str">
        <f>+IFERROR(VLOOKUP(CONCATENATE(A330,$B$10,B330),'ID1&amp;5'!B:J,9,FALSE),"-")</f>
        <v>-</v>
      </c>
      <c r="N330" s="79" t="str">
        <f>+IFERROR(VLOOKUP(CONCATENATE(A330,$C$10,C330),'ID1&amp;5'!B:J,8,FALSE),"-")</f>
        <v>-</v>
      </c>
      <c r="O330" s="78" t="str">
        <f>+IFERROR(VLOOKUP(C330,'ID1&amp;5'!K:L,2,FALSE),"-")</f>
        <v>-</v>
      </c>
      <c r="P330" s="79" t="str">
        <f>+IFERROR(VLOOKUP(CONCATENATE(A330,$C$10,C330),'ID1&amp;5'!B:J,9,FALSE),"-")</f>
        <v>-</v>
      </c>
      <c r="Q330" s="78" t="str">
        <f>+IFERROR(VLOOKUP(D330,'ID1&amp;5'!K:L,2,FALSE),"-")</f>
        <v>-</v>
      </c>
      <c r="R330" s="26" t="str">
        <f>+IFERROR(VLOOKUP(CONCATENATE(A330,$D$10,D330),'ID1&amp;5'!B:J,9,FALSE),"-")</f>
        <v>-</v>
      </c>
      <c r="S330" s="78" t="str">
        <f>+IFERROR(VLOOKUP(E330,'ID1&amp;5'!K:L,2,FALSE),"-")</f>
        <v>-</v>
      </c>
      <c r="T330" s="79" t="str">
        <f>+IFERROR(VLOOKUP(CONCATENATE(A330,$E$10,E330),'ID1&amp;5'!B:J,9,FALSE),"-")</f>
        <v>-</v>
      </c>
      <c r="U330" s="78" t="str">
        <f>+IFERROR(VLOOKUP(F330,'ID1&amp;5'!K:L,2,FALSE),"-")</f>
        <v>-</v>
      </c>
      <c r="V330" s="79" t="str">
        <f>+IFERROR(VLOOKUP(CONCATENATE(A330,$F$10,F330),'ID1&amp;5'!B:J,9,FALSE),"-")</f>
        <v>-</v>
      </c>
      <c r="W330" s="26" t="str">
        <f>+IFERROR(VLOOKUP(A330,'ID6&amp;7'!A:I,9,FALSE),"-")</f>
        <v>-</v>
      </c>
      <c r="X330" s="26" t="str">
        <f>+IFERROR(VLOOKUP(A330,'ID6&amp;7'!A:J,10,FALSE),"-")</f>
        <v>-</v>
      </c>
      <c r="Y330" s="26"/>
      <c r="Z330" s="27" t="str">
        <f t="shared" si="6"/>
        <v>Por iniciar</v>
      </c>
      <c r="AA330" s="65"/>
    </row>
    <row r="331" spans="1:27">
      <c r="A331" s="20"/>
      <c r="B331" s="60"/>
      <c r="C331" s="60"/>
      <c r="D331" s="60"/>
      <c r="E331" s="60"/>
      <c r="F331" s="60"/>
      <c r="G331" s="60"/>
      <c r="H331" s="65" t="s">
        <v>117</v>
      </c>
      <c r="I331" s="21" t="s">
        <v>1369</v>
      </c>
      <c r="J331" s="26">
        <f>+COUNTIF('ID1&amp;5'!G:G,'1. Status'!I331)</f>
        <v>0</v>
      </c>
      <c r="K331" s="79" t="str">
        <f>+IFERROR(VLOOKUP(CONCATENATE(A331,$B$10,B331),'ID1&amp;5'!B:J,8,FALSE),"-")</f>
        <v>-</v>
      </c>
      <c r="L331" s="78" t="str">
        <f>+IFERROR(VLOOKUP(B331,'ID1&amp;5'!K:L,2,FALSE),"-")</f>
        <v>-</v>
      </c>
      <c r="M331" s="79" t="str">
        <f>+IFERROR(VLOOKUP(CONCATENATE(A331,$B$10,B331),'ID1&amp;5'!B:J,9,FALSE),"-")</f>
        <v>-</v>
      </c>
      <c r="N331" s="79" t="str">
        <f>+IFERROR(VLOOKUP(CONCATENATE(A331,$C$10,C331),'ID1&amp;5'!B:J,8,FALSE),"-")</f>
        <v>-</v>
      </c>
      <c r="O331" s="78" t="str">
        <f>+IFERROR(VLOOKUP(C331,'ID1&amp;5'!K:L,2,FALSE),"-")</f>
        <v>-</v>
      </c>
      <c r="P331" s="79" t="str">
        <f>+IFERROR(VLOOKUP(CONCATENATE(A331,$C$10,C331),'ID1&amp;5'!B:J,9,FALSE),"-")</f>
        <v>-</v>
      </c>
      <c r="Q331" s="78" t="str">
        <f>+IFERROR(VLOOKUP(D331,'ID1&amp;5'!K:L,2,FALSE),"-")</f>
        <v>-</v>
      </c>
      <c r="R331" s="26" t="str">
        <f>+IFERROR(VLOOKUP(CONCATENATE(A331,$D$10,D331),'ID1&amp;5'!B:J,9,FALSE),"-")</f>
        <v>-</v>
      </c>
      <c r="S331" s="78" t="str">
        <f>+IFERROR(VLOOKUP(E331,'ID1&amp;5'!K:L,2,FALSE),"-")</f>
        <v>-</v>
      </c>
      <c r="T331" s="79" t="str">
        <f>+IFERROR(VLOOKUP(CONCATENATE(A331,$E$10,E331),'ID1&amp;5'!B:J,9,FALSE),"-")</f>
        <v>-</v>
      </c>
      <c r="U331" s="78" t="str">
        <f>+IFERROR(VLOOKUP(F331,'ID1&amp;5'!K:L,2,FALSE),"-")</f>
        <v>-</v>
      </c>
      <c r="V331" s="79" t="str">
        <f>+IFERROR(VLOOKUP(CONCATENATE(A331,$F$10,F331),'ID1&amp;5'!B:J,9,FALSE),"-")</f>
        <v>-</v>
      </c>
      <c r="W331" s="26" t="str">
        <f>+IFERROR(VLOOKUP(A331,'ID6&amp;7'!A:I,9,FALSE),"-")</f>
        <v>-</v>
      </c>
      <c r="X331" s="26" t="str">
        <f>+IFERROR(VLOOKUP(A331,'ID6&amp;7'!A:J,10,FALSE),"-")</f>
        <v>-</v>
      </c>
      <c r="Y331" s="26"/>
      <c r="Z331" s="27" t="str">
        <f t="shared" si="6"/>
        <v>Por iniciar</v>
      </c>
      <c r="AA331" s="65"/>
    </row>
    <row r="332" spans="1:27">
      <c r="A332" s="20"/>
      <c r="B332" s="60"/>
      <c r="C332" s="60"/>
      <c r="D332" s="60"/>
      <c r="E332" s="60"/>
      <c r="F332" s="60"/>
      <c r="G332" s="60"/>
      <c r="H332" s="65" t="s">
        <v>117</v>
      </c>
      <c r="I332" s="21" t="s">
        <v>1370</v>
      </c>
      <c r="J332" s="26">
        <f>+COUNTIF('ID1&amp;5'!G:G,'1. Status'!I332)</f>
        <v>0</v>
      </c>
      <c r="K332" s="79" t="str">
        <f>+IFERROR(VLOOKUP(CONCATENATE(A332,$B$10,B332),'ID1&amp;5'!B:J,8,FALSE),"-")</f>
        <v>-</v>
      </c>
      <c r="L332" s="78" t="str">
        <f>+IFERROR(VLOOKUP(B332,'ID1&amp;5'!K:L,2,FALSE),"-")</f>
        <v>-</v>
      </c>
      <c r="M332" s="79" t="str">
        <f>+IFERROR(VLOOKUP(CONCATENATE(A332,$B$10,B332),'ID1&amp;5'!B:J,9,FALSE),"-")</f>
        <v>-</v>
      </c>
      <c r="N332" s="79" t="str">
        <f>+IFERROR(VLOOKUP(CONCATENATE(A332,$C$10,C332),'ID1&amp;5'!B:J,8,FALSE),"-")</f>
        <v>-</v>
      </c>
      <c r="O332" s="78" t="str">
        <f>+IFERROR(VLOOKUP(C332,'ID1&amp;5'!K:L,2,FALSE),"-")</f>
        <v>-</v>
      </c>
      <c r="P332" s="79" t="str">
        <f>+IFERROR(VLOOKUP(CONCATENATE(A332,$C$10,C332),'ID1&amp;5'!B:J,9,FALSE),"-")</f>
        <v>-</v>
      </c>
      <c r="Q332" s="78" t="str">
        <f>+IFERROR(VLOOKUP(D332,'ID1&amp;5'!K:L,2,FALSE),"-")</f>
        <v>-</v>
      </c>
      <c r="R332" s="26" t="str">
        <f>+IFERROR(VLOOKUP(CONCATENATE(A332,$D$10,D332),'ID1&amp;5'!B:J,9,FALSE),"-")</f>
        <v>-</v>
      </c>
      <c r="S332" s="78" t="str">
        <f>+IFERROR(VLOOKUP(E332,'ID1&amp;5'!K:L,2,FALSE),"-")</f>
        <v>-</v>
      </c>
      <c r="T332" s="79" t="str">
        <f>+IFERROR(VLOOKUP(CONCATENATE(A332,$E$10,E332),'ID1&amp;5'!B:J,9,FALSE),"-")</f>
        <v>-</v>
      </c>
      <c r="U332" s="78" t="str">
        <f>+IFERROR(VLOOKUP(F332,'ID1&amp;5'!K:L,2,FALSE),"-")</f>
        <v>-</v>
      </c>
      <c r="V332" s="79" t="str">
        <f>+IFERROR(VLOOKUP(CONCATENATE(A332,$F$10,F332),'ID1&amp;5'!B:J,9,FALSE),"-")</f>
        <v>-</v>
      </c>
      <c r="W332" s="26" t="str">
        <f>+IFERROR(VLOOKUP(A332,'ID6&amp;7'!A:I,9,FALSE),"-")</f>
        <v>-</v>
      </c>
      <c r="X332" s="26" t="str">
        <f>+IFERROR(VLOOKUP(A332,'ID6&amp;7'!A:J,10,FALSE),"-")</f>
        <v>-</v>
      </c>
      <c r="Y332" s="26"/>
      <c r="Z332" s="27" t="str">
        <f t="shared" si="6"/>
        <v>Por iniciar</v>
      </c>
      <c r="AA332" s="65"/>
    </row>
    <row r="333" spans="1:27">
      <c r="A333" s="20"/>
      <c r="B333" s="60"/>
      <c r="C333" s="60"/>
      <c r="D333" s="60"/>
      <c r="E333" s="60"/>
      <c r="F333" s="60"/>
      <c r="G333" s="60"/>
      <c r="H333" s="65" t="s">
        <v>117</v>
      </c>
      <c r="I333" s="21" t="s">
        <v>1371</v>
      </c>
      <c r="J333" s="26">
        <f>+COUNTIF('ID1&amp;5'!G:G,'1. Status'!I333)</f>
        <v>0</v>
      </c>
      <c r="K333" s="79" t="str">
        <f>+IFERROR(VLOOKUP(CONCATENATE(A333,$B$10,B333),'ID1&amp;5'!B:J,8,FALSE),"-")</f>
        <v>-</v>
      </c>
      <c r="L333" s="78" t="str">
        <f>+IFERROR(VLOOKUP(B333,'ID1&amp;5'!K:L,2,FALSE),"-")</f>
        <v>-</v>
      </c>
      <c r="M333" s="79" t="str">
        <f>+IFERROR(VLOOKUP(CONCATENATE(A333,$B$10,B333),'ID1&amp;5'!B:J,9,FALSE),"-")</f>
        <v>-</v>
      </c>
      <c r="N333" s="79" t="str">
        <f>+IFERROR(VLOOKUP(CONCATENATE(A333,$C$10,C333),'ID1&amp;5'!B:J,8,FALSE),"-")</f>
        <v>-</v>
      </c>
      <c r="O333" s="78" t="str">
        <f>+IFERROR(VLOOKUP(C333,'ID1&amp;5'!K:L,2,FALSE),"-")</f>
        <v>-</v>
      </c>
      <c r="P333" s="79" t="str">
        <f>+IFERROR(VLOOKUP(CONCATENATE(A333,$C$10,C333),'ID1&amp;5'!B:J,9,FALSE),"-")</f>
        <v>-</v>
      </c>
      <c r="Q333" s="78" t="str">
        <f>+IFERROR(VLOOKUP(D333,'ID1&amp;5'!K:L,2,FALSE),"-")</f>
        <v>-</v>
      </c>
      <c r="R333" s="26" t="str">
        <f>+IFERROR(VLOOKUP(CONCATENATE(A333,$D$10,D333),'ID1&amp;5'!B:J,9,FALSE),"-")</f>
        <v>-</v>
      </c>
      <c r="S333" s="78" t="str">
        <f>+IFERROR(VLOOKUP(E333,'ID1&amp;5'!K:L,2,FALSE),"-")</f>
        <v>-</v>
      </c>
      <c r="T333" s="79" t="str">
        <f>+IFERROR(VLOOKUP(CONCATENATE(A333,$E$10,E333),'ID1&amp;5'!B:J,9,FALSE),"-")</f>
        <v>-</v>
      </c>
      <c r="U333" s="78" t="str">
        <f>+IFERROR(VLOOKUP(F333,'ID1&amp;5'!K:L,2,FALSE),"-")</f>
        <v>-</v>
      </c>
      <c r="V333" s="79" t="str">
        <f>+IFERROR(VLOOKUP(CONCATENATE(A333,$F$10,F333),'ID1&amp;5'!B:J,9,FALSE),"-")</f>
        <v>-</v>
      </c>
      <c r="W333" s="26" t="str">
        <f>+IFERROR(VLOOKUP(A333,'ID6&amp;7'!A:I,9,FALSE),"-")</f>
        <v>-</v>
      </c>
      <c r="X333" s="26" t="str">
        <f>+IFERROR(VLOOKUP(A333,'ID6&amp;7'!A:J,10,FALSE),"-")</f>
        <v>-</v>
      </c>
      <c r="Y333" s="26"/>
      <c r="Z333" s="27" t="str">
        <f t="shared" si="6"/>
        <v>Por iniciar</v>
      </c>
      <c r="AA333" s="65"/>
    </row>
    <row r="334" spans="1:27">
      <c r="A334" s="20"/>
      <c r="B334" s="60"/>
      <c r="C334" s="60"/>
      <c r="D334" s="60"/>
      <c r="E334" s="60"/>
      <c r="F334" s="60"/>
      <c r="G334" s="60"/>
      <c r="H334" s="65" t="s">
        <v>117</v>
      </c>
      <c r="I334" s="21" t="s">
        <v>1372</v>
      </c>
      <c r="J334" s="26">
        <f>+COUNTIF('ID1&amp;5'!G:G,'1. Status'!I334)</f>
        <v>0</v>
      </c>
      <c r="K334" s="79" t="str">
        <f>+IFERROR(VLOOKUP(CONCATENATE(A334,$B$10,B334),'ID1&amp;5'!B:J,8,FALSE),"-")</f>
        <v>-</v>
      </c>
      <c r="L334" s="78" t="str">
        <f>+IFERROR(VLOOKUP(B334,'ID1&amp;5'!K:L,2,FALSE),"-")</f>
        <v>-</v>
      </c>
      <c r="M334" s="79" t="str">
        <f>+IFERROR(VLOOKUP(CONCATENATE(A334,$B$10,B334),'ID1&amp;5'!B:J,9,FALSE),"-")</f>
        <v>-</v>
      </c>
      <c r="N334" s="79" t="str">
        <f>+IFERROR(VLOOKUP(CONCATENATE(A334,$C$10,C334),'ID1&amp;5'!B:J,8,FALSE),"-")</f>
        <v>-</v>
      </c>
      <c r="O334" s="78" t="str">
        <f>+IFERROR(VLOOKUP(C334,'ID1&amp;5'!K:L,2,FALSE),"-")</f>
        <v>-</v>
      </c>
      <c r="P334" s="79" t="str">
        <f>+IFERROR(VLOOKUP(CONCATENATE(A334,$C$10,C334),'ID1&amp;5'!B:J,9,FALSE),"-")</f>
        <v>-</v>
      </c>
      <c r="Q334" s="78" t="str">
        <f>+IFERROR(VLOOKUP(D334,'ID1&amp;5'!K:L,2,FALSE),"-")</f>
        <v>-</v>
      </c>
      <c r="R334" s="26" t="str">
        <f>+IFERROR(VLOOKUP(CONCATENATE(A334,$D$10,D334),'ID1&amp;5'!B:J,9,FALSE),"-")</f>
        <v>-</v>
      </c>
      <c r="S334" s="78" t="str">
        <f>+IFERROR(VLOOKUP(E334,'ID1&amp;5'!K:L,2,FALSE),"-")</f>
        <v>-</v>
      </c>
      <c r="T334" s="79" t="str">
        <f>+IFERROR(VLOOKUP(CONCATENATE(A334,$E$10,E334),'ID1&amp;5'!B:J,9,FALSE),"-")</f>
        <v>-</v>
      </c>
      <c r="U334" s="78" t="str">
        <f>+IFERROR(VLOOKUP(F334,'ID1&amp;5'!K:L,2,FALSE),"-")</f>
        <v>-</v>
      </c>
      <c r="V334" s="79" t="str">
        <f>+IFERROR(VLOOKUP(CONCATENATE(A334,$F$10,F334),'ID1&amp;5'!B:J,9,FALSE),"-")</f>
        <v>-</v>
      </c>
      <c r="W334" s="26" t="str">
        <f>+IFERROR(VLOOKUP(A334,'ID6&amp;7'!A:I,9,FALSE),"-")</f>
        <v>-</v>
      </c>
      <c r="X334" s="26" t="str">
        <f>+IFERROR(VLOOKUP(A334,'ID6&amp;7'!A:J,10,FALSE),"-")</f>
        <v>-</v>
      </c>
      <c r="Y334" s="26"/>
      <c r="Z334" s="27" t="str">
        <f t="shared" si="6"/>
        <v>Por iniciar</v>
      </c>
      <c r="AA334" s="65"/>
    </row>
    <row r="335" spans="1:27">
      <c r="A335" s="20"/>
      <c r="B335" s="60"/>
      <c r="C335" s="60"/>
      <c r="D335" s="60"/>
      <c r="E335" s="60"/>
      <c r="F335" s="60"/>
      <c r="G335" s="60"/>
      <c r="H335" s="65" t="s">
        <v>117</v>
      </c>
      <c r="I335" s="21" t="s">
        <v>1373</v>
      </c>
      <c r="J335" s="26">
        <f>+COUNTIF('ID1&amp;5'!G:G,'1. Status'!I335)</f>
        <v>0</v>
      </c>
      <c r="K335" s="79" t="str">
        <f>+IFERROR(VLOOKUP(CONCATENATE(A335,$B$10,B335),'ID1&amp;5'!B:J,8,FALSE),"-")</f>
        <v>-</v>
      </c>
      <c r="L335" s="78" t="str">
        <f>+IFERROR(VLOOKUP(B335,'ID1&amp;5'!K:L,2,FALSE),"-")</f>
        <v>-</v>
      </c>
      <c r="M335" s="79" t="str">
        <f>+IFERROR(VLOOKUP(CONCATENATE(A335,$B$10,B335),'ID1&amp;5'!B:J,9,FALSE),"-")</f>
        <v>-</v>
      </c>
      <c r="N335" s="79" t="str">
        <f>+IFERROR(VLOOKUP(CONCATENATE(A335,$C$10,C335),'ID1&amp;5'!B:J,8,FALSE),"-")</f>
        <v>-</v>
      </c>
      <c r="O335" s="78" t="str">
        <f>+IFERROR(VLOOKUP(C335,'ID1&amp;5'!K:L,2,FALSE),"-")</f>
        <v>-</v>
      </c>
      <c r="P335" s="79" t="str">
        <f>+IFERROR(VLOOKUP(CONCATENATE(A335,$C$10,C335),'ID1&amp;5'!B:J,9,FALSE),"-")</f>
        <v>-</v>
      </c>
      <c r="Q335" s="78" t="str">
        <f>+IFERROR(VLOOKUP(D335,'ID1&amp;5'!K:L,2,FALSE),"-")</f>
        <v>-</v>
      </c>
      <c r="R335" s="26" t="str">
        <f>+IFERROR(VLOOKUP(CONCATENATE(A335,$D$10,D335),'ID1&amp;5'!B:J,9,FALSE),"-")</f>
        <v>-</v>
      </c>
      <c r="S335" s="78" t="str">
        <f>+IFERROR(VLOOKUP(E335,'ID1&amp;5'!K:L,2,FALSE),"-")</f>
        <v>-</v>
      </c>
      <c r="T335" s="79" t="str">
        <f>+IFERROR(VLOOKUP(CONCATENATE(A335,$E$10,E335),'ID1&amp;5'!B:J,9,FALSE),"-")</f>
        <v>-</v>
      </c>
      <c r="U335" s="78" t="str">
        <f>+IFERROR(VLOOKUP(F335,'ID1&amp;5'!K:L,2,FALSE),"-")</f>
        <v>-</v>
      </c>
      <c r="V335" s="79" t="str">
        <f>+IFERROR(VLOOKUP(CONCATENATE(A335,$F$10,F335),'ID1&amp;5'!B:J,9,FALSE),"-")</f>
        <v>-</v>
      </c>
      <c r="W335" s="26" t="str">
        <f>+IFERROR(VLOOKUP(A335,'ID6&amp;7'!A:I,9,FALSE),"-")</f>
        <v>-</v>
      </c>
      <c r="X335" s="26" t="str">
        <f>+IFERROR(VLOOKUP(A335,'ID6&amp;7'!A:J,10,FALSE),"-")</f>
        <v>-</v>
      </c>
      <c r="Y335" s="26"/>
      <c r="Z335" s="27" t="str">
        <f t="shared" si="6"/>
        <v>Por iniciar</v>
      </c>
      <c r="AA335" s="65"/>
    </row>
    <row r="336" spans="1:27">
      <c r="A336" s="20"/>
      <c r="B336" s="60"/>
      <c r="C336" s="60"/>
      <c r="D336" s="60"/>
      <c r="E336" s="60"/>
      <c r="F336" s="60"/>
      <c r="G336" s="60"/>
      <c r="H336" s="65" t="s">
        <v>117</v>
      </c>
      <c r="I336" s="21" t="s">
        <v>1374</v>
      </c>
      <c r="J336" s="26">
        <f>+COUNTIF('ID1&amp;5'!G:G,'1. Status'!I336)</f>
        <v>0</v>
      </c>
      <c r="K336" s="79" t="str">
        <f>+IFERROR(VLOOKUP(CONCATENATE(A336,$B$10,B336),'ID1&amp;5'!B:J,8,FALSE),"-")</f>
        <v>-</v>
      </c>
      <c r="L336" s="78" t="str">
        <f>+IFERROR(VLOOKUP(B336,'ID1&amp;5'!K:L,2,FALSE),"-")</f>
        <v>-</v>
      </c>
      <c r="M336" s="79" t="str">
        <f>+IFERROR(VLOOKUP(CONCATENATE(A336,$B$10,B336),'ID1&amp;5'!B:J,9,FALSE),"-")</f>
        <v>-</v>
      </c>
      <c r="N336" s="79" t="str">
        <f>+IFERROR(VLOOKUP(CONCATENATE(A336,$C$10,C336),'ID1&amp;5'!B:J,8,FALSE),"-")</f>
        <v>-</v>
      </c>
      <c r="O336" s="78" t="str">
        <f>+IFERROR(VLOOKUP(C336,'ID1&amp;5'!K:L,2,FALSE),"-")</f>
        <v>-</v>
      </c>
      <c r="P336" s="79" t="str">
        <f>+IFERROR(VLOOKUP(CONCATENATE(A336,$C$10,C336),'ID1&amp;5'!B:J,9,FALSE),"-")</f>
        <v>-</v>
      </c>
      <c r="Q336" s="78" t="str">
        <f>+IFERROR(VLOOKUP(D336,'ID1&amp;5'!K:L,2,FALSE),"-")</f>
        <v>-</v>
      </c>
      <c r="R336" s="26" t="str">
        <f>+IFERROR(VLOOKUP(CONCATENATE(A336,$D$10,D336),'ID1&amp;5'!B:J,9,FALSE),"-")</f>
        <v>-</v>
      </c>
      <c r="S336" s="78" t="str">
        <f>+IFERROR(VLOOKUP(E336,'ID1&amp;5'!K:L,2,FALSE),"-")</f>
        <v>-</v>
      </c>
      <c r="T336" s="79" t="str">
        <f>+IFERROR(VLOOKUP(CONCATENATE(A336,$E$10,E336),'ID1&amp;5'!B:J,9,FALSE),"-")</f>
        <v>-</v>
      </c>
      <c r="U336" s="78" t="str">
        <f>+IFERROR(VLOOKUP(F336,'ID1&amp;5'!K:L,2,FALSE),"-")</f>
        <v>-</v>
      </c>
      <c r="V336" s="79" t="str">
        <f>+IFERROR(VLOOKUP(CONCATENATE(A336,$F$10,F336),'ID1&amp;5'!B:J,9,FALSE),"-")</f>
        <v>-</v>
      </c>
      <c r="W336" s="26" t="str">
        <f>+IFERROR(VLOOKUP(A336,'ID6&amp;7'!A:I,9,FALSE),"-")</f>
        <v>-</v>
      </c>
      <c r="X336" s="26" t="str">
        <f>+IFERROR(VLOOKUP(A336,'ID6&amp;7'!A:J,10,FALSE),"-")</f>
        <v>-</v>
      </c>
      <c r="Y336" s="26"/>
      <c r="Z336" s="27" t="str">
        <f t="shared" si="6"/>
        <v>Por iniciar</v>
      </c>
      <c r="AA336" s="65"/>
    </row>
    <row r="337" spans="1:27">
      <c r="A337" s="20"/>
      <c r="B337" s="60"/>
      <c r="C337" s="60"/>
      <c r="D337" s="60"/>
      <c r="E337" s="60"/>
      <c r="F337" s="60"/>
      <c r="G337" s="60"/>
      <c r="H337" s="65" t="s">
        <v>117</v>
      </c>
      <c r="I337" s="21" t="s">
        <v>1375</v>
      </c>
      <c r="J337" s="26">
        <f>+COUNTIF('ID1&amp;5'!G:G,'1. Status'!I337)</f>
        <v>0</v>
      </c>
      <c r="K337" s="79" t="str">
        <f>+IFERROR(VLOOKUP(CONCATENATE(A337,$B$10,B337),'ID1&amp;5'!B:J,8,FALSE),"-")</f>
        <v>-</v>
      </c>
      <c r="L337" s="78" t="str">
        <f>+IFERROR(VLOOKUP(B337,'ID1&amp;5'!K:L,2,FALSE),"-")</f>
        <v>-</v>
      </c>
      <c r="M337" s="79" t="str">
        <f>+IFERROR(VLOOKUP(CONCATENATE(A337,$B$10,B337),'ID1&amp;5'!B:J,9,FALSE),"-")</f>
        <v>-</v>
      </c>
      <c r="N337" s="79" t="str">
        <f>+IFERROR(VLOOKUP(CONCATENATE(A337,$C$10,C337),'ID1&amp;5'!B:J,8,FALSE),"-")</f>
        <v>-</v>
      </c>
      <c r="O337" s="78" t="str">
        <f>+IFERROR(VLOOKUP(C337,'ID1&amp;5'!K:L,2,FALSE),"-")</f>
        <v>-</v>
      </c>
      <c r="P337" s="79" t="str">
        <f>+IFERROR(VLOOKUP(CONCATENATE(A337,$C$10,C337),'ID1&amp;5'!B:J,9,FALSE),"-")</f>
        <v>-</v>
      </c>
      <c r="Q337" s="78" t="str">
        <f>+IFERROR(VLOOKUP(D337,'ID1&amp;5'!K:L,2,FALSE),"-")</f>
        <v>-</v>
      </c>
      <c r="R337" s="26" t="str">
        <f>+IFERROR(VLOOKUP(CONCATENATE(A337,$D$10,D337),'ID1&amp;5'!B:J,9,FALSE),"-")</f>
        <v>-</v>
      </c>
      <c r="S337" s="78" t="str">
        <f>+IFERROR(VLOOKUP(E337,'ID1&amp;5'!K:L,2,FALSE),"-")</f>
        <v>-</v>
      </c>
      <c r="T337" s="79" t="str">
        <f>+IFERROR(VLOOKUP(CONCATENATE(A337,$E$10,E337),'ID1&amp;5'!B:J,9,FALSE),"-")</f>
        <v>-</v>
      </c>
      <c r="U337" s="78" t="str">
        <f>+IFERROR(VLOOKUP(F337,'ID1&amp;5'!K:L,2,FALSE),"-")</f>
        <v>-</v>
      </c>
      <c r="V337" s="79" t="str">
        <f>+IFERROR(VLOOKUP(CONCATENATE(A337,$F$10,F337),'ID1&amp;5'!B:J,9,FALSE),"-")</f>
        <v>-</v>
      </c>
      <c r="W337" s="26" t="str">
        <f>+IFERROR(VLOOKUP(A337,'ID6&amp;7'!A:I,9,FALSE),"-")</f>
        <v>-</v>
      </c>
      <c r="X337" s="26" t="str">
        <f>+IFERROR(VLOOKUP(A337,'ID6&amp;7'!A:J,10,FALSE),"-")</f>
        <v>-</v>
      </c>
      <c r="Y337" s="26"/>
      <c r="Z337" s="27" t="str">
        <f t="shared" si="6"/>
        <v>Por iniciar</v>
      </c>
      <c r="AA337" s="65"/>
    </row>
    <row r="338" spans="1:27">
      <c r="A338" s="20"/>
      <c r="B338" s="60"/>
      <c r="C338" s="60"/>
      <c r="D338" s="60"/>
      <c r="E338" s="60"/>
      <c r="F338" s="60"/>
      <c r="G338" s="60"/>
      <c r="H338" s="65" t="s">
        <v>117</v>
      </c>
      <c r="I338" s="21" t="s">
        <v>1376</v>
      </c>
      <c r="J338" s="26">
        <f>+COUNTIF('ID1&amp;5'!G:G,'1. Status'!I338)</f>
        <v>0</v>
      </c>
      <c r="K338" s="79" t="str">
        <f>+IFERROR(VLOOKUP(CONCATENATE(A338,$B$10,B338),'ID1&amp;5'!B:J,8,FALSE),"-")</f>
        <v>-</v>
      </c>
      <c r="L338" s="78" t="str">
        <f>+IFERROR(VLOOKUP(B338,'ID1&amp;5'!K:L,2,FALSE),"-")</f>
        <v>-</v>
      </c>
      <c r="M338" s="79" t="str">
        <f>+IFERROR(VLOOKUP(CONCATENATE(A338,$B$10,B338),'ID1&amp;5'!B:J,9,FALSE),"-")</f>
        <v>-</v>
      </c>
      <c r="N338" s="79" t="str">
        <f>+IFERROR(VLOOKUP(CONCATENATE(A338,$C$10,C338),'ID1&amp;5'!B:J,8,FALSE),"-")</f>
        <v>-</v>
      </c>
      <c r="O338" s="78" t="str">
        <f>+IFERROR(VLOOKUP(C338,'ID1&amp;5'!K:L,2,FALSE),"-")</f>
        <v>-</v>
      </c>
      <c r="P338" s="79" t="str">
        <f>+IFERROR(VLOOKUP(CONCATENATE(A338,$C$10,C338),'ID1&amp;5'!B:J,9,FALSE),"-")</f>
        <v>-</v>
      </c>
      <c r="Q338" s="78" t="str">
        <f>+IFERROR(VLOOKUP(D338,'ID1&amp;5'!K:L,2,FALSE),"-")</f>
        <v>-</v>
      </c>
      <c r="R338" s="26" t="str">
        <f>+IFERROR(VLOOKUP(CONCATENATE(A338,$D$10,D338),'ID1&amp;5'!B:J,9,FALSE),"-")</f>
        <v>-</v>
      </c>
      <c r="S338" s="78" t="str">
        <f>+IFERROR(VLOOKUP(E338,'ID1&amp;5'!K:L,2,FALSE),"-")</f>
        <v>-</v>
      </c>
      <c r="T338" s="79" t="str">
        <f>+IFERROR(VLOOKUP(CONCATENATE(A338,$E$10,E338),'ID1&amp;5'!B:J,9,FALSE),"-")</f>
        <v>-</v>
      </c>
      <c r="U338" s="78" t="str">
        <f>+IFERROR(VLOOKUP(F338,'ID1&amp;5'!K:L,2,FALSE),"-")</f>
        <v>-</v>
      </c>
      <c r="V338" s="79" t="str">
        <f>+IFERROR(VLOOKUP(CONCATENATE(A338,$F$10,F338),'ID1&amp;5'!B:J,9,FALSE),"-")</f>
        <v>-</v>
      </c>
      <c r="W338" s="26" t="str">
        <f>+IFERROR(VLOOKUP(A338,'ID6&amp;7'!A:I,9,FALSE),"-")</f>
        <v>-</v>
      </c>
      <c r="X338" s="26" t="str">
        <f>+IFERROR(VLOOKUP(A338,'ID6&amp;7'!A:J,10,FALSE),"-")</f>
        <v>-</v>
      </c>
      <c r="Y338" s="26"/>
      <c r="Z338" s="27" t="str">
        <f t="shared" si="6"/>
        <v>Por iniciar</v>
      </c>
      <c r="AA338" s="65"/>
    </row>
    <row r="339" spans="1:27">
      <c r="A339" s="20"/>
      <c r="B339" s="60"/>
      <c r="C339" s="60"/>
      <c r="D339" s="60"/>
      <c r="E339" s="60"/>
      <c r="F339" s="60"/>
      <c r="G339" s="60"/>
      <c r="H339" s="65" t="s">
        <v>117</v>
      </c>
      <c r="I339" s="21" t="s">
        <v>1377</v>
      </c>
      <c r="J339" s="26">
        <f>+COUNTIF('ID1&amp;5'!G:G,'1. Status'!I339)</f>
        <v>0</v>
      </c>
      <c r="K339" s="79" t="str">
        <f>+IFERROR(VLOOKUP(CONCATENATE(A339,$B$10,B339),'ID1&amp;5'!B:J,8,FALSE),"-")</f>
        <v>-</v>
      </c>
      <c r="L339" s="78" t="str">
        <f>+IFERROR(VLOOKUP(B339,'ID1&amp;5'!K:L,2,FALSE),"-")</f>
        <v>-</v>
      </c>
      <c r="M339" s="79" t="str">
        <f>+IFERROR(VLOOKUP(CONCATENATE(A339,$B$10,B339),'ID1&amp;5'!B:J,9,FALSE),"-")</f>
        <v>-</v>
      </c>
      <c r="N339" s="79" t="str">
        <f>+IFERROR(VLOOKUP(CONCATENATE(A339,$C$10,C339),'ID1&amp;5'!B:J,8,FALSE),"-")</f>
        <v>-</v>
      </c>
      <c r="O339" s="78" t="str">
        <f>+IFERROR(VLOOKUP(C339,'ID1&amp;5'!K:L,2,FALSE),"-")</f>
        <v>-</v>
      </c>
      <c r="P339" s="79" t="str">
        <f>+IFERROR(VLOOKUP(CONCATENATE(A339,$C$10,C339),'ID1&amp;5'!B:J,9,FALSE),"-")</f>
        <v>-</v>
      </c>
      <c r="Q339" s="78" t="str">
        <f>+IFERROR(VLOOKUP(D339,'ID1&amp;5'!K:L,2,FALSE),"-")</f>
        <v>-</v>
      </c>
      <c r="R339" s="26" t="str">
        <f>+IFERROR(VLOOKUP(CONCATENATE(A339,$D$10,D339),'ID1&amp;5'!B:J,9,FALSE),"-")</f>
        <v>-</v>
      </c>
      <c r="S339" s="78" t="str">
        <f>+IFERROR(VLOOKUP(E339,'ID1&amp;5'!K:L,2,FALSE),"-")</f>
        <v>-</v>
      </c>
      <c r="T339" s="79" t="str">
        <f>+IFERROR(VLOOKUP(CONCATENATE(A339,$E$10,E339),'ID1&amp;5'!B:J,9,FALSE),"-")</f>
        <v>-</v>
      </c>
      <c r="U339" s="78" t="str">
        <f>+IFERROR(VLOOKUP(F339,'ID1&amp;5'!K:L,2,FALSE),"-")</f>
        <v>-</v>
      </c>
      <c r="V339" s="79" t="str">
        <f>+IFERROR(VLOOKUP(CONCATENATE(A339,$F$10,F339),'ID1&amp;5'!B:J,9,FALSE),"-")</f>
        <v>-</v>
      </c>
      <c r="W339" s="26" t="str">
        <f>+IFERROR(VLOOKUP(A339,'ID6&amp;7'!A:I,9,FALSE),"-")</f>
        <v>-</v>
      </c>
      <c r="X339" s="26" t="str">
        <f>+IFERROR(VLOOKUP(A339,'ID6&amp;7'!A:J,10,FALSE),"-")</f>
        <v>-</v>
      </c>
      <c r="Y339" s="26"/>
      <c r="Z339" s="27" t="str">
        <f t="shared" si="6"/>
        <v>Por iniciar</v>
      </c>
      <c r="AA339" s="65"/>
    </row>
    <row r="340" spans="1:27">
      <c r="A340" s="20"/>
      <c r="B340" s="60"/>
      <c r="C340" s="60"/>
      <c r="D340" s="60"/>
      <c r="E340" s="60"/>
      <c r="F340" s="60"/>
      <c r="G340" s="60"/>
      <c r="H340" s="65" t="s">
        <v>117</v>
      </c>
      <c r="I340" s="21" t="s">
        <v>1378</v>
      </c>
      <c r="J340" s="26">
        <f>+COUNTIF('ID1&amp;5'!G:G,'1. Status'!I340)</f>
        <v>0</v>
      </c>
      <c r="K340" s="79" t="str">
        <f>+IFERROR(VLOOKUP(CONCATENATE(A340,$B$10,B340),'ID1&amp;5'!B:J,8,FALSE),"-")</f>
        <v>-</v>
      </c>
      <c r="L340" s="78" t="str">
        <f>+IFERROR(VLOOKUP(B340,'ID1&amp;5'!K:L,2,FALSE),"-")</f>
        <v>-</v>
      </c>
      <c r="M340" s="79" t="str">
        <f>+IFERROR(VLOOKUP(CONCATENATE(A340,$B$10,B340),'ID1&amp;5'!B:J,9,FALSE),"-")</f>
        <v>-</v>
      </c>
      <c r="N340" s="79" t="str">
        <f>+IFERROR(VLOOKUP(CONCATENATE(A340,$C$10,C340),'ID1&amp;5'!B:J,8,FALSE),"-")</f>
        <v>-</v>
      </c>
      <c r="O340" s="78" t="str">
        <f>+IFERROR(VLOOKUP(C340,'ID1&amp;5'!K:L,2,FALSE),"-")</f>
        <v>-</v>
      </c>
      <c r="P340" s="79" t="str">
        <f>+IFERROR(VLOOKUP(CONCATENATE(A340,$C$10,C340),'ID1&amp;5'!B:J,9,FALSE),"-")</f>
        <v>-</v>
      </c>
      <c r="Q340" s="78" t="str">
        <f>+IFERROR(VLOOKUP(D340,'ID1&amp;5'!K:L,2,FALSE),"-")</f>
        <v>-</v>
      </c>
      <c r="R340" s="26" t="str">
        <f>+IFERROR(VLOOKUP(CONCATENATE(A340,$D$10,D340),'ID1&amp;5'!B:J,9,FALSE),"-")</f>
        <v>-</v>
      </c>
      <c r="S340" s="78" t="str">
        <f>+IFERROR(VLOOKUP(E340,'ID1&amp;5'!K:L,2,FALSE),"-")</f>
        <v>-</v>
      </c>
      <c r="T340" s="79" t="str">
        <f>+IFERROR(VLOOKUP(CONCATENATE(A340,$E$10,E340),'ID1&amp;5'!B:J,9,FALSE),"-")</f>
        <v>-</v>
      </c>
      <c r="U340" s="78" t="str">
        <f>+IFERROR(VLOOKUP(F340,'ID1&amp;5'!K:L,2,FALSE),"-")</f>
        <v>-</v>
      </c>
      <c r="V340" s="79" t="str">
        <f>+IFERROR(VLOOKUP(CONCATENATE(A340,$F$10,F340),'ID1&amp;5'!B:J,9,FALSE),"-")</f>
        <v>-</v>
      </c>
      <c r="W340" s="26" t="str">
        <f>+IFERROR(VLOOKUP(A340,'ID6&amp;7'!A:I,9,FALSE),"-")</f>
        <v>-</v>
      </c>
      <c r="X340" s="26" t="str">
        <f>+IFERROR(VLOOKUP(A340,'ID6&amp;7'!A:J,10,FALSE),"-")</f>
        <v>-</v>
      </c>
      <c r="Y340" s="26"/>
      <c r="Z340" s="27" t="str">
        <f t="shared" si="6"/>
        <v>Por iniciar</v>
      </c>
      <c r="AA340" s="65"/>
    </row>
    <row r="341" spans="1:27">
      <c r="A341" s="20"/>
      <c r="B341" s="60"/>
      <c r="C341" s="60"/>
      <c r="D341" s="60"/>
      <c r="E341" s="60"/>
      <c r="F341" s="60"/>
      <c r="G341" s="60"/>
      <c r="H341" s="65" t="s">
        <v>117</v>
      </c>
      <c r="I341" s="21" t="s">
        <v>1379</v>
      </c>
      <c r="J341" s="26">
        <f>+COUNTIF('ID1&amp;5'!G:G,'1. Status'!I341)</f>
        <v>0</v>
      </c>
      <c r="K341" s="79" t="str">
        <f>+IFERROR(VLOOKUP(CONCATENATE(A341,$B$10,B341),'ID1&amp;5'!B:J,8,FALSE),"-")</f>
        <v>-</v>
      </c>
      <c r="L341" s="78" t="str">
        <f>+IFERROR(VLOOKUP(B341,'ID1&amp;5'!K:L,2,FALSE),"-")</f>
        <v>-</v>
      </c>
      <c r="M341" s="79" t="str">
        <f>+IFERROR(VLOOKUP(CONCATENATE(A341,$B$10,B341),'ID1&amp;5'!B:J,9,FALSE),"-")</f>
        <v>-</v>
      </c>
      <c r="N341" s="79" t="str">
        <f>+IFERROR(VLOOKUP(CONCATENATE(A341,$C$10,C341),'ID1&amp;5'!B:J,8,FALSE),"-")</f>
        <v>-</v>
      </c>
      <c r="O341" s="78" t="str">
        <f>+IFERROR(VLOOKUP(C341,'ID1&amp;5'!K:L,2,FALSE),"-")</f>
        <v>-</v>
      </c>
      <c r="P341" s="79" t="str">
        <f>+IFERROR(VLOOKUP(CONCATENATE(A341,$C$10,C341),'ID1&amp;5'!B:J,9,FALSE),"-")</f>
        <v>-</v>
      </c>
      <c r="Q341" s="78" t="str">
        <f>+IFERROR(VLOOKUP(D341,'ID1&amp;5'!K:L,2,FALSE),"-")</f>
        <v>-</v>
      </c>
      <c r="R341" s="26" t="str">
        <f>+IFERROR(VLOOKUP(CONCATENATE(A341,$D$10,D341),'ID1&amp;5'!B:J,9,FALSE),"-")</f>
        <v>-</v>
      </c>
      <c r="S341" s="78" t="str">
        <f>+IFERROR(VLOOKUP(E341,'ID1&amp;5'!K:L,2,FALSE),"-")</f>
        <v>-</v>
      </c>
      <c r="T341" s="79" t="str">
        <f>+IFERROR(VLOOKUP(CONCATENATE(A341,$E$10,E341),'ID1&amp;5'!B:J,9,FALSE),"-")</f>
        <v>-</v>
      </c>
      <c r="U341" s="78" t="str">
        <f>+IFERROR(VLOOKUP(F341,'ID1&amp;5'!K:L,2,FALSE),"-")</f>
        <v>-</v>
      </c>
      <c r="V341" s="79" t="str">
        <f>+IFERROR(VLOOKUP(CONCATENATE(A341,$F$10,F341),'ID1&amp;5'!B:J,9,FALSE),"-")</f>
        <v>-</v>
      </c>
      <c r="W341" s="26" t="str">
        <f>+IFERROR(VLOOKUP(A341,'ID6&amp;7'!A:I,9,FALSE),"-")</f>
        <v>-</v>
      </c>
      <c r="X341" s="26" t="str">
        <f>+IFERROR(VLOOKUP(A341,'ID6&amp;7'!A:J,10,FALSE),"-")</f>
        <v>-</v>
      </c>
      <c r="Y341" s="26"/>
      <c r="Z341" s="27" t="str">
        <f t="shared" si="6"/>
        <v>Por iniciar</v>
      </c>
      <c r="AA341" s="65"/>
    </row>
    <row r="342" spans="1:27">
      <c r="A342" s="20"/>
      <c r="B342" s="60"/>
      <c r="C342" s="60"/>
      <c r="D342" s="60"/>
      <c r="E342" s="60"/>
      <c r="F342" s="60"/>
      <c r="G342" s="60"/>
      <c r="H342" s="65" t="s">
        <v>117</v>
      </c>
      <c r="I342" s="21" t="s">
        <v>1380</v>
      </c>
      <c r="J342" s="26">
        <f>+COUNTIF('ID1&amp;5'!G:G,'1. Status'!I342)</f>
        <v>0</v>
      </c>
      <c r="K342" s="79" t="str">
        <f>+IFERROR(VLOOKUP(CONCATENATE(A342,$B$10,B342),'ID1&amp;5'!B:J,8,FALSE),"-")</f>
        <v>-</v>
      </c>
      <c r="L342" s="78" t="str">
        <f>+IFERROR(VLOOKUP(B342,'ID1&amp;5'!K:L,2,FALSE),"-")</f>
        <v>-</v>
      </c>
      <c r="M342" s="79" t="str">
        <f>+IFERROR(VLOOKUP(CONCATENATE(A342,$B$10,B342),'ID1&amp;5'!B:J,9,FALSE),"-")</f>
        <v>-</v>
      </c>
      <c r="N342" s="79" t="str">
        <f>+IFERROR(VLOOKUP(CONCATENATE(A342,$C$10,C342),'ID1&amp;5'!B:J,8,FALSE),"-")</f>
        <v>-</v>
      </c>
      <c r="O342" s="78" t="str">
        <f>+IFERROR(VLOOKUP(C342,'ID1&amp;5'!K:L,2,FALSE),"-")</f>
        <v>-</v>
      </c>
      <c r="P342" s="79" t="str">
        <f>+IFERROR(VLOOKUP(CONCATENATE(A342,$C$10,C342),'ID1&amp;5'!B:J,9,FALSE),"-")</f>
        <v>-</v>
      </c>
      <c r="Q342" s="78" t="str">
        <f>+IFERROR(VLOOKUP(D342,'ID1&amp;5'!K:L,2,FALSE),"-")</f>
        <v>-</v>
      </c>
      <c r="R342" s="26" t="str">
        <f>+IFERROR(VLOOKUP(CONCATENATE(A342,$D$10,D342),'ID1&amp;5'!B:J,9,FALSE),"-")</f>
        <v>-</v>
      </c>
      <c r="S342" s="78" t="str">
        <f>+IFERROR(VLOOKUP(E342,'ID1&amp;5'!K:L,2,FALSE),"-")</f>
        <v>-</v>
      </c>
      <c r="T342" s="79" t="str">
        <f>+IFERROR(VLOOKUP(CONCATENATE(A342,$E$10,E342),'ID1&amp;5'!B:J,9,FALSE),"-")</f>
        <v>-</v>
      </c>
      <c r="U342" s="78" t="str">
        <f>+IFERROR(VLOOKUP(F342,'ID1&amp;5'!K:L,2,FALSE),"-")</f>
        <v>-</v>
      </c>
      <c r="V342" s="79" t="str">
        <f>+IFERROR(VLOOKUP(CONCATENATE(A342,$F$10,F342),'ID1&amp;5'!B:J,9,FALSE),"-")</f>
        <v>-</v>
      </c>
      <c r="W342" s="26" t="str">
        <f>+IFERROR(VLOOKUP(A342,'ID6&amp;7'!A:I,9,FALSE),"-")</f>
        <v>-</v>
      </c>
      <c r="X342" s="26" t="str">
        <f>+IFERROR(VLOOKUP(A342,'ID6&amp;7'!A:J,10,FALSE),"-")</f>
        <v>-</v>
      </c>
      <c r="Y342" s="26"/>
      <c r="Z342" s="27" t="str">
        <f t="shared" si="6"/>
        <v>Por iniciar</v>
      </c>
      <c r="AA342" s="65"/>
    </row>
    <row r="343" spans="1:27">
      <c r="A343" s="20"/>
      <c r="B343" s="60"/>
      <c r="C343" s="60"/>
      <c r="D343" s="60"/>
      <c r="E343" s="60"/>
      <c r="F343" s="60"/>
      <c r="G343" s="60"/>
      <c r="H343" s="65" t="s">
        <v>117</v>
      </c>
      <c r="I343" s="21" t="s">
        <v>1381</v>
      </c>
      <c r="J343" s="26">
        <f>+COUNTIF('ID1&amp;5'!G:G,'1. Status'!I343)</f>
        <v>0</v>
      </c>
      <c r="K343" s="79" t="str">
        <f>+IFERROR(VLOOKUP(CONCATENATE(A343,$B$10,B343),'ID1&amp;5'!B:J,8,FALSE),"-")</f>
        <v>-</v>
      </c>
      <c r="L343" s="78" t="str">
        <f>+IFERROR(VLOOKUP(B343,'ID1&amp;5'!K:L,2,FALSE),"-")</f>
        <v>-</v>
      </c>
      <c r="M343" s="79" t="str">
        <f>+IFERROR(VLOOKUP(CONCATENATE(A343,$B$10,B343),'ID1&amp;5'!B:J,9,FALSE),"-")</f>
        <v>-</v>
      </c>
      <c r="N343" s="79" t="str">
        <f>+IFERROR(VLOOKUP(CONCATENATE(A343,$C$10,C343),'ID1&amp;5'!B:J,8,FALSE),"-")</f>
        <v>-</v>
      </c>
      <c r="O343" s="78" t="str">
        <f>+IFERROR(VLOOKUP(C343,'ID1&amp;5'!K:L,2,FALSE),"-")</f>
        <v>-</v>
      </c>
      <c r="P343" s="79" t="str">
        <f>+IFERROR(VLOOKUP(CONCATENATE(A343,$C$10,C343),'ID1&amp;5'!B:J,9,FALSE),"-")</f>
        <v>-</v>
      </c>
      <c r="Q343" s="78" t="str">
        <f>+IFERROR(VLOOKUP(D343,'ID1&amp;5'!K:L,2,FALSE),"-")</f>
        <v>-</v>
      </c>
      <c r="R343" s="26" t="str">
        <f>+IFERROR(VLOOKUP(CONCATENATE(A343,$D$10,D343),'ID1&amp;5'!B:J,9,FALSE),"-")</f>
        <v>-</v>
      </c>
      <c r="S343" s="78" t="str">
        <f>+IFERROR(VLOOKUP(E343,'ID1&amp;5'!K:L,2,FALSE),"-")</f>
        <v>-</v>
      </c>
      <c r="T343" s="79" t="str">
        <f>+IFERROR(VLOOKUP(CONCATENATE(A343,$E$10,E343),'ID1&amp;5'!B:J,9,FALSE),"-")</f>
        <v>-</v>
      </c>
      <c r="U343" s="78" t="str">
        <f>+IFERROR(VLOOKUP(F343,'ID1&amp;5'!K:L,2,FALSE),"-")</f>
        <v>-</v>
      </c>
      <c r="V343" s="79" t="str">
        <f>+IFERROR(VLOOKUP(CONCATENATE(A343,$F$10,F343),'ID1&amp;5'!B:J,9,FALSE),"-")</f>
        <v>-</v>
      </c>
      <c r="W343" s="26" t="str">
        <f>+IFERROR(VLOOKUP(A343,'ID6&amp;7'!A:I,9,FALSE),"-")</f>
        <v>-</v>
      </c>
      <c r="X343" s="26" t="str">
        <f>+IFERROR(VLOOKUP(A343,'ID6&amp;7'!A:J,10,FALSE),"-")</f>
        <v>-</v>
      </c>
      <c r="Y343" s="26"/>
      <c r="Z343" s="27" t="str">
        <f t="shared" si="6"/>
        <v>Por iniciar</v>
      </c>
      <c r="AA343" s="65"/>
    </row>
    <row r="344" spans="1:27">
      <c r="A344" s="20"/>
      <c r="B344" s="60"/>
      <c r="C344" s="60"/>
      <c r="D344" s="60"/>
      <c r="E344" s="60"/>
      <c r="F344" s="60"/>
      <c r="G344" s="60"/>
      <c r="H344" s="65" t="s">
        <v>117</v>
      </c>
      <c r="I344" s="21" t="s">
        <v>1382</v>
      </c>
      <c r="J344" s="26">
        <f>+COUNTIF('ID1&amp;5'!G:G,'1. Status'!I344)</f>
        <v>0</v>
      </c>
      <c r="K344" s="79" t="str">
        <f>+IFERROR(VLOOKUP(CONCATENATE(A344,$B$10,B344),'ID1&amp;5'!B:J,8,FALSE),"-")</f>
        <v>-</v>
      </c>
      <c r="L344" s="78" t="str">
        <f>+IFERROR(VLOOKUP(B344,'ID1&amp;5'!K:L,2,FALSE),"-")</f>
        <v>-</v>
      </c>
      <c r="M344" s="79" t="str">
        <f>+IFERROR(VLOOKUP(CONCATENATE(A344,$B$10,B344),'ID1&amp;5'!B:J,9,FALSE),"-")</f>
        <v>-</v>
      </c>
      <c r="N344" s="79" t="str">
        <f>+IFERROR(VLOOKUP(CONCATENATE(A344,$C$10,C344),'ID1&amp;5'!B:J,8,FALSE),"-")</f>
        <v>-</v>
      </c>
      <c r="O344" s="78" t="str">
        <f>+IFERROR(VLOOKUP(C344,'ID1&amp;5'!K:L,2,FALSE),"-")</f>
        <v>-</v>
      </c>
      <c r="P344" s="79" t="str">
        <f>+IFERROR(VLOOKUP(CONCATENATE(A344,$C$10,C344),'ID1&amp;5'!B:J,9,FALSE),"-")</f>
        <v>-</v>
      </c>
      <c r="Q344" s="78" t="str">
        <f>+IFERROR(VLOOKUP(D344,'ID1&amp;5'!K:L,2,FALSE),"-")</f>
        <v>-</v>
      </c>
      <c r="R344" s="26" t="str">
        <f>+IFERROR(VLOOKUP(CONCATENATE(A344,$D$10,D344),'ID1&amp;5'!B:J,9,FALSE),"-")</f>
        <v>-</v>
      </c>
      <c r="S344" s="78" t="str">
        <f>+IFERROR(VLOOKUP(E344,'ID1&amp;5'!K:L,2,FALSE),"-")</f>
        <v>-</v>
      </c>
      <c r="T344" s="79" t="str">
        <f>+IFERROR(VLOOKUP(CONCATENATE(A344,$E$10,E344),'ID1&amp;5'!B:J,9,FALSE),"-")</f>
        <v>-</v>
      </c>
      <c r="U344" s="78" t="str">
        <f>+IFERROR(VLOOKUP(F344,'ID1&amp;5'!K:L,2,FALSE),"-")</f>
        <v>-</v>
      </c>
      <c r="V344" s="79" t="str">
        <f>+IFERROR(VLOOKUP(CONCATENATE(A344,$F$10,F344),'ID1&amp;5'!B:J,9,FALSE),"-")</f>
        <v>-</v>
      </c>
      <c r="W344" s="26" t="str">
        <f>+IFERROR(VLOOKUP(A344,'ID6&amp;7'!A:I,9,FALSE),"-")</f>
        <v>-</v>
      </c>
      <c r="X344" s="26" t="str">
        <f>+IFERROR(VLOOKUP(A344,'ID6&amp;7'!A:J,10,FALSE),"-")</f>
        <v>-</v>
      </c>
      <c r="Y344" s="26"/>
      <c r="Z344" s="27" t="str">
        <f t="shared" si="6"/>
        <v>Por iniciar</v>
      </c>
      <c r="AA344" s="65"/>
    </row>
    <row r="345" spans="1:27">
      <c r="A345" s="20"/>
      <c r="B345" s="60"/>
      <c r="C345" s="60"/>
      <c r="D345" s="60"/>
      <c r="E345" s="60"/>
      <c r="F345" s="60"/>
      <c r="G345" s="60"/>
      <c r="H345" s="65" t="s">
        <v>117</v>
      </c>
      <c r="I345" s="21" t="s">
        <v>1383</v>
      </c>
      <c r="J345" s="26">
        <f>+COUNTIF('ID1&amp;5'!G:G,'1. Status'!I345)</f>
        <v>0</v>
      </c>
      <c r="K345" s="79" t="str">
        <f>+IFERROR(VLOOKUP(CONCATENATE(A345,$B$10,B345),'ID1&amp;5'!B:J,8,FALSE),"-")</f>
        <v>-</v>
      </c>
      <c r="L345" s="78" t="str">
        <f>+IFERROR(VLOOKUP(B345,'ID1&amp;5'!K:L,2,FALSE),"-")</f>
        <v>-</v>
      </c>
      <c r="M345" s="79" t="str">
        <f>+IFERROR(VLOOKUP(CONCATENATE(A345,$B$10,B345),'ID1&amp;5'!B:J,9,FALSE),"-")</f>
        <v>-</v>
      </c>
      <c r="N345" s="79" t="str">
        <f>+IFERROR(VLOOKUP(CONCATENATE(A345,$C$10,C345),'ID1&amp;5'!B:J,8,FALSE),"-")</f>
        <v>-</v>
      </c>
      <c r="O345" s="78" t="str">
        <f>+IFERROR(VLOOKUP(C345,'ID1&amp;5'!K:L,2,FALSE),"-")</f>
        <v>-</v>
      </c>
      <c r="P345" s="79" t="str">
        <f>+IFERROR(VLOOKUP(CONCATENATE(A345,$C$10,C345),'ID1&amp;5'!B:J,9,FALSE),"-")</f>
        <v>-</v>
      </c>
      <c r="Q345" s="78" t="str">
        <f>+IFERROR(VLOOKUP(D345,'ID1&amp;5'!K:L,2,FALSE),"-")</f>
        <v>-</v>
      </c>
      <c r="R345" s="26" t="str">
        <f>+IFERROR(VLOOKUP(CONCATENATE(A345,$D$10,D345),'ID1&amp;5'!B:J,9,FALSE),"-")</f>
        <v>-</v>
      </c>
      <c r="S345" s="78" t="str">
        <f>+IFERROR(VLOOKUP(E345,'ID1&amp;5'!K:L,2,FALSE),"-")</f>
        <v>-</v>
      </c>
      <c r="T345" s="79" t="str">
        <f>+IFERROR(VLOOKUP(CONCATENATE(A345,$E$10,E345),'ID1&amp;5'!B:J,9,FALSE),"-")</f>
        <v>-</v>
      </c>
      <c r="U345" s="78" t="str">
        <f>+IFERROR(VLOOKUP(F345,'ID1&amp;5'!K:L,2,FALSE),"-")</f>
        <v>-</v>
      </c>
      <c r="V345" s="79" t="str">
        <f>+IFERROR(VLOOKUP(CONCATENATE(A345,$F$10,F345),'ID1&amp;5'!B:J,9,FALSE),"-")</f>
        <v>-</v>
      </c>
      <c r="W345" s="26" t="str">
        <f>+IFERROR(VLOOKUP(A345,'ID6&amp;7'!A:I,9,FALSE),"-")</f>
        <v>-</v>
      </c>
      <c r="X345" s="26" t="str">
        <f>+IFERROR(VLOOKUP(A345,'ID6&amp;7'!A:J,10,FALSE),"-")</f>
        <v>-</v>
      </c>
      <c r="Y345" s="26"/>
      <c r="Z345" s="27" t="str">
        <f t="shared" si="6"/>
        <v>Por iniciar</v>
      </c>
      <c r="AA345" s="65"/>
    </row>
    <row r="346" spans="1:27">
      <c r="A346" s="20"/>
      <c r="B346" s="60"/>
      <c r="C346" s="60"/>
      <c r="D346" s="60"/>
      <c r="E346" s="60"/>
      <c r="F346" s="60"/>
      <c r="G346" s="60"/>
      <c r="H346" s="65" t="s">
        <v>117</v>
      </c>
      <c r="I346" s="21" t="s">
        <v>1384</v>
      </c>
      <c r="J346" s="26">
        <f>+COUNTIF('ID1&amp;5'!G:G,'1. Status'!I346)</f>
        <v>0</v>
      </c>
      <c r="K346" s="79" t="str">
        <f>+IFERROR(VLOOKUP(CONCATENATE(A346,$B$10,B346),'ID1&amp;5'!B:J,8,FALSE),"-")</f>
        <v>-</v>
      </c>
      <c r="L346" s="78" t="str">
        <f>+IFERROR(VLOOKUP(B346,'ID1&amp;5'!K:L,2,FALSE),"-")</f>
        <v>-</v>
      </c>
      <c r="M346" s="79" t="str">
        <f>+IFERROR(VLOOKUP(CONCATENATE(A346,$B$10,B346),'ID1&amp;5'!B:J,9,FALSE),"-")</f>
        <v>-</v>
      </c>
      <c r="N346" s="79" t="str">
        <f>+IFERROR(VLOOKUP(CONCATENATE(A346,$C$10,C346),'ID1&amp;5'!B:J,8,FALSE),"-")</f>
        <v>-</v>
      </c>
      <c r="O346" s="78" t="str">
        <f>+IFERROR(VLOOKUP(C346,'ID1&amp;5'!K:L,2,FALSE),"-")</f>
        <v>-</v>
      </c>
      <c r="P346" s="79" t="str">
        <f>+IFERROR(VLOOKUP(CONCATENATE(A346,$C$10,C346),'ID1&amp;5'!B:J,9,FALSE),"-")</f>
        <v>-</v>
      </c>
      <c r="Q346" s="78" t="str">
        <f>+IFERROR(VLOOKUP(D346,'ID1&amp;5'!K:L,2,FALSE),"-")</f>
        <v>-</v>
      </c>
      <c r="R346" s="26" t="str">
        <f>+IFERROR(VLOOKUP(CONCATENATE(A346,$D$10,D346),'ID1&amp;5'!B:J,9,FALSE),"-")</f>
        <v>-</v>
      </c>
      <c r="S346" s="78" t="str">
        <f>+IFERROR(VLOOKUP(E346,'ID1&amp;5'!K:L,2,FALSE),"-")</f>
        <v>-</v>
      </c>
      <c r="T346" s="79" t="str">
        <f>+IFERROR(VLOOKUP(CONCATENATE(A346,$E$10,E346),'ID1&amp;5'!B:J,9,FALSE),"-")</f>
        <v>-</v>
      </c>
      <c r="U346" s="78" t="str">
        <f>+IFERROR(VLOOKUP(F346,'ID1&amp;5'!K:L,2,FALSE),"-")</f>
        <v>-</v>
      </c>
      <c r="V346" s="79" t="str">
        <f>+IFERROR(VLOOKUP(CONCATENATE(A346,$F$10,F346),'ID1&amp;5'!B:J,9,FALSE),"-")</f>
        <v>-</v>
      </c>
      <c r="W346" s="26" t="str">
        <f>+IFERROR(VLOOKUP(A346,'ID6&amp;7'!A:I,9,FALSE),"-")</f>
        <v>-</v>
      </c>
      <c r="X346" s="26" t="str">
        <f>+IFERROR(VLOOKUP(A346,'ID6&amp;7'!A:J,10,FALSE),"-")</f>
        <v>-</v>
      </c>
      <c r="Y346" s="26"/>
      <c r="Z346" s="27" t="str">
        <f t="shared" si="6"/>
        <v>Por iniciar</v>
      </c>
      <c r="AA346" s="65"/>
    </row>
    <row r="347" spans="1:27">
      <c r="A347" s="20"/>
      <c r="B347" s="60"/>
      <c r="C347" s="60"/>
      <c r="D347" s="60"/>
      <c r="E347" s="60"/>
      <c r="F347" s="60"/>
      <c r="G347" s="60"/>
      <c r="H347" s="65" t="s">
        <v>117</v>
      </c>
      <c r="I347" s="21" t="s">
        <v>1385</v>
      </c>
      <c r="J347" s="26">
        <f>+COUNTIF('ID1&amp;5'!G:G,'1. Status'!I347)</f>
        <v>0</v>
      </c>
      <c r="K347" s="79" t="str">
        <f>+IFERROR(VLOOKUP(CONCATENATE(A347,$B$10,B347),'ID1&amp;5'!B:J,8,FALSE),"-")</f>
        <v>-</v>
      </c>
      <c r="L347" s="78" t="str">
        <f>+IFERROR(VLOOKUP(B347,'ID1&amp;5'!K:L,2,FALSE),"-")</f>
        <v>-</v>
      </c>
      <c r="M347" s="79" t="str">
        <f>+IFERROR(VLOOKUP(CONCATENATE(A347,$B$10,B347),'ID1&amp;5'!B:J,9,FALSE),"-")</f>
        <v>-</v>
      </c>
      <c r="N347" s="79" t="str">
        <f>+IFERROR(VLOOKUP(CONCATENATE(A347,$C$10,C347),'ID1&amp;5'!B:J,8,FALSE),"-")</f>
        <v>-</v>
      </c>
      <c r="O347" s="78" t="str">
        <f>+IFERROR(VLOOKUP(C347,'ID1&amp;5'!K:L,2,FALSE),"-")</f>
        <v>-</v>
      </c>
      <c r="P347" s="79" t="str">
        <f>+IFERROR(VLOOKUP(CONCATENATE(A347,$C$10,C347),'ID1&amp;5'!B:J,9,FALSE),"-")</f>
        <v>-</v>
      </c>
      <c r="Q347" s="78" t="str">
        <f>+IFERROR(VLOOKUP(D347,'ID1&amp;5'!K:L,2,FALSE),"-")</f>
        <v>-</v>
      </c>
      <c r="R347" s="26" t="str">
        <f>+IFERROR(VLOOKUP(CONCATENATE(A347,$D$10,D347),'ID1&amp;5'!B:J,9,FALSE),"-")</f>
        <v>-</v>
      </c>
      <c r="S347" s="78" t="str">
        <f>+IFERROR(VLOOKUP(E347,'ID1&amp;5'!K:L,2,FALSE),"-")</f>
        <v>-</v>
      </c>
      <c r="T347" s="79" t="str">
        <f>+IFERROR(VLOOKUP(CONCATENATE(A347,$E$10,E347),'ID1&amp;5'!B:J,9,FALSE),"-")</f>
        <v>-</v>
      </c>
      <c r="U347" s="78" t="str">
        <f>+IFERROR(VLOOKUP(F347,'ID1&amp;5'!K:L,2,FALSE),"-")</f>
        <v>-</v>
      </c>
      <c r="V347" s="79" t="str">
        <f>+IFERROR(VLOOKUP(CONCATENATE(A347,$F$10,F347),'ID1&amp;5'!B:J,9,FALSE),"-")</f>
        <v>-</v>
      </c>
      <c r="W347" s="26" t="str">
        <f>+IFERROR(VLOOKUP(A347,'ID6&amp;7'!A:I,9,FALSE),"-")</f>
        <v>-</v>
      </c>
      <c r="X347" s="26" t="str">
        <f>+IFERROR(VLOOKUP(A347,'ID6&amp;7'!A:J,10,FALSE),"-")</f>
        <v>-</v>
      </c>
      <c r="Y347" s="26"/>
      <c r="Z347" s="27" t="str">
        <f t="shared" si="6"/>
        <v>Por iniciar</v>
      </c>
      <c r="AA347" s="65"/>
    </row>
    <row r="348" spans="1:27">
      <c r="A348" s="20"/>
      <c r="B348" s="60"/>
      <c r="C348" s="60"/>
      <c r="D348" s="60"/>
      <c r="E348" s="60"/>
      <c r="F348" s="60"/>
      <c r="G348" s="60"/>
      <c r="H348" s="65" t="s">
        <v>117</v>
      </c>
      <c r="I348" s="21" t="s">
        <v>1386</v>
      </c>
      <c r="J348" s="26">
        <f>+COUNTIF('ID1&amp;5'!G:G,'1. Status'!I348)</f>
        <v>0</v>
      </c>
      <c r="K348" s="79" t="str">
        <f>+IFERROR(VLOOKUP(CONCATENATE(A348,$B$10,B348),'ID1&amp;5'!B:J,8,FALSE),"-")</f>
        <v>-</v>
      </c>
      <c r="L348" s="78" t="str">
        <f>+IFERROR(VLOOKUP(B348,'ID1&amp;5'!K:L,2,FALSE),"-")</f>
        <v>-</v>
      </c>
      <c r="M348" s="79" t="str">
        <f>+IFERROR(VLOOKUP(CONCATENATE(A348,$B$10,B348),'ID1&amp;5'!B:J,9,FALSE),"-")</f>
        <v>-</v>
      </c>
      <c r="N348" s="79" t="str">
        <f>+IFERROR(VLOOKUP(CONCATENATE(A348,$C$10,C348),'ID1&amp;5'!B:J,8,FALSE),"-")</f>
        <v>-</v>
      </c>
      <c r="O348" s="78" t="str">
        <f>+IFERROR(VLOOKUP(C348,'ID1&amp;5'!K:L,2,FALSE),"-")</f>
        <v>-</v>
      </c>
      <c r="P348" s="79" t="str">
        <f>+IFERROR(VLOOKUP(CONCATENATE(A348,$C$10,C348),'ID1&amp;5'!B:J,9,FALSE),"-")</f>
        <v>-</v>
      </c>
      <c r="Q348" s="78" t="str">
        <f>+IFERROR(VLOOKUP(D348,'ID1&amp;5'!K:L,2,FALSE),"-")</f>
        <v>-</v>
      </c>
      <c r="R348" s="26" t="str">
        <f>+IFERROR(VLOOKUP(CONCATENATE(A348,$D$10,D348),'ID1&amp;5'!B:J,9,FALSE),"-")</f>
        <v>-</v>
      </c>
      <c r="S348" s="78" t="str">
        <f>+IFERROR(VLOOKUP(E348,'ID1&amp;5'!K:L,2,FALSE),"-")</f>
        <v>-</v>
      </c>
      <c r="T348" s="79" t="str">
        <f>+IFERROR(VLOOKUP(CONCATENATE(A348,$E$10,E348),'ID1&amp;5'!B:J,9,FALSE),"-")</f>
        <v>-</v>
      </c>
      <c r="U348" s="78" t="str">
        <f>+IFERROR(VLOOKUP(F348,'ID1&amp;5'!K:L,2,FALSE),"-")</f>
        <v>-</v>
      </c>
      <c r="V348" s="79" t="str">
        <f>+IFERROR(VLOOKUP(CONCATENATE(A348,$F$10,F348),'ID1&amp;5'!B:J,9,FALSE),"-")</f>
        <v>-</v>
      </c>
      <c r="W348" s="26" t="str">
        <f>+IFERROR(VLOOKUP(A348,'ID6&amp;7'!A:I,9,FALSE),"-")</f>
        <v>-</v>
      </c>
      <c r="X348" s="26" t="str">
        <f>+IFERROR(VLOOKUP(A348,'ID6&amp;7'!A:J,10,FALSE),"-")</f>
        <v>-</v>
      </c>
      <c r="Y348" s="26"/>
      <c r="Z348" s="27" t="str">
        <f t="shared" si="6"/>
        <v>Por iniciar</v>
      </c>
      <c r="AA348" s="65"/>
    </row>
    <row r="349" spans="1:27">
      <c r="A349" s="20"/>
      <c r="B349" s="60"/>
      <c r="C349" s="60"/>
      <c r="D349" s="60"/>
      <c r="E349" s="60"/>
      <c r="F349" s="60"/>
      <c r="G349" s="60"/>
      <c r="H349" s="65" t="s">
        <v>117</v>
      </c>
      <c r="I349" s="21" t="s">
        <v>1387</v>
      </c>
      <c r="J349" s="26">
        <f>+COUNTIF('ID1&amp;5'!G:G,'1. Status'!I349)</f>
        <v>0</v>
      </c>
      <c r="K349" s="79" t="str">
        <f>+IFERROR(VLOOKUP(CONCATENATE(A349,$B$10,B349),'ID1&amp;5'!B:J,8,FALSE),"-")</f>
        <v>-</v>
      </c>
      <c r="L349" s="78" t="str">
        <f>+IFERROR(VLOOKUP(B349,'ID1&amp;5'!K:L,2,FALSE),"-")</f>
        <v>-</v>
      </c>
      <c r="M349" s="79" t="str">
        <f>+IFERROR(VLOOKUP(CONCATENATE(A349,$B$10,B349),'ID1&amp;5'!B:J,9,FALSE),"-")</f>
        <v>-</v>
      </c>
      <c r="N349" s="79" t="str">
        <f>+IFERROR(VLOOKUP(CONCATENATE(A349,$C$10,C349),'ID1&amp;5'!B:J,8,FALSE),"-")</f>
        <v>-</v>
      </c>
      <c r="O349" s="78" t="str">
        <f>+IFERROR(VLOOKUP(C349,'ID1&amp;5'!K:L,2,FALSE),"-")</f>
        <v>-</v>
      </c>
      <c r="P349" s="79" t="str">
        <f>+IFERROR(VLOOKUP(CONCATENATE(A349,$C$10,C349),'ID1&amp;5'!B:J,9,FALSE),"-")</f>
        <v>-</v>
      </c>
      <c r="Q349" s="78" t="str">
        <f>+IFERROR(VLOOKUP(D349,'ID1&amp;5'!K:L,2,FALSE),"-")</f>
        <v>-</v>
      </c>
      <c r="R349" s="26" t="str">
        <f>+IFERROR(VLOOKUP(CONCATENATE(A349,$D$10,D349),'ID1&amp;5'!B:J,9,FALSE),"-")</f>
        <v>-</v>
      </c>
      <c r="S349" s="78" t="str">
        <f>+IFERROR(VLOOKUP(E349,'ID1&amp;5'!K:L,2,FALSE),"-")</f>
        <v>-</v>
      </c>
      <c r="T349" s="79" t="str">
        <f>+IFERROR(VLOOKUP(CONCATENATE(A349,$E$10,E349),'ID1&amp;5'!B:J,9,FALSE),"-")</f>
        <v>-</v>
      </c>
      <c r="U349" s="78" t="str">
        <f>+IFERROR(VLOOKUP(F349,'ID1&amp;5'!K:L,2,FALSE),"-")</f>
        <v>-</v>
      </c>
      <c r="V349" s="79" t="str">
        <f>+IFERROR(VLOOKUP(CONCATENATE(A349,$F$10,F349),'ID1&amp;5'!B:J,9,FALSE),"-")</f>
        <v>-</v>
      </c>
      <c r="W349" s="26" t="str">
        <f>+IFERROR(VLOOKUP(A349,'ID6&amp;7'!A:I,9,FALSE),"-")</f>
        <v>-</v>
      </c>
      <c r="X349" s="26" t="str">
        <f>+IFERROR(VLOOKUP(A349,'ID6&amp;7'!A:J,10,FALSE),"-")</f>
        <v>-</v>
      </c>
      <c r="Y349" s="26"/>
      <c r="Z349" s="27" t="str">
        <f t="shared" si="6"/>
        <v>Por iniciar</v>
      </c>
      <c r="AA349" s="65"/>
    </row>
    <row r="350" spans="1:27">
      <c r="A350" s="20"/>
      <c r="B350" s="60"/>
      <c r="C350" s="60"/>
      <c r="D350" s="60"/>
      <c r="E350" s="60"/>
      <c r="F350" s="60"/>
      <c r="G350" s="60"/>
      <c r="H350" s="65" t="s">
        <v>117</v>
      </c>
      <c r="I350" s="21" t="s">
        <v>1388</v>
      </c>
      <c r="J350" s="26">
        <f>+COUNTIF('ID1&amp;5'!G:G,'1. Status'!I350)</f>
        <v>0</v>
      </c>
      <c r="K350" s="79" t="str">
        <f>+IFERROR(VLOOKUP(CONCATENATE(A350,$B$10,B350),'ID1&amp;5'!B:J,8,FALSE),"-")</f>
        <v>-</v>
      </c>
      <c r="L350" s="78" t="str">
        <f>+IFERROR(VLOOKUP(B350,'ID1&amp;5'!K:L,2,FALSE),"-")</f>
        <v>-</v>
      </c>
      <c r="M350" s="79" t="str">
        <f>+IFERROR(VLOOKUP(CONCATENATE(A350,$B$10,B350),'ID1&amp;5'!B:J,9,FALSE),"-")</f>
        <v>-</v>
      </c>
      <c r="N350" s="79" t="str">
        <f>+IFERROR(VLOOKUP(CONCATENATE(A350,$C$10,C350),'ID1&amp;5'!B:J,8,FALSE),"-")</f>
        <v>-</v>
      </c>
      <c r="O350" s="78" t="str">
        <f>+IFERROR(VLOOKUP(C350,'ID1&amp;5'!K:L,2,FALSE),"-")</f>
        <v>-</v>
      </c>
      <c r="P350" s="79" t="str">
        <f>+IFERROR(VLOOKUP(CONCATENATE(A350,$C$10,C350),'ID1&amp;5'!B:J,9,FALSE),"-")</f>
        <v>-</v>
      </c>
      <c r="Q350" s="78" t="str">
        <f>+IFERROR(VLOOKUP(D350,'ID1&amp;5'!K:L,2,FALSE),"-")</f>
        <v>-</v>
      </c>
      <c r="R350" s="26" t="str">
        <f>+IFERROR(VLOOKUP(CONCATENATE(A350,$D$10,D350),'ID1&amp;5'!B:J,9,FALSE),"-")</f>
        <v>-</v>
      </c>
      <c r="S350" s="78" t="str">
        <f>+IFERROR(VLOOKUP(E350,'ID1&amp;5'!K:L,2,FALSE),"-")</f>
        <v>-</v>
      </c>
      <c r="T350" s="79" t="str">
        <f>+IFERROR(VLOOKUP(CONCATENATE(A350,$E$10,E350),'ID1&amp;5'!B:J,9,FALSE),"-")</f>
        <v>-</v>
      </c>
      <c r="U350" s="78" t="str">
        <f>+IFERROR(VLOOKUP(F350,'ID1&amp;5'!K:L,2,FALSE),"-")</f>
        <v>-</v>
      </c>
      <c r="V350" s="79" t="str">
        <f>+IFERROR(VLOOKUP(CONCATENATE(A350,$F$10,F350),'ID1&amp;5'!B:J,9,FALSE),"-")</f>
        <v>-</v>
      </c>
      <c r="W350" s="26" t="str">
        <f>+IFERROR(VLOOKUP(A350,'ID6&amp;7'!A:I,9,FALSE),"-")</f>
        <v>-</v>
      </c>
      <c r="X350" s="26" t="str">
        <f>+IFERROR(VLOOKUP(A350,'ID6&amp;7'!A:J,10,FALSE),"-")</f>
        <v>-</v>
      </c>
      <c r="Y350" s="26"/>
      <c r="Z350" s="27" t="str">
        <f t="shared" si="6"/>
        <v>Por iniciar</v>
      </c>
      <c r="AA350" s="65"/>
    </row>
    <row r="351" spans="1:27">
      <c r="A351" s="20"/>
      <c r="B351" s="60"/>
      <c r="C351" s="60"/>
      <c r="D351" s="60"/>
      <c r="E351" s="60"/>
      <c r="F351" s="60"/>
      <c r="G351" s="60"/>
      <c r="H351" s="65" t="s">
        <v>117</v>
      </c>
      <c r="I351" s="21" t="s">
        <v>1389</v>
      </c>
      <c r="J351" s="26">
        <f>+COUNTIF('ID1&amp;5'!G:G,'1. Status'!I351)</f>
        <v>0</v>
      </c>
      <c r="K351" s="79" t="str">
        <f>+IFERROR(VLOOKUP(CONCATENATE(A351,$B$10,B351),'ID1&amp;5'!B:J,8,FALSE),"-")</f>
        <v>-</v>
      </c>
      <c r="L351" s="78" t="str">
        <f>+IFERROR(VLOOKUP(B351,'ID1&amp;5'!K:L,2,FALSE),"-")</f>
        <v>-</v>
      </c>
      <c r="M351" s="79" t="str">
        <f>+IFERROR(VLOOKUP(CONCATENATE(A351,$B$10,B351),'ID1&amp;5'!B:J,9,FALSE),"-")</f>
        <v>-</v>
      </c>
      <c r="N351" s="79" t="str">
        <f>+IFERROR(VLOOKUP(CONCATENATE(A351,$C$10,C351),'ID1&amp;5'!B:J,8,FALSE),"-")</f>
        <v>-</v>
      </c>
      <c r="O351" s="78" t="str">
        <f>+IFERROR(VLOOKUP(C351,'ID1&amp;5'!K:L,2,FALSE),"-")</f>
        <v>-</v>
      </c>
      <c r="P351" s="79" t="str">
        <f>+IFERROR(VLOOKUP(CONCATENATE(A351,$C$10,C351),'ID1&amp;5'!B:J,9,FALSE),"-")</f>
        <v>-</v>
      </c>
      <c r="Q351" s="78" t="str">
        <f>+IFERROR(VLOOKUP(D351,'ID1&amp;5'!K:L,2,FALSE),"-")</f>
        <v>-</v>
      </c>
      <c r="R351" s="26" t="str">
        <f>+IFERROR(VLOOKUP(CONCATENATE(A351,$D$10,D351),'ID1&amp;5'!B:J,9,FALSE),"-")</f>
        <v>-</v>
      </c>
      <c r="S351" s="78" t="str">
        <f>+IFERROR(VLOOKUP(E351,'ID1&amp;5'!K:L,2,FALSE),"-")</f>
        <v>-</v>
      </c>
      <c r="T351" s="79" t="str">
        <f>+IFERROR(VLOOKUP(CONCATENATE(A351,$E$10,E351),'ID1&amp;5'!B:J,9,FALSE),"-")</f>
        <v>-</v>
      </c>
      <c r="U351" s="78" t="str">
        <f>+IFERROR(VLOOKUP(F351,'ID1&amp;5'!K:L,2,FALSE),"-")</f>
        <v>-</v>
      </c>
      <c r="V351" s="79" t="str">
        <f>+IFERROR(VLOOKUP(CONCATENATE(A351,$F$10,F351),'ID1&amp;5'!B:J,9,FALSE),"-")</f>
        <v>-</v>
      </c>
      <c r="W351" s="26" t="str">
        <f>+IFERROR(VLOOKUP(A351,'ID6&amp;7'!A:I,9,FALSE),"-")</f>
        <v>-</v>
      </c>
      <c r="X351" s="26" t="str">
        <f>+IFERROR(VLOOKUP(A351,'ID6&amp;7'!A:J,10,FALSE),"-")</f>
        <v>-</v>
      </c>
      <c r="Y351" s="26"/>
      <c r="Z351" s="27" t="str">
        <f t="shared" si="6"/>
        <v>Por iniciar</v>
      </c>
      <c r="AA351" s="65"/>
    </row>
    <row r="352" spans="1:27">
      <c r="A352" s="20"/>
      <c r="B352" s="60"/>
      <c r="C352" s="60"/>
      <c r="D352" s="60"/>
      <c r="E352" s="60"/>
      <c r="F352" s="60"/>
      <c r="G352" s="60"/>
      <c r="H352" s="65" t="s">
        <v>117</v>
      </c>
      <c r="I352" s="21" t="s">
        <v>1390</v>
      </c>
      <c r="J352" s="26">
        <f>+COUNTIF('ID1&amp;5'!G:G,'1. Status'!I352)</f>
        <v>0</v>
      </c>
      <c r="K352" s="79" t="str">
        <f>+IFERROR(VLOOKUP(CONCATENATE(A352,$B$10,B352),'ID1&amp;5'!B:J,8,FALSE),"-")</f>
        <v>-</v>
      </c>
      <c r="L352" s="78" t="str">
        <f>+IFERROR(VLOOKUP(B352,'ID1&amp;5'!K:L,2,FALSE),"-")</f>
        <v>-</v>
      </c>
      <c r="M352" s="79" t="str">
        <f>+IFERROR(VLOOKUP(CONCATENATE(A352,$B$10,B352),'ID1&amp;5'!B:J,9,FALSE),"-")</f>
        <v>-</v>
      </c>
      <c r="N352" s="79" t="str">
        <f>+IFERROR(VLOOKUP(CONCATENATE(A352,$C$10,C352),'ID1&amp;5'!B:J,8,FALSE),"-")</f>
        <v>-</v>
      </c>
      <c r="O352" s="78" t="str">
        <f>+IFERROR(VLOOKUP(C352,'ID1&amp;5'!K:L,2,FALSE),"-")</f>
        <v>-</v>
      </c>
      <c r="P352" s="79" t="str">
        <f>+IFERROR(VLOOKUP(CONCATENATE(A352,$C$10,C352),'ID1&amp;5'!B:J,9,FALSE),"-")</f>
        <v>-</v>
      </c>
      <c r="Q352" s="78" t="str">
        <f>+IFERROR(VLOOKUP(D352,'ID1&amp;5'!K:L,2,FALSE),"-")</f>
        <v>-</v>
      </c>
      <c r="R352" s="26" t="str">
        <f>+IFERROR(VLOOKUP(CONCATENATE(A352,$D$10,D352),'ID1&amp;5'!B:J,9,FALSE),"-")</f>
        <v>-</v>
      </c>
      <c r="S352" s="78" t="str">
        <f>+IFERROR(VLOOKUP(E352,'ID1&amp;5'!K:L,2,FALSE),"-")</f>
        <v>-</v>
      </c>
      <c r="T352" s="79" t="str">
        <f>+IFERROR(VLOOKUP(CONCATENATE(A352,$E$10,E352),'ID1&amp;5'!B:J,9,FALSE),"-")</f>
        <v>-</v>
      </c>
      <c r="U352" s="78" t="str">
        <f>+IFERROR(VLOOKUP(F352,'ID1&amp;5'!K:L,2,FALSE),"-")</f>
        <v>-</v>
      </c>
      <c r="V352" s="79" t="str">
        <f>+IFERROR(VLOOKUP(CONCATENATE(A352,$F$10,F352),'ID1&amp;5'!B:J,9,FALSE),"-")</f>
        <v>-</v>
      </c>
      <c r="W352" s="26" t="str">
        <f>+IFERROR(VLOOKUP(A352,'ID6&amp;7'!A:I,9,FALSE),"-")</f>
        <v>-</v>
      </c>
      <c r="X352" s="26" t="str">
        <f>+IFERROR(VLOOKUP(A352,'ID6&amp;7'!A:J,10,FALSE),"-")</f>
        <v>-</v>
      </c>
      <c r="Y352" s="26"/>
      <c r="Z352" s="27" t="str">
        <f t="shared" si="6"/>
        <v>Por iniciar</v>
      </c>
      <c r="AA352" s="65"/>
    </row>
    <row r="353" spans="1:27">
      <c r="A353" s="20"/>
      <c r="B353" s="60"/>
      <c r="C353" s="60"/>
      <c r="D353" s="60"/>
      <c r="E353" s="60"/>
      <c r="F353" s="60"/>
      <c r="G353" s="60"/>
      <c r="H353" s="65" t="s">
        <v>117</v>
      </c>
      <c r="I353" s="21" t="s">
        <v>1391</v>
      </c>
      <c r="J353" s="26">
        <f>+COUNTIF('ID1&amp;5'!G:G,'1. Status'!I353)</f>
        <v>0</v>
      </c>
      <c r="K353" s="79" t="str">
        <f>+IFERROR(VLOOKUP(CONCATENATE(A353,$B$10,B353),'ID1&amp;5'!B:J,8,FALSE),"-")</f>
        <v>-</v>
      </c>
      <c r="L353" s="78" t="str">
        <f>+IFERROR(VLOOKUP(B353,'ID1&amp;5'!K:L,2,FALSE),"-")</f>
        <v>-</v>
      </c>
      <c r="M353" s="79" t="str">
        <f>+IFERROR(VLOOKUP(CONCATENATE(A353,$B$10,B353),'ID1&amp;5'!B:J,9,FALSE),"-")</f>
        <v>-</v>
      </c>
      <c r="N353" s="79" t="str">
        <f>+IFERROR(VLOOKUP(CONCATENATE(A353,$C$10,C353),'ID1&amp;5'!B:J,8,FALSE),"-")</f>
        <v>-</v>
      </c>
      <c r="O353" s="78" t="str">
        <f>+IFERROR(VLOOKUP(C353,'ID1&amp;5'!K:L,2,FALSE),"-")</f>
        <v>-</v>
      </c>
      <c r="P353" s="79" t="str">
        <f>+IFERROR(VLOOKUP(CONCATENATE(A353,$C$10,C353),'ID1&amp;5'!B:J,9,FALSE),"-")</f>
        <v>-</v>
      </c>
      <c r="Q353" s="78" t="str">
        <f>+IFERROR(VLOOKUP(D353,'ID1&amp;5'!K:L,2,FALSE),"-")</f>
        <v>-</v>
      </c>
      <c r="R353" s="26" t="str">
        <f>+IFERROR(VLOOKUP(CONCATENATE(A353,$D$10,D353),'ID1&amp;5'!B:J,9,FALSE),"-")</f>
        <v>-</v>
      </c>
      <c r="S353" s="78" t="str">
        <f>+IFERROR(VLOOKUP(E353,'ID1&amp;5'!K:L,2,FALSE),"-")</f>
        <v>-</v>
      </c>
      <c r="T353" s="79" t="str">
        <f>+IFERROR(VLOOKUP(CONCATENATE(A353,$E$10,E353),'ID1&amp;5'!B:J,9,FALSE),"-")</f>
        <v>-</v>
      </c>
      <c r="U353" s="78" t="str">
        <f>+IFERROR(VLOOKUP(F353,'ID1&amp;5'!K:L,2,FALSE),"-")</f>
        <v>-</v>
      </c>
      <c r="V353" s="79" t="str">
        <f>+IFERROR(VLOOKUP(CONCATENATE(A353,$F$10,F353),'ID1&amp;5'!B:J,9,FALSE),"-")</f>
        <v>-</v>
      </c>
      <c r="W353" s="26" t="str">
        <f>+IFERROR(VLOOKUP(A353,'ID6&amp;7'!A:I,9,FALSE),"-")</f>
        <v>-</v>
      </c>
      <c r="X353" s="26" t="str">
        <f>+IFERROR(VLOOKUP(A353,'ID6&amp;7'!A:J,10,FALSE),"-")</f>
        <v>-</v>
      </c>
      <c r="Y353" s="26"/>
      <c r="Z353" s="27" t="str">
        <f t="shared" si="6"/>
        <v>Por iniciar</v>
      </c>
      <c r="AA353" s="65"/>
    </row>
    <row r="354" spans="1:27">
      <c r="A354" s="20"/>
      <c r="B354" s="60"/>
      <c r="C354" s="60"/>
      <c r="D354" s="60"/>
      <c r="E354" s="60"/>
      <c r="F354" s="60"/>
      <c r="G354" s="60"/>
      <c r="H354" s="65" t="s">
        <v>117</v>
      </c>
      <c r="I354" s="21" t="s">
        <v>1392</v>
      </c>
      <c r="J354" s="26">
        <f>+COUNTIF('ID1&amp;5'!G:G,'1. Status'!I354)</f>
        <v>0</v>
      </c>
      <c r="K354" s="79" t="str">
        <f>+IFERROR(VLOOKUP(CONCATENATE(A354,$B$10,B354),'ID1&amp;5'!B:J,8,FALSE),"-")</f>
        <v>-</v>
      </c>
      <c r="L354" s="78" t="str">
        <f>+IFERROR(VLOOKUP(B354,'ID1&amp;5'!K:L,2,FALSE),"-")</f>
        <v>-</v>
      </c>
      <c r="M354" s="79" t="str">
        <f>+IFERROR(VLOOKUP(CONCATENATE(A354,$B$10,B354),'ID1&amp;5'!B:J,9,FALSE),"-")</f>
        <v>-</v>
      </c>
      <c r="N354" s="79" t="str">
        <f>+IFERROR(VLOOKUP(CONCATENATE(A354,$C$10,C354),'ID1&amp;5'!B:J,8,FALSE),"-")</f>
        <v>-</v>
      </c>
      <c r="O354" s="78" t="str">
        <f>+IFERROR(VLOOKUP(C354,'ID1&amp;5'!K:L,2,FALSE),"-")</f>
        <v>-</v>
      </c>
      <c r="P354" s="79" t="str">
        <f>+IFERROR(VLOOKUP(CONCATENATE(A354,$C$10,C354),'ID1&amp;5'!B:J,9,FALSE),"-")</f>
        <v>-</v>
      </c>
      <c r="Q354" s="78" t="str">
        <f>+IFERROR(VLOOKUP(D354,'ID1&amp;5'!K:L,2,FALSE),"-")</f>
        <v>-</v>
      </c>
      <c r="R354" s="26" t="str">
        <f>+IFERROR(VLOOKUP(CONCATENATE(A354,$D$10,D354),'ID1&amp;5'!B:J,9,FALSE),"-")</f>
        <v>-</v>
      </c>
      <c r="S354" s="78" t="str">
        <f>+IFERROR(VLOOKUP(E354,'ID1&amp;5'!K:L,2,FALSE),"-")</f>
        <v>-</v>
      </c>
      <c r="T354" s="79" t="str">
        <f>+IFERROR(VLOOKUP(CONCATENATE(A354,$E$10,E354),'ID1&amp;5'!B:J,9,FALSE),"-")</f>
        <v>-</v>
      </c>
      <c r="U354" s="78" t="str">
        <f>+IFERROR(VLOOKUP(F354,'ID1&amp;5'!K:L,2,FALSE),"-")</f>
        <v>-</v>
      </c>
      <c r="V354" s="79" t="str">
        <f>+IFERROR(VLOOKUP(CONCATENATE(A354,$F$10,F354),'ID1&amp;5'!B:J,9,FALSE),"-")</f>
        <v>-</v>
      </c>
      <c r="W354" s="26" t="str">
        <f>+IFERROR(VLOOKUP(A354,'ID6&amp;7'!A:I,9,FALSE),"-")</f>
        <v>-</v>
      </c>
      <c r="X354" s="26" t="str">
        <f>+IFERROR(VLOOKUP(A354,'ID6&amp;7'!A:J,10,FALSE),"-")</f>
        <v>-</v>
      </c>
      <c r="Y354" s="26"/>
      <c r="Z354" s="27" t="str">
        <f t="shared" si="6"/>
        <v>Por iniciar</v>
      </c>
      <c r="AA354" s="65"/>
    </row>
    <row r="355" spans="1:27">
      <c r="A355" s="20"/>
      <c r="B355" s="60"/>
      <c r="C355" s="60"/>
      <c r="D355" s="60"/>
      <c r="E355" s="60"/>
      <c r="F355" s="60"/>
      <c r="G355" s="60"/>
      <c r="H355" s="65" t="s">
        <v>117</v>
      </c>
      <c r="I355" s="21" t="s">
        <v>1393</v>
      </c>
      <c r="J355" s="26">
        <f>+COUNTIF('ID1&amp;5'!G:G,'1. Status'!I355)</f>
        <v>0</v>
      </c>
      <c r="K355" s="79" t="str">
        <f>+IFERROR(VLOOKUP(CONCATENATE(A355,$B$10,B355),'ID1&amp;5'!B:J,8,FALSE),"-")</f>
        <v>-</v>
      </c>
      <c r="L355" s="78" t="str">
        <f>+IFERROR(VLOOKUP(B355,'ID1&amp;5'!K:L,2,FALSE),"-")</f>
        <v>-</v>
      </c>
      <c r="M355" s="79" t="str">
        <f>+IFERROR(VLOOKUP(CONCATENATE(A355,$B$10,B355),'ID1&amp;5'!B:J,9,FALSE),"-")</f>
        <v>-</v>
      </c>
      <c r="N355" s="79" t="str">
        <f>+IFERROR(VLOOKUP(CONCATENATE(A355,$C$10,C355),'ID1&amp;5'!B:J,8,FALSE),"-")</f>
        <v>-</v>
      </c>
      <c r="O355" s="78" t="str">
        <f>+IFERROR(VLOOKUP(C355,'ID1&amp;5'!K:L,2,FALSE),"-")</f>
        <v>-</v>
      </c>
      <c r="P355" s="79" t="str">
        <f>+IFERROR(VLOOKUP(CONCATENATE(A355,$C$10,C355),'ID1&amp;5'!B:J,9,FALSE),"-")</f>
        <v>-</v>
      </c>
      <c r="Q355" s="78" t="str">
        <f>+IFERROR(VLOOKUP(D355,'ID1&amp;5'!K:L,2,FALSE),"-")</f>
        <v>-</v>
      </c>
      <c r="R355" s="26" t="str">
        <f>+IFERROR(VLOOKUP(CONCATENATE(A355,$D$10,D355),'ID1&amp;5'!B:J,9,FALSE),"-")</f>
        <v>-</v>
      </c>
      <c r="S355" s="78" t="str">
        <f>+IFERROR(VLOOKUP(E355,'ID1&amp;5'!K:L,2,FALSE),"-")</f>
        <v>-</v>
      </c>
      <c r="T355" s="79" t="str">
        <f>+IFERROR(VLOOKUP(CONCATENATE(A355,$E$10,E355),'ID1&amp;5'!B:J,9,FALSE),"-")</f>
        <v>-</v>
      </c>
      <c r="U355" s="78" t="str">
        <f>+IFERROR(VLOOKUP(F355,'ID1&amp;5'!K:L,2,FALSE),"-")</f>
        <v>-</v>
      </c>
      <c r="V355" s="79" t="str">
        <f>+IFERROR(VLOOKUP(CONCATENATE(A355,$F$10,F355),'ID1&amp;5'!B:J,9,FALSE),"-")</f>
        <v>-</v>
      </c>
      <c r="W355" s="26" t="str">
        <f>+IFERROR(VLOOKUP(A355,'ID6&amp;7'!A:I,9,FALSE),"-")</f>
        <v>-</v>
      </c>
      <c r="X355" s="26" t="str">
        <f>+IFERROR(VLOOKUP(A355,'ID6&amp;7'!A:J,10,FALSE),"-")</f>
        <v>-</v>
      </c>
      <c r="Y355" s="26"/>
      <c r="Z355" s="27" t="str">
        <f t="shared" si="6"/>
        <v>Por iniciar</v>
      </c>
      <c r="AA355" s="65"/>
    </row>
    <row r="356" spans="1:27">
      <c r="A356" s="20"/>
      <c r="B356" s="60"/>
      <c r="C356" s="60"/>
      <c r="D356" s="60"/>
      <c r="E356" s="60"/>
      <c r="F356" s="60"/>
      <c r="G356" s="60"/>
      <c r="H356" s="65" t="s">
        <v>117</v>
      </c>
      <c r="I356" s="21" t="s">
        <v>1394</v>
      </c>
      <c r="J356" s="26">
        <f>+COUNTIF('ID1&amp;5'!G:G,'1. Status'!I356)</f>
        <v>0</v>
      </c>
      <c r="K356" s="79" t="str">
        <f>+IFERROR(VLOOKUP(CONCATENATE(A356,$B$10,B356),'ID1&amp;5'!B:J,8,FALSE),"-")</f>
        <v>-</v>
      </c>
      <c r="L356" s="78" t="str">
        <f>+IFERROR(VLOOKUP(B356,'ID1&amp;5'!K:L,2,FALSE),"-")</f>
        <v>-</v>
      </c>
      <c r="M356" s="79" t="str">
        <f>+IFERROR(VLOOKUP(CONCATENATE(A356,$B$10,B356),'ID1&amp;5'!B:J,9,FALSE),"-")</f>
        <v>-</v>
      </c>
      <c r="N356" s="79" t="str">
        <f>+IFERROR(VLOOKUP(CONCATENATE(A356,$C$10,C356),'ID1&amp;5'!B:J,8,FALSE),"-")</f>
        <v>-</v>
      </c>
      <c r="O356" s="78" t="str">
        <f>+IFERROR(VLOOKUP(C356,'ID1&amp;5'!K:L,2,FALSE),"-")</f>
        <v>-</v>
      </c>
      <c r="P356" s="79" t="str">
        <f>+IFERROR(VLOOKUP(CONCATENATE(A356,$C$10,C356),'ID1&amp;5'!B:J,9,FALSE),"-")</f>
        <v>-</v>
      </c>
      <c r="Q356" s="78" t="str">
        <f>+IFERROR(VLOOKUP(D356,'ID1&amp;5'!K:L,2,FALSE),"-")</f>
        <v>-</v>
      </c>
      <c r="R356" s="26" t="str">
        <f>+IFERROR(VLOOKUP(CONCATENATE(A356,$D$10,D356),'ID1&amp;5'!B:J,9,FALSE),"-")</f>
        <v>-</v>
      </c>
      <c r="S356" s="78" t="str">
        <f>+IFERROR(VLOOKUP(E356,'ID1&amp;5'!K:L,2,FALSE),"-")</f>
        <v>-</v>
      </c>
      <c r="T356" s="79" t="str">
        <f>+IFERROR(VLOOKUP(CONCATENATE(A356,$E$10,E356),'ID1&amp;5'!B:J,9,FALSE),"-")</f>
        <v>-</v>
      </c>
      <c r="U356" s="78" t="str">
        <f>+IFERROR(VLOOKUP(F356,'ID1&amp;5'!K:L,2,FALSE),"-")</f>
        <v>-</v>
      </c>
      <c r="V356" s="79" t="str">
        <f>+IFERROR(VLOOKUP(CONCATENATE(A356,$F$10,F356),'ID1&amp;5'!B:J,9,FALSE),"-")</f>
        <v>-</v>
      </c>
      <c r="W356" s="26" t="str">
        <f>+IFERROR(VLOOKUP(A356,'ID6&amp;7'!A:I,9,FALSE),"-")</f>
        <v>-</v>
      </c>
      <c r="X356" s="26" t="str">
        <f>+IFERROR(VLOOKUP(A356,'ID6&amp;7'!A:J,10,FALSE),"-")</f>
        <v>-</v>
      </c>
      <c r="Y356" s="26"/>
      <c r="Z356" s="27" t="str">
        <f t="shared" si="6"/>
        <v>Por iniciar</v>
      </c>
      <c r="AA356" s="65"/>
    </row>
    <row r="357" spans="1:27">
      <c r="A357" s="20"/>
      <c r="B357" s="60"/>
      <c r="C357" s="60"/>
      <c r="D357" s="60"/>
      <c r="E357" s="60"/>
      <c r="F357" s="60"/>
      <c r="G357" s="60"/>
      <c r="H357" s="65" t="s">
        <v>117</v>
      </c>
      <c r="I357" s="21" t="s">
        <v>1395</v>
      </c>
      <c r="J357" s="26">
        <f>+COUNTIF('ID1&amp;5'!G:G,'1. Status'!I357)</f>
        <v>0</v>
      </c>
      <c r="K357" s="79" t="str">
        <f>+IFERROR(VLOOKUP(CONCATENATE(A357,$B$10,B357),'ID1&amp;5'!B:J,8,FALSE),"-")</f>
        <v>-</v>
      </c>
      <c r="L357" s="78" t="str">
        <f>+IFERROR(VLOOKUP(B357,'ID1&amp;5'!K:L,2,FALSE),"-")</f>
        <v>-</v>
      </c>
      <c r="M357" s="79" t="str">
        <f>+IFERROR(VLOOKUP(CONCATENATE(A357,$B$10,B357),'ID1&amp;5'!B:J,9,FALSE),"-")</f>
        <v>-</v>
      </c>
      <c r="N357" s="79" t="str">
        <f>+IFERROR(VLOOKUP(CONCATENATE(A357,$C$10,C357),'ID1&amp;5'!B:J,8,FALSE),"-")</f>
        <v>-</v>
      </c>
      <c r="O357" s="78" t="str">
        <f>+IFERROR(VLOOKUP(C357,'ID1&amp;5'!K:L,2,FALSE),"-")</f>
        <v>-</v>
      </c>
      <c r="P357" s="79" t="str">
        <f>+IFERROR(VLOOKUP(CONCATENATE(A357,$C$10,C357),'ID1&amp;5'!B:J,9,FALSE),"-")</f>
        <v>-</v>
      </c>
      <c r="Q357" s="78" t="str">
        <f>+IFERROR(VLOOKUP(D357,'ID1&amp;5'!K:L,2,FALSE),"-")</f>
        <v>-</v>
      </c>
      <c r="R357" s="26" t="str">
        <f>+IFERROR(VLOOKUP(CONCATENATE(A357,$D$10,D357),'ID1&amp;5'!B:J,9,FALSE),"-")</f>
        <v>-</v>
      </c>
      <c r="S357" s="78" t="str">
        <f>+IFERROR(VLOOKUP(E357,'ID1&amp;5'!K:L,2,FALSE),"-")</f>
        <v>-</v>
      </c>
      <c r="T357" s="79" t="str">
        <f>+IFERROR(VLOOKUP(CONCATENATE(A357,$E$10,E357),'ID1&amp;5'!B:J,9,FALSE),"-")</f>
        <v>-</v>
      </c>
      <c r="U357" s="78" t="str">
        <f>+IFERROR(VLOOKUP(F357,'ID1&amp;5'!K:L,2,FALSE),"-")</f>
        <v>-</v>
      </c>
      <c r="V357" s="79" t="str">
        <f>+IFERROR(VLOOKUP(CONCATENATE(A357,$F$10,F357),'ID1&amp;5'!B:J,9,FALSE),"-")</f>
        <v>-</v>
      </c>
      <c r="W357" s="26" t="str">
        <f>+IFERROR(VLOOKUP(A357,'ID6&amp;7'!A:I,9,FALSE),"-")</f>
        <v>-</v>
      </c>
      <c r="X357" s="26" t="str">
        <f>+IFERROR(VLOOKUP(A357,'ID6&amp;7'!A:J,10,FALSE),"-")</f>
        <v>-</v>
      </c>
      <c r="Y357" s="26"/>
      <c r="Z357" s="27" t="str">
        <f t="shared" si="6"/>
        <v>Por iniciar</v>
      </c>
      <c r="AA357" s="65"/>
    </row>
    <row r="358" spans="1:27">
      <c r="A358" s="20"/>
      <c r="B358" s="60"/>
      <c r="C358" s="60"/>
      <c r="D358" s="60"/>
      <c r="E358" s="60"/>
      <c r="F358" s="60"/>
      <c r="G358" s="60"/>
      <c r="H358" s="65" t="s">
        <v>117</v>
      </c>
      <c r="I358" s="21" t="s">
        <v>1396</v>
      </c>
      <c r="J358" s="26">
        <f>+COUNTIF('ID1&amp;5'!G:G,'1. Status'!I358)</f>
        <v>0</v>
      </c>
      <c r="K358" s="79" t="str">
        <f>+IFERROR(VLOOKUP(CONCATENATE(A358,$B$10,B358),'ID1&amp;5'!B:J,8,FALSE),"-")</f>
        <v>-</v>
      </c>
      <c r="L358" s="78" t="str">
        <f>+IFERROR(VLOOKUP(B358,'ID1&amp;5'!K:L,2,FALSE),"-")</f>
        <v>-</v>
      </c>
      <c r="M358" s="79" t="str">
        <f>+IFERROR(VLOOKUP(CONCATENATE(A358,$B$10,B358),'ID1&amp;5'!B:J,9,FALSE),"-")</f>
        <v>-</v>
      </c>
      <c r="N358" s="79" t="str">
        <f>+IFERROR(VLOOKUP(CONCATENATE(A358,$C$10,C358),'ID1&amp;5'!B:J,8,FALSE),"-")</f>
        <v>-</v>
      </c>
      <c r="O358" s="78" t="str">
        <f>+IFERROR(VLOOKUP(C358,'ID1&amp;5'!K:L,2,FALSE),"-")</f>
        <v>-</v>
      </c>
      <c r="P358" s="79" t="str">
        <f>+IFERROR(VLOOKUP(CONCATENATE(A358,$C$10,C358),'ID1&amp;5'!B:J,9,FALSE),"-")</f>
        <v>-</v>
      </c>
      <c r="Q358" s="78" t="str">
        <f>+IFERROR(VLOOKUP(D358,'ID1&amp;5'!K:L,2,FALSE),"-")</f>
        <v>-</v>
      </c>
      <c r="R358" s="26" t="str">
        <f>+IFERROR(VLOOKUP(CONCATENATE(A358,$D$10,D358),'ID1&amp;5'!B:J,9,FALSE),"-")</f>
        <v>-</v>
      </c>
      <c r="S358" s="78" t="str">
        <f>+IFERROR(VLOOKUP(E358,'ID1&amp;5'!K:L,2,FALSE),"-")</f>
        <v>-</v>
      </c>
      <c r="T358" s="79" t="str">
        <f>+IFERROR(VLOOKUP(CONCATENATE(A358,$E$10,E358),'ID1&amp;5'!B:J,9,FALSE),"-")</f>
        <v>-</v>
      </c>
      <c r="U358" s="78" t="str">
        <f>+IFERROR(VLOOKUP(F358,'ID1&amp;5'!K:L,2,FALSE),"-")</f>
        <v>-</v>
      </c>
      <c r="V358" s="79" t="str">
        <f>+IFERROR(VLOOKUP(CONCATENATE(A358,$F$10,F358),'ID1&amp;5'!B:J,9,FALSE),"-")</f>
        <v>-</v>
      </c>
      <c r="W358" s="26" t="str">
        <f>+IFERROR(VLOOKUP(A358,'ID6&amp;7'!A:I,9,FALSE),"-")</f>
        <v>-</v>
      </c>
      <c r="X358" s="26" t="str">
        <f>+IFERROR(VLOOKUP(A358,'ID6&amp;7'!A:J,10,FALSE),"-")</f>
        <v>-</v>
      </c>
      <c r="Y358" s="26"/>
      <c r="Z358" s="27" t="str">
        <f t="shared" si="6"/>
        <v>Por iniciar</v>
      </c>
      <c r="AA358" s="65"/>
    </row>
    <row r="359" spans="1:27">
      <c r="A359" s="20"/>
      <c r="B359" s="60"/>
      <c r="C359" s="60"/>
      <c r="D359" s="60"/>
      <c r="E359" s="60"/>
      <c r="F359" s="60"/>
      <c r="G359" s="60"/>
      <c r="H359" s="65" t="s">
        <v>117</v>
      </c>
      <c r="I359" s="21" t="s">
        <v>1397</v>
      </c>
      <c r="J359" s="26">
        <f>+COUNTIF('ID1&amp;5'!G:G,'1. Status'!I359)</f>
        <v>0</v>
      </c>
      <c r="K359" s="79" t="str">
        <f>+IFERROR(VLOOKUP(CONCATENATE(A359,$B$10,B359),'ID1&amp;5'!B:J,8,FALSE),"-")</f>
        <v>-</v>
      </c>
      <c r="L359" s="78" t="str">
        <f>+IFERROR(VLOOKUP(B359,'ID1&amp;5'!K:L,2,FALSE),"-")</f>
        <v>-</v>
      </c>
      <c r="M359" s="79" t="str">
        <f>+IFERROR(VLOOKUP(CONCATENATE(A359,$B$10,B359),'ID1&amp;5'!B:J,9,FALSE),"-")</f>
        <v>-</v>
      </c>
      <c r="N359" s="79" t="str">
        <f>+IFERROR(VLOOKUP(CONCATENATE(A359,$C$10,C359),'ID1&amp;5'!B:J,8,FALSE),"-")</f>
        <v>-</v>
      </c>
      <c r="O359" s="78" t="str">
        <f>+IFERROR(VLOOKUP(C359,'ID1&amp;5'!K:L,2,FALSE),"-")</f>
        <v>-</v>
      </c>
      <c r="P359" s="79" t="str">
        <f>+IFERROR(VLOOKUP(CONCATENATE(A359,$C$10,C359),'ID1&amp;5'!B:J,9,FALSE),"-")</f>
        <v>-</v>
      </c>
      <c r="Q359" s="78" t="str">
        <f>+IFERROR(VLOOKUP(D359,'ID1&amp;5'!K:L,2,FALSE),"-")</f>
        <v>-</v>
      </c>
      <c r="R359" s="26" t="str">
        <f>+IFERROR(VLOOKUP(CONCATENATE(A359,$D$10,D359),'ID1&amp;5'!B:J,9,FALSE),"-")</f>
        <v>-</v>
      </c>
      <c r="S359" s="78" t="str">
        <f>+IFERROR(VLOOKUP(E359,'ID1&amp;5'!K:L,2,FALSE),"-")</f>
        <v>-</v>
      </c>
      <c r="T359" s="79" t="str">
        <f>+IFERROR(VLOOKUP(CONCATENATE(A359,$E$10,E359),'ID1&amp;5'!B:J,9,FALSE),"-")</f>
        <v>-</v>
      </c>
      <c r="U359" s="78" t="str">
        <f>+IFERROR(VLOOKUP(F359,'ID1&amp;5'!K:L,2,FALSE),"-")</f>
        <v>-</v>
      </c>
      <c r="V359" s="79" t="str">
        <f>+IFERROR(VLOOKUP(CONCATENATE(A359,$F$10,F359),'ID1&amp;5'!B:J,9,FALSE),"-")</f>
        <v>-</v>
      </c>
      <c r="W359" s="26" t="str">
        <f>+IFERROR(VLOOKUP(A359,'ID6&amp;7'!A:I,9,FALSE),"-")</f>
        <v>-</v>
      </c>
      <c r="X359" s="26" t="str">
        <f>+IFERROR(VLOOKUP(A359,'ID6&amp;7'!A:J,10,FALSE),"-")</f>
        <v>-</v>
      </c>
      <c r="Y359" s="26"/>
      <c r="Z359" s="27" t="str">
        <f t="shared" si="6"/>
        <v>Por iniciar</v>
      </c>
      <c r="AA359" s="65"/>
    </row>
    <row r="360" spans="1:27">
      <c r="A360" s="20"/>
      <c r="B360" s="60"/>
      <c r="C360" s="60"/>
      <c r="D360" s="60"/>
      <c r="E360" s="60"/>
      <c r="F360" s="60"/>
      <c r="G360" s="60"/>
      <c r="H360" s="65" t="s">
        <v>117</v>
      </c>
      <c r="I360" s="21" t="s">
        <v>1398</v>
      </c>
      <c r="J360" s="26">
        <f>+COUNTIF('ID1&amp;5'!G:G,'1. Status'!I360)</f>
        <v>0</v>
      </c>
      <c r="K360" s="79" t="str">
        <f>+IFERROR(VLOOKUP(CONCATENATE(A360,$B$10,B360),'ID1&amp;5'!B:J,8,FALSE),"-")</f>
        <v>-</v>
      </c>
      <c r="L360" s="78" t="str">
        <f>+IFERROR(VLOOKUP(B360,'ID1&amp;5'!K:L,2,FALSE),"-")</f>
        <v>-</v>
      </c>
      <c r="M360" s="79" t="str">
        <f>+IFERROR(VLOOKUP(CONCATENATE(A360,$B$10,B360),'ID1&amp;5'!B:J,9,FALSE),"-")</f>
        <v>-</v>
      </c>
      <c r="N360" s="79" t="str">
        <f>+IFERROR(VLOOKUP(CONCATENATE(A360,$C$10,C360),'ID1&amp;5'!B:J,8,FALSE),"-")</f>
        <v>-</v>
      </c>
      <c r="O360" s="78" t="str">
        <f>+IFERROR(VLOOKUP(C360,'ID1&amp;5'!K:L,2,FALSE),"-")</f>
        <v>-</v>
      </c>
      <c r="P360" s="79" t="str">
        <f>+IFERROR(VLOOKUP(CONCATENATE(A360,$C$10,C360),'ID1&amp;5'!B:J,9,FALSE),"-")</f>
        <v>-</v>
      </c>
      <c r="Q360" s="78" t="str">
        <f>+IFERROR(VLOOKUP(D360,'ID1&amp;5'!K:L,2,FALSE),"-")</f>
        <v>-</v>
      </c>
      <c r="R360" s="26" t="str">
        <f>+IFERROR(VLOOKUP(CONCATENATE(A360,$D$10,D360),'ID1&amp;5'!B:J,9,FALSE),"-")</f>
        <v>-</v>
      </c>
      <c r="S360" s="78" t="str">
        <f>+IFERROR(VLOOKUP(E360,'ID1&amp;5'!K:L,2,FALSE),"-")</f>
        <v>-</v>
      </c>
      <c r="T360" s="79" t="str">
        <f>+IFERROR(VLOOKUP(CONCATENATE(A360,$E$10,E360),'ID1&amp;5'!B:J,9,FALSE),"-")</f>
        <v>-</v>
      </c>
      <c r="U360" s="78" t="str">
        <f>+IFERROR(VLOOKUP(F360,'ID1&amp;5'!K:L,2,FALSE),"-")</f>
        <v>-</v>
      </c>
      <c r="V360" s="79" t="str">
        <f>+IFERROR(VLOOKUP(CONCATENATE(A360,$F$10,F360),'ID1&amp;5'!B:J,9,FALSE),"-")</f>
        <v>-</v>
      </c>
      <c r="W360" s="26" t="str">
        <f>+IFERROR(VLOOKUP(A360,'ID6&amp;7'!A:I,9,FALSE),"-")</f>
        <v>-</v>
      </c>
      <c r="X360" s="26" t="str">
        <f>+IFERROR(VLOOKUP(A360,'ID6&amp;7'!A:J,10,FALSE),"-")</f>
        <v>-</v>
      </c>
      <c r="Y360" s="26"/>
      <c r="Z360" s="27" t="str">
        <f t="shared" si="6"/>
        <v>Por iniciar</v>
      </c>
      <c r="AA360" s="65"/>
    </row>
    <row r="361" spans="1:27">
      <c r="A361" s="20"/>
      <c r="B361" s="60"/>
      <c r="C361" s="60"/>
      <c r="D361" s="60"/>
      <c r="E361" s="60"/>
      <c r="F361" s="60"/>
      <c r="G361" s="60"/>
      <c r="H361" s="65" t="s">
        <v>117</v>
      </c>
      <c r="I361" s="21" t="s">
        <v>1399</v>
      </c>
      <c r="J361" s="26">
        <f>+COUNTIF('ID1&amp;5'!G:G,'1. Status'!I361)</f>
        <v>0</v>
      </c>
      <c r="K361" s="79" t="str">
        <f>+IFERROR(VLOOKUP(CONCATENATE(A361,$B$10,B361),'ID1&amp;5'!B:J,8,FALSE),"-")</f>
        <v>-</v>
      </c>
      <c r="L361" s="78" t="str">
        <f>+IFERROR(VLOOKUP(B361,'ID1&amp;5'!K:L,2,FALSE),"-")</f>
        <v>-</v>
      </c>
      <c r="M361" s="79" t="str">
        <f>+IFERROR(VLOOKUP(CONCATENATE(A361,$B$10,B361),'ID1&amp;5'!B:J,9,FALSE),"-")</f>
        <v>-</v>
      </c>
      <c r="N361" s="79" t="str">
        <f>+IFERROR(VLOOKUP(CONCATENATE(A361,$C$10,C361),'ID1&amp;5'!B:J,8,FALSE),"-")</f>
        <v>-</v>
      </c>
      <c r="O361" s="78" t="str">
        <f>+IFERROR(VLOOKUP(C361,'ID1&amp;5'!K:L,2,FALSE),"-")</f>
        <v>-</v>
      </c>
      <c r="P361" s="79" t="str">
        <f>+IFERROR(VLOOKUP(CONCATENATE(A361,$C$10,C361),'ID1&amp;5'!B:J,9,FALSE),"-")</f>
        <v>-</v>
      </c>
      <c r="Q361" s="78" t="str">
        <f>+IFERROR(VLOOKUP(D361,'ID1&amp;5'!K:L,2,FALSE),"-")</f>
        <v>-</v>
      </c>
      <c r="R361" s="26" t="str">
        <f>+IFERROR(VLOOKUP(CONCATENATE(A361,$D$10,D361),'ID1&amp;5'!B:J,9,FALSE),"-")</f>
        <v>-</v>
      </c>
      <c r="S361" s="78" t="str">
        <f>+IFERROR(VLOOKUP(E361,'ID1&amp;5'!K:L,2,FALSE),"-")</f>
        <v>-</v>
      </c>
      <c r="T361" s="79" t="str">
        <f>+IFERROR(VLOOKUP(CONCATENATE(A361,$E$10,E361),'ID1&amp;5'!B:J,9,FALSE),"-")</f>
        <v>-</v>
      </c>
      <c r="U361" s="78" t="str">
        <f>+IFERROR(VLOOKUP(F361,'ID1&amp;5'!K:L,2,FALSE),"-")</f>
        <v>-</v>
      </c>
      <c r="V361" s="79" t="str">
        <f>+IFERROR(VLOOKUP(CONCATENATE(A361,$F$10,F361),'ID1&amp;5'!B:J,9,FALSE),"-")</f>
        <v>-</v>
      </c>
      <c r="W361" s="26" t="str">
        <f>+IFERROR(VLOOKUP(A361,'ID6&amp;7'!A:I,9,FALSE),"-")</f>
        <v>-</v>
      </c>
      <c r="X361" s="26" t="str">
        <f>+IFERROR(VLOOKUP(A361,'ID6&amp;7'!A:J,10,FALSE),"-")</f>
        <v>-</v>
      </c>
      <c r="Y361" s="26"/>
      <c r="Z361" s="27" t="str">
        <f t="shared" si="6"/>
        <v>Por iniciar</v>
      </c>
      <c r="AA361" s="65"/>
    </row>
    <row r="362" spans="1:27">
      <c r="A362" s="20"/>
      <c r="B362" s="60"/>
      <c r="C362" s="60"/>
      <c r="D362" s="60"/>
      <c r="E362" s="60"/>
      <c r="F362" s="60"/>
      <c r="G362" s="60"/>
      <c r="H362" s="65" t="s">
        <v>117</v>
      </c>
      <c r="I362" s="21" t="s">
        <v>1400</v>
      </c>
      <c r="J362" s="26">
        <f>+COUNTIF('ID1&amp;5'!G:G,'1. Status'!I362)</f>
        <v>0</v>
      </c>
      <c r="K362" s="79" t="str">
        <f>+IFERROR(VLOOKUP(CONCATENATE(A362,$B$10,B362),'ID1&amp;5'!B:J,8,FALSE),"-")</f>
        <v>-</v>
      </c>
      <c r="L362" s="78" t="str">
        <f>+IFERROR(VLOOKUP(B362,'ID1&amp;5'!K:L,2,FALSE),"-")</f>
        <v>-</v>
      </c>
      <c r="M362" s="79" t="str">
        <f>+IFERROR(VLOOKUP(CONCATENATE(A362,$B$10,B362),'ID1&amp;5'!B:J,9,FALSE),"-")</f>
        <v>-</v>
      </c>
      <c r="N362" s="79" t="str">
        <f>+IFERROR(VLOOKUP(CONCATENATE(A362,$C$10,C362),'ID1&amp;5'!B:J,8,FALSE),"-")</f>
        <v>-</v>
      </c>
      <c r="O362" s="78" t="str">
        <f>+IFERROR(VLOOKUP(C362,'ID1&amp;5'!K:L,2,FALSE),"-")</f>
        <v>-</v>
      </c>
      <c r="P362" s="79" t="str">
        <f>+IFERROR(VLOOKUP(CONCATENATE(A362,$C$10,C362),'ID1&amp;5'!B:J,9,FALSE),"-")</f>
        <v>-</v>
      </c>
      <c r="Q362" s="78" t="str">
        <f>+IFERROR(VLOOKUP(D362,'ID1&amp;5'!K:L,2,FALSE),"-")</f>
        <v>-</v>
      </c>
      <c r="R362" s="26" t="str">
        <f>+IFERROR(VLOOKUP(CONCATENATE(A362,$D$10,D362),'ID1&amp;5'!B:J,9,FALSE),"-")</f>
        <v>-</v>
      </c>
      <c r="S362" s="78" t="str">
        <f>+IFERROR(VLOOKUP(E362,'ID1&amp;5'!K:L,2,FALSE),"-")</f>
        <v>-</v>
      </c>
      <c r="T362" s="79" t="str">
        <f>+IFERROR(VLOOKUP(CONCATENATE(A362,$E$10,E362),'ID1&amp;5'!B:J,9,FALSE),"-")</f>
        <v>-</v>
      </c>
      <c r="U362" s="78" t="str">
        <f>+IFERROR(VLOOKUP(F362,'ID1&amp;5'!K:L,2,FALSE),"-")</f>
        <v>-</v>
      </c>
      <c r="V362" s="79" t="str">
        <f>+IFERROR(VLOOKUP(CONCATENATE(A362,$F$10,F362),'ID1&amp;5'!B:J,9,FALSE),"-")</f>
        <v>-</v>
      </c>
      <c r="W362" s="26" t="str">
        <f>+IFERROR(VLOOKUP(A362,'ID6&amp;7'!A:I,9,FALSE),"-")</f>
        <v>-</v>
      </c>
      <c r="X362" s="26" t="str">
        <f>+IFERROR(VLOOKUP(A362,'ID6&amp;7'!A:J,10,FALSE),"-")</f>
        <v>-</v>
      </c>
      <c r="Y362" s="26"/>
      <c r="Z362" s="27" t="str">
        <f t="shared" si="6"/>
        <v>Por iniciar</v>
      </c>
      <c r="AA362" s="65"/>
    </row>
    <row r="363" spans="1:27">
      <c r="A363" s="20"/>
      <c r="B363" s="60"/>
      <c r="C363" s="60"/>
      <c r="D363" s="60"/>
      <c r="E363" s="60"/>
      <c r="F363" s="60"/>
      <c r="G363" s="60"/>
      <c r="H363" s="65" t="s">
        <v>117</v>
      </c>
      <c r="I363" s="21" t="s">
        <v>1401</v>
      </c>
      <c r="J363" s="26">
        <f>+COUNTIF('ID1&amp;5'!G:G,'1. Status'!I363)</f>
        <v>0</v>
      </c>
      <c r="K363" s="79" t="str">
        <f>+IFERROR(VLOOKUP(CONCATENATE(A363,$B$10,B363),'ID1&amp;5'!B:J,8,FALSE),"-")</f>
        <v>-</v>
      </c>
      <c r="L363" s="78" t="str">
        <f>+IFERROR(VLOOKUP(B363,'ID1&amp;5'!K:L,2,FALSE),"-")</f>
        <v>-</v>
      </c>
      <c r="M363" s="79" t="str">
        <f>+IFERROR(VLOOKUP(CONCATENATE(A363,$B$10,B363),'ID1&amp;5'!B:J,9,FALSE),"-")</f>
        <v>-</v>
      </c>
      <c r="N363" s="79" t="str">
        <f>+IFERROR(VLOOKUP(CONCATENATE(A363,$C$10,C363),'ID1&amp;5'!B:J,8,FALSE),"-")</f>
        <v>-</v>
      </c>
      <c r="O363" s="78" t="str">
        <f>+IFERROR(VLOOKUP(C363,'ID1&amp;5'!K:L,2,FALSE),"-")</f>
        <v>-</v>
      </c>
      <c r="P363" s="79" t="str">
        <f>+IFERROR(VLOOKUP(CONCATENATE(A363,$C$10,C363),'ID1&amp;5'!B:J,9,FALSE),"-")</f>
        <v>-</v>
      </c>
      <c r="Q363" s="78" t="str">
        <f>+IFERROR(VLOOKUP(D363,'ID1&amp;5'!K:L,2,FALSE),"-")</f>
        <v>-</v>
      </c>
      <c r="R363" s="26" t="str">
        <f>+IFERROR(VLOOKUP(CONCATENATE(A363,$D$10,D363),'ID1&amp;5'!B:J,9,FALSE),"-")</f>
        <v>-</v>
      </c>
      <c r="S363" s="78" t="str">
        <f>+IFERROR(VLOOKUP(E363,'ID1&amp;5'!K:L,2,FALSE),"-")</f>
        <v>-</v>
      </c>
      <c r="T363" s="79" t="str">
        <f>+IFERROR(VLOOKUP(CONCATENATE(A363,$E$10,E363),'ID1&amp;5'!B:J,9,FALSE),"-")</f>
        <v>-</v>
      </c>
      <c r="U363" s="78" t="str">
        <f>+IFERROR(VLOOKUP(F363,'ID1&amp;5'!K:L,2,FALSE),"-")</f>
        <v>-</v>
      </c>
      <c r="V363" s="79" t="str">
        <f>+IFERROR(VLOOKUP(CONCATENATE(A363,$F$10,F363),'ID1&amp;5'!B:J,9,FALSE),"-")</f>
        <v>-</v>
      </c>
      <c r="W363" s="26" t="str">
        <f>+IFERROR(VLOOKUP(A363,'ID6&amp;7'!A:I,9,FALSE),"-")</f>
        <v>-</v>
      </c>
      <c r="X363" s="26" t="str">
        <f>+IFERROR(VLOOKUP(A363,'ID6&amp;7'!A:J,10,FALSE),"-")</f>
        <v>-</v>
      </c>
      <c r="Y363" s="26"/>
      <c r="Z363" s="27" t="str">
        <f t="shared" si="6"/>
        <v>Por iniciar</v>
      </c>
      <c r="AA363" s="65"/>
    </row>
    <row r="364" spans="1:27">
      <c r="A364" s="20"/>
      <c r="B364" s="60"/>
      <c r="C364" s="60"/>
      <c r="D364" s="60"/>
      <c r="E364" s="60"/>
      <c r="F364" s="60"/>
      <c r="G364" s="60"/>
      <c r="H364" s="65" t="s">
        <v>117</v>
      </c>
      <c r="I364" s="21" t="s">
        <v>1402</v>
      </c>
      <c r="J364" s="26">
        <f>+COUNTIF('ID1&amp;5'!G:G,'1. Status'!I364)</f>
        <v>0</v>
      </c>
      <c r="K364" s="79" t="str">
        <f>+IFERROR(VLOOKUP(CONCATENATE(A364,$B$10,B364),'ID1&amp;5'!B:J,8,FALSE),"-")</f>
        <v>-</v>
      </c>
      <c r="L364" s="78" t="str">
        <f>+IFERROR(VLOOKUP(B364,'ID1&amp;5'!K:L,2,FALSE),"-")</f>
        <v>-</v>
      </c>
      <c r="M364" s="79" t="str">
        <f>+IFERROR(VLOOKUP(CONCATENATE(A364,$B$10,B364),'ID1&amp;5'!B:J,9,FALSE),"-")</f>
        <v>-</v>
      </c>
      <c r="N364" s="79" t="str">
        <f>+IFERROR(VLOOKUP(CONCATENATE(A364,$C$10,C364),'ID1&amp;5'!B:J,8,FALSE),"-")</f>
        <v>-</v>
      </c>
      <c r="O364" s="78" t="str">
        <f>+IFERROR(VLOOKUP(C364,'ID1&amp;5'!K:L,2,FALSE),"-")</f>
        <v>-</v>
      </c>
      <c r="P364" s="79" t="str">
        <f>+IFERROR(VLOOKUP(CONCATENATE(A364,$C$10,C364),'ID1&amp;5'!B:J,9,FALSE),"-")</f>
        <v>-</v>
      </c>
      <c r="Q364" s="78" t="str">
        <f>+IFERROR(VLOOKUP(D364,'ID1&amp;5'!K:L,2,FALSE),"-")</f>
        <v>-</v>
      </c>
      <c r="R364" s="26" t="str">
        <f>+IFERROR(VLOOKUP(CONCATENATE(A364,$D$10,D364),'ID1&amp;5'!B:J,9,FALSE),"-")</f>
        <v>-</v>
      </c>
      <c r="S364" s="78" t="str">
        <f>+IFERROR(VLOOKUP(E364,'ID1&amp;5'!K:L,2,FALSE),"-")</f>
        <v>-</v>
      </c>
      <c r="T364" s="79" t="str">
        <f>+IFERROR(VLOOKUP(CONCATENATE(A364,$E$10,E364),'ID1&amp;5'!B:J,9,FALSE),"-")</f>
        <v>-</v>
      </c>
      <c r="U364" s="78" t="str">
        <f>+IFERROR(VLOOKUP(F364,'ID1&amp;5'!K:L,2,FALSE),"-")</f>
        <v>-</v>
      </c>
      <c r="V364" s="79" t="str">
        <f>+IFERROR(VLOOKUP(CONCATENATE(A364,$F$10,F364),'ID1&amp;5'!B:J,9,FALSE),"-")</f>
        <v>-</v>
      </c>
      <c r="W364" s="26" t="str">
        <f>+IFERROR(VLOOKUP(A364,'ID6&amp;7'!A:I,9,FALSE),"-")</f>
        <v>-</v>
      </c>
      <c r="X364" s="26" t="str">
        <f>+IFERROR(VLOOKUP(A364,'ID6&amp;7'!A:J,10,FALSE),"-")</f>
        <v>-</v>
      </c>
      <c r="Y364" s="26"/>
      <c r="Z364" s="27" t="str">
        <f t="shared" si="6"/>
        <v>Por iniciar</v>
      </c>
      <c r="AA364" s="65"/>
    </row>
    <row r="365" spans="1:27">
      <c r="A365" s="20"/>
      <c r="B365" s="60"/>
      <c r="C365" s="60"/>
      <c r="D365" s="60"/>
      <c r="E365" s="60"/>
      <c r="F365" s="60"/>
      <c r="G365" s="60"/>
      <c r="H365" s="65" t="s">
        <v>117</v>
      </c>
      <c r="I365" s="21" t="s">
        <v>1403</v>
      </c>
      <c r="J365" s="26">
        <f>+COUNTIF('ID1&amp;5'!G:G,'1. Status'!I365)</f>
        <v>0</v>
      </c>
      <c r="K365" s="79" t="str">
        <f>+IFERROR(VLOOKUP(CONCATENATE(A365,$B$10,B365),'ID1&amp;5'!B:J,8,FALSE),"-")</f>
        <v>-</v>
      </c>
      <c r="L365" s="78" t="str">
        <f>+IFERROR(VLOOKUP(B365,'ID1&amp;5'!K:L,2,FALSE),"-")</f>
        <v>-</v>
      </c>
      <c r="M365" s="79" t="str">
        <f>+IFERROR(VLOOKUP(CONCATENATE(A365,$B$10,B365),'ID1&amp;5'!B:J,9,FALSE),"-")</f>
        <v>-</v>
      </c>
      <c r="N365" s="79" t="str">
        <f>+IFERROR(VLOOKUP(CONCATENATE(A365,$C$10,C365),'ID1&amp;5'!B:J,8,FALSE),"-")</f>
        <v>-</v>
      </c>
      <c r="O365" s="78" t="str">
        <f>+IFERROR(VLOOKUP(C365,'ID1&amp;5'!K:L,2,FALSE),"-")</f>
        <v>-</v>
      </c>
      <c r="P365" s="79" t="str">
        <f>+IFERROR(VLOOKUP(CONCATENATE(A365,$C$10,C365),'ID1&amp;5'!B:J,9,FALSE),"-")</f>
        <v>-</v>
      </c>
      <c r="Q365" s="78" t="str">
        <f>+IFERROR(VLOOKUP(D365,'ID1&amp;5'!K:L,2,FALSE),"-")</f>
        <v>-</v>
      </c>
      <c r="R365" s="26" t="str">
        <f>+IFERROR(VLOOKUP(CONCATENATE(A365,$D$10,D365),'ID1&amp;5'!B:J,9,FALSE),"-")</f>
        <v>-</v>
      </c>
      <c r="S365" s="78" t="str">
        <f>+IFERROR(VLOOKUP(E365,'ID1&amp;5'!K:L,2,FALSE),"-")</f>
        <v>-</v>
      </c>
      <c r="T365" s="79" t="str">
        <f>+IFERROR(VLOOKUP(CONCATENATE(A365,$E$10,E365),'ID1&amp;5'!B:J,9,FALSE),"-")</f>
        <v>-</v>
      </c>
      <c r="U365" s="78" t="str">
        <f>+IFERROR(VLOOKUP(F365,'ID1&amp;5'!K:L,2,FALSE),"-")</f>
        <v>-</v>
      </c>
      <c r="V365" s="79" t="str">
        <f>+IFERROR(VLOOKUP(CONCATENATE(A365,$F$10,F365),'ID1&amp;5'!B:J,9,FALSE),"-")</f>
        <v>-</v>
      </c>
      <c r="W365" s="26" t="str">
        <f>+IFERROR(VLOOKUP(A365,'ID6&amp;7'!A:I,9,FALSE),"-")</f>
        <v>-</v>
      </c>
      <c r="X365" s="26" t="str">
        <f>+IFERROR(VLOOKUP(A365,'ID6&amp;7'!A:J,10,FALSE),"-")</f>
        <v>-</v>
      </c>
      <c r="Y365" s="26"/>
      <c r="Z365" s="27" t="str">
        <f t="shared" si="6"/>
        <v>Por iniciar</v>
      </c>
      <c r="AA365" s="65"/>
    </row>
    <row r="366" spans="1:27">
      <c r="A366" s="20"/>
      <c r="B366" s="60"/>
      <c r="C366" s="60"/>
      <c r="D366" s="60"/>
      <c r="E366" s="60"/>
      <c r="F366" s="60"/>
      <c r="G366" s="60"/>
      <c r="H366" s="65" t="s">
        <v>117</v>
      </c>
      <c r="I366" s="21" t="s">
        <v>1404</v>
      </c>
      <c r="J366" s="26">
        <f>+COUNTIF('ID1&amp;5'!G:G,'1. Status'!I366)</f>
        <v>0</v>
      </c>
      <c r="K366" s="79" t="str">
        <f>+IFERROR(VLOOKUP(CONCATENATE(A366,$B$10,B366),'ID1&amp;5'!B:J,8,FALSE),"-")</f>
        <v>-</v>
      </c>
      <c r="L366" s="78" t="str">
        <f>+IFERROR(VLOOKUP(B366,'ID1&amp;5'!K:L,2,FALSE),"-")</f>
        <v>-</v>
      </c>
      <c r="M366" s="79" t="str">
        <f>+IFERROR(VLOOKUP(CONCATENATE(A366,$B$10,B366),'ID1&amp;5'!B:J,9,FALSE),"-")</f>
        <v>-</v>
      </c>
      <c r="N366" s="79" t="str">
        <f>+IFERROR(VLOOKUP(CONCATENATE(A366,$C$10,C366),'ID1&amp;5'!B:J,8,FALSE),"-")</f>
        <v>-</v>
      </c>
      <c r="O366" s="78" t="str">
        <f>+IFERROR(VLOOKUP(C366,'ID1&amp;5'!K:L,2,FALSE),"-")</f>
        <v>-</v>
      </c>
      <c r="P366" s="79" t="str">
        <f>+IFERROR(VLOOKUP(CONCATENATE(A366,$C$10,C366),'ID1&amp;5'!B:J,9,FALSE),"-")</f>
        <v>-</v>
      </c>
      <c r="Q366" s="78" t="str">
        <f>+IFERROR(VLOOKUP(D366,'ID1&amp;5'!K:L,2,FALSE),"-")</f>
        <v>-</v>
      </c>
      <c r="R366" s="26" t="str">
        <f>+IFERROR(VLOOKUP(CONCATENATE(A366,$D$10,D366),'ID1&amp;5'!B:J,9,FALSE),"-")</f>
        <v>-</v>
      </c>
      <c r="S366" s="78" t="str">
        <f>+IFERROR(VLOOKUP(E366,'ID1&amp;5'!K:L,2,FALSE),"-")</f>
        <v>-</v>
      </c>
      <c r="T366" s="79" t="str">
        <f>+IFERROR(VLOOKUP(CONCATENATE(A366,$E$10,E366),'ID1&amp;5'!B:J,9,FALSE),"-")</f>
        <v>-</v>
      </c>
      <c r="U366" s="78" t="str">
        <f>+IFERROR(VLOOKUP(F366,'ID1&amp;5'!K:L,2,FALSE),"-")</f>
        <v>-</v>
      </c>
      <c r="V366" s="79" t="str">
        <f>+IFERROR(VLOOKUP(CONCATENATE(A366,$F$10,F366),'ID1&amp;5'!B:J,9,FALSE),"-")</f>
        <v>-</v>
      </c>
      <c r="W366" s="26" t="str">
        <f>+IFERROR(VLOOKUP(A366,'ID6&amp;7'!A:I,9,FALSE),"-")</f>
        <v>-</v>
      </c>
      <c r="X366" s="26" t="str">
        <f>+IFERROR(VLOOKUP(A366,'ID6&amp;7'!A:J,10,FALSE),"-")</f>
        <v>-</v>
      </c>
      <c r="Y366" s="26"/>
      <c r="Z366" s="27" t="str">
        <f t="shared" si="6"/>
        <v>Por iniciar</v>
      </c>
      <c r="AA366" s="65"/>
    </row>
    <row r="367" spans="1:27">
      <c r="A367" s="20"/>
      <c r="B367" s="60"/>
      <c r="C367" s="60"/>
      <c r="D367" s="60"/>
      <c r="E367" s="60"/>
      <c r="F367" s="60"/>
      <c r="G367" s="60"/>
      <c r="H367" s="65" t="s">
        <v>117</v>
      </c>
      <c r="I367" s="21" t="s">
        <v>1146</v>
      </c>
      <c r="J367" s="26">
        <f>+COUNTIF('ID1&amp;5'!G:G,'1. Status'!I367)</f>
        <v>0</v>
      </c>
      <c r="K367" s="79" t="str">
        <f>+IFERROR(VLOOKUP(CONCATENATE(A367,$B$10,B367),'ID1&amp;5'!B:J,8,FALSE),"-")</f>
        <v>-</v>
      </c>
      <c r="L367" s="78" t="str">
        <f>+IFERROR(VLOOKUP(B367,'ID1&amp;5'!K:L,2,FALSE),"-")</f>
        <v>-</v>
      </c>
      <c r="M367" s="79" t="str">
        <f>+IFERROR(VLOOKUP(CONCATENATE(A367,$B$10,B367),'ID1&amp;5'!B:J,9,FALSE),"-")</f>
        <v>-</v>
      </c>
      <c r="N367" s="79" t="str">
        <f>+IFERROR(VLOOKUP(CONCATENATE(A367,$C$10,C367),'ID1&amp;5'!B:J,8,FALSE),"-")</f>
        <v>-</v>
      </c>
      <c r="O367" s="78" t="str">
        <f>+IFERROR(VLOOKUP(C367,'ID1&amp;5'!K:L,2,FALSE),"-")</f>
        <v>-</v>
      </c>
      <c r="P367" s="79" t="str">
        <f>+IFERROR(VLOOKUP(CONCATENATE(A367,$C$10,C367),'ID1&amp;5'!B:J,9,FALSE),"-")</f>
        <v>-</v>
      </c>
      <c r="Q367" s="78" t="str">
        <f>+IFERROR(VLOOKUP(D367,'ID1&amp;5'!K:L,2,FALSE),"-")</f>
        <v>-</v>
      </c>
      <c r="R367" s="26" t="str">
        <f>+IFERROR(VLOOKUP(CONCATENATE(A367,$D$10,D367),'ID1&amp;5'!B:J,9,FALSE),"-")</f>
        <v>-</v>
      </c>
      <c r="S367" s="78" t="str">
        <f>+IFERROR(VLOOKUP(E367,'ID1&amp;5'!K:L,2,FALSE),"-")</f>
        <v>-</v>
      </c>
      <c r="T367" s="79" t="str">
        <f>+IFERROR(VLOOKUP(CONCATENATE(A367,$E$10,E367),'ID1&amp;5'!B:J,9,FALSE),"-")</f>
        <v>-</v>
      </c>
      <c r="U367" s="78" t="str">
        <f>+IFERROR(VLOOKUP(F367,'ID1&amp;5'!K:L,2,FALSE),"-")</f>
        <v>-</v>
      </c>
      <c r="V367" s="79" t="str">
        <f>+IFERROR(VLOOKUP(CONCATENATE(A367,$F$10,F367),'ID1&amp;5'!B:J,9,FALSE),"-")</f>
        <v>-</v>
      </c>
      <c r="W367" s="26" t="str">
        <f>+IFERROR(VLOOKUP(A367,'ID6&amp;7'!A:I,9,FALSE),"-")</f>
        <v>-</v>
      </c>
      <c r="X367" s="26" t="str">
        <f>+IFERROR(VLOOKUP(A367,'ID6&amp;7'!A:J,10,FALSE),"-")</f>
        <v>-</v>
      </c>
      <c r="Y367" s="26"/>
      <c r="Z367" s="27" t="str">
        <f t="shared" si="6"/>
        <v>Por iniciar</v>
      </c>
      <c r="AA367" s="65"/>
    </row>
    <row r="368" spans="1:27">
      <c r="A368" s="20"/>
      <c r="B368" s="60"/>
      <c r="C368" s="60"/>
      <c r="D368" s="60"/>
      <c r="E368" s="60"/>
      <c r="F368" s="60"/>
      <c r="G368" s="60"/>
      <c r="H368" s="65" t="s">
        <v>117</v>
      </c>
      <c r="I368" s="21" t="s">
        <v>1405</v>
      </c>
      <c r="J368" s="26">
        <f>+COUNTIF('ID1&amp;5'!G:G,'1. Status'!I368)</f>
        <v>0</v>
      </c>
      <c r="K368" s="79" t="str">
        <f>+IFERROR(VLOOKUP(CONCATENATE(A368,$B$10,B368),'ID1&amp;5'!B:J,8,FALSE),"-")</f>
        <v>-</v>
      </c>
      <c r="L368" s="78" t="str">
        <f>+IFERROR(VLOOKUP(B368,'ID1&amp;5'!K:L,2,FALSE),"-")</f>
        <v>-</v>
      </c>
      <c r="M368" s="79" t="str">
        <f>+IFERROR(VLOOKUP(CONCATENATE(A368,$B$10,B368),'ID1&amp;5'!B:J,9,FALSE),"-")</f>
        <v>-</v>
      </c>
      <c r="N368" s="79" t="str">
        <f>+IFERROR(VLOOKUP(CONCATENATE(A368,$C$10,C368),'ID1&amp;5'!B:J,8,FALSE),"-")</f>
        <v>-</v>
      </c>
      <c r="O368" s="78" t="str">
        <f>+IFERROR(VLOOKUP(C368,'ID1&amp;5'!K:L,2,FALSE),"-")</f>
        <v>-</v>
      </c>
      <c r="P368" s="79" t="str">
        <f>+IFERROR(VLOOKUP(CONCATENATE(A368,$C$10,C368),'ID1&amp;5'!B:J,9,FALSE),"-")</f>
        <v>-</v>
      </c>
      <c r="Q368" s="78" t="str">
        <f>+IFERROR(VLOOKUP(D368,'ID1&amp;5'!K:L,2,FALSE),"-")</f>
        <v>-</v>
      </c>
      <c r="R368" s="26" t="str">
        <f>+IFERROR(VLOOKUP(CONCATENATE(A368,$D$10,D368),'ID1&amp;5'!B:J,9,FALSE),"-")</f>
        <v>-</v>
      </c>
      <c r="S368" s="78" t="str">
        <f>+IFERROR(VLOOKUP(E368,'ID1&amp;5'!K:L,2,FALSE),"-")</f>
        <v>-</v>
      </c>
      <c r="T368" s="79" t="str">
        <f>+IFERROR(VLOOKUP(CONCATENATE(A368,$E$10,E368),'ID1&amp;5'!B:J,9,FALSE),"-")</f>
        <v>-</v>
      </c>
      <c r="U368" s="78" t="str">
        <f>+IFERROR(VLOOKUP(F368,'ID1&amp;5'!K:L,2,FALSE),"-")</f>
        <v>-</v>
      </c>
      <c r="V368" s="79" t="str">
        <f>+IFERROR(VLOOKUP(CONCATENATE(A368,$F$10,F368),'ID1&amp;5'!B:J,9,FALSE),"-")</f>
        <v>-</v>
      </c>
      <c r="W368" s="26" t="str">
        <f>+IFERROR(VLOOKUP(A368,'ID6&amp;7'!A:I,9,FALSE),"-")</f>
        <v>-</v>
      </c>
      <c r="X368" s="26" t="str">
        <f>+IFERROR(VLOOKUP(A368,'ID6&amp;7'!A:J,10,FALSE),"-")</f>
        <v>-</v>
      </c>
      <c r="Y368" s="26"/>
      <c r="Z368" s="27" t="str">
        <f t="shared" si="6"/>
        <v>Por iniciar</v>
      </c>
      <c r="AA368" s="65"/>
    </row>
    <row r="369" spans="1:27">
      <c r="A369" s="20"/>
      <c r="B369" s="60"/>
      <c r="C369" s="60"/>
      <c r="D369" s="60"/>
      <c r="E369" s="60"/>
      <c r="F369" s="60"/>
      <c r="G369" s="60"/>
      <c r="H369" s="65" t="s">
        <v>117</v>
      </c>
      <c r="I369" s="21" t="s">
        <v>1406</v>
      </c>
      <c r="J369" s="26">
        <f>+COUNTIF('ID1&amp;5'!G:G,'1. Status'!I369)</f>
        <v>0</v>
      </c>
      <c r="K369" s="79" t="str">
        <f>+IFERROR(VLOOKUP(CONCATENATE(A369,$B$10,B369),'ID1&amp;5'!B:J,8,FALSE),"-")</f>
        <v>-</v>
      </c>
      <c r="L369" s="78" t="str">
        <f>+IFERROR(VLOOKUP(B369,'ID1&amp;5'!K:L,2,FALSE),"-")</f>
        <v>-</v>
      </c>
      <c r="M369" s="79" t="str">
        <f>+IFERROR(VLOOKUP(CONCATENATE(A369,$B$10,B369),'ID1&amp;5'!B:J,9,FALSE),"-")</f>
        <v>-</v>
      </c>
      <c r="N369" s="79" t="str">
        <f>+IFERROR(VLOOKUP(CONCATENATE(A369,$C$10,C369),'ID1&amp;5'!B:J,8,FALSE),"-")</f>
        <v>-</v>
      </c>
      <c r="O369" s="78" t="str">
        <f>+IFERROR(VLOOKUP(C369,'ID1&amp;5'!K:L,2,FALSE),"-")</f>
        <v>-</v>
      </c>
      <c r="P369" s="79" t="str">
        <f>+IFERROR(VLOOKUP(CONCATENATE(A369,$C$10,C369),'ID1&amp;5'!B:J,9,FALSE),"-")</f>
        <v>-</v>
      </c>
      <c r="Q369" s="78" t="str">
        <f>+IFERROR(VLOOKUP(D369,'ID1&amp;5'!K:L,2,FALSE),"-")</f>
        <v>-</v>
      </c>
      <c r="R369" s="26" t="str">
        <f>+IFERROR(VLOOKUP(CONCATENATE(A369,$D$10,D369),'ID1&amp;5'!B:J,9,FALSE),"-")</f>
        <v>-</v>
      </c>
      <c r="S369" s="78" t="str">
        <f>+IFERROR(VLOOKUP(E369,'ID1&amp;5'!K:L,2,FALSE),"-")</f>
        <v>-</v>
      </c>
      <c r="T369" s="79" t="str">
        <f>+IFERROR(VLOOKUP(CONCATENATE(A369,$E$10,E369),'ID1&amp;5'!B:J,9,FALSE),"-")</f>
        <v>-</v>
      </c>
      <c r="U369" s="78" t="str">
        <f>+IFERROR(VLOOKUP(F369,'ID1&amp;5'!K:L,2,FALSE),"-")</f>
        <v>-</v>
      </c>
      <c r="V369" s="79" t="str">
        <f>+IFERROR(VLOOKUP(CONCATENATE(A369,$F$10,F369),'ID1&amp;5'!B:J,9,FALSE),"-")</f>
        <v>-</v>
      </c>
      <c r="W369" s="26" t="str">
        <f>+IFERROR(VLOOKUP(A369,'ID6&amp;7'!A:I,9,FALSE),"-")</f>
        <v>-</v>
      </c>
      <c r="X369" s="26" t="str">
        <f>+IFERROR(VLOOKUP(A369,'ID6&amp;7'!A:J,10,FALSE),"-")</f>
        <v>-</v>
      </c>
      <c r="Y369" s="26"/>
      <c r="Z369" s="27" t="str">
        <f t="shared" si="6"/>
        <v>Por iniciar</v>
      </c>
      <c r="AA369" s="65"/>
    </row>
    <row r="370" spans="1:27">
      <c r="A370" s="20"/>
      <c r="B370" s="60"/>
      <c r="C370" s="60"/>
      <c r="D370" s="60"/>
      <c r="E370" s="60"/>
      <c r="F370" s="60"/>
      <c r="G370" s="60"/>
      <c r="H370" s="65" t="s">
        <v>117</v>
      </c>
      <c r="I370" s="21" t="s">
        <v>1407</v>
      </c>
      <c r="J370" s="26">
        <f>+COUNTIF('ID1&amp;5'!G:G,'1. Status'!I370)</f>
        <v>0</v>
      </c>
      <c r="K370" s="79" t="str">
        <f>+IFERROR(VLOOKUP(CONCATENATE(A370,$B$10,B370),'ID1&amp;5'!B:J,8,FALSE),"-")</f>
        <v>-</v>
      </c>
      <c r="L370" s="78" t="str">
        <f>+IFERROR(VLOOKUP(B370,'ID1&amp;5'!K:L,2,FALSE),"-")</f>
        <v>-</v>
      </c>
      <c r="M370" s="79" t="str">
        <f>+IFERROR(VLOOKUP(CONCATENATE(A370,$B$10,B370),'ID1&amp;5'!B:J,9,FALSE),"-")</f>
        <v>-</v>
      </c>
      <c r="N370" s="79" t="str">
        <f>+IFERROR(VLOOKUP(CONCATENATE(A370,$C$10,C370),'ID1&amp;5'!B:J,8,FALSE),"-")</f>
        <v>-</v>
      </c>
      <c r="O370" s="78" t="str">
        <f>+IFERROR(VLOOKUP(C370,'ID1&amp;5'!K:L,2,FALSE),"-")</f>
        <v>-</v>
      </c>
      <c r="P370" s="79" t="str">
        <f>+IFERROR(VLOOKUP(CONCATENATE(A370,$C$10,C370),'ID1&amp;5'!B:J,9,FALSE),"-")</f>
        <v>-</v>
      </c>
      <c r="Q370" s="78" t="str">
        <f>+IFERROR(VLOOKUP(D370,'ID1&amp;5'!K:L,2,FALSE),"-")</f>
        <v>-</v>
      </c>
      <c r="R370" s="26" t="str">
        <f>+IFERROR(VLOOKUP(CONCATENATE(A370,$D$10,D370),'ID1&amp;5'!B:J,9,FALSE),"-")</f>
        <v>-</v>
      </c>
      <c r="S370" s="78" t="str">
        <f>+IFERROR(VLOOKUP(E370,'ID1&amp;5'!K:L,2,FALSE),"-")</f>
        <v>-</v>
      </c>
      <c r="T370" s="79" t="str">
        <f>+IFERROR(VLOOKUP(CONCATENATE(A370,$E$10,E370),'ID1&amp;5'!B:J,9,FALSE),"-")</f>
        <v>-</v>
      </c>
      <c r="U370" s="78" t="str">
        <f>+IFERROR(VLOOKUP(F370,'ID1&amp;5'!K:L,2,FALSE),"-")</f>
        <v>-</v>
      </c>
      <c r="V370" s="79" t="str">
        <f>+IFERROR(VLOOKUP(CONCATENATE(A370,$F$10,F370),'ID1&amp;5'!B:J,9,FALSE),"-")</f>
        <v>-</v>
      </c>
      <c r="W370" s="26" t="str">
        <f>+IFERROR(VLOOKUP(A370,'ID6&amp;7'!A:I,9,FALSE),"-")</f>
        <v>-</v>
      </c>
      <c r="X370" s="26" t="str">
        <f>+IFERROR(VLOOKUP(A370,'ID6&amp;7'!A:J,10,FALSE),"-")</f>
        <v>-</v>
      </c>
      <c r="Y370" s="26"/>
      <c r="Z370" s="27" t="str">
        <f t="shared" si="6"/>
        <v>Por iniciar</v>
      </c>
      <c r="AA370" s="65"/>
    </row>
    <row r="371" spans="1:27">
      <c r="A371" s="20"/>
      <c r="B371" s="60"/>
      <c r="C371" s="60"/>
      <c r="D371" s="60"/>
      <c r="E371" s="60"/>
      <c r="F371" s="60"/>
      <c r="G371" s="60"/>
      <c r="H371" s="65" t="s">
        <v>117</v>
      </c>
      <c r="I371" s="21" t="s">
        <v>1408</v>
      </c>
      <c r="J371" s="26">
        <f>+COUNTIF('ID1&amp;5'!G:G,'1. Status'!I371)</f>
        <v>0</v>
      </c>
      <c r="K371" s="79" t="str">
        <f>+IFERROR(VLOOKUP(CONCATENATE(A371,$B$10,B371),'ID1&amp;5'!B:J,8,FALSE),"-")</f>
        <v>-</v>
      </c>
      <c r="L371" s="78" t="str">
        <f>+IFERROR(VLOOKUP(B371,'ID1&amp;5'!K:L,2,FALSE),"-")</f>
        <v>-</v>
      </c>
      <c r="M371" s="79" t="str">
        <f>+IFERROR(VLOOKUP(CONCATENATE(A371,$B$10,B371),'ID1&amp;5'!B:J,9,FALSE),"-")</f>
        <v>-</v>
      </c>
      <c r="N371" s="79" t="str">
        <f>+IFERROR(VLOOKUP(CONCATENATE(A371,$C$10,C371),'ID1&amp;5'!B:J,8,FALSE),"-")</f>
        <v>-</v>
      </c>
      <c r="O371" s="78" t="str">
        <f>+IFERROR(VLOOKUP(C371,'ID1&amp;5'!K:L,2,FALSE),"-")</f>
        <v>-</v>
      </c>
      <c r="P371" s="79" t="str">
        <f>+IFERROR(VLOOKUP(CONCATENATE(A371,$C$10,C371),'ID1&amp;5'!B:J,9,FALSE),"-")</f>
        <v>-</v>
      </c>
      <c r="Q371" s="78" t="str">
        <f>+IFERROR(VLOOKUP(D371,'ID1&amp;5'!K:L,2,FALSE),"-")</f>
        <v>-</v>
      </c>
      <c r="R371" s="26" t="str">
        <f>+IFERROR(VLOOKUP(CONCATENATE(A371,$D$10,D371),'ID1&amp;5'!B:J,9,FALSE),"-")</f>
        <v>-</v>
      </c>
      <c r="S371" s="78" t="str">
        <f>+IFERROR(VLOOKUP(E371,'ID1&amp;5'!K:L,2,FALSE),"-")</f>
        <v>-</v>
      </c>
      <c r="T371" s="79" t="str">
        <f>+IFERROR(VLOOKUP(CONCATENATE(A371,$E$10,E371),'ID1&amp;5'!B:J,9,FALSE),"-")</f>
        <v>-</v>
      </c>
      <c r="U371" s="78" t="str">
        <f>+IFERROR(VLOOKUP(F371,'ID1&amp;5'!K:L,2,FALSE),"-")</f>
        <v>-</v>
      </c>
      <c r="V371" s="79" t="str">
        <f>+IFERROR(VLOOKUP(CONCATENATE(A371,$F$10,F371),'ID1&amp;5'!B:J,9,FALSE),"-")</f>
        <v>-</v>
      </c>
      <c r="W371" s="26" t="str">
        <f>+IFERROR(VLOOKUP(A371,'ID6&amp;7'!A:I,9,FALSE),"-")</f>
        <v>-</v>
      </c>
      <c r="X371" s="26" t="str">
        <f>+IFERROR(VLOOKUP(A371,'ID6&amp;7'!A:J,10,FALSE),"-")</f>
        <v>-</v>
      </c>
      <c r="Y371" s="26"/>
      <c r="Z371" s="27" t="str">
        <f t="shared" si="6"/>
        <v>Por iniciar</v>
      </c>
      <c r="AA371" s="65"/>
    </row>
    <row r="372" spans="1:27">
      <c r="A372" s="20"/>
      <c r="B372" s="60"/>
      <c r="C372" s="60"/>
      <c r="D372" s="60"/>
      <c r="E372" s="60"/>
      <c r="F372" s="60"/>
      <c r="G372" s="60"/>
      <c r="H372" s="65" t="s">
        <v>117</v>
      </c>
      <c r="I372" s="21" t="s">
        <v>1409</v>
      </c>
      <c r="J372" s="26">
        <f>+COUNTIF('ID1&amp;5'!G:G,'1. Status'!I372)</f>
        <v>0</v>
      </c>
      <c r="K372" s="79" t="str">
        <f>+IFERROR(VLOOKUP(CONCATENATE(A372,$B$10,B372),'ID1&amp;5'!B:J,8,FALSE),"-")</f>
        <v>-</v>
      </c>
      <c r="L372" s="78" t="str">
        <f>+IFERROR(VLOOKUP(B372,'ID1&amp;5'!K:L,2,FALSE),"-")</f>
        <v>-</v>
      </c>
      <c r="M372" s="79" t="str">
        <f>+IFERROR(VLOOKUP(CONCATENATE(A372,$B$10,B372),'ID1&amp;5'!B:J,9,FALSE),"-")</f>
        <v>-</v>
      </c>
      <c r="N372" s="79" t="str">
        <f>+IFERROR(VLOOKUP(CONCATENATE(A372,$C$10,C372),'ID1&amp;5'!B:J,8,FALSE),"-")</f>
        <v>-</v>
      </c>
      <c r="O372" s="78" t="str">
        <f>+IFERROR(VLOOKUP(C372,'ID1&amp;5'!K:L,2,FALSE),"-")</f>
        <v>-</v>
      </c>
      <c r="P372" s="79" t="str">
        <f>+IFERROR(VLOOKUP(CONCATENATE(A372,$C$10,C372),'ID1&amp;5'!B:J,9,FALSE),"-")</f>
        <v>-</v>
      </c>
      <c r="Q372" s="78" t="str">
        <f>+IFERROR(VLOOKUP(D372,'ID1&amp;5'!K:L,2,FALSE),"-")</f>
        <v>-</v>
      </c>
      <c r="R372" s="26" t="str">
        <f>+IFERROR(VLOOKUP(CONCATENATE(A372,$D$10,D372),'ID1&amp;5'!B:J,9,FALSE),"-")</f>
        <v>-</v>
      </c>
      <c r="S372" s="78" t="str">
        <f>+IFERROR(VLOOKUP(E372,'ID1&amp;5'!K:L,2,FALSE),"-")</f>
        <v>-</v>
      </c>
      <c r="T372" s="79" t="str">
        <f>+IFERROR(VLOOKUP(CONCATENATE(A372,$E$10,E372),'ID1&amp;5'!B:J,9,FALSE),"-")</f>
        <v>-</v>
      </c>
      <c r="U372" s="78" t="str">
        <f>+IFERROR(VLOOKUP(F372,'ID1&amp;5'!K:L,2,FALSE),"-")</f>
        <v>-</v>
      </c>
      <c r="V372" s="79" t="str">
        <f>+IFERROR(VLOOKUP(CONCATENATE(A372,$F$10,F372),'ID1&amp;5'!B:J,9,FALSE),"-")</f>
        <v>-</v>
      </c>
      <c r="W372" s="26" t="str">
        <f>+IFERROR(VLOOKUP(A372,'ID6&amp;7'!A:I,9,FALSE),"-")</f>
        <v>-</v>
      </c>
      <c r="X372" s="26" t="str">
        <f>+IFERROR(VLOOKUP(A372,'ID6&amp;7'!A:J,10,FALSE),"-")</f>
        <v>-</v>
      </c>
      <c r="Y372" s="26"/>
      <c r="Z372" s="27" t="str">
        <f t="shared" si="6"/>
        <v>Por iniciar</v>
      </c>
      <c r="AA372" s="65"/>
    </row>
    <row r="373" spans="1:27">
      <c r="A373" s="20"/>
      <c r="B373" s="60"/>
      <c r="C373" s="60"/>
      <c r="D373" s="60"/>
      <c r="E373" s="60"/>
      <c r="F373" s="60"/>
      <c r="G373" s="60"/>
      <c r="H373" s="65" t="s">
        <v>117</v>
      </c>
      <c r="I373" s="21" t="s">
        <v>1410</v>
      </c>
      <c r="J373" s="26">
        <f>+COUNTIF('ID1&amp;5'!G:G,'1. Status'!I373)</f>
        <v>0</v>
      </c>
      <c r="K373" s="79" t="str">
        <f>+IFERROR(VLOOKUP(CONCATENATE(A373,$B$10,B373),'ID1&amp;5'!B:J,8,FALSE),"-")</f>
        <v>-</v>
      </c>
      <c r="L373" s="78" t="str">
        <f>+IFERROR(VLOOKUP(B373,'ID1&amp;5'!K:L,2,FALSE),"-")</f>
        <v>-</v>
      </c>
      <c r="M373" s="79" t="str">
        <f>+IFERROR(VLOOKUP(CONCATENATE(A373,$B$10,B373),'ID1&amp;5'!B:J,9,FALSE),"-")</f>
        <v>-</v>
      </c>
      <c r="N373" s="79" t="str">
        <f>+IFERROR(VLOOKUP(CONCATENATE(A373,$C$10,C373),'ID1&amp;5'!B:J,8,FALSE),"-")</f>
        <v>-</v>
      </c>
      <c r="O373" s="78" t="str">
        <f>+IFERROR(VLOOKUP(C373,'ID1&amp;5'!K:L,2,FALSE),"-")</f>
        <v>-</v>
      </c>
      <c r="P373" s="79" t="str">
        <f>+IFERROR(VLOOKUP(CONCATENATE(A373,$C$10,C373),'ID1&amp;5'!B:J,9,FALSE),"-")</f>
        <v>-</v>
      </c>
      <c r="Q373" s="78" t="str">
        <f>+IFERROR(VLOOKUP(D373,'ID1&amp;5'!K:L,2,FALSE),"-")</f>
        <v>-</v>
      </c>
      <c r="R373" s="26" t="str">
        <f>+IFERROR(VLOOKUP(CONCATENATE(A373,$D$10,D373),'ID1&amp;5'!B:J,9,FALSE),"-")</f>
        <v>-</v>
      </c>
      <c r="S373" s="78" t="str">
        <f>+IFERROR(VLOOKUP(E373,'ID1&amp;5'!K:L,2,FALSE),"-")</f>
        <v>-</v>
      </c>
      <c r="T373" s="79" t="str">
        <f>+IFERROR(VLOOKUP(CONCATENATE(A373,$E$10,E373),'ID1&amp;5'!B:J,9,FALSE),"-")</f>
        <v>-</v>
      </c>
      <c r="U373" s="78" t="str">
        <f>+IFERROR(VLOOKUP(F373,'ID1&amp;5'!K:L,2,FALSE),"-")</f>
        <v>-</v>
      </c>
      <c r="V373" s="79" t="str">
        <f>+IFERROR(VLOOKUP(CONCATENATE(A373,$F$10,F373),'ID1&amp;5'!B:J,9,FALSE),"-")</f>
        <v>-</v>
      </c>
      <c r="W373" s="26" t="str">
        <f>+IFERROR(VLOOKUP(A373,'ID6&amp;7'!A:I,9,FALSE),"-")</f>
        <v>-</v>
      </c>
      <c r="X373" s="26" t="str">
        <f>+IFERROR(VLOOKUP(A373,'ID6&amp;7'!A:J,10,FALSE),"-")</f>
        <v>-</v>
      </c>
      <c r="Y373" s="26"/>
      <c r="Z373" s="27" t="str">
        <f t="shared" si="6"/>
        <v>Por iniciar</v>
      </c>
      <c r="AA373" s="65"/>
    </row>
    <row r="374" spans="1:27">
      <c r="A374" s="20"/>
      <c r="B374" s="60"/>
      <c r="C374" s="60"/>
      <c r="D374" s="60"/>
      <c r="E374" s="60"/>
      <c r="F374" s="60"/>
      <c r="G374" s="60"/>
      <c r="H374" s="65" t="s">
        <v>117</v>
      </c>
      <c r="I374" s="21" t="s">
        <v>1411</v>
      </c>
      <c r="J374" s="26">
        <f>+COUNTIF('ID1&amp;5'!G:G,'1. Status'!I374)</f>
        <v>0</v>
      </c>
      <c r="K374" s="79" t="str">
        <f>+IFERROR(VLOOKUP(CONCATENATE(A374,$B$10,B374),'ID1&amp;5'!B:J,8,FALSE),"-")</f>
        <v>-</v>
      </c>
      <c r="L374" s="78" t="str">
        <f>+IFERROR(VLOOKUP(B374,'ID1&amp;5'!K:L,2,FALSE),"-")</f>
        <v>-</v>
      </c>
      <c r="M374" s="79" t="str">
        <f>+IFERROR(VLOOKUP(CONCATENATE(A374,$B$10,B374),'ID1&amp;5'!B:J,9,FALSE),"-")</f>
        <v>-</v>
      </c>
      <c r="N374" s="79" t="str">
        <f>+IFERROR(VLOOKUP(CONCATENATE(A374,$C$10,C374),'ID1&amp;5'!B:J,8,FALSE),"-")</f>
        <v>-</v>
      </c>
      <c r="O374" s="78" t="str">
        <f>+IFERROR(VLOOKUP(C374,'ID1&amp;5'!K:L,2,FALSE),"-")</f>
        <v>-</v>
      </c>
      <c r="P374" s="79" t="str">
        <f>+IFERROR(VLOOKUP(CONCATENATE(A374,$C$10,C374),'ID1&amp;5'!B:J,9,FALSE),"-")</f>
        <v>-</v>
      </c>
      <c r="Q374" s="78" t="str">
        <f>+IFERROR(VLOOKUP(D374,'ID1&amp;5'!K:L,2,FALSE),"-")</f>
        <v>-</v>
      </c>
      <c r="R374" s="26" t="str">
        <f>+IFERROR(VLOOKUP(CONCATENATE(A374,$D$10,D374),'ID1&amp;5'!B:J,9,FALSE),"-")</f>
        <v>-</v>
      </c>
      <c r="S374" s="78" t="str">
        <f>+IFERROR(VLOOKUP(E374,'ID1&amp;5'!K:L,2,FALSE),"-")</f>
        <v>-</v>
      </c>
      <c r="T374" s="79" t="str">
        <f>+IFERROR(VLOOKUP(CONCATENATE(A374,$E$10,E374),'ID1&amp;5'!B:J,9,FALSE),"-")</f>
        <v>-</v>
      </c>
      <c r="U374" s="78" t="str">
        <f>+IFERROR(VLOOKUP(F374,'ID1&amp;5'!K:L,2,FALSE),"-")</f>
        <v>-</v>
      </c>
      <c r="V374" s="79" t="str">
        <f>+IFERROR(VLOOKUP(CONCATENATE(A374,$F$10,F374),'ID1&amp;5'!B:J,9,FALSE),"-")</f>
        <v>-</v>
      </c>
      <c r="W374" s="26" t="str">
        <f>+IFERROR(VLOOKUP(A374,'ID6&amp;7'!A:I,9,FALSE),"-")</f>
        <v>-</v>
      </c>
      <c r="X374" s="26" t="str">
        <f>+IFERROR(VLOOKUP(A374,'ID6&amp;7'!A:J,10,FALSE),"-")</f>
        <v>-</v>
      </c>
      <c r="Y374" s="26"/>
      <c r="Z374" s="27" t="str">
        <f t="shared" si="6"/>
        <v>Por iniciar</v>
      </c>
      <c r="AA374" s="65"/>
    </row>
    <row r="375" spans="1:27">
      <c r="A375" s="20"/>
      <c r="B375" s="60"/>
      <c r="C375" s="60"/>
      <c r="D375" s="60"/>
      <c r="E375" s="60"/>
      <c r="F375" s="60"/>
      <c r="G375" s="60"/>
      <c r="H375" s="65" t="s">
        <v>117</v>
      </c>
      <c r="I375" s="21" t="s">
        <v>1412</v>
      </c>
      <c r="J375" s="26">
        <f>+COUNTIF('ID1&amp;5'!G:G,'1. Status'!I375)</f>
        <v>0</v>
      </c>
      <c r="K375" s="79" t="str">
        <f>+IFERROR(VLOOKUP(CONCATENATE(A375,$B$10,B375),'ID1&amp;5'!B:J,8,FALSE),"-")</f>
        <v>-</v>
      </c>
      <c r="L375" s="78" t="str">
        <f>+IFERROR(VLOOKUP(B375,'ID1&amp;5'!K:L,2,FALSE),"-")</f>
        <v>-</v>
      </c>
      <c r="M375" s="79" t="str">
        <f>+IFERROR(VLOOKUP(CONCATENATE(A375,$B$10,B375),'ID1&amp;5'!B:J,9,FALSE),"-")</f>
        <v>-</v>
      </c>
      <c r="N375" s="79" t="str">
        <f>+IFERROR(VLOOKUP(CONCATENATE(A375,$C$10,C375),'ID1&amp;5'!B:J,8,FALSE),"-")</f>
        <v>-</v>
      </c>
      <c r="O375" s="78" t="str">
        <f>+IFERROR(VLOOKUP(C375,'ID1&amp;5'!K:L,2,FALSE),"-")</f>
        <v>-</v>
      </c>
      <c r="P375" s="79" t="str">
        <f>+IFERROR(VLOOKUP(CONCATENATE(A375,$C$10,C375),'ID1&amp;5'!B:J,9,FALSE),"-")</f>
        <v>-</v>
      </c>
      <c r="Q375" s="78" t="str">
        <f>+IFERROR(VLOOKUP(D375,'ID1&amp;5'!K:L,2,FALSE),"-")</f>
        <v>-</v>
      </c>
      <c r="R375" s="26" t="str">
        <f>+IFERROR(VLOOKUP(CONCATENATE(A375,$D$10,D375),'ID1&amp;5'!B:J,9,FALSE),"-")</f>
        <v>-</v>
      </c>
      <c r="S375" s="78" t="str">
        <f>+IFERROR(VLOOKUP(E375,'ID1&amp;5'!K:L,2,FALSE),"-")</f>
        <v>-</v>
      </c>
      <c r="T375" s="79" t="str">
        <f>+IFERROR(VLOOKUP(CONCATENATE(A375,$E$10,E375),'ID1&amp;5'!B:J,9,FALSE),"-")</f>
        <v>-</v>
      </c>
      <c r="U375" s="78" t="str">
        <f>+IFERROR(VLOOKUP(F375,'ID1&amp;5'!K:L,2,FALSE),"-")</f>
        <v>-</v>
      </c>
      <c r="V375" s="79" t="str">
        <f>+IFERROR(VLOOKUP(CONCATENATE(A375,$F$10,F375),'ID1&amp;5'!B:J,9,FALSE),"-")</f>
        <v>-</v>
      </c>
      <c r="W375" s="26" t="str">
        <f>+IFERROR(VLOOKUP(A375,'ID6&amp;7'!A:I,9,FALSE),"-")</f>
        <v>-</v>
      </c>
      <c r="X375" s="26" t="str">
        <f>+IFERROR(VLOOKUP(A375,'ID6&amp;7'!A:J,10,FALSE),"-")</f>
        <v>-</v>
      </c>
      <c r="Y375" s="26"/>
      <c r="Z375" s="27" t="str">
        <f t="shared" si="6"/>
        <v>Por iniciar</v>
      </c>
      <c r="AA375" s="65"/>
    </row>
    <row r="376" spans="1:27">
      <c r="A376" s="20"/>
      <c r="B376" s="60"/>
      <c r="C376" s="60"/>
      <c r="D376" s="60"/>
      <c r="E376" s="60"/>
      <c r="F376" s="60"/>
      <c r="G376" s="60"/>
      <c r="H376" s="65" t="s">
        <v>117</v>
      </c>
      <c r="I376" s="21" t="s">
        <v>1413</v>
      </c>
      <c r="J376" s="26">
        <f>+COUNTIF('ID1&amp;5'!G:G,'1. Status'!I376)</f>
        <v>0</v>
      </c>
      <c r="K376" s="79" t="str">
        <f>+IFERROR(VLOOKUP(CONCATENATE(A376,$B$10,B376),'ID1&amp;5'!B:J,8,FALSE),"-")</f>
        <v>-</v>
      </c>
      <c r="L376" s="78" t="str">
        <f>+IFERROR(VLOOKUP(B376,'ID1&amp;5'!K:L,2,FALSE),"-")</f>
        <v>-</v>
      </c>
      <c r="M376" s="79" t="str">
        <f>+IFERROR(VLOOKUP(CONCATENATE(A376,$B$10,B376),'ID1&amp;5'!B:J,9,FALSE),"-")</f>
        <v>-</v>
      </c>
      <c r="N376" s="79" t="str">
        <f>+IFERROR(VLOOKUP(CONCATENATE(A376,$C$10,C376),'ID1&amp;5'!B:J,8,FALSE),"-")</f>
        <v>-</v>
      </c>
      <c r="O376" s="78" t="str">
        <f>+IFERROR(VLOOKUP(C376,'ID1&amp;5'!K:L,2,FALSE),"-")</f>
        <v>-</v>
      </c>
      <c r="P376" s="79" t="str">
        <f>+IFERROR(VLOOKUP(CONCATENATE(A376,$C$10,C376),'ID1&amp;5'!B:J,9,FALSE),"-")</f>
        <v>-</v>
      </c>
      <c r="Q376" s="78" t="str">
        <f>+IFERROR(VLOOKUP(D376,'ID1&amp;5'!K:L,2,FALSE),"-")</f>
        <v>-</v>
      </c>
      <c r="R376" s="26" t="str">
        <f>+IFERROR(VLOOKUP(CONCATENATE(A376,$D$10,D376),'ID1&amp;5'!B:J,9,FALSE),"-")</f>
        <v>-</v>
      </c>
      <c r="S376" s="78" t="str">
        <f>+IFERROR(VLOOKUP(E376,'ID1&amp;5'!K:L,2,FALSE),"-")</f>
        <v>-</v>
      </c>
      <c r="T376" s="79" t="str">
        <f>+IFERROR(VLOOKUP(CONCATENATE(A376,$E$10,E376),'ID1&amp;5'!B:J,9,FALSE),"-")</f>
        <v>-</v>
      </c>
      <c r="U376" s="78" t="str">
        <f>+IFERROR(VLOOKUP(F376,'ID1&amp;5'!K:L,2,FALSE),"-")</f>
        <v>-</v>
      </c>
      <c r="V376" s="79" t="str">
        <f>+IFERROR(VLOOKUP(CONCATENATE(A376,$F$10,F376),'ID1&amp;5'!B:J,9,FALSE),"-")</f>
        <v>-</v>
      </c>
      <c r="W376" s="26" t="str">
        <f>+IFERROR(VLOOKUP(A376,'ID6&amp;7'!A:I,9,FALSE),"-")</f>
        <v>-</v>
      </c>
      <c r="X376" s="26" t="str">
        <f>+IFERROR(VLOOKUP(A376,'ID6&amp;7'!A:J,10,FALSE),"-")</f>
        <v>-</v>
      </c>
      <c r="Y376" s="26"/>
      <c r="Z376" s="27" t="str">
        <f t="shared" si="6"/>
        <v>Por iniciar</v>
      </c>
      <c r="AA376" s="65"/>
    </row>
    <row r="377" spans="1:27">
      <c r="A377" s="20"/>
      <c r="B377" s="60"/>
      <c r="C377" s="60"/>
      <c r="D377" s="60"/>
      <c r="E377" s="60"/>
      <c r="F377" s="60"/>
      <c r="G377" s="60"/>
      <c r="H377" s="65" t="s">
        <v>117</v>
      </c>
      <c r="I377" s="21" t="s">
        <v>1414</v>
      </c>
      <c r="J377" s="26">
        <f>+COUNTIF('ID1&amp;5'!G:G,'1. Status'!I377)</f>
        <v>0</v>
      </c>
      <c r="K377" s="79" t="str">
        <f>+IFERROR(VLOOKUP(CONCATENATE(A377,$B$10,B377),'ID1&amp;5'!B:J,8,FALSE),"-")</f>
        <v>-</v>
      </c>
      <c r="L377" s="78" t="str">
        <f>+IFERROR(VLOOKUP(B377,'ID1&amp;5'!K:L,2,FALSE),"-")</f>
        <v>-</v>
      </c>
      <c r="M377" s="79" t="str">
        <f>+IFERROR(VLOOKUP(CONCATENATE(A377,$B$10,B377),'ID1&amp;5'!B:J,9,FALSE),"-")</f>
        <v>-</v>
      </c>
      <c r="N377" s="79" t="str">
        <f>+IFERROR(VLOOKUP(CONCATENATE(A377,$C$10,C377),'ID1&amp;5'!B:J,8,FALSE),"-")</f>
        <v>-</v>
      </c>
      <c r="O377" s="78" t="str">
        <f>+IFERROR(VLOOKUP(C377,'ID1&amp;5'!K:L,2,FALSE),"-")</f>
        <v>-</v>
      </c>
      <c r="P377" s="79" t="str">
        <f>+IFERROR(VLOOKUP(CONCATENATE(A377,$C$10,C377),'ID1&amp;5'!B:J,9,FALSE),"-")</f>
        <v>-</v>
      </c>
      <c r="Q377" s="78" t="str">
        <f>+IFERROR(VLOOKUP(D377,'ID1&amp;5'!K:L,2,FALSE),"-")</f>
        <v>-</v>
      </c>
      <c r="R377" s="26" t="str">
        <f>+IFERROR(VLOOKUP(CONCATENATE(A377,$D$10,D377),'ID1&amp;5'!B:J,9,FALSE),"-")</f>
        <v>-</v>
      </c>
      <c r="S377" s="78" t="str">
        <f>+IFERROR(VLOOKUP(E377,'ID1&amp;5'!K:L,2,FALSE),"-")</f>
        <v>-</v>
      </c>
      <c r="T377" s="79" t="str">
        <f>+IFERROR(VLOOKUP(CONCATENATE(A377,$E$10,E377),'ID1&amp;5'!B:J,9,FALSE),"-")</f>
        <v>-</v>
      </c>
      <c r="U377" s="78" t="str">
        <f>+IFERROR(VLOOKUP(F377,'ID1&amp;5'!K:L,2,FALSE),"-")</f>
        <v>-</v>
      </c>
      <c r="V377" s="79" t="str">
        <f>+IFERROR(VLOOKUP(CONCATENATE(A377,$F$10,F377),'ID1&amp;5'!B:J,9,FALSE),"-")</f>
        <v>-</v>
      </c>
      <c r="W377" s="26" t="str">
        <f>+IFERROR(VLOOKUP(A377,'ID6&amp;7'!A:I,9,FALSE),"-")</f>
        <v>-</v>
      </c>
      <c r="X377" s="26" t="str">
        <f>+IFERROR(VLOOKUP(A377,'ID6&amp;7'!A:J,10,FALSE),"-")</f>
        <v>-</v>
      </c>
      <c r="Y377" s="26"/>
      <c r="Z377" s="27" t="str">
        <f t="shared" si="6"/>
        <v>Por iniciar</v>
      </c>
      <c r="AA377" s="65"/>
    </row>
    <row r="378" spans="1:27">
      <c r="A378" s="20"/>
      <c r="B378" s="60"/>
      <c r="C378" s="60"/>
      <c r="D378" s="60"/>
      <c r="E378" s="60"/>
      <c r="F378" s="60"/>
      <c r="G378" s="60"/>
      <c r="H378" s="65" t="s">
        <v>118</v>
      </c>
      <c r="I378" s="21" t="s">
        <v>662</v>
      </c>
      <c r="J378" s="26">
        <f>+COUNTIF('ID1&amp;5'!G:G,'1. Status'!I378)</f>
        <v>0</v>
      </c>
      <c r="K378" s="79" t="str">
        <f>+IFERROR(VLOOKUP(CONCATENATE(A378,$B$10,B378),'ID1&amp;5'!B:J,8,FALSE),"-")</f>
        <v>-</v>
      </c>
      <c r="L378" s="78" t="str">
        <f>+IFERROR(VLOOKUP(B378,'ID1&amp;5'!K:L,2,FALSE),"-")</f>
        <v>-</v>
      </c>
      <c r="M378" s="79" t="str">
        <f>+IFERROR(VLOOKUP(CONCATENATE(A378,$B$10,B378),'ID1&amp;5'!B:J,9,FALSE),"-")</f>
        <v>-</v>
      </c>
      <c r="N378" s="79" t="str">
        <f>+IFERROR(VLOOKUP(CONCATENATE(A378,$C$10,C378),'ID1&amp;5'!B:J,8,FALSE),"-")</f>
        <v>-</v>
      </c>
      <c r="O378" s="78" t="str">
        <f>+IFERROR(VLOOKUP(C378,'ID1&amp;5'!K:L,2,FALSE),"-")</f>
        <v>-</v>
      </c>
      <c r="P378" s="79" t="str">
        <f>+IFERROR(VLOOKUP(CONCATENATE(A378,$C$10,C378),'ID1&amp;5'!B:J,9,FALSE),"-")</f>
        <v>-</v>
      </c>
      <c r="Q378" s="78" t="str">
        <f>+IFERROR(VLOOKUP(D378,'ID1&amp;5'!K:L,2,FALSE),"-")</f>
        <v>-</v>
      </c>
      <c r="R378" s="26" t="str">
        <f>+IFERROR(VLOOKUP(CONCATENATE(A378,$D$10,D378),'ID1&amp;5'!B:J,9,FALSE),"-")</f>
        <v>-</v>
      </c>
      <c r="S378" s="78" t="str">
        <f>+IFERROR(VLOOKUP(E378,'ID1&amp;5'!K:L,2,FALSE),"-")</f>
        <v>-</v>
      </c>
      <c r="T378" s="79" t="str">
        <f>+IFERROR(VLOOKUP(CONCATENATE(A378,$E$10,E378),'ID1&amp;5'!B:J,9,FALSE),"-")</f>
        <v>-</v>
      </c>
      <c r="U378" s="78" t="str">
        <f>+IFERROR(VLOOKUP(F378,'ID1&amp;5'!K:L,2,FALSE),"-")</f>
        <v>-</v>
      </c>
      <c r="V378" s="79" t="str">
        <f>+IFERROR(VLOOKUP(CONCATENATE(A378,$F$10,F378),'ID1&amp;5'!B:J,9,FALSE),"-")</f>
        <v>-</v>
      </c>
      <c r="W378" s="26" t="str">
        <f>+IFERROR(VLOOKUP(A378,'ID6&amp;7'!A:I,9,FALSE),"-")</f>
        <v>-</v>
      </c>
      <c r="X378" s="26" t="str">
        <f>+IFERROR(VLOOKUP(A378,'ID6&amp;7'!A:J,10,FALSE),"-")</f>
        <v>-</v>
      </c>
      <c r="Y378" s="26"/>
      <c r="Z378" s="27" t="str">
        <f t="shared" si="6"/>
        <v>Por iniciar</v>
      </c>
      <c r="AA378" s="65"/>
    </row>
    <row r="379" spans="1:27">
      <c r="A379" s="20"/>
      <c r="B379" s="60"/>
      <c r="C379" s="60"/>
      <c r="D379" s="60"/>
      <c r="E379" s="60"/>
      <c r="F379" s="60"/>
      <c r="G379" s="60"/>
      <c r="H379" s="65" t="s">
        <v>118</v>
      </c>
      <c r="I379" s="21" t="s">
        <v>1415</v>
      </c>
      <c r="J379" s="26">
        <f>+COUNTIF('ID1&amp;5'!G:G,'1. Status'!I379)</f>
        <v>0</v>
      </c>
      <c r="K379" s="79" t="str">
        <f>+IFERROR(VLOOKUP(CONCATENATE(A379,$B$10,B379),'ID1&amp;5'!B:J,8,FALSE),"-")</f>
        <v>-</v>
      </c>
      <c r="L379" s="78" t="str">
        <f>+IFERROR(VLOOKUP(B379,'ID1&amp;5'!K:L,2,FALSE),"-")</f>
        <v>-</v>
      </c>
      <c r="M379" s="79" t="str">
        <f>+IFERROR(VLOOKUP(CONCATENATE(A379,$B$10,B379),'ID1&amp;5'!B:J,9,FALSE),"-")</f>
        <v>-</v>
      </c>
      <c r="N379" s="79" t="str">
        <f>+IFERROR(VLOOKUP(CONCATENATE(A379,$C$10,C379),'ID1&amp;5'!B:J,8,FALSE),"-")</f>
        <v>-</v>
      </c>
      <c r="O379" s="78" t="str">
        <f>+IFERROR(VLOOKUP(C379,'ID1&amp;5'!K:L,2,FALSE),"-")</f>
        <v>-</v>
      </c>
      <c r="P379" s="79" t="str">
        <f>+IFERROR(VLOOKUP(CONCATENATE(A379,$C$10,C379),'ID1&amp;5'!B:J,9,FALSE),"-")</f>
        <v>-</v>
      </c>
      <c r="Q379" s="78" t="str">
        <f>+IFERROR(VLOOKUP(D379,'ID1&amp;5'!K:L,2,FALSE),"-")</f>
        <v>-</v>
      </c>
      <c r="R379" s="26" t="str">
        <f>+IFERROR(VLOOKUP(CONCATENATE(A379,$D$10,D379),'ID1&amp;5'!B:J,9,FALSE),"-")</f>
        <v>-</v>
      </c>
      <c r="S379" s="78" t="str">
        <f>+IFERROR(VLOOKUP(E379,'ID1&amp;5'!K:L,2,FALSE),"-")</f>
        <v>-</v>
      </c>
      <c r="T379" s="79" t="str">
        <f>+IFERROR(VLOOKUP(CONCATENATE(A379,$E$10,E379),'ID1&amp;5'!B:J,9,FALSE),"-")</f>
        <v>-</v>
      </c>
      <c r="U379" s="78" t="str">
        <f>+IFERROR(VLOOKUP(F379,'ID1&amp;5'!K:L,2,FALSE),"-")</f>
        <v>-</v>
      </c>
      <c r="V379" s="79" t="str">
        <f>+IFERROR(VLOOKUP(CONCATENATE(A379,$F$10,F379),'ID1&amp;5'!B:J,9,FALSE),"-")</f>
        <v>-</v>
      </c>
      <c r="W379" s="26" t="str">
        <f>+IFERROR(VLOOKUP(A379,'ID6&amp;7'!A:I,9,FALSE),"-")</f>
        <v>-</v>
      </c>
      <c r="X379" s="26" t="str">
        <f>+IFERROR(VLOOKUP(A379,'ID6&amp;7'!A:J,10,FALSE),"-")</f>
        <v>-</v>
      </c>
      <c r="Y379" s="26"/>
      <c r="Z379" s="27" t="str">
        <f t="shared" si="6"/>
        <v>Por iniciar</v>
      </c>
      <c r="AA379" s="65"/>
    </row>
    <row r="380" spans="1:27">
      <c r="A380" s="20"/>
      <c r="B380" s="60"/>
      <c r="C380" s="60"/>
      <c r="D380" s="60"/>
      <c r="E380" s="60"/>
      <c r="F380" s="60"/>
      <c r="G380" s="60"/>
      <c r="H380" s="65" t="s">
        <v>118</v>
      </c>
      <c r="I380" s="21" t="s">
        <v>1416</v>
      </c>
      <c r="J380" s="26">
        <f>+COUNTIF('ID1&amp;5'!G:G,'1. Status'!I380)</f>
        <v>0</v>
      </c>
      <c r="K380" s="79" t="str">
        <f>+IFERROR(VLOOKUP(CONCATENATE(A380,$B$10,B380),'ID1&amp;5'!B:J,8,FALSE),"-")</f>
        <v>-</v>
      </c>
      <c r="L380" s="78" t="str">
        <f>+IFERROR(VLOOKUP(B380,'ID1&amp;5'!K:L,2,FALSE),"-")</f>
        <v>-</v>
      </c>
      <c r="M380" s="79" t="str">
        <f>+IFERROR(VLOOKUP(CONCATENATE(A380,$B$10,B380),'ID1&amp;5'!B:J,9,FALSE),"-")</f>
        <v>-</v>
      </c>
      <c r="N380" s="79" t="str">
        <f>+IFERROR(VLOOKUP(CONCATENATE(A380,$C$10,C380),'ID1&amp;5'!B:J,8,FALSE),"-")</f>
        <v>-</v>
      </c>
      <c r="O380" s="78" t="str">
        <f>+IFERROR(VLOOKUP(C380,'ID1&amp;5'!K:L,2,FALSE),"-")</f>
        <v>-</v>
      </c>
      <c r="P380" s="79" t="str">
        <f>+IFERROR(VLOOKUP(CONCATENATE(A380,$C$10,C380),'ID1&amp;5'!B:J,9,FALSE),"-")</f>
        <v>-</v>
      </c>
      <c r="Q380" s="78" t="str">
        <f>+IFERROR(VLOOKUP(D380,'ID1&amp;5'!K:L,2,FALSE),"-")</f>
        <v>-</v>
      </c>
      <c r="R380" s="26" t="str">
        <f>+IFERROR(VLOOKUP(CONCATENATE(A380,$D$10,D380),'ID1&amp;5'!B:J,9,FALSE),"-")</f>
        <v>-</v>
      </c>
      <c r="S380" s="78" t="str">
        <f>+IFERROR(VLOOKUP(E380,'ID1&amp;5'!K:L,2,FALSE),"-")</f>
        <v>-</v>
      </c>
      <c r="T380" s="79" t="str">
        <f>+IFERROR(VLOOKUP(CONCATENATE(A380,$E$10,E380),'ID1&amp;5'!B:J,9,FALSE),"-")</f>
        <v>-</v>
      </c>
      <c r="U380" s="78" t="str">
        <f>+IFERROR(VLOOKUP(F380,'ID1&amp;5'!K:L,2,FALSE),"-")</f>
        <v>-</v>
      </c>
      <c r="V380" s="79" t="str">
        <f>+IFERROR(VLOOKUP(CONCATENATE(A380,$F$10,F380),'ID1&amp;5'!B:J,9,FALSE),"-")</f>
        <v>-</v>
      </c>
      <c r="W380" s="26" t="str">
        <f>+IFERROR(VLOOKUP(A380,'ID6&amp;7'!A:I,9,FALSE),"-")</f>
        <v>-</v>
      </c>
      <c r="X380" s="26" t="str">
        <f>+IFERROR(VLOOKUP(A380,'ID6&amp;7'!A:J,10,FALSE),"-")</f>
        <v>-</v>
      </c>
      <c r="Y380" s="26"/>
      <c r="Z380" s="27" t="str">
        <f t="shared" si="6"/>
        <v>Por iniciar</v>
      </c>
      <c r="AA380" s="65"/>
    </row>
    <row r="381" spans="1:27">
      <c r="A381" s="20"/>
      <c r="B381" s="60"/>
      <c r="C381" s="60"/>
      <c r="D381" s="60"/>
      <c r="E381" s="60"/>
      <c r="F381" s="60"/>
      <c r="G381" s="60"/>
      <c r="H381" s="65" t="s">
        <v>118</v>
      </c>
      <c r="I381" s="21" t="s">
        <v>1417</v>
      </c>
      <c r="J381" s="26">
        <f>+COUNTIF('ID1&amp;5'!G:G,'1. Status'!I381)</f>
        <v>0</v>
      </c>
      <c r="K381" s="79" t="str">
        <f>+IFERROR(VLOOKUP(CONCATENATE(A381,$B$10,B381),'ID1&amp;5'!B:J,8,FALSE),"-")</f>
        <v>-</v>
      </c>
      <c r="L381" s="78" t="str">
        <f>+IFERROR(VLOOKUP(B381,'ID1&amp;5'!K:L,2,FALSE),"-")</f>
        <v>-</v>
      </c>
      <c r="M381" s="79" t="str">
        <f>+IFERROR(VLOOKUP(CONCATENATE(A381,$B$10,B381),'ID1&amp;5'!B:J,9,FALSE),"-")</f>
        <v>-</v>
      </c>
      <c r="N381" s="79" t="str">
        <f>+IFERROR(VLOOKUP(CONCATENATE(A381,$C$10,C381),'ID1&amp;5'!B:J,8,FALSE),"-")</f>
        <v>-</v>
      </c>
      <c r="O381" s="78" t="str">
        <f>+IFERROR(VLOOKUP(C381,'ID1&amp;5'!K:L,2,FALSE),"-")</f>
        <v>-</v>
      </c>
      <c r="P381" s="79" t="str">
        <f>+IFERROR(VLOOKUP(CONCATENATE(A381,$C$10,C381),'ID1&amp;5'!B:J,9,FALSE),"-")</f>
        <v>-</v>
      </c>
      <c r="Q381" s="78" t="str">
        <f>+IFERROR(VLOOKUP(D381,'ID1&amp;5'!K:L,2,FALSE),"-")</f>
        <v>-</v>
      </c>
      <c r="R381" s="26" t="str">
        <f>+IFERROR(VLOOKUP(CONCATENATE(A381,$D$10,D381),'ID1&amp;5'!B:J,9,FALSE),"-")</f>
        <v>-</v>
      </c>
      <c r="S381" s="78" t="str">
        <f>+IFERROR(VLOOKUP(E381,'ID1&amp;5'!K:L,2,FALSE),"-")</f>
        <v>-</v>
      </c>
      <c r="T381" s="79" t="str">
        <f>+IFERROR(VLOOKUP(CONCATENATE(A381,$E$10,E381),'ID1&amp;5'!B:J,9,FALSE),"-")</f>
        <v>-</v>
      </c>
      <c r="U381" s="78" t="str">
        <f>+IFERROR(VLOOKUP(F381,'ID1&amp;5'!K:L,2,FALSE),"-")</f>
        <v>-</v>
      </c>
      <c r="V381" s="79" t="str">
        <f>+IFERROR(VLOOKUP(CONCATENATE(A381,$F$10,F381),'ID1&amp;5'!B:J,9,FALSE),"-")</f>
        <v>-</v>
      </c>
      <c r="W381" s="26" t="str">
        <f>+IFERROR(VLOOKUP(A381,'ID6&amp;7'!A:I,9,FALSE),"-")</f>
        <v>-</v>
      </c>
      <c r="X381" s="26" t="str">
        <f>+IFERROR(VLOOKUP(A381,'ID6&amp;7'!A:J,10,FALSE),"-")</f>
        <v>-</v>
      </c>
      <c r="Y381" s="26"/>
      <c r="Z381" s="27" t="str">
        <f t="shared" si="6"/>
        <v>Por iniciar</v>
      </c>
      <c r="AA381" s="65"/>
    </row>
    <row r="382" spans="1:27">
      <c r="A382" s="20"/>
      <c r="B382" s="60"/>
      <c r="C382" s="60"/>
      <c r="D382" s="60"/>
      <c r="E382" s="60"/>
      <c r="F382" s="60"/>
      <c r="G382" s="60"/>
      <c r="H382" s="65" t="s">
        <v>118</v>
      </c>
      <c r="I382" s="21" t="s">
        <v>1418</v>
      </c>
      <c r="J382" s="26">
        <f>+COUNTIF('ID1&amp;5'!G:G,'1. Status'!I382)</f>
        <v>0</v>
      </c>
      <c r="K382" s="79" t="str">
        <f>+IFERROR(VLOOKUP(CONCATENATE(A382,$B$10,B382),'ID1&amp;5'!B:J,8,FALSE),"-")</f>
        <v>-</v>
      </c>
      <c r="L382" s="78" t="str">
        <f>+IFERROR(VLOOKUP(B382,'ID1&amp;5'!K:L,2,FALSE),"-")</f>
        <v>-</v>
      </c>
      <c r="M382" s="79" t="str">
        <f>+IFERROR(VLOOKUP(CONCATENATE(A382,$B$10,B382),'ID1&amp;5'!B:J,9,FALSE),"-")</f>
        <v>-</v>
      </c>
      <c r="N382" s="79" t="str">
        <f>+IFERROR(VLOOKUP(CONCATENATE(A382,$C$10,C382),'ID1&amp;5'!B:J,8,FALSE),"-")</f>
        <v>-</v>
      </c>
      <c r="O382" s="78" t="str">
        <f>+IFERROR(VLOOKUP(C382,'ID1&amp;5'!K:L,2,FALSE),"-")</f>
        <v>-</v>
      </c>
      <c r="P382" s="79" t="str">
        <f>+IFERROR(VLOOKUP(CONCATENATE(A382,$C$10,C382),'ID1&amp;5'!B:J,9,FALSE),"-")</f>
        <v>-</v>
      </c>
      <c r="Q382" s="78" t="str">
        <f>+IFERROR(VLOOKUP(D382,'ID1&amp;5'!K:L,2,FALSE),"-")</f>
        <v>-</v>
      </c>
      <c r="R382" s="26" t="str">
        <f>+IFERROR(VLOOKUP(CONCATENATE(A382,$D$10,D382),'ID1&amp;5'!B:J,9,FALSE),"-")</f>
        <v>-</v>
      </c>
      <c r="S382" s="78" t="str">
        <f>+IFERROR(VLOOKUP(E382,'ID1&amp;5'!K:L,2,FALSE),"-")</f>
        <v>-</v>
      </c>
      <c r="T382" s="79" t="str">
        <f>+IFERROR(VLOOKUP(CONCATENATE(A382,$E$10,E382),'ID1&amp;5'!B:J,9,FALSE),"-")</f>
        <v>-</v>
      </c>
      <c r="U382" s="78" t="str">
        <f>+IFERROR(VLOOKUP(F382,'ID1&amp;5'!K:L,2,FALSE),"-")</f>
        <v>-</v>
      </c>
      <c r="V382" s="79" t="str">
        <f>+IFERROR(VLOOKUP(CONCATENATE(A382,$F$10,F382),'ID1&amp;5'!B:J,9,FALSE),"-")</f>
        <v>-</v>
      </c>
      <c r="W382" s="26" t="str">
        <f>+IFERROR(VLOOKUP(A382,'ID6&amp;7'!A:I,9,FALSE),"-")</f>
        <v>-</v>
      </c>
      <c r="X382" s="26" t="str">
        <f>+IFERROR(VLOOKUP(A382,'ID6&amp;7'!A:J,10,FALSE),"-")</f>
        <v>-</v>
      </c>
      <c r="Y382" s="26"/>
      <c r="Z382" s="27" t="str">
        <f t="shared" si="6"/>
        <v>Por iniciar</v>
      </c>
      <c r="AA382" s="65"/>
    </row>
    <row r="383" spans="1:27">
      <c r="A383" s="20"/>
      <c r="B383" s="60"/>
      <c r="C383" s="60"/>
      <c r="D383" s="60"/>
      <c r="E383" s="60"/>
      <c r="F383" s="60"/>
      <c r="G383" s="60"/>
      <c r="H383" s="65" t="s">
        <v>118</v>
      </c>
      <c r="I383" s="21" t="s">
        <v>1419</v>
      </c>
      <c r="J383" s="26">
        <f>+COUNTIF('ID1&amp;5'!G:G,'1. Status'!I383)</f>
        <v>0</v>
      </c>
      <c r="K383" s="79" t="str">
        <f>+IFERROR(VLOOKUP(CONCATENATE(A383,$B$10,B383),'ID1&amp;5'!B:J,8,FALSE),"-")</f>
        <v>-</v>
      </c>
      <c r="L383" s="78" t="str">
        <f>+IFERROR(VLOOKUP(B383,'ID1&amp;5'!K:L,2,FALSE),"-")</f>
        <v>-</v>
      </c>
      <c r="M383" s="79" t="str">
        <f>+IFERROR(VLOOKUP(CONCATENATE(A383,$B$10,B383),'ID1&amp;5'!B:J,9,FALSE),"-")</f>
        <v>-</v>
      </c>
      <c r="N383" s="79" t="str">
        <f>+IFERROR(VLOOKUP(CONCATENATE(A383,$C$10,C383),'ID1&amp;5'!B:J,8,FALSE),"-")</f>
        <v>-</v>
      </c>
      <c r="O383" s="78" t="str">
        <f>+IFERROR(VLOOKUP(C383,'ID1&amp;5'!K:L,2,FALSE),"-")</f>
        <v>-</v>
      </c>
      <c r="P383" s="79" t="str">
        <f>+IFERROR(VLOOKUP(CONCATENATE(A383,$C$10,C383),'ID1&amp;5'!B:J,9,FALSE),"-")</f>
        <v>-</v>
      </c>
      <c r="Q383" s="78" t="str">
        <f>+IFERROR(VLOOKUP(D383,'ID1&amp;5'!K:L,2,FALSE),"-")</f>
        <v>-</v>
      </c>
      <c r="R383" s="26" t="str">
        <f>+IFERROR(VLOOKUP(CONCATENATE(A383,$D$10,D383),'ID1&amp;5'!B:J,9,FALSE),"-")</f>
        <v>-</v>
      </c>
      <c r="S383" s="78" t="str">
        <f>+IFERROR(VLOOKUP(E383,'ID1&amp;5'!K:L,2,FALSE),"-")</f>
        <v>-</v>
      </c>
      <c r="T383" s="79" t="str">
        <f>+IFERROR(VLOOKUP(CONCATENATE(A383,$E$10,E383),'ID1&amp;5'!B:J,9,FALSE),"-")</f>
        <v>-</v>
      </c>
      <c r="U383" s="78" t="str">
        <f>+IFERROR(VLOOKUP(F383,'ID1&amp;5'!K:L,2,FALSE),"-")</f>
        <v>-</v>
      </c>
      <c r="V383" s="79" t="str">
        <f>+IFERROR(VLOOKUP(CONCATENATE(A383,$F$10,F383),'ID1&amp;5'!B:J,9,FALSE),"-")</f>
        <v>-</v>
      </c>
      <c r="W383" s="26" t="str">
        <f>+IFERROR(VLOOKUP(A383,'ID6&amp;7'!A:I,9,FALSE),"-")</f>
        <v>-</v>
      </c>
      <c r="X383" s="26" t="str">
        <f>+IFERROR(VLOOKUP(A383,'ID6&amp;7'!A:J,10,FALSE),"-")</f>
        <v>-</v>
      </c>
      <c r="Y383" s="26"/>
      <c r="Z383" s="27" t="str">
        <f t="shared" si="6"/>
        <v>Por iniciar</v>
      </c>
      <c r="AA383" s="65"/>
    </row>
    <row r="384" spans="1:27">
      <c r="A384" s="20"/>
      <c r="B384" s="60"/>
      <c r="C384" s="60"/>
      <c r="D384" s="60"/>
      <c r="E384" s="60"/>
      <c r="F384" s="60"/>
      <c r="G384" s="60"/>
      <c r="H384" s="65" t="s">
        <v>118</v>
      </c>
      <c r="I384" s="21" t="s">
        <v>287</v>
      </c>
      <c r="J384" s="26">
        <f>+COUNTIF('ID1&amp;5'!G:G,'1. Status'!I384)</f>
        <v>0</v>
      </c>
      <c r="K384" s="79" t="str">
        <f>+IFERROR(VLOOKUP(CONCATENATE(A384,$B$10,B384),'ID1&amp;5'!B:J,8,FALSE),"-")</f>
        <v>-</v>
      </c>
      <c r="L384" s="78" t="str">
        <f>+IFERROR(VLOOKUP(B384,'ID1&amp;5'!K:L,2,FALSE),"-")</f>
        <v>-</v>
      </c>
      <c r="M384" s="79" t="str">
        <f>+IFERROR(VLOOKUP(CONCATENATE(A384,$B$10,B384),'ID1&amp;5'!B:J,9,FALSE),"-")</f>
        <v>-</v>
      </c>
      <c r="N384" s="79" t="str">
        <f>+IFERROR(VLOOKUP(CONCATENATE(A384,$C$10,C384),'ID1&amp;5'!B:J,8,FALSE),"-")</f>
        <v>-</v>
      </c>
      <c r="O384" s="78" t="str">
        <f>+IFERROR(VLOOKUP(C384,'ID1&amp;5'!K:L,2,FALSE),"-")</f>
        <v>-</v>
      </c>
      <c r="P384" s="79" t="str">
        <f>+IFERROR(VLOOKUP(CONCATENATE(A384,$C$10,C384),'ID1&amp;5'!B:J,9,FALSE),"-")</f>
        <v>-</v>
      </c>
      <c r="Q384" s="78" t="str">
        <f>+IFERROR(VLOOKUP(D384,'ID1&amp;5'!K:L,2,FALSE),"-")</f>
        <v>-</v>
      </c>
      <c r="R384" s="26" t="str">
        <f>+IFERROR(VLOOKUP(CONCATENATE(A384,$D$10,D384),'ID1&amp;5'!B:J,9,FALSE),"-")</f>
        <v>-</v>
      </c>
      <c r="S384" s="78" t="str">
        <f>+IFERROR(VLOOKUP(E384,'ID1&amp;5'!K:L,2,FALSE),"-")</f>
        <v>-</v>
      </c>
      <c r="T384" s="79" t="str">
        <f>+IFERROR(VLOOKUP(CONCATENATE(A384,$E$10,E384),'ID1&amp;5'!B:J,9,FALSE),"-")</f>
        <v>-</v>
      </c>
      <c r="U384" s="78" t="str">
        <f>+IFERROR(VLOOKUP(F384,'ID1&amp;5'!K:L,2,FALSE),"-")</f>
        <v>-</v>
      </c>
      <c r="V384" s="79" t="str">
        <f>+IFERROR(VLOOKUP(CONCATENATE(A384,$F$10,F384),'ID1&amp;5'!B:J,9,FALSE),"-")</f>
        <v>-</v>
      </c>
      <c r="W384" s="26" t="str">
        <f>+IFERROR(VLOOKUP(A384,'ID6&amp;7'!A:I,9,FALSE),"-")</f>
        <v>-</v>
      </c>
      <c r="X384" s="26" t="str">
        <f>+IFERROR(VLOOKUP(A384,'ID6&amp;7'!A:J,10,FALSE),"-")</f>
        <v>-</v>
      </c>
      <c r="Y384" s="26"/>
      <c r="Z384" s="27" t="str">
        <f t="shared" ref="Z384:Z447" si="7">+IF(J384=0,"Por iniciar",IF(OR(K384="-",M384="-",P384="-",R384="-",T384="-",V384="-"),"Em testes",IF(AND(M384=0,P384=0,R384=0,T384&lt;&gt;K384,V384&lt;&gt;K384),"OK","NOK")))</f>
        <v>Por iniciar</v>
      </c>
      <c r="AA384" s="65"/>
    </row>
    <row r="385" spans="1:27">
      <c r="A385" s="20"/>
      <c r="B385" s="60"/>
      <c r="C385" s="60"/>
      <c r="D385" s="60"/>
      <c r="E385" s="60"/>
      <c r="F385" s="60"/>
      <c r="G385" s="60"/>
      <c r="H385" s="65" t="s">
        <v>118</v>
      </c>
      <c r="I385" s="21" t="s">
        <v>25</v>
      </c>
      <c r="J385" s="26">
        <f>+COUNTIF('ID1&amp;5'!G:G,'1. Status'!I385)</f>
        <v>0</v>
      </c>
      <c r="K385" s="79" t="str">
        <f>+IFERROR(VLOOKUP(CONCATENATE(A385,$B$10,B385),'ID1&amp;5'!B:J,8,FALSE),"-")</f>
        <v>-</v>
      </c>
      <c r="L385" s="78" t="str">
        <f>+IFERROR(VLOOKUP(B385,'ID1&amp;5'!K:L,2,FALSE),"-")</f>
        <v>-</v>
      </c>
      <c r="M385" s="79" t="str">
        <f>+IFERROR(VLOOKUP(CONCATENATE(A385,$B$10,B385),'ID1&amp;5'!B:J,9,FALSE),"-")</f>
        <v>-</v>
      </c>
      <c r="N385" s="79" t="str">
        <f>+IFERROR(VLOOKUP(CONCATENATE(A385,$C$10,C385),'ID1&amp;5'!B:J,8,FALSE),"-")</f>
        <v>-</v>
      </c>
      <c r="O385" s="78" t="str">
        <f>+IFERROR(VLOOKUP(C385,'ID1&amp;5'!K:L,2,FALSE),"-")</f>
        <v>-</v>
      </c>
      <c r="P385" s="79" t="str">
        <f>+IFERROR(VLOOKUP(CONCATENATE(A385,$C$10,C385),'ID1&amp;5'!B:J,9,FALSE),"-")</f>
        <v>-</v>
      </c>
      <c r="Q385" s="78" t="str">
        <f>+IFERROR(VLOOKUP(D385,'ID1&amp;5'!K:L,2,FALSE),"-")</f>
        <v>-</v>
      </c>
      <c r="R385" s="26" t="str">
        <f>+IFERROR(VLOOKUP(CONCATENATE(A385,$D$10,D385),'ID1&amp;5'!B:J,9,FALSE),"-")</f>
        <v>-</v>
      </c>
      <c r="S385" s="78" t="str">
        <f>+IFERROR(VLOOKUP(E385,'ID1&amp;5'!K:L,2,FALSE),"-")</f>
        <v>-</v>
      </c>
      <c r="T385" s="79" t="str">
        <f>+IFERROR(VLOOKUP(CONCATENATE(A385,$E$10,E385),'ID1&amp;5'!B:J,9,FALSE),"-")</f>
        <v>-</v>
      </c>
      <c r="U385" s="78" t="str">
        <f>+IFERROR(VLOOKUP(F385,'ID1&amp;5'!K:L,2,FALSE),"-")</f>
        <v>-</v>
      </c>
      <c r="V385" s="79" t="str">
        <f>+IFERROR(VLOOKUP(CONCATENATE(A385,$F$10,F385),'ID1&amp;5'!B:J,9,FALSE),"-")</f>
        <v>-</v>
      </c>
      <c r="W385" s="26" t="str">
        <f>+IFERROR(VLOOKUP(A385,'ID6&amp;7'!A:I,9,FALSE),"-")</f>
        <v>-</v>
      </c>
      <c r="X385" s="26" t="str">
        <f>+IFERROR(VLOOKUP(A385,'ID6&amp;7'!A:J,10,FALSE),"-")</f>
        <v>-</v>
      </c>
      <c r="Y385" s="26"/>
      <c r="Z385" s="27" t="str">
        <f t="shared" si="7"/>
        <v>Por iniciar</v>
      </c>
      <c r="AA385" s="65"/>
    </row>
    <row r="386" spans="1:27">
      <c r="A386" s="20"/>
      <c r="B386" s="60"/>
      <c r="C386" s="60"/>
      <c r="D386" s="60"/>
      <c r="E386" s="60"/>
      <c r="F386" s="60"/>
      <c r="G386" s="60"/>
      <c r="H386" s="65" t="s">
        <v>118</v>
      </c>
      <c r="I386" s="21" t="s">
        <v>1420</v>
      </c>
      <c r="J386" s="26">
        <f>+COUNTIF('ID1&amp;5'!G:G,'1. Status'!I386)</f>
        <v>0</v>
      </c>
      <c r="K386" s="79" t="str">
        <f>+IFERROR(VLOOKUP(CONCATENATE(A386,$B$10,B386),'ID1&amp;5'!B:J,8,FALSE),"-")</f>
        <v>-</v>
      </c>
      <c r="L386" s="78" t="str">
        <f>+IFERROR(VLOOKUP(B386,'ID1&amp;5'!K:L,2,FALSE),"-")</f>
        <v>-</v>
      </c>
      <c r="M386" s="79" t="str">
        <f>+IFERROR(VLOOKUP(CONCATENATE(A386,$B$10,B386),'ID1&amp;5'!B:J,9,FALSE),"-")</f>
        <v>-</v>
      </c>
      <c r="N386" s="79" t="str">
        <f>+IFERROR(VLOOKUP(CONCATENATE(A386,$C$10,C386),'ID1&amp;5'!B:J,8,FALSE),"-")</f>
        <v>-</v>
      </c>
      <c r="O386" s="78" t="str">
        <f>+IFERROR(VLOOKUP(C386,'ID1&amp;5'!K:L,2,FALSE),"-")</f>
        <v>-</v>
      </c>
      <c r="P386" s="79" t="str">
        <f>+IFERROR(VLOOKUP(CONCATENATE(A386,$C$10,C386),'ID1&amp;5'!B:J,9,FALSE),"-")</f>
        <v>-</v>
      </c>
      <c r="Q386" s="78" t="str">
        <f>+IFERROR(VLOOKUP(D386,'ID1&amp;5'!K:L,2,FALSE),"-")</f>
        <v>-</v>
      </c>
      <c r="R386" s="26" t="str">
        <f>+IFERROR(VLOOKUP(CONCATENATE(A386,$D$10,D386),'ID1&amp;5'!B:J,9,FALSE),"-")</f>
        <v>-</v>
      </c>
      <c r="S386" s="78" t="str">
        <f>+IFERROR(VLOOKUP(E386,'ID1&amp;5'!K:L,2,FALSE),"-")</f>
        <v>-</v>
      </c>
      <c r="T386" s="79" t="str">
        <f>+IFERROR(VLOOKUP(CONCATENATE(A386,$E$10,E386),'ID1&amp;5'!B:J,9,FALSE),"-")</f>
        <v>-</v>
      </c>
      <c r="U386" s="78" t="str">
        <f>+IFERROR(VLOOKUP(F386,'ID1&amp;5'!K:L,2,FALSE),"-")</f>
        <v>-</v>
      </c>
      <c r="V386" s="79" t="str">
        <f>+IFERROR(VLOOKUP(CONCATENATE(A386,$F$10,F386),'ID1&amp;5'!B:J,9,FALSE),"-")</f>
        <v>-</v>
      </c>
      <c r="W386" s="26" t="str">
        <f>+IFERROR(VLOOKUP(A386,'ID6&amp;7'!A:I,9,FALSE),"-")</f>
        <v>-</v>
      </c>
      <c r="X386" s="26" t="str">
        <f>+IFERROR(VLOOKUP(A386,'ID6&amp;7'!A:J,10,FALSE),"-")</f>
        <v>-</v>
      </c>
      <c r="Y386" s="26"/>
      <c r="Z386" s="27" t="str">
        <f t="shared" si="7"/>
        <v>Por iniciar</v>
      </c>
      <c r="AA386" s="65"/>
    </row>
    <row r="387" spans="1:27">
      <c r="A387" s="20"/>
      <c r="B387" s="60"/>
      <c r="C387" s="60"/>
      <c r="D387" s="60"/>
      <c r="E387" s="60"/>
      <c r="F387" s="60"/>
      <c r="G387" s="60"/>
      <c r="H387" s="65" t="s">
        <v>118</v>
      </c>
      <c r="I387" s="21" t="s">
        <v>1421</v>
      </c>
      <c r="J387" s="26">
        <f>+COUNTIF('ID1&amp;5'!G:G,'1. Status'!I387)</f>
        <v>0</v>
      </c>
      <c r="K387" s="79" t="str">
        <f>+IFERROR(VLOOKUP(CONCATENATE(A387,$B$10,B387),'ID1&amp;5'!B:J,8,FALSE),"-")</f>
        <v>-</v>
      </c>
      <c r="L387" s="78" t="str">
        <f>+IFERROR(VLOOKUP(B387,'ID1&amp;5'!K:L,2,FALSE),"-")</f>
        <v>-</v>
      </c>
      <c r="M387" s="79" t="str">
        <f>+IFERROR(VLOOKUP(CONCATENATE(A387,$B$10,B387),'ID1&amp;5'!B:J,9,FALSE),"-")</f>
        <v>-</v>
      </c>
      <c r="N387" s="79" t="str">
        <f>+IFERROR(VLOOKUP(CONCATENATE(A387,$C$10,C387),'ID1&amp;5'!B:J,8,FALSE),"-")</f>
        <v>-</v>
      </c>
      <c r="O387" s="78" t="str">
        <f>+IFERROR(VLOOKUP(C387,'ID1&amp;5'!K:L,2,FALSE),"-")</f>
        <v>-</v>
      </c>
      <c r="P387" s="79" t="str">
        <f>+IFERROR(VLOOKUP(CONCATENATE(A387,$C$10,C387),'ID1&amp;5'!B:J,9,FALSE),"-")</f>
        <v>-</v>
      </c>
      <c r="Q387" s="78" t="str">
        <f>+IFERROR(VLOOKUP(D387,'ID1&amp;5'!K:L,2,FALSE),"-")</f>
        <v>-</v>
      </c>
      <c r="R387" s="26" t="str">
        <f>+IFERROR(VLOOKUP(CONCATENATE(A387,$D$10,D387),'ID1&amp;5'!B:J,9,FALSE),"-")</f>
        <v>-</v>
      </c>
      <c r="S387" s="78" t="str">
        <f>+IFERROR(VLOOKUP(E387,'ID1&amp;5'!K:L,2,FALSE),"-")</f>
        <v>-</v>
      </c>
      <c r="T387" s="79" t="str">
        <f>+IFERROR(VLOOKUP(CONCATENATE(A387,$E$10,E387),'ID1&amp;5'!B:J,9,FALSE),"-")</f>
        <v>-</v>
      </c>
      <c r="U387" s="78" t="str">
        <f>+IFERROR(VLOOKUP(F387,'ID1&amp;5'!K:L,2,FALSE),"-")</f>
        <v>-</v>
      </c>
      <c r="V387" s="79" t="str">
        <f>+IFERROR(VLOOKUP(CONCATENATE(A387,$F$10,F387),'ID1&amp;5'!B:J,9,FALSE),"-")</f>
        <v>-</v>
      </c>
      <c r="W387" s="26" t="str">
        <f>+IFERROR(VLOOKUP(A387,'ID6&amp;7'!A:I,9,FALSE),"-")</f>
        <v>-</v>
      </c>
      <c r="X387" s="26" t="str">
        <f>+IFERROR(VLOOKUP(A387,'ID6&amp;7'!A:J,10,FALSE),"-")</f>
        <v>-</v>
      </c>
      <c r="Y387" s="26"/>
      <c r="Z387" s="27" t="str">
        <f t="shared" si="7"/>
        <v>Por iniciar</v>
      </c>
      <c r="AA387" s="65"/>
    </row>
    <row r="388" spans="1:27">
      <c r="A388" s="20"/>
      <c r="B388" s="60"/>
      <c r="C388" s="60"/>
      <c r="D388" s="60"/>
      <c r="E388" s="60"/>
      <c r="F388" s="60"/>
      <c r="G388" s="60"/>
      <c r="H388" s="65" t="s">
        <v>118</v>
      </c>
      <c r="I388" s="21" t="s">
        <v>1171</v>
      </c>
      <c r="J388" s="26">
        <f>+COUNTIF('ID1&amp;5'!G:G,'1. Status'!I388)</f>
        <v>0</v>
      </c>
      <c r="K388" s="79" t="str">
        <f>+IFERROR(VLOOKUP(CONCATENATE(A388,$B$10,B388),'ID1&amp;5'!B:J,8,FALSE),"-")</f>
        <v>-</v>
      </c>
      <c r="L388" s="78" t="str">
        <f>+IFERROR(VLOOKUP(B388,'ID1&amp;5'!K:L,2,FALSE),"-")</f>
        <v>-</v>
      </c>
      <c r="M388" s="79" t="str">
        <f>+IFERROR(VLOOKUP(CONCATENATE(A388,$B$10,B388),'ID1&amp;5'!B:J,9,FALSE),"-")</f>
        <v>-</v>
      </c>
      <c r="N388" s="79" t="str">
        <f>+IFERROR(VLOOKUP(CONCATENATE(A388,$C$10,C388),'ID1&amp;5'!B:J,8,FALSE),"-")</f>
        <v>-</v>
      </c>
      <c r="O388" s="78" t="str">
        <f>+IFERROR(VLOOKUP(C388,'ID1&amp;5'!K:L,2,FALSE),"-")</f>
        <v>-</v>
      </c>
      <c r="P388" s="79" t="str">
        <f>+IFERROR(VLOOKUP(CONCATENATE(A388,$C$10,C388),'ID1&amp;5'!B:J,9,FALSE),"-")</f>
        <v>-</v>
      </c>
      <c r="Q388" s="78" t="str">
        <f>+IFERROR(VLOOKUP(D388,'ID1&amp;5'!K:L,2,FALSE),"-")</f>
        <v>-</v>
      </c>
      <c r="R388" s="26" t="str">
        <f>+IFERROR(VLOOKUP(CONCATENATE(A388,$D$10,D388),'ID1&amp;5'!B:J,9,FALSE),"-")</f>
        <v>-</v>
      </c>
      <c r="S388" s="78" t="str">
        <f>+IFERROR(VLOOKUP(E388,'ID1&amp;5'!K:L,2,FALSE),"-")</f>
        <v>-</v>
      </c>
      <c r="T388" s="79" t="str">
        <f>+IFERROR(VLOOKUP(CONCATENATE(A388,$E$10,E388),'ID1&amp;5'!B:J,9,FALSE),"-")</f>
        <v>-</v>
      </c>
      <c r="U388" s="78" t="str">
        <f>+IFERROR(VLOOKUP(F388,'ID1&amp;5'!K:L,2,FALSE),"-")</f>
        <v>-</v>
      </c>
      <c r="V388" s="79" t="str">
        <f>+IFERROR(VLOOKUP(CONCATENATE(A388,$F$10,F388),'ID1&amp;5'!B:J,9,FALSE),"-")</f>
        <v>-</v>
      </c>
      <c r="W388" s="26" t="str">
        <f>+IFERROR(VLOOKUP(A388,'ID6&amp;7'!A:I,9,FALSE),"-")</f>
        <v>-</v>
      </c>
      <c r="X388" s="26" t="str">
        <f>+IFERROR(VLOOKUP(A388,'ID6&amp;7'!A:J,10,FALSE),"-")</f>
        <v>-</v>
      </c>
      <c r="Y388" s="26"/>
      <c r="Z388" s="27" t="str">
        <f t="shared" si="7"/>
        <v>Por iniciar</v>
      </c>
      <c r="AA388" s="65"/>
    </row>
    <row r="389" spans="1:27">
      <c r="A389" s="20"/>
      <c r="B389" s="60"/>
      <c r="C389" s="60"/>
      <c r="D389" s="60"/>
      <c r="E389" s="60"/>
      <c r="F389" s="60"/>
      <c r="G389" s="60"/>
      <c r="H389" s="65" t="s">
        <v>118</v>
      </c>
      <c r="I389" s="21" t="s">
        <v>1172</v>
      </c>
      <c r="J389" s="26">
        <f>+COUNTIF('ID1&amp;5'!G:G,'1. Status'!I389)</f>
        <v>0</v>
      </c>
      <c r="K389" s="79" t="str">
        <f>+IFERROR(VLOOKUP(CONCATENATE(A389,$B$10,B389),'ID1&amp;5'!B:J,8,FALSE),"-")</f>
        <v>-</v>
      </c>
      <c r="L389" s="78" t="str">
        <f>+IFERROR(VLOOKUP(B389,'ID1&amp;5'!K:L,2,FALSE),"-")</f>
        <v>-</v>
      </c>
      <c r="M389" s="79" t="str">
        <f>+IFERROR(VLOOKUP(CONCATENATE(A389,$B$10,B389),'ID1&amp;5'!B:J,9,FALSE),"-")</f>
        <v>-</v>
      </c>
      <c r="N389" s="79" t="str">
        <f>+IFERROR(VLOOKUP(CONCATENATE(A389,$C$10,C389),'ID1&amp;5'!B:J,8,FALSE),"-")</f>
        <v>-</v>
      </c>
      <c r="O389" s="78" t="str">
        <f>+IFERROR(VLOOKUP(C389,'ID1&amp;5'!K:L,2,FALSE),"-")</f>
        <v>-</v>
      </c>
      <c r="P389" s="79" t="str">
        <f>+IFERROR(VLOOKUP(CONCATENATE(A389,$C$10,C389),'ID1&amp;5'!B:J,9,FALSE),"-")</f>
        <v>-</v>
      </c>
      <c r="Q389" s="78" t="str">
        <f>+IFERROR(VLOOKUP(D389,'ID1&amp;5'!K:L,2,FALSE),"-")</f>
        <v>-</v>
      </c>
      <c r="R389" s="26" t="str">
        <f>+IFERROR(VLOOKUP(CONCATENATE(A389,$D$10,D389),'ID1&amp;5'!B:J,9,FALSE),"-")</f>
        <v>-</v>
      </c>
      <c r="S389" s="78" t="str">
        <f>+IFERROR(VLOOKUP(E389,'ID1&amp;5'!K:L,2,FALSE),"-")</f>
        <v>-</v>
      </c>
      <c r="T389" s="79" t="str">
        <f>+IFERROR(VLOOKUP(CONCATENATE(A389,$E$10,E389),'ID1&amp;5'!B:J,9,FALSE),"-")</f>
        <v>-</v>
      </c>
      <c r="U389" s="78" t="str">
        <f>+IFERROR(VLOOKUP(F389,'ID1&amp;5'!K:L,2,FALSE),"-")</f>
        <v>-</v>
      </c>
      <c r="V389" s="79" t="str">
        <f>+IFERROR(VLOOKUP(CONCATENATE(A389,$F$10,F389),'ID1&amp;5'!B:J,9,FALSE),"-")</f>
        <v>-</v>
      </c>
      <c r="W389" s="26" t="str">
        <f>+IFERROR(VLOOKUP(A389,'ID6&amp;7'!A:I,9,FALSE),"-")</f>
        <v>-</v>
      </c>
      <c r="X389" s="26" t="str">
        <f>+IFERROR(VLOOKUP(A389,'ID6&amp;7'!A:J,10,FALSE),"-")</f>
        <v>-</v>
      </c>
      <c r="Y389" s="26"/>
      <c r="Z389" s="27" t="str">
        <f t="shared" si="7"/>
        <v>Por iniciar</v>
      </c>
      <c r="AA389" s="65"/>
    </row>
    <row r="390" spans="1:27">
      <c r="A390" s="20"/>
      <c r="B390" s="60"/>
      <c r="C390" s="60"/>
      <c r="D390" s="60"/>
      <c r="E390" s="60"/>
      <c r="F390" s="60"/>
      <c r="G390" s="60"/>
      <c r="H390" s="65" t="s">
        <v>118</v>
      </c>
      <c r="I390" s="21" t="s">
        <v>663</v>
      </c>
      <c r="J390" s="26">
        <f>+COUNTIF('ID1&amp;5'!G:G,'1. Status'!I390)</f>
        <v>0</v>
      </c>
      <c r="K390" s="79" t="str">
        <f>+IFERROR(VLOOKUP(CONCATENATE(A390,$B$10,B390),'ID1&amp;5'!B:J,8,FALSE),"-")</f>
        <v>-</v>
      </c>
      <c r="L390" s="78" t="str">
        <f>+IFERROR(VLOOKUP(B390,'ID1&amp;5'!K:L,2,FALSE),"-")</f>
        <v>-</v>
      </c>
      <c r="M390" s="79" t="str">
        <f>+IFERROR(VLOOKUP(CONCATENATE(A390,$B$10,B390),'ID1&amp;5'!B:J,9,FALSE),"-")</f>
        <v>-</v>
      </c>
      <c r="N390" s="79" t="str">
        <f>+IFERROR(VLOOKUP(CONCATENATE(A390,$C$10,C390),'ID1&amp;5'!B:J,8,FALSE),"-")</f>
        <v>-</v>
      </c>
      <c r="O390" s="78" t="str">
        <f>+IFERROR(VLOOKUP(C390,'ID1&amp;5'!K:L,2,FALSE),"-")</f>
        <v>-</v>
      </c>
      <c r="P390" s="79" t="str">
        <f>+IFERROR(VLOOKUP(CONCATENATE(A390,$C$10,C390),'ID1&amp;5'!B:J,9,FALSE),"-")</f>
        <v>-</v>
      </c>
      <c r="Q390" s="78" t="str">
        <f>+IFERROR(VLOOKUP(D390,'ID1&amp;5'!K:L,2,FALSE),"-")</f>
        <v>-</v>
      </c>
      <c r="R390" s="26" t="str">
        <f>+IFERROR(VLOOKUP(CONCATENATE(A390,$D$10,D390),'ID1&amp;5'!B:J,9,FALSE),"-")</f>
        <v>-</v>
      </c>
      <c r="S390" s="78" t="str">
        <f>+IFERROR(VLOOKUP(E390,'ID1&amp;5'!K:L,2,FALSE),"-")</f>
        <v>-</v>
      </c>
      <c r="T390" s="79" t="str">
        <f>+IFERROR(VLOOKUP(CONCATENATE(A390,$E$10,E390),'ID1&amp;5'!B:J,9,FALSE),"-")</f>
        <v>-</v>
      </c>
      <c r="U390" s="78" t="str">
        <f>+IFERROR(VLOOKUP(F390,'ID1&amp;5'!K:L,2,FALSE),"-")</f>
        <v>-</v>
      </c>
      <c r="V390" s="79" t="str">
        <f>+IFERROR(VLOOKUP(CONCATENATE(A390,$F$10,F390),'ID1&amp;5'!B:J,9,FALSE),"-")</f>
        <v>-</v>
      </c>
      <c r="W390" s="26" t="str">
        <f>+IFERROR(VLOOKUP(A390,'ID6&amp;7'!A:I,9,FALSE),"-")</f>
        <v>-</v>
      </c>
      <c r="X390" s="26" t="str">
        <f>+IFERROR(VLOOKUP(A390,'ID6&amp;7'!A:J,10,FALSE),"-")</f>
        <v>-</v>
      </c>
      <c r="Y390" s="26"/>
      <c r="Z390" s="27" t="str">
        <f t="shared" si="7"/>
        <v>Por iniciar</v>
      </c>
      <c r="AA390" s="65"/>
    </row>
    <row r="391" spans="1:27">
      <c r="A391" s="20"/>
      <c r="B391" s="60"/>
      <c r="C391" s="60"/>
      <c r="D391" s="60"/>
      <c r="E391" s="60"/>
      <c r="F391" s="60"/>
      <c r="G391" s="60"/>
      <c r="H391" s="65" t="s">
        <v>118</v>
      </c>
      <c r="I391" s="21" t="s">
        <v>702</v>
      </c>
      <c r="J391" s="26">
        <f>+COUNTIF('ID1&amp;5'!G:G,'1. Status'!I391)</f>
        <v>0</v>
      </c>
      <c r="K391" s="79" t="str">
        <f>+IFERROR(VLOOKUP(CONCATENATE(A391,$B$10,B391),'ID1&amp;5'!B:J,8,FALSE),"-")</f>
        <v>-</v>
      </c>
      <c r="L391" s="78" t="str">
        <f>+IFERROR(VLOOKUP(B391,'ID1&amp;5'!K:L,2,FALSE),"-")</f>
        <v>-</v>
      </c>
      <c r="M391" s="79" t="str">
        <f>+IFERROR(VLOOKUP(CONCATENATE(A391,$B$10,B391),'ID1&amp;5'!B:J,9,FALSE),"-")</f>
        <v>-</v>
      </c>
      <c r="N391" s="79" t="str">
        <f>+IFERROR(VLOOKUP(CONCATENATE(A391,$C$10,C391),'ID1&amp;5'!B:J,8,FALSE),"-")</f>
        <v>-</v>
      </c>
      <c r="O391" s="78" t="str">
        <f>+IFERROR(VLOOKUP(C391,'ID1&amp;5'!K:L,2,FALSE),"-")</f>
        <v>-</v>
      </c>
      <c r="P391" s="79" t="str">
        <f>+IFERROR(VLOOKUP(CONCATENATE(A391,$C$10,C391),'ID1&amp;5'!B:J,9,FALSE),"-")</f>
        <v>-</v>
      </c>
      <c r="Q391" s="78" t="str">
        <f>+IFERROR(VLOOKUP(D391,'ID1&amp;5'!K:L,2,FALSE),"-")</f>
        <v>-</v>
      </c>
      <c r="R391" s="26" t="str">
        <f>+IFERROR(VLOOKUP(CONCATENATE(A391,$D$10,D391),'ID1&amp;5'!B:J,9,FALSE),"-")</f>
        <v>-</v>
      </c>
      <c r="S391" s="78" t="str">
        <f>+IFERROR(VLOOKUP(E391,'ID1&amp;5'!K:L,2,FALSE),"-")</f>
        <v>-</v>
      </c>
      <c r="T391" s="79" t="str">
        <f>+IFERROR(VLOOKUP(CONCATENATE(A391,$E$10,E391),'ID1&amp;5'!B:J,9,FALSE),"-")</f>
        <v>-</v>
      </c>
      <c r="U391" s="78" t="str">
        <f>+IFERROR(VLOOKUP(F391,'ID1&amp;5'!K:L,2,FALSE),"-")</f>
        <v>-</v>
      </c>
      <c r="V391" s="79" t="str">
        <f>+IFERROR(VLOOKUP(CONCATENATE(A391,$F$10,F391),'ID1&amp;5'!B:J,9,FALSE),"-")</f>
        <v>-</v>
      </c>
      <c r="W391" s="26" t="str">
        <f>+IFERROR(VLOOKUP(A391,'ID6&amp;7'!A:I,9,FALSE),"-")</f>
        <v>-</v>
      </c>
      <c r="X391" s="26" t="str">
        <f>+IFERROR(VLOOKUP(A391,'ID6&amp;7'!A:J,10,FALSE),"-")</f>
        <v>-</v>
      </c>
      <c r="Y391" s="26"/>
      <c r="Z391" s="27" t="str">
        <f t="shared" si="7"/>
        <v>Por iniciar</v>
      </c>
      <c r="AA391" s="65"/>
    </row>
    <row r="392" spans="1:27">
      <c r="A392" s="20"/>
      <c r="B392" s="60"/>
      <c r="C392" s="60"/>
      <c r="D392" s="60"/>
      <c r="E392" s="60"/>
      <c r="F392" s="60"/>
      <c r="G392" s="60"/>
      <c r="H392" s="65" t="s">
        <v>118</v>
      </c>
      <c r="I392" s="21" t="s">
        <v>1422</v>
      </c>
      <c r="J392" s="26">
        <f>+COUNTIF('ID1&amp;5'!G:G,'1. Status'!I392)</f>
        <v>0</v>
      </c>
      <c r="K392" s="79" t="str">
        <f>+IFERROR(VLOOKUP(CONCATENATE(A392,$B$10,B392),'ID1&amp;5'!B:J,8,FALSE),"-")</f>
        <v>-</v>
      </c>
      <c r="L392" s="78" t="str">
        <f>+IFERROR(VLOOKUP(B392,'ID1&amp;5'!K:L,2,FALSE),"-")</f>
        <v>-</v>
      </c>
      <c r="M392" s="79" t="str">
        <f>+IFERROR(VLOOKUP(CONCATENATE(A392,$B$10,B392),'ID1&amp;5'!B:J,9,FALSE),"-")</f>
        <v>-</v>
      </c>
      <c r="N392" s="79" t="str">
        <f>+IFERROR(VLOOKUP(CONCATENATE(A392,$C$10,C392),'ID1&amp;5'!B:J,8,FALSE),"-")</f>
        <v>-</v>
      </c>
      <c r="O392" s="78" t="str">
        <f>+IFERROR(VLOOKUP(C392,'ID1&amp;5'!K:L,2,FALSE),"-")</f>
        <v>-</v>
      </c>
      <c r="P392" s="79" t="str">
        <f>+IFERROR(VLOOKUP(CONCATENATE(A392,$C$10,C392),'ID1&amp;5'!B:J,9,FALSE),"-")</f>
        <v>-</v>
      </c>
      <c r="Q392" s="78" t="str">
        <f>+IFERROR(VLOOKUP(D392,'ID1&amp;5'!K:L,2,FALSE),"-")</f>
        <v>-</v>
      </c>
      <c r="R392" s="26" t="str">
        <f>+IFERROR(VLOOKUP(CONCATENATE(A392,$D$10,D392),'ID1&amp;5'!B:J,9,FALSE),"-")</f>
        <v>-</v>
      </c>
      <c r="S392" s="78" t="str">
        <f>+IFERROR(VLOOKUP(E392,'ID1&amp;5'!K:L,2,FALSE),"-")</f>
        <v>-</v>
      </c>
      <c r="T392" s="79" t="str">
        <f>+IFERROR(VLOOKUP(CONCATENATE(A392,$E$10,E392),'ID1&amp;5'!B:J,9,FALSE),"-")</f>
        <v>-</v>
      </c>
      <c r="U392" s="78" t="str">
        <f>+IFERROR(VLOOKUP(F392,'ID1&amp;5'!K:L,2,FALSE),"-")</f>
        <v>-</v>
      </c>
      <c r="V392" s="79" t="str">
        <f>+IFERROR(VLOOKUP(CONCATENATE(A392,$F$10,F392),'ID1&amp;5'!B:J,9,FALSE),"-")</f>
        <v>-</v>
      </c>
      <c r="W392" s="26" t="str">
        <f>+IFERROR(VLOOKUP(A392,'ID6&amp;7'!A:I,9,FALSE),"-")</f>
        <v>-</v>
      </c>
      <c r="X392" s="26" t="str">
        <f>+IFERROR(VLOOKUP(A392,'ID6&amp;7'!A:J,10,FALSE),"-")</f>
        <v>-</v>
      </c>
      <c r="Y392" s="26"/>
      <c r="Z392" s="27" t="str">
        <f t="shared" si="7"/>
        <v>Por iniciar</v>
      </c>
      <c r="AA392" s="65"/>
    </row>
    <row r="393" spans="1:27">
      <c r="A393" s="20"/>
      <c r="B393" s="60"/>
      <c r="C393" s="60"/>
      <c r="D393" s="60"/>
      <c r="E393" s="60"/>
      <c r="F393" s="60"/>
      <c r="G393" s="60"/>
      <c r="H393" s="65" t="s">
        <v>118</v>
      </c>
      <c r="I393" s="21" t="s">
        <v>1423</v>
      </c>
      <c r="J393" s="26">
        <f>+COUNTIF('ID1&amp;5'!G:G,'1. Status'!I393)</f>
        <v>0</v>
      </c>
      <c r="K393" s="79" t="str">
        <f>+IFERROR(VLOOKUP(CONCATENATE(A393,$B$10,B393),'ID1&amp;5'!B:J,8,FALSE),"-")</f>
        <v>-</v>
      </c>
      <c r="L393" s="78" t="str">
        <f>+IFERROR(VLOOKUP(B393,'ID1&amp;5'!K:L,2,FALSE),"-")</f>
        <v>-</v>
      </c>
      <c r="M393" s="79" t="str">
        <f>+IFERROR(VLOOKUP(CONCATENATE(A393,$B$10,B393),'ID1&amp;5'!B:J,9,FALSE),"-")</f>
        <v>-</v>
      </c>
      <c r="N393" s="79" t="str">
        <f>+IFERROR(VLOOKUP(CONCATENATE(A393,$C$10,C393),'ID1&amp;5'!B:J,8,FALSE),"-")</f>
        <v>-</v>
      </c>
      <c r="O393" s="78" t="str">
        <f>+IFERROR(VLOOKUP(C393,'ID1&amp;5'!K:L,2,FALSE),"-")</f>
        <v>-</v>
      </c>
      <c r="P393" s="79" t="str">
        <f>+IFERROR(VLOOKUP(CONCATENATE(A393,$C$10,C393),'ID1&amp;5'!B:J,9,FALSE),"-")</f>
        <v>-</v>
      </c>
      <c r="Q393" s="78" t="str">
        <f>+IFERROR(VLOOKUP(D393,'ID1&amp;5'!K:L,2,FALSE),"-")</f>
        <v>-</v>
      </c>
      <c r="R393" s="26" t="str">
        <f>+IFERROR(VLOOKUP(CONCATENATE(A393,$D$10,D393),'ID1&amp;5'!B:J,9,FALSE),"-")</f>
        <v>-</v>
      </c>
      <c r="S393" s="78" t="str">
        <f>+IFERROR(VLOOKUP(E393,'ID1&amp;5'!K:L,2,FALSE),"-")</f>
        <v>-</v>
      </c>
      <c r="T393" s="79" t="str">
        <f>+IFERROR(VLOOKUP(CONCATENATE(A393,$E$10,E393),'ID1&amp;5'!B:J,9,FALSE),"-")</f>
        <v>-</v>
      </c>
      <c r="U393" s="78" t="str">
        <f>+IFERROR(VLOOKUP(F393,'ID1&amp;5'!K:L,2,FALSE),"-")</f>
        <v>-</v>
      </c>
      <c r="V393" s="79" t="str">
        <f>+IFERROR(VLOOKUP(CONCATENATE(A393,$F$10,F393),'ID1&amp;5'!B:J,9,FALSE),"-")</f>
        <v>-</v>
      </c>
      <c r="W393" s="26" t="str">
        <f>+IFERROR(VLOOKUP(A393,'ID6&amp;7'!A:I,9,FALSE),"-")</f>
        <v>-</v>
      </c>
      <c r="X393" s="26" t="str">
        <f>+IFERROR(VLOOKUP(A393,'ID6&amp;7'!A:J,10,FALSE),"-")</f>
        <v>-</v>
      </c>
      <c r="Y393" s="26"/>
      <c r="Z393" s="27" t="str">
        <f t="shared" si="7"/>
        <v>Por iniciar</v>
      </c>
      <c r="AA393" s="65"/>
    </row>
    <row r="394" spans="1:27">
      <c r="A394" s="20"/>
      <c r="B394" s="60"/>
      <c r="C394" s="60"/>
      <c r="D394" s="60"/>
      <c r="E394" s="60"/>
      <c r="F394" s="60"/>
      <c r="G394" s="60"/>
      <c r="H394" s="65" t="s">
        <v>118</v>
      </c>
      <c r="I394" s="21" t="s">
        <v>285</v>
      </c>
      <c r="J394" s="26">
        <f>+COUNTIF('ID1&amp;5'!G:G,'1. Status'!I394)</f>
        <v>0</v>
      </c>
      <c r="K394" s="79" t="str">
        <f>+IFERROR(VLOOKUP(CONCATENATE(A394,$B$10,B394),'ID1&amp;5'!B:J,8,FALSE),"-")</f>
        <v>-</v>
      </c>
      <c r="L394" s="78" t="str">
        <f>+IFERROR(VLOOKUP(B394,'ID1&amp;5'!K:L,2,FALSE),"-")</f>
        <v>-</v>
      </c>
      <c r="M394" s="79" t="str">
        <f>+IFERROR(VLOOKUP(CONCATENATE(A394,$B$10,B394),'ID1&amp;5'!B:J,9,FALSE),"-")</f>
        <v>-</v>
      </c>
      <c r="N394" s="79" t="str">
        <f>+IFERROR(VLOOKUP(CONCATENATE(A394,$C$10,C394),'ID1&amp;5'!B:J,8,FALSE),"-")</f>
        <v>-</v>
      </c>
      <c r="O394" s="78" t="str">
        <f>+IFERROR(VLOOKUP(C394,'ID1&amp;5'!K:L,2,FALSE),"-")</f>
        <v>-</v>
      </c>
      <c r="P394" s="79" t="str">
        <f>+IFERROR(VLOOKUP(CONCATENATE(A394,$C$10,C394),'ID1&amp;5'!B:J,9,FALSE),"-")</f>
        <v>-</v>
      </c>
      <c r="Q394" s="78" t="str">
        <f>+IFERROR(VLOOKUP(D394,'ID1&amp;5'!K:L,2,FALSE),"-")</f>
        <v>-</v>
      </c>
      <c r="R394" s="26" t="str">
        <f>+IFERROR(VLOOKUP(CONCATENATE(A394,$D$10,D394),'ID1&amp;5'!B:J,9,FALSE),"-")</f>
        <v>-</v>
      </c>
      <c r="S394" s="78" t="str">
        <f>+IFERROR(VLOOKUP(E394,'ID1&amp;5'!K:L,2,FALSE),"-")</f>
        <v>-</v>
      </c>
      <c r="T394" s="79" t="str">
        <f>+IFERROR(VLOOKUP(CONCATENATE(A394,$E$10,E394),'ID1&amp;5'!B:J,9,FALSE),"-")</f>
        <v>-</v>
      </c>
      <c r="U394" s="78" t="str">
        <f>+IFERROR(VLOOKUP(F394,'ID1&amp;5'!K:L,2,FALSE),"-")</f>
        <v>-</v>
      </c>
      <c r="V394" s="79" t="str">
        <f>+IFERROR(VLOOKUP(CONCATENATE(A394,$F$10,F394),'ID1&amp;5'!B:J,9,FALSE),"-")</f>
        <v>-</v>
      </c>
      <c r="W394" s="26" t="str">
        <f>+IFERROR(VLOOKUP(A394,'ID6&amp;7'!A:I,9,FALSE),"-")</f>
        <v>-</v>
      </c>
      <c r="X394" s="26" t="str">
        <f>+IFERROR(VLOOKUP(A394,'ID6&amp;7'!A:J,10,FALSE),"-")</f>
        <v>-</v>
      </c>
      <c r="Y394" s="26"/>
      <c r="Z394" s="27" t="str">
        <f t="shared" si="7"/>
        <v>Por iniciar</v>
      </c>
      <c r="AA394" s="65"/>
    </row>
    <row r="395" spans="1:27">
      <c r="A395" s="20"/>
      <c r="B395" s="60"/>
      <c r="C395" s="60"/>
      <c r="D395" s="60"/>
      <c r="E395" s="60"/>
      <c r="F395" s="60"/>
      <c r="G395" s="60"/>
      <c r="H395" s="65" t="s">
        <v>118</v>
      </c>
      <c r="I395" s="21" t="s">
        <v>1424</v>
      </c>
      <c r="J395" s="26">
        <f>+COUNTIF('ID1&amp;5'!G:G,'1. Status'!I395)</f>
        <v>0</v>
      </c>
      <c r="K395" s="79" t="str">
        <f>+IFERROR(VLOOKUP(CONCATENATE(A395,$B$10,B395),'ID1&amp;5'!B:J,8,FALSE),"-")</f>
        <v>-</v>
      </c>
      <c r="L395" s="78" t="str">
        <f>+IFERROR(VLOOKUP(B395,'ID1&amp;5'!K:L,2,FALSE),"-")</f>
        <v>-</v>
      </c>
      <c r="M395" s="79" t="str">
        <f>+IFERROR(VLOOKUP(CONCATENATE(A395,$B$10,B395),'ID1&amp;5'!B:J,9,FALSE),"-")</f>
        <v>-</v>
      </c>
      <c r="N395" s="79" t="str">
        <f>+IFERROR(VLOOKUP(CONCATENATE(A395,$C$10,C395),'ID1&amp;5'!B:J,8,FALSE),"-")</f>
        <v>-</v>
      </c>
      <c r="O395" s="78" t="str">
        <f>+IFERROR(VLOOKUP(C395,'ID1&amp;5'!K:L,2,FALSE),"-")</f>
        <v>-</v>
      </c>
      <c r="P395" s="79" t="str">
        <f>+IFERROR(VLOOKUP(CONCATENATE(A395,$C$10,C395),'ID1&amp;5'!B:J,9,FALSE),"-")</f>
        <v>-</v>
      </c>
      <c r="Q395" s="78" t="str">
        <f>+IFERROR(VLOOKUP(D395,'ID1&amp;5'!K:L,2,FALSE),"-")</f>
        <v>-</v>
      </c>
      <c r="R395" s="26" t="str">
        <f>+IFERROR(VLOOKUP(CONCATENATE(A395,$D$10,D395),'ID1&amp;5'!B:J,9,FALSE),"-")</f>
        <v>-</v>
      </c>
      <c r="S395" s="78" t="str">
        <f>+IFERROR(VLOOKUP(E395,'ID1&amp;5'!K:L,2,FALSE),"-")</f>
        <v>-</v>
      </c>
      <c r="T395" s="79" t="str">
        <f>+IFERROR(VLOOKUP(CONCATENATE(A395,$E$10,E395),'ID1&amp;5'!B:J,9,FALSE),"-")</f>
        <v>-</v>
      </c>
      <c r="U395" s="78" t="str">
        <f>+IFERROR(VLOOKUP(F395,'ID1&amp;5'!K:L,2,FALSE),"-")</f>
        <v>-</v>
      </c>
      <c r="V395" s="79" t="str">
        <f>+IFERROR(VLOOKUP(CONCATENATE(A395,$F$10,F395),'ID1&amp;5'!B:J,9,FALSE),"-")</f>
        <v>-</v>
      </c>
      <c r="W395" s="26" t="str">
        <f>+IFERROR(VLOOKUP(A395,'ID6&amp;7'!A:I,9,FALSE),"-")</f>
        <v>-</v>
      </c>
      <c r="X395" s="26" t="str">
        <f>+IFERROR(VLOOKUP(A395,'ID6&amp;7'!A:J,10,FALSE),"-")</f>
        <v>-</v>
      </c>
      <c r="Y395" s="26"/>
      <c r="Z395" s="27" t="str">
        <f t="shared" si="7"/>
        <v>Por iniciar</v>
      </c>
      <c r="AA395" s="65"/>
    </row>
    <row r="396" spans="1:27">
      <c r="A396" s="20"/>
      <c r="B396" s="60"/>
      <c r="C396" s="60"/>
      <c r="D396" s="60"/>
      <c r="E396" s="60"/>
      <c r="F396" s="60"/>
      <c r="G396" s="60"/>
      <c r="H396" s="65" t="s">
        <v>118</v>
      </c>
      <c r="I396" s="21" t="s">
        <v>1425</v>
      </c>
      <c r="J396" s="26">
        <f>+COUNTIF('ID1&amp;5'!G:G,'1. Status'!I396)</f>
        <v>0</v>
      </c>
      <c r="K396" s="79" t="str">
        <f>+IFERROR(VLOOKUP(CONCATENATE(A396,$B$10,B396),'ID1&amp;5'!B:J,8,FALSE),"-")</f>
        <v>-</v>
      </c>
      <c r="L396" s="78" t="str">
        <f>+IFERROR(VLOOKUP(B396,'ID1&amp;5'!K:L,2,FALSE),"-")</f>
        <v>-</v>
      </c>
      <c r="M396" s="79" t="str">
        <f>+IFERROR(VLOOKUP(CONCATENATE(A396,$B$10,B396),'ID1&amp;5'!B:J,9,FALSE),"-")</f>
        <v>-</v>
      </c>
      <c r="N396" s="79" t="str">
        <f>+IFERROR(VLOOKUP(CONCATENATE(A396,$C$10,C396),'ID1&amp;5'!B:J,8,FALSE),"-")</f>
        <v>-</v>
      </c>
      <c r="O396" s="78" t="str">
        <f>+IFERROR(VLOOKUP(C396,'ID1&amp;5'!K:L,2,FALSE),"-")</f>
        <v>-</v>
      </c>
      <c r="P396" s="79" t="str">
        <f>+IFERROR(VLOOKUP(CONCATENATE(A396,$C$10,C396),'ID1&amp;5'!B:J,9,FALSE),"-")</f>
        <v>-</v>
      </c>
      <c r="Q396" s="78" t="str">
        <f>+IFERROR(VLOOKUP(D396,'ID1&amp;5'!K:L,2,FALSE),"-")</f>
        <v>-</v>
      </c>
      <c r="R396" s="26" t="str">
        <f>+IFERROR(VLOOKUP(CONCATENATE(A396,$D$10,D396),'ID1&amp;5'!B:J,9,FALSE),"-")</f>
        <v>-</v>
      </c>
      <c r="S396" s="78" t="str">
        <f>+IFERROR(VLOOKUP(E396,'ID1&amp;5'!K:L,2,FALSE),"-")</f>
        <v>-</v>
      </c>
      <c r="T396" s="79" t="str">
        <f>+IFERROR(VLOOKUP(CONCATENATE(A396,$E$10,E396),'ID1&amp;5'!B:J,9,FALSE),"-")</f>
        <v>-</v>
      </c>
      <c r="U396" s="78" t="str">
        <f>+IFERROR(VLOOKUP(F396,'ID1&amp;5'!K:L,2,FALSE),"-")</f>
        <v>-</v>
      </c>
      <c r="V396" s="79" t="str">
        <f>+IFERROR(VLOOKUP(CONCATENATE(A396,$F$10,F396),'ID1&amp;5'!B:J,9,FALSE),"-")</f>
        <v>-</v>
      </c>
      <c r="W396" s="26" t="str">
        <f>+IFERROR(VLOOKUP(A396,'ID6&amp;7'!A:I,9,FALSE),"-")</f>
        <v>-</v>
      </c>
      <c r="X396" s="26" t="str">
        <f>+IFERROR(VLOOKUP(A396,'ID6&amp;7'!A:J,10,FALSE),"-")</f>
        <v>-</v>
      </c>
      <c r="Y396" s="26"/>
      <c r="Z396" s="27" t="str">
        <f t="shared" si="7"/>
        <v>Por iniciar</v>
      </c>
      <c r="AA396" s="65"/>
    </row>
    <row r="397" spans="1:27">
      <c r="A397" s="20"/>
      <c r="B397" s="60"/>
      <c r="C397" s="60"/>
      <c r="D397" s="60"/>
      <c r="E397" s="60"/>
      <c r="F397" s="60"/>
      <c r="G397" s="60"/>
      <c r="H397" s="65" t="s">
        <v>118</v>
      </c>
      <c r="I397" s="21" t="s">
        <v>1426</v>
      </c>
      <c r="J397" s="26">
        <f>+COUNTIF('ID1&amp;5'!G:G,'1. Status'!I397)</f>
        <v>0</v>
      </c>
      <c r="K397" s="79" t="str">
        <f>+IFERROR(VLOOKUP(CONCATENATE(A397,$B$10,B397),'ID1&amp;5'!B:J,8,FALSE),"-")</f>
        <v>-</v>
      </c>
      <c r="L397" s="78" t="str">
        <f>+IFERROR(VLOOKUP(B397,'ID1&amp;5'!K:L,2,FALSE),"-")</f>
        <v>-</v>
      </c>
      <c r="M397" s="79" t="str">
        <f>+IFERROR(VLOOKUP(CONCATENATE(A397,$B$10,B397),'ID1&amp;5'!B:J,9,FALSE),"-")</f>
        <v>-</v>
      </c>
      <c r="N397" s="79" t="str">
        <f>+IFERROR(VLOOKUP(CONCATENATE(A397,$C$10,C397),'ID1&amp;5'!B:J,8,FALSE),"-")</f>
        <v>-</v>
      </c>
      <c r="O397" s="78" t="str">
        <f>+IFERROR(VLOOKUP(C397,'ID1&amp;5'!K:L,2,FALSE),"-")</f>
        <v>-</v>
      </c>
      <c r="P397" s="79" t="str">
        <f>+IFERROR(VLOOKUP(CONCATENATE(A397,$C$10,C397),'ID1&amp;5'!B:J,9,FALSE),"-")</f>
        <v>-</v>
      </c>
      <c r="Q397" s="78" t="str">
        <f>+IFERROR(VLOOKUP(D397,'ID1&amp;5'!K:L,2,FALSE),"-")</f>
        <v>-</v>
      </c>
      <c r="R397" s="26" t="str">
        <f>+IFERROR(VLOOKUP(CONCATENATE(A397,$D$10,D397),'ID1&amp;5'!B:J,9,FALSE),"-")</f>
        <v>-</v>
      </c>
      <c r="S397" s="78" t="str">
        <f>+IFERROR(VLOOKUP(E397,'ID1&amp;5'!K:L,2,FALSE),"-")</f>
        <v>-</v>
      </c>
      <c r="T397" s="79" t="str">
        <f>+IFERROR(VLOOKUP(CONCATENATE(A397,$E$10,E397),'ID1&amp;5'!B:J,9,FALSE),"-")</f>
        <v>-</v>
      </c>
      <c r="U397" s="78" t="str">
        <f>+IFERROR(VLOOKUP(F397,'ID1&amp;5'!K:L,2,FALSE),"-")</f>
        <v>-</v>
      </c>
      <c r="V397" s="79" t="str">
        <f>+IFERROR(VLOOKUP(CONCATENATE(A397,$F$10,F397),'ID1&amp;5'!B:J,9,FALSE),"-")</f>
        <v>-</v>
      </c>
      <c r="W397" s="26" t="str">
        <f>+IFERROR(VLOOKUP(A397,'ID6&amp;7'!A:I,9,FALSE),"-")</f>
        <v>-</v>
      </c>
      <c r="X397" s="26" t="str">
        <f>+IFERROR(VLOOKUP(A397,'ID6&amp;7'!A:J,10,FALSE),"-")</f>
        <v>-</v>
      </c>
      <c r="Y397" s="26"/>
      <c r="Z397" s="27" t="str">
        <f t="shared" si="7"/>
        <v>Por iniciar</v>
      </c>
      <c r="AA397" s="65"/>
    </row>
    <row r="398" spans="1:27">
      <c r="A398" s="20"/>
      <c r="B398" s="60"/>
      <c r="C398" s="60"/>
      <c r="D398" s="60"/>
      <c r="E398" s="60"/>
      <c r="F398" s="60"/>
      <c r="G398" s="60"/>
      <c r="H398" s="65" t="s">
        <v>118</v>
      </c>
      <c r="I398" s="21" t="s">
        <v>1164</v>
      </c>
      <c r="J398" s="26">
        <f>+COUNTIF('ID1&amp;5'!G:G,'1. Status'!I398)</f>
        <v>0</v>
      </c>
      <c r="K398" s="79" t="str">
        <f>+IFERROR(VLOOKUP(CONCATENATE(A398,$B$10,B398),'ID1&amp;5'!B:J,8,FALSE),"-")</f>
        <v>-</v>
      </c>
      <c r="L398" s="78" t="str">
        <f>+IFERROR(VLOOKUP(B398,'ID1&amp;5'!K:L,2,FALSE),"-")</f>
        <v>-</v>
      </c>
      <c r="M398" s="79" t="str">
        <f>+IFERROR(VLOOKUP(CONCATENATE(A398,$B$10,B398),'ID1&amp;5'!B:J,9,FALSE),"-")</f>
        <v>-</v>
      </c>
      <c r="N398" s="79" t="str">
        <f>+IFERROR(VLOOKUP(CONCATENATE(A398,$C$10,C398),'ID1&amp;5'!B:J,8,FALSE),"-")</f>
        <v>-</v>
      </c>
      <c r="O398" s="78" t="str">
        <f>+IFERROR(VLOOKUP(C398,'ID1&amp;5'!K:L,2,FALSE),"-")</f>
        <v>-</v>
      </c>
      <c r="P398" s="79" t="str">
        <f>+IFERROR(VLOOKUP(CONCATENATE(A398,$C$10,C398),'ID1&amp;5'!B:J,9,FALSE),"-")</f>
        <v>-</v>
      </c>
      <c r="Q398" s="78" t="str">
        <f>+IFERROR(VLOOKUP(D398,'ID1&amp;5'!K:L,2,FALSE),"-")</f>
        <v>-</v>
      </c>
      <c r="R398" s="26" t="str">
        <f>+IFERROR(VLOOKUP(CONCATENATE(A398,$D$10,D398),'ID1&amp;5'!B:J,9,FALSE),"-")</f>
        <v>-</v>
      </c>
      <c r="S398" s="78" t="str">
        <f>+IFERROR(VLOOKUP(E398,'ID1&amp;5'!K:L,2,FALSE),"-")</f>
        <v>-</v>
      </c>
      <c r="T398" s="79" t="str">
        <f>+IFERROR(VLOOKUP(CONCATENATE(A398,$E$10,E398),'ID1&amp;5'!B:J,9,FALSE),"-")</f>
        <v>-</v>
      </c>
      <c r="U398" s="78" t="str">
        <f>+IFERROR(VLOOKUP(F398,'ID1&amp;5'!K:L,2,FALSE),"-")</f>
        <v>-</v>
      </c>
      <c r="V398" s="79" t="str">
        <f>+IFERROR(VLOOKUP(CONCATENATE(A398,$F$10,F398),'ID1&amp;5'!B:J,9,FALSE),"-")</f>
        <v>-</v>
      </c>
      <c r="W398" s="26" t="str">
        <f>+IFERROR(VLOOKUP(A398,'ID6&amp;7'!A:I,9,FALSE),"-")</f>
        <v>-</v>
      </c>
      <c r="X398" s="26" t="str">
        <f>+IFERROR(VLOOKUP(A398,'ID6&amp;7'!A:J,10,FALSE),"-")</f>
        <v>-</v>
      </c>
      <c r="Y398" s="26"/>
      <c r="Z398" s="27" t="str">
        <f t="shared" si="7"/>
        <v>Por iniciar</v>
      </c>
      <c r="AA398" s="65"/>
    </row>
    <row r="399" spans="1:27">
      <c r="A399" s="20"/>
      <c r="B399" s="60"/>
      <c r="C399" s="60"/>
      <c r="D399" s="60"/>
      <c r="E399" s="60"/>
      <c r="F399" s="60"/>
      <c r="G399" s="60"/>
      <c r="H399" s="65" t="s">
        <v>118</v>
      </c>
      <c r="I399" s="21" t="s">
        <v>664</v>
      </c>
      <c r="J399" s="26">
        <f>+COUNTIF('ID1&amp;5'!G:G,'1. Status'!I399)</f>
        <v>0</v>
      </c>
      <c r="K399" s="79" t="str">
        <f>+IFERROR(VLOOKUP(CONCATENATE(A399,$B$10,B399),'ID1&amp;5'!B:J,8,FALSE),"-")</f>
        <v>-</v>
      </c>
      <c r="L399" s="78" t="str">
        <f>+IFERROR(VLOOKUP(B399,'ID1&amp;5'!K:L,2,FALSE),"-")</f>
        <v>-</v>
      </c>
      <c r="M399" s="79" t="str">
        <f>+IFERROR(VLOOKUP(CONCATENATE(A399,$B$10,B399),'ID1&amp;5'!B:J,9,FALSE),"-")</f>
        <v>-</v>
      </c>
      <c r="N399" s="79" t="str">
        <f>+IFERROR(VLOOKUP(CONCATENATE(A399,$C$10,C399),'ID1&amp;5'!B:J,8,FALSE),"-")</f>
        <v>-</v>
      </c>
      <c r="O399" s="78" t="str">
        <f>+IFERROR(VLOOKUP(C399,'ID1&amp;5'!K:L,2,FALSE),"-")</f>
        <v>-</v>
      </c>
      <c r="P399" s="79" t="str">
        <f>+IFERROR(VLOOKUP(CONCATENATE(A399,$C$10,C399),'ID1&amp;5'!B:J,9,FALSE),"-")</f>
        <v>-</v>
      </c>
      <c r="Q399" s="78" t="str">
        <f>+IFERROR(VLOOKUP(D399,'ID1&amp;5'!K:L,2,FALSE),"-")</f>
        <v>-</v>
      </c>
      <c r="R399" s="26" t="str">
        <f>+IFERROR(VLOOKUP(CONCATENATE(A399,$D$10,D399),'ID1&amp;5'!B:J,9,FALSE),"-")</f>
        <v>-</v>
      </c>
      <c r="S399" s="78" t="str">
        <f>+IFERROR(VLOOKUP(E399,'ID1&amp;5'!K:L,2,FALSE),"-")</f>
        <v>-</v>
      </c>
      <c r="T399" s="79" t="str">
        <f>+IFERROR(VLOOKUP(CONCATENATE(A399,$E$10,E399),'ID1&amp;5'!B:J,9,FALSE),"-")</f>
        <v>-</v>
      </c>
      <c r="U399" s="78" t="str">
        <f>+IFERROR(VLOOKUP(F399,'ID1&amp;5'!K:L,2,FALSE),"-")</f>
        <v>-</v>
      </c>
      <c r="V399" s="79" t="str">
        <f>+IFERROR(VLOOKUP(CONCATENATE(A399,$F$10,F399),'ID1&amp;5'!B:J,9,FALSE),"-")</f>
        <v>-</v>
      </c>
      <c r="W399" s="26" t="str">
        <f>+IFERROR(VLOOKUP(A399,'ID6&amp;7'!A:I,9,FALSE),"-")</f>
        <v>-</v>
      </c>
      <c r="X399" s="26" t="str">
        <f>+IFERROR(VLOOKUP(A399,'ID6&amp;7'!A:J,10,FALSE),"-")</f>
        <v>-</v>
      </c>
      <c r="Y399" s="26"/>
      <c r="Z399" s="27" t="str">
        <f t="shared" si="7"/>
        <v>Por iniciar</v>
      </c>
      <c r="AA399" s="65"/>
    </row>
    <row r="400" spans="1:27">
      <c r="A400" s="20"/>
      <c r="B400" s="60"/>
      <c r="C400" s="60"/>
      <c r="D400" s="60"/>
      <c r="E400" s="60"/>
      <c r="F400" s="60"/>
      <c r="G400" s="60"/>
      <c r="H400" s="65" t="s">
        <v>118</v>
      </c>
      <c r="I400" s="21" t="s">
        <v>1427</v>
      </c>
      <c r="J400" s="26">
        <f>+COUNTIF('ID1&amp;5'!G:G,'1. Status'!I400)</f>
        <v>0</v>
      </c>
      <c r="K400" s="79" t="str">
        <f>+IFERROR(VLOOKUP(CONCATENATE(A400,$B$10,B400),'ID1&amp;5'!B:J,8,FALSE),"-")</f>
        <v>-</v>
      </c>
      <c r="L400" s="78" t="str">
        <f>+IFERROR(VLOOKUP(B400,'ID1&amp;5'!K:L,2,FALSE),"-")</f>
        <v>-</v>
      </c>
      <c r="M400" s="79" t="str">
        <f>+IFERROR(VLOOKUP(CONCATENATE(A400,$B$10,B400),'ID1&amp;5'!B:J,9,FALSE),"-")</f>
        <v>-</v>
      </c>
      <c r="N400" s="79" t="str">
        <f>+IFERROR(VLOOKUP(CONCATENATE(A400,$C$10,C400),'ID1&amp;5'!B:J,8,FALSE),"-")</f>
        <v>-</v>
      </c>
      <c r="O400" s="78" t="str">
        <f>+IFERROR(VLOOKUP(C400,'ID1&amp;5'!K:L,2,FALSE),"-")</f>
        <v>-</v>
      </c>
      <c r="P400" s="79" t="str">
        <f>+IFERROR(VLOOKUP(CONCATENATE(A400,$C$10,C400),'ID1&amp;5'!B:J,9,FALSE),"-")</f>
        <v>-</v>
      </c>
      <c r="Q400" s="78" t="str">
        <f>+IFERROR(VLOOKUP(D400,'ID1&amp;5'!K:L,2,FALSE),"-")</f>
        <v>-</v>
      </c>
      <c r="R400" s="26" t="str">
        <f>+IFERROR(VLOOKUP(CONCATENATE(A400,$D$10,D400),'ID1&amp;5'!B:J,9,FALSE),"-")</f>
        <v>-</v>
      </c>
      <c r="S400" s="78" t="str">
        <f>+IFERROR(VLOOKUP(E400,'ID1&amp;5'!K:L,2,FALSE),"-")</f>
        <v>-</v>
      </c>
      <c r="T400" s="79" t="str">
        <f>+IFERROR(VLOOKUP(CONCATENATE(A400,$E$10,E400),'ID1&amp;5'!B:J,9,FALSE),"-")</f>
        <v>-</v>
      </c>
      <c r="U400" s="78" t="str">
        <f>+IFERROR(VLOOKUP(F400,'ID1&amp;5'!K:L,2,FALSE),"-")</f>
        <v>-</v>
      </c>
      <c r="V400" s="79" t="str">
        <f>+IFERROR(VLOOKUP(CONCATENATE(A400,$F$10,F400),'ID1&amp;5'!B:J,9,FALSE),"-")</f>
        <v>-</v>
      </c>
      <c r="W400" s="26" t="str">
        <f>+IFERROR(VLOOKUP(A400,'ID6&amp;7'!A:I,9,FALSE),"-")</f>
        <v>-</v>
      </c>
      <c r="X400" s="26" t="str">
        <f>+IFERROR(VLOOKUP(A400,'ID6&amp;7'!A:J,10,FALSE),"-")</f>
        <v>-</v>
      </c>
      <c r="Y400" s="26"/>
      <c r="Z400" s="27" t="str">
        <f t="shared" si="7"/>
        <v>Por iniciar</v>
      </c>
      <c r="AA400" s="65"/>
    </row>
    <row r="401" spans="1:27">
      <c r="A401" s="20"/>
      <c r="B401" s="60"/>
      <c r="C401" s="60"/>
      <c r="D401" s="60"/>
      <c r="E401" s="60"/>
      <c r="F401" s="60"/>
      <c r="G401" s="60"/>
      <c r="H401" s="65" t="s">
        <v>118</v>
      </c>
      <c r="I401" s="21" t="s">
        <v>1428</v>
      </c>
      <c r="J401" s="26">
        <f>+COUNTIF('ID1&amp;5'!G:G,'1. Status'!I401)</f>
        <v>0</v>
      </c>
      <c r="K401" s="79" t="str">
        <f>+IFERROR(VLOOKUP(CONCATENATE(A401,$B$10,B401),'ID1&amp;5'!B:J,8,FALSE),"-")</f>
        <v>-</v>
      </c>
      <c r="L401" s="78" t="str">
        <f>+IFERROR(VLOOKUP(B401,'ID1&amp;5'!K:L,2,FALSE),"-")</f>
        <v>-</v>
      </c>
      <c r="M401" s="79" t="str">
        <f>+IFERROR(VLOOKUP(CONCATENATE(A401,$B$10,B401),'ID1&amp;5'!B:J,9,FALSE),"-")</f>
        <v>-</v>
      </c>
      <c r="N401" s="79" t="str">
        <f>+IFERROR(VLOOKUP(CONCATENATE(A401,$C$10,C401),'ID1&amp;5'!B:J,8,FALSE),"-")</f>
        <v>-</v>
      </c>
      <c r="O401" s="78" t="str">
        <f>+IFERROR(VLOOKUP(C401,'ID1&amp;5'!K:L,2,FALSE),"-")</f>
        <v>-</v>
      </c>
      <c r="P401" s="79" t="str">
        <f>+IFERROR(VLOOKUP(CONCATENATE(A401,$C$10,C401),'ID1&amp;5'!B:J,9,FALSE),"-")</f>
        <v>-</v>
      </c>
      <c r="Q401" s="78" t="str">
        <f>+IFERROR(VLOOKUP(D401,'ID1&amp;5'!K:L,2,FALSE),"-")</f>
        <v>-</v>
      </c>
      <c r="R401" s="26" t="str">
        <f>+IFERROR(VLOOKUP(CONCATENATE(A401,$D$10,D401),'ID1&amp;5'!B:J,9,FALSE),"-")</f>
        <v>-</v>
      </c>
      <c r="S401" s="78" t="str">
        <f>+IFERROR(VLOOKUP(E401,'ID1&amp;5'!K:L,2,FALSE),"-")</f>
        <v>-</v>
      </c>
      <c r="T401" s="79" t="str">
        <f>+IFERROR(VLOOKUP(CONCATENATE(A401,$E$10,E401),'ID1&amp;5'!B:J,9,FALSE),"-")</f>
        <v>-</v>
      </c>
      <c r="U401" s="78" t="str">
        <f>+IFERROR(VLOOKUP(F401,'ID1&amp;5'!K:L,2,FALSE),"-")</f>
        <v>-</v>
      </c>
      <c r="V401" s="79" t="str">
        <f>+IFERROR(VLOOKUP(CONCATENATE(A401,$F$10,F401),'ID1&amp;5'!B:J,9,FALSE),"-")</f>
        <v>-</v>
      </c>
      <c r="W401" s="26" t="str">
        <f>+IFERROR(VLOOKUP(A401,'ID6&amp;7'!A:I,9,FALSE),"-")</f>
        <v>-</v>
      </c>
      <c r="X401" s="26" t="str">
        <f>+IFERROR(VLOOKUP(A401,'ID6&amp;7'!A:J,10,FALSE),"-")</f>
        <v>-</v>
      </c>
      <c r="Y401" s="26"/>
      <c r="Z401" s="27" t="str">
        <f t="shared" si="7"/>
        <v>Por iniciar</v>
      </c>
      <c r="AA401" s="65"/>
    </row>
    <row r="402" spans="1:27">
      <c r="A402" s="20"/>
      <c r="B402" s="60"/>
      <c r="C402" s="60"/>
      <c r="D402" s="60"/>
      <c r="E402" s="60"/>
      <c r="F402" s="60"/>
      <c r="G402" s="60"/>
      <c r="H402" s="65" t="s">
        <v>118</v>
      </c>
      <c r="I402" s="21" t="s">
        <v>1429</v>
      </c>
      <c r="J402" s="26">
        <f>+COUNTIF('ID1&amp;5'!G:G,'1. Status'!I402)</f>
        <v>0</v>
      </c>
      <c r="K402" s="79" t="str">
        <f>+IFERROR(VLOOKUP(CONCATENATE(A402,$B$10,B402),'ID1&amp;5'!B:J,8,FALSE),"-")</f>
        <v>-</v>
      </c>
      <c r="L402" s="78" t="str">
        <f>+IFERROR(VLOOKUP(B402,'ID1&amp;5'!K:L,2,FALSE),"-")</f>
        <v>-</v>
      </c>
      <c r="M402" s="79" t="str">
        <f>+IFERROR(VLOOKUP(CONCATENATE(A402,$B$10,B402),'ID1&amp;5'!B:J,9,FALSE),"-")</f>
        <v>-</v>
      </c>
      <c r="N402" s="79" t="str">
        <f>+IFERROR(VLOOKUP(CONCATENATE(A402,$C$10,C402),'ID1&amp;5'!B:J,8,FALSE),"-")</f>
        <v>-</v>
      </c>
      <c r="O402" s="78" t="str">
        <f>+IFERROR(VLOOKUP(C402,'ID1&amp;5'!K:L,2,FALSE),"-")</f>
        <v>-</v>
      </c>
      <c r="P402" s="79" t="str">
        <f>+IFERROR(VLOOKUP(CONCATENATE(A402,$C$10,C402),'ID1&amp;5'!B:J,9,FALSE),"-")</f>
        <v>-</v>
      </c>
      <c r="Q402" s="78" t="str">
        <f>+IFERROR(VLOOKUP(D402,'ID1&amp;5'!K:L,2,FALSE),"-")</f>
        <v>-</v>
      </c>
      <c r="R402" s="26" t="str">
        <f>+IFERROR(VLOOKUP(CONCATENATE(A402,$D$10,D402),'ID1&amp;5'!B:J,9,FALSE),"-")</f>
        <v>-</v>
      </c>
      <c r="S402" s="78" t="str">
        <f>+IFERROR(VLOOKUP(E402,'ID1&amp;5'!K:L,2,FALSE),"-")</f>
        <v>-</v>
      </c>
      <c r="T402" s="79" t="str">
        <f>+IFERROR(VLOOKUP(CONCATENATE(A402,$E$10,E402),'ID1&amp;5'!B:J,9,FALSE),"-")</f>
        <v>-</v>
      </c>
      <c r="U402" s="78" t="str">
        <f>+IFERROR(VLOOKUP(F402,'ID1&amp;5'!K:L,2,FALSE),"-")</f>
        <v>-</v>
      </c>
      <c r="V402" s="79" t="str">
        <f>+IFERROR(VLOOKUP(CONCATENATE(A402,$F$10,F402),'ID1&amp;5'!B:J,9,FALSE),"-")</f>
        <v>-</v>
      </c>
      <c r="W402" s="26" t="str">
        <f>+IFERROR(VLOOKUP(A402,'ID6&amp;7'!A:I,9,FALSE),"-")</f>
        <v>-</v>
      </c>
      <c r="X402" s="26" t="str">
        <f>+IFERROR(VLOOKUP(A402,'ID6&amp;7'!A:J,10,FALSE),"-")</f>
        <v>-</v>
      </c>
      <c r="Y402" s="26"/>
      <c r="Z402" s="27" t="str">
        <f t="shared" si="7"/>
        <v>Por iniciar</v>
      </c>
      <c r="AA402" s="65"/>
    </row>
    <row r="403" spans="1:27">
      <c r="A403" s="20"/>
      <c r="B403" s="60"/>
      <c r="C403" s="60"/>
      <c r="D403" s="60"/>
      <c r="E403" s="60"/>
      <c r="F403" s="60"/>
      <c r="G403" s="60"/>
      <c r="H403" s="65" t="s">
        <v>118</v>
      </c>
      <c r="I403" s="21" t="s">
        <v>1430</v>
      </c>
      <c r="J403" s="26">
        <f>+COUNTIF('ID1&amp;5'!G:G,'1. Status'!I403)</f>
        <v>0</v>
      </c>
      <c r="K403" s="79" t="str">
        <f>+IFERROR(VLOOKUP(CONCATENATE(A403,$B$10,B403),'ID1&amp;5'!B:J,8,FALSE),"-")</f>
        <v>-</v>
      </c>
      <c r="L403" s="78" t="str">
        <f>+IFERROR(VLOOKUP(B403,'ID1&amp;5'!K:L,2,FALSE),"-")</f>
        <v>-</v>
      </c>
      <c r="M403" s="79" t="str">
        <f>+IFERROR(VLOOKUP(CONCATENATE(A403,$B$10,B403),'ID1&amp;5'!B:J,9,FALSE),"-")</f>
        <v>-</v>
      </c>
      <c r="N403" s="79" t="str">
        <f>+IFERROR(VLOOKUP(CONCATENATE(A403,$C$10,C403),'ID1&amp;5'!B:J,8,FALSE),"-")</f>
        <v>-</v>
      </c>
      <c r="O403" s="78" t="str">
        <f>+IFERROR(VLOOKUP(C403,'ID1&amp;5'!K:L,2,FALSE),"-")</f>
        <v>-</v>
      </c>
      <c r="P403" s="79" t="str">
        <f>+IFERROR(VLOOKUP(CONCATENATE(A403,$C$10,C403),'ID1&amp;5'!B:J,9,FALSE),"-")</f>
        <v>-</v>
      </c>
      <c r="Q403" s="78" t="str">
        <f>+IFERROR(VLOOKUP(D403,'ID1&amp;5'!K:L,2,FALSE),"-")</f>
        <v>-</v>
      </c>
      <c r="R403" s="26" t="str">
        <f>+IFERROR(VLOOKUP(CONCATENATE(A403,$D$10,D403),'ID1&amp;5'!B:J,9,FALSE),"-")</f>
        <v>-</v>
      </c>
      <c r="S403" s="78" t="str">
        <f>+IFERROR(VLOOKUP(E403,'ID1&amp;5'!K:L,2,FALSE),"-")</f>
        <v>-</v>
      </c>
      <c r="T403" s="79" t="str">
        <f>+IFERROR(VLOOKUP(CONCATENATE(A403,$E$10,E403),'ID1&amp;5'!B:J,9,FALSE),"-")</f>
        <v>-</v>
      </c>
      <c r="U403" s="78" t="str">
        <f>+IFERROR(VLOOKUP(F403,'ID1&amp;5'!K:L,2,FALSE),"-")</f>
        <v>-</v>
      </c>
      <c r="V403" s="79" t="str">
        <f>+IFERROR(VLOOKUP(CONCATENATE(A403,$F$10,F403),'ID1&amp;5'!B:J,9,FALSE),"-")</f>
        <v>-</v>
      </c>
      <c r="W403" s="26" t="str">
        <f>+IFERROR(VLOOKUP(A403,'ID6&amp;7'!A:I,9,FALSE),"-")</f>
        <v>-</v>
      </c>
      <c r="X403" s="26" t="str">
        <f>+IFERROR(VLOOKUP(A403,'ID6&amp;7'!A:J,10,FALSE),"-")</f>
        <v>-</v>
      </c>
      <c r="Y403" s="26"/>
      <c r="Z403" s="27" t="str">
        <f t="shared" si="7"/>
        <v>Por iniciar</v>
      </c>
      <c r="AA403" s="65"/>
    </row>
    <row r="404" spans="1:27">
      <c r="A404" s="20"/>
      <c r="B404" s="60"/>
      <c r="C404" s="60"/>
      <c r="D404" s="60"/>
      <c r="E404" s="60"/>
      <c r="F404" s="60"/>
      <c r="G404" s="60"/>
      <c r="H404" s="65" t="s">
        <v>118</v>
      </c>
      <c r="I404" s="21" t="s">
        <v>1431</v>
      </c>
      <c r="J404" s="26">
        <f>+COUNTIF('ID1&amp;5'!G:G,'1. Status'!I404)</f>
        <v>0</v>
      </c>
      <c r="K404" s="79" t="str">
        <f>+IFERROR(VLOOKUP(CONCATENATE(A404,$B$10,B404),'ID1&amp;5'!B:J,8,FALSE),"-")</f>
        <v>-</v>
      </c>
      <c r="L404" s="78" t="str">
        <f>+IFERROR(VLOOKUP(B404,'ID1&amp;5'!K:L,2,FALSE),"-")</f>
        <v>-</v>
      </c>
      <c r="M404" s="79" t="str">
        <f>+IFERROR(VLOOKUP(CONCATENATE(A404,$B$10,B404),'ID1&amp;5'!B:J,9,FALSE),"-")</f>
        <v>-</v>
      </c>
      <c r="N404" s="79" t="str">
        <f>+IFERROR(VLOOKUP(CONCATENATE(A404,$C$10,C404),'ID1&amp;5'!B:J,8,FALSE),"-")</f>
        <v>-</v>
      </c>
      <c r="O404" s="78" t="str">
        <f>+IFERROR(VLOOKUP(C404,'ID1&amp;5'!K:L,2,FALSE),"-")</f>
        <v>-</v>
      </c>
      <c r="P404" s="79" t="str">
        <f>+IFERROR(VLOOKUP(CONCATENATE(A404,$C$10,C404),'ID1&amp;5'!B:J,9,FALSE),"-")</f>
        <v>-</v>
      </c>
      <c r="Q404" s="78" t="str">
        <f>+IFERROR(VLOOKUP(D404,'ID1&amp;5'!K:L,2,FALSE),"-")</f>
        <v>-</v>
      </c>
      <c r="R404" s="26" t="str">
        <f>+IFERROR(VLOOKUP(CONCATENATE(A404,$D$10,D404),'ID1&amp;5'!B:J,9,FALSE),"-")</f>
        <v>-</v>
      </c>
      <c r="S404" s="78" t="str">
        <f>+IFERROR(VLOOKUP(E404,'ID1&amp;5'!K:L,2,FALSE),"-")</f>
        <v>-</v>
      </c>
      <c r="T404" s="79" t="str">
        <f>+IFERROR(VLOOKUP(CONCATENATE(A404,$E$10,E404),'ID1&amp;5'!B:J,9,FALSE),"-")</f>
        <v>-</v>
      </c>
      <c r="U404" s="78" t="str">
        <f>+IFERROR(VLOOKUP(F404,'ID1&amp;5'!K:L,2,FALSE),"-")</f>
        <v>-</v>
      </c>
      <c r="V404" s="79" t="str">
        <f>+IFERROR(VLOOKUP(CONCATENATE(A404,$F$10,F404),'ID1&amp;5'!B:J,9,FALSE),"-")</f>
        <v>-</v>
      </c>
      <c r="W404" s="26" t="str">
        <f>+IFERROR(VLOOKUP(A404,'ID6&amp;7'!A:I,9,FALSE),"-")</f>
        <v>-</v>
      </c>
      <c r="X404" s="26" t="str">
        <f>+IFERROR(VLOOKUP(A404,'ID6&amp;7'!A:J,10,FALSE),"-")</f>
        <v>-</v>
      </c>
      <c r="Y404" s="26"/>
      <c r="Z404" s="27" t="str">
        <f t="shared" si="7"/>
        <v>Por iniciar</v>
      </c>
      <c r="AA404" s="65"/>
    </row>
    <row r="405" spans="1:27">
      <c r="A405" s="20"/>
      <c r="B405" s="60"/>
      <c r="C405" s="60"/>
      <c r="D405" s="60"/>
      <c r="E405" s="60"/>
      <c r="F405" s="60"/>
      <c r="G405" s="60"/>
      <c r="H405" s="65" t="s">
        <v>118</v>
      </c>
      <c r="I405" s="21" t="s">
        <v>1432</v>
      </c>
      <c r="J405" s="26">
        <f>+COUNTIF('ID1&amp;5'!G:G,'1. Status'!I405)</f>
        <v>0</v>
      </c>
      <c r="K405" s="79" t="str">
        <f>+IFERROR(VLOOKUP(CONCATENATE(A405,$B$10,B405),'ID1&amp;5'!B:J,8,FALSE),"-")</f>
        <v>-</v>
      </c>
      <c r="L405" s="78" t="str">
        <f>+IFERROR(VLOOKUP(B405,'ID1&amp;5'!K:L,2,FALSE),"-")</f>
        <v>-</v>
      </c>
      <c r="M405" s="79" t="str">
        <f>+IFERROR(VLOOKUP(CONCATENATE(A405,$B$10,B405),'ID1&amp;5'!B:J,9,FALSE),"-")</f>
        <v>-</v>
      </c>
      <c r="N405" s="79" t="str">
        <f>+IFERROR(VLOOKUP(CONCATENATE(A405,$C$10,C405),'ID1&amp;5'!B:J,8,FALSE),"-")</f>
        <v>-</v>
      </c>
      <c r="O405" s="78" t="str">
        <f>+IFERROR(VLOOKUP(C405,'ID1&amp;5'!K:L,2,FALSE),"-")</f>
        <v>-</v>
      </c>
      <c r="P405" s="79" t="str">
        <f>+IFERROR(VLOOKUP(CONCATENATE(A405,$C$10,C405),'ID1&amp;5'!B:J,9,FALSE),"-")</f>
        <v>-</v>
      </c>
      <c r="Q405" s="78" t="str">
        <f>+IFERROR(VLOOKUP(D405,'ID1&amp;5'!K:L,2,FALSE),"-")</f>
        <v>-</v>
      </c>
      <c r="R405" s="26" t="str">
        <f>+IFERROR(VLOOKUP(CONCATENATE(A405,$D$10,D405),'ID1&amp;5'!B:J,9,FALSE),"-")</f>
        <v>-</v>
      </c>
      <c r="S405" s="78" t="str">
        <f>+IFERROR(VLOOKUP(E405,'ID1&amp;5'!K:L,2,FALSE),"-")</f>
        <v>-</v>
      </c>
      <c r="T405" s="79" t="str">
        <f>+IFERROR(VLOOKUP(CONCATENATE(A405,$E$10,E405),'ID1&amp;5'!B:J,9,FALSE),"-")</f>
        <v>-</v>
      </c>
      <c r="U405" s="78" t="str">
        <f>+IFERROR(VLOOKUP(F405,'ID1&amp;5'!K:L,2,FALSE),"-")</f>
        <v>-</v>
      </c>
      <c r="V405" s="79" t="str">
        <f>+IFERROR(VLOOKUP(CONCATENATE(A405,$F$10,F405),'ID1&amp;5'!B:J,9,FALSE),"-")</f>
        <v>-</v>
      </c>
      <c r="W405" s="26" t="str">
        <f>+IFERROR(VLOOKUP(A405,'ID6&amp;7'!A:I,9,FALSE),"-")</f>
        <v>-</v>
      </c>
      <c r="X405" s="26" t="str">
        <f>+IFERROR(VLOOKUP(A405,'ID6&amp;7'!A:J,10,FALSE),"-")</f>
        <v>-</v>
      </c>
      <c r="Y405" s="26"/>
      <c r="Z405" s="27" t="str">
        <f t="shared" si="7"/>
        <v>Por iniciar</v>
      </c>
      <c r="AA405" s="65"/>
    </row>
    <row r="406" spans="1:27">
      <c r="A406" s="20"/>
      <c r="B406" s="60"/>
      <c r="C406" s="60"/>
      <c r="D406" s="60"/>
      <c r="E406" s="60"/>
      <c r="F406" s="60"/>
      <c r="G406" s="60"/>
      <c r="H406" s="65" t="s">
        <v>118</v>
      </c>
      <c r="I406" s="21" t="s">
        <v>1433</v>
      </c>
      <c r="J406" s="26">
        <f>+COUNTIF('ID1&amp;5'!G:G,'1. Status'!I406)</f>
        <v>0</v>
      </c>
      <c r="K406" s="79" t="str">
        <f>+IFERROR(VLOOKUP(CONCATENATE(A406,$B$10,B406),'ID1&amp;5'!B:J,8,FALSE),"-")</f>
        <v>-</v>
      </c>
      <c r="L406" s="78" t="str">
        <f>+IFERROR(VLOOKUP(B406,'ID1&amp;5'!K:L,2,FALSE),"-")</f>
        <v>-</v>
      </c>
      <c r="M406" s="79" t="str">
        <f>+IFERROR(VLOOKUP(CONCATENATE(A406,$B$10,B406),'ID1&amp;5'!B:J,9,FALSE),"-")</f>
        <v>-</v>
      </c>
      <c r="N406" s="79" t="str">
        <f>+IFERROR(VLOOKUP(CONCATENATE(A406,$C$10,C406),'ID1&amp;5'!B:J,8,FALSE),"-")</f>
        <v>-</v>
      </c>
      <c r="O406" s="78" t="str">
        <f>+IFERROR(VLOOKUP(C406,'ID1&amp;5'!K:L,2,FALSE),"-")</f>
        <v>-</v>
      </c>
      <c r="P406" s="79" t="str">
        <f>+IFERROR(VLOOKUP(CONCATENATE(A406,$C$10,C406),'ID1&amp;5'!B:J,9,FALSE),"-")</f>
        <v>-</v>
      </c>
      <c r="Q406" s="78" t="str">
        <f>+IFERROR(VLOOKUP(D406,'ID1&amp;5'!K:L,2,FALSE),"-")</f>
        <v>-</v>
      </c>
      <c r="R406" s="26" t="str">
        <f>+IFERROR(VLOOKUP(CONCATENATE(A406,$D$10,D406),'ID1&amp;5'!B:J,9,FALSE),"-")</f>
        <v>-</v>
      </c>
      <c r="S406" s="78" t="str">
        <f>+IFERROR(VLOOKUP(E406,'ID1&amp;5'!K:L,2,FALSE),"-")</f>
        <v>-</v>
      </c>
      <c r="T406" s="79" t="str">
        <f>+IFERROR(VLOOKUP(CONCATENATE(A406,$E$10,E406),'ID1&amp;5'!B:J,9,FALSE),"-")</f>
        <v>-</v>
      </c>
      <c r="U406" s="78" t="str">
        <f>+IFERROR(VLOOKUP(F406,'ID1&amp;5'!K:L,2,FALSE),"-")</f>
        <v>-</v>
      </c>
      <c r="V406" s="79" t="str">
        <f>+IFERROR(VLOOKUP(CONCATENATE(A406,$F$10,F406),'ID1&amp;5'!B:J,9,FALSE),"-")</f>
        <v>-</v>
      </c>
      <c r="W406" s="26" t="str">
        <f>+IFERROR(VLOOKUP(A406,'ID6&amp;7'!A:I,9,FALSE),"-")</f>
        <v>-</v>
      </c>
      <c r="X406" s="26" t="str">
        <f>+IFERROR(VLOOKUP(A406,'ID6&amp;7'!A:J,10,FALSE),"-")</f>
        <v>-</v>
      </c>
      <c r="Y406" s="26"/>
      <c r="Z406" s="27" t="str">
        <f t="shared" si="7"/>
        <v>Por iniciar</v>
      </c>
      <c r="AA406" s="65"/>
    </row>
    <row r="407" spans="1:27">
      <c r="A407" s="20"/>
      <c r="B407" s="60"/>
      <c r="C407" s="60"/>
      <c r="D407" s="60"/>
      <c r="E407" s="60"/>
      <c r="F407" s="60"/>
      <c r="G407" s="60"/>
      <c r="H407" s="65" t="s">
        <v>118</v>
      </c>
      <c r="I407" s="21" t="s">
        <v>1434</v>
      </c>
      <c r="J407" s="26">
        <f>+COUNTIF('ID1&amp;5'!G:G,'1. Status'!I407)</f>
        <v>0</v>
      </c>
      <c r="K407" s="79" t="str">
        <f>+IFERROR(VLOOKUP(CONCATENATE(A407,$B$10,B407),'ID1&amp;5'!B:J,8,FALSE),"-")</f>
        <v>-</v>
      </c>
      <c r="L407" s="78" t="str">
        <f>+IFERROR(VLOOKUP(B407,'ID1&amp;5'!K:L,2,FALSE),"-")</f>
        <v>-</v>
      </c>
      <c r="M407" s="79" t="str">
        <f>+IFERROR(VLOOKUP(CONCATENATE(A407,$B$10,B407),'ID1&amp;5'!B:J,9,FALSE),"-")</f>
        <v>-</v>
      </c>
      <c r="N407" s="79" t="str">
        <f>+IFERROR(VLOOKUP(CONCATENATE(A407,$C$10,C407),'ID1&amp;5'!B:J,8,FALSE),"-")</f>
        <v>-</v>
      </c>
      <c r="O407" s="78" t="str">
        <f>+IFERROR(VLOOKUP(C407,'ID1&amp;5'!K:L,2,FALSE),"-")</f>
        <v>-</v>
      </c>
      <c r="P407" s="79" t="str">
        <f>+IFERROR(VLOOKUP(CONCATENATE(A407,$C$10,C407),'ID1&amp;5'!B:J,9,FALSE),"-")</f>
        <v>-</v>
      </c>
      <c r="Q407" s="78" t="str">
        <f>+IFERROR(VLOOKUP(D407,'ID1&amp;5'!K:L,2,FALSE),"-")</f>
        <v>-</v>
      </c>
      <c r="R407" s="26" t="str">
        <f>+IFERROR(VLOOKUP(CONCATENATE(A407,$D$10,D407),'ID1&amp;5'!B:J,9,FALSE),"-")</f>
        <v>-</v>
      </c>
      <c r="S407" s="78" t="str">
        <f>+IFERROR(VLOOKUP(E407,'ID1&amp;5'!K:L,2,FALSE),"-")</f>
        <v>-</v>
      </c>
      <c r="T407" s="79" t="str">
        <f>+IFERROR(VLOOKUP(CONCATENATE(A407,$E$10,E407),'ID1&amp;5'!B:J,9,FALSE),"-")</f>
        <v>-</v>
      </c>
      <c r="U407" s="78" t="str">
        <f>+IFERROR(VLOOKUP(F407,'ID1&amp;5'!K:L,2,FALSE),"-")</f>
        <v>-</v>
      </c>
      <c r="V407" s="79" t="str">
        <f>+IFERROR(VLOOKUP(CONCATENATE(A407,$F$10,F407),'ID1&amp;5'!B:J,9,FALSE),"-")</f>
        <v>-</v>
      </c>
      <c r="W407" s="26" t="str">
        <f>+IFERROR(VLOOKUP(A407,'ID6&amp;7'!A:I,9,FALSE),"-")</f>
        <v>-</v>
      </c>
      <c r="X407" s="26" t="str">
        <f>+IFERROR(VLOOKUP(A407,'ID6&amp;7'!A:J,10,FALSE),"-")</f>
        <v>-</v>
      </c>
      <c r="Y407" s="26"/>
      <c r="Z407" s="27" t="str">
        <f t="shared" si="7"/>
        <v>Por iniciar</v>
      </c>
      <c r="AA407" s="65"/>
    </row>
    <row r="408" spans="1:27">
      <c r="A408" s="20"/>
      <c r="B408" s="60"/>
      <c r="C408" s="60"/>
      <c r="D408" s="60"/>
      <c r="E408" s="60"/>
      <c r="F408" s="60"/>
      <c r="G408" s="60"/>
      <c r="H408" s="65" t="s">
        <v>118</v>
      </c>
      <c r="I408" s="21" t="s">
        <v>1435</v>
      </c>
      <c r="J408" s="26">
        <f>+COUNTIF('ID1&amp;5'!G:G,'1. Status'!I408)</f>
        <v>0</v>
      </c>
      <c r="K408" s="79" t="str">
        <f>+IFERROR(VLOOKUP(CONCATENATE(A408,$B$10,B408),'ID1&amp;5'!B:J,8,FALSE),"-")</f>
        <v>-</v>
      </c>
      <c r="L408" s="78" t="str">
        <f>+IFERROR(VLOOKUP(B408,'ID1&amp;5'!K:L,2,FALSE),"-")</f>
        <v>-</v>
      </c>
      <c r="M408" s="79" t="str">
        <f>+IFERROR(VLOOKUP(CONCATENATE(A408,$B$10,B408),'ID1&amp;5'!B:J,9,FALSE),"-")</f>
        <v>-</v>
      </c>
      <c r="N408" s="79" t="str">
        <f>+IFERROR(VLOOKUP(CONCATENATE(A408,$C$10,C408),'ID1&amp;5'!B:J,8,FALSE),"-")</f>
        <v>-</v>
      </c>
      <c r="O408" s="78" t="str">
        <f>+IFERROR(VLOOKUP(C408,'ID1&amp;5'!K:L,2,FALSE),"-")</f>
        <v>-</v>
      </c>
      <c r="P408" s="79" t="str">
        <f>+IFERROR(VLOOKUP(CONCATENATE(A408,$C$10,C408),'ID1&amp;5'!B:J,9,FALSE),"-")</f>
        <v>-</v>
      </c>
      <c r="Q408" s="78" t="str">
        <f>+IFERROR(VLOOKUP(D408,'ID1&amp;5'!K:L,2,FALSE),"-")</f>
        <v>-</v>
      </c>
      <c r="R408" s="26" t="str">
        <f>+IFERROR(VLOOKUP(CONCATENATE(A408,$D$10,D408),'ID1&amp;5'!B:J,9,FALSE),"-")</f>
        <v>-</v>
      </c>
      <c r="S408" s="78" t="str">
        <f>+IFERROR(VLOOKUP(E408,'ID1&amp;5'!K:L,2,FALSE),"-")</f>
        <v>-</v>
      </c>
      <c r="T408" s="79" t="str">
        <f>+IFERROR(VLOOKUP(CONCATENATE(A408,$E$10,E408),'ID1&amp;5'!B:J,9,FALSE),"-")</f>
        <v>-</v>
      </c>
      <c r="U408" s="78" t="str">
        <f>+IFERROR(VLOOKUP(F408,'ID1&amp;5'!K:L,2,FALSE),"-")</f>
        <v>-</v>
      </c>
      <c r="V408" s="79" t="str">
        <f>+IFERROR(VLOOKUP(CONCATENATE(A408,$F$10,F408),'ID1&amp;5'!B:J,9,FALSE),"-")</f>
        <v>-</v>
      </c>
      <c r="W408" s="26" t="str">
        <f>+IFERROR(VLOOKUP(A408,'ID6&amp;7'!A:I,9,FALSE),"-")</f>
        <v>-</v>
      </c>
      <c r="X408" s="26" t="str">
        <f>+IFERROR(VLOOKUP(A408,'ID6&amp;7'!A:J,10,FALSE),"-")</f>
        <v>-</v>
      </c>
      <c r="Y408" s="26"/>
      <c r="Z408" s="27" t="str">
        <f t="shared" si="7"/>
        <v>Por iniciar</v>
      </c>
      <c r="AA408" s="65"/>
    </row>
    <row r="409" spans="1:27">
      <c r="A409" s="20"/>
      <c r="B409" s="60"/>
      <c r="C409" s="60"/>
      <c r="D409" s="60"/>
      <c r="E409" s="60"/>
      <c r="F409" s="60"/>
      <c r="G409" s="60"/>
      <c r="H409" s="65" t="s">
        <v>118</v>
      </c>
      <c r="I409" s="21" t="s">
        <v>1436</v>
      </c>
      <c r="J409" s="26">
        <f>+COUNTIF('ID1&amp;5'!G:G,'1. Status'!I409)</f>
        <v>0</v>
      </c>
      <c r="K409" s="79" t="str">
        <f>+IFERROR(VLOOKUP(CONCATENATE(A409,$B$10,B409),'ID1&amp;5'!B:J,8,FALSE),"-")</f>
        <v>-</v>
      </c>
      <c r="L409" s="78" t="str">
        <f>+IFERROR(VLOOKUP(B409,'ID1&amp;5'!K:L,2,FALSE),"-")</f>
        <v>-</v>
      </c>
      <c r="M409" s="79" t="str">
        <f>+IFERROR(VLOOKUP(CONCATENATE(A409,$B$10,B409),'ID1&amp;5'!B:J,9,FALSE),"-")</f>
        <v>-</v>
      </c>
      <c r="N409" s="79" t="str">
        <f>+IFERROR(VLOOKUP(CONCATENATE(A409,$C$10,C409),'ID1&amp;5'!B:J,8,FALSE),"-")</f>
        <v>-</v>
      </c>
      <c r="O409" s="78" t="str">
        <f>+IFERROR(VLOOKUP(C409,'ID1&amp;5'!K:L,2,FALSE),"-")</f>
        <v>-</v>
      </c>
      <c r="P409" s="79" t="str">
        <f>+IFERROR(VLOOKUP(CONCATENATE(A409,$C$10,C409),'ID1&amp;5'!B:J,9,FALSE),"-")</f>
        <v>-</v>
      </c>
      <c r="Q409" s="78" t="str">
        <f>+IFERROR(VLOOKUP(D409,'ID1&amp;5'!K:L,2,FALSE),"-")</f>
        <v>-</v>
      </c>
      <c r="R409" s="26" t="str">
        <f>+IFERROR(VLOOKUP(CONCATENATE(A409,$D$10,D409),'ID1&amp;5'!B:J,9,FALSE),"-")</f>
        <v>-</v>
      </c>
      <c r="S409" s="78" t="str">
        <f>+IFERROR(VLOOKUP(E409,'ID1&amp;5'!K:L,2,FALSE),"-")</f>
        <v>-</v>
      </c>
      <c r="T409" s="79" t="str">
        <f>+IFERROR(VLOOKUP(CONCATENATE(A409,$E$10,E409),'ID1&amp;5'!B:J,9,FALSE),"-")</f>
        <v>-</v>
      </c>
      <c r="U409" s="78" t="str">
        <f>+IFERROR(VLOOKUP(F409,'ID1&amp;5'!K:L,2,FALSE),"-")</f>
        <v>-</v>
      </c>
      <c r="V409" s="79" t="str">
        <f>+IFERROR(VLOOKUP(CONCATENATE(A409,$F$10,F409),'ID1&amp;5'!B:J,9,FALSE),"-")</f>
        <v>-</v>
      </c>
      <c r="W409" s="26" t="str">
        <f>+IFERROR(VLOOKUP(A409,'ID6&amp;7'!A:I,9,FALSE),"-")</f>
        <v>-</v>
      </c>
      <c r="X409" s="26" t="str">
        <f>+IFERROR(VLOOKUP(A409,'ID6&amp;7'!A:J,10,FALSE),"-")</f>
        <v>-</v>
      </c>
      <c r="Y409" s="26"/>
      <c r="Z409" s="27" t="str">
        <f t="shared" si="7"/>
        <v>Por iniciar</v>
      </c>
      <c r="AA409" s="65"/>
    </row>
    <row r="410" spans="1:27">
      <c r="A410" s="20"/>
      <c r="B410" s="60"/>
      <c r="C410" s="60"/>
      <c r="D410" s="60"/>
      <c r="E410" s="60"/>
      <c r="F410" s="60"/>
      <c r="G410" s="60"/>
      <c r="H410" s="65" t="s">
        <v>118</v>
      </c>
      <c r="I410" s="21" t="s">
        <v>1437</v>
      </c>
      <c r="J410" s="26">
        <f>+COUNTIF('ID1&amp;5'!G:G,'1. Status'!I410)</f>
        <v>0</v>
      </c>
      <c r="K410" s="79" t="str">
        <f>+IFERROR(VLOOKUP(CONCATENATE(A410,$B$10,B410),'ID1&amp;5'!B:J,8,FALSE),"-")</f>
        <v>-</v>
      </c>
      <c r="L410" s="78" t="str">
        <f>+IFERROR(VLOOKUP(B410,'ID1&amp;5'!K:L,2,FALSE),"-")</f>
        <v>-</v>
      </c>
      <c r="M410" s="79" t="str">
        <f>+IFERROR(VLOOKUP(CONCATENATE(A410,$B$10,B410),'ID1&amp;5'!B:J,9,FALSE),"-")</f>
        <v>-</v>
      </c>
      <c r="N410" s="79" t="str">
        <f>+IFERROR(VLOOKUP(CONCATENATE(A410,$C$10,C410),'ID1&amp;5'!B:J,8,FALSE),"-")</f>
        <v>-</v>
      </c>
      <c r="O410" s="78" t="str">
        <f>+IFERROR(VLOOKUP(C410,'ID1&amp;5'!K:L,2,FALSE),"-")</f>
        <v>-</v>
      </c>
      <c r="P410" s="79" t="str">
        <f>+IFERROR(VLOOKUP(CONCATENATE(A410,$C$10,C410),'ID1&amp;5'!B:J,9,FALSE),"-")</f>
        <v>-</v>
      </c>
      <c r="Q410" s="78" t="str">
        <f>+IFERROR(VLOOKUP(D410,'ID1&amp;5'!K:L,2,FALSE),"-")</f>
        <v>-</v>
      </c>
      <c r="R410" s="26" t="str">
        <f>+IFERROR(VLOOKUP(CONCATENATE(A410,$D$10,D410),'ID1&amp;5'!B:J,9,FALSE),"-")</f>
        <v>-</v>
      </c>
      <c r="S410" s="78" t="str">
        <f>+IFERROR(VLOOKUP(E410,'ID1&amp;5'!K:L,2,FALSE),"-")</f>
        <v>-</v>
      </c>
      <c r="T410" s="79" t="str">
        <f>+IFERROR(VLOOKUP(CONCATENATE(A410,$E$10,E410),'ID1&amp;5'!B:J,9,FALSE),"-")</f>
        <v>-</v>
      </c>
      <c r="U410" s="78" t="str">
        <f>+IFERROR(VLOOKUP(F410,'ID1&amp;5'!K:L,2,FALSE),"-")</f>
        <v>-</v>
      </c>
      <c r="V410" s="79" t="str">
        <f>+IFERROR(VLOOKUP(CONCATENATE(A410,$F$10,F410),'ID1&amp;5'!B:J,9,FALSE),"-")</f>
        <v>-</v>
      </c>
      <c r="W410" s="26" t="str">
        <f>+IFERROR(VLOOKUP(A410,'ID6&amp;7'!A:I,9,FALSE),"-")</f>
        <v>-</v>
      </c>
      <c r="X410" s="26" t="str">
        <f>+IFERROR(VLOOKUP(A410,'ID6&amp;7'!A:J,10,FALSE),"-")</f>
        <v>-</v>
      </c>
      <c r="Y410" s="26"/>
      <c r="Z410" s="27" t="str">
        <f t="shared" si="7"/>
        <v>Por iniciar</v>
      </c>
      <c r="AA410" s="65"/>
    </row>
    <row r="411" spans="1:27">
      <c r="A411" s="20"/>
      <c r="B411" s="60"/>
      <c r="C411" s="60"/>
      <c r="D411" s="60"/>
      <c r="E411" s="60"/>
      <c r="F411" s="60"/>
      <c r="G411" s="60"/>
      <c r="H411" s="65" t="s">
        <v>118</v>
      </c>
      <c r="I411" s="21" t="s">
        <v>1438</v>
      </c>
      <c r="J411" s="26">
        <f>+COUNTIF('ID1&amp;5'!G:G,'1. Status'!I411)</f>
        <v>0</v>
      </c>
      <c r="K411" s="79" t="str">
        <f>+IFERROR(VLOOKUP(CONCATENATE(A411,$B$10,B411),'ID1&amp;5'!B:J,8,FALSE),"-")</f>
        <v>-</v>
      </c>
      <c r="L411" s="78" t="str">
        <f>+IFERROR(VLOOKUP(B411,'ID1&amp;5'!K:L,2,FALSE),"-")</f>
        <v>-</v>
      </c>
      <c r="M411" s="79" t="str">
        <f>+IFERROR(VLOOKUP(CONCATENATE(A411,$B$10,B411),'ID1&amp;5'!B:J,9,FALSE),"-")</f>
        <v>-</v>
      </c>
      <c r="N411" s="79" t="str">
        <f>+IFERROR(VLOOKUP(CONCATENATE(A411,$C$10,C411),'ID1&amp;5'!B:J,8,FALSE),"-")</f>
        <v>-</v>
      </c>
      <c r="O411" s="78" t="str">
        <f>+IFERROR(VLOOKUP(C411,'ID1&amp;5'!K:L,2,FALSE),"-")</f>
        <v>-</v>
      </c>
      <c r="P411" s="79" t="str">
        <f>+IFERROR(VLOOKUP(CONCATENATE(A411,$C$10,C411),'ID1&amp;5'!B:J,9,FALSE),"-")</f>
        <v>-</v>
      </c>
      <c r="Q411" s="78" t="str">
        <f>+IFERROR(VLOOKUP(D411,'ID1&amp;5'!K:L,2,FALSE),"-")</f>
        <v>-</v>
      </c>
      <c r="R411" s="26" t="str">
        <f>+IFERROR(VLOOKUP(CONCATENATE(A411,$D$10,D411),'ID1&amp;5'!B:J,9,FALSE),"-")</f>
        <v>-</v>
      </c>
      <c r="S411" s="78" t="str">
        <f>+IFERROR(VLOOKUP(E411,'ID1&amp;5'!K:L,2,FALSE),"-")</f>
        <v>-</v>
      </c>
      <c r="T411" s="79" t="str">
        <f>+IFERROR(VLOOKUP(CONCATENATE(A411,$E$10,E411),'ID1&amp;5'!B:J,9,FALSE),"-")</f>
        <v>-</v>
      </c>
      <c r="U411" s="78" t="str">
        <f>+IFERROR(VLOOKUP(F411,'ID1&amp;5'!K:L,2,FALSE),"-")</f>
        <v>-</v>
      </c>
      <c r="V411" s="79" t="str">
        <f>+IFERROR(VLOOKUP(CONCATENATE(A411,$F$10,F411),'ID1&amp;5'!B:J,9,FALSE),"-")</f>
        <v>-</v>
      </c>
      <c r="W411" s="26" t="str">
        <f>+IFERROR(VLOOKUP(A411,'ID6&amp;7'!A:I,9,FALSE),"-")</f>
        <v>-</v>
      </c>
      <c r="X411" s="26" t="str">
        <f>+IFERROR(VLOOKUP(A411,'ID6&amp;7'!A:J,10,FALSE),"-")</f>
        <v>-</v>
      </c>
      <c r="Y411" s="26"/>
      <c r="Z411" s="27" t="str">
        <f t="shared" si="7"/>
        <v>Por iniciar</v>
      </c>
      <c r="AA411" s="65"/>
    </row>
    <row r="412" spans="1:27">
      <c r="A412" s="20"/>
      <c r="B412" s="60"/>
      <c r="C412" s="60"/>
      <c r="D412" s="60"/>
      <c r="E412" s="60"/>
      <c r="F412" s="60"/>
      <c r="G412" s="60"/>
      <c r="H412" s="65" t="s">
        <v>118</v>
      </c>
      <c r="I412" s="21" t="s">
        <v>1439</v>
      </c>
      <c r="J412" s="26">
        <f>+COUNTIF('ID1&amp;5'!G:G,'1. Status'!I412)</f>
        <v>0</v>
      </c>
      <c r="K412" s="79" t="str">
        <f>+IFERROR(VLOOKUP(CONCATENATE(A412,$B$10,B412),'ID1&amp;5'!B:J,8,FALSE),"-")</f>
        <v>-</v>
      </c>
      <c r="L412" s="78" t="str">
        <f>+IFERROR(VLOOKUP(B412,'ID1&amp;5'!K:L,2,FALSE),"-")</f>
        <v>-</v>
      </c>
      <c r="M412" s="79" t="str">
        <f>+IFERROR(VLOOKUP(CONCATENATE(A412,$B$10,B412),'ID1&amp;5'!B:J,9,FALSE),"-")</f>
        <v>-</v>
      </c>
      <c r="N412" s="79" t="str">
        <f>+IFERROR(VLOOKUP(CONCATENATE(A412,$C$10,C412),'ID1&amp;5'!B:J,8,FALSE),"-")</f>
        <v>-</v>
      </c>
      <c r="O412" s="78" t="str">
        <f>+IFERROR(VLOOKUP(C412,'ID1&amp;5'!K:L,2,FALSE),"-")</f>
        <v>-</v>
      </c>
      <c r="P412" s="79" t="str">
        <f>+IFERROR(VLOOKUP(CONCATENATE(A412,$C$10,C412),'ID1&amp;5'!B:J,9,FALSE),"-")</f>
        <v>-</v>
      </c>
      <c r="Q412" s="78" t="str">
        <f>+IFERROR(VLOOKUP(D412,'ID1&amp;5'!K:L,2,FALSE),"-")</f>
        <v>-</v>
      </c>
      <c r="R412" s="26" t="str">
        <f>+IFERROR(VLOOKUP(CONCATENATE(A412,$D$10,D412),'ID1&amp;5'!B:J,9,FALSE),"-")</f>
        <v>-</v>
      </c>
      <c r="S412" s="78" t="str">
        <f>+IFERROR(VLOOKUP(E412,'ID1&amp;5'!K:L,2,FALSE),"-")</f>
        <v>-</v>
      </c>
      <c r="T412" s="79" t="str">
        <f>+IFERROR(VLOOKUP(CONCATENATE(A412,$E$10,E412),'ID1&amp;5'!B:J,9,FALSE),"-")</f>
        <v>-</v>
      </c>
      <c r="U412" s="78" t="str">
        <f>+IFERROR(VLOOKUP(F412,'ID1&amp;5'!K:L,2,FALSE),"-")</f>
        <v>-</v>
      </c>
      <c r="V412" s="79" t="str">
        <f>+IFERROR(VLOOKUP(CONCATENATE(A412,$F$10,F412),'ID1&amp;5'!B:J,9,FALSE),"-")</f>
        <v>-</v>
      </c>
      <c r="W412" s="26" t="str">
        <f>+IFERROR(VLOOKUP(A412,'ID6&amp;7'!A:I,9,FALSE),"-")</f>
        <v>-</v>
      </c>
      <c r="X412" s="26" t="str">
        <f>+IFERROR(VLOOKUP(A412,'ID6&amp;7'!A:J,10,FALSE),"-")</f>
        <v>-</v>
      </c>
      <c r="Y412" s="26"/>
      <c r="Z412" s="27" t="str">
        <f t="shared" si="7"/>
        <v>Por iniciar</v>
      </c>
      <c r="AA412" s="65"/>
    </row>
    <row r="413" spans="1:27">
      <c r="A413" s="20"/>
      <c r="B413" s="60"/>
      <c r="C413" s="60"/>
      <c r="D413" s="60"/>
      <c r="E413" s="60"/>
      <c r="F413" s="60"/>
      <c r="G413" s="60"/>
      <c r="H413" s="65" t="s">
        <v>118</v>
      </c>
      <c r="I413" s="21" t="s">
        <v>1169</v>
      </c>
      <c r="J413" s="26">
        <f>+COUNTIF('ID1&amp;5'!G:G,'1. Status'!I413)</f>
        <v>0</v>
      </c>
      <c r="K413" s="79" t="str">
        <f>+IFERROR(VLOOKUP(CONCATENATE(A413,$B$10,B413),'ID1&amp;5'!B:J,8,FALSE),"-")</f>
        <v>-</v>
      </c>
      <c r="L413" s="78" t="str">
        <f>+IFERROR(VLOOKUP(B413,'ID1&amp;5'!K:L,2,FALSE),"-")</f>
        <v>-</v>
      </c>
      <c r="M413" s="79" t="str">
        <f>+IFERROR(VLOOKUP(CONCATENATE(A413,$B$10,B413),'ID1&amp;5'!B:J,9,FALSE),"-")</f>
        <v>-</v>
      </c>
      <c r="N413" s="79" t="str">
        <f>+IFERROR(VLOOKUP(CONCATENATE(A413,$C$10,C413),'ID1&amp;5'!B:J,8,FALSE),"-")</f>
        <v>-</v>
      </c>
      <c r="O413" s="78" t="str">
        <f>+IFERROR(VLOOKUP(C413,'ID1&amp;5'!K:L,2,FALSE),"-")</f>
        <v>-</v>
      </c>
      <c r="P413" s="79" t="str">
        <f>+IFERROR(VLOOKUP(CONCATENATE(A413,$C$10,C413),'ID1&amp;5'!B:J,9,FALSE),"-")</f>
        <v>-</v>
      </c>
      <c r="Q413" s="78" t="str">
        <f>+IFERROR(VLOOKUP(D413,'ID1&amp;5'!K:L,2,FALSE),"-")</f>
        <v>-</v>
      </c>
      <c r="R413" s="26" t="str">
        <f>+IFERROR(VLOOKUP(CONCATENATE(A413,$D$10,D413),'ID1&amp;5'!B:J,9,FALSE),"-")</f>
        <v>-</v>
      </c>
      <c r="S413" s="78" t="str">
        <f>+IFERROR(VLOOKUP(E413,'ID1&amp;5'!K:L,2,FALSE),"-")</f>
        <v>-</v>
      </c>
      <c r="T413" s="79" t="str">
        <f>+IFERROR(VLOOKUP(CONCATENATE(A413,$E$10,E413),'ID1&amp;5'!B:J,9,FALSE),"-")</f>
        <v>-</v>
      </c>
      <c r="U413" s="78" t="str">
        <f>+IFERROR(VLOOKUP(F413,'ID1&amp;5'!K:L,2,FALSE),"-")</f>
        <v>-</v>
      </c>
      <c r="V413" s="79" t="str">
        <f>+IFERROR(VLOOKUP(CONCATENATE(A413,$F$10,F413),'ID1&amp;5'!B:J,9,FALSE),"-")</f>
        <v>-</v>
      </c>
      <c r="W413" s="26" t="str">
        <f>+IFERROR(VLOOKUP(A413,'ID6&amp;7'!A:I,9,FALSE),"-")</f>
        <v>-</v>
      </c>
      <c r="X413" s="26" t="str">
        <f>+IFERROR(VLOOKUP(A413,'ID6&amp;7'!A:J,10,FALSE),"-")</f>
        <v>-</v>
      </c>
      <c r="Y413" s="26"/>
      <c r="Z413" s="27" t="str">
        <f t="shared" si="7"/>
        <v>Por iniciar</v>
      </c>
      <c r="AA413" s="65"/>
    </row>
    <row r="414" spans="1:27">
      <c r="A414" s="20"/>
      <c r="B414" s="60"/>
      <c r="C414" s="60"/>
      <c r="D414" s="60"/>
      <c r="E414" s="60"/>
      <c r="F414" s="60"/>
      <c r="G414" s="60"/>
      <c r="H414" s="65" t="s">
        <v>118</v>
      </c>
      <c r="I414" s="21" t="s">
        <v>1440</v>
      </c>
      <c r="J414" s="26">
        <f>+COUNTIF('ID1&amp;5'!G:G,'1. Status'!I414)</f>
        <v>0</v>
      </c>
      <c r="K414" s="79" t="str">
        <f>+IFERROR(VLOOKUP(CONCATENATE(A414,$B$10,B414),'ID1&amp;5'!B:J,8,FALSE),"-")</f>
        <v>-</v>
      </c>
      <c r="L414" s="78" t="str">
        <f>+IFERROR(VLOOKUP(B414,'ID1&amp;5'!K:L,2,FALSE),"-")</f>
        <v>-</v>
      </c>
      <c r="M414" s="79" t="str">
        <f>+IFERROR(VLOOKUP(CONCATENATE(A414,$B$10,B414),'ID1&amp;5'!B:J,9,FALSE),"-")</f>
        <v>-</v>
      </c>
      <c r="N414" s="79" t="str">
        <f>+IFERROR(VLOOKUP(CONCATENATE(A414,$C$10,C414),'ID1&amp;5'!B:J,8,FALSE),"-")</f>
        <v>-</v>
      </c>
      <c r="O414" s="78" t="str">
        <f>+IFERROR(VLOOKUP(C414,'ID1&amp;5'!K:L,2,FALSE),"-")</f>
        <v>-</v>
      </c>
      <c r="P414" s="79" t="str">
        <f>+IFERROR(VLOOKUP(CONCATENATE(A414,$C$10,C414),'ID1&amp;5'!B:J,9,FALSE),"-")</f>
        <v>-</v>
      </c>
      <c r="Q414" s="78" t="str">
        <f>+IFERROR(VLOOKUP(D414,'ID1&amp;5'!K:L,2,FALSE),"-")</f>
        <v>-</v>
      </c>
      <c r="R414" s="26" t="str">
        <f>+IFERROR(VLOOKUP(CONCATENATE(A414,$D$10,D414),'ID1&amp;5'!B:J,9,FALSE),"-")</f>
        <v>-</v>
      </c>
      <c r="S414" s="78" t="str">
        <f>+IFERROR(VLOOKUP(E414,'ID1&amp;5'!K:L,2,FALSE),"-")</f>
        <v>-</v>
      </c>
      <c r="T414" s="79" t="str">
        <f>+IFERROR(VLOOKUP(CONCATENATE(A414,$E$10,E414),'ID1&amp;5'!B:J,9,FALSE),"-")</f>
        <v>-</v>
      </c>
      <c r="U414" s="78" t="str">
        <f>+IFERROR(VLOOKUP(F414,'ID1&amp;5'!K:L,2,FALSE),"-")</f>
        <v>-</v>
      </c>
      <c r="V414" s="79" t="str">
        <f>+IFERROR(VLOOKUP(CONCATENATE(A414,$F$10,F414),'ID1&amp;5'!B:J,9,FALSE),"-")</f>
        <v>-</v>
      </c>
      <c r="W414" s="26" t="str">
        <f>+IFERROR(VLOOKUP(A414,'ID6&amp;7'!A:I,9,FALSE),"-")</f>
        <v>-</v>
      </c>
      <c r="X414" s="26" t="str">
        <f>+IFERROR(VLOOKUP(A414,'ID6&amp;7'!A:J,10,FALSE),"-")</f>
        <v>-</v>
      </c>
      <c r="Y414" s="26"/>
      <c r="Z414" s="27" t="str">
        <f t="shared" si="7"/>
        <v>Por iniciar</v>
      </c>
      <c r="AA414" s="65"/>
    </row>
    <row r="415" spans="1:27">
      <c r="A415" s="20"/>
      <c r="B415" s="60"/>
      <c r="C415" s="60"/>
      <c r="D415" s="60"/>
      <c r="E415" s="60"/>
      <c r="F415" s="60"/>
      <c r="G415" s="60"/>
      <c r="H415" s="65" t="s">
        <v>118</v>
      </c>
      <c r="I415" s="21" t="s">
        <v>1441</v>
      </c>
      <c r="J415" s="26">
        <f>+COUNTIF('ID1&amp;5'!G:G,'1. Status'!I415)</f>
        <v>0</v>
      </c>
      <c r="K415" s="79" t="str">
        <f>+IFERROR(VLOOKUP(CONCATENATE(A415,$B$10,B415),'ID1&amp;5'!B:J,8,FALSE),"-")</f>
        <v>-</v>
      </c>
      <c r="L415" s="78" t="str">
        <f>+IFERROR(VLOOKUP(B415,'ID1&amp;5'!K:L,2,FALSE),"-")</f>
        <v>-</v>
      </c>
      <c r="M415" s="79" t="str">
        <f>+IFERROR(VLOOKUP(CONCATENATE(A415,$B$10,B415),'ID1&amp;5'!B:J,9,FALSE),"-")</f>
        <v>-</v>
      </c>
      <c r="N415" s="79" t="str">
        <f>+IFERROR(VLOOKUP(CONCATENATE(A415,$C$10,C415),'ID1&amp;5'!B:J,8,FALSE),"-")</f>
        <v>-</v>
      </c>
      <c r="O415" s="78" t="str">
        <f>+IFERROR(VLOOKUP(C415,'ID1&amp;5'!K:L,2,FALSE),"-")</f>
        <v>-</v>
      </c>
      <c r="P415" s="79" t="str">
        <f>+IFERROR(VLOOKUP(CONCATENATE(A415,$C$10,C415),'ID1&amp;5'!B:J,9,FALSE),"-")</f>
        <v>-</v>
      </c>
      <c r="Q415" s="78" t="str">
        <f>+IFERROR(VLOOKUP(D415,'ID1&amp;5'!K:L,2,FALSE),"-")</f>
        <v>-</v>
      </c>
      <c r="R415" s="26" t="str">
        <f>+IFERROR(VLOOKUP(CONCATENATE(A415,$D$10,D415),'ID1&amp;5'!B:J,9,FALSE),"-")</f>
        <v>-</v>
      </c>
      <c r="S415" s="78" t="str">
        <f>+IFERROR(VLOOKUP(E415,'ID1&amp;5'!K:L,2,FALSE),"-")</f>
        <v>-</v>
      </c>
      <c r="T415" s="79" t="str">
        <f>+IFERROR(VLOOKUP(CONCATENATE(A415,$E$10,E415),'ID1&amp;5'!B:J,9,FALSE),"-")</f>
        <v>-</v>
      </c>
      <c r="U415" s="78" t="str">
        <f>+IFERROR(VLOOKUP(F415,'ID1&amp;5'!K:L,2,FALSE),"-")</f>
        <v>-</v>
      </c>
      <c r="V415" s="79" t="str">
        <f>+IFERROR(VLOOKUP(CONCATENATE(A415,$F$10,F415),'ID1&amp;5'!B:J,9,FALSE),"-")</f>
        <v>-</v>
      </c>
      <c r="W415" s="26" t="str">
        <f>+IFERROR(VLOOKUP(A415,'ID6&amp;7'!A:I,9,FALSE),"-")</f>
        <v>-</v>
      </c>
      <c r="X415" s="26" t="str">
        <f>+IFERROR(VLOOKUP(A415,'ID6&amp;7'!A:J,10,FALSE),"-")</f>
        <v>-</v>
      </c>
      <c r="Y415" s="26"/>
      <c r="Z415" s="27" t="str">
        <f t="shared" si="7"/>
        <v>Por iniciar</v>
      </c>
      <c r="AA415" s="65"/>
    </row>
    <row r="416" spans="1:27">
      <c r="A416" s="20"/>
      <c r="B416" s="60"/>
      <c r="C416" s="60"/>
      <c r="D416" s="60"/>
      <c r="E416" s="60"/>
      <c r="F416" s="60"/>
      <c r="G416" s="60"/>
      <c r="H416" s="65" t="s">
        <v>118</v>
      </c>
      <c r="I416" s="21" t="s">
        <v>1442</v>
      </c>
      <c r="J416" s="26">
        <f>+COUNTIF('ID1&amp;5'!G:G,'1. Status'!I416)</f>
        <v>0</v>
      </c>
      <c r="K416" s="79" t="str">
        <f>+IFERROR(VLOOKUP(CONCATENATE(A416,$B$10,B416),'ID1&amp;5'!B:J,8,FALSE),"-")</f>
        <v>-</v>
      </c>
      <c r="L416" s="78" t="str">
        <f>+IFERROR(VLOOKUP(B416,'ID1&amp;5'!K:L,2,FALSE),"-")</f>
        <v>-</v>
      </c>
      <c r="M416" s="79" t="str">
        <f>+IFERROR(VLOOKUP(CONCATENATE(A416,$B$10,B416),'ID1&amp;5'!B:J,9,FALSE),"-")</f>
        <v>-</v>
      </c>
      <c r="N416" s="79" t="str">
        <f>+IFERROR(VLOOKUP(CONCATENATE(A416,$C$10,C416),'ID1&amp;5'!B:J,8,FALSE),"-")</f>
        <v>-</v>
      </c>
      <c r="O416" s="78" t="str">
        <f>+IFERROR(VLOOKUP(C416,'ID1&amp;5'!K:L,2,FALSE),"-")</f>
        <v>-</v>
      </c>
      <c r="P416" s="79" t="str">
        <f>+IFERROR(VLOOKUP(CONCATENATE(A416,$C$10,C416),'ID1&amp;5'!B:J,9,FALSE),"-")</f>
        <v>-</v>
      </c>
      <c r="Q416" s="78" t="str">
        <f>+IFERROR(VLOOKUP(D416,'ID1&amp;5'!K:L,2,FALSE),"-")</f>
        <v>-</v>
      </c>
      <c r="R416" s="26" t="str">
        <f>+IFERROR(VLOOKUP(CONCATENATE(A416,$D$10,D416),'ID1&amp;5'!B:J,9,FALSE),"-")</f>
        <v>-</v>
      </c>
      <c r="S416" s="78" t="str">
        <f>+IFERROR(VLOOKUP(E416,'ID1&amp;5'!K:L,2,FALSE),"-")</f>
        <v>-</v>
      </c>
      <c r="T416" s="79" t="str">
        <f>+IFERROR(VLOOKUP(CONCATENATE(A416,$E$10,E416),'ID1&amp;5'!B:J,9,FALSE),"-")</f>
        <v>-</v>
      </c>
      <c r="U416" s="78" t="str">
        <f>+IFERROR(VLOOKUP(F416,'ID1&amp;5'!K:L,2,FALSE),"-")</f>
        <v>-</v>
      </c>
      <c r="V416" s="79" t="str">
        <f>+IFERROR(VLOOKUP(CONCATENATE(A416,$F$10,F416),'ID1&amp;5'!B:J,9,FALSE),"-")</f>
        <v>-</v>
      </c>
      <c r="W416" s="26" t="str">
        <f>+IFERROR(VLOOKUP(A416,'ID6&amp;7'!A:I,9,FALSE),"-")</f>
        <v>-</v>
      </c>
      <c r="X416" s="26" t="str">
        <f>+IFERROR(VLOOKUP(A416,'ID6&amp;7'!A:J,10,FALSE),"-")</f>
        <v>-</v>
      </c>
      <c r="Y416" s="26"/>
      <c r="Z416" s="27" t="str">
        <f t="shared" si="7"/>
        <v>Por iniciar</v>
      </c>
      <c r="AA416" s="65"/>
    </row>
    <row r="417" spans="1:27">
      <c r="A417" s="20"/>
      <c r="B417" s="60"/>
      <c r="C417" s="60"/>
      <c r="D417" s="60"/>
      <c r="E417" s="60"/>
      <c r="F417" s="60"/>
      <c r="G417" s="60"/>
      <c r="H417" s="65" t="s">
        <v>118</v>
      </c>
      <c r="I417" s="21" t="s">
        <v>1443</v>
      </c>
      <c r="J417" s="26">
        <f>+COUNTIF('ID1&amp;5'!G:G,'1. Status'!I417)</f>
        <v>0</v>
      </c>
      <c r="K417" s="79" t="str">
        <f>+IFERROR(VLOOKUP(CONCATENATE(A417,$B$10,B417),'ID1&amp;5'!B:J,8,FALSE),"-")</f>
        <v>-</v>
      </c>
      <c r="L417" s="78" t="str">
        <f>+IFERROR(VLOOKUP(B417,'ID1&amp;5'!K:L,2,FALSE),"-")</f>
        <v>-</v>
      </c>
      <c r="M417" s="79" t="str">
        <f>+IFERROR(VLOOKUP(CONCATENATE(A417,$B$10,B417),'ID1&amp;5'!B:J,9,FALSE),"-")</f>
        <v>-</v>
      </c>
      <c r="N417" s="79" t="str">
        <f>+IFERROR(VLOOKUP(CONCATENATE(A417,$C$10,C417),'ID1&amp;5'!B:J,8,FALSE),"-")</f>
        <v>-</v>
      </c>
      <c r="O417" s="78" t="str">
        <f>+IFERROR(VLOOKUP(C417,'ID1&amp;5'!K:L,2,FALSE),"-")</f>
        <v>-</v>
      </c>
      <c r="P417" s="79" t="str">
        <f>+IFERROR(VLOOKUP(CONCATENATE(A417,$C$10,C417),'ID1&amp;5'!B:J,9,FALSE),"-")</f>
        <v>-</v>
      </c>
      <c r="Q417" s="78" t="str">
        <f>+IFERROR(VLOOKUP(D417,'ID1&amp;5'!K:L,2,FALSE),"-")</f>
        <v>-</v>
      </c>
      <c r="R417" s="26" t="str">
        <f>+IFERROR(VLOOKUP(CONCATENATE(A417,$D$10,D417),'ID1&amp;5'!B:J,9,FALSE),"-")</f>
        <v>-</v>
      </c>
      <c r="S417" s="78" t="str">
        <f>+IFERROR(VLOOKUP(E417,'ID1&amp;5'!K:L,2,FALSE),"-")</f>
        <v>-</v>
      </c>
      <c r="T417" s="79" t="str">
        <f>+IFERROR(VLOOKUP(CONCATENATE(A417,$E$10,E417),'ID1&amp;5'!B:J,9,FALSE),"-")</f>
        <v>-</v>
      </c>
      <c r="U417" s="78" t="str">
        <f>+IFERROR(VLOOKUP(F417,'ID1&amp;5'!K:L,2,FALSE),"-")</f>
        <v>-</v>
      </c>
      <c r="V417" s="79" t="str">
        <f>+IFERROR(VLOOKUP(CONCATENATE(A417,$F$10,F417),'ID1&amp;5'!B:J,9,FALSE),"-")</f>
        <v>-</v>
      </c>
      <c r="W417" s="26" t="str">
        <f>+IFERROR(VLOOKUP(A417,'ID6&amp;7'!A:I,9,FALSE),"-")</f>
        <v>-</v>
      </c>
      <c r="X417" s="26" t="str">
        <f>+IFERROR(VLOOKUP(A417,'ID6&amp;7'!A:J,10,FALSE),"-")</f>
        <v>-</v>
      </c>
      <c r="Y417" s="26"/>
      <c r="Z417" s="27" t="str">
        <f t="shared" si="7"/>
        <v>Por iniciar</v>
      </c>
      <c r="AA417" s="65"/>
    </row>
    <row r="418" spans="1:27">
      <c r="A418" s="20"/>
      <c r="B418" s="60"/>
      <c r="C418" s="60"/>
      <c r="D418" s="60"/>
      <c r="E418" s="60"/>
      <c r="F418" s="60"/>
      <c r="G418" s="60"/>
      <c r="H418" s="65" t="s">
        <v>118</v>
      </c>
      <c r="I418" s="21" t="s">
        <v>1238</v>
      </c>
      <c r="J418" s="26">
        <f>+COUNTIF('ID1&amp;5'!G:G,'1. Status'!I418)</f>
        <v>0</v>
      </c>
      <c r="K418" s="79" t="str">
        <f>+IFERROR(VLOOKUP(CONCATENATE(A418,$B$10,B418),'ID1&amp;5'!B:J,8,FALSE),"-")</f>
        <v>-</v>
      </c>
      <c r="L418" s="78" t="str">
        <f>+IFERROR(VLOOKUP(B418,'ID1&amp;5'!K:L,2,FALSE),"-")</f>
        <v>-</v>
      </c>
      <c r="M418" s="79" t="str">
        <f>+IFERROR(VLOOKUP(CONCATENATE(A418,$B$10,B418),'ID1&amp;5'!B:J,9,FALSE),"-")</f>
        <v>-</v>
      </c>
      <c r="N418" s="79" t="str">
        <f>+IFERROR(VLOOKUP(CONCATENATE(A418,$C$10,C418),'ID1&amp;5'!B:J,8,FALSE),"-")</f>
        <v>-</v>
      </c>
      <c r="O418" s="78" t="str">
        <f>+IFERROR(VLOOKUP(C418,'ID1&amp;5'!K:L,2,FALSE),"-")</f>
        <v>-</v>
      </c>
      <c r="P418" s="79" t="str">
        <f>+IFERROR(VLOOKUP(CONCATENATE(A418,$C$10,C418),'ID1&amp;5'!B:J,9,FALSE),"-")</f>
        <v>-</v>
      </c>
      <c r="Q418" s="78" t="str">
        <f>+IFERROR(VLOOKUP(D418,'ID1&amp;5'!K:L,2,FALSE),"-")</f>
        <v>-</v>
      </c>
      <c r="R418" s="26" t="str">
        <f>+IFERROR(VLOOKUP(CONCATENATE(A418,$D$10,D418),'ID1&amp;5'!B:J,9,FALSE),"-")</f>
        <v>-</v>
      </c>
      <c r="S418" s="78" t="str">
        <f>+IFERROR(VLOOKUP(E418,'ID1&amp;5'!K:L,2,FALSE),"-")</f>
        <v>-</v>
      </c>
      <c r="T418" s="79" t="str">
        <f>+IFERROR(VLOOKUP(CONCATENATE(A418,$E$10,E418),'ID1&amp;5'!B:J,9,FALSE),"-")</f>
        <v>-</v>
      </c>
      <c r="U418" s="78" t="str">
        <f>+IFERROR(VLOOKUP(F418,'ID1&amp;5'!K:L,2,FALSE),"-")</f>
        <v>-</v>
      </c>
      <c r="V418" s="79" t="str">
        <f>+IFERROR(VLOOKUP(CONCATENATE(A418,$F$10,F418),'ID1&amp;5'!B:J,9,FALSE),"-")</f>
        <v>-</v>
      </c>
      <c r="W418" s="26" t="str">
        <f>+IFERROR(VLOOKUP(A418,'ID6&amp;7'!A:I,9,FALSE),"-")</f>
        <v>-</v>
      </c>
      <c r="X418" s="26" t="str">
        <f>+IFERROR(VLOOKUP(A418,'ID6&amp;7'!A:J,10,FALSE),"-")</f>
        <v>-</v>
      </c>
      <c r="Y418" s="26"/>
      <c r="Z418" s="27" t="str">
        <f t="shared" si="7"/>
        <v>Por iniciar</v>
      </c>
      <c r="AA418" s="65"/>
    </row>
    <row r="419" spans="1:27">
      <c r="A419" s="20"/>
      <c r="B419" s="60"/>
      <c r="C419" s="60"/>
      <c r="D419" s="60"/>
      <c r="E419" s="60"/>
      <c r="F419" s="60"/>
      <c r="G419" s="60"/>
      <c r="H419" s="65" t="s">
        <v>118</v>
      </c>
      <c r="I419" s="21" t="s">
        <v>1239</v>
      </c>
      <c r="J419" s="26">
        <f>+COUNTIF('ID1&amp;5'!G:G,'1. Status'!I419)</f>
        <v>0</v>
      </c>
      <c r="K419" s="79" t="str">
        <f>+IFERROR(VLOOKUP(CONCATENATE(A419,$B$10,B419),'ID1&amp;5'!B:J,8,FALSE),"-")</f>
        <v>-</v>
      </c>
      <c r="L419" s="78" t="str">
        <f>+IFERROR(VLOOKUP(B419,'ID1&amp;5'!K:L,2,FALSE),"-")</f>
        <v>-</v>
      </c>
      <c r="M419" s="79" t="str">
        <f>+IFERROR(VLOOKUP(CONCATENATE(A419,$B$10,B419),'ID1&amp;5'!B:J,9,FALSE),"-")</f>
        <v>-</v>
      </c>
      <c r="N419" s="79" t="str">
        <f>+IFERROR(VLOOKUP(CONCATENATE(A419,$C$10,C419),'ID1&amp;5'!B:J,8,FALSE),"-")</f>
        <v>-</v>
      </c>
      <c r="O419" s="78" t="str">
        <f>+IFERROR(VLOOKUP(C419,'ID1&amp;5'!K:L,2,FALSE),"-")</f>
        <v>-</v>
      </c>
      <c r="P419" s="79" t="str">
        <f>+IFERROR(VLOOKUP(CONCATENATE(A419,$C$10,C419),'ID1&amp;5'!B:J,9,FALSE),"-")</f>
        <v>-</v>
      </c>
      <c r="Q419" s="78" t="str">
        <f>+IFERROR(VLOOKUP(D419,'ID1&amp;5'!K:L,2,FALSE),"-")</f>
        <v>-</v>
      </c>
      <c r="R419" s="26" t="str">
        <f>+IFERROR(VLOOKUP(CONCATENATE(A419,$D$10,D419),'ID1&amp;5'!B:J,9,FALSE),"-")</f>
        <v>-</v>
      </c>
      <c r="S419" s="78" t="str">
        <f>+IFERROR(VLOOKUP(E419,'ID1&amp;5'!K:L,2,FALSE),"-")</f>
        <v>-</v>
      </c>
      <c r="T419" s="79" t="str">
        <f>+IFERROR(VLOOKUP(CONCATENATE(A419,$E$10,E419),'ID1&amp;5'!B:J,9,FALSE),"-")</f>
        <v>-</v>
      </c>
      <c r="U419" s="78" t="str">
        <f>+IFERROR(VLOOKUP(F419,'ID1&amp;5'!K:L,2,FALSE),"-")</f>
        <v>-</v>
      </c>
      <c r="V419" s="79" t="str">
        <f>+IFERROR(VLOOKUP(CONCATENATE(A419,$F$10,F419),'ID1&amp;5'!B:J,9,FALSE),"-")</f>
        <v>-</v>
      </c>
      <c r="W419" s="26" t="str">
        <f>+IFERROR(VLOOKUP(A419,'ID6&amp;7'!A:I,9,FALSE),"-")</f>
        <v>-</v>
      </c>
      <c r="X419" s="26" t="str">
        <f>+IFERROR(VLOOKUP(A419,'ID6&amp;7'!A:J,10,FALSE),"-")</f>
        <v>-</v>
      </c>
      <c r="Y419" s="26"/>
      <c r="Z419" s="27" t="str">
        <f t="shared" si="7"/>
        <v>Por iniciar</v>
      </c>
      <c r="AA419" s="65"/>
    </row>
    <row r="420" spans="1:27">
      <c r="A420" s="20"/>
      <c r="B420" s="60"/>
      <c r="C420" s="60"/>
      <c r="D420" s="60"/>
      <c r="E420" s="60"/>
      <c r="F420" s="60"/>
      <c r="G420" s="60"/>
      <c r="H420" s="65" t="s">
        <v>118</v>
      </c>
      <c r="I420" s="21" t="s">
        <v>1444</v>
      </c>
      <c r="J420" s="26">
        <f>+COUNTIF('ID1&amp;5'!G:G,'1. Status'!I420)</f>
        <v>0</v>
      </c>
      <c r="K420" s="79" t="str">
        <f>+IFERROR(VLOOKUP(CONCATENATE(A420,$B$10,B420),'ID1&amp;5'!B:J,8,FALSE),"-")</f>
        <v>-</v>
      </c>
      <c r="L420" s="78" t="str">
        <f>+IFERROR(VLOOKUP(B420,'ID1&amp;5'!K:L,2,FALSE),"-")</f>
        <v>-</v>
      </c>
      <c r="M420" s="79" t="str">
        <f>+IFERROR(VLOOKUP(CONCATENATE(A420,$B$10,B420),'ID1&amp;5'!B:J,9,FALSE),"-")</f>
        <v>-</v>
      </c>
      <c r="N420" s="79" t="str">
        <f>+IFERROR(VLOOKUP(CONCATENATE(A420,$C$10,C420),'ID1&amp;5'!B:J,8,FALSE),"-")</f>
        <v>-</v>
      </c>
      <c r="O420" s="78" t="str">
        <f>+IFERROR(VLOOKUP(C420,'ID1&amp;5'!K:L,2,FALSE),"-")</f>
        <v>-</v>
      </c>
      <c r="P420" s="79" t="str">
        <f>+IFERROR(VLOOKUP(CONCATENATE(A420,$C$10,C420),'ID1&amp;5'!B:J,9,FALSE),"-")</f>
        <v>-</v>
      </c>
      <c r="Q420" s="78" t="str">
        <f>+IFERROR(VLOOKUP(D420,'ID1&amp;5'!K:L,2,FALSE),"-")</f>
        <v>-</v>
      </c>
      <c r="R420" s="26" t="str">
        <f>+IFERROR(VLOOKUP(CONCATENATE(A420,$D$10,D420),'ID1&amp;5'!B:J,9,FALSE),"-")</f>
        <v>-</v>
      </c>
      <c r="S420" s="78" t="str">
        <f>+IFERROR(VLOOKUP(E420,'ID1&amp;5'!K:L,2,FALSE),"-")</f>
        <v>-</v>
      </c>
      <c r="T420" s="79" t="str">
        <f>+IFERROR(VLOOKUP(CONCATENATE(A420,$E$10,E420),'ID1&amp;5'!B:J,9,FALSE),"-")</f>
        <v>-</v>
      </c>
      <c r="U420" s="78" t="str">
        <f>+IFERROR(VLOOKUP(F420,'ID1&amp;5'!K:L,2,FALSE),"-")</f>
        <v>-</v>
      </c>
      <c r="V420" s="79" t="str">
        <f>+IFERROR(VLOOKUP(CONCATENATE(A420,$F$10,F420),'ID1&amp;5'!B:J,9,FALSE),"-")</f>
        <v>-</v>
      </c>
      <c r="W420" s="26" t="str">
        <f>+IFERROR(VLOOKUP(A420,'ID6&amp;7'!A:I,9,FALSE),"-")</f>
        <v>-</v>
      </c>
      <c r="X420" s="26" t="str">
        <f>+IFERROR(VLOOKUP(A420,'ID6&amp;7'!A:J,10,FALSE),"-")</f>
        <v>-</v>
      </c>
      <c r="Y420" s="26"/>
      <c r="Z420" s="27" t="str">
        <f t="shared" si="7"/>
        <v>Por iniciar</v>
      </c>
      <c r="AA420" s="65"/>
    </row>
    <row r="421" spans="1:27">
      <c r="A421" s="20"/>
      <c r="B421" s="60"/>
      <c r="C421" s="60"/>
      <c r="D421" s="60"/>
      <c r="E421" s="60"/>
      <c r="F421" s="60"/>
      <c r="G421" s="60"/>
      <c r="H421" s="65" t="s">
        <v>118</v>
      </c>
      <c r="I421" s="21" t="s">
        <v>1445</v>
      </c>
      <c r="J421" s="26">
        <f>+COUNTIF('ID1&amp;5'!G:G,'1. Status'!I421)</f>
        <v>0</v>
      </c>
      <c r="K421" s="79" t="str">
        <f>+IFERROR(VLOOKUP(CONCATENATE(A421,$B$10,B421),'ID1&amp;5'!B:J,8,FALSE),"-")</f>
        <v>-</v>
      </c>
      <c r="L421" s="78" t="str">
        <f>+IFERROR(VLOOKUP(B421,'ID1&amp;5'!K:L,2,FALSE),"-")</f>
        <v>-</v>
      </c>
      <c r="M421" s="79" t="str">
        <f>+IFERROR(VLOOKUP(CONCATENATE(A421,$B$10,B421),'ID1&amp;5'!B:J,9,FALSE),"-")</f>
        <v>-</v>
      </c>
      <c r="N421" s="79" t="str">
        <f>+IFERROR(VLOOKUP(CONCATENATE(A421,$C$10,C421),'ID1&amp;5'!B:J,8,FALSE),"-")</f>
        <v>-</v>
      </c>
      <c r="O421" s="78" t="str">
        <f>+IFERROR(VLOOKUP(C421,'ID1&amp;5'!K:L,2,FALSE),"-")</f>
        <v>-</v>
      </c>
      <c r="P421" s="79" t="str">
        <f>+IFERROR(VLOOKUP(CONCATENATE(A421,$C$10,C421),'ID1&amp;5'!B:J,9,FALSE),"-")</f>
        <v>-</v>
      </c>
      <c r="Q421" s="78" t="str">
        <f>+IFERROR(VLOOKUP(D421,'ID1&amp;5'!K:L,2,FALSE),"-")</f>
        <v>-</v>
      </c>
      <c r="R421" s="26" t="str">
        <f>+IFERROR(VLOOKUP(CONCATENATE(A421,$D$10,D421),'ID1&amp;5'!B:J,9,FALSE),"-")</f>
        <v>-</v>
      </c>
      <c r="S421" s="78" t="str">
        <f>+IFERROR(VLOOKUP(E421,'ID1&amp;5'!K:L,2,FALSE),"-")</f>
        <v>-</v>
      </c>
      <c r="T421" s="79" t="str">
        <f>+IFERROR(VLOOKUP(CONCATENATE(A421,$E$10,E421),'ID1&amp;5'!B:J,9,FALSE),"-")</f>
        <v>-</v>
      </c>
      <c r="U421" s="78" t="str">
        <f>+IFERROR(VLOOKUP(F421,'ID1&amp;5'!K:L,2,FALSE),"-")</f>
        <v>-</v>
      </c>
      <c r="V421" s="79" t="str">
        <f>+IFERROR(VLOOKUP(CONCATENATE(A421,$F$10,F421),'ID1&amp;5'!B:J,9,FALSE),"-")</f>
        <v>-</v>
      </c>
      <c r="W421" s="26" t="str">
        <f>+IFERROR(VLOOKUP(A421,'ID6&amp;7'!A:I,9,FALSE),"-")</f>
        <v>-</v>
      </c>
      <c r="X421" s="26" t="str">
        <f>+IFERROR(VLOOKUP(A421,'ID6&amp;7'!A:J,10,FALSE),"-")</f>
        <v>-</v>
      </c>
      <c r="Y421" s="26"/>
      <c r="Z421" s="27" t="str">
        <f t="shared" si="7"/>
        <v>Por iniciar</v>
      </c>
      <c r="AA421" s="65"/>
    </row>
    <row r="422" spans="1:27">
      <c r="A422" s="20"/>
      <c r="B422" s="60"/>
      <c r="C422" s="60"/>
      <c r="D422" s="60"/>
      <c r="E422" s="60"/>
      <c r="F422" s="60"/>
      <c r="G422" s="60"/>
      <c r="H422" s="65" t="s">
        <v>118</v>
      </c>
      <c r="I422" s="21" t="s">
        <v>1446</v>
      </c>
      <c r="J422" s="26">
        <f>+COUNTIF('ID1&amp;5'!G:G,'1. Status'!I422)</f>
        <v>0</v>
      </c>
      <c r="K422" s="79" t="str">
        <f>+IFERROR(VLOOKUP(CONCATENATE(A422,$B$10,B422),'ID1&amp;5'!B:J,8,FALSE),"-")</f>
        <v>-</v>
      </c>
      <c r="L422" s="78" t="str">
        <f>+IFERROR(VLOOKUP(B422,'ID1&amp;5'!K:L,2,FALSE),"-")</f>
        <v>-</v>
      </c>
      <c r="M422" s="79" t="str">
        <f>+IFERROR(VLOOKUP(CONCATENATE(A422,$B$10,B422),'ID1&amp;5'!B:J,9,FALSE),"-")</f>
        <v>-</v>
      </c>
      <c r="N422" s="79" t="str">
        <f>+IFERROR(VLOOKUP(CONCATENATE(A422,$C$10,C422),'ID1&amp;5'!B:J,8,FALSE),"-")</f>
        <v>-</v>
      </c>
      <c r="O422" s="78" t="str">
        <f>+IFERROR(VLOOKUP(C422,'ID1&amp;5'!K:L,2,FALSE),"-")</f>
        <v>-</v>
      </c>
      <c r="P422" s="79" t="str">
        <f>+IFERROR(VLOOKUP(CONCATENATE(A422,$C$10,C422),'ID1&amp;5'!B:J,9,FALSE),"-")</f>
        <v>-</v>
      </c>
      <c r="Q422" s="78" t="str">
        <f>+IFERROR(VLOOKUP(D422,'ID1&amp;5'!K:L,2,FALSE),"-")</f>
        <v>-</v>
      </c>
      <c r="R422" s="26" t="str">
        <f>+IFERROR(VLOOKUP(CONCATENATE(A422,$D$10,D422),'ID1&amp;5'!B:J,9,FALSE),"-")</f>
        <v>-</v>
      </c>
      <c r="S422" s="78" t="str">
        <f>+IFERROR(VLOOKUP(E422,'ID1&amp;5'!K:L,2,FALSE),"-")</f>
        <v>-</v>
      </c>
      <c r="T422" s="79" t="str">
        <f>+IFERROR(VLOOKUP(CONCATENATE(A422,$E$10,E422),'ID1&amp;5'!B:J,9,FALSE),"-")</f>
        <v>-</v>
      </c>
      <c r="U422" s="78" t="str">
        <f>+IFERROR(VLOOKUP(F422,'ID1&amp;5'!K:L,2,FALSE),"-")</f>
        <v>-</v>
      </c>
      <c r="V422" s="79" t="str">
        <f>+IFERROR(VLOOKUP(CONCATENATE(A422,$F$10,F422),'ID1&amp;5'!B:J,9,FALSE),"-")</f>
        <v>-</v>
      </c>
      <c r="W422" s="26" t="str">
        <f>+IFERROR(VLOOKUP(A422,'ID6&amp;7'!A:I,9,FALSE),"-")</f>
        <v>-</v>
      </c>
      <c r="X422" s="26" t="str">
        <f>+IFERROR(VLOOKUP(A422,'ID6&amp;7'!A:J,10,FALSE),"-")</f>
        <v>-</v>
      </c>
      <c r="Y422" s="26"/>
      <c r="Z422" s="27" t="str">
        <f t="shared" si="7"/>
        <v>Por iniciar</v>
      </c>
      <c r="AA422" s="65"/>
    </row>
    <row r="423" spans="1:27">
      <c r="A423" s="20"/>
      <c r="B423" s="60"/>
      <c r="C423" s="60"/>
      <c r="D423" s="60"/>
      <c r="E423" s="60"/>
      <c r="F423" s="60"/>
      <c r="G423" s="60"/>
      <c r="H423" s="65" t="s">
        <v>118</v>
      </c>
      <c r="I423" s="21" t="s">
        <v>665</v>
      </c>
      <c r="J423" s="26">
        <f>+COUNTIF('ID1&amp;5'!G:G,'1. Status'!I423)</f>
        <v>0</v>
      </c>
      <c r="K423" s="79" t="str">
        <f>+IFERROR(VLOOKUP(CONCATENATE(A423,$B$10,B423),'ID1&amp;5'!B:J,8,FALSE),"-")</f>
        <v>-</v>
      </c>
      <c r="L423" s="78" t="str">
        <f>+IFERROR(VLOOKUP(B423,'ID1&amp;5'!K:L,2,FALSE),"-")</f>
        <v>-</v>
      </c>
      <c r="M423" s="79" t="str">
        <f>+IFERROR(VLOOKUP(CONCATENATE(A423,$B$10,B423),'ID1&amp;5'!B:J,9,FALSE),"-")</f>
        <v>-</v>
      </c>
      <c r="N423" s="79" t="str">
        <f>+IFERROR(VLOOKUP(CONCATENATE(A423,$C$10,C423),'ID1&amp;5'!B:J,8,FALSE),"-")</f>
        <v>-</v>
      </c>
      <c r="O423" s="78" t="str">
        <f>+IFERROR(VLOOKUP(C423,'ID1&amp;5'!K:L,2,FALSE),"-")</f>
        <v>-</v>
      </c>
      <c r="P423" s="79" t="str">
        <f>+IFERROR(VLOOKUP(CONCATENATE(A423,$C$10,C423),'ID1&amp;5'!B:J,9,FALSE),"-")</f>
        <v>-</v>
      </c>
      <c r="Q423" s="78" t="str">
        <f>+IFERROR(VLOOKUP(D423,'ID1&amp;5'!K:L,2,FALSE),"-")</f>
        <v>-</v>
      </c>
      <c r="R423" s="26" t="str">
        <f>+IFERROR(VLOOKUP(CONCATENATE(A423,$D$10,D423),'ID1&amp;5'!B:J,9,FALSE),"-")</f>
        <v>-</v>
      </c>
      <c r="S423" s="78" t="str">
        <f>+IFERROR(VLOOKUP(E423,'ID1&amp;5'!K:L,2,FALSE),"-")</f>
        <v>-</v>
      </c>
      <c r="T423" s="79" t="str">
        <f>+IFERROR(VLOOKUP(CONCATENATE(A423,$E$10,E423),'ID1&amp;5'!B:J,9,FALSE),"-")</f>
        <v>-</v>
      </c>
      <c r="U423" s="78" t="str">
        <f>+IFERROR(VLOOKUP(F423,'ID1&amp;5'!K:L,2,FALSE),"-")</f>
        <v>-</v>
      </c>
      <c r="V423" s="79" t="str">
        <f>+IFERROR(VLOOKUP(CONCATENATE(A423,$F$10,F423),'ID1&amp;5'!B:J,9,FALSE),"-")</f>
        <v>-</v>
      </c>
      <c r="W423" s="26" t="str">
        <f>+IFERROR(VLOOKUP(A423,'ID6&amp;7'!A:I,9,FALSE),"-")</f>
        <v>-</v>
      </c>
      <c r="X423" s="26" t="str">
        <f>+IFERROR(VLOOKUP(A423,'ID6&amp;7'!A:J,10,FALSE),"-")</f>
        <v>-</v>
      </c>
      <c r="Y423" s="26"/>
      <c r="Z423" s="27" t="str">
        <f t="shared" si="7"/>
        <v>Por iniciar</v>
      </c>
      <c r="AA423" s="65"/>
    </row>
    <row r="424" spans="1:27">
      <c r="A424" s="20"/>
      <c r="B424" s="60"/>
      <c r="C424" s="60"/>
      <c r="D424" s="60"/>
      <c r="E424" s="60"/>
      <c r="F424" s="60"/>
      <c r="G424" s="60"/>
      <c r="H424" s="65" t="s">
        <v>118</v>
      </c>
      <c r="I424" s="21" t="s">
        <v>1447</v>
      </c>
      <c r="J424" s="26">
        <f>+COUNTIF('ID1&amp;5'!G:G,'1. Status'!I424)</f>
        <v>0</v>
      </c>
      <c r="K424" s="79" t="str">
        <f>+IFERROR(VLOOKUP(CONCATENATE(A424,$B$10,B424),'ID1&amp;5'!B:J,8,FALSE),"-")</f>
        <v>-</v>
      </c>
      <c r="L424" s="78" t="str">
        <f>+IFERROR(VLOOKUP(B424,'ID1&amp;5'!K:L,2,FALSE),"-")</f>
        <v>-</v>
      </c>
      <c r="M424" s="79" t="str">
        <f>+IFERROR(VLOOKUP(CONCATENATE(A424,$B$10,B424),'ID1&amp;5'!B:J,9,FALSE),"-")</f>
        <v>-</v>
      </c>
      <c r="N424" s="79" t="str">
        <f>+IFERROR(VLOOKUP(CONCATENATE(A424,$C$10,C424),'ID1&amp;5'!B:J,8,FALSE),"-")</f>
        <v>-</v>
      </c>
      <c r="O424" s="78" t="str">
        <f>+IFERROR(VLOOKUP(C424,'ID1&amp;5'!K:L,2,FALSE),"-")</f>
        <v>-</v>
      </c>
      <c r="P424" s="79" t="str">
        <f>+IFERROR(VLOOKUP(CONCATENATE(A424,$C$10,C424),'ID1&amp;5'!B:J,9,FALSE),"-")</f>
        <v>-</v>
      </c>
      <c r="Q424" s="78" t="str">
        <f>+IFERROR(VLOOKUP(D424,'ID1&amp;5'!K:L,2,FALSE),"-")</f>
        <v>-</v>
      </c>
      <c r="R424" s="26" t="str">
        <f>+IFERROR(VLOOKUP(CONCATENATE(A424,$D$10,D424),'ID1&amp;5'!B:J,9,FALSE),"-")</f>
        <v>-</v>
      </c>
      <c r="S424" s="78" t="str">
        <f>+IFERROR(VLOOKUP(E424,'ID1&amp;5'!K:L,2,FALSE),"-")</f>
        <v>-</v>
      </c>
      <c r="T424" s="79" t="str">
        <f>+IFERROR(VLOOKUP(CONCATENATE(A424,$E$10,E424),'ID1&amp;5'!B:J,9,FALSE),"-")</f>
        <v>-</v>
      </c>
      <c r="U424" s="78" t="str">
        <f>+IFERROR(VLOOKUP(F424,'ID1&amp;5'!K:L,2,FALSE),"-")</f>
        <v>-</v>
      </c>
      <c r="V424" s="79" t="str">
        <f>+IFERROR(VLOOKUP(CONCATENATE(A424,$F$10,F424),'ID1&amp;5'!B:J,9,FALSE),"-")</f>
        <v>-</v>
      </c>
      <c r="W424" s="26" t="str">
        <f>+IFERROR(VLOOKUP(A424,'ID6&amp;7'!A:I,9,FALSE),"-")</f>
        <v>-</v>
      </c>
      <c r="X424" s="26" t="str">
        <f>+IFERROR(VLOOKUP(A424,'ID6&amp;7'!A:J,10,FALSE),"-")</f>
        <v>-</v>
      </c>
      <c r="Y424" s="26"/>
      <c r="Z424" s="27" t="str">
        <f t="shared" si="7"/>
        <v>Por iniciar</v>
      </c>
      <c r="AA424" s="65"/>
    </row>
    <row r="425" spans="1:27">
      <c r="A425" s="20"/>
      <c r="B425" s="60"/>
      <c r="C425" s="60"/>
      <c r="D425" s="60"/>
      <c r="E425" s="60"/>
      <c r="F425" s="60"/>
      <c r="G425" s="60"/>
      <c r="H425" s="65" t="s">
        <v>118</v>
      </c>
      <c r="I425" s="21" t="s">
        <v>666</v>
      </c>
      <c r="J425" s="26">
        <f>+COUNTIF('ID1&amp;5'!G:G,'1. Status'!I425)</f>
        <v>0</v>
      </c>
      <c r="K425" s="79" t="str">
        <f>+IFERROR(VLOOKUP(CONCATENATE(A425,$B$10,B425),'ID1&amp;5'!B:J,8,FALSE),"-")</f>
        <v>-</v>
      </c>
      <c r="L425" s="78" t="str">
        <f>+IFERROR(VLOOKUP(B425,'ID1&amp;5'!K:L,2,FALSE),"-")</f>
        <v>-</v>
      </c>
      <c r="M425" s="79" t="str">
        <f>+IFERROR(VLOOKUP(CONCATENATE(A425,$B$10,B425),'ID1&amp;5'!B:J,9,FALSE),"-")</f>
        <v>-</v>
      </c>
      <c r="N425" s="79" t="str">
        <f>+IFERROR(VLOOKUP(CONCATENATE(A425,$C$10,C425),'ID1&amp;5'!B:J,8,FALSE),"-")</f>
        <v>-</v>
      </c>
      <c r="O425" s="78" t="str">
        <f>+IFERROR(VLOOKUP(C425,'ID1&amp;5'!K:L,2,FALSE),"-")</f>
        <v>-</v>
      </c>
      <c r="P425" s="79" t="str">
        <f>+IFERROR(VLOOKUP(CONCATENATE(A425,$C$10,C425),'ID1&amp;5'!B:J,9,FALSE),"-")</f>
        <v>-</v>
      </c>
      <c r="Q425" s="78" t="str">
        <f>+IFERROR(VLOOKUP(D425,'ID1&amp;5'!K:L,2,FALSE),"-")</f>
        <v>-</v>
      </c>
      <c r="R425" s="26" t="str">
        <f>+IFERROR(VLOOKUP(CONCATENATE(A425,$D$10,D425),'ID1&amp;5'!B:J,9,FALSE),"-")</f>
        <v>-</v>
      </c>
      <c r="S425" s="78" t="str">
        <f>+IFERROR(VLOOKUP(E425,'ID1&amp;5'!K:L,2,FALSE),"-")</f>
        <v>-</v>
      </c>
      <c r="T425" s="79" t="str">
        <f>+IFERROR(VLOOKUP(CONCATENATE(A425,$E$10,E425),'ID1&amp;5'!B:J,9,FALSE),"-")</f>
        <v>-</v>
      </c>
      <c r="U425" s="78" t="str">
        <f>+IFERROR(VLOOKUP(F425,'ID1&amp;5'!K:L,2,FALSE),"-")</f>
        <v>-</v>
      </c>
      <c r="V425" s="79" t="str">
        <f>+IFERROR(VLOOKUP(CONCATENATE(A425,$F$10,F425),'ID1&amp;5'!B:J,9,FALSE),"-")</f>
        <v>-</v>
      </c>
      <c r="W425" s="26" t="str">
        <f>+IFERROR(VLOOKUP(A425,'ID6&amp;7'!A:I,9,FALSE),"-")</f>
        <v>-</v>
      </c>
      <c r="X425" s="26" t="str">
        <f>+IFERROR(VLOOKUP(A425,'ID6&amp;7'!A:J,10,FALSE),"-")</f>
        <v>-</v>
      </c>
      <c r="Y425" s="26"/>
      <c r="Z425" s="27" t="str">
        <f t="shared" si="7"/>
        <v>Por iniciar</v>
      </c>
      <c r="AA425" s="65"/>
    </row>
    <row r="426" spans="1:27">
      <c r="A426" s="20"/>
      <c r="B426" s="60"/>
      <c r="C426" s="60"/>
      <c r="D426" s="60"/>
      <c r="E426" s="60"/>
      <c r="F426" s="60"/>
      <c r="G426" s="60"/>
      <c r="H426" s="65" t="s">
        <v>118</v>
      </c>
      <c r="I426" s="21" t="s">
        <v>1448</v>
      </c>
      <c r="J426" s="26">
        <f>+COUNTIF('ID1&amp;5'!G:G,'1. Status'!I426)</f>
        <v>0</v>
      </c>
      <c r="K426" s="79" t="str">
        <f>+IFERROR(VLOOKUP(CONCATENATE(A426,$B$10,B426),'ID1&amp;5'!B:J,8,FALSE),"-")</f>
        <v>-</v>
      </c>
      <c r="L426" s="78" t="str">
        <f>+IFERROR(VLOOKUP(B426,'ID1&amp;5'!K:L,2,FALSE),"-")</f>
        <v>-</v>
      </c>
      <c r="M426" s="79" t="str">
        <f>+IFERROR(VLOOKUP(CONCATENATE(A426,$B$10,B426),'ID1&amp;5'!B:J,9,FALSE),"-")</f>
        <v>-</v>
      </c>
      <c r="N426" s="79" t="str">
        <f>+IFERROR(VLOOKUP(CONCATENATE(A426,$C$10,C426),'ID1&amp;5'!B:J,8,FALSE),"-")</f>
        <v>-</v>
      </c>
      <c r="O426" s="78" t="str">
        <f>+IFERROR(VLOOKUP(C426,'ID1&amp;5'!K:L,2,FALSE),"-")</f>
        <v>-</v>
      </c>
      <c r="P426" s="79" t="str">
        <f>+IFERROR(VLOOKUP(CONCATENATE(A426,$C$10,C426),'ID1&amp;5'!B:J,9,FALSE),"-")</f>
        <v>-</v>
      </c>
      <c r="Q426" s="78" t="str">
        <f>+IFERROR(VLOOKUP(D426,'ID1&amp;5'!K:L,2,FALSE),"-")</f>
        <v>-</v>
      </c>
      <c r="R426" s="26" t="str">
        <f>+IFERROR(VLOOKUP(CONCATENATE(A426,$D$10,D426),'ID1&amp;5'!B:J,9,FALSE),"-")</f>
        <v>-</v>
      </c>
      <c r="S426" s="78" t="str">
        <f>+IFERROR(VLOOKUP(E426,'ID1&amp;5'!K:L,2,FALSE),"-")</f>
        <v>-</v>
      </c>
      <c r="T426" s="79" t="str">
        <f>+IFERROR(VLOOKUP(CONCATENATE(A426,$E$10,E426),'ID1&amp;5'!B:J,9,FALSE),"-")</f>
        <v>-</v>
      </c>
      <c r="U426" s="78" t="str">
        <f>+IFERROR(VLOOKUP(F426,'ID1&amp;5'!K:L,2,FALSE),"-")</f>
        <v>-</v>
      </c>
      <c r="V426" s="79" t="str">
        <f>+IFERROR(VLOOKUP(CONCATENATE(A426,$F$10,F426),'ID1&amp;5'!B:J,9,FALSE),"-")</f>
        <v>-</v>
      </c>
      <c r="W426" s="26" t="str">
        <f>+IFERROR(VLOOKUP(A426,'ID6&amp;7'!A:I,9,FALSE),"-")</f>
        <v>-</v>
      </c>
      <c r="X426" s="26" t="str">
        <f>+IFERROR(VLOOKUP(A426,'ID6&amp;7'!A:J,10,FALSE),"-")</f>
        <v>-</v>
      </c>
      <c r="Y426" s="26"/>
      <c r="Z426" s="27" t="str">
        <f t="shared" si="7"/>
        <v>Por iniciar</v>
      </c>
      <c r="AA426" s="65"/>
    </row>
    <row r="427" spans="1:27">
      <c r="A427" s="20"/>
      <c r="B427" s="60"/>
      <c r="C427" s="60"/>
      <c r="D427" s="60"/>
      <c r="E427" s="60"/>
      <c r="F427" s="60"/>
      <c r="G427" s="60"/>
      <c r="H427" s="65" t="s">
        <v>118</v>
      </c>
      <c r="I427" s="21" t="s">
        <v>1449</v>
      </c>
      <c r="J427" s="26">
        <f>+COUNTIF('ID1&amp;5'!G:G,'1. Status'!I427)</f>
        <v>0</v>
      </c>
      <c r="K427" s="79" t="str">
        <f>+IFERROR(VLOOKUP(CONCATENATE(A427,$B$10,B427),'ID1&amp;5'!B:J,8,FALSE),"-")</f>
        <v>-</v>
      </c>
      <c r="L427" s="78" t="str">
        <f>+IFERROR(VLOOKUP(B427,'ID1&amp;5'!K:L,2,FALSE),"-")</f>
        <v>-</v>
      </c>
      <c r="M427" s="79" t="str">
        <f>+IFERROR(VLOOKUP(CONCATENATE(A427,$B$10,B427),'ID1&amp;5'!B:J,9,FALSE),"-")</f>
        <v>-</v>
      </c>
      <c r="N427" s="79" t="str">
        <f>+IFERROR(VLOOKUP(CONCATENATE(A427,$C$10,C427),'ID1&amp;5'!B:J,8,FALSE),"-")</f>
        <v>-</v>
      </c>
      <c r="O427" s="78" t="str">
        <f>+IFERROR(VLOOKUP(C427,'ID1&amp;5'!K:L,2,FALSE),"-")</f>
        <v>-</v>
      </c>
      <c r="P427" s="79" t="str">
        <f>+IFERROR(VLOOKUP(CONCATENATE(A427,$C$10,C427),'ID1&amp;5'!B:J,9,FALSE),"-")</f>
        <v>-</v>
      </c>
      <c r="Q427" s="78" t="str">
        <f>+IFERROR(VLOOKUP(D427,'ID1&amp;5'!K:L,2,FALSE),"-")</f>
        <v>-</v>
      </c>
      <c r="R427" s="26" t="str">
        <f>+IFERROR(VLOOKUP(CONCATENATE(A427,$D$10,D427),'ID1&amp;5'!B:J,9,FALSE),"-")</f>
        <v>-</v>
      </c>
      <c r="S427" s="78" t="str">
        <f>+IFERROR(VLOOKUP(E427,'ID1&amp;5'!K:L,2,FALSE),"-")</f>
        <v>-</v>
      </c>
      <c r="T427" s="79" t="str">
        <f>+IFERROR(VLOOKUP(CONCATENATE(A427,$E$10,E427),'ID1&amp;5'!B:J,9,FALSE),"-")</f>
        <v>-</v>
      </c>
      <c r="U427" s="78" t="str">
        <f>+IFERROR(VLOOKUP(F427,'ID1&amp;5'!K:L,2,FALSE),"-")</f>
        <v>-</v>
      </c>
      <c r="V427" s="79" t="str">
        <f>+IFERROR(VLOOKUP(CONCATENATE(A427,$F$10,F427),'ID1&amp;5'!B:J,9,FALSE),"-")</f>
        <v>-</v>
      </c>
      <c r="W427" s="26" t="str">
        <f>+IFERROR(VLOOKUP(A427,'ID6&amp;7'!A:I,9,FALSE),"-")</f>
        <v>-</v>
      </c>
      <c r="X427" s="26" t="str">
        <f>+IFERROR(VLOOKUP(A427,'ID6&amp;7'!A:J,10,FALSE),"-")</f>
        <v>-</v>
      </c>
      <c r="Y427" s="26"/>
      <c r="Z427" s="27" t="str">
        <f t="shared" si="7"/>
        <v>Por iniciar</v>
      </c>
      <c r="AA427" s="65"/>
    </row>
    <row r="428" spans="1:27">
      <c r="A428" s="20"/>
      <c r="B428" s="60"/>
      <c r="C428" s="60"/>
      <c r="D428" s="60"/>
      <c r="E428" s="60"/>
      <c r="F428" s="60"/>
      <c r="G428" s="60"/>
      <c r="H428" s="65" t="s">
        <v>118</v>
      </c>
      <c r="I428" s="21" t="s">
        <v>1450</v>
      </c>
      <c r="J428" s="26">
        <f>+COUNTIF('ID1&amp;5'!G:G,'1. Status'!I428)</f>
        <v>0</v>
      </c>
      <c r="K428" s="79" t="str">
        <f>+IFERROR(VLOOKUP(CONCATENATE(A428,$B$10,B428),'ID1&amp;5'!B:J,8,FALSE),"-")</f>
        <v>-</v>
      </c>
      <c r="L428" s="78" t="str">
        <f>+IFERROR(VLOOKUP(B428,'ID1&amp;5'!K:L,2,FALSE),"-")</f>
        <v>-</v>
      </c>
      <c r="M428" s="79" t="str">
        <f>+IFERROR(VLOOKUP(CONCATENATE(A428,$B$10,B428),'ID1&amp;5'!B:J,9,FALSE),"-")</f>
        <v>-</v>
      </c>
      <c r="N428" s="79" t="str">
        <f>+IFERROR(VLOOKUP(CONCATENATE(A428,$C$10,C428),'ID1&amp;5'!B:J,8,FALSE),"-")</f>
        <v>-</v>
      </c>
      <c r="O428" s="78" t="str">
        <f>+IFERROR(VLOOKUP(C428,'ID1&amp;5'!K:L,2,FALSE),"-")</f>
        <v>-</v>
      </c>
      <c r="P428" s="79" t="str">
        <f>+IFERROR(VLOOKUP(CONCATENATE(A428,$C$10,C428),'ID1&amp;5'!B:J,9,FALSE),"-")</f>
        <v>-</v>
      </c>
      <c r="Q428" s="78" t="str">
        <f>+IFERROR(VLOOKUP(D428,'ID1&amp;5'!K:L,2,FALSE),"-")</f>
        <v>-</v>
      </c>
      <c r="R428" s="26" t="str">
        <f>+IFERROR(VLOOKUP(CONCATENATE(A428,$D$10,D428),'ID1&amp;5'!B:J,9,FALSE),"-")</f>
        <v>-</v>
      </c>
      <c r="S428" s="78" t="str">
        <f>+IFERROR(VLOOKUP(E428,'ID1&amp;5'!K:L,2,FALSE),"-")</f>
        <v>-</v>
      </c>
      <c r="T428" s="79" t="str">
        <f>+IFERROR(VLOOKUP(CONCATENATE(A428,$E$10,E428),'ID1&amp;5'!B:J,9,FALSE),"-")</f>
        <v>-</v>
      </c>
      <c r="U428" s="78" t="str">
        <f>+IFERROR(VLOOKUP(F428,'ID1&amp;5'!K:L,2,FALSE),"-")</f>
        <v>-</v>
      </c>
      <c r="V428" s="79" t="str">
        <f>+IFERROR(VLOOKUP(CONCATENATE(A428,$F$10,F428),'ID1&amp;5'!B:J,9,FALSE),"-")</f>
        <v>-</v>
      </c>
      <c r="W428" s="26" t="str">
        <f>+IFERROR(VLOOKUP(A428,'ID6&amp;7'!A:I,9,FALSE),"-")</f>
        <v>-</v>
      </c>
      <c r="X428" s="26" t="str">
        <f>+IFERROR(VLOOKUP(A428,'ID6&amp;7'!A:J,10,FALSE),"-")</f>
        <v>-</v>
      </c>
      <c r="Y428" s="26"/>
      <c r="Z428" s="27" t="str">
        <f t="shared" si="7"/>
        <v>Por iniciar</v>
      </c>
      <c r="AA428" s="65"/>
    </row>
    <row r="429" spans="1:27">
      <c r="A429" s="20"/>
      <c r="B429" s="60"/>
      <c r="C429" s="60"/>
      <c r="D429" s="60"/>
      <c r="E429" s="60"/>
      <c r="F429" s="60"/>
      <c r="G429" s="60"/>
      <c r="H429" s="65" t="s">
        <v>118</v>
      </c>
      <c r="I429" s="21" t="s">
        <v>1451</v>
      </c>
      <c r="J429" s="26">
        <f>+COUNTIF('ID1&amp;5'!G:G,'1. Status'!I429)</f>
        <v>0</v>
      </c>
      <c r="K429" s="79" t="str">
        <f>+IFERROR(VLOOKUP(CONCATENATE(A429,$B$10,B429),'ID1&amp;5'!B:J,8,FALSE),"-")</f>
        <v>-</v>
      </c>
      <c r="L429" s="78" t="str">
        <f>+IFERROR(VLOOKUP(B429,'ID1&amp;5'!K:L,2,FALSE),"-")</f>
        <v>-</v>
      </c>
      <c r="M429" s="79" t="str">
        <f>+IFERROR(VLOOKUP(CONCATENATE(A429,$B$10,B429),'ID1&amp;5'!B:J,9,FALSE),"-")</f>
        <v>-</v>
      </c>
      <c r="N429" s="79" t="str">
        <f>+IFERROR(VLOOKUP(CONCATENATE(A429,$C$10,C429),'ID1&amp;5'!B:J,8,FALSE),"-")</f>
        <v>-</v>
      </c>
      <c r="O429" s="78" t="str">
        <f>+IFERROR(VLOOKUP(C429,'ID1&amp;5'!K:L,2,FALSE),"-")</f>
        <v>-</v>
      </c>
      <c r="P429" s="79" t="str">
        <f>+IFERROR(VLOOKUP(CONCATENATE(A429,$C$10,C429),'ID1&amp;5'!B:J,9,FALSE),"-")</f>
        <v>-</v>
      </c>
      <c r="Q429" s="78" t="str">
        <f>+IFERROR(VLOOKUP(D429,'ID1&amp;5'!K:L,2,FALSE),"-")</f>
        <v>-</v>
      </c>
      <c r="R429" s="26" t="str">
        <f>+IFERROR(VLOOKUP(CONCATENATE(A429,$D$10,D429),'ID1&amp;5'!B:J,9,FALSE),"-")</f>
        <v>-</v>
      </c>
      <c r="S429" s="78" t="str">
        <f>+IFERROR(VLOOKUP(E429,'ID1&amp;5'!K:L,2,FALSE),"-")</f>
        <v>-</v>
      </c>
      <c r="T429" s="79" t="str">
        <f>+IFERROR(VLOOKUP(CONCATENATE(A429,$E$10,E429),'ID1&amp;5'!B:J,9,FALSE),"-")</f>
        <v>-</v>
      </c>
      <c r="U429" s="78" t="str">
        <f>+IFERROR(VLOOKUP(F429,'ID1&amp;5'!K:L,2,FALSE),"-")</f>
        <v>-</v>
      </c>
      <c r="V429" s="79" t="str">
        <f>+IFERROR(VLOOKUP(CONCATENATE(A429,$F$10,F429),'ID1&amp;5'!B:J,9,FALSE),"-")</f>
        <v>-</v>
      </c>
      <c r="W429" s="26" t="str">
        <f>+IFERROR(VLOOKUP(A429,'ID6&amp;7'!A:I,9,FALSE),"-")</f>
        <v>-</v>
      </c>
      <c r="X429" s="26" t="str">
        <f>+IFERROR(VLOOKUP(A429,'ID6&amp;7'!A:J,10,FALSE),"-")</f>
        <v>-</v>
      </c>
      <c r="Y429" s="26"/>
      <c r="Z429" s="27" t="str">
        <f t="shared" si="7"/>
        <v>Por iniciar</v>
      </c>
      <c r="AA429" s="65"/>
    </row>
    <row r="430" spans="1:27">
      <c r="A430" s="20"/>
      <c r="B430" s="60"/>
      <c r="C430" s="60"/>
      <c r="D430" s="60"/>
      <c r="E430" s="60"/>
      <c r="F430" s="60"/>
      <c r="G430" s="60"/>
      <c r="H430" s="65" t="s">
        <v>118</v>
      </c>
      <c r="I430" s="21" t="s">
        <v>1452</v>
      </c>
      <c r="J430" s="26">
        <f>+COUNTIF('ID1&amp;5'!G:G,'1. Status'!I430)</f>
        <v>0</v>
      </c>
      <c r="K430" s="79" t="str">
        <f>+IFERROR(VLOOKUP(CONCATENATE(A430,$B$10,B430),'ID1&amp;5'!B:J,8,FALSE),"-")</f>
        <v>-</v>
      </c>
      <c r="L430" s="78" t="str">
        <f>+IFERROR(VLOOKUP(B430,'ID1&amp;5'!K:L,2,FALSE),"-")</f>
        <v>-</v>
      </c>
      <c r="M430" s="79" t="str">
        <f>+IFERROR(VLOOKUP(CONCATENATE(A430,$B$10,B430),'ID1&amp;5'!B:J,9,FALSE),"-")</f>
        <v>-</v>
      </c>
      <c r="N430" s="79" t="str">
        <f>+IFERROR(VLOOKUP(CONCATENATE(A430,$C$10,C430),'ID1&amp;5'!B:J,8,FALSE),"-")</f>
        <v>-</v>
      </c>
      <c r="O430" s="78" t="str">
        <f>+IFERROR(VLOOKUP(C430,'ID1&amp;5'!K:L,2,FALSE),"-")</f>
        <v>-</v>
      </c>
      <c r="P430" s="79" t="str">
        <f>+IFERROR(VLOOKUP(CONCATENATE(A430,$C$10,C430),'ID1&amp;5'!B:J,9,FALSE),"-")</f>
        <v>-</v>
      </c>
      <c r="Q430" s="78" t="str">
        <f>+IFERROR(VLOOKUP(D430,'ID1&amp;5'!K:L,2,FALSE),"-")</f>
        <v>-</v>
      </c>
      <c r="R430" s="26" t="str">
        <f>+IFERROR(VLOOKUP(CONCATENATE(A430,$D$10,D430),'ID1&amp;5'!B:J,9,FALSE),"-")</f>
        <v>-</v>
      </c>
      <c r="S430" s="78" t="str">
        <f>+IFERROR(VLOOKUP(E430,'ID1&amp;5'!K:L,2,FALSE),"-")</f>
        <v>-</v>
      </c>
      <c r="T430" s="79" t="str">
        <f>+IFERROR(VLOOKUP(CONCATENATE(A430,$E$10,E430),'ID1&amp;5'!B:J,9,FALSE),"-")</f>
        <v>-</v>
      </c>
      <c r="U430" s="78" t="str">
        <f>+IFERROR(VLOOKUP(F430,'ID1&amp;5'!K:L,2,FALSE),"-")</f>
        <v>-</v>
      </c>
      <c r="V430" s="79" t="str">
        <f>+IFERROR(VLOOKUP(CONCATENATE(A430,$F$10,F430),'ID1&amp;5'!B:J,9,FALSE),"-")</f>
        <v>-</v>
      </c>
      <c r="W430" s="26" t="str">
        <f>+IFERROR(VLOOKUP(A430,'ID6&amp;7'!A:I,9,FALSE),"-")</f>
        <v>-</v>
      </c>
      <c r="X430" s="26" t="str">
        <f>+IFERROR(VLOOKUP(A430,'ID6&amp;7'!A:J,10,FALSE),"-")</f>
        <v>-</v>
      </c>
      <c r="Y430" s="26"/>
      <c r="Z430" s="27" t="str">
        <f t="shared" si="7"/>
        <v>Por iniciar</v>
      </c>
      <c r="AA430" s="65"/>
    </row>
    <row r="431" spans="1:27">
      <c r="A431" s="20"/>
      <c r="B431" s="60"/>
      <c r="C431" s="60"/>
      <c r="D431" s="60"/>
      <c r="E431" s="60"/>
      <c r="F431" s="60"/>
      <c r="G431" s="60"/>
      <c r="H431" s="65" t="s">
        <v>118</v>
      </c>
      <c r="I431" s="21" t="s">
        <v>1453</v>
      </c>
      <c r="J431" s="26">
        <f>+COUNTIF('ID1&amp;5'!G:G,'1. Status'!I431)</f>
        <v>0</v>
      </c>
      <c r="K431" s="79" t="str">
        <f>+IFERROR(VLOOKUP(CONCATENATE(A431,$B$10,B431),'ID1&amp;5'!B:J,8,FALSE),"-")</f>
        <v>-</v>
      </c>
      <c r="L431" s="78" t="str">
        <f>+IFERROR(VLOOKUP(B431,'ID1&amp;5'!K:L,2,FALSE),"-")</f>
        <v>-</v>
      </c>
      <c r="M431" s="79" t="str">
        <f>+IFERROR(VLOOKUP(CONCATENATE(A431,$B$10,B431),'ID1&amp;5'!B:J,9,FALSE),"-")</f>
        <v>-</v>
      </c>
      <c r="N431" s="79" t="str">
        <f>+IFERROR(VLOOKUP(CONCATENATE(A431,$C$10,C431),'ID1&amp;5'!B:J,8,FALSE),"-")</f>
        <v>-</v>
      </c>
      <c r="O431" s="78" t="str">
        <f>+IFERROR(VLOOKUP(C431,'ID1&amp;5'!K:L,2,FALSE),"-")</f>
        <v>-</v>
      </c>
      <c r="P431" s="79" t="str">
        <f>+IFERROR(VLOOKUP(CONCATENATE(A431,$C$10,C431),'ID1&amp;5'!B:J,9,FALSE),"-")</f>
        <v>-</v>
      </c>
      <c r="Q431" s="78" t="str">
        <f>+IFERROR(VLOOKUP(D431,'ID1&amp;5'!K:L,2,FALSE),"-")</f>
        <v>-</v>
      </c>
      <c r="R431" s="26" t="str">
        <f>+IFERROR(VLOOKUP(CONCATENATE(A431,$D$10,D431),'ID1&amp;5'!B:J,9,FALSE),"-")</f>
        <v>-</v>
      </c>
      <c r="S431" s="78" t="str">
        <f>+IFERROR(VLOOKUP(E431,'ID1&amp;5'!K:L,2,FALSE),"-")</f>
        <v>-</v>
      </c>
      <c r="T431" s="79" t="str">
        <f>+IFERROR(VLOOKUP(CONCATENATE(A431,$E$10,E431),'ID1&amp;5'!B:J,9,FALSE),"-")</f>
        <v>-</v>
      </c>
      <c r="U431" s="78" t="str">
        <f>+IFERROR(VLOOKUP(F431,'ID1&amp;5'!K:L,2,FALSE),"-")</f>
        <v>-</v>
      </c>
      <c r="V431" s="79" t="str">
        <f>+IFERROR(VLOOKUP(CONCATENATE(A431,$F$10,F431),'ID1&amp;5'!B:J,9,FALSE),"-")</f>
        <v>-</v>
      </c>
      <c r="W431" s="26" t="str">
        <f>+IFERROR(VLOOKUP(A431,'ID6&amp;7'!A:I,9,FALSE),"-")</f>
        <v>-</v>
      </c>
      <c r="X431" s="26" t="str">
        <f>+IFERROR(VLOOKUP(A431,'ID6&amp;7'!A:J,10,FALSE),"-")</f>
        <v>-</v>
      </c>
      <c r="Y431" s="26"/>
      <c r="Z431" s="27" t="str">
        <f t="shared" si="7"/>
        <v>Por iniciar</v>
      </c>
      <c r="AA431" s="65"/>
    </row>
    <row r="432" spans="1:27">
      <c r="A432" s="20"/>
      <c r="B432" s="60"/>
      <c r="C432" s="60"/>
      <c r="D432" s="60"/>
      <c r="E432" s="60"/>
      <c r="F432" s="60"/>
      <c r="G432" s="60"/>
      <c r="H432" s="65" t="s">
        <v>118</v>
      </c>
      <c r="I432" s="21" t="s">
        <v>1454</v>
      </c>
      <c r="J432" s="26">
        <f>+COUNTIF('ID1&amp;5'!G:G,'1. Status'!I432)</f>
        <v>0</v>
      </c>
      <c r="K432" s="79" t="str">
        <f>+IFERROR(VLOOKUP(CONCATENATE(A432,$B$10,B432),'ID1&amp;5'!B:J,8,FALSE),"-")</f>
        <v>-</v>
      </c>
      <c r="L432" s="78" t="str">
        <f>+IFERROR(VLOOKUP(B432,'ID1&amp;5'!K:L,2,FALSE),"-")</f>
        <v>-</v>
      </c>
      <c r="M432" s="79" t="str">
        <f>+IFERROR(VLOOKUP(CONCATENATE(A432,$B$10,B432),'ID1&amp;5'!B:J,9,FALSE),"-")</f>
        <v>-</v>
      </c>
      <c r="N432" s="79" t="str">
        <f>+IFERROR(VLOOKUP(CONCATENATE(A432,$C$10,C432),'ID1&amp;5'!B:J,8,FALSE),"-")</f>
        <v>-</v>
      </c>
      <c r="O432" s="78" t="str">
        <f>+IFERROR(VLOOKUP(C432,'ID1&amp;5'!K:L,2,FALSE),"-")</f>
        <v>-</v>
      </c>
      <c r="P432" s="79" t="str">
        <f>+IFERROR(VLOOKUP(CONCATENATE(A432,$C$10,C432),'ID1&amp;5'!B:J,9,FALSE),"-")</f>
        <v>-</v>
      </c>
      <c r="Q432" s="78" t="str">
        <f>+IFERROR(VLOOKUP(D432,'ID1&amp;5'!K:L,2,FALSE),"-")</f>
        <v>-</v>
      </c>
      <c r="R432" s="26" t="str">
        <f>+IFERROR(VLOOKUP(CONCATENATE(A432,$D$10,D432),'ID1&amp;5'!B:J,9,FALSE),"-")</f>
        <v>-</v>
      </c>
      <c r="S432" s="78" t="str">
        <f>+IFERROR(VLOOKUP(E432,'ID1&amp;5'!K:L,2,FALSE),"-")</f>
        <v>-</v>
      </c>
      <c r="T432" s="79" t="str">
        <f>+IFERROR(VLOOKUP(CONCATENATE(A432,$E$10,E432),'ID1&amp;5'!B:J,9,FALSE),"-")</f>
        <v>-</v>
      </c>
      <c r="U432" s="78" t="str">
        <f>+IFERROR(VLOOKUP(F432,'ID1&amp;5'!K:L,2,FALSE),"-")</f>
        <v>-</v>
      </c>
      <c r="V432" s="79" t="str">
        <f>+IFERROR(VLOOKUP(CONCATENATE(A432,$F$10,F432),'ID1&amp;5'!B:J,9,FALSE),"-")</f>
        <v>-</v>
      </c>
      <c r="W432" s="26" t="str">
        <f>+IFERROR(VLOOKUP(A432,'ID6&amp;7'!A:I,9,FALSE),"-")</f>
        <v>-</v>
      </c>
      <c r="X432" s="26" t="str">
        <f>+IFERROR(VLOOKUP(A432,'ID6&amp;7'!A:J,10,FALSE),"-")</f>
        <v>-</v>
      </c>
      <c r="Y432" s="26"/>
      <c r="Z432" s="27" t="str">
        <f t="shared" si="7"/>
        <v>Por iniciar</v>
      </c>
      <c r="AA432" s="65"/>
    </row>
    <row r="433" spans="1:27">
      <c r="A433" s="20"/>
      <c r="B433" s="60"/>
      <c r="C433" s="60"/>
      <c r="D433" s="60"/>
      <c r="E433" s="60"/>
      <c r="F433" s="60"/>
      <c r="G433" s="60"/>
      <c r="H433" s="65" t="s">
        <v>118</v>
      </c>
      <c r="I433" s="21" t="s">
        <v>1455</v>
      </c>
      <c r="J433" s="26">
        <f>+COUNTIF('ID1&amp;5'!G:G,'1. Status'!I433)</f>
        <v>0</v>
      </c>
      <c r="K433" s="79" t="str">
        <f>+IFERROR(VLOOKUP(CONCATENATE(A433,$B$10,B433),'ID1&amp;5'!B:J,8,FALSE),"-")</f>
        <v>-</v>
      </c>
      <c r="L433" s="78" t="str">
        <f>+IFERROR(VLOOKUP(B433,'ID1&amp;5'!K:L,2,FALSE),"-")</f>
        <v>-</v>
      </c>
      <c r="M433" s="79" t="str">
        <f>+IFERROR(VLOOKUP(CONCATENATE(A433,$B$10,B433),'ID1&amp;5'!B:J,9,FALSE),"-")</f>
        <v>-</v>
      </c>
      <c r="N433" s="79" t="str">
        <f>+IFERROR(VLOOKUP(CONCATENATE(A433,$C$10,C433),'ID1&amp;5'!B:J,8,FALSE),"-")</f>
        <v>-</v>
      </c>
      <c r="O433" s="78" t="str">
        <f>+IFERROR(VLOOKUP(C433,'ID1&amp;5'!K:L,2,FALSE),"-")</f>
        <v>-</v>
      </c>
      <c r="P433" s="79" t="str">
        <f>+IFERROR(VLOOKUP(CONCATENATE(A433,$C$10,C433),'ID1&amp;5'!B:J,9,FALSE),"-")</f>
        <v>-</v>
      </c>
      <c r="Q433" s="78" t="str">
        <f>+IFERROR(VLOOKUP(D433,'ID1&amp;5'!K:L,2,FALSE),"-")</f>
        <v>-</v>
      </c>
      <c r="R433" s="26" t="str">
        <f>+IFERROR(VLOOKUP(CONCATENATE(A433,$D$10,D433),'ID1&amp;5'!B:J,9,FALSE),"-")</f>
        <v>-</v>
      </c>
      <c r="S433" s="78" t="str">
        <f>+IFERROR(VLOOKUP(E433,'ID1&amp;5'!K:L,2,FALSE),"-")</f>
        <v>-</v>
      </c>
      <c r="T433" s="79" t="str">
        <f>+IFERROR(VLOOKUP(CONCATENATE(A433,$E$10,E433),'ID1&amp;5'!B:J,9,FALSE),"-")</f>
        <v>-</v>
      </c>
      <c r="U433" s="78" t="str">
        <f>+IFERROR(VLOOKUP(F433,'ID1&amp;5'!K:L,2,FALSE),"-")</f>
        <v>-</v>
      </c>
      <c r="V433" s="79" t="str">
        <f>+IFERROR(VLOOKUP(CONCATENATE(A433,$F$10,F433),'ID1&amp;5'!B:J,9,FALSE),"-")</f>
        <v>-</v>
      </c>
      <c r="W433" s="26" t="str">
        <f>+IFERROR(VLOOKUP(A433,'ID6&amp;7'!A:I,9,FALSE),"-")</f>
        <v>-</v>
      </c>
      <c r="X433" s="26" t="str">
        <f>+IFERROR(VLOOKUP(A433,'ID6&amp;7'!A:J,10,FALSE),"-")</f>
        <v>-</v>
      </c>
      <c r="Y433" s="26"/>
      <c r="Z433" s="27" t="str">
        <f t="shared" si="7"/>
        <v>Por iniciar</v>
      </c>
      <c r="AA433" s="65"/>
    </row>
    <row r="434" spans="1:27">
      <c r="A434" s="20"/>
      <c r="B434" s="60"/>
      <c r="C434" s="60"/>
      <c r="D434" s="60"/>
      <c r="E434" s="60"/>
      <c r="F434" s="60"/>
      <c r="G434" s="60"/>
      <c r="H434" s="65" t="s">
        <v>118</v>
      </c>
      <c r="I434" s="21" t="s">
        <v>667</v>
      </c>
      <c r="J434" s="26">
        <f>+COUNTIF('ID1&amp;5'!G:G,'1. Status'!I434)</f>
        <v>0</v>
      </c>
      <c r="K434" s="79" t="str">
        <f>+IFERROR(VLOOKUP(CONCATENATE(A434,$B$10,B434),'ID1&amp;5'!B:J,8,FALSE),"-")</f>
        <v>-</v>
      </c>
      <c r="L434" s="78" t="str">
        <f>+IFERROR(VLOOKUP(B434,'ID1&amp;5'!K:L,2,FALSE),"-")</f>
        <v>-</v>
      </c>
      <c r="M434" s="79" t="str">
        <f>+IFERROR(VLOOKUP(CONCATENATE(A434,$B$10,B434),'ID1&amp;5'!B:J,9,FALSE),"-")</f>
        <v>-</v>
      </c>
      <c r="N434" s="79" t="str">
        <f>+IFERROR(VLOOKUP(CONCATENATE(A434,$C$10,C434),'ID1&amp;5'!B:J,8,FALSE),"-")</f>
        <v>-</v>
      </c>
      <c r="O434" s="78" t="str">
        <f>+IFERROR(VLOOKUP(C434,'ID1&amp;5'!K:L,2,FALSE),"-")</f>
        <v>-</v>
      </c>
      <c r="P434" s="79" t="str">
        <f>+IFERROR(VLOOKUP(CONCATENATE(A434,$C$10,C434),'ID1&amp;5'!B:J,9,FALSE),"-")</f>
        <v>-</v>
      </c>
      <c r="Q434" s="78" t="str">
        <f>+IFERROR(VLOOKUP(D434,'ID1&amp;5'!K:L,2,FALSE),"-")</f>
        <v>-</v>
      </c>
      <c r="R434" s="26" t="str">
        <f>+IFERROR(VLOOKUP(CONCATENATE(A434,$D$10,D434),'ID1&amp;5'!B:J,9,FALSE),"-")</f>
        <v>-</v>
      </c>
      <c r="S434" s="78" t="str">
        <f>+IFERROR(VLOOKUP(E434,'ID1&amp;5'!K:L,2,FALSE),"-")</f>
        <v>-</v>
      </c>
      <c r="T434" s="79" t="str">
        <f>+IFERROR(VLOOKUP(CONCATENATE(A434,$E$10,E434),'ID1&amp;5'!B:J,9,FALSE),"-")</f>
        <v>-</v>
      </c>
      <c r="U434" s="78" t="str">
        <f>+IFERROR(VLOOKUP(F434,'ID1&amp;5'!K:L,2,FALSE),"-")</f>
        <v>-</v>
      </c>
      <c r="V434" s="79" t="str">
        <f>+IFERROR(VLOOKUP(CONCATENATE(A434,$F$10,F434),'ID1&amp;5'!B:J,9,FALSE),"-")</f>
        <v>-</v>
      </c>
      <c r="W434" s="26" t="str">
        <f>+IFERROR(VLOOKUP(A434,'ID6&amp;7'!A:I,9,FALSE),"-")</f>
        <v>-</v>
      </c>
      <c r="X434" s="26" t="str">
        <f>+IFERROR(VLOOKUP(A434,'ID6&amp;7'!A:J,10,FALSE),"-")</f>
        <v>-</v>
      </c>
      <c r="Y434" s="26"/>
      <c r="Z434" s="27" t="str">
        <f t="shared" si="7"/>
        <v>Por iniciar</v>
      </c>
      <c r="AA434" s="65"/>
    </row>
    <row r="435" spans="1:27">
      <c r="A435" s="20"/>
      <c r="B435" s="60"/>
      <c r="C435" s="60"/>
      <c r="D435" s="60"/>
      <c r="E435" s="60"/>
      <c r="F435" s="60"/>
      <c r="G435" s="60"/>
      <c r="H435" s="65" t="s">
        <v>118</v>
      </c>
      <c r="I435" s="21" t="s">
        <v>1456</v>
      </c>
      <c r="J435" s="26">
        <f>+COUNTIF('ID1&amp;5'!G:G,'1. Status'!I435)</f>
        <v>0</v>
      </c>
      <c r="K435" s="79" t="str">
        <f>+IFERROR(VLOOKUP(CONCATENATE(A435,$B$10,B435),'ID1&amp;5'!B:J,8,FALSE),"-")</f>
        <v>-</v>
      </c>
      <c r="L435" s="78" t="str">
        <f>+IFERROR(VLOOKUP(B435,'ID1&amp;5'!K:L,2,FALSE),"-")</f>
        <v>-</v>
      </c>
      <c r="M435" s="79" t="str">
        <f>+IFERROR(VLOOKUP(CONCATENATE(A435,$B$10,B435),'ID1&amp;5'!B:J,9,FALSE),"-")</f>
        <v>-</v>
      </c>
      <c r="N435" s="79" t="str">
        <f>+IFERROR(VLOOKUP(CONCATENATE(A435,$C$10,C435),'ID1&amp;5'!B:J,8,FALSE),"-")</f>
        <v>-</v>
      </c>
      <c r="O435" s="78" t="str">
        <f>+IFERROR(VLOOKUP(C435,'ID1&amp;5'!K:L,2,FALSE),"-")</f>
        <v>-</v>
      </c>
      <c r="P435" s="79" t="str">
        <f>+IFERROR(VLOOKUP(CONCATENATE(A435,$C$10,C435),'ID1&amp;5'!B:J,9,FALSE),"-")</f>
        <v>-</v>
      </c>
      <c r="Q435" s="78" t="str">
        <f>+IFERROR(VLOOKUP(D435,'ID1&amp;5'!K:L,2,FALSE),"-")</f>
        <v>-</v>
      </c>
      <c r="R435" s="26" t="str">
        <f>+IFERROR(VLOOKUP(CONCATENATE(A435,$D$10,D435),'ID1&amp;5'!B:J,9,FALSE),"-")</f>
        <v>-</v>
      </c>
      <c r="S435" s="78" t="str">
        <f>+IFERROR(VLOOKUP(E435,'ID1&amp;5'!K:L,2,FALSE),"-")</f>
        <v>-</v>
      </c>
      <c r="T435" s="79" t="str">
        <f>+IFERROR(VLOOKUP(CONCATENATE(A435,$E$10,E435),'ID1&amp;5'!B:J,9,FALSE),"-")</f>
        <v>-</v>
      </c>
      <c r="U435" s="78" t="str">
        <f>+IFERROR(VLOOKUP(F435,'ID1&amp;5'!K:L,2,FALSE),"-")</f>
        <v>-</v>
      </c>
      <c r="V435" s="79" t="str">
        <f>+IFERROR(VLOOKUP(CONCATENATE(A435,$F$10,F435),'ID1&amp;5'!B:J,9,FALSE),"-")</f>
        <v>-</v>
      </c>
      <c r="W435" s="26" t="str">
        <f>+IFERROR(VLOOKUP(A435,'ID6&amp;7'!A:I,9,FALSE),"-")</f>
        <v>-</v>
      </c>
      <c r="X435" s="26" t="str">
        <f>+IFERROR(VLOOKUP(A435,'ID6&amp;7'!A:J,10,FALSE),"-")</f>
        <v>-</v>
      </c>
      <c r="Y435" s="26"/>
      <c r="Z435" s="27" t="str">
        <f t="shared" si="7"/>
        <v>Por iniciar</v>
      </c>
      <c r="AA435" s="65"/>
    </row>
    <row r="436" spans="1:27">
      <c r="A436" s="20"/>
      <c r="B436" s="60"/>
      <c r="C436" s="60"/>
      <c r="D436" s="60"/>
      <c r="E436" s="60"/>
      <c r="F436" s="60"/>
      <c r="G436" s="60"/>
      <c r="H436" s="65" t="s">
        <v>118</v>
      </c>
      <c r="I436" s="21" t="s">
        <v>668</v>
      </c>
      <c r="J436" s="26">
        <f>+COUNTIF('ID1&amp;5'!G:G,'1. Status'!I436)</f>
        <v>0</v>
      </c>
      <c r="K436" s="79" t="str">
        <f>+IFERROR(VLOOKUP(CONCATENATE(A436,$B$10,B436),'ID1&amp;5'!B:J,8,FALSE),"-")</f>
        <v>-</v>
      </c>
      <c r="L436" s="78" t="str">
        <f>+IFERROR(VLOOKUP(B436,'ID1&amp;5'!K:L,2,FALSE),"-")</f>
        <v>-</v>
      </c>
      <c r="M436" s="79" t="str">
        <f>+IFERROR(VLOOKUP(CONCATENATE(A436,$B$10,B436),'ID1&amp;5'!B:J,9,FALSE),"-")</f>
        <v>-</v>
      </c>
      <c r="N436" s="79" t="str">
        <f>+IFERROR(VLOOKUP(CONCATENATE(A436,$C$10,C436),'ID1&amp;5'!B:J,8,FALSE),"-")</f>
        <v>-</v>
      </c>
      <c r="O436" s="78" t="str">
        <f>+IFERROR(VLOOKUP(C436,'ID1&amp;5'!K:L,2,FALSE),"-")</f>
        <v>-</v>
      </c>
      <c r="P436" s="79" t="str">
        <f>+IFERROR(VLOOKUP(CONCATENATE(A436,$C$10,C436),'ID1&amp;5'!B:J,9,FALSE),"-")</f>
        <v>-</v>
      </c>
      <c r="Q436" s="78" t="str">
        <f>+IFERROR(VLOOKUP(D436,'ID1&amp;5'!K:L,2,FALSE),"-")</f>
        <v>-</v>
      </c>
      <c r="R436" s="26" t="str">
        <f>+IFERROR(VLOOKUP(CONCATENATE(A436,$D$10,D436),'ID1&amp;5'!B:J,9,FALSE),"-")</f>
        <v>-</v>
      </c>
      <c r="S436" s="78" t="str">
        <f>+IFERROR(VLOOKUP(E436,'ID1&amp;5'!K:L,2,FALSE),"-")</f>
        <v>-</v>
      </c>
      <c r="T436" s="79" t="str">
        <f>+IFERROR(VLOOKUP(CONCATENATE(A436,$E$10,E436),'ID1&amp;5'!B:J,9,FALSE),"-")</f>
        <v>-</v>
      </c>
      <c r="U436" s="78" t="str">
        <f>+IFERROR(VLOOKUP(F436,'ID1&amp;5'!K:L,2,FALSE),"-")</f>
        <v>-</v>
      </c>
      <c r="V436" s="79" t="str">
        <f>+IFERROR(VLOOKUP(CONCATENATE(A436,$F$10,F436),'ID1&amp;5'!B:J,9,FALSE),"-")</f>
        <v>-</v>
      </c>
      <c r="W436" s="26" t="str">
        <f>+IFERROR(VLOOKUP(A436,'ID6&amp;7'!A:I,9,FALSE),"-")</f>
        <v>-</v>
      </c>
      <c r="X436" s="26" t="str">
        <f>+IFERROR(VLOOKUP(A436,'ID6&amp;7'!A:J,10,FALSE),"-")</f>
        <v>-</v>
      </c>
      <c r="Y436" s="26"/>
      <c r="Z436" s="27" t="str">
        <f t="shared" si="7"/>
        <v>Por iniciar</v>
      </c>
      <c r="AA436" s="65"/>
    </row>
    <row r="437" spans="1:27">
      <c r="A437" s="20"/>
      <c r="B437" s="60"/>
      <c r="C437" s="60"/>
      <c r="D437" s="60"/>
      <c r="E437" s="60"/>
      <c r="F437" s="60"/>
      <c r="G437" s="60"/>
      <c r="H437" s="65" t="s">
        <v>118</v>
      </c>
      <c r="I437" s="21" t="s">
        <v>1457</v>
      </c>
      <c r="J437" s="26">
        <f>+COUNTIF('ID1&amp;5'!G:G,'1. Status'!I437)</f>
        <v>0</v>
      </c>
      <c r="K437" s="79" t="str">
        <f>+IFERROR(VLOOKUP(CONCATENATE(A437,$B$10,B437),'ID1&amp;5'!B:J,8,FALSE),"-")</f>
        <v>-</v>
      </c>
      <c r="L437" s="78" t="str">
        <f>+IFERROR(VLOOKUP(B437,'ID1&amp;5'!K:L,2,FALSE),"-")</f>
        <v>-</v>
      </c>
      <c r="M437" s="79" t="str">
        <f>+IFERROR(VLOOKUP(CONCATENATE(A437,$B$10,B437),'ID1&amp;5'!B:J,9,FALSE),"-")</f>
        <v>-</v>
      </c>
      <c r="N437" s="79" t="str">
        <f>+IFERROR(VLOOKUP(CONCATENATE(A437,$C$10,C437),'ID1&amp;5'!B:J,8,FALSE),"-")</f>
        <v>-</v>
      </c>
      <c r="O437" s="78" t="str">
        <f>+IFERROR(VLOOKUP(C437,'ID1&amp;5'!K:L,2,FALSE),"-")</f>
        <v>-</v>
      </c>
      <c r="P437" s="79" t="str">
        <f>+IFERROR(VLOOKUP(CONCATENATE(A437,$C$10,C437),'ID1&amp;5'!B:J,9,FALSE),"-")</f>
        <v>-</v>
      </c>
      <c r="Q437" s="78" t="str">
        <f>+IFERROR(VLOOKUP(D437,'ID1&amp;5'!K:L,2,FALSE),"-")</f>
        <v>-</v>
      </c>
      <c r="R437" s="26" t="str">
        <f>+IFERROR(VLOOKUP(CONCATENATE(A437,$D$10,D437),'ID1&amp;5'!B:J,9,FALSE),"-")</f>
        <v>-</v>
      </c>
      <c r="S437" s="78" t="str">
        <f>+IFERROR(VLOOKUP(E437,'ID1&amp;5'!K:L,2,FALSE),"-")</f>
        <v>-</v>
      </c>
      <c r="T437" s="79" t="str">
        <f>+IFERROR(VLOOKUP(CONCATENATE(A437,$E$10,E437),'ID1&amp;5'!B:J,9,FALSE),"-")</f>
        <v>-</v>
      </c>
      <c r="U437" s="78" t="str">
        <f>+IFERROR(VLOOKUP(F437,'ID1&amp;5'!K:L,2,FALSE),"-")</f>
        <v>-</v>
      </c>
      <c r="V437" s="79" t="str">
        <f>+IFERROR(VLOOKUP(CONCATENATE(A437,$F$10,F437),'ID1&amp;5'!B:J,9,FALSE),"-")</f>
        <v>-</v>
      </c>
      <c r="W437" s="26" t="str">
        <f>+IFERROR(VLOOKUP(A437,'ID6&amp;7'!A:I,9,FALSE),"-")</f>
        <v>-</v>
      </c>
      <c r="X437" s="26" t="str">
        <f>+IFERROR(VLOOKUP(A437,'ID6&amp;7'!A:J,10,FALSE),"-")</f>
        <v>-</v>
      </c>
      <c r="Y437" s="26"/>
      <c r="Z437" s="27" t="str">
        <f t="shared" si="7"/>
        <v>Por iniciar</v>
      </c>
      <c r="AA437" s="65"/>
    </row>
    <row r="438" spans="1:27">
      <c r="A438" s="20"/>
      <c r="B438" s="60"/>
      <c r="C438" s="60"/>
      <c r="D438" s="60"/>
      <c r="E438" s="60"/>
      <c r="F438" s="60"/>
      <c r="G438" s="60"/>
      <c r="H438" s="65" t="s">
        <v>118</v>
      </c>
      <c r="I438" s="21" t="s">
        <v>1458</v>
      </c>
      <c r="J438" s="26">
        <f>+COUNTIF('ID1&amp;5'!G:G,'1. Status'!I438)</f>
        <v>0</v>
      </c>
      <c r="K438" s="79" t="str">
        <f>+IFERROR(VLOOKUP(CONCATENATE(A438,$B$10,B438),'ID1&amp;5'!B:J,8,FALSE),"-")</f>
        <v>-</v>
      </c>
      <c r="L438" s="78" t="str">
        <f>+IFERROR(VLOOKUP(B438,'ID1&amp;5'!K:L,2,FALSE),"-")</f>
        <v>-</v>
      </c>
      <c r="M438" s="79" t="str">
        <f>+IFERROR(VLOOKUP(CONCATENATE(A438,$B$10,B438),'ID1&amp;5'!B:J,9,FALSE),"-")</f>
        <v>-</v>
      </c>
      <c r="N438" s="79" t="str">
        <f>+IFERROR(VLOOKUP(CONCATENATE(A438,$C$10,C438),'ID1&amp;5'!B:J,8,FALSE),"-")</f>
        <v>-</v>
      </c>
      <c r="O438" s="78" t="str">
        <f>+IFERROR(VLOOKUP(C438,'ID1&amp;5'!K:L,2,FALSE),"-")</f>
        <v>-</v>
      </c>
      <c r="P438" s="79" t="str">
        <f>+IFERROR(VLOOKUP(CONCATENATE(A438,$C$10,C438),'ID1&amp;5'!B:J,9,FALSE),"-")</f>
        <v>-</v>
      </c>
      <c r="Q438" s="78" t="str">
        <f>+IFERROR(VLOOKUP(D438,'ID1&amp;5'!K:L,2,FALSE),"-")</f>
        <v>-</v>
      </c>
      <c r="R438" s="26" t="str">
        <f>+IFERROR(VLOOKUP(CONCATENATE(A438,$D$10,D438),'ID1&amp;5'!B:J,9,FALSE),"-")</f>
        <v>-</v>
      </c>
      <c r="S438" s="78" t="str">
        <f>+IFERROR(VLOOKUP(E438,'ID1&amp;5'!K:L,2,FALSE),"-")</f>
        <v>-</v>
      </c>
      <c r="T438" s="79" t="str">
        <f>+IFERROR(VLOOKUP(CONCATENATE(A438,$E$10,E438),'ID1&amp;5'!B:J,9,FALSE),"-")</f>
        <v>-</v>
      </c>
      <c r="U438" s="78" t="str">
        <f>+IFERROR(VLOOKUP(F438,'ID1&amp;5'!K:L,2,FALSE),"-")</f>
        <v>-</v>
      </c>
      <c r="V438" s="79" t="str">
        <f>+IFERROR(VLOOKUP(CONCATENATE(A438,$F$10,F438),'ID1&amp;5'!B:J,9,FALSE),"-")</f>
        <v>-</v>
      </c>
      <c r="W438" s="26" t="str">
        <f>+IFERROR(VLOOKUP(A438,'ID6&amp;7'!A:I,9,FALSE),"-")</f>
        <v>-</v>
      </c>
      <c r="X438" s="26" t="str">
        <f>+IFERROR(VLOOKUP(A438,'ID6&amp;7'!A:J,10,FALSE),"-")</f>
        <v>-</v>
      </c>
      <c r="Y438" s="26"/>
      <c r="Z438" s="27" t="str">
        <f t="shared" si="7"/>
        <v>Por iniciar</v>
      </c>
      <c r="AA438" s="65"/>
    </row>
    <row r="439" spans="1:27">
      <c r="A439" s="20"/>
      <c r="B439" s="60"/>
      <c r="C439" s="60"/>
      <c r="D439" s="60"/>
      <c r="E439" s="60"/>
      <c r="F439" s="60"/>
      <c r="G439" s="60"/>
      <c r="H439" s="65" t="s">
        <v>118</v>
      </c>
      <c r="I439" s="21" t="s">
        <v>1459</v>
      </c>
      <c r="J439" s="26">
        <f>+COUNTIF('ID1&amp;5'!G:G,'1. Status'!I439)</f>
        <v>0</v>
      </c>
      <c r="K439" s="79" t="str">
        <f>+IFERROR(VLOOKUP(CONCATENATE(A439,$B$10,B439),'ID1&amp;5'!B:J,8,FALSE),"-")</f>
        <v>-</v>
      </c>
      <c r="L439" s="78" t="str">
        <f>+IFERROR(VLOOKUP(B439,'ID1&amp;5'!K:L,2,FALSE),"-")</f>
        <v>-</v>
      </c>
      <c r="M439" s="79" t="str">
        <f>+IFERROR(VLOOKUP(CONCATENATE(A439,$B$10,B439),'ID1&amp;5'!B:J,9,FALSE),"-")</f>
        <v>-</v>
      </c>
      <c r="N439" s="79" t="str">
        <f>+IFERROR(VLOOKUP(CONCATENATE(A439,$C$10,C439),'ID1&amp;5'!B:J,8,FALSE),"-")</f>
        <v>-</v>
      </c>
      <c r="O439" s="78" t="str">
        <f>+IFERROR(VLOOKUP(C439,'ID1&amp;5'!K:L,2,FALSE),"-")</f>
        <v>-</v>
      </c>
      <c r="P439" s="79" t="str">
        <f>+IFERROR(VLOOKUP(CONCATENATE(A439,$C$10,C439),'ID1&amp;5'!B:J,9,FALSE),"-")</f>
        <v>-</v>
      </c>
      <c r="Q439" s="78" t="str">
        <f>+IFERROR(VLOOKUP(D439,'ID1&amp;5'!K:L,2,FALSE),"-")</f>
        <v>-</v>
      </c>
      <c r="R439" s="26" t="str">
        <f>+IFERROR(VLOOKUP(CONCATENATE(A439,$D$10,D439),'ID1&amp;5'!B:J,9,FALSE),"-")</f>
        <v>-</v>
      </c>
      <c r="S439" s="78" t="str">
        <f>+IFERROR(VLOOKUP(E439,'ID1&amp;5'!K:L,2,FALSE),"-")</f>
        <v>-</v>
      </c>
      <c r="T439" s="79" t="str">
        <f>+IFERROR(VLOOKUP(CONCATENATE(A439,$E$10,E439),'ID1&amp;5'!B:J,9,FALSE),"-")</f>
        <v>-</v>
      </c>
      <c r="U439" s="78" t="str">
        <f>+IFERROR(VLOOKUP(F439,'ID1&amp;5'!K:L,2,FALSE),"-")</f>
        <v>-</v>
      </c>
      <c r="V439" s="79" t="str">
        <f>+IFERROR(VLOOKUP(CONCATENATE(A439,$F$10,F439),'ID1&amp;5'!B:J,9,FALSE),"-")</f>
        <v>-</v>
      </c>
      <c r="W439" s="26" t="str">
        <f>+IFERROR(VLOOKUP(A439,'ID6&amp;7'!A:I,9,FALSE),"-")</f>
        <v>-</v>
      </c>
      <c r="X439" s="26" t="str">
        <f>+IFERROR(VLOOKUP(A439,'ID6&amp;7'!A:J,10,FALSE),"-")</f>
        <v>-</v>
      </c>
      <c r="Y439" s="26"/>
      <c r="Z439" s="27" t="str">
        <f t="shared" si="7"/>
        <v>Por iniciar</v>
      </c>
      <c r="AA439" s="65"/>
    </row>
    <row r="440" spans="1:27">
      <c r="A440" s="20"/>
      <c r="B440" s="60"/>
      <c r="C440" s="60"/>
      <c r="D440" s="60"/>
      <c r="E440" s="60"/>
      <c r="F440" s="60"/>
      <c r="G440" s="60"/>
      <c r="H440" s="65" t="s">
        <v>118</v>
      </c>
      <c r="I440" s="21" t="s">
        <v>1460</v>
      </c>
      <c r="J440" s="26">
        <f>+COUNTIF('ID1&amp;5'!G:G,'1. Status'!I440)</f>
        <v>0</v>
      </c>
      <c r="K440" s="79" t="str">
        <f>+IFERROR(VLOOKUP(CONCATENATE(A440,$B$10,B440),'ID1&amp;5'!B:J,8,FALSE),"-")</f>
        <v>-</v>
      </c>
      <c r="L440" s="78" t="str">
        <f>+IFERROR(VLOOKUP(B440,'ID1&amp;5'!K:L,2,FALSE),"-")</f>
        <v>-</v>
      </c>
      <c r="M440" s="79" t="str">
        <f>+IFERROR(VLOOKUP(CONCATENATE(A440,$B$10,B440),'ID1&amp;5'!B:J,9,FALSE),"-")</f>
        <v>-</v>
      </c>
      <c r="N440" s="79" t="str">
        <f>+IFERROR(VLOOKUP(CONCATENATE(A440,$C$10,C440),'ID1&amp;5'!B:J,8,FALSE),"-")</f>
        <v>-</v>
      </c>
      <c r="O440" s="78" t="str">
        <f>+IFERROR(VLOOKUP(C440,'ID1&amp;5'!K:L,2,FALSE),"-")</f>
        <v>-</v>
      </c>
      <c r="P440" s="79" t="str">
        <f>+IFERROR(VLOOKUP(CONCATENATE(A440,$C$10,C440),'ID1&amp;5'!B:J,9,FALSE),"-")</f>
        <v>-</v>
      </c>
      <c r="Q440" s="78" t="str">
        <f>+IFERROR(VLOOKUP(D440,'ID1&amp;5'!K:L,2,FALSE),"-")</f>
        <v>-</v>
      </c>
      <c r="R440" s="26" t="str">
        <f>+IFERROR(VLOOKUP(CONCATENATE(A440,$D$10,D440),'ID1&amp;5'!B:J,9,FALSE),"-")</f>
        <v>-</v>
      </c>
      <c r="S440" s="78" t="str">
        <f>+IFERROR(VLOOKUP(E440,'ID1&amp;5'!K:L,2,FALSE),"-")</f>
        <v>-</v>
      </c>
      <c r="T440" s="79" t="str">
        <f>+IFERROR(VLOOKUP(CONCATENATE(A440,$E$10,E440),'ID1&amp;5'!B:J,9,FALSE),"-")</f>
        <v>-</v>
      </c>
      <c r="U440" s="78" t="str">
        <f>+IFERROR(VLOOKUP(F440,'ID1&amp;5'!K:L,2,FALSE),"-")</f>
        <v>-</v>
      </c>
      <c r="V440" s="79" t="str">
        <f>+IFERROR(VLOOKUP(CONCATENATE(A440,$F$10,F440),'ID1&amp;5'!B:J,9,FALSE),"-")</f>
        <v>-</v>
      </c>
      <c r="W440" s="26" t="str">
        <f>+IFERROR(VLOOKUP(A440,'ID6&amp;7'!A:I,9,FALSE),"-")</f>
        <v>-</v>
      </c>
      <c r="X440" s="26" t="str">
        <f>+IFERROR(VLOOKUP(A440,'ID6&amp;7'!A:J,10,FALSE),"-")</f>
        <v>-</v>
      </c>
      <c r="Y440" s="26"/>
      <c r="Z440" s="27" t="str">
        <f t="shared" si="7"/>
        <v>Por iniciar</v>
      </c>
      <c r="AA440" s="65"/>
    </row>
    <row r="441" spans="1:27">
      <c r="A441" s="20"/>
      <c r="B441" s="60"/>
      <c r="C441" s="60"/>
      <c r="D441" s="60"/>
      <c r="E441" s="60"/>
      <c r="F441" s="60"/>
      <c r="G441" s="60"/>
      <c r="H441" s="65" t="s">
        <v>118</v>
      </c>
      <c r="I441" s="21" t="s">
        <v>1461</v>
      </c>
      <c r="J441" s="26">
        <f>+COUNTIF('ID1&amp;5'!G:G,'1. Status'!I441)</f>
        <v>0</v>
      </c>
      <c r="K441" s="79" t="str">
        <f>+IFERROR(VLOOKUP(CONCATENATE(A441,$B$10,B441),'ID1&amp;5'!B:J,8,FALSE),"-")</f>
        <v>-</v>
      </c>
      <c r="L441" s="78" t="str">
        <f>+IFERROR(VLOOKUP(B441,'ID1&amp;5'!K:L,2,FALSE),"-")</f>
        <v>-</v>
      </c>
      <c r="M441" s="79" t="str">
        <f>+IFERROR(VLOOKUP(CONCATENATE(A441,$B$10,B441),'ID1&amp;5'!B:J,9,FALSE),"-")</f>
        <v>-</v>
      </c>
      <c r="N441" s="79" t="str">
        <f>+IFERROR(VLOOKUP(CONCATENATE(A441,$C$10,C441),'ID1&amp;5'!B:J,8,FALSE),"-")</f>
        <v>-</v>
      </c>
      <c r="O441" s="78" t="str">
        <f>+IFERROR(VLOOKUP(C441,'ID1&amp;5'!K:L,2,FALSE),"-")</f>
        <v>-</v>
      </c>
      <c r="P441" s="79" t="str">
        <f>+IFERROR(VLOOKUP(CONCATENATE(A441,$C$10,C441),'ID1&amp;5'!B:J,9,FALSE),"-")</f>
        <v>-</v>
      </c>
      <c r="Q441" s="78" t="str">
        <f>+IFERROR(VLOOKUP(D441,'ID1&amp;5'!K:L,2,FALSE),"-")</f>
        <v>-</v>
      </c>
      <c r="R441" s="26" t="str">
        <f>+IFERROR(VLOOKUP(CONCATENATE(A441,$D$10,D441),'ID1&amp;5'!B:J,9,FALSE),"-")</f>
        <v>-</v>
      </c>
      <c r="S441" s="78" t="str">
        <f>+IFERROR(VLOOKUP(E441,'ID1&amp;5'!K:L,2,FALSE),"-")</f>
        <v>-</v>
      </c>
      <c r="T441" s="79" t="str">
        <f>+IFERROR(VLOOKUP(CONCATENATE(A441,$E$10,E441),'ID1&amp;5'!B:J,9,FALSE),"-")</f>
        <v>-</v>
      </c>
      <c r="U441" s="78" t="str">
        <f>+IFERROR(VLOOKUP(F441,'ID1&amp;5'!K:L,2,FALSE),"-")</f>
        <v>-</v>
      </c>
      <c r="V441" s="79" t="str">
        <f>+IFERROR(VLOOKUP(CONCATENATE(A441,$F$10,F441),'ID1&amp;5'!B:J,9,FALSE),"-")</f>
        <v>-</v>
      </c>
      <c r="W441" s="26" t="str">
        <f>+IFERROR(VLOOKUP(A441,'ID6&amp;7'!A:I,9,FALSE),"-")</f>
        <v>-</v>
      </c>
      <c r="X441" s="26" t="str">
        <f>+IFERROR(VLOOKUP(A441,'ID6&amp;7'!A:J,10,FALSE),"-")</f>
        <v>-</v>
      </c>
      <c r="Y441" s="26"/>
      <c r="Z441" s="27" t="str">
        <f t="shared" si="7"/>
        <v>Por iniciar</v>
      </c>
      <c r="AA441" s="65"/>
    </row>
    <row r="442" spans="1:27">
      <c r="A442" s="20"/>
      <c r="B442" s="60"/>
      <c r="C442" s="60"/>
      <c r="D442" s="60"/>
      <c r="E442" s="60"/>
      <c r="F442" s="60"/>
      <c r="G442" s="60"/>
      <c r="H442" s="65" t="s">
        <v>118</v>
      </c>
      <c r="I442" s="21" t="s">
        <v>1462</v>
      </c>
      <c r="J442" s="26">
        <f>+COUNTIF('ID1&amp;5'!G:G,'1. Status'!I442)</f>
        <v>0</v>
      </c>
      <c r="K442" s="79" t="str">
        <f>+IFERROR(VLOOKUP(CONCATENATE(A442,$B$10,B442),'ID1&amp;5'!B:J,8,FALSE),"-")</f>
        <v>-</v>
      </c>
      <c r="L442" s="78" t="str">
        <f>+IFERROR(VLOOKUP(B442,'ID1&amp;5'!K:L,2,FALSE),"-")</f>
        <v>-</v>
      </c>
      <c r="M442" s="79" t="str">
        <f>+IFERROR(VLOOKUP(CONCATENATE(A442,$B$10,B442),'ID1&amp;5'!B:J,9,FALSE),"-")</f>
        <v>-</v>
      </c>
      <c r="N442" s="79" t="str">
        <f>+IFERROR(VLOOKUP(CONCATENATE(A442,$C$10,C442),'ID1&amp;5'!B:J,8,FALSE),"-")</f>
        <v>-</v>
      </c>
      <c r="O442" s="78" t="str">
        <f>+IFERROR(VLOOKUP(C442,'ID1&amp;5'!K:L,2,FALSE),"-")</f>
        <v>-</v>
      </c>
      <c r="P442" s="79" t="str">
        <f>+IFERROR(VLOOKUP(CONCATENATE(A442,$C$10,C442),'ID1&amp;5'!B:J,9,FALSE),"-")</f>
        <v>-</v>
      </c>
      <c r="Q442" s="78" t="str">
        <f>+IFERROR(VLOOKUP(D442,'ID1&amp;5'!K:L,2,FALSE),"-")</f>
        <v>-</v>
      </c>
      <c r="R442" s="26" t="str">
        <f>+IFERROR(VLOOKUP(CONCATENATE(A442,$D$10,D442),'ID1&amp;5'!B:J,9,FALSE),"-")</f>
        <v>-</v>
      </c>
      <c r="S442" s="78" t="str">
        <f>+IFERROR(VLOOKUP(E442,'ID1&amp;5'!K:L,2,FALSE),"-")</f>
        <v>-</v>
      </c>
      <c r="T442" s="79" t="str">
        <f>+IFERROR(VLOOKUP(CONCATENATE(A442,$E$10,E442),'ID1&amp;5'!B:J,9,FALSE),"-")</f>
        <v>-</v>
      </c>
      <c r="U442" s="78" t="str">
        <f>+IFERROR(VLOOKUP(F442,'ID1&amp;5'!K:L,2,FALSE),"-")</f>
        <v>-</v>
      </c>
      <c r="V442" s="79" t="str">
        <f>+IFERROR(VLOOKUP(CONCATENATE(A442,$F$10,F442),'ID1&amp;5'!B:J,9,FALSE),"-")</f>
        <v>-</v>
      </c>
      <c r="W442" s="26" t="str">
        <f>+IFERROR(VLOOKUP(A442,'ID6&amp;7'!A:I,9,FALSE),"-")</f>
        <v>-</v>
      </c>
      <c r="X442" s="26" t="str">
        <f>+IFERROR(VLOOKUP(A442,'ID6&amp;7'!A:J,10,FALSE),"-")</f>
        <v>-</v>
      </c>
      <c r="Y442" s="26"/>
      <c r="Z442" s="27" t="str">
        <f t="shared" si="7"/>
        <v>Por iniciar</v>
      </c>
      <c r="AA442" s="65"/>
    </row>
    <row r="443" spans="1:27">
      <c r="A443" s="20"/>
      <c r="B443" s="60"/>
      <c r="C443" s="60"/>
      <c r="D443" s="60"/>
      <c r="E443" s="60"/>
      <c r="F443" s="60"/>
      <c r="G443" s="60"/>
      <c r="H443" s="65" t="s">
        <v>118</v>
      </c>
      <c r="I443" s="21" t="s">
        <v>1463</v>
      </c>
      <c r="J443" s="26">
        <f>+COUNTIF('ID1&amp;5'!G:G,'1. Status'!I443)</f>
        <v>0</v>
      </c>
      <c r="K443" s="79" t="str">
        <f>+IFERROR(VLOOKUP(CONCATENATE(A443,$B$10,B443),'ID1&amp;5'!B:J,8,FALSE),"-")</f>
        <v>-</v>
      </c>
      <c r="L443" s="78" t="str">
        <f>+IFERROR(VLOOKUP(B443,'ID1&amp;5'!K:L,2,FALSE),"-")</f>
        <v>-</v>
      </c>
      <c r="M443" s="79" t="str">
        <f>+IFERROR(VLOOKUP(CONCATENATE(A443,$B$10,B443),'ID1&amp;5'!B:J,9,FALSE),"-")</f>
        <v>-</v>
      </c>
      <c r="N443" s="79" t="str">
        <f>+IFERROR(VLOOKUP(CONCATENATE(A443,$C$10,C443),'ID1&amp;5'!B:J,8,FALSE),"-")</f>
        <v>-</v>
      </c>
      <c r="O443" s="78" t="str">
        <f>+IFERROR(VLOOKUP(C443,'ID1&amp;5'!K:L,2,FALSE),"-")</f>
        <v>-</v>
      </c>
      <c r="P443" s="79" t="str">
        <f>+IFERROR(VLOOKUP(CONCATENATE(A443,$C$10,C443),'ID1&amp;5'!B:J,9,FALSE),"-")</f>
        <v>-</v>
      </c>
      <c r="Q443" s="78" t="str">
        <f>+IFERROR(VLOOKUP(D443,'ID1&amp;5'!K:L,2,FALSE),"-")</f>
        <v>-</v>
      </c>
      <c r="R443" s="26" t="str">
        <f>+IFERROR(VLOOKUP(CONCATENATE(A443,$D$10,D443),'ID1&amp;5'!B:J,9,FALSE),"-")</f>
        <v>-</v>
      </c>
      <c r="S443" s="78" t="str">
        <f>+IFERROR(VLOOKUP(E443,'ID1&amp;5'!K:L,2,FALSE),"-")</f>
        <v>-</v>
      </c>
      <c r="T443" s="79" t="str">
        <f>+IFERROR(VLOOKUP(CONCATENATE(A443,$E$10,E443),'ID1&amp;5'!B:J,9,FALSE),"-")</f>
        <v>-</v>
      </c>
      <c r="U443" s="78" t="str">
        <f>+IFERROR(VLOOKUP(F443,'ID1&amp;5'!K:L,2,FALSE),"-")</f>
        <v>-</v>
      </c>
      <c r="V443" s="79" t="str">
        <f>+IFERROR(VLOOKUP(CONCATENATE(A443,$F$10,F443),'ID1&amp;5'!B:J,9,FALSE),"-")</f>
        <v>-</v>
      </c>
      <c r="W443" s="26" t="str">
        <f>+IFERROR(VLOOKUP(A443,'ID6&amp;7'!A:I,9,FALSE),"-")</f>
        <v>-</v>
      </c>
      <c r="X443" s="26" t="str">
        <f>+IFERROR(VLOOKUP(A443,'ID6&amp;7'!A:J,10,FALSE),"-")</f>
        <v>-</v>
      </c>
      <c r="Y443" s="26"/>
      <c r="Z443" s="27" t="str">
        <f t="shared" si="7"/>
        <v>Por iniciar</v>
      </c>
      <c r="AA443" s="65"/>
    </row>
    <row r="444" spans="1:27">
      <c r="A444" s="20"/>
      <c r="B444" s="60"/>
      <c r="C444" s="60"/>
      <c r="D444" s="60"/>
      <c r="E444" s="60"/>
      <c r="F444" s="60"/>
      <c r="G444" s="60"/>
      <c r="H444" s="65" t="s">
        <v>118</v>
      </c>
      <c r="I444" s="21" t="s">
        <v>1464</v>
      </c>
      <c r="J444" s="26">
        <f>+COUNTIF('ID1&amp;5'!G:G,'1. Status'!I444)</f>
        <v>0</v>
      </c>
      <c r="K444" s="79" t="str">
        <f>+IFERROR(VLOOKUP(CONCATENATE(A444,$B$10,B444),'ID1&amp;5'!B:J,8,FALSE),"-")</f>
        <v>-</v>
      </c>
      <c r="L444" s="78" t="str">
        <f>+IFERROR(VLOOKUP(B444,'ID1&amp;5'!K:L,2,FALSE),"-")</f>
        <v>-</v>
      </c>
      <c r="M444" s="79" t="str">
        <f>+IFERROR(VLOOKUP(CONCATENATE(A444,$B$10,B444),'ID1&amp;5'!B:J,9,FALSE),"-")</f>
        <v>-</v>
      </c>
      <c r="N444" s="79" t="str">
        <f>+IFERROR(VLOOKUP(CONCATENATE(A444,$C$10,C444),'ID1&amp;5'!B:J,8,FALSE),"-")</f>
        <v>-</v>
      </c>
      <c r="O444" s="78" t="str">
        <f>+IFERROR(VLOOKUP(C444,'ID1&amp;5'!K:L,2,FALSE),"-")</f>
        <v>-</v>
      </c>
      <c r="P444" s="79" t="str">
        <f>+IFERROR(VLOOKUP(CONCATENATE(A444,$C$10,C444),'ID1&amp;5'!B:J,9,FALSE),"-")</f>
        <v>-</v>
      </c>
      <c r="Q444" s="78" t="str">
        <f>+IFERROR(VLOOKUP(D444,'ID1&amp;5'!K:L,2,FALSE),"-")</f>
        <v>-</v>
      </c>
      <c r="R444" s="26" t="str">
        <f>+IFERROR(VLOOKUP(CONCATENATE(A444,$D$10,D444),'ID1&amp;5'!B:J,9,FALSE),"-")</f>
        <v>-</v>
      </c>
      <c r="S444" s="78" t="str">
        <f>+IFERROR(VLOOKUP(E444,'ID1&amp;5'!K:L,2,FALSE),"-")</f>
        <v>-</v>
      </c>
      <c r="T444" s="79" t="str">
        <f>+IFERROR(VLOOKUP(CONCATENATE(A444,$E$10,E444),'ID1&amp;5'!B:J,9,FALSE),"-")</f>
        <v>-</v>
      </c>
      <c r="U444" s="78" t="str">
        <f>+IFERROR(VLOOKUP(F444,'ID1&amp;5'!K:L,2,FALSE),"-")</f>
        <v>-</v>
      </c>
      <c r="V444" s="79" t="str">
        <f>+IFERROR(VLOOKUP(CONCATENATE(A444,$F$10,F444),'ID1&amp;5'!B:J,9,FALSE),"-")</f>
        <v>-</v>
      </c>
      <c r="W444" s="26" t="str">
        <f>+IFERROR(VLOOKUP(A444,'ID6&amp;7'!A:I,9,FALSE),"-")</f>
        <v>-</v>
      </c>
      <c r="X444" s="26" t="str">
        <f>+IFERROR(VLOOKUP(A444,'ID6&amp;7'!A:J,10,FALSE),"-")</f>
        <v>-</v>
      </c>
      <c r="Y444" s="26"/>
      <c r="Z444" s="27" t="str">
        <f t="shared" si="7"/>
        <v>Por iniciar</v>
      </c>
      <c r="AA444" s="65"/>
    </row>
    <row r="445" spans="1:27">
      <c r="A445" s="20"/>
      <c r="B445" s="60"/>
      <c r="C445" s="60"/>
      <c r="D445" s="60"/>
      <c r="E445" s="60"/>
      <c r="F445" s="60"/>
      <c r="G445" s="60"/>
      <c r="H445" s="65" t="s">
        <v>118</v>
      </c>
      <c r="I445" s="21" t="s">
        <v>1465</v>
      </c>
      <c r="J445" s="26">
        <f>+COUNTIF('ID1&amp;5'!G:G,'1. Status'!I445)</f>
        <v>0</v>
      </c>
      <c r="K445" s="79" t="str">
        <f>+IFERROR(VLOOKUP(CONCATENATE(A445,$B$10,B445),'ID1&amp;5'!B:J,8,FALSE),"-")</f>
        <v>-</v>
      </c>
      <c r="L445" s="78" t="str">
        <f>+IFERROR(VLOOKUP(B445,'ID1&amp;5'!K:L,2,FALSE),"-")</f>
        <v>-</v>
      </c>
      <c r="M445" s="79" t="str">
        <f>+IFERROR(VLOOKUP(CONCATENATE(A445,$B$10,B445),'ID1&amp;5'!B:J,9,FALSE),"-")</f>
        <v>-</v>
      </c>
      <c r="N445" s="79" t="str">
        <f>+IFERROR(VLOOKUP(CONCATENATE(A445,$C$10,C445),'ID1&amp;5'!B:J,8,FALSE),"-")</f>
        <v>-</v>
      </c>
      <c r="O445" s="78" t="str">
        <f>+IFERROR(VLOOKUP(C445,'ID1&amp;5'!K:L,2,FALSE),"-")</f>
        <v>-</v>
      </c>
      <c r="P445" s="79" t="str">
        <f>+IFERROR(VLOOKUP(CONCATENATE(A445,$C$10,C445),'ID1&amp;5'!B:J,9,FALSE),"-")</f>
        <v>-</v>
      </c>
      <c r="Q445" s="78" t="str">
        <f>+IFERROR(VLOOKUP(D445,'ID1&amp;5'!K:L,2,FALSE),"-")</f>
        <v>-</v>
      </c>
      <c r="R445" s="26" t="str">
        <f>+IFERROR(VLOOKUP(CONCATENATE(A445,$D$10,D445),'ID1&amp;5'!B:J,9,FALSE),"-")</f>
        <v>-</v>
      </c>
      <c r="S445" s="78" t="str">
        <f>+IFERROR(VLOOKUP(E445,'ID1&amp;5'!K:L,2,FALSE),"-")</f>
        <v>-</v>
      </c>
      <c r="T445" s="79" t="str">
        <f>+IFERROR(VLOOKUP(CONCATENATE(A445,$E$10,E445),'ID1&amp;5'!B:J,9,FALSE),"-")</f>
        <v>-</v>
      </c>
      <c r="U445" s="78" t="str">
        <f>+IFERROR(VLOOKUP(F445,'ID1&amp;5'!K:L,2,FALSE),"-")</f>
        <v>-</v>
      </c>
      <c r="V445" s="79" t="str">
        <f>+IFERROR(VLOOKUP(CONCATENATE(A445,$F$10,F445),'ID1&amp;5'!B:J,9,FALSE),"-")</f>
        <v>-</v>
      </c>
      <c r="W445" s="26" t="str">
        <f>+IFERROR(VLOOKUP(A445,'ID6&amp;7'!A:I,9,FALSE),"-")</f>
        <v>-</v>
      </c>
      <c r="X445" s="26" t="str">
        <f>+IFERROR(VLOOKUP(A445,'ID6&amp;7'!A:J,10,FALSE),"-")</f>
        <v>-</v>
      </c>
      <c r="Y445" s="26"/>
      <c r="Z445" s="27" t="str">
        <f t="shared" si="7"/>
        <v>Por iniciar</v>
      </c>
      <c r="AA445" s="65"/>
    </row>
    <row r="446" spans="1:27">
      <c r="A446" s="20"/>
      <c r="B446" s="60"/>
      <c r="C446" s="60"/>
      <c r="D446" s="60"/>
      <c r="E446" s="60"/>
      <c r="F446" s="60"/>
      <c r="G446" s="60"/>
      <c r="H446" s="65" t="s">
        <v>118</v>
      </c>
      <c r="I446" s="21" t="s">
        <v>1466</v>
      </c>
      <c r="J446" s="26">
        <f>+COUNTIF('ID1&amp;5'!G:G,'1. Status'!I446)</f>
        <v>0</v>
      </c>
      <c r="K446" s="79" t="str">
        <f>+IFERROR(VLOOKUP(CONCATENATE(A446,$B$10,B446),'ID1&amp;5'!B:J,8,FALSE),"-")</f>
        <v>-</v>
      </c>
      <c r="L446" s="78" t="str">
        <f>+IFERROR(VLOOKUP(B446,'ID1&amp;5'!K:L,2,FALSE),"-")</f>
        <v>-</v>
      </c>
      <c r="M446" s="79" t="str">
        <f>+IFERROR(VLOOKUP(CONCATENATE(A446,$B$10,B446),'ID1&amp;5'!B:J,9,FALSE),"-")</f>
        <v>-</v>
      </c>
      <c r="N446" s="79" t="str">
        <f>+IFERROR(VLOOKUP(CONCATENATE(A446,$C$10,C446),'ID1&amp;5'!B:J,8,FALSE),"-")</f>
        <v>-</v>
      </c>
      <c r="O446" s="78" t="str">
        <f>+IFERROR(VLOOKUP(C446,'ID1&amp;5'!K:L,2,FALSE),"-")</f>
        <v>-</v>
      </c>
      <c r="P446" s="79" t="str">
        <f>+IFERROR(VLOOKUP(CONCATENATE(A446,$C$10,C446),'ID1&amp;5'!B:J,9,FALSE),"-")</f>
        <v>-</v>
      </c>
      <c r="Q446" s="78" t="str">
        <f>+IFERROR(VLOOKUP(D446,'ID1&amp;5'!K:L,2,FALSE),"-")</f>
        <v>-</v>
      </c>
      <c r="R446" s="26" t="str">
        <f>+IFERROR(VLOOKUP(CONCATENATE(A446,$D$10,D446),'ID1&amp;5'!B:J,9,FALSE),"-")</f>
        <v>-</v>
      </c>
      <c r="S446" s="78" t="str">
        <f>+IFERROR(VLOOKUP(E446,'ID1&amp;5'!K:L,2,FALSE),"-")</f>
        <v>-</v>
      </c>
      <c r="T446" s="79" t="str">
        <f>+IFERROR(VLOOKUP(CONCATENATE(A446,$E$10,E446),'ID1&amp;5'!B:J,9,FALSE),"-")</f>
        <v>-</v>
      </c>
      <c r="U446" s="78" t="str">
        <f>+IFERROR(VLOOKUP(F446,'ID1&amp;5'!K:L,2,FALSE),"-")</f>
        <v>-</v>
      </c>
      <c r="V446" s="79" t="str">
        <f>+IFERROR(VLOOKUP(CONCATENATE(A446,$F$10,F446),'ID1&amp;5'!B:J,9,FALSE),"-")</f>
        <v>-</v>
      </c>
      <c r="W446" s="26" t="str">
        <f>+IFERROR(VLOOKUP(A446,'ID6&amp;7'!A:I,9,FALSE),"-")</f>
        <v>-</v>
      </c>
      <c r="X446" s="26" t="str">
        <f>+IFERROR(VLOOKUP(A446,'ID6&amp;7'!A:J,10,FALSE),"-")</f>
        <v>-</v>
      </c>
      <c r="Y446" s="26"/>
      <c r="Z446" s="27" t="str">
        <f t="shared" si="7"/>
        <v>Por iniciar</v>
      </c>
      <c r="AA446" s="65"/>
    </row>
    <row r="447" spans="1:27">
      <c r="A447" s="20"/>
      <c r="B447" s="60"/>
      <c r="C447" s="60"/>
      <c r="D447" s="60"/>
      <c r="E447" s="60"/>
      <c r="F447" s="60"/>
      <c r="G447" s="60"/>
      <c r="H447" s="65" t="s">
        <v>118</v>
      </c>
      <c r="I447" s="21" t="s">
        <v>669</v>
      </c>
      <c r="J447" s="26">
        <f>+COUNTIF('ID1&amp;5'!G:G,'1. Status'!I447)</f>
        <v>0</v>
      </c>
      <c r="K447" s="79" t="str">
        <f>+IFERROR(VLOOKUP(CONCATENATE(A447,$B$10,B447),'ID1&amp;5'!B:J,8,FALSE),"-")</f>
        <v>-</v>
      </c>
      <c r="L447" s="78" t="str">
        <f>+IFERROR(VLOOKUP(B447,'ID1&amp;5'!K:L,2,FALSE),"-")</f>
        <v>-</v>
      </c>
      <c r="M447" s="79" t="str">
        <f>+IFERROR(VLOOKUP(CONCATENATE(A447,$B$10,B447),'ID1&amp;5'!B:J,9,FALSE),"-")</f>
        <v>-</v>
      </c>
      <c r="N447" s="79" t="str">
        <f>+IFERROR(VLOOKUP(CONCATENATE(A447,$C$10,C447),'ID1&amp;5'!B:J,8,FALSE),"-")</f>
        <v>-</v>
      </c>
      <c r="O447" s="78" t="str">
        <f>+IFERROR(VLOOKUP(C447,'ID1&amp;5'!K:L,2,FALSE),"-")</f>
        <v>-</v>
      </c>
      <c r="P447" s="79" t="str">
        <f>+IFERROR(VLOOKUP(CONCATENATE(A447,$C$10,C447),'ID1&amp;5'!B:J,9,FALSE),"-")</f>
        <v>-</v>
      </c>
      <c r="Q447" s="78" t="str">
        <f>+IFERROR(VLOOKUP(D447,'ID1&amp;5'!K:L,2,FALSE),"-")</f>
        <v>-</v>
      </c>
      <c r="R447" s="26" t="str">
        <f>+IFERROR(VLOOKUP(CONCATENATE(A447,$D$10,D447),'ID1&amp;5'!B:J,9,FALSE),"-")</f>
        <v>-</v>
      </c>
      <c r="S447" s="78" t="str">
        <f>+IFERROR(VLOOKUP(E447,'ID1&amp;5'!K:L,2,FALSE),"-")</f>
        <v>-</v>
      </c>
      <c r="T447" s="79" t="str">
        <f>+IFERROR(VLOOKUP(CONCATENATE(A447,$E$10,E447),'ID1&amp;5'!B:J,9,FALSE),"-")</f>
        <v>-</v>
      </c>
      <c r="U447" s="78" t="str">
        <f>+IFERROR(VLOOKUP(F447,'ID1&amp;5'!K:L,2,FALSE),"-")</f>
        <v>-</v>
      </c>
      <c r="V447" s="79" t="str">
        <f>+IFERROR(VLOOKUP(CONCATENATE(A447,$F$10,F447),'ID1&amp;5'!B:J,9,FALSE),"-")</f>
        <v>-</v>
      </c>
      <c r="W447" s="26" t="str">
        <f>+IFERROR(VLOOKUP(A447,'ID6&amp;7'!A:I,9,FALSE),"-")</f>
        <v>-</v>
      </c>
      <c r="X447" s="26" t="str">
        <f>+IFERROR(VLOOKUP(A447,'ID6&amp;7'!A:J,10,FALSE),"-")</f>
        <v>-</v>
      </c>
      <c r="Y447" s="26"/>
      <c r="Z447" s="27" t="str">
        <f t="shared" si="7"/>
        <v>Por iniciar</v>
      </c>
      <c r="AA447" s="65"/>
    </row>
    <row r="448" spans="1:27">
      <c r="A448" s="20"/>
      <c r="B448" s="60"/>
      <c r="C448" s="60"/>
      <c r="D448" s="60"/>
      <c r="E448" s="60"/>
      <c r="F448" s="60"/>
      <c r="G448" s="60"/>
      <c r="H448" s="65" t="s">
        <v>118</v>
      </c>
      <c r="I448" s="21" t="s">
        <v>1467</v>
      </c>
      <c r="J448" s="26">
        <f>+COUNTIF('ID1&amp;5'!G:G,'1. Status'!I448)</f>
        <v>0</v>
      </c>
      <c r="K448" s="79" t="str">
        <f>+IFERROR(VLOOKUP(CONCATENATE(A448,$B$10,B448),'ID1&amp;5'!B:J,8,FALSE),"-")</f>
        <v>-</v>
      </c>
      <c r="L448" s="78" t="str">
        <f>+IFERROR(VLOOKUP(B448,'ID1&amp;5'!K:L,2,FALSE),"-")</f>
        <v>-</v>
      </c>
      <c r="M448" s="79" t="str">
        <f>+IFERROR(VLOOKUP(CONCATENATE(A448,$B$10,B448),'ID1&amp;5'!B:J,9,FALSE),"-")</f>
        <v>-</v>
      </c>
      <c r="N448" s="79" t="str">
        <f>+IFERROR(VLOOKUP(CONCATENATE(A448,$C$10,C448),'ID1&amp;5'!B:J,8,FALSE),"-")</f>
        <v>-</v>
      </c>
      <c r="O448" s="78" t="str">
        <f>+IFERROR(VLOOKUP(C448,'ID1&amp;5'!K:L,2,FALSE),"-")</f>
        <v>-</v>
      </c>
      <c r="P448" s="79" t="str">
        <f>+IFERROR(VLOOKUP(CONCATENATE(A448,$C$10,C448),'ID1&amp;5'!B:J,9,FALSE),"-")</f>
        <v>-</v>
      </c>
      <c r="Q448" s="78" t="str">
        <f>+IFERROR(VLOOKUP(D448,'ID1&amp;5'!K:L,2,FALSE),"-")</f>
        <v>-</v>
      </c>
      <c r="R448" s="26" t="str">
        <f>+IFERROR(VLOOKUP(CONCATENATE(A448,$D$10,D448),'ID1&amp;5'!B:J,9,FALSE),"-")</f>
        <v>-</v>
      </c>
      <c r="S448" s="78" t="str">
        <f>+IFERROR(VLOOKUP(E448,'ID1&amp;5'!K:L,2,FALSE),"-")</f>
        <v>-</v>
      </c>
      <c r="T448" s="79" t="str">
        <f>+IFERROR(VLOOKUP(CONCATENATE(A448,$E$10,E448),'ID1&amp;5'!B:J,9,FALSE),"-")</f>
        <v>-</v>
      </c>
      <c r="U448" s="78" t="str">
        <f>+IFERROR(VLOOKUP(F448,'ID1&amp;5'!K:L,2,FALSE),"-")</f>
        <v>-</v>
      </c>
      <c r="V448" s="79" t="str">
        <f>+IFERROR(VLOOKUP(CONCATENATE(A448,$F$10,F448),'ID1&amp;5'!B:J,9,FALSE),"-")</f>
        <v>-</v>
      </c>
      <c r="W448" s="26" t="str">
        <f>+IFERROR(VLOOKUP(A448,'ID6&amp;7'!A:I,9,FALSE),"-")</f>
        <v>-</v>
      </c>
      <c r="X448" s="26" t="str">
        <f>+IFERROR(VLOOKUP(A448,'ID6&amp;7'!A:J,10,FALSE),"-")</f>
        <v>-</v>
      </c>
      <c r="Y448" s="26"/>
      <c r="Z448" s="27" t="str">
        <f t="shared" ref="Z448:Z511" si="8">+IF(J448=0,"Por iniciar",IF(OR(K448="-",M448="-",P448="-",R448="-",T448="-",V448="-"),"Em testes",IF(AND(M448=0,P448=0,R448=0,T448&lt;&gt;K448,V448&lt;&gt;K448),"OK","NOK")))</f>
        <v>Por iniciar</v>
      </c>
      <c r="AA448" s="65"/>
    </row>
    <row r="449" spans="1:27">
      <c r="A449" s="20"/>
      <c r="B449" s="60"/>
      <c r="C449" s="60"/>
      <c r="D449" s="60"/>
      <c r="E449" s="60"/>
      <c r="F449" s="60"/>
      <c r="G449" s="60"/>
      <c r="H449" s="65" t="s">
        <v>118</v>
      </c>
      <c r="I449" s="21" t="s">
        <v>1468</v>
      </c>
      <c r="J449" s="26">
        <f>+COUNTIF('ID1&amp;5'!G:G,'1. Status'!I449)</f>
        <v>0</v>
      </c>
      <c r="K449" s="79" t="str">
        <f>+IFERROR(VLOOKUP(CONCATENATE(A449,$B$10,B449),'ID1&amp;5'!B:J,8,FALSE),"-")</f>
        <v>-</v>
      </c>
      <c r="L449" s="78" t="str">
        <f>+IFERROR(VLOOKUP(B449,'ID1&amp;5'!K:L,2,FALSE),"-")</f>
        <v>-</v>
      </c>
      <c r="M449" s="79" t="str">
        <f>+IFERROR(VLOOKUP(CONCATENATE(A449,$B$10,B449),'ID1&amp;5'!B:J,9,FALSE),"-")</f>
        <v>-</v>
      </c>
      <c r="N449" s="79" t="str">
        <f>+IFERROR(VLOOKUP(CONCATENATE(A449,$C$10,C449),'ID1&amp;5'!B:J,8,FALSE),"-")</f>
        <v>-</v>
      </c>
      <c r="O449" s="78" t="str">
        <f>+IFERROR(VLOOKUP(C449,'ID1&amp;5'!K:L,2,FALSE),"-")</f>
        <v>-</v>
      </c>
      <c r="P449" s="79" t="str">
        <f>+IFERROR(VLOOKUP(CONCATENATE(A449,$C$10,C449),'ID1&amp;5'!B:J,9,FALSE),"-")</f>
        <v>-</v>
      </c>
      <c r="Q449" s="78" t="str">
        <f>+IFERROR(VLOOKUP(D449,'ID1&amp;5'!K:L,2,FALSE),"-")</f>
        <v>-</v>
      </c>
      <c r="R449" s="26" t="str">
        <f>+IFERROR(VLOOKUP(CONCATENATE(A449,$D$10,D449),'ID1&amp;5'!B:J,9,FALSE),"-")</f>
        <v>-</v>
      </c>
      <c r="S449" s="78" t="str">
        <f>+IFERROR(VLOOKUP(E449,'ID1&amp;5'!K:L,2,FALSE),"-")</f>
        <v>-</v>
      </c>
      <c r="T449" s="79" t="str">
        <f>+IFERROR(VLOOKUP(CONCATENATE(A449,$E$10,E449),'ID1&amp;5'!B:J,9,FALSE),"-")</f>
        <v>-</v>
      </c>
      <c r="U449" s="78" t="str">
        <f>+IFERROR(VLOOKUP(F449,'ID1&amp;5'!K:L,2,FALSE),"-")</f>
        <v>-</v>
      </c>
      <c r="V449" s="79" t="str">
        <f>+IFERROR(VLOOKUP(CONCATENATE(A449,$F$10,F449),'ID1&amp;5'!B:J,9,FALSE),"-")</f>
        <v>-</v>
      </c>
      <c r="W449" s="26" t="str">
        <f>+IFERROR(VLOOKUP(A449,'ID6&amp;7'!A:I,9,FALSE),"-")</f>
        <v>-</v>
      </c>
      <c r="X449" s="26" t="str">
        <f>+IFERROR(VLOOKUP(A449,'ID6&amp;7'!A:J,10,FALSE),"-")</f>
        <v>-</v>
      </c>
      <c r="Y449" s="26"/>
      <c r="Z449" s="27" t="str">
        <f t="shared" si="8"/>
        <v>Por iniciar</v>
      </c>
      <c r="AA449" s="65"/>
    </row>
    <row r="450" spans="1:27">
      <c r="A450" s="20"/>
      <c r="B450" s="60"/>
      <c r="C450" s="60"/>
      <c r="D450" s="60"/>
      <c r="E450" s="60"/>
      <c r="F450" s="60"/>
      <c r="G450" s="60"/>
      <c r="H450" s="65" t="s">
        <v>118</v>
      </c>
      <c r="I450" s="21" t="s">
        <v>1469</v>
      </c>
      <c r="J450" s="26">
        <f>+COUNTIF('ID1&amp;5'!G:G,'1. Status'!I450)</f>
        <v>0</v>
      </c>
      <c r="K450" s="79" t="str">
        <f>+IFERROR(VLOOKUP(CONCATENATE(A450,$B$10,B450),'ID1&amp;5'!B:J,8,FALSE),"-")</f>
        <v>-</v>
      </c>
      <c r="L450" s="78" t="str">
        <f>+IFERROR(VLOOKUP(B450,'ID1&amp;5'!K:L,2,FALSE),"-")</f>
        <v>-</v>
      </c>
      <c r="M450" s="79" t="str">
        <f>+IFERROR(VLOOKUP(CONCATENATE(A450,$B$10,B450),'ID1&amp;5'!B:J,9,FALSE),"-")</f>
        <v>-</v>
      </c>
      <c r="N450" s="79" t="str">
        <f>+IFERROR(VLOOKUP(CONCATENATE(A450,$C$10,C450),'ID1&amp;5'!B:J,8,FALSE),"-")</f>
        <v>-</v>
      </c>
      <c r="O450" s="78" t="str">
        <f>+IFERROR(VLOOKUP(C450,'ID1&amp;5'!K:L,2,FALSE),"-")</f>
        <v>-</v>
      </c>
      <c r="P450" s="79" t="str">
        <f>+IFERROR(VLOOKUP(CONCATENATE(A450,$C$10,C450),'ID1&amp;5'!B:J,9,FALSE),"-")</f>
        <v>-</v>
      </c>
      <c r="Q450" s="78" t="str">
        <f>+IFERROR(VLOOKUP(D450,'ID1&amp;5'!K:L,2,FALSE),"-")</f>
        <v>-</v>
      </c>
      <c r="R450" s="26" t="str">
        <f>+IFERROR(VLOOKUP(CONCATENATE(A450,$D$10,D450),'ID1&amp;5'!B:J,9,FALSE),"-")</f>
        <v>-</v>
      </c>
      <c r="S450" s="78" t="str">
        <f>+IFERROR(VLOOKUP(E450,'ID1&amp;5'!K:L,2,FALSE),"-")</f>
        <v>-</v>
      </c>
      <c r="T450" s="79" t="str">
        <f>+IFERROR(VLOOKUP(CONCATENATE(A450,$E$10,E450),'ID1&amp;5'!B:J,9,FALSE),"-")</f>
        <v>-</v>
      </c>
      <c r="U450" s="78" t="str">
        <f>+IFERROR(VLOOKUP(F450,'ID1&amp;5'!K:L,2,FALSE),"-")</f>
        <v>-</v>
      </c>
      <c r="V450" s="79" t="str">
        <f>+IFERROR(VLOOKUP(CONCATENATE(A450,$F$10,F450),'ID1&amp;5'!B:J,9,FALSE),"-")</f>
        <v>-</v>
      </c>
      <c r="W450" s="26" t="str">
        <f>+IFERROR(VLOOKUP(A450,'ID6&amp;7'!A:I,9,FALSE),"-")</f>
        <v>-</v>
      </c>
      <c r="X450" s="26" t="str">
        <f>+IFERROR(VLOOKUP(A450,'ID6&amp;7'!A:J,10,FALSE),"-")</f>
        <v>-</v>
      </c>
      <c r="Y450" s="26"/>
      <c r="Z450" s="27" t="str">
        <f t="shared" si="8"/>
        <v>Por iniciar</v>
      </c>
      <c r="AA450" s="65"/>
    </row>
    <row r="451" spans="1:27">
      <c r="A451" s="20"/>
      <c r="B451" s="60"/>
      <c r="C451" s="60"/>
      <c r="D451" s="60"/>
      <c r="E451" s="60"/>
      <c r="F451" s="60"/>
      <c r="G451" s="60"/>
      <c r="H451" s="65" t="s">
        <v>118</v>
      </c>
      <c r="I451" s="21" t="s">
        <v>1470</v>
      </c>
      <c r="J451" s="26">
        <f>+COUNTIF('ID1&amp;5'!G:G,'1. Status'!I451)</f>
        <v>0</v>
      </c>
      <c r="K451" s="79" t="str">
        <f>+IFERROR(VLOOKUP(CONCATENATE(A451,$B$10,B451),'ID1&amp;5'!B:J,8,FALSE),"-")</f>
        <v>-</v>
      </c>
      <c r="L451" s="78" t="str">
        <f>+IFERROR(VLOOKUP(B451,'ID1&amp;5'!K:L,2,FALSE),"-")</f>
        <v>-</v>
      </c>
      <c r="M451" s="79" t="str">
        <f>+IFERROR(VLOOKUP(CONCATENATE(A451,$B$10,B451),'ID1&amp;5'!B:J,9,FALSE),"-")</f>
        <v>-</v>
      </c>
      <c r="N451" s="79" t="str">
        <f>+IFERROR(VLOOKUP(CONCATENATE(A451,$C$10,C451),'ID1&amp;5'!B:J,8,FALSE),"-")</f>
        <v>-</v>
      </c>
      <c r="O451" s="78" t="str">
        <f>+IFERROR(VLOOKUP(C451,'ID1&amp;5'!K:L,2,FALSE),"-")</f>
        <v>-</v>
      </c>
      <c r="P451" s="79" t="str">
        <f>+IFERROR(VLOOKUP(CONCATENATE(A451,$C$10,C451),'ID1&amp;5'!B:J,9,FALSE),"-")</f>
        <v>-</v>
      </c>
      <c r="Q451" s="78" t="str">
        <f>+IFERROR(VLOOKUP(D451,'ID1&amp;5'!K:L,2,FALSE),"-")</f>
        <v>-</v>
      </c>
      <c r="R451" s="26" t="str">
        <f>+IFERROR(VLOOKUP(CONCATENATE(A451,$D$10,D451),'ID1&amp;5'!B:J,9,FALSE),"-")</f>
        <v>-</v>
      </c>
      <c r="S451" s="78" t="str">
        <f>+IFERROR(VLOOKUP(E451,'ID1&amp;5'!K:L,2,FALSE),"-")</f>
        <v>-</v>
      </c>
      <c r="T451" s="79" t="str">
        <f>+IFERROR(VLOOKUP(CONCATENATE(A451,$E$10,E451),'ID1&amp;5'!B:J,9,FALSE),"-")</f>
        <v>-</v>
      </c>
      <c r="U451" s="78" t="str">
        <f>+IFERROR(VLOOKUP(F451,'ID1&amp;5'!K:L,2,FALSE),"-")</f>
        <v>-</v>
      </c>
      <c r="V451" s="79" t="str">
        <f>+IFERROR(VLOOKUP(CONCATENATE(A451,$F$10,F451),'ID1&amp;5'!B:J,9,FALSE),"-")</f>
        <v>-</v>
      </c>
      <c r="W451" s="26" t="str">
        <f>+IFERROR(VLOOKUP(A451,'ID6&amp;7'!A:I,9,FALSE),"-")</f>
        <v>-</v>
      </c>
      <c r="X451" s="26" t="str">
        <f>+IFERROR(VLOOKUP(A451,'ID6&amp;7'!A:J,10,FALSE),"-")</f>
        <v>-</v>
      </c>
      <c r="Y451" s="26"/>
      <c r="Z451" s="27" t="str">
        <f t="shared" si="8"/>
        <v>Por iniciar</v>
      </c>
      <c r="AA451" s="65"/>
    </row>
    <row r="452" spans="1:27">
      <c r="A452" s="20"/>
      <c r="B452" s="60"/>
      <c r="C452" s="60"/>
      <c r="D452" s="60"/>
      <c r="E452" s="60"/>
      <c r="F452" s="60"/>
      <c r="G452" s="60"/>
      <c r="H452" s="65" t="s">
        <v>118</v>
      </c>
      <c r="I452" s="21" t="s">
        <v>1471</v>
      </c>
      <c r="J452" s="26">
        <f>+COUNTIF('ID1&amp;5'!G:G,'1. Status'!I452)</f>
        <v>0</v>
      </c>
      <c r="K452" s="79" t="str">
        <f>+IFERROR(VLOOKUP(CONCATENATE(A452,$B$10,B452),'ID1&amp;5'!B:J,8,FALSE),"-")</f>
        <v>-</v>
      </c>
      <c r="L452" s="78" t="str">
        <f>+IFERROR(VLOOKUP(B452,'ID1&amp;5'!K:L,2,FALSE),"-")</f>
        <v>-</v>
      </c>
      <c r="M452" s="79" t="str">
        <f>+IFERROR(VLOOKUP(CONCATENATE(A452,$B$10,B452),'ID1&amp;5'!B:J,9,FALSE),"-")</f>
        <v>-</v>
      </c>
      <c r="N452" s="79" t="str">
        <f>+IFERROR(VLOOKUP(CONCATENATE(A452,$C$10,C452),'ID1&amp;5'!B:J,8,FALSE),"-")</f>
        <v>-</v>
      </c>
      <c r="O452" s="78" t="str">
        <f>+IFERROR(VLOOKUP(C452,'ID1&amp;5'!K:L,2,FALSE),"-")</f>
        <v>-</v>
      </c>
      <c r="P452" s="79" t="str">
        <f>+IFERROR(VLOOKUP(CONCATENATE(A452,$C$10,C452),'ID1&amp;5'!B:J,9,FALSE),"-")</f>
        <v>-</v>
      </c>
      <c r="Q452" s="78" t="str">
        <f>+IFERROR(VLOOKUP(D452,'ID1&amp;5'!K:L,2,FALSE),"-")</f>
        <v>-</v>
      </c>
      <c r="R452" s="26" t="str">
        <f>+IFERROR(VLOOKUP(CONCATENATE(A452,$D$10,D452),'ID1&amp;5'!B:J,9,FALSE),"-")</f>
        <v>-</v>
      </c>
      <c r="S452" s="78" t="str">
        <f>+IFERROR(VLOOKUP(E452,'ID1&amp;5'!K:L,2,FALSE),"-")</f>
        <v>-</v>
      </c>
      <c r="T452" s="79" t="str">
        <f>+IFERROR(VLOOKUP(CONCATENATE(A452,$E$10,E452),'ID1&amp;5'!B:J,9,FALSE),"-")</f>
        <v>-</v>
      </c>
      <c r="U452" s="78" t="str">
        <f>+IFERROR(VLOOKUP(F452,'ID1&amp;5'!K:L,2,FALSE),"-")</f>
        <v>-</v>
      </c>
      <c r="V452" s="79" t="str">
        <f>+IFERROR(VLOOKUP(CONCATENATE(A452,$F$10,F452),'ID1&amp;5'!B:J,9,FALSE),"-")</f>
        <v>-</v>
      </c>
      <c r="W452" s="26" t="str">
        <f>+IFERROR(VLOOKUP(A452,'ID6&amp;7'!A:I,9,FALSE),"-")</f>
        <v>-</v>
      </c>
      <c r="X452" s="26" t="str">
        <f>+IFERROR(VLOOKUP(A452,'ID6&amp;7'!A:J,10,FALSE),"-")</f>
        <v>-</v>
      </c>
      <c r="Y452" s="26"/>
      <c r="Z452" s="27" t="str">
        <f t="shared" si="8"/>
        <v>Por iniciar</v>
      </c>
      <c r="AA452" s="65"/>
    </row>
    <row r="453" spans="1:27">
      <c r="A453" s="20"/>
      <c r="B453" s="60"/>
      <c r="C453" s="60"/>
      <c r="D453" s="60"/>
      <c r="E453" s="60"/>
      <c r="F453" s="60"/>
      <c r="G453" s="60"/>
      <c r="H453" s="65" t="s">
        <v>118</v>
      </c>
      <c r="I453" s="21" t="s">
        <v>1472</v>
      </c>
      <c r="J453" s="26">
        <f>+COUNTIF('ID1&amp;5'!G:G,'1. Status'!I453)</f>
        <v>0</v>
      </c>
      <c r="K453" s="79" t="str">
        <f>+IFERROR(VLOOKUP(CONCATENATE(A453,$B$10,B453),'ID1&amp;5'!B:J,8,FALSE),"-")</f>
        <v>-</v>
      </c>
      <c r="L453" s="78" t="str">
        <f>+IFERROR(VLOOKUP(B453,'ID1&amp;5'!K:L,2,FALSE),"-")</f>
        <v>-</v>
      </c>
      <c r="M453" s="79" t="str">
        <f>+IFERROR(VLOOKUP(CONCATENATE(A453,$B$10,B453),'ID1&amp;5'!B:J,9,FALSE),"-")</f>
        <v>-</v>
      </c>
      <c r="N453" s="79" t="str">
        <f>+IFERROR(VLOOKUP(CONCATENATE(A453,$C$10,C453),'ID1&amp;5'!B:J,8,FALSE),"-")</f>
        <v>-</v>
      </c>
      <c r="O453" s="78" t="str">
        <f>+IFERROR(VLOOKUP(C453,'ID1&amp;5'!K:L,2,FALSE),"-")</f>
        <v>-</v>
      </c>
      <c r="P453" s="79" t="str">
        <f>+IFERROR(VLOOKUP(CONCATENATE(A453,$C$10,C453),'ID1&amp;5'!B:J,9,FALSE),"-")</f>
        <v>-</v>
      </c>
      <c r="Q453" s="78" t="str">
        <f>+IFERROR(VLOOKUP(D453,'ID1&amp;5'!K:L,2,FALSE),"-")</f>
        <v>-</v>
      </c>
      <c r="R453" s="26" t="str">
        <f>+IFERROR(VLOOKUP(CONCATENATE(A453,$D$10,D453),'ID1&amp;5'!B:J,9,FALSE),"-")</f>
        <v>-</v>
      </c>
      <c r="S453" s="78" t="str">
        <f>+IFERROR(VLOOKUP(E453,'ID1&amp;5'!K:L,2,FALSE),"-")</f>
        <v>-</v>
      </c>
      <c r="T453" s="79" t="str">
        <f>+IFERROR(VLOOKUP(CONCATENATE(A453,$E$10,E453),'ID1&amp;5'!B:J,9,FALSE),"-")</f>
        <v>-</v>
      </c>
      <c r="U453" s="78" t="str">
        <f>+IFERROR(VLOOKUP(F453,'ID1&amp;5'!K:L,2,FALSE),"-")</f>
        <v>-</v>
      </c>
      <c r="V453" s="79" t="str">
        <f>+IFERROR(VLOOKUP(CONCATENATE(A453,$F$10,F453),'ID1&amp;5'!B:J,9,FALSE),"-")</f>
        <v>-</v>
      </c>
      <c r="W453" s="26" t="str">
        <f>+IFERROR(VLOOKUP(A453,'ID6&amp;7'!A:I,9,FALSE),"-")</f>
        <v>-</v>
      </c>
      <c r="X453" s="26" t="str">
        <f>+IFERROR(VLOOKUP(A453,'ID6&amp;7'!A:J,10,FALSE),"-")</f>
        <v>-</v>
      </c>
      <c r="Y453" s="26"/>
      <c r="Z453" s="27" t="str">
        <f t="shared" si="8"/>
        <v>Por iniciar</v>
      </c>
      <c r="AA453" s="65"/>
    </row>
    <row r="454" spans="1:27">
      <c r="A454" s="20"/>
      <c r="B454" s="60"/>
      <c r="C454" s="60"/>
      <c r="D454" s="60"/>
      <c r="E454" s="60"/>
      <c r="F454" s="60"/>
      <c r="G454" s="60"/>
      <c r="H454" s="65" t="s">
        <v>118</v>
      </c>
      <c r="I454" s="21" t="s">
        <v>1473</v>
      </c>
      <c r="J454" s="26">
        <f>+COUNTIF('ID1&amp;5'!G:G,'1. Status'!I454)</f>
        <v>0</v>
      </c>
      <c r="K454" s="79" t="str">
        <f>+IFERROR(VLOOKUP(CONCATENATE(A454,$B$10,B454),'ID1&amp;5'!B:J,8,FALSE),"-")</f>
        <v>-</v>
      </c>
      <c r="L454" s="78" t="str">
        <f>+IFERROR(VLOOKUP(B454,'ID1&amp;5'!K:L,2,FALSE),"-")</f>
        <v>-</v>
      </c>
      <c r="M454" s="79" t="str">
        <f>+IFERROR(VLOOKUP(CONCATENATE(A454,$B$10,B454),'ID1&amp;5'!B:J,9,FALSE),"-")</f>
        <v>-</v>
      </c>
      <c r="N454" s="79" t="str">
        <f>+IFERROR(VLOOKUP(CONCATENATE(A454,$C$10,C454),'ID1&amp;5'!B:J,8,FALSE),"-")</f>
        <v>-</v>
      </c>
      <c r="O454" s="78" t="str">
        <f>+IFERROR(VLOOKUP(C454,'ID1&amp;5'!K:L,2,FALSE),"-")</f>
        <v>-</v>
      </c>
      <c r="P454" s="79" t="str">
        <f>+IFERROR(VLOOKUP(CONCATENATE(A454,$C$10,C454),'ID1&amp;5'!B:J,9,FALSE),"-")</f>
        <v>-</v>
      </c>
      <c r="Q454" s="78" t="str">
        <f>+IFERROR(VLOOKUP(D454,'ID1&amp;5'!K:L,2,FALSE),"-")</f>
        <v>-</v>
      </c>
      <c r="R454" s="26" t="str">
        <f>+IFERROR(VLOOKUP(CONCATENATE(A454,$D$10,D454),'ID1&amp;5'!B:J,9,FALSE),"-")</f>
        <v>-</v>
      </c>
      <c r="S454" s="78" t="str">
        <f>+IFERROR(VLOOKUP(E454,'ID1&amp;5'!K:L,2,FALSE),"-")</f>
        <v>-</v>
      </c>
      <c r="T454" s="79" t="str">
        <f>+IFERROR(VLOOKUP(CONCATENATE(A454,$E$10,E454),'ID1&amp;5'!B:J,9,FALSE),"-")</f>
        <v>-</v>
      </c>
      <c r="U454" s="78" t="str">
        <f>+IFERROR(VLOOKUP(F454,'ID1&amp;5'!K:L,2,FALSE),"-")</f>
        <v>-</v>
      </c>
      <c r="V454" s="79" t="str">
        <f>+IFERROR(VLOOKUP(CONCATENATE(A454,$F$10,F454),'ID1&amp;5'!B:J,9,FALSE),"-")</f>
        <v>-</v>
      </c>
      <c r="W454" s="26" t="str">
        <f>+IFERROR(VLOOKUP(A454,'ID6&amp;7'!A:I,9,FALSE),"-")</f>
        <v>-</v>
      </c>
      <c r="X454" s="26" t="str">
        <f>+IFERROR(VLOOKUP(A454,'ID6&amp;7'!A:J,10,FALSE),"-")</f>
        <v>-</v>
      </c>
      <c r="Y454" s="26"/>
      <c r="Z454" s="27" t="str">
        <f t="shared" si="8"/>
        <v>Por iniciar</v>
      </c>
      <c r="AA454" s="65"/>
    </row>
    <row r="455" spans="1:27">
      <c r="A455" s="20"/>
      <c r="B455" s="60"/>
      <c r="C455" s="60"/>
      <c r="D455" s="60"/>
      <c r="E455" s="60"/>
      <c r="F455" s="60"/>
      <c r="G455" s="60"/>
      <c r="H455" s="65" t="s">
        <v>118</v>
      </c>
      <c r="I455" s="21" t="s">
        <v>1474</v>
      </c>
      <c r="J455" s="26">
        <f>+COUNTIF('ID1&amp;5'!G:G,'1. Status'!I455)</f>
        <v>0</v>
      </c>
      <c r="K455" s="79" t="str">
        <f>+IFERROR(VLOOKUP(CONCATENATE(A455,$B$10,B455),'ID1&amp;5'!B:J,8,FALSE),"-")</f>
        <v>-</v>
      </c>
      <c r="L455" s="78" t="str">
        <f>+IFERROR(VLOOKUP(B455,'ID1&amp;5'!K:L,2,FALSE),"-")</f>
        <v>-</v>
      </c>
      <c r="M455" s="79" t="str">
        <f>+IFERROR(VLOOKUP(CONCATENATE(A455,$B$10,B455),'ID1&amp;5'!B:J,9,FALSE),"-")</f>
        <v>-</v>
      </c>
      <c r="N455" s="79" t="str">
        <f>+IFERROR(VLOOKUP(CONCATENATE(A455,$C$10,C455),'ID1&amp;5'!B:J,8,FALSE),"-")</f>
        <v>-</v>
      </c>
      <c r="O455" s="78" t="str">
        <f>+IFERROR(VLOOKUP(C455,'ID1&amp;5'!K:L,2,FALSE),"-")</f>
        <v>-</v>
      </c>
      <c r="P455" s="79" t="str">
        <f>+IFERROR(VLOOKUP(CONCATENATE(A455,$C$10,C455),'ID1&amp;5'!B:J,9,FALSE),"-")</f>
        <v>-</v>
      </c>
      <c r="Q455" s="78" t="str">
        <f>+IFERROR(VLOOKUP(D455,'ID1&amp;5'!K:L,2,FALSE),"-")</f>
        <v>-</v>
      </c>
      <c r="R455" s="26" t="str">
        <f>+IFERROR(VLOOKUP(CONCATENATE(A455,$D$10,D455),'ID1&amp;5'!B:J,9,FALSE),"-")</f>
        <v>-</v>
      </c>
      <c r="S455" s="78" t="str">
        <f>+IFERROR(VLOOKUP(E455,'ID1&amp;5'!K:L,2,FALSE),"-")</f>
        <v>-</v>
      </c>
      <c r="T455" s="79" t="str">
        <f>+IFERROR(VLOOKUP(CONCATENATE(A455,$E$10,E455),'ID1&amp;5'!B:J,9,FALSE),"-")</f>
        <v>-</v>
      </c>
      <c r="U455" s="78" t="str">
        <f>+IFERROR(VLOOKUP(F455,'ID1&amp;5'!K:L,2,FALSE),"-")</f>
        <v>-</v>
      </c>
      <c r="V455" s="79" t="str">
        <f>+IFERROR(VLOOKUP(CONCATENATE(A455,$F$10,F455),'ID1&amp;5'!B:J,9,FALSE),"-")</f>
        <v>-</v>
      </c>
      <c r="W455" s="26" t="str">
        <f>+IFERROR(VLOOKUP(A455,'ID6&amp;7'!A:I,9,FALSE),"-")</f>
        <v>-</v>
      </c>
      <c r="X455" s="26" t="str">
        <f>+IFERROR(VLOOKUP(A455,'ID6&amp;7'!A:J,10,FALSE),"-")</f>
        <v>-</v>
      </c>
      <c r="Y455" s="26"/>
      <c r="Z455" s="27" t="str">
        <f t="shared" si="8"/>
        <v>Por iniciar</v>
      </c>
      <c r="AA455" s="65"/>
    </row>
    <row r="456" spans="1:27">
      <c r="A456" s="20"/>
      <c r="B456" s="60"/>
      <c r="C456" s="60"/>
      <c r="D456" s="60"/>
      <c r="E456" s="60"/>
      <c r="F456" s="60"/>
      <c r="G456" s="60"/>
      <c r="H456" s="65" t="s">
        <v>118</v>
      </c>
      <c r="I456" s="21" t="s">
        <v>1230</v>
      </c>
      <c r="J456" s="26">
        <f>+COUNTIF('ID1&amp;5'!G:G,'1. Status'!I456)</f>
        <v>0</v>
      </c>
      <c r="K456" s="79" t="str">
        <f>+IFERROR(VLOOKUP(CONCATENATE(A456,$B$10,B456),'ID1&amp;5'!B:J,8,FALSE),"-")</f>
        <v>-</v>
      </c>
      <c r="L456" s="78" t="str">
        <f>+IFERROR(VLOOKUP(B456,'ID1&amp;5'!K:L,2,FALSE),"-")</f>
        <v>-</v>
      </c>
      <c r="M456" s="79" t="str">
        <f>+IFERROR(VLOOKUP(CONCATENATE(A456,$B$10,B456),'ID1&amp;5'!B:J,9,FALSE),"-")</f>
        <v>-</v>
      </c>
      <c r="N456" s="79" t="str">
        <f>+IFERROR(VLOOKUP(CONCATENATE(A456,$C$10,C456),'ID1&amp;5'!B:J,8,FALSE),"-")</f>
        <v>-</v>
      </c>
      <c r="O456" s="78" t="str">
        <f>+IFERROR(VLOOKUP(C456,'ID1&amp;5'!K:L,2,FALSE),"-")</f>
        <v>-</v>
      </c>
      <c r="P456" s="79" t="str">
        <f>+IFERROR(VLOOKUP(CONCATENATE(A456,$C$10,C456),'ID1&amp;5'!B:J,9,FALSE),"-")</f>
        <v>-</v>
      </c>
      <c r="Q456" s="78" t="str">
        <f>+IFERROR(VLOOKUP(D456,'ID1&amp;5'!K:L,2,FALSE),"-")</f>
        <v>-</v>
      </c>
      <c r="R456" s="26" t="str">
        <f>+IFERROR(VLOOKUP(CONCATENATE(A456,$D$10,D456),'ID1&amp;5'!B:J,9,FALSE),"-")</f>
        <v>-</v>
      </c>
      <c r="S456" s="78" t="str">
        <f>+IFERROR(VLOOKUP(E456,'ID1&amp;5'!K:L,2,FALSE),"-")</f>
        <v>-</v>
      </c>
      <c r="T456" s="79" t="str">
        <f>+IFERROR(VLOOKUP(CONCATENATE(A456,$E$10,E456),'ID1&amp;5'!B:J,9,FALSE),"-")</f>
        <v>-</v>
      </c>
      <c r="U456" s="78" t="str">
        <f>+IFERROR(VLOOKUP(F456,'ID1&amp;5'!K:L,2,FALSE),"-")</f>
        <v>-</v>
      </c>
      <c r="V456" s="79" t="str">
        <f>+IFERROR(VLOOKUP(CONCATENATE(A456,$F$10,F456),'ID1&amp;5'!B:J,9,FALSE),"-")</f>
        <v>-</v>
      </c>
      <c r="W456" s="26" t="str">
        <f>+IFERROR(VLOOKUP(A456,'ID6&amp;7'!A:I,9,FALSE),"-")</f>
        <v>-</v>
      </c>
      <c r="X456" s="26" t="str">
        <f>+IFERROR(VLOOKUP(A456,'ID6&amp;7'!A:J,10,FALSE),"-")</f>
        <v>-</v>
      </c>
      <c r="Y456" s="26"/>
      <c r="Z456" s="27" t="str">
        <f t="shared" si="8"/>
        <v>Por iniciar</v>
      </c>
      <c r="AA456" s="65"/>
    </row>
    <row r="457" spans="1:27">
      <c r="A457" s="20"/>
      <c r="B457" s="60"/>
      <c r="C457" s="60"/>
      <c r="D457" s="60"/>
      <c r="E457" s="60"/>
      <c r="F457" s="60"/>
      <c r="G457" s="60"/>
      <c r="H457" s="65" t="s">
        <v>118</v>
      </c>
      <c r="I457" s="21" t="s">
        <v>1233</v>
      </c>
      <c r="J457" s="26">
        <f>+COUNTIF('ID1&amp;5'!G:G,'1. Status'!I457)</f>
        <v>0</v>
      </c>
      <c r="K457" s="79" t="str">
        <f>+IFERROR(VLOOKUP(CONCATENATE(A457,$B$10,B457),'ID1&amp;5'!B:J,8,FALSE),"-")</f>
        <v>-</v>
      </c>
      <c r="L457" s="78" t="str">
        <f>+IFERROR(VLOOKUP(B457,'ID1&amp;5'!K:L,2,FALSE),"-")</f>
        <v>-</v>
      </c>
      <c r="M457" s="79" t="str">
        <f>+IFERROR(VLOOKUP(CONCATENATE(A457,$B$10,B457),'ID1&amp;5'!B:J,9,FALSE),"-")</f>
        <v>-</v>
      </c>
      <c r="N457" s="79" t="str">
        <f>+IFERROR(VLOOKUP(CONCATENATE(A457,$C$10,C457),'ID1&amp;5'!B:J,8,FALSE),"-")</f>
        <v>-</v>
      </c>
      <c r="O457" s="78" t="str">
        <f>+IFERROR(VLOOKUP(C457,'ID1&amp;5'!K:L,2,FALSE),"-")</f>
        <v>-</v>
      </c>
      <c r="P457" s="79" t="str">
        <f>+IFERROR(VLOOKUP(CONCATENATE(A457,$C$10,C457),'ID1&amp;5'!B:J,9,FALSE),"-")</f>
        <v>-</v>
      </c>
      <c r="Q457" s="78" t="str">
        <f>+IFERROR(VLOOKUP(D457,'ID1&amp;5'!K:L,2,FALSE),"-")</f>
        <v>-</v>
      </c>
      <c r="R457" s="26" t="str">
        <f>+IFERROR(VLOOKUP(CONCATENATE(A457,$D$10,D457),'ID1&amp;5'!B:J,9,FALSE),"-")</f>
        <v>-</v>
      </c>
      <c r="S457" s="78" t="str">
        <f>+IFERROR(VLOOKUP(E457,'ID1&amp;5'!K:L,2,FALSE),"-")</f>
        <v>-</v>
      </c>
      <c r="T457" s="79" t="str">
        <f>+IFERROR(VLOOKUP(CONCATENATE(A457,$E$10,E457),'ID1&amp;5'!B:J,9,FALSE),"-")</f>
        <v>-</v>
      </c>
      <c r="U457" s="78" t="str">
        <f>+IFERROR(VLOOKUP(F457,'ID1&amp;5'!K:L,2,FALSE),"-")</f>
        <v>-</v>
      </c>
      <c r="V457" s="79" t="str">
        <f>+IFERROR(VLOOKUP(CONCATENATE(A457,$F$10,F457),'ID1&amp;5'!B:J,9,FALSE),"-")</f>
        <v>-</v>
      </c>
      <c r="W457" s="26" t="str">
        <f>+IFERROR(VLOOKUP(A457,'ID6&amp;7'!A:I,9,FALSE),"-")</f>
        <v>-</v>
      </c>
      <c r="X457" s="26" t="str">
        <f>+IFERROR(VLOOKUP(A457,'ID6&amp;7'!A:J,10,FALSE),"-")</f>
        <v>-</v>
      </c>
      <c r="Y457" s="26"/>
      <c r="Z457" s="27" t="str">
        <f t="shared" si="8"/>
        <v>Por iniciar</v>
      </c>
      <c r="AA457" s="65"/>
    </row>
    <row r="458" spans="1:27">
      <c r="A458" s="20"/>
      <c r="B458" s="60"/>
      <c r="C458" s="60"/>
      <c r="D458" s="60"/>
      <c r="E458" s="60"/>
      <c r="F458" s="60"/>
      <c r="G458" s="60"/>
      <c r="H458" s="65" t="s">
        <v>118</v>
      </c>
      <c r="I458" s="21" t="s">
        <v>1234</v>
      </c>
      <c r="J458" s="26">
        <f>+COUNTIF('ID1&amp;5'!G:G,'1. Status'!I458)</f>
        <v>0</v>
      </c>
      <c r="K458" s="79" t="str">
        <f>+IFERROR(VLOOKUP(CONCATENATE(A458,$B$10,B458),'ID1&amp;5'!B:J,8,FALSE),"-")</f>
        <v>-</v>
      </c>
      <c r="L458" s="78" t="str">
        <f>+IFERROR(VLOOKUP(B458,'ID1&amp;5'!K:L,2,FALSE),"-")</f>
        <v>-</v>
      </c>
      <c r="M458" s="79" t="str">
        <f>+IFERROR(VLOOKUP(CONCATENATE(A458,$B$10,B458),'ID1&amp;5'!B:J,9,FALSE),"-")</f>
        <v>-</v>
      </c>
      <c r="N458" s="79" t="str">
        <f>+IFERROR(VLOOKUP(CONCATENATE(A458,$C$10,C458),'ID1&amp;5'!B:J,8,FALSE),"-")</f>
        <v>-</v>
      </c>
      <c r="O458" s="78" t="str">
        <f>+IFERROR(VLOOKUP(C458,'ID1&amp;5'!K:L,2,FALSE),"-")</f>
        <v>-</v>
      </c>
      <c r="P458" s="79" t="str">
        <f>+IFERROR(VLOOKUP(CONCATENATE(A458,$C$10,C458),'ID1&amp;5'!B:J,9,FALSE),"-")</f>
        <v>-</v>
      </c>
      <c r="Q458" s="78" t="str">
        <f>+IFERROR(VLOOKUP(D458,'ID1&amp;5'!K:L,2,FALSE),"-")</f>
        <v>-</v>
      </c>
      <c r="R458" s="26" t="str">
        <f>+IFERROR(VLOOKUP(CONCATENATE(A458,$D$10,D458),'ID1&amp;5'!B:J,9,FALSE),"-")</f>
        <v>-</v>
      </c>
      <c r="S458" s="78" t="str">
        <f>+IFERROR(VLOOKUP(E458,'ID1&amp;5'!K:L,2,FALSE),"-")</f>
        <v>-</v>
      </c>
      <c r="T458" s="79" t="str">
        <f>+IFERROR(VLOOKUP(CONCATENATE(A458,$E$10,E458),'ID1&amp;5'!B:J,9,FALSE),"-")</f>
        <v>-</v>
      </c>
      <c r="U458" s="78" t="str">
        <f>+IFERROR(VLOOKUP(F458,'ID1&amp;5'!K:L,2,FALSE),"-")</f>
        <v>-</v>
      </c>
      <c r="V458" s="79" t="str">
        <f>+IFERROR(VLOOKUP(CONCATENATE(A458,$F$10,F458),'ID1&amp;5'!B:J,9,FALSE),"-")</f>
        <v>-</v>
      </c>
      <c r="W458" s="26" t="str">
        <f>+IFERROR(VLOOKUP(A458,'ID6&amp;7'!A:I,9,FALSE),"-")</f>
        <v>-</v>
      </c>
      <c r="X458" s="26" t="str">
        <f>+IFERROR(VLOOKUP(A458,'ID6&amp;7'!A:J,10,FALSE),"-")</f>
        <v>-</v>
      </c>
      <c r="Y458" s="26"/>
      <c r="Z458" s="27" t="str">
        <f t="shared" si="8"/>
        <v>Por iniciar</v>
      </c>
      <c r="AA458" s="65"/>
    </row>
    <row r="459" spans="1:27">
      <c r="A459" s="20"/>
      <c r="B459" s="60"/>
      <c r="C459" s="60"/>
      <c r="D459" s="60"/>
      <c r="E459" s="60"/>
      <c r="F459" s="60"/>
      <c r="G459" s="60"/>
      <c r="H459" s="65" t="s">
        <v>118</v>
      </c>
      <c r="I459" s="21" t="s">
        <v>1245</v>
      </c>
      <c r="J459" s="26">
        <f>+COUNTIF('ID1&amp;5'!G:G,'1. Status'!I459)</f>
        <v>0</v>
      </c>
      <c r="K459" s="79" t="str">
        <f>+IFERROR(VLOOKUP(CONCATENATE(A459,$B$10,B459),'ID1&amp;5'!B:J,8,FALSE),"-")</f>
        <v>-</v>
      </c>
      <c r="L459" s="78" t="str">
        <f>+IFERROR(VLOOKUP(B459,'ID1&amp;5'!K:L,2,FALSE),"-")</f>
        <v>-</v>
      </c>
      <c r="M459" s="79" t="str">
        <f>+IFERROR(VLOOKUP(CONCATENATE(A459,$B$10,B459),'ID1&amp;5'!B:J,9,FALSE),"-")</f>
        <v>-</v>
      </c>
      <c r="N459" s="79" t="str">
        <f>+IFERROR(VLOOKUP(CONCATENATE(A459,$C$10,C459),'ID1&amp;5'!B:J,8,FALSE),"-")</f>
        <v>-</v>
      </c>
      <c r="O459" s="78" t="str">
        <f>+IFERROR(VLOOKUP(C459,'ID1&amp;5'!K:L,2,FALSE),"-")</f>
        <v>-</v>
      </c>
      <c r="P459" s="79" t="str">
        <f>+IFERROR(VLOOKUP(CONCATENATE(A459,$C$10,C459),'ID1&amp;5'!B:J,9,FALSE),"-")</f>
        <v>-</v>
      </c>
      <c r="Q459" s="78" t="str">
        <f>+IFERROR(VLOOKUP(D459,'ID1&amp;5'!K:L,2,FALSE),"-")</f>
        <v>-</v>
      </c>
      <c r="R459" s="26" t="str">
        <f>+IFERROR(VLOOKUP(CONCATENATE(A459,$D$10,D459),'ID1&amp;5'!B:J,9,FALSE),"-")</f>
        <v>-</v>
      </c>
      <c r="S459" s="78" t="str">
        <f>+IFERROR(VLOOKUP(E459,'ID1&amp;5'!K:L,2,FALSE),"-")</f>
        <v>-</v>
      </c>
      <c r="T459" s="79" t="str">
        <f>+IFERROR(VLOOKUP(CONCATENATE(A459,$E$10,E459),'ID1&amp;5'!B:J,9,FALSE),"-")</f>
        <v>-</v>
      </c>
      <c r="U459" s="78" t="str">
        <f>+IFERROR(VLOOKUP(F459,'ID1&amp;5'!K:L,2,FALSE),"-")</f>
        <v>-</v>
      </c>
      <c r="V459" s="79" t="str">
        <f>+IFERROR(VLOOKUP(CONCATENATE(A459,$F$10,F459),'ID1&amp;5'!B:J,9,FALSE),"-")</f>
        <v>-</v>
      </c>
      <c r="W459" s="26" t="str">
        <f>+IFERROR(VLOOKUP(A459,'ID6&amp;7'!A:I,9,FALSE),"-")</f>
        <v>-</v>
      </c>
      <c r="X459" s="26" t="str">
        <f>+IFERROR(VLOOKUP(A459,'ID6&amp;7'!A:J,10,FALSE),"-")</f>
        <v>-</v>
      </c>
      <c r="Y459" s="26"/>
      <c r="Z459" s="27" t="str">
        <f t="shared" si="8"/>
        <v>Por iniciar</v>
      </c>
      <c r="AA459" s="65"/>
    </row>
    <row r="460" spans="1:27">
      <c r="A460" s="20"/>
      <c r="B460" s="60"/>
      <c r="C460" s="60"/>
      <c r="D460" s="60"/>
      <c r="E460" s="60"/>
      <c r="F460" s="60"/>
      <c r="G460" s="60"/>
      <c r="H460" s="65" t="s">
        <v>118</v>
      </c>
      <c r="I460" s="21" t="s">
        <v>1246</v>
      </c>
      <c r="J460" s="26">
        <f>+COUNTIF('ID1&amp;5'!G:G,'1. Status'!I460)</f>
        <v>0</v>
      </c>
      <c r="K460" s="79" t="str">
        <f>+IFERROR(VLOOKUP(CONCATENATE(A460,$B$10,B460),'ID1&amp;5'!B:J,8,FALSE),"-")</f>
        <v>-</v>
      </c>
      <c r="L460" s="78" t="str">
        <f>+IFERROR(VLOOKUP(B460,'ID1&amp;5'!K:L,2,FALSE),"-")</f>
        <v>-</v>
      </c>
      <c r="M460" s="79" t="str">
        <f>+IFERROR(VLOOKUP(CONCATENATE(A460,$B$10,B460),'ID1&amp;5'!B:J,9,FALSE),"-")</f>
        <v>-</v>
      </c>
      <c r="N460" s="79" t="str">
        <f>+IFERROR(VLOOKUP(CONCATENATE(A460,$C$10,C460),'ID1&amp;5'!B:J,8,FALSE),"-")</f>
        <v>-</v>
      </c>
      <c r="O460" s="78" t="str">
        <f>+IFERROR(VLOOKUP(C460,'ID1&amp;5'!K:L,2,FALSE),"-")</f>
        <v>-</v>
      </c>
      <c r="P460" s="79" t="str">
        <f>+IFERROR(VLOOKUP(CONCATENATE(A460,$C$10,C460),'ID1&amp;5'!B:J,9,FALSE),"-")</f>
        <v>-</v>
      </c>
      <c r="Q460" s="78" t="str">
        <f>+IFERROR(VLOOKUP(D460,'ID1&amp;5'!K:L,2,FALSE),"-")</f>
        <v>-</v>
      </c>
      <c r="R460" s="26" t="str">
        <f>+IFERROR(VLOOKUP(CONCATENATE(A460,$D$10,D460),'ID1&amp;5'!B:J,9,FALSE),"-")</f>
        <v>-</v>
      </c>
      <c r="S460" s="78" t="str">
        <f>+IFERROR(VLOOKUP(E460,'ID1&amp;5'!K:L,2,FALSE),"-")</f>
        <v>-</v>
      </c>
      <c r="T460" s="79" t="str">
        <f>+IFERROR(VLOOKUP(CONCATENATE(A460,$E$10,E460),'ID1&amp;5'!B:J,9,FALSE),"-")</f>
        <v>-</v>
      </c>
      <c r="U460" s="78" t="str">
        <f>+IFERROR(VLOOKUP(F460,'ID1&amp;5'!K:L,2,FALSE),"-")</f>
        <v>-</v>
      </c>
      <c r="V460" s="79" t="str">
        <f>+IFERROR(VLOOKUP(CONCATENATE(A460,$F$10,F460),'ID1&amp;5'!B:J,9,FALSE),"-")</f>
        <v>-</v>
      </c>
      <c r="W460" s="26" t="str">
        <f>+IFERROR(VLOOKUP(A460,'ID6&amp;7'!A:I,9,FALSE),"-")</f>
        <v>-</v>
      </c>
      <c r="X460" s="26" t="str">
        <f>+IFERROR(VLOOKUP(A460,'ID6&amp;7'!A:J,10,FALSE),"-")</f>
        <v>-</v>
      </c>
      <c r="Y460" s="26"/>
      <c r="Z460" s="27" t="str">
        <f t="shared" si="8"/>
        <v>Por iniciar</v>
      </c>
      <c r="AA460" s="65"/>
    </row>
    <row r="461" spans="1:27">
      <c r="A461" s="20"/>
      <c r="B461" s="60"/>
      <c r="C461" s="60"/>
      <c r="D461" s="60"/>
      <c r="E461" s="60"/>
      <c r="F461" s="60"/>
      <c r="G461" s="60"/>
      <c r="H461" s="65" t="s">
        <v>118</v>
      </c>
      <c r="I461" s="21" t="s">
        <v>1247</v>
      </c>
      <c r="J461" s="26">
        <f>+COUNTIF('ID1&amp;5'!G:G,'1. Status'!I461)</f>
        <v>0</v>
      </c>
      <c r="K461" s="79" t="str">
        <f>+IFERROR(VLOOKUP(CONCATENATE(A461,$B$10,B461),'ID1&amp;5'!B:J,8,FALSE),"-")</f>
        <v>-</v>
      </c>
      <c r="L461" s="78" t="str">
        <f>+IFERROR(VLOOKUP(B461,'ID1&amp;5'!K:L,2,FALSE),"-")</f>
        <v>-</v>
      </c>
      <c r="M461" s="79" t="str">
        <f>+IFERROR(VLOOKUP(CONCATENATE(A461,$B$10,B461),'ID1&amp;5'!B:J,9,FALSE),"-")</f>
        <v>-</v>
      </c>
      <c r="N461" s="79" t="str">
        <f>+IFERROR(VLOOKUP(CONCATENATE(A461,$C$10,C461),'ID1&amp;5'!B:J,8,FALSE),"-")</f>
        <v>-</v>
      </c>
      <c r="O461" s="78" t="str">
        <f>+IFERROR(VLOOKUP(C461,'ID1&amp;5'!K:L,2,FALSE),"-")</f>
        <v>-</v>
      </c>
      <c r="P461" s="79" t="str">
        <f>+IFERROR(VLOOKUP(CONCATENATE(A461,$C$10,C461),'ID1&amp;5'!B:J,9,FALSE),"-")</f>
        <v>-</v>
      </c>
      <c r="Q461" s="78" t="str">
        <f>+IFERROR(VLOOKUP(D461,'ID1&amp;5'!K:L,2,FALSE),"-")</f>
        <v>-</v>
      </c>
      <c r="R461" s="26" t="str">
        <f>+IFERROR(VLOOKUP(CONCATENATE(A461,$D$10,D461),'ID1&amp;5'!B:J,9,FALSE),"-")</f>
        <v>-</v>
      </c>
      <c r="S461" s="78" t="str">
        <f>+IFERROR(VLOOKUP(E461,'ID1&amp;5'!K:L,2,FALSE),"-")</f>
        <v>-</v>
      </c>
      <c r="T461" s="79" t="str">
        <f>+IFERROR(VLOOKUP(CONCATENATE(A461,$E$10,E461),'ID1&amp;5'!B:J,9,FALSE),"-")</f>
        <v>-</v>
      </c>
      <c r="U461" s="78" t="str">
        <f>+IFERROR(VLOOKUP(F461,'ID1&amp;5'!K:L,2,FALSE),"-")</f>
        <v>-</v>
      </c>
      <c r="V461" s="79" t="str">
        <f>+IFERROR(VLOOKUP(CONCATENATE(A461,$F$10,F461),'ID1&amp;5'!B:J,9,FALSE),"-")</f>
        <v>-</v>
      </c>
      <c r="W461" s="26" t="str">
        <f>+IFERROR(VLOOKUP(A461,'ID6&amp;7'!A:I,9,FALSE),"-")</f>
        <v>-</v>
      </c>
      <c r="X461" s="26" t="str">
        <f>+IFERROR(VLOOKUP(A461,'ID6&amp;7'!A:J,10,FALSE),"-")</f>
        <v>-</v>
      </c>
      <c r="Y461" s="26"/>
      <c r="Z461" s="27" t="str">
        <f t="shared" si="8"/>
        <v>Por iniciar</v>
      </c>
      <c r="AA461" s="65"/>
    </row>
    <row r="462" spans="1:27">
      <c r="A462" s="20"/>
      <c r="B462" s="60"/>
      <c r="C462" s="60"/>
      <c r="D462" s="60"/>
      <c r="E462" s="60"/>
      <c r="F462" s="60"/>
      <c r="G462" s="60"/>
      <c r="H462" s="65" t="s">
        <v>118</v>
      </c>
      <c r="I462" s="21" t="s">
        <v>1248</v>
      </c>
      <c r="J462" s="26">
        <f>+COUNTIF('ID1&amp;5'!G:G,'1. Status'!I462)</f>
        <v>0</v>
      </c>
      <c r="K462" s="79" t="str">
        <f>+IFERROR(VLOOKUP(CONCATENATE(A462,$B$10,B462),'ID1&amp;5'!B:J,8,FALSE),"-")</f>
        <v>-</v>
      </c>
      <c r="L462" s="78" t="str">
        <f>+IFERROR(VLOOKUP(B462,'ID1&amp;5'!K:L,2,FALSE),"-")</f>
        <v>-</v>
      </c>
      <c r="M462" s="79" t="str">
        <f>+IFERROR(VLOOKUP(CONCATENATE(A462,$B$10,B462),'ID1&amp;5'!B:J,9,FALSE),"-")</f>
        <v>-</v>
      </c>
      <c r="N462" s="79" t="str">
        <f>+IFERROR(VLOOKUP(CONCATENATE(A462,$C$10,C462),'ID1&amp;5'!B:J,8,FALSE),"-")</f>
        <v>-</v>
      </c>
      <c r="O462" s="78" t="str">
        <f>+IFERROR(VLOOKUP(C462,'ID1&amp;5'!K:L,2,FALSE),"-")</f>
        <v>-</v>
      </c>
      <c r="P462" s="79" t="str">
        <f>+IFERROR(VLOOKUP(CONCATENATE(A462,$C$10,C462),'ID1&amp;5'!B:J,9,FALSE),"-")</f>
        <v>-</v>
      </c>
      <c r="Q462" s="78" t="str">
        <f>+IFERROR(VLOOKUP(D462,'ID1&amp;5'!K:L,2,FALSE),"-")</f>
        <v>-</v>
      </c>
      <c r="R462" s="26" t="str">
        <f>+IFERROR(VLOOKUP(CONCATENATE(A462,$D$10,D462),'ID1&amp;5'!B:J,9,FALSE),"-")</f>
        <v>-</v>
      </c>
      <c r="S462" s="78" t="str">
        <f>+IFERROR(VLOOKUP(E462,'ID1&amp;5'!K:L,2,FALSE),"-")</f>
        <v>-</v>
      </c>
      <c r="T462" s="79" t="str">
        <f>+IFERROR(VLOOKUP(CONCATENATE(A462,$E$10,E462),'ID1&amp;5'!B:J,9,FALSE),"-")</f>
        <v>-</v>
      </c>
      <c r="U462" s="78" t="str">
        <f>+IFERROR(VLOOKUP(F462,'ID1&amp;5'!K:L,2,FALSE),"-")</f>
        <v>-</v>
      </c>
      <c r="V462" s="79" t="str">
        <f>+IFERROR(VLOOKUP(CONCATENATE(A462,$F$10,F462),'ID1&amp;5'!B:J,9,FALSE),"-")</f>
        <v>-</v>
      </c>
      <c r="W462" s="26" t="str">
        <f>+IFERROR(VLOOKUP(A462,'ID6&amp;7'!A:I,9,FALSE),"-")</f>
        <v>-</v>
      </c>
      <c r="X462" s="26" t="str">
        <f>+IFERROR(VLOOKUP(A462,'ID6&amp;7'!A:J,10,FALSE),"-")</f>
        <v>-</v>
      </c>
      <c r="Y462" s="26"/>
      <c r="Z462" s="27" t="str">
        <f t="shared" si="8"/>
        <v>Por iniciar</v>
      </c>
      <c r="AA462" s="65"/>
    </row>
    <row r="463" spans="1:27">
      <c r="A463" s="20"/>
      <c r="B463" s="60"/>
      <c r="C463" s="60"/>
      <c r="D463" s="60"/>
      <c r="E463" s="60"/>
      <c r="F463" s="60"/>
      <c r="G463" s="60"/>
      <c r="H463" s="65" t="s">
        <v>118</v>
      </c>
      <c r="I463" s="21" t="s">
        <v>1249</v>
      </c>
      <c r="J463" s="26">
        <f>+COUNTIF('ID1&amp;5'!G:G,'1. Status'!I463)</f>
        <v>0</v>
      </c>
      <c r="K463" s="79" t="str">
        <f>+IFERROR(VLOOKUP(CONCATENATE(A463,$B$10,B463),'ID1&amp;5'!B:J,8,FALSE),"-")</f>
        <v>-</v>
      </c>
      <c r="L463" s="78" t="str">
        <f>+IFERROR(VLOOKUP(B463,'ID1&amp;5'!K:L,2,FALSE),"-")</f>
        <v>-</v>
      </c>
      <c r="M463" s="79" t="str">
        <f>+IFERROR(VLOOKUP(CONCATENATE(A463,$B$10,B463),'ID1&amp;5'!B:J,9,FALSE),"-")</f>
        <v>-</v>
      </c>
      <c r="N463" s="79" t="str">
        <f>+IFERROR(VLOOKUP(CONCATENATE(A463,$C$10,C463),'ID1&amp;5'!B:J,8,FALSE),"-")</f>
        <v>-</v>
      </c>
      <c r="O463" s="78" t="str">
        <f>+IFERROR(VLOOKUP(C463,'ID1&amp;5'!K:L,2,FALSE),"-")</f>
        <v>-</v>
      </c>
      <c r="P463" s="79" t="str">
        <f>+IFERROR(VLOOKUP(CONCATENATE(A463,$C$10,C463),'ID1&amp;5'!B:J,9,FALSE),"-")</f>
        <v>-</v>
      </c>
      <c r="Q463" s="78" t="str">
        <f>+IFERROR(VLOOKUP(D463,'ID1&amp;5'!K:L,2,FALSE),"-")</f>
        <v>-</v>
      </c>
      <c r="R463" s="26" t="str">
        <f>+IFERROR(VLOOKUP(CONCATENATE(A463,$D$10,D463),'ID1&amp;5'!B:J,9,FALSE),"-")</f>
        <v>-</v>
      </c>
      <c r="S463" s="78" t="str">
        <f>+IFERROR(VLOOKUP(E463,'ID1&amp;5'!K:L,2,FALSE),"-")</f>
        <v>-</v>
      </c>
      <c r="T463" s="79" t="str">
        <f>+IFERROR(VLOOKUP(CONCATENATE(A463,$E$10,E463),'ID1&amp;5'!B:J,9,FALSE),"-")</f>
        <v>-</v>
      </c>
      <c r="U463" s="78" t="str">
        <f>+IFERROR(VLOOKUP(F463,'ID1&amp;5'!K:L,2,FALSE),"-")</f>
        <v>-</v>
      </c>
      <c r="V463" s="79" t="str">
        <f>+IFERROR(VLOOKUP(CONCATENATE(A463,$F$10,F463),'ID1&amp;5'!B:J,9,FALSE),"-")</f>
        <v>-</v>
      </c>
      <c r="W463" s="26" t="str">
        <f>+IFERROR(VLOOKUP(A463,'ID6&amp;7'!A:I,9,FALSE),"-")</f>
        <v>-</v>
      </c>
      <c r="X463" s="26" t="str">
        <f>+IFERROR(VLOOKUP(A463,'ID6&amp;7'!A:J,10,FALSE),"-")</f>
        <v>-</v>
      </c>
      <c r="Y463" s="26"/>
      <c r="Z463" s="27" t="str">
        <f t="shared" si="8"/>
        <v>Por iniciar</v>
      </c>
      <c r="AA463" s="65"/>
    </row>
    <row r="464" spans="1:27">
      <c r="A464" s="20"/>
      <c r="B464" s="60"/>
      <c r="C464" s="60"/>
      <c r="D464" s="60"/>
      <c r="E464" s="60"/>
      <c r="F464" s="60"/>
      <c r="G464" s="60"/>
      <c r="H464" s="65" t="s">
        <v>118</v>
      </c>
      <c r="I464" s="21" t="s">
        <v>1250</v>
      </c>
      <c r="J464" s="26">
        <f>+COUNTIF('ID1&amp;5'!G:G,'1. Status'!I464)</f>
        <v>0</v>
      </c>
      <c r="K464" s="79" t="str">
        <f>+IFERROR(VLOOKUP(CONCATENATE(A464,$B$10,B464),'ID1&amp;5'!B:J,8,FALSE),"-")</f>
        <v>-</v>
      </c>
      <c r="L464" s="78" t="str">
        <f>+IFERROR(VLOOKUP(B464,'ID1&amp;5'!K:L,2,FALSE),"-")</f>
        <v>-</v>
      </c>
      <c r="M464" s="79" t="str">
        <f>+IFERROR(VLOOKUP(CONCATENATE(A464,$B$10,B464),'ID1&amp;5'!B:J,9,FALSE),"-")</f>
        <v>-</v>
      </c>
      <c r="N464" s="79" t="str">
        <f>+IFERROR(VLOOKUP(CONCATENATE(A464,$C$10,C464),'ID1&amp;5'!B:J,8,FALSE),"-")</f>
        <v>-</v>
      </c>
      <c r="O464" s="78" t="str">
        <f>+IFERROR(VLOOKUP(C464,'ID1&amp;5'!K:L,2,FALSE),"-")</f>
        <v>-</v>
      </c>
      <c r="P464" s="79" t="str">
        <f>+IFERROR(VLOOKUP(CONCATENATE(A464,$C$10,C464),'ID1&amp;5'!B:J,9,FALSE),"-")</f>
        <v>-</v>
      </c>
      <c r="Q464" s="78" t="str">
        <f>+IFERROR(VLOOKUP(D464,'ID1&amp;5'!K:L,2,FALSE),"-")</f>
        <v>-</v>
      </c>
      <c r="R464" s="26" t="str">
        <f>+IFERROR(VLOOKUP(CONCATENATE(A464,$D$10,D464),'ID1&amp;5'!B:J,9,FALSE),"-")</f>
        <v>-</v>
      </c>
      <c r="S464" s="78" t="str">
        <f>+IFERROR(VLOOKUP(E464,'ID1&amp;5'!K:L,2,FALSE),"-")</f>
        <v>-</v>
      </c>
      <c r="T464" s="79" t="str">
        <f>+IFERROR(VLOOKUP(CONCATENATE(A464,$E$10,E464),'ID1&amp;5'!B:J,9,FALSE),"-")</f>
        <v>-</v>
      </c>
      <c r="U464" s="78" t="str">
        <f>+IFERROR(VLOOKUP(F464,'ID1&amp;5'!K:L,2,FALSE),"-")</f>
        <v>-</v>
      </c>
      <c r="V464" s="79" t="str">
        <f>+IFERROR(VLOOKUP(CONCATENATE(A464,$F$10,F464),'ID1&amp;5'!B:J,9,FALSE),"-")</f>
        <v>-</v>
      </c>
      <c r="W464" s="26" t="str">
        <f>+IFERROR(VLOOKUP(A464,'ID6&amp;7'!A:I,9,FALSE),"-")</f>
        <v>-</v>
      </c>
      <c r="X464" s="26" t="str">
        <f>+IFERROR(VLOOKUP(A464,'ID6&amp;7'!A:J,10,FALSE),"-")</f>
        <v>-</v>
      </c>
      <c r="Y464" s="26"/>
      <c r="Z464" s="27" t="str">
        <f t="shared" si="8"/>
        <v>Por iniciar</v>
      </c>
      <c r="AA464" s="65"/>
    </row>
    <row r="465" spans="1:27">
      <c r="A465" s="20"/>
      <c r="B465" s="60"/>
      <c r="C465" s="60"/>
      <c r="D465" s="60"/>
      <c r="E465" s="60"/>
      <c r="F465" s="60"/>
      <c r="G465" s="60"/>
      <c r="H465" s="65" t="s">
        <v>118</v>
      </c>
      <c r="I465" s="21" t="s">
        <v>1251</v>
      </c>
      <c r="J465" s="26">
        <f>+COUNTIF('ID1&amp;5'!G:G,'1. Status'!I465)</f>
        <v>0</v>
      </c>
      <c r="K465" s="79" t="str">
        <f>+IFERROR(VLOOKUP(CONCATENATE(A465,$B$10,B465),'ID1&amp;5'!B:J,8,FALSE),"-")</f>
        <v>-</v>
      </c>
      <c r="L465" s="78" t="str">
        <f>+IFERROR(VLOOKUP(B465,'ID1&amp;5'!K:L,2,FALSE),"-")</f>
        <v>-</v>
      </c>
      <c r="M465" s="79" t="str">
        <f>+IFERROR(VLOOKUP(CONCATENATE(A465,$B$10,B465),'ID1&amp;5'!B:J,9,FALSE),"-")</f>
        <v>-</v>
      </c>
      <c r="N465" s="79" t="str">
        <f>+IFERROR(VLOOKUP(CONCATENATE(A465,$C$10,C465),'ID1&amp;5'!B:J,8,FALSE),"-")</f>
        <v>-</v>
      </c>
      <c r="O465" s="78" t="str">
        <f>+IFERROR(VLOOKUP(C465,'ID1&amp;5'!K:L,2,FALSE),"-")</f>
        <v>-</v>
      </c>
      <c r="P465" s="79" t="str">
        <f>+IFERROR(VLOOKUP(CONCATENATE(A465,$C$10,C465),'ID1&amp;5'!B:J,9,FALSE),"-")</f>
        <v>-</v>
      </c>
      <c r="Q465" s="78" t="str">
        <f>+IFERROR(VLOOKUP(D465,'ID1&amp;5'!K:L,2,FALSE),"-")</f>
        <v>-</v>
      </c>
      <c r="R465" s="26" t="str">
        <f>+IFERROR(VLOOKUP(CONCATENATE(A465,$D$10,D465),'ID1&amp;5'!B:J,9,FALSE),"-")</f>
        <v>-</v>
      </c>
      <c r="S465" s="78" t="str">
        <f>+IFERROR(VLOOKUP(E465,'ID1&amp;5'!K:L,2,FALSE),"-")</f>
        <v>-</v>
      </c>
      <c r="T465" s="79" t="str">
        <f>+IFERROR(VLOOKUP(CONCATENATE(A465,$E$10,E465),'ID1&amp;5'!B:J,9,FALSE),"-")</f>
        <v>-</v>
      </c>
      <c r="U465" s="78" t="str">
        <f>+IFERROR(VLOOKUP(F465,'ID1&amp;5'!K:L,2,FALSE),"-")</f>
        <v>-</v>
      </c>
      <c r="V465" s="79" t="str">
        <f>+IFERROR(VLOOKUP(CONCATENATE(A465,$F$10,F465),'ID1&amp;5'!B:J,9,FALSE),"-")</f>
        <v>-</v>
      </c>
      <c r="W465" s="26" t="str">
        <f>+IFERROR(VLOOKUP(A465,'ID6&amp;7'!A:I,9,FALSE),"-")</f>
        <v>-</v>
      </c>
      <c r="X465" s="26" t="str">
        <f>+IFERROR(VLOOKUP(A465,'ID6&amp;7'!A:J,10,FALSE),"-")</f>
        <v>-</v>
      </c>
      <c r="Y465" s="26"/>
      <c r="Z465" s="27" t="str">
        <f t="shared" si="8"/>
        <v>Por iniciar</v>
      </c>
      <c r="AA465" s="65"/>
    </row>
    <row r="466" spans="1:27">
      <c r="A466" s="20"/>
      <c r="B466" s="60"/>
      <c r="C466" s="60"/>
      <c r="D466" s="60"/>
      <c r="E466" s="60"/>
      <c r="F466" s="60"/>
      <c r="G466" s="60"/>
      <c r="H466" s="65" t="s">
        <v>118</v>
      </c>
      <c r="I466" s="21" t="s">
        <v>1252</v>
      </c>
      <c r="J466" s="26">
        <f>+COUNTIF('ID1&amp;5'!G:G,'1. Status'!I466)</f>
        <v>0</v>
      </c>
      <c r="K466" s="79" t="str">
        <f>+IFERROR(VLOOKUP(CONCATENATE(A466,$B$10,B466),'ID1&amp;5'!B:J,8,FALSE),"-")</f>
        <v>-</v>
      </c>
      <c r="L466" s="78" t="str">
        <f>+IFERROR(VLOOKUP(B466,'ID1&amp;5'!K:L,2,FALSE),"-")</f>
        <v>-</v>
      </c>
      <c r="M466" s="79" t="str">
        <f>+IFERROR(VLOOKUP(CONCATENATE(A466,$B$10,B466),'ID1&amp;5'!B:J,9,FALSE),"-")</f>
        <v>-</v>
      </c>
      <c r="N466" s="79" t="str">
        <f>+IFERROR(VLOOKUP(CONCATENATE(A466,$C$10,C466),'ID1&amp;5'!B:J,8,FALSE),"-")</f>
        <v>-</v>
      </c>
      <c r="O466" s="78" t="str">
        <f>+IFERROR(VLOOKUP(C466,'ID1&amp;5'!K:L,2,FALSE),"-")</f>
        <v>-</v>
      </c>
      <c r="P466" s="79" t="str">
        <f>+IFERROR(VLOOKUP(CONCATENATE(A466,$C$10,C466),'ID1&amp;5'!B:J,9,FALSE),"-")</f>
        <v>-</v>
      </c>
      <c r="Q466" s="78" t="str">
        <f>+IFERROR(VLOOKUP(D466,'ID1&amp;5'!K:L,2,FALSE),"-")</f>
        <v>-</v>
      </c>
      <c r="R466" s="26" t="str">
        <f>+IFERROR(VLOOKUP(CONCATENATE(A466,$D$10,D466),'ID1&amp;5'!B:J,9,FALSE),"-")</f>
        <v>-</v>
      </c>
      <c r="S466" s="78" t="str">
        <f>+IFERROR(VLOOKUP(E466,'ID1&amp;5'!K:L,2,FALSE),"-")</f>
        <v>-</v>
      </c>
      <c r="T466" s="79" t="str">
        <f>+IFERROR(VLOOKUP(CONCATENATE(A466,$E$10,E466),'ID1&amp;5'!B:J,9,FALSE),"-")</f>
        <v>-</v>
      </c>
      <c r="U466" s="78" t="str">
        <f>+IFERROR(VLOOKUP(F466,'ID1&amp;5'!K:L,2,FALSE),"-")</f>
        <v>-</v>
      </c>
      <c r="V466" s="79" t="str">
        <f>+IFERROR(VLOOKUP(CONCATENATE(A466,$F$10,F466),'ID1&amp;5'!B:J,9,FALSE),"-")</f>
        <v>-</v>
      </c>
      <c r="W466" s="26" t="str">
        <f>+IFERROR(VLOOKUP(A466,'ID6&amp;7'!A:I,9,FALSE),"-")</f>
        <v>-</v>
      </c>
      <c r="X466" s="26" t="str">
        <f>+IFERROR(VLOOKUP(A466,'ID6&amp;7'!A:J,10,FALSE),"-")</f>
        <v>-</v>
      </c>
      <c r="Y466" s="26"/>
      <c r="Z466" s="27" t="str">
        <f t="shared" si="8"/>
        <v>Por iniciar</v>
      </c>
      <c r="AA466" s="65"/>
    </row>
    <row r="467" spans="1:27">
      <c r="A467" s="20"/>
      <c r="B467" s="60"/>
      <c r="C467" s="60"/>
      <c r="D467" s="60"/>
      <c r="E467" s="60"/>
      <c r="F467" s="60"/>
      <c r="G467" s="60"/>
      <c r="H467" s="65" t="s">
        <v>118</v>
      </c>
      <c r="I467" s="21" t="s">
        <v>1253</v>
      </c>
      <c r="J467" s="26">
        <f>+COUNTIF('ID1&amp;5'!G:G,'1. Status'!I467)</f>
        <v>0</v>
      </c>
      <c r="K467" s="79" t="str">
        <f>+IFERROR(VLOOKUP(CONCATENATE(A467,$B$10,B467),'ID1&amp;5'!B:J,8,FALSE),"-")</f>
        <v>-</v>
      </c>
      <c r="L467" s="78" t="str">
        <f>+IFERROR(VLOOKUP(B467,'ID1&amp;5'!K:L,2,FALSE),"-")</f>
        <v>-</v>
      </c>
      <c r="M467" s="79" t="str">
        <f>+IFERROR(VLOOKUP(CONCATENATE(A467,$B$10,B467),'ID1&amp;5'!B:J,9,FALSE),"-")</f>
        <v>-</v>
      </c>
      <c r="N467" s="79" t="str">
        <f>+IFERROR(VLOOKUP(CONCATENATE(A467,$C$10,C467),'ID1&amp;5'!B:J,8,FALSE),"-")</f>
        <v>-</v>
      </c>
      <c r="O467" s="78" t="str">
        <f>+IFERROR(VLOOKUP(C467,'ID1&amp;5'!K:L,2,FALSE),"-")</f>
        <v>-</v>
      </c>
      <c r="P467" s="79" t="str">
        <f>+IFERROR(VLOOKUP(CONCATENATE(A467,$C$10,C467),'ID1&amp;5'!B:J,9,FALSE),"-")</f>
        <v>-</v>
      </c>
      <c r="Q467" s="78" t="str">
        <f>+IFERROR(VLOOKUP(D467,'ID1&amp;5'!K:L,2,FALSE),"-")</f>
        <v>-</v>
      </c>
      <c r="R467" s="26" t="str">
        <f>+IFERROR(VLOOKUP(CONCATENATE(A467,$D$10,D467),'ID1&amp;5'!B:J,9,FALSE),"-")</f>
        <v>-</v>
      </c>
      <c r="S467" s="78" t="str">
        <f>+IFERROR(VLOOKUP(E467,'ID1&amp;5'!K:L,2,FALSE),"-")</f>
        <v>-</v>
      </c>
      <c r="T467" s="79" t="str">
        <f>+IFERROR(VLOOKUP(CONCATENATE(A467,$E$10,E467),'ID1&amp;5'!B:J,9,FALSE),"-")</f>
        <v>-</v>
      </c>
      <c r="U467" s="78" t="str">
        <f>+IFERROR(VLOOKUP(F467,'ID1&amp;5'!K:L,2,FALSE),"-")</f>
        <v>-</v>
      </c>
      <c r="V467" s="79" t="str">
        <f>+IFERROR(VLOOKUP(CONCATENATE(A467,$F$10,F467),'ID1&amp;5'!B:J,9,FALSE),"-")</f>
        <v>-</v>
      </c>
      <c r="W467" s="26" t="str">
        <f>+IFERROR(VLOOKUP(A467,'ID6&amp;7'!A:I,9,FALSE),"-")</f>
        <v>-</v>
      </c>
      <c r="X467" s="26" t="str">
        <f>+IFERROR(VLOOKUP(A467,'ID6&amp;7'!A:J,10,FALSE),"-")</f>
        <v>-</v>
      </c>
      <c r="Y467" s="26"/>
      <c r="Z467" s="27" t="str">
        <f t="shared" si="8"/>
        <v>Por iniciar</v>
      </c>
      <c r="AA467" s="65"/>
    </row>
    <row r="468" spans="1:27">
      <c r="A468" s="20"/>
      <c r="B468" s="60"/>
      <c r="C468" s="60"/>
      <c r="D468" s="60"/>
      <c r="E468" s="60"/>
      <c r="F468" s="60"/>
      <c r="G468" s="60"/>
      <c r="H468" s="65" t="s">
        <v>118</v>
      </c>
      <c r="I468" s="21" t="s">
        <v>1254</v>
      </c>
      <c r="J468" s="26">
        <f>+COUNTIF('ID1&amp;5'!G:G,'1. Status'!I468)</f>
        <v>0</v>
      </c>
      <c r="K468" s="79" t="str">
        <f>+IFERROR(VLOOKUP(CONCATENATE(A468,$B$10,B468),'ID1&amp;5'!B:J,8,FALSE),"-")</f>
        <v>-</v>
      </c>
      <c r="L468" s="78" t="str">
        <f>+IFERROR(VLOOKUP(B468,'ID1&amp;5'!K:L,2,FALSE),"-")</f>
        <v>-</v>
      </c>
      <c r="M468" s="79" t="str">
        <f>+IFERROR(VLOOKUP(CONCATENATE(A468,$B$10,B468),'ID1&amp;5'!B:J,9,FALSE),"-")</f>
        <v>-</v>
      </c>
      <c r="N468" s="79" t="str">
        <f>+IFERROR(VLOOKUP(CONCATENATE(A468,$C$10,C468),'ID1&amp;5'!B:J,8,FALSE),"-")</f>
        <v>-</v>
      </c>
      <c r="O468" s="78" t="str">
        <f>+IFERROR(VLOOKUP(C468,'ID1&amp;5'!K:L,2,FALSE),"-")</f>
        <v>-</v>
      </c>
      <c r="P468" s="79" t="str">
        <f>+IFERROR(VLOOKUP(CONCATENATE(A468,$C$10,C468),'ID1&amp;5'!B:J,9,FALSE),"-")</f>
        <v>-</v>
      </c>
      <c r="Q468" s="78" t="str">
        <f>+IFERROR(VLOOKUP(D468,'ID1&amp;5'!K:L,2,FALSE),"-")</f>
        <v>-</v>
      </c>
      <c r="R468" s="26" t="str">
        <f>+IFERROR(VLOOKUP(CONCATENATE(A468,$D$10,D468),'ID1&amp;5'!B:J,9,FALSE),"-")</f>
        <v>-</v>
      </c>
      <c r="S468" s="78" t="str">
        <f>+IFERROR(VLOOKUP(E468,'ID1&amp;5'!K:L,2,FALSE),"-")</f>
        <v>-</v>
      </c>
      <c r="T468" s="79" t="str">
        <f>+IFERROR(VLOOKUP(CONCATENATE(A468,$E$10,E468),'ID1&amp;5'!B:J,9,FALSE),"-")</f>
        <v>-</v>
      </c>
      <c r="U468" s="78" t="str">
        <f>+IFERROR(VLOOKUP(F468,'ID1&amp;5'!K:L,2,FALSE),"-")</f>
        <v>-</v>
      </c>
      <c r="V468" s="79" t="str">
        <f>+IFERROR(VLOOKUP(CONCATENATE(A468,$F$10,F468),'ID1&amp;5'!B:J,9,FALSE),"-")</f>
        <v>-</v>
      </c>
      <c r="W468" s="26" t="str">
        <f>+IFERROR(VLOOKUP(A468,'ID6&amp;7'!A:I,9,FALSE),"-")</f>
        <v>-</v>
      </c>
      <c r="X468" s="26" t="str">
        <f>+IFERROR(VLOOKUP(A468,'ID6&amp;7'!A:J,10,FALSE),"-")</f>
        <v>-</v>
      </c>
      <c r="Y468" s="26"/>
      <c r="Z468" s="27" t="str">
        <f t="shared" si="8"/>
        <v>Por iniciar</v>
      </c>
      <c r="AA468" s="65"/>
    </row>
    <row r="469" spans="1:27">
      <c r="A469" s="20"/>
      <c r="B469" s="60"/>
      <c r="C469" s="60"/>
      <c r="D469" s="60"/>
      <c r="E469" s="60"/>
      <c r="F469" s="60"/>
      <c r="G469" s="60"/>
      <c r="H469" s="65" t="s">
        <v>118</v>
      </c>
      <c r="I469" s="21" t="s">
        <v>1475</v>
      </c>
      <c r="J469" s="26">
        <f>+COUNTIF('ID1&amp;5'!G:G,'1. Status'!I469)</f>
        <v>0</v>
      </c>
      <c r="K469" s="79" t="str">
        <f>+IFERROR(VLOOKUP(CONCATENATE(A469,$B$10,B469),'ID1&amp;5'!B:J,8,FALSE),"-")</f>
        <v>-</v>
      </c>
      <c r="L469" s="78" t="str">
        <f>+IFERROR(VLOOKUP(B469,'ID1&amp;5'!K:L,2,FALSE),"-")</f>
        <v>-</v>
      </c>
      <c r="M469" s="79" t="str">
        <f>+IFERROR(VLOOKUP(CONCATENATE(A469,$B$10,B469),'ID1&amp;5'!B:J,9,FALSE),"-")</f>
        <v>-</v>
      </c>
      <c r="N469" s="79" t="str">
        <f>+IFERROR(VLOOKUP(CONCATENATE(A469,$C$10,C469),'ID1&amp;5'!B:J,8,FALSE),"-")</f>
        <v>-</v>
      </c>
      <c r="O469" s="78" t="str">
        <f>+IFERROR(VLOOKUP(C469,'ID1&amp;5'!K:L,2,FALSE),"-")</f>
        <v>-</v>
      </c>
      <c r="P469" s="79" t="str">
        <f>+IFERROR(VLOOKUP(CONCATENATE(A469,$C$10,C469),'ID1&amp;5'!B:J,9,FALSE),"-")</f>
        <v>-</v>
      </c>
      <c r="Q469" s="78" t="str">
        <f>+IFERROR(VLOOKUP(D469,'ID1&amp;5'!K:L,2,FALSE),"-")</f>
        <v>-</v>
      </c>
      <c r="R469" s="26" t="str">
        <f>+IFERROR(VLOOKUP(CONCATENATE(A469,$D$10,D469),'ID1&amp;5'!B:J,9,FALSE),"-")</f>
        <v>-</v>
      </c>
      <c r="S469" s="78" t="str">
        <f>+IFERROR(VLOOKUP(E469,'ID1&amp;5'!K:L,2,FALSE),"-")</f>
        <v>-</v>
      </c>
      <c r="T469" s="79" t="str">
        <f>+IFERROR(VLOOKUP(CONCATENATE(A469,$E$10,E469),'ID1&amp;5'!B:J,9,FALSE),"-")</f>
        <v>-</v>
      </c>
      <c r="U469" s="78" t="str">
        <f>+IFERROR(VLOOKUP(F469,'ID1&amp;5'!K:L,2,FALSE),"-")</f>
        <v>-</v>
      </c>
      <c r="V469" s="79" t="str">
        <f>+IFERROR(VLOOKUP(CONCATENATE(A469,$F$10,F469),'ID1&amp;5'!B:J,9,FALSE),"-")</f>
        <v>-</v>
      </c>
      <c r="W469" s="26" t="str">
        <f>+IFERROR(VLOOKUP(A469,'ID6&amp;7'!A:I,9,FALSE),"-")</f>
        <v>-</v>
      </c>
      <c r="X469" s="26" t="str">
        <f>+IFERROR(VLOOKUP(A469,'ID6&amp;7'!A:J,10,FALSE),"-")</f>
        <v>-</v>
      </c>
      <c r="Y469" s="26"/>
      <c r="Z469" s="27" t="str">
        <f t="shared" si="8"/>
        <v>Por iniciar</v>
      </c>
      <c r="AA469" s="65"/>
    </row>
    <row r="470" spans="1:27">
      <c r="A470" s="20"/>
      <c r="B470" s="60"/>
      <c r="C470" s="60"/>
      <c r="D470" s="60"/>
      <c r="E470" s="60"/>
      <c r="F470" s="60"/>
      <c r="G470" s="60"/>
      <c r="H470" s="65" t="s">
        <v>118</v>
      </c>
      <c r="I470" s="21" t="s">
        <v>1476</v>
      </c>
      <c r="J470" s="26">
        <f>+COUNTIF('ID1&amp;5'!G:G,'1. Status'!I470)</f>
        <v>0</v>
      </c>
      <c r="K470" s="79" t="str">
        <f>+IFERROR(VLOOKUP(CONCATENATE(A470,$B$10,B470),'ID1&amp;5'!B:J,8,FALSE),"-")</f>
        <v>-</v>
      </c>
      <c r="L470" s="78" t="str">
        <f>+IFERROR(VLOOKUP(B470,'ID1&amp;5'!K:L,2,FALSE),"-")</f>
        <v>-</v>
      </c>
      <c r="M470" s="79" t="str">
        <f>+IFERROR(VLOOKUP(CONCATENATE(A470,$B$10,B470),'ID1&amp;5'!B:J,9,FALSE),"-")</f>
        <v>-</v>
      </c>
      <c r="N470" s="79" t="str">
        <f>+IFERROR(VLOOKUP(CONCATENATE(A470,$C$10,C470),'ID1&amp;5'!B:J,8,FALSE),"-")</f>
        <v>-</v>
      </c>
      <c r="O470" s="78" t="str">
        <f>+IFERROR(VLOOKUP(C470,'ID1&amp;5'!K:L,2,FALSE),"-")</f>
        <v>-</v>
      </c>
      <c r="P470" s="79" t="str">
        <f>+IFERROR(VLOOKUP(CONCATENATE(A470,$C$10,C470),'ID1&amp;5'!B:J,9,FALSE),"-")</f>
        <v>-</v>
      </c>
      <c r="Q470" s="78" t="str">
        <f>+IFERROR(VLOOKUP(D470,'ID1&amp;5'!K:L,2,FALSE),"-")</f>
        <v>-</v>
      </c>
      <c r="R470" s="26" t="str">
        <f>+IFERROR(VLOOKUP(CONCATENATE(A470,$D$10,D470),'ID1&amp;5'!B:J,9,FALSE),"-")</f>
        <v>-</v>
      </c>
      <c r="S470" s="78" t="str">
        <f>+IFERROR(VLOOKUP(E470,'ID1&amp;5'!K:L,2,FALSE),"-")</f>
        <v>-</v>
      </c>
      <c r="T470" s="79" t="str">
        <f>+IFERROR(VLOOKUP(CONCATENATE(A470,$E$10,E470),'ID1&amp;5'!B:J,9,FALSE),"-")</f>
        <v>-</v>
      </c>
      <c r="U470" s="78" t="str">
        <f>+IFERROR(VLOOKUP(F470,'ID1&amp;5'!K:L,2,FALSE),"-")</f>
        <v>-</v>
      </c>
      <c r="V470" s="79" t="str">
        <f>+IFERROR(VLOOKUP(CONCATENATE(A470,$F$10,F470),'ID1&amp;5'!B:J,9,FALSE),"-")</f>
        <v>-</v>
      </c>
      <c r="W470" s="26" t="str">
        <f>+IFERROR(VLOOKUP(A470,'ID6&amp;7'!A:I,9,FALSE),"-")</f>
        <v>-</v>
      </c>
      <c r="X470" s="26" t="str">
        <f>+IFERROR(VLOOKUP(A470,'ID6&amp;7'!A:J,10,FALSE),"-")</f>
        <v>-</v>
      </c>
      <c r="Y470" s="26"/>
      <c r="Z470" s="27" t="str">
        <f t="shared" si="8"/>
        <v>Por iniciar</v>
      </c>
      <c r="AA470" s="65"/>
    </row>
    <row r="471" spans="1:27">
      <c r="A471" s="20"/>
      <c r="B471" s="60"/>
      <c r="C471" s="60"/>
      <c r="D471" s="60"/>
      <c r="E471" s="60"/>
      <c r="F471" s="60"/>
      <c r="G471" s="60"/>
      <c r="H471" s="65" t="s">
        <v>118</v>
      </c>
      <c r="I471" s="21" t="s">
        <v>656</v>
      </c>
      <c r="J471" s="26">
        <f>+COUNTIF('ID1&amp;5'!G:G,'1. Status'!I471)</f>
        <v>0</v>
      </c>
      <c r="K471" s="79" t="str">
        <f>+IFERROR(VLOOKUP(CONCATENATE(A471,$B$10,B471),'ID1&amp;5'!B:J,8,FALSE),"-")</f>
        <v>-</v>
      </c>
      <c r="L471" s="78" t="str">
        <f>+IFERROR(VLOOKUP(B471,'ID1&amp;5'!K:L,2,FALSE),"-")</f>
        <v>-</v>
      </c>
      <c r="M471" s="79" t="str">
        <f>+IFERROR(VLOOKUP(CONCATENATE(A471,$B$10,B471),'ID1&amp;5'!B:J,9,FALSE),"-")</f>
        <v>-</v>
      </c>
      <c r="N471" s="79" t="str">
        <f>+IFERROR(VLOOKUP(CONCATENATE(A471,$C$10,C471),'ID1&amp;5'!B:J,8,FALSE),"-")</f>
        <v>-</v>
      </c>
      <c r="O471" s="78" t="str">
        <f>+IFERROR(VLOOKUP(C471,'ID1&amp;5'!K:L,2,FALSE),"-")</f>
        <v>-</v>
      </c>
      <c r="P471" s="79" t="str">
        <f>+IFERROR(VLOOKUP(CONCATENATE(A471,$C$10,C471),'ID1&amp;5'!B:J,9,FALSE),"-")</f>
        <v>-</v>
      </c>
      <c r="Q471" s="78" t="str">
        <f>+IFERROR(VLOOKUP(D471,'ID1&amp;5'!K:L,2,FALSE),"-")</f>
        <v>-</v>
      </c>
      <c r="R471" s="26" t="str">
        <f>+IFERROR(VLOOKUP(CONCATENATE(A471,$D$10,D471),'ID1&amp;5'!B:J,9,FALSE),"-")</f>
        <v>-</v>
      </c>
      <c r="S471" s="78" t="str">
        <f>+IFERROR(VLOOKUP(E471,'ID1&amp;5'!K:L,2,FALSE),"-")</f>
        <v>-</v>
      </c>
      <c r="T471" s="79" t="str">
        <f>+IFERROR(VLOOKUP(CONCATENATE(A471,$E$10,E471),'ID1&amp;5'!B:J,9,FALSE),"-")</f>
        <v>-</v>
      </c>
      <c r="U471" s="78" t="str">
        <f>+IFERROR(VLOOKUP(F471,'ID1&amp;5'!K:L,2,FALSE),"-")</f>
        <v>-</v>
      </c>
      <c r="V471" s="79" t="str">
        <f>+IFERROR(VLOOKUP(CONCATENATE(A471,$F$10,F471),'ID1&amp;5'!B:J,9,FALSE),"-")</f>
        <v>-</v>
      </c>
      <c r="W471" s="26" t="str">
        <f>+IFERROR(VLOOKUP(A471,'ID6&amp;7'!A:I,9,FALSE),"-")</f>
        <v>-</v>
      </c>
      <c r="X471" s="26" t="str">
        <f>+IFERROR(VLOOKUP(A471,'ID6&amp;7'!A:J,10,FALSE),"-")</f>
        <v>-</v>
      </c>
      <c r="Y471" s="26"/>
      <c r="Z471" s="27" t="str">
        <f t="shared" si="8"/>
        <v>Por iniciar</v>
      </c>
      <c r="AA471" s="65"/>
    </row>
    <row r="472" spans="1:27">
      <c r="A472" s="20"/>
      <c r="B472" s="60"/>
      <c r="C472" s="60"/>
      <c r="D472" s="60"/>
      <c r="E472" s="60"/>
      <c r="F472" s="60"/>
      <c r="G472" s="60"/>
      <c r="H472" s="65" t="s">
        <v>118</v>
      </c>
      <c r="I472" s="21" t="s">
        <v>1477</v>
      </c>
      <c r="J472" s="26">
        <f>+COUNTIF('ID1&amp;5'!G:G,'1. Status'!I472)</f>
        <v>0</v>
      </c>
      <c r="K472" s="79" t="str">
        <f>+IFERROR(VLOOKUP(CONCATENATE(A472,$B$10,B472),'ID1&amp;5'!B:J,8,FALSE),"-")</f>
        <v>-</v>
      </c>
      <c r="L472" s="78" t="str">
        <f>+IFERROR(VLOOKUP(B472,'ID1&amp;5'!K:L,2,FALSE),"-")</f>
        <v>-</v>
      </c>
      <c r="M472" s="79" t="str">
        <f>+IFERROR(VLOOKUP(CONCATENATE(A472,$B$10,B472),'ID1&amp;5'!B:J,9,FALSE),"-")</f>
        <v>-</v>
      </c>
      <c r="N472" s="79" t="str">
        <f>+IFERROR(VLOOKUP(CONCATENATE(A472,$C$10,C472),'ID1&amp;5'!B:J,8,FALSE),"-")</f>
        <v>-</v>
      </c>
      <c r="O472" s="78" t="str">
        <f>+IFERROR(VLOOKUP(C472,'ID1&amp;5'!K:L,2,FALSE),"-")</f>
        <v>-</v>
      </c>
      <c r="P472" s="79" t="str">
        <f>+IFERROR(VLOOKUP(CONCATENATE(A472,$C$10,C472),'ID1&amp;5'!B:J,9,FALSE),"-")</f>
        <v>-</v>
      </c>
      <c r="Q472" s="78" t="str">
        <f>+IFERROR(VLOOKUP(D472,'ID1&amp;5'!K:L,2,FALSE),"-")</f>
        <v>-</v>
      </c>
      <c r="R472" s="26" t="str">
        <f>+IFERROR(VLOOKUP(CONCATENATE(A472,$D$10,D472),'ID1&amp;5'!B:J,9,FALSE),"-")</f>
        <v>-</v>
      </c>
      <c r="S472" s="78" t="str">
        <f>+IFERROR(VLOOKUP(E472,'ID1&amp;5'!K:L,2,FALSE),"-")</f>
        <v>-</v>
      </c>
      <c r="T472" s="79" t="str">
        <f>+IFERROR(VLOOKUP(CONCATENATE(A472,$E$10,E472),'ID1&amp;5'!B:J,9,FALSE),"-")</f>
        <v>-</v>
      </c>
      <c r="U472" s="78" t="str">
        <f>+IFERROR(VLOOKUP(F472,'ID1&amp;5'!K:L,2,FALSE),"-")</f>
        <v>-</v>
      </c>
      <c r="V472" s="79" t="str">
        <f>+IFERROR(VLOOKUP(CONCATENATE(A472,$F$10,F472),'ID1&amp;5'!B:J,9,FALSE),"-")</f>
        <v>-</v>
      </c>
      <c r="W472" s="26" t="str">
        <f>+IFERROR(VLOOKUP(A472,'ID6&amp;7'!A:I,9,FALSE),"-")</f>
        <v>-</v>
      </c>
      <c r="X472" s="26" t="str">
        <f>+IFERROR(VLOOKUP(A472,'ID6&amp;7'!A:J,10,FALSE),"-")</f>
        <v>-</v>
      </c>
      <c r="Y472" s="26"/>
      <c r="Z472" s="27" t="str">
        <f t="shared" si="8"/>
        <v>Por iniciar</v>
      </c>
      <c r="AA472" s="65"/>
    </row>
    <row r="473" spans="1:27">
      <c r="A473" s="20"/>
      <c r="B473" s="60"/>
      <c r="C473" s="60"/>
      <c r="D473" s="60"/>
      <c r="E473" s="60"/>
      <c r="F473" s="60"/>
      <c r="G473" s="60"/>
      <c r="H473" s="65" t="s">
        <v>118</v>
      </c>
      <c r="I473" s="21" t="s">
        <v>1478</v>
      </c>
      <c r="J473" s="26">
        <f>+COUNTIF('ID1&amp;5'!G:G,'1. Status'!I473)</f>
        <v>0</v>
      </c>
      <c r="K473" s="79" t="str">
        <f>+IFERROR(VLOOKUP(CONCATENATE(A473,$B$10,B473),'ID1&amp;5'!B:J,8,FALSE),"-")</f>
        <v>-</v>
      </c>
      <c r="L473" s="78" t="str">
        <f>+IFERROR(VLOOKUP(B473,'ID1&amp;5'!K:L,2,FALSE),"-")</f>
        <v>-</v>
      </c>
      <c r="M473" s="79" t="str">
        <f>+IFERROR(VLOOKUP(CONCATENATE(A473,$B$10,B473),'ID1&amp;5'!B:J,9,FALSE),"-")</f>
        <v>-</v>
      </c>
      <c r="N473" s="79" t="str">
        <f>+IFERROR(VLOOKUP(CONCATENATE(A473,$C$10,C473),'ID1&amp;5'!B:J,8,FALSE),"-")</f>
        <v>-</v>
      </c>
      <c r="O473" s="78" t="str">
        <f>+IFERROR(VLOOKUP(C473,'ID1&amp;5'!K:L,2,FALSE),"-")</f>
        <v>-</v>
      </c>
      <c r="P473" s="79" t="str">
        <f>+IFERROR(VLOOKUP(CONCATENATE(A473,$C$10,C473),'ID1&amp;5'!B:J,9,FALSE),"-")</f>
        <v>-</v>
      </c>
      <c r="Q473" s="78" t="str">
        <f>+IFERROR(VLOOKUP(D473,'ID1&amp;5'!K:L,2,FALSE),"-")</f>
        <v>-</v>
      </c>
      <c r="R473" s="26" t="str">
        <f>+IFERROR(VLOOKUP(CONCATENATE(A473,$D$10,D473),'ID1&amp;5'!B:J,9,FALSE),"-")</f>
        <v>-</v>
      </c>
      <c r="S473" s="78" t="str">
        <f>+IFERROR(VLOOKUP(E473,'ID1&amp;5'!K:L,2,FALSE),"-")</f>
        <v>-</v>
      </c>
      <c r="T473" s="79" t="str">
        <f>+IFERROR(VLOOKUP(CONCATENATE(A473,$E$10,E473),'ID1&amp;5'!B:J,9,FALSE),"-")</f>
        <v>-</v>
      </c>
      <c r="U473" s="78" t="str">
        <f>+IFERROR(VLOOKUP(F473,'ID1&amp;5'!K:L,2,FALSE),"-")</f>
        <v>-</v>
      </c>
      <c r="V473" s="79" t="str">
        <f>+IFERROR(VLOOKUP(CONCATENATE(A473,$F$10,F473),'ID1&amp;5'!B:J,9,FALSE),"-")</f>
        <v>-</v>
      </c>
      <c r="W473" s="26" t="str">
        <f>+IFERROR(VLOOKUP(A473,'ID6&amp;7'!A:I,9,FALSE),"-")</f>
        <v>-</v>
      </c>
      <c r="X473" s="26" t="str">
        <f>+IFERROR(VLOOKUP(A473,'ID6&amp;7'!A:J,10,FALSE),"-")</f>
        <v>-</v>
      </c>
      <c r="Y473" s="26"/>
      <c r="Z473" s="27" t="str">
        <f t="shared" si="8"/>
        <v>Por iniciar</v>
      </c>
      <c r="AA473" s="65"/>
    </row>
    <row r="474" spans="1:27">
      <c r="A474" s="20"/>
      <c r="B474" s="60"/>
      <c r="C474" s="60"/>
      <c r="D474" s="60"/>
      <c r="E474" s="60"/>
      <c r="F474" s="60"/>
      <c r="G474" s="60"/>
      <c r="H474" s="65" t="s">
        <v>118</v>
      </c>
      <c r="I474" s="21" t="s">
        <v>1479</v>
      </c>
      <c r="J474" s="26">
        <f>+COUNTIF('ID1&amp;5'!G:G,'1. Status'!I474)</f>
        <v>0</v>
      </c>
      <c r="K474" s="79" t="str">
        <f>+IFERROR(VLOOKUP(CONCATENATE(A474,$B$10,B474),'ID1&amp;5'!B:J,8,FALSE),"-")</f>
        <v>-</v>
      </c>
      <c r="L474" s="78" t="str">
        <f>+IFERROR(VLOOKUP(B474,'ID1&amp;5'!K:L,2,FALSE),"-")</f>
        <v>-</v>
      </c>
      <c r="M474" s="79" t="str">
        <f>+IFERROR(VLOOKUP(CONCATENATE(A474,$B$10,B474),'ID1&amp;5'!B:J,9,FALSE),"-")</f>
        <v>-</v>
      </c>
      <c r="N474" s="79" t="str">
        <f>+IFERROR(VLOOKUP(CONCATENATE(A474,$C$10,C474),'ID1&amp;5'!B:J,8,FALSE),"-")</f>
        <v>-</v>
      </c>
      <c r="O474" s="78" t="str">
        <f>+IFERROR(VLOOKUP(C474,'ID1&amp;5'!K:L,2,FALSE),"-")</f>
        <v>-</v>
      </c>
      <c r="P474" s="79" t="str">
        <f>+IFERROR(VLOOKUP(CONCATENATE(A474,$C$10,C474),'ID1&amp;5'!B:J,9,FALSE),"-")</f>
        <v>-</v>
      </c>
      <c r="Q474" s="78" t="str">
        <f>+IFERROR(VLOOKUP(D474,'ID1&amp;5'!K:L,2,FALSE),"-")</f>
        <v>-</v>
      </c>
      <c r="R474" s="26" t="str">
        <f>+IFERROR(VLOOKUP(CONCATENATE(A474,$D$10,D474),'ID1&amp;5'!B:J,9,FALSE),"-")</f>
        <v>-</v>
      </c>
      <c r="S474" s="78" t="str">
        <f>+IFERROR(VLOOKUP(E474,'ID1&amp;5'!K:L,2,FALSE),"-")</f>
        <v>-</v>
      </c>
      <c r="T474" s="79" t="str">
        <f>+IFERROR(VLOOKUP(CONCATENATE(A474,$E$10,E474),'ID1&amp;5'!B:J,9,FALSE),"-")</f>
        <v>-</v>
      </c>
      <c r="U474" s="78" t="str">
        <f>+IFERROR(VLOOKUP(F474,'ID1&amp;5'!K:L,2,FALSE),"-")</f>
        <v>-</v>
      </c>
      <c r="V474" s="79" t="str">
        <f>+IFERROR(VLOOKUP(CONCATENATE(A474,$F$10,F474),'ID1&amp;5'!B:J,9,FALSE),"-")</f>
        <v>-</v>
      </c>
      <c r="W474" s="26" t="str">
        <f>+IFERROR(VLOOKUP(A474,'ID6&amp;7'!A:I,9,FALSE),"-")</f>
        <v>-</v>
      </c>
      <c r="X474" s="26" t="str">
        <f>+IFERROR(VLOOKUP(A474,'ID6&amp;7'!A:J,10,FALSE),"-")</f>
        <v>-</v>
      </c>
      <c r="Y474" s="26"/>
      <c r="Z474" s="27" t="str">
        <f t="shared" si="8"/>
        <v>Por iniciar</v>
      </c>
      <c r="AA474" s="65"/>
    </row>
    <row r="475" spans="1:27">
      <c r="A475" s="20"/>
      <c r="B475" s="60"/>
      <c r="C475" s="60"/>
      <c r="D475" s="60"/>
      <c r="E475" s="60"/>
      <c r="F475" s="60"/>
      <c r="G475" s="60"/>
      <c r="H475" s="65" t="s">
        <v>118</v>
      </c>
      <c r="I475" s="21" t="s">
        <v>1231</v>
      </c>
      <c r="J475" s="26">
        <f>+COUNTIF('ID1&amp;5'!G:G,'1. Status'!I475)</f>
        <v>0</v>
      </c>
      <c r="K475" s="79" t="str">
        <f>+IFERROR(VLOOKUP(CONCATENATE(A475,$B$10,B475),'ID1&amp;5'!B:J,8,FALSE),"-")</f>
        <v>-</v>
      </c>
      <c r="L475" s="78" t="str">
        <f>+IFERROR(VLOOKUP(B475,'ID1&amp;5'!K:L,2,FALSE),"-")</f>
        <v>-</v>
      </c>
      <c r="M475" s="79" t="str">
        <f>+IFERROR(VLOOKUP(CONCATENATE(A475,$B$10,B475),'ID1&amp;5'!B:J,9,FALSE),"-")</f>
        <v>-</v>
      </c>
      <c r="N475" s="79" t="str">
        <f>+IFERROR(VLOOKUP(CONCATENATE(A475,$C$10,C475),'ID1&amp;5'!B:J,8,FALSE),"-")</f>
        <v>-</v>
      </c>
      <c r="O475" s="78" t="str">
        <f>+IFERROR(VLOOKUP(C475,'ID1&amp;5'!K:L,2,FALSE),"-")</f>
        <v>-</v>
      </c>
      <c r="P475" s="79" t="str">
        <f>+IFERROR(VLOOKUP(CONCATENATE(A475,$C$10,C475),'ID1&amp;5'!B:J,9,FALSE),"-")</f>
        <v>-</v>
      </c>
      <c r="Q475" s="78" t="str">
        <f>+IFERROR(VLOOKUP(D475,'ID1&amp;5'!K:L,2,FALSE),"-")</f>
        <v>-</v>
      </c>
      <c r="R475" s="26" t="str">
        <f>+IFERROR(VLOOKUP(CONCATENATE(A475,$D$10,D475),'ID1&amp;5'!B:J,9,FALSE),"-")</f>
        <v>-</v>
      </c>
      <c r="S475" s="78" t="str">
        <f>+IFERROR(VLOOKUP(E475,'ID1&amp;5'!K:L,2,FALSE),"-")</f>
        <v>-</v>
      </c>
      <c r="T475" s="79" t="str">
        <f>+IFERROR(VLOOKUP(CONCATENATE(A475,$E$10,E475),'ID1&amp;5'!B:J,9,FALSE),"-")</f>
        <v>-</v>
      </c>
      <c r="U475" s="78" t="str">
        <f>+IFERROR(VLOOKUP(F475,'ID1&amp;5'!K:L,2,FALSE),"-")</f>
        <v>-</v>
      </c>
      <c r="V475" s="79" t="str">
        <f>+IFERROR(VLOOKUP(CONCATENATE(A475,$F$10,F475),'ID1&amp;5'!B:J,9,FALSE),"-")</f>
        <v>-</v>
      </c>
      <c r="W475" s="26" t="str">
        <f>+IFERROR(VLOOKUP(A475,'ID6&amp;7'!A:I,9,FALSE),"-")</f>
        <v>-</v>
      </c>
      <c r="X475" s="26" t="str">
        <f>+IFERROR(VLOOKUP(A475,'ID6&amp;7'!A:J,10,FALSE),"-")</f>
        <v>-</v>
      </c>
      <c r="Y475" s="26"/>
      <c r="Z475" s="27" t="str">
        <f t="shared" si="8"/>
        <v>Por iniciar</v>
      </c>
      <c r="AA475" s="65"/>
    </row>
    <row r="476" spans="1:27">
      <c r="A476" s="20"/>
      <c r="B476" s="60"/>
      <c r="C476" s="60"/>
      <c r="D476" s="60"/>
      <c r="E476" s="60"/>
      <c r="F476" s="60"/>
      <c r="G476" s="60"/>
      <c r="H476" s="65" t="s">
        <v>118</v>
      </c>
      <c r="I476" s="21" t="s">
        <v>703</v>
      </c>
      <c r="J476" s="26">
        <f>+COUNTIF('ID1&amp;5'!G:G,'1. Status'!I476)</f>
        <v>0</v>
      </c>
      <c r="K476" s="79" t="str">
        <f>+IFERROR(VLOOKUP(CONCATENATE(A476,$B$10,B476),'ID1&amp;5'!B:J,8,FALSE),"-")</f>
        <v>-</v>
      </c>
      <c r="L476" s="78" t="str">
        <f>+IFERROR(VLOOKUP(B476,'ID1&amp;5'!K:L,2,FALSE),"-")</f>
        <v>-</v>
      </c>
      <c r="M476" s="79" t="str">
        <f>+IFERROR(VLOOKUP(CONCATENATE(A476,$B$10,B476),'ID1&amp;5'!B:J,9,FALSE),"-")</f>
        <v>-</v>
      </c>
      <c r="N476" s="79" t="str">
        <f>+IFERROR(VLOOKUP(CONCATENATE(A476,$C$10,C476),'ID1&amp;5'!B:J,8,FALSE),"-")</f>
        <v>-</v>
      </c>
      <c r="O476" s="78" t="str">
        <f>+IFERROR(VLOOKUP(C476,'ID1&amp;5'!K:L,2,FALSE),"-")</f>
        <v>-</v>
      </c>
      <c r="P476" s="79" t="str">
        <f>+IFERROR(VLOOKUP(CONCATENATE(A476,$C$10,C476),'ID1&amp;5'!B:J,9,FALSE),"-")</f>
        <v>-</v>
      </c>
      <c r="Q476" s="78" t="str">
        <f>+IFERROR(VLOOKUP(D476,'ID1&amp;5'!K:L,2,FALSE),"-")</f>
        <v>-</v>
      </c>
      <c r="R476" s="26" t="str">
        <f>+IFERROR(VLOOKUP(CONCATENATE(A476,$D$10,D476),'ID1&amp;5'!B:J,9,FALSE),"-")</f>
        <v>-</v>
      </c>
      <c r="S476" s="78" t="str">
        <f>+IFERROR(VLOOKUP(E476,'ID1&amp;5'!K:L,2,FALSE),"-")</f>
        <v>-</v>
      </c>
      <c r="T476" s="79" t="str">
        <f>+IFERROR(VLOOKUP(CONCATENATE(A476,$E$10,E476),'ID1&amp;5'!B:J,9,FALSE),"-")</f>
        <v>-</v>
      </c>
      <c r="U476" s="78" t="str">
        <f>+IFERROR(VLOOKUP(F476,'ID1&amp;5'!K:L,2,FALSE),"-")</f>
        <v>-</v>
      </c>
      <c r="V476" s="79" t="str">
        <f>+IFERROR(VLOOKUP(CONCATENATE(A476,$F$10,F476),'ID1&amp;5'!B:J,9,FALSE),"-")</f>
        <v>-</v>
      </c>
      <c r="W476" s="26" t="str">
        <f>+IFERROR(VLOOKUP(A476,'ID6&amp;7'!A:I,9,FALSE),"-")</f>
        <v>-</v>
      </c>
      <c r="X476" s="26" t="str">
        <f>+IFERROR(VLOOKUP(A476,'ID6&amp;7'!A:J,10,FALSE),"-")</f>
        <v>-</v>
      </c>
      <c r="Y476" s="26"/>
      <c r="Z476" s="27" t="str">
        <f t="shared" si="8"/>
        <v>Por iniciar</v>
      </c>
      <c r="AA476" s="65"/>
    </row>
    <row r="477" spans="1:27">
      <c r="A477" s="20"/>
      <c r="B477" s="60"/>
      <c r="C477" s="60"/>
      <c r="D477" s="60"/>
      <c r="E477" s="60"/>
      <c r="F477" s="60"/>
      <c r="G477" s="60"/>
      <c r="H477" s="65" t="s">
        <v>118</v>
      </c>
      <c r="I477" s="21" t="s">
        <v>704</v>
      </c>
      <c r="J477" s="26">
        <f>+COUNTIF('ID1&amp;5'!G:G,'1. Status'!I477)</f>
        <v>0</v>
      </c>
      <c r="K477" s="79" t="str">
        <f>+IFERROR(VLOOKUP(CONCATENATE(A477,$B$10,B477),'ID1&amp;5'!B:J,8,FALSE),"-")</f>
        <v>-</v>
      </c>
      <c r="L477" s="78" t="str">
        <f>+IFERROR(VLOOKUP(B477,'ID1&amp;5'!K:L,2,FALSE),"-")</f>
        <v>-</v>
      </c>
      <c r="M477" s="79" t="str">
        <f>+IFERROR(VLOOKUP(CONCATENATE(A477,$B$10,B477),'ID1&amp;5'!B:J,9,FALSE),"-")</f>
        <v>-</v>
      </c>
      <c r="N477" s="79" t="str">
        <f>+IFERROR(VLOOKUP(CONCATENATE(A477,$C$10,C477),'ID1&amp;5'!B:J,8,FALSE),"-")</f>
        <v>-</v>
      </c>
      <c r="O477" s="78" t="str">
        <f>+IFERROR(VLOOKUP(C477,'ID1&amp;5'!K:L,2,FALSE),"-")</f>
        <v>-</v>
      </c>
      <c r="P477" s="79" t="str">
        <f>+IFERROR(VLOOKUP(CONCATENATE(A477,$C$10,C477),'ID1&amp;5'!B:J,9,FALSE),"-")</f>
        <v>-</v>
      </c>
      <c r="Q477" s="78" t="str">
        <f>+IFERROR(VLOOKUP(D477,'ID1&amp;5'!K:L,2,FALSE),"-")</f>
        <v>-</v>
      </c>
      <c r="R477" s="26" t="str">
        <f>+IFERROR(VLOOKUP(CONCATENATE(A477,$D$10,D477),'ID1&amp;5'!B:J,9,FALSE),"-")</f>
        <v>-</v>
      </c>
      <c r="S477" s="78" t="str">
        <f>+IFERROR(VLOOKUP(E477,'ID1&amp;5'!K:L,2,FALSE),"-")</f>
        <v>-</v>
      </c>
      <c r="T477" s="79" t="str">
        <f>+IFERROR(VLOOKUP(CONCATENATE(A477,$E$10,E477),'ID1&amp;5'!B:J,9,FALSE),"-")</f>
        <v>-</v>
      </c>
      <c r="U477" s="78" t="str">
        <f>+IFERROR(VLOOKUP(F477,'ID1&amp;5'!K:L,2,FALSE),"-")</f>
        <v>-</v>
      </c>
      <c r="V477" s="79" t="str">
        <f>+IFERROR(VLOOKUP(CONCATENATE(A477,$F$10,F477),'ID1&amp;5'!B:J,9,FALSE),"-")</f>
        <v>-</v>
      </c>
      <c r="W477" s="26" t="str">
        <f>+IFERROR(VLOOKUP(A477,'ID6&amp;7'!A:I,9,FALSE),"-")</f>
        <v>-</v>
      </c>
      <c r="X477" s="26" t="str">
        <f>+IFERROR(VLOOKUP(A477,'ID6&amp;7'!A:J,10,FALSE),"-")</f>
        <v>-</v>
      </c>
      <c r="Y477" s="26"/>
      <c r="Z477" s="27" t="str">
        <f t="shared" si="8"/>
        <v>Por iniciar</v>
      </c>
      <c r="AA477" s="65"/>
    </row>
    <row r="478" spans="1:27">
      <c r="A478" s="20"/>
      <c r="B478" s="60"/>
      <c r="C478" s="60"/>
      <c r="D478" s="60"/>
      <c r="E478" s="60"/>
      <c r="F478" s="60"/>
      <c r="G478" s="60"/>
      <c r="H478" s="65" t="s">
        <v>118</v>
      </c>
      <c r="I478" s="21" t="s">
        <v>1480</v>
      </c>
      <c r="J478" s="26">
        <f>+COUNTIF('ID1&amp;5'!G:G,'1. Status'!I478)</f>
        <v>0</v>
      </c>
      <c r="K478" s="79" t="str">
        <f>+IFERROR(VLOOKUP(CONCATENATE(A478,$B$10,B478),'ID1&amp;5'!B:J,8,FALSE),"-")</f>
        <v>-</v>
      </c>
      <c r="L478" s="78" t="str">
        <f>+IFERROR(VLOOKUP(B478,'ID1&amp;5'!K:L,2,FALSE),"-")</f>
        <v>-</v>
      </c>
      <c r="M478" s="79" t="str">
        <f>+IFERROR(VLOOKUP(CONCATENATE(A478,$B$10,B478),'ID1&amp;5'!B:J,9,FALSE),"-")</f>
        <v>-</v>
      </c>
      <c r="N478" s="79" t="str">
        <f>+IFERROR(VLOOKUP(CONCATENATE(A478,$C$10,C478),'ID1&amp;5'!B:J,8,FALSE),"-")</f>
        <v>-</v>
      </c>
      <c r="O478" s="78" t="str">
        <f>+IFERROR(VLOOKUP(C478,'ID1&amp;5'!K:L,2,FALSE),"-")</f>
        <v>-</v>
      </c>
      <c r="P478" s="79" t="str">
        <f>+IFERROR(VLOOKUP(CONCATENATE(A478,$C$10,C478),'ID1&amp;5'!B:J,9,FALSE),"-")</f>
        <v>-</v>
      </c>
      <c r="Q478" s="78" t="str">
        <f>+IFERROR(VLOOKUP(D478,'ID1&amp;5'!K:L,2,FALSE),"-")</f>
        <v>-</v>
      </c>
      <c r="R478" s="26" t="str">
        <f>+IFERROR(VLOOKUP(CONCATENATE(A478,$D$10,D478),'ID1&amp;5'!B:J,9,FALSE),"-")</f>
        <v>-</v>
      </c>
      <c r="S478" s="78" t="str">
        <f>+IFERROR(VLOOKUP(E478,'ID1&amp;5'!K:L,2,FALSE),"-")</f>
        <v>-</v>
      </c>
      <c r="T478" s="79" t="str">
        <f>+IFERROR(VLOOKUP(CONCATENATE(A478,$E$10,E478),'ID1&amp;5'!B:J,9,FALSE),"-")</f>
        <v>-</v>
      </c>
      <c r="U478" s="78" t="str">
        <f>+IFERROR(VLOOKUP(F478,'ID1&amp;5'!K:L,2,FALSE),"-")</f>
        <v>-</v>
      </c>
      <c r="V478" s="79" t="str">
        <f>+IFERROR(VLOOKUP(CONCATENATE(A478,$F$10,F478),'ID1&amp;5'!B:J,9,FALSE),"-")</f>
        <v>-</v>
      </c>
      <c r="W478" s="26" t="str">
        <f>+IFERROR(VLOOKUP(A478,'ID6&amp;7'!A:I,9,FALSE),"-")</f>
        <v>-</v>
      </c>
      <c r="X478" s="26" t="str">
        <f>+IFERROR(VLOOKUP(A478,'ID6&amp;7'!A:J,10,FALSE),"-")</f>
        <v>-</v>
      </c>
      <c r="Y478" s="26"/>
      <c r="Z478" s="27" t="str">
        <f t="shared" si="8"/>
        <v>Por iniciar</v>
      </c>
      <c r="AA478" s="65"/>
    </row>
    <row r="479" spans="1:27">
      <c r="A479" s="20"/>
      <c r="B479" s="60"/>
      <c r="C479" s="60"/>
      <c r="D479" s="60"/>
      <c r="E479" s="60"/>
      <c r="F479" s="60"/>
      <c r="G479" s="60"/>
      <c r="H479" s="65" t="s">
        <v>118</v>
      </c>
      <c r="I479" s="21" t="s">
        <v>1481</v>
      </c>
      <c r="J479" s="26">
        <f>+COUNTIF('ID1&amp;5'!G:G,'1. Status'!I479)</f>
        <v>0</v>
      </c>
      <c r="K479" s="79" t="str">
        <f>+IFERROR(VLOOKUP(CONCATENATE(A479,$B$10,B479),'ID1&amp;5'!B:J,8,FALSE),"-")</f>
        <v>-</v>
      </c>
      <c r="L479" s="78" t="str">
        <f>+IFERROR(VLOOKUP(B479,'ID1&amp;5'!K:L,2,FALSE),"-")</f>
        <v>-</v>
      </c>
      <c r="M479" s="79" t="str">
        <f>+IFERROR(VLOOKUP(CONCATENATE(A479,$B$10,B479),'ID1&amp;5'!B:J,9,FALSE),"-")</f>
        <v>-</v>
      </c>
      <c r="N479" s="79" t="str">
        <f>+IFERROR(VLOOKUP(CONCATENATE(A479,$C$10,C479),'ID1&amp;5'!B:J,8,FALSE),"-")</f>
        <v>-</v>
      </c>
      <c r="O479" s="78" t="str">
        <f>+IFERROR(VLOOKUP(C479,'ID1&amp;5'!K:L,2,FALSE),"-")</f>
        <v>-</v>
      </c>
      <c r="P479" s="79" t="str">
        <f>+IFERROR(VLOOKUP(CONCATENATE(A479,$C$10,C479),'ID1&amp;5'!B:J,9,FALSE),"-")</f>
        <v>-</v>
      </c>
      <c r="Q479" s="78" t="str">
        <f>+IFERROR(VLOOKUP(D479,'ID1&amp;5'!K:L,2,FALSE),"-")</f>
        <v>-</v>
      </c>
      <c r="R479" s="26" t="str">
        <f>+IFERROR(VLOOKUP(CONCATENATE(A479,$D$10,D479),'ID1&amp;5'!B:J,9,FALSE),"-")</f>
        <v>-</v>
      </c>
      <c r="S479" s="78" t="str">
        <f>+IFERROR(VLOOKUP(E479,'ID1&amp;5'!K:L,2,FALSE),"-")</f>
        <v>-</v>
      </c>
      <c r="T479" s="79" t="str">
        <f>+IFERROR(VLOOKUP(CONCATENATE(A479,$E$10,E479),'ID1&amp;5'!B:J,9,FALSE),"-")</f>
        <v>-</v>
      </c>
      <c r="U479" s="78" t="str">
        <f>+IFERROR(VLOOKUP(F479,'ID1&amp;5'!K:L,2,FALSE),"-")</f>
        <v>-</v>
      </c>
      <c r="V479" s="79" t="str">
        <f>+IFERROR(VLOOKUP(CONCATENATE(A479,$F$10,F479),'ID1&amp;5'!B:J,9,FALSE),"-")</f>
        <v>-</v>
      </c>
      <c r="W479" s="26" t="str">
        <f>+IFERROR(VLOOKUP(A479,'ID6&amp;7'!A:I,9,FALSE),"-")</f>
        <v>-</v>
      </c>
      <c r="X479" s="26" t="str">
        <f>+IFERROR(VLOOKUP(A479,'ID6&amp;7'!A:J,10,FALSE),"-")</f>
        <v>-</v>
      </c>
      <c r="Y479" s="26"/>
      <c r="Z479" s="27" t="str">
        <f t="shared" si="8"/>
        <v>Por iniciar</v>
      </c>
      <c r="AA479" s="65"/>
    </row>
    <row r="480" spans="1:27">
      <c r="A480" s="20"/>
      <c r="B480" s="60"/>
      <c r="C480" s="60"/>
      <c r="D480" s="60"/>
      <c r="E480" s="60"/>
      <c r="F480" s="60"/>
      <c r="G480" s="60"/>
      <c r="H480" s="65" t="s">
        <v>118</v>
      </c>
      <c r="I480" s="21" t="s">
        <v>1482</v>
      </c>
      <c r="J480" s="26">
        <f>+COUNTIF('ID1&amp;5'!G:G,'1. Status'!I480)</f>
        <v>0</v>
      </c>
      <c r="K480" s="79" t="str">
        <f>+IFERROR(VLOOKUP(CONCATENATE(A480,$B$10,B480),'ID1&amp;5'!B:J,8,FALSE),"-")</f>
        <v>-</v>
      </c>
      <c r="L480" s="78" t="str">
        <f>+IFERROR(VLOOKUP(B480,'ID1&amp;5'!K:L,2,FALSE),"-")</f>
        <v>-</v>
      </c>
      <c r="M480" s="79" t="str">
        <f>+IFERROR(VLOOKUP(CONCATENATE(A480,$B$10,B480),'ID1&amp;5'!B:J,9,FALSE),"-")</f>
        <v>-</v>
      </c>
      <c r="N480" s="79" t="str">
        <f>+IFERROR(VLOOKUP(CONCATENATE(A480,$C$10,C480),'ID1&amp;5'!B:J,8,FALSE),"-")</f>
        <v>-</v>
      </c>
      <c r="O480" s="78" t="str">
        <f>+IFERROR(VLOOKUP(C480,'ID1&amp;5'!K:L,2,FALSE),"-")</f>
        <v>-</v>
      </c>
      <c r="P480" s="79" t="str">
        <f>+IFERROR(VLOOKUP(CONCATENATE(A480,$C$10,C480),'ID1&amp;5'!B:J,9,FALSE),"-")</f>
        <v>-</v>
      </c>
      <c r="Q480" s="78" t="str">
        <f>+IFERROR(VLOOKUP(D480,'ID1&amp;5'!K:L,2,FALSE),"-")</f>
        <v>-</v>
      </c>
      <c r="R480" s="26" t="str">
        <f>+IFERROR(VLOOKUP(CONCATENATE(A480,$D$10,D480),'ID1&amp;5'!B:J,9,FALSE),"-")</f>
        <v>-</v>
      </c>
      <c r="S480" s="78" t="str">
        <f>+IFERROR(VLOOKUP(E480,'ID1&amp;5'!K:L,2,FALSE),"-")</f>
        <v>-</v>
      </c>
      <c r="T480" s="79" t="str">
        <f>+IFERROR(VLOOKUP(CONCATENATE(A480,$E$10,E480),'ID1&amp;5'!B:J,9,FALSE),"-")</f>
        <v>-</v>
      </c>
      <c r="U480" s="78" t="str">
        <f>+IFERROR(VLOOKUP(F480,'ID1&amp;5'!K:L,2,FALSE),"-")</f>
        <v>-</v>
      </c>
      <c r="V480" s="79" t="str">
        <f>+IFERROR(VLOOKUP(CONCATENATE(A480,$F$10,F480),'ID1&amp;5'!B:J,9,FALSE),"-")</f>
        <v>-</v>
      </c>
      <c r="W480" s="26" t="str">
        <f>+IFERROR(VLOOKUP(A480,'ID6&amp;7'!A:I,9,FALSE),"-")</f>
        <v>-</v>
      </c>
      <c r="X480" s="26" t="str">
        <f>+IFERROR(VLOOKUP(A480,'ID6&amp;7'!A:J,10,FALSE),"-")</f>
        <v>-</v>
      </c>
      <c r="Y480" s="26"/>
      <c r="Z480" s="27" t="str">
        <f t="shared" si="8"/>
        <v>Por iniciar</v>
      </c>
      <c r="AA480" s="65"/>
    </row>
    <row r="481" spans="1:27">
      <c r="A481" s="20"/>
      <c r="B481" s="60"/>
      <c r="C481" s="60"/>
      <c r="D481" s="60"/>
      <c r="E481" s="60"/>
      <c r="F481" s="60"/>
      <c r="G481" s="60"/>
      <c r="H481" s="65" t="s">
        <v>118</v>
      </c>
      <c r="I481" s="21" t="s">
        <v>1483</v>
      </c>
      <c r="J481" s="26">
        <f>+COUNTIF('ID1&amp;5'!G:G,'1. Status'!I481)</f>
        <v>0</v>
      </c>
      <c r="K481" s="79" t="str">
        <f>+IFERROR(VLOOKUP(CONCATENATE(A481,$B$10,B481),'ID1&amp;5'!B:J,8,FALSE),"-")</f>
        <v>-</v>
      </c>
      <c r="L481" s="78" t="str">
        <f>+IFERROR(VLOOKUP(B481,'ID1&amp;5'!K:L,2,FALSE),"-")</f>
        <v>-</v>
      </c>
      <c r="M481" s="79" t="str">
        <f>+IFERROR(VLOOKUP(CONCATENATE(A481,$B$10,B481),'ID1&amp;5'!B:J,9,FALSE),"-")</f>
        <v>-</v>
      </c>
      <c r="N481" s="79" t="str">
        <f>+IFERROR(VLOOKUP(CONCATENATE(A481,$C$10,C481),'ID1&amp;5'!B:J,8,FALSE),"-")</f>
        <v>-</v>
      </c>
      <c r="O481" s="78" t="str">
        <f>+IFERROR(VLOOKUP(C481,'ID1&amp;5'!K:L,2,FALSE),"-")</f>
        <v>-</v>
      </c>
      <c r="P481" s="79" t="str">
        <f>+IFERROR(VLOOKUP(CONCATENATE(A481,$C$10,C481),'ID1&amp;5'!B:J,9,FALSE),"-")</f>
        <v>-</v>
      </c>
      <c r="Q481" s="78" t="str">
        <f>+IFERROR(VLOOKUP(D481,'ID1&amp;5'!K:L,2,FALSE),"-")</f>
        <v>-</v>
      </c>
      <c r="R481" s="26" t="str">
        <f>+IFERROR(VLOOKUP(CONCATENATE(A481,$D$10,D481),'ID1&amp;5'!B:J,9,FALSE),"-")</f>
        <v>-</v>
      </c>
      <c r="S481" s="78" t="str">
        <f>+IFERROR(VLOOKUP(E481,'ID1&amp;5'!K:L,2,FALSE),"-")</f>
        <v>-</v>
      </c>
      <c r="T481" s="79" t="str">
        <f>+IFERROR(VLOOKUP(CONCATENATE(A481,$E$10,E481),'ID1&amp;5'!B:J,9,FALSE),"-")</f>
        <v>-</v>
      </c>
      <c r="U481" s="78" t="str">
        <f>+IFERROR(VLOOKUP(F481,'ID1&amp;5'!K:L,2,FALSE),"-")</f>
        <v>-</v>
      </c>
      <c r="V481" s="79" t="str">
        <f>+IFERROR(VLOOKUP(CONCATENATE(A481,$F$10,F481),'ID1&amp;5'!B:J,9,FALSE),"-")</f>
        <v>-</v>
      </c>
      <c r="W481" s="26" t="str">
        <f>+IFERROR(VLOOKUP(A481,'ID6&amp;7'!A:I,9,FALSE),"-")</f>
        <v>-</v>
      </c>
      <c r="X481" s="26" t="str">
        <f>+IFERROR(VLOOKUP(A481,'ID6&amp;7'!A:J,10,FALSE),"-")</f>
        <v>-</v>
      </c>
      <c r="Y481" s="26"/>
      <c r="Z481" s="27" t="str">
        <f t="shared" si="8"/>
        <v>Por iniciar</v>
      </c>
      <c r="AA481" s="65"/>
    </row>
    <row r="482" spans="1:27">
      <c r="A482" s="20"/>
      <c r="B482" s="60"/>
      <c r="C482" s="60"/>
      <c r="D482" s="60"/>
      <c r="E482" s="60"/>
      <c r="F482" s="60"/>
      <c r="G482" s="60"/>
      <c r="H482" s="65" t="s">
        <v>118</v>
      </c>
      <c r="I482" s="21" t="s">
        <v>1484</v>
      </c>
      <c r="J482" s="26">
        <f>+COUNTIF('ID1&amp;5'!G:G,'1. Status'!I482)</f>
        <v>0</v>
      </c>
      <c r="K482" s="79" t="str">
        <f>+IFERROR(VLOOKUP(CONCATENATE(A482,$B$10,B482),'ID1&amp;5'!B:J,8,FALSE),"-")</f>
        <v>-</v>
      </c>
      <c r="L482" s="78" t="str">
        <f>+IFERROR(VLOOKUP(B482,'ID1&amp;5'!K:L,2,FALSE),"-")</f>
        <v>-</v>
      </c>
      <c r="M482" s="79" t="str">
        <f>+IFERROR(VLOOKUP(CONCATENATE(A482,$B$10,B482),'ID1&amp;5'!B:J,9,FALSE),"-")</f>
        <v>-</v>
      </c>
      <c r="N482" s="79" t="str">
        <f>+IFERROR(VLOOKUP(CONCATENATE(A482,$C$10,C482),'ID1&amp;5'!B:J,8,FALSE),"-")</f>
        <v>-</v>
      </c>
      <c r="O482" s="78" t="str">
        <f>+IFERROR(VLOOKUP(C482,'ID1&amp;5'!K:L,2,FALSE),"-")</f>
        <v>-</v>
      </c>
      <c r="P482" s="79" t="str">
        <f>+IFERROR(VLOOKUP(CONCATENATE(A482,$C$10,C482),'ID1&amp;5'!B:J,9,FALSE),"-")</f>
        <v>-</v>
      </c>
      <c r="Q482" s="78" t="str">
        <f>+IFERROR(VLOOKUP(D482,'ID1&amp;5'!K:L,2,FALSE),"-")</f>
        <v>-</v>
      </c>
      <c r="R482" s="26" t="str">
        <f>+IFERROR(VLOOKUP(CONCATENATE(A482,$D$10,D482),'ID1&amp;5'!B:J,9,FALSE),"-")</f>
        <v>-</v>
      </c>
      <c r="S482" s="78" t="str">
        <f>+IFERROR(VLOOKUP(E482,'ID1&amp;5'!K:L,2,FALSE),"-")</f>
        <v>-</v>
      </c>
      <c r="T482" s="79" t="str">
        <f>+IFERROR(VLOOKUP(CONCATENATE(A482,$E$10,E482),'ID1&amp;5'!B:J,9,FALSE),"-")</f>
        <v>-</v>
      </c>
      <c r="U482" s="78" t="str">
        <f>+IFERROR(VLOOKUP(F482,'ID1&amp;5'!K:L,2,FALSE),"-")</f>
        <v>-</v>
      </c>
      <c r="V482" s="79" t="str">
        <f>+IFERROR(VLOOKUP(CONCATENATE(A482,$F$10,F482),'ID1&amp;5'!B:J,9,FALSE),"-")</f>
        <v>-</v>
      </c>
      <c r="W482" s="26" t="str">
        <f>+IFERROR(VLOOKUP(A482,'ID6&amp;7'!A:I,9,FALSE),"-")</f>
        <v>-</v>
      </c>
      <c r="X482" s="26" t="str">
        <f>+IFERROR(VLOOKUP(A482,'ID6&amp;7'!A:J,10,FALSE),"-")</f>
        <v>-</v>
      </c>
      <c r="Y482" s="26"/>
      <c r="Z482" s="27" t="str">
        <f t="shared" si="8"/>
        <v>Por iniciar</v>
      </c>
      <c r="AA482" s="65"/>
    </row>
    <row r="483" spans="1:27">
      <c r="A483" s="20"/>
      <c r="B483" s="60"/>
      <c r="C483" s="60"/>
      <c r="D483" s="60"/>
      <c r="E483" s="60"/>
      <c r="F483" s="60"/>
      <c r="G483" s="60"/>
      <c r="H483" s="65" t="s">
        <v>118</v>
      </c>
      <c r="I483" s="21" t="s">
        <v>590</v>
      </c>
      <c r="J483" s="26">
        <f>+COUNTIF('ID1&amp;5'!G:G,'1. Status'!I483)</f>
        <v>0</v>
      </c>
      <c r="K483" s="79" t="str">
        <f>+IFERROR(VLOOKUP(CONCATENATE(A483,$B$10,B483),'ID1&amp;5'!B:J,8,FALSE),"-")</f>
        <v>-</v>
      </c>
      <c r="L483" s="78" t="str">
        <f>+IFERROR(VLOOKUP(B483,'ID1&amp;5'!K:L,2,FALSE),"-")</f>
        <v>-</v>
      </c>
      <c r="M483" s="79" t="str">
        <f>+IFERROR(VLOOKUP(CONCATENATE(A483,$B$10,B483),'ID1&amp;5'!B:J,9,FALSE),"-")</f>
        <v>-</v>
      </c>
      <c r="N483" s="79" t="str">
        <f>+IFERROR(VLOOKUP(CONCATENATE(A483,$C$10,C483),'ID1&amp;5'!B:J,8,FALSE),"-")</f>
        <v>-</v>
      </c>
      <c r="O483" s="78" t="str">
        <f>+IFERROR(VLOOKUP(C483,'ID1&amp;5'!K:L,2,FALSE),"-")</f>
        <v>-</v>
      </c>
      <c r="P483" s="79" t="str">
        <f>+IFERROR(VLOOKUP(CONCATENATE(A483,$C$10,C483),'ID1&amp;5'!B:J,9,FALSE),"-")</f>
        <v>-</v>
      </c>
      <c r="Q483" s="78" t="str">
        <f>+IFERROR(VLOOKUP(D483,'ID1&amp;5'!K:L,2,FALSE),"-")</f>
        <v>-</v>
      </c>
      <c r="R483" s="26" t="str">
        <f>+IFERROR(VLOOKUP(CONCATENATE(A483,$D$10,D483),'ID1&amp;5'!B:J,9,FALSE),"-")</f>
        <v>-</v>
      </c>
      <c r="S483" s="78" t="str">
        <f>+IFERROR(VLOOKUP(E483,'ID1&amp;5'!K:L,2,FALSE),"-")</f>
        <v>-</v>
      </c>
      <c r="T483" s="79" t="str">
        <f>+IFERROR(VLOOKUP(CONCATENATE(A483,$E$10,E483),'ID1&amp;5'!B:J,9,FALSE),"-")</f>
        <v>-</v>
      </c>
      <c r="U483" s="78" t="str">
        <f>+IFERROR(VLOOKUP(F483,'ID1&amp;5'!K:L,2,FALSE),"-")</f>
        <v>-</v>
      </c>
      <c r="V483" s="79" t="str">
        <f>+IFERROR(VLOOKUP(CONCATENATE(A483,$F$10,F483),'ID1&amp;5'!B:J,9,FALSE),"-")</f>
        <v>-</v>
      </c>
      <c r="W483" s="26" t="str">
        <f>+IFERROR(VLOOKUP(A483,'ID6&amp;7'!A:I,9,FALSE),"-")</f>
        <v>-</v>
      </c>
      <c r="X483" s="26" t="str">
        <f>+IFERROR(VLOOKUP(A483,'ID6&amp;7'!A:J,10,FALSE),"-")</f>
        <v>-</v>
      </c>
      <c r="Y483" s="26"/>
      <c r="Z483" s="27" t="str">
        <f t="shared" si="8"/>
        <v>Por iniciar</v>
      </c>
      <c r="AA483" s="65"/>
    </row>
    <row r="484" spans="1:27">
      <c r="A484" s="20"/>
      <c r="B484" s="60"/>
      <c r="C484" s="60"/>
      <c r="D484" s="60"/>
      <c r="E484" s="60"/>
      <c r="F484" s="60"/>
      <c r="G484" s="60"/>
      <c r="H484" s="65" t="s">
        <v>118</v>
      </c>
      <c r="I484" s="21" t="s">
        <v>591</v>
      </c>
      <c r="J484" s="26">
        <f>+COUNTIF('ID1&amp;5'!G:G,'1. Status'!I484)</f>
        <v>0</v>
      </c>
      <c r="K484" s="79" t="str">
        <f>+IFERROR(VLOOKUP(CONCATENATE(A484,$B$10,B484),'ID1&amp;5'!B:J,8,FALSE),"-")</f>
        <v>-</v>
      </c>
      <c r="L484" s="78" t="str">
        <f>+IFERROR(VLOOKUP(B484,'ID1&amp;5'!K:L,2,FALSE),"-")</f>
        <v>-</v>
      </c>
      <c r="M484" s="79" t="str">
        <f>+IFERROR(VLOOKUP(CONCATENATE(A484,$B$10,B484),'ID1&amp;5'!B:J,9,FALSE),"-")</f>
        <v>-</v>
      </c>
      <c r="N484" s="79" t="str">
        <f>+IFERROR(VLOOKUP(CONCATENATE(A484,$C$10,C484),'ID1&amp;5'!B:J,8,FALSE),"-")</f>
        <v>-</v>
      </c>
      <c r="O484" s="78" t="str">
        <f>+IFERROR(VLOOKUP(C484,'ID1&amp;5'!K:L,2,FALSE),"-")</f>
        <v>-</v>
      </c>
      <c r="P484" s="79" t="str">
        <f>+IFERROR(VLOOKUP(CONCATENATE(A484,$C$10,C484),'ID1&amp;5'!B:J,9,FALSE),"-")</f>
        <v>-</v>
      </c>
      <c r="Q484" s="78" t="str">
        <f>+IFERROR(VLOOKUP(D484,'ID1&amp;5'!K:L,2,FALSE),"-")</f>
        <v>-</v>
      </c>
      <c r="R484" s="26" t="str">
        <f>+IFERROR(VLOOKUP(CONCATENATE(A484,$D$10,D484),'ID1&amp;5'!B:J,9,FALSE),"-")</f>
        <v>-</v>
      </c>
      <c r="S484" s="78" t="str">
        <f>+IFERROR(VLOOKUP(E484,'ID1&amp;5'!K:L,2,FALSE),"-")</f>
        <v>-</v>
      </c>
      <c r="T484" s="79" t="str">
        <f>+IFERROR(VLOOKUP(CONCATENATE(A484,$E$10,E484),'ID1&amp;5'!B:J,9,FALSE),"-")</f>
        <v>-</v>
      </c>
      <c r="U484" s="78" t="str">
        <f>+IFERROR(VLOOKUP(F484,'ID1&amp;5'!K:L,2,FALSE),"-")</f>
        <v>-</v>
      </c>
      <c r="V484" s="79" t="str">
        <f>+IFERROR(VLOOKUP(CONCATENATE(A484,$F$10,F484),'ID1&amp;5'!B:J,9,FALSE),"-")</f>
        <v>-</v>
      </c>
      <c r="W484" s="26" t="str">
        <f>+IFERROR(VLOOKUP(A484,'ID6&amp;7'!A:I,9,FALSE),"-")</f>
        <v>-</v>
      </c>
      <c r="X484" s="26" t="str">
        <f>+IFERROR(VLOOKUP(A484,'ID6&amp;7'!A:J,10,FALSE),"-")</f>
        <v>-</v>
      </c>
      <c r="Y484" s="26"/>
      <c r="Z484" s="27" t="str">
        <f t="shared" si="8"/>
        <v>Por iniciar</v>
      </c>
      <c r="AA484" s="65"/>
    </row>
    <row r="485" spans="1:27">
      <c r="A485" s="20"/>
      <c r="B485" s="60"/>
      <c r="C485" s="60"/>
      <c r="D485" s="60"/>
      <c r="E485" s="60"/>
      <c r="F485" s="60"/>
      <c r="G485" s="60"/>
      <c r="H485" s="65" t="s">
        <v>118</v>
      </c>
      <c r="I485" s="21" t="s">
        <v>592</v>
      </c>
      <c r="J485" s="26">
        <f>+COUNTIF('ID1&amp;5'!G:G,'1. Status'!I485)</f>
        <v>0</v>
      </c>
      <c r="K485" s="79" t="str">
        <f>+IFERROR(VLOOKUP(CONCATENATE(A485,$B$10,B485),'ID1&amp;5'!B:J,8,FALSE),"-")</f>
        <v>-</v>
      </c>
      <c r="L485" s="78" t="str">
        <f>+IFERROR(VLOOKUP(B485,'ID1&amp;5'!K:L,2,FALSE),"-")</f>
        <v>-</v>
      </c>
      <c r="M485" s="79" t="str">
        <f>+IFERROR(VLOOKUP(CONCATENATE(A485,$B$10,B485),'ID1&amp;5'!B:J,9,FALSE),"-")</f>
        <v>-</v>
      </c>
      <c r="N485" s="79" t="str">
        <f>+IFERROR(VLOOKUP(CONCATENATE(A485,$C$10,C485),'ID1&amp;5'!B:J,8,FALSE),"-")</f>
        <v>-</v>
      </c>
      <c r="O485" s="78" t="str">
        <f>+IFERROR(VLOOKUP(C485,'ID1&amp;5'!K:L,2,FALSE),"-")</f>
        <v>-</v>
      </c>
      <c r="P485" s="79" t="str">
        <f>+IFERROR(VLOOKUP(CONCATENATE(A485,$C$10,C485),'ID1&amp;5'!B:J,9,FALSE),"-")</f>
        <v>-</v>
      </c>
      <c r="Q485" s="78" t="str">
        <f>+IFERROR(VLOOKUP(D485,'ID1&amp;5'!K:L,2,FALSE),"-")</f>
        <v>-</v>
      </c>
      <c r="R485" s="26" t="str">
        <f>+IFERROR(VLOOKUP(CONCATENATE(A485,$D$10,D485),'ID1&amp;5'!B:J,9,FALSE),"-")</f>
        <v>-</v>
      </c>
      <c r="S485" s="78" t="str">
        <f>+IFERROR(VLOOKUP(E485,'ID1&amp;5'!K:L,2,FALSE),"-")</f>
        <v>-</v>
      </c>
      <c r="T485" s="79" t="str">
        <f>+IFERROR(VLOOKUP(CONCATENATE(A485,$E$10,E485),'ID1&amp;5'!B:J,9,FALSE),"-")</f>
        <v>-</v>
      </c>
      <c r="U485" s="78" t="str">
        <f>+IFERROR(VLOOKUP(F485,'ID1&amp;5'!K:L,2,FALSE),"-")</f>
        <v>-</v>
      </c>
      <c r="V485" s="79" t="str">
        <f>+IFERROR(VLOOKUP(CONCATENATE(A485,$F$10,F485),'ID1&amp;5'!B:J,9,FALSE),"-")</f>
        <v>-</v>
      </c>
      <c r="W485" s="26" t="str">
        <f>+IFERROR(VLOOKUP(A485,'ID6&amp;7'!A:I,9,FALSE),"-")</f>
        <v>-</v>
      </c>
      <c r="X485" s="26" t="str">
        <f>+IFERROR(VLOOKUP(A485,'ID6&amp;7'!A:J,10,FALSE),"-")</f>
        <v>-</v>
      </c>
      <c r="Y485" s="26"/>
      <c r="Z485" s="27" t="str">
        <f t="shared" si="8"/>
        <v>Por iniciar</v>
      </c>
      <c r="AA485" s="65"/>
    </row>
    <row r="486" spans="1:27">
      <c r="A486" s="20"/>
      <c r="B486" s="60"/>
      <c r="C486" s="60"/>
      <c r="D486" s="60"/>
      <c r="E486" s="60"/>
      <c r="F486" s="60"/>
      <c r="G486" s="60"/>
      <c r="H486" s="65" t="s">
        <v>118</v>
      </c>
      <c r="I486" s="21" t="s">
        <v>593</v>
      </c>
      <c r="J486" s="26">
        <f>+COUNTIF('ID1&amp;5'!G:G,'1. Status'!I486)</f>
        <v>0</v>
      </c>
      <c r="K486" s="79" t="str">
        <f>+IFERROR(VLOOKUP(CONCATENATE(A486,$B$10,B486),'ID1&amp;5'!B:J,8,FALSE),"-")</f>
        <v>-</v>
      </c>
      <c r="L486" s="78" t="str">
        <f>+IFERROR(VLOOKUP(B486,'ID1&amp;5'!K:L,2,FALSE),"-")</f>
        <v>-</v>
      </c>
      <c r="M486" s="79" t="str">
        <f>+IFERROR(VLOOKUP(CONCATENATE(A486,$B$10,B486),'ID1&amp;5'!B:J,9,FALSE),"-")</f>
        <v>-</v>
      </c>
      <c r="N486" s="79" t="str">
        <f>+IFERROR(VLOOKUP(CONCATENATE(A486,$C$10,C486),'ID1&amp;5'!B:J,8,FALSE),"-")</f>
        <v>-</v>
      </c>
      <c r="O486" s="78" t="str">
        <f>+IFERROR(VLOOKUP(C486,'ID1&amp;5'!K:L,2,FALSE),"-")</f>
        <v>-</v>
      </c>
      <c r="P486" s="79" t="str">
        <f>+IFERROR(VLOOKUP(CONCATENATE(A486,$C$10,C486),'ID1&amp;5'!B:J,9,FALSE),"-")</f>
        <v>-</v>
      </c>
      <c r="Q486" s="78" t="str">
        <f>+IFERROR(VLOOKUP(D486,'ID1&amp;5'!K:L,2,FALSE),"-")</f>
        <v>-</v>
      </c>
      <c r="R486" s="26" t="str">
        <f>+IFERROR(VLOOKUP(CONCATENATE(A486,$D$10,D486),'ID1&amp;5'!B:J,9,FALSE),"-")</f>
        <v>-</v>
      </c>
      <c r="S486" s="78" t="str">
        <f>+IFERROR(VLOOKUP(E486,'ID1&amp;5'!K:L,2,FALSE),"-")</f>
        <v>-</v>
      </c>
      <c r="T486" s="79" t="str">
        <f>+IFERROR(VLOOKUP(CONCATENATE(A486,$E$10,E486),'ID1&amp;5'!B:J,9,FALSE),"-")</f>
        <v>-</v>
      </c>
      <c r="U486" s="78" t="str">
        <f>+IFERROR(VLOOKUP(F486,'ID1&amp;5'!K:L,2,FALSE),"-")</f>
        <v>-</v>
      </c>
      <c r="V486" s="79" t="str">
        <f>+IFERROR(VLOOKUP(CONCATENATE(A486,$F$10,F486),'ID1&amp;5'!B:J,9,FALSE),"-")</f>
        <v>-</v>
      </c>
      <c r="W486" s="26" t="str">
        <f>+IFERROR(VLOOKUP(A486,'ID6&amp;7'!A:I,9,FALSE),"-")</f>
        <v>-</v>
      </c>
      <c r="X486" s="26" t="str">
        <f>+IFERROR(VLOOKUP(A486,'ID6&amp;7'!A:J,10,FALSE),"-")</f>
        <v>-</v>
      </c>
      <c r="Y486" s="26"/>
      <c r="Z486" s="27" t="str">
        <f t="shared" si="8"/>
        <v>Por iniciar</v>
      </c>
      <c r="AA486" s="65"/>
    </row>
    <row r="487" spans="1:27">
      <c r="A487" s="20"/>
      <c r="B487" s="60"/>
      <c r="C487" s="60"/>
      <c r="D487" s="60"/>
      <c r="E487" s="60"/>
      <c r="F487" s="60"/>
      <c r="G487" s="60"/>
      <c r="H487" s="65" t="s">
        <v>118</v>
      </c>
      <c r="I487" s="21" t="s">
        <v>594</v>
      </c>
      <c r="J487" s="26">
        <f>+COUNTIF('ID1&amp;5'!G:G,'1. Status'!I487)</f>
        <v>0</v>
      </c>
      <c r="K487" s="79" t="str">
        <f>+IFERROR(VLOOKUP(CONCATENATE(A487,$B$10,B487),'ID1&amp;5'!B:J,8,FALSE),"-")</f>
        <v>-</v>
      </c>
      <c r="L487" s="78" t="str">
        <f>+IFERROR(VLOOKUP(B487,'ID1&amp;5'!K:L,2,FALSE),"-")</f>
        <v>-</v>
      </c>
      <c r="M487" s="79" t="str">
        <f>+IFERROR(VLOOKUP(CONCATENATE(A487,$B$10,B487),'ID1&amp;5'!B:J,9,FALSE),"-")</f>
        <v>-</v>
      </c>
      <c r="N487" s="79" t="str">
        <f>+IFERROR(VLOOKUP(CONCATENATE(A487,$C$10,C487),'ID1&amp;5'!B:J,8,FALSE),"-")</f>
        <v>-</v>
      </c>
      <c r="O487" s="78" t="str">
        <f>+IFERROR(VLOOKUP(C487,'ID1&amp;5'!K:L,2,FALSE),"-")</f>
        <v>-</v>
      </c>
      <c r="P487" s="79" t="str">
        <f>+IFERROR(VLOOKUP(CONCATENATE(A487,$C$10,C487),'ID1&amp;5'!B:J,9,FALSE),"-")</f>
        <v>-</v>
      </c>
      <c r="Q487" s="78" t="str">
        <f>+IFERROR(VLOOKUP(D487,'ID1&amp;5'!K:L,2,FALSE),"-")</f>
        <v>-</v>
      </c>
      <c r="R487" s="26" t="str">
        <f>+IFERROR(VLOOKUP(CONCATENATE(A487,$D$10,D487),'ID1&amp;5'!B:J,9,FALSE),"-")</f>
        <v>-</v>
      </c>
      <c r="S487" s="78" t="str">
        <f>+IFERROR(VLOOKUP(E487,'ID1&amp;5'!K:L,2,FALSE),"-")</f>
        <v>-</v>
      </c>
      <c r="T487" s="79" t="str">
        <f>+IFERROR(VLOOKUP(CONCATENATE(A487,$E$10,E487),'ID1&amp;5'!B:J,9,FALSE),"-")</f>
        <v>-</v>
      </c>
      <c r="U487" s="78" t="str">
        <f>+IFERROR(VLOOKUP(F487,'ID1&amp;5'!K:L,2,FALSE),"-")</f>
        <v>-</v>
      </c>
      <c r="V487" s="79" t="str">
        <f>+IFERROR(VLOOKUP(CONCATENATE(A487,$F$10,F487),'ID1&amp;5'!B:J,9,FALSE),"-")</f>
        <v>-</v>
      </c>
      <c r="W487" s="26" t="str">
        <f>+IFERROR(VLOOKUP(A487,'ID6&amp;7'!A:I,9,FALSE),"-")</f>
        <v>-</v>
      </c>
      <c r="X487" s="26" t="str">
        <f>+IFERROR(VLOOKUP(A487,'ID6&amp;7'!A:J,10,FALSE),"-")</f>
        <v>-</v>
      </c>
      <c r="Y487" s="26"/>
      <c r="Z487" s="27" t="str">
        <f t="shared" si="8"/>
        <v>Por iniciar</v>
      </c>
      <c r="AA487" s="65"/>
    </row>
    <row r="488" spans="1:27">
      <c r="A488" s="20"/>
      <c r="B488" s="60"/>
      <c r="C488" s="60"/>
      <c r="D488" s="60"/>
      <c r="E488" s="60"/>
      <c r="F488" s="60"/>
      <c r="G488" s="60"/>
      <c r="H488" s="65" t="s">
        <v>118</v>
      </c>
      <c r="I488" s="21" t="s">
        <v>595</v>
      </c>
      <c r="J488" s="26">
        <f>+COUNTIF('ID1&amp;5'!G:G,'1. Status'!I488)</f>
        <v>0</v>
      </c>
      <c r="K488" s="79" t="str">
        <f>+IFERROR(VLOOKUP(CONCATENATE(A488,$B$10,B488),'ID1&amp;5'!B:J,8,FALSE),"-")</f>
        <v>-</v>
      </c>
      <c r="L488" s="78" t="str">
        <f>+IFERROR(VLOOKUP(B488,'ID1&amp;5'!K:L,2,FALSE),"-")</f>
        <v>-</v>
      </c>
      <c r="M488" s="79" t="str">
        <f>+IFERROR(VLOOKUP(CONCATENATE(A488,$B$10,B488),'ID1&amp;5'!B:J,9,FALSE),"-")</f>
        <v>-</v>
      </c>
      <c r="N488" s="79" t="str">
        <f>+IFERROR(VLOOKUP(CONCATENATE(A488,$C$10,C488),'ID1&amp;5'!B:J,8,FALSE),"-")</f>
        <v>-</v>
      </c>
      <c r="O488" s="78" t="str">
        <f>+IFERROR(VLOOKUP(C488,'ID1&amp;5'!K:L,2,FALSE),"-")</f>
        <v>-</v>
      </c>
      <c r="P488" s="79" t="str">
        <f>+IFERROR(VLOOKUP(CONCATENATE(A488,$C$10,C488),'ID1&amp;5'!B:J,9,FALSE),"-")</f>
        <v>-</v>
      </c>
      <c r="Q488" s="78" t="str">
        <f>+IFERROR(VLOOKUP(D488,'ID1&amp;5'!K:L,2,FALSE),"-")</f>
        <v>-</v>
      </c>
      <c r="R488" s="26" t="str">
        <f>+IFERROR(VLOOKUP(CONCATENATE(A488,$D$10,D488),'ID1&amp;5'!B:J,9,FALSE),"-")</f>
        <v>-</v>
      </c>
      <c r="S488" s="78" t="str">
        <f>+IFERROR(VLOOKUP(E488,'ID1&amp;5'!K:L,2,FALSE),"-")</f>
        <v>-</v>
      </c>
      <c r="T488" s="79" t="str">
        <f>+IFERROR(VLOOKUP(CONCATENATE(A488,$E$10,E488),'ID1&amp;5'!B:J,9,FALSE),"-")</f>
        <v>-</v>
      </c>
      <c r="U488" s="78" t="str">
        <f>+IFERROR(VLOOKUP(F488,'ID1&amp;5'!K:L,2,FALSE),"-")</f>
        <v>-</v>
      </c>
      <c r="V488" s="79" t="str">
        <f>+IFERROR(VLOOKUP(CONCATENATE(A488,$F$10,F488),'ID1&amp;5'!B:J,9,FALSE),"-")</f>
        <v>-</v>
      </c>
      <c r="W488" s="26" t="str">
        <f>+IFERROR(VLOOKUP(A488,'ID6&amp;7'!A:I,9,FALSE),"-")</f>
        <v>-</v>
      </c>
      <c r="X488" s="26" t="str">
        <f>+IFERROR(VLOOKUP(A488,'ID6&amp;7'!A:J,10,FALSE),"-")</f>
        <v>-</v>
      </c>
      <c r="Y488" s="26"/>
      <c r="Z488" s="27" t="str">
        <f t="shared" si="8"/>
        <v>Por iniciar</v>
      </c>
      <c r="AA488" s="65"/>
    </row>
    <row r="489" spans="1:27">
      <c r="A489" s="20"/>
      <c r="B489" s="60"/>
      <c r="C489" s="60"/>
      <c r="D489" s="60"/>
      <c r="E489" s="60"/>
      <c r="F489" s="60"/>
      <c r="G489" s="60"/>
      <c r="H489" s="65" t="s">
        <v>118</v>
      </c>
      <c r="I489" s="21" t="s">
        <v>596</v>
      </c>
      <c r="J489" s="26">
        <f>+COUNTIF('ID1&amp;5'!G:G,'1. Status'!I489)</f>
        <v>0</v>
      </c>
      <c r="K489" s="79" t="str">
        <f>+IFERROR(VLOOKUP(CONCATENATE(A489,$B$10,B489),'ID1&amp;5'!B:J,8,FALSE),"-")</f>
        <v>-</v>
      </c>
      <c r="L489" s="78" t="str">
        <f>+IFERROR(VLOOKUP(B489,'ID1&amp;5'!K:L,2,FALSE),"-")</f>
        <v>-</v>
      </c>
      <c r="M489" s="79" t="str">
        <f>+IFERROR(VLOOKUP(CONCATENATE(A489,$B$10,B489),'ID1&amp;5'!B:J,9,FALSE),"-")</f>
        <v>-</v>
      </c>
      <c r="N489" s="79" t="str">
        <f>+IFERROR(VLOOKUP(CONCATENATE(A489,$C$10,C489),'ID1&amp;5'!B:J,8,FALSE),"-")</f>
        <v>-</v>
      </c>
      <c r="O489" s="78" t="str">
        <f>+IFERROR(VLOOKUP(C489,'ID1&amp;5'!K:L,2,FALSE),"-")</f>
        <v>-</v>
      </c>
      <c r="P489" s="79" t="str">
        <f>+IFERROR(VLOOKUP(CONCATENATE(A489,$C$10,C489),'ID1&amp;5'!B:J,9,FALSE),"-")</f>
        <v>-</v>
      </c>
      <c r="Q489" s="78" t="str">
        <f>+IFERROR(VLOOKUP(D489,'ID1&amp;5'!K:L,2,FALSE),"-")</f>
        <v>-</v>
      </c>
      <c r="R489" s="26" t="str">
        <f>+IFERROR(VLOOKUP(CONCATENATE(A489,$D$10,D489),'ID1&amp;5'!B:J,9,FALSE),"-")</f>
        <v>-</v>
      </c>
      <c r="S489" s="78" t="str">
        <f>+IFERROR(VLOOKUP(E489,'ID1&amp;5'!K:L,2,FALSE),"-")</f>
        <v>-</v>
      </c>
      <c r="T489" s="79" t="str">
        <f>+IFERROR(VLOOKUP(CONCATENATE(A489,$E$10,E489),'ID1&amp;5'!B:J,9,FALSE),"-")</f>
        <v>-</v>
      </c>
      <c r="U489" s="78" t="str">
        <f>+IFERROR(VLOOKUP(F489,'ID1&amp;5'!K:L,2,FALSE),"-")</f>
        <v>-</v>
      </c>
      <c r="V489" s="79" t="str">
        <f>+IFERROR(VLOOKUP(CONCATENATE(A489,$F$10,F489),'ID1&amp;5'!B:J,9,FALSE),"-")</f>
        <v>-</v>
      </c>
      <c r="W489" s="26" t="str">
        <f>+IFERROR(VLOOKUP(A489,'ID6&amp;7'!A:I,9,FALSE),"-")</f>
        <v>-</v>
      </c>
      <c r="X489" s="26" t="str">
        <f>+IFERROR(VLOOKUP(A489,'ID6&amp;7'!A:J,10,FALSE),"-")</f>
        <v>-</v>
      </c>
      <c r="Y489" s="26"/>
      <c r="Z489" s="27" t="str">
        <f t="shared" si="8"/>
        <v>Por iniciar</v>
      </c>
      <c r="AA489" s="65"/>
    </row>
    <row r="490" spans="1:27">
      <c r="A490" s="20"/>
      <c r="B490" s="60"/>
      <c r="C490" s="60"/>
      <c r="D490" s="60"/>
      <c r="E490" s="60"/>
      <c r="F490" s="60"/>
      <c r="G490" s="60"/>
      <c r="H490" s="65" t="s">
        <v>118</v>
      </c>
      <c r="I490" s="21" t="s">
        <v>597</v>
      </c>
      <c r="J490" s="26">
        <f>+COUNTIF('ID1&amp;5'!G:G,'1. Status'!I490)</f>
        <v>0</v>
      </c>
      <c r="K490" s="79" t="str">
        <f>+IFERROR(VLOOKUP(CONCATENATE(A490,$B$10,B490),'ID1&amp;5'!B:J,8,FALSE),"-")</f>
        <v>-</v>
      </c>
      <c r="L490" s="78" t="str">
        <f>+IFERROR(VLOOKUP(B490,'ID1&amp;5'!K:L,2,FALSE),"-")</f>
        <v>-</v>
      </c>
      <c r="M490" s="79" t="str">
        <f>+IFERROR(VLOOKUP(CONCATENATE(A490,$B$10,B490),'ID1&amp;5'!B:J,9,FALSE),"-")</f>
        <v>-</v>
      </c>
      <c r="N490" s="79" t="str">
        <f>+IFERROR(VLOOKUP(CONCATENATE(A490,$C$10,C490),'ID1&amp;5'!B:J,8,FALSE),"-")</f>
        <v>-</v>
      </c>
      <c r="O490" s="78" t="str">
        <f>+IFERROR(VLOOKUP(C490,'ID1&amp;5'!K:L,2,FALSE),"-")</f>
        <v>-</v>
      </c>
      <c r="P490" s="79" t="str">
        <f>+IFERROR(VLOOKUP(CONCATENATE(A490,$C$10,C490),'ID1&amp;5'!B:J,9,FALSE),"-")</f>
        <v>-</v>
      </c>
      <c r="Q490" s="78" t="str">
        <f>+IFERROR(VLOOKUP(D490,'ID1&amp;5'!K:L,2,FALSE),"-")</f>
        <v>-</v>
      </c>
      <c r="R490" s="26" t="str">
        <f>+IFERROR(VLOOKUP(CONCATENATE(A490,$D$10,D490),'ID1&amp;5'!B:J,9,FALSE),"-")</f>
        <v>-</v>
      </c>
      <c r="S490" s="78" t="str">
        <f>+IFERROR(VLOOKUP(E490,'ID1&amp;5'!K:L,2,FALSE),"-")</f>
        <v>-</v>
      </c>
      <c r="T490" s="79" t="str">
        <f>+IFERROR(VLOOKUP(CONCATENATE(A490,$E$10,E490),'ID1&amp;5'!B:J,9,FALSE),"-")</f>
        <v>-</v>
      </c>
      <c r="U490" s="78" t="str">
        <f>+IFERROR(VLOOKUP(F490,'ID1&amp;5'!K:L,2,FALSE),"-")</f>
        <v>-</v>
      </c>
      <c r="V490" s="79" t="str">
        <f>+IFERROR(VLOOKUP(CONCATENATE(A490,$F$10,F490),'ID1&amp;5'!B:J,9,FALSE),"-")</f>
        <v>-</v>
      </c>
      <c r="W490" s="26" t="str">
        <f>+IFERROR(VLOOKUP(A490,'ID6&amp;7'!A:I,9,FALSE),"-")</f>
        <v>-</v>
      </c>
      <c r="X490" s="26" t="str">
        <f>+IFERROR(VLOOKUP(A490,'ID6&amp;7'!A:J,10,FALSE),"-")</f>
        <v>-</v>
      </c>
      <c r="Y490" s="26"/>
      <c r="Z490" s="27" t="str">
        <f t="shared" si="8"/>
        <v>Por iniciar</v>
      </c>
      <c r="AA490" s="65"/>
    </row>
    <row r="491" spans="1:27">
      <c r="A491" s="20"/>
      <c r="B491" s="60"/>
      <c r="C491" s="60"/>
      <c r="D491" s="60"/>
      <c r="E491" s="60"/>
      <c r="F491" s="60"/>
      <c r="G491" s="60"/>
      <c r="H491" s="65" t="s">
        <v>118</v>
      </c>
      <c r="I491" s="21" t="s">
        <v>598</v>
      </c>
      <c r="J491" s="26">
        <f>+COUNTIF('ID1&amp;5'!G:G,'1. Status'!I491)</f>
        <v>0</v>
      </c>
      <c r="K491" s="79" t="str">
        <f>+IFERROR(VLOOKUP(CONCATENATE(A491,$B$10,B491),'ID1&amp;5'!B:J,8,FALSE),"-")</f>
        <v>-</v>
      </c>
      <c r="L491" s="78" t="str">
        <f>+IFERROR(VLOOKUP(B491,'ID1&amp;5'!K:L,2,FALSE),"-")</f>
        <v>-</v>
      </c>
      <c r="M491" s="79" t="str">
        <f>+IFERROR(VLOOKUP(CONCATENATE(A491,$B$10,B491),'ID1&amp;5'!B:J,9,FALSE),"-")</f>
        <v>-</v>
      </c>
      <c r="N491" s="79" t="str">
        <f>+IFERROR(VLOOKUP(CONCATENATE(A491,$C$10,C491),'ID1&amp;5'!B:J,8,FALSE),"-")</f>
        <v>-</v>
      </c>
      <c r="O491" s="78" t="str">
        <f>+IFERROR(VLOOKUP(C491,'ID1&amp;5'!K:L,2,FALSE),"-")</f>
        <v>-</v>
      </c>
      <c r="P491" s="79" t="str">
        <f>+IFERROR(VLOOKUP(CONCATENATE(A491,$C$10,C491),'ID1&amp;5'!B:J,9,FALSE),"-")</f>
        <v>-</v>
      </c>
      <c r="Q491" s="78" t="str">
        <f>+IFERROR(VLOOKUP(D491,'ID1&amp;5'!K:L,2,FALSE),"-")</f>
        <v>-</v>
      </c>
      <c r="R491" s="26" t="str">
        <f>+IFERROR(VLOOKUP(CONCATENATE(A491,$D$10,D491),'ID1&amp;5'!B:J,9,FALSE),"-")</f>
        <v>-</v>
      </c>
      <c r="S491" s="78" t="str">
        <f>+IFERROR(VLOOKUP(E491,'ID1&amp;5'!K:L,2,FALSE),"-")</f>
        <v>-</v>
      </c>
      <c r="T491" s="79" t="str">
        <f>+IFERROR(VLOOKUP(CONCATENATE(A491,$E$10,E491),'ID1&amp;5'!B:J,9,FALSE),"-")</f>
        <v>-</v>
      </c>
      <c r="U491" s="78" t="str">
        <f>+IFERROR(VLOOKUP(F491,'ID1&amp;5'!K:L,2,FALSE),"-")</f>
        <v>-</v>
      </c>
      <c r="V491" s="79" t="str">
        <f>+IFERROR(VLOOKUP(CONCATENATE(A491,$F$10,F491),'ID1&amp;5'!B:J,9,FALSE),"-")</f>
        <v>-</v>
      </c>
      <c r="W491" s="26" t="str">
        <f>+IFERROR(VLOOKUP(A491,'ID6&amp;7'!A:I,9,FALSE),"-")</f>
        <v>-</v>
      </c>
      <c r="X491" s="26" t="str">
        <f>+IFERROR(VLOOKUP(A491,'ID6&amp;7'!A:J,10,FALSE),"-")</f>
        <v>-</v>
      </c>
      <c r="Y491" s="26"/>
      <c r="Z491" s="27" t="str">
        <f t="shared" si="8"/>
        <v>Por iniciar</v>
      </c>
      <c r="AA491" s="65"/>
    </row>
    <row r="492" spans="1:27">
      <c r="A492" s="20"/>
      <c r="B492" s="60"/>
      <c r="C492" s="60"/>
      <c r="D492" s="60"/>
      <c r="E492" s="60"/>
      <c r="F492" s="60"/>
      <c r="G492" s="60"/>
      <c r="H492" s="65" t="s">
        <v>118</v>
      </c>
      <c r="I492" s="21" t="s">
        <v>599</v>
      </c>
      <c r="J492" s="26">
        <f>+COUNTIF('ID1&amp;5'!G:G,'1. Status'!I492)</f>
        <v>0</v>
      </c>
      <c r="K492" s="79" t="str">
        <f>+IFERROR(VLOOKUP(CONCATENATE(A492,$B$10,B492),'ID1&amp;5'!B:J,8,FALSE),"-")</f>
        <v>-</v>
      </c>
      <c r="L492" s="78" t="str">
        <f>+IFERROR(VLOOKUP(B492,'ID1&amp;5'!K:L,2,FALSE),"-")</f>
        <v>-</v>
      </c>
      <c r="M492" s="79" t="str">
        <f>+IFERROR(VLOOKUP(CONCATENATE(A492,$B$10,B492),'ID1&amp;5'!B:J,9,FALSE),"-")</f>
        <v>-</v>
      </c>
      <c r="N492" s="79" t="str">
        <f>+IFERROR(VLOOKUP(CONCATENATE(A492,$C$10,C492),'ID1&amp;5'!B:J,8,FALSE),"-")</f>
        <v>-</v>
      </c>
      <c r="O492" s="78" t="str">
        <f>+IFERROR(VLOOKUP(C492,'ID1&amp;5'!K:L,2,FALSE),"-")</f>
        <v>-</v>
      </c>
      <c r="P492" s="79" t="str">
        <f>+IFERROR(VLOOKUP(CONCATENATE(A492,$C$10,C492),'ID1&amp;5'!B:J,9,FALSE),"-")</f>
        <v>-</v>
      </c>
      <c r="Q492" s="78" t="str">
        <f>+IFERROR(VLOOKUP(D492,'ID1&amp;5'!K:L,2,FALSE),"-")</f>
        <v>-</v>
      </c>
      <c r="R492" s="26" t="str">
        <f>+IFERROR(VLOOKUP(CONCATENATE(A492,$D$10,D492),'ID1&amp;5'!B:J,9,FALSE),"-")</f>
        <v>-</v>
      </c>
      <c r="S492" s="78" t="str">
        <f>+IFERROR(VLOOKUP(E492,'ID1&amp;5'!K:L,2,FALSE),"-")</f>
        <v>-</v>
      </c>
      <c r="T492" s="79" t="str">
        <f>+IFERROR(VLOOKUP(CONCATENATE(A492,$E$10,E492),'ID1&amp;5'!B:J,9,FALSE),"-")</f>
        <v>-</v>
      </c>
      <c r="U492" s="78" t="str">
        <f>+IFERROR(VLOOKUP(F492,'ID1&amp;5'!K:L,2,FALSE),"-")</f>
        <v>-</v>
      </c>
      <c r="V492" s="79" t="str">
        <f>+IFERROR(VLOOKUP(CONCATENATE(A492,$F$10,F492),'ID1&amp;5'!B:J,9,FALSE),"-")</f>
        <v>-</v>
      </c>
      <c r="W492" s="26" t="str">
        <f>+IFERROR(VLOOKUP(A492,'ID6&amp;7'!A:I,9,FALSE),"-")</f>
        <v>-</v>
      </c>
      <c r="X492" s="26" t="str">
        <f>+IFERROR(VLOOKUP(A492,'ID6&amp;7'!A:J,10,FALSE),"-")</f>
        <v>-</v>
      </c>
      <c r="Y492" s="26"/>
      <c r="Z492" s="27" t="str">
        <f t="shared" si="8"/>
        <v>Por iniciar</v>
      </c>
      <c r="AA492" s="65"/>
    </row>
    <row r="493" spans="1:27">
      <c r="A493" s="20"/>
      <c r="B493" s="60"/>
      <c r="C493" s="60"/>
      <c r="D493" s="60"/>
      <c r="E493" s="60"/>
      <c r="F493" s="60"/>
      <c r="G493" s="60"/>
      <c r="H493" s="65" t="s">
        <v>118</v>
      </c>
      <c r="I493" s="21" t="s">
        <v>600</v>
      </c>
      <c r="J493" s="26">
        <f>+COUNTIF('ID1&amp;5'!G:G,'1. Status'!I493)</f>
        <v>0</v>
      </c>
      <c r="K493" s="79" t="str">
        <f>+IFERROR(VLOOKUP(CONCATENATE(A493,$B$10,B493),'ID1&amp;5'!B:J,8,FALSE),"-")</f>
        <v>-</v>
      </c>
      <c r="L493" s="78" t="str">
        <f>+IFERROR(VLOOKUP(B493,'ID1&amp;5'!K:L,2,FALSE),"-")</f>
        <v>-</v>
      </c>
      <c r="M493" s="79" t="str">
        <f>+IFERROR(VLOOKUP(CONCATENATE(A493,$B$10,B493),'ID1&amp;5'!B:J,9,FALSE),"-")</f>
        <v>-</v>
      </c>
      <c r="N493" s="79" t="str">
        <f>+IFERROR(VLOOKUP(CONCATENATE(A493,$C$10,C493),'ID1&amp;5'!B:J,8,FALSE),"-")</f>
        <v>-</v>
      </c>
      <c r="O493" s="78" t="str">
        <f>+IFERROR(VLOOKUP(C493,'ID1&amp;5'!K:L,2,FALSE),"-")</f>
        <v>-</v>
      </c>
      <c r="P493" s="79" t="str">
        <f>+IFERROR(VLOOKUP(CONCATENATE(A493,$C$10,C493),'ID1&amp;5'!B:J,9,FALSE),"-")</f>
        <v>-</v>
      </c>
      <c r="Q493" s="78" t="str">
        <f>+IFERROR(VLOOKUP(D493,'ID1&amp;5'!K:L,2,FALSE),"-")</f>
        <v>-</v>
      </c>
      <c r="R493" s="26" t="str">
        <f>+IFERROR(VLOOKUP(CONCATENATE(A493,$D$10,D493),'ID1&amp;5'!B:J,9,FALSE),"-")</f>
        <v>-</v>
      </c>
      <c r="S493" s="78" t="str">
        <f>+IFERROR(VLOOKUP(E493,'ID1&amp;5'!K:L,2,FALSE),"-")</f>
        <v>-</v>
      </c>
      <c r="T493" s="79" t="str">
        <f>+IFERROR(VLOOKUP(CONCATENATE(A493,$E$10,E493),'ID1&amp;5'!B:J,9,FALSE),"-")</f>
        <v>-</v>
      </c>
      <c r="U493" s="78" t="str">
        <f>+IFERROR(VLOOKUP(F493,'ID1&amp;5'!K:L,2,FALSE),"-")</f>
        <v>-</v>
      </c>
      <c r="V493" s="79" t="str">
        <f>+IFERROR(VLOOKUP(CONCATENATE(A493,$F$10,F493),'ID1&amp;5'!B:J,9,FALSE),"-")</f>
        <v>-</v>
      </c>
      <c r="W493" s="26" t="str">
        <f>+IFERROR(VLOOKUP(A493,'ID6&amp;7'!A:I,9,FALSE),"-")</f>
        <v>-</v>
      </c>
      <c r="X493" s="26" t="str">
        <f>+IFERROR(VLOOKUP(A493,'ID6&amp;7'!A:J,10,FALSE),"-")</f>
        <v>-</v>
      </c>
      <c r="Y493" s="26"/>
      <c r="Z493" s="27" t="str">
        <f t="shared" si="8"/>
        <v>Por iniciar</v>
      </c>
      <c r="AA493" s="65"/>
    </row>
    <row r="494" spans="1:27">
      <c r="A494" s="20"/>
      <c r="B494" s="60"/>
      <c r="C494" s="60"/>
      <c r="D494" s="60"/>
      <c r="E494" s="60"/>
      <c r="F494" s="60"/>
      <c r="G494" s="60"/>
      <c r="H494" s="65" t="s">
        <v>118</v>
      </c>
      <c r="I494" s="21" t="s">
        <v>601</v>
      </c>
      <c r="J494" s="26">
        <f>+COUNTIF('ID1&amp;5'!G:G,'1. Status'!I494)</f>
        <v>0</v>
      </c>
      <c r="K494" s="79" t="str">
        <f>+IFERROR(VLOOKUP(CONCATENATE(A494,$B$10,B494),'ID1&amp;5'!B:J,8,FALSE),"-")</f>
        <v>-</v>
      </c>
      <c r="L494" s="78" t="str">
        <f>+IFERROR(VLOOKUP(B494,'ID1&amp;5'!K:L,2,FALSE),"-")</f>
        <v>-</v>
      </c>
      <c r="M494" s="79" t="str">
        <f>+IFERROR(VLOOKUP(CONCATENATE(A494,$B$10,B494),'ID1&amp;5'!B:J,9,FALSE),"-")</f>
        <v>-</v>
      </c>
      <c r="N494" s="79" t="str">
        <f>+IFERROR(VLOOKUP(CONCATENATE(A494,$C$10,C494),'ID1&amp;5'!B:J,8,FALSE),"-")</f>
        <v>-</v>
      </c>
      <c r="O494" s="78" t="str">
        <f>+IFERROR(VLOOKUP(C494,'ID1&amp;5'!K:L,2,FALSE),"-")</f>
        <v>-</v>
      </c>
      <c r="P494" s="79" t="str">
        <f>+IFERROR(VLOOKUP(CONCATENATE(A494,$C$10,C494),'ID1&amp;5'!B:J,9,FALSE),"-")</f>
        <v>-</v>
      </c>
      <c r="Q494" s="78" t="str">
        <f>+IFERROR(VLOOKUP(D494,'ID1&amp;5'!K:L,2,FALSE),"-")</f>
        <v>-</v>
      </c>
      <c r="R494" s="26" t="str">
        <f>+IFERROR(VLOOKUP(CONCATENATE(A494,$D$10,D494),'ID1&amp;5'!B:J,9,FALSE),"-")</f>
        <v>-</v>
      </c>
      <c r="S494" s="78" t="str">
        <f>+IFERROR(VLOOKUP(E494,'ID1&amp;5'!K:L,2,FALSE),"-")</f>
        <v>-</v>
      </c>
      <c r="T494" s="79" t="str">
        <f>+IFERROR(VLOOKUP(CONCATENATE(A494,$E$10,E494),'ID1&amp;5'!B:J,9,FALSE),"-")</f>
        <v>-</v>
      </c>
      <c r="U494" s="78" t="str">
        <f>+IFERROR(VLOOKUP(F494,'ID1&amp;5'!K:L,2,FALSE),"-")</f>
        <v>-</v>
      </c>
      <c r="V494" s="79" t="str">
        <f>+IFERROR(VLOOKUP(CONCATENATE(A494,$F$10,F494),'ID1&amp;5'!B:J,9,FALSE),"-")</f>
        <v>-</v>
      </c>
      <c r="W494" s="26" t="str">
        <f>+IFERROR(VLOOKUP(A494,'ID6&amp;7'!A:I,9,FALSE),"-")</f>
        <v>-</v>
      </c>
      <c r="X494" s="26" t="str">
        <f>+IFERROR(VLOOKUP(A494,'ID6&amp;7'!A:J,10,FALSE),"-")</f>
        <v>-</v>
      </c>
      <c r="Y494" s="26"/>
      <c r="Z494" s="27" t="str">
        <f t="shared" si="8"/>
        <v>Por iniciar</v>
      </c>
      <c r="AA494" s="65"/>
    </row>
    <row r="495" spans="1:27">
      <c r="A495" s="20"/>
      <c r="B495" s="60"/>
      <c r="C495" s="60"/>
      <c r="D495" s="60"/>
      <c r="E495" s="60"/>
      <c r="F495" s="60"/>
      <c r="G495" s="60"/>
      <c r="H495" s="65" t="s">
        <v>118</v>
      </c>
      <c r="I495" s="21" t="s">
        <v>602</v>
      </c>
      <c r="J495" s="26">
        <f>+COUNTIF('ID1&amp;5'!G:G,'1. Status'!I495)</f>
        <v>0</v>
      </c>
      <c r="K495" s="79" t="str">
        <f>+IFERROR(VLOOKUP(CONCATENATE(A495,$B$10,B495),'ID1&amp;5'!B:J,8,FALSE),"-")</f>
        <v>-</v>
      </c>
      <c r="L495" s="78" t="str">
        <f>+IFERROR(VLOOKUP(B495,'ID1&amp;5'!K:L,2,FALSE),"-")</f>
        <v>-</v>
      </c>
      <c r="M495" s="79" t="str">
        <f>+IFERROR(VLOOKUP(CONCATENATE(A495,$B$10,B495),'ID1&amp;5'!B:J,9,FALSE),"-")</f>
        <v>-</v>
      </c>
      <c r="N495" s="79" t="str">
        <f>+IFERROR(VLOOKUP(CONCATENATE(A495,$C$10,C495),'ID1&amp;5'!B:J,8,FALSE),"-")</f>
        <v>-</v>
      </c>
      <c r="O495" s="78" t="str">
        <f>+IFERROR(VLOOKUP(C495,'ID1&amp;5'!K:L,2,FALSE),"-")</f>
        <v>-</v>
      </c>
      <c r="P495" s="79" t="str">
        <f>+IFERROR(VLOOKUP(CONCATENATE(A495,$C$10,C495),'ID1&amp;5'!B:J,9,FALSE),"-")</f>
        <v>-</v>
      </c>
      <c r="Q495" s="78" t="str">
        <f>+IFERROR(VLOOKUP(D495,'ID1&amp;5'!K:L,2,FALSE),"-")</f>
        <v>-</v>
      </c>
      <c r="R495" s="26" t="str">
        <f>+IFERROR(VLOOKUP(CONCATENATE(A495,$D$10,D495),'ID1&amp;5'!B:J,9,FALSE),"-")</f>
        <v>-</v>
      </c>
      <c r="S495" s="78" t="str">
        <f>+IFERROR(VLOOKUP(E495,'ID1&amp;5'!K:L,2,FALSE),"-")</f>
        <v>-</v>
      </c>
      <c r="T495" s="79" t="str">
        <f>+IFERROR(VLOOKUP(CONCATENATE(A495,$E$10,E495),'ID1&amp;5'!B:J,9,FALSE),"-")</f>
        <v>-</v>
      </c>
      <c r="U495" s="78" t="str">
        <f>+IFERROR(VLOOKUP(F495,'ID1&amp;5'!K:L,2,FALSE),"-")</f>
        <v>-</v>
      </c>
      <c r="V495" s="79" t="str">
        <f>+IFERROR(VLOOKUP(CONCATENATE(A495,$F$10,F495),'ID1&amp;5'!B:J,9,FALSE),"-")</f>
        <v>-</v>
      </c>
      <c r="W495" s="26" t="str">
        <f>+IFERROR(VLOOKUP(A495,'ID6&amp;7'!A:I,9,FALSE),"-")</f>
        <v>-</v>
      </c>
      <c r="X495" s="26" t="str">
        <f>+IFERROR(VLOOKUP(A495,'ID6&amp;7'!A:J,10,FALSE),"-")</f>
        <v>-</v>
      </c>
      <c r="Y495" s="26"/>
      <c r="Z495" s="27" t="str">
        <f t="shared" si="8"/>
        <v>Por iniciar</v>
      </c>
      <c r="AA495" s="65"/>
    </row>
    <row r="496" spans="1:27">
      <c r="A496" s="20"/>
      <c r="B496" s="60"/>
      <c r="C496" s="60"/>
      <c r="D496" s="60"/>
      <c r="E496" s="60"/>
      <c r="F496" s="60"/>
      <c r="G496" s="60"/>
      <c r="H496" s="65" t="s">
        <v>118</v>
      </c>
      <c r="I496" s="21" t="s">
        <v>603</v>
      </c>
      <c r="J496" s="26">
        <f>+COUNTIF('ID1&amp;5'!G:G,'1. Status'!I496)</f>
        <v>0</v>
      </c>
      <c r="K496" s="79" t="str">
        <f>+IFERROR(VLOOKUP(CONCATENATE(A496,$B$10,B496),'ID1&amp;5'!B:J,8,FALSE),"-")</f>
        <v>-</v>
      </c>
      <c r="L496" s="78" t="str">
        <f>+IFERROR(VLOOKUP(B496,'ID1&amp;5'!K:L,2,FALSE),"-")</f>
        <v>-</v>
      </c>
      <c r="M496" s="79" t="str">
        <f>+IFERROR(VLOOKUP(CONCATENATE(A496,$B$10,B496),'ID1&amp;5'!B:J,9,FALSE),"-")</f>
        <v>-</v>
      </c>
      <c r="N496" s="79" t="str">
        <f>+IFERROR(VLOOKUP(CONCATENATE(A496,$C$10,C496),'ID1&amp;5'!B:J,8,FALSE),"-")</f>
        <v>-</v>
      </c>
      <c r="O496" s="78" t="str">
        <f>+IFERROR(VLOOKUP(C496,'ID1&amp;5'!K:L,2,FALSE),"-")</f>
        <v>-</v>
      </c>
      <c r="P496" s="79" t="str">
        <f>+IFERROR(VLOOKUP(CONCATENATE(A496,$C$10,C496),'ID1&amp;5'!B:J,9,FALSE),"-")</f>
        <v>-</v>
      </c>
      <c r="Q496" s="78" t="str">
        <f>+IFERROR(VLOOKUP(D496,'ID1&amp;5'!K:L,2,FALSE),"-")</f>
        <v>-</v>
      </c>
      <c r="R496" s="26" t="str">
        <f>+IFERROR(VLOOKUP(CONCATENATE(A496,$D$10,D496),'ID1&amp;5'!B:J,9,FALSE),"-")</f>
        <v>-</v>
      </c>
      <c r="S496" s="78" t="str">
        <f>+IFERROR(VLOOKUP(E496,'ID1&amp;5'!K:L,2,FALSE),"-")</f>
        <v>-</v>
      </c>
      <c r="T496" s="79" t="str">
        <f>+IFERROR(VLOOKUP(CONCATENATE(A496,$E$10,E496),'ID1&amp;5'!B:J,9,FALSE),"-")</f>
        <v>-</v>
      </c>
      <c r="U496" s="78" t="str">
        <f>+IFERROR(VLOOKUP(F496,'ID1&amp;5'!K:L,2,FALSE),"-")</f>
        <v>-</v>
      </c>
      <c r="V496" s="79" t="str">
        <f>+IFERROR(VLOOKUP(CONCATENATE(A496,$F$10,F496),'ID1&amp;5'!B:J,9,FALSE),"-")</f>
        <v>-</v>
      </c>
      <c r="W496" s="26" t="str">
        <f>+IFERROR(VLOOKUP(A496,'ID6&amp;7'!A:I,9,FALSE),"-")</f>
        <v>-</v>
      </c>
      <c r="X496" s="26" t="str">
        <f>+IFERROR(VLOOKUP(A496,'ID6&amp;7'!A:J,10,FALSE),"-")</f>
        <v>-</v>
      </c>
      <c r="Y496" s="26"/>
      <c r="Z496" s="27" t="str">
        <f t="shared" si="8"/>
        <v>Por iniciar</v>
      </c>
      <c r="AA496" s="65"/>
    </row>
    <row r="497" spans="1:27">
      <c r="A497" s="20"/>
      <c r="B497" s="60"/>
      <c r="C497" s="60"/>
      <c r="D497" s="60"/>
      <c r="E497" s="60"/>
      <c r="F497" s="60"/>
      <c r="G497" s="60"/>
      <c r="H497" s="65" t="s">
        <v>118</v>
      </c>
      <c r="I497" s="21" t="s">
        <v>604</v>
      </c>
      <c r="J497" s="26">
        <f>+COUNTIF('ID1&amp;5'!G:G,'1. Status'!I497)</f>
        <v>0</v>
      </c>
      <c r="K497" s="79" t="str">
        <f>+IFERROR(VLOOKUP(CONCATENATE(A497,$B$10,B497),'ID1&amp;5'!B:J,8,FALSE),"-")</f>
        <v>-</v>
      </c>
      <c r="L497" s="78" t="str">
        <f>+IFERROR(VLOOKUP(B497,'ID1&amp;5'!K:L,2,FALSE),"-")</f>
        <v>-</v>
      </c>
      <c r="M497" s="79" t="str">
        <f>+IFERROR(VLOOKUP(CONCATENATE(A497,$B$10,B497),'ID1&amp;5'!B:J,9,FALSE),"-")</f>
        <v>-</v>
      </c>
      <c r="N497" s="79" t="str">
        <f>+IFERROR(VLOOKUP(CONCATENATE(A497,$C$10,C497),'ID1&amp;5'!B:J,8,FALSE),"-")</f>
        <v>-</v>
      </c>
      <c r="O497" s="78" t="str">
        <f>+IFERROR(VLOOKUP(C497,'ID1&amp;5'!K:L,2,FALSE),"-")</f>
        <v>-</v>
      </c>
      <c r="P497" s="79" t="str">
        <f>+IFERROR(VLOOKUP(CONCATENATE(A497,$C$10,C497),'ID1&amp;5'!B:J,9,FALSE),"-")</f>
        <v>-</v>
      </c>
      <c r="Q497" s="78" t="str">
        <f>+IFERROR(VLOOKUP(D497,'ID1&amp;5'!K:L,2,FALSE),"-")</f>
        <v>-</v>
      </c>
      <c r="R497" s="26" t="str">
        <f>+IFERROR(VLOOKUP(CONCATENATE(A497,$D$10,D497),'ID1&amp;5'!B:J,9,FALSE),"-")</f>
        <v>-</v>
      </c>
      <c r="S497" s="78" t="str">
        <f>+IFERROR(VLOOKUP(E497,'ID1&amp;5'!K:L,2,FALSE),"-")</f>
        <v>-</v>
      </c>
      <c r="T497" s="79" t="str">
        <f>+IFERROR(VLOOKUP(CONCATENATE(A497,$E$10,E497),'ID1&amp;5'!B:J,9,FALSE),"-")</f>
        <v>-</v>
      </c>
      <c r="U497" s="78" t="str">
        <f>+IFERROR(VLOOKUP(F497,'ID1&amp;5'!K:L,2,FALSE),"-")</f>
        <v>-</v>
      </c>
      <c r="V497" s="79" t="str">
        <f>+IFERROR(VLOOKUP(CONCATENATE(A497,$F$10,F497),'ID1&amp;5'!B:J,9,FALSE),"-")</f>
        <v>-</v>
      </c>
      <c r="W497" s="26" t="str">
        <f>+IFERROR(VLOOKUP(A497,'ID6&amp;7'!A:I,9,FALSE),"-")</f>
        <v>-</v>
      </c>
      <c r="X497" s="26" t="str">
        <f>+IFERROR(VLOOKUP(A497,'ID6&amp;7'!A:J,10,FALSE),"-")</f>
        <v>-</v>
      </c>
      <c r="Y497" s="26"/>
      <c r="Z497" s="27" t="str">
        <f t="shared" si="8"/>
        <v>Por iniciar</v>
      </c>
      <c r="AA497" s="65"/>
    </row>
    <row r="498" spans="1:27">
      <c r="A498" s="20"/>
      <c r="B498" s="60"/>
      <c r="C498" s="60"/>
      <c r="D498" s="60"/>
      <c r="E498" s="60"/>
      <c r="F498" s="60"/>
      <c r="G498" s="60"/>
      <c r="H498" s="65" t="s">
        <v>118</v>
      </c>
      <c r="I498" s="21" t="s">
        <v>1485</v>
      </c>
      <c r="J498" s="26">
        <f>+COUNTIF('ID1&amp;5'!G:G,'1. Status'!I498)</f>
        <v>0</v>
      </c>
      <c r="K498" s="79" t="str">
        <f>+IFERROR(VLOOKUP(CONCATENATE(A498,$B$10,B498),'ID1&amp;5'!B:J,8,FALSE),"-")</f>
        <v>-</v>
      </c>
      <c r="L498" s="78" t="str">
        <f>+IFERROR(VLOOKUP(B498,'ID1&amp;5'!K:L,2,FALSE),"-")</f>
        <v>-</v>
      </c>
      <c r="M498" s="79" t="str">
        <f>+IFERROR(VLOOKUP(CONCATENATE(A498,$B$10,B498),'ID1&amp;5'!B:J,9,FALSE),"-")</f>
        <v>-</v>
      </c>
      <c r="N498" s="79" t="str">
        <f>+IFERROR(VLOOKUP(CONCATENATE(A498,$C$10,C498),'ID1&amp;5'!B:J,8,FALSE),"-")</f>
        <v>-</v>
      </c>
      <c r="O498" s="78" t="str">
        <f>+IFERROR(VLOOKUP(C498,'ID1&amp;5'!K:L,2,FALSE),"-")</f>
        <v>-</v>
      </c>
      <c r="P498" s="79" t="str">
        <f>+IFERROR(VLOOKUP(CONCATENATE(A498,$C$10,C498),'ID1&amp;5'!B:J,9,FALSE),"-")</f>
        <v>-</v>
      </c>
      <c r="Q498" s="78" t="str">
        <f>+IFERROR(VLOOKUP(D498,'ID1&amp;5'!K:L,2,FALSE),"-")</f>
        <v>-</v>
      </c>
      <c r="R498" s="26" t="str">
        <f>+IFERROR(VLOOKUP(CONCATENATE(A498,$D$10,D498),'ID1&amp;5'!B:J,9,FALSE),"-")</f>
        <v>-</v>
      </c>
      <c r="S498" s="78" t="str">
        <f>+IFERROR(VLOOKUP(E498,'ID1&amp;5'!K:L,2,FALSE),"-")</f>
        <v>-</v>
      </c>
      <c r="T498" s="79" t="str">
        <f>+IFERROR(VLOOKUP(CONCATENATE(A498,$E$10,E498),'ID1&amp;5'!B:J,9,FALSE),"-")</f>
        <v>-</v>
      </c>
      <c r="U498" s="78" t="str">
        <f>+IFERROR(VLOOKUP(F498,'ID1&amp;5'!K:L,2,FALSE),"-")</f>
        <v>-</v>
      </c>
      <c r="V498" s="79" t="str">
        <f>+IFERROR(VLOOKUP(CONCATENATE(A498,$F$10,F498),'ID1&amp;5'!B:J,9,FALSE),"-")</f>
        <v>-</v>
      </c>
      <c r="W498" s="26" t="str">
        <f>+IFERROR(VLOOKUP(A498,'ID6&amp;7'!A:I,9,FALSE),"-")</f>
        <v>-</v>
      </c>
      <c r="X498" s="26" t="str">
        <f>+IFERROR(VLOOKUP(A498,'ID6&amp;7'!A:J,10,FALSE),"-")</f>
        <v>-</v>
      </c>
      <c r="Y498" s="26"/>
      <c r="Z498" s="27" t="str">
        <f t="shared" si="8"/>
        <v>Por iniciar</v>
      </c>
      <c r="AA498" s="65"/>
    </row>
    <row r="499" spans="1:27">
      <c r="A499" s="20"/>
      <c r="B499" s="60"/>
      <c r="C499" s="60"/>
      <c r="D499" s="60"/>
      <c r="E499" s="60"/>
      <c r="F499" s="60"/>
      <c r="G499" s="60"/>
      <c r="H499" s="65" t="s">
        <v>118</v>
      </c>
      <c r="I499" s="21" t="s">
        <v>606</v>
      </c>
      <c r="J499" s="26">
        <f>+COUNTIF('ID1&amp;5'!G:G,'1. Status'!I499)</f>
        <v>0</v>
      </c>
      <c r="K499" s="79" t="str">
        <f>+IFERROR(VLOOKUP(CONCATENATE(A499,$B$10,B499),'ID1&amp;5'!B:J,8,FALSE),"-")</f>
        <v>-</v>
      </c>
      <c r="L499" s="78" t="str">
        <f>+IFERROR(VLOOKUP(B499,'ID1&amp;5'!K:L,2,FALSE),"-")</f>
        <v>-</v>
      </c>
      <c r="M499" s="79" t="str">
        <f>+IFERROR(VLOOKUP(CONCATENATE(A499,$B$10,B499),'ID1&amp;5'!B:J,9,FALSE),"-")</f>
        <v>-</v>
      </c>
      <c r="N499" s="79" t="str">
        <f>+IFERROR(VLOOKUP(CONCATENATE(A499,$C$10,C499),'ID1&amp;5'!B:J,8,FALSE),"-")</f>
        <v>-</v>
      </c>
      <c r="O499" s="78" t="str">
        <f>+IFERROR(VLOOKUP(C499,'ID1&amp;5'!K:L,2,FALSE),"-")</f>
        <v>-</v>
      </c>
      <c r="P499" s="79" t="str">
        <f>+IFERROR(VLOOKUP(CONCATENATE(A499,$C$10,C499),'ID1&amp;5'!B:J,9,FALSE),"-")</f>
        <v>-</v>
      </c>
      <c r="Q499" s="78" t="str">
        <f>+IFERROR(VLOOKUP(D499,'ID1&amp;5'!K:L,2,FALSE),"-")</f>
        <v>-</v>
      </c>
      <c r="R499" s="26" t="str">
        <f>+IFERROR(VLOOKUP(CONCATENATE(A499,$D$10,D499),'ID1&amp;5'!B:J,9,FALSE),"-")</f>
        <v>-</v>
      </c>
      <c r="S499" s="78" t="str">
        <f>+IFERROR(VLOOKUP(E499,'ID1&amp;5'!K:L,2,FALSE),"-")</f>
        <v>-</v>
      </c>
      <c r="T499" s="79" t="str">
        <f>+IFERROR(VLOOKUP(CONCATENATE(A499,$E$10,E499),'ID1&amp;5'!B:J,9,FALSE),"-")</f>
        <v>-</v>
      </c>
      <c r="U499" s="78" t="str">
        <f>+IFERROR(VLOOKUP(F499,'ID1&amp;5'!K:L,2,FALSE),"-")</f>
        <v>-</v>
      </c>
      <c r="V499" s="79" t="str">
        <f>+IFERROR(VLOOKUP(CONCATENATE(A499,$F$10,F499),'ID1&amp;5'!B:J,9,FALSE),"-")</f>
        <v>-</v>
      </c>
      <c r="W499" s="26" t="str">
        <f>+IFERROR(VLOOKUP(A499,'ID6&amp;7'!A:I,9,FALSE),"-")</f>
        <v>-</v>
      </c>
      <c r="X499" s="26" t="str">
        <f>+IFERROR(VLOOKUP(A499,'ID6&amp;7'!A:J,10,FALSE),"-")</f>
        <v>-</v>
      </c>
      <c r="Y499" s="26"/>
      <c r="Z499" s="27" t="str">
        <f t="shared" si="8"/>
        <v>Por iniciar</v>
      </c>
      <c r="AA499" s="65"/>
    </row>
    <row r="500" spans="1:27">
      <c r="A500" s="20"/>
      <c r="B500" s="60"/>
      <c r="C500" s="60"/>
      <c r="D500" s="60"/>
      <c r="E500" s="60"/>
      <c r="F500" s="60"/>
      <c r="G500" s="60"/>
      <c r="H500" s="65" t="s">
        <v>118</v>
      </c>
      <c r="I500" s="21" t="s">
        <v>607</v>
      </c>
      <c r="J500" s="26">
        <f>+COUNTIF('ID1&amp;5'!G:G,'1. Status'!I500)</f>
        <v>0</v>
      </c>
      <c r="K500" s="79" t="str">
        <f>+IFERROR(VLOOKUP(CONCATENATE(A500,$B$10,B500),'ID1&amp;5'!B:J,8,FALSE),"-")</f>
        <v>-</v>
      </c>
      <c r="L500" s="78" t="str">
        <f>+IFERROR(VLOOKUP(B500,'ID1&amp;5'!K:L,2,FALSE),"-")</f>
        <v>-</v>
      </c>
      <c r="M500" s="79" t="str">
        <f>+IFERROR(VLOOKUP(CONCATENATE(A500,$B$10,B500),'ID1&amp;5'!B:J,9,FALSE),"-")</f>
        <v>-</v>
      </c>
      <c r="N500" s="79" t="str">
        <f>+IFERROR(VLOOKUP(CONCATENATE(A500,$C$10,C500),'ID1&amp;5'!B:J,8,FALSE),"-")</f>
        <v>-</v>
      </c>
      <c r="O500" s="78" t="str">
        <f>+IFERROR(VLOOKUP(C500,'ID1&amp;5'!K:L,2,FALSE),"-")</f>
        <v>-</v>
      </c>
      <c r="P500" s="79" t="str">
        <f>+IFERROR(VLOOKUP(CONCATENATE(A500,$C$10,C500),'ID1&amp;5'!B:J,9,FALSE),"-")</f>
        <v>-</v>
      </c>
      <c r="Q500" s="78" t="str">
        <f>+IFERROR(VLOOKUP(D500,'ID1&amp;5'!K:L,2,FALSE),"-")</f>
        <v>-</v>
      </c>
      <c r="R500" s="26" t="str">
        <f>+IFERROR(VLOOKUP(CONCATENATE(A500,$D$10,D500),'ID1&amp;5'!B:J,9,FALSE),"-")</f>
        <v>-</v>
      </c>
      <c r="S500" s="78" t="str">
        <f>+IFERROR(VLOOKUP(E500,'ID1&amp;5'!K:L,2,FALSE),"-")</f>
        <v>-</v>
      </c>
      <c r="T500" s="79" t="str">
        <f>+IFERROR(VLOOKUP(CONCATENATE(A500,$E$10,E500),'ID1&amp;5'!B:J,9,FALSE),"-")</f>
        <v>-</v>
      </c>
      <c r="U500" s="78" t="str">
        <f>+IFERROR(VLOOKUP(F500,'ID1&amp;5'!K:L,2,FALSE),"-")</f>
        <v>-</v>
      </c>
      <c r="V500" s="79" t="str">
        <f>+IFERROR(VLOOKUP(CONCATENATE(A500,$F$10,F500),'ID1&amp;5'!B:J,9,FALSE),"-")</f>
        <v>-</v>
      </c>
      <c r="W500" s="26" t="str">
        <f>+IFERROR(VLOOKUP(A500,'ID6&amp;7'!A:I,9,FALSE),"-")</f>
        <v>-</v>
      </c>
      <c r="X500" s="26" t="str">
        <f>+IFERROR(VLOOKUP(A500,'ID6&amp;7'!A:J,10,FALSE),"-")</f>
        <v>-</v>
      </c>
      <c r="Y500" s="26"/>
      <c r="Z500" s="27" t="str">
        <f t="shared" si="8"/>
        <v>Por iniciar</v>
      </c>
      <c r="AA500" s="65"/>
    </row>
    <row r="501" spans="1:27">
      <c r="A501" s="20"/>
      <c r="B501" s="60"/>
      <c r="C501" s="60"/>
      <c r="D501" s="60"/>
      <c r="E501" s="60"/>
      <c r="F501" s="60"/>
      <c r="G501" s="60"/>
      <c r="H501" s="65" t="s">
        <v>118</v>
      </c>
      <c r="I501" s="21" t="s">
        <v>608</v>
      </c>
      <c r="J501" s="26">
        <f>+COUNTIF('ID1&amp;5'!G:G,'1. Status'!I501)</f>
        <v>0</v>
      </c>
      <c r="K501" s="79" t="str">
        <f>+IFERROR(VLOOKUP(CONCATENATE(A501,$B$10,B501),'ID1&amp;5'!B:J,8,FALSE),"-")</f>
        <v>-</v>
      </c>
      <c r="L501" s="78" t="str">
        <f>+IFERROR(VLOOKUP(B501,'ID1&amp;5'!K:L,2,FALSE),"-")</f>
        <v>-</v>
      </c>
      <c r="M501" s="79" t="str">
        <f>+IFERROR(VLOOKUP(CONCATENATE(A501,$B$10,B501),'ID1&amp;5'!B:J,9,FALSE),"-")</f>
        <v>-</v>
      </c>
      <c r="N501" s="79" t="str">
        <f>+IFERROR(VLOOKUP(CONCATENATE(A501,$C$10,C501),'ID1&amp;5'!B:J,8,FALSE),"-")</f>
        <v>-</v>
      </c>
      <c r="O501" s="78" t="str">
        <f>+IFERROR(VLOOKUP(C501,'ID1&amp;5'!K:L,2,FALSE),"-")</f>
        <v>-</v>
      </c>
      <c r="P501" s="79" t="str">
        <f>+IFERROR(VLOOKUP(CONCATENATE(A501,$C$10,C501),'ID1&amp;5'!B:J,9,FALSE),"-")</f>
        <v>-</v>
      </c>
      <c r="Q501" s="78" t="str">
        <f>+IFERROR(VLOOKUP(D501,'ID1&amp;5'!K:L,2,FALSE),"-")</f>
        <v>-</v>
      </c>
      <c r="R501" s="26" t="str">
        <f>+IFERROR(VLOOKUP(CONCATENATE(A501,$D$10,D501),'ID1&amp;5'!B:J,9,FALSE),"-")</f>
        <v>-</v>
      </c>
      <c r="S501" s="78" t="str">
        <f>+IFERROR(VLOOKUP(E501,'ID1&amp;5'!K:L,2,FALSE),"-")</f>
        <v>-</v>
      </c>
      <c r="T501" s="79" t="str">
        <f>+IFERROR(VLOOKUP(CONCATENATE(A501,$E$10,E501),'ID1&amp;5'!B:J,9,FALSE),"-")</f>
        <v>-</v>
      </c>
      <c r="U501" s="78" t="str">
        <f>+IFERROR(VLOOKUP(F501,'ID1&amp;5'!K:L,2,FALSE),"-")</f>
        <v>-</v>
      </c>
      <c r="V501" s="79" t="str">
        <f>+IFERROR(VLOOKUP(CONCATENATE(A501,$F$10,F501),'ID1&amp;5'!B:J,9,FALSE),"-")</f>
        <v>-</v>
      </c>
      <c r="W501" s="26" t="str">
        <f>+IFERROR(VLOOKUP(A501,'ID6&amp;7'!A:I,9,FALSE),"-")</f>
        <v>-</v>
      </c>
      <c r="X501" s="26" t="str">
        <f>+IFERROR(VLOOKUP(A501,'ID6&amp;7'!A:J,10,FALSE),"-")</f>
        <v>-</v>
      </c>
      <c r="Y501" s="26"/>
      <c r="Z501" s="27" t="str">
        <f t="shared" si="8"/>
        <v>Por iniciar</v>
      </c>
      <c r="AA501" s="65"/>
    </row>
    <row r="502" spans="1:27">
      <c r="A502" s="20"/>
      <c r="B502" s="60"/>
      <c r="C502" s="60"/>
      <c r="D502" s="60"/>
      <c r="E502" s="60"/>
      <c r="F502" s="60"/>
      <c r="G502" s="60"/>
      <c r="H502" s="65" t="s">
        <v>118</v>
      </c>
      <c r="I502" s="21" t="s">
        <v>609</v>
      </c>
      <c r="J502" s="26">
        <f>+COUNTIF('ID1&amp;5'!G:G,'1. Status'!I502)</f>
        <v>0</v>
      </c>
      <c r="K502" s="79" t="str">
        <f>+IFERROR(VLOOKUP(CONCATENATE(A502,$B$10,B502),'ID1&amp;5'!B:J,8,FALSE),"-")</f>
        <v>-</v>
      </c>
      <c r="L502" s="78" t="str">
        <f>+IFERROR(VLOOKUP(B502,'ID1&amp;5'!K:L,2,FALSE),"-")</f>
        <v>-</v>
      </c>
      <c r="M502" s="79" t="str">
        <f>+IFERROR(VLOOKUP(CONCATENATE(A502,$B$10,B502),'ID1&amp;5'!B:J,9,FALSE),"-")</f>
        <v>-</v>
      </c>
      <c r="N502" s="79" t="str">
        <f>+IFERROR(VLOOKUP(CONCATENATE(A502,$C$10,C502),'ID1&amp;5'!B:J,8,FALSE),"-")</f>
        <v>-</v>
      </c>
      <c r="O502" s="78" t="str">
        <f>+IFERROR(VLOOKUP(C502,'ID1&amp;5'!K:L,2,FALSE),"-")</f>
        <v>-</v>
      </c>
      <c r="P502" s="79" t="str">
        <f>+IFERROR(VLOOKUP(CONCATENATE(A502,$C$10,C502),'ID1&amp;5'!B:J,9,FALSE),"-")</f>
        <v>-</v>
      </c>
      <c r="Q502" s="78" t="str">
        <f>+IFERROR(VLOOKUP(D502,'ID1&amp;5'!K:L,2,FALSE),"-")</f>
        <v>-</v>
      </c>
      <c r="R502" s="26" t="str">
        <f>+IFERROR(VLOOKUP(CONCATENATE(A502,$D$10,D502),'ID1&amp;5'!B:J,9,FALSE),"-")</f>
        <v>-</v>
      </c>
      <c r="S502" s="78" t="str">
        <f>+IFERROR(VLOOKUP(E502,'ID1&amp;5'!K:L,2,FALSE),"-")</f>
        <v>-</v>
      </c>
      <c r="T502" s="79" t="str">
        <f>+IFERROR(VLOOKUP(CONCATENATE(A502,$E$10,E502),'ID1&amp;5'!B:J,9,FALSE),"-")</f>
        <v>-</v>
      </c>
      <c r="U502" s="78" t="str">
        <f>+IFERROR(VLOOKUP(F502,'ID1&amp;5'!K:L,2,FALSE),"-")</f>
        <v>-</v>
      </c>
      <c r="V502" s="79" t="str">
        <f>+IFERROR(VLOOKUP(CONCATENATE(A502,$F$10,F502),'ID1&amp;5'!B:J,9,FALSE),"-")</f>
        <v>-</v>
      </c>
      <c r="W502" s="26" t="str">
        <f>+IFERROR(VLOOKUP(A502,'ID6&amp;7'!A:I,9,FALSE),"-")</f>
        <v>-</v>
      </c>
      <c r="X502" s="26" t="str">
        <f>+IFERROR(VLOOKUP(A502,'ID6&amp;7'!A:J,10,FALSE),"-")</f>
        <v>-</v>
      </c>
      <c r="Y502" s="26"/>
      <c r="Z502" s="27" t="str">
        <f t="shared" si="8"/>
        <v>Por iniciar</v>
      </c>
      <c r="AA502" s="65"/>
    </row>
    <row r="503" spans="1:27">
      <c r="A503" s="20"/>
      <c r="B503" s="60"/>
      <c r="C503" s="60"/>
      <c r="D503" s="60"/>
      <c r="E503" s="60"/>
      <c r="F503" s="60"/>
      <c r="G503" s="60"/>
      <c r="H503" s="65" t="s">
        <v>118</v>
      </c>
      <c r="I503" s="21" t="s">
        <v>610</v>
      </c>
      <c r="J503" s="26">
        <f>+COUNTIF('ID1&amp;5'!G:G,'1. Status'!I503)</f>
        <v>0</v>
      </c>
      <c r="K503" s="79" t="str">
        <f>+IFERROR(VLOOKUP(CONCATENATE(A503,$B$10,B503),'ID1&amp;5'!B:J,8,FALSE),"-")</f>
        <v>-</v>
      </c>
      <c r="L503" s="78" t="str">
        <f>+IFERROR(VLOOKUP(B503,'ID1&amp;5'!K:L,2,FALSE),"-")</f>
        <v>-</v>
      </c>
      <c r="M503" s="79" t="str">
        <f>+IFERROR(VLOOKUP(CONCATENATE(A503,$B$10,B503),'ID1&amp;5'!B:J,9,FALSE),"-")</f>
        <v>-</v>
      </c>
      <c r="N503" s="79" t="str">
        <f>+IFERROR(VLOOKUP(CONCATENATE(A503,$C$10,C503),'ID1&amp;5'!B:J,8,FALSE),"-")</f>
        <v>-</v>
      </c>
      <c r="O503" s="78" t="str">
        <f>+IFERROR(VLOOKUP(C503,'ID1&amp;5'!K:L,2,FALSE),"-")</f>
        <v>-</v>
      </c>
      <c r="P503" s="79" t="str">
        <f>+IFERROR(VLOOKUP(CONCATENATE(A503,$C$10,C503),'ID1&amp;5'!B:J,9,FALSE),"-")</f>
        <v>-</v>
      </c>
      <c r="Q503" s="78" t="str">
        <f>+IFERROR(VLOOKUP(D503,'ID1&amp;5'!K:L,2,FALSE),"-")</f>
        <v>-</v>
      </c>
      <c r="R503" s="26" t="str">
        <f>+IFERROR(VLOOKUP(CONCATENATE(A503,$D$10,D503),'ID1&amp;5'!B:J,9,FALSE),"-")</f>
        <v>-</v>
      </c>
      <c r="S503" s="78" t="str">
        <f>+IFERROR(VLOOKUP(E503,'ID1&amp;5'!K:L,2,FALSE),"-")</f>
        <v>-</v>
      </c>
      <c r="T503" s="79" t="str">
        <f>+IFERROR(VLOOKUP(CONCATENATE(A503,$E$10,E503),'ID1&amp;5'!B:J,9,FALSE),"-")</f>
        <v>-</v>
      </c>
      <c r="U503" s="78" t="str">
        <f>+IFERROR(VLOOKUP(F503,'ID1&amp;5'!K:L,2,FALSE),"-")</f>
        <v>-</v>
      </c>
      <c r="V503" s="79" t="str">
        <f>+IFERROR(VLOOKUP(CONCATENATE(A503,$F$10,F503),'ID1&amp;5'!B:J,9,FALSE),"-")</f>
        <v>-</v>
      </c>
      <c r="W503" s="26" t="str">
        <f>+IFERROR(VLOOKUP(A503,'ID6&amp;7'!A:I,9,FALSE),"-")</f>
        <v>-</v>
      </c>
      <c r="X503" s="26" t="str">
        <f>+IFERROR(VLOOKUP(A503,'ID6&amp;7'!A:J,10,FALSE),"-")</f>
        <v>-</v>
      </c>
      <c r="Y503" s="26"/>
      <c r="Z503" s="27" t="str">
        <f t="shared" si="8"/>
        <v>Por iniciar</v>
      </c>
      <c r="AA503" s="65"/>
    </row>
    <row r="504" spans="1:27">
      <c r="A504" s="20"/>
      <c r="B504" s="60"/>
      <c r="C504" s="60"/>
      <c r="D504" s="60"/>
      <c r="E504" s="60"/>
      <c r="F504" s="60"/>
      <c r="G504" s="60"/>
      <c r="H504" s="65" t="s">
        <v>118</v>
      </c>
      <c r="I504" s="21" t="s">
        <v>611</v>
      </c>
      <c r="J504" s="26">
        <f>+COUNTIF('ID1&amp;5'!G:G,'1. Status'!I504)</f>
        <v>0</v>
      </c>
      <c r="K504" s="79" t="str">
        <f>+IFERROR(VLOOKUP(CONCATENATE(A504,$B$10,B504),'ID1&amp;5'!B:J,8,FALSE),"-")</f>
        <v>-</v>
      </c>
      <c r="L504" s="78" t="str">
        <f>+IFERROR(VLOOKUP(B504,'ID1&amp;5'!K:L,2,FALSE),"-")</f>
        <v>-</v>
      </c>
      <c r="M504" s="79" t="str">
        <f>+IFERROR(VLOOKUP(CONCATENATE(A504,$B$10,B504),'ID1&amp;5'!B:J,9,FALSE),"-")</f>
        <v>-</v>
      </c>
      <c r="N504" s="79" t="str">
        <f>+IFERROR(VLOOKUP(CONCATENATE(A504,$C$10,C504),'ID1&amp;5'!B:J,8,FALSE),"-")</f>
        <v>-</v>
      </c>
      <c r="O504" s="78" t="str">
        <f>+IFERROR(VLOOKUP(C504,'ID1&amp;5'!K:L,2,FALSE),"-")</f>
        <v>-</v>
      </c>
      <c r="P504" s="79" t="str">
        <f>+IFERROR(VLOOKUP(CONCATENATE(A504,$C$10,C504),'ID1&amp;5'!B:J,9,FALSE),"-")</f>
        <v>-</v>
      </c>
      <c r="Q504" s="78" t="str">
        <f>+IFERROR(VLOOKUP(D504,'ID1&amp;5'!K:L,2,FALSE),"-")</f>
        <v>-</v>
      </c>
      <c r="R504" s="26" t="str">
        <f>+IFERROR(VLOOKUP(CONCATENATE(A504,$D$10,D504),'ID1&amp;5'!B:J,9,FALSE),"-")</f>
        <v>-</v>
      </c>
      <c r="S504" s="78" t="str">
        <f>+IFERROR(VLOOKUP(E504,'ID1&amp;5'!K:L,2,FALSE),"-")</f>
        <v>-</v>
      </c>
      <c r="T504" s="79" t="str">
        <f>+IFERROR(VLOOKUP(CONCATENATE(A504,$E$10,E504),'ID1&amp;5'!B:J,9,FALSE),"-")</f>
        <v>-</v>
      </c>
      <c r="U504" s="78" t="str">
        <f>+IFERROR(VLOOKUP(F504,'ID1&amp;5'!K:L,2,FALSE),"-")</f>
        <v>-</v>
      </c>
      <c r="V504" s="79" t="str">
        <f>+IFERROR(VLOOKUP(CONCATENATE(A504,$F$10,F504),'ID1&amp;5'!B:J,9,FALSE),"-")</f>
        <v>-</v>
      </c>
      <c r="W504" s="26" t="str">
        <f>+IFERROR(VLOOKUP(A504,'ID6&amp;7'!A:I,9,FALSE),"-")</f>
        <v>-</v>
      </c>
      <c r="X504" s="26" t="str">
        <f>+IFERROR(VLOOKUP(A504,'ID6&amp;7'!A:J,10,FALSE),"-")</f>
        <v>-</v>
      </c>
      <c r="Y504" s="26"/>
      <c r="Z504" s="27" t="str">
        <f t="shared" si="8"/>
        <v>Por iniciar</v>
      </c>
      <c r="AA504" s="65"/>
    </row>
    <row r="505" spans="1:27">
      <c r="A505" s="20"/>
      <c r="B505" s="60"/>
      <c r="C505" s="60"/>
      <c r="D505" s="60"/>
      <c r="E505" s="60"/>
      <c r="F505" s="60"/>
      <c r="G505" s="60"/>
      <c r="H505" s="65" t="s">
        <v>118</v>
      </c>
      <c r="I505" s="21" t="s">
        <v>612</v>
      </c>
      <c r="J505" s="26">
        <f>+COUNTIF('ID1&amp;5'!G:G,'1. Status'!I505)</f>
        <v>0</v>
      </c>
      <c r="K505" s="79" t="str">
        <f>+IFERROR(VLOOKUP(CONCATENATE(A505,$B$10,B505),'ID1&amp;5'!B:J,8,FALSE),"-")</f>
        <v>-</v>
      </c>
      <c r="L505" s="78" t="str">
        <f>+IFERROR(VLOOKUP(B505,'ID1&amp;5'!K:L,2,FALSE),"-")</f>
        <v>-</v>
      </c>
      <c r="M505" s="79" t="str">
        <f>+IFERROR(VLOOKUP(CONCATENATE(A505,$B$10,B505),'ID1&amp;5'!B:J,9,FALSE),"-")</f>
        <v>-</v>
      </c>
      <c r="N505" s="79" t="str">
        <f>+IFERROR(VLOOKUP(CONCATENATE(A505,$C$10,C505),'ID1&amp;5'!B:J,8,FALSE),"-")</f>
        <v>-</v>
      </c>
      <c r="O505" s="78" t="str">
        <f>+IFERROR(VLOOKUP(C505,'ID1&amp;5'!K:L,2,FALSE),"-")</f>
        <v>-</v>
      </c>
      <c r="P505" s="79" t="str">
        <f>+IFERROR(VLOOKUP(CONCATENATE(A505,$C$10,C505),'ID1&amp;5'!B:J,9,FALSE),"-")</f>
        <v>-</v>
      </c>
      <c r="Q505" s="78" t="str">
        <f>+IFERROR(VLOOKUP(D505,'ID1&amp;5'!K:L,2,FALSE),"-")</f>
        <v>-</v>
      </c>
      <c r="R505" s="26" t="str">
        <f>+IFERROR(VLOOKUP(CONCATENATE(A505,$D$10,D505),'ID1&amp;5'!B:J,9,FALSE),"-")</f>
        <v>-</v>
      </c>
      <c r="S505" s="78" t="str">
        <f>+IFERROR(VLOOKUP(E505,'ID1&amp;5'!K:L,2,FALSE),"-")</f>
        <v>-</v>
      </c>
      <c r="T505" s="79" t="str">
        <f>+IFERROR(VLOOKUP(CONCATENATE(A505,$E$10,E505),'ID1&amp;5'!B:J,9,FALSE),"-")</f>
        <v>-</v>
      </c>
      <c r="U505" s="78" t="str">
        <f>+IFERROR(VLOOKUP(F505,'ID1&amp;5'!K:L,2,FALSE),"-")</f>
        <v>-</v>
      </c>
      <c r="V505" s="79" t="str">
        <f>+IFERROR(VLOOKUP(CONCATENATE(A505,$F$10,F505),'ID1&amp;5'!B:J,9,FALSE),"-")</f>
        <v>-</v>
      </c>
      <c r="W505" s="26" t="str">
        <f>+IFERROR(VLOOKUP(A505,'ID6&amp;7'!A:I,9,FALSE),"-")</f>
        <v>-</v>
      </c>
      <c r="X505" s="26" t="str">
        <f>+IFERROR(VLOOKUP(A505,'ID6&amp;7'!A:J,10,FALSE),"-")</f>
        <v>-</v>
      </c>
      <c r="Y505" s="26"/>
      <c r="Z505" s="27" t="str">
        <f t="shared" si="8"/>
        <v>Por iniciar</v>
      </c>
      <c r="AA505" s="65"/>
    </row>
    <row r="506" spans="1:27">
      <c r="A506" s="20"/>
      <c r="B506" s="60"/>
      <c r="C506" s="60"/>
      <c r="D506" s="60"/>
      <c r="E506" s="60"/>
      <c r="F506" s="60"/>
      <c r="G506" s="60"/>
      <c r="H506" s="65" t="s">
        <v>118</v>
      </c>
      <c r="I506" s="21" t="s">
        <v>684</v>
      </c>
      <c r="J506" s="26">
        <f>+COUNTIF('ID1&amp;5'!G:G,'1. Status'!I506)</f>
        <v>0</v>
      </c>
      <c r="K506" s="79" t="str">
        <f>+IFERROR(VLOOKUP(CONCATENATE(A506,$B$10,B506),'ID1&amp;5'!B:J,8,FALSE),"-")</f>
        <v>-</v>
      </c>
      <c r="L506" s="78" t="str">
        <f>+IFERROR(VLOOKUP(B506,'ID1&amp;5'!K:L,2,FALSE),"-")</f>
        <v>-</v>
      </c>
      <c r="M506" s="79" t="str">
        <f>+IFERROR(VLOOKUP(CONCATENATE(A506,$B$10,B506),'ID1&amp;5'!B:J,9,FALSE),"-")</f>
        <v>-</v>
      </c>
      <c r="N506" s="79" t="str">
        <f>+IFERROR(VLOOKUP(CONCATENATE(A506,$C$10,C506),'ID1&amp;5'!B:J,8,FALSE),"-")</f>
        <v>-</v>
      </c>
      <c r="O506" s="78" t="str">
        <f>+IFERROR(VLOOKUP(C506,'ID1&amp;5'!K:L,2,FALSE),"-")</f>
        <v>-</v>
      </c>
      <c r="P506" s="79" t="str">
        <f>+IFERROR(VLOOKUP(CONCATENATE(A506,$C$10,C506),'ID1&amp;5'!B:J,9,FALSE),"-")</f>
        <v>-</v>
      </c>
      <c r="Q506" s="78" t="str">
        <f>+IFERROR(VLOOKUP(D506,'ID1&amp;5'!K:L,2,FALSE),"-")</f>
        <v>-</v>
      </c>
      <c r="R506" s="26" t="str">
        <f>+IFERROR(VLOOKUP(CONCATENATE(A506,$D$10,D506),'ID1&amp;5'!B:J,9,FALSE),"-")</f>
        <v>-</v>
      </c>
      <c r="S506" s="78" t="str">
        <f>+IFERROR(VLOOKUP(E506,'ID1&amp;5'!K:L,2,FALSE),"-")</f>
        <v>-</v>
      </c>
      <c r="T506" s="79" t="str">
        <f>+IFERROR(VLOOKUP(CONCATENATE(A506,$E$10,E506),'ID1&amp;5'!B:J,9,FALSE),"-")</f>
        <v>-</v>
      </c>
      <c r="U506" s="78" t="str">
        <f>+IFERROR(VLOOKUP(F506,'ID1&amp;5'!K:L,2,FALSE),"-")</f>
        <v>-</v>
      </c>
      <c r="V506" s="79" t="str">
        <f>+IFERROR(VLOOKUP(CONCATENATE(A506,$F$10,F506),'ID1&amp;5'!B:J,9,FALSE),"-")</f>
        <v>-</v>
      </c>
      <c r="W506" s="26" t="str">
        <f>+IFERROR(VLOOKUP(A506,'ID6&amp;7'!A:I,9,FALSE),"-")</f>
        <v>-</v>
      </c>
      <c r="X506" s="26" t="str">
        <f>+IFERROR(VLOOKUP(A506,'ID6&amp;7'!A:J,10,FALSE),"-")</f>
        <v>-</v>
      </c>
      <c r="Y506" s="26"/>
      <c r="Z506" s="27" t="str">
        <f t="shared" si="8"/>
        <v>Por iniciar</v>
      </c>
      <c r="AA506" s="65"/>
    </row>
    <row r="507" spans="1:27">
      <c r="A507" s="20"/>
      <c r="B507" s="60"/>
      <c r="C507" s="60"/>
      <c r="D507" s="60"/>
      <c r="E507" s="60"/>
      <c r="F507" s="60"/>
      <c r="G507" s="60"/>
      <c r="H507" s="65" t="s">
        <v>118</v>
      </c>
      <c r="I507" s="21" t="s">
        <v>613</v>
      </c>
      <c r="J507" s="26">
        <f>+COUNTIF('ID1&amp;5'!G:G,'1. Status'!I507)</f>
        <v>0</v>
      </c>
      <c r="K507" s="79" t="str">
        <f>+IFERROR(VLOOKUP(CONCATENATE(A507,$B$10,B507),'ID1&amp;5'!B:J,8,FALSE),"-")</f>
        <v>-</v>
      </c>
      <c r="L507" s="78" t="str">
        <f>+IFERROR(VLOOKUP(B507,'ID1&amp;5'!K:L,2,FALSE),"-")</f>
        <v>-</v>
      </c>
      <c r="M507" s="79" t="str">
        <f>+IFERROR(VLOOKUP(CONCATENATE(A507,$B$10,B507),'ID1&amp;5'!B:J,9,FALSE),"-")</f>
        <v>-</v>
      </c>
      <c r="N507" s="79" t="str">
        <f>+IFERROR(VLOOKUP(CONCATENATE(A507,$C$10,C507),'ID1&amp;5'!B:J,8,FALSE),"-")</f>
        <v>-</v>
      </c>
      <c r="O507" s="78" t="str">
        <f>+IFERROR(VLOOKUP(C507,'ID1&amp;5'!K:L,2,FALSE),"-")</f>
        <v>-</v>
      </c>
      <c r="P507" s="79" t="str">
        <f>+IFERROR(VLOOKUP(CONCATENATE(A507,$C$10,C507),'ID1&amp;5'!B:J,9,FALSE),"-")</f>
        <v>-</v>
      </c>
      <c r="Q507" s="78" t="str">
        <f>+IFERROR(VLOOKUP(D507,'ID1&amp;5'!K:L,2,FALSE),"-")</f>
        <v>-</v>
      </c>
      <c r="R507" s="26" t="str">
        <f>+IFERROR(VLOOKUP(CONCATENATE(A507,$D$10,D507),'ID1&amp;5'!B:J,9,FALSE),"-")</f>
        <v>-</v>
      </c>
      <c r="S507" s="78" t="str">
        <f>+IFERROR(VLOOKUP(E507,'ID1&amp;5'!K:L,2,FALSE),"-")</f>
        <v>-</v>
      </c>
      <c r="T507" s="79" t="str">
        <f>+IFERROR(VLOOKUP(CONCATENATE(A507,$E$10,E507),'ID1&amp;5'!B:J,9,FALSE),"-")</f>
        <v>-</v>
      </c>
      <c r="U507" s="78" t="str">
        <f>+IFERROR(VLOOKUP(F507,'ID1&amp;5'!K:L,2,FALSE),"-")</f>
        <v>-</v>
      </c>
      <c r="V507" s="79" t="str">
        <f>+IFERROR(VLOOKUP(CONCATENATE(A507,$F$10,F507),'ID1&amp;5'!B:J,9,FALSE),"-")</f>
        <v>-</v>
      </c>
      <c r="W507" s="26" t="str">
        <f>+IFERROR(VLOOKUP(A507,'ID6&amp;7'!A:I,9,FALSE),"-")</f>
        <v>-</v>
      </c>
      <c r="X507" s="26" t="str">
        <f>+IFERROR(VLOOKUP(A507,'ID6&amp;7'!A:J,10,FALSE),"-")</f>
        <v>-</v>
      </c>
      <c r="Y507" s="26"/>
      <c r="Z507" s="27" t="str">
        <f t="shared" si="8"/>
        <v>Por iniciar</v>
      </c>
      <c r="AA507" s="65"/>
    </row>
    <row r="508" spans="1:27">
      <c r="A508" s="20"/>
      <c r="B508" s="60"/>
      <c r="C508" s="60"/>
      <c r="D508" s="60"/>
      <c r="E508" s="60"/>
      <c r="F508" s="60"/>
      <c r="G508" s="60"/>
      <c r="H508" s="65" t="s">
        <v>118</v>
      </c>
      <c r="I508" s="21" t="s">
        <v>614</v>
      </c>
      <c r="J508" s="26">
        <f>+COUNTIF('ID1&amp;5'!G:G,'1. Status'!I508)</f>
        <v>0</v>
      </c>
      <c r="K508" s="79" t="str">
        <f>+IFERROR(VLOOKUP(CONCATENATE(A508,$B$10,B508),'ID1&amp;5'!B:J,8,FALSE),"-")</f>
        <v>-</v>
      </c>
      <c r="L508" s="78" t="str">
        <f>+IFERROR(VLOOKUP(B508,'ID1&amp;5'!K:L,2,FALSE),"-")</f>
        <v>-</v>
      </c>
      <c r="M508" s="79" t="str">
        <f>+IFERROR(VLOOKUP(CONCATENATE(A508,$B$10,B508),'ID1&amp;5'!B:J,9,FALSE),"-")</f>
        <v>-</v>
      </c>
      <c r="N508" s="79" t="str">
        <f>+IFERROR(VLOOKUP(CONCATENATE(A508,$C$10,C508),'ID1&amp;5'!B:J,8,FALSE),"-")</f>
        <v>-</v>
      </c>
      <c r="O508" s="78" t="str">
        <f>+IFERROR(VLOOKUP(C508,'ID1&amp;5'!K:L,2,FALSE),"-")</f>
        <v>-</v>
      </c>
      <c r="P508" s="79" t="str">
        <f>+IFERROR(VLOOKUP(CONCATENATE(A508,$C$10,C508),'ID1&amp;5'!B:J,9,FALSE),"-")</f>
        <v>-</v>
      </c>
      <c r="Q508" s="78" t="str">
        <f>+IFERROR(VLOOKUP(D508,'ID1&amp;5'!K:L,2,FALSE),"-")</f>
        <v>-</v>
      </c>
      <c r="R508" s="26" t="str">
        <f>+IFERROR(VLOOKUP(CONCATENATE(A508,$D$10,D508),'ID1&amp;5'!B:J,9,FALSE),"-")</f>
        <v>-</v>
      </c>
      <c r="S508" s="78" t="str">
        <f>+IFERROR(VLOOKUP(E508,'ID1&amp;5'!K:L,2,FALSE),"-")</f>
        <v>-</v>
      </c>
      <c r="T508" s="79" t="str">
        <f>+IFERROR(VLOOKUP(CONCATENATE(A508,$E$10,E508),'ID1&amp;5'!B:J,9,FALSE),"-")</f>
        <v>-</v>
      </c>
      <c r="U508" s="78" t="str">
        <f>+IFERROR(VLOOKUP(F508,'ID1&amp;5'!K:L,2,FALSE),"-")</f>
        <v>-</v>
      </c>
      <c r="V508" s="79" t="str">
        <f>+IFERROR(VLOOKUP(CONCATENATE(A508,$F$10,F508),'ID1&amp;5'!B:J,9,FALSE),"-")</f>
        <v>-</v>
      </c>
      <c r="W508" s="26" t="str">
        <f>+IFERROR(VLOOKUP(A508,'ID6&amp;7'!A:I,9,FALSE),"-")</f>
        <v>-</v>
      </c>
      <c r="X508" s="26" t="str">
        <f>+IFERROR(VLOOKUP(A508,'ID6&amp;7'!A:J,10,FALSE),"-")</f>
        <v>-</v>
      </c>
      <c r="Y508" s="26"/>
      <c r="Z508" s="27" t="str">
        <f t="shared" si="8"/>
        <v>Por iniciar</v>
      </c>
      <c r="AA508" s="65"/>
    </row>
    <row r="509" spans="1:27">
      <c r="A509" s="20"/>
      <c r="B509" s="60"/>
      <c r="C509" s="60"/>
      <c r="D509" s="60"/>
      <c r="E509" s="60"/>
      <c r="F509" s="60"/>
      <c r="G509" s="60"/>
      <c r="H509" s="65" t="s">
        <v>118</v>
      </c>
      <c r="I509" s="21" t="s">
        <v>615</v>
      </c>
      <c r="J509" s="26">
        <f>+COUNTIF('ID1&amp;5'!G:G,'1. Status'!I509)</f>
        <v>0</v>
      </c>
      <c r="K509" s="79" t="str">
        <f>+IFERROR(VLOOKUP(CONCATENATE(A509,$B$10,B509),'ID1&amp;5'!B:J,8,FALSE),"-")</f>
        <v>-</v>
      </c>
      <c r="L509" s="78" t="str">
        <f>+IFERROR(VLOOKUP(B509,'ID1&amp;5'!K:L,2,FALSE),"-")</f>
        <v>-</v>
      </c>
      <c r="M509" s="79" t="str">
        <f>+IFERROR(VLOOKUP(CONCATENATE(A509,$B$10,B509),'ID1&amp;5'!B:J,9,FALSE),"-")</f>
        <v>-</v>
      </c>
      <c r="N509" s="79" t="str">
        <f>+IFERROR(VLOOKUP(CONCATENATE(A509,$C$10,C509),'ID1&amp;5'!B:J,8,FALSE),"-")</f>
        <v>-</v>
      </c>
      <c r="O509" s="78" t="str">
        <f>+IFERROR(VLOOKUP(C509,'ID1&amp;5'!K:L,2,FALSE),"-")</f>
        <v>-</v>
      </c>
      <c r="P509" s="79" t="str">
        <f>+IFERROR(VLOOKUP(CONCATENATE(A509,$C$10,C509),'ID1&amp;5'!B:J,9,FALSE),"-")</f>
        <v>-</v>
      </c>
      <c r="Q509" s="78" t="str">
        <f>+IFERROR(VLOOKUP(D509,'ID1&amp;5'!K:L,2,FALSE),"-")</f>
        <v>-</v>
      </c>
      <c r="R509" s="26" t="str">
        <f>+IFERROR(VLOOKUP(CONCATENATE(A509,$D$10,D509),'ID1&amp;5'!B:J,9,FALSE),"-")</f>
        <v>-</v>
      </c>
      <c r="S509" s="78" t="str">
        <f>+IFERROR(VLOOKUP(E509,'ID1&amp;5'!K:L,2,FALSE),"-")</f>
        <v>-</v>
      </c>
      <c r="T509" s="79" t="str">
        <f>+IFERROR(VLOOKUP(CONCATENATE(A509,$E$10,E509),'ID1&amp;5'!B:J,9,FALSE),"-")</f>
        <v>-</v>
      </c>
      <c r="U509" s="78" t="str">
        <f>+IFERROR(VLOOKUP(F509,'ID1&amp;5'!K:L,2,FALSE),"-")</f>
        <v>-</v>
      </c>
      <c r="V509" s="79" t="str">
        <f>+IFERROR(VLOOKUP(CONCATENATE(A509,$F$10,F509),'ID1&amp;5'!B:J,9,FALSE),"-")</f>
        <v>-</v>
      </c>
      <c r="W509" s="26" t="str">
        <f>+IFERROR(VLOOKUP(A509,'ID6&amp;7'!A:I,9,FALSE),"-")</f>
        <v>-</v>
      </c>
      <c r="X509" s="26" t="str">
        <f>+IFERROR(VLOOKUP(A509,'ID6&amp;7'!A:J,10,FALSE),"-")</f>
        <v>-</v>
      </c>
      <c r="Y509" s="26"/>
      <c r="Z509" s="27" t="str">
        <f t="shared" si="8"/>
        <v>Por iniciar</v>
      </c>
      <c r="AA509" s="65"/>
    </row>
    <row r="510" spans="1:27">
      <c r="A510" s="20"/>
      <c r="B510" s="60"/>
      <c r="C510" s="60"/>
      <c r="D510" s="60"/>
      <c r="E510" s="60"/>
      <c r="F510" s="60"/>
      <c r="G510" s="60"/>
      <c r="H510" s="65" t="s">
        <v>118</v>
      </c>
      <c r="I510" s="21" t="s">
        <v>616</v>
      </c>
      <c r="J510" s="26">
        <f>+COUNTIF('ID1&amp;5'!G:G,'1. Status'!I510)</f>
        <v>0</v>
      </c>
      <c r="K510" s="79" t="str">
        <f>+IFERROR(VLOOKUP(CONCATENATE(A510,$B$10,B510),'ID1&amp;5'!B:J,8,FALSE),"-")</f>
        <v>-</v>
      </c>
      <c r="L510" s="78" t="str">
        <f>+IFERROR(VLOOKUP(B510,'ID1&amp;5'!K:L,2,FALSE),"-")</f>
        <v>-</v>
      </c>
      <c r="M510" s="79" t="str">
        <f>+IFERROR(VLOOKUP(CONCATENATE(A510,$B$10,B510),'ID1&amp;5'!B:J,9,FALSE),"-")</f>
        <v>-</v>
      </c>
      <c r="N510" s="79" t="str">
        <f>+IFERROR(VLOOKUP(CONCATENATE(A510,$C$10,C510),'ID1&amp;5'!B:J,8,FALSE),"-")</f>
        <v>-</v>
      </c>
      <c r="O510" s="78" t="str">
        <f>+IFERROR(VLOOKUP(C510,'ID1&amp;5'!K:L,2,FALSE),"-")</f>
        <v>-</v>
      </c>
      <c r="P510" s="79" t="str">
        <f>+IFERROR(VLOOKUP(CONCATENATE(A510,$C$10,C510),'ID1&amp;5'!B:J,9,FALSE),"-")</f>
        <v>-</v>
      </c>
      <c r="Q510" s="78" t="str">
        <f>+IFERROR(VLOOKUP(D510,'ID1&amp;5'!K:L,2,FALSE),"-")</f>
        <v>-</v>
      </c>
      <c r="R510" s="26" t="str">
        <f>+IFERROR(VLOOKUP(CONCATENATE(A510,$D$10,D510),'ID1&amp;5'!B:J,9,FALSE),"-")</f>
        <v>-</v>
      </c>
      <c r="S510" s="78" t="str">
        <f>+IFERROR(VLOOKUP(E510,'ID1&amp;5'!K:L,2,FALSE),"-")</f>
        <v>-</v>
      </c>
      <c r="T510" s="79" t="str">
        <f>+IFERROR(VLOOKUP(CONCATENATE(A510,$E$10,E510),'ID1&amp;5'!B:J,9,FALSE),"-")</f>
        <v>-</v>
      </c>
      <c r="U510" s="78" t="str">
        <f>+IFERROR(VLOOKUP(F510,'ID1&amp;5'!K:L,2,FALSE),"-")</f>
        <v>-</v>
      </c>
      <c r="V510" s="79" t="str">
        <f>+IFERROR(VLOOKUP(CONCATENATE(A510,$F$10,F510),'ID1&amp;5'!B:J,9,FALSE),"-")</f>
        <v>-</v>
      </c>
      <c r="W510" s="26" t="str">
        <f>+IFERROR(VLOOKUP(A510,'ID6&amp;7'!A:I,9,FALSE),"-")</f>
        <v>-</v>
      </c>
      <c r="X510" s="26" t="str">
        <f>+IFERROR(VLOOKUP(A510,'ID6&amp;7'!A:J,10,FALSE),"-")</f>
        <v>-</v>
      </c>
      <c r="Y510" s="26"/>
      <c r="Z510" s="27" t="str">
        <f t="shared" si="8"/>
        <v>Por iniciar</v>
      </c>
      <c r="AA510" s="65"/>
    </row>
    <row r="511" spans="1:27">
      <c r="A511" s="20"/>
      <c r="B511" s="60"/>
      <c r="C511" s="60"/>
      <c r="D511" s="60"/>
      <c r="E511" s="60"/>
      <c r="F511" s="60"/>
      <c r="G511" s="60"/>
      <c r="H511" s="65" t="s">
        <v>118</v>
      </c>
      <c r="I511" s="21" t="s">
        <v>1486</v>
      </c>
      <c r="J511" s="26">
        <f>+COUNTIF('ID1&amp;5'!G:G,'1. Status'!I511)</f>
        <v>0</v>
      </c>
      <c r="K511" s="79" t="str">
        <f>+IFERROR(VLOOKUP(CONCATENATE(A511,$B$10,B511),'ID1&amp;5'!B:J,8,FALSE),"-")</f>
        <v>-</v>
      </c>
      <c r="L511" s="78" t="str">
        <f>+IFERROR(VLOOKUP(B511,'ID1&amp;5'!K:L,2,FALSE),"-")</f>
        <v>-</v>
      </c>
      <c r="M511" s="79" t="str">
        <f>+IFERROR(VLOOKUP(CONCATENATE(A511,$B$10,B511),'ID1&amp;5'!B:J,9,FALSE),"-")</f>
        <v>-</v>
      </c>
      <c r="N511" s="79" t="str">
        <f>+IFERROR(VLOOKUP(CONCATENATE(A511,$C$10,C511),'ID1&amp;5'!B:J,8,FALSE),"-")</f>
        <v>-</v>
      </c>
      <c r="O511" s="78" t="str">
        <f>+IFERROR(VLOOKUP(C511,'ID1&amp;5'!K:L,2,FALSE),"-")</f>
        <v>-</v>
      </c>
      <c r="P511" s="79" t="str">
        <f>+IFERROR(VLOOKUP(CONCATENATE(A511,$C$10,C511),'ID1&amp;5'!B:J,9,FALSE),"-")</f>
        <v>-</v>
      </c>
      <c r="Q511" s="78" t="str">
        <f>+IFERROR(VLOOKUP(D511,'ID1&amp;5'!K:L,2,FALSE),"-")</f>
        <v>-</v>
      </c>
      <c r="R511" s="26" t="str">
        <f>+IFERROR(VLOOKUP(CONCATENATE(A511,$D$10,D511),'ID1&amp;5'!B:J,9,FALSE),"-")</f>
        <v>-</v>
      </c>
      <c r="S511" s="78" t="str">
        <f>+IFERROR(VLOOKUP(E511,'ID1&amp;5'!K:L,2,FALSE),"-")</f>
        <v>-</v>
      </c>
      <c r="T511" s="79" t="str">
        <f>+IFERROR(VLOOKUP(CONCATENATE(A511,$E$10,E511),'ID1&amp;5'!B:J,9,FALSE),"-")</f>
        <v>-</v>
      </c>
      <c r="U511" s="78" t="str">
        <f>+IFERROR(VLOOKUP(F511,'ID1&amp;5'!K:L,2,FALSE),"-")</f>
        <v>-</v>
      </c>
      <c r="V511" s="79" t="str">
        <f>+IFERROR(VLOOKUP(CONCATENATE(A511,$F$10,F511),'ID1&amp;5'!B:J,9,FALSE),"-")</f>
        <v>-</v>
      </c>
      <c r="W511" s="26" t="str">
        <f>+IFERROR(VLOOKUP(A511,'ID6&amp;7'!A:I,9,FALSE),"-")</f>
        <v>-</v>
      </c>
      <c r="X511" s="26" t="str">
        <f>+IFERROR(VLOOKUP(A511,'ID6&amp;7'!A:J,10,FALSE),"-")</f>
        <v>-</v>
      </c>
      <c r="Y511" s="26"/>
      <c r="Z511" s="27" t="str">
        <f t="shared" si="8"/>
        <v>Por iniciar</v>
      </c>
      <c r="AA511" s="65"/>
    </row>
    <row r="512" spans="1:27">
      <c r="A512" s="20"/>
      <c r="B512" s="60"/>
      <c r="C512" s="60"/>
      <c r="D512" s="60"/>
      <c r="E512" s="60"/>
      <c r="F512" s="60"/>
      <c r="G512" s="60"/>
      <c r="H512" s="65" t="s">
        <v>118</v>
      </c>
      <c r="I512" s="21" t="s">
        <v>618</v>
      </c>
      <c r="J512" s="26">
        <f>+COUNTIF('ID1&amp;5'!G:G,'1. Status'!I512)</f>
        <v>0</v>
      </c>
      <c r="K512" s="79" t="str">
        <f>+IFERROR(VLOOKUP(CONCATENATE(A512,$B$10,B512),'ID1&amp;5'!B:J,8,FALSE),"-")</f>
        <v>-</v>
      </c>
      <c r="L512" s="78" t="str">
        <f>+IFERROR(VLOOKUP(B512,'ID1&amp;5'!K:L,2,FALSE),"-")</f>
        <v>-</v>
      </c>
      <c r="M512" s="79" t="str">
        <f>+IFERROR(VLOOKUP(CONCATENATE(A512,$B$10,B512),'ID1&amp;5'!B:J,9,FALSE),"-")</f>
        <v>-</v>
      </c>
      <c r="N512" s="79" t="str">
        <f>+IFERROR(VLOOKUP(CONCATENATE(A512,$C$10,C512),'ID1&amp;5'!B:J,8,FALSE),"-")</f>
        <v>-</v>
      </c>
      <c r="O512" s="78" t="str">
        <f>+IFERROR(VLOOKUP(C512,'ID1&amp;5'!K:L,2,FALSE),"-")</f>
        <v>-</v>
      </c>
      <c r="P512" s="79" t="str">
        <f>+IFERROR(VLOOKUP(CONCATENATE(A512,$C$10,C512),'ID1&amp;5'!B:J,9,FALSE),"-")</f>
        <v>-</v>
      </c>
      <c r="Q512" s="78" t="str">
        <f>+IFERROR(VLOOKUP(D512,'ID1&amp;5'!K:L,2,FALSE),"-")</f>
        <v>-</v>
      </c>
      <c r="R512" s="26" t="str">
        <f>+IFERROR(VLOOKUP(CONCATENATE(A512,$D$10,D512),'ID1&amp;5'!B:J,9,FALSE),"-")</f>
        <v>-</v>
      </c>
      <c r="S512" s="78" t="str">
        <f>+IFERROR(VLOOKUP(E512,'ID1&amp;5'!K:L,2,FALSE),"-")</f>
        <v>-</v>
      </c>
      <c r="T512" s="79" t="str">
        <f>+IFERROR(VLOOKUP(CONCATENATE(A512,$E$10,E512),'ID1&amp;5'!B:J,9,FALSE),"-")</f>
        <v>-</v>
      </c>
      <c r="U512" s="78" t="str">
        <f>+IFERROR(VLOOKUP(F512,'ID1&amp;5'!K:L,2,FALSE),"-")</f>
        <v>-</v>
      </c>
      <c r="V512" s="79" t="str">
        <f>+IFERROR(VLOOKUP(CONCATENATE(A512,$F$10,F512),'ID1&amp;5'!B:J,9,FALSE),"-")</f>
        <v>-</v>
      </c>
      <c r="W512" s="26" t="str">
        <f>+IFERROR(VLOOKUP(A512,'ID6&amp;7'!A:I,9,FALSE),"-")</f>
        <v>-</v>
      </c>
      <c r="X512" s="26" t="str">
        <f>+IFERROR(VLOOKUP(A512,'ID6&amp;7'!A:J,10,FALSE),"-")</f>
        <v>-</v>
      </c>
      <c r="Y512" s="26"/>
      <c r="Z512" s="27" t="str">
        <f t="shared" ref="Z512:Z575" si="9">+IF(J512=0,"Por iniciar",IF(OR(K512="-",M512="-",P512="-",R512="-",T512="-",V512="-"),"Em testes",IF(AND(M512=0,P512=0,R512=0,T512&lt;&gt;K512,V512&lt;&gt;K512),"OK","NOK")))</f>
        <v>Por iniciar</v>
      </c>
      <c r="AA512" s="65"/>
    </row>
    <row r="513" spans="1:27">
      <c r="A513" s="20"/>
      <c r="B513" s="60"/>
      <c r="C513" s="60"/>
      <c r="D513" s="60"/>
      <c r="E513" s="60"/>
      <c r="F513" s="60"/>
      <c r="G513" s="60"/>
      <c r="H513" s="65" t="s">
        <v>118</v>
      </c>
      <c r="I513" s="21" t="s">
        <v>619</v>
      </c>
      <c r="J513" s="26">
        <f>+COUNTIF('ID1&amp;5'!G:G,'1. Status'!I513)</f>
        <v>0</v>
      </c>
      <c r="K513" s="79" t="str">
        <f>+IFERROR(VLOOKUP(CONCATENATE(A513,$B$10,B513),'ID1&amp;5'!B:J,8,FALSE),"-")</f>
        <v>-</v>
      </c>
      <c r="L513" s="78" t="str">
        <f>+IFERROR(VLOOKUP(B513,'ID1&amp;5'!K:L,2,FALSE),"-")</f>
        <v>-</v>
      </c>
      <c r="M513" s="79" t="str">
        <f>+IFERROR(VLOOKUP(CONCATENATE(A513,$B$10,B513),'ID1&amp;5'!B:J,9,FALSE),"-")</f>
        <v>-</v>
      </c>
      <c r="N513" s="79" t="str">
        <f>+IFERROR(VLOOKUP(CONCATENATE(A513,$C$10,C513),'ID1&amp;5'!B:J,8,FALSE),"-")</f>
        <v>-</v>
      </c>
      <c r="O513" s="78" t="str">
        <f>+IFERROR(VLOOKUP(C513,'ID1&amp;5'!K:L,2,FALSE),"-")</f>
        <v>-</v>
      </c>
      <c r="P513" s="79" t="str">
        <f>+IFERROR(VLOOKUP(CONCATENATE(A513,$C$10,C513),'ID1&amp;5'!B:J,9,FALSE),"-")</f>
        <v>-</v>
      </c>
      <c r="Q513" s="78" t="str">
        <f>+IFERROR(VLOOKUP(D513,'ID1&amp;5'!K:L,2,FALSE),"-")</f>
        <v>-</v>
      </c>
      <c r="R513" s="26" t="str">
        <f>+IFERROR(VLOOKUP(CONCATENATE(A513,$D$10,D513),'ID1&amp;5'!B:J,9,FALSE),"-")</f>
        <v>-</v>
      </c>
      <c r="S513" s="78" t="str">
        <f>+IFERROR(VLOOKUP(E513,'ID1&amp;5'!K:L,2,FALSE),"-")</f>
        <v>-</v>
      </c>
      <c r="T513" s="79" t="str">
        <f>+IFERROR(VLOOKUP(CONCATENATE(A513,$E$10,E513),'ID1&amp;5'!B:J,9,FALSE),"-")</f>
        <v>-</v>
      </c>
      <c r="U513" s="78" t="str">
        <f>+IFERROR(VLOOKUP(F513,'ID1&amp;5'!K:L,2,FALSE),"-")</f>
        <v>-</v>
      </c>
      <c r="V513" s="79" t="str">
        <f>+IFERROR(VLOOKUP(CONCATENATE(A513,$F$10,F513),'ID1&amp;5'!B:J,9,FALSE),"-")</f>
        <v>-</v>
      </c>
      <c r="W513" s="26" t="str">
        <f>+IFERROR(VLOOKUP(A513,'ID6&amp;7'!A:I,9,FALSE),"-")</f>
        <v>-</v>
      </c>
      <c r="X513" s="26" t="str">
        <f>+IFERROR(VLOOKUP(A513,'ID6&amp;7'!A:J,10,FALSE),"-")</f>
        <v>-</v>
      </c>
      <c r="Y513" s="26"/>
      <c r="Z513" s="27" t="str">
        <f t="shared" si="9"/>
        <v>Por iniciar</v>
      </c>
      <c r="AA513" s="65"/>
    </row>
    <row r="514" spans="1:27">
      <c r="A514" s="20"/>
      <c r="B514" s="60"/>
      <c r="C514" s="60"/>
      <c r="D514" s="60"/>
      <c r="E514" s="60"/>
      <c r="F514" s="60"/>
      <c r="G514" s="60"/>
      <c r="H514" s="65" t="s">
        <v>118</v>
      </c>
      <c r="I514" s="21" t="s">
        <v>620</v>
      </c>
      <c r="J514" s="26">
        <f>+COUNTIF('ID1&amp;5'!G:G,'1. Status'!I514)</f>
        <v>0</v>
      </c>
      <c r="K514" s="79" t="str">
        <f>+IFERROR(VLOOKUP(CONCATENATE(A514,$B$10,B514),'ID1&amp;5'!B:J,8,FALSE),"-")</f>
        <v>-</v>
      </c>
      <c r="L514" s="78" t="str">
        <f>+IFERROR(VLOOKUP(B514,'ID1&amp;5'!K:L,2,FALSE),"-")</f>
        <v>-</v>
      </c>
      <c r="M514" s="79" t="str">
        <f>+IFERROR(VLOOKUP(CONCATENATE(A514,$B$10,B514),'ID1&amp;5'!B:J,9,FALSE),"-")</f>
        <v>-</v>
      </c>
      <c r="N514" s="79" t="str">
        <f>+IFERROR(VLOOKUP(CONCATENATE(A514,$C$10,C514),'ID1&amp;5'!B:J,8,FALSE),"-")</f>
        <v>-</v>
      </c>
      <c r="O514" s="78" t="str">
        <f>+IFERROR(VLOOKUP(C514,'ID1&amp;5'!K:L,2,FALSE),"-")</f>
        <v>-</v>
      </c>
      <c r="P514" s="79" t="str">
        <f>+IFERROR(VLOOKUP(CONCATENATE(A514,$C$10,C514),'ID1&amp;5'!B:J,9,FALSE),"-")</f>
        <v>-</v>
      </c>
      <c r="Q514" s="78" t="str">
        <f>+IFERROR(VLOOKUP(D514,'ID1&amp;5'!K:L,2,FALSE),"-")</f>
        <v>-</v>
      </c>
      <c r="R514" s="26" t="str">
        <f>+IFERROR(VLOOKUP(CONCATENATE(A514,$D$10,D514),'ID1&amp;5'!B:J,9,FALSE),"-")</f>
        <v>-</v>
      </c>
      <c r="S514" s="78" t="str">
        <f>+IFERROR(VLOOKUP(E514,'ID1&amp;5'!K:L,2,FALSE),"-")</f>
        <v>-</v>
      </c>
      <c r="T514" s="79" t="str">
        <f>+IFERROR(VLOOKUP(CONCATENATE(A514,$E$10,E514),'ID1&amp;5'!B:J,9,FALSE),"-")</f>
        <v>-</v>
      </c>
      <c r="U514" s="78" t="str">
        <f>+IFERROR(VLOOKUP(F514,'ID1&amp;5'!K:L,2,FALSE),"-")</f>
        <v>-</v>
      </c>
      <c r="V514" s="79" t="str">
        <f>+IFERROR(VLOOKUP(CONCATENATE(A514,$F$10,F514),'ID1&amp;5'!B:J,9,FALSE),"-")</f>
        <v>-</v>
      </c>
      <c r="W514" s="26" t="str">
        <f>+IFERROR(VLOOKUP(A514,'ID6&amp;7'!A:I,9,FALSE),"-")</f>
        <v>-</v>
      </c>
      <c r="X514" s="26" t="str">
        <f>+IFERROR(VLOOKUP(A514,'ID6&amp;7'!A:J,10,FALSE),"-")</f>
        <v>-</v>
      </c>
      <c r="Y514" s="26"/>
      <c r="Z514" s="27" t="str">
        <f t="shared" si="9"/>
        <v>Por iniciar</v>
      </c>
      <c r="AA514" s="65"/>
    </row>
    <row r="515" spans="1:27">
      <c r="A515" s="20"/>
      <c r="B515" s="60"/>
      <c r="C515" s="60"/>
      <c r="D515" s="60"/>
      <c r="E515" s="60"/>
      <c r="F515" s="60"/>
      <c r="G515" s="60"/>
      <c r="H515" s="65" t="s">
        <v>118</v>
      </c>
      <c r="I515" s="21" t="s">
        <v>1487</v>
      </c>
      <c r="J515" s="26">
        <f>+COUNTIF('ID1&amp;5'!G:G,'1. Status'!I515)</f>
        <v>0</v>
      </c>
      <c r="K515" s="79" t="str">
        <f>+IFERROR(VLOOKUP(CONCATENATE(A515,$B$10,B515),'ID1&amp;5'!B:J,8,FALSE),"-")</f>
        <v>-</v>
      </c>
      <c r="L515" s="78" t="str">
        <f>+IFERROR(VLOOKUP(B515,'ID1&amp;5'!K:L,2,FALSE),"-")</f>
        <v>-</v>
      </c>
      <c r="M515" s="79" t="str">
        <f>+IFERROR(VLOOKUP(CONCATENATE(A515,$B$10,B515),'ID1&amp;5'!B:J,9,FALSE),"-")</f>
        <v>-</v>
      </c>
      <c r="N515" s="79" t="str">
        <f>+IFERROR(VLOOKUP(CONCATENATE(A515,$C$10,C515),'ID1&amp;5'!B:J,8,FALSE),"-")</f>
        <v>-</v>
      </c>
      <c r="O515" s="78" t="str">
        <f>+IFERROR(VLOOKUP(C515,'ID1&amp;5'!K:L,2,FALSE),"-")</f>
        <v>-</v>
      </c>
      <c r="P515" s="79" t="str">
        <f>+IFERROR(VLOOKUP(CONCATENATE(A515,$C$10,C515),'ID1&amp;5'!B:J,9,FALSE),"-")</f>
        <v>-</v>
      </c>
      <c r="Q515" s="78" t="str">
        <f>+IFERROR(VLOOKUP(D515,'ID1&amp;5'!K:L,2,FALSE),"-")</f>
        <v>-</v>
      </c>
      <c r="R515" s="26" t="str">
        <f>+IFERROR(VLOOKUP(CONCATENATE(A515,$D$10,D515),'ID1&amp;5'!B:J,9,FALSE),"-")</f>
        <v>-</v>
      </c>
      <c r="S515" s="78" t="str">
        <f>+IFERROR(VLOOKUP(E515,'ID1&amp;5'!K:L,2,FALSE),"-")</f>
        <v>-</v>
      </c>
      <c r="T515" s="79" t="str">
        <f>+IFERROR(VLOOKUP(CONCATENATE(A515,$E$10,E515),'ID1&amp;5'!B:J,9,FALSE),"-")</f>
        <v>-</v>
      </c>
      <c r="U515" s="78" t="str">
        <f>+IFERROR(VLOOKUP(F515,'ID1&amp;5'!K:L,2,FALSE),"-")</f>
        <v>-</v>
      </c>
      <c r="V515" s="79" t="str">
        <f>+IFERROR(VLOOKUP(CONCATENATE(A515,$F$10,F515),'ID1&amp;5'!B:J,9,FALSE),"-")</f>
        <v>-</v>
      </c>
      <c r="W515" s="26" t="str">
        <f>+IFERROR(VLOOKUP(A515,'ID6&amp;7'!A:I,9,FALSE),"-")</f>
        <v>-</v>
      </c>
      <c r="X515" s="26" t="str">
        <f>+IFERROR(VLOOKUP(A515,'ID6&amp;7'!A:J,10,FALSE),"-")</f>
        <v>-</v>
      </c>
      <c r="Y515" s="26"/>
      <c r="Z515" s="27" t="str">
        <f t="shared" si="9"/>
        <v>Por iniciar</v>
      </c>
      <c r="AA515" s="65"/>
    </row>
    <row r="516" spans="1:27">
      <c r="A516" s="20"/>
      <c r="B516" s="60"/>
      <c r="C516" s="60"/>
      <c r="D516" s="60"/>
      <c r="E516" s="60"/>
      <c r="F516" s="60"/>
      <c r="G516" s="60"/>
      <c r="H516" s="65" t="s">
        <v>118</v>
      </c>
      <c r="I516" s="21" t="s">
        <v>1488</v>
      </c>
      <c r="J516" s="26">
        <f>+COUNTIF('ID1&amp;5'!G:G,'1. Status'!I516)</f>
        <v>0</v>
      </c>
      <c r="K516" s="79" t="str">
        <f>+IFERROR(VLOOKUP(CONCATENATE(A516,$B$10,B516),'ID1&amp;5'!B:J,8,FALSE),"-")</f>
        <v>-</v>
      </c>
      <c r="L516" s="78" t="str">
        <f>+IFERROR(VLOOKUP(B516,'ID1&amp;5'!K:L,2,FALSE),"-")</f>
        <v>-</v>
      </c>
      <c r="M516" s="79" t="str">
        <f>+IFERROR(VLOOKUP(CONCATENATE(A516,$B$10,B516),'ID1&amp;5'!B:J,9,FALSE),"-")</f>
        <v>-</v>
      </c>
      <c r="N516" s="79" t="str">
        <f>+IFERROR(VLOOKUP(CONCATENATE(A516,$C$10,C516),'ID1&amp;5'!B:J,8,FALSE),"-")</f>
        <v>-</v>
      </c>
      <c r="O516" s="78" t="str">
        <f>+IFERROR(VLOOKUP(C516,'ID1&amp;5'!K:L,2,FALSE),"-")</f>
        <v>-</v>
      </c>
      <c r="P516" s="79" t="str">
        <f>+IFERROR(VLOOKUP(CONCATENATE(A516,$C$10,C516),'ID1&amp;5'!B:J,9,FALSE),"-")</f>
        <v>-</v>
      </c>
      <c r="Q516" s="78" t="str">
        <f>+IFERROR(VLOOKUP(D516,'ID1&amp;5'!K:L,2,FALSE),"-")</f>
        <v>-</v>
      </c>
      <c r="R516" s="26" t="str">
        <f>+IFERROR(VLOOKUP(CONCATENATE(A516,$D$10,D516),'ID1&amp;5'!B:J,9,FALSE),"-")</f>
        <v>-</v>
      </c>
      <c r="S516" s="78" t="str">
        <f>+IFERROR(VLOOKUP(E516,'ID1&amp;5'!K:L,2,FALSE),"-")</f>
        <v>-</v>
      </c>
      <c r="T516" s="79" t="str">
        <f>+IFERROR(VLOOKUP(CONCATENATE(A516,$E$10,E516),'ID1&amp;5'!B:J,9,FALSE),"-")</f>
        <v>-</v>
      </c>
      <c r="U516" s="78" t="str">
        <f>+IFERROR(VLOOKUP(F516,'ID1&amp;5'!K:L,2,FALSE),"-")</f>
        <v>-</v>
      </c>
      <c r="V516" s="79" t="str">
        <f>+IFERROR(VLOOKUP(CONCATENATE(A516,$F$10,F516),'ID1&amp;5'!B:J,9,FALSE),"-")</f>
        <v>-</v>
      </c>
      <c r="W516" s="26" t="str">
        <f>+IFERROR(VLOOKUP(A516,'ID6&amp;7'!A:I,9,FALSE),"-")</f>
        <v>-</v>
      </c>
      <c r="X516" s="26" t="str">
        <f>+IFERROR(VLOOKUP(A516,'ID6&amp;7'!A:J,10,FALSE),"-")</f>
        <v>-</v>
      </c>
      <c r="Y516" s="26"/>
      <c r="Z516" s="27" t="str">
        <f t="shared" si="9"/>
        <v>Por iniciar</v>
      </c>
      <c r="AA516" s="65"/>
    </row>
    <row r="517" spans="1:27">
      <c r="A517" s="20"/>
      <c r="B517" s="60"/>
      <c r="C517" s="60"/>
      <c r="D517" s="60"/>
      <c r="E517" s="60"/>
      <c r="F517" s="60"/>
      <c r="G517" s="60"/>
      <c r="H517" s="65" t="s">
        <v>118</v>
      </c>
      <c r="I517" s="21" t="s">
        <v>1489</v>
      </c>
      <c r="J517" s="26">
        <f>+COUNTIF('ID1&amp;5'!G:G,'1. Status'!I517)</f>
        <v>0</v>
      </c>
      <c r="K517" s="79" t="str">
        <f>+IFERROR(VLOOKUP(CONCATENATE(A517,$B$10,B517),'ID1&amp;5'!B:J,8,FALSE),"-")</f>
        <v>-</v>
      </c>
      <c r="L517" s="78" t="str">
        <f>+IFERROR(VLOOKUP(B517,'ID1&amp;5'!K:L,2,FALSE),"-")</f>
        <v>-</v>
      </c>
      <c r="M517" s="79" t="str">
        <f>+IFERROR(VLOOKUP(CONCATENATE(A517,$B$10,B517),'ID1&amp;5'!B:J,9,FALSE),"-")</f>
        <v>-</v>
      </c>
      <c r="N517" s="79" t="str">
        <f>+IFERROR(VLOOKUP(CONCATENATE(A517,$C$10,C517),'ID1&amp;5'!B:J,8,FALSE),"-")</f>
        <v>-</v>
      </c>
      <c r="O517" s="78" t="str">
        <f>+IFERROR(VLOOKUP(C517,'ID1&amp;5'!K:L,2,FALSE),"-")</f>
        <v>-</v>
      </c>
      <c r="P517" s="79" t="str">
        <f>+IFERROR(VLOOKUP(CONCATENATE(A517,$C$10,C517),'ID1&amp;5'!B:J,9,FALSE),"-")</f>
        <v>-</v>
      </c>
      <c r="Q517" s="78" t="str">
        <f>+IFERROR(VLOOKUP(D517,'ID1&amp;5'!K:L,2,FALSE),"-")</f>
        <v>-</v>
      </c>
      <c r="R517" s="26" t="str">
        <f>+IFERROR(VLOOKUP(CONCATENATE(A517,$D$10,D517),'ID1&amp;5'!B:J,9,FALSE),"-")</f>
        <v>-</v>
      </c>
      <c r="S517" s="78" t="str">
        <f>+IFERROR(VLOOKUP(E517,'ID1&amp;5'!K:L,2,FALSE),"-")</f>
        <v>-</v>
      </c>
      <c r="T517" s="79" t="str">
        <f>+IFERROR(VLOOKUP(CONCATENATE(A517,$E$10,E517),'ID1&amp;5'!B:J,9,FALSE),"-")</f>
        <v>-</v>
      </c>
      <c r="U517" s="78" t="str">
        <f>+IFERROR(VLOOKUP(F517,'ID1&amp;5'!K:L,2,FALSE),"-")</f>
        <v>-</v>
      </c>
      <c r="V517" s="79" t="str">
        <f>+IFERROR(VLOOKUP(CONCATENATE(A517,$F$10,F517),'ID1&amp;5'!B:J,9,FALSE),"-")</f>
        <v>-</v>
      </c>
      <c r="W517" s="26" t="str">
        <f>+IFERROR(VLOOKUP(A517,'ID6&amp;7'!A:I,9,FALSE),"-")</f>
        <v>-</v>
      </c>
      <c r="X517" s="26" t="str">
        <f>+IFERROR(VLOOKUP(A517,'ID6&amp;7'!A:J,10,FALSE),"-")</f>
        <v>-</v>
      </c>
      <c r="Y517" s="26"/>
      <c r="Z517" s="27" t="str">
        <f t="shared" si="9"/>
        <v>Por iniciar</v>
      </c>
      <c r="AA517" s="65"/>
    </row>
    <row r="518" spans="1:27">
      <c r="A518" s="20"/>
      <c r="B518" s="60"/>
      <c r="C518" s="60"/>
      <c r="D518" s="60"/>
      <c r="E518" s="60"/>
      <c r="F518" s="60"/>
      <c r="G518" s="60"/>
      <c r="H518" s="65" t="s">
        <v>118</v>
      </c>
      <c r="I518" s="21" t="s">
        <v>1490</v>
      </c>
      <c r="J518" s="26">
        <f>+COUNTIF('ID1&amp;5'!G:G,'1. Status'!I518)</f>
        <v>0</v>
      </c>
      <c r="K518" s="79" t="str">
        <f>+IFERROR(VLOOKUP(CONCATENATE(A518,$B$10,B518),'ID1&amp;5'!B:J,8,FALSE),"-")</f>
        <v>-</v>
      </c>
      <c r="L518" s="78" t="str">
        <f>+IFERROR(VLOOKUP(B518,'ID1&amp;5'!K:L,2,FALSE),"-")</f>
        <v>-</v>
      </c>
      <c r="M518" s="79" t="str">
        <f>+IFERROR(VLOOKUP(CONCATENATE(A518,$B$10,B518),'ID1&amp;5'!B:J,9,FALSE),"-")</f>
        <v>-</v>
      </c>
      <c r="N518" s="79" t="str">
        <f>+IFERROR(VLOOKUP(CONCATENATE(A518,$C$10,C518),'ID1&amp;5'!B:J,8,FALSE),"-")</f>
        <v>-</v>
      </c>
      <c r="O518" s="78" t="str">
        <f>+IFERROR(VLOOKUP(C518,'ID1&amp;5'!K:L,2,FALSE),"-")</f>
        <v>-</v>
      </c>
      <c r="P518" s="79" t="str">
        <f>+IFERROR(VLOOKUP(CONCATENATE(A518,$C$10,C518),'ID1&amp;5'!B:J,9,FALSE),"-")</f>
        <v>-</v>
      </c>
      <c r="Q518" s="78" t="str">
        <f>+IFERROR(VLOOKUP(D518,'ID1&amp;5'!K:L,2,FALSE),"-")</f>
        <v>-</v>
      </c>
      <c r="R518" s="26" t="str">
        <f>+IFERROR(VLOOKUP(CONCATENATE(A518,$D$10,D518),'ID1&amp;5'!B:J,9,FALSE),"-")</f>
        <v>-</v>
      </c>
      <c r="S518" s="78" t="str">
        <f>+IFERROR(VLOOKUP(E518,'ID1&amp;5'!K:L,2,FALSE),"-")</f>
        <v>-</v>
      </c>
      <c r="T518" s="79" t="str">
        <f>+IFERROR(VLOOKUP(CONCATENATE(A518,$E$10,E518),'ID1&amp;5'!B:J,9,FALSE),"-")</f>
        <v>-</v>
      </c>
      <c r="U518" s="78" t="str">
        <f>+IFERROR(VLOOKUP(F518,'ID1&amp;5'!K:L,2,FALSE),"-")</f>
        <v>-</v>
      </c>
      <c r="V518" s="79" t="str">
        <f>+IFERROR(VLOOKUP(CONCATENATE(A518,$F$10,F518),'ID1&amp;5'!B:J,9,FALSE),"-")</f>
        <v>-</v>
      </c>
      <c r="W518" s="26" t="str">
        <f>+IFERROR(VLOOKUP(A518,'ID6&amp;7'!A:I,9,FALSE),"-")</f>
        <v>-</v>
      </c>
      <c r="X518" s="26" t="str">
        <f>+IFERROR(VLOOKUP(A518,'ID6&amp;7'!A:J,10,FALSE),"-")</f>
        <v>-</v>
      </c>
      <c r="Y518" s="26"/>
      <c r="Z518" s="27" t="str">
        <f t="shared" si="9"/>
        <v>Por iniciar</v>
      </c>
      <c r="AA518" s="65"/>
    </row>
    <row r="519" spans="1:27">
      <c r="A519" s="20"/>
      <c r="B519" s="60"/>
      <c r="C519" s="60"/>
      <c r="D519" s="60"/>
      <c r="E519" s="60"/>
      <c r="F519" s="60"/>
      <c r="G519" s="60"/>
      <c r="H519" s="65" t="s">
        <v>118</v>
      </c>
      <c r="I519" s="21" t="s">
        <v>1491</v>
      </c>
      <c r="J519" s="26">
        <f>+COUNTIF('ID1&amp;5'!G:G,'1. Status'!I519)</f>
        <v>0</v>
      </c>
      <c r="K519" s="79" t="str">
        <f>+IFERROR(VLOOKUP(CONCATENATE(A519,$B$10,B519),'ID1&amp;5'!B:J,8,FALSE),"-")</f>
        <v>-</v>
      </c>
      <c r="L519" s="78" t="str">
        <f>+IFERROR(VLOOKUP(B519,'ID1&amp;5'!K:L,2,FALSE),"-")</f>
        <v>-</v>
      </c>
      <c r="M519" s="79" t="str">
        <f>+IFERROR(VLOOKUP(CONCATENATE(A519,$B$10,B519),'ID1&amp;5'!B:J,9,FALSE),"-")</f>
        <v>-</v>
      </c>
      <c r="N519" s="79" t="str">
        <f>+IFERROR(VLOOKUP(CONCATENATE(A519,$C$10,C519),'ID1&amp;5'!B:J,8,FALSE),"-")</f>
        <v>-</v>
      </c>
      <c r="O519" s="78" t="str">
        <f>+IFERROR(VLOOKUP(C519,'ID1&amp;5'!K:L,2,FALSE),"-")</f>
        <v>-</v>
      </c>
      <c r="P519" s="79" t="str">
        <f>+IFERROR(VLOOKUP(CONCATENATE(A519,$C$10,C519),'ID1&amp;5'!B:J,9,FALSE),"-")</f>
        <v>-</v>
      </c>
      <c r="Q519" s="78" t="str">
        <f>+IFERROR(VLOOKUP(D519,'ID1&amp;5'!K:L,2,FALSE),"-")</f>
        <v>-</v>
      </c>
      <c r="R519" s="26" t="str">
        <f>+IFERROR(VLOOKUP(CONCATENATE(A519,$D$10,D519),'ID1&amp;5'!B:J,9,FALSE),"-")</f>
        <v>-</v>
      </c>
      <c r="S519" s="78" t="str">
        <f>+IFERROR(VLOOKUP(E519,'ID1&amp;5'!K:L,2,FALSE),"-")</f>
        <v>-</v>
      </c>
      <c r="T519" s="79" t="str">
        <f>+IFERROR(VLOOKUP(CONCATENATE(A519,$E$10,E519),'ID1&amp;5'!B:J,9,FALSE),"-")</f>
        <v>-</v>
      </c>
      <c r="U519" s="78" t="str">
        <f>+IFERROR(VLOOKUP(F519,'ID1&amp;5'!K:L,2,FALSE),"-")</f>
        <v>-</v>
      </c>
      <c r="V519" s="79" t="str">
        <f>+IFERROR(VLOOKUP(CONCATENATE(A519,$F$10,F519),'ID1&amp;5'!B:J,9,FALSE),"-")</f>
        <v>-</v>
      </c>
      <c r="W519" s="26" t="str">
        <f>+IFERROR(VLOOKUP(A519,'ID6&amp;7'!A:I,9,FALSE),"-")</f>
        <v>-</v>
      </c>
      <c r="X519" s="26" t="str">
        <f>+IFERROR(VLOOKUP(A519,'ID6&amp;7'!A:J,10,FALSE),"-")</f>
        <v>-</v>
      </c>
      <c r="Y519" s="26"/>
      <c r="Z519" s="27" t="str">
        <f t="shared" si="9"/>
        <v>Por iniciar</v>
      </c>
      <c r="AA519" s="65"/>
    </row>
    <row r="520" spans="1:27">
      <c r="A520" s="20"/>
      <c r="B520" s="60"/>
      <c r="C520" s="60"/>
      <c r="D520" s="60"/>
      <c r="E520" s="60"/>
      <c r="F520" s="60"/>
      <c r="G520" s="60"/>
      <c r="H520" s="65" t="s">
        <v>118</v>
      </c>
      <c r="I520" s="21" t="s">
        <v>1492</v>
      </c>
      <c r="J520" s="26">
        <f>+COUNTIF('ID1&amp;5'!G:G,'1. Status'!I520)</f>
        <v>0</v>
      </c>
      <c r="K520" s="79" t="str">
        <f>+IFERROR(VLOOKUP(CONCATENATE(A520,$B$10,B520),'ID1&amp;5'!B:J,8,FALSE),"-")</f>
        <v>-</v>
      </c>
      <c r="L520" s="78" t="str">
        <f>+IFERROR(VLOOKUP(B520,'ID1&amp;5'!K:L,2,FALSE),"-")</f>
        <v>-</v>
      </c>
      <c r="M520" s="79" t="str">
        <f>+IFERROR(VLOOKUP(CONCATENATE(A520,$B$10,B520),'ID1&amp;5'!B:J,9,FALSE),"-")</f>
        <v>-</v>
      </c>
      <c r="N520" s="79" t="str">
        <f>+IFERROR(VLOOKUP(CONCATENATE(A520,$C$10,C520),'ID1&amp;5'!B:J,8,FALSE),"-")</f>
        <v>-</v>
      </c>
      <c r="O520" s="78" t="str">
        <f>+IFERROR(VLOOKUP(C520,'ID1&amp;5'!K:L,2,FALSE),"-")</f>
        <v>-</v>
      </c>
      <c r="P520" s="79" t="str">
        <f>+IFERROR(VLOOKUP(CONCATENATE(A520,$C$10,C520),'ID1&amp;5'!B:J,9,FALSE),"-")</f>
        <v>-</v>
      </c>
      <c r="Q520" s="78" t="str">
        <f>+IFERROR(VLOOKUP(D520,'ID1&amp;5'!K:L,2,FALSE),"-")</f>
        <v>-</v>
      </c>
      <c r="R520" s="26" t="str">
        <f>+IFERROR(VLOOKUP(CONCATENATE(A520,$D$10,D520),'ID1&amp;5'!B:J,9,FALSE),"-")</f>
        <v>-</v>
      </c>
      <c r="S520" s="78" t="str">
        <f>+IFERROR(VLOOKUP(E520,'ID1&amp;5'!K:L,2,FALSE),"-")</f>
        <v>-</v>
      </c>
      <c r="T520" s="79" t="str">
        <f>+IFERROR(VLOOKUP(CONCATENATE(A520,$E$10,E520),'ID1&amp;5'!B:J,9,FALSE),"-")</f>
        <v>-</v>
      </c>
      <c r="U520" s="78" t="str">
        <f>+IFERROR(VLOOKUP(F520,'ID1&amp;5'!K:L,2,FALSE),"-")</f>
        <v>-</v>
      </c>
      <c r="V520" s="79" t="str">
        <f>+IFERROR(VLOOKUP(CONCATENATE(A520,$F$10,F520),'ID1&amp;5'!B:J,9,FALSE),"-")</f>
        <v>-</v>
      </c>
      <c r="W520" s="26" t="str">
        <f>+IFERROR(VLOOKUP(A520,'ID6&amp;7'!A:I,9,FALSE),"-")</f>
        <v>-</v>
      </c>
      <c r="X520" s="26" t="str">
        <f>+IFERROR(VLOOKUP(A520,'ID6&amp;7'!A:J,10,FALSE),"-")</f>
        <v>-</v>
      </c>
      <c r="Y520" s="26"/>
      <c r="Z520" s="27" t="str">
        <f t="shared" si="9"/>
        <v>Por iniciar</v>
      </c>
      <c r="AA520" s="65"/>
    </row>
    <row r="521" spans="1:27">
      <c r="A521" s="20"/>
      <c r="B521" s="60"/>
      <c r="C521" s="60"/>
      <c r="D521" s="60"/>
      <c r="E521" s="60"/>
      <c r="F521" s="60"/>
      <c r="G521" s="60"/>
      <c r="H521" s="65" t="s">
        <v>118</v>
      </c>
      <c r="I521" s="21" t="s">
        <v>1493</v>
      </c>
      <c r="J521" s="26">
        <f>+COUNTIF('ID1&amp;5'!G:G,'1. Status'!I521)</f>
        <v>0</v>
      </c>
      <c r="K521" s="79" t="str">
        <f>+IFERROR(VLOOKUP(CONCATENATE(A521,$B$10,B521),'ID1&amp;5'!B:J,8,FALSE),"-")</f>
        <v>-</v>
      </c>
      <c r="L521" s="78" t="str">
        <f>+IFERROR(VLOOKUP(B521,'ID1&amp;5'!K:L,2,FALSE),"-")</f>
        <v>-</v>
      </c>
      <c r="M521" s="79" t="str">
        <f>+IFERROR(VLOOKUP(CONCATENATE(A521,$B$10,B521),'ID1&amp;5'!B:J,9,FALSE),"-")</f>
        <v>-</v>
      </c>
      <c r="N521" s="79" t="str">
        <f>+IFERROR(VLOOKUP(CONCATENATE(A521,$C$10,C521),'ID1&amp;5'!B:J,8,FALSE),"-")</f>
        <v>-</v>
      </c>
      <c r="O521" s="78" t="str">
        <f>+IFERROR(VLOOKUP(C521,'ID1&amp;5'!K:L,2,FALSE),"-")</f>
        <v>-</v>
      </c>
      <c r="P521" s="79" t="str">
        <f>+IFERROR(VLOOKUP(CONCATENATE(A521,$C$10,C521),'ID1&amp;5'!B:J,9,FALSE),"-")</f>
        <v>-</v>
      </c>
      <c r="Q521" s="78" t="str">
        <f>+IFERROR(VLOOKUP(D521,'ID1&amp;5'!K:L,2,FALSE),"-")</f>
        <v>-</v>
      </c>
      <c r="R521" s="26" t="str">
        <f>+IFERROR(VLOOKUP(CONCATENATE(A521,$D$10,D521),'ID1&amp;5'!B:J,9,FALSE),"-")</f>
        <v>-</v>
      </c>
      <c r="S521" s="78" t="str">
        <f>+IFERROR(VLOOKUP(E521,'ID1&amp;5'!K:L,2,FALSE),"-")</f>
        <v>-</v>
      </c>
      <c r="T521" s="79" t="str">
        <f>+IFERROR(VLOOKUP(CONCATENATE(A521,$E$10,E521),'ID1&amp;5'!B:J,9,FALSE),"-")</f>
        <v>-</v>
      </c>
      <c r="U521" s="78" t="str">
        <f>+IFERROR(VLOOKUP(F521,'ID1&amp;5'!K:L,2,FALSE),"-")</f>
        <v>-</v>
      </c>
      <c r="V521" s="79" t="str">
        <f>+IFERROR(VLOOKUP(CONCATENATE(A521,$F$10,F521),'ID1&amp;5'!B:J,9,FALSE),"-")</f>
        <v>-</v>
      </c>
      <c r="W521" s="26" t="str">
        <f>+IFERROR(VLOOKUP(A521,'ID6&amp;7'!A:I,9,FALSE),"-")</f>
        <v>-</v>
      </c>
      <c r="X521" s="26" t="str">
        <f>+IFERROR(VLOOKUP(A521,'ID6&amp;7'!A:J,10,FALSE),"-")</f>
        <v>-</v>
      </c>
      <c r="Y521" s="26"/>
      <c r="Z521" s="27" t="str">
        <f t="shared" si="9"/>
        <v>Por iniciar</v>
      </c>
      <c r="AA521" s="65"/>
    </row>
    <row r="522" spans="1:27">
      <c r="A522" s="20"/>
      <c r="B522" s="60"/>
      <c r="C522" s="60"/>
      <c r="D522" s="60"/>
      <c r="E522" s="60"/>
      <c r="F522" s="60"/>
      <c r="G522" s="60"/>
      <c r="H522" s="65" t="s">
        <v>118</v>
      </c>
      <c r="I522" s="21" t="s">
        <v>1494</v>
      </c>
      <c r="J522" s="26">
        <f>+COUNTIF('ID1&amp;5'!G:G,'1. Status'!I522)</f>
        <v>0</v>
      </c>
      <c r="K522" s="79" t="str">
        <f>+IFERROR(VLOOKUP(CONCATENATE(A522,$B$10,B522),'ID1&amp;5'!B:J,8,FALSE),"-")</f>
        <v>-</v>
      </c>
      <c r="L522" s="78" t="str">
        <f>+IFERROR(VLOOKUP(B522,'ID1&amp;5'!K:L,2,FALSE),"-")</f>
        <v>-</v>
      </c>
      <c r="M522" s="79" t="str">
        <f>+IFERROR(VLOOKUP(CONCATENATE(A522,$B$10,B522),'ID1&amp;5'!B:J,9,FALSE),"-")</f>
        <v>-</v>
      </c>
      <c r="N522" s="79" t="str">
        <f>+IFERROR(VLOOKUP(CONCATENATE(A522,$C$10,C522),'ID1&amp;5'!B:J,8,FALSE),"-")</f>
        <v>-</v>
      </c>
      <c r="O522" s="78" t="str">
        <f>+IFERROR(VLOOKUP(C522,'ID1&amp;5'!K:L,2,FALSE),"-")</f>
        <v>-</v>
      </c>
      <c r="P522" s="79" t="str">
        <f>+IFERROR(VLOOKUP(CONCATENATE(A522,$C$10,C522),'ID1&amp;5'!B:J,9,FALSE),"-")</f>
        <v>-</v>
      </c>
      <c r="Q522" s="78" t="str">
        <f>+IFERROR(VLOOKUP(D522,'ID1&amp;5'!K:L,2,FALSE),"-")</f>
        <v>-</v>
      </c>
      <c r="R522" s="26" t="str">
        <f>+IFERROR(VLOOKUP(CONCATENATE(A522,$D$10,D522),'ID1&amp;5'!B:J,9,FALSE),"-")</f>
        <v>-</v>
      </c>
      <c r="S522" s="78" t="str">
        <f>+IFERROR(VLOOKUP(E522,'ID1&amp;5'!K:L,2,FALSE),"-")</f>
        <v>-</v>
      </c>
      <c r="T522" s="79" t="str">
        <f>+IFERROR(VLOOKUP(CONCATENATE(A522,$E$10,E522),'ID1&amp;5'!B:J,9,FALSE),"-")</f>
        <v>-</v>
      </c>
      <c r="U522" s="78" t="str">
        <f>+IFERROR(VLOOKUP(F522,'ID1&amp;5'!K:L,2,FALSE),"-")</f>
        <v>-</v>
      </c>
      <c r="V522" s="79" t="str">
        <f>+IFERROR(VLOOKUP(CONCATENATE(A522,$F$10,F522),'ID1&amp;5'!B:J,9,FALSE),"-")</f>
        <v>-</v>
      </c>
      <c r="W522" s="26" t="str">
        <f>+IFERROR(VLOOKUP(A522,'ID6&amp;7'!A:I,9,FALSE),"-")</f>
        <v>-</v>
      </c>
      <c r="X522" s="26" t="str">
        <f>+IFERROR(VLOOKUP(A522,'ID6&amp;7'!A:J,10,FALSE),"-")</f>
        <v>-</v>
      </c>
      <c r="Y522" s="26"/>
      <c r="Z522" s="27" t="str">
        <f t="shared" si="9"/>
        <v>Por iniciar</v>
      </c>
      <c r="AA522" s="65"/>
    </row>
    <row r="523" spans="1:27">
      <c r="A523" s="20"/>
      <c r="B523" s="60"/>
      <c r="C523" s="60"/>
      <c r="D523" s="60"/>
      <c r="E523" s="60"/>
      <c r="F523" s="60"/>
      <c r="G523" s="60"/>
      <c r="H523" s="65" t="s">
        <v>118</v>
      </c>
      <c r="I523" s="21" t="s">
        <v>1495</v>
      </c>
      <c r="J523" s="26">
        <f>+COUNTIF('ID1&amp;5'!G:G,'1. Status'!I523)</f>
        <v>0</v>
      </c>
      <c r="K523" s="79" t="str">
        <f>+IFERROR(VLOOKUP(CONCATENATE(A523,$B$10,B523),'ID1&amp;5'!B:J,8,FALSE),"-")</f>
        <v>-</v>
      </c>
      <c r="L523" s="78" t="str">
        <f>+IFERROR(VLOOKUP(B523,'ID1&amp;5'!K:L,2,FALSE),"-")</f>
        <v>-</v>
      </c>
      <c r="M523" s="79" t="str">
        <f>+IFERROR(VLOOKUP(CONCATENATE(A523,$B$10,B523),'ID1&amp;5'!B:J,9,FALSE),"-")</f>
        <v>-</v>
      </c>
      <c r="N523" s="79" t="str">
        <f>+IFERROR(VLOOKUP(CONCATENATE(A523,$C$10,C523),'ID1&amp;5'!B:J,8,FALSE),"-")</f>
        <v>-</v>
      </c>
      <c r="O523" s="78" t="str">
        <f>+IFERROR(VLOOKUP(C523,'ID1&amp;5'!K:L,2,FALSE),"-")</f>
        <v>-</v>
      </c>
      <c r="P523" s="79" t="str">
        <f>+IFERROR(VLOOKUP(CONCATENATE(A523,$C$10,C523),'ID1&amp;5'!B:J,9,FALSE),"-")</f>
        <v>-</v>
      </c>
      <c r="Q523" s="78" t="str">
        <f>+IFERROR(VLOOKUP(D523,'ID1&amp;5'!K:L,2,FALSE),"-")</f>
        <v>-</v>
      </c>
      <c r="R523" s="26" t="str">
        <f>+IFERROR(VLOOKUP(CONCATENATE(A523,$D$10,D523),'ID1&amp;5'!B:J,9,FALSE),"-")</f>
        <v>-</v>
      </c>
      <c r="S523" s="78" t="str">
        <f>+IFERROR(VLOOKUP(E523,'ID1&amp;5'!K:L,2,FALSE),"-")</f>
        <v>-</v>
      </c>
      <c r="T523" s="79" t="str">
        <f>+IFERROR(VLOOKUP(CONCATENATE(A523,$E$10,E523),'ID1&amp;5'!B:J,9,FALSE),"-")</f>
        <v>-</v>
      </c>
      <c r="U523" s="78" t="str">
        <f>+IFERROR(VLOOKUP(F523,'ID1&amp;5'!K:L,2,FALSE),"-")</f>
        <v>-</v>
      </c>
      <c r="V523" s="79" t="str">
        <f>+IFERROR(VLOOKUP(CONCATENATE(A523,$F$10,F523),'ID1&amp;5'!B:J,9,FALSE),"-")</f>
        <v>-</v>
      </c>
      <c r="W523" s="26" t="str">
        <f>+IFERROR(VLOOKUP(A523,'ID6&amp;7'!A:I,9,FALSE),"-")</f>
        <v>-</v>
      </c>
      <c r="X523" s="26" t="str">
        <f>+IFERROR(VLOOKUP(A523,'ID6&amp;7'!A:J,10,FALSE),"-")</f>
        <v>-</v>
      </c>
      <c r="Y523" s="26"/>
      <c r="Z523" s="27" t="str">
        <f t="shared" si="9"/>
        <v>Por iniciar</v>
      </c>
      <c r="AA523" s="65"/>
    </row>
    <row r="524" spans="1:27">
      <c r="A524" s="20"/>
      <c r="B524" s="60"/>
      <c r="C524" s="60"/>
      <c r="D524" s="60"/>
      <c r="E524" s="60"/>
      <c r="F524" s="60"/>
      <c r="G524" s="60"/>
      <c r="H524" s="65" t="s">
        <v>118</v>
      </c>
      <c r="I524" s="21" t="s">
        <v>1496</v>
      </c>
      <c r="J524" s="26">
        <f>+COUNTIF('ID1&amp;5'!G:G,'1. Status'!I524)</f>
        <v>0</v>
      </c>
      <c r="K524" s="79" t="str">
        <f>+IFERROR(VLOOKUP(CONCATENATE(A524,$B$10,B524),'ID1&amp;5'!B:J,8,FALSE),"-")</f>
        <v>-</v>
      </c>
      <c r="L524" s="78" t="str">
        <f>+IFERROR(VLOOKUP(B524,'ID1&amp;5'!K:L,2,FALSE),"-")</f>
        <v>-</v>
      </c>
      <c r="M524" s="79" t="str">
        <f>+IFERROR(VLOOKUP(CONCATENATE(A524,$B$10,B524),'ID1&amp;5'!B:J,9,FALSE),"-")</f>
        <v>-</v>
      </c>
      <c r="N524" s="79" t="str">
        <f>+IFERROR(VLOOKUP(CONCATENATE(A524,$C$10,C524),'ID1&amp;5'!B:J,8,FALSE),"-")</f>
        <v>-</v>
      </c>
      <c r="O524" s="78" t="str">
        <f>+IFERROR(VLOOKUP(C524,'ID1&amp;5'!K:L,2,FALSE),"-")</f>
        <v>-</v>
      </c>
      <c r="P524" s="79" t="str">
        <f>+IFERROR(VLOOKUP(CONCATENATE(A524,$C$10,C524),'ID1&amp;5'!B:J,9,FALSE),"-")</f>
        <v>-</v>
      </c>
      <c r="Q524" s="78" t="str">
        <f>+IFERROR(VLOOKUP(D524,'ID1&amp;5'!K:L,2,FALSE),"-")</f>
        <v>-</v>
      </c>
      <c r="R524" s="26" t="str">
        <f>+IFERROR(VLOOKUP(CONCATENATE(A524,$D$10,D524),'ID1&amp;5'!B:J,9,FALSE),"-")</f>
        <v>-</v>
      </c>
      <c r="S524" s="78" t="str">
        <f>+IFERROR(VLOOKUP(E524,'ID1&amp;5'!K:L,2,FALSE),"-")</f>
        <v>-</v>
      </c>
      <c r="T524" s="79" t="str">
        <f>+IFERROR(VLOOKUP(CONCATENATE(A524,$E$10,E524),'ID1&amp;5'!B:J,9,FALSE),"-")</f>
        <v>-</v>
      </c>
      <c r="U524" s="78" t="str">
        <f>+IFERROR(VLOOKUP(F524,'ID1&amp;5'!K:L,2,FALSE),"-")</f>
        <v>-</v>
      </c>
      <c r="V524" s="79" t="str">
        <f>+IFERROR(VLOOKUP(CONCATENATE(A524,$F$10,F524),'ID1&amp;5'!B:J,9,FALSE),"-")</f>
        <v>-</v>
      </c>
      <c r="W524" s="26" t="str">
        <f>+IFERROR(VLOOKUP(A524,'ID6&amp;7'!A:I,9,FALSE),"-")</f>
        <v>-</v>
      </c>
      <c r="X524" s="26" t="str">
        <f>+IFERROR(VLOOKUP(A524,'ID6&amp;7'!A:J,10,FALSE),"-")</f>
        <v>-</v>
      </c>
      <c r="Y524" s="26"/>
      <c r="Z524" s="27" t="str">
        <f t="shared" si="9"/>
        <v>Por iniciar</v>
      </c>
      <c r="AA524" s="65"/>
    </row>
    <row r="525" spans="1:27">
      <c r="A525" s="20"/>
      <c r="B525" s="60"/>
      <c r="C525" s="60"/>
      <c r="D525" s="60"/>
      <c r="E525" s="60"/>
      <c r="F525" s="60"/>
      <c r="G525" s="60"/>
      <c r="H525" s="65" t="s">
        <v>118</v>
      </c>
      <c r="I525" s="21" t="s">
        <v>1497</v>
      </c>
      <c r="J525" s="26">
        <f>+COUNTIF('ID1&amp;5'!G:G,'1. Status'!I525)</f>
        <v>0</v>
      </c>
      <c r="K525" s="79" t="str">
        <f>+IFERROR(VLOOKUP(CONCATENATE(A525,$B$10,B525),'ID1&amp;5'!B:J,8,FALSE),"-")</f>
        <v>-</v>
      </c>
      <c r="L525" s="78" t="str">
        <f>+IFERROR(VLOOKUP(B525,'ID1&amp;5'!K:L,2,FALSE),"-")</f>
        <v>-</v>
      </c>
      <c r="M525" s="79" t="str">
        <f>+IFERROR(VLOOKUP(CONCATENATE(A525,$B$10,B525),'ID1&amp;5'!B:J,9,FALSE),"-")</f>
        <v>-</v>
      </c>
      <c r="N525" s="79" t="str">
        <f>+IFERROR(VLOOKUP(CONCATENATE(A525,$C$10,C525),'ID1&amp;5'!B:J,8,FALSE),"-")</f>
        <v>-</v>
      </c>
      <c r="O525" s="78" t="str">
        <f>+IFERROR(VLOOKUP(C525,'ID1&amp;5'!K:L,2,FALSE),"-")</f>
        <v>-</v>
      </c>
      <c r="P525" s="79" t="str">
        <f>+IFERROR(VLOOKUP(CONCATENATE(A525,$C$10,C525),'ID1&amp;5'!B:J,9,FALSE),"-")</f>
        <v>-</v>
      </c>
      <c r="Q525" s="78" t="str">
        <f>+IFERROR(VLOOKUP(D525,'ID1&amp;5'!K:L,2,FALSE),"-")</f>
        <v>-</v>
      </c>
      <c r="R525" s="26" t="str">
        <f>+IFERROR(VLOOKUP(CONCATENATE(A525,$D$10,D525),'ID1&amp;5'!B:J,9,FALSE),"-")</f>
        <v>-</v>
      </c>
      <c r="S525" s="78" t="str">
        <f>+IFERROR(VLOOKUP(E525,'ID1&amp;5'!K:L,2,FALSE),"-")</f>
        <v>-</v>
      </c>
      <c r="T525" s="79" t="str">
        <f>+IFERROR(VLOOKUP(CONCATENATE(A525,$E$10,E525),'ID1&amp;5'!B:J,9,FALSE),"-")</f>
        <v>-</v>
      </c>
      <c r="U525" s="78" t="str">
        <f>+IFERROR(VLOOKUP(F525,'ID1&amp;5'!K:L,2,FALSE),"-")</f>
        <v>-</v>
      </c>
      <c r="V525" s="79" t="str">
        <f>+IFERROR(VLOOKUP(CONCATENATE(A525,$F$10,F525),'ID1&amp;5'!B:J,9,FALSE),"-")</f>
        <v>-</v>
      </c>
      <c r="W525" s="26" t="str">
        <f>+IFERROR(VLOOKUP(A525,'ID6&amp;7'!A:I,9,FALSE),"-")</f>
        <v>-</v>
      </c>
      <c r="X525" s="26" t="str">
        <f>+IFERROR(VLOOKUP(A525,'ID6&amp;7'!A:J,10,FALSE),"-")</f>
        <v>-</v>
      </c>
      <c r="Y525" s="26"/>
      <c r="Z525" s="27" t="str">
        <f t="shared" si="9"/>
        <v>Por iniciar</v>
      </c>
      <c r="AA525" s="65"/>
    </row>
    <row r="526" spans="1:27">
      <c r="A526" s="20"/>
      <c r="B526" s="60"/>
      <c r="C526" s="60"/>
      <c r="D526" s="60"/>
      <c r="E526" s="60"/>
      <c r="F526" s="60"/>
      <c r="G526" s="60"/>
      <c r="H526" s="65" t="s">
        <v>118</v>
      </c>
      <c r="I526" s="21" t="s">
        <v>1498</v>
      </c>
      <c r="J526" s="26">
        <f>+COUNTIF('ID1&amp;5'!G:G,'1. Status'!I526)</f>
        <v>0</v>
      </c>
      <c r="K526" s="79" t="str">
        <f>+IFERROR(VLOOKUP(CONCATENATE(A526,$B$10,B526),'ID1&amp;5'!B:J,8,FALSE),"-")</f>
        <v>-</v>
      </c>
      <c r="L526" s="78" t="str">
        <f>+IFERROR(VLOOKUP(B526,'ID1&amp;5'!K:L,2,FALSE),"-")</f>
        <v>-</v>
      </c>
      <c r="M526" s="79" t="str">
        <f>+IFERROR(VLOOKUP(CONCATENATE(A526,$B$10,B526),'ID1&amp;5'!B:J,9,FALSE),"-")</f>
        <v>-</v>
      </c>
      <c r="N526" s="79" t="str">
        <f>+IFERROR(VLOOKUP(CONCATENATE(A526,$C$10,C526),'ID1&amp;5'!B:J,8,FALSE),"-")</f>
        <v>-</v>
      </c>
      <c r="O526" s="78" t="str">
        <f>+IFERROR(VLOOKUP(C526,'ID1&amp;5'!K:L,2,FALSE),"-")</f>
        <v>-</v>
      </c>
      <c r="P526" s="79" t="str">
        <f>+IFERROR(VLOOKUP(CONCATENATE(A526,$C$10,C526),'ID1&amp;5'!B:J,9,FALSE),"-")</f>
        <v>-</v>
      </c>
      <c r="Q526" s="78" t="str">
        <f>+IFERROR(VLOOKUP(D526,'ID1&amp;5'!K:L,2,FALSE),"-")</f>
        <v>-</v>
      </c>
      <c r="R526" s="26" t="str">
        <f>+IFERROR(VLOOKUP(CONCATENATE(A526,$D$10,D526),'ID1&amp;5'!B:J,9,FALSE),"-")</f>
        <v>-</v>
      </c>
      <c r="S526" s="78" t="str">
        <f>+IFERROR(VLOOKUP(E526,'ID1&amp;5'!K:L,2,FALSE),"-")</f>
        <v>-</v>
      </c>
      <c r="T526" s="79" t="str">
        <f>+IFERROR(VLOOKUP(CONCATENATE(A526,$E$10,E526),'ID1&amp;5'!B:J,9,FALSE),"-")</f>
        <v>-</v>
      </c>
      <c r="U526" s="78" t="str">
        <f>+IFERROR(VLOOKUP(F526,'ID1&amp;5'!K:L,2,FALSE),"-")</f>
        <v>-</v>
      </c>
      <c r="V526" s="79" t="str">
        <f>+IFERROR(VLOOKUP(CONCATENATE(A526,$F$10,F526),'ID1&amp;5'!B:J,9,FALSE),"-")</f>
        <v>-</v>
      </c>
      <c r="W526" s="26" t="str">
        <f>+IFERROR(VLOOKUP(A526,'ID6&amp;7'!A:I,9,FALSE),"-")</f>
        <v>-</v>
      </c>
      <c r="X526" s="26" t="str">
        <f>+IFERROR(VLOOKUP(A526,'ID6&amp;7'!A:J,10,FALSE),"-")</f>
        <v>-</v>
      </c>
      <c r="Y526" s="26"/>
      <c r="Z526" s="27" t="str">
        <f t="shared" si="9"/>
        <v>Por iniciar</v>
      </c>
      <c r="AA526" s="65"/>
    </row>
    <row r="527" spans="1:27">
      <c r="A527" s="20"/>
      <c r="B527" s="60"/>
      <c r="C527" s="60"/>
      <c r="D527" s="60"/>
      <c r="E527" s="60"/>
      <c r="F527" s="60"/>
      <c r="G527" s="60"/>
      <c r="H527" s="65" t="s">
        <v>118</v>
      </c>
      <c r="I527" s="21" t="s">
        <v>1499</v>
      </c>
      <c r="J527" s="26">
        <f>+COUNTIF('ID1&amp;5'!G:G,'1. Status'!I527)</f>
        <v>0</v>
      </c>
      <c r="K527" s="79" t="str">
        <f>+IFERROR(VLOOKUP(CONCATENATE(A527,$B$10,B527),'ID1&amp;5'!B:J,8,FALSE),"-")</f>
        <v>-</v>
      </c>
      <c r="L527" s="78" t="str">
        <f>+IFERROR(VLOOKUP(B527,'ID1&amp;5'!K:L,2,FALSE),"-")</f>
        <v>-</v>
      </c>
      <c r="M527" s="79" t="str">
        <f>+IFERROR(VLOOKUP(CONCATENATE(A527,$B$10,B527),'ID1&amp;5'!B:J,9,FALSE),"-")</f>
        <v>-</v>
      </c>
      <c r="N527" s="79" t="str">
        <f>+IFERROR(VLOOKUP(CONCATENATE(A527,$C$10,C527),'ID1&amp;5'!B:J,8,FALSE),"-")</f>
        <v>-</v>
      </c>
      <c r="O527" s="78" t="str">
        <f>+IFERROR(VLOOKUP(C527,'ID1&amp;5'!K:L,2,FALSE),"-")</f>
        <v>-</v>
      </c>
      <c r="P527" s="79" t="str">
        <f>+IFERROR(VLOOKUP(CONCATENATE(A527,$C$10,C527),'ID1&amp;5'!B:J,9,FALSE),"-")</f>
        <v>-</v>
      </c>
      <c r="Q527" s="78" t="str">
        <f>+IFERROR(VLOOKUP(D527,'ID1&amp;5'!K:L,2,FALSE),"-")</f>
        <v>-</v>
      </c>
      <c r="R527" s="26" t="str">
        <f>+IFERROR(VLOOKUP(CONCATENATE(A527,$D$10,D527),'ID1&amp;5'!B:J,9,FALSE),"-")</f>
        <v>-</v>
      </c>
      <c r="S527" s="78" t="str">
        <f>+IFERROR(VLOOKUP(E527,'ID1&amp;5'!K:L,2,FALSE),"-")</f>
        <v>-</v>
      </c>
      <c r="T527" s="79" t="str">
        <f>+IFERROR(VLOOKUP(CONCATENATE(A527,$E$10,E527),'ID1&amp;5'!B:J,9,FALSE),"-")</f>
        <v>-</v>
      </c>
      <c r="U527" s="78" t="str">
        <f>+IFERROR(VLOOKUP(F527,'ID1&amp;5'!K:L,2,FALSE),"-")</f>
        <v>-</v>
      </c>
      <c r="V527" s="79" t="str">
        <f>+IFERROR(VLOOKUP(CONCATENATE(A527,$F$10,F527),'ID1&amp;5'!B:J,9,FALSE),"-")</f>
        <v>-</v>
      </c>
      <c r="W527" s="26" t="str">
        <f>+IFERROR(VLOOKUP(A527,'ID6&amp;7'!A:I,9,FALSE),"-")</f>
        <v>-</v>
      </c>
      <c r="X527" s="26" t="str">
        <f>+IFERROR(VLOOKUP(A527,'ID6&amp;7'!A:J,10,FALSE),"-")</f>
        <v>-</v>
      </c>
      <c r="Y527" s="26"/>
      <c r="Z527" s="27" t="str">
        <f t="shared" si="9"/>
        <v>Por iniciar</v>
      </c>
      <c r="AA527" s="65"/>
    </row>
    <row r="528" spans="1:27">
      <c r="A528" s="20"/>
      <c r="B528" s="60"/>
      <c r="C528" s="60"/>
      <c r="D528" s="60"/>
      <c r="E528" s="60"/>
      <c r="F528" s="60"/>
      <c r="G528" s="60"/>
      <c r="H528" s="65" t="s">
        <v>118</v>
      </c>
      <c r="I528" s="21" t="s">
        <v>1500</v>
      </c>
      <c r="J528" s="26">
        <f>+COUNTIF('ID1&amp;5'!G:G,'1. Status'!I528)</f>
        <v>0</v>
      </c>
      <c r="K528" s="79" t="str">
        <f>+IFERROR(VLOOKUP(CONCATENATE(A528,$B$10,B528),'ID1&amp;5'!B:J,8,FALSE),"-")</f>
        <v>-</v>
      </c>
      <c r="L528" s="78" t="str">
        <f>+IFERROR(VLOOKUP(B528,'ID1&amp;5'!K:L,2,FALSE),"-")</f>
        <v>-</v>
      </c>
      <c r="M528" s="79" t="str">
        <f>+IFERROR(VLOOKUP(CONCATENATE(A528,$B$10,B528),'ID1&amp;5'!B:J,9,FALSE),"-")</f>
        <v>-</v>
      </c>
      <c r="N528" s="79" t="str">
        <f>+IFERROR(VLOOKUP(CONCATENATE(A528,$C$10,C528),'ID1&amp;5'!B:J,8,FALSE),"-")</f>
        <v>-</v>
      </c>
      <c r="O528" s="78" t="str">
        <f>+IFERROR(VLOOKUP(C528,'ID1&amp;5'!K:L,2,FALSE),"-")</f>
        <v>-</v>
      </c>
      <c r="P528" s="79" t="str">
        <f>+IFERROR(VLOOKUP(CONCATENATE(A528,$C$10,C528),'ID1&amp;5'!B:J,9,FALSE),"-")</f>
        <v>-</v>
      </c>
      <c r="Q528" s="78" t="str">
        <f>+IFERROR(VLOOKUP(D528,'ID1&amp;5'!K:L,2,FALSE),"-")</f>
        <v>-</v>
      </c>
      <c r="R528" s="26" t="str">
        <f>+IFERROR(VLOOKUP(CONCATENATE(A528,$D$10,D528),'ID1&amp;5'!B:J,9,FALSE),"-")</f>
        <v>-</v>
      </c>
      <c r="S528" s="78" t="str">
        <f>+IFERROR(VLOOKUP(E528,'ID1&amp;5'!K:L,2,FALSE),"-")</f>
        <v>-</v>
      </c>
      <c r="T528" s="79" t="str">
        <f>+IFERROR(VLOOKUP(CONCATENATE(A528,$E$10,E528),'ID1&amp;5'!B:J,9,FALSE),"-")</f>
        <v>-</v>
      </c>
      <c r="U528" s="78" t="str">
        <f>+IFERROR(VLOOKUP(F528,'ID1&amp;5'!K:L,2,FALSE),"-")</f>
        <v>-</v>
      </c>
      <c r="V528" s="79" t="str">
        <f>+IFERROR(VLOOKUP(CONCATENATE(A528,$F$10,F528),'ID1&amp;5'!B:J,9,FALSE),"-")</f>
        <v>-</v>
      </c>
      <c r="W528" s="26" t="str">
        <f>+IFERROR(VLOOKUP(A528,'ID6&amp;7'!A:I,9,FALSE),"-")</f>
        <v>-</v>
      </c>
      <c r="X528" s="26" t="str">
        <f>+IFERROR(VLOOKUP(A528,'ID6&amp;7'!A:J,10,FALSE),"-")</f>
        <v>-</v>
      </c>
      <c r="Y528" s="26"/>
      <c r="Z528" s="27" t="str">
        <f t="shared" si="9"/>
        <v>Por iniciar</v>
      </c>
      <c r="AA528" s="65"/>
    </row>
    <row r="529" spans="1:27">
      <c r="A529" s="20"/>
      <c r="B529" s="60"/>
      <c r="C529" s="60"/>
      <c r="D529" s="60"/>
      <c r="E529" s="60"/>
      <c r="F529" s="60"/>
      <c r="G529" s="60"/>
      <c r="H529" s="65" t="s">
        <v>118</v>
      </c>
      <c r="I529" s="21" t="s">
        <v>705</v>
      </c>
      <c r="J529" s="26">
        <f>+COUNTIF('ID1&amp;5'!G:G,'1. Status'!I529)</f>
        <v>0</v>
      </c>
      <c r="K529" s="79" t="str">
        <f>+IFERROR(VLOOKUP(CONCATENATE(A529,$B$10,B529),'ID1&amp;5'!B:J,8,FALSE),"-")</f>
        <v>-</v>
      </c>
      <c r="L529" s="78" t="str">
        <f>+IFERROR(VLOOKUP(B529,'ID1&amp;5'!K:L,2,FALSE),"-")</f>
        <v>-</v>
      </c>
      <c r="M529" s="79" t="str">
        <f>+IFERROR(VLOOKUP(CONCATENATE(A529,$B$10,B529),'ID1&amp;5'!B:J,9,FALSE),"-")</f>
        <v>-</v>
      </c>
      <c r="N529" s="79" t="str">
        <f>+IFERROR(VLOOKUP(CONCATENATE(A529,$C$10,C529),'ID1&amp;5'!B:J,8,FALSE),"-")</f>
        <v>-</v>
      </c>
      <c r="O529" s="78" t="str">
        <f>+IFERROR(VLOOKUP(C529,'ID1&amp;5'!K:L,2,FALSE),"-")</f>
        <v>-</v>
      </c>
      <c r="P529" s="79" t="str">
        <f>+IFERROR(VLOOKUP(CONCATENATE(A529,$C$10,C529),'ID1&amp;5'!B:J,9,FALSE),"-")</f>
        <v>-</v>
      </c>
      <c r="Q529" s="78" t="str">
        <f>+IFERROR(VLOOKUP(D529,'ID1&amp;5'!K:L,2,FALSE),"-")</f>
        <v>-</v>
      </c>
      <c r="R529" s="26" t="str">
        <f>+IFERROR(VLOOKUP(CONCATENATE(A529,$D$10,D529),'ID1&amp;5'!B:J,9,FALSE),"-")</f>
        <v>-</v>
      </c>
      <c r="S529" s="78" t="str">
        <f>+IFERROR(VLOOKUP(E529,'ID1&amp;5'!K:L,2,FALSE),"-")</f>
        <v>-</v>
      </c>
      <c r="T529" s="79" t="str">
        <f>+IFERROR(VLOOKUP(CONCATENATE(A529,$E$10,E529),'ID1&amp;5'!B:J,9,FALSE),"-")</f>
        <v>-</v>
      </c>
      <c r="U529" s="78" t="str">
        <f>+IFERROR(VLOOKUP(F529,'ID1&amp;5'!K:L,2,FALSE),"-")</f>
        <v>-</v>
      </c>
      <c r="V529" s="79" t="str">
        <f>+IFERROR(VLOOKUP(CONCATENATE(A529,$F$10,F529),'ID1&amp;5'!B:J,9,FALSE),"-")</f>
        <v>-</v>
      </c>
      <c r="W529" s="26" t="str">
        <f>+IFERROR(VLOOKUP(A529,'ID6&amp;7'!A:I,9,FALSE),"-")</f>
        <v>-</v>
      </c>
      <c r="X529" s="26" t="str">
        <f>+IFERROR(VLOOKUP(A529,'ID6&amp;7'!A:J,10,FALSE),"-")</f>
        <v>-</v>
      </c>
      <c r="Y529" s="26"/>
      <c r="Z529" s="27" t="str">
        <f t="shared" si="9"/>
        <v>Por iniciar</v>
      </c>
      <c r="AA529" s="65"/>
    </row>
    <row r="530" spans="1:27">
      <c r="A530" s="20"/>
      <c r="B530" s="60"/>
      <c r="C530" s="60"/>
      <c r="D530" s="60"/>
      <c r="E530" s="60"/>
      <c r="F530" s="60"/>
      <c r="G530" s="60"/>
      <c r="H530" s="65" t="s">
        <v>118</v>
      </c>
      <c r="I530" s="21" t="s">
        <v>706</v>
      </c>
      <c r="J530" s="26">
        <f>+COUNTIF('ID1&amp;5'!G:G,'1. Status'!I530)</f>
        <v>0</v>
      </c>
      <c r="K530" s="79" t="str">
        <f>+IFERROR(VLOOKUP(CONCATENATE(A530,$B$10,B530),'ID1&amp;5'!B:J,8,FALSE),"-")</f>
        <v>-</v>
      </c>
      <c r="L530" s="78" t="str">
        <f>+IFERROR(VLOOKUP(B530,'ID1&amp;5'!K:L,2,FALSE),"-")</f>
        <v>-</v>
      </c>
      <c r="M530" s="79" t="str">
        <f>+IFERROR(VLOOKUP(CONCATENATE(A530,$B$10,B530),'ID1&amp;5'!B:J,9,FALSE),"-")</f>
        <v>-</v>
      </c>
      <c r="N530" s="79" t="str">
        <f>+IFERROR(VLOOKUP(CONCATENATE(A530,$C$10,C530),'ID1&amp;5'!B:J,8,FALSE),"-")</f>
        <v>-</v>
      </c>
      <c r="O530" s="78" t="str">
        <f>+IFERROR(VLOOKUP(C530,'ID1&amp;5'!K:L,2,FALSE),"-")</f>
        <v>-</v>
      </c>
      <c r="P530" s="79" t="str">
        <f>+IFERROR(VLOOKUP(CONCATENATE(A530,$C$10,C530),'ID1&amp;5'!B:J,9,FALSE),"-")</f>
        <v>-</v>
      </c>
      <c r="Q530" s="78" t="str">
        <f>+IFERROR(VLOOKUP(D530,'ID1&amp;5'!K:L,2,FALSE),"-")</f>
        <v>-</v>
      </c>
      <c r="R530" s="26" t="str">
        <f>+IFERROR(VLOOKUP(CONCATENATE(A530,$D$10,D530),'ID1&amp;5'!B:J,9,FALSE),"-")</f>
        <v>-</v>
      </c>
      <c r="S530" s="78" t="str">
        <f>+IFERROR(VLOOKUP(E530,'ID1&amp;5'!K:L,2,FALSE),"-")</f>
        <v>-</v>
      </c>
      <c r="T530" s="79" t="str">
        <f>+IFERROR(VLOOKUP(CONCATENATE(A530,$E$10,E530),'ID1&amp;5'!B:J,9,FALSE),"-")</f>
        <v>-</v>
      </c>
      <c r="U530" s="78" t="str">
        <f>+IFERROR(VLOOKUP(F530,'ID1&amp;5'!K:L,2,FALSE),"-")</f>
        <v>-</v>
      </c>
      <c r="V530" s="79" t="str">
        <f>+IFERROR(VLOOKUP(CONCATENATE(A530,$F$10,F530),'ID1&amp;5'!B:J,9,FALSE),"-")</f>
        <v>-</v>
      </c>
      <c r="W530" s="26" t="str">
        <f>+IFERROR(VLOOKUP(A530,'ID6&amp;7'!A:I,9,FALSE),"-")</f>
        <v>-</v>
      </c>
      <c r="X530" s="26" t="str">
        <f>+IFERROR(VLOOKUP(A530,'ID6&amp;7'!A:J,10,FALSE),"-")</f>
        <v>-</v>
      </c>
      <c r="Y530" s="26"/>
      <c r="Z530" s="27" t="str">
        <f t="shared" si="9"/>
        <v>Por iniciar</v>
      </c>
      <c r="AA530" s="65"/>
    </row>
    <row r="531" spans="1:27">
      <c r="A531" s="20"/>
      <c r="B531" s="60"/>
      <c r="C531" s="60"/>
      <c r="D531" s="60"/>
      <c r="E531" s="60"/>
      <c r="F531" s="60"/>
      <c r="G531" s="60"/>
      <c r="H531" s="65" t="s">
        <v>118</v>
      </c>
      <c r="I531" s="21" t="s">
        <v>708</v>
      </c>
      <c r="J531" s="26">
        <f>+COUNTIF('ID1&amp;5'!G:G,'1. Status'!I531)</f>
        <v>0</v>
      </c>
      <c r="K531" s="79" t="str">
        <f>+IFERROR(VLOOKUP(CONCATENATE(A531,$B$10,B531),'ID1&amp;5'!B:J,8,FALSE),"-")</f>
        <v>-</v>
      </c>
      <c r="L531" s="78" t="str">
        <f>+IFERROR(VLOOKUP(B531,'ID1&amp;5'!K:L,2,FALSE),"-")</f>
        <v>-</v>
      </c>
      <c r="M531" s="79" t="str">
        <f>+IFERROR(VLOOKUP(CONCATENATE(A531,$B$10,B531),'ID1&amp;5'!B:J,9,FALSE),"-")</f>
        <v>-</v>
      </c>
      <c r="N531" s="79" t="str">
        <f>+IFERROR(VLOOKUP(CONCATENATE(A531,$C$10,C531),'ID1&amp;5'!B:J,8,FALSE),"-")</f>
        <v>-</v>
      </c>
      <c r="O531" s="78" t="str">
        <f>+IFERROR(VLOOKUP(C531,'ID1&amp;5'!K:L,2,FALSE),"-")</f>
        <v>-</v>
      </c>
      <c r="P531" s="79" t="str">
        <f>+IFERROR(VLOOKUP(CONCATENATE(A531,$C$10,C531),'ID1&amp;5'!B:J,9,FALSE),"-")</f>
        <v>-</v>
      </c>
      <c r="Q531" s="78" t="str">
        <f>+IFERROR(VLOOKUP(D531,'ID1&amp;5'!K:L,2,FALSE),"-")</f>
        <v>-</v>
      </c>
      <c r="R531" s="26" t="str">
        <f>+IFERROR(VLOOKUP(CONCATENATE(A531,$D$10,D531),'ID1&amp;5'!B:J,9,FALSE),"-")</f>
        <v>-</v>
      </c>
      <c r="S531" s="78" t="str">
        <f>+IFERROR(VLOOKUP(E531,'ID1&amp;5'!K:L,2,FALSE),"-")</f>
        <v>-</v>
      </c>
      <c r="T531" s="79" t="str">
        <f>+IFERROR(VLOOKUP(CONCATENATE(A531,$E$10,E531),'ID1&amp;5'!B:J,9,FALSE),"-")</f>
        <v>-</v>
      </c>
      <c r="U531" s="78" t="str">
        <f>+IFERROR(VLOOKUP(F531,'ID1&amp;5'!K:L,2,FALSE),"-")</f>
        <v>-</v>
      </c>
      <c r="V531" s="79" t="str">
        <f>+IFERROR(VLOOKUP(CONCATENATE(A531,$F$10,F531),'ID1&amp;5'!B:J,9,FALSE),"-")</f>
        <v>-</v>
      </c>
      <c r="W531" s="26" t="str">
        <f>+IFERROR(VLOOKUP(A531,'ID6&amp;7'!A:I,9,FALSE),"-")</f>
        <v>-</v>
      </c>
      <c r="X531" s="26" t="str">
        <f>+IFERROR(VLOOKUP(A531,'ID6&amp;7'!A:J,10,FALSE),"-")</f>
        <v>-</v>
      </c>
      <c r="Y531" s="26"/>
      <c r="Z531" s="27" t="str">
        <f t="shared" si="9"/>
        <v>Por iniciar</v>
      </c>
      <c r="AA531" s="65"/>
    </row>
    <row r="532" spans="1:27">
      <c r="A532" s="20"/>
      <c r="B532" s="60"/>
      <c r="C532" s="60"/>
      <c r="D532" s="60"/>
      <c r="E532" s="60"/>
      <c r="F532" s="60"/>
      <c r="G532" s="60"/>
      <c r="H532" s="65" t="s">
        <v>118</v>
      </c>
      <c r="I532" s="21" t="s">
        <v>709</v>
      </c>
      <c r="J532" s="26">
        <f>+COUNTIF('ID1&amp;5'!G:G,'1. Status'!I532)</f>
        <v>0</v>
      </c>
      <c r="K532" s="79" t="str">
        <f>+IFERROR(VLOOKUP(CONCATENATE(A532,$B$10,B532),'ID1&amp;5'!B:J,8,FALSE),"-")</f>
        <v>-</v>
      </c>
      <c r="L532" s="78" t="str">
        <f>+IFERROR(VLOOKUP(B532,'ID1&amp;5'!K:L,2,FALSE),"-")</f>
        <v>-</v>
      </c>
      <c r="M532" s="79" t="str">
        <f>+IFERROR(VLOOKUP(CONCATENATE(A532,$B$10,B532),'ID1&amp;5'!B:J,9,FALSE),"-")</f>
        <v>-</v>
      </c>
      <c r="N532" s="79" t="str">
        <f>+IFERROR(VLOOKUP(CONCATENATE(A532,$C$10,C532),'ID1&amp;5'!B:J,8,FALSE),"-")</f>
        <v>-</v>
      </c>
      <c r="O532" s="78" t="str">
        <f>+IFERROR(VLOOKUP(C532,'ID1&amp;5'!K:L,2,FALSE),"-")</f>
        <v>-</v>
      </c>
      <c r="P532" s="79" t="str">
        <f>+IFERROR(VLOOKUP(CONCATENATE(A532,$C$10,C532),'ID1&amp;5'!B:J,9,FALSE),"-")</f>
        <v>-</v>
      </c>
      <c r="Q532" s="78" t="str">
        <f>+IFERROR(VLOOKUP(D532,'ID1&amp;5'!K:L,2,FALSE),"-")</f>
        <v>-</v>
      </c>
      <c r="R532" s="26" t="str">
        <f>+IFERROR(VLOOKUP(CONCATENATE(A532,$D$10,D532),'ID1&amp;5'!B:J,9,FALSE),"-")</f>
        <v>-</v>
      </c>
      <c r="S532" s="78" t="str">
        <f>+IFERROR(VLOOKUP(E532,'ID1&amp;5'!K:L,2,FALSE),"-")</f>
        <v>-</v>
      </c>
      <c r="T532" s="79" t="str">
        <f>+IFERROR(VLOOKUP(CONCATENATE(A532,$E$10,E532),'ID1&amp;5'!B:J,9,FALSE),"-")</f>
        <v>-</v>
      </c>
      <c r="U532" s="78" t="str">
        <f>+IFERROR(VLOOKUP(F532,'ID1&amp;5'!K:L,2,FALSE),"-")</f>
        <v>-</v>
      </c>
      <c r="V532" s="79" t="str">
        <f>+IFERROR(VLOOKUP(CONCATENATE(A532,$F$10,F532),'ID1&amp;5'!B:J,9,FALSE),"-")</f>
        <v>-</v>
      </c>
      <c r="W532" s="26" t="str">
        <f>+IFERROR(VLOOKUP(A532,'ID6&amp;7'!A:I,9,FALSE),"-")</f>
        <v>-</v>
      </c>
      <c r="X532" s="26" t="str">
        <f>+IFERROR(VLOOKUP(A532,'ID6&amp;7'!A:J,10,FALSE),"-")</f>
        <v>-</v>
      </c>
      <c r="Y532" s="26"/>
      <c r="Z532" s="27" t="str">
        <f t="shared" si="9"/>
        <v>Por iniciar</v>
      </c>
      <c r="AA532" s="65"/>
    </row>
    <row r="533" spans="1:27">
      <c r="A533" s="20"/>
      <c r="B533" s="60"/>
      <c r="C533" s="60"/>
      <c r="D533" s="60"/>
      <c r="E533" s="60"/>
      <c r="F533" s="60"/>
      <c r="G533" s="60"/>
      <c r="H533" s="65" t="s">
        <v>118</v>
      </c>
      <c r="I533" s="21" t="s">
        <v>710</v>
      </c>
      <c r="J533" s="26">
        <f>+COUNTIF('ID1&amp;5'!G:G,'1. Status'!I533)</f>
        <v>0</v>
      </c>
      <c r="K533" s="79" t="str">
        <f>+IFERROR(VLOOKUP(CONCATENATE(A533,$B$10,B533),'ID1&amp;5'!B:J,8,FALSE),"-")</f>
        <v>-</v>
      </c>
      <c r="L533" s="78" t="str">
        <f>+IFERROR(VLOOKUP(B533,'ID1&amp;5'!K:L,2,FALSE),"-")</f>
        <v>-</v>
      </c>
      <c r="M533" s="79" t="str">
        <f>+IFERROR(VLOOKUP(CONCATENATE(A533,$B$10,B533),'ID1&amp;5'!B:J,9,FALSE),"-")</f>
        <v>-</v>
      </c>
      <c r="N533" s="79" t="str">
        <f>+IFERROR(VLOOKUP(CONCATENATE(A533,$C$10,C533),'ID1&amp;5'!B:J,8,FALSE),"-")</f>
        <v>-</v>
      </c>
      <c r="O533" s="78" t="str">
        <f>+IFERROR(VLOOKUP(C533,'ID1&amp;5'!K:L,2,FALSE),"-")</f>
        <v>-</v>
      </c>
      <c r="P533" s="79" t="str">
        <f>+IFERROR(VLOOKUP(CONCATENATE(A533,$C$10,C533),'ID1&amp;5'!B:J,9,FALSE),"-")</f>
        <v>-</v>
      </c>
      <c r="Q533" s="78" t="str">
        <f>+IFERROR(VLOOKUP(D533,'ID1&amp;5'!K:L,2,FALSE),"-")</f>
        <v>-</v>
      </c>
      <c r="R533" s="26" t="str">
        <f>+IFERROR(VLOOKUP(CONCATENATE(A533,$D$10,D533),'ID1&amp;5'!B:J,9,FALSE),"-")</f>
        <v>-</v>
      </c>
      <c r="S533" s="78" t="str">
        <f>+IFERROR(VLOOKUP(E533,'ID1&amp;5'!K:L,2,FALSE),"-")</f>
        <v>-</v>
      </c>
      <c r="T533" s="79" t="str">
        <f>+IFERROR(VLOOKUP(CONCATENATE(A533,$E$10,E533),'ID1&amp;5'!B:J,9,FALSE),"-")</f>
        <v>-</v>
      </c>
      <c r="U533" s="78" t="str">
        <f>+IFERROR(VLOOKUP(F533,'ID1&amp;5'!K:L,2,FALSE),"-")</f>
        <v>-</v>
      </c>
      <c r="V533" s="79" t="str">
        <f>+IFERROR(VLOOKUP(CONCATENATE(A533,$F$10,F533),'ID1&amp;5'!B:J,9,FALSE),"-")</f>
        <v>-</v>
      </c>
      <c r="W533" s="26" t="str">
        <f>+IFERROR(VLOOKUP(A533,'ID6&amp;7'!A:I,9,FALSE),"-")</f>
        <v>-</v>
      </c>
      <c r="X533" s="26" t="str">
        <f>+IFERROR(VLOOKUP(A533,'ID6&amp;7'!A:J,10,FALSE),"-")</f>
        <v>-</v>
      </c>
      <c r="Y533" s="26"/>
      <c r="Z533" s="27" t="str">
        <f t="shared" si="9"/>
        <v>Por iniciar</v>
      </c>
      <c r="AA533" s="65"/>
    </row>
    <row r="534" spans="1:27">
      <c r="A534" s="20"/>
      <c r="B534" s="60"/>
      <c r="C534" s="60"/>
      <c r="D534" s="60"/>
      <c r="E534" s="60"/>
      <c r="F534" s="60"/>
      <c r="G534" s="60"/>
      <c r="H534" s="65" t="s">
        <v>118</v>
      </c>
      <c r="I534" s="21" t="s">
        <v>711</v>
      </c>
      <c r="J534" s="26">
        <f>+COUNTIF('ID1&amp;5'!G:G,'1. Status'!I534)</f>
        <v>0</v>
      </c>
      <c r="K534" s="79" t="str">
        <f>+IFERROR(VLOOKUP(CONCATENATE(A534,$B$10,B534),'ID1&amp;5'!B:J,8,FALSE),"-")</f>
        <v>-</v>
      </c>
      <c r="L534" s="78" t="str">
        <f>+IFERROR(VLOOKUP(B534,'ID1&amp;5'!K:L,2,FALSE),"-")</f>
        <v>-</v>
      </c>
      <c r="M534" s="79" t="str">
        <f>+IFERROR(VLOOKUP(CONCATENATE(A534,$B$10,B534),'ID1&amp;5'!B:J,9,FALSE),"-")</f>
        <v>-</v>
      </c>
      <c r="N534" s="79" t="str">
        <f>+IFERROR(VLOOKUP(CONCATENATE(A534,$C$10,C534),'ID1&amp;5'!B:J,8,FALSE),"-")</f>
        <v>-</v>
      </c>
      <c r="O534" s="78" t="str">
        <f>+IFERROR(VLOOKUP(C534,'ID1&amp;5'!K:L,2,FALSE),"-")</f>
        <v>-</v>
      </c>
      <c r="P534" s="79" t="str">
        <f>+IFERROR(VLOOKUP(CONCATENATE(A534,$C$10,C534),'ID1&amp;5'!B:J,9,FALSE),"-")</f>
        <v>-</v>
      </c>
      <c r="Q534" s="78" t="str">
        <f>+IFERROR(VLOOKUP(D534,'ID1&amp;5'!K:L,2,FALSE),"-")</f>
        <v>-</v>
      </c>
      <c r="R534" s="26" t="str">
        <f>+IFERROR(VLOOKUP(CONCATENATE(A534,$D$10,D534),'ID1&amp;5'!B:J,9,FALSE),"-")</f>
        <v>-</v>
      </c>
      <c r="S534" s="78" t="str">
        <f>+IFERROR(VLOOKUP(E534,'ID1&amp;5'!K:L,2,FALSE),"-")</f>
        <v>-</v>
      </c>
      <c r="T534" s="79" t="str">
        <f>+IFERROR(VLOOKUP(CONCATENATE(A534,$E$10,E534),'ID1&amp;5'!B:J,9,FALSE),"-")</f>
        <v>-</v>
      </c>
      <c r="U534" s="78" t="str">
        <f>+IFERROR(VLOOKUP(F534,'ID1&amp;5'!K:L,2,FALSE),"-")</f>
        <v>-</v>
      </c>
      <c r="V534" s="79" t="str">
        <f>+IFERROR(VLOOKUP(CONCATENATE(A534,$F$10,F534),'ID1&amp;5'!B:J,9,FALSE),"-")</f>
        <v>-</v>
      </c>
      <c r="W534" s="26" t="str">
        <f>+IFERROR(VLOOKUP(A534,'ID6&amp;7'!A:I,9,FALSE),"-")</f>
        <v>-</v>
      </c>
      <c r="X534" s="26" t="str">
        <f>+IFERROR(VLOOKUP(A534,'ID6&amp;7'!A:J,10,FALSE),"-")</f>
        <v>-</v>
      </c>
      <c r="Y534" s="26"/>
      <c r="Z534" s="27" t="str">
        <f t="shared" si="9"/>
        <v>Por iniciar</v>
      </c>
      <c r="AA534" s="65"/>
    </row>
    <row r="535" spans="1:27">
      <c r="A535" s="20"/>
      <c r="B535" s="60"/>
      <c r="C535" s="60"/>
      <c r="D535" s="60"/>
      <c r="E535" s="60"/>
      <c r="F535" s="60"/>
      <c r="G535" s="60"/>
      <c r="H535" s="65" t="s">
        <v>118</v>
      </c>
      <c r="I535" s="21" t="s">
        <v>712</v>
      </c>
      <c r="J535" s="26">
        <f>+COUNTIF('ID1&amp;5'!G:G,'1. Status'!I535)</f>
        <v>0</v>
      </c>
      <c r="K535" s="79" t="str">
        <f>+IFERROR(VLOOKUP(CONCATENATE(A535,$B$10,B535),'ID1&amp;5'!B:J,8,FALSE),"-")</f>
        <v>-</v>
      </c>
      <c r="L535" s="78" t="str">
        <f>+IFERROR(VLOOKUP(B535,'ID1&amp;5'!K:L,2,FALSE),"-")</f>
        <v>-</v>
      </c>
      <c r="M535" s="79" t="str">
        <f>+IFERROR(VLOOKUP(CONCATENATE(A535,$B$10,B535),'ID1&amp;5'!B:J,9,FALSE),"-")</f>
        <v>-</v>
      </c>
      <c r="N535" s="79" t="str">
        <f>+IFERROR(VLOOKUP(CONCATENATE(A535,$C$10,C535),'ID1&amp;5'!B:J,8,FALSE),"-")</f>
        <v>-</v>
      </c>
      <c r="O535" s="78" t="str">
        <f>+IFERROR(VLOOKUP(C535,'ID1&amp;5'!K:L,2,FALSE),"-")</f>
        <v>-</v>
      </c>
      <c r="P535" s="79" t="str">
        <f>+IFERROR(VLOOKUP(CONCATENATE(A535,$C$10,C535),'ID1&amp;5'!B:J,9,FALSE),"-")</f>
        <v>-</v>
      </c>
      <c r="Q535" s="78" t="str">
        <f>+IFERROR(VLOOKUP(D535,'ID1&amp;5'!K:L,2,FALSE),"-")</f>
        <v>-</v>
      </c>
      <c r="R535" s="26" t="str">
        <f>+IFERROR(VLOOKUP(CONCATENATE(A535,$D$10,D535),'ID1&amp;5'!B:J,9,FALSE),"-")</f>
        <v>-</v>
      </c>
      <c r="S535" s="78" t="str">
        <f>+IFERROR(VLOOKUP(E535,'ID1&amp;5'!K:L,2,FALSE),"-")</f>
        <v>-</v>
      </c>
      <c r="T535" s="79" t="str">
        <f>+IFERROR(VLOOKUP(CONCATENATE(A535,$E$10,E535),'ID1&amp;5'!B:J,9,FALSE),"-")</f>
        <v>-</v>
      </c>
      <c r="U535" s="78" t="str">
        <f>+IFERROR(VLOOKUP(F535,'ID1&amp;5'!K:L,2,FALSE),"-")</f>
        <v>-</v>
      </c>
      <c r="V535" s="79" t="str">
        <f>+IFERROR(VLOOKUP(CONCATENATE(A535,$F$10,F535),'ID1&amp;5'!B:J,9,FALSE),"-")</f>
        <v>-</v>
      </c>
      <c r="W535" s="26" t="str">
        <f>+IFERROR(VLOOKUP(A535,'ID6&amp;7'!A:I,9,FALSE),"-")</f>
        <v>-</v>
      </c>
      <c r="X535" s="26" t="str">
        <f>+IFERROR(VLOOKUP(A535,'ID6&amp;7'!A:J,10,FALSE),"-")</f>
        <v>-</v>
      </c>
      <c r="Y535" s="26"/>
      <c r="Z535" s="27" t="str">
        <f t="shared" si="9"/>
        <v>Por iniciar</v>
      </c>
      <c r="AA535" s="65"/>
    </row>
    <row r="536" spans="1:27">
      <c r="A536" s="20"/>
      <c r="B536" s="60"/>
      <c r="C536" s="60"/>
      <c r="D536" s="60"/>
      <c r="E536" s="60"/>
      <c r="F536" s="60"/>
      <c r="G536" s="60"/>
      <c r="H536" s="65" t="s">
        <v>118</v>
      </c>
      <c r="I536" s="21" t="s">
        <v>713</v>
      </c>
      <c r="J536" s="26">
        <f>+COUNTIF('ID1&amp;5'!G:G,'1. Status'!I536)</f>
        <v>0</v>
      </c>
      <c r="K536" s="79" t="str">
        <f>+IFERROR(VLOOKUP(CONCATENATE(A536,$B$10,B536),'ID1&amp;5'!B:J,8,FALSE),"-")</f>
        <v>-</v>
      </c>
      <c r="L536" s="78" t="str">
        <f>+IFERROR(VLOOKUP(B536,'ID1&amp;5'!K:L,2,FALSE),"-")</f>
        <v>-</v>
      </c>
      <c r="M536" s="79" t="str">
        <f>+IFERROR(VLOOKUP(CONCATENATE(A536,$B$10,B536),'ID1&amp;5'!B:J,9,FALSE),"-")</f>
        <v>-</v>
      </c>
      <c r="N536" s="79" t="str">
        <f>+IFERROR(VLOOKUP(CONCATENATE(A536,$C$10,C536),'ID1&amp;5'!B:J,8,FALSE),"-")</f>
        <v>-</v>
      </c>
      <c r="O536" s="78" t="str">
        <f>+IFERROR(VLOOKUP(C536,'ID1&amp;5'!K:L,2,FALSE),"-")</f>
        <v>-</v>
      </c>
      <c r="P536" s="79" t="str">
        <f>+IFERROR(VLOOKUP(CONCATENATE(A536,$C$10,C536),'ID1&amp;5'!B:J,9,FALSE),"-")</f>
        <v>-</v>
      </c>
      <c r="Q536" s="78" t="str">
        <f>+IFERROR(VLOOKUP(D536,'ID1&amp;5'!K:L,2,FALSE),"-")</f>
        <v>-</v>
      </c>
      <c r="R536" s="26" t="str">
        <f>+IFERROR(VLOOKUP(CONCATENATE(A536,$D$10,D536),'ID1&amp;5'!B:J,9,FALSE),"-")</f>
        <v>-</v>
      </c>
      <c r="S536" s="78" t="str">
        <f>+IFERROR(VLOOKUP(E536,'ID1&amp;5'!K:L,2,FALSE),"-")</f>
        <v>-</v>
      </c>
      <c r="T536" s="79" t="str">
        <f>+IFERROR(VLOOKUP(CONCATENATE(A536,$E$10,E536),'ID1&amp;5'!B:J,9,FALSE),"-")</f>
        <v>-</v>
      </c>
      <c r="U536" s="78" t="str">
        <f>+IFERROR(VLOOKUP(F536,'ID1&amp;5'!K:L,2,FALSE),"-")</f>
        <v>-</v>
      </c>
      <c r="V536" s="79" t="str">
        <f>+IFERROR(VLOOKUP(CONCATENATE(A536,$F$10,F536),'ID1&amp;5'!B:J,9,FALSE),"-")</f>
        <v>-</v>
      </c>
      <c r="W536" s="26" t="str">
        <f>+IFERROR(VLOOKUP(A536,'ID6&amp;7'!A:I,9,FALSE),"-")</f>
        <v>-</v>
      </c>
      <c r="X536" s="26" t="str">
        <f>+IFERROR(VLOOKUP(A536,'ID6&amp;7'!A:J,10,FALSE),"-")</f>
        <v>-</v>
      </c>
      <c r="Y536" s="26"/>
      <c r="Z536" s="27" t="str">
        <f t="shared" si="9"/>
        <v>Por iniciar</v>
      </c>
      <c r="AA536" s="65"/>
    </row>
    <row r="537" spans="1:27">
      <c r="A537" s="20"/>
      <c r="B537" s="60"/>
      <c r="C537" s="60"/>
      <c r="D537" s="60"/>
      <c r="E537" s="60"/>
      <c r="F537" s="60"/>
      <c r="G537" s="60"/>
      <c r="H537" s="65" t="s">
        <v>118</v>
      </c>
      <c r="I537" s="21" t="s">
        <v>714</v>
      </c>
      <c r="J537" s="26">
        <f>+COUNTIF('ID1&amp;5'!G:G,'1. Status'!I537)</f>
        <v>0</v>
      </c>
      <c r="K537" s="79" t="str">
        <f>+IFERROR(VLOOKUP(CONCATENATE(A537,$B$10,B537),'ID1&amp;5'!B:J,8,FALSE),"-")</f>
        <v>-</v>
      </c>
      <c r="L537" s="78" t="str">
        <f>+IFERROR(VLOOKUP(B537,'ID1&amp;5'!K:L,2,FALSE),"-")</f>
        <v>-</v>
      </c>
      <c r="M537" s="79" t="str">
        <f>+IFERROR(VLOOKUP(CONCATENATE(A537,$B$10,B537),'ID1&amp;5'!B:J,9,FALSE),"-")</f>
        <v>-</v>
      </c>
      <c r="N537" s="79" t="str">
        <f>+IFERROR(VLOOKUP(CONCATENATE(A537,$C$10,C537),'ID1&amp;5'!B:J,8,FALSE),"-")</f>
        <v>-</v>
      </c>
      <c r="O537" s="78" t="str">
        <f>+IFERROR(VLOOKUP(C537,'ID1&amp;5'!K:L,2,FALSE),"-")</f>
        <v>-</v>
      </c>
      <c r="P537" s="79" t="str">
        <f>+IFERROR(VLOOKUP(CONCATENATE(A537,$C$10,C537),'ID1&amp;5'!B:J,9,FALSE),"-")</f>
        <v>-</v>
      </c>
      <c r="Q537" s="78" t="str">
        <f>+IFERROR(VLOOKUP(D537,'ID1&amp;5'!K:L,2,FALSE),"-")</f>
        <v>-</v>
      </c>
      <c r="R537" s="26" t="str">
        <f>+IFERROR(VLOOKUP(CONCATENATE(A537,$D$10,D537),'ID1&amp;5'!B:J,9,FALSE),"-")</f>
        <v>-</v>
      </c>
      <c r="S537" s="78" t="str">
        <f>+IFERROR(VLOOKUP(E537,'ID1&amp;5'!K:L,2,FALSE),"-")</f>
        <v>-</v>
      </c>
      <c r="T537" s="79" t="str">
        <f>+IFERROR(VLOOKUP(CONCATENATE(A537,$E$10,E537),'ID1&amp;5'!B:J,9,FALSE),"-")</f>
        <v>-</v>
      </c>
      <c r="U537" s="78" t="str">
        <f>+IFERROR(VLOOKUP(F537,'ID1&amp;5'!K:L,2,FALSE),"-")</f>
        <v>-</v>
      </c>
      <c r="V537" s="79" t="str">
        <f>+IFERROR(VLOOKUP(CONCATENATE(A537,$F$10,F537),'ID1&amp;5'!B:J,9,FALSE),"-")</f>
        <v>-</v>
      </c>
      <c r="W537" s="26" t="str">
        <f>+IFERROR(VLOOKUP(A537,'ID6&amp;7'!A:I,9,FALSE),"-")</f>
        <v>-</v>
      </c>
      <c r="X537" s="26" t="str">
        <f>+IFERROR(VLOOKUP(A537,'ID6&amp;7'!A:J,10,FALSE),"-")</f>
        <v>-</v>
      </c>
      <c r="Y537" s="26"/>
      <c r="Z537" s="27" t="str">
        <f t="shared" si="9"/>
        <v>Por iniciar</v>
      </c>
      <c r="AA537" s="65"/>
    </row>
    <row r="538" spans="1:27">
      <c r="A538" s="20"/>
      <c r="B538" s="60"/>
      <c r="C538" s="60"/>
      <c r="D538" s="60"/>
      <c r="E538" s="60"/>
      <c r="F538" s="60"/>
      <c r="G538" s="60"/>
      <c r="H538" s="65" t="s">
        <v>118</v>
      </c>
      <c r="I538" s="21" t="s">
        <v>715</v>
      </c>
      <c r="J538" s="26">
        <f>+COUNTIF('ID1&amp;5'!G:G,'1. Status'!I538)</f>
        <v>0</v>
      </c>
      <c r="K538" s="79" t="str">
        <f>+IFERROR(VLOOKUP(CONCATENATE(A538,$B$10,B538),'ID1&amp;5'!B:J,8,FALSE),"-")</f>
        <v>-</v>
      </c>
      <c r="L538" s="78" t="str">
        <f>+IFERROR(VLOOKUP(B538,'ID1&amp;5'!K:L,2,FALSE),"-")</f>
        <v>-</v>
      </c>
      <c r="M538" s="79" t="str">
        <f>+IFERROR(VLOOKUP(CONCATENATE(A538,$B$10,B538),'ID1&amp;5'!B:J,9,FALSE),"-")</f>
        <v>-</v>
      </c>
      <c r="N538" s="79" t="str">
        <f>+IFERROR(VLOOKUP(CONCATENATE(A538,$C$10,C538),'ID1&amp;5'!B:J,8,FALSE),"-")</f>
        <v>-</v>
      </c>
      <c r="O538" s="78" t="str">
        <f>+IFERROR(VLOOKUP(C538,'ID1&amp;5'!K:L,2,FALSE),"-")</f>
        <v>-</v>
      </c>
      <c r="P538" s="79" t="str">
        <f>+IFERROR(VLOOKUP(CONCATENATE(A538,$C$10,C538),'ID1&amp;5'!B:J,9,FALSE),"-")</f>
        <v>-</v>
      </c>
      <c r="Q538" s="78" t="str">
        <f>+IFERROR(VLOOKUP(D538,'ID1&amp;5'!K:L,2,FALSE),"-")</f>
        <v>-</v>
      </c>
      <c r="R538" s="26" t="str">
        <f>+IFERROR(VLOOKUP(CONCATENATE(A538,$D$10,D538),'ID1&amp;5'!B:J,9,FALSE),"-")</f>
        <v>-</v>
      </c>
      <c r="S538" s="78" t="str">
        <f>+IFERROR(VLOOKUP(E538,'ID1&amp;5'!K:L,2,FALSE),"-")</f>
        <v>-</v>
      </c>
      <c r="T538" s="79" t="str">
        <f>+IFERROR(VLOOKUP(CONCATENATE(A538,$E$10,E538),'ID1&amp;5'!B:J,9,FALSE),"-")</f>
        <v>-</v>
      </c>
      <c r="U538" s="78" t="str">
        <f>+IFERROR(VLOOKUP(F538,'ID1&amp;5'!K:L,2,FALSE),"-")</f>
        <v>-</v>
      </c>
      <c r="V538" s="79" t="str">
        <f>+IFERROR(VLOOKUP(CONCATENATE(A538,$F$10,F538),'ID1&amp;5'!B:J,9,FALSE),"-")</f>
        <v>-</v>
      </c>
      <c r="W538" s="26" t="str">
        <f>+IFERROR(VLOOKUP(A538,'ID6&amp;7'!A:I,9,FALSE),"-")</f>
        <v>-</v>
      </c>
      <c r="X538" s="26" t="str">
        <f>+IFERROR(VLOOKUP(A538,'ID6&amp;7'!A:J,10,FALSE),"-")</f>
        <v>-</v>
      </c>
      <c r="Y538" s="26"/>
      <c r="Z538" s="27" t="str">
        <f t="shared" si="9"/>
        <v>Por iniciar</v>
      </c>
      <c r="AA538" s="65"/>
    </row>
    <row r="539" spans="1:27">
      <c r="A539" s="20"/>
      <c r="B539" s="60"/>
      <c r="C539" s="60"/>
      <c r="D539" s="60"/>
      <c r="E539" s="60"/>
      <c r="F539" s="60"/>
      <c r="G539" s="60"/>
      <c r="H539" s="65" t="s">
        <v>118</v>
      </c>
      <c r="I539" s="21" t="s">
        <v>716</v>
      </c>
      <c r="J539" s="26">
        <f>+COUNTIF('ID1&amp;5'!G:G,'1. Status'!I539)</f>
        <v>0</v>
      </c>
      <c r="K539" s="79" t="str">
        <f>+IFERROR(VLOOKUP(CONCATENATE(A539,$B$10,B539),'ID1&amp;5'!B:J,8,FALSE),"-")</f>
        <v>-</v>
      </c>
      <c r="L539" s="78" t="str">
        <f>+IFERROR(VLOOKUP(B539,'ID1&amp;5'!K:L,2,FALSE),"-")</f>
        <v>-</v>
      </c>
      <c r="M539" s="79" t="str">
        <f>+IFERROR(VLOOKUP(CONCATENATE(A539,$B$10,B539),'ID1&amp;5'!B:J,9,FALSE),"-")</f>
        <v>-</v>
      </c>
      <c r="N539" s="79" t="str">
        <f>+IFERROR(VLOOKUP(CONCATENATE(A539,$C$10,C539),'ID1&amp;5'!B:J,8,FALSE),"-")</f>
        <v>-</v>
      </c>
      <c r="O539" s="78" t="str">
        <f>+IFERROR(VLOOKUP(C539,'ID1&amp;5'!K:L,2,FALSE),"-")</f>
        <v>-</v>
      </c>
      <c r="P539" s="79" t="str">
        <f>+IFERROR(VLOOKUP(CONCATENATE(A539,$C$10,C539),'ID1&amp;5'!B:J,9,FALSE),"-")</f>
        <v>-</v>
      </c>
      <c r="Q539" s="78" t="str">
        <f>+IFERROR(VLOOKUP(D539,'ID1&amp;5'!K:L,2,FALSE),"-")</f>
        <v>-</v>
      </c>
      <c r="R539" s="26" t="str">
        <f>+IFERROR(VLOOKUP(CONCATENATE(A539,$D$10,D539),'ID1&amp;5'!B:J,9,FALSE),"-")</f>
        <v>-</v>
      </c>
      <c r="S539" s="78" t="str">
        <f>+IFERROR(VLOOKUP(E539,'ID1&amp;5'!K:L,2,FALSE),"-")</f>
        <v>-</v>
      </c>
      <c r="T539" s="79" t="str">
        <f>+IFERROR(VLOOKUP(CONCATENATE(A539,$E$10,E539),'ID1&amp;5'!B:J,9,FALSE),"-")</f>
        <v>-</v>
      </c>
      <c r="U539" s="78" t="str">
        <f>+IFERROR(VLOOKUP(F539,'ID1&amp;5'!K:L,2,FALSE),"-")</f>
        <v>-</v>
      </c>
      <c r="V539" s="79" t="str">
        <f>+IFERROR(VLOOKUP(CONCATENATE(A539,$F$10,F539),'ID1&amp;5'!B:J,9,FALSE),"-")</f>
        <v>-</v>
      </c>
      <c r="W539" s="26" t="str">
        <f>+IFERROR(VLOOKUP(A539,'ID6&amp;7'!A:I,9,FALSE),"-")</f>
        <v>-</v>
      </c>
      <c r="X539" s="26" t="str">
        <f>+IFERROR(VLOOKUP(A539,'ID6&amp;7'!A:J,10,FALSE),"-")</f>
        <v>-</v>
      </c>
      <c r="Y539" s="26"/>
      <c r="Z539" s="27" t="str">
        <f t="shared" si="9"/>
        <v>Por iniciar</v>
      </c>
      <c r="AA539" s="65"/>
    </row>
    <row r="540" spans="1:27">
      <c r="A540" s="20"/>
      <c r="B540" s="60"/>
      <c r="C540" s="60"/>
      <c r="D540" s="60"/>
      <c r="E540" s="60"/>
      <c r="F540" s="60"/>
      <c r="G540" s="60"/>
      <c r="H540" s="65" t="s">
        <v>118</v>
      </c>
      <c r="I540" s="21" t="s">
        <v>717</v>
      </c>
      <c r="J540" s="26">
        <f>+COUNTIF('ID1&amp;5'!G:G,'1. Status'!I540)</f>
        <v>0</v>
      </c>
      <c r="K540" s="79" t="str">
        <f>+IFERROR(VLOOKUP(CONCATENATE(A540,$B$10,B540),'ID1&amp;5'!B:J,8,FALSE),"-")</f>
        <v>-</v>
      </c>
      <c r="L540" s="78" t="str">
        <f>+IFERROR(VLOOKUP(B540,'ID1&amp;5'!K:L,2,FALSE),"-")</f>
        <v>-</v>
      </c>
      <c r="M540" s="79" t="str">
        <f>+IFERROR(VLOOKUP(CONCATENATE(A540,$B$10,B540),'ID1&amp;5'!B:J,9,FALSE),"-")</f>
        <v>-</v>
      </c>
      <c r="N540" s="79" t="str">
        <f>+IFERROR(VLOOKUP(CONCATENATE(A540,$C$10,C540),'ID1&amp;5'!B:J,8,FALSE),"-")</f>
        <v>-</v>
      </c>
      <c r="O540" s="78" t="str">
        <f>+IFERROR(VLOOKUP(C540,'ID1&amp;5'!K:L,2,FALSE),"-")</f>
        <v>-</v>
      </c>
      <c r="P540" s="79" t="str">
        <f>+IFERROR(VLOOKUP(CONCATENATE(A540,$C$10,C540),'ID1&amp;5'!B:J,9,FALSE),"-")</f>
        <v>-</v>
      </c>
      <c r="Q540" s="78" t="str">
        <f>+IFERROR(VLOOKUP(D540,'ID1&amp;5'!K:L,2,FALSE),"-")</f>
        <v>-</v>
      </c>
      <c r="R540" s="26" t="str">
        <f>+IFERROR(VLOOKUP(CONCATENATE(A540,$D$10,D540),'ID1&amp;5'!B:J,9,FALSE),"-")</f>
        <v>-</v>
      </c>
      <c r="S540" s="78" t="str">
        <f>+IFERROR(VLOOKUP(E540,'ID1&amp;5'!K:L,2,FALSE),"-")</f>
        <v>-</v>
      </c>
      <c r="T540" s="79" t="str">
        <f>+IFERROR(VLOOKUP(CONCATENATE(A540,$E$10,E540),'ID1&amp;5'!B:J,9,FALSE),"-")</f>
        <v>-</v>
      </c>
      <c r="U540" s="78" t="str">
        <f>+IFERROR(VLOOKUP(F540,'ID1&amp;5'!K:L,2,FALSE),"-")</f>
        <v>-</v>
      </c>
      <c r="V540" s="79" t="str">
        <f>+IFERROR(VLOOKUP(CONCATENATE(A540,$F$10,F540),'ID1&amp;5'!B:J,9,FALSE),"-")</f>
        <v>-</v>
      </c>
      <c r="W540" s="26" t="str">
        <f>+IFERROR(VLOOKUP(A540,'ID6&amp;7'!A:I,9,FALSE),"-")</f>
        <v>-</v>
      </c>
      <c r="X540" s="26" t="str">
        <f>+IFERROR(VLOOKUP(A540,'ID6&amp;7'!A:J,10,FALSE),"-")</f>
        <v>-</v>
      </c>
      <c r="Y540" s="26"/>
      <c r="Z540" s="27" t="str">
        <f t="shared" si="9"/>
        <v>Por iniciar</v>
      </c>
      <c r="AA540" s="65"/>
    </row>
    <row r="541" spans="1:27">
      <c r="A541" s="20"/>
      <c r="B541" s="60"/>
      <c r="C541" s="60"/>
      <c r="D541" s="60"/>
      <c r="E541" s="60"/>
      <c r="F541" s="60"/>
      <c r="G541" s="60"/>
      <c r="H541" s="65" t="s">
        <v>118</v>
      </c>
      <c r="I541" s="21" t="s">
        <v>718</v>
      </c>
      <c r="J541" s="26">
        <f>+COUNTIF('ID1&amp;5'!G:G,'1. Status'!I541)</f>
        <v>0</v>
      </c>
      <c r="K541" s="79" t="str">
        <f>+IFERROR(VLOOKUP(CONCATENATE(A541,$B$10,B541),'ID1&amp;5'!B:J,8,FALSE),"-")</f>
        <v>-</v>
      </c>
      <c r="L541" s="78" t="str">
        <f>+IFERROR(VLOOKUP(B541,'ID1&amp;5'!K:L,2,FALSE),"-")</f>
        <v>-</v>
      </c>
      <c r="M541" s="79" t="str">
        <f>+IFERROR(VLOOKUP(CONCATENATE(A541,$B$10,B541),'ID1&amp;5'!B:J,9,FALSE),"-")</f>
        <v>-</v>
      </c>
      <c r="N541" s="79" t="str">
        <f>+IFERROR(VLOOKUP(CONCATENATE(A541,$C$10,C541),'ID1&amp;5'!B:J,8,FALSE),"-")</f>
        <v>-</v>
      </c>
      <c r="O541" s="78" t="str">
        <f>+IFERROR(VLOOKUP(C541,'ID1&amp;5'!K:L,2,FALSE),"-")</f>
        <v>-</v>
      </c>
      <c r="P541" s="79" t="str">
        <f>+IFERROR(VLOOKUP(CONCATENATE(A541,$C$10,C541),'ID1&amp;5'!B:J,9,FALSE),"-")</f>
        <v>-</v>
      </c>
      <c r="Q541" s="78" t="str">
        <f>+IFERROR(VLOOKUP(D541,'ID1&amp;5'!K:L,2,FALSE),"-")</f>
        <v>-</v>
      </c>
      <c r="R541" s="26" t="str">
        <f>+IFERROR(VLOOKUP(CONCATENATE(A541,$D$10,D541),'ID1&amp;5'!B:J,9,FALSE),"-")</f>
        <v>-</v>
      </c>
      <c r="S541" s="78" t="str">
        <f>+IFERROR(VLOOKUP(E541,'ID1&amp;5'!K:L,2,FALSE),"-")</f>
        <v>-</v>
      </c>
      <c r="T541" s="79" t="str">
        <f>+IFERROR(VLOOKUP(CONCATENATE(A541,$E$10,E541),'ID1&amp;5'!B:J,9,FALSE),"-")</f>
        <v>-</v>
      </c>
      <c r="U541" s="78" t="str">
        <f>+IFERROR(VLOOKUP(F541,'ID1&amp;5'!K:L,2,FALSE),"-")</f>
        <v>-</v>
      </c>
      <c r="V541" s="79" t="str">
        <f>+IFERROR(VLOOKUP(CONCATENATE(A541,$F$10,F541),'ID1&amp;5'!B:J,9,FALSE),"-")</f>
        <v>-</v>
      </c>
      <c r="W541" s="26" t="str">
        <f>+IFERROR(VLOOKUP(A541,'ID6&amp;7'!A:I,9,FALSE),"-")</f>
        <v>-</v>
      </c>
      <c r="X541" s="26" t="str">
        <f>+IFERROR(VLOOKUP(A541,'ID6&amp;7'!A:J,10,FALSE),"-")</f>
        <v>-</v>
      </c>
      <c r="Y541" s="26"/>
      <c r="Z541" s="27" t="str">
        <f t="shared" si="9"/>
        <v>Por iniciar</v>
      </c>
      <c r="AA541" s="65"/>
    </row>
    <row r="542" spans="1:27">
      <c r="A542" s="20"/>
      <c r="B542" s="60"/>
      <c r="C542" s="60"/>
      <c r="D542" s="60"/>
      <c r="E542" s="60"/>
      <c r="F542" s="60"/>
      <c r="G542" s="60"/>
      <c r="H542" s="65" t="s">
        <v>118</v>
      </c>
      <c r="I542" s="21" t="s">
        <v>719</v>
      </c>
      <c r="J542" s="26">
        <f>+COUNTIF('ID1&amp;5'!G:G,'1. Status'!I542)</f>
        <v>0</v>
      </c>
      <c r="K542" s="79" t="str">
        <f>+IFERROR(VLOOKUP(CONCATENATE(A542,$B$10,B542),'ID1&amp;5'!B:J,8,FALSE),"-")</f>
        <v>-</v>
      </c>
      <c r="L542" s="78" t="str">
        <f>+IFERROR(VLOOKUP(B542,'ID1&amp;5'!K:L,2,FALSE),"-")</f>
        <v>-</v>
      </c>
      <c r="M542" s="79" t="str">
        <f>+IFERROR(VLOOKUP(CONCATENATE(A542,$B$10,B542),'ID1&amp;5'!B:J,9,FALSE),"-")</f>
        <v>-</v>
      </c>
      <c r="N542" s="79" t="str">
        <f>+IFERROR(VLOOKUP(CONCATENATE(A542,$C$10,C542),'ID1&amp;5'!B:J,8,FALSE),"-")</f>
        <v>-</v>
      </c>
      <c r="O542" s="78" t="str">
        <f>+IFERROR(VLOOKUP(C542,'ID1&amp;5'!K:L,2,FALSE),"-")</f>
        <v>-</v>
      </c>
      <c r="P542" s="79" t="str">
        <f>+IFERROR(VLOOKUP(CONCATENATE(A542,$C$10,C542),'ID1&amp;5'!B:J,9,FALSE),"-")</f>
        <v>-</v>
      </c>
      <c r="Q542" s="78" t="str">
        <f>+IFERROR(VLOOKUP(D542,'ID1&amp;5'!K:L,2,FALSE),"-")</f>
        <v>-</v>
      </c>
      <c r="R542" s="26" t="str">
        <f>+IFERROR(VLOOKUP(CONCATENATE(A542,$D$10,D542),'ID1&amp;5'!B:J,9,FALSE),"-")</f>
        <v>-</v>
      </c>
      <c r="S542" s="78" t="str">
        <f>+IFERROR(VLOOKUP(E542,'ID1&amp;5'!K:L,2,FALSE),"-")</f>
        <v>-</v>
      </c>
      <c r="T542" s="79" t="str">
        <f>+IFERROR(VLOOKUP(CONCATENATE(A542,$E$10,E542),'ID1&amp;5'!B:J,9,FALSE),"-")</f>
        <v>-</v>
      </c>
      <c r="U542" s="78" t="str">
        <f>+IFERROR(VLOOKUP(F542,'ID1&amp;5'!K:L,2,FALSE),"-")</f>
        <v>-</v>
      </c>
      <c r="V542" s="79" t="str">
        <f>+IFERROR(VLOOKUP(CONCATENATE(A542,$F$10,F542),'ID1&amp;5'!B:J,9,FALSE),"-")</f>
        <v>-</v>
      </c>
      <c r="W542" s="26" t="str">
        <f>+IFERROR(VLOOKUP(A542,'ID6&amp;7'!A:I,9,FALSE),"-")</f>
        <v>-</v>
      </c>
      <c r="X542" s="26" t="str">
        <f>+IFERROR(VLOOKUP(A542,'ID6&amp;7'!A:J,10,FALSE),"-")</f>
        <v>-</v>
      </c>
      <c r="Y542" s="26"/>
      <c r="Z542" s="27" t="str">
        <f t="shared" si="9"/>
        <v>Por iniciar</v>
      </c>
      <c r="AA542" s="65"/>
    </row>
    <row r="543" spans="1:27">
      <c r="A543" s="20"/>
      <c r="B543" s="60"/>
      <c r="C543" s="60"/>
      <c r="D543" s="60"/>
      <c r="E543" s="60"/>
      <c r="F543" s="60"/>
      <c r="G543" s="60"/>
      <c r="H543" s="65" t="s">
        <v>118</v>
      </c>
      <c r="I543" s="21" t="s">
        <v>720</v>
      </c>
      <c r="J543" s="26">
        <f>+COUNTIF('ID1&amp;5'!G:G,'1. Status'!I543)</f>
        <v>0</v>
      </c>
      <c r="K543" s="79" t="str">
        <f>+IFERROR(VLOOKUP(CONCATENATE(A543,$B$10,B543),'ID1&amp;5'!B:J,8,FALSE),"-")</f>
        <v>-</v>
      </c>
      <c r="L543" s="78" t="str">
        <f>+IFERROR(VLOOKUP(B543,'ID1&amp;5'!K:L,2,FALSE),"-")</f>
        <v>-</v>
      </c>
      <c r="M543" s="79" t="str">
        <f>+IFERROR(VLOOKUP(CONCATENATE(A543,$B$10,B543),'ID1&amp;5'!B:J,9,FALSE),"-")</f>
        <v>-</v>
      </c>
      <c r="N543" s="79" t="str">
        <f>+IFERROR(VLOOKUP(CONCATENATE(A543,$C$10,C543),'ID1&amp;5'!B:J,8,FALSE),"-")</f>
        <v>-</v>
      </c>
      <c r="O543" s="78" t="str">
        <f>+IFERROR(VLOOKUP(C543,'ID1&amp;5'!K:L,2,FALSE),"-")</f>
        <v>-</v>
      </c>
      <c r="P543" s="79" t="str">
        <f>+IFERROR(VLOOKUP(CONCATENATE(A543,$C$10,C543),'ID1&amp;5'!B:J,9,FALSE),"-")</f>
        <v>-</v>
      </c>
      <c r="Q543" s="78" t="str">
        <f>+IFERROR(VLOOKUP(D543,'ID1&amp;5'!K:L,2,FALSE),"-")</f>
        <v>-</v>
      </c>
      <c r="R543" s="26" t="str">
        <f>+IFERROR(VLOOKUP(CONCATENATE(A543,$D$10,D543),'ID1&amp;5'!B:J,9,FALSE),"-")</f>
        <v>-</v>
      </c>
      <c r="S543" s="78" t="str">
        <f>+IFERROR(VLOOKUP(E543,'ID1&amp;5'!K:L,2,FALSE),"-")</f>
        <v>-</v>
      </c>
      <c r="T543" s="79" t="str">
        <f>+IFERROR(VLOOKUP(CONCATENATE(A543,$E$10,E543),'ID1&amp;5'!B:J,9,FALSE),"-")</f>
        <v>-</v>
      </c>
      <c r="U543" s="78" t="str">
        <f>+IFERROR(VLOOKUP(F543,'ID1&amp;5'!K:L,2,FALSE),"-")</f>
        <v>-</v>
      </c>
      <c r="V543" s="79" t="str">
        <f>+IFERROR(VLOOKUP(CONCATENATE(A543,$F$10,F543),'ID1&amp;5'!B:J,9,FALSE),"-")</f>
        <v>-</v>
      </c>
      <c r="W543" s="26" t="str">
        <f>+IFERROR(VLOOKUP(A543,'ID6&amp;7'!A:I,9,FALSE),"-")</f>
        <v>-</v>
      </c>
      <c r="X543" s="26" t="str">
        <f>+IFERROR(VLOOKUP(A543,'ID6&amp;7'!A:J,10,FALSE),"-")</f>
        <v>-</v>
      </c>
      <c r="Y543" s="26"/>
      <c r="Z543" s="27" t="str">
        <f t="shared" si="9"/>
        <v>Por iniciar</v>
      </c>
      <c r="AA543" s="65"/>
    </row>
    <row r="544" spans="1:27">
      <c r="A544" s="20"/>
      <c r="B544" s="60"/>
      <c r="C544" s="60"/>
      <c r="D544" s="60"/>
      <c r="E544" s="60"/>
      <c r="F544" s="60"/>
      <c r="G544" s="60"/>
      <c r="H544" s="65" t="s">
        <v>118</v>
      </c>
      <c r="I544" s="21" t="s">
        <v>721</v>
      </c>
      <c r="J544" s="26">
        <f>+COUNTIF('ID1&amp;5'!G:G,'1. Status'!I544)</f>
        <v>0</v>
      </c>
      <c r="K544" s="79" t="str">
        <f>+IFERROR(VLOOKUP(CONCATENATE(A544,$B$10,B544),'ID1&amp;5'!B:J,8,FALSE),"-")</f>
        <v>-</v>
      </c>
      <c r="L544" s="78" t="str">
        <f>+IFERROR(VLOOKUP(B544,'ID1&amp;5'!K:L,2,FALSE),"-")</f>
        <v>-</v>
      </c>
      <c r="M544" s="79" t="str">
        <f>+IFERROR(VLOOKUP(CONCATENATE(A544,$B$10,B544),'ID1&amp;5'!B:J,9,FALSE),"-")</f>
        <v>-</v>
      </c>
      <c r="N544" s="79" t="str">
        <f>+IFERROR(VLOOKUP(CONCATENATE(A544,$C$10,C544),'ID1&amp;5'!B:J,8,FALSE),"-")</f>
        <v>-</v>
      </c>
      <c r="O544" s="78" t="str">
        <f>+IFERROR(VLOOKUP(C544,'ID1&amp;5'!K:L,2,FALSE),"-")</f>
        <v>-</v>
      </c>
      <c r="P544" s="79" t="str">
        <f>+IFERROR(VLOOKUP(CONCATENATE(A544,$C$10,C544),'ID1&amp;5'!B:J,9,FALSE),"-")</f>
        <v>-</v>
      </c>
      <c r="Q544" s="78" t="str">
        <f>+IFERROR(VLOOKUP(D544,'ID1&amp;5'!K:L,2,FALSE),"-")</f>
        <v>-</v>
      </c>
      <c r="R544" s="26" t="str">
        <f>+IFERROR(VLOOKUP(CONCATENATE(A544,$D$10,D544),'ID1&amp;5'!B:J,9,FALSE),"-")</f>
        <v>-</v>
      </c>
      <c r="S544" s="78" t="str">
        <f>+IFERROR(VLOOKUP(E544,'ID1&amp;5'!K:L,2,FALSE),"-")</f>
        <v>-</v>
      </c>
      <c r="T544" s="79" t="str">
        <f>+IFERROR(VLOOKUP(CONCATENATE(A544,$E$10,E544),'ID1&amp;5'!B:J,9,FALSE),"-")</f>
        <v>-</v>
      </c>
      <c r="U544" s="78" t="str">
        <f>+IFERROR(VLOOKUP(F544,'ID1&amp;5'!K:L,2,FALSE),"-")</f>
        <v>-</v>
      </c>
      <c r="V544" s="79" t="str">
        <f>+IFERROR(VLOOKUP(CONCATENATE(A544,$F$10,F544),'ID1&amp;5'!B:J,9,FALSE),"-")</f>
        <v>-</v>
      </c>
      <c r="W544" s="26" t="str">
        <f>+IFERROR(VLOOKUP(A544,'ID6&amp;7'!A:I,9,FALSE),"-")</f>
        <v>-</v>
      </c>
      <c r="X544" s="26" t="str">
        <f>+IFERROR(VLOOKUP(A544,'ID6&amp;7'!A:J,10,FALSE),"-")</f>
        <v>-</v>
      </c>
      <c r="Y544" s="26"/>
      <c r="Z544" s="27" t="str">
        <f t="shared" si="9"/>
        <v>Por iniciar</v>
      </c>
      <c r="AA544" s="65"/>
    </row>
    <row r="545" spans="1:27">
      <c r="A545" s="20"/>
      <c r="B545" s="60"/>
      <c r="C545" s="60"/>
      <c r="D545" s="60"/>
      <c r="E545" s="60"/>
      <c r="F545" s="60"/>
      <c r="G545" s="60"/>
      <c r="H545" s="65" t="s">
        <v>118</v>
      </c>
      <c r="I545" s="21" t="s">
        <v>722</v>
      </c>
      <c r="J545" s="26">
        <f>+COUNTIF('ID1&amp;5'!G:G,'1. Status'!I545)</f>
        <v>0</v>
      </c>
      <c r="K545" s="79" t="str">
        <f>+IFERROR(VLOOKUP(CONCATENATE(A545,$B$10,B545),'ID1&amp;5'!B:J,8,FALSE),"-")</f>
        <v>-</v>
      </c>
      <c r="L545" s="78" t="str">
        <f>+IFERROR(VLOOKUP(B545,'ID1&amp;5'!K:L,2,FALSE),"-")</f>
        <v>-</v>
      </c>
      <c r="M545" s="79" t="str">
        <f>+IFERROR(VLOOKUP(CONCATENATE(A545,$B$10,B545),'ID1&amp;5'!B:J,9,FALSE),"-")</f>
        <v>-</v>
      </c>
      <c r="N545" s="79" t="str">
        <f>+IFERROR(VLOOKUP(CONCATENATE(A545,$C$10,C545),'ID1&amp;5'!B:J,8,FALSE),"-")</f>
        <v>-</v>
      </c>
      <c r="O545" s="78" t="str">
        <f>+IFERROR(VLOOKUP(C545,'ID1&amp;5'!K:L,2,FALSE),"-")</f>
        <v>-</v>
      </c>
      <c r="P545" s="79" t="str">
        <f>+IFERROR(VLOOKUP(CONCATENATE(A545,$C$10,C545),'ID1&amp;5'!B:J,9,FALSE),"-")</f>
        <v>-</v>
      </c>
      <c r="Q545" s="78" t="str">
        <f>+IFERROR(VLOOKUP(D545,'ID1&amp;5'!K:L,2,FALSE),"-")</f>
        <v>-</v>
      </c>
      <c r="R545" s="26" t="str">
        <f>+IFERROR(VLOOKUP(CONCATENATE(A545,$D$10,D545),'ID1&amp;5'!B:J,9,FALSE),"-")</f>
        <v>-</v>
      </c>
      <c r="S545" s="78" t="str">
        <f>+IFERROR(VLOOKUP(E545,'ID1&amp;5'!K:L,2,FALSE),"-")</f>
        <v>-</v>
      </c>
      <c r="T545" s="79" t="str">
        <f>+IFERROR(VLOOKUP(CONCATENATE(A545,$E$10,E545),'ID1&amp;5'!B:J,9,FALSE),"-")</f>
        <v>-</v>
      </c>
      <c r="U545" s="78" t="str">
        <f>+IFERROR(VLOOKUP(F545,'ID1&amp;5'!K:L,2,FALSE),"-")</f>
        <v>-</v>
      </c>
      <c r="V545" s="79" t="str">
        <f>+IFERROR(VLOOKUP(CONCATENATE(A545,$F$10,F545),'ID1&amp;5'!B:J,9,FALSE),"-")</f>
        <v>-</v>
      </c>
      <c r="W545" s="26" t="str">
        <f>+IFERROR(VLOOKUP(A545,'ID6&amp;7'!A:I,9,FALSE),"-")</f>
        <v>-</v>
      </c>
      <c r="X545" s="26" t="str">
        <f>+IFERROR(VLOOKUP(A545,'ID6&amp;7'!A:J,10,FALSE),"-")</f>
        <v>-</v>
      </c>
      <c r="Y545" s="26"/>
      <c r="Z545" s="27" t="str">
        <f t="shared" si="9"/>
        <v>Por iniciar</v>
      </c>
      <c r="AA545" s="65"/>
    </row>
    <row r="546" spans="1:27">
      <c r="A546" s="20"/>
      <c r="B546" s="60"/>
      <c r="C546" s="60"/>
      <c r="D546" s="60"/>
      <c r="E546" s="60"/>
      <c r="F546" s="60"/>
      <c r="G546" s="60"/>
      <c r="H546" s="65" t="s">
        <v>118</v>
      </c>
      <c r="I546" s="21" t="s">
        <v>723</v>
      </c>
      <c r="J546" s="26">
        <f>+COUNTIF('ID1&amp;5'!G:G,'1. Status'!I546)</f>
        <v>0</v>
      </c>
      <c r="K546" s="79" t="str">
        <f>+IFERROR(VLOOKUP(CONCATENATE(A546,$B$10,B546),'ID1&amp;5'!B:J,8,FALSE),"-")</f>
        <v>-</v>
      </c>
      <c r="L546" s="78" t="str">
        <f>+IFERROR(VLOOKUP(B546,'ID1&amp;5'!K:L,2,FALSE),"-")</f>
        <v>-</v>
      </c>
      <c r="M546" s="79" t="str">
        <f>+IFERROR(VLOOKUP(CONCATENATE(A546,$B$10,B546),'ID1&amp;5'!B:J,9,FALSE),"-")</f>
        <v>-</v>
      </c>
      <c r="N546" s="79" t="str">
        <f>+IFERROR(VLOOKUP(CONCATENATE(A546,$C$10,C546),'ID1&amp;5'!B:J,8,FALSE),"-")</f>
        <v>-</v>
      </c>
      <c r="O546" s="78" t="str">
        <f>+IFERROR(VLOOKUP(C546,'ID1&amp;5'!K:L,2,FALSE),"-")</f>
        <v>-</v>
      </c>
      <c r="P546" s="79" t="str">
        <f>+IFERROR(VLOOKUP(CONCATENATE(A546,$C$10,C546),'ID1&amp;5'!B:J,9,FALSE),"-")</f>
        <v>-</v>
      </c>
      <c r="Q546" s="78" t="str">
        <f>+IFERROR(VLOOKUP(D546,'ID1&amp;5'!K:L,2,FALSE),"-")</f>
        <v>-</v>
      </c>
      <c r="R546" s="26" t="str">
        <f>+IFERROR(VLOOKUP(CONCATENATE(A546,$D$10,D546),'ID1&amp;5'!B:J,9,FALSE),"-")</f>
        <v>-</v>
      </c>
      <c r="S546" s="78" t="str">
        <f>+IFERROR(VLOOKUP(E546,'ID1&amp;5'!K:L,2,FALSE),"-")</f>
        <v>-</v>
      </c>
      <c r="T546" s="79" t="str">
        <f>+IFERROR(VLOOKUP(CONCATENATE(A546,$E$10,E546),'ID1&amp;5'!B:J,9,FALSE),"-")</f>
        <v>-</v>
      </c>
      <c r="U546" s="78" t="str">
        <f>+IFERROR(VLOOKUP(F546,'ID1&amp;5'!K:L,2,FALSE),"-")</f>
        <v>-</v>
      </c>
      <c r="V546" s="79" t="str">
        <f>+IFERROR(VLOOKUP(CONCATENATE(A546,$F$10,F546),'ID1&amp;5'!B:J,9,FALSE),"-")</f>
        <v>-</v>
      </c>
      <c r="W546" s="26" t="str">
        <f>+IFERROR(VLOOKUP(A546,'ID6&amp;7'!A:I,9,FALSE),"-")</f>
        <v>-</v>
      </c>
      <c r="X546" s="26" t="str">
        <f>+IFERROR(VLOOKUP(A546,'ID6&amp;7'!A:J,10,FALSE),"-")</f>
        <v>-</v>
      </c>
      <c r="Y546" s="26"/>
      <c r="Z546" s="27" t="str">
        <f t="shared" si="9"/>
        <v>Por iniciar</v>
      </c>
      <c r="AA546" s="65"/>
    </row>
    <row r="547" spans="1:27">
      <c r="A547" s="20"/>
      <c r="B547" s="60"/>
      <c r="C547" s="60"/>
      <c r="D547" s="60"/>
      <c r="E547" s="60"/>
      <c r="F547" s="60"/>
      <c r="G547" s="60"/>
      <c r="H547" s="65" t="s">
        <v>118</v>
      </c>
      <c r="I547" s="21" t="s">
        <v>724</v>
      </c>
      <c r="J547" s="26">
        <f>+COUNTIF('ID1&amp;5'!G:G,'1. Status'!I547)</f>
        <v>0</v>
      </c>
      <c r="K547" s="79" t="str">
        <f>+IFERROR(VLOOKUP(CONCATENATE(A547,$B$10,B547),'ID1&amp;5'!B:J,8,FALSE),"-")</f>
        <v>-</v>
      </c>
      <c r="L547" s="78" t="str">
        <f>+IFERROR(VLOOKUP(B547,'ID1&amp;5'!K:L,2,FALSE),"-")</f>
        <v>-</v>
      </c>
      <c r="M547" s="79" t="str">
        <f>+IFERROR(VLOOKUP(CONCATENATE(A547,$B$10,B547),'ID1&amp;5'!B:J,9,FALSE),"-")</f>
        <v>-</v>
      </c>
      <c r="N547" s="79" t="str">
        <f>+IFERROR(VLOOKUP(CONCATENATE(A547,$C$10,C547),'ID1&amp;5'!B:J,8,FALSE),"-")</f>
        <v>-</v>
      </c>
      <c r="O547" s="78" t="str">
        <f>+IFERROR(VLOOKUP(C547,'ID1&amp;5'!K:L,2,FALSE),"-")</f>
        <v>-</v>
      </c>
      <c r="P547" s="79" t="str">
        <f>+IFERROR(VLOOKUP(CONCATENATE(A547,$C$10,C547),'ID1&amp;5'!B:J,9,FALSE),"-")</f>
        <v>-</v>
      </c>
      <c r="Q547" s="78" t="str">
        <f>+IFERROR(VLOOKUP(D547,'ID1&amp;5'!K:L,2,FALSE),"-")</f>
        <v>-</v>
      </c>
      <c r="R547" s="26" t="str">
        <f>+IFERROR(VLOOKUP(CONCATENATE(A547,$D$10,D547),'ID1&amp;5'!B:J,9,FALSE),"-")</f>
        <v>-</v>
      </c>
      <c r="S547" s="78" t="str">
        <f>+IFERROR(VLOOKUP(E547,'ID1&amp;5'!K:L,2,FALSE),"-")</f>
        <v>-</v>
      </c>
      <c r="T547" s="79" t="str">
        <f>+IFERROR(VLOOKUP(CONCATENATE(A547,$E$10,E547),'ID1&amp;5'!B:J,9,FALSE),"-")</f>
        <v>-</v>
      </c>
      <c r="U547" s="78" t="str">
        <f>+IFERROR(VLOOKUP(F547,'ID1&amp;5'!K:L,2,FALSE),"-")</f>
        <v>-</v>
      </c>
      <c r="V547" s="79" t="str">
        <f>+IFERROR(VLOOKUP(CONCATENATE(A547,$F$10,F547),'ID1&amp;5'!B:J,9,FALSE),"-")</f>
        <v>-</v>
      </c>
      <c r="W547" s="26" t="str">
        <f>+IFERROR(VLOOKUP(A547,'ID6&amp;7'!A:I,9,FALSE),"-")</f>
        <v>-</v>
      </c>
      <c r="X547" s="26" t="str">
        <f>+IFERROR(VLOOKUP(A547,'ID6&amp;7'!A:J,10,FALSE),"-")</f>
        <v>-</v>
      </c>
      <c r="Y547" s="26"/>
      <c r="Z547" s="27" t="str">
        <f t="shared" si="9"/>
        <v>Por iniciar</v>
      </c>
      <c r="AA547" s="65"/>
    </row>
    <row r="548" spans="1:27">
      <c r="A548" s="20"/>
      <c r="B548" s="60"/>
      <c r="C548" s="60"/>
      <c r="D548" s="60"/>
      <c r="E548" s="60"/>
      <c r="F548" s="60"/>
      <c r="G548" s="60"/>
      <c r="H548" s="65" t="s">
        <v>118</v>
      </c>
      <c r="I548" s="21" t="s">
        <v>725</v>
      </c>
      <c r="J548" s="26">
        <f>+COUNTIF('ID1&amp;5'!G:G,'1. Status'!I548)</f>
        <v>0</v>
      </c>
      <c r="K548" s="79" t="str">
        <f>+IFERROR(VLOOKUP(CONCATENATE(A548,$B$10,B548),'ID1&amp;5'!B:J,8,FALSE),"-")</f>
        <v>-</v>
      </c>
      <c r="L548" s="78" t="str">
        <f>+IFERROR(VLOOKUP(B548,'ID1&amp;5'!K:L,2,FALSE),"-")</f>
        <v>-</v>
      </c>
      <c r="M548" s="79" t="str">
        <f>+IFERROR(VLOOKUP(CONCATENATE(A548,$B$10,B548),'ID1&amp;5'!B:J,9,FALSE),"-")</f>
        <v>-</v>
      </c>
      <c r="N548" s="79" t="str">
        <f>+IFERROR(VLOOKUP(CONCATENATE(A548,$C$10,C548),'ID1&amp;5'!B:J,8,FALSE),"-")</f>
        <v>-</v>
      </c>
      <c r="O548" s="78" t="str">
        <f>+IFERROR(VLOOKUP(C548,'ID1&amp;5'!K:L,2,FALSE),"-")</f>
        <v>-</v>
      </c>
      <c r="P548" s="79" t="str">
        <f>+IFERROR(VLOOKUP(CONCATENATE(A548,$C$10,C548),'ID1&amp;5'!B:J,9,FALSE),"-")</f>
        <v>-</v>
      </c>
      <c r="Q548" s="78" t="str">
        <f>+IFERROR(VLOOKUP(D548,'ID1&amp;5'!K:L,2,FALSE),"-")</f>
        <v>-</v>
      </c>
      <c r="R548" s="26" t="str">
        <f>+IFERROR(VLOOKUP(CONCATENATE(A548,$D$10,D548),'ID1&amp;5'!B:J,9,FALSE),"-")</f>
        <v>-</v>
      </c>
      <c r="S548" s="78" t="str">
        <f>+IFERROR(VLOOKUP(E548,'ID1&amp;5'!K:L,2,FALSE),"-")</f>
        <v>-</v>
      </c>
      <c r="T548" s="79" t="str">
        <f>+IFERROR(VLOOKUP(CONCATENATE(A548,$E$10,E548),'ID1&amp;5'!B:J,9,FALSE),"-")</f>
        <v>-</v>
      </c>
      <c r="U548" s="78" t="str">
        <f>+IFERROR(VLOOKUP(F548,'ID1&amp;5'!K:L,2,FALSE),"-")</f>
        <v>-</v>
      </c>
      <c r="V548" s="79" t="str">
        <f>+IFERROR(VLOOKUP(CONCATENATE(A548,$F$10,F548),'ID1&amp;5'!B:J,9,FALSE),"-")</f>
        <v>-</v>
      </c>
      <c r="W548" s="26" t="str">
        <f>+IFERROR(VLOOKUP(A548,'ID6&amp;7'!A:I,9,FALSE),"-")</f>
        <v>-</v>
      </c>
      <c r="X548" s="26" t="str">
        <f>+IFERROR(VLOOKUP(A548,'ID6&amp;7'!A:J,10,FALSE),"-")</f>
        <v>-</v>
      </c>
      <c r="Y548" s="26"/>
      <c r="Z548" s="27" t="str">
        <f t="shared" si="9"/>
        <v>Por iniciar</v>
      </c>
      <c r="AA548" s="65"/>
    </row>
    <row r="549" spans="1:27">
      <c r="A549" s="20"/>
      <c r="B549" s="60"/>
      <c r="C549" s="60"/>
      <c r="D549" s="60"/>
      <c r="E549" s="60"/>
      <c r="F549" s="60"/>
      <c r="G549" s="60"/>
      <c r="H549" s="65" t="s">
        <v>118</v>
      </c>
      <c r="I549" s="21" t="s">
        <v>726</v>
      </c>
      <c r="J549" s="26">
        <f>+COUNTIF('ID1&amp;5'!G:G,'1. Status'!I549)</f>
        <v>0</v>
      </c>
      <c r="K549" s="79" t="str">
        <f>+IFERROR(VLOOKUP(CONCATENATE(A549,$B$10,B549),'ID1&amp;5'!B:J,8,FALSE),"-")</f>
        <v>-</v>
      </c>
      <c r="L549" s="78" t="str">
        <f>+IFERROR(VLOOKUP(B549,'ID1&amp;5'!K:L,2,FALSE),"-")</f>
        <v>-</v>
      </c>
      <c r="M549" s="79" t="str">
        <f>+IFERROR(VLOOKUP(CONCATENATE(A549,$B$10,B549),'ID1&amp;5'!B:J,9,FALSE),"-")</f>
        <v>-</v>
      </c>
      <c r="N549" s="79" t="str">
        <f>+IFERROR(VLOOKUP(CONCATENATE(A549,$C$10,C549),'ID1&amp;5'!B:J,8,FALSE),"-")</f>
        <v>-</v>
      </c>
      <c r="O549" s="78" t="str">
        <f>+IFERROR(VLOOKUP(C549,'ID1&amp;5'!K:L,2,FALSE),"-")</f>
        <v>-</v>
      </c>
      <c r="P549" s="79" t="str">
        <f>+IFERROR(VLOOKUP(CONCATENATE(A549,$C$10,C549),'ID1&amp;5'!B:J,9,FALSE),"-")</f>
        <v>-</v>
      </c>
      <c r="Q549" s="78" t="str">
        <f>+IFERROR(VLOOKUP(D549,'ID1&amp;5'!K:L,2,FALSE),"-")</f>
        <v>-</v>
      </c>
      <c r="R549" s="26" t="str">
        <f>+IFERROR(VLOOKUP(CONCATENATE(A549,$D$10,D549),'ID1&amp;5'!B:J,9,FALSE),"-")</f>
        <v>-</v>
      </c>
      <c r="S549" s="78" t="str">
        <f>+IFERROR(VLOOKUP(E549,'ID1&amp;5'!K:L,2,FALSE),"-")</f>
        <v>-</v>
      </c>
      <c r="T549" s="79" t="str">
        <f>+IFERROR(VLOOKUP(CONCATENATE(A549,$E$10,E549),'ID1&amp;5'!B:J,9,FALSE),"-")</f>
        <v>-</v>
      </c>
      <c r="U549" s="78" t="str">
        <f>+IFERROR(VLOOKUP(F549,'ID1&amp;5'!K:L,2,FALSE),"-")</f>
        <v>-</v>
      </c>
      <c r="V549" s="79" t="str">
        <f>+IFERROR(VLOOKUP(CONCATENATE(A549,$F$10,F549),'ID1&amp;5'!B:J,9,FALSE),"-")</f>
        <v>-</v>
      </c>
      <c r="W549" s="26" t="str">
        <f>+IFERROR(VLOOKUP(A549,'ID6&amp;7'!A:I,9,FALSE),"-")</f>
        <v>-</v>
      </c>
      <c r="X549" s="26" t="str">
        <f>+IFERROR(VLOOKUP(A549,'ID6&amp;7'!A:J,10,FALSE),"-")</f>
        <v>-</v>
      </c>
      <c r="Y549" s="26"/>
      <c r="Z549" s="27" t="str">
        <f t="shared" si="9"/>
        <v>Por iniciar</v>
      </c>
      <c r="AA549" s="65"/>
    </row>
    <row r="550" spans="1:27">
      <c r="A550" s="20"/>
      <c r="B550" s="60"/>
      <c r="C550" s="60"/>
      <c r="D550" s="60"/>
      <c r="E550" s="60"/>
      <c r="F550" s="60"/>
      <c r="G550" s="60"/>
      <c r="H550" s="65" t="s">
        <v>118</v>
      </c>
      <c r="I550" s="21" t="s">
        <v>1501</v>
      </c>
      <c r="J550" s="26">
        <f>+COUNTIF('ID1&amp;5'!G:G,'1. Status'!I550)</f>
        <v>0</v>
      </c>
      <c r="K550" s="79" t="str">
        <f>+IFERROR(VLOOKUP(CONCATENATE(A550,$B$10,B550),'ID1&amp;5'!B:J,8,FALSE),"-")</f>
        <v>-</v>
      </c>
      <c r="L550" s="78" t="str">
        <f>+IFERROR(VLOOKUP(B550,'ID1&amp;5'!K:L,2,FALSE),"-")</f>
        <v>-</v>
      </c>
      <c r="M550" s="79" t="str">
        <f>+IFERROR(VLOOKUP(CONCATENATE(A550,$B$10,B550),'ID1&amp;5'!B:J,9,FALSE),"-")</f>
        <v>-</v>
      </c>
      <c r="N550" s="79" t="str">
        <f>+IFERROR(VLOOKUP(CONCATENATE(A550,$C$10,C550),'ID1&amp;5'!B:J,8,FALSE),"-")</f>
        <v>-</v>
      </c>
      <c r="O550" s="78" t="str">
        <f>+IFERROR(VLOOKUP(C550,'ID1&amp;5'!K:L,2,FALSE),"-")</f>
        <v>-</v>
      </c>
      <c r="P550" s="79" t="str">
        <f>+IFERROR(VLOOKUP(CONCATENATE(A550,$C$10,C550),'ID1&amp;5'!B:J,9,FALSE),"-")</f>
        <v>-</v>
      </c>
      <c r="Q550" s="78" t="str">
        <f>+IFERROR(VLOOKUP(D550,'ID1&amp;5'!K:L,2,FALSE),"-")</f>
        <v>-</v>
      </c>
      <c r="R550" s="26" t="str">
        <f>+IFERROR(VLOOKUP(CONCATENATE(A550,$D$10,D550),'ID1&amp;5'!B:J,9,FALSE),"-")</f>
        <v>-</v>
      </c>
      <c r="S550" s="78" t="str">
        <f>+IFERROR(VLOOKUP(E550,'ID1&amp;5'!K:L,2,FALSE),"-")</f>
        <v>-</v>
      </c>
      <c r="T550" s="79" t="str">
        <f>+IFERROR(VLOOKUP(CONCATENATE(A550,$E$10,E550),'ID1&amp;5'!B:J,9,FALSE),"-")</f>
        <v>-</v>
      </c>
      <c r="U550" s="78" t="str">
        <f>+IFERROR(VLOOKUP(F550,'ID1&amp;5'!K:L,2,FALSE),"-")</f>
        <v>-</v>
      </c>
      <c r="V550" s="79" t="str">
        <f>+IFERROR(VLOOKUP(CONCATENATE(A550,$F$10,F550),'ID1&amp;5'!B:J,9,FALSE),"-")</f>
        <v>-</v>
      </c>
      <c r="W550" s="26" t="str">
        <f>+IFERROR(VLOOKUP(A550,'ID6&amp;7'!A:I,9,FALSE),"-")</f>
        <v>-</v>
      </c>
      <c r="X550" s="26" t="str">
        <f>+IFERROR(VLOOKUP(A550,'ID6&amp;7'!A:J,10,FALSE),"-")</f>
        <v>-</v>
      </c>
      <c r="Y550" s="26"/>
      <c r="Z550" s="27" t="str">
        <f t="shared" si="9"/>
        <v>Por iniciar</v>
      </c>
      <c r="AA550" s="65"/>
    </row>
    <row r="551" spans="1:27">
      <c r="A551" s="20"/>
      <c r="B551" s="60"/>
      <c r="C551" s="60"/>
      <c r="D551" s="60"/>
      <c r="E551" s="60"/>
      <c r="F551" s="60"/>
      <c r="G551" s="60"/>
      <c r="H551" s="65" t="s">
        <v>118</v>
      </c>
      <c r="I551" s="21" t="s">
        <v>1502</v>
      </c>
      <c r="J551" s="26">
        <f>+COUNTIF('ID1&amp;5'!G:G,'1. Status'!I551)</f>
        <v>0</v>
      </c>
      <c r="K551" s="79" t="str">
        <f>+IFERROR(VLOOKUP(CONCATENATE(A551,$B$10,B551),'ID1&amp;5'!B:J,8,FALSE),"-")</f>
        <v>-</v>
      </c>
      <c r="L551" s="78" t="str">
        <f>+IFERROR(VLOOKUP(B551,'ID1&amp;5'!K:L,2,FALSE),"-")</f>
        <v>-</v>
      </c>
      <c r="M551" s="79" t="str">
        <f>+IFERROR(VLOOKUP(CONCATENATE(A551,$B$10,B551),'ID1&amp;5'!B:J,9,FALSE),"-")</f>
        <v>-</v>
      </c>
      <c r="N551" s="79" t="str">
        <f>+IFERROR(VLOOKUP(CONCATENATE(A551,$C$10,C551),'ID1&amp;5'!B:J,8,FALSE),"-")</f>
        <v>-</v>
      </c>
      <c r="O551" s="78" t="str">
        <f>+IFERROR(VLOOKUP(C551,'ID1&amp;5'!K:L,2,FALSE),"-")</f>
        <v>-</v>
      </c>
      <c r="P551" s="79" t="str">
        <f>+IFERROR(VLOOKUP(CONCATENATE(A551,$C$10,C551),'ID1&amp;5'!B:J,9,FALSE),"-")</f>
        <v>-</v>
      </c>
      <c r="Q551" s="78" t="str">
        <f>+IFERROR(VLOOKUP(D551,'ID1&amp;5'!K:L,2,FALSE),"-")</f>
        <v>-</v>
      </c>
      <c r="R551" s="26" t="str">
        <f>+IFERROR(VLOOKUP(CONCATENATE(A551,$D$10,D551),'ID1&amp;5'!B:J,9,FALSE),"-")</f>
        <v>-</v>
      </c>
      <c r="S551" s="78" t="str">
        <f>+IFERROR(VLOOKUP(E551,'ID1&amp;5'!K:L,2,FALSE),"-")</f>
        <v>-</v>
      </c>
      <c r="T551" s="79" t="str">
        <f>+IFERROR(VLOOKUP(CONCATENATE(A551,$E$10,E551),'ID1&amp;5'!B:J,9,FALSE),"-")</f>
        <v>-</v>
      </c>
      <c r="U551" s="78" t="str">
        <f>+IFERROR(VLOOKUP(F551,'ID1&amp;5'!K:L,2,FALSE),"-")</f>
        <v>-</v>
      </c>
      <c r="V551" s="79" t="str">
        <f>+IFERROR(VLOOKUP(CONCATENATE(A551,$F$10,F551),'ID1&amp;5'!B:J,9,FALSE),"-")</f>
        <v>-</v>
      </c>
      <c r="W551" s="26" t="str">
        <f>+IFERROR(VLOOKUP(A551,'ID6&amp;7'!A:I,9,FALSE),"-")</f>
        <v>-</v>
      </c>
      <c r="X551" s="26" t="str">
        <f>+IFERROR(VLOOKUP(A551,'ID6&amp;7'!A:J,10,FALSE),"-")</f>
        <v>-</v>
      </c>
      <c r="Y551" s="26"/>
      <c r="Z551" s="27" t="str">
        <f t="shared" si="9"/>
        <v>Por iniciar</v>
      </c>
      <c r="AA551" s="65"/>
    </row>
    <row r="552" spans="1:27">
      <c r="A552" s="20"/>
      <c r="B552" s="60"/>
      <c r="C552" s="60"/>
      <c r="D552" s="60"/>
      <c r="E552" s="60"/>
      <c r="F552" s="60"/>
      <c r="G552" s="60"/>
      <c r="H552" s="65" t="s">
        <v>118</v>
      </c>
      <c r="I552" s="21" t="s">
        <v>1503</v>
      </c>
      <c r="J552" s="26">
        <f>+COUNTIF('ID1&amp;5'!G:G,'1. Status'!I552)</f>
        <v>0</v>
      </c>
      <c r="K552" s="79" t="str">
        <f>+IFERROR(VLOOKUP(CONCATENATE(A552,$B$10,B552),'ID1&amp;5'!B:J,8,FALSE),"-")</f>
        <v>-</v>
      </c>
      <c r="L552" s="78" t="str">
        <f>+IFERROR(VLOOKUP(B552,'ID1&amp;5'!K:L,2,FALSE),"-")</f>
        <v>-</v>
      </c>
      <c r="M552" s="79" t="str">
        <f>+IFERROR(VLOOKUP(CONCATENATE(A552,$B$10,B552),'ID1&amp;5'!B:J,9,FALSE),"-")</f>
        <v>-</v>
      </c>
      <c r="N552" s="79" t="str">
        <f>+IFERROR(VLOOKUP(CONCATENATE(A552,$C$10,C552),'ID1&amp;5'!B:J,8,FALSE),"-")</f>
        <v>-</v>
      </c>
      <c r="O552" s="78" t="str">
        <f>+IFERROR(VLOOKUP(C552,'ID1&amp;5'!K:L,2,FALSE),"-")</f>
        <v>-</v>
      </c>
      <c r="P552" s="79" t="str">
        <f>+IFERROR(VLOOKUP(CONCATENATE(A552,$C$10,C552),'ID1&amp;5'!B:J,9,FALSE),"-")</f>
        <v>-</v>
      </c>
      <c r="Q552" s="78" t="str">
        <f>+IFERROR(VLOOKUP(D552,'ID1&amp;5'!K:L,2,FALSE),"-")</f>
        <v>-</v>
      </c>
      <c r="R552" s="26" t="str">
        <f>+IFERROR(VLOOKUP(CONCATENATE(A552,$D$10,D552),'ID1&amp;5'!B:J,9,FALSE),"-")</f>
        <v>-</v>
      </c>
      <c r="S552" s="78" t="str">
        <f>+IFERROR(VLOOKUP(E552,'ID1&amp;5'!K:L,2,FALSE),"-")</f>
        <v>-</v>
      </c>
      <c r="T552" s="79" t="str">
        <f>+IFERROR(VLOOKUP(CONCATENATE(A552,$E$10,E552),'ID1&amp;5'!B:J,9,FALSE),"-")</f>
        <v>-</v>
      </c>
      <c r="U552" s="78" t="str">
        <f>+IFERROR(VLOOKUP(F552,'ID1&amp;5'!K:L,2,FALSE),"-")</f>
        <v>-</v>
      </c>
      <c r="V552" s="79" t="str">
        <f>+IFERROR(VLOOKUP(CONCATENATE(A552,$F$10,F552),'ID1&amp;5'!B:J,9,FALSE),"-")</f>
        <v>-</v>
      </c>
      <c r="W552" s="26" t="str">
        <f>+IFERROR(VLOOKUP(A552,'ID6&amp;7'!A:I,9,FALSE),"-")</f>
        <v>-</v>
      </c>
      <c r="X552" s="26" t="str">
        <f>+IFERROR(VLOOKUP(A552,'ID6&amp;7'!A:J,10,FALSE),"-")</f>
        <v>-</v>
      </c>
      <c r="Y552" s="26"/>
      <c r="Z552" s="27" t="str">
        <f t="shared" si="9"/>
        <v>Por iniciar</v>
      </c>
      <c r="AA552" s="65"/>
    </row>
    <row r="553" spans="1:27">
      <c r="A553" s="20"/>
      <c r="B553" s="60"/>
      <c r="C553" s="60"/>
      <c r="D553" s="60"/>
      <c r="E553" s="60"/>
      <c r="F553" s="60"/>
      <c r="G553" s="60"/>
      <c r="H553" s="65" t="s">
        <v>118</v>
      </c>
      <c r="I553" s="21" t="s">
        <v>1504</v>
      </c>
      <c r="J553" s="26">
        <f>+COUNTIF('ID1&amp;5'!G:G,'1. Status'!I553)</f>
        <v>0</v>
      </c>
      <c r="K553" s="79" t="str">
        <f>+IFERROR(VLOOKUP(CONCATENATE(A553,$B$10,B553),'ID1&amp;5'!B:J,8,FALSE),"-")</f>
        <v>-</v>
      </c>
      <c r="L553" s="78" t="str">
        <f>+IFERROR(VLOOKUP(B553,'ID1&amp;5'!K:L,2,FALSE),"-")</f>
        <v>-</v>
      </c>
      <c r="M553" s="79" t="str">
        <f>+IFERROR(VLOOKUP(CONCATENATE(A553,$B$10,B553),'ID1&amp;5'!B:J,9,FALSE),"-")</f>
        <v>-</v>
      </c>
      <c r="N553" s="79" t="str">
        <f>+IFERROR(VLOOKUP(CONCATENATE(A553,$C$10,C553),'ID1&amp;5'!B:J,8,FALSE),"-")</f>
        <v>-</v>
      </c>
      <c r="O553" s="78" t="str">
        <f>+IFERROR(VLOOKUP(C553,'ID1&amp;5'!K:L,2,FALSE),"-")</f>
        <v>-</v>
      </c>
      <c r="P553" s="79" t="str">
        <f>+IFERROR(VLOOKUP(CONCATENATE(A553,$C$10,C553),'ID1&amp;5'!B:J,9,FALSE),"-")</f>
        <v>-</v>
      </c>
      <c r="Q553" s="78" t="str">
        <f>+IFERROR(VLOOKUP(D553,'ID1&amp;5'!K:L,2,FALSE),"-")</f>
        <v>-</v>
      </c>
      <c r="R553" s="26" t="str">
        <f>+IFERROR(VLOOKUP(CONCATENATE(A553,$D$10,D553),'ID1&amp;5'!B:J,9,FALSE),"-")</f>
        <v>-</v>
      </c>
      <c r="S553" s="78" t="str">
        <f>+IFERROR(VLOOKUP(E553,'ID1&amp;5'!K:L,2,FALSE),"-")</f>
        <v>-</v>
      </c>
      <c r="T553" s="79" t="str">
        <f>+IFERROR(VLOOKUP(CONCATENATE(A553,$E$10,E553),'ID1&amp;5'!B:J,9,FALSE),"-")</f>
        <v>-</v>
      </c>
      <c r="U553" s="78" t="str">
        <f>+IFERROR(VLOOKUP(F553,'ID1&amp;5'!K:L,2,FALSE),"-")</f>
        <v>-</v>
      </c>
      <c r="V553" s="79" t="str">
        <f>+IFERROR(VLOOKUP(CONCATENATE(A553,$F$10,F553),'ID1&amp;5'!B:J,9,FALSE),"-")</f>
        <v>-</v>
      </c>
      <c r="W553" s="26" t="str">
        <f>+IFERROR(VLOOKUP(A553,'ID6&amp;7'!A:I,9,FALSE),"-")</f>
        <v>-</v>
      </c>
      <c r="X553" s="26" t="str">
        <f>+IFERROR(VLOOKUP(A553,'ID6&amp;7'!A:J,10,FALSE),"-")</f>
        <v>-</v>
      </c>
      <c r="Y553" s="26"/>
      <c r="Z553" s="27" t="str">
        <f t="shared" si="9"/>
        <v>Por iniciar</v>
      </c>
      <c r="AA553" s="65"/>
    </row>
    <row r="554" spans="1:27">
      <c r="A554" s="20"/>
      <c r="B554" s="60"/>
      <c r="C554" s="60"/>
      <c r="D554" s="60"/>
      <c r="E554" s="60"/>
      <c r="F554" s="60"/>
      <c r="G554" s="60"/>
      <c r="H554" s="65" t="s">
        <v>118</v>
      </c>
      <c r="I554" s="21" t="s">
        <v>1393</v>
      </c>
      <c r="J554" s="26">
        <f>+COUNTIF('ID1&amp;5'!G:G,'1. Status'!I554)</f>
        <v>0</v>
      </c>
      <c r="K554" s="79" t="str">
        <f>+IFERROR(VLOOKUP(CONCATENATE(A554,$B$10,B554),'ID1&amp;5'!B:J,8,FALSE),"-")</f>
        <v>-</v>
      </c>
      <c r="L554" s="78" t="str">
        <f>+IFERROR(VLOOKUP(B554,'ID1&amp;5'!K:L,2,FALSE),"-")</f>
        <v>-</v>
      </c>
      <c r="M554" s="79" t="str">
        <f>+IFERROR(VLOOKUP(CONCATENATE(A554,$B$10,B554),'ID1&amp;5'!B:J,9,FALSE),"-")</f>
        <v>-</v>
      </c>
      <c r="N554" s="79" t="str">
        <f>+IFERROR(VLOOKUP(CONCATENATE(A554,$C$10,C554),'ID1&amp;5'!B:J,8,FALSE),"-")</f>
        <v>-</v>
      </c>
      <c r="O554" s="78" t="str">
        <f>+IFERROR(VLOOKUP(C554,'ID1&amp;5'!K:L,2,FALSE),"-")</f>
        <v>-</v>
      </c>
      <c r="P554" s="79" t="str">
        <f>+IFERROR(VLOOKUP(CONCATENATE(A554,$C$10,C554),'ID1&amp;5'!B:J,9,FALSE),"-")</f>
        <v>-</v>
      </c>
      <c r="Q554" s="78" t="str">
        <f>+IFERROR(VLOOKUP(D554,'ID1&amp;5'!K:L,2,FALSE),"-")</f>
        <v>-</v>
      </c>
      <c r="R554" s="26" t="str">
        <f>+IFERROR(VLOOKUP(CONCATENATE(A554,$D$10,D554),'ID1&amp;5'!B:J,9,FALSE),"-")</f>
        <v>-</v>
      </c>
      <c r="S554" s="78" t="str">
        <f>+IFERROR(VLOOKUP(E554,'ID1&amp;5'!K:L,2,FALSE),"-")</f>
        <v>-</v>
      </c>
      <c r="T554" s="79" t="str">
        <f>+IFERROR(VLOOKUP(CONCATENATE(A554,$E$10,E554),'ID1&amp;5'!B:J,9,FALSE),"-")</f>
        <v>-</v>
      </c>
      <c r="U554" s="78" t="str">
        <f>+IFERROR(VLOOKUP(F554,'ID1&amp;5'!K:L,2,FALSE),"-")</f>
        <v>-</v>
      </c>
      <c r="V554" s="79" t="str">
        <f>+IFERROR(VLOOKUP(CONCATENATE(A554,$F$10,F554),'ID1&amp;5'!B:J,9,FALSE),"-")</f>
        <v>-</v>
      </c>
      <c r="W554" s="26" t="str">
        <f>+IFERROR(VLOOKUP(A554,'ID6&amp;7'!A:I,9,FALSE),"-")</f>
        <v>-</v>
      </c>
      <c r="X554" s="26" t="str">
        <f>+IFERROR(VLOOKUP(A554,'ID6&amp;7'!A:J,10,FALSE),"-")</f>
        <v>-</v>
      </c>
      <c r="Y554" s="26"/>
      <c r="Z554" s="27" t="str">
        <f t="shared" si="9"/>
        <v>Por iniciar</v>
      </c>
      <c r="AA554" s="65"/>
    </row>
    <row r="555" spans="1:27">
      <c r="A555" s="20"/>
      <c r="B555" s="60"/>
      <c r="C555" s="60"/>
      <c r="D555" s="60"/>
      <c r="E555" s="60"/>
      <c r="F555" s="60"/>
      <c r="G555" s="60"/>
      <c r="H555" s="65" t="s">
        <v>118</v>
      </c>
      <c r="I555" s="21" t="s">
        <v>1394</v>
      </c>
      <c r="J555" s="26">
        <f>+COUNTIF('ID1&amp;5'!G:G,'1. Status'!I555)</f>
        <v>0</v>
      </c>
      <c r="K555" s="79" t="str">
        <f>+IFERROR(VLOOKUP(CONCATENATE(A555,$B$10,B555),'ID1&amp;5'!B:J,8,FALSE),"-")</f>
        <v>-</v>
      </c>
      <c r="L555" s="78" t="str">
        <f>+IFERROR(VLOOKUP(B555,'ID1&amp;5'!K:L,2,FALSE),"-")</f>
        <v>-</v>
      </c>
      <c r="M555" s="79" t="str">
        <f>+IFERROR(VLOOKUP(CONCATENATE(A555,$B$10,B555),'ID1&amp;5'!B:J,9,FALSE),"-")</f>
        <v>-</v>
      </c>
      <c r="N555" s="79" t="str">
        <f>+IFERROR(VLOOKUP(CONCATENATE(A555,$C$10,C555),'ID1&amp;5'!B:J,8,FALSE),"-")</f>
        <v>-</v>
      </c>
      <c r="O555" s="78" t="str">
        <f>+IFERROR(VLOOKUP(C555,'ID1&amp;5'!K:L,2,FALSE),"-")</f>
        <v>-</v>
      </c>
      <c r="P555" s="79" t="str">
        <f>+IFERROR(VLOOKUP(CONCATENATE(A555,$C$10,C555),'ID1&amp;5'!B:J,9,FALSE),"-")</f>
        <v>-</v>
      </c>
      <c r="Q555" s="78" t="str">
        <f>+IFERROR(VLOOKUP(D555,'ID1&amp;5'!K:L,2,FALSE),"-")</f>
        <v>-</v>
      </c>
      <c r="R555" s="26" t="str">
        <f>+IFERROR(VLOOKUP(CONCATENATE(A555,$D$10,D555),'ID1&amp;5'!B:J,9,FALSE),"-")</f>
        <v>-</v>
      </c>
      <c r="S555" s="78" t="str">
        <f>+IFERROR(VLOOKUP(E555,'ID1&amp;5'!K:L,2,FALSE),"-")</f>
        <v>-</v>
      </c>
      <c r="T555" s="79" t="str">
        <f>+IFERROR(VLOOKUP(CONCATENATE(A555,$E$10,E555),'ID1&amp;5'!B:J,9,FALSE),"-")</f>
        <v>-</v>
      </c>
      <c r="U555" s="78" t="str">
        <f>+IFERROR(VLOOKUP(F555,'ID1&amp;5'!K:L,2,FALSE),"-")</f>
        <v>-</v>
      </c>
      <c r="V555" s="79" t="str">
        <f>+IFERROR(VLOOKUP(CONCATENATE(A555,$F$10,F555),'ID1&amp;5'!B:J,9,FALSE),"-")</f>
        <v>-</v>
      </c>
      <c r="W555" s="26" t="str">
        <f>+IFERROR(VLOOKUP(A555,'ID6&amp;7'!A:I,9,FALSE),"-")</f>
        <v>-</v>
      </c>
      <c r="X555" s="26" t="str">
        <f>+IFERROR(VLOOKUP(A555,'ID6&amp;7'!A:J,10,FALSE),"-")</f>
        <v>-</v>
      </c>
      <c r="Y555" s="26"/>
      <c r="Z555" s="27" t="str">
        <f t="shared" si="9"/>
        <v>Por iniciar</v>
      </c>
      <c r="AA555" s="65"/>
    </row>
    <row r="556" spans="1:27">
      <c r="A556" s="20"/>
      <c r="B556" s="60"/>
      <c r="C556" s="60"/>
      <c r="D556" s="60"/>
      <c r="E556" s="60"/>
      <c r="F556" s="60"/>
      <c r="G556" s="60"/>
      <c r="H556" s="65" t="s">
        <v>118</v>
      </c>
      <c r="I556" s="21" t="s">
        <v>1505</v>
      </c>
      <c r="J556" s="26">
        <f>+COUNTIF('ID1&amp;5'!G:G,'1. Status'!I556)</f>
        <v>0</v>
      </c>
      <c r="K556" s="79" t="str">
        <f>+IFERROR(VLOOKUP(CONCATENATE(A556,$B$10,B556),'ID1&amp;5'!B:J,8,FALSE),"-")</f>
        <v>-</v>
      </c>
      <c r="L556" s="78" t="str">
        <f>+IFERROR(VLOOKUP(B556,'ID1&amp;5'!K:L,2,FALSE),"-")</f>
        <v>-</v>
      </c>
      <c r="M556" s="79" t="str">
        <f>+IFERROR(VLOOKUP(CONCATENATE(A556,$B$10,B556),'ID1&amp;5'!B:J,9,FALSE),"-")</f>
        <v>-</v>
      </c>
      <c r="N556" s="79" t="str">
        <f>+IFERROR(VLOOKUP(CONCATENATE(A556,$C$10,C556),'ID1&amp;5'!B:J,8,FALSE),"-")</f>
        <v>-</v>
      </c>
      <c r="O556" s="78" t="str">
        <f>+IFERROR(VLOOKUP(C556,'ID1&amp;5'!K:L,2,FALSE),"-")</f>
        <v>-</v>
      </c>
      <c r="P556" s="79" t="str">
        <f>+IFERROR(VLOOKUP(CONCATENATE(A556,$C$10,C556),'ID1&amp;5'!B:J,9,FALSE),"-")</f>
        <v>-</v>
      </c>
      <c r="Q556" s="78" t="str">
        <f>+IFERROR(VLOOKUP(D556,'ID1&amp;5'!K:L,2,FALSE),"-")</f>
        <v>-</v>
      </c>
      <c r="R556" s="26" t="str">
        <f>+IFERROR(VLOOKUP(CONCATENATE(A556,$D$10,D556),'ID1&amp;5'!B:J,9,FALSE),"-")</f>
        <v>-</v>
      </c>
      <c r="S556" s="78" t="str">
        <f>+IFERROR(VLOOKUP(E556,'ID1&amp;5'!K:L,2,FALSE),"-")</f>
        <v>-</v>
      </c>
      <c r="T556" s="79" t="str">
        <f>+IFERROR(VLOOKUP(CONCATENATE(A556,$E$10,E556),'ID1&amp;5'!B:J,9,FALSE),"-")</f>
        <v>-</v>
      </c>
      <c r="U556" s="78" t="str">
        <f>+IFERROR(VLOOKUP(F556,'ID1&amp;5'!K:L,2,FALSE),"-")</f>
        <v>-</v>
      </c>
      <c r="V556" s="79" t="str">
        <f>+IFERROR(VLOOKUP(CONCATENATE(A556,$F$10,F556),'ID1&amp;5'!B:J,9,FALSE),"-")</f>
        <v>-</v>
      </c>
      <c r="W556" s="26" t="str">
        <f>+IFERROR(VLOOKUP(A556,'ID6&amp;7'!A:I,9,FALSE),"-")</f>
        <v>-</v>
      </c>
      <c r="X556" s="26" t="str">
        <f>+IFERROR(VLOOKUP(A556,'ID6&amp;7'!A:J,10,FALSE),"-")</f>
        <v>-</v>
      </c>
      <c r="Y556" s="26"/>
      <c r="Z556" s="27" t="str">
        <f t="shared" si="9"/>
        <v>Por iniciar</v>
      </c>
      <c r="AA556" s="65"/>
    </row>
    <row r="557" spans="1:27">
      <c r="A557" s="20"/>
      <c r="B557" s="60"/>
      <c r="C557" s="60"/>
      <c r="D557" s="60"/>
      <c r="E557" s="60"/>
      <c r="F557" s="60"/>
      <c r="G557" s="60"/>
      <c r="H557" s="65" t="s">
        <v>118</v>
      </c>
      <c r="I557" s="21" t="s">
        <v>1506</v>
      </c>
      <c r="J557" s="26">
        <f>+COUNTIF('ID1&amp;5'!G:G,'1. Status'!I557)</f>
        <v>0</v>
      </c>
      <c r="K557" s="79" t="str">
        <f>+IFERROR(VLOOKUP(CONCATENATE(A557,$B$10,B557),'ID1&amp;5'!B:J,8,FALSE),"-")</f>
        <v>-</v>
      </c>
      <c r="L557" s="78" t="str">
        <f>+IFERROR(VLOOKUP(B557,'ID1&amp;5'!K:L,2,FALSE),"-")</f>
        <v>-</v>
      </c>
      <c r="M557" s="79" t="str">
        <f>+IFERROR(VLOOKUP(CONCATENATE(A557,$B$10,B557),'ID1&amp;5'!B:J,9,FALSE),"-")</f>
        <v>-</v>
      </c>
      <c r="N557" s="79" t="str">
        <f>+IFERROR(VLOOKUP(CONCATENATE(A557,$C$10,C557),'ID1&amp;5'!B:J,8,FALSE),"-")</f>
        <v>-</v>
      </c>
      <c r="O557" s="78" t="str">
        <f>+IFERROR(VLOOKUP(C557,'ID1&amp;5'!K:L,2,FALSE),"-")</f>
        <v>-</v>
      </c>
      <c r="P557" s="79" t="str">
        <f>+IFERROR(VLOOKUP(CONCATENATE(A557,$C$10,C557),'ID1&amp;5'!B:J,9,FALSE),"-")</f>
        <v>-</v>
      </c>
      <c r="Q557" s="78" t="str">
        <f>+IFERROR(VLOOKUP(D557,'ID1&amp;5'!K:L,2,FALSE),"-")</f>
        <v>-</v>
      </c>
      <c r="R557" s="26" t="str">
        <f>+IFERROR(VLOOKUP(CONCATENATE(A557,$D$10,D557),'ID1&amp;5'!B:J,9,FALSE),"-")</f>
        <v>-</v>
      </c>
      <c r="S557" s="78" t="str">
        <f>+IFERROR(VLOOKUP(E557,'ID1&amp;5'!K:L,2,FALSE),"-")</f>
        <v>-</v>
      </c>
      <c r="T557" s="79" t="str">
        <f>+IFERROR(VLOOKUP(CONCATENATE(A557,$E$10,E557),'ID1&amp;5'!B:J,9,FALSE),"-")</f>
        <v>-</v>
      </c>
      <c r="U557" s="78" t="str">
        <f>+IFERROR(VLOOKUP(F557,'ID1&amp;5'!K:L,2,FALSE),"-")</f>
        <v>-</v>
      </c>
      <c r="V557" s="79" t="str">
        <f>+IFERROR(VLOOKUP(CONCATENATE(A557,$F$10,F557),'ID1&amp;5'!B:J,9,FALSE),"-")</f>
        <v>-</v>
      </c>
      <c r="W557" s="26" t="str">
        <f>+IFERROR(VLOOKUP(A557,'ID6&amp;7'!A:I,9,FALSE),"-")</f>
        <v>-</v>
      </c>
      <c r="X557" s="26" t="str">
        <f>+IFERROR(VLOOKUP(A557,'ID6&amp;7'!A:J,10,FALSE),"-")</f>
        <v>-</v>
      </c>
      <c r="Y557" s="26"/>
      <c r="Z557" s="27" t="str">
        <f t="shared" si="9"/>
        <v>Por iniciar</v>
      </c>
      <c r="AA557" s="65"/>
    </row>
    <row r="558" spans="1:27">
      <c r="A558" s="20"/>
      <c r="B558" s="60"/>
      <c r="C558" s="60"/>
      <c r="D558" s="60"/>
      <c r="E558" s="60"/>
      <c r="F558" s="60"/>
      <c r="G558" s="60"/>
      <c r="H558" s="65" t="s">
        <v>118</v>
      </c>
      <c r="I558" s="21" t="s">
        <v>1507</v>
      </c>
      <c r="J558" s="26">
        <f>+COUNTIF('ID1&amp;5'!G:G,'1. Status'!I558)</f>
        <v>0</v>
      </c>
      <c r="K558" s="79" t="str">
        <f>+IFERROR(VLOOKUP(CONCATENATE(A558,$B$10,B558),'ID1&amp;5'!B:J,8,FALSE),"-")</f>
        <v>-</v>
      </c>
      <c r="L558" s="78" t="str">
        <f>+IFERROR(VLOOKUP(B558,'ID1&amp;5'!K:L,2,FALSE),"-")</f>
        <v>-</v>
      </c>
      <c r="M558" s="79" t="str">
        <f>+IFERROR(VLOOKUP(CONCATENATE(A558,$B$10,B558),'ID1&amp;5'!B:J,9,FALSE),"-")</f>
        <v>-</v>
      </c>
      <c r="N558" s="79" t="str">
        <f>+IFERROR(VLOOKUP(CONCATENATE(A558,$C$10,C558),'ID1&amp;5'!B:J,8,FALSE),"-")</f>
        <v>-</v>
      </c>
      <c r="O558" s="78" t="str">
        <f>+IFERROR(VLOOKUP(C558,'ID1&amp;5'!K:L,2,FALSE),"-")</f>
        <v>-</v>
      </c>
      <c r="P558" s="79" t="str">
        <f>+IFERROR(VLOOKUP(CONCATENATE(A558,$C$10,C558),'ID1&amp;5'!B:J,9,FALSE),"-")</f>
        <v>-</v>
      </c>
      <c r="Q558" s="78" t="str">
        <f>+IFERROR(VLOOKUP(D558,'ID1&amp;5'!K:L,2,FALSE),"-")</f>
        <v>-</v>
      </c>
      <c r="R558" s="26" t="str">
        <f>+IFERROR(VLOOKUP(CONCATENATE(A558,$D$10,D558),'ID1&amp;5'!B:J,9,FALSE),"-")</f>
        <v>-</v>
      </c>
      <c r="S558" s="78" t="str">
        <f>+IFERROR(VLOOKUP(E558,'ID1&amp;5'!K:L,2,FALSE),"-")</f>
        <v>-</v>
      </c>
      <c r="T558" s="79" t="str">
        <f>+IFERROR(VLOOKUP(CONCATENATE(A558,$E$10,E558),'ID1&amp;5'!B:J,9,FALSE),"-")</f>
        <v>-</v>
      </c>
      <c r="U558" s="78" t="str">
        <f>+IFERROR(VLOOKUP(F558,'ID1&amp;5'!K:L,2,FALSE),"-")</f>
        <v>-</v>
      </c>
      <c r="V558" s="79" t="str">
        <f>+IFERROR(VLOOKUP(CONCATENATE(A558,$F$10,F558),'ID1&amp;5'!B:J,9,FALSE),"-")</f>
        <v>-</v>
      </c>
      <c r="W558" s="26" t="str">
        <f>+IFERROR(VLOOKUP(A558,'ID6&amp;7'!A:I,9,FALSE),"-")</f>
        <v>-</v>
      </c>
      <c r="X558" s="26" t="str">
        <f>+IFERROR(VLOOKUP(A558,'ID6&amp;7'!A:J,10,FALSE),"-")</f>
        <v>-</v>
      </c>
      <c r="Y558" s="26"/>
      <c r="Z558" s="27" t="str">
        <f t="shared" si="9"/>
        <v>Por iniciar</v>
      </c>
      <c r="AA558" s="65"/>
    </row>
    <row r="559" spans="1:27">
      <c r="A559" s="20"/>
      <c r="B559" s="60"/>
      <c r="C559" s="60"/>
      <c r="D559" s="60"/>
      <c r="E559" s="60"/>
      <c r="F559" s="60"/>
      <c r="G559" s="60"/>
      <c r="H559" s="65" t="s">
        <v>118</v>
      </c>
      <c r="I559" s="21" t="s">
        <v>1508</v>
      </c>
      <c r="J559" s="26">
        <f>+COUNTIF('ID1&amp;5'!G:G,'1. Status'!I559)</f>
        <v>0</v>
      </c>
      <c r="K559" s="79" t="str">
        <f>+IFERROR(VLOOKUP(CONCATENATE(A559,$B$10,B559),'ID1&amp;5'!B:J,8,FALSE),"-")</f>
        <v>-</v>
      </c>
      <c r="L559" s="78" t="str">
        <f>+IFERROR(VLOOKUP(B559,'ID1&amp;5'!K:L,2,FALSE),"-")</f>
        <v>-</v>
      </c>
      <c r="M559" s="79" t="str">
        <f>+IFERROR(VLOOKUP(CONCATENATE(A559,$B$10,B559),'ID1&amp;5'!B:J,9,FALSE),"-")</f>
        <v>-</v>
      </c>
      <c r="N559" s="79" t="str">
        <f>+IFERROR(VLOOKUP(CONCATENATE(A559,$C$10,C559),'ID1&amp;5'!B:J,8,FALSE),"-")</f>
        <v>-</v>
      </c>
      <c r="O559" s="78" t="str">
        <f>+IFERROR(VLOOKUP(C559,'ID1&amp;5'!K:L,2,FALSE),"-")</f>
        <v>-</v>
      </c>
      <c r="P559" s="79" t="str">
        <f>+IFERROR(VLOOKUP(CONCATENATE(A559,$C$10,C559),'ID1&amp;5'!B:J,9,FALSE),"-")</f>
        <v>-</v>
      </c>
      <c r="Q559" s="78" t="str">
        <f>+IFERROR(VLOOKUP(D559,'ID1&amp;5'!K:L,2,FALSE),"-")</f>
        <v>-</v>
      </c>
      <c r="R559" s="26" t="str">
        <f>+IFERROR(VLOOKUP(CONCATENATE(A559,$D$10,D559),'ID1&amp;5'!B:J,9,FALSE),"-")</f>
        <v>-</v>
      </c>
      <c r="S559" s="78" t="str">
        <f>+IFERROR(VLOOKUP(E559,'ID1&amp;5'!K:L,2,FALSE),"-")</f>
        <v>-</v>
      </c>
      <c r="T559" s="79" t="str">
        <f>+IFERROR(VLOOKUP(CONCATENATE(A559,$E$10,E559),'ID1&amp;5'!B:J,9,FALSE),"-")</f>
        <v>-</v>
      </c>
      <c r="U559" s="78" t="str">
        <f>+IFERROR(VLOOKUP(F559,'ID1&amp;5'!K:L,2,FALSE),"-")</f>
        <v>-</v>
      </c>
      <c r="V559" s="79" t="str">
        <f>+IFERROR(VLOOKUP(CONCATENATE(A559,$F$10,F559),'ID1&amp;5'!B:J,9,FALSE),"-")</f>
        <v>-</v>
      </c>
      <c r="W559" s="26" t="str">
        <f>+IFERROR(VLOOKUP(A559,'ID6&amp;7'!A:I,9,FALSE),"-")</f>
        <v>-</v>
      </c>
      <c r="X559" s="26" t="str">
        <f>+IFERROR(VLOOKUP(A559,'ID6&amp;7'!A:J,10,FALSE),"-")</f>
        <v>-</v>
      </c>
      <c r="Y559" s="26"/>
      <c r="Z559" s="27" t="str">
        <f t="shared" si="9"/>
        <v>Por iniciar</v>
      </c>
      <c r="AA559" s="65"/>
    </row>
    <row r="560" spans="1:27">
      <c r="A560" s="20"/>
      <c r="B560" s="60"/>
      <c r="C560" s="60"/>
      <c r="D560" s="60"/>
      <c r="E560" s="60"/>
      <c r="F560" s="60"/>
      <c r="G560" s="60"/>
      <c r="H560" s="65" t="s">
        <v>118</v>
      </c>
      <c r="I560" s="21" t="s">
        <v>1509</v>
      </c>
      <c r="J560" s="26">
        <f>+COUNTIF('ID1&amp;5'!G:G,'1. Status'!I560)</f>
        <v>0</v>
      </c>
      <c r="K560" s="79" t="str">
        <f>+IFERROR(VLOOKUP(CONCATENATE(A560,$B$10,B560),'ID1&amp;5'!B:J,8,FALSE),"-")</f>
        <v>-</v>
      </c>
      <c r="L560" s="78" t="str">
        <f>+IFERROR(VLOOKUP(B560,'ID1&amp;5'!K:L,2,FALSE),"-")</f>
        <v>-</v>
      </c>
      <c r="M560" s="79" t="str">
        <f>+IFERROR(VLOOKUP(CONCATENATE(A560,$B$10,B560),'ID1&amp;5'!B:J,9,FALSE),"-")</f>
        <v>-</v>
      </c>
      <c r="N560" s="79" t="str">
        <f>+IFERROR(VLOOKUP(CONCATENATE(A560,$C$10,C560),'ID1&amp;5'!B:J,8,FALSE),"-")</f>
        <v>-</v>
      </c>
      <c r="O560" s="78" t="str">
        <f>+IFERROR(VLOOKUP(C560,'ID1&amp;5'!K:L,2,FALSE),"-")</f>
        <v>-</v>
      </c>
      <c r="P560" s="79" t="str">
        <f>+IFERROR(VLOOKUP(CONCATENATE(A560,$C$10,C560),'ID1&amp;5'!B:J,9,FALSE),"-")</f>
        <v>-</v>
      </c>
      <c r="Q560" s="78" t="str">
        <f>+IFERROR(VLOOKUP(D560,'ID1&amp;5'!K:L,2,FALSE),"-")</f>
        <v>-</v>
      </c>
      <c r="R560" s="26" t="str">
        <f>+IFERROR(VLOOKUP(CONCATENATE(A560,$D$10,D560),'ID1&amp;5'!B:J,9,FALSE),"-")</f>
        <v>-</v>
      </c>
      <c r="S560" s="78" t="str">
        <f>+IFERROR(VLOOKUP(E560,'ID1&amp;5'!K:L,2,FALSE),"-")</f>
        <v>-</v>
      </c>
      <c r="T560" s="79" t="str">
        <f>+IFERROR(VLOOKUP(CONCATENATE(A560,$E$10,E560),'ID1&amp;5'!B:J,9,FALSE),"-")</f>
        <v>-</v>
      </c>
      <c r="U560" s="78" t="str">
        <f>+IFERROR(VLOOKUP(F560,'ID1&amp;5'!K:L,2,FALSE),"-")</f>
        <v>-</v>
      </c>
      <c r="V560" s="79" t="str">
        <f>+IFERROR(VLOOKUP(CONCATENATE(A560,$F$10,F560),'ID1&amp;5'!B:J,9,FALSE),"-")</f>
        <v>-</v>
      </c>
      <c r="W560" s="26" t="str">
        <f>+IFERROR(VLOOKUP(A560,'ID6&amp;7'!A:I,9,FALSE),"-")</f>
        <v>-</v>
      </c>
      <c r="X560" s="26" t="str">
        <f>+IFERROR(VLOOKUP(A560,'ID6&amp;7'!A:J,10,FALSE),"-")</f>
        <v>-</v>
      </c>
      <c r="Y560" s="26"/>
      <c r="Z560" s="27" t="str">
        <f t="shared" si="9"/>
        <v>Por iniciar</v>
      </c>
      <c r="AA560" s="65"/>
    </row>
    <row r="561" spans="1:27">
      <c r="A561" s="20"/>
      <c r="B561" s="60"/>
      <c r="C561" s="60"/>
      <c r="D561" s="60"/>
      <c r="E561" s="60"/>
      <c r="F561" s="60"/>
      <c r="G561" s="60"/>
      <c r="H561" s="65" t="s">
        <v>119</v>
      </c>
      <c r="I561" s="21" t="s">
        <v>1510</v>
      </c>
      <c r="J561" s="26">
        <f>+COUNTIF('ID1&amp;5'!G:G,'1. Status'!I561)</f>
        <v>0</v>
      </c>
      <c r="K561" s="79" t="str">
        <f>+IFERROR(VLOOKUP(CONCATENATE(A561,$B$10,B561),'ID1&amp;5'!B:J,8,FALSE),"-")</f>
        <v>-</v>
      </c>
      <c r="L561" s="78" t="str">
        <f>+IFERROR(VLOOKUP(B561,'ID1&amp;5'!K:L,2,FALSE),"-")</f>
        <v>-</v>
      </c>
      <c r="M561" s="79" t="str">
        <f>+IFERROR(VLOOKUP(CONCATENATE(A561,$B$10,B561),'ID1&amp;5'!B:J,9,FALSE),"-")</f>
        <v>-</v>
      </c>
      <c r="N561" s="79" t="str">
        <f>+IFERROR(VLOOKUP(CONCATENATE(A561,$C$10,C561),'ID1&amp;5'!B:J,8,FALSE),"-")</f>
        <v>-</v>
      </c>
      <c r="O561" s="78" t="str">
        <f>+IFERROR(VLOOKUP(C561,'ID1&amp;5'!K:L,2,FALSE),"-")</f>
        <v>-</v>
      </c>
      <c r="P561" s="79" t="str">
        <f>+IFERROR(VLOOKUP(CONCATENATE(A561,$C$10,C561),'ID1&amp;5'!B:J,9,FALSE),"-")</f>
        <v>-</v>
      </c>
      <c r="Q561" s="78" t="str">
        <f>+IFERROR(VLOOKUP(D561,'ID1&amp;5'!K:L,2,FALSE),"-")</f>
        <v>-</v>
      </c>
      <c r="R561" s="26" t="str">
        <f>+IFERROR(VLOOKUP(CONCATENATE(A561,$D$10,D561),'ID1&amp;5'!B:J,9,FALSE),"-")</f>
        <v>-</v>
      </c>
      <c r="S561" s="78" t="str">
        <f>+IFERROR(VLOOKUP(E561,'ID1&amp;5'!K:L,2,FALSE),"-")</f>
        <v>-</v>
      </c>
      <c r="T561" s="79" t="str">
        <f>+IFERROR(VLOOKUP(CONCATENATE(A561,$E$10,E561),'ID1&amp;5'!B:J,9,FALSE),"-")</f>
        <v>-</v>
      </c>
      <c r="U561" s="78" t="str">
        <f>+IFERROR(VLOOKUP(F561,'ID1&amp;5'!K:L,2,FALSE),"-")</f>
        <v>-</v>
      </c>
      <c r="V561" s="79" t="str">
        <f>+IFERROR(VLOOKUP(CONCATENATE(A561,$F$10,F561),'ID1&amp;5'!B:J,9,FALSE),"-")</f>
        <v>-</v>
      </c>
      <c r="W561" s="26" t="str">
        <f>+IFERROR(VLOOKUP(A561,'ID6&amp;7'!A:I,9,FALSE),"-")</f>
        <v>-</v>
      </c>
      <c r="X561" s="26" t="str">
        <f>+IFERROR(VLOOKUP(A561,'ID6&amp;7'!A:J,10,FALSE),"-")</f>
        <v>-</v>
      </c>
      <c r="Y561" s="26"/>
      <c r="Z561" s="27" t="str">
        <f t="shared" si="9"/>
        <v>Por iniciar</v>
      </c>
      <c r="AA561" s="65"/>
    </row>
    <row r="562" spans="1:27">
      <c r="A562" s="20"/>
      <c r="B562" s="60"/>
      <c r="C562" s="60"/>
      <c r="D562" s="60"/>
      <c r="E562" s="60"/>
      <c r="F562" s="60"/>
      <c r="G562" s="60"/>
      <c r="H562" s="65" t="s">
        <v>119</v>
      </c>
      <c r="I562" s="21" t="s">
        <v>1511</v>
      </c>
      <c r="J562" s="26">
        <f>+COUNTIF('ID1&amp;5'!G:G,'1. Status'!I562)</f>
        <v>0</v>
      </c>
      <c r="K562" s="79" t="str">
        <f>+IFERROR(VLOOKUP(CONCATENATE(A562,$B$10,B562),'ID1&amp;5'!B:J,8,FALSE),"-")</f>
        <v>-</v>
      </c>
      <c r="L562" s="78" t="str">
        <f>+IFERROR(VLOOKUP(B562,'ID1&amp;5'!K:L,2,FALSE),"-")</f>
        <v>-</v>
      </c>
      <c r="M562" s="79" t="str">
        <f>+IFERROR(VLOOKUP(CONCATENATE(A562,$B$10,B562),'ID1&amp;5'!B:J,9,FALSE),"-")</f>
        <v>-</v>
      </c>
      <c r="N562" s="79" t="str">
        <f>+IFERROR(VLOOKUP(CONCATENATE(A562,$C$10,C562),'ID1&amp;5'!B:J,8,FALSE),"-")</f>
        <v>-</v>
      </c>
      <c r="O562" s="78" t="str">
        <f>+IFERROR(VLOOKUP(C562,'ID1&amp;5'!K:L,2,FALSE),"-")</f>
        <v>-</v>
      </c>
      <c r="P562" s="79" t="str">
        <f>+IFERROR(VLOOKUP(CONCATENATE(A562,$C$10,C562),'ID1&amp;5'!B:J,9,FALSE),"-")</f>
        <v>-</v>
      </c>
      <c r="Q562" s="78" t="str">
        <f>+IFERROR(VLOOKUP(D562,'ID1&amp;5'!K:L,2,FALSE),"-")</f>
        <v>-</v>
      </c>
      <c r="R562" s="26" t="str">
        <f>+IFERROR(VLOOKUP(CONCATENATE(A562,$D$10,D562),'ID1&amp;5'!B:J,9,FALSE),"-")</f>
        <v>-</v>
      </c>
      <c r="S562" s="78" t="str">
        <f>+IFERROR(VLOOKUP(E562,'ID1&amp;5'!K:L,2,FALSE),"-")</f>
        <v>-</v>
      </c>
      <c r="T562" s="79" t="str">
        <f>+IFERROR(VLOOKUP(CONCATENATE(A562,$E$10,E562),'ID1&amp;5'!B:J,9,FALSE),"-")</f>
        <v>-</v>
      </c>
      <c r="U562" s="78" t="str">
        <f>+IFERROR(VLOOKUP(F562,'ID1&amp;5'!K:L,2,FALSE),"-")</f>
        <v>-</v>
      </c>
      <c r="V562" s="79" t="str">
        <f>+IFERROR(VLOOKUP(CONCATENATE(A562,$F$10,F562),'ID1&amp;5'!B:J,9,FALSE),"-")</f>
        <v>-</v>
      </c>
      <c r="W562" s="26" t="str">
        <f>+IFERROR(VLOOKUP(A562,'ID6&amp;7'!A:I,9,FALSE),"-")</f>
        <v>-</v>
      </c>
      <c r="X562" s="26" t="str">
        <f>+IFERROR(VLOOKUP(A562,'ID6&amp;7'!A:J,10,FALSE),"-")</f>
        <v>-</v>
      </c>
      <c r="Y562" s="26"/>
      <c r="Z562" s="27" t="str">
        <f t="shared" si="9"/>
        <v>Por iniciar</v>
      </c>
      <c r="AA562" s="65"/>
    </row>
    <row r="563" spans="1:27">
      <c r="A563" s="20"/>
      <c r="B563" s="60"/>
      <c r="C563" s="60"/>
      <c r="D563" s="60"/>
      <c r="E563" s="60"/>
      <c r="F563" s="60"/>
      <c r="G563" s="60"/>
      <c r="H563" s="65" t="s">
        <v>119</v>
      </c>
      <c r="I563" s="21" t="s">
        <v>29</v>
      </c>
      <c r="J563" s="26">
        <f>+COUNTIF('ID1&amp;5'!G:G,'1. Status'!I563)</f>
        <v>0</v>
      </c>
      <c r="K563" s="79" t="str">
        <f>+IFERROR(VLOOKUP(CONCATENATE(A563,$B$10,B563),'ID1&amp;5'!B:J,8,FALSE),"-")</f>
        <v>-</v>
      </c>
      <c r="L563" s="78" t="str">
        <f>+IFERROR(VLOOKUP(B563,'ID1&amp;5'!K:L,2,FALSE),"-")</f>
        <v>-</v>
      </c>
      <c r="M563" s="79" t="str">
        <f>+IFERROR(VLOOKUP(CONCATENATE(A563,$B$10,B563),'ID1&amp;5'!B:J,9,FALSE),"-")</f>
        <v>-</v>
      </c>
      <c r="N563" s="79" t="str">
        <f>+IFERROR(VLOOKUP(CONCATENATE(A563,$C$10,C563),'ID1&amp;5'!B:J,8,FALSE),"-")</f>
        <v>-</v>
      </c>
      <c r="O563" s="78" t="str">
        <f>+IFERROR(VLOOKUP(C563,'ID1&amp;5'!K:L,2,FALSE),"-")</f>
        <v>-</v>
      </c>
      <c r="P563" s="79" t="str">
        <f>+IFERROR(VLOOKUP(CONCATENATE(A563,$C$10,C563),'ID1&amp;5'!B:J,9,FALSE),"-")</f>
        <v>-</v>
      </c>
      <c r="Q563" s="78" t="str">
        <f>+IFERROR(VLOOKUP(D563,'ID1&amp;5'!K:L,2,FALSE),"-")</f>
        <v>-</v>
      </c>
      <c r="R563" s="26" t="str">
        <f>+IFERROR(VLOOKUP(CONCATENATE(A563,$D$10,D563),'ID1&amp;5'!B:J,9,FALSE),"-")</f>
        <v>-</v>
      </c>
      <c r="S563" s="78" t="str">
        <f>+IFERROR(VLOOKUP(E563,'ID1&amp;5'!K:L,2,FALSE),"-")</f>
        <v>-</v>
      </c>
      <c r="T563" s="79" t="str">
        <f>+IFERROR(VLOOKUP(CONCATENATE(A563,$E$10,E563),'ID1&amp;5'!B:J,9,FALSE),"-")</f>
        <v>-</v>
      </c>
      <c r="U563" s="78" t="str">
        <f>+IFERROR(VLOOKUP(F563,'ID1&amp;5'!K:L,2,FALSE),"-")</f>
        <v>-</v>
      </c>
      <c r="V563" s="79" t="str">
        <f>+IFERROR(VLOOKUP(CONCATENATE(A563,$F$10,F563),'ID1&amp;5'!B:J,9,FALSE),"-")</f>
        <v>-</v>
      </c>
      <c r="W563" s="26" t="str">
        <f>+IFERROR(VLOOKUP(A563,'ID6&amp;7'!A:I,9,FALSE),"-")</f>
        <v>-</v>
      </c>
      <c r="X563" s="26" t="str">
        <f>+IFERROR(VLOOKUP(A563,'ID6&amp;7'!A:J,10,FALSE),"-")</f>
        <v>-</v>
      </c>
      <c r="Y563" s="26"/>
      <c r="Z563" s="27" t="str">
        <f t="shared" si="9"/>
        <v>Por iniciar</v>
      </c>
      <c r="AA563" s="65"/>
    </row>
    <row r="564" spans="1:27">
      <c r="A564" s="20"/>
      <c r="B564" s="60"/>
      <c r="C564" s="60"/>
      <c r="D564" s="60"/>
      <c r="E564" s="60"/>
      <c r="F564" s="60"/>
      <c r="G564" s="60"/>
      <c r="H564" s="65" t="s">
        <v>119</v>
      </c>
      <c r="I564" s="21" t="s">
        <v>1512</v>
      </c>
      <c r="J564" s="26">
        <f>+COUNTIF('ID1&amp;5'!G:G,'1. Status'!I564)</f>
        <v>0</v>
      </c>
      <c r="K564" s="79" t="str">
        <f>+IFERROR(VLOOKUP(CONCATENATE(A564,$B$10,B564),'ID1&amp;5'!B:J,8,FALSE),"-")</f>
        <v>-</v>
      </c>
      <c r="L564" s="78" t="str">
        <f>+IFERROR(VLOOKUP(B564,'ID1&amp;5'!K:L,2,FALSE),"-")</f>
        <v>-</v>
      </c>
      <c r="M564" s="79" t="str">
        <f>+IFERROR(VLOOKUP(CONCATENATE(A564,$B$10,B564),'ID1&amp;5'!B:J,9,FALSE),"-")</f>
        <v>-</v>
      </c>
      <c r="N564" s="79" t="str">
        <f>+IFERROR(VLOOKUP(CONCATENATE(A564,$C$10,C564),'ID1&amp;5'!B:J,8,FALSE),"-")</f>
        <v>-</v>
      </c>
      <c r="O564" s="78" t="str">
        <f>+IFERROR(VLOOKUP(C564,'ID1&amp;5'!K:L,2,FALSE),"-")</f>
        <v>-</v>
      </c>
      <c r="P564" s="79" t="str">
        <f>+IFERROR(VLOOKUP(CONCATENATE(A564,$C$10,C564),'ID1&amp;5'!B:J,9,FALSE),"-")</f>
        <v>-</v>
      </c>
      <c r="Q564" s="78" t="str">
        <f>+IFERROR(VLOOKUP(D564,'ID1&amp;5'!K:L,2,FALSE),"-")</f>
        <v>-</v>
      </c>
      <c r="R564" s="26" t="str">
        <f>+IFERROR(VLOOKUP(CONCATENATE(A564,$D$10,D564),'ID1&amp;5'!B:J,9,FALSE),"-")</f>
        <v>-</v>
      </c>
      <c r="S564" s="78" t="str">
        <f>+IFERROR(VLOOKUP(E564,'ID1&amp;5'!K:L,2,FALSE),"-")</f>
        <v>-</v>
      </c>
      <c r="T564" s="79" t="str">
        <f>+IFERROR(VLOOKUP(CONCATENATE(A564,$E$10,E564),'ID1&amp;5'!B:J,9,FALSE),"-")</f>
        <v>-</v>
      </c>
      <c r="U564" s="78" t="str">
        <f>+IFERROR(VLOOKUP(F564,'ID1&amp;5'!K:L,2,FALSE),"-")</f>
        <v>-</v>
      </c>
      <c r="V564" s="79" t="str">
        <f>+IFERROR(VLOOKUP(CONCATENATE(A564,$F$10,F564),'ID1&amp;5'!B:J,9,FALSE),"-")</f>
        <v>-</v>
      </c>
      <c r="W564" s="26" t="str">
        <f>+IFERROR(VLOOKUP(A564,'ID6&amp;7'!A:I,9,FALSE),"-")</f>
        <v>-</v>
      </c>
      <c r="X564" s="26" t="str">
        <f>+IFERROR(VLOOKUP(A564,'ID6&amp;7'!A:J,10,FALSE),"-")</f>
        <v>-</v>
      </c>
      <c r="Y564" s="26"/>
      <c r="Z564" s="27" t="str">
        <f t="shared" si="9"/>
        <v>Por iniciar</v>
      </c>
      <c r="AA564" s="65"/>
    </row>
    <row r="565" spans="1:27">
      <c r="A565" s="20"/>
      <c r="B565" s="60"/>
      <c r="C565" s="60"/>
      <c r="D565" s="60"/>
      <c r="E565" s="60"/>
      <c r="F565" s="60"/>
      <c r="G565" s="60"/>
      <c r="H565" s="65" t="s">
        <v>119</v>
      </c>
      <c r="I565" s="21" t="s">
        <v>1513</v>
      </c>
      <c r="J565" s="26">
        <f>+COUNTIF('ID1&amp;5'!G:G,'1. Status'!I565)</f>
        <v>0</v>
      </c>
      <c r="K565" s="79" t="str">
        <f>+IFERROR(VLOOKUP(CONCATENATE(A565,$B$10,B565),'ID1&amp;5'!B:J,8,FALSE),"-")</f>
        <v>-</v>
      </c>
      <c r="L565" s="78" t="str">
        <f>+IFERROR(VLOOKUP(B565,'ID1&amp;5'!K:L,2,FALSE),"-")</f>
        <v>-</v>
      </c>
      <c r="M565" s="79" t="str">
        <f>+IFERROR(VLOOKUP(CONCATENATE(A565,$B$10,B565),'ID1&amp;5'!B:J,9,FALSE),"-")</f>
        <v>-</v>
      </c>
      <c r="N565" s="79" t="str">
        <f>+IFERROR(VLOOKUP(CONCATENATE(A565,$C$10,C565),'ID1&amp;5'!B:J,8,FALSE),"-")</f>
        <v>-</v>
      </c>
      <c r="O565" s="78" t="str">
        <f>+IFERROR(VLOOKUP(C565,'ID1&amp;5'!K:L,2,FALSE),"-")</f>
        <v>-</v>
      </c>
      <c r="P565" s="79" t="str">
        <f>+IFERROR(VLOOKUP(CONCATENATE(A565,$C$10,C565),'ID1&amp;5'!B:J,9,FALSE),"-")</f>
        <v>-</v>
      </c>
      <c r="Q565" s="78" t="str">
        <f>+IFERROR(VLOOKUP(D565,'ID1&amp;5'!K:L,2,FALSE),"-")</f>
        <v>-</v>
      </c>
      <c r="R565" s="26" t="str">
        <f>+IFERROR(VLOOKUP(CONCATENATE(A565,$D$10,D565),'ID1&amp;5'!B:J,9,FALSE),"-")</f>
        <v>-</v>
      </c>
      <c r="S565" s="78" t="str">
        <f>+IFERROR(VLOOKUP(E565,'ID1&amp;5'!K:L,2,FALSE),"-")</f>
        <v>-</v>
      </c>
      <c r="T565" s="79" t="str">
        <f>+IFERROR(VLOOKUP(CONCATENATE(A565,$E$10,E565),'ID1&amp;5'!B:J,9,FALSE),"-")</f>
        <v>-</v>
      </c>
      <c r="U565" s="78" t="str">
        <f>+IFERROR(VLOOKUP(F565,'ID1&amp;5'!K:L,2,FALSE),"-")</f>
        <v>-</v>
      </c>
      <c r="V565" s="79" t="str">
        <f>+IFERROR(VLOOKUP(CONCATENATE(A565,$F$10,F565),'ID1&amp;5'!B:J,9,FALSE),"-")</f>
        <v>-</v>
      </c>
      <c r="W565" s="26" t="str">
        <f>+IFERROR(VLOOKUP(A565,'ID6&amp;7'!A:I,9,FALSE),"-")</f>
        <v>-</v>
      </c>
      <c r="X565" s="26" t="str">
        <f>+IFERROR(VLOOKUP(A565,'ID6&amp;7'!A:J,10,FALSE),"-")</f>
        <v>-</v>
      </c>
      <c r="Y565" s="26"/>
      <c r="Z565" s="27" t="str">
        <f t="shared" si="9"/>
        <v>Por iniciar</v>
      </c>
      <c r="AA565" s="65"/>
    </row>
    <row r="566" spans="1:27">
      <c r="A566" s="20"/>
      <c r="B566" s="60"/>
      <c r="C566" s="60"/>
      <c r="D566" s="60"/>
      <c r="E566" s="60"/>
      <c r="F566" s="60"/>
      <c r="G566" s="60"/>
      <c r="H566" s="65" t="s">
        <v>119</v>
      </c>
      <c r="I566" s="21" t="s">
        <v>670</v>
      </c>
      <c r="J566" s="26">
        <f>+COUNTIF('ID1&amp;5'!G:G,'1. Status'!I566)</f>
        <v>0</v>
      </c>
      <c r="K566" s="79" t="str">
        <f>+IFERROR(VLOOKUP(CONCATENATE(A566,$B$10,B566),'ID1&amp;5'!B:J,8,FALSE),"-")</f>
        <v>-</v>
      </c>
      <c r="L566" s="78" t="str">
        <f>+IFERROR(VLOOKUP(B566,'ID1&amp;5'!K:L,2,FALSE),"-")</f>
        <v>-</v>
      </c>
      <c r="M566" s="79" t="str">
        <f>+IFERROR(VLOOKUP(CONCATENATE(A566,$B$10,B566),'ID1&amp;5'!B:J,9,FALSE),"-")</f>
        <v>-</v>
      </c>
      <c r="N566" s="79" t="str">
        <f>+IFERROR(VLOOKUP(CONCATENATE(A566,$C$10,C566),'ID1&amp;5'!B:J,8,FALSE),"-")</f>
        <v>-</v>
      </c>
      <c r="O566" s="78" t="str">
        <f>+IFERROR(VLOOKUP(C566,'ID1&amp;5'!K:L,2,FALSE),"-")</f>
        <v>-</v>
      </c>
      <c r="P566" s="79" t="str">
        <f>+IFERROR(VLOOKUP(CONCATENATE(A566,$C$10,C566),'ID1&amp;5'!B:J,9,FALSE),"-")</f>
        <v>-</v>
      </c>
      <c r="Q566" s="78" t="str">
        <f>+IFERROR(VLOOKUP(D566,'ID1&amp;5'!K:L,2,FALSE),"-")</f>
        <v>-</v>
      </c>
      <c r="R566" s="26" t="str">
        <f>+IFERROR(VLOOKUP(CONCATENATE(A566,$D$10,D566),'ID1&amp;5'!B:J,9,FALSE),"-")</f>
        <v>-</v>
      </c>
      <c r="S566" s="78" t="str">
        <f>+IFERROR(VLOOKUP(E566,'ID1&amp;5'!K:L,2,FALSE),"-")</f>
        <v>-</v>
      </c>
      <c r="T566" s="79" t="str">
        <f>+IFERROR(VLOOKUP(CONCATENATE(A566,$E$10,E566),'ID1&amp;5'!B:J,9,FALSE),"-")</f>
        <v>-</v>
      </c>
      <c r="U566" s="78" t="str">
        <f>+IFERROR(VLOOKUP(F566,'ID1&amp;5'!K:L,2,FALSE),"-")</f>
        <v>-</v>
      </c>
      <c r="V566" s="79" t="str">
        <f>+IFERROR(VLOOKUP(CONCATENATE(A566,$F$10,F566),'ID1&amp;5'!B:J,9,FALSE),"-")</f>
        <v>-</v>
      </c>
      <c r="W566" s="26" t="str">
        <f>+IFERROR(VLOOKUP(A566,'ID6&amp;7'!A:I,9,FALSE),"-")</f>
        <v>-</v>
      </c>
      <c r="X566" s="26" t="str">
        <f>+IFERROR(VLOOKUP(A566,'ID6&amp;7'!A:J,10,FALSE),"-")</f>
        <v>-</v>
      </c>
      <c r="Y566" s="26"/>
      <c r="Z566" s="27" t="str">
        <f t="shared" si="9"/>
        <v>Por iniciar</v>
      </c>
      <c r="AA566" s="65"/>
    </row>
    <row r="567" spans="1:27">
      <c r="A567" s="20"/>
      <c r="B567" s="60"/>
      <c r="C567" s="60"/>
      <c r="D567" s="60"/>
      <c r="E567" s="60"/>
      <c r="F567" s="60"/>
      <c r="G567" s="60"/>
      <c r="H567" s="65" t="s">
        <v>119</v>
      </c>
      <c r="I567" s="21" t="s">
        <v>1514</v>
      </c>
      <c r="J567" s="26">
        <f>+COUNTIF('ID1&amp;5'!G:G,'1. Status'!I567)</f>
        <v>0</v>
      </c>
      <c r="K567" s="79" t="str">
        <f>+IFERROR(VLOOKUP(CONCATENATE(A567,$B$10,B567),'ID1&amp;5'!B:J,8,FALSE),"-")</f>
        <v>-</v>
      </c>
      <c r="L567" s="78" t="str">
        <f>+IFERROR(VLOOKUP(B567,'ID1&amp;5'!K:L,2,FALSE),"-")</f>
        <v>-</v>
      </c>
      <c r="M567" s="79" t="str">
        <f>+IFERROR(VLOOKUP(CONCATENATE(A567,$B$10,B567),'ID1&amp;5'!B:J,9,FALSE),"-")</f>
        <v>-</v>
      </c>
      <c r="N567" s="79" t="str">
        <f>+IFERROR(VLOOKUP(CONCATENATE(A567,$C$10,C567),'ID1&amp;5'!B:J,8,FALSE),"-")</f>
        <v>-</v>
      </c>
      <c r="O567" s="78" t="str">
        <f>+IFERROR(VLOOKUP(C567,'ID1&amp;5'!K:L,2,FALSE),"-")</f>
        <v>-</v>
      </c>
      <c r="P567" s="79" t="str">
        <f>+IFERROR(VLOOKUP(CONCATENATE(A567,$C$10,C567),'ID1&amp;5'!B:J,9,FALSE),"-")</f>
        <v>-</v>
      </c>
      <c r="Q567" s="78" t="str">
        <f>+IFERROR(VLOOKUP(D567,'ID1&amp;5'!K:L,2,FALSE),"-")</f>
        <v>-</v>
      </c>
      <c r="R567" s="26" t="str">
        <f>+IFERROR(VLOOKUP(CONCATENATE(A567,$D$10,D567),'ID1&amp;5'!B:J,9,FALSE),"-")</f>
        <v>-</v>
      </c>
      <c r="S567" s="78" t="str">
        <f>+IFERROR(VLOOKUP(E567,'ID1&amp;5'!K:L,2,FALSE),"-")</f>
        <v>-</v>
      </c>
      <c r="T567" s="79" t="str">
        <f>+IFERROR(VLOOKUP(CONCATENATE(A567,$E$10,E567),'ID1&amp;5'!B:J,9,FALSE),"-")</f>
        <v>-</v>
      </c>
      <c r="U567" s="78" t="str">
        <f>+IFERROR(VLOOKUP(F567,'ID1&amp;5'!K:L,2,FALSE),"-")</f>
        <v>-</v>
      </c>
      <c r="V567" s="79" t="str">
        <f>+IFERROR(VLOOKUP(CONCATENATE(A567,$F$10,F567),'ID1&amp;5'!B:J,9,FALSE),"-")</f>
        <v>-</v>
      </c>
      <c r="W567" s="26" t="str">
        <f>+IFERROR(VLOOKUP(A567,'ID6&amp;7'!A:I,9,FALSE),"-")</f>
        <v>-</v>
      </c>
      <c r="X567" s="26" t="str">
        <f>+IFERROR(VLOOKUP(A567,'ID6&amp;7'!A:J,10,FALSE),"-")</f>
        <v>-</v>
      </c>
      <c r="Y567" s="26"/>
      <c r="Z567" s="27" t="str">
        <f t="shared" si="9"/>
        <v>Por iniciar</v>
      </c>
      <c r="AA567" s="65"/>
    </row>
    <row r="568" spans="1:27">
      <c r="A568" s="20"/>
      <c r="B568" s="60"/>
      <c r="C568" s="60"/>
      <c r="D568" s="60"/>
      <c r="E568" s="60"/>
      <c r="F568" s="60"/>
      <c r="G568" s="60"/>
      <c r="H568" s="65" t="s">
        <v>119</v>
      </c>
      <c r="I568" s="21" t="s">
        <v>1515</v>
      </c>
      <c r="J568" s="26">
        <f>+COUNTIF('ID1&amp;5'!G:G,'1. Status'!I568)</f>
        <v>0</v>
      </c>
      <c r="K568" s="79" t="str">
        <f>+IFERROR(VLOOKUP(CONCATENATE(A568,$B$10,B568),'ID1&amp;5'!B:J,8,FALSE),"-")</f>
        <v>-</v>
      </c>
      <c r="L568" s="78" t="str">
        <f>+IFERROR(VLOOKUP(B568,'ID1&amp;5'!K:L,2,FALSE),"-")</f>
        <v>-</v>
      </c>
      <c r="M568" s="79" t="str">
        <f>+IFERROR(VLOOKUP(CONCATENATE(A568,$B$10,B568),'ID1&amp;5'!B:J,9,FALSE),"-")</f>
        <v>-</v>
      </c>
      <c r="N568" s="79" t="str">
        <f>+IFERROR(VLOOKUP(CONCATENATE(A568,$C$10,C568),'ID1&amp;5'!B:J,8,FALSE),"-")</f>
        <v>-</v>
      </c>
      <c r="O568" s="78" t="str">
        <f>+IFERROR(VLOOKUP(C568,'ID1&amp;5'!K:L,2,FALSE),"-")</f>
        <v>-</v>
      </c>
      <c r="P568" s="79" t="str">
        <f>+IFERROR(VLOOKUP(CONCATENATE(A568,$C$10,C568),'ID1&amp;5'!B:J,9,FALSE),"-")</f>
        <v>-</v>
      </c>
      <c r="Q568" s="78" t="str">
        <f>+IFERROR(VLOOKUP(D568,'ID1&amp;5'!K:L,2,FALSE),"-")</f>
        <v>-</v>
      </c>
      <c r="R568" s="26" t="str">
        <f>+IFERROR(VLOOKUP(CONCATENATE(A568,$D$10,D568),'ID1&amp;5'!B:J,9,FALSE),"-")</f>
        <v>-</v>
      </c>
      <c r="S568" s="78" t="str">
        <f>+IFERROR(VLOOKUP(E568,'ID1&amp;5'!K:L,2,FALSE),"-")</f>
        <v>-</v>
      </c>
      <c r="T568" s="79" t="str">
        <f>+IFERROR(VLOOKUP(CONCATENATE(A568,$E$10,E568),'ID1&amp;5'!B:J,9,FALSE),"-")</f>
        <v>-</v>
      </c>
      <c r="U568" s="78" t="str">
        <f>+IFERROR(VLOOKUP(F568,'ID1&amp;5'!K:L,2,FALSE),"-")</f>
        <v>-</v>
      </c>
      <c r="V568" s="79" t="str">
        <f>+IFERROR(VLOOKUP(CONCATENATE(A568,$F$10,F568),'ID1&amp;5'!B:J,9,FALSE),"-")</f>
        <v>-</v>
      </c>
      <c r="W568" s="26" t="str">
        <f>+IFERROR(VLOOKUP(A568,'ID6&amp;7'!A:I,9,FALSE),"-")</f>
        <v>-</v>
      </c>
      <c r="X568" s="26" t="str">
        <f>+IFERROR(VLOOKUP(A568,'ID6&amp;7'!A:J,10,FALSE),"-")</f>
        <v>-</v>
      </c>
      <c r="Y568" s="26"/>
      <c r="Z568" s="27" t="str">
        <f t="shared" si="9"/>
        <v>Por iniciar</v>
      </c>
      <c r="AA568" s="65"/>
    </row>
    <row r="569" spans="1:27">
      <c r="A569" s="20"/>
      <c r="B569" s="60"/>
      <c r="C569" s="60"/>
      <c r="D569" s="60"/>
      <c r="E569" s="60"/>
      <c r="F569" s="60"/>
      <c r="G569" s="60"/>
      <c r="H569" s="65" t="s">
        <v>119</v>
      </c>
      <c r="I569" s="21" t="s">
        <v>671</v>
      </c>
      <c r="J569" s="26">
        <f>+COUNTIF('ID1&amp;5'!G:G,'1. Status'!I569)</f>
        <v>0</v>
      </c>
      <c r="K569" s="79" t="str">
        <f>+IFERROR(VLOOKUP(CONCATENATE(A569,$B$10,B569),'ID1&amp;5'!B:J,8,FALSE),"-")</f>
        <v>-</v>
      </c>
      <c r="L569" s="78" t="str">
        <f>+IFERROR(VLOOKUP(B569,'ID1&amp;5'!K:L,2,FALSE),"-")</f>
        <v>-</v>
      </c>
      <c r="M569" s="79" t="str">
        <f>+IFERROR(VLOOKUP(CONCATENATE(A569,$B$10,B569),'ID1&amp;5'!B:J,9,FALSE),"-")</f>
        <v>-</v>
      </c>
      <c r="N569" s="79" t="str">
        <f>+IFERROR(VLOOKUP(CONCATENATE(A569,$C$10,C569),'ID1&amp;5'!B:J,8,FALSE),"-")</f>
        <v>-</v>
      </c>
      <c r="O569" s="78" t="str">
        <f>+IFERROR(VLOOKUP(C569,'ID1&amp;5'!K:L,2,FALSE),"-")</f>
        <v>-</v>
      </c>
      <c r="P569" s="79" t="str">
        <f>+IFERROR(VLOOKUP(CONCATENATE(A569,$C$10,C569),'ID1&amp;5'!B:J,9,FALSE),"-")</f>
        <v>-</v>
      </c>
      <c r="Q569" s="78" t="str">
        <f>+IFERROR(VLOOKUP(D569,'ID1&amp;5'!K:L,2,FALSE),"-")</f>
        <v>-</v>
      </c>
      <c r="R569" s="26" t="str">
        <f>+IFERROR(VLOOKUP(CONCATENATE(A569,$D$10,D569),'ID1&amp;5'!B:J,9,FALSE),"-")</f>
        <v>-</v>
      </c>
      <c r="S569" s="78" t="str">
        <f>+IFERROR(VLOOKUP(E569,'ID1&amp;5'!K:L,2,FALSE),"-")</f>
        <v>-</v>
      </c>
      <c r="T569" s="79" t="str">
        <f>+IFERROR(VLOOKUP(CONCATENATE(A569,$E$10,E569),'ID1&amp;5'!B:J,9,FALSE),"-")</f>
        <v>-</v>
      </c>
      <c r="U569" s="78" t="str">
        <f>+IFERROR(VLOOKUP(F569,'ID1&amp;5'!K:L,2,FALSE),"-")</f>
        <v>-</v>
      </c>
      <c r="V569" s="79" t="str">
        <f>+IFERROR(VLOOKUP(CONCATENATE(A569,$F$10,F569),'ID1&amp;5'!B:J,9,FALSE),"-")</f>
        <v>-</v>
      </c>
      <c r="W569" s="26" t="str">
        <f>+IFERROR(VLOOKUP(A569,'ID6&amp;7'!A:I,9,FALSE),"-")</f>
        <v>-</v>
      </c>
      <c r="X569" s="26" t="str">
        <f>+IFERROR(VLOOKUP(A569,'ID6&amp;7'!A:J,10,FALSE),"-")</f>
        <v>-</v>
      </c>
      <c r="Y569" s="26"/>
      <c r="Z569" s="27" t="str">
        <f t="shared" si="9"/>
        <v>Por iniciar</v>
      </c>
      <c r="AA569" s="65"/>
    </row>
    <row r="570" spans="1:27">
      <c r="A570" s="20"/>
      <c r="B570" s="60"/>
      <c r="C570" s="60"/>
      <c r="D570" s="60"/>
      <c r="E570" s="60"/>
      <c r="F570" s="60"/>
      <c r="G570" s="60"/>
      <c r="H570" s="65" t="s">
        <v>119</v>
      </c>
      <c r="I570" s="21" t="s">
        <v>1516</v>
      </c>
      <c r="J570" s="26">
        <f>+COUNTIF('ID1&amp;5'!G:G,'1. Status'!I570)</f>
        <v>0</v>
      </c>
      <c r="K570" s="79" t="str">
        <f>+IFERROR(VLOOKUP(CONCATENATE(A570,$B$10,B570),'ID1&amp;5'!B:J,8,FALSE),"-")</f>
        <v>-</v>
      </c>
      <c r="L570" s="78" t="str">
        <f>+IFERROR(VLOOKUP(B570,'ID1&amp;5'!K:L,2,FALSE),"-")</f>
        <v>-</v>
      </c>
      <c r="M570" s="79" t="str">
        <f>+IFERROR(VLOOKUP(CONCATENATE(A570,$B$10,B570),'ID1&amp;5'!B:J,9,FALSE),"-")</f>
        <v>-</v>
      </c>
      <c r="N570" s="79" t="str">
        <f>+IFERROR(VLOOKUP(CONCATENATE(A570,$C$10,C570),'ID1&amp;5'!B:J,8,FALSE),"-")</f>
        <v>-</v>
      </c>
      <c r="O570" s="78" t="str">
        <f>+IFERROR(VLOOKUP(C570,'ID1&amp;5'!K:L,2,FALSE),"-")</f>
        <v>-</v>
      </c>
      <c r="P570" s="79" t="str">
        <f>+IFERROR(VLOOKUP(CONCATENATE(A570,$C$10,C570),'ID1&amp;5'!B:J,9,FALSE),"-")</f>
        <v>-</v>
      </c>
      <c r="Q570" s="78" t="str">
        <f>+IFERROR(VLOOKUP(D570,'ID1&amp;5'!K:L,2,FALSE),"-")</f>
        <v>-</v>
      </c>
      <c r="R570" s="26" t="str">
        <f>+IFERROR(VLOOKUP(CONCATENATE(A570,$D$10,D570),'ID1&amp;5'!B:J,9,FALSE),"-")</f>
        <v>-</v>
      </c>
      <c r="S570" s="78" t="str">
        <f>+IFERROR(VLOOKUP(E570,'ID1&amp;5'!K:L,2,FALSE),"-")</f>
        <v>-</v>
      </c>
      <c r="T570" s="79" t="str">
        <f>+IFERROR(VLOOKUP(CONCATENATE(A570,$E$10,E570),'ID1&amp;5'!B:J,9,FALSE),"-")</f>
        <v>-</v>
      </c>
      <c r="U570" s="78" t="str">
        <f>+IFERROR(VLOOKUP(F570,'ID1&amp;5'!K:L,2,FALSE),"-")</f>
        <v>-</v>
      </c>
      <c r="V570" s="79" t="str">
        <f>+IFERROR(VLOOKUP(CONCATENATE(A570,$F$10,F570),'ID1&amp;5'!B:J,9,FALSE),"-")</f>
        <v>-</v>
      </c>
      <c r="W570" s="26" t="str">
        <f>+IFERROR(VLOOKUP(A570,'ID6&amp;7'!A:I,9,FALSE),"-")</f>
        <v>-</v>
      </c>
      <c r="X570" s="26" t="str">
        <f>+IFERROR(VLOOKUP(A570,'ID6&amp;7'!A:J,10,FALSE),"-")</f>
        <v>-</v>
      </c>
      <c r="Y570" s="26"/>
      <c r="Z570" s="27" t="str">
        <f t="shared" si="9"/>
        <v>Por iniciar</v>
      </c>
      <c r="AA570" s="65"/>
    </row>
    <row r="571" spans="1:27">
      <c r="A571" s="20"/>
      <c r="B571" s="60"/>
      <c r="C571" s="60"/>
      <c r="D571" s="60"/>
      <c r="E571" s="60"/>
      <c r="F571" s="60"/>
      <c r="G571" s="60"/>
      <c r="H571" s="65" t="s">
        <v>119</v>
      </c>
      <c r="I571" s="21" t="s">
        <v>1517</v>
      </c>
      <c r="J571" s="26">
        <f>+COUNTIF('ID1&amp;5'!G:G,'1. Status'!I571)</f>
        <v>0</v>
      </c>
      <c r="K571" s="79" t="str">
        <f>+IFERROR(VLOOKUP(CONCATENATE(A571,$B$10,B571),'ID1&amp;5'!B:J,8,FALSE),"-")</f>
        <v>-</v>
      </c>
      <c r="L571" s="78" t="str">
        <f>+IFERROR(VLOOKUP(B571,'ID1&amp;5'!K:L,2,FALSE),"-")</f>
        <v>-</v>
      </c>
      <c r="M571" s="79" t="str">
        <f>+IFERROR(VLOOKUP(CONCATENATE(A571,$B$10,B571),'ID1&amp;5'!B:J,9,FALSE),"-")</f>
        <v>-</v>
      </c>
      <c r="N571" s="79" t="str">
        <f>+IFERROR(VLOOKUP(CONCATENATE(A571,$C$10,C571),'ID1&amp;5'!B:J,8,FALSE),"-")</f>
        <v>-</v>
      </c>
      <c r="O571" s="78" t="str">
        <f>+IFERROR(VLOOKUP(C571,'ID1&amp;5'!K:L,2,FALSE),"-")</f>
        <v>-</v>
      </c>
      <c r="P571" s="79" t="str">
        <f>+IFERROR(VLOOKUP(CONCATENATE(A571,$C$10,C571),'ID1&amp;5'!B:J,9,FALSE),"-")</f>
        <v>-</v>
      </c>
      <c r="Q571" s="78" t="str">
        <f>+IFERROR(VLOOKUP(D571,'ID1&amp;5'!K:L,2,FALSE),"-")</f>
        <v>-</v>
      </c>
      <c r="R571" s="26" t="str">
        <f>+IFERROR(VLOOKUP(CONCATENATE(A571,$D$10,D571),'ID1&amp;5'!B:J,9,FALSE),"-")</f>
        <v>-</v>
      </c>
      <c r="S571" s="78" t="str">
        <f>+IFERROR(VLOOKUP(E571,'ID1&amp;5'!K:L,2,FALSE),"-")</f>
        <v>-</v>
      </c>
      <c r="T571" s="79" t="str">
        <f>+IFERROR(VLOOKUP(CONCATENATE(A571,$E$10,E571),'ID1&amp;5'!B:J,9,FALSE),"-")</f>
        <v>-</v>
      </c>
      <c r="U571" s="78" t="str">
        <f>+IFERROR(VLOOKUP(F571,'ID1&amp;5'!K:L,2,FALSE),"-")</f>
        <v>-</v>
      </c>
      <c r="V571" s="79" t="str">
        <f>+IFERROR(VLOOKUP(CONCATENATE(A571,$F$10,F571),'ID1&amp;5'!B:J,9,FALSE),"-")</f>
        <v>-</v>
      </c>
      <c r="W571" s="26" t="str">
        <f>+IFERROR(VLOOKUP(A571,'ID6&amp;7'!A:I,9,FALSE),"-")</f>
        <v>-</v>
      </c>
      <c r="X571" s="26" t="str">
        <f>+IFERROR(VLOOKUP(A571,'ID6&amp;7'!A:J,10,FALSE),"-")</f>
        <v>-</v>
      </c>
      <c r="Y571" s="26"/>
      <c r="Z571" s="27" t="str">
        <f t="shared" si="9"/>
        <v>Por iniciar</v>
      </c>
      <c r="AA571" s="65"/>
    </row>
    <row r="572" spans="1:27">
      <c r="A572" s="20"/>
      <c r="B572" s="60"/>
      <c r="C572" s="60"/>
      <c r="D572" s="60"/>
      <c r="E572" s="60"/>
      <c r="F572" s="60"/>
      <c r="G572" s="60"/>
      <c r="H572" s="65" t="s">
        <v>119</v>
      </c>
      <c r="I572" s="21" t="s">
        <v>672</v>
      </c>
      <c r="J572" s="26">
        <f>+COUNTIF('ID1&amp;5'!G:G,'1. Status'!I572)</f>
        <v>0</v>
      </c>
      <c r="K572" s="79" t="str">
        <f>+IFERROR(VLOOKUP(CONCATENATE(A572,$B$10,B572),'ID1&amp;5'!B:J,8,FALSE),"-")</f>
        <v>-</v>
      </c>
      <c r="L572" s="78" t="str">
        <f>+IFERROR(VLOOKUP(B572,'ID1&amp;5'!K:L,2,FALSE),"-")</f>
        <v>-</v>
      </c>
      <c r="M572" s="79" t="str">
        <f>+IFERROR(VLOOKUP(CONCATENATE(A572,$B$10,B572),'ID1&amp;5'!B:J,9,FALSE),"-")</f>
        <v>-</v>
      </c>
      <c r="N572" s="79" t="str">
        <f>+IFERROR(VLOOKUP(CONCATENATE(A572,$C$10,C572),'ID1&amp;5'!B:J,8,FALSE),"-")</f>
        <v>-</v>
      </c>
      <c r="O572" s="78" t="str">
        <f>+IFERROR(VLOOKUP(C572,'ID1&amp;5'!K:L,2,FALSE),"-")</f>
        <v>-</v>
      </c>
      <c r="P572" s="79" t="str">
        <f>+IFERROR(VLOOKUP(CONCATENATE(A572,$C$10,C572),'ID1&amp;5'!B:J,9,FALSE),"-")</f>
        <v>-</v>
      </c>
      <c r="Q572" s="78" t="str">
        <f>+IFERROR(VLOOKUP(D572,'ID1&amp;5'!K:L,2,FALSE),"-")</f>
        <v>-</v>
      </c>
      <c r="R572" s="26" t="str">
        <f>+IFERROR(VLOOKUP(CONCATENATE(A572,$D$10,D572),'ID1&amp;5'!B:J,9,FALSE),"-")</f>
        <v>-</v>
      </c>
      <c r="S572" s="78" t="str">
        <f>+IFERROR(VLOOKUP(E572,'ID1&amp;5'!K:L,2,FALSE),"-")</f>
        <v>-</v>
      </c>
      <c r="T572" s="79" t="str">
        <f>+IFERROR(VLOOKUP(CONCATENATE(A572,$E$10,E572),'ID1&amp;5'!B:J,9,FALSE),"-")</f>
        <v>-</v>
      </c>
      <c r="U572" s="78" t="str">
        <f>+IFERROR(VLOOKUP(F572,'ID1&amp;5'!K:L,2,FALSE),"-")</f>
        <v>-</v>
      </c>
      <c r="V572" s="79" t="str">
        <f>+IFERROR(VLOOKUP(CONCATENATE(A572,$F$10,F572),'ID1&amp;5'!B:J,9,FALSE),"-")</f>
        <v>-</v>
      </c>
      <c r="W572" s="26" t="str">
        <f>+IFERROR(VLOOKUP(A572,'ID6&amp;7'!A:I,9,FALSE),"-")</f>
        <v>-</v>
      </c>
      <c r="X572" s="26" t="str">
        <f>+IFERROR(VLOOKUP(A572,'ID6&amp;7'!A:J,10,FALSE),"-")</f>
        <v>-</v>
      </c>
      <c r="Y572" s="26"/>
      <c r="Z572" s="27" t="str">
        <f t="shared" si="9"/>
        <v>Por iniciar</v>
      </c>
      <c r="AA572" s="65"/>
    </row>
    <row r="573" spans="1:27">
      <c r="A573" s="20"/>
      <c r="B573" s="60"/>
      <c r="C573" s="60"/>
      <c r="D573" s="60"/>
      <c r="E573" s="60"/>
      <c r="F573" s="60"/>
      <c r="G573" s="60"/>
      <c r="H573" s="65" t="s">
        <v>119</v>
      </c>
      <c r="I573" s="21" t="s">
        <v>1518</v>
      </c>
      <c r="J573" s="26">
        <f>+COUNTIF('ID1&amp;5'!G:G,'1. Status'!I573)</f>
        <v>0</v>
      </c>
      <c r="K573" s="79" t="str">
        <f>+IFERROR(VLOOKUP(CONCATENATE(A573,$B$10,B573),'ID1&amp;5'!B:J,8,FALSE),"-")</f>
        <v>-</v>
      </c>
      <c r="L573" s="78" t="str">
        <f>+IFERROR(VLOOKUP(B573,'ID1&amp;5'!K:L,2,FALSE),"-")</f>
        <v>-</v>
      </c>
      <c r="M573" s="79" t="str">
        <f>+IFERROR(VLOOKUP(CONCATENATE(A573,$B$10,B573),'ID1&amp;5'!B:J,9,FALSE),"-")</f>
        <v>-</v>
      </c>
      <c r="N573" s="79" t="str">
        <f>+IFERROR(VLOOKUP(CONCATENATE(A573,$C$10,C573),'ID1&amp;5'!B:J,8,FALSE),"-")</f>
        <v>-</v>
      </c>
      <c r="O573" s="78" t="str">
        <f>+IFERROR(VLOOKUP(C573,'ID1&amp;5'!K:L,2,FALSE),"-")</f>
        <v>-</v>
      </c>
      <c r="P573" s="79" t="str">
        <f>+IFERROR(VLOOKUP(CONCATENATE(A573,$C$10,C573),'ID1&amp;5'!B:J,9,FALSE),"-")</f>
        <v>-</v>
      </c>
      <c r="Q573" s="78" t="str">
        <f>+IFERROR(VLOOKUP(D573,'ID1&amp;5'!K:L,2,FALSE),"-")</f>
        <v>-</v>
      </c>
      <c r="R573" s="26" t="str">
        <f>+IFERROR(VLOOKUP(CONCATENATE(A573,$D$10,D573),'ID1&amp;5'!B:J,9,FALSE),"-")</f>
        <v>-</v>
      </c>
      <c r="S573" s="78" t="str">
        <f>+IFERROR(VLOOKUP(E573,'ID1&amp;5'!K:L,2,FALSE),"-")</f>
        <v>-</v>
      </c>
      <c r="T573" s="79" t="str">
        <f>+IFERROR(VLOOKUP(CONCATENATE(A573,$E$10,E573),'ID1&amp;5'!B:J,9,FALSE),"-")</f>
        <v>-</v>
      </c>
      <c r="U573" s="78" t="str">
        <f>+IFERROR(VLOOKUP(F573,'ID1&amp;5'!K:L,2,FALSE),"-")</f>
        <v>-</v>
      </c>
      <c r="V573" s="79" t="str">
        <f>+IFERROR(VLOOKUP(CONCATENATE(A573,$F$10,F573),'ID1&amp;5'!B:J,9,FALSE),"-")</f>
        <v>-</v>
      </c>
      <c r="W573" s="26" t="str">
        <f>+IFERROR(VLOOKUP(A573,'ID6&amp;7'!A:I,9,FALSE),"-")</f>
        <v>-</v>
      </c>
      <c r="X573" s="26" t="str">
        <f>+IFERROR(VLOOKUP(A573,'ID6&amp;7'!A:J,10,FALSE),"-")</f>
        <v>-</v>
      </c>
      <c r="Y573" s="26"/>
      <c r="Z573" s="27" t="str">
        <f t="shared" si="9"/>
        <v>Por iniciar</v>
      </c>
      <c r="AA573" s="65"/>
    </row>
    <row r="574" spans="1:27">
      <c r="A574" s="20"/>
      <c r="B574" s="60"/>
      <c r="C574" s="60"/>
      <c r="D574" s="60"/>
      <c r="E574" s="60"/>
      <c r="F574" s="60"/>
      <c r="G574" s="60"/>
      <c r="H574" s="65" t="s">
        <v>119</v>
      </c>
      <c r="I574" s="21" t="s">
        <v>1519</v>
      </c>
      <c r="J574" s="26">
        <f>+COUNTIF('ID1&amp;5'!G:G,'1. Status'!I574)</f>
        <v>0</v>
      </c>
      <c r="K574" s="79" t="str">
        <f>+IFERROR(VLOOKUP(CONCATENATE(A574,$B$10,B574),'ID1&amp;5'!B:J,8,FALSE),"-")</f>
        <v>-</v>
      </c>
      <c r="L574" s="78" t="str">
        <f>+IFERROR(VLOOKUP(B574,'ID1&amp;5'!K:L,2,FALSE),"-")</f>
        <v>-</v>
      </c>
      <c r="M574" s="79" t="str">
        <f>+IFERROR(VLOOKUP(CONCATENATE(A574,$B$10,B574),'ID1&amp;5'!B:J,9,FALSE),"-")</f>
        <v>-</v>
      </c>
      <c r="N574" s="79" t="str">
        <f>+IFERROR(VLOOKUP(CONCATENATE(A574,$C$10,C574),'ID1&amp;5'!B:J,8,FALSE),"-")</f>
        <v>-</v>
      </c>
      <c r="O574" s="78" t="str">
        <f>+IFERROR(VLOOKUP(C574,'ID1&amp;5'!K:L,2,FALSE),"-")</f>
        <v>-</v>
      </c>
      <c r="P574" s="79" t="str">
        <f>+IFERROR(VLOOKUP(CONCATENATE(A574,$C$10,C574),'ID1&amp;5'!B:J,9,FALSE),"-")</f>
        <v>-</v>
      </c>
      <c r="Q574" s="78" t="str">
        <f>+IFERROR(VLOOKUP(D574,'ID1&amp;5'!K:L,2,FALSE),"-")</f>
        <v>-</v>
      </c>
      <c r="R574" s="26" t="str">
        <f>+IFERROR(VLOOKUP(CONCATENATE(A574,$D$10,D574),'ID1&amp;5'!B:J,9,FALSE),"-")</f>
        <v>-</v>
      </c>
      <c r="S574" s="78" t="str">
        <f>+IFERROR(VLOOKUP(E574,'ID1&amp;5'!K:L,2,FALSE),"-")</f>
        <v>-</v>
      </c>
      <c r="T574" s="79" t="str">
        <f>+IFERROR(VLOOKUP(CONCATENATE(A574,$E$10,E574),'ID1&amp;5'!B:J,9,FALSE),"-")</f>
        <v>-</v>
      </c>
      <c r="U574" s="78" t="str">
        <f>+IFERROR(VLOOKUP(F574,'ID1&amp;5'!K:L,2,FALSE),"-")</f>
        <v>-</v>
      </c>
      <c r="V574" s="79" t="str">
        <f>+IFERROR(VLOOKUP(CONCATENATE(A574,$F$10,F574),'ID1&amp;5'!B:J,9,FALSE),"-")</f>
        <v>-</v>
      </c>
      <c r="W574" s="26" t="str">
        <f>+IFERROR(VLOOKUP(A574,'ID6&amp;7'!A:I,9,FALSE),"-")</f>
        <v>-</v>
      </c>
      <c r="X574" s="26" t="str">
        <f>+IFERROR(VLOOKUP(A574,'ID6&amp;7'!A:J,10,FALSE),"-")</f>
        <v>-</v>
      </c>
      <c r="Y574" s="26"/>
      <c r="Z574" s="27" t="str">
        <f t="shared" si="9"/>
        <v>Por iniciar</v>
      </c>
      <c r="AA574" s="65"/>
    </row>
    <row r="575" spans="1:27">
      <c r="A575" s="20"/>
      <c r="B575" s="60"/>
      <c r="C575" s="60"/>
      <c r="D575" s="60"/>
      <c r="E575" s="60"/>
      <c r="F575" s="60"/>
      <c r="G575" s="60"/>
      <c r="H575" s="65" t="s">
        <v>119</v>
      </c>
      <c r="I575" s="21" t="s">
        <v>1520</v>
      </c>
      <c r="J575" s="26">
        <f>+COUNTIF('ID1&amp;5'!G:G,'1. Status'!I575)</f>
        <v>0</v>
      </c>
      <c r="K575" s="79" t="str">
        <f>+IFERROR(VLOOKUP(CONCATENATE(A575,$B$10,B575),'ID1&amp;5'!B:J,8,FALSE),"-")</f>
        <v>-</v>
      </c>
      <c r="L575" s="78" t="str">
        <f>+IFERROR(VLOOKUP(B575,'ID1&amp;5'!K:L,2,FALSE),"-")</f>
        <v>-</v>
      </c>
      <c r="M575" s="79" t="str">
        <f>+IFERROR(VLOOKUP(CONCATENATE(A575,$B$10,B575),'ID1&amp;5'!B:J,9,FALSE),"-")</f>
        <v>-</v>
      </c>
      <c r="N575" s="79" t="str">
        <f>+IFERROR(VLOOKUP(CONCATENATE(A575,$C$10,C575),'ID1&amp;5'!B:J,8,FALSE),"-")</f>
        <v>-</v>
      </c>
      <c r="O575" s="78" t="str">
        <f>+IFERROR(VLOOKUP(C575,'ID1&amp;5'!K:L,2,FALSE),"-")</f>
        <v>-</v>
      </c>
      <c r="P575" s="79" t="str">
        <f>+IFERROR(VLOOKUP(CONCATENATE(A575,$C$10,C575),'ID1&amp;5'!B:J,9,FALSE),"-")</f>
        <v>-</v>
      </c>
      <c r="Q575" s="78" t="str">
        <f>+IFERROR(VLOOKUP(D575,'ID1&amp;5'!K:L,2,FALSE),"-")</f>
        <v>-</v>
      </c>
      <c r="R575" s="26" t="str">
        <f>+IFERROR(VLOOKUP(CONCATENATE(A575,$D$10,D575),'ID1&amp;5'!B:J,9,FALSE),"-")</f>
        <v>-</v>
      </c>
      <c r="S575" s="78" t="str">
        <f>+IFERROR(VLOOKUP(E575,'ID1&amp;5'!K:L,2,FALSE),"-")</f>
        <v>-</v>
      </c>
      <c r="T575" s="79" t="str">
        <f>+IFERROR(VLOOKUP(CONCATENATE(A575,$E$10,E575),'ID1&amp;5'!B:J,9,FALSE),"-")</f>
        <v>-</v>
      </c>
      <c r="U575" s="78" t="str">
        <f>+IFERROR(VLOOKUP(F575,'ID1&amp;5'!K:L,2,FALSE),"-")</f>
        <v>-</v>
      </c>
      <c r="V575" s="79" t="str">
        <f>+IFERROR(VLOOKUP(CONCATENATE(A575,$F$10,F575),'ID1&amp;5'!B:J,9,FALSE),"-")</f>
        <v>-</v>
      </c>
      <c r="W575" s="26" t="str">
        <f>+IFERROR(VLOOKUP(A575,'ID6&amp;7'!A:I,9,FALSE),"-")</f>
        <v>-</v>
      </c>
      <c r="X575" s="26" t="str">
        <f>+IFERROR(VLOOKUP(A575,'ID6&amp;7'!A:J,10,FALSE),"-")</f>
        <v>-</v>
      </c>
      <c r="Y575" s="26"/>
      <c r="Z575" s="27" t="str">
        <f t="shared" si="9"/>
        <v>Por iniciar</v>
      </c>
      <c r="AA575" s="65"/>
    </row>
    <row r="576" spans="1:27">
      <c r="A576" s="20"/>
      <c r="B576" s="60"/>
      <c r="C576" s="60"/>
      <c r="D576" s="60"/>
      <c r="E576" s="60"/>
      <c r="F576" s="60"/>
      <c r="G576" s="60"/>
      <c r="H576" s="65" t="s">
        <v>119</v>
      </c>
      <c r="I576" s="21" t="s">
        <v>1521</v>
      </c>
      <c r="J576" s="26">
        <f>+COUNTIF('ID1&amp;5'!G:G,'1. Status'!I576)</f>
        <v>0</v>
      </c>
      <c r="K576" s="79" t="str">
        <f>+IFERROR(VLOOKUP(CONCATENATE(A576,$B$10,B576),'ID1&amp;5'!B:J,8,FALSE),"-")</f>
        <v>-</v>
      </c>
      <c r="L576" s="78" t="str">
        <f>+IFERROR(VLOOKUP(B576,'ID1&amp;5'!K:L,2,FALSE),"-")</f>
        <v>-</v>
      </c>
      <c r="M576" s="79" t="str">
        <f>+IFERROR(VLOOKUP(CONCATENATE(A576,$B$10,B576),'ID1&amp;5'!B:J,9,FALSE),"-")</f>
        <v>-</v>
      </c>
      <c r="N576" s="79" t="str">
        <f>+IFERROR(VLOOKUP(CONCATENATE(A576,$C$10,C576),'ID1&amp;5'!B:J,8,FALSE),"-")</f>
        <v>-</v>
      </c>
      <c r="O576" s="78" t="str">
        <f>+IFERROR(VLOOKUP(C576,'ID1&amp;5'!K:L,2,FALSE),"-")</f>
        <v>-</v>
      </c>
      <c r="P576" s="79" t="str">
        <f>+IFERROR(VLOOKUP(CONCATENATE(A576,$C$10,C576),'ID1&amp;5'!B:J,9,FALSE),"-")</f>
        <v>-</v>
      </c>
      <c r="Q576" s="78" t="str">
        <f>+IFERROR(VLOOKUP(D576,'ID1&amp;5'!K:L,2,FALSE),"-")</f>
        <v>-</v>
      </c>
      <c r="R576" s="26" t="str">
        <f>+IFERROR(VLOOKUP(CONCATENATE(A576,$D$10,D576),'ID1&amp;5'!B:J,9,FALSE),"-")</f>
        <v>-</v>
      </c>
      <c r="S576" s="78" t="str">
        <f>+IFERROR(VLOOKUP(E576,'ID1&amp;5'!K:L,2,FALSE),"-")</f>
        <v>-</v>
      </c>
      <c r="T576" s="79" t="str">
        <f>+IFERROR(VLOOKUP(CONCATENATE(A576,$E$10,E576),'ID1&amp;5'!B:J,9,FALSE),"-")</f>
        <v>-</v>
      </c>
      <c r="U576" s="78" t="str">
        <f>+IFERROR(VLOOKUP(F576,'ID1&amp;5'!K:L,2,FALSE),"-")</f>
        <v>-</v>
      </c>
      <c r="V576" s="79" t="str">
        <f>+IFERROR(VLOOKUP(CONCATENATE(A576,$F$10,F576),'ID1&amp;5'!B:J,9,FALSE),"-")</f>
        <v>-</v>
      </c>
      <c r="W576" s="26" t="str">
        <f>+IFERROR(VLOOKUP(A576,'ID6&amp;7'!A:I,9,FALSE),"-")</f>
        <v>-</v>
      </c>
      <c r="X576" s="26" t="str">
        <f>+IFERROR(VLOOKUP(A576,'ID6&amp;7'!A:J,10,FALSE),"-")</f>
        <v>-</v>
      </c>
      <c r="Y576" s="26"/>
      <c r="Z576" s="27" t="str">
        <f t="shared" ref="Z576:Z639" si="10">+IF(J576=0,"Por iniciar",IF(OR(K576="-",M576="-",P576="-",R576="-",T576="-",V576="-"),"Em testes",IF(AND(M576=0,P576=0,R576=0,T576&lt;&gt;K576,V576&lt;&gt;K576),"OK","NOK")))</f>
        <v>Por iniciar</v>
      </c>
      <c r="AA576" s="65"/>
    </row>
    <row r="577" spans="1:27">
      <c r="A577" s="20"/>
      <c r="B577" s="60"/>
      <c r="C577" s="60"/>
      <c r="D577" s="60"/>
      <c r="E577" s="60"/>
      <c r="F577" s="60"/>
      <c r="G577" s="60"/>
      <c r="H577" s="65" t="s">
        <v>119</v>
      </c>
      <c r="I577" s="21" t="s">
        <v>1522</v>
      </c>
      <c r="J577" s="26">
        <f>+COUNTIF('ID1&amp;5'!G:G,'1. Status'!I577)</f>
        <v>0</v>
      </c>
      <c r="K577" s="79" t="str">
        <f>+IFERROR(VLOOKUP(CONCATENATE(A577,$B$10,B577),'ID1&amp;5'!B:J,8,FALSE),"-")</f>
        <v>-</v>
      </c>
      <c r="L577" s="78" t="str">
        <f>+IFERROR(VLOOKUP(B577,'ID1&amp;5'!K:L,2,FALSE),"-")</f>
        <v>-</v>
      </c>
      <c r="M577" s="79" t="str">
        <f>+IFERROR(VLOOKUP(CONCATENATE(A577,$B$10,B577),'ID1&amp;5'!B:J,9,FALSE),"-")</f>
        <v>-</v>
      </c>
      <c r="N577" s="79" t="str">
        <f>+IFERROR(VLOOKUP(CONCATENATE(A577,$C$10,C577),'ID1&amp;5'!B:J,8,FALSE),"-")</f>
        <v>-</v>
      </c>
      <c r="O577" s="78" t="str">
        <f>+IFERROR(VLOOKUP(C577,'ID1&amp;5'!K:L,2,FALSE),"-")</f>
        <v>-</v>
      </c>
      <c r="P577" s="79" t="str">
        <f>+IFERROR(VLOOKUP(CONCATENATE(A577,$C$10,C577),'ID1&amp;5'!B:J,9,FALSE),"-")</f>
        <v>-</v>
      </c>
      <c r="Q577" s="78" t="str">
        <f>+IFERROR(VLOOKUP(D577,'ID1&amp;5'!K:L,2,FALSE),"-")</f>
        <v>-</v>
      </c>
      <c r="R577" s="26" t="str">
        <f>+IFERROR(VLOOKUP(CONCATENATE(A577,$D$10,D577),'ID1&amp;5'!B:J,9,FALSE),"-")</f>
        <v>-</v>
      </c>
      <c r="S577" s="78" t="str">
        <f>+IFERROR(VLOOKUP(E577,'ID1&amp;5'!K:L,2,FALSE),"-")</f>
        <v>-</v>
      </c>
      <c r="T577" s="79" t="str">
        <f>+IFERROR(VLOOKUP(CONCATENATE(A577,$E$10,E577),'ID1&amp;5'!B:J,9,FALSE),"-")</f>
        <v>-</v>
      </c>
      <c r="U577" s="78" t="str">
        <f>+IFERROR(VLOOKUP(F577,'ID1&amp;5'!K:L,2,FALSE),"-")</f>
        <v>-</v>
      </c>
      <c r="V577" s="79" t="str">
        <f>+IFERROR(VLOOKUP(CONCATENATE(A577,$F$10,F577),'ID1&amp;5'!B:J,9,FALSE),"-")</f>
        <v>-</v>
      </c>
      <c r="W577" s="26" t="str">
        <f>+IFERROR(VLOOKUP(A577,'ID6&amp;7'!A:I,9,FALSE),"-")</f>
        <v>-</v>
      </c>
      <c r="X577" s="26" t="str">
        <f>+IFERROR(VLOOKUP(A577,'ID6&amp;7'!A:J,10,FALSE),"-")</f>
        <v>-</v>
      </c>
      <c r="Y577" s="26"/>
      <c r="Z577" s="27" t="str">
        <f t="shared" si="10"/>
        <v>Por iniciar</v>
      </c>
      <c r="AA577" s="65"/>
    </row>
    <row r="578" spans="1:27">
      <c r="A578" s="20"/>
      <c r="B578" s="60"/>
      <c r="C578" s="60"/>
      <c r="D578" s="60"/>
      <c r="E578" s="60"/>
      <c r="F578" s="60"/>
      <c r="G578" s="60"/>
      <c r="H578" s="65" t="s">
        <v>119</v>
      </c>
      <c r="I578" s="21" t="s">
        <v>1523</v>
      </c>
      <c r="J578" s="26">
        <f>+COUNTIF('ID1&amp;5'!G:G,'1. Status'!I578)</f>
        <v>0</v>
      </c>
      <c r="K578" s="79" t="str">
        <f>+IFERROR(VLOOKUP(CONCATENATE(A578,$B$10,B578),'ID1&amp;5'!B:J,8,FALSE),"-")</f>
        <v>-</v>
      </c>
      <c r="L578" s="78" t="str">
        <f>+IFERROR(VLOOKUP(B578,'ID1&amp;5'!K:L,2,FALSE),"-")</f>
        <v>-</v>
      </c>
      <c r="M578" s="79" t="str">
        <f>+IFERROR(VLOOKUP(CONCATENATE(A578,$B$10,B578),'ID1&amp;5'!B:J,9,FALSE),"-")</f>
        <v>-</v>
      </c>
      <c r="N578" s="79" t="str">
        <f>+IFERROR(VLOOKUP(CONCATENATE(A578,$C$10,C578),'ID1&amp;5'!B:J,8,FALSE),"-")</f>
        <v>-</v>
      </c>
      <c r="O578" s="78" t="str">
        <f>+IFERROR(VLOOKUP(C578,'ID1&amp;5'!K:L,2,FALSE),"-")</f>
        <v>-</v>
      </c>
      <c r="P578" s="79" t="str">
        <f>+IFERROR(VLOOKUP(CONCATENATE(A578,$C$10,C578),'ID1&amp;5'!B:J,9,FALSE),"-")</f>
        <v>-</v>
      </c>
      <c r="Q578" s="78" t="str">
        <f>+IFERROR(VLOOKUP(D578,'ID1&amp;5'!K:L,2,FALSE),"-")</f>
        <v>-</v>
      </c>
      <c r="R578" s="26" t="str">
        <f>+IFERROR(VLOOKUP(CONCATENATE(A578,$D$10,D578),'ID1&amp;5'!B:J,9,FALSE),"-")</f>
        <v>-</v>
      </c>
      <c r="S578" s="78" t="str">
        <f>+IFERROR(VLOOKUP(E578,'ID1&amp;5'!K:L,2,FALSE),"-")</f>
        <v>-</v>
      </c>
      <c r="T578" s="79" t="str">
        <f>+IFERROR(VLOOKUP(CONCATENATE(A578,$E$10,E578),'ID1&amp;5'!B:J,9,FALSE),"-")</f>
        <v>-</v>
      </c>
      <c r="U578" s="78" t="str">
        <f>+IFERROR(VLOOKUP(F578,'ID1&amp;5'!K:L,2,FALSE),"-")</f>
        <v>-</v>
      </c>
      <c r="V578" s="79" t="str">
        <f>+IFERROR(VLOOKUP(CONCATENATE(A578,$F$10,F578),'ID1&amp;5'!B:J,9,FALSE),"-")</f>
        <v>-</v>
      </c>
      <c r="W578" s="26" t="str">
        <f>+IFERROR(VLOOKUP(A578,'ID6&amp;7'!A:I,9,FALSE),"-")</f>
        <v>-</v>
      </c>
      <c r="X578" s="26" t="str">
        <f>+IFERROR(VLOOKUP(A578,'ID6&amp;7'!A:J,10,FALSE),"-")</f>
        <v>-</v>
      </c>
      <c r="Y578" s="26"/>
      <c r="Z578" s="27" t="str">
        <f t="shared" si="10"/>
        <v>Por iniciar</v>
      </c>
      <c r="AA578" s="65"/>
    </row>
    <row r="579" spans="1:27">
      <c r="A579" s="20"/>
      <c r="B579" s="60"/>
      <c r="C579" s="60"/>
      <c r="D579" s="60"/>
      <c r="E579" s="60"/>
      <c r="F579" s="60"/>
      <c r="G579" s="60"/>
      <c r="H579" s="65" t="s">
        <v>119</v>
      </c>
      <c r="I579" s="21" t="s">
        <v>1524</v>
      </c>
      <c r="J579" s="26">
        <f>+COUNTIF('ID1&amp;5'!G:G,'1. Status'!I579)</f>
        <v>0</v>
      </c>
      <c r="K579" s="79" t="str">
        <f>+IFERROR(VLOOKUP(CONCATENATE(A579,$B$10,B579),'ID1&amp;5'!B:J,8,FALSE),"-")</f>
        <v>-</v>
      </c>
      <c r="L579" s="78" t="str">
        <f>+IFERROR(VLOOKUP(B579,'ID1&amp;5'!K:L,2,FALSE),"-")</f>
        <v>-</v>
      </c>
      <c r="M579" s="79" t="str">
        <f>+IFERROR(VLOOKUP(CONCATENATE(A579,$B$10,B579),'ID1&amp;5'!B:J,9,FALSE),"-")</f>
        <v>-</v>
      </c>
      <c r="N579" s="79" t="str">
        <f>+IFERROR(VLOOKUP(CONCATENATE(A579,$C$10,C579),'ID1&amp;5'!B:J,8,FALSE),"-")</f>
        <v>-</v>
      </c>
      <c r="O579" s="78" t="str">
        <f>+IFERROR(VLOOKUP(C579,'ID1&amp;5'!K:L,2,FALSE),"-")</f>
        <v>-</v>
      </c>
      <c r="P579" s="79" t="str">
        <f>+IFERROR(VLOOKUP(CONCATENATE(A579,$C$10,C579),'ID1&amp;5'!B:J,9,FALSE),"-")</f>
        <v>-</v>
      </c>
      <c r="Q579" s="78" t="str">
        <f>+IFERROR(VLOOKUP(D579,'ID1&amp;5'!K:L,2,FALSE),"-")</f>
        <v>-</v>
      </c>
      <c r="R579" s="26" t="str">
        <f>+IFERROR(VLOOKUP(CONCATENATE(A579,$D$10,D579),'ID1&amp;5'!B:J,9,FALSE),"-")</f>
        <v>-</v>
      </c>
      <c r="S579" s="78" t="str">
        <f>+IFERROR(VLOOKUP(E579,'ID1&amp;5'!K:L,2,FALSE),"-")</f>
        <v>-</v>
      </c>
      <c r="T579" s="79" t="str">
        <f>+IFERROR(VLOOKUP(CONCATENATE(A579,$E$10,E579),'ID1&amp;5'!B:J,9,FALSE),"-")</f>
        <v>-</v>
      </c>
      <c r="U579" s="78" t="str">
        <f>+IFERROR(VLOOKUP(F579,'ID1&amp;5'!K:L,2,FALSE),"-")</f>
        <v>-</v>
      </c>
      <c r="V579" s="79" t="str">
        <f>+IFERROR(VLOOKUP(CONCATENATE(A579,$F$10,F579),'ID1&amp;5'!B:J,9,FALSE),"-")</f>
        <v>-</v>
      </c>
      <c r="W579" s="26" t="str">
        <f>+IFERROR(VLOOKUP(A579,'ID6&amp;7'!A:I,9,FALSE),"-")</f>
        <v>-</v>
      </c>
      <c r="X579" s="26" t="str">
        <f>+IFERROR(VLOOKUP(A579,'ID6&amp;7'!A:J,10,FALSE),"-")</f>
        <v>-</v>
      </c>
      <c r="Y579" s="26"/>
      <c r="Z579" s="27" t="str">
        <f t="shared" si="10"/>
        <v>Por iniciar</v>
      </c>
      <c r="AA579" s="65"/>
    </row>
    <row r="580" spans="1:27">
      <c r="A580" s="20"/>
      <c r="B580" s="60"/>
      <c r="C580" s="60"/>
      <c r="D580" s="60"/>
      <c r="E580" s="60"/>
      <c r="F580" s="60"/>
      <c r="G580" s="60"/>
      <c r="H580" s="65" t="s">
        <v>119</v>
      </c>
      <c r="I580" s="21" t="s">
        <v>673</v>
      </c>
      <c r="J580" s="26">
        <f>+COUNTIF('ID1&amp;5'!G:G,'1. Status'!I580)</f>
        <v>0</v>
      </c>
      <c r="K580" s="79" t="str">
        <f>+IFERROR(VLOOKUP(CONCATENATE(A580,$B$10,B580),'ID1&amp;5'!B:J,8,FALSE),"-")</f>
        <v>-</v>
      </c>
      <c r="L580" s="78" t="str">
        <f>+IFERROR(VLOOKUP(B580,'ID1&amp;5'!K:L,2,FALSE),"-")</f>
        <v>-</v>
      </c>
      <c r="M580" s="79" t="str">
        <f>+IFERROR(VLOOKUP(CONCATENATE(A580,$B$10,B580),'ID1&amp;5'!B:J,9,FALSE),"-")</f>
        <v>-</v>
      </c>
      <c r="N580" s="79" t="str">
        <f>+IFERROR(VLOOKUP(CONCATENATE(A580,$C$10,C580),'ID1&amp;5'!B:J,8,FALSE),"-")</f>
        <v>-</v>
      </c>
      <c r="O580" s="78" t="str">
        <f>+IFERROR(VLOOKUP(C580,'ID1&amp;5'!K:L,2,FALSE),"-")</f>
        <v>-</v>
      </c>
      <c r="P580" s="79" t="str">
        <f>+IFERROR(VLOOKUP(CONCATENATE(A580,$C$10,C580),'ID1&amp;5'!B:J,9,FALSE),"-")</f>
        <v>-</v>
      </c>
      <c r="Q580" s="78" t="str">
        <f>+IFERROR(VLOOKUP(D580,'ID1&amp;5'!K:L,2,FALSE),"-")</f>
        <v>-</v>
      </c>
      <c r="R580" s="26" t="str">
        <f>+IFERROR(VLOOKUP(CONCATENATE(A580,$D$10,D580),'ID1&amp;5'!B:J,9,FALSE),"-")</f>
        <v>-</v>
      </c>
      <c r="S580" s="78" t="str">
        <f>+IFERROR(VLOOKUP(E580,'ID1&amp;5'!K:L,2,FALSE),"-")</f>
        <v>-</v>
      </c>
      <c r="T580" s="79" t="str">
        <f>+IFERROR(VLOOKUP(CONCATENATE(A580,$E$10,E580),'ID1&amp;5'!B:J,9,FALSE),"-")</f>
        <v>-</v>
      </c>
      <c r="U580" s="78" t="str">
        <f>+IFERROR(VLOOKUP(F580,'ID1&amp;5'!K:L,2,FALSE),"-")</f>
        <v>-</v>
      </c>
      <c r="V580" s="79" t="str">
        <f>+IFERROR(VLOOKUP(CONCATENATE(A580,$F$10,F580),'ID1&amp;5'!B:J,9,FALSE),"-")</f>
        <v>-</v>
      </c>
      <c r="W580" s="26" t="str">
        <f>+IFERROR(VLOOKUP(A580,'ID6&amp;7'!A:I,9,FALSE),"-")</f>
        <v>-</v>
      </c>
      <c r="X580" s="26" t="str">
        <f>+IFERROR(VLOOKUP(A580,'ID6&amp;7'!A:J,10,FALSE),"-")</f>
        <v>-</v>
      </c>
      <c r="Y580" s="26"/>
      <c r="Z580" s="27" t="str">
        <f t="shared" si="10"/>
        <v>Por iniciar</v>
      </c>
      <c r="AA580" s="65"/>
    </row>
    <row r="581" spans="1:27">
      <c r="A581" s="20"/>
      <c r="B581" s="60"/>
      <c r="C581" s="60"/>
      <c r="D581" s="60"/>
      <c r="E581" s="60"/>
      <c r="F581" s="60"/>
      <c r="G581" s="60"/>
      <c r="H581" s="65" t="s">
        <v>119</v>
      </c>
      <c r="I581" s="21" t="s">
        <v>1525</v>
      </c>
      <c r="J581" s="26">
        <f>+COUNTIF('ID1&amp;5'!G:G,'1. Status'!I581)</f>
        <v>0</v>
      </c>
      <c r="K581" s="79" t="str">
        <f>+IFERROR(VLOOKUP(CONCATENATE(A581,$B$10,B581),'ID1&amp;5'!B:J,8,FALSE),"-")</f>
        <v>-</v>
      </c>
      <c r="L581" s="78" t="str">
        <f>+IFERROR(VLOOKUP(B581,'ID1&amp;5'!K:L,2,FALSE),"-")</f>
        <v>-</v>
      </c>
      <c r="M581" s="79" t="str">
        <f>+IFERROR(VLOOKUP(CONCATENATE(A581,$B$10,B581),'ID1&amp;5'!B:J,9,FALSE),"-")</f>
        <v>-</v>
      </c>
      <c r="N581" s="79" t="str">
        <f>+IFERROR(VLOOKUP(CONCATENATE(A581,$C$10,C581),'ID1&amp;5'!B:J,8,FALSE),"-")</f>
        <v>-</v>
      </c>
      <c r="O581" s="78" t="str">
        <f>+IFERROR(VLOOKUP(C581,'ID1&amp;5'!K:L,2,FALSE),"-")</f>
        <v>-</v>
      </c>
      <c r="P581" s="79" t="str">
        <f>+IFERROR(VLOOKUP(CONCATENATE(A581,$C$10,C581),'ID1&amp;5'!B:J,9,FALSE),"-")</f>
        <v>-</v>
      </c>
      <c r="Q581" s="78" t="str">
        <f>+IFERROR(VLOOKUP(D581,'ID1&amp;5'!K:L,2,FALSE),"-")</f>
        <v>-</v>
      </c>
      <c r="R581" s="26" t="str">
        <f>+IFERROR(VLOOKUP(CONCATENATE(A581,$D$10,D581),'ID1&amp;5'!B:J,9,FALSE),"-")</f>
        <v>-</v>
      </c>
      <c r="S581" s="78" t="str">
        <f>+IFERROR(VLOOKUP(E581,'ID1&amp;5'!K:L,2,FALSE),"-")</f>
        <v>-</v>
      </c>
      <c r="T581" s="79" t="str">
        <f>+IFERROR(VLOOKUP(CONCATENATE(A581,$E$10,E581),'ID1&amp;5'!B:J,9,FALSE),"-")</f>
        <v>-</v>
      </c>
      <c r="U581" s="78" t="str">
        <f>+IFERROR(VLOOKUP(F581,'ID1&amp;5'!K:L,2,FALSE),"-")</f>
        <v>-</v>
      </c>
      <c r="V581" s="79" t="str">
        <f>+IFERROR(VLOOKUP(CONCATENATE(A581,$F$10,F581),'ID1&amp;5'!B:J,9,FALSE),"-")</f>
        <v>-</v>
      </c>
      <c r="W581" s="26" t="str">
        <f>+IFERROR(VLOOKUP(A581,'ID6&amp;7'!A:I,9,FALSE),"-")</f>
        <v>-</v>
      </c>
      <c r="X581" s="26" t="str">
        <f>+IFERROR(VLOOKUP(A581,'ID6&amp;7'!A:J,10,FALSE),"-")</f>
        <v>-</v>
      </c>
      <c r="Y581" s="26"/>
      <c r="Z581" s="27" t="str">
        <f t="shared" si="10"/>
        <v>Por iniciar</v>
      </c>
      <c r="AA581" s="65"/>
    </row>
    <row r="582" spans="1:27">
      <c r="A582" s="20"/>
      <c r="B582" s="60"/>
      <c r="C582" s="60"/>
      <c r="D582" s="60"/>
      <c r="E582" s="60"/>
      <c r="F582" s="60"/>
      <c r="G582" s="60"/>
      <c r="H582" s="65" t="s">
        <v>119</v>
      </c>
      <c r="I582" s="21" t="s">
        <v>674</v>
      </c>
      <c r="J582" s="26">
        <f>+COUNTIF('ID1&amp;5'!G:G,'1. Status'!I582)</f>
        <v>0</v>
      </c>
      <c r="K582" s="79" t="str">
        <f>+IFERROR(VLOOKUP(CONCATENATE(A582,$B$10,B582),'ID1&amp;5'!B:J,8,FALSE),"-")</f>
        <v>-</v>
      </c>
      <c r="L582" s="78" t="str">
        <f>+IFERROR(VLOOKUP(B582,'ID1&amp;5'!K:L,2,FALSE),"-")</f>
        <v>-</v>
      </c>
      <c r="M582" s="79" t="str">
        <f>+IFERROR(VLOOKUP(CONCATENATE(A582,$B$10,B582),'ID1&amp;5'!B:J,9,FALSE),"-")</f>
        <v>-</v>
      </c>
      <c r="N582" s="79" t="str">
        <f>+IFERROR(VLOOKUP(CONCATENATE(A582,$C$10,C582),'ID1&amp;5'!B:J,8,FALSE),"-")</f>
        <v>-</v>
      </c>
      <c r="O582" s="78" t="str">
        <f>+IFERROR(VLOOKUP(C582,'ID1&amp;5'!K:L,2,FALSE),"-")</f>
        <v>-</v>
      </c>
      <c r="P582" s="79" t="str">
        <f>+IFERROR(VLOOKUP(CONCATENATE(A582,$C$10,C582),'ID1&amp;5'!B:J,9,FALSE),"-")</f>
        <v>-</v>
      </c>
      <c r="Q582" s="78" t="str">
        <f>+IFERROR(VLOOKUP(D582,'ID1&amp;5'!K:L,2,FALSE),"-")</f>
        <v>-</v>
      </c>
      <c r="R582" s="26" t="str">
        <f>+IFERROR(VLOOKUP(CONCATENATE(A582,$D$10,D582),'ID1&amp;5'!B:J,9,FALSE),"-")</f>
        <v>-</v>
      </c>
      <c r="S582" s="78" t="str">
        <f>+IFERROR(VLOOKUP(E582,'ID1&amp;5'!K:L,2,FALSE),"-")</f>
        <v>-</v>
      </c>
      <c r="T582" s="79" t="str">
        <f>+IFERROR(VLOOKUP(CONCATENATE(A582,$E$10,E582),'ID1&amp;5'!B:J,9,FALSE),"-")</f>
        <v>-</v>
      </c>
      <c r="U582" s="78" t="str">
        <f>+IFERROR(VLOOKUP(F582,'ID1&amp;5'!K:L,2,FALSE),"-")</f>
        <v>-</v>
      </c>
      <c r="V582" s="79" t="str">
        <f>+IFERROR(VLOOKUP(CONCATENATE(A582,$F$10,F582),'ID1&amp;5'!B:J,9,FALSE),"-")</f>
        <v>-</v>
      </c>
      <c r="W582" s="26" t="str">
        <f>+IFERROR(VLOOKUP(A582,'ID6&amp;7'!A:I,9,FALSE),"-")</f>
        <v>-</v>
      </c>
      <c r="X582" s="26" t="str">
        <f>+IFERROR(VLOOKUP(A582,'ID6&amp;7'!A:J,10,FALSE),"-")</f>
        <v>-</v>
      </c>
      <c r="Y582" s="26"/>
      <c r="Z582" s="27" t="str">
        <f t="shared" si="10"/>
        <v>Por iniciar</v>
      </c>
      <c r="AA582" s="65"/>
    </row>
    <row r="583" spans="1:27">
      <c r="A583" s="20"/>
      <c r="B583" s="60"/>
      <c r="C583" s="60"/>
      <c r="D583" s="60"/>
      <c r="E583" s="60"/>
      <c r="F583" s="60"/>
      <c r="G583" s="60"/>
      <c r="H583" s="65" t="s">
        <v>119</v>
      </c>
      <c r="I583" s="21" t="s">
        <v>1526</v>
      </c>
      <c r="J583" s="26">
        <f>+COUNTIF('ID1&amp;5'!G:G,'1. Status'!I583)</f>
        <v>0</v>
      </c>
      <c r="K583" s="79" t="str">
        <f>+IFERROR(VLOOKUP(CONCATENATE(A583,$B$10,B583),'ID1&amp;5'!B:J,8,FALSE),"-")</f>
        <v>-</v>
      </c>
      <c r="L583" s="78" t="str">
        <f>+IFERROR(VLOOKUP(B583,'ID1&amp;5'!K:L,2,FALSE),"-")</f>
        <v>-</v>
      </c>
      <c r="M583" s="79" t="str">
        <f>+IFERROR(VLOOKUP(CONCATENATE(A583,$B$10,B583),'ID1&amp;5'!B:J,9,FALSE),"-")</f>
        <v>-</v>
      </c>
      <c r="N583" s="79" t="str">
        <f>+IFERROR(VLOOKUP(CONCATENATE(A583,$C$10,C583),'ID1&amp;5'!B:J,8,FALSE),"-")</f>
        <v>-</v>
      </c>
      <c r="O583" s="78" t="str">
        <f>+IFERROR(VLOOKUP(C583,'ID1&amp;5'!K:L,2,FALSE),"-")</f>
        <v>-</v>
      </c>
      <c r="P583" s="79" t="str">
        <f>+IFERROR(VLOOKUP(CONCATENATE(A583,$C$10,C583),'ID1&amp;5'!B:J,9,FALSE),"-")</f>
        <v>-</v>
      </c>
      <c r="Q583" s="78" t="str">
        <f>+IFERROR(VLOOKUP(D583,'ID1&amp;5'!K:L,2,FALSE),"-")</f>
        <v>-</v>
      </c>
      <c r="R583" s="26" t="str">
        <f>+IFERROR(VLOOKUP(CONCATENATE(A583,$D$10,D583),'ID1&amp;5'!B:J,9,FALSE),"-")</f>
        <v>-</v>
      </c>
      <c r="S583" s="78" t="str">
        <f>+IFERROR(VLOOKUP(E583,'ID1&amp;5'!K:L,2,FALSE),"-")</f>
        <v>-</v>
      </c>
      <c r="T583" s="79" t="str">
        <f>+IFERROR(VLOOKUP(CONCATENATE(A583,$E$10,E583),'ID1&amp;5'!B:J,9,FALSE),"-")</f>
        <v>-</v>
      </c>
      <c r="U583" s="78" t="str">
        <f>+IFERROR(VLOOKUP(F583,'ID1&amp;5'!K:L,2,FALSE),"-")</f>
        <v>-</v>
      </c>
      <c r="V583" s="79" t="str">
        <f>+IFERROR(VLOOKUP(CONCATENATE(A583,$F$10,F583),'ID1&amp;5'!B:J,9,FALSE),"-")</f>
        <v>-</v>
      </c>
      <c r="W583" s="26" t="str">
        <f>+IFERROR(VLOOKUP(A583,'ID6&amp;7'!A:I,9,FALSE),"-")</f>
        <v>-</v>
      </c>
      <c r="X583" s="26" t="str">
        <f>+IFERROR(VLOOKUP(A583,'ID6&amp;7'!A:J,10,FALSE),"-")</f>
        <v>-</v>
      </c>
      <c r="Y583" s="26"/>
      <c r="Z583" s="27" t="str">
        <f t="shared" si="10"/>
        <v>Por iniciar</v>
      </c>
      <c r="AA583" s="65"/>
    </row>
    <row r="584" spans="1:27">
      <c r="A584" s="20"/>
      <c r="B584" s="60"/>
      <c r="C584" s="60"/>
      <c r="D584" s="60"/>
      <c r="E584" s="60"/>
      <c r="F584" s="60"/>
      <c r="G584" s="60"/>
      <c r="H584" s="65" t="s">
        <v>119</v>
      </c>
      <c r="I584" s="21" t="s">
        <v>1527</v>
      </c>
      <c r="J584" s="26">
        <f>+COUNTIF('ID1&amp;5'!G:G,'1. Status'!I584)</f>
        <v>0</v>
      </c>
      <c r="K584" s="79" t="str">
        <f>+IFERROR(VLOOKUP(CONCATENATE(A584,$B$10,B584),'ID1&amp;5'!B:J,8,FALSE),"-")</f>
        <v>-</v>
      </c>
      <c r="L584" s="78" t="str">
        <f>+IFERROR(VLOOKUP(B584,'ID1&amp;5'!K:L,2,FALSE),"-")</f>
        <v>-</v>
      </c>
      <c r="M584" s="79" t="str">
        <f>+IFERROR(VLOOKUP(CONCATENATE(A584,$B$10,B584),'ID1&amp;5'!B:J,9,FALSE),"-")</f>
        <v>-</v>
      </c>
      <c r="N584" s="79" t="str">
        <f>+IFERROR(VLOOKUP(CONCATENATE(A584,$C$10,C584),'ID1&amp;5'!B:J,8,FALSE),"-")</f>
        <v>-</v>
      </c>
      <c r="O584" s="78" t="str">
        <f>+IFERROR(VLOOKUP(C584,'ID1&amp;5'!K:L,2,FALSE),"-")</f>
        <v>-</v>
      </c>
      <c r="P584" s="79" t="str">
        <f>+IFERROR(VLOOKUP(CONCATENATE(A584,$C$10,C584),'ID1&amp;5'!B:J,9,FALSE),"-")</f>
        <v>-</v>
      </c>
      <c r="Q584" s="78" t="str">
        <f>+IFERROR(VLOOKUP(D584,'ID1&amp;5'!K:L,2,FALSE),"-")</f>
        <v>-</v>
      </c>
      <c r="R584" s="26" t="str">
        <f>+IFERROR(VLOOKUP(CONCATENATE(A584,$D$10,D584),'ID1&amp;5'!B:J,9,FALSE),"-")</f>
        <v>-</v>
      </c>
      <c r="S584" s="78" t="str">
        <f>+IFERROR(VLOOKUP(E584,'ID1&amp;5'!K:L,2,FALSE),"-")</f>
        <v>-</v>
      </c>
      <c r="T584" s="79" t="str">
        <f>+IFERROR(VLOOKUP(CONCATENATE(A584,$E$10,E584),'ID1&amp;5'!B:J,9,FALSE),"-")</f>
        <v>-</v>
      </c>
      <c r="U584" s="78" t="str">
        <f>+IFERROR(VLOOKUP(F584,'ID1&amp;5'!K:L,2,FALSE),"-")</f>
        <v>-</v>
      </c>
      <c r="V584" s="79" t="str">
        <f>+IFERROR(VLOOKUP(CONCATENATE(A584,$F$10,F584),'ID1&amp;5'!B:J,9,FALSE),"-")</f>
        <v>-</v>
      </c>
      <c r="W584" s="26" t="str">
        <f>+IFERROR(VLOOKUP(A584,'ID6&amp;7'!A:I,9,FALSE),"-")</f>
        <v>-</v>
      </c>
      <c r="X584" s="26" t="str">
        <f>+IFERROR(VLOOKUP(A584,'ID6&amp;7'!A:J,10,FALSE),"-")</f>
        <v>-</v>
      </c>
      <c r="Y584" s="26"/>
      <c r="Z584" s="27" t="str">
        <f t="shared" si="10"/>
        <v>Por iniciar</v>
      </c>
      <c r="AA584" s="65"/>
    </row>
    <row r="585" spans="1:27">
      <c r="A585" s="20"/>
      <c r="B585" s="60"/>
      <c r="C585" s="60"/>
      <c r="D585" s="60"/>
      <c r="E585" s="60"/>
      <c r="F585" s="60"/>
      <c r="G585" s="60"/>
      <c r="H585" s="65" t="s">
        <v>119</v>
      </c>
      <c r="I585" s="21" t="s">
        <v>1528</v>
      </c>
      <c r="J585" s="26">
        <f>+COUNTIF('ID1&amp;5'!G:G,'1. Status'!I585)</f>
        <v>0</v>
      </c>
      <c r="K585" s="79" t="str">
        <f>+IFERROR(VLOOKUP(CONCATENATE(A585,$B$10,B585),'ID1&amp;5'!B:J,8,FALSE),"-")</f>
        <v>-</v>
      </c>
      <c r="L585" s="78" t="str">
        <f>+IFERROR(VLOOKUP(B585,'ID1&amp;5'!K:L,2,FALSE),"-")</f>
        <v>-</v>
      </c>
      <c r="M585" s="79" t="str">
        <f>+IFERROR(VLOOKUP(CONCATENATE(A585,$B$10,B585),'ID1&amp;5'!B:J,9,FALSE),"-")</f>
        <v>-</v>
      </c>
      <c r="N585" s="79" t="str">
        <f>+IFERROR(VLOOKUP(CONCATENATE(A585,$C$10,C585),'ID1&amp;5'!B:J,8,FALSE),"-")</f>
        <v>-</v>
      </c>
      <c r="O585" s="78" t="str">
        <f>+IFERROR(VLOOKUP(C585,'ID1&amp;5'!K:L,2,FALSE),"-")</f>
        <v>-</v>
      </c>
      <c r="P585" s="79" t="str">
        <f>+IFERROR(VLOOKUP(CONCATENATE(A585,$C$10,C585),'ID1&amp;5'!B:J,9,FALSE),"-")</f>
        <v>-</v>
      </c>
      <c r="Q585" s="78" t="str">
        <f>+IFERROR(VLOOKUP(D585,'ID1&amp;5'!K:L,2,FALSE),"-")</f>
        <v>-</v>
      </c>
      <c r="R585" s="26" t="str">
        <f>+IFERROR(VLOOKUP(CONCATENATE(A585,$D$10,D585),'ID1&amp;5'!B:J,9,FALSE),"-")</f>
        <v>-</v>
      </c>
      <c r="S585" s="78" t="str">
        <f>+IFERROR(VLOOKUP(E585,'ID1&amp;5'!K:L,2,FALSE),"-")</f>
        <v>-</v>
      </c>
      <c r="T585" s="79" t="str">
        <f>+IFERROR(VLOOKUP(CONCATENATE(A585,$E$10,E585),'ID1&amp;5'!B:J,9,FALSE),"-")</f>
        <v>-</v>
      </c>
      <c r="U585" s="78" t="str">
        <f>+IFERROR(VLOOKUP(F585,'ID1&amp;5'!K:L,2,FALSE),"-")</f>
        <v>-</v>
      </c>
      <c r="V585" s="79" t="str">
        <f>+IFERROR(VLOOKUP(CONCATENATE(A585,$F$10,F585),'ID1&amp;5'!B:J,9,FALSE),"-")</f>
        <v>-</v>
      </c>
      <c r="W585" s="26" t="str">
        <f>+IFERROR(VLOOKUP(A585,'ID6&amp;7'!A:I,9,FALSE),"-")</f>
        <v>-</v>
      </c>
      <c r="X585" s="26" t="str">
        <f>+IFERROR(VLOOKUP(A585,'ID6&amp;7'!A:J,10,FALSE),"-")</f>
        <v>-</v>
      </c>
      <c r="Y585" s="26"/>
      <c r="Z585" s="27" t="str">
        <f t="shared" si="10"/>
        <v>Por iniciar</v>
      </c>
      <c r="AA585" s="65"/>
    </row>
    <row r="586" spans="1:27">
      <c r="A586" s="20"/>
      <c r="B586" s="60"/>
      <c r="C586" s="60"/>
      <c r="D586" s="60"/>
      <c r="E586" s="60"/>
      <c r="F586" s="60"/>
      <c r="G586" s="60"/>
      <c r="H586" s="65" t="s">
        <v>119</v>
      </c>
      <c r="I586" s="21" t="s">
        <v>1529</v>
      </c>
      <c r="J586" s="26">
        <f>+COUNTIF('ID1&amp;5'!G:G,'1. Status'!I586)</f>
        <v>0</v>
      </c>
      <c r="K586" s="79" t="str">
        <f>+IFERROR(VLOOKUP(CONCATENATE(A586,$B$10,B586),'ID1&amp;5'!B:J,8,FALSE),"-")</f>
        <v>-</v>
      </c>
      <c r="L586" s="78" t="str">
        <f>+IFERROR(VLOOKUP(B586,'ID1&amp;5'!K:L,2,FALSE),"-")</f>
        <v>-</v>
      </c>
      <c r="M586" s="79" t="str">
        <f>+IFERROR(VLOOKUP(CONCATENATE(A586,$B$10,B586),'ID1&amp;5'!B:J,9,FALSE),"-")</f>
        <v>-</v>
      </c>
      <c r="N586" s="79" t="str">
        <f>+IFERROR(VLOOKUP(CONCATENATE(A586,$C$10,C586),'ID1&amp;5'!B:J,8,FALSE),"-")</f>
        <v>-</v>
      </c>
      <c r="O586" s="78" t="str">
        <f>+IFERROR(VLOOKUP(C586,'ID1&amp;5'!K:L,2,FALSE),"-")</f>
        <v>-</v>
      </c>
      <c r="P586" s="79" t="str">
        <f>+IFERROR(VLOOKUP(CONCATENATE(A586,$C$10,C586),'ID1&amp;5'!B:J,9,FALSE),"-")</f>
        <v>-</v>
      </c>
      <c r="Q586" s="78" t="str">
        <f>+IFERROR(VLOOKUP(D586,'ID1&amp;5'!K:L,2,FALSE),"-")</f>
        <v>-</v>
      </c>
      <c r="R586" s="26" t="str">
        <f>+IFERROR(VLOOKUP(CONCATENATE(A586,$D$10,D586),'ID1&amp;5'!B:J,9,FALSE),"-")</f>
        <v>-</v>
      </c>
      <c r="S586" s="78" t="str">
        <f>+IFERROR(VLOOKUP(E586,'ID1&amp;5'!K:L,2,FALSE),"-")</f>
        <v>-</v>
      </c>
      <c r="T586" s="79" t="str">
        <f>+IFERROR(VLOOKUP(CONCATENATE(A586,$E$10,E586),'ID1&amp;5'!B:J,9,FALSE),"-")</f>
        <v>-</v>
      </c>
      <c r="U586" s="78" t="str">
        <f>+IFERROR(VLOOKUP(F586,'ID1&amp;5'!K:L,2,FALSE),"-")</f>
        <v>-</v>
      </c>
      <c r="V586" s="79" t="str">
        <f>+IFERROR(VLOOKUP(CONCATENATE(A586,$F$10,F586),'ID1&amp;5'!B:J,9,FALSE),"-")</f>
        <v>-</v>
      </c>
      <c r="W586" s="26" t="str">
        <f>+IFERROR(VLOOKUP(A586,'ID6&amp;7'!A:I,9,FALSE),"-")</f>
        <v>-</v>
      </c>
      <c r="X586" s="26" t="str">
        <f>+IFERROR(VLOOKUP(A586,'ID6&amp;7'!A:J,10,FALSE),"-")</f>
        <v>-</v>
      </c>
      <c r="Y586" s="26"/>
      <c r="Z586" s="27" t="str">
        <f t="shared" si="10"/>
        <v>Por iniciar</v>
      </c>
      <c r="AA586" s="65"/>
    </row>
    <row r="587" spans="1:27">
      <c r="A587" s="20"/>
      <c r="B587" s="60"/>
      <c r="C587" s="60"/>
      <c r="D587" s="60"/>
      <c r="E587" s="60"/>
      <c r="F587" s="60"/>
      <c r="G587" s="60"/>
      <c r="H587" s="65" t="s">
        <v>119</v>
      </c>
      <c r="I587" s="21" t="s">
        <v>1530</v>
      </c>
      <c r="J587" s="26">
        <f>+COUNTIF('ID1&amp;5'!G:G,'1. Status'!I587)</f>
        <v>0</v>
      </c>
      <c r="K587" s="79" t="str">
        <f>+IFERROR(VLOOKUP(CONCATENATE(A587,$B$10,B587),'ID1&amp;5'!B:J,8,FALSE),"-")</f>
        <v>-</v>
      </c>
      <c r="L587" s="78" t="str">
        <f>+IFERROR(VLOOKUP(B587,'ID1&amp;5'!K:L,2,FALSE),"-")</f>
        <v>-</v>
      </c>
      <c r="M587" s="79" t="str">
        <f>+IFERROR(VLOOKUP(CONCATENATE(A587,$B$10,B587),'ID1&amp;5'!B:J,9,FALSE),"-")</f>
        <v>-</v>
      </c>
      <c r="N587" s="79" t="str">
        <f>+IFERROR(VLOOKUP(CONCATENATE(A587,$C$10,C587),'ID1&amp;5'!B:J,8,FALSE),"-")</f>
        <v>-</v>
      </c>
      <c r="O587" s="78" t="str">
        <f>+IFERROR(VLOOKUP(C587,'ID1&amp;5'!K:L,2,FALSE),"-")</f>
        <v>-</v>
      </c>
      <c r="P587" s="79" t="str">
        <f>+IFERROR(VLOOKUP(CONCATENATE(A587,$C$10,C587),'ID1&amp;5'!B:J,9,FALSE),"-")</f>
        <v>-</v>
      </c>
      <c r="Q587" s="78" t="str">
        <f>+IFERROR(VLOOKUP(D587,'ID1&amp;5'!K:L,2,FALSE),"-")</f>
        <v>-</v>
      </c>
      <c r="R587" s="26" t="str">
        <f>+IFERROR(VLOOKUP(CONCATENATE(A587,$D$10,D587),'ID1&amp;5'!B:J,9,FALSE),"-")</f>
        <v>-</v>
      </c>
      <c r="S587" s="78" t="str">
        <f>+IFERROR(VLOOKUP(E587,'ID1&amp;5'!K:L,2,FALSE),"-")</f>
        <v>-</v>
      </c>
      <c r="T587" s="79" t="str">
        <f>+IFERROR(VLOOKUP(CONCATENATE(A587,$E$10,E587),'ID1&amp;5'!B:J,9,FALSE),"-")</f>
        <v>-</v>
      </c>
      <c r="U587" s="78" t="str">
        <f>+IFERROR(VLOOKUP(F587,'ID1&amp;5'!K:L,2,FALSE),"-")</f>
        <v>-</v>
      </c>
      <c r="V587" s="79" t="str">
        <f>+IFERROR(VLOOKUP(CONCATENATE(A587,$F$10,F587),'ID1&amp;5'!B:J,9,FALSE),"-")</f>
        <v>-</v>
      </c>
      <c r="W587" s="26" t="str">
        <f>+IFERROR(VLOOKUP(A587,'ID6&amp;7'!A:I,9,FALSE),"-")</f>
        <v>-</v>
      </c>
      <c r="X587" s="26" t="str">
        <f>+IFERROR(VLOOKUP(A587,'ID6&amp;7'!A:J,10,FALSE),"-")</f>
        <v>-</v>
      </c>
      <c r="Y587" s="26"/>
      <c r="Z587" s="27" t="str">
        <f t="shared" si="10"/>
        <v>Por iniciar</v>
      </c>
      <c r="AA587" s="65"/>
    </row>
    <row r="588" spans="1:27">
      <c r="A588" s="20"/>
      <c r="B588" s="60"/>
      <c r="C588" s="60"/>
      <c r="D588" s="60"/>
      <c r="E588" s="60"/>
      <c r="F588" s="60"/>
      <c r="G588" s="60"/>
      <c r="H588" s="65" t="s">
        <v>119</v>
      </c>
      <c r="I588" s="21" t="s">
        <v>1531</v>
      </c>
      <c r="J588" s="26">
        <f>+COUNTIF('ID1&amp;5'!G:G,'1. Status'!I588)</f>
        <v>0</v>
      </c>
      <c r="K588" s="79" t="str">
        <f>+IFERROR(VLOOKUP(CONCATENATE(A588,$B$10,B588),'ID1&amp;5'!B:J,8,FALSE),"-")</f>
        <v>-</v>
      </c>
      <c r="L588" s="78" t="str">
        <f>+IFERROR(VLOOKUP(B588,'ID1&amp;5'!K:L,2,FALSE),"-")</f>
        <v>-</v>
      </c>
      <c r="M588" s="79" t="str">
        <f>+IFERROR(VLOOKUP(CONCATENATE(A588,$B$10,B588),'ID1&amp;5'!B:J,9,FALSE),"-")</f>
        <v>-</v>
      </c>
      <c r="N588" s="79" t="str">
        <f>+IFERROR(VLOOKUP(CONCATENATE(A588,$C$10,C588),'ID1&amp;5'!B:J,8,FALSE),"-")</f>
        <v>-</v>
      </c>
      <c r="O588" s="78" t="str">
        <f>+IFERROR(VLOOKUP(C588,'ID1&amp;5'!K:L,2,FALSE),"-")</f>
        <v>-</v>
      </c>
      <c r="P588" s="79" t="str">
        <f>+IFERROR(VLOOKUP(CONCATENATE(A588,$C$10,C588),'ID1&amp;5'!B:J,9,FALSE),"-")</f>
        <v>-</v>
      </c>
      <c r="Q588" s="78" t="str">
        <f>+IFERROR(VLOOKUP(D588,'ID1&amp;5'!K:L,2,FALSE),"-")</f>
        <v>-</v>
      </c>
      <c r="R588" s="26" t="str">
        <f>+IFERROR(VLOOKUP(CONCATENATE(A588,$D$10,D588),'ID1&amp;5'!B:J,9,FALSE),"-")</f>
        <v>-</v>
      </c>
      <c r="S588" s="78" t="str">
        <f>+IFERROR(VLOOKUP(E588,'ID1&amp;5'!K:L,2,FALSE),"-")</f>
        <v>-</v>
      </c>
      <c r="T588" s="79" t="str">
        <f>+IFERROR(VLOOKUP(CONCATENATE(A588,$E$10,E588),'ID1&amp;5'!B:J,9,FALSE),"-")</f>
        <v>-</v>
      </c>
      <c r="U588" s="78" t="str">
        <f>+IFERROR(VLOOKUP(F588,'ID1&amp;5'!K:L,2,FALSE),"-")</f>
        <v>-</v>
      </c>
      <c r="V588" s="79" t="str">
        <f>+IFERROR(VLOOKUP(CONCATENATE(A588,$F$10,F588),'ID1&amp;5'!B:J,9,FALSE),"-")</f>
        <v>-</v>
      </c>
      <c r="W588" s="26" t="str">
        <f>+IFERROR(VLOOKUP(A588,'ID6&amp;7'!A:I,9,FALSE),"-")</f>
        <v>-</v>
      </c>
      <c r="X588" s="26" t="str">
        <f>+IFERROR(VLOOKUP(A588,'ID6&amp;7'!A:J,10,FALSE),"-")</f>
        <v>-</v>
      </c>
      <c r="Y588" s="26"/>
      <c r="Z588" s="27" t="str">
        <f t="shared" si="10"/>
        <v>Por iniciar</v>
      </c>
      <c r="AA588" s="65"/>
    </row>
    <row r="589" spans="1:27">
      <c r="A589" s="20"/>
      <c r="B589" s="60"/>
      <c r="C589" s="60"/>
      <c r="D589" s="60"/>
      <c r="E589" s="60"/>
      <c r="F589" s="60"/>
      <c r="G589" s="60"/>
      <c r="H589" s="65" t="s">
        <v>119</v>
      </c>
      <c r="I589" s="21" t="s">
        <v>1532</v>
      </c>
      <c r="J589" s="26">
        <f>+COUNTIF('ID1&amp;5'!G:G,'1. Status'!I589)</f>
        <v>0</v>
      </c>
      <c r="K589" s="79" t="str">
        <f>+IFERROR(VLOOKUP(CONCATENATE(A589,$B$10,B589),'ID1&amp;5'!B:J,8,FALSE),"-")</f>
        <v>-</v>
      </c>
      <c r="L589" s="78" t="str">
        <f>+IFERROR(VLOOKUP(B589,'ID1&amp;5'!K:L,2,FALSE),"-")</f>
        <v>-</v>
      </c>
      <c r="M589" s="79" t="str">
        <f>+IFERROR(VLOOKUP(CONCATENATE(A589,$B$10,B589),'ID1&amp;5'!B:J,9,FALSE),"-")</f>
        <v>-</v>
      </c>
      <c r="N589" s="79" t="str">
        <f>+IFERROR(VLOOKUP(CONCATENATE(A589,$C$10,C589),'ID1&amp;5'!B:J,8,FALSE),"-")</f>
        <v>-</v>
      </c>
      <c r="O589" s="78" t="str">
        <f>+IFERROR(VLOOKUP(C589,'ID1&amp;5'!K:L,2,FALSE),"-")</f>
        <v>-</v>
      </c>
      <c r="P589" s="79" t="str">
        <f>+IFERROR(VLOOKUP(CONCATENATE(A589,$C$10,C589),'ID1&amp;5'!B:J,9,FALSE),"-")</f>
        <v>-</v>
      </c>
      <c r="Q589" s="78" t="str">
        <f>+IFERROR(VLOOKUP(D589,'ID1&amp;5'!K:L,2,FALSE),"-")</f>
        <v>-</v>
      </c>
      <c r="R589" s="26" t="str">
        <f>+IFERROR(VLOOKUP(CONCATENATE(A589,$D$10,D589),'ID1&amp;5'!B:J,9,FALSE),"-")</f>
        <v>-</v>
      </c>
      <c r="S589" s="78" t="str">
        <f>+IFERROR(VLOOKUP(E589,'ID1&amp;5'!K:L,2,FALSE),"-")</f>
        <v>-</v>
      </c>
      <c r="T589" s="79" t="str">
        <f>+IFERROR(VLOOKUP(CONCATENATE(A589,$E$10,E589),'ID1&amp;5'!B:J,9,FALSE),"-")</f>
        <v>-</v>
      </c>
      <c r="U589" s="78" t="str">
        <f>+IFERROR(VLOOKUP(F589,'ID1&amp;5'!K:L,2,FALSE),"-")</f>
        <v>-</v>
      </c>
      <c r="V589" s="79" t="str">
        <f>+IFERROR(VLOOKUP(CONCATENATE(A589,$F$10,F589),'ID1&amp;5'!B:J,9,FALSE),"-")</f>
        <v>-</v>
      </c>
      <c r="W589" s="26" t="str">
        <f>+IFERROR(VLOOKUP(A589,'ID6&amp;7'!A:I,9,FALSE),"-")</f>
        <v>-</v>
      </c>
      <c r="X589" s="26" t="str">
        <f>+IFERROR(VLOOKUP(A589,'ID6&amp;7'!A:J,10,FALSE),"-")</f>
        <v>-</v>
      </c>
      <c r="Y589" s="26"/>
      <c r="Z589" s="27" t="str">
        <f t="shared" si="10"/>
        <v>Por iniciar</v>
      </c>
      <c r="AA589" s="65"/>
    </row>
    <row r="590" spans="1:27">
      <c r="A590" s="20"/>
      <c r="B590" s="60"/>
      <c r="C590" s="60"/>
      <c r="D590" s="60"/>
      <c r="E590" s="60"/>
      <c r="F590" s="60"/>
      <c r="G590" s="60"/>
      <c r="H590" s="65" t="s">
        <v>119</v>
      </c>
      <c r="I590" s="21" t="s">
        <v>1533</v>
      </c>
      <c r="J590" s="26">
        <f>+COUNTIF('ID1&amp;5'!G:G,'1. Status'!I590)</f>
        <v>0</v>
      </c>
      <c r="K590" s="79" t="str">
        <f>+IFERROR(VLOOKUP(CONCATENATE(A590,$B$10,B590),'ID1&amp;5'!B:J,8,FALSE),"-")</f>
        <v>-</v>
      </c>
      <c r="L590" s="78" t="str">
        <f>+IFERROR(VLOOKUP(B590,'ID1&amp;5'!K:L,2,FALSE),"-")</f>
        <v>-</v>
      </c>
      <c r="M590" s="79" t="str">
        <f>+IFERROR(VLOOKUP(CONCATENATE(A590,$B$10,B590),'ID1&amp;5'!B:J,9,FALSE),"-")</f>
        <v>-</v>
      </c>
      <c r="N590" s="79" t="str">
        <f>+IFERROR(VLOOKUP(CONCATENATE(A590,$C$10,C590),'ID1&amp;5'!B:J,8,FALSE),"-")</f>
        <v>-</v>
      </c>
      <c r="O590" s="78" t="str">
        <f>+IFERROR(VLOOKUP(C590,'ID1&amp;5'!K:L,2,FALSE),"-")</f>
        <v>-</v>
      </c>
      <c r="P590" s="79" t="str">
        <f>+IFERROR(VLOOKUP(CONCATENATE(A590,$C$10,C590),'ID1&amp;5'!B:J,9,FALSE),"-")</f>
        <v>-</v>
      </c>
      <c r="Q590" s="78" t="str">
        <f>+IFERROR(VLOOKUP(D590,'ID1&amp;5'!K:L,2,FALSE),"-")</f>
        <v>-</v>
      </c>
      <c r="R590" s="26" t="str">
        <f>+IFERROR(VLOOKUP(CONCATENATE(A590,$D$10,D590),'ID1&amp;5'!B:J,9,FALSE),"-")</f>
        <v>-</v>
      </c>
      <c r="S590" s="78" t="str">
        <f>+IFERROR(VLOOKUP(E590,'ID1&amp;5'!K:L,2,FALSE),"-")</f>
        <v>-</v>
      </c>
      <c r="T590" s="79" t="str">
        <f>+IFERROR(VLOOKUP(CONCATENATE(A590,$E$10,E590),'ID1&amp;5'!B:J,9,FALSE),"-")</f>
        <v>-</v>
      </c>
      <c r="U590" s="78" t="str">
        <f>+IFERROR(VLOOKUP(F590,'ID1&amp;5'!K:L,2,FALSE),"-")</f>
        <v>-</v>
      </c>
      <c r="V590" s="79" t="str">
        <f>+IFERROR(VLOOKUP(CONCATENATE(A590,$F$10,F590),'ID1&amp;5'!B:J,9,FALSE),"-")</f>
        <v>-</v>
      </c>
      <c r="W590" s="26" t="str">
        <f>+IFERROR(VLOOKUP(A590,'ID6&amp;7'!A:I,9,FALSE),"-")</f>
        <v>-</v>
      </c>
      <c r="X590" s="26" t="str">
        <f>+IFERROR(VLOOKUP(A590,'ID6&amp;7'!A:J,10,FALSE),"-")</f>
        <v>-</v>
      </c>
      <c r="Y590" s="26"/>
      <c r="Z590" s="27" t="str">
        <f t="shared" si="10"/>
        <v>Por iniciar</v>
      </c>
      <c r="AA590" s="65"/>
    </row>
    <row r="591" spans="1:27">
      <c r="A591" s="20"/>
      <c r="B591" s="60"/>
      <c r="C591" s="60"/>
      <c r="D591" s="60"/>
      <c r="E591" s="60"/>
      <c r="F591" s="60"/>
      <c r="G591" s="60"/>
      <c r="H591" s="65" t="s">
        <v>119</v>
      </c>
      <c r="I591" s="21" t="s">
        <v>1534</v>
      </c>
      <c r="J591" s="26">
        <f>+COUNTIF('ID1&amp;5'!G:G,'1. Status'!I591)</f>
        <v>0</v>
      </c>
      <c r="K591" s="79" t="str">
        <f>+IFERROR(VLOOKUP(CONCATENATE(A591,$B$10,B591),'ID1&amp;5'!B:J,8,FALSE),"-")</f>
        <v>-</v>
      </c>
      <c r="L591" s="78" t="str">
        <f>+IFERROR(VLOOKUP(B591,'ID1&amp;5'!K:L,2,FALSE),"-")</f>
        <v>-</v>
      </c>
      <c r="M591" s="79" t="str">
        <f>+IFERROR(VLOOKUP(CONCATENATE(A591,$B$10,B591),'ID1&amp;5'!B:J,9,FALSE),"-")</f>
        <v>-</v>
      </c>
      <c r="N591" s="79" t="str">
        <f>+IFERROR(VLOOKUP(CONCATENATE(A591,$C$10,C591),'ID1&amp;5'!B:J,8,FALSE),"-")</f>
        <v>-</v>
      </c>
      <c r="O591" s="78" t="str">
        <f>+IFERROR(VLOOKUP(C591,'ID1&amp;5'!K:L,2,FALSE),"-")</f>
        <v>-</v>
      </c>
      <c r="P591" s="79" t="str">
        <f>+IFERROR(VLOOKUP(CONCATENATE(A591,$C$10,C591),'ID1&amp;5'!B:J,9,FALSE),"-")</f>
        <v>-</v>
      </c>
      <c r="Q591" s="78" t="str">
        <f>+IFERROR(VLOOKUP(D591,'ID1&amp;5'!K:L,2,FALSE),"-")</f>
        <v>-</v>
      </c>
      <c r="R591" s="26" t="str">
        <f>+IFERROR(VLOOKUP(CONCATENATE(A591,$D$10,D591),'ID1&amp;5'!B:J,9,FALSE),"-")</f>
        <v>-</v>
      </c>
      <c r="S591" s="78" t="str">
        <f>+IFERROR(VLOOKUP(E591,'ID1&amp;5'!K:L,2,FALSE),"-")</f>
        <v>-</v>
      </c>
      <c r="T591" s="79" t="str">
        <f>+IFERROR(VLOOKUP(CONCATENATE(A591,$E$10,E591),'ID1&amp;5'!B:J,9,FALSE),"-")</f>
        <v>-</v>
      </c>
      <c r="U591" s="78" t="str">
        <f>+IFERROR(VLOOKUP(F591,'ID1&amp;5'!K:L,2,FALSE),"-")</f>
        <v>-</v>
      </c>
      <c r="V591" s="79" t="str">
        <f>+IFERROR(VLOOKUP(CONCATENATE(A591,$F$10,F591),'ID1&amp;5'!B:J,9,FALSE),"-")</f>
        <v>-</v>
      </c>
      <c r="W591" s="26" t="str">
        <f>+IFERROR(VLOOKUP(A591,'ID6&amp;7'!A:I,9,FALSE),"-")</f>
        <v>-</v>
      </c>
      <c r="X591" s="26" t="str">
        <f>+IFERROR(VLOOKUP(A591,'ID6&amp;7'!A:J,10,FALSE),"-")</f>
        <v>-</v>
      </c>
      <c r="Y591" s="26"/>
      <c r="Z591" s="27" t="str">
        <f t="shared" si="10"/>
        <v>Por iniciar</v>
      </c>
      <c r="AA591" s="65"/>
    </row>
    <row r="592" spans="1:27">
      <c r="A592" s="20"/>
      <c r="B592" s="60"/>
      <c r="C592" s="60"/>
      <c r="D592" s="60"/>
      <c r="E592" s="60"/>
      <c r="F592" s="60"/>
      <c r="G592" s="60"/>
      <c r="H592" s="65" t="s">
        <v>119</v>
      </c>
      <c r="I592" s="21" t="s">
        <v>1535</v>
      </c>
      <c r="J592" s="26">
        <f>+COUNTIF('ID1&amp;5'!G:G,'1. Status'!I592)</f>
        <v>0</v>
      </c>
      <c r="K592" s="79" t="str">
        <f>+IFERROR(VLOOKUP(CONCATENATE(A592,$B$10,B592),'ID1&amp;5'!B:J,8,FALSE),"-")</f>
        <v>-</v>
      </c>
      <c r="L592" s="78" t="str">
        <f>+IFERROR(VLOOKUP(B592,'ID1&amp;5'!K:L,2,FALSE),"-")</f>
        <v>-</v>
      </c>
      <c r="M592" s="79" t="str">
        <f>+IFERROR(VLOOKUP(CONCATENATE(A592,$B$10,B592),'ID1&amp;5'!B:J,9,FALSE),"-")</f>
        <v>-</v>
      </c>
      <c r="N592" s="79" t="str">
        <f>+IFERROR(VLOOKUP(CONCATENATE(A592,$C$10,C592),'ID1&amp;5'!B:J,8,FALSE),"-")</f>
        <v>-</v>
      </c>
      <c r="O592" s="78" t="str">
        <f>+IFERROR(VLOOKUP(C592,'ID1&amp;5'!K:L,2,FALSE),"-")</f>
        <v>-</v>
      </c>
      <c r="P592" s="79" t="str">
        <f>+IFERROR(VLOOKUP(CONCATENATE(A592,$C$10,C592),'ID1&amp;5'!B:J,9,FALSE),"-")</f>
        <v>-</v>
      </c>
      <c r="Q592" s="78" t="str">
        <f>+IFERROR(VLOOKUP(D592,'ID1&amp;5'!K:L,2,FALSE),"-")</f>
        <v>-</v>
      </c>
      <c r="R592" s="26" t="str">
        <f>+IFERROR(VLOOKUP(CONCATENATE(A592,$D$10,D592),'ID1&amp;5'!B:J,9,FALSE),"-")</f>
        <v>-</v>
      </c>
      <c r="S592" s="78" t="str">
        <f>+IFERROR(VLOOKUP(E592,'ID1&amp;5'!K:L,2,FALSE),"-")</f>
        <v>-</v>
      </c>
      <c r="T592" s="79" t="str">
        <f>+IFERROR(VLOOKUP(CONCATENATE(A592,$E$10,E592),'ID1&amp;5'!B:J,9,FALSE),"-")</f>
        <v>-</v>
      </c>
      <c r="U592" s="78" t="str">
        <f>+IFERROR(VLOOKUP(F592,'ID1&amp;5'!K:L,2,FALSE),"-")</f>
        <v>-</v>
      </c>
      <c r="V592" s="79" t="str">
        <f>+IFERROR(VLOOKUP(CONCATENATE(A592,$F$10,F592),'ID1&amp;5'!B:J,9,FALSE),"-")</f>
        <v>-</v>
      </c>
      <c r="W592" s="26" t="str">
        <f>+IFERROR(VLOOKUP(A592,'ID6&amp;7'!A:I,9,FALSE),"-")</f>
        <v>-</v>
      </c>
      <c r="X592" s="26" t="str">
        <f>+IFERROR(VLOOKUP(A592,'ID6&amp;7'!A:J,10,FALSE),"-")</f>
        <v>-</v>
      </c>
      <c r="Y592" s="26"/>
      <c r="Z592" s="27" t="str">
        <f t="shared" si="10"/>
        <v>Por iniciar</v>
      </c>
      <c r="AA592" s="65"/>
    </row>
    <row r="593" spans="1:27">
      <c r="A593" s="20"/>
      <c r="B593" s="60"/>
      <c r="C593" s="60"/>
      <c r="D593" s="60"/>
      <c r="E593" s="60"/>
      <c r="F593" s="60"/>
      <c r="G593" s="60"/>
      <c r="H593" s="65" t="s">
        <v>119</v>
      </c>
      <c r="I593" s="21" t="s">
        <v>1536</v>
      </c>
      <c r="J593" s="26">
        <f>+COUNTIF('ID1&amp;5'!G:G,'1. Status'!I593)</f>
        <v>0</v>
      </c>
      <c r="K593" s="79" t="str">
        <f>+IFERROR(VLOOKUP(CONCATENATE(A593,$B$10,B593),'ID1&amp;5'!B:J,8,FALSE),"-")</f>
        <v>-</v>
      </c>
      <c r="L593" s="78" t="str">
        <f>+IFERROR(VLOOKUP(B593,'ID1&amp;5'!K:L,2,FALSE),"-")</f>
        <v>-</v>
      </c>
      <c r="M593" s="79" t="str">
        <f>+IFERROR(VLOOKUP(CONCATENATE(A593,$B$10,B593),'ID1&amp;5'!B:J,9,FALSE),"-")</f>
        <v>-</v>
      </c>
      <c r="N593" s="79" t="str">
        <f>+IFERROR(VLOOKUP(CONCATENATE(A593,$C$10,C593),'ID1&amp;5'!B:J,8,FALSE),"-")</f>
        <v>-</v>
      </c>
      <c r="O593" s="78" t="str">
        <f>+IFERROR(VLOOKUP(C593,'ID1&amp;5'!K:L,2,FALSE),"-")</f>
        <v>-</v>
      </c>
      <c r="P593" s="79" t="str">
        <f>+IFERROR(VLOOKUP(CONCATENATE(A593,$C$10,C593),'ID1&amp;5'!B:J,9,FALSE),"-")</f>
        <v>-</v>
      </c>
      <c r="Q593" s="78" t="str">
        <f>+IFERROR(VLOOKUP(D593,'ID1&amp;5'!K:L,2,FALSE),"-")</f>
        <v>-</v>
      </c>
      <c r="R593" s="26" t="str">
        <f>+IFERROR(VLOOKUP(CONCATENATE(A593,$D$10,D593),'ID1&amp;5'!B:J,9,FALSE),"-")</f>
        <v>-</v>
      </c>
      <c r="S593" s="78" t="str">
        <f>+IFERROR(VLOOKUP(E593,'ID1&amp;5'!K:L,2,FALSE),"-")</f>
        <v>-</v>
      </c>
      <c r="T593" s="79" t="str">
        <f>+IFERROR(VLOOKUP(CONCATENATE(A593,$E$10,E593),'ID1&amp;5'!B:J,9,FALSE),"-")</f>
        <v>-</v>
      </c>
      <c r="U593" s="78" t="str">
        <f>+IFERROR(VLOOKUP(F593,'ID1&amp;5'!K:L,2,FALSE),"-")</f>
        <v>-</v>
      </c>
      <c r="V593" s="79" t="str">
        <f>+IFERROR(VLOOKUP(CONCATENATE(A593,$F$10,F593),'ID1&amp;5'!B:J,9,FALSE),"-")</f>
        <v>-</v>
      </c>
      <c r="W593" s="26" t="str">
        <f>+IFERROR(VLOOKUP(A593,'ID6&amp;7'!A:I,9,FALSE),"-")</f>
        <v>-</v>
      </c>
      <c r="X593" s="26" t="str">
        <f>+IFERROR(VLOOKUP(A593,'ID6&amp;7'!A:J,10,FALSE),"-")</f>
        <v>-</v>
      </c>
      <c r="Y593" s="26"/>
      <c r="Z593" s="27" t="str">
        <f t="shared" si="10"/>
        <v>Por iniciar</v>
      </c>
      <c r="AA593" s="65"/>
    </row>
    <row r="594" spans="1:27">
      <c r="A594" s="20"/>
      <c r="B594" s="60"/>
      <c r="C594" s="60"/>
      <c r="D594" s="60"/>
      <c r="E594" s="60"/>
      <c r="F594" s="60"/>
      <c r="G594" s="60"/>
      <c r="H594" s="65" t="s">
        <v>119</v>
      </c>
      <c r="I594" s="21" t="s">
        <v>1537</v>
      </c>
      <c r="J594" s="26">
        <f>+COUNTIF('ID1&amp;5'!G:G,'1. Status'!I594)</f>
        <v>0</v>
      </c>
      <c r="K594" s="79" t="str">
        <f>+IFERROR(VLOOKUP(CONCATENATE(A594,$B$10,B594),'ID1&amp;5'!B:J,8,FALSE),"-")</f>
        <v>-</v>
      </c>
      <c r="L594" s="78" t="str">
        <f>+IFERROR(VLOOKUP(B594,'ID1&amp;5'!K:L,2,FALSE),"-")</f>
        <v>-</v>
      </c>
      <c r="M594" s="79" t="str">
        <f>+IFERROR(VLOOKUP(CONCATENATE(A594,$B$10,B594),'ID1&amp;5'!B:J,9,FALSE),"-")</f>
        <v>-</v>
      </c>
      <c r="N594" s="79" t="str">
        <f>+IFERROR(VLOOKUP(CONCATENATE(A594,$C$10,C594),'ID1&amp;5'!B:J,8,FALSE),"-")</f>
        <v>-</v>
      </c>
      <c r="O594" s="78" t="str">
        <f>+IFERROR(VLOOKUP(C594,'ID1&amp;5'!K:L,2,FALSE),"-")</f>
        <v>-</v>
      </c>
      <c r="P594" s="79" t="str">
        <f>+IFERROR(VLOOKUP(CONCATENATE(A594,$C$10,C594),'ID1&amp;5'!B:J,9,FALSE),"-")</f>
        <v>-</v>
      </c>
      <c r="Q594" s="78" t="str">
        <f>+IFERROR(VLOOKUP(D594,'ID1&amp;5'!K:L,2,FALSE),"-")</f>
        <v>-</v>
      </c>
      <c r="R594" s="26" t="str">
        <f>+IFERROR(VLOOKUP(CONCATENATE(A594,$D$10,D594),'ID1&amp;5'!B:J,9,FALSE),"-")</f>
        <v>-</v>
      </c>
      <c r="S594" s="78" t="str">
        <f>+IFERROR(VLOOKUP(E594,'ID1&amp;5'!K:L,2,FALSE),"-")</f>
        <v>-</v>
      </c>
      <c r="T594" s="79" t="str">
        <f>+IFERROR(VLOOKUP(CONCATENATE(A594,$E$10,E594),'ID1&amp;5'!B:J,9,FALSE),"-")</f>
        <v>-</v>
      </c>
      <c r="U594" s="78" t="str">
        <f>+IFERROR(VLOOKUP(F594,'ID1&amp;5'!K:L,2,FALSE),"-")</f>
        <v>-</v>
      </c>
      <c r="V594" s="79" t="str">
        <f>+IFERROR(VLOOKUP(CONCATENATE(A594,$F$10,F594),'ID1&amp;5'!B:J,9,FALSE),"-")</f>
        <v>-</v>
      </c>
      <c r="W594" s="26" t="str">
        <f>+IFERROR(VLOOKUP(A594,'ID6&amp;7'!A:I,9,FALSE),"-")</f>
        <v>-</v>
      </c>
      <c r="X594" s="26" t="str">
        <f>+IFERROR(VLOOKUP(A594,'ID6&amp;7'!A:J,10,FALSE),"-")</f>
        <v>-</v>
      </c>
      <c r="Y594" s="26"/>
      <c r="Z594" s="27" t="str">
        <f t="shared" si="10"/>
        <v>Por iniciar</v>
      </c>
      <c r="AA594" s="65"/>
    </row>
    <row r="595" spans="1:27">
      <c r="A595" s="20"/>
      <c r="B595" s="60"/>
      <c r="C595" s="60"/>
      <c r="D595" s="60"/>
      <c r="E595" s="60"/>
      <c r="F595" s="60"/>
      <c r="G595" s="60"/>
      <c r="H595" s="65" t="s">
        <v>119</v>
      </c>
      <c r="I595" s="21" t="s">
        <v>1538</v>
      </c>
      <c r="J595" s="26">
        <f>+COUNTIF('ID1&amp;5'!G:G,'1. Status'!I595)</f>
        <v>0</v>
      </c>
      <c r="K595" s="79" t="str">
        <f>+IFERROR(VLOOKUP(CONCATENATE(A595,$B$10,B595),'ID1&amp;5'!B:J,8,FALSE),"-")</f>
        <v>-</v>
      </c>
      <c r="L595" s="78" t="str">
        <f>+IFERROR(VLOOKUP(B595,'ID1&amp;5'!K:L,2,FALSE),"-")</f>
        <v>-</v>
      </c>
      <c r="M595" s="79" t="str">
        <f>+IFERROR(VLOOKUP(CONCATENATE(A595,$B$10,B595),'ID1&amp;5'!B:J,9,FALSE),"-")</f>
        <v>-</v>
      </c>
      <c r="N595" s="79" t="str">
        <f>+IFERROR(VLOOKUP(CONCATENATE(A595,$C$10,C595),'ID1&amp;5'!B:J,8,FALSE),"-")</f>
        <v>-</v>
      </c>
      <c r="O595" s="78" t="str">
        <f>+IFERROR(VLOOKUP(C595,'ID1&amp;5'!K:L,2,FALSE),"-")</f>
        <v>-</v>
      </c>
      <c r="P595" s="79" t="str">
        <f>+IFERROR(VLOOKUP(CONCATENATE(A595,$C$10,C595),'ID1&amp;5'!B:J,9,FALSE),"-")</f>
        <v>-</v>
      </c>
      <c r="Q595" s="78" t="str">
        <f>+IFERROR(VLOOKUP(D595,'ID1&amp;5'!K:L,2,FALSE),"-")</f>
        <v>-</v>
      </c>
      <c r="R595" s="26" t="str">
        <f>+IFERROR(VLOOKUP(CONCATENATE(A595,$D$10,D595),'ID1&amp;5'!B:J,9,FALSE),"-")</f>
        <v>-</v>
      </c>
      <c r="S595" s="78" t="str">
        <f>+IFERROR(VLOOKUP(E595,'ID1&amp;5'!K:L,2,FALSE),"-")</f>
        <v>-</v>
      </c>
      <c r="T595" s="79" t="str">
        <f>+IFERROR(VLOOKUP(CONCATENATE(A595,$E$10,E595),'ID1&amp;5'!B:J,9,FALSE),"-")</f>
        <v>-</v>
      </c>
      <c r="U595" s="78" t="str">
        <f>+IFERROR(VLOOKUP(F595,'ID1&amp;5'!K:L,2,FALSE),"-")</f>
        <v>-</v>
      </c>
      <c r="V595" s="79" t="str">
        <f>+IFERROR(VLOOKUP(CONCATENATE(A595,$F$10,F595),'ID1&amp;5'!B:J,9,FALSE),"-")</f>
        <v>-</v>
      </c>
      <c r="W595" s="26" t="str">
        <f>+IFERROR(VLOOKUP(A595,'ID6&amp;7'!A:I,9,FALSE),"-")</f>
        <v>-</v>
      </c>
      <c r="X595" s="26" t="str">
        <f>+IFERROR(VLOOKUP(A595,'ID6&amp;7'!A:J,10,FALSE),"-")</f>
        <v>-</v>
      </c>
      <c r="Y595" s="26"/>
      <c r="Z595" s="27" t="str">
        <f t="shared" si="10"/>
        <v>Por iniciar</v>
      </c>
      <c r="AA595" s="65"/>
    </row>
    <row r="596" spans="1:27">
      <c r="A596" s="20"/>
      <c r="B596" s="60"/>
      <c r="C596" s="60"/>
      <c r="D596" s="60"/>
      <c r="E596" s="60"/>
      <c r="F596" s="60"/>
      <c r="G596" s="60"/>
      <c r="H596" s="65" t="s">
        <v>119</v>
      </c>
      <c r="I596" s="21" t="s">
        <v>1539</v>
      </c>
      <c r="J596" s="26">
        <f>+COUNTIF('ID1&amp;5'!G:G,'1. Status'!I596)</f>
        <v>0</v>
      </c>
      <c r="K596" s="79" t="str">
        <f>+IFERROR(VLOOKUP(CONCATENATE(A596,$B$10,B596),'ID1&amp;5'!B:J,8,FALSE),"-")</f>
        <v>-</v>
      </c>
      <c r="L596" s="78" t="str">
        <f>+IFERROR(VLOOKUP(B596,'ID1&amp;5'!K:L,2,FALSE),"-")</f>
        <v>-</v>
      </c>
      <c r="M596" s="79" t="str">
        <f>+IFERROR(VLOOKUP(CONCATENATE(A596,$B$10,B596),'ID1&amp;5'!B:J,9,FALSE),"-")</f>
        <v>-</v>
      </c>
      <c r="N596" s="79" t="str">
        <f>+IFERROR(VLOOKUP(CONCATENATE(A596,$C$10,C596),'ID1&amp;5'!B:J,8,FALSE),"-")</f>
        <v>-</v>
      </c>
      <c r="O596" s="78" t="str">
        <f>+IFERROR(VLOOKUP(C596,'ID1&amp;5'!K:L,2,FALSE),"-")</f>
        <v>-</v>
      </c>
      <c r="P596" s="79" t="str">
        <f>+IFERROR(VLOOKUP(CONCATENATE(A596,$C$10,C596),'ID1&amp;5'!B:J,9,FALSE),"-")</f>
        <v>-</v>
      </c>
      <c r="Q596" s="78" t="str">
        <f>+IFERROR(VLOOKUP(D596,'ID1&amp;5'!K:L,2,FALSE),"-")</f>
        <v>-</v>
      </c>
      <c r="R596" s="26" t="str">
        <f>+IFERROR(VLOOKUP(CONCATENATE(A596,$D$10,D596),'ID1&amp;5'!B:J,9,FALSE),"-")</f>
        <v>-</v>
      </c>
      <c r="S596" s="78" t="str">
        <f>+IFERROR(VLOOKUP(E596,'ID1&amp;5'!K:L,2,FALSE),"-")</f>
        <v>-</v>
      </c>
      <c r="T596" s="79" t="str">
        <f>+IFERROR(VLOOKUP(CONCATENATE(A596,$E$10,E596),'ID1&amp;5'!B:J,9,FALSE),"-")</f>
        <v>-</v>
      </c>
      <c r="U596" s="78" t="str">
        <f>+IFERROR(VLOOKUP(F596,'ID1&amp;5'!K:L,2,FALSE),"-")</f>
        <v>-</v>
      </c>
      <c r="V596" s="79" t="str">
        <f>+IFERROR(VLOOKUP(CONCATENATE(A596,$F$10,F596),'ID1&amp;5'!B:J,9,FALSE),"-")</f>
        <v>-</v>
      </c>
      <c r="W596" s="26" t="str">
        <f>+IFERROR(VLOOKUP(A596,'ID6&amp;7'!A:I,9,FALSE),"-")</f>
        <v>-</v>
      </c>
      <c r="X596" s="26" t="str">
        <f>+IFERROR(VLOOKUP(A596,'ID6&amp;7'!A:J,10,FALSE),"-")</f>
        <v>-</v>
      </c>
      <c r="Y596" s="26"/>
      <c r="Z596" s="27" t="str">
        <f t="shared" si="10"/>
        <v>Por iniciar</v>
      </c>
      <c r="AA596" s="65"/>
    </row>
    <row r="597" spans="1:27">
      <c r="A597" s="20"/>
      <c r="B597" s="60"/>
      <c r="C597" s="60"/>
      <c r="D597" s="60"/>
      <c r="E597" s="60"/>
      <c r="F597" s="60"/>
      <c r="G597" s="60"/>
      <c r="H597" s="65" t="s">
        <v>119</v>
      </c>
      <c r="I597" s="21" t="s">
        <v>1245</v>
      </c>
      <c r="J597" s="26">
        <f>+COUNTIF('ID1&amp;5'!G:G,'1. Status'!I597)</f>
        <v>0</v>
      </c>
      <c r="K597" s="79" t="str">
        <f>+IFERROR(VLOOKUP(CONCATENATE(A597,$B$10,B597),'ID1&amp;5'!B:J,8,FALSE),"-")</f>
        <v>-</v>
      </c>
      <c r="L597" s="78" t="str">
        <f>+IFERROR(VLOOKUP(B597,'ID1&amp;5'!K:L,2,FALSE),"-")</f>
        <v>-</v>
      </c>
      <c r="M597" s="79" t="str">
        <f>+IFERROR(VLOOKUP(CONCATENATE(A597,$B$10,B597),'ID1&amp;5'!B:J,9,FALSE),"-")</f>
        <v>-</v>
      </c>
      <c r="N597" s="79" t="str">
        <f>+IFERROR(VLOOKUP(CONCATENATE(A597,$C$10,C597),'ID1&amp;5'!B:J,8,FALSE),"-")</f>
        <v>-</v>
      </c>
      <c r="O597" s="78" t="str">
        <f>+IFERROR(VLOOKUP(C597,'ID1&amp;5'!K:L,2,FALSE),"-")</f>
        <v>-</v>
      </c>
      <c r="P597" s="79" t="str">
        <f>+IFERROR(VLOOKUP(CONCATENATE(A597,$C$10,C597),'ID1&amp;5'!B:J,9,FALSE),"-")</f>
        <v>-</v>
      </c>
      <c r="Q597" s="78" t="str">
        <f>+IFERROR(VLOOKUP(D597,'ID1&amp;5'!K:L,2,FALSE),"-")</f>
        <v>-</v>
      </c>
      <c r="R597" s="26" t="str">
        <f>+IFERROR(VLOOKUP(CONCATENATE(A597,$D$10,D597),'ID1&amp;5'!B:J,9,FALSE),"-")</f>
        <v>-</v>
      </c>
      <c r="S597" s="78" t="str">
        <f>+IFERROR(VLOOKUP(E597,'ID1&amp;5'!K:L,2,FALSE),"-")</f>
        <v>-</v>
      </c>
      <c r="T597" s="79" t="str">
        <f>+IFERROR(VLOOKUP(CONCATENATE(A597,$E$10,E597),'ID1&amp;5'!B:J,9,FALSE),"-")</f>
        <v>-</v>
      </c>
      <c r="U597" s="78" t="str">
        <f>+IFERROR(VLOOKUP(F597,'ID1&amp;5'!K:L,2,FALSE),"-")</f>
        <v>-</v>
      </c>
      <c r="V597" s="79" t="str">
        <f>+IFERROR(VLOOKUP(CONCATENATE(A597,$F$10,F597),'ID1&amp;5'!B:J,9,FALSE),"-")</f>
        <v>-</v>
      </c>
      <c r="W597" s="26" t="str">
        <f>+IFERROR(VLOOKUP(A597,'ID6&amp;7'!A:I,9,FALSE),"-")</f>
        <v>-</v>
      </c>
      <c r="X597" s="26" t="str">
        <f>+IFERROR(VLOOKUP(A597,'ID6&amp;7'!A:J,10,FALSE),"-")</f>
        <v>-</v>
      </c>
      <c r="Y597" s="26"/>
      <c r="Z597" s="27" t="str">
        <f t="shared" si="10"/>
        <v>Por iniciar</v>
      </c>
      <c r="AA597" s="65"/>
    </row>
    <row r="598" spans="1:27">
      <c r="A598" s="20"/>
      <c r="B598" s="60"/>
      <c r="C598" s="60"/>
      <c r="D598" s="60"/>
      <c r="E598" s="60"/>
      <c r="F598" s="60"/>
      <c r="G598" s="60"/>
      <c r="H598" s="65" t="s">
        <v>119</v>
      </c>
      <c r="I598" s="21" t="s">
        <v>1246</v>
      </c>
      <c r="J598" s="26">
        <f>+COUNTIF('ID1&amp;5'!G:G,'1. Status'!I598)</f>
        <v>0</v>
      </c>
      <c r="K598" s="79" t="str">
        <f>+IFERROR(VLOOKUP(CONCATENATE(A598,$B$10,B598),'ID1&amp;5'!B:J,8,FALSE),"-")</f>
        <v>-</v>
      </c>
      <c r="L598" s="78" t="str">
        <f>+IFERROR(VLOOKUP(B598,'ID1&amp;5'!K:L,2,FALSE),"-")</f>
        <v>-</v>
      </c>
      <c r="M598" s="79" t="str">
        <f>+IFERROR(VLOOKUP(CONCATENATE(A598,$B$10,B598),'ID1&amp;5'!B:J,9,FALSE),"-")</f>
        <v>-</v>
      </c>
      <c r="N598" s="79" t="str">
        <f>+IFERROR(VLOOKUP(CONCATENATE(A598,$C$10,C598),'ID1&amp;5'!B:J,8,FALSE),"-")</f>
        <v>-</v>
      </c>
      <c r="O598" s="78" t="str">
        <f>+IFERROR(VLOOKUP(C598,'ID1&amp;5'!K:L,2,FALSE),"-")</f>
        <v>-</v>
      </c>
      <c r="P598" s="79" t="str">
        <f>+IFERROR(VLOOKUP(CONCATENATE(A598,$C$10,C598),'ID1&amp;5'!B:J,9,FALSE),"-")</f>
        <v>-</v>
      </c>
      <c r="Q598" s="78" t="str">
        <f>+IFERROR(VLOOKUP(D598,'ID1&amp;5'!K:L,2,FALSE),"-")</f>
        <v>-</v>
      </c>
      <c r="R598" s="26" t="str">
        <f>+IFERROR(VLOOKUP(CONCATENATE(A598,$D$10,D598),'ID1&amp;5'!B:J,9,FALSE),"-")</f>
        <v>-</v>
      </c>
      <c r="S598" s="78" t="str">
        <f>+IFERROR(VLOOKUP(E598,'ID1&amp;5'!K:L,2,FALSE),"-")</f>
        <v>-</v>
      </c>
      <c r="T598" s="79" t="str">
        <f>+IFERROR(VLOOKUP(CONCATENATE(A598,$E$10,E598),'ID1&amp;5'!B:J,9,FALSE),"-")</f>
        <v>-</v>
      </c>
      <c r="U598" s="78" t="str">
        <f>+IFERROR(VLOOKUP(F598,'ID1&amp;5'!K:L,2,FALSE),"-")</f>
        <v>-</v>
      </c>
      <c r="V598" s="79" t="str">
        <f>+IFERROR(VLOOKUP(CONCATENATE(A598,$F$10,F598),'ID1&amp;5'!B:J,9,FALSE),"-")</f>
        <v>-</v>
      </c>
      <c r="W598" s="26" t="str">
        <f>+IFERROR(VLOOKUP(A598,'ID6&amp;7'!A:I,9,FALSE),"-")</f>
        <v>-</v>
      </c>
      <c r="X598" s="26" t="str">
        <f>+IFERROR(VLOOKUP(A598,'ID6&amp;7'!A:J,10,FALSE),"-")</f>
        <v>-</v>
      </c>
      <c r="Y598" s="26"/>
      <c r="Z598" s="27" t="str">
        <f t="shared" si="10"/>
        <v>Por iniciar</v>
      </c>
      <c r="AA598" s="65"/>
    </row>
    <row r="599" spans="1:27">
      <c r="A599" s="20"/>
      <c r="B599" s="60"/>
      <c r="C599" s="60"/>
      <c r="D599" s="60"/>
      <c r="E599" s="60"/>
      <c r="F599" s="60"/>
      <c r="G599" s="60"/>
      <c r="H599" s="65" t="s">
        <v>119</v>
      </c>
      <c r="I599" s="21" t="s">
        <v>1247</v>
      </c>
      <c r="J599" s="26">
        <f>+COUNTIF('ID1&amp;5'!G:G,'1. Status'!I599)</f>
        <v>0</v>
      </c>
      <c r="K599" s="79" t="str">
        <f>+IFERROR(VLOOKUP(CONCATENATE(A599,$B$10,B599),'ID1&amp;5'!B:J,8,FALSE),"-")</f>
        <v>-</v>
      </c>
      <c r="L599" s="78" t="str">
        <f>+IFERROR(VLOOKUP(B599,'ID1&amp;5'!K:L,2,FALSE),"-")</f>
        <v>-</v>
      </c>
      <c r="M599" s="79" t="str">
        <f>+IFERROR(VLOOKUP(CONCATENATE(A599,$B$10,B599),'ID1&amp;5'!B:J,9,FALSE),"-")</f>
        <v>-</v>
      </c>
      <c r="N599" s="79" t="str">
        <f>+IFERROR(VLOOKUP(CONCATENATE(A599,$C$10,C599),'ID1&amp;5'!B:J,8,FALSE),"-")</f>
        <v>-</v>
      </c>
      <c r="O599" s="78" t="str">
        <f>+IFERROR(VLOOKUP(C599,'ID1&amp;5'!K:L,2,FALSE),"-")</f>
        <v>-</v>
      </c>
      <c r="P599" s="79" t="str">
        <f>+IFERROR(VLOOKUP(CONCATENATE(A599,$C$10,C599),'ID1&amp;5'!B:J,9,FALSE),"-")</f>
        <v>-</v>
      </c>
      <c r="Q599" s="78" t="str">
        <f>+IFERROR(VLOOKUP(D599,'ID1&amp;5'!K:L,2,FALSE),"-")</f>
        <v>-</v>
      </c>
      <c r="R599" s="26" t="str">
        <f>+IFERROR(VLOOKUP(CONCATENATE(A599,$D$10,D599),'ID1&amp;5'!B:J,9,FALSE),"-")</f>
        <v>-</v>
      </c>
      <c r="S599" s="78" t="str">
        <f>+IFERROR(VLOOKUP(E599,'ID1&amp;5'!K:L,2,FALSE),"-")</f>
        <v>-</v>
      </c>
      <c r="T599" s="79" t="str">
        <f>+IFERROR(VLOOKUP(CONCATENATE(A599,$E$10,E599),'ID1&amp;5'!B:J,9,FALSE),"-")</f>
        <v>-</v>
      </c>
      <c r="U599" s="78" t="str">
        <f>+IFERROR(VLOOKUP(F599,'ID1&amp;5'!K:L,2,FALSE),"-")</f>
        <v>-</v>
      </c>
      <c r="V599" s="79" t="str">
        <f>+IFERROR(VLOOKUP(CONCATENATE(A599,$F$10,F599),'ID1&amp;5'!B:J,9,FALSE),"-")</f>
        <v>-</v>
      </c>
      <c r="W599" s="26" t="str">
        <f>+IFERROR(VLOOKUP(A599,'ID6&amp;7'!A:I,9,FALSE),"-")</f>
        <v>-</v>
      </c>
      <c r="X599" s="26" t="str">
        <f>+IFERROR(VLOOKUP(A599,'ID6&amp;7'!A:J,10,FALSE),"-")</f>
        <v>-</v>
      </c>
      <c r="Y599" s="26"/>
      <c r="Z599" s="27" t="str">
        <f t="shared" si="10"/>
        <v>Por iniciar</v>
      </c>
      <c r="AA599" s="65"/>
    </row>
    <row r="600" spans="1:27">
      <c r="A600" s="20"/>
      <c r="B600" s="60"/>
      <c r="C600" s="60"/>
      <c r="D600" s="60"/>
      <c r="E600" s="60"/>
      <c r="F600" s="60"/>
      <c r="G600" s="60"/>
      <c r="H600" s="65" t="s">
        <v>119</v>
      </c>
      <c r="I600" s="21" t="s">
        <v>1248</v>
      </c>
      <c r="J600" s="26">
        <f>+COUNTIF('ID1&amp;5'!G:G,'1. Status'!I600)</f>
        <v>0</v>
      </c>
      <c r="K600" s="79" t="str">
        <f>+IFERROR(VLOOKUP(CONCATENATE(A600,$B$10,B600),'ID1&amp;5'!B:J,8,FALSE),"-")</f>
        <v>-</v>
      </c>
      <c r="L600" s="78" t="str">
        <f>+IFERROR(VLOOKUP(B600,'ID1&amp;5'!K:L,2,FALSE),"-")</f>
        <v>-</v>
      </c>
      <c r="M600" s="79" t="str">
        <f>+IFERROR(VLOOKUP(CONCATENATE(A600,$B$10,B600),'ID1&amp;5'!B:J,9,FALSE),"-")</f>
        <v>-</v>
      </c>
      <c r="N600" s="79" t="str">
        <f>+IFERROR(VLOOKUP(CONCATENATE(A600,$C$10,C600),'ID1&amp;5'!B:J,8,FALSE),"-")</f>
        <v>-</v>
      </c>
      <c r="O600" s="78" t="str">
        <f>+IFERROR(VLOOKUP(C600,'ID1&amp;5'!K:L,2,FALSE),"-")</f>
        <v>-</v>
      </c>
      <c r="P600" s="79" t="str">
        <f>+IFERROR(VLOOKUP(CONCATENATE(A600,$C$10,C600),'ID1&amp;5'!B:J,9,FALSE),"-")</f>
        <v>-</v>
      </c>
      <c r="Q600" s="78" t="str">
        <f>+IFERROR(VLOOKUP(D600,'ID1&amp;5'!K:L,2,FALSE),"-")</f>
        <v>-</v>
      </c>
      <c r="R600" s="26" t="str">
        <f>+IFERROR(VLOOKUP(CONCATENATE(A600,$D$10,D600),'ID1&amp;5'!B:J,9,FALSE),"-")</f>
        <v>-</v>
      </c>
      <c r="S600" s="78" t="str">
        <f>+IFERROR(VLOOKUP(E600,'ID1&amp;5'!K:L,2,FALSE),"-")</f>
        <v>-</v>
      </c>
      <c r="T600" s="79" t="str">
        <f>+IFERROR(VLOOKUP(CONCATENATE(A600,$E$10,E600),'ID1&amp;5'!B:J,9,FALSE),"-")</f>
        <v>-</v>
      </c>
      <c r="U600" s="78" t="str">
        <f>+IFERROR(VLOOKUP(F600,'ID1&amp;5'!K:L,2,FALSE),"-")</f>
        <v>-</v>
      </c>
      <c r="V600" s="79" t="str">
        <f>+IFERROR(VLOOKUP(CONCATENATE(A600,$F$10,F600),'ID1&amp;5'!B:J,9,FALSE),"-")</f>
        <v>-</v>
      </c>
      <c r="W600" s="26" t="str">
        <f>+IFERROR(VLOOKUP(A600,'ID6&amp;7'!A:I,9,FALSE),"-")</f>
        <v>-</v>
      </c>
      <c r="X600" s="26" t="str">
        <f>+IFERROR(VLOOKUP(A600,'ID6&amp;7'!A:J,10,FALSE),"-")</f>
        <v>-</v>
      </c>
      <c r="Y600" s="26"/>
      <c r="Z600" s="27" t="str">
        <f t="shared" si="10"/>
        <v>Por iniciar</v>
      </c>
      <c r="AA600" s="65"/>
    </row>
    <row r="601" spans="1:27">
      <c r="A601" s="20"/>
      <c r="B601" s="60"/>
      <c r="C601" s="60"/>
      <c r="D601" s="60"/>
      <c r="E601" s="60"/>
      <c r="F601" s="60"/>
      <c r="G601" s="60"/>
      <c r="H601" s="65" t="s">
        <v>119</v>
      </c>
      <c r="I601" s="21" t="s">
        <v>1249</v>
      </c>
      <c r="J601" s="26">
        <f>+COUNTIF('ID1&amp;5'!G:G,'1. Status'!I601)</f>
        <v>0</v>
      </c>
      <c r="K601" s="79" t="str">
        <f>+IFERROR(VLOOKUP(CONCATENATE(A601,$B$10,B601),'ID1&amp;5'!B:J,8,FALSE),"-")</f>
        <v>-</v>
      </c>
      <c r="L601" s="78" t="str">
        <f>+IFERROR(VLOOKUP(B601,'ID1&amp;5'!K:L,2,FALSE),"-")</f>
        <v>-</v>
      </c>
      <c r="M601" s="79" t="str">
        <f>+IFERROR(VLOOKUP(CONCATENATE(A601,$B$10,B601),'ID1&amp;5'!B:J,9,FALSE),"-")</f>
        <v>-</v>
      </c>
      <c r="N601" s="79" t="str">
        <f>+IFERROR(VLOOKUP(CONCATENATE(A601,$C$10,C601),'ID1&amp;5'!B:J,8,FALSE),"-")</f>
        <v>-</v>
      </c>
      <c r="O601" s="78" t="str">
        <f>+IFERROR(VLOOKUP(C601,'ID1&amp;5'!K:L,2,FALSE),"-")</f>
        <v>-</v>
      </c>
      <c r="P601" s="79" t="str">
        <f>+IFERROR(VLOOKUP(CONCATENATE(A601,$C$10,C601),'ID1&amp;5'!B:J,9,FALSE),"-")</f>
        <v>-</v>
      </c>
      <c r="Q601" s="78" t="str">
        <f>+IFERROR(VLOOKUP(D601,'ID1&amp;5'!K:L,2,FALSE),"-")</f>
        <v>-</v>
      </c>
      <c r="R601" s="26" t="str">
        <f>+IFERROR(VLOOKUP(CONCATENATE(A601,$D$10,D601),'ID1&amp;5'!B:J,9,FALSE),"-")</f>
        <v>-</v>
      </c>
      <c r="S601" s="78" t="str">
        <f>+IFERROR(VLOOKUP(E601,'ID1&amp;5'!K:L,2,FALSE),"-")</f>
        <v>-</v>
      </c>
      <c r="T601" s="79" t="str">
        <f>+IFERROR(VLOOKUP(CONCATENATE(A601,$E$10,E601),'ID1&amp;5'!B:J,9,FALSE),"-")</f>
        <v>-</v>
      </c>
      <c r="U601" s="78" t="str">
        <f>+IFERROR(VLOOKUP(F601,'ID1&amp;5'!K:L,2,FALSE),"-")</f>
        <v>-</v>
      </c>
      <c r="V601" s="79" t="str">
        <f>+IFERROR(VLOOKUP(CONCATENATE(A601,$F$10,F601),'ID1&amp;5'!B:J,9,FALSE),"-")</f>
        <v>-</v>
      </c>
      <c r="W601" s="26" t="str">
        <f>+IFERROR(VLOOKUP(A601,'ID6&amp;7'!A:I,9,FALSE),"-")</f>
        <v>-</v>
      </c>
      <c r="X601" s="26" t="str">
        <f>+IFERROR(VLOOKUP(A601,'ID6&amp;7'!A:J,10,FALSE),"-")</f>
        <v>-</v>
      </c>
      <c r="Y601" s="26"/>
      <c r="Z601" s="27" t="str">
        <f t="shared" si="10"/>
        <v>Por iniciar</v>
      </c>
      <c r="AA601" s="65"/>
    </row>
    <row r="602" spans="1:27">
      <c r="A602" s="20"/>
      <c r="B602" s="60"/>
      <c r="C602" s="60"/>
      <c r="D602" s="60"/>
      <c r="E602" s="60"/>
      <c r="F602" s="60"/>
      <c r="G602" s="60"/>
      <c r="H602" s="65" t="s">
        <v>119</v>
      </c>
      <c r="I602" s="21" t="s">
        <v>1250</v>
      </c>
      <c r="J602" s="26">
        <f>+COUNTIF('ID1&amp;5'!G:G,'1. Status'!I602)</f>
        <v>0</v>
      </c>
      <c r="K602" s="79" t="str">
        <f>+IFERROR(VLOOKUP(CONCATENATE(A602,$B$10,B602),'ID1&amp;5'!B:J,8,FALSE),"-")</f>
        <v>-</v>
      </c>
      <c r="L602" s="78" t="str">
        <f>+IFERROR(VLOOKUP(B602,'ID1&amp;5'!K:L,2,FALSE),"-")</f>
        <v>-</v>
      </c>
      <c r="M602" s="79" t="str">
        <f>+IFERROR(VLOOKUP(CONCATENATE(A602,$B$10,B602),'ID1&amp;5'!B:J,9,FALSE),"-")</f>
        <v>-</v>
      </c>
      <c r="N602" s="79" t="str">
        <f>+IFERROR(VLOOKUP(CONCATENATE(A602,$C$10,C602),'ID1&amp;5'!B:J,8,FALSE),"-")</f>
        <v>-</v>
      </c>
      <c r="O602" s="78" t="str">
        <f>+IFERROR(VLOOKUP(C602,'ID1&amp;5'!K:L,2,FALSE),"-")</f>
        <v>-</v>
      </c>
      <c r="P602" s="79" t="str">
        <f>+IFERROR(VLOOKUP(CONCATENATE(A602,$C$10,C602),'ID1&amp;5'!B:J,9,FALSE),"-")</f>
        <v>-</v>
      </c>
      <c r="Q602" s="78" t="str">
        <f>+IFERROR(VLOOKUP(D602,'ID1&amp;5'!K:L,2,FALSE),"-")</f>
        <v>-</v>
      </c>
      <c r="R602" s="26" t="str">
        <f>+IFERROR(VLOOKUP(CONCATENATE(A602,$D$10,D602),'ID1&amp;5'!B:J,9,FALSE),"-")</f>
        <v>-</v>
      </c>
      <c r="S602" s="78" t="str">
        <f>+IFERROR(VLOOKUP(E602,'ID1&amp;5'!K:L,2,FALSE),"-")</f>
        <v>-</v>
      </c>
      <c r="T602" s="79" t="str">
        <f>+IFERROR(VLOOKUP(CONCATENATE(A602,$E$10,E602),'ID1&amp;5'!B:J,9,FALSE),"-")</f>
        <v>-</v>
      </c>
      <c r="U602" s="78" t="str">
        <f>+IFERROR(VLOOKUP(F602,'ID1&amp;5'!K:L,2,FALSE),"-")</f>
        <v>-</v>
      </c>
      <c r="V602" s="79" t="str">
        <f>+IFERROR(VLOOKUP(CONCATENATE(A602,$F$10,F602),'ID1&amp;5'!B:J,9,FALSE),"-")</f>
        <v>-</v>
      </c>
      <c r="W602" s="26" t="str">
        <f>+IFERROR(VLOOKUP(A602,'ID6&amp;7'!A:I,9,FALSE),"-")</f>
        <v>-</v>
      </c>
      <c r="X602" s="26" t="str">
        <f>+IFERROR(VLOOKUP(A602,'ID6&amp;7'!A:J,10,FALSE),"-")</f>
        <v>-</v>
      </c>
      <c r="Y602" s="26"/>
      <c r="Z602" s="27" t="str">
        <f t="shared" si="10"/>
        <v>Por iniciar</v>
      </c>
      <c r="AA602" s="65"/>
    </row>
    <row r="603" spans="1:27">
      <c r="A603" s="20"/>
      <c r="B603" s="60"/>
      <c r="C603" s="60"/>
      <c r="D603" s="60"/>
      <c r="E603" s="60"/>
      <c r="F603" s="60"/>
      <c r="G603" s="60"/>
      <c r="H603" s="65" t="s">
        <v>119</v>
      </c>
      <c r="I603" s="21" t="s">
        <v>1251</v>
      </c>
      <c r="J603" s="26">
        <f>+COUNTIF('ID1&amp;5'!G:G,'1. Status'!I603)</f>
        <v>0</v>
      </c>
      <c r="K603" s="79" t="str">
        <f>+IFERROR(VLOOKUP(CONCATENATE(A603,$B$10,B603),'ID1&amp;5'!B:J,8,FALSE),"-")</f>
        <v>-</v>
      </c>
      <c r="L603" s="78" t="str">
        <f>+IFERROR(VLOOKUP(B603,'ID1&amp;5'!K:L,2,FALSE),"-")</f>
        <v>-</v>
      </c>
      <c r="M603" s="79" t="str">
        <f>+IFERROR(VLOOKUP(CONCATENATE(A603,$B$10,B603),'ID1&amp;5'!B:J,9,FALSE),"-")</f>
        <v>-</v>
      </c>
      <c r="N603" s="79" t="str">
        <f>+IFERROR(VLOOKUP(CONCATENATE(A603,$C$10,C603),'ID1&amp;5'!B:J,8,FALSE),"-")</f>
        <v>-</v>
      </c>
      <c r="O603" s="78" t="str">
        <f>+IFERROR(VLOOKUP(C603,'ID1&amp;5'!K:L,2,FALSE),"-")</f>
        <v>-</v>
      </c>
      <c r="P603" s="79" t="str">
        <f>+IFERROR(VLOOKUP(CONCATENATE(A603,$C$10,C603),'ID1&amp;5'!B:J,9,FALSE),"-")</f>
        <v>-</v>
      </c>
      <c r="Q603" s="78" t="str">
        <f>+IFERROR(VLOOKUP(D603,'ID1&amp;5'!K:L,2,FALSE),"-")</f>
        <v>-</v>
      </c>
      <c r="R603" s="26" t="str">
        <f>+IFERROR(VLOOKUP(CONCATENATE(A603,$D$10,D603),'ID1&amp;5'!B:J,9,FALSE),"-")</f>
        <v>-</v>
      </c>
      <c r="S603" s="78" t="str">
        <f>+IFERROR(VLOOKUP(E603,'ID1&amp;5'!K:L,2,FALSE),"-")</f>
        <v>-</v>
      </c>
      <c r="T603" s="79" t="str">
        <f>+IFERROR(VLOOKUP(CONCATENATE(A603,$E$10,E603),'ID1&amp;5'!B:J,9,FALSE),"-")</f>
        <v>-</v>
      </c>
      <c r="U603" s="78" t="str">
        <f>+IFERROR(VLOOKUP(F603,'ID1&amp;5'!K:L,2,FALSE),"-")</f>
        <v>-</v>
      </c>
      <c r="V603" s="79" t="str">
        <f>+IFERROR(VLOOKUP(CONCATENATE(A603,$F$10,F603),'ID1&amp;5'!B:J,9,FALSE),"-")</f>
        <v>-</v>
      </c>
      <c r="W603" s="26" t="str">
        <f>+IFERROR(VLOOKUP(A603,'ID6&amp;7'!A:I,9,FALSE),"-")</f>
        <v>-</v>
      </c>
      <c r="X603" s="26" t="str">
        <f>+IFERROR(VLOOKUP(A603,'ID6&amp;7'!A:J,10,FALSE),"-")</f>
        <v>-</v>
      </c>
      <c r="Y603" s="26"/>
      <c r="Z603" s="27" t="str">
        <f t="shared" si="10"/>
        <v>Por iniciar</v>
      </c>
      <c r="AA603" s="65"/>
    </row>
    <row r="604" spans="1:27">
      <c r="A604" s="20"/>
      <c r="B604" s="60"/>
      <c r="C604" s="60"/>
      <c r="D604" s="60"/>
      <c r="E604" s="60"/>
      <c r="F604" s="60"/>
      <c r="G604" s="60"/>
      <c r="H604" s="65" t="s">
        <v>119</v>
      </c>
      <c r="I604" s="21" t="s">
        <v>1252</v>
      </c>
      <c r="J604" s="26">
        <f>+COUNTIF('ID1&amp;5'!G:G,'1. Status'!I604)</f>
        <v>0</v>
      </c>
      <c r="K604" s="79" t="str">
        <f>+IFERROR(VLOOKUP(CONCATENATE(A604,$B$10,B604),'ID1&amp;5'!B:J,8,FALSE),"-")</f>
        <v>-</v>
      </c>
      <c r="L604" s="78" t="str">
        <f>+IFERROR(VLOOKUP(B604,'ID1&amp;5'!K:L,2,FALSE),"-")</f>
        <v>-</v>
      </c>
      <c r="M604" s="79" t="str">
        <f>+IFERROR(VLOOKUP(CONCATENATE(A604,$B$10,B604),'ID1&amp;5'!B:J,9,FALSE),"-")</f>
        <v>-</v>
      </c>
      <c r="N604" s="79" t="str">
        <f>+IFERROR(VLOOKUP(CONCATENATE(A604,$C$10,C604),'ID1&amp;5'!B:J,8,FALSE),"-")</f>
        <v>-</v>
      </c>
      <c r="O604" s="78" t="str">
        <f>+IFERROR(VLOOKUP(C604,'ID1&amp;5'!K:L,2,FALSE),"-")</f>
        <v>-</v>
      </c>
      <c r="P604" s="79" t="str">
        <f>+IFERROR(VLOOKUP(CONCATENATE(A604,$C$10,C604),'ID1&amp;5'!B:J,9,FALSE),"-")</f>
        <v>-</v>
      </c>
      <c r="Q604" s="78" t="str">
        <f>+IFERROR(VLOOKUP(D604,'ID1&amp;5'!K:L,2,FALSE),"-")</f>
        <v>-</v>
      </c>
      <c r="R604" s="26" t="str">
        <f>+IFERROR(VLOOKUP(CONCATENATE(A604,$D$10,D604),'ID1&amp;5'!B:J,9,FALSE),"-")</f>
        <v>-</v>
      </c>
      <c r="S604" s="78" t="str">
        <f>+IFERROR(VLOOKUP(E604,'ID1&amp;5'!K:L,2,FALSE),"-")</f>
        <v>-</v>
      </c>
      <c r="T604" s="79" t="str">
        <f>+IFERROR(VLOOKUP(CONCATENATE(A604,$E$10,E604),'ID1&amp;5'!B:J,9,FALSE),"-")</f>
        <v>-</v>
      </c>
      <c r="U604" s="78" t="str">
        <f>+IFERROR(VLOOKUP(F604,'ID1&amp;5'!K:L,2,FALSE),"-")</f>
        <v>-</v>
      </c>
      <c r="V604" s="79" t="str">
        <f>+IFERROR(VLOOKUP(CONCATENATE(A604,$F$10,F604),'ID1&amp;5'!B:J,9,FALSE),"-")</f>
        <v>-</v>
      </c>
      <c r="W604" s="26" t="str">
        <f>+IFERROR(VLOOKUP(A604,'ID6&amp;7'!A:I,9,FALSE),"-")</f>
        <v>-</v>
      </c>
      <c r="X604" s="26" t="str">
        <f>+IFERROR(VLOOKUP(A604,'ID6&amp;7'!A:J,10,FALSE),"-")</f>
        <v>-</v>
      </c>
      <c r="Y604" s="26"/>
      <c r="Z604" s="27" t="str">
        <f t="shared" si="10"/>
        <v>Por iniciar</v>
      </c>
      <c r="AA604" s="65"/>
    </row>
    <row r="605" spans="1:27">
      <c r="A605" s="20"/>
      <c r="B605" s="60"/>
      <c r="C605" s="60"/>
      <c r="D605" s="60"/>
      <c r="E605" s="60"/>
      <c r="F605" s="60"/>
      <c r="G605" s="60"/>
      <c r="H605" s="65" t="s">
        <v>119</v>
      </c>
      <c r="I605" s="21" t="s">
        <v>1253</v>
      </c>
      <c r="J605" s="26">
        <f>+COUNTIF('ID1&amp;5'!G:G,'1. Status'!I605)</f>
        <v>0</v>
      </c>
      <c r="K605" s="79" t="str">
        <f>+IFERROR(VLOOKUP(CONCATENATE(A605,$B$10,B605),'ID1&amp;5'!B:J,8,FALSE),"-")</f>
        <v>-</v>
      </c>
      <c r="L605" s="78" t="str">
        <f>+IFERROR(VLOOKUP(B605,'ID1&amp;5'!K:L,2,FALSE),"-")</f>
        <v>-</v>
      </c>
      <c r="M605" s="79" t="str">
        <f>+IFERROR(VLOOKUP(CONCATENATE(A605,$B$10,B605),'ID1&amp;5'!B:J,9,FALSE),"-")</f>
        <v>-</v>
      </c>
      <c r="N605" s="79" t="str">
        <f>+IFERROR(VLOOKUP(CONCATENATE(A605,$C$10,C605),'ID1&amp;5'!B:J,8,FALSE),"-")</f>
        <v>-</v>
      </c>
      <c r="O605" s="78" t="str">
        <f>+IFERROR(VLOOKUP(C605,'ID1&amp;5'!K:L,2,FALSE),"-")</f>
        <v>-</v>
      </c>
      <c r="P605" s="79" t="str">
        <f>+IFERROR(VLOOKUP(CONCATENATE(A605,$C$10,C605),'ID1&amp;5'!B:J,9,FALSE),"-")</f>
        <v>-</v>
      </c>
      <c r="Q605" s="78" t="str">
        <f>+IFERROR(VLOOKUP(D605,'ID1&amp;5'!K:L,2,FALSE),"-")</f>
        <v>-</v>
      </c>
      <c r="R605" s="26" t="str">
        <f>+IFERROR(VLOOKUP(CONCATENATE(A605,$D$10,D605),'ID1&amp;5'!B:J,9,FALSE),"-")</f>
        <v>-</v>
      </c>
      <c r="S605" s="78" t="str">
        <f>+IFERROR(VLOOKUP(E605,'ID1&amp;5'!K:L,2,FALSE),"-")</f>
        <v>-</v>
      </c>
      <c r="T605" s="79" t="str">
        <f>+IFERROR(VLOOKUP(CONCATENATE(A605,$E$10,E605),'ID1&amp;5'!B:J,9,FALSE),"-")</f>
        <v>-</v>
      </c>
      <c r="U605" s="78" t="str">
        <f>+IFERROR(VLOOKUP(F605,'ID1&amp;5'!K:L,2,FALSE),"-")</f>
        <v>-</v>
      </c>
      <c r="V605" s="79" t="str">
        <f>+IFERROR(VLOOKUP(CONCATENATE(A605,$F$10,F605),'ID1&amp;5'!B:J,9,FALSE),"-")</f>
        <v>-</v>
      </c>
      <c r="W605" s="26" t="str">
        <f>+IFERROR(VLOOKUP(A605,'ID6&amp;7'!A:I,9,FALSE),"-")</f>
        <v>-</v>
      </c>
      <c r="X605" s="26" t="str">
        <f>+IFERROR(VLOOKUP(A605,'ID6&amp;7'!A:J,10,FALSE),"-")</f>
        <v>-</v>
      </c>
      <c r="Y605" s="26"/>
      <c r="Z605" s="27" t="str">
        <f t="shared" si="10"/>
        <v>Por iniciar</v>
      </c>
      <c r="AA605" s="65"/>
    </row>
    <row r="606" spans="1:27">
      <c r="A606" s="20"/>
      <c r="B606" s="60"/>
      <c r="C606" s="60"/>
      <c r="D606" s="60"/>
      <c r="E606" s="60"/>
      <c r="F606" s="60"/>
      <c r="G606" s="60"/>
      <c r="H606" s="65" t="s">
        <v>119</v>
      </c>
      <c r="I606" s="21" t="s">
        <v>1254</v>
      </c>
      <c r="J606" s="26">
        <f>+COUNTIF('ID1&amp;5'!G:G,'1. Status'!I606)</f>
        <v>0</v>
      </c>
      <c r="K606" s="79" t="str">
        <f>+IFERROR(VLOOKUP(CONCATENATE(A606,$B$10,B606),'ID1&amp;5'!B:J,8,FALSE),"-")</f>
        <v>-</v>
      </c>
      <c r="L606" s="78" t="str">
        <f>+IFERROR(VLOOKUP(B606,'ID1&amp;5'!K:L,2,FALSE),"-")</f>
        <v>-</v>
      </c>
      <c r="M606" s="79" t="str">
        <f>+IFERROR(VLOOKUP(CONCATENATE(A606,$B$10,B606),'ID1&amp;5'!B:J,9,FALSE),"-")</f>
        <v>-</v>
      </c>
      <c r="N606" s="79" t="str">
        <f>+IFERROR(VLOOKUP(CONCATENATE(A606,$C$10,C606),'ID1&amp;5'!B:J,8,FALSE),"-")</f>
        <v>-</v>
      </c>
      <c r="O606" s="78" t="str">
        <f>+IFERROR(VLOOKUP(C606,'ID1&amp;5'!K:L,2,FALSE),"-")</f>
        <v>-</v>
      </c>
      <c r="P606" s="79" t="str">
        <f>+IFERROR(VLOOKUP(CONCATENATE(A606,$C$10,C606),'ID1&amp;5'!B:J,9,FALSE),"-")</f>
        <v>-</v>
      </c>
      <c r="Q606" s="78" t="str">
        <f>+IFERROR(VLOOKUP(D606,'ID1&amp;5'!K:L,2,FALSE),"-")</f>
        <v>-</v>
      </c>
      <c r="R606" s="26" t="str">
        <f>+IFERROR(VLOOKUP(CONCATENATE(A606,$D$10,D606),'ID1&amp;5'!B:J,9,FALSE),"-")</f>
        <v>-</v>
      </c>
      <c r="S606" s="78" t="str">
        <f>+IFERROR(VLOOKUP(E606,'ID1&amp;5'!K:L,2,FALSE),"-")</f>
        <v>-</v>
      </c>
      <c r="T606" s="79" t="str">
        <f>+IFERROR(VLOOKUP(CONCATENATE(A606,$E$10,E606),'ID1&amp;5'!B:J,9,FALSE),"-")</f>
        <v>-</v>
      </c>
      <c r="U606" s="78" t="str">
        <f>+IFERROR(VLOOKUP(F606,'ID1&amp;5'!K:L,2,FALSE),"-")</f>
        <v>-</v>
      </c>
      <c r="V606" s="79" t="str">
        <f>+IFERROR(VLOOKUP(CONCATENATE(A606,$F$10,F606),'ID1&amp;5'!B:J,9,FALSE),"-")</f>
        <v>-</v>
      </c>
      <c r="W606" s="26" t="str">
        <f>+IFERROR(VLOOKUP(A606,'ID6&amp;7'!A:I,9,FALSE),"-")</f>
        <v>-</v>
      </c>
      <c r="X606" s="26" t="str">
        <f>+IFERROR(VLOOKUP(A606,'ID6&amp;7'!A:J,10,FALSE),"-")</f>
        <v>-</v>
      </c>
      <c r="Y606" s="26"/>
      <c r="Z606" s="27" t="str">
        <f t="shared" si="10"/>
        <v>Por iniciar</v>
      </c>
      <c r="AA606" s="65"/>
    </row>
    <row r="607" spans="1:27">
      <c r="A607" s="20"/>
      <c r="B607" s="60"/>
      <c r="C607" s="60"/>
      <c r="D607" s="60"/>
      <c r="E607" s="60"/>
      <c r="F607" s="60"/>
      <c r="G607" s="60"/>
      <c r="H607" s="65" t="s">
        <v>119</v>
      </c>
      <c r="I607" s="21" t="s">
        <v>1476</v>
      </c>
      <c r="J607" s="26">
        <f>+COUNTIF('ID1&amp;5'!G:G,'1. Status'!I607)</f>
        <v>0</v>
      </c>
      <c r="K607" s="79" t="str">
        <f>+IFERROR(VLOOKUP(CONCATENATE(A607,$B$10,B607),'ID1&amp;5'!B:J,8,FALSE),"-")</f>
        <v>-</v>
      </c>
      <c r="L607" s="78" t="str">
        <f>+IFERROR(VLOOKUP(B607,'ID1&amp;5'!K:L,2,FALSE),"-")</f>
        <v>-</v>
      </c>
      <c r="M607" s="79" t="str">
        <f>+IFERROR(VLOOKUP(CONCATENATE(A607,$B$10,B607),'ID1&amp;5'!B:J,9,FALSE),"-")</f>
        <v>-</v>
      </c>
      <c r="N607" s="79" t="str">
        <f>+IFERROR(VLOOKUP(CONCATENATE(A607,$C$10,C607),'ID1&amp;5'!B:J,8,FALSE),"-")</f>
        <v>-</v>
      </c>
      <c r="O607" s="78" t="str">
        <f>+IFERROR(VLOOKUP(C607,'ID1&amp;5'!K:L,2,FALSE),"-")</f>
        <v>-</v>
      </c>
      <c r="P607" s="79" t="str">
        <f>+IFERROR(VLOOKUP(CONCATENATE(A607,$C$10,C607),'ID1&amp;5'!B:J,9,FALSE),"-")</f>
        <v>-</v>
      </c>
      <c r="Q607" s="78" t="str">
        <f>+IFERROR(VLOOKUP(D607,'ID1&amp;5'!K:L,2,FALSE),"-")</f>
        <v>-</v>
      </c>
      <c r="R607" s="26" t="str">
        <f>+IFERROR(VLOOKUP(CONCATENATE(A607,$D$10,D607),'ID1&amp;5'!B:J,9,FALSE),"-")</f>
        <v>-</v>
      </c>
      <c r="S607" s="78" t="str">
        <f>+IFERROR(VLOOKUP(E607,'ID1&amp;5'!K:L,2,FALSE),"-")</f>
        <v>-</v>
      </c>
      <c r="T607" s="79" t="str">
        <f>+IFERROR(VLOOKUP(CONCATENATE(A607,$E$10,E607),'ID1&amp;5'!B:J,9,FALSE),"-")</f>
        <v>-</v>
      </c>
      <c r="U607" s="78" t="str">
        <f>+IFERROR(VLOOKUP(F607,'ID1&amp;5'!K:L,2,FALSE),"-")</f>
        <v>-</v>
      </c>
      <c r="V607" s="79" t="str">
        <f>+IFERROR(VLOOKUP(CONCATENATE(A607,$F$10,F607),'ID1&amp;5'!B:J,9,FALSE),"-")</f>
        <v>-</v>
      </c>
      <c r="W607" s="26" t="str">
        <f>+IFERROR(VLOOKUP(A607,'ID6&amp;7'!A:I,9,FALSE),"-")</f>
        <v>-</v>
      </c>
      <c r="X607" s="26" t="str">
        <f>+IFERROR(VLOOKUP(A607,'ID6&amp;7'!A:J,10,FALSE),"-")</f>
        <v>-</v>
      </c>
      <c r="Y607" s="26"/>
      <c r="Z607" s="27" t="str">
        <f t="shared" si="10"/>
        <v>Por iniciar</v>
      </c>
      <c r="AA607" s="65"/>
    </row>
    <row r="608" spans="1:27">
      <c r="A608" s="20"/>
      <c r="B608" s="60"/>
      <c r="C608" s="60"/>
      <c r="D608" s="60"/>
      <c r="E608" s="60"/>
      <c r="F608" s="60"/>
      <c r="G608" s="60"/>
      <c r="H608" s="65" t="s">
        <v>119</v>
      </c>
      <c r="I608" s="21" t="s">
        <v>656</v>
      </c>
      <c r="J608" s="26">
        <f>+COUNTIF('ID1&amp;5'!G:G,'1. Status'!I608)</f>
        <v>0</v>
      </c>
      <c r="K608" s="79" t="str">
        <f>+IFERROR(VLOOKUP(CONCATENATE(A608,$B$10,B608),'ID1&amp;5'!B:J,8,FALSE),"-")</f>
        <v>-</v>
      </c>
      <c r="L608" s="78" t="str">
        <f>+IFERROR(VLOOKUP(B608,'ID1&amp;5'!K:L,2,FALSE),"-")</f>
        <v>-</v>
      </c>
      <c r="M608" s="79" t="str">
        <f>+IFERROR(VLOOKUP(CONCATENATE(A608,$B$10,B608),'ID1&amp;5'!B:J,9,FALSE),"-")</f>
        <v>-</v>
      </c>
      <c r="N608" s="79" t="str">
        <f>+IFERROR(VLOOKUP(CONCATENATE(A608,$C$10,C608),'ID1&amp;5'!B:J,8,FALSE),"-")</f>
        <v>-</v>
      </c>
      <c r="O608" s="78" t="str">
        <f>+IFERROR(VLOOKUP(C608,'ID1&amp;5'!K:L,2,FALSE),"-")</f>
        <v>-</v>
      </c>
      <c r="P608" s="79" t="str">
        <f>+IFERROR(VLOOKUP(CONCATENATE(A608,$C$10,C608),'ID1&amp;5'!B:J,9,FALSE),"-")</f>
        <v>-</v>
      </c>
      <c r="Q608" s="78" t="str">
        <f>+IFERROR(VLOOKUP(D608,'ID1&amp;5'!K:L,2,FALSE),"-")</f>
        <v>-</v>
      </c>
      <c r="R608" s="26" t="str">
        <f>+IFERROR(VLOOKUP(CONCATENATE(A608,$D$10,D608),'ID1&amp;5'!B:J,9,FALSE),"-")</f>
        <v>-</v>
      </c>
      <c r="S608" s="78" t="str">
        <f>+IFERROR(VLOOKUP(E608,'ID1&amp;5'!K:L,2,FALSE),"-")</f>
        <v>-</v>
      </c>
      <c r="T608" s="79" t="str">
        <f>+IFERROR(VLOOKUP(CONCATENATE(A608,$E$10,E608),'ID1&amp;5'!B:J,9,FALSE),"-")</f>
        <v>-</v>
      </c>
      <c r="U608" s="78" t="str">
        <f>+IFERROR(VLOOKUP(F608,'ID1&amp;5'!K:L,2,FALSE),"-")</f>
        <v>-</v>
      </c>
      <c r="V608" s="79" t="str">
        <f>+IFERROR(VLOOKUP(CONCATENATE(A608,$F$10,F608),'ID1&amp;5'!B:J,9,FALSE),"-")</f>
        <v>-</v>
      </c>
      <c r="W608" s="26" t="str">
        <f>+IFERROR(VLOOKUP(A608,'ID6&amp;7'!A:I,9,FALSE),"-")</f>
        <v>-</v>
      </c>
      <c r="X608" s="26" t="str">
        <f>+IFERROR(VLOOKUP(A608,'ID6&amp;7'!A:J,10,FALSE),"-")</f>
        <v>-</v>
      </c>
      <c r="Y608" s="26"/>
      <c r="Z608" s="27" t="str">
        <f t="shared" si="10"/>
        <v>Por iniciar</v>
      </c>
      <c r="AA608" s="65"/>
    </row>
    <row r="609" spans="1:27">
      <c r="A609" s="20"/>
      <c r="B609" s="60"/>
      <c r="C609" s="60"/>
      <c r="D609" s="60"/>
      <c r="E609" s="60"/>
      <c r="F609" s="60"/>
      <c r="G609" s="60"/>
      <c r="H609" s="65" t="s">
        <v>119</v>
      </c>
      <c r="I609" s="21" t="s">
        <v>1540</v>
      </c>
      <c r="J609" s="26">
        <f>+COUNTIF('ID1&amp;5'!G:G,'1. Status'!I609)</f>
        <v>0</v>
      </c>
      <c r="K609" s="79" t="str">
        <f>+IFERROR(VLOOKUP(CONCATENATE(A609,$B$10,B609),'ID1&amp;5'!B:J,8,FALSE),"-")</f>
        <v>-</v>
      </c>
      <c r="L609" s="78" t="str">
        <f>+IFERROR(VLOOKUP(B609,'ID1&amp;5'!K:L,2,FALSE),"-")</f>
        <v>-</v>
      </c>
      <c r="M609" s="79" t="str">
        <f>+IFERROR(VLOOKUP(CONCATENATE(A609,$B$10,B609),'ID1&amp;5'!B:J,9,FALSE),"-")</f>
        <v>-</v>
      </c>
      <c r="N609" s="79" t="str">
        <f>+IFERROR(VLOOKUP(CONCATENATE(A609,$C$10,C609),'ID1&amp;5'!B:J,8,FALSE),"-")</f>
        <v>-</v>
      </c>
      <c r="O609" s="78" t="str">
        <f>+IFERROR(VLOOKUP(C609,'ID1&amp;5'!K:L,2,FALSE),"-")</f>
        <v>-</v>
      </c>
      <c r="P609" s="79" t="str">
        <f>+IFERROR(VLOOKUP(CONCATENATE(A609,$C$10,C609),'ID1&amp;5'!B:J,9,FALSE),"-")</f>
        <v>-</v>
      </c>
      <c r="Q609" s="78" t="str">
        <f>+IFERROR(VLOOKUP(D609,'ID1&amp;5'!K:L,2,FALSE),"-")</f>
        <v>-</v>
      </c>
      <c r="R609" s="26" t="str">
        <f>+IFERROR(VLOOKUP(CONCATENATE(A609,$D$10,D609),'ID1&amp;5'!B:J,9,FALSE),"-")</f>
        <v>-</v>
      </c>
      <c r="S609" s="78" t="str">
        <f>+IFERROR(VLOOKUP(E609,'ID1&amp;5'!K:L,2,FALSE),"-")</f>
        <v>-</v>
      </c>
      <c r="T609" s="79" t="str">
        <f>+IFERROR(VLOOKUP(CONCATENATE(A609,$E$10,E609),'ID1&amp;5'!B:J,9,FALSE),"-")</f>
        <v>-</v>
      </c>
      <c r="U609" s="78" t="str">
        <f>+IFERROR(VLOOKUP(F609,'ID1&amp;5'!K:L,2,FALSE),"-")</f>
        <v>-</v>
      </c>
      <c r="V609" s="79" t="str">
        <f>+IFERROR(VLOOKUP(CONCATENATE(A609,$F$10,F609),'ID1&amp;5'!B:J,9,FALSE),"-")</f>
        <v>-</v>
      </c>
      <c r="W609" s="26" t="str">
        <f>+IFERROR(VLOOKUP(A609,'ID6&amp;7'!A:I,9,FALSE),"-")</f>
        <v>-</v>
      </c>
      <c r="X609" s="26" t="str">
        <f>+IFERROR(VLOOKUP(A609,'ID6&amp;7'!A:J,10,FALSE),"-")</f>
        <v>-</v>
      </c>
      <c r="Y609" s="26"/>
      <c r="Z609" s="27" t="str">
        <f t="shared" si="10"/>
        <v>Por iniciar</v>
      </c>
      <c r="AA609" s="65"/>
    </row>
    <row r="610" spans="1:27">
      <c r="A610" s="20"/>
      <c r="B610" s="60"/>
      <c r="C610" s="60"/>
      <c r="D610" s="60"/>
      <c r="E610" s="60"/>
      <c r="F610" s="60"/>
      <c r="G610" s="60"/>
      <c r="H610" s="65" t="s">
        <v>119</v>
      </c>
      <c r="I610" s="21" t="s">
        <v>621</v>
      </c>
      <c r="J610" s="26">
        <f>+COUNTIF('ID1&amp;5'!G:G,'1. Status'!I610)</f>
        <v>0</v>
      </c>
      <c r="K610" s="79" t="str">
        <f>+IFERROR(VLOOKUP(CONCATENATE(A610,$B$10,B610),'ID1&amp;5'!B:J,8,FALSE),"-")</f>
        <v>-</v>
      </c>
      <c r="L610" s="78" t="str">
        <f>+IFERROR(VLOOKUP(B610,'ID1&amp;5'!K:L,2,FALSE),"-")</f>
        <v>-</v>
      </c>
      <c r="M610" s="79" t="str">
        <f>+IFERROR(VLOOKUP(CONCATENATE(A610,$B$10,B610),'ID1&amp;5'!B:J,9,FALSE),"-")</f>
        <v>-</v>
      </c>
      <c r="N610" s="79" t="str">
        <f>+IFERROR(VLOOKUP(CONCATENATE(A610,$C$10,C610),'ID1&amp;5'!B:J,8,FALSE),"-")</f>
        <v>-</v>
      </c>
      <c r="O610" s="78" t="str">
        <f>+IFERROR(VLOOKUP(C610,'ID1&amp;5'!K:L,2,FALSE),"-")</f>
        <v>-</v>
      </c>
      <c r="P610" s="79" t="str">
        <f>+IFERROR(VLOOKUP(CONCATENATE(A610,$C$10,C610),'ID1&amp;5'!B:J,9,FALSE),"-")</f>
        <v>-</v>
      </c>
      <c r="Q610" s="78" t="str">
        <f>+IFERROR(VLOOKUP(D610,'ID1&amp;5'!K:L,2,FALSE),"-")</f>
        <v>-</v>
      </c>
      <c r="R610" s="26" t="str">
        <f>+IFERROR(VLOOKUP(CONCATENATE(A610,$D$10,D610),'ID1&amp;5'!B:J,9,FALSE),"-")</f>
        <v>-</v>
      </c>
      <c r="S610" s="78" t="str">
        <f>+IFERROR(VLOOKUP(E610,'ID1&amp;5'!K:L,2,FALSE),"-")</f>
        <v>-</v>
      </c>
      <c r="T610" s="79" t="str">
        <f>+IFERROR(VLOOKUP(CONCATENATE(A610,$E$10,E610),'ID1&amp;5'!B:J,9,FALSE),"-")</f>
        <v>-</v>
      </c>
      <c r="U610" s="78" t="str">
        <f>+IFERROR(VLOOKUP(F610,'ID1&amp;5'!K:L,2,FALSE),"-")</f>
        <v>-</v>
      </c>
      <c r="V610" s="79" t="str">
        <f>+IFERROR(VLOOKUP(CONCATENATE(A610,$F$10,F610),'ID1&amp;5'!B:J,9,FALSE),"-")</f>
        <v>-</v>
      </c>
      <c r="W610" s="26" t="str">
        <f>+IFERROR(VLOOKUP(A610,'ID6&amp;7'!A:I,9,FALSE),"-")</f>
        <v>-</v>
      </c>
      <c r="X610" s="26" t="str">
        <f>+IFERROR(VLOOKUP(A610,'ID6&amp;7'!A:J,10,FALSE),"-")</f>
        <v>-</v>
      </c>
      <c r="Y610" s="26"/>
      <c r="Z610" s="27" t="str">
        <f t="shared" si="10"/>
        <v>Por iniciar</v>
      </c>
      <c r="AA610" s="65"/>
    </row>
    <row r="611" spans="1:27">
      <c r="A611" s="20"/>
      <c r="B611" s="60"/>
      <c r="C611" s="60"/>
      <c r="D611" s="60"/>
      <c r="E611" s="60"/>
      <c r="F611" s="60"/>
      <c r="G611" s="60"/>
      <c r="H611" s="65" t="s">
        <v>119</v>
      </c>
      <c r="I611" s="21" t="s">
        <v>622</v>
      </c>
      <c r="J611" s="26">
        <f>+COUNTIF('ID1&amp;5'!G:G,'1. Status'!I611)</f>
        <v>0</v>
      </c>
      <c r="K611" s="79" t="str">
        <f>+IFERROR(VLOOKUP(CONCATENATE(A611,$B$10,B611),'ID1&amp;5'!B:J,8,FALSE),"-")</f>
        <v>-</v>
      </c>
      <c r="L611" s="78" t="str">
        <f>+IFERROR(VLOOKUP(B611,'ID1&amp;5'!K:L,2,FALSE),"-")</f>
        <v>-</v>
      </c>
      <c r="M611" s="79" t="str">
        <f>+IFERROR(VLOOKUP(CONCATENATE(A611,$B$10,B611),'ID1&amp;5'!B:J,9,FALSE),"-")</f>
        <v>-</v>
      </c>
      <c r="N611" s="79" t="str">
        <f>+IFERROR(VLOOKUP(CONCATENATE(A611,$C$10,C611),'ID1&amp;5'!B:J,8,FALSE),"-")</f>
        <v>-</v>
      </c>
      <c r="O611" s="78" t="str">
        <f>+IFERROR(VLOOKUP(C611,'ID1&amp;5'!K:L,2,FALSE),"-")</f>
        <v>-</v>
      </c>
      <c r="P611" s="79" t="str">
        <f>+IFERROR(VLOOKUP(CONCATENATE(A611,$C$10,C611),'ID1&amp;5'!B:J,9,FALSE),"-")</f>
        <v>-</v>
      </c>
      <c r="Q611" s="78" t="str">
        <f>+IFERROR(VLOOKUP(D611,'ID1&amp;5'!K:L,2,FALSE),"-")</f>
        <v>-</v>
      </c>
      <c r="R611" s="26" t="str">
        <f>+IFERROR(VLOOKUP(CONCATENATE(A611,$D$10,D611),'ID1&amp;5'!B:J,9,FALSE),"-")</f>
        <v>-</v>
      </c>
      <c r="S611" s="78" t="str">
        <f>+IFERROR(VLOOKUP(E611,'ID1&amp;5'!K:L,2,FALSE),"-")</f>
        <v>-</v>
      </c>
      <c r="T611" s="79" t="str">
        <f>+IFERROR(VLOOKUP(CONCATENATE(A611,$E$10,E611),'ID1&amp;5'!B:J,9,FALSE),"-")</f>
        <v>-</v>
      </c>
      <c r="U611" s="78" t="str">
        <f>+IFERROR(VLOOKUP(F611,'ID1&amp;5'!K:L,2,FALSE),"-")</f>
        <v>-</v>
      </c>
      <c r="V611" s="79" t="str">
        <f>+IFERROR(VLOOKUP(CONCATENATE(A611,$F$10,F611),'ID1&amp;5'!B:J,9,FALSE),"-")</f>
        <v>-</v>
      </c>
      <c r="W611" s="26" t="str">
        <f>+IFERROR(VLOOKUP(A611,'ID6&amp;7'!A:I,9,FALSE),"-")</f>
        <v>-</v>
      </c>
      <c r="X611" s="26" t="str">
        <f>+IFERROR(VLOOKUP(A611,'ID6&amp;7'!A:J,10,FALSE),"-")</f>
        <v>-</v>
      </c>
      <c r="Y611" s="26"/>
      <c r="Z611" s="27" t="str">
        <f t="shared" si="10"/>
        <v>Por iniciar</v>
      </c>
      <c r="AA611" s="65"/>
    </row>
    <row r="612" spans="1:27">
      <c r="A612" s="20"/>
      <c r="B612" s="60"/>
      <c r="C612" s="60"/>
      <c r="D612" s="60"/>
      <c r="E612" s="60"/>
      <c r="F612" s="60"/>
      <c r="G612" s="60"/>
      <c r="H612" s="65" t="s">
        <v>119</v>
      </c>
      <c r="I612" s="21" t="s">
        <v>623</v>
      </c>
      <c r="J612" s="26">
        <f>+COUNTIF('ID1&amp;5'!G:G,'1. Status'!I612)</f>
        <v>0</v>
      </c>
      <c r="K612" s="79" t="str">
        <f>+IFERROR(VLOOKUP(CONCATENATE(A612,$B$10,B612),'ID1&amp;5'!B:J,8,FALSE),"-")</f>
        <v>-</v>
      </c>
      <c r="L612" s="78" t="str">
        <f>+IFERROR(VLOOKUP(B612,'ID1&amp;5'!K:L,2,FALSE),"-")</f>
        <v>-</v>
      </c>
      <c r="M612" s="79" t="str">
        <f>+IFERROR(VLOOKUP(CONCATENATE(A612,$B$10,B612),'ID1&amp;5'!B:J,9,FALSE),"-")</f>
        <v>-</v>
      </c>
      <c r="N612" s="79" t="str">
        <f>+IFERROR(VLOOKUP(CONCATENATE(A612,$C$10,C612),'ID1&amp;5'!B:J,8,FALSE),"-")</f>
        <v>-</v>
      </c>
      <c r="O612" s="78" t="str">
        <f>+IFERROR(VLOOKUP(C612,'ID1&amp;5'!K:L,2,FALSE),"-")</f>
        <v>-</v>
      </c>
      <c r="P612" s="79" t="str">
        <f>+IFERROR(VLOOKUP(CONCATENATE(A612,$C$10,C612),'ID1&amp;5'!B:J,9,FALSE),"-")</f>
        <v>-</v>
      </c>
      <c r="Q612" s="78" t="str">
        <f>+IFERROR(VLOOKUP(D612,'ID1&amp;5'!K:L,2,FALSE),"-")</f>
        <v>-</v>
      </c>
      <c r="R612" s="26" t="str">
        <f>+IFERROR(VLOOKUP(CONCATENATE(A612,$D$10,D612),'ID1&amp;5'!B:J,9,FALSE),"-")</f>
        <v>-</v>
      </c>
      <c r="S612" s="78" t="str">
        <f>+IFERROR(VLOOKUP(E612,'ID1&amp;5'!K:L,2,FALSE),"-")</f>
        <v>-</v>
      </c>
      <c r="T612" s="79" t="str">
        <f>+IFERROR(VLOOKUP(CONCATENATE(A612,$E$10,E612),'ID1&amp;5'!B:J,9,FALSE),"-")</f>
        <v>-</v>
      </c>
      <c r="U612" s="78" t="str">
        <f>+IFERROR(VLOOKUP(F612,'ID1&amp;5'!K:L,2,FALSE),"-")</f>
        <v>-</v>
      </c>
      <c r="V612" s="79" t="str">
        <f>+IFERROR(VLOOKUP(CONCATENATE(A612,$F$10,F612),'ID1&amp;5'!B:J,9,FALSE),"-")</f>
        <v>-</v>
      </c>
      <c r="W612" s="26" t="str">
        <f>+IFERROR(VLOOKUP(A612,'ID6&amp;7'!A:I,9,FALSE),"-")</f>
        <v>-</v>
      </c>
      <c r="X612" s="26" t="str">
        <f>+IFERROR(VLOOKUP(A612,'ID6&amp;7'!A:J,10,FALSE),"-")</f>
        <v>-</v>
      </c>
      <c r="Y612" s="26"/>
      <c r="Z612" s="27" t="str">
        <f t="shared" si="10"/>
        <v>Por iniciar</v>
      </c>
      <c r="AA612" s="65"/>
    </row>
    <row r="613" spans="1:27">
      <c r="A613" s="20"/>
      <c r="B613" s="60"/>
      <c r="C613" s="60"/>
      <c r="D613" s="60"/>
      <c r="E613" s="60"/>
      <c r="F613" s="60"/>
      <c r="G613" s="60"/>
      <c r="H613" s="65" t="s">
        <v>119</v>
      </c>
      <c r="I613" s="21" t="s">
        <v>624</v>
      </c>
      <c r="J613" s="26">
        <f>+COUNTIF('ID1&amp;5'!G:G,'1. Status'!I613)</f>
        <v>0</v>
      </c>
      <c r="K613" s="79" t="str">
        <f>+IFERROR(VLOOKUP(CONCATENATE(A613,$B$10,B613),'ID1&amp;5'!B:J,8,FALSE),"-")</f>
        <v>-</v>
      </c>
      <c r="L613" s="78" t="str">
        <f>+IFERROR(VLOOKUP(B613,'ID1&amp;5'!K:L,2,FALSE),"-")</f>
        <v>-</v>
      </c>
      <c r="M613" s="79" t="str">
        <f>+IFERROR(VLOOKUP(CONCATENATE(A613,$B$10,B613),'ID1&amp;5'!B:J,9,FALSE),"-")</f>
        <v>-</v>
      </c>
      <c r="N613" s="79" t="str">
        <f>+IFERROR(VLOOKUP(CONCATENATE(A613,$C$10,C613),'ID1&amp;5'!B:J,8,FALSE),"-")</f>
        <v>-</v>
      </c>
      <c r="O613" s="78" t="str">
        <f>+IFERROR(VLOOKUP(C613,'ID1&amp;5'!K:L,2,FALSE),"-")</f>
        <v>-</v>
      </c>
      <c r="P613" s="79" t="str">
        <f>+IFERROR(VLOOKUP(CONCATENATE(A613,$C$10,C613),'ID1&amp;5'!B:J,9,FALSE),"-")</f>
        <v>-</v>
      </c>
      <c r="Q613" s="78" t="str">
        <f>+IFERROR(VLOOKUP(D613,'ID1&amp;5'!K:L,2,FALSE),"-")</f>
        <v>-</v>
      </c>
      <c r="R613" s="26" t="str">
        <f>+IFERROR(VLOOKUP(CONCATENATE(A613,$D$10,D613),'ID1&amp;5'!B:J,9,FALSE),"-")</f>
        <v>-</v>
      </c>
      <c r="S613" s="78" t="str">
        <f>+IFERROR(VLOOKUP(E613,'ID1&amp;5'!K:L,2,FALSE),"-")</f>
        <v>-</v>
      </c>
      <c r="T613" s="79" t="str">
        <f>+IFERROR(VLOOKUP(CONCATENATE(A613,$E$10,E613),'ID1&amp;5'!B:J,9,FALSE),"-")</f>
        <v>-</v>
      </c>
      <c r="U613" s="78" t="str">
        <f>+IFERROR(VLOOKUP(F613,'ID1&amp;5'!K:L,2,FALSE),"-")</f>
        <v>-</v>
      </c>
      <c r="V613" s="79" t="str">
        <f>+IFERROR(VLOOKUP(CONCATENATE(A613,$F$10,F613),'ID1&amp;5'!B:J,9,FALSE),"-")</f>
        <v>-</v>
      </c>
      <c r="W613" s="26" t="str">
        <f>+IFERROR(VLOOKUP(A613,'ID6&amp;7'!A:I,9,FALSE),"-")</f>
        <v>-</v>
      </c>
      <c r="X613" s="26" t="str">
        <f>+IFERROR(VLOOKUP(A613,'ID6&amp;7'!A:J,10,FALSE),"-")</f>
        <v>-</v>
      </c>
      <c r="Y613" s="26"/>
      <c r="Z613" s="27" t="str">
        <f t="shared" si="10"/>
        <v>Por iniciar</v>
      </c>
      <c r="AA613" s="65"/>
    </row>
    <row r="614" spans="1:27">
      <c r="A614" s="20"/>
      <c r="B614" s="60"/>
      <c r="C614" s="60"/>
      <c r="D614" s="60"/>
      <c r="E614" s="60"/>
      <c r="F614" s="60"/>
      <c r="G614" s="60"/>
      <c r="H614" s="65" t="s">
        <v>119</v>
      </c>
      <c r="I614" s="21" t="s">
        <v>625</v>
      </c>
      <c r="J614" s="26">
        <f>+COUNTIF('ID1&amp;5'!G:G,'1. Status'!I614)</f>
        <v>0</v>
      </c>
      <c r="K614" s="79" t="str">
        <f>+IFERROR(VLOOKUP(CONCATENATE(A614,$B$10,B614),'ID1&amp;5'!B:J,8,FALSE),"-")</f>
        <v>-</v>
      </c>
      <c r="L614" s="78" t="str">
        <f>+IFERROR(VLOOKUP(B614,'ID1&amp;5'!K:L,2,FALSE),"-")</f>
        <v>-</v>
      </c>
      <c r="M614" s="79" t="str">
        <f>+IFERROR(VLOOKUP(CONCATENATE(A614,$B$10,B614),'ID1&amp;5'!B:J,9,FALSE),"-")</f>
        <v>-</v>
      </c>
      <c r="N614" s="79" t="str">
        <f>+IFERROR(VLOOKUP(CONCATENATE(A614,$C$10,C614),'ID1&amp;5'!B:J,8,FALSE),"-")</f>
        <v>-</v>
      </c>
      <c r="O614" s="78" t="str">
        <f>+IFERROR(VLOOKUP(C614,'ID1&amp;5'!K:L,2,FALSE),"-")</f>
        <v>-</v>
      </c>
      <c r="P614" s="79" t="str">
        <f>+IFERROR(VLOOKUP(CONCATENATE(A614,$C$10,C614),'ID1&amp;5'!B:J,9,FALSE),"-")</f>
        <v>-</v>
      </c>
      <c r="Q614" s="78" t="str">
        <f>+IFERROR(VLOOKUP(D614,'ID1&amp;5'!K:L,2,FALSE),"-")</f>
        <v>-</v>
      </c>
      <c r="R614" s="26" t="str">
        <f>+IFERROR(VLOOKUP(CONCATENATE(A614,$D$10,D614),'ID1&amp;5'!B:J,9,FALSE),"-")</f>
        <v>-</v>
      </c>
      <c r="S614" s="78" t="str">
        <f>+IFERROR(VLOOKUP(E614,'ID1&amp;5'!K:L,2,FALSE),"-")</f>
        <v>-</v>
      </c>
      <c r="T614" s="79" t="str">
        <f>+IFERROR(VLOOKUP(CONCATENATE(A614,$E$10,E614),'ID1&amp;5'!B:J,9,FALSE),"-")</f>
        <v>-</v>
      </c>
      <c r="U614" s="78" t="str">
        <f>+IFERROR(VLOOKUP(F614,'ID1&amp;5'!K:L,2,FALSE),"-")</f>
        <v>-</v>
      </c>
      <c r="V614" s="79" t="str">
        <f>+IFERROR(VLOOKUP(CONCATENATE(A614,$F$10,F614),'ID1&amp;5'!B:J,9,FALSE),"-")</f>
        <v>-</v>
      </c>
      <c r="W614" s="26" t="str">
        <f>+IFERROR(VLOOKUP(A614,'ID6&amp;7'!A:I,9,FALSE),"-")</f>
        <v>-</v>
      </c>
      <c r="X614" s="26" t="str">
        <f>+IFERROR(VLOOKUP(A614,'ID6&amp;7'!A:J,10,FALSE),"-")</f>
        <v>-</v>
      </c>
      <c r="Y614" s="26"/>
      <c r="Z614" s="27" t="str">
        <f t="shared" si="10"/>
        <v>Por iniciar</v>
      </c>
      <c r="AA614" s="65"/>
    </row>
    <row r="615" spans="1:27">
      <c r="A615" s="20"/>
      <c r="B615" s="60"/>
      <c r="C615" s="60"/>
      <c r="D615" s="60"/>
      <c r="E615" s="60"/>
      <c r="F615" s="60"/>
      <c r="G615" s="60"/>
      <c r="H615" s="65" t="s">
        <v>119</v>
      </c>
      <c r="I615" s="21" t="s">
        <v>626</v>
      </c>
      <c r="J615" s="26">
        <f>+COUNTIF('ID1&amp;5'!G:G,'1. Status'!I615)</f>
        <v>0</v>
      </c>
      <c r="K615" s="79" t="str">
        <f>+IFERROR(VLOOKUP(CONCATENATE(A615,$B$10,B615),'ID1&amp;5'!B:J,8,FALSE),"-")</f>
        <v>-</v>
      </c>
      <c r="L615" s="78" t="str">
        <f>+IFERROR(VLOOKUP(B615,'ID1&amp;5'!K:L,2,FALSE),"-")</f>
        <v>-</v>
      </c>
      <c r="M615" s="79" t="str">
        <f>+IFERROR(VLOOKUP(CONCATENATE(A615,$B$10,B615),'ID1&amp;5'!B:J,9,FALSE),"-")</f>
        <v>-</v>
      </c>
      <c r="N615" s="79" t="str">
        <f>+IFERROR(VLOOKUP(CONCATENATE(A615,$C$10,C615),'ID1&amp;5'!B:J,8,FALSE),"-")</f>
        <v>-</v>
      </c>
      <c r="O615" s="78" t="str">
        <f>+IFERROR(VLOOKUP(C615,'ID1&amp;5'!K:L,2,FALSE),"-")</f>
        <v>-</v>
      </c>
      <c r="P615" s="79" t="str">
        <f>+IFERROR(VLOOKUP(CONCATENATE(A615,$C$10,C615),'ID1&amp;5'!B:J,9,FALSE),"-")</f>
        <v>-</v>
      </c>
      <c r="Q615" s="78" t="str">
        <f>+IFERROR(VLOOKUP(D615,'ID1&amp;5'!K:L,2,FALSE),"-")</f>
        <v>-</v>
      </c>
      <c r="R615" s="26" t="str">
        <f>+IFERROR(VLOOKUP(CONCATENATE(A615,$D$10,D615),'ID1&amp;5'!B:J,9,FALSE),"-")</f>
        <v>-</v>
      </c>
      <c r="S615" s="78" t="str">
        <f>+IFERROR(VLOOKUP(E615,'ID1&amp;5'!K:L,2,FALSE),"-")</f>
        <v>-</v>
      </c>
      <c r="T615" s="79" t="str">
        <f>+IFERROR(VLOOKUP(CONCATENATE(A615,$E$10,E615),'ID1&amp;5'!B:J,9,FALSE),"-")</f>
        <v>-</v>
      </c>
      <c r="U615" s="78" t="str">
        <f>+IFERROR(VLOOKUP(F615,'ID1&amp;5'!K:L,2,FALSE),"-")</f>
        <v>-</v>
      </c>
      <c r="V615" s="79" t="str">
        <f>+IFERROR(VLOOKUP(CONCATENATE(A615,$F$10,F615),'ID1&amp;5'!B:J,9,FALSE),"-")</f>
        <v>-</v>
      </c>
      <c r="W615" s="26" t="str">
        <f>+IFERROR(VLOOKUP(A615,'ID6&amp;7'!A:I,9,FALSE),"-")</f>
        <v>-</v>
      </c>
      <c r="X615" s="26" t="str">
        <f>+IFERROR(VLOOKUP(A615,'ID6&amp;7'!A:J,10,FALSE),"-")</f>
        <v>-</v>
      </c>
      <c r="Y615" s="26"/>
      <c r="Z615" s="27" t="str">
        <f t="shared" si="10"/>
        <v>Por iniciar</v>
      </c>
      <c r="AA615" s="65"/>
    </row>
    <row r="616" spans="1:27">
      <c r="A616" s="20"/>
      <c r="B616" s="60"/>
      <c r="C616" s="60"/>
      <c r="D616" s="60"/>
      <c r="E616" s="60"/>
      <c r="F616" s="60"/>
      <c r="G616" s="60"/>
      <c r="H616" s="65" t="s">
        <v>119</v>
      </c>
      <c r="I616" s="21" t="s">
        <v>627</v>
      </c>
      <c r="J616" s="26">
        <f>+COUNTIF('ID1&amp;5'!G:G,'1. Status'!I616)</f>
        <v>0</v>
      </c>
      <c r="K616" s="79" t="str">
        <f>+IFERROR(VLOOKUP(CONCATENATE(A616,$B$10,B616),'ID1&amp;5'!B:J,8,FALSE),"-")</f>
        <v>-</v>
      </c>
      <c r="L616" s="78" t="str">
        <f>+IFERROR(VLOOKUP(B616,'ID1&amp;5'!K:L,2,FALSE),"-")</f>
        <v>-</v>
      </c>
      <c r="M616" s="79" t="str">
        <f>+IFERROR(VLOOKUP(CONCATENATE(A616,$B$10,B616),'ID1&amp;5'!B:J,9,FALSE),"-")</f>
        <v>-</v>
      </c>
      <c r="N616" s="79" t="str">
        <f>+IFERROR(VLOOKUP(CONCATENATE(A616,$C$10,C616),'ID1&amp;5'!B:J,8,FALSE),"-")</f>
        <v>-</v>
      </c>
      <c r="O616" s="78" t="str">
        <f>+IFERROR(VLOOKUP(C616,'ID1&amp;5'!K:L,2,FALSE),"-")</f>
        <v>-</v>
      </c>
      <c r="P616" s="79" t="str">
        <f>+IFERROR(VLOOKUP(CONCATENATE(A616,$C$10,C616),'ID1&amp;5'!B:J,9,FALSE),"-")</f>
        <v>-</v>
      </c>
      <c r="Q616" s="78" t="str">
        <f>+IFERROR(VLOOKUP(D616,'ID1&amp;5'!K:L,2,FALSE),"-")</f>
        <v>-</v>
      </c>
      <c r="R616" s="26" t="str">
        <f>+IFERROR(VLOOKUP(CONCATENATE(A616,$D$10,D616),'ID1&amp;5'!B:J,9,FALSE),"-")</f>
        <v>-</v>
      </c>
      <c r="S616" s="78" t="str">
        <f>+IFERROR(VLOOKUP(E616,'ID1&amp;5'!K:L,2,FALSE),"-")</f>
        <v>-</v>
      </c>
      <c r="T616" s="79" t="str">
        <f>+IFERROR(VLOOKUP(CONCATENATE(A616,$E$10,E616),'ID1&amp;5'!B:J,9,FALSE),"-")</f>
        <v>-</v>
      </c>
      <c r="U616" s="78" t="str">
        <f>+IFERROR(VLOOKUP(F616,'ID1&amp;5'!K:L,2,FALSE),"-")</f>
        <v>-</v>
      </c>
      <c r="V616" s="79" t="str">
        <f>+IFERROR(VLOOKUP(CONCATENATE(A616,$F$10,F616),'ID1&amp;5'!B:J,9,FALSE),"-")</f>
        <v>-</v>
      </c>
      <c r="W616" s="26" t="str">
        <f>+IFERROR(VLOOKUP(A616,'ID6&amp;7'!A:I,9,FALSE),"-")</f>
        <v>-</v>
      </c>
      <c r="X616" s="26" t="str">
        <f>+IFERROR(VLOOKUP(A616,'ID6&amp;7'!A:J,10,FALSE),"-")</f>
        <v>-</v>
      </c>
      <c r="Y616" s="26"/>
      <c r="Z616" s="27" t="str">
        <f t="shared" si="10"/>
        <v>Por iniciar</v>
      </c>
      <c r="AA616" s="65"/>
    </row>
    <row r="617" spans="1:27">
      <c r="A617" s="20"/>
      <c r="B617" s="60"/>
      <c r="C617" s="60"/>
      <c r="D617" s="60"/>
      <c r="E617" s="60"/>
      <c r="F617" s="60"/>
      <c r="G617" s="60"/>
      <c r="H617" s="65" t="s">
        <v>119</v>
      </c>
      <c r="I617" s="21" t="s">
        <v>628</v>
      </c>
      <c r="J617" s="26">
        <f>+COUNTIF('ID1&amp;5'!G:G,'1. Status'!I617)</f>
        <v>0</v>
      </c>
      <c r="K617" s="79" t="str">
        <f>+IFERROR(VLOOKUP(CONCATENATE(A617,$B$10,B617),'ID1&amp;5'!B:J,8,FALSE),"-")</f>
        <v>-</v>
      </c>
      <c r="L617" s="78" t="str">
        <f>+IFERROR(VLOOKUP(B617,'ID1&amp;5'!K:L,2,FALSE),"-")</f>
        <v>-</v>
      </c>
      <c r="M617" s="79" t="str">
        <f>+IFERROR(VLOOKUP(CONCATENATE(A617,$B$10,B617),'ID1&amp;5'!B:J,9,FALSE),"-")</f>
        <v>-</v>
      </c>
      <c r="N617" s="79" t="str">
        <f>+IFERROR(VLOOKUP(CONCATENATE(A617,$C$10,C617),'ID1&amp;5'!B:J,8,FALSE),"-")</f>
        <v>-</v>
      </c>
      <c r="O617" s="78" t="str">
        <f>+IFERROR(VLOOKUP(C617,'ID1&amp;5'!K:L,2,FALSE),"-")</f>
        <v>-</v>
      </c>
      <c r="P617" s="79" t="str">
        <f>+IFERROR(VLOOKUP(CONCATENATE(A617,$C$10,C617),'ID1&amp;5'!B:J,9,FALSE),"-")</f>
        <v>-</v>
      </c>
      <c r="Q617" s="78" t="str">
        <f>+IFERROR(VLOOKUP(D617,'ID1&amp;5'!K:L,2,FALSE),"-")</f>
        <v>-</v>
      </c>
      <c r="R617" s="26" t="str">
        <f>+IFERROR(VLOOKUP(CONCATENATE(A617,$D$10,D617),'ID1&amp;5'!B:J,9,FALSE),"-")</f>
        <v>-</v>
      </c>
      <c r="S617" s="78" t="str">
        <f>+IFERROR(VLOOKUP(E617,'ID1&amp;5'!K:L,2,FALSE),"-")</f>
        <v>-</v>
      </c>
      <c r="T617" s="79" t="str">
        <f>+IFERROR(VLOOKUP(CONCATENATE(A617,$E$10,E617),'ID1&amp;5'!B:J,9,FALSE),"-")</f>
        <v>-</v>
      </c>
      <c r="U617" s="78" t="str">
        <f>+IFERROR(VLOOKUP(F617,'ID1&amp;5'!K:L,2,FALSE),"-")</f>
        <v>-</v>
      </c>
      <c r="V617" s="79" t="str">
        <f>+IFERROR(VLOOKUP(CONCATENATE(A617,$F$10,F617),'ID1&amp;5'!B:J,9,FALSE),"-")</f>
        <v>-</v>
      </c>
      <c r="W617" s="26" t="str">
        <f>+IFERROR(VLOOKUP(A617,'ID6&amp;7'!A:I,9,FALSE),"-")</f>
        <v>-</v>
      </c>
      <c r="X617" s="26" t="str">
        <f>+IFERROR(VLOOKUP(A617,'ID6&amp;7'!A:J,10,FALSE),"-")</f>
        <v>-</v>
      </c>
      <c r="Y617" s="26"/>
      <c r="Z617" s="27" t="str">
        <f t="shared" si="10"/>
        <v>Por iniciar</v>
      </c>
      <c r="AA617" s="65"/>
    </row>
    <row r="618" spans="1:27">
      <c r="A618" s="20"/>
      <c r="B618" s="60"/>
      <c r="C618" s="60"/>
      <c r="D618" s="60"/>
      <c r="E618" s="60"/>
      <c r="F618" s="60"/>
      <c r="G618" s="60"/>
      <c r="H618" s="65" t="s">
        <v>119</v>
      </c>
      <c r="I618" s="21" t="s">
        <v>629</v>
      </c>
      <c r="J618" s="26">
        <f>+COUNTIF('ID1&amp;5'!G:G,'1. Status'!I618)</f>
        <v>0</v>
      </c>
      <c r="K618" s="79" t="str">
        <f>+IFERROR(VLOOKUP(CONCATENATE(A618,$B$10,B618),'ID1&amp;5'!B:J,8,FALSE),"-")</f>
        <v>-</v>
      </c>
      <c r="L618" s="78" t="str">
        <f>+IFERROR(VLOOKUP(B618,'ID1&amp;5'!K:L,2,FALSE),"-")</f>
        <v>-</v>
      </c>
      <c r="M618" s="79" t="str">
        <f>+IFERROR(VLOOKUP(CONCATENATE(A618,$B$10,B618),'ID1&amp;5'!B:J,9,FALSE),"-")</f>
        <v>-</v>
      </c>
      <c r="N618" s="79" t="str">
        <f>+IFERROR(VLOOKUP(CONCATENATE(A618,$C$10,C618),'ID1&amp;5'!B:J,8,FALSE),"-")</f>
        <v>-</v>
      </c>
      <c r="O618" s="78" t="str">
        <f>+IFERROR(VLOOKUP(C618,'ID1&amp;5'!K:L,2,FALSE),"-")</f>
        <v>-</v>
      </c>
      <c r="P618" s="79" t="str">
        <f>+IFERROR(VLOOKUP(CONCATENATE(A618,$C$10,C618),'ID1&amp;5'!B:J,9,FALSE),"-")</f>
        <v>-</v>
      </c>
      <c r="Q618" s="78" t="str">
        <f>+IFERROR(VLOOKUP(D618,'ID1&amp;5'!K:L,2,FALSE),"-")</f>
        <v>-</v>
      </c>
      <c r="R618" s="26" t="str">
        <f>+IFERROR(VLOOKUP(CONCATENATE(A618,$D$10,D618),'ID1&amp;5'!B:J,9,FALSE),"-")</f>
        <v>-</v>
      </c>
      <c r="S618" s="78" t="str">
        <f>+IFERROR(VLOOKUP(E618,'ID1&amp;5'!K:L,2,FALSE),"-")</f>
        <v>-</v>
      </c>
      <c r="T618" s="79" t="str">
        <f>+IFERROR(VLOOKUP(CONCATENATE(A618,$E$10,E618),'ID1&amp;5'!B:J,9,FALSE),"-")</f>
        <v>-</v>
      </c>
      <c r="U618" s="78" t="str">
        <f>+IFERROR(VLOOKUP(F618,'ID1&amp;5'!K:L,2,FALSE),"-")</f>
        <v>-</v>
      </c>
      <c r="V618" s="79" t="str">
        <f>+IFERROR(VLOOKUP(CONCATENATE(A618,$F$10,F618),'ID1&amp;5'!B:J,9,FALSE),"-")</f>
        <v>-</v>
      </c>
      <c r="W618" s="26" t="str">
        <f>+IFERROR(VLOOKUP(A618,'ID6&amp;7'!A:I,9,FALSE),"-")</f>
        <v>-</v>
      </c>
      <c r="X618" s="26" t="str">
        <f>+IFERROR(VLOOKUP(A618,'ID6&amp;7'!A:J,10,FALSE),"-")</f>
        <v>-</v>
      </c>
      <c r="Y618" s="26"/>
      <c r="Z618" s="27" t="str">
        <f t="shared" si="10"/>
        <v>Por iniciar</v>
      </c>
      <c r="AA618" s="65"/>
    </row>
    <row r="619" spans="1:27">
      <c r="A619" s="20"/>
      <c r="B619" s="60"/>
      <c r="C619" s="60"/>
      <c r="D619" s="60"/>
      <c r="E619" s="60"/>
      <c r="F619" s="60"/>
      <c r="G619" s="60"/>
      <c r="H619" s="65" t="s">
        <v>119</v>
      </c>
      <c r="I619" s="21" t="s">
        <v>630</v>
      </c>
      <c r="J619" s="26">
        <f>+COUNTIF('ID1&amp;5'!G:G,'1. Status'!I619)</f>
        <v>0</v>
      </c>
      <c r="K619" s="79" t="str">
        <f>+IFERROR(VLOOKUP(CONCATENATE(A619,$B$10,B619),'ID1&amp;5'!B:J,8,FALSE),"-")</f>
        <v>-</v>
      </c>
      <c r="L619" s="78" t="str">
        <f>+IFERROR(VLOOKUP(B619,'ID1&amp;5'!K:L,2,FALSE),"-")</f>
        <v>-</v>
      </c>
      <c r="M619" s="79" t="str">
        <f>+IFERROR(VLOOKUP(CONCATENATE(A619,$B$10,B619),'ID1&amp;5'!B:J,9,FALSE),"-")</f>
        <v>-</v>
      </c>
      <c r="N619" s="79" t="str">
        <f>+IFERROR(VLOOKUP(CONCATENATE(A619,$C$10,C619),'ID1&amp;5'!B:J,8,FALSE),"-")</f>
        <v>-</v>
      </c>
      <c r="O619" s="78" t="str">
        <f>+IFERROR(VLOOKUP(C619,'ID1&amp;5'!K:L,2,FALSE),"-")</f>
        <v>-</v>
      </c>
      <c r="P619" s="79" t="str">
        <f>+IFERROR(VLOOKUP(CONCATENATE(A619,$C$10,C619),'ID1&amp;5'!B:J,9,FALSE),"-")</f>
        <v>-</v>
      </c>
      <c r="Q619" s="78" t="str">
        <f>+IFERROR(VLOOKUP(D619,'ID1&amp;5'!K:L,2,FALSE),"-")</f>
        <v>-</v>
      </c>
      <c r="R619" s="26" t="str">
        <f>+IFERROR(VLOOKUP(CONCATENATE(A619,$D$10,D619),'ID1&amp;5'!B:J,9,FALSE),"-")</f>
        <v>-</v>
      </c>
      <c r="S619" s="78" t="str">
        <f>+IFERROR(VLOOKUP(E619,'ID1&amp;5'!K:L,2,FALSE),"-")</f>
        <v>-</v>
      </c>
      <c r="T619" s="79" t="str">
        <f>+IFERROR(VLOOKUP(CONCATENATE(A619,$E$10,E619),'ID1&amp;5'!B:J,9,FALSE),"-")</f>
        <v>-</v>
      </c>
      <c r="U619" s="78" t="str">
        <f>+IFERROR(VLOOKUP(F619,'ID1&amp;5'!K:L,2,FALSE),"-")</f>
        <v>-</v>
      </c>
      <c r="V619" s="79" t="str">
        <f>+IFERROR(VLOOKUP(CONCATENATE(A619,$F$10,F619),'ID1&amp;5'!B:J,9,FALSE),"-")</f>
        <v>-</v>
      </c>
      <c r="W619" s="26" t="str">
        <f>+IFERROR(VLOOKUP(A619,'ID6&amp;7'!A:I,9,FALSE),"-")</f>
        <v>-</v>
      </c>
      <c r="X619" s="26" t="str">
        <f>+IFERROR(VLOOKUP(A619,'ID6&amp;7'!A:J,10,FALSE),"-")</f>
        <v>-</v>
      </c>
      <c r="Y619" s="26"/>
      <c r="Z619" s="27" t="str">
        <f t="shared" si="10"/>
        <v>Por iniciar</v>
      </c>
      <c r="AA619" s="65"/>
    </row>
    <row r="620" spans="1:27">
      <c r="A620" s="20"/>
      <c r="B620" s="60"/>
      <c r="C620" s="60"/>
      <c r="D620" s="60"/>
      <c r="E620" s="60"/>
      <c r="F620" s="60"/>
      <c r="G620" s="60"/>
      <c r="H620" s="65" t="s">
        <v>119</v>
      </c>
      <c r="I620" s="21" t="s">
        <v>610</v>
      </c>
      <c r="J620" s="26">
        <f>+COUNTIF('ID1&amp;5'!G:G,'1. Status'!I620)</f>
        <v>0</v>
      </c>
      <c r="K620" s="79" t="str">
        <f>+IFERROR(VLOOKUP(CONCATENATE(A620,$B$10,B620),'ID1&amp;5'!B:J,8,FALSE),"-")</f>
        <v>-</v>
      </c>
      <c r="L620" s="78" t="str">
        <f>+IFERROR(VLOOKUP(B620,'ID1&amp;5'!K:L,2,FALSE),"-")</f>
        <v>-</v>
      </c>
      <c r="M620" s="79" t="str">
        <f>+IFERROR(VLOOKUP(CONCATENATE(A620,$B$10,B620),'ID1&amp;5'!B:J,9,FALSE),"-")</f>
        <v>-</v>
      </c>
      <c r="N620" s="79" t="str">
        <f>+IFERROR(VLOOKUP(CONCATENATE(A620,$C$10,C620),'ID1&amp;5'!B:J,8,FALSE),"-")</f>
        <v>-</v>
      </c>
      <c r="O620" s="78" t="str">
        <f>+IFERROR(VLOOKUP(C620,'ID1&amp;5'!K:L,2,FALSE),"-")</f>
        <v>-</v>
      </c>
      <c r="P620" s="79" t="str">
        <f>+IFERROR(VLOOKUP(CONCATENATE(A620,$C$10,C620),'ID1&amp;5'!B:J,9,FALSE),"-")</f>
        <v>-</v>
      </c>
      <c r="Q620" s="78" t="str">
        <f>+IFERROR(VLOOKUP(D620,'ID1&amp;5'!K:L,2,FALSE),"-")</f>
        <v>-</v>
      </c>
      <c r="R620" s="26" t="str">
        <f>+IFERROR(VLOOKUP(CONCATENATE(A620,$D$10,D620),'ID1&amp;5'!B:J,9,FALSE),"-")</f>
        <v>-</v>
      </c>
      <c r="S620" s="78" t="str">
        <f>+IFERROR(VLOOKUP(E620,'ID1&amp;5'!K:L,2,FALSE),"-")</f>
        <v>-</v>
      </c>
      <c r="T620" s="79" t="str">
        <f>+IFERROR(VLOOKUP(CONCATENATE(A620,$E$10,E620),'ID1&amp;5'!B:J,9,FALSE),"-")</f>
        <v>-</v>
      </c>
      <c r="U620" s="78" t="str">
        <f>+IFERROR(VLOOKUP(F620,'ID1&amp;5'!K:L,2,FALSE),"-")</f>
        <v>-</v>
      </c>
      <c r="V620" s="79" t="str">
        <f>+IFERROR(VLOOKUP(CONCATENATE(A620,$F$10,F620),'ID1&amp;5'!B:J,9,FALSE),"-")</f>
        <v>-</v>
      </c>
      <c r="W620" s="26" t="str">
        <f>+IFERROR(VLOOKUP(A620,'ID6&amp;7'!A:I,9,FALSE),"-")</f>
        <v>-</v>
      </c>
      <c r="X620" s="26" t="str">
        <f>+IFERROR(VLOOKUP(A620,'ID6&amp;7'!A:J,10,FALSE),"-")</f>
        <v>-</v>
      </c>
      <c r="Y620" s="26"/>
      <c r="Z620" s="27" t="str">
        <f t="shared" si="10"/>
        <v>Por iniciar</v>
      </c>
      <c r="AA620" s="65"/>
    </row>
    <row r="621" spans="1:27">
      <c r="A621" s="20"/>
      <c r="B621" s="60"/>
      <c r="C621" s="60"/>
      <c r="D621" s="60"/>
      <c r="E621" s="60"/>
      <c r="F621" s="60"/>
      <c r="G621" s="60"/>
      <c r="H621" s="65" t="s">
        <v>119</v>
      </c>
      <c r="I621" s="21" t="s">
        <v>611</v>
      </c>
      <c r="J621" s="26">
        <f>+COUNTIF('ID1&amp;5'!G:G,'1. Status'!I621)</f>
        <v>0</v>
      </c>
      <c r="K621" s="79" t="str">
        <f>+IFERROR(VLOOKUP(CONCATENATE(A621,$B$10,B621),'ID1&amp;5'!B:J,8,FALSE),"-")</f>
        <v>-</v>
      </c>
      <c r="L621" s="78" t="str">
        <f>+IFERROR(VLOOKUP(B621,'ID1&amp;5'!K:L,2,FALSE),"-")</f>
        <v>-</v>
      </c>
      <c r="M621" s="79" t="str">
        <f>+IFERROR(VLOOKUP(CONCATENATE(A621,$B$10,B621),'ID1&amp;5'!B:J,9,FALSE),"-")</f>
        <v>-</v>
      </c>
      <c r="N621" s="79" t="str">
        <f>+IFERROR(VLOOKUP(CONCATENATE(A621,$C$10,C621),'ID1&amp;5'!B:J,8,FALSE),"-")</f>
        <v>-</v>
      </c>
      <c r="O621" s="78" t="str">
        <f>+IFERROR(VLOOKUP(C621,'ID1&amp;5'!K:L,2,FALSE),"-")</f>
        <v>-</v>
      </c>
      <c r="P621" s="79" t="str">
        <f>+IFERROR(VLOOKUP(CONCATENATE(A621,$C$10,C621),'ID1&amp;5'!B:J,9,FALSE),"-")</f>
        <v>-</v>
      </c>
      <c r="Q621" s="78" t="str">
        <f>+IFERROR(VLOOKUP(D621,'ID1&amp;5'!K:L,2,FALSE),"-")</f>
        <v>-</v>
      </c>
      <c r="R621" s="26" t="str">
        <f>+IFERROR(VLOOKUP(CONCATENATE(A621,$D$10,D621),'ID1&amp;5'!B:J,9,FALSE),"-")</f>
        <v>-</v>
      </c>
      <c r="S621" s="78" t="str">
        <f>+IFERROR(VLOOKUP(E621,'ID1&amp;5'!K:L,2,FALSE),"-")</f>
        <v>-</v>
      </c>
      <c r="T621" s="79" t="str">
        <f>+IFERROR(VLOOKUP(CONCATENATE(A621,$E$10,E621),'ID1&amp;5'!B:J,9,FALSE),"-")</f>
        <v>-</v>
      </c>
      <c r="U621" s="78" t="str">
        <f>+IFERROR(VLOOKUP(F621,'ID1&amp;5'!K:L,2,FALSE),"-")</f>
        <v>-</v>
      </c>
      <c r="V621" s="79" t="str">
        <f>+IFERROR(VLOOKUP(CONCATENATE(A621,$F$10,F621),'ID1&amp;5'!B:J,9,FALSE),"-")</f>
        <v>-</v>
      </c>
      <c r="W621" s="26" t="str">
        <f>+IFERROR(VLOOKUP(A621,'ID6&amp;7'!A:I,9,FALSE),"-")</f>
        <v>-</v>
      </c>
      <c r="X621" s="26" t="str">
        <f>+IFERROR(VLOOKUP(A621,'ID6&amp;7'!A:J,10,FALSE),"-")</f>
        <v>-</v>
      </c>
      <c r="Y621" s="26"/>
      <c r="Z621" s="27" t="str">
        <f t="shared" si="10"/>
        <v>Por iniciar</v>
      </c>
      <c r="AA621" s="65"/>
    </row>
    <row r="622" spans="1:27">
      <c r="A622" s="20"/>
      <c r="B622" s="60"/>
      <c r="C622" s="60"/>
      <c r="D622" s="60"/>
      <c r="E622" s="60"/>
      <c r="F622" s="60"/>
      <c r="G622" s="60"/>
      <c r="H622" s="65" t="s">
        <v>119</v>
      </c>
      <c r="I622" s="21" t="s">
        <v>675</v>
      </c>
      <c r="J622" s="26">
        <f>+COUNTIF('ID1&amp;5'!G:G,'1. Status'!I622)</f>
        <v>0</v>
      </c>
      <c r="K622" s="79" t="str">
        <f>+IFERROR(VLOOKUP(CONCATENATE(A622,$B$10,B622),'ID1&amp;5'!B:J,8,FALSE),"-")</f>
        <v>-</v>
      </c>
      <c r="L622" s="78" t="str">
        <f>+IFERROR(VLOOKUP(B622,'ID1&amp;5'!K:L,2,FALSE),"-")</f>
        <v>-</v>
      </c>
      <c r="M622" s="79" t="str">
        <f>+IFERROR(VLOOKUP(CONCATENATE(A622,$B$10,B622),'ID1&amp;5'!B:J,9,FALSE),"-")</f>
        <v>-</v>
      </c>
      <c r="N622" s="79" t="str">
        <f>+IFERROR(VLOOKUP(CONCATENATE(A622,$C$10,C622),'ID1&amp;5'!B:J,8,FALSE),"-")</f>
        <v>-</v>
      </c>
      <c r="O622" s="78" t="str">
        <f>+IFERROR(VLOOKUP(C622,'ID1&amp;5'!K:L,2,FALSE),"-")</f>
        <v>-</v>
      </c>
      <c r="P622" s="79" t="str">
        <f>+IFERROR(VLOOKUP(CONCATENATE(A622,$C$10,C622),'ID1&amp;5'!B:J,9,FALSE),"-")</f>
        <v>-</v>
      </c>
      <c r="Q622" s="78" t="str">
        <f>+IFERROR(VLOOKUP(D622,'ID1&amp;5'!K:L,2,FALSE),"-")</f>
        <v>-</v>
      </c>
      <c r="R622" s="26" t="str">
        <f>+IFERROR(VLOOKUP(CONCATENATE(A622,$D$10,D622),'ID1&amp;5'!B:J,9,FALSE),"-")</f>
        <v>-</v>
      </c>
      <c r="S622" s="78" t="str">
        <f>+IFERROR(VLOOKUP(E622,'ID1&amp;5'!K:L,2,FALSE),"-")</f>
        <v>-</v>
      </c>
      <c r="T622" s="79" t="str">
        <f>+IFERROR(VLOOKUP(CONCATENATE(A622,$E$10,E622),'ID1&amp;5'!B:J,9,FALSE),"-")</f>
        <v>-</v>
      </c>
      <c r="U622" s="78" t="str">
        <f>+IFERROR(VLOOKUP(F622,'ID1&amp;5'!K:L,2,FALSE),"-")</f>
        <v>-</v>
      </c>
      <c r="V622" s="79" t="str">
        <f>+IFERROR(VLOOKUP(CONCATENATE(A622,$F$10,F622),'ID1&amp;5'!B:J,9,FALSE),"-")</f>
        <v>-</v>
      </c>
      <c r="W622" s="26" t="str">
        <f>+IFERROR(VLOOKUP(A622,'ID6&amp;7'!A:I,9,FALSE),"-")</f>
        <v>-</v>
      </c>
      <c r="X622" s="26" t="str">
        <f>+IFERROR(VLOOKUP(A622,'ID6&amp;7'!A:J,10,FALSE),"-")</f>
        <v>-</v>
      </c>
      <c r="Y622" s="26"/>
      <c r="Z622" s="27" t="str">
        <f t="shared" si="10"/>
        <v>Por iniciar</v>
      </c>
      <c r="AA622" s="65"/>
    </row>
    <row r="623" spans="1:27">
      <c r="A623" s="20"/>
      <c r="B623" s="60"/>
      <c r="C623" s="60"/>
      <c r="D623" s="60"/>
      <c r="E623" s="60"/>
      <c r="F623" s="60"/>
      <c r="G623" s="60"/>
      <c r="H623" s="65" t="s">
        <v>119</v>
      </c>
      <c r="I623" s="21" t="s">
        <v>676</v>
      </c>
      <c r="J623" s="26">
        <f>+COUNTIF('ID1&amp;5'!G:G,'1. Status'!I623)</f>
        <v>0</v>
      </c>
      <c r="K623" s="79" t="str">
        <f>+IFERROR(VLOOKUP(CONCATENATE(A623,$B$10,B623),'ID1&amp;5'!B:J,8,FALSE),"-")</f>
        <v>-</v>
      </c>
      <c r="L623" s="78" t="str">
        <f>+IFERROR(VLOOKUP(B623,'ID1&amp;5'!K:L,2,FALSE),"-")</f>
        <v>-</v>
      </c>
      <c r="M623" s="79" t="str">
        <f>+IFERROR(VLOOKUP(CONCATENATE(A623,$B$10,B623),'ID1&amp;5'!B:J,9,FALSE),"-")</f>
        <v>-</v>
      </c>
      <c r="N623" s="79" t="str">
        <f>+IFERROR(VLOOKUP(CONCATENATE(A623,$C$10,C623),'ID1&amp;5'!B:J,8,FALSE),"-")</f>
        <v>-</v>
      </c>
      <c r="O623" s="78" t="str">
        <f>+IFERROR(VLOOKUP(C623,'ID1&amp;5'!K:L,2,FALSE),"-")</f>
        <v>-</v>
      </c>
      <c r="P623" s="79" t="str">
        <f>+IFERROR(VLOOKUP(CONCATENATE(A623,$C$10,C623),'ID1&amp;5'!B:J,9,FALSE),"-")</f>
        <v>-</v>
      </c>
      <c r="Q623" s="78" t="str">
        <f>+IFERROR(VLOOKUP(D623,'ID1&amp;5'!K:L,2,FALSE),"-")</f>
        <v>-</v>
      </c>
      <c r="R623" s="26" t="str">
        <f>+IFERROR(VLOOKUP(CONCATENATE(A623,$D$10,D623),'ID1&amp;5'!B:J,9,FALSE),"-")</f>
        <v>-</v>
      </c>
      <c r="S623" s="78" t="str">
        <f>+IFERROR(VLOOKUP(E623,'ID1&amp;5'!K:L,2,FALSE),"-")</f>
        <v>-</v>
      </c>
      <c r="T623" s="79" t="str">
        <f>+IFERROR(VLOOKUP(CONCATENATE(A623,$E$10,E623),'ID1&amp;5'!B:J,9,FALSE),"-")</f>
        <v>-</v>
      </c>
      <c r="U623" s="78" t="str">
        <f>+IFERROR(VLOOKUP(F623,'ID1&amp;5'!K:L,2,FALSE),"-")</f>
        <v>-</v>
      </c>
      <c r="V623" s="79" t="str">
        <f>+IFERROR(VLOOKUP(CONCATENATE(A623,$F$10,F623),'ID1&amp;5'!B:J,9,FALSE),"-")</f>
        <v>-</v>
      </c>
      <c r="W623" s="26" t="str">
        <f>+IFERROR(VLOOKUP(A623,'ID6&amp;7'!A:I,9,FALSE),"-")</f>
        <v>-</v>
      </c>
      <c r="X623" s="26" t="str">
        <f>+IFERROR(VLOOKUP(A623,'ID6&amp;7'!A:J,10,FALSE),"-")</f>
        <v>-</v>
      </c>
      <c r="Y623" s="26"/>
      <c r="Z623" s="27" t="str">
        <f t="shared" si="10"/>
        <v>Por iniciar</v>
      </c>
      <c r="AA623" s="65"/>
    </row>
    <row r="624" spans="1:27">
      <c r="A624" s="20"/>
      <c r="B624" s="60"/>
      <c r="C624" s="60"/>
      <c r="D624" s="60"/>
      <c r="E624" s="60"/>
      <c r="F624" s="60"/>
      <c r="G624" s="60"/>
      <c r="H624" s="65" t="s">
        <v>119</v>
      </c>
      <c r="I624" s="21" t="s">
        <v>677</v>
      </c>
      <c r="J624" s="26">
        <f>+COUNTIF('ID1&amp;5'!G:G,'1. Status'!I624)</f>
        <v>0</v>
      </c>
      <c r="K624" s="79" t="str">
        <f>+IFERROR(VLOOKUP(CONCATENATE(A624,$B$10,B624),'ID1&amp;5'!B:J,8,FALSE),"-")</f>
        <v>-</v>
      </c>
      <c r="L624" s="78" t="str">
        <f>+IFERROR(VLOOKUP(B624,'ID1&amp;5'!K:L,2,FALSE),"-")</f>
        <v>-</v>
      </c>
      <c r="M624" s="79" t="str">
        <f>+IFERROR(VLOOKUP(CONCATENATE(A624,$B$10,B624),'ID1&amp;5'!B:J,9,FALSE),"-")</f>
        <v>-</v>
      </c>
      <c r="N624" s="79" t="str">
        <f>+IFERROR(VLOOKUP(CONCATENATE(A624,$C$10,C624),'ID1&amp;5'!B:J,8,FALSE),"-")</f>
        <v>-</v>
      </c>
      <c r="O624" s="78" t="str">
        <f>+IFERROR(VLOOKUP(C624,'ID1&amp;5'!K:L,2,FALSE),"-")</f>
        <v>-</v>
      </c>
      <c r="P624" s="79" t="str">
        <f>+IFERROR(VLOOKUP(CONCATENATE(A624,$C$10,C624),'ID1&amp;5'!B:J,9,FALSE),"-")</f>
        <v>-</v>
      </c>
      <c r="Q624" s="78" t="str">
        <f>+IFERROR(VLOOKUP(D624,'ID1&amp;5'!K:L,2,FALSE),"-")</f>
        <v>-</v>
      </c>
      <c r="R624" s="26" t="str">
        <f>+IFERROR(VLOOKUP(CONCATENATE(A624,$D$10,D624),'ID1&amp;5'!B:J,9,FALSE),"-")</f>
        <v>-</v>
      </c>
      <c r="S624" s="78" t="str">
        <f>+IFERROR(VLOOKUP(E624,'ID1&amp;5'!K:L,2,FALSE),"-")</f>
        <v>-</v>
      </c>
      <c r="T624" s="79" t="str">
        <f>+IFERROR(VLOOKUP(CONCATENATE(A624,$E$10,E624),'ID1&amp;5'!B:J,9,FALSE),"-")</f>
        <v>-</v>
      </c>
      <c r="U624" s="78" t="str">
        <f>+IFERROR(VLOOKUP(F624,'ID1&amp;5'!K:L,2,FALSE),"-")</f>
        <v>-</v>
      </c>
      <c r="V624" s="79" t="str">
        <f>+IFERROR(VLOOKUP(CONCATENATE(A624,$F$10,F624),'ID1&amp;5'!B:J,9,FALSE),"-")</f>
        <v>-</v>
      </c>
      <c r="W624" s="26" t="str">
        <f>+IFERROR(VLOOKUP(A624,'ID6&amp;7'!A:I,9,FALSE),"-")</f>
        <v>-</v>
      </c>
      <c r="X624" s="26" t="str">
        <f>+IFERROR(VLOOKUP(A624,'ID6&amp;7'!A:J,10,FALSE),"-")</f>
        <v>-</v>
      </c>
      <c r="Y624" s="26"/>
      <c r="Z624" s="27" t="str">
        <f t="shared" si="10"/>
        <v>Por iniciar</v>
      </c>
      <c r="AA624" s="65"/>
    </row>
    <row r="625" spans="1:27">
      <c r="A625" s="20"/>
      <c r="B625" s="60"/>
      <c r="C625" s="60"/>
      <c r="D625" s="60"/>
      <c r="E625" s="60"/>
      <c r="F625" s="60"/>
      <c r="G625" s="60"/>
      <c r="H625" s="65" t="s">
        <v>119</v>
      </c>
      <c r="I625" s="21" t="s">
        <v>678</v>
      </c>
      <c r="J625" s="26">
        <f>+COUNTIF('ID1&amp;5'!G:G,'1. Status'!I625)</f>
        <v>0</v>
      </c>
      <c r="K625" s="79" t="str">
        <f>+IFERROR(VLOOKUP(CONCATENATE(A625,$B$10,B625),'ID1&amp;5'!B:J,8,FALSE),"-")</f>
        <v>-</v>
      </c>
      <c r="L625" s="78" t="str">
        <f>+IFERROR(VLOOKUP(B625,'ID1&amp;5'!K:L,2,FALSE),"-")</f>
        <v>-</v>
      </c>
      <c r="M625" s="79" t="str">
        <f>+IFERROR(VLOOKUP(CONCATENATE(A625,$B$10,B625),'ID1&amp;5'!B:J,9,FALSE),"-")</f>
        <v>-</v>
      </c>
      <c r="N625" s="79" t="str">
        <f>+IFERROR(VLOOKUP(CONCATENATE(A625,$C$10,C625),'ID1&amp;5'!B:J,8,FALSE),"-")</f>
        <v>-</v>
      </c>
      <c r="O625" s="78" t="str">
        <f>+IFERROR(VLOOKUP(C625,'ID1&amp;5'!K:L,2,FALSE),"-")</f>
        <v>-</v>
      </c>
      <c r="P625" s="79" t="str">
        <f>+IFERROR(VLOOKUP(CONCATENATE(A625,$C$10,C625),'ID1&amp;5'!B:J,9,FALSE),"-")</f>
        <v>-</v>
      </c>
      <c r="Q625" s="78" t="str">
        <f>+IFERROR(VLOOKUP(D625,'ID1&amp;5'!K:L,2,FALSE),"-")</f>
        <v>-</v>
      </c>
      <c r="R625" s="26" t="str">
        <f>+IFERROR(VLOOKUP(CONCATENATE(A625,$D$10,D625),'ID1&amp;5'!B:J,9,FALSE),"-")</f>
        <v>-</v>
      </c>
      <c r="S625" s="78" t="str">
        <f>+IFERROR(VLOOKUP(E625,'ID1&amp;5'!K:L,2,FALSE),"-")</f>
        <v>-</v>
      </c>
      <c r="T625" s="79" t="str">
        <f>+IFERROR(VLOOKUP(CONCATENATE(A625,$E$10,E625),'ID1&amp;5'!B:J,9,FALSE),"-")</f>
        <v>-</v>
      </c>
      <c r="U625" s="78" t="str">
        <f>+IFERROR(VLOOKUP(F625,'ID1&amp;5'!K:L,2,FALSE),"-")</f>
        <v>-</v>
      </c>
      <c r="V625" s="79" t="str">
        <f>+IFERROR(VLOOKUP(CONCATENATE(A625,$F$10,F625),'ID1&amp;5'!B:J,9,FALSE),"-")</f>
        <v>-</v>
      </c>
      <c r="W625" s="26" t="str">
        <f>+IFERROR(VLOOKUP(A625,'ID6&amp;7'!A:I,9,FALSE),"-")</f>
        <v>-</v>
      </c>
      <c r="X625" s="26" t="str">
        <f>+IFERROR(VLOOKUP(A625,'ID6&amp;7'!A:J,10,FALSE),"-")</f>
        <v>-</v>
      </c>
      <c r="Y625" s="26"/>
      <c r="Z625" s="27" t="str">
        <f t="shared" si="10"/>
        <v>Por iniciar</v>
      </c>
      <c r="AA625" s="65"/>
    </row>
    <row r="626" spans="1:27">
      <c r="A626" s="20"/>
      <c r="B626" s="60"/>
      <c r="C626" s="60"/>
      <c r="D626" s="60"/>
      <c r="E626" s="60"/>
      <c r="F626" s="60"/>
      <c r="G626" s="60"/>
      <c r="H626" s="65" t="s">
        <v>119</v>
      </c>
      <c r="I626" s="21" t="s">
        <v>1541</v>
      </c>
      <c r="J626" s="26">
        <f>+COUNTIF('ID1&amp;5'!G:G,'1. Status'!I626)</f>
        <v>0</v>
      </c>
      <c r="K626" s="79" t="str">
        <f>+IFERROR(VLOOKUP(CONCATENATE(A626,$B$10,B626),'ID1&amp;5'!B:J,8,FALSE),"-")</f>
        <v>-</v>
      </c>
      <c r="L626" s="78" t="str">
        <f>+IFERROR(VLOOKUP(B626,'ID1&amp;5'!K:L,2,FALSE),"-")</f>
        <v>-</v>
      </c>
      <c r="M626" s="79" t="str">
        <f>+IFERROR(VLOOKUP(CONCATENATE(A626,$B$10,B626),'ID1&amp;5'!B:J,9,FALSE),"-")</f>
        <v>-</v>
      </c>
      <c r="N626" s="79" t="str">
        <f>+IFERROR(VLOOKUP(CONCATENATE(A626,$C$10,C626),'ID1&amp;5'!B:J,8,FALSE),"-")</f>
        <v>-</v>
      </c>
      <c r="O626" s="78" t="str">
        <f>+IFERROR(VLOOKUP(C626,'ID1&amp;5'!K:L,2,FALSE),"-")</f>
        <v>-</v>
      </c>
      <c r="P626" s="79" t="str">
        <f>+IFERROR(VLOOKUP(CONCATENATE(A626,$C$10,C626),'ID1&amp;5'!B:J,9,FALSE),"-")</f>
        <v>-</v>
      </c>
      <c r="Q626" s="78" t="str">
        <f>+IFERROR(VLOOKUP(D626,'ID1&amp;5'!K:L,2,FALSE),"-")</f>
        <v>-</v>
      </c>
      <c r="R626" s="26" t="str">
        <f>+IFERROR(VLOOKUP(CONCATENATE(A626,$D$10,D626),'ID1&amp;5'!B:J,9,FALSE),"-")</f>
        <v>-</v>
      </c>
      <c r="S626" s="78" t="str">
        <f>+IFERROR(VLOOKUP(E626,'ID1&amp;5'!K:L,2,FALSE),"-")</f>
        <v>-</v>
      </c>
      <c r="T626" s="79" t="str">
        <f>+IFERROR(VLOOKUP(CONCATENATE(A626,$E$10,E626),'ID1&amp;5'!B:J,9,FALSE),"-")</f>
        <v>-</v>
      </c>
      <c r="U626" s="78" t="str">
        <f>+IFERROR(VLOOKUP(F626,'ID1&amp;5'!K:L,2,FALSE),"-")</f>
        <v>-</v>
      </c>
      <c r="V626" s="79" t="str">
        <f>+IFERROR(VLOOKUP(CONCATENATE(A626,$F$10,F626),'ID1&amp;5'!B:J,9,FALSE),"-")</f>
        <v>-</v>
      </c>
      <c r="W626" s="26" t="str">
        <f>+IFERROR(VLOOKUP(A626,'ID6&amp;7'!A:I,9,FALSE),"-")</f>
        <v>-</v>
      </c>
      <c r="X626" s="26" t="str">
        <f>+IFERROR(VLOOKUP(A626,'ID6&amp;7'!A:J,10,FALSE),"-")</f>
        <v>-</v>
      </c>
      <c r="Y626" s="26"/>
      <c r="Z626" s="27" t="str">
        <f t="shared" si="10"/>
        <v>Por iniciar</v>
      </c>
      <c r="AA626" s="65"/>
    </row>
    <row r="627" spans="1:27">
      <c r="A627" s="20"/>
      <c r="B627" s="60"/>
      <c r="C627" s="60"/>
      <c r="D627" s="60"/>
      <c r="E627" s="60"/>
      <c r="F627" s="60"/>
      <c r="G627" s="60"/>
      <c r="H627" s="65" t="s">
        <v>119</v>
      </c>
      <c r="I627" s="21" t="s">
        <v>1542</v>
      </c>
      <c r="J627" s="26">
        <f>+COUNTIF('ID1&amp;5'!G:G,'1. Status'!I627)</f>
        <v>0</v>
      </c>
      <c r="K627" s="79" t="str">
        <f>+IFERROR(VLOOKUP(CONCATENATE(A627,$B$10,B627),'ID1&amp;5'!B:J,8,FALSE),"-")</f>
        <v>-</v>
      </c>
      <c r="L627" s="78" t="str">
        <f>+IFERROR(VLOOKUP(B627,'ID1&amp;5'!K:L,2,FALSE),"-")</f>
        <v>-</v>
      </c>
      <c r="M627" s="79" t="str">
        <f>+IFERROR(VLOOKUP(CONCATENATE(A627,$B$10,B627),'ID1&amp;5'!B:J,9,FALSE),"-")</f>
        <v>-</v>
      </c>
      <c r="N627" s="79" t="str">
        <f>+IFERROR(VLOOKUP(CONCATENATE(A627,$C$10,C627),'ID1&amp;5'!B:J,8,FALSE),"-")</f>
        <v>-</v>
      </c>
      <c r="O627" s="78" t="str">
        <f>+IFERROR(VLOOKUP(C627,'ID1&amp;5'!K:L,2,FALSE),"-")</f>
        <v>-</v>
      </c>
      <c r="P627" s="79" t="str">
        <f>+IFERROR(VLOOKUP(CONCATENATE(A627,$C$10,C627),'ID1&amp;5'!B:J,9,FALSE),"-")</f>
        <v>-</v>
      </c>
      <c r="Q627" s="78" t="str">
        <f>+IFERROR(VLOOKUP(D627,'ID1&amp;5'!K:L,2,FALSE),"-")</f>
        <v>-</v>
      </c>
      <c r="R627" s="26" t="str">
        <f>+IFERROR(VLOOKUP(CONCATENATE(A627,$D$10,D627),'ID1&amp;5'!B:J,9,FALSE),"-")</f>
        <v>-</v>
      </c>
      <c r="S627" s="78" t="str">
        <f>+IFERROR(VLOOKUP(E627,'ID1&amp;5'!K:L,2,FALSE),"-")</f>
        <v>-</v>
      </c>
      <c r="T627" s="79" t="str">
        <f>+IFERROR(VLOOKUP(CONCATENATE(A627,$E$10,E627),'ID1&amp;5'!B:J,9,FALSE),"-")</f>
        <v>-</v>
      </c>
      <c r="U627" s="78" t="str">
        <f>+IFERROR(VLOOKUP(F627,'ID1&amp;5'!K:L,2,FALSE),"-")</f>
        <v>-</v>
      </c>
      <c r="V627" s="79" t="str">
        <f>+IFERROR(VLOOKUP(CONCATENATE(A627,$F$10,F627),'ID1&amp;5'!B:J,9,FALSE),"-")</f>
        <v>-</v>
      </c>
      <c r="W627" s="26" t="str">
        <f>+IFERROR(VLOOKUP(A627,'ID6&amp;7'!A:I,9,FALSE),"-")</f>
        <v>-</v>
      </c>
      <c r="X627" s="26" t="str">
        <f>+IFERROR(VLOOKUP(A627,'ID6&amp;7'!A:J,10,FALSE),"-")</f>
        <v>-</v>
      </c>
      <c r="Y627" s="26"/>
      <c r="Z627" s="27" t="str">
        <f t="shared" si="10"/>
        <v>Por iniciar</v>
      </c>
      <c r="AA627" s="65"/>
    </row>
    <row r="628" spans="1:27">
      <c r="A628" s="20"/>
      <c r="B628" s="60"/>
      <c r="C628" s="60"/>
      <c r="D628" s="60"/>
      <c r="E628" s="60"/>
      <c r="F628" s="60"/>
      <c r="G628" s="60"/>
      <c r="H628" s="65" t="s">
        <v>119</v>
      </c>
      <c r="I628" s="21" t="s">
        <v>1543</v>
      </c>
      <c r="J628" s="26">
        <f>+COUNTIF('ID1&amp;5'!G:G,'1. Status'!I628)</f>
        <v>0</v>
      </c>
      <c r="K628" s="79" t="str">
        <f>+IFERROR(VLOOKUP(CONCATENATE(A628,$B$10,B628),'ID1&amp;5'!B:J,8,FALSE),"-")</f>
        <v>-</v>
      </c>
      <c r="L628" s="78" t="str">
        <f>+IFERROR(VLOOKUP(B628,'ID1&amp;5'!K:L,2,FALSE),"-")</f>
        <v>-</v>
      </c>
      <c r="M628" s="79" t="str">
        <f>+IFERROR(VLOOKUP(CONCATENATE(A628,$B$10,B628),'ID1&amp;5'!B:J,9,FALSE),"-")</f>
        <v>-</v>
      </c>
      <c r="N628" s="79" t="str">
        <f>+IFERROR(VLOOKUP(CONCATENATE(A628,$C$10,C628),'ID1&amp;5'!B:J,8,FALSE),"-")</f>
        <v>-</v>
      </c>
      <c r="O628" s="78" t="str">
        <f>+IFERROR(VLOOKUP(C628,'ID1&amp;5'!K:L,2,FALSE),"-")</f>
        <v>-</v>
      </c>
      <c r="P628" s="79" t="str">
        <f>+IFERROR(VLOOKUP(CONCATENATE(A628,$C$10,C628),'ID1&amp;5'!B:J,9,FALSE),"-")</f>
        <v>-</v>
      </c>
      <c r="Q628" s="78" t="str">
        <f>+IFERROR(VLOOKUP(D628,'ID1&amp;5'!K:L,2,FALSE),"-")</f>
        <v>-</v>
      </c>
      <c r="R628" s="26" t="str">
        <f>+IFERROR(VLOOKUP(CONCATENATE(A628,$D$10,D628),'ID1&amp;5'!B:J,9,FALSE),"-")</f>
        <v>-</v>
      </c>
      <c r="S628" s="78" t="str">
        <f>+IFERROR(VLOOKUP(E628,'ID1&amp;5'!K:L,2,FALSE),"-")</f>
        <v>-</v>
      </c>
      <c r="T628" s="79" t="str">
        <f>+IFERROR(VLOOKUP(CONCATENATE(A628,$E$10,E628),'ID1&amp;5'!B:J,9,FALSE),"-")</f>
        <v>-</v>
      </c>
      <c r="U628" s="78" t="str">
        <f>+IFERROR(VLOOKUP(F628,'ID1&amp;5'!K:L,2,FALSE),"-")</f>
        <v>-</v>
      </c>
      <c r="V628" s="79" t="str">
        <f>+IFERROR(VLOOKUP(CONCATENATE(A628,$F$10,F628),'ID1&amp;5'!B:J,9,FALSE),"-")</f>
        <v>-</v>
      </c>
      <c r="W628" s="26" t="str">
        <f>+IFERROR(VLOOKUP(A628,'ID6&amp;7'!A:I,9,FALSE),"-")</f>
        <v>-</v>
      </c>
      <c r="X628" s="26" t="str">
        <f>+IFERROR(VLOOKUP(A628,'ID6&amp;7'!A:J,10,FALSE),"-")</f>
        <v>-</v>
      </c>
      <c r="Y628" s="26"/>
      <c r="Z628" s="27" t="str">
        <f t="shared" si="10"/>
        <v>Por iniciar</v>
      </c>
      <c r="AA628" s="65"/>
    </row>
    <row r="629" spans="1:27">
      <c r="A629" s="20"/>
      <c r="B629" s="60"/>
      <c r="C629" s="60"/>
      <c r="D629" s="60"/>
      <c r="E629" s="60"/>
      <c r="F629" s="60"/>
      <c r="G629" s="60"/>
      <c r="H629" s="65" t="s">
        <v>119</v>
      </c>
      <c r="I629" s="21" t="s">
        <v>1544</v>
      </c>
      <c r="J629" s="26">
        <f>+COUNTIF('ID1&amp;5'!G:G,'1. Status'!I629)</f>
        <v>0</v>
      </c>
      <c r="K629" s="79" t="str">
        <f>+IFERROR(VLOOKUP(CONCATENATE(A629,$B$10,B629),'ID1&amp;5'!B:J,8,FALSE),"-")</f>
        <v>-</v>
      </c>
      <c r="L629" s="78" t="str">
        <f>+IFERROR(VLOOKUP(B629,'ID1&amp;5'!K:L,2,FALSE),"-")</f>
        <v>-</v>
      </c>
      <c r="M629" s="79" t="str">
        <f>+IFERROR(VLOOKUP(CONCATENATE(A629,$B$10,B629),'ID1&amp;5'!B:J,9,FALSE),"-")</f>
        <v>-</v>
      </c>
      <c r="N629" s="79" t="str">
        <f>+IFERROR(VLOOKUP(CONCATENATE(A629,$C$10,C629),'ID1&amp;5'!B:J,8,FALSE),"-")</f>
        <v>-</v>
      </c>
      <c r="O629" s="78" t="str">
        <f>+IFERROR(VLOOKUP(C629,'ID1&amp;5'!K:L,2,FALSE),"-")</f>
        <v>-</v>
      </c>
      <c r="P629" s="79" t="str">
        <f>+IFERROR(VLOOKUP(CONCATENATE(A629,$C$10,C629),'ID1&amp;5'!B:J,9,FALSE),"-")</f>
        <v>-</v>
      </c>
      <c r="Q629" s="78" t="str">
        <f>+IFERROR(VLOOKUP(D629,'ID1&amp;5'!K:L,2,FALSE),"-")</f>
        <v>-</v>
      </c>
      <c r="R629" s="26" t="str">
        <f>+IFERROR(VLOOKUP(CONCATENATE(A629,$D$10,D629),'ID1&amp;5'!B:J,9,FALSE),"-")</f>
        <v>-</v>
      </c>
      <c r="S629" s="78" t="str">
        <f>+IFERROR(VLOOKUP(E629,'ID1&amp;5'!K:L,2,FALSE),"-")</f>
        <v>-</v>
      </c>
      <c r="T629" s="79" t="str">
        <f>+IFERROR(VLOOKUP(CONCATENATE(A629,$E$10,E629),'ID1&amp;5'!B:J,9,FALSE),"-")</f>
        <v>-</v>
      </c>
      <c r="U629" s="78" t="str">
        <f>+IFERROR(VLOOKUP(F629,'ID1&amp;5'!K:L,2,FALSE),"-")</f>
        <v>-</v>
      </c>
      <c r="V629" s="79" t="str">
        <f>+IFERROR(VLOOKUP(CONCATENATE(A629,$F$10,F629),'ID1&amp;5'!B:J,9,FALSE),"-")</f>
        <v>-</v>
      </c>
      <c r="W629" s="26" t="str">
        <f>+IFERROR(VLOOKUP(A629,'ID6&amp;7'!A:I,9,FALSE),"-")</f>
        <v>-</v>
      </c>
      <c r="X629" s="26" t="str">
        <f>+IFERROR(VLOOKUP(A629,'ID6&amp;7'!A:J,10,FALSE),"-")</f>
        <v>-</v>
      </c>
      <c r="Y629" s="26"/>
      <c r="Z629" s="27" t="str">
        <f t="shared" si="10"/>
        <v>Por iniciar</v>
      </c>
      <c r="AA629" s="65"/>
    </row>
    <row r="630" spans="1:27">
      <c r="A630" s="20"/>
      <c r="B630" s="60"/>
      <c r="C630" s="60"/>
      <c r="D630" s="60"/>
      <c r="E630" s="60"/>
      <c r="F630" s="60"/>
      <c r="G630" s="60"/>
      <c r="H630" s="65" t="s">
        <v>119</v>
      </c>
      <c r="I630" s="21" t="s">
        <v>1545</v>
      </c>
      <c r="J630" s="26">
        <f>+COUNTIF('ID1&amp;5'!G:G,'1. Status'!I630)</f>
        <v>0</v>
      </c>
      <c r="K630" s="79" t="str">
        <f>+IFERROR(VLOOKUP(CONCATENATE(A630,$B$10,B630),'ID1&amp;5'!B:J,8,FALSE),"-")</f>
        <v>-</v>
      </c>
      <c r="L630" s="78" t="str">
        <f>+IFERROR(VLOOKUP(B630,'ID1&amp;5'!K:L,2,FALSE),"-")</f>
        <v>-</v>
      </c>
      <c r="M630" s="79" t="str">
        <f>+IFERROR(VLOOKUP(CONCATENATE(A630,$B$10,B630),'ID1&amp;5'!B:J,9,FALSE),"-")</f>
        <v>-</v>
      </c>
      <c r="N630" s="79" t="str">
        <f>+IFERROR(VLOOKUP(CONCATENATE(A630,$C$10,C630),'ID1&amp;5'!B:J,8,FALSE),"-")</f>
        <v>-</v>
      </c>
      <c r="O630" s="78" t="str">
        <f>+IFERROR(VLOOKUP(C630,'ID1&amp;5'!K:L,2,FALSE),"-")</f>
        <v>-</v>
      </c>
      <c r="P630" s="79" t="str">
        <f>+IFERROR(VLOOKUP(CONCATENATE(A630,$C$10,C630),'ID1&amp;5'!B:J,9,FALSE),"-")</f>
        <v>-</v>
      </c>
      <c r="Q630" s="78" t="str">
        <f>+IFERROR(VLOOKUP(D630,'ID1&amp;5'!K:L,2,FALSE),"-")</f>
        <v>-</v>
      </c>
      <c r="R630" s="26" t="str">
        <f>+IFERROR(VLOOKUP(CONCATENATE(A630,$D$10,D630),'ID1&amp;5'!B:J,9,FALSE),"-")</f>
        <v>-</v>
      </c>
      <c r="S630" s="78" t="str">
        <f>+IFERROR(VLOOKUP(E630,'ID1&amp;5'!K:L,2,FALSE),"-")</f>
        <v>-</v>
      </c>
      <c r="T630" s="79" t="str">
        <f>+IFERROR(VLOOKUP(CONCATENATE(A630,$E$10,E630),'ID1&amp;5'!B:J,9,FALSE),"-")</f>
        <v>-</v>
      </c>
      <c r="U630" s="78" t="str">
        <f>+IFERROR(VLOOKUP(F630,'ID1&amp;5'!K:L,2,FALSE),"-")</f>
        <v>-</v>
      </c>
      <c r="V630" s="79" t="str">
        <f>+IFERROR(VLOOKUP(CONCATENATE(A630,$F$10,F630),'ID1&amp;5'!B:J,9,FALSE),"-")</f>
        <v>-</v>
      </c>
      <c r="W630" s="26" t="str">
        <f>+IFERROR(VLOOKUP(A630,'ID6&amp;7'!A:I,9,FALSE),"-")</f>
        <v>-</v>
      </c>
      <c r="X630" s="26" t="str">
        <f>+IFERROR(VLOOKUP(A630,'ID6&amp;7'!A:J,10,FALSE),"-")</f>
        <v>-</v>
      </c>
      <c r="Y630" s="26"/>
      <c r="Z630" s="27" t="str">
        <f t="shared" si="10"/>
        <v>Por iniciar</v>
      </c>
      <c r="AA630" s="65"/>
    </row>
    <row r="631" spans="1:27">
      <c r="A631" s="20"/>
      <c r="B631" s="60"/>
      <c r="C631" s="60"/>
      <c r="D631" s="60"/>
      <c r="E631" s="60"/>
      <c r="F631" s="60"/>
      <c r="G631" s="60"/>
      <c r="H631" s="65" t="s">
        <v>119</v>
      </c>
      <c r="I631" s="21" t="s">
        <v>1546</v>
      </c>
      <c r="J631" s="26">
        <f>+COUNTIF('ID1&amp;5'!G:G,'1. Status'!I631)</f>
        <v>0</v>
      </c>
      <c r="K631" s="79" t="str">
        <f>+IFERROR(VLOOKUP(CONCATENATE(A631,$B$10,B631),'ID1&amp;5'!B:J,8,FALSE),"-")</f>
        <v>-</v>
      </c>
      <c r="L631" s="78" t="str">
        <f>+IFERROR(VLOOKUP(B631,'ID1&amp;5'!K:L,2,FALSE),"-")</f>
        <v>-</v>
      </c>
      <c r="M631" s="79" t="str">
        <f>+IFERROR(VLOOKUP(CONCATENATE(A631,$B$10,B631),'ID1&amp;5'!B:J,9,FALSE),"-")</f>
        <v>-</v>
      </c>
      <c r="N631" s="79" t="str">
        <f>+IFERROR(VLOOKUP(CONCATENATE(A631,$C$10,C631),'ID1&amp;5'!B:J,8,FALSE),"-")</f>
        <v>-</v>
      </c>
      <c r="O631" s="78" t="str">
        <f>+IFERROR(VLOOKUP(C631,'ID1&amp;5'!K:L,2,FALSE),"-")</f>
        <v>-</v>
      </c>
      <c r="P631" s="79" t="str">
        <f>+IFERROR(VLOOKUP(CONCATENATE(A631,$C$10,C631),'ID1&amp;5'!B:J,9,FALSE),"-")</f>
        <v>-</v>
      </c>
      <c r="Q631" s="78" t="str">
        <f>+IFERROR(VLOOKUP(D631,'ID1&amp;5'!K:L,2,FALSE),"-")</f>
        <v>-</v>
      </c>
      <c r="R631" s="26" t="str">
        <f>+IFERROR(VLOOKUP(CONCATENATE(A631,$D$10,D631),'ID1&amp;5'!B:J,9,FALSE),"-")</f>
        <v>-</v>
      </c>
      <c r="S631" s="78" t="str">
        <f>+IFERROR(VLOOKUP(E631,'ID1&amp;5'!K:L,2,FALSE),"-")</f>
        <v>-</v>
      </c>
      <c r="T631" s="79" t="str">
        <f>+IFERROR(VLOOKUP(CONCATENATE(A631,$E$10,E631),'ID1&amp;5'!B:J,9,FALSE),"-")</f>
        <v>-</v>
      </c>
      <c r="U631" s="78" t="str">
        <f>+IFERROR(VLOOKUP(F631,'ID1&amp;5'!K:L,2,FALSE),"-")</f>
        <v>-</v>
      </c>
      <c r="V631" s="79" t="str">
        <f>+IFERROR(VLOOKUP(CONCATENATE(A631,$F$10,F631),'ID1&amp;5'!B:J,9,FALSE),"-")</f>
        <v>-</v>
      </c>
      <c r="W631" s="26" t="str">
        <f>+IFERROR(VLOOKUP(A631,'ID6&amp;7'!A:I,9,FALSE),"-")</f>
        <v>-</v>
      </c>
      <c r="X631" s="26" t="str">
        <f>+IFERROR(VLOOKUP(A631,'ID6&amp;7'!A:J,10,FALSE),"-")</f>
        <v>-</v>
      </c>
      <c r="Y631" s="26"/>
      <c r="Z631" s="27" t="str">
        <f t="shared" si="10"/>
        <v>Por iniciar</v>
      </c>
      <c r="AA631" s="65"/>
    </row>
    <row r="632" spans="1:27">
      <c r="A632" s="20"/>
      <c r="B632" s="60"/>
      <c r="C632" s="60"/>
      <c r="D632" s="60"/>
      <c r="E632" s="60"/>
      <c r="F632" s="60"/>
      <c r="G632" s="60"/>
      <c r="H632" s="65" t="s">
        <v>119</v>
      </c>
      <c r="I632" s="21" t="s">
        <v>1547</v>
      </c>
      <c r="J632" s="26">
        <f>+COUNTIF('ID1&amp;5'!G:G,'1. Status'!I632)</f>
        <v>0</v>
      </c>
      <c r="K632" s="79" t="str">
        <f>+IFERROR(VLOOKUP(CONCATENATE(A632,$B$10,B632),'ID1&amp;5'!B:J,8,FALSE),"-")</f>
        <v>-</v>
      </c>
      <c r="L632" s="78" t="str">
        <f>+IFERROR(VLOOKUP(B632,'ID1&amp;5'!K:L,2,FALSE),"-")</f>
        <v>-</v>
      </c>
      <c r="M632" s="79" t="str">
        <f>+IFERROR(VLOOKUP(CONCATENATE(A632,$B$10,B632),'ID1&amp;5'!B:J,9,FALSE),"-")</f>
        <v>-</v>
      </c>
      <c r="N632" s="79" t="str">
        <f>+IFERROR(VLOOKUP(CONCATENATE(A632,$C$10,C632),'ID1&amp;5'!B:J,8,FALSE),"-")</f>
        <v>-</v>
      </c>
      <c r="O632" s="78" t="str">
        <f>+IFERROR(VLOOKUP(C632,'ID1&amp;5'!K:L,2,FALSE),"-")</f>
        <v>-</v>
      </c>
      <c r="P632" s="79" t="str">
        <f>+IFERROR(VLOOKUP(CONCATENATE(A632,$C$10,C632),'ID1&amp;5'!B:J,9,FALSE),"-")</f>
        <v>-</v>
      </c>
      <c r="Q632" s="78" t="str">
        <f>+IFERROR(VLOOKUP(D632,'ID1&amp;5'!K:L,2,FALSE),"-")</f>
        <v>-</v>
      </c>
      <c r="R632" s="26" t="str">
        <f>+IFERROR(VLOOKUP(CONCATENATE(A632,$D$10,D632),'ID1&amp;5'!B:J,9,FALSE),"-")</f>
        <v>-</v>
      </c>
      <c r="S632" s="78" t="str">
        <f>+IFERROR(VLOOKUP(E632,'ID1&amp;5'!K:L,2,FALSE),"-")</f>
        <v>-</v>
      </c>
      <c r="T632" s="79" t="str">
        <f>+IFERROR(VLOOKUP(CONCATENATE(A632,$E$10,E632),'ID1&amp;5'!B:J,9,FALSE),"-")</f>
        <v>-</v>
      </c>
      <c r="U632" s="78" t="str">
        <f>+IFERROR(VLOOKUP(F632,'ID1&amp;5'!K:L,2,FALSE),"-")</f>
        <v>-</v>
      </c>
      <c r="V632" s="79" t="str">
        <f>+IFERROR(VLOOKUP(CONCATENATE(A632,$F$10,F632),'ID1&amp;5'!B:J,9,FALSE),"-")</f>
        <v>-</v>
      </c>
      <c r="W632" s="26" t="str">
        <f>+IFERROR(VLOOKUP(A632,'ID6&amp;7'!A:I,9,FALSE),"-")</f>
        <v>-</v>
      </c>
      <c r="X632" s="26" t="str">
        <f>+IFERROR(VLOOKUP(A632,'ID6&amp;7'!A:J,10,FALSE),"-")</f>
        <v>-</v>
      </c>
      <c r="Y632" s="26"/>
      <c r="Z632" s="27" t="str">
        <f t="shared" si="10"/>
        <v>Por iniciar</v>
      </c>
      <c r="AA632" s="65"/>
    </row>
    <row r="633" spans="1:27">
      <c r="A633" s="20"/>
      <c r="B633" s="60"/>
      <c r="C633" s="60"/>
      <c r="D633" s="60"/>
      <c r="E633" s="60"/>
      <c r="F633" s="60"/>
      <c r="G633" s="60"/>
      <c r="H633" s="65" t="s">
        <v>119</v>
      </c>
      <c r="I633" s="21" t="s">
        <v>1548</v>
      </c>
      <c r="J633" s="26">
        <f>+COUNTIF('ID1&amp;5'!G:G,'1. Status'!I633)</f>
        <v>0</v>
      </c>
      <c r="K633" s="79" t="str">
        <f>+IFERROR(VLOOKUP(CONCATENATE(A633,$B$10,B633),'ID1&amp;5'!B:J,8,FALSE),"-")</f>
        <v>-</v>
      </c>
      <c r="L633" s="78" t="str">
        <f>+IFERROR(VLOOKUP(B633,'ID1&amp;5'!K:L,2,FALSE),"-")</f>
        <v>-</v>
      </c>
      <c r="M633" s="79" t="str">
        <f>+IFERROR(VLOOKUP(CONCATENATE(A633,$B$10,B633),'ID1&amp;5'!B:J,9,FALSE),"-")</f>
        <v>-</v>
      </c>
      <c r="N633" s="79" t="str">
        <f>+IFERROR(VLOOKUP(CONCATENATE(A633,$C$10,C633),'ID1&amp;5'!B:J,8,FALSE),"-")</f>
        <v>-</v>
      </c>
      <c r="O633" s="78" t="str">
        <f>+IFERROR(VLOOKUP(C633,'ID1&amp;5'!K:L,2,FALSE),"-")</f>
        <v>-</v>
      </c>
      <c r="P633" s="79" t="str">
        <f>+IFERROR(VLOOKUP(CONCATENATE(A633,$C$10,C633),'ID1&amp;5'!B:J,9,FALSE),"-")</f>
        <v>-</v>
      </c>
      <c r="Q633" s="78" t="str">
        <f>+IFERROR(VLOOKUP(D633,'ID1&amp;5'!K:L,2,FALSE),"-")</f>
        <v>-</v>
      </c>
      <c r="R633" s="26" t="str">
        <f>+IFERROR(VLOOKUP(CONCATENATE(A633,$D$10,D633),'ID1&amp;5'!B:J,9,FALSE),"-")</f>
        <v>-</v>
      </c>
      <c r="S633" s="78" t="str">
        <f>+IFERROR(VLOOKUP(E633,'ID1&amp;5'!K:L,2,FALSE),"-")</f>
        <v>-</v>
      </c>
      <c r="T633" s="79" t="str">
        <f>+IFERROR(VLOOKUP(CONCATENATE(A633,$E$10,E633),'ID1&amp;5'!B:J,9,FALSE),"-")</f>
        <v>-</v>
      </c>
      <c r="U633" s="78" t="str">
        <f>+IFERROR(VLOOKUP(F633,'ID1&amp;5'!K:L,2,FALSE),"-")</f>
        <v>-</v>
      </c>
      <c r="V633" s="79" t="str">
        <f>+IFERROR(VLOOKUP(CONCATENATE(A633,$F$10,F633),'ID1&amp;5'!B:J,9,FALSE),"-")</f>
        <v>-</v>
      </c>
      <c r="W633" s="26" t="str">
        <f>+IFERROR(VLOOKUP(A633,'ID6&amp;7'!A:I,9,FALSE),"-")</f>
        <v>-</v>
      </c>
      <c r="X633" s="26" t="str">
        <f>+IFERROR(VLOOKUP(A633,'ID6&amp;7'!A:J,10,FALSE),"-")</f>
        <v>-</v>
      </c>
      <c r="Y633" s="26"/>
      <c r="Z633" s="27" t="str">
        <f t="shared" si="10"/>
        <v>Por iniciar</v>
      </c>
      <c r="AA633" s="65"/>
    </row>
    <row r="634" spans="1:27">
      <c r="A634" s="20"/>
      <c r="B634" s="60"/>
      <c r="C634" s="60"/>
      <c r="D634" s="60"/>
      <c r="E634" s="60"/>
      <c r="F634" s="60"/>
      <c r="G634" s="60"/>
      <c r="H634" s="65" t="s">
        <v>119</v>
      </c>
      <c r="I634" s="21" t="s">
        <v>1549</v>
      </c>
      <c r="J634" s="26">
        <f>+COUNTIF('ID1&amp;5'!G:G,'1. Status'!I634)</f>
        <v>0</v>
      </c>
      <c r="K634" s="79" t="str">
        <f>+IFERROR(VLOOKUP(CONCATENATE(A634,$B$10,B634),'ID1&amp;5'!B:J,8,FALSE),"-")</f>
        <v>-</v>
      </c>
      <c r="L634" s="78" t="str">
        <f>+IFERROR(VLOOKUP(B634,'ID1&amp;5'!K:L,2,FALSE),"-")</f>
        <v>-</v>
      </c>
      <c r="M634" s="79" t="str">
        <f>+IFERROR(VLOOKUP(CONCATENATE(A634,$B$10,B634),'ID1&amp;5'!B:J,9,FALSE),"-")</f>
        <v>-</v>
      </c>
      <c r="N634" s="79" t="str">
        <f>+IFERROR(VLOOKUP(CONCATENATE(A634,$C$10,C634),'ID1&amp;5'!B:J,8,FALSE),"-")</f>
        <v>-</v>
      </c>
      <c r="O634" s="78" t="str">
        <f>+IFERROR(VLOOKUP(C634,'ID1&amp;5'!K:L,2,FALSE),"-")</f>
        <v>-</v>
      </c>
      <c r="P634" s="79" t="str">
        <f>+IFERROR(VLOOKUP(CONCATENATE(A634,$C$10,C634),'ID1&amp;5'!B:J,9,FALSE),"-")</f>
        <v>-</v>
      </c>
      <c r="Q634" s="78" t="str">
        <f>+IFERROR(VLOOKUP(D634,'ID1&amp;5'!K:L,2,FALSE),"-")</f>
        <v>-</v>
      </c>
      <c r="R634" s="26" t="str">
        <f>+IFERROR(VLOOKUP(CONCATENATE(A634,$D$10,D634),'ID1&amp;5'!B:J,9,FALSE),"-")</f>
        <v>-</v>
      </c>
      <c r="S634" s="78" t="str">
        <f>+IFERROR(VLOOKUP(E634,'ID1&amp;5'!K:L,2,FALSE),"-")</f>
        <v>-</v>
      </c>
      <c r="T634" s="79" t="str">
        <f>+IFERROR(VLOOKUP(CONCATENATE(A634,$E$10,E634),'ID1&amp;5'!B:J,9,FALSE),"-")</f>
        <v>-</v>
      </c>
      <c r="U634" s="78" t="str">
        <f>+IFERROR(VLOOKUP(F634,'ID1&amp;5'!K:L,2,FALSE),"-")</f>
        <v>-</v>
      </c>
      <c r="V634" s="79" t="str">
        <f>+IFERROR(VLOOKUP(CONCATENATE(A634,$F$10,F634),'ID1&amp;5'!B:J,9,FALSE),"-")</f>
        <v>-</v>
      </c>
      <c r="W634" s="26" t="str">
        <f>+IFERROR(VLOOKUP(A634,'ID6&amp;7'!A:I,9,FALSE),"-")</f>
        <v>-</v>
      </c>
      <c r="X634" s="26" t="str">
        <f>+IFERROR(VLOOKUP(A634,'ID6&amp;7'!A:J,10,FALSE),"-")</f>
        <v>-</v>
      </c>
      <c r="Y634" s="26"/>
      <c r="Z634" s="27" t="str">
        <f t="shared" si="10"/>
        <v>Por iniciar</v>
      </c>
      <c r="AA634" s="65"/>
    </row>
    <row r="635" spans="1:27">
      <c r="A635" s="20"/>
      <c r="B635" s="60"/>
      <c r="C635" s="60"/>
      <c r="D635" s="60"/>
      <c r="E635" s="60"/>
      <c r="F635" s="60"/>
      <c r="G635" s="60"/>
      <c r="H635" s="65" t="s">
        <v>119</v>
      </c>
      <c r="I635" s="21" t="s">
        <v>1550</v>
      </c>
      <c r="J635" s="26">
        <f>+COUNTIF('ID1&amp;5'!G:G,'1. Status'!I635)</f>
        <v>0</v>
      </c>
      <c r="K635" s="79" t="str">
        <f>+IFERROR(VLOOKUP(CONCATENATE(A635,$B$10,B635),'ID1&amp;5'!B:J,8,FALSE),"-")</f>
        <v>-</v>
      </c>
      <c r="L635" s="78" t="str">
        <f>+IFERROR(VLOOKUP(B635,'ID1&amp;5'!K:L,2,FALSE),"-")</f>
        <v>-</v>
      </c>
      <c r="M635" s="79" t="str">
        <f>+IFERROR(VLOOKUP(CONCATENATE(A635,$B$10,B635),'ID1&amp;5'!B:J,9,FALSE),"-")</f>
        <v>-</v>
      </c>
      <c r="N635" s="79" t="str">
        <f>+IFERROR(VLOOKUP(CONCATENATE(A635,$C$10,C635),'ID1&amp;5'!B:J,8,FALSE),"-")</f>
        <v>-</v>
      </c>
      <c r="O635" s="78" t="str">
        <f>+IFERROR(VLOOKUP(C635,'ID1&amp;5'!K:L,2,FALSE),"-")</f>
        <v>-</v>
      </c>
      <c r="P635" s="79" t="str">
        <f>+IFERROR(VLOOKUP(CONCATENATE(A635,$C$10,C635),'ID1&amp;5'!B:J,9,FALSE),"-")</f>
        <v>-</v>
      </c>
      <c r="Q635" s="78" t="str">
        <f>+IFERROR(VLOOKUP(D635,'ID1&amp;5'!K:L,2,FALSE),"-")</f>
        <v>-</v>
      </c>
      <c r="R635" s="26" t="str">
        <f>+IFERROR(VLOOKUP(CONCATENATE(A635,$D$10,D635),'ID1&amp;5'!B:J,9,FALSE),"-")</f>
        <v>-</v>
      </c>
      <c r="S635" s="78" t="str">
        <f>+IFERROR(VLOOKUP(E635,'ID1&amp;5'!K:L,2,FALSE),"-")</f>
        <v>-</v>
      </c>
      <c r="T635" s="79" t="str">
        <f>+IFERROR(VLOOKUP(CONCATENATE(A635,$E$10,E635),'ID1&amp;5'!B:J,9,FALSE),"-")</f>
        <v>-</v>
      </c>
      <c r="U635" s="78" t="str">
        <f>+IFERROR(VLOOKUP(F635,'ID1&amp;5'!K:L,2,FALSE),"-")</f>
        <v>-</v>
      </c>
      <c r="V635" s="79" t="str">
        <f>+IFERROR(VLOOKUP(CONCATENATE(A635,$F$10,F635),'ID1&amp;5'!B:J,9,FALSE),"-")</f>
        <v>-</v>
      </c>
      <c r="W635" s="26" t="str">
        <f>+IFERROR(VLOOKUP(A635,'ID6&amp;7'!A:I,9,FALSE),"-")</f>
        <v>-</v>
      </c>
      <c r="X635" s="26" t="str">
        <f>+IFERROR(VLOOKUP(A635,'ID6&amp;7'!A:J,10,FALSE),"-")</f>
        <v>-</v>
      </c>
      <c r="Y635" s="26"/>
      <c r="Z635" s="27" t="str">
        <f t="shared" si="10"/>
        <v>Por iniciar</v>
      </c>
      <c r="AA635" s="65"/>
    </row>
    <row r="636" spans="1:27">
      <c r="A636" s="20"/>
      <c r="B636" s="60"/>
      <c r="C636" s="60"/>
      <c r="D636" s="60"/>
      <c r="E636" s="60"/>
      <c r="F636" s="60"/>
      <c r="G636" s="60"/>
      <c r="H636" s="65" t="s">
        <v>119</v>
      </c>
      <c r="I636" s="21" t="s">
        <v>1551</v>
      </c>
      <c r="J636" s="26">
        <f>+COUNTIF('ID1&amp;5'!G:G,'1. Status'!I636)</f>
        <v>0</v>
      </c>
      <c r="K636" s="79" t="str">
        <f>+IFERROR(VLOOKUP(CONCATENATE(A636,$B$10,B636),'ID1&amp;5'!B:J,8,FALSE),"-")</f>
        <v>-</v>
      </c>
      <c r="L636" s="78" t="str">
        <f>+IFERROR(VLOOKUP(B636,'ID1&amp;5'!K:L,2,FALSE),"-")</f>
        <v>-</v>
      </c>
      <c r="M636" s="79" t="str">
        <f>+IFERROR(VLOOKUP(CONCATENATE(A636,$B$10,B636),'ID1&amp;5'!B:J,9,FALSE),"-")</f>
        <v>-</v>
      </c>
      <c r="N636" s="79" t="str">
        <f>+IFERROR(VLOOKUP(CONCATENATE(A636,$C$10,C636),'ID1&amp;5'!B:J,8,FALSE),"-")</f>
        <v>-</v>
      </c>
      <c r="O636" s="78" t="str">
        <f>+IFERROR(VLOOKUP(C636,'ID1&amp;5'!K:L,2,FALSE),"-")</f>
        <v>-</v>
      </c>
      <c r="P636" s="79" t="str">
        <f>+IFERROR(VLOOKUP(CONCATENATE(A636,$C$10,C636),'ID1&amp;5'!B:J,9,FALSE),"-")</f>
        <v>-</v>
      </c>
      <c r="Q636" s="78" t="str">
        <f>+IFERROR(VLOOKUP(D636,'ID1&amp;5'!K:L,2,FALSE),"-")</f>
        <v>-</v>
      </c>
      <c r="R636" s="26" t="str">
        <f>+IFERROR(VLOOKUP(CONCATENATE(A636,$D$10,D636),'ID1&amp;5'!B:J,9,FALSE),"-")</f>
        <v>-</v>
      </c>
      <c r="S636" s="78" t="str">
        <f>+IFERROR(VLOOKUP(E636,'ID1&amp;5'!K:L,2,FALSE),"-")</f>
        <v>-</v>
      </c>
      <c r="T636" s="79" t="str">
        <f>+IFERROR(VLOOKUP(CONCATENATE(A636,$E$10,E636),'ID1&amp;5'!B:J,9,FALSE),"-")</f>
        <v>-</v>
      </c>
      <c r="U636" s="78" t="str">
        <f>+IFERROR(VLOOKUP(F636,'ID1&amp;5'!K:L,2,FALSE),"-")</f>
        <v>-</v>
      </c>
      <c r="V636" s="79" t="str">
        <f>+IFERROR(VLOOKUP(CONCATENATE(A636,$F$10,F636),'ID1&amp;5'!B:J,9,FALSE),"-")</f>
        <v>-</v>
      </c>
      <c r="W636" s="26" t="str">
        <f>+IFERROR(VLOOKUP(A636,'ID6&amp;7'!A:I,9,FALSE),"-")</f>
        <v>-</v>
      </c>
      <c r="X636" s="26" t="str">
        <f>+IFERROR(VLOOKUP(A636,'ID6&amp;7'!A:J,10,FALSE),"-")</f>
        <v>-</v>
      </c>
      <c r="Y636" s="26"/>
      <c r="Z636" s="27" t="str">
        <f t="shared" si="10"/>
        <v>Por iniciar</v>
      </c>
      <c r="AA636" s="65"/>
    </row>
    <row r="637" spans="1:27">
      <c r="A637" s="20"/>
      <c r="B637" s="60"/>
      <c r="C637" s="60"/>
      <c r="D637" s="60"/>
      <c r="E637" s="60"/>
      <c r="F637" s="60"/>
      <c r="G637" s="60"/>
      <c r="H637" s="65" t="s">
        <v>119</v>
      </c>
      <c r="I637" s="21" t="s">
        <v>1552</v>
      </c>
      <c r="J637" s="26">
        <f>+COUNTIF('ID1&amp;5'!G:G,'1. Status'!I637)</f>
        <v>0</v>
      </c>
      <c r="K637" s="79" t="str">
        <f>+IFERROR(VLOOKUP(CONCATENATE(A637,$B$10,B637),'ID1&amp;5'!B:J,8,FALSE),"-")</f>
        <v>-</v>
      </c>
      <c r="L637" s="78" t="str">
        <f>+IFERROR(VLOOKUP(B637,'ID1&amp;5'!K:L,2,FALSE),"-")</f>
        <v>-</v>
      </c>
      <c r="M637" s="79" t="str">
        <f>+IFERROR(VLOOKUP(CONCATENATE(A637,$B$10,B637),'ID1&amp;5'!B:J,9,FALSE),"-")</f>
        <v>-</v>
      </c>
      <c r="N637" s="79" t="str">
        <f>+IFERROR(VLOOKUP(CONCATENATE(A637,$C$10,C637),'ID1&amp;5'!B:J,8,FALSE),"-")</f>
        <v>-</v>
      </c>
      <c r="O637" s="78" t="str">
        <f>+IFERROR(VLOOKUP(C637,'ID1&amp;5'!K:L,2,FALSE),"-")</f>
        <v>-</v>
      </c>
      <c r="P637" s="79" t="str">
        <f>+IFERROR(VLOOKUP(CONCATENATE(A637,$C$10,C637),'ID1&amp;5'!B:J,9,FALSE),"-")</f>
        <v>-</v>
      </c>
      <c r="Q637" s="78" t="str">
        <f>+IFERROR(VLOOKUP(D637,'ID1&amp;5'!K:L,2,FALSE),"-")</f>
        <v>-</v>
      </c>
      <c r="R637" s="26" t="str">
        <f>+IFERROR(VLOOKUP(CONCATENATE(A637,$D$10,D637),'ID1&amp;5'!B:J,9,FALSE),"-")</f>
        <v>-</v>
      </c>
      <c r="S637" s="78" t="str">
        <f>+IFERROR(VLOOKUP(E637,'ID1&amp;5'!K:L,2,FALSE),"-")</f>
        <v>-</v>
      </c>
      <c r="T637" s="79" t="str">
        <f>+IFERROR(VLOOKUP(CONCATENATE(A637,$E$10,E637),'ID1&amp;5'!B:J,9,FALSE),"-")</f>
        <v>-</v>
      </c>
      <c r="U637" s="78" t="str">
        <f>+IFERROR(VLOOKUP(F637,'ID1&amp;5'!K:L,2,FALSE),"-")</f>
        <v>-</v>
      </c>
      <c r="V637" s="79" t="str">
        <f>+IFERROR(VLOOKUP(CONCATENATE(A637,$F$10,F637),'ID1&amp;5'!B:J,9,FALSE),"-")</f>
        <v>-</v>
      </c>
      <c r="W637" s="26" t="str">
        <f>+IFERROR(VLOOKUP(A637,'ID6&amp;7'!A:I,9,FALSE),"-")</f>
        <v>-</v>
      </c>
      <c r="X637" s="26" t="str">
        <f>+IFERROR(VLOOKUP(A637,'ID6&amp;7'!A:J,10,FALSE),"-")</f>
        <v>-</v>
      </c>
      <c r="Y637" s="26"/>
      <c r="Z637" s="27" t="str">
        <f t="shared" si="10"/>
        <v>Por iniciar</v>
      </c>
      <c r="AA637" s="65"/>
    </row>
    <row r="638" spans="1:27">
      <c r="A638" s="20"/>
      <c r="B638" s="60"/>
      <c r="C638" s="60"/>
      <c r="D638" s="60"/>
      <c r="E638" s="60"/>
      <c r="F638" s="60"/>
      <c r="G638" s="60"/>
      <c r="H638" s="65" t="s">
        <v>119</v>
      </c>
      <c r="I638" s="21" t="s">
        <v>1553</v>
      </c>
      <c r="J638" s="26">
        <f>+COUNTIF('ID1&amp;5'!G:G,'1. Status'!I638)</f>
        <v>0</v>
      </c>
      <c r="K638" s="79" t="str">
        <f>+IFERROR(VLOOKUP(CONCATENATE(A638,$B$10,B638),'ID1&amp;5'!B:J,8,FALSE),"-")</f>
        <v>-</v>
      </c>
      <c r="L638" s="78" t="str">
        <f>+IFERROR(VLOOKUP(B638,'ID1&amp;5'!K:L,2,FALSE),"-")</f>
        <v>-</v>
      </c>
      <c r="M638" s="79" t="str">
        <f>+IFERROR(VLOOKUP(CONCATENATE(A638,$B$10,B638),'ID1&amp;5'!B:J,9,FALSE),"-")</f>
        <v>-</v>
      </c>
      <c r="N638" s="79" t="str">
        <f>+IFERROR(VLOOKUP(CONCATENATE(A638,$C$10,C638),'ID1&amp;5'!B:J,8,FALSE),"-")</f>
        <v>-</v>
      </c>
      <c r="O638" s="78" t="str">
        <f>+IFERROR(VLOOKUP(C638,'ID1&amp;5'!K:L,2,FALSE),"-")</f>
        <v>-</v>
      </c>
      <c r="P638" s="79" t="str">
        <f>+IFERROR(VLOOKUP(CONCATENATE(A638,$C$10,C638),'ID1&amp;5'!B:J,9,FALSE),"-")</f>
        <v>-</v>
      </c>
      <c r="Q638" s="78" t="str">
        <f>+IFERROR(VLOOKUP(D638,'ID1&amp;5'!K:L,2,FALSE),"-")</f>
        <v>-</v>
      </c>
      <c r="R638" s="26" t="str">
        <f>+IFERROR(VLOOKUP(CONCATENATE(A638,$D$10,D638),'ID1&amp;5'!B:J,9,FALSE),"-")</f>
        <v>-</v>
      </c>
      <c r="S638" s="78" t="str">
        <f>+IFERROR(VLOOKUP(E638,'ID1&amp;5'!K:L,2,FALSE),"-")</f>
        <v>-</v>
      </c>
      <c r="T638" s="79" t="str">
        <f>+IFERROR(VLOOKUP(CONCATENATE(A638,$E$10,E638),'ID1&amp;5'!B:J,9,FALSE),"-")</f>
        <v>-</v>
      </c>
      <c r="U638" s="78" t="str">
        <f>+IFERROR(VLOOKUP(F638,'ID1&amp;5'!K:L,2,FALSE),"-")</f>
        <v>-</v>
      </c>
      <c r="V638" s="79" t="str">
        <f>+IFERROR(VLOOKUP(CONCATENATE(A638,$F$10,F638),'ID1&amp;5'!B:J,9,FALSE),"-")</f>
        <v>-</v>
      </c>
      <c r="W638" s="26" t="str">
        <f>+IFERROR(VLOOKUP(A638,'ID6&amp;7'!A:I,9,FALSE),"-")</f>
        <v>-</v>
      </c>
      <c r="X638" s="26" t="str">
        <f>+IFERROR(VLOOKUP(A638,'ID6&amp;7'!A:J,10,FALSE),"-")</f>
        <v>-</v>
      </c>
      <c r="Y638" s="26"/>
      <c r="Z638" s="27" t="str">
        <f t="shared" si="10"/>
        <v>Por iniciar</v>
      </c>
      <c r="AA638" s="65"/>
    </row>
    <row r="639" spans="1:27">
      <c r="A639" s="20"/>
      <c r="B639" s="60"/>
      <c r="C639" s="60"/>
      <c r="D639" s="60"/>
      <c r="E639" s="60"/>
      <c r="F639" s="60"/>
      <c r="G639" s="60"/>
      <c r="H639" s="65" t="s">
        <v>119</v>
      </c>
      <c r="I639" s="21" t="s">
        <v>1554</v>
      </c>
      <c r="J639" s="26">
        <f>+COUNTIF('ID1&amp;5'!G:G,'1. Status'!I639)</f>
        <v>0</v>
      </c>
      <c r="K639" s="79" t="str">
        <f>+IFERROR(VLOOKUP(CONCATENATE(A639,$B$10,B639),'ID1&amp;5'!B:J,8,FALSE),"-")</f>
        <v>-</v>
      </c>
      <c r="L639" s="78" t="str">
        <f>+IFERROR(VLOOKUP(B639,'ID1&amp;5'!K:L,2,FALSE),"-")</f>
        <v>-</v>
      </c>
      <c r="M639" s="79" t="str">
        <f>+IFERROR(VLOOKUP(CONCATENATE(A639,$B$10,B639),'ID1&amp;5'!B:J,9,FALSE),"-")</f>
        <v>-</v>
      </c>
      <c r="N639" s="79" t="str">
        <f>+IFERROR(VLOOKUP(CONCATENATE(A639,$C$10,C639),'ID1&amp;5'!B:J,8,FALSE),"-")</f>
        <v>-</v>
      </c>
      <c r="O639" s="78" t="str">
        <f>+IFERROR(VLOOKUP(C639,'ID1&amp;5'!K:L,2,FALSE),"-")</f>
        <v>-</v>
      </c>
      <c r="P639" s="79" t="str">
        <f>+IFERROR(VLOOKUP(CONCATENATE(A639,$C$10,C639),'ID1&amp;5'!B:J,9,FALSE),"-")</f>
        <v>-</v>
      </c>
      <c r="Q639" s="78" t="str">
        <f>+IFERROR(VLOOKUP(D639,'ID1&amp;5'!K:L,2,FALSE),"-")</f>
        <v>-</v>
      </c>
      <c r="R639" s="26" t="str">
        <f>+IFERROR(VLOOKUP(CONCATENATE(A639,$D$10,D639),'ID1&amp;5'!B:J,9,FALSE),"-")</f>
        <v>-</v>
      </c>
      <c r="S639" s="78" t="str">
        <f>+IFERROR(VLOOKUP(E639,'ID1&amp;5'!K:L,2,FALSE),"-")</f>
        <v>-</v>
      </c>
      <c r="T639" s="79" t="str">
        <f>+IFERROR(VLOOKUP(CONCATENATE(A639,$E$10,E639),'ID1&amp;5'!B:J,9,FALSE),"-")</f>
        <v>-</v>
      </c>
      <c r="U639" s="78" t="str">
        <f>+IFERROR(VLOOKUP(F639,'ID1&amp;5'!K:L,2,FALSE),"-")</f>
        <v>-</v>
      </c>
      <c r="V639" s="79" t="str">
        <f>+IFERROR(VLOOKUP(CONCATENATE(A639,$F$10,F639),'ID1&amp;5'!B:J,9,FALSE),"-")</f>
        <v>-</v>
      </c>
      <c r="W639" s="26" t="str">
        <f>+IFERROR(VLOOKUP(A639,'ID6&amp;7'!A:I,9,FALSE),"-")</f>
        <v>-</v>
      </c>
      <c r="X639" s="26" t="str">
        <f>+IFERROR(VLOOKUP(A639,'ID6&amp;7'!A:J,10,FALSE),"-")</f>
        <v>-</v>
      </c>
      <c r="Y639" s="26"/>
      <c r="Z639" s="27" t="str">
        <f t="shared" si="10"/>
        <v>Por iniciar</v>
      </c>
      <c r="AA639" s="65"/>
    </row>
    <row r="640" spans="1:27">
      <c r="A640" s="20"/>
      <c r="B640" s="60"/>
      <c r="C640" s="60"/>
      <c r="D640" s="60"/>
      <c r="E640" s="60"/>
      <c r="F640" s="60"/>
      <c r="G640" s="60"/>
      <c r="H640" s="65" t="s">
        <v>119</v>
      </c>
      <c r="I640" s="21" t="s">
        <v>1555</v>
      </c>
      <c r="J640" s="26">
        <f>+COUNTIF('ID1&amp;5'!G:G,'1. Status'!I640)</f>
        <v>0</v>
      </c>
      <c r="K640" s="79" t="str">
        <f>+IFERROR(VLOOKUP(CONCATENATE(A640,$B$10,B640),'ID1&amp;5'!B:J,8,FALSE),"-")</f>
        <v>-</v>
      </c>
      <c r="L640" s="78" t="str">
        <f>+IFERROR(VLOOKUP(B640,'ID1&amp;5'!K:L,2,FALSE),"-")</f>
        <v>-</v>
      </c>
      <c r="M640" s="79" t="str">
        <f>+IFERROR(VLOOKUP(CONCATENATE(A640,$B$10,B640),'ID1&amp;5'!B:J,9,FALSE),"-")</f>
        <v>-</v>
      </c>
      <c r="N640" s="79" t="str">
        <f>+IFERROR(VLOOKUP(CONCATENATE(A640,$C$10,C640),'ID1&amp;5'!B:J,8,FALSE),"-")</f>
        <v>-</v>
      </c>
      <c r="O640" s="78" t="str">
        <f>+IFERROR(VLOOKUP(C640,'ID1&amp;5'!K:L,2,FALSE),"-")</f>
        <v>-</v>
      </c>
      <c r="P640" s="79" t="str">
        <f>+IFERROR(VLOOKUP(CONCATENATE(A640,$C$10,C640),'ID1&amp;5'!B:J,9,FALSE),"-")</f>
        <v>-</v>
      </c>
      <c r="Q640" s="78" t="str">
        <f>+IFERROR(VLOOKUP(D640,'ID1&amp;5'!K:L,2,FALSE),"-")</f>
        <v>-</v>
      </c>
      <c r="R640" s="26" t="str">
        <f>+IFERROR(VLOOKUP(CONCATENATE(A640,$D$10,D640),'ID1&amp;5'!B:J,9,FALSE),"-")</f>
        <v>-</v>
      </c>
      <c r="S640" s="78" t="str">
        <f>+IFERROR(VLOOKUP(E640,'ID1&amp;5'!K:L,2,FALSE),"-")</f>
        <v>-</v>
      </c>
      <c r="T640" s="79" t="str">
        <f>+IFERROR(VLOOKUP(CONCATENATE(A640,$E$10,E640),'ID1&amp;5'!B:J,9,FALSE),"-")</f>
        <v>-</v>
      </c>
      <c r="U640" s="78" t="str">
        <f>+IFERROR(VLOOKUP(F640,'ID1&amp;5'!K:L,2,FALSE),"-")</f>
        <v>-</v>
      </c>
      <c r="V640" s="79" t="str">
        <f>+IFERROR(VLOOKUP(CONCATENATE(A640,$F$10,F640),'ID1&amp;5'!B:J,9,FALSE),"-")</f>
        <v>-</v>
      </c>
      <c r="W640" s="26" t="str">
        <f>+IFERROR(VLOOKUP(A640,'ID6&amp;7'!A:I,9,FALSE),"-")</f>
        <v>-</v>
      </c>
      <c r="X640" s="26" t="str">
        <f>+IFERROR(VLOOKUP(A640,'ID6&amp;7'!A:J,10,FALSE),"-")</f>
        <v>-</v>
      </c>
      <c r="Y640" s="26"/>
      <c r="Z640" s="27" t="str">
        <f t="shared" ref="Z640:Z687" si="11">+IF(J640=0,"Por iniciar",IF(OR(K640="-",M640="-",P640="-",R640="-",T640="-",V640="-"),"Em testes",IF(AND(M640=0,P640=0,R640=0,T640&lt;&gt;K640,V640&lt;&gt;K640),"OK","NOK")))</f>
        <v>Por iniciar</v>
      </c>
      <c r="AA640" s="65"/>
    </row>
    <row r="641" spans="1:27">
      <c r="A641" s="20"/>
      <c r="B641" s="60"/>
      <c r="C641" s="60"/>
      <c r="D641" s="60"/>
      <c r="E641" s="60"/>
      <c r="F641" s="60"/>
      <c r="G641" s="60"/>
      <c r="H641" s="65" t="s">
        <v>119</v>
      </c>
      <c r="I641" s="21" t="s">
        <v>1556</v>
      </c>
      <c r="J641" s="26">
        <f>+COUNTIF('ID1&amp;5'!G:G,'1. Status'!I641)</f>
        <v>0</v>
      </c>
      <c r="K641" s="79" t="str">
        <f>+IFERROR(VLOOKUP(CONCATENATE(A641,$B$10,B641),'ID1&amp;5'!B:J,8,FALSE),"-")</f>
        <v>-</v>
      </c>
      <c r="L641" s="78" t="str">
        <f>+IFERROR(VLOOKUP(B641,'ID1&amp;5'!K:L,2,FALSE),"-")</f>
        <v>-</v>
      </c>
      <c r="M641" s="79" t="str">
        <f>+IFERROR(VLOOKUP(CONCATENATE(A641,$B$10,B641),'ID1&amp;5'!B:J,9,FALSE),"-")</f>
        <v>-</v>
      </c>
      <c r="N641" s="79" t="str">
        <f>+IFERROR(VLOOKUP(CONCATENATE(A641,$C$10,C641),'ID1&amp;5'!B:J,8,FALSE),"-")</f>
        <v>-</v>
      </c>
      <c r="O641" s="78" t="str">
        <f>+IFERROR(VLOOKUP(C641,'ID1&amp;5'!K:L,2,FALSE),"-")</f>
        <v>-</v>
      </c>
      <c r="P641" s="79" t="str">
        <f>+IFERROR(VLOOKUP(CONCATENATE(A641,$C$10,C641),'ID1&amp;5'!B:J,9,FALSE),"-")</f>
        <v>-</v>
      </c>
      <c r="Q641" s="78" t="str">
        <f>+IFERROR(VLOOKUP(D641,'ID1&amp;5'!K:L,2,FALSE),"-")</f>
        <v>-</v>
      </c>
      <c r="R641" s="26" t="str">
        <f>+IFERROR(VLOOKUP(CONCATENATE(A641,$D$10,D641),'ID1&amp;5'!B:J,9,FALSE),"-")</f>
        <v>-</v>
      </c>
      <c r="S641" s="78" t="str">
        <f>+IFERROR(VLOOKUP(E641,'ID1&amp;5'!K:L,2,FALSE),"-")</f>
        <v>-</v>
      </c>
      <c r="T641" s="79" t="str">
        <f>+IFERROR(VLOOKUP(CONCATENATE(A641,$E$10,E641),'ID1&amp;5'!B:J,9,FALSE),"-")</f>
        <v>-</v>
      </c>
      <c r="U641" s="78" t="str">
        <f>+IFERROR(VLOOKUP(F641,'ID1&amp;5'!K:L,2,FALSE),"-")</f>
        <v>-</v>
      </c>
      <c r="V641" s="79" t="str">
        <f>+IFERROR(VLOOKUP(CONCATENATE(A641,$F$10,F641),'ID1&amp;5'!B:J,9,FALSE),"-")</f>
        <v>-</v>
      </c>
      <c r="W641" s="26" t="str">
        <f>+IFERROR(VLOOKUP(A641,'ID6&amp;7'!A:I,9,FALSE),"-")</f>
        <v>-</v>
      </c>
      <c r="X641" s="26" t="str">
        <f>+IFERROR(VLOOKUP(A641,'ID6&amp;7'!A:J,10,FALSE),"-")</f>
        <v>-</v>
      </c>
      <c r="Y641" s="26"/>
      <c r="Z641" s="27" t="str">
        <f t="shared" si="11"/>
        <v>Por iniciar</v>
      </c>
      <c r="AA641" s="65"/>
    </row>
    <row r="642" spans="1:27">
      <c r="A642" s="20"/>
      <c r="B642" s="60"/>
      <c r="C642" s="60"/>
      <c r="D642" s="60"/>
      <c r="E642" s="60"/>
      <c r="F642" s="60"/>
      <c r="G642" s="60"/>
      <c r="H642" s="65" t="s">
        <v>119</v>
      </c>
      <c r="I642" s="21" t="s">
        <v>1557</v>
      </c>
      <c r="J642" s="26">
        <f>+COUNTIF('ID1&amp;5'!G:G,'1. Status'!I642)</f>
        <v>0</v>
      </c>
      <c r="K642" s="79" t="str">
        <f>+IFERROR(VLOOKUP(CONCATENATE(A642,$B$10,B642),'ID1&amp;5'!B:J,8,FALSE),"-")</f>
        <v>-</v>
      </c>
      <c r="L642" s="78" t="str">
        <f>+IFERROR(VLOOKUP(B642,'ID1&amp;5'!K:L,2,FALSE),"-")</f>
        <v>-</v>
      </c>
      <c r="M642" s="79" t="str">
        <f>+IFERROR(VLOOKUP(CONCATENATE(A642,$B$10,B642),'ID1&amp;5'!B:J,9,FALSE),"-")</f>
        <v>-</v>
      </c>
      <c r="N642" s="79" t="str">
        <f>+IFERROR(VLOOKUP(CONCATENATE(A642,$C$10,C642),'ID1&amp;5'!B:J,8,FALSE),"-")</f>
        <v>-</v>
      </c>
      <c r="O642" s="78" t="str">
        <f>+IFERROR(VLOOKUP(C642,'ID1&amp;5'!K:L,2,FALSE),"-")</f>
        <v>-</v>
      </c>
      <c r="P642" s="79" t="str">
        <f>+IFERROR(VLOOKUP(CONCATENATE(A642,$C$10,C642),'ID1&amp;5'!B:J,9,FALSE),"-")</f>
        <v>-</v>
      </c>
      <c r="Q642" s="78" t="str">
        <f>+IFERROR(VLOOKUP(D642,'ID1&amp;5'!K:L,2,FALSE),"-")</f>
        <v>-</v>
      </c>
      <c r="R642" s="26" t="str">
        <f>+IFERROR(VLOOKUP(CONCATENATE(A642,$D$10,D642),'ID1&amp;5'!B:J,9,FALSE),"-")</f>
        <v>-</v>
      </c>
      <c r="S642" s="78" t="str">
        <f>+IFERROR(VLOOKUP(E642,'ID1&amp;5'!K:L,2,FALSE),"-")</f>
        <v>-</v>
      </c>
      <c r="T642" s="79" t="str">
        <f>+IFERROR(VLOOKUP(CONCATENATE(A642,$E$10,E642),'ID1&amp;5'!B:J,9,FALSE),"-")</f>
        <v>-</v>
      </c>
      <c r="U642" s="78" t="str">
        <f>+IFERROR(VLOOKUP(F642,'ID1&amp;5'!K:L,2,FALSE),"-")</f>
        <v>-</v>
      </c>
      <c r="V642" s="79" t="str">
        <f>+IFERROR(VLOOKUP(CONCATENATE(A642,$F$10,F642),'ID1&amp;5'!B:J,9,FALSE),"-")</f>
        <v>-</v>
      </c>
      <c r="W642" s="26" t="str">
        <f>+IFERROR(VLOOKUP(A642,'ID6&amp;7'!A:I,9,FALSE),"-")</f>
        <v>-</v>
      </c>
      <c r="X642" s="26" t="str">
        <f>+IFERROR(VLOOKUP(A642,'ID6&amp;7'!A:J,10,FALSE),"-")</f>
        <v>-</v>
      </c>
      <c r="Y642" s="26"/>
      <c r="Z642" s="27" t="str">
        <f t="shared" si="11"/>
        <v>Por iniciar</v>
      </c>
      <c r="AA642" s="65"/>
    </row>
    <row r="643" spans="1:27">
      <c r="A643" s="20"/>
      <c r="B643" s="60"/>
      <c r="C643" s="60"/>
      <c r="D643" s="60"/>
      <c r="E643" s="60"/>
      <c r="F643" s="60"/>
      <c r="G643" s="60"/>
      <c r="H643" s="65" t="s">
        <v>119</v>
      </c>
      <c r="I643" s="21" t="s">
        <v>1558</v>
      </c>
      <c r="J643" s="26">
        <f>+COUNTIF('ID1&amp;5'!G:G,'1. Status'!I643)</f>
        <v>0</v>
      </c>
      <c r="K643" s="79" t="str">
        <f>+IFERROR(VLOOKUP(CONCATENATE(A643,$B$10,B643),'ID1&amp;5'!B:J,8,FALSE),"-")</f>
        <v>-</v>
      </c>
      <c r="L643" s="78" t="str">
        <f>+IFERROR(VLOOKUP(B643,'ID1&amp;5'!K:L,2,FALSE),"-")</f>
        <v>-</v>
      </c>
      <c r="M643" s="79" t="str">
        <f>+IFERROR(VLOOKUP(CONCATENATE(A643,$B$10,B643),'ID1&amp;5'!B:J,9,FALSE),"-")</f>
        <v>-</v>
      </c>
      <c r="N643" s="79" t="str">
        <f>+IFERROR(VLOOKUP(CONCATENATE(A643,$C$10,C643),'ID1&amp;5'!B:J,8,FALSE),"-")</f>
        <v>-</v>
      </c>
      <c r="O643" s="78" t="str">
        <f>+IFERROR(VLOOKUP(C643,'ID1&amp;5'!K:L,2,FALSE),"-")</f>
        <v>-</v>
      </c>
      <c r="P643" s="79" t="str">
        <f>+IFERROR(VLOOKUP(CONCATENATE(A643,$C$10,C643),'ID1&amp;5'!B:J,9,FALSE),"-")</f>
        <v>-</v>
      </c>
      <c r="Q643" s="78" t="str">
        <f>+IFERROR(VLOOKUP(D643,'ID1&amp;5'!K:L,2,FALSE),"-")</f>
        <v>-</v>
      </c>
      <c r="R643" s="26" t="str">
        <f>+IFERROR(VLOOKUP(CONCATENATE(A643,$D$10,D643),'ID1&amp;5'!B:J,9,FALSE),"-")</f>
        <v>-</v>
      </c>
      <c r="S643" s="78" t="str">
        <f>+IFERROR(VLOOKUP(E643,'ID1&amp;5'!K:L,2,FALSE),"-")</f>
        <v>-</v>
      </c>
      <c r="T643" s="79" t="str">
        <f>+IFERROR(VLOOKUP(CONCATENATE(A643,$E$10,E643),'ID1&amp;5'!B:J,9,FALSE),"-")</f>
        <v>-</v>
      </c>
      <c r="U643" s="78" t="str">
        <f>+IFERROR(VLOOKUP(F643,'ID1&amp;5'!K:L,2,FALSE),"-")</f>
        <v>-</v>
      </c>
      <c r="V643" s="79" t="str">
        <f>+IFERROR(VLOOKUP(CONCATENATE(A643,$F$10,F643),'ID1&amp;5'!B:J,9,FALSE),"-")</f>
        <v>-</v>
      </c>
      <c r="W643" s="26" t="str">
        <f>+IFERROR(VLOOKUP(A643,'ID6&amp;7'!A:I,9,FALSE),"-")</f>
        <v>-</v>
      </c>
      <c r="X643" s="26" t="str">
        <f>+IFERROR(VLOOKUP(A643,'ID6&amp;7'!A:J,10,FALSE),"-")</f>
        <v>-</v>
      </c>
      <c r="Y643" s="26"/>
      <c r="Z643" s="27" t="str">
        <f t="shared" si="11"/>
        <v>Por iniciar</v>
      </c>
      <c r="AA643" s="65"/>
    </row>
    <row r="644" spans="1:27">
      <c r="A644" s="20"/>
      <c r="B644" s="60"/>
      <c r="C644" s="60"/>
      <c r="D644" s="60"/>
      <c r="E644" s="60"/>
      <c r="F644" s="60"/>
      <c r="G644" s="60"/>
      <c r="H644" s="65" t="s">
        <v>119</v>
      </c>
      <c r="I644" s="21" t="s">
        <v>1559</v>
      </c>
      <c r="J644" s="26">
        <f>+COUNTIF('ID1&amp;5'!G:G,'1. Status'!I644)</f>
        <v>0</v>
      </c>
      <c r="K644" s="79" t="str">
        <f>+IFERROR(VLOOKUP(CONCATENATE(A644,$B$10,B644),'ID1&amp;5'!B:J,8,FALSE),"-")</f>
        <v>-</v>
      </c>
      <c r="L644" s="78" t="str">
        <f>+IFERROR(VLOOKUP(B644,'ID1&amp;5'!K:L,2,FALSE),"-")</f>
        <v>-</v>
      </c>
      <c r="M644" s="79" t="str">
        <f>+IFERROR(VLOOKUP(CONCATENATE(A644,$B$10,B644),'ID1&amp;5'!B:J,9,FALSE),"-")</f>
        <v>-</v>
      </c>
      <c r="N644" s="79" t="str">
        <f>+IFERROR(VLOOKUP(CONCATENATE(A644,$C$10,C644),'ID1&amp;5'!B:J,8,FALSE),"-")</f>
        <v>-</v>
      </c>
      <c r="O644" s="78" t="str">
        <f>+IFERROR(VLOOKUP(C644,'ID1&amp;5'!K:L,2,FALSE),"-")</f>
        <v>-</v>
      </c>
      <c r="P644" s="79" t="str">
        <f>+IFERROR(VLOOKUP(CONCATENATE(A644,$C$10,C644),'ID1&amp;5'!B:J,9,FALSE),"-")</f>
        <v>-</v>
      </c>
      <c r="Q644" s="78" t="str">
        <f>+IFERROR(VLOOKUP(D644,'ID1&amp;5'!K:L,2,FALSE),"-")</f>
        <v>-</v>
      </c>
      <c r="R644" s="26" t="str">
        <f>+IFERROR(VLOOKUP(CONCATENATE(A644,$D$10,D644),'ID1&amp;5'!B:J,9,FALSE),"-")</f>
        <v>-</v>
      </c>
      <c r="S644" s="78" t="str">
        <f>+IFERROR(VLOOKUP(E644,'ID1&amp;5'!K:L,2,FALSE),"-")</f>
        <v>-</v>
      </c>
      <c r="T644" s="79" t="str">
        <f>+IFERROR(VLOOKUP(CONCATENATE(A644,$E$10,E644),'ID1&amp;5'!B:J,9,FALSE),"-")</f>
        <v>-</v>
      </c>
      <c r="U644" s="78" t="str">
        <f>+IFERROR(VLOOKUP(F644,'ID1&amp;5'!K:L,2,FALSE),"-")</f>
        <v>-</v>
      </c>
      <c r="V644" s="79" t="str">
        <f>+IFERROR(VLOOKUP(CONCATENATE(A644,$F$10,F644),'ID1&amp;5'!B:J,9,FALSE),"-")</f>
        <v>-</v>
      </c>
      <c r="W644" s="26" t="str">
        <f>+IFERROR(VLOOKUP(A644,'ID6&amp;7'!A:I,9,FALSE),"-")</f>
        <v>-</v>
      </c>
      <c r="X644" s="26" t="str">
        <f>+IFERROR(VLOOKUP(A644,'ID6&amp;7'!A:J,10,FALSE),"-")</f>
        <v>-</v>
      </c>
      <c r="Y644" s="26"/>
      <c r="Z644" s="27" t="str">
        <f t="shared" si="11"/>
        <v>Por iniciar</v>
      </c>
      <c r="AA644" s="65"/>
    </row>
    <row r="645" spans="1:27">
      <c r="A645" s="20"/>
      <c r="B645" s="60"/>
      <c r="C645" s="60"/>
      <c r="D645" s="60"/>
      <c r="E645" s="60"/>
      <c r="F645" s="60"/>
      <c r="G645" s="60"/>
      <c r="H645" s="65" t="s">
        <v>119</v>
      </c>
      <c r="I645" s="21" t="s">
        <v>1560</v>
      </c>
      <c r="J645" s="26">
        <f>+COUNTIF('ID1&amp;5'!G:G,'1. Status'!I645)</f>
        <v>0</v>
      </c>
      <c r="K645" s="79" t="str">
        <f>+IFERROR(VLOOKUP(CONCATENATE(A645,$B$10,B645),'ID1&amp;5'!B:J,8,FALSE),"-")</f>
        <v>-</v>
      </c>
      <c r="L645" s="78" t="str">
        <f>+IFERROR(VLOOKUP(B645,'ID1&amp;5'!K:L,2,FALSE),"-")</f>
        <v>-</v>
      </c>
      <c r="M645" s="79" t="str">
        <f>+IFERROR(VLOOKUP(CONCATENATE(A645,$B$10,B645),'ID1&amp;5'!B:J,9,FALSE),"-")</f>
        <v>-</v>
      </c>
      <c r="N645" s="79" t="str">
        <f>+IFERROR(VLOOKUP(CONCATENATE(A645,$C$10,C645),'ID1&amp;5'!B:J,8,FALSE),"-")</f>
        <v>-</v>
      </c>
      <c r="O645" s="78" t="str">
        <f>+IFERROR(VLOOKUP(C645,'ID1&amp;5'!K:L,2,FALSE),"-")</f>
        <v>-</v>
      </c>
      <c r="P645" s="79" t="str">
        <f>+IFERROR(VLOOKUP(CONCATENATE(A645,$C$10,C645),'ID1&amp;5'!B:J,9,FALSE),"-")</f>
        <v>-</v>
      </c>
      <c r="Q645" s="78" t="str">
        <f>+IFERROR(VLOOKUP(D645,'ID1&amp;5'!K:L,2,FALSE),"-")</f>
        <v>-</v>
      </c>
      <c r="R645" s="26" t="str">
        <f>+IFERROR(VLOOKUP(CONCATENATE(A645,$D$10,D645),'ID1&amp;5'!B:J,9,FALSE),"-")</f>
        <v>-</v>
      </c>
      <c r="S645" s="78" t="str">
        <f>+IFERROR(VLOOKUP(E645,'ID1&amp;5'!K:L,2,FALSE),"-")</f>
        <v>-</v>
      </c>
      <c r="T645" s="79" t="str">
        <f>+IFERROR(VLOOKUP(CONCATENATE(A645,$E$10,E645),'ID1&amp;5'!B:J,9,FALSE),"-")</f>
        <v>-</v>
      </c>
      <c r="U645" s="78" t="str">
        <f>+IFERROR(VLOOKUP(F645,'ID1&amp;5'!K:L,2,FALSE),"-")</f>
        <v>-</v>
      </c>
      <c r="V645" s="79" t="str">
        <f>+IFERROR(VLOOKUP(CONCATENATE(A645,$F$10,F645),'ID1&amp;5'!B:J,9,FALSE),"-")</f>
        <v>-</v>
      </c>
      <c r="W645" s="26" t="str">
        <f>+IFERROR(VLOOKUP(A645,'ID6&amp;7'!A:I,9,FALSE),"-")</f>
        <v>-</v>
      </c>
      <c r="X645" s="26" t="str">
        <f>+IFERROR(VLOOKUP(A645,'ID6&amp;7'!A:J,10,FALSE),"-")</f>
        <v>-</v>
      </c>
      <c r="Y645" s="26"/>
      <c r="Z645" s="27" t="str">
        <f t="shared" si="11"/>
        <v>Por iniciar</v>
      </c>
      <c r="AA645" s="65"/>
    </row>
    <row r="646" spans="1:27">
      <c r="A646" s="20"/>
      <c r="B646" s="60"/>
      <c r="C646" s="60"/>
      <c r="D646" s="60"/>
      <c r="E646" s="60"/>
      <c r="F646" s="60"/>
      <c r="G646" s="60"/>
      <c r="H646" s="65" t="s">
        <v>119</v>
      </c>
      <c r="I646" s="21" t="s">
        <v>1561</v>
      </c>
      <c r="J646" s="26">
        <f>+COUNTIF('ID1&amp;5'!G:G,'1. Status'!I646)</f>
        <v>0</v>
      </c>
      <c r="K646" s="79" t="str">
        <f>+IFERROR(VLOOKUP(CONCATENATE(A646,$B$10,B646),'ID1&amp;5'!B:J,8,FALSE),"-")</f>
        <v>-</v>
      </c>
      <c r="L646" s="78" t="str">
        <f>+IFERROR(VLOOKUP(B646,'ID1&amp;5'!K:L,2,FALSE),"-")</f>
        <v>-</v>
      </c>
      <c r="M646" s="79" t="str">
        <f>+IFERROR(VLOOKUP(CONCATENATE(A646,$B$10,B646),'ID1&amp;5'!B:J,9,FALSE),"-")</f>
        <v>-</v>
      </c>
      <c r="N646" s="79" t="str">
        <f>+IFERROR(VLOOKUP(CONCATENATE(A646,$C$10,C646),'ID1&amp;5'!B:J,8,FALSE),"-")</f>
        <v>-</v>
      </c>
      <c r="O646" s="78" t="str">
        <f>+IFERROR(VLOOKUP(C646,'ID1&amp;5'!K:L,2,FALSE),"-")</f>
        <v>-</v>
      </c>
      <c r="P646" s="79" t="str">
        <f>+IFERROR(VLOOKUP(CONCATENATE(A646,$C$10,C646),'ID1&amp;5'!B:J,9,FALSE),"-")</f>
        <v>-</v>
      </c>
      <c r="Q646" s="78" t="str">
        <f>+IFERROR(VLOOKUP(D646,'ID1&amp;5'!K:L,2,FALSE),"-")</f>
        <v>-</v>
      </c>
      <c r="R646" s="26" t="str">
        <f>+IFERROR(VLOOKUP(CONCATENATE(A646,$D$10,D646),'ID1&amp;5'!B:J,9,FALSE),"-")</f>
        <v>-</v>
      </c>
      <c r="S646" s="78" t="str">
        <f>+IFERROR(VLOOKUP(E646,'ID1&amp;5'!K:L,2,FALSE),"-")</f>
        <v>-</v>
      </c>
      <c r="T646" s="79" t="str">
        <f>+IFERROR(VLOOKUP(CONCATENATE(A646,$E$10,E646),'ID1&amp;5'!B:J,9,FALSE),"-")</f>
        <v>-</v>
      </c>
      <c r="U646" s="78" t="str">
        <f>+IFERROR(VLOOKUP(F646,'ID1&amp;5'!K:L,2,FALSE),"-")</f>
        <v>-</v>
      </c>
      <c r="V646" s="79" t="str">
        <f>+IFERROR(VLOOKUP(CONCATENATE(A646,$F$10,F646),'ID1&amp;5'!B:J,9,FALSE),"-")</f>
        <v>-</v>
      </c>
      <c r="W646" s="26" t="str">
        <f>+IFERROR(VLOOKUP(A646,'ID6&amp;7'!A:I,9,FALSE),"-")</f>
        <v>-</v>
      </c>
      <c r="X646" s="26" t="str">
        <f>+IFERROR(VLOOKUP(A646,'ID6&amp;7'!A:J,10,FALSE),"-")</f>
        <v>-</v>
      </c>
      <c r="Y646" s="26"/>
      <c r="Z646" s="27" t="str">
        <f t="shared" si="11"/>
        <v>Por iniciar</v>
      </c>
      <c r="AA646" s="65"/>
    </row>
    <row r="647" spans="1:27">
      <c r="A647" s="20"/>
      <c r="B647" s="60"/>
      <c r="C647" s="60"/>
      <c r="D647" s="60"/>
      <c r="E647" s="60"/>
      <c r="F647" s="60"/>
      <c r="G647" s="60"/>
      <c r="H647" s="65" t="s">
        <v>119</v>
      </c>
      <c r="I647" s="21" t="s">
        <v>1562</v>
      </c>
      <c r="J647" s="26">
        <f>+COUNTIF('ID1&amp;5'!G:G,'1. Status'!I647)</f>
        <v>0</v>
      </c>
      <c r="K647" s="79" t="str">
        <f>+IFERROR(VLOOKUP(CONCATENATE(A647,$B$10,B647),'ID1&amp;5'!B:J,8,FALSE),"-")</f>
        <v>-</v>
      </c>
      <c r="L647" s="78" t="str">
        <f>+IFERROR(VLOOKUP(B647,'ID1&amp;5'!K:L,2,FALSE),"-")</f>
        <v>-</v>
      </c>
      <c r="M647" s="79" t="str">
        <f>+IFERROR(VLOOKUP(CONCATENATE(A647,$B$10,B647),'ID1&amp;5'!B:J,9,FALSE),"-")</f>
        <v>-</v>
      </c>
      <c r="N647" s="79" t="str">
        <f>+IFERROR(VLOOKUP(CONCATENATE(A647,$C$10,C647),'ID1&amp;5'!B:J,8,FALSE),"-")</f>
        <v>-</v>
      </c>
      <c r="O647" s="78" t="str">
        <f>+IFERROR(VLOOKUP(C647,'ID1&amp;5'!K:L,2,FALSE),"-")</f>
        <v>-</v>
      </c>
      <c r="P647" s="79" t="str">
        <f>+IFERROR(VLOOKUP(CONCATENATE(A647,$C$10,C647),'ID1&amp;5'!B:J,9,FALSE),"-")</f>
        <v>-</v>
      </c>
      <c r="Q647" s="78" t="str">
        <f>+IFERROR(VLOOKUP(D647,'ID1&amp;5'!K:L,2,FALSE),"-")</f>
        <v>-</v>
      </c>
      <c r="R647" s="26" t="str">
        <f>+IFERROR(VLOOKUP(CONCATENATE(A647,$D$10,D647),'ID1&amp;5'!B:J,9,FALSE),"-")</f>
        <v>-</v>
      </c>
      <c r="S647" s="78" t="str">
        <f>+IFERROR(VLOOKUP(E647,'ID1&amp;5'!K:L,2,FALSE),"-")</f>
        <v>-</v>
      </c>
      <c r="T647" s="79" t="str">
        <f>+IFERROR(VLOOKUP(CONCATENATE(A647,$E$10,E647),'ID1&amp;5'!B:J,9,FALSE),"-")</f>
        <v>-</v>
      </c>
      <c r="U647" s="78" t="str">
        <f>+IFERROR(VLOOKUP(F647,'ID1&amp;5'!K:L,2,FALSE),"-")</f>
        <v>-</v>
      </c>
      <c r="V647" s="79" t="str">
        <f>+IFERROR(VLOOKUP(CONCATENATE(A647,$F$10,F647),'ID1&amp;5'!B:J,9,FALSE),"-")</f>
        <v>-</v>
      </c>
      <c r="W647" s="26" t="str">
        <f>+IFERROR(VLOOKUP(A647,'ID6&amp;7'!A:I,9,FALSE),"-")</f>
        <v>-</v>
      </c>
      <c r="X647" s="26" t="str">
        <f>+IFERROR(VLOOKUP(A647,'ID6&amp;7'!A:J,10,FALSE),"-")</f>
        <v>-</v>
      </c>
      <c r="Y647" s="26"/>
      <c r="Z647" s="27" t="str">
        <f t="shared" si="11"/>
        <v>Por iniciar</v>
      </c>
      <c r="AA647" s="65"/>
    </row>
    <row r="648" spans="1:27">
      <c r="A648" s="20"/>
      <c r="B648" s="60"/>
      <c r="C648" s="60"/>
      <c r="D648" s="60"/>
      <c r="E648" s="60"/>
      <c r="F648" s="60"/>
      <c r="G648" s="60"/>
      <c r="H648" s="65" t="s">
        <v>119</v>
      </c>
      <c r="I648" s="21" t="s">
        <v>1563</v>
      </c>
      <c r="J648" s="26">
        <f>+COUNTIF('ID1&amp;5'!G:G,'1. Status'!I648)</f>
        <v>0</v>
      </c>
      <c r="K648" s="79" t="str">
        <f>+IFERROR(VLOOKUP(CONCATENATE(A648,$B$10,B648),'ID1&amp;5'!B:J,8,FALSE),"-")</f>
        <v>-</v>
      </c>
      <c r="L648" s="78" t="str">
        <f>+IFERROR(VLOOKUP(B648,'ID1&amp;5'!K:L,2,FALSE),"-")</f>
        <v>-</v>
      </c>
      <c r="M648" s="79" t="str">
        <f>+IFERROR(VLOOKUP(CONCATENATE(A648,$B$10,B648),'ID1&amp;5'!B:J,9,FALSE),"-")</f>
        <v>-</v>
      </c>
      <c r="N648" s="79" t="str">
        <f>+IFERROR(VLOOKUP(CONCATENATE(A648,$C$10,C648),'ID1&amp;5'!B:J,8,FALSE),"-")</f>
        <v>-</v>
      </c>
      <c r="O648" s="78" t="str">
        <f>+IFERROR(VLOOKUP(C648,'ID1&amp;5'!K:L,2,FALSE),"-")</f>
        <v>-</v>
      </c>
      <c r="P648" s="79" t="str">
        <f>+IFERROR(VLOOKUP(CONCATENATE(A648,$C$10,C648),'ID1&amp;5'!B:J,9,FALSE),"-")</f>
        <v>-</v>
      </c>
      <c r="Q648" s="78" t="str">
        <f>+IFERROR(VLOOKUP(D648,'ID1&amp;5'!K:L,2,FALSE),"-")</f>
        <v>-</v>
      </c>
      <c r="R648" s="26" t="str">
        <f>+IFERROR(VLOOKUP(CONCATENATE(A648,$D$10,D648),'ID1&amp;5'!B:J,9,FALSE),"-")</f>
        <v>-</v>
      </c>
      <c r="S648" s="78" t="str">
        <f>+IFERROR(VLOOKUP(E648,'ID1&amp;5'!K:L,2,FALSE),"-")</f>
        <v>-</v>
      </c>
      <c r="T648" s="79" t="str">
        <f>+IFERROR(VLOOKUP(CONCATENATE(A648,$E$10,E648),'ID1&amp;5'!B:J,9,FALSE),"-")</f>
        <v>-</v>
      </c>
      <c r="U648" s="78" t="str">
        <f>+IFERROR(VLOOKUP(F648,'ID1&amp;5'!K:L,2,FALSE),"-")</f>
        <v>-</v>
      </c>
      <c r="V648" s="79" t="str">
        <f>+IFERROR(VLOOKUP(CONCATENATE(A648,$F$10,F648),'ID1&amp;5'!B:J,9,FALSE),"-")</f>
        <v>-</v>
      </c>
      <c r="W648" s="26" t="str">
        <f>+IFERROR(VLOOKUP(A648,'ID6&amp;7'!A:I,9,FALSE),"-")</f>
        <v>-</v>
      </c>
      <c r="X648" s="26" t="str">
        <f>+IFERROR(VLOOKUP(A648,'ID6&amp;7'!A:J,10,FALSE),"-")</f>
        <v>-</v>
      </c>
      <c r="Y648" s="26"/>
      <c r="Z648" s="27" t="str">
        <f t="shared" si="11"/>
        <v>Por iniciar</v>
      </c>
      <c r="AA648" s="65"/>
    </row>
    <row r="649" spans="1:27">
      <c r="A649" s="20"/>
      <c r="B649" s="60"/>
      <c r="C649" s="60"/>
      <c r="D649" s="60"/>
      <c r="E649" s="60"/>
      <c r="F649" s="60"/>
      <c r="G649" s="60"/>
      <c r="H649" s="65" t="s">
        <v>119</v>
      </c>
      <c r="I649" s="21" t="s">
        <v>1564</v>
      </c>
      <c r="J649" s="26">
        <f>+COUNTIF('ID1&amp;5'!G:G,'1. Status'!I649)</f>
        <v>0</v>
      </c>
      <c r="K649" s="79" t="str">
        <f>+IFERROR(VLOOKUP(CONCATENATE(A649,$B$10,B649),'ID1&amp;5'!B:J,8,FALSE),"-")</f>
        <v>-</v>
      </c>
      <c r="L649" s="78" t="str">
        <f>+IFERROR(VLOOKUP(B649,'ID1&amp;5'!K:L,2,FALSE),"-")</f>
        <v>-</v>
      </c>
      <c r="M649" s="79" t="str">
        <f>+IFERROR(VLOOKUP(CONCATENATE(A649,$B$10,B649),'ID1&amp;5'!B:J,9,FALSE),"-")</f>
        <v>-</v>
      </c>
      <c r="N649" s="79" t="str">
        <f>+IFERROR(VLOOKUP(CONCATENATE(A649,$C$10,C649),'ID1&amp;5'!B:J,8,FALSE),"-")</f>
        <v>-</v>
      </c>
      <c r="O649" s="78" t="str">
        <f>+IFERROR(VLOOKUP(C649,'ID1&amp;5'!K:L,2,FALSE),"-")</f>
        <v>-</v>
      </c>
      <c r="P649" s="79" t="str">
        <f>+IFERROR(VLOOKUP(CONCATENATE(A649,$C$10,C649),'ID1&amp;5'!B:J,9,FALSE),"-")</f>
        <v>-</v>
      </c>
      <c r="Q649" s="78" t="str">
        <f>+IFERROR(VLOOKUP(D649,'ID1&amp;5'!K:L,2,FALSE),"-")</f>
        <v>-</v>
      </c>
      <c r="R649" s="26" t="str">
        <f>+IFERROR(VLOOKUP(CONCATENATE(A649,$D$10,D649),'ID1&amp;5'!B:J,9,FALSE),"-")</f>
        <v>-</v>
      </c>
      <c r="S649" s="78" t="str">
        <f>+IFERROR(VLOOKUP(E649,'ID1&amp;5'!K:L,2,FALSE),"-")</f>
        <v>-</v>
      </c>
      <c r="T649" s="79" t="str">
        <f>+IFERROR(VLOOKUP(CONCATENATE(A649,$E$10,E649),'ID1&amp;5'!B:J,9,FALSE),"-")</f>
        <v>-</v>
      </c>
      <c r="U649" s="78" t="str">
        <f>+IFERROR(VLOOKUP(F649,'ID1&amp;5'!K:L,2,FALSE),"-")</f>
        <v>-</v>
      </c>
      <c r="V649" s="79" t="str">
        <f>+IFERROR(VLOOKUP(CONCATENATE(A649,$F$10,F649),'ID1&amp;5'!B:J,9,FALSE),"-")</f>
        <v>-</v>
      </c>
      <c r="W649" s="26" t="str">
        <f>+IFERROR(VLOOKUP(A649,'ID6&amp;7'!A:I,9,FALSE),"-")</f>
        <v>-</v>
      </c>
      <c r="X649" s="26" t="str">
        <f>+IFERROR(VLOOKUP(A649,'ID6&amp;7'!A:J,10,FALSE),"-")</f>
        <v>-</v>
      </c>
      <c r="Y649" s="26"/>
      <c r="Z649" s="27" t="str">
        <f t="shared" si="11"/>
        <v>Por iniciar</v>
      </c>
      <c r="AA649" s="65"/>
    </row>
    <row r="650" spans="1:27">
      <c r="A650" s="20"/>
      <c r="B650" s="60"/>
      <c r="C650" s="60"/>
      <c r="D650" s="60"/>
      <c r="E650" s="60"/>
      <c r="F650" s="60"/>
      <c r="G650" s="60"/>
      <c r="H650" s="65" t="s">
        <v>119</v>
      </c>
      <c r="I650" s="21" t="s">
        <v>1565</v>
      </c>
      <c r="J650" s="26">
        <f>+COUNTIF('ID1&amp;5'!G:G,'1. Status'!I650)</f>
        <v>0</v>
      </c>
      <c r="K650" s="79" t="str">
        <f>+IFERROR(VLOOKUP(CONCATENATE(A650,$B$10,B650),'ID1&amp;5'!B:J,8,FALSE),"-")</f>
        <v>-</v>
      </c>
      <c r="L650" s="78" t="str">
        <f>+IFERROR(VLOOKUP(B650,'ID1&amp;5'!K:L,2,FALSE),"-")</f>
        <v>-</v>
      </c>
      <c r="M650" s="79" t="str">
        <f>+IFERROR(VLOOKUP(CONCATENATE(A650,$B$10,B650),'ID1&amp;5'!B:J,9,FALSE),"-")</f>
        <v>-</v>
      </c>
      <c r="N650" s="79" t="str">
        <f>+IFERROR(VLOOKUP(CONCATENATE(A650,$C$10,C650),'ID1&amp;5'!B:J,8,FALSE),"-")</f>
        <v>-</v>
      </c>
      <c r="O650" s="78" t="str">
        <f>+IFERROR(VLOOKUP(C650,'ID1&amp;5'!K:L,2,FALSE),"-")</f>
        <v>-</v>
      </c>
      <c r="P650" s="79" t="str">
        <f>+IFERROR(VLOOKUP(CONCATENATE(A650,$C$10,C650),'ID1&amp;5'!B:J,9,FALSE),"-")</f>
        <v>-</v>
      </c>
      <c r="Q650" s="78" t="str">
        <f>+IFERROR(VLOOKUP(D650,'ID1&amp;5'!K:L,2,FALSE),"-")</f>
        <v>-</v>
      </c>
      <c r="R650" s="26" t="str">
        <f>+IFERROR(VLOOKUP(CONCATENATE(A650,$D$10,D650),'ID1&amp;5'!B:J,9,FALSE),"-")</f>
        <v>-</v>
      </c>
      <c r="S650" s="78" t="str">
        <f>+IFERROR(VLOOKUP(E650,'ID1&amp;5'!K:L,2,FALSE),"-")</f>
        <v>-</v>
      </c>
      <c r="T650" s="79" t="str">
        <f>+IFERROR(VLOOKUP(CONCATENATE(A650,$E$10,E650),'ID1&amp;5'!B:J,9,FALSE),"-")</f>
        <v>-</v>
      </c>
      <c r="U650" s="78" t="str">
        <f>+IFERROR(VLOOKUP(F650,'ID1&amp;5'!K:L,2,FALSE),"-")</f>
        <v>-</v>
      </c>
      <c r="V650" s="79" t="str">
        <f>+IFERROR(VLOOKUP(CONCATENATE(A650,$F$10,F650),'ID1&amp;5'!B:J,9,FALSE),"-")</f>
        <v>-</v>
      </c>
      <c r="W650" s="26" t="str">
        <f>+IFERROR(VLOOKUP(A650,'ID6&amp;7'!A:I,9,FALSE),"-")</f>
        <v>-</v>
      </c>
      <c r="X650" s="26" t="str">
        <f>+IFERROR(VLOOKUP(A650,'ID6&amp;7'!A:J,10,FALSE),"-")</f>
        <v>-</v>
      </c>
      <c r="Y650" s="26"/>
      <c r="Z650" s="27" t="str">
        <f t="shared" si="11"/>
        <v>Por iniciar</v>
      </c>
      <c r="AA650" s="65"/>
    </row>
    <row r="651" spans="1:27">
      <c r="A651" s="20"/>
      <c r="B651" s="60"/>
      <c r="C651" s="60"/>
      <c r="D651" s="60"/>
      <c r="E651" s="60"/>
      <c r="F651" s="60"/>
      <c r="G651" s="60"/>
      <c r="H651" s="65" t="s">
        <v>119</v>
      </c>
      <c r="I651" s="21" t="s">
        <v>1566</v>
      </c>
      <c r="J651" s="26">
        <f>+COUNTIF('ID1&amp;5'!G:G,'1. Status'!I651)</f>
        <v>0</v>
      </c>
      <c r="K651" s="79" t="str">
        <f>+IFERROR(VLOOKUP(CONCATENATE(A651,$B$10,B651),'ID1&amp;5'!B:J,8,FALSE),"-")</f>
        <v>-</v>
      </c>
      <c r="L651" s="78" t="str">
        <f>+IFERROR(VLOOKUP(B651,'ID1&amp;5'!K:L,2,FALSE),"-")</f>
        <v>-</v>
      </c>
      <c r="M651" s="79" t="str">
        <f>+IFERROR(VLOOKUP(CONCATENATE(A651,$B$10,B651),'ID1&amp;5'!B:J,9,FALSE),"-")</f>
        <v>-</v>
      </c>
      <c r="N651" s="79" t="str">
        <f>+IFERROR(VLOOKUP(CONCATENATE(A651,$C$10,C651),'ID1&amp;5'!B:J,8,FALSE),"-")</f>
        <v>-</v>
      </c>
      <c r="O651" s="78" t="str">
        <f>+IFERROR(VLOOKUP(C651,'ID1&amp;5'!K:L,2,FALSE),"-")</f>
        <v>-</v>
      </c>
      <c r="P651" s="79" t="str">
        <f>+IFERROR(VLOOKUP(CONCATENATE(A651,$C$10,C651),'ID1&amp;5'!B:J,9,FALSE),"-")</f>
        <v>-</v>
      </c>
      <c r="Q651" s="78" t="str">
        <f>+IFERROR(VLOOKUP(D651,'ID1&amp;5'!K:L,2,FALSE),"-")</f>
        <v>-</v>
      </c>
      <c r="R651" s="26" t="str">
        <f>+IFERROR(VLOOKUP(CONCATENATE(A651,$D$10,D651),'ID1&amp;5'!B:J,9,FALSE),"-")</f>
        <v>-</v>
      </c>
      <c r="S651" s="78" t="str">
        <f>+IFERROR(VLOOKUP(E651,'ID1&amp;5'!K:L,2,FALSE),"-")</f>
        <v>-</v>
      </c>
      <c r="T651" s="79" t="str">
        <f>+IFERROR(VLOOKUP(CONCATENATE(A651,$E$10,E651),'ID1&amp;5'!B:J,9,FALSE),"-")</f>
        <v>-</v>
      </c>
      <c r="U651" s="78" t="str">
        <f>+IFERROR(VLOOKUP(F651,'ID1&amp;5'!K:L,2,FALSE),"-")</f>
        <v>-</v>
      </c>
      <c r="V651" s="79" t="str">
        <f>+IFERROR(VLOOKUP(CONCATENATE(A651,$F$10,F651),'ID1&amp;5'!B:J,9,FALSE),"-")</f>
        <v>-</v>
      </c>
      <c r="W651" s="26" t="str">
        <f>+IFERROR(VLOOKUP(A651,'ID6&amp;7'!A:I,9,FALSE),"-")</f>
        <v>-</v>
      </c>
      <c r="X651" s="26" t="str">
        <f>+IFERROR(VLOOKUP(A651,'ID6&amp;7'!A:J,10,FALSE),"-")</f>
        <v>-</v>
      </c>
      <c r="Y651" s="26"/>
      <c r="Z651" s="27" t="str">
        <f t="shared" si="11"/>
        <v>Por iniciar</v>
      </c>
      <c r="AA651" s="65"/>
    </row>
    <row r="652" spans="1:27">
      <c r="A652" s="20"/>
      <c r="B652" s="60"/>
      <c r="C652" s="60"/>
      <c r="D652" s="60"/>
      <c r="E652" s="60"/>
      <c r="F652" s="60"/>
      <c r="G652" s="60"/>
      <c r="H652" s="65" t="s">
        <v>119</v>
      </c>
      <c r="I652" s="21" t="s">
        <v>1567</v>
      </c>
      <c r="J652" s="26">
        <f>+COUNTIF('ID1&amp;5'!G:G,'1. Status'!I652)</f>
        <v>0</v>
      </c>
      <c r="K652" s="79" t="str">
        <f>+IFERROR(VLOOKUP(CONCATENATE(A652,$B$10,B652),'ID1&amp;5'!B:J,8,FALSE),"-")</f>
        <v>-</v>
      </c>
      <c r="L652" s="78" t="str">
        <f>+IFERROR(VLOOKUP(B652,'ID1&amp;5'!K:L,2,FALSE),"-")</f>
        <v>-</v>
      </c>
      <c r="M652" s="79" t="str">
        <f>+IFERROR(VLOOKUP(CONCATENATE(A652,$B$10,B652),'ID1&amp;5'!B:J,9,FALSE),"-")</f>
        <v>-</v>
      </c>
      <c r="N652" s="79" t="str">
        <f>+IFERROR(VLOOKUP(CONCATENATE(A652,$C$10,C652),'ID1&amp;5'!B:J,8,FALSE),"-")</f>
        <v>-</v>
      </c>
      <c r="O652" s="78" t="str">
        <f>+IFERROR(VLOOKUP(C652,'ID1&amp;5'!K:L,2,FALSE),"-")</f>
        <v>-</v>
      </c>
      <c r="P652" s="79" t="str">
        <f>+IFERROR(VLOOKUP(CONCATENATE(A652,$C$10,C652),'ID1&amp;5'!B:J,9,FALSE),"-")</f>
        <v>-</v>
      </c>
      <c r="Q652" s="78" t="str">
        <f>+IFERROR(VLOOKUP(D652,'ID1&amp;5'!K:L,2,FALSE),"-")</f>
        <v>-</v>
      </c>
      <c r="R652" s="26" t="str">
        <f>+IFERROR(VLOOKUP(CONCATENATE(A652,$D$10,D652),'ID1&amp;5'!B:J,9,FALSE),"-")</f>
        <v>-</v>
      </c>
      <c r="S652" s="78" t="str">
        <f>+IFERROR(VLOOKUP(E652,'ID1&amp;5'!K:L,2,FALSE),"-")</f>
        <v>-</v>
      </c>
      <c r="T652" s="79" t="str">
        <f>+IFERROR(VLOOKUP(CONCATENATE(A652,$E$10,E652),'ID1&amp;5'!B:J,9,FALSE),"-")</f>
        <v>-</v>
      </c>
      <c r="U652" s="78" t="str">
        <f>+IFERROR(VLOOKUP(F652,'ID1&amp;5'!K:L,2,FALSE),"-")</f>
        <v>-</v>
      </c>
      <c r="V652" s="79" t="str">
        <f>+IFERROR(VLOOKUP(CONCATENATE(A652,$F$10,F652),'ID1&amp;5'!B:J,9,FALSE),"-")</f>
        <v>-</v>
      </c>
      <c r="W652" s="26" t="str">
        <f>+IFERROR(VLOOKUP(A652,'ID6&amp;7'!A:I,9,FALSE),"-")</f>
        <v>-</v>
      </c>
      <c r="X652" s="26" t="str">
        <f>+IFERROR(VLOOKUP(A652,'ID6&amp;7'!A:J,10,FALSE),"-")</f>
        <v>-</v>
      </c>
      <c r="Y652" s="26"/>
      <c r="Z652" s="27" t="str">
        <f t="shared" si="11"/>
        <v>Por iniciar</v>
      </c>
      <c r="AA652" s="65"/>
    </row>
    <row r="653" spans="1:27">
      <c r="A653" s="20"/>
      <c r="B653" s="60"/>
      <c r="C653" s="60"/>
      <c r="D653" s="60"/>
      <c r="E653" s="60"/>
      <c r="F653" s="60"/>
      <c r="G653" s="60"/>
      <c r="H653" s="65" t="s">
        <v>119</v>
      </c>
      <c r="I653" s="21" t="s">
        <v>1568</v>
      </c>
      <c r="J653" s="26">
        <f>+COUNTIF('ID1&amp;5'!G:G,'1. Status'!I653)</f>
        <v>0</v>
      </c>
      <c r="K653" s="79" t="str">
        <f>+IFERROR(VLOOKUP(CONCATENATE(A653,$B$10,B653),'ID1&amp;5'!B:J,8,FALSE),"-")</f>
        <v>-</v>
      </c>
      <c r="L653" s="78" t="str">
        <f>+IFERROR(VLOOKUP(B653,'ID1&amp;5'!K:L,2,FALSE),"-")</f>
        <v>-</v>
      </c>
      <c r="M653" s="79" t="str">
        <f>+IFERROR(VLOOKUP(CONCATENATE(A653,$B$10,B653),'ID1&amp;5'!B:J,9,FALSE),"-")</f>
        <v>-</v>
      </c>
      <c r="N653" s="79" t="str">
        <f>+IFERROR(VLOOKUP(CONCATENATE(A653,$C$10,C653),'ID1&amp;5'!B:J,8,FALSE),"-")</f>
        <v>-</v>
      </c>
      <c r="O653" s="78" t="str">
        <f>+IFERROR(VLOOKUP(C653,'ID1&amp;5'!K:L,2,FALSE),"-")</f>
        <v>-</v>
      </c>
      <c r="P653" s="79" t="str">
        <f>+IFERROR(VLOOKUP(CONCATENATE(A653,$C$10,C653),'ID1&amp;5'!B:J,9,FALSE),"-")</f>
        <v>-</v>
      </c>
      <c r="Q653" s="78" t="str">
        <f>+IFERROR(VLOOKUP(D653,'ID1&amp;5'!K:L,2,FALSE),"-")</f>
        <v>-</v>
      </c>
      <c r="R653" s="26" t="str">
        <f>+IFERROR(VLOOKUP(CONCATENATE(A653,$D$10,D653),'ID1&amp;5'!B:J,9,FALSE),"-")</f>
        <v>-</v>
      </c>
      <c r="S653" s="78" t="str">
        <f>+IFERROR(VLOOKUP(E653,'ID1&amp;5'!K:L,2,FALSE),"-")</f>
        <v>-</v>
      </c>
      <c r="T653" s="79" t="str">
        <f>+IFERROR(VLOOKUP(CONCATENATE(A653,$E$10,E653),'ID1&amp;5'!B:J,9,FALSE),"-")</f>
        <v>-</v>
      </c>
      <c r="U653" s="78" t="str">
        <f>+IFERROR(VLOOKUP(F653,'ID1&amp;5'!K:L,2,FALSE),"-")</f>
        <v>-</v>
      </c>
      <c r="V653" s="79" t="str">
        <f>+IFERROR(VLOOKUP(CONCATENATE(A653,$F$10,F653),'ID1&amp;5'!B:J,9,FALSE),"-")</f>
        <v>-</v>
      </c>
      <c r="W653" s="26" t="str">
        <f>+IFERROR(VLOOKUP(A653,'ID6&amp;7'!A:I,9,FALSE),"-")</f>
        <v>-</v>
      </c>
      <c r="X653" s="26" t="str">
        <f>+IFERROR(VLOOKUP(A653,'ID6&amp;7'!A:J,10,FALSE),"-")</f>
        <v>-</v>
      </c>
      <c r="Y653" s="26"/>
      <c r="Z653" s="27" t="str">
        <f t="shared" si="11"/>
        <v>Por iniciar</v>
      </c>
      <c r="AA653" s="65"/>
    </row>
    <row r="654" spans="1:27">
      <c r="A654" s="20"/>
      <c r="B654" s="60"/>
      <c r="C654" s="60"/>
      <c r="D654" s="60"/>
      <c r="E654" s="60"/>
      <c r="F654" s="60"/>
      <c r="G654" s="60"/>
      <c r="H654" s="65" t="s">
        <v>310</v>
      </c>
      <c r="I654" s="21" t="s">
        <v>25</v>
      </c>
      <c r="J654" s="26">
        <f>+COUNTIF('ID1&amp;5'!G:G,'1. Status'!I654)</f>
        <v>0</v>
      </c>
      <c r="K654" s="79" t="str">
        <f>+IFERROR(VLOOKUP(CONCATENATE(A654,$B$10,B654),'ID1&amp;5'!B:J,8,FALSE),"-")</f>
        <v>-</v>
      </c>
      <c r="L654" s="78" t="str">
        <f>+IFERROR(VLOOKUP(B654,'ID1&amp;5'!K:L,2,FALSE),"-")</f>
        <v>-</v>
      </c>
      <c r="M654" s="79" t="str">
        <f>+IFERROR(VLOOKUP(CONCATENATE(A654,$B$10,B654),'ID1&amp;5'!B:J,9,FALSE),"-")</f>
        <v>-</v>
      </c>
      <c r="N654" s="79" t="str">
        <f>+IFERROR(VLOOKUP(CONCATENATE(A654,$C$10,C654),'ID1&amp;5'!B:J,8,FALSE),"-")</f>
        <v>-</v>
      </c>
      <c r="O654" s="78" t="str">
        <f>+IFERROR(VLOOKUP(C654,'ID1&amp;5'!K:L,2,FALSE),"-")</f>
        <v>-</v>
      </c>
      <c r="P654" s="79" t="str">
        <f>+IFERROR(VLOOKUP(CONCATENATE(A654,$C$10,C654),'ID1&amp;5'!B:J,9,FALSE),"-")</f>
        <v>-</v>
      </c>
      <c r="Q654" s="78" t="str">
        <f>+IFERROR(VLOOKUP(D654,'ID1&amp;5'!K:L,2,FALSE),"-")</f>
        <v>-</v>
      </c>
      <c r="R654" s="26" t="str">
        <f>+IFERROR(VLOOKUP(CONCATENATE(A654,$D$10,D654),'ID1&amp;5'!B:J,9,FALSE),"-")</f>
        <v>-</v>
      </c>
      <c r="S654" s="78" t="str">
        <f>+IFERROR(VLOOKUP(E654,'ID1&amp;5'!K:L,2,FALSE),"-")</f>
        <v>-</v>
      </c>
      <c r="T654" s="79" t="str">
        <f>+IFERROR(VLOOKUP(CONCATENATE(A654,$E$10,E654),'ID1&amp;5'!B:J,9,FALSE),"-")</f>
        <v>-</v>
      </c>
      <c r="U654" s="78" t="str">
        <f>+IFERROR(VLOOKUP(F654,'ID1&amp;5'!K:L,2,FALSE),"-")</f>
        <v>-</v>
      </c>
      <c r="V654" s="79" t="str">
        <f>+IFERROR(VLOOKUP(CONCATENATE(A654,$F$10,F654),'ID1&amp;5'!B:J,9,FALSE),"-")</f>
        <v>-</v>
      </c>
      <c r="W654" s="26" t="str">
        <f>+IFERROR(VLOOKUP(A654,'ID6&amp;7'!A:I,9,FALSE),"-")</f>
        <v>-</v>
      </c>
      <c r="X654" s="26" t="str">
        <f>+IFERROR(VLOOKUP(A654,'ID6&amp;7'!A:J,10,FALSE),"-")</f>
        <v>-</v>
      </c>
      <c r="Y654" s="26"/>
      <c r="Z654" s="27" t="str">
        <f t="shared" si="11"/>
        <v>Por iniciar</v>
      </c>
      <c r="AA654" s="65"/>
    </row>
    <row r="655" spans="1:27">
      <c r="A655" s="20"/>
      <c r="B655" s="60"/>
      <c r="C655" s="60"/>
      <c r="D655" s="60"/>
      <c r="E655" s="60"/>
      <c r="F655" s="60"/>
      <c r="G655" s="60"/>
      <c r="H655" s="65" t="s">
        <v>310</v>
      </c>
      <c r="I655" s="21" t="s">
        <v>27</v>
      </c>
      <c r="J655" s="26">
        <f>+COUNTIF('ID1&amp;5'!G:G,'1. Status'!I655)</f>
        <v>0</v>
      </c>
      <c r="K655" s="79" t="str">
        <f>+IFERROR(VLOOKUP(CONCATENATE(A655,$B$10,B655),'ID1&amp;5'!B:J,8,FALSE),"-")</f>
        <v>-</v>
      </c>
      <c r="L655" s="78" t="str">
        <f>+IFERROR(VLOOKUP(B655,'ID1&amp;5'!K:L,2,FALSE),"-")</f>
        <v>-</v>
      </c>
      <c r="M655" s="79" t="str">
        <f>+IFERROR(VLOOKUP(CONCATENATE(A655,$B$10,B655),'ID1&amp;5'!B:J,9,FALSE),"-")</f>
        <v>-</v>
      </c>
      <c r="N655" s="79" t="str">
        <f>+IFERROR(VLOOKUP(CONCATENATE(A655,$C$10,C655),'ID1&amp;5'!B:J,8,FALSE),"-")</f>
        <v>-</v>
      </c>
      <c r="O655" s="78" t="str">
        <f>+IFERROR(VLOOKUP(C655,'ID1&amp;5'!K:L,2,FALSE),"-")</f>
        <v>-</v>
      </c>
      <c r="P655" s="79" t="str">
        <f>+IFERROR(VLOOKUP(CONCATENATE(A655,$C$10,C655),'ID1&amp;5'!B:J,9,FALSE),"-")</f>
        <v>-</v>
      </c>
      <c r="Q655" s="78" t="str">
        <f>+IFERROR(VLOOKUP(D655,'ID1&amp;5'!K:L,2,FALSE),"-")</f>
        <v>-</v>
      </c>
      <c r="R655" s="26" t="str">
        <f>+IFERROR(VLOOKUP(CONCATENATE(A655,$D$10,D655),'ID1&amp;5'!B:J,9,FALSE),"-")</f>
        <v>-</v>
      </c>
      <c r="S655" s="78" t="str">
        <f>+IFERROR(VLOOKUP(E655,'ID1&amp;5'!K:L,2,FALSE),"-")</f>
        <v>-</v>
      </c>
      <c r="T655" s="79" t="str">
        <f>+IFERROR(VLOOKUP(CONCATENATE(A655,$E$10,E655),'ID1&amp;5'!B:J,9,FALSE),"-")</f>
        <v>-</v>
      </c>
      <c r="U655" s="78" t="str">
        <f>+IFERROR(VLOOKUP(F655,'ID1&amp;5'!K:L,2,FALSE),"-")</f>
        <v>-</v>
      </c>
      <c r="V655" s="79" t="str">
        <f>+IFERROR(VLOOKUP(CONCATENATE(A655,$F$10,F655),'ID1&amp;5'!B:J,9,FALSE),"-")</f>
        <v>-</v>
      </c>
      <c r="W655" s="26" t="str">
        <f>+IFERROR(VLOOKUP(A655,'ID6&amp;7'!A:I,9,FALSE),"-")</f>
        <v>-</v>
      </c>
      <c r="X655" s="26" t="str">
        <f>+IFERROR(VLOOKUP(A655,'ID6&amp;7'!A:J,10,FALSE),"-")</f>
        <v>-</v>
      </c>
      <c r="Y655" s="26"/>
      <c r="Z655" s="27" t="str">
        <f t="shared" si="11"/>
        <v>Por iniciar</v>
      </c>
      <c r="AA655" s="65"/>
    </row>
    <row r="656" spans="1:27">
      <c r="A656" s="20"/>
      <c r="B656" s="60"/>
      <c r="C656" s="60"/>
      <c r="D656" s="60"/>
      <c r="E656" s="60"/>
      <c r="F656" s="60"/>
      <c r="G656" s="60"/>
      <c r="H656" s="65" t="s">
        <v>310</v>
      </c>
      <c r="I656" s="21" t="s">
        <v>1569</v>
      </c>
      <c r="J656" s="26">
        <f>+COUNTIF('ID1&amp;5'!G:G,'1. Status'!I656)</f>
        <v>0</v>
      </c>
      <c r="K656" s="79" t="str">
        <f>+IFERROR(VLOOKUP(CONCATENATE(A656,$B$10,B656),'ID1&amp;5'!B:J,8,FALSE),"-")</f>
        <v>-</v>
      </c>
      <c r="L656" s="78" t="str">
        <f>+IFERROR(VLOOKUP(B656,'ID1&amp;5'!K:L,2,FALSE),"-")</f>
        <v>-</v>
      </c>
      <c r="M656" s="79" t="str">
        <f>+IFERROR(VLOOKUP(CONCATENATE(A656,$B$10,B656),'ID1&amp;5'!B:J,9,FALSE),"-")</f>
        <v>-</v>
      </c>
      <c r="N656" s="79" t="str">
        <f>+IFERROR(VLOOKUP(CONCATENATE(A656,$C$10,C656),'ID1&amp;5'!B:J,8,FALSE),"-")</f>
        <v>-</v>
      </c>
      <c r="O656" s="78" t="str">
        <f>+IFERROR(VLOOKUP(C656,'ID1&amp;5'!K:L,2,FALSE),"-")</f>
        <v>-</v>
      </c>
      <c r="P656" s="79" t="str">
        <f>+IFERROR(VLOOKUP(CONCATENATE(A656,$C$10,C656),'ID1&amp;5'!B:J,9,FALSE),"-")</f>
        <v>-</v>
      </c>
      <c r="Q656" s="78" t="str">
        <f>+IFERROR(VLOOKUP(D656,'ID1&amp;5'!K:L,2,FALSE),"-")</f>
        <v>-</v>
      </c>
      <c r="R656" s="26" t="str">
        <f>+IFERROR(VLOOKUP(CONCATENATE(A656,$D$10,D656),'ID1&amp;5'!B:J,9,FALSE),"-")</f>
        <v>-</v>
      </c>
      <c r="S656" s="78" t="str">
        <f>+IFERROR(VLOOKUP(E656,'ID1&amp;5'!K:L,2,FALSE),"-")</f>
        <v>-</v>
      </c>
      <c r="T656" s="79" t="str">
        <f>+IFERROR(VLOOKUP(CONCATENATE(A656,$E$10,E656),'ID1&amp;5'!B:J,9,FALSE),"-")</f>
        <v>-</v>
      </c>
      <c r="U656" s="78" t="str">
        <f>+IFERROR(VLOOKUP(F656,'ID1&amp;5'!K:L,2,FALSE),"-")</f>
        <v>-</v>
      </c>
      <c r="V656" s="79" t="str">
        <f>+IFERROR(VLOOKUP(CONCATENATE(A656,$F$10,F656),'ID1&amp;5'!B:J,9,FALSE),"-")</f>
        <v>-</v>
      </c>
      <c r="W656" s="26" t="str">
        <f>+IFERROR(VLOOKUP(A656,'ID6&amp;7'!A:I,9,FALSE),"-")</f>
        <v>-</v>
      </c>
      <c r="X656" s="26" t="str">
        <f>+IFERROR(VLOOKUP(A656,'ID6&amp;7'!A:J,10,FALSE),"-")</f>
        <v>-</v>
      </c>
      <c r="Y656" s="26"/>
      <c r="Z656" s="27" t="str">
        <f t="shared" si="11"/>
        <v>Por iniciar</v>
      </c>
      <c r="AA656" s="65"/>
    </row>
    <row r="657" spans="1:27">
      <c r="A657" s="20"/>
      <c r="B657" s="60"/>
      <c r="C657" s="60"/>
      <c r="D657" s="60"/>
      <c r="E657" s="60"/>
      <c r="F657" s="60"/>
      <c r="G657" s="60"/>
      <c r="H657" s="65" t="s">
        <v>310</v>
      </c>
      <c r="I657" s="21" t="s">
        <v>1245</v>
      </c>
      <c r="J657" s="26">
        <f>+COUNTIF('ID1&amp;5'!G:G,'1. Status'!I657)</f>
        <v>0</v>
      </c>
      <c r="K657" s="79" t="str">
        <f>+IFERROR(VLOOKUP(CONCATENATE(A657,$B$10,B657),'ID1&amp;5'!B:J,8,FALSE),"-")</f>
        <v>-</v>
      </c>
      <c r="L657" s="78" t="str">
        <f>+IFERROR(VLOOKUP(B657,'ID1&amp;5'!K:L,2,FALSE),"-")</f>
        <v>-</v>
      </c>
      <c r="M657" s="79" t="str">
        <f>+IFERROR(VLOOKUP(CONCATENATE(A657,$B$10,B657),'ID1&amp;5'!B:J,9,FALSE),"-")</f>
        <v>-</v>
      </c>
      <c r="N657" s="79" t="str">
        <f>+IFERROR(VLOOKUP(CONCATENATE(A657,$C$10,C657),'ID1&amp;5'!B:J,8,FALSE),"-")</f>
        <v>-</v>
      </c>
      <c r="O657" s="78" t="str">
        <f>+IFERROR(VLOOKUP(C657,'ID1&amp;5'!K:L,2,FALSE),"-")</f>
        <v>-</v>
      </c>
      <c r="P657" s="79" t="str">
        <f>+IFERROR(VLOOKUP(CONCATENATE(A657,$C$10,C657),'ID1&amp;5'!B:J,9,FALSE),"-")</f>
        <v>-</v>
      </c>
      <c r="Q657" s="78" t="str">
        <f>+IFERROR(VLOOKUP(D657,'ID1&amp;5'!K:L,2,FALSE),"-")</f>
        <v>-</v>
      </c>
      <c r="R657" s="26" t="str">
        <f>+IFERROR(VLOOKUP(CONCATENATE(A657,$D$10,D657),'ID1&amp;5'!B:J,9,FALSE),"-")</f>
        <v>-</v>
      </c>
      <c r="S657" s="78" t="str">
        <f>+IFERROR(VLOOKUP(E657,'ID1&amp;5'!K:L,2,FALSE),"-")</f>
        <v>-</v>
      </c>
      <c r="T657" s="79" t="str">
        <f>+IFERROR(VLOOKUP(CONCATENATE(A657,$E$10,E657),'ID1&amp;5'!B:J,9,FALSE),"-")</f>
        <v>-</v>
      </c>
      <c r="U657" s="78" t="str">
        <f>+IFERROR(VLOOKUP(F657,'ID1&amp;5'!K:L,2,FALSE),"-")</f>
        <v>-</v>
      </c>
      <c r="V657" s="79" t="str">
        <f>+IFERROR(VLOOKUP(CONCATENATE(A657,$F$10,F657),'ID1&amp;5'!B:J,9,FALSE),"-")</f>
        <v>-</v>
      </c>
      <c r="W657" s="26" t="str">
        <f>+IFERROR(VLOOKUP(A657,'ID6&amp;7'!A:I,9,FALSE),"-")</f>
        <v>-</v>
      </c>
      <c r="X657" s="26" t="str">
        <f>+IFERROR(VLOOKUP(A657,'ID6&amp;7'!A:J,10,FALSE),"-")</f>
        <v>-</v>
      </c>
      <c r="Y657" s="26"/>
      <c r="Z657" s="27" t="str">
        <f t="shared" si="11"/>
        <v>Por iniciar</v>
      </c>
      <c r="AA657" s="65"/>
    </row>
    <row r="658" spans="1:27">
      <c r="A658" s="20"/>
      <c r="B658" s="60"/>
      <c r="C658" s="60"/>
      <c r="D658" s="60"/>
      <c r="E658" s="60"/>
      <c r="F658" s="60"/>
      <c r="G658" s="60"/>
      <c r="H658" s="65" t="s">
        <v>310</v>
      </c>
      <c r="I658" s="21" t="s">
        <v>1246</v>
      </c>
      <c r="J658" s="26">
        <f>+COUNTIF('ID1&amp;5'!G:G,'1. Status'!I658)</f>
        <v>0</v>
      </c>
      <c r="K658" s="79" t="str">
        <f>+IFERROR(VLOOKUP(CONCATENATE(A658,$B$10,B658),'ID1&amp;5'!B:J,8,FALSE),"-")</f>
        <v>-</v>
      </c>
      <c r="L658" s="78" t="str">
        <f>+IFERROR(VLOOKUP(B658,'ID1&amp;5'!K:L,2,FALSE),"-")</f>
        <v>-</v>
      </c>
      <c r="M658" s="79" t="str">
        <f>+IFERROR(VLOOKUP(CONCATENATE(A658,$B$10,B658),'ID1&amp;5'!B:J,9,FALSE),"-")</f>
        <v>-</v>
      </c>
      <c r="N658" s="79" t="str">
        <f>+IFERROR(VLOOKUP(CONCATENATE(A658,$C$10,C658),'ID1&amp;5'!B:J,8,FALSE),"-")</f>
        <v>-</v>
      </c>
      <c r="O658" s="78" t="str">
        <f>+IFERROR(VLOOKUP(C658,'ID1&amp;5'!K:L,2,FALSE),"-")</f>
        <v>-</v>
      </c>
      <c r="P658" s="79" t="str">
        <f>+IFERROR(VLOOKUP(CONCATENATE(A658,$C$10,C658),'ID1&amp;5'!B:J,9,FALSE),"-")</f>
        <v>-</v>
      </c>
      <c r="Q658" s="78" t="str">
        <f>+IFERROR(VLOOKUP(D658,'ID1&amp;5'!K:L,2,FALSE),"-")</f>
        <v>-</v>
      </c>
      <c r="R658" s="26" t="str">
        <f>+IFERROR(VLOOKUP(CONCATENATE(A658,$D$10,D658),'ID1&amp;5'!B:J,9,FALSE),"-")</f>
        <v>-</v>
      </c>
      <c r="S658" s="78" t="str">
        <f>+IFERROR(VLOOKUP(E658,'ID1&amp;5'!K:L,2,FALSE),"-")</f>
        <v>-</v>
      </c>
      <c r="T658" s="79" t="str">
        <f>+IFERROR(VLOOKUP(CONCATENATE(A658,$E$10,E658),'ID1&amp;5'!B:J,9,FALSE),"-")</f>
        <v>-</v>
      </c>
      <c r="U658" s="78" t="str">
        <f>+IFERROR(VLOOKUP(F658,'ID1&amp;5'!K:L,2,FALSE),"-")</f>
        <v>-</v>
      </c>
      <c r="V658" s="79" t="str">
        <f>+IFERROR(VLOOKUP(CONCATENATE(A658,$F$10,F658),'ID1&amp;5'!B:J,9,FALSE),"-")</f>
        <v>-</v>
      </c>
      <c r="W658" s="26" t="str">
        <f>+IFERROR(VLOOKUP(A658,'ID6&amp;7'!A:I,9,FALSE),"-")</f>
        <v>-</v>
      </c>
      <c r="X658" s="26" t="str">
        <f>+IFERROR(VLOOKUP(A658,'ID6&amp;7'!A:J,10,FALSE),"-")</f>
        <v>-</v>
      </c>
      <c r="Y658" s="26"/>
      <c r="Z658" s="27" t="str">
        <f t="shared" si="11"/>
        <v>Por iniciar</v>
      </c>
      <c r="AA658" s="65"/>
    </row>
    <row r="659" spans="1:27">
      <c r="A659" s="20"/>
      <c r="B659" s="60"/>
      <c r="C659" s="60"/>
      <c r="D659" s="60"/>
      <c r="E659" s="60"/>
      <c r="F659" s="60"/>
      <c r="G659" s="60"/>
      <c r="H659" s="65" t="s">
        <v>310</v>
      </c>
      <c r="I659" s="21" t="s">
        <v>1247</v>
      </c>
      <c r="J659" s="26">
        <f>+COUNTIF('ID1&amp;5'!G:G,'1. Status'!I659)</f>
        <v>0</v>
      </c>
      <c r="K659" s="79" t="str">
        <f>+IFERROR(VLOOKUP(CONCATENATE(A659,$B$10,B659),'ID1&amp;5'!B:J,8,FALSE),"-")</f>
        <v>-</v>
      </c>
      <c r="L659" s="78" t="str">
        <f>+IFERROR(VLOOKUP(B659,'ID1&amp;5'!K:L,2,FALSE),"-")</f>
        <v>-</v>
      </c>
      <c r="M659" s="79" t="str">
        <f>+IFERROR(VLOOKUP(CONCATENATE(A659,$B$10,B659),'ID1&amp;5'!B:J,9,FALSE),"-")</f>
        <v>-</v>
      </c>
      <c r="N659" s="79" t="str">
        <f>+IFERROR(VLOOKUP(CONCATENATE(A659,$C$10,C659),'ID1&amp;5'!B:J,8,FALSE),"-")</f>
        <v>-</v>
      </c>
      <c r="O659" s="78" t="str">
        <f>+IFERROR(VLOOKUP(C659,'ID1&amp;5'!K:L,2,FALSE),"-")</f>
        <v>-</v>
      </c>
      <c r="P659" s="79" t="str">
        <f>+IFERROR(VLOOKUP(CONCATENATE(A659,$C$10,C659),'ID1&amp;5'!B:J,9,FALSE),"-")</f>
        <v>-</v>
      </c>
      <c r="Q659" s="78" t="str">
        <f>+IFERROR(VLOOKUP(D659,'ID1&amp;5'!K:L,2,FALSE),"-")</f>
        <v>-</v>
      </c>
      <c r="R659" s="26" t="str">
        <f>+IFERROR(VLOOKUP(CONCATENATE(A659,$D$10,D659),'ID1&amp;5'!B:J,9,FALSE),"-")</f>
        <v>-</v>
      </c>
      <c r="S659" s="78" t="str">
        <f>+IFERROR(VLOOKUP(E659,'ID1&amp;5'!K:L,2,FALSE),"-")</f>
        <v>-</v>
      </c>
      <c r="T659" s="79" t="str">
        <f>+IFERROR(VLOOKUP(CONCATENATE(A659,$E$10,E659),'ID1&amp;5'!B:J,9,FALSE),"-")</f>
        <v>-</v>
      </c>
      <c r="U659" s="78" t="str">
        <f>+IFERROR(VLOOKUP(F659,'ID1&amp;5'!K:L,2,FALSE),"-")</f>
        <v>-</v>
      </c>
      <c r="V659" s="79" t="str">
        <f>+IFERROR(VLOOKUP(CONCATENATE(A659,$F$10,F659),'ID1&amp;5'!B:J,9,FALSE),"-")</f>
        <v>-</v>
      </c>
      <c r="W659" s="26" t="str">
        <f>+IFERROR(VLOOKUP(A659,'ID6&amp;7'!A:I,9,FALSE),"-")</f>
        <v>-</v>
      </c>
      <c r="X659" s="26" t="str">
        <f>+IFERROR(VLOOKUP(A659,'ID6&amp;7'!A:J,10,FALSE),"-")</f>
        <v>-</v>
      </c>
      <c r="Y659" s="26"/>
      <c r="Z659" s="27" t="str">
        <f t="shared" si="11"/>
        <v>Por iniciar</v>
      </c>
      <c r="AA659" s="65"/>
    </row>
    <row r="660" spans="1:27">
      <c r="A660" s="20"/>
      <c r="B660" s="60"/>
      <c r="C660" s="60"/>
      <c r="D660" s="60"/>
      <c r="E660" s="60"/>
      <c r="F660" s="60"/>
      <c r="G660" s="60"/>
      <c r="H660" s="65" t="s">
        <v>310</v>
      </c>
      <c r="I660" s="21" t="s">
        <v>1248</v>
      </c>
      <c r="J660" s="26">
        <f>+COUNTIF('ID1&amp;5'!G:G,'1. Status'!I660)</f>
        <v>0</v>
      </c>
      <c r="K660" s="79" t="str">
        <f>+IFERROR(VLOOKUP(CONCATENATE(A660,$B$10,B660),'ID1&amp;5'!B:J,8,FALSE),"-")</f>
        <v>-</v>
      </c>
      <c r="L660" s="78" t="str">
        <f>+IFERROR(VLOOKUP(B660,'ID1&amp;5'!K:L,2,FALSE),"-")</f>
        <v>-</v>
      </c>
      <c r="M660" s="79" t="str">
        <f>+IFERROR(VLOOKUP(CONCATENATE(A660,$B$10,B660),'ID1&amp;5'!B:J,9,FALSE),"-")</f>
        <v>-</v>
      </c>
      <c r="N660" s="79" t="str">
        <f>+IFERROR(VLOOKUP(CONCATENATE(A660,$C$10,C660),'ID1&amp;5'!B:J,8,FALSE),"-")</f>
        <v>-</v>
      </c>
      <c r="O660" s="78" t="str">
        <f>+IFERROR(VLOOKUP(C660,'ID1&amp;5'!K:L,2,FALSE),"-")</f>
        <v>-</v>
      </c>
      <c r="P660" s="79" t="str">
        <f>+IFERROR(VLOOKUP(CONCATENATE(A660,$C$10,C660),'ID1&amp;5'!B:J,9,FALSE),"-")</f>
        <v>-</v>
      </c>
      <c r="Q660" s="78" t="str">
        <f>+IFERROR(VLOOKUP(D660,'ID1&amp;5'!K:L,2,FALSE),"-")</f>
        <v>-</v>
      </c>
      <c r="R660" s="26" t="str">
        <f>+IFERROR(VLOOKUP(CONCATENATE(A660,$D$10,D660),'ID1&amp;5'!B:J,9,FALSE),"-")</f>
        <v>-</v>
      </c>
      <c r="S660" s="78" t="str">
        <f>+IFERROR(VLOOKUP(E660,'ID1&amp;5'!K:L,2,FALSE),"-")</f>
        <v>-</v>
      </c>
      <c r="T660" s="79" t="str">
        <f>+IFERROR(VLOOKUP(CONCATENATE(A660,$E$10,E660),'ID1&amp;5'!B:J,9,FALSE),"-")</f>
        <v>-</v>
      </c>
      <c r="U660" s="78" t="str">
        <f>+IFERROR(VLOOKUP(F660,'ID1&amp;5'!K:L,2,FALSE),"-")</f>
        <v>-</v>
      </c>
      <c r="V660" s="79" t="str">
        <f>+IFERROR(VLOOKUP(CONCATENATE(A660,$F$10,F660),'ID1&amp;5'!B:J,9,FALSE),"-")</f>
        <v>-</v>
      </c>
      <c r="W660" s="26" t="str">
        <f>+IFERROR(VLOOKUP(A660,'ID6&amp;7'!A:I,9,FALSE),"-")</f>
        <v>-</v>
      </c>
      <c r="X660" s="26" t="str">
        <f>+IFERROR(VLOOKUP(A660,'ID6&amp;7'!A:J,10,FALSE),"-")</f>
        <v>-</v>
      </c>
      <c r="Y660" s="26"/>
      <c r="Z660" s="27" t="str">
        <f t="shared" si="11"/>
        <v>Por iniciar</v>
      </c>
      <c r="AA660" s="65"/>
    </row>
    <row r="661" spans="1:27">
      <c r="A661" s="20"/>
      <c r="B661" s="60"/>
      <c r="C661" s="60"/>
      <c r="D661" s="60"/>
      <c r="E661" s="60"/>
      <c r="F661" s="60"/>
      <c r="G661" s="60"/>
      <c r="H661" s="65" t="s">
        <v>310</v>
      </c>
      <c r="I661" s="21" t="s">
        <v>1249</v>
      </c>
      <c r="J661" s="26">
        <f>+COUNTIF('ID1&amp;5'!G:G,'1. Status'!I661)</f>
        <v>0</v>
      </c>
      <c r="K661" s="79" t="str">
        <f>+IFERROR(VLOOKUP(CONCATENATE(A661,$B$10,B661),'ID1&amp;5'!B:J,8,FALSE),"-")</f>
        <v>-</v>
      </c>
      <c r="L661" s="78" t="str">
        <f>+IFERROR(VLOOKUP(B661,'ID1&amp;5'!K:L,2,FALSE),"-")</f>
        <v>-</v>
      </c>
      <c r="M661" s="79" t="str">
        <f>+IFERROR(VLOOKUP(CONCATENATE(A661,$B$10,B661),'ID1&amp;5'!B:J,9,FALSE),"-")</f>
        <v>-</v>
      </c>
      <c r="N661" s="79" t="str">
        <f>+IFERROR(VLOOKUP(CONCATENATE(A661,$C$10,C661),'ID1&amp;5'!B:J,8,FALSE),"-")</f>
        <v>-</v>
      </c>
      <c r="O661" s="78" t="str">
        <f>+IFERROR(VLOOKUP(C661,'ID1&amp;5'!K:L,2,FALSE),"-")</f>
        <v>-</v>
      </c>
      <c r="P661" s="79" t="str">
        <f>+IFERROR(VLOOKUP(CONCATENATE(A661,$C$10,C661),'ID1&amp;5'!B:J,9,FALSE),"-")</f>
        <v>-</v>
      </c>
      <c r="Q661" s="78" t="str">
        <f>+IFERROR(VLOOKUP(D661,'ID1&amp;5'!K:L,2,FALSE),"-")</f>
        <v>-</v>
      </c>
      <c r="R661" s="26" t="str">
        <f>+IFERROR(VLOOKUP(CONCATENATE(A661,$D$10,D661),'ID1&amp;5'!B:J,9,FALSE),"-")</f>
        <v>-</v>
      </c>
      <c r="S661" s="78" t="str">
        <f>+IFERROR(VLOOKUP(E661,'ID1&amp;5'!K:L,2,FALSE),"-")</f>
        <v>-</v>
      </c>
      <c r="T661" s="79" t="str">
        <f>+IFERROR(VLOOKUP(CONCATENATE(A661,$E$10,E661),'ID1&amp;5'!B:J,9,FALSE),"-")</f>
        <v>-</v>
      </c>
      <c r="U661" s="78" t="str">
        <f>+IFERROR(VLOOKUP(F661,'ID1&amp;5'!K:L,2,FALSE),"-")</f>
        <v>-</v>
      </c>
      <c r="V661" s="79" t="str">
        <f>+IFERROR(VLOOKUP(CONCATENATE(A661,$F$10,F661),'ID1&amp;5'!B:J,9,FALSE),"-")</f>
        <v>-</v>
      </c>
      <c r="W661" s="26" t="str">
        <f>+IFERROR(VLOOKUP(A661,'ID6&amp;7'!A:I,9,FALSE),"-")</f>
        <v>-</v>
      </c>
      <c r="X661" s="26" t="str">
        <f>+IFERROR(VLOOKUP(A661,'ID6&amp;7'!A:J,10,FALSE),"-")</f>
        <v>-</v>
      </c>
      <c r="Y661" s="26"/>
      <c r="Z661" s="27" t="str">
        <f t="shared" si="11"/>
        <v>Por iniciar</v>
      </c>
      <c r="AA661" s="65"/>
    </row>
    <row r="662" spans="1:27">
      <c r="A662" s="20"/>
      <c r="B662" s="60"/>
      <c r="C662" s="60"/>
      <c r="D662" s="60"/>
      <c r="E662" s="60"/>
      <c r="F662" s="60"/>
      <c r="G662" s="60"/>
      <c r="H662" s="65" t="s">
        <v>310</v>
      </c>
      <c r="I662" s="21" t="s">
        <v>656</v>
      </c>
      <c r="J662" s="26">
        <f>+COUNTIF('ID1&amp;5'!G:G,'1. Status'!I662)</f>
        <v>0</v>
      </c>
      <c r="K662" s="79" t="str">
        <f>+IFERROR(VLOOKUP(CONCATENATE(A662,$B$10,B662),'ID1&amp;5'!B:J,8,FALSE),"-")</f>
        <v>-</v>
      </c>
      <c r="L662" s="78" t="str">
        <f>+IFERROR(VLOOKUP(B662,'ID1&amp;5'!K:L,2,FALSE),"-")</f>
        <v>-</v>
      </c>
      <c r="M662" s="79" t="str">
        <f>+IFERROR(VLOOKUP(CONCATENATE(A662,$B$10,B662),'ID1&amp;5'!B:J,9,FALSE),"-")</f>
        <v>-</v>
      </c>
      <c r="N662" s="79" t="str">
        <f>+IFERROR(VLOOKUP(CONCATENATE(A662,$C$10,C662),'ID1&amp;5'!B:J,8,FALSE),"-")</f>
        <v>-</v>
      </c>
      <c r="O662" s="78" t="str">
        <f>+IFERROR(VLOOKUP(C662,'ID1&amp;5'!K:L,2,FALSE),"-")</f>
        <v>-</v>
      </c>
      <c r="P662" s="79" t="str">
        <f>+IFERROR(VLOOKUP(CONCATENATE(A662,$C$10,C662),'ID1&amp;5'!B:J,9,FALSE),"-")</f>
        <v>-</v>
      </c>
      <c r="Q662" s="78" t="str">
        <f>+IFERROR(VLOOKUP(D662,'ID1&amp;5'!K:L,2,FALSE),"-")</f>
        <v>-</v>
      </c>
      <c r="R662" s="26" t="str">
        <f>+IFERROR(VLOOKUP(CONCATENATE(A662,$D$10,D662),'ID1&amp;5'!B:J,9,FALSE),"-")</f>
        <v>-</v>
      </c>
      <c r="S662" s="78" t="str">
        <f>+IFERROR(VLOOKUP(E662,'ID1&amp;5'!K:L,2,FALSE),"-")</f>
        <v>-</v>
      </c>
      <c r="T662" s="79" t="str">
        <f>+IFERROR(VLOOKUP(CONCATENATE(A662,$E$10,E662),'ID1&amp;5'!B:J,9,FALSE),"-")</f>
        <v>-</v>
      </c>
      <c r="U662" s="78" t="str">
        <f>+IFERROR(VLOOKUP(F662,'ID1&amp;5'!K:L,2,FALSE),"-")</f>
        <v>-</v>
      </c>
      <c r="V662" s="79" t="str">
        <f>+IFERROR(VLOOKUP(CONCATENATE(A662,$F$10,F662),'ID1&amp;5'!B:J,9,FALSE),"-")</f>
        <v>-</v>
      </c>
      <c r="W662" s="26" t="str">
        <f>+IFERROR(VLOOKUP(A662,'ID6&amp;7'!A:I,9,FALSE),"-")</f>
        <v>-</v>
      </c>
      <c r="X662" s="26" t="str">
        <f>+IFERROR(VLOOKUP(A662,'ID6&amp;7'!A:J,10,FALSE),"-")</f>
        <v>-</v>
      </c>
      <c r="Y662" s="26"/>
      <c r="Z662" s="27" t="str">
        <f t="shared" si="11"/>
        <v>Por iniciar</v>
      </c>
      <c r="AA662" s="65"/>
    </row>
    <row r="663" spans="1:27">
      <c r="A663" s="20"/>
      <c r="B663" s="60"/>
      <c r="C663" s="60"/>
      <c r="D663" s="60"/>
      <c r="E663" s="60"/>
      <c r="F663" s="60"/>
      <c r="G663" s="60"/>
      <c r="H663" s="65" t="s">
        <v>310</v>
      </c>
      <c r="I663" s="21" t="s">
        <v>1570</v>
      </c>
      <c r="J663" s="26">
        <f>+COUNTIF('ID1&amp;5'!G:G,'1. Status'!I663)</f>
        <v>0</v>
      </c>
      <c r="K663" s="79" t="str">
        <f>+IFERROR(VLOOKUP(CONCATENATE(A663,$B$10,B663),'ID1&amp;5'!B:J,8,FALSE),"-")</f>
        <v>-</v>
      </c>
      <c r="L663" s="78" t="str">
        <f>+IFERROR(VLOOKUP(B663,'ID1&amp;5'!K:L,2,FALSE),"-")</f>
        <v>-</v>
      </c>
      <c r="M663" s="79" t="str">
        <f>+IFERROR(VLOOKUP(CONCATENATE(A663,$B$10,B663),'ID1&amp;5'!B:J,9,FALSE),"-")</f>
        <v>-</v>
      </c>
      <c r="N663" s="79" t="str">
        <f>+IFERROR(VLOOKUP(CONCATENATE(A663,$C$10,C663),'ID1&amp;5'!B:J,8,FALSE),"-")</f>
        <v>-</v>
      </c>
      <c r="O663" s="78" t="str">
        <f>+IFERROR(VLOOKUP(C663,'ID1&amp;5'!K:L,2,FALSE),"-")</f>
        <v>-</v>
      </c>
      <c r="P663" s="79" t="str">
        <f>+IFERROR(VLOOKUP(CONCATENATE(A663,$C$10,C663),'ID1&amp;5'!B:J,9,FALSE),"-")</f>
        <v>-</v>
      </c>
      <c r="Q663" s="78" t="str">
        <f>+IFERROR(VLOOKUP(D663,'ID1&amp;5'!K:L,2,FALSE),"-")</f>
        <v>-</v>
      </c>
      <c r="R663" s="26" t="str">
        <f>+IFERROR(VLOOKUP(CONCATENATE(A663,$D$10,D663),'ID1&amp;5'!B:J,9,FALSE),"-")</f>
        <v>-</v>
      </c>
      <c r="S663" s="78" t="str">
        <f>+IFERROR(VLOOKUP(E663,'ID1&amp;5'!K:L,2,FALSE),"-")</f>
        <v>-</v>
      </c>
      <c r="T663" s="79" t="str">
        <f>+IFERROR(VLOOKUP(CONCATENATE(A663,$E$10,E663),'ID1&amp;5'!B:J,9,FALSE),"-")</f>
        <v>-</v>
      </c>
      <c r="U663" s="78" t="str">
        <f>+IFERROR(VLOOKUP(F663,'ID1&amp;5'!K:L,2,FALSE),"-")</f>
        <v>-</v>
      </c>
      <c r="V663" s="79" t="str">
        <f>+IFERROR(VLOOKUP(CONCATENATE(A663,$F$10,F663),'ID1&amp;5'!B:J,9,FALSE),"-")</f>
        <v>-</v>
      </c>
      <c r="W663" s="26" t="str">
        <f>+IFERROR(VLOOKUP(A663,'ID6&amp;7'!A:I,9,FALSE),"-")</f>
        <v>-</v>
      </c>
      <c r="X663" s="26" t="str">
        <f>+IFERROR(VLOOKUP(A663,'ID6&amp;7'!A:J,10,FALSE),"-")</f>
        <v>-</v>
      </c>
      <c r="Y663" s="26"/>
      <c r="Z663" s="27" t="str">
        <f t="shared" si="11"/>
        <v>Por iniciar</v>
      </c>
      <c r="AA663" s="65"/>
    </row>
    <row r="664" spans="1:27">
      <c r="A664" s="20"/>
      <c r="B664" s="60"/>
      <c r="C664" s="60"/>
      <c r="D664" s="60"/>
      <c r="E664" s="60"/>
      <c r="F664" s="60"/>
      <c r="G664" s="60"/>
      <c r="H664" s="65" t="s">
        <v>310</v>
      </c>
      <c r="I664" s="21" t="s">
        <v>1571</v>
      </c>
      <c r="J664" s="26">
        <f>+COUNTIF('ID1&amp;5'!G:G,'1. Status'!I664)</f>
        <v>0</v>
      </c>
      <c r="K664" s="79" t="str">
        <f>+IFERROR(VLOOKUP(CONCATENATE(A664,$B$10,B664),'ID1&amp;5'!B:J,8,FALSE),"-")</f>
        <v>-</v>
      </c>
      <c r="L664" s="78" t="str">
        <f>+IFERROR(VLOOKUP(B664,'ID1&amp;5'!K:L,2,FALSE),"-")</f>
        <v>-</v>
      </c>
      <c r="M664" s="79" t="str">
        <f>+IFERROR(VLOOKUP(CONCATENATE(A664,$B$10,B664),'ID1&amp;5'!B:J,9,FALSE),"-")</f>
        <v>-</v>
      </c>
      <c r="N664" s="79" t="str">
        <f>+IFERROR(VLOOKUP(CONCATENATE(A664,$C$10,C664),'ID1&amp;5'!B:J,8,FALSE),"-")</f>
        <v>-</v>
      </c>
      <c r="O664" s="78" t="str">
        <f>+IFERROR(VLOOKUP(C664,'ID1&amp;5'!K:L,2,FALSE),"-")</f>
        <v>-</v>
      </c>
      <c r="P664" s="79" t="str">
        <f>+IFERROR(VLOOKUP(CONCATENATE(A664,$C$10,C664),'ID1&amp;5'!B:J,9,FALSE),"-")</f>
        <v>-</v>
      </c>
      <c r="Q664" s="78" t="str">
        <f>+IFERROR(VLOOKUP(D664,'ID1&amp;5'!K:L,2,FALSE),"-")</f>
        <v>-</v>
      </c>
      <c r="R664" s="26" t="str">
        <f>+IFERROR(VLOOKUP(CONCATENATE(A664,$D$10,D664),'ID1&amp;5'!B:J,9,FALSE),"-")</f>
        <v>-</v>
      </c>
      <c r="S664" s="78" t="str">
        <f>+IFERROR(VLOOKUP(E664,'ID1&amp;5'!K:L,2,FALSE),"-")</f>
        <v>-</v>
      </c>
      <c r="T664" s="79" t="str">
        <f>+IFERROR(VLOOKUP(CONCATENATE(A664,$E$10,E664),'ID1&amp;5'!B:J,9,FALSE),"-")</f>
        <v>-</v>
      </c>
      <c r="U664" s="78" t="str">
        <f>+IFERROR(VLOOKUP(F664,'ID1&amp;5'!K:L,2,FALSE),"-")</f>
        <v>-</v>
      </c>
      <c r="V664" s="79" t="str">
        <f>+IFERROR(VLOOKUP(CONCATENATE(A664,$F$10,F664),'ID1&amp;5'!B:J,9,FALSE),"-")</f>
        <v>-</v>
      </c>
      <c r="W664" s="26" t="str">
        <f>+IFERROR(VLOOKUP(A664,'ID6&amp;7'!A:I,9,FALSE),"-")</f>
        <v>-</v>
      </c>
      <c r="X664" s="26" t="str">
        <f>+IFERROR(VLOOKUP(A664,'ID6&amp;7'!A:J,10,FALSE),"-")</f>
        <v>-</v>
      </c>
      <c r="Y664" s="26"/>
      <c r="Z664" s="27" t="str">
        <f t="shared" si="11"/>
        <v>Por iniciar</v>
      </c>
      <c r="AA664" s="65"/>
    </row>
    <row r="665" spans="1:27">
      <c r="A665" s="20"/>
      <c r="B665" s="60"/>
      <c r="C665" s="60"/>
      <c r="D665" s="60"/>
      <c r="E665" s="60"/>
      <c r="F665" s="60"/>
      <c r="G665" s="60"/>
      <c r="H665" s="65" t="s">
        <v>310</v>
      </c>
      <c r="I665" s="21" t="s">
        <v>1572</v>
      </c>
      <c r="J665" s="26">
        <f>+COUNTIF('ID1&amp;5'!G:G,'1. Status'!I665)</f>
        <v>0</v>
      </c>
      <c r="K665" s="79" t="str">
        <f>+IFERROR(VLOOKUP(CONCATENATE(A665,$B$10,B665),'ID1&amp;5'!B:J,8,FALSE),"-")</f>
        <v>-</v>
      </c>
      <c r="L665" s="78" t="str">
        <f>+IFERROR(VLOOKUP(B665,'ID1&amp;5'!K:L,2,FALSE),"-")</f>
        <v>-</v>
      </c>
      <c r="M665" s="79" t="str">
        <f>+IFERROR(VLOOKUP(CONCATENATE(A665,$B$10,B665),'ID1&amp;5'!B:J,9,FALSE),"-")</f>
        <v>-</v>
      </c>
      <c r="N665" s="79" t="str">
        <f>+IFERROR(VLOOKUP(CONCATENATE(A665,$C$10,C665),'ID1&amp;5'!B:J,8,FALSE),"-")</f>
        <v>-</v>
      </c>
      <c r="O665" s="78" t="str">
        <f>+IFERROR(VLOOKUP(C665,'ID1&amp;5'!K:L,2,FALSE),"-")</f>
        <v>-</v>
      </c>
      <c r="P665" s="79" t="str">
        <f>+IFERROR(VLOOKUP(CONCATENATE(A665,$C$10,C665),'ID1&amp;5'!B:J,9,FALSE),"-")</f>
        <v>-</v>
      </c>
      <c r="Q665" s="78" t="str">
        <f>+IFERROR(VLOOKUP(D665,'ID1&amp;5'!K:L,2,FALSE),"-")</f>
        <v>-</v>
      </c>
      <c r="R665" s="26" t="str">
        <f>+IFERROR(VLOOKUP(CONCATENATE(A665,$D$10,D665),'ID1&amp;5'!B:J,9,FALSE),"-")</f>
        <v>-</v>
      </c>
      <c r="S665" s="78" t="str">
        <f>+IFERROR(VLOOKUP(E665,'ID1&amp;5'!K:L,2,FALSE),"-")</f>
        <v>-</v>
      </c>
      <c r="T665" s="79" t="str">
        <f>+IFERROR(VLOOKUP(CONCATENATE(A665,$E$10,E665),'ID1&amp;5'!B:J,9,FALSE),"-")</f>
        <v>-</v>
      </c>
      <c r="U665" s="78" t="str">
        <f>+IFERROR(VLOOKUP(F665,'ID1&amp;5'!K:L,2,FALSE),"-")</f>
        <v>-</v>
      </c>
      <c r="V665" s="79" t="str">
        <f>+IFERROR(VLOOKUP(CONCATENATE(A665,$F$10,F665),'ID1&amp;5'!B:J,9,FALSE),"-")</f>
        <v>-</v>
      </c>
      <c r="W665" s="26" t="str">
        <f>+IFERROR(VLOOKUP(A665,'ID6&amp;7'!A:I,9,FALSE),"-")</f>
        <v>-</v>
      </c>
      <c r="X665" s="26" t="str">
        <f>+IFERROR(VLOOKUP(A665,'ID6&amp;7'!A:J,10,FALSE),"-")</f>
        <v>-</v>
      </c>
      <c r="Y665" s="26"/>
      <c r="Z665" s="27" t="str">
        <f t="shared" si="11"/>
        <v>Por iniciar</v>
      </c>
      <c r="AA665" s="65"/>
    </row>
    <row r="666" spans="1:27">
      <c r="A666" s="20"/>
      <c r="B666" s="60"/>
      <c r="C666" s="60"/>
      <c r="D666" s="60"/>
      <c r="E666" s="60"/>
      <c r="F666" s="60"/>
      <c r="G666" s="60"/>
      <c r="H666" s="65" t="s">
        <v>310</v>
      </c>
      <c r="I666" s="21" t="s">
        <v>290</v>
      </c>
      <c r="J666" s="26">
        <f>+COUNTIF('ID1&amp;5'!G:G,'1. Status'!I666)</f>
        <v>0</v>
      </c>
      <c r="K666" s="79" t="str">
        <f>+IFERROR(VLOOKUP(CONCATENATE(A666,$B$10,B666),'ID1&amp;5'!B:J,8,FALSE),"-")</f>
        <v>-</v>
      </c>
      <c r="L666" s="78" t="str">
        <f>+IFERROR(VLOOKUP(B666,'ID1&amp;5'!K:L,2,FALSE),"-")</f>
        <v>-</v>
      </c>
      <c r="M666" s="79" t="str">
        <f>+IFERROR(VLOOKUP(CONCATENATE(A666,$B$10,B666),'ID1&amp;5'!B:J,9,FALSE),"-")</f>
        <v>-</v>
      </c>
      <c r="N666" s="79" t="str">
        <f>+IFERROR(VLOOKUP(CONCATENATE(A666,$C$10,C666),'ID1&amp;5'!B:J,8,FALSE),"-")</f>
        <v>-</v>
      </c>
      <c r="O666" s="78" t="str">
        <f>+IFERROR(VLOOKUP(C666,'ID1&amp;5'!K:L,2,FALSE),"-")</f>
        <v>-</v>
      </c>
      <c r="P666" s="79" t="str">
        <f>+IFERROR(VLOOKUP(CONCATENATE(A666,$C$10,C666),'ID1&amp;5'!B:J,9,FALSE),"-")</f>
        <v>-</v>
      </c>
      <c r="Q666" s="78" t="str">
        <f>+IFERROR(VLOOKUP(D666,'ID1&amp;5'!K:L,2,FALSE),"-")</f>
        <v>-</v>
      </c>
      <c r="R666" s="26" t="str">
        <f>+IFERROR(VLOOKUP(CONCATENATE(A666,$D$10,D666),'ID1&amp;5'!B:J,9,FALSE),"-")</f>
        <v>-</v>
      </c>
      <c r="S666" s="78" t="str">
        <f>+IFERROR(VLOOKUP(E666,'ID1&amp;5'!K:L,2,FALSE),"-")</f>
        <v>-</v>
      </c>
      <c r="T666" s="79" t="str">
        <f>+IFERROR(VLOOKUP(CONCATENATE(A666,$E$10,E666),'ID1&amp;5'!B:J,9,FALSE),"-")</f>
        <v>-</v>
      </c>
      <c r="U666" s="78" t="str">
        <f>+IFERROR(VLOOKUP(F666,'ID1&amp;5'!K:L,2,FALSE),"-")</f>
        <v>-</v>
      </c>
      <c r="V666" s="79" t="str">
        <f>+IFERROR(VLOOKUP(CONCATENATE(A666,$F$10,F666),'ID1&amp;5'!B:J,9,FALSE),"-")</f>
        <v>-</v>
      </c>
      <c r="W666" s="26" t="str">
        <f>+IFERROR(VLOOKUP(A666,'ID6&amp;7'!A:I,9,FALSE),"-")</f>
        <v>-</v>
      </c>
      <c r="X666" s="26" t="str">
        <f>+IFERROR(VLOOKUP(A666,'ID6&amp;7'!A:J,10,FALSE),"-")</f>
        <v>-</v>
      </c>
      <c r="Y666" s="26"/>
      <c r="Z666" s="27" t="str">
        <f t="shared" si="11"/>
        <v>Por iniciar</v>
      </c>
      <c r="AA666" s="65"/>
    </row>
    <row r="667" spans="1:27">
      <c r="A667" s="20"/>
      <c r="B667" s="60"/>
      <c r="C667" s="60"/>
      <c r="D667" s="60"/>
      <c r="E667" s="60"/>
      <c r="F667" s="60"/>
      <c r="G667" s="60"/>
      <c r="H667" s="65" t="s">
        <v>310</v>
      </c>
      <c r="I667" s="21" t="s">
        <v>1489</v>
      </c>
      <c r="J667" s="26">
        <f>+COUNTIF('ID1&amp;5'!G:G,'1. Status'!I667)</f>
        <v>0</v>
      </c>
      <c r="K667" s="79" t="str">
        <f>+IFERROR(VLOOKUP(CONCATENATE(A667,$B$10,B667),'ID1&amp;5'!B:J,8,FALSE),"-")</f>
        <v>-</v>
      </c>
      <c r="L667" s="78" t="str">
        <f>+IFERROR(VLOOKUP(B667,'ID1&amp;5'!K:L,2,FALSE),"-")</f>
        <v>-</v>
      </c>
      <c r="M667" s="79" t="str">
        <f>+IFERROR(VLOOKUP(CONCATENATE(A667,$B$10,B667),'ID1&amp;5'!B:J,9,FALSE),"-")</f>
        <v>-</v>
      </c>
      <c r="N667" s="79" t="str">
        <f>+IFERROR(VLOOKUP(CONCATENATE(A667,$C$10,C667),'ID1&amp;5'!B:J,8,FALSE),"-")</f>
        <v>-</v>
      </c>
      <c r="O667" s="78" t="str">
        <f>+IFERROR(VLOOKUP(C667,'ID1&amp;5'!K:L,2,FALSE),"-")</f>
        <v>-</v>
      </c>
      <c r="P667" s="79" t="str">
        <f>+IFERROR(VLOOKUP(CONCATENATE(A667,$C$10,C667),'ID1&amp;5'!B:J,9,FALSE),"-")</f>
        <v>-</v>
      </c>
      <c r="Q667" s="78" t="str">
        <f>+IFERROR(VLOOKUP(D667,'ID1&amp;5'!K:L,2,FALSE),"-")</f>
        <v>-</v>
      </c>
      <c r="R667" s="26" t="str">
        <f>+IFERROR(VLOOKUP(CONCATENATE(A667,$D$10,D667),'ID1&amp;5'!B:J,9,FALSE),"-")</f>
        <v>-</v>
      </c>
      <c r="S667" s="78" t="str">
        <f>+IFERROR(VLOOKUP(E667,'ID1&amp;5'!K:L,2,FALSE),"-")</f>
        <v>-</v>
      </c>
      <c r="T667" s="79" t="str">
        <f>+IFERROR(VLOOKUP(CONCATENATE(A667,$E$10,E667),'ID1&amp;5'!B:J,9,FALSE),"-")</f>
        <v>-</v>
      </c>
      <c r="U667" s="78" t="str">
        <f>+IFERROR(VLOOKUP(F667,'ID1&amp;5'!K:L,2,FALSE),"-")</f>
        <v>-</v>
      </c>
      <c r="V667" s="79" t="str">
        <f>+IFERROR(VLOOKUP(CONCATENATE(A667,$F$10,F667),'ID1&amp;5'!B:J,9,FALSE),"-")</f>
        <v>-</v>
      </c>
      <c r="W667" s="26" t="str">
        <f>+IFERROR(VLOOKUP(A667,'ID6&amp;7'!A:I,9,FALSE),"-")</f>
        <v>-</v>
      </c>
      <c r="X667" s="26" t="str">
        <f>+IFERROR(VLOOKUP(A667,'ID6&amp;7'!A:J,10,FALSE),"-")</f>
        <v>-</v>
      </c>
      <c r="Y667" s="26"/>
      <c r="Z667" s="27" t="str">
        <f t="shared" si="11"/>
        <v>Por iniciar</v>
      </c>
      <c r="AA667" s="65"/>
    </row>
    <row r="668" spans="1:27">
      <c r="A668" s="20"/>
      <c r="B668" s="60"/>
      <c r="C668" s="60"/>
      <c r="D668" s="60"/>
      <c r="E668" s="60"/>
      <c r="F668" s="60"/>
      <c r="G668" s="60"/>
      <c r="H668" s="65" t="s">
        <v>310</v>
      </c>
      <c r="I668" s="21" t="s">
        <v>1188</v>
      </c>
      <c r="J668" s="26">
        <f>+COUNTIF('ID1&amp;5'!G:G,'1. Status'!I668)</f>
        <v>0</v>
      </c>
      <c r="K668" s="79" t="str">
        <f>+IFERROR(VLOOKUP(CONCATENATE(A668,$B$10,B668),'ID1&amp;5'!B:J,8,FALSE),"-")</f>
        <v>-</v>
      </c>
      <c r="L668" s="78" t="str">
        <f>+IFERROR(VLOOKUP(B668,'ID1&amp;5'!K:L,2,FALSE),"-")</f>
        <v>-</v>
      </c>
      <c r="M668" s="79" t="str">
        <f>+IFERROR(VLOOKUP(CONCATENATE(A668,$B$10,B668),'ID1&amp;5'!B:J,9,FALSE),"-")</f>
        <v>-</v>
      </c>
      <c r="N668" s="79" t="str">
        <f>+IFERROR(VLOOKUP(CONCATENATE(A668,$C$10,C668),'ID1&amp;5'!B:J,8,FALSE),"-")</f>
        <v>-</v>
      </c>
      <c r="O668" s="78" t="str">
        <f>+IFERROR(VLOOKUP(C668,'ID1&amp;5'!K:L,2,FALSE),"-")</f>
        <v>-</v>
      </c>
      <c r="P668" s="79" t="str">
        <f>+IFERROR(VLOOKUP(CONCATENATE(A668,$C$10,C668),'ID1&amp;5'!B:J,9,FALSE),"-")</f>
        <v>-</v>
      </c>
      <c r="Q668" s="78" t="str">
        <f>+IFERROR(VLOOKUP(D668,'ID1&amp;5'!K:L,2,FALSE),"-")</f>
        <v>-</v>
      </c>
      <c r="R668" s="26" t="str">
        <f>+IFERROR(VLOOKUP(CONCATENATE(A668,$D$10,D668),'ID1&amp;5'!B:J,9,FALSE),"-")</f>
        <v>-</v>
      </c>
      <c r="S668" s="78" t="str">
        <f>+IFERROR(VLOOKUP(E668,'ID1&amp;5'!K:L,2,FALSE),"-")</f>
        <v>-</v>
      </c>
      <c r="T668" s="79" t="str">
        <f>+IFERROR(VLOOKUP(CONCATENATE(A668,$E$10,E668),'ID1&amp;5'!B:J,9,FALSE),"-")</f>
        <v>-</v>
      </c>
      <c r="U668" s="78" t="str">
        <f>+IFERROR(VLOOKUP(F668,'ID1&amp;5'!K:L,2,FALSE),"-")</f>
        <v>-</v>
      </c>
      <c r="V668" s="79" t="str">
        <f>+IFERROR(VLOOKUP(CONCATENATE(A668,$F$10,F668),'ID1&amp;5'!B:J,9,FALSE),"-")</f>
        <v>-</v>
      </c>
      <c r="W668" s="26" t="str">
        <f>+IFERROR(VLOOKUP(A668,'ID6&amp;7'!A:I,9,FALSE),"-")</f>
        <v>-</v>
      </c>
      <c r="X668" s="26" t="str">
        <f>+IFERROR(VLOOKUP(A668,'ID6&amp;7'!A:J,10,FALSE),"-")</f>
        <v>-</v>
      </c>
      <c r="Y668" s="26"/>
      <c r="Z668" s="27" t="str">
        <f t="shared" si="11"/>
        <v>Por iniciar</v>
      </c>
      <c r="AA668" s="65"/>
    </row>
    <row r="669" spans="1:27">
      <c r="A669" s="20"/>
      <c r="B669" s="60"/>
      <c r="C669" s="60"/>
      <c r="D669" s="60"/>
      <c r="E669" s="60"/>
      <c r="F669" s="60"/>
      <c r="G669" s="60"/>
      <c r="H669" s="65" t="s">
        <v>310</v>
      </c>
      <c r="I669" s="21" t="s">
        <v>1573</v>
      </c>
      <c r="J669" s="26">
        <f>+COUNTIF('ID1&amp;5'!G:G,'1. Status'!I669)</f>
        <v>0</v>
      </c>
      <c r="K669" s="79" t="str">
        <f>+IFERROR(VLOOKUP(CONCATENATE(A669,$B$10,B669),'ID1&amp;5'!B:J,8,FALSE),"-")</f>
        <v>-</v>
      </c>
      <c r="L669" s="78" t="str">
        <f>+IFERROR(VLOOKUP(B669,'ID1&amp;5'!K:L,2,FALSE),"-")</f>
        <v>-</v>
      </c>
      <c r="M669" s="79" t="str">
        <f>+IFERROR(VLOOKUP(CONCATENATE(A669,$B$10,B669),'ID1&amp;5'!B:J,9,FALSE),"-")</f>
        <v>-</v>
      </c>
      <c r="N669" s="79" t="str">
        <f>+IFERROR(VLOOKUP(CONCATENATE(A669,$C$10,C669),'ID1&amp;5'!B:J,8,FALSE),"-")</f>
        <v>-</v>
      </c>
      <c r="O669" s="78" t="str">
        <f>+IFERROR(VLOOKUP(C669,'ID1&amp;5'!K:L,2,FALSE),"-")</f>
        <v>-</v>
      </c>
      <c r="P669" s="79" t="str">
        <f>+IFERROR(VLOOKUP(CONCATENATE(A669,$C$10,C669),'ID1&amp;5'!B:J,9,FALSE),"-")</f>
        <v>-</v>
      </c>
      <c r="Q669" s="78" t="str">
        <f>+IFERROR(VLOOKUP(D669,'ID1&amp;5'!K:L,2,FALSE),"-")</f>
        <v>-</v>
      </c>
      <c r="R669" s="26" t="str">
        <f>+IFERROR(VLOOKUP(CONCATENATE(A669,$D$10,D669),'ID1&amp;5'!B:J,9,FALSE),"-")</f>
        <v>-</v>
      </c>
      <c r="S669" s="78" t="str">
        <f>+IFERROR(VLOOKUP(E669,'ID1&amp;5'!K:L,2,FALSE),"-")</f>
        <v>-</v>
      </c>
      <c r="T669" s="79" t="str">
        <f>+IFERROR(VLOOKUP(CONCATENATE(A669,$E$10,E669),'ID1&amp;5'!B:J,9,FALSE),"-")</f>
        <v>-</v>
      </c>
      <c r="U669" s="78" t="str">
        <f>+IFERROR(VLOOKUP(F669,'ID1&amp;5'!K:L,2,FALSE),"-")</f>
        <v>-</v>
      </c>
      <c r="V669" s="79" t="str">
        <f>+IFERROR(VLOOKUP(CONCATENATE(A669,$F$10,F669),'ID1&amp;5'!B:J,9,FALSE),"-")</f>
        <v>-</v>
      </c>
      <c r="W669" s="26" t="str">
        <f>+IFERROR(VLOOKUP(A669,'ID6&amp;7'!A:I,9,FALSE),"-")</f>
        <v>-</v>
      </c>
      <c r="X669" s="26" t="str">
        <f>+IFERROR(VLOOKUP(A669,'ID6&amp;7'!A:J,10,FALSE),"-")</f>
        <v>-</v>
      </c>
      <c r="Y669" s="26"/>
      <c r="Z669" s="27" t="str">
        <f t="shared" si="11"/>
        <v>Por iniciar</v>
      </c>
      <c r="AA669" s="65"/>
    </row>
    <row r="670" spans="1:27">
      <c r="A670" s="20"/>
      <c r="B670" s="60"/>
      <c r="C670" s="60"/>
      <c r="D670" s="60"/>
      <c r="E670" s="60"/>
      <c r="F670" s="60"/>
      <c r="G670" s="60"/>
      <c r="H670" s="65" t="s">
        <v>310</v>
      </c>
      <c r="I670" s="21" t="s">
        <v>1574</v>
      </c>
      <c r="J670" s="26">
        <f>+COUNTIF('ID1&amp;5'!G:G,'1. Status'!I670)</f>
        <v>0</v>
      </c>
      <c r="K670" s="79" t="str">
        <f>+IFERROR(VLOOKUP(CONCATENATE(A670,$B$10,B670),'ID1&amp;5'!B:J,8,FALSE),"-")</f>
        <v>-</v>
      </c>
      <c r="L670" s="78" t="str">
        <f>+IFERROR(VLOOKUP(B670,'ID1&amp;5'!K:L,2,FALSE),"-")</f>
        <v>-</v>
      </c>
      <c r="M670" s="79" t="str">
        <f>+IFERROR(VLOOKUP(CONCATENATE(A670,$B$10,B670),'ID1&amp;5'!B:J,9,FALSE),"-")</f>
        <v>-</v>
      </c>
      <c r="N670" s="79" t="str">
        <f>+IFERROR(VLOOKUP(CONCATENATE(A670,$C$10,C670),'ID1&amp;5'!B:J,8,FALSE),"-")</f>
        <v>-</v>
      </c>
      <c r="O670" s="78" t="str">
        <f>+IFERROR(VLOOKUP(C670,'ID1&amp;5'!K:L,2,FALSE),"-")</f>
        <v>-</v>
      </c>
      <c r="P670" s="79" t="str">
        <f>+IFERROR(VLOOKUP(CONCATENATE(A670,$C$10,C670),'ID1&amp;5'!B:J,9,FALSE),"-")</f>
        <v>-</v>
      </c>
      <c r="Q670" s="78" t="str">
        <f>+IFERROR(VLOOKUP(D670,'ID1&amp;5'!K:L,2,FALSE),"-")</f>
        <v>-</v>
      </c>
      <c r="R670" s="26" t="str">
        <f>+IFERROR(VLOOKUP(CONCATENATE(A670,$D$10,D670),'ID1&amp;5'!B:J,9,FALSE),"-")</f>
        <v>-</v>
      </c>
      <c r="S670" s="78" t="str">
        <f>+IFERROR(VLOOKUP(E670,'ID1&amp;5'!K:L,2,FALSE),"-")</f>
        <v>-</v>
      </c>
      <c r="T670" s="79" t="str">
        <f>+IFERROR(VLOOKUP(CONCATENATE(A670,$E$10,E670),'ID1&amp;5'!B:J,9,FALSE),"-")</f>
        <v>-</v>
      </c>
      <c r="U670" s="78" t="str">
        <f>+IFERROR(VLOOKUP(F670,'ID1&amp;5'!K:L,2,FALSE),"-")</f>
        <v>-</v>
      </c>
      <c r="V670" s="79" t="str">
        <f>+IFERROR(VLOOKUP(CONCATENATE(A670,$F$10,F670),'ID1&amp;5'!B:J,9,FALSE),"-")</f>
        <v>-</v>
      </c>
      <c r="W670" s="26" t="str">
        <f>+IFERROR(VLOOKUP(A670,'ID6&amp;7'!A:I,9,FALSE),"-")</f>
        <v>-</v>
      </c>
      <c r="X670" s="26" t="str">
        <f>+IFERROR(VLOOKUP(A670,'ID6&amp;7'!A:J,10,FALSE),"-")</f>
        <v>-</v>
      </c>
      <c r="Y670" s="26"/>
      <c r="Z670" s="27" t="str">
        <f t="shared" si="11"/>
        <v>Por iniciar</v>
      </c>
      <c r="AA670" s="65"/>
    </row>
    <row r="671" spans="1:27">
      <c r="A671" s="20"/>
      <c r="B671" s="60"/>
      <c r="C671" s="60"/>
      <c r="D671" s="60"/>
      <c r="E671" s="60"/>
      <c r="F671" s="60"/>
      <c r="G671" s="60"/>
      <c r="H671" s="65" t="s">
        <v>311</v>
      </c>
      <c r="I671" s="21" t="s">
        <v>27</v>
      </c>
      <c r="J671" s="26">
        <f>+COUNTIF('ID1&amp;5'!G:G,'1. Status'!I671)</f>
        <v>0</v>
      </c>
      <c r="K671" s="79" t="str">
        <f>+IFERROR(VLOOKUP(CONCATENATE(A671,$B$10,B671),'ID1&amp;5'!B:J,8,FALSE),"-")</f>
        <v>-</v>
      </c>
      <c r="L671" s="78" t="str">
        <f>+IFERROR(VLOOKUP(B671,'ID1&amp;5'!K:L,2,FALSE),"-")</f>
        <v>-</v>
      </c>
      <c r="M671" s="79" t="str">
        <f>+IFERROR(VLOOKUP(CONCATENATE(A671,$B$10,B671),'ID1&amp;5'!B:J,9,FALSE),"-")</f>
        <v>-</v>
      </c>
      <c r="N671" s="79" t="str">
        <f>+IFERROR(VLOOKUP(CONCATENATE(A671,$C$10,C671),'ID1&amp;5'!B:J,8,FALSE),"-")</f>
        <v>-</v>
      </c>
      <c r="O671" s="78" t="str">
        <f>+IFERROR(VLOOKUP(C671,'ID1&amp;5'!K:L,2,FALSE),"-")</f>
        <v>-</v>
      </c>
      <c r="P671" s="79" t="str">
        <f>+IFERROR(VLOOKUP(CONCATENATE(A671,$C$10,C671),'ID1&amp;5'!B:J,9,FALSE),"-")</f>
        <v>-</v>
      </c>
      <c r="Q671" s="78" t="str">
        <f>+IFERROR(VLOOKUP(D671,'ID1&amp;5'!K:L,2,FALSE),"-")</f>
        <v>-</v>
      </c>
      <c r="R671" s="26" t="str">
        <f>+IFERROR(VLOOKUP(CONCATENATE(A671,$D$10,D671),'ID1&amp;5'!B:J,9,FALSE),"-")</f>
        <v>-</v>
      </c>
      <c r="S671" s="78" t="str">
        <f>+IFERROR(VLOOKUP(E671,'ID1&amp;5'!K:L,2,FALSE),"-")</f>
        <v>-</v>
      </c>
      <c r="T671" s="79" t="str">
        <f>+IFERROR(VLOOKUP(CONCATENATE(A671,$E$10,E671),'ID1&amp;5'!B:J,9,FALSE),"-")</f>
        <v>-</v>
      </c>
      <c r="U671" s="78" t="str">
        <f>+IFERROR(VLOOKUP(F671,'ID1&amp;5'!K:L,2,FALSE),"-")</f>
        <v>-</v>
      </c>
      <c r="V671" s="79" t="str">
        <f>+IFERROR(VLOOKUP(CONCATENATE(A671,$F$10,F671),'ID1&amp;5'!B:J,9,FALSE),"-")</f>
        <v>-</v>
      </c>
      <c r="W671" s="26" t="str">
        <f>+IFERROR(VLOOKUP(A671,'ID6&amp;7'!A:I,9,FALSE),"-")</f>
        <v>-</v>
      </c>
      <c r="X671" s="26" t="str">
        <f>+IFERROR(VLOOKUP(A671,'ID6&amp;7'!A:J,10,FALSE),"-")</f>
        <v>-</v>
      </c>
      <c r="Y671" s="26"/>
      <c r="Z671" s="27" t="str">
        <f t="shared" si="11"/>
        <v>Por iniciar</v>
      </c>
      <c r="AA671" s="65"/>
    </row>
    <row r="672" spans="1:27">
      <c r="A672" s="20"/>
      <c r="B672" s="60"/>
      <c r="C672" s="60"/>
      <c r="D672" s="60"/>
      <c r="E672" s="60"/>
      <c r="F672" s="60"/>
      <c r="G672" s="60"/>
      <c r="H672" s="65" t="s">
        <v>311</v>
      </c>
      <c r="I672" s="21" t="s">
        <v>29</v>
      </c>
      <c r="J672" s="26">
        <f>+COUNTIF('ID1&amp;5'!G:G,'1. Status'!I672)</f>
        <v>0</v>
      </c>
      <c r="K672" s="79" t="str">
        <f>+IFERROR(VLOOKUP(CONCATENATE(A672,$B$10,B672),'ID1&amp;5'!B:J,8,FALSE),"-")</f>
        <v>-</v>
      </c>
      <c r="L672" s="78" t="str">
        <f>+IFERROR(VLOOKUP(B672,'ID1&amp;5'!K:L,2,FALSE),"-")</f>
        <v>-</v>
      </c>
      <c r="M672" s="79" t="str">
        <f>+IFERROR(VLOOKUP(CONCATENATE(A672,$B$10,B672),'ID1&amp;5'!B:J,9,FALSE),"-")</f>
        <v>-</v>
      </c>
      <c r="N672" s="79" t="str">
        <f>+IFERROR(VLOOKUP(CONCATENATE(A672,$C$10,C672),'ID1&amp;5'!B:J,8,FALSE),"-")</f>
        <v>-</v>
      </c>
      <c r="O672" s="78" t="str">
        <f>+IFERROR(VLOOKUP(C672,'ID1&amp;5'!K:L,2,FALSE),"-")</f>
        <v>-</v>
      </c>
      <c r="P672" s="79" t="str">
        <f>+IFERROR(VLOOKUP(CONCATENATE(A672,$C$10,C672),'ID1&amp;5'!B:J,9,FALSE),"-")</f>
        <v>-</v>
      </c>
      <c r="Q672" s="78" t="str">
        <f>+IFERROR(VLOOKUP(D672,'ID1&amp;5'!K:L,2,FALSE),"-")</f>
        <v>-</v>
      </c>
      <c r="R672" s="26" t="str">
        <f>+IFERROR(VLOOKUP(CONCATENATE(A672,$D$10,D672),'ID1&amp;5'!B:J,9,FALSE),"-")</f>
        <v>-</v>
      </c>
      <c r="S672" s="78" t="str">
        <f>+IFERROR(VLOOKUP(E672,'ID1&amp;5'!K:L,2,FALSE),"-")</f>
        <v>-</v>
      </c>
      <c r="T672" s="79" t="str">
        <f>+IFERROR(VLOOKUP(CONCATENATE(A672,$E$10,E672),'ID1&amp;5'!B:J,9,FALSE),"-")</f>
        <v>-</v>
      </c>
      <c r="U672" s="78" t="str">
        <f>+IFERROR(VLOOKUP(F672,'ID1&amp;5'!K:L,2,FALSE),"-")</f>
        <v>-</v>
      </c>
      <c r="V672" s="79" t="str">
        <f>+IFERROR(VLOOKUP(CONCATENATE(A672,$F$10,F672),'ID1&amp;5'!B:J,9,FALSE),"-")</f>
        <v>-</v>
      </c>
      <c r="W672" s="26" t="str">
        <f>+IFERROR(VLOOKUP(A672,'ID6&amp;7'!A:I,9,FALSE),"-")</f>
        <v>-</v>
      </c>
      <c r="X672" s="26" t="str">
        <f>+IFERROR(VLOOKUP(A672,'ID6&amp;7'!A:J,10,FALSE),"-")</f>
        <v>-</v>
      </c>
      <c r="Y672" s="26"/>
      <c r="Z672" s="27" t="str">
        <f t="shared" si="11"/>
        <v>Por iniciar</v>
      </c>
      <c r="AA672" s="65"/>
    </row>
    <row r="673" spans="1:27">
      <c r="A673" s="20"/>
      <c r="B673" s="60"/>
      <c r="C673" s="60"/>
      <c r="D673" s="60"/>
      <c r="E673" s="60"/>
      <c r="F673" s="60"/>
      <c r="G673" s="60"/>
      <c r="H673" s="65" t="s">
        <v>311</v>
      </c>
      <c r="I673" s="21" t="s">
        <v>727</v>
      </c>
      <c r="J673" s="26">
        <f>+COUNTIF('ID1&amp;5'!G:G,'1. Status'!I673)</f>
        <v>0</v>
      </c>
      <c r="K673" s="79" t="str">
        <f>+IFERROR(VLOOKUP(CONCATENATE(A673,$B$10,B673),'ID1&amp;5'!B:J,8,FALSE),"-")</f>
        <v>-</v>
      </c>
      <c r="L673" s="78" t="str">
        <f>+IFERROR(VLOOKUP(B673,'ID1&amp;5'!K:L,2,FALSE),"-")</f>
        <v>-</v>
      </c>
      <c r="M673" s="79" t="str">
        <f>+IFERROR(VLOOKUP(CONCATENATE(A673,$B$10,B673),'ID1&amp;5'!B:J,9,FALSE),"-")</f>
        <v>-</v>
      </c>
      <c r="N673" s="79" t="str">
        <f>+IFERROR(VLOOKUP(CONCATENATE(A673,$C$10,C673),'ID1&amp;5'!B:J,8,FALSE),"-")</f>
        <v>-</v>
      </c>
      <c r="O673" s="78" t="str">
        <f>+IFERROR(VLOOKUP(C673,'ID1&amp;5'!K:L,2,FALSE),"-")</f>
        <v>-</v>
      </c>
      <c r="P673" s="79" t="str">
        <f>+IFERROR(VLOOKUP(CONCATENATE(A673,$C$10,C673),'ID1&amp;5'!B:J,9,FALSE),"-")</f>
        <v>-</v>
      </c>
      <c r="Q673" s="78" t="str">
        <f>+IFERROR(VLOOKUP(D673,'ID1&amp;5'!K:L,2,FALSE),"-")</f>
        <v>-</v>
      </c>
      <c r="R673" s="26" t="str">
        <f>+IFERROR(VLOOKUP(CONCATENATE(A673,$D$10,D673),'ID1&amp;5'!B:J,9,FALSE),"-")</f>
        <v>-</v>
      </c>
      <c r="S673" s="78" t="str">
        <f>+IFERROR(VLOOKUP(E673,'ID1&amp;5'!K:L,2,FALSE),"-")</f>
        <v>-</v>
      </c>
      <c r="T673" s="79" t="str">
        <f>+IFERROR(VLOOKUP(CONCATENATE(A673,$E$10,E673),'ID1&amp;5'!B:J,9,FALSE),"-")</f>
        <v>-</v>
      </c>
      <c r="U673" s="78" t="str">
        <f>+IFERROR(VLOOKUP(F673,'ID1&amp;5'!K:L,2,FALSE),"-")</f>
        <v>-</v>
      </c>
      <c r="V673" s="79" t="str">
        <f>+IFERROR(VLOOKUP(CONCATENATE(A673,$F$10,F673),'ID1&amp;5'!B:J,9,FALSE),"-")</f>
        <v>-</v>
      </c>
      <c r="W673" s="26" t="str">
        <f>+IFERROR(VLOOKUP(A673,'ID6&amp;7'!A:I,9,FALSE),"-")</f>
        <v>-</v>
      </c>
      <c r="X673" s="26" t="str">
        <f>+IFERROR(VLOOKUP(A673,'ID6&amp;7'!A:J,10,FALSE),"-")</f>
        <v>-</v>
      </c>
      <c r="Y673" s="26"/>
      <c r="Z673" s="27" t="str">
        <f t="shared" si="11"/>
        <v>Por iniciar</v>
      </c>
      <c r="AA673" s="65"/>
    </row>
    <row r="674" spans="1:27">
      <c r="A674" s="20"/>
      <c r="B674" s="60"/>
      <c r="C674" s="60"/>
      <c r="D674" s="60"/>
      <c r="E674" s="60"/>
      <c r="F674" s="60"/>
      <c r="G674" s="60"/>
      <c r="H674" s="65" t="s">
        <v>311</v>
      </c>
      <c r="I674" s="21" t="s">
        <v>1575</v>
      </c>
      <c r="J674" s="26">
        <f>+COUNTIF('ID1&amp;5'!G:G,'1. Status'!I674)</f>
        <v>0</v>
      </c>
      <c r="K674" s="79" t="str">
        <f>+IFERROR(VLOOKUP(CONCATENATE(A674,$B$10,B674),'ID1&amp;5'!B:J,8,FALSE),"-")</f>
        <v>-</v>
      </c>
      <c r="L674" s="78" t="str">
        <f>+IFERROR(VLOOKUP(B674,'ID1&amp;5'!K:L,2,FALSE),"-")</f>
        <v>-</v>
      </c>
      <c r="M674" s="79" t="str">
        <f>+IFERROR(VLOOKUP(CONCATENATE(A674,$B$10,B674),'ID1&amp;5'!B:J,9,FALSE),"-")</f>
        <v>-</v>
      </c>
      <c r="N674" s="79" t="str">
        <f>+IFERROR(VLOOKUP(CONCATENATE(A674,$C$10,C674),'ID1&amp;5'!B:J,8,FALSE),"-")</f>
        <v>-</v>
      </c>
      <c r="O674" s="78" t="str">
        <f>+IFERROR(VLOOKUP(C674,'ID1&amp;5'!K:L,2,FALSE),"-")</f>
        <v>-</v>
      </c>
      <c r="P674" s="79" t="str">
        <f>+IFERROR(VLOOKUP(CONCATENATE(A674,$C$10,C674),'ID1&amp;5'!B:J,9,FALSE),"-")</f>
        <v>-</v>
      </c>
      <c r="Q674" s="78" t="str">
        <f>+IFERROR(VLOOKUP(D674,'ID1&amp;5'!K:L,2,FALSE),"-")</f>
        <v>-</v>
      </c>
      <c r="R674" s="26" t="str">
        <f>+IFERROR(VLOOKUP(CONCATENATE(A674,$D$10,D674),'ID1&amp;5'!B:J,9,FALSE),"-")</f>
        <v>-</v>
      </c>
      <c r="S674" s="78" t="str">
        <f>+IFERROR(VLOOKUP(E674,'ID1&amp;5'!K:L,2,FALSE),"-")</f>
        <v>-</v>
      </c>
      <c r="T674" s="79" t="str">
        <f>+IFERROR(VLOOKUP(CONCATENATE(A674,$E$10,E674),'ID1&amp;5'!B:J,9,FALSE),"-")</f>
        <v>-</v>
      </c>
      <c r="U674" s="78" t="str">
        <f>+IFERROR(VLOOKUP(F674,'ID1&amp;5'!K:L,2,FALSE),"-")</f>
        <v>-</v>
      </c>
      <c r="V674" s="79" t="str">
        <f>+IFERROR(VLOOKUP(CONCATENATE(A674,$F$10,F674),'ID1&amp;5'!B:J,9,FALSE),"-")</f>
        <v>-</v>
      </c>
      <c r="W674" s="26" t="str">
        <f>+IFERROR(VLOOKUP(A674,'ID6&amp;7'!A:I,9,FALSE),"-")</f>
        <v>-</v>
      </c>
      <c r="X674" s="26" t="str">
        <f>+IFERROR(VLOOKUP(A674,'ID6&amp;7'!A:J,10,FALSE),"-")</f>
        <v>-</v>
      </c>
      <c r="Y674" s="26"/>
      <c r="Z674" s="27" t="str">
        <f t="shared" si="11"/>
        <v>Por iniciar</v>
      </c>
      <c r="AA674" s="65"/>
    </row>
    <row r="675" spans="1:27">
      <c r="A675" s="20"/>
      <c r="B675" s="60"/>
      <c r="C675" s="60"/>
      <c r="D675" s="60"/>
      <c r="E675" s="60"/>
      <c r="F675" s="60"/>
      <c r="G675" s="60"/>
      <c r="H675" s="65" t="s">
        <v>311</v>
      </c>
      <c r="I675" s="21" t="s">
        <v>1576</v>
      </c>
      <c r="J675" s="26">
        <f>+COUNTIF('ID1&amp;5'!G:G,'1. Status'!I675)</f>
        <v>0</v>
      </c>
      <c r="K675" s="79" t="str">
        <f>+IFERROR(VLOOKUP(CONCATENATE(A675,$B$10,B675),'ID1&amp;5'!B:J,8,FALSE),"-")</f>
        <v>-</v>
      </c>
      <c r="L675" s="78" t="str">
        <f>+IFERROR(VLOOKUP(B675,'ID1&amp;5'!K:L,2,FALSE),"-")</f>
        <v>-</v>
      </c>
      <c r="M675" s="79" t="str">
        <f>+IFERROR(VLOOKUP(CONCATENATE(A675,$B$10,B675),'ID1&amp;5'!B:J,9,FALSE),"-")</f>
        <v>-</v>
      </c>
      <c r="N675" s="79" t="str">
        <f>+IFERROR(VLOOKUP(CONCATENATE(A675,$C$10,C675),'ID1&amp;5'!B:J,8,FALSE),"-")</f>
        <v>-</v>
      </c>
      <c r="O675" s="78" t="str">
        <f>+IFERROR(VLOOKUP(C675,'ID1&amp;5'!K:L,2,FALSE),"-")</f>
        <v>-</v>
      </c>
      <c r="P675" s="79" t="str">
        <f>+IFERROR(VLOOKUP(CONCATENATE(A675,$C$10,C675),'ID1&amp;5'!B:J,9,FALSE),"-")</f>
        <v>-</v>
      </c>
      <c r="Q675" s="78" t="str">
        <f>+IFERROR(VLOOKUP(D675,'ID1&amp;5'!K:L,2,FALSE),"-")</f>
        <v>-</v>
      </c>
      <c r="R675" s="26" t="str">
        <f>+IFERROR(VLOOKUP(CONCATENATE(A675,$D$10,D675),'ID1&amp;5'!B:J,9,FALSE),"-")</f>
        <v>-</v>
      </c>
      <c r="S675" s="78" t="str">
        <f>+IFERROR(VLOOKUP(E675,'ID1&amp;5'!K:L,2,FALSE),"-")</f>
        <v>-</v>
      </c>
      <c r="T675" s="79" t="str">
        <f>+IFERROR(VLOOKUP(CONCATENATE(A675,$E$10,E675),'ID1&amp;5'!B:J,9,FALSE),"-")</f>
        <v>-</v>
      </c>
      <c r="U675" s="78" t="str">
        <f>+IFERROR(VLOOKUP(F675,'ID1&amp;5'!K:L,2,FALSE),"-")</f>
        <v>-</v>
      </c>
      <c r="V675" s="79" t="str">
        <f>+IFERROR(VLOOKUP(CONCATENATE(A675,$F$10,F675),'ID1&amp;5'!B:J,9,FALSE),"-")</f>
        <v>-</v>
      </c>
      <c r="W675" s="26" t="str">
        <f>+IFERROR(VLOOKUP(A675,'ID6&amp;7'!A:I,9,FALSE),"-")</f>
        <v>-</v>
      </c>
      <c r="X675" s="26" t="str">
        <f>+IFERROR(VLOOKUP(A675,'ID6&amp;7'!A:J,10,FALSE),"-")</f>
        <v>-</v>
      </c>
      <c r="Y675" s="26"/>
      <c r="Z675" s="27" t="str">
        <f t="shared" si="11"/>
        <v>Por iniciar</v>
      </c>
      <c r="AA675" s="65"/>
    </row>
    <row r="676" spans="1:27">
      <c r="A676" s="20"/>
      <c r="B676" s="60"/>
      <c r="C676" s="60"/>
      <c r="D676" s="60"/>
      <c r="E676" s="60"/>
      <c r="F676" s="60"/>
      <c r="G676" s="60"/>
      <c r="H676" s="65" t="s">
        <v>311</v>
      </c>
      <c r="I676" s="21" t="s">
        <v>1577</v>
      </c>
      <c r="J676" s="26">
        <f>+COUNTIF('ID1&amp;5'!G:G,'1. Status'!I676)</f>
        <v>0</v>
      </c>
      <c r="K676" s="79" t="str">
        <f>+IFERROR(VLOOKUP(CONCATENATE(A676,$B$10,B676),'ID1&amp;5'!B:J,8,FALSE),"-")</f>
        <v>-</v>
      </c>
      <c r="L676" s="78" t="str">
        <f>+IFERROR(VLOOKUP(B676,'ID1&amp;5'!K:L,2,FALSE),"-")</f>
        <v>-</v>
      </c>
      <c r="M676" s="79" t="str">
        <f>+IFERROR(VLOOKUP(CONCATENATE(A676,$B$10,B676),'ID1&amp;5'!B:J,9,FALSE),"-")</f>
        <v>-</v>
      </c>
      <c r="N676" s="79" t="str">
        <f>+IFERROR(VLOOKUP(CONCATENATE(A676,$C$10,C676),'ID1&amp;5'!B:J,8,FALSE),"-")</f>
        <v>-</v>
      </c>
      <c r="O676" s="78" t="str">
        <f>+IFERROR(VLOOKUP(C676,'ID1&amp;5'!K:L,2,FALSE),"-")</f>
        <v>-</v>
      </c>
      <c r="P676" s="79" t="str">
        <f>+IFERROR(VLOOKUP(CONCATENATE(A676,$C$10,C676),'ID1&amp;5'!B:J,9,FALSE),"-")</f>
        <v>-</v>
      </c>
      <c r="Q676" s="78" t="str">
        <f>+IFERROR(VLOOKUP(D676,'ID1&amp;5'!K:L,2,FALSE),"-")</f>
        <v>-</v>
      </c>
      <c r="R676" s="26" t="str">
        <f>+IFERROR(VLOOKUP(CONCATENATE(A676,$D$10,D676),'ID1&amp;5'!B:J,9,FALSE),"-")</f>
        <v>-</v>
      </c>
      <c r="S676" s="78" t="str">
        <f>+IFERROR(VLOOKUP(E676,'ID1&amp;5'!K:L,2,FALSE),"-")</f>
        <v>-</v>
      </c>
      <c r="T676" s="79" t="str">
        <f>+IFERROR(VLOOKUP(CONCATENATE(A676,$E$10,E676),'ID1&amp;5'!B:J,9,FALSE),"-")</f>
        <v>-</v>
      </c>
      <c r="U676" s="78" t="str">
        <f>+IFERROR(VLOOKUP(F676,'ID1&amp;5'!K:L,2,FALSE),"-")</f>
        <v>-</v>
      </c>
      <c r="V676" s="79" t="str">
        <f>+IFERROR(VLOOKUP(CONCATENATE(A676,$F$10,F676),'ID1&amp;5'!B:J,9,FALSE),"-")</f>
        <v>-</v>
      </c>
      <c r="W676" s="26" t="str">
        <f>+IFERROR(VLOOKUP(A676,'ID6&amp;7'!A:I,9,FALSE),"-")</f>
        <v>-</v>
      </c>
      <c r="X676" s="26" t="str">
        <f>+IFERROR(VLOOKUP(A676,'ID6&amp;7'!A:J,10,FALSE),"-")</f>
        <v>-</v>
      </c>
      <c r="Y676" s="26"/>
      <c r="Z676" s="27" t="str">
        <f t="shared" si="11"/>
        <v>Por iniciar</v>
      </c>
      <c r="AA676" s="65"/>
    </row>
    <row r="677" spans="1:27">
      <c r="A677" s="20"/>
      <c r="B677" s="60"/>
      <c r="C677" s="60"/>
      <c r="D677" s="60"/>
      <c r="E677" s="60"/>
      <c r="F677" s="60"/>
      <c r="G677" s="60"/>
      <c r="H677" s="65" t="s">
        <v>311</v>
      </c>
      <c r="I677" s="21" t="s">
        <v>1245</v>
      </c>
      <c r="J677" s="26">
        <f>+COUNTIF('ID1&amp;5'!G:G,'1. Status'!I677)</f>
        <v>0</v>
      </c>
      <c r="K677" s="79" t="str">
        <f>+IFERROR(VLOOKUP(CONCATENATE(A677,$B$10,B677),'ID1&amp;5'!B:J,8,FALSE),"-")</f>
        <v>-</v>
      </c>
      <c r="L677" s="78" t="str">
        <f>+IFERROR(VLOOKUP(B677,'ID1&amp;5'!K:L,2,FALSE),"-")</f>
        <v>-</v>
      </c>
      <c r="M677" s="79" t="str">
        <f>+IFERROR(VLOOKUP(CONCATENATE(A677,$B$10,B677),'ID1&amp;5'!B:J,9,FALSE),"-")</f>
        <v>-</v>
      </c>
      <c r="N677" s="79" t="str">
        <f>+IFERROR(VLOOKUP(CONCATENATE(A677,$C$10,C677),'ID1&amp;5'!B:J,8,FALSE),"-")</f>
        <v>-</v>
      </c>
      <c r="O677" s="78" t="str">
        <f>+IFERROR(VLOOKUP(C677,'ID1&amp;5'!K:L,2,FALSE),"-")</f>
        <v>-</v>
      </c>
      <c r="P677" s="79" t="str">
        <f>+IFERROR(VLOOKUP(CONCATENATE(A677,$C$10,C677),'ID1&amp;5'!B:J,9,FALSE),"-")</f>
        <v>-</v>
      </c>
      <c r="Q677" s="78" t="str">
        <f>+IFERROR(VLOOKUP(D677,'ID1&amp;5'!K:L,2,FALSE),"-")</f>
        <v>-</v>
      </c>
      <c r="R677" s="26" t="str">
        <f>+IFERROR(VLOOKUP(CONCATENATE(A677,$D$10,D677),'ID1&amp;5'!B:J,9,FALSE),"-")</f>
        <v>-</v>
      </c>
      <c r="S677" s="78" t="str">
        <f>+IFERROR(VLOOKUP(E677,'ID1&amp;5'!K:L,2,FALSE),"-")</f>
        <v>-</v>
      </c>
      <c r="T677" s="79" t="str">
        <f>+IFERROR(VLOOKUP(CONCATENATE(A677,$E$10,E677),'ID1&amp;5'!B:J,9,FALSE),"-")</f>
        <v>-</v>
      </c>
      <c r="U677" s="78" t="str">
        <f>+IFERROR(VLOOKUP(F677,'ID1&amp;5'!K:L,2,FALSE),"-")</f>
        <v>-</v>
      </c>
      <c r="V677" s="79" t="str">
        <f>+IFERROR(VLOOKUP(CONCATENATE(A677,$F$10,F677),'ID1&amp;5'!B:J,9,FALSE),"-")</f>
        <v>-</v>
      </c>
      <c r="W677" s="26" t="str">
        <f>+IFERROR(VLOOKUP(A677,'ID6&amp;7'!A:I,9,FALSE),"-")</f>
        <v>-</v>
      </c>
      <c r="X677" s="26" t="str">
        <f>+IFERROR(VLOOKUP(A677,'ID6&amp;7'!A:J,10,FALSE),"-")</f>
        <v>-</v>
      </c>
      <c r="Y677" s="26"/>
      <c r="Z677" s="27" t="str">
        <f t="shared" si="11"/>
        <v>Por iniciar</v>
      </c>
      <c r="AA677" s="65"/>
    </row>
    <row r="678" spans="1:27">
      <c r="A678" s="20"/>
      <c r="B678" s="60"/>
      <c r="C678" s="60"/>
      <c r="D678" s="60"/>
      <c r="E678" s="60"/>
      <c r="F678" s="60"/>
      <c r="G678" s="60"/>
      <c r="H678" s="65" t="s">
        <v>311</v>
      </c>
      <c r="I678" s="21" t="s">
        <v>1246</v>
      </c>
      <c r="J678" s="26">
        <f>+COUNTIF('ID1&amp;5'!G:G,'1. Status'!I678)</f>
        <v>0</v>
      </c>
      <c r="K678" s="79" t="str">
        <f>+IFERROR(VLOOKUP(CONCATENATE(A678,$B$10,B678),'ID1&amp;5'!B:J,8,FALSE),"-")</f>
        <v>-</v>
      </c>
      <c r="L678" s="78" t="str">
        <f>+IFERROR(VLOOKUP(B678,'ID1&amp;5'!K:L,2,FALSE),"-")</f>
        <v>-</v>
      </c>
      <c r="M678" s="79" t="str">
        <f>+IFERROR(VLOOKUP(CONCATENATE(A678,$B$10,B678),'ID1&amp;5'!B:J,9,FALSE),"-")</f>
        <v>-</v>
      </c>
      <c r="N678" s="79" t="str">
        <f>+IFERROR(VLOOKUP(CONCATENATE(A678,$C$10,C678),'ID1&amp;5'!B:J,8,FALSE),"-")</f>
        <v>-</v>
      </c>
      <c r="O678" s="78" t="str">
        <f>+IFERROR(VLOOKUP(C678,'ID1&amp;5'!K:L,2,FALSE),"-")</f>
        <v>-</v>
      </c>
      <c r="P678" s="79" t="str">
        <f>+IFERROR(VLOOKUP(CONCATENATE(A678,$C$10,C678),'ID1&amp;5'!B:J,9,FALSE),"-")</f>
        <v>-</v>
      </c>
      <c r="Q678" s="78" t="str">
        <f>+IFERROR(VLOOKUP(D678,'ID1&amp;5'!K:L,2,FALSE),"-")</f>
        <v>-</v>
      </c>
      <c r="R678" s="26" t="str">
        <f>+IFERROR(VLOOKUP(CONCATENATE(A678,$D$10,D678),'ID1&amp;5'!B:J,9,FALSE),"-")</f>
        <v>-</v>
      </c>
      <c r="S678" s="78" t="str">
        <f>+IFERROR(VLOOKUP(E678,'ID1&amp;5'!K:L,2,FALSE),"-")</f>
        <v>-</v>
      </c>
      <c r="T678" s="79" t="str">
        <f>+IFERROR(VLOOKUP(CONCATENATE(A678,$E$10,E678),'ID1&amp;5'!B:J,9,FALSE),"-")</f>
        <v>-</v>
      </c>
      <c r="U678" s="78" t="str">
        <f>+IFERROR(VLOOKUP(F678,'ID1&amp;5'!K:L,2,FALSE),"-")</f>
        <v>-</v>
      </c>
      <c r="V678" s="79" t="str">
        <f>+IFERROR(VLOOKUP(CONCATENATE(A678,$F$10,F678),'ID1&amp;5'!B:J,9,FALSE),"-")</f>
        <v>-</v>
      </c>
      <c r="W678" s="26" t="str">
        <f>+IFERROR(VLOOKUP(A678,'ID6&amp;7'!A:I,9,FALSE),"-")</f>
        <v>-</v>
      </c>
      <c r="X678" s="26" t="str">
        <f>+IFERROR(VLOOKUP(A678,'ID6&amp;7'!A:J,10,FALSE),"-")</f>
        <v>-</v>
      </c>
      <c r="Y678" s="26"/>
      <c r="Z678" s="27" t="str">
        <f t="shared" si="11"/>
        <v>Por iniciar</v>
      </c>
      <c r="AA678" s="65"/>
    </row>
    <row r="679" spans="1:27">
      <c r="A679" s="20"/>
      <c r="B679" s="60"/>
      <c r="C679" s="60"/>
      <c r="D679" s="60"/>
      <c r="E679" s="60"/>
      <c r="F679" s="60"/>
      <c r="G679" s="60"/>
      <c r="H679" s="65" t="s">
        <v>311</v>
      </c>
      <c r="I679" s="21" t="s">
        <v>1247</v>
      </c>
      <c r="J679" s="26">
        <f>+COUNTIF('ID1&amp;5'!G:G,'1. Status'!I679)</f>
        <v>0</v>
      </c>
      <c r="K679" s="79" t="str">
        <f>+IFERROR(VLOOKUP(CONCATENATE(A679,$B$10,B679),'ID1&amp;5'!B:J,8,FALSE),"-")</f>
        <v>-</v>
      </c>
      <c r="L679" s="78" t="str">
        <f>+IFERROR(VLOOKUP(B679,'ID1&amp;5'!K:L,2,FALSE),"-")</f>
        <v>-</v>
      </c>
      <c r="M679" s="79" t="str">
        <f>+IFERROR(VLOOKUP(CONCATENATE(A679,$B$10,B679),'ID1&amp;5'!B:J,9,FALSE),"-")</f>
        <v>-</v>
      </c>
      <c r="N679" s="79" t="str">
        <f>+IFERROR(VLOOKUP(CONCATENATE(A679,$C$10,C679),'ID1&amp;5'!B:J,8,FALSE),"-")</f>
        <v>-</v>
      </c>
      <c r="O679" s="78" t="str">
        <f>+IFERROR(VLOOKUP(C679,'ID1&amp;5'!K:L,2,FALSE),"-")</f>
        <v>-</v>
      </c>
      <c r="P679" s="79" t="str">
        <f>+IFERROR(VLOOKUP(CONCATENATE(A679,$C$10,C679),'ID1&amp;5'!B:J,9,FALSE),"-")</f>
        <v>-</v>
      </c>
      <c r="Q679" s="78" t="str">
        <f>+IFERROR(VLOOKUP(D679,'ID1&amp;5'!K:L,2,FALSE),"-")</f>
        <v>-</v>
      </c>
      <c r="R679" s="26" t="str">
        <f>+IFERROR(VLOOKUP(CONCATENATE(A679,$D$10,D679),'ID1&amp;5'!B:J,9,FALSE),"-")</f>
        <v>-</v>
      </c>
      <c r="S679" s="78" t="str">
        <f>+IFERROR(VLOOKUP(E679,'ID1&amp;5'!K:L,2,FALSE),"-")</f>
        <v>-</v>
      </c>
      <c r="T679" s="79" t="str">
        <f>+IFERROR(VLOOKUP(CONCATENATE(A679,$E$10,E679),'ID1&amp;5'!B:J,9,FALSE),"-")</f>
        <v>-</v>
      </c>
      <c r="U679" s="78" t="str">
        <f>+IFERROR(VLOOKUP(F679,'ID1&amp;5'!K:L,2,FALSE),"-")</f>
        <v>-</v>
      </c>
      <c r="V679" s="79" t="str">
        <f>+IFERROR(VLOOKUP(CONCATENATE(A679,$F$10,F679),'ID1&amp;5'!B:J,9,FALSE),"-")</f>
        <v>-</v>
      </c>
      <c r="W679" s="26" t="str">
        <f>+IFERROR(VLOOKUP(A679,'ID6&amp;7'!A:I,9,FALSE),"-")</f>
        <v>-</v>
      </c>
      <c r="X679" s="26" t="str">
        <f>+IFERROR(VLOOKUP(A679,'ID6&amp;7'!A:J,10,FALSE),"-")</f>
        <v>-</v>
      </c>
      <c r="Y679" s="26"/>
      <c r="Z679" s="27" t="str">
        <f t="shared" si="11"/>
        <v>Por iniciar</v>
      </c>
      <c r="AA679" s="65"/>
    </row>
    <row r="680" spans="1:27">
      <c r="A680" s="20"/>
      <c r="B680" s="60"/>
      <c r="C680" s="60"/>
      <c r="D680" s="60"/>
      <c r="E680" s="60"/>
      <c r="F680" s="60"/>
      <c r="G680" s="60"/>
      <c r="H680" s="65" t="s">
        <v>311</v>
      </c>
      <c r="I680" s="21" t="s">
        <v>1248</v>
      </c>
      <c r="J680" s="26">
        <f>+COUNTIF('ID1&amp;5'!G:G,'1. Status'!I680)</f>
        <v>0</v>
      </c>
      <c r="K680" s="79" t="str">
        <f>+IFERROR(VLOOKUP(CONCATENATE(A680,$B$10,B680),'ID1&amp;5'!B:J,8,FALSE),"-")</f>
        <v>-</v>
      </c>
      <c r="L680" s="78" t="str">
        <f>+IFERROR(VLOOKUP(B680,'ID1&amp;5'!K:L,2,FALSE),"-")</f>
        <v>-</v>
      </c>
      <c r="M680" s="79" t="str">
        <f>+IFERROR(VLOOKUP(CONCATENATE(A680,$B$10,B680),'ID1&amp;5'!B:J,9,FALSE),"-")</f>
        <v>-</v>
      </c>
      <c r="N680" s="79" t="str">
        <f>+IFERROR(VLOOKUP(CONCATENATE(A680,$C$10,C680),'ID1&amp;5'!B:J,8,FALSE),"-")</f>
        <v>-</v>
      </c>
      <c r="O680" s="78" t="str">
        <f>+IFERROR(VLOOKUP(C680,'ID1&amp;5'!K:L,2,FALSE),"-")</f>
        <v>-</v>
      </c>
      <c r="P680" s="79" t="str">
        <f>+IFERROR(VLOOKUP(CONCATENATE(A680,$C$10,C680),'ID1&amp;5'!B:J,9,FALSE),"-")</f>
        <v>-</v>
      </c>
      <c r="Q680" s="78" t="str">
        <f>+IFERROR(VLOOKUP(D680,'ID1&amp;5'!K:L,2,FALSE),"-")</f>
        <v>-</v>
      </c>
      <c r="R680" s="26" t="str">
        <f>+IFERROR(VLOOKUP(CONCATENATE(A680,$D$10,D680),'ID1&amp;5'!B:J,9,FALSE),"-")</f>
        <v>-</v>
      </c>
      <c r="S680" s="78" t="str">
        <f>+IFERROR(VLOOKUP(E680,'ID1&amp;5'!K:L,2,FALSE),"-")</f>
        <v>-</v>
      </c>
      <c r="T680" s="79" t="str">
        <f>+IFERROR(VLOOKUP(CONCATENATE(A680,$E$10,E680),'ID1&amp;5'!B:J,9,FALSE),"-")</f>
        <v>-</v>
      </c>
      <c r="U680" s="78" t="str">
        <f>+IFERROR(VLOOKUP(F680,'ID1&amp;5'!K:L,2,FALSE),"-")</f>
        <v>-</v>
      </c>
      <c r="V680" s="79" t="str">
        <f>+IFERROR(VLOOKUP(CONCATENATE(A680,$F$10,F680),'ID1&amp;5'!B:J,9,FALSE),"-")</f>
        <v>-</v>
      </c>
      <c r="W680" s="26" t="str">
        <f>+IFERROR(VLOOKUP(A680,'ID6&amp;7'!A:I,9,FALSE),"-")</f>
        <v>-</v>
      </c>
      <c r="X680" s="26" t="str">
        <f>+IFERROR(VLOOKUP(A680,'ID6&amp;7'!A:J,10,FALSE),"-")</f>
        <v>-</v>
      </c>
      <c r="Y680" s="26"/>
      <c r="Z680" s="27" t="str">
        <f t="shared" si="11"/>
        <v>Por iniciar</v>
      </c>
      <c r="AA680" s="65"/>
    </row>
    <row r="681" spans="1:27">
      <c r="A681" s="20"/>
      <c r="B681" s="60"/>
      <c r="C681" s="60"/>
      <c r="D681" s="60"/>
      <c r="E681" s="60"/>
      <c r="F681" s="60"/>
      <c r="G681" s="60"/>
      <c r="H681" s="65" t="s">
        <v>311</v>
      </c>
      <c r="I681" s="21" t="s">
        <v>1249</v>
      </c>
      <c r="J681" s="26">
        <f>+COUNTIF('ID1&amp;5'!G:G,'1. Status'!I681)</f>
        <v>0</v>
      </c>
      <c r="K681" s="79" t="str">
        <f>+IFERROR(VLOOKUP(CONCATENATE(A681,$B$10,B681),'ID1&amp;5'!B:J,8,FALSE),"-")</f>
        <v>-</v>
      </c>
      <c r="L681" s="78" t="str">
        <f>+IFERROR(VLOOKUP(B681,'ID1&amp;5'!K:L,2,FALSE),"-")</f>
        <v>-</v>
      </c>
      <c r="M681" s="79" t="str">
        <f>+IFERROR(VLOOKUP(CONCATENATE(A681,$B$10,B681),'ID1&amp;5'!B:J,9,FALSE),"-")</f>
        <v>-</v>
      </c>
      <c r="N681" s="79" t="str">
        <f>+IFERROR(VLOOKUP(CONCATENATE(A681,$C$10,C681),'ID1&amp;5'!B:J,8,FALSE),"-")</f>
        <v>-</v>
      </c>
      <c r="O681" s="78" t="str">
        <f>+IFERROR(VLOOKUP(C681,'ID1&amp;5'!K:L,2,FALSE),"-")</f>
        <v>-</v>
      </c>
      <c r="P681" s="79" t="str">
        <f>+IFERROR(VLOOKUP(CONCATENATE(A681,$C$10,C681),'ID1&amp;5'!B:J,9,FALSE),"-")</f>
        <v>-</v>
      </c>
      <c r="Q681" s="78" t="str">
        <f>+IFERROR(VLOOKUP(D681,'ID1&amp;5'!K:L,2,FALSE),"-")</f>
        <v>-</v>
      </c>
      <c r="R681" s="26" t="str">
        <f>+IFERROR(VLOOKUP(CONCATENATE(A681,$D$10,D681),'ID1&amp;5'!B:J,9,FALSE),"-")</f>
        <v>-</v>
      </c>
      <c r="S681" s="78" t="str">
        <f>+IFERROR(VLOOKUP(E681,'ID1&amp;5'!K:L,2,FALSE),"-")</f>
        <v>-</v>
      </c>
      <c r="T681" s="79" t="str">
        <f>+IFERROR(VLOOKUP(CONCATENATE(A681,$E$10,E681),'ID1&amp;5'!B:J,9,FALSE),"-")</f>
        <v>-</v>
      </c>
      <c r="U681" s="78" t="str">
        <f>+IFERROR(VLOOKUP(F681,'ID1&amp;5'!K:L,2,FALSE),"-")</f>
        <v>-</v>
      </c>
      <c r="V681" s="79" t="str">
        <f>+IFERROR(VLOOKUP(CONCATENATE(A681,$F$10,F681),'ID1&amp;5'!B:J,9,FALSE),"-")</f>
        <v>-</v>
      </c>
      <c r="W681" s="26" t="str">
        <f>+IFERROR(VLOOKUP(A681,'ID6&amp;7'!A:I,9,FALSE),"-")</f>
        <v>-</v>
      </c>
      <c r="X681" s="26" t="str">
        <f>+IFERROR(VLOOKUP(A681,'ID6&amp;7'!A:J,10,FALSE),"-")</f>
        <v>-</v>
      </c>
      <c r="Y681" s="26"/>
      <c r="Z681" s="27" t="str">
        <f t="shared" si="11"/>
        <v>Por iniciar</v>
      </c>
      <c r="AA681" s="65"/>
    </row>
    <row r="682" spans="1:27">
      <c r="A682" s="20"/>
      <c r="B682" s="60"/>
      <c r="C682" s="60"/>
      <c r="D682" s="60"/>
      <c r="E682" s="60"/>
      <c r="F682" s="60"/>
      <c r="G682" s="60"/>
      <c r="H682" s="65" t="s">
        <v>311</v>
      </c>
      <c r="I682" s="21" t="s">
        <v>656</v>
      </c>
      <c r="J682" s="26">
        <f>+COUNTIF('ID1&amp;5'!G:G,'1. Status'!I682)</f>
        <v>0</v>
      </c>
      <c r="K682" s="79" t="str">
        <f>+IFERROR(VLOOKUP(CONCATENATE(A682,$B$10,B682),'ID1&amp;5'!B:J,8,FALSE),"-")</f>
        <v>-</v>
      </c>
      <c r="L682" s="78" t="str">
        <f>+IFERROR(VLOOKUP(B682,'ID1&amp;5'!K:L,2,FALSE),"-")</f>
        <v>-</v>
      </c>
      <c r="M682" s="79" t="str">
        <f>+IFERROR(VLOOKUP(CONCATENATE(A682,$B$10,B682),'ID1&amp;5'!B:J,9,FALSE),"-")</f>
        <v>-</v>
      </c>
      <c r="N682" s="79" t="str">
        <f>+IFERROR(VLOOKUP(CONCATENATE(A682,$C$10,C682),'ID1&amp;5'!B:J,8,FALSE),"-")</f>
        <v>-</v>
      </c>
      <c r="O682" s="78" t="str">
        <f>+IFERROR(VLOOKUP(C682,'ID1&amp;5'!K:L,2,FALSE),"-")</f>
        <v>-</v>
      </c>
      <c r="P682" s="79" t="str">
        <f>+IFERROR(VLOOKUP(CONCATENATE(A682,$C$10,C682),'ID1&amp;5'!B:J,9,FALSE),"-")</f>
        <v>-</v>
      </c>
      <c r="Q682" s="78" t="str">
        <f>+IFERROR(VLOOKUP(D682,'ID1&amp;5'!K:L,2,FALSE),"-")</f>
        <v>-</v>
      </c>
      <c r="R682" s="26" t="str">
        <f>+IFERROR(VLOOKUP(CONCATENATE(A682,$D$10,D682),'ID1&amp;5'!B:J,9,FALSE),"-")</f>
        <v>-</v>
      </c>
      <c r="S682" s="78" t="str">
        <f>+IFERROR(VLOOKUP(E682,'ID1&amp;5'!K:L,2,FALSE),"-")</f>
        <v>-</v>
      </c>
      <c r="T682" s="79" t="str">
        <f>+IFERROR(VLOOKUP(CONCATENATE(A682,$E$10,E682),'ID1&amp;5'!B:J,9,FALSE),"-")</f>
        <v>-</v>
      </c>
      <c r="U682" s="78" t="str">
        <f>+IFERROR(VLOOKUP(F682,'ID1&amp;5'!K:L,2,FALSE),"-")</f>
        <v>-</v>
      </c>
      <c r="V682" s="79" t="str">
        <f>+IFERROR(VLOOKUP(CONCATENATE(A682,$F$10,F682),'ID1&amp;5'!B:J,9,FALSE),"-")</f>
        <v>-</v>
      </c>
      <c r="W682" s="26" t="str">
        <f>+IFERROR(VLOOKUP(A682,'ID6&amp;7'!A:I,9,FALSE),"-")</f>
        <v>-</v>
      </c>
      <c r="X682" s="26" t="str">
        <f>+IFERROR(VLOOKUP(A682,'ID6&amp;7'!A:J,10,FALSE),"-")</f>
        <v>-</v>
      </c>
      <c r="Y682" s="26"/>
      <c r="Z682" s="27" t="str">
        <f t="shared" si="11"/>
        <v>Por iniciar</v>
      </c>
      <c r="AA682" s="65"/>
    </row>
    <row r="683" spans="1:27">
      <c r="A683" s="20"/>
      <c r="B683" s="60"/>
      <c r="C683" s="60"/>
      <c r="D683" s="60"/>
      <c r="E683" s="60"/>
      <c r="F683" s="60"/>
      <c r="G683" s="60"/>
      <c r="H683" s="100"/>
      <c r="I683" s="100"/>
      <c r="J683" s="101">
        <f>+COUNTIF('ID1&amp;5'!G:G,'1. Status'!I683)</f>
        <v>0</v>
      </c>
      <c r="K683" s="102" t="str">
        <f>+IFERROR(VLOOKUP(CONCATENATE(A683,$B$10,B683),'ID1&amp;5'!B:J,8,FALSE),"-")</f>
        <v>-</v>
      </c>
      <c r="L683" s="103" t="str">
        <f>+IFERROR(VLOOKUP(B683,'ID1&amp;5'!K:L,2,FALSE),"-")</f>
        <v>-</v>
      </c>
      <c r="M683" s="102" t="str">
        <f>+IFERROR(VLOOKUP(CONCATENATE(A683,$B$10,B683),'ID1&amp;5'!B:J,9,FALSE),"-")</f>
        <v>-</v>
      </c>
      <c r="N683" s="102" t="str">
        <f>+IFERROR(VLOOKUP(CONCATENATE(A683,$C$10,C683),'ID1&amp;5'!B:J,8,FALSE),"-")</f>
        <v>-</v>
      </c>
      <c r="O683" s="103" t="str">
        <f>+IFERROR(VLOOKUP(C683,'ID1&amp;5'!K:L,2,FALSE),"-")</f>
        <v>-</v>
      </c>
      <c r="P683" s="102" t="str">
        <f>+IFERROR(VLOOKUP(CONCATENATE(A683,$C$10,C683),'ID1&amp;5'!B:J,9,FALSE),"-")</f>
        <v>-</v>
      </c>
      <c r="Q683" s="103" t="str">
        <f>+IFERROR(VLOOKUP(D683,'ID1&amp;5'!K:L,2,FALSE),"-")</f>
        <v>-</v>
      </c>
      <c r="R683" s="101" t="str">
        <f>+IFERROR(VLOOKUP(CONCATENATE(A683,$D$10,D683),'ID1&amp;5'!B:J,9,FALSE),"-")</f>
        <v>-</v>
      </c>
      <c r="S683" s="103" t="str">
        <f>+IFERROR(VLOOKUP(E683,'ID1&amp;5'!K:L,2,FALSE),"-")</f>
        <v>-</v>
      </c>
      <c r="T683" s="102" t="str">
        <f>+IFERROR(VLOOKUP(CONCATENATE(A683,$E$10,E683),'ID1&amp;5'!B:J,9,FALSE),"-")</f>
        <v>-</v>
      </c>
      <c r="U683" s="103" t="str">
        <f>+IFERROR(VLOOKUP(F683,'ID1&amp;5'!K:L,2,FALSE),"-")</f>
        <v>-</v>
      </c>
      <c r="V683" s="102" t="str">
        <f>+IFERROR(VLOOKUP(CONCATENATE(A683,$F$10,F683),'ID1&amp;5'!B:J,9,FALSE),"-")</f>
        <v>-</v>
      </c>
      <c r="W683" s="101" t="str">
        <f>+IFERROR(VLOOKUP(A683,'ID6&amp;7'!A:I,9,FALSE),"-")</f>
        <v>-</v>
      </c>
      <c r="X683" s="101" t="str">
        <f>+IFERROR(VLOOKUP(A683,'ID6&amp;7'!A:J,10,FALSE),"-")</f>
        <v>-</v>
      </c>
      <c r="Y683" s="101"/>
      <c r="Z683" s="104" t="str">
        <f t="shared" si="11"/>
        <v>Por iniciar</v>
      </c>
    </row>
    <row r="684" spans="1:27">
      <c r="A684" s="20"/>
      <c r="B684" s="60"/>
      <c r="C684" s="60"/>
      <c r="D684" s="60"/>
      <c r="E684" s="60"/>
      <c r="F684" s="60"/>
      <c r="G684" s="60"/>
      <c r="H684" s="100"/>
      <c r="I684" s="100"/>
      <c r="J684" s="101">
        <f>+COUNTIF('ID1&amp;5'!G:G,'1. Status'!I684)</f>
        <v>0</v>
      </c>
      <c r="K684" s="102" t="str">
        <f>+IFERROR(VLOOKUP(CONCATENATE(A684,$B$10,B684),'ID1&amp;5'!B:J,8,FALSE),"-")</f>
        <v>-</v>
      </c>
      <c r="L684" s="103" t="str">
        <f>+IFERROR(VLOOKUP(B684,'ID1&amp;5'!K:L,2,FALSE),"-")</f>
        <v>-</v>
      </c>
      <c r="M684" s="102" t="str">
        <f>+IFERROR(VLOOKUP(CONCATENATE(A684,$B$10,B684),'ID1&amp;5'!B:J,9,FALSE),"-")</f>
        <v>-</v>
      </c>
      <c r="N684" s="102" t="str">
        <f>+IFERROR(VLOOKUP(CONCATENATE(A684,$C$10,C684),'ID1&amp;5'!B:J,8,FALSE),"-")</f>
        <v>-</v>
      </c>
      <c r="O684" s="103" t="str">
        <f>+IFERROR(VLOOKUP(C684,'ID1&amp;5'!K:L,2,FALSE),"-")</f>
        <v>-</v>
      </c>
      <c r="P684" s="102" t="str">
        <f>+IFERROR(VLOOKUP(CONCATENATE(A684,$C$10,C684),'ID1&amp;5'!B:J,9,FALSE),"-")</f>
        <v>-</v>
      </c>
      <c r="Q684" s="103" t="str">
        <f>+IFERROR(VLOOKUP(D684,'ID1&amp;5'!K:L,2,FALSE),"-")</f>
        <v>-</v>
      </c>
      <c r="R684" s="101" t="str">
        <f>+IFERROR(VLOOKUP(CONCATENATE(A684,$D$10,D684),'ID1&amp;5'!B:J,9,FALSE),"-")</f>
        <v>-</v>
      </c>
      <c r="S684" s="103" t="str">
        <f>+IFERROR(VLOOKUP(E684,'ID1&amp;5'!K:L,2,FALSE),"-")</f>
        <v>-</v>
      </c>
      <c r="T684" s="102" t="str">
        <f>+IFERROR(VLOOKUP(CONCATENATE(A684,$E$10,E684),'ID1&amp;5'!B:J,9,FALSE),"-")</f>
        <v>-</v>
      </c>
      <c r="U684" s="103" t="str">
        <f>+IFERROR(VLOOKUP(F684,'ID1&amp;5'!K:L,2,FALSE),"-")</f>
        <v>-</v>
      </c>
      <c r="V684" s="102" t="str">
        <f>+IFERROR(VLOOKUP(CONCATENATE(A684,$F$10,F684),'ID1&amp;5'!B:J,9,FALSE),"-")</f>
        <v>-</v>
      </c>
      <c r="W684" s="101" t="str">
        <f>+IFERROR(VLOOKUP(A684,'ID6&amp;7'!A:I,9,FALSE),"-")</f>
        <v>-</v>
      </c>
      <c r="X684" s="101" t="str">
        <f>+IFERROR(VLOOKUP(A684,'ID6&amp;7'!A:J,10,FALSE),"-")</f>
        <v>-</v>
      </c>
      <c r="Y684" s="101"/>
      <c r="Z684" s="104" t="str">
        <f t="shared" si="11"/>
        <v>Por iniciar</v>
      </c>
    </row>
    <row r="685" spans="1:27">
      <c r="A685" s="20"/>
      <c r="B685" s="60"/>
      <c r="C685" s="60"/>
      <c r="D685" s="60"/>
      <c r="E685" s="60"/>
      <c r="F685" s="60"/>
      <c r="G685" s="60"/>
      <c r="H685" s="100"/>
      <c r="I685" s="100"/>
      <c r="J685" s="101">
        <f>+COUNTIF('ID1&amp;5'!G:G,'1. Status'!I685)</f>
        <v>0</v>
      </c>
      <c r="K685" s="102" t="str">
        <f>+IFERROR(VLOOKUP(CONCATENATE(A685,$B$10,B685),'ID1&amp;5'!B:J,8,FALSE),"-")</f>
        <v>-</v>
      </c>
      <c r="L685" s="103" t="str">
        <f>+IFERROR(VLOOKUP(B685,'ID1&amp;5'!K:L,2,FALSE),"-")</f>
        <v>-</v>
      </c>
      <c r="M685" s="102" t="str">
        <f>+IFERROR(VLOOKUP(CONCATENATE(A685,$B$10,B685),'ID1&amp;5'!B:J,9,FALSE),"-")</f>
        <v>-</v>
      </c>
      <c r="N685" s="102" t="str">
        <f>+IFERROR(VLOOKUP(CONCATENATE(A685,$C$10,C685),'ID1&amp;5'!B:J,8,FALSE),"-")</f>
        <v>-</v>
      </c>
      <c r="O685" s="103" t="str">
        <f>+IFERROR(VLOOKUP(C685,'ID1&amp;5'!K:L,2,FALSE),"-")</f>
        <v>-</v>
      </c>
      <c r="P685" s="102" t="str">
        <f>+IFERROR(VLOOKUP(CONCATENATE(A685,$C$10,C685),'ID1&amp;5'!B:J,9,FALSE),"-")</f>
        <v>-</v>
      </c>
      <c r="Q685" s="103" t="str">
        <f>+IFERROR(VLOOKUP(D685,'ID1&amp;5'!K:L,2,FALSE),"-")</f>
        <v>-</v>
      </c>
      <c r="R685" s="101" t="str">
        <f>+IFERROR(VLOOKUP(CONCATENATE(A685,$D$10,D685),'ID1&amp;5'!B:J,9,FALSE),"-")</f>
        <v>-</v>
      </c>
      <c r="S685" s="103" t="str">
        <f>+IFERROR(VLOOKUP(E685,'ID1&amp;5'!K:L,2,FALSE),"-")</f>
        <v>-</v>
      </c>
      <c r="T685" s="102" t="str">
        <f>+IFERROR(VLOOKUP(CONCATENATE(A685,$E$10,E685),'ID1&amp;5'!B:J,9,FALSE),"-")</f>
        <v>-</v>
      </c>
      <c r="U685" s="103" t="str">
        <f>+IFERROR(VLOOKUP(F685,'ID1&amp;5'!K:L,2,FALSE),"-")</f>
        <v>-</v>
      </c>
      <c r="V685" s="102" t="str">
        <f>+IFERROR(VLOOKUP(CONCATENATE(A685,$F$10,F685),'ID1&amp;5'!B:J,9,FALSE),"-")</f>
        <v>-</v>
      </c>
      <c r="W685" s="101" t="str">
        <f>+IFERROR(VLOOKUP(A685,'ID6&amp;7'!A:I,9,FALSE),"-")</f>
        <v>-</v>
      </c>
      <c r="X685" s="101" t="str">
        <f>+IFERROR(VLOOKUP(A685,'ID6&amp;7'!A:J,10,FALSE),"-")</f>
        <v>-</v>
      </c>
      <c r="Y685" s="101"/>
      <c r="Z685" s="104" t="str">
        <f t="shared" si="11"/>
        <v>Por iniciar</v>
      </c>
    </row>
    <row r="686" spans="1:27">
      <c r="A686" s="20"/>
      <c r="B686" s="60"/>
      <c r="C686" s="60"/>
      <c r="D686" s="60"/>
      <c r="E686" s="60"/>
      <c r="F686" s="60"/>
      <c r="G686" s="60"/>
      <c r="H686" s="100"/>
      <c r="I686" s="100"/>
      <c r="J686" s="101">
        <f>+COUNTIF('ID1&amp;5'!G:G,'1. Status'!I686)</f>
        <v>0</v>
      </c>
      <c r="K686" s="102" t="str">
        <f>+IFERROR(VLOOKUP(CONCATENATE(A686,$B$10,B686),'ID1&amp;5'!B:J,8,FALSE),"-")</f>
        <v>-</v>
      </c>
      <c r="L686" s="103" t="str">
        <f>+IFERROR(VLOOKUP(B686,'ID1&amp;5'!K:L,2,FALSE),"-")</f>
        <v>-</v>
      </c>
      <c r="M686" s="102" t="str">
        <f>+IFERROR(VLOOKUP(CONCATENATE(A686,$B$10,B686),'ID1&amp;5'!B:J,9,FALSE),"-")</f>
        <v>-</v>
      </c>
      <c r="N686" s="102" t="str">
        <f>+IFERROR(VLOOKUP(CONCATENATE(A686,$C$10,C686),'ID1&amp;5'!B:J,8,FALSE),"-")</f>
        <v>-</v>
      </c>
      <c r="O686" s="103" t="str">
        <f>+IFERROR(VLOOKUP(C686,'ID1&amp;5'!K:L,2,FALSE),"-")</f>
        <v>-</v>
      </c>
      <c r="P686" s="102" t="str">
        <f>+IFERROR(VLOOKUP(CONCATENATE(A686,$C$10,C686),'ID1&amp;5'!B:J,9,FALSE),"-")</f>
        <v>-</v>
      </c>
      <c r="Q686" s="103" t="str">
        <f>+IFERROR(VLOOKUP(D686,'ID1&amp;5'!K:L,2,FALSE),"-")</f>
        <v>-</v>
      </c>
      <c r="R686" s="101" t="str">
        <f>+IFERROR(VLOOKUP(CONCATENATE(A686,$D$10,D686),'ID1&amp;5'!B:J,9,FALSE),"-")</f>
        <v>-</v>
      </c>
      <c r="S686" s="103" t="str">
        <f>+IFERROR(VLOOKUP(E686,'ID1&amp;5'!K:L,2,FALSE),"-")</f>
        <v>-</v>
      </c>
      <c r="T686" s="102" t="str">
        <f>+IFERROR(VLOOKUP(CONCATENATE(A686,$E$10,E686),'ID1&amp;5'!B:J,9,FALSE),"-")</f>
        <v>-</v>
      </c>
      <c r="U686" s="103" t="str">
        <f>+IFERROR(VLOOKUP(F686,'ID1&amp;5'!K:L,2,FALSE),"-")</f>
        <v>-</v>
      </c>
      <c r="V686" s="102" t="str">
        <f>+IFERROR(VLOOKUP(CONCATENATE(A686,$F$10,F686),'ID1&amp;5'!B:J,9,FALSE),"-")</f>
        <v>-</v>
      </c>
      <c r="W686" s="101" t="str">
        <f>+IFERROR(VLOOKUP(A686,'ID6&amp;7'!A:I,9,FALSE),"-")</f>
        <v>-</v>
      </c>
      <c r="X686" s="101" t="str">
        <f>+IFERROR(VLOOKUP(A686,'ID6&amp;7'!A:J,10,FALSE),"-")</f>
        <v>-</v>
      </c>
      <c r="Y686" s="101"/>
      <c r="Z686" s="104" t="str">
        <f t="shared" si="11"/>
        <v>Por iniciar</v>
      </c>
    </row>
    <row r="687" spans="1:27">
      <c r="A687" s="20"/>
      <c r="B687" s="60"/>
      <c r="C687" s="60"/>
      <c r="D687" s="60"/>
      <c r="E687" s="60"/>
      <c r="F687" s="60"/>
      <c r="G687" s="60"/>
      <c r="H687" s="100"/>
      <c r="I687" s="100"/>
      <c r="J687" s="101">
        <f>+COUNTIF('ID1&amp;5'!G:G,'1. Status'!I687)</f>
        <v>0</v>
      </c>
      <c r="K687" s="102" t="str">
        <f>+IFERROR(VLOOKUP(CONCATENATE(A687,$B$10,B687),'ID1&amp;5'!B:J,8,FALSE),"-")</f>
        <v>-</v>
      </c>
      <c r="L687" s="103" t="str">
        <f>+IFERROR(VLOOKUP(B687,'ID1&amp;5'!K:L,2,FALSE),"-")</f>
        <v>-</v>
      </c>
      <c r="M687" s="102" t="str">
        <f>+IFERROR(VLOOKUP(CONCATENATE(A687,$B$10,B687),'ID1&amp;5'!B:J,9,FALSE),"-")</f>
        <v>-</v>
      </c>
      <c r="N687" s="102" t="str">
        <f>+IFERROR(VLOOKUP(CONCATENATE(A687,$C$10,C687),'ID1&amp;5'!B:J,8,FALSE),"-")</f>
        <v>-</v>
      </c>
      <c r="O687" s="103" t="str">
        <f>+IFERROR(VLOOKUP(C687,'ID1&amp;5'!K:L,2,FALSE),"-")</f>
        <v>-</v>
      </c>
      <c r="P687" s="102" t="str">
        <f>+IFERROR(VLOOKUP(CONCATENATE(A687,$C$10,C687),'ID1&amp;5'!B:J,9,FALSE),"-")</f>
        <v>-</v>
      </c>
      <c r="Q687" s="103" t="str">
        <f>+IFERROR(VLOOKUP(D687,'ID1&amp;5'!K:L,2,FALSE),"-")</f>
        <v>-</v>
      </c>
      <c r="R687" s="101" t="str">
        <f>+IFERROR(VLOOKUP(CONCATENATE(A687,$D$10,D687),'ID1&amp;5'!B:J,9,FALSE),"-")</f>
        <v>-</v>
      </c>
      <c r="S687" s="103" t="str">
        <f>+IFERROR(VLOOKUP(E687,'ID1&amp;5'!K:L,2,FALSE),"-")</f>
        <v>-</v>
      </c>
      <c r="T687" s="102" t="str">
        <f>+IFERROR(VLOOKUP(CONCATENATE(A687,$E$10,E687),'ID1&amp;5'!B:J,9,FALSE),"-")</f>
        <v>-</v>
      </c>
      <c r="U687" s="103" t="str">
        <f>+IFERROR(VLOOKUP(F687,'ID1&amp;5'!K:L,2,FALSE),"-")</f>
        <v>-</v>
      </c>
      <c r="V687" s="102" t="str">
        <f>+IFERROR(VLOOKUP(CONCATENATE(A687,$F$10,F687),'ID1&amp;5'!B:J,9,FALSE),"-")</f>
        <v>-</v>
      </c>
      <c r="W687" s="101" t="str">
        <f>+IFERROR(VLOOKUP(A687,'ID6&amp;7'!A:I,9,FALSE),"-")</f>
        <v>-</v>
      </c>
      <c r="X687" s="101" t="str">
        <f>+IFERROR(VLOOKUP(A687,'ID6&amp;7'!A:J,10,FALSE),"-")</f>
        <v>-</v>
      </c>
      <c r="Y687" s="101"/>
      <c r="Z687" s="104" t="str">
        <f t="shared" si="11"/>
        <v>Por iniciar</v>
      </c>
    </row>
    <row r="688" spans="1:27"/>
  </sheetData>
  <autoFilter ref="H10:Z10" xr:uid="{00000000-0001-0000-0100-000000000000}"/>
  <mergeCells count="1">
    <mergeCell ref="B9:F9"/>
  </mergeCells>
  <conditionalFormatting sqref="Z11:Z687">
    <cfRule type="cellIs" dxfId="15" priority="5" operator="equal">
      <formula>"Por iniciar"</formula>
    </cfRule>
    <cfRule type="cellIs" dxfId="14" priority="6" operator="equal">
      <formula>"EM TESTES"</formula>
    </cfRule>
    <cfRule type="cellIs" dxfId="13" priority="7" operator="equal">
      <formula>"NOK"</formula>
    </cfRule>
    <cfRule type="cellIs" dxfId="12" priority="8" operator="equal">
      <formula>"OK"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784"/>
  <sheetViews>
    <sheetView showGridLines="0" tabSelected="1" zoomScale="8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F8" sqref="F8"/>
    </sheetView>
  </sheetViews>
  <sheetFormatPr defaultColWidth="0" defaultRowHeight="14" zeroHeight="1"/>
  <cols>
    <col min="1" max="1" width="3.6328125" style="2" customWidth="1"/>
    <col min="2" max="3" width="32.36328125" style="2" customWidth="1"/>
    <col min="4" max="13" width="25" style="2" customWidth="1"/>
    <col min="14" max="14" width="3.6328125" style="2" customWidth="1"/>
    <col min="15" max="29" width="0" style="2" hidden="1" customWidth="1"/>
    <col min="30" max="16384" width="9.08984375" style="2" hidden="1"/>
  </cols>
  <sheetData>
    <row r="1" spans="1:2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/>
    <row r="6" spans="1:28" ht="14.5" thickBot="1">
      <c r="B6" s="28" t="s">
        <v>69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</row>
    <row r="7" spans="1:28"/>
    <row r="8" spans="1:28">
      <c r="B8" s="33" t="s">
        <v>0</v>
      </c>
      <c r="C8" s="33" t="s">
        <v>3</v>
      </c>
      <c r="D8" s="37" t="s">
        <v>7</v>
      </c>
      <c r="E8" s="37" t="s">
        <v>2</v>
      </c>
      <c r="F8" s="37" t="s">
        <v>6</v>
      </c>
      <c r="G8" s="37" t="s">
        <v>41</v>
      </c>
      <c r="H8" s="37" t="s">
        <v>120</v>
      </c>
      <c r="I8" s="37" t="s">
        <v>8</v>
      </c>
      <c r="J8" s="37" t="s">
        <v>9</v>
      </c>
      <c r="K8" s="37" t="s">
        <v>10</v>
      </c>
      <c r="L8" s="64" t="s">
        <v>72</v>
      </c>
      <c r="M8" s="64" t="s">
        <v>73</v>
      </c>
    </row>
    <row r="9" spans="1:28">
      <c r="A9" s="60" t="str">
        <f>+B9&amp;F9</f>
        <v>UNIV_OPERcempresa</v>
      </c>
      <c r="B9" s="34" t="s">
        <v>1092</v>
      </c>
      <c r="C9" s="34" t="s">
        <v>5</v>
      </c>
      <c r="D9" s="34" t="str">
        <f>+UPPER('0. Instruções'!$D$35&amp;"."&amp;VLOOKUP(B9,'0. Instruções'!$C$27:$D$32,2,FALSE))</f>
        <v>BU_LOANTAPE_WORK.LT001_UNIV_OPER</v>
      </c>
      <c r="E9" s="34" t="str">
        <f>+UPPER('0. Instruções'!$D$36&amp;"."&amp;VLOOKUP(B9,'0. Instruções'!$C$27:$E$32,3,FALSE))</f>
        <v>BU_LOANTAPE_WORK.SIMUL_LT001</v>
      </c>
      <c r="F9" s="34" t="s">
        <v>1093</v>
      </c>
      <c r="G9" s="34"/>
      <c r="H9" s="34"/>
      <c r="I9" s="34" t="str">
        <f>"(SELECT "&amp;VLOOKUP(B9,'0. Instruções'!$C$27:$G$32,4,FALSE)&amp;", "&amp;F9&amp;" FROM "&amp;D9&amp;" WHERE "&amp;'0. Instruções'!$D$42&amp;")X"</f>
        <v>(SELECT a, cempresa FROM BU_LOANTAPE_WORK.LT001_UNIV_OPER WHERE ref_date='${ref_date}' AND nome_perimetro='Individual Local' AND segmento='ESTR' AND ambito='SRB_MBDT' AND entidade='00100')X</v>
      </c>
      <c r="J9" s="34" t="str">
        <f>"(SELECT "&amp;VLOOKUP(B9,'0. Instruções'!$C$27:$G$32,4,FALSE)&amp;" AS "&amp;VLOOKUP(B9,'0. Instruções'!$C$27:$G$32,4,FALSE)&amp;"_SIMUL, "&amp;F9&amp;" AS "&amp;F9&amp;"_SIMUL FROM "&amp;E9&amp;" WHERE "&amp;'0. Instruções'!$D$43&amp;")Y"</f>
        <v>(SELECT a AS a_SIMUL, cempresa AS cempresa_SIMUL FROM BU_LOANTAPE_WORK.SIMUL_LT001 WHERE ref_date='${ref_date}' AND nome_perimetro='Individual Local' AND segmento='ESTR' AND ambito='PILAR3' AND entidade='00100')Y</v>
      </c>
      <c r="K9" s="35" t="str">
        <f>+UPPER("ON X."&amp;VLOOKUP(B9,'0. Instruções'!$C$27:$G$32,4,FALSE)&amp;"=Y."&amp;VLOOKUP(B9,'0. Instruções'!$C$27:$G$32,4,FALSE)&amp;"_SIMUL")</f>
        <v>ON X.A=Y.A_SIMUL</v>
      </c>
      <c r="L9" s="35" t="str">
        <f>+IF(C9="Coerência", +IF(LEFT(G9,5)="FLOAT","SELECT '"&amp;UPPER(B9)&amp;"' AS TABELA, '"&amp;UPPER(C9)&amp;"' AS TIPOLOGIA_TESTE,'"&amp;D9&amp;"' AS TABELA_LT,'"&amp;E9&amp;"' AS TABELA_SIMUL,'"&amp;F9&amp;"' AS CAMPO, "&amp;"'${ref_date}' AS REF_DATE, COUNT(*) AS NUM_REG, SUM(IF((ABS(COALESCE(CAST(X."&amp;F9&amp;" AS DECIMAL(18,6)),0)-COALESCE(CAST(Y."&amp;F9&amp;"_SIMUL AS DECIMAL(18,6)),0))&gt;0.000001) OR (X."&amp;F9&amp;" IS NULL AND Y."&amp;F9&amp;"_SIMUL IS NOT NULL ) OR (X."&amp;F9&amp;" IS NOT NULL AND Y."&amp;F9&amp;"_SIMUL IS NULL),1,0)) AS NUM_REG_DIF,'"&amp;MAX('ID1&amp;5'!K:K)+1&amp;"' AS ID_EXEC, CURRENT_TIMESTAMP() AS TIME_EXEC FROM "&amp;I9&amp;" INNER JOIN "&amp;J9&amp;" "&amp;K9,"SELECT '"&amp;UPPER(B9)&amp;"' AS TABELA, '"&amp;UPPER(C9)&amp;"' AS TIPOLOGIA_TESTE,'"&amp;D9&amp;"' AS TABELA_LT,'"&amp;E9&amp;"' AS TABELA_SIMUL,'"&amp;F9&amp;"' AS CAMPO, "&amp;"'${ref_date}' AS REF_DATE, COUNT(*) AS NUM_REG, SUM(IF(COALESCE(CAST(X."&amp;F9&amp;" AS STRING),'')&lt;&gt;COALESCE(CAST(Y."&amp;F9&amp;"_SIMUL AS STRING),'') OR (X."&amp;F9&amp;" IS NULL AND Y."&amp;F9&amp;"_SIMUL IS NOT NULL ) OR (X."&amp;F9&amp;" IS NOT NULL AND Y."&amp;F9&amp;"_SIMUL IS NULL),1,0)) AS NUM_REG_DIF,'"&amp;MAX('ID1&amp;5'!L:L)+1&amp;"' AS ID_EXEC, CURRENT_TIMESTAMP() AS TIME_EXEC FROM "&amp;I9&amp;" INNER JOIN "&amp;J9&amp;" "&amp;K9),
IF(C9="Validade",+IF(G9="Code List","SELECT '"&amp;UPPER(B9)&amp;"' AS TABELA, '"&amp;UPPER(C9)&amp;"' AS TIPOLOGIA_TESTE,'"&amp;D9&amp;"' AS TABELA_LT,'N/A' AS TABELA_SIMUL,'"&amp;F9&amp;"' AS CAMPO, "&amp;"'${ref_date}' AS REF_DATE, COUNT(*) AS NUM_REG, SUM(IF(TRIM(CAST(X."&amp;F9&amp;" AS STRING))='' OR TRIM(CAST(X."&amp;F9&amp;" AS STRING)) IS NULL OR CAST(X."&amp;F9&amp;" AS STRING) NOT "&amp;H9&amp;",1,0)) AS NUM_REG_DIF,'"&amp;MAX('ID1&amp;5'!K:K)+1&amp;"' AS ID_EXEC, CURRENT_TIMESTAMP() AS TIME_EXEC FROM "&amp;I9,"SELECT '"&amp;UPPER(B9)&amp;"' AS TABELA, '"&amp;UPPER(C9)&amp;"' AS TIPOLOGIA_TESTE,'"&amp;D9&amp;"' AS TABELA_LT,'N/A' AS TABELA_SIMUL,'"&amp;F9&amp;"' AS CAMPO, "&amp;"'${ref_date}' AS REF_DATE, COUNT(*) AS NUM_REG, SUM(IF(TRIM(CAST(X."&amp;F9&amp;" AS STRING))='' OR TRIM(CAST(X."&amp;F9&amp;" AS STRING)) IS NULL,1,0)) AS NUM_REG_DIF,'"&amp;MAX('ID1&amp;5'!K:K)+1&amp;"' AS ID_EXEC, CURRENT_TIMESTAMP() AS TIME_EXEC FROM "&amp;I9),
IF(C9="Caracteres Especiais",+"SELECT '"&amp;UPPER(B9)&amp;"' AS TABELA, '"&amp;UPPER(C9)&amp;"' AS TIPOLOGIA_TESTE,'"&amp;D9&amp;"' AS TABELA_LT,'N/A' AS TABELA_SIMUL,'"&amp;F9&amp;"' AS CAMPO, "&amp;"'${ref_date}' AS REF_DATE, COUNT(*) AS NUM_REG, SUM(IF(REGEXP_REPLACE(TRIM(CAST(X."&amp;F9&amp;" AS STRING)),'[^a-zA-Z0-9_\\s]','') &lt;&gt;TRIM(CAST(X."&amp;F9&amp;" AS STRING)),1,0)) AS NUM_REG_DIF,'"&amp;MAX('ID1&amp;5'!K:K)+1&amp;"' AS ID_EXEC, CURRENT_TIMESTAMP() AS TIME_EXEC FROM "&amp;I9,
IF(C9="Missings",+"SELECT '"&amp;UPPER(B9)&amp;"' AS TABELA, '"&amp;UPPER(C9)&amp;"' AS TIPOLOGIA_TESTE,'"&amp;D9&amp;"' AS TABELA_LT,'N/A' AS TABELA_SIMUL,'"&amp;F9&amp;"' AS CAMPO, "&amp;"'${ref_date}' AS REF_DATE, COUNT(*) AS NUM_REG, SUM(IF(TRIM(CAST(X."&amp;F9&amp;" AS STRING)) IN ('0000-00-00','0001-01-01','9999-12-31','MISS','00000','99999999999','99999999999.00','99999999999.000000'),1,0)) AS NUM_REG_DIF,'"&amp;MAX('ID1&amp;5'!K:K)+1&amp;"' AS ID_EXEC, CURRENT_TIMESTAMP() AS TIME_EXEC FROM "&amp;I9,
IF(C9="Not applicable",+"SELECT '"&amp;UPPER(B9)&amp;"' AS TABELA, '"&amp;UPPER(C9)&amp;"' AS TIPOLOGIA_TESTE,'"&amp;D9&amp;"' AS TABELA_LT,'N/A' AS TABELA_SIMUL,'"&amp;F9&amp;"' AS CAMPO, "&amp;"'${ref_date}' AS REF_DATE, COUNT(*) AS NUM_REG, SUM(IF(TRIM(CAST(X."&amp;F9&amp;" AS STRING)) IN ('N/A','11111111111','11111111111.00','11111111111.000000','1111-11-11'),1,0)) AS NUM_REG_DIF,'"&amp;MAX('ID1&amp;5'!K:K)+1&amp;"' AS ID_EXEC, CURRENT_TIMESTAMP() AS TIME_EXEC FROM "&amp;I9,
IF(C9="Valores extremos",+"SELECT '"&amp;UPPER(B9)&amp;"' AS TABELA, '"&amp;UPPER(C9)&amp;"' AS TIPOLOGIA_TESTE,'"&amp;D9&amp;"' AS TABELA_LT,'N/A' AS TABELA_SIMUL,'"&amp;F9&amp;"' AS CAMPO, "&amp;"'${ref_date}' AS REF_DATE, CAST(MIN("&amp;F9&amp;") AS STRING) AS VALOR_MIN, CAST(MAX("&amp;F9&amp;") AS STRING) AS VALOR_MAX,'"&amp;MAX('ID1&amp;5'!K:K)+1&amp;"' AS ID_EXEC, CURRENT_TIMESTAMP() AS TIME_EXEC FROM "&amp;MID(I9,1,LEN(I9)-2)&amp;" AND CAST("&amp;F9&amp;"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TABELA_SIMUL,'cempresa' AS CAMPO, '${ref_date}' AS REF_DATE, COUNT(*) AS NUM_REG, SUM(IF(COALESCE(CAST(X.cempresa AS STRING),'')&lt;&gt;COALESCE(CAST(Y.cempresa_SIMUL AS STRING),'') OR (X.cempresa IS NULL AND Y.cempresa_SIMUL IS NOT NULL ) OR (X.cempresa IS NOT NULL AND Y.cempresa_SIMUL IS NULL),1,0)) AS NUM_REG_DIF,'1' AS ID_EXEC, CURRENT_TIMESTAMP() AS TIME_EXEC FROM (SELECT a, cempresa FROM BU_LOANTAPE_WORK.LT001_UNIV_OPER WHERE ref_date='${ref_date}' AND nome_perimetro='Individual Local' AND segmento='ESTR' AND ambito='SRB_MBDT' AND entidade='00100')X INNER JOIN (SELECT a AS a_SIMUL, cempresa AS cempresa_SIMUL FROM BU_LOANTAPE_WORK.SIMUL_LT001 WHERE ref_date='${ref_date}' AND nome_perimetro='Individual Local' AND segmento='ESTR' AND ambito='PILAR3' AND entidade='00100')Y ON X.A=Y.A_SIMUL</v>
      </c>
      <c r="M9" s="36" t="str">
        <f t="shared" ref="M9:M49" si="0">+"UNION ALL "&amp;L9</f>
        <v>UNION ALL SELECT 'UNIV_OPER' AS TABELA, 'COERÊNCIA' AS TIPOLOGIA_TESTE,'BU_LOANTAPE_WORK.LT001_UNIV_OPER' AS TABELA_LT,'BU_LOANTAPE_WORK.SIMUL_LT001' AS TABELA_SIMUL,'cempresa' AS CAMPO, '${ref_date}' AS REF_DATE, COUNT(*) AS NUM_REG, SUM(IF(COALESCE(CAST(X.cempresa AS STRING),'')&lt;&gt;COALESCE(CAST(Y.cempresa_SIMUL AS STRING),'') OR (X.cempresa IS NULL AND Y.cempresa_SIMUL IS NOT NULL ) OR (X.cempresa IS NOT NULL AND Y.cempresa_SIMUL IS NULL),1,0)) AS NUM_REG_DIF,'1' AS ID_EXEC, CURRENT_TIMESTAMP() AS TIME_EXEC FROM (SELECT a, cempresa FROM BU_LOANTAPE_WORK.LT001_UNIV_OPER WHERE ref_date='${ref_date}' AND nome_perimetro='Individual Local' AND segmento='ESTR' AND ambito='SRB_MBDT' AND entidade='00100')X INNER JOIN (SELECT a AS a_SIMUL, cempresa AS cempresa_SIMUL FROM BU_LOANTAPE_WORK.SIMUL_LT001 WHERE ref_date='${ref_date}' AND nome_perimetro='Individual Local' AND segmento='ESTR' AND ambito='PILAR3' AND entidade='00100')Y ON X.A=Y.A_SIMUL</v>
      </c>
      <c r="N9" s="38" t="s">
        <v>40</v>
      </c>
    </row>
    <row r="10" spans="1:28">
      <c r="A10" s="60" t="str">
        <f t="shared" ref="A10:A56" si="1">+B10&amp;F10</f>
        <v>UNIV_OPERcbalcao</v>
      </c>
      <c r="B10" s="34" t="s">
        <v>1092</v>
      </c>
      <c r="C10" s="34" t="s">
        <v>5</v>
      </c>
      <c r="D10" s="34" t="str">
        <f>+UPPER('0. Instruções'!$D$35&amp;"."&amp;VLOOKUP(B10,'0. Instruções'!$C$27:$D$32,2,FALSE))</f>
        <v>BU_LOANTAPE_WORK.LT001_UNIV_OPER</v>
      </c>
      <c r="E10" s="34" t="str">
        <f>+UPPER('0. Instruções'!$D$36&amp;"."&amp;VLOOKUP(B10,'0. Instruções'!$C$27:$E$32,3,FALSE))</f>
        <v>BU_LOANTAPE_WORK.SIMUL_LT001</v>
      </c>
      <c r="F10" s="34" t="s">
        <v>1094</v>
      </c>
      <c r="G10" s="34"/>
      <c r="H10" s="34"/>
      <c r="I10" s="34" t="str">
        <f>"(SELECT "&amp;VLOOKUP(B10,'0. Instruções'!$C$27:$G$32,4,FALSE)&amp;", "&amp;F10&amp;" FROM "&amp;D10&amp;" WHERE "&amp;'0. Instruções'!$D$42&amp;")X"</f>
        <v>(SELECT a, cbalcao FROM BU_LOANTAPE_WORK.LT001_UNIV_OPER WHERE ref_date='${ref_date}' AND nome_perimetro='Individual Local' AND segmento='ESTR' AND ambito='SRB_MBDT' AND entidade='00100')X</v>
      </c>
      <c r="J10" s="34" t="str">
        <f>"(SELECT "&amp;VLOOKUP(B10,'0. Instruções'!$C$27:$G$32,4,FALSE)&amp;" AS "&amp;VLOOKUP(B10,'0. Instruções'!$C$27:$G$32,4,FALSE)&amp;"_SIMUL, "&amp;F10&amp;" AS "&amp;F10&amp;"_SIMUL FROM "&amp;E10&amp;" WHERE "&amp;'0. Instruções'!$D$43&amp;")Y"</f>
        <v>(SELECT a AS a_SIMUL, cbalcao AS cbalcao_SIMUL FROM BU_LOANTAPE_WORK.SIMUL_LT001 WHERE ref_date='${ref_date}' AND nome_perimetro='Individual Local' AND segmento='ESTR' AND ambito='PILAR3' AND entidade='00100')Y</v>
      </c>
      <c r="K10" s="35" t="str">
        <f>+UPPER("ON X."&amp;VLOOKUP(B10,'0. Instruções'!$C$27:$G$32,4,FALSE)&amp;"=Y."&amp;VLOOKUP(B10,'0. Instruções'!$C$27:$G$32,4,FALSE)&amp;"_SIMUL")</f>
        <v>ON X.A=Y.A_SIMUL</v>
      </c>
      <c r="L10" s="35" t="str">
        <f>+IF(C10="Coerência", +IF(LEFT(G10,5)="FLOAT","SELECT '"&amp;UPPER(B10)&amp;"' AS TABELA, '"&amp;UPPER(C10)&amp;"' AS TIPOLOGIA_TESTE,'"&amp;D10&amp;"' AS TABELA_LT,'"&amp;E10&amp;"' AS TABELA_SIMUL,'"&amp;F10&amp;"' AS CAMPO, "&amp;"'${ref_date}' AS REF_DATE, COUNT(*) AS NUM_REG, SUM(IF((ABS(COALESCE(CAST(X."&amp;F10&amp;" AS DECIMAL(18,6)),0)-COALESCE(CAST(Y."&amp;F10&amp;"_SIMUL AS DECIMAL(18,6)),0))&gt;0.000001) OR (X."&amp;F10&amp;" IS NULL AND Y."&amp;F10&amp;"_SIMUL IS NOT NULL ) OR (X."&amp;F10&amp;" IS NOT NULL AND Y."&amp;F10&amp;"_SIMUL IS NULL),1,0)) AS NUM_REG_DIF,'"&amp;MAX('ID1&amp;5'!K:K)+1&amp;"' AS ID_EXEC, CURRENT_TIMESTAMP() AS TIME_EXEC FROM "&amp;I10&amp;" INNER JOIN "&amp;J10&amp;" "&amp;K10,"SELECT '"&amp;UPPER(B10)&amp;"' AS TABELA, '"&amp;UPPER(C10)&amp;"' AS TIPOLOGIA_TESTE,'"&amp;D10&amp;"' AS TABELA_LT,'"&amp;E10&amp;"' AS TABELA_SIMUL,'"&amp;F10&amp;"' AS CAMPO, "&amp;"'${ref_date}' AS REF_DATE, COUNT(*) AS NUM_REG, SUM(IF(COALESCE(CAST(X."&amp;F10&amp;" AS STRING),'')&lt;&gt;COALESCE(CAST(Y."&amp;F10&amp;"_SIMUL AS STRING),'') OR (X."&amp;F10&amp;" IS NULL AND Y."&amp;F10&amp;"_SIMUL IS NOT NULL ) OR (X."&amp;F10&amp;" IS NOT NULL AND Y."&amp;F10&amp;"_SIMUL IS NULL),1,0)) AS NUM_REG_DIF,'"&amp;MAX('ID1&amp;5'!L:L)+1&amp;"' AS ID_EXEC, CURRENT_TIMESTAMP() AS TIME_EXEC FROM "&amp;I10&amp;" INNER JOIN "&amp;J10&amp;" "&amp;K10),
IF(C10="Validade",+IF(G10="Code List","SELECT '"&amp;UPPER(B10)&amp;"' AS TABELA, '"&amp;UPPER(C10)&amp;"' AS TIPOLOGIA_TESTE,'"&amp;D10&amp;"' AS TABELA_LT,'N/A' AS TABELA_SIMUL,'"&amp;F10&amp;"' AS CAMPO, "&amp;"'${ref_date}' AS REF_DATE, COUNT(*) AS NUM_REG, SUM(IF(TRIM(CAST(X."&amp;F10&amp;" AS STRING))='' OR TRIM(CAST(X."&amp;F10&amp;" AS STRING)) IS NULL OR CAST(X."&amp;F10&amp;" AS STRING) NOT "&amp;H10&amp;",1,0)) AS NUM_REG_DIF,'"&amp;MAX('ID1&amp;5'!K:K)+1&amp;"' AS ID_EXEC, CURRENT_TIMESTAMP() AS TIME_EXEC FROM "&amp;I10,"SELECT '"&amp;UPPER(B10)&amp;"' AS TABELA, '"&amp;UPPER(C10)&amp;"' AS TIPOLOGIA_TESTE,'"&amp;D10&amp;"' AS TABELA_LT,'N/A' AS TABELA_SIMUL,'"&amp;F10&amp;"' AS CAMPO, "&amp;"'${ref_date}' AS REF_DATE, COUNT(*) AS NUM_REG, SUM(IF(TRIM(CAST(X."&amp;F10&amp;" AS STRING))='' OR TRIM(CAST(X."&amp;F10&amp;" AS STRING)) IS NULL,1,0)) AS NUM_REG_DIF,'"&amp;MAX('ID1&amp;5'!K:K)+1&amp;"' AS ID_EXEC, CURRENT_TIMESTAMP() AS TIME_EXEC FROM "&amp;I10),
IF(C10="Caracteres Especiais",+"SELECT '"&amp;UPPER(B10)&amp;"' AS TABELA, '"&amp;UPPER(C10)&amp;"' AS TIPOLOGIA_TESTE,'"&amp;D10&amp;"' AS TABELA_LT,'N/A' AS TABELA_SIMUL,'"&amp;F10&amp;"' AS CAMPO, "&amp;"'${ref_date}' AS REF_DATE, COUNT(*) AS NUM_REG, SUM(IF(REGEXP_REPLACE(TRIM(CAST(X."&amp;F10&amp;" AS STRING)),'[^a-zA-Z0-9_\\s]','') &lt;&gt;TRIM(CAST(X."&amp;F10&amp;" AS STRING)),1,0)) AS NUM_REG_DIF,'"&amp;MAX('ID1&amp;5'!K:K)+1&amp;"' AS ID_EXEC, CURRENT_TIMESTAMP() AS TIME_EXEC FROM "&amp;I10,
IF(C10="Missings",+"SELECT '"&amp;UPPER(B10)&amp;"' AS TABELA, '"&amp;UPPER(C10)&amp;"' AS TIPOLOGIA_TESTE,'"&amp;D10&amp;"' AS TABELA_LT,'N/A' AS TABELA_SIMUL,'"&amp;F10&amp;"' AS CAMPO, "&amp;"'${ref_date}' AS REF_DATE, COUNT(*) AS NUM_REG, SUM(IF(TRIM(CAST(X."&amp;F10&amp;" AS STRING)) IN ('0000-00-00','0001-01-01','9999-12-31','MISS','00000','99999999999','99999999999.00','99999999999.000000'),1,0)) AS NUM_REG_DIF,'"&amp;MAX('ID1&amp;5'!K:K)+1&amp;"' AS ID_EXEC, CURRENT_TIMESTAMP() AS TIME_EXEC FROM "&amp;I10,
IF(C10="Not applicable",+"SELECT '"&amp;UPPER(B10)&amp;"' AS TABELA, '"&amp;UPPER(C10)&amp;"' AS TIPOLOGIA_TESTE,'"&amp;D10&amp;"' AS TABELA_LT,'N/A' AS TABELA_SIMUL,'"&amp;F10&amp;"' AS CAMPO, "&amp;"'${ref_date}' AS REF_DATE, COUNT(*) AS NUM_REG, SUM(IF(TRIM(CAST(X."&amp;F10&amp;" AS STRING)) IN ('N/A','11111111111','11111111111.00','11111111111.000000','1111-11-11'),1,0)) AS NUM_REG_DIF,'"&amp;MAX('ID1&amp;5'!K:K)+1&amp;"' AS ID_EXEC, CURRENT_TIMESTAMP() AS TIME_EXEC FROM "&amp;I10,
IF(C10="Valores extremos",+"SELECT '"&amp;UPPER(B10)&amp;"' AS TABELA, '"&amp;UPPER(C10)&amp;"' AS TIPOLOGIA_TESTE,'"&amp;D10&amp;"' AS TABELA_LT,'N/A' AS TABELA_SIMUL,'"&amp;F10&amp;"' AS CAMPO, "&amp;"'${ref_date}' AS REF_DATE, CAST(MIN("&amp;F10&amp;") AS STRING) AS VALOR_MIN, CAST(MAX("&amp;F10&amp;") AS STRING) AS VALOR_MAX,'"&amp;MAX('ID1&amp;5'!K:K)+1&amp;"' AS ID_EXEC, CURRENT_TIMESTAMP() AS TIME_EXEC FROM "&amp;MID(I10,1,LEN(I10)-2)&amp;" AND CAST("&amp;F10&amp;"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TABELA_SIMUL,'cbalcao' AS CAMPO, '${ref_date}' AS REF_DATE, COUNT(*) AS NUM_REG, SUM(IF(COALESCE(CAST(X.cbalcao AS STRING),'')&lt;&gt;COALESCE(CAST(Y.cbalcao_SIMUL AS STRING),'') OR (X.cbalcao IS NULL AND Y.cbalcao_SIMUL IS NOT NULL ) OR (X.cbalcao IS NOT NULL AND Y.cbalcao_SIMUL IS NULL),1,0)) AS NUM_REG_DIF,'1' AS ID_EXEC, CURRENT_TIMESTAMP() AS TIME_EXEC FROM (SELECT a, cbalcao FROM BU_LOANTAPE_WORK.LT001_UNIV_OPER WHERE ref_date='${ref_date}' AND nome_perimetro='Individual Local' AND segmento='ESTR' AND ambito='SRB_MBDT' AND entidade='00100')X INNER JOIN (SELECT a AS a_SIMUL, cbalcao AS cbalcao_SIMUL FROM BU_LOANTAPE_WORK.SIMUL_LT001 WHERE ref_date='${ref_date}' AND nome_perimetro='Individual Local' AND segmento='ESTR' AND ambito='PILAR3' AND entidade='00100')Y ON X.A=Y.A_SIMUL</v>
      </c>
      <c r="M10" s="36" t="str">
        <f t="shared" si="0"/>
        <v>UNION ALL SELECT 'UNIV_OPER' AS TABELA, 'COERÊNCIA' AS TIPOLOGIA_TESTE,'BU_LOANTAPE_WORK.LT001_UNIV_OPER' AS TABELA_LT,'BU_LOANTAPE_WORK.SIMUL_LT001' AS TABELA_SIMUL,'cbalcao' AS CAMPO, '${ref_date}' AS REF_DATE, COUNT(*) AS NUM_REG, SUM(IF(COALESCE(CAST(X.cbalcao AS STRING),'')&lt;&gt;COALESCE(CAST(Y.cbalcao_SIMUL AS STRING),'') OR (X.cbalcao IS NULL AND Y.cbalcao_SIMUL IS NOT NULL ) OR (X.cbalcao IS NOT NULL AND Y.cbalcao_SIMUL IS NULL),1,0)) AS NUM_REG_DIF,'1' AS ID_EXEC, CURRENT_TIMESTAMP() AS TIME_EXEC FROM (SELECT a, cbalcao FROM BU_LOANTAPE_WORK.LT001_UNIV_OPER WHERE ref_date='${ref_date}' AND nome_perimetro='Individual Local' AND segmento='ESTR' AND ambito='SRB_MBDT' AND entidade='00100')X INNER JOIN (SELECT a AS a_SIMUL, cbalcao AS cbalcao_SIMUL FROM BU_LOANTAPE_WORK.SIMUL_LT001 WHERE ref_date='${ref_date}' AND nome_perimetro='Individual Local' AND segmento='ESTR' AND ambito='PILAR3' AND entidade='00100')Y ON X.A=Y.A_SIMUL</v>
      </c>
      <c r="N10" s="38" t="s">
        <v>40</v>
      </c>
    </row>
    <row r="11" spans="1:28">
      <c r="A11" s="60" t="str">
        <f t="shared" si="1"/>
        <v>UNIV_OPERcnumecta</v>
      </c>
      <c r="B11" s="34" t="s">
        <v>1092</v>
      </c>
      <c r="C11" s="34" t="s">
        <v>5</v>
      </c>
      <c r="D11" s="34" t="str">
        <f>+UPPER('0. Instruções'!$D$35&amp;"."&amp;VLOOKUP(B11,'0. Instruções'!$C$27:$D$32,2,FALSE))</f>
        <v>BU_LOANTAPE_WORK.LT001_UNIV_OPER</v>
      </c>
      <c r="E11" s="34" t="str">
        <f>+UPPER('0. Instruções'!$D$36&amp;"."&amp;VLOOKUP(B11,'0. Instruções'!$C$27:$E$32,3,FALSE))</f>
        <v>BU_LOANTAPE_WORK.SIMUL_LT001</v>
      </c>
      <c r="F11" s="34" t="s">
        <v>1095</v>
      </c>
      <c r="G11" s="34"/>
      <c r="H11" s="34"/>
      <c r="I11" s="34" t="str">
        <f>"(SELECT "&amp;VLOOKUP(B11,'0. Instruções'!$C$27:$G$32,4,FALSE)&amp;", "&amp;F11&amp;" FROM "&amp;D11&amp;" WHERE "&amp;'0. Instruções'!$D$42&amp;")X"</f>
        <v>(SELECT a, cnumecta FROM BU_LOANTAPE_WORK.LT001_UNIV_OPER WHERE ref_date='${ref_date}' AND nome_perimetro='Individual Local' AND segmento='ESTR' AND ambito='SRB_MBDT' AND entidade='00100')X</v>
      </c>
      <c r="J11" s="34" t="str">
        <f>"(SELECT "&amp;VLOOKUP(B11,'0. Instruções'!$C$27:$G$32,4,FALSE)&amp;" AS "&amp;VLOOKUP(B11,'0. Instruções'!$C$27:$G$32,4,FALSE)&amp;"_SIMUL, "&amp;F11&amp;" AS "&amp;F11&amp;"_SIMUL FROM "&amp;E11&amp;" WHERE "&amp;'0. Instruções'!$D$43&amp;")Y"</f>
        <v>(SELECT a AS a_SIMUL, cnumecta AS cnumecta_SIMUL FROM BU_LOANTAPE_WORK.SIMUL_LT001 WHERE ref_date='${ref_date}' AND nome_perimetro='Individual Local' AND segmento='ESTR' AND ambito='PILAR3' AND entidade='00100')Y</v>
      </c>
      <c r="K11" s="35" t="str">
        <f>+UPPER("ON X."&amp;VLOOKUP(B11,'0. Instruções'!$C$27:$G$32,4,FALSE)&amp;"=Y."&amp;VLOOKUP(B11,'0. Instruções'!$C$27:$G$32,4,FALSE)&amp;"_SIMUL")</f>
        <v>ON X.A=Y.A_SIMUL</v>
      </c>
      <c r="L11" s="35" t="str">
        <f>+IF(C11="Coerência", +IF(LEFT(G11,5)="FLOAT","SELECT '"&amp;UPPER(B11)&amp;"' AS TABELA, '"&amp;UPPER(C11)&amp;"' AS TIPOLOGIA_TESTE,'"&amp;D11&amp;"' AS TABELA_LT,'"&amp;E11&amp;"' AS TABELA_SIMUL,'"&amp;F11&amp;"' AS CAMPO, "&amp;"'${ref_date}' AS REF_DATE, COUNT(*) AS NUM_REG, SUM(IF((ABS(COALESCE(CAST(X."&amp;F11&amp;" AS DECIMAL(18,6)),0)-COALESCE(CAST(Y."&amp;F11&amp;"_SIMUL AS DECIMAL(18,6)),0))&gt;0.000001) OR (X."&amp;F11&amp;" IS NULL AND Y."&amp;F11&amp;"_SIMUL IS NOT NULL ) OR (X."&amp;F11&amp;" IS NOT NULL AND Y."&amp;F11&amp;"_SIMUL IS NULL),1,0)) AS NUM_REG_DIF,'"&amp;MAX('ID1&amp;5'!K:K)+1&amp;"' AS ID_EXEC, CURRENT_TIMESTAMP() AS TIME_EXEC FROM "&amp;I11&amp;" INNER JOIN "&amp;J11&amp;" "&amp;K11,"SELECT '"&amp;UPPER(B11)&amp;"' AS TABELA, '"&amp;UPPER(C11)&amp;"' AS TIPOLOGIA_TESTE,'"&amp;D11&amp;"' AS TABELA_LT,'"&amp;E11&amp;"' AS TABELA_SIMUL,'"&amp;F11&amp;"' AS CAMPO, "&amp;"'${ref_date}' AS REF_DATE, COUNT(*) AS NUM_REG, SUM(IF(COALESCE(CAST(X."&amp;F11&amp;" AS STRING),'')&lt;&gt;COALESCE(CAST(Y."&amp;F11&amp;"_SIMUL AS STRING),'') OR (X."&amp;F11&amp;" IS NULL AND Y."&amp;F11&amp;"_SIMUL IS NOT NULL ) OR (X."&amp;F11&amp;" IS NOT NULL AND Y."&amp;F11&amp;"_SIMUL IS NULL),1,0)) AS NUM_REG_DIF,'"&amp;MAX('ID1&amp;5'!L:L)+1&amp;"' AS ID_EXEC, CURRENT_TIMESTAMP() AS TIME_EXEC FROM "&amp;I11&amp;" INNER JOIN "&amp;J11&amp;" "&amp;K11),
IF(C11="Validade",+IF(G11="Code List","SELECT '"&amp;UPPER(B11)&amp;"' AS TABELA, '"&amp;UPPER(C11)&amp;"' AS TIPOLOGIA_TESTE,'"&amp;D11&amp;"' AS TABELA_LT,'N/A' AS TABELA_SIMUL,'"&amp;F11&amp;"' AS CAMPO, "&amp;"'${ref_date}' AS REF_DATE, COUNT(*) AS NUM_REG, SUM(IF(TRIM(CAST(X."&amp;F11&amp;" AS STRING))='' OR TRIM(CAST(X."&amp;F11&amp;" AS STRING)) IS NULL OR CAST(X."&amp;F11&amp;" AS STRING) NOT "&amp;H11&amp;",1,0)) AS NUM_REG_DIF,'"&amp;MAX('ID1&amp;5'!K:K)+1&amp;"' AS ID_EXEC, CURRENT_TIMESTAMP() AS TIME_EXEC FROM "&amp;I11,"SELECT '"&amp;UPPER(B11)&amp;"' AS TABELA, '"&amp;UPPER(C11)&amp;"' AS TIPOLOGIA_TESTE,'"&amp;D11&amp;"' AS TABELA_LT,'N/A' AS TABELA_SIMUL,'"&amp;F11&amp;"' AS CAMPO, "&amp;"'${ref_date}' AS REF_DATE, COUNT(*) AS NUM_REG, SUM(IF(TRIM(CAST(X."&amp;F11&amp;" AS STRING))='' OR TRIM(CAST(X."&amp;F11&amp;" AS STRING)) IS NULL,1,0)) AS NUM_REG_DIF,'"&amp;MAX('ID1&amp;5'!K:K)+1&amp;"' AS ID_EXEC, CURRENT_TIMESTAMP() AS TIME_EXEC FROM "&amp;I11),
IF(C11="Caracteres Especiais",+"SELECT '"&amp;UPPER(B11)&amp;"' AS TABELA, '"&amp;UPPER(C11)&amp;"' AS TIPOLOGIA_TESTE,'"&amp;D11&amp;"' AS TABELA_LT,'N/A' AS TABELA_SIMUL,'"&amp;F11&amp;"' AS CAMPO, "&amp;"'${ref_date}' AS REF_DATE, COUNT(*) AS NUM_REG, SUM(IF(REGEXP_REPLACE(TRIM(CAST(X."&amp;F11&amp;" AS STRING)),'[^a-zA-Z0-9_\\s]','') &lt;&gt;TRIM(CAST(X."&amp;F11&amp;" AS STRING)),1,0)) AS NUM_REG_DIF,'"&amp;MAX('ID1&amp;5'!K:K)+1&amp;"' AS ID_EXEC, CURRENT_TIMESTAMP() AS TIME_EXEC FROM "&amp;I11,
IF(C11="Missings",+"SELECT '"&amp;UPPER(B11)&amp;"' AS TABELA, '"&amp;UPPER(C11)&amp;"' AS TIPOLOGIA_TESTE,'"&amp;D11&amp;"' AS TABELA_LT,'N/A' AS TABELA_SIMUL,'"&amp;F11&amp;"' AS CAMPO, "&amp;"'${ref_date}' AS REF_DATE, COUNT(*) AS NUM_REG, SUM(IF(TRIM(CAST(X."&amp;F11&amp;" AS STRING)) IN ('0000-00-00','0001-01-01','9999-12-31','MISS','00000','99999999999','99999999999.00','99999999999.000000'),1,0)) AS NUM_REG_DIF,'"&amp;MAX('ID1&amp;5'!K:K)+1&amp;"' AS ID_EXEC, CURRENT_TIMESTAMP() AS TIME_EXEC FROM "&amp;I11,
IF(C11="Not applicable",+"SELECT '"&amp;UPPER(B11)&amp;"' AS TABELA, '"&amp;UPPER(C11)&amp;"' AS TIPOLOGIA_TESTE,'"&amp;D11&amp;"' AS TABELA_LT,'N/A' AS TABELA_SIMUL,'"&amp;F11&amp;"' AS CAMPO, "&amp;"'${ref_date}' AS REF_DATE, COUNT(*) AS NUM_REG, SUM(IF(TRIM(CAST(X."&amp;F11&amp;" AS STRING)) IN ('N/A','11111111111','11111111111.00','11111111111.000000','1111-11-11'),1,0)) AS NUM_REG_DIF,'"&amp;MAX('ID1&amp;5'!K:K)+1&amp;"' AS ID_EXEC, CURRENT_TIMESTAMP() AS TIME_EXEC FROM "&amp;I11,
IF(C11="Valores extremos",+"SELECT '"&amp;UPPER(B11)&amp;"' AS TABELA, '"&amp;UPPER(C11)&amp;"' AS TIPOLOGIA_TESTE,'"&amp;D11&amp;"' AS TABELA_LT,'N/A' AS TABELA_SIMUL,'"&amp;F11&amp;"' AS CAMPO, "&amp;"'${ref_date}' AS REF_DATE, CAST(MIN("&amp;F11&amp;") AS STRING) AS VALOR_MIN, CAST(MAX("&amp;F11&amp;") AS STRING) AS VALOR_MAX,'"&amp;MAX('ID1&amp;5'!K:K)+1&amp;"' AS ID_EXEC, CURRENT_TIMESTAMP() AS TIME_EXEC FROM "&amp;MID(I11,1,LEN(I11)-2)&amp;" AND CAST("&amp;F11&amp;"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TABELA_SIMUL,'cnumecta' AS CAMPO, '${ref_date}' AS REF_DATE, COUNT(*) AS NUM_REG, SUM(IF(COALESCE(CAST(X.cnumecta AS STRING),'')&lt;&gt;COALESCE(CAST(Y.cnumecta_SIMUL AS STRING),'') OR (X.cnumecta IS NULL AND Y.cnumecta_SIMUL IS NOT NULL ) OR (X.cnumecta IS NOT NULL AND Y.cnumecta_SIMUL IS NULL),1,0)) AS NUM_REG_DIF,'1' AS ID_EXEC, CURRENT_TIMESTAMP() AS TIME_EXEC FROM (SELECT a, cnumecta FROM BU_LOANTAPE_WORK.LT001_UNIV_OPER WHERE ref_date='${ref_date}' AND nome_perimetro='Individual Local' AND segmento='ESTR' AND ambito='SRB_MBDT' AND entidade='00100')X INNER JOIN (SELECT a AS a_SIMUL, cnumecta AS cnumecta_SIMUL FROM BU_LOANTAPE_WORK.SIMUL_LT001 WHERE ref_date='${ref_date}' AND nome_perimetro='Individual Local' AND segmento='ESTR' AND ambito='PILAR3' AND entidade='00100')Y ON X.A=Y.A_SIMUL</v>
      </c>
      <c r="M11" s="36" t="str">
        <f t="shared" si="0"/>
        <v>UNION ALL SELECT 'UNIV_OPER' AS TABELA, 'COERÊNCIA' AS TIPOLOGIA_TESTE,'BU_LOANTAPE_WORK.LT001_UNIV_OPER' AS TABELA_LT,'BU_LOANTAPE_WORK.SIMUL_LT001' AS TABELA_SIMUL,'cnumecta' AS CAMPO, '${ref_date}' AS REF_DATE, COUNT(*) AS NUM_REG, SUM(IF(COALESCE(CAST(X.cnumecta AS STRING),'')&lt;&gt;COALESCE(CAST(Y.cnumecta_SIMUL AS STRING),'') OR (X.cnumecta IS NULL AND Y.cnumecta_SIMUL IS NOT NULL ) OR (X.cnumecta IS NOT NULL AND Y.cnumecta_SIMUL IS NULL),1,0)) AS NUM_REG_DIF,'1' AS ID_EXEC, CURRENT_TIMESTAMP() AS TIME_EXEC FROM (SELECT a, cnumecta FROM BU_LOANTAPE_WORK.LT001_UNIV_OPER WHERE ref_date='${ref_date}' AND nome_perimetro='Individual Local' AND segmento='ESTR' AND ambito='SRB_MBDT' AND entidade='00100')X INNER JOIN (SELECT a AS a_SIMUL, cnumecta AS cnumecta_SIMUL FROM BU_LOANTAPE_WORK.SIMUL_LT001 WHERE ref_date='${ref_date}' AND nome_perimetro='Individual Local' AND segmento='ESTR' AND ambito='PILAR3' AND entidade='00100')Y ON X.A=Y.A_SIMUL</v>
      </c>
      <c r="N11" s="38" t="s">
        <v>40</v>
      </c>
    </row>
    <row r="12" spans="1:28">
      <c r="A12" s="60" t="str">
        <f t="shared" si="1"/>
        <v>UNIV_OPERzdeposit</v>
      </c>
      <c r="B12" s="34" t="s">
        <v>1092</v>
      </c>
      <c r="C12" s="34" t="s">
        <v>5</v>
      </c>
      <c r="D12" s="34" t="str">
        <f>+UPPER('0. Instruções'!$D$35&amp;"."&amp;VLOOKUP(B12,'0. Instruções'!$C$27:$D$32,2,FALSE))</f>
        <v>BU_LOANTAPE_WORK.LT001_UNIV_OPER</v>
      </c>
      <c r="E12" s="34" t="str">
        <f>+UPPER('0. Instruções'!$D$36&amp;"."&amp;VLOOKUP(B12,'0. Instruções'!$C$27:$E$32,3,FALSE))</f>
        <v>BU_LOANTAPE_WORK.SIMUL_LT001</v>
      </c>
      <c r="F12" s="34" t="s">
        <v>1096</v>
      </c>
      <c r="G12" s="34"/>
      <c r="H12" s="34"/>
      <c r="I12" s="34" t="str">
        <f>"(SELECT "&amp;VLOOKUP(B12,'0. Instruções'!$C$27:$G$32,4,FALSE)&amp;", "&amp;F12&amp;" FROM "&amp;D12&amp;" WHERE "&amp;'0. Instruções'!$D$42&amp;")X"</f>
        <v>(SELECT a, zdeposit FROM BU_LOANTAPE_WORK.LT001_UNIV_OPER WHERE ref_date='${ref_date}' AND nome_perimetro='Individual Local' AND segmento='ESTR' AND ambito='SRB_MBDT' AND entidade='00100')X</v>
      </c>
      <c r="J12" s="34" t="str">
        <f>"(SELECT "&amp;VLOOKUP(B12,'0. Instruções'!$C$27:$G$32,4,FALSE)&amp;" AS "&amp;VLOOKUP(B12,'0. Instruções'!$C$27:$G$32,4,FALSE)&amp;"_SIMUL, "&amp;F12&amp;" AS "&amp;F12&amp;"_SIMUL FROM "&amp;E12&amp;" WHERE "&amp;'0. Instruções'!$D$43&amp;")Y"</f>
        <v>(SELECT a AS a_SIMUL, zdeposit AS zdeposit_SIMUL FROM BU_LOANTAPE_WORK.SIMUL_LT001 WHERE ref_date='${ref_date}' AND nome_perimetro='Individual Local' AND segmento='ESTR' AND ambito='PILAR3' AND entidade='00100')Y</v>
      </c>
      <c r="K12" s="35" t="str">
        <f>+UPPER("ON X."&amp;VLOOKUP(B12,'0. Instruções'!$C$27:$G$32,4,FALSE)&amp;"=Y."&amp;VLOOKUP(B12,'0. Instruções'!$C$27:$G$32,4,FALSE)&amp;"_SIMUL")</f>
        <v>ON X.A=Y.A_SIMUL</v>
      </c>
      <c r="L12" s="35" t="str">
        <f>+IF(C12="Coerência", +IF(LEFT(G12,5)="FLOAT","SELECT '"&amp;UPPER(B12)&amp;"' AS TABELA, '"&amp;UPPER(C12)&amp;"' AS TIPOLOGIA_TESTE,'"&amp;D12&amp;"' AS TABELA_LT,'"&amp;E12&amp;"' AS TABELA_SIMUL,'"&amp;F12&amp;"' AS CAMPO, "&amp;"'${ref_date}' AS REF_DATE, COUNT(*) AS NUM_REG, SUM(IF((ABS(COALESCE(CAST(X."&amp;F12&amp;" AS DECIMAL(18,6)),0)-COALESCE(CAST(Y."&amp;F12&amp;"_SIMUL AS DECIMAL(18,6)),0))&gt;0.000001) OR (X."&amp;F12&amp;" IS NULL AND Y."&amp;F12&amp;"_SIMUL IS NOT NULL ) OR (X."&amp;F12&amp;" IS NOT NULL AND Y."&amp;F12&amp;"_SIMUL IS NULL),1,0)) AS NUM_REG_DIF,'"&amp;MAX('ID1&amp;5'!K:K)+1&amp;"' AS ID_EXEC, CURRENT_TIMESTAMP() AS TIME_EXEC FROM "&amp;I12&amp;" INNER JOIN "&amp;J12&amp;" "&amp;K12,"SELECT '"&amp;UPPER(B12)&amp;"' AS TABELA, '"&amp;UPPER(C12)&amp;"' AS TIPOLOGIA_TESTE,'"&amp;D12&amp;"' AS TABELA_LT,'"&amp;E12&amp;"' AS TABELA_SIMUL,'"&amp;F12&amp;"' AS CAMPO, "&amp;"'${ref_date}' AS REF_DATE, COUNT(*) AS NUM_REG, SUM(IF(COALESCE(CAST(X."&amp;F12&amp;" AS STRING),'')&lt;&gt;COALESCE(CAST(Y."&amp;F12&amp;"_SIMUL AS STRING),'') OR (X."&amp;F12&amp;" IS NULL AND Y."&amp;F12&amp;"_SIMUL IS NOT NULL ) OR (X."&amp;F12&amp;" IS NOT NULL AND Y."&amp;F12&amp;"_SIMUL IS NULL),1,0)) AS NUM_REG_DIF,'"&amp;MAX('ID1&amp;5'!L:L)+1&amp;"' AS ID_EXEC, CURRENT_TIMESTAMP() AS TIME_EXEC FROM "&amp;I12&amp;" INNER JOIN "&amp;J12&amp;" "&amp;K12),
IF(C12="Validade",+IF(G12="Code List","SELECT '"&amp;UPPER(B12)&amp;"' AS TABELA, '"&amp;UPPER(C12)&amp;"' AS TIPOLOGIA_TESTE,'"&amp;D12&amp;"' AS TABELA_LT,'N/A' AS TABELA_SIMUL,'"&amp;F12&amp;"' AS CAMPO, "&amp;"'${ref_date}' AS REF_DATE, COUNT(*) AS NUM_REG, SUM(IF(TRIM(CAST(X."&amp;F12&amp;" AS STRING))='' OR TRIM(CAST(X."&amp;F12&amp;" AS STRING)) IS NULL OR CAST(X."&amp;F12&amp;" AS STRING) NOT "&amp;H12&amp;",1,0)) AS NUM_REG_DIF,'"&amp;MAX('ID1&amp;5'!K:K)+1&amp;"' AS ID_EXEC, CURRENT_TIMESTAMP() AS TIME_EXEC FROM "&amp;I12,"SELECT '"&amp;UPPER(B12)&amp;"' AS TABELA, '"&amp;UPPER(C12)&amp;"' AS TIPOLOGIA_TESTE,'"&amp;D12&amp;"' AS TABELA_LT,'N/A' AS TABELA_SIMUL,'"&amp;F12&amp;"' AS CAMPO, "&amp;"'${ref_date}' AS REF_DATE, COUNT(*) AS NUM_REG, SUM(IF(TRIM(CAST(X."&amp;F12&amp;" AS STRING))='' OR TRIM(CAST(X."&amp;F12&amp;" AS STRING)) IS NULL,1,0)) AS NUM_REG_DIF,'"&amp;MAX('ID1&amp;5'!K:K)+1&amp;"' AS ID_EXEC, CURRENT_TIMESTAMP() AS TIME_EXEC FROM "&amp;I12),
IF(C12="Caracteres Especiais",+"SELECT '"&amp;UPPER(B12)&amp;"' AS TABELA, '"&amp;UPPER(C12)&amp;"' AS TIPOLOGIA_TESTE,'"&amp;D12&amp;"' AS TABELA_LT,'N/A' AS TABELA_SIMUL,'"&amp;F12&amp;"' AS CAMPO, "&amp;"'${ref_date}' AS REF_DATE, COUNT(*) AS NUM_REG, SUM(IF(REGEXP_REPLACE(TRIM(CAST(X."&amp;F12&amp;" AS STRING)),'[^a-zA-Z0-9_\\s]','') &lt;&gt;TRIM(CAST(X."&amp;F12&amp;" AS STRING)),1,0)) AS NUM_REG_DIF,'"&amp;MAX('ID1&amp;5'!K:K)+1&amp;"' AS ID_EXEC, CURRENT_TIMESTAMP() AS TIME_EXEC FROM "&amp;I12,
IF(C12="Missings",+"SELECT '"&amp;UPPER(B12)&amp;"' AS TABELA, '"&amp;UPPER(C12)&amp;"' AS TIPOLOGIA_TESTE,'"&amp;D12&amp;"' AS TABELA_LT,'N/A' AS TABELA_SIMUL,'"&amp;F12&amp;"' AS CAMPO, "&amp;"'${ref_date}' AS REF_DATE, COUNT(*) AS NUM_REG, SUM(IF(TRIM(CAST(X."&amp;F12&amp;" AS STRING)) IN ('0000-00-00','0001-01-01','9999-12-31','MISS','00000','99999999999','99999999999.00','99999999999.000000'),1,0)) AS NUM_REG_DIF,'"&amp;MAX('ID1&amp;5'!K:K)+1&amp;"' AS ID_EXEC, CURRENT_TIMESTAMP() AS TIME_EXEC FROM "&amp;I12,
IF(C12="Not applicable",+"SELECT '"&amp;UPPER(B12)&amp;"' AS TABELA, '"&amp;UPPER(C12)&amp;"' AS TIPOLOGIA_TESTE,'"&amp;D12&amp;"' AS TABELA_LT,'N/A' AS TABELA_SIMUL,'"&amp;F12&amp;"' AS CAMPO, "&amp;"'${ref_date}' AS REF_DATE, COUNT(*) AS NUM_REG, SUM(IF(TRIM(CAST(X."&amp;F12&amp;" AS STRING)) IN ('N/A','11111111111','11111111111.00','11111111111.000000','1111-11-11'),1,0)) AS NUM_REG_DIF,'"&amp;MAX('ID1&amp;5'!K:K)+1&amp;"' AS ID_EXEC, CURRENT_TIMESTAMP() AS TIME_EXEC FROM "&amp;I12,
IF(C12="Valores extremos",+"SELECT '"&amp;UPPER(B12)&amp;"' AS TABELA, '"&amp;UPPER(C12)&amp;"' AS TIPOLOGIA_TESTE,'"&amp;D12&amp;"' AS TABELA_LT,'N/A' AS TABELA_SIMUL,'"&amp;F12&amp;"' AS CAMPO, "&amp;"'${ref_date}' AS REF_DATE, CAST(MIN("&amp;F12&amp;") AS STRING) AS VALOR_MIN, CAST(MAX("&amp;F12&amp;") AS STRING) AS VALOR_MAX,'"&amp;MAX('ID1&amp;5'!K:K)+1&amp;"' AS ID_EXEC, CURRENT_TIMESTAMP() AS TIME_EXEC FROM "&amp;MID(I12,1,LEN(I12)-2)&amp;" AND CAST("&amp;F12&amp;"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TABELA_SIMUL,'zdeposit' AS CAMPO, '${ref_date}' AS REF_DATE, COUNT(*) AS NUM_REG, SUM(IF(COALESCE(CAST(X.zdeposit AS STRING),'')&lt;&gt;COALESCE(CAST(Y.zdeposit_SIMUL AS STRING),'') OR (X.zdeposit IS NULL AND Y.zdeposit_SIMUL IS NOT NULL ) OR (X.zdeposit IS NOT NULL AND Y.zdeposit_SIMUL IS NULL),1,0)) AS NUM_REG_DIF,'1' AS ID_EXEC, CURRENT_TIMESTAMP() AS TIME_EXEC FROM (SELECT a, zdeposit FROM BU_LOANTAPE_WORK.LT001_UNIV_OPER WHERE ref_date='${ref_date}' AND nome_perimetro='Individual Local' AND segmento='ESTR' AND ambito='SRB_MBDT' AND entidade='00100')X INNER JOIN (SELECT a AS a_SIMUL, zdeposit AS zdeposit_SIMUL FROM BU_LOANTAPE_WORK.SIMUL_LT001 WHERE ref_date='${ref_date}' AND nome_perimetro='Individual Local' AND segmento='ESTR' AND ambito='PILAR3' AND entidade='00100')Y ON X.A=Y.A_SIMUL</v>
      </c>
      <c r="M12" s="36" t="str">
        <f t="shared" si="0"/>
        <v>UNION ALL SELECT 'UNIV_OPER' AS TABELA, 'COERÊNCIA' AS TIPOLOGIA_TESTE,'BU_LOANTAPE_WORK.LT001_UNIV_OPER' AS TABELA_LT,'BU_LOANTAPE_WORK.SIMUL_LT001' AS TABELA_SIMUL,'zdeposit' AS CAMPO, '${ref_date}' AS REF_DATE, COUNT(*) AS NUM_REG, SUM(IF(COALESCE(CAST(X.zdeposit AS STRING),'')&lt;&gt;COALESCE(CAST(Y.zdeposit_SIMUL AS STRING),'') OR (X.zdeposit IS NULL AND Y.zdeposit_SIMUL IS NOT NULL ) OR (X.zdeposit IS NOT NULL AND Y.zdeposit_SIMUL IS NULL),1,0)) AS NUM_REG_DIF,'1' AS ID_EXEC, CURRENT_TIMESTAMP() AS TIME_EXEC FROM (SELECT a, zdeposit FROM BU_LOANTAPE_WORK.LT001_UNIV_OPER WHERE ref_date='${ref_date}' AND nome_perimetro='Individual Local' AND segmento='ESTR' AND ambito='SRB_MBDT' AND entidade='00100')X INNER JOIN (SELECT a AS a_SIMUL, zdeposit AS zdeposit_SIMUL FROM BU_LOANTAPE_WORK.SIMUL_LT001 WHERE ref_date='${ref_date}' AND nome_perimetro='Individual Local' AND segmento='ESTR' AND ambito='PILAR3' AND entidade='00100')Y ON X.A=Y.A_SIMUL</v>
      </c>
      <c r="N12" s="38" t="s">
        <v>40</v>
      </c>
    </row>
    <row r="13" spans="1:28">
      <c r="A13" s="60" t="str">
        <f t="shared" si="1"/>
        <v>UNIV_OPERzcliente</v>
      </c>
      <c r="B13" s="34" t="s">
        <v>1092</v>
      </c>
      <c r="C13" s="34" t="s">
        <v>5</v>
      </c>
      <c r="D13" s="34" t="str">
        <f>+UPPER('0. Instruções'!$D$35&amp;"."&amp;VLOOKUP(B13,'0. Instruções'!$C$27:$D$32,2,FALSE))</f>
        <v>BU_LOANTAPE_WORK.LT001_UNIV_OPER</v>
      </c>
      <c r="E13" s="34" t="str">
        <f>+UPPER('0. Instruções'!$D$36&amp;"."&amp;VLOOKUP(B13,'0. Instruções'!$C$27:$E$32,3,FALSE))</f>
        <v>BU_LOANTAPE_WORK.SIMUL_LT001</v>
      </c>
      <c r="F13" s="34" t="s">
        <v>1097</v>
      </c>
      <c r="G13" s="34"/>
      <c r="H13" s="34"/>
      <c r="I13" s="34" t="str">
        <f>"(SELECT "&amp;VLOOKUP(B13,'0. Instruções'!$C$27:$G$32,4,FALSE)&amp;", "&amp;F13&amp;" FROM "&amp;D13&amp;" WHERE "&amp;'0. Instruções'!$D$42&amp;")X"</f>
        <v>(SELECT a, zcliente FROM BU_LOANTAPE_WORK.LT001_UNIV_OPER WHERE ref_date='${ref_date}' AND nome_perimetro='Individual Local' AND segmento='ESTR' AND ambito='SRB_MBDT' AND entidade='00100')X</v>
      </c>
      <c r="J13" s="34" t="str">
        <f>"(SELECT "&amp;VLOOKUP(B13,'0. Instruções'!$C$27:$G$32,4,FALSE)&amp;" AS "&amp;VLOOKUP(B13,'0. Instruções'!$C$27:$G$32,4,FALSE)&amp;"_SIMUL, "&amp;F13&amp;" AS "&amp;F13&amp;"_SIMUL FROM "&amp;E13&amp;" WHERE "&amp;'0. Instruções'!$D$43&amp;")Y"</f>
        <v>(SELECT a AS a_SIMUL, zcliente AS zcliente_SIMUL FROM BU_LOANTAPE_WORK.SIMUL_LT001 WHERE ref_date='${ref_date}' AND nome_perimetro='Individual Local' AND segmento='ESTR' AND ambito='PILAR3' AND entidade='00100')Y</v>
      </c>
      <c r="K13" s="35" t="str">
        <f>+UPPER("ON X."&amp;VLOOKUP(B13,'0. Instruções'!$C$27:$G$32,4,FALSE)&amp;"=Y."&amp;VLOOKUP(B13,'0. Instruções'!$C$27:$G$32,4,FALSE)&amp;"_SIMUL")</f>
        <v>ON X.A=Y.A_SIMUL</v>
      </c>
      <c r="L13" s="35" t="str">
        <f>+IF(C13="Coerência", +IF(LEFT(G13,5)="FLOAT","SELECT '"&amp;UPPER(B13)&amp;"' AS TABELA, '"&amp;UPPER(C13)&amp;"' AS TIPOLOGIA_TESTE,'"&amp;D13&amp;"' AS TABELA_LT,'"&amp;E13&amp;"' AS TABELA_SIMUL,'"&amp;F13&amp;"' AS CAMPO, "&amp;"'${ref_date}' AS REF_DATE, COUNT(*) AS NUM_REG, SUM(IF((ABS(COALESCE(CAST(X."&amp;F13&amp;" AS DECIMAL(18,6)),0)-COALESCE(CAST(Y."&amp;F13&amp;"_SIMUL AS DECIMAL(18,6)),0))&gt;0.000001) OR (X."&amp;F13&amp;" IS NULL AND Y."&amp;F13&amp;"_SIMUL IS NOT NULL ) OR (X."&amp;F13&amp;" IS NOT NULL AND Y."&amp;F13&amp;"_SIMUL IS NULL),1,0)) AS NUM_REG_DIF,'"&amp;MAX('ID1&amp;5'!K:K)+1&amp;"' AS ID_EXEC, CURRENT_TIMESTAMP() AS TIME_EXEC FROM "&amp;I13&amp;" INNER JOIN "&amp;J13&amp;" "&amp;K13,"SELECT '"&amp;UPPER(B13)&amp;"' AS TABELA, '"&amp;UPPER(C13)&amp;"' AS TIPOLOGIA_TESTE,'"&amp;D13&amp;"' AS TABELA_LT,'"&amp;E13&amp;"' AS TABELA_SIMUL,'"&amp;F13&amp;"' AS CAMPO, "&amp;"'${ref_date}' AS REF_DATE, COUNT(*) AS NUM_REG, SUM(IF(COALESCE(CAST(X."&amp;F13&amp;" AS STRING),'')&lt;&gt;COALESCE(CAST(Y."&amp;F13&amp;"_SIMUL AS STRING),'') OR (X."&amp;F13&amp;" IS NULL AND Y."&amp;F13&amp;"_SIMUL IS NOT NULL ) OR (X."&amp;F13&amp;" IS NOT NULL AND Y."&amp;F13&amp;"_SIMUL IS NULL),1,0)) AS NUM_REG_DIF,'"&amp;MAX('ID1&amp;5'!L:L)+1&amp;"' AS ID_EXEC, CURRENT_TIMESTAMP() AS TIME_EXEC FROM "&amp;I13&amp;" INNER JOIN "&amp;J13&amp;" "&amp;K13),
IF(C13="Validade",+IF(G13="Code List","SELECT '"&amp;UPPER(B13)&amp;"' AS TABELA, '"&amp;UPPER(C13)&amp;"' AS TIPOLOGIA_TESTE,'"&amp;D13&amp;"' AS TABELA_LT,'N/A' AS TABELA_SIMUL,'"&amp;F13&amp;"' AS CAMPO, "&amp;"'${ref_date}' AS REF_DATE, COUNT(*) AS NUM_REG, SUM(IF(TRIM(CAST(X."&amp;F13&amp;" AS STRING))='' OR TRIM(CAST(X."&amp;F13&amp;" AS STRING)) IS NULL OR CAST(X."&amp;F13&amp;" AS STRING) NOT "&amp;H13&amp;",1,0)) AS NUM_REG_DIF,'"&amp;MAX('ID1&amp;5'!K:K)+1&amp;"' AS ID_EXEC, CURRENT_TIMESTAMP() AS TIME_EXEC FROM "&amp;I13,"SELECT '"&amp;UPPER(B13)&amp;"' AS TABELA, '"&amp;UPPER(C13)&amp;"' AS TIPOLOGIA_TESTE,'"&amp;D13&amp;"' AS TABELA_LT,'N/A' AS TABELA_SIMUL,'"&amp;F13&amp;"' AS CAMPO, "&amp;"'${ref_date}' AS REF_DATE, COUNT(*) AS NUM_REG, SUM(IF(TRIM(CAST(X."&amp;F13&amp;" AS STRING))='' OR TRIM(CAST(X."&amp;F13&amp;" AS STRING)) IS NULL,1,0)) AS NUM_REG_DIF,'"&amp;MAX('ID1&amp;5'!K:K)+1&amp;"' AS ID_EXEC, CURRENT_TIMESTAMP() AS TIME_EXEC FROM "&amp;I13),
IF(C13="Caracteres Especiais",+"SELECT '"&amp;UPPER(B13)&amp;"' AS TABELA, '"&amp;UPPER(C13)&amp;"' AS TIPOLOGIA_TESTE,'"&amp;D13&amp;"' AS TABELA_LT,'N/A' AS TABELA_SIMUL,'"&amp;F13&amp;"' AS CAMPO, "&amp;"'${ref_date}' AS REF_DATE, COUNT(*) AS NUM_REG, SUM(IF(REGEXP_REPLACE(TRIM(CAST(X."&amp;F13&amp;" AS STRING)),'[^a-zA-Z0-9_\\s]','') &lt;&gt;TRIM(CAST(X."&amp;F13&amp;" AS STRING)),1,0)) AS NUM_REG_DIF,'"&amp;MAX('ID1&amp;5'!K:K)+1&amp;"' AS ID_EXEC, CURRENT_TIMESTAMP() AS TIME_EXEC FROM "&amp;I13,
IF(C13="Missings",+"SELECT '"&amp;UPPER(B13)&amp;"' AS TABELA, '"&amp;UPPER(C13)&amp;"' AS TIPOLOGIA_TESTE,'"&amp;D13&amp;"' AS TABELA_LT,'N/A' AS TABELA_SIMUL,'"&amp;F13&amp;"' AS CAMPO, "&amp;"'${ref_date}' AS REF_DATE, COUNT(*) AS NUM_REG, SUM(IF(TRIM(CAST(X."&amp;F13&amp;" AS STRING)) IN ('0000-00-00','0001-01-01','9999-12-31','MISS','00000','99999999999','99999999999.00','99999999999.000000'),1,0)) AS NUM_REG_DIF,'"&amp;MAX('ID1&amp;5'!K:K)+1&amp;"' AS ID_EXEC, CURRENT_TIMESTAMP() AS TIME_EXEC FROM "&amp;I13,
IF(C13="Not applicable",+"SELECT '"&amp;UPPER(B13)&amp;"' AS TABELA, '"&amp;UPPER(C13)&amp;"' AS TIPOLOGIA_TESTE,'"&amp;D13&amp;"' AS TABELA_LT,'N/A' AS TABELA_SIMUL,'"&amp;F13&amp;"' AS CAMPO, "&amp;"'${ref_date}' AS REF_DATE, COUNT(*) AS NUM_REG, SUM(IF(TRIM(CAST(X."&amp;F13&amp;" AS STRING)) IN ('N/A','11111111111','11111111111.00','11111111111.000000','1111-11-11'),1,0)) AS NUM_REG_DIF,'"&amp;MAX('ID1&amp;5'!K:K)+1&amp;"' AS ID_EXEC, CURRENT_TIMESTAMP() AS TIME_EXEC FROM "&amp;I13,
IF(C13="Valores extremos",+"SELECT '"&amp;UPPER(B13)&amp;"' AS TABELA, '"&amp;UPPER(C13)&amp;"' AS TIPOLOGIA_TESTE,'"&amp;D13&amp;"' AS TABELA_LT,'N/A' AS TABELA_SIMUL,'"&amp;F13&amp;"' AS CAMPO, "&amp;"'${ref_date}' AS REF_DATE, CAST(MIN("&amp;F13&amp;") AS STRING) AS VALOR_MIN, CAST(MAX("&amp;F13&amp;") AS STRING) AS VALOR_MAX,'"&amp;MAX('ID1&amp;5'!K:K)+1&amp;"' AS ID_EXEC, CURRENT_TIMESTAMP() AS TIME_EXEC FROM "&amp;MID(I13,1,LEN(I13)-2)&amp;" AND CAST("&amp;F13&amp;"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TABELA_SIMUL,'zcliente' AS CAMPO, '${ref_date}' AS REF_DATE, COUNT(*) AS NUM_REG, SUM(IF(COALESCE(CAST(X.zcliente AS STRING),'')&lt;&gt;COALESCE(CAST(Y.zcliente_SIMUL AS STRING),'') OR (X.zcliente IS NULL AND Y.zcliente_SIMUL IS NOT NULL ) OR (X.zcliente IS NOT NULL AND Y.zcliente_SIMUL IS NULL),1,0)) AS NUM_REG_DIF,'1' AS ID_EXEC, CURRENT_TIMESTAMP() AS TIME_EXEC FROM (SELECT a, zcliente FROM BU_LOANTAPE_WORK.LT001_UNIV_OPER WHERE ref_date='${ref_date}' AND nome_perimetro='Individual Local' AND segmento='ESTR' AND ambito='SRB_MBDT' AND entidade='00100')X INNER JOIN (SELECT a AS a_SIMUL, zcliente AS zcliente_SIMUL FROM BU_LOANTAPE_WORK.SIMUL_LT001 WHERE ref_date='${ref_date}' AND nome_perimetro='Individual Local' AND segmento='ESTR' AND ambito='PILAR3' AND entidade='00100')Y ON X.A=Y.A_SIMUL</v>
      </c>
      <c r="M13" s="36" t="str">
        <f t="shared" si="0"/>
        <v>UNION ALL SELECT 'UNIV_OPER' AS TABELA, 'COERÊNCIA' AS TIPOLOGIA_TESTE,'BU_LOANTAPE_WORK.LT001_UNIV_OPER' AS TABELA_LT,'BU_LOANTAPE_WORK.SIMUL_LT001' AS TABELA_SIMUL,'zcliente' AS CAMPO, '${ref_date}' AS REF_DATE, COUNT(*) AS NUM_REG, SUM(IF(COALESCE(CAST(X.zcliente AS STRING),'')&lt;&gt;COALESCE(CAST(Y.zcliente_SIMUL AS STRING),'') OR (X.zcliente IS NULL AND Y.zcliente_SIMUL IS NOT NULL ) OR (X.zcliente IS NOT NULL AND Y.zcliente_SIMUL IS NULL),1,0)) AS NUM_REG_DIF,'1' AS ID_EXEC, CURRENT_TIMESTAMP() AS TIME_EXEC FROM (SELECT a, zcliente FROM BU_LOANTAPE_WORK.LT001_UNIV_OPER WHERE ref_date='${ref_date}' AND nome_perimetro='Individual Local' AND segmento='ESTR' AND ambito='SRB_MBDT' AND entidade='00100')X INNER JOIN (SELECT a AS a_SIMUL, zcliente AS zcliente_SIMUL FROM BU_LOANTAPE_WORK.SIMUL_LT001 WHERE ref_date='${ref_date}' AND nome_perimetro='Individual Local' AND segmento='ESTR' AND ambito='PILAR3' AND entidade='00100')Y ON X.A=Y.A_SIMUL</v>
      </c>
      <c r="N13" s="38" t="s">
        <v>40</v>
      </c>
    </row>
    <row r="14" spans="1:28">
      <c r="A14" s="60" t="str">
        <f t="shared" si="1"/>
        <v>UNIV_OPERccontab_final_ifrs</v>
      </c>
      <c r="B14" s="34" t="s">
        <v>1092</v>
      </c>
      <c r="C14" s="34" t="s">
        <v>5</v>
      </c>
      <c r="D14" s="34" t="str">
        <f>+UPPER('0. Instruções'!$D$35&amp;"."&amp;VLOOKUP(B14,'0. Instruções'!$C$27:$D$32,2,FALSE))</f>
        <v>BU_LOANTAPE_WORK.LT001_UNIV_OPER</v>
      </c>
      <c r="E14" s="34" t="str">
        <f>+UPPER('0. Instruções'!$D$36&amp;"."&amp;VLOOKUP(B14,'0. Instruções'!$C$27:$E$32,3,FALSE))</f>
        <v>BU_LOANTAPE_WORK.SIMUL_LT001</v>
      </c>
      <c r="F14" s="34" t="s">
        <v>1098</v>
      </c>
      <c r="G14" s="34"/>
      <c r="H14" s="34"/>
      <c r="I14" s="34" t="str">
        <f>"(SELECT "&amp;VLOOKUP(B14,'0. Instruções'!$C$27:$G$32,4,FALSE)&amp;", "&amp;F14&amp;" FROM "&amp;D14&amp;" WHERE "&amp;'0. Instruções'!$D$42&amp;")X"</f>
        <v>(SELECT a, ccontab_final_ifrs FROM BU_LOANTAPE_WORK.LT001_UNIV_OPER WHERE ref_date='${ref_date}' AND nome_perimetro='Individual Local' AND segmento='ESTR' AND ambito='SRB_MBDT' AND entidade='00100')X</v>
      </c>
      <c r="J14" s="34" t="str">
        <f>"(SELECT "&amp;VLOOKUP(B14,'0. Instruções'!$C$27:$G$32,4,FALSE)&amp;" AS "&amp;VLOOKUP(B14,'0. Instruções'!$C$27:$G$32,4,FALSE)&amp;"_SIMUL, "&amp;F14&amp;" AS "&amp;F14&amp;"_SIMUL FROM "&amp;E14&amp;" WHERE "&amp;'0. Instruções'!$D$43&amp;")Y"</f>
        <v>(SELECT a AS a_SIMUL, ccontab_final_ifrs AS ccontab_final_ifrs_SIMUL FROM BU_LOANTAPE_WORK.SIMUL_LT001 WHERE ref_date='${ref_date}' AND nome_perimetro='Individual Local' AND segmento='ESTR' AND ambito='PILAR3' AND entidade='00100')Y</v>
      </c>
      <c r="K14" s="35" t="str">
        <f>+UPPER("ON X."&amp;VLOOKUP(B14,'0. Instruções'!$C$27:$G$32,4,FALSE)&amp;"=Y."&amp;VLOOKUP(B14,'0. Instruções'!$C$27:$G$32,4,FALSE)&amp;"_SIMUL")</f>
        <v>ON X.A=Y.A_SIMUL</v>
      </c>
      <c r="L14" s="35" t="str">
        <f>+IF(C14="Coerência", +IF(LEFT(G14,5)="FLOAT","SELECT '"&amp;UPPER(B14)&amp;"' AS TABELA, '"&amp;UPPER(C14)&amp;"' AS TIPOLOGIA_TESTE,'"&amp;D14&amp;"' AS TABELA_LT,'"&amp;E14&amp;"' AS TABELA_SIMUL,'"&amp;F14&amp;"' AS CAMPO, "&amp;"'${ref_date}' AS REF_DATE, COUNT(*) AS NUM_REG, SUM(IF((ABS(COALESCE(CAST(X."&amp;F14&amp;" AS DECIMAL(18,6)),0)-COALESCE(CAST(Y."&amp;F14&amp;"_SIMUL AS DECIMAL(18,6)),0))&gt;0.000001) OR (X."&amp;F14&amp;" IS NULL AND Y."&amp;F14&amp;"_SIMUL IS NOT NULL ) OR (X."&amp;F14&amp;" IS NOT NULL AND Y."&amp;F14&amp;"_SIMUL IS NULL),1,0)) AS NUM_REG_DIF,'"&amp;MAX('ID1&amp;5'!K:K)+1&amp;"' AS ID_EXEC, CURRENT_TIMESTAMP() AS TIME_EXEC FROM "&amp;I14&amp;" INNER JOIN "&amp;J14&amp;" "&amp;K14,"SELECT '"&amp;UPPER(B14)&amp;"' AS TABELA, '"&amp;UPPER(C14)&amp;"' AS TIPOLOGIA_TESTE,'"&amp;D14&amp;"' AS TABELA_LT,'"&amp;E14&amp;"' AS TABELA_SIMUL,'"&amp;F14&amp;"' AS CAMPO, "&amp;"'${ref_date}' AS REF_DATE, COUNT(*) AS NUM_REG, SUM(IF(COALESCE(CAST(X."&amp;F14&amp;" AS STRING),'')&lt;&gt;COALESCE(CAST(Y."&amp;F14&amp;"_SIMUL AS STRING),'') OR (X."&amp;F14&amp;" IS NULL AND Y."&amp;F14&amp;"_SIMUL IS NOT NULL ) OR (X."&amp;F14&amp;" IS NOT NULL AND Y."&amp;F14&amp;"_SIMUL IS NULL),1,0)) AS NUM_REG_DIF,'"&amp;MAX('ID1&amp;5'!L:L)+1&amp;"' AS ID_EXEC, CURRENT_TIMESTAMP() AS TIME_EXEC FROM "&amp;I14&amp;" INNER JOIN "&amp;J14&amp;" "&amp;K14),
IF(C14="Validade",+IF(G14="Code List","SELECT '"&amp;UPPER(B14)&amp;"' AS TABELA, '"&amp;UPPER(C14)&amp;"' AS TIPOLOGIA_TESTE,'"&amp;D14&amp;"' AS TABELA_LT,'N/A' AS TABELA_SIMUL,'"&amp;F14&amp;"' AS CAMPO, "&amp;"'${ref_date}' AS REF_DATE, COUNT(*) AS NUM_REG, SUM(IF(TRIM(CAST(X."&amp;F14&amp;" AS STRING))='' OR TRIM(CAST(X."&amp;F14&amp;" AS STRING)) IS NULL OR CAST(X."&amp;F14&amp;" AS STRING) NOT "&amp;H14&amp;",1,0)) AS NUM_REG_DIF,'"&amp;MAX('ID1&amp;5'!K:K)+1&amp;"' AS ID_EXEC, CURRENT_TIMESTAMP() AS TIME_EXEC FROM "&amp;I14,"SELECT '"&amp;UPPER(B14)&amp;"' AS TABELA, '"&amp;UPPER(C14)&amp;"' AS TIPOLOGIA_TESTE,'"&amp;D14&amp;"' AS TABELA_LT,'N/A' AS TABELA_SIMUL,'"&amp;F14&amp;"' AS CAMPO, "&amp;"'${ref_date}' AS REF_DATE, COUNT(*) AS NUM_REG, SUM(IF(TRIM(CAST(X."&amp;F14&amp;" AS STRING))='' OR TRIM(CAST(X."&amp;F14&amp;" AS STRING)) IS NULL,1,0)) AS NUM_REG_DIF,'"&amp;MAX('ID1&amp;5'!K:K)+1&amp;"' AS ID_EXEC, CURRENT_TIMESTAMP() AS TIME_EXEC FROM "&amp;I14),
IF(C14="Caracteres Especiais",+"SELECT '"&amp;UPPER(B14)&amp;"' AS TABELA, '"&amp;UPPER(C14)&amp;"' AS TIPOLOGIA_TESTE,'"&amp;D14&amp;"' AS TABELA_LT,'N/A' AS TABELA_SIMUL,'"&amp;F14&amp;"' AS CAMPO, "&amp;"'${ref_date}' AS REF_DATE, COUNT(*) AS NUM_REG, SUM(IF(REGEXP_REPLACE(TRIM(CAST(X."&amp;F14&amp;" AS STRING)),'[^a-zA-Z0-9_\\s]','') &lt;&gt;TRIM(CAST(X."&amp;F14&amp;" AS STRING)),1,0)) AS NUM_REG_DIF,'"&amp;MAX('ID1&amp;5'!K:K)+1&amp;"' AS ID_EXEC, CURRENT_TIMESTAMP() AS TIME_EXEC FROM "&amp;I14,
IF(C14="Missings",+"SELECT '"&amp;UPPER(B14)&amp;"' AS TABELA, '"&amp;UPPER(C14)&amp;"' AS TIPOLOGIA_TESTE,'"&amp;D14&amp;"' AS TABELA_LT,'N/A' AS TABELA_SIMUL,'"&amp;F14&amp;"' AS CAMPO, "&amp;"'${ref_date}' AS REF_DATE, COUNT(*) AS NUM_REG, SUM(IF(TRIM(CAST(X."&amp;F14&amp;" AS STRING)) IN ('0000-00-00','0001-01-01','9999-12-31','MISS','00000','99999999999','99999999999.00','99999999999.000000'),1,0)) AS NUM_REG_DIF,'"&amp;MAX('ID1&amp;5'!K:K)+1&amp;"' AS ID_EXEC, CURRENT_TIMESTAMP() AS TIME_EXEC FROM "&amp;I14,
IF(C14="Not applicable",+"SELECT '"&amp;UPPER(B14)&amp;"' AS TABELA, '"&amp;UPPER(C14)&amp;"' AS TIPOLOGIA_TESTE,'"&amp;D14&amp;"' AS TABELA_LT,'N/A' AS TABELA_SIMUL,'"&amp;F14&amp;"' AS CAMPO, "&amp;"'${ref_date}' AS REF_DATE, COUNT(*) AS NUM_REG, SUM(IF(TRIM(CAST(X."&amp;F14&amp;" AS STRING)) IN ('N/A','11111111111','11111111111.00','11111111111.000000','1111-11-11'),1,0)) AS NUM_REG_DIF,'"&amp;MAX('ID1&amp;5'!K:K)+1&amp;"' AS ID_EXEC, CURRENT_TIMESTAMP() AS TIME_EXEC FROM "&amp;I14,
IF(C14="Valores extremos",+"SELECT '"&amp;UPPER(B14)&amp;"' AS TABELA, '"&amp;UPPER(C14)&amp;"' AS TIPOLOGIA_TESTE,'"&amp;D14&amp;"' AS TABELA_LT,'N/A' AS TABELA_SIMUL,'"&amp;F14&amp;"' AS CAMPO, "&amp;"'${ref_date}' AS REF_DATE, CAST(MIN("&amp;F14&amp;") AS STRING) AS VALOR_MIN, CAST(MAX("&amp;F14&amp;") AS STRING) AS VALOR_MAX,'"&amp;MAX('ID1&amp;5'!K:K)+1&amp;"' AS ID_EXEC, CURRENT_TIMESTAMP() AS TIME_EXEC FROM "&amp;MID(I14,1,LEN(I14)-2)&amp;" AND CAST("&amp;F14&amp;"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TABELA_SIMUL,'ccontab_final_ifrs' AS CAMPO, '${ref_date}' AS REF_DATE, COUNT(*) AS NUM_REG, SUM(IF(COALESCE(CAST(X.ccontab_final_ifrs AS STRING),'')&lt;&gt;COALESCE(CAST(Y.ccontab_final_ifrs_SIMUL AS STRING),'') OR (X.ccontab_final_ifrs IS NULL AND Y.ccontab_final_ifrs_SIMUL IS NOT NULL ) OR (X.ccontab_final_ifrs IS NOT NULL AND Y.ccontab_final_ifrs_SIMUL IS NULL),1,0)) AS NUM_REG_DIF,'1' AS ID_EXEC, CURRENT_TIMESTAMP() AS TIME_EXEC FROM (SELECT a, ccontab_final_ifrs FROM BU_LOANTAPE_WORK.LT001_UNIV_OPER WHERE ref_date='${ref_date}' AND nome_perimetro='Individual Local' AND segmento='ESTR' AND ambito='SRB_MBDT' AND entidade='00100')X INNER JOIN (SELECT a AS a_SIMUL, ccontab_final_ifrs AS ccontab_final_ifrs_SIMUL FROM BU_LOANTAPE_WORK.SIMUL_LT001 WHERE ref_date='${ref_date}' AND nome_perimetro='Individual Local' AND segmento='ESTR' AND ambito='PILAR3' AND entidade='00100')Y ON X.A=Y.A_SIMUL</v>
      </c>
      <c r="M14" s="36" t="str">
        <f t="shared" si="0"/>
        <v>UNION ALL SELECT 'UNIV_OPER' AS TABELA, 'COERÊNCIA' AS TIPOLOGIA_TESTE,'BU_LOANTAPE_WORK.LT001_UNIV_OPER' AS TABELA_LT,'BU_LOANTAPE_WORK.SIMUL_LT001' AS TABELA_SIMUL,'ccontab_final_ifrs' AS CAMPO, '${ref_date}' AS REF_DATE, COUNT(*) AS NUM_REG, SUM(IF(COALESCE(CAST(X.ccontab_final_ifrs AS STRING),'')&lt;&gt;COALESCE(CAST(Y.ccontab_final_ifrs_SIMUL AS STRING),'') OR (X.ccontab_final_ifrs IS NULL AND Y.ccontab_final_ifrs_SIMUL IS NOT NULL ) OR (X.ccontab_final_ifrs IS NOT NULL AND Y.ccontab_final_ifrs_SIMUL IS NULL),1,0)) AS NUM_REG_DIF,'1' AS ID_EXEC, CURRENT_TIMESTAMP() AS TIME_EXEC FROM (SELECT a, ccontab_final_ifrs FROM BU_LOANTAPE_WORK.LT001_UNIV_OPER WHERE ref_date='${ref_date}' AND nome_perimetro='Individual Local' AND segmento='ESTR' AND ambito='SRB_MBDT' AND entidade='00100')X INNER JOIN (SELECT a AS a_SIMUL, ccontab_final_ifrs AS ccontab_final_ifrs_SIMUL FROM BU_LOANTAPE_WORK.SIMUL_LT001 WHERE ref_date='${ref_date}' AND nome_perimetro='Individual Local' AND segmento='ESTR' AND ambito='PILAR3' AND entidade='00100')Y ON X.A=Y.A_SIMUL</v>
      </c>
      <c r="N14" s="38" t="s">
        <v>40</v>
      </c>
    </row>
    <row r="15" spans="1:28">
      <c r="A15" s="60" t="str">
        <f t="shared" si="1"/>
        <v>UNIV_OPERccontab_final_pcsb</v>
      </c>
      <c r="B15" s="34" t="s">
        <v>1092</v>
      </c>
      <c r="C15" s="34" t="s">
        <v>5</v>
      </c>
      <c r="D15" s="34" t="str">
        <f>+UPPER('0. Instruções'!$D$35&amp;"."&amp;VLOOKUP(B15,'0. Instruções'!$C$27:$D$32,2,FALSE))</f>
        <v>BU_LOANTAPE_WORK.LT001_UNIV_OPER</v>
      </c>
      <c r="E15" s="34" t="str">
        <f>+UPPER('0. Instruções'!$D$36&amp;"."&amp;VLOOKUP(B15,'0. Instruções'!$C$27:$E$32,3,FALSE))</f>
        <v>BU_LOANTAPE_WORK.SIMUL_LT001</v>
      </c>
      <c r="F15" s="34" t="s">
        <v>1099</v>
      </c>
      <c r="G15" s="34"/>
      <c r="H15" s="34"/>
      <c r="I15" s="34" t="str">
        <f>"(SELECT "&amp;VLOOKUP(B15,'0. Instruções'!$C$27:$G$32,4,FALSE)&amp;", "&amp;F15&amp;" FROM "&amp;D15&amp;" WHERE "&amp;'0. Instruções'!$D$42&amp;")X"</f>
        <v>(SELECT a, ccontab_final_pcsb FROM BU_LOANTAPE_WORK.LT001_UNIV_OPER WHERE ref_date='${ref_date}' AND nome_perimetro='Individual Local' AND segmento='ESTR' AND ambito='SRB_MBDT' AND entidade='00100')X</v>
      </c>
      <c r="J15" s="34" t="str">
        <f>"(SELECT "&amp;VLOOKUP(B15,'0. Instruções'!$C$27:$G$32,4,FALSE)&amp;" AS "&amp;VLOOKUP(B15,'0. Instruções'!$C$27:$G$32,4,FALSE)&amp;"_SIMUL, "&amp;F15&amp;" AS "&amp;F15&amp;"_SIMUL FROM "&amp;E15&amp;" WHERE "&amp;'0. Instruções'!$D$43&amp;")Y"</f>
        <v>(SELECT a AS a_SIMUL, ccontab_final_pcsb AS ccontab_final_pcsb_SIMUL FROM BU_LOANTAPE_WORK.SIMUL_LT001 WHERE ref_date='${ref_date}' AND nome_perimetro='Individual Local' AND segmento='ESTR' AND ambito='PILAR3' AND entidade='00100')Y</v>
      </c>
      <c r="K15" s="35" t="str">
        <f>+UPPER("ON X."&amp;VLOOKUP(B15,'0. Instruções'!$C$27:$G$32,4,FALSE)&amp;"=Y."&amp;VLOOKUP(B15,'0. Instruções'!$C$27:$G$32,4,FALSE)&amp;"_SIMUL")</f>
        <v>ON X.A=Y.A_SIMUL</v>
      </c>
      <c r="L15" s="35" t="str">
        <f>+IF(C15="Coerência", +IF(LEFT(G15,5)="FLOAT","SELECT '"&amp;UPPER(B15)&amp;"' AS TABELA, '"&amp;UPPER(C15)&amp;"' AS TIPOLOGIA_TESTE,'"&amp;D15&amp;"' AS TABELA_LT,'"&amp;E15&amp;"' AS TABELA_SIMUL,'"&amp;F15&amp;"' AS CAMPO, "&amp;"'${ref_date}' AS REF_DATE, COUNT(*) AS NUM_REG, SUM(IF((ABS(COALESCE(CAST(X."&amp;F15&amp;" AS DECIMAL(18,6)),0)-COALESCE(CAST(Y."&amp;F15&amp;"_SIMUL AS DECIMAL(18,6)),0))&gt;0.000001) OR (X."&amp;F15&amp;" IS NULL AND Y."&amp;F15&amp;"_SIMUL IS NOT NULL ) OR (X."&amp;F15&amp;" IS NOT NULL AND Y."&amp;F15&amp;"_SIMUL IS NULL),1,0)) AS NUM_REG_DIF,'"&amp;MAX('ID1&amp;5'!K:K)+1&amp;"' AS ID_EXEC, CURRENT_TIMESTAMP() AS TIME_EXEC FROM "&amp;I15&amp;" INNER JOIN "&amp;J15&amp;" "&amp;K15,"SELECT '"&amp;UPPER(B15)&amp;"' AS TABELA, '"&amp;UPPER(C15)&amp;"' AS TIPOLOGIA_TESTE,'"&amp;D15&amp;"' AS TABELA_LT,'"&amp;E15&amp;"' AS TABELA_SIMUL,'"&amp;F15&amp;"' AS CAMPO, "&amp;"'${ref_date}' AS REF_DATE, COUNT(*) AS NUM_REG, SUM(IF(COALESCE(CAST(X."&amp;F15&amp;" AS STRING),'')&lt;&gt;COALESCE(CAST(Y."&amp;F15&amp;"_SIMUL AS STRING),'') OR (X."&amp;F15&amp;" IS NULL AND Y."&amp;F15&amp;"_SIMUL IS NOT NULL ) OR (X."&amp;F15&amp;" IS NOT NULL AND Y."&amp;F15&amp;"_SIMUL IS NULL),1,0)) AS NUM_REG_DIF,'"&amp;MAX('ID1&amp;5'!L:L)+1&amp;"' AS ID_EXEC, CURRENT_TIMESTAMP() AS TIME_EXEC FROM "&amp;I15&amp;" INNER JOIN "&amp;J15&amp;" "&amp;K15),
IF(C15="Validade",+IF(G15="Code List","SELECT '"&amp;UPPER(B15)&amp;"' AS TABELA, '"&amp;UPPER(C15)&amp;"' AS TIPOLOGIA_TESTE,'"&amp;D15&amp;"' AS TABELA_LT,'N/A' AS TABELA_SIMUL,'"&amp;F15&amp;"' AS CAMPO, "&amp;"'${ref_date}' AS REF_DATE, COUNT(*) AS NUM_REG, SUM(IF(TRIM(CAST(X."&amp;F15&amp;" AS STRING))='' OR TRIM(CAST(X."&amp;F15&amp;" AS STRING)) IS NULL OR CAST(X."&amp;F15&amp;" AS STRING) NOT "&amp;H15&amp;",1,0)) AS NUM_REG_DIF,'"&amp;MAX('ID1&amp;5'!K:K)+1&amp;"' AS ID_EXEC, CURRENT_TIMESTAMP() AS TIME_EXEC FROM "&amp;I15,"SELECT '"&amp;UPPER(B15)&amp;"' AS TABELA, '"&amp;UPPER(C15)&amp;"' AS TIPOLOGIA_TESTE,'"&amp;D15&amp;"' AS TABELA_LT,'N/A' AS TABELA_SIMUL,'"&amp;F15&amp;"' AS CAMPO, "&amp;"'${ref_date}' AS REF_DATE, COUNT(*) AS NUM_REG, SUM(IF(TRIM(CAST(X."&amp;F15&amp;" AS STRING))='' OR TRIM(CAST(X."&amp;F15&amp;" AS STRING)) IS NULL,1,0)) AS NUM_REG_DIF,'"&amp;MAX('ID1&amp;5'!K:K)+1&amp;"' AS ID_EXEC, CURRENT_TIMESTAMP() AS TIME_EXEC FROM "&amp;I15),
IF(C15="Caracteres Especiais",+"SELECT '"&amp;UPPER(B15)&amp;"' AS TABELA, '"&amp;UPPER(C15)&amp;"' AS TIPOLOGIA_TESTE,'"&amp;D15&amp;"' AS TABELA_LT,'N/A' AS TABELA_SIMUL,'"&amp;F15&amp;"' AS CAMPO, "&amp;"'${ref_date}' AS REF_DATE, COUNT(*) AS NUM_REG, SUM(IF(REGEXP_REPLACE(TRIM(CAST(X."&amp;F15&amp;" AS STRING)),'[^a-zA-Z0-9_\\s]','') &lt;&gt;TRIM(CAST(X."&amp;F15&amp;" AS STRING)),1,0)) AS NUM_REG_DIF,'"&amp;MAX('ID1&amp;5'!K:K)+1&amp;"' AS ID_EXEC, CURRENT_TIMESTAMP() AS TIME_EXEC FROM "&amp;I15,
IF(C15="Missings",+"SELECT '"&amp;UPPER(B15)&amp;"' AS TABELA, '"&amp;UPPER(C15)&amp;"' AS TIPOLOGIA_TESTE,'"&amp;D15&amp;"' AS TABELA_LT,'N/A' AS TABELA_SIMUL,'"&amp;F15&amp;"' AS CAMPO, "&amp;"'${ref_date}' AS REF_DATE, COUNT(*) AS NUM_REG, SUM(IF(TRIM(CAST(X."&amp;F15&amp;" AS STRING)) IN ('0000-00-00','0001-01-01','9999-12-31','MISS','00000','99999999999','99999999999.00','99999999999.000000'),1,0)) AS NUM_REG_DIF,'"&amp;MAX('ID1&amp;5'!K:K)+1&amp;"' AS ID_EXEC, CURRENT_TIMESTAMP() AS TIME_EXEC FROM "&amp;I15,
IF(C15="Not applicable",+"SELECT '"&amp;UPPER(B15)&amp;"' AS TABELA, '"&amp;UPPER(C15)&amp;"' AS TIPOLOGIA_TESTE,'"&amp;D15&amp;"' AS TABELA_LT,'N/A' AS TABELA_SIMUL,'"&amp;F15&amp;"' AS CAMPO, "&amp;"'${ref_date}' AS REF_DATE, COUNT(*) AS NUM_REG, SUM(IF(TRIM(CAST(X."&amp;F15&amp;" AS STRING)) IN ('N/A','11111111111','11111111111.00','11111111111.000000','1111-11-11'),1,0)) AS NUM_REG_DIF,'"&amp;MAX('ID1&amp;5'!K:K)+1&amp;"' AS ID_EXEC, CURRENT_TIMESTAMP() AS TIME_EXEC FROM "&amp;I15,
IF(C15="Valores extremos",+"SELECT '"&amp;UPPER(B15)&amp;"' AS TABELA, '"&amp;UPPER(C15)&amp;"' AS TIPOLOGIA_TESTE,'"&amp;D15&amp;"' AS TABELA_LT,'N/A' AS TABELA_SIMUL,'"&amp;F15&amp;"' AS CAMPO, "&amp;"'${ref_date}' AS REF_DATE, CAST(MIN("&amp;F15&amp;") AS STRING) AS VALOR_MIN, CAST(MAX("&amp;F15&amp;") AS STRING) AS VALOR_MAX,'"&amp;MAX('ID1&amp;5'!K:K)+1&amp;"' AS ID_EXEC, CURRENT_TIMESTAMP() AS TIME_EXEC FROM "&amp;MID(I15,1,LEN(I15)-2)&amp;" AND CAST("&amp;F15&amp;"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TABELA_SIMUL,'ccontab_final_pcsb' AS CAMPO, '${ref_date}' AS REF_DATE, COUNT(*) AS NUM_REG, SUM(IF(COALESCE(CAST(X.ccontab_final_pcsb AS STRING),'')&lt;&gt;COALESCE(CAST(Y.ccontab_final_pcsb_SIMUL AS STRING),'') OR (X.ccontab_final_pcsb IS NULL AND Y.ccontab_final_pcsb_SIMUL IS NOT NULL ) OR (X.ccontab_final_pcsb IS NOT NULL AND Y.ccontab_final_pcsb_SIMUL IS NULL),1,0)) AS NUM_REG_DIF,'1' AS ID_EXEC, CURRENT_TIMESTAMP() AS TIME_EXEC FROM (SELECT a, ccontab_final_pcsb FROM BU_LOANTAPE_WORK.LT001_UNIV_OPER WHERE ref_date='${ref_date}' AND nome_perimetro='Individual Local' AND segmento='ESTR' AND ambito='SRB_MBDT' AND entidade='00100')X INNER JOIN (SELECT a AS a_SIMUL, ccontab_final_pcsb AS ccontab_final_pcsb_SIMUL FROM BU_LOANTAPE_WORK.SIMUL_LT001 WHERE ref_date='${ref_date}' AND nome_perimetro='Individual Local' AND segmento='ESTR' AND ambito='PILAR3' AND entidade='00100')Y ON X.A=Y.A_SIMUL</v>
      </c>
      <c r="M15" s="36" t="str">
        <f t="shared" si="0"/>
        <v>UNION ALL SELECT 'UNIV_OPER' AS TABELA, 'COERÊNCIA' AS TIPOLOGIA_TESTE,'BU_LOANTAPE_WORK.LT001_UNIV_OPER' AS TABELA_LT,'BU_LOANTAPE_WORK.SIMUL_LT001' AS TABELA_SIMUL,'ccontab_final_pcsb' AS CAMPO, '${ref_date}' AS REF_DATE, COUNT(*) AS NUM_REG, SUM(IF(COALESCE(CAST(X.ccontab_final_pcsb AS STRING),'')&lt;&gt;COALESCE(CAST(Y.ccontab_final_pcsb_SIMUL AS STRING),'') OR (X.ccontab_final_pcsb IS NULL AND Y.ccontab_final_pcsb_SIMUL IS NOT NULL ) OR (X.ccontab_final_pcsb IS NOT NULL AND Y.ccontab_final_pcsb_SIMUL IS NULL),1,0)) AS NUM_REG_DIF,'1' AS ID_EXEC, CURRENT_TIMESTAMP() AS TIME_EXEC FROM (SELECT a, ccontab_final_pcsb FROM BU_LOANTAPE_WORK.LT001_UNIV_OPER WHERE ref_date='${ref_date}' AND nome_perimetro='Individual Local' AND segmento='ESTR' AND ambito='SRB_MBDT' AND entidade='00100')X INNER JOIN (SELECT a AS a_SIMUL, ccontab_final_pcsb AS ccontab_final_pcsb_SIMUL FROM BU_LOANTAPE_WORK.SIMUL_LT001 WHERE ref_date='${ref_date}' AND nome_perimetro='Individual Local' AND segmento='ESTR' AND ambito='PILAR3' AND entidade='00100')Y ON X.A=Y.A_SIMUL</v>
      </c>
      <c r="N15" s="38" t="s">
        <v>40</v>
      </c>
    </row>
    <row r="16" spans="1:28">
      <c r="A16" s="60" t="str">
        <f t="shared" si="1"/>
        <v>UNIV_OPERccontab_final_cargabal</v>
      </c>
      <c r="B16" s="34" t="s">
        <v>1092</v>
      </c>
      <c r="C16" s="34" t="s">
        <v>5</v>
      </c>
      <c r="D16" s="34" t="str">
        <f>+UPPER('0. Instruções'!$D$35&amp;"."&amp;VLOOKUP(B16,'0. Instruções'!$C$27:$D$32,2,FALSE))</f>
        <v>BU_LOANTAPE_WORK.LT001_UNIV_OPER</v>
      </c>
      <c r="E16" s="34" t="str">
        <f>+UPPER('0. Instruções'!$D$36&amp;"."&amp;VLOOKUP(B16,'0. Instruções'!$C$27:$E$32,3,FALSE))</f>
        <v>BU_LOANTAPE_WORK.SIMUL_LT001</v>
      </c>
      <c r="F16" s="34" t="s">
        <v>1100</v>
      </c>
      <c r="G16" s="34"/>
      <c r="H16" s="34"/>
      <c r="I16" s="34" t="str">
        <f>"(SELECT "&amp;VLOOKUP(B16,'0. Instruções'!$C$27:$G$32,4,FALSE)&amp;", "&amp;F16&amp;" FROM "&amp;D16&amp;" WHERE "&amp;'0. Instruções'!$D$42&amp;")X"</f>
        <v>(SELECT a, ccontab_final_cargabal FROM BU_LOANTAPE_WORK.LT001_UNIV_OPER WHERE ref_date='${ref_date}' AND nome_perimetro='Individual Local' AND segmento='ESTR' AND ambito='SRB_MBDT' AND entidade='00100')X</v>
      </c>
      <c r="J16" s="34" t="str">
        <f>"(SELECT "&amp;VLOOKUP(B16,'0. Instruções'!$C$27:$G$32,4,FALSE)&amp;" AS "&amp;VLOOKUP(B16,'0. Instruções'!$C$27:$G$32,4,FALSE)&amp;"_SIMUL, "&amp;F16&amp;" AS "&amp;F16&amp;"_SIMUL FROM "&amp;E16&amp;" WHERE "&amp;'0. Instruções'!$D$43&amp;")Y"</f>
        <v>(SELECT a AS a_SIMUL, ccontab_final_cargabal AS ccontab_final_cargabal_SIMUL FROM BU_LOANTAPE_WORK.SIMUL_LT001 WHERE ref_date='${ref_date}' AND nome_perimetro='Individual Local' AND segmento='ESTR' AND ambito='PILAR3' AND entidade='00100')Y</v>
      </c>
      <c r="K16" s="35" t="str">
        <f>+UPPER("ON X."&amp;VLOOKUP(B16,'0. Instruções'!$C$27:$G$32,4,FALSE)&amp;"=Y."&amp;VLOOKUP(B16,'0. Instruções'!$C$27:$G$32,4,FALSE)&amp;"_SIMUL")</f>
        <v>ON X.A=Y.A_SIMUL</v>
      </c>
      <c r="L16" s="35" t="str">
        <f>+IF(C16="Coerência", +IF(LEFT(G16,5)="FLOAT","SELECT '"&amp;UPPER(B16)&amp;"' AS TABELA, '"&amp;UPPER(C16)&amp;"' AS TIPOLOGIA_TESTE,'"&amp;D16&amp;"' AS TABELA_LT,'"&amp;E16&amp;"' AS TABELA_SIMUL,'"&amp;F16&amp;"' AS CAMPO, "&amp;"'${ref_date}' AS REF_DATE, COUNT(*) AS NUM_REG, SUM(IF((ABS(COALESCE(CAST(X."&amp;F16&amp;" AS DECIMAL(18,6)),0)-COALESCE(CAST(Y."&amp;F16&amp;"_SIMUL AS DECIMAL(18,6)),0))&gt;0.000001) OR (X."&amp;F16&amp;" IS NULL AND Y."&amp;F16&amp;"_SIMUL IS NOT NULL ) OR (X."&amp;F16&amp;" IS NOT NULL AND Y."&amp;F16&amp;"_SIMUL IS NULL),1,0)) AS NUM_REG_DIF,'"&amp;MAX('ID1&amp;5'!K:K)+1&amp;"' AS ID_EXEC, CURRENT_TIMESTAMP() AS TIME_EXEC FROM "&amp;I16&amp;" INNER JOIN "&amp;J16&amp;" "&amp;K16,"SELECT '"&amp;UPPER(B16)&amp;"' AS TABELA, '"&amp;UPPER(C16)&amp;"' AS TIPOLOGIA_TESTE,'"&amp;D16&amp;"' AS TABELA_LT,'"&amp;E16&amp;"' AS TABELA_SIMUL,'"&amp;F16&amp;"' AS CAMPO, "&amp;"'${ref_date}' AS REF_DATE, COUNT(*) AS NUM_REG, SUM(IF(COALESCE(CAST(X."&amp;F16&amp;" AS STRING),'')&lt;&gt;COALESCE(CAST(Y."&amp;F16&amp;"_SIMUL AS STRING),'') OR (X."&amp;F16&amp;" IS NULL AND Y."&amp;F16&amp;"_SIMUL IS NOT NULL ) OR (X."&amp;F16&amp;" IS NOT NULL AND Y."&amp;F16&amp;"_SIMUL IS NULL),1,0)) AS NUM_REG_DIF,'"&amp;MAX('ID1&amp;5'!L:L)+1&amp;"' AS ID_EXEC, CURRENT_TIMESTAMP() AS TIME_EXEC FROM "&amp;I16&amp;" INNER JOIN "&amp;J16&amp;" "&amp;K16),
IF(C16="Validade",+IF(G16="Code List","SELECT '"&amp;UPPER(B16)&amp;"' AS TABELA, '"&amp;UPPER(C16)&amp;"' AS TIPOLOGIA_TESTE,'"&amp;D16&amp;"' AS TABELA_LT,'N/A' AS TABELA_SIMUL,'"&amp;F16&amp;"' AS CAMPO, "&amp;"'${ref_date}' AS REF_DATE, COUNT(*) AS NUM_REG, SUM(IF(TRIM(CAST(X."&amp;F16&amp;" AS STRING))='' OR TRIM(CAST(X."&amp;F16&amp;" AS STRING)) IS NULL OR CAST(X."&amp;F16&amp;" AS STRING) NOT "&amp;H16&amp;",1,0)) AS NUM_REG_DIF,'"&amp;MAX('ID1&amp;5'!K:K)+1&amp;"' AS ID_EXEC, CURRENT_TIMESTAMP() AS TIME_EXEC FROM "&amp;I16,"SELECT '"&amp;UPPER(B16)&amp;"' AS TABELA, '"&amp;UPPER(C16)&amp;"' AS TIPOLOGIA_TESTE,'"&amp;D16&amp;"' AS TABELA_LT,'N/A' AS TABELA_SIMUL,'"&amp;F16&amp;"' AS CAMPO, "&amp;"'${ref_date}' AS REF_DATE, COUNT(*) AS NUM_REG, SUM(IF(TRIM(CAST(X."&amp;F16&amp;" AS STRING))='' OR TRIM(CAST(X."&amp;F16&amp;" AS STRING)) IS NULL,1,0)) AS NUM_REG_DIF,'"&amp;MAX('ID1&amp;5'!K:K)+1&amp;"' AS ID_EXEC, CURRENT_TIMESTAMP() AS TIME_EXEC FROM "&amp;I16),
IF(C16="Caracteres Especiais",+"SELECT '"&amp;UPPER(B16)&amp;"' AS TABELA, '"&amp;UPPER(C16)&amp;"' AS TIPOLOGIA_TESTE,'"&amp;D16&amp;"' AS TABELA_LT,'N/A' AS TABELA_SIMUL,'"&amp;F16&amp;"' AS CAMPO, "&amp;"'${ref_date}' AS REF_DATE, COUNT(*) AS NUM_REG, SUM(IF(REGEXP_REPLACE(TRIM(CAST(X."&amp;F16&amp;" AS STRING)),'[^a-zA-Z0-9_\\s]','') &lt;&gt;TRIM(CAST(X."&amp;F16&amp;" AS STRING)),1,0)) AS NUM_REG_DIF,'"&amp;MAX('ID1&amp;5'!K:K)+1&amp;"' AS ID_EXEC, CURRENT_TIMESTAMP() AS TIME_EXEC FROM "&amp;I16,
IF(C16="Missings",+"SELECT '"&amp;UPPER(B16)&amp;"' AS TABELA, '"&amp;UPPER(C16)&amp;"' AS TIPOLOGIA_TESTE,'"&amp;D16&amp;"' AS TABELA_LT,'N/A' AS TABELA_SIMUL,'"&amp;F16&amp;"' AS CAMPO, "&amp;"'${ref_date}' AS REF_DATE, COUNT(*) AS NUM_REG, SUM(IF(TRIM(CAST(X."&amp;F16&amp;" AS STRING)) IN ('0000-00-00','0001-01-01','9999-12-31','MISS','00000','99999999999','99999999999.00','99999999999.000000'),1,0)) AS NUM_REG_DIF,'"&amp;MAX('ID1&amp;5'!K:K)+1&amp;"' AS ID_EXEC, CURRENT_TIMESTAMP() AS TIME_EXEC FROM "&amp;I16,
IF(C16="Not applicable",+"SELECT '"&amp;UPPER(B16)&amp;"' AS TABELA, '"&amp;UPPER(C16)&amp;"' AS TIPOLOGIA_TESTE,'"&amp;D16&amp;"' AS TABELA_LT,'N/A' AS TABELA_SIMUL,'"&amp;F16&amp;"' AS CAMPO, "&amp;"'${ref_date}' AS REF_DATE, COUNT(*) AS NUM_REG, SUM(IF(TRIM(CAST(X."&amp;F16&amp;" AS STRING)) IN ('N/A','11111111111','11111111111.00','11111111111.000000','1111-11-11'),1,0)) AS NUM_REG_DIF,'"&amp;MAX('ID1&amp;5'!K:K)+1&amp;"' AS ID_EXEC, CURRENT_TIMESTAMP() AS TIME_EXEC FROM "&amp;I16,
IF(C16="Valores extremos",+"SELECT '"&amp;UPPER(B16)&amp;"' AS TABELA, '"&amp;UPPER(C16)&amp;"' AS TIPOLOGIA_TESTE,'"&amp;D16&amp;"' AS TABELA_LT,'N/A' AS TABELA_SIMUL,'"&amp;F16&amp;"' AS CAMPO, "&amp;"'${ref_date}' AS REF_DATE, CAST(MIN("&amp;F16&amp;") AS STRING) AS VALOR_MIN, CAST(MAX("&amp;F16&amp;") AS STRING) AS VALOR_MAX,'"&amp;MAX('ID1&amp;5'!K:K)+1&amp;"' AS ID_EXEC, CURRENT_TIMESTAMP() AS TIME_EXEC FROM "&amp;MID(I16,1,LEN(I16)-2)&amp;" AND CAST("&amp;F16&amp;"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TABELA_SIMUL,'ccontab_final_cargabal' AS CAMPO, '${ref_date}' AS REF_DATE, COUNT(*) AS NUM_REG, SUM(IF(COALESCE(CAST(X.ccontab_final_cargabal AS STRING),'')&lt;&gt;COALESCE(CAST(Y.ccontab_final_cargabal_SIMUL AS STRING),'') OR (X.ccontab_final_cargabal IS NULL AND Y.ccontab_final_cargabal_SIMUL IS NOT NULL ) OR (X.ccontab_final_cargabal IS NOT NULL AND Y.ccontab_final_cargabal_SIMUL IS NULL),1,0)) AS NUM_REG_DIF,'1' AS ID_EXEC, CURRENT_TIMESTAMP() AS TIME_EXEC FROM (SELECT a, ccontab_final_cargabal FROM BU_LOANTAPE_WORK.LT001_UNIV_OPER WHERE ref_date='${ref_date}' AND nome_perimetro='Individual Local' AND segmento='ESTR' AND ambito='SRB_MBDT' AND entidade='00100')X INNER JOIN (SELECT a AS a_SIMUL, ccontab_final_cargabal AS ccontab_final_cargabal_SIMUL FROM BU_LOANTAPE_WORK.SIMUL_LT001 WHERE ref_date='${ref_date}' AND nome_perimetro='Individual Local' AND segmento='ESTR' AND ambito='PILAR3' AND entidade='00100')Y ON X.A=Y.A_SIMUL</v>
      </c>
      <c r="M16" s="36" t="str">
        <f t="shared" si="0"/>
        <v>UNION ALL SELECT 'UNIV_OPER' AS TABELA, 'COERÊNCIA' AS TIPOLOGIA_TESTE,'BU_LOANTAPE_WORK.LT001_UNIV_OPER' AS TABELA_LT,'BU_LOANTAPE_WORK.SIMUL_LT001' AS TABELA_SIMUL,'ccontab_final_cargabal' AS CAMPO, '${ref_date}' AS REF_DATE, COUNT(*) AS NUM_REG, SUM(IF(COALESCE(CAST(X.ccontab_final_cargabal AS STRING),'')&lt;&gt;COALESCE(CAST(Y.ccontab_final_cargabal_SIMUL AS STRING),'') OR (X.ccontab_final_cargabal IS NULL AND Y.ccontab_final_cargabal_SIMUL IS NOT NULL ) OR (X.ccontab_final_cargabal IS NOT NULL AND Y.ccontab_final_cargabal_SIMUL IS NULL),1,0)) AS NUM_REG_DIF,'1' AS ID_EXEC, CURRENT_TIMESTAMP() AS TIME_EXEC FROM (SELECT a, ccontab_final_cargabal FROM BU_LOANTAPE_WORK.LT001_UNIV_OPER WHERE ref_date='${ref_date}' AND nome_perimetro='Individual Local' AND segmento='ESTR' AND ambito='SRB_MBDT' AND entidade='00100')X INNER JOIN (SELECT a AS a_SIMUL, ccontab_final_cargabal AS ccontab_final_cargabal_SIMUL FROM BU_LOANTAPE_WORK.SIMUL_LT001 WHERE ref_date='${ref_date}' AND nome_perimetro='Individual Local' AND segmento='ESTR' AND ambito='PILAR3' AND entidade='00100')Y ON X.A=Y.A_SIMUL</v>
      </c>
      <c r="N16" s="38" t="s">
        <v>40</v>
      </c>
    </row>
    <row r="17" spans="1:14">
      <c r="A17" s="60" t="str">
        <f t="shared" si="1"/>
        <v>UNIV_OPERccontab_final</v>
      </c>
      <c r="B17" s="34" t="s">
        <v>1092</v>
      </c>
      <c r="C17" s="34" t="s">
        <v>5</v>
      </c>
      <c r="D17" s="34" t="str">
        <f>+UPPER('0. Instruções'!$D$35&amp;"."&amp;VLOOKUP(B17,'0. Instruções'!$C$27:$D$32,2,FALSE))</f>
        <v>BU_LOANTAPE_WORK.LT001_UNIV_OPER</v>
      </c>
      <c r="E17" s="34" t="str">
        <f>+UPPER('0. Instruções'!$D$36&amp;"."&amp;VLOOKUP(B17,'0. Instruções'!$C$27:$E$32,3,FALSE))</f>
        <v>BU_LOANTAPE_WORK.SIMUL_LT001</v>
      </c>
      <c r="F17" s="34" t="s">
        <v>1101</v>
      </c>
      <c r="G17" s="34"/>
      <c r="H17" s="34"/>
      <c r="I17" s="34" t="str">
        <f>"(SELECT "&amp;VLOOKUP(B17,'0. Instruções'!$C$27:$G$32,4,FALSE)&amp;", "&amp;F17&amp;" FROM "&amp;D17&amp;" WHERE "&amp;'0. Instruções'!$D$42&amp;")X"</f>
        <v>(SELECT a, ccontab_final FROM BU_LOANTAPE_WORK.LT001_UNIV_OPER WHERE ref_date='${ref_date}' AND nome_perimetro='Individual Local' AND segmento='ESTR' AND ambito='SRB_MBDT' AND entidade='00100')X</v>
      </c>
      <c r="J17" s="34" t="str">
        <f>"(SELECT "&amp;VLOOKUP(B17,'0. Instruções'!$C$27:$G$32,4,FALSE)&amp;" AS "&amp;VLOOKUP(B17,'0. Instruções'!$C$27:$G$32,4,FALSE)&amp;"_SIMUL, "&amp;F17&amp;" AS "&amp;F17&amp;"_SIMUL FROM "&amp;E17&amp;" WHERE "&amp;'0. Instruções'!$D$43&amp;")Y"</f>
        <v>(SELECT a AS a_SIMUL, ccontab_final AS ccontab_final_SIMUL FROM BU_LOANTAPE_WORK.SIMUL_LT001 WHERE ref_date='${ref_date}' AND nome_perimetro='Individual Local' AND segmento='ESTR' AND ambito='PILAR3' AND entidade='00100')Y</v>
      </c>
      <c r="K17" s="35" t="str">
        <f>+UPPER("ON X."&amp;VLOOKUP(B17,'0. Instruções'!$C$27:$G$32,4,FALSE)&amp;"=Y."&amp;VLOOKUP(B17,'0. Instruções'!$C$27:$G$32,4,FALSE)&amp;"_SIMUL")</f>
        <v>ON X.A=Y.A_SIMUL</v>
      </c>
      <c r="L17" s="35" t="str">
        <f>+IF(C17="Coerência", +IF(LEFT(G17,5)="FLOAT","SELECT '"&amp;UPPER(B17)&amp;"' AS TABELA, '"&amp;UPPER(C17)&amp;"' AS TIPOLOGIA_TESTE,'"&amp;D17&amp;"' AS TABELA_LT,'"&amp;E17&amp;"' AS TABELA_SIMUL,'"&amp;F17&amp;"' AS CAMPO, "&amp;"'${ref_date}' AS REF_DATE, COUNT(*) AS NUM_REG, SUM(IF((ABS(COALESCE(CAST(X."&amp;F17&amp;" AS DECIMAL(18,6)),0)-COALESCE(CAST(Y."&amp;F17&amp;"_SIMUL AS DECIMAL(18,6)),0))&gt;0.000001) OR (X."&amp;F17&amp;" IS NULL AND Y."&amp;F17&amp;"_SIMUL IS NOT NULL ) OR (X."&amp;F17&amp;" IS NOT NULL AND Y."&amp;F17&amp;"_SIMUL IS NULL),1,0)) AS NUM_REG_DIF,'"&amp;MAX('ID1&amp;5'!K:K)+1&amp;"' AS ID_EXEC, CURRENT_TIMESTAMP() AS TIME_EXEC FROM "&amp;I17&amp;" INNER JOIN "&amp;J17&amp;" "&amp;K17,"SELECT '"&amp;UPPER(B17)&amp;"' AS TABELA, '"&amp;UPPER(C17)&amp;"' AS TIPOLOGIA_TESTE,'"&amp;D17&amp;"' AS TABELA_LT,'"&amp;E17&amp;"' AS TABELA_SIMUL,'"&amp;F17&amp;"' AS CAMPO, "&amp;"'${ref_date}' AS REF_DATE, COUNT(*) AS NUM_REG, SUM(IF(COALESCE(CAST(X."&amp;F17&amp;" AS STRING),'')&lt;&gt;COALESCE(CAST(Y."&amp;F17&amp;"_SIMUL AS STRING),'') OR (X."&amp;F17&amp;" IS NULL AND Y."&amp;F17&amp;"_SIMUL IS NOT NULL ) OR (X."&amp;F17&amp;" IS NOT NULL AND Y."&amp;F17&amp;"_SIMUL IS NULL),1,0)) AS NUM_REG_DIF,'"&amp;MAX('ID1&amp;5'!L:L)+1&amp;"' AS ID_EXEC, CURRENT_TIMESTAMP() AS TIME_EXEC FROM "&amp;I17&amp;" INNER JOIN "&amp;J17&amp;" "&amp;K17),
IF(C17="Validade",+IF(G17="Code List","SELECT '"&amp;UPPER(B17)&amp;"' AS TABELA, '"&amp;UPPER(C17)&amp;"' AS TIPOLOGIA_TESTE,'"&amp;D17&amp;"' AS TABELA_LT,'N/A' AS TABELA_SIMUL,'"&amp;F17&amp;"' AS CAMPO, "&amp;"'${ref_date}' AS REF_DATE, COUNT(*) AS NUM_REG, SUM(IF(TRIM(CAST(X."&amp;F17&amp;" AS STRING))='' OR TRIM(CAST(X."&amp;F17&amp;" AS STRING)) IS NULL OR CAST(X."&amp;F17&amp;" AS STRING) NOT "&amp;H17&amp;",1,0)) AS NUM_REG_DIF,'"&amp;MAX('ID1&amp;5'!K:K)+1&amp;"' AS ID_EXEC, CURRENT_TIMESTAMP() AS TIME_EXEC FROM "&amp;I17,"SELECT '"&amp;UPPER(B17)&amp;"' AS TABELA, '"&amp;UPPER(C17)&amp;"' AS TIPOLOGIA_TESTE,'"&amp;D17&amp;"' AS TABELA_LT,'N/A' AS TABELA_SIMUL,'"&amp;F17&amp;"' AS CAMPO, "&amp;"'${ref_date}' AS REF_DATE, COUNT(*) AS NUM_REG, SUM(IF(TRIM(CAST(X."&amp;F17&amp;" AS STRING))='' OR TRIM(CAST(X."&amp;F17&amp;" AS STRING)) IS NULL,1,0)) AS NUM_REG_DIF,'"&amp;MAX('ID1&amp;5'!K:K)+1&amp;"' AS ID_EXEC, CURRENT_TIMESTAMP() AS TIME_EXEC FROM "&amp;I17),
IF(C17="Caracteres Especiais",+"SELECT '"&amp;UPPER(B17)&amp;"' AS TABELA, '"&amp;UPPER(C17)&amp;"' AS TIPOLOGIA_TESTE,'"&amp;D17&amp;"' AS TABELA_LT,'N/A' AS TABELA_SIMUL,'"&amp;F17&amp;"' AS CAMPO, "&amp;"'${ref_date}' AS REF_DATE, COUNT(*) AS NUM_REG, SUM(IF(REGEXP_REPLACE(TRIM(CAST(X."&amp;F17&amp;" AS STRING)),'[^a-zA-Z0-9_\\s]','') &lt;&gt;TRIM(CAST(X."&amp;F17&amp;" AS STRING)),1,0)) AS NUM_REG_DIF,'"&amp;MAX('ID1&amp;5'!K:K)+1&amp;"' AS ID_EXEC, CURRENT_TIMESTAMP() AS TIME_EXEC FROM "&amp;I17,
IF(C17="Missings",+"SELECT '"&amp;UPPER(B17)&amp;"' AS TABELA, '"&amp;UPPER(C17)&amp;"' AS TIPOLOGIA_TESTE,'"&amp;D17&amp;"' AS TABELA_LT,'N/A' AS TABELA_SIMUL,'"&amp;F17&amp;"' AS CAMPO, "&amp;"'${ref_date}' AS REF_DATE, COUNT(*) AS NUM_REG, SUM(IF(TRIM(CAST(X."&amp;F17&amp;" AS STRING)) IN ('0000-00-00','0001-01-01','9999-12-31','MISS','00000','99999999999','99999999999.00','99999999999.000000'),1,0)) AS NUM_REG_DIF,'"&amp;MAX('ID1&amp;5'!K:K)+1&amp;"' AS ID_EXEC, CURRENT_TIMESTAMP() AS TIME_EXEC FROM "&amp;I17,
IF(C17="Not applicable",+"SELECT '"&amp;UPPER(B17)&amp;"' AS TABELA, '"&amp;UPPER(C17)&amp;"' AS TIPOLOGIA_TESTE,'"&amp;D17&amp;"' AS TABELA_LT,'N/A' AS TABELA_SIMUL,'"&amp;F17&amp;"' AS CAMPO, "&amp;"'${ref_date}' AS REF_DATE, COUNT(*) AS NUM_REG, SUM(IF(TRIM(CAST(X."&amp;F17&amp;" AS STRING)) IN ('N/A','11111111111','11111111111.00','11111111111.000000','1111-11-11'),1,0)) AS NUM_REG_DIF,'"&amp;MAX('ID1&amp;5'!K:K)+1&amp;"' AS ID_EXEC, CURRENT_TIMESTAMP() AS TIME_EXEC FROM "&amp;I17,
IF(C17="Valores extremos",+"SELECT '"&amp;UPPER(B17)&amp;"' AS TABELA, '"&amp;UPPER(C17)&amp;"' AS TIPOLOGIA_TESTE,'"&amp;D17&amp;"' AS TABELA_LT,'N/A' AS TABELA_SIMUL,'"&amp;F17&amp;"' AS CAMPO, "&amp;"'${ref_date}' AS REF_DATE, CAST(MIN("&amp;F17&amp;") AS STRING) AS VALOR_MIN, CAST(MAX("&amp;F17&amp;") AS STRING) AS VALOR_MAX,'"&amp;MAX('ID1&amp;5'!K:K)+1&amp;"' AS ID_EXEC, CURRENT_TIMESTAMP() AS TIME_EXEC FROM "&amp;MID(I17,1,LEN(I17)-2)&amp;" AND CAST("&amp;F17&amp;"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TABELA_SIMUL,'ccontab_final' AS CAMPO, '${ref_date}' AS REF_DATE, COUNT(*) AS NUM_REG, SUM(IF(COALESCE(CAST(X.ccontab_final AS STRING),'')&lt;&gt;COALESCE(CAST(Y.ccontab_final_SIMUL AS STRING),'') OR (X.ccontab_final IS NULL AND Y.ccontab_final_SIMUL IS NOT NULL ) OR (X.ccontab_final IS NOT NULL AND Y.ccontab_final_SIMUL IS NULL),1,0)) AS NUM_REG_DIF,'1' AS ID_EXEC, CURRENT_TIMESTAMP() AS TIME_EXEC FROM (SELECT a, ccontab_final FROM BU_LOANTAPE_WORK.LT001_UNIV_OPER WHERE ref_date='${ref_date}' AND nome_perimetro='Individual Local' AND segmento='ESTR' AND ambito='SRB_MBDT' AND entidade='00100')X INNER JOIN (SELECT a AS a_SIMUL, ccontab_final AS ccontab_final_SIMUL FROM BU_LOANTAPE_WORK.SIMUL_LT001 WHERE ref_date='${ref_date}' AND nome_perimetro='Individual Local' AND segmento='ESTR' AND ambito='PILAR3' AND entidade='00100')Y ON X.A=Y.A_SIMUL</v>
      </c>
      <c r="M17" s="36" t="str">
        <f t="shared" si="0"/>
        <v>UNION ALL SELECT 'UNIV_OPER' AS TABELA, 'COERÊNCIA' AS TIPOLOGIA_TESTE,'BU_LOANTAPE_WORK.LT001_UNIV_OPER' AS TABELA_LT,'BU_LOANTAPE_WORK.SIMUL_LT001' AS TABELA_SIMUL,'ccontab_final' AS CAMPO, '${ref_date}' AS REF_DATE, COUNT(*) AS NUM_REG, SUM(IF(COALESCE(CAST(X.ccontab_final AS STRING),'')&lt;&gt;COALESCE(CAST(Y.ccontab_final_SIMUL AS STRING),'') OR (X.ccontab_final IS NULL AND Y.ccontab_final_SIMUL IS NOT NULL ) OR (X.ccontab_final IS NOT NULL AND Y.ccontab_final_SIMUL IS NULL),1,0)) AS NUM_REG_DIF,'1' AS ID_EXEC, CURRENT_TIMESTAMP() AS TIME_EXEC FROM (SELECT a, ccontab_final FROM BU_LOANTAPE_WORK.LT001_UNIV_OPER WHERE ref_date='${ref_date}' AND nome_perimetro='Individual Local' AND segmento='ESTR' AND ambito='SRB_MBDT' AND entidade='00100')X INNER JOIN (SELECT a AS a_SIMUL, ccontab_final AS ccontab_final_SIMUL FROM BU_LOANTAPE_WORK.SIMUL_LT001 WHERE ref_date='${ref_date}' AND nome_perimetro='Individual Local' AND segmento='ESTR' AND ambito='PILAR3' AND entidade='00100')Y ON X.A=Y.A_SIMUL</v>
      </c>
      <c r="N17" s="38" t="s">
        <v>40</v>
      </c>
    </row>
    <row r="18" spans="1:14">
      <c r="A18" s="60" t="str">
        <f t="shared" si="1"/>
        <v>UNIV_OPERmsaldo_final</v>
      </c>
      <c r="B18" s="34" t="s">
        <v>1092</v>
      </c>
      <c r="C18" s="34" t="s">
        <v>5</v>
      </c>
      <c r="D18" s="34" t="str">
        <f>+UPPER('0. Instruções'!$D$35&amp;"."&amp;VLOOKUP(B18,'0. Instruções'!$C$27:$D$32,2,FALSE))</f>
        <v>BU_LOANTAPE_WORK.LT001_UNIV_OPER</v>
      </c>
      <c r="E18" s="34" t="str">
        <f>+UPPER('0. Instruções'!$D$36&amp;"."&amp;VLOOKUP(B18,'0. Instruções'!$C$27:$E$32,3,FALSE))</f>
        <v>BU_LOANTAPE_WORK.SIMUL_LT001</v>
      </c>
      <c r="F18" s="34" t="s">
        <v>1102</v>
      </c>
      <c r="G18" s="34"/>
      <c r="H18" s="34"/>
      <c r="I18" s="34" t="str">
        <f>"(SELECT "&amp;VLOOKUP(B18,'0. Instruções'!$C$27:$G$32,4,FALSE)&amp;", "&amp;F18&amp;" FROM "&amp;D18&amp;" WHERE "&amp;'0. Instruções'!$D$42&amp;")X"</f>
        <v>(SELECT a, msaldo_final FROM BU_LOANTAPE_WORK.LT001_UNIV_OPER WHERE ref_date='${ref_date}' AND nome_perimetro='Individual Local' AND segmento='ESTR' AND ambito='SRB_MBDT' AND entidade='00100')X</v>
      </c>
      <c r="J18" s="34" t="str">
        <f>"(SELECT "&amp;VLOOKUP(B18,'0. Instruções'!$C$27:$G$32,4,FALSE)&amp;" AS "&amp;VLOOKUP(B18,'0. Instruções'!$C$27:$G$32,4,FALSE)&amp;"_SIMUL, "&amp;F18&amp;" AS "&amp;F18&amp;"_SIMUL FROM "&amp;E18&amp;" WHERE "&amp;'0. Instruções'!$D$43&amp;")Y"</f>
        <v>(SELECT a AS a_SIMUL, msaldo_final AS msaldo_final_SIMUL FROM BU_LOANTAPE_WORK.SIMUL_LT001 WHERE ref_date='${ref_date}' AND nome_perimetro='Individual Local' AND segmento='ESTR' AND ambito='PILAR3' AND entidade='00100')Y</v>
      </c>
      <c r="K18" s="35" t="str">
        <f>+UPPER("ON X."&amp;VLOOKUP(B18,'0. Instruções'!$C$27:$G$32,4,FALSE)&amp;"=Y."&amp;VLOOKUP(B18,'0. Instruções'!$C$27:$G$32,4,FALSE)&amp;"_SIMUL")</f>
        <v>ON X.A=Y.A_SIMUL</v>
      </c>
      <c r="L18" s="35" t="str">
        <f>+IF(C18="Coerência", +IF(LEFT(G18,5)="FLOAT","SELECT '"&amp;UPPER(B18)&amp;"' AS TABELA, '"&amp;UPPER(C18)&amp;"' AS TIPOLOGIA_TESTE,'"&amp;D18&amp;"' AS TABELA_LT,'"&amp;E18&amp;"' AS TABELA_SIMUL,'"&amp;F18&amp;"' AS CAMPO, "&amp;"'${ref_date}' AS REF_DATE, COUNT(*) AS NUM_REG, SUM(IF((ABS(COALESCE(CAST(X."&amp;F18&amp;" AS DECIMAL(18,6)),0)-COALESCE(CAST(Y."&amp;F18&amp;"_SIMUL AS DECIMAL(18,6)),0))&gt;0.000001) OR (X."&amp;F18&amp;" IS NULL AND Y."&amp;F18&amp;"_SIMUL IS NOT NULL ) OR (X."&amp;F18&amp;" IS NOT NULL AND Y."&amp;F18&amp;"_SIMUL IS NULL),1,0)) AS NUM_REG_DIF,'"&amp;MAX('ID1&amp;5'!K:K)+1&amp;"' AS ID_EXEC, CURRENT_TIMESTAMP() AS TIME_EXEC FROM "&amp;I18&amp;" INNER JOIN "&amp;J18&amp;" "&amp;K18,"SELECT '"&amp;UPPER(B18)&amp;"' AS TABELA, '"&amp;UPPER(C18)&amp;"' AS TIPOLOGIA_TESTE,'"&amp;D18&amp;"' AS TABELA_LT,'"&amp;E18&amp;"' AS TABELA_SIMUL,'"&amp;F18&amp;"' AS CAMPO, "&amp;"'${ref_date}' AS REF_DATE, COUNT(*) AS NUM_REG, SUM(IF(COALESCE(CAST(X."&amp;F18&amp;" AS STRING),'')&lt;&gt;COALESCE(CAST(Y."&amp;F18&amp;"_SIMUL AS STRING),'') OR (X."&amp;F18&amp;" IS NULL AND Y."&amp;F18&amp;"_SIMUL IS NOT NULL ) OR (X."&amp;F18&amp;" IS NOT NULL AND Y."&amp;F18&amp;"_SIMUL IS NULL),1,0)) AS NUM_REG_DIF,'"&amp;MAX('ID1&amp;5'!L:L)+1&amp;"' AS ID_EXEC, CURRENT_TIMESTAMP() AS TIME_EXEC FROM "&amp;I18&amp;" INNER JOIN "&amp;J18&amp;" "&amp;K18),
IF(C18="Validade",+IF(G18="Code List","SELECT '"&amp;UPPER(B18)&amp;"' AS TABELA, '"&amp;UPPER(C18)&amp;"' AS TIPOLOGIA_TESTE,'"&amp;D18&amp;"' AS TABELA_LT,'N/A' AS TABELA_SIMUL,'"&amp;F18&amp;"' AS CAMPO, "&amp;"'${ref_date}' AS REF_DATE, COUNT(*) AS NUM_REG, SUM(IF(TRIM(CAST(X."&amp;F18&amp;" AS STRING))='' OR TRIM(CAST(X."&amp;F18&amp;" AS STRING)) IS NULL OR CAST(X."&amp;F18&amp;" AS STRING) NOT "&amp;H18&amp;",1,0)) AS NUM_REG_DIF,'"&amp;MAX('ID1&amp;5'!K:K)+1&amp;"' AS ID_EXEC, CURRENT_TIMESTAMP() AS TIME_EXEC FROM "&amp;I18,"SELECT '"&amp;UPPER(B18)&amp;"' AS TABELA, '"&amp;UPPER(C18)&amp;"' AS TIPOLOGIA_TESTE,'"&amp;D18&amp;"' AS TABELA_LT,'N/A' AS TABELA_SIMUL,'"&amp;F18&amp;"' AS CAMPO, "&amp;"'${ref_date}' AS REF_DATE, COUNT(*) AS NUM_REG, SUM(IF(TRIM(CAST(X."&amp;F18&amp;" AS STRING))='' OR TRIM(CAST(X."&amp;F18&amp;" AS STRING)) IS NULL,1,0)) AS NUM_REG_DIF,'"&amp;MAX('ID1&amp;5'!K:K)+1&amp;"' AS ID_EXEC, CURRENT_TIMESTAMP() AS TIME_EXEC FROM "&amp;I18),
IF(C18="Caracteres Especiais",+"SELECT '"&amp;UPPER(B18)&amp;"' AS TABELA, '"&amp;UPPER(C18)&amp;"' AS TIPOLOGIA_TESTE,'"&amp;D18&amp;"' AS TABELA_LT,'N/A' AS TABELA_SIMUL,'"&amp;F18&amp;"' AS CAMPO, "&amp;"'${ref_date}' AS REF_DATE, COUNT(*) AS NUM_REG, SUM(IF(REGEXP_REPLACE(TRIM(CAST(X."&amp;F18&amp;" AS STRING)),'[^a-zA-Z0-9_\\s]','') &lt;&gt;TRIM(CAST(X."&amp;F18&amp;" AS STRING)),1,0)) AS NUM_REG_DIF,'"&amp;MAX('ID1&amp;5'!K:K)+1&amp;"' AS ID_EXEC, CURRENT_TIMESTAMP() AS TIME_EXEC FROM "&amp;I18,
IF(C18="Missings",+"SELECT '"&amp;UPPER(B18)&amp;"' AS TABELA, '"&amp;UPPER(C18)&amp;"' AS TIPOLOGIA_TESTE,'"&amp;D18&amp;"' AS TABELA_LT,'N/A' AS TABELA_SIMUL,'"&amp;F18&amp;"' AS CAMPO, "&amp;"'${ref_date}' AS REF_DATE, COUNT(*) AS NUM_REG, SUM(IF(TRIM(CAST(X."&amp;F18&amp;" AS STRING)) IN ('0000-00-00','0001-01-01','9999-12-31','MISS','00000','99999999999','99999999999.00','99999999999.000000'),1,0)) AS NUM_REG_DIF,'"&amp;MAX('ID1&amp;5'!K:K)+1&amp;"' AS ID_EXEC, CURRENT_TIMESTAMP() AS TIME_EXEC FROM "&amp;I18,
IF(C18="Not applicable",+"SELECT '"&amp;UPPER(B18)&amp;"' AS TABELA, '"&amp;UPPER(C18)&amp;"' AS TIPOLOGIA_TESTE,'"&amp;D18&amp;"' AS TABELA_LT,'N/A' AS TABELA_SIMUL,'"&amp;F18&amp;"' AS CAMPO, "&amp;"'${ref_date}' AS REF_DATE, COUNT(*) AS NUM_REG, SUM(IF(TRIM(CAST(X."&amp;F18&amp;" AS STRING)) IN ('N/A','11111111111','11111111111.00','11111111111.000000','1111-11-11'),1,0)) AS NUM_REG_DIF,'"&amp;MAX('ID1&amp;5'!K:K)+1&amp;"' AS ID_EXEC, CURRENT_TIMESTAMP() AS TIME_EXEC FROM "&amp;I18,
IF(C18="Valores extremos",+"SELECT '"&amp;UPPER(B18)&amp;"' AS TABELA, '"&amp;UPPER(C18)&amp;"' AS TIPOLOGIA_TESTE,'"&amp;D18&amp;"' AS TABELA_LT,'N/A' AS TABELA_SIMUL,'"&amp;F18&amp;"' AS CAMPO, "&amp;"'${ref_date}' AS REF_DATE, CAST(MIN("&amp;F18&amp;") AS STRING) AS VALOR_MIN, CAST(MAX("&amp;F18&amp;") AS STRING) AS VALOR_MAX,'"&amp;MAX('ID1&amp;5'!K:K)+1&amp;"' AS ID_EXEC, CURRENT_TIMESTAMP() AS TIME_EXEC FROM "&amp;MID(I18,1,LEN(I18)-2)&amp;" AND CAST("&amp;F18&amp;"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TABELA_SIMUL,'msaldo_final' AS CAMPO, '${ref_date}' AS REF_DATE, COUNT(*) AS NUM_REG, SUM(IF(COALESCE(CAST(X.msaldo_final AS STRING),'')&lt;&gt;COALESCE(CAST(Y.msaldo_final_SIMUL AS STRING),'') OR (X.msaldo_final IS NULL AND Y.msaldo_final_SIMUL IS NOT NULL ) OR (X.msaldo_final IS NOT NULL AND Y.msaldo_final_SIMUL IS NULL),1,0)) AS NUM_REG_DIF,'1' AS ID_EXEC, CURRENT_TIMESTAMP() AS TIME_EXEC FROM (SELECT a, msaldo_final FROM BU_LOANTAPE_WORK.LT001_UNIV_OPER WHERE ref_date='${ref_date}' AND nome_perimetro='Individual Local' AND segmento='ESTR' AND ambito='SRB_MBDT' AND entidade='00100')X INNER JOIN (SELECT a AS a_SIMUL, msaldo_final AS msaldo_final_SIMUL FROM BU_LOANTAPE_WORK.SIMUL_LT001 WHERE ref_date='${ref_date}' AND nome_perimetro='Individual Local' AND segmento='ESTR' AND ambito='PILAR3' AND entidade='00100')Y ON X.A=Y.A_SIMUL</v>
      </c>
      <c r="M18" s="36" t="str">
        <f t="shared" si="0"/>
        <v>UNION ALL SELECT 'UNIV_OPER' AS TABELA, 'COERÊNCIA' AS TIPOLOGIA_TESTE,'BU_LOANTAPE_WORK.LT001_UNIV_OPER' AS TABELA_LT,'BU_LOANTAPE_WORK.SIMUL_LT001' AS TABELA_SIMUL,'msaldo_final' AS CAMPO, '${ref_date}' AS REF_DATE, COUNT(*) AS NUM_REG, SUM(IF(COALESCE(CAST(X.msaldo_final AS STRING),'')&lt;&gt;COALESCE(CAST(Y.msaldo_final_SIMUL AS STRING),'') OR (X.msaldo_final IS NULL AND Y.msaldo_final_SIMUL IS NOT NULL ) OR (X.msaldo_final IS NOT NULL AND Y.msaldo_final_SIMUL IS NULL),1,0)) AS NUM_REG_DIF,'1' AS ID_EXEC, CURRENT_TIMESTAMP() AS TIME_EXEC FROM (SELECT a, msaldo_final FROM BU_LOANTAPE_WORK.LT001_UNIV_OPER WHERE ref_date='${ref_date}' AND nome_perimetro='Individual Local' AND segmento='ESTR' AND ambito='SRB_MBDT' AND entidade='00100')X INNER JOIN (SELECT a AS a_SIMUL, msaldo_final AS msaldo_final_SIMUL FROM BU_LOANTAPE_WORK.SIMUL_LT001 WHERE ref_date='${ref_date}' AND nome_perimetro='Individual Local' AND segmento='ESTR' AND ambito='PILAR3' AND entidade='00100')Y ON X.A=Y.A_SIMUL</v>
      </c>
      <c r="N18" s="38" t="s">
        <v>40</v>
      </c>
    </row>
    <row r="19" spans="1:14">
      <c r="A19" s="60" t="str">
        <f t="shared" si="1"/>
        <v>UNIV_OPERcarteira_contabilistica</v>
      </c>
      <c r="B19" s="34" t="s">
        <v>1092</v>
      </c>
      <c r="C19" s="34" t="s">
        <v>5</v>
      </c>
      <c r="D19" s="34" t="str">
        <f>+UPPER('0. Instruções'!$D$35&amp;"."&amp;VLOOKUP(B19,'0. Instruções'!$C$27:$D$32,2,FALSE))</f>
        <v>BU_LOANTAPE_WORK.LT001_UNIV_OPER</v>
      </c>
      <c r="E19" s="34" t="str">
        <f>+UPPER('0. Instruções'!$D$36&amp;"."&amp;VLOOKUP(B19,'0. Instruções'!$C$27:$E$32,3,FALSE))</f>
        <v>BU_LOANTAPE_WORK.SIMUL_LT001</v>
      </c>
      <c r="F19" s="34" t="s">
        <v>1103</v>
      </c>
      <c r="G19" s="34"/>
      <c r="H19" s="34"/>
      <c r="I19" s="34" t="str">
        <f>"(SELECT "&amp;VLOOKUP(B19,'0. Instruções'!$C$27:$G$32,4,FALSE)&amp;", "&amp;F19&amp;" FROM "&amp;D19&amp;" WHERE "&amp;'0. Instruções'!$D$42&amp;")X"</f>
        <v>(SELECT a, carteira_contabilistica FROM BU_LOANTAPE_WORK.LT001_UNIV_OPER WHERE ref_date='${ref_date}' AND nome_perimetro='Individual Local' AND segmento='ESTR' AND ambito='SRB_MBDT' AND entidade='00100')X</v>
      </c>
      <c r="J19" s="34" t="str">
        <f>"(SELECT "&amp;VLOOKUP(B19,'0. Instruções'!$C$27:$G$32,4,FALSE)&amp;" AS "&amp;VLOOKUP(B19,'0. Instruções'!$C$27:$G$32,4,FALSE)&amp;"_SIMUL, "&amp;F19&amp;" AS "&amp;F19&amp;"_SIMUL FROM "&amp;E19&amp;" WHERE "&amp;'0. Instruções'!$D$43&amp;")Y"</f>
        <v>(SELECT a AS a_SIMUL, carteira_contabilistica AS carteira_contabilistica_SIMUL FROM BU_LOANTAPE_WORK.SIMUL_LT001 WHERE ref_date='${ref_date}' AND nome_perimetro='Individual Local' AND segmento='ESTR' AND ambito='PILAR3' AND entidade='00100')Y</v>
      </c>
      <c r="K19" s="35" t="str">
        <f>+UPPER("ON X."&amp;VLOOKUP(B19,'0. Instruções'!$C$27:$G$32,4,FALSE)&amp;"=Y."&amp;VLOOKUP(B19,'0. Instruções'!$C$27:$G$32,4,FALSE)&amp;"_SIMUL")</f>
        <v>ON X.A=Y.A_SIMUL</v>
      </c>
      <c r="L19" s="35" t="str">
        <f>+IF(C19="Coerência", +IF(LEFT(G19,5)="FLOAT","SELECT '"&amp;UPPER(B19)&amp;"' AS TABELA, '"&amp;UPPER(C19)&amp;"' AS TIPOLOGIA_TESTE,'"&amp;D19&amp;"' AS TABELA_LT,'"&amp;E19&amp;"' AS TABELA_SIMUL,'"&amp;F19&amp;"' AS CAMPO, "&amp;"'${ref_date}' AS REF_DATE, COUNT(*) AS NUM_REG, SUM(IF((ABS(COALESCE(CAST(X."&amp;F19&amp;" AS DECIMAL(18,6)),0)-COALESCE(CAST(Y."&amp;F19&amp;"_SIMUL AS DECIMAL(18,6)),0))&gt;0.000001) OR (X."&amp;F19&amp;" IS NULL AND Y."&amp;F19&amp;"_SIMUL IS NOT NULL ) OR (X."&amp;F19&amp;" IS NOT NULL AND Y."&amp;F19&amp;"_SIMUL IS NULL),1,0)) AS NUM_REG_DIF,'"&amp;MAX('ID1&amp;5'!K:K)+1&amp;"' AS ID_EXEC, CURRENT_TIMESTAMP() AS TIME_EXEC FROM "&amp;I19&amp;" INNER JOIN "&amp;J19&amp;" "&amp;K19,"SELECT '"&amp;UPPER(B19)&amp;"' AS TABELA, '"&amp;UPPER(C19)&amp;"' AS TIPOLOGIA_TESTE,'"&amp;D19&amp;"' AS TABELA_LT,'"&amp;E19&amp;"' AS TABELA_SIMUL,'"&amp;F19&amp;"' AS CAMPO, "&amp;"'${ref_date}' AS REF_DATE, COUNT(*) AS NUM_REG, SUM(IF(COALESCE(CAST(X."&amp;F19&amp;" AS STRING),'')&lt;&gt;COALESCE(CAST(Y."&amp;F19&amp;"_SIMUL AS STRING),'') OR (X."&amp;F19&amp;" IS NULL AND Y."&amp;F19&amp;"_SIMUL IS NOT NULL ) OR (X."&amp;F19&amp;" IS NOT NULL AND Y."&amp;F19&amp;"_SIMUL IS NULL),1,0)) AS NUM_REG_DIF,'"&amp;MAX('ID1&amp;5'!L:L)+1&amp;"' AS ID_EXEC, CURRENT_TIMESTAMP() AS TIME_EXEC FROM "&amp;I19&amp;" INNER JOIN "&amp;J19&amp;" "&amp;K19),
IF(C19="Validade",+IF(G19="Code List","SELECT '"&amp;UPPER(B19)&amp;"' AS TABELA, '"&amp;UPPER(C19)&amp;"' AS TIPOLOGIA_TESTE,'"&amp;D19&amp;"' AS TABELA_LT,'N/A' AS TABELA_SIMUL,'"&amp;F19&amp;"' AS CAMPO, "&amp;"'${ref_date}' AS REF_DATE, COUNT(*) AS NUM_REG, SUM(IF(TRIM(CAST(X."&amp;F19&amp;" AS STRING))='' OR TRIM(CAST(X."&amp;F19&amp;" AS STRING)) IS NULL OR CAST(X."&amp;F19&amp;" AS STRING) NOT "&amp;H19&amp;",1,0)) AS NUM_REG_DIF,'"&amp;MAX('ID1&amp;5'!K:K)+1&amp;"' AS ID_EXEC, CURRENT_TIMESTAMP() AS TIME_EXEC FROM "&amp;I19,"SELECT '"&amp;UPPER(B19)&amp;"' AS TABELA, '"&amp;UPPER(C19)&amp;"' AS TIPOLOGIA_TESTE,'"&amp;D19&amp;"' AS TABELA_LT,'N/A' AS TABELA_SIMUL,'"&amp;F19&amp;"' AS CAMPO, "&amp;"'${ref_date}' AS REF_DATE, COUNT(*) AS NUM_REG, SUM(IF(TRIM(CAST(X."&amp;F19&amp;" AS STRING))='' OR TRIM(CAST(X."&amp;F19&amp;" AS STRING)) IS NULL,1,0)) AS NUM_REG_DIF,'"&amp;MAX('ID1&amp;5'!K:K)+1&amp;"' AS ID_EXEC, CURRENT_TIMESTAMP() AS TIME_EXEC FROM "&amp;I19),
IF(C19="Caracteres Especiais",+"SELECT '"&amp;UPPER(B19)&amp;"' AS TABELA, '"&amp;UPPER(C19)&amp;"' AS TIPOLOGIA_TESTE,'"&amp;D19&amp;"' AS TABELA_LT,'N/A' AS TABELA_SIMUL,'"&amp;F19&amp;"' AS CAMPO, "&amp;"'${ref_date}' AS REF_DATE, COUNT(*) AS NUM_REG, SUM(IF(REGEXP_REPLACE(TRIM(CAST(X."&amp;F19&amp;" AS STRING)),'[^a-zA-Z0-9_\\s]','') &lt;&gt;TRIM(CAST(X."&amp;F19&amp;" AS STRING)),1,0)) AS NUM_REG_DIF,'"&amp;MAX('ID1&amp;5'!K:K)+1&amp;"' AS ID_EXEC, CURRENT_TIMESTAMP() AS TIME_EXEC FROM "&amp;I19,
IF(C19="Missings",+"SELECT '"&amp;UPPER(B19)&amp;"' AS TABELA, '"&amp;UPPER(C19)&amp;"' AS TIPOLOGIA_TESTE,'"&amp;D19&amp;"' AS TABELA_LT,'N/A' AS TABELA_SIMUL,'"&amp;F19&amp;"' AS CAMPO, "&amp;"'${ref_date}' AS REF_DATE, COUNT(*) AS NUM_REG, SUM(IF(TRIM(CAST(X."&amp;F19&amp;" AS STRING)) IN ('0000-00-00','0001-01-01','9999-12-31','MISS','00000','99999999999','99999999999.00','99999999999.000000'),1,0)) AS NUM_REG_DIF,'"&amp;MAX('ID1&amp;5'!K:K)+1&amp;"' AS ID_EXEC, CURRENT_TIMESTAMP() AS TIME_EXEC FROM "&amp;I19,
IF(C19="Not applicable",+"SELECT '"&amp;UPPER(B19)&amp;"' AS TABELA, '"&amp;UPPER(C19)&amp;"' AS TIPOLOGIA_TESTE,'"&amp;D19&amp;"' AS TABELA_LT,'N/A' AS TABELA_SIMUL,'"&amp;F19&amp;"' AS CAMPO, "&amp;"'${ref_date}' AS REF_DATE, COUNT(*) AS NUM_REG, SUM(IF(TRIM(CAST(X."&amp;F19&amp;" AS STRING)) IN ('N/A','11111111111','11111111111.00','11111111111.000000','1111-11-11'),1,0)) AS NUM_REG_DIF,'"&amp;MAX('ID1&amp;5'!K:K)+1&amp;"' AS ID_EXEC, CURRENT_TIMESTAMP() AS TIME_EXEC FROM "&amp;I19,
IF(C19="Valores extremos",+"SELECT '"&amp;UPPER(B19)&amp;"' AS TABELA, '"&amp;UPPER(C19)&amp;"' AS TIPOLOGIA_TESTE,'"&amp;D19&amp;"' AS TABELA_LT,'N/A' AS TABELA_SIMUL,'"&amp;F19&amp;"' AS CAMPO, "&amp;"'${ref_date}' AS REF_DATE, CAST(MIN("&amp;F19&amp;") AS STRING) AS VALOR_MIN, CAST(MAX("&amp;F19&amp;") AS STRING) AS VALOR_MAX,'"&amp;MAX('ID1&amp;5'!K:K)+1&amp;"' AS ID_EXEC, CURRENT_TIMESTAMP() AS TIME_EXEC FROM "&amp;MID(I19,1,LEN(I19)-2)&amp;" AND CAST("&amp;F19&amp;"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TABELA_SIMUL,'carteira_contabilistica' AS CAMPO, '${ref_date}' AS REF_DATE, COUNT(*) AS NUM_REG, SUM(IF(COALESCE(CAST(X.carteira_contabilistica AS STRING),'')&lt;&gt;COALESCE(CAST(Y.carteira_contabilistica_SIMUL AS STRING),'') OR (X.carteira_contabilistica IS NULL AND Y.carteira_contabilistica_SIMUL IS NOT NULL ) OR (X.carteira_contabilistica IS NOT NULL AND Y.carteira_contabilistica_SIMUL IS NULL),1,0)) AS NUM_REG_DIF,'1' AS ID_EXEC, CURRENT_TIMESTAMP() AS TIME_EXEC FROM (SELECT a, carteira_contabilistica FROM BU_LOANTAPE_WORK.LT001_UNIV_OPER WHERE ref_date='${ref_date}' AND nome_perimetro='Individual Local' AND segmento='ESTR' AND ambito='SRB_MBDT' AND entidade='00100')X INNER JOIN (SELECT a AS a_SIMUL, carteira_contabilistica AS carteira_contabilistica_SIMUL FROM BU_LOANTAPE_WORK.SIMUL_LT001 WHERE ref_date='${ref_date}' AND nome_perimetro='Individual Local' AND segmento='ESTR' AND ambito='PILAR3' AND entidade='00100')Y ON X.A=Y.A_SIMUL</v>
      </c>
      <c r="M19" s="36" t="str">
        <f t="shared" si="0"/>
        <v>UNION ALL SELECT 'UNIV_OPER' AS TABELA, 'COERÊNCIA' AS TIPOLOGIA_TESTE,'BU_LOANTAPE_WORK.LT001_UNIV_OPER' AS TABELA_LT,'BU_LOANTAPE_WORK.SIMUL_LT001' AS TABELA_SIMUL,'carteira_contabilistica' AS CAMPO, '${ref_date}' AS REF_DATE, COUNT(*) AS NUM_REG, SUM(IF(COALESCE(CAST(X.carteira_contabilistica AS STRING),'')&lt;&gt;COALESCE(CAST(Y.carteira_contabilistica_SIMUL AS STRING),'') OR (X.carteira_contabilistica IS NULL AND Y.carteira_contabilistica_SIMUL IS NOT NULL ) OR (X.carteira_contabilistica IS NOT NULL AND Y.carteira_contabilistica_SIMUL IS NULL),1,0)) AS NUM_REG_DIF,'1' AS ID_EXEC, CURRENT_TIMESTAMP() AS TIME_EXEC FROM (SELECT a, carteira_contabilistica FROM BU_LOANTAPE_WORK.LT001_UNIV_OPER WHERE ref_date='${ref_date}' AND nome_perimetro='Individual Local' AND segmento='ESTR' AND ambito='SRB_MBDT' AND entidade='00100')X INNER JOIN (SELECT a AS a_SIMUL, carteira_contabilistica AS carteira_contabilistica_SIMUL FROM BU_LOANTAPE_WORK.SIMUL_LT001 WHERE ref_date='${ref_date}' AND nome_perimetro='Individual Local' AND segmento='ESTR' AND ambito='PILAR3' AND entidade='00100')Y ON X.A=Y.A_SIMUL</v>
      </c>
      <c r="N19" s="38" t="s">
        <v>40</v>
      </c>
    </row>
    <row r="20" spans="1:14">
      <c r="A20" s="60" t="str">
        <f t="shared" si="1"/>
        <v>UNIV_OPERinstrumento_financeiro</v>
      </c>
      <c r="B20" s="34" t="s">
        <v>1092</v>
      </c>
      <c r="C20" s="34" t="s">
        <v>5</v>
      </c>
      <c r="D20" s="34" t="str">
        <f>+UPPER('0. Instruções'!$D$35&amp;"."&amp;VLOOKUP(B20,'0. Instruções'!$C$27:$D$32,2,FALSE))</f>
        <v>BU_LOANTAPE_WORK.LT001_UNIV_OPER</v>
      </c>
      <c r="E20" s="34" t="str">
        <f>+UPPER('0. Instruções'!$D$36&amp;"."&amp;VLOOKUP(B20,'0. Instruções'!$C$27:$E$32,3,FALSE))</f>
        <v>BU_LOANTAPE_WORK.SIMUL_LT001</v>
      </c>
      <c r="F20" s="34" t="s">
        <v>1104</v>
      </c>
      <c r="G20" s="34"/>
      <c r="H20" s="34"/>
      <c r="I20" s="34" t="str">
        <f>"(SELECT "&amp;VLOOKUP(B20,'0. Instruções'!$C$27:$G$32,4,FALSE)&amp;", "&amp;F20&amp;" FROM "&amp;D20&amp;" WHERE "&amp;'0. Instruções'!$D$42&amp;")X"</f>
        <v>(SELECT a, instrumento_financeiro FROM BU_LOANTAPE_WORK.LT001_UNIV_OPER WHERE ref_date='${ref_date}' AND nome_perimetro='Individual Local' AND segmento='ESTR' AND ambito='SRB_MBDT' AND entidade='00100')X</v>
      </c>
      <c r="J20" s="34" t="str">
        <f>"(SELECT "&amp;VLOOKUP(B20,'0. Instruções'!$C$27:$G$32,4,FALSE)&amp;" AS "&amp;VLOOKUP(B20,'0. Instruções'!$C$27:$G$32,4,FALSE)&amp;"_SIMUL, "&amp;F20&amp;" AS "&amp;F20&amp;"_SIMUL FROM "&amp;E20&amp;" WHERE "&amp;'0. Instruções'!$D$43&amp;")Y"</f>
        <v>(SELECT a AS a_SIMUL, instrumento_financeiro AS instrumento_financeiro_SIMUL FROM BU_LOANTAPE_WORK.SIMUL_LT001 WHERE ref_date='${ref_date}' AND nome_perimetro='Individual Local' AND segmento='ESTR' AND ambito='PILAR3' AND entidade='00100')Y</v>
      </c>
      <c r="K20" s="35" t="str">
        <f>+UPPER("ON X."&amp;VLOOKUP(B20,'0. Instruções'!$C$27:$G$32,4,FALSE)&amp;"=Y."&amp;VLOOKUP(B20,'0. Instruções'!$C$27:$G$32,4,FALSE)&amp;"_SIMUL")</f>
        <v>ON X.A=Y.A_SIMUL</v>
      </c>
      <c r="L20" s="35" t="str">
        <f>+IF(C20="Coerência", +IF(LEFT(G20,5)="FLOAT","SELECT '"&amp;UPPER(B20)&amp;"' AS TABELA, '"&amp;UPPER(C20)&amp;"' AS TIPOLOGIA_TESTE,'"&amp;D20&amp;"' AS TABELA_LT,'"&amp;E20&amp;"' AS TABELA_SIMUL,'"&amp;F20&amp;"' AS CAMPO, "&amp;"'${ref_date}' AS REF_DATE, COUNT(*) AS NUM_REG, SUM(IF((ABS(COALESCE(CAST(X."&amp;F20&amp;" AS DECIMAL(18,6)),0)-COALESCE(CAST(Y."&amp;F20&amp;"_SIMUL AS DECIMAL(18,6)),0))&gt;0.000001) OR (X."&amp;F20&amp;" IS NULL AND Y."&amp;F20&amp;"_SIMUL IS NOT NULL ) OR (X."&amp;F20&amp;" IS NOT NULL AND Y."&amp;F20&amp;"_SIMUL IS NULL),1,0)) AS NUM_REG_DIF,'"&amp;MAX('ID1&amp;5'!K:K)+1&amp;"' AS ID_EXEC, CURRENT_TIMESTAMP() AS TIME_EXEC FROM "&amp;I20&amp;" INNER JOIN "&amp;J20&amp;" "&amp;K20,"SELECT '"&amp;UPPER(B20)&amp;"' AS TABELA, '"&amp;UPPER(C20)&amp;"' AS TIPOLOGIA_TESTE,'"&amp;D20&amp;"' AS TABELA_LT,'"&amp;E20&amp;"' AS TABELA_SIMUL,'"&amp;F20&amp;"' AS CAMPO, "&amp;"'${ref_date}' AS REF_DATE, COUNT(*) AS NUM_REG, SUM(IF(COALESCE(CAST(X."&amp;F20&amp;" AS STRING),'')&lt;&gt;COALESCE(CAST(Y."&amp;F20&amp;"_SIMUL AS STRING),'') OR (X."&amp;F20&amp;" IS NULL AND Y."&amp;F20&amp;"_SIMUL IS NOT NULL ) OR (X."&amp;F20&amp;" IS NOT NULL AND Y."&amp;F20&amp;"_SIMUL IS NULL),1,0)) AS NUM_REG_DIF,'"&amp;MAX('ID1&amp;5'!L:L)+1&amp;"' AS ID_EXEC, CURRENT_TIMESTAMP() AS TIME_EXEC FROM "&amp;I20&amp;" INNER JOIN "&amp;J20&amp;" "&amp;K20),
IF(C20="Validade",+IF(G20="Code List","SELECT '"&amp;UPPER(B20)&amp;"' AS TABELA, '"&amp;UPPER(C20)&amp;"' AS TIPOLOGIA_TESTE,'"&amp;D20&amp;"' AS TABELA_LT,'N/A' AS TABELA_SIMUL,'"&amp;F20&amp;"' AS CAMPO, "&amp;"'${ref_date}' AS REF_DATE, COUNT(*) AS NUM_REG, SUM(IF(TRIM(CAST(X."&amp;F20&amp;" AS STRING))='' OR TRIM(CAST(X."&amp;F20&amp;" AS STRING)) IS NULL OR CAST(X."&amp;F20&amp;" AS STRING) NOT "&amp;H20&amp;",1,0)) AS NUM_REG_DIF,'"&amp;MAX('ID1&amp;5'!K:K)+1&amp;"' AS ID_EXEC, CURRENT_TIMESTAMP() AS TIME_EXEC FROM "&amp;I20,"SELECT '"&amp;UPPER(B20)&amp;"' AS TABELA, '"&amp;UPPER(C20)&amp;"' AS TIPOLOGIA_TESTE,'"&amp;D20&amp;"' AS TABELA_LT,'N/A' AS TABELA_SIMUL,'"&amp;F20&amp;"' AS CAMPO, "&amp;"'${ref_date}' AS REF_DATE, COUNT(*) AS NUM_REG, SUM(IF(TRIM(CAST(X."&amp;F20&amp;" AS STRING))='' OR TRIM(CAST(X."&amp;F20&amp;" AS STRING)) IS NULL,1,0)) AS NUM_REG_DIF,'"&amp;MAX('ID1&amp;5'!K:K)+1&amp;"' AS ID_EXEC, CURRENT_TIMESTAMP() AS TIME_EXEC FROM "&amp;I20),
IF(C20="Caracteres Especiais",+"SELECT '"&amp;UPPER(B20)&amp;"' AS TABELA, '"&amp;UPPER(C20)&amp;"' AS TIPOLOGIA_TESTE,'"&amp;D20&amp;"' AS TABELA_LT,'N/A' AS TABELA_SIMUL,'"&amp;F20&amp;"' AS CAMPO, "&amp;"'${ref_date}' AS REF_DATE, COUNT(*) AS NUM_REG, SUM(IF(REGEXP_REPLACE(TRIM(CAST(X."&amp;F20&amp;" AS STRING)),'[^a-zA-Z0-9_\\s]','') &lt;&gt;TRIM(CAST(X."&amp;F20&amp;" AS STRING)),1,0)) AS NUM_REG_DIF,'"&amp;MAX('ID1&amp;5'!K:K)+1&amp;"' AS ID_EXEC, CURRENT_TIMESTAMP() AS TIME_EXEC FROM "&amp;I20,
IF(C20="Missings",+"SELECT '"&amp;UPPER(B20)&amp;"' AS TABELA, '"&amp;UPPER(C20)&amp;"' AS TIPOLOGIA_TESTE,'"&amp;D20&amp;"' AS TABELA_LT,'N/A' AS TABELA_SIMUL,'"&amp;F20&amp;"' AS CAMPO, "&amp;"'${ref_date}' AS REF_DATE, COUNT(*) AS NUM_REG, SUM(IF(TRIM(CAST(X."&amp;F20&amp;" AS STRING)) IN ('0000-00-00','0001-01-01','9999-12-31','MISS','00000','99999999999','99999999999.00','99999999999.000000'),1,0)) AS NUM_REG_DIF,'"&amp;MAX('ID1&amp;5'!K:K)+1&amp;"' AS ID_EXEC, CURRENT_TIMESTAMP() AS TIME_EXEC FROM "&amp;I20,
IF(C20="Not applicable",+"SELECT '"&amp;UPPER(B20)&amp;"' AS TABELA, '"&amp;UPPER(C20)&amp;"' AS TIPOLOGIA_TESTE,'"&amp;D20&amp;"' AS TABELA_LT,'N/A' AS TABELA_SIMUL,'"&amp;F20&amp;"' AS CAMPO, "&amp;"'${ref_date}' AS REF_DATE, COUNT(*) AS NUM_REG, SUM(IF(TRIM(CAST(X."&amp;F20&amp;" AS STRING)) IN ('N/A','11111111111','11111111111.00','11111111111.000000','1111-11-11'),1,0)) AS NUM_REG_DIF,'"&amp;MAX('ID1&amp;5'!K:K)+1&amp;"' AS ID_EXEC, CURRENT_TIMESTAMP() AS TIME_EXEC FROM "&amp;I20,
IF(C20="Valores extremos",+"SELECT '"&amp;UPPER(B20)&amp;"' AS TABELA, '"&amp;UPPER(C20)&amp;"' AS TIPOLOGIA_TESTE,'"&amp;D20&amp;"' AS TABELA_LT,'N/A' AS TABELA_SIMUL,'"&amp;F20&amp;"' AS CAMPO, "&amp;"'${ref_date}' AS REF_DATE, CAST(MIN("&amp;F20&amp;") AS STRING) AS VALOR_MIN, CAST(MAX("&amp;F20&amp;") AS STRING) AS VALOR_MAX,'"&amp;MAX('ID1&amp;5'!K:K)+1&amp;"' AS ID_EXEC, CURRENT_TIMESTAMP() AS TIME_EXEC FROM "&amp;MID(I20,1,LEN(I20)-2)&amp;" AND CAST("&amp;F20&amp;"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TABELA_SIMUL,'instrumento_financeiro' AS CAMPO, '${ref_date}' AS REF_DATE, COUNT(*) AS NUM_REG, SUM(IF(COALESCE(CAST(X.instrumento_financeiro AS STRING),'')&lt;&gt;COALESCE(CAST(Y.instrumento_financeiro_SIMUL AS STRING),'') OR (X.instrumento_financeiro IS NULL AND Y.instrumento_financeiro_SIMUL IS NOT NULL ) OR (X.instrumento_financeiro IS NOT NULL AND Y.instrumento_financeiro_SIMUL IS NULL),1,0)) AS NUM_REG_DIF,'1' AS ID_EXEC, CURRENT_TIMESTAMP() AS TIME_EXEC FROM (SELECT a, instrumento_financeiro FROM BU_LOANTAPE_WORK.LT001_UNIV_OPER WHERE ref_date='${ref_date}' AND nome_perimetro='Individual Local' AND segmento='ESTR' AND ambito='SRB_MBDT' AND entidade='00100')X INNER JOIN (SELECT a AS a_SIMUL, instrumento_financeiro AS instrumento_financeiro_SIMUL FROM BU_LOANTAPE_WORK.SIMUL_LT001 WHERE ref_date='${ref_date}' AND nome_perimetro='Individual Local' AND segmento='ESTR' AND ambito='PILAR3' AND entidade='00100')Y ON X.A=Y.A_SIMUL</v>
      </c>
      <c r="M20" s="36" t="str">
        <f t="shared" si="0"/>
        <v>UNION ALL SELECT 'UNIV_OPER' AS TABELA, 'COERÊNCIA' AS TIPOLOGIA_TESTE,'BU_LOANTAPE_WORK.LT001_UNIV_OPER' AS TABELA_LT,'BU_LOANTAPE_WORK.SIMUL_LT001' AS TABELA_SIMUL,'instrumento_financeiro' AS CAMPO, '${ref_date}' AS REF_DATE, COUNT(*) AS NUM_REG, SUM(IF(COALESCE(CAST(X.instrumento_financeiro AS STRING),'')&lt;&gt;COALESCE(CAST(Y.instrumento_financeiro_SIMUL AS STRING),'') OR (X.instrumento_financeiro IS NULL AND Y.instrumento_financeiro_SIMUL IS NOT NULL ) OR (X.instrumento_financeiro IS NOT NULL AND Y.instrumento_financeiro_SIMUL IS NULL),1,0)) AS NUM_REG_DIF,'1' AS ID_EXEC, CURRENT_TIMESTAMP() AS TIME_EXEC FROM (SELECT a, instrumento_financeiro FROM BU_LOANTAPE_WORK.LT001_UNIV_OPER WHERE ref_date='${ref_date}' AND nome_perimetro='Individual Local' AND segmento='ESTR' AND ambito='SRB_MBDT' AND entidade='00100')X INNER JOIN (SELECT a AS a_SIMUL, instrumento_financeiro AS instrumento_financeiro_SIMUL FROM BU_LOANTAPE_WORK.SIMUL_LT001 WHERE ref_date='${ref_date}' AND nome_perimetro='Individual Local' AND segmento='ESTR' AND ambito='PILAR3' AND entidade='00100')Y ON X.A=Y.A_SIMUL</v>
      </c>
      <c r="N20" s="38" t="s">
        <v>40</v>
      </c>
    </row>
    <row r="21" spans="1:14">
      <c r="A21" s="60" t="str">
        <f t="shared" si="1"/>
        <v>UNIV_OPERcontraparte</v>
      </c>
      <c r="B21" s="34" t="s">
        <v>1092</v>
      </c>
      <c r="C21" s="34" t="s">
        <v>5</v>
      </c>
      <c r="D21" s="34" t="str">
        <f>+UPPER('0. Instruções'!$D$35&amp;"."&amp;VLOOKUP(B21,'0. Instruções'!$C$27:$D$32,2,FALSE))</f>
        <v>BU_LOANTAPE_WORK.LT001_UNIV_OPER</v>
      </c>
      <c r="E21" s="34" t="str">
        <f>+UPPER('0. Instruções'!$D$36&amp;"."&amp;VLOOKUP(B21,'0. Instruções'!$C$27:$E$32,3,FALSE))</f>
        <v>BU_LOANTAPE_WORK.SIMUL_LT001</v>
      </c>
      <c r="F21" s="34" t="s">
        <v>1105</v>
      </c>
      <c r="G21" s="34"/>
      <c r="H21" s="34"/>
      <c r="I21" s="34" t="str">
        <f>"(SELECT "&amp;VLOOKUP(B21,'0. Instruções'!$C$27:$G$32,4,FALSE)&amp;", "&amp;F21&amp;" FROM "&amp;D21&amp;" WHERE "&amp;'0. Instruções'!$D$42&amp;")X"</f>
        <v>(SELECT a, contraparte FROM BU_LOANTAPE_WORK.LT001_UNIV_OPER WHERE ref_date='${ref_date}' AND nome_perimetro='Individual Local' AND segmento='ESTR' AND ambito='SRB_MBDT' AND entidade='00100')X</v>
      </c>
      <c r="J21" s="34" t="str">
        <f>"(SELECT "&amp;VLOOKUP(B21,'0. Instruções'!$C$27:$G$32,4,FALSE)&amp;" AS "&amp;VLOOKUP(B21,'0. Instruções'!$C$27:$G$32,4,FALSE)&amp;"_SIMUL, "&amp;F21&amp;" AS "&amp;F21&amp;"_SIMUL FROM "&amp;E21&amp;" WHERE "&amp;'0. Instruções'!$D$43&amp;")Y"</f>
        <v>(SELECT a AS a_SIMUL, contraparte AS contraparte_SIMUL FROM BU_LOANTAPE_WORK.SIMUL_LT001 WHERE ref_date='${ref_date}' AND nome_perimetro='Individual Local' AND segmento='ESTR' AND ambito='PILAR3' AND entidade='00100')Y</v>
      </c>
      <c r="K21" s="35" t="str">
        <f>+UPPER("ON X."&amp;VLOOKUP(B21,'0. Instruções'!$C$27:$G$32,4,FALSE)&amp;"=Y."&amp;VLOOKUP(B21,'0. Instruções'!$C$27:$G$32,4,FALSE)&amp;"_SIMUL")</f>
        <v>ON X.A=Y.A_SIMUL</v>
      </c>
      <c r="L21" s="35" t="str">
        <f>+IF(C21="Coerência", +IF(LEFT(G21,5)="FLOAT","SELECT '"&amp;UPPER(B21)&amp;"' AS TABELA, '"&amp;UPPER(C21)&amp;"' AS TIPOLOGIA_TESTE,'"&amp;D21&amp;"' AS TABELA_LT,'"&amp;E21&amp;"' AS TABELA_SIMUL,'"&amp;F21&amp;"' AS CAMPO, "&amp;"'${ref_date}' AS REF_DATE, COUNT(*) AS NUM_REG, SUM(IF((ABS(COALESCE(CAST(X."&amp;F21&amp;" AS DECIMAL(18,6)),0)-COALESCE(CAST(Y."&amp;F21&amp;"_SIMUL AS DECIMAL(18,6)),0))&gt;0.000001) OR (X."&amp;F21&amp;" IS NULL AND Y."&amp;F21&amp;"_SIMUL IS NOT NULL ) OR (X."&amp;F21&amp;" IS NOT NULL AND Y."&amp;F21&amp;"_SIMUL IS NULL),1,0)) AS NUM_REG_DIF,'"&amp;MAX('ID1&amp;5'!K:K)+1&amp;"' AS ID_EXEC, CURRENT_TIMESTAMP() AS TIME_EXEC FROM "&amp;I21&amp;" INNER JOIN "&amp;J21&amp;" "&amp;K21,"SELECT '"&amp;UPPER(B21)&amp;"' AS TABELA, '"&amp;UPPER(C21)&amp;"' AS TIPOLOGIA_TESTE,'"&amp;D21&amp;"' AS TABELA_LT,'"&amp;E21&amp;"' AS TABELA_SIMUL,'"&amp;F21&amp;"' AS CAMPO, "&amp;"'${ref_date}' AS REF_DATE, COUNT(*) AS NUM_REG, SUM(IF(COALESCE(CAST(X."&amp;F21&amp;" AS STRING),'')&lt;&gt;COALESCE(CAST(Y."&amp;F21&amp;"_SIMUL AS STRING),'') OR (X."&amp;F21&amp;" IS NULL AND Y."&amp;F21&amp;"_SIMUL IS NOT NULL ) OR (X."&amp;F21&amp;" IS NOT NULL AND Y."&amp;F21&amp;"_SIMUL IS NULL),1,0)) AS NUM_REG_DIF,'"&amp;MAX('ID1&amp;5'!L:L)+1&amp;"' AS ID_EXEC, CURRENT_TIMESTAMP() AS TIME_EXEC FROM "&amp;I21&amp;" INNER JOIN "&amp;J21&amp;" "&amp;K21),
IF(C21="Validade",+IF(G21="Code List","SELECT '"&amp;UPPER(B21)&amp;"' AS TABELA, '"&amp;UPPER(C21)&amp;"' AS TIPOLOGIA_TESTE,'"&amp;D21&amp;"' AS TABELA_LT,'N/A' AS TABELA_SIMUL,'"&amp;F21&amp;"' AS CAMPO, "&amp;"'${ref_date}' AS REF_DATE, COUNT(*) AS NUM_REG, SUM(IF(TRIM(CAST(X."&amp;F21&amp;" AS STRING))='' OR TRIM(CAST(X."&amp;F21&amp;" AS STRING)) IS NULL OR CAST(X."&amp;F21&amp;" AS STRING) NOT "&amp;H21&amp;",1,0)) AS NUM_REG_DIF,'"&amp;MAX('ID1&amp;5'!K:K)+1&amp;"' AS ID_EXEC, CURRENT_TIMESTAMP() AS TIME_EXEC FROM "&amp;I21,"SELECT '"&amp;UPPER(B21)&amp;"' AS TABELA, '"&amp;UPPER(C21)&amp;"' AS TIPOLOGIA_TESTE,'"&amp;D21&amp;"' AS TABELA_LT,'N/A' AS TABELA_SIMUL,'"&amp;F21&amp;"' AS CAMPO, "&amp;"'${ref_date}' AS REF_DATE, COUNT(*) AS NUM_REG, SUM(IF(TRIM(CAST(X."&amp;F21&amp;" AS STRING))='' OR TRIM(CAST(X."&amp;F21&amp;" AS STRING)) IS NULL,1,0)) AS NUM_REG_DIF,'"&amp;MAX('ID1&amp;5'!K:K)+1&amp;"' AS ID_EXEC, CURRENT_TIMESTAMP() AS TIME_EXEC FROM "&amp;I21),
IF(C21="Caracteres Especiais",+"SELECT '"&amp;UPPER(B21)&amp;"' AS TABELA, '"&amp;UPPER(C21)&amp;"' AS TIPOLOGIA_TESTE,'"&amp;D21&amp;"' AS TABELA_LT,'N/A' AS TABELA_SIMUL,'"&amp;F21&amp;"' AS CAMPO, "&amp;"'${ref_date}' AS REF_DATE, COUNT(*) AS NUM_REG, SUM(IF(REGEXP_REPLACE(TRIM(CAST(X."&amp;F21&amp;" AS STRING)),'[^a-zA-Z0-9_\\s]','') &lt;&gt;TRIM(CAST(X."&amp;F21&amp;" AS STRING)),1,0)) AS NUM_REG_DIF,'"&amp;MAX('ID1&amp;5'!K:K)+1&amp;"' AS ID_EXEC, CURRENT_TIMESTAMP() AS TIME_EXEC FROM "&amp;I21,
IF(C21="Missings",+"SELECT '"&amp;UPPER(B21)&amp;"' AS TABELA, '"&amp;UPPER(C21)&amp;"' AS TIPOLOGIA_TESTE,'"&amp;D21&amp;"' AS TABELA_LT,'N/A' AS TABELA_SIMUL,'"&amp;F21&amp;"' AS CAMPO, "&amp;"'${ref_date}' AS REF_DATE, COUNT(*) AS NUM_REG, SUM(IF(TRIM(CAST(X."&amp;F21&amp;" AS STRING)) IN ('0000-00-00','0001-01-01','9999-12-31','MISS','00000','99999999999','99999999999.00','99999999999.000000'),1,0)) AS NUM_REG_DIF,'"&amp;MAX('ID1&amp;5'!K:K)+1&amp;"' AS ID_EXEC, CURRENT_TIMESTAMP() AS TIME_EXEC FROM "&amp;I21,
IF(C21="Not applicable",+"SELECT '"&amp;UPPER(B21)&amp;"' AS TABELA, '"&amp;UPPER(C21)&amp;"' AS TIPOLOGIA_TESTE,'"&amp;D21&amp;"' AS TABELA_LT,'N/A' AS TABELA_SIMUL,'"&amp;F21&amp;"' AS CAMPO, "&amp;"'${ref_date}' AS REF_DATE, COUNT(*) AS NUM_REG, SUM(IF(TRIM(CAST(X."&amp;F21&amp;" AS STRING)) IN ('N/A','11111111111','11111111111.00','11111111111.000000','1111-11-11'),1,0)) AS NUM_REG_DIF,'"&amp;MAX('ID1&amp;5'!K:K)+1&amp;"' AS ID_EXEC, CURRENT_TIMESTAMP() AS TIME_EXEC FROM "&amp;I21,
IF(C21="Valores extremos",+"SELECT '"&amp;UPPER(B21)&amp;"' AS TABELA, '"&amp;UPPER(C21)&amp;"' AS TIPOLOGIA_TESTE,'"&amp;D21&amp;"' AS TABELA_LT,'N/A' AS TABELA_SIMUL,'"&amp;F21&amp;"' AS CAMPO, "&amp;"'${ref_date}' AS REF_DATE, CAST(MIN("&amp;F21&amp;") AS STRING) AS VALOR_MIN, CAST(MAX("&amp;F21&amp;") AS STRING) AS VALOR_MAX,'"&amp;MAX('ID1&amp;5'!K:K)+1&amp;"' AS ID_EXEC, CURRENT_TIMESTAMP() AS TIME_EXEC FROM "&amp;MID(I21,1,LEN(I21)-2)&amp;" AND CAST("&amp;F21&amp;"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TABELA_SIMUL,'contraparte' AS CAMPO, '${ref_date}' AS REF_DATE, COUNT(*) AS NUM_REG, SUM(IF(COALESCE(CAST(X.contraparte AS STRING),'')&lt;&gt;COALESCE(CAST(Y.contraparte_SIMUL AS STRING),'') OR (X.contraparte IS NULL AND Y.contraparte_SIMUL IS NOT NULL ) OR (X.contraparte IS NOT NULL AND Y.contraparte_SIMUL IS NULL),1,0)) AS NUM_REG_DIF,'1' AS ID_EXEC, CURRENT_TIMESTAMP() AS TIME_EXEC FROM (SELECT a, contraparte FROM BU_LOANTAPE_WORK.LT001_UNIV_OPER WHERE ref_date='${ref_date}' AND nome_perimetro='Individual Local' AND segmento='ESTR' AND ambito='SRB_MBDT' AND entidade='00100')X INNER JOIN (SELECT a AS a_SIMUL, contraparte AS contraparte_SIMUL FROM BU_LOANTAPE_WORK.SIMUL_LT001 WHERE ref_date='${ref_date}' AND nome_perimetro='Individual Local' AND segmento='ESTR' AND ambito='PILAR3' AND entidade='00100')Y ON X.A=Y.A_SIMUL</v>
      </c>
      <c r="M21" s="36" t="str">
        <f t="shared" si="0"/>
        <v>UNION ALL SELECT 'UNIV_OPER' AS TABELA, 'COERÊNCIA' AS TIPOLOGIA_TESTE,'BU_LOANTAPE_WORK.LT001_UNIV_OPER' AS TABELA_LT,'BU_LOANTAPE_WORK.SIMUL_LT001' AS TABELA_SIMUL,'contraparte' AS CAMPO, '${ref_date}' AS REF_DATE, COUNT(*) AS NUM_REG, SUM(IF(COALESCE(CAST(X.contraparte AS STRING),'')&lt;&gt;COALESCE(CAST(Y.contraparte_SIMUL AS STRING),'') OR (X.contraparte IS NULL AND Y.contraparte_SIMUL IS NOT NULL ) OR (X.contraparte IS NOT NULL AND Y.contraparte_SIMUL IS NULL),1,0)) AS NUM_REG_DIF,'1' AS ID_EXEC, CURRENT_TIMESTAMP() AS TIME_EXEC FROM (SELECT a, contraparte FROM BU_LOANTAPE_WORK.LT001_UNIV_OPER WHERE ref_date='${ref_date}' AND nome_perimetro='Individual Local' AND segmento='ESTR' AND ambito='SRB_MBDT' AND entidade='00100')X INNER JOIN (SELECT a AS a_SIMUL, contraparte AS contraparte_SIMUL FROM BU_LOANTAPE_WORK.SIMUL_LT001 WHERE ref_date='${ref_date}' AND nome_perimetro='Individual Local' AND segmento='ESTR' AND ambito='PILAR3' AND entidade='00100')Y ON X.A=Y.A_SIMUL</v>
      </c>
      <c r="N21" s="38" t="s">
        <v>40</v>
      </c>
    </row>
    <row r="22" spans="1:14">
      <c r="A22" s="60" t="str">
        <f t="shared" si="1"/>
        <v>UNIV_OPERcontraparte_i</v>
      </c>
      <c r="B22" s="34" t="s">
        <v>1092</v>
      </c>
      <c r="C22" s="34" t="s">
        <v>5</v>
      </c>
      <c r="D22" s="34" t="str">
        <f>+UPPER('0. Instruções'!$D$35&amp;"."&amp;VLOOKUP(B22,'0. Instruções'!$C$27:$D$32,2,FALSE))</f>
        <v>BU_LOANTAPE_WORK.LT001_UNIV_OPER</v>
      </c>
      <c r="E22" s="34" t="str">
        <f>+UPPER('0. Instruções'!$D$36&amp;"."&amp;VLOOKUP(B22,'0. Instruções'!$C$27:$E$32,3,FALSE))</f>
        <v>BU_LOANTAPE_WORK.SIMUL_LT001</v>
      </c>
      <c r="F22" s="34" t="s">
        <v>1106</v>
      </c>
      <c r="G22" s="34"/>
      <c r="H22" s="34"/>
      <c r="I22" s="34" t="str">
        <f>"(SELECT "&amp;VLOOKUP(B22,'0. Instruções'!$C$27:$G$32,4,FALSE)&amp;", "&amp;F22&amp;" FROM "&amp;D22&amp;" WHERE "&amp;'0. Instruções'!$D$42&amp;")X"</f>
        <v>(SELECT a, contraparte_i FROM BU_LOANTAPE_WORK.LT001_UNIV_OPER WHERE ref_date='${ref_date}' AND nome_perimetro='Individual Local' AND segmento='ESTR' AND ambito='SRB_MBDT' AND entidade='00100')X</v>
      </c>
      <c r="J22" s="34" t="str">
        <f>"(SELECT "&amp;VLOOKUP(B22,'0. Instruções'!$C$27:$G$32,4,FALSE)&amp;" AS "&amp;VLOOKUP(B22,'0. Instruções'!$C$27:$G$32,4,FALSE)&amp;"_SIMUL, "&amp;F22&amp;" AS "&amp;F22&amp;"_SIMUL FROM "&amp;E22&amp;" WHERE "&amp;'0. Instruções'!$D$43&amp;")Y"</f>
        <v>(SELECT a AS a_SIMUL, contraparte_i AS contraparte_i_SIMUL FROM BU_LOANTAPE_WORK.SIMUL_LT001 WHERE ref_date='${ref_date}' AND nome_perimetro='Individual Local' AND segmento='ESTR' AND ambito='PILAR3' AND entidade='00100')Y</v>
      </c>
      <c r="K22" s="35" t="str">
        <f>+UPPER("ON X."&amp;VLOOKUP(B22,'0. Instruções'!$C$27:$G$32,4,FALSE)&amp;"=Y."&amp;VLOOKUP(B22,'0. Instruções'!$C$27:$G$32,4,FALSE)&amp;"_SIMUL")</f>
        <v>ON X.A=Y.A_SIMUL</v>
      </c>
      <c r="L22" s="35" t="str">
        <f>+IF(C22="Coerência", +IF(LEFT(G22,5)="FLOAT","SELECT '"&amp;UPPER(B22)&amp;"' AS TABELA, '"&amp;UPPER(C22)&amp;"' AS TIPOLOGIA_TESTE,'"&amp;D22&amp;"' AS TABELA_LT,'"&amp;E22&amp;"' AS TABELA_SIMUL,'"&amp;F22&amp;"' AS CAMPO, "&amp;"'${ref_date}' AS REF_DATE, COUNT(*) AS NUM_REG, SUM(IF((ABS(COALESCE(CAST(X."&amp;F22&amp;" AS DECIMAL(18,6)),0)-COALESCE(CAST(Y."&amp;F22&amp;"_SIMUL AS DECIMAL(18,6)),0))&gt;0.000001) OR (X."&amp;F22&amp;" IS NULL AND Y."&amp;F22&amp;"_SIMUL IS NOT NULL ) OR (X."&amp;F22&amp;" IS NOT NULL AND Y."&amp;F22&amp;"_SIMUL IS NULL),1,0)) AS NUM_REG_DIF,'"&amp;MAX('ID1&amp;5'!K:K)+1&amp;"' AS ID_EXEC, CURRENT_TIMESTAMP() AS TIME_EXEC FROM "&amp;I22&amp;" INNER JOIN "&amp;J22&amp;" "&amp;K22,"SELECT '"&amp;UPPER(B22)&amp;"' AS TABELA, '"&amp;UPPER(C22)&amp;"' AS TIPOLOGIA_TESTE,'"&amp;D22&amp;"' AS TABELA_LT,'"&amp;E22&amp;"' AS TABELA_SIMUL,'"&amp;F22&amp;"' AS CAMPO, "&amp;"'${ref_date}' AS REF_DATE, COUNT(*) AS NUM_REG, SUM(IF(COALESCE(CAST(X."&amp;F22&amp;" AS STRING),'')&lt;&gt;COALESCE(CAST(Y."&amp;F22&amp;"_SIMUL AS STRING),'') OR (X."&amp;F22&amp;" IS NULL AND Y."&amp;F22&amp;"_SIMUL IS NOT NULL ) OR (X."&amp;F22&amp;" IS NOT NULL AND Y."&amp;F22&amp;"_SIMUL IS NULL),1,0)) AS NUM_REG_DIF,'"&amp;MAX('ID1&amp;5'!L:L)+1&amp;"' AS ID_EXEC, CURRENT_TIMESTAMP() AS TIME_EXEC FROM "&amp;I22&amp;" INNER JOIN "&amp;J22&amp;" "&amp;K22),
IF(C22="Validade",+IF(G22="Code List","SELECT '"&amp;UPPER(B22)&amp;"' AS TABELA, '"&amp;UPPER(C22)&amp;"' AS TIPOLOGIA_TESTE,'"&amp;D22&amp;"' AS TABELA_LT,'N/A' AS TABELA_SIMUL,'"&amp;F22&amp;"' AS CAMPO, "&amp;"'${ref_date}' AS REF_DATE, COUNT(*) AS NUM_REG, SUM(IF(TRIM(CAST(X."&amp;F22&amp;" AS STRING))='' OR TRIM(CAST(X."&amp;F22&amp;" AS STRING)) IS NULL OR CAST(X."&amp;F22&amp;" AS STRING) NOT "&amp;H22&amp;",1,0)) AS NUM_REG_DIF,'"&amp;MAX('ID1&amp;5'!K:K)+1&amp;"' AS ID_EXEC, CURRENT_TIMESTAMP() AS TIME_EXEC FROM "&amp;I22,"SELECT '"&amp;UPPER(B22)&amp;"' AS TABELA, '"&amp;UPPER(C22)&amp;"' AS TIPOLOGIA_TESTE,'"&amp;D22&amp;"' AS TABELA_LT,'N/A' AS TABELA_SIMUL,'"&amp;F22&amp;"' AS CAMPO, "&amp;"'${ref_date}' AS REF_DATE, COUNT(*) AS NUM_REG, SUM(IF(TRIM(CAST(X."&amp;F22&amp;" AS STRING))='' OR TRIM(CAST(X."&amp;F22&amp;" AS STRING)) IS NULL,1,0)) AS NUM_REG_DIF,'"&amp;MAX('ID1&amp;5'!K:K)+1&amp;"' AS ID_EXEC, CURRENT_TIMESTAMP() AS TIME_EXEC FROM "&amp;I22),
IF(C22="Caracteres Especiais",+"SELECT '"&amp;UPPER(B22)&amp;"' AS TABELA, '"&amp;UPPER(C22)&amp;"' AS TIPOLOGIA_TESTE,'"&amp;D22&amp;"' AS TABELA_LT,'N/A' AS TABELA_SIMUL,'"&amp;F22&amp;"' AS CAMPO, "&amp;"'${ref_date}' AS REF_DATE, COUNT(*) AS NUM_REG, SUM(IF(REGEXP_REPLACE(TRIM(CAST(X."&amp;F22&amp;" AS STRING)),'[^a-zA-Z0-9_\\s]','') &lt;&gt;TRIM(CAST(X."&amp;F22&amp;" AS STRING)),1,0)) AS NUM_REG_DIF,'"&amp;MAX('ID1&amp;5'!K:K)+1&amp;"' AS ID_EXEC, CURRENT_TIMESTAMP() AS TIME_EXEC FROM "&amp;I22,
IF(C22="Missings",+"SELECT '"&amp;UPPER(B22)&amp;"' AS TABELA, '"&amp;UPPER(C22)&amp;"' AS TIPOLOGIA_TESTE,'"&amp;D22&amp;"' AS TABELA_LT,'N/A' AS TABELA_SIMUL,'"&amp;F22&amp;"' AS CAMPO, "&amp;"'${ref_date}' AS REF_DATE, COUNT(*) AS NUM_REG, SUM(IF(TRIM(CAST(X."&amp;F22&amp;" AS STRING)) IN ('0000-00-00','0001-01-01','9999-12-31','MISS','00000','99999999999','99999999999.00','99999999999.000000'),1,0)) AS NUM_REG_DIF,'"&amp;MAX('ID1&amp;5'!K:K)+1&amp;"' AS ID_EXEC, CURRENT_TIMESTAMP() AS TIME_EXEC FROM "&amp;I22,
IF(C22="Not applicable",+"SELECT '"&amp;UPPER(B22)&amp;"' AS TABELA, '"&amp;UPPER(C22)&amp;"' AS TIPOLOGIA_TESTE,'"&amp;D22&amp;"' AS TABELA_LT,'N/A' AS TABELA_SIMUL,'"&amp;F22&amp;"' AS CAMPO, "&amp;"'${ref_date}' AS REF_DATE, COUNT(*) AS NUM_REG, SUM(IF(TRIM(CAST(X."&amp;F22&amp;" AS STRING)) IN ('N/A','11111111111','11111111111.00','11111111111.000000','1111-11-11'),1,0)) AS NUM_REG_DIF,'"&amp;MAX('ID1&amp;5'!K:K)+1&amp;"' AS ID_EXEC, CURRENT_TIMESTAMP() AS TIME_EXEC FROM "&amp;I22,
IF(C22="Valores extremos",+"SELECT '"&amp;UPPER(B22)&amp;"' AS TABELA, '"&amp;UPPER(C22)&amp;"' AS TIPOLOGIA_TESTE,'"&amp;D22&amp;"' AS TABELA_LT,'N/A' AS TABELA_SIMUL,'"&amp;F22&amp;"' AS CAMPO, "&amp;"'${ref_date}' AS REF_DATE, CAST(MIN("&amp;F22&amp;") AS STRING) AS VALOR_MIN, CAST(MAX("&amp;F22&amp;") AS STRING) AS VALOR_MAX,'"&amp;MAX('ID1&amp;5'!K:K)+1&amp;"' AS ID_EXEC, CURRENT_TIMESTAMP() AS TIME_EXEC FROM "&amp;MID(I22,1,LEN(I22)-2)&amp;" AND CAST("&amp;F22&amp;"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TABELA_SIMUL,'contraparte_i' AS CAMPO, '${ref_date}' AS REF_DATE, COUNT(*) AS NUM_REG, SUM(IF(COALESCE(CAST(X.contraparte_i AS STRING),'')&lt;&gt;COALESCE(CAST(Y.contraparte_i_SIMUL AS STRING),'') OR (X.contraparte_i IS NULL AND Y.contraparte_i_SIMUL IS NOT NULL ) OR (X.contraparte_i IS NOT NULL AND Y.contraparte_i_SIMUL IS NULL),1,0)) AS NUM_REG_DIF,'1' AS ID_EXEC, CURRENT_TIMESTAMP() AS TIME_EXEC FROM (SELECT a, contraparte_i FROM BU_LOANTAPE_WORK.LT001_UNIV_OPER WHERE ref_date='${ref_date}' AND nome_perimetro='Individual Local' AND segmento='ESTR' AND ambito='SRB_MBDT' AND entidade='00100')X INNER JOIN (SELECT a AS a_SIMUL, contraparte_i AS contraparte_i_SIMUL FROM BU_LOANTAPE_WORK.SIMUL_LT001 WHERE ref_date='${ref_date}' AND nome_perimetro='Individual Local' AND segmento='ESTR' AND ambito='PILAR3' AND entidade='00100')Y ON X.A=Y.A_SIMUL</v>
      </c>
      <c r="M22" s="36" t="str">
        <f t="shared" si="0"/>
        <v>UNION ALL SELECT 'UNIV_OPER' AS TABELA, 'COERÊNCIA' AS TIPOLOGIA_TESTE,'BU_LOANTAPE_WORK.LT001_UNIV_OPER' AS TABELA_LT,'BU_LOANTAPE_WORK.SIMUL_LT001' AS TABELA_SIMUL,'contraparte_i' AS CAMPO, '${ref_date}' AS REF_DATE, COUNT(*) AS NUM_REG, SUM(IF(COALESCE(CAST(X.contraparte_i AS STRING),'')&lt;&gt;COALESCE(CAST(Y.contraparte_i_SIMUL AS STRING),'') OR (X.contraparte_i IS NULL AND Y.contraparte_i_SIMUL IS NOT NULL ) OR (X.contraparte_i IS NOT NULL AND Y.contraparte_i_SIMUL IS NULL),1,0)) AS NUM_REG_DIF,'1' AS ID_EXEC, CURRENT_TIMESTAMP() AS TIME_EXEC FROM (SELECT a, contraparte_i FROM BU_LOANTAPE_WORK.LT001_UNIV_OPER WHERE ref_date='${ref_date}' AND nome_perimetro='Individual Local' AND segmento='ESTR' AND ambito='SRB_MBDT' AND entidade='00100')X INNER JOIN (SELECT a AS a_SIMUL, contraparte_i AS contraparte_i_SIMUL FROM BU_LOANTAPE_WORK.SIMUL_LT001 WHERE ref_date='${ref_date}' AND nome_perimetro='Individual Local' AND segmento='ESTR' AND ambito='PILAR3' AND entidade='00100')Y ON X.A=Y.A_SIMUL</v>
      </c>
      <c r="N22" s="38" t="s">
        <v>40</v>
      </c>
    </row>
    <row r="23" spans="1:14">
      <c r="A23" s="60" t="str">
        <f t="shared" si="1"/>
        <v>UNIV_OPERproduto</v>
      </c>
      <c r="B23" s="34" t="s">
        <v>1092</v>
      </c>
      <c r="C23" s="34" t="s">
        <v>5</v>
      </c>
      <c r="D23" s="34" t="str">
        <f>+UPPER('0. Instruções'!$D$35&amp;"."&amp;VLOOKUP(B23,'0. Instruções'!$C$27:$D$32,2,FALSE))</f>
        <v>BU_LOANTAPE_WORK.LT001_UNIV_OPER</v>
      </c>
      <c r="E23" s="34" t="str">
        <f>+UPPER('0. Instruções'!$D$36&amp;"."&amp;VLOOKUP(B23,'0. Instruções'!$C$27:$E$32,3,FALSE))</f>
        <v>BU_LOANTAPE_WORK.SIMUL_LT001</v>
      </c>
      <c r="F23" s="34" t="s">
        <v>1107</v>
      </c>
      <c r="G23" s="34"/>
      <c r="H23" s="34"/>
      <c r="I23" s="34" t="str">
        <f>"(SELECT "&amp;VLOOKUP(B23,'0. Instruções'!$C$27:$G$32,4,FALSE)&amp;", "&amp;F23&amp;" FROM "&amp;D23&amp;" WHERE "&amp;'0. Instruções'!$D$42&amp;")X"</f>
        <v>(SELECT a, produto FROM BU_LOANTAPE_WORK.LT001_UNIV_OPER WHERE ref_date='${ref_date}' AND nome_perimetro='Individual Local' AND segmento='ESTR' AND ambito='SRB_MBDT' AND entidade='00100')X</v>
      </c>
      <c r="J23" s="34" t="str">
        <f>"(SELECT "&amp;VLOOKUP(B23,'0. Instruções'!$C$27:$G$32,4,FALSE)&amp;" AS "&amp;VLOOKUP(B23,'0. Instruções'!$C$27:$G$32,4,FALSE)&amp;"_SIMUL, "&amp;F23&amp;" AS "&amp;F23&amp;"_SIMUL FROM "&amp;E23&amp;" WHERE "&amp;'0. Instruções'!$D$43&amp;")Y"</f>
        <v>(SELECT a AS a_SIMUL, produto AS produto_SIMUL FROM BU_LOANTAPE_WORK.SIMUL_LT001 WHERE ref_date='${ref_date}' AND nome_perimetro='Individual Local' AND segmento='ESTR' AND ambito='PILAR3' AND entidade='00100')Y</v>
      </c>
      <c r="K23" s="35" t="str">
        <f>+UPPER("ON X."&amp;VLOOKUP(B23,'0. Instruções'!$C$27:$G$32,4,FALSE)&amp;"=Y."&amp;VLOOKUP(B23,'0. Instruções'!$C$27:$G$32,4,FALSE)&amp;"_SIMUL")</f>
        <v>ON X.A=Y.A_SIMUL</v>
      </c>
      <c r="L23" s="35" t="str">
        <f>+IF(C23="Coerência", +IF(LEFT(G23,5)="FLOAT","SELECT '"&amp;UPPER(B23)&amp;"' AS TABELA, '"&amp;UPPER(C23)&amp;"' AS TIPOLOGIA_TESTE,'"&amp;D23&amp;"' AS TABELA_LT,'"&amp;E23&amp;"' AS TABELA_SIMUL,'"&amp;F23&amp;"' AS CAMPO, "&amp;"'${ref_date}' AS REF_DATE, COUNT(*) AS NUM_REG, SUM(IF((ABS(COALESCE(CAST(X."&amp;F23&amp;" AS DECIMAL(18,6)),0)-COALESCE(CAST(Y."&amp;F23&amp;"_SIMUL AS DECIMAL(18,6)),0))&gt;0.000001) OR (X."&amp;F23&amp;" IS NULL AND Y."&amp;F23&amp;"_SIMUL IS NOT NULL ) OR (X."&amp;F23&amp;" IS NOT NULL AND Y."&amp;F23&amp;"_SIMUL IS NULL),1,0)) AS NUM_REG_DIF,'"&amp;MAX('ID1&amp;5'!K:K)+1&amp;"' AS ID_EXEC, CURRENT_TIMESTAMP() AS TIME_EXEC FROM "&amp;I23&amp;" INNER JOIN "&amp;J23&amp;" "&amp;K23,"SELECT '"&amp;UPPER(B23)&amp;"' AS TABELA, '"&amp;UPPER(C23)&amp;"' AS TIPOLOGIA_TESTE,'"&amp;D23&amp;"' AS TABELA_LT,'"&amp;E23&amp;"' AS TABELA_SIMUL,'"&amp;F23&amp;"' AS CAMPO, "&amp;"'${ref_date}' AS REF_DATE, COUNT(*) AS NUM_REG, SUM(IF(COALESCE(CAST(X."&amp;F23&amp;" AS STRING),'')&lt;&gt;COALESCE(CAST(Y."&amp;F23&amp;"_SIMUL AS STRING),'') OR (X."&amp;F23&amp;" IS NULL AND Y."&amp;F23&amp;"_SIMUL IS NOT NULL ) OR (X."&amp;F23&amp;" IS NOT NULL AND Y."&amp;F23&amp;"_SIMUL IS NULL),1,0)) AS NUM_REG_DIF,'"&amp;MAX('ID1&amp;5'!L:L)+1&amp;"' AS ID_EXEC, CURRENT_TIMESTAMP() AS TIME_EXEC FROM "&amp;I23&amp;" INNER JOIN "&amp;J23&amp;" "&amp;K23),
IF(C23="Validade",+IF(G23="Code List","SELECT '"&amp;UPPER(B23)&amp;"' AS TABELA, '"&amp;UPPER(C23)&amp;"' AS TIPOLOGIA_TESTE,'"&amp;D23&amp;"' AS TABELA_LT,'N/A' AS TABELA_SIMUL,'"&amp;F23&amp;"' AS CAMPO, "&amp;"'${ref_date}' AS REF_DATE, COUNT(*) AS NUM_REG, SUM(IF(TRIM(CAST(X."&amp;F23&amp;" AS STRING))='' OR TRIM(CAST(X."&amp;F23&amp;" AS STRING)) IS NULL OR CAST(X."&amp;F23&amp;" AS STRING) NOT "&amp;H23&amp;",1,0)) AS NUM_REG_DIF,'"&amp;MAX('ID1&amp;5'!K:K)+1&amp;"' AS ID_EXEC, CURRENT_TIMESTAMP() AS TIME_EXEC FROM "&amp;I23,"SELECT '"&amp;UPPER(B23)&amp;"' AS TABELA, '"&amp;UPPER(C23)&amp;"' AS TIPOLOGIA_TESTE,'"&amp;D23&amp;"' AS TABELA_LT,'N/A' AS TABELA_SIMUL,'"&amp;F23&amp;"' AS CAMPO, "&amp;"'${ref_date}' AS REF_DATE, COUNT(*) AS NUM_REG, SUM(IF(TRIM(CAST(X."&amp;F23&amp;" AS STRING))='' OR TRIM(CAST(X."&amp;F23&amp;" AS STRING)) IS NULL,1,0)) AS NUM_REG_DIF,'"&amp;MAX('ID1&amp;5'!K:K)+1&amp;"' AS ID_EXEC, CURRENT_TIMESTAMP() AS TIME_EXEC FROM "&amp;I23),
IF(C23="Caracteres Especiais",+"SELECT '"&amp;UPPER(B23)&amp;"' AS TABELA, '"&amp;UPPER(C23)&amp;"' AS TIPOLOGIA_TESTE,'"&amp;D23&amp;"' AS TABELA_LT,'N/A' AS TABELA_SIMUL,'"&amp;F23&amp;"' AS CAMPO, "&amp;"'${ref_date}' AS REF_DATE, COUNT(*) AS NUM_REG, SUM(IF(REGEXP_REPLACE(TRIM(CAST(X."&amp;F23&amp;" AS STRING)),'[^a-zA-Z0-9_\\s]','') &lt;&gt;TRIM(CAST(X."&amp;F23&amp;" AS STRING)),1,0)) AS NUM_REG_DIF,'"&amp;MAX('ID1&amp;5'!K:K)+1&amp;"' AS ID_EXEC, CURRENT_TIMESTAMP() AS TIME_EXEC FROM "&amp;I23,
IF(C23="Missings",+"SELECT '"&amp;UPPER(B23)&amp;"' AS TABELA, '"&amp;UPPER(C23)&amp;"' AS TIPOLOGIA_TESTE,'"&amp;D23&amp;"' AS TABELA_LT,'N/A' AS TABELA_SIMUL,'"&amp;F23&amp;"' AS CAMPO, "&amp;"'${ref_date}' AS REF_DATE, COUNT(*) AS NUM_REG, SUM(IF(TRIM(CAST(X."&amp;F23&amp;" AS STRING)) IN ('0000-00-00','0001-01-01','9999-12-31','MISS','00000','99999999999','99999999999.00','99999999999.000000'),1,0)) AS NUM_REG_DIF,'"&amp;MAX('ID1&amp;5'!K:K)+1&amp;"' AS ID_EXEC, CURRENT_TIMESTAMP() AS TIME_EXEC FROM "&amp;I23,
IF(C23="Not applicable",+"SELECT '"&amp;UPPER(B23)&amp;"' AS TABELA, '"&amp;UPPER(C23)&amp;"' AS TIPOLOGIA_TESTE,'"&amp;D23&amp;"' AS TABELA_LT,'N/A' AS TABELA_SIMUL,'"&amp;F23&amp;"' AS CAMPO, "&amp;"'${ref_date}' AS REF_DATE, COUNT(*) AS NUM_REG, SUM(IF(TRIM(CAST(X."&amp;F23&amp;" AS STRING)) IN ('N/A','11111111111','11111111111.00','11111111111.000000','1111-11-11'),1,0)) AS NUM_REG_DIF,'"&amp;MAX('ID1&amp;5'!K:K)+1&amp;"' AS ID_EXEC, CURRENT_TIMESTAMP() AS TIME_EXEC FROM "&amp;I23,
IF(C23="Valores extremos",+"SELECT '"&amp;UPPER(B23)&amp;"' AS TABELA, '"&amp;UPPER(C23)&amp;"' AS TIPOLOGIA_TESTE,'"&amp;D23&amp;"' AS TABELA_LT,'N/A' AS TABELA_SIMUL,'"&amp;F23&amp;"' AS CAMPO, "&amp;"'${ref_date}' AS REF_DATE, CAST(MIN("&amp;F23&amp;") AS STRING) AS VALOR_MIN, CAST(MAX("&amp;F23&amp;") AS STRING) AS VALOR_MAX,'"&amp;MAX('ID1&amp;5'!K:K)+1&amp;"' AS ID_EXEC, CURRENT_TIMESTAMP() AS TIME_EXEC FROM "&amp;MID(I23,1,LEN(I23)-2)&amp;" AND CAST("&amp;F23&amp;"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TABELA_SIMUL,'produto' AS CAMPO, '${ref_date}' AS REF_DATE, COUNT(*) AS NUM_REG, SUM(IF(COALESCE(CAST(X.produto AS STRING),'')&lt;&gt;COALESCE(CAST(Y.produto_SIMUL AS STRING),'') OR (X.produto IS NULL AND Y.produto_SIMUL IS NOT NULL ) OR (X.produto IS NOT NULL AND Y.produto_SIMUL IS NULL),1,0)) AS NUM_REG_DIF,'1' AS ID_EXEC, CURRENT_TIMESTAMP() AS TIME_EXEC FROM (SELECT a, produto FROM BU_LOANTAPE_WORK.LT001_UNIV_OPER WHERE ref_date='${ref_date}' AND nome_perimetro='Individual Local' AND segmento='ESTR' AND ambito='SRB_MBDT' AND entidade='00100')X INNER JOIN (SELECT a AS a_SIMUL, produto AS produto_SIMUL FROM BU_LOANTAPE_WORK.SIMUL_LT001 WHERE ref_date='${ref_date}' AND nome_perimetro='Individual Local' AND segmento='ESTR' AND ambito='PILAR3' AND entidade='00100')Y ON X.A=Y.A_SIMUL</v>
      </c>
      <c r="M23" s="36" t="str">
        <f t="shared" si="0"/>
        <v>UNION ALL SELECT 'UNIV_OPER' AS TABELA, 'COERÊNCIA' AS TIPOLOGIA_TESTE,'BU_LOANTAPE_WORK.LT001_UNIV_OPER' AS TABELA_LT,'BU_LOANTAPE_WORK.SIMUL_LT001' AS TABELA_SIMUL,'produto' AS CAMPO, '${ref_date}' AS REF_DATE, COUNT(*) AS NUM_REG, SUM(IF(COALESCE(CAST(X.produto AS STRING),'')&lt;&gt;COALESCE(CAST(Y.produto_SIMUL AS STRING),'') OR (X.produto IS NULL AND Y.produto_SIMUL IS NOT NULL ) OR (X.produto IS NOT NULL AND Y.produto_SIMUL IS NULL),1,0)) AS NUM_REG_DIF,'1' AS ID_EXEC, CURRENT_TIMESTAMP() AS TIME_EXEC FROM (SELECT a, produto FROM BU_LOANTAPE_WORK.LT001_UNIV_OPER WHERE ref_date='${ref_date}' AND nome_perimetro='Individual Local' AND segmento='ESTR' AND ambito='SRB_MBDT' AND entidade='00100')X INNER JOIN (SELECT a AS a_SIMUL, produto AS produto_SIMUL FROM BU_LOANTAPE_WORK.SIMUL_LT001 WHERE ref_date='${ref_date}' AND nome_perimetro='Individual Local' AND segmento='ESTR' AND ambito='PILAR3' AND entidade='00100')Y ON X.A=Y.A_SIMUL</v>
      </c>
      <c r="N23" s="38" t="s">
        <v>40</v>
      </c>
    </row>
    <row r="24" spans="1:14">
      <c r="A24" s="60" t="str">
        <f t="shared" si="1"/>
        <v>UNIV_OPERtipo_conta</v>
      </c>
      <c r="B24" s="34" t="s">
        <v>1092</v>
      </c>
      <c r="C24" s="34" t="s">
        <v>5</v>
      </c>
      <c r="D24" s="34" t="str">
        <f>+UPPER('0. Instruções'!$D$35&amp;"."&amp;VLOOKUP(B24,'0. Instruções'!$C$27:$D$32,2,FALSE))</f>
        <v>BU_LOANTAPE_WORK.LT001_UNIV_OPER</v>
      </c>
      <c r="E24" s="34" t="str">
        <f>+UPPER('0. Instruções'!$D$36&amp;"."&amp;VLOOKUP(B24,'0. Instruções'!$C$27:$E$32,3,FALSE))</f>
        <v>BU_LOANTAPE_WORK.SIMUL_LT001</v>
      </c>
      <c r="F24" s="34" t="s">
        <v>1108</v>
      </c>
      <c r="G24" s="34"/>
      <c r="H24" s="34"/>
      <c r="I24" s="34" t="str">
        <f>"(SELECT "&amp;VLOOKUP(B24,'0. Instruções'!$C$27:$G$32,4,FALSE)&amp;", "&amp;F24&amp;" FROM "&amp;D24&amp;" WHERE "&amp;'0. Instruções'!$D$42&amp;")X"</f>
        <v>(SELECT a, tipo_conta FROM BU_LOANTAPE_WORK.LT001_UNIV_OPER WHERE ref_date='${ref_date}' AND nome_perimetro='Individual Local' AND segmento='ESTR' AND ambito='SRB_MBDT' AND entidade='00100')X</v>
      </c>
      <c r="J24" s="34" t="str">
        <f>"(SELECT "&amp;VLOOKUP(B24,'0. Instruções'!$C$27:$G$32,4,FALSE)&amp;" AS "&amp;VLOOKUP(B24,'0. Instruções'!$C$27:$G$32,4,FALSE)&amp;"_SIMUL, "&amp;F24&amp;" AS "&amp;F24&amp;"_SIMUL FROM "&amp;E24&amp;" WHERE "&amp;'0. Instruções'!$D$43&amp;")Y"</f>
        <v>(SELECT a AS a_SIMUL, tipo_conta AS tipo_conta_SIMUL FROM BU_LOANTAPE_WORK.SIMUL_LT001 WHERE ref_date='${ref_date}' AND nome_perimetro='Individual Local' AND segmento='ESTR' AND ambito='PILAR3' AND entidade='00100')Y</v>
      </c>
      <c r="K24" s="35" t="str">
        <f>+UPPER("ON X."&amp;VLOOKUP(B24,'0. Instruções'!$C$27:$G$32,4,FALSE)&amp;"=Y."&amp;VLOOKUP(B24,'0. Instruções'!$C$27:$G$32,4,FALSE)&amp;"_SIMUL")</f>
        <v>ON X.A=Y.A_SIMUL</v>
      </c>
      <c r="L24" s="35" t="str">
        <f>+IF(C24="Coerência", +IF(LEFT(G24,5)="FLOAT","SELECT '"&amp;UPPER(B24)&amp;"' AS TABELA, '"&amp;UPPER(C24)&amp;"' AS TIPOLOGIA_TESTE,'"&amp;D24&amp;"' AS TABELA_LT,'"&amp;E24&amp;"' AS TABELA_SIMUL,'"&amp;F24&amp;"' AS CAMPO, "&amp;"'${ref_date}' AS REF_DATE, COUNT(*) AS NUM_REG, SUM(IF((ABS(COALESCE(CAST(X."&amp;F24&amp;" AS DECIMAL(18,6)),0)-COALESCE(CAST(Y."&amp;F24&amp;"_SIMUL AS DECIMAL(18,6)),0))&gt;0.000001) OR (X."&amp;F24&amp;" IS NULL AND Y."&amp;F24&amp;"_SIMUL IS NOT NULL ) OR (X."&amp;F24&amp;" IS NOT NULL AND Y."&amp;F24&amp;"_SIMUL IS NULL),1,0)) AS NUM_REG_DIF,'"&amp;MAX('ID1&amp;5'!K:K)+1&amp;"' AS ID_EXEC, CURRENT_TIMESTAMP() AS TIME_EXEC FROM "&amp;I24&amp;" INNER JOIN "&amp;J24&amp;" "&amp;K24,"SELECT '"&amp;UPPER(B24)&amp;"' AS TABELA, '"&amp;UPPER(C24)&amp;"' AS TIPOLOGIA_TESTE,'"&amp;D24&amp;"' AS TABELA_LT,'"&amp;E24&amp;"' AS TABELA_SIMUL,'"&amp;F24&amp;"' AS CAMPO, "&amp;"'${ref_date}' AS REF_DATE, COUNT(*) AS NUM_REG, SUM(IF(COALESCE(CAST(X."&amp;F24&amp;" AS STRING),'')&lt;&gt;COALESCE(CAST(Y."&amp;F24&amp;"_SIMUL AS STRING),'') OR (X."&amp;F24&amp;" IS NULL AND Y."&amp;F24&amp;"_SIMUL IS NOT NULL ) OR (X."&amp;F24&amp;" IS NOT NULL AND Y."&amp;F24&amp;"_SIMUL IS NULL),1,0)) AS NUM_REG_DIF,'"&amp;MAX('ID1&amp;5'!L:L)+1&amp;"' AS ID_EXEC, CURRENT_TIMESTAMP() AS TIME_EXEC FROM "&amp;I24&amp;" INNER JOIN "&amp;J24&amp;" "&amp;K24),
IF(C24="Validade",+IF(G24="Code List","SELECT '"&amp;UPPER(B24)&amp;"' AS TABELA, '"&amp;UPPER(C24)&amp;"' AS TIPOLOGIA_TESTE,'"&amp;D24&amp;"' AS TABELA_LT,'N/A' AS TABELA_SIMUL,'"&amp;F24&amp;"' AS CAMPO, "&amp;"'${ref_date}' AS REF_DATE, COUNT(*) AS NUM_REG, SUM(IF(TRIM(CAST(X."&amp;F24&amp;" AS STRING))='' OR TRIM(CAST(X."&amp;F24&amp;" AS STRING)) IS NULL OR CAST(X."&amp;F24&amp;" AS STRING) NOT "&amp;H24&amp;",1,0)) AS NUM_REG_DIF,'"&amp;MAX('ID1&amp;5'!K:K)+1&amp;"' AS ID_EXEC, CURRENT_TIMESTAMP() AS TIME_EXEC FROM "&amp;I24,"SELECT '"&amp;UPPER(B24)&amp;"' AS TABELA, '"&amp;UPPER(C24)&amp;"' AS TIPOLOGIA_TESTE,'"&amp;D24&amp;"' AS TABELA_LT,'N/A' AS TABELA_SIMUL,'"&amp;F24&amp;"' AS CAMPO, "&amp;"'${ref_date}' AS REF_DATE, COUNT(*) AS NUM_REG, SUM(IF(TRIM(CAST(X."&amp;F24&amp;" AS STRING))='' OR TRIM(CAST(X."&amp;F24&amp;" AS STRING)) IS NULL,1,0)) AS NUM_REG_DIF,'"&amp;MAX('ID1&amp;5'!K:K)+1&amp;"' AS ID_EXEC, CURRENT_TIMESTAMP() AS TIME_EXEC FROM "&amp;I24),
IF(C24="Caracteres Especiais",+"SELECT '"&amp;UPPER(B24)&amp;"' AS TABELA, '"&amp;UPPER(C24)&amp;"' AS TIPOLOGIA_TESTE,'"&amp;D24&amp;"' AS TABELA_LT,'N/A' AS TABELA_SIMUL,'"&amp;F24&amp;"' AS CAMPO, "&amp;"'${ref_date}' AS REF_DATE, COUNT(*) AS NUM_REG, SUM(IF(REGEXP_REPLACE(TRIM(CAST(X."&amp;F24&amp;" AS STRING)),'[^a-zA-Z0-9_\\s]','') &lt;&gt;TRIM(CAST(X."&amp;F24&amp;" AS STRING)),1,0)) AS NUM_REG_DIF,'"&amp;MAX('ID1&amp;5'!K:K)+1&amp;"' AS ID_EXEC, CURRENT_TIMESTAMP() AS TIME_EXEC FROM "&amp;I24,
IF(C24="Missings",+"SELECT '"&amp;UPPER(B24)&amp;"' AS TABELA, '"&amp;UPPER(C24)&amp;"' AS TIPOLOGIA_TESTE,'"&amp;D24&amp;"' AS TABELA_LT,'N/A' AS TABELA_SIMUL,'"&amp;F24&amp;"' AS CAMPO, "&amp;"'${ref_date}' AS REF_DATE, COUNT(*) AS NUM_REG, SUM(IF(TRIM(CAST(X."&amp;F24&amp;" AS STRING)) IN ('0000-00-00','0001-01-01','9999-12-31','MISS','00000','99999999999','99999999999.00','99999999999.000000'),1,0)) AS NUM_REG_DIF,'"&amp;MAX('ID1&amp;5'!K:K)+1&amp;"' AS ID_EXEC, CURRENT_TIMESTAMP() AS TIME_EXEC FROM "&amp;I24,
IF(C24="Not applicable",+"SELECT '"&amp;UPPER(B24)&amp;"' AS TABELA, '"&amp;UPPER(C24)&amp;"' AS TIPOLOGIA_TESTE,'"&amp;D24&amp;"' AS TABELA_LT,'N/A' AS TABELA_SIMUL,'"&amp;F24&amp;"' AS CAMPO, "&amp;"'${ref_date}' AS REF_DATE, COUNT(*) AS NUM_REG, SUM(IF(TRIM(CAST(X."&amp;F24&amp;" AS STRING)) IN ('N/A','11111111111','11111111111.00','11111111111.000000','1111-11-11'),1,0)) AS NUM_REG_DIF,'"&amp;MAX('ID1&amp;5'!K:K)+1&amp;"' AS ID_EXEC, CURRENT_TIMESTAMP() AS TIME_EXEC FROM "&amp;I24,
IF(C24="Valores extremos",+"SELECT '"&amp;UPPER(B24)&amp;"' AS TABELA, '"&amp;UPPER(C24)&amp;"' AS TIPOLOGIA_TESTE,'"&amp;D24&amp;"' AS TABELA_LT,'N/A' AS TABELA_SIMUL,'"&amp;F24&amp;"' AS CAMPO, "&amp;"'${ref_date}' AS REF_DATE, CAST(MIN("&amp;F24&amp;") AS STRING) AS VALOR_MIN, CAST(MAX("&amp;F24&amp;") AS STRING) AS VALOR_MAX,'"&amp;MAX('ID1&amp;5'!K:K)+1&amp;"' AS ID_EXEC, CURRENT_TIMESTAMP() AS TIME_EXEC FROM "&amp;MID(I24,1,LEN(I24)-2)&amp;" AND CAST("&amp;F24&amp;"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TABELA_SIMUL,'tipo_conta' AS CAMPO, '${ref_date}' AS REF_DATE, COUNT(*) AS NUM_REG, SUM(IF(COALESCE(CAST(X.tipo_conta AS STRING),'')&lt;&gt;COALESCE(CAST(Y.tipo_conta_SIMUL AS STRING),'') OR (X.tipo_conta IS NULL AND Y.tipo_conta_SIMUL IS NOT NULL ) OR (X.tipo_conta IS NOT NULL AND Y.tipo_conta_SIMUL IS NULL),1,0)) AS NUM_REG_DIF,'1' AS ID_EXEC, CURRENT_TIMESTAMP() AS TIME_EXEC FROM (SELECT a, tipo_conta FROM BU_LOANTAPE_WORK.LT001_UNIV_OPER WHERE ref_date='${ref_date}' AND nome_perimetro='Individual Local' AND segmento='ESTR' AND ambito='SRB_MBDT' AND entidade='00100')X INNER JOIN (SELECT a AS a_SIMUL, tipo_conta AS tipo_conta_SIMUL FROM BU_LOANTAPE_WORK.SIMUL_LT001 WHERE ref_date='${ref_date}' AND nome_perimetro='Individual Local' AND segmento='ESTR' AND ambito='PILAR3' AND entidade='00100')Y ON X.A=Y.A_SIMUL</v>
      </c>
      <c r="M24" s="36" t="str">
        <f t="shared" si="0"/>
        <v>UNION ALL SELECT 'UNIV_OPER' AS TABELA, 'COERÊNCIA' AS TIPOLOGIA_TESTE,'BU_LOANTAPE_WORK.LT001_UNIV_OPER' AS TABELA_LT,'BU_LOANTAPE_WORK.SIMUL_LT001' AS TABELA_SIMUL,'tipo_conta' AS CAMPO, '${ref_date}' AS REF_DATE, COUNT(*) AS NUM_REG, SUM(IF(COALESCE(CAST(X.tipo_conta AS STRING),'')&lt;&gt;COALESCE(CAST(Y.tipo_conta_SIMUL AS STRING),'') OR (X.tipo_conta IS NULL AND Y.tipo_conta_SIMUL IS NOT NULL ) OR (X.tipo_conta IS NOT NULL AND Y.tipo_conta_SIMUL IS NULL),1,0)) AS NUM_REG_DIF,'1' AS ID_EXEC, CURRENT_TIMESTAMP() AS TIME_EXEC FROM (SELECT a, tipo_conta FROM BU_LOANTAPE_WORK.LT001_UNIV_OPER WHERE ref_date='${ref_date}' AND nome_perimetro='Individual Local' AND segmento='ESTR' AND ambito='SRB_MBDT' AND entidade='00100')X INNER JOIN (SELECT a AS a_SIMUL, tipo_conta AS tipo_conta_SIMUL FROM BU_LOANTAPE_WORK.SIMUL_LT001 WHERE ref_date='${ref_date}' AND nome_perimetro='Individual Local' AND segmento='ESTR' AND ambito='PILAR3' AND entidade='00100')Y ON X.A=Y.A_SIMUL</v>
      </c>
      <c r="N24" s="38" t="s">
        <v>40</v>
      </c>
    </row>
    <row r="25" spans="1:14">
      <c r="A25" s="60" t="str">
        <f t="shared" si="1"/>
        <v>UNIV_OPERbruto_imparidade</v>
      </c>
      <c r="B25" s="34" t="s">
        <v>1092</v>
      </c>
      <c r="C25" s="34" t="s">
        <v>5</v>
      </c>
      <c r="D25" s="34" t="str">
        <f>+UPPER('0. Instruções'!$D$35&amp;"."&amp;VLOOKUP(B25,'0. Instruções'!$C$27:$D$32,2,FALSE))</f>
        <v>BU_LOANTAPE_WORK.LT001_UNIV_OPER</v>
      </c>
      <c r="E25" s="34" t="str">
        <f>+UPPER('0. Instruções'!$D$36&amp;"."&amp;VLOOKUP(B25,'0. Instruções'!$C$27:$E$32,3,FALSE))</f>
        <v>BU_LOANTAPE_WORK.SIMUL_LT001</v>
      </c>
      <c r="F25" s="34" t="s">
        <v>1109</v>
      </c>
      <c r="G25" s="34"/>
      <c r="H25" s="34"/>
      <c r="I25" s="34" t="str">
        <f>"(SELECT "&amp;VLOOKUP(B25,'0. Instruções'!$C$27:$G$32,4,FALSE)&amp;", "&amp;F25&amp;" FROM "&amp;D25&amp;" WHERE "&amp;'0. Instruções'!$D$42&amp;")X"</f>
        <v>(SELECT a, bruto_imparidade FROM BU_LOANTAPE_WORK.LT001_UNIV_OPER WHERE ref_date='${ref_date}' AND nome_perimetro='Individual Local' AND segmento='ESTR' AND ambito='SRB_MBDT' AND entidade='00100')X</v>
      </c>
      <c r="J25" s="34" t="str">
        <f>"(SELECT "&amp;VLOOKUP(B25,'0. Instruções'!$C$27:$G$32,4,FALSE)&amp;" AS "&amp;VLOOKUP(B25,'0. Instruções'!$C$27:$G$32,4,FALSE)&amp;"_SIMUL, "&amp;F25&amp;" AS "&amp;F25&amp;"_SIMUL FROM "&amp;E25&amp;" WHERE "&amp;'0. Instruções'!$D$43&amp;")Y"</f>
        <v>(SELECT a AS a_SIMUL, bruto_imparidade AS bruto_imparidade_SIMUL FROM BU_LOANTAPE_WORK.SIMUL_LT001 WHERE ref_date='${ref_date}' AND nome_perimetro='Individual Local' AND segmento='ESTR' AND ambito='PILAR3' AND entidade='00100')Y</v>
      </c>
      <c r="K25" s="35" t="str">
        <f>+UPPER("ON X."&amp;VLOOKUP(B25,'0. Instruções'!$C$27:$G$32,4,FALSE)&amp;"=Y."&amp;VLOOKUP(B25,'0. Instruções'!$C$27:$G$32,4,FALSE)&amp;"_SIMUL")</f>
        <v>ON X.A=Y.A_SIMUL</v>
      </c>
      <c r="L25" s="35" t="str">
        <f>+IF(C25="Coerência", +IF(LEFT(G25,5)="FLOAT","SELECT '"&amp;UPPER(B25)&amp;"' AS TABELA, '"&amp;UPPER(C25)&amp;"' AS TIPOLOGIA_TESTE,'"&amp;D25&amp;"' AS TABELA_LT,'"&amp;E25&amp;"' AS TABELA_SIMUL,'"&amp;F25&amp;"' AS CAMPO, "&amp;"'${ref_date}' AS REF_DATE, COUNT(*) AS NUM_REG, SUM(IF((ABS(COALESCE(CAST(X."&amp;F25&amp;" AS DECIMAL(18,6)),0)-COALESCE(CAST(Y."&amp;F25&amp;"_SIMUL AS DECIMAL(18,6)),0))&gt;0.000001) OR (X."&amp;F25&amp;" IS NULL AND Y."&amp;F25&amp;"_SIMUL IS NOT NULL ) OR (X."&amp;F25&amp;" IS NOT NULL AND Y."&amp;F25&amp;"_SIMUL IS NULL),1,0)) AS NUM_REG_DIF,'"&amp;MAX('ID1&amp;5'!K:K)+1&amp;"' AS ID_EXEC, CURRENT_TIMESTAMP() AS TIME_EXEC FROM "&amp;I25&amp;" INNER JOIN "&amp;J25&amp;" "&amp;K25,"SELECT '"&amp;UPPER(B25)&amp;"' AS TABELA, '"&amp;UPPER(C25)&amp;"' AS TIPOLOGIA_TESTE,'"&amp;D25&amp;"' AS TABELA_LT,'"&amp;E25&amp;"' AS TABELA_SIMUL,'"&amp;F25&amp;"' AS CAMPO, "&amp;"'${ref_date}' AS REF_DATE, COUNT(*) AS NUM_REG, SUM(IF(COALESCE(CAST(X."&amp;F25&amp;" AS STRING),'')&lt;&gt;COALESCE(CAST(Y."&amp;F25&amp;"_SIMUL AS STRING),'') OR (X."&amp;F25&amp;" IS NULL AND Y."&amp;F25&amp;"_SIMUL IS NOT NULL ) OR (X."&amp;F25&amp;" IS NOT NULL AND Y."&amp;F25&amp;"_SIMUL IS NULL),1,0)) AS NUM_REG_DIF,'"&amp;MAX('ID1&amp;5'!L:L)+1&amp;"' AS ID_EXEC, CURRENT_TIMESTAMP() AS TIME_EXEC FROM "&amp;I25&amp;" INNER JOIN "&amp;J25&amp;" "&amp;K25),
IF(C25="Validade",+IF(G25="Code List","SELECT '"&amp;UPPER(B25)&amp;"' AS TABELA, '"&amp;UPPER(C25)&amp;"' AS TIPOLOGIA_TESTE,'"&amp;D25&amp;"' AS TABELA_LT,'N/A' AS TABELA_SIMUL,'"&amp;F25&amp;"' AS CAMPO, "&amp;"'${ref_date}' AS REF_DATE, COUNT(*) AS NUM_REG, SUM(IF(TRIM(CAST(X."&amp;F25&amp;" AS STRING))='' OR TRIM(CAST(X."&amp;F25&amp;" AS STRING)) IS NULL OR CAST(X."&amp;F25&amp;" AS STRING) NOT "&amp;H25&amp;",1,0)) AS NUM_REG_DIF,'"&amp;MAX('ID1&amp;5'!K:K)+1&amp;"' AS ID_EXEC, CURRENT_TIMESTAMP() AS TIME_EXEC FROM "&amp;I25,"SELECT '"&amp;UPPER(B25)&amp;"' AS TABELA, '"&amp;UPPER(C25)&amp;"' AS TIPOLOGIA_TESTE,'"&amp;D25&amp;"' AS TABELA_LT,'N/A' AS TABELA_SIMUL,'"&amp;F25&amp;"' AS CAMPO, "&amp;"'${ref_date}' AS REF_DATE, COUNT(*) AS NUM_REG, SUM(IF(TRIM(CAST(X."&amp;F25&amp;" AS STRING))='' OR TRIM(CAST(X."&amp;F25&amp;" AS STRING)) IS NULL,1,0)) AS NUM_REG_DIF,'"&amp;MAX('ID1&amp;5'!K:K)+1&amp;"' AS ID_EXEC, CURRENT_TIMESTAMP() AS TIME_EXEC FROM "&amp;I25),
IF(C25="Caracteres Especiais",+"SELECT '"&amp;UPPER(B25)&amp;"' AS TABELA, '"&amp;UPPER(C25)&amp;"' AS TIPOLOGIA_TESTE,'"&amp;D25&amp;"' AS TABELA_LT,'N/A' AS TABELA_SIMUL,'"&amp;F25&amp;"' AS CAMPO, "&amp;"'${ref_date}' AS REF_DATE, COUNT(*) AS NUM_REG, SUM(IF(REGEXP_REPLACE(TRIM(CAST(X."&amp;F25&amp;" AS STRING)),'[^a-zA-Z0-9_\\s]','') &lt;&gt;TRIM(CAST(X."&amp;F25&amp;" AS STRING)),1,0)) AS NUM_REG_DIF,'"&amp;MAX('ID1&amp;5'!K:K)+1&amp;"' AS ID_EXEC, CURRENT_TIMESTAMP() AS TIME_EXEC FROM "&amp;I25,
IF(C25="Missings",+"SELECT '"&amp;UPPER(B25)&amp;"' AS TABELA, '"&amp;UPPER(C25)&amp;"' AS TIPOLOGIA_TESTE,'"&amp;D25&amp;"' AS TABELA_LT,'N/A' AS TABELA_SIMUL,'"&amp;F25&amp;"' AS CAMPO, "&amp;"'${ref_date}' AS REF_DATE, COUNT(*) AS NUM_REG, SUM(IF(TRIM(CAST(X."&amp;F25&amp;" AS STRING)) IN ('0000-00-00','0001-01-01','9999-12-31','MISS','00000','99999999999','99999999999.00','99999999999.000000'),1,0)) AS NUM_REG_DIF,'"&amp;MAX('ID1&amp;5'!K:K)+1&amp;"' AS ID_EXEC, CURRENT_TIMESTAMP() AS TIME_EXEC FROM "&amp;I25,
IF(C25="Not applicable",+"SELECT '"&amp;UPPER(B25)&amp;"' AS TABELA, '"&amp;UPPER(C25)&amp;"' AS TIPOLOGIA_TESTE,'"&amp;D25&amp;"' AS TABELA_LT,'N/A' AS TABELA_SIMUL,'"&amp;F25&amp;"' AS CAMPO, "&amp;"'${ref_date}' AS REF_DATE, COUNT(*) AS NUM_REG, SUM(IF(TRIM(CAST(X."&amp;F25&amp;" AS STRING)) IN ('N/A','11111111111','11111111111.00','11111111111.000000','1111-11-11'),1,0)) AS NUM_REG_DIF,'"&amp;MAX('ID1&amp;5'!K:K)+1&amp;"' AS ID_EXEC, CURRENT_TIMESTAMP() AS TIME_EXEC FROM "&amp;I25,
IF(C25="Valores extremos",+"SELECT '"&amp;UPPER(B25)&amp;"' AS TABELA, '"&amp;UPPER(C25)&amp;"' AS TIPOLOGIA_TESTE,'"&amp;D25&amp;"' AS TABELA_LT,'N/A' AS TABELA_SIMUL,'"&amp;F25&amp;"' AS CAMPO, "&amp;"'${ref_date}' AS REF_DATE, CAST(MIN("&amp;F25&amp;") AS STRING) AS VALOR_MIN, CAST(MAX("&amp;F25&amp;") AS STRING) AS VALOR_MAX,'"&amp;MAX('ID1&amp;5'!K:K)+1&amp;"' AS ID_EXEC, CURRENT_TIMESTAMP() AS TIME_EXEC FROM "&amp;MID(I25,1,LEN(I25)-2)&amp;" AND CAST("&amp;F25&amp;"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TABELA_SIMUL,'bruto_imparidade' AS CAMPO, '${ref_date}' AS REF_DATE, COUNT(*) AS NUM_REG, SUM(IF(COALESCE(CAST(X.bruto_imparidade AS STRING),'')&lt;&gt;COALESCE(CAST(Y.bruto_imparidade_SIMUL AS STRING),'') OR (X.bruto_imparidade IS NULL AND Y.bruto_imparidade_SIMUL IS NOT NULL ) OR (X.bruto_imparidade IS NOT NULL AND Y.bruto_imparidade_SIMUL IS NULL),1,0)) AS NUM_REG_DIF,'1' AS ID_EXEC, CURRENT_TIMESTAMP() AS TIME_EXEC FROM (SELECT a, bruto_imparidade FROM BU_LOANTAPE_WORK.LT001_UNIV_OPER WHERE ref_date='${ref_date}' AND nome_perimetro='Individual Local' AND segmento='ESTR' AND ambito='SRB_MBDT' AND entidade='00100')X INNER JOIN (SELECT a AS a_SIMUL, bruto_imparidade AS bruto_imparidade_SIMUL FROM BU_LOANTAPE_WORK.SIMUL_LT001 WHERE ref_date='${ref_date}' AND nome_perimetro='Individual Local' AND segmento='ESTR' AND ambito='PILAR3' AND entidade='00100')Y ON X.A=Y.A_SIMUL</v>
      </c>
      <c r="M25" s="36" t="str">
        <f t="shared" si="0"/>
        <v>UNION ALL SELECT 'UNIV_OPER' AS TABELA, 'COERÊNCIA' AS TIPOLOGIA_TESTE,'BU_LOANTAPE_WORK.LT001_UNIV_OPER' AS TABELA_LT,'BU_LOANTAPE_WORK.SIMUL_LT001' AS TABELA_SIMUL,'bruto_imparidade' AS CAMPO, '${ref_date}' AS REF_DATE, COUNT(*) AS NUM_REG, SUM(IF(COALESCE(CAST(X.bruto_imparidade AS STRING),'')&lt;&gt;COALESCE(CAST(Y.bruto_imparidade_SIMUL AS STRING),'') OR (X.bruto_imparidade IS NULL AND Y.bruto_imparidade_SIMUL IS NOT NULL ) OR (X.bruto_imparidade IS NOT NULL AND Y.bruto_imparidade_SIMUL IS NULL),1,0)) AS NUM_REG_DIF,'1' AS ID_EXEC, CURRENT_TIMESTAMP() AS TIME_EXEC FROM (SELECT a, bruto_imparidade FROM BU_LOANTAPE_WORK.LT001_UNIV_OPER WHERE ref_date='${ref_date}' AND nome_perimetro='Individual Local' AND segmento='ESTR' AND ambito='SRB_MBDT' AND entidade='00100')X INNER JOIN (SELECT a AS a_SIMUL, bruto_imparidade AS bruto_imparidade_SIMUL FROM BU_LOANTAPE_WORK.SIMUL_LT001 WHERE ref_date='${ref_date}' AND nome_perimetro='Individual Local' AND segmento='ESTR' AND ambito='PILAR3' AND entidade='00100')Y ON X.A=Y.A_SIMUL</v>
      </c>
      <c r="N25" s="38" t="s">
        <v>40</v>
      </c>
    </row>
    <row r="26" spans="1:14">
      <c r="A26" s="60" t="str">
        <f t="shared" si="1"/>
        <v>UNIV_OPERcomposicao_valor</v>
      </c>
      <c r="B26" s="34" t="s">
        <v>1092</v>
      </c>
      <c r="C26" s="34" t="s">
        <v>5</v>
      </c>
      <c r="D26" s="34" t="str">
        <f>+UPPER('0. Instruções'!$D$35&amp;"."&amp;VLOOKUP(B26,'0. Instruções'!$C$27:$D$32,2,FALSE))</f>
        <v>BU_LOANTAPE_WORK.LT001_UNIV_OPER</v>
      </c>
      <c r="E26" s="34" t="str">
        <f>+UPPER('0. Instruções'!$D$36&amp;"."&amp;VLOOKUP(B26,'0. Instruções'!$C$27:$E$32,3,FALSE))</f>
        <v>BU_LOANTAPE_WORK.SIMUL_LT001</v>
      </c>
      <c r="F26" s="34" t="s">
        <v>1110</v>
      </c>
      <c r="G26" s="34"/>
      <c r="H26" s="34"/>
      <c r="I26" s="34" t="str">
        <f>"(SELECT "&amp;VLOOKUP(B26,'0. Instruções'!$C$27:$G$32,4,FALSE)&amp;", "&amp;F26&amp;" FROM "&amp;D26&amp;" WHERE "&amp;'0. Instruções'!$D$42&amp;")X"</f>
        <v>(SELECT a, composicao_valor FROM BU_LOANTAPE_WORK.LT001_UNIV_OPER WHERE ref_date='${ref_date}' AND nome_perimetro='Individual Local' AND segmento='ESTR' AND ambito='SRB_MBDT' AND entidade='00100')X</v>
      </c>
      <c r="J26" s="34" t="str">
        <f>"(SELECT "&amp;VLOOKUP(B26,'0. Instruções'!$C$27:$G$32,4,FALSE)&amp;" AS "&amp;VLOOKUP(B26,'0. Instruções'!$C$27:$G$32,4,FALSE)&amp;"_SIMUL, "&amp;F26&amp;" AS "&amp;F26&amp;"_SIMUL FROM "&amp;E26&amp;" WHERE "&amp;'0. Instruções'!$D$43&amp;")Y"</f>
        <v>(SELECT a AS a_SIMUL, composicao_valor AS composicao_valor_SIMUL FROM BU_LOANTAPE_WORK.SIMUL_LT001 WHERE ref_date='${ref_date}' AND nome_perimetro='Individual Local' AND segmento='ESTR' AND ambito='PILAR3' AND entidade='00100')Y</v>
      </c>
      <c r="K26" s="35" t="str">
        <f>+UPPER("ON X."&amp;VLOOKUP(B26,'0. Instruções'!$C$27:$G$32,4,FALSE)&amp;"=Y."&amp;VLOOKUP(B26,'0. Instruções'!$C$27:$G$32,4,FALSE)&amp;"_SIMUL")</f>
        <v>ON X.A=Y.A_SIMUL</v>
      </c>
      <c r="L26" s="35" t="str">
        <f>+IF(C26="Coerência", +IF(LEFT(G26,5)="FLOAT","SELECT '"&amp;UPPER(B26)&amp;"' AS TABELA, '"&amp;UPPER(C26)&amp;"' AS TIPOLOGIA_TESTE,'"&amp;D26&amp;"' AS TABELA_LT,'"&amp;E26&amp;"' AS TABELA_SIMUL,'"&amp;F26&amp;"' AS CAMPO, "&amp;"'${ref_date}' AS REF_DATE, COUNT(*) AS NUM_REG, SUM(IF((ABS(COALESCE(CAST(X."&amp;F26&amp;" AS DECIMAL(18,6)),0)-COALESCE(CAST(Y."&amp;F26&amp;"_SIMUL AS DECIMAL(18,6)),0))&gt;0.000001) OR (X."&amp;F26&amp;" IS NULL AND Y."&amp;F26&amp;"_SIMUL IS NOT NULL ) OR (X."&amp;F26&amp;" IS NOT NULL AND Y."&amp;F26&amp;"_SIMUL IS NULL),1,0)) AS NUM_REG_DIF,'"&amp;MAX('ID1&amp;5'!K:K)+1&amp;"' AS ID_EXEC, CURRENT_TIMESTAMP() AS TIME_EXEC FROM "&amp;I26&amp;" INNER JOIN "&amp;J26&amp;" "&amp;K26,"SELECT '"&amp;UPPER(B26)&amp;"' AS TABELA, '"&amp;UPPER(C26)&amp;"' AS TIPOLOGIA_TESTE,'"&amp;D26&amp;"' AS TABELA_LT,'"&amp;E26&amp;"' AS TABELA_SIMUL,'"&amp;F26&amp;"' AS CAMPO, "&amp;"'${ref_date}' AS REF_DATE, COUNT(*) AS NUM_REG, SUM(IF(COALESCE(CAST(X."&amp;F26&amp;" AS STRING),'')&lt;&gt;COALESCE(CAST(Y."&amp;F26&amp;"_SIMUL AS STRING),'') OR (X."&amp;F26&amp;" IS NULL AND Y."&amp;F26&amp;"_SIMUL IS NOT NULL ) OR (X."&amp;F26&amp;" IS NOT NULL AND Y."&amp;F26&amp;"_SIMUL IS NULL),1,0)) AS NUM_REG_DIF,'"&amp;MAX('ID1&amp;5'!L:L)+1&amp;"' AS ID_EXEC, CURRENT_TIMESTAMP() AS TIME_EXEC FROM "&amp;I26&amp;" INNER JOIN "&amp;J26&amp;" "&amp;K26),
IF(C26="Validade",+IF(G26="Code List","SELECT '"&amp;UPPER(B26)&amp;"' AS TABELA, '"&amp;UPPER(C26)&amp;"' AS TIPOLOGIA_TESTE,'"&amp;D26&amp;"' AS TABELA_LT,'N/A' AS TABELA_SIMUL,'"&amp;F26&amp;"' AS CAMPO, "&amp;"'${ref_date}' AS REF_DATE, COUNT(*) AS NUM_REG, SUM(IF(TRIM(CAST(X."&amp;F26&amp;" AS STRING))='' OR TRIM(CAST(X."&amp;F26&amp;" AS STRING)) IS NULL OR CAST(X."&amp;F26&amp;" AS STRING) NOT "&amp;H26&amp;",1,0)) AS NUM_REG_DIF,'"&amp;MAX('ID1&amp;5'!K:K)+1&amp;"' AS ID_EXEC, CURRENT_TIMESTAMP() AS TIME_EXEC FROM "&amp;I26,"SELECT '"&amp;UPPER(B26)&amp;"' AS TABELA, '"&amp;UPPER(C26)&amp;"' AS TIPOLOGIA_TESTE,'"&amp;D26&amp;"' AS TABELA_LT,'N/A' AS TABELA_SIMUL,'"&amp;F26&amp;"' AS CAMPO, "&amp;"'${ref_date}' AS REF_DATE, COUNT(*) AS NUM_REG, SUM(IF(TRIM(CAST(X."&amp;F26&amp;" AS STRING))='' OR TRIM(CAST(X."&amp;F26&amp;" AS STRING)) IS NULL,1,0)) AS NUM_REG_DIF,'"&amp;MAX('ID1&amp;5'!K:K)+1&amp;"' AS ID_EXEC, CURRENT_TIMESTAMP() AS TIME_EXEC FROM "&amp;I26),
IF(C26="Caracteres Especiais",+"SELECT '"&amp;UPPER(B26)&amp;"' AS TABELA, '"&amp;UPPER(C26)&amp;"' AS TIPOLOGIA_TESTE,'"&amp;D26&amp;"' AS TABELA_LT,'N/A' AS TABELA_SIMUL,'"&amp;F26&amp;"' AS CAMPO, "&amp;"'${ref_date}' AS REF_DATE, COUNT(*) AS NUM_REG, SUM(IF(REGEXP_REPLACE(TRIM(CAST(X."&amp;F26&amp;" AS STRING)),'[^a-zA-Z0-9_\\s]','') &lt;&gt;TRIM(CAST(X."&amp;F26&amp;" AS STRING)),1,0)) AS NUM_REG_DIF,'"&amp;MAX('ID1&amp;5'!K:K)+1&amp;"' AS ID_EXEC, CURRENT_TIMESTAMP() AS TIME_EXEC FROM "&amp;I26,
IF(C26="Missings",+"SELECT '"&amp;UPPER(B26)&amp;"' AS TABELA, '"&amp;UPPER(C26)&amp;"' AS TIPOLOGIA_TESTE,'"&amp;D26&amp;"' AS TABELA_LT,'N/A' AS TABELA_SIMUL,'"&amp;F26&amp;"' AS CAMPO, "&amp;"'${ref_date}' AS REF_DATE, COUNT(*) AS NUM_REG, SUM(IF(TRIM(CAST(X."&amp;F26&amp;" AS STRING)) IN ('0000-00-00','0001-01-01','9999-12-31','MISS','00000','99999999999','99999999999.00','99999999999.000000'),1,0)) AS NUM_REG_DIF,'"&amp;MAX('ID1&amp;5'!K:K)+1&amp;"' AS ID_EXEC, CURRENT_TIMESTAMP() AS TIME_EXEC FROM "&amp;I26,
IF(C26="Not applicable",+"SELECT '"&amp;UPPER(B26)&amp;"' AS TABELA, '"&amp;UPPER(C26)&amp;"' AS TIPOLOGIA_TESTE,'"&amp;D26&amp;"' AS TABELA_LT,'N/A' AS TABELA_SIMUL,'"&amp;F26&amp;"' AS CAMPO, "&amp;"'${ref_date}' AS REF_DATE, COUNT(*) AS NUM_REG, SUM(IF(TRIM(CAST(X."&amp;F26&amp;" AS STRING)) IN ('N/A','11111111111','11111111111.00','11111111111.000000','1111-11-11'),1,0)) AS NUM_REG_DIF,'"&amp;MAX('ID1&amp;5'!K:K)+1&amp;"' AS ID_EXEC, CURRENT_TIMESTAMP() AS TIME_EXEC FROM "&amp;I26,
IF(C26="Valores extremos",+"SELECT '"&amp;UPPER(B26)&amp;"' AS TABELA, '"&amp;UPPER(C26)&amp;"' AS TIPOLOGIA_TESTE,'"&amp;D26&amp;"' AS TABELA_LT,'N/A' AS TABELA_SIMUL,'"&amp;F26&amp;"' AS CAMPO, "&amp;"'${ref_date}' AS REF_DATE, CAST(MIN("&amp;F26&amp;") AS STRING) AS VALOR_MIN, CAST(MAX("&amp;F26&amp;") AS STRING) AS VALOR_MAX,'"&amp;MAX('ID1&amp;5'!K:K)+1&amp;"' AS ID_EXEC, CURRENT_TIMESTAMP() AS TIME_EXEC FROM "&amp;MID(I26,1,LEN(I26)-2)&amp;" AND CAST("&amp;F26&amp;"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TABELA_SIMUL,'composicao_valor' AS CAMPO, '${ref_date}' AS REF_DATE, COUNT(*) AS NUM_REG, SUM(IF(COALESCE(CAST(X.composicao_valor AS STRING),'')&lt;&gt;COALESCE(CAST(Y.composicao_valor_SIMUL AS STRING),'') OR (X.composicao_valor IS NULL AND Y.composicao_valor_SIMUL IS NOT NULL ) OR (X.composicao_valor IS NOT NULL AND Y.composicao_valor_SIMUL IS NULL),1,0)) AS NUM_REG_DIF,'1' AS ID_EXEC, CURRENT_TIMESTAMP() AS TIME_EXEC FROM (SELECT a, composicao_valor FROM BU_LOANTAPE_WORK.LT001_UNIV_OPER WHERE ref_date='${ref_date}' AND nome_perimetro='Individual Local' AND segmento='ESTR' AND ambito='SRB_MBDT' AND entidade='00100')X INNER JOIN (SELECT a AS a_SIMUL, composicao_valor AS composicao_valor_SIMUL FROM BU_LOANTAPE_WORK.SIMUL_LT001 WHERE ref_date='${ref_date}' AND nome_perimetro='Individual Local' AND segmento='ESTR' AND ambito='PILAR3' AND entidade='00100')Y ON X.A=Y.A_SIMUL</v>
      </c>
      <c r="M26" s="36" t="str">
        <f t="shared" si="0"/>
        <v>UNION ALL SELECT 'UNIV_OPER' AS TABELA, 'COERÊNCIA' AS TIPOLOGIA_TESTE,'BU_LOANTAPE_WORK.LT001_UNIV_OPER' AS TABELA_LT,'BU_LOANTAPE_WORK.SIMUL_LT001' AS TABELA_SIMUL,'composicao_valor' AS CAMPO, '${ref_date}' AS REF_DATE, COUNT(*) AS NUM_REG, SUM(IF(COALESCE(CAST(X.composicao_valor AS STRING),'')&lt;&gt;COALESCE(CAST(Y.composicao_valor_SIMUL AS STRING),'') OR (X.composicao_valor IS NULL AND Y.composicao_valor_SIMUL IS NOT NULL ) OR (X.composicao_valor IS NOT NULL AND Y.composicao_valor_SIMUL IS NULL),1,0)) AS NUM_REG_DIF,'1' AS ID_EXEC, CURRENT_TIMESTAMP() AS TIME_EXEC FROM (SELECT a, composicao_valor FROM BU_LOANTAPE_WORK.LT001_UNIV_OPER WHERE ref_date='${ref_date}' AND nome_perimetro='Individual Local' AND segmento='ESTR' AND ambito='SRB_MBDT' AND entidade='00100')X INNER JOIN (SELECT a AS a_SIMUL, composicao_valor AS composicao_valor_SIMUL FROM BU_LOANTAPE_WORK.SIMUL_LT001 WHERE ref_date='${ref_date}' AND nome_perimetro='Individual Local' AND segmento='ESTR' AND ambito='PILAR3' AND entidade='00100')Y ON X.A=Y.A_SIMUL</v>
      </c>
      <c r="N26" s="38" t="s">
        <v>40</v>
      </c>
    </row>
    <row r="27" spans="1:14">
      <c r="A27" s="60" t="str">
        <f t="shared" si="1"/>
        <v>UNIV_OPERcolateral</v>
      </c>
      <c r="B27" s="34" t="s">
        <v>1092</v>
      </c>
      <c r="C27" s="34" t="s">
        <v>5</v>
      </c>
      <c r="D27" s="34" t="str">
        <f>+UPPER('0. Instruções'!$D$35&amp;"."&amp;VLOOKUP(B27,'0. Instruções'!$C$27:$D$32,2,FALSE))</f>
        <v>BU_LOANTAPE_WORK.LT001_UNIV_OPER</v>
      </c>
      <c r="E27" s="34" t="str">
        <f>+UPPER('0. Instruções'!$D$36&amp;"."&amp;VLOOKUP(B27,'0. Instruções'!$C$27:$E$32,3,FALSE))</f>
        <v>BU_LOANTAPE_WORK.SIMUL_LT001</v>
      </c>
      <c r="F27" s="34" t="s">
        <v>1111</v>
      </c>
      <c r="G27" s="34"/>
      <c r="H27" s="34"/>
      <c r="I27" s="34" t="str">
        <f>"(SELECT "&amp;VLOOKUP(B27,'0. Instruções'!$C$27:$G$32,4,FALSE)&amp;", "&amp;F27&amp;" FROM "&amp;D27&amp;" WHERE "&amp;'0. Instruções'!$D$42&amp;")X"</f>
        <v>(SELECT a, colateral FROM BU_LOANTAPE_WORK.LT001_UNIV_OPER WHERE ref_date='${ref_date}' AND nome_perimetro='Individual Local' AND segmento='ESTR' AND ambito='SRB_MBDT' AND entidade='00100')X</v>
      </c>
      <c r="J27" s="34" t="str">
        <f>"(SELECT "&amp;VLOOKUP(B27,'0. Instruções'!$C$27:$G$32,4,FALSE)&amp;" AS "&amp;VLOOKUP(B27,'0. Instruções'!$C$27:$G$32,4,FALSE)&amp;"_SIMUL, "&amp;F27&amp;" AS "&amp;F27&amp;"_SIMUL FROM "&amp;E27&amp;" WHERE "&amp;'0. Instruções'!$D$43&amp;")Y"</f>
        <v>(SELECT a AS a_SIMUL, colateral AS colateral_SIMUL FROM BU_LOANTAPE_WORK.SIMUL_LT001 WHERE ref_date='${ref_date}' AND nome_perimetro='Individual Local' AND segmento='ESTR' AND ambito='PILAR3' AND entidade='00100')Y</v>
      </c>
      <c r="K27" s="35" t="str">
        <f>+UPPER("ON X."&amp;VLOOKUP(B27,'0. Instruções'!$C$27:$G$32,4,FALSE)&amp;"=Y."&amp;VLOOKUP(B27,'0. Instruções'!$C$27:$G$32,4,FALSE)&amp;"_SIMUL")</f>
        <v>ON X.A=Y.A_SIMUL</v>
      </c>
      <c r="L27" s="35" t="str">
        <f>+IF(C27="Coerência", +IF(LEFT(G27,5)="FLOAT","SELECT '"&amp;UPPER(B27)&amp;"' AS TABELA, '"&amp;UPPER(C27)&amp;"' AS TIPOLOGIA_TESTE,'"&amp;D27&amp;"' AS TABELA_LT,'"&amp;E27&amp;"' AS TABELA_SIMUL,'"&amp;F27&amp;"' AS CAMPO, "&amp;"'${ref_date}' AS REF_DATE, COUNT(*) AS NUM_REG, SUM(IF((ABS(COALESCE(CAST(X."&amp;F27&amp;" AS DECIMAL(18,6)),0)-COALESCE(CAST(Y."&amp;F27&amp;"_SIMUL AS DECIMAL(18,6)),0))&gt;0.000001) OR (X."&amp;F27&amp;" IS NULL AND Y."&amp;F27&amp;"_SIMUL IS NOT NULL ) OR (X."&amp;F27&amp;" IS NOT NULL AND Y."&amp;F27&amp;"_SIMUL IS NULL),1,0)) AS NUM_REG_DIF,'"&amp;MAX('ID1&amp;5'!K:K)+1&amp;"' AS ID_EXEC, CURRENT_TIMESTAMP() AS TIME_EXEC FROM "&amp;I27&amp;" INNER JOIN "&amp;J27&amp;" "&amp;K27,"SELECT '"&amp;UPPER(B27)&amp;"' AS TABELA, '"&amp;UPPER(C27)&amp;"' AS TIPOLOGIA_TESTE,'"&amp;D27&amp;"' AS TABELA_LT,'"&amp;E27&amp;"' AS TABELA_SIMUL,'"&amp;F27&amp;"' AS CAMPO, "&amp;"'${ref_date}' AS REF_DATE, COUNT(*) AS NUM_REG, SUM(IF(COALESCE(CAST(X."&amp;F27&amp;" AS STRING),'')&lt;&gt;COALESCE(CAST(Y."&amp;F27&amp;"_SIMUL AS STRING),'') OR (X."&amp;F27&amp;" IS NULL AND Y."&amp;F27&amp;"_SIMUL IS NOT NULL ) OR (X."&amp;F27&amp;" IS NOT NULL AND Y."&amp;F27&amp;"_SIMUL IS NULL),1,0)) AS NUM_REG_DIF,'"&amp;MAX('ID1&amp;5'!L:L)+1&amp;"' AS ID_EXEC, CURRENT_TIMESTAMP() AS TIME_EXEC FROM "&amp;I27&amp;" INNER JOIN "&amp;J27&amp;" "&amp;K27),
IF(C27="Validade",+IF(G27="Code List","SELECT '"&amp;UPPER(B27)&amp;"' AS TABELA, '"&amp;UPPER(C27)&amp;"' AS TIPOLOGIA_TESTE,'"&amp;D27&amp;"' AS TABELA_LT,'N/A' AS TABELA_SIMUL,'"&amp;F27&amp;"' AS CAMPO, "&amp;"'${ref_date}' AS REF_DATE, COUNT(*) AS NUM_REG, SUM(IF(TRIM(CAST(X."&amp;F27&amp;" AS STRING))='' OR TRIM(CAST(X."&amp;F27&amp;" AS STRING)) IS NULL OR CAST(X."&amp;F27&amp;" AS STRING) NOT "&amp;H27&amp;",1,0)) AS NUM_REG_DIF,'"&amp;MAX('ID1&amp;5'!K:K)+1&amp;"' AS ID_EXEC, CURRENT_TIMESTAMP() AS TIME_EXEC FROM "&amp;I27,"SELECT '"&amp;UPPER(B27)&amp;"' AS TABELA, '"&amp;UPPER(C27)&amp;"' AS TIPOLOGIA_TESTE,'"&amp;D27&amp;"' AS TABELA_LT,'N/A' AS TABELA_SIMUL,'"&amp;F27&amp;"' AS CAMPO, "&amp;"'${ref_date}' AS REF_DATE, COUNT(*) AS NUM_REG, SUM(IF(TRIM(CAST(X."&amp;F27&amp;" AS STRING))='' OR TRIM(CAST(X."&amp;F27&amp;" AS STRING)) IS NULL,1,0)) AS NUM_REG_DIF,'"&amp;MAX('ID1&amp;5'!K:K)+1&amp;"' AS ID_EXEC, CURRENT_TIMESTAMP() AS TIME_EXEC FROM "&amp;I27),
IF(C27="Caracteres Especiais",+"SELECT '"&amp;UPPER(B27)&amp;"' AS TABELA, '"&amp;UPPER(C27)&amp;"' AS TIPOLOGIA_TESTE,'"&amp;D27&amp;"' AS TABELA_LT,'N/A' AS TABELA_SIMUL,'"&amp;F27&amp;"' AS CAMPO, "&amp;"'${ref_date}' AS REF_DATE, COUNT(*) AS NUM_REG, SUM(IF(REGEXP_REPLACE(TRIM(CAST(X."&amp;F27&amp;" AS STRING)),'[^a-zA-Z0-9_\\s]','') &lt;&gt;TRIM(CAST(X."&amp;F27&amp;" AS STRING)),1,0)) AS NUM_REG_DIF,'"&amp;MAX('ID1&amp;5'!K:K)+1&amp;"' AS ID_EXEC, CURRENT_TIMESTAMP() AS TIME_EXEC FROM "&amp;I27,
IF(C27="Missings",+"SELECT '"&amp;UPPER(B27)&amp;"' AS TABELA, '"&amp;UPPER(C27)&amp;"' AS TIPOLOGIA_TESTE,'"&amp;D27&amp;"' AS TABELA_LT,'N/A' AS TABELA_SIMUL,'"&amp;F27&amp;"' AS CAMPO, "&amp;"'${ref_date}' AS REF_DATE, COUNT(*) AS NUM_REG, SUM(IF(TRIM(CAST(X."&amp;F27&amp;" AS STRING)) IN ('0000-00-00','0001-01-01','9999-12-31','MISS','00000','99999999999','99999999999.00','99999999999.000000'),1,0)) AS NUM_REG_DIF,'"&amp;MAX('ID1&amp;5'!K:K)+1&amp;"' AS ID_EXEC, CURRENT_TIMESTAMP() AS TIME_EXEC FROM "&amp;I27,
IF(C27="Not applicable",+"SELECT '"&amp;UPPER(B27)&amp;"' AS TABELA, '"&amp;UPPER(C27)&amp;"' AS TIPOLOGIA_TESTE,'"&amp;D27&amp;"' AS TABELA_LT,'N/A' AS TABELA_SIMUL,'"&amp;F27&amp;"' AS CAMPO, "&amp;"'${ref_date}' AS REF_DATE, COUNT(*) AS NUM_REG, SUM(IF(TRIM(CAST(X."&amp;F27&amp;" AS STRING)) IN ('N/A','11111111111','11111111111.00','11111111111.000000','1111-11-11'),1,0)) AS NUM_REG_DIF,'"&amp;MAX('ID1&amp;5'!K:K)+1&amp;"' AS ID_EXEC, CURRENT_TIMESTAMP() AS TIME_EXEC FROM "&amp;I27,
IF(C27="Valores extremos",+"SELECT '"&amp;UPPER(B27)&amp;"' AS TABELA, '"&amp;UPPER(C27)&amp;"' AS TIPOLOGIA_TESTE,'"&amp;D27&amp;"' AS TABELA_LT,'N/A' AS TABELA_SIMUL,'"&amp;F27&amp;"' AS CAMPO, "&amp;"'${ref_date}' AS REF_DATE, CAST(MIN("&amp;F27&amp;") AS STRING) AS VALOR_MIN, CAST(MAX("&amp;F27&amp;") AS STRING) AS VALOR_MAX,'"&amp;MAX('ID1&amp;5'!K:K)+1&amp;"' AS ID_EXEC, CURRENT_TIMESTAMP() AS TIME_EXEC FROM "&amp;MID(I27,1,LEN(I27)-2)&amp;" AND CAST("&amp;F27&amp;"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TABELA_SIMUL,'colateral' AS CAMPO, '${ref_date}' AS REF_DATE, COUNT(*) AS NUM_REG, SUM(IF(COALESCE(CAST(X.colateral AS STRING),'')&lt;&gt;COALESCE(CAST(Y.colateral_SIMUL AS STRING),'') OR (X.colateral IS NULL AND Y.colateral_SIMUL IS NOT NULL ) OR (X.colateral IS NOT NULL AND Y.colateral_SIMUL IS NULL),1,0)) AS NUM_REG_DIF,'1' AS ID_EXEC, CURRENT_TIMESTAMP() AS TIME_EXEC FROM (SELECT a, colateral FROM BU_LOANTAPE_WORK.LT001_UNIV_OPER WHERE ref_date='${ref_date}' AND nome_perimetro='Individual Local' AND segmento='ESTR' AND ambito='SRB_MBDT' AND entidade='00100')X INNER JOIN (SELECT a AS a_SIMUL, colateral AS colateral_SIMUL FROM BU_LOANTAPE_WORK.SIMUL_LT001 WHERE ref_date='${ref_date}' AND nome_perimetro='Individual Local' AND segmento='ESTR' AND ambito='PILAR3' AND entidade='00100')Y ON X.A=Y.A_SIMUL</v>
      </c>
      <c r="M27" s="36" t="str">
        <f t="shared" si="0"/>
        <v>UNION ALL SELECT 'UNIV_OPER' AS TABELA, 'COERÊNCIA' AS TIPOLOGIA_TESTE,'BU_LOANTAPE_WORK.LT001_UNIV_OPER' AS TABELA_LT,'BU_LOANTAPE_WORK.SIMUL_LT001' AS TABELA_SIMUL,'colateral' AS CAMPO, '${ref_date}' AS REF_DATE, COUNT(*) AS NUM_REG, SUM(IF(COALESCE(CAST(X.colateral AS STRING),'')&lt;&gt;COALESCE(CAST(Y.colateral_SIMUL AS STRING),'') OR (X.colateral IS NULL AND Y.colateral_SIMUL IS NOT NULL ) OR (X.colateral IS NOT NULL AND Y.colateral_SIMUL IS NULL),1,0)) AS NUM_REG_DIF,'1' AS ID_EXEC, CURRENT_TIMESTAMP() AS TIME_EXEC FROM (SELECT a, colateral FROM BU_LOANTAPE_WORK.LT001_UNIV_OPER WHERE ref_date='${ref_date}' AND nome_perimetro='Individual Local' AND segmento='ESTR' AND ambito='SRB_MBDT' AND entidade='00100')X INNER JOIN (SELECT a AS a_SIMUL, colateral AS colateral_SIMUL FROM BU_LOANTAPE_WORK.SIMUL_LT001 WHERE ref_date='${ref_date}' AND nome_perimetro='Individual Local' AND segmento='ESTR' AND ambito='PILAR3' AND entidade='00100')Y ON X.A=Y.A_SIMUL</v>
      </c>
      <c r="N27" s="38" t="s">
        <v>40</v>
      </c>
    </row>
    <row r="28" spans="1:14">
      <c r="A28" s="60" t="str">
        <f t="shared" si="1"/>
        <v>UNIV_OPERflag_poci</v>
      </c>
      <c r="B28" s="34" t="s">
        <v>1092</v>
      </c>
      <c r="C28" s="34" t="s">
        <v>5</v>
      </c>
      <c r="D28" s="34" t="str">
        <f>+UPPER('0. Instruções'!$D$35&amp;"."&amp;VLOOKUP(B28,'0. Instruções'!$C$27:$D$32,2,FALSE))</f>
        <v>BU_LOANTAPE_WORK.LT001_UNIV_OPER</v>
      </c>
      <c r="E28" s="34" t="str">
        <f>+UPPER('0. Instruções'!$D$36&amp;"."&amp;VLOOKUP(B28,'0. Instruções'!$C$27:$E$32,3,FALSE))</f>
        <v>BU_LOANTAPE_WORK.SIMUL_LT001</v>
      </c>
      <c r="F28" s="34" t="s">
        <v>1112</v>
      </c>
      <c r="G28" s="34"/>
      <c r="H28" s="34"/>
      <c r="I28" s="34" t="str">
        <f>"(SELECT "&amp;VLOOKUP(B28,'0. Instruções'!$C$27:$G$32,4,FALSE)&amp;", "&amp;F28&amp;" FROM "&amp;D28&amp;" WHERE "&amp;'0. Instruções'!$D$42&amp;")X"</f>
        <v>(SELECT a, flag_poci FROM BU_LOANTAPE_WORK.LT001_UNIV_OPER WHERE ref_date='${ref_date}' AND nome_perimetro='Individual Local' AND segmento='ESTR' AND ambito='SRB_MBDT' AND entidade='00100')X</v>
      </c>
      <c r="J28" s="34" t="str">
        <f>"(SELECT "&amp;VLOOKUP(B28,'0. Instruções'!$C$27:$G$32,4,FALSE)&amp;" AS "&amp;VLOOKUP(B28,'0. Instruções'!$C$27:$G$32,4,FALSE)&amp;"_SIMUL, "&amp;F28&amp;" AS "&amp;F28&amp;"_SIMUL FROM "&amp;E28&amp;" WHERE "&amp;'0. Instruções'!$D$43&amp;")Y"</f>
        <v>(SELECT a AS a_SIMUL, flag_poci AS flag_poci_SIMUL FROM BU_LOANTAPE_WORK.SIMUL_LT001 WHERE ref_date='${ref_date}' AND nome_perimetro='Individual Local' AND segmento='ESTR' AND ambito='PILAR3' AND entidade='00100')Y</v>
      </c>
      <c r="K28" s="35" t="str">
        <f>+UPPER("ON X."&amp;VLOOKUP(B28,'0. Instruções'!$C$27:$G$32,4,FALSE)&amp;"=Y."&amp;VLOOKUP(B28,'0. Instruções'!$C$27:$G$32,4,FALSE)&amp;"_SIMUL")</f>
        <v>ON X.A=Y.A_SIMUL</v>
      </c>
      <c r="L28" s="35" t="str">
        <f>+IF(C28="Coerência", +IF(LEFT(G28,5)="FLOAT","SELECT '"&amp;UPPER(B28)&amp;"' AS TABELA, '"&amp;UPPER(C28)&amp;"' AS TIPOLOGIA_TESTE,'"&amp;D28&amp;"' AS TABELA_LT,'"&amp;E28&amp;"' AS TABELA_SIMUL,'"&amp;F28&amp;"' AS CAMPO, "&amp;"'${ref_date}' AS REF_DATE, COUNT(*) AS NUM_REG, SUM(IF((ABS(COALESCE(CAST(X."&amp;F28&amp;" AS DECIMAL(18,6)),0)-COALESCE(CAST(Y."&amp;F28&amp;"_SIMUL AS DECIMAL(18,6)),0))&gt;0.000001) OR (X."&amp;F28&amp;" IS NULL AND Y."&amp;F28&amp;"_SIMUL IS NOT NULL ) OR (X."&amp;F28&amp;" IS NOT NULL AND Y."&amp;F28&amp;"_SIMUL IS NULL),1,0)) AS NUM_REG_DIF,'"&amp;MAX('ID1&amp;5'!K:K)+1&amp;"' AS ID_EXEC, CURRENT_TIMESTAMP() AS TIME_EXEC FROM "&amp;I28&amp;" INNER JOIN "&amp;J28&amp;" "&amp;K28,"SELECT '"&amp;UPPER(B28)&amp;"' AS TABELA, '"&amp;UPPER(C28)&amp;"' AS TIPOLOGIA_TESTE,'"&amp;D28&amp;"' AS TABELA_LT,'"&amp;E28&amp;"' AS TABELA_SIMUL,'"&amp;F28&amp;"' AS CAMPO, "&amp;"'${ref_date}' AS REF_DATE, COUNT(*) AS NUM_REG, SUM(IF(COALESCE(CAST(X."&amp;F28&amp;" AS STRING),'')&lt;&gt;COALESCE(CAST(Y."&amp;F28&amp;"_SIMUL AS STRING),'') OR (X."&amp;F28&amp;" IS NULL AND Y."&amp;F28&amp;"_SIMUL IS NOT NULL ) OR (X."&amp;F28&amp;" IS NOT NULL AND Y."&amp;F28&amp;"_SIMUL IS NULL),1,0)) AS NUM_REG_DIF,'"&amp;MAX('ID1&amp;5'!L:L)+1&amp;"' AS ID_EXEC, CURRENT_TIMESTAMP() AS TIME_EXEC FROM "&amp;I28&amp;" INNER JOIN "&amp;J28&amp;" "&amp;K28),
IF(C28="Validade",+IF(G28="Code List","SELECT '"&amp;UPPER(B28)&amp;"' AS TABELA, '"&amp;UPPER(C28)&amp;"' AS TIPOLOGIA_TESTE,'"&amp;D28&amp;"' AS TABELA_LT,'N/A' AS TABELA_SIMUL,'"&amp;F28&amp;"' AS CAMPO, "&amp;"'${ref_date}' AS REF_DATE, COUNT(*) AS NUM_REG, SUM(IF(TRIM(CAST(X."&amp;F28&amp;" AS STRING))='' OR TRIM(CAST(X."&amp;F28&amp;" AS STRING)) IS NULL OR CAST(X."&amp;F28&amp;" AS STRING) NOT "&amp;H28&amp;",1,0)) AS NUM_REG_DIF,'"&amp;MAX('ID1&amp;5'!K:K)+1&amp;"' AS ID_EXEC, CURRENT_TIMESTAMP() AS TIME_EXEC FROM "&amp;I28,"SELECT '"&amp;UPPER(B28)&amp;"' AS TABELA, '"&amp;UPPER(C28)&amp;"' AS TIPOLOGIA_TESTE,'"&amp;D28&amp;"' AS TABELA_LT,'N/A' AS TABELA_SIMUL,'"&amp;F28&amp;"' AS CAMPO, "&amp;"'${ref_date}' AS REF_DATE, COUNT(*) AS NUM_REG, SUM(IF(TRIM(CAST(X."&amp;F28&amp;" AS STRING))='' OR TRIM(CAST(X."&amp;F28&amp;" AS STRING)) IS NULL,1,0)) AS NUM_REG_DIF,'"&amp;MAX('ID1&amp;5'!K:K)+1&amp;"' AS ID_EXEC, CURRENT_TIMESTAMP() AS TIME_EXEC FROM "&amp;I28),
IF(C28="Caracteres Especiais",+"SELECT '"&amp;UPPER(B28)&amp;"' AS TABELA, '"&amp;UPPER(C28)&amp;"' AS TIPOLOGIA_TESTE,'"&amp;D28&amp;"' AS TABELA_LT,'N/A' AS TABELA_SIMUL,'"&amp;F28&amp;"' AS CAMPO, "&amp;"'${ref_date}' AS REF_DATE, COUNT(*) AS NUM_REG, SUM(IF(REGEXP_REPLACE(TRIM(CAST(X."&amp;F28&amp;" AS STRING)),'[^a-zA-Z0-9_\\s]','') &lt;&gt;TRIM(CAST(X."&amp;F28&amp;" AS STRING)),1,0)) AS NUM_REG_DIF,'"&amp;MAX('ID1&amp;5'!K:K)+1&amp;"' AS ID_EXEC, CURRENT_TIMESTAMP() AS TIME_EXEC FROM "&amp;I28,
IF(C28="Missings",+"SELECT '"&amp;UPPER(B28)&amp;"' AS TABELA, '"&amp;UPPER(C28)&amp;"' AS TIPOLOGIA_TESTE,'"&amp;D28&amp;"' AS TABELA_LT,'N/A' AS TABELA_SIMUL,'"&amp;F28&amp;"' AS CAMPO, "&amp;"'${ref_date}' AS REF_DATE, COUNT(*) AS NUM_REG, SUM(IF(TRIM(CAST(X."&amp;F28&amp;" AS STRING)) IN ('0000-00-00','0001-01-01','9999-12-31','MISS','00000','99999999999','99999999999.00','99999999999.000000'),1,0)) AS NUM_REG_DIF,'"&amp;MAX('ID1&amp;5'!K:K)+1&amp;"' AS ID_EXEC, CURRENT_TIMESTAMP() AS TIME_EXEC FROM "&amp;I28,
IF(C28="Not applicable",+"SELECT '"&amp;UPPER(B28)&amp;"' AS TABELA, '"&amp;UPPER(C28)&amp;"' AS TIPOLOGIA_TESTE,'"&amp;D28&amp;"' AS TABELA_LT,'N/A' AS TABELA_SIMUL,'"&amp;F28&amp;"' AS CAMPO, "&amp;"'${ref_date}' AS REF_DATE, COUNT(*) AS NUM_REG, SUM(IF(TRIM(CAST(X."&amp;F28&amp;" AS STRING)) IN ('N/A','11111111111','11111111111.00','11111111111.000000','1111-11-11'),1,0)) AS NUM_REG_DIF,'"&amp;MAX('ID1&amp;5'!K:K)+1&amp;"' AS ID_EXEC, CURRENT_TIMESTAMP() AS TIME_EXEC FROM "&amp;I28,
IF(C28="Valores extremos",+"SELECT '"&amp;UPPER(B28)&amp;"' AS TABELA, '"&amp;UPPER(C28)&amp;"' AS TIPOLOGIA_TESTE,'"&amp;D28&amp;"' AS TABELA_LT,'N/A' AS TABELA_SIMUL,'"&amp;F28&amp;"' AS CAMPO, "&amp;"'${ref_date}' AS REF_DATE, CAST(MIN("&amp;F28&amp;") AS STRING) AS VALOR_MIN, CAST(MAX("&amp;F28&amp;") AS STRING) AS VALOR_MAX,'"&amp;MAX('ID1&amp;5'!K:K)+1&amp;"' AS ID_EXEC, CURRENT_TIMESTAMP() AS TIME_EXEC FROM "&amp;MID(I28,1,LEN(I28)-2)&amp;" AND CAST("&amp;F28&amp;"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TABELA_SIMUL,'flag_poci' AS CAMPO, '${ref_date}' AS REF_DATE, COUNT(*) AS NUM_REG, SUM(IF(COALESCE(CAST(X.flag_poci AS STRING),'')&lt;&gt;COALESCE(CAST(Y.flag_poci_SIMUL AS STRING),'') OR (X.flag_poci IS NULL AND Y.flag_poci_SIMUL IS NOT NULL ) OR (X.flag_poci IS NOT NULL AND Y.flag_poci_SIMUL IS NULL),1,0)) AS NUM_REG_DIF,'1' AS ID_EXEC, CURRENT_TIMESTAMP() AS TIME_EXEC FROM (SELECT a, flag_poci FROM BU_LOANTAPE_WORK.LT001_UNIV_OPER WHERE ref_date='${ref_date}' AND nome_perimetro='Individual Local' AND segmento='ESTR' AND ambito='SRB_MBDT' AND entidade='00100')X INNER JOIN (SELECT a AS a_SIMUL, flag_poci AS flag_poci_SIMUL FROM BU_LOANTAPE_WORK.SIMUL_LT001 WHERE ref_date='${ref_date}' AND nome_perimetro='Individual Local' AND segmento='ESTR' AND ambito='PILAR3' AND entidade='00100')Y ON X.A=Y.A_SIMUL</v>
      </c>
      <c r="M28" s="36" t="str">
        <f t="shared" si="0"/>
        <v>UNION ALL SELECT 'UNIV_OPER' AS TABELA, 'COERÊNCIA' AS TIPOLOGIA_TESTE,'BU_LOANTAPE_WORK.LT001_UNIV_OPER' AS TABELA_LT,'BU_LOANTAPE_WORK.SIMUL_LT001' AS TABELA_SIMUL,'flag_poci' AS CAMPO, '${ref_date}' AS REF_DATE, COUNT(*) AS NUM_REG, SUM(IF(COALESCE(CAST(X.flag_poci AS STRING),'')&lt;&gt;COALESCE(CAST(Y.flag_poci_SIMUL AS STRING),'') OR (X.flag_poci IS NULL AND Y.flag_poci_SIMUL IS NOT NULL ) OR (X.flag_poci IS NOT NULL AND Y.flag_poci_SIMUL IS NULL),1,0)) AS NUM_REG_DIF,'1' AS ID_EXEC, CURRENT_TIMESTAMP() AS TIME_EXEC FROM (SELECT a, flag_poci FROM BU_LOANTAPE_WORK.LT001_UNIV_OPER WHERE ref_date='${ref_date}' AND nome_perimetro='Individual Local' AND segmento='ESTR' AND ambito='SRB_MBDT' AND entidade='00100')X INNER JOIN (SELECT a AS a_SIMUL, flag_poci AS flag_poci_SIMUL FROM BU_LOANTAPE_WORK.SIMUL_LT001 WHERE ref_date='${ref_date}' AND nome_perimetro='Individual Local' AND segmento='ESTR' AND ambito='PILAR3' AND entidade='00100')Y ON X.A=Y.A_SIMUL</v>
      </c>
      <c r="N28" s="38" t="s">
        <v>40</v>
      </c>
    </row>
    <row r="29" spans="1:14">
      <c r="A29" s="60" t="str">
        <f t="shared" si="1"/>
        <v>UNIV_OPERpurpose_code</v>
      </c>
      <c r="B29" s="34" t="s">
        <v>1092</v>
      </c>
      <c r="C29" s="34" t="s">
        <v>5</v>
      </c>
      <c r="D29" s="34" t="str">
        <f>+UPPER('0. Instruções'!$D$35&amp;"."&amp;VLOOKUP(B29,'0. Instruções'!$C$27:$D$32,2,FALSE))</f>
        <v>BU_LOANTAPE_WORK.LT001_UNIV_OPER</v>
      </c>
      <c r="E29" s="34" t="str">
        <f>+UPPER('0. Instruções'!$D$36&amp;"."&amp;VLOOKUP(B29,'0. Instruções'!$C$27:$E$32,3,FALSE))</f>
        <v>BU_LOANTAPE_WORK.SIMUL_LT001</v>
      </c>
      <c r="F29" s="34" t="s">
        <v>1113</v>
      </c>
      <c r="G29" s="34"/>
      <c r="H29" s="34"/>
      <c r="I29" s="34" t="str">
        <f>"(SELECT "&amp;VLOOKUP(B29,'0. Instruções'!$C$27:$G$32,4,FALSE)&amp;", "&amp;F29&amp;" FROM "&amp;D29&amp;" WHERE "&amp;'0. Instruções'!$D$42&amp;")X"</f>
        <v>(SELECT a, purpose_code FROM BU_LOANTAPE_WORK.LT001_UNIV_OPER WHERE ref_date='${ref_date}' AND nome_perimetro='Individual Local' AND segmento='ESTR' AND ambito='SRB_MBDT' AND entidade='00100')X</v>
      </c>
      <c r="J29" s="34" t="str">
        <f>"(SELECT "&amp;VLOOKUP(B29,'0. Instruções'!$C$27:$G$32,4,FALSE)&amp;" AS "&amp;VLOOKUP(B29,'0. Instruções'!$C$27:$G$32,4,FALSE)&amp;"_SIMUL, "&amp;F29&amp;" AS "&amp;F29&amp;"_SIMUL FROM "&amp;E29&amp;" WHERE "&amp;'0. Instruções'!$D$43&amp;")Y"</f>
        <v>(SELECT a AS a_SIMUL, purpose_code AS purpose_code_SIMUL FROM BU_LOANTAPE_WORK.SIMUL_LT001 WHERE ref_date='${ref_date}' AND nome_perimetro='Individual Local' AND segmento='ESTR' AND ambito='PILAR3' AND entidade='00100')Y</v>
      </c>
      <c r="K29" s="35" t="str">
        <f>+UPPER("ON X."&amp;VLOOKUP(B29,'0. Instruções'!$C$27:$G$32,4,FALSE)&amp;"=Y."&amp;VLOOKUP(B29,'0. Instruções'!$C$27:$G$32,4,FALSE)&amp;"_SIMUL")</f>
        <v>ON X.A=Y.A_SIMUL</v>
      </c>
      <c r="L29" s="35" t="str">
        <f>+IF(C29="Coerência", +IF(LEFT(G29,5)="FLOAT","SELECT '"&amp;UPPER(B29)&amp;"' AS TABELA, '"&amp;UPPER(C29)&amp;"' AS TIPOLOGIA_TESTE,'"&amp;D29&amp;"' AS TABELA_LT,'"&amp;E29&amp;"' AS TABELA_SIMUL,'"&amp;F29&amp;"' AS CAMPO, "&amp;"'${ref_date}' AS REF_DATE, COUNT(*) AS NUM_REG, SUM(IF((ABS(COALESCE(CAST(X."&amp;F29&amp;" AS DECIMAL(18,6)),0)-COALESCE(CAST(Y."&amp;F29&amp;"_SIMUL AS DECIMAL(18,6)),0))&gt;0.000001) OR (X."&amp;F29&amp;" IS NULL AND Y."&amp;F29&amp;"_SIMUL IS NOT NULL ) OR (X."&amp;F29&amp;" IS NOT NULL AND Y."&amp;F29&amp;"_SIMUL IS NULL),1,0)) AS NUM_REG_DIF,'"&amp;MAX('ID1&amp;5'!K:K)+1&amp;"' AS ID_EXEC, CURRENT_TIMESTAMP() AS TIME_EXEC FROM "&amp;I29&amp;" INNER JOIN "&amp;J29&amp;" "&amp;K29,"SELECT '"&amp;UPPER(B29)&amp;"' AS TABELA, '"&amp;UPPER(C29)&amp;"' AS TIPOLOGIA_TESTE,'"&amp;D29&amp;"' AS TABELA_LT,'"&amp;E29&amp;"' AS TABELA_SIMUL,'"&amp;F29&amp;"' AS CAMPO, "&amp;"'${ref_date}' AS REF_DATE, COUNT(*) AS NUM_REG, SUM(IF(COALESCE(CAST(X."&amp;F29&amp;" AS STRING),'')&lt;&gt;COALESCE(CAST(Y."&amp;F29&amp;"_SIMUL AS STRING),'') OR (X."&amp;F29&amp;" IS NULL AND Y."&amp;F29&amp;"_SIMUL IS NOT NULL ) OR (X."&amp;F29&amp;" IS NOT NULL AND Y."&amp;F29&amp;"_SIMUL IS NULL),1,0)) AS NUM_REG_DIF,'"&amp;MAX('ID1&amp;5'!L:L)+1&amp;"' AS ID_EXEC, CURRENT_TIMESTAMP() AS TIME_EXEC FROM "&amp;I29&amp;" INNER JOIN "&amp;J29&amp;" "&amp;K29),
IF(C29="Validade",+IF(G29="Code List","SELECT '"&amp;UPPER(B29)&amp;"' AS TABELA, '"&amp;UPPER(C29)&amp;"' AS TIPOLOGIA_TESTE,'"&amp;D29&amp;"' AS TABELA_LT,'N/A' AS TABELA_SIMUL,'"&amp;F29&amp;"' AS CAMPO, "&amp;"'${ref_date}' AS REF_DATE, COUNT(*) AS NUM_REG, SUM(IF(TRIM(CAST(X."&amp;F29&amp;" AS STRING))='' OR TRIM(CAST(X."&amp;F29&amp;" AS STRING)) IS NULL OR CAST(X."&amp;F29&amp;" AS STRING) NOT "&amp;H29&amp;",1,0)) AS NUM_REG_DIF,'"&amp;MAX('ID1&amp;5'!K:K)+1&amp;"' AS ID_EXEC, CURRENT_TIMESTAMP() AS TIME_EXEC FROM "&amp;I29,"SELECT '"&amp;UPPER(B29)&amp;"' AS TABELA, '"&amp;UPPER(C29)&amp;"' AS TIPOLOGIA_TESTE,'"&amp;D29&amp;"' AS TABELA_LT,'N/A' AS TABELA_SIMUL,'"&amp;F29&amp;"' AS CAMPO, "&amp;"'${ref_date}' AS REF_DATE, COUNT(*) AS NUM_REG, SUM(IF(TRIM(CAST(X."&amp;F29&amp;" AS STRING))='' OR TRIM(CAST(X."&amp;F29&amp;" AS STRING)) IS NULL,1,0)) AS NUM_REG_DIF,'"&amp;MAX('ID1&amp;5'!K:K)+1&amp;"' AS ID_EXEC, CURRENT_TIMESTAMP() AS TIME_EXEC FROM "&amp;I29),
IF(C29="Caracteres Especiais",+"SELECT '"&amp;UPPER(B29)&amp;"' AS TABELA, '"&amp;UPPER(C29)&amp;"' AS TIPOLOGIA_TESTE,'"&amp;D29&amp;"' AS TABELA_LT,'N/A' AS TABELA_SIMUL,'"&amp;F29&amp;"' AS CAMPO, "&amp;"'${ref_date}' AS REF_DATE, COUNT(*) AS NUM_REG, SUM(IF(REGEXP_REPLACE(TRIM(CAST(X."&amp;F29&amp;" AS STRING)),'[^a-zA-Z0-9_\\s]','') &lt;&gt;TRIM(CAST(X."&amp;F29&amp;" AS STRING)),1,0)) AS NUM_REG_DIF,'"&amp;MAX('ID1&amp;5'!K:K)+1&amp;"' AS ID_EXEC, CURRENT_TIMESTAMP() AS TIME_EXEC FROM "&amp;I29,
IF(C29="Missings",+"SELECT '"&amp;UPPER(B29)&amp;"' AS TABELA, '"&amp;UPPER(C29)&amp;"' AS TIPOLOGIA_TESTE,'"&amp;D29&amp;"' AS TABELA_LT,'N/A' AS TABELA_SIMUL,'"&amp;F29&amp;"' AS CAMPO, "&amp;"'${ref_date}' AS REF_DATE, COUNT(*) AS NUM_REG, SUM(IF(TRIM(CAST(X."&amp;F29&amp;" AS STRING)) IN ('0000-00-00','0001-01-01','9999-12-31','MISS','00000','99999999999','99999999999.00','99999999999.000000'),1,0)) AS NUM_REG_DIF,'"&amp;MAX('ID1&amp;5'!K:K)+1&amp;"' AS ID_EXEC, CURRENT_TIMESTAMP() AS TIME_EXEC FROM "&amp;I29,
IF(C29="Not applicable",+"SELECT '"&amp;UPPER(B29)&amp;"' AS TABELA, '"&amp;UPPER(C29)&amp;"' AS TIPOLOGIA_TESTE,'"&amp;D29&amp;"' AS TABELA_LT,'N/A' AS TABELA_SIMUL,'"&amp;F29&amp;"' AS CAMPO, "&amp;"'${ref_date}' AS REF_DATE, COUNT(*) AS NUM_REG, SUM(IF(TRIM(CAST(X."&amp;F29&amp;" AS STRING)) IN ('N/A','11111111111','11111111111.00','11111111111.000000','1111-11-11'),1,0)) AS NUM_REG_DIF,'"&amp;MAX('ID1&amp;5'!K:K)+1&amp;"' AS ID_EXEC, CURRENT_TIMESTAMP() AS TIME_EXEC FROM "&amp;I29,
IF(C29="Valores extremos",+"SELECT '"&amp;UPPER(B29)&amp;"' AS TABELA, '"&amp;UPPER(C29)&amp;"' AS TIPOLOGIA_TESTE,'"&amp;D29&amp;"' AS TABELA_LT,'N/A' AS TABELA_SIMUL,'"&amp;F29&amp;"' AS CAMPO, "&amp;"'${ref_date}' AS REF_DATE, CAST(MIN("&amp;F29&amp;") AS STRING) AS VALOR_MIN, CAST(MAX("&amp;F29&amp;") AS STRING) AS VALOR_MAX,'"&amp;MAX('ID1&amp;5'!K:K)+1&amp;"' AS ID_EXEC, CURRENT_TIMESTAMP() AS TIME_EXEC FROM "&amp;MID(I29,1,LEN(I29)-2)&amp;" AND CAST("&amp;F29&amp;"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TABELA_SIMUL,'purpose_code' AS CAMPO, '${ref_date}' AS REF_DATE, COUNT(*) AS NUM_REG, SUM(IF(COALESCE(CAST(X.purpose_code AS STRING),'')&lt;&gt;COALESCE(CAST(Y.purpose_code_SIMUL AS STRING),'') OR (X.purpose_code IS NULL AND Y.purpose_code_SIMUL IS NOT NULL ) OR (X.purpose_code IS NOT NULL AND Y.purpose_code_SIMUL IS NULL),1,0)) AS NUM_REG_DIF,'1' AS ID_EXEC, CURRENT_TIMESTAMP() AS TIME_EXEC FROM (SELECT a, purpose_code FROM BU_LOANTAPE_WORK.LT001_UNIV_OPER WHERE ref_date='${ref_date}' AND nome_perimetro='Individual Local' AND segmento='ESTR' AND ambito='SRB_MBDT' AND entidade='00100')X INNER JOIN (SELECT a AS a_SIMUL, purpose_code AS purpose_code_SIMUL FROM BU_LOANTAPE_WORK.SIMUL_LT001 WHERE ref_date='${ref_date}' AND nome_perimetro='Individual Local' AND segmento='ESTR' AND ambito='PILAR3' AND entidade='00100')Y ON X.A=Y.A_SIMUL</v>
      </c>
      <c r="M29" s="36" t="str">
        <f t="shared" si="0"/>
        <v>UNION ALL SELECT 'UNIV_OPER' AS TABELA, 'COERÊNCIA' AS TIPOLOGIA_TESTE,'BU_LOANTAPE_WORK.LT001_UNIV_OPER' AS TABELA_LT,'BU_LOANTAPE_WORK.SIMUL_LT001' AS TABELA_SIMUL,'purpose_code' AS CAMPO, '${ref_date}' AS REF_DATE, COUNT(*) AS NUM_REG, SUM(IF(COALESCE(CAST(X.purpose_code AS STRING),'')&lt;&gt;COALESCE(CAST(Y.purpose_code_SIMUL AS STRING),'') OR (X.purpose_code IS NULL AND Y.purpose_code_SIMUL IS NOT NULL ) OR (X.purpose_code IS NOT NULL AND Y.purpose_code_SIMUL IS NULL),1,0)) AS NUM_REG_DIF,'1' AS ID_EXEC, CURRENT_TIMESTAMP() AS TIME_EXEC FROM (SELECT a, purpose_code FROM BU_LOANTAPE_WORK.LT001_UNIV_OPER WHERE ref_date='${ref_date}' AND nome_perimetro='Individual Local' AND segmento='ESTR' AND ambito='SRB_MBDT' AND entidade='00100')X INNER JOIN (SELECT a AS a_SIMUL, purpose_code AS purpose_code_SIMUL FROM BU_LOANTAPE_WORK.SIMUL_LT001 WHERE ref_date='${ref_date}' AND nome_perimetro='Individual Local' AND segmento='ESTR' AND ambito='PILAR3' AND entidade='00100')Y ON X.A=Y.A_SIMUL</v>
      </c>
      <c r="N29" s="38" t="s">
        <v>40</v>
      </c>
    </row>
    <row r="30" spans="1:14">
      <c r="A30" s="60" t="str">
        <f t="shared" si="1"/>
        <v>UNIV_OPERcod_empr_pme</v>
      </c>
      <c r="B30" s="34" t="s">
        <v>1092</v>
      </c>
      <c r="C30" s="34" t="s">
        <v>5</v>
      </c>
      <c r="D30" s="34" t="str">
        <f>+UPPER('0. Instruções'!$D$35&amp;"."&amp;VLOOKUP(B30,'0. Instruções'!$C$27:$D$32,2,FALSE))</f>
        <v>BU_LOANTAPE_WORK.LT001_UNIV_OPER</v>
      </c>
      <c r="E30" s="34" t="str">
        <f>+UPPER('0. Instruções'!$D$36&amp;"."&amp;VLOOKUP(B30,'0. Instruções'!$C$27:$E$32,3,FALSE))</f>
        <v>BU_LOANTAPE_WORK.SIMUL_LT001</v>
      </c>
      <c r="F30" s="34" t="s">
        <v>1114</v>
      </c>
      <c r="G30" s="34"/>
      <c r="H30" s="34"/>
      <c r="I30" s="34" t="str">
        <f>"(SELECT "&amp;VLOOKUP(B30,'0. Instruções'!$C$27:$G$32,4,FALSE)&amp;", "&amp;F30&amp;" FROM "&amp;D30&amp;" WHERE "&amp;'0. Instruções'!$D$42&amp;")X"</f>
        <v>(SELECT a, cod_empr_pme FROM BU_LOANTAPE_WORK.LT001_UNIV_OPER WHERE ref_date='${ref_date}' AND nome_perimetro='Individual Local' AND segmento='ESTR' AND ambito='SRB_MBDT' AND entidade='00100')X</v>
      </c>
      <c r="J30" s="34" t="str">
        <f>"(SELECT "&amp;VLOOKUP(B30,'0. Instruções'!$C$27:$G$32,4,FALSE)&amp;" AS "&amp;VLOOKUP(B30,'0. Instruções'!$C$27:$G$32,4,FALSE)&amp;"_SIMUL, "&amp;F30&amp;" AS "&amp;F30&amp;"_SIMUL FROM "&amp;E30&amp;" WHERE "&amp;'0. Instruções'!$D$43&amp;")Y"</f>
        <v>(SELECT a AS a_SIMUL, cod_empr_pme AS cod_empr_pme_SIMUL FROM BU_LOANTAPE_WORK.SIMUL_LT001 WHERE ref_date='${ref_date}' AND nome_perimetro='Individual Local' AND segmento='ESTR' AND ambito='PILAR3' AND entidade='00100')Y</v>
      </c>
      <c r="K30" s="35" t="str">
        <f>+UPPER("ON X."&amp;VLOOKUP(B30,'0. Instruções'!$C$27:$G$32,4,FALSE)&amp;"=Y."&amp;VLOOKUP(B30,'0. Instruções'!$C$27:$G$32,4,FALSE)&amp;"_SIMUL")</f>
        <v>ON X.A=Y.A_SIMUL</v>
      </c>
      <c r="L30" s="35" t="str">
        <f>+IF(C30="Coerência", +IF(LEFT(G30,5)="FLOAT","SELECT '"&amp;UPPER(B30)&amp;"' AS TABELA, '"&amp;UPPER(C30)&amp;"' AS TIPOLOGIA_TESTE,'"&amp;D30&amp;"' AS TABELA_LT,'"&amp;E30&amp;"' AS TABELA_SIMUL,'"&amp;F30&amp;"' AS CAMPO, "&amp;"'${ref_date}' AS REF_DATE, COUNT(*) AS NUM_REG, SUM(IF((ABS(COALESCE(CAST(X."&amp;F30&amp;" AS DECIMAL(18,6)),0)-COALESCE(CAST(Y."&amp;F30&amp;"_SIMUL AS DECIMAL(18,6)),0))&gt;0.000001) OR (X."&amp;F30&amp;" IS NULL AND Y."&amp;F30&amp;"_SIMUL IS NOT NULL ) OR (X."&amp;F30&amp;" IS NOT NULL AND Y."&amp;F30&amp;"_SIMUL IS NULL),1,0)) AS NUM_REG_DIF,'"&amp;MAX('ID1&amp;5'!K:K)+1&amp;"' AS ID_EXEC, CURRENT_TIMESTAMP() AS TIME_EXEC FROM "&amp;I30&amp;" INNER JOIN "&amp;J30&amp;" "&amp;K30,"SELECT '"&amp;UPPER(B30)&amp;"' AS TABELA, '"&amp;UPPER(C30)&amp;"' AS TIPOLOGIA_TESTE,'"&amp;D30&amp;"' AS TABELA_LT,'"&amp;E30&amp;"' AS TABELA_SIMUL,'"&amp;F30&amp;"' AS CAMPO, "&amp;"'${ref_date}' AS REF_DATE, COUNT(*) AS NUM_REG, SUM(IF(COALESCE(CAST(X."&amp;F30&amp;" AS STRING),'')&lt;&gt;COALESCE(CAST(Y."&amp;F30&amp;"_SIMUL AS STRING),'') OR (X."&amp;F30&amp;" IS NULL AND Y."&amp;F30&amp;"_SIMUL IS NOT NULL ) OR (X."&amp;F30&amp;" IS NOT NULL AND Y."&amp;F30&amp;"_SIMUL IS NULL),1,0)) AS NUM_REG_DIF,'"&amp;MAX('ID1&amp;5'!L:L)+1&amp;"' AS ID_EXEC, CURRENT_TIMESTAMP() AS TIME_EXEC FROM "&amp;I30&amp;" INNER JOIN "&amp;J30&amp;" "&amp;K30),
IF(C30="Validade",+IF(G30="Code List","SELECT '"&amp;UPPER(B30)&amp;"' AS TABELA, '"&amp;UPPER(C30)&amp;"' AS TIPOLOGIA_TESTE,'"&amp;D30&amp;"' AS TABELA_LT,'N/A' AS TABELA_SIMUL,'"&amp;F30&amp;"' AS CAMPO, "&amp;"'${ref_date}' AS REF_DATE, COUNT(*) AS NUM_REG, SUM(IF(TRIM(CAST(X."&amp;F30&amp;" AS STRING))='' OR TRIM(CAST(X."&amp;F30&amp;" AS STRING)) IS NULL OR CAST(X."&amp;F30&amp;" AS STRING) NOT "&amp;H30&amp;",1,0)) AS NUM_REG_DIF,'"&amp;MAX('ID1&amp;5'!K:K)+1&amp;"' AS ID_EXEC, CURRENT_TIMESTAMP() AS TIME_EXEC FROM "&amp;I30,"SELECT '"&amp;UPPER(B30)&amp;"' AS TABELA, '"&amp;UPPER(C30)&amp;"' AS TIPOLOGIA_TESTE,'"&amp;D30&amp;"' AS TABELA_LT,'N/A' AS TABELA_SIMUL,'"&amp;F30&amp;"' AS CAMPO, "&amp;"'${ref_date}' AS REF_DATE, COUNT(*) AS NUM_REG, SUM(IF(TRIM(CAST(X."&amp;F30&amp;" AS STRING))='' OR TRIM(CAST(X."&amp;F30&amp;" AS STRING)) IS NULL,1,0)) AS NUM_REG_DIF,'"&amp;MAX('ID1&amp;5'!K:K)+1&amp;"' AS ID_EXEC, CURRENT_TIMESTAMP() AS TIME_EXEC FROM "&amp;I30),
IF(C30="Caracteres Especiais",+"SELECT '"&amp;UPPER(B30)&amp;"' AS TABELA, '"&amp;UPPER(C30)&amp;"' AS TIPOLOGIA_TESTE,'"&amp;D30&amp;"' AS TABELA_LT,'N/A' AS TABELA_SIMUL,'"&amp;F30&amp;"' AS CAMPO, "&amp;"'${ref_date}' AS REF_DATE, COUNT(*) AS NUM_REG, SUM(IF(REGEXP_REPLACE(TRIM(CAST(X."&amp;F30&amp;" AS STRING)),'[^a-zA-Z0-9_\\s]','') &lt;&gt;TRIM(CAST(X."&amp;F30&amp;" AS STRING)),1,0)) AS NUM_REG_DIF,'"&amp;MAX('ID1&amp;5'!K:K)+1&amp;"' AS ID_EXEC, CURRENT_TIMESTAMP() AS TIME_EXEC FROM "&amp;I30,
IF(C30="Missings",+"SELECT '"&amp;UPPER(B30)&amp;"' AS TABELA, '"&amp;UPPER(C30)&amp;"' AS TIPOLOGIA_TESTE,'"&amp;D30&amp;"' AS TABELA_LT,'N/A' AS TABELA_SIMUL,'"&amp;F30&amp;"' AS CAMPO, "&amp;"'${ref_date}' AS REF_DATE, COUNT(*) AS NUM_REG, SUM(IF(TRIM(CAST(X."&amp;F30&amp;" AS STRING)) IN ('0000-00-00','0001-01-01','9999-12-31','MISS','00000','99999999999','99999999999.00','99999999999.000000'),1,0)) AS NUM_REG_DIF,'"&amp;MAX('ID1&amp;5'!K:K)+1&amp;"' AS ID_EXEC, CURRENT_TIMESTAMP() AS TIME_EXEC FROM "&amp;I30,
IF(C30="Not applicable",+"SELECT '"&amp;UPPER(B30)&amp;"' AS TABELA, '"&amp;UPPER(C30)&amp;"' AS TIPOLOGIA_TESTE,'"&amp;D30&amp;"' AS TABELA_LT,'N/A' AS TABELA_SIMUL,'"&amp;F30&amp;"' AS CAMPO, "&amp;"'${ref_date}' AS REF_DATE, COUNT(*) AS NUM_REG, SUM(IF(TRIM(CAST(X."&amp;F30&amp;" AS STRING)) IN ('N/A','11111111111','11111111111.00','11111111111.000000','1111-11-11'),1,0)) AS NUM_REG_DIF,'"&amp;MAX('ID1&amp;5'!K:K)+1&amp;"' AS ID_EXEC, CURRENT_TIMESTAMP() AS TIME_EXEC FROM "&amp;I30,
IF(C30="Valores extremos",+"SELECT '"&amp;UPPER(B30)&amp;"' AS TABELA, '"&amp;UPPER(C30)&amp;"' AS TIPOLOGIA_TESTE,'"&amp;D30&amp;"' AS TABELA_LT,'N/A' AS TABELA_SIMUL,'"&amp;F30&amp;"' AS CAMPO, "&amp;"'${ref_date}' AS REF_DATE, CAST(MIN("&amp;F30&amp;") AS STRING) AS VALOR_MIN, CAST(MAX("&amp;F30&amp;") AS STRING) AS VALOR_MAX,'"&amp;MAX('ID1&amp;5'!K:K)+1&amp;"' AS ID_EXEC, CURRENT_TIMESTAMP() AS TIME_EXEC FROM "&amp;MID(I30,1,LEN(I30)-2)&amp;" AND CAST("&amp;F30&amp;"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TABELA_SIMUL,'cod_empr_pme' AS CAMPO, '${ref_date}' AS REF_DATE, COUNT(*) AS NUM_REG, SUM(IF(COALESCE(CAST(X.cod_empr_pme AS STRING),'')&lt;&gt;COALESCE(CAST(Y.cod_empr_pme_SIMUL AS STRING),'') OR (X.cod_empr_pme IS NULL AND Y.cod_empr_pme_SIMUL IS NOT NULL ) OR (X.cod_empr_pme IS NOT NULL AND Y.cod_empr_pme_SIMUL IS NULL),1,0)) AS NUM_REG_DIF,'1' AS ID_EXEC, CURRENT_TIMESTAMP() AS TIME_EXEC FROM (SELECT a, cod_empr_pme FROM BU_LOANTAPE_WORK.LT001_UNIV_OPER WHERE ref_date='${ref_date}' AND nome_perimetro='Individual Local' AND segmento='ESTR' AND ambito='SRB_MBDT' AND entidade='00100')X INNER JOIN (SELECT a AS a_SIMUL, cod_empr_pme AS cod_empr_pme_SIMUL FROM BU_LOANTAPE_WORK.SIMUL_LT001 WHERE ref_date='${ref_date}' AND nome_perimetro='Individual Local' AND segmento='ESTR' AND ambito='PILAR3' AND entidade='00100')Y ON X.A=Y.A_SIMUL</v>
      </c>
      <c r="M30" s="36" t="str">
        <f t="shared" si="0"/>
        <v>UNION ALL SELECT 'UNIV_OPER' AS TABELA, 'COERÊNCIA' AS TIPOLOGIA_TESTE,'BU_LOANTAPE_WORK.LT001_UNIV_OPER' AS TABELA_LT,'BU_LOANTAPE_WORK.SIMUL_LT001' AS TABELA_SIMUL,'cod_empr_pme' AS CAMPO, '${ref_date}' AS REF_DATE, COUNT(*) AS NUM_REG, SUM(IF(COALESCE(CAST(X.cod_empr_pme AS STRING),'')&lt;&gt;COALESCE(CAST(Y.cod_empr_pme_SIMUL AS STRING),'') OR (X.cod_empr_pme IS NULL AND Y.cod_empr_pme_SIMUL IS NOT NULL ) OR (X.cod_empr_pme IS NOT NULL AND Y.cod_empr_pme_SIMUL IS NULL),1,0)) AS NUM_REG_DIF,'1' AS ID_EXEC, CURRENT_TIMESTAMP() AS TIME_EXEC FROM (SELECT a, cod_empr_pme FROM BU_LOANTAPE_WORK.LT001_UNIV_OPER WHERE ref_date='${ref_date}' AND nome_perimetro='Individual Local' AND segmento='ESTR' AND ambito='SRB_MBDT' AND entidade='00100')X INNER JOIN (SELECT a AS a_SIMUL, cod_empr_pme AS cod_empr_pme_SIMUL FROM BU_LOANTAPE_WORK.SIMUL_LT001 WHERE ref_date='${ref_date}' AND nome_perimetro='Individual Local' AND segmento='ESTR' AND ambito='PILAR3' AND entidade='00100')Y ON X.A=Y.A_SIMUL</v>
      </c>
      <c r="N30" s="38" t="s">
        <v>40</v>
      </c>
    </row>
    <row r="31" spans="1:14">
      <c r="A31" s="60" t="str">
        <f t="shared" si="1"/>
        <v>UNIV_OPERstage</v>
      </c>
      <c r="B31" s="34" t="s">
        <v>1092</v>
      </c>
      <c r="C31" s="34" t="s">
        <v>5</v>
      </c>
      <c r="D31" s="34" t="str">
        <f>+UPPER('0. Instruções'!$D$35&amp;"."&amp;VLOOKUP(B31,'0. Instruções'!$C$27:$D$32,2,FALSE))</f>
        <v>BU_LOANTAPE_WORK.LT001_UNIV_OPER</v>
      </c>
      <c r="E31" s="34" t="str">
        <f>+UPPER('0. Instruções'!$D$36&amp;"."&amp;VLOOKUP(B31,'0. Instruções'!$C$27:$E$32,3,FALSE))</f>
        <v>BU_LOANTAPE_WORK.SIMUL_LT001</v>
      </c>
      <c r="F31" s="34" t="s">
        <v>1115</v>
      </c>
      <c r="G31" s="34"/>
      <c r="H31" s="34"/>
      <c r="I31" s="34" t="str">
        <f>"(SELECT "&amp;VLOOKUP(B31,'0. Instruções'!$C$27:$G$32,4,FALSE)&amp;", "&amp;F31&amp;" FROM "&amp;D31&amp;" WHERE "&amp;'0. Instruções'!$D$42&amp;")X"</f>
        <v>(SELECT a, stage FROM BU_LOANTAPE_WORK.LT001_UNIV_OPER WHERE ref_date='${ref_date}' AND nome_perimetro='Individual Local' AND segmento='ESTR' AND ambito='SRB_MBDT' AND entidade='00100')X</v>
      </c>
      <c r="J31" s="34" t="str">
        <f>"(SELECT "&amp;VLOOKUP(B31,'0. Instruções'!$C$27:$G$32,4,FALSE)&amp;" AS "&amp;VLOOKUP(B31,'0. Instruções'!$C$27:$G$32,4,FALSE)&amp;"_SIMUL, "&amp;F31&amp;" AS "&amp;F31&amp;"_SIMUL FROM "&amp;E31&amp;" WHERE "&amp;'0. Instruções'!$D$43&amp;")Y"</f>
        <v>(SELECT a AS a_SIMUL, stage AS stage_SIMUL FROM BU_LOANTAPE_WORK.SIMUL_LT001 WHERE ref_date='${ref_date}' AND nome_perimetro='Individual Local' AND segmento='ESTR' AND ambito='PILAR3' AND entidade='00100')Y</v>
      </c>
      <c r="K31" s="35" t="str">
        <f>+UPPER("ON X."&amp;VLOOKUP(B31,'0. Instruções'!$C$27:$G$32,4,FALSE)&amp;"=Y."&amp;VLOOKUP(B31,'0. Instruções'!$C$27:$G$32,4,FALSE)&amp;"_SIMUL")</f>
        <v>ON X.A=Y.A_SIMUL</v>
      </c>
      <c r="L31" s="35" t="str">
        <f>+IF(C31="Coerência", +IF(LEFT(G31,5)="FLOAT","SELECT '"&amp;UPPER(B31)&amp;"' AS TABELA, '"&amp;UPPER(C31)&amp;"' AS TIPOLOGIA_TESTE,'"&amp;D31&amp;"' AS TABELA_LT,'"&amp;E31&amp;"' AS TABELA_SIMUL,'"&amp;F31&amp;"' AS CAMPO, "&amp;"'${ref_date}' AS REF_DATE, COUNT(*) AS NUM_REG, SUM(IF((ABS(COALESCE(CAST(X."&amp;F31&amp;" AS DECIMAL(18,6)),0)-COALESCE(CAST(Y."&amp;F31&amp;"_SIMUL AS DECIMAL(18,6)),0))&gt;0.000001) OR (X."&amp;F31&amp;" IS NULL AND Y."&amp;F31&amp;"_SIMUL IS NOT NULL ) OR (X."&amp;F31&amp;" IS NOT NULL AND Y."&amp;F31&amp;"_SIMUL IS NULL),1,0)) AS NUM_REG_DIF,'"&amp;MAX('ID1&amp;5'!K:K)+1&amp;"' AS ID_EXEC, CURRENT_TIMESTAMP() AS TIME_EXEC FROM "&amp;I31&amp;" INNER JOIN "&amp;J31&amp;" "&amp;K31,"SELECT '"&amp;UPPER(B31)&amp;"' AS TABELA, '"&amp;UPPER(C31)&amp;"' AS TIPOLOGIA_TESTE,'"&amp;D31&amp;"' AS TABELA_LT,'"&amp;E31&amp;"' AS TABELA_SIMUL,'"&amp;F31&amp;"' AS CAMPO, "&amp;"'${ref_date}' AS REF_DATE, COUNT(*) AS NUM_REG, SUM(IF(COALESCE(CAST(X."&amp;F31&amp;" AS STRING),'')&lt;&gt;COALESCE(CAST(Y."&amp;F31&amp;"_SIMUL AS STRING),'') OR (X."&amp;F31&amp;" IS NULL AND Y."&amp;F31&amp;"_SIMUL IS NOT NULL ) OR (X."&amp;F31&amp;" IS NOT NULL AND Y."&amp;F31&amp;"_SIMUL IS NULL),1,0)) AS NUM_REG_DIF,'"&amp;MAX('ID1&amp;5'!L:L)+1&amp;"' AS ID_EXEC, CURRENT_TIMESTAMP() AS TIME_EXEC FROM "&amp;I31&amp;" INNER JOIN "&amp;J31&amp;" "&amp;K31),
IF(C31="Validade",+IF(G31="Code List","SELECT '"&amp;UPPER(B31)&amp;"' AS TABELA, '"&amp;UPPER(C31)&amp;"' AS TIPOLOGIA_TESTE,'"&amp;D31&amp;"' AS TABELA_LT,'N/A' AS TABELA_SIMUL,'"&amp;F31&amp;"' AS CAMPO, "&amp;"'${ref_date}' AS REF_DATE, COUNT(*) AS NUM_REG, SUM(IF(TRIM(CAST(X."&amp;F31&amp;" AS STRING))='' OR TRIM(CAST(X."&amp;F31&amp;" AS STRING)) IS NULL OR CAST(X."&amp;F31&amp;" AS STRING) NOT "&amp;H31&amp;",1,0)) AS NUM_REG_DIF,'"&amp;MAX('ID1&amp;5'!K:K)+1&amp;"' AS ID_EXEC, CURRENT_TIMESTAMP() AS TIME_EXEC FROM "&amp;I31,"SELECT '"&amp;UPPER(B31)&amp;"' AS TABELA, '"&amp;UPPER(C31)&amp;"' AS TIPOLOGIA_TESTE,'"&amp;D31&amp;"' AS TABELA_LT,'N/A' AS TABELA_SIMUL,'"&amp;F31&amp;"' AS CAMPO, "&amp;"'${ref_date}' AS REF_DATE, COUNT(*) AS NUM_REG, SUM(IF(TRIM(CAST(X."&amp;F31&amp;" AS STRING))='' OR TRIM(CAST(X."&amp;F31&amp;" AS STRING)) IS NULL,1,0)) AS NUM_REG_DIF,'"&amp;MAX('ID1&amp;5'!K:K)+1&amp;"' AS ID_EXEC, CURRENT_TIMESTAMP() AS TIME_EXEC FROM "&amp;I31),
IF(C31="Caracteres Especiais",+"SELECT '"&amp;UPPER(B31)&amp;"' AS TABELA, '"&amp;UPPER(C31)&amp;"' AS TIPOLOGIA_TESTE,'"&amp;D31&amp;"' AS TABELA_LT,'N/A' AS TABELA_SIMUL,'"&amp;F31&amp;"' AS CAMPO, "&amp;"'${ref_date}' AS REF_DATE, COUNT(*) AS NUM_REG, SUM(IF(REGEXP_REPLACE(TRIM(CAST(X."&amp;F31&amp;" AS STRING)),'[^a-zA-Z0-9_\\s]','') &lt;&gt;TRIM(CAST(X."&amp;F31&amp;" AS STRING)),1,0)) AS NUM_REG_DIF,'"&amp;MAX('ID1&amp;5'!K:K)+1&amp;"' AS ID_EXEC, CURRENT_TIMESTAMP() AS TIME_EXEC FROM "&amp;I31,
IF(C31="Missings",+"SELECT '"&amp;UPPER(B31)&amp;"' AS TABELA, '"&amp;UPPER(C31)&amp;"' AS TIPOLOGIA_TESTE,'"&amp;D31&amp;"' AS TABELA_LT,'N/A' AS TABELA_SIMUL,'"&amp;F31&amp;"' AS CAMPO, "&amp;"'${ref_date}' AS REF_DATE, COUNT(*) AS NUM_REG, SUM(IF(TRIM(CAST(X."&amp;F31&amp;" AS STRING)) IN ('0000-00-00','0001-01-01','9999-12-31','MISS','00000','99999999999','99999999999.00','99999999999.000000'),1,0)) AS NUM_REG_DIF,'"&amp;MAX('ID1&amp;5'!K:K)+1&amp;"' AS ID_EXEC, CURRENT_TIMESTAMP() AS TIME_EXEC FROM "&amp;I31,
IF(C31="Not applicable",+"SELECT '"&amp;UPPER(B31)&amp;"' AS TABELA, '"&amp;UPPER(C31)&amp;"' AS TIPOLOGIA_TESTE,'"&amp;D31&amp;"' AS TABELA_LT,'N/A' AS TABELA_SIMUL,'"&amp;F31&amp;"' AS CAMPO, "&amp;"'${ref_date}' AS REF_DATE, COUNT(*) AS NUM_REG, SUM(IF(TRIM(CAST(X."&amp;F31&amp;" AS STRING)) IN ('N/A','11111111111','11111111111.00','11111111111.000000','1111-11-11'),1,0)) AS NUM_REG_DIF,'"&amp;MAX('ID1&amp;5'!K:K)+1&amp;"' AS ID_EXEC, CURRENT_TIMESTAMP() AS TIME_EXEC FROM "&amp;I31,
IF(C31="Valores extremos",+"SELECT '"&amp;UPPER(B31)&amp;"' AS TABELA, '"&amp;UPPER(C31)&amp;"' AS TIPOLOGIA_TESTE,'"&amp;D31&amp;"' AS TABELA_LT,'N/A' AS TABELA_SIMUL,'"&amp;F31&amp;"' AS CAMPO, "&amp;"'${ref_date}' AS REF_DATE, CAST(MIN("&amp;F31&amp;") AS STRING) AS VALOR_MIN, CAST(MAX("&amp;F31&amp;") AS STRING) AS VALOR_MAX,'"&amp;MAX('ID1&amp;5'!K:K)+1&amp;"' AS ID_EXEC, CURRENT_TIMESTAMP() AS TIME_EXEC FROM "&amp;MID(I31,1,LEN(I31)-2)&amp;" AND CAST("&amp;F31&amp;"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TABELA_SIMUL,'stage' AS CAMPO, '${ref_date}' AS REF_DATE, COUNT(*) AS NUM_REG, SUM(IF(COALESCE(CAST(X.stage AS STRING),'')&lt;&gt;COALESCE(CAST(Y.stage_SIMUL AS STRING),'') OR (X.stage IS NULL AND Y.stage_SIMUL IS NOT NULL ) OR (X.stage IS NOT NULL AND Y.stage_SIMUL IS NULL),1,0)) AS NUM_REG_DIF,'1' AS ID_EXEC, CURRENT_TIMESTAMP() AS TIME_EXEC FROM (SELECT a, stage FROM BU_LOANTAPE_WORK.LT001_UNIV_OPER WHERE ref_date='${ref_date}' AND nome_perimetro='Individual Local' AND segmento='ESTR' AND ambito='SRB_MBDT' AND entidade='00100')X INNER JOIN (SELECT a AS a_SIMUL, stage AS stage_SIMUL FROM BU_LOANTAPE_WORK.SIMUL_LT001 WHERE ref_date='${ref_date}' AND nome_perimetro='Individual Local' AND segmento='ESTR' AND ambito='PILAR3' AND entidade='00100')Y ON X.A=Y.A_SIMUL</v>
      </c>
      <c r="M31" s="36" t="str">
        <f t="shared" si="0"/>
        <v>UNION ALL SELECT 'UNIV_OPER' AS TABELA, 'COERÊNCIA' AS TIPOLOGIA_TESTE,'BU_LOANTAPE_WORK.LT001_UNIV_OPER' AS TABELA_LT,'BU_LOANTAPE_WORK.SIMUL_LT001' AS TABELA_SIMUL,'stage' AS CAMPO, '${ref_date}' AS REF_DATE, COUNT(*) AS NUM_REG, SUM(IF(COALESCE(CAST(X.stage AS STRING),'')&lt;&gt;COALESCE(CAST(Y.stage_SIMUL AS STRING),'') OR (X.stage IS NULL AND Y.stage_SIMUL IS NOT NULL ) OR (X.stage IS NOT NULL AND Y.stage_SIMUL IS NULL),1,0)) AS NUM_REG_DIF,'1' AS ID_EXEC, CURRENT_TIMESTAMP() AS TIME_EXEC FROM (SELECT a, stage FROM BU_LOANTAPE_WORK.LT001_UNIV_OPER WHERE ref_date='${ref_date}' AND nome_perimetro='Individual Local' AND segmento='ESTR' AND ambito='SRB_MBDT' AND entidade='00100')X INNER JOIN (SELECT a AS a_SIMUL, stage AS stage_SIMUL FROM BU_LOANTAPE_WORK.SIMUL_LT001 WHERE ref_date='${ref_date}' AND nome_perimetro='Individual Local' AND segmento='ESTR' AND ambito='PILAR3' AND entidade='00100')Y ON X.A=Y.A_SIMUL</v>
      </c>
      <c r="N31" s="38" t="s">
        <v>40</v>
      </c>
    </row>
    <row r="32" spans="1:14">
      <c r="A32" s="60" t="str">
        <f t="shared" si="1"/>
        <v>UNIV_OPERstage_atual</v>
      </c>
      <c r="B32" s="34" t="s">
        <v>1092</v>
      </c>
      <c r="C32" s="34" t="s">
        <v>5</v>
      </c>
      <c r="D32" s="34" t="str">
        <f>+UPPER('0. Instruções'!$D$35&amp;"."&amp;VLOOKUP(B32,'0. Instruções'!$C$27:$D$32,2,FALSE))</f>
        <v>BU_LOANTAPE_WORK.LT001_UNIV_OPER</v>
      </c>
      <c r="E32" s="34" t="str">
        <f>+UPPER('0. Instruções'!$D$36&amp;"."&amp;VLOOKUP(B32,'0. Instruções'!$C$27:$E$32,3,FALSE))</f>
        <v>BU_LOANTAPE_WORK.SIMUL_LT001</v>
      </c>
      <c r="F32" s="34" t="s">
        <v>1116</v>
      </c>
      <c r="G32" s="34"/>
      <c r="H32" s="34"/>
      <c r="I32" s="34" t="str">
        <f>"(SELECT "&amp;VLOOKUP(B32,'0. Instruções'!$C$27:$G$32,4,FALSE)&amp;", "&amp;F32&amp;" FROM "&amp;D32&amp;" WHERE "&amp;'0. Instruções'!$D$42&amp;")X"</f>
        <v>(SELECT a, stage_atual FROM BU_LOANTAPE_WORK.LT001_UNIV_OPER WHERE ref_date='${ref_date}' AND nome_perimetro='Individual Local' AND segmento='ESTR' AND ambito='SRB_MBDT' AND entidade='00100')X</v>
      </c>
      <c r="J32" s="34" t="str">
        <f>"(SELECT "&amp;VLOOKUP(B32,'0. Instruções'!$C$27:$G$32,4,FALSE)&amp;" AS "&amp;VLOOKUP(B32,'0. Instruções'!$C$27:$G$32,4,FALSE)&amp;"_SIMUL, "&amp;F32&amp;" AS "&amp;F32&amp;"_SIMUL FROM "&amp;E32&amp;" WHERE "&amp;'0. Instruções'!$D$43&amp;")Y"</f>
        <v>(SELECT a AS a_SIMUL, stage_atual AS stage_atual_SIMUL FROM BU_LOANTAPE_WORK.SIMUL_LT001 WHERE ref_date='${ref_date}' AND nome_perimetro='Individual Local' AND segmento='ESTR' AND ambito='PILAR3' AND entidade='00100')Y</v>
      </c>
      <c r="K32" s="35" t="str">
        <f>+UPPER("ON X."&amp;VLOOKUP(B32,'0. Instruções'!$C$27:$G$32,4,FALSE)&amp;"=Y."&amp;VLOOKUP(B32,'0. Instruções'!$C$27:$G$32,4,FALSE)&amp;"_SIMUL")</f>
        <v>ON X.A=Y.A_SIMUL</v>
      </c>
      <c r="L32" s="35" t="str">
        <f>+IF(C32="Coerência", +IF(LEFT(G32,5)="FLOAT","SELECT '"&amp;UPPER(B32)&amp;"' AS TABELA, '"&amp;UPPER(C32)&amp;"' AS TIPOLOGIA_TESTE,'"&amp;D32&amp;"' AS TABELA_LT,'"&amp;E32&amp;"' AS TABELA_SIMUL,'"&amp;F32&amp;"' AS CAMPO, "&amp;"'${ref_date}' AS REF_DATE, COUNT(*) AS NUM_REG, SUM(IF((ABS(COALESCE(CAST(X."&amp;F32&amp;" AS DECIMAL(18,6)),0)-COALESCE(CAST(Y."&amp;F32&amp;"_SIMUL AS DECIMAL(18,6)),0))&gt;0.000001) OR (X."&amp;F32&amp;" IS NULL AND Y."&amp;F32&amp;"_SIMUL IS NOT NULL ) OR (X."&amp;F32&amp;" IS NOT NULL AND Y."&amp;F32&amp;"_SIMUL IS NULL),1,0)) AS NUM_REG_DIF,'"&amp;MAX('ID1&amp;5'!K:K)+1&amp;"' AS ID_EXEC, CURRENT_TIMESTAMP() AS TIME_EXEC FROM "&amp;I32&amp;" INNER JOIN "&amp;J32&amp;" "&amp;K32,"SELECT '"&amp;UPPER(B32)&amp;"' AS TABELA, '"&amp;UPPER(C32)&amp;"' AS TIPOLOGIA_TESTE,'"&amp;D32&amp;"' AS TABELA_LT,'"&amp;E32&amp;"' AS TABELA_SIMUL,'"&amp;F32&amp;"' AS CAMPO, "&amp;"'${ref_date}' AS REF_DATE, COUNT(*) AS NUM_REG, SUM(IF(COALESCE(CAST(X."&amp;F32&amp;" AS STRING),'')&lt;&gt;COALESCE(CAST(Y."&amp;F32&amp;"_SIMUL AS STRING),'') OR (X."&amp;F32&amp;" IS NULL AND Y."&amp;F32&amp;"_SIMUL IS NOT NULL ) OR (X."&amp;F32&amp;" IS NOT NULL AND Y."&amp;F32&amp;"_SIMUL IS NULL),1,0)) AS NUM_REG_DIF,'"&amp;MAX('ID1&amp;5'!L:L)+1&amp;"' AS ID_EXEC, CURRENT_TIMESTAMP() AS TIME_EXEC FROM "&amp;I32&amp;" INNER JOIN "&amp;J32&amp;" "&amp;K32),
IF(C32="Validade",+IF(G32="Code List","SELECT '"&amp;UPPER(B32)&amp;"' AS TABELA, '"&amp;UPPER(C32)&amp;"' AS TIPOLOGIA_TESTE,'"&amp;D32&amp;"' AS TABELA_LT,'N/A' AS TABELA_SIMUL,'"&amp;F32&amp;"' AS CAMPO, "&amp;"'${ref_date}' AS REF_DATE, COUNT(*) AS NUM_REG, SUM(IF(TRIM(CAST(X."&amp;F32&amp;" AS STRING))='' OR TRIM(CAST(X."&amp;F32&amp;" AS STRING)) IS NULL OR CAST(X."&amp;F32&amp;" AS STRING) NOT "&amp;H32&amp;",1,0)) AS NUM_REG_DIF,'"&amp;MAX('ID1&amp;5'!K:K)+1&amp;"' AS ID_EXEC, CURRENT_TIMESTAMP() AS TIME_EXEC FROM "&amp;I32,"SELECT '"&amp;UPPER(B32)&amp;"' AS TABELA, '"&amp;UPPER(C32)&amp;"' AS TIPOLOGIA_TESTE,'"&amp;D32&amp;"' AS TABELA_LT,'N/A' AS TABELA_SIMUL,'"&amp;F32&amp;"' AS CAMPO, "&amp;"'${ref_date}' AS REF_DATE, COUNT(*) AS NUM_REG, SUM(IF(TRIM(CAST(X."&amp;F32&amp;" AS STRING))='' OR TRIM(CAST(X."&amp;F32&amp;" AS STRING)) IS NULL,1,0)) AS NUM_REG_DIF,'"&amp;MAX('ID1&amp;5'!K:K)+1&amp;"' AS ID_EXEC, CURRENT_TIMESTAMP() AS TIME_EXEC FROM "&amp;I32),
IF(C32="Caracteres Especiais",+"SELECT '"&amp;UPPER(B32)&amp;"' AS TABELA, '"&amp;UPPER(C32)&amp;"' AS TIPOLOGIA_TESTE,'"&amp;D32&amp;"' AS TABELA_LT,'N/A' AS TABELA_SIMUL,'"&amp;F32&amp;"' AS CAMPO, "&amp;"'${ref_date}' AS REF_DATE, COUNT(*) AS NUM_REG, SUM(IF(REGEXP_REPLACE(TRIM(CAST(X."&amp;F32&amp;" AS STRING)),'[^a-zA-Z0-9_\\s]','') &lt;&gt;TRIM(CAST(X."&amp;F32&amp;" AS STRING)),1,0)) AS NUM_REG_DIF,'"&amp;MAX('ID1&amp;5'!K:K)+1&amp;"' AS ID_EXEC, CURRENT_TIMESTAMP() AS TIME_EXEC FROM "&amp;I32,
IF(C32="Missings",+"SELECT '"&amp;UPPER(B32)&amp;"' AS TABELA, '"&amp;UPPER(C32)&amp;"' AS TIPOLOGIA_TESTE,'"&amp;D32&amp;"' AS TABELA_LT,'N/A' AS TABELA_SIMUL,'"&amp;F32&amp;"' AS CAMPO, "&amp;"'${ref_date}' AS REF_DATE, COUNT(*) AS NUM_REG, SUM(IF(TRIM(CAST(X."&amp;F32&amp;" AS STRING)) IN ('0000-00-00','0001-01-01','9999-12-31','MISS','00000','99999999999','99999999999.00','99999999999.000000'),1,0)) AS NUM_REG_DIF,'"&amp;MAX('ID1&amp;5'!K:K)+1&amp;"' AS ID_EXEC, CURRENT_TIMESTAMP() AS TIME_EXEC FROM "&amp;I32,
IF(C32="Not applicable",+"SELECT '"&amp;UPPER(B32)&amp;"' AS TABELA, '"&amp;UPPER(C32)&amp;"' AS TIPOLOGIA_TESTE,'"&amp;D32&amp;"' AS TABELA_LT,'N/A' AS TABELA_SIMUL,'"&amp;F32&amp;"' AS CAMPO, "&amp;"'${ref_date}' AS REF_DATE, COUNT(*) AS NUM_REG, SUM(IF(TRIM(CAST(X."&amp;F32&amp;" AS STRING)) IN ('N/A','11111111111','11111111111.00','11111111111.000000','1111-11-11'),1,0)) AS NUM_REG_DIF,'"&amp;MAX('ID1&amp;5'!K:K)+1&amp;"' AS ID_EXEC, CURRENT_TIMESTAMP() AS TIME_EXEC FROM "&amp;I32,
IF(C32="Valores extremos",+"SELECT '"&amp;UPPER(B32)&amp;"' AS TABELA, '"&amp;UPPER(C32)&amp;"' AS TIPOLOGIA_TESTE,'"&amp;D32&amp;"' AS TABELA_LT,'N/A' AS TABELA_SIMUL,'"&amp;F32&amp;"' AS CAMPO, "&amp;"'${ref_date}' AS REF_DATE, CAST(MIN("&amp;F32&amp;") AS STRING) AS VALOR_MIN, CAST(MAX("&amp;F32&amp;") AS STRING) AS VALOR_MAX,'"&amp;MAX('ID1&amp;5'!K:K)+1&amp;"' AS ID_EXEC, CURRENT_TIMESTAMP() AS TIME_EXEC FROM "&amp;MID(I32,1,LEN(I32)-2)&amp;" AND CAST("&amp;F32&amp;"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TABELA_SIMUL,'stage_atual' AS CAMPO, '${ref_date}' AS REF_DATE, COUNT(*) AS NUM_REG, SUM(IF(COALESCE(CAST(X.stage_atual AS STRING),'')&lt;&gt;COALESCE(CAST(Y.stage_atual_SIMUL AS STRING),'') OR (X.stage_atual IS NULL AND Y.stage_atual_SIMUL IS NOT NULL ) OR (X.stage_atual IS NOT NULL AND Y.stage_atual_SIMUL IS NULL),1,0)) AS NUM_REG_DIF,'1' AS ID_EXEC, CURRENT_TIMESTAMP() AS TIME_EXEC FROM (SELECT a, stage_atual FROM BU_LOANTAPE_WORK.LT001_UNIV_OPER WHERE ref_date='${ref_date}' AND nome_perimetro='Individual Local' AND segmento='ESTR' AND ambito='SRB_MBDT' AND entidade='00100')X INNER JOIN (SELECT a AS a_SIMUL, stage_atual AS stage_atual_SIMUL FROM BU_LOANTAPE_WORK.SIMUL_LT001 WHERE ref_date='${ref_date}' AND nome_perimetro='Individual Local' AND segmento='ESTR' AND ambito='PILAR3' AND entidade='00100')Y ON X.A=Y.A_SIMUL</v>
      </c>
      <c r="M32" s="36" t="str">
        <f t="shared" si="0"/>
        <v>UNION ALL SELECT 'UNIV_OPER' AS TABELA, 'COERÊNCIA' AS TIPOLOGIA_TESTE,'BU_LOANTAPE_WORK.LT001_UNIV_OPER' AS TABELA_LT,'BU_LOANTAPE_WORK.SIMUL_LT001' AS TABELA_SIMUL,'stage_atual' AS CAMPO, '${ref_date}' AS REF_DATE, COUNT(*) AS NUM_REG, SUM(IF(COALESCE(CAST(X.stage_atual AS STRING),'')&lt;&gt;COALESCE(CAST(Y.stage_atual_SIMUL AS STRING),'') OR (X.stage_atual IS NULL AND Y.stage_atual_SIMUL IS NOT NULL ) OR (X.stage_atual IS NOT NULL AND Y.stage_atual_SIMUL IS NULL),1,0)) AS NUM_REG_DIF,'1' AS ID_EXEC, CURRENT_TIMESTAMP() AS TIME_EXEC FROM (SELECT a, stage_atual FROM BU_LOANTAPE_WORK.LT001_UNIV_OPER WHERE ref_date='${ref_date}' AND nome_perimetro='Individual Local' AND segmento='ESTR' AND ambito='SRB_MBDT' AND entidade='00100')X INNER JOIN (SELECT a AS a_SIMUL, stage_atual AS stage_atual_SIMUL FROM BU_LOANTAPE_WORK.SIMUL_LT001 WHERE ref_date='${ref_date}' AND nome_perimetro='Individual Local' AND segmento='ESTR' AND ambito='PILAR3' AND entidade='00100')Y ON X.A=Y.A_SIMUL</v>
      </c>
      <c r="N32" s="38" t="s">
        <v>40</v>
      </c>
    </row>
    <row r="33" spans="1:14">
      <c r="A33" s="60" t="str">
        <f t="shared" si="1"/>
        <v>UNIV_OPERcproduto</v>
      </c>
      <c r="B33" s="34" t="s">
        <v>1092</v>
      </c>
      <c r="C33" s="34" t="s">
        <v>5</v>
      </c>
      <c r="D33" s="34" t="str">
        <f>+UPPER('0. Instruções'!$D$35&amp;"."&amp;VLOOKUP(B33,'0. Instruções'!$C$27:$D$32,2,FALSE))</f>
        <v>BU_LOANTAPE_WORK.LT001_UNIV_OPER</v>
      </c>
      <c r="E33" s="34" t="str">
        <f>+UPPER('0. Instruções'!$D$36&amp;"."&amp;VLOOKUP(B33,'0. Instruções'!$C$27:$E$32,3,FALSE))</f>
        <v>BU_LOANTAPE_WORK.SIMUL_LT001</v>
      </c>
      <c r="F33" s="34" t="s">
        <v>1117</v>
      </c>
      <c r="G33" s="34"/>
      <c r="H33" s="34"/>
      <c r="I33" s="34" t="str">
        <f>"(SELECT "&amp;VLOOKUP(B33,'0. Instruções'!$C$27:$G$32,4,FALSE)&amp;", "&amp;F33&amp;" FROM "&amp;D33&amp;" WHERE "&amp;'0. Instruções'!$D$42&amp;")X"</f>
        <v>(SELECT a, cproduto FROM BU_LOANTAPE_WORK.LT001_UNIV_OPER WHERE ref_date='${ref_date}' AND nome_perimetro='Individual Local' AND segmento='ESTR' AND ambito='SRB_MBDT' AND entidade='00100')X</v>
      </c>
      <c r="J33" s="34" t="str">
        <f>"(SELECT "&amp;VLOOKUP(B33,'0. Instruções'!$C$27:$G$32,4,FALSE)&amp;" AS "&amp;VLOOKUP(B33,'0. Instruções'!$C$27:$G$32,4,FALSE)&amp;"_SIMUL, "&amp;F33&amp;" AS "&amp;F33&amp;"_SIMUL FROM "&amp;E33&amp;" WHERE "&amp;'0. Instruções'!$D$43&amp;")Y"</f>
        <v>(SELECT a AS a_SIMUL, cproduto AS cproduto_SIMUL FROM BU_LOANTAPE_WORK.SIMUL_LT001 WHERE ref_date='${ref_date}' AND nome_perimetro='Individual Local' AND segmento='ESTR' AND ambito='PILAR3' AND entidade='00100')Y</v>
      </c>
      <c r="K33" s="35" t="str">
        <f>+UPPER("ON X."&amp;VLOOKUP(B33,'0. Instruções'!$C$27:$G$32,4,FALSE)&amp;"=Y."&amp;VLOOKUP(B33,'0. Instruções'!$C$27:$G$32,4,FALSE)&amp;"_SIMUL")</f>
        <v>ON X.A=Y.A_SIMUL</v>
      </c>
      <c r="L33" s="35" t="str">
        <f>+IF(C33="Coerência", +IF(LEFT(G33,5)="FLOAT","SELECT '"&amp;UPPER(B33)&amp;"' AS TABELA, '"&amp;UPPER(C33)&amp;"' AS TIPOLOGIA_TESTE,'"&amp;D33&amp;"' AS TABELA_LT,'"&amp;E33&amp;"' AS TABELA_SIMUL,'"&amp;F33&amp;"' AS CAMPO, "&amp;"'${ref_date}' AS REF_DATE, COUNT(*) AS NUM_REG, SUM(IF((ABS(COALESCE(CAST(X."&amp;F33&amp;" AS DECIMAL(18,6)),0)-COALESCE(CAST(Y."&amp;F33&amp;"_SIMUL AS DECIMAL(18,6)),0))&gt;0.000001) OR (X."&amp;F33&amp;" IS NULL AND Y."&amp;F33&amp;"_SIMUL IS NOT NULL ) OR (X."&amp;F33&amp;" IS NOT NULL AND Y."&amp;F33&amp;"_SIMUL IS NULL),1,0)) AS NUM_REG_DIF,'"&amp;MAX('ID1&amp;5'!K:K)+1&amp;"' AS ID_EXEC, CURRENT_TIMESTAMP() AS TIME_EXEC FROM "&amp;I33&amp;" INNER JOIN "&amp;J33&amp;" "&amp;K33,"SELECT '"&amp;UPPER(B33)&amp;"' AS TABELA, '"&amp;UPPER(C33)&amp;"' AS TIPOLOGIA_TESTE,'"&amp;D33&amp;"' AS TABELA_LT,'"&amp;E33&amp;"' AS TABELA_SIMUL,'"&amp;F33&amp;"' AS CAMPO, "&amp;"'${ref_date}' AS REF_DATE, COUNT(*) AS NUM_REG, SUM(IF(COALESCE(CAST(X."&amp;F33&amp;" AS STRING),'')&lt;&gt;COALESCE(CAST(Y."&amp;F33&amp;"_SIMUL AS STRING),'') OR (X."&amp;F33&amp;" IS NULL AND Y."&amp;F33&amp;"_SIMUL IS NOT NULL ) OR (X."&amp;F33&amp;" IS NOT NULL AND Y."&amp;F33&amp;"_SIMUL IS NULL),1,0)) AS NUM_REG_DIF,'"&amp;MAX('ID1&amp;5'!L:L)+1&amp;"' AS ID_EXEC, CURRENT_TIMESTAMP() AS TIME_EXEC FROM "&amp;I33&amp;" INNER JOIN "&amp;J33&amp;" "&amp;K33),
IF(C33="Validade",+IF(G33="Code List","SELECT '"&amp;UPPER(B33)&amp;"' AS TABELA, '"&amp;UPPER(C33)&amp;"' AS TIPOLOGIA_TESTE,'"&amp;D33&amp;"' AS TABELA_LT,'N/A' AS TABELA_SIMUL,'"&amp;F33&amp;"' AS CAMPO, "&amp;"'${ref_date}' AS REF_DATE, COUNT(*) AS NUM_REG, SUM(IF(TRIM(CAST(X."&amp;F33&amp;" AS STRING))='' OR TRIM(CAST(X."&amp;F33&amp;" AS STRING)) IS NULL OR CAST(X."&amp;F33&amp;" AS STRING) NOT "&amp;H33&amp;",1,0)) AS NUM_REG_DIF,'"&amp;MAX('ID1&amp;5'!K:K)+1&amp;"' AS ID_EXEC, CURRENT_TIMESTAMP() AS TIME_EXEC FROM "&amp;I33,"SELECT '"&amp;UPPER(B33)&amp;"' AS TABELA, '"&amp;UPPER(C33)&amp;"' AS TIPOLOGIA_TESTE,'"&amp;D33&amp;"' AS TABELA_LT,'N/A' AS TABELA_SIMUL,'"&amp;F33&amp;"' AS CAMPO, "&amp;"'${ref_date}' AS REF_DATE, COUNT(*) AS NUM_REG, SUM(IF(TRIM(CAST(X."&amp;F33&amp;" AS STRING))='' OR TRIM(CAST(X."&amp;F33&amp;" AS STRING)) IS NULL,1,0)) AS NUM_REG_DIF,'"&amp;MAX('ID1&amp;5'!K:K)+1&amp;"' AS ID_EXEC, CURRENT_TIMESTAMP() AS TIME_EXEC FROM "&amp;I33),
IF(C33="Caracteres Especiais",+"SELECT '"&amp;UPPER(B33)&amp;"' AS TABELA, '"&amp;UPPER(C33)&amp;"' AS TIPOLOGIA_TESTE,'"&amp;D33&amp;"' AS TABELA_LT,'N/A' AS TABELA_SIMUL,'"&amp;F33&amp;"' AS CAMPO, "&amp;"'${ref_date}' AS REF_DATE, COUNT(*) AS NUM_REG, SUM(IF(REGEXP_REPLACE(TRIM(CAST(X."&amp;F33&amp;" AS STRING)),'[^a-zA-Z0-9_\\s]','') &lt;&gt;TRIM(CAST(X."&amp;F33&amp;" AS STRING)),1,0)) AS NUM_REG_DIF,'"&amp;MAX('ID1&amp;5'!K:K)+1&amp;"' AS ID_EXEC, CURRENT_TIMESTAMP() AS TIME_EXEC FROM "&amp;I33,
IF(C33="Missings",+"SELECT '"&amp;UPPER(B33)&amp;"' AS TABELA, '"&amp;UPPER(C33)&amp;"' AS TIPOLOGIA_TESTE,'"&amp;D33&amp;"' AS TABELA_LT,'N/A' AS TABELA_SIMUL,'"&amp;F33&amp;"' AS CAMPO, "&amp;"'${ref_date}' AS REF_DATE, COUNT(*) AS NUM_REG, SUM(IF(TRIM(CAST(X."&amp;F33&amp;" AS STRING)) IN ('0000-00-00','0001-01-01','9999-12-31','MISS','00000','99999999999','99999999999.00','99999999999.000000'),1,0)) AS NUM_REG_DIF,'"&amp;MAX('ID1&amp;5'!K:K)+1&amp;"' AS ID_EXEC, CURRENT_TIMESTAMP() AS TIME_EXEC FROM "&amp;I33,
IF(C33="Not applicable",+"SELECT '"&amp;UPPER(B33)&amp;"' AS TABELA, '"&amp;UPPER(C33)&amp;"' AS TIPOLOGIA_TESTE,'"&amp;D33&amp;"' AS TABELA_LT,'N/A' AS TABELA_SIMUL,'"&amp;F33&amp;"' AS CAMPO, "&amp;"'${ref_date}' AS REF_DATE, COUNT(*) AS NUM_REG, SUM(IF(TRIM(CAST(X."&amp;F33&amp;" AS STRING)) IN ('N/A','11111111111','11111111111.00','11111111111.000000','1111-11-11'),1,0)) AS NUM_REG_DIF,'"&amp;MAX('ID1&amp;5'!K:K)+1&amp;"' AS ID_EXEC, CURRENT_TIMESTAMP() AS TIME_EXEC FROM "&amp;I33,
IF(C33="Valores extremos",+"SELECT '"&amp;UPPER(B33)&amp;"' AS TABELA, '"&amp;UPPER(C33)&amp;"' AS TIPOLOGIA_TESTE,'"&amp;D33&amp;"' AS TABELA_LT,'N/A' AS TABELA_SIMUL,'"&amp;F33&amp;"' AS CAMPO, "&amp;"'${ref_date}' AS REF_DATE, CAST(MIN("&amp;F33&amp;") AS STRING) AS VALOR_MIN, CAST(MAX("&amp;F33&amp;") AS STRING) AS VALOR_MAX,'"&amp;MAX('ID1&amp;5'!K:K)+1&amp;"' AS ID_EXEC, CURRENT_TIMESTAMP() AS TIME_EXEC FROM "&amp;MID(I33,1,LEN(I33)-2)&amp;" AND CAST("&amp;F33&amp;"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TABELA_SIMUL,'cproduto' AS CAMPO, '${ref_date}' AS REF_DATE, COUNT(*) AS NUM_REG, SUM(IF(COALESCE(CAST(X.cproduto AS STRING),'')&lt;&gt;COALESCE(CAST(Y.cproduto_SIMUL AS STRING),'') OR (X.cproduto IS NULL AND Y.cproduto_SIMUL IS NOT NULL ) OR (X.cproduto IS NOT NULL AND Y.cproduto_SIMUL IS NULL),1,0)) AS NUM_REG_DIF,'1' AS ID_EXEC, CURRENT_TIMESTAMP() AS TIME_EXEC FROM (SELECT a, cproduto FROM BU_LOANTAPE_WORK.LT001_UNIV_OPER WHERE ref_date='${ref_date}' AND nome_perimetro='Individual Local' AND segmento='ESTR' AND ambito='SRB_MBDT' AND entidade='00100')X INNER JOIN (SELECT a AS a_SIMUL, cproduto AS cproduto_SIMUL FROM BU_LOANTAPE_WORK.SIMUL_LT001 WHERE ref_date='${ref_date}' AND nome_perimetro='Individual Local' AND segmento='ESTR' AND ambito='PILAR3' AND entidade='00100')Y ON X.A=Y.A_SIMUL</v>
      </c>
      <c r="M33" s="36" t="str">
        <f t="shared" si="0"/>
        <v>UNION ALL SELECT 'UNIV_OPER' AS TABELA, 'COERÊNCIA' AS TIPOLOGIA_TESTE,'BU_LOANTAPE_WORK.LT001_UNIV_OPER' AS TABELA_LT,'BU_LOANTAPE_WORK.SIMUL_LT001' AS TABELA_SIMUL,'cproduto' AS CAMPO, '${ref_date}' AS REF_DATE, COUNT(*) AS NUM_REG, SUM(IF(COALESCE(CAST(X.cproduto AS STRING),'')&lt;&gt;COALESCE(CAST(Y.cproduto_SIMUL AS STRING),'') OR (X.cproduto IS NULL AND Y.cproduto_SIMUL IS NOT NULL ) OR (X.cproduto IS NOT NULL AND Y.cproduto_SIMUL IS NULL),1,0)) AS NUM_REG_DIF,'1' AS ID_EXEC, CURRENT_TIMESTAMP() AS TIME_EXEC FROM (SELECT a, cproduto FROM BU_LOANTAPE_WORK.LT001_UNIV_OPER WHERE ref_date='${ref_date}' AND nome_perimetro='Individual Local' AND segmento='ESTR' AND ambito='SRB_MBDT' AND entidade='00100')X INNER JOIN (SELECT a AS a_SIMUL, cproduto AS cproduto_SIMUL FROM BU_LOANTAPE_WORK.SIMUL_LT001 WHERE ref_date='${ref_date}' AND nome_perimetro='Individual Local' AND segmento='ESTR' AND ambito='PILAR3' AND entidade='00100')Y ON X.A=Y.A_SIMUL</v>
      </c>
      <c r="N33" s="38" t="s">
        <v>40</v>
      </c>
    </row>
    <row r="34" spans="1:14">
      <c r="A34" s="60" t="str">
        <f t="shared" si="1"/>
        <v>UNIV_OPERsubproduto</v>
      </c>
      <c r="B34" s="34" t="s">
        <v>1092</v>
      </c>
      <c r="C34" s="34" t="s">
        <v>5</v>
      </c>
      <c r="D34" s="34" t="str">
        <f>+UPPER('0. Instruções'!$D$35&amp;"."&amp;VLOOKUP(B34,'0. Instruções'!$C$27:$D$32,2,FALSE))</f>
        <v>BU_LOANTAPE_WORK.LT001_UNIV_OPER</v>
      </c>
      <c r="E34" s="34" t="str">
        <f>+UPPER('0. Instruções'!$D$36&amp;"."&amp;VLOOKUP(B34,'0. Instruções'!$C$27:$E$32,3,FALSE))</f>
        <v>BU_LOANTAPE_WORK.SIMUL_LT001</v>
      </c>
      <c r="F34" s="34" t="s">
        <v>1118</v>
      </c>
      <c r="G34" s="34"/>
      <c r="H34" s="34"/>
      <c r="I34" s="34" t="str">
        <f>"(SELECT "&amp;VLOOKUP(B34,'0. Instruções'!$C$27:$G$32,4,FALSE)&amp;", "&amp;F34&amp;" FROM "&amp;D34&amp;" WHERE "&amp;'0. Instruções'!$D$42&amp;")X"</f>
        <v>(SELECT a, subproduto FROM BU_LOANTAPE_WORK.LT001_UNIV_OPER WHERE ref_date='${ref_date}' AND nome_perimetro='Individual Local' AND segmento='ESTR' AND ambito='SRB_MBDT' AND entidade='00100')X</v>
      </c>
      <c r="J34" s="34" t="str">
        <f>"(SELECT "&amp;VLOOKUP(B34,'0. Instruções'!$C$27:$G$32,4,FALSE)&amp;" AS "&amp;VLOOKUP(B34,'0. Instruções'!$C$27:$G$32,4,FALSE)&amp;"_SIMUL, "&amp;F34&amp;" AS "&amp;F34&amp;"_SIMUL FROM "&amp;E34&amp;" WHERE "&amp;'0. Instruções'!$D$43&amp;")Y"</f>
        <v>(SELECT a AS a_SIMUL, subproduto AS subproduto_SIMUL FROM BU_LOANTAPE_WORK.SIMUL_LT001 WHERE ref_date='${ref_date}' AND nome_perimetro='Individual Local' AND segmento='ESTR' AND ambito='PILAR3' AND entidade='00100')Y</v>
      </c>
      <c r="K34" s="35" t="str">
        <f>+UPPER("ON X."&amp;VLOOKUP(B34,'0. Instruções'!$C$27:$G$32,4,FALSE)&amp;"=Y."&amp;VLOOKUP(B34,'0. Instruções'!$C$27:$G$32,4,FALSE)&amp;"_SIMUL")</f>
        <v>ON X.A=Y.A_SIMUL</v>
      </c>
      <c r="L34" s="35" t="str">
        <f>+IF(C34="Coerência", +IF(LEFT(G34,5)="FLOAT","SELECT '"&amp;UPPER(B34)&amp;"' AS TABELA, '"&amp;UPPER(C34)&amp;"' AS TIPOLOGIA_TESTE,'"&amp;D34&amp;"' AS TABELA_LT,'"&amp;E34&amp;"' AS TABELA_SIMUL,'"&amp;F34&amp;"' AS CAMPO, "&amp;"'${ref_date}' AS REF_DATE, COUNT(*) AS NUM_REG, SUM(IF((ABS(COALESCE(CAST(X."&amp;F34&amp;" AS DECIMAL(18,6)),0)-COALESCE(CAST(Y."&amp;F34&amp;"_SIMUL AS DECIMAL(18,6)),0))&gt;0.000001) OR (X."&amp;F34&amp;" IS NULL AND Y."&amp;F34&amp;"_SIMUL IS NOT NULL ) OR (X."&amp;F34&amp;" IS NOT NULL AND Y."&amp;F34&amp;"_SIMUL IS NULL),1,0)) AS NUM_REG_DIF,'"&amp;MAX('ID1&amp;5'!K:K)+1&amp;"' AS ID_EXEC, CURRENT_TIMESTAMP() AS TIME_EXEC FROM "&amp;I34&amp;" INNER JOIN "&amp;J34&amp;" "&amp;K34,"SELECT '"&amp;UPPER(B34)&amp;"' AS TABELA, '"&amp;UPPER(C34)&amp;"' AS TIPOLOGIA_TESTE,'"&amp;D34&amp;"' AS TABELA_LT,'"&amp;E34&amp;"' AS TABELA_SIMUL,'"&amp;F34&amp;"' AS CAMPO, "&amp;"'${ref_date}' AS REF_DATE, COUNT(*) AS NUM_REG, SUM(IF(COALESCE(CAST(X."&amp;F34&amp;" AS STRING),'')&lt;&gt;COALESCE(CAST(Y."&amp;F34&amp;"_SIMUL AS STRING),'') OR (X."&amp;F34&amp;" IS NULL AND Y."&amp;F34&amp;"_SIMUL IS NOT NULL ) OR (X."&amp;F34&amp;" IS NOT NULL AND Y."&amp;F34&amp;"_SIMUL IS NULL),1,0)) AS NUM_REG_DIF,'"&amp;MAX('ID1&amp;5'!L:L)+1&amp;"' AS ID_EXEC, CURRENT_TIMESTAMP() AS TIME_EXEC FROM "&amp;I34&amp;" INNER JOIN "&amp;J34&amp;" "&amp;K34),
IF(C34="Validade",+IF(G34="Code List","SELECT '"&amp;UPPER(B34)&amp;"' AS TABELA, '"&amp;UPPER(C34)&amp;"' AS TIPOLOGIA_TESTE,'"&amp;D34&amp;"' AS TABELA_LT,'N/A' AS TABELA_SIMUL,'"&amp;F34&amp;"' AS CAMPO, "&amp;"'${ref_date}' AS REF_DATE, COUNT(*) AS NUM_REG, SUM(IF(TRIM(CAST(X."&amp;F34&amp;" AS STRING))='' OR TRIM(CAST(X."&amp;F34&amp;" AS STRING)) IS NULL OR CAST(X."&amp;F34&amp;" AS STRING) NOT "&amp;H34&amp;",1,0)) AS NUM_REG_DIF,'"&amp;MAX('ID1&amp;5'!K:K)+1&amp;"' AS ID_EXEC, CURRENT_TIMESTAMP() AS TIME_EXEC FROM "&amp;I34,"SELECT '"&amp;UPPER(B34)&amp;"' AS TABELA, '"&amp;UPPER(C34)&amp;"' AS TIPOLOGIA_TESTE,'"&amp;D34&amp;"' AS TABELA_LT,'N/A' AS TABELA_SIMUL,'"&amp;F34&amp;"' AS CAMPO, "&amp;"'${ref_date}' AS REF_DATE, COUNT(*) AS NUM_REG, SUM(IF(TRIM(CAST(X."&amp;F34&amp;" AS STRING))='' OR TRIM(CAST(X."&amp;F34&amp;" AS STRING)) IS NULL,1,0)) AS NUM_REG_DIF,'"&amp;MAX('ID1&amp;5'!K:K)+1&amp;"' AS ID_EXEC, CURRENT_TIMESTAMP() AS TIME_EXEC FROM "&amp;I34),
IF(C34="Caracteres Especiais",+"SELECT '"&amp;UPPER(B34)&amp;"' AS TABELA, '"&amp;UPPER(C34)&amp;"' AS TIPOLOGIA_TESTE,'"&amp;D34&amp;"' AS TABELA_LT,'N/A' AS TABELA_SIMUL,'"&amp;F34&amp;"' AS CAMPO, "&amp;"'${ref_date}' AS REF_DATE, COUNT(*) AS NUM_REG, SUM(IF(REGEXP_REPLACE(TRIM(CAST(X."&amp;F34&amp;" AS STRING)),'[^a-zA-Z0-9_\\s]','') &lt;&gt;TRIM(CAST(X."&amp;F34&amp;" AS STRING)),1,0)) AS NUM_REG_DIF,'"&amp;MAX('ID1&amp;5'!K:K)+1&amp;"' AS ID_EXEC, CURRENT_TIMESTAMP() AS TIME_EXEC FROM "&amp;I34,
IF(C34="Missings",+"SELECT '"&amp;UPPER(B34)&amp;"' AS TABELA, '"&amp;UPPER(C34)&amp;"' AS TIPOLOGIA_TESTE,'"&amp;D34&amp;"' AS TABELA_LT,'N/A' AS TABELA_SIMUL,'"&amp;F34&amp;"' AS CAMPO, "&amp;"'${ref_date}' AS REF_DATE, COUNT(*) AS NUM_REG, SUM(IF(TRIM(CAST(X."&amp;F34&amp;" AS STRING)) IN ('0000-00-00','0001-01-01','9999-12-31','MISS','00000','99999999999','99999999999.00','99999999999.000000'),1,0)) AS NUM_REG_DIF,'"&amp;MAX('ID1&amp;5'!K:K)+1&amp;"' AS ID_EXEC, CURRENT_TIMESTAMP() AS TIME_EXEC FROM "&amp;I34,
IF(C34="Not applicable",+"SELECT '"&amp;UPPER(B34)&amp;"' AS TABELA, '"&amp;UPPER(C34)&amp;"' AS TIPOLOGIA_TESTE,'"&amp;D34&amp;"' AS TABELA_LT,'N/A' AS TABELA_SIMUL,'"&amp;F34&amp;"' AS CAMPO, "&amp;"'${ref_date}' AS REF_DATE, COUNT(*) AS NUM_REG, SUM(IF(TRIM(CAST(X."&amp;F34&amp;" AS STRING)) IN ('N/A','11111111111','11111111111.00','11111111111.000000','1111-11-11'),1,0)) AS NUM_REG_DIF,'"&amp;MAX('ID1&amp;5'!K:K)+1&amp;"' AS ID_EXEC, CURRENT_TIMESTAMP() AS TIME_EXEC FROM "&amp;I34,
IF(C34="Valores extremos",+"SELECT '"&amp;UPPER(B34)&amp;"' AS TABELA, '"&amp;UPPER(C34)&amp;"' AS TIPOLOGIA_TESTE,'"&amp;D34&amp;"' AS TABELA_LT,'N/A' AS TABELA_SIMUL,'"&amp;F34&amp;"' AS CAMPO, "&amp;"'${ref_date}' AS REF_DATE, CAST(MIN("&amp;F34&amp;") AS STRING) AS VALOR_MIN, CAST(MAX("&amp;F34&amp;") AS STRING) AS VALOR_MAX,'"&amp;MAX('ID1&amp;5'!K:K)+1&amp;"' AS ID_EXEC, CURRENT_TIMESTAMP() AS TIME_EXEC FROM "&amp;MID(I34,1,LEN(I34)-2)&amp;" AND CAST("&amp;F34&amp;"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TABELA_SIMUL,'subproduto' AS CAMPO, '${ref_date}' AS REF_DATE, COUNT(*) AS NUM_REG, SUM(IF(COALESCE(CAST(X.subproduto AS STRING),'')&lt;&gt;COALESCE(CAST(Y.subproduto_SIMUL AS STRING),'') OR (X.subproduto IS NULL AND Y.subproduto_SIMUL IS NOT NULL ) OR (X.subproduto IS NOT NULL AND Y.subproduto_SIMUL IS NULL),1,0)) AS NUM_REG_DIF,'1' AS ID_EXEC, CURRENT_TIMESTAMP() AS TIME_EXEC FROM (SELECT a, subproduto FROM BU_LOANTAPE_WORK.LT001_UNIV_OPER WHERE ref_date='${ref_date}' AND nome_perimetro='Individual Local' AND segmento='ESTR' AND ambito='SRB_MBDT' AND entidade='00100')X INNER JOIN (SELECT a AS a_SIMUL, subproduto AS subproduto_SIMUL FROM BU_LOANTAPE_WORK.SIMUL_LT001 WHERE ref_date='${ref_date}' AND nome_perimetro='Individual Local' AND segmento='ESTR' AND ambito='PILAR3' AND entidade='00100')Y ON X.A=Y.A_SIMUL</v>
      </c>
      <c r="M34" s="36" t="str">
        <f t="shared" si="0"/>
        <v>UNION ALL SELECT 'UNIV_OPER' AS TABELA, 'COERÊNCIA' AS TIPOLOGIA_TESTE,'BU_LOANTAPE_WORK.LT001_UNIV_OPER' AS TABELA_LT,'BU_LOANTAPE_WORK.SIMUL_LT001' AS TABELA_SIMUL,'subproduto' AS CAMPO, '${ref_date}' AS REF_DATE, COUNT(*) AS NUM_REG, SUM(IF(COALESCE(CAST(X.subproduto AS STRING),'')&lt;&gt;COALESCE(CAST(Y.subproduto_SIMUL AS STRING),'') OR (X.subproduto IS NULL AND Y.subproduto_SIMUL IS NOT NULL ) OR (X.subproduto IS NOT NULL AND Y.subproduto_SIMUL IS NULL),1,0)) AS NUM_REG_DIF,'1' AS ID_EXEC, CURRENT_TIMESTAMP() AS TIME_EXEC FROM (SELECT a, subproduto FROM BU_LOANTAPE_WORK.LT001_UNIV_OPER WHERE ref_date='${ref_date}' AND nome_perimetro='Individual Local' AND segmento='ESTR' AND ambito='SRB_MBDT' AND entidade='00100')X INNER JOIN (SELECT a AS a_SIMUL, subproduto AS subproduto_SIMUL FROM BU_LOANTAPE_WORK.SIMUL_LT001 WHERE ref_date='${ref_date}' AND nome_perimetro='Individual Local' AND segmento='ESTR' AND ambito='PILAR3' AND entidade='00100')Y ON X.A=Y.A_SIMUL</v>
      </c>
      <c r="N34" s="38" t="s">
        <v>40</v>
      </c>
    </row>
    <row r="35" spans="1:14">
      <c r="A35" s="60" t="str">
        <f t="shared" si="1"/>
        <v>UNIV_OPERcod_ajust</v>
      </c>
      <c r="B35" s="34" t="s">
        <v>1092</v>
      </c>
      <c r="C35" s="34" t="s">
        <v>5</v>
      </c>
      <c r="D35" s="34" t="str">
        <f>+UPPER('0. Instruções'!$D$35&amp;"."&amp;VLOOKUP(B35,'0. Instruções'!$C$27:$D$32,2,FALSE))</f>
        <v>BU_LOANTAPE_WORK.LT001_UNIV_OPER</v>
      </c>
      <c r="E35" s="34" t="str">
        <f>+UPPER('0. Instruções'!$D$36&amp;"."&amp;VLOOKUP(B35,'0. Instruções'!$C$27:$E$32,3,FALSE))</f>
        <v>BU_LOANTAPE_WORK.SIMUL_LT001</v>
      </c>
      <c r="F35" s="34" t="s">
        <v>1119</v>
      </c>
      <c r="G35" s="34"/>
      <c r="H35" s="34"/>
      <c r="I35" s="34" t="str">
        <f>"(SELECT "&amp;VLOOKUP(B35,'0. Instruções'!$C$27:$G$32,4,FALSE)&amp;", "&amp;F35&amp;" FROM "&amp;D35&amp;" WHERE "&amp;'0. Instruções'!$D$42&amp;")X"</f>
        <v>(SELECT a, cod_ajust FROM BU_LOANTAPE_WORK.LT001_UNIV_OPER WHERE ref_date='${ref_date}' AND nome_perimetro='Individual Local' AND segmento='ESTR' AND ambito='SRB_MBDT' AND entidade='00100')X</v>
      </c>
      <c r="J35" s="34" t="str">
        <f>"(SELECT "&amp;VLOOKUP(B35,'0. Instruções'!$C$27:$G$32,4,FALSE)&amp;" AS "&amp;VLOOKUP(B35,'0. Instruções'!$C$27:$G$32,4,FALSE)&amp;"_SIMUL, "&amp;F35&amp;" AS "&amp;F35&amp;"_SIMUL FROM "&amp;E35&amp;" WHERE "&amp;'0. Instruções'!$D$43&amp;")Y"</f>
        <v>(SELECT a AS a_SIMUL, cod_ajust AS cod_ajust_SIMUL FROM BU_LOANTAPE_WORK.SIMUL_LT001 WHERE ref_date='${ref_date}' AND nome_perimetro='Individual Local' AND segmento='ESTR' AND ambito='PILAR3' AND entidade='00100')Y</v>
      </c>
      <c r="K35" s="35" t="str">
        <f>+UPPER("ON X."&amp;VLOOKUP(B35,'0. Instruções'!$C$27:$G$32,4,FALSE)&amp;"=Y."&amp;VLOOKUP(B35,'0. Instruções'!$C$27:$G$32,4,FALSE)&amp;"_SIMUL")</f>
        <v>ON X.A=Y.A_SIMUL</v>
      </c>
      <c r="L35" s="35" t="str">
        <f>+IF(C35="Coerência", +IF(LEFT(G35,5)="FLOAT","SELECT '"&amp;UPPER(B35)&amp;"' AS TABELA, '"&amp;UPPER(C35)&amp;"' AS TIPOLOGIA_TESTE,'"&amp;D35&amp;"' AS TABELA_LT,'"&amp;E35&amp;"' AS TABELA_SIMUL,'"&amp;F35&amp;"' AS CAMPO, "&amp;"'${ref_date}' AS REF_DATE, COUNT(*) AS NUM_REG, SUM(IF((ABS(COALESCE(CAST(X."&amp;F35&amp;" AS DECIMAL(18,6)),0)-COALESCE(CAST(Y."&amp;F35&amp;"_SIMUL AS DECIMAL(18,6)),0))&gt;0.000001) OR (X."&amp;F35&amp;" IS NULL AND Y."&amp;F35&amp;"_SIMUL IS NOT NULL ) OR (X."&amp;F35&amp;" IS NOT NULL AND Y."&amp;F35&amp;"_SIMUL IS NULL),1,0)) AS NUM_REG_DIF,'"&amp;MAX('ID1&amp;5'!K:K)+1&amp;"' AS ID_EXEC, CURRENT_TIMESTAMP() AS TIME_EXEC FROM "&amp;I35&amp;" INNER JOIN "&amp;J35&amp;" "&amp;K35,"SELECT '"&amp;UPPER(B35)&amp;"' AS TABELA, '"&amp;UPPER(C35)&amp;"' AS TIPOLOGIA_TESTE,'"&amp;D35&amp;"' AS TABELA_LT,'"&amp;E35&amp;"' AS TABELA_SIMUL,'"&amp;F35&amp;"' AS CAMPO, "&amp;"'${ref_date}' AS REF_DATE, COUNT(*) AS NUM_REG, SUM(IF(COALESCE(CAST(X."&amp;F35&amp;" AS STRING),'')&lt;&gt;COALESCE(CAST(Y."&amp;F35&amp;"_SIMUL AS STRING),'') OR (X."&amp;F35&amp;" IS NULL AND Y."&amp;F35&amp;"_SIMUL IS NOT NULL ) OR (X."&amp;F35&amp;" IS NOT NULL AND Y."&amp;F35&amp;"_SIMUL IS NULL),1,0)) AS NUM_REG_DIF,'"&amp;MAX('ID1&amp;5'!L:L)+1&amp;"' AS ID_EXEC, CURRENT_TIMESTAMP() AS TIME_EXEC FROM "&amp;I35&amp;" INNER JOIN "&amp;J35&amp;" "&amp;K35),
IF(C35="Validade",+IF(G35="Code List","SELECT '"&amp;UPPER(B35)&amp;"' AS TABELA, '"&amp;UPPER(C35)&amp;"' AS TIPOLOGIA_TESTE,'"&amp;D35&amp;"' AS TABELA_LT,'N/A' AS TABELA_SIMUL,'"&amp;F35&amp;"' AS CAMPO, "&amp;"'${ref_date}' AS REF_DATE, COUNT(*) AS NUM_REG, SUM(IF(TRIM(CAST(X."&amp;F35&amp;" AS STRING))='' OR TRIM(CAST(X."&amp;F35&amp;" AS STRING)) IS NULL OR CAST(X."&amp;F35&amp;" AS STRING) NOT "&amp;H35&amp;",1,0)) AS NUM_REG_DIF,'"&amp;MAX('ID1&amp;5'!K:K)+1&amp;"' AS ID_EXEC, CURRENT_TIMESTAMP() AS TIME_EXEC FROM "&amp;I35,"SELECT '"&amp;UPPER(B35)&amp;"' AS TABELA, '"&amp;UPPER(C35)&amp;"' AS TIPOLOGIA_TESTE,'"&amp;D35&amp;"' AS TABELA_LT,'N/A' AS TABELA_SIMUL,'"&amp;F35&amp;"' AS CAMPO, "&amp;"'${ref_date}' AS REF_DATE, COUNT(*) AS NUM_REG, SUM(IF(TRIM(CAST(X."&amp;F35&amp;" AS STRING))='' OR TRIM(CAST(X."&amp;F35&amp;" AS STRING)) IS NULL,1,0)) AS NUM_REG_DIF,'"&amp;MAX('ID1&amp;5'!K:K)+1&amp;"' AS ID_EXEC, CURRENT_TIMESTAMP() AS TIME_EXEC FROM "&amp;I35),
IF(C35="Caracteres Especiais",+"SELECT '"&amp;UPPER(B35)&amp;"' AS TABELA, '"&amp;UPPER(C35)&amp;"' AS TIPOLOGIA_TESTE,'"&amp;D35&amp;"' AS TABELA_LT,'N/A' AS TABELA_SIMUL,'"&amp;F35&amp;"' AS CAMPO, "&amp;"'${ref_date}' AS REF_DATE, COUNT(*) AS NUM_REG, SUM(IF(REGEXP_REPLACE(TRIM(CAST(X."&amp;F35&amp;" AS STRING)),'[^a-zA-Z0-9_\\s]','') &lt;&gt;TRIM(CAST(X."&amp;F35&amp;" AS STRING)),1,0)) AS NUM_REG_DIF,'"&amp;MAX('ID1&amp;5'!K:K)+1&amp;"' AS ID_EXEC, CURRENT_TIMESTAMP() AS TIME_EXEC FROM "&amp;I35,
IF(C35="Missings",+"SELECT '"&amp;UPPER(B35)&amp;"' AS TABELA, '"&amp;UPPER(C35)&amp;"' AS TIPOLOGIA_TESTE,'"&amp;D35&amp;"' AS TABELA_LT,'N/A' AS TABELA_SIMUL,'"&amp;F35&amp;"' AS CAMPO, "&amp;"'${ref_date}' AS REF_DATE, COUNT(*) AS NUM_REG, SUM(IF(TRIM(CAST(X."&amp;F35&amp;" AS STRING)) IN ('0000-00-00','0001-01-01','9999-12-31','MISS','00000','99999999999','99999999999.00','99999999999.000000'),1,0)) AS NUM_REG_DIF,'"&amp;MAX('ID1&amp;5'!K:K)+1&amp;"' AS ID_EXEC, CURRENT_TIMESTAMP() AS TIME_EXEC FROM "&amp;I35,
IF(C35="Not applicable",+"SELECT '"&amp;UPPER(B35)&amp;"' AS TABELA, '"&amp;UPPER(C35)&amp;"' AS TIPOLOGIA_TESTE,'"&amp;D35&amp;"' AS TABELA_LT,'N/A' AS TABELA_SIMUL,'"&amp;F35&amp;"' AS CAMPO, "&amp;"'${ref_date}' AS REF_DATE, COUNT(*) AS NUM_REG, SUM(IF(TRIM(CAST(X."&amp;F35&amp;" AS STRING)) IN ('N/A','11111111111','11111111111.00','11111111111.000000','1111-11-11'),1,0)) AS NUM_REG_DIF,'"&amp;MAX('ID1&amp;5'!K:K)+1&amp;"' AS ID_EXEC, CURRENT_TIMESTAMP() AS TIME_EXEC FROM "&amp;I35,
IF(C35="Valores extremos",+"SELECT '"&amp;UPPER(B35)&amp;"' AS TABELA, '"&amp;UPPER(C35)&amp;"' AS TIPOLOGIA_TESTE,'"&amp;D35&amp;"' AS TABELA_LT,'N/A' AS TABELA_SIMUL,'"&amp;F35&amp;"' AS CAMPO, "&amp;"'${ref_date}' AS REF_DATE, CAST(MIN("&amp;F35&amp;") AS STRING) AS VALOR_MIN, CAST(MAX("&amp;F35&amp;") AS STRING) AS VALOR_MAX,'"&amp;MAX('ID1&amp;5'!K:K)+1&amp;"' AS ID_EXEC, CURRENT_TIMESTAMP() AS TIME_EXEC FROM "&amp;MID(I35,1,LEN(I35)-2)&amp;" AND CAST("&amp;F35&amp;"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TABELA_SIMUL,'cod_ajust' AS CAMPO, '${ref_date}' AS REF_DATE, COUNT(*) AS NUM_REG, SUM(IF(COALESCE(CAST(X.cod_ajust AS STRING),'')&lt;&gt;COALESCE(CAST(Y.cod_ajust_SIMUL AS STRING),'') OR (X.cod_ajust IS NULL AND Y.cod_ajust_SIMUL IS NOT NULL ) OR (X.cod_ajust IS NOT NULL AND Y.cod_ajust_SIMUL IS NULL),1,0)) AS NUM_REG_DIF,'1' AS ID_EXEC, CURRENT_TIMESTAMP() AS TIME_EXEC FROM (SELECT a, cod_ajust FROM BU_LOANTAPE_WORK.LT001_UNIV_OPER WHERE ref_date='${ref_date}' AND nome_perimetro='Individual Local' AND segmento='ESTR' AND ambito='SRB_MBDT' AND entidade='00100')X INNER JOIN (SELECT a AS a_SIMUL, cod_ajust AS cod_ajust_SIMUL FROM BU_LOANTAPE_WORK.SIMUL_LT001 WHERE ref_date='${ref_date}' AND nome_perimetro='Individual Local' AND segmento='ESTR' AND ambito='PILAR3' AND entidade='00100')Y ON X.A=Y.A_SIMUL</v>
      </c>
      <c r="M35" s="36" t="str">
        <f t="shared" si="0"/>
        <v>UNION ALL SELECT 'UNIV_OPER' AS TABELA, 'COERÊNCIA' AS TIPOLOGIA_TESTE,'BU_LOANTAPE_WORK.LT001_UNIV_OPER' AS TABELA_LT,'BU_LOANTAPE_WORK.SIMUL_LT001' AS TABELA_SIMUL,'cod_ajust' AS CAMPO, '${ref_date}' AS REF_DATE, COUNT(*) AS NUM_REG, SUM(IF(COALESCE(CAST(X.cod_ajust AS STRING),'')&lt;&gt;COALESCE(CAST(Y.cod_ajust_SIMUL AS STRING),'') OR (X.cod_ajust IS NULL AND Y.cod_ajust_SIMUL IS NOT NULL ) OR (X.cod_ajust IS NOT NULL AND Y.cod_ajust_SIMUL IS NULL),1,0)) AS NUM_REG_DIF,'1' AS ID_EXEC, CURRENT_TIMESTAMP() AS TIME_EXEC FROM (SELECT a, cod_ajust FROM BU_LOANTAPE_WORK.LT001_UNIV_OPER WHERE ref_date='${ref_date}' AND nome_perimetro='Individual Local' AND segmento='ESTR' AND ambito='SRB_MBDT' AND entidade='00100')X INNER JOIN (SELECT a AS a_SIMUL, cod_ajust AS cod_ajust_SIMUL FROM BU_LOANTAPE_WORK.SIMUL_LT001 WHERE ref_date='${ref_date}' AND nome_perimetro='Individual Local' AND segmento='ESTR' AND ambito='PILAR3' AND entidade='00100')Y ON X.A=Y.A_SIMUL</v>
      </c>
      <c r="N35" s="38" t="s">
        <v>40</v>
      </c>
    </row>
    <row r="36" spans="1:14">
      <c r="A36" s="60" t="str">
        <f t="shared" si="1"/>
        <v>UNIV_OPERtipo_ajuste</v>
      </c>
      <c r="B36" s="34" t="s">
        <v>1092</v>
      </c>
      <c r="C36" s="34" t="s">
        <v>5</v>
      </c>
      <c r="D36" s="34" t="str">
        <f>+UPPER('0. Instruções'!$D$35&amp;"."&amp;VLOOKUP(B36,'0. Instruções'!$C$27:$D$32,2,FALSE))</f>
        <v>BU_LOANTAPE_WORK.LT001_UNIV_OPER</v>
      </c>
      <c r="E36" s="34" t="str">
        <f>+UPPER('0. Instruções'!$D$36&amp;"."&amp;VLOOKUP(B36,'0. Instruções'!$C$27:$E$32,3,FALSE))</f>
        <v>BU_LOANTAPE_WORK.SIMUL_LT001</v>
      </c>
      <c r="F36" s="34" t="s">
        <v>1120</v>
      </c>
      <c r="G36" s="34"/>
      <c r="H36" s="34"/>
      <c r="I36" s="34" t="str">
        <f>"(SELECT "&amp;VLOOKUP(B36,'0. Instruções'!$C$27:$G$32,4,FALSE)&amp;", "&amp;F36&amp;" FROM "&amp;D36&amp;" WHERE "&amp;'0. Instruções'!$D$42&amp;")X"</f>
        <v>(SELECT a, tipo_ajuste FROM BU_LOANTAPE_WORK.LT001_UNIV_OPER WHERE ref_date='${ref_date}' AND nome_perimetro='Individual Local' AND segmento='ESTR' AND ambito='SRB_MBDT' AND entidade='00100')X</v>
      </c>
      <c r="J36" s="34" t="str">
        <f>"(SELECT "&amp;VLOOKUP(B36,'0. Instruções'!$C$27:$G$32,4,FALSE)&amp;" AS "&amp;VLOOKUP(B36,'0. Instruções'!$C$27:$G$32,4,FALSE)&amp;"_SIMUL, "&amp;F36&amp;" AS "&amp;F36&amp;"_SIMUL FROM "&amp;E36&amp;" WHERE "&amp;'0. Instruções'!$D$43&amp;")Y"</f>
        <v>(SELECT a AS a_SIMUL, tipo_ajuste AS tipo_ajuste_SIMUL FROM BU_LOANTAPE_WORK.SIMUL_LT001 WHERE ref_date='${ref_date}' AND nome_perimetro='Individual Local' AND segmento='ESTR' AND ambito='PILAR3' AND entidade='00100')Y</v>
      </c>
      <c r="K36" s="35" t="str">
        <f>+UPPER("ON X."&amp;VLOOKUP(B36,'0. Instruções'!$C$27:$G$32,4,FALSE)&amp;"=Y."&amp;VLOOKUP(B36,'0. Instruções'!$C$27:$G$32,4,FALSE)&amp;"_SIMUL")</f>
        <v>ON X.A=Y.A_SIMUL</v>
      </c>
      <c r="L36" s="35" t="str">
        <f>+IF(C36="Coerência", +IF(LEFT(G36,5)="FLOAT","SELECT '"&amp;UPPER(B36)&amp;"' AS TABELA, '"&amp;UPPER(C36)&amp;"' AS TIPOLOGIA_TESTE,'"&amp;D36&amp;"' AS TABELA_LT,'"&amp;E36&amp;"' AS TABELA_SIMUL,'"&amp;F36&amp;"' AS CAMPO, "&amp;"'${ref_date}' AS REF_DATE, COUNT(*) AS NUM_REG, SUM(IF((ABS(COALESCE(CAST(X."&amp;F36&amp;" AS DECIMAL(18,6)),0)-COALESCE(CAST(Y."&amp;F36&amp;"_SIMUL AS DECIMAL(18,6)),0))&gt;0.000001) OR (X."&amp;F36&amp;" IS NULL AND Y."&amp;F36&amp;"_SIMUL IS NOT NULL ) OR (X."&amp;F36&amp;" IS NOT NULL AND Y."&amp;F36&amp;"_SIMUL IS NULL),1,0)) AS NUM_REG_DIF,'"&amp;MAX('ID1&amp;5'!K:K)+1&amp;"' AS ID_EXEC, CURRENT_TIMESTAMP() AS TIME_EXEC FROM "&amp;I36&amp;" INNER JOIN "&amp;J36&amp;" "&amp;K36,"SELECT '"&amp;UPPER(B36)&amp;"' AS TABELA, '"&amp;UPPER(C36)&amp;"' AS TIPOLOGIA_TESTE,'"&amp;D36&amp;"' AS TABELA_LT,'"&amp;E36&amp;"' AS TABELA_SIMUL,'"&amp;F36&amp;"' AS CAMPO, "&amp;"'${ref_date}' AS REF_DATE, COUNT(*) AS NUM_REG, SUM(IF(COALESCE(CAST(X."&amp;F36&amp;" AS STRING),'')&lt;&gt;COALESCE(CAST(Y."&amp;F36&amp;"_SIMUL AS STRING),'') OR (X."&amp;F36&amp;" IS NULL AND Y."&amp;F36&amp;"_SIMUL IS NOT NULL ) OR (X."&amp;F36&amp;" IS NOT NULL AND Y."&amp;F36&amp;"_SIMUL IS NULL),1,0)) AS NUM_REG_DIF,'"&amp;MAX('ID1&amp;5'!L:L)+1&amp;"' AS ID_EXEC, CURRENT_TIMESTAMP() AS TIME_EXEC FROM "&amp;I36&amp;" INNER JOIN "&amp;J36&amp;" "&amp;K36),
IF(C36="Validade",+IF(G36="Code List","SELECT '"&amp;UPPER(B36)&amp;"' AS TABELA, '"&amp;UPPER(C36)&amp;"' AS TIPOLOGIA_TESTE,'"&amp;D36&amp;"' AS TABELA_LT,'N/A' AS TABELA_SIMUL,'"&amp;F36&amp;"' AS CAMPO, "&amp;"'${ref_date}' AS REF_DATE, COUNT(*) AS NUM_REG, SUM(IF(TRIM(CAST(X."&amp;F36&amp;" AS STRING))='' OR TRIM(CAST(X."&amp;F36&amp;" AS STRING)) IS NULL OR CAST(X."&amp;F36&amp;" AS STRING) NOT "&amp;H36&amp;",1,0)) AS NUM_REG_DIF,'"&amp;MAX('ID1&amp;5'!K:K)+1&amp;"' AS ID_EXEC, CURRENT_TIMESTAMP() AS TIME_EXEC FROM "&amp;I36,"SELECT '"&amp;UPPER(B36)&amp;"' AS TABELA, '"&amp;UPPER(C36)&amp;"' AS TIPOLOGIA_TESTE,'"&amp;D36&amp;"' AS TABELA_LT,'N/A' AS TABELA_SIMUL,'"&amp;F36&amp;"' AS CAMPO, "&amp;"'${ref_date}' AS REF_DATE, COUNT(*) AS NUM_REG, SUM(IF(TRIM(CAST(X."&amp;F36&amp;" AS STRING))='' OR TRIM(CAST(X."&amp;F36&amp;" AS STRING)) IS NULL,1,0)) AS NUM_REG_DIF,'"&amp;MAX('ID1&amp;5'!K:K)+1&amp;"' AS ID_EXEC, CURRENT_TIMESTAMP() AS TIME_EXEC FROM "&amp;I36),
IF(C36="Caracteres Especiais",+"SELECT '"&amp;UPPER(B36)&amp;"' AS TABELA, '"&amp;UPPER(C36)&amp;"' AS TIPOLOGIA_TESTE,'"&amp;D36&amp;"' AS TABELA_LT,'N/A' AS TABELA_SIMUL,'"&amp;F36&amp;"' AS CAMPO, "&amp;"'${ref_date}' AS REF_DATE, COUNT(*) AS NUM_REG, SUM(IF(REGEXP_REPLACE(TRIM(CAST(X."&amp;F36&amp;" AS STRING)),'[^a-zA-Z0-9_\\s]','') &lt;&gt;TRIM(CAST(X."&amp;F36&amp;" AS STRING)),1,0)) AS NUM_REG_DIF,'"&amp;MAX('ID1&amp;5'!K:K)+1&amp;"' AS ID_EXEC, CURRENT_TIMESTAMP() AS TIME_EXEC FROM "&amp;I36,
IF(C36="Missings",+"SELECT '"&amp;UPPER(B36)&amp;"' AS TABELA, '"&amp;UPPER(C36)&amp;"' AS TIPOLOGIA_TESTE,'"&amp;D36&amp;"' AS TABELA_LT,'N/A' AS TABELA_SIMUL,'"&amp;F36&amp;"' AS CAMPO, "&amp;"'${ref_date}' AS REF_DATE, COUNT(*) AS NUM_REG, SUM(IF(TRIM(CAST(X."&amp;F36&amp;" AS STRING)) IN ('0000-00-00','0001-01-01','9999-12-31','MISS','00000','99999999999','99999999999.00','99999999999.000000'),1,0)) AS NUM_REG_DIF,'"&amp;MAX('ID1&amp;5'!K:K)+1&amp;"' AS ID_EXEC, CURRENT_TIMESTAMP() AS TIME_EXEC FROM "&amp;I36,
IF(C36="Not applicable",+"SELECT '"&amp;UPPER(B36)&amp;"' AS TABELA, '"&amp;UPPER(C36)&amp;"' AS TIPOLOGIA_TESTE,'"&amp;D36&amp;"' AS TABELA_LT,'N/A' AS TABELA_SIMUL,'"&amp;F36&amp;"' AS CAMPO, "&amp;"'${ref_date}' AS REF_DATE, COUNT(*) AS NUM_REG, SUM(IF(TRIM(CAST(X."&amp;F36&amp;" AS STRING)) IN ('N/A','11111111111','11111111111.00','11111111111.000000','1111-11-11'),1,0)) AS NUM_REG_DIF,'"&amp;MAX('ID1&amp;5'!K:K)+1&amp;"' AS ID_EXEC, CURRENT_TIMESTAMP() AS TIME_EXEC FROM "&amp;I36,
IF(C36="Valores extremos",+"SELECT '"&amp;UPPER(B36)&amp;"' AS TABELA, '"&amp;UPPER(C36)&amp;"' AS TIPOLOGIA_TESTE,'"&amp;D36&amp;"' AS TABELA_LT,'N/A' AS TABELA_SIMUL,'"&amp;F36&amp;"' AS CAMPO, "&amp;"'${ref_date}' AS REF_DATE, CAST(MIN("&amp;F36&amp;") AS STRING) AS VALOR_MIN, CAST(MAX("&amp;F36&amp;") AS STRING) AS VALOR_MAX,'"&amp;MAX('ID1&amp;5'!K:K)+1&amp;"' AS ID_EXEC, CURRENT_TIMESTAMP() AS TIME_EXEC FROM "&amp;MID(I36,1,LEN(I36)-2)&amp;" AND CAST("&amp;F36&amp;"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TABELA_SIMUL,'tipo_ajuste' AS CAMPO, '${ref_date}' AS REF_DATE, COUNT(*) AS NUM_REG, SUM(IF(COALESCE(CAST(X.tipo_ajuste AS STRING),'')&lt;&gt;COALESCE(CAST(Y.tipo_ajuste_SIMUL AS STRING),'') OR (X.tipo_ajuste IS NULL AND Y.tipo_ajuste_SIMUL IS NOT NULL ) OR (X.tipo_ajuste IS NOT NULL AND Y.tipo_ajuste_SIMUL IS NULL),1,0)) AS NUM_REG_DIF,'1' AS ID_EXEC, CURRENT_TIMESTAMP() AS TIME_EXEC FROM (SELECT a, tipo_ajuste FROM BU_LOANTAPE_WORK.LT001_UNIV_OPER WHERE ref_date='${ref_date}' AND nome_perimetro='Individual Local' AND segmento='ESTR' AND ambito='SRB_MBDT' AND entidade='00100')X INNER JOIN (SELECT a AS a_SIMUL, tipo_ajuste AS tipo_ajuste_SIMUL FROM BU_LOANTAPE_WORK.SIMUL_LT001 WHERE ref_date='${ref_date}' AND nome_perimetro='Individual Local' AND segmento='ESTR' AND ambito='PILAR3' AND entidade='00100')Y ON X.A=Y.A_SIMUL</v>
      </c>
      <c r="M36" s="36" t="str">
        <f t="shared" si="0"/>
        <v>UNION ALL SELECT 'UNIV_OPER' AS TABELA, 'COERÊNCIA' AS TIPOLOGIA_TESTE,'BU_LOANTAPE_WORK.LT001_UNIV_OPER' AS TABELA_LT,'BU_LOANTAPE_WORK.SIMUL_LT001' AS TABELA_SIMUL,'tipo_ajuste' AS CAMPO, '${ref_date}' AS REF_DATE, COUNT(*) AS NUM_REG, SUM(IF(COALESCE(CAST(X.tipo_ajuste AS STRING),'')&lt;&gt;COALESCE(CAST(Y.tipo_ajuste_SIMUL AS STRING),'') OR (X.tipo_ajuste IS NULL AND Y.tipo_ajuste_SIMUL IS NOT NULL ) OR (X.tipo_ajuste IS NOT NULL AND Y.tipo_ajuste_SIMUL IS NULL),1,0)) AS NUM_REG_DIF,'1' AS ID_EXEC, CURRENT_TIMESTAMP() AS TIME_EXEC FROM (SELECT a, tipo_ajuste FROM BU_LOANTAPE_WORK.LT001_UNIV_OPER WHERE ref_date='${ref_date}' AND nome_perimetro='Individual Local' AND segmento='ESTR' AND ambito='SRB_MBDT' AND entidade='00100')X INNER JOIN (SELECT a AS a_SIMUL, tipo_ajuste AS tipo_ajuste_SIMUL FROM BU_LOANTAPE_WORK.SIMUL_LT001 WHERE ref_date='${ref_date}' AND nome_perimetro='Individual Local' AND segmento='ESTR' AND ambito='PILAR3' AND entidade='00100')Y ON X.A=Y.A_SIMUL</v>
      </c>
      <c r="N36" s="38" t="s">
        <v>40</v>
      </c>
    </row>
    <row r="37" spans="1:14">
      <c r="A37" s="60" t="str">
        <f t="shared" si="1"/>
        <v>UNIV_OPERdesc_ajuste</v>
      </c>
      <c r="B37" s="34" t="s">
        <v>1092</v>
      </c>
      <c r="C37" s="34" t="s">
        <v>5</v>
      </c>
      <c r="D37" s="34" t="str">
        <f>+UPPER('0. Instruções'!$D$35&amp;"."&amp;VLOOKUP(B37,'0. Instruções'!$C$27:$D$32,2,FALSE))</f>
        <v>BU_LOANTAPE_WORK.LT001_UNIV_OPER</v>
      </c>
      <c r="E37" s="34" t="str">
        <f>+UPPER('0. Instruções'!$D$36&amp;"."&amp;VLOOKUP(B37,'0. Instruções'!$C$27:$E$32,3,FALSE))</f>
        <v>BU_LOANTAPE_WORK.SIMUL_LT001</v>
      </c>
      <c r="F37" s="34" t="s">
        <v>1121</v>
      </c>
      <c r="G37" s="34"/>
      <c r="H37" s="34"/>
      <c r="I37" s="34" t="str">
        <f>"(SELECT "&amp;VLOOKUP(B37,'0. Instruções'!$C$27:$G$32,4,FALSE)&amp;", "&amp;F37&amp;" FROM "&amp;D37&amp;" WHERE "&amp;'0. Instruções'!$D$42&amp;")X"</f>
        <v>(SELECT a, desc_ajuste FROM BU_LOANTAPE_WORK.LT001_UNIV_OPER WHERE ref_date='${ref_date}' AND nome_perimetro='Individual Local' AND segmento='ESTR' AND ambito='SRB_MBDT' AND entidade='00100')X</v>
      </c>
      <c r="J37" s="34" t="str">
        <f>"(SELECT "&amp;VLOOKUP(B37,'0. Instruções'!$C$27:$G$32,4,FALSE)&amp;" AS "&amp;VLOOKUP(B37,'0. Instruções'!$C$27:$G$32,4,FALSE)&amp;"_SIMUL, "&amp;F37&amp;" AS "&amp;F37&amp;"_SIMUL FROM "&amp;E37&amp;" WHERE "&amp;'0. Instruções'!$D$43&amp;")Y"</f>
        <v>(SELECT a AS a_SIMUL, desc_ajuste AS desc_ajuste_SIMUL FROM BU_LOANTAPE_WORK.SIMUL_LT001 WHERE ref_date='${ref_date}' AND nome_perimetro='Individual Local' AND segmento='ESTR' AND ambito='PILAR3' AND entidade='00100')Y</v>
      </c>
      <c r="K37" s="35" t="str">
        <f>+UPPER("ON X."&amp;VLOOKUP(B37,'0. Instruções'!$C$27:$G$32,4,FALSE)&amp;"=Y."&amp;VLOOKUP(B37,'0. Instruções'!$C$27:$G$32,4,FALSE)&amp;"_SIMUL")</f>
        <v>ON X.A=Y.A_SIMUL</v>
      </c>
      <c r="L37" s="35" t="str">
        <f>+IF(C37="Coerência", +IF(LEFT(G37,5)="FLOAT","SELECT '"&amp;UPPER(B37)&amp;"' AS TABELA, '"&amp;UPPER(C37)&amp;"' AS TIPOLOGIA_TESTE,'"&amp;D37&amp;"' AS TABELA_LT,'"&amp;E37&amp;"' AS TABELA_SIMUL,'"&amp;F37&amp;"' AS CAMPO, "&amp;"'${ref_date}' AS REF_DATE, COUNT(*) AS NUM_REG, SUM(IF((ABS(COALESCE(CAST(X."&amp;F37&amp;" AS DECIMAL(18,6)),0)-COALESCE(CAST(Y."&amp;F37&amp;"_SIMUL AS DECIMAL(18,6)),0))&gt;0.000001) OR (X."&amp;F37&amp;" IS NULL AND Y."&amp;F37&amp;"_SIMUL IS NOT NULL ) OR (X."&amp;F37&amp;" IS NOT NULL AND Y."&amp;F37&amp;"_SIMUL IS NULL),1,0)) AS NUM_REG_DIF,'"&amp;MAX('ID1&amp;5'!K:K)+1&amp;"' AS ID_EXEC, CURRENT_TIMESTAMP() AS TIME_EXEC FROM "&amp;I37&amp;" INNER JOIN "&amp;J37&amp;" "&amp;K37,"SELECT '"&amp;UPPER(B37)&amp;"' AS TABELA, '"&amp;UPPER(C37)&amp;"' AS TIPOLOGIA_TESTE,'"&amp;D37&amp;"' AS TABELA_LT,'"&amp;E37&amp;"' AS TABELA_SIMUL,'"&amp;F37&amp;"' AS CAMPO, "&amp;"'${ref_date}' AS REF_DATE, COUNT(*) AS NUM_REG, SUM(IF(COALESCE(CAST(X."&amp;F37&amp;" AS STRING),'')&lt;&gt;COALESCE(CAST(Y."&amp;F37&amp;"_SIMUL AS STRING),'') OR (X."&amp;F37&amp;" IS NULL AND Y."&amp;F37&amp;"_SIMUL IS NOT NULL ) OR (X."&amp;F37&amp;" IS NOT NULL AND Y."&amp;F37&amp;"_SIMUL IS NULL),1,0)) AS NUM_REG_DIF,'"&amp;MAX('ID1&amp;5'!L:L)+1&amp;"' AS ID_EXEC, CURRENT_TIMESTAMP() AS TIME_EXEC FROM "&amp;I37&amp;" INNER JOIN "&amp;J37&amp;" "&amp;K37),
IF(C37="Validade",+IF(G37="Code List","SELECT '"&amp;UPPER(B37)&amp;"' AS TABELA, '"&amp;UPPER(C37)&amp;"' AS TIPOLOGIA_TESTE,'"&amp;D37&amp;"' AS TABELA_LT,'N/A' AS TABELA_SIMUL,'"&amp;F37&amp;"' AS CAMPO, "&amp;"'${ref_date}' AS REF_DATE, COUNT(*) AS NUM_REG, SUM(IF(TRIM(CAST(X."&amp;F37&amp;" AS STRING))='' OR TRIM(CAST(X."&amp;F37&amp;" AS STRING)) IS NULL OR CAST(X."&amp;F37&amp;" AS STRING) NOT "&amp;H37&amp;",1,0)) AS NUM_REG_DIF,'"&amp;MAX('ID1&amp;5'!K:K)+1&amp;"' AS ID_EXEC, CURRENT_TIMESTAMP() AS TIME_EXEC FROM "&amp;I37,"SELECT '"&amp;UPPER(B37)&amp;"' AS TABELA, '"&amp;UPPER(C37)&amp;"' AS TIPOLOGIA_TESTE,'"&amp;D37&amp;"' AS TABELA_LT,'N/A' AS TABELA_SIMUL,'"&amp;F37&amp;"' AS CAMPO, "&amp;"'${ref_date}' AS REF_DATE, COUNT(*) AS NUM_REG, SUM(IF(TRIM(CAST(X."&amp;F37&amp;" AS STRING))='' OR TRIM(CAST(X."&amp;F37&amp;" AS STRING)) IS NULL,1,0)) AS NUM_REG_DIF,'"&amp;MAX('ID1&amp;5'!K:K)+1&amp;"' AS ID_EXEC, CURRENT_TIMESTAMP() AS TIME_EXEC FROM "&amp;I37),
IF(C37="Caracteres Especiais",+"SELECT '"&amp;UPPER(B37)&amp;"' AS TABELA, '"&amp;UPPER(C37)&amp;"' AS TIPOLOGIA_TESTE,'"&amp;D37&amp;"' AS TABELA_LT,'N/A' AS TABELA_SIMUL,'"&amp;F37&amp;"' AS CAMPO, "&amp;"'${ref_date}' AS REF_DATE, COUNT(*) AS NUM_REG, SUM(IF(REGEXP_REPLACE(TRIM(CAST(X."&amp;F37&amp;" AS STRING)),'[^a-zA-Z0-9_\\s]','') &lt;&gt;TRIM(CAST(X."&amp;F37&amp;" AS STRING)),1,0)) AS NUM_REG_DIF,'"&amp;MAX('ID1&amp;5'!K:K)+1&amp;"' AS ID_EXEC, CURRENT_TIMESTAMP() AS TIME_EXEC FROM "&amp;I37,
IF(C37="Missings",+"SELECT '"&amp;UPPER(B37)&amp;"' AS TABELA, '"&amp;UPPER(C37)&amp;"' AS TIPOLOGIA_TESTE,'"&amp;D37&amp;"' AS TABELA_LT,'N/A' AS TABELA_SIMUL,'"&amp;F37&amp;"' AS CAMPO, "&amp;"'${ref_date}' AS REF_DATE, COUNT(*) AS NUM_REG, SUM(IF(TRIM(CAST(X."&amp;F37&amp;" AS STRING)) IN ('0000-00-00','0001-01-01','9999-12-31','MISS','00000','99999999999','99999999999.00','99999999999.000000'),1,0)) AS NUM_REG_DIF,'"&amp;MAX('ID1&amp;5'!K:K)+1&amp;"' AS ID_EXEC, CURRENT_TIMESTAMP() AS TIME_EXEC FROM "&amp;I37,
IF(C37="Not applicable",+"SELECT '"&amp;UPPER(B37)&amp;"' AS TABELA, '"&amp;UPPER(C37)&amp;"' AS TIPOLOGIA_TESTE,'"&amp;D37&amp;"' AS TABELA_LT,'N/A' AS TABELA_SIMUL,'"&amp;F37&amp;"' AS CAMPO, "&amp;"'${ref_date}' AS REF_DATE, COUNT(*) AS NUM_REG, SUM(IF(TRIM(CAST(X."&amp;F37&amp;" AS STRING)) IN ('N/A','11111111111','11111111111.00','11111111111.000000','1111-11-11'),1,0)) AS NUM_REG_DIF,'"&amp;MAX('ID1&amp;5'!K:K)+1&amp;"' AS ID_EXEC, CURRENT_TIMESTAMP() AS TIME_EXEC FROM "&amp;I37,
IF(C37="Valores extremos",+"SELECT '"&amp;UPPER(B37)&amp;"' AS TABELA, '"&amp;UPPER(C37)&amp;"' AS TIPOLOGIA_TESTE,'"&amp;D37&amp;"' AS TABELA_LT,'N/A' AS TABELA_SIMUL,'"&amp;F37&amp;"' AS CAMPO, "&amp;"'${ref_date}' AS REF_DATE, CAST(MIN("&amp;F37&amp;") AS STRING) AS VALOR_MIN, CAST(MAX("&amp;F37&amp;") AS STRING) AS VALOR_MAX,'"&amp;MAX('ID1&amp;5'!K:K)+1&amp;"' AS ID_EXEC, CURRENT_TIMESTAMP() AS TIME_EXEC FROM "&amp;MID(I37,1,LEN(I37)-2)&amp;" AND CAST("&amp;F37&amp;"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TABELA_SIMUL,'desc_ajuste' AS CAMPO, '${ref_date}' AS REF_DATE, COUNT(*) AS NUM_REG, SUM(IF(COALESCE(CAST(X.desc_ajuste AS STRING),'')&lt;&gt;COALESCE(CAST(Y.desc_ajuste_SIMUL AS STRING),'') OR (X.desc_ajuste IS NULL AND Y.desc_ajuste_SIMUL IS NOT NULL ) OR (X.desc_ajuste IS NOT NULL AND Y.desc_ajuste_SIMUL IS NULL),1,0)) AS NUM_REG_DIF,'1' AS ID_EXEC, CURRENT_TIMESTAMP() AS TIME_EXEC FROM (SELECT a, desc_ajuste FROM BU_LOANTAPE_WORK.LT001_UNIV_OPER WHERE ref_date='${ref_date}' AND nome_perimetro='Individual Local' AND segmento='ESTR' AND ambito='SRB_MBDT' AND entidade='00100')X INNER JOIN (SELECT a AS a_SIMUL, desc_ajuste AS desc_ajuste_SIMUL FROM BU_LOANTAPE_WORK.SIMUL_LT001 WHERE ref_date='${ref_date}' AND nome_perimetro='Individual Local' AND segmento='ESTR' AND ambito='PILAR3' AND entidade='00100')Y ON X.A=Y.A_SIMUL</v>
      </c>
      <c r="M37" s="36" t="str">
        <f t="shared" si="0"/>
        <v>UNION ALL SELECT 'UNIV_OPER' AS TABELA, 'COERÊNCIA' AS TIPOLOGIA_TESTE,'BU_LOANTAPE_WORK.LT001_UNIV_OPER' AS TABELA_LT,'BU_LOANTAPE_WORK.SIMUL_LT001' AS TABELA_SIMUL,'desc_ajuste' AS CAMPO, '${ref_date}' AS REF_DATE, COUNT(*) AS NUM_REG, SUM(IF(COALESCE(CAST(X.desc_ajuste AS STRING),'')&lt;&gt;COALESCE(CAST(Y.desc_ajuste_SIMUL AS STRING),'') OR (X.desc_ajuste IS NULL AND Y.desc_ajuste_SIMUL IS NOT NULL ) OR (X.desc_ajuste IS NOT NULL AND Y.desc_ajuste_SIMUL IS NULL),1,0)) AS NUM_REG_DIF,'1' AS ID_EXEC, CURRENT_TIMESTAMP() AS TIME_EXEC FROM (SELECT a, desc_ajuste FROM BU_LOANTAPE_WORK.LT001_UNIV_OPER WHERE ref_date='${ref_date}' AND nome_perimetro='Individual Local' AND segmento='ESTR' AND ambito='SRB_MBDT' AND entidade='00100')X INNER JOIN (SELECT a AS a_SIMUL, desc_ajuste AS desc_ajuste_SIMUL FROM BU_LOANTAPE_WORK.SIMUL_LT001 WHERE ref_date='${ref_date}' AND nome_perimetro='Individual Local' AND segmento='ESTR' AND ambito='PILAR3' AND entidade='00100')Y ON X.A=Y.A_SIMUL</v>
      </c>
      <c r="N37" s="38" t="s">
        <v>40</v>
      </c>
    </row>
    <row r="38" spans="1:14">
      <c r="A38" s="60" t="str">
        <f t="shared" si="1"/>
        <v>UNIV_OPERordem_lt801</v>
      </c>
      <c r="B38" s="34" t="s">
        <v>1092</v>
      </c>
      <c r="C38" s="34" t="s">
        <v>5</v>
      </c>
      <c r="D38" s="34" t="str">
        <f>+UPPER('0. Instruções'!$D$35&amp;"."&amp;VLOOKUP(B38,'0. Instruções'!$C$27:$D$32,2,FALSE))</f>
        <v>BU_LOANTAPE_WORK.LT001_UNIV_OPER</v>
      </c>
      <c r="E38" s="34" t="str">
        <f>+UPPER('0. Instruções'!$D$36&amp;"."&amp;VLOOKUP(B38,'0. Instruções'!$C$27:$E$32,3,FALSE))</f>
        <v>BU_LOANTAPE_WORK.SIMUL_LT001</v>
      </c>
      <c r="F38" s="34" t="s">
        <v>1122</v>
      </c>
      <c r="G38" s="34"/>
      <c r="H38" s="34"/>
      <c r="I38" s="34" t="str">
        <f>"(SELECT "&amp;VLOOKUP(B38,'0. Instruções'!$C$27:$G$32,4,FALSE)&amp;", "&amp;F38&amp;" FROM "&amp;D38&amp;" WHERE "&amp;'0. Instruções'!$D$42&amp;")X"</f>
        <v>(SELECT a, ordem_lt801 FROM BU_LOANTAPE_WORK.LT001_UNIV_OPER WHERE ref_date='${ref_date}' AND nome_perimetro='Individual Local' AND segmento='ESTR' AND ambito='SRB_MBDT' AND entidade='00100')X</v>
      </c>
      <c r="J38" s="34" t="str">
        <f>"(SELECT "&amp;VLOOKUP(B38,'0. Instruções'!$C$27:$G$32,4,FALSE)&amp;" AS "&amp;VLOOKUP(B38,'0. Instruções'!$C$27:$G$32,4,FALSE)&amp;"_SIMUL, "&amp;F38&amp;" AS "&amp;F38&amp;"_SIMUL FROM "&amp;E38&amp;" WHERE "&amp;'0. Instruções'!$D$43&amp;")Y"</f>
        <v>(SELECT a AS a_SIMUL, ordem_lt801 AS ordem_lt801_SIMUL FROM BU_LOANTAPE_WORK.SIMUL_LT001 WHERE ref_date='${ref_date}' AND nome_perimetro='Individual Local' AND segmento='ESTR' AND ambito='PILAR3' AND entidade='00100')Y</v>
      </c>
      <c r="K38" s="35" t="str">
        <f>+UPPER("ON X."&amp;VLOOKUP(B38,'0. Instruções'!$C$27:$G$32,4,FALSE)&amp;"=Y."&amp;VLOOKUP(B38,'0. Instruções'!$C$27:$G$32,4,FALSE)&amp;"_SIMUL")</f>
        <v>ON X.A=Y.A_SIMUL</v>
      </c>
      <c r="L38" s="35" t="str">
        <f>+IF(C38="Coerência", +IF(LEFT(G38,5)="FLOAT","SELECT '"&amp;UPPER(B38)&amp;"' AS TABELA, '"&amp;UPPER(C38)&amp;"' AS TIPOLOGIA_TESTE,'"&amp;D38&amp;"' AS TABELA_LT,'"&amp;E38&amp;"' AS TABELA_SIMUL,'"&amp;F38&amp;"' AS CAMPO, "&amp;"'${ref_date}' AS REF_DATE, COUNT(*) AS NUM_REG, SUM(IF((ABS(COALESCE(CAST(X."&amp;F38&amp;" AS DECIMAL(18,6)),0)-COALESCE(CAST(Y."&amp;F38&amp;"_SIMUL AS DECIMAL(18,6)),0))&gt;0.000001) OR (X."&amp;F38&amp;" IS NULL AND Y."&amp;F38&amp;"_SIMUL IS NOT NULL ) OR (X."&amp;F38&amp;" IS NOT NULL AND Y."&amp;F38&amp;"_SIMUL IS NULL),1,0)) AS NUM_REG_DIF,'"&amp;MAX('ID1&amp;5'!K:K)+1&amp;"' AS ID_EXEC, CURRENT_TIMESTAMP() AS TIME_EXEC FROM "&amp;I38&amp;" INNER JOIN "&amp;J38&amp;" "&amp;K38,"SELECT '"&amp;UPPER(B38)&amp;"' AS TABELA, '"&amp;UPPER(C38)&amp;"' AS TIPOLOGIA_TESTE,'"&amp;D38&amp;"' AS TABELA_LT,'"&amp;E38&amp;"' AS TABELA_SIMUL,'"&amp;F38&amp;"' AS CAMPO, "&amp;"'${ref_date}' AS REF_DATE, COUNT(*) AS NUM_REG, SUM(IF(COALESCE(CAST(X."&amp;F38&amp;" AS STRING),'')&lt;&gt;COALESCE(CAST(Y."&amp;F38&amp;"_SIMUL AS STRING),'') OR (X."&amp;F38&amp;" IS NULL AND Y."&amp;F38&amp;"_SIMUL IS NOT NULL ) OR (X."&amp;F38&amp;" IS NOT NULL AND Y."&amp;F38&amp;"_SIMUL IS NULL),1,0)) AS NUM_REG_DIF,'"&amp;MAX('ID1&amp;5'!L:L)+1&amp;"' AS ID_EXEC, CURRENT_TIMESTAMP() AS TIME_EXEC FROM "&amp;I38&amp;" INNER JOIN "&amp;J38&amp;" "&amp;K38),
IF(C38="Validade",+IF(G38="Code List","SELECT '"&amp;UPPER(B38)&amp;"' AS TABELA, '"&amp;UPPER(C38)&amp;"' AS TIPOLOGIA_TESTE,'"&amp;D38&amp;"' AS TABELA_LT,'N/A' AS TABELA_SIMUL,'"&amp;F38&amp;"' AS CAMPO, "&amp;"'${ref_date}' AS REF_DATE, COUNT(*) AS NUM_REG, SUM(IF(TRIM(CAST(X."&amp;F38&amp;" AS STRING))='' OR TRIM(CAST(X."&amp;F38&amp;" AS STRING)) IS NULL OR CAST(X."&amp;F38&amp;" AS STRING) NOT "&amp;H38&amp;",1,0)) AS NUM_REG_DIF,'"&amp;MAX('ID1&amp;5'!K:K)+1&amp;"' AS ID_EXEC, CURRENT_TIMESTAMP() AS TIME_EXEC FROM "&amp;I38,"SELECT '"&amp;UPPER(B38)&amp;"' AS TABELA, '"&amp;UPPER(C38)&amp;"' AS TIPOLOGIA_TESTE,'"&amp;D38&amp;"' AS TABELA_LT,'N/A' AS TABELA_SIMUL,'"&amp;F38&amp;"' AS CAMPO, "&amp;"'${ref_date}' AS REF_DATE, COUNT(*) AS NUM_REG, SUM(IF(TRIM(CAST(X."&amp;F38&amp;" AS STRING))='' OR TRIM(CAST(X."&amp;F38&amp;" AS STRING)) IS NULL,1,0)) AS NUM_REG_DIF,'"&amp;MAX('ID1&amp;5'!K:K)+1&amp;"' AS ID_EXEC, CURRENT_TIMESTAMP() AS TIME_EXEC FROM "&amp;I38),
IF(C38="Caracteres Especiais",+"SELECT '"&amp;UPPER(B38)&amp;"' AS TABELA, '"&amp;UPPER(C38)&amp;"' AS TIPOLOGIA_TESTE,'"&amp;D38&amp;"' AS TABELA_LT,'N/A' AS TABELA_SIMUL,'"&amp;F38&amp;"' AS CAMPO, "&amp;"'${ref_date}' AS REF_DATE, COUNT(*) AS NUM_REG, SUM(IF(REGEXP_REPLACE(TRIM(CAST(X."&amp;F38&amp;" AS STRING)),'[^a-zA-Z0-9_\\s]','') &lt;&gt;TRIM(CAST(X."&amp;F38&amp;" AS STRING)),1,0)) AS NUM_REG_DIF,'"&amp;MAX('ID1&amp;5'!K:K)+1&amp;"' AS ID_EXEC, CURRENT_TIMESTAMP() AS TIME_EXEC FROM "&amp;I38,
IF(C38="Missings",+"SELECT '"&amp;UPPER(B38)&amp;"' AS TABELA, '"&amp;UPPER(C38)&amp;"' AS TIPOLOGIA_TESTE,'"&amp;D38&amp;"' AS TABELA_LT,'N/A' AS TABELA_SIMUL,'"&amp;F38&amp;"' AS CAMPO, "&amp;"'${ref_date}' AS REF_DATE, COUNT(*) AS NUM_REG, SUM(IF(TRIM(CAST(X."&amp;F38&amp;" AS STRING)) IN ('0000-00-00','0001-01-01','9999-12-31','MISS','00000','99999999999','99999999999.00','99999999999.000000'),1,0)) AS NUM_REG_DIF,'"&amp;MAX('ID1&amp;5'!K:K)+1&amp;"' AS ID_EXEC, CURRENT_TIMESTAMP() AS TIME_EXEC FROM "&amp;I38,
IF(C38="Not applicable",+"SELECT '"&amp;UPPER(B38)&amp;"' AS TABELA, '"&amp;UPPER(C38)&amp;"' AS TIPOLOGIA_TESTE,'"&amp;D38&amp;"' AS TABELA_LT,'N/A' AS TABELA_SIMUL,'"&amp;F38&amp;"' AS CAMPO, "&amp;"'${ref_date}' AS REF_DATE, COUNT(*) AS NUM_REG, SUM(IF(TRIM(CAST(X."&amp;F38&amp;" AS STRING)) IN ('N/A','11111111111','11111111111.00','11111111111.000000','1111-11-11'),1,0)) AS NUM_REG_DIF,'"&amp;MAX('ID1&amp;5'!K:K)+1&amp;"' AS ID_EXEC, CURRENT_TIMESTAMP() AS TIME_EXEC FROM "&amp;I38,
IF(C38="Valores extremos",+"SELECT '"&amp;UPPER(B38)&amp;"' AS TABELA, '"&amp;UPPER(C38)&amp;"' AS TIPOLOGIA_TESTE,'"&amp;D38&amp;"' AS TABELA_LT,'N/A' AS TABELA_SIMUL,'"&amp;F38&amp;"' AS CAMPO, "&amp;"'${ref_date}' AS REF_DATE, CAST(MIN("&amp;F38&amp;") AS STRING) AS VALOR_MIN, CAST(MAX("&amp;F38&amp;") AS STRING) AS VALOR_MAX,'"&amp;MAX('ID1&amp;5'!K:K)+1&amp;"' AS ID_EXEC, CURRENT_TIMESTAMP() AS TIME_EXEC FROM "&amp;MID(I38,1,LEN(I38)-2)&amp;" AND CAST("&amp;F38&amp;"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TABELA_SIMUL,'ordem_lt801' AS CAMPO, '${ref_date}' AS REF_DATE, COUNT(*) AS NUM_REG, SUM(IF(COALESCE(CAST(X.ordem_lt801 AS STRING),'')&lt;&gt;COALESCE(CAST(Y.ordem_lt801_SIMUL AS STRING),'') OR (X.ordem_lt801 IS NULL AND Y.ordem_lt801_SIMUL IS NOT NULL ) OR (X.ordem_lt801 IS NOT NULL AND Y.ordem_lt801_SIMUL IS NULL),1,0)) AS NUM_REG_DIF,'1' AS ID_EXEC, CURRENT_TIMESTAMP() AS TIME_EXEC FROM (SELECT a, ordem_lt801 FROM BU_LOANTAPE_WORK.LT001_UNIV_OPER WHERE ref_date='${ref_date}' AND nome_perimetro='Individual Local' AND segmento='ESTR' AND ambito='SRB_MBDT' AND entidade='00100')X INNER JOIN (SELECT a AS a_SIMUL, ordem_lt801 AS ordem_lt801_SIMUL FROM BU_LOANTAPE_WORK.SIMUL_LT001 WHERE ref_date='${ref_date}' AND nome_perimetro='Individual Local' AND segmento='ESTR' AND ambito='PILAR3' AND entidade='00100')Y ON X.A=Y.A_SIMUL</v>
      </c>
      <c r="M38" s="36" t="str">
        <f t="shared" si="0"/>
        <v>UNION ALL SELECT 'UNIV_OPER' AS TABELA, 'COERÊNCIA' AS TIPOLOGIA_TESTE,'BU_LOANTAPE_WORK.LT001_UNIV_OPER' AS TABELA_LT,'BU_LOANTAPE_WORK.SIMUL_LT001' AS TABELA_SIMUL,'ordem_lt801' AS CAMPO, '${ref_date}' AS REF_DATE, COUNT(*) AS NUM_REG, SUM(IF(COALESCE(CAST(X.ordem_lt801 AS STRING),'')&lt;&gt;COALESCE(CAST(Y.ordem_lt801_SIMUL AS STRING),'') OR (X.ordem_lt801 IS NULL AND Y.ordem_lt801_SIMUL IS NOT NULL ) OR (X.ordem_lt801 IS NOT NULL AND Y.ordem_lt801_SIMUL IS NULL),1,0)) AS NUM_REG_DIF,'1' AS ID_EXEC, CURRENT_TIMESTAMP() AS TIME_EXEC FROM (SELECT a, ordem_lt801 FROM BU_LOANTAPE_WORK.LT001_UNIV_OPER WHERE ref_date='${ref_date}' AND nome_perimetro='Individual Local' AND segmento='ESTR' AND ambito='SRB_MBDT' AND entidade='00100')X INNER JOIN (SELECT a AS a_SIMUL, ordem_lt801 AS ordem_lt801_SIMUL FROM BU_LOANTAPE_WORK.SIMUL_LT001 WHERE ref_date='${ref_date}' AND nome_perimetro='Individual Local' AND segmento='ESTR' AND ambito='PILAR3' AND entidade='00100')Y ON X.A=Y.A_SIMUL</v>
      </c>
      <c r="N38" s="38" t="s">
        <v>40</v>
      </c>
    </row>
    <row r="39" spans="1:14">
      <c r="A39" s="60" t="str">
        <f t="shared" si="1"/>
        <v>UNIV_OPERflag_lvrg_finc</v>
      </c>
      <c r="B39" s="34" t="s">
        <v>1092</v>
      </c>
      <c r="C39" s="34" t="s">
        <v>5</v>
      </c>
      <c r="D39" s="34" t="str">
        <f>+UPPER('0. Instruções'!$D$35&amp;"."&amp;VLOOKUP(B39,'0. Instruções'!$C$27:$D$32,2,FALSE))</f>
        <v>BU_LOANTAPE_WORK.LT001_UNIV_OPER</v>
      </c>
      <c r="E39" s="34" t="str">
        <f>+UPPER('0. Instruções'!$D$36&amp;"."&amp;VLOOKUP(B39,'0. Instruções'!$C$27:$E$32,3,FALSE))</f>
        <v>BU_LOANTAPE_WORK.SIMUL_LT001</v>
      </c>
      <c r="F39" s="34" t="s">
        <v>1123</v>
      </c>
      <c r="G39" s="34"/>
      <c r="H39" s="34"/>
      <c r="I39" s="34" t="str">
        <f>"(SELECT "&amp;VLOOKUP(B39,'0. Instruções'!$C$27:$G$32,4,FALSE)&amp;", "&amp;F39&amp;" FROM "&amp;D39&amp;" WHERE "&amp;'0. Instruções'!$D$42&amp;")X"</f>
        <v>(SELECT a, flag_lvrg_finc FROM BU_LOANTAPE_WORK.LT001_UNIV_OPER WHERE ref_date='${ref_date}' AND nome_perimetro='Individual Local' AND segmento='ESTR' AND ambito='SRB_MBDT' AND entidade='00100')X</v>
      </c>
      <c r="J39" s="34" t="str">
        <f>"(SELECT "&amp;VLOOKUP(B39,'0. Instruções'!$C$27:$G$32,4,FALSE)&amp;" AS "&amp;VLOOKUP(B39,'0. Instruções'!$C$27:$G$32,4,FALSE)&amp;"_SIMUL, "&amp;F39&amp;" AS "&amp;F39&amp;"_SIMUL FROM "&amp;E39&amp;" WHERE "&amp;'0. Instruções'!$D$43&amp;")Y"</f>
        <v>(SELECT a AS a_SIMUL, flag_lvrg_finc AS flag_lvrg_finc_SIMUL FROM BU_LOANTAPE_WORK.SIMUL_LT001 WHERE ref_date='${ref_date}' AND nome_perimetro='Individual Local' AND segmento='ESTR' AND ambito='PILAR3' AND entidade='00100')Y</v>
      </c>
      <c r="K39" s="35" t="str">
        <f>+UPPER("ON X."&amp;VLOOKUP(B39,'0. Instruções'!$C$27:$G$32,4,FALSE)&amp;"=Y."&amp;VLOOKUP(B39,'0. Instruções'!$C$27:$G$32,4,FALSE)&amp;"_SIMUL")</f>
        <v>ON X.A=Y.A_SIMUL</v>
      </c>
      <c r="L39" s="35" t="str">
        <f>+IF(C39="Coerência", +IF(LEFT(G39,5)="FLOAT","SELECT '"&amp;UPPER(B39)&amp;"' AS TABELA, '"&amp;UPPER(C39)&amp;"' AS TIPOLOGIA_TESTE,'"&amp;D39&amp;"' AS TABELA_LT,'"&amp;E39&amp;"' AS TABELA_SIMUL,'"&amp;F39&amp;"' AS CAMPO, "&amp;"'${ref_date}' AS REF_DATE, COUNT(*) AS NUM_REG, SUM(IF((ABS(COALESCE(CAST(X."&amp;F39&amp;" AS DECIMAL(18,6)),0)-COALESCE(CAST(Y."&amp;F39&amp;"_SIMUL AS DECIMAL(18,6)),0))&gt;0.000001) OR (X."&amp;F39&amp;" IS NULL AND Y."&amp;F39&amp;"_SIMUL IS NOT NULL ) OR (X."&amp;F39&amp;" IS NOT NULL AND Y."&amp;F39&amp;"_SIMUL IS NULL),1,0)) AS NUM_REG_DIF,'"&amp;MAX('ID1&amp;5'!K:K)+1&amp;"' AS ID_EXEC, CURRENT_TIMESTAMP() AS TIME_EXEC FROM "&amp;I39&amp;" INNER JOIN "&amp;J39&amp;" "&amp;K39,"SELECT '"&amp;UPPER(B39)&amp;"' AS TABELA, '"&amp;UPPER(C39)&amp;"' AS TIPOLOGIA_TESTE,'"&amp;D39&amp;"' AS TABELA_LT,'"&amp;E39&amp;"' AS TABELA_SIMUL,'"&amp;F39&amp;"' AS CAMPO, "&amp;"'${ref_date}' AS REF_DATE, COUNT(*) AS NUM_REG, SUM(IF(COALESCE(CAST(X."&amp;F39&amp;" AS STRING),'')&lt;&gt;COALESCE(CAST(Y."&amp;F39&amp;"_SIMUL AS STRING),'') OR (X."&amp;F39&amp;" IS NULL AND Y."&amp;F39&amp;"_SIMUL IS NOT NULL ) OR (X."&amp;F39&amp;" IS NOT NULL AND Y."&amp;F39&amp;"_SIMUL IS NULL),1,0)) AS NUM_REG_DIF,'"&amp;MAX('ID1&amp;5'!L:L)+1&amp;"' AS ID_EXEC, CURRENT_TIMESTAMP() AS TIME_EXEC FROM "&amp;I39&amp;" INNER JOIN "&amp;J39&amp;" "&amp;K39),
IF(C39="Validade",+IF(G39="Code List","SELECT '"&amp;UPPER(B39)&amp;"' AS TABELA, '"&amp;UPPER(C39)&amp;"' AS TIPOLOGIA_TESTE,'"&amp;D39&amp;"' AS TABELA_LT,'N/A' AS TABELA_SIMUL,'"&amp;F39&amp;"' AS CAMPO, "&amp;"'${ref_date}' AS REF_DATE, COUNT(*) AS NUM_REG, SUM(IF(TRIM(CAST(X."&amp;F39&amp;" AS STRING))='' OR TRIM(CAST(X."&amp;F39&amp;" AS STRING)) IS NULL OR CAST(X."&amp;F39&amp;" AS STRING) NOT "&amp;H39&amp;",1,0)) AS NUM_REG_DIF,'"&amp;MAX('ID1&amp;5'!K:K)+1&amp;"' AS ID_EXEC, CURRENT_TIMESTAMP() AS TIME_EXEC FROM "&amp;I39,"SELECT '"&amp;UPPER(B39)&amp;"' AS TABELA, '"&amp;UPPER(C39)&amp;"' AS TIPOLOGIA_TESTE,'"&amp;D39&amp;"' AS TABELA_LT,'N/A' AS TABELA_SIMUL,'"&amp;F39&amp;"' AS CAMPO, "&amp;"'${ref_date}' AS REF_DATE, COUNT(*) AS NUM_REG, SUM(IF(TRIM(CAST(X."&amp;F39&amp;" AS STRING))='' OR TRIM(CAST(X."&amp;F39&amp;" AS STRING)) IS NULL,1,0)) AS NUM_REG_DIF,'"&amp;MAX('ID1&amp;5'!K:K)+1&amp;"' AS ID_EXEC, CURRENT_TIMESTAMP() AS TIME_EXEC FROM "&amp;I39),
IF(C39="Caracteres Especiais",+"SELECT '"&amp;UPPER(B39)&amp;"' AS TABELA, '"&amp;UPPER(C39)&amp;"' AS TIPOLOGIA_TESTE,'"&amp;D39&amp;"' AS TABELA_LT,'N/A' AS TABELA_SIMUL,'"&amp;F39&amp;"' AS CAMPO, "&amp;"'${ref_date}' AS REF_DATE, COUNT(*) AS NUM_REG, SUM(IF(REGEXP_REPLACE(TRIM(CAST(X."&amp;F39&amp;" AS STRING)),'[^a-zA-Z0-9_\\s]','') &lt;&gt;TRIM(CAST(X."&amp;F39&amp;" AS STRING)),1,0)) AS NUM_REG_DIF,'"&amp;MAX('ID1&amp;5'!K:K)+1&amp;"' AS ID_EXEC, CURRENT_TIMESTAMP() AS TIME_EXEC FROM "&amp;I39,
IF(C39="Missings",+"SELECT '"&amp;UPPER(B39)&amp;"' AS TABELA, '"&amp;UPPER(C39)&amp;"' AS TIPOLOGIA_TESTE,'"&amp;D39&amp;"' AS TABELA_LT,'N/A' AS TABELA_SIMUL,'"&amp;F39&amp;"' AS CAMPO, "&amp;"'${ref_date}' AS REF_DATE, COUNT(*) AS NUM_REG, SUM(IF(TRIM(CAST(X."&amp;F39&amp;" AS STRING)) IN ('0000-00-00','0001-01-01','9999-12-31','MISS','00000','99999999999','99999999999.00','99999999999.000000'),1,0)) AS NUM_REG_DIF,'"&amp;MAX('ID1&amp;5'!K:K)+1&amp;"' AS ID_EXEC, CURRENT_TIMESTAMP() AS TIME_EXEC FROM "&amp;I39,
IF(C39="Not applicable",+"SELECT '"&amp;UPPER(B39)&amp;"' AS TABELA, '"&amp;UPPER(C39)&amp;"' AS TIPOLOGIA_TESTE,'"&amp;D39&amp;"' AS TABELA_LT,'N/A' AS TABELA_SIMUL,'"&amp;F39&amp;"' AS CAMPO, "&amp;"'${ref_date}' AS REF_DATE, COUNT(*) AS NUM_REG, SUM(IF(TRIM(CAST(X."&amp;F39&amp;" AS STRING)) IN ('N/A','11111111111','11111111111.00','11111111111.000000','1111-11-11'),1,0)) AS NUM_REG_DIF,'"&amp;MAX('ID1&amp;5'!K:K)+1&amp;"' AS ID_EXEC, CURRENT_TIMESTAMP() AS TIME_EXEC FROM "&amp;I39,
IF(C39="Valores extremos",+"SELECT '"&amp;UPPER(B39)&amp;"' AS TABELA, '"&amp;UPPER(C39)&amp;"' AS TIPOLOGIA_TESTE,'"&amp;D39&amp;"' AS TABELA_LT,'N/A' AS TABELA_SIMUL,'"&amp;F39&amp;"' AS CAMPO, "&amp;"'${ref_date}' AS REF_DATE, CAST(MIN("&amp;F39&amp;") AS STRING) AS VALOR_MIN, CAST(MAX("&amp;F39&amp;") AS STRING) AS VALOR_MAX,'"&amp;MAX('ID1&amp;5'!K:K)+1&amp;"' AS ID_EXEC, CURRENT_TIMESTAMP() AS TIME_EXEC FROM "&amp;MID(I39,1,LEN(I39)-2)&amp;" AND CAST("&amp;F39&amp;"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TABELA_SIMUL,'flag_lvrg_finc' AS CAMPO, '${ref_date}' AS REF_DATE, COUNT(*) AS NUM_REG, SUM(IF(COALESCE(CAST(X.flag_lvrg_finc AS STRING),'')&lt;&gt;COALESCE(CAST(Y.flag_lvrg_finc_SIMUL AS STRING),'') OR (X.flag_lvrg_finc IS NULL AND Y.flag_lvrg_finc_SIMUL IS NOT NULL ) OR (X.flag_lvrg_finc IS NOT NULL AND Y.flag_lvrg_finc_SIMUL IS NULL),1,0)) AS NUM_REG_DIF,'1' AS ID_EXEC, CURRENT_TIMESTAMP() AS TIME_EXEC FROM (SELECT a, flag_lvrg_finc FROM BU_LOANTAPE_WORK.LT001_UNIV_OPER WHERE ref_date='${ref_date}' AND nome_perimetro='Individual Local' AND segmento='ESTR' AND ambito='SRB_MBDT' AND entidade='00100')X INNER JOIN (SELECT a AS a_SIMUL, flag_lvrg_finc AS flag_lvrg_finc_SIMUL FROM BU_LOANTAPE_WORK.SIMUL_LT001 WHERE ref_date='${ref_date}' AND nome_perimetro='Individual Local' AND segmento='ESTR' AND ambito='PILAR3' AND entidade='00100')Y ON X.A=Y.A_SIMUL</v>
      </c>
      <c r="M39" s="36" t="str">
        <f t="shared" si="0"/>
        <v>UNION ALL SELECT 'UNIV_OPER' AS TABELA, 'COERÊNCIA' AS TIPOLOGIA_TESTE,'BU_LOANTAPE_WORK.LT001_UNIV_OPER' AS TABELA_LT,'BU_LOANTAPE_WORK.SIMUL_LT001' AS TABELA_SIMUL,'flag_lvrg_finc' AS CAMPO, '${ref_date}' AS REF_DATE, COUNT(*) AS NUM_REG, SUM(IF(COALESCE(CAST(X.flag_lvrg_finc AS STRING),'')&lt;&gt;COALESCE(CAST(Y.flag_lvrg_finc_SIMUL AS STRING),'') OR (X.flag_lvrg_finc IS NULL AND Y.flag_lvrg_finc_SIMUL IS NOT NULL ) OR (X.flag_lvrg_finc IS NOT NULL AND Y.flag_lvrg_finc_SIMUL IS NULL),1,0)) AS NUM_REG_DIF,'1' AS ID_EXEC, CURRENT_TIMESTAMP() AS TIME_EXEC FROM (SELECT a, flag_lvrg_finc FROM BU_LOANTAPE_WORK.LT001_UNIV_OPER WHERE ref_date='${ref_date}' AND nome_perimetro='Individual Local' AND segmento='ESTR' AND ambito='SRB_MBDT' AND entidade='00100')X INNER JOIN (SELECT a AS a_SIMUL, flag_lvrg_finc AS flag_lvrg_finc_SIMUL FROM BU_LOANTAPE_WORK.SIMUL_LT001 WHERE ref_date='${ref_date}' AND nome_perimetro='Individual Local' AND segmento='ESTR' AND ambito='PILAR3' AND entidade='00100')Y ON X.A=Y.A_SIMUL</v>
      </c>
      <c r="N39" s="38" t="s">
        <v>40</v>
      </c>
    </row>
    <row r="40" spans="1:14">
      <c r="A40" s="60" t="str">
        <f t="shared" si="1"/>
        <v>UNIV_OPERflag_pme</v>
      </c>
      <c r="B40" s="34" t="s">
        <v>1092</v>
      </c>
      <c r="C40" s="34" t="s">
        <v>5</v>
      </c>
      <c r="D40" s="34" t="str">
        <f>+UPPER('0. Instruções'!$D$35&amp;"."&amp;VLOOKUP(B40,'0. Instruções'!$C$27:$D$32,2,FALSE))</f>
        <v>BU_LOANTAPE_WORK.LT001_UNIV_OPER</v>
      </c>
      <c r="E40" s="34" t="str">
        <f>+UPPER('0. Instruções'!$D$36&amp;"."&amp;VLOOKUP(B40,'0. Instruções'!$C$27:$E$32,3,FALSE))</f>
        <v>BU_LOANTAPE_WORK.SIMUL_LT001</v>
      </c>
      <c r="F40" s="34" t="s">
        <v>1124</v>
      </c>
      <c r="G40" s="34"/>
      <c r="H40" s="34"/>
      <c r="I40" s="34" t="str">
        <f>"(SELECT "&amp;VLOOKUP(B40,'0. Instruções'!$C$27:$G$32,4,FALSE)&amp;", "&amp;F40&amp;" FROM "&amp;D40&amp;" WHERE "&amp;'0. Instruções'!$D$42&amp;")X"</f>
        <v>(SELECT a, flag_pme FROM BU_LOANTAPE_WORK.LT001_UNIV_OPER WHERE ref_date='${ref_date}' AND nome_perimetro='Individual Local' AND segmento='ESTR' AND ambito='SRB_MBDT' AND entidade='00100')X</v>
      </c>
      <c r="J40" s="34" t="str">
        <f>"(SELECT "&amp;VLOOKUP(B40,'0. Instruções'!$C$27:$G$32,4,FALSE)&amp;" AS "&amp;VLOOKUP(B40,'0. Instruções'!$C$27:$G$32,4,FALSE)&amp;"_SIMUL, "&amp;F40&amp;" AS "&amp;F40&amp;"_SIMUL FROM "&amp;E40&amp;" WHERE "&amp;'0. Instruções'!$D$43&amp;")Y"</f>
        <v>(SELECT a AS a_SIMUL, flag_pme AS flag_pme_SIMUL FROM BU_LOANTAPE_WORK.SIMUL_LT001 WHERE ref_date='${ref_date}' AND nome_perimetro='Individual Local' AND segmento='ESTR' AND ambito='PILAR3' AND entidade='00100')Y</v>
      </c>
      <c r="K40" s="35" t="str">
        <f>+UPPER("ON X."&amp;VLOOKUP(B40,'0. Instruções'!$C$27:$G$32,4,FALSE)&amp;"=Y."&amp;VLOOKUP(B40,'0. Instruções'!$C$27:$G$32,4,FALSE)&amp;"_SIMUL")</f>
        <v>ON X.A=Y.A_SIMUL</v>
      </c>
      <c r="L40" s="35" t="str">
        <f>+IF(C40="Coerência", +IF(LEFT(G40,5)="FLOAT","SELECT '"&amp;UPPER(B40)&amp;"' AS TABELA, '"&amp;UPPER(C40)&amp;"' AS TIPOLOGIA_TESTE,'"&amp;D40&amp;"' AS TABELA_LT,'"&amp;E40&amp;"' AS TABELA_SIMUL,'"&amp;F40&amp;"' AS CAMPO, "&amp;"'${ref_date}' AS REF_DATE, COUNT(*) AS NUM_REG, SUM(IF((ABS(COALESCE(CAST(X."&amp;F40&amp;" AS DECIMAL(18,6)),0)-COALESCE(CAST(Y."&amp;F40&amp;"_SIMUL AS DECIMAL(18,6)),0))&gt;0.000001) OR (X."&amp;F40&amp;" IS NULL AND Y."&amp;F40&amp;"_SIMUL IS NOT NULL ) OR (X."&amp;F40&amp;" IS NOT NULL AND Y."&amp;F40&amp;"_SIMUL IS NULL),1,0)) AS NUM_REG_DIF,'"&amp;MAX('ID1&amp;5'!K:K)+1&amp;"' AS ID_EXEC, CURRENT_TIMESTAMP() AS TIME_EXEC FROM "&amp;I40&amp;" INNER JOIN "&amp;J40&amp;" "&amp;K40,"SELECT '"&amp;UPPER(B40)&amp;"' AS TABELA, '"&amp;UPPER(C40)&amp;"' AS TIPOLOGIA_TESTE,'"&amp;D40&amp;"' AS TABELA_LT,'"&amp;E40&amp;"' AS TABELA_SIMUL,'"&amp;F40&amp;"' AS CAMPO, "&amp;"'${ref_date}' AS REF_DATE, COUNT(*) AS NUM_REG, SUM(IF(COALESCE(CAST(X."&amp;F40&amp;" AS STRING),'')&lt;&gt;COALESCE(CAST(Y."&amp;F40&amp;"_SIMUL AS STRING),'') OR (X."&amp;F40&amp;" IS NULL AND Y."&amp;F40&amp;"_SIMUL IS NOT NULL ) OR (X."&amp;F40&amp;" IS NOT NULL AND Y."&amp;F40&amp;"_SIMUL IS NULL),1,0)) AS NUM_REG_DIF,'"&amp;MAX('ID1&amp;5'!L:L)+1&amp;"' AS ID_EXEC, CURRENT_TIMESTAMP() AS TIME_EXEC FROM "&amp;I40&amp;" INNER JOIN "&amp;J40&amp;" "&amp;K40),
IF(C40="Validade",+IF(G40="Code List","SELECT '"&amp;UPPER(B40)&amp;"' AS TABELA, '"&amp;UPPER(C40)&amp;"' AS TIPOLOGIA_TESTE,'"&amp;D40&amp;"' AS TABELA_LT,'N/A' AS TABELA_SIMUL,'"&amp;F40&amp;"' AS CAMPO, "&amp;"'${ref_date}' AS REF_DATE, COUNT(*) AS NUM_REG, SUM(IF(TRIM(CAST(X."&amp;F40&amp;" AS STRING))='' OR TRIM(CAST(X."&amp;F40&amp;" AS STRING)) IS NULL OR CAST(X."&amp;F40&amp;" AS STRING) NOT "&amp;H40&amp;",1,0)) AS NUM_REG_DIF,'"&amp;MAX('ID1&amp;5'!K:K)+1&amp;"' AS ID_EXEC, CURRENT_TIMESTAMP() AS TIME_EXEC FROM "&amp;I40,"SELECT '"&amp;UPPER(B40)&amp;"' AS TABELA, '"&amp;UPPER(C40)&amp;"' AS TIPOLOGIA_TESTE,'"&amp;D40&amp;"' AS TABELA_LT,'N/A' AS TABELA_SIMUL,'"&amp;F40&amp;"' AS CAMPO, "&amp;"'${ref_date}' AS REF_DATE, COUNT(*) AS NUM_REG, SUM(IF(TRIM(CAST(X."&amp;F40&amp;" AS STRING))='' OR TRIM(CAST(X."&amp;F40&amp;" AS STRING)) IS NULL,1,0)) AS NUM_REG_DIF,'"&amp;MAX('ID1&amp;5'!K:K)+1&amp;"' AS ID_EXEC, CURRENT_TIMESTAMP() AS TIME_EXEC FROM "&amp;I40),
IF(C40="Caracteres Especiais",+"SELECT '"&amp;UPPER(B40)&amp;"' AS TABELA, '"&amp;UPPER(C40)&amp;"' AS TIPOLOGIA_TESTE,'"&amp;D40&amp;"' AS TABELA_LT,'N/A' AS TABELA_SIMUL,'"&amp;F40&amp;"' AS CAMPO, "&amp;"'${ref_date}' AS REF_DATE, COUNT(*) AS NUM_REG, SUM(IF(REGEXP_REPLACE(TRIM(CAST(X."&amp;F40&amp;" AS STRING)),'[^a-zA-Z0-9_\\s]','') &lt;&gt;TRIM(CAST(X."&amp;F40&amp;" AS STRING)),1,0)) AS NUM_REG_DIF,'"&amp;MAX('ID1&amp;5'!K:K)+1&amp;"' AS ID_EXEC, CURRENT_TIMESTAMP() AS TIME_EXEC FROM "&amp;I40,
IF(C40="Missings",+"SELECT '"&amp;UPPER(B40)&amp;"' AS TABELA, '"&amp;UPPER(C40)&amp;"' AS TIPOLOGIA_TESTE,'"&amp;D40&amp;"' AS TABELA_LT,'N/A' AS TABELA_SIMUL,'"&amp;F40&amp;"' AS CAMPO, "&amp;"'${ref_date}' AS REF_DATE, COUNT(*) AS NUM_REG, SUM(IF(TRIM(CAST(X."&amp;F40&amp;" AS STRING)) IN ('0000-00-00','0001-01-01','9999-12-31','MISS','00000','99999999999','99999999999.00','99999999999.000000'),1,0)) AS NUM_REG_DIF,'"&amp;MAX('ID1&amp;5'!K:K)+1&amp;"' AS ID_EXEC, CURRENT_TIMESTAMP() AS TIME_EXEC FROM "&amp;I40,
IF(C40="Not applicable",+"SELECT '"&amp;UPPER(B40)&amp;"' AS TABELA, '"&amp;UPPER(C40)&amp;"' AS TIPOLOGIA_TESTE,'"&amp;D40&amp;"' AS TABELA_LT,'N/A' AS TABELA_SIMUL,'"&amp;F40&amp;"' AS CAMPO, "&amp;"'${ref_date}' AS REF_DATE, COUNT(*) AS NUM_REG, SUM(IF(TRIM(CAST(X."&amp;F40&amp;" AS STRING)) IN ('N/A','11111111111','11111111111.00','11111111111.000000','1111-11-11'),1,0)) AS NUM_REG_DIF,'"&amp;MAX('ID1&amp;5'!K:K)+1&amp;"' AS ID_EXEC, CURRENT_TIMESTAMP() AS TIME_EXEC FROM "&amp;I40,
IF(C40="Valores extremos",+"SELECT '"&amp;UPPER(B40)&amp;"' AS TABELA, '"&amp;UPPER(C40)&amp;"' AS TIPOLOGIA_TESTE,'"&amp;D40&amp;"' AS TABELA_LT,'N/A' AS TABELA_SIMUL,'"&amp;F40&amp;"' AS CAMPO, "&amp;"'${ref_date}' AS REF_DATE, CAST(MIN("&amp;F40&amp;") AS STRING) AS VALOR_MIN, CAST(MAX("&amp;F40&amp;") AS STRING) AS VALOR_MAX,'"&amp;MAX('ID1&amp;5'!K:K)+1&amp;"' AS ID_EXEC, CURRENT_TIMESTAMP() AS TIME_EXEC FROM "&amp;MID(I40,1,LEN(I40)-2)&amp;" AND CAST("&amp;F40&amp;"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TABELA_SIMUL,'flag_pme' AS CAMPO, '${ref_date}' AS REF_DATE, COUNT(*) AS NUM_REG, SUM(IF(COALESCE(CAST(X.flag_pme AS STRING),'')&lt;&gt;COALESCE(CAST(Y.flag_pme_SIMUL AS STRING),'') OR (X.flag_pme IS NULL AND Y.flag_pme_SIMUL IS NOT NULL ) OR (X.flag_pme IS NOT NULL AND Y.flag_pme_SIMUL IS NULL),1,0)) AS NUM_REG_DIF,'1' AS ID_EXEC, CURRENT_TIMESTAMP() AS TIME_EXEC FROM (SELECT a, flag_pme FROM BU_LOANTAPE_WORK.LT001_UNIV_OPER WHERE ref_date='${ref_date}' AND nome_perimetro='Individual Local' AND segmento='ESTR' AND ambito='SRB_MBDT' AND entidade='00100')X INNER JOIN (SELECT a AS a_SIMUL, flag_pme AS flag_pme_SIMUL FROM BU_LOANTAPE_WORK.SIMUL_LT001 WHERE ref_date='${ref_date}' AND nome_perimetro='Individual Local' AND segmento='ESTR' AND ambito='PILAR3' AND entidade='00100')Y ON X.A=Y.A_SIMUL</v>
      </c>
      <c r="M40" s="36" t="str">
        <f t="shared" si="0"/>
        <v>UNION ALL SELECT 'UNIV_OPER' AS TABELA, 'COERÊNCIA' AS TIPOLOGIA_TESTE,'BU_LOANTAPE_WORK.LT001_UNIV_OPER' AS TABELA_LT,'BU_LOANTAPE_WORK.SIMUL_LT001' AS TABELA_SIMUL,'flag_pme' AS CAMPO, '${ref_date}' AS REF_DATE, COUNT(*) AS NUM_REG, SUM(IF(COALESCE(CAST(X.flag_pme AS STRING),'')&lt;&gt;COALESCE(CAST(Y.flag_pme_SIMUL AS STRING),'') OR (X.flag_pme IS NULL AND Y.flag_pme_SIMUL IS NOT NULL ) OR (X.flag_pme IS NOT NULL AND Y.flag_pme_SIMUL IS NULL),1,0)) AS NUM_REG_DIF,'1' AS ID_EXEC, CURRENT_TIMESTAMP() AS TIME_EXEC FROM (SELECT a, flag_pme FROM BU_LOANTAPE_WORK.LT001_UNIV_OPER WHERE ref_date='${ref_date}' AND nome_perimetro='Individual Local' AND segmento='ESTR' AND ambito='SRB_MBDT' AND entidade='00100')X INNER JOIN (SELECT a AS a_SIMUL, flag_pme AS flag_pme_SIMUL FROM BU_LOANTAPE_WORK.SIMUL_LT001 WHERE ref_date='${ref_date}' AND nome_perimetro='Individual Local' AND segmento='ESTR' AND ambito='PILAR3' AND entidade='00100')Y ON X.A=Y.A_SIMUL</v>
      </c>
      <c r="N40" s="38" t="s">
        <v>40</v>
      </c>
    </row>
    <row r="41" spans="1:14">
      <c r="A41" s="60" t="str">
        <f t="shared" si="1"/>
        <v>UNIV_OPERflag_inst_div</v>
      </c>
      <c r="B41" s="34" t="s">
        <v>1092</v>
      </c>
      <c r="C41" s="34" t="s">
        <v>5</v>
      </c>
      <c r="D41" s="34" t="str">
        <f>+UPPER('0. Instruções'!$D$35&amp;"."&amp;VLOOKUP(B41,'0. Instruções'!$C$27:$D$32,2,FALSE))</f>
        <v>BU_LOANTAPE_WORK.LT001_UNIV_OPER</v>
      </c>
      <c r="E41" s="34" t="str">
        <f>+UPPER('0. Instruções'!$D$36&amp;"."&amp;VLOOKUP(B41,'0. Instruções'!$C$27:$E$32,3,FALSE))</f>
        <v>BU_LOANTAPE_WORK.SIMUL_LT001</v>
      </c>
      <c r="F41" s="34" t="s">
        <v>1125</v>
      </c>
      <c r="G41" s="34"/>
      <c r="H41" s="34"/>
      <c r="I41" s="34" t="str">
        <f>"(SELECT "&amp;VLOOKUP(B41,'0. Instruções'!$C$27:$G$32,4,FALSE)&amp;", "&amp;F41&amp;" FROM "&amp;D41&amp;" WHERE "&amp;'0. Instruções'!$D$42&amp;")X"</f>
        <v>(SELECT a, flag_inst_div FROM BU_LOANTAPE_WORK.LT001_UNIV_OPER WHERE ref_date='${ref_date}' AND nome_perimetro='Individual Local' AND segmento='ESTR' AND ambito='SRB_MBDT' AND entidade='00100')X</v>
      </c>
      <c r="J41" s="34" t="str">
        <f>"(SELECT "&amp;VLOOKUP(B41,'0. Instruções'!$C$27:$G$32,4,FALSE)&amp;" AS "&amp;VLOOKUP(B41,'0. Instruções'!$C$27:$G$32,4,FALSE)&amp;"_SIMUL, "&amp;F41&amp;" AS "&amp;F41&amp;"_SIMUL FROM "&amp;E41&amp;" WHERE "&amp;'0. Instruções'!$D$43&amp;")Y"</f>
        <v>(SELECT a AS a_SIMUL, flag_inst_div AS flag_inst_div_SIMUL FROM BU_LOANTAPE_WORK.SIMUL_LT001 WHERE ref_date='${ref_date}' AND nome_perimetro='Individual Local' AND segmento='ESTR' AND ambito='PILAR3' AND entidade='00100')Y</v>
      </c>
      <c r="K41" s="35" t="str">
        <f>+UPPER("ON X."&amp;VLOOKUP(B41,'0. Instruções'!$C$27:$G$32,4,FALSE)&amp;"=Y."&amp;VLOOKUP(B41,'0. Instruções'!$C$27:$G$32,4,FALSE)&amp;"_SIMUL")</f>
        <v>ON X.A=Y.A_SIMUL</v>
      </c>
      <c r="L41" s="35" t="str">
        <f>+IF(C41="Coerência", +IF(LEFT(G41,5)="FLOAT","SELECT '"&amp;UPPER(B41)&amp;"' AS TABELA, '"&amp;UPPER(C41)&amp;"' AS TIPOLOGIA_TESTE,'"&amp;D41&amp;"' AS TABELA_LT,'"&amp;E41&amp;"' AS TABELA_SIMUL,'"&amp;F41&amp;"' AS CAMPO, "&amp;"'${ref_date}' AS REF_DATE, COUNT(*) AS NUM_REG, SUM(IF((ABS(COALESCE(CAST(X."&amp;F41&amp;" AS DECIMAL(18,6)),0)-COALESCE(CAST(Y."&amp;F41&amp;"_SIMUL AS DECIMAL(18,6)),0))&gt;0.000001) OR (X."&amp;F41&amp;" IS NULL AND Y."&amp;F41&amp;"_SIMUL IS NOT NULL ) OR (X."&amp;F41&amp;" IS NOT NULL AND Y."&amp;F41&amp;"_SIMUL IS NULL),1,0)) AS NUM_REG_DIF,'"&amp;MAX('ID1&amp;5'!K:K)+1&amp;"' AS ID_EXEC, CURRENT_TIMESTAMP() AS TIME_EXEC FROM "&amp;I41&amp;" INNER JOIN "&amp;J41&amp;" "&amp;K41,"SELECT '"&amp;UPPER(B41)&amp;"' AS TABELA, '"&amp;UPPER(C41)&amp;"' AS TIPOLOGIA_TESTE,'"&amp;D41&amp;"' AS TABELA_LT,'"&amp;E41&amp;"' AS TABELA_SIMUL,'"&amp;F41&amp;"' AS CAMPO, "&amp;"'${ref_date}' AS REF_DATE, COUNT(*) AS NUM_REG, SUM(IF(COALESCE(CAST(X."&amp;F41&amp;" AS STRING),'')&lt;&gt;COALESCE(CAST(Y."&amp;F41&amp;"_SIMUL AS STRING),'') OR (X."&amp;F41&amp;" IS NULL AND Y."&amp;F41&amp;"_SIMUL IS NOT NULL ) OR (X."&amp;F41&amp;" IS NOT NULL AND Y."&amp;F41&amp;"_SIMUL IS NULL),1,0)) AS NUM_REG_DIF,'"&amp;MAX('ID1&amp;5'!L:L)+1&amp;"' AS ID_EXEC, CURRENT_TIMESTAMP() AS TIME_EXEC FROM "&amp;I41&amp;" INNER JOIN "&amp;J41&amp;" "&amp;K41),
IF(C41="Validade",+IF(G41="Code List","SELECT '"&amp;UPPER(B41)&amp;"' AS TABELA, '"&amp;UPPER(C41)&amp;"' AS TIPOLOGIA_TESTE,'"&amp;D41&amp;"' AS TABELA_LT,'N/A' AS TABELA_SIMUL,'"&amp;F41&amp;"' AS CAMPO, "&amp;"'${ref_date}' AS REF_DATE, COUNT(*) AS NUM_REG, SUM(IF(TRIM(CAST(X."&amp;F41&amp;" AS STRING))='' OR TRIM(CAST(X."&amp;F41&amp;" AS STRING)) IS NULL OR CAST(X."&amp;F41&amp;" AS STRING) NOT "&amp;H41&amp;",1,0)) AS NUM_REG_DIF,'"&amp;MAX('ID1&amp;5'!K:K)+1&amp;"' AS ID_EXEC, CURRENT_TIMESTAMP() AS TIME_EXEC FROM "&amp;I41,"SELECT '"&amp;UPPER(B41)&amp;"' AS TABELA, '"&amp;UPPER(C41)&amp;"' AS TIPOLOGIA_TESTE,'"&amp;D41&amp;"' AS TABELA_LT,'N/A' AS TABELA_SIMUL,'"&amp;F41&amp;"' AS CAMPO, "&amp;"'${ref_date}' AS REF_DATE, COUNT(*) AS NUM_REG, SUM(IF(TRIM(CAST(X."&amp;F41&amp;" AS STRING))='' OR TRIM(CAST(X."&amp;F41&amp;" AS STRING)) IS NULL,1,0)) AS NUM_REG_DIF,'"&amp;MAX('ID1&amp;5'!K:K)+1&amp;"' AS ID_EXEC, CURRENT_TIMESTAMP() AS TIME_EXEC FROM "&amp;I41),
IF(C41="Caracteres Especiais",+"SELECT '"&amp;UPPER(B41)&amp;"' AS TABELA, '"&amp;UPPER(C41)&amp;"' AS TIPOLOGIA_TESTE,'"&amp;D41&amp;"' AS TABELA_LT,'N/A' AS TABELA_SIMUL,'"&amp;F41&amp;"' AS CAMPO, "&amp;"'${ref_date}' AS REF_DATE, COUNT(*) AS NUM_REG, SUM(IF(REGEXP_REPLACE(TRIM(CAST(X."&amp;F41&amp;" AS STRING)),'[^a-zA-Z0-9_\\s]','') &lt;&gt;TRIM(CAST(X."&amp;F41&amp;" AS STRING)),1,0)) AS NUM_REG_DIF,'"&amp;MAX('ID1&amp;5'!K:K)+1&amp;"' AS ID_EXEC, CURRENT_TIMESTAMP() AS TIME_EXEC FROM "&amp;I41,
IF(C41="Missings",+"SELECT '"&amp;UPPER(B41)&amp;"' AS TABELA, '"&amp;UPPER(C41)&amp;"' AS TIPOLOGIA_TESTE,'"&amp;D41&amp;"' AS TABELA_LT,'N/A' AS TABELA_SIMUL,'"&amp;F41&amp;"' AS CAMPO, "&amp;"'${ref_date}' AS REF_DATE, COUNT(*) AS NUM_REG, SUM(IF(TRIM(CAST(X."&amp;F41&amp;" AS STRING)) IN ('0000-00-00','0001-01-01','9999-12-31','MISS','00000','99999999999','99999999999.00','99999999999.000000'),1,0)) AS NUM_REG_DIF,'"&amp;MAX('ID1&amp;5'!K:K)+1&amp;"' AS ID_EXEC, CURRENT_TIMESTAMP() AS TIME_EXEC FROM "&amp;I41,
IF(C41="Not applicable",+"SELECT '"&amp;UPPER(B41)&amp;"' AS TABELA, '"&amp;UPPER(C41)&amp;"' AS TIPOLOGIA_TESTE,'"&amp;D41&amp;"' AS TABELA_LT,'N/A' AS TABELA_SIMUL,'"&amp;F41&amp;"' AS CAMPO, "&amp;"'${ref_date}' AS REF_DATE, COUNT(*) AS NUM_REG, SUM(IF(TRIM(CAST(X."&amp;F41&amp;" AS STRING)) IN ('N/A','11111111111','11111111111.00','11111111111.000000','1111-11-11'),1,0)) AS NUM_REG_DIF,'"&amp;MAX('ID1&amp;5'!K:K)+1&amp;"' AS ID_EXEC, CURRENT_TIMESTAMP() AS TIME_EXEC FROM "&amp;I41,
IF(C41="Valores extremos",+"SELECT '"&amp;UPPER(B41)&amp;"' AS TABELA, '"&amp;UPPER(C41)&amp;"' AS TIPOLOGIA_TESTE,'"&amp;D41&amp;"' AS TABELA_LT,'N/A' AS TABELA_SIMUL,'"&amp;F41&amp;"' AS CAMPO, "&amp;"'${ref_date}' AS REF_DATE, CAST(MIN("&amp;F41&amp;") AS STRING) AS VALOR_MIN, CAST(MAX("&amp;F41&amp;") AS STRING) AS VALOR_MAX,'"&amp;MAX('ID1&amp;5'!K:K)+1&amp;"' AS ID_EXEC, CURRENT_TIMESTAMP() AS TIME_EXEC FROM "&amp;MID(I41,1,LEN(I41)-2)&amp;" AND CAST("&amp;F41&amp;"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TABELA_SIMUL,'flag_inst_div' AS CAMPO, '${ref_date}' AS REF_DATE, COUNT(*) AS NUM_REG, SUM(IF(COALESCE(CAST(X.flag_inst_div AS STRING),'')&lt;&gt;COALESCE(CAST(Y.flag_inst_div_SIMUL AS STRING),'') OR (X.flag_inst_div IS NULL AND Y.flag_inst_div_SIMUL IS NOT NULL ) OR (X.flag_inst_div IS NOT NULL AND Y.flag_inst_div_SIMUL IS NULL),1,0)) AS NUM_REG_DIF,'1' AS ID_EXEC, CURRENT_TIMESTAMP() AS TIME_EXEC FROM (SELECT a, flag_inst_div FROM BU_LOANTAPE_WORK.LT001_UNIV_OPER WHERE ref_date='${ref_date}' AND nome_perimetro='Individual Local' AND segmento='ESTR' AND ambito='SRB_MBDT' AND entidade='00100')X INNER JOIN (SELECT a AS a_SIMUL, flag_inst_div AS flag_inst_div_SIMUL FROM BU_LOANTAPE_WORK.SIMUL_LT001 WHERE ref_date='${ref_date}' AND nome_perimetro='Individual Local' AND segmento='ESTR' AND ambito='PILAR3' AND entidade='00100')Y ON X.A=Y.A_SIMUL</v>
      </c>
      <c r="M41" s="36" t="str">
        <f t="shared" si="0"/>
        <v>UNION ALL SELECT 'UNIV_OPER' AS TABELA, 'COERÊNCIA' AS TIPOLOGIA_TESTE,'BU_LOANTAPE_WORK.LT001_UNIV_OPER' AS TABELA_LT,'BU_LOANTAPE_WORK.SIMUL_LT001' AS TABELA_SIMUL,'flag_inst_div' AS CAMPO, '${ref_date}' AS REF_DATE, COUNT(*) AS NUM_REG, SUM(IF(COALESCE(CAST(X.flag_inst_div AS STRING),'')&lt;&gt;COALESCE(CAST(Y.flag_inst_div_SIMUL AS STRING),'') OR (X.flag_inst_div IS NULL AND Y.flag_inst_div_SIMUL IS NOT NULL ) OR (X.flag_inst_div IS NOT NULL AND Y.flag_inst_div_SIMUL IS NULL),1,0)) AS NUM_REG_DIF,'1' AS ID_EXEC, CURRENT_TIMESTAMP() AS TIME_EXEC FROM (SELECT a, flag_inst_div FROM BU_LOANTAPE_WORK.LT001_UNIV_OPER WHERE ref_date='${ref_date}' AND nome_perimetro='Individual Local' AND segmento='ESTR' AND ambito='SRB_MBDT' AND entidade='00100')X INNER JOIN (SELECT a AS a_SIMUL, flag_inst_div AS flag_inst_div_SIMUL FROM BU_LOANTAPE_WORK.SIMUL_LT001 WHERE ref_date='${ref_date}' AND nome_perimetro='Individual Local' AND segmento='ESTR' AND ambito='PILAR3' AND entidade='00100')Y ON X.A=Y.A_SIMUL</v>
      </c>
      <c r="N41" s="38" t="s">
        <v>40</v>
      </c>
    </row>
    <row r="42" spans="1:14">
      <c r="A42" s="60" t="str">
        <f t="shared" si="1"/>
        <v>UNIV_OPERflag_inst_cap</v>
      </c>
      <c r="B42" s="34" t="s">
        <v>1092</v>
      </c>
      <c r="C42" s="34" t="s">
        <v>5</v>
      </c>
      <c r="D42" s="34" t="str">
        <f>+UPPER('0. Instruções'!$D$35&amp;"."&amp;VLOOKUP(B42,'0. Instruções'!$C$27:$D$32,2,FALSE))</f>
        <v>BU_LOANTAPE_WORK.LT001_UNIV_OPER</v>
      </c>
      <c r="E42" s="34" t="str">
        <f>+UPPER('0. Instruções'!$D$36&amp;"."&amp;VLOOKUP(B42,'0. Instruções'!$C$27:$E$32,3,FALSE))</f>
        <v>BU_LOANTAPE_WORK.SIMUL_LT001</v>
      </c>
      <c r="F42" s="34" t="s">
        <v>1126</v>
      </c>
      <c r="G42" s="34"/>
      <c r="H42" s="34"/>
      <c r="I42" s="34" t="str">
        <f>"(SELECT "&amp;VLOOKUP(B42,'0. Instruções'!$C$27:$G$32,4,FALSE)&amp;", "&amp;F42&amp;" FROM "&amp;D42&amp;" WHERE "&amp;'0. Instruções'!$D$42&amp;")X"</f>
        <v>(SELECT a, flag_inst_cap FROM BU_LOANTAPE_WORK.LT001_UNIV_OPER WHERE ref_date='${ref_date}' AND nome_perimetro='Individual Local' AND segmento='ESTR' AND ambito='SRB_MBDT' AND entidade='00100')X</v>
      </c>
      <c r="J42" s="34" t="str">
        <f>"(SELECT "&amp;VLOOKUP(B42,'0. Instruções'!$C$27:$G$32,4,FALSE)&amp;" AS "&amp;VLOOKUP(B42,'0. Instruções'!$C$27:$G$32,4,FALSE)&amp;"_SIMUL, "&amp;F42&amp;" AS "&amp;F42&amp;"_SIMUL FROM "&amp;E42&amp;" WHERE "&amp;'0. Instruções'!$D$43&amp;")Y"</f>
        <v>(SELECT a AS a_SIMUL, flag_inst_cap AS flag_inst_cap_SIMUL FROM BU_LOANTAPE_WORK.SIMUL_LT001 WHERE ref_date='${ref_date}' AND nome_perimetro='Individual Local' AND segmento='ESTR' AND ambito='PILAR3' AND entidade='00100')Y</v>
      </c>
      <c r="K42" s="35" t="str">
        <f>+UPPER("ON X."&amp;VLOOKUP(B42,'0. Instruções'!$C$27:$G$32,4,FALSE)&amp;"=Y."&amp;VLOOKUP(B42,'0. Instruções'!$C$27:$G$32,4,FALSE)&amp;"_SIMUL")</f>
        <v>ON X.A=Y.A_SIMUL</v>
      </c>
      <c r="L42" s="35" t="str">
        <f>+IF(C42="Coerência", +IF(LEFT(G42,5)="FLOAT","SELECT '"&amp;UPPER(B42)&amp;"' AS TABELA, '"&amp;UPPER(C42)&amp;"' AS TIPOLOGIA_TESTE,'"&amp;D42&amp;"' AS TABELA_LT,'"&amp;E42&amp;"' AS TABELA_SIMUL,'"&amp;F42&amp;"' AS CAMPO, "&amp;"'${ref_date}' AS REF_DATE, COUNT(*) AS NUM_REG, SUM(IF((ABS(COALESCE(CAST(X."&amp;F42&amp;" AS DECIMAL(18,6)),0)-COALESCE(CAST(Y."&amp;F42&amp;"_SIMUL AS DECIMAL(18,6)),0))&gt;0.000001) OR (X."&amp;F42&amp;" IS NULL AND Y."&amp;F42&amp;"_SIMUL IS NOT NULL ) OR (X."&amp;F42&amp;" IS NOT NULL AND Y."&amp;F42&amp;"_SIMUL IS NULL),1,0)) AS NUM_REG_DIF,'"&amp;MAX('ID1&amp;5'!K:K)+1&amp;"' AS ID_EXEC, CURRENT_TIMESTAMP() AS TIME_EXEC FROM "&amp;I42&amp;" INNER JOIN "&amp;J42&amp;" "&amp;K42,"SELECT '"&amp;UPPER(B42)&amp;"' AS TABELA, '"&amp;UPPER(C42)&amp;"' AS TIPOLOGIA_TESTE,'"&amp;D42&amp;"' AS TABELA_LT,'"&amp;E42&amp;"' AS TABELA_SIMUL,'"&amp;F42&amp;"' AS CAMPO, "&amp;"'${ref_date}' AS REF_DATE, COUNT(*) AS NUM_REG, SUM(IF(COALESCE(CAST(X."&amp;F42&amp;" AS STRING),'')&lt;&gt;COALESCE(CAST(Y."&amp;F42&amp;"_SIMUL AS STRING),'') OR (X."&amp;F42&amp;" IS NULL AND Y."&amp;F42&amp;"_SIMUL IS NOT NULL ) OR (X."&amp;F42&amp;" IS NOT NULL AND Y."&amp;F42&amp;"_SIMUL IS NULL),1,0)) AS NUM_REG_DIF,'"&amp;MAX('ID1&amp;5'!L:L)+1&amp;"' AS ID_EXEC, CURRENT_TIMESTAMP() AS TIME_EXEC FROM "&amp;I42&amp;" INNER JOIN "&amp;J42&amp;" "&amp;K42),
IF(C42="Validade",+IF(G42="Code List","SELECT '"&amp;UPPER(B42)&amp;"' AS TABELA, '"&amp;UPPER(C42)&amp;"' AS TIPOLOGIA_TESTE,'"&amp;D42&amp;"' AS TABELA_LT,'N/A' AS TABELA_SIMUL,'"&amp;F42&amp;"' AS CAMPO, "&amp;"'${ref_date}' AS REF_DATE, COUNT(*) AS NUM_REG, SUM(IF(TRIM(CAST(X."&amp;F42&amp;" AS STRING))='' OR TRIM(CAST(X."&amp;F42&amp;" AS STRING)) IS NULL OR CAST(X."&amp;F42&amp;" AS STRING) NOT "&amp;H42&amp;",1,0)) AS NUM_REG_DIF,'"&amp;MAX('ID1&amp;5'!K:K)+1&amp;"' AS ID_EXEC, CURRENT_TIMESTAMP() AS TIME_EXEC FROM "&amp;I42,"SELECT '"&amp;UPPER(B42)&amp;"' AS TABELA, '"&amp;UPPER(C42)&amp;"' AS TIPOLOGIA_TESTE,'"&amp;D42&amp;"' AS TABELA_LT,'N/A' AS TABELA_SIMUL,'"&amp;F42&amp;"' AS CAMPO, "&amp;"'${ref_date}' AS REF_DATE, COUNT(*) AS NUM_REG, SUM(IF(TRIM(CAST(X."&amp;F42&amp;" AS STRING))='' OR TRIM(CAST(X."&amp;F42&amp;" AS STRING)) IS NULL,1,0)) AS NUM_REG_DIF,'"&amp;MAX('ID1&amp;5'!K:K)+1&amp;"' AS ID_EXEC, CURRENT_TIMESTAMP() AS TIME_EXEC FROM "&amp;I42),
IF(C42="Caracteres Especiais",+"SELECT '"&amp;UPPER(B42)&amp;"' AS TABELA, '"&amp;UPPER(C42)&amp;"' AS TIPOLOGIA_TESTE,'"&amp;D42&amp;"' AS TABELA_LT,'N/A' AS TABELA_SIMUL,'"&amp;F42&amp;"' AS CAMPO, "&amp;"'${ref_date}' AS REF_DATE, COUNT(*) AS NUM_REG, SUM(IF(REGEXP_REPLACE(TRIM(CAST(X."&amp;F42&amp;" AS STRING)),'[^a-zA-Z0-9_\\s]','') &lt;&gt;TRIM(CAST(X."&amp;F42&amp;" AS STRING)),1,0)) AS NUM_REG_DIF,'"&amp;MAX('ID1&amp;5'!K:K)+1&amp;"' AS ID_EXEC, CURRENT_TIMESTAMP() AS TIME_EXEC FROM "&amp;I42,
IF(C42="Missings",+"SELECT '"&amp;UPPER(B42)&amp;"' AS TABELA, '"&amp;UPPER(C42)&amp;"' AS TIPOLOGIA_TESTE,'"&amp;D42&amp;"' AS TABELA_LT,'N/A' AS TABELA_SIMUL,'"&amp;F42&amp;"' AS CAMPO, "&amp;"'${ref_date}' AS REF_DATE, COUNT(*) AS NUM_REG, SUM(IF(TRIM(CAST(X."&amp;F42&amp;" AS STRING)) IN ('0000-00-00','0001-01-01','9999-12-31','MISS','00000','99999999999','99999999999.00','99999999999.000000'),1,0)) AS NUM_REG_DIF,'"&amp;MAX('ID1&amp;5'!K:K)+1&amp;"' AS ID_EXEC, CURRENT_TIMESTAMP() AS TIME_EXEC FROM "&amp;I42,
IF(C42="Not applicable",+"SELECT '"&amp;UPPER(B42)&amp;"' AS TABELA, '"&amp;UPPER(C42)&amp;"' AS TIPOLOGIA_TESTE,'"&amp;D42&amp;"' AS TABELA_LT,'N/A' AS TABELA_SIMUL,'"&amp;F42&amp;"' AS CAMPO, "&amp;"'${ref_date}' AS REF_DATE, COUNT(*) AS NUM_REG, SUM(IF(TRIM(CAST(X."&amp;F42&amp;" AS STRING)) IN ('N/A','11111111111','11111111111.00','11111111111.000000','1111-11-11'),1,0)) AS NUM_REG_DIF,'"&amp;MAX('ID1&amp;5'!K:K)+1&amp;"' AS ID_EXEC, CURRENT_TIMESTAMP() AS TIME_EXEC FROM "&amp;I42,
IF(C42="Valores extremos",+"SELECT '"&amp;UPPER(B42)&amp;"' AS TABELA, '"&amp;UPPER(C42)&amp;"' AS TIPOLOGIA_TESTE,'"&amp;D42&amp;"' AS TABELA_LT,'N/A' AS TABELA_SIMUL,'"&amp;F42&amp;"' AS CAMPO, "&amp;"'${ref_date}' AS REF_DATE, CAST(MIN("&amp;F42&amp;") AS STRING) AS VALOR_MIN, CAST(MAX("&amp;F42&amp;") AS STRING) AS VALOR_MAX,'"&amp;MAX('ID1&amp;5'!K:K)+1&amp;"' AS ID_EXEC, CURRENT_TIMESTAMP() AS TIME_EXEC FROM "&amp;MID(I42,1,LEN(I42)-2)&amp;" AND CAST("&amp;F42&amp;"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TABELA_SIMUL,'flag_inst_cap' AS CAMPO, '${ref_date}' AS REF_DATE, COUNT(*) AS NUM_REG, SUM(IF(COALESCE(CAST(X.flag_inst_cap AS STRING),'')&lt;&gt;COALESCE(CAST(Y.flag_inst_cap_SIMUL AS STRING),'') OR (X.flag_inst_cap IS NULL AND Y.flag_inst_cap_SIMUL IS NOT NULL ) OR (X.flag_inst_cap IS NOT NULL AND Y.flag_inst_cap_SIMUL IS NULL),1,0)) AS NUM_REG_DIF,'1' AS ID_EXEC, CURRENT_TIMESTAMP() AS TIME_EXEC FROM (SELECT a, flag_inst_cap FROM BU_LOANTAPE_WORK.LT001_UNIV_OPER WHERE ref_date='${ref_date}' AND nome_perimetro='Individual Local' AND segmento='ESTR' AND ambito='SRB_MBDT' AND entidade='00100')X INNER JOIN (SELECT a AS a_SIMUL, flag_inst_cap AS flag_inst_cap_SIMUL FROM BU_LOANTAPE_WORK.SIMUL_LT001 WHERE ref_date='${ref_date}' AND nome_perimetro='Individual Local' AND segmento='ESTR' AND ambito='PILAR3' AND entidade='00100')Y ON X.A=Y.A_SIMUL</v>
      </c>
      <c r="M42" s="36" t="str">
        <f t="shared" si="0"/>
        <v>UNION ALL SELECT 'UNIV_OPER' AS TABELA, 'COERÊNCIA' AS TIPOLOGIA_TESTE,'BU_LOANTAPE_WORK.LT001_UNIV_OPER' AS TABELA_LT,'BU_LOANTAPE_WORK.SIMUL_LT001' AS TABELA_SIMUL,'flag_inst_cap' AS CAMPO, '${ref_date}' AS REF_DATE, COUNT(*) AS NUM_REG, SUM(IF(COALESCE(CAST(X.flag_inst_cap AS STRING),'')&lt;&gt;COALESCE(CAST(Y.flag_inst_cap_SIMUL AS STRING),'') OR (X.flag_inst_cap IS NULL AND Y.flag_inst_cap_SIMUL IS NOT NULL ) OR (X.flag_inst_cap IS NOT NULL AND Y.flag_inst_cap_SIMUL IS NULL),1,0)) AS NUM_REG_DIF,'1' AS ID_EXEC, CURRENT_TIMESTAMP() AS TIME_EXEC FROM (SELECT a, flag_inst_cap FROM BU_LOANTAPE_WORK.LT001_UNIV_OPER WHERE ref_date='${ref_date}' AND nome_perimetro='Individual Local' AND segmento='ESTR' AND ambito='SRB_MBDT' AND entidade='00100')X INNER JOIN (SELECT a AS a_SIMUL, flag_inst_cap AS flag_inst_cap_SIMUL FROM BU_LOANTAPE_WORK.SIMUL_LT001 WHERE ref_date='${ref_date}' AND nome_perimetro='Individual Local' AND segmento='ESTR' AND ambito='PILAR3' AND entidade='00100')Y ON X.A=Y.A_SIMUL</v>
      </c>
      <c r="N42" s="38" t="s">
        <v>40</v>
      </c>
    </row>
    <row r="43" spans="1:14">
      <c r="A43" s="60" t="str">
        <f t="shared" si="1"/>
        <v>UNIV_OPERflag_inst_deriv</v>
      </c>
      <c r="B43" s="34" t="s">
        <v>1092</v>
      </c>
      <c r="C43" s="34" t="s">
        <v>5</v>
      </c>
      <c r="D43" s="34" t="str">
        <f>+UPPER('0. Instruções'!$D$35&amp;"."&amp;VLOOKUP(B43,'0. Instruções'!$C$27:$D$32,2,FALSE))</f>
        <v>BU_LOANTAPE_WORK.LT001_UNIV_OPER</v>
      </c>
      <c r="E43" s="34" t="str">
        <f>+UPPER('0. Instruções'!$D$36&amp;"."&amp;VLOOKUP(B43,'0. Instruções'!$C$27:$E$32,3,FALSE))</f>
        <v>BU_LOANTAPE_WORK.SIMUL_LT001</v>
      </c>
      <c r="F43" s="34" t="s">
        <v>1127</v>
      </c>
      <c r="G43" s="34"/>
      <c r="H43" s="34"/>
      <c r="I43" s="34" t="str">
        <f>"(SELECT "&amp;VLOOKUP(B43,'0. Instruções'!$C$27:$G$32,4,FALSE)&amp;", "&amp;F43&amp;" FROM "&amp;D43&amp;" WHERE "&amp;'0. Instruções'!$D$42&amp;")X"</f>
        <v>(SELECT a, flag_inst_deriv FROM BU_LOANTAPE_WORK.LT001_UNIV_OPER WHERE ref_date='${ref_date}' AND nome_perimetro='Individual Local' AND segmento='ESTR' AND ambito='SRB_MBDT' AND entidade='00100')X</v>
      </c>
      <c r="J43" s="34" t="str">
        <f>"(SELECT "&amp;VLOOKUP(B43,'0. Instruções'!$C$27:$G$32,4,FALSE)&amp;" AS "&amp;VLOOKUP(B43,'0. Instruções'!$C$27:$G$32,4,FALSE)&amp;"_SIMUL, "&amp;F43&amp;" AS "&amp;F43&amp;"_SIMUL FROM "&amp;E43&amp;" WHERE "&amp;'0. Instruções'!$D$43&amp;")Y"</f>
        <v>(SELECT a AS a_SIMUL, flag_inst_deriv AS flag_inst_deriv_SIMUL FROM BU_LOANTAPE_WORK.SIMUL_LT001 WHERE ref_date='${ref_date}' AND nome_perimetro='Individual Local' AND segmento='ESTR' AND ambito='PILAR3' AND entidade='00100')Y</v>
      </c>
      <c r="K43" s="35" t="str">
        <f>+UPPER("ON X."&amp;VLOOKUP(B43,'0. Instruções'!$C$27:$G$32,4,FALSE)&amp;"=Y."&amp;VLOOKUP(B43,'0. Instruções'!$C$27:$G$32,4,FALSE)&amp;"_SIMUL")</f>
        <v>ON X.A=Y.A_SIMUL</v>
      </c>
      <c r="L43" s="35" t="str">
        <f>+IF(C43="Coerência", +IF(LEFT(G43,5)="FLOAT","SELECT '"&amp;UPPER(B43)&amp;"' AS TABELA, '"&amp;UPPER(C43)&amp;"' AS TIPOLOGIA_TESTE,'"&amp;D43&amp;"' AS TABELA_LT,'"&amp;E43&amp;"' AS TABELA_SIMUL,'"&amp;F43&amp;"' AS CAMPO, "&amp;"'${ref_date}' AS REF_DATE, COUNT(*) AS NUM_REG, SUM(IF((ABS(COALESCE(CAST(X."&amp;F43&amp;" AS DECIMAL(18,6)),0)-COALESCE(CAST(Y."&amp;F43&amp;"_SIMUL AS DECIMAL(18,6)),0))&gt;0.000001) OR (X."&amp;F43&amp;" IS NULL AND Y."&amp;F43&amp;"_SIMUL IS NOT NULL ) OR (X."&amp;F43&amp;" IS NOT NULL AND Y."&amp;F43&amp;"_SIMUL IS NULL),1,0)) AS NUM_REG_DIF,'"&amp;MAX('ID1&amp;5'!K:K)+1&amp;"' AS ID_EXEC, CURRENT_TIMESTAMP() AS TIME_EXEC FROM "&amp;I43&amp;" INNER JOIN "&amp;J43&amp;" "&amp;K43,"SELECT '"&amp;UPPER(B43)&amp;"' AS TABELA, '"&amp;UPPER(C43)&amp;"' AS TIPOLOGIA_TESTE,'"&amp;D43&amp;"' AS TABELA_LT,'"&amp;E43&amp;"' AS TABELA_SIMUL,'"&amp;F43&amp;"' AS CAMPO, "&amp;"'${ref_date}' AS REF_DATE, COUNT(*) AS NUM_REG, SUM(IF(COALESCE(CAST(X."&amp;F43&amp;" AS STRING),'')&lt;&gt;COALESCE(CAST(Y."&amp;F43&amp;"_SIMUL AS STRING),'') OR (X."&amp;F43&amp;" IS NULL AND Y."&amp;F43&amp;"_SIMUL IS NOT NULL ) OR (X."&amp;F43&amp;" IS NOT NULL AND Y."&amp;F43&amp;"_SIMUL IS NULL),1,0)) AS NUM_REG_DIF,'"&amp;MAX('ID1&amp;5'!L:L)+1&amp;"' AS ID_EXEC, CURRENT_TIMESTAMP() AS TIME_EXEC FROM "&amp;I43&amp;" INNER JOIN "&amp;J43&amp;" "&amp;K43),
IF(C43="Validade",+IF(G43="Code List","SELECT '"&amp;UPPER(B43)&amp;"' AS TABELA, '"&amp;UPPER(C43)&amp;"' AS TIPOLOGIA_TESTE,'"&amp;D43&amp;"' AS TABELA_LT,'N/A' AS TABELA_SIMUL,'"&amp;F43&amp;"' AS CAMPO, "&amp;"'${ref_date}' AS REF_DATE, COUNT(*) AS NUM_REG, SUM(IF(TRIM(CAST(X."&amp;F43&amp;" AS STRING))='' OR TRIM(CAST(X."&amp;F43&amp;" AS STRING)) IS NULL OR CAST(X."&amp;F43&amp;" AS STRING) NOT "&amp;H43&amp;",1,0)) AS NUM_REG_DIF,'"&amp;MAX('ID1&amp;5'!K:K)+1&amp;"' AS ID_EXEC, CURRENT_TIMESTAMP() AS TIME_EXEC FROM "&amp;I43,"SELECT '"&amp;UPPER(B43)&amp;"' AS TABELA, '"&amp;UPPER(C43)&amp;"' AS TIPOLOGIA_TESTE,'"&amp;D43&amp;"' AS TABELA_LT,'N/A' AS TABELA_SIMUL,'"&amp;F43&amp;"' AS CAMPO, "&amp;"'${ref_date}' AS REF_DATE, COUNT(*) AS NUM_REG, SUM(IF(TRIM(CAST(X."&amp;F43&amp;" AS STRING))='' OR TRIM(CAST(X."&amp;F43&amp;" AS STRING)) IS NULL,1,0)) AS NUM_REG_DIF,'"&amp;MAX('ID1&amp;5'!K:K)+1&amp;"' AS ID_EXEC, CURRENT_TIMESTAMP() AS TIME_EXEC FROM "&amp;I43),
IF(C43="Caracteres Especiais",+"SELECT '"&amp;UPPER(B43)&amp;"' AS TABELA, '"&amp;UPPER(C43)&amp;"' AS TIPOLOGIA_TESTE,'"&amp;D43&amp;"' AS TABELA_LT,'N/A' AS TABELA_SIMUL,'"&amp;F43&amp;"' AS CAMPO, "&amp;"'${ref_date}' AS REF_DATE, COUNT(*) AS NUM_REG, SUM(IF(REGEXP_REPLACE(TRIM(CAST(X."&amp;F43&amp;" AS STRING)),'[^a-zA-Z0-9_\\s]','') &lt;&gt;TRIM(CAST(X."&amp;F43&amp;" AS STRING)),1,0)) AS NUM_REG_DIF,'"&amp;MAX('ID1&amp;5'!K:K)+1&amp;"' AS ID_EXEC, CURRENT_TIMESTAMP() AS TIME_EXEC FROM "&amp;I43,
IF(C43="Missings",+"SELECT '"&amp;UPPER(B43)&amp;"' AS TABELA, '"&amp;UPPER(C43)&amp;"' AS TIPOLOGIA_TESTE,'"&amp;D43&amp;"' AS TABELA_LT,'N/A' AS TABELA_SIMUL,'"&amp;F43&amp;"' AS CAMPO, "&amp;"'${ref_date}' AS REF_DATE, COUNT(*) AS NUM_REG, SUM(IF(TRIM(CAST(X."&amp;F43&amp;" AS STRING)) IN ('0000-00-00','0001-01-01','9999-12-31','MISS','00000','99999999999','99999999999.00','99999999999.000000'),1,0)) AS NUM_REG_DIF,'"&amp;MAX('ID1&amp;5'!K:K)+1&amp;"' AS ID_EXEC, CURRENT_TIMESTAMP() AS TIME_EXEC FROM "&amp;I43,
IF(C43="Not applicable",+"SELECT '"&amp;UPPER(B43)&amp;"' AS TABELA, '"&amp;UPPER(C43)&amp;"' AS TIPOLOGIA_TESTE,'"&amp;D43&amp;"' AS TABELA_LT,'N/A' AS TABELA_SIMUL,'"&amp;F43&amp;"' AS CAMPO, "&amp;"'${ref_date}' AS REF_DATE, COUNT(*) AS NUM_REG, SUM(IF(TRIM(CAST(X."&amp;F43&amp;" AS STRING)) IN ('N/A','11111111111','11111111111.00','11111111111.000000','1111-11-11'),1,0)) AS NUM_REG_DIF,'"&amp;MAX('ID1&amp;5'!K:K)+1&amp;"' AS ID_EXEC, CURRENT_TIMESTAMP() AS TIME_EXEC FROM "&amp;I43,
IF(C43="Valores extremos",+"SELECT '"&amp;UPPER(B43)&amp;"' AS TABELA, '"&amp;UPPER(C43)&amp;"' AS TIPOLOGIA_TESTE,'"&amp;D43&amp;"' AS TABELA_LT,'N/A' AS TABELA_SIMUL,'"&amp;F43&amp;"' AS CAMPO, "&amp;"'${ref_date}' AS REF_DATE, CAST(MIN("&amp;F43&amp;") AS STRING) AS VALOR_MIN, CAST(MAX("&amp;F43&amp;") AS STRING) AS VALOR_MAX,'"&amp;MAX('ID1&amp;5'!K:K)+1&amp;"' AS ID_EXEC, CURRENT_TIMESTAMP() AS TIME_EXEC FROM "&amp;MID(I43,1,LEN(I43)-2)&amp;" AND CAST("&amp;F43&amp;"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TABELA_SIMUL,'flag_inst_deriv' AS CAMPO, '${ref_date}' AS REF_DATE, COUNT(*) AS NUM_REG, SUM(IF(COALESCE(CAST(X.flag_inst_deriv AS STRING),'')&lt;&gt;COALESCE(CAST(Y.flag_inst_deriv_SIMUL AS STRING),'') OR (X.flag_inst_deriv IS NULL AND Y.flag_inst_deriv_SIMUL IS NOT NULL ) OR (X.flag_inst_deriv IS NOT NULL AND Y.flag_inst_deriv_SIMUL IS NULL),1,0)) AS NUM_REG_DIF,'1' AS ID_EXEC, CURRENT_TIMESTAMP() AS TIME_EXEC FROM (SELECT a, flag_inst_deriv FROM BU_LOANTAPE_WORK.LT001_UNIV_OPER WHERE ref_date='${ref_date}' AND nome_perimetro='Individual Local' AND segmento='ESTR' AND ambito='SRB_MBDT' AND entidade='00100')X INNER JOIN (SELECT a AS a_SIMUL, flag_inst_deriv AS flag_inst_deriv_SIMUL FROM BU_LOANTAPE_WORK.SIMUL_LT001 WHERE ref_date='${ref_date}' AND nome_perimetro='Individual Local' AND segmento='ESTR' AND ambito='PILAR3' AND entidade='00100')Y ON X.A=Y.A_SIMUL</v>
      </c>
      <c r="M43" s="36" t="str">
        <f t="shared" si="0"/>
        <v>UNION ALL SELECT 'UNIV_OPER' AS TABELA, 'COERÊNCIA' AS TIPOLOGIA_TESTE,'BU_LOANTAPE_WORK.LT001_UNIV_OPER' AS TABELA_LT,'BU_LOANTAPE_WORK.SIMUL_LT001' AS TABELA_SIMUL,'flag_inst_deriv' AS CAMPO, '${ref_date}' AS REF_DATE, COUNT(*) AS NUM_REG, SUM(IF(COALESCE(CAST(X.flag_inst_deriv AS STRING),'')&lt;&gt;COALESCE(CAST(Y.flag_inst_deriv_SIMUL AS STRING),'') OR (X.flag_inst_deriv IS NULL AND Y.flag_inst_deriv_SIMUL IS NOT NULL ) OR (X.flag_inst_deriv IS NOT NULL AND Y.flag_inst_deriv_SIMUL IS NULL),1,0)) AS NUM_REG_DIF,'1' AS ID_EXEC, CURRENT_TIMESTAMP() AS TIME_EXEC FROM (SELECT a, flag_inst_deriv FROM BU_LOANTAPE_WORK.LT001_UNIV_OPER WHERE ref_date='${ref_date}' AND nome_perimetro='Individual Local' AND segmento='ESTR' AND ambito='SRB_MBDT' AND entidade='00100')X INNER JOIN (SELECT a AS a_SIMUL, flag_inst_deriv AS flag_inst_deriv_SIMUL FROM BU_LOANTAPE_WORK.SIMUL_LT001 WHERE ref_date='${ref_date}' AND nome_perimetro='Individual Local' AND segmento='ESTR' AND ambito='PILAR3' AND entidade='00100')Y ON X.A=Y.A_SIMUL</v>
      </c>
      <c r="N43" s="38" t="s">
        <v>40</v>
      </c>
    </row>
    <row r="44" spans="1:14">
      <c r="A44" s="60" t="str">
        <f t="shared" si="1"/>
        <v>UNIV_OPERflag_ajust_ncon</v>
      </c>
      <c r="B44" s="34" t="s">
        <v>1092</v>
      </c>
      <c r="C44" s="34" t="s">
        <v>5</v>
      </c>
      <c r="D44" s="34" t="str">
        <f>+UPPER('0. Instruções'!$D$35&amp;"."&amp;VLOOKUP(B44,'0. Instruções'!$C$27:$D$32,2,FALSE))</f>
        <v>BU_LOANTAPE_WORK.LT001_UNIV_OPER</v>
      </c>
      <c r="E44" s="34" t="str">
        <f>+UPPER('0. Instruções'!$D$36&amp;"."&amp;VLOOKUP(B44,'0. Instruções'!$C$27:$E$32,3,FALSE))</f>
        <v>BU_LOANTAPE_WORK.SIMUL_LT001</v>
      </c>
      <c r="F44" s="34" t="s">
        <v>1128</v>
      </c>
      <c r="G44" s="34"/>
      <c r="H44" s="34"/>
      <c r="I44" s="34" t="str">
        <f>"(SELECT "&amp;VLOOKUP(B44,'0. Instruções'!$C$27:$G$32,4,FALSE)&amp;", "&amp;F44&amp;" FROM "&amp;D44&amp;" WHERE "&amp;'0. Instruções'!$D$42&amp;")X"</f>
        <v>(SELECT a, flag_ajust_ncon FROM BU_LOANTAPE_WORK.LT001_UNIV_OPER WHERE ref_date='${ref_date}' AND nome_perimetro='Individual Local' AND segmento='ESTR' AND ambito='SRB_MBDT' AND entidade='00100')X</v>
      </c>
      <c r="J44" s="34" t="str">
        <f>"(SELECT "&amp;VLOOKUP(B44,'0. Instruções'!$C$27:$G$32,4,FALSE)&amp;" AS "&amp;VLOOKUP(B44,'0. Instruções'!$C$27:$G$32,4,FALSE)&amp;"_SIMUL, "&amp;F44&amp;" AS "&amp;F44&amp;"_SIMUL FROM "&amp;E44&amp;" WHERE "&amp;'0. Instruções'!$D$43&amp;")Y"</f>
        <v>(SELECT a AS a_SIMUL, flag_ajust_ncon AS flag_ajust_ncon_SIMUL FROM BU_LOANTAPE_WORK.SIMUL_LT001 WHERE ref_date='${ref_date}' AND nome_perimetro='Individual Local' AND segmento='ESTR' AND ambito='PILAR3' AND entidade='00100')Y</v>
      </c>
      <c r="K44" s="35" t="str">
        <f>+UPPER("ON X."&amp;VLOOKUP(B44,'0. Instruções'!$C$27:$G$32,4,FALSE)&amp;"=Y."&amp;VLOOKUP(B44,'0. Instruções'!$C$27:$G$32,4,FALSE)&amp;"_SIMUL")</f>
        <v>ON X.A=Y.A_SIMUL</v>
      </c>
      <c r="L44" s="35" t="str">
        <f>+IF(C44="Coerência", +IF(LEFT(G44,5)="FLOAT","SELECT '"&amp;UPPER(B44)&amp;"' AS TABELA, '"&amp;UPPER(C44)&amp;"' AS TIPOLOGIA_TESTE,'"&amp;D44&amp;"' AS TABELA_LT,'"&amp;E44&amp;"' AS TABELA_SIMUL,'"&amp;F44&amp;"' AS CAMPO, "&amp;"'${ref_date}' AS REF_DATE, COUNT(*) AS NUM_REG, SUM(IF((ABS(COALESCE(CAST(X."&amp;F44&amp;" AS DECIMAL(18,6)),0)-COALESCE(CAST(Y."&amp;F44&amp;"_SIMUL AS DECIMAL(18,6)),0))&gt;0.000001) OR (X."&amp;F44&amp;" IS NULL AND Y."&amp;F44&amp;"_SIMUL IS NOT NULL ) OR (X."&amp;F44&amp;" IS NOT NULL AND Y."&amp;F44&amp;"_SIMUL IS NULL),1,0)) AS NUM_REG_DIF,'"&amp;MAX('ID1&amp;5'!K:K)+1&amp;"' AS ID_EXEC, CURRENT_TIMESTAMP() AS TIME_EXEC FROM "&amp;I44&amp;" INNER JOIN "&amp;J44&amp;" "&amp;K44,"SELECT '"&amp;UPPER(B44)&amp;"' AS TABELA, '"&amp;UPPER(C44)&amp;"' AS TIPOLOGIA_TESTE,'"&amp;D44&amp;"' AS TABELA_LT,'"&amp;E44&amp;"' AS TABELA_SIMUL,'"&amp;F44&amp;"' AS CAMPO, "&amp;"'${ref_date}' AS REF_DATE, COUNT(*) AS NUM_REG, SUM(IF(COALESCE(CAST(X."&amp;F44&amp;" AS STRING),'')&lt;&gt;COALESCE(CAST(Y."&amp;F44&amp;"_SIMUL AS STRING),'') OR (X."&amp;F44&amp;" IS NULL AND Y."&amp;F44&amp;"_SIMUL IS NOT NULL ) OR (X."&amp;F44&amp;" IS NOT NULL AND Y."&amp;F44&amp;"_SIMUL IS NULL),1,0)) AS NUM_REG_DIF,'"&amp;MAX('ID1&amp;5'!L:L)+1&amp;"' AS ID_EXEC, CURRENT_TIMESTAMP() AS TIME_EXEC FROM "&amp;I44&amp;" INNER JOIN "&amp;J44&amp;" "&amp;K44),
IF(C44="Validade",+IF(G44="Code List","SELECT '"&amp;UPPER(B44)&amp;"' AS TABELA, '"&amp;UPPER(C44)&amp;"' AS TIPOLOGIA_TESTE,'"&amp;D44&amp;"' AS TABELA_LT,'N/A' AS TABELA_SIMUL,'"&amp;F44&amp;"' AS CAMPO, "&amp;"'${ref_date}' AS REF_DATE, COUNT(*) AS NUM_REG, SUM(IF(TRIM(CAST(X."&amp;F44&amp;" AS STRING))='' OR TRIM(CAST(X."&amp;F44&amp;" AS STRING)) IS NULL OR CAST(X."&amp;F44&amp;" AS STRING) NOT "&amp;H44&amp;",1,0)) AS NUM_REG_DIF,'"&amp;MAX('ID1&amp;5'!K:K)+1&amp;"' AS ID_EXEC, CURRENT_TIMESTAMP() AS TIME_EXEC FROM "&amp;I44,"SELECT '"&amp;UPPER(B44)&amp;"' AS TABELA, '"&amp;UPPER(C44)&amp;"' AS TIPOLOGIA_TESTE,'"&amp;D44&amp;"' AS TABELA_LT,'N/A' AS TABELA_SIMUL,'"&amp;F44&amp;"' AS CAMPO, "&amp;"'${ref_date}' AS REF_DATE, COUNT(*) AS NUM_REG, SUM(IF(TRIM(CAST(X."&amp;F44&amp;" AS STRING))='' OR TRIM(CAST(X."&amp;F44&amp;" AS STRING)) IS NULL,1,0)) AS NUM_REG_DIF,'"&amp;MAX('ID1&amp;5'!K:K)+1&amp;"' AS ID_EXEC, CURRENT_TIMESTAMP() AS TIME_EXEC FROM "&amp;I44),
IF(C44="Caracteres Especiais",+"SELECT '"&amp;UPPER(B44)&amp;"' AS TABELA, '"&amp;UPPER(C44)&amp;"' AS TIPOLOGIA_TESTE,'"&amp;D44&amp;"' AS TABELA_LT,'N/A' AS TABELA_SIMUL,'"&amp;F44&amp;"' AS CAMPO, "&amp;"'${ref_date}' AS REF_DATE, COUNT(*) AS NUM_REG, SUM(IF(REGEXP_REPLACE(TRIM(CAST(X."&amp;F44&amp;" AS STRING)),'[^a-zA-Z0-9_\\s]','') &lt;&gt;TRIM(CAST(X."&amp;F44&amp;" AS STRING)),1,0)) AS NUM_REG_DIF,'"&amp;MAX('ID1&amp;5'!K:K)+1&amp;"' AS ID_EXEC, CURRENT_TIMESTAMP() AS TIME_EXEC FROM "&amp;I44,
IF(C44="Missings",+"SELECT '"&amp;UPPER(B44)&amp;"' AS TABELA, '"&amp;UPPER(C44)&amp;"' AS TIPOLOGIA_TESTE,'"&amp;D44&amp;"' AS TABELA_LT,'N/A' AS TABELA_SIMUL,'"&amp;F44&amp;"' AS CAMPO, "&amp;"'${ref_date}' AS REF_DATE, COUNT(*) AS NUM_REG, SUM(IF(TRIM(CAST(X."&amp;F44&amp;" AS STRING)) IN ('0000-00-00','0001-01-01','9999-12-31','MISS','00000','99999999999','99999999999.00','99999999999.000000'),1,0)) AS NUM_REG_DIF,'"&amp;MAX('ID1&amp;5'!K:K)+1&amp;"' AS ID_EXEC, CURRENT_TIMESTAMP() AS TIME_EXEC FROM "&amp;I44,
IF(C44="Not applicable",+"SELECT '"&amp;UPPER(B44)&amp;"' AS TABELA, '"&amp;UPPER(C44)&amp;"' AS TIPOLOGIA_TESTE,'"&amp;D44&amp;"' AS TABELA_LT,'N/A' AS TABELA_SIMUL,'"&amp;F44&amp;"' AS CAMPO, "&amp;"'${ref_date}' AS REF_DATE, COUNT(*) AS NUM_REG, SUM(IF(TRIM(CAST(X."&amp;F44&amp;" AS STRING)) IN ('N/A','11111111111','11111111111.00','11111111111.000000','1111-11-11'),1,0)) AS NUM_REG_DIF,'"&amp;MAX('ID1&amp;5'!K:K)+1&amp;"' AS ID_EXEC, CURRENT_TIMESTAMP() AS TIME_EXEC FROM "&amp;I44,
IF(C44="Valores extremos",+"SELECT '"&amp;UPPER(B44)&amp;"' AS TABELA, '"&amp;UPPER(C44)&amp;"' AS TIPOLOGIA_TESTE,'"&amp;D44&amp;"' AS TABELA_LT,'N/A' AS TABELA_SIMUL,'"&amp;F44&amp;"' AS CAMPO, "&amp;"'${ref_date}' AS REF_DATE, CAST(MIN("&amp;F44&amp;") AS STRING) AS VALOR_MIN, CAST(MAX("&amp;F44&amp;") AS STRING) AS VALOR_MAX,'"&amp;MAX('ID1&amp;5'!K:K)+1&amp;"' AS ID_EXEC, CURRENT_TIMESTAMP() AS TIME_EXEC FROM "&amp;MID(I44,1,LEN(I44)-2)&amp;" AND CAST("&amp;F44&amp;"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TABELA_SIMUL,'flag_ajust_ncon' AS CAMPO, '${ref_date}' AS REF_DATE, COUNT(*) AS NUM_REG, SUM(IF(COALESCE(CAST(X.flag_ajust_ncon AS STRING),'')&lt;&gt;COALESCE(CAST(Y.flag_ajust_ncon_SIMUL AS STRING),'') OR (X.flag_ajust_ncon IS NULL AND Y.flag_ajust_ncon_SIMUL IS NOT NULL ) OR (X.flag_ajust_ncon IS NOT NULL AND Y.flag_ajust_ncon_SIMUL IS NULL),1,0)) AS NUM_REG_DIF,'1' AS ID_EXEC, CURRENT_TIMESTAMP() AS TIME_EXEC FROM (SELECT a, flag_ajust_ncon FROM BU_LOANTAPE_WORK.LT001_UNIV_OPER WHERE ref_date='${ref_date}' AND nome_perimetro='Individual Local' AND segmento='ESTR' AND ambito='SRB_MBDT' AND entidade='00100')X INNER JOIN (SELECT a AS a_SIMUL, flag_ajust_ncon AS flag_ajust_ncon_SIMUL FROM BU_LOANTAPE_WORK.SIMUL_LT001 WHERE ref_date='${ref_date}' AND nome_perimetro='Individual Local' AND segmento='ESTR' AND ambito='PILAR3' AND entidade='00100')Y ON X.A=Y.A_SIMUL</v>
      </c>
      <c r="M44" s="36" t="str">
        <f t="shared" si="0"/>
        <v>UNION ALL SELECT 'UNIV_OPER' AS TABELA, 'COERÊNCIA' AS TIPOLOGIA_TESTE,'BU_LOANTAPE_WORK.LT001_UNIV_OPER' AS TABELA_LT,'BU_LOANTAPE_WORK.SIMUL_LT001' AS TABELA_SIMUL,'flag_ajust_ncon' AS CAMPO, '${ref_date}' AS REF_DATE, COUNT(*) AS NUM_REG, SUM(IF(COALESCE(CAST(X.flag_ajust_ncon AS STRING),'')&lt;&gt;COALESCE(CAST(Y.flag_ajust_ncon_SIMUL AS STRING),'') OR (X.flag_ajust_ncon IS NULL AND Y.flag_ajust_ncon_SIMUL IS NOT NULL ) OR (X.flag_ajust_ncon IS NOT NULL AND Y.flag_ajust_ncon_SIMUL IS NULL),1,0)) AS NUM_REG_DIF,'1' AS ID_EXEC, CURRENT_TIMESTAMP() AS TIME_EXEC FROM (SELECT a, flag_ajust_ncon FROM BU_LOANTAPE_WORK.LT001_UNIV_OPER WHERE ref_date='${ref_date}' AND nome_perimetro='Individual Local' AND segmento='ESTR' AND ambito='SRB_MBDT' AND entidade='00100')X INNER JOIN (SELECT a AS a_SIMUL, flag_ajust_ncon AS flag_ajust_ncon_SIMUL FROM BU_LOANTAPE_WORK.SIMUL_LT001 WHERE ref_date='${ref_date}' AND nome_perimetro='Individual Local' AND segmento='ESTR' AND ambito='PILAR3' AND entidade='00100')Y ON X.A=Y.A_SIMUL</v>
      </c>
      <c r="N44" s="38" t="s">
        <v>40</v>
      </c>
    </row>
    <row r="45" spans="1:14">
      <c r="A45" s="60" t="str">
        <f t="shared" si="1"/>
        <v>UNIV_OPERflag_mis</v>
      </c>
      <c r="B45" s="34" t="s">
        <v>1092</v>
      </c>
      <c r="C45" s="34" t="s">
        <v>5</v>
      </c>
      <c r="D45" s="34" t="str">
        <f>+UPPER('0. Instruções'!$D$35&amp;"."&amp;VLOOKUP(B45,'0. Instruções'!$C$27:$D$32,2,FALSE))</f>
        <v>BU_LOANTAPE_WORK.LT001_UNIV_OPER</v>
      </c>
      <c r="E45" s="34" t="str">
        <f>+UPPER('0. Instruções'!$D$36&amp;"."&amp;VLOOKUP(B45,'0. Instruções'!$C$27:$E$32,3,FALSE))</f>
        <v>BU_LOANTAPE_WORK.SIMUL_LT001</v>
      </c>
      <c r="F45" s="34" t="s">
        <v>1129</v>
      </c>
      <c r="G45" s="34"/>
      <c r="H45" s="34"/>
      <c r="I45" s="34" t="str">
        <f>"(SELECT "&amp;VLOOKUP(B45,'0. Instruções'!$C$27:$G$32,4,FALSE)&amp;", "&amp;F45&amp;" FROM "&amp;D45&amp;" WHERE "&amp;'0. Instruções'!$D$42&amp;")X"</f>
        <v>(SELECT a, flag_mis FROM BU_LOANTAPE_WORK.LT001_UNIV_OPER WHERE ref_date='${ref_date}' AND nome_perimetro='Individual Local' AND segmento='ESTR' AND ambito='SRB_MBDT' AND entidade='00100')X</v>
      </c>
      <c r="J45" s="34" t="str">
        <f>"(SELECT "&amp;VLOOKUP(B45,'0. Instruções'!$C$27:$G$32,4,FALSE)&amp;" AS "&amp;VLOOKUP(B45,'0. Instruções'!$C$27:$G$32,4,FALSE)&amp;"_SIMUL, "&amp;F45&amp;" AS "&amp;F45&amp;"_SIMUL FROM "&amp;E45&amp;" WHERE "&amp;'0. Instruções'!$D$43&amp;")Y"</f>
        <v>(SELECT a AS a_SIMUL, flag_mis AS flag_mis_SIMUL FROM BU_LOANTAPE_WORK.SIMUL_LT001 WHERE ref_date='${ref_date}' AND nome_perimetro='Individual Local' AND segmento='ESTR' AND ambito='PILAR3' AND entidade='00100')Y</v>
      </c>
      <c r="K45" s="35" t="str">
        <f>+UPPER("ON X."&amp;VLOOKUP(B45,'0. Instruções'!$C$27:$G$32,4,FALSE)&amp;"=Y."&amp;VLOOKUP(B45,'0. Instruções'!$C$27:$G$32,4,FALSE)&amp;"_SIMUL")</f>
        <v>ON X.A=Y.A_SIMUL</v>
      </c>
      <c r="L45" s="35" t="str">
        <f>+IF(C45="Coerência", +IF(LEFT(G45,5)="FLOAT","SELECT '"&amp;UPPER(B45)&amp;"' AS TABELA, '"&amp;UPPER(C45)&amp;"' AS TIPOLOGIA_TESTE,'"&amp;D45&amp;"' AS TABELA_LT,'"&amp;E45&amp;"' AS TABELA_SIMUL,'"&amp;F45&amp;"' AS CAMPO, "&amp;"'${ref_date}' AS REF_DATE, COUNT(*) AS NUM_REG, SUM(IF((ABS(COALESCE(CAST(X."&amp;F45&amp;" AS DECIMAL(18,6)),0)-COALESCE(CAST(Y."&amp;F45&amp;"_SIMUL AS DECIMAL(18,6)),0))&gt;0.000001) OR (X."&amp;F45&amp;" IS NULL AND Y."&amp;F45&amp;"_SIMUL IS NOT NULL ) OR (X."&amp;F45&amp;" IS NOT NULL AND Y."&amp;F45&amp;"_SIMUL IS NULL),1,0)) AS NUM_REG_DIF,'"&amp;MAX('ID1&amp;5'!K:K)+1&amp;"' AS ID_EXEC, CURRENT_TIMESTAMP() AS TIME_EXEC FROM "&amp;I45&amp;" INNER JOIN "&amp;J45&amp;" "&amp;K45,"SELECT '"&amp;UPPER(B45)&amp;"' AS TABELA, '"&amp;UPPER(C45)&amp;"' AS TIPOLOGIA_TESTE,'"&amp;D45&amp;"' AS TABELA_LT,'"&amp;E45&amp;"' AS TABELA_SIMUL,'"&amp;F45&amp;"' AS CAMPO, "&amp;"'${ref_date}' AS REF_DATE, COUNT(*) AS NUM_REG, SUM(IF(COALESCE(CAST(X."&amp;F45&amp;" AS STRING),'')&lt;&gt;COALESCE(CAST(Y."&amp;F45&amp;"_SIMUL AS STRING),'') OR (X."&amp;F45&amp;" IS NULL AND Y."&amp;F45&amp;"_SIMUL IS NOT NULL ) OR (X."&amp;F45&amp;" IS NOT NULL AND Y."&amp;F45&amp;"_SIMUL IS NULL),1,0)) AS NUM_REG_DIF,'"&amp;MAX('ID1&amp;5'!L:L)+1&amp;"' AS ID_EXEC, CURRENT_TIMESTAMP() AS TIME_EXEC FROM "&amp;I45&amp;" INNER JOIN "&amp;J45&amp;" "&amp;K45),
IF(C45="Validade",+IF(G45="Code List","SELECT '"&amp;UPPER(B45)&amp;"' AS TABELA, '"&amp;UPPER(C45)&amp;"' AS TIPOLOGIA_TESTE,'"&amp;D45&amp;"' AS TABELA_LT,'N/A' AS TABELA_SIMUL,'"&amp;F45&amp;"' AS CAMPO, "&amp;"'${ref_date}' AS REF_DATE, COUNT(*) AS NUM_REG, SUM(IF(TRIM(CAST(X."&amp;F45&amp;" AS STRING))='' OR TRIM(CAST(X."&amp;F45&amp;" AS STRING)) IS NULL OR CAST(X."&amp;F45&amp;" AS STRING) NOT "&amp;H45&amp;",1,0)) AS NUM_REG_DIF,'"&amp;MAX('ID1&amp;5'!K:K)+1&amp;"' AS ID_EXEC, CURRENT_TIMESTAMP() AS TIME_EXEC FROM "&amp;I45,"SELECT '"&amp;UPPER(B45)&amp;"' AS TABELA, '"&amp;UPPER(C45)&amp;"' AS TIPOLOGIA_TESTE,'"&amp;D45&amp;"' AS TABELA_LT,'N/A' AS TABELA_SIMUL,'"&amp;F45&amp;"' AS CAMPO, "&amp;"'${ref_date}' AS REF_DATE, COUNT(*) AS NUM_REG, SUM(IF(TRIM(CAST(X."&amp;F45&amp;" AS STRING))='' OR TRIM(CAST(X."&amp;F45&amp;" AS STRING)) IS NULL,1,0)) AS NUM_REG_DIF,'"&amp;MAX('ID1&amp;5'!K:K)+1&amp;"' AS ID_EXEC, CURRENT_TIMESTAMP() AS TIME_EXEC FROM "&amp;I45),
IF(C45="Caracteres Especiais",+"SELECT '"&amp;UPPER(B45)&amp;"' AS TABELA, '"&amp;UPPER(C45)&amp;"' AS TIPOLOGIA_TESTE,'"&amp;D45&amp;"' AS TABELA_LT,'N/A' AS TABELA_SIMUL,'"&amp;F45&amp;"' AS CAMPO, "&amp;"'${ref_date}' AS REF_DATE, COUNT(*) AS NUM_REG, SUM(IF(REGEXP_REPLACE(TRIM(CAST(X."&amp;F45&amp;" AS STRING)),'[^a-zA-Z0-9_\\s]','') &lt;&gt;TRIM(CAST(X."&amp;F45&amp;" AS STRING)),1,0)) AS NUM_REG_DIF,'"&amp;MAX('ID1&amp;5'!K:K)+1&amp;"' AS ID_EXEC, CURRENT_TIMESTAMP() AS TIME_EXEC FROM "&amp;I45,
IF(C45="Missings",+"SELECT '"&amp;UPPER(B45)&amp;"' AS TABELA, '"&amp;UPPER(C45)&amp;"' AS TIPOLOGIA_TESTE,'"&amp;D45&amp;"' AS TABELA_LT,'N/A' AS TABELA_SIMUL,'"&amp;F45&amp;"' AS CAMPO, "&amp;"'${ref_date}' AS REF_DATE, COUNT(*) AS NUM_REG, SUM(IF(TRIM(CAST(X."&amp;F45&amp;" AS STRING)) IN ('0000-00-00','0001-01-01','9999-12-31','MISS','00000','99999999999','99999999999.00','99999999999.000000'),1,0)) AS NUM_REG_DIF,'"&amp;MAX('ID1&amp;5'!K:K)+1&amp;"' AS ID_EXEC, CURRENT_TIMESTAMP() AS TIME_EXEC FROM "&amp;I45,
IF(C45="Not applicable",+"SELECT '"&amp;UPPER(B45)&amp;"' AS TABELA, '"&amp;UPPER(C45)&amp;"' AS TIPOLOGIA_TESTE,'"&amp;D45&amp;"' AS TABELA_LT,'N/A' AS TABELA_SIMUL,'"&amp;F45&amp;"' AS CAMPO, "&amp;"'${ref_date}' AS REF_DATE, COUNT(*) AS NUM_REG, SUM(IF(TRIM(CAST(X."&amp;F45&amp;" AS STRING)) IN ('N/A','11111111111','11111111111.00','11111111111.000000','1111-11-11'),1,0)) AS NUM_REG_DIF,'"&amp;MAX('ID1&amp;5'!K:K)+1&amp;"' AS ID_EXEC, CURRENT_TIMESTAMP() AS TIME_EXEC FROM "&amp;I45,
IF(C45="Valores extremos",+"SELECT '"&amp;UPPER(B45)&amp;"' AS TABELA, '"&amp;UPPER(C45)&amp;"' AS TIPOLOGIA_TESTE,'"&amp;D45&amp;"' AS TABELA_LT,'N/A' AS TABELA_SIMUL,'"&amp;F45&amp;"' AS CAMPO, "&amp;"'${ref_date}' AS REF_DATE, CAST(MIN("&amp;F45&amp;") AS STRING) AS VALOR_MIN, CAST(MAX("&amp;F45&amp;") AS STRING) AS VALOR_MAX,'"&amp;MAX('ID1&amp;5'!K:K)+1&amp;"' AS ID_EXEC, CURRENT_TIMESTAMP() AS TIME_EXEC FROM "&amp;MID(I45,1,LEN(I45)-2)&amp;" AND CAST("&amp;F45&amp;"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TABELA_SIMUL,'flag_mis' AS CAMPO, '${ref_date}' AS REF_DATE, COUNT(*) AS NUM_REG, SUM(IF(COALESCE(CAST(X.flag_mis AS STRING),'')&lt;&gt;COALESCE(CAST(Y.flag_mis_SIMUL AS STRING),'') OR (X.flag_mis IS NULL AND Y.flag_mis_SIMUL IS NOT NULL ) OR (X.flag_mis IS NOT NULL AND Y.flag_mis_SIMUL IS NULL),1,0)) AS NUM_REG_DIF,'1' AS ID_EXEC, CURRENT_TIMESTAMP() AS TIME_EXEC FROM (SELECT a, flag_mis FROM BU_LOANTAPE_WORK.LT001_UNIV_OPER WHERE ref_date='${ref_date}' AND nome_perimetro='Individual Local' AND segmento='ESTR' AND ambito='SRB_MBDT' AND entidade='00100')X INNER JOIN (SELECT a AS a_SIMUL, flag_mis AS flag_mis_SIMUL FROM BU_LOANTAPE_WORK.SIMUL_LT001 WHERE ref_date='${ref_date}' AND nome_perimetro='Individual Local' AND segmento='ESTR' AND ambito='PILAR3' AND entidade='00100')Y ON X.A=Y.A_SIMUL</v>
      </c>
      <c r="M45" s="36" t="str">
        <f t="shared" si="0"/>
        <v>UNION ALL SELECT 'UNIV_OPER' AS TABELA, 'COERÊNCIA' AS TIPOLOGIA_TESTE,'BU_LOANTAPE_WORK.LT001_UNIV_OPER' AS TABELA_LT,'BU_LOANTAPE_WORK.SIMUL_LT001' AS TABELA_SIMUL,'flag_mis' AS CAMPO, '${ref_date}' AS REF_DATE, COUNT(*) AS NUM_REG, SUM(IF(COALESCE(CAST(X.flag_mis AS STRING),'')&lt;&gt;COALESCE(CAST(Y.flag_mis_SIMUL AS STRING),'') OR (X.flag_mis IS NULL AND Y.flag_mis_SIMUL IS NOT NULL ) OR (X.flag_mis IS NOT NULL AND Y.flag_mis_SIMUL IS NULL),1,0)) AS NUM_REG_DIF,'1' AS ID_EXEC, CURRENT_TIMESTAMP() AS TIME_EXEC FROM (SELECT a, flag_mis FROM BU_LOANTAPE_WORK.LT001_UNIV_OPER WHERE ref_date='${ref_date}' AND nome_perimetro='Individual Local' AND segmento='ESTR' AND ambito='SRB_MBDT' AND entidade='00100')X INNER JOIN (SELECT a AS a_SIMUL, flag_mis AS flag_mis_SIMUL FROM BU_LOANTAPE_WORK.SIMUL_LT001 WHERE ref_date='${ref_date}' AND nome_perimetro='Individual Local' AND segmento='ESTR' AND ambito='PILAR3' AND entidade='00100')Y ON X.A=Y.A_SIMUL</v>
      </c>
      <c r="N45" s="38" t="s">
        <v>40</v>
      </c>
    </row>
    <row r="46" spans="1:14">
      <c r="A46" s="60" t="str">
        <f t="shared" si="1"/>
        <v>UNIV_OPERflag_inst_titulos</v>
      </c>
      <c r="B46" s="34" t="s">
        <v>1092</v>
      </c>
      <c r="C46" s="34" t="s">
        <v>5</v>
      </c>
      <c r="D46" s="34" t="str">
        <f>+UPPER('0. Instruções'!$D$35&amp;"."&amp;VLOOKUP(B46,'0. Instruções'!$C$27:$D$32,2,FALSE))</f>
        <v>BU_LOANTAPE_WORK.LT001_UNIV_OPER</v>
      </c>
      <c r="E46" s="34" t="str">
        <f>+UPPER('0. Instruções'!$D$36&amp;"."&amp;VLOOKUP(B46,'0. Instruções'!$C$27:$E$32,3,FALSE))</f>
        <v>BU_LOANTAPE_WORK.SIMUL_LT001</v>
      </c>
      <c r="F46" s="34" t="s">
        <v>1130</v>
      </c>
      <c r="G46" s="34"/>
      <c r="H46" s="34"/>
      <c r="I46" s="34" t="str">
        <f>"(SELECT "&amp;VLOOKUP(B46,'0. Instruções'!$C$27:$G$32,4,FALSE)&amp;", "&amp;F46&amp;" FROM "&amp;D46&amp;" WHERE "&amp;'0. Instruções'!$D$42&amp;")X"</f>
        <v>(SELECT a, flag_inst_titulos FROM BU_LOANTAPE_WORK.LT001_UNIV_OPER WHERE ref_date='${ref_date}' AND nome_perimetro='Individual Local' AND segmento='ESTR' AND ambito='SRB_MBDT' AND entidade='00100')X</v>
      </c>
      <c r="J46" s="34" t="str">
        <f>"(SELECT "&amp;VLOOKUP(B46,'0. Instruções'!$C$27:$G$32,4,FALSE)&amp;" AS "&amp;VLOOKUP(B46,'0. Instruções'!$C$27:$G$32,4,FALSE)&amp;"_SIMUL, "&amp;F46&amp;" AS "&amp;F46&amp;"_SIMUL FROM "&amp;E46&amp;" WHERE "&amp;'0. Instruções'!$D$43&amp;")Y"</f>
        <v>(SELECT a AS a_SIMUL, flag_inst_titulos AS flag_inst_titulos_SIMUL FROM BU_LOANTAPE_WORK.SIMUL_LT001 WHERE ref_date='${ref_date}' AND nome_perimetro='Individual Local' AND segmento='ESTR' AND ambito='PILAR3' AND entidade='00100')Y</v>
      </c>
      <c r="K46" s="35" t="str">
        <f>+UPPER("ON X."&amp;VLOOKUP(B46,'0. Instruções'!$C$27:$G$32,4,FALSE)&amp;"=Y."&amp;VLOOKUP(B46,'0. Instruções'!$C$27:$G$32,4,FALSE)&amp;"_SIMUL")</f>
        <v>ON X.A=Y.A_SIMUL</v>
      </c>
      <c r="L46" s="35" t="str">
        <f>+IF(C46="Coerência", +IF(LEFT(G46,5)="FLOAT","SELECT '"&amp;UPPER(B46)&amp;"' AS TABELA, '"&amp;UPPER(C46)&amp;"' AS TIPOLOGIA_TESTE,'"&amp;D46&amp;"' AS TABELA_LT,'"&amp;E46&amp;"' AS TABELA_SIMUL,'"&amp;F46&amp;"' AS CAMPO, "&amp;"'${ref_date}' AS REF_DATE, COUNT(*) AS NUM_REG, SUM(IF((ABS(COALESCE(CAST(X."&amp;F46&amp;" AS DECIMAL(18,6)),0)-COALESCE(CAST(Y."&amp;F46&amp;"_SIMUL AS DECIMAL(18,6)),0))&gt;0.000001) OR (X."&amp;F46&amp;" IS NULL AND Y."&amp;F46&amp;"_SIMUL IS NOT NULL ) OR (X."&amp;F46&amp;" IS NOT NULL AND Y."&amp;F46&amp;"_SIMUL IS NULL),1,0)) AS NUM_REG_DIF,'"&amp;MAX('ID1&amp;5'!K:K)+1&amp;"' AS ID_EXEC, CURRENT_TIMESTAMP() AS TIME_EXEC FROM "&amp;I46&amp;" INNER JOIN "&amp;J46&amp;" "&amp;K46,"SELECT '"&amp;UPPER(B46)&amp;"' AS TABELA, '"&amp;UPPER(C46)&amp;"' AS TIPOLOGIA_TESTE,'"&amp;D46&amp;"' AS TABELA_LT,'"&amp;E46&amp;"' AS TABELA_SIMUL,'"&amp;F46&amp;"' AS CAMPO, "&amp;"'${ref_date}' AS REF_DATE, COUNT(*) AS NUM_REG, SUM(IF(COALESCE(CAST(X."&amp;F46&amp;" AS STRING),'')&lt;&gt;COALESCE(CAST(Y."&amp;F46&amp;"_SIMUL AS STRING),'') OR (X."&amp;F46&amp;" IS NULL AND Y."&amp;F46&amp;"_SIMUL IS NOT NULL ) OR (X."&amp;F46&amp;" IS NOT NULL AND Y."&amp;F46&amp;"_SIMUL IS NULL),1,0)) AS NUM_REG_DIF,'"&amp;MAX('ID1&amp;5'!L:L)+1&amp;"' AS ID_EXEC, CURRENT_TIMESTAMP() AS TIME_EXEC FROM "&amp;I46&amp;" INNER JOIN "&amp;J46&amp;" "&amp;K46),
IF(C46="Validade",+IF(G46="Code List","SELECT '"&amp;UPPER(B46)&amp;"' AS TABELA, '"&amp;UPPER(C46)&amp;"' AS TIPOLOGIA_TESTE,'"&amp;D46&amp;"' AS TABELA_LT,'N/A' AS TABELA_SIMUL,'"&amp;F46&amp;"' AS CAMPO, "&amp;"'${ref_date}' AS REF_DATE, COUNT(*) AS NUM_REG, SUM(IF(TRIM(CAST(X."&amp;F46&amp;" AS STRING))='' OR TRIM(CAST(X."&amp;F46&amp;" AS STRING)) IS NULL OR CAST(X."&amp;F46&amp;" AS STRING) NOT "&amp;H46&amp;",1,0)) AS NUM_REG_DIF,'"&amp;MAX('ID1&amp;5'!K:K)+1&amp;"' AS ID_EXEC, CURRENT_TIMESTAMP() AS TIME_EXEC FROM "&amp;I46,"SELECT '"&amp;UPPER(B46)&amp;"' AS TABELA, '"&amp;UPPER(C46)&amp;"' AS TIPOLOGIA_TESTE,'"&amp;D46&amp;"' AS TABELA_LT,'N/A' AS TABELA_SIMUL,'"&amp;F46&amp;"' AS CAMPO, "&amp;"'${ref_date}' AS REF_DATE, COUNT(*) AS NUM_REG, SUM(IF(TRIM(CAST(X."&amp;F46&amp;" AS STRING))='' OR TRIM(CAST(X."&amp;F46&amp;" AS STRING)) IS NULL,1,0)) AS NUM_REG_DIF,'"&amp;MAX('ID1&amp;5'!K:K)+1&amp;"' AS ID_EXEC, CURRENT_TIMESTAMP() AS TIME_EXEC FROM "&amp;I46),
IF(C46="Caracteres Especiais",+"SELECT '"&amp;UPPER(B46)&amp;"' AS TABELA, '"&amp;UPPER(C46)&amp;"' AS TIPOLOGIA_TESTE,'"&amp;D46&amp;"' AS TABELA_LT,'N/A' AS TABELA_SIMUL,'"&amp;F46&amp;"' AS CAMPO, "&amp;"'${ref_date}' AS REF_DATE, COUNT(*) AS NUM_REG, SUM(IF(REGEXP_REPLACE(TRIM(CAST(X."&amp;F46&amp;" AS STRING)),'[^a-zA-Z0-9_\\s]','') &lt;&gt;TRIM(CAST(X."&amp;F46&amp;" AS STRING)),1,0)) AS NUM_REG_DIF,'"&amp;MAX('ID1&amp;5'!K:K)+1&amp;"' AS ID_EXEC, CURRENT_TIMESTAMP() AS TIME_EXEC FROM "&amp;I46,
IF(C46="Missings",+"SELECT '"&amp;UPPER(B46)&amp;"' AS TABELA, '"&amp;UPPER(C46)&amp;"' AS TIPOLOGIA_TESTE,'"&amp;D46&amp;"' AS TABELA_LT,'N/A' AS TABELA_SIMUL,'"&amp;F46&amp;"' AS CAMPO, "&amp;"'${ref_date}' AS REF_DATE, COUNT(*) AS NUM_REG, SUM(IF(TRIM(CAST(X."&amp;F46&amp;" AS STRING)) IN ('0000-00-00','0001-01-01','9999-12-31','MISS','00000','99999999999','99999999999.00','99999999999.000000'),1,0)) AS NUM_REG_DIF,'"&amp;MAX('ID1&amp;5'!K:K)+1&amp;"' AS ID_EXEC, CURRENT_TIMESTAMP() AS TIME_EXEC FROM "&amp;I46,
IF(C46="Not applicable",+"SELECT '"&amp;UPPER(B46)&amp;"' AS TABELA, '"&amp;UPPER(C46)&amp;"' AS TIPOLOGIA_TESTE,'"&amp;D46&amp;"' AS TABELA_LT,'N/A' AS TABELA_SIMUL,'"&amp;F46&amp;"' AS CAMPO, "&amp;"'${ref_date}' AS REF_DATE, COUNT(*) AS NUM_REG, SUM(IF(TRIM(CAST(X."&amp;F46&amp;" AS STRING)) IN ('N/A','11111111111','11111111111.00','11111111111.000000','1111-11-11'),1,0)) AS NUM_REG_DIF,'"&amp;MAX('ID1&amp;5'!K:K)+1&amp;"' AS ID_EXEC, CURRENT_TIMESTAMP() AS TIME_EXEC FROM "&amp;I46,
IF(C46="Valores extremos",+"SELECT '"&amp;UPPER(B46)&amp;"' AS TABELA, '"&amp;UPPER(C46)&amp;"' AS TIPOLOGIA_TESTE,'"&amp;D46&amp;"' AS TABELA_LT,'N/A' AS TABELA_SIMUL,'"&amp;F46&amp;"' AS CAMPO, "&amp;"'${ref_date}' AS REF_DATE, CAST(MIN("&amp;F46&amp;") AS STRING) AS VALOR_MIN, CAST(MAX("&amp;F46&amp;") AS STRING) AS VALOR_MAX,'"&amp;MAX('ID1&amp;5'!K:K)+1&amp;"' AS ID_EXEC, CURRENT_TIMESTAMP() AS TIME_EXEC FROM "&amp;MID(I46,1,LEN(I46)-2)&amp;" AND CAST("&amp;F46&amp;"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TABELA_SIMUL,'flag_inst_titulos' AS CAMPO, '${ref_date}' AS REF_DATE, COUNT(*) AS NUM_REG, SUM(IF(COALESCE(CAST(X.flag_inst_titulos AS STRING),'')&lt;&gt;COALESCE(CAST(Y.flag_inst_titulos_SIMUL AS STRING),'') OR (X.flag_inst_titulos IS NULL AND Y.flag_inst_titulos_SIMUL IS NOT NULL ) OR (X.flag_inst_titulos IS NOT NULL AND Y.flag_inst_titulos_SIMUL IS NULL),1,0)) AS NUM_REG_DIF,'1' AS ID_EXEC, CURRENT_TIMESTAMP() AS TIME_EXEC FROM (SELECT a, flag_inst_titulos FROM BU_LOANTAPE_WORK.LT001_UNIV_OPER WHERE ref_date='${ref_date}' AND nome_perimetro='Individual Local' AND segmento='ESTR' AND ambito='SRB_MBDT' AND entidade='00100')X INNER JOIN (SELECT a AS a_SIMUL, flag_inst_titulos AS flag_inst_titulos_SIMUL FROM BU_LOANTAPE_WORK.SIMUL_LT001 WHERE ref_date='${ref_date}' AND nome_perimetro='Individual Local' AND segmento='ESTR' AND ambito='PILAR3' AND entidade='00100')Y ON X.A=Y.A_SIMUL</v>
      </c>
      <c r="M46" s="36" t="str">
        <f t="shared" si="0"/>
        <v>UNION ALL SELECT 'UNIV_OPER' AS TABELA, 'COERÊNCIA' AS TIPOLOGIA_TESTE,'BU_LOANTAPE_WORK.LT001_UNIV_OPER' AS TABELA_LT,'BU_LOANTAPE_WORK.SIMUL_LT001' AS TABELA_SIMUL,'flag_inst_titulos' AS CAMPO, '${ref_date}' AS REF_DATE, COUNT(*) AS NUM_REG, SUM(IF(COALESCE(CAST(X.flag_inst_titulos AS STRING),'')&lt;&gt;COALESCE(CAST(Y.flag_inst_titulos_SIMUL AS STRING),'') OR (X.flag_inst_titulos IS NULL AND Y.flag_inst_titulos_SIMUL IS NOT NULL ) OR (X.flag_inst_titulos IS NOT NULL AND Y.flag_inst_titulos_SIMUL IS NULL),1,0)) AS NUM_REG_DIF,'1' AS ID_EXEC, CURRENT_TIMESTAMP() AS TIME_EXEC FROM (SELECT a, flag_inst_titulos FROM BU_LOANTAPE_WORK.LT001_UNIV_OPER WHERE ref_date='${ref_date}' AND nome_perimetro='Individual Local' AND segmento='ESTR' AND ambito='SRB_MBDT' AND entidade='00100')X INNER JOIN (SELECT a AS a_SIMUL, flag_inst_titulos AS flag_inst_titulos_SIMUL FROM BU_LOANTAPE_WORK.SIMUL_LT001 WHERE ref_date='${ref_date}' AND nome_perimetro='Individual Local' AND segmento='ESTR' AND ambito='PILAR3' AND entidade='00100')Y ON X.A=Y.A_SIMUL</v>
      </c>
      <c r="N46" s="38" t="s">
        <v>40</v>
      </c>
    </row>
    <row r="47" spans="1:14">
      <c r="A47" s="60" t="str">
        <f t="shared" si="1"/>
        <v>UNIV_OPERflag_gar_intrg_san</v>
      </c>
      <c r="B47" s="34" t="s">
        <v>1092</v>
      </c>
      <c r="C47" s="34" t="s">
        <v>5</v>
      </c>
      <c r="D47" s="34" t="str">
        <f>+UPPER('0. Instruções'!$D$35&amp;"."&amp;VLOOKUP(B47,'0. Instruções'!$C$27:$D$32,2,FALSE))</f>
        <v>BU_LOANTAPE_WORK.LT001_UNIV_OPER</v>
      </c>
      <c r="E47" s="34" t="str">
        <f>+UPPER('0. Instruções'!$D$36&amp;"."&amp;VLOOKUP(B47,'0. Instruções'!$C$27:$E$32,3,FALSE))</f>
        <v>BU_LOANTAPE_WORK.SIMUL_LT001</v>
      </c>
      <c r="F47" s="34" t="s">
        <v>1131</v>
      </c>
      <c r="G47" s="34"/>
      <c r="H47" s="34"/>
      <c r="I47" s="34" t="str">
        <f>"(SELECT "&amp;VLOOKUP(B47,'0. Instruções'!$C$27:$G$32,4,FALSE)&amp;", "&amp;F47&amp;" FROM "&amp;D47&amp;" WHERE "&amp;'0. Instruções'!$D$42&amp;")X"</f>
        <v>(SELECT a, flag_gar_intrg_san FROM BU_LOANTAPE_WORK.LT001_UNIV_OPER WHERE ref_date='${ref_date}' AND nome_perimetro='Individual Local' AND segmento='ESTR' AND ambito='SRB_MBDT' AND entidade='00100')X</v>
      </c>
      <c r="J47" s="34" t="str">
        <f>"(SELECT "&amp;VLOOKUP(B47,'0. Instruções'!$C$27:$G$32,4,FALSE)&amp;" AS "&amp;VLOOKUP(B47,'0. Instruções'!$C$27:$G$32,4,FALSE)&amp;"_SIMUL, "&amp;F47&amp;" AS "&amp;F47&amp;"_SIMUL FROM "&amp;E47&amp;" WHERE "&amp;'0. Instruções'!$D$43&amp;")Y"</f>
        <v>(SELECT a AS a_SIMUL, flag_gar_intrg_san AS flag_gar_intrg_san_SIMUL FROM BU_LOANTAPE_WORK.SIMUL_LT001 WHERE ref_date='${ref_date}' AND nome_perimetro='Individual Local' AND segmento='ESTR' AND ambito='PILAR3' AND entidade='00100')Y</v>
      </c>
      <c r="K47" s="35" t="str">
        <f>+UPPER("ON X."&amp;VLOOKUP(B47,'0. Instruções'!$C$27:$G$32,4,FALSE)&amp;"=Y."&amp;VLOOKUP(B47,'0. Instruções'!$C$27:$G$32,4,FALSE)&amp;"_SIMUL")</f>
        <v>ON X.A=Y.A_SIMUL</v>
      </c>
      <c r="L47" s="35" t="str">
        <f>+IF(C47="Coerência", +IF(LEFT(G47,5)="FLOAT","SELECT '"&amp;UPPER(B47)&amp;"' AS TABELA, '"&amp;UPPER(C47)&amp;"' AS TIPOLOGIA_TESTE,'"&amp;D47&amp;"' AS TABELA_LT,'"&amp;E47&amp;"' AS TABELA_SIMUL,'"&amp;F47&amp;"' AS CAMPO, "&amp;"'${ref_date}' AS REF_DATE, COUNT(*) AS NUM_REG, SUM(IF((ABS(COALESCE(CAST(X."&amp;F47&amp;" AS DECIMAL(18,6)),0)-COALESCE(CAST(Y."&amp;F47&amp;"_SIMUL AS DECIMAL(18,6)),0))&gt;0.000001) OR (X."&amp;F47&amp;" IS NULL AND Y."&amp;F47&amp;"_SIMUL IS NOT NULL ) OR (X."&amp;F47&amp;" IS NOT NULL AND Y."&amp;F47&amp;"_SIMUL IS NULL),1,0)) AS NUM_REG_DIF,'"&amp;MAX('ID1&amp;5'!K:K)+1&amp;"' AS ID_EXEC, CURRENT_TIMESTAMP() AS TIME_EXEC FROM "&amp;I47&amp;" INNER JOIN "&amp;J47&amp;" "&amp;K47,"SELECT '"&amp;UPPER(B47)&amp;"' AS TABELA, '"&amp;UPPER(C47)&amp;"' AS TIPOLOGIA_TESTE,'"&amp;D47&amp;"' AS TABELA_LT,'"&amp;E47&amp;"' AS TABELA_SIMUL,'"&amp;F47&amp;"' AS CAMPO, "&amp;"'${ref_date}' AS REF_DATE, COUNT(*) AS NUM_REG, SUM(IF(COALESCE(CAST(X."&amp;F47&amp;" AS STRING),'')&lt;&gt;COALESCE(CAST(Y."&amp;F47&amp;"_SIMUL AS STRING),'') OR (X."&amp;F47&amp;" IS NULL AND Y."&amp;F47&amp;"_SIMUL IS NOT NULL ) OR (X."&amp;F47&amp;" IS NOT NULL AND Y."&amp;F47&amp;"_SIMUL IS NULL),1,0)) AS NUM_REG_DIF,'"&amp;MAX('ID1&amp;5'!L:L)+1&amp;"' AS ID_EXEC, CURRENT_TIMESTAMP() AS TIME_EXEC FROM "&amp;I47&amp;" INNER JOIN "&amp;J47&amp;" "&amp;K47),
IF(C47="Validade",+IF(G47="Code List","SELECT '"&amp;UPPER(B47)&amp;"' AS TABELA, '"&amp;UPPER(C47)&amp;"' AS TIPOLOGIA_TESTE,'"&amp;D47&amp;"' AS TABELA_LT,'N/A' AS TABELA_SIMUL,'"&amp;F47&amp;"' AS CAMPO, "&amp;"'${ref_date}' AS REF_DATE, COUNT(*) AS NUM_REG, SUM(IF(TRIM(CAST(X."&amp;F47&amp;" AS STRING))='' OR TRIM(CAST(X."&amp;F47&amp;" AS STRING)) IS NULL OR CAST(X."&amp;F47&amp;" AS STRING) NOT "&amp;H47&amp;",1,0)) AS NUM_REG_DIF,'"&amp;MAX('ID1&amp;5'!K:K)+1&amp;"' AS ID_EXEC, CURRENT_TIMESTAMP() AS TIME_EXEC FROM "&amp;I47,"SELECT '"&amp;UPPER(B47)&amp;"' AS TABELA, '"&amp;UPPER(C47)&amp;"' AS TIPOLOGIA_TESTE,'"&amp;D47&amp;"' AS TABELA_LT,'N/A' AS TABELA_SIMUL,'"&amp;F47&amp;"' AS CAMPO, "&amp;"'${ref_date}' AS REF_DATE, COUNT(*) AS NUM_REG, SUM(IF(TRIM(CAST(X."&amp;F47&amp;" AS STRING))='' OR TRIM(CAST(X."&amp;F47&amp;" AS STRING)) IS NULL,1,0)) AS NUM_REG_DIF,'"&amp;MAX('ID1&amp;5'!K:K)+1&amp;"' AS ID_EXEC, CURRENT_TIMESTAMP() AS TIME_EXEC FROM "&amp;I47),
IF(C47="Caracteres Especiais",+"SELECT '"&amp;UPPER(B47)&amp;"' AS TABELA, '"&amp;UPPER(C47)&amp;"' AS TIPOLOGIA_TESTE,'"&amp;D47&amp;"' AS TABELA_LT,'N/A' AS TABELA_SIMUL,'"&amp;F47&amp;"' AS CAMPO, "&amp;"'${ref_date}' AS REF_DATE, COUNT(*) AS NUM_REG, SUM(IF(REGEXP_REPLACE(TRIM(CAST(X."&amp;F47&amp;" AS STRING)),'[^a-zA-Z0-9_\\s]','') &lt;&gt;TRIM(CAST(X."&amp;F47&amp;" AS STRING)),1,0)) AS NUM_REG_DIF,'"&amp;MAX('ID1&amp;5'!K:K)+1&amp;"' AS ID_EXEC, CURRENT_TIMESTAMP() AS TIME_EXEC FROM "&amp;I47,
IF(C47="Missings",+"SELECT '"&amp;UPPER(B47)&amp;"' AS TABELA, '"&amp;UPPER(C47)&amp;"' AS TIPOLOGIA_TESTE,'"&amp;D47&amp;"' AS TABELA_LT,'N/A' AS TABELA_SIMUL,'"&amp;F47&amp;"' AS CAMPO, "&amp;"'${ref_date}' AS REF_DATE, COUNT(*) AS NUM_REG, SUM(IF(TRIM(CAST(X."&amp;F47&amp;" AS STRING)) IN ('0000-00-00','0001-01-01','9999-12-31','MISS','00000','99999999999','99999999999.00','99999999999.000000'),1,0)) AS NUM_REG_DIF,'"&amp;MAX('ID1&amp;5'!K:K)+1&amp;"' AS ID_EXEC, CURRENT_TIMESTAMP() AS TIME_EXEC FROM "&amp;I47,
IF(C47="Not applicable",+"SELECT '"&amp;UPPER(B47)&amp;"' AS TABELA, '"&amp;UPPER(C47)&amp;"' AS TIPOLOGIA_TESTE,'"&amp;D47&amp;"' AS TABELA_LT,'N/A' AS TABELA_SIMUL,'"&amp;F47&amp;"' AS CAMPO, "&amp;"'${ref_date}' AS REF_DATE, COUNT(*) AS NUM_REG, SUM(IF(TRIM(CAST(X."&amp;F47&amp;" AS STRING)) IN ('N/A','11111111111','11111111111.00','11111111111.000000','1111-11-11'),1,0)) AS NUM_REG_DIF,'"&amp;MAX('ID1&amp;5'!K:K)+1&amp;"' AS ID_EXEC, CURRENT_TIMESTAMP() AS TIME_EXEC FROM "&amp;I47,
IF(C47="Valores extremos",+"SELECT '"&amp;UPPER(B47)&amp;"' AS TABELA, '"&amp;UPPER(C47)&amp;"' AS TIPOLOGIA_TESTE,'"&amp;D47&amp;"' AS TABELA_LT,'N/A' AS TABELA_SIMUL,'"&amp;F47&amp;"' AS CAMPO, "&amp;"'${ref_date}' AS REF_DATE, CAST(MIN("&amp;F47&amp;") AS STRING) AS VALOR_MIN, CAST(MAX("&amp;F47&amp;") AS STRING) AS VALOR_MAX,'"&amp;MAX('ID1&amp;5'!K:K)+1&amp;"' AS ID_EXEC, CURRENT_TIMESTAMP() AS TIME_EXEC FROM "&amp;MID(I47,1,LEN(I47)-2)&amp;" AND CAST("&amp;F47&amp;"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TABELA_SIMUL,'flag_gar_intrg_san' AS CAMPO, '${ref_date}' AS REF_DATE, COUNT(*) AS NUM_REG, SUM(IF(COALESCE(CAST(X.flag_gar_intrg_san AS STRING),'')&lt;&gt;COALESCE(CAST(Y.flag_gar_intrg_san_SIMUL AS STRING),'') OR (X.flag_gar_intrg_san IS NULL AND Y.flag_gar_intrg_san_SIMUL IS NOT NULL ) OR (X.flag_gar_intrg_san IS NOT NULL AND Y.flag_gar_intrg_san_SIMUL IS NULL),1,0)) AS NUM_REG_DIF,'1' AS ID_EXEC, CURRENT_TIMESTAMP() AS TIME_EXEC FROM (SELECT a, flag_gar_intrg_san FROM BU_LOANTAPE_WORK.LT001_UNIV_OPER WHERE ref_date='${ref_date}' AND nome_perimetro='Individual Local' AND segmento='ESTR' AND ambito='SRB_MBDT' AND entidade='00100')X INNER JOIN (SELECT a AS a_SIMUL, flag_gar_intrg_san AS flag_gar_intrg_san_SIMUL FROM BU_LOANTAPE_WORK.SIMUL_LT001 WHERE ref_date='${ref_date}' AND nome_perimetro='Individual Local' AND segmento='ESTR' AND ambito='PILAR3' AND entidade='00100')Y ON X.A=Y.A_SIMUL</v>
      </c>
      <c r="M47" s="36" t="str">
        <f t="shared" si="0"/>
        <v>UNION ALL SELECT 'UNIV_OPER' AS TABELA, 'COERÊNCIA' AS TIPOLOGIA_TESTE,'BU_LOANTAPE_WORK.LT001_UNIV_OPER' AS TABELA_LT,'BU_LOANTAPE_WORK.SIMUL_LT001' AS TABELA_SIMUL,'flag_gar_intrg_san' AS CAMPO, '${ref_date}' AS REF_DATE, COUNT(*) AS NUM_REG, SUM(IF(COALESCE(CAST(X.flag_gar_intrg_san AS STRING),'')&lt;&gt;COALESCE(CAST(Y.flag_gar_intrg_san_SIMUL AS STRING),'') OR (X.flag_gar_intrg_san IS NULL AND Y.flag_gar_intrg_san_SIMUL IS NOT NULL ) OR (X.flag_gar_intrg_san IS NOT NULL AND Y.flag_gar_intrg_san_SIMUL IS NULL),1,0)) AS NUM_REG_DIF,'1' AS ID_EXEC, CURRENT_TIMESTAMP() AS TIME_EXEC FROM (SELECT a, flag_gar_intrg_san FROM BU_LOANTAPE_WORK.LT001_UNIV_OPER WHERE ref_date='${ref_date}' AND nome_perimetro='Individual Local' AND segmento='ESTR' AND ambito='SRB_MBDT' AND entidade='00100')X INNER JOIN (SELECT a AS a_SIMUL, flag_gar_intrg_san AS flag_gar_intrg_san_SIMUL FROM BU_LOANTAPE_WORK.SIMUL_LT001 WHERE ref_date='${ref_date}' AND nome_perimetro='Individual Local' AND segmento='ESTR' AND ambito='PILAR3' AND entidade='00100')Y ON X.A=Y.A_SIMUL</v>
      </c>
      <c r="N47" s="38" t="s">
        <v>40</v>
      </c>
    </row>
    <row r="48" spans="1:14">
      <c r="A48" s="60" t="str">
        <f t="shared" si="1"/>
        <v>UNIV_OPERvalor_bruto_on</v>
      </c>
      <c r="B48" s="34" t="s">
        <v>1092</v>
      </c>
      <c r="C48" s="34" t="s">
        <v>5</v>
      </c>
      <c r="D48" s="34" t="str">
        <f>+UPPER('0. Instruções'!$D$35&amp;"."&amp;VLOOKUP(B48,'0. Instruções'!$C$27:$D$32,2,FALSE))</f>
        <v>BU_LOANTAPE_WORK.LT001_UNIV_OPER</v>
      </c>
      <c r="E48" s="34" t="str">
        <f>+UPPER('0. Instruções'!$D$36&amp;"."&amp;VLOOKUP(B48,'0. Instruções'!$C$27:$E$32,3,FALSE))</f>
        <v>BU_LOANTAPE_WORK.SIMUL_LT001</v>
      </c>
      <c r="F48" s="34" t="s">
        <v>1132</v>
      </c>
      <c r="G48" s="34"/>
      <c r="H48" s="34"/>
      <c r="I48" s="34" t="str">
        <f>"(SELECT "&amp;VLOOKUP(B48,'0. Instruções'!$C$27:$G$32,4,FALSE)&amp;", "&amp;F48&amp;" FROM "&amp;D48&amp;" WHERE "&amp;'0. Instruções'!$D$42&amp;")X"</f>
        <v>(SELECT a, valor_bruto_on FROM BU_LOANTAPE_WORK.LT001_UNIV_OPER WHERE ref_date='${ref_date}' AND nome_perimetro='Individual Local' AND segmento='ESTR' AND ambito='SRB_MBDT' AND entidade='00100')X</v>
      </c>
      <c r="J48" s="34" t="str">
        <f>"(SELECT "&amp;VLOOKUP(B48,'0. Instruções'!$C$27:$G$32,4,FALSE)&amp;" AS "&amp;VLOOKUP(B48,'0. Instruções'!$C$27:$G$32,4,FALSE)&amp;"_SIMUL, "&amp;F48&amp;" AS "&amp;F48&amp;"_SIMUL FROM "&amp;E48&amp;" WHERE "&amp;'0. Instruções'!$D$43&amp;")Y"</f>
        <v>(SELECT a AS a_SIMUL, valor_bruto_on AS valor_bruto_on_SIMUL FROM BU_LOANTAPE_WORK.SIMUL_LT001 WHERE ref_date='${ref_date}' AND nome_perimetro='Individual Local' AND segmento='ESTR' AND ambito='PILAR3' AND entidade='00100')Y</v>
      </c>
      <c r="K48" s="35" t="str">
        <f>+UPPER("ON X."&amp;VLOOKUP(B48,'0. Instruções'!$C$27:$G$32,4,FALSE)&amp;"=Y."&amp;VLOOKUP(B48,'0. Instruções'!$C$27:$G$32,4,FALSE)&amp;"_SIMUL")</f>
        <v>ON X.A=Y.A_SIMUL</v>
      </c>
      <c r="L48" s="35" t="str">
        <f>+IF(C48="Coerência", +IF(LEFT(G48,5)="FLOAT","SELECT '"&amp;UPPER(B48)&amp;"' AS TABELA, '"&amp;UPPER(C48)&amp;"' AS TIPOLOGIA_TESTE,'"&amp;D48&amp;"' AS TABELA_LT,'"&amp;E48&amp;"' AS TABELA_SIMUL,'"&amp;F48&amp;"' AS CAMPO, "&amp;"'${ref_date}' AS REF_DATE, COUNT(*) AS NUM_REG, SUM(IF((ABS(COALESCE(CAST(X."&amp;F48&amp;" AS DECIMAL(18,6)),0)-COALESCE(CAST(Y."&amp;F48&amp;"_SIMUL AS DECIMAL(18,6)),0))&gt;0.000001) OR (X."&amp;F48&amp;" IS NULL AND Y."&amp;F48&amp;"_SIMUL IS NOT NULL ) OR (X."&amp;F48&amp;" IS NOT NULL AND Y."&amp;F48&amp;"_SIMUL IS NULL),1,0)) AS NUM_REG_DIF,'"&amp;MAX('ID1&amp;5'!K:K)+1&amp;"' AS ID_EXEC, CURRENT_TIMESTAMP() AS TIME_EXEC FROM "&amp;I48&amp;" INNER JOIN "&amp;J48&amp;" "&amp;K48,"SELECT '"&amp;UPPER(B48)&amp;"' AS TABELA, '"&amp;UPPER(C48)&amp;"' AS TIPOLOGIA_TESTE,'"&amp;D48&amp;"' AS TABELA_LT,'"&amp;E48&amp;"' AS TABELA_SIMUL,'"&amp;F48&amp;"' AS CAMPO, "&amp;"'${ref_date}' AS REF_DATE, COUNT(*) AS NUM_REG, SUM(IF(COALESCE(CAST(X."&amp;F48&amp;" AS STRING),'')&lt;&gt;COALESCE(CAST(Y."&amp;F48&amp;"_SIMUL AS STRING),'') OR (X."&amp;F48&amp;" IS NULL AND Y."&amp;F48&amp;"_SIMUL IS NOT NULL ) OR (X."&amp;F48&amp;" IS NOT NULL AND Y."&amp;F48&amp;"_SIMUL IS NULL),1,0)) AS NUM_REG_DIF,'"&amp;MAX('ID1&amp;5'!L:L)+1&amp;"' AS ID_EXEC, CURRENT_TIMESTAMP() AS TIME_EXEC FROM "&amp;I48&amp;" INNER JOIN "&amp;J48&amp;" "&amp;K48),
IF(C48="Validade",+IF(G48="Code List","SELECT '"&amp;UPPER(B48)&amp;"' AS TABELA, '"&amp;UPPER(C48)&amp;"' AS TIPOLOGIA_TESTE,'"&amp;D48&amp;"' AS TABELA_LT,'N/A' AS TABELA_SIMUL,'"&amp;F48&amp;"' AS CAMPO, "&amp;"'${ref_date}' AS REF_DATE, COUNT(*) AS NUM_REG, SUM(IF(TRIM(CAST(X."&amp;F48&amp;" AS STRING))='' OR TRIM(CAST(X."&amp;F48&amp;" AS STRING)) IS NULL OR CAST(X."&amp;F48&amp;" AS STRING) NOT "&amp;H48&amp;",1,0)) AS NUM_REG_DIF,'"&amp;MAX('ID1&amp;5'!K:K)+1&amp;"' AS ID_EXEC, CURRENT_TIMESTAMP() AS TIME_EXEC FROM "&amp;I48,"SELECT '"&amp;UPPER(B48)&amp;"' AS TABELA, '"&amp;UPPER(C48)&amp;"' AS TIPOLOGIA_TESTE,'"&amp;D48&amp;"' AS TABELA_LT,'N/A' AS TABELA_SIMUL,'"&amp;F48&amp;"' AS CAMPO, "&amp;"'${ref_date}' AS REF_DATE, COUNT(*) AS NUM_REG, SUM(IF(TRIM(CAST(X."&amp;F48&amp;" AS STRING))='' OR TRIM(CAST(X."&amp;F48&amp;" AS STRING)) IS NULL,1,0)) AS NUM_REG_DIF,'"&amp;MAX('ID1&amp;5'!K:K)+1&amp;"' AS ID_EXEC, CURRENT_TIMESTAMP() AS TIME_EXEC FROM "&amp;I48),
IF(C48="Caracteres Especiais",+"SELECT '"&amp;UPPER(B48)&amp;"' AS TABELA, '"&amp;UPPER(C48)&amp;"' AS TIPOLOGIA_TESTE,'"&amp;D48&amp;"' AS TABELA_LT,'N/A' AS TABELA_SIMUL,'"&amp;F48&amp;"' AS CAMPO, "&amp;"'${ref_date}' AS REF_DATE, COUNT(*) AS NUM_REG, SUM(IF(REGEXP_REPLACE(TRIM(CAST(X."&amp;F48&amp;" AS STRING)),'[^a-zA-Z0-9_\\s]','') &lt;&gt;TRIM(CAST(X."&amp;F48&amp;" AS STRING)),1,0)) AS NUM_REG_DIF,'"&amp;MAX('ID1&amp;5'!K:K)+1&amp;"' AS ID_EXEC, CURRENT_TIMESTAMP() AS TIME_EXEC FROM "&amp;I48,
IF(C48="Missings",+"SELECT '"&amp;UPPER(B48)&amp;"' AS TABELA, '"&amp;UPPER(C48)&amp;"' AS TIPOLOGIA_TESTE,'"&amp;D48&amp;"' AS TABELA_LT,'N/A' AS TABELA_SIMUL,'"&amp;F48&amp;"' AS CAMPO, "&amp;"'${ref_date}' AS REF_DATE, COUNT(*) AS NUM_REG, SUM(IF(TRIM(CAST(X."&amp;F48&amp;" AS STRING)) IN ('0000-00-00','0001-01-01','9999-12-31','MISS','00000','99999999999','99999999999.00','99999999999.000000'),1,0)) AS NUM_REG_DIF,'"&amp;MAX('ID1&amp;5'!K:K)+1&amp;"' AS ID_EXEC, CURRENT_TIMESTAMP() AS TIME_EXEC FROM "&amp;I48,
IF(C48="Not applicable",+"SELECT '"&amp;UPPER(B48)&amp;"' AS TABELA, '"&amp;UPPER(C48)&amp;"' AS TIPOLOGIA_TESTE,'"&amp;D48&amp;"' AS TABELA_LT,'N/A' AS TABELA_SIMUL,'"&amp;F48&amp;"' AS CAMPO, "&amp;"'${ref_date}' AS REF_DATE, COUNT(*) AS NUM_REG, SUM(IF(TRIM(CAST(X."&amp;F48&amp;" AS STRING)) IN ('N/A','11111111111','11111111111.00','11111111111.000000','1111-11-11'),1,0)) AS NUM_REG_DIF,'"&amp;MAX('ID1&amp;5'!K:K)+1&amp;"' AS ID_EXEC, CURRENT_TIMESTAMP() AS TIME_EXEC FROM "&amp;I48,
IF(C48="Valores extremos",+"SELECT '"&amp;UPPER(B48)&amp;"' AS TABELA, '"&amp;UPPER(C48)&amp;"' AS TIPOLOGIA_TESTE,'"&amp;D48&amp;"' AS TABELA_LT,'N/A' AS TABELA_SIMUL,'"&amp;F48&amp;"' AS CAMPO, "&amp;"'${ref_date}' AS REF_DATE, CAST(MIN("&amp;F48&amp;") AS STRING) AS VALOR_MIN, CAST(MAX("&amp;F48&amp;") AS STRING) AS VALOR_MAX,'"&amp;MAX('ID1&amp;5'!K:K)+1&amp;"' AS ID_EXEC, CURRENT_TIMESTAMP() AS TIME_EXEC FROM "&amp;MID(I48,1,LEN(I48)-2)&amp;" AND CAST("&amp;F48&amp;"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TABELA_SIMUL,'valor_bruto_on' AS CAMPO, '${ref_date}' AS REF_DATE, COUNT(*) AS NUM_REG, SUM(IF(COALESCE(CAST(X.valor_bruto_on AS STRING),'')&lt;&gt;COALESCE(CAST(Y.valor_bruto_on_SIMUL AS STRING),'') OR (X.valor_bruto_on IS NULL AND Y.valor_bruto_on_SIMUL IS NOT NULL ) OR (X.valor_bruto_on IS NOT NULL AND Y.valor_bruto_on_SIMUL IS NULL),1,0)) AS NUM_REG_DIF,'1' AS ID_EXEC, CURRENT_TIMESTAMP() AS TIME_EXEC FROM (SELECT a, valor_bruto_on FROM BU_LOANTAPE_WORK.LT001_UNIV_OPER WHERE ref_date='${ref_date}' AND nome_perimetro='Individual Local' AND segmento='ESTR' AND ambito='SRB_MBDT' AND entidade='00100')X INNER JOIN (SELECT a AS a_SIMUL, valor_bruto_on AS valor_bruto_on_SIMUL FROM BU_LOANTAPE_WORK.SIMUL_LT001 WHERE ref_date='${ref_date}' AND nome_perimetro='Individual Local' AND segmento='ESTR' AND ambito='PILAR3' AND entidade='00100')Y ON X.A=Y.A_SIMUL</v>
      </c>
      <c r="M48" s="36" t="str">
        <f t="shared" si="0"/>
        <v>UNION ALL SELECT 'UNIV_OPER' AS TABELA, 'COERÊNCIA' AS TIPOLOGIA_TESTE,'BU_LOANTAPE_WORK.LT001_UNIV_OPER' AS TABELA_LT,'BU_LOANTAPE_WORK.SIMUL_LT001' AS TABELA_SIMUL,'valor_bruto_on' AS CAMPO, '${ref_date}' AS REF_DATE, COUNT(*) AS NUM_REG, SUM(IF(COALESCE(CAST(X.valor_bruto_on AS STRING),'')&lt;&gt;COALESCE(CAST(Y.valor_bruto_on_SIMUL AS STRING),'') OR (X.valor_bruto_on IS NULL AND Y.valor_bruto_on_SIMUL IS NOT NULL ) OR (X.valor_bruto_on IS NOT NULL AND Y.valor_bruto_on_SIMUL IS NULL),1,0)) AS NUM_REG_DIF,'1' AS ID_EXEC, CURRENT_TIMESTAMP() AS TIME_EXEC FROM (SELECT a, valor_bruto_on FROM BU_LOANTAPE_WORK.LT001_UNIV_OPER WHERE ref_date='${ref_date}' AND nome_perimetro='Individual Local' AND segmento='ESTR' AND ambito='SRB_MBDT' AND entidade='00100')X INNER JOIN (SELECT a AS a_SIMUL, valor_bruto_on AS valor_bruto_on_SIMUL FROM BU_LOANTAPE_WORK.SIMUL_LT001 WHERE ref_date='${ref_date}' AND nome_perimetro='Individual Local' AND segmento='ESTR' AND ambito='PILAR3' AND entidade='00100')Y ON X.A=Y.A_SIMUL</v>
      </c>
      <c r="N48" s="38" t="s">
        <v>40</v>
      </c>
    </row>
    <row r="49" spans="1:14">
      <c r="A49" s="60" t="str">
        <f t="shared" si="1"/>
        <v>UNIV_OPERvalor_bruto_off</v>
      </c>
      <c r="B49" s="34" t="s">
        <v>1092</v>
      </c>
      <c r="C49" s="34" t="s">
        <v>5</v>
      </c>
      <c r="D49" s="34" t="str">
        <f>+UPPER('0. Instruções'!$D$35&amp;"."&amp;VLOOKUP(B49,'0. Instruções'!$C$27:$D$32,2,FALSE))</f>
        <v>BU_LOANTAPE_WORK.LT001_UNIV_OPER</v>
      </c>
      <c r="E49" s="34" t="str">
        <f>+UPPER('0. Instruções'!$D$36&amp;"."&amp;VLOOKUP(B49,'0. Instruções'!$C$27:$E$32,3,FALSE))</f>
        <v>BU_LOANTAPE_WORK.SIMUL_LT001</v>
      </c>
      <c r="F49" s="34" t="s">
        <v>1133</v>
      </c>
      <c r="G49" s="34"/>
      <c r="H49" s="34"/>
      <c r="I49" s="34" t="str">
        <f>"(SELECT "&amp;VLOOKUP(B49,'0. Instruções'!$C$27:$G$32,4,FALSE)&amp;", "&amp;F49&amp;" FROM "&amp;D49&amp;" WHERE "&amp;'0. Instruções'!$D$42&amp;")X"</f>
        <v>(SELECT a, valor_bruto_off FROM BU_LOANTAPE_WORK.LT001_UNIV_OPER WHERE ref_date='${ref_date}' AND nome_perimetro='Individual Local' AND segmento='ESTR' AND ambito='SRB_MBDT' AND entidade='00100')X</v>
      </c>
      <c r="J49" s="34" t="str">
        <f>"(SELECT "&amp;VLOOKUP(B49,'0. Instruções'!$C$27:$G$32,4,FALSE)&amp;" AS "&amp;VLOOKUP(B49,'0. Instruções'!$C$27:$G$32,4,FALSE)&amp;"_SIMUL, "&amp;F49&amp;" AS "&amp;F49&amp;"_SIMUL FROM "&amp;E49&amp;" WHERE "&amp;'0. Instruções'!$D$43&amp;")Y"</f>
        <v>(SELECT a AS a_SIMUL, valor_bruto_off AS valor_bruto_off_SIMUL FROM BU_LOANTAPE_WORK.SIMUL_LT001 WHERE ref_date='${ref_date}' AND nome_perimetro='Individual Local' AND segmento='ESTR' AND ambito='PILAR3' AND entidade='00100')Y</v>
      </c>
      <c r="K49" s="35" t="str">
        <f>+UPPER("ON X."&amp;VLOOKUP(B49,'0. Instruções'!$C$27:$G$32,4,FALSE)&amp;"=Y."&amp;VLOOKUP(B49,'0. Instruções'!$C$27:$G$32,4,FALSE)&amp;"_SIMUL")</f>
        <v>ON X.A=Y.A_SIMUL</v>
      </c>
      <c r="L49" s="35" t="str">
        <f>+IF(C49="Coerência", +IF(LEFT(G49,5)="FLOAT","SELECT '"&amp;UPPER(B49)&amp;"' AS TABELA, '"&amp;UPPER(C49)&amp;"' AS TIPOLOGIA_TESTE,'"&amp;D49&amp;"' AS TABELA_LT,'"&amp;E49&amp;"' AS TABELA_SIMUL,'"&amp;F49&amp;"' AS CAMPO, "&amp;"'${ref_date}' AS REF_DATE, COUNT(*) AS NUM_REG, SUM(IF((ABS(COALESCE(CAST(X."&amp;F49&amp;" AS DECIMAL(18,6)),0)-COALESCE(CAST(Y."&amp;F49&amp;"_SIMUL AS DECIMAL(18,6)),0))&gt;0.000001) OR (X."&amp;F49&amp;" IS NULL AND Y."&amp;F49&amp;"_SIMUL IS NOT NULL ) OR (X."&amp;F49&amp;" IS NOT NULL AND Y."&amp;F49&amp;"_SIMUL IS NULL),1,0)) AS NUM_REG_DIF,'"&amp;MAX('ID1&amp;5'!K:K)+1&amp;"' AS ID_EXEC, CURRENT_TIMESTAMP() AS TIME_EXEC FROM "&amp;I49&amp;" INNER JOIN "&amp;J49&amp;" "&amp;K49,"SELECT '"&amp;UPPER(B49)&amp;"' AS TABELA, '"&amp;UPPER(C49)&amp;"' AS TIPOLOGIA_TESTE,'"&amp;D49&amp;"' AS TABELA_LT,'"&amp;E49&amp;"' AS TABELA_SIMUL,'"&amp;F49&amp;"' AS CAMPO, "&amp;"'${ref_date}' AS REF_DATE, COUNT(*) AS NUM_REG, SUM(IF(COALESCE(CAST(X."&amp;F49&amp;" AS STRING),'')&lt;&gt;COALESCE(CAST(Y."&amp;F49&amp;"_SIMUL AS STRING),'') OR (X."&amp;F49&amp;" IS NULL AND Y."&amp;F49&amp;"_SIMUL IS NOT NULL ) OR (X."&amp;F49&amp;" IS NOT NULL AND Y."&amp;F49&amp;"_SIMUL IS NULL),1,0)) AS NUM_REG_DIF,'"&amp;MAX('ID1&amp;5'!L:L)+1&amp;"' AS ID_EXEC, CURRENT_TIMESTAMP() AS TIME_EXEC FROM "&amp;I49&amp;" INNER JOIN "&amp;J49&amp;" "&amp;K49),
IF(C49="Validade",+IF(G49="Code List","SELECT '"&amp;UPPER(B49)&amp;"' AS TABELA, '"&amp;UPPER(C49)&amp;"' AS TIPOLOGIA_TESTE,'"&amp;D49&amp;"' AS TABELA_LT,'N/A' AS TABELA_SIMUL,'"&amp;F49&amp;"' AS CAMPO, "&amp;"'${ref_date}' AS REF_DATE, COUNT(*) AS NUM_REG, SUM(IF(TRIM(CAST(X."&amp;F49&amp;" AS STRING))='' OR TRIM(CAST(X."&amp;F49&amp;" AS STRING)) IS NULL OR CAST(X."&amp;F49&amp;" AS STRING) NOT "&amp;H49&amp;",1,0)) AS NUM_REG_DIF,'"&amp;MAX('ID1&amp;5'!K:K)+1&amp;"' AS ID_EXEC, CURRENT_TIMESTAMP() AS TIME_EXEC FROM "&amp;I49,"SELECT '"&amp;UPPER(B49)&amp;"' AS TABELA, '"&amp;UPPER(C49)&amp;"' AS TIPOLOGIA_TESTE,'"&amp;D49&amp;"' AS TABELA_LT,'N/A' AS TABELA_SIMUL,'"&amp;F49&amp;"' AS CAMPO, "&amp;"'${ref_date}' AS REF_DATE, COUNT(*) AS NUM_REG, SUM(IF(TRIM(CAST(X."&amp;F49&amp;" AS STRING))='' OR TRIM(CAST(X."&amp;F49&amp;" AS STRING)) IS NULL,1,0)) AS NUM_REG_DIF,'"&amp;MAX('ID1&amp;5'!K:K)+1&amp;"' AS ID_EXEC, CURRENT_TIMESTAMP() AS TIME_EXEC FROM "&amp;I49),
IF(C49="Caracteres Especiais",+"SELECT '"&amp;UPPER(B49)&amp;"' AS TABELA, '"&amp;UPPER(C49)&amp;"' AS TIPOLOGIA_TESTE,'"&amp;D49&amp;"' AS TABELA_LT,'N/A' AS TABELA_SIMUL,'"&amp;F49&amp;"' AS CAMPO, "&amp;"'${ref_date}' AS REF_DATE, COUNT(*) AS NUM_REG, SUM(IF(REGEXP_REPLACE(TRIM(CAST(X."&amp;F49&amp;" AS STRING)),'[^a-zA-Z0-9_\\s]','') &lt;&gt;TRIM(CAST(X."&amp;F49&amp;" AS STRING)),1,0)) AS NUM_REG_DIF,'"&amp;MAX('ID1&amp;5'!K:K)+1&amp;"' AS ID_EXEC, CURRENT_TIMESTAMP() AS TIME_EXEC FROM "&amp;I49,
IF(C49="Missings",+"SELECT '"&amp;UPPER(B49)&amp;"' AS TABELA, '"&amp;UPPER(C49)&amp;"' AS TIPOLOGIA_TESTE,'"&amp;D49&amp;"' AS TABELA_LT,'N/A' AS TABELA_SIMUL,'"&amp;F49&amp;"' AS CAMPO, "&amp;"'${ref_date}' AS REF_DATE, COUNT(*) AS NUM_REG, SUM(IF(TRIM(CAST(X."&amp;F49&amp;" AS STRING)) IN ('0000-00-00','0001-01-01','9999-12-31','MISS','00000','99999999999','99999999999.00','99999999999.000000'),1,0)) AS NUM_REG_DIF,'"&amp;MAX('ID1&amp;5'!K:K)+1&amp;"' AS ID_EXEC, CURRENT_TIMESTAMP() AS TIME_EXEC FROM "&amp;I49,
IF(C49="Not applicable",+"SELECT '"&amp;UPPER(B49)&amp;"' AS TABELA, '"&amp;UPPER(C49)&amp;"' AS TIPOLOGIA_TESTE,'"&amp;D49&amp;"' AS TABELA_LT,'N/A' AS TABELA_SIMUL,'"&amp;F49&amp;"' AS CAMPO, "&amp;"'${ref_date}' AS REF_DATE, COUNT(*) AS NUM_REG, SUM(IF(TRIM(CAST(X."&amp;F49&amp;" AS STRING)) IN ('N/A','11111111111','11111111111.00','11111111111.000000','1111-11-11'),1,0)) AS NUM_REG_DIF,'"&amp;MAX('ID1&amp;5'!K:K)+1&amp;"' AS ID_EXEC, CURRENT_TIMESTAMP() AS TIME_EXEC FROM "&amp;I49,
IF(C49="Valores extremos",+"SELECT '"&amp;UPPER(B49)&amp;"' AS TABELA, '"&amp;UPPER(C49)&amp;"' AS TIPOLOGIA_TESTE,'"&amp;D49&amp;"' AS TABELA_LT,'N/A' AS TABELA_SIMUL,'"&amp;F49&amp;"' AS CAMPO, "&amp;"'${ref_date}' AS REF_DATE, CAST(MIN("&amp;F49&amp;") AS STRING) AS VALOR_MIN, CAST(MAX("&amp;F49&amp;") AS STRING) AS VALOR_MAX,'"&amp;MAX('ID1&amp;5'!K:K)+1&amp;"' AS ID_EXEC, CURRENT_TIMESTAMP() AS TIME_EXEC FROM "&amp;MID(I49,1,LEN(I49)-2)&amp;" AND CAST("&amp;F49&amp;"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TABELA_SIMUL,'valor_bruto_off' AS CAMPO, '${ref_date}' AS REF_DATE, COUNT(*) AS NUM_REG, SUM(IF(COALESCE(CAST(X.valor_bruto_off AS STRING),'')&lt;&gt;COALESCE(CAST(Y.valor_bruto_off_SIMUL AS STRING),'') OR (X.valor_bruto_off IS NULL AND Y.valor_bruto_off_SIMUL IS NOT NULL ) OR (X.valor_bruto_off IS NOT NULL AND Y.valor_bruto_off_SIMUL IS NULL),1,0)) AS NUM_REG_DIF,'1' AS ID_EXEC, CURRENT_TIMESTAMP() AS TIME_EXEC FROM (SELECT a, valor_bruto_off FROM BU_LOANTAPE_WORK.LT001_UNIV_OPER WHERE ref_date='${ref_date}' AND nome_perimetro='Individual Local' AND segmento='ESTR' AND ambito='SRB_MBDT' AND entidade='00100')X INNER JOIN (SELECT a AS a_SIMUL, valor_bruto_off AS valor_bruto_off_SIMUL FROM BU_LOANTAPE_WORK.SIMUL_LT001 WHERE ref_date='${ref_date}' AND nome_perimetro='Individual Local' AND segmento='ESTR' AND ambito='PILAR3' AND entidade='00100')Y ON X.A=Y.A_SIMUL</v>
      </c>
      <c r="M49" s="36" t="str">
        <f t="shared" si="0"/>
        <v>UNION ALL SELECT 'UNIV_OPER' AS TABELA, 'COERÊNCIA' AS TIPOLOGIA_TESTE,'BU_LOANTAPE_WORK.LT001_UNIV_OPER' AS TABELA_LT,'BU_LOANTAPE_WORK.SIMUL_LT001' AS TABELA_SIMUL,'valor_bruto_off' AS CAMPO, '${ref_date}' AS REF_DATE, COUNT(*) AS NUM_REG, SUM(IF(COALESCE(CAST(X.valor_bruto_off AS STRING),'')&lt;&gt;COALESCE(CAST(Y.valor_bruto_off_SIMUL AS STRING),'') OR (X.valor_bruto_off IS NULL AND Y.valor_bruto_off_SIMUL IS NOT NULL ) OR (X.valor_bruto_off IS NOT NULL AND Y.valor_bruto_off_SIMUL IS NULL),1,0)) AS NUM_REG_DIF,'1' AS ID_EXEC, CURRENT_TIMESTAMP() AS TIME_EXEC FROM (SELECT a, valor_bruto_off FROM BU_LOANTAPE_WORK.LT001_UNIV_OPER WHERE ref_date='${ref_date}' AND nome_perimetro='Individual Local' AND segmento='ESTR' AND ambito='SRB_MBDT' AND entidade='00100')X INNER JOIN (SELECT a AS a_SIMUL, valor_bruto_off AS valor_bruto_off_SIMUL FROM BU_LOANTAPE_WORK.SIMUL_LT001 WHERE ref_date='${ref_date}' AND nome_perimetro='Individual Local' AND segmento='ESTR' AND ambito='PILAR3' AND entidade='00100')Y ON X.A=Y.A_SIMUL</v>
      </c>
      <c r="N49" s="38" t="s">
        <v>40</v>
      </c>
    </row>
    <row r="50" spans="1:14">
      <c r="A50" s="60" t="str">
        <f t="shared" si="1"/>
        <v>UNIV_OPERprovisao_on</v>
      </c>
      <c r="B50" s="34" t="s">
        <v>1092</v>
      </c>
      <c r="C50" s="34" t="s">
        <v>5</v>
      </c>
      <c r="D50" s="34" t="str">
        <f>+UPPER('0. Instruções'!$D$35&amp;"."&amp;VLOOKUP(B50,'0. Instruções'!$C$27:$D$32,2,FALSE))</f>
        <v>BU_LOANTAPE_WORK.LT001_UNIV_OPER</v>
      </c>
      <c r="E50" s="34" t="str">
        <f>+UPPER('0. Instruções'!$D$36&amp;"."&amp;VLOOKUP(B50,'0. Instruções'!$C$27:$E$32,3,FALSE))</f>
        <v>BU_LOANTAPE_WORK.SIMUL_LT001</v>
      </c>
      <c r="F50" s="34" t="s">
        <v>1134</v>
      </c>
      <c r="G50" s="34"/>
      <c r="H50" s="34"/>
      <c r="I50" s="34" t="str">
        <f>"(SELECT "&amp;VLOOKUP(B50,'0. Instruções'!$C$27:$G$32,4,FALSE)&amp;", "&amp;F50&amp;" FROM "&amp;D50&amp;" WHERE "&amp;'0. Instruções'!$D$42&amp;")X"</f>
        <v>(SELECT a, provisao_on FROM BU_LOANTAPE_WORK.LT001_UNIV_OPER WHERE ref_date='${ref_date}' AND nome_perimetro='Individual Local' AND segmento='ESTR' AND ambito='SRB_MBDT' AND entidade='00100')X</v>
      </c>
      <c r="J50" s="34" t="str">
        <f>"(SELECT "&amp;VLOOKUP(B50,'0. Instruções'!$C$27:$G$32,4,FALSE)&amp;" AS "&amp;VLOOKUP(B50,'0. Instruções'!$C$27:$G$32,4,FALSE)&amp;"_SIMUL, "&amp;F50&amp;" AS "&amp;F50&amp;"_SIMUL FROM "&amp;E50&amp;" WHERE "&amp;'0. Instruções'!$D$43&amp;")Y"</f>
        <v>(SELECT a AS a_SIMUL, provisao_on AS provisao_on_SIMUL FROM BU_LOANTAPE_WORK.SIMUL_LT001 WHERE ref_date='${ref_date}' AND nome_perimetro='Individual Local' AND segmento='ESTR' AND ambito='PILAR3' AND entidade='00100')Y</v>
      </c>
      <c r="K50" s="35" t="str">
        <f>+UPPER("ON X."&amp;VLOOKUP(B50,'0. Instruções'!$C$27:$G$32,4,FALSE)&amp;"=Y."&amp;VLOOKUP(B50,'0. Instruções'!$C$27:$G$32,4,FALSE)&amp;"_SIMUL")</f>
        <v>ON X.A=Y.A_SIMUL</v>
      </c>
      <c r="L50" s="35" t="str">
        <f>+IF(C50="Coerência", +IF(LEFT(G50,5)="FLOAT","SELECT '"&amp;UPPER(B50)&amp;"' AS TABELA, '"&amp;UPPER(C50)&amp;"' AS TIPOLOGIA_TESTE,'"&amp;D50&amp;"' AS TABELA_LT,'"&amp;E50&amp;"' AS TABELA_SIMUL,'"&amp;F50&amp;"' AS CAMPO, "&amp;"'${ref_date}' AS REF_DATE, COUNT(*) AS NUM_REG, SUM(IF((ABS(COALESCE(CAST(X."&amp;F50&amp;" AS DECIMAL(18,6)),0)-COALESCE(CAST(Y."&amp;F50&amp;"_SIMUL AS DECIMAL(18,6)),0))&gt;0.000001) OR (X."&amp;F50&amp;" IS NULL AND Y."&amp;F50&amp;"_SIMUL IS NOT NULL ) OR (X."&amp;F50&amp;" IS NOT NULL AND Y."&amp;F50&amp;"_SIMUL IS NULL),1,0)) AS NUM_REG_DIF,'"&amp;MAX('ID1&amp;5'!K:K)+1&amp;"' AS ID_EXEC, CURRENT_TIMESTAMP() AS TIME_EXEC FROM "&amp;I50&amp;" INNER JOIN "&amp;J50&amp;" "&amp;K50,"SELECT '"&amp;UPPER(B50)&amp;"' AS TABELA, '"&amp;UPPER(C50)&amp;"' AS TIPOLOGIA_TESTE,'"&amp;D50&amp;"' AS TABELA_LT,'"&amp;E50&amp;"' AS TABELA_SIMUL,'"&amp;F50&amp;"' AS CAMPO, "&amp;"'${ref_date}' AS REF_DATE, COUNT(*) AS NUM_REG, SUM(IF(COALESCE(CAST(X."&amp;F50&amp;" AS STRING),'')&lt;&gt;COALESCE(CAST(Y."&amp;F50&amp;"_SIMUL AS STRING),'') OR (X."&amp;F50&amp;" IS NULL AND Y."&amp;F50&amp;"_SIMUL IS NOT NULL ) OR (X."&amp;F50&amp;" IS NOT NULL AND Y."&amp;F50&amp;"_SIMUL IS NULL),1,0)) AS NUM_REG_DIF,'"&amp;MAX('ID1&amp;5'!L:L)+1&amp;"' AS ID_EXEC, CURRENT_TIMESTAMP() AS TIME_EXEC FROM "&amp;I50&amp;" INNER JOIN "&amp;J50&amp;" "&amp;K50),
IF(C50="Validade",+IF(G50="Code List","SELECT '"&amp;UPPER(B50)&amp;"' AS TABELA, '"&amp;UPPER(C50)&amp;"' AS TIPOLOGIA_TESTE,'"&amp;D50&amp;"' AS TABELA_LT,'N/A' AS TABELA_SIMUL,'"&amp;F50&amp;"' AS CAMPO, "&amp;"'${ref_date}' AS REF_DATE, COUNT(*) AS NUM_REG, SUM(IF(TRIM(CAST(X."&amp;F50&amp;" AS STRING))='' OR TRIM(CAST(X."&amp;F50&amp;" AS STRING)) IS NULL OR CAST(X."&amp;F50&amp;" AS STRING) NOT "&amp;H50&amp;",1,0)) AS NUM_REG_DIF,'"&amp;MAX('ID1&amp;5'!K:K)+1&amp;"' AS ID_EXEC, CURRENT_TIMESTAMP() AS TIME_EXEC FROM "&amp;I50,"SELECT '"&amp;UPPER(B50)&amp;"' AS TABELA, '"&amp;UPPER(C50)&amp;"' AS TIPOLOGIA_TESTE,'"&amp;D50&amp;"' AS TABELA_LT,'N/A' AS TABELA_SIMUL,'"&amp;F50&amp;"' AS CAMPO, "&amp;"'${ref_date}' AS REF_DATE, COUNT(*) AS NUM_REG, SUM(IF(TRIM(CAST(X."&amp;F50&amp;" AS STRING))='' OR TRIM(CAST(X."&amp;F50&amp;" AS STRING)) IS NULL,1,0)) AS NUM_REG_DIF,'"&amp;MAX('ID1&amp;5'!K:K)+1&amp;"' AS ID_EXEC, CURRENT_TIMESTAMP() AS TIME_EXEC FROM "&amp;I50),
IF(C50="Caracteres Especiais",+"SELECT '"&amp;UPPER(B50)&amp;"' AS TABELA, '"&amp;UPPER(C50)&amp;"' AS TIPOLOGIA_TESTE,'"&amp;D50&amp;"' AS TABELA_LT,'N/A' AS TABELA_SIMUL,'"&amp;F50&amp;"' AS CAMPO, "&amp;"'${ref_date}' AS REF_DATE, COUNT(*) AS NUM_REG, SUM(IF(REGEXP_REPLACE(TRIM(CAST(X."&amp;F50&amp;" AS STRING)),'[^a-zA-Z0-9_\\s]','') &lt;&gt;TRIM(CAST(X."&amp;F50&amp;" AS STRING)),1,0)) AS NUM_REG_DIF,'"&amp;MAX('ID1&amp;5'!K:K)+1&amp;"' AS ID_EXEC, CURRENT_TIMESTAMP() AS TIME_EXEC FROM "&amp;I50,
IF(C50="Missings",+"SELECT '"&amp;UPPER(B50)&amp;"' AS TABELA, '"&amp;UPPER(C50)&amp;"' AS TIPOLOGIA_TESTE,'"&amp;D50&amp;"' AS TABELA_LT,'N/A' AS TABELA_SIMUL,'"&amp;F50&amp;"' AS CAMPO, "&amp;"'${ref_date}' AS REF_DATE, COUNT(*) AS NUM_REG, SUM(IF(TRIM(CAST(X."&amp;F50&amp;" AS STRING)) IN ('0000-00-00','0001-01-01','9999-12-31','MISS','00000','99999999999','99999999999.00','99999999999.000000'),1,0)) AS NUM_REG_DIF,'"&amp;MAX('ID1&amp;5'!K:K)+1&amp;"' AS ID_EXEC, CURRENT_TIMESTAMP() AS TIME_EXEC FROM "&amp;I50,
IF(C50="Not applicable",+"SELECT '"&amp;UPPER(B50)&amp;"' AS TABELA, '"&amp;UPPER(C50)&amp;"' AS TIPOLOGIA_TESTE,'"&amp;D50&amp;"' AS TABELA_LT,'N/A' AS TABELA_SIMUL,'"&amp;F50&amp;"' AS CAMPO, "&amp;"'${ref_date}' AS REF_DATE, COUNT(*) AS NUM_REG, SUM(IF(TRIM(CAST(X."&amp;F50&amp;" AS STRING)) IN ('N/A','11111111111','11111111111.00','11111111111.000000','1111-11-11'),1,0)) AS NUM_REG_DIF,'"&amp;MAX('ID1&amp;5'!K:K)+1&amp;"' AS ID_EXEC, CURRENT_TIMESTAMP() AS TIME_EXEC FROM "&amp;I50,
IF(C50="Valores extremos",+"SELECT '"&amp;UPPER(B50)&amp;"' AS TABELA, '"&amp;UPPER(C50)&amp;"' AS TIPOLOGIA_TESTE,'"&amp;D50&amp;"' AS TABELA_LT,'N/A' AS TABELA_SIMUL,'"&amp;F50&amp;"' AS CAMPO, "&amp;"'${ref_date}' AS REF_DATE, CAST(MIN("&amp;F50&amp;") AS STRING) AS VALOR_MIN, CAST(MAX("&amp;F50&amp;") AS STRING) AS VALOR_MAX,'"&amp;MAX('ID1&amp;5'!K:K)+1&amp;"' AS ID_EXEC, CURRENT_TIMESTAMP() AS TIME_EXEC FROM "&amp;MID(I50,1,LEN(I50)-2)&amp;" AND CAST("&amp;F50&amp;"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TABELA_SIMUL,'provisao_on' AS CAMPO, '${ref_date}' AS REF_DATE, COUNT(*) AS NUM_REG, SUM(IF(COALESCE(CAST(X.provisao_on AS STRING),'')&lt;&gt;COALESCE(CAST(Y.provisao_on_SIMUL AS STRING),'') OR (X.provisao_on IS NULL AND Y.provisao_on_SIMUL IS NOT NULL ) OR (X.provisao_on IS NOT NULL AND Y.provisao_on_SIMUL IS NULL),1,0)) AS NUM_REG_DIF,'1' AS ID_EXEC, CURRENT_TIMESTAMP() AS TIME_EXEC FROM (SELECT a, provisao_on FROM BU_LOANTAPE_WORK.LT001_UNIV_OPER WHERE ref_date='${ref_date}' AND nome_perimetro='Individual Local' AND segmento='ESTR' AND ambito='SRB_MBDT' AND entidade='00100')X INNER JOIN (SELECT a AS a_SIMUL, provisao_on AS provisao_on_SIMUL FROM BU_LOANTAPE_WORK.SIMUL_LT001 WHERE ref_date='${ref_date}' AND nome_perimetro='Individual Local' AND segmento='ESTR' AND ambito='PILAR3' AND entidade='00100')Y ON X.A=Y.A_SIMUL</v>
      </c>
      <c r="M50" s="36" t="str">
        <f t="shared" ref="M50:M56" si="2">+"UNION ALL "&amp;L50</f>
        <v>UNION ALL SELECT 'UNIV_OPER' AS TABELA, 'COERÊNCIA' AS TIPOLOGIA_TESTE,'BU_LOANTAPE_WORK.LT001_UNIV_OPER' AS TABELA_LT,'BU_LOANTAPE_WORK.SIMUL_LT001' AS TABELA_SIMUL,'provisao_on' AS CAMPO, '${ref_date}' AS REF_DATE, COUNT(*) AS NUM_REG, SUM(IF(COALESCE(CAST(X.provisao_on AS STRING),'')&lt;&gt;COALESCE(CAST(Y.provisao_on_SIMUL AS STRING),'') OR (X.provisao_on IS NULL AND Y.provisao_on_SIMUL IS NOT NULL ) OR (X.provisao_on IS NOT NULL AND Y.provisao_on_SIMUL IS NULL),1,0)) AS NUM_REG_DIF,'1' AS ID_EXEC, CURRENT_TIMESTAMP() AS TIME_EXEC FROM (SELECT a, provisao_on FROM BU_LOANTAPE_WORK.LT001_UNIV_OPER WHERE ref_date='${ref_date}' AND nome_perimetro='Individual Local' AND segmento='ESTR' AND ambito='SRB_MBDT' AND entidade='00100')X INNER JOIN (SELECT a AS a_SIMUL, provisao_on AS provisao_on_SIMUL FROM BU_LOANTAPE_WORK.SIMUL_LT001 WHERE ref_date='${ref_date}' AND nome_perimetro='Individual Local' AND segmento='ESTR' AND ambito='PILAR3' AND entidade='00100')Y ON X.A=Y.A_SIMUL</v>
      </c>
      <c r="N50" s="38" t="s">
        <v>40</v>
      </c>
    </row>
    <row r="51" spans="1:14">
      <c r="A51" s="60" t="str">
        <f t="shared" si="1"/>
        <v>UNIV_OPERprovisao_off</v>
      </c>
      <c r="B51" s="34" t="s">
        <v>1092</v>
      </c>
      <c r="C51" s="34" t="s">
        <v>5</v>
      </c>
      <c r="D51" s="34" t="str">
        <f>+UPPER('0. Instruções'!$D$35&amp;"."&amp;VLOOKUP(B51,'0. Instruções'!$C$27:$D$32,2,FALSE))</f>
        <v>BU_LOANTAPE_WORK.LT001_UNIV_OPER</v>
      </c>
      <c r="E51" s="34" t="str">
        <f>+UPPER('0. Instruções'!$D$36&amp;"."&amp;VLOOKUP(B51,'0. Instruções'!$C$27:$E$32,3,FALSE))</f>
        <v>BU_LOANTAPE_WORK.SIMUL_LT001</v>
      </c>
      <c r="F51" s="34" t="s">
        <v>1135</v>
      </c>
      <c r="G51" s="34"/>
      <c r="H51" s="34"/>
      <c r="I51" s="34" t="str">
        <f>"(SELECT "&amp;VLOOKUP(B51,'0. Instruções'!$C$27:$G$32,4,FALSE)&amp;", "&amp;F51&amp;" FROM "&amp;D51&amp;" WHERE "&amp;'0. Instruções'!$D$42&amp;")X"</f>
        <v>(SELECT a, provisao_off FROM BU_LOANTAPE_WORK.LT001_UNIV_OPER WHERE ref_date='${ref_date}' AND nome_perimetro='Individual Local' AND segmento='ESTR' AND ambito='SRB_MBDT' AND entidade='00100')X</v>
      </c>
      <c r="J51" s="34" t="str">
        <f>"(SELECT "&amp;VLOOKUP(B51,'0. Instruções'!$C$27:$G$32,4,FALSE)&amp;" AS "&amp;VLOOKUP(B51,'0. Instruções'!$C$27:$G$32,4,FALSE)&amp;"_SIMUL, "&amp;F51&amp;" AS "&amp;F51&amp;"_SIMUL FROM "&amp;E51&amp;" WHERE "&amp;'0. Instruções'!$D$43&amp;")Y"</f>
        <v>(SELECT a AS a_SIMUL, provisao_off AS provisao_off_SIMUL FROM BU_LOANTAPE_WORK.SIMUL_LT001 WHERE ref_date='${ref_date}' AND nome_perimetro='Individual Local' AND segmento='ESTR' AND ambito='PILAR3' AND entidade='00100')Y</v>
      </c>
      <c r="K51" s="35" t="str">
        <f>+UPPER("ON X."&amp;VLOOKUP(B51,'0. Instruções'!$C$27:$G$32,4,FALSE)&amp;"=Y."&amp;VLOOKUP(B51,'0. Instruções'!$C$27:$G$32,4,FALSE)&amp;"_SIMUL")</f>
        <v>ON X.A=Y.A_SIMUL</v>
      </c>
      <c r="L51" s="35" t="str">
        <f>+IF(C51="Coerência", +IF(LEFT(G51,5)="FLOAT","SELECT '"&amp;UPPER(B51)&amp;"' AS TABELA, '"&amp;UPPER(C51)&amp;"' AS TIPOLOGIA_TESTE,'"&amp;D51&amp;"' AS TABELA_LT,'"&amp;E51&amp;"' AS TABELA_SIMUL,'"&amp;F51&amp;"' AS CAMPO, "&amp;"'${ref_date}' AS REF_DATE, COUNT(*) AS NUM_REG, SUM(IF((ABS(COALESCE(CAST(X."&amp;F51&amp;" AS DECIMAL(18,6)),0)-COALESCE(CAST(Y."&amp;F51&amp;"_SIMUL AS DECIMAL(18,6)),0))&gt;0.000001) OR (X."&amp;F51&amp;" IS NULL AND Y."&amp;F51&amp;"_SIMUL IS NOT NULL ) OR (X."&amp;F51&amp;" IS NOT NULL AND Y."&amp;F51&amp;"_SIMUL IS NULL),1,0)) AS NUM_REG_DIF,'"&amp;MAX('ID1&amp;5'!K:K)+1&amp;"' AS ID_EXEC, CURRENT_TIMESTAMP() AS TIME_EXEC FROM "&amp;I51&amp;" INNER JOIN "&amp;J51&amp;" "&amp;K51,"SELECT '"&amp;UPPER(B51)&amp;"' AS TABELA, '"&amp;UPPER(C51)&amp;"' AS TIPOLOGIA_TESTE,'"&amp;D51&amp;"' AS TABELA_LT,'"&amp;E51&amp;"' AS TABELA_SIMUL,'"&amp;F51&amp;"' AS CAMPO, "&amp;"'${ref_date}' AS REF_DATE, COUNT(*) AS NUM_REG, SUM(IF(COALESCE(CAST(X."&amp;F51&amp;" AS STRING),'')&lt;&gt;COALESCE(CAST(Y."&amp;F51&amp;"_SIMUL AS STRING),'') OR (X."&amp;F51&amp;" IS NULL AND Y."&amp;F51&amp;"_SIMUL IS NOT NULL ) OR (X."&amp;F51&amp;" IS NOT NULL AND Y."&amp;F51&amp;"_SIMUL IS NULL),1,0)) AS NUM_REG_DIF,'"&amp;MAX('ID1&amp;5'!L:L)+1&amp;"' AS ID_EXEC, CURRENT_TIMESTAMP() AS TIME_EXEC FROM "&amp;I51&amp;" INNER JOIN "&amp;J51&amp;" "&amp;K51),
IF(C51="Validade",+IF(G51="Code List","SELECT '"&amp;UPPER(B51)&amp;"' AS TABELA, '"&amp;UPPER(C51)&amp;"' AS TIPOLOGIA_TESTE,'"&amp;D51&amp;"' AS TABELA_LT,'N/A' AS TABELA_SIMUL,'"&amp;F51&amp;"' AS CAMPO, "&amp;"'${ref_date}' AS REF_DATE, COUNT(*) AS NUM_REG, SUM(IF(TRIM(CAST(X."&amp;F51&amp;" AS STRING))='' OR TRIM(CAST(X."&amp;F51&amp;" AS STRING)) IS NULL OR CAST(X."&amp;F51&amp;" AS STRING) NOT "&amp;H51&amp;",1,0)) AS NUM_REG_DIF,'"&amp;MAX('ID1&amp;5'!K:K)+1&amp;"' AS ID_EXEC, CURRENT_TIMESTAMP() AS TIME_EXEC FROM "&amp;I51,"SELECT '"&amp;UPPER(B51)&amp;"' AS TABELA, '"&amp;UPPER(C51)&amp;"' AS TIPOLOGIA_TESTE,'"&amp;D51&amp;"' AS TABELA_LT,'N/A' AS TABELA_SIMUL,'"&amp;F51&amp;"' AS CAMPO, "&amp;"'${ref_date}' AS REF_DATE, COUNT(*) AS NUM_REG, SUM(IF(TRIM(CAST(X."&amp;F51&amp;" AS STRING))='' OR TRIM(CAST(X."&amp;F51&amp;" AS STRING)) IS NULL,1,0)) AS NUM_REG_DIF,'"&amp;MAX('ID1&amp;5'!K:K)+1&amp;"' AS ID_EXEC, CURRENT_TIMESTAMP() AS TIME_EXEC FROM "&amp;I51),
IF(C51="Caracteres Especiais",+"SELECT '"&amp;UPPER(B51)&amp;"' AS TABELA, '"&amp;UPPER(C51)&amp;"' AS TIPOLOGIA_TESTE,'"&amp;D51&amp;"' AS TABELA_LT,'N/A' AS TABELA_SIMUL,'"&amp;F51&amp;"' AS CAMPO, "&amp;"'${ref_date}' AS REF_DATE, COUNT(*) AS NUM_REG, SUM(IF(REGEXP_REPLACE(TRIM(CAST(X."&amp;F51&amp;" AS STRING)),'[^a-zA-Z0-9_\\s]','') &lt;&gt;TRIM(CAST(X."&amp;F51&amp;" AS STRING)),1,0)) AS NUM_REG_DIF,'"&amp;MAX('ID1&amp;5'!K:K)+1&amp;"' AS ID_EXEC, CURRENT_TIMESTAMP() AS TIME_EXEC FROM "&amp;I51,
IF(C51="Missings",+"SELECT '"&amp;UPPER(B51)&amp;"' AS TABELA, '"&amp;UPPER(C51)&amp;"' AS TIPOLOGIA_TESTE,'"&amp;D51&amp;"' AS TABELA_LT,'N/A' AS TABELA_SIMUL,'"&amp;F51&amp;"' AS CAMPO, "&amp;"'${ref_date}' AS REF_DATE, COUNT(*) AS NUM_REG, SUM(IF(TRIM(CAST(X."&amp;F51&amp;" AS STRING)) IN ('0000-00-00','0001-01-01','9999-12-31','MISS','00000','99999999999','99999999999.00','99999999999.000000'),1,0)) AS NUM_REG_DIF,'"&amp;MAX('ID1&amp;5'!K:K)+1&amp;"' AS ID_EXEC, CURRENT_TIMESTAMP() AS TIME_EXEC FROM "&amp;I51,
IF(C51="Not applicable",+"SELECT '"&amp;UPPER(B51)&amp;"' AS TABELA, '"&amp;UPPER(C51)&amp;"' AS TIPOLOGIA_TESTE,'"&amp;D51&amp;"' AS TABELA_LT,'N/A' AS TABELA_SIMUL,'"&amp;F51&amp;"' AS CAMPO, "&amp;"'${ref_date}' AS REF_DATE, COUNT(*) AS NUM_REG, SUM(IF(TRIM(CAST(X."&amp;F51&amp;" AS STRING)) IN ('N/A','11111111111','11111111111.00','11111111111.000000','1111-11-11'),1,0)) AS NUM_REG_DIF,'"&amp;MAX('ID1&amp;5'!K:K)+1&amp;"' AS ID_EXEC, CURRENT_TIMESTAMP() AS TIME_EXEC FROM "&amp;I51,
IF(C51="Valores extremos",+"SELECT '"&amp;UPPER(B51)&amp;"' AS TABELA, '"&amp;UPPER(C51)&amp;"' AS TIPOLOGIA_TESTE,'"&amp;D51&amp;"' AS TABELA_LT,'N/A' AS TABELA_SIMUL,'"&amp;F51&amp;"' AS CAMPO, "&amp;"'${ref_date}' AS REF_DATE, CAST(MIN("&amp;F51&amp;") AS STRING) AS VALOR_MIN, CAST(MAX("&amp;F51&amp;") AS STRING) AS VALOR_MAX,'"&amp;MAX('ID1&amp;5'!K:K)+1&amp;"' AS ID_EXEC, CURRENT_TIMESTAMP() AS TIME_EXEC FROM "&amp;MID(I51,1,LEN(I51)-2)&amp;" AND CAST("&amp;F51&amp;"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TABELA_SIMUL,'provisao_off' AS CAMPO, '${ref_date}' AS REF_DATE, COUNT(*) AS NUM_REG, SUM(IF(COALESCE(CAST(X.provisao_off AS STRING),'')&lt;&gt;COALESCE(CAST(Y.provisao_off_SIMUL AS STRING),'') OR (X.provisao_off IS NULL AND Y.provisao_off_SIMUL IS NOT NULL ) OR (X.provisao_off IS NOT NULL AND Y.provisao_off_SIMUL IS NULL),1,0)) AS NUM_REG_DIF,'1' AS ID_EXEC, CURRENT_TIMESTAMP() AS TIME_EXEC FROM (SELECT a, provisao_off FROM BU_LOANTAPE_WORK.LT001_UNIV_OPER WHERE ref_date='${ref_date}' AND nome_perimetro='Individual Local' AND segmento='ESTR' AND ambito='SRB_MBDT' AND entidade='00100')X INNER JOIN (SELECT a AS a_SIMUL, provisao_off AS provisao_off_SIMUL FROM BU_LOANTAPE_WORK.SIMUL_LT001 WHERE ref_date='${ref_date}' AND nome_perimetro='Individual Local' AND segmento='ESTR' AND ambito='PILAR3' AND entidade='00100')Y ON X.A=Y.A_SIMUL</v>
      </c>
      <c r="M51" s="36" t="str">
        <f t="shared" si="2"/>
        <v>UNION ALL SELECT 'UNIV_OPER' AS TABELA, 'COERÊNCIA' AS TIPOLOGIA_TESTE,'BU_LOANTAPE_WORK.LT001_UNIV_OPER' AS TABELA_LT,'BU_LOANTAPE_WORK.SIMUL_LT001' AS TABELA_SIMUL,'provisao_off' AS CAMPO, '${ref_date}' AS REF_DATE, COUNT(*) AS NUM_REG, SUM(IF(COALESCE(CAST(X.provisao_off AS STRING),'')&lt;&gt;COALESCE(CAST(Y.provisao_off_SIMUL AS STRING),'') OR (X.provisao_off IS NULL AND Y.provisao_off_SIMUL IS NOT NULL ) OR (X.provisao_off IS NOT NULL AND Y.provisao_off_SIMUL IS NULL),1,0)) AS NUM_REG_DIF,'1' AS ID_EXEC, CURRENT_TIMESTAMP() AS TIME_EXEC FROM (SELECT a, provisao_off FROM BU_LOANTAPE_WORK.LT001_UNIV_OPER WHERE ref_date='${ref_date}' AND nome_perimetro='Individual Local' AND segmento='ESTR' AND ambito='SRB_MBDT' AND entidade='00100')X INNER JOIN (SELECT a AS a_SIMUL, provisao_off AS provisao_off_SIMUL FROM BU_LOANTAPE_WORK.SIMUL_LT001 WHERE ref_date='${ref_date}' AND nome_perimetro='Individual Local' AND segmento='ESTR' AND ambito='PILAR3' AND entidade='00100')Y ON X.A=Y.A_SIMUL</v>
      </c>
      <c r="N51" s="38" t="s">
        <v>40</v>
      </c>
    </row>
    <row r="52" spans="1:14">
      <c r="A52" s="60" t="str">
        <f t="shared" si="1"/>
        <v>UNIV_OPERvalor_bruto_on_prvs</v>
      </c>
      <c r="B52" s="34" t="s">
        <v>1092</v>
      </c>
      <c r="C52" s="34" t="s">
        <v>5</v>
      </c>
      <c r="D52" s="34" t="str">
        <f>+UPPER('0. Instruções'!$D$35&amp;"."&amp;VLOOKUP(B52,'0. Instruções'!$C$27:$D$32,2,FALSE))</f>
        <v>BU_LOANTAPE_WORK.LT001_UNIV_OPER</v>
      </c>
      <c r="E52" s="34" t="str">
        <f>+UPPER('0. Instruções'!$D$36&amp;"."&amp;VLOOKUP(B52,'0. Instruções'!$C$27:$E$32,3,FALSE))</f>
        <v>BU_LOANTAPE_WORK.SIMUL_LT001</v>
      </c>
      <c r="F52" s="34" t="s">
        <v>1136</v>
      </c>
      <c r="G52" s="34"/>
      <c r="H52" s="34"/>
      <c r="I52" s="34" t="str">
        <f>"(SELECT "&amp;VLOOKUP(B52,'0. Instruções'!$C$27:$G$32,4,FALSE)&amp;", "&amp;F52&amp;" FROM "&amp;D52&amp;" WHERE "&amp;'0. Instruções'!$D$42&amp;")X"</f>
        <v>(SELECT a, valor_bruto_on_prvs FROM BU_LOANTAPE_WORK.LT001_UNIV_OPER WHERE ref_date='${ref_date}' AND nome_perimetro='Individual Local' AND segmento='ESTR' AND ambito='SRB_MBDT' AND entidade='00100')X</v>
      </c>
      <c r="J52" s="34" t="str">
        <f>"(SELECT "&amp;VLOOKUP(B52,'0. Instruções'!$C$27:$G$32,4,FALSE)&amp;" AS "&amp;VLOOKUP(B52,'0. Instruções'!$C$27:$G$32,4,FALSE)&amp;"_SIMUL, "&amp;F52&amp;" AS "&amp;F52&amp;"_SIMUL FROM "&amp;E52&amp;" WHERE "&amp;'0. Instruções'!$D$43&amp;")Y"</f>
        <v>(SELECT a AS a_SIMUL, valor_bruto_on_prvs AS valor_bruto_on_prvs_SIMUL FROM BU_LOANTAPE_WORK.SIMUL_LT001 WHERE ref_date='${ref_date}' AND nome_perimetro='Individual Local' AND segmento='ESTR' AND ambito='PILAR3' AND entidade='00100')Y</v>
      </c>
      <c r="K52" s="35" t="str">
        <f>+UPPER("ON X."&amp;VLOOKUP(B52,'0. Instruções'!$C$27:$G$32,4,FALSE)&amp;"=Y."&amp;VLOOKUP(B52,'0. Instruções'!$C$27:$G$32,4,FALSE)&amp;"_SIMUL")</f>
        <v>ON X.A=Y.A_SIMUL</v>
      </c>
      <c r="L52" s="35" t="str">
        <f>+IF(C52="Coerência", +IF(LEFT(G52,5)="FLOAT","SELECT '"&amp;UPPER(B52)&amp;"' AS TABELA, '"&amp;UPPER(C52)&amp;"' AS TIPOLOGIA_TESTE,'"&amp;D52&amp;"' AS TABELA_LT,'"&amp;E52&amp;"' AS TABELA_SIMUL,'"&amp;F52&amp;"' AS CAMPO, "&amp;"'${ref_date}' AS REF_DATE, COUNT(*) AS NUM_REG, SUM(IF((ABS(COALESCE(CAST(X."&amp;F52&amp;" AS DECIMAL(18,6)),0)-COALESCE(CAST(Y."&amp;F52&amp;"_SIMUL AS DECIMAL(18,6)),0))&gt;0.000001) OR (X."&amp;F52&amp;" IS NULL AND Y."&amp;F52&amp;"_SIMUL IS NOT NULL ) OR (X."&amp;F52&amp;" IS NOT NULL AND Y."&amp;F52&amp;"_SIMUL IS NULL),1,0)) AS NUM_REG_DIF,'"&amp;MAX('ID1&amp;5'!K:K)+1&amp;"' AS ID_EXEC, CURRENT_TIMESTAMP() AS TIME_EXEC FROM "&amp;I52&amp;" INNER JOIN "&amp;J52&amp;" "&amp;K52,"SELECT '"&amp;UPPER(B52)&amp;"' AS TABELA, '"&amp;UPPER(C52)&amp;"' AS TIPOLOGIA_TESTE,'"&amp;D52&amp;"' AS TABELA_LT,'"&amp;E52&amp;"' AS TABELA_SIMUL,'"&amp;F52&amp;"' AS CAMPO, "&amp;"'${ref_date}' AS REF_DATE, COUNT(*) AS NUM_REG, SUM(IF(COALESCE(CAST(X."&amp;F52&amp;" AS STRING),'')&lt;&gt;COALESCE(CAST(Y."&amp;F52&amp;"_SIMUL AS STRING),'') OR (X."&amp;F52&amp;" IS NULL AND Y."&amp;F52&amp;"_SIMUL IS NOT NULL ) OR (X."&amp;F52&amp;" IS NOT NULL AND Y."&amp;F52&amp;"_SIMUL IS NULL),1,0)) AS NUM_REG_DIF,'"&amp;MAX('ID1&amp;5'!L:L)+1&amp;"' AS ID_EXEC, CURRENT_TIMESTAMP() AS TIME_EXEC FROM "&amp;I52&amp;" INNER JOIN "&amp;J52&amp;" "&amp;K52),
IF(C52="Validade",+IF(G52="Code List","SELECT '"&amp;UPPER(B52)&amp;"' AS TABELA, '"&amp;UPPER(C52)&amp;"' AS TIPOLOGIA_TESTE,'"&amp;D52&amp;"' AS TABELA_LT,'N/A' AS TABELA_SIMUL,'"&amp;F52&amp;"' AS CAMPO, "&amp;"'${ref_date}' AS REF_DATE, COUNT(*) AS NUM_REG, SUM(IF(TRIM(CAST(X."&amp;F52&amp;" AS STRING))='' OR TRIM(CAST(X."&amp;F52&amp;" AS STRING)) IS NULL OR CAST(X."&amp;F52&amp;" AS STRING) NOT "&amp;H52&amp;",1,0)) AS NUM_REG_DIF,'"&amp;MAX('ID1&amp;5'!K:K)+1&amp;"' AS ID_EXEC, CURRENT_TIMESTAMP() AS TIME_EXEC FROM "&amp;I52,"SELECT '"&amp;UPPER(B52)&amp;"' AS TABELA, '"&amp;UPPER(C52)&amp;"' AS TIPOLOGIA_TESTE,'"&amp;D52&amp;"' AS TABELA_LT,'N/A' AS TABELA_SIMUL,'"&amp;F52&amp;"' AS CAMPO, "&amp;"'${ref_date}' AS REF_DATE, COUNT(*) AS NUM_REG, SUM(IF(TRIM(CAST(X."&amp;F52&amp;" AS STRING))='' OR TRIM(CAST(X."&amp;F52&amp;" AS STRING)) IS NULL,1,0)) AS NUM_REG_DIF,'"&amp;MAX('ID1&amp;5'!K:K)+1&amp;"' AS ID_EXEC, CURRENT_TIMESTAMP() AS TIME_EXEC FROM "&amp;I52),
IF(C52="Caracteres Especiais",+"SELECT '"&amp;UPPER(B52)&amp;"' AS TABELA, '"&amp;UPPER(C52)&amp;"' AS TIPOLOGIA_TESTE,'"&amp;D52&amp;"' AS TABELA_LT,'N/A' AS TABELA_SIMUL,'"&amp;F52&amp;"' AS CAMPO, "&amp;"'${ref_date}' AS REF_DATE, COUNT(*) AS NUM_REG, SUM(IF(REGEXP_REPLACE(TRIM(CAST(X."&amp;F52&amp;" AS STRING)),'[^a-zA-Z0-9_\\s]','') &lt;&gt;TRIM(CAST(X."&amp;F52&amp;" AS STRING)),1,0)) AS NUM_REG_DIF,'"&amp;MAX('ID1&amp;5'!K:K)+1&amp;"' AS ID_EXEC, CURRENT_TIMESTAMP() AS TIME_EXEC FROM "&amp;I52,
IF(C52="Missings",+"SELECT '"&amp;UPPER(B52)&amp;"' AS TABELA, '"&amp;UPPER(C52)&amp;"' AS TIPOLOGIA_TESTE,'"&amp;D52&amp;"' AS TABELA_LT,'N/A' AS TABELA_SIMUL,'"&amp;F52&amp;"' AS CAMPO, "&amp;"'${ref_date}' AS REF_DATE, COUNT(*) AS NUM_REG, SUM(IF(TRIM(CAST(X."&amp;F52&amp;" AS STRING)) IN ('0000-00-00','0001-01-01','9999-12-31','MISS','00000','99999999999','99999999999.00','99999999999.000000'),1,0)) AS NUM_REG_DIF,'"&amp;MAX('ID1&amp;5'!K:K)+1&amp;"' AS ID_EXEC, CURRENT_TIMESTAMP() AS TIME_EXEC FROM "&amp;I52,
IF(C52="Not applicable",+"SELECT '"&amp;UPPER(B52)&amp;"' AS TABELA, '"&amp;UPPER(C52)&amp;"' AS TIPOLOGIA_TESTE,'"&amp;D52&amp;"' AS TABELA_LT,'N/A' AS TABELA_SIMUL,'"&amp;F52&amp;"' AS CAMPO, "&amp;"'${ref_date}' AS REF_DATE, COUNT(*) AS NUM_REG, SUM(IF(TRIM(CAST(X."&amp;F52&amp;" AS STRING)) IN ('N/A','11111111111','11111111111.00','11111111111.000000','1111-11-11'),1,0)) AS NUM_REG_DIF,'"&amp;MAX('ID1&amp;5'!K:K)+1&amp;"' AS ID_EXEC, CURRENT_TIMESTAMP() AS TIME_EXEC FROM "&amp;I52,
IF(C52="Valores extremos",+"SELECT '"&amp;UPPER(B52)&amp;"' AS TABELA, '"&amp;UPPER(C52)&amp;"' AS TIPOLOGIA_TESTE,'"&amp;D52&amp;"' AS TABELA_LT,'N/A' AS TABELA_SIMUL,'"&amp;F52&amp;"' AS CAMPO, "&amp;"'${ref_date}' AS REF_DATE, CAST(MIN("&amp;F52&amp;") AS STRING) AS VALOR_MIN, CAST(MAX("&amp;F52&amp;") AS STRING) AS VALOR_MAX,'"&amp;MAX('ID1&amp;5'!K:K)+1&amp;"' AS ID_EXEC, CURRENT_TIMESTAMP() AS TIME_EXEC FROM "&amp;MID(I52,1,LEN(I52)-2)&amp;" AND CAST("&amp;F52&amp;"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TABELA_SIMUL,'valor_bruto_on_prvs' AS CAMPO, '${ref_date}' AS REF_DATE, COUNT(*) AS NUM_REG, SUM(IF(COALESCE(CAST(X.valor_bruto_on_prvs AS STRING),'')&lt;&gt;COALESCE(CAST(Y.valor_bruto_on_prvs_SIMUL AS STRING),'') OR (X.valor_bruto_on_prvs IS NULL AND Y.valor_bruto_on_prvs_SIMUL IS NOT NULL ) OR (X.valor_bruto_on_prvs IS NOT NULL AND Y.valor_bruto_on_prvs_SIMUL IS NULL),1,0)) AS NUM_REG_DIF,'1' AS ID_EXEC, CURRENT_TIMESTAMP() AS TIME_EXEC FROM (SELECT a, valor_bruto_on_prvs FROM BU_LOANTAPE_WORK.LT001_UNIV_OPER WHERE ref_date='${ref_date}' AND nome_perimetro='Individual Local' AND segmento='ESTR' AND ambito='SRB_MBDT' AND entidade='00100')X INNER JOIN (SELECT a AS a_SIMUL, valor_bruto_on_prvs AS valor_bruto_on_prvs_SIMUL FROM BU_LOANTAPE_WORK.SIMUL_LT001 WHERE ref_date='${ref_date}' AND nome_perimetro='Individual Local' AND segmento='ESTR' AND ambito='PILAR3' AND entidade='00100')Y ON X.A=Y.A_SIMUL</v>
      </c>
      <c r="M52" s="36" t="str">
        <f t="shared" si="2"/>
        <v>UNION ALL SELECT 'UNIV_OPER' AS TABELA, 'COERÊNCIA' AS TIPOLOGIA_TESTE,'BU_LOANTAPE_WORK.LT001_UNIV_OPER' AS TABELA_LT,'BU_LOANTAPE_WORK.SIMUL_LT001' AS TABELA_SIMUL,'valor_bruto_on_prvs' AS CAMPO, '${ref_date}' AS REF_DATE, COUNT(*) AS NUM_REG, SUM(IF(COALESCE(CAST(X.valor_bruto_on_prvs AS STRING),'')&lt;&gt;COALESCE(CAST(Y.valor_bruto_on_prvs_SIMUL AS STRING),'') OR (X.valor_bruto_on_prvs IS NULL AND Y.valor_bruto_on_prvs_SIMUL IS NOT NULL ) OR (X.valor_bruto_on_prvs IS NOT NULL AND Y.valor_bruto_on_prvs_SIMUL IS NULL),1,0)) AS NUM_REG_DIF,'1' AS ID_EXEC, CURRENT_TIMESTAMP() AS TIME_EXEC FROM (SELECT a, valor_bruto_on_prvs FROM BU_LOANTAPE_WORK.LT001_UNIV_OPER WHERE ref_date='${ref_date}' AND nome_perimetro='Individual Local' AND segmento='ESTR' AND ambito='SRB_MBDT' AND entidade='00100')X INNER JOIN (SELECT a AS a_SIMUL, valor_bruto_on_prvs AS valor_bruto_on_prvs_SIMUL FROM BU_LOANTAPE_WORK.SIMUL_LT001 WHERE ref_date='${ref_date}' AND nome_perimetro='Individual Local' AND segmento='ESTR' AND ambito='PILAR3' AND entidade='00100')Y ON X.A=Y.A_SIMUL</v>
      </c>
      <c r="N52" s="38" t="s">
        <v>40</v>
      </c>
    </row>
    <row r="53" spans="1:14">
      <c r="A53" s="60" t="str">
        <f t="shared" si="1"/>
        <v>UNIV_OPERvalor_bruto_off_prvs</v>
      </c>
      <c r="B53" s="34" t="s">
        <v>1092</v>
      </c>
      <c r="C53" s="34" t="s">
        <v>5</v>
      </c>
      <c r="D53" s="34" t="str">
        <f>+UPPER('0. Instruções'!$D$35&amp;"."&amp;VLOOKUP(B53,'0. Instruções'!$C$27:$D$32,2,FALSE))</f>
        <v>BU_LOANTAPE_WORK.LT001_UNIV_OPER</v>
      </c>
      <c r="E53" s="34" t="str">
        <f>+UPPER('0. Instruções'!$D$36&amp;"."&amp;VLOOKUP(B53,'0. Instruções'!$C$27:$E$32,3,FALSE))</f>
        <v>BU_LOANTAPE_WORK.SIMUL_LT001</v>
      </c>
      <c r="F53" s="34" t="s">
        <v>1137</v>
      </c>
      <c r="G53" s="34"/>
      <c r="H53" s="34"/>
      <c r="I53" s="34" t="str">
        <f>"(SELECT "&amp;VLOOKUP(B53,'0. Instruções'!$C$27:$G$32,4,FALSE)&amp;", "&amp;F53&amp;" FROM "&amp;D53&amp;" WHERE "&amp;'0. Instruções'!$D$42&amp;")X"</f>
        <v>(SELECT a, valor_bruto_off_prvs FROM BU_LOANTAPE_WORK.LT001_UNIV_OPER WHERE ref_date='${ref_date}' AND nome_perimetro='Individual Local' AND segmento='ESTR' AND ambito='SRB_MBDT' AND entidade='00100')X</v>
      </c>
      <c r="J53" s="34" t="str">
        <f>"(SELECT "&amp;VLOOKUP(B53,'0. Instruções'!$C$27:$G$32,4,FALSE)&amp;" AS "&amp;VLOOKUP(B53,'0. Instruções'!$C$27:$G$32,4,FALSE)&amp;"_SIMUL, "&amp;F53&amp;" AS "&amp;F53&amp;"_SIMUL FROM "&amp;E53&amp;" WHERE "&amp;'0. Instruções'!$D$43&amp;")Y"</f>
        <v>(SELECT a AS a_SIMUL, valor_bruto_off_prvs AS valor_bruto_off_prvs_SIMUL FROM BU_LOANTAPE_WORK.SIMUL_LT001 WHERE ref_date='${ref_date}' AND nome_perimetro='Individual Local' AND segmento='ESTR' AND ambito='PILAR3' AND entidade='00100')Y</v>
      </c>
      <c r="K53" s="35" t="str">
        <f>+UPPER("ON X."&amp;VLOOKUP(B53,'0. Instruções'!$C$27:$G$32,4,FALSE)&amp;"=Y."&amp;VLOOKUP(B53,'0. Instruções'!$C$27:$G$32,4,FALSE)&amp;"_SIMUL")</f>
        <v>ON X.A=Y.A_SIMUL</v>
      </c>
      <c r="L53" s="35" t="str">
        <f>+IF(C53="Coerência", +IF(LEFT(G53,5)="FLOAT","SELECT '"&amp;UPPER(B53)&amp;"' AS TABELA, '"&amp;UPPER(C53)&amp;"' AS TIPOLOGIA_TESTE,'"&amp;D53&amp;"' AS TABELA_LT,'"&amp;E53&amp;"' AS TABELA_SIMUL,'"&amp;F53&amp;"' AS CAMPO, "&amp;"'${ref_date}' AS REF_DATE, COUNT(*) AS NUM_REG, SUM(IF((ABS(COALESCE(CAST(X."&amp;F53&amp;" AS DECIMAL(18,6)),0)-COALESCE(CAST(Y."&amp;F53&amp;"_SIMUL AS DECIMAL(18,6)),0))&gt;0.000001) OR (X."&amp;F53&amp;" IS NULL AND Y."&amp;F53&amp;"_SIMUL IS NOT NULL ) OR (X."&amp;F53&amp;" IS NOT NULL AND Y."&amp;F53&amp;"_SIMUL IS NULL),1,0)) AS NUM_REG_DIF,'"&amp;MAX('ID1&amp;5'!K:K)+1&amp;"' AS ID_EXEC, CURRENT_TIMESTAMP() AS TIME_EXEC FROM "&amp;I53&amp;" INNER JOIN "&amp;J53&amp;" "&amp;K53,"SELECT '"&amp;UPPER(B53)&amp;"' AS TABELA, '"&amp;UPPER(C53)&amp;"' AS TIPOLOGIA_TESTE,'"&amp;D53&amp;"' AS TABELA_LT,'"&amp;E53&amp;"' AS TABELA_SIMUL,'"&amp;F53&amp;"' AS CAMPO, "&amp;"'${ref_date}' AS REF_DATE, COUNT(*) AS NUM_REG, SUM(IF(COALESCE(CAST(X."&amp;F53&amp;" AS STRING),'')&lt;&gt;COALESCE(CAST(Y."&amp;F53&amp;"_SIMUL AS STRING),'') OR (X."&amp;F53&amp;" IS NULL AND Y."&amp;F53&amp;"_SIMUL IS NOT NULL ) OR (X."&amp;F53&amp;" IS NOT NULL AND Y."&amp;F53&amp;"_SIMUL IS NULL),1,0)) AS NUM_REG_DIF,'"&amp;MAX('ID1&amp;5'!L:L)+1&amp;"' AS ID_EXEC, CURRENT_TIMESTAMP() AS TIME_EXEC FROM "&amp;I53&amp;" INNER JOIN "&amp;J53&amp;" "&amp;K53),
IF(C53="Validade",+IF(G53="Code List","SELECT '"&amp;UPPER(B53)&amp;"' AS TABELA, '"&amp;UPPER(C53)&amp;"' AS TIPOLOGIA_TESTE,'"&amp;D53&amp;"' AS TABELA_LT,'N/A' AS TABELA_SIMUL,'"&amp;F53&amp;"' AS CAMPO, "&amp;"'${ref_date}' AS REF_DATE, COUNT(*) AS NUM_REG, SUM(IF(TRIM(CAST(X."&amp;F53&amp;" AS STRING))='' OR TRIM(CAST(X."&amp;F53&amp;" AS STRING)) IS NULL OR CAST(X."&amp;F53&amp;" AS STRING) NOT "&amp;H53&amp;",1,0)) AS NUM_REG_DIF,'"&amp;MAX('ID1&amp;5'!K:K)+1&amp;"' AS ID_EXEC, CURRENT_TIMESTAMP() AS TIME_EXEC FROM "&amp;I53,"SELECT '"&amp;UPPER(B53)&amp;"' AS TABELA, '"&amp;UPPER(C53)&amp;"' AS TIPOLOGIA_TESTE,'"&amp;D53&amp;"' AS TABELA_LT,'N/A' AS TABELA_SIMUL,'"&amp;F53&amp;"' AS CAMPO, "&amp;"'${ref_date}' AS REF_DATE, COUNT(*) AS NUM_REG, SUM(IF(TRIM(CAST(X."&amp;F53&amp;" AS STRING))='' OR TRIM(CAST(X."&amp;F53&amp;" AS STRING)) IS NULL,1,0)) AS NUM_REG_DIF,'"&amp;MAX('ID1&amp;5'!K:K)+1&amp;"' AS ID_EXEC, CURRENT_TIMESTAMP() AS TIME_EXEC FROM "&amp;I53),
IF(C53="Caracteres Especiais",+"SELECT '"&amp;UPPER(B53)&amp;"' AS TABELA, '"&amp;UPPER(C53)&amp;"' AS TIPOLOGIA_TESTE,'"&amp;D53&amp;"' AS TABELA_LT,'N/A' AS TABELA_SIMUL,'"&amp;F53&amp;"' AS CAMPO, "&amp;"'${ref_date}' AS REF_DATE, COUNT(*) AS NUM_REG, SUM(IF(REGEXP_REPLACE(TRIM(CAST(X."&amp;F53&amp;" AS STRING)),'[^a-zA-Z0-9_\\s]','') &lt;&gt;TRIM(CAST(X."&amp;F53&amp;" AS STRING)),1,0)) AS NUM_REG_DIF,'"&amp;MAX('ID1&amp;5'!K:K)+1&amp;"' AS ID_EXEC, CURRENT_TIMESTAMP() AS TIME_EXEC FROM "&amp;I53,
IF(C53="Missings",+"SELECT '"&amp;UPPER(B53)&amp;"' AS TABELA, '"&amp;UPPER(C53)&amp;"' AS TIPOLOGIA_TESTE,'"&amp;D53&amp;"' AS TABELA_LT,'N/A' AS TABELA_SIMUL,'"&amp;F53&amp;"' AS CAMPO, "&amp;"'${ref_date}' AS REF_DATE, COUNT(*) AS NUM_REG, SUM(IF(TRIM(CAST(X."&amp;F53&amp;" AS STRING)) IN ('0000-00-00','0001-01-01','9999-12-31','MISS','00000','99999999999','99999999999.00','99999999999.000000'),1,0)) AS NUM_REG_DIF,'"&amp;MAX('ID1&amp;5'!K:K)+1&amp;"' AS ID_EXEC, CURRENT_TIMESTAMP() AS TIME_EXEC FROM "&amp;I53,
IF(C53="Not applicable",+"SELECT '"&amp;UPPER(B53)&amp;"' AS TABELA, '"&amp;UPPER(C53)&amp;"' AS TIPOLOGIA_TESTE,'"&amp;D53&amp;"' AS TABELA_LT,'N/A' AS TABELA_SIMUL,'"&amp;F53&amp;"' AS CAMPO, "&amp;"'${ref_date}' AS REF_DATE, COUNT(*) AS NUM_REG, SUM(IF(TRIM(CAST(X."&amp;F53&amp;" AS STRING)) IN ('N/A','11111111111','11111111111.00','11111111111.000000','1111-11-11'),1,0)) AS NUM_REG_DIF,'"&amp;MAX('ID1&amp;5'!K:K)+1&amp;"' AS ID_EXEC, CURRENT_TIMESTAMP() AS TIME_EXEC FROM "&amp;I53,
IF(C53="Valores extremos",+"SELECT '"&amp;UPPER(B53)&amp;"' AS TABELA, '"&amp;UPPER(C53)&amp;"' AS TIPOLOGIA_TESTE,'"&amp;D53&amp;"' AS TABELA_LT,'N/A' AS TABELA_SIMUL,'"&amp;F53&amp;"' AS CAMPO, "&amp;"'${ref_date}' AS REF_DATE, CAST(MIN("&amp;F53&amp;") AS STRING) AS VALOR_MIN, CAST(MAX("&amp;F53&amp;") AS STRING) AS VALOR_MAX,'"&amp;MAX('ID1&amp;5'!K:K)+1&amp;"' AS ID_EXEC, CURRENT_TIMESTAMP() AS TIME_EXEC FROM "&amp;MID(I53,1,LEN(I53)-2)&amp;" AND CAST("&amp;F53&amp;"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TABELA_SIMUL,'valor_bruto_off_prvs' AS CAMPO, '${ref_date}' AS REF_DATE, COUNT(*) AS NUM_REG, SUM(IF(COALESCE(CAST(X.valor_bruto_off_prvs AS STRING),'')&lt;&gt;COALESCE(CAST(Y.valor_bruto_off_prvs_SIMUL AS STRING),'') OR (X.valor_bruto_off_prvs IS NULL AND Y.valor_bruto_off_prvs_SIMUL IS NOT NULL ) OR (X.valor_bruto_off_prvs IS NOT NULL AND Y.valor_bruto_off_prvs_SIMUL IS NULL),1,0)) AS NUM_REG_DIF,'1' AS ID_EXEC, CURRENT_TIMESTAMP() AS TIME_EXEC FROM (SELECT a, valor_bruto_off_prvs FROM BU_LOANTAPE_WORK.LT001_UNIV_OPER WHERE ref_date='${ref_date}' AND nome_perimetro='Individual Local' AND segmento='ESTR' AND ambito='SRB_MBDT' AND entidade='00100')X INNER JOIN (SELECT a AS a_SIMUL, valor_bruto_off_prvs AS valor_bruto_off_prvs_SIMUL FROM BU_LOANTAPE_WORK.SIMUL_LT001 WHERE ref_date='${ref_date}' AND nome_perimetro='Individual Local' AND segmento='ESTR' AND ambito='PILAR3' AND entidade='00100')Y ON X.A=Y.A_SIMUL</v>
      </c>
      <c r="M53" s="36" t="str">
        <f t="shared" si="2"/>
        <v>UNION ALL SELECT 'UNIV_OPER' AS TABELA, 'COERÊNCIA' AS TIPOLOGIA_TESTE,'BU_LOANTAPE_WORK.LT001_UNIV_OPER' AS TABELA_LT,'BU_LOANTAPE_WORK.SIMUL_LT001' AS TABELA_SIMUL,'valor_bruto_off_prvs' AS CAMPO, '${ref_date}' AS REF_DATE, COUNT(*) AS NUM_REG, SUM(IF(COALESCE(CAST(X.valor_bruto_off_prvs AS STRING),'')&lt;&gt;COALESCE(CAST(Y.valor_bruto_off_prvs_SIMUL AS STRING),'') OR (X.valor_bruto_off_prvs IS NULL AND Y.valor_bruto_off_prvs_SIMUL IS NOT NULL ) OR (X.valor_bruto_off_prvs IS NOT NULL AND Y.valor_bruto_off_prvs_SIMUL IS NULL),1,0)) AS NUM_REG_DIF,'1' AS ID_EXEC, CURRENT_TIMESTAMP() AS TIME_EXEC FROM (SELECT a, valor_bruto_off_prvs FROM BU_LOANTAPE_WORK.LT001_UNIV_OPER WHERE ref_date='${ref_date}' AND nome_perimetro='Individual Local' AND segmento='ESTR' AND ambito='SRB_MBDT' AND entidade='00100')X INNER JOIN (SELECT a AS a_SIMUL, valor_bruto_off_prvs AS valor_bruto_off_prvs_SIMUL FROM BU_LOANTAPE_WORK.SIMUL_LT001 WHERE ref_date='${ref_date}' AND nome_perimetro='Individual Local' AND segmento='ESTR' AND ambito='PILAR3' AND entidade='00100')Y ON X.A=Y.A_SIMUL</v>
      </c>
      <c r="N53" s="38" t="s">
        <v>40</v>
      </c>
    </row>
    <row r="54" spans="1:14">
      <c r="A54" s="60" t="str">
        <f t="shared" si="1"/>
        <v>UNIV_OPERprovisao_on_prvs</v>
      </c>
      <c r="B54" s="34" t="s">
        <v>1092</v>
      </c>
      <c r="C54" s="34" t="s">
        <v>5</v>
      </c>
      <c r="D54" s="34" t="str">
        <f>+UPPER('0. Instruções'!$D$35&amp;"."&amp;VLOOKUP(B54,'0. Instruções'!$C$27:$D$32,2,FALSE))</f>
        <v>BU_LOANTAPE_WORK.LT001_UNIV_OPER</v>
      </c>
      <c r="E54" s="34" t="str">
        <f>+UPPER('0. Instruções'!$D$36&amp;"."&amp;VLOOKUP(B54,'0. Instruções'!$C$27:$E$32,3,FALSE))</f>
        <v>BU_LOANTAPE_WORK.SIMUL_LT001</v>
      </c>
      <c r="F54" s="34" t="s">
        <v>1138</v>
      </c>
      <c r="G54" s="34"/>
      <c r="H54" s="34"/>
      <c r="I54" s="34" t="str">
        <f>"(SELECT "&amp;VLOOKUP(B54,'0. Instruções'!$C$27:$G$32,4,FALSE)&amp;", "&amp;F54&amp;" FROM "&amp;D54&amp;" WHERE "&amp;'0. Instruções'!$D$42&amp;")X"</f>
        <v>(SELECT a, provisao_on_prvs FROM BU_LOANTAPE_WORK.LT001_UNIV_OPER WHERE ref_date='${ref_date}' AND nome_perimetro='Individual Local' AND segmento='ESTR' AND ambito='SRB_MBDT' AND entidade='00100')X</v>
      </c>
      <c r="J54" s="34" t="str">
        <f>"(SELECT "&amp;VLOOKUP(B54,'0. Instruções'!$C$27:$G$32,4,FALSE)&amp;" AS "&amp;VLOOKUP(B54,'0. Instruções'!$C$27:$G$32,4,FALSE)&amp;"_SIMUL, "&amp;F54&amp;" AS "&amp;F54&amp;"_SIMUL FROM "&amp;E54&amp;" WHERE "&amp;'0. Instruções'!$D$43&amp;")Y"</f>
        <v>(SELECT a AS a_SIMUL, provisao_on_prvs AS provisao_on_prvs_SIMUL FROM BU_LOANTAPE_WORK.SIMUL_LT001 WHERE ref_date='${ref_date}' AND nome_perimetro='Individual Local' AND segmento='ESTR' AND ambito='PILAR3' AND entidade='00100')Y</v>
      </c>
      <c r="K54" s="35" t="str">
        <f>+UPPER("ON X."&amp;VLOOKUP(B54,'0. Instruções'!$C$27:$G$32,4,FALSE)&amp;"=Y."&amp;VLOOKUP(B54,'0. Instruções'!$C$27:$G$32,4,FALSE)&amp;"_SIMUL")</f>
        <v>ON X.A=Y.A_SIMUL</v>
      </c>
      <c r="L54" s="35" t="str">
        <f>+IF(C54="Coerência", +IF(LEFT(G54,5)="FLOAT","SELECT '"&amp;UPPER(B54)&amp;"' AS TABELA, '"&amp;UPPER(C54)&amp;"' AS TIPOLOGIA_TESTE,'"&amp;D54&amp;"' AS TABELA_LT,'"&amp;E54&amp;"' AS TABELA_SIMUL,'"&amp;F54&amp;"' AS CAMPO, "&amp;"'${ref_date}' AS REF_DATE, COUNT(*) AS NUM_REG, SUM(IF((ABS(COALESCE(CAST(X."&amp;F54&amp;" AS DECIMAL(18,6)),0)-COALESCE(CAST(Y."&amp;F54&amp;"_SIMUL AS DECIMAL(18,6)),0))&gt;0.000001) OR (X."&amp;F54&amp;" IS NULL AND Y."&amp;F54&amp;"_SIMUL IS NOT NULL ) OR (X."&amp;F54&amp;" IS NOT NULL AND Y."&amp;F54&amp;"_SIMUL IS NULL),1,0)) AS NUM_REG_DIF,'"&amp;MAX('ID1&amp;5'!K:K)+1&amp;"' AS ID_EXEC, CURRENT_TIMESTAMP() AS TIME_EXEC FROM "&amp;I54&amp;" INNER JOIN "&amp;J54&amp;" "&amp;K54,"SELECT '"&amp;UPPER(B54)&amp;"' AS TABELA, '"&amp;UPPER(C54)&amp;"' AS TIPOLOGIA_TESTE,'"&amp;D54&amp;"' AS TABELA_LT,'"&amp;E54&amp;"' AS TABELA_SIMUL,'"&amp;F54&amp;"' AS CAMPO, "&amp;"'${ref_date}' AS REF_DATE, COUNT(*) AS NUM_REG, SUM(IF(COALESCE(CAST(X."&amp;F54&amp;" AS STRING),'')&lt;&gt;COALESCE(CAST(Y."&amp;F54&amp;"_SIMUL AS STRING),'') OR (X."&amp;F54&amp;" IS NULL AND Y."&amp;F54&amp;"_SIMUL IS NOT NULL ) OR (X."&amp;F54&amp;" IS NOT NULL AND Y."&amp;F54&amp;"_SIMUL IS NULL),1,0)) AS NUM_REG_DIF,'"&amp;MAX('ID1&amp;5'!L:L)+1&amp;"' AS ID_EXEC, CURRENT_TIMESTAMP() AS TIME_EXEC FROM "&amp;I54&amp;" INNER JOIN "&amp;J54&amp;" "&amp;K54),
IF(C54="Validade",+IF(G54="Code List","SELECT '"&amp;UPPER(B54)&amp;"' AS TABELA, '"&amp;UPPER(C54)&amp;"' AS TIPOLOGIA_TESTE,'"&amp;D54&amp;"' AS TABELA_LT,'N/A' AS TABELA_SIMUL,'"&amp;F54&amp;"' AS CAMPO, "&amp;"'${ref_date}' AS REF_DATE, COUNT(*) AS NUM_REG, SUM(IF(TRIM(CAST(X."&amp;F54&amp;" AS STRING))='' OR TRIM(CAST(X."&amp;F54&amp;" AS STRING)) IS NULL OR CAST(X."&amp;F54&amp;" AS STRING) NOT "&amp;H54&amp;",1,0)) AS NUM_REG_DIF,'"&amp;MAX('ID1&amp;5'!K:K)+1&amp;"' AS ID_EXEC, CURRENT_TIMESTAMP() AS TIME_EXEC FROM "&amp;I54,"SELECT '"&amp;UPPER(B54)&amp;"' AS TABELA, '"&amp;UPPER(C54)&amp;"' AS TIPOLOGIA_TESTE,'"&amp;D54&amp;"' AS TABELA_LT,'N/A' AS TABELA_SIMUL,'"&amp;F54&amp;"' AS CAMPO, "&amp;"'${ref_date}' AS REF_DATE, COUNT(*) AS NUM_REG, SUM(IF(TRIM(CAST(X."&amp;F54&amp;" AS STRING))='' OR TRIM(CAST(X."&amp;F54&amp;" AS STRING)) IS NULL,1,0)) AS NUM_REG_DIF,'"&amp;MAX('ID1&amp;5'!K:K)+1&amp;"' AS ID_EXEC, CURRENT_TIMESTAMP() AS TIME_EXEC FROM "&amp;I54),
IF(C54="Caracteres Especiais",+"SELECT '"&amp;UPPER(B54)&amp;"' AS TABELA, '"&amp;UPPER(C54)&amp;"' AS TIPOLOGIA_TESTE,'"&amp;D54&amp;"' AS TABELA_LT,'N/A' AS TABELA_SIMUL,'"&amp;F54&amp;"' AS CAMPO, "&amp;"'${ref_date}' AS REF_DATE, COUNT(*) AS NUM_REG, SUM(IF(REGEXP_REPLACE(TRIM(CAST(X."&amp;F54&amp;" AS STRING)),'[^a-zA-Z0-9_\\s]','') &lt;&gt;TRIM(CAST(X."&amp;F54&amp;" AS STRING)),1,0)) AS NUM_REG_DIF,'"&amp;MAX('ID1&amp;5'!K:K)+1&amp;"' AS ID_EXEC, CURRENT_TIMESTAMP() AS TIME_EXEC FROM "&amp;I54,
IF(C54="Missings",+"SELECT '"&amp;UPPER(B54)&amp;"' AS TABELA, '"&amp;UPPER(C54)&amp;"' AS TIPOLOGIA_TESTE,'"&amp;D54&amp;"' AS TABELA_LT,'N/A' AS TABELA_SIMUL,'"&amp;F54&amp;"' AS CAMPO, "&amp;"'${ref_date}' AS REF_DATE, COUNT(*) AS NUM_REG, SUM(IF(TRIM(CAST(X."&amp;F54&amp;" AS STRING)) IN ('0000-00-00','0001-01-01','9999-12-31','MISS','00000','99999999999','99999999999.00','99999999999.000000'),1,0)) AS NUM_REG_DIF,'"&amp;MAX('ID1&amp;5'!K:K)+1&amp;"' AS ID_EXEC, CURRENT_TIMESTAMP() AS TIME_EXEC FROM "&amp;I54,
IF(C54="Not applicable",+"SELECT '"&amp;UPPER(B54)&amp;"' AS TABELA, '"&amp;UPPER(C54)&amp;"' AS TIPOLOGIA_TESTE,'"&amp;D54&amp;"' AS TABELA_LT,'N/A' AS TABELA_SIMUL,'"&amp;F54&amp;"' AS CAMPO, "&amp;"'${ref_date}' AS REF_DATE, COUNT(*) AS NUM_REG, SUM(IF(TRIM(CAST(X."&amp;F54&amp;" AS STRING)) IN ('N/A','11111111111','11111111111.00','11111111111.000000','1111-11-11'),1,0)) AS NUM_REG_DIF,'"&amp;MAX('ID1&amp;5'!K:K)+1&amp;"' AS ID_EXEC, CURRENT_TIMESTAMP() AS TIME_EXEC FROM "&amp;I54,
IF(C54="Valores extremos",+"SELECT '"&amp;UPPER(B54)&amp;"' AS TABELA, '"&amp;UPPER(C54)&amp;"' AS TIPOLOGIA_TESTE,'"&amp;D54&amp;"' AS TABELA_LT,'N/A' AS TABELA_SIMUL,'"&amp;F54&amp;"' AS CAMPO, "&amp;"'${ref_date}' AS REF_DATE, CAST(MIN("&amp;F54&amp;") AS STRING) AS VALOR_MIN, CAST(MAX("&amp;F54&amp;") AS STRING) AS VALOR_MAX,'"&amp;MAX('ID1&amp;5'!K:K)+1&amp;"' AS ID_EXEC, CURRENT_TIMESTAMP() AS TIME_EXEC FROM "&amp;MID(I54,1,LEN(I54)-2)&amp;" AND CAST("&amp;F54&amp;"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TABELA_SIMUL,'provisao_on_prvs' AS CAMPO, '${ref_date}' AS REF_DATE, COUNT(*) AS NUM_REG, SUM(IF(COALESCE(CAST(X.provisao_on_prvs AS STRING),'')&lt;&gt;COALESCE(CAST(Y.provisao_on_prvs_SIMUL AS STRING),'') OR (X.provisao_on_prvs IS NULL AND Y.provisao_on_prvs_SIMUL IS NOT NULL ) OR (X.provisao_on_prvs IS NOT NULL AND Y.provisao_on_prvs_SIMUL IS NULL),1,0)) AS NUM_REG_DIF,'1' AS ID_EXEC, CURRENT_TIMESTAMP() AS TIME_EXEC FROM (SELECT a, provisao_on_prvs FROM BU_LOANTAPE_WORK.LT001_UNIV_OPER WHERE ref_date='${ref_date}' AND nome_perimetro='Individual Local' AND segmento='ESTR' AND ambito='SRB_MBDT' AND entidade='00100')X INNER JOIN (SELECT a AS a_SIMUL, provisao_on_prvs AS provisao_on_prvs_SIMUL FROM BU_LOANTAPE_WORK.SIMUL_LT001 WHERE ref_date='${ref_date}' AND nome_perimetro='Individual Local' AND segmento='ESTR' AND ambito='PILAR3' AND entidade='00100')Y ON X.A=Y.A_SIMUL</v>
      </c>
      <c r="M54" s="36" t="str">
        <f t="shared" si="2"/>
        <v>UNION ALL SELECT 'UNIV_OPER' AS TABELA, 'COERÊNCIA' AS TIPOLOGIA_TESTE,'BU_LOANTAPE_WORK.LT001_UNIV_OPER' AS TABELA_LT,'BU_LOANTAPE_WORK.SIMUL_LT001' AS TABELA_SIMUL,'provisao_on_prvs' AS CAMPO, '${ref_date}' AS REF_DATE, COUNT(*) AS NUM_REG, SUM(IF(COALESCE(CAST(X.provisao_on_prvs AS STRING),'')&lt;&gt;COALESCE(CAST(Y.provisao_on_prvs_SIMUL AS STRING),'') OR (X.provisao_on_prvs IS NULL AND Y.provisao_on_prvs_SIMUL IS NOT NULL ) OR (X.provisao_on_prvs IS NOT NULL AND Y.provisao_on_prvs_SIMUL IS NULL),1,0)) AS NUM_REG_DIF,'1' AS ID_EXEC, CURRENT_TIMESTAMP() AS TIME_EXEC FROM (SELECT a, provisao_on_prvs FROM BU_LOANTAPE_WORK.LT001_UNIV_OPER WHERE ref_date='${ref_date}' AND nome_perimetro='Individual Local' AND segmento='ESTR' AND ambito='SRB_MBDT' AND entidade='00100')X INNER JOIN (SELECT a AS a_SIMUL, provisao_on_prvs AS provisao_on_prvs_SIMUL FROM BU_LOANTAPE_WORK.SIMUL_LT001 WHERE ref_date='${ref_date}' AND nome_perimetro='Individual Local' AND segmento='ESTR' AND ambito='PILAR3' AND entidade='00100')Y ON X.A=Y.A_SIMUL</v>
      </c>
      <c r="N54" s="38" t="s">
        <v>40</v>
      </c>
    </row>
    <row r="55" spans="1:14">
      <c r="A55" s="60" t="str">
        <f t="shared" si="1"/>
        <v>UNIV_OPERprovisao_off_prvs</v>
      </c>
      <c r="B55" s="34" t="s">
        <v>1092</v>
      </c>
      <c r="C55" s="34" t="s">
        <v>5</v>
      </c>
      <c r="D55" s="34" t="str">
        <f>+UPPER('0. Instruções'!$D$35&amp;"."&amp;VLOOKUP(B55,'0. Instruções'!$C$27:$D$32,2,FALSE))</f>
        <v>BU_LOANTAPE_WORK.LT001_UNIV_OPER</v>
      </c>
      <c r="E55" s="34" t="str">
        <f>+UPPER('0. Instruções'!$D$36&amp;"."&amp;VLOOKUP(B55,'0. Instruções'!$C$27:$E$32,3,FALSE))</f>
        <v>BU_LOANTAPE_WORK.SIMUL_LT001</v>
      </c>
      <c r="F55" s="34" t="s">
        <v>1139</v>
      </c>
      <c r="G55" s="34"/>
      <c r="H55" s="34"/>
      <c r="I55" s="34" t="str">
        <f>"(SELECT "&amp;VLOOKUP(B55,'0. Instruções'!$C$27:$G$32,4,FALSE)&amp;", "&amp;F55&amp;" FROM "&amp;D55&amp;" WHERE "&amp;'0. Instruções'!$D$42&amp;")X"</f>
        <v>(SELECT a, provisao_off_prvs FROM BU_LOANTAPE_WORK.LT001_UNIV_OPER WHERE ref_date='${ref_date}' AND nome_perimetro='Individual Local' AND segmento='ESTR' AND ambito='SRB_MBDT' AND entidade='00100')X</v>
      </c>
      <c r="J55" s="34" t="str">
        <f>"(SELECT "&amp;VLOOKUP(B55,'0. Instruções'!$C$27:$G$32,4,FALSE)&amp;" AS "&amp;VLOOKUP(B55,'0. Instruções'!$C$27:$G$32,4,FALSE)&amp;"_SIMUL, "&amp;F55&amp;" AS "&amp;F55&amp;"_SIMUL FROM "&amp;E55&amp;" WHERE "&amp;'0. Instruções'!$D$43&amp;")Y"</f>
        <v>(SELECT a AS a_SIMUL, provisao_off_prvs AS provisao_off_prvs_SIMUL FROM BU_LOANTAPE_WORK.SIMUL_LT001 WHERE ref_date='${ref_date}' AND nome_perimetro='Individual Local' AND segmento='ESTR' AND ambito='PILAR3' AND entidade='00100')Y</v>
      </c>
      <c r="K55" s="35" t="str">
        <f>+UPPER("ON X."&amp;VLOOKUP(B55,'0. Instruções'!$C$27:$G$32,4,FALSE)&amp;"=Y."&amp;VLOOKUP(B55,'0. Instruções'!$C$27:$G$32,4,FALSE)&amp;"_SIMUL")</f>
        <v>ON X.A=Y.A_SIMUL</v>
      </c>
      <c r="L55" s="35" t="str">
        <f>+IF(C55="Coerência", +IF(LEFT(G55,5)="FLOAT","SELECT '"&amp;UPPER(B55)&amp;"' AS TABELA, '"&amp;UPPER(C55)&amp;"' AS TIPOLOGIA_TESTE,'"&amp;D55&amp;"' AS TABELA_LT,'"&amp;E55&amp;"' AS TABELA_SIMUL,'"&amp;F55&amp;"' AS CAMPO, "&amp;"'${ref_date}' AS REF_DATE, COUNT(*) AS NUM_REG, SUM(IF((ABS(COALESCE(CAST(X."&amp;F55&amp;" AS DECIMAL(18,6)),0)-COALESCE(CAST(Y."&amp;F55&amp;"_SIMUL AS DECIMAL(18,6)),0))&gt;0.000001) OR (X."&amp;F55&amp;" IS NULL AND Y."&amp;F55&amp;"_SIMUL IS NOT NULL ) OR (X."&amp;F55&amp;" IS NOT NULL AND Y."&amp;F55&amp;"_SIMUL IS NULL),1,0)) AS NUM_REG_DIF,'"&amp;MAX('ID1&amp;5'!K:K)+1&amp;"' AS ID_EXEC, CURRENT_TIMESTAMP() AS TIME_EXEC FROM "&amp;I55&amp;" INNER JOIN "&amp;J55&amp;" "&amp;K55,"SELECT '"&amp;UPPER(B55)&amp;"' AS TABELA, '"&amp;UPPER(C55)&amp;"' AS TIPOLOGIA_TESTE,'"&amp;D55&amp;"' AS TABELA_LT,'"&amp;E55&amp;"' AS TABELA_SIMUL,'"&amp;F55&amp;"' AS CAMPO, "&amp;"'${ref_date}' AS REF_DATE, COUNT(*) AS NUM_REG, SUM(IF(COALESCE(CAST(X."&amp;F55&amp;" AS STRING),'')&lt;&gt;COALESCE(CAST(Y."&amp;F55&amp;"_SIMUL AS STRING),'') OR (X."&amp;F55&amp;" IS NULL AND Y."&amp;F55&amp;"_SIMUL IS NOT NULL ) OR (X."&amp;F55&amp;" IS NOT NULL AND Y."&amp;F55&amp;"_SIMUL IS NULL),1,0)) AS NUM_REG_DIF,'"&amp;MAX('ID1&amp;5'!L:L)+1&amp;"' AS ID_EXEC, CURRENT_TIMESTAMP() AS TIME_EXEC FROM "&amp;I55&amp;" INNER JOIN "&amp;J55&amp;" "&amp;K55),
IF(C55="Validade",+IF(G55="Code List","SELECT '"&amp;UPPER(B55)&amp;"' AS TABELA, '"&amp;UPPER(C55)&amp;"' AS TIPOLOGIA_TESTE,'"&amp;D55&amp;"' AS TABELA_LT,'N/A' AS TABELA_SIMUL,'"&amp;F55&amp;"' AS CAMPO, "&amp;"'${ref_date}' AS REF_DATE, COUNT(*) AS NUM_REG, SUM(IF(TRIM(CAST(X."&amp;F55&amp;" AS STRING))='' OR TRIM(CAST(X."&amp;F55&amp;" AS STRING)) IS NULL OR CAST(X."&amp;F55&amp;" AS STRING) NOT "&amp;H55&amp;",1,0)) AS NUM_REG_DIF,'"&amp;MAX('ID1&amp;5'!K:K)+1&amp;"' AS ID_EXEC, CURRENT_TIMESTAMP() AS TIME_EXEC FROM "&amp;I55,"SELECT '"&amp;UPPER(B55)&amp;"' AS TABELA, '"&amp;UPPER(C55)&amp;"' AS TIPOLOGIA_TESTE,'"&amp;D55&amp;"' AS TABELA_LT,'N/A' AS TABELA_SIMUL,'"&amp;F55&amp;"' AS CAMPO, "&amp;"'${ref_date}' AS REF_DATE, COUNT(*) AS NUM_REG, SUM(IF(TRIM(CAST(X."&amp;F55&amp;" AS STRING))='' OR TRIM(CAST(X."&amp;F55&amp;" AS STRING)) IS NULL,1,0)) AS NUM_REG_DIF,'"&amp;MAX('ID1&amp;5'!K:K)+1&amp;"' AS ID_EXEC, CURRENT_TIMESTAMP() AS TIME_EXEC FROM "&amp;I55),
IF(C55="Caracteres Especiais",+"SELECT '"&amp;UPPER(B55)&amp;"' AS TABELA, '"&amp;UPPER(C55)&amp;"' AS TIPOLOGIA_TESTE,'"&amp;D55&amp;"' AS TABELA_LT,'N/A' AS TABELA_SIMUL,'"&amp;F55&amp;"' AS CAMPO, "&amp;"'${ref_date}' AS REF_DATE, COUNT(*) AS NUM_REG, SUM(IF(REGEXP_REPLACE(TRIM(CAST(X."&amp;F55&amp;" AS STRING)),'[^a-zA-Z0-9_\\s]','') &lt;&gt;TRIM(CAST(X."&amp;F55&amp;" AS STRING)),1,0)) AS NUM_REG_DIF,'"&amp;MAX('ID1&amp;5'!K:K)+1&amp;"' AS ID_EXEC, CURRENT_TIMESTAMP() AS TIME_EXEC FROM "&amp;I55,
IF(C55="Missings",+"SELECT '"&amp;UPPER(B55)&amp;"' AS TABELA, '"&amp;UPPER(C55)&amp;"' AS TIPOLOGIA_TESTE,'"&amp;D55&amp;"' AS TABELA_LT,'N/A' AS TABELA_SIMUL,'"&amp;F55&amp;"' AS CAMPO, "&amp;"'${ref_date}' AS REF_DATE, COUNT(*) AS NUM_REG, SUM(IF(TRIM(CAST(X."&amp;F55&amp;" AS STRING)) IN ('0000-00-00','0001-01-01','9999-12-31','MISS','00000','99999999999','99999999999.00','99999999999.000000'),1,0)) AS NUM_REG_DIF,'"&amp;MAX('ID1&amp;5'!K:K)+1&amp;"' AS ID_EXEC, CURRENT_TIMESTAMP() AS TIME_EXEC FROM "&amp;I55,
IF(C55="Not applicable",+"SELECT '"&amp;UPPER(B55)&amp;"' AS TABELA, '"&amp;UPPER(C55)&amp;"' AS TIPOLOGIA_TESTE,'"&amp;D55&amp;"' AS TABELA_LT,'N/A' AS TABELA_SIMUL,'"&amp;F55&amp;"' AS CAMPO, "&amp;"'${ref_date}' AS REF_DATE, COUNT(*) AS NUM_REG, SUM(IF(TRIM(CAST(X."&amp;F55&amp;" AS STRING)) IN ('N/A','11111111111','11111111111.00','11111111111.000000','1111-11-11'),1,0)) AS NUM_REG_DIF,'"&amp;MAX('ID1&amp;5'!K:K)+1&amp;"' AS ID_EXEC, CURRENT_TIMESTAMP() AS TIME_EXEC FROM "&amp;I55,
IF(C55="Valores extremos",+"SELECT '"&amp;UPPER(B55)&amp;"' AS TABELA, '"&amp;UPPER(C55)&amp;"' AS TIPOLOGIA_TESTE,'"&amp;D55&amp;"' AS TABELA_LT,'N/A' AS TABELA_SIMUL,'"&amp;F55&amp;"' AS CAMPO, "&amp;"'${ref_date}' AS REF_DATE, CAST(MIN("&amp;F55&amp;") AS STRING) AS VALOR_MIN, CAST(MAX("&amp;F55&amp;") AS STRING) AS VALOR_MAX,'"&amp;MAX('ID1&amp;5'!K:K)+1&amp;"' AS ID_EXEC, CURRENT_TIMESTAMP() AS TIME_EXEC FROM "&amp;MID(I55,1,LEN(I55)-2)&amp;" AND CAST("&amp;F55&amp;"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TABELA_SIMUL,'provisao_off_prvs' AS CAMPO, '${ref_date}' AS REF_DATE, COUNT(*) AS NUM_REG, SUM(IF(COALESCE(CAST(X.provisao_off_prvs AS STRING),'')&lt;&gt;COALESCE(CAST(Y.provisao_off_prvs_SIMUL AS STRING),'') OR (X.provisao_off_prvs IS NULL AND Y.provisao_off_prvs_SIMUL IS NOT NULL ) OR (X.provisao_off_prvs IS NOT NULL AND Y.provisao_off_prvs_SIMUL IS NULL),1,0)) AS NUM_REG_DIF,'1' AS ID_EXEC, CURRENT_TIMESTAMP() AS TIME_EXEC FROM (SELECT a, provisao_off_prvs FROM BU_LOANTAPE_WORK.LT001_UNIV_OPER WHERE ref_date='${ref_date}' AND nome_perimetro='Individual Local' AND segmento='ESTR' AND ambito='SRB_MBDT' AND entidade='00100')X INNER JOIN (SELECT a AS a_SIMUL, provisao_off_prvs AS provisao_off_prvs_SIMUL FROM BU_LOANTAPE_WORK.SIMUL_LT001 WHERE ref_date='${ref_date}' AND nome_perimetro='Individual Local' AND segmento='ESTR' AND ambito='PILAR3' AND entidade='00100')Y ON X.A=Y.A_SIMUL</v>
      </c>
      <c r="M55" s="36" t="str">
        <f t="shared" si="2"/>
        <v>UNION ALL SELECT 'UNIV_OPER' AS TABELA, 'COERÊNCIA' AS TIPOLOGIA_TESTE,'BU_LOANTAPE_WORK.LT001_UNIV_OPER' AS TABELA_LT,'BU_LOANTAPE_WORK.SIMUL_LT001' AS TABELA_SIMUL,'provisao_off_prvs' AS CAMPO, '${ref_date}' AS REF_DATE, COUNT(*) AS NUM_REG, SUM(IF(COALESCE(CAST(X.provisao_off_prvs AS STRING),'')&lt;&gt;COALESCE(CAST(Y.provisao_off_prvs_SIMUL AS STRING),'') OR (X.provisao_off_prvs IS NULL AND Y.provisao_off_prvs_SIMUL IS NOT NULL ) OR (X.provisao_off_prvs IS NOT NULL AND Y.provisao_off_prvs_SIMUL IS NULL),1,0)) AS NUM_REG_DIF,'1' AS ID_EXEC, CURRENT_TIMESTAMP() AS TIME_EXEC FROM (SELECT a, provisao_off_prvs FROM BU_LOANTAPE_WORK.LT001_UNIV_OPER WHERE ref_date='${ref_date}' AND nome_perimetro='Individual Local' AND segmento='ESTR' AND ambito='SRB_MBDT' AND entidade='00100')X INNER JOIN (SELECT a AS a_SIMUL, provisao_off_prvs AS provisao_off_prvs_SIMUL FROM BU_LOANTAPE_WORK.SIMUL_LT001 WHERE ref_date='${ref_date}' AND nome_perimetro='Individual Local' AND segmento='ESTR' AND ambito='PILAR3' AND entidade='00100')Y ON X.A=Y.A_SIMUL</v>
      </c>
      <c r="N55" s="38" t="s">
        <v>40</v>
      </c>
    </row>
    <row r="56" spans="1:14">
      <c r="A56" s="60" t="str">
        <f t="shared" si="1"/>
        <v>UNIV_OPERjuros_corridos</v>
      </c>
      <c r="B56" s="34" t="s">
        <v>1092</v>
      </c>
      <c r="C56" s="34" t="s">
        <v>5</v>
      </c>
      <c r="D56" s="34" t="str">
        <f>+UPPER('0. Instruções'!$D$35&amp;"."&amp;VLOOKUP(B56,'0. Instruções'!$C$27:$D$32,2,FALSE))</f>
        <v>BU_LOANTAPE_WORK.LT001_UNIV_OPER</v>
      </c>
      <c r="E56" s="34" t="str">
        <f>+UPPER('0. Instruções'!$D$36&amp;"."&amp;VLOOKUP(B56,'0. Instruções'!$C$27:$E$32,3,FALSE))</f>
        <v>BU_LOANTAPE_WORK.SIMUL_LT001</v>
      </c>
      <c r="F56" s="34" t="s">
        <v>1140</v>
      </c>
      <c r="G56" s="34"/>
      <c r="H56" s="34"/>
      <c r="I56" s="34" t="str">
        <f>"(SELECT "&amp;VLOOKUP(B56,'0. Instruções'!$C$27:$G$32,4,FALSE)&amp;", "&amp;F56&amp;" FROM "&amp;D56&amp;" WHERE "&amp;'0. Instruções'!$D$42&amp;")X"</f>
        <v>(SELECT a, juros_corridos FROM BU_LOANTAPE_WORK.LT001_UNIV_OPER WHERE ref_date='${ref_date}' AND nome_perimetro='Individual Local' AND segmento='ESTR' AND ambito='SRB_MBDT' AND entidade='00100')X</v>
      </c>
      <c r="J56" s="34" t="str">
        <f>"(SELECT "&amp;VLOOKUP(B56,'0. Instruções'!$C$27:$G$32,4,FALSE)&amp;" AS "&amp;VLOOKUP(B56,'0. Instruções'!$C$27:$G$32,4,FALSE)&amp;"_SIMUL, "&amp;F56&amp;" AS "&amp;F56&amp;"_SIMUL FROM "&amp;E56&amp;" WHERE "&amp;'0. Instruções'!$D$43&amp;")Y"</f>
        <v>(SELECT a AS a_SIMUL, juros_corridos AS juros_corridos_SIMUL FROM BU_LOANTAPE_WORK.SIMUL_LT001 WHERE ref_date='${ref_date}' AND nome_perimetro='Individual Local' AND segmento='ESTR' AND ambito='PILAR3' AND entidade='00100')Y</v>
      </c>
      <c r="K56" s="35" t="str">
        <f>+UPPER("ON X."&amp;VLOOKUP(B56,'0. Instruções'!$C$27:$G$32,4,FALSE)&amp;"=Y."&amp;VLOOKUP(B56,'0. Instruções'!$C$27:$G$32,4,FALSE)&amp;"_SIMUL")</f>
        <v>ON X.A=Y.A_SIMUL</v>
      </c>
      <c r="L56" s="35" t="str">
        <f>+IF(C56="Coerência", +IF(LEFT(G56,5)="FLOAT","SELECT '"&amp;UPPER(B56)&amp;"' AS TABELA, '"&amp;UPPER(C56)&amp;"' AS TIPOLOGIA_TESTE,'"&amp;D56&amp;"' AS TABELA_LT,'"&amp;E56&amp;"' AS TABELA_SIMUL,'"&amp;F56&amp;"' AS CAMPO, "&amp;"'${ref_date}' AS REF_DATE, COUNT(*) AS NUM_REG, SUM(IF((ABS(COALESCE(CAST(X."&amp;F56&amp;" AS DECIMAL(18,6)),0)-COALESCE(CAST(Y."&amp;F56&amp;"_SIMUL AS DECIMAL(18,6)),0))&gt;0.000001) OR (X."&amp;F56&amp;" IS NULL AND Y."&amp;F56&amp;"_SIMUL IS NOT NULL ) OR (X."&amp;F56&amp;" IS NOT NULL AND Y."&amp;F56&amp;"_SIMUL IS NULL),1,0)) AS NUM_REG_DIF,'"&amp;MAX('ID1&amp;5'!K:K)+1&amp;"' AS ID_EXEC, CURRENT_TIMESTAMP() AS TIME_EXEC FROM "&amp;I56&amp;" INNER JOIN "&amp;J56&amp;" "&amp;K56,"SELECT '"&amp;UPPER(B56)&amp;"' AS TABELA, '"&amp;UPPER(C56)&amp;"' AS TIPOLOGIA_TESTE,'"&amp;D56&amp;"' AS TABELA_LT,'"&amp;E56&amp;"' AS TABELA_SIMUL,'"&amp;F56&amp;"' AS CAMPO, "&amp;"'${ref_date}' AS REF_DATE, COUNT(*) AS NUM_REG, SUM(IF(COALESCE(CAST(X."&amp;F56&amp;" AS STRING),'')&lt;&gt;COALESCE(CAST(Y."&amp;F56&amp;"_SIMUL AS STRING),'') OR (X."&amp;F56&amp;" IS NULL AND Y."&amp;F56&amp;"_SIMUL IS NOT NULL ) OR (X."&amp;F56&amp;" IS NOT NULL AND Y."&amp;F56&amp;"_SIMUL IS NULL),1,0)) AS NUM_REG_DIF,'"&amp;MAX('ID1&amp;5'!L:L)+1&amp;"' AS ID_EXEC, CURRENT_TIMESTAMP() AS TIME_EXEC FROM "&amp;I56&amp;" INNER JOIN "&amp;J56&amp;" "&amp;K56),
IF(C56="Validade",+IF(G56="Code List","SELECT '"&amp;UPPER(B56)&amp;"' AS TABELA, '"&amp;UPPER(C56)&amp;"' AS TIPOLOGIA_TESTE,'"&amp;D56&amp;"' AS TABELA_LT,'N/A' AS TABELA_SIMUL,'"&amp;F56&amp;"' AS CAMPO, "&amp;"'${ref_date}' AS REF_DATE, COUNT(*) AS NUM_REG, SUM(IF(TRIM(CAST(X."&amp;F56&amp;" AS STRING))='' OR TRIM(CAST(X."&amp;F56&amp;" AS STRING)) IS NULL OR CAST(X."&amp;F56&amp;" AS STRING) NOT "&amp;H56&amp;",1,0)) AS NUM_REG_DIF,'"&amp;MAX('ID1&amp;5'!K:K)+1&amp;"' AS ID_EXEC, CURRENT_TIMESTAMP() AS TIME_EXEC FROM "&amp;I56,"SELECT '"&amp;UPPER(B56)&amp;"' AS TABELA, '"&amp;UPPER(C56)&amp;"' AS TIPOLOGIA_TESTE,'"&amp;D56&amp;"' AS TABELA_LT,'N/A' AS TABELA_SIMUL,'"&amp;F56&amp;"' AS CAMPO, "&amp;"'${ref_date}' AS REF_DATE, COUNT(*) AS NUM_REG, SUM(IF(TRIM(CAST(X."&amp;F56&amp;" AS STRING))='' OR TRIM(CAST(X."&amp;F56&amp;" AS STRING)) IS NULL,1,0)) AS NUM_REG_DIF,'"&amp;MAX('ID1&amp;5'!K:K)+1&amp;"' AS ID_EXEC, CURRENT_TIMESTAMP() AS TIME_EXEC FROM "&amp;I56),
IF(C56="Caracteres Especiais",+"SELECT '"&amp;UPPER(B56)&amp;"' AS TABELA, '"&amp;UPPER(C56)&amp;"' AS TIPOLOGIA_TESTE,'"&amp;D56&amp;"' AS TABELA_LT,'N/A' AS TABELA_SIMUL,'"&amp;F56&amp;"' AS CAMPO, "&amp;"'${ref_date}' AS REF_DATE, COUNT(*) AS NUM_REG, SUM(IF(REGEXP_REPLACE(TRIM(CAST(X."&amp;F56&amp;" AS STRING)),'[^a-zA-Z0-9_\\s]','') &lt;&gt;TRIM(CAST(X."&amp;F56&amp;" AS STRING)),1,0)) AS NUM_REG_DIF,'"&amp;MAX('ID1&amp;5'!K:K)+1&amp;"' AS ID_EXEC, CURRENT_TIMESTAMP() AS TIME_EXEC FROM "&amp;I56,
IF(C56="Missings",+"SELECT '"&amp;UPPER(B56)&amp;"' AS TABELA, '"&amp;UPPER(C56)&amp;"' AS TIPOLOGIA_TESTE,'"&amp;D56&amp;"' AS TABELA_LT,'N/A' AS TABELA_SIMUL,'"&amp;F56&amp;"' AS CAMPO, "&amp;"'${ref_date}' AS REF_DATE, COUNT(*) AS NUM_REG, SUM(IF(TRIM(CAST(X."&amp;F56&amp;" AS STRING)) IN ('0000-00-00','0001-01-01','9999-12-31','MISS','00000','99999999999','99999999999.00','99999999999.000000'),1,0)) AS NUM_REG_DIF,'"&amp;MAX('ID1&amp;5'!K:K)+1&amp;"' AS ID_EXEC, CURRENT_TIMESTAMP() AS TIME_EXEC FROM "&amp;I56,
IF(C56="Not applicable",+"SELECT '"&amp;UPPER(B56)&amp;"' AS TABELA, '"&amp;UPPER(C56)&amp;"' AS TIPOLOGIA_TESTE,'"&amp;D56&amp;"' AS TABELA_LT,'N/A' AS TABELA_SIMUL,'"&amp;F56&amp;"' AS CAMPO, "&amp;"'${ref_date}' AS REF_DATE, COUNT(*) AS NUM_REG, SUM(IF(TRIM(CAST(X."&amp;F56&amp;" AS STRING)) IN ('N/A','11111111111','11111111111.00','11111111111.000000','1111-11-11'),1,0)) AS NUM_REG_DIF,'"&amp;MAX('ID1&amp;5'!K:K)+1&amp;"' AS ID_EXEC, CURRENT_TIMESTAMP() AS TIME_EXEC FROM "&amp;I56,
IF(C56="Valores extremos",+"SELECT '"&amp;UPPER(B56)&amp;"' AS TABELA, '"&amp;UPPER(C56)&amp;"' AS TIPOLOGIA_TESTE,'"&amp;D56&amp;"' AS TABELA_LT,'N/A' AS TABELA_SIMUL,'"&amp;F56&amp;"' AS CAMPO, "&amp;"'${ref_date}' AS REF_DATE, CAST(MIN("&amp;F56&amp;") AS STRING) AS VALOR_MIN, CAST(MAX("&amp;F56&amp;") AS STRING) AS VALOR_MAX,'"&amp;MAX('ID1&amp;5'!K:K)+1&amp;"' AS ID_EXEC, CURRENT_TIMESTAMP() AS TIME_EXEC FROM "&amp;MID(I56,1,LEN(I56)-2)&amp;" AND CAST("&amp;F56&amp;"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TABELA_SIMUL,'juros_corridos' AS CAMPO, '${ref_date}' AS REF_DATE, COUNT(*) AS NUM_REG, SUM(IF(COALESCE(CAST(X.juros_corridos AS STRING),'')&lt;&gt;COALESCE(CAST(Y.juros_corridos_SIMUL AS STRING),'') OR (X.juros_corridos IS NULL AND Y.juros_corridos_SIMUL IS NOT NULL ) OR (X.juros_corridos IS NOT NULL AND Y.juros_corridos_SIMUL IS NULL),1,0)) AS NUM_REG_DIF,'1' AS ID_EXEC, CURRENT_TIMESTAMP() AS TIME_EXEC FROM (SELECT a, juros_corridos FROM BU_LOANTAPE_WORK.LT001_UNIV_OPER WHERE ref_date='${ref_date}' AND nome_perimetro='Individual Local' AND segmento='ESTR' AND ambito='SRB_MBDT' AND entidade='00100')X INNER JOIN (SELECT a AS a_SIMUL, juros_corridos AS juros_corridos_SIMUL FROM BU_LOANTAPE_WORK.SIMUL_LT001 WHERE ref_date='${ref_date}' AND nome_perimetro='Individual Local' AND segmento='ESTR' AND ambito='PILAR3' AND entidade='00100')Y ON X.A=Y.A_SIMUL</v>
      </c>
      <c r="M56" s="36" t="str">
        <f t="shared" si="2"/>
        <v>UNION ALL SELECT 'UNIV_OPER' AS TABELA, 'COERÊNCIA' AS TIPOLOGIA_TESTE,'BU_LOANTAPE_WORK.LT001_UNIV_OPER' AS TABELA_LT,'BU_LOANTAPE_WORK.SIMUL_LT001' AS TABELA_SIMUL,'juros_corridos' AS CAMPO, '${ref_date}' AS REF_DATE, COUNT(*) AS NUM_REG, SUM(IF(COALESCE(CAST(X.juros_corridos AS STRING),'')&lt;&gt;COALESCE(CAST(Y.juros_corridos_SIMUL AS STRING),'') OR (X.juros_corridos IS NULL AND Y.juros_corridos_SIMUL IS NOT NULL ) OR (X.juros_corridos IS NOT NULL AND Y.juros_corridos_SIMUL IS NULL),1,0)) AS NUM_REG_DIF,'1' AS ID_EXEC, CURRENT_TIMESTAMP() AS TIME_EXEC FROM (SELECT a, juros_corridos FROM BU_LOANTAPE_WORK.LT001_UNIV_OPER WHERE ref_date='${ref_date}' AND nome_perimetro='Individual Local' AND segmento='ESTR' AND ambito='SRB_MBDT' AND entidade='00100')X INNER JOIN (SELECT a AS a_SIMUL, juros_corridos AS juros_corridos_SIMUL FROM BU_LOANTAPE_WORK.SIMUL_LT001 WHERE ref_date='${ref_date}' AND nome_perimetro='Individual Local' AND segmento='ESTR' AND ambito='PILAR3' AND entidade='00100')Y ON X.A=Y.A_SIMUL</v>
      </c>
      <c r="N56" s="38" t="s">
        <v>40</v>
      </c>
    </row>
    <row r="57" spans="1:14">
      <c r="B57" s="34" t="s">
        <v>1092</v>
      </c>
      <c r="C57" s="34" t="s">
        <v>5</v>
      </c>
      <c r="D57" s="34" t="str">
        <f>+UPPER('0. Instruções'!$D$35&amp;"."&amp;VLOOKUP(B57,'0. Instruções'!$C$27:$D$32,2,FALSE))</f>
        <v>BU_LOANTAPE_WORK.LT001_UNIV_OPER</v>
      </c>
      <c r="E57" s="34" t="str">
        <f>+UPPER('0. Instruções'!$D$36&amp;"."&amp;VLOOKUP(B57,'0. Instruções'!$C$27:$E$32,3,FALSE))</f>
        <v>BU_LOANTAPE_WORK.SIMUL_LT001</v>
      </c>
      <c r="F57" s="34" t="s">
        <v>1141</v>
      </c>
      <c r="G57" s="34"/>
      <c r="H57" s="34"/>
      <c r="I57" s="34" t="str">
        <f>"(SELECT "&amp;VLOOKUP(B57,'0. Instruções'!$C$27:$G$32,4,FALSE)&amp;", "&amp;F57&amp;" FROM "&amp;D57&amp;" WHERE "&amp;'0. Instruções'!$D$42&amp;")X"</f>
        <v>(SELECT a, juros_corridos_prvs FROM BU_LOANTAPE_WORK.LT001_UNIV_OPER WHERE ref_date='${ref_date}' AND nome_perimetro='Individual Local' AND segmento='ESTR' AND ambito='SRB_MBDT' AND entidade='00100')X</v>
      </c>
      <c r="J57" s="34" t="str">
        <f>"(SELECT "&amp;VLOOKUP(B57,'0. Instruções'!$C$27:$G$32,4,FALSE)&amp;" AS "&amp;VLOOKUP(B57,'0. Instruções'!$C$27:$G$32,4,FALSE)&amp;"_SIMUL, "&amp;F57&amp;" AS "&amp;F57&amp;"_SIMUL FROM "&amp;E57&amp;" WHERE "&amp;'0. Instruções'!$D$43&amp;")Y"</f>
        <v>(SELECT a AS a_SIMUL, juros_corridos_prvs AS juros_corridos_prvs_SIMUL FROM BU_LOANTAPE_WORK.SIMUL_LT001 WHERE ref_date='${ref_date}' AND nome_perimetro='Individual Local' AND segmento='ESTR' AND ambito='PILAR3' AND entidade='00100')Y</v>
      </c>
      <c r="K57" s="35" t="str">
        <f>+UPPER("ON X."&amp;VLOOKUP(B57,'0. Instruções'!$C$27:$G$32,4,FALSE)&amp;"=Y."&amp;VLOOKUP(B57,'0. Instruções'!$C$27:$G$32,4,FALSE)&amp;"_SIMUL")</f>
        <v>ON X.A=Y.A_SIMUL</v>
      </c>
      <c r="L57" s="35" t="str">
        <f>+IF(C57="Coerência", +IF(LEFT(G57,5)="FLOAT","SELECT '"&amp;UPPER(B57)&amp;"' AS TABELA, '"&amp;UPPER(C57)&amp;"' AS TIPOLOGIA_TESTE,'"&amp;D57&amp;"' AS TABELA_LT,'"&amp;E57&amp;"' AS TABELA_SIMUL,'"&amp;F57&amp;"' AS CAMPO, "&amp;"'${ref_date}' AS REF_DATE, COUNT(*) AS NUM_REG, SUM(IF((ABS(COALESCE(CAST(X."&amp;F57&amp;" AS DECIMAL(18,6)),0)-COALESCE(CAST(Y."&amp;F57&amp;"_SIMUL AS DECIMAL(18,6)),0))&gt;0.000001) OR (X."&amp;F57&amp;" IS NULL AND Y."&amp;F57&amp;"_SIMUL IS NOT NULL ) OR (X."&amp;F57&amp;" IS NOT NULL AND Y."&amp;F57&amp;"_SIMUL IS NULL),1,0)) AS NUM_REG_DIF,'"&amp;MAX('ID1&amp;5'!K:K)+1&amp;"' AS ID_EXEC, CURRENT_TIMESTAMP() AS TIME_EXEC FROM "&amp;I57&amp;" INNER JOIN "&amp;J57&amp;" "&amp;K57,"SELECT '"&amp;UPPER(B57)&amp;"' AS TABELA, '"&amp;UPPER(C57)&amp;"' AS TIPOLOGIA_TESTE,'"&amp;D57&amp;"' AS TABELA_LT,'"&amp;E57&amp;"' AS TABELA_SIMUL,'"&amp;F57&amp;"' AS CAMPO, "&amp;"'${ref_date}' AS REF_DATE, COUNT(*) AS NUM_REG, SUM(IF(COALESCE(CAST(X."&amp;F57&amp;" AS STRING),'')&lt;&gt;COALESCE(CAST(Y."&amp;F57&amp;"_SIMUL AS STRING),'') OR (X."&amp;F57&amp;" IS NULL AND Y."&amp;F57&amp;"_SIMUL IS NOT NULL ) OR (X."&amp;F57&amp;" IS NOT NULL AND Y."&amp;F57&amp;"_SIMUL IS NULL),1,0)) AS NUM_REG_DIF,'"&amp;MAX('ID1&amp;5'!L:L)+1&amp;"' AS ID_EXEC, CURRENT_TIMESTAMP() AS TIME_EXEC FROM "&amp;I57&amp;" INNER JOIN "&amp;J57&amp;" "&amp;K57),
IF(C57="Validade",+IF(G57="Code List","SELECT '"&amp;UPPER(B57)&amp;"' AS TABELA, '"&amp;UPPER(C57)&amp;"' AS TIPOLOGIA_TESTE,'"&amp;D57&amp;"' AS TABELA_LT,'N/A' AS TABELA_SIMUL,'"&amp;F57&amp;"' AS CAMPO, "&amp;"'${ref_date}' AS REF_DATE, COUNT(*) AS NUM_REG, SUM(IF(TRIM(CAST(X."&amp;F57&amp;" AS STRING))='' OR TRIM(CAST(X."&amp;F57&amp;" AS STRING)) IS NULL OR CAST(X."&amp;F57&amp;" AS STRING) NOT "&amp;H57&amp;",1,0)) AS NUM_REG_DIF,'"&amp;MAX('ID1&amp;5'!K:K)+1&amp;"' AS ID_EXEC, CURRENT_TIMESTAMP() AS TIME_EXEC FROM "&amp;I57,"SELECT '"&amp;UPPER(B57)&amp;"' AS TABELA, '"&amp;UPPER(C57)&amp;"' AS TIPOLOGIA_TESTE,'"&amp;D57&amp;"' AS TABELA_LT,'N/A' AS TABELA_SIMUL,'"&amp;F57&amp;"' AS CAMPO, "&amp;"'${ref_date}' AS REF_DATE, COUNT(*) AS NUM_REG, SUM(IF(TRIM(CAST(X."&amp;F57&amp;" AS STRING))='' OR TRIM(CAST(X."&amp;F57&amp;" AS STRING)) IS NULL,1,0)) AS NUM_REG_DIF,'"&amp;MAX('ID1&amp;5'!K:K)+1&amp;"' AS ID_EXEC, CURRENT_TIMESTAMP() AS TIME_EXEC FROM "&amp;I57),
IF(C57="Caracteres Especiais",+"SELECT '"&amp;UPPER(B57)&amp;"' AS TABELA, '"&amp;UPPER(C57)&amp;"' AS TIPOLOGIA_TESTE,'"&amp;D57&amp;"' AS TABELA_LT,'N/A' AS TABELA_SIMUL,'"&amp;F57&amp;"' AS CAMPO, "&amp;"'${ref_date}' AS REF_DATE, COUNT(*) AS NUM_REG, SUM(IF(REGEXP_REPLACE(TRIM(CAST(X."&amp;F57&amp;" AS STRING)),'[^a-zA-Z0-9_\\s]','') &lt;&gt;TRIM(CAST(X."&amp;F57&amp;" AS STRING)),1,0)) AS NUM_REG_DIF,'"&amp;MAX('ID1&amp;5'!K:K)+1&amp;"' AS ID_EXEC, CURRENT_TIMESTAMP() AS TIME_EXEC FROM "&amp;I57,
IF(C57="Missings",+"SELECT '"&amp;UPPER(B57)&amp;"' AS TABELA, '"&amp;UPPER(C57)&amp;"' AS TIPOLOGIA_TESTE,'"&amp;D57&amp;"' AS TABELA_LT,'N/A' AS TABELA_SIMUL,'"&amp;F57&amp;"' AS CAMPO, "&amp;"'${ref_date}' AS REF_DATE, COUNT(*) AS NUM_REG, SUM(IF(TRIM(CAST(X."&amp;F57&amp;" AS STRING)) IN ('0000-00-00','0001-01-01','9999-12-31','MISS','00000','99999999999','99999999999.00','99999999999.000000'),1,0)) AS NUM_REG_DIF,'"&amp;MAX('ID1&amp;5'!K:K)+1&amp;"' AS ID_EXEC, CURRENT_TIMESTAMP() AS TIME_EXEC FROM "&amp;I57,
IF(C57="Not applicable",+"SELECT '"&amp;UPPER(B57)&amp;"' AS TABELA, '"&amp;UPPER(C57)&amp;"' AS TIPOLOGIA_TESTE,'"&amp;D57&amp;"' AS TABELA_LT,'N/A' AS TABELA_SIMUL,'"&amp;F57&amp;"' AS CAMPO, "&amp;"'${ref_date}' AS REF_DATE, COUNT(*) AS NUM_REG, SUM(IF(TRIM(CAST(X."&amp;F57&amp;" AS STRING)) IN ('N/A','11111111111','11111111111.00','11111111111.000000','1111-11-11'),1,0)) AS NUM_REG_DIF,'"&amp;MAX('ID1&amp;5'!K:K)+1&amp;"' AS ID_EXEC, CURRENT_TIMESTAMP() AS TIME_EXEC FROM "&amp;I57,
IF(C57="Valores extremos",+"SELECT '"&amp;UPPER(B57)&amp;"' AS TABELA, '"&amp;UPPER(C57)&amp;"' AS TIPOLOGIA_TESTE,'"&amp;D57&amp;"' AS TABELA_LT,'N/A' AS TABELA_SIMUL,'"&amp;F57&amp;"' AS CAMPO, "&amp;"'${ref_date}' AS REF_DATE, CAST(MIN("&amp;F57&amp;") AS STRING) AS VALOR_MIN, CAST(MAX("&amp;F57&amp;") AS STRING) AS VALOR_MAX,'"&amp;MAX('ID1&amp;5'!K:K)+1&amp;"' AS ID_EXEC, CURRENT_TIMESTAMP() AS TIME_EXEC FROM "&amp;MID(I57,1,LEN(I57)-2)&amp;" AND CAST("&amp;F57&amp;"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TABELA_SIMUL,'juros_corridos_prvs' AS CAMPO, '${ref_date}' AS REF_DATE, COUNT(*) AS NUM_REG, SUM(IF(COALESCE(CAST(X.juros_corridos_prvs AS STRING),'')&lt;&gt;COALESCE(CAST(Y.juros_corridos_prvs_SIMUL AS STRING),'') OR (X.juros_corridos_prvs IS NULL AND Y.juros_corridos_prvs_SIMUL IS NOT NULL ) OR (X.juros_corridos_prvs IS NOT NULL AND Y.juros_corridos_prvs_SIMUL IS NULL),1,0)) AS NUM_REG_DIF,'1' AS ID_EXEC, CURRENT_TIMESTAMP() AS TIME_EXEC FROM (SELECT a, juros_corridos_prvs FROM BU_LOANTAPE_WORK.LT001_UNIV_OPER WHERE ref_date='${ref_date}' AND nome_perimetro='Individual Local' AND segmento='ESTR' AND ambito='SRB_MBDT' AND entidade='00100')X INNER JOIN (SELECT a AS a_SIMUL, juros_corridos_prvs AS juros_corridos_prvs_SIMUL FROM BU_LOANTAPE_WORK.SIMUL_LT001 WHERE ref_date='${ref_date}' AND nome_perimetro='Individual Local' AND segmento='ESTR' AND ambito='PILAR3' AND entidade='00100')Y ON X.A=Y.A_SIMUL</v>
      </c>
      <c r="M57" s="36" t="str">
        <f t="shared" ref="M57:M62" si="3">+"UNION ALL "&amp;L57</f>
        <v>UNION ALL SELECT 'UNIV_OPER' AS TABELA, 'COERÊNCIA' AS TIPOLOGIA_TESTE,'BU_LOANTAPE_WORK.LT001_UNIV_OPER' AS TABELA_LT,'BU_LOANTAPE_WORK.SIMUL_LT001' AS TABELA_SIMUL,'juros_corridos_prvs' AS CAMPO, '${ref_date}' AS REF_DATE, COUNT(*) AS NUM_REG, SUM(IF(COALESCE(CAST(X.juros_corridos_prvs AS STRING),'')&lt;&gt;COALESCE(CAST(Y.juros_corridos_prvs_SIMUL AS STRING),'') OR (X.juros_corridos_prvs IS NULL AND Y.juros_corridos_prvs_SIMUL IS NOT NULL ) OR (X.juros_corridos_prvs IS NOT NULL AND Y.juros_corridos_prvs_SIMUL IS NULL),1,0)) AS NUM_REG_DIF,'1' AS ID_EXEC, CURRENT_TIMESTAMP() AS TIME_EXEC FROM (SELECT a, juros_corridos_prvs FROM BU_LOANTAPE_WORK.LT001_UNIV_OPER WHERE ref_date='${ref_date}' AND nome_perimetro='Individual Local' AND segmento='ESTR' AND ambito='SRB_MBDT' AND entidade='00100')X INNER JOIN (SELECT a AS a_SIMUL, juros_corridos_prvs AS juros_corridos_prvs_SIMUL FROM BU_LOANTAPE_WORK.SIMUL_LT001 WHERE ref_date='${ref_date}' AND nome_perimetro='Individual Local' AND segmento='ESTR' AND ambito='PILAR3' AND entidade='00100')Y ON X.A=Y.A_SIMUL</v>
      </c>
      <c r="N57" s="38" t="s">
        <v>40</v>
      </c>
    </row>
    <row r="58" spans="1:14">
      <c r="B58" s="34" t="s">
        <v>1092</v>
      </c>
      <c r="C58" s="34" t="s">
        <v>5</v>
      </c>
      <c r="D58" s="34" t="str">
        <f>+UPPER('0. Instruções'!$D$35&amp;"."&amp;VLOOKUP(B58,'0. Instruções'!$C$27:$D$32,2,FALSE))</f>
        <v>BU_LOANTAPE_WORK.LT001_UNIV_OPER</v>
      </c>
      <c r="E58" s="34" t="str">
        <f>+UPPER('0. Instruções'!$D$36&amp;"."&amp;VLOOKUP(B58,'0. Instruções'!$C$27:$E$32,3,FALSE))</f>
        <v>BU_LOANTAPE_WORK.SIMUL_LT001</v>
      </c>
      <c r="F58" s="34" t="s">
        <v>1142</v>
      </c>
      <c r="G58" s="34"/>
      <c r="H58" s="34"/>
      <c r="I58" s="34" t="str">
        <f>"(SELECT "&amp;VLOOKUP(B58,'0. Instruções'!$C$27:$G$32,4,FALSE)&amp;", "&amp;F58&amp;" FROM "&amp;D58&amp;" WHERE "&amp;'0. Instruções'!$D$42&amp;")X"</f>
        <v>(SELECT a, subportfolio_id_inicial FROM BU_LOANTAPE_WORK.LT001_UNIV_OPER WHERE ref_date='${ref_date}' AND nome_perimetro='Individual Local' AND segmento='ESTR' AND ambito='SRB_MBDT' AND entidade='00100')X</v>
      </c>
      <c r="J58" s="34" t="str">
        <f>"(SELECT "&amp;VLOOKUP(B58,'0. Instruções'!$C$27:$G$32,4,FALSE)&amp;" AS "&amp;VLOOKUP(B58,'0. Instruções'!$C$27:$G$32,4,FALSE)&amp;"_SIMUL, "&amp;F58&amp;" AS "&amp;F58&amp;"_SIMUL FROM "&amp;E58&amp;" WHERE "&amp;'0. Instruções'!$D$43&amp;")Y"</f>
        <v>(SELECT a AS a_SIMUL, subportfolio_id_inicial AS subportfolio_id_inicial_SIMUL FROM BU_LOANTAPE_WORK.SIMUL_LT001 WHERE ref_date='${ref_date}' AND nome_perimetro='Individual Local' AND segmento='ESTR' AND ambito='PILAR3' AND entidade='00100')Y</v>
      </c>
      <c r="K58" s="35" t="str">
        <f>+UPPER("ON X."&amp;VLOOKUP(B58,'0. Instruções'!$C$27:$G$32,4,FALSE)&amp;"=Y."&amp;VLOOKUP(B58,'0. Instruções'!$C$27:$G$32,4,FALSE)&amp;"_SIMUL")</f>
        <v>ON X.A=Y.A_SIMUL</v>
      </c>
      <c r="L58" s="35" t="str">
        <f>+IF(C58="Coerência", +IF(LEFT(G58,5)="FLOAT","SELECT '"&amp;UPPER(B58)&amp;"' AS TABELA, '"&amp;UPPER(C58)&amp;"' AS TIPOLOGIA_TESTE,'"&amp;D58&amp;"' AS TABELA_LT,'"&amp;E58&amp;"' AS TABELA_SIMUL,'"&amp;F58&amp;"' AS CAMPO, "&amp;"'${ref_date}' AS REF_DATE, COUNT(*) AS NUM_REG, SUM(IF((ABS(COALESCE(CAST(X."&amp;F58&amp;" AS DECIMAL(18,6)),0)-COALESCE(CAST(Y."&amp;F58&amp;"_SIMUL AS DECIMAL(18,6)),0))&gt;0.000001) OR (X."&amp;F58&amp;" IS NULL AND Y."&amp;F58&amp;"_SIMUL IS NOT NULL ) OR (X."&amp;F58&amp;" IS NOT NULL AND Y."&amp;F58&amp;"_SIMUL IS NULL),1,0)) AS NUM_REG_DIF,'"&amp;MAX('ID1&amp;5'!K:K)+1&amp;"' AS ID_EXEC, CURRENT_TIMESTAMP() AS TIME_EXEC FROM "&amp;I58&amp;" INNER JOIN "&amp;J58&amp;" "&amp;K58,"SELECT '"&amp;UPPER(B58)&amp;"' AS TABELA, '"&amp;UPPER(C58)&amp;"' AS TIPOLOGIA_TESTE,'"&amp;D58&amp;"' AS TABELA_LT,'"&amp;E58&amp;"' AS TABELA_SIMUL,'"&amp;F58&amp;"' AS CAMPO, "&amp;"'${ref_date}' AS REF_DATE, COUNT(*) AS NUM_REG, SUM(IF(COALESCE(CAST(X."&amp;F58&amp;" AS STRING),'')&lt;&gt;COALESCE(CAST(Y."&amp;F58&amp;"_SIMUL AS STRING),'') OR (X."&amp;F58&amp;" IS NULL AND Y."&amp;F58&amp;"_SIMUL IS NOT NULL ) OR (X."&amp;F58&amp;" IS NOT NULL AND Y."&amp;F58&amp;"_SIMUL IS NULL),1,0)) AS NUM_REG_DIF,'"&amp;MAX('ID1&amp;5'!L:L)+1&amp;"' AS ID_EXEC, CURRENT_TIMESTAMP() AS TIME_EXEC FROM "&amp;I58&amp;" INNER JOIN "&amp;J58&amp;" "&amp;K58),
IF(C58="Validade",+IF(G58="Code List","SELECT '"&amp;UPPER(B58)&amp;"' AS TABELA, '"&amp;UPPER(C58)&amp;"' AS TIPOLOGIA_TESTE,'"&amp;D58&amp;"' AS TABELA_LT,'N/A' AS TABELA_SIMUL,'"&amp;F58&amp;"' AS CAMPO, "&amp;"'${ref_date}' AS REF_DATE, COUNT(*) AS NUM_REG, SUM(IF(TRIM(CAST(X."&amp;F58&amp;" AS STRING))='' OR TRIM(CAST(X."&amp;F58&amp;" AS STRING)) IS NULL OR CAST(X."&amp;F58&amp;" AS STRING) NOT "&amp;H58&amp;",1,0)) AS NUM_REG_DIF,'"&amp;MAX('ID1&amp;5'!K:K)+1&amp;"' AS ID_EXEC, CURRENT_TIMESTAMP() AS TIME_EXEC FROM "&amp;I58,"SELECT '"&amp;UPPER(B58)&amp;"' AS TABELA, '"&amp;UPPER(C58)&amp;"' AS TIPOLOGIA_TESTE,'"&amp;D58&amp;"' AS TABELA_LT,'N/A' AS TABELA_SIMUL,'"&amp;F58&amp;"' AS CAMPO, "&amp;"'${ref_date}' AS REF_DATE, COUNT(*) AS NUM_REG, SUM(IF(TRIM(CAST(X."&amp;F58&amp;" AS STRING))='' OR TRIM(CAST(X."&amp;F58&amp;" AS STRING)) IS NULL,1,0)) AS NUM_REG_DIF,'"&amp;MAX('ID1&amp;5'!K:K)+1&amp;"' AS ID_EXEC, CURRENT_TIMESTAMP() AS TIME_EXEC FROM "&amp;I58),
IF(C58="Caracteres Especiais",+"SELECT '"&amp;UPPER(B58)&amp;"' AS TABELA, '"&amp;UPPER(C58)&amp;"' AS TIPOLOGIA_TESTE,'"&amp;D58&amp;"' AS TABELA_LT,'N/A' AS TABELA_SIMUL,'"&amp;F58&amp;"' AS CAMPO, "&amp;"'${ref_date}' AS REF_DATE, COUNT(*) AS NUM_REG, SUM(IF(REGEXP_REPLACE(TRIM(CAST(X."&amp;F58&amp;" AS STRING)),'[^a-zA-Z0-9_\\s]','') &lt;&gt;TRIM(CAST(X."&amp;F58&amp;" AS STRING)),1,0)) AS NUM_REG_DIF,'"&amp;MAX('ID1&amp;5'!K:K)+1&amp;"' AS ID_EXEC, CURRENT_TIMESTAMP() AS TIME_EXEC FROM "&amp;I58,
IF(C58="Missings",+"SELECT '"&amp;UPPER(B58)&amp;"' AS TABELA, '"&amp;UPPER(C58)&amp;"' AS TIPOLOGIA_TESTE,'"&amp;D58&amp;"' AS TABELA_LT,'N/A' AS TABELA_SIMUL,'"&amp;F58&amp;"' AS CAMPO, "&amp;"'${ref_date}' AS REF_DATE, COUNT(*) AS NUM_REG, SUM(IF(TRIM(CAST(X."&amp;F58&amp;" AS STRING)) IN ('0000-00-00','0001-01-01','9999-12-31','MISS','00000','99999999999','99999999999.00','99999999999.000000'),1,0)) AS NUM_REG_DIF,'"&amp;MAX('ID1&amp;5'!K:K)+1&amp;"' AS ID_EXEC, CURRENT_TIMESTAMP() AS TIME_EXEC FROM "&amp;I58,
IF(C58="Not applicable",+"SELECT '"&amp;UPPER(B58)&amp;"' AS TABELA, '"&amp;UPPER(C58)&amp;"' AS TIPOLOGIA_TESTE,'"&amp;D58&amp;"' AS TABELA_LT,'N/A' AS TABELA_SIMUL,'"&amp;F58&amp;"' AS CAMPO, "&amp;"'${ref_date}' AS REF_DATE, COUNT(*) AS NUM_REG, SUM(IF(TRIM(CAST(X."&amp;F58&amp;" AS STRING)) IN ('N/A','11111111111','11111111111.00','11111111111.000000','1111-11-11'),1,0)) AS NUM_REG_DIF,'"&amp;MAX('ID1&amp;5'!K:K)+1&amp;"' AS ID_EXEC, CURRENT_TIMESTAMP() AS TIME_EXEC FROM "&amp;I58,
IF(C58="Valores extremos",+"SELECT '"&amp;UPPER(B58)&amp;"' AS TABELA, '"&amp;UPPER(C58)&amp;"' AS TIPOLOGIA_TESTE,'"&amp;D58&amp;"' AS TABELA_LT,'N/A' AS TABELA_SIMUL,'"&amp;F58&amp;"' AS CAMPO, "&amp;"'${ref_date}' AS REF_DATE, CAST(MIN("&amp;F58&amp;") AS STRING) AS VALOR_MIN, CAST(MAX("&amp;F58&amp;") AS STRING) AS VALOR_MAX,'"&amp;MAX('ID1&amp;5'!K:K)+1&amp;"' AS ID_EXEC, CURRENT_TIMESTAMP() AS TIME_EXEC FROM "&amp;MID(I58,1,LEN(I58)-2)&amp;" AND CAST("&amp;F58&amp;"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TABELA_SIMUL,'subportfolio_id_inicial' AS CAMPO, '${ref_date}' AS REF_DATE, COUNT(*) AS NUM_REG, SUM(IF(COALESCE(CAST(X.subportfolio_id_inicial AS STRING),'')&lt;&gt;COALESCE(CAST(Y.subportfolio_id_inicial_SIMUL AS STRING),'') OR (X.subportfolio_id_inicial IS NULL AND Y.subportfolio_id_inicial_SIMUL IS NOT NULL ) OR (X.subportfolio_id_inicial IS NOT NULL AND Y.subportfolio_id_inicial_SIMUL IS NULL),1,0)) AS NUM_REG_DIF,'1' AS ID_EXEC, CURRENT_TIMESTAMP() AS TIME_EXEC FROM (SELECT a, subportfolio_id_inicial FROM BU_LOANTAPE_WORK.LT001_UNIV_OPER WHERE ref_date='${ref_date}' AND nome_perimetro='Individual Local' AND segmento='ESTR' AND ambito='SRB_MBDT' AND entidade='00100')X INNER JOIN (SELECT a AS a_SIMUL, subportfolio_id_inicial AS subportfolio_id_inicial_SIMUL FROM BU_LOANTAPE_WORK.SIMUL_LT001 WHERE ref_date='${ref_date}' AND nome_perimetro='Individual Local' AND segmento='ESTR' AND ambito='PILAR3' AND entidade='00100')Y ON X.A=Y.A_SIMUL</v>
      </c>
      <c r="M58" s="36" t="str">
        <f t="shared" si="3"/>
        <v>UNION ALL SELECT 'UNIV_OPER' AS TABELA, 'COERÊNCIA' AS TIPOLOGIA_TESTE,'BU_LOANTAPE_WORK.LT001_UNIV_OPER' AS TABELA_LT,'BU_LOANTAPE_WORK.SIMUL_LT001' AS TABELA_SIMUL,'subportfolio_id_inicial' AS CAMPO, '${ref_date}' AS REF_DATE, COUNT(*) AS NUM_REG, SUM(IF(COALESCE(CAST(X.subportfolio_id_inicial AS STRING),'')&lt;&gt;COALESCE(CAST(Y.subportfolio_id_inicial_SIMUL AS STRING),'') OR (X.subportfolio_id_inicial IS NULL AND Y.subportfolio_id_inicial_SIMUL IS NOT NULL ) OR (X.subportfolio_id_inicial IS NOT NULL AND Y.subportfolio_id_inicial_SIMUL IS NULL),1,0)) AS NUM_REG_DIF,'1' AS ID_EXEC, CURRENT_TIMESTAMP() AS TIME_EXEC FROM (SELECT a, subportfolio_id_inicial FROM BU_LOANTAPE_WORK.LT001_UNIV_OPER WHERE ref_date='${ref_date}' AND nome_perimetro='Individual Local' AND segmento='ESTR' AND ambito='SRB_MBDT' AND entidade='00100')X INNER JOIN (SELECT a AS a_SIMUL, subportfolio_id_inicial AS subportfolio_id_inicial_SIMUL FROM BU_LOANTAPE_WORK.SIMUL_LT001 WHERE ref_date='${ref_date}' AND nome_perimetro='Individual Local' AND segmento='ESTR' AND ambito='PILAR3' AND entidade='00100')Y ON X.A=Y.A_SIMUL</v>
      </c>
      <c r="N58" s="38" t="s">
        <v>40</v>
      </c>
    </row>
    <row r="59" spans="1:14">
      <c r="B59" s="34" t="s">
        <v>1092</v>
      </c>
      <c r="C59" s="34" t="s">
        <v>5</v>
      </c>
      <c r="D59" s="34" t="str">
        <f>+UPPER('0. Instruções'!$D$35&amp;"."&amp;VLOOKUP(B59,'0. Instruções'!$C$27:$D$32,2,FALSE))</f>
        <v>BU_LOANTAPE_WORK.LT001_UNIV_OPER</v>
      </c>
      <c r="E59" s="34" t="str">
        <f>+UPPER('0. Instruções'!$D$36&amp;"."&amp;VLOOKUP(B59,'0. Instruções'!$C$27:$E$32,3,FALSE))</f>
        <v>BU_LOANTAPE_WORK.SIMUL_LT001</v>
      </c>
      <c r="F59" s="34" t="s">
        <v>1143</v>
      </c>
      <c r="G59" s="34"/>
      <c r="H59" s="34"/>
      <c r="I59" s="34" t="str">
        <f>"(SELECT "&amp;VLOOKUP(B59,'0. Instruções'!$C$27:$G$32,4,FALSE)&amp;", "&amp;F59&amp;" FROM "&amp;D59&amp;" WHERE "&amp;'0. Instruções'!$D$42&amp;")X"</f>
        <v>(SELECT a, subportfolio_id_final FROM BU_LOANTAPE_WORK.LT001_UNIV_OPER WHERE ref_date='${ref_date}' AND nome_perimetro='Individual Local' AND segmento='ESTR' AND ambito='SRB_MBDT' AND entidade='00100')X</v>
      </c>
      <c r="J59" s="34" t="str">
        <f>"(SELECT "&amp;VLOOKUP(B59,'0. Instruções'!$C$27:$G$32,4,FALSE)&amp;" AS "&amp;VLOOKUP(B59,'0. Instruções'!$C$27:$G$32,4,FALSE)&amp;"_SIMUL, "&amp;F59&amp;" AS "&amp;F59&amp;"_SIMUL FROM "&amp;E59&amp;" WHERE "&amp;'0. Instruções'!$D$43&amp;")Y"</f>
        <v>(SELECT a AS a_SIMUL, subportfolio_id_final AS subportfolio_id_final_SIMUL FROM BU_LOANTAPE_WORK.SIMUL_LT001 WHERE ref_date='${ref_date}' AND nome_perimetro='Individual Local' AND segmento='ESTR' AND ambito='PILAR3' AND entidade='00100')Y</v>
      </c>
      <c r="K59" s="35" t="str">
        <f>+UPPER("ON X."&amp;VLOOKUP(B59,'0. Instruções'!$C$27:$G$32,4,FALSE)&amp;"=Y."&amp;VLOOKUP(B59,'0. Instruções'!$C$27:$G$32,4,FALSE)&amp;"_SIMUL")</f>
        <v>ON X.A=Y.A_SIMUL</v>
      </c>
      <c r="L59" s="35" t="str">
        <f>+IF(C59="Coerência", +IF(LEFT(G59,5)="FLOAT","SELECT '"&amp;UPPER(B59)&amp;"' AS TABELA, '"&amp;UPPER(C59)&amp;"' AS TIPOLOGIA_TESTE,'"&amp;D59&amp;"' AS TABELA_LT,'"&amp;E59&amp;"' AS TABELA_SIMUL,'"&amp;F59&amp;"' AS CAMPO, "&amp;"'${ref_date}' AS REF_DATE, COUNT(*) AS NUM_REG, SUM(IF((ABS(COALESCE(CAST(X."&amp;F59&amp;" AS DECIMAL(18,6)),0)-COALESCE(CAST(Y."&amp;F59&amp;"_SIMUL AS DECIMAL(18,6)),0))&gt;0.000001) OR (X."&amp;F59&amp;" IS NULL AND Y."&amp;F59&amp;"_SIMUL IS NOT NULL ) OR (X."&amp;F59&amp;" IS NOT NULL AND Y."&amp;F59&amp;"_SIMUL IS NULL),1,0)) AS NUM_REG_DIF,'"&amp;MAX('ID1&amp;5'!K:K)+1&amp;"' AS ID_EXEC, CURRENT_TIMESTAMP() AS TIME_EXEC FROM "&amp;I59&amp;" INNER JOIN "&amp;J59&amp;" "&amp;K59,"SELECT '"&amp;UPPER(B59)&amp;"' AS TABELA, '"&amp;UPPER(C59)&amp;"' AS TIPOLOGIA_TESTE,'"&amp;D59&amp;"' AS TABELA_LT,'"&amp;E59&amp;"' AS TABELA_SIMUL,'"&amp;F59&amp;"' AS CAMPO, "&amp;"'${ref_date}' AS REF_DATE, COUNT(*) AS NUM_REG, SUM(IF(COALESCE(CAST(X."&amp;F59&amp;" AS STRING),'')&lt;&gt;COALESCE(CAST(Y."&amp;F59&amp;"_SIMUL AS STRING),'') OR (X."&amp;F59&amp;" IS NULL AND Y."&amp;F59&amp;"_SIMUL IS NOT NULL ) OR (X."&amp;F59&amp;" IS NOT NULL AND Y."&amp;F59&amp;"_SIMUL IS NULL),1,0)) AS NUM_REG_DIF,'"&amp;MAX('ID1&amp;5'!L:L)+1&amp;"' AS ID_EXEC, CURRENT_TIMESTAMP() AS TIME_EXEC FROM "&amp;I59&amp;" INNER JOIN "&amp;J59&amp;" "&amp;K59),
IF(C59="Validade",+IF(G59="Code List","SELECT '"&amp;UPPER(B59)&amp;"' AS TABELA, '"&amp;UPPER(C59)&amp;"' AS TIPOLOGIA_TESTE,'"&amp;D59&amp;"' AS TABELA_LT,'N/A' AS TABELA_SIMUL,'"&amp;F59&amp;"' AS CAMPO, "&amp;"'${ref_date}' AS REF_DATE, COUNT(*) AS NUM_REG, SUM(IF(TRIM(CAST(X."&amp;F59&amp;" AS STRING))='' OR TRIM(CAST(X."&amp;F59&amp;" AS STRING)) IS NULL OR CAST(X."&amp;F59&amp;" AS STRING) NOT "&amp;H59&amp;",1,0)) AS NUM_REG_DIF,'"&amp;MAX('ID1&amp;5'!K:K)+1&amp;"' AS ID_EXEC, CURRENT_TIMESTAMP() AS TIME_EXEC FROM "&amp;I59,"SELECT '"&amp;UPPER(B59)&amp;"' AS TABELA, '"&amp;UPPER(C59)&amp;"' AS TIPOLOGIA_TESTE,'"&amp;D59&amp;"' AS TABELA_LT,'N/A' AS TABELA_SIMUL,'"&amp;F59&amp;"' AS CAMPO, "&amp;"'${ref_date}' AS REF_DATE, COUNT(*) AS NUM_REG, SUM(IF(TRIM(CAST(X."&amp;F59&amp;" AS STRING))='' OR TRIM(CAST(X."&amp;F59&amp;" AS STRING)) IS NULL,1,0)) AS NUM_REG_DIF,'"&amp;MAX('ID1&amp;5'!K:K)+1&amp;"' AS ID_EXEC, CURRENT_TIMESTAMP() AS TIME_EXEC FROM "&amp;I59),
IF(C59="Caracteres Especiais",+"SELECT '"&amp;UPPER(B59)&amp;"' AS TABELA, '"&amp;UPPER(C59)&amp;"' AS TIPOLOGIA_TESTE,'"&amp;D59&amp;"' AS TABELA_LT,'N/A' AS TABELA_SIMUL,'"&amp;F59&amp;"' AS CAMPO, "&amp;"'${ref_date}' AS REF_DATE, COUNT(*) AS NUM_REG, SUM(IF(REGEXP_REPLACE(TRIM(CAST(X."&amp;F59&amp;" AS STRING)),'[^a-zA-Z0-9_\\s]','') &lt;&gt;TRIM(CAST(X."&amp;F59&amp;" AS STRING)),1,0)) AS NUM_REG_DIF,'"&amp;MAX('ID1&amp;5'!K:K)+1&amp;"' AS ID_EXEC, CURRENT_TIMESTAMP() AS TIME_EXEC FROM "&amp;I59,
IF(C59="Missings",+"SELECT '"&amp;UPPER(B59)&amp;"' AS TABELA, '"&amp;UPPER(C59)&amp;"' AS TIPOLOGIA_TESTE,'"&amp;D59&amp;"' AS TABELA_LT,'N/A' AS TABELA_SIMUL,'"&amp;F59&amp;"' AS CAMPO, "&amp;"'${ref_date}' AS REF_DATE, COUNT(*) AS NUM_REG, SUM(IF(TRIM(CAST(X."&amp;F59&amp;" AS STRING)) IN ('0000-00-00','0001-01-01','9999-12-31','MISS','00000','99999999999','99999999999.00','99999999999.000000'),1,0)) AS NUM_REG_DIF,'"&amp;MAX('ID1&amp;5'!K:K)+1&amp;"' AS ID_EXEC, CURRENT_TIMESTAMP() AS TIME_EXEC FROM "&amp;I59,
IF(C59="Not applicable",+"SELECT '"&amp;UPPER(B59)&amp;"' AS TABELA, '"&amp;UPPER(C59)&amp;"' AS TIPOLOGIA_TESTE,'"&amp;D59&amp;"' AS TABELA_LT,'N/A' AS TABELA_SIMUL,'"&amp;F59&amp;"' AS CAMPO, "&amp;"'${ref_date}' AS REF_DATE, COUNT(*) AS NUM_REG, SUM(IF(TRIM(CAST(X."&amp;F59&amp;" AS STRING)) IN ('N/A','11111111111','11111111111.00','11111111111.000000','1111-11-11'),1,0)) AS NUM_REG_DIF,'"&amp;MAX('ID1&amp;5'!K:K)+1&amp;"' AS ID_EXEC, CURRENT_TIMESTAMP() AS TIME_EXEC FROM "&amp;I59,
IF(C59="Valores extremos",+"SELECT '"&amp;UPPER(B59)&amp;"' AS TABELA, '"&amp;UPPER(C59)&amp;"' AS TIPOLOGIA_TESTE,'"&amp;D59&amp;"' AS TABELA_LT,'N/A' AS TABELA_SIMUL,'"&amp;F59&amp;"' AS CAMPO, "&amp;"'${ref_date}' AS REF_DATE, CAST(MIN("&amp;F59&amp;") AS STRING) AS VALOR_MIN, CAST(MAX("&amp;F59&amp;") AS STRING) AS VALOR_MAX,'"&amp;MAX('ID1&amp;5'!K:K)+1&amp;"' AS ID_EXEC, CURRENT_TIMESTAMP() AS TIME_EXEC FROM "&amp;MID(I59,1,LEN(I59)-2)&amp;" AND CAST("&amp;F59&amp;"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TABELA_SIMUL,'subportfolio_id_final' AS CAMPO, '${ref_date}' AS REF_DATE, COUNT(*) AS NUM_REG, SUM(IF(COALESCE(CAST(X.subportfolio_id_final AS STRING),'')&lt;&gt;COALESCE(CAST(Y.subportfolio_id_final_SIMUL AS STRING),'') OR (X.subportfolio_id_final IS NULL AND Y.subportfolio_id_final_SIMUL IS NOT NULL ) OR (X.subportfolio_id_final IS NOT NULL AND Y.subportfolio_id_final_SIMUL IS NULL),1,0)) AS NUM_REG_DIF,'1' AS ID_EXEC, CURRENT_TIMESTAMP() AS TIME_EXEC FROM (SELECT a, subportfolio_id_final FROM BU_LOANTAPE_WORK.LT001_UNIV_OPER WHERE ref_date='${ref_date}' AND nome_perimetro='Individual Local' AND segmento='ESTR' AND ambito='SRB_MBDT' AND entidade='00100')X INNER JOIN (SELECT a AS a_SIMUL, subportfolio_id_final AS subportfolio_id_final_SIMUL FROM BU_LOANTAPE_WORK.SIMUL_LT001 WHERE ref_date='${ref_date}' AND nome_perimetro='Individual Local' AND segmento='ESTR' AND ambito='PILAR3' AND entidade='00100')Y ON X.A=Y.A_SIMUL</v>
      </c>
      <c r="M59" s="36" t="str">
        <f t="shared" si="3"/>
        <v>UNION ALL SELECT 'UNIV_OPER' AS TABELA, 'COERÊNCIA' AS TIPOLOGIA_TESTE,'BU_LOANTAPE_WORK.LT001_UNIV_OPER' AS TABELA_LT,'BU_LOANTAPE_WORK.SIMUL_LT001' AS TABELA_SIMUL,'subportfolio_id_final' AS CAMPO, '${ref_date}' AS REF_DATE, COUNT(*) AS NUM_REG, SUM(IF(COALESCE(CAST(X.subportfolio_id_final AS STRING),'')&lt;&gt;COALESCE(CAST(Y.subportfolio_id_final_SIMUL AS STRING),'') OR (X.subportfolio_id_final IS NULL AND Y.subportfolio_id_final_SIMUL IS NOT NULL ) OR (X.subportfolio_id_final IS NOT NULL AND Y.subportfolio_id_final_SIMUL IS NULL),1,0)) AS NUM_REG_DIF,'1' AS ID_EXEC, CURRENT_TIMESTAMP() AS TIME_EXEC FROM (SELECT a, subportfolio_id_final FROM BU_LOANTAPE_WORK.LT001_UNIV_OPER WHERE ref_date='${ref_date}' AND nome_perimetro='Individual Local' AND segmento='ESTR' AND ambito='SRB_MBDT' AND entidade='00100')X INNER JOIN (SELECT a AS a_SIMUL, subportfolio_id_final AS subportfolio_id_final_SIMUL FROM BU_LOANTAPE_WORK.SIMUL_LT001 WHERE ref_date='${ref_date}' AND nome_perimetro='Individual Local' AND segmento='ESTR' AND ambito='PILAR3' AND entidade='00100')Y ON X.A=Y.A_SIMUL</v>
      </c>
      <c r="N59" s="38" t="s">
        <v>40</v>
      </c>
    </row>
    <row r="60" spans="1:14">
      <c r="B60" s="34" t="s">
        <v>1092</v>
      </c>
      <c r="C60" s="34" t="s">
        <v>5</v>
      </c>
      <c r="D60" s="34" t="str">
        <f>+UPPER('0. Instruções'!$D$35&amp;"."&amp;VLOOKUP(B60,'0. Instruções'!$C$27:$D$32,2,FALSE))</f>
        <v>BU_LOANTAPE_WORK.LT001_UNIV_OPER</v>
      </c>
      <c r="E60" s="34" t="str">
        <f>+UPPER('0. Instruções'!$D$36&amp;"."&amp;VLOOKUP(B60,'0. Instruções'!$C$27:$E$32,3,FALSE))</f>
        <v>BU_LOANTAPE_WORK.SIMUL_LT001</v>
      </c>
      <c r="F60" s="34" t="s">
        <v>1144</v>
      </c>
      <c r="G60" s="34"/>
      <c r="H60" s="34"/>
      <c r="I60" s="34" t="str">
        <f>"(SELECT "&amp;VLOOKUP(B60,'0. Instruções'!$C$27:$G$32,4,FALSE)&amp;", "&amp;F60&amp;" FROM "&amp;D60&amp;" WHERE "&amp;'0. Instruções'!$D$42&amp;")X"</f>
        <v>(SELECT a, idcomb_lt_inicial FROM BU_LOANTAPE_WORK.LT001_UNIV_OPER WHERE ref_date='${ref_date}' AND nome_perimetro='Individual Local' AND segmento='ESTR' AND ambito='SRB_MBDT' AND entidade='00100')X</v>
      </c>
      <c r="J60" s="34" t="str">
        <f>"(SELECT "&amp;VLOOKUP(B60,'0. Instruções'!$C$27:$G$32,4,FALSE)&amp;" AS "&amp;VLOOKUP(B60,'0. Instruções'!$C$27:$G$32,4,FALSE)&amp;"_SIMUL, "&amp;F60&amp;" AS "&amp;F60&amp;"_SIMUL FROM "&amp;E60&amp;" WHERE "&amp;'0. Instruções'!$D$43&amp;")Y"</f>
        <v>(SELECT a AS a_SIMUL, idcomb_lt_inicial AS idcomb_lt_inicial_SIMUL FROM BU_LOANTAPE_WORK.SIMUL_LT001 WHERE ref_date='${ref_date}' AND nome_perimetro='Individual Local' AND segmento='ESTR' AND ambito='PILAR3' AND entidade='00100')Y</v>
      </c>
      <c r="K60" s="35" t="str">
        <f>+UPPER("ON X."&amp;VLOOKUP(B60,'0. Instruções'!$C$27:$G$32,4,FALSE)&amp;"=Y."&amp;VLOOKUP(B60,'0. Instruções'!$C$27:$G$32,4,FALSE)&amp;"_SIMUL")</f>
        <v>ON X.A=Y.A_SIMUL</v>
      </c>
      <c r="L60" s="35" t="str">
        <f>+IF(C60="Coerência", +IF(LEFT(G60,5)="FLOAT","SELECT '"&amp;UPPER(B60)&amp;"' AS TABELA, '"&amp;UPPER(C60)&amp;"' AS TIPOLOGIA_TESTE,'"&amp;D60&amp;"' AS TABELA_LT,'"&amp;E60&amp;"' AS TABELA_SIMUL,'"&amp;F60&amp;"' AS CAMPO, "&amp;"'${ref_date}' AS REF_DATE, COUNT(*) AS NUM_REG, SUM(IF((ABS(COALESCE(CAST(X."&amp;F60&amp;" AS DECIMAL(18,6)),0)-COALESCE(CAST(Y."&amp;F60&amp;"_SIMUL AS DECIMAL(18,6)),0))&gt;0.000001) OR (X."&amp;F60&amp;" IS NULL AND Y."&amp;F60&amp;"_SIMUL IS NOT NULL ) OR (X."&amp;F60&amp;" IS NOT NULL AND Y."&amp;F60&amp;"_SIMUL IS NULL),1,0)) AS NUM_REG_DIF,'"&amp;MAX('ID1&amp;5'!K:K)+1&amp;"' AS ID_EXEC, CURRENT_TIMESTAMP() AS TIME_EXEC FROM "&amp;I60&amp;" INNER JOIN "&amp;J60&amp;" "&amp;K60,"SELECT '"&amp;UPPER(B60)&amp;"' AS TABELA, '"&amp;UPPER(C60)&amp;"' AS TIPOLOGIA_TESTE,'"&amp;D60&amp;"' AS TABELA_LT,'"&amp;E60&amp;"' AS TABELA_SIMUL,'"&amp;F60&amp;"' AS CAMPO, "&amp;"'${ref_date}' AS REF_DATE, COUNT(*) AS NUM_REG, SUM(IF(COALESCE(CAST(X."&amp;F60&amp;" AS STRING),'')&lt;&gt;COALESCE(CAST(Y."&amp;F60&amp;"_SIMUL AS STRING),'') OR (X."&amp;F60&amp;" IS NULL AND Y."&amp;F60&amp;"_SIMUL IS NOT NULL ) OR (X."&amp;F60&amp;" IS NOT NULL AND Y."&amp;F60&amp;"_SIMUL IS NULL),1,0)) AS NUM_REG_DIF,'"&amp;MAX('ID1&amp;5'!L:L)+1&amp;"' AS ID_EXEC, CURRENT_TIMESTAMP() AS TIME_EXEC FROM "&amp;I60&amp;" INNER JOIN "&amp;J60&amp;" "&amp;K60),
IF(C60="Validade",+IF(G60="Code List","SELECT '"&amp;UPPER(B60)&amp;"' AS TABELA, '"&amp;UPPER(C60)&amp;"' AS TIPOLOGIA_TESTE,'"&amp;D60&amp;"' AS TABELA_LT,'N/A' AS TABELA_SIMUL,'"&amp;F60&amp;"' AS CAMPO, "&amp;"'${ref_date}' AS REF_DATE, COUNT(*) AS NUM_REG, SUM(IF(TRIM(CAST(X."&amp;F60&amp;" AS STRING))='' OR TRIM(CAST(X."&amp;F60&amp;" AS STRING)) IS NULL OR CAST(X."&amp;F60&amp;" AS STRING) NOT "&amp;H60&amp;",1,0)) AS NUM_REG_DIF,'"&amp;MAX('ID1&amp;5'!K:K)+1&amp;"' AS ID_EXEC, CURRENT_TIMESTAMP() AS TIME_EXEC FROM "&amp;I60,"SELECT '"&amp;UPPER(B60)&amp;"' AS TABELA, '"&amp;UPPER(C60)&amp;"' AS TIPOLOGIA_TESTE,'"&amp;D60&amp;"' AS TABELA_LT,'N/A' AS TABELA_SIMUL,'"&amp;F60&amp;"' AS CAMPO, "&amp;"'${ref_date}' AS REF_DATE, COUNT(*) AS NUM_REG, SUM(IF(TRIM(CAST(X."&amp;F60&amp;" AS STRING))='' OR TRIM(CAST(X."&amp;F60&amp;" AS STRING)) IS NULL,1,0)) AS NUM_REG_DIF,'"&amp;MAX('ID1&amp;5'!K:K)+1&amp;"' AS ID_EXEC, CURRENT_TIMESTAMP() AS TIME_EXEC FROM "&amp;I60),
IF(C60="Caracteres Especiais",+"SELECT '"&amp;UPPER(B60)&amp;"' AS TABELA, '"&amp;UPPER(C60)&amp;"' AS TIPOLOGIA_TESTE,'"&amp;D60&amp;"' AS TABELA_LT,'N/A' AS TABELA_SIMUL,'"&amp;F60&amp;"' AS CAMPO, "&amp;"'${ref_date}' AS REF_DATE, COUNT(*) AS NUM_REG, SUM(IF(REGEXP_REPLACE(TRIM(CAST(X."&amp;F60&amp;" AS STRING)),'[^a-zA-Z0-9_\\s]','') &lt;&gt;TRIM(CAST(X."&amp;F60&amp;" AS STRING)),1,0)) AS NUM_REG_DIF,'"&amp;MAX('ID1&amp;5'!K:K)+1&amp;"' AS ID_EXEC, CURRENT_TIMESTAMP() AS TIME_EXEC FROM "&amp;I60,
IF(C60="Missings",+"SELECT '"&amp;UPPER(B60)&amp;"' AS TABELA, '"&amp;UPPER(C60)&amp;"' AS TIPOLOGIA_TESTE,'"&amp;D60&amp;"' AS TABELA_LT,'N/A' AS TABELA_SIMUL,'"&amp;F60&amp;"' AS CAMPO, "&amp;"'${ref_date}' AS REF_DATE, COUNT(*) AS NUM_REG, SUM(IF(TRIM(CAST(X."&amp;F60&amp;" AS STRING)) IN ('0000-00-00','0001-01-01','9999-12-31','MISS','00000','99999999999','99999999999.00','99999999999.000000'),1,0)) AS NUM_REG_DIF,'"&amp;MAX('ID1&amp;5'!K:K)+1&amp;"' AS ID_EXEC, CURRENT_TIMESTAMP() AS TIME_EXEC FROM "&amp;I60,
IF(C60="Not applicable",+"SELECT '"&amp;UPPER(B60)&amp;"' AS TABELA, '"&amp;UPPER(C60)&amp;"' AS TIPOLOGIA_TESTE,'"&amp;D60&amp;"' AS TABELA_LT,'N/A' AS TABELA_SIMUL,'"&amp;F60&amp;"' AS CAMPO, "&amp;"'${ref_date}' AS REF_DATE, COUNT(*) AS NUM_REG, SUM(IF(TRIM(CAST(X."&amp;F60&amp;" AS STRING)) IN ('N/A','11111111111','11111111111.00','11111111111.000000','1111-11-11'),1,0)) AS NUM_REG_DIF,'"&amp;MAX('ID1&amp;5'!K:K)+1&amp;"' AS ID_EXEC, CURRENT_TIMESTAMP() AS TIME_EXEC FROM "&amp;I60,
IF(C60="Valores extremos",+"SELECT '"&amp;UPPER(B60)&amp;"' AS TABELA, '"&amp;UPPER(C60)&amp;"' AS TIPOLOGIA_TESTE,'"&amp;D60&amp;"' AS TABELA_LT,'N/A' AS TABELA_SIMUL,'"&amp;F60&amp;"' AS CAMPO, "&amp;"'${ref_date}' AS REF_DATE, CAST(MIN("&amp;F60&amp;") AS STRING) AS VALOR_MIN, CAST(MAX("&amp;F60&amp;") AS STRING) AS VALOR_MAX,'"&amp;MAX('ID1&amp;5'!K:K)+1&amp;"' AS ID_EXEC, CURRENT_TIMESTAMP() AS TIME_EXEC FROM "&amp;MID(I60,1,LEN(I60)-2)&amp;" AND CAST("&amp;F60&amp;"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TABELA_SIMUL,'idcomb_lt_inicial' AS CAMPO, '${ref_date}' AS REF_DATE, COUNT(*) AS NUM_REG, SUM(IF(COALESCE(CAST(X.idcomb_lt_inicial AS STRING),'')&lt;&gt;COALESCE(CAST(Y.idcomb_lt_inicial_SIMUL AS STRING),'') OR (X.idcomb_lt_inicial IS NULL AND Y.idcomb_lt_inicial_SIMUL IS NOT NULL ) OR (X.idcomb_lt_inicial IS NOT NULL AND Y.idcomb_lt_inicial_SIMUL IS NULL),1,0)) AS NUM_REG_DIF,'1' AS ID_EXEC, CURRENT_TIMESTAMP() AS TIME_EXEC FROM (SELECT a, idcomb_lt_inicial FROM BU_LOANTAPE_WORK.LT001_UNIV_OPER WHERE ref_date='${ref_date}' AND nome_perimetro='Individual Local' AND segmento='ESTR' AND ambito='SRB_MBDT' AND entidade='00100')X INNER JOIN (SELECT a AS a_SIMUL, idcomb_lt_inicial AS idcomb_lt_inicial_SIMUL FROM BU_LOANTAPE_WORK.SIMUL_LT001 WHERE ref_date='${ref_date}' AND nome_perimetro='Individual Local' AND segmento='ESTR' AND ambito='PILAR3' AND entidade='00100')Y ON X.A=Y.A_SIMUL</v>
      </c>
      <c r="M60" s="36" t="str">
        <f t="shared" si="3"/>
        <v>UNION ALL SELECT 'UNIV_OPER' AS TABELA, 'COERÊNCIA' AS TIPOLOGIA_TESTE,'BU_LOANTAPE_WORK.LT001_UNIV_OPER' AS TABELA_LT,'BU_LOANTAPE_WORK.SIMUL_LT001' AS TABELA_SIMUL,'idcomb_lt_inicial' AS CAMPO, '${ref_date}' AS REF_DATE, COUNT(*) AS NUM_REG, SUM(IF(COALESCE(CAST(X.idcomb_lt_inicial AS STRING),'')&lt;&gt;COALESCE(CAST(Y.idcomb_lt_inicial_SIMUL AS STRING),'') OR (X.idcomb_lt_inicial IS NULL AND Y.idcomb_lt_inicial_SIMUL IS NOT NULL ) OR (X.idcomb_lt_inicial IS NOT NULL AND Y.idcomb_lt_inicial_SIMUL IS NULL),1,0)) AS NUM_REG_DIF,'1' AS ID_EXEC, CURRENT_TIMESTAMP() AS TIME_EXEC FROM (SELECT a, idcomb_lt_inicial FROM BU_LOANTAPE_WORK.LT001_UNIV_OPER WHERE ref_date='${ref_date}' AND nome_perimetro='Individual Local' AND segmento='ESTR' AND ambito='SRB_MBDT' AND entidade='00100')X INNER JOIN (SELECT a AS a_SIMUL, idcomb_lt_inicial AS idcomb_lt_inicial_SIMUL FROM BU_LOANTAPE_WORK.SIMUL_LT001 WHERE ref_date='${ref_date}' AND nome_perimetro='Individual Local' AND segmento='ESTR' AND ambito='PILAR3' AND entidade='00100')Y ON X.A=Y.A_SIMUL</v>
      </c>
      <c r="N60" s="38" t="s">
        <v>40</v>
      </c>
    </row>
    <row r="61" spans="1:14">
      <c r="B61" s="34" t="s">
        <v>1092</v>
      </c>
      <c r="C61" s="34" t="s">
        <v>5</v>
      </c>
      <c r="D61" s="34" t="str">
        <f>+UPPER('0. Instruções'!$D$35&amp;"."&amp;VLOOKUP(B61,'0. Instruções'!$C$27:$D$32,2,FALSE))</f>
        <v>BU_LOANTAPE_WORK.LT001_UNIV_OPER</v>
      </c>
      <c r="E61" s="34" t="str">
        <f>+UPPER('0. Instruções'!$D$36&amp;"."&amp;VLOOKUP(B61,'0. Instruções'!$C$27:$E$32,3,FALSE))</f>
        <v>BU_LOANTAPE_WORK.SIMUL_LT001</v>
      </c>
      <c r="F61" s="34" t="s">
        <v>1145</v>
      </c>
      <c r="G61" s="34"/>
      <c r="H61" s="34"/>
      <c r="I61" s="34" t="str">
        <f>"(SELECT "&amp;VLOOKUP(B61,'0. Instruções'!$C$27:$G$32,4,FALSE)&amp;", "&amp;F61&amp;" FROM "&amp;D61&amp;" WHERE "&amp;'0. Instruções'!$D$42&amp;")X"</f>
        <v>(SELECT a, idcomb_lt_final FROM BU_LOANTAPE_WORK.LT001_UNIV_OPER WHERE ref_date='${ref_date}' AND nome_perimetro='Individual Local' AND segmento='ESTR' AND ambito='SRB_MBDT' AND entidade='00100')X</v>
      </c>
      <c r="J61" s="34" t="str">
        <f>"(SELECT "&amp;VLOOKUP(B61,'0. Instruções'!$C$27:$G$32,4,FALSE)&amp;" AS "&amp;VLOOKUP(B61,'0. Instruções'!$C$27:$G$32,4,FALSE)&amp;"_SIMUL, "&amp;F61&amp;" AS "&amp;F61&amp;"_SIMUL FROM "&amp;E61&amp;" WHERE "&amp;'0. Instruções'!$D$43&amp;")Y"</f>
        <v>(SELECT a AS a_SIMUL, idcomb_lt_final AS idcomb_lt_final_SIMUL FROM BU_LOANTAPE_WORK.SIMUL_LT001 WHERE ref_date='${ref_date}' AND nome_perimetro='Individual Local' AND segmento='ESTR' AND ambito='PILAR3' AND entidade='00100')Y</v>
      </c>
      <c r="K61" s="35" t="str">
        <f>+UPPER("ON X."&amp;VLOOKUP(B61,'0. Instruções'!$C$27:$G$32,4,FALSE)&amp;"=Y."&amp;VLOOKUP(B61,'0. Instruções'!$C$27:$G$32,4,FALSE)&amp;"_SIMUL")</f>
        <v>ON X.A=Y.A_SIMUL</v>
      </c>
      <c r="L61" s="35" t="str">
        <f>+IF(C61="Coerência", +IF(LEFT(G61,5)="FLOAT","SELECT '"&amp;UPPER(B61)&amp;"' AS TABELA, '"&amp;UPPER(C61)&amp;"' AS TIPOLOGIA_TESTE,'"&amp;D61&amp;"' AS TABELA_LT,'"&amp;E61&amp;"' AS TABELA_SIMUL,'"&amp;F61&amp;"' AS CAMPO, "&amp;"'${ref_date}' AS REF_DATE, COUNT(*) AS NUM_REG, SUM(IF((ABS(COALESCE(CAST(X."&amp;F61&amp;" AS DECIMAL(18,6)),0)-COALESCE(CAST(Y."&amp;F61&amp;"_SIMUL AS DECIMAL(18,6)),0))&gt;0.000001) OR (X."&amp;F61&amp;" IS NULL AND Y."&amp;F61&amp;"_SIMUL IS NOT NULL ) OR (X."&amp;F61&amp;" IS NOT NULL AND Y."&amp;F61&amp;"_SIMUL IS NULL),1,0)) AS NUM_REG_DIF,'"&amp;MAX('ID1&amp;5'!K:K)+1&amp;"' AS ID_EXEC, CURRENT_TIMESTAMP() AS TIME_EXEC FROM "&amp;I61&amp;" INNER JOIN "&amp;J61&amp;" "&amp;K61,"SELECT '"&amp;UPPER(B61)&amp;"' AS TABELA, '"&amp;UPPER(C61)&amp;"' AS TIPOLOGIA_TESTE,'"&amp;D61&amp;"' AS TABELA_LT,'"&amp;E61&amp;"' AS TABELA_SIMUL,'"&amp;F61&amp;"' AS CAMPO, "&amp;"'${ref_date}' AS REF_DATE, COUNT(*) AS NUM_REG, SUM(IF(COALESCE(CAST(X."&amp;F61&amp;" AS STRING),'')&lt;&gt;COALESCE(CAST(Y."&amp;F61&amp;"_SIMUL AS STRING),'') OR (X."&amp;F61&amp;" IS NULL AND Y."&amp;F61&amp;"_SIMUL IS NOT NULL ) OR (X."&amp;F61&amp;" IS NOT NULL AND Y."&amp;F61&amp;"_SIMUL IS NULL),1,0)) AS NUM_REG_DIF,'"&amp;MAX('ID1&amp;5'!L:L)+1&amp;"' AS ID_EXEC, CURRENT_TIMESTAMP() AS TIME_EXEC FROM "&amp;I61&amp;" INNER JOIN "&amp;J61&amp;" "&amp;K61),
IF(C61="Validade",+IF(G61="Code List","SELECT '"&amp;UPPER(B61)&amp;"' AS TABELA, '"&amp;UPPER(C61)&amp;"' AS TIPOLOGIA_TESTE,'"&amp;D61&amp;"' AS TABELA_LT,'N/A' AS TABELA_SIMUL,'"&amp;F61&amp;"' AS CAMPO, "&amp;"'${ref_date}' AS REF_DATE, COUNT(*) AS NUM_REG, SUM(IF(TRIM(CAST(X."&amp;F61&amp;" AS STRING))='' OR TRIM(CAST(X."&amp;F61&amp;" AS STRING)) IS NULL OR CAST(X."&amp;F61&amp;" AS STRING) NOT "&amp;H61&amp;",1,0)) AS NUM_REG_DIF,'"&amp;MAX('ID1&amp;5'!K:K)+1&amp;"' AS ID_EXEC, CURRENT_TIMESTAMP() AS TIME_EXEC FROM "&amp;I61,"SELECT '"&amp;UPPER(B61)&amp;"' AS TABELA, '"&amp;UPPER(C61)&amp;"' AS TIPOLOGIA_TESTE,'"&amp;D61&amp;"' AS TABELA_LT,'N/A' AS TABELA_SIMUL,'"&amp;F61&amp;"' AS CAMPO, "&amp;"'${ref_date}' AS REF_DATE, COUNT(*) AS NUM_REG, SUM(IF(TRIM(CAST(X."&amp;F61&amp;" AS STRING))='' OR TRIM(CAST(X."&amp;F61&amp;" AS STRING)) IS NULL,1,0)) AS NUM_REG_DIF,'"&amp;MAX('ID1&amp;5'!K:K)+1&amp;"' AS ID_EXEC, CURRENT_TIMESTAMP() AS TIME_EXEC FROM "&amp;I61),
IF(C61="Caracteres Especiais",+"SELECT '"&amp;UPPER(B61)&amp;"' AS TABELA, '"&amp;UPPER(C61)&amp;"' AS TIPOLOGIA_TESTE,'"&amp;D61&amp;"' AS TABELA_LT,'N/A' AS TABELA_SIMUL,'"&amp;F61&amp;"' AS CAMPO, "&amp;"'${ref_date}' AS REF_DATE, COUNT(*) AS NUM_REG, SUM(IF(REGEXP_REPLACE(TRIM(CAST(X."&amp;F61&amp;" AS STRING)),'[^a-zA-Z0-9_\\s]','') &lt;&gt;TRIM(CAST(X."&amp;F61&amp;" AS STRING)),1,0)) AS NUM_REG_DIF,'"&amp;MAX('ID1&amp;5'!K:K)+1&amp;"' AS ID_EXEC, CURRENT_TIMESTAMP() AS TIME_EXEC FROM "&amp;I61,
IF(C61="Missings",+"SELECT '"&amp;UPPER(B61)&amp;"' AS TABELA, '"&amp;UPPER(C61)&amp;"' AS TIPOLOGIA_TESTE,'"&amp;D61&amp;"' AS TABELA_LT,'N/A' AS TABELA_SIMUL,'"&amp;F61&amp;"' AS CAMPO, "&amp;"'${ref_date}' AS REF_DATE, COUNT(*) AS NUM_REG, SUM(IF(TRIM(CAST(X."&amp;F61&amp;" AS STRING)) IN ('0000-00-00','0001-01-01','9999-12-31','MISS','00000','99999999999','99999999999.00','99999999999.000000'),1,0)) AS NUM_REG_DIF,'"&amp;MAX('ID1&amp;5'!K:K)+1&amp;"' AS ID_EXEC, CURRENT_TIMESTAMP() AS TIME_EXEC FROM "&amp;I61,
IF(C61="Not applicable",+"SELECT '"&amp;UPPER(B61)&amp;"' AS TABELA, '"&amp;UPPER(C61)&amp;"' AS TIPOLOGIA_TESTE,'"&amp;D61&amp;"' AS TABELA_LT,'N/A' AS TABELA_SIMUL,'"&amp;F61&amp;"' AS CAMPO, "&amp;"'${ref_date}' AS REF_DATE, COUNT(*) AS NUM_REG, SUM(IF(TRIM(CAST(X."&amp;F61&amp;" AS STRING)) IN ('N/A','11111111111','11111111111.00','11111111111.000000','1111-11-11'),1,0)) AS NUM_REG_DIF,'"&amp;MAX('ID1&amp;5'!K:K)+1&amp;"' AS ID_EXEC, CURRENT_TIMESTAMP() AS TIME_EXEC FROM "&amp;I61,
IF(C61="Valores extremos",+"SELECT '"&amp;UPPER(B61)&amp;"' AS TABELA, '"&amp;UPPER(C61)&amp;"' AS TIPOLOGIA_TESTE,'"&amp;D61&amp;"' AS TABELA_LT,'N/A' AS TABELA_SIMUL,'"&amp;F61&amp;"' AS CAMPO, "&amp;"'${ref_date}' AS REF_DATE, CAST(MIN("&amp;F61&amp;") AS STRING) AS VALOR_MIN, CAST(MAX("&amp;F61&amp;") AS STRING) AS VALOR_MAX,'"&amp;MAX('ID1&amp;5'!K:K)+1&amp;"' AS ID_EXEC, CURRENT_TIMESTAMP() AS TIME_EXEC FROM "&amp;MID(I61,1,LEN(I61)-2)&amp;" AND CAST("&amp;F61&amp;"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TABELA_SIMUL,'idcomb_lt_final' AS CAMPO, '${ref_date}' AS REF_DATE, COUNT(*) AS NUM_REG, SUM(IF(COALESCE(CAST(X.idcomb_lt_final AS STRING),'')&lt;&gt;COALESCE(CAST(Y.idcomb_lt_final_SIMUL AS STRING),'') OR (X.idcomb_lt_final IS NULL AND Y.idcomb_lt_final_SIMUL IS NOT NULL ) OR (X.idcomb_lt_final IS NOT NULL AND Y.idcomb_lt_final_SIMUL IS NULL),1,0)) AS NUM_REG_DIF,'1' AS ID_EXEC, CURRENT_TIMESTAMP() AS TIME_EXEC FROM (SELECT a, idcomb_lt_final FROM BU_LOANTAPE_WORK.LT001_UNIV_OPER WHERE ref_date='${ref_date}' AND nome_perimetro='Individual Local' AND segmento='ESTR' AND ambito='SRB_MBDT' AND entidade='00100')X INNER JOIN (SELECT a AS a_SIMUL, idcomb_lt_final AS idcomb_lt_final_SIMUL FROM BU_LOANTAPE_WORK.SIMUL_LT001 WHERE ref_date='${ref_date}' AND nome_perimetro='Individual Local' AND segmento='ESTR' AND ambito='PILAR3' AND entidade='00100')Y ON X.A=Y.A_SIMUL</v>
      </c>
      <c r="M61" s="36" t="str">
        <f t="shared" si="3"/>
        <v>UNION ALL SELECT 'UNIV_OPER' AS TABELA, 'COERÊNCIA' AS TIPOLOGIA_TESTE,'BU_LOANTAPE_WORK.LT001_UNIV_OPER' AS TABELA_LT,'BU_LOANTAPE_WORK.SIMUL_LT001' AS TABELA_SIMUL,'idcomb_lt_final' AS CAMPO, '${ref_date}' AS REF_DATE, COUNT(*) AS NUM_REG, SUM(IF(COALESCE(CAST(X.idcomb_lt_final AS STRING),'')&lt;&gt;COALESCE(CAST(Y.idcomb_lt_final_SIMUL AS STRING),'') OR (X.idcomb_lt_final IS NULL AND Y.idcomb_lt_final_SIMUL IS NOT NULL ) OR (X.idcomb_lt_final IS NOT NULL AND Y.idcomb_lt_final_SIMUL IS NULL),1,0)) AS NUM_REG_DIF,'1' AS ID_EXEC, CURRENT_TIMESTAMP() AS TIME_EXEC FROM (SELECT a, idcomb_lt_final FROM BU_LOANTAPE_WORK.LT001_UNIV_OPER WHERE ref_date='${ref_date}' AND nome_perimetro='Individual Local' AND segmento='ESTR' AND ambito='SRB_MBDT' AND entidade='00100')X INNER JOIN (SELECT a AS a_SIMUL, idcomb_lt_final AS idcomb_lt_final_SIMUL FROM BU_LOANTAPE_WORK.SIMUL_LT001 WHERE ref_date='${ref_date}' AND nome_perimetro='Individual Local' AND segmento='ESTR' AND ambito='PILAR3' AND entidade='00100')Y ON X.A=Y.A_SIMUL</v>
      </c>
      <c r="N61" s="38" t="s">
        <v>40</v>
      </c>
    </row>
    <row r="62" spans="1:14">
      <c r="B62" s="34" t="s">
        <v>1092</v>
      </c>
      <c r="C62" s="34" t="s">
        <v>5</v>
      </c>
      <c r="D62" s="34" t="str">
        <f>+UPPER('0. Instruções'!$D$35&amp;"."&amp;VLOOKUP(B62,'0. Instruções'!$C$27:$D$32,2,FALSE))</f>
        <v>BU_LOANTAPE_WORK.LT001_UNIV_OPER</v>
      </c>
      <c r="E62" s="34" t="str">
        <f>+UPPER('0. Instruções'!$D$36&amp;"."&amp;VLOOKUP(B62,'0. Instruções'!$C$27:$E$32,3,FALSE))</f>
        <v>BU_LOANTAPE_WORK.SIMUL_LT001</v>
      </c>
      <c r="F62" s="34" t="s">
        <v>1146</v>
      </c>
      <c r="G62" s="34"/>
      <c r="H62" s="34"/>
      <c r="I62" s="34" t="str">
        <f>"(SELECT "&amp;VLOOKUP(B62,'0. Instruções'!$C$27:$G$32,4,FALSE)&amp;", "&amp;F62&amp;" FROM "&amp;D62&amp;" WHERE "&amp;'0. Instruções'!$D$42&amp;")X"</f>
        <v>(SELECT a, rank_insolv FROM BU_LOANTAPE_WORK.LT001_UNIV_OPER WHERE ref_date='${ref_date}' AND nome_perimetro='Individual Local' AND segmento='ESTR' AND ambito='SRB_MBDT' AND entidade='00100')X</v>
      </c>
      <c r="J62" s="34" t="str">
        <f>"(SELECT "&amp;VLOOKUP(B62,'0. Instruções'!$C$27:$G$32,4,FALSE)&amp;" AS "&amp;VLOOKUP(B62,'0. Instruções'!$C$27:$G$32,4,FALSE)&amp;"_SIMUL, "&amp;F62&amp;" AS "&amp;F62&amp;"_SIMUL FROM "&amp;E62&amp;" WHERE "&amp;'0. Instruções'!$D$43&amp;")Y"</f>
        <v>(SELECT a AS a_SIMUL, rank_insolv AS rank_insolv_SIMUL FROM BU_LOANTAPE_WORK.SIMUL_LT001 WHERE ref_date='${ref_date}' AND nome_perimetro='Individual Local' AND segmento='ESTR' AND ambito='PILAR3' AND entidade='00100')Y</v>
      </c>
      <c r="K62" s="35" t="str">
        <f>+UPPER("ON X."&amp;VLOOKUP(B62,'0. Instruções'!$C$27:$G$32,4,FALSE)&amp;"=Y."&amp;VLOOKUP(B62,'0. Instruções'!$C$27:$G$32,4,FALSE)&amp;"_SIMUL")</f>
        <v>ON X.A=Y.A_SIMUL</v>
      </c>
      <c r="L62" s="35" t="str">
        <f>+IF(C62="Coerência", +IF(LEFT(G62,5)="FLOAT","SELECT '"&amp;UPPER(B62)&amp;"' AS TABELA, '"&amp;UPPER(C62)&amp;"' AS TIPOLOGIA_TESTE,'"&amp;D62&amp;"' AS TABELA_LT,'"&amp;E62&amp;"' AS TABELA_SIMUL,'"&amp;F62&amp;"' AS CAMPO, "&amp;"'${ref_date}' AS REF_DATE, COUNT(*) AS NUM_REG, SUM(IF((ABS(COALESCE(CAST(X."&amp;F62&amp;" AS DECIMAL(18,6)),0)-COALESCE(CAST(Y."&amp;F62&amp;"_SIMUL AS DECIMAL(18,6)),0))&gt;0.000001) OR (X."&amp;F62&amp;" IS NULL AND Y."&amp;F62&amp;"_SIMUL IS NOT NULL ) OR (X."&amp;F62&amp;" IS NOT NULL AND Y."&amp;F62&amp;"_SIMUL IS NULL),1,0)) AS NUM_REG_DIF,'"&amp;MAX('ID1&amp;5'!K:K)+1&amp;"' AS ID_EXEC, CURRENT_TIMESTAMP() AS TIME_EXEC FROM "&amp;I62&amp;" INNER JOIN "&amp;J62&amp;" "&amp;K62,"SELECT '"&amp;UPPER(B62)&amp;"' AS TABELA, '"&amp;UPPER(C62)&amp;"' AS TIPOLOGIA_TESTE,'"&amp;D62&amp;"' AS TABELA_LT,'"&amp;E62&amp;"' AS TABELA_SIMUL,'"&amp;F62&amp;"' AS CAMPO, "&amp;"'${ref_date}' AS REF_DATE, COUNT(*) AS NUM_REG, SUM(IF(COALESCE(CAST(X."&amp;F62&amp;" AS STRING),'')&lt;&gt;COALESCE(CAST(Y."&amp;F62&amp;"_SIMUL AS STRING),'') OR (X."&amp;F62&amp;" IS NULL AND Y."&amp;F62&amp;"_SIMUL IS NOT NULL ) OR (X."&amp;F62&amp;" IS NOT NULL AND Y."&amp;F62&amp;"_SIMUL IS NULL),1,0)) AS NUM_REG_DIF,'"&amp;MAX('ID1&amp;5'!L:L)+1&amp;"' AS ID_EXEC, CURRENT_TIMESTAMP() AS TIME_EXEC FROM "&amp;I62&amp;" INNER JOIN "&amp;J62&amp;" "&amp;K62),
IF(C62="Validade",+IF(G62="Code List","SELECT '"&amp;UPPER(B62)&amp;"' AS TABELA, '"&amp;UPPER(C62)&amp;"' AS TIPOLOGIA_TESTE,'"&amp;D62&amp;"' AS TABELA_LT,'N/A' AS TABELA_SIMUL,'"&amp;F62&amp;"' AS CAMPO, "&amp;"'${ref_date}' AS REF_DATE, COUNT(*) AS NUM_REG, SUM(IF(TRIM(CAST(X."&amp;F62&amp;" AS STRING))='' OR TRIM(CAST(X."&amp;F62&amp;" AS STRING)) IS NULL OR CAST(X."&amp;F62&amp;" AS STRING) NOT "&amp;H62&amp;",1,0)) AS NUM_REG_DIF,'"&amp;MAX('ID1&amp;5'!K:K)+1&amp;"' AS ID_EXEC, CURRENT_TIMESTAMP() AS TIME_EXEC FROM "&amp;I62,"SELECT '"&amp;UPPER(B62)&amp;"' AS TABELA, '"&amp;UPPER(C62)&amp;"' AS TIPOLOGIA_TESTE,'"&amp;D62&amp;"' AS TABELA_LT,'N/A' AS TABELA_SIMUL,'"&amp;F62&amp;"' AS CAMPO, "&amp;"'${ref_date}' AS REF_DATE, COUNT(*) AS NUM_REG, SUM(IF(TRIM(CAST(X."&amp;F62&amp;" AS STRING))='' OR TRIM(CAST(X."&amp;F62&amp;" AS STRING)) IS NULL,1,0)) AS NUM_REG_DIF,'"&amp;MAX('ID1&amp;5'!K:K)+1&amp;"' AS ID_EXEC, CURRENT_TIMESTAMP() AS TIME_EXEC FROM "&amp;I62),
IF(C62="Caracteres Especiais",+"SELECT '"&amp;UPPER(B62)&amp;"' AS TABELA, '"&amp;UPPER(C62)&amp;"' AS TIPOLOGIA_TESTE,'"&amp;D62&amp;"' AS TABELA_LT,'N/A' AS TABELA_SIMUL,'"&amp;F62&amp;"' AS CAMPO, "&amp;"'${ref_date}' AS REF_DATE, COUNT(*) AS NUM_REG, SUM(IF(REGEXP_REPLACE(TRIM(CAST(X."&amp;F62&amp;" AS STRING)),'[^a-zA-Z0-9_\\s]','') &lt;&gt;TRIM(CAST(X."&amp;F62&amp;" AS STRING)),1,0)) AS NUM_REG_DIF,'"&amp;MAX('ID1&amp;5'!K:K)+1&amp;"' AS ID_EXEC, CURRENT_TIMESTAMP() AS TIME_EXEC FROM "&amp;I62,
IF(C62="Missings",+"SELECT '"&amp;UPPER(B62)&amp;"' AS TABELA, '"&amp;UPPER(C62)&amp;"' AS TIPOLOGIA_TESTE,'"&amp;D62&amp;"' AS TABELA_LT,'N/A' AS TABELA_SIMUL,'"&amp;F62&amp;"' AS CAMPO, "&amp;"'${ref_date}' AS REF_DATE, COUNT(*) AS NUM_REG, SUM(IF(TRIM(CAST(X."&amp;F62&amp;" AS STRING)) IN ('0000-00-00','0001-01-01','9999-12-31','MISS','00000','99999999999','99999999999.00','99999999999.000000'),1,0)) AS NUM_REG_DIF,'"&amp;MAX('ID1&amp;5'!K:K)+1&amp;"' AS ID_EXEC, CURRENT_TIMESTAMP() AS TIME_EXEC FROM "&amp;I62,
IF(C62="Not applicable",+"SELECT '"&amp;UPPER(B62)&amp;"' AS TABELA, '"&amp;UPPER(C62)&amp;"' AS TIPOLOGIA_TESTE,'"&amp;D62&amp;"' AS TABELA_LT,'N/A' AS TABELA_SIMUL,'"&amp;F62&amp;"' AS CAMPO, "&amp;"'${ref_date}' AS REF_DATE, COUNT(*) AS NUM_REG, SUM(IF(TRIM(CAST(X."&amp;F62&amp;" AS STRING)) IN ('N/A','11111111111','11111111111.00','11111111111.000000','1111-11-11'),1,0)) AS NUM_REG_DIF,'"&amp;MAX('ID1&amp;5'!K:K)+1&amp;"' AS ID_EXEC, CURRENT_TIMESTAMP() AS TIME_EXEC FROM "&amp;I62,
IF(C62="Valores extremos",+"SELECT '"&amp;UPPER(B62)&amp;"' AS TABELA, '"&amp;UPPER(C62)&amp;"' AS TIPOLOGIA_TESTE,'"&amp;D62&amp;"' AS TABELA_LT,'N/A' AS TABELA_SIMUL,'"&amp;F62&amp;"' AS CAMPO, "&amp;"'${ref_date}' AS REF_DATE, CAST(MIN("&amp;F62&amp;") AS STRING) AS VALOR_MIN, CAST(MAX("&amp;F62&amp;") AS STRING) AS VALOR_MAX,'"&amp;MAX('ID1&amp;5'!K:K)+1&amp;"' AS ID_EXEC, CURRENT_TIMESTAMP() AS TIME_EXEC FROM "&amp;MID(I62,1,LEN(I62)-2)&amp;" AND CAST("&amp;F62&amp;" AS STRING) NOT IN ('0000-00-00','0001-01-01','9999-12-31','MISS','00000','99999999999','99999999999.00','99999999999.000000','N/A','11111111111','11111111111.00','11111111111.000000','1111-11-11'))X"))))))</f>
        <v>SELECT 'UNIV_OPER' AS TABELA, 'COERÊNCIA' AS TIPOLOGIA_TESTE,'BU_LOANTAPE_WORK.LT001_UNIV_OPER' AS TABELA_LT,'BU_LOANTAPE_WORK.SIMUL_LT001' AS TABELA_SIMUL,'rank_insolv' AS CAMPO, '${ref_date}' AS REF_DATE, COUNT(*) AS NUM_REG, SUM(IF(COALESCE(CAST(X.rank_insolv AS STRING),'')&lt;&gt;COALESCE(CAST(Y.rank_insolv_SIMUL AS STRING),'') OR (X.rank_insolv IS NULL AND Y.rank_insolv_SIMUL IS NOT NULL ) OR (X.rank_insolv IS NOT NULL AND Y.rank_insolv_SIMUL IS NULL),1,0)) AS NUM_REG_DIF,'1' AS ID_EXEC, CURRENT_TIMESTAMP() AS TIME_EXEC FROM (SELECT a, rank_insolv FROM BU_LOANTAPE_WORK.LT001_UNIV_OPER WHERE ref_date='${ref_date}' AND nome_perimetro='Individual Local' AND segmento='ESTR' AND ambito='SRB_MBDT' AND entidade='00100')X INNER JOIN (SELECT a AS a_SIMUL, rank_insolv AS rank_insolv_SIMUL FROM BU_LOANTAPE_WORK.SIMUL_LT001 WHERE ref_date='${ref_date}' AND nome_perimetro='Individual Local' AND segmento='ESTR' AND ambito='PILAR3' AND entidade='00100')Y ON X.A=Y.A_SIMUL</v>
      </c>
      <c r="M62" s="36" t="str">
        <f t="shared" si="3"/>
        <v>UNION ALL SELECT 'UNIV_OPER' AS TABELA, 'COERÊNCIA' AS TIPOLOGIA_TESTE,'BU_LOANTAPE_WORK.LT001_UNIV_OPER' AS TABELA_LT,'BU_LOANTAPE_WORK.SIMUL_LT001' AS TABELA_SIMUL,'rank_insolv' AS CAMPO, '${ref_date}' AS REF_DATE, COUNT(*) AS NUM_REG, SUM(IF(COALESCE(CAST(X.rank_insolv AS STRING),'')&lt;&gt;COALESCE(CAST(Y.rank_insolv_SIMUL AS STRING),'') OR (X.rank_insolv IS NULL AND Y.rank_insolv_SIMUL IS NOT NULL ) OR (X.rank_insolv IS NOT NULL AND Y.rank_insolv_SIMUL IS NULL),1,0)) AS NUM_REG_DIF,'1' AS ID_EXEC, CURRENT_TIMESTAMP() AS TIME_EXEC FROM (SELECT a, rank_insolv FROM BU_LOANTAPE_WORK.LT001_UNIV_OPER WHERE ref_date='${ref_date}' AND nome_perimetro='Individual Local' AND segmento='ESTR' AND ambito='SRB_MBDT' AND entidade='00100')X INNER JOIN (SELECT a AS a_SIMUL, rank_insolv AS rank_insolv_SIMUL FROM BU_LOANTAPE_WORK.SIMUL_LT001 WHERE ref_date='${ref_date}' AND nome_perimetro='Individual Local' AND segmento='ESTR' AND ambito='PILAR3' AND entidade='00100')Y ON X.A=Y.A_SIMUL</v>
      </c>
      <c r="N62" s="38" t="s">
        <v>40</v>
      </c>
    </row>
    <row r="63" spans="1:14">
      <c r="B63" s="34" t="s">
        <v>117</v>
      </c>
      <c r="C63" s="34" t="s">
        <v>5</v>
      </c>
      <c r="D63" s="34" t="str">
        <f>+UPPER('0. Instruções'!$D$35&amp;"."&amp;VLOOKUP(B63,'0. Instruções'!$C$27:$D$32,2,FALSE))</f>
        <v>BU_LOANTAPE_WORK.LT002_INSTRUMENT</v>
      </c>
      <c r="E63" s="34" t="str">
        <f>+UPPER('0. Instruções'!$D$36&amp;"."&amp;VLOOKUP(B63,'0. Instruções'!$C$27:$E$32,3,FALSE))</f>
        <v>BU_LOANTAPE_WORK.SIMUL_LT002_INSTRUMENT</v>
      </c>
      <c r="F63" s="34" t="s">
        <v>1149</v>
      </c>
      <c r="G63" s="34"/>
      <c r="H63" s="34"/>
      <c r="I63" s="34" t="str">
        <f>"(SELECT "&amp;VLOOKUP(B63,'0. Instruções'!$C$27:$G$32,4,FALSE)&amp;", "&amp;F63&amp;" FROM "&amp;D63&amp;" WHERE "&amp;'0. Instruções'!$D$42&amp;")X"</f>
        <v>(SELECT instrmnt_id, cntrct_id FROM BU_LOANTAPE_WORK.LT002_INSTRUMENT WHERE ref_date='${ref_date}' AND nome_perimetro='Individual Local' AND segmento='ESTR' AND ambito='SRB_MBDT' AND entidade='00100')X</v>
      </c>
      <c r="J63" s="34" t="str">
        <f>"(SELECT "&amp;VLOOKUP(B63,'0. Instruções'!$C$27:$G$32,4,FALSE)&amp;" AS "&amp;VLOOKUP(B63,'0. Instruções'!$C$27:$G$32,4,FALSE)&amp;"_SIMUL, "&amp;F63&amp;" AS "&amp;F63&amp;"_SIMUL FROM "&amp;E63&amp;" WHERE "&amp;'0. Instruções'!$D$43&amp;")Y"</f>
        <v>(SELECT instrmnt_id AS instrmnt_id_SIMUL, cntrct_id AS cntrct_id_SIMUL FROM BU_LOANTAPE_WORK.SIMUL_LT002_INSTRUMENT WHERE ref_date='${ref_date}' AND nome_perimetro='Individual Local' AND segmento='ESTR' AND ambito='PILAR3' AND entidade='00100')Y</v>
      </c>
      <c r="K63" s="35" t="str">
        <f>+UPPER("ON X."&amp;VLOOKUP(B63,'0. Instruções'!$C$27:$G$32,4,FALSE)&amp;"=Y."&amp;VLOOKUP(B63,'0. Instruções'!$C$27:$G$32,4,FALSE)&amp;"_SIMUL")</f>
        <v>ON X.INSTRMNT_ID=Y.INSTRMNT_ID_SIMUL</v>
      </c>
      <c r="L63" s="35" t="str">
        <f>+IF(C63="Coerência", +IF(LEFT(G63,5)="FLOAT","SELECT '"&amp;UPPER(B63)&amp;"' AS TABELA, '"&amp;UPPER(C63)&amp;"' AS TIPOLOGIA_TESTE,'"&amp;D63&amp;"' AS TABELA_LT,'"&amp;E63&amp;"' AS TABELA_SIMUL,'"&amp;F63&amp;"' AS CAMPO, "&amp;"'${ref_date}' AS REF_DATE, COUNT(*) AS NUM_REG, SUM(IF((ABS(COALESCE(CAST(X."&amp;F63&amp;" AS DECIMAL(18,6)),0)-COALESCE(CAST(Y."&amp;F63&amp;"_SIMUL AS DECIMAL(18,6)),0))&gt;0.000001) OR (X."&amp;F63&amp;" IS NULL AND Y."&amp;F63&amp;"_SIMUL IS NOT NULL ) OR (X."&amp;F63&amp;" IS NOT NULL AND Y."&amp;F63&amp;"_SIMUL IS NULL),1,0)) AS NUM_REG_DIF,'"&amp;MAX('ID1&amp;5'!K:K)+1&amp;"' AS ID_EXEC, CURRENT_TIMESTAMP() AS TIME_EXEC FROM "&amp;I63&amp;" INNER JOIN "&amp;J63&amp;" "&amp;K63,"SELECT '"&amp;UPPER(B63)&amp;"' AS TABELA, '"&amp;UPPER(C63)&amp;"' AS TIPOLOGIA_TESTE,'"&amp;D63&amp;"' AS TABELA_LT,'"&amp;E63&amp;"' AS TABELA_SIMUL,'"&amp;F63&amp;"' AS CAMPO, "&amp;"'${ref_date}' AS REF_DATE, COUNT(*) AS NUM_REG, SUM(IF(COALESCE(CAST(X."&amp;F63&amp;" AS STRING),'')&lt;&gt;COALESCE(CAST(Y."&amp;F63&amp;"_SIMUL AS STRING),'') OR (X."&amp;F63&amp;" IS NULL AND Y."&amp;F63&amp;"_SIMUL IS NOT NULL ) OR (X."&amp;F63&amp;" IS NOT NULL AND Y."&amp;F63&amp;"_SIMUL IS NULL),1,0)) AS NUM_REG_DIF,'"&amp;MAX('ID1&amp;5'!L:L)+1&amp;"' AS ID_EXEC, CURRENT_TIMESTAMP() AS TIME_EXEC FROM "&amp;I63&amp;" INNER JOIN "&amp;J63&amp;" "&amp;K63),
IF(C63="Validade",+IF(G63="Code List","SELECT '"&amp;UPPER(B63)&amp;"' AS TABELA, '"&amp;UPPER(C63)&amp;"' AS TIPOLOGIA_TESTE,'"&amp;D63&amp;"' AS TABELA_LT,'N/A' AS TABELA_SIMUL,'"&amp;F63&amp;"' AS CAMPO, "&amp;"'${ref_date}' AS REF_DATE, COUNT(*) AS NUM_REG, SUM(IF(TRIM(CAST(X."&amp;F63&amp;" AS STRING))='' OR TRIM(CAST(X."&amp;F63&amp;" AS STRING)) IS NULL OR CAST(X."&amp;F63&amp;" AS STRING) NOT "&amp;H63&amp;",1,0)) AS NUM_REG_DIF,'"&amp;MAX('ID1&amp;5'!K:K)+1&amp;"' AS ID_EXEC, CURRENT_TIMESTAMP() AS TIME_EXEC FROM "&amp;I63,"SELECT '"&amp;UPPER(B63)&amp;"' AS TABELA, '"&amp;UPPER(C63)&amp;"' AS TIPOLOGIA_TESTE,'"&amp;D63&amp;"' AS TABELA_LT,'N/A' AS TABELA_SIMUL,'"&amp;F63&amp;"' AS CAMPO, "&amp;"'${ref_date}' AS REF_DATE, COUNT(*) AS NUM_REG, SUM(IF(TRIM(CAST(X."&amp;F63&amp;" AS STRING))='' OR TRIM(CAST(X."&amp;F63&amp;" AS STRING)) IS NULL,1,0)) AS NUM_REG_DIF,'"&amp;MAX('ID1&amp;5'!K:K)+1&amp;"' AS ID_EXEC, CURRENT_TIMESTAMP() AS TIME_EXEC FROM "&amp;I63),
IF(C63="Caracteres Especiais",+"SELECT '"&amp;UPPER(B63)&amp;"' AS TABELA, '"&amp;UPPER(C63)&amp;"' AS TIPOLOGIA_TESTE,'"&amp;D63&amp;"' AS TABELA_LT,'N/A' AS TABELA_SIMUL,'"&amp;F63&amp;"' AS CAMPO, "&amp;"'${ref_date}' AS REF_DATE, COUNT(*) AS NUM_REG, SUM(IF(REGEXP_REPLACE(TRIM(CAST(X."&amp;F63&amp;" AS STRING)),'[^a-zA-Z0-9_\\s]','') &lt;&gt;TRIM(CAST(X."&amp;F63&amp;" AS STRING)),1,0)) AS NUM_REG_DIF,'"&amp;MAX('ID1&amp;5'!K:K)+1&amp;"' AS ID_EXEC, CURRENT_TIMESTAMP() AS TIME_EXEC FROM "&amp;I63,
IF(C63="Missings",+"SELECT '"&amp;UPPER(B63)&amp;"' AS TABELA, '"&amp;UPPER(C63)&amp;"' AS TIPOLOGIA_TESTE,'"&amp;D63&amp;"' AS TABELA_LT,'N/A' AS TABELA_SIMUL,'"&amp;F63&amp;"' AS CAMPO, "&amp;"'${ref_date}' AS REF_DATE, COUNT(*) AS NUM_REG, SUM(IF(TRIM(CAST(X."&amp;F63&amp;" AS STRING)) IN ('0000-00-00','0001-01-01','9999-12-31','MISS','00000','99999999999','99999999999.00','99999999999.000000'),1,0)) AS NUM_REG_DIF,'"&amp;MAX('ID1&amp;5'!K:K)+1&amp;"' AS ID_EXEC, CURRENT_TIMESTAMP() AS TIME_EXEC FROM "&amp;I63,
IF(C63="Not applicable",+"SELECT '"&amp;UPPER(B63)&amp;"' AS TABELA, '"&amp;UPPER(C63)&amp;"' AS TIPOLOGIA_TESTE,'"&amp;D63&amp;"' AS TABELA_LT,'N/A' AS TABELA_SIMUL,'"&amp;F63&amp;"' AS CAMPO, "&amp;"'${ref_date}' AS REF_DATE, COUNT(*) AS NUM_REG, SUM(IF(TRIM(CAST(X."&amp;F63&amp;" AS STRING)) IN ('N/A','11111111111','11111111111.00','11111111111.000000','1111-11-11'),1,0)) AS NUM_REG_DIF,'"&amp;MAX('ID1&amp;5'!K:K)+1&amp;"' AS ID_EXEC, CURRENT_TIMESTAMP() AS TIME_EXEC FROM "&amp;I63,
IF(C63="Valores extremos",+"SELECT '"&amp;UPPER(B63)&amp;"' AS TABELA, '"&amp;UPPER(C63)&amp;"' AS TIPOLOGIA_TESTE,'"&amp;D63&amp;"' AS TABELA_LT,'N/A' AS TABELA_SIMUL,'"&amp;F63&amp;"' AS CAMPO, "&amp;"'${ref_date}' AS REF_DATE, CAST(MIN("&amp;F63&amp;") AS STRING) AS VALOR_MIN, CAST(MAX("&amp;F63&amp;") AS STRING) AS VALOR_MAX,'"&amp;MAX('ID1&amp;5'!K:K)+1&amp;"' AS ID_EXEC, CURRENT_TIMESTAMP() AS TIME_EXEC FROM "&amp;MID(I63,1,LEN(I63)-2)&amp;" AND CAST("&amp;F63&amp;"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TABELA_SIMUL,'cntrct_id' AS CAMPO, '${ref_date}' AS REF_DATE, COUNT(*) AS NUM_REG, SUM(IF(COALESCE(CAST(X.cntrct_id AS STRING),'')&lt;&gt;COALESCE(CAST(Y.cntrct_id_SIMUL AS STRING),'') OR (X.cntrct_id IS NULL AND Y.cntrct_id_SIMUL IS NOT NULL ) OR (X.cntrct_id IS NOT NULL AND Y.cntrct_id_SIMUL IS NULL),1,0)) AS NUM_REG_DIF,'1' AS ID_EXEC, CURRENT_TIMESTAMP() AS TIME_EXEC FROM (SELECT instrmnt_id, cntrct_id FROM BU_LOANTAPE_WORK.LT002_INSTRUMENT WHERE ref_date='${ref_date}' AND nome_perimetro='Individual Local' AND segmento='ESTR' AND ambito='SRB_MBDT' AND entidade='00100')X INNER JOIN (SELECT instrmnt_id AS instrmnt_id_SIMUL, cntrct_id AS cntrct_id_SIMUL FROM BU_LOANTAPE_WORK.SIMUL_LT002_INSTRUMENT WHERE ref_date='${ref_date}' AND nome_perimetro='Individual Local' AND segmento='ESTR' AND ambito='PILAR3' AND entidade='00100')Y ON X.INSTRMNT_ID=Y.INSTRMNT_ID_SIMUL</v>
      </c>
      <c r="M63" s="36" t="str">
        <f t="shared" ref="M63:M126" si="4">+"UNION ALL "&amp;L63</f>
        <v>UNION ALL SELECT 'INSTRUMENT' AS TABELA, 'COERÊNCIA' AS TIPOLOGIA_TESTE,'BU_LOANTAPE_WORK.LT002_INSTRUMENT' AS TABELA_LT,'BU_LOANTAPE_WORK.SIMUL_LT002_INSTRUMENT' AS TABELA_SIMUL,'cntrct_id' AS CAMPO, '${ref_date}' AS REF_DATE, COUNT(*) AS NUM_REG, SUM(IF(COALESCE(CAST(X.cntrct_id AS STRING),'')&lt;&gt;COALESCE(CAST(Y.cntrct_id_SIMUL AS STRING),'') OR (X.cntrct_id IS NULL AND Y.cntrct_id_SIMUL IS NOT NULL ) OR (X.cntrct_id IS NOT NULL AND Y.cntrct_id_SIMUL IS NULL),1,0)) AS NUM_REG_DIF,'1' AS ID_EXEC, CURRENT_TIMESTAMP() AS TIME_EXEC FROM (SELECT instrmnt_id, cntrct_id FROM BU_LOANTAPE_WORK.LT002_INSTRUMENT WHERE ref_date='${ref_date}' AND nome_perimetro='Individual Local' AND segmento='ESTR' AND ambito='SRB_MBDT' AND entidade='00100')X INNER JOIN (SELECT instrmnt_id AS instrmnt_id_SIMUL, cntrct_id AS cntrct_id_SIMUL FROM BU_LOANTAPE_WORK.SIMUL_LT002_INSTRUMENT WHERE ref_date='${ref_date}' AND nome_perimetro='Individual Local' AND segmento='ESTR' AND ambito='PILAR3' AND entidade='00100')Y ON X.INSTRMNT_ID=Y.INSTRMNT_ID_SIMUL</v>
      </c>
      <c r="N63" s="38" t="s">
        <v>40</v>
      </c>
    </row>
    <row r="64" spans="1:14">
      <c r="B64" s="34" t="s">
        <v>117</v>
      </c>
      <c r="C64" s="34" t="s">
        <v>5</v>
      </c>
      <c r="D64" s="34" t="str">
        <f>+UPPER('0. Instruções'!$D$35&amp;"."&amp;VLOOKUP(B64,'0. Instruções'!$C$27:$D$32,2,FALSE))</f>
        <v>BU_LOANTAPE_WORK.LT002_INSTRUMENT</v>
      </c>
      <c r="E64" s="34" t="str">
        <f>+UPPER('0. Instruções'!$D$36&amp;"."&amp;VLOOKUP(B64,'0. Instruções'!$C$27:$E$32,3,FALSE))</f>
        <v>BU_LOANTAPE_WORK.SIMUL_LT002_INSTRUMENT</v>
      </c>
      <c r="F64" s="34" t="s">
        <v>1150</v>
      </c>
      <c r="G64" s="34"/>
      <c r="H64" s="34"/>
      <c r="I64" s="34" t="str">
        <f>"(SELECT "&amp;VLOOKUP(B64,'0. Instruções'!$C$27:$G$32,4,FALSE)&amp;", "&amp;F64&amp;" FROM "&amp;D64&amp;" WHERE "&amp;'0. Instruções'!$D$42&amp;")X"</f>
        <v>(SELECT instrmnt_id, crrncy_dnmntn FROM BU_LOANTAPE_WORK.LT002_INSTRUMENT WHERE ref_date='${ref_date}' AND nome_perimetro='Individual Local' AND segmento='ESTR' AND ambito='SRB_MBDT' AND entidade='00100')X</v>
      </c>
      <c r="J64" s="34" t="str">
        <f>"(SELECT "&amp;VLOOKUP(B64,'0. Instruções'!$C$27:$G$32,4,FALSE)&amp;" AS "&amp;VLOOKUP(B64,'0. Instruções'!$C$27:$G$32,4,FALSE)&amp;"_SIMUL, "&amp;F64&amp;" AS "&amp;F64&amp;"_SIMUL FROM "&amp;E64&amp;" WHERE "&amp;'0. Instruções'!$D$43&amp;")Y"</f>
        <v>(SELECT instrmnt_id AS instrmnt_id_SIMUL, crrncy_dnmntn AS crrncy_dnmntn_SIMUL FROM BU_LOANTAPE_WORK.SIMUL_LT002_INSTRUMENT WHERE ref_date='${ref_date}' AND nome_perimetro='Individual Local' AND segmento='ESTR' AND ambito='PILAR3' AND entidade='00100')Y</v>
      </c>
      <c r="K64" s="35" t="str">
        <f>+UPPER("ON X."&amp;VLOOKUP(B64,'0. Instruções'!$C$27:$G$32,4,FALSE)&amp;"=Y."&amp;VLOOKUP(B64,'0. Instruções'!$C$27:$G$32,4,FALSE)&amp;"_SIMUL")</f>
        <v>ON X.INSTRMNT_ID=Y.INSTRMNT_ID_SIMUL</v>
      </c>
      <c r="L64" s="35" t="str">
        <f>+IF(C64="Coerência", +IF(LEFT(G64,5)="FLOAT","SELECT '"&amp;UPPER(B64)&amp;"' AS TABELA, '"&amp;UPPER(C64)&amp;"' AS TIPOLOGIA_TESTE,'"&amp;D64&amp;"' AS TABELA_LT,'"&amp;E64&amp;"' AS TABELA_SIMUL,'"&amp;F64&amp;"' AS CAMPO, "&amp;"'${ref_date}' AS REF_DATE, COUNT(*) AS NUM_REG, SUM(IF((ABS(COALESCE(CAST(X."&amp;F64&amp;" AS DECIMAL(18,6)),0)-COALESCE(CAST(Y."&amp;F64&amp;"_SIMUL AS DECIMAL(18,6)),0))&gt;0.000001) OR (X."&amp;F64&amp;" IS NULL AND Y."&amp;F64&amp;"_SIMUL IS NOT NULL ) OR (X."&amp;F64&amp;" IS NOT NULL AND Y."&amp;F64&amp;"_SIMUL IS NULL),1,0)) AS NUM_REG_DIF,'"&amp;MAX('ID1&amp;5'!K:K)+1&amp;"' AS ID_EXEC, CURRENT_TIMESTAMP() AS TIME_EXEC FROM "&amp;I64&amp;" INNER JOIN "&amp;J64&amp;" "&amp;K64,"SELECT '"&amp;UPPER(B64)&amp;"' AS TABELA, '"&amp;UPPER(C64)&amp;"' AS TIPOLOGIA_TESTE,'"&amp;D64&amp;"' AS TABELA_LT,'"&amp;E64&amp;"' AS TABELA_SIMUL,'"&amp;F64&amp;"' AS CAMPO, "&amp;"'${ref_date}' AS REF_DATE, COUNT(*) AS NUM_REG, SUM(IF(COALESCE(CAST(X."&amp;F64&amp;" AS STRING),'')&lt;&gt;COALESCE(CAST(Y."&amp;F64&amp;"_SIMUL AS STRING),'') OR (X."&amp;F64&amp;" IS NULL AND Y."&amp;F64&amp;"_SIMUL IS NOT NULL ) OR (X."&amp;F64&amp;" IS NOT NULL AND Y."&amp;F64&amp;"_SIMUL IS NULL),1,0)) AS NUM_REG_DIF,'"&amp;MAX('ID1&amp;5'!L:L)+1&amp;"' AS ID_EXEC, CURRENT_TIMESTAMP() AS TIME_EXEC FROM "&amp;I64&amp;" INNER JOIN "&amp;J64&amp;" "&amp;K64),
IF(C64="Validade",+IF(G64="Code List","SELECT '"&amp;UPPER(B64)&amp;"' AS TABELA, '"&amp;UPPER(C64)&amp;"' AS TIPOLOGIA_TESTE,'"&amp;D64&amp;"' AS TABELA_LT,'N/A' AS TABELA_SIMUL,'"&amp;F64&amp;"' AS CAMPO, "&amp;"'${ref_date}' AS REF_DATE, COUNT(*) AS NUM_REG, SUM(IF(TRIM(CAST(X."&amp;F64&amp;" AS STRING))='' OR TRIM(CAST(X."&amp;F64&amp;" AS STRING)) IS NULL OR CAST(X."&amp;F64&amp;" AS STRING) NOT "&amp;H64&amp;",1,0)) AS NUM_REG_DIF,'"&amp;MAX('ID1&amp;5'!K:K)+1&amp;"' AS ID_EXEC, CURRENT_TIMESTAMP() AS TIME_EXEC FROM "&amp;I64,"SELECT '"&amp;UPPER(B64)&amp;"' AS TABELA, '"&amp;UPPER(C64)&amp;"' AS TIPOLOGIA_TESTE,'"&amp;D64&amp;"' AS TABELA_LT,'N/A' AS TABELA_SIMUL,'"&amp;F64&amp;"' AS CAMPO, "&amp;"'${ref_date}' AS REF_DATE, COUNT(*) AS NUM_REG, SUM(IF(TRIM(CAST(X."&amp;F64&amp;" AS STRING))='' OR TRIM(CAST(X."&amp;F64&amp;" AS STRING)) IS NULL,1,0)) AS NUM_REG_DIF,'"&amp;MAX('ID1&amp;5'!K:K)+1&amp;"' AS ID_EXEC, CURRENT_TIMESTAMP() AS TIME_EXEC FROM "&amp;I64),
IF(C64="Caracteres Especiais",+"SELECT '"&amp;UPPER(B64)&amp;"' AS TABELA, '"&amp;UPPER(C64)&amp;"' AS TIPOLOGIA_TESTE,'"&amp;D64&amp;"' AS TABELA_LT,'N/A' AS TABELA_SIMUL,'"&amp;F64&amp;"' AS CAMPO, "&amp;"'${ref_date}' AS REF_DATE, COUNT(*) AS NUM_REG, SUM(IF(REGEXP_REPLACE(TRIM(CAST(X."&amp;F64&amp;" AS STRING)),'[^a-zA-Z0-9_\\s]','') &lt;&gt;TRIM(CAST(X."&amp;F64&amp;" AS STRING)),1,0)) AS NUM_REG_DIF,'"&amp;MAX('ID1&amp;5'!K:K)+1&amp;"' AS ID_EXEC, CURRENT_TIMESTAMP() AS TIME_EXEC FROM "&amp;I64,
IF(C64="Missings",+"SELECT '"&amp;UPPER(B64)&amp;"' AS TABELA, '"&amp;UPPER(C64)&amp;"' AS TIPOLOGIA_TESTE,'"&amp;D64&amp;"' AS TABELA_LT,'N/A' AS TABELA_SIMUL,'"&amp;F64&amp;"' AS CAMPO, "&amp;"'${ref_date}' AS REF_DATE, COUNT(*) AS NUM_REG, SUM(IF(TRIM(CAST(X."&amp;F64&amp;" AS STRING)) IN ('0000-00-00','0001-01-01','9999-12-31','MISS','00000','99999999999','99999999999.00','99999999999.000000'),1,0)) AS NUM_REG_DIF,'"&amp;MAX('ID1&amp;5'!K:K)+1&amp;"' AS ID_EXEC, CURRENT_TIMESTAMP() AS TIME_EXEC FROM "&amp;I64,
IF(C64="Not applicable",+"SELECT '"&amp;UPPER(B64)&amp;"' AS TABELA, '"&amp;UPPER(C64)&amp;"' AS TIPOLOGIA_TESTE,'"&amp;D64&amp;"' AS TABELA_LT,'N/A' AS TABELA_SIMUL,'"&amp;F64&amp;"' AS CAMPO, "&amp;"'${ref_date}' AS REF_DATE, COUNT(*) AS NUM_REG, SUM(IF(TRIM(CAST(X."&amp;F64&amp;" AS STRING)) IN ('N/A','11111111111','11111111111.00','11111111111.000000','1111-11-11'),1,0)) AS NUM_REG_DIF,'"&amp;MAX('ID1&amp;5'!K:K)+1&amp;"' AS ID_EXEC, CURRENT_TIMESTAMP() AS TIME_EXEC FROM "&amp;I64,
IF(C64="Valores extremos",+"SELECT '"&amp;UPPER(B64)&amp;"' AS TABELA, '"&amp;UPPER(C64)&amp;"' AS TIPOLOGIA_TESTE,'"&amp;D64&amp;"' AS TABELA_LT,'N/A' AS TABELA_SIMUL,'"&amp;F64&amp;"' AS CAMPO, "&amp;"'${ref_date}' AS REF_DATE, CAST(MIN("&amp;F64&amp;") AS STRING) AS VALOR_MIN, CAST(MAX("&amp;F64&amp;") AS STRING) AS VALOR_MAX,'"&amp;MAX('ID1&amp;5'!K:K)+1&amp;"' AS ID_EXEC, CURRENT_TIMESTAMP() AS TIME_EXEC FROM "&amp;MID(I64,1,LEN(I64)-2)&amp;" AND CAST("&amp;F64&amp;"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TABELA_SIMUL,'crrncy_dnmntn' AS CAMPO, '${ref_date}' AS REF_DATE, COUNT(*) AS NUM_REG, SUM(IF(COALESCE(CAST(X.crrncy_dnmntn AS STRING),'')&lt;&gt;COALESCE(CAST(Y.crrncy_dnmntn_SIMUL AS STRING),'') OR (X.crrncy_dnmntn IS NULL AND Y.crrncy_dnmntn_SIMUL IS NOT NULL ) OR (X.crrncy_dnmntn IS NOT NULL AND Y.crrncy_dnmntn_SIMUL IS NULL),1,0)) AS NUM_REG_DIF,'1' AS ID_EXEC, CURRENT_TIMESTAMP() AS TIME_EXEC FROM (SELECT instrmnt_id, crrncy_dnmntn FROM BU_LOANTAPE_WORK.LT002_INSTRUMENT WHERE ref_date='${ref_date}' AND nome_perimetro='Individual Local' AND segmento='ESTR' AND ambito='SRB_MBDT' AND entidade='00100')X INNER JOIN (SELECT instrmnt_id AS instrmnt_id_SIMUL, crrncy_dnmntn AS crrncy_dnmntn_SIMUL FROM BU_LOANTAPE_WORK.SIMUL_LT002_INSTRUMENT WHERE ref_date='${ref_date}' AND nome_perimetro='Individual Local' AND segmento='ESTR' AND ambito='PILAR3' AND entidade='00100')Y ON X.INSTRMNT_ID=Y.INSTRMNT_ID_SIMUL</v>
      </c>
      <c r="M64" s="36" t="str">
        <f t="shared" si="4"/>
        <v>UNION ALL SELECT 'INSTRUMENT' AS TABELA, 'COERÊNCIA' AS TIPOLOGIA_TESTE,'BU_LOANTAPE_WORK.LT002_INSTRUMENT' AS TABELA_LT,'BU_LOANTAPE_WORK.SIMUL_LT002_INSTRUMENT' AS TABELA_SIMUL,'crrncy_dnmntn' AS CAMPO, '${ref_date}' AS REF_DATE, COUNT(*) AS NUM_REG, SUM(IF(COALESCE(CAST(X.crrncy_dnmntn AS STRING),'')&lt;&gt;COALESCE(CAST(Y.crrncy_dnmntn_SIMUL AS STRING),'') OR (X.crrncy_dnmntn IS NULL AND Y.crrncy_dnmntn_SIMUL IS NOT NULL ) OR (X.crrncy_dnmntn IS NOT NULL AND Y.crrncy_dnmntn_SIMUL IS NULL),1,0)) AS NUM_REG_DIF,'1' AS ID_EXEC, CURRENT_TIMESTAMP() AS TIME_EXEC FROM (SELECT instrmnt_id, crrncy_dnmntn FROM BU_LOANTAPE_WORK.LT002_INSTRUMENT WHERE ref_date='${ref_date}' AND nome_perimetro='Individual Local' AND segmento='ESTR' AND ambito='SRB_MBDT' AND entidade='00100')X INNER JOIN (SELECT instrmnt_id AS instrmnt_id_SIMUL, crrncy_dnmntn AS crrncy_dnmntn_SIMUL FROM BU_LOANTAPE_WORK.SIMUL_LT002_INSTRUMENT WHERE ref_date='${ref_date}' AND nome_perimetro='Individual Local' AND segmento='ESTR' AND ambito='PILAR3' AND entidade='00100')Y ON X.INSTRMNT_ID=Y.INSTRMNT_ID_SIMUL</v>
      </c>
      <c r="N64" s="38" t="s">
        <v>40</v>
      </c>
    </row>
    <row r="65" spans="2:14">
      <c r="B65" s="34" t="s">
        <v>117</v>
      </c>
      <c r="C65" s="34" t="s">
        <v>5</v>
      </c>
      <c r="D65" s="34" t="str">
        <f>+UPPER('0. Instruções'!$D$35&amp;"."&amp;VLOOKUP(B65,'0. Instruções'!$C$27:$D$32,2,FALSE))</f>
        <v>BU_LOANTAPE_WORK.LT002_INSTRUMENT</v>
      </c>
      <c r="E65" s="34" t="str">
        <f>+UPPER('0. Instruções'!$D$36&amp;"."&amp;VLOOKUP(B65,'0. Instruções'!$C$27:$E$32,3,FALSE))</f>
        <v>BU_LOANTAPE_WORK.SIMUL_LT002_INSTRUMENT</v>
      </c>
      <c r="F65" s="34" t="s">
        <v>641</v>
      </c>
      <c r="G65" s="34"/>
      <c r="H65" s="34"/>
      <c r="I65" s="34" t="str">
        <f>"(SELECT "&amp;VLOOKUP(B65,'0. Instruções'!$C$27:$G$32,4,FALSE)&amp;", "&amp;F65&amp;" FROM "&amp;D65&amp;" WHERE "&amp;'0. Instruções'!$D$42&amp;")X"</f>
        <v>(SELECT instrmnt_id, dt_incptn FROM BU_LOANTAPE_WORK.LT002_INSTRUMENT WHERE ref_date='${ref_date}' AND nome_perimetro='Individual Local' AND segmento='ESTR' AND ambito='SRB_MBDT' AND entidade='00100')X</v>
      </c>
      <c r="J65" s="34" t="str">
        <f>"(SELECT "&amp;VLOOKUP(B65,'0. Instruções'!$C$27:$G$32,4,FALSE)&amp;" AS "&amp;VLOOKUP(B65,'0. Instruções'!$C$27:$G$32,4,FALSE)&amp;"_SIMUL, "&amp;F65&amp;" AS "&amp;F65&amp;"_SIMUL FROM "&amp;E65&amp;" WHERE "&amp;'0. Instruções'!$D$43&amp;")Y"</f>
        <v>(SELECT instrmnt_id AS instrmnt_id_SIMUL, dt_incptn AS dt_incptn_SIMUL FROM BU_LOANTAPE_WORK.SIMUL_LT002_INSTRUMENT WHERE ref_date='${ref_date}' AND nome_perimetro='Individual Local' AND segmento='ESTR' AND ambito='PILAR3' AND entidade='00100')Y</v>
      </c>
      <c r="K65" s="35" t="str">
        <f>+UPPER("ON X."&amp;VLOOKUP(B65,'0. Instruções'!$C$27:$G$32,4,FALSE)&amp;"=Y."&amp;VLOOKUP(B65,'0. Instruções'!$C$27:$G$32,4,FALSE)&amp;"_SIMUL")</f>
        <v>ON X.INSTRMNT_ID=Y.INSTRMNT_ID_SIMUL</v>
      </c>
      <c r="L65" s="35" t="str">
        <f>+IF(C65="Coerência", +IF(LEFT(G65,5)="FLOAT","SELECT '"&amp;UPPER(B65)&amp;"' AS TABELA, '"&amp;UPPER(C65)&amp;"' AS TIPOLOGIA_TESTE,'"&amp;D65&amp;"' AS TABELA_LT,'"&amp;E65&amp;"' AS TABELA_SIMUL,'"&amp;F65&amp;"' AS CAMPO, "&amp;"'${ref_date}' AS REF_DATE, COUNT(*) AS NUM_REG, SUM(IF((ABS(COALESCE(CAST(X."&amp;F65&amp;" AS DECIMAL(18,6)),0)-COALESCE(CAST(Y."&amp;F65&amp;"_SIMUL AS DECIMAL(18,6)),0))&gt;0.000001) OR (X."&amp;F65&amp;" IS NULL AND Y."&amp;F65&amp;"_SIMUL IS NOT NULL ) OR (X."&amp;F65&amp;" IS NOT NULL AND Y."&amp;F65&amp;"_SIMUL IS NULL),1,0)) AS NUM_REG_DIF,'"&amp;MAX('ID1&amp;5'!K:K)+1&amp;"' AS ID_EXEC, CURRENT_TIMESTAMP() AS TIME_EXEC FROM "&amp;I65&amp;" INNER JOIN "&amp;J65&amp;" "&amp;K65,"SELECT '"&amp;UPPER(B65)&amp;"' AS TABELA, '"&amp;UPPER(C65)&amp;"' AS TIPOLOGIA_TESTE,'"&amp;D65&amp;"' AS TABELA_LT,'"&amp;E65&amp;"' AS TABELA_SIMUL,'"&amp;F65&amp;"' AS CAMPO, "&amp;"'${ref_date}' AS REF_DATE, COUNT(*) AS NUM_REG, SUM(IF(COALESCE(CAST(X."&amp;F65&amp;" AS STRING),'')&lt;&gt;COALESCE(CAST(Y."&amp;F65&amp;"_SIMUL AS STRING),'') OR (X."&amp;F65&amp;" IS NULL AND Y."&amp;F65&amp;"_SIMUL IS NOT NULL ) OR (X."&amp;F65&amp;" IS NOT NULL AND Y."&amp;F65&amp;"_SIMUL IS NULL),1,0)) AS NUM_REG_DIF,'"&amp;MAX('ID1&amp;5'!L:L)+1&amp;"' AS ID_EXEC, CURRENT_TIMESTAMP() AS TIME_EXEC FROM "&amp;I65&amp;" INNER JOIN "&amp;J65&amp;" "&amp;K65),
IF(C65="Validade",+IF(G65="Code List","SELECT '"&amp;UPPER(B65)&amp;"' AS TABELA, '"&amp;UPPER(C65)&amp;"' AS TIPOLOGIA_TESTE,'"&amp;D65&amp;"' AS TABELA_LT,'N/A' AS TABELA_SIMUL,'"&amp;F65&amp;"' AS CAMPO, "&amp;"'${ref_date}' AS REF_DATE, COUNT(*) AS NUM_REG, SUM(IF(TRIM(CAST(X."&amp;F65&amp;" AS STRING))='' OR TRIM(CAST(X."&amp;F65&amp;" AS STRING)) IS NULL OR CAST(X."&amp;F65&amp;" AS STRING) NOT "&amp;H65&amp;",1,0)) AS NUM_REG_DIF,'"&amp;MAX('ID1&amp;5'!K:K)+1&amp;"' AS ID_EXEC, CURRENT_TIMESTAMP() AS TIME_EXEC FROM "&amp;I65,"SELECT '"&amp;UPPER(B65)&amp;"' AS TABELA, '"&amp;UPPER(C65)&amp;"' AS TIPOLOGIA_TESTE,'"&amp;D65&amp;"' AS TABELA_LT,'N/A' AS TABELA_SIMUL,'"&amp;F65&amp;"' AS CAMPO, "&amp;"'${ref_date}' AS REF_DATE, COUNT(*) AS NUM_REG, SUM(IF(TRIM(CAST(X."&amp;F65&amp;" AS STRING))='' OR TRIM(CAST(X."&amp;F65&amp;" AS STRING)) IS NULL,1,0)) AS NUM_REG_DIF,'"&amp;MAX('ID1&amp;5'!K:K)+1&amp;"' AS ID_EXEC, CURRENT_TIMESTAMP() AS TIME_EXEC FROM "&amp;I65),
IF(C65="Caracteres Especiais",+"SELECT '"&amp;UPPER(B65)&amp;"' AS TABELA, '"&amp;UPPER(C65)&amp;"' AS TIPOLOGIA_TESTE,'"&amp;D65&amp;"' AS TABELA_LT,'N/A' AS TABELA_SIMUL,'"&amp;F65&amp;"' AS CAMPO, "&amp;"'${ref_date}' AS REF_DATE, COUNT(*) AS NUM_REG, SUM(IF(REGEXP_REPLACE(TRIM(CAST(X."&amp;F65&amp;" AS STRING)),'[^a-zA-Z0-9_\\s]','') &lt;&gt;TRIM(CAST(X."&amp;F65&amp;" AS STRING)),1,0)) AS NUM_REG_DIF,'"&amp;MAX('ID1&amp;5'!K:K)+1&amp;"' AS ID_EXEC, CURRENT_TIMESTAMP() AS TIME_EXEC FROM "&amp;I65,
IF(C65="Missings",+"SELECT '"&amp;UPPER(B65)&amp;"' AS TABELA, '"&amp;UPPER(C65)&amp;"' AS TIPOLOGIA_TESTE,'"&amp;D65&amp;"' AS TABELA_LT,'N/A' AS TABELA_SIMUL,'"&amp;F65&amp;"' AS CAMPO, "&amp;"'${ref_date}' AS REF_DATE, COUNT(*) AS NUM_REG, SUM(IF(TRIM(CAST(X."&amp;F65&amp;" AS STRING)) IN ('0000-00-00','0001-01-01','9999-12-31','MISS','00000','99999999999','99999999999.00','99999999999.000000'),1,0)) AS NUM_REG_DIF,'"&amp;MAX('ID1&amp;5'!K:K)+1&amp;"' AS ID_EXEC, CURRENT_TIMESTAMP() AS TIME_EXEC FROM "&amp;I65,
IF(C65="Not applicable",+"SELECT '"&amp;UPPER(B65)&amp;"' AS TABELA, '"&amp;UPPER(C65)&amp;"' AS TIPOLOGIA_TESTE,'"&amp;D65&amp;"' AS TABELA_LT,'N/A' AS TABELA_SIMUL,'"&amp;F65&amp;"' AS CAMPO, "&amp;"'${ref_date}' AS REF_DATE, COUNT(*) AS NUM_REG, SUM(IF(TRIM(CAST(X."&amp;F65&amp;" AS STRING)) IN ('N/A','11111111111','11111111111.00','11111111111.000000','1111-11-11'),1,0)) AS NUM_REG_DIF,'"&amp;MAX('ID1&amp;5'!K:K)+1&amp;"' AS ID_EXEC, CURRENT_TIMESTAMP() AS TIME_EXEC FROM "&amp;I65,
IF(C65="Valores extremos",+"SELECT '"&amp;UPPER(B65)&amp;"' AS TABELA, '"&amp;UPPER(C65)&amp;"' AS TIPOLOGIA_TESTE,'"&amp;D65&amp;"' AS TABELA_LT,'N/A' AS TABELA_SIMUL,'"&amp;F65&amp;"' AS CAMPO, "&amp;"'${ref_date}' AS REF_DATE, CAST(MIN("&amp;F65&amp;") AS STRING) AS VALOR_MIN, CAST(MAX("&amp;F65&amp;") AS STRING) AS VALOR_MAX,'"&amp;MAX('ID1&amp;5'!K:K)+1&amp;"' AS ID_EXEC, CURRENT_TIMESTAMP() AS TIME_EXEC FROM "&amp;MID(I65,1,LEN(I65)-2)&amp;" AND CAST("&amp;F65&amp;"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TABELA_SIMUL,'dt_incptn' AS CAMPO, '${ref_date}' AS REF_DATE, COUNT(*) AS NUM_REG, SUM(IF(COALESCE(CAST(X.dt_incptn AS STRING),'')&lt;&gt;COALESCE(CAST(Y.dt_incptn_SIMUL AS STRING),'') OR (X.dt_incptn IS NULL AND Y.dt_incptn_SIMUL IS NOT NULL ) OR (X.dt_incptn IS NOT NULL AND Y.dt_incptn_SIMUL IS NULL),1,0)) AS NUM_REG_DIF,'1' AS ID_EXEC, CURRENT_TIMESTAMP() AS TIME_EXEC FROM (SELECT instrmnt_id, dt_incptn FROM BU_LOANTAPE_WORK.LT002_INSTRUMENT WHERE ref_date='${ref_date}' AND nome_perimetro='Individual Local' AND segmento='ESTR' AND ambito='SRB_MBDT' AND entidade='00100')X INNER JOIN (SELECT instrmnt_id AS instrmnt_id_SIMUL, dt_incptn AS dt_incptn_SIMUL FROM BU_LOANTAPE_WORK.SIMUL_LT002_INSTRUMENT WHERE ref_date='${ref_date}' AND nome_perimetro='Individual Local' AND segmento='ESTR' AND ambito='PILAR3' AND entidade='00100')Y ON X.INSTRMNT_ID=Y.INSTRMNT_ID_SIMUL</v>
      </c>
      <c r="M65" s="36" t="str">
        <f t="shared" si="4"/>
        <v>UNION ALL SELECT 'INSTRUMENT' AS TABELA, 'COERÊNCIA' AS TIPOLOGIA_TESTE,'BU_LOANTAPE_WORK.LT002_INSTRUMENT' AS TABELA_LT,'BU_LOANTAPE_WORK.SIMUL_LT002_INSTRUMENT' AS TABELA_SIMUL,'dt_incptn' AS CAMPO, '${ref_date}' AS REF_DATE, COUNT(*) AS NUM_REG, SUM(IF(COALESCE(CAST(X.dt_incptn AS STRING),'')&lt;&gt;COALESCE(CAST(Y.dt_incptn_SIMUL AS STRING),'') OR (X.dt_incptn IS NULL AND Y.dt_incptn_SIMUL IS NOT NULL ) OR (X.dt_incptn IS NOT NULL AND Y.dt_incptn_SIMUL IS NULL),1,0)) AS NUM_REG_DIF,'1' AS ID_EXEC, CURRENT_TIMESTAMP() AS TIME_EXEC FROM (SELECT instrmnt_id, dt_incptn FROM BU_LOANTAPE_WORK.LT002_INSTRUMENT WHERE ref_date='${ref_date}' AND nome_perimetro='Individual Local' AND segmento='ESTR' AND ambito='SRB_MBDT' AND entidade='00100')X INNER JOIN (SELECT instrmnt_id AS instrmnt_id_SIMUL, dt_incptn AS dt_incptn_SIMUL FROM BU_LOANTAPE_WORK.SIMUL_LT002_INSTRUMENT WHERE ref_date='${ref_date}' AND nome_perimetro='Individual Local' AND segmento='ESTR' AND ambito='PILAR3' AND entidade='00100')Y ON X.INSTRMNT_ID=Y.INSTRMNT_ID_SIMUL</v>
      </c>
      <c r="N65" s="38" t="s">
        <v>40</v>
      </c>
    </row>
    <row r="66" spans="2:14">
      <c r="B66" s="34" t="s">
        <v>117</v>
      </c>
      <c r="C66" s="34" t="s">
        <v>5</v>
      </c>
      <c r="D66" s="34" t="str">
        <f>+UPPER('0. Instruções'!$D$35&amp;"."&amp;VLOOKUP(B66,'0. Instruções'!$C$27:$D$32,2,FALSE))</f>
        <v>BU_LOANTAPE_WORK.LT002_INSTRUMENT</v>
      </c>
      <c r="E66" s="34" t="str">
        <f>+UPPER('0. Instruções'!$D$36&amp;"."&amp;VLOOKUP(B66,'0. Instruções'!$C$27:$E$32,3,FALSE))</f>
        <v>BU_LOANTAPE_WORK.SIMUL_LT002_INSTRUMENT</v>
      </c>
      <c r="F66" s="34" t="s">
        <v>1151</v>
      </c>
      <c r="G66" s="34"/>
      <c r="H66" s="34"/>
      <c r="I66" s="34" t="str">
        <f>"(SELECT "&amp;VLOOKUP(B66,'0. Instruções'!$C$27:$G$32,4,FALSE)&amp;", "&amp;F66&amp;" FROM "&amp;D66&amp;" WHERE "&amp;'0. Instruções'!$D$42&amp;")X"</f>
        <v>(SELECT instrmnt_id, obsrvd_agnt_id FROM BU_LOANTAPE_WORK.LT002_INSTRUMENT WHERE ref_date='${ref_date}' AND nome_perimetro='Individual Local' AND segmento='ESTR' AND ambito='SRB_MBDT' AND entidade='00100')X</v>
      </c>
      <c r="J66" s="34" t="str">
        <f>"(SELECT "&amp;VLOOKUP(B66,'0. Instruções'!$C$27:$G$32,4,FALSE)&amp;" AS "&amp;VLOOKUP(B66,'0. Instruções'!$C$27:$G$32,4,FALSE)&amp;"_SIMUL, "&amp;F66&amp;" AS "&amp;F66&amp;"_SIMUL FROM "&amp;E66&amp;" WHERE "&amp;'0. Instruções'!$D$43&amp;")Y"</f>
        <v>(SELECT instrmnt_id AS instrmnt_id_SIMUL, obsrvd_agnt_id AS obsrvd_agnt_id_SIMUL FROM BU_LOANTAPE_WORK.SIMUL_LT002_INSTRUMENT WHERE ref_date='${ref_date}' AND nome_perimetro='Individual Local' AND segmento='ESTR' AND ambito='PILAR3' AND entidade='00100')Y</v>
      </c>
      <c r="K66" s="35" t="str">
        <f>+UPPER("ON X."&amp;VLOOKUP(B66,'0. Instruções'!$C$27:$G$32,4,FALSE)&amp;"=Y."&amp;VLOOKUP(B66,'0. Instruções'!$C$27:$G$32,4,FALSE)&amp;"_SIMUL")</f>
        <v>ON X.INSTRMNT_ID=Y.INSTRMNT_ID_SIMUL</v>
      </c>
      <c r="L66" s="35" t="str">
        <f>+IF(C66="Coerência", +IF(LEFT(G66,5)="FLOAT","SELECT '"&amp;UPPER(B66)&amp;"' AS TABELA, '"&amp;UPPER(C66)&amp;"' AS TIPOLOGIA_TESTE,'"&amp;D66&amp;"' AS TABELA_LT,'"&amp;E66&amp;"' AS TABELA_SIMUL,'"&amp;F66&amp;"' AS CAMPO, "&amp;"'${ref_date}' AS REF_DATE, COUNT(*) AS NUM_REG, SUM(IF((ABS(COALESCE(CAST(X."&amp;F66&amp;" AS DECIMAL(18,6)),0)-COALESCE(CAST(Y."&amp;F66&amp;"_SIMUL AS DECIMAL(18,6)),0))&gt;0.000001) OR (X."&amp;F66&amp;" IS NULL AND Y."&amp;F66&amp;"_SIMUL IS NOT NULL ) OR (X."&amp;F66&amp;" IS NOT NULL AND Y."&amp;F66&amp;"_SIMUL IS NULL),1,0)) AS NUM_REG_DIF,'"&amp;MAX('ID1&amp;5'!K:K)+1&amp;"' AS ID_EXEC, CURRENT_TIMESTAMP() AS TIME_EXEC FROM "&amp;I66&amp;" INNER JOIN "&amp;J66&amp;" "&amp;K66,"SELECT '"&amp;UPPER(B66)&amp;"' AS TABELA, '"&amp;UPPER(C66)&amp;"' AS TIPOLOGIA_TESTE,'"&amp;D66&amp;"' AS TABELA_LT,'"&amp;E66&amp;"' AS TABELA_SIMUL,'"&amp;F66&amp;"' AS CAMPO, "&amp;"'${ref_date}' AS REF_DATE, COUNT(*) AS NUM_REG, SUM(IF(COALESCE(CAST(X."&amp;F66&amp;" AS STRING),'')&lt;&gt;COALESCE(CAST(Y."&amp;F66&amp;"_SIMUL AS STRING),'') OR (X."&amp;F66&amp;" IS NULL AND Y."&amp;F66&amp;"_SIMUL IS NOT NULL ) OR (X."&amp;F66&amp;" IS NOT NULL AND Y."&amp;F66&amp;"_SIMUL IS NULL),1,0)) AS NUM_REG_DIF,'"&amp;MAX('ID1&amp;5'!L:L)+1&amp;"' AS ID_EXEC, CURRENT_TIMESTAMP() AS TIME_EXEC FROM "&amp;I66&amp;" INNER JOIN "&amp;J66&amp;" "&amp;K66),
IF(C66="Validade",+IF(G66="Code List","SELECT '"&amp;UPPER(B66)&amp;"' AS TABELA, '"&amp;UPPER(C66)&amp;"' AS TIPOLOGIA_TESTE,'"&amp;D66&amp;"' AS TABELA_LT,'N/A' AS TABELA_SIMUL,'"&amp;F66&amp;"' AS CAMPO, "&amp;"'${ref_date}' AS REF_DATE, COUNT(*) AS NUM_REG, SUM(IF(TRIM(CAST(X."&amp;F66&amp;" AS STRING))='' OR TRIM(CAST(X."&amp;F66&amp;" AS STRING)) IS NULL OR CAST(X."&amp;F66&amp;" AS STRING) NOT "&amp;H66&amp;",1,0)) AS NUM_REG_DIF,'"&amp;MAX('ID1&amp;5'!K:K)+1&amp;"' AS ID_EXEC, CURRENT_TIMESTAMP() AS TIME_EXEC FROM "&amp;I66,"SELECT '"&amp;UPPER(B66)&amp;"' AS TABELA, '"&amp;UPPER(C66)&amp;"' AS TIPOLOGIA_TESTE,'"&amp;D66&amp;"' AS TABELA_LT,'N/A' AS TABELA_SIMUL,'"&amp;F66&amp;"' AS CAMPO, "&amp;"'${ref_date}' AS REF_DATE, COUNT(*) AS NUM_REG, SUM(IF(TRIM(CAST(X."&amp;F66&amp;" AS STRING))='' OR TRIM(CAST(X."&amp;F66&amp;" AS STRING)) IS NULL,1,0)) AS NUM_REG_DIF,'"&amp;MAX('ID1&amp;5'!K:K)+1&amp;"' AS ID_EXEC, CURRENT_TIMESTAMP() AS TIME_EXEC FROM "&amp;I66),
IF(C66="Caracteres Especiais",+"SELECT '"&amp;UPPER(B66)&amp;"' AS TABELA, '"&amp;UPPER(C66)&amp;"' AS TIPOLOGIA_TESTE,'"&amp;D66&amp;"' AS TABELA_LT,'N/A' AS TABELA_SIMUL,'"&amp;F66&amp;"' AS CAMPO, "&amp;"'${ref_date}' AS REF_DATE, COUNT(*) AS NUM_REG, SUM(IF(REGEXP_REPLACE(TRIM(CAST(X."&amp;F66&amp;" AS STRING)),'[^a-zA-Z0-9_\\s]','') &lt;&gt;TRIM(CAST(X."&amp;F66&amp;" AS STRING)),1,0)) AS NUM_REG_DIF,'"&amp;MAX('ID1&amp;5'!K:K)+1&amp;"' AS ID_EXEC, CURRENT_TIMESTAMP() AS TIME_EXEC FROM "&amp;I66,
IF(C66="Missings",+"SELECT '"&amp;UPPER(B66)&amp;"' AS TABELA, '"&amp;UPPER(C66)&amp;"' AS TIPOLOGIA_TESTE,'"&amp;D66&amp;"' AS TABELA_LT,'N/A' AS TABELA_SIMUL,'"&amp;F66&amp;"' AS CAMPO, "&amp;"'${ref_date}' AS REF_DATE, COUNT(*) AS NUM_REG, SUM(IF(TRIM(CAST(X."&amp;F66&amp;" AS STRING)) IN ('0000-00-00','0001-01-01','9999-12-31','MISS','00000','99999999999','99999999999.00','99999999999.000000'),1,0)) AS NUM_REG_DIF,'"&amp;MAX('ID1&amp;5'!K:K)+1&amp;"' AS ID_EXEC, CURRENT_TIMESTAMP() AS TIME_EXEC FROM "&amp;I66,
IF(C66="Not applicable",+"SELECT '"&amp;UPPER(B66)&amp;"' AS TABELA, '"&amp;UPPER(C66)&amp;"' AS TIPOLOGIA_TESTE,'"&amp;D66&amp;"' AS TABELA_LT,'N/A' AS TABELA_SIMUL,'"&amp;F66&amp;"' AS CAMPO, "&amp;"'${ref_date}' AS REF_DATE, COUNT(*) AS NUM_REG, SUM(IF(TRIM(CAST(X."&amp;F66&amp;" AS STRING)) IN ('N/A','11111111111','11111111111.00','11111111111.000000','1111-11-11'),1,0)) AS NUM_REG_DIF,'"&amp;MAX('ID1&amp;5'!K:K)+1&amp;"' AS ID_EXEC, CURRENT_TIMESTAMP() AS TIME_EXEC FROM "&amp;I66,
IF(C66="Valores extremos",+"SELECT '"&amp;UPPER(B66)&amp;"' AS TABELA, '"&amp;UPPER(C66)&amp;"' AS TIPOLOGIA_TESTE,'"&amp;D66&amp;"' AS TABELA_LT,'N/A' AS TABELA_SIMUL,'"&amp;F66&amp;"' AS CAMPO, "&amp;"'${ref_date}' AS REF_DATE, CAST(MIN("&amp;F66&amp;") AS STRING) AS VALOR_MIN, CAST(MAX("&amp;F66&amp;") AS STRING) AS VALOR_MAX,'"&amp;MAX('ID1&amp;5'!K:K)+1&amp;"' AS ID_EXEC, CURRENT_TIMESTAMP() AS TIME_EXEC FROM "&amp;MID(I66,1,LEN(I66)-2)&amp;" AND CAST("&amp;F66&amp;"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TABELA_SIMUL,'obsrvd_agnt_id' AS CAMPO, '${ref_date}' AS REF_DATE, COUNT(*) AS NUM_REG, SUM(IF(COALESCE(CAST(X.obsrvd_agnt_id AS STRING),'')&lt;&gt;COALESCE(CAST(Y.obsrvd_agnt_id_SIMUL AS STRING),'') OR (X.obsrvd_agnt_id IS NULL AND Y.obsrvd_agnt_id_SIMUL IS NOT NULL ) OR (X.obsrvd_agnt_id IS NOT NULL AND Y.obsrvd_agnt_id_SIMUL IS NULL),1,0)) AS NUM_REG_DIF,'1' AS ID_EXEC, CURRENT_TIMESTAMP() AS TIME_EXEC FROM (SELECT instrmnt_id, obsrvd_agnt_id FROM BU_LOANTAPE_WORK.LT002_INSTRUMENT WHERE ref_date='${ref_date}' AND nome_perimetro='Individual Local' AND segmento='ESTR' AND ambito='SRB_MBDT' AND entidade='00100')X INNER JOIN (SELECT instrmnt_id AS instrmnt_id_SIMUL, obsrvd_agnt_id AS obsrvd_agnt_id_SIMUL FROM BU_LOANTAPE_WORK.SIMUL_LT002_INSTRUMENT WHERE ref_date='${ref_date}' AND nome_perimetro='Individual Local' AND segmento='ESTR' AND ambito='PILAR3' AND entidade='00100')Y ON X.INSTRMNT_ID=Y.INSTRMNT_ID_SIMUL</v>
      </c>
      <c r="M66" s="36" t="str">
        <f t="shared" si="4"/>
        <v>UNION ALL SELECT 'INSTRUMENT' AS TABELA, 'COERÊNCIA' AS TIPOLOGIA_TESTE,'BU_LOANTAPE_WORK.LT002_INSTRUMENT' AS TABELA_LT,'BU_LOANTAPE_WORK.SIMUL_LT002_INSTRUMENT' AS TABELA_SIMUL,'obsrvd_agnt_id' AS CAMPO, '${ref_date}' AS REF_DATE, COUNT(*) AS NUM_REG, SUM(IF(COALESCE(CAST(X.obsrvd_agnt_id AS STRING),'')&lt;&gt;COALESCE(CAST(Y.obsrvd_agnt_id_SIMUL AS STRING),'') OR (X.obsrvd_agnt_id IS NULL AND Y.obsrvd_agnt_id_SIMUL IS NOT NULL ) OR (X.obsrvd_agnt_id IS NOT NULL AND Y.obsrvd_agnt_id_SIMUL IS NULL),1,0)) AS NUM_REG_DIF,'1' AS ID_EXEC, CURRENT_TIMESTAMP() AS TIME_EXEC FROM (SELECT instrmnt_id, obsrvd_agnt_id FROM BU_LOANTAPE_WORK.LT002_INSTRUMENT WHERE ref_date='${ref_date}' AND nome_perimetro='Individual Local' AND segmento='ESTR' AND ambito='SRB_MBDT' AND entidade='00100')X INNER JOIN (SELECT instrmnt_id AS instrmnt_id_SIMUL, obsrvd_agnt_id AS obsrvd_agnt_id_SIMUL FROM BU_LOANTAPE_WORK.SIMUL_LT002_INSTRUMENT WHERE ref_date='${ref_date}' AND nome_perimetro='Individual Local' AND segmento='ESTR' AND ambito='PILAR3' AND entidade='00100')Y ON X.INSTRMNT_ID=Y.INSTRMNT_ID_SIMUL</v>
      </c>
      <c r="N66" s="38" t="s">
        <v>40</v>
      </c>
    </row>
    <row r="67" spans="2:14">
      <c r="B67" s="34" t="s">
        <v>117</v>
      </c>
      <c r="C67" s="34" t="s">
        <v>5</v>
      </c>
      <c r="D67" s="34" t="str">
        <f>+UPPER('0. Instruções'!$D$35&amp;"."&amp;VLOOKUP(B67,'0. Instruções'!$C$27:$D$32,2,FALSE))</f>
        <v>BU_LOANTAPE_WORK.LT002_INSTRUMENT</v>
      </c>
      <c r="E67" s="34" t="str">
        <f>+UPPER('0. Instruções'!$D$36&amp;"."&amp;VLOOKUP(B67,'0. Instruções'!$C$27:$E$32,3,FALSE))</f>
        <v>BU_LOANTAPE_WORK.SIMUL_LT002_INSTRUMENT</v>
      </c>
      <c r="F67" s="34" t="s">
        <v>1152</v>
      </c>
      <c r="G67" s="34"/>
      <c r="H67" s="34"/>
      <c r="I67" s="34" t="str">
        <f>"(SELECT "&amp;VLOOKUP(B67,'0. Instruções'!$C$27:$G$32,4,FALSE)&amp;", "&amp;F67&amp;" FROM "&amp;D67&amp;" WHERE "&amp;'0. Instruções'!$D$42&amp;")X"</f>
        <v>(SELECT instrmnt_id, obsrvd_agnt_nm FROM BU_LOANTAPE_WORK.LT002_INSTRUMENT WHERE ref_date='${ref_date}' AND nome_perimetro='Individual Local' AND segmento='ESTR' AND ambito='SRB_MBDT' AND entidade='00100')X</v>
      </c>
      <c r="J67" s="34" t="str">
        <f>"(SELECT "&amp;VLOOKUP(B67,'0. Instruções'!$C$27:$G$32,4,FALSE)&amp;" AS "&amp;VLOOKUP(B67,'0. Instruções'!$C$27:$G$32,4,FALSE)&amp;"_SIMUL, "&amp;F67&amp;" AS "&amp;F67&amp;"_SIMUL FROM "&amp;E67&amp;" WHERE "&amp;'0. Instruções'!$D$43&amp;")Y"</f>
        <v>(SELECT instrmnt_id AS instrmnt_id_SIMUL, obsrvd_agnt_nm AS obsrvd_agnt_nm_SIMUL FROM BU_LOANTAPE_WORK.SIMUL_LT002_INSTRUMENT WHERE ref_date='${ref_date}' AND nome_perimetro='Individual Local' AND segmento='ESTR' AND ambito='PILAR3' AND entidade='00100')Y</v>
      </c>
      <c r="K67" s="35" t="str">
        <f>+UPPER("ON X."&amp;VLOOKUP(B67,'0. Instruções'!$C$27:$G$32,4,FALSE)&amp;"=Y."&amp;VLOOKUP(B67,'0. Instruções'!$C$27:$G$32,4,FALSE)&amp;"_SIMUL")</f>
        <v>ON X.INSTRMNT_ID=Y.INSTRMNT_ID_SIMUL</v>
      </c>
      <c r="L67" s="35" t="str">
        <f>+IF(C67="Coerência", +IF(LEFT(G67,5)="FLOAT","SELECT '"&amp;UPPER(B67)&amp;"' AS TABELA, '"&amp;UPPER(C67)&amp;"' AS TIPOLOGIA_TESTE,'"&amp;D67&amp;"' AS TABELA_LT,'"&amp;E67&amp;"' AS TABELA_SIMUL,'"&amp;F67&amp;"' AS CAMPO, "&amp;"'${ref_date}' AS REF_DATE, COUNT(*) AS NUM_REG, SUM(IF((ABS(COALESCE(CAST(X."&amp;F67&amp;" AS DECIMAL(18,6)),0)-COALESCE(CAST(Y."&amp;F67&amp;"_SIMUL AS DECIMAL(18,6)),0))&gt;0.000001) OR (X."&amp;F67&amp;" IS NULL AND Y."&amp;F67&amp;"_SIMUL IS NOT NULL ) OR (X."&amp;F67&amp;" IS NOT NULL AND Y."&amp;F67&amp;"_SIMUL IS NULL),1,0)) AS NUM_REG_DIF,'"&amp;MAX('ID1&amp;5'!K:K)+1&amp;"' AS ID_EXEC, CURRENT_TIMESTAMP() AS TIME_EXEC FROM "&amp;I67&amp;" INNER JOIN "&amp;J67&amp;" "&amp;K67,"SELECT '"&amp;UPPER(B67)&amp;"' AS TABELA, '"&amp;UPPER(C67)&amp;"' AS TIPOLOGIA_TESTE,'"&amp;D67&amp;"' AS TABELA_LT,'"&amp;E67&amp;"' AS TABELA_SIMUL,'"&amp;F67&amp;"' AS CAMPO, "&amp;"'${ref_date}' AS REF_DATE, COUNT(*) AS NUM_REG, SUM(IF(COALESCE(CAST(X."&amp;F67&amp;" AS STRING),'')&lt;&gt;COALESCE(CAST(Y."&amp;F67&amp;"_SIMUL AS STRING),'') OR (X."&amp;F67&amp;" IS NULL AND Y."&amp;F67&amp;"_SIMUL IS NOT NULL ) OR (X."&amp;F67&amp;" IS NOT NULL AND Y."&amp;F67&amp;"_SIMUL IS NULL),1,0)) AS NUM_REG_DIF,'"&amp;MAX('ID1&amp;5'!L:L)+1&amp;"' AS ID_EXEC, CURRENT_TIMESTAMP() AS TIME_EXEC FROM "&amp;I67&amp;" INNER JOIN "&amp;J67&amp;" "&amp;K67),
IF(C67="Validade",+IF(G67="Code List","SELECT '"&amp;UPPER(B67)&amp;"' AS TABELA, '"&amp;UPPER(C67)&amp;"' AS TIPOLOGIA_TESTE,'"&amp;D67&amp;"' AS TABELA_LT,'N/A' AS TABELA_SIMUL,'"&amp;F67&amp;"' AS CAMPO, "&amp;"'${ref_date}' AS REF_DATE, COUNT(*) AS NUM_REG, SUM(IF(TRIM(CAST(X."&amp;F67&amp;" AS STRING))='' OR TRIM(CAST(X."&amp;F67&amp;" AS STRING)) IS NULL OR CAST(X."&amp;F67&amp;" AS STRING) NOT "&amp;H67&amp;",1,0)) AS NUM_REG_DIF,'"&amp;MAX('ID1&amp;5'!K:K)+1&amp;"' AS ID_EXEC, CURRENT_TIMESTAMP() AS TIME_EXEC FROM "&amp;I67,"SELECT '"&amp;UPPER(B67)&amp;"' AS TABELA, '"&amp;UPPER(C67)&amp;"' AS TIPOLOGIA_TESTE,'"&amp;D67&amp;"' AS TABELA_LT,'N/A' AS TABELA_SIMUL,'"&amp;F67&amp;"' AS CAMPO, "&amp;"'${ref_date}' AS REF_DATE, COUNT(*) AS NUM_REG, SUM(IF(TRIM(CAST(X."&amp;F67&amp;" AS STRING))='' OR TRIM(CAST(X."&amp;F67&amp;" AS STRING)) IS NULL,1,0)) AS NUM_REG_DIF,'"&amp;MAX('ID1&amp;5'!K:K)+1&amp;"' AS ID_EXEC, CURRENT_TIMESTAMP() AS TIME_EXEC FROM "&amp;I67),
IF(C67="Caracteres Especiais",+"SELECT '"&amp;UPPER(B67)&amp;"' AS TABELA, '"&amp;UPPER(C67)&amp;"' AS TIPOLOGIA_TESTE,'"&amp;D67&amp;"' AS TABELA_LT,'N/A' AS TABELA_SIMUL,'"&amp;F67&amp;"' AS CAMPO, "&amp;"'${ref_date}' AS REF_DATE, COUNT(*) AS NUM_REG, SUM(IF(REGEXP_REPLACE(TRIM(CAST(X."&amp;F67&amp;" AS STRING)),'[^a-zA-Z0-9_\\s]','') &lt;&gt;TRIM(CAST(X."&amp;F67&amp;" AS STRING)),1,0)) AS NUM_REG_DIF,'"&amp;MAX('ID1&amp;5'!K:K)+1&amp;"' AS ID_EXEC, CURRENT_TIMESTAMP() AS TIME_EXEC FROM "&amp;I67,
IF(C67="Missings",+"SELECT '"&amp;UPPER(B67)&amp;"' AS TABELA, '"&amp;UPPER(C67)&amp;"' AS TIPOLOGIA_TESTE,'"&amp;D67&amp;"' AS TABELA_LT,'N/A' AS TABELA_SIMUL,'"&amp;F67&amp;"' AS CAMPO, "&amp;"'${ref_date}' AS REF_DATE, COUNT(*) AS NUM_REG, SUM(IF(TRIM(CAST(X."&amp;F67&amp;" AS STRING)) IN ('0000-00-00','0001-01-01','9999-12-31','MISS','00000','99999999999','99999999999.00','99999999999.000000'),1,0)) AS NUM_REG_DIF,'"&amp;MAX('ID1&amp;5'!K:K)+1&amp;"' AS ID_EXEC, CURRENT_TIMESTAMP() AS TIME_EXEC FROM "&amp;I67,
IF(C67="Not applicable",+"SELECT '"&amp;UPPER(B67)&amp;"' AS TABELA, '"&amp;UPPER(C67)&amp;"' AS TIPOLOGIA_TESTE,'"&amp;D67&amp;"' AS TABELA_LT,'N/A' AS TABELA_SIMUL,'"&amp;F67&amp;"' AS CAMPO, "&amp;"'${ref_date}' AS REF_DATE, COUNT(*) AS NUM_REG, SUM(IF(TRIM(CAST(X."&amp;F67&amp;" AS STRING)) IN ('N/A','11111111111','11111111111.00','11111111111.000000','1111-11-11'),1,0)) AS NUM_REG_DIF,'"&amp;MAX('ID1&amp;5'!K:K)+1&amp;"' AS ID_EXEC, CURRENT_TIMESTAMP() AS TIME_EXEC FROM "&amp;I67,
IF(C67="Valores extremos",+"SELECT '"&amp;UPPER(B67)&amp;"' AS TABELA, '"&amp;UPPER(C67)&amp;"' AS TIPOLOGIA_TESTE,'"&amp;D67&amp;"' AS TABELA_LT,'N/A' AS TABELA_SIMUL,'"&amp;F67&amp;"' AS CAMPO, "&amp;"'${ref_date}' AS REF_DATE, CAST(MIN("&amp;F67&amp;") AS STRING) AS VALOR_MIN, CAST(MAX("&amp;F67&amp;") AS STRING) AS VALOR_MAX,'"&amp;MAX('ID1&amp;5'!K:K)+1&amp;"' AS ID_EXEC, CURRENT_TIMESTAMP() AS TIME_EXEC FROM "&amp;MID(I67,1,LEN(I67)-2)&amp;" AND CAST("&amp;F67&amp;"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TABELA_SIMUL,'obsrvd_agnt_nm' AS CAMPO, '${ref_date}' AS REF_DATE, COUNT(*) AS NUM_REG, SUM(IF(COALESCE(CAST(X.obsrvd_agnt_nm AS STRING),'')&lt;&gt;COALESCE(CAST(Y.obsrvd_agnt_nm_SIMUL AS STRING),'') OR (X.obsrvd_agnt_nm IS NULL AND Y.obsrvd_agnt_nm_SIMUL IS NOT NULL ) OR (X.obsrvd_agnt_nm IS NOT NULL AND Y.obsrvd_agnt_nm_SIMUL IS NULL),1,0)) AS NUM_REG_DIF,'1' AS ID_EXEC, CURRENT_TIMESTAMP() AS TIME_EXEC FROM (SELECT instrmnt_id, obsrvd_agnt_nm FROM BU_LOANTAPE_WORK.LT002_INSTRUMENT WHERE ref_date='${ref_date}' AND nome_perimetro='Individual Local' AND segmento='ESTR' AND ambito='SRB_MBDT' AND entidade='00100')X INNER JOIN (SELECT instrmnt_id AS instrmnt_id_SIMUL, obsrvd_agnt_nm AS obsrvd_agnt_nm_SIMUL FROM BU_LOANTAPE_WORK.SIMUL_LT002_INSTRUMENT WHERE ref_date='${ref_date}' AND nome_perimetro='Individual Local' AND segmento='ESTR' AND ambito='PILAR3' AND entidade='00100')Y ON X.INSTRMNT_ID=Y.INSTRMNT_ID_SIMUL</v>
      </c>
      <c r="M67" s="36" t="str">
        <f t="shared" si="4"/>
        <v>UNION ALL SELECT 'INSTRUMENT' AS TABELA, 'COERÊNCIA' AS TIPOLOGIA_TESTE,'BU_LOANTAPE_WORK.LT002_INSTRUMENT' AS TABELA_LT,'BU_LOANTAPE_WORK.SIMUL_LT002_INSTRUMENT' AS TABELA_SIMUL,'obsrvd_agnt_nm' AS CAMPO, '${ref_date}' AS REF_DATE, COUNT(*) AS NUM_REG, SUM(IF(COALESCE(CAST(X.obsrvd_agnt_nm AS STRING),'')&lt;&gt;COALESCE(CAST(Y.obsrvd_agnt_nm_SIMUL AS STRING),'') OR (X.obsrvd_agnt_nm IS NULL AND Y.obsrvd_agnt_nm_SIMUL IS NOT NULL ) OR (X.obsrvd_agnt_nm IS NOT NULL AND Y.obsrvd_agnt_nm_SIMUL IS NULL),1,0)) AS NUM_REG_DIF,'1' AS ID_EXEC, CURRENT_TIMESTAMP() AS TIME_EXEC FROM (SELECT instrmnt_id, obsrvd_agnt_nm FROM BU_LOANTAPE_WORK.LT002_INSTRUMENT WHERE ref_date='${ref_date}' AND nome_perimetro='Individual Local' AND segmento='ESTR' AND ambito='SRB_MBDT' AND entidade='00100')X INNER JOIN (SELECT instrmnt_id AS instrmnt_id_SIMUL, obsrvd_agnt_nm AS obsrvd_agnt_nm_SIMUL FROM BU_LOANTAPE_WORK.SIMUL_LT002_INSTRUMENT WHERE ref_date='${ref_date}' AND nome_perimetro='Individual Local' AND segmento='ESTR' AND ambito='PILAR3' AND entidade='00100')Y ON X.INSTRMNT_ID=Y.INSTRMNT_ID_SIMUL</v>
      </c>
      <c r="N67" s="38" t="s">
        <v>40</v>
      </c>
    </row>
    <row r="68" spans="2:14">
      <c r="B68" s="34" t="s">
        <v>117</v>
      </c>
      <c r="C68" s="34" t="s">
        <v>5</v>
      </c>
      <c r="D68" s="34" t="str">
        <f>+UPPER('0. Instruções'!$D$35&amp;"."&amp;VLOOKUP(B68,'0. Instruções'!$C$27:$D$32,2,FALSE))</f>
        <v>BU_LOANTAPE_WORK.LT002_INSTRUMENT</v>
      </c>
      <c r="E68" s="34" t="str">
        <f>+UPPER('0. Instruções'!$D$36&amp;"."&amp;VLOOKUP(B68,'0. Instruções'!$C$27:$E$32,3,FALSE))</f>
        <v>BU_LOANTAPE_WORK.SIMUL_LT002_INSTRUMENT</v>
      </c>
      <c r="F68" s="34" t="s">
        <v>1153</v>
      </c>
      <c r="G68" s="34"/>
      <c r="H68" s="34"/>
      <c r="I68" s="34" t="str">
        <f>"(SELECT "&amp;VLOOKUP(B68,'0. Instruções'!$C$27:$G$32,4,FALSE)&amp;", "&amp;F68&amp;" FROM "&amp;D68&amp;" WHERE "&amp;'0. Instruções'!$D$42&amp;")X"</f>
        <v>(SELECT instrmnt_id, prdct FROM BU_LOANTAPE_WORK.LT002_INSTRUMENT WHERE ref_date='${ref_date}' AND nome_perimetro='Individual Local' AND segmento='ESTR' AND ambito='SRB_MBDT' AND entidade='00100')X</v>
      </c>
      <c r="J68" s="34" t="str">
        <f>"(SELECT "&amp;VLOOKUP(B68,'0. Instruções'!$C$27:$G$32,4,FALSE)&amp;" AS "&amp;VLOOKUP(B68,'0. Instruções'!$C$27:$G$32,4,FALSE)&amp;"_SIMUL, "&amp;F68&amp;" AS "&amp;F68&amp;"_SIMUL FROM "&amp;E68&amp;" WHERE "&amp;'0. Instruções'!$D$43&amp;")Y"</f>
        <v>(SELECT instrmnt_id AS instrmnt_id_SIMUL, prdct AS prdct_SIMUL FROM BU_LOANTAPE_WORK.SIMUL_LT002_INSTRUMENT WHERE ref_date='${ref_date}' AND nome_perimetro='Individual Local' AND segmento='ESTR' AND ambito='PILAR3' AND entidade='00100')Y</v>
      </c>
      <c r="K68" s="35" t="str">
        <f>+UPPER("ON X."&amp;VLOOKUP(B68,'0. Instruções'!$C$27:$G$32,4,FALSE)&amp;"=Y."&amp;VLOOKUP(B68,'0. Instruções'!$C$27:$G$32,4,FALSE)&amp;"_SIMUL")</f>
        <v>ON X.INSTRMNT_ID=Y.INSTRMNT_ID_SIMUL</v>
      </c>
      <c r="L68" s="35" t="str">
        <f>+IF(C68="Coerência", +IF(LEFT(G68,5)="FLOAT","SELECT '"&amp;UPPER(B68)&amp;"' AS TABELA, '"&amp;UPPER(C68)&amp;"' AS TIPOLOGIA_TESTE,'"&amp;D68&amp;"' AS TABELA_LT,'"&amp;E68&amp;"' AS TABELA_SIMUL,'"&amp;F68&amp;"' AS CAMPO, "&amp;"'${ref_date}' AS REF_DATE, COUNT(*) AS NUM_REG, SUM(IF((ABS(COALESCE(CAST(X."&amp;F68&amp;" AS DECIMAL(18,6)),0)-COALESCE(CAST(Y."&amp;F68&amp;"_SIMUL AS DECIMAL(18,6)),0))&gt;0.000001) OR (X."&amp;F68&amp;" IS NULL AND Y."&amp;F68&amp;"_SIMUL IS NOT NULL ) OR (X."&amp;F68&amp;" IS NOT NULL AND Y."&amp;F68&amp;"_SIMUL IS NULL),1,0)) AS NUM_REG_DIF,'"&amp;MAX('ID1&amp;5'!K:K)+1&amp;"' AS ID_EXEC, CURRENT_TIMESTAMP() AS TIME_EXEC FROM "&amp;I68&amp;" INNER JOIN "&amp;J68&amp;" "&amp;K68,"SELECT '"&amp;UPPER(B68)&amp;"' AS TABELA, '"&amp;UPPER(C68)&amp;"' AS TIPOLOGIA_TESTE,'"&amp;D68&amp;"' AS TABELA_LT,'"&amp;E68&amp;"' AS TABELA_SIMUL,'"&amp;F68&amp;"' AS CAMPO, "&amp;"'${ref_date}' AS REF_DATE, COUNT(*) AS NUM_REG, SUM(IF(COALESCE(CAST(X."&amp;F68&amp;" AS STRING),'')&lt;&gt;COALESCE(CAST(Y."&amp;F68&amp;"_SIMUL AS STRING),'') OR (X."&amp;F68&amp;" IS NULL AND Y."&amp;F68&amp;"_SIMUL IS NOT NULL ) OR (X."&amp;F68&amp;" IS NOT NULL AND Y."&amp;F68&amp;"_SIMUL IS NULL),1,0)) AS NUM_REG_DIF,'"&amp;MAX('ID1&amp;5'!L:L)+1&amp;"' AS ID_EXEC, CURRENT_TIMESTAMP() AS TIME_EXEC FROM "&amp;I68&amp;" INNER JOIN "&amp;J68&amp;" "&amp;K68),
IF(C68="Validade",+IF(G68="Code List","SELECT '"&amp;UPPER(B68)&amp;"' AS TABELA, '"&amp;UPPER(C68)&amp;"' AS TIPOLOGIA_TESTE,'"&amp;D68&amp;"' AS TABELA_LT,'N/A' AS TABELA_SIMUL,'"&amp;F68&amp;"' AS CAMPO, "&amp;"'${ref_date}' AS REF_DATE, COUNT(*) AS NUM_REG, SUM(IF(TRIM(CAST(X."&amp;F68&amp;" AS STRING))='' OR TRIM(CAST(X."&amp;F68&amp;" AS STRING)) IS NULL OR CAST(X."&amp;F68&amp;" AS STRING) NOT "&amp;H68&amp;",1,0)) AS NUM_REG_DIF,'"&amp;MAX('ID1&amp;5'!K:K)+1&amp;"' AS ID_EXEC, CURRENT_TIMESTAMP() AS TIME_EXEC FROM "&amp;I68,"SELECT '"&amp;UPPER(B68)&amp;"' AS TABELA, '"&amp;UPPER(C68)&amp;"' AS TIPOLOGIA_TESTE,'"&amp;D68&amp;"' AS TABELA_LT,'N/A' AS TABELA_SIMUL,'"&amp;F68&amp;"' AS CAMPO, "&amp;"'${ref_date}' AS REF_DATE, COUNT(*) AS NUM_REG, SUM(IF(TRIM(CAST(X."&amp;F68&amp;" AS STRING))='' OR TRIM(CAST(X."&amp;F68&amp;" AS STRING)) IS NULL,1,0)) AS NUM_REG_DIF,'"&amp;MAX('ID1&amp;5'!K:K)+1&amp;"' AS ID_EXEC, CURRENT_TIMESTAMP() AS TIME_EXEC FROM "&amp;I68),
IF(C68="Caracteres Especiais",+"SELECT '"&amp;UPPER(B68)&amp;"' AS TABELA, '"&amp;UPPER(C68)&amp;"' AS TIPOLOGIA_TESTE,'"&amp;D68&amp;"' AS TABELA_LT,'N/A' AS TABELA_SIMUL,'"&amp;F68&amp;"' AS CAMPO, "&amp;"'${ref_date}' AS REF_DATE, COUNT(*) AS NUM_REG, SUM(IF(REGEXP_REPLACE(TRIM(CAST(X."&amp;F68&amp;" AS STRING)),'[^a-zA-Z0-9_\\s]','') &lt;&gt;TRIM(CAST(X."&amp;F68&amp;" AS STRING)),1,0)) AS NUM_REG_DIF,'"&amp;MAX('ID1&amp;5'!K:K)+1&amp;"' AS ID_EXEC, CURRENT_TIMESTAMP() AS TIME_EXEC FROM "&amp;I68,
IF(C68="Missings",+"SELECT '"&amp;UPPER(B68)&amp;"' AS TABELA, '"&amp;UPPER(C68)&amp;"' AS TIPOLOGIA_TESTE,'"&amp;D68&amp;"' AS TABELA_LT,'N/A' AS TABELA_SIMUL,'"&amp;F68&amp;"' AS CAMPO, "&amp;"'${ref_date}' AS REF_DATE, COUNT(*) AS NUM_REG, SUM(IF(TRIM(CAST(X."&amp;F68&amp;" AS STRING)) IN ('0000-00-00','0001-01-01','9999-12-31','MISS','00000','99999999999','99999999999.00','99999999999.000000'),1,0)) AS NUM_REG_DIF,'"&amp;MAX('ID1&amp;5'!K:K)+1&amp;"' AS ID_EXEC, CURRENT_TIMESTAMP() AS TIME_EXEC FROM "&amp;I68,
IF(C68="Not applicable",+"SELECT '"&amp;UPPER(B68)&amp;"' AS TABELA, '"&amp;UPPER(C68)&amp;"' AS TIPOLOGIA_TESTE,'"&amp;D68&amp;"' AS TABELA_LT,'N/A' AS TABELA_SIMUL,'"&amp;F68&amp;"' AS CAMPO, "&amp;"'${ref_date}' AS REF_DATE, COUNT(*) AS NUM_REG, SUM(IF(TRIM(CAST(X."&amp;F68&amp;" AS STRING)) IN ('N/A','11111111111','11111111111.00','11111111111.000000','1111-11-11'),1,0)) AS NUM_REG_DIF,'"&amp;MAX('ID1&amp;5'!K:K)+1&amp;"' AS ID_EXEC, CURRENT_TIMESTAMP() AS TIME_EXEC FROM "&amp;I68,
IF(C68="Valores extremos",+"SELECT '"&amp;UPPER(B68)&amp;"' AS TABELA, '"&amp;UPPER(C68)&amp;"' AS TIPOLOGIA_TESTE,'"&amp;D68&amp;"' AS TABELA_LT,'N/A' AS TABELA_SIMUL,'"&amp;F68&amp;"' AS CAMPO, "&amp;"'${ref_date}' AS REF_DATE, CAST(MIN("&amp;F68&amp;") AS STRING) AS VALOR_MIN, CAST(MAX("&amp;F68&amp;") AS STRING) AS VALOR_MAX,'"&amp;MAX('ID1&amp;5'!K:K)+1&amp;"' AS ID_EXEC, CURRENT_TIMESTAMP() AS TIME_EXEC FROM "&amp;MID(I68,1,LEN(I68)-2)&amp;" AND CAST("&amp;F68&amp;"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TABELA_SIMUL,'prdct' AS CAMPO, '${ref_date}' AS REF_DATE, COUNT(*) AS NUM_REG, SUM(IF(COALESCE(CAST(X.prdct AS STRING),'')&lt;&gt;COALESCE(CAST(Y.prdct_SIMUL AS STRING),'') OR (X.prdct IS NULL AND Y.prdct_SIMUL IS NOT NULL ) OR (X.prdct IS NOT NULL AND Y.prdct_SIMUL IS NULL),1,0)) AS NUM_REG_DIF,'1' AS ID_EXEC, CURRENT_TIMESTAMP() AS TIME_EXEC FROM (SELECT instrmnt_id, prdct FROM BU_LOANTAPE_WORK.LT002_INSTRUMENT WHERE ref_date='${ref_date}' AND nome_perimetro='Individual Local' AND segmento='ESTR' AND ambito='SRB_MBDT' AND entidade='00100')X INNER JOIN (SELECT instrmnt_id AS instrmnt_id_SIMUL, prdct AS prdct_SIMUL FROM BU_LOANTAPE_WORK.SIMUL_LT002_INSTRUMENT WHERE ref_date='${ref_date}' AND nome_perimetro='Individual Local' AND segmento='ESTR' AND ambito='PILAR3' AND entidade='00100')Y ON X.INSTRMNT_ID=Y.INSTRMNT_ID_SIMUL</v>
      </c>
      <c r="M68" s="36" t="str">
        <f t="shared" si="4"/>
        <v>UNION ALL SELECT 'INSTRUMENT' AS TABELA, 'COERÊNCIA' AS TIPOLOGIA_TESTE,'BU_LOANTAPE_WORK.LT002_INSTRUMENT' AS TABELA_LT,'BU_LOANTAPE_WORK.SIMUL_LT002_INSTRUMENT' AS TABELA_SIMUL,'prdct' AS CAMPO, '${ref_date}' AS REF_DATE, COUNT(*) AS NUM_REG, SUM(IF(COALESCE(CAST(X.prdct AS STRING),'')&lt;&gt;COALESCE(CAST(Y.prdct_SIMUL AS STRING),'') OR (X.prdct IS NULL AND Y.prdct_SIMUL IS NOT NULL ) OR (X.prdct IS NOT NULL AND Y.prdct_SIMUL IS NULL),1,0)) AS NUM_REG_DIF,'1' AS ID_EXEC, CURRENT_TIMESTAMP() AS TIME_EXEC FROM (SELECT instrmnt_id, prdct FROM BU_LOANTAPE_WORK.LT002_INSTRUMENT WHERE ref_date='${ref_date}' AND nome_perimetro='Individual Local' AND segmento='ESTR' AND ambito='SRB_MBDT' AND entidade='00100')X INNER JOIN (SELECT instrmnt_id AS instrmnt_id_SIMUL, prdct AS prdct_SIMUL FROM BU_LOANTAPE_WORK.SIMUL_LT002_INSTRUMENT WHERE ref_date='${ref_date}' AND nome_perimetro='Individual Local' AND segmento='ESTR' AND ambito='PILAR3' AND entidade='00100')Y ON X.INSTRMNT_ID=Y.INSTRMNT_ID_SIMUL</v>
      </c>
      <c r="N68" s="38" t="s">
        <v>40</v>
      </c>
    </row>
    <row r="69" spans="2:14">
      <c r="B69" s="34" t="s">
        <v>117</v>
      </c>
      <c r="C69" s="34" t="s">
        <v>5</v>
      </c>
      <c r="D69" s="34" t="str">
        <f>+UPPER('0. Instruções'!$D$35&amp;"."&amp;VLOOKUP(B69,'0. Instruções'!$C$27:$D$32,2,FALSE))</f>
        <v>BU_LOANTAPE_WORK.LT002_INSTRUMENT</v>
      </c>
      <c r="E69" s="34" t="str">
        <f>+UPPER('0. Instruções'!$D$36&amp;"."&amp;VLOOKUP(B69,'0. Instruções'!$C$27:$E$32,3,FALSE))</f>
        <v>BU_LOANTAPE_WORK.SIMUL_LT002_INSTRUMENT</v>
      </c>
      <c r="F69" s="34" t="s">
        <v>1154</v>
      </c>
      <c r="G69" s="34"/>
      <c r="H69" s="34"/>
      <c r="I69" s="34" t="str">
        <f>"(SELECT "&amp;VLOOKUP(B69,'0. Instruções'!$C$27:$G$32,4,FALSE)&amp;", "&amp;F69&amp;" FROM "&amp;D69&amp;" WHERE "&amp;'0. Instruções'!$D$42&amp;")X"</f>
        <v>(SELECT instrmnt_id, brchd_cvnnts FROM BU_LOANTAPE_WORK.LT002_INSTRUMENT WHERE ref_date='${ref_date}' AND nome_perimetro='Individual Local' AND segmento='ESTR' AND ambito='SRB_MBDT' AND entidade='00100')X</v>
      </c>
      <c r="J69" s="34" t="str">
        <f>"(SELECT "&amp;VLOOKUP(B69,'0. Instruções'!$C$27:$G$32,4,FALSE)&amp;" AS "&amp;VLOOKUP(B69,'0. Instruções'!$C$27:$G$32,4,FALSE)&amp;"_SIMUL, "&amp;F69&amp;" AS "&amp;F69&amp;"_SIMUL FROM "&amp;E69&amp;" WHERE "&amp;'0. Instruções'!$D$43&amp;")Y"</f>
        <v>(SELECT instrmnt_id AS instrmnt_id_SIMUL, brchd_cvnnts AS brchd_cvnnts_SIMUL FROM BU_LOANTAPE_WORK.SIMUL_LT002_INSTRUMENT WHERE ref_date='${ref_date}' AND nome_perimetro='Individual Local' AND segmento='ESTR' AND ambito='PILAR3' AND entidade='00100')Y</v>
      </c>
      <c r="K69" s="35" t="str">
        <f>+UPPER("ON X."&amp;VLOOKUP(B69,'0. Instruções'!$C$27:$G$32,4,FALSE)&amp;"=Y."&amp;VLOOKUP(B69,'0. Instruções'!$C$27:$G$32,4,FALSE)&amp;"_SIMUL")</f>
        <v>ON X.INSTRMNT_ID=Y.INSTRMNT_ID_SIMUL</v>
      </c>
      <c r="L69" s="35" t="str">
        <f>+IF(C69="Coerência", +IF(LEFT(G69,5)="FLOAT","SELECT '"&amp;UPPER(B69)&amp;"' AS TABELA, '"&amp;UPPER(C69)&amp;"' AS TIPOLOGIA_TESTE,'"&amp;D69&amp;"' AS TABELA_LT,'"&amp;E69&amp;"' AS TABELA_SIMUL,'"&amp;F69&amp;"' AS CAMPO, "&amp;"'${ref_date}' AS REF_DATE, COUNT(*) AS NUM_REG, SUM(IF((ABS(COALESCE(CAST(X."&amp;F69&amp;" AS DECIMAL(18,6)),0)-COALESCE(CAST(Y."&amp;F69&amp;"_SIMUL AS DECIMAL(18,6)),0))&gt;0.000001) OR (X."&amp;F69&amp;" IS NULL AND Y."&amp;F69&amp;"_SIMUL IS NOT NULL ) OR (X."&amp;F69&amp;" IS NOT NULL AND Y."&amp;F69&amp;"_SIMUL IS NULL),1,0)) AS NUM_REG_DIF,'"&amp;MAX('ID1&amp;5'!K:K)+1&amp;"' AS ID_EXEC, CURRENT_TIMESTAMP() AS TIME_EXEC FROM "&amp;I69&amp;" INNER JOIN "&amp;J69&amp;" "&amp;K69,"SELECT '"&amp;UPPER(B69)&amp;"' AS TABELA, '"&amp;UPPER(C69)&amp;"' AS TIPOLOGIA_TESTE,'"&amp;D69&amp;"' AS TABELA_LT,'"&amp;E69&amp;"' AS TABELA_SIMUL,'"&amp;F69&amp;"' AS CAMPO, "&amp;"'${ref_date}' AS REF_DATE, COUNT(*) AS NUM_REG, SUM(IF(COALESCE(CAST(X."&amp;F69&amp;" AS STRING),'')&lt;&gt;COALESCE(CAST(Y."&amp;F69&amp;"_SIMUL AS STRING),'') OR (X."&amp;F69&amp;" IS NULL AND Y."&amp;F69&amp;"_SIMUL IS NOT NULL ) OR (X."&amp;F69&amp;" IS NOT NULL AND Y."&amp;F69&amp;"_SIMUL IS NULL),1,0)) AS NUM_REG_DIF,'"&amp;MAX('ID1&amp;5'!L:L)+1&amp;"' AS ID_EXEC, CURRENT_TIMESTAMP() AS TIME_EXEC FROM "&amp;I69&amp;" INNER JOIN "&amp;J69&amp;" "&amp;K69),
IF(C69="Validade",+IF(G69="Code List","SELECT '"&amp;UPPER(B69)&amp;"' AS TABELA, '"&amp;UPPER(C69)&amp;"' AS TIPOLOGIA_TESTE,'"&amp;D69&amp;"' AS TABELA_LT,'N/A' AS TABELA_SIMUL,'"&amp;F69&amp;"' AS CAMPO, "&amp;"'${ref_date}' AS REF_DATE, COUNT(*) AS NUM_REG, SUM(IF(TRIM(CAST(X."&amp;F69&amp;" AS STRING))='' OR TRIM(CAST(X."&amp;F69&amp;" AS STRING)) IS NULL OR CAST(X."&amp;F69&amp;" AS STRING) NOT "&amp;H69&amp;",1,0)) AS NUM_REG_DIF,'"&amp;MAX('ID1&amp;5'!K:K)+1&amp;"' AS ID_EXEC, CURRENT_TIMESTAMP() AS TIME_EXEC FROM "&amp;I69,"SELECT '"&amp;UPPER(B69)&amp;"' AS TABELA, '"&amp;UPPER(C69)&amp;"' AS TIPOLOGIA_TESTE,'"&amp;D69&amp;"' AS TABELA_LT,'N/A' AS TABELA_SIMUL,'"&amp;F69&amp;"' AS CAMPO, "&amp;"'${ref_date}' AS REF_DATE, COUNT(*) AS NUM_REG, SUM(IF(TRIM(CAST(X."&amp;F69&amp;" AS STRING))='' OR TRIM(CAST(X."&amp;F69&amp;" AS STRING)) IS NULL,1,0)) AS NUM_REG_DIF,'"&amp;MAX('ID1&amp;5'!K:K)+1&amp;"' AS ID_EXEC, CURRENT_TIMESTAMP() AS TIME_EXEC FROM "&amp;I69),
IF(C69="Caracteres Especiais",+"SELECT '"&amp;UPPER(B69)&amp;"' AS TABELA, '"&amp;UPPER(C69)&amp;"' AS TIPOLOGIA_TESTE,'"&amp;D69&amp;"' AS TABELA_LT,'N/A' AS TABELA_SIMUL,'"&amp;F69&amp;"' AS CAMPO, "&amp;"'${ref_date}' AS REF_DATE, COUNT(*) AS NUM_REG, SUM(IF(REGEXP_REPLACE(TRIM(CAST(X."&amp;F69&amp;" AS STRING)),'[^a-zA-Z0-9_\\s]','') &lt;&gt;TRIM(CAST(X."&amp;F69&amp;" AS STRING)),1,0)) AS NUM_REG_DIF,'"&amp;MAX('ID1&amp;5'!K:K)+1&amp;"' AS ID_EXEC, CURRENT_TIMESTAMP() AS TIME_EXEC FROM "&amp;I69,
IF(C69="Missings",+"SELECT '"&amp;UPPER(B69)&amp;"' AS TABELA, '"&amp;UPPER(C69)&amp;"' AS TIPOLOGIA_TESTE,'"&amp;D69&amp;"' AS TABELA_LT,'N/A' AS TABELA_SIMUL,'"&amp;F69&amp;"' AS CAMPO, "&amp;"'${ref_date}' AS REF_DATE, COUNT(*) AS NUM_REG, SUM(IF(TRIM(CAST(X."&amp;F69&amp;" AS STRING)) IN ('0000-00-00','0001-01-01','9999-12-31','MISS','00000','99999999999','99999999999.00','99999999999.000000'),1,0)) AS NUM_REG_DIF,'"&amp;MAX('ID1&amp;5'!K:K)+1&amp;"' AS ID_EXEC, CURRENT_TIMESTAMP() AS TIME_EXEC FROM "&amp;I69,
IF(C69="Not applicable",+"SELECT '"&amp;UPPER(B69)&amp;"' AS TABELA, '"&amp;UPPER(C69)&amp;"' AS TIPOLOGIA_TESTE,'"&amp;D69&amp;"' AS TABELA_LT,'N/A' AS TABELA_SIMUL,'"&amp;F69&amp;"' AS CAMPO, "&amp;"'${ref_date}' AS REF_DATE, COUNT(*) AS NUM_REG, SUM(IF(TRIM(CAST(X."&amp;F69&amp;" AS STRING)) IN ('N/A','11111111111','11111111111.00','11111111111.000000','1111-11-11'),1,0)) AS NUM_REG_DIF,'"&amp;MAX('ID1&amp;5'!K:K)+1&amp;"' AS ID_EXEC, CURRENT_TIMESTAMP() AS TIME_EXEC FROM "&amp;I69,
IF(C69="Valores extremos",+"SELECT '"&amp;UPPER(B69)&amp;"' AS TABELA, '"&amp;UPPER(C69)&amp;"' AS TIPOLOGIA_TESTE,'"&amp;D69&amp;"' AS TABELA_LT,'N/A' AS TABELA_SIMUL,'"&amp;F69&amp;"' AS CAMPO, "&amp;"'${ref_date}' AS REF_DATE, CAST(MIN("&amp;F69&amp;") AS STRING) AS VALOR_MIN, CAST(MAX("&amp;F69&amp;") AS STRING) AS VALOR_MAX,'"&amp;MAX('ID1&amp;5'!K:K)+1&amp;"' AS ID_EXEC, CURRENT_TIMESTAMP() AS TIME_EXEC FROM "&amp;MID(I69,1,LEN(I69)-2)&amp;" AND CAST("&amp;F69&amp;"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TABELA_SIMUL,'brchd_cvnnts' AS CAMPO, '${ref_date}' AS REF_DATE, COUNT(*) AS NUM_REG, SUM(IF(COALESCE(CAST(X.brchd_cvnnts AS STRING),'')&lt;&gt;COALESCE(CAST(Y.brchd_cvnnts_SIMUL AS STRING),'') OR (X.brchd_cvnnts IS NULL AND Y.brchd_cvnnts_SIMUL IS NOT NULL ) OR (X.brchd_cvnnts IS NOT NULL AND Y.brchd_cvnnts_SIMUL IS NULL),1,0)) AS NUM_REG_DIF,'1' AS ID_EXEC, CURRENT_TIMESTAMP() AS TIME_EXEC FROM (SELECT instrmnt_id, brchd_cvnnts FROM BU_LOANTAPE_WORK.LT002_INSTRUMENT WHERE ref_date='${ref_date}' AND nome_perimetro='Individual Local' AND segmento='ESTR' AND ambito='SRB_MBDT' AND entidade='00100')X INNER JOIN (SELECT instrmnt_id AS instrmnt_id_SIMUL, brchd_cvnnts AS brchd_cvnnts_SIMUL FROM BU_LOANTAPE_WORK.SIMUL_LT002_INSTRUMENT WHERE ref_date='${ref_date}' AND nome_perimetro='Individual Local' AND segmento='ESTR' AND ambito='PILAR3' AND entidade='00100')Y ON X.INSTRMNT_ID=Y.INSTRMNT_ID_SIMUL</v>
      </c>
      <c r="M69" s="36" t="str">
        <f t="shared" si="4"/>
        <v>UNION ALL SELECT 'INSTRUMENT' AS TABELA, 'COERÊNCIA' AS TIPOLOGIA_TESTE,'BU_LOANTAPE_WORK.LT002_INSTRUMENT' AS TABELA_LT,'BU_LOANTAPE_WORK.SIMUL_LT002_INSTRUMENT' AS TABELA_SIMUL,'brchd_cvnnts' AS CAMPO, '${ref_date}' AS REF_DATE, COUNT(*) AS NUM_REG, SUM(IF(COALESCE(CAST(X.brchd_cvnnts AS STRING),'')&lt;&gt;COALESCE(CAST(Y.brchd_cvnnts_SIMUL AS STRING),'') OR (X.brchd_cvnnts IS NULL AND Y.brchd_cvnnts_SIMUL IS NOT NULL ) OR (X.brchd_cvnnts IS NOT NULL AND Y.brchd_cvnnts_SIMUL IS NULL),1,0)) AS NUM_REG_DIF,'1' AS ID_EXEC, CURRENT_TIMESTAMP() AS TIME_EXEC FROM (SELECT instrmnt_id, brchd_cvnnts FROM BU_LOANTAPE_WORK.LT002_INSTRUMENT WHERE ref_date='${ref_date}' AND nome_perimetro='Individual Local' AND segmento='ESTR' AND ambito='SRB_MBDT' AND entidade='00100')X INNER JOIN (SELECT instrmnt_id AS instrmnt_id_SIMUL, brchd_cvnnts AS brchd_cvnnts_SIMUL FROM BU_LOANTAPE_WORK.SIMUL_LT002_INSTRUMENT WHERE ref_date='${ref_date}' AND nome_perimetro='Individual Local' AND segmento='ESTR' AND ambito='PILAR3' AND entidade='00100')Y ON X.INSTRMNT_ID=Y.INSTRMNT_ID_SIMUL</v>
      </c>
      <c r="N69" s="38" t="s">
        <v>40</v>
      </c>
    </row>
    <row r="70" spans="2:14">
      <c r="B70" s="34" t="s">
        <v>117</v>
      </c>
      <c r="C70" s="34" t="s">
        <v>5</v>
      </c>
      <c r="D70" s="34" t="str">
        <f>+UPPER('0. Instruções'!$D$35&amp;"."&amp;VLOOKUP(B70,'0. Instruções'!$C$27:$D$32,2,FALSE))</f>
        <v>BU_LOANTAPE_WORK.LT002_INSTRUMENT</v>
      </c>
      <c r="E70" s="34" t="str">
        <f>+UPPER('0. Instruções'!$D$36&amp;"."&amp;VLOOKUP(B70,'0. Instruções'!$C$27:$E$32,3,FALSE))</f>
        <v>BU_LOANTAPE_WORK.SIMUL_LT002_INSTRUMENT</v>
      </c>
      <c r="F70" s="34" t="s">
        <v>1155</v>
      </c>
      <c r="G70" s="34"/>
      <c r="H70" s="34"/>
      <c r="I70" s="34" t="str">
        <f>"(SELECT "&amp;VLOOKUP(B70,'0. Instruções'!$C$27:$G$32,4,FALSE)&amp;", "&amp;F70&amp;" FROM "&amp;D70&amp;" WHERE "&amp;'0. Instruções'!$D$42&amp;")X"</f>
        <v>(SELECT instrmnt_id, chnnl_orgntn FROM BU_LOANTAPE_WORK.LT002_INSTRUMENT WHERE ref_date='${ref_date}' AND nome_perimetro='Individual Local' AND segmento='ESTR' AND ambito='SRB_MBDT' AND entidade='00100')X</v>
      </c>
      <c r="J70" s="34" t="str">
        <f>"(SELECT "&amp;VLOOKUP(B70,'0. Instruções'!$C$27:$G$32,4,FALSE)&amp;" AS "&amp;VLOOKUP(B70,'0. Instruções'!$C$27:$G$32,4,FALSE)&amp;"_SIMUL, "&amp;F70&amp;" AS "&amp;F70&amp;"_SIMUL FROM "&amp;E70&amp;" WHERE "&amp;'0. Instruções'!$D$43&amp;")Y"</f>
        <v>(SELECT instrmnt_id AS instrmnt_id_SIMUL, chnnl_orgntn AS chnnl_orgntn_SIMUL FROM BU_LOANTAPE_WORK.SIMUL_LT002_INSTRUMENT WHERE ref_date='${ref_date}' AND nome_perimetro='Individual Local' AND segmento='ESTR' AND ambito='PILAR3' AND entidade='00100')Y</v>
      </c>
      <c r="K70" s="35" t="str">
        <f>+UPPER("ON X."&amp;VLOOKUP(B70,'0. Instruções'!$C$27:$G$32,4,FALSE)&amp;"=Y."&amp;VLOOKUP(B70,'0. Instruções'!$C$27:$G$32,4,FALSE)&amp;"_SIMUL")</f>
        <v>ON X.INSTRMNT_ID=Y.INSTRMNT_ID_SIMUL</v>
      </c>
      <c r="L70" s="35" t="str">
        <f>+IF(C70="Coerência", +IF(LEFT(G70,5)="FLOAT","SELECT '"&amp;UPPER(B70)&amp;"' AS TABELA, '"&amp;UPPER(C70)&amp;"' AS TIPOLOGIA_TESTE,'"&amp;D70&amp;"' AS TABELA_LT,'"&amp;E70&amp;"' AS TABELA_SIMUL,'"&amp;F70&amp;"' AS CAMPO, "&amp;"'${ref_date}' AS REF_DATE, COUNT(*) AS NUM_REG, SUM(IF((ABS(COALESCE(CAST(X."&amp;F70&amp;" AS DECIMAL(18,6)),0)-COALESCE(CAST(Y."&amp;F70&amp;"_SIMUL AS DECIMAL(18,6)),0))&gt;0.000001) OR (X."&amp;F70&amp;" IS NULL AND Y."&amp;F70&amp;"_SIMUL IS NOT NULL ) OR (X."&amp;F70&amp;" IS NOT NULL AND Y."&amp;F70&amp;"_SIMUL IS NULL),1,0)) AS NUM_REG_DIF,'"&amp;MAX('ID1&amp;5'!K:K)+1&amp;"' AS ID_EXEC, CURRENT_TIMESTAMP() AS TIME_EXEC FROM "&amp;I70&amp;" INNER JOIN "&amp;J70&amp;" "&amp;K70,"SELECT '"&amp;UPPER(B70)&amp;"' AS TABELA, '"&amp;UPPER(C70)&amp;"' AS TIPOLOGIA_TESTE,'"&amp;D70&amp;"' AS TABELA_LT,'"&amp;E70&amp;"' AS TABELA_SIMUL,'"&amp;F70&amp;"' AS CAMPO, "&amp;"'${ref_date}' AS REF_DATE, COUNT(*) AS NUM_REG, SUM(IF(COALESCE(CAST(X."&amp;F70&amp;" AS STRING),'')&lt;&gt;COALESCE(CAST(Y."&amp;F70&amp;"_SIMUL AS STRING),'') OR (X."&amp;F70&amp;" IS NULL AND Y."&amp;F70&amp;"_SIMUL IS NOT NULL ) OR (X."&amp;F70&amp;" IS NOT NULL AND Y."&amp;F70&amp;"_SIMUL IS NULL),1,0)) AS NUM_REG_DIF,'"&amp;MAX('ID1&amp;5'!L:L)+1&amp;"' AS ID_EXEC, CURRENT_TIMESTAMP() AS TIME_EXEC FROM "&amp;I70&amp;" INNER JOIN "&amp;J70&amp;" "&amp;K70),
IF(C70="Validade",+IF(G70="Code List","SELECT '"&amp;UPPER(B70)&amp;"' AS TABELA, '"&amp;UPPER(C70)&amp;"' AS TIPOLOGIA_TESTE,'"&amp;D70&amp;"' AS TABELA_LT,'N/A' AS TABELA_SIMUL,'"&amp;F70&amp;"' AS CAMPO, "&amp;"'${ref_date}' AS REF_DATE, COUNT(*) AS NUM_REG, SUM(IF(TRIM(CAST(X."&amp;F70&amp;" AS STRING))='' OR TRIM(CAST(X."&amp;F70&amp;" AS STRING)) IS NULL OR CAST(X."&amp;F70&amp;" AS STRING) NOT "&amp;H70&amp;",1,0)) AS NUM_REG_DIF,'"&amp;MAX('ID1&amp;5'!K:K)+1&amp;"' AS ID_EXEC, CURRENT_TIMESTAMP() AS TIME_EXEC FROM "&amp;I70,"SELECT '"&amp;UPPER(B70)&amp;"' AS TABELA, '"&amp;UPPER(C70)&amp;"' AS TIPOLOGIA_TESTE,'"&amp;D70&amp;"' AS TABELA_LT,'N/A' AS TABELA_SIMUL,'"&amp;F70&amp;"' AS CAMPO, "&amp;"'${ref_date}' AS REF_DATE, COUNT(*) AS NUM_REG, SUM(IF(TRIM(CAST(X."&amp;F70&amp;" AS STRING))='' OR TRIM(CAST(X."&amp;F70&amp;" AS STRING)) IS NULL,1,0)) AS NUM_REG_DIF,'"&amp;MAX('ID1&amp;5'!K:K)+1&amp;"' AS ID_EXEC, CURRENT_TIMESTAMP() AS TIME_EXEC FROM "&amp;I70),
IF(C70="Caracteres Especiais",+"SELECT '"&amp;UPPER(B70)&amp;"' AS TABELA, '"&amp;UPPER(C70)&amp;"' AS TIPOLOGIA_TESTE,'"&amp;D70&amp;"' AS TABELA_LT,'N/A' AS TABELA_SIMUL,'"&amp;F70&amp;"' AS CAMPO, "&amp;"'${ref_date}' AS REF_DATE, COUNT(*) AS NUM_REG, SUM(IF(REGEXP_REPLACE(TRIM(CAST(X."&amp;F70&amp;" AS STRING)),'[^a-zA-Z0-9_\\s]','') &lt;&gt;TRIM(CAST(X."&amp;F70&amp;" AS STRING)),1,0)) AS NUM_REG_DIF,'"&amp;MAX('ID1&amp;5'!K:K)+1&amp;"' AS ID_EXEC, CURRENT_TIMESTAMP() AS TIME_EXEC FROM "&amp;I70,
IF(C70="Missings",+"SELECT '"&amp;UPPER(B70)&amp;"' AS TABELA, '"&amp;UPPER(C70)&amp;"' AS TIPOLOGIA_TESTE,'"&amp;D70&amp;"' AS TABELA_LT,'N/A' AS TABELA_SIMUL,'"&amp;F70&amp;"' AS CAMPO, "&amp;"'${ref_date}' AS REF_DATE, COUNT(*) AS NUM_REG, SUM(IF(TRIM(CAST(X."&amp;F70&amp;" AS STRING)) IN ('0000-00-00','0001-01-01','9999-12-31','MISS','00000','99999999999','99999999999.00','99999999999.000000'),1,0)) AS NUM_REG_DIF,'"&amp;MAX('ID1&amp;5'!K:K)+1&amp;"' AS ID_EXEC, CURRENT_TIMESTAMP() AS TIME_EXEC FROM "&amp;I70,
IF(C70="Not applicable",+"SELECT '"&amp;UPPER(B70)&amp;"' AS TABELA, '"&amp;UPPER(C70)&amp;"' AS TIPOLOGIA_TESTE,'"&amp;D70&amp;"' AS TABELA_LT,'N/A' AS TABELA_SIMUL,'"&amp;F70&amp;"' AS CAMPO, "&amp;"'${ref_date}' AS REF_DATE, COUNT(*) AS NUM_REG, SUM(IF(TRIM(CAST(X."&amp;F70&amp;" AS STRING)) IN ('N/A','11111111111','11111111111.00','11111111111.000000','1111-11-11'),1,0)) AS NUM_REG_DIF,'"&amp;MAX('ID1&amp;5'!K:K)+1&amp;"' AS ID_EXEC, CURRENT_TIMESTAMP() AS TIME_EXEC FROM "&amp;I70,
IF(C70="Valores extremos",+"SELECT '"&amp;UPPER(B70)&amp;"' AS TABELA, '"&amp;UPPER(C70)&amp;"' AS TIPOLOGIA_TESTE,'"&amp;D70&amp;"' AS TABELA_LT,'N/A' AS TABELA_SIMUL,'"&amp;F70&amp;"' AS CAMPO, "&amp;"'${ref_date}' AS REF_DATE, CAST(MIN("&amp;F70&amp;") AS STRING) AS VALOR_MIN, CAST(MAX("&amp;F70&amp;") AS STRING) AS VALOR_MAX,'"&amp;MAX('ID1&amp;5'!K:K)+1&amp;"' AS ID_EXEC, CURRENT_TIMESTAMP() AS TIME_EXEC FROM "&amp;MID(I70,1,LEN(I70)-2)&amp;" AND CAST("&amp;F70&amp;"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TABELA_SIMUL,'chnnl_orgntn' AS CAMPO, '${ref_date}' AS REF_DATE, COUNT(*) AS NUM_REG, SUM(IF(COALESCE(CAST(X.chnnl_orgntn AS STRING),'')&lt;&gt;COALESCE(CAST(Y.chnnl_orgntn_SIMUL AS STRING),'') OR (X.chnnl_orgntn IS NULL AND Y.chnnl_orgntn_SIMUL IS NOT NULL ) OR (X.chnnl_orgntn IS NOT NULL AND Y.chnnl_orgntn_SIMUL IS NULL),1,0)) AS NUM_REG_DIF,'1' AS ID_EXEC, CURRENT_TIMESTAMP() AS TIME_EXEC FROM (SELECT instrmnt_id, chnnl_orgntn FROM BU_LOANTAPE_WORK.LT002_INSTRUMENT WHERE ref_date='${ref_date}' AND nome_perimetro='Individual Local' AND segmento='ESTR' AND ambito='SRB_MBDT' AND entidade='00100')X INNER JOIN (SELECT instrmnt_id AS instrmnt_id_SIMUL, chnnl_orgntn AS chnnl_orgntn_SIMUL FROM BU_LOANTAPE_WORK.SIMUL_LT002_INSTRUMENT WHERE ref_date='${ref_date}' AND nome_perimetro='Individual Local' AND segmento='ESTR' AND ambito='PILAR3' AND entidade='00100')Y ON X.INSTRMNT_ID=Y.INSTRMNT_ID_SIMUL</v>
      </c>
      <c r="M70" s="36" t="str">
        <f t="shared" si="4"/>
        <v>UNION ALL SELECT 'INSTRUMENT' AS TABELA, 'COERÊNCIA' AS TIPOLOGIA_TESTE,'BU_LOANTAPE_WORK.LT002_INSTRUMENT' AS TABELA_LT,'BU_LOANTAPE_WORK.SIMUL_LT002_INSTRUMENT' AS TABELA_SIMUL,'chnnl_orgntn' AS CAMPO, '${ref_date}' AS REF_DATE, COUNT(*) AS NUM_REG, SUM(IF(COALESCE(CAST(X.chnnl_orgntn AS STRING),'')&lt;&gt;COALESCE(CAST(Y.chnnl_orgntn_SIMUL AS STRING),'') OR (X.chnnl_orgntn IS NULL AND Y.chnnl_orgntn_SIMUL IS NOT NULL ) OR (X.chnnl_orgntn IS NOT NULL AND Y.chnnl_orgntn_SIMUL IS NULL),1,0)) AS NUM_REG_DIF,'1' AS ID_EXEC, CURRENT_TIMESTAMP() AS TIME_EXEC FROM (SELECT instrmnt_id, chnnl_orgntn FROM BU_LOANTAPE_WORK.LT002_INSTRUMENT WHERE ref_date='${ref_date}' AND nome_perimetro='Individual Local' AND segmento='ESTR' AND ambito='SRB_MBDT' AND entidade='00100')X INNER JOIN (SELECT instrmnt_id AS instrmnt_id_SIMUL, chnnl_orgntn AS chnnl_orgntn_SIMUL FROM BU_LOANTAPE_WORK.SIMUL_LT002_INSTRUMENT WHERE ref_date='${ref_date}' AND nome_perimetro='Individual Local' AND segmento='ESTR' AND ambito='PILAR3' AND entidade='00100')Y ON X.INSTRMNT_ID=Y.INSTRMNT_ID_SIMUL</v>
      </c>
      <c r="N70" s="38" t="s">
        <v>40</v>
      </c>
    </row>
    <row r="71" spans="2:14">
      <c r="B71" s="34" t="s">
        <v>117</v>
      </c>
      <c r="C71" s="34" t="s">
        <v>5</v>
      </c>
      <c r="D71" s="34" t="str">
        <f>+UPPER('0. Instruções'!$D$35&amp;"."&amp;VLOOKUP(B71,'0. Instruções'!$C$27:$D$32,2,FALSE))</f>
        <v>BU_LOANTAPE_WORK.LT002_INSTRUMENT</v>
      </c>
      <c r="E71" s="34" t="str">
        <f>+UPPER('0. Instruções'!$D$36&amp;"."&amp;VLOOKUP(B71,'0. Instruções'!$C$27:$E$32,3,FALSE))</f>
        <v>BU_LOANTAPE_WORK.SIMUL_LT002_INSTRUMENT</v>
      </c>
      <c r="F71" s="34" t="s">
        <v>1156</v>
      </c>
      <c r="G71" s="34"/>
      <c r="H71" s="34"/>
      <c r="I71" s="34" t="str">
        <f>"(SELECT "&amp;VLOOKUP(B71,'0. Instruções'!$C$27:$G$32,4,FALSE)&amp;", "&amp;F71&amp;" FROM "&amp;D71&amp;" WHERE "&amp;'0. Instruções'!$D$42&amp;")X"</f>
        <v>(SELECT instrmnt_id, csh_swp_trp FROM BU_LOANTAPE_WORK.LT002_INSTRUMENT WHERE ref_date='${ref_date}' AND nome_perimetro='Individual Local' AND segmento='ESTR' AND ambito='SRB_MBDT' AND entidade='00100')X</v>
      </c>
      <c r="J71" s="34" t="str">
        <f>"(SELECT "&amp;VLOOKUP(B71,'0. Instruções'!$C$27:$G$32,4,FALSE)&amp;" AS "&amp;VLOOKUP(B71,'0. Instruções'!$C$27:$G$32,4,FALSE)&amp;"_SIMUL, "&amp;F71&amp;" AS "&amp;F71&amp;"_SIMUL FROM "&amp;E71&amp;" WHERE "&amp;'0. Instruções'!$D$43&amp;")Y"</f>
        <v>(SELECT instrmnt_id AS instrmnt_id_SIMUL, csh_swp_trp AS csh_swp_trp_SIMUL FROM BU_LOANTAPE_WORK.SIMUL_LT002_INSTRUMENT WHERE ref_date='${ref_date}' AND nome_perimetro='Individual Local' AND segmento='ESTR' AND ambito='PILAR3' AND entidade='00100')Y</v>
      </c>
      <c r="K71" s="35" t="str">
        <f>+UPPER("ON X."&amp;VLOOKUP(B71,'0. Instruções'!$C$27:$G$32,4,FALSE)&amp;"=Y."&amp;VLOOKUP(B71,'0. Instruções'!$C$27:$G$32,4,FALSE)&amp;"_SIMUL")</f>
        <v>ON X.INSTRMNT_ID=Y.INSTRMNT_ID_SIMUL</v>
      </c>
      <c r="L71" s="35" t="str">
        <f>+IF(C71="Coerência", +IF(LEFT(G71,5)="FLOAT","SELECT '"&amp;UPPER(B71)&amp;"' AS TABELA, '"&amp;UPPER(C71)&amp;"' AS TIPOLOGIA_TESTE,'"&amp;D71&amp;"' AS TABELA_LT,'"&amp;E71&amp;"' AS TABELA_SIMUL,'"&amp;F71&amp;"' AS CAMPO, "&amp;"'${ref_date}' AS REF_DATE, COUNT(*) AS NUM_REG, SUM(IF((ABS(COALESCE(CAST(X."&amp;F71&amp;" AS DECIMAL(18,6)),0)-COALESCE(CAST(Y."&amp;F71&amp;"_SIMUL AS DECIMAL(18,6)),0))&gt;0.000001) OR (X."&amp;F71&amp;" IS NULL AND Y."&amp;F71&amp;"_SIMUL IS NOT NULL ) OR (X."&amp;F71&amp;" IS NOT NULL AND Y."&amp;F71&amp;"_SIMUL IS NULL),1,0)) AS NUM_REG_DIF,'"&amp;MAX('ID1&amp;5'!K:K)+1&amp;"' AS ID_EXEC, CURRENT_TIMESTAMP() AS TIME_EXEC FROM "&amp;I71&amp;" INNER JOIN "&amp;J71&amp;" "&amp;K71,"SELECT '"&amp;UPPER(B71)&amp;"' AS TABELA, '"&amp;UPPER(C71)&amp;"' AS TIPOLOGIA_TESTE,'"&amp;D71&amp;"' AS TABELA_LT,'"&amp;E71&amp;"' AS TABELA_SIMUL,'"&amp;F71&amp;"' AS CAMPO, "&amp;"'${ref_date}' AS REF_DATE, COUNT(*) AS NUM_REG, SUM(IF(COALESCE(CAST(X."&amp;F71&amp;" AS STRING),'')&lt;&gt;COALESCE(CAST(Y."&amp;F71&amp;"_SIMUL AS STRING),'') OR (X."&amp;F71&amp;" IS NULL AND Y."&amp;F71&amp;"_SIMUL IS NOT NULL ) OR (X."&amp;F71&amp;" IS NOT NULL AND Y."&amp;F71&amp;"_SIMUL IS NULL),1,0)) AS NUM_REG_DIF,'"&amp;MAX('ID1&amp;5'!L:L)+1&amp;"' AS ID_EXEC, CURRENT_TIMESTAMP() AS TIME_EXEC FROM "&amp;I71&amp;" INNER JOIN "&amp;J71&amp;" "&amp;K71),
IF(C71="Validade",+IF(G71="Code List","SELECT '"&amp;UPPER(B71)&amp;"' AS TABELA, '"&amp;UPPER(C71)&amp;"' AS TIPOLOGIA_TESTE,'"&amp;D71&amp;"' AS TABELA_LT,'N/A' AS TABELA_SIMUL,'"&amp;F71&amp;"' AS CAMPO, "&amp;"'${ref_date}' AS REF_DATE, COUNT(*) AS NUM_REG, SUM(IF(TRIM(CAST(X."&amp;F71&amp;" AS STRING))='' OR TRIM(CAST(X."&amp;F71&amp;" AS STRING)) IS NULL OR CAST(X."&amp;F71&amp;" AS STRING) NOT "&amp;H71&amp;",1,0)) AS NUM_REG_DIF,'"&amp;MAX('ID1&amp;5'!K:K)+1&amp;"' AS ID_EXEC, CURRENT_TIMESTAMP() AS TIME_EXEC FROM "&amp;I71,"SELECT '"&amp;UPPER(B71)&amp;"' AS TABELA, '"&amp;UPPER(C71)&amp;"' AS TIPOLOGIA_TESTE,'"&amp;D71&amp;"' AS TABELA_LT,'N/A' AS TABELA_SIMUL,'"&amp;F71&amp;"' AS CAMPO, "&amp;"'${ref_date}' AS REF_DATE, COUNT(*) AS NUM_REG, SUM(IF(TRIM(CAST(X."&amp;F71&amp;" AS STRING))='' OR TRIM(CAST(X."&amp;F71&amp;" AS STRING)) IS NULL,1,0)) AS NUM_REG_DIF,'"&amp;MAX('ID1&amp;5'!K:K)+1&amp;"' AS ID_EXEC, CURRENT_TIMESTAMP() AS TIME_EXEC FROM "&amp;I71),
IF(C71="Caracteres Especiais",+"SELECT '"&amp;UPPER(B71)&amp;"' AS TABELA, '"&amp;UPPER(C71)&amp;"' AS TIPOLOGIA_TESTE,'"&amp;D71&amp;"' AS TABELA_LT,'N/A' AS TABELA_SIMUL,'"&amp;F71&amp;"' AS CAMPO, "&amp;"'${ref_date}' AS REF_DATE, COUNT(*) AS NUM_REG, SUM(IF(REGEXP_REPLACE(TRIM(CAST(X."&amp;F71&amp;" AS STRING)),'[^a-zA-Z0-9_\\s]','') &lt;&gt;TRIM(CAST(X."&amp;F71&amp;" AS STRING)),1,0)) AS NUM_REG_DIF,'"&amp;MAX('ID1&amp;5'!K:K)+1&amp;"' AS ID_EXEC, CURRENT_TIMESTAMP() AS TIME_EXEC FROM "&amp;I71,
IF(C71="Missings",+"SELECT '"&amp;UPPER(B71)&amp;"' AS TABELA, '"&amp;UPPER(C71)&amp;"' AS TIPOLOGIA_TESTE,'"&amp;D71&amp;"' AS TABELA_LT,'N/A' AS TABELA_SIMUL,'"&amp;F71&amp;"' AS CAMPO, "&amp;"'${ref_date}' AS REF_DATE, COUNT(*) AS NUM_REG, SUM(IF(TRIM(CAST(X."&amp;F71&amp;" AS STRING)) IN ('0000-00-00','0001-01-01','9999-12-31','MISS','00000','99999999999','99999999999.00','99999999999.000000'),1,0)) AS NUM_REG_DIF,'"&amp;MAX('ID1&amp;5'!K:K)+1&amp;"' AS ID_EXEC, CURRENT_TIMESTAMP() AS TIME_EXEC FROM "&amp;I71,
IF(C71="Not applicable",+"SELECT '"&amp;UPPER(B71)&amp;"' AS TABELA, '"&amp;UPPER(C71)&amp;"' AS TIPOLOGIA_TESTE,'"&amp;D71&amp;"' AS TABELA_LT,'N/A' AS TABELA_SIMUL,'"&amp;F71&amp;"' AS CAMPO, "&amp;"'${ref_date}' AS REF_DATE, COUNT(*) AS NUM_REG, SUM(IF(TRIM(CAST(X."&amp;F71&amp;" AS STRING)) IN ('N/A','11111111111','11111111111.00','11111111111.000000','1111-11-11'),1,0)) AS NUM_REG_DIF,'"&amp;MAX('ID1&amp;5'!K:K)+1&amp;"' AS ID_EXEC, CURRENT_TIMESTAMP() AS TIME_EXEC FROM "&amp;I71,
IF(C71="Valores extremos",+"SELECT '"&amp;UPPER(B71)&amp;"' AS TABELA, '"&amp;UPPER(C71)&amp;"' AS TIPOLOGIA_TESTE,'"&amp;D71&amp;"' AS TABELA_LT,'N/A' AS TABELA_SIMUL,'"&amp;F71&amp;"' AS CAMPO, "&amp;"'${ref_date}' AS REF_DATE, CAST(MIN("&amp;F71&amp;") AS STRING) AS VALOR_MIN, CAST(MAX("&amp;F71&amp;") AS STRING) AS VALOR_MAX,'"&amp;MAX('ID1&amp;5'!K:K)+1&amp;"' AS ID_EXEC, CURRENT_TIMESTAMP() AS TIME_EXEC FROM "&amp;MID(I71,1,LEN(I71)-2)&amp;" AND CAST("&amp;F71&amp;"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TABELA_SIMUL,'csh_swp_trp' AS CAMPO, '${ref_date}' AS REF_DATE, COUNT(*) AS NUM_REG, SUM(IF(COALESCE(CAST(X.csh_swp_trp AS STRING),'')&lt;&gt;COALESCE(CAST(Y.csh_swp_trp_SIMUL AS STRING),'') OR (X.csh_swp_trp IS NULL AND Y.csh_swp_trp_SIMUL IS NOT NULL ) OR (X.csh_swp_trp IS NOT NULL AND Y.csh_swp_trp_SIMUL IS NULL),1,0)) AS NUM_REG_DIF,'1' AS ID_EXEC, CURRENT_TIMESTAMP() AS TIME_EXEC FROM (SELECT instrmnt_id, csh_swp_trp FROM BU_LOANTAPE_WORK.LT002_INSTRUMENT WHERE ref_date='${ref_date}' AND nome_perimetro='Individual Local' AND segmento='ESTR' AND ambito='SRB_MBDT' AND entidade='00100')X INNER JOIN (SELECT instrmnt_id AS instrmnt_id_SIMUL, csh_swp_trp AS csh_swp_trp_SIMUL FROM BU_LOANTAPE_WORK.SIMUL_LT002_INSTRUMENT WHERE ref_date='${ref_date}' AND nome_perimetro='Individual Local' AND segmento='ESTR' AND ambito='PILAR3' AND entidade='00100')Y ON X.INSTRMNT_ID=Y.INSTRMNT_ID_SIMUL</v>
      </c>
      <c r="M71" s="36" t="str">
        <f t="shared" si="4"/>
        <v>UNION ALL SELECT 'INSTRUMENT' AS TABELA, 'COERÊNCIA' AS TIPOLOGIA_TESTE,'BU_LOANTAPE_WORK.LT002_INSTRUMENT' AS TABELA_LT,'BU_LOANTAPE_WORK.SIMUL_LT002_INSTRUMENT' AS TABELA_SIMUL,'csh_swp_trp' AS CAMPO, '${ref_date}' AS REF_DATE, COUNT(*) AS NUM_REG, SUM(IF(COALESCE(CAST(X.csh_swp_trp AS STRING),'')&lt;&gt;COALESCE(CAST(Y.csh_swp_trp_SIMUL AS STRING),'') OR (X.csh_swp_trp IS NULL AND Y.csh_swp_trp_SIMUL IS NOT NULL ) OR (X.csh_swp_trp IS NOT NULL AND Y.csh_swp_trp_SIMUL IS NULL),1,0)) AS NUM_REG_DIF,'1' AS ID_EXEC, CURRENT_TIMESTAMP() AS TIME_EXEC FROM (SELECT instrmnt_id, csh_swp_trp FROM BU_LOANTAPE_WORK.LT002_INSTRUMENT WHERE ref_date='${ref_date}' AND nome_perimetro='Individual Local' AND segmento='ESTR' AND ambito='SRB_MBDT' AND entidade='00100')X INNER JOIN (SELECT instrmnt_id AS instrmnt_id_SIMUL, csh_swp_trp AS csh_swp_trp_SIMUL FROM BU_LOANTAPE_WORK.SIMUL_LT002_INSTRUMENT WHERE ref_date='${ref_date}' AND nome_perimetro='Individual Local' AND segmento='ESTR' AND ambito='PILAR3' AND entidade='00100')Y ON X.INSTRMNT_ID=Y.INSTRMNT_ID_SIMUL</v>
      </c>
      <c r="N71" s="38" t="s">
        <v>40</v>
      </c>
    </row>
    <row r="72" spans="2:14">
      <c r="B72" s="34" t="s">
        <v>117</v>
      </c>
      <c r="C72" s="34" t="s">
        <v>5</v>
      </c>
      <c r="D72" s="34" t="str">
        <f>+UPPER('0. Instruções'!$D$35&amp;"."&amp;VLOOKUP(B72,'0. Instruções'!$C$27:$D$32,2,FALSE))</f>
        <v>BU_LOANTAPE_WORK.LT002_INSTRUMENT</v>
      </c>
      <c r="E72" s="34" t="str">
        <f>+UPPER('0. Instruções'!$D$36&amp;"."&amp;VLOOKUP(B72,'0. Instruções'!$C$27:$E$32,3,FALSE))</f>
        <v>BU_LOANTAPE_WORK.SIMUL_LT002_INSTRUMENT</v>
      </c>
      <c r="F72" s="34" t="s">
        <v>1157</v>
      </c>
      <c r="G72" s="34"/>
      <c r="H72" s="34"/>
      <c r="I72" s="34" t="str">
        <f>"(SELECT "&amp;VLOOKUP(B72,'0. Instruções'!$C$27:$G$32,4,FALSE)&amp;", "&amp;F72&amp;" FROM "&amp;D72&amp;" WHERE "&amp;'0. Instruções'!$D$42&amp;")X"</f>
        <v>(SELECT instrmnt_id, cvnnt_stts FROM BU_LOANTAPE_WORK.LT002_INSTRUMENT WHERE ref_date='${ref_date}' AND nome_perimetro='Individual Local' AND segmento='ESTR' AND ambito='SRB_MBDT' AND entidade='00100')X</v>
      </c>
      <c r="J72" s="34" t="str">
        <f>"(SELECT "&amp;VLOOKUP(B72,'0. Instruções'!$C$27:$G$32,4,FALSE)&amp;" AS "&amp;VLOOKUP(B72,'0. Instruções'!$C$27:$G$32,4,FALSE)&amp;"_SIMUL, "&amp;F72&amp;" AS "&amp;F72&amp;"_SIMUL FROM "&amp;E72&amp;" WHERE "&amp;'0. Instruções'!$D$43&amp;")Y"</f>
        <v>(SELECT instrmnt_id AS instrmnt_id_SIMUL, cvnnt_stts AS cvnnt_stts_SIMUL FROM BU_LOANTAPE_WORK.SIMUL_LT002_INSTRUMENT WHERE ref_date='${ref_date}' AND nome_perimetro='Individual Local' AND segmento='ESTR' AND ambito='PILAR3' AND entidade='00100')Y</v>
      </c>
      <c r="K72" s="35" t="str">
        <f>+UPPER("ON X."&amp;VLOOKUP(B72,'0. Instruções'!$C$27:$G$32,4,FALSE)&amp;"=Y."&amp;VLOOKUP(B72,'0. Instruções'!$C$27:$G$32,4,FALSE)&amp;"_SIMUL")</f>
        <v>ON X.INSTRMNT_ID=Y.INSTRMNT_ID_SIMUL</v>
      </c>
      <c r="L72" s="35" t="str">
        <f>+IF(C72="Coerência", +IF(LEFT(G72,5)="FLOAT","SELECT '"&amp;UPPER(B72)&amp;"' AS TABELA, '"&amp;UPPER(C72)&amp;"' AS TIPOLOGIA_TESTE,'"&amp;D72&amp;"' AS TABELA_LT,'"&amp;E72&amp;"' AS TABELA_SIMUL,'"&amp;F72&amp;"' AS CAMPO, "&amp;"'${ref_date}' AS REF_DATE, COUNT(*) AS NUM_REG, SUM(IF((ABS(COALESCE(CAST(X."&amp;F72&amp;" AS DECIMAL(18,6)),0)-COALESCE(CAST(Y."&amp;F72&amp;"_SIMUL AS DECIMAL(18,6)),0))&gt;0.000001) OR (X."&amp;F72&amp;" IS NULL AND Y."&amp;F72&amp;"_SIMUL IS NOT NULL ) OR (X."&amp;F72&amp;" IS NOT NULL AND Y."&amp;F72&amp;"_SIMUL IS NULL),1,0)) AS NUM_REG_DIF,'"&amp;MAX('ID1&amp;5'!K:K)+1&amp;"' AS ID_EXEC, CURRENT_TIMESTAMP() AS TIME_EXEC FROM "&amp;I72&amp;" INNER JOIN "&amp;J72&amp;" "&amp;K72,"SELECT '"&amp;UPPER(B72)&amp;"' AS TABELA, '"&amp;UPPER(C72)&amp;"' AS TIPOLOGIA_TESTE,'"&amp;D72&amp;"' AS TABELA_LT,'"&amp;E72&amp;"' AS TABELA_SIMUL,'"&amp;F72&amp;"' AS CAMPO, "&amp;"'${ref_date}' AS REF_DATE, COUNT(*) AS NUM_REG, SUM(IF(COALESCE(CAST(X."&amp;F72&amp;" AS STRING),'')&lt;&gt;COALESCE(CAST(Y."&amp;F72&amp;"_SIMUL AS STRING),'') OR (X."&amp;F72&amp;" IS NULL AND Y."&amp;F72&amp;"_SIMUL IS NOT NULL ) OR (X."&amp;F72&amp;" IS NOT NULL AND Y."&amp;F72&amp;"_SIMUL IS NULL),1,0)) AS NUM_REG_DIF,'"&amp;MAX('ID1&amp;5'!L:L)+1&amp;"' AS ID_EXEC, CURRENT_TIMESTAMP() AS TIME_EXEC FROM "&amp;I72&amp;" INNER JOIN "&amp;J72&amp;" "&amp;K72),
IF(C72="Validade",+IF(G72="Code List","SELECT '"&amp;UPPER(B72)&amp;"' AS TABELA, '"&amp;UPPER(C72)&amp;"' AS TIPOLOGIA_TESTE,'"&amp;D72&amp;"' AS TABELA_LT,'N/A' AS TABELA_SIMUL,'"&amp;F72&amp;"' AS CAMPO, "&amp;"'${ref_date}' AS REF_DATE, COUNT(*) AS NUM_REG, SUM(IF(TRIM(CAST(X."&amp;F72&amp;" AS STRING))='' OR TRIM(CAST(X."&amp;F72&amp;" AS STRING)) IS NULL OR CAST(X."&amp;F72&amp;" AS STRING) NOT "&amp;H72&amp;",1,0)) AS NUM_REG_DIF,'"&amp;MAX('ID1&amp;5'!K:K)+1&amp;"' AS ID_EXEC, CURRENT_TIMESTAMP() AS TIME_EXEC FROM "&amp;I72,"SELECT '"&amp;UPPER(B72)&amp;"' AS TABELA, '"&amp;UPPER(C72)&amp;"' AS TIPOLOGIA_TESTE,'"&amp;D72&amp;"' AS TABELA_LT,'N/A' AS TABELA_SIMUL,'"&amp;F72&amp;"' AS CAMPO, "&amp;"'${ref_date}' AS REF_DATE, COUNT(*) AS NUM_REG, SUM(IF(TRIM(CAST(X."&amp;F72&amp;" AS STRING))='' OR TRIM(CAST(X."&amp;F72&amp;" AS STRING)) IS NULL,1,0)) AS NUM_REG_DIF,'"&amp;MAX('ID1&amp;5'!K:K)+1&amp;"' AS ID_EXEC, CURRENT_TIMESTAMP() AS TIME_EXEC FROM "&amp;I72),
IF(C72="Caracteres Especiais",+"SELECT '"&amp;UPPER(B72)&amp;"' AS TABELA, '"&amp;UPPER(C72)&amp;"' AS TIPOLOGIA_TESTE,'"&amp;D72&amp;"' AS TABELA_LT,'N/A' AS TABELA_SIMUL,'"&amp;F72&amp;"' AS CAMPO, "&amp;"'${ref_date}' AS REF_DATE, COUNT(*) AS NUM_REG, SUM(IF(REGEXP_REPLACE(TRIM(CAST(X."&amp;F72&amp;" AS STRING)),'[^a-zA-Z0-9_\\s]','') &lt;&gt;TRIM(CAST(X."&amp;F72&amp;" AS STRING)),1,0)) AS NUM_REG_DIF,'"&amp;MAX('ID1&amp;5'!K:K)+1&amp;"' AS ID_EXEC, CURRENT_TIMESTAMP() AS TIME_EXEC FROM "&amp;I72,
IF(C72="Missings",+"SELECT '"&amp;UPPER(B72)&amp;"' AS TABELA, '"&amp;UPPER(C72)&amp;"' AS TIPOLOGIA_TESTE,'"&amp;D72&amp;"' AS TABELA_LT,'N/A' AS TABELA_SIMUL,'"&amp;F72&amp;"' AS CAMPO, "&amp;"'${ref_date}' AS REF_DATE, COUNT(*) AS NUM_REG, SUM(IF(TRIM(CAST(X."&amp;F72&amp;" AS STRING)) IN ('0000-00-00','0001-01-01','9999-12-31','MISS','00000','99999999999','99999999999.00','99999999999.000000'),1,0)) AS NUM_REG_DIF,'"&amp;MAX('ID1&amp;5'!K:K)+1&amp;"' AS ID_EXEC, CURRENT_TIMESTAMP() AS TIME_EXEC FROM "&amp;I72,
IF(C72="Not applicable",+"SELECT '"&amp;UPPER(B72)&amp;"' AS TABELA, '"&amp;UPPER(C72)&amp;"' AS TIPOLOGIA_TESTE,'"&amp;D72&amp;"' AS TABELA_LT,'N/A' AS TABELA_SIMUL,'"&amp;F72&amp;"' AS CAMPO, "&amp;"'${ref_date}' AS REF_DATE, COUNT(*) AS NUM_REG, SUM(IF(TRIM(CAST(X."&amp;F72&amp;" AS STRING)) IN ('N/A','11111111111','11111111111.00','11111111111.000000','1111-11-11'),1,0)) AS NUM_REG_DIF,'"&amp;MAX('ID1&amp;5'!K:K)+1&amp;"' AS ID_EXEC, CURRENT_TIMESTAMP() AS TIME_EXEC FROM "&amp;I72,
IF(C72="Valores extremos",+"SELECT '"&amp;UPPER(B72)&amp;"' AS TABELA, '"&amp;UPPER(C72)&amp;"' AS TIPOLOGIA_TESTE,'"&amp;D72&amp;"' AS TABELA_LT,'N/A' AS TABELA_SIMUL,'"&amp;F72&amp;"' AS CAMPO, "&amp;"'${ref_date}' AS REF_DATE, CAST(MIN("&amp;F72&amp;") AS STRING) AS VALOR_MIN, CAST(MAX("&amp;F72&amp;") AS STRING) AS VALOR_MAX,'"&amp;MAX('ID1&amp;5'!K:K)+1&amp;"' AS ID_EXEC, CURRENT_TIMESTAMP() AS TIME_EXEC FROM "&amp;MID(I72,1,LEN(I72)-2)&amp;" AND CAST("&amp;F72&amp;"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TABELA_SIMUL,'cvnnt_stts' AS CAMPO, '${ref_date}' AS REF_DATE, COUNT(*) AS NUM_REG, SUM(IF(COALESCE(CAST(X.cvnnt_stts AS STRING),'')&lt;&gt;COALESCE(CAST(Y.cvnnt_stts_SIMUL AS STRING),'') OR (X.cvnnt_stts IS NULL AND Y.cvnnt_stts_SIMUL IS NOT NULL ) OR (X.cvnnt_stts IS NOT NULL AND Y.cvnnt_stts_SIMUL IS NULL),1,0)) AS NUM_REG_DIF,'1' AS ID_EXEC, CURRENT_TIMESTAMP() AS TIME_EXEC FROM (SELECT instrmnt_id, cvnnt_stts FROM BU_LOANTAPE_WORK.LT002_INSTRUMENT WHERE ref_date='${ref_date}' AND nome_perimetro='Individual Local' AND segmento='ESTR' AND ambito='SRB_MBDT' AND entidade='00100')X INNER JOIN (SELECT instrmnt_id AS instrmnt_id_SIMUL, cvnnt_stts AS cvnnt_stts_SIMUL FROM BU_LOANTAPE_WORK.SIMUL_LT002_INSTRUMENT WHERE ref_date='${ref_date}' AND nome_perimetro='Individual Local' AND segmento='ESTR' AND ambito='PILAR3' AND entidade='00100')Y ON X.INSTRMNT_ID=Y.INSTRMNT_ID_SIMUL</v>
      </c>
      <c r="M72" s="36" t="str">
        <f t="shared" si="4"/>
        <v>UNION ALL SELECT 'INSTRUMENT' AS TABELA, 'COERÊNCIA' AS TIPOLOGIA_TESTE,'BU_LOANTAPE_WORK.LT002_INSTRUMENT' AS TABELA_LT,'BU_LOANTAPE_WORK.SIMUL_LT002_INSTRUMENT' AS TABELA_SIMUL,'cvnnt_stts' AS CAMPO, '${ref_date}' AS REF_DATE, COUNT(*) AS NUM_REG, SUM(IF(COALESCE(CAST(X.cvnnt_stts AS STRING),'')&lt;&gt;COALESCE(CAST(Y.cvnnt_stts_SIMUL AS STRING),'') OR (X.cvnnt_stts IS NULL AND Y.cvnnt_stts_SIMUL IS NOT NULL ) OR (X.cvnnt_stts IS NOT NULL AND Y.cvnnt_stts_SIMUL IS NULL),1,0)) AS NUM_REG_DIF,'1' AS ID_EXEC, CURRENT_TIMESTAMP() AS TIME_EXEC FROM (SELECT instrmnt_id, cvnnt_stts FROM BU_LOANTAPE_WORK.LT002_INSTRUMENT WHERE ref_date='${ref_date}' AND nome_perimetro='Individual Local' AND segmento='ESTR' AND ambito='SRB_MBDT' AND entidade='00100')X INNER JOIN (SELECT instrmnt_id AS instrmnt_id_SIMUL, cvnnt_stts AS cvnnt_stts_SIMUL FROM BU_LOANTAPE_WORK.SIMUL_LT002_INSTRUMENT WHERE ref_date='${ref_date}' AND nome_perimetro='Individual Local' AND segmento='ESTR' AND ambito='PILAR3' AND entidade='00100')Y ON X.INSTRMNT_ID=Y.INSTRMNT_ID_SIMUL</v>
      </c>
      <c r="N72" s="38" t="s">
        <v>40</v>
      </c>
    </row>
    <row r="73" spans="2:14">
      <c r="B73" s="34" t="s">
        <v>117</v>
      </c>
      <c r="C73" s="34" t="s">
        <v>5</v>
      </c>
      <c r="D73" s="34" t="str">
        <f>+UPPER('0. Instruções'!$D$35&amp;"."&amp;VLOOKUP(B73,'0. Instruções'!$C$27:$D$32,2,FALSE))</f>
        <v>BU_LOANTAPE_WORK.LT002_INSTRUMENT</v>
      </c>
      <c r="E73" s="34" t="str">
        <f>+UPPER('0. Instruções'!$D$36&amp;"."&amp;VLOOKUP(B73,'0. Instruções'!$C$27:$E$32,3,FALSE))</f>
        <v>BU_LOANTAPE_WORK.SIMUL_LT002_INSTRUMENT</v>
      </c>
      <c r="F73" s="34" t="s">
        <v>1158</v>
      </c>
      <c r="G73" s="34"/>
      <c r="H73" s="34"/>
      <c r="I73" s="34" t="str">
        <f>"(SELECT "&amp;VLOOKUP(B73,'0. Instruções'!$C$27:$G$32,4,FALSE)&amp;", "&amp;F73&amp;" FROM "&amp;D73&amp;" WHERE "&amp;'0. Instruções'!$D$42&amp;")X"</f>
        <v>(SELECT instrmnt_id, cvnnt_typ FROM BU_LOANTAPE_WORK.LT002_INSTRUMENT WHERE ref_date='${ref_date}' AND nome_perimetro='Individual Local' AND segmento='ESTR' AND ambito='SRB_MBDT' AND entidade='00100')X</v>
      </c>
      <c r="J73" s="34" t="str">
        <f>"(SELECT "&amp;VLOOKUP(B73,'0. Instruções'!$C$27:$G$32,4,FALSE)&amp;" AS "&amp;VLOOKUP(B73,'0. Instruções'!$C$27:$G$32,4,FALSE)&amp;"_SIMUL, "&amp;F73&amp;" AS "&amp;F73&amp;"_SIMUL FROM "&amp;E73&amp;" WHERE "&amp;'0. Instruções'!$D$43&amp;")Y"</f>
        <v>(SELECT instrmnt_id AS instrmnt_id_SIMUL, cvnnt_typ AS cvnnt_typ_SIMUL FROM BU_LOANTAPE_WORK.SIMUL_LT002_INSTRUMENT WHERE ref_date='${ref_date}' AND nome_perimetro='Individual Local' AND segmento='ESTR' AND ambito='PILAR3' AND entidade='00100')Y</v>
      </c>
      <c r="K73" s="35" t="str">
        <f>+UPPER("ON X."&amp;VLOOKUP(B73,'0. Instruções'!$C$27:$G$32,4,FALSE)&amp;"=Y."&amp;VLOOKUP(B73,'0. Instruções'!$C$27:$G$32,4,FALSE)&amp;"_SIMUL")</f>
        <v>ON X.INSTRMNT_ID=Y.INSTRMNT_ID_SIMUL</v>
      </c>
      <c r="L73" s="35" t="str">
        <f>+IF(C73="Coerência", +IF(LEFT(G73,5)="FLOAT","SELECT '"&amp;UPPER(B73)&amp;"' AS TABELA, '"&amp;UPPER(C73)&amp;"' AS TIPOLOGIA_TESTE,'"&amp;D73&amp;"' AS TABELA_LT,'"&amp;E73&amp;"' AS TABELA_SIMUL,'"&amp;F73&amp;"' AS CAMPO, "&amp;"'${ref_date}' AS REF_DATE, COUNT(*) AS NUM_REG, SUM(IF((ABS(COALESCE(CAST(X."&amp;F73&amp;" AS DECIMAL(18,6)),0)-COALESCE(CAST(Y."&amp;F73&amp;"_SIMUL AS DECIMAL(18,6)),0))&gt;0.000001) OR (X."&amp;F73&amp;" IS NULL AND Y."&amp;F73&amp;"_SIMUL IS NOT NULL ) OR (X."&amp;F73&amp;" IS NOT NULL AND Y."&amp;F73&amp;"_SIMUL IS NULL),1,0)) AS NUM_REG_DIF,'"&amp;MAX('ID1&amp;5'!K:K)+1&amp;"' AS ID_EXEC, CURRENT_TIMESTAMP() AS TIME_EXEC FROM "&amp;I73&amp;" INNER JOIN "&amp;J73&amp;" "&amp;K73,"SELECT '"&amp;UPPER(B73)&amp;"' AS TABELA, '"&amp;UPPER(C73)&amp;"' AS TIPOLOGIA_TESTE,'"&amp;D73&amp;"' AS TABELA_LT,'"&amp;E73&amp;"' AS TABELA_SIMUL,'"&amp;F73&amp;"' AS CAMPO, "&amp;"'${ref_date}' AS REF_DATE, COUNT(*) AS NUM_REG, SUM(IF(COALESCE(CAST(X."&amp;F73&amp;" AS STRING),'')&lt;&gt;COALESCE(CAST(Y."&amp;F73&amp;"_SIMUL AS STRING),'') OR (X."&amp;F73&amp;" IS NULL AND Y."&amp;F73&amp;"_SIMUL IS NOT NULL ) OR (X."&amp;F73&amp;" IS NOT NULL AND Y."&amp;F73&amp;"_SIMUL IS NULL),1,0)) AS NUM_REG_DIF,'"&amp;MAX('ID1&amp;5'!L:L)+1&amp;"' AS ID_EXEC, CURRENT_TIMESTAMP() AS TIME_EXEC FROM "&amp;I73&amp;" INNER JOIN "&amp;J73&amp;" "&amp;K73),
IF(C73="Validade",+IF(G73="Code List","SELECT '"&amp;UPPER(B73)&amp;"' AS TABELA, '"&amp;UPPER(C73)&amp;"' AS TIPOLOGIA_TESTE,'"&amp;D73&amp;"' AS TABELA_LT,'N/A' AS TABELA_SIMUL,'"&amp;F73&amp;"' AS CAMPO, "&amp;"'${ref_date}' AS REF_DATE, COUNT(*) AS NUM_REG, SUM(IF(TRIM(CAST(X."&amp;F73&amp;" AS STRING))='' OR TRIM(CAST(X."&amp;F73&amp;" AS STRING)) IS NULL OR CAST(X."&amp;F73&amp;" AS STRING) NOT "&amp;H73&amp;",1,0)) AS NUM_REG_DIF,'"&amp;MAX('ID1&amp;5'!K:K)+1&amp;"' AS ID_EXEC, CURRENT_TIMESTAMP() AS TIME_EXEC FROM "&amp;I73,"SELECT '"&amp;UPPER(B73)&amp;"' AS TABELA, '"&amp;UPPER(C73)&amp;"' AS TIPOLOGIA_TESTE,'"&amp;D73&amp;"' AS TABELA_LT,'N/A' AS TABELA_SIMUL,'"&amp;F73&amp;"' AS CAMPO, "&amp;"'${ref_date}' AS REF_DATE, COUNT(*) AS NUM_REG, SUM(IF(TRIM(CAST(X."&amp;F73&amp;" AS STRING))='' OR TRIM(CAST(X."&amp;F73&amp;" AS STRING)) IS NULL,1,0)) AS NUM_REG_DIF,'"&amp;MAX('ID1&amp;5'!K:K)+1&amp;"' AS ID_EXEC, CURRENT_TIMESTAMP() AS TIME_EXEC FROM "&amp;I73),
IF(C73="Caracteres Especiais",+"SELECT '"&amp;UPPER(B73)&amp;"' AS TABELA, '"&amp;UPPER(C73)&amp;"' AS TIPOLOGIA_TESTE,'"&amp;D73&amp;"' AS TABELA_LT,'N/A' AS TABELA_SIMUL,'"&amp;F73&amp;"' AS CAMPO, "&amp;"'${ref_date}' AS REF_DATE, COUNT(*) AS NUM_REG, SUM(IF(REGEXP_REPLACE(TRIM(CAST(X."&amp;F73&amp;" AS STRING)),'[^a-zA-Z0-9_\\s]','') &lt;&gt;TRIM(CAST(X."&amp;F73&amp;" AS STRING)),1,0)) AS NUM_REG_DIF,'"&amp;MAX('ID1&amp;5'!K:K)+1&amp;"' AS ID_EXEC, CURRENT_TIMESTAMP() AS TIME_EXEC FROM "&amp;I73,
IF(C73="Missings",+"SELECT '"&amp;UPPER(B73)&amp;"' AS TABELA, '"&amp;UPPER(C73)&amp;"' AS TIPOLOGIA_TESTE,'"&amp;D73&amp;"' AS TABELA_LT,'N/A' AS TABELA_SIMUL,'"&amp;F73&amp;"' AS CAMPO, "&amp;"'${ref_date}' AS REF_DATE, COUNT(*) AS NUM_REG, SUM(IF(TRIM(CAST(X."&amp;F73&amp;" AS STRING)) IN ('0000-00-00','0001-01-01','9999-12-31','MISS','00000','99999999999','99999999999.00','99999999999.000000'),1,0)) AS NUM_REG_DIF,'"&amp;MAX('ID1&amp;5'!K:K)+1&amp;"' AS ID_EXEC, CURRENT_TIMESTAMP() AS TIME_EXEC FROM "&amp;I73,
IF(C73="Not applicable",+"SELECT '"&amp;UPPER(B73)&amp;"' AS TABELA, '"&amp;UPPER(C73)&amp;"' AS TIPOLOGIA_TESTE,'"&amp;D73&amp;"' AS TABELA_LT,'N/A' AS TABELA_SIMUL,'"&amp;F73&amp;"' AS CAMPO, "&amp;"'${ref_date}' AS REF_DATE, COUNT(*) AS NUM_REG, SUM(IF(TRIM(CAST(X."&amp;F73&amp;" AS STRING)) IN ('N/A','11111111111','11111111111.00','11111111111.000000','1111-11-11'),1,0)) AS NUM_REG_DIF,'"&amp;MAX('ID1&amp;5'!K:K)+1&amp;"' AS ID_EXEC, CURRENT_TIMESTAMP() AS TIME_EXEC FROM "&amp;I73,
IF(C73="Valores extremos",+"SELECT '"&amp;UPPER(B73)&amp;"' AS TABELA, '"&amp;UPPER(C73)&amp;"' AS TIPOLOGIA_TESTE,'"&amp;D73&amp;"' AS TABELA_LT,'N/A' AS TABELA_SIMUL,'"&amp;F73&amp;"' AS CAMPO, "&amp;"'${ref_date}' AS REF_DATE, CAST(MIN("&amp;F73&amp;") AS STRING) AS VALOR_MIN, CAST(MAX("&amp;F73&amp;") AS STRING) AS VALOR_MAX,'"&amp;MAX('ID1&amp;5'!K:K)+1&amp;"' AS ID_EXEC, CURRENT_TIMESTAMP() AS TIME_EXEC FROM "&amp;MID(I73,1,LEN(I73)-2)&amp;" AND CAST("&amp;F73&amp;"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TABELA_SIMUL,'cvnnt_typ' AS CAMPO, '${ref_date}' AS REF_DATE, COUNT(*) AS NUM_REG, SUM(IF(COALESCE(CAST(X.cvnnt_typ AS STRING),'')&lt;&gt;COALESCE(CAST(Y.cvnnt_typ_SIMUL AS STRING),'') OR (X.cvnnt_typ IS NULL AND Y.cvnnt_typ_SIMUL IS NOT NULL ) OR (X.cvnnt_typ IS NOT NULL AND Y.cvnnt_typ_SIMUL IS NULL),1,0)) AS NUM_REG_DIF,'1' AS ID_EXEC, CURRENT_TIMESTAMP() AS TIME_EXEC FROM (SELECT instrmnt_id, cvnnt_typ FROM BU_LOANTAPE_WORK.LT002_INSTRUMENT WHERE ref_date='${ref_date}' AND nome_perimetro='Individual Local' AND segmento='ESTR' AND ambito='SRB_MBDT' AND entidade='00100')X INNER JOIN (SELECT instrmnt_id AS instrmnt_id_SIMUL, cvnnt_typ AS cvnnt_typ_SIMUL FROM BU_LOANTAPE_WORK.SIMUL_LT002_INSTRUMENT WHERE ref_date='${ref_date}' AND nome_perimetro='Individual Local' AND segmento='ESTR' AND ambito='PILAR3' AND entidade='00100')Y ON X.INSTRMNT_ID=Y.INSTRMNT_ID_SIMUL</v>
      </c>
      <c r="M73" s="36" t="str">
        <f t="shared" si="4"/>
        <v>UNION ALL SELECT 'INSTRUMENT' AS TABELA, 'COERÊNCIA' AS TIPOLOGIA_TESTE,'BU_LOANTAPE_WORK.LT002_INSTRUMENT' AS TABELA_LT,'BU_LOANTAPE_WORK.SIMUL_LT002_INSTRUMENT' AS TABELA_SIMUL,'cvnnt_typ' AS CAMPO, '${ref_date}' AS REF_DATE, COUNT(*) AS NUM_REG, SUM(IF(COALESCE(CAST(X.cvnnt_typ AS STRING),'')&lt;&gt;COALESCE(CAST(Y.cvnnt_typ_SIMUL AS STRING),'') OR (X.cvnnt_typ IS NULL AND Y.cvnnt_typ_SIMUL IS NOT NULL ) OR (X.cvnnt_typ IS NOT NULL AND Y.cvnnt_typ_SIMUL IS NULL),1,0)) AS NUM_REG_DIF,'1' AS ID_EXEC, CURRENT_TIMESTAMP() AS TIME_EXEC FROM (SELECT instrmnt_id, cvnnt_typ FROM BU_LOANTAPE_WORK.LT002_INSTRUMENT WHERE ref_date='${ref_date}' AND nome_perimetro='Individual Local' AND segmento='ESTR' AND ambito='SRB_MBDT' AND entidade='00100')X INNER JOIN (SELECT instrmnt_id AS instrmnt_id_SIMUL, cvnnt_typ AS cvnnt_typ_SIMUL FROM BU_LOANTAPE_WORK.SIMUL_LT002_INSTRUMENT WHERE ref_date='${ref_date}' AND nome_perimetro='Individual Local' AND segmento='ESTR' AND ambito='PILAR3' AND entidade='00100')Y ON X.INSTRMNT_ID=Y.INSTRMNT_ID_SIMUL</v>
      </c>
      <c r="N73" s="38" t="s">
        <v>40</v>
      </c>
    </row>
    <row r="74" spans="2:14">
      <c r="B74" s="34" t="s">
        <v>117</v>
      </c>
      <c r="C74" s="34" t="s">
        <v>5</v>
      </c>
      <c r="D74" s="34" t="str">
        <f>+UPPER('0. Instruções'!$D$35&amp;"."&amp;VLOOKUP(B74,'0. Instruções'!$C$27:$D$32,2,FALSE))</f>
        <v>BU_LOANTAPE_WORK.LT002_INSTRUMENT</v>
      </c>
      <c r="E74" s="34" t="str">
        <f>+UPPER('0. Instruções'!$D$36&amp;"."&amp;VLOOKUP(B74,'0. Instruções'!$C$27:$E$32,3,FALSE))</f>
        <v>BU_LOANTAPE_WORK.SIMUL_LT002_INSTRUMENT</v>
      </c>
      <c r="F74" s="34" t="s">
        <v>642</v>
      </c>
      <c r="G74" s="34"/>
      <c r="H74" s="34"/>
      <c r="I74" s="34" t="str">
        <f>"(SELECT "&amp;VLOOKUP(B74,'0. Instruções'!$C$27:$G$32,4,FALSE)&amp;", "&amp;F74&amp;" FROM "&amp;D74&amp;" WHERE "&amp;'0. Instruções'!$D$42&amp;")X"</f>
        <v>(SELECT instrmnt_id, dflt_stts_instrmnt FROM BU_LOANTAPE_WORK.LT002_INSTRUMENT WHERE ref_date='${ref_date}' AND nome_perimetro='Individual Local' AND segmento='ESTR' AND ambito='SRB_MBDT' AND entidade='00100')X</v>
      </c>
      <c r="J74" s="34" t="str">
        <f>"(SELECT "&amp;VLOOKUP(B74,'0. Instruções'!$C$27:$G$32,4,FALSE)&amp;" AS "&amp;VLOOKUP(B74,'0. Instruções'!$C$27:$G$32,4,FALSE)&amp;"_SIMUL, "&amp;F74&amp;" AS "&amp;F74&amp;"_SIMUL FROM "&amp;E74&amp;" WHERE "&amp;'0. Instruções'!$D$43&amp;")Y"</f>
        <v>(SELECT instrmnt_id AS instrmnt_id_SIMUL, dflt_stts_instrmnt AS dflt_stts_instrmnt_SIMUL FROM BU_LOANTAPE_WORK.SIMUL_LT002_INSTRUMENT WHERE ref_date='${ref_date}' AND nome_perimetro='Individual Local' AND segmento='ESTR' AND ambito='PILAR3' AND entidade='00100')Y</v>
      </c>
      <c r="K74" s="35" t="str">
        <f>+UPPER("ON X."&amp;VLOOKUP(B74,'0. Instruções'!$C$27:$G$32,4,FALSE)&amp;"=Y."&amp;VLOOKUP(B74,'0. Instruções'!$C$27:$G$32,4,FALSE)&amp;"_SIMUL")</f>
        <v>ON X.INSTRMNT_ID=Y.INSTRMNT_ID_SIMUL</v>
      </c>
      <c r="L74" s="35" t="str">
        <f>+IF(C74="Coerência", +IF(LEFT(G74,5)="FLOAT","SELECT '"&amp;UPPER(B74)&amp;"' AS TABELA, '"&amp;UPPER(C74)&amp;"' AS TIPOLOGIA_TESTE,'"&amp;D74&amp;"' AS TABELA_LT,'"&amp;E74&amp;"' AS TABELA_SIMUL,'"&amp;F74&amp;"' AS CAMPO, "&amp;"'${ref_date}' AS REF_DATE, COUNT(*) AS NUM_REG, SUM(IF((ABS(COALESCE(CAST(X."&amp;F74&amp;" AS DECIMAL(18,6)),0)-COALESCE(CAST(Y."&amp;F74&amp;"_SIMUL AS DECIMAL(18,6)),0))&gt;0.000001) OR (X."&amp;F74&amp;" IS NULL AND Y."&amp;F74&amp;"_SIMUL IS NOT NULL ) OR (X."&amp;F74&amp;" IS NOT NULL AND Y."&amp;F74&amp;"_SIMUL IS NULL),1,0)) AS NUM_REG_DIF,'"&amp;MAX('ID1&amp;5'!K:K)+1&amp;"' AS ID_EXEC, CURRENT_TIMESTAMP() AS TIME_EXEC FROM "&amp;I74&amp;" INNER JOIN "&amp;J74&amp;" "&amp;K74,"SELECT '"&amp;UPPER(B74)&amp;"' AS TABELA, '"&amp;UPPER(C74)&amp;"' AS TIPOLOGIA_TESTE,'"&amp;D74&amp;"' AS TABELA_LT,'"&amp;E74&amp;"' AS TABELA_SIMUL,'"&amp;F74&amp;"' AS CAMPO, "&amp;"'${ref_date}' AS REF_DATE, COUNT(*) AS NUM_REG, SUM(IF(COALESCE(CAST(X."&amp;F74&amp;" AS STRING),'')&lt;&gt;COALESCE(CAST(Y."&amp;F74&amp;"_SIMUL AS STRING),'') OR (X."&amp;F74&amp;" IS NULL AND Y."&amp;F74&amp;"_SIMUL IS NOT NULL ) OR (X."&amp;F74&amp;" IS NOT NULL AND Y."&amp;F74&amp;"_SIMUL IS NULL),1,0)) AS NUM_REG_DIF,'"&amp;MAX('ID1&amp;5'!L:L)+1&amp;"' AS ID_EXEC, CURRENT_TIMESTAMP() AS TIME_EXEC FROM "&amp;I74&amp;" INNER JOIN "&amp;J74&amp;" "&amp;K74),
IF(C74="Validade",+IF(G74="Code List","SELECT '"&amp;UPPER(B74)&amp;"' AS TABELA, '"&amp;UPPER(C74)&amp;"' AS TIPOLOGIA_TESTE,'"&amp;D74&amp;"' AS TABELA_LT,'N/A' AS TABELA_SIMUL,'"&amp;F74&amp;"' AS CAMPO, "&amp;"'${ref_date}' AS REF_DATE, COUNT(*) AS NUM_REG, SUM(IF(TRIM(CAST(X."&amp;F74&amp;" AS STRING))='' OR TRIM(CAST(X."&amp;F74&amp;" AS STRING)) IS NULL OR CAST(X."&amp;F74&amp;" AS STRING) NOT "&amp;H74&amp;",1,0)) AS NUM_REG_DIF,'"&amp;MAX('ID1&amp;5'!K:K)+1&amp;"' AS ID_EXEC, CURRENT_TIMESTAMP() AS TIME_EXEC FROM "&amp;I74,"SELECT '"&amp;UPPER(B74)&amp;"' AS TABELA, '"&amp;UPPER(C74)&amp;"' AS TIPOLOGIA_TESTE,'"&amp;D74&amp;"' AS TABELA_LT,'N/A' AS TABELA_SIMUL,'"&amp;F74&amp;"' AS CAMPO, "&amp;"'${ref_date}' AS REF_DATE, COUNT(*) AS NUM_REG, SUM(IF(TRIM(CAST(X."&amp;F74&amp;" AS STRING))='' OR TRIM(CAST(X."&amp;F74&amp;" AS STRING)) IS NULL,1,0)) AS NUM_REG_DIF,'"&amp;MAX('ID1&amp;5'!K:K)+1&amp;"' AS ID_EXEC, CURRENT_TIMESTAMP() AS TIME_EXEC FROM "&amp;I74),
IF(C74="Caracteres Especiais",+"SELECT '"&amp;UPPER(B74)&amp;"' AS TABELA, '"&amp;UPPER(C74)&amp;"' AS TIPOLOGIA_TESTE,'"&amp;D74&amp;"' AS TABELA_LT,'N/A' AS TABELA_SIMUL,'"&amp;F74&amp;"' AS CAMPO, "&amp;"'${ref_date}' AS REF_DATE, COUNT(*) AS NUM_REG, SUM(IF(REGEXP_REPLACE(TRIM(CAST(X."&amp;F74&amp;" AS STRING)),'[^a-zA-Z0-9_\\s]','') &lt;&gt;TRIM(CAST(X."&amp;F74&amp;" AS STRING)),1,0)) AS NUM_REG_DIF,'"&amp;MAX('ID1&amp;5'!K:K)+1&amp;"' AS ID_EXEC, CURRENT_TIMESTAMP() AS TIME_EXEC FROM "&amp;I74,
IF(C74="Missings",+"SELECT '"&amp;UPPER(B74)&amp;"' AS TABELA, '"&amp;UPPER(C74)&amp;"' AS TIPOLOGIA_TESTE,'"&amp;D74&amp;"' AS TABELA_LT,'N/A' AS TABELA_SIMUL,'"&amp;F74&amp;"' AS CAMPO, "&amp;"'${ref_date}' AS REF_DATE, COUNT(*) AS NUM_REG, SUM(IF(TRIM(CAST(X."&amp;F74&amp;" AS STRING)) IN ('0000-00-00','0001-01-01','9999-12-31','MISS','00000','99999999999','99999999999.00','99999999999.000000'),1,0)) AS NUM_REG_DIF,'"&amp;MAX('ID1&amp;5'!K:K)+1&amp;"' AS ID_EXEC, CURRENT_TIMESTAMP() AS TIME_EXEC FROM "&amp;I74,
IF(C74="Not applicable",+"SELECT '"&amp;UPPER(B74)&amp;"' AS TABELA, '"&amp;UPPER(C74)&amp;"' AS TIPOLOGIA_TESTE,'"&amp;D74&amp;"' AS TABELA_LT,'N/A' AS TABELA_SIMUL,'"&amp;F74&amp;"' AS CAMPO, "&amp;"'${ref_date}' AS REF_DATE, COUNT(*) AS NUM_REG, SUM(IF(TRIM(CAST(X."&amp;F74&amp;" AS STRING)) IN ('N/A','11111111111','11111111111.00','11111111111.000000','1111-11-11'),1,0)) AS NUM_REG_DIF,'"&amp;MAX('ID1&amp;5'!K:K)+1&amp;"' AS ID_EXEC, CURRENT_TIMESTAMP() AS TIME_EXEC FROM "&amp;I74,
IF(C74="Valores extremos",+"SELECT '"&amp;UPPER(B74)&amp;"' AS TABELA, '"&amp;UPPER(C74)&amp;"' AS TIPOLOGIA_TESTE,'"&amp;D74&amp;"' AS TABELA_LT,'N/A' AS TABELA_SIMUL,'"&amp;F74&amp;"' AS CAMPO, "&amp;"'${ref_date}' AS REF_DATE, CAST(MIN("&amp;F74&amp;") AS STRING) AS VALOR_MIN, CAST(MAX("&amp;F74&amp;") AS STRING) AS VALOR_MAX,'"&amp;MAX('ID1&amp;5'!K:K)+1&amp;"' AS ID_EXEC, CURRENT_TIMESTAMP() AS TIME_EXEC FROM "&amp;MID(I74,1,LEN(I74)-2)&amp;" AND CAST("&amp;F74&amp;"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TABELA_SIMUL,'dflt_stts_instrmnt' AS CAMPO, '${ref_date}' AS REF_DATE, COUNT(*) AS NUM_REG, SUM(IF(COALESCE(CAST(X.dflt_stts_instrmnt AS STRING),'')&lt;&gt;COALESCE(CAST(Y.dflt_stts_instrmnt_SIMUL AS STRING),'') OR (X.dflt_stts_instrmnt IS NULL AND Y.dflt_stts_instrmnt_SIMUL IS NOT NULL ) OR (X.dflt_stts_instrmnt IS NOT NULL AND Y.dflt_stts_instrmnt_SIMUL IS NULL),1,0)) AS NUM_REG_DIF,'1' AS ID_EXEC, CURRENT_TIMESTAMP() AS TIME_EXEC FROM (SELECT instrmnt_id, dflt_stts_instrmnt FROM BU_LOANTAPE_WORK.LT002_INSTRUMENT WHERE ref_date='${ref_date}' AND nome_perimetro='Individual Local' AND segmento='ESTR' AND ambito='SRB_MBDT' AND entidade='00100')X INNER JOIN (SELECT instrmnt_id AS instrmnt_id_SIMUL, dflt_stts_instrmnt AS dflt_stts_instrmnt_SIMUL FROM BU_LOANTAPE_WORK.SIMUL_LT002_INSTRUMENT WHERE ref_date='${ref_date}' AND nome_perimetro='Individual Local' AND segmento='ESTR' AND ambito='PILAR3' AND entidade='00100')Y ON X.INSTRMNT_ID=Y.INSTRMNT_ID_SIMUL</v>
      </c>
      <c r="M74" s="36" t="str">
        <f t="shared" si="4"/>
        <v>UNION ALL SELECT 'INSTRUMENT' AS TABELA, 'COERÊNCIA' AS TIPOLOGIA_TESTE,'BU_LOANTAPE_WORK.LT002_INSTRUMENT' AS TABELA_LT,'BU_LOANTAPE_WORK.SIMUL_LT002_INSTRUMENT' AS TABELA_SIMUL,'dflt_stts_instrmnt' AS CAMPO, '${ref_date}' AS REF_DATE, COUNT(*) AS NUM_REG, SUM(IF(COALESCE(CAST(X.dflt_stts_instrmnt AS STRING),'')&lt;&gt;COALESCE(CAST(Y.dflt_stts_instrmnt_SIMUL AS STRING),'') OR (X.dflt_stts_instrmnt IS NULL AND Y.dflt_stts_instrmnt_SIMUL IS NOT NULL ) OR (X.dflt_stts_instrmnt IS NOT NULL AND Y.dflt_stts_instrmnt_SIMUL IS NULL),1,0)) AS NUM_REG_DIF,'1' AS ID_EXEC, CURRENT_TIMESTAMP() AS TIME_EXEC FROM (SELECT instrmnt_id, dflt_stts_instrmnt FROM BU_LOANTAPE_WORK.LT002_INSTRUMENT WHERE ref_date='${ref_date}' AND nome_perimetro='Individual Local' AND segmento='ESTR' AND ambito='SRB_MBDT' AND entidade='00100')X INNER JOIN (SELECT instrmnt_id AS instrmnt_id_SIMUL, dflt_stts_instrmnt AS dflt_stts_instrmnt_SIMUL FROM BU_LOANTAPE_WORK.SIMUL_LT002_INSTRUMENT WHERE ref_date='${ref_date}' AND nome_perimetro='Individual Local' AND segmento='ESTR' AND ambito='PILAR3' AND entidade='00100')Y ON X.INSTRMNT_ID=Y.INSTRMNT_ID_SIMUL</v>
      </c>
      <c r="N74" s="38" t="s">
        <v>40</v>
      </c>
    </row>
    <row r="75" spans="2:14">
      <c r="B75" s="34" t="s">
        <v>117</v>
      </c>
      <c r="C75" s="34" t="s">
        <v>5</v>
      </c>
      <c r="D75" s="34" t="str">
        <f>+UPPER('0. Instruções'!$D$35&amp;"."&amp;VLOOKUP(B75,'0. Instruções'!$C$27:$D$32,2,FALSE))</f>
        <v>BU_LOANTAPE_WORK.LT002_INSTRUMENT</v>
      </c>
      <c r="E75" s="34" t="str">
        <f>+UPPER('0. Instruções'!$D$36&amp;"."&amp;VLOOKUP(B75,'0. Instruções'!$C$27:$E$32,3,FALSE))</f>
        <v>BU_LOANTAPE_WORK.SIMUL_LT002_INSTRUMENT</v>
      </c>
      <c r="F75" s="34" t="s">
        <v>1159</v>
      </c>
      <c r="G75" s="34"/>
      <c r="H75" s="34"/>
      <c r="I75" s="34" t="str">
        <f>"(SELECT "&amp;VLOOKUP(B75,'0. Instruções'!$C$27:$G$32,4,FALSE)&amp;", "&amp;F75&amp;" FROM "&amp;D75&amp;" WHERE "&amp;'0. Instruções'!$D$42&amp;")X"</f>
        <v>(SELECT instrmnt_id, dt_dflt_stts_instrmnt FROM BU_LOANTAPE_WORK.LT002_INSTRUMENT WHERE ref_date='${ref_date}' AND nome_perimetro='Individual Local' AND segmento='ESTR' AND ambito='SRB_MBDT' AND entidade='00100')X</v>
      </c>
      <c r="J75" s="34" t="str">
        <f>"(SELECT "&amp;VLOOKUP(B75,'0. Instruções'!$C$27:$G$32,4,FALSE)&amp;" AS "&amp;VLOOKUP(B75,'0. Instruções'!$C$27:$G$32,4,FALSE)&amp;"_SIMUL, "&amp;F75&amp;" AS "&amp;F75&amp;"_SIMUL FROM "&amp;E75&amp;" WHERE "&amp;'0. Instruções'!$D$43&amp;")Y"</f>
        <v>(SELECT instrmnt_id AS instrmnt_id_SIMUL, dt_dflt_stts_instrmnt AS dt_dflt_stts_instrmnt_SIMUL FROM BU_LOANTAPE_WORK.SIMUL_LT002_INSTRUMENT WHERE ref_date='${ref_date}' AND nome_perimetro='Individual Local' AND segmento='ESTR' AND ambito='PILAR3' AND entidade='00100')Y</v>
      </c>
      <c r="K75" s="35" t="str">
        <f>+UPPER("ON X."&amp;VLOOKUP(B75,'0. Instruções'!$C$27:$G$32,4,FALSE)&amp;"=Y."&amp;VLOOKUP(B75,'0. Instruções'!$C$27:$G$32,4,FALSE)&amp;"_SIMUL")</f>
        <v>ON X.INSTRMNT_ID=Y.INSTRMNT_ID_SIMUL</v>
      </c>
      <c r="L75" s="35" t="str">
        <f>+IF(C75="Coerência", +IF(LEFT(G75,5)="FLOAT","SELECT '"&amp;UPPER(B75)&amp;"' AS TABELA, '"&amp;UPPER(C75)&amp;"' AS TIPOLOGIA_TESTE,'"&amp;D75&amp;"' AS TABELA_LT,'"&amp;E75&amp;"' AS TABELA_SIMUL,'"&amp;F75&amp;"' AS CAMPO, "&amp;"'${ref_date}' AS REF_DATE, COUNT(*) AS NUM_REG, SUM(IF((ABS(COALESCE(CAST(X."&amp;F75&amp;" AS DECIMAL(18,6)),0)-COALESCE(CAST(Y."&amp;F75&amp;"_SIMUL AS DECIMAL(18,6)),0))&gt;0.000001) OR (X."&amp;F75&amp;" IS NULL AND Y."&amp;F75&amp;"_SIMUL IS NOT NULL ) OR (X."&amp;F75&amp;" IS NOT NULL AND Y."&amp;F75&amp;"_SIMUL IS NULL),1,0)) AS NUM_REG_DIF,'"&amp;MAX('ID1&amp;5'!K:K)+1&amp;"' AS ID_EXEC, CURRENT_TIMESTAMP() AS TIME_EXEC FROM "&amp;I75&amp;" INNER JOIN "&amp;J75&amp;" "&amp;K75,"SELECT '"&amp;UPPER(B75)&amp;"' AS TABELA, '"&amp;UPPER(C75)&amp;"' AS TIPOLOGIA_TESTE,'"&amp;D75&amp;"' AS TABELA_LT,'"&amp;E75&amp;"' AS TABELA_SIMUL,'"&amp;F75&amp;"' AS CAMPO, "&amp;"'${ref_date}' AS REF_DATE, COUNT(*) AS NUM_REG, SUM(IF(COALESCE(CAST(X."&amp;F75&amp;" AS STRING),'')&lt;&gt;COALESCE(CAST(Y."&amp;F75&amp;"_SIMUL AS STRING),'') OR (X."&amp;F75&amp;" IS NULL AND Y."&amp;F75&amp;"_SIMUL IS NOT NULL ) OR (X."&amp;F75&amp;" IS NOT NULL AND Y."&amp;F75&amp;"_SIMUL IS NULL),1,0)) AS NUM_REG_DIF,'"&amp;MAX('ID1&amp;5'!L:L)+1&amp;"' AS ID_EXEC, CURRENT_TIMESTAMP() AS TIME_EXEC FROM "&amp;I75&amp;" INNER JOIN "&amp;J75&amp;" "&amp;K75),
IF(C75="Validade",+IF(G75="Code List","SELECT '"&amp;UPPER(B75)&amp;"' AS TABELA, '"&amp;UPPER(C75)&amp;"' AS TIPOLOGIA_TESTE,'"&amp;D75&amp;"' AS TABELA_LT,'N/A' AS TABELA_SIMUL,'"&amp;F75&amp;"' AS CAMPO, "&amp;"'${ref_date}' AS REF_DATE, COUNT(*) AS NUM_REG, SUM(IF(TRIM(CAST(X."&amp;F75&amp;" AS STRING))='' OR TRIM(CAST(X."&amp;F75&amp;" AS STRING)) IS NULL OR CAST(X."&amp;F75&amp;" AS STRING) NOT "&amp;H75&amp;",1,0)) AS NUM_REG_DIF,'"&amp;MAX('ID1&amp;5'!K:K)+1&amp;"' AS ID_EXEC, CURRENT_TIMESTAMP() AS TIME_EXEC FROM "&amp;I75,"SELECT '"&amp;UPPER(B75)&amp;"' AS TABELA, '"&amp;UPPER(C75)&amp;"' AS TIPOLOGIA_TESTE,'"&amp;D75&amp;"' AS TABELA_LT,'N/A' AS TABELA_SIMUL,'"&amp;F75&amp;"' AS CAMPO, "&amp;"'${ref_date}' AS REF_DATE, COUNT(*) AS NUM_REG, SUM(IF(TRIM(CAST(X."&amp;F75&amp;" AS STRING))='' OR TRIM(CAST(X."&amp;F75&amp;" AS STRING)) IS NULL,1,0)) AS NUM_REG_DIF,'"&amp;MAX('ID1&amp;5'!K:K)+1&amp;"' AS ID_EXEC, CURRENT_TIMESTAMP() AS TIME_EXEC FROM "&amp;I75),
IF(C75="Caracteres Especiais",+"SELECT '"&amp;UPPER(B75)&amp;"' AS TABELA, '"&amp;UPPER(C75)&amp;"' AS TIPOLOGIA_TESTE,'"&amp;D75&amp;"' AS TABELA_LT,'N/A' AS TABELA_SIMUL,'"&amp;F75&amp;"' AS CAMPO, "&amp;"'${ref_date}' AS REF_DATE, COUNT(*) AS NUM_REG, SUM(IF(REGEXP_REPLACE(TRIM(CAST(X."&amp;F75&amp;" AS STRING)),'[^a-zA-Z0-9_\\s]','') &lt;&gt;TRIM(CAST(X."&amp;F75&amp;" AS STRING)),1,0)) AS NUM_REG_DIF,'"&amp;MAX('ID1&amp;5'!K:K)+1&amp;"' AS ID_EXEC, CURRENT_TIMESTAMP() AS TIME_EXEC FROM "&amp;I75,
IF(C75="Missings",+"SELECT '"&amp;UPPER(B75)&amp;"' AS TABELA, '"&amp;UPPER(C75)&amp;"' AS TIPOLOGIA_TESTE,'"&amp;D75&amp;"' AS TABELA_LT,'N/A' AS TABELA_SIMUL,'"&amp;F75&amp;"' AS CAMPO, "&amp;"'${ref_date}' AS REF_DATE, COUNT(*) AS NUM_REG, SUM(IF(TRIM(CAST(X."&amp;F75&amp;" AS STRING)) IN ('0000-00-00','0001-01-01','9999-12-31','MISS','00000','99999999999','99999999999.00','99999999999.000000'),1,0)) AS NUM_REG_DIF,'"&amp;MAX('ID1&amp;5'!K:K)+1&amp;"' AS ID_EXEC, CURRENT_TIMESTAMP() AS TIME_EXEC FROM "&amp;I75,
IF(C75="Not applicable",+"SELECT '"&amp;UPPER(B75)&amp;"' AS TABELA, '"&amp;UPPER(C75)&amp;"' AS TIPOLOGIA_TESTE,'"&amp;D75&amp;"' AS TABELA_LT,'N/A' AS TABELA_SIMUL,'"&amp;F75&amp;"' AS CAMPO, "&amp;"'${ref_date}' AS REF_DATE, COUNT(*) AS NUM_REG, SUM(IF(TRIM(CAST(X."&amp;F75&amp;" AS STRING)) IN ('N/A','11111111111','11111111111.00','11111111111.000000','1111-11-11'),1,0)) AS NUM_REG_DIF,'"&amp;MAX('ID1&amp;5'!K:K)+1&amp;"' AS ID_EXEC, CURRENT_TIMESTAMP() AS TIME_EXEC FROM "&amp;I75,
IF(C75="Valores extremos",+"SELECT '"&amp;UPPER(B75)&amp;"' AS TABELA, '"&amp;UPPER(C75)&amp;"' AS TIPOLOGIA_TESTE,'"&amp;D75&amp;"' AS TABELA_LT,'N/A' AS TABELA_SIMUL,'"&amp;F75&amp;"' AS CAMPO, "&amp;"'${ref_date}' AS REF_DATE, CAST(MIN("&amp;F75&amp;") AS STRING) AS VALOR_MIN, CAST(MAX("&amp;F75&amp;") AS STRING) AS VALOR_MAX,'"&amp;MAX('ID1&amp;5'!K:K)+1&amp;"' AS ID_EXEC, CURRENT_TIMESTAMP() AS TIME_EXEC FROM "&amp;MID(I75,1,LEN(I75)-2)&amp;" AND CAST("&amp;F75&amp;"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TABELA_SIMUL,'dt_dflt_stts_instrmnt' AS CAMPO, '${ref_date}' AS REF_DATE, COUNT(*) AS NUM_REG, SUM(IF(COALESCE(CAST(X.dt_dflt_stts_instrmnt AS STRING),'')&lt;&gt;COALESCE(CAST(Y.dt_dflt_stts_instrmnt_SIMUL AS STRING),'') OR (X.dt_dflt_stts_instrmnt IS NULL AND Y.dt_dflt_stts_instrmnt_SIMUL IS NOT NULL ) OR (X.dt_dflt_stts_instrmnt IS NOT NULL AND Y.dt_dflt_stts_instrmnt_SIMUL IS NULL),1,0)) AS NUM_REG_DIF,'1' AS ID_EXEC, CURRENT_TIMESTAMP() AS TIME_EXEC FROM (SELECT instrmnt_id, dt_dflt_stts_instrmnt FROM BU_LOANTAPE_WORK.LT002_INSTRUMENT WHERE ref_date='${ref_date}' AND nome_perimetro='Individual Local' AND segmento='ESTR' AND ambito='SRB_MBDT' AND entidade='00100')X INNER JOIN (SELECT instrmnt_id AS instrmnt_id_SIMUL, dt_dflt_stts_instrmnt AS dt_dflt_stts_instrmnt_SIMUL FROM BU_LOANTAPE_WORK.SIMUL_LT002_INSTRUMENT WHERE ref_date='${ref_date}' AND nome_perimetro='Individual Local' AND segmento='ESTR' AND ambito='PILAR3' AND entidade='00100')Y ON X.INSTRMNT_ID=Y.INSTRMNT_ID_SIMUL</v>
      </c>
      <c r="M75" s="36" t="str">
        <f t="shared" si="4"/>
        <v>UNION ALL SELECT 'INSTRUMENT' AS TABELA, 'COERÊNCIA' AS TIPOLOGIA_TESTE,'BU_LOANTAPE_WORK.LT002_INSTRUMENT' AS TABELA_LT,'BU_LOANTAPE_WORK.SIMUL_LT002_INSTRUMENT' AS TABELA_SIMUL,'dt_dflt_stts_instrmnt' AS CAMPO, '${ref_date}' AS REF_DATE, COUNT(*) AS NUM_REG, SUM(IF(COALESCE(CAST(X.dt_dflt_stts_instrmnt AS STRING),'')&lt;&gt;COALESCE(CAST(Y.dt_dflt_stts_instrmnt_SIMUL AS STRING),'') OR (X.dt_dflt_stts_instrmnt IS NULL AND Y.dt_dflt_stts_instrmnt_SIMUL IS NOT NULL ) OR (X.dt_dflt_stts_instrmnt IS NOT NULL AND Y.dt_dflt_stts_instrmnt_SIMUL IS NULL),1,0)) AS NUM_REG_DIF,'1' AS ID_EXEC, CURRENT_TIMESTAMP() AS TIME_EXEC FROM (SELECT instrmnt_id, dt_dflt_stts_instrmnt FROM BU_LOANTAPE_WORK.LT002_INSTRUMENT WHERE ref_date='${ref_date}' AND nome_perimetro='Individual Local' AND segmento='ESTR' AND ambito='SRB_MBDT' AND entidade='00100')X INNER JOIN (SELECT instrmnt_id AS instrmnt_id_SIMUL, dt_dflt_stts_instrmnt AS dt_dflt_stts_instrmnt_SIMUL FROM BU_LOANTAPE_WORK.SIMUL_LT002_INSTRUMENT WHERE ref_date='${ref_date}' AND nome_perimetro='Individual Local' AND segmento='ESTR' AND ambito='PILAR3' AND entidade='00100')Y ON X.INSTRMNT_ID=Y.INSTRMNT_ID_SIMUL</v>
      </c>
      <c r="N75" s="38" t="s">
        <v>40</v>
      </c>
    </row>
    <row r="76" spans="2:14">
      <c r="B76" s="34" t="s">
        <v>117</v>
      </c>
      <c r="C76" s="34" t="s">
        <v>5</v>
      </c>
      <c r="D76" s="34" t="str">
        <f>+UPPER('0. Instruções'!$D$35&amp;"."&amp;VLOOKUP(B76,'0. Instruções'!$C$27:$D$32,2,FALSE))</f>
        <v>BU_LOANTAPE_WORK.LT002_INSTRUMENT</v>
      </c>
      <c r="E76" s="34" t="str">
        <f>+UPPER('0. Instruções'!$D$36&amp;"."&amp;VLOOKUP(B76,'0. Instruções'!$C$27:$E$32,3,FALSE))</f>
        <v>BU_LOANTAPE_WORK.SIMUL_LT002_INSTRUMENT</v>
      </c>
      <c r="F76" s="34" t="s">
        <v>1160</v>
      </c>
      <c r="G76" s="34"/>
      <c r="H76" s="34"/>
      <c r="I76" s="34" t="str">
        <f>"(SELECT "&amp;VLOOKUP(B76,'0. Instruções'!$C$27:$G$32,4,FALSE)&amp;", "&amp;F76&amp;" FROM "&amp;D76&amp;" WHERE "&amp;'0. Instruções'!$D$42&amp;")X"</f>
        <v>(SELECT instrmnt_id, dt_end_gp_ppal FROM BU_LOANTAPE_WORK.LT002_INSTRUMENT WHERE ref_date='${ref_date}' AND nome_perimetro='Individual Local' AND segmento='ESTR' AND ambito='SRB_MBDT' AND entidade='00100')X</v>
      </c>
      <c r="J76" s="34" t="str">
        <f>"(SELECT "&amp;VLOOKUP(B76,'0. Instruções'!$C$27:$G$32,4,FALSE)&amp;" AS "&amp;VLOOKUP(B76,'0. Instruções'!$C$27:$G$32,4,FALSE)&amp;"_SIMUL, "&amp;F76&amp;" AS "&amp;F76&amp;"_SIMUL FROM "&amp;E76&amp;" WHERE "&amp;'0. Instruções'!$D$43&amp;")Y"</f>
        <v>(SELECT instrmnt_id AS instrmnt_id_SIMUL, dt_end_gp_ppal AS dt_end_gp_ppal_SIMUL FROM BU_LOANTAPE_WORK.SIMUL_LT002_INSTRUMENT WHERE ref_date='${ref_date}' AND nome_perimetro='Individual Local' AND segmento='ESTR' AND ambito='PILAR3' AND entidade='00100')Y</v>
      </c>
      <c r="K76" s="35" t="str">
        <f>+UPPER("ON X."&amp;VLOOKUP(B76,'0. Instruções'!$C$27:$G$32,4,FALSE)&amp;"=Y."&amp;VLOOKUP(B76,'0. Instruções'!$C$27:$G$32,4,FALSE)&amp;"_SIMUL")</f>
        <v>ON X.INSTRMNT_ID=Y.INSTRMNT_ID_SIMUL</v>
      </c>
      <c r="L76" s="35" t="str">
        <f>+IF(C76="Coerência", +IF(LEFT(G76,5)="FLOAT","SELECT '"&amp;UPPER(B76)&amp;"' AS TABELA, '"&amp;UPPER(C76)&amp;"' AS TIPOLOGIA_TESTE,'"&amp;D76&amp;"' AS TABELA_LT,'"&amp;E76&amp;"' AS TABELA_SIMUL,'"&amp;F76&amp;"' AS CAMPO, "&amp;"'${ref_date}' AS REF_DATE, COUNT(*) AS NUM_REG, SUM(IF((ABS(COALESCE(CAST(X."&amp;F76&amp;" AS DECIMAL(18,6)),0)-COALESCE(CAST(Y."&amp;F76&amp;"_SIMUL AS DECIMAL(18,6)),0))&gt;0.000001) OR (X."&amp;F76&amp;" IS NULL AND Y."&amp;F76&amp;"_SIMUL IS NOT NULL ) OR (X."&amp;F76&amp;" IS NOT NULL AND Y."&amp;F76&amp;"_SIMUL IS NULL),1,0)) AS NUM_REG_DIF,'"&amp;MAX('ID1&amp;5'!K:K)+1&amp;"' AS ID_EXEC, CURRENT_TIMESTAMP() AS TIME_EXEC FROM "&amp;I76&amp;" INNER JOIN "&amp;J76&amp;" "&amp;K76,"SELECT '"&amp;UPPER(B76)&amp;"' AS TABELA, '"&amp;UPPER(C76)&amp;"' AS TIPOLOGIA_TESTE,'"&amp;D76&amp;"' AS TABELA_LT,'"&amp;E76&amp;"' AS TABELA_SIMUL,'"&amp;F76&amp;"' AS CAMPO, "&amp;"'${ref_date}' AS REF_DATE, COUNT(*) AS NUM_REG, SUM(IF(COALESCE(CAST(X."&amp;F76&amp;" AS STRING),'')&lt;&gt;COALESCE(CAST(Y."&amp;F76&amp;"_SIMUL AS STRING),'') OR (X."&amp;F76&amp;" IS NULL AND Y."&amp;F76&amp;"_SIMUL IS NOT NULL ) OR (X."&amp;F76&amp;" IS NOT NULL AND Y."&amp;F76&amp;"_SIMUL IS NULL),1,0)) AS NUM_REG_DIF,'"&amp;MAX('ID1&amp;5'!L:L)+1&amp;"' AS ID_EXEC, CURRENT_TIMESTAMP() AS TIME_EXEC FROM "&amp;I76&amp;" INNER JOIN "&amp;J76&amp;" "&amp;K76),
IF(C76="Validade",+IF(G76="Code List","SELECT '"&amp;UPPER(B76)&amp;"' AS TABELA, '"&amp;UPPER(C76)&amp;"' AS TIPOLOGIA_TESTE,'"&amp;D76&amp;"' AS TABELA_LT,'N/A' AS TABELA_SIMUL,'"&amp;F76&amp;"' AS CAMPO, "&amp;"'${ref_date}' AS REF_DATE, COUNT(*) AS NUM_REG, SUM(IF(TRIM(CAST(X."&amp;F76&amp;" AS STRING))='' OR TRIM(CAST(X."&amp;F76&amp;" AS STRING)) IS NULL OR CAST(X."&amp;F76&amp;" AS STRING) NOT "&amp;H76&amp;",1,0)) AS NUM_REG_DIF,'"&amp;MAX('ID1&amp;5'!K:K)+1&amp;"' AS ID_EXEC, CURRENT_TIMESTAMP() AS TIME_EXEC FROM "&amp;I76,"SELECT '"&amp;UPPER(B76)&amp;"' AS TABELA, '"&amp;UPPER(C76)&amp;"' AS TIPOLOGIA_TESTE,'"&amp;D76&amp;"' AS TABELA_LT,'N/A' AS TABELA_SIMUL,'"&amp;F76&amp;"' AS CAMPO, "&amp;"'${ref_date}' AS REF_DATE, COUNT(*) AS NUM_REG, SUM(IF(TRIM(CAST(X."&amp;F76&amp;" AS STRING))='' OR TRIM(CAST(X."&amp;F76&amp;" AS STRING)) IS NULL,1,0)) AS NUM_REG_DIF,'"&amp;MAX('ID1&amp;5'!K:K)+1&amp;"' AS ID_EXEC, CURRENT_TIMESTAMP() AS TIME_EXEC FROM "&amp;I76),
IF(C76="Caracteres Especiais",+"SELECT '"&amp;UPPER(B76)&amp;"' AS TABELA, '"&amp;UPPER(C76)&amp;"' AS TIPOLOGIA_TESTE,'"&amp;D76&amp;"' AS TABELA_LT,'N/A' AS TABELA_SIMUL,'"&amp;F76&amp;"' AS CAMPO, "&amp;"'${ref_date}' AS REF_DATE, COUNT(*) AS NUM_REG, SUM(IF(REGEXP_REPLACE(TRIM(CAST(X."&amp;F76&amp;" AS STRING)),'[^a-zA-Z0-9_\\s]','') &lt;&gt;TRIM(CAST(X."&amp;F76&amp;" AS STRING)),1,0)) AS NUM_REG_DIF,'"&amp;MAX('ID1&amp;5'!K:K)+1&amp;"' AS ID_EXEC, CURRENT_TIMESTAMP() AS TIME_EXEC FROM "&amp;I76,
IF(C76="Missings",+"SELECT '"&amp;UPPER(B76)&amp;"' AS TABELA, '"&amp;UPPER(C76)&amp;"' AS TIPOLOGIA_TESTE,'"&amp;D76&amp;"' AS TABELA_LT,'N/A' AS TABELA_SIMUL,'"&amp;F76&amp;"' AS CAMPO, "&amp;"'${ref_date}' AS REF_DATE, COUNT(*) AS NUM_REG, SUM(IF(TRIM(CAST(X."&amp;F76&amp;" AS STRING)) IN ('0000-00-00','0001-01-01','9999-12-31','MISS','00000','99999999999','99999999999.00','99999999999.000000'),1,0)) AS NUM_REG_DIF,'"&amp;MAX('ID1&amp;5'!K:K)+1&amp;"' AS ID_EXEC, CURRENT_TIMESTAMP() AS TIME_EXEC FROM "&amp;I76,
IF(C76="Not applicable",+"SELECT '"&amp;UPPER(B76)&amp;"' AS TABELA, '"&amp;UPPER(C76)&amp;"' AS TIPOLOGIA_TESTE,'"&amp;D76&amp;"' AS TABELA_LT,'N/A' AS TABELA_SIMUL,'"&amp;F76&amp;"' AS CAMPO, "&amp;"'${ref_date}' AS REF_DATE, COUNT(*) AS NUM_REG, SUM(IF(TRIM(CAST(X."&amp;F76&amp;" AS STRING)) IN ('N/A','11111111111','11111111111.00','11111111111.000000','1111-11-11'),1,0)) AS NUM_REG_DIF,'"&amp;MAX('ID1&amp;5'!K:K)+1&amp;"' AS ID_EXEC, CURRENT_TIMESTAMP() AS TIME_EXEC FROM "&amp;I76,
IF(C76="Valores extremos",+"SELECT '"&amp;UPPER(B76)&amp;"' AS TABELA, '"&amp;UPPER(C76)&amp;"' AS TIPOLOGIA_TESTE,'"&amp;D76&amp;"' AS TABELA_LT,'N/A' AS TABELA_SIMUL,'"&amp;F76&amp;"' AS CAMPO, "&amp;"'${ref_date}' AS REF_DATE, CAST(MIN("&amp;F76&amp;") AS STRING) AS VALOR_MIN, CAST(MAX("&amp;F76&amp;") AS STRING) AS VALOR_MAX,'"&amp;MAX('ID1&amp;5'!K:K)+1&amp;"' AS ID_EXEC, CURRENT_TIMESTAMP() AS TIME_EXEC FROM "&amp;MID(I76,1,LEN(I76)-2)&amp;" AND CAST("&amp;F76&amp;"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TABELA_SIMUL,'dt_end_gp_ppal' AS CAMPO, '${ref_date}' AS REF_DATE, COUNT(*) AS NUM_REG, SUM(IF(COALESCE(CAST(X.dt_end_gp_ppal AS STRING),'')&lt;&gt;COALESCE(CAST(Y.dt_end_gp_ppal_SIMUL AS STRING),'') OR (X.dt_end_gp_ppal IS NULL AND Y.dt_end_gp_ppal_SIMUL IS NOT NULL ) OR (X.dt_end_gp_ppal IS NOT NULL AND Y.dt_end_gp_ppal_SIMUL IS NULL),1,0)) AS NUM_REG_DIF,'1' AS ID_EXEC, CURRENT_TIMESTAMP() AS TIME_EXEC FROM (SELECT instrmnt_id, dt_end_gp_ppal FROM BU_LOANTAPE_WORK.LT002_INSTRUMENT WHERE ref_date='${ref_date}' AND nome_perimetro='Individual Local' AND segmento='ESTR' AND ambito='SRB_MBDT' AND entidade='00100')X INNER JOIN (SELECT instrmnt_id AS instrmnt_id_SIMUL, dt_end_gp_ppal AS dt_end_gp_ppal_SIMUL FROM BU_LOANTAPE_WORK.SIMUL_LT002_INSTRUMENT WHERE ref_date='${ref_date}' AND nome_perimetro='Individual Local' AND segmento='ESTR' AND ambito='PILAR3' AND entidade='00100')Y ON X.INSTRMNT_ID=Y.INSTRMNT_ID_SIMUL</v>
      </c>
      <c r="M76" s="36" t="str">
        <f t="shared" si="4"/>
        <v>UNION ALL SELECT 'INSTRUMENT' AS TABELA, 'COERÊNCIA' AS TIPOLOGIA_TESTE,'BU_LOANTAPE_WORK.LT002_INSTRUMENT' AS TABELA_LT,'BU_LOANTAPE_WORK.SIMUL_LT002_INSTRUMENT' AS TABELA_SIMUL,'dt_end_gp_ppal' AS CAMPO, '${ref_date}' AS REF_DATE, COUNT(*) AS NUM_REG, SUM(IF(COALESCE(CAST(X.dt_end_gp_ppal AS STRING),'')&lt;&gt;COALESCE(CAST(Y.dt_end_gp_ppal_SIMUL AS STRING),'') OR (X.dt_end_gp_ppal IS NULL AND Y.dt_end_gp_ppal_SIMUL IS NOT NULL ) OR (X.dt_end_gp_ppal IS NOT NULL AND Y.dt_end_gp_ppal_SIMUL IS NULL),1,0)) AS NUM_REG_DIF,'1' AS ID_EXEC, CURRENT_TIMESTAMP() AS TIME_EXEC FROM (SELECT instrmnt_id, dt_end_gp_ppal FROM BU_LOANTAPE_WORK.LT002_INSTRUMENT WHERE ref_date='${ref_date}' AND nome_perimetro='Individual Local' AND segmento='ESTR' AND ambito='SRB_MBDT' AND entidade='00100')X INNER JOIN (SELECT instrmnt_id AS instrmnt_id_SIMUL, dt_end_gp_ppal AS dt_end_gp_ppal_SIMUL FROM BU_LOANTAPE_WORK.SIMUL_LT002_INSTRUMENT WHERE ref_date='${ref_date}' AND nome_perimetro='Individual Local' AND segmento='ESTR' AND ambito='PILAR3' AND entidade='00100')Y ON X.INSTRMNT_ID=Y.INSTRMNT_ID_SIMUL</v>
      </c>
      <c r="N76" s="38" t="s">
        <v>40</v>
      </c>
    </row>
    <row r="77" spans="2:14">
      <c r="B77" s="34" t="s">
        <v>117</v>
      </c>
      <c r="C77" s="34" t="s">
        <v>5</v>
      </c>
      <c r="D77" s="34" t="str">
        <f>+UPPER('0. Instruções'!$D$35&amp;"."&amp;VLOOKUP(B77,'0. Instruções'!$C$27:$D$32,2,FALSE))</f>
        <v>BU_LOANTAPE_WORK.LT002_INSTRUMENT</v>
      </c>
      <c r="E77" s="34" t="str">
        <f>+UPPER('0. Instruções'!$D$36&amp;"."&amp;VLOOKUP(B77,'0. Instruções'!$C$27:$E$32,3,FALSE))</f>
        <v>BU_LOANTAPE_WORK.SIMUL_LT002_INSTRUMENT</v>
      </c>
      <c r="F77" s="34" t="s">
        <v>1161</v>
      </c>
      <c r="G77" s="34"/>
      <c r="H77" s="34"/>
      <c r="I77" s="34" t="str">
        <f>"(SELECT "&amp;VLOOKUP(B77,'0. Instruções'!$C$27:$G$32,4,FALSE)&amp;", "&amp;F77&amp;" FROM "&amp;D77&amp;" WHERE "&amp;'0. Instruções'!$D$42&amp;")X"</f>
        <v>(SELECT instrmnt_id, dt_end_intrst_only FROM BU_LOANTAPE_WORK.LT002_INSTRUMENT WHERE ref_date='${ref_date}' AND nome_perimetro='Individual Local' AND segmento='ESTR' AND ambito='SRB_MBDT' AND entidade='00100')X</v>
      </c>
      <c r="J77" s="34" t="str">
        <f>"(SELECT "&amp;VLOOKUP(B77,'0. Instruções'!$C$27:$G$32,4,FALSE)&amp;" AS "&amp;VLOOKUP(B77,'0. Instruções'!$C$27:$G$32,4,FALSE)&amp;"_SIMUL, "&amp;F77&amp;" AS "&amp;F77&amp;"_SIMUL FROM "&amp;E77&amp;" WHERE "&amp;'0. Instruções'!$D$43&amp;")Y"</f>
        <v>(SELECT instrmnt_id AS instrmnt_id_SIMUL, dt_end_intrst_only AS dt_end_intrst_only_SIMUL FROM BU_LOANTAPE_WORK.SIMUL_LT002_INSTRUMENT WHERE ref_date='${ref_date}' AND nome_perimetro='Individual Local' AND segmento='ESTR' AND ambito='PILAR3' AND entidade='00100')Y</v>
      </c>
      <c r="K77" s="35" t="str">
        <f>+UPPER("ON X."&amp;VLOOKUP(B77,'0. Instruções'!$C$27:$G$32,4,FALSE)&amp;"=Y."&amp;VLOOKUP(B77,'0. Instruções'!$C$27:$G$32,4,FALSE)&amp;"_SIMUL")</f>
        <v>ON X.INSTRMNT_ID=Y.INSTRMNT_ID_SIMUL</v>
      </c>
      <c r="L77" s="35" t="str">
        <f>+IF(C77="Coerência", +IF(LEFT(G77,5)="FLOAT","SELECT '"&amp;UPPER(B77)&amp;"' AS TABELA, '"&amp;UPPER(C77)&amp;"' AS TIPOLOGIA_TESTE,'"&amp;D77&amp;"' AS TABELA_LT,'"&amp;E77&amp;"' AS TABELA_SIMUL,'"&amp;F77&amp;"' AS CAMPO, "&amp;"'${ref_date}' AS REF_DATE, COUNT(*) AS NUM_REG, SUM(IF((ABS(COALESCE(CAST(X."&amp;F77&amp;" AS DECIMAL(18,6)),0)-COALESCE(CAST(Y."&amp;F77&amp;"_SIMUL AS DECIMAL(18,6)),0))&gt;0.000001) OR (X."&amp;F77&amp;" IS NULL AND Y."&amp;F77&amp;"_SIMUL IS NOT NULL ) OR (X."&amp;F77&amp;" IS NOT NULL AND Y."&amp;F77&amp;"_SIMUL IS NULL),1,0)) AS NUM_REG_DIF,'"&amp;MAX('ID1&amp;5'!K:K)+1&amp;"' AS ID_EXEC, CURRENT_TIMESTAMP() AS TIME_EXEC FROM "&amp;I77&amp;" INNER JOIN "&amp;J77&amp;" "&amp;K77,"SELECT '"&amp;UPPER(B77)&amp;"' AS TABELA, '"&amp;UPPER(C77)&amp;"' AS TIPOLOGIA_TESTE,'"&amp;D77&amp;"' AS TABELA_LT,'"&amp;E77&amp;"' AS TABELA_SIMUL,'"&amp;F77&amp;"' AS CAMPO, "&amp;"'${ref_date}' AS REF_DATE, COUNT(*) AS NUM_REG, SUM(IF(COALESCE(CAST(X."&amp;F77&amp;" AS STRING),'')&lt;&gt;COALESCE(CAST(Y."&amp;F77&amp;"_SIMUL AS STRING),'') OR (X."&amp;F77&amp;" IS NULL AND Y."&amp;F77&amp;"_SIMUL IS NOT NULL ) OR (X."&amp;F77&amp;" IS NOT NULL AND Y."&amp;F77&amp;"_SIMUL IS NULL),1,0)) AS NUM_REG_DIF,'"&amp;MAX('ID1&amp;5'!L:L)+1&amp;"' AS ID_EXEC, CURRENT_TIMESTAMP() AS TIME_EXEC FROM "&amp;I77&amp;" INNER JOIN "&amp;J77&amp;" "&amp;K77),
IF(C77="Validade",+IF(G77="Code List","SELECT '"&amp;UPPER(B77)&amp;"' AS TABELA, '"&amp;UPPER(C77)&amp;"' AS TIPOLOGIA_TESTE,'"&amp;D77&amp;"' AS TABELA_LT,'N/A' AS TABELA_SIMUL,'"&amp;F77&amp;"' AS CAMPO, "&amp;"'${ref_date}' AS REF_DATE, COUNT(*) AS NUM_REG, SUM(IF(TRIM(CAST(X."&amp;F77&amp;" AS STRING))='' OR TRIM(CAST(X."&amp;F77&amp;" AS STRING)) IS NULL OR CAST(X."&amp;F77&amp;" AS STRING) NOT "&amp;H77&amp;",1,0)) AS NUM_REG_DIF,'"&amp;MAX('ID1&amp;5'!K:K)+1&amp;"' AS ID_EXEC, CURRENT_TIMESTAMP() AS TIME_EXEC FROM "&amp;I77,"SELECT '"&amp;UPPER(B77)&amp;"' AS TABELA, '"&amp;UPPER(C77)&amp;"' AS TIPOLOGIA_TESTE,'"&amp;D77&amp;"' AS TABELA_LT,'N/A' AS TABELA_SIMUL,'"&amp;F77&amp;"' AS CAMPO, "&amp;"'${ref_date}' AS REF_DATE, COUNT(*) AS NUM_REG, SUM(IF(TRIM(CAST(X."&amp;F77&amp;" AS STRING))='' OR TRIM(CAST(X."&amp;F77&amp;" AS STRING)) IS NULL,1,0)) AS NUM_REG_DIF,'"&amp;MAX('ID1&amp;5'!K:K)+1&amp;"' AS ID_EXEC, CURRENT_TIMESTAMP() AS TIME_EXEC FROM "&amp;I77),
IF(C77="Caracteres Especiais",+"SELECT '"&amp;UPPER(B77)&amp;"' AS TABELA, '"&amp;UPPER(C77)&amp;"' AS TIPOLOGIA_TESTE,'"&amp;D77&amp;"' AS TABELA_LT,'N/A' AS TABELA_SIMUL,'"&amp;F77&amp;"' AS CAMPO, "&amp;"'${ref_date}' AS REF_DATE, COUNT(*) AS NUM_REG, SUM(IF(REGEXP_REPLACE(TRIM(CAST(X."&amp;F77&amp;" AS STRING)),'[^a-zA-Z0-9_\\s]','') &lt;&gt;TRIM(CAST(X."&amp;F77&amp;" AS STRING)),1,0)) AS NUM_REG_DIF,'"&amp;MAX('ID1&amp;5'!K:K)+1&amp;"' AS ID_EXEC, CURRENT_TIMESTAMP() AS TIME_EXEC FROM "&amp;I77,
IF(C77="Missings",+"SELECT '"&amp;UPPER(B77)&amp;"' AS TABELA, '"&amp;UPPER(C77)&amp;"' AS TIPOLOGIA_TESTE,'"&amp;D77&amp;"' AS TABELA_LT,'N/A' AS TABELA_SIMUL,'"&amp;F77&amp;"' AS CAMPO, "&amp;"'${ref_date}' AS REF_DATE, COUNT(*) AS NUM_REG, SUM(IF(TRIM(CAST(X."&amp;F77&amp;" AS STRING)) IN ('0000-00-00','0001-01-01','9999-12-31','MISS','00000','99999999999','99999999999.00','99999999999.000000'),1,0)) AS NUM_REG_DIF,'"&amp;MAX('ID1&amp;5'!K:K)+1&amp;"' AS ID_EXEC, CURRENT_TIMESTAMP() AS TIME_EXEC FROM "&amp;I77,
IF(C77="Not applicable",+"SELECT '"&amp;UPPER(B77)&amp;"' AS TABELA, '"&amp;UPPER(C77)&amp;"' AS TIPOLOGIA_TESTE,'"&amp;D77&amp;"' AS TABELA_LT,'N/A' AS TABELA_SIMUL,'"&amp;F77&amp;"' AS CAMPO, "&amp;"'${ref_date}' AS REF_DATE, COUNT(*) AS NUM_REG, SUM(IF(TRIM(CAST(X."&amp;F77&amp;" AS STRING)) IN ('N/A','11111111111','11111111111.00','11111111111.000000','1111-11-11'),1,0)) AS NUM_REG_DIF,'"&amp;MAX('ID1&amp;5'!K:K)+1&amp;"' AS ID_EXEC, CURRENT_TIMESTAMP() AS TIME_EXEC FROM "&amp;I77,
IF(C77="Valores extremos",+"SELECT '"&amp;UPPER(B77)&amp;"' AS TABELA, '"&amp;UPPER(C77)&amp;"' AS TIPOLOGIA_TESTE,'"&amp;D77&amp;"' AS TABELA_LT,'N/A' AS TABELA_SIMUL,'"&amp;F77&amp;"' AS CAMPO, "&amp;"'${ref_date}' AS REF_DATE, CAST(MIN("&amp;F77&amp;") AS STRING) AS VALOR_MIN, CAST(MAX("&amp;F77&amp;") AS STRING) AS VALOR_MAX,'"&amp;MAX('ID1&amp;5'!K:K)+1&amp;"' AS ID_EXEC, CURRENT_TIMESTAMP() AS TIME_EXEC FROM "&amp;MID(I77,1,LEN(I77)-2)&amp;" AND CAST("&amp;F77&amp;"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TABELA_SIMUL,'dt_end_intrst_only' AS CAMPO, '${ref_date}' AS REF_DATE, COUNT(*) AS NUM_REG, SUM(IF(COALESCE(CAST(X.dt_end_intrst_only AS STRING),'')&lt;&gt;COALESCE(CAST(Y.dt_end_intrst_only_SIMUL AS STRING),'') OR (X.dt_end_intrst_only IS NULL AND Y.dt_end_intrst_only_SIMUL IS NOT NULL ) OR (X.dt_end_intrst_only IS NOT NULL AND Y.dt_end_intrst_only_SIMUL IS NULL),1,0)) AS NUM_REG_DIF,'1' AS ID_EXEC, CURRENT_TIMESTAMP() AS TIME_EXEC FROM (SELECT instrmnt_id, dt_end_intrst_only FROM BU_LOANTAPE_WORK.LT002_INSTRUMENT WHERE ref_date='${ref_date}' AND nome_perimetro='Individual Local' AND segmento='ESTR' AND ambito='SRB_MBDT' AND entidade='00100')X INNER JOIN (SELECT instrmnt_id AS instrmnt_id_SIMUL, dt_end_intrst_only AS dt_end_intrst_only_SIMUL FROM BU_LOANTAPE_WORK.SIMUL_LT002_INSTRUMENT WHERE ref_date='${ref_date}' AND nome_perimetro='Individual Local' AND segmento='ESTR' AND ambito='PILAR3' AND entidade='00100')Y ON X.INSTRMNT_ID=Y.INSTRMNT_ID_SIMUL</v>
      </c>
      <c r="M77" s="36" t="str">
        <f t="shared" si="4"/>
        <v>UNION ALL SELECT 'INSTRUMENT' AS TABELA, 'COERÊNCIA' AS TIPOLOGIA_TESTE,'BU_LOANTAPE_WORK.LT002_INSTRUMENT' AS TABELA_LT,'BU_LOANTAPE_WORK.SIMUL_LT002_INSTRUMENT' AS TABELA_SIMUL,'dt_end_intrst_only' AS CAMPO, '${ref_date}' AS REF_DATE, COUNT(*) AS NUM_REG, SUM(IF(COALESCE(CAST(X.dt_end_intrst_only AS STRING),'')&lt;&gt;COALESCE(CAST(Y.dt_end_intrst_only_SIMUL AS STRING),'') OR (X.dt_end_intrst_only IS NULL AND Y.dt_end_intrst_only_SIMUL IS NOT NULL ) OR (X.dt_end_intrst_only IS NOT NULL AND Y.dt_end_intrst_only_SIMUL IS NULL),1,0)) AS NUM_REG_DIF,'1' AS ID_EXEC, CURRENT_TIMESTAMP() AS TIME_EXEC FROM (SELECT instrmnt_id, dt_end_intrst_only FROM BU_LOANTAPE_WORK.LT002_INSTRUMENT WHERE ref_date='${ref_date}' AND nome_perimetro='Individual Local' AND segmento='ESTR' AND ambito='SRB_MBDT' AND entidade='00100')X INNER JOIN (SELECT instrmnt_id AS instrmnt_id_SIMUL, dt_end_intrst_only AS dt_end_intrst_only_SIMUL FROM BU_LOANTAPE_WORK.SIMUL_LT002_INSTRUMENT WHERE ref_date='${ref_date}' AND nome_perimetro='Individual Local' AND segmento='ESTR' AND ambito='PILAR3' AND entidade='00100')Y ON X.INSTRMNT_ID=Y.INSTRMNT_ID_SIMUL</v>
      </c>
      <c r="N77" s="38" t="s">
        <v>40</v>
      </c>
    </row>
    <row r="78" spans="2:14">
      <c r="B78" s="34" t="s">
        <v>117</v>
      </c>
      <c r="C78" s="34" t="s">
        <v>5</v>
      </c>
      <c r="D78" s="34" t="str">
        <f>+UPPER('0. Instruções'!$D$35&amp;"."&amp;VLOOKUP(B78,'0. Instruções'!$C$27:$D$32,2,FALSE))</f>
        <v>BU_LOANTAPE_WORK.LT002_INSTRUMENT</v>
      </c>
      <c r="E78" s="34" t="str">
        <f>+UPPER('0. Instruções'!$D$36&amp;"."&amp;VLOOKUP(B78,'0. Instruções'!$C$27:$E$32,3,FALSE))</f>
        <v>BU_LOANTAPE_WORK.SIMUL_LT002_INSTRUMENT</v>
      </c>
      <c r="F78" s="34" t="s">
        <v>1162</v>
      </c>
      <c r="G78" s="34"/>
      <c r="H78" s="34"/>
      <c r="I78" s="34" t="str">
        <f>"(SELECT "&amp;VLOOKUP(B78,'0. Instruções'!$C$27:$G$32,4,FALSE)&amp;", "&amp;F78&amp;" FROM "&amp;D78&amp;" WHERE "&amp;'0. Instruções'!$D$42&amp;")X"</f>
        <v>(SELECT instrmnt_id, dt_frbrnc_stts FROM BU_LOANTAPE_WORK.LT002_INSTRUMENT WHERE ref_date='${ref_date}' AND nome_perimetro='Individual Local' AND segmento='ESTR' AND ambito='SRB_MBDT' AND entidade='00100')X</v>
      </c>
      <c r="J78" s="34" t="str">
        <f>"(SELECT "&amp;VLOOKUP(B78,'0. Instruções'!$C$27:$G$32,4,FALSE)&amp;" AS "&amp;VLOOKUP(B78,'0. Instruções'!$C$27:$G$32,4,FALSE)&amp;"_SIMUL, "&amp;F78&amp;" AS "&amp;F78&amp;"_SIMUL FROM "&amp;E78&amp;" WHERE "&amp;'0. Instruções'!$D$43&amp;")Y"</f>
        <v>(SELECT instrmnt_id AS instrmnt_id_SIMUL, dt_frbrnc_stts AS dt_frbrnc_stts_SIMUL FROM BU_LOANTAPE_WORK.SIMUL_LT002_INSTRUMENT WHERE ref_date='${ref_date}' AND nome_perimetro='Individual Local' AND segmento='ESTR' AND ambito='PILAR3' AND entidade='00100')Y</v>
      </c>
      <c r="K78" s="35" t="str">
        <f>+UPPER("ON X."&amp;VLOOKUP(B78,'0. Instruções'!$C$27:$G$32,4,FALSE)&amp;"=Y."&amp;VLOOKUP(B78,'0. Instruções'!$C$27:$G$32,4,FALSE)&amp;"_SIMUL")</f>
        <v>ON X.INSTRMNT_ID=Y.INSTRMNT_ID_SIMUL</v>
      </c>
      <c r="L78" s="35" t="str">
        <f>+IF(C78="Coerência", +IF(LEFT(G78,5)="FLOAT","SELECT '"&amp;UPPER(B78)&amp;"' AS TABELA, '"&amp;UPPER(C78)&amp;"' AS TIPOLOGIA_TESTE,'"&amp;D78&amp;"' AS TABELA_LT,'"&amp;E78&amp;"' AS TABELA_SIMUL,'"&amp;F78&amp;"' AS CAMPO, "&amp;"'${ref_date}' AS REF_DATE, COUNT(*) AS NUM_REG, SUM(IF((ABS(COALESCE(CAST(X."&amp;F78&amp;" AS DECIMAL(18,6)),0)-COALESCE(CAST(Y."&amp;F78&amp;"_SIMUL AS DECIMAL(18,6)),0))&gt;0.000001) OR (X."&amp;F78&amp;" IS NULL AND Y."&amp;F78&amp;"_SIMUL IS NOT NULL ) OR (X."&amp;F78&amp;" IS NOT NULL AND Y."&amp;F78&amp;"_SIMUL IS NULL),1,0)) AS NUM_REG_DIF,'"&amp;MAX('ID1&amp;5'!K:K)+1&amp;"' AS ID_EXEC, CURRENT_TIMESTAMP() AS TIME_EXEC FROM "&amp;I78&amp;" INNER JOIN "&amp;J78&amp;" "&amp;K78,"SELECT '"&amp;UPPER(B78)&amp;"' AS TABELA, '"&amp;UPPER(C78)&amp;"' AS TIPOLOGIA_TESTE,'"&amp;D78&amp;"' AS TABELA_LT,'"&amp;E78&amp;"' AS TABELA_SIMUL,'"&amp;F78&amp;"' AS CAMPO, "&amp;"'${ref_date}' AS REF_DATE, COUNT(*) AS NUM_REG, SUM(IF(COALESCE(CAST(X."&amp;F78&amp;" AS STRING),'')&lt;&gt;COALESCE(CAST(Y."&amp;F78&amp;"_SIMUL AS STRING),'') OR (X."&amp;F78&amp;" IS NULL AND Y."&amp;F78&amp;"_SIMUL IS NOT NULL ) OR (X."&amp;F78&amp;" IS NOT NULL AND Y."&amp;F78&amp;"_SIMUL IS NULL),1,0)) AS NUM_REG_DIF,'"&amp;MAX('ID1&amp;5'!L:L)+1&amp;"' AS ID_EXEC, CURRENT_TIMESTAMP() AS TIME_EXEC FROM "&amp;I78&amp;" INNER JOIN "&amp;J78&amp;" "&amp;K78),
IF(C78="Validade",+IF(G78="Code List","SELECT '"&amp;UPPER(B78)&amp;"' AS TABELA, '"&amp;UPPER(C78)&amp;"' AS TIPOLOGIA_TESTE,'"&amp;D78&amp;"' AS TABELA_LT,'N/A' AS TABELA_SIMUL,'"&amp;F78&amp;"' AS CAMPO, "&amp;"'${ref_date}' AS REF_DATE, COUNT(*) AS NUM_REG, SUM(IF(TRIM(CAST(X."&amp;F78&amp;" AS STRING))='' OR TRIM(CAST(X."&amp;F78&amp;" AS STRING)) IS NULL OR CAST(X."&amp;F78&amp;" AS STRING) NOT "&amp;H78&amp;",1,0)) AS NUM_REG_DIF,'"&amp;MAX('ID1&amp;5'!K:K)+1&amp;"' AS ID_EXEC, CURRENT_TIMESTAMP() AS TIME_EXEC FROM "&amp;I78,"SELECT '"&amp;UPPER(B78)&amp;"' AS TABELA, '"&amp;UPPER(C78)&amp;"' AS TIPOLOGIA_TESTE,'"&amp;D78&amp;"' AS TABELA_LT,'N/A' AS TABELA_SIMUL,'"&amp;F78&amp;"' AS CAMPO, "&amp;"'${ref_date}' AS REF_DATE, COUNT(*) AS NUM_REG, SUM(IF(TRIM(CAST(X."&amp;F78&amp;" AS STRING))='' OR TRIM(CAST(X."&amp;F78&amp;" AS STRING)) IS NULL,1,0)) AS NUM_REG_DIF,'"&amp;MAX('ID1&amp;5'!K:K)+1&amp;"' AS ID_EXEC, CURRENT_TIMESTAMP() AS TIME_EXEC FROM "&amp;I78),
IF(C78="Caracteres Especiais",+"SELECT '"&amp;UPPER(B78)&amp;"' AS TABELA, '"&amp;UPPER(C78)&amp;"' AS TIPOLOGIA_TESTE,'"&amp;D78&amp;"' AS TABELA_LT,'N/A' AS TABELA_SIMUL,'"&amp;F78&amp;"' AS CAMPO, "&amp;"'${ref_date}' AS REF_DATE, COUNT(*) AS NUM_REG, SUM(IF(REGEXP_REPLACE(TRIM(CAST(X."&amp;F78&amp;" AS STRING)),'[^a-zA-Z0-9_\\s]','') &lt;&gt;TRIM(CAST(X."&amp;F78&amp;" AS STRING)),1,0)) AS NUM_REG_DIF,'"&amp;MAX('ID1&amp;5'!K:K)+1&amp;"' AS ID_EXEC, CURRENT_TIMESTAMP() AS TIME_EXEC FROM "&amp;I78,
IF(C78="Missings",+"SELECT '"&amp;UPPER(B78)&amp;"' AS TABELA, '"&amp;UPPER(C78)&amp;"' AS TIPOLOGIA_TESTE,'"&amp;D78&amp;"' AS TABELA_LT,'N/A' AS TABELA_SIMUL,'"&amp;F78&amp;"' AS CAMPO, "&amp;"'${ref_date}' AS REF_DATE, COUNT(*) AS NUM_REG, SUM(IF(TRIM(CAST(X."&amp;F78&amp;" AS STRING)) IN ('0000-00-00','0001-01-01','9999-12-31','MISS','00000','99999999999','99999999999.00','99999999999.000000'),1,0)) AS NUM_REG_DIF,'"&amp;MAX('ID1&amp;5'!K:K)+1&amp;"' AS ID_EXEC, CURRENT_TIMESTAMP() AS TIME_EXEC FROM "&amp;I78,
IF(C78="Not applicable",+"SELECT '"&amp;UPPER(B78)&amp;"' AS TABELA, '"&amp;UPPER(C78)&amp;"' AS TIPOLOGIA_TESTE,'"&amp;D78&amp;"' AS TABELA_LT,'N/A' AS TABELA_SIMUL,'"&amp;F78&amp;"' AS CAMPO, "&amp;"'${ref_date}' AS REF_DATE, COUNT(*) AS NUM_REG, SUM(IF(TRIM(CAST(X."&amp;F78&amp;" AS STRING)) IN ('N/A','11111111111','11111111111.00','11111111111.000000','1111-11-11'),1,0)) AS NUM_REG_DIF,'"&amp;MAX('ID1&amp;5'!K:K)+1&amp;"' AS ID_EXEC, CURRENT_TIMESTAMP() AS TIME_EXEC FROM "&amp;I78,
IF(C78="Valores extremos",+"SELECT '"&amp;UPPER(B78)&amp;"' AS TABELA, '"&amp;UPPER(C78)&amp;"' AS TIPOLOGIA_TESTE,'"&amp;D78&amp;"' AS TABELA_LT,'N/A' AS TABELA_SIMUL,'"&amp;F78&amp;"' AS CAMPO, "&amp;"'${ref_date}' AS REF_DATE, CAST(MIN("&amp;F78&amp;") AS STRING) AS VALOR_MIN, CAST(MAX("&amp;F78&amp;") AS STRING) AS VALOR_MAX,'"&amp;MAX('ID1&amp;5'!K:K)+1&amp;"' AS ID_EXEC, CURRENT_TIMESTAMP() AS TIME_EXEC FROM "&amp;MID(I78,1,LEN(I78)-2)&amp;" AND CAST("&amp;F78&amp;"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TABELA_SIMUL,'dt_frbrnc_stts' AS CAMPO, '${ref_date}' AS REF_DATE, COUNT(*) AS NUM_REG, SUM(IF(COALESCE(CAST(X.dt_frbrnc_stts AS STRING),'')&lt;&gt;COALESCE(CAST(Y.dt_frbrnc_stts_SIMUL AS STRING),'') OR (X.dt_frbrnc_stts IS NULL AND Y.dt_frbrnc_stts_SIMUL IS NOT NULL ) OR (X.dt_frbrnc_stts IS NOT NULL AND Y.dt_frbrnc_stts_SIMUL IS NULL),1,0)) AS NUM_REG_DIF,'1' AS ID_EXEC, CURRENT_TIMESTAMP() AS TIME_EXEC FROM (SELECT instrmnt_id, dt_frbrnc_stts FROM BU_LOANTAPE_WORK.LT002_INSTRUMENT WHERE ref_date='${ref_date}' AND nome_perimetro='Individual Local' AND segmento='ESTR' AND ambito='SRB_MBDT' AND entidade='00100')X INNER JOIN (SELECT instrmnt_id AS instrmnt_id_SIMUL, dt_frbrnc_stts AS dt_frbrnc_stts_SIMUL FROM BU_LOANTAPE_WORK.SIMUL_LT002_INSTRUMENT WHERE ref_date='${ref_date}' AND nome_perimetro='Individual Local' AND segmento='ESTR' AND ambito='PILAR3' AND entidade='00100')Y ON X.INSTRMNT_ID=Y.INSTRMNT_ID_SIMUL</v>
      </c>
      <c r="M78" s="36" t="str">
        <f t="shared" si="4"/>
        <v>UNION ALL SELECT 'INSTRUMENT' AS TABELA, 'COERÊNCIA' AS TIPOLOGIA_TESTE,'BU_LOANTAPE_WORK.LT002_INSTRUMENT' AS TABELA_LT,'BU_LOANTAPE_WORK.SIMUL_LT002_INSTRUMENT' AS TABELA_SIMUL,'dt_frbrnc_stts' AS CAMPO, '${ref_date}' AS REF_DATE, COUNT(*) AS NUM_REG, SUM(IF(COALESCE(CAST(X.dt_frbrnc_stts AS STRING),'')&lt;&gt;COALESCE(CAST(Y.dt_frbrnc_stts_SIMUL AS STRING),'') OR (X.dt_frbrnc_stts IS NULL AND Y.dt_frbrnc_stts_SIMUL IS NOT NULL ) OR (X.dt_frbrnc_stts IS NOT NULL AND Y.dt_frbrnc_stts_SIMUL IS NULL),1,0)) AS NUM_REG_DIF,'1' AS ID_EXEC, CURRENT_TIMESTAMP() AS TIME_EXEC FROM (SELECT instrmnt_id, dt_frbrnc_stts FROM BU_LOANTAPE_WORK.LT002_INSTRUMENT WHERE ref_date='${ref_date}' AND nome_perimetro='Individual Local' AND segmento='ESTR' AND ambito='SRB_MBDT' AND entidade='00100')X INNER JOIN (SELECT instrmnt_id AS instrmnt_id_SIMUL, dt_frbrnc_stts AS dt_frbrnc_stts_SIMUL FROM BU_LOANTAPE_WORK.SIMUL_LT002_INSTRUMENT WHERE ref_date='${ref_date}' AND nome_perimetro='Individual Local' AND segmento='ESTR' AND ambito='PILAR3' AND entidade='00100')Y ON X.INSTRMNT_ID=Y.INSTRMNT_ID_SIMUL</v>
      </c>
      <c r="N78" s="38" t="s">
        <v>40</v>
      </c>
    </row>
    <row r="79" spans="2:14">
      <c r="B79" s="34" t="s">
        <v>117</v>
      </c>
      <c r="C79" s="34" t="s">
        <v>5</v>
      </c>
      <c r="D79" s="34" t="str">
        <f>+UPPER('0. Instruções'!$D$35&amp;"."&amp;VLOOKUP(B79,'0. Instruções'!$C$27:$D$32,2,FALSE))</f>
        <v>BU_LOANTAPE_WORK.LT002_INSTRUMENT</v>
      </c>
      <c r="E79" s="34" t="str">
        <f>+UPPER('0. Instruções'!$D$36&amp;"."&amp;VLOOKUP(B79,'0. Instruções'!$C$27:$E$32,3,FALSE))</f>
        <v>BU_LOANTAPE_WORK.SIMUL_LT002_INSTRUMENT</v>
      </c>
      <c r="F79" s="34" t="s">
        <v>1163</v>
      </c>
      <c r="G79" s="34"/>
      <c r="H79" s="34"/>
      <c r="I79" s="34" t="str">
        <f>"(SELECT "&amp;VLOOKUP(B79,'0. Instruções'!$C$27:$G$32,4,FALSE)&amp;", "&amp;F79&amp;" FROM "&amp;D79&amp;" WHERE "&amp;'0. Instruções'!$D$42&amp;")X"</f>
        <v>(SELECT instrmnt_id, dt_frbrnc_stts_prvs FROM BU_LOANTAPE_WORK.LT002_INSTRUMENT WHERE ref_date='${ref_date}' AND nome_perimetro='Individual Local' AND segmento='ESTR' AND ambito='SRB_MBDT' AND entidade='00100')X</v>
      </c>
      <c r="J79" s="34" t="str">
        <f>"(SELECT "&amp;VLOOKUP(B79,'0. Instruções'!$C$27:$G$32,4,FALSE)&amp;" AS "&amp;VLOOKUP(B79,'0. Instruções'!$C$27:$G$32,4,FALSE)&amp;"_SIMUL, "&amp;F79&amp;" AS "&amp;F79&amp;"_SIMUL FROM "&amp;E79&amp;" WHERE "&amp;'0. Instruções'!$D$43&amp;")Y"</f>
        <v>(SELECT instrmnt_id AS instrmnt_id_SIMUL, dt_frbrnc_stts_prvs AS dt_frbrnc_stts_prvs_SIMUL FROM BU_LOANTAPE_WORK.SIMUL_LT002_INSTRUMENT WHERE ref_date='${ref_date}' AND nome_perimetro='Individual Local' AND segmento='ESTR' AND ambito='PILAR3' AND entidade='00100')Y</v>
      </c>
      <c r="K79" s="35" t="str">
        <f>+UPPER("ON X."&amp;VLOOKUP(B79,'0. Instruções'!$C$27:$G$32,4,FALSE)&amp;"=Y."&amp;VLOOKUP(B79,'0. Instruções'!$C$27:$G$32,4,FALSE)&amp;"_SIMUL")</f>
        <v>ON X.INSTRMNT_ID=Y.INSTRMNT_ID_SIMUL</v>
      </c>
      <c r="L79" s="35" t="str">
        <f>+IF(C79="Coerência", +IF(LEFT(G79,5)="FLOAT","SELECT '"&amp;UPPER(B79)&amp;"' AS TABELA, '"&amp;UPPER(C79)&amp;"' AS TIPOLOGIA_TESTE,'"&amp;D79&amp;"' AS TABELA_LT,'"&amp;E79&amp;"' AS TABELA_SIMUL,'"&amp;F79&amp;"' AS CAMPO, "&amp;"'${ref_date}' AS REF_DATE, COUNT(*) AS NUM_REG, SUM(IF((ABS(COALESCE(CAST(X."&amp;F79&amp;" AS DECIMAL(18,6)),0)-COALESCE(CAST(Y."&amp;F79&amp;"_SIMUL AS DECIMAL(18,6)),0))&gt;0.000001) OR (X."&amp;F79&amp;" IS NULL AND Y."&amp;F79&amp;"_SIMUL IS NOT NULL ) OR (X."&amp;F79&amp;" IS NOT NULL AND Y."&amp;F79&amp;"_SIMUL IS NULL),1,0)) AS NUM_REG_DIF,'"&amp;MAX('ID1&amp;5'!K:K)+1&amp;"' AS ID_EXEC, CURRENT_TIMESTAMP() AS TIME_EXEC FROM "&amp;I79&amp;" INNER JOIN "&amp;J79&amp;" "&amp;K79,"SELECT '"&amp;UPPER(B79)&amp;"' AS TABELA, '"&amp;UPPER(C79)&amp;"' AS TIPOLOGIA_TESTE,'"&amp;D79&amp;"' AS TABELA_LT,'"&amp;E79&amp;"' AS TABELA_SIMUL,'"&amp;F79&amp;"' AS CAMPO, "&amp;"'${ref_date}' AS REF_DATE, COUNT(*) AS NUM_REG, SUM(IF(COALESCE(CAST(X."&amp;F79&amp;" AS STRING),'')&lt;&gt;COALESCE(CAST(Y."&amp;F79&amp;"_SIMUL AS STRING),'') OR (X."&amp;F79&amp;" IS NULL AND Y."&amp;F79&amp;"_SIMUL IS NOT NULL ) OR (X."&amp;F79&amp;" IS NOT NULL AND Y."&amp;F79&amp;"_SIMUL IS NULL),1,0)) AS NUM_REG_DIF,'"&amp;MAX('ID1&amp;5'!L:L)+1&amp;"' AS ID_EXEC, CURRENT_TIMESTAMP() AS TIME_EXEC FROM "&amp;I79&amp;" INNER JOIN "&amp;J79&amp;" "&amp;K79),
IF(C79="Validade",+IF(G79="Code List","SELECT '"&amp;UPPER(B79)&amp;"' AS TABELA, '"&amp;UPPER(C79)&amp;"' AS TIPOLOGIA_TESTE,'"&amp;D79&amp;"' AS TABELA_LT,'N/A' AS TABELA_SIMUL,'"&amp;F79&amp;"' AS CAMPO, "&amp;"'${ref_date}' AS REF_DATE, COUNT(*) AS NUM_REG, SUM(IF(TRIM(CAST(X."&amp;F79&amp;" AS STRING))='' OR TRIM(CAST(X."&amp;F79&amp;" AS STRING)) IS NULL OR CAST(X."&amp;F79&amp;" AS STRING) NOT "&amp;H79&amp;",1,0)) AS NUM_REG_DIF,'"&amp;MAX('ID1&amp;5'!K:K)+1&amp;"' AS ID_EXEC, CURRENT_TIMESTAMP() AS TIME_EXEC FROM "&amp;I79,"SELECT '"&amp;UPPER(B79)&amp;"' AS TABELA, '"&amp;UPPER(C79)&amp;"' AS TIPOLOGIA_TESTE,'"&amp;D79&amp;"' AS TABELA_LT,'N/A' AS TABELA_SIMUL,'"&amp;F79&amp;"' AS CAMPO, "&amp;"'${ref_date}' AS REF_DATE, COUNT(*) AS NUM_REG, SUM(IF(TRIM(CAST(X."&amp;F79&amp;" AS STRING))='' OR TRIM(CAST(X."&amp;F79&amp;" AS STRING)) IS NULL,1,0)) AS NUM_REG_DIF,'"&amp;MAX('ID1&amp;5'!K:K)+1&amp;"' AS ID_EXEC, CURRENT_TIMESTAMP() AS TIME_EXEC FROM "&amp;I79),
IF(C79="Caracteres Especiais",+"SELECT '"&amp;UPPER(B79)&amp;"' AS TABELA, '"&amp;UPPER(C79)&amp;"' AS TIPOLOGIA_TESTE,'"&amp;D79&amp;"' AS TABELA_LT,'N/A' AS TABELA_SIMUL,'"&amp;F79&amp;"' AS CAMPO, "&amp;"'${ref_date}' AS REF_DATE, COUNT(*) AS NUM_REG, SUM(IF(REGEXP_REPLACE(TRIM(CAST(X."&amp;F79&amp;" AS STRING)),'[^a-zA-Z0-9_\\s]','') &lt;&gt;TRIM(CAST(X."&amp;F79&amp;" AS STRING)),1,0)) AS NUM_REG_DIF,'"&amp;MAX('ID1&amp;5'!K:K)+1&amp;"' AS ID_EXEC, CURRENT_TIMESTAMP() AS TIME_EXEC FROM "&amp;I79,
IF(C79="Missings",+"SELECT '"&amp;UPPER(B79)&amp;"' AS TABELA, '"&amp;UPPER(C79)&amp;"' AS TIPOLOGIA_TESTE,'"&amp;D79&amp;"' AS TABELA_LT,'N/A' AS TABELA_SIMUL,'"&amp;F79&amp;"' AS CAMPO, "&amp;"'${ref_date}' AS REF_DATE, COUNT(*) AS NUM_REG, SUM(IF(TRIM(CAST(X."&amp;F79&amp;" AS STRING)) IN ('0000-00-00','0001-01-01','9999-12-31','MISS','00000','99999999999','99999999999.00','99999999999.000000'),1,0)) AS NUM_REG_DIF,'"&amp;MAX('ID1&amp;5'!K:K)+1&amp;"' AS ID_EXEC, CURRENT_TIMESTAMP() AS TIME_EXEC FROM "&amp;I79,
IF(C79="Not applicable",+"SELECT '"&amp;UPPER(B79)&amp;"' AS TABELA, '"&amp;UPPER(C79)&amp;"' AS TIPOLOGIA_TESTE,'"&amp;D79&amp;"' AS TABELA_LT,'N/A' AS TABELA_SIMUL,'"&amp;F79&amp;"' AS CAMPO, "&amp;"'${ref_date}' AS REF_DATE, COUNT(*) AS NUM_REG, SUM(IF(TRIM(CAST(X."&amp;F79&amp;" AS STRING)) IN ('N/A','11111111111','11111111111.00','11111111111.000000','1111-11-11'),1,0)) AS NUM_REG_DIF,'"&amp;MAX('ID1&amp;5'!K:K)+1&amp;"' AS ID_EXEC, CURRENT_TIMESTAMP() AS TIME_EXEC FROM "&amp;I79,
IF(C79="Valores extremos",+"SELECT '"&amp;UPPER(B79)&amp;"' AS TABELA, '"&amp;UPPER(C79)&amp;"' AS TIPOLOGIA_TESTE,'"&amp;D79&amp;"' AS TABELA_LT,'N/A' AS TABELA_SIMUL,'"&amp;F79&amp;"' AS CAMPO, "&amp;"'${ref_date}' AS REF_DATE, CAST(MIN("&amp;F79&amp;") AS STRING) AS VALOR_MIN, CAST(MAX("&amp;F79&amp;") AS STRING) AS VALOR_MAX,'"&amp;MAX('ID1&amp;5'!K:K)+1&amp;"' AS ID_EXEC, CURRENT_TIMESTAMP() AS TIME_EXEC FROM "&amp;MID(I79,1,LEN(I79)-2)&amp;" AND CAST("&amp;F79&amp;"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TABELA_SIMUL,'dt_frbrnc_stts_prvs' AS CAMPO, '${ref_date}' AS REF_DATE, COUNT(*) AS NUM_REG, SUM(IF(COALESCE(CAST(X.dt_frbrnc_stts_prvs AS STRING),'')&lt;&gt;COALESCE(CAST(Y.dt_frbrnc_stts_prvs_SIMUL AS STRING),'') OR (X.dt_frbrnc_stts_prvs IS NULL AND Y.dt_frbrnc_stts_prvs_SIMUL IS NOT NULL ) OR (X.dt_frbrnc_stts_prvs IS NOT NULL AND Y.dt_frbrnc_stts_prvs_SIMUL IS NULL),1,0)) AS NUM_REG_DIF,'1' AS ID_EXEC, CURRENT_TIMESTAMP() AS TIME_EXEC FROM (SELECT instrmnt_id, dt_frbrnc_stts_prvs FROM BU_LOANTAPE_WORK.LT002_INSTRUMENT WHERE ref_date='${ref_date}' AND nome_perimetro='Individual Local' AND segmento='ESTR' AND ambito='SRB_MBDT' AND entidade='00100')X INNER JOIN (SELECT instrmnt_id AS instrmnt_id_SIMUL, dt_frbrnc_stts_prvs AS dt_frbrnc_stts_prvs_SIMUL FROM BU_LOANTAPE_WORK.SIMUL_LT002_INSTRUMENT WHERE ref_date='${ref_date}' AND nome_perimetro='Individual Local' AND segmento='ESTR' AND ambito='PILAR3' AND entidade='00100')Y ON X.INSTRMNT_ID=Y.INSTRMNT_ID_SIMUL</v>
      </c>
      <c r="M79" s="36" t="str">
        <f t="shared" si="4"/>
        <v>UNION ALL SELECT 'INSTRUMENT' AS TABELA, 'COERÊNCIA' AS TIPOLOGIA_TESTE,'BU_LOANTAPE_WORK.LT002_INSTRUMENT' AS TABELA_LT,'BU_LOANTAPE_WORK.SIMUL_LT002_INSTRUMENT' AS TABELA_SIMUL,'dt_frbrnc_stts_prvs' AS CAMPO, '${ref_date}' AS REF_DATE, COUNT(*) AS NUM_REG, SUM(IF(COALESCE(CAST(X.dt_frbrnc_stts_prvs AS STRING),'')&lt;&gt;COALESCE(CAST(Y.dt_frbrnc_stts_prvs_SIMUL AS STRING),'') OR (X.dt_frbrnc_stts_prvs IS NULL AND Y.dt_frbrnc_stts_prvs_SIMUL IS NOT NULL ) OR (X.dt_frbrnc_stts_prvs IS NOT NULL AND Y.dt_frbrnc_stts_prvs_SIMUL IS NULL),1,0)) AS NUM_REG_DIF,'1' AS ID_EXEC, CURRENT_TIMESTAMP() AS TIME_EXEC FROM (SELECT instrmnt_id, dt_frbrnc_stts_prvs FROM BU_LOANTAPE_WORK.LT002_INSTRUMENT WHERE ref_date='${ref_date}' AND nome_perimetro='Individual Local' AND segmento='ESTR' AND ambito='SRB_MBDT' AND entidade='00100')X INNER JOIN (SELECT instrmnt_id AS instrmnt_id_SIMUL, dt_frbrnc_stts_prvs AS dt_frbrnc_stts_prvs_SIMUL FROM BU_LOANTAPE_WORK.SIMUL_LT002_INSTRUMENT WHERE ref_date='${ref_date}' AND nome_perimetro='Individual Local' AND segmento='ESTR' AND ambito='PILAR3' AND entidade='00100')Y ON X.INSTRMNT_ID=Y.INSTRMNT_ID_SIMUL</v>
      </c>
      <c r="N79" s="38" t="s">
        <v>40</v>
      </c>
    </row>
    <row r="80" spans="2:14">
      <c r="B80" s="34" t="s">
        <v>117</v>
      </c>
      <c r="C80" s="34" t="s">
        <v>5</v>
      </c>
      <c r="D80" s="34" t="str">
        <f>+UPPER('0. Instruções'!$D$35&amp;"."&amp;VLOOKUP(B80,'0. Instruções'!$C$27:$D$32,2,FALSE))</f>
        <v>BU_LOANTAPE_WORK.LT002_INSTRUMENT</v>
      </c>
      <c r="E80" s="34" t="str">
        <f>+UPPER('0. Instruções'!$D$36&amp;"."&amp;VLOOKUP(B80,'0. Instruções'!$C$27:$E$32,3,FALSE))</f>
        <v>BU_LOANTAPE_WORK.SIMUL_LT002_INSTRUMENT</v>
      </c>
      <c r="F80" s="34" t="s">
        <v>1164</v>
      </c>
      <c r="G80" s="34"/>
      <c r="H80" s="34"/>
      <c r="I80" s="34" t="str">
        <f>"(SELECT "&amp;VLOOKUP(B80,'0. Instruções'!$C$27:$G$32,4,FALSE)&amp;", "&amp;F80&amp;" FROM "&amp;D80&amp;" WHERE "&amp;'0. Instruções'!$D$42&amp;")X"</f>
        <v>(SELECT instrmnt_id, dt_intrnl_rtng FROM BU_LOANTAPE_WORK.LT002_INSTRUMENT WHERE ref_date='${ref_date}' AND nome_perimetro='Individual Local' AND segmento='ESTR' AND ambito='SRB_MBDT' AND entidade='00100')X</v>
      </c>
      <c r="J80" s="34" t="str">
        <f>"(SELECT "&amp;VLOOKUP(B80,'0. Instruções'!$C$27:$G$32,4,FALSE)&amp;" AS "&amp;VLOOKUP(B80,'0. Instruções'!$C$27:$G$32,4,FALSE)&amp;"_SIMUL, "&amp;F80&amp;" AS "&amp;F80&amp;"_SIMUL FROM "&amp;E80&amp;" WHERE "&amp;'0. Instruções'!$D$43&amp;")Y"</f>
        <v>(SELECT instrmnt_id AS instrmnt_id_SIMUL, dt_intrnl_rtng AS dt_intrnl_rtng_SIMUL FROM BU_LOANTAPE_WORK.SIMUL_LT002_INSTRUMENT WHERE ref_date='${ref_date}' AND nome_perimetro='Individual Local' AND segmento='ESTR' AND ambito='PILAR3' AND entidade='00100')Y</v>
      </c>
      <c r="K80" s="35" t="str">
        <f>+UPPER("ON X."&amp;VLOOKUP(B80,'0. Instruções'!$C$27:$G$32,4,FALSE)&amp;"=Y."&amp;VLOOKUP(B80,'0. Instruções'!$C$27:$G$32,4,FALSE)&amp;"_SIMUL")</f>
        <v>ON X.INSTRMNT_ID=Y.INSTRMNT_ID_SIMUL</v>
      </c>
      <c r="L80" s="35" t="str">
        <f>+IF(C80="Coerência", +IF(LEFT(G80,5)="FLOAT","SELECT '"&amp;UPPER(B80)&amp;"' AS TABELA, '"&amp;UPPER(C80)&amp;"' AS TIPOLOGIA_TESTE,'"&amp;D80&amp;"' AS TABELA_LT,'"&amp;E80&amp;"' AS TABELA_SIMUL,'"&amp;F80&amp;"' AS CAMPO, "&amp;"'${ref_date}' AS REF_DATE, COUNT(*) AS NUM_REG, SUM(IF((ABS(COALESCE(CAST(X."&amp;F80&amp;" AS DECIMAL(18,6)),0)-COALESCE(CAST(Y."&amp;F80&amp;"_SIMUL AS DECIMAL(18,6)),0))&gt;0.000001) OR (X."&amp;F80&amp;" IS NULL AND Y."&amp;F80&amp;"_SIMUL IS NOT NULL ) OR (X."&amp;F80&amp;" IS NOT NULL AND Y."&amp;F80&amp;"_SIMUL IS NULL),1,0)) AS NUM_REG_DIF,'"&amp;MAX('ID1&amp;5'!K:K)+1&amp;"' AS ID_EXEC, CURRENT_TIMESTAMP() AS TIME_EXEC FROM "&amp;I80&amp;" INNER JOIN "&amp;J80&amp;" "&amp;K80,"SELECT '"&amp;UPPER(B80)&amp;"' AS TABELA, '"&amp;UPPER(C80)&amp;"' AS TIPOLOGIA_TESTE,'"&amp;D80&amp;"' AS TABELA_LT,'"&amp;E80&amp;"' AS TABELA_SIMUL,'"&amp;F80&amp;"' AS CAMPO, "&amp;"'${ref_date}' AS REF_DATE, COUNT(*) AS NUM_REG, SUM(IF(COALESCE(CAST(X."&amp;F80&amp;" AS STRING),'')&lt;&gt;COALESCE(CAST(Y."&amp;F80&amp;"_SIMUL AS STRING),'') OR (X."&amp;F80&amp;" IS NULL AND Y."&amp;F80&amp;"_SIMUL IS NOT NULL ) OR (X."&amp;F80&amp;" IS NOT NULL AND Y."&amp;F80&amp;"_SIMUL IS NULL),1,0)) AS NUM_REG_DIF,'"&amp;MAX('ID1&amp;5'!L:L)+1&amp;"' AS ID_EXEC, CURRENT_TIMESTAMP() AS TIME_EXEC FROM "&amp;I80&amp;" INNER JOIN "&amp;J80&amp;" "&amp;K80),
IF(C80="Validade",+IF(G80="Code List","SELECT '"&amp;UPPER(B80)&amp;"' AS TABELA, '"&amp;UPPER(C80)&amp;"' AS TIPOLOGIA_TESTE,'"&amp;D80&amp;"' AS TABELA_LT,'N/A' AS TABELA_SIMUL,'"&amp;F80&amp;"' AS CAMPO, "&amp;"'${ref_date}' AS REF_DATE, COUNT(*) AS NUM_REG, SUM(IF(TRIM(CAST(X."&amp;F80&amp;" AS STRING))='' OR TRIM(CAST(X."&amp;F80&amp;" AS STRING)) IS NULL OR CAST(X."&amp;F80&amp;" AS STRING) NOT "&amp;H80&amp;",1,0)) AS NUM_REG_DIF,'"&amp;MAX('ID1&amp;5'!K:K)+1&amp;"' AS ID_EXEC, CURRENT_TIMESTAMP() AS TIME_EXEC FROM "&amp;I80,"SELECT '"&amp;UPPER(B80)&amp;"' AS TABELA, '"&amp;UPPER(C80)&amp;"' AS TIPOLOGIA_TESTE,'"&amp;D80&amp;"' AS TABELA_LT,'N/A' AS TABELA_SIMUL,'"&amp;F80&amp;"' AS CAMPO, "&amp;"'${ref_date}' AS REF_DATE, COUNT(*) AS NUM_REG, SUM(IF(TRIM(CAST(X."&amp;F80&amp;" AS STRING))='' OR TRIM(CAST(X."&amp;F80&amp;" AS STRING)) IS NULL,1,0)) AS NUM_REG_DIF,'"&amp;MAX('ID1&amp;5'!K:K)+1&amp;"' AS ID_EXEC, CURRENT_TIMESTAMP() AS TIME_EXEC FROM "&amp;I80),
IF(C80="Caracteres Especiais",+"SELECT '"&amp;UPPER(B80)&amp;"' AS TABELA, '"&amp;UPPER(C80)&amp;"' AS TIPOLOGIA_TESTE,'"&amp;D80&amp;"' AS TABELA_LT,'N/A' AS TABELA_SIMUL,'"&amp;F80&amp;"' AS CAMPO, "&amp;"'${ref_date}' AS REF_DATE, COUNT(*) AS NUM_REG, SUM(IF(REGEXP_REPLACE(TRIM(CAST(X."&amp;F80&amp;" AS STRING)),'[^a-zA-Z0-9_\\s]','') &lt;&gt;TRIM(CAST(X."&amp;F80&amp;" AS STRING)),1,0)) AS NUM_REG_DIF,'"&amp;MAX('ID1&amp;5'!K:K)+1&amp;"' AS ID_EXEC, CURRENT_TIMESTAMP() AS TIME_EXEC FROM "&amp;I80,
IF(C80="Missings",+"SELECT '"&amp;UPPER(B80)&amp;"' AS TABELA, '"&amp;UPPER(C80)&amp;"' AS TIPOLOGIA_TESTE,'"&amp;D80&amp;"' AS TABELA_LT,'N/A' AS TABELA_SIMUL,'"&amp;F80&amp;"' AS CAMPO, "&amp;"'${ref_date}' AS REF_DATE, COUNT(*) AS NUM_REG, SUM(IF(TRIM(CAST(X."&amp;F80&amp;" AS STRING)) IN ('0000-00-00','0001-01-01','9999-12-31','MISS','00000','99999999999','99999999999.00','99999999999.000000'),1,0)) AS NUM_REG_DIF,'"&amp;MAX('ID1&amp;5'!K:K)+1&amp;"' AS ID_EXEC, CURRENT_TIMESTAMP() AS TIME_EXEC FROM "&amp;I80,
IF(C80="Not applicable",+"SELECT '"&amp;UPPER(B80)&amp;"' AS TABELA, '"&amp;UPPER(C80)&amp;"' AS TIPOLOGIA_TESTE,'"&amp;D80&amp;"' AS TABELA_LT,'N/A' AS TABELA_SIMUL,'"&amp;F80&amp;"' AS CAMPO, "&amp;"'${ref_date}' AS REF_DATE, COUNT(*) AS NUM_REG, SUM(IF(TRIM(CAST(X."&amp;F80&amp;" AS STRING)) IN ('N/A','11111111111','11111111111.00','11111111111.000000','1111-11-11'),1,0)) AS NUM_REG_DIF,'"&amp;MAX('ID1&amp;5'!K:K)+1&amp;"' AS ID_EXEC, CURRENT_TIMESTAMP() AS TIME_EXEC FROM "&amp;I80,
IF(C80="Valores extremos",+"SELECT '"&amp;UPPER(B80)&amp;"' AS TABELA, '"&amp;UPPER(C80)&amp;"' AS TIPOLOGIA_TESTE,'"&amp;D80&amp;"' AS TABELA_LT,'N/A' AS TABELA_SIMUL,'"&amp;F80&amp;"' AS CAMPO, "&amp;"'${ref_date}' AS REF_DATE, CAST(MIN("&amp;F80&amp;") AS STRING) AS VALOR_MIN, CAST(MAX("&amp;F80&amp;") AS STRING) AS VALOR_MAX,'"&amp;MAX('ID1&amp;5'!K:K)+1&amp;"' AS ID_EXEC, CURRENT_TIMESTAMP() AS TIME_EXEC FROM "&amp;MID(I80,1,LEN(I80)-2)&amp;" AND CAST("&amp;F80&amp;"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TABELA_SIMUL,'dt_intrnl_rtng' AS CAMPO, '${ref_date}' AS REF_DATE, COUNT(*) AS NUM_REG, SUM(IF(COALESCE(CAST(X.dt_intrnl_rtng AS STRING),'')&lt;&gt;COALESCE(CAST(Y.dt_intrnl_rtng_SIMUL AS STRING),'') OR (X.dt_intrnl_rtng IS NULL AND Y.dt_intrnl_rtng_SIMUL IS NOT NULL ) OR (X.dt_intrnl_rtng IS NOT NULL AND Y.dt_intrnl_rtng_SIMUL IS NULL),1,0)) AS NUM_REG_DIF,'1' AS ID_EXEC, CURRENT_TIMESTAMP() AS TIME_EXEC FROM (SELECT instrmnt_id, dt_intrnl_rtng FROM BU_LOANTAPE_WORK.LT002_INSTRUMENT WHERE ref_date='${ref_date}' AND nome_perimetro='Individual Local' AND segmento='ESTR' AND ambito='SRB_MBDT' AND entidade='00100')X INNER JOIN (SELECT instrmnt_id AS instrmnt_id_SIMUL, dt_intrnl_rtng AS dt_intrnl_rtng_SIMUL FROM BU_LOANTAPE_WORK.SIMUL_LT002_INSTRUMENT WHERE ref_date='${ref_date}' AND nome_perimetro='Individual Local' AND segmento='ESTR' AND ambito='PILAR3' AND entidade='00100')Y ON X.INSTRMNT_ID=Y.INSTRMNT_ID_SIMUL</v>
      </c>
      <c r="M80" s="36" t="str">
        <f t="shared" si="4"/>
        <v>UNION ALL SELECT 'INSTRUMENT' AS TABELA, 'COERÊNCIA' AS TIPOLOGIA_TESTE,'BU_LOANTAPE_WORK.LT002_INSTRUMENT' AS TABELA_LT,'BU_LOANTAPE_WORK.SIMUL_LT002_INSTRUMENT' AS TABELA_SIMUL,'dt_intrnl_rtng' AS CAMPO, '${ref_date}' AS REF_DATE, COUNT(*) AS NUM_REG, SUM(IF(COALESCE(CAST(X.dt_intrnl_rtng AS STRING),'')&lt;&gt;COALESCE(CAST(Y.dt_intrnl_rtng_SIMUL AS STRING),'') OR (X.dt_intrnl_rtng IS NULL AND Y.dt_intrnl_rtng_SIMUL IS NOT NULL ) OR (X.dt_intrnl_rtng IS NOT NULL AND Y.dt_intrnl_rtng_SIMUL IS NULL),1,0)) AS NUM_REG_DIF,'1' AS ID_EXEC, CURRENT_TIMESTAMP() AS TIME_EXEC FROM (SELECT instrmnt_id, dt_intrnl_rtng FROM BU_LOANTAPE_WORK.LT002_INSTRUMENT WHERE ref_date='${ref_date}' AND nome_perimetro='Individual Local' AND segmento='ESTR' AND ambito='SRB_MBDT' AND entidade='00100')X INNER JOIN (SELECT instrmnt_id AS instrmnt_id_SIMUL, dt_intrnl_rtng AS dt_intrnl_rtng_SIMUL FROM BU_LOANTAPE_WORK.SIMUL_LT002_INSTRUMENT WHERE ref_date='${ref_date}' AND nome_perimetro='Individual Local' AND segmento='ESTR' AND ambito='PILAR3' AND entidade='00100')Y ON X.INSTRMNT_ID=Y.INSTRMNT_ID_SIMUL</v>
      </c>
      <c r="N80" s="38" t="s">
        <v>40</v>
      </c>
    </row>
    <row r="81" spans="2:14">
      <c r="B81" s="34" t="s">
        <v>117</v>
      </c>
      <c r="C81" s="34" t="s">
        <v>5</v>
      </c>
      <c r="D81" s="34" t="str">
        <f>+UPPER('0. Instruções'!$D$35&amp;"."&amp;VLOOKUP(B81,'0. Instruções'!$C$27:$D$32,2,FALSE))</f>
        <v>BU_LOANTAPE_WORK.LT002_INSTRUMENT</v>
      </c>
      <c r="E81" s="34" t="str">
        <f>+UPPER('0. Instruções'!$D$36&amp;"."&amp;VLOOKUP(B81,'0. Instruções'!$C$27:$E$32,3,FALSE))</f>
        <v>BU_LOANTAPE_WORK.SIMUL_LT002_INSTRUMENT</v>
      </c>
      <c r="F81" s="34" t="s">
        <v>300</v>
      </c>
      <c r="G81" s="34"/>
      <c r="H81" s="34"/>
      <c r="I81" s="34" t="str">
        <f>"(SELECT "&amp;VLOOKUP(B81,'0. Instruções'!$C$27:$G$32,4,FALSE)&amp;", "&amp;F81&amp;" FROM "&amp;D81&amp;" WHERE "&amp;'0. Instruções'!$D$42&amp;")X"</f>
        <v>(SELECT instrmnt_id, dt_prfrmng_stts FROM BU_LOANTAPE_WORK.LT002_INSTRUMENT WHERE ref_date='${ref_date}' AND nome_perimetro='Individual Local' AND segmento='ESTR' AND ambito='SRB_MBDT' AND entidade='00100')X</v>
      </c>
      <c r="J81" s="34" t="str">
        <f>"(SELECT "&amp;VLOOKUP(B81,'0. Instruções'!$C$27:$G$32,4,FALSE)&amp;" AS "&amp;VLOOKUP(B81,'0. Instruções'!$C$27:$G$32,4,FALSE)&amp;"_SIMUL, "&amp;F81&amp;" AS "&amp;F81&amp;"_SIMUL FROM "&amp;E81&amp;" WHERE "&amp;'0. Instruções'!$D$43&amp;")Y"</f>
        <v>(SELECT instrmnt_id AS instrmnt_id_SIMUL, dt_prfrmng_stts AS dt_prfrmng_stts_SIMUL FROM BU_LOANTAPE_WORK.SIMUL_LT002_INSTRUMENT WHERE ref_date='${ref_date}' AND nome_perimetro='Individual Local' AND segmento='ESTR' AND ambito='PILAR3' AND entidade='00100')Y</v>
      </c>
      <c r="K81" s="35" t="str">
        <f>+UPPER("ON X."&amp;VLOOKUP(B81,'0. Instruções'!$C$27:$G$32,4,FALSE)&amp;"=Y."&amp;VLOOKUP(B81,'0. Instruções'!$C$27:$G$32,4,FALSE)&amp;"_SIMUL")</f>
        <v>ON X.INSTRMNT_ID=Y.INSTRMNT_ID_SIMUL</v>
      </c>
      <c r="L81" s="35" t="str">
        <f>+IF(C81="Coerência", +IF(LEFT(G81,5)="FLOAT","SELECT '"&amp;UPPER(B81)&amp;"' AS TABELA, '"&amp;UPPER(C81)&amp;"' AS TIPOLOGIA_TESTE,'"&amp;D81&amp;"' AS TABELA_LT,'"&amp;E81&amp;"' AS TABELA_SIMUL,'"&amp;F81&amp;"' AS CAMPO, "&amp;"'${ref_date}' AS REF_DATE, COUNT(*) AS NUM_REG, SUM(IF((ABS(COALESCE(CAST(X."&amp;F81&amp;" AS DECIMAL(18,6)),0)-COALESCE(CAST(Y."&amp;F81&amp;"_SIMUL AS DECIMAL(18,6)),0))&gt;0.000001) OR (X."&amp;F81&amp;" IS NULL AND Y."&amp;F81&amp;"_SIMUL IS NOT NULL ) OR (X."&amp;F81&amp;" IS NOT NULL AND Y."&amp;F81&amp;"_SIMUL IS NULL),1,0)) AS NUM_REG_DIF,'"&amp;MAX('ID1&amp;5'!K:K)+1&amp;"' AS ID_EXEC, CURRENT_TIMESTAMP() AS TIME_EXEC FROM "&amp;I81&amp;" INNER JOIN "&amp;J81&amp;" "&amp;K81,"SELECT '"&amp;UPPER(B81)&amp;"' AS TABELA, '"&amp;UPPER(C81)&amp;"' AS TIPOLOGIA_TESTE,'"&amp;D81&amp;"' AS TABELA_LT,'"&amp;E81&amp;"' AS TABELA_SIMUL,'"&amp;F81&amp;"' AS CAMPO, "&amp;"'${ref_date}' AS REF_DATE, COUNT(*) AS NUM_REG, SUM(IF(COALESCE(CAST(X."&amp;F81&amp;" AS STRING),'')&lt;&gt;COALESCE(CAST(Y."&amp;F81&amp;"_SIMUL AS STRING),'') OR (X."&amp;F81&amp;" IS NULL AND Y."&amp;F81&amp;"_SIMUL IS NOT NULL ) OR (X."&amp;F81&amp;" IS NOT NULL AND Y."&amp;F81&amp;"_SIMUL IS NULL),1,0)) AS NUM_REG_DIF,'"&amp;MAX('ID1&amp;5'!L:L)+1&amp;"' AS ID_EXEC, CURRENT_TIMESTAMP() AS TIME_EXEC FROM "&amp;I81&amp;" INNER JOIN "&amp;J81&amp;" "&amp;K81),
IF(C81="Validade",+IF(G81="Code List","SELECT '"&amp;UPPER(B81)&amp;"' AS TABELA, '"&amp;UPPER(C81)&amp;"' AS TIPOLOGIA_TESTE,'"&amp;D81&amp;"' AS TABELA_LT,'N/A' AS TABELA_SIMUL,'"&amp;F81&amp;"' AS CAMPO, "&amp;"'${ref_date}' AS REF_DATE, COUNT(*) AS NUM_REG, SUM(IF(TRIM(CAST(X."&amp;F81&amp;" AS STRING))='' OR TRIM(CAST(X."&amp;F81&amp;" AS STRING)) IS NULL OR CAST(X."&amp;F81&amp;" AS STRING) NOT "&amp;H81&amp;",1,0)) AS NUM_REG_DIF,'"&amp;MAX('ID1&amp;5'!K:K)+1&amp;"' AS ID_EXEC, CURRENT_TIMESTAMP() AS TIME_EXEC FROM "&amp;I81,"SELECT '"&amp;UPPER(B81)&amp;"' AS TABELA, '"&amp;UPPER(C81)&amp;"' AS TIPOLOGIA_TESTE,'"&amp;D81&amp;"' AS TABELA_LT,'N/A' AS TABELA_SIMUL,'"&amp;F81&amp;"' AS CAMPO, "&amp;"'${ref_date}' AS REF_DATE, COUNT(*) AS NUM_REG, SUM(IF(TRIM(CAST(X."&amp;F81&amp;" AS STRING))='' OR TRIM(CAST(X."&amp;F81&amp;" AS STRING)) IS NULL,1,0)) AS NUM_REG_DIF,'"&amp;MAX('ID1&amp;5'!K:K)+1&amp;"' AS ID_EXEC, CURRENT_TIMESTAMP() AS TIME_EXEC FROM "&amp;I81),
IF(C81="Caracteres Especiais",+"SELECT '"&amp;UPPER(B81)&amp;"' AS TABELA, '"&amp;UPPER(C81)&amp;"' AS TIPOLOGIA_TESTE,'"&amp;D81&amp;"' AS TABELA_LT,'N/A' AS TABELA_SIMUL,'"&amp;F81&amp;"' AS CAMPO, "&amp;"'${ref_date}' AS REF_DATE, COUNT(*) AS NUM_REG, SUM(IF(REGEXP_REPLACE(TRIM(CAST(X."&amp;F81&amp;" AS STRING)),'[^a-zA-Z0-9_\\s]','') &lt;&gt;TRIM(CAST(X."&amp;F81&amp;" AS STRING)),1,0)) AS NUM_REG_DIF,'"&amp;MAX('ID1&amp;5'!K:K)+1&amp;"' AS ID_EXEC, CURRENT_TIMESTAMP() AS TIME_EXEC FROM "&amp;I81,
IF(C81="Missings",+"SELECT '"&amp;UPPER(B81)&amp;"' AS TABELA, '"&amp;UPPER(C81)&amp;"' AS TIPOLOGIA_TESTE,'"&amp;D81&amp;"' AS TABELA_LT,'N/A' AS TABELA_SIMUL,'"&amp;F81&amp;"' AS CAMPO, "&amp;"'${ref_date}' AS REF_DATE, COUNT(*) AS NUM_REG, SUM(IF(TRIM(CAST(X."&amp;F81&amp;" AS STRING)) IN ('0000-00-00','0001-01-01','9999-12-31','MISS','00000','99999999999','99999999999.00','99999999999.000000'),1,0)) AS NUM_REG_DIF,'"&amp;MAX('ID1&amp;5'!K:K)+1&amp;"' AS ID_EXEC, CURRENT_TIMESTAMP() AS TIME_EXEC FROM "&amp;I81,
IF(C81="Not applicable",+"SELECT '"&amp;UPPER(B81)&amp;"' AS TABELA, '"&amp;UPPER(C81)&amp;"' AS TIPOLOGIA_TESTE,'"&amp;D81&amp;"' AS TABELA_LT,'N/A' AS TABELA_SIMUL,'"&amp;F81&amp;"' AS CAMPO, "&amp;"'${ref_date}' AS REF_DATE, COUNT(*) AS NUM_REG, SUM(IF(TRIM(CAST(X."&amp;F81&amp;" AS STRING)) IN ('N/A','11111111111','11111111111.00','11111111111.000000','1111-11-11'),1,0)) AS NUM_REG_DIF,'"&amp;MAX('ID1&amp;5'!K:K)+1&amp;"' AS ID_EXEC, CURRENT_TIMESTAMP() AS TIME_EXEC FROM "&amp;I81,
IF(C81="Valores extremos",+"SELECT '"&amp;UPPER(B81)&amp;"' AS TABELA, '"&amp;UPPER(C81)&amp;"' AS TIPOLOGIA_TESTE,'"&amp;D81&amp;"' AS TABELA_LT,'N/A' AS TABELA_SIMUL,'"&amp;F81&amp;"' AS CAMPO, "&amp;"'${ref_date}' AS REF_DATE, CAST(MIN("&amp;F81&amp;") AS STRING) AS VALOR_MIN, CAST(MAX("&amp;F81&amp;") AS STRING) AS VALOR_MAX,'"&amp;MAX('ID1&amp;5'!K:K)+1&amp;"' AS ID_EXEC, CURRENT_TIMESTAMP() AS TIME_EXEC FROM "&amp;MID(I81,1,LEN(I81)-2)&amp;" AND CAST("&amp;F81&amp;"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TABELA_SIMUL,'dt_prfrmng_stts' AS CAMPO, '${ref_date}' AS REF_DATE, COUNT(*) AS NUM_REG, SUM(IF(COALESCE(CAST(X.dt_prfrmng_stts AS STRING),'')&lt;&gt;COALESCE(CAST(Y.dt_prfrmng_stts_SIMUL AS STRING),'') OR (X.dt_prfrmng_stts IS NULL AND Y.dt_prfrmng_stts_SIMUL IS NOT NULL ) OR (X.dt_prfrmng_stts IS NOT NULL AND Y.dt_prfrmng_stts_SIMUL IS NULL),1,0)) AS NUM_REG_DIF,'1' AS ID_EXEC, CURRENT_TIMESTAMP() AS TIME_EXEC FROM (SELECT instrmnt_id, dt_prfrmng_stts FROM BU_LOANTAPE_WORK.LT002_INSTRUMENT WHERE ref_date='${ref_date}' AND nome_perimetro='Individual Local' AND segmento='ESTR' AND ambito='SRB_MBDT' AND entidade='00100')X INNER JOIN (SELECT instrmnt_id AS instrmnt_id_SIMUL, dt_prfrmng_stts AS dt_prfrmng_stts_SIMUL FROM BU_LOANTAPE_WORK.SIMUL_LT002_INSTRUMENT WHERE ref_date='${ref_date}' AND nome_perimetro='Individual Local' AND segmento='ESTR' AND ambito='PILAR3' AND entidade='00100')Y ON X.INSTRMNT_ID=Y.INSTRMNT_ID_SIMUL</v>
      </c>
      <c r="M81" s="36" t="str">
        <f t="shared" si="4"/>
        <v>UNION ALL SELECT 'INSTRUMENT' AS TABELA, 'COERÊNCIA' AS TIPOLOGIA_TESTE,'BU_LOANTAPE_WORK.LT002_INSTRUMENT' AS TABELA_LT,'BU_LOANTAPE_WORK.SIMUL_LT002_INSTRUMENT' AS TABELA_SIMUL,'dt_prfrmng_stts' AS CAMPO, '${ref_date}' AS REF_DATE, COUNT(*) AS NUM_REG, SUM(IF(COALESCE(CAST(X.dt_prfrmng_stts AS STRING),'')&lt;&gt;COALESCE(CAST(Y.dt_prfrmng_stts_SIMUL AS STRING),'') OR (X.dt_prfrmng_stts IS NULL AND Y.dt_prfrmng_stts_SIMUL IS NOT NULL ) OR (X.dt_prfrmng_stts IS NOT NULL AND Y.dt_prfrmng_stts_SIMUL IS NULL),1,0)) AS NUM_REG_DIF,'1' AS ID_EXEC, CURRENT_TIMESTAMP() AS TIME_EXEC FROM (SELECT instrmnt_id, dt_prfrmng_stts FROM BU_LOANTAPE_WORK.LT002_INSTRUMENT WHERE ref_date='${ref_date}' AND nome_perimetro='Individual Local' AND segmento='ESTR' AND ambito='SRB_MBDT' AND entidade='00100')X INNER JOIN (SELECT instrmnt_id AS instrmnt_id_SIMUL, dt_prfrmng_stts AS dt_prfrmng_stts_SIMUL FROM BU_LOANTAPE_WORK.SIMUL_LT002_INSTRUMENT WHERE ref_date='${ref_date}' AND nome_perimetro='Individual Local' AND segmento='ESTR' AND ambito='PILAR3' AND entidade='00100')Y ON X.INSTRMNT_ID=Y.INSTRMNT_ID_SIMUL</v>
      </c>
      <c r="N81" s="38" t="s">
        <v>40</v>
      </c>
    </row>
    <row r="82" spans="2:14">
      <c r="B82" s="34" t="s">
        <v>117</v>
      </c>
      <c r="C82" s="34" t="s">
        <v>5</v>
      </c>
      <c r="D82" s="34" t="str">
        <f>+UPPER('0. Instruções'!$D$35&amp;"."&amp;VLOOKUP(B82,'0. Instruções'!$C$27:$D$32,2,FALSE))</f>
        <v>BU_LOANTAPE_WORK.LT002_INSTRUMENT</v>
      </c>
      <c r="E82" s="34" t="str">
        <f>+UPPER('0. Instruções'!$D$36&amp;"."&amp;VLOOKUP(B82,'0. Instruções'!$C$27:$E$32,3,FALSE))</f>
        <v>BU_LOANTAPE_WORK.SIMUL_LT002_INSTRUMENT</v>
      </c>
      <c r="F82" s="34" t="s">
        <v>301</v>
      </c>
      <c r="G82" s="34"/>
      <c r="H82" s="34"/>
      <c r="I82" s="34" t="str">
        <f>"(SELECT "&amp;VLOOKUP(B82,'0. Instruções'!$C$27:$G$32,4,FALSE)&amp;", "&amp;F82&amp;" FROM "&amp;D82&amp;" WHERE "&amp;'0. Instruções'!$D$42&amp;")X"</f>
        <v>(SELECT instrmnt_id, dt_prfrmng_stts_prvs FROM BU_LOANTAPE_WORK.LT002_INSTRUMENT WHERE ref_date='${ref_date}' AND nome_perimetro='Individual Local' AND segmento='ESTR' AND ambito='SRB_MBDT' AND entidade='00100')X</v>
      </c>
      <c r="J82" s="34" t="str">
        <f>"(SELECT "&amp;VLOOKUP(B82,'0. Instruções'!$C$27:$G$32,4,FALSE)&amp;" AS "&amp;VLOOKUP(B82,'0. Instruções'!$C$27:$G$32,4,FALSE)&amp;"_SIMUL, "&amp;F82&amp;" AS "&amp;F82&amp;"_SIMUL FROM "&amp;E82&amp;" WHERE "&amp;'0. Instruções'!$D$43&amp;")Y"</f>
        <v>(SELECT instrmnt_id AS instrmnt_id_SIMUL, dt_prfrmng_stts_prvs AS dt_prfrmng_stts_prvs_SIMUL FROM BU_LOANTAPE_WORK.SIMUL_LT002_INSTRUMENT WHERE ref_date='${ref_date}' AND nome_perimetro='Individual Local' AND segmento='ESTR' AND ambito='PILAR3' AND entidade='00100')Y</v>
      </c>
      <c r="K82" s="35" t="str">
        <f>+UPPER("ON X."&amp;VLOOKUP(B82,'0. Instruções'!$C$27:$G$32,4,FALSE)&amp;"=Y."&amp;VLOOKUP(B82,'0. Instruções'!$C$27:$G$32,4,FALSE)&amp;"_SIMUL")</f>
        <v>ON X.INSTRMNT_ID=Y.INSTRMNT_ID_SIMUL</v>
      </c>
      <c r="L82" s="35" t="str">
        <f>+IF(C82="Coerência", +IF(LEFT(G82,5)="FLOAT","SELECT '"&amp;UPPER(B82)&amp;"' AS TABELA, '"&amp;UPPER(C82)&amp;"' AS TIPOLOGIA_TESTE,'"&amp;D82&amp;"' AS TABELA_LT,'"&amp;E82&amp;"' AS TABELA_SIMUL,'"&amp;F82&amp;"' AS CAMPO, "&amp;"'${ref_date}' AS REF_DATE, COUNT(*) AS NUM_REG, SUM(IF((ABS(COALESCE(CAST(X."&amp;F82&amp;" AS DECIMAL(18,6)),0)-COALESCE(CAST(Y."&amp;F82&amp;"_SIMUL AS DECIMAL(18,6)),0))&gt;0.000001) OR (X."&amp;F82&amp;" IS NULL AND Y."&amp;F82&amp;"_SIMUL IS NOT NULL ) OR (X."&amp;F82&amp;" IS NOT NULL AND Y."&amp;F82&amp;"_SIMUL IS NULL),1,0)) AS NUM_REG_DIF,'"&amp;MAX('ID1&amp;5'!K:K)+1&amp;"' AS ID_EXEC, CURRENT_TIMESTAMP() AS TIME_EXEC FROM "&amp;I82&amp;" INNER JOIN "&amp;J82&amp;" "&amp;K82,"SELECT '"&amp;UPPER(B82)&amp;"' AS TABELA, '"&amp;UPPER(C82)&amp;"' AS TIPOLOGIA_TESTE,'"&amp;D82&amp;"' AS TABELA_LT,'"&amp;E82&amp;"' AS TABELA_SIMUL,'"&amp;F82&amp;"' AS CAMPO, "&amp;"'${ref_date}' AS REF_DATE, COUNT(*) AS NUM_REG, SUM(IF(COALESCE(CAST(X."&amp;F82&amp;" AS STRING),'')&lt;&gt;COALESCE(CAST(Y."&amp;F82&amp;"_SIMUL AS STRING),'') OR (X."&amp;F82&amp;" IS NULL AND Y."&amp;F82&amp;"_SIMUL IS NOT NULL ) OR (X."&amp;F82&amp;" IS NOT NULL AND Y."&amp;F82&amp;"_SIMUL IS NULL),1,0)) AS NUM_REG_DIF,'"&amp;MAX('ID1&amp;5'!L:L)+1&amp;"' AS ID_EXEC, CURRENT_TIMESTAMP() AS TIME_EXEC FROM "&amp;I82&amp;" INNER JOIN "&amp;J82&amp;" "&amp;K82),
IF(C82="Validade",+IF(G82="Code List","SELECT '"&amp;UPPER(B82)&amp;"' AS TABELA, '"&amp;UPPER(C82)&amp;"' AS TIPOLOGIA_TESTE,'"&amp;D82&amp;"' AS TABELA_LT,'N/A' AS TABELA_SIMUL,'"&amp;F82&amp;"' AS CAMPO, "&amp;"'${ref_date}' AS REF_DATE, COUNT(*) AS NUM_REG, SUM(IF(TRIM(CAST(X."&amp;F82&amp;" AS STRING))='' OR TRIM(CAST(X."&amp;F82&amp;" AS STRING)) IS NULL OR CAST(X."&amp;F82&amp;" AS STRING) NOT "&amp;H82&amp;",1,0)) AS NUM_REG_DIF,'"&amp;MAX('ID1&amp;5'!K:K)+1&amp;"' AS ID_EXEC, CURRENT_TIMESTAMP() AS TIME_EXEC FROM "&amp;I82,"SELECT '"&amp;UPPER(B82)&amp;"' AS TABELA, '"&amp;UPPER(C82)&amp;"' AS TIPOLOGIA_TESTE,'"&amp;D82&amp;"' AS TABELA_LT,'N/A' AS TABELA_SIMUL,'"&amp;F82&amp;"' AS CAMPO, "&amp;"'${ref_date}' AS REF_DATE, COUNT(*) AS NUM_REG, SUM(IF(TRIM(CAST(X."&amp;F82&amp;" AS STRING))='' OR TRIM(CAST(X."&amp;F82&amp;" AS STRING)) IS NULL,1,0)) AS NUM_REG_DIF,'"&amp;MAX('ID1&amp;5'!K:K)+1&amp;"' AS ID_EXEC, CURRENT_TIMESTAMP() AS TIME_EXEC FROM "&amp;I82),
IF(C82="Caracteres Especiais",+"SELECT '"&amp;UPPER(B82)&amp;"' AS TABELA, '"&amp;UPPER(C82)&amp;"' AS TIPOLOGIA_TESTE,'"&amp;D82&amp;"' AS TABELA_LT,'N/A' AS TABELA_SIMUL,'"&amp;F82&amp;"' AS CAMPO, "&amp;"'${ref_date}' AS REF_DATE, COUNT(*) AS NUM_REG, SUM(IF(REGEXP_REPLACE(TRIM(CAST(X."&amp;F82&amp;" AS STRING)),'[^a-zA-Z0-9_\\s]','') &lt;&gt;TRIM(CAST(X."&amp;F82&amp;" AS STRING)),1,0)) AS NUM_REG_DIF,'"&amp;MAX('ID1&amp;5'!K:K)+1&amp;"' AS ID_EXEC, CURRENT_TIMESTAMP() AS TIME_EXEC FROM "&amp;I82,
IF(C82="Missings",+"SELECT '"&amp;UPPER(B82)&amp;"' AS TABELA, '"&amp;UPPER(C82)&amp;"' AS TIPOLOGIA_TESTE,'"&amp;D82&amp;"' AS TABELA_LT,'N/A' AS TABELA_SIMUL,'"&amp;F82&amp;"' AS CAMPO, "&amp;"'${ref_date}' AS REF_DATE, COUNT(*) AS NUM_REG, SUM(IF(TRIM(CAST(X."&amp;F82&amp;" AS STRING)) IN ('0000-00-00','0001-01-01','9999-12-31','MISS','00000','99999999999','99999999999.00','99999999999.000000'),1,0)) AS NUM_REG_DIF,'"&amp;MAX('ID1&amp;5'!K:K)+1&amp;"' AS ID_EXEC, CURRENT_TIMESTAMP() AS TIME_EXEC FROM "&amp;I82,
IF(C82="Not applicable",+"SELECT '"&amp;UPPER(B82)&amp;"' AS TABELA, '"&amp;UPPER(C82)&amp;"' AS TIPOLOGIA_TESTE,'"&amp;D82&amp;"' AS TABELA_LT,'N/A' AS TABELA_SIMUL,'"&amp;F82&amp;"' AS CAMPO, "&amp;"'${ref_date}' AS REF_DATE, COUNT(*) AS NUM_REG, SUM(IF(TRIM(CAST(X."&amp;F82&amp;" AS STRING)) IN ('N/A','11111111111','11111111111.00','11111111111.000000','1111-11-11'),1,0)) AS NUM_REG_DIF,'"&amp;MAX('ID1&amp;5'!K:K)+1&amp;"' AS ID_EXEC, CURRENT_TIMESTAMP() AS TIME_EXEC FROM "&amp;I82,
IF(C82="Valores extremos",+"SELECT '"&amp;UPPER(B82)&amp;"' AS TABELA, '"&amp;UPPER(C82)&amp;"' AS TIPOLOGIA_TESTE,'"&amp;D82&amp;"' AS TABELA_LT,'N/A' AS TABELA_SIMUL,'"&amp;F82&amp;"' AS CAMPO, "&amp;"'${ref_date}' AS REF_DATE, CAST(MIN("&amp;F82&amp;") AS STRING) AS VALOR_MIN, CAST(MAX("&amp;F82&amp;") AS STRING) AS VALOR_MAX,'"&amp;MAX('ID1&amp;5'!K:K)+1&amp;"' AS ID_EXEC, CURRENT_TIMESTAMP() AS TIME_EXEC FROM "&amp;MID(I82,1,LEN(I82)-2)&amp;" AND CAST("&amp;F82&amp;"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TABELA_SIMUL,'dt_prfrmng_stts_prvs' AS CAMPO, '${ref_date}' AS REF_DATE, COUNT(*) AS NUM_REG, SUM(IF(COALESCE(CAST(X.dt_prfrmng_stts_prvs AS STRING),'')&lt;&gt;COALESCE(CAST(Y.dt_prfrmng_stts_prvs_SIMUL AS STRING),'') OR (X.dt_prfrmng_stts_prvs IS NULL AND Y.dt_prfrmng_stts_prvs_SIMUL IS NOT NULL ) OR (X.dt_prfrmng_stts_prvs IS NOT NULL AND Y.dt_prfrmng_stts_prvs_SIMUL IS NULL),1,0)) AS NUM_REG_DIF,'1' AS ID_EXEC, CURRENT_TIMESTAMP() AS TIME_EXEC FROM (SELECT instrmnt_id, dt_prfrmng_stts_prvs FROM BU_LOANTAPE_WORK.LT002_INSTRUMENT WHERE ref_date='${ref_date}' AND nome_perimetro='Individual Local' AND segmento='ESTR' AND ambito='SRB_MBDT' AND entidade='00100')X INNER JOIN (SELECT instrmnt_id AS instrmnt_id_SIMUL, dt_prfrmng_stts_prvs AS dt_prfrmng_stts_prvs_SIMUL FROM BU_LOANTAPE_WORK.SIMUL_LT002_INSTRUMENT WHERE ref_date='${ref_date}' AND nome_perimetro='Individual Local' AND segmento='ESTR' AND ambito='PILAR3' AND entidade='00100')Y ON X.INSTRMNT_ID=Y.INSTRMNT_ID_SIMUL</v>
      </c>
      <c r="M82" s="36" t="str">
        <f t="shared" si="4"/>
        <v>UNION ALL SELECT 'INSTRUMENT' AS TABELA, 'COERÊNCIA' AS TIPOLOGIA_TESTE,'BU_LOANTAPE_WORK.LT002_INSTRUMENT' AS TABELA_LT,'BU_LOANTAPE_WORK.SIMUL_LT002_INSTRUMENT' AS TABELA_SIMUL,'dt_prfrmng_stts_prvs' AS CAMPO, '${ref_date}' AS REF_DATE, COUNT(*) AS NUM_REG, SUM(IF(COALESCE(CAST(X.dt_prfrmng_stts_prvs AS STRING),'')&lt;&gt;COALESCE(CAST(Y.dt_prfrmng_stts_prvs_SIMUL AS STRING),'') OR (X.dt_prfrmng_stts_prvs IS NULL AND Y.dt_prfrmng_stts_prvs_SIMUL IS NOT NULL ) OR (X.dt_prfrmng_stts_prvs IS NOT NULL AND Y.dt_prfrmng_stts_prvs_SIMUL IS NULL),1,0)) AS NUM_REG_DIF,'1' AS ID_EXEC, CURRENT_TIMESTAMP() AS TIME_EXEC FROM (SELECT instrmnt_id, dt_prfrmng_stts_prvs FROM BU_LOANTAPE_WORK.LT002_INSTRUMENT WHERE ref_date='${ref_date}' AND nome_perimetro='Individual Local' AND segmento='ESTR' AND ambito='SRB_MBDT' AND entidade='00100')X INNER JOIN (SELECT instrmnt_id AS instrmnt_id_SIMUL, dt_prfrmng_stts_prvs AS dt_prfrmng_stts_prvs_SIMUL FROM BU_LOANTAPE_WORK.SIMUL_LT002_INSTRUMENT WHERE ref_date='${ref_date}' AND nome_perimetro='Individual Local' AND segmento='ESTR' AND ambito='PILAR3' AND entidade='00100')Y ON X.INSTRMNT_ID=Y.INSTRMNT_ID_SIMUL</v>
      </c>
      <c r="N82" s="38" t="s">
        <v>40</v>
      </c>
    </row>
    <row r="83" spans="2:14">
      <c r="B83" s="34" t="s">
        <v>117</v>
      </c>
      <c r="C83" s="34" t="s">
        <v>5</v>
      </c>
      <c r="D83" s="34" t="str">
        <f>+UPPER('0. Instruções'!$D$35&amp;"."&amp;VLOOKUP(B83,'0. Instruções'!$C$27:$D$32,2,FALSE))</f>
        <v>BU_LOANTAPE_WORK.LT002_INSTRUMENT</v>
      </c>
      <c r="E83" s="34" t="str">
        <f>+UPPER('0. Instruções'!$D$36&amp;"."&amp;VLOOKUP(B83,'0. Instruções'!$C$27:$E$32,3,FALSE))</f>
        <v>BU_LOANTAPE_WORK.SIMUL_LT002_INSTRUMENT</v>
      </c>
      <c r="F83" s="34" t="s">
        <v>1165</v>
      </c>
      <c r="G83" s="34"/>
      <c r="H83" s="34"/>
      <c r="I83" s="34" t="str">
        <f>"(SELECT "&amp;VLOOKUP(B83,'0. Instruções'!$C$27:$G$32,4,FALSE)&amp;", "&amp;F83&amp;" FROM "&amp;D83&amp;" WHERE "&amp;'0. Instruções'!$D$42&amp;")X"</f>
        <v>(SELECT instrmnt_id, dt_strt_intrst_only FROM BU_LOANTAPE_WORK.LT002_INSTRUMENT WHERE ref_date='${ref_date}' AND nome_perimetro='Individual Local' AND segmento='ESTR' AND ambito='SRB_MBDT' AND entidade='00100')X</v>
      </c>
      <c r="J83" s="34" t="str">
        <f>"(SELECT "&amp;VLOOKUP(B83,'0. Instruções'!$C$27:$G$32,4,FALSE)&amp;" AS "&amp;VLOOKUP(B83,'0. Instruções'!$C$27:$G$32,4,FALSE)&amp;"_SIMUL, "&amp;F83&amp;" AS "&amp;F83&amp;"_SIMUL FROM "&amp;E83&amp;" WHERE "&amp;'0. Instruções'!$D$43&amp;")Y"</f>
        <v>(SELECT instrmnt_id AS instrmnt_id_SIMUL, dt_strt_intrst_only AS dt_strt_intrst_only_SIMUL FROM BU_LOANTAPE_WORK.SIMUL_LT002_INSTRUMENT WHERE ref_date='${ref_date}' AND nome_perimetro='Individual Local' AND segmento='ESTR' AND ambito='PILAR3' AND entidade='00100')Y</v>
      </c>
      <c r="K83" s="35" t="str">
        <f>+UPPER("ON X."&amp;VLOOKUP(B83,'0. Instruções'!$C$27:$G$32,4,FALSE)&amp;"=Y."&amp;VLOOKUP(B83,'0. Instruções'!$C$27:$G$32,4,FALSE)&amp;"_SIMUL")</f>
        <v>ON X.INSTRMNT_ID=Y.INSTRMNT_ID_SIMUL</v>
      </c>
      <c r="L83" s="35" t="str">
        <f>+IF(C83="Coerência", +IF(LEFT(G83,5)="FLOAT","SELECT '"&amp;UPPER(B83)&amp;"' AS TABELA, '"&amp;UPPER(C83)&amp;"' AS TIPOLOGIA_TESTE,'"&amp;D83&amp;"' AS TABELA_LT,'"&amp;E83&amp;"' AS TABELA_SIMUL,'"&amp;F83&amp;"' AS CAMPO, "&amp;"'${ref_date}' AS REF_DATE, COUNT(*) AS NUM_REG, SUM(IF((ABS(COALESCE(CAST(X."&amp;F83&amp;" AS DECIMAL(18,6)),0)-COALESCE(CAST(Y."&amp;F83&amp;"_SIMUL AS DECIMAL(18,6)),0))&gt;0.000001) OR (X."&amp;F83&amp;" IS NULL AND Y."&amp;F83&amp;"_SIMUL IS NOT NULL ) OR (X."&amp;F83&amp;" IS NOT NULL AND Y."&amp;F83&amp;"_SIMUL IS NULL),1,0)) AS NUM_REG_DIF,'"&amp;MAX('ID1&amp;5'!K:K)+1&amp;"' AS ID_EXEC, CURRENT_TIMESTAMP() AS TIME_EXEC FROM "&amp;I83&amp;" INNER JOIN "&amp;J83&amp;" "&amp;K83,"SELECT '"&amp;UPPER(B83)&amp;"' AS TABELA, '"&amp;UPPER(C83)&amp;"' AS TIPOLOGIA_TESTE,'"&amp;D83&amp;"' AS TABELA_LT,'"&amp;E83&amp;"' AS TABELA_SIMUL,'"&amp;F83&amp;"' AS CAMPO, "&amp;"'${ref_date}' AS REF_DATE, COUNT(*) AS NUM_REG, SUM(IF(COALESCE(CAST(X."&amp;F83&amp;" AS STRING),'')&lt;&gt;COALESCE(CAST(Y."&amp;F83&amp;"_SIMUL AS STRING),'') OR (X."&amp;F83&amp;" IS NULL AND Y."&amp;F83&amp;"_SIMUL IS NOT NULL ) OR (X."&amp;F83&amp;" IS NOT NULL AND Y."&amp;F83&amp;"_SIMUL IS NULL),1,0)) AS NUM_REG_DIF,'"&amp;MAX('ID1&amp;5'!L:L)+1&amp;"' AS ID_EXEC, CURRENT_TIMESTAMP() AS TIME_EXEC FROM "&amp;I83&amp;" INNER JOIN "&amp;J83&amp;" "&amp;K83),
IF(C83="Validade",+IF(G83="Code List","SELECT '"&amp;UPPER(B83)&amp;"' AS TABELA, '"&amp;UPPER(C83)&amp;"' AS TIPOLOGIA_TESTE,'"&amp;D83&amp;"' AS TABELA_LT,'N/A' AS TABELA_SIMUL,'"&amp;F83&amp;"' AS CAMPO, "&amp;"'${ref_date}' AS REF_DATE, COUNT(*) AS NUM_REG, SUM(IF(TRIM(CAST(X."&amp;F83&amp;" AS STRING))='' OR TRIM(CAST(X."&amp;F83&amp;" AS STRING)) IS NULL OR CAST(X."&amp;F83&amp;" AS STRING) NOT "&amp;H83&amp;",1,0)) AS NUM_REG_DIF,'"&amp;MAX('ID1&amp;5'!K:K)+1&amp;"' AS ID_EXEC, CURRENT_TIMESTAMP() AS TIME_EXEC FROM "&amp;I83,"SELECT '"&amp;UPPER(B83)&amp;"' AS TABELA, '"&amp;UPPER(C83)&amp;"' AS TIPOLOGIA_TESTE,'"&amp;D83&amp;"' AS TABELA_LT,'N/A' AS TABELA_SIMUL,'"&amp;F83&amp;"' AS CAMPO, "&amp;"'${ref_date}' AS REF_DATE, COUNT(*) AS NUM_REG, SUM(IF(TRIM(CAST(X."&amp;F83&amp;" AS STRING))='' OR TRIM(CAST(X."&amp;F83&amp;" AS STRING)) IS NULL,1,0)) AS NUM_REG_DIF,'"&amp;MAX('ID1&amp;5'!K:K)+1&amp;"' AS ID_EXEC, CURRENT_TIMESTAMP() AS TIME_EXEC FROM "&amp;I83),
IF(C83="Caracteres Especiais",+"SELECT '"&amp;UPPER(B83)&amp;"' AS TABELA, '"&amp;UPPER(C83)&amp;"' AS TIPOLOGIA_TESTE,'"&amp;D83&amp;"' AS TABELA_LT,'N/A' AS TABELA_SIMUL,'"&amp;F83&amp;"' AS CAMPO, "&amp;"'${ref_date}' AS REF_DATE, COUNT(*) AS NUM_REG, SUM(IF(REGEXP_REPLACE(TRIM(CAST(X."&amp;F83&amp;" AS STRING)),'[^a-zA-Z0-9_\\s]','') &lt;&gt;TRIM(CAST(X."&amp;F83&amp;" AS STRING)),1,0)) AS NUM_REG_DIF,'"&amp;MAX('ID1&amp;5'!K:K)+1&amp;"' AS ID_EXEC, CURRENT_TIMESTAMP() AS TIME_EXEC FROM "&amp;I83,
IF(C83="Missings",+"SELECT '"&amp;UPPER(B83)&amp;"' AS TABELA, '"&amp;UPPER(C83)&amp;"' AS TIPOLOGIA_TESTE,'"&amp;D83&amp;"' AS TABELA_LT,'N/A' AS TABELA_SIMUL,'"&amp;F83&amp;"' AS CAMPO, "&amp;"'${ref_date}' AS REF_DATE, COUNT(*) AS NUM_REG, SUM(IF(TRIM(CAST(X."&amp;F83&amp;" AS STRING)) IN ('0000-00-00','0001-01-01','9999-12-31','MISS','00000','99999999999','99999999999.00','99999999999.000000'),1,0)) AS NUM_REG_DIF,'"&amp;MAX('ID1&amp;5'!K:K)+1&amp;"' AS ID_EXEC, CURRENT_TIMESTAMP() AS TIME_EXEC FROM "&amp;I83,
IF(C83="Not applicable",+"SELECT '"&amp;UPPER(B83)&amp;"' AS TABELA, '"&amp;UPPER(C83)&amp;"' AS TIPOLOGIA_TESTE,'"&amp;D83&amp;"' AS TABELA_LT,'N/A' AS TABELA_SIMUL,'"&amp;F83&amp;"' AS CAMPO, "&amp;"'${ref_date}' AS REF_DATE, COUNT(*) AS NUM_REG, SUM(IF(TRIM(CAST(X."&amp;F83&amp;" AS STRING)) IN ('N/A','11111111111','11111111111.00','11111111111.000000','1111-11-11'),1,0)) AS NUM_REG_DIF,'"&amp;MAX('ID1&amp;5'!K:K)+1&amp;"' AS ID_EXEC, CURRENT_TIMESTAMP() AS TIME_EXEC FROM "&amp;I83,
IF(C83="Valores extremos",+"SELECT '"&amp;UPPER(B83)&amp;"' AS TABELA, '"&amp;UPPER(C83)&amp;"' AS TIPOLOGIA_TESTE,'"&amp;D83&amp;"' AS TABELA_LT,'N/A' AS TABELA_SIMUL,'"&amp;F83&amp;"' AS CAMPO, "&amp;"'${ref_date}' AS REF_DATE, CAST(MIN("&amp;F83&amp;") AS STRING) AS VALOR_MIN, CAST(MAX("&amp;F83&amp;") AS STRING) AS VALOR_MAX,'"&amp;MAX('ID1&amp;5'!K:K)+1&amp;"' AS ID_EXEC, CURRENT_TIMESTAMP() AS TIME_EXEC FROM "&amp;MID(I83,1,LEN(I83)-2)&amp;" AND CAST("&amp;F83&amp;"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TABELA_SIMUL,'dt_strt_intrst_only' AS CAMPO, '${ref_date}' AS REF_DATE, COUNT(*) AS NUM_REG, SUM(IF(COALESCE(CAST(X.dt_strt_intrst_only AS STRING),'')&lt;&gt;COALESCE(CAST(Y.dt_strt_intrst_only_SIMUL AS STRING),'') OR (X.dt_strt_intrst_only IS NULL AND Y.dt_strt_intrst_only_SIMUL IS NOT NULL ) OR (X.dt_strt_intrst_only IS NOT NULL AND Y.dt_strt_intrst_only_SIMUL IS NULL),1,0)) AS NUM_REG_DIF,'1' AS ID_EXEC, CURRENT_TIMESTAMP() AS TIME_EXEC FROM (SELECT instrmnt_id, dt_strt_intrst_only FROM BU_LOANTAPE_WORK.LT002_INSTRUMENT WHERE ref_date='${ref_date}' AND nome_perimetro='Individual Local' AND segmento='ESTR' AND ambito='SRB_MBDT' AND entidade='00100')X INNER JOIN (SELECT instrmnt_id AS instrmnt_id_SIMUL, dt_strt_intrst_only AS dt_strt_intrst_only_SIMUL FROM BU_LOANTAPE_WORK.SIMUL_LT002_INSTRUMENT WHERE ref_date='${ref_date}' AND nome_perimetro='Individual Local' AND segmento='ESTR' AND ambito='PILAR3' AND entidade='00100')Y ON X.INSTRMNT_ID=Y.INSTRMNT_ID_SIMUL</v>
      </c>
      <c r="M83" s="36" t="str">
        <f t="shared" si="4"/>
        <v>UNION ALL SELECT 'INSTRUMENT' AS TABELA, 'COERÊNCIA' AS TIPOLOGIA_TESTE,'BU_LOANTAPE_WORK.LT002_INSTRUMENT' AS TABELA_LT,'BU_LOANTAPE_WORK.SIMUL_LT002_INSTRUMENT' AS TABELA_SIMUL,'dt_strt_intrst_only' AS CAMPO, '${ref_date}' AS REF_DATE, COUNT(*) AS NUM_REG, SUM(IF(COALESCE(CAST(X.dt_strt_intrst_only AS STRING),'')&lt;&gt;COALESCE(CAST(Y.dt_strt_intrst_only_SIMUL AS STRING),'') OR (X.dt_strt_intrst_only IS NULL AND Y.dt_strt_intrst_only_SIMUL IS NOT NULL ) OR (X.dt_strt_intrst_only IS NOT NULL AND Y.dt_strt_intrst_only_SIMUL IS NULL),1,0)) AS NUM_REG_DIF,'1' AS ID_EXEC, CURRENT_TIMESTAMP() AS TIME_EXEC FROM (SELECT instrmnt_id, dt_strt_intrst_only FROM BU_LOANTAPE_WORK.LT002_INSTRUMENT WHERE ref_date='${ref_date}' AND nome_perimetro='Individual Local' AND segmento='ESTR' AND ambito='SRB_MBDT' AND entidade='00100')X INNER JOIN (SELECT instrmnt_id AS instrmnt_id_SIMUL, dt_strt_intrst_only AS dt_strt_intrst_only_SIMUL FROM BU_LOANTAPE_WORK.SIMUL_LT002_INSTRUMENT WHERE ref_date='${ref_date}' AND nome_perimetro='Individual Local' AND segmento='ESTR' AND ambito='PILAR3' AND entidade='00100')Y ON X.INSTRMNT_ID=Y.INSTRMNT_ID_SIMUL</v>
      </c>
      <c r="N83" s="38" t="s">
        <v>40</v>
      </c>
    </row>
    <row r="84" spans="2:14">
      <c r="B84" s="34" t="s">
        <v>117</v>
      </c>
      <c r="C84" s="34" t="s">
        <v>5</v>
      </c>
      <c r="D84" s="34" t="str">
        <f>+UPPER('0. Instruções'!$D$35&amp;"."&amp;VLOOKUP(B84,'0. Instruções'!$C$27:$D$32,2,FALSE))</f>
        <v>BU_LOANTAPE_WORK.LT002_INSTRUMENT</v>
      </c>
      <c r="E84" s="34" t="str">
        <f>+UPPER('0. Instruções'!$D$36&amp;"."&amp;VLOOKUP(B84,'0. Instruções'!$C$27:$E$32,3,FALSE))</f>
        <v>BU_LOANTAPE_WORK.SIMUL_LT002_INSTRUMENT</v>
      </c>
      <c r="F84" s="34" t="s">
        <v>1166</v>
      </c>
      <c r="G84" s="34"/>
      <c r="H84" s="34"/>
      <c r="I84" s="34" t="str">
        <f>"(SELECT "&amp;VLOOKUP(B84,'0. Instruções'!$C$27:$G$32,4,FALSE)&amp;", "&amp;F84&amp;" FROM "&amp;D84&amp;" WHERE "&amp;'0. Instruções'!$D$42&amp;")X"</f>
        <v>(SELECT instrmnt_id, expsr_in_scp FROM BU_LOANTAPE_WORK.LT002_INSTRUMENT WHERE ref_date='${ref_date}' AND nome_perimetro='Individual Local' AND segmento='ESTR' AND ambito='SRB_MBDT' AND entidade='00100')X</v>
      </c>
      <c r="J84" s="34" t="str">
        <f>"(SELECT "&amp;VLOOKUP(B84,'0. Instruções'!$C$27:$G$32,4,FALSE)&amp;" AS "&amp;VLOOKUP(B84,'0. Instruções'!$C$27:$G$32,4,FALSE)&amp;"_SIMUL, "&amp;F84&amp;" AS "&amp;F84&amp;"_SIMUL FROM "&amp;E84&amp;" WHERE "&amp;'0. Instruções'!$D$43&amp;")Y"</f>
        <v>(SELECT instrmnt_id AS instrmnt_id_SIMUL, expsr_in_scp AS expsr_in_scp_SIMUL FROM BU_LOANTAPE_WORK.SIMUL_LT002_INSTRUMENT WHERE ref_date='${ref_date}' AND nome_perimetro='Individual Local' AND segmento='ESTR' AND ambito='PILAR3' AND entidade='00100')Y</v>
      </c>
      <c r="K84" s="35" t="str">
        <f>+UPPER("ON X."&amp;VLOOKUP(B84,'0. Instruções'!$C$27:$G$32,4,FALSE)&amp;"=Y."&amp;VLOOKUP(B84,'0. Instruções'!$C$27:$G$32,4,FALSE)&amp;"_SIMUL")</f>
        <v>ON X.INSTRMNT_ID=Y.INSTRMNT_ID_SIMUL</v>
      </c>
      <c r="L84" s="35" t="str">
        <f>+IF(C84="Coerência", +IF(LEFT(G84,5)="FLOAT","SELECT '"&amp;UPPER(B84)&amp;"' AS TABELA, '"&amp;UPPER(C84)&amp;"' AS TIPOLOGIA_TESTE,'"&amp;D84&amp;"' AS TABELA_LT,'"&amp;E84&amp;"' AS TABELA_SIMUL,'"&amp;F84&amp;"' AS CAMPO, "&amp;"'${ref_date}' AS REF_DATE, COUNT(*) AS NUM_REG, SUM(IF((ABS(COALESCE(CAST(X."&amp;F84&amp;" AS DECIMAL(18,6)),0)-COALESCE(CAST(Y."&amp;F84&amp;"_SIMUL AS DECIMAL(18,6)),0))&gt;0.000001) OR (X."&amp;F84&amp;" IS NULL AND Y."&amp;F84&amp;"_SIMUL IS NOT NULL ) OR (X."&amp;F84&amp;" IS NOT NULL AND Y."&amp;F84&amp;"_SIMUL IS NULL),1,0)) AS NUM_REG_DIF,'"&amp;MAX('ID1&amp;5'!K:K)+1&amp;"' AS ID_EXEC, CURRENT_TIMESTAMP() AS TIME_EXEC FROM "&amp;I84&amp;" INNER JOIN "&amp;J84&amp;" "&amp;K84,"SELECT '"&amp;UPPER(B84)&amp;"' AS TABELA, '"&amp;UPPER(C84)&amp;"' AS TIPOLOGIA_TESTE,'"&amp;D84&amp;"' AS TABELA_LT,'"&amp;E84&amp;"' AS TABELA_SIMUL,'"&amp;F84&amp;"' AS CAMPO, "&amp;"'${ref_date}' AS REF_DATE, COUNT(*) AS NUM_REG, SUM(IF(COALESCE(CAST(X."&amp;F84&amp;" AS STRING),'')&lt;&gt;COALESCE(CAST(Y."&amp;F84&amp;"_SIMUL AS STRING),'') OR (X."&amp;F84&amp;" IS NULL AND Y."&amp;F84&amp;"_SIMUL IS NOT NULL ) OR (X."&amp;F84&amp;" IS NOT NULL AND Y."&amp;F84&amp;"_SIMUL IS NULL),1,0)) AS NUM_REG_DIF,'"&amp;MAX('ID1&amp;5'!L:L)+1&amp;"' AS ID_EXEC, CURRENT_TIMESTAMP() AS TIME_EXEC FROM "&amp;I84&amp;" INNER JOIN "&amp;J84&amp;" "&amp;K84),
IF(C84="Validade",+IF(G84="Code List","SELECT '"&amp;UPPER(B84)&amp;"' AS TABELA, '"&amp;UPPER(C84)&amp;"' AS TIPOLOGIA_TESTE,'"&amp;D84&amp;"' AS TABELA_LT,'N/A' AS TABELA_SIMUL,'"&amp;F84&amp;"' AS CAMPO, "&amp;"'${ref_date}' AS REF_DATE, COUNT(*) AS NUM_REG, SUM(IF(TRIM(CAST(X."&amp;F84&amp;" AS STRING))='' OR TRIM(CAST(X."&amp;F84&amp;" AS STRING)) IS NULL OR CAST(X."&amp;F84&amp;" AS STRING) NOT "&amp;H84&amp;",1,0)) AS NUM_REG_DIF,'"&amp;MAX('ID1&amp;5'!K:K)+1&amp;"' AS ID_EXEC, CURRENT_TIMESTAMP() AS TIME_EXEC FROM "&amp;I84,"SELECT '"&amp;UPPER(B84)&amp;"' AS TABELA, '"&amp;UPPER(C84)&amp;"' AS TIPOLOGIA_TESTE,'"&amp;D84&amp;"' AS TABELA_LT,'N/A' AS TABELA_SIMUL,'"&amp;F84&amp;"' AS CAMPO, "&amp;"'${ref_date}' AS REF_DATE, COUNT(*) AS NUM_REG, SUM(IF(TRIM(CAST(X."&amp;F84&amp;" AS STRING))='' OR TRIM(CAST(X."&amp;F84&amp;" AS STRING)) IS NULL,1,0)) AS NUM_REG_DIF,'"&amp;MAX('ID1&amp;5'!K:K)+1&amp;"' AS ID_EXEC, CURRENT_TIMESTAMP() AS TIME_EXEC FROM "&amp;I84),
IF(C84="Caracteres Especiais",+"SELECT '"&amp;UPPER(B84)&amp;"' AS TABELA, '"&amp;UPPER(C84)&amp;"' AS TIPOLOGIA_TESTE,'"&amp;D84&amp;"' AS TABELA_LT,'N/A' AS TABELA_SIMUL,'"&amp;F84&amp;"' AS CAMPO, "&amp;"'${ref_date}' AS REF_DATE, COUNT(*) AS NUM_REG, SUM(IF(REGEXP_REPLACE(TRIM(CAST(X."&amp;F84&amp;" AS STRING)),'[^a-zA-Z0-9_\\s]','') &lt;&gt;TRIM(CAST(X."&amp;F84&amp;" AS STRING)),1,0)) AS NUM_REG_DIF,'"&amp;MAX('ID1&amp;5'!K:K)+1&amp;"' AS ID_EXEC, CURRENT_TIMESTAMP() AS TIME_EXEC FROM "&amp;I84,
IF(C84="Missings",+"SELECT '"&amp;UPPER(B84)&amp;"' AS TABELA, '"&amp;UPPER(C84)&amp;"' AS TIPOLOGIA_TESTE,'"&amp;D84&amp;"' AS TABELA_LT,'N/A' AS TABELA_SIMUL,'"&amp;F84&amp;"' AS CAMPO, "&amp;"'${ref_date}' AS REF_DATE, COUNT(*) AS NUM_REG, SUM(IF(TRIM(CAST(X."&amp;F84&amp;" AS STRING)) IN ('0000-00-00','0001-01-01','9999-12-31','MISS','00000','99999999999','99999999999.00','99999999999.000000'),1,0)) AS NUM_REG_DIF,'"&amp;MAX('ID1&amp;5'!K:K)+1&amp;"' AS ID_EXEC, CURRENT_TIMESTAMP() AS TIME_EXEC FROM "&amp;I84,
IF(C84="Not applicable",+"SELECT '"&amp;UPPER(B84)&amp;"' AS TABELA, '"&amp;UPPER(C84)&amp;"' AS TIPOLOGIA_TESTE,'"&amp;D84&amp;"' AS TABELA_LT,'N/A' AS TABELA_SIMUL,'"&amp;F84&amp;"' AS CAMPO, "&amp;"'${ref_date}' AS REF_DATE, COUNT(*) AS NUM_REG, SUM(IF(TRIM(CAST(X."&amp;F84&amp;" AS STRING)) IN ('N/A','11111111111','11111111111.00','11111111111.000000','1111-11-11'),1,0)) AS NUM_REG_DIF,'"&amp;MAX('ID1&amp;5'!K:K)+1&amp;"' AS ID_EXEC, CURRENT_TIMESTAMP() AS TIME_EXEC FROM "&amp;I84,
IF(C84="Valores extremos",+"SELECT '"&amp;UPPER(B84)&amp;"' AS TABELA, '"&amp;UPPER(C84)&amp;"' AS TIPOLOGIA_TESTE,'"&amp;D84&amp;"' AS TABELA_LT,'N/A' AS TABELA_SIMUL,'"&amp;F84&amp;"' AS CAMPO, "&amp;"'${ref_date}' AS REF_DATE, CAST(MIN("&amp;F84&amp;") AS STRING) AS VALOR_MIN, CAST(MAX("&amp;F84&amp;") AS STRING) AS VALOR_MAX,'"&amp;MAX('ID1&amp;5'!K:K)+1&amp;"' AS ID_EXEC, CURRENT_TIMESTAMP() AS TIME_EXEC FROM "&amp;MID(I84,1,LEN(I84)-2)&amp;" AND CAST("&amp;F84&amp;"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TABELA_SIMUL,'expsr_in_scp' AS CAMPO, '${ref_date}' AS REF_DATE, COUNT(*) AS NUM_REG, SUM(IF(COALESCE(CAST(X.expsr_in_scp AS STRING),'')&lt;&gt;COALESCE(CAST(Y.expsr_in_scp_SIMUL AS STRING),'') OR (X.expsr_in_scp IS NULL AND Y.expsr_in_scp_SIMUL IS NOT NULL ) OR (X.expsr_in_scp IS NOT NULL AND Y.expsr_in_scp_SIMUL IS NULL),1,0)) AS NUM_REG_DIF,'1' AS ID_EXEC, CURRENT_TIMESTAMP() AS TIME_EXEC FROM (SELECT instrmnt_id, expsr_in_scp FROM BU_LOANTAPE_WORK.LT002_INSTRUMENT WHERE ref_date='${ref_date}' AND nome_perimetro='Individual Local' AND segmento='ESTR' AND ambito='SRB_MBDT' AND entidade='00100')X INNER JOIN (SELECT instrmnt_id AS instrmnt_id_SIMUL, expsr_in_scp AS expsr_in_scp_SIMUL FROM BU_LOANTAPE_WORK.SIMUL_LT002_INSTRUMENT WHERE ref_date='${ref_date}' AND nome_perimetro='Individual Local' AND segmento='ESTR' AND ambito='PILAR3' AND entidade='00100')Y ON X.INSTRMNT_ID=Y.INSTRMNT_ID_SIMUL</v>
      </c>
      <c r="M84" s="36" t="str">
        <f t="shared" si="4"/>
        <v>UNION ALL SELECT 'INSTRUMENT' AS TABELA, 'COERÊNCIA' AS TIPOLOGIA_TESTE,'BU_LOANTAPE_WORK.LT002_INSTRUMENT' AS TABELA_LT,'BU_LOANTAPE_WORK.SIMUL_LT002_INSTRUMENT' AS TABELA_SIMUL,'expsr_in_scp' AS CAMPO, '${ref_date}' AS REF_DATE, COUNT(*) AS NUM_REG, SUM(IF(COALESCE(CAST(X.expsr_in_scp AS STRING),'')&lt;&gt;COALESCE(CAST(Y.expsr_in_scp_SIMUL AS STRING),'') OR (X.expsr_in_scp IS NULL AND Y.expsr_in_scp_SIMUL IS NOT NULL ) OR (X.expsr_in_scp IS NOT NULL AND Y.expsr_in_scp_SIMUL IS NULL),1,0)) AS NUM_REG_DIF,'1' AS ID_EXEC, CURRENT_TIMESTAMP() AS TIME_EXEC FROM (SELECT instrmnt_id, expsr_in_scp FROM BU_LOANTAPE_WORK.LT002_INSTRUMENT WHERE ref_date='${ref_date}' AND nome_perimetro='Individual Local' AND segmento='ESTR' AND ambito='SRB_MBDT' AND entidade='00100')X INNER JOIN (SELECT instrmnt_id AS instrmnt_id_SIMUL, expsr_in_scp AS expsr_in_scp_SIMUL FROM BU_LOANTAPE_WORK.SIMUL_LT002_INSTRUMENT WHERE ref_date='${ref_date}' AND nome_perimetro='Individual Local' AND segmento='ESTR' AND ambito='PILAR3' AND entidade='00100')Y ON X.INSTRMNT_ID=Y.INSTRMNT_ID_SIMUL</v>
      </c>
      <c r="N84" s="38" t="s">
        <v>40</v>
      </c>
    </row>
    <row r="85" spans="2:14">
      <c r="B85" s="34" t="s">
        <v>117</v>
      </c>
      <c r="C85" s="34" t="s">
        <v>5</v>
      </c>
      <c r="D85" s="34" t="str">
        <f>+UPPER('0. Instruções'!$D$35&amp;"."&amp;VLOOKUP(B85,'0. Instruções'!$C$27:$D$32,2,FALSE))</f>
        <v>BU_LOANTAPE_WORK.LT002_INSTRUMENT</v>
      </c>
      <c r="E85" s="34" t="str">
        <f>+UPPER('0. Instruções'!$D$36&amp;"."&amp;VLOOKUP(B85,'0. Instruções'!$C$27:$E$32,3,FALSE))</f>
        <v>BU_LOANTAPE_WORK.SIMUL_LT002_INSTRUMENT</v>
      </c>
      <c r="F85" s="34" t="s">
        <v>1167</v>
      </c>
      <c r="G85" s="34"/>
      <c r="H85" s="34"/>
      <c r="I85" s="34" t="str">
        <f>"(SELECT "&amp;VLOOKUP(B85,'0. Instruções'!$C$27:$G$32,4,FALSE)&amp;", "&amp;F85&amp;" FROM "&amp;D85&amp;" WHERE "&amp;'0. Instruções'!$D$42&amp;")X"</f>
        <v>(SELECT instrmnt_id, fld_syndctn FROM BU_LOANTAPE_WORK.LT002_INSTRUMENT WHERE ref_date='${ref_date}' AND nome_perimetro='Individual Local' AND segmento='ESTR' AND ambito='SRB_MBDT' AND entidade='00100')X</v>
      </c>
      <c r="J85" s="34" t="str">
        <f>"(SELECT "&amp;VLOOKUP(B85,'0. Instruções'!$C$27:$G$32,4,FALSE)&amp;" AS "&amp;VLOOKUP(B85,'0. Instruções'!$C$27:$G$32,4,FALSE)&amp;"_SIMUL, "&amp;F85&amp;" AS "&amp;F85&amp;"_SIMUL FROM "&amp;E85&amp;" WHERE "&amp;'0. Instruções'!$D$43&amp;")Y"</f>
        <v>(SELECT instrmnt_id AS instrmnt_id_SIMUL, fld_syndctn AS fld_syndctn_SIMUL FROM BU_LOANTAPE_WORK.SIMUL_LT002_INSTRUMENT WHERE ref_date='${ref_date}' AND nome_perimetro='Individual Local' AND segmento='ESTR' AND ambito='PILAR3' AND entidade='00100')Y</v>
      </c>
      <c r="K85" s="35" t="str">
        <f>+UPPER("ON X."&amp;VLOOKUP(B85,'0. Instruções'!$C$27:$G$32,4,FALSE)&amp;"=Y."&amp;VLOOKUP(B85,'0. Instruções'!$C$27:$G$32,4,FALSE)&amp;"_SIMUL")</f>
        <v>ON X.INSTRMNT_ID=Y.INSTRMNT_ID_SIMUL</v>
      </c>
      <c r="L85" s="35" t="str">
        <f>+IF(C85="Coerência", +IF(LEFT(G85,5)="FLOAT","SELECT '"&amp;UPPER(B85)&amp;"' AS TABELA, '"&amp;UPPER(C85)&amp;"' AS TIPOLOGIA_TESTE,'"&amp;D85&amp;"' AS TABELA_LT,'"&amp;E85&amp;"' AS TABELA_SIMUL,'"&amp;F85&amp;"' AS CAMPO, "&amp;"'${ref_date}' AS REF_DATE, COUNT(*) AS NUM_REG, SUM(IF((ABS(COALESCE(CAST(X."&amp;F85&amp;" AS DECIMAL(18,6)),0)-COALESCE(CAST(Y."&amp;F85&amp;"_SIMUL AS DECIMAL(18,6)),0))&gt;0.000001) OR (X."&amp;F85&amp;" IS NULL AND Y."&amp;F85&amp;"_SIMUL IS NOT NULL ) OR (X."&amp;F85&amp;" IS NOT NULL AND Y."&amp;F85&amp;"_SIMUL IS NULL),1,0)) AS NUM_REG_DIF,'"&amp;MAX('ID1&amp;5'!K:K)+1&amp;"' AS ID_EXEC, CURRENT_TIMESTAMP() AS TIME_EXEC FROM "&amp;I85&amp;" INNER JOIN "&amp;J85&amp;" "&amp;K85,"SELECT '"&amp;UPPER(B85)&amp;"' AS TABELA, '"&amp;UPPER(C85)&amp;"' AS TIPOLOGIA_TESTE,'"&amp;D85&amp;"' AS TABELA_LT,'"&amp;E85&amp;"' AS TABELA_SIMUL,'"&amp;F85&amp;"' AS CAMPO, "&amp;"'${ref_date}' AS REF_DATE, COUNT(*) AS NUM_REG, SUM(IF(COALESCE(CAST(X."&amp;F85&amp;" AS STRING),'')&lt;&gt;COALESCE(CAST(Y."&amp;F85&amp;"_SIMUL AS STRING),'') OR (X."&amp;F85&amp;" IS NULL AND Y."&amp;F85&amp;"_SIMUL IS NOT NULL ) OR (X."&amp;F85&amp;" IS NOT NULL AND Y."&amp;F85&amp;"_SIMUL IS NULL),1,0)) AS NUM_REG_DIF,'"&amp;MAX('ID1&amp;5'!L:L)+1&amp;"' AS ID_EXEC, CURRENT_TIMESTAMP() AS TIME_EXEC FROM "&amp;I85&amp;" INNER JOIN "&amp;J85&amp;" "&amp;K85),
IF(C85="Validade",+IF(G85="Code List","SELECT '"&amp;UPPER(B85)&amp;"' AS TABELA, '"&amp;UPPER(C85)&amp;"' AS TIPOLOGIA_TESTE,'"&amp;D85&amp;"' AS TABELA_LT,'N/A' AS TABELA_SIMUL,'"&amp;F85&amp;"' AS CAMPO, "&amp;"'${ref_date}' AS REF_DATE, COUNT(*) AS NUM_REG, SUM(IF(TRIM(CAST(X."&amp;F85&amp;" AS STRING))='' OR TRIM(CAST(X."&amp;F85&amp;" AS STRING)) IS NULL OR CAST(X."&amp;F85&amp;" AS STRING) NOT "&amp;H85&amp;",1,0)) AS NUM_REG_DIF,'"&amp;MAX('ID1&amp;5'!K:K)+1&amp;"' AS ID_EXEC, CURRENT_TIMESTAMP() AS TIME_EXEC FROM "&amp;I85,"SELECT '"&amp;UPPER(B85)&amp;"' AS TABELA, '"&amp;UPPER(C85)&amp;"' AS TIPOLOGIA_TESTE,'"&amp;D85&amp;"' AS TABELA_LT,'N/A' AS TABELA_SIMUL,'"&amp;F85&amp;"' AS CAMPO, "&amp;"'${ref_date}' AS REF_DATE, COUNT(*) AS NUM_REG, SUM(IF(TRIM(CAST(X."&amp;F85&amp;" AS STRING))='' OR TRIM(CAST(X."&amp;F85&amp;" AS STRING)) IS NULL,1,0)) AS NUM_REG_DIF,'"&amp;MAX('ID1&amp;5'!K:K)+1&amp;"' AS ID_EXEC, CURRENT_TIMESTAMP() AS TIME_EXEC FROM "&amp;I85),
IF(C85="Caracteres Especiais",+"SELECT '"&amp;UPPER(B85)&amp;"' AS TABELA, '"&amp;UPPER(C85)&amp;"' AS TIPOLOGIA_TESTE,'"&amp;D85&amp;"' AS TABELA_LT,'N/A' AS TABELA_SIMUL,'"&amp;F85&amp;"' AS CAMPO, "&amp;"'${ref_date}' AS REF_DATE, COUNT(*) AS NUM_REG, SUM(IF(REGEXP_REPLACE(TRIM(CAST(X."&amp;F85&amp;" AS STRING)),'[^a-zA-Z0-9_\\s]','') &lt;&gt;TRIM(CAST(X."&amp;F85&amp;" AS STRING)),1,0)) AS NUM_REG_DIF,'"&amp;MAX('ID1&amp;5'!K:K)+1&amp;"' AS ID_EXEC, CURRENT_TIMESTAMP() AS TIME_EXEC FROM "&amp;I85,
IF(C85="Missings",+"SELECT '"&amp;UPPER(B85)&amp;"' AS TABELA, '"&amp;UPPER(C85)&amp;"' AS TIPOLOGIA_TESTE,'"&amp;D85&amp;"' AS TABELA_LT,'N/A' AS TABELA_SIMUL,'"&amp;F85&amp;"' AS CAMPO, "&amp;"'${ref_date}' AS REF_DATE, COUNT(*) AS NUM_REG, SUM(IF(TRIM(CAST(X."&amp;F85&amp;" AS STRING)) IN ('0000-00-00','0001-01-01','9999-12-31','MISS','00000','99999999999','99999999999.00','99999999999.000000'),1,0)) AS NUM_REG_DIF,'"&amp;MAX('ID1&amp;5'!K:K)+1&amp;"' AS ID_EXEC, CURRENT_TIMESTAMP() AS TIME_EXEC FROM "&amp;I85,
IF(C85="Not applicable",+"SELECT '"&amp;UPPER(B85)&amp;"' AS TABELA, '"&amp;UPPER(C85)&amp;"' AS TIPOLOGIA_TESTE,'"&amp;D85&amp;"' AS TABELA_LT,'N/A' AS TABELA_SIMUL,'"&amp;F85&amp;"' AS CAMPO, "&amp;"'${ref_date}' AS REF_DATE, COUNT(*) AS NUM_REG, SUM(IF(TRIM(CAST(X."&amp;F85&amp;" AS STRING)) IN ('N/A','11111111111','11111111111.00','11111111111.000000','1111-11-11'),1,0)) AS NUM_REG_DIF,'"&amp;MAX('ID1&amp;5'!K:K)+1&amp;"' AS ID_EXEC, CURRENT_TIMESTAMP() AS TIME_EXEC FROM "&amp;I85,
IF(C85="Valores extremos",+"SELECT '"&amp;UPPER(B85)&amp;"' AS TABELA, '"&amp;UPPER(C85)&amp;"' AS TIPOLOGIA_TESTE,'"&amp;D85&amp;"' AS TABELA_LT,'N/A' AS TABELA_SIMUL,'"&amp;F85&amp;"' AS CAMPO, "&amp;"'${ref_date}' AS REF_DATE, CAST(MIN("&amp;F85&amp;") AS STRING) AS VALOR_MIN, CAST(MAX("&amp;F85&amp;") AS STRING) AS VALOR_MAX,'"&amp;MAX('ID1&amp;5'!K:K)+1&amp;"' AS ID_EXEC, CURRENT_TIMESTAMP() AS TIME_EXEC FROM "&amp;MID(I85,1,LEN(I85)-2)&amp;" AND CAST("&amp;F85&amp;"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TABELA_SIMUL,'fld_syndctn' AS CAMPO, '${ref_date}' AS REF_DATE, COUNT(*) AS NUM_REG, SUM(IF(COALESCE(CAST(X.fld_syndctn AS STRING),'')&lt;&gt;COALESCE(CAST(Y.fld_syndctn_SIMUL AS STRING),'') OR (X.fld_syndctn IS NULL AND Y.fld_syndctn_SIMUL IS NOT NULL ) OR (X.fld_syndctn IS NOT NULL AND Y.fld_syndctn_SIMUL IS NULL),1,0)) AS NUM_REG_DIF,'1' AS ID_EXEC, CURRENT_TIMESTAMP() AS TIME_EXEC FROM (SELECT instrmnt_id, fld_syndctn FROM BU_LOANTAPE_WORK.LT002_INSTRUMENT WHERE ref_date='${ref_date}' AND nome_perimetro='Individual Local' AND segmento='ESTR' AND ambito='SRB_MBDT' AND entidade='00100')X INNER JOIN (SELECT instrmnt_id AS instrmnt_id_SIMUL, fld_syndctn AS fld_syndctn_SIMUL FROM BU_LOANTAPE_WORK.SIMUL_LT002_INSTRUMENT WHERE ref_date='${ref_date}' AND nome_perimetro='Individual Local' AND segmento='ESTR' AND ambito='PILAR3' AND entidade='00100')Y ON X.INSTRMNT_ID=Y.INSTRMNT_ID_SIMUL</v>
      </c>
      <c r="M85" s="36" t="str">
        <f t="shared" si="4"/>
        <v>UNION ALL SELECT 'INSTRUMENT' AS TABELA, 'COERÊNCIA' AS TIPOLOGIA_TESTE,'BU_LOANTAPE_WORK.LT002_INSTRUMENT' AS TABELA_LT,'BU_LOANTAPE_WORK.SIMUL_LT002_INSTRUMENT' AS TABELA_SIMUL,'fld_syndctn' AS CAMPO, '${ref_date}' AS REF_DATE, COUNT(*) AS NUM_REG, SUM(IF(COALESCE(CAST(X.fld_syndctn AS STRING),'')&lt;&gt;COALESCE(CAST(Y.fld_syndctn_SIMUL AS STRING),'') OR (X.fld_syndctn IS NULL AND Y.fld_syndctn_SIMUL IS NOT NULL ) OR (X.fld_syndctn IS NOT NULL AND Y.fld_syndctn_SIMUL IS NULL),1,0)) AS NUM_REG_DIF,'1' AS ID_EXEC, CURRENT_TIMESTAMP() AS TIME_EXEC FROM (SELECT instrmnt_id, fld_syndctn FROM BU_LOANTAPE_WORK.LT002_INSTRUMENT WHERE ref_date='${ref_date}' AND nome_perimetro='Individual Local' AND segmento='ESTR' AND ambito='SRB_MBDT' AND entidade='00100')X INNER JOIN (SELECT instrmnt_id AS instrmnt_id_SIMUL, fld_syndctn AS fld_syndctn_SIMUL FROM BU_LOANTAPE_WORK.SIMUL_LT002_INSTRUMENT WHERE ref_date='${ref_date}' AND nome_perimetro='Individual Local' AND segmento='ESTR' AND ambito='PILAR3' AND entidade='00100')Y ON X.INSTRMNT_ID=Y.INSTRMNT_ID_SIMUL</v>
      </c>
      <c r="N85" s="38" t="s">
        <v>40</v>
      </c>
    </row>
    <row r="86" spans="2:14">
      <c r="B86" s="34" t="s">
        <v>117</v>
      </c>
      <c r="C86" s="34" t="s">
        <v>5</v>
      </c>
      <c r="D86" s="34" t="str">
        <f>+UPPER('0. Instruções'!$D$35&amp;"."&amp;VLOOKUP(B86,'0. Instruções'!$C$27:$D$32,2,FALSE))</f>
        <v>BU_LOANTAPE_WORK.LT002_INSTRUMENT</v>
      </c>
      <c r="E86" s="34" t="str">
        <f>+UPPER('0. Instruções'!$D$36&amp;"."&amp;VLOOKUP(B86,'0. Instruções'!$C$27:$E$32,3,FALSE))</f>
        <v>BU_LOANTAPE_WORK.SIMUL_LT002_INSTRUMENT</v>
      </c>
      <c r="F86" s="34" t="s">
        <v>1168</v>
      </c>
      <c r="G86" s="34"/>
      <c r="H86" s="34"/>
      <c r="I86" s="34" t="str">
        <f>"(SELECT "&amp;VLOOKUP(B86,'0. Instruções'!$C$27:$G$32,4,FALSE)&amp;", "&amp;F86&amp;" FROM "&amp;D86&amp;" WHERE "&amp;'0. Instruções'!$D$42&amp;")X"</f>
        <v>(SELECT instrmnt_id, flg_lbo FROM BU_LOANTAPE_WORK.LT002_INSTRUMENT WHERE ref_date='${ref_date}' AND nome_perimetro='Individual Local' AND segmento='ESTR' AND ambito='SRB_MBDT' AND entidade='00100')X</v>
      </c>
      <c r="J86" s="34" t="str">
        <f>"(SELECT "&amp;VLOOKUP(B86,'0. Instruções'!$C$27:$G$32,4,FALSE)&amp;" AS "&amp;VLOOKUP(B86,'0. Instruções'!$C$27:$G$32,4,FALSE)&amp;"_SIMUL, "&amp;F86&amp;" AS "&amp;F86&amp;"_SIMUL FROM "&amp;E86&amp;" WHERE "&amp;'0. Instruções'!$D$43&amp;")Y"</f>
        <v>(SELECT instrmnt_id AS instrmnt_id_SIMUL, flg_lbo AS flg_lbo_SIMUL FROM BU_LOANTAPE_WORK.SIMUL_LT002_INSTRUMENT WHERE ref_date='${ref_date}' AND nome_perimetro='Individual Local' AND segmento='ESTR' AND ambito='PILAR3' AND entidade='00100')Y</v>
      </c>
      <c r="K86" s="35" t="str">
        <f>+UPPER("ON X."&amp;VLOOKUP(B86,'0. Instruções'!$C$27:$G$32,4,FALSE)&amp;"=Y."&amp;VLOOKUP(B86,'0. Instruções'!$C$27:$G$32,4,FALSE)&amp;"_SIMUL")</f>
        <v>ON X.INSTRMNT_ID=Y.INSTRMNT_ID_SIMUL</v>
      </c>
      <c r="L86" s="35" t="str">
        <f>+IF(C86="Coerência", +IF(LEFT(G86,5)="FLOAT","SELECT '"&amp;UPPER(B86)&amp;"' AS TABELA, '"&amp;UPPER(C86)&amp;"' AS TIPOLOGIA_TESTE,'"&amp;D86&amp;"' AS TABELA_LT,'"&amp;E86&amp;"' AS TABELA_SIMUL,'"&amp;F86&amp;"' AS CAMPO, "&amp;"'${ref_date}' AS REF_DATE, COUNT(*) AS NUM_REG, SUM(IF((ABS(COALESCE(CAST(X."&amp;F86&amp;" AS DECIMAL(18,6)),0)-COALESCE(CAST(Y."&amp;F86&amp;"_SIMUL AS DECIMAL(18,6)),0))&gt;0.000001) OR (X."&amp;F86&amp;" IS NULL AND Y."&amp;F86&amp;"_SIMUL IS NOT NULL ) OR (X."&amp;F86&amp;" IS NOT NULL AND Y."&amp;F86&amp;"_SIMUL IS NULL),1,0)) AS NUM_REG_DIF,'"&amp;MAX('ID1&amp;5'!K:K)+1&amp;"' AS ID_EXEC, CURRENT_TIMESTAMP() AS TIME_EXEC FROM "&amp;I86&amp;" INNER JOIN "&amp;J86&amp;" "&amp;K86,"SELECT '"&amp;UPPER(B86)&amp;"' AS TABELA, '"&amp;UPPER(C86)&amp;"' AS TIPOLOGIA_TESTE,'"&amp;D86&amp;"' AS TABELA_LT,'"&amp;E86&amp;"' AS TABELA_SIMUL,'"&amp;F86&amp;"' AS CAMPO, "&amp;"'${ref_date}' AS REF_DATE, COUNT(*) AS NUM_REG, SUM(IF(COALESCE(CAST(X."&amp;F86&amp;" AS STRING),'')&lt;&gt;COALESCE(CAST(Y."&amp;F86&amp;"_SIMUL AS STRING),'') OR (X."&amp;F86&amp;" IS NULL AND Y."&amp;F86&amp;"_SIMUL IS NOT NULL ) OR (X."&amp;F86&amp;" IS NOT NULL AND Y."&amp;F86&amp;"_SIMUL IS NULL),1,0)) AS NUM_REG_DIF,'"&amp;MAX('ID1&amp;5'!L:L)+1&amp;"' AS ID_EXEC, CURRENT_TIMESTAMP() AS TIME_EXEC FROM "&amp;I86&amp;" INNER JOIN "&amp;J86&amp;" "&amp;K86),
IF(C86="Validade",+IF(G86="Code List","SELECT '"&amp;UPPER(B86)&amp;"' AS TABELA, '"&amp;UPPER(C86)&amp;"' AS TIPOLOGIA_TESTE,'"&amp;D86&amp;"' AS TABELA_LT,'N/A' AS TABELA_SIMUL,'"&amp;F86&amp;"' AS CAMPO, "&amp;"'${ref_date}' AS REF_DATE, COUNT(*) AS NUM_REG, SUM(IF(TRIM(CAST(X."&amp;F86&amp;" AS STRING))='' OR TRIM(CAST(X."&amp;F86&amp;" AS STRING)) IS NULL OR CAST(X."&amp;F86&amp;" AS STRING) NOT "&amp;H86&amp;",1,0)) AS NUM_REG_DIF,'"&amp;MAX('ID1&amp;5'!K:K)+1&amp;"' AS ID_EXEC, CURRENT_TIMESTAMP() AS TIME_EXEC FROM "&amp;I86,"SELECT '"&amp;UPPER(B86)&amp;"' AS TABELA, '"&amp;UPPER(C86)&amp;"' AS TIPOLOGIA_TESTE,'"&amp;D86&amp;"' AS TABELA_LT,'N/A' AS TABELA_SIMUL,'"&amp;F86&amp;"' AS CAMPO, "&amp;"'${ref_date}' AS REF_DATE, COUNT(*) AS NUM_REG, SUM(IF(TRIM(CAST(X."&amp;F86&amp;" AS STRING))='' OR TRIM(CAST(X."&amp;F86&amp;" AS STRING)) IS NULL,1,0)) AS NUM_REG_DIF,'"&amp;MAX('ID1&amp;5'!K:K)+1&amp;"' AS ID_EXEC, CURRENT_TIMESTAMP() AS TIME_EXEC FROM "&amp;I86),
IF(C86="Caracteres Especiais",+"SELECT '"&amp;UPPER(B86)&amp;"' AS TABELA, '"&amp;UPPER(C86)&amp;"' AS TIPOLOGIA_TESTE,'"&amp;D86&amp;"' AS TABELA_LT,'N/A' AS TABELA_SIMUL,'"&amp;F86&amp;"' AS CAMPO, "&amp;"'${ref_date}' AS REF_DATE, COUNT(*) AS NUM_REG, SUM(IF(REGEXP_REPLACE(TRIM(CAST(X."&amp;F86&amp;" AS STRING)),'[^a-zA-Z0-9_\\s]','') &lt;&gt;TRIM(CAST(X."&amp;F86&amp;" AS STRING)),1,0)) AS NUM_REG_DIF,'"&amp;MAX('ID1&amp;5'!K:K)+1&amp;"' AS ID_EXEC, CURRENT_TIMESTAMP() AS TIME_EXEC FROM "&amp;I86,
IF(C86="Missings",+"SELECT '"&amp;UPPER(B86)&amp;"' AS TABELA, '"&amp;UPPER(C86)&amp;"' AS TIPOLOGIA_TESTE,'"&amp;D86&amp;"' AS TABELA_LT,'N/A' AS TABELA_SIMUL,'"&amp;F86&amp;"' AS CAMPO, "&amp;"'${ref_date}' AS REF_DATE, COUNT(*) AS NUM_REG, SUM(IF(TRIM(CAST(X."&amp;F86&amp;" AS STRING)) IN ('0000-00-00','0001-01-01','9999-12-31','MISS','00000','99999999999','99999999999.00','99999999999.000000'),1,0)) AS NUM_REG_DIF,'"&amp;MAX('ID1&amp;5'!K:K)+1&amp;"' AS ID_EXEC, CURRENT_TIMESTAMP() AS TIME_EXEC FROM "&amp;I86,
IF(C86="Not applicable",+"SELECT '"&amp;UPPER(B86)&amp;"' AS TABELA, '"&amp;UPPER(C86)&amp;"' AS TIPOLOGIA_TESTE,'"&amp;D86&amp;"' AS TABELA_LT,'N/A' AS TABELA_SIMUL,'"&amp;F86&amp;"' AS CAMPO, "&amp;"'${ref_date}' AS REF_DATE, COUNT(*) AS NUM_REG, SUM(IF(TRIM(CAST(X."&amp;F86&amp;" AS STRING)) IN ('N/A','11111111111','11111111111.00','11111111111.000000','1111-11-11'),1,0)) AS NUM_REG_DIF,'"&amp;MAX('ID1&amp;5'!K:K)+1&amp;"' AS ID_EXEC, CURRENT_TIMESTAMP() AS TIME_EXEC FROM "&amp;I86,
IF(C86="Valores extremos",+"SELECT '"&amp;UPPER(B86)&amp;"' AS TABELA, '"&amp;UPPER(C86)&amp;"' AS TIPOLOGIA_TESTE,'"&amp;D86&amp;"' AS TABELA_LT,'N/A' AS TABELA_SIMUL,'"&amp;F86&amp;"' AS CAMPO, "&amp;"'${ref_date}' AS REF_DATE, CAST(MIN("&amp;F86&amp;") AS STRING) AS VALOR_MIN, CAST(MAX("&amp;F86&amp;") AS STRING) AS VALOR_MAX,'"&amp;MAX('ID1&amp;5'!K:K)+1&amp;"' AS ID_EXEC, CURRENT_TIMESTAMP() AS TIME_EXEC FROM "&amp;MID(I86,1,LEN(I86)-2)&amp;" AND CAST("&amp;F86&amp;"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TABELA_SIMUL,'flg_lbo' AS CAMPO, '${ref_date}' AS REF_DATE, COUNT(*) AS NUM_REG, SUM(IF(COALESCE(CAST(X.flg_lbo AS STRING),'')&lt;&gt;COALESCE(CAST(Y.flg_lbo_SIMUL AS STRING),'') OR (X.flg_lbo IS NULL AND Y.flg_lbo_SIMUL IS NOT NULL ) OR (X.flg_lbo IS NOT NULL AND Y.flg_lbo_SIMUL IS NULL),1,0)) AS NUM_REG_DIF,'1' AS ID_EXEC, CURRENT_TIMESTAMP() AS TIME_EXEC FROM (SELECT instrmnt_id, flg_lbo FROM BU_LOANTAPE_WORK.LT002_INSTRUMENT WHERE ref_date='${ref_date}' AND nome_perimetro='Individual Local' AND segmento='ESTR' AND ambito='SRB_MBDT' AND entidade='00100')X INNER JOIN (SELECT instrmnt_id AS instrmnt_id_SIMUL, flg_lbo AS flg_lbo_SIMUL FROM BU_LOANTAPE_WORK.SIMUL_LT002_INSTRUMENT WHERE ref_date='${ref_date}' AND nome_perimetro='Individual Local' AND segmento='ESTR' AND ambito='PILAR3' AND entidade='00100')Y ON X.INSTRMNT_ID=Y.INSTRMNT_ID_SIMUL</v>
      </c>
      <c r="M86" s="36" t="str">
        <f t="shared" si="4"/>
        <v>UNION ALL SELECT 'INSTRUMENT' AS TABELA, 'COERÊNCIA' AS TIPOLOGIA_TESTE,'BU_LOANTAPE_WORK.LT002_INSTRUMENT' AS TABELA_LT,'BU_LOANTAPE_WORK.SIMUL_LT002_INSTRUMENT' AS TABELA_SIMUL,'flg_lbo' AS CAMPO, '${ref_date}' AS REF_DATE, COUNT(*) AS NUM_REG, SUM(IF(COALESCE(CAST(X.flg_lbo AS STRING),'')&lt;&gt;COALESCE(CAST(Y.flg_lbo_SIMUL AS STRING),'') OR (X.flg_lbo IS NULL AND Y.flg_lbo_SIMUL IS NOT NULL ) OR (X.flg_lbo IS NOT NULL AND Y.flg_lbo_SIMUL IS NULL),1,0)) AS NUM_REG_DIF,'1' AS ID_EXEC, CURRENT_TIMESTAMP() AS TIME_EXEC FROM (SELECT instrmnt_id, flg_lbo FROM BU_LOANTAPE_WORK.LT002_INSTRUMENT WHERE ref_date='${ref_date}' AND nome_perimetro='Individual Local' AND segmento='ESTR' AND ambito='SRB_MBDT' AND entidade='00100')X INNER JOIN (SELECT instrmnt_id AS instrmnt_id_SIMUL, flg_lbo AS flg_lbo_SIMUL FROM BU_LOANTAPE_WORK.SIMUL_LT002_INSTRUMENT WHERE ref_date='${ref_date}' AND nome_perimetro='Individual Local' AND segmento='ESTR' AND ambito='PILAR3' AND entidade='00100')Y ON X.INSTRMNT_ID=Y.INSTRMNT_ID_SIMUL</v>
      </c>
      <c r="N86" s="38" t="s">
        <v>40</v>
      </c>
    </row>
    <row r="87" spans="2:14">
      <c r="B87" s="34" t="s">
        <v>117</v>
      </c>
      <c r="C87" s="34" t="s">
        <v>5</v>
      </c>
      <c r="D87" s="34" t="str">
        <f>+UPPER('0. Instruções'!$D$35&amp;"."&amp;VLOOKUP(B87,'0. Instruções'!$C$27:$D$32,2,FALSE))</f>
        <v>BU_LOANTAPE_WORK.LT002_INSTRUMENT</v>
      </c>
      <c r="E87" s="34" t="str">
        <f>+UPPER('0. Instruções'!$D$36&amp;"."&amp;VLOOKUP(B87,'0. Instruções'!$C$27:$E$32,3,FALSE))</f>
        <v>BU_LOANTAPE_WORK.SIMUL_LT002_INSTRUMENT</v>
      </c>
      <c r="F87" s="34" t="s">
        <v>302</v>
      </c>
      <c r="G87" s="34"/>
      <c r="H87" s="34"/>
      <c r="I87" s="34" t="str">
        <f>"(SELECT "&amp;VLOOKUP(B87,'0. Instruções'!$C$27:$G$32,4,FALSE)&amp;", "&amp;F87&amp;" FROM "&amp;D87&amp;" WHERE "&amp;'0. Instruções'!$D$42&amp;")X"</f>
        <v>(SELECT instrmnt_id, frbrnc_stts_instrmnt FROM BU_LOANTAPE_WORK.LT002_INSTRUMENT WHERE ref_date='${ref_date}' AND nome_perimetro='Individual Local' AND segmento='ESTR' AND ambito='SRB_MBDT' AND entidade='00100')X</v>
      </c>
      <c r="J87" s="34" t="str">
        <f>"(SELECT "&amp;VLOOKUP(B87,'0. Instruções'!$C$27:$G$32,4,FALSE)&amp;" AS "&amp;VLOOKUP(B87,'0. Instruções'!$C$27:$G$32,4,FALSE)&amp;"_SIMUL, "&amp;F87&amp;" AS "&amp;F87&amp;"_SIMUL FROM "&amp;E87&amp;" WHERE "&amp;'0. Instruções'!$D$43&amp;")Y"</f>
        <v>(SELECT instrmnt_id AS instrmnt_id_SIMUL, frbrnc_stts_instrmnt AS frbrnc_stts_instrmnt_SIMUL FROM BU_LOANTAPE_WORK.SIMUL_LT002_INSTRUMENT WHERE ref_date='${ref_date}' AND nome_perimetro='Individual Local' AND segmento='ESTR' AND ambito='PILAR3' AND entidade='00100')Y</v>
      </c>
      <c r="K87" s="35" t="str">
        <f>+UPPER("ON X."&amp;VLOOKUP(B87,'0. Instruções'!$C$27:$G$32,4,FALSE)&amp;"=Y."&amp;VLOOKUP(B87,'0. Instruções'!$C$27:$G$32,4,FALSE)&amp;"_SIMUL")</f>
        <v>ON X.INSTRMNT_ID=Y.INSTRMNT_ID_SIMUL</v>
      </c>
      <c r="L87" s="35" t="str">
        <f>+IF(C87="Coerência", +IF(LEFT(G87,5)="FLOAT","SELECT '"&amp;UPPER(B87)&amp;"' AS TABELA, '"&amp;UPPER(C87)&amp;"' AS TIPOLOGIA_TESTE,'"&amp;D87&amp;"' AS TABELA_LT,'"&amp;E87&amp;"' AS TABELA_SIMUL,'"&amp;F87&amp;"' AS CAMPO, "&amp;"'${ref_date}' AS REF_DATE, COUNT(*) AS NUM_REG, SUM(IF((ABS(COALESCE(CAST(X."&amp;F87&amp;" AS DECIMAL(18,6)),0)-COALESCE(CAST(Y."&amp;F87&amp;"_SIMUL AS DECIMAL(18,6)),0))&gt;0.000001) OR (X."&amp;F87&amp;" IS NULL AND Y."&amp;F87&amp;"_SIMUL IS NOT NULL ) OR (X."&amp;F87&amp;" IS NOT NULL AND Y."&amp;F87&amp;"_SIMUL IS NULL),1,0)) AS NUM_REG_DIF,'"&amp;MAX('ID1&amp;5'!K:K)+1&amp;"' AS ID_EXEC, CURRENT_TIMESTAMP() AS TIME_EXEC FROM "&amp;I87&amp;" INNER JOIN "&amp;J87&amp;" "&amp;K87,"SELECT '"&amp;UPPER(B87)&amp;"' AS TABELA, '"&amp;UPPER(C87)&amp;"' AS TIPOLOGIA_TESTE,'"&amp;D87&amp;"' AS TABELA_LT,'"&amp;E87&amp;"' AS TABELA_SIMUL,'"&amp;F87&amp;"' AS CAMPO, "&amp;"'${ref_date}' AS REF_DATE, COUNT(*) AS NUM_REG, SUM(IF(COALESCE(CAST(X."&amp;F87&amp;" AS STRING),'')&lt;&gt;COALESCE(CAST(Y."&amp;F87&amp;"_SIMUL AS STRING),'') OR (X."&amp;F87&amp;" IS NULL AND Y."&amp;F87&amp;"_SIMUL IS NOT NULL ) OR (X."&amp;F87&amp;" IS NOT NULL AND Y."&amp;F87&amp;"_SIMUL IS NULL),1,0)) AS NUM_REG_DIF,'"&amp;MAX('ID1&amp;5'!L:L)+1&amp;"' AS ID_EXEC, CURRENT_TIMESTAMP() AS TIME_EXEC FROM "&amp;I87&amp;" INNER JOIN "&amp;J87&amp;" "&amp;K87),
IF(C87="Validade",+IF(G87="Code List","SELECT '"&amp;UPPER(B87)&amp;"' AS TABELA, '"&amp;UPPER(C87)&amp;"' AS TIPOLOGIA_TESTE,'"&amp;D87&amp;"' AS TABELA_LT,'N/A' AS TABELA_SIMUL,'"&amp;F87&amp;"' AS CAMPO, "&amp;"'${ref_date}' AS REF_DATE, COUNT(*) AS NUM_REG, SUM(IF(TRIM(CAST(X."&amp;F87&amp;" AS STRING))='' OR TRIM(CAST(X."&amp;F87&amp;" AS STRING)) IS NULL OR CAST(X."&amp;F87&amp;" AS STRING) NOT "&amp;H87&amp;",1,0)) AS NUM_REG_DIF,'"&amp;MAX('ID1&amp;5'!K:K)+1&amp;"' AS ID_EXEC, CURRENT_TIMESTAMP() AS TIME_EXEC FROM "&amp;I87,"SELECT '"&amp;UPPER(B87)&amp;"' AS TABELA, '"&amp;UPPER(C87)&amp;"' AS TIPOLOGIA_TESTE,'"&amp;D87&amp;"' AS TABELA_LT,'N/A' AS TABELA_SIMUL,'"&amp;F87&amp;"' AS CAMPO, "&amp;"'${ref_date}' AS REF_DATE, COUNT(*) AS NUM_REG, SUM(IF(TRIM(CAST(X."&amp;F87&amp;" AS STRING))='' OR TRIM(CAST(X."&amp;F87&amp;" AS STRING)) IS NULL,1,0)) AS NUM_REG_DIF,'"&amp;MAX('ID1&amp;5'!K:K)+1&amp;"' AS ID_EXEC, CURRENT_TIMESTAMP() AS TIME_EXEC FROM "&amp;I87),
IF(C87="Caracteres Especiais",+"SELECT '"&amp;UPPER(B87)&amp;"' AS TABELA, '"&amp;UPPER(C87)&amp;"' AS TIPOLOGIA_TESTE,'"&amp;D87&amp;"' AS TABELA_LT,'N/A' AS TABELA_SIMUL,'"&amp;F87&amp;"' AS CAMPO, "&amp;"'${ref_date}' AS REF_DATE, COUNT(*) AS NUM_REG, SUM(IF(REGEXP_REPLACE(TRIM(CAST(X."&amp;F87&amp;" AS STRING)),'[^a-zA-Z0-9_\\s]','') &lt;&gt;TRIM(CAST(X."&amp;F87&amp;" AS STRING)),1,0)) AS NUM_REG_DIF,'"&amp;MAX('ID1&amp;5'!K:K)+1&amp;"' AS ID_EXEC, CURRENT_TIMESTAMP() AS TIME_EXEC FROM "&amp;I87,
IF(C87="Missings",+"SELECT '"&amp;UPPER(B87)&amp;"' AS TABELA, '"&amp;UPPER(C87)&amp;"' AS TIPOLOGIA_TESTE,'"&amp;D87&amp;"' AS TABELA_LT,'N/A' AS TABELA_SIMUL,'"&amp;F87&amp;"' AS CAMPO, "&amp;"'${ref_date}' AS REF_DATE, COUNT(*) AS NUM_REG, SUM(IF(TRIM(CAST(X."&amp;F87&amp;" AS STRING)) IN ('0000-00-00','0001-01-01','9999-12-31','MISS','00000','99999999999','99999999999.00','99999999999.000000'),1,0)) AS NUM_REG_DIF,'"&amp;MAX('ID1&amp;5'!K:K)+1&amp;"' AS ID_EXEC, CURRENT_TIMESTAMP() AS TIME_EXEC FROM "&amp;I87,
IF(C87="Not applicable",+"SELECT '"&amp;UPPER(B87)&amp;"' AS TABELA, '"&amp;UPPER(C87)&amp;"' AS TIPOLOGIA_TESTE,'"&amp;D87&amp;"' AS TABELA_LT,'N/A' AS TABELA_SIMUL,'"&amp;F87&amp;"' AS CAMPO, "&amp;"'${ref_date}' AS REF_DATE, COUNT(*) AS NUM_REG, SUM(IF(TRIM(CAST(X."&amp;F87&amp;" AS STRING)) IN ('N/A','11111111111','11111111111.00','11111111111.000000','1111-11-11'),1,0)) AS NUM_REG_DIF,'"&amp;MAX('ID1&amp;5'!K:K)+1&amp;"' AS ID_EXEC, CURRENT_TIMESTAMP() AS TIME_EXEC FROM "&amp;I87,
IF(C87="Valores extremos",+"SELECT '"&amp;UPPER(B87)&amp;"' AS TABELA, '"&amp;UPPER(C87)&amp;"' AS TIPOLOGIA_TESTE,'"&amp;D87&amp;"' AS TABELA_LT,'N/A' AS TABELA_SIMUL,'"&amp;F87&amp;"' AS CAMPO, "&amp;"'${ref_date}' AS REF_DATE, CAST(MIN("&amp;F87&amp;") AS STRING) AS VALOR_MIN, CAST(MAX("&amp;F87&amp;") AS STRING) AS VALOR_MAX,'"&amp;MAX('ID1&amp;5'!K:K)+1&amp;"' AS ID_EXEC, CURRENT_TIMESTAMP() AS TIME_EXEC FROM "&amp;MID(I87,1,LEN(I87)-2)&amp;" AND CAST("&amp;F87&amp;"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TABELA_SIMUL,'frbrnc_stts_instrmnt' AS CAMPO, '${ref_date}' AS REF_DATE, COUNT(*) AS NUM_REG, SUM(IF(COALESCE(CAST(X.frbrnc_stts_instrmnt AS STRING),'')&lt;&gt;COALESCE(CAST(Y.frbrnc_stts_instrmnt_SIMUL AS STRING),'') OR (X.frbrnc_stts_instrmnt IS NULL AND Y.frbrnc_stts_instrmnt_SIMUL IS NOT NULL ) OR (X.frbrnc_stts_instrmnt IS NOT NULL AND Y.frbrnc_stts_instrmnt_SIMUL IS NULL),1,0)) AS NUM_REG_DIF,'1' AS ID_EXEC, CURRENT_TIMESTAMP() AS TIME_EXEC FROM (SELECT instrmnt_id, frbrnc_stts_instrmnt FROM BU_LOANTAPE_WORK.LT002_INSTRUMENT WHERE ref_date='${ref_date}' AND nome_perimetro='Individual Local' AND segmento='ESTR' AND ambito='SRB_MBDT' AND entidade='00100')X INNER JOIN (SELECT instrmnt_id AS instrmnt_id_SIMUL, frbrnc_stts_instrmnt AS frbrnc_stts_instrmnt_SIMUL FROM BU_LOANTAPE_WORK.SIMUL_LT002_INSTRUMENT WHERE ref_date='${ref_date}' AND nome_perimetro='Individual Local' AND segmento='ESTR' AND ambito='PILAR3' AND entidade='00100')Y ON X.INSTRMNT_ID=Y.INSTRMNT_ID_SIMUL</v>
      </c>
      <c r="M87" s="36" t="str">
        <f t="shared" si="4"/>
        <v>UNION ALL SELECT 'INSTRUMENT' AS TABELA, 'COERÊNCIA' AS TIPOLOGIA_TESTE,'BU_LOANTAPE_WORK.LT002_INSTRUMENT' AS TABELA_LT,'BU_LOANTAPE_WORK.SIMUL_LT002_INSTRUMENT' AS TABELA_SIMUL,'frbrnc_stts_instrmnt' AS CAMPO, '${ref_date}' AS REF_DATE, COUNT(*) AS NUM_REG, SUM(IF(COALESCE(CAST(X.frbrnc_stts_instrmnt AS STRING),'')&lt;&gt;COALESCE(CAST(Y.frbrnc_stts_instrmnt_SIMUL AS STRING),'') OR (X.frbrnc_stts_instrmnt IS NULL AND Y.frbrnc_stts_instrmnt_SIMUL IS NOT NULL ) OR (X.frbrnc_stts_instrmnt IS NOT NULL AND Y.frbrnc_stts_instrmnt_SIMUL IS NULL),1,0)) AS NUM_REG_DIF,'1' AS ID_EXEC, CURRENT_TIMESTAMP() AS TIME_EXEC FROM (SELECT instrmnt_id, frbrnc_stts_instrmnt FROM BU_LOANTAPE_WORK.LT002_INSTRUMENT WHERE ref_date='${ref_date}' AND nome_perimetro='Individual Local' AND segmento='ESTR' AND ambito='SRB_MBDT' AND entidade='00100')X INNER JOIN (SELECT instrmnt_id AS instrmnt_id_SIMUL, frbrnc_stts_instrmnt AS frbrnc_stts_instrmnt_SIMUL FROM BU_LOANTAPE_WORK.SIMUL_LT002_INSTRUMENT WHERE ref_date='${ref_date}' AND nome_perimetro='Individual Local' AND segmento='ESTR' AND ambito='PILAR3' AND entidade='00100')Y ON X.INSTRMNT_ID=Y.INSTRMNT_ID_SIMUL</v>
      </c>
      <c r="N87" s="38" t="s">
        <v>40</v>
      </c>
    </row>
    <row r="88" spans="2:14">
      <c r="B88" s="34" t="s">
        <v>117</v>
      </c>
      <c r="C88" s="34" t="s">
        <v>5</v>
      </c>
      <c r="D88" s="34" t="str">
        <f>+UPPER('0. Instruções'!$D$35&amp;"."&amp;VLOOKUP(B88,'0. Instruções'!$C$27:$D$32,2,FALSE))</f>
        <v>BU_LOANTAPE_WORK.LT002_INSTRUMENT</v>
      </c>
      <c r="E88" s="34" t="str">
        <f>+UPPER('0. Instruções'!$D$36&amp;"."&amp;VLOOKUP(B88,'0. Instruções'!$C$27:$E$32,3,FALSE))</f>
        <v>BU_LOANTAPE_WORK.SIMUL_LT002_INSTRUMENT</v>
      </c>
      <c r="F88" s="34" t="s">
        <v>643</v>
      </c>
      <c r="G88" s="34"/>
      <c r="H88" s="34"/>
      <c r="I88" s="34" t="str">
        <f>"(SELECT "&amp;VLOOKUP(B88,'0. Instruções'!$C$27:$G$32,4,FALSE)&amp;", "&amp;F88&amp;" FROM "&amp;D88&amp;" WHERE "&amp;'0. Instruções'!$D$42&amp;")X"</f>
        <v>(SELECT instrmnt_id, imprmnt_stts FROM BU_LOANTAPE_WORK.LT002_INSTRUMENT WHERE ref_date='${ref_date}' AND nome_perimetro='Individual Local' AND segmento='ESTR' AND ambito='SRB_MBDT' AND entidade='00100')X</v>
      </c>
      <c r="J88" s="34" t="str">
        <f>"(SELECT "&amp;VLOOKUP(B88,'0. Instruções'!$C$27:$G$32,4,FALSE)&amp;" AS "&amp;VLOOKUP(B88,'0. Instruções'!$C$27:$G$32,4,FALSE)&amp;"_SIMUL, "&amp;F88&amp;" AS "&amp;F88&amp;"_SIMUL FROM "&amp;E88&amp;" WHERE "&amp;'0. Instruções'!$D$43&amp;")Y"</f>
        <v>(SELECT instrmnt_id AS instrmnt_id_SIMUL, imprmnt_stts AS imprmnt_stts_SIMUL FROM BU_LOANTAPE_WORK.SIMUL_LT002_INSTRUMENT WHERE ref_date='${ref_date}' AND nome_perimetro='Individual Local' AND segmento='ESTR' AND ambito='PILAR3' AND entidade='00100')Y</v>
      </c>
      <c r="K88" s="35" t="str">
        <f>+UPPER("ON X."&amp;VLOOKUP(B88,'0. Instruções'!$C$27:$G$32,4,FALSE)&amp;"=Y."&amp;VLOOKUP(B88,'0. Instruções'!$C$27:$G$32,4,FALSE)&amp;"_SIMUL")</f>
        <v>ON X.INSTRMNT_ID=Y.INSTRMNT_ID_SIMUL</v>
      </c>
      <c r="L88" s="35" t="str">
        <f>+IF(C88="Coerência", +IF(LEFT(G88,5)="FLOAT","SELECT '"&amp;UPPER(B88)&amp;"' AS TABELA, '"&amp;UPPER(C88)&amp;"' AS TIPOLOGIA_TESTE,'"&amp;D88&amp;"' AS TABELA_LT,'"&amp;E88&amp;"' AS TABELA_SIMUL,'"&amp;F88&amp;"' AS CAMPO, "&amp;"'${ref_date}' AS REF_DATE, COUNT(*) AS NUM_REG, SUM(IF((ABS(COALESCE(CAST(X."&amp;F88&amp;" AS DECIMAL(18,6)),0)-COALESCE(CAST(Y."&amp;F88&amp;"_SIMUL AS DECIMAL(18,6)),0))&gt;0.000001) OR (X."&amp;F88&amp;" IS NULL AND Y."&amp;F88&amp;"_SIMUL IS NOT NULL ) OR (X."&amp;F88&amp;" IS NOT NULL AND Y."&amp;F88&amp;"_SIMUL IS NULL),1,0)) AS NUM_REG_DIF,'"&amp;MAX('ID1&amp;5'!K:K)+1&amp;"' AS ID_EXEC, CURRENT_TIMESTAMP() AS TIME_EXEC FROM "&amp;I88&amp;" INNER JOIN "&amp;J88&amp;" "&amp;K88,"SELECT '"&amp;UPPER(B88)&amp;"' AS TABELA, '"&amp;UPPER(C88)&amp;"' AS TIPOLOGIA_TESTE,'"&amp;D88&amp;"' AS TABELA_LT,'"&amp;E88&amp;"' AS TABELA_SIMUL,'"&amp;F88&amp;"' AS CAMPO, "&amp;"'${ref_date}' AS REF_DATE, COUNT(*) AS NUM_REG, SUM(IF(COALESCE(CAST(X."&amp;F88&amp;" AS STRING),'')&lt;&gt;COALESCE(CAST(Y."&amp;F88&amp;"_SIMUL AS STRING),'') OR (X."&amp;F88&amp;" IS NULL AND Y."&amp;F88&amp;"_SIMUL IS NOT NULL ) OR (X."&amp;F88&amp;" IS NOT NULL AND Y."&amp;F88&amp;"_SIMUL IS NULL),1,0)) AS NUM_REG_DIF,'"&amp;MAX('ID1&amp;5'!L:L)+1&amp;"' AS ID_EXEC, CURRENT_TIMESTAMP() AS TIME_EXEC FROM "&amp;I88&amp;" INNER JOIN "&amp;J88&amp;" "&amp;K88),
IF(C88="Validade",+IF(G88="Code List","SELECT '"&amp;UPPER(B88)&amp;"' AS TABELA, '"&amp;UPPER(C88)&amp;"' AS TIPOLOGIA_TESTE,'"&amp;D88&amp;"' AS TABELA_LT,'N/A' AS TABELA_SIMUL,'"&amp;F88&amp;"' AS CAMPO, "&amp;"'${ref_date}' AS REF_DATE, COUNT(*) AS NUM_REG, SUM(IF(TRIM(CAST(X."&amp;F88&amp;" AS STRING))='' OR TRIM(CAST(X."&amp;F88&amp;" AS STRING)) IS NULL OR CAST(X."&amp;F88&amp;" AS STRING) NOT "&amp;H88&amp;",1,0)) AS NUM_REG_DIF,'"&amp;MAX('ID1&amp;5'!K:K)+1&amp;"' AS ID_EXEC, CURRENT_TIMESTAMP() AS TIME_EXEC FROM "&amp;I88,"SELECT '"&amp;UPPER(B88)&amp;"' AS TABELA, '"&amp;UPPER(C88)&amp;"' AS TIPOLOGIA_TESTE,'"&amp;D88&amp;"' AS TABELA_LT,'N/A' AS TABELA_SIMUL,'"&amp;F88&amp;"' AS CAMPO, "&amp;"'${ref_date}' AS REF_DATE, COUNT(*) AS NUM_REG, SUM(IF(TRIM(CAST(X."&amp;F88&amp;" AS STRING))='' OR TRIM(CAST(X."&amp;F88&amp;" AS STRING)) IS NULL,1,0)) AS NUM_REG_DIF,'"&amp;MAX('ID1&amp;5'!K:K)+1&amp;"' AS ID_EXEC, CURRENT_TIMESTAMP() AS TIME_EXEC FROM "&amp;I88),
IF(C88="Caracteres Especiais",+"SELECT '"&amp;UPPER(B88)&amp;"' AS TABELA, '"&amp;UPPER(C88)&amp;"' AS TIPOLOGIA_TESTE,'"&amp;D88&amp;"' AS TABELA_LT,'N/A' AS TABELA_SIMUL,'"&amp;F88&amp;"' AS CAMPO, "&amp;"'${ref_date}' AS REF_DATE, COUNT(*) AS NUM_REG, SUM(IF(REGEXP_REPLACE(TRIM(CAST(X."&amp;F88&amp;" AS STRING)),'[^a-zA-Z0-9_\\s]','') &lt;&gt;TRIM(CAST(X."&amp;F88&amp;" AS STRING)),1,0)) AS NUM_REG_DIF,'"&amp;MAX('ID1&amp;5'!K:K)+1&amp;"' AS ID_EXEC, CURRENT_TIMESTAMP() AS TIME_EXEC FROM "&amp;I88,
IF(C88="Missings",+"SELECT '"&amp;UPPER(B88)&amp;"' AS TABELA, '"&amp;UPPER(C88)&amp;"' AS TIPOLOGIA_TESTE,'"&amp;D88&amp;"' AS TABELA_LT,'N/A' AS TABELA_SIMUL,'"&amp;F88&amp;"' AS CAMPO, "&amp;"'${ref_date}' AS REF_DATE, COUNT(*) AS NUM_REG, SUM(IF(TRIM(CAST(X."&amp;F88&amp;" AS STRING)) IN ('0000-00-00','0001-01-01','9999-12-31','MISS','00000','99999999999','99999999999.00','99999999999.000000'),1,0)) AS NUM_REG_DIF,'"&amp;MAX('ID1&amp;5'!K:K)+1&amp;"' AS ID_EXEC, CURRENT_TIMESTAMP() AS TIME_EXEC FROM "&amp;I88,
IF(C88="Not applicable",+"SELECT '"&amp;UPPER(B88)&amp;"' AS TABELA, '"&amp;UPPER(C88)&amp;"' AS TIPOLOGIA_TESTE,'"&amp;D88&amp;"' AS TABELA_LT,'N/A' AS TABELA_SIMUL,'"&amp;F88&amp;"' AS CAMPO, "&amp;"'${ref_date}' AS REF_DATE, COUNT(*) AS NUM_REG, SUM(IF(TRIM(CAST(X."&amp;F88&amp;" AS STRING)) IN ('N/A','11111111111','11111111111.00','11111111111.000000','1111-11-11'),1,0)) AS NUM_REG_DIF,'"&amp;MAX('ID1&amp;5'!K:K)+1&amp;"' AS ID_EXEC, CURRENT_TIMESTAMP() AS TIME_EXEC FROM "&amp;I88,
IF(C88="Valores extremos",+"SELECT '"&amp;UPPER(B88)&amp;"' AS TABELA, '"&amp;UPPER(C88)&amp;"' AS TIPOLOGIA_TESTE,'"&amp;D88&amp;"' AS TABELA_LT,'N/A' AS TABELA_SIMUL,'"&amp;F88&amp;"' AS CAMPO, "&amp;"'${ref_date}' AS REF_DATE, CAST(MIN("&amp;F88&amp;") AS STRING) AS VALOR_MIN, CAST(MAX("&amp;F88&amp;") AS STRING) AS VALOR_MAX,'"&amp;MAX('ID1&amp;5'!K:K)+1&amp;"' AS ID_EXEC, CURRENT_TIMESTAMP() AS TIME_EXEC FROM "&amp;MID(I88,1,LEN(I88)-2)&amp;" AND CAST("&amp;F88&amp;"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TABELA_SIMUL,'imprmnt_stts' AS CAMPO, '${ref_date}' AS REF_DATE, COUNT(*) AS NUM_REG, SUM(IF(COALESCE(CAST(X.imprmnt_stts AS STRING),'')&lt;&gt;COALESCE(CAST(Y.imprmnt_stts_SIMUL AS STRING),'') OR (X.imprmnt_stts IS NULL AND Y.imprmnt_stts_SIMUL IS NOT NULL ) OR (X.imprmnt_stts IS NOT NULL AND Y.imprmnt_stts_SIMUL IS NULL),1,0)) AS NUM_REG_DIF,'1' AS ID_EXEC, CURRENT_TIMESTAMP() AS TIME_EXEC FROM (SELECT instrmnt_id, imprmnt_stts FROM BU_LOANTAPE_WORK.LT002_INSTRUMENT WHERE ref_date='${ref_date}' AND nome_perimetro='Individual Local' AND segmento='ESTR' AND ambito='SRB_MBDT' AND entidade='00100')X INNER JOIN (SELECT instrmnt_id AS instrmnt_id_SIMUL, imprmnt_stts AS imprmnt_stts_SIMUL FROM BU_LOANTAPE_WORK.SIMUL_LT002_INSTRUMENT WHERE ref_date='${ref_date}' AND nome_perimetro='Individual Local' AND segmento='ESTR' AND ambito='PILAR3' AND entidade='00100')Y ON X.INSTRMNT_ID=Y.INSTRMNT_ID_SIMUL</v>
      </c>
      <c r="M88" s="36" t="str">
        <f t="shared" si="4"/>
        <v>UNION ALL SELECT 'INSTRUMENT' AS TABELA, 'COERÊNCIA' AS TIPOLOGIA_TESTE,'BU_LOANTAPE_WORK.LT002_INSTRUMENT' AS TABELA_LT,'BU_LOANTAPE_WORK.SIMUL_LT002_INSTRUMENT' AS TABELA_SIMUL,'imprmnt_stts' AS CAMPO, '${ref_date}' AS REF_DATE, COUNT(*) AS NUM_REG, SUM(IF(COALESCE(CAST(X.imprmnt_stts AS STRING),'')&lt;&gt;COALESCE(CAST(Y.imprmnt_stts_SIMUL AS STRING),'') OR (X.imprmnt_stts IS NULL AND Y.imprmnt_stts_SIMUL IS NOT NULL ) OR (X.imprmnt_stts IS NOT NULL AND Y.imprmnt_stts_SIMUL IS NULL),1,0)) AS NUM_REG_DIF,'1' AS ID_EXEC, CURRENT_TIMESTAMP() AS TIME_EXEC FROM (SELECT instrmnt_id, imprmnt_stts FROM BU_LOANTAPE_WORK.LT002_INSTRUMENT WHERE ref_date='${ref_date}' AND nome_perimetro='Individual Local' AND segmento='ESTR' AND ambito='SRB_MBDT' AND entidade='00100')X INNER JOIN (SELECT instrmnt_id AS instrmnt_id_SIMUL, imprmnt_stts AS imprmnt_stts_SIMUL FROM BU_LOANTAPE_WORK.SIMUL_LT002_INSTRUMENT WHERE ref_date='${ref_date}' AND nome_perimetro='Individual Local' AND segmento='ESTR' AND ambito='PILAR3' AND entidade='00100')Y ON X.INSTRMNT_ID=Y.INSTRMNT_ID_SIMUL</v>
      </c>
      <c r="N88" s="38" t="s">
        <v>40</v>
      </c>
    </row>
    <row r="89" spans="2:14">
      <c r="B89" s="34" t="s">
        <v>117</v>
      </c>
      <c r="C89" s="34" t="s">
        <v>5</v>
      </c>
      <c r="D89" s="34" t="str">
        <f>+UPPER('0. Instruções'!$D$35&amp;"."&amp;VLOOKUP(B89,'0. Instruções'!$C$27:$D$32,2,FALSE))</f>
        <v>BU_LOANTAPE_WORK.LT002_INSTRUMENT</v>
      </c>
      <c r="E89" s="34" t="str">
        <f>+UPPER('0. Instruções'!$D$36&amp;"."&amp;VLOOKUP(B89,'0. Instruções'!$C$27:$E$32,3,FALSE))</f>
        <v>BU_LOANTAPE_WORK.SIMUL_LT002_INSTRUMENT</v>
      </c>
      <c r="F89" s="34" t="s">
        <v>304</v>
      </c>
      <c r="G89" s="34"/>
      <c r="H89" s="34"/>
      <c r="I89" s="34" t="str">
        <f>"(SELECT "&amp;VLOOKUP(B89,'0. Instruções'!$C$27:$G$32,4,FALSE)&amp;", "&amp;F89&amp;" FROM "&amp;D89&amp;" WHERE "&amp;'0. Instruções'!$D$42&amp;")X"</f>
        <v>(SELECT instrmnt_id, imprmnt_stts_prvs FROM BU_LOANTAPE_WORK.LT002_INSTRUMENT WHERE ref_date='${ref_date}' AND nome_perimetro='Individual Local' AND segmento='ESTR' AND ambito='SRB_MBDT' AND entidade='00100')X</v>
      </c>
      <c r="J89" s="34" t="str">
        <f>"(SELECT "&amp;VLOOKUP(B89,'0. Instruções'!$C$27:$G$32,4,FALSE)&amp;" AS "&amp;VLOOKUP(B89,'0. Instruções'!$C$27:$G$32,4,FALSE)&amp;"_SIMUL, "&amp;F89&amp;" AS "&amp;F89&amp;"_SIMUL FROM "&amp;E89&amp;" WHERE "&amp;'0. Instruções'!$D$43&amp;")Y"</f>
        <v>(SELECT instrmnt_id AS instrmnt_id_SIMUL, imprmnt_stts_prvs AS imprmnt_stts_prvs_SIMUL FROM BU_LOANTAPE_WORK.SIMUL_LT002_INSTRUMENT WHERE ref_date='${ref_date}' AND nome_perimetro='Individual Local' AND segmento='ESTR' AND ambito='PILAR3' AND entidade='00100')Y</v>
      </c>
      <c r="K89" s="35" t="str">
        <f>+UPPER("ON X."&amp;VLOOKUP(B89,'0. Instruções'!$C$27:$G$32,4,FALSE)&amp;"=Y."&amp;VLOOKUP(B89,'0. Instruções'!$C$27:$G$32,4,FALSE)&amp;"_SIMUL")</f>
        <v>ON X.INSTRMNT_ID=Y.INSTRMNT_ID_SIMUL</v>
      </c>
      <c r="L89" s="35" t="str">
        <f>+IF(C89="Coerência", +IF(LEFT(G89,5)="FLOAT","SELECT '"&amp;UPPER(B89)&amp;"' AS TABELA, '"&amp;UPPER(C89)&amp;"' AS TIPOLOGIA_TESTE,'"&amp;D89&amp;"' AS TABELA_LT,'"&amp;E89&amp;"' AS TABELA_SIMUL,'"&amp;F89&amp;"' AS CAMPO, "&amp;"'${ref_date}' AS REF_DATE, COUNT(*) AS NUM_REG, SUM(IF((ABS(COALESCE(CAST(X."&amp;F89&amp;" AS DECIMAL(18,6)),0)-COALESCE(CAST(Y."&amp;F89&amp;"_SIMUL AS DECIMAL(18,6)),0))&gt;0.000001) OR (X."&amp;F89&amp;" IS NULL AND Y."&amp;F89&amp;"_SIMUL IS NOT NULL ) OR (X."&amp;F89&amp;" IS NOT NULL AND Y."&amp;F89&amp;"_SIMUL IS NULL),1,0)) AS NUM_REG_DIF,'"&amp;MAX('ID1&amp;5'!K:K)+1&amp;"' AS ID_EXEC, CURRENT_TIMESTAMP() AS TIME_EXEC FROM "&amp;I89&amp;" INNER JOIN "&amp;J89&amp;" "&amp;K89,"SELECT '"&amp;UPPER(B89)&amp;"' AS TABELA, '"&amp;UPPER(C89)&amp;"' AS TIPOLOGIA_TESTE,'"&amp;D89&amp;"' AS TABELA_LT,'"&amp;E89&amp;"' AS TABELA_SIMUL,'"&amp;F89&amp;"' AS CAMPO, "&amp;"'${ref_date}' AS REF_DATE, COUNT(*) AS NUM_REG, SUM(IF(COALESCE(CAST(X."&amp;F89&amp;" AS STRING),'')&lt;&gt;COALESCE(CAST(Y."&amp;F89&amp;"_SIMUL AS STRING),'') OR (X."&amp;F89&amp;" IS NULL AND Y."&amp;F89&amp;"_SIMUL IS NOT NULL ) OR (X."&amp;F89&amp;" IS NOT NULL AND Y."&amp;F89&amp;"_SIMUL IS NULL),1,0)) AS NUM_REG_DIF,'"&amp;MAX('ID1&amp;5'!L:L)+1&amp;"' AS ID_EXEC, CURRENT_TIMESTAMP() AS TIME_EXEC FROM "&amp;I89&amp;" INNER JOIN "&amp;J89&amp;" "&amp;K89),
IF(C89="Validade",+IF(G89="Code List","SELECT '"&amp;UPPER(B89)&amp;"' AS TABELA, '"&amp;UPPER(C89)&amp;"' AS TIPOLOGIA_TESTE,'"&amp;D89&amp;"' AS TABELA_LT,'N/A' AS TABELA_SIMUL,'"&amp;F89&amp;"' AS CAMPO, "&amp;"'${ref_date}' AS REF_DATE, COUNT(*) AS NUM_REG, SUM(IF(TRIM(CAST(X."&amp;F89&amp;" AS STRING))='' OR TRIM(CAST(X."&amp;F89&amp;" AS STRING)) IS NULL OR CAST(X."&amp;F89&amp;" AS STRING) NOT "&amp;H89&amp;",1,0)) AS NUM_REG_DIF,'"&amp;MAX('ID1&amp;5'!K:K)+1&amp;"' AS ID_EXEC, CURRENT_TIMESTAMP() AS TIME_EXEC FROM "&amp;I89,"SELECT '"&amp;UPPER(B89)&amp;"' AS TABELA, '"&amp;UPPER(C89)&amp;"' AS TIPOLOGIA_TESTE,'"&amp;D89&amp;"' AS TABELA_LT,'N/A' AS TABELA_SIMUL,'"&amp;F89&amp;"' AS CAMPO, "&amp;"'${ref_date}' AS REF_DATE, COUNT(*) AS NUM_REG, SUM(IF(TRIM(CAST(X."&amp;F89&amp;" AS STRING))='' OR TRIM(CAST(X."&amp;F89&amp;" AS STRING)) IS NULL,1,0)) AS NUM_REG_DIF,'"&amp;MAX('ID1&amp;5'!K:K)+1&amp;"' AS ID_EXEC, CURRENT_TIMESTAMP() AS TIME_EXEC FROM "&amp;I89),
IF(C89="Caracteres Especiais",+"SELECT '"&amp;UPPER(B89)&amp;"' AS TABELA, '"&amp;UPPER(C89)&amp;"' AS TIPOLOGIA_TESTE,'"&amp;D89&amp;"' AS TABELA_LT,'N/A' AS TABELA_SIMUL,'"&amp;F89&amp;"' AS CAMPO, "&amp;"'${ref_date}' AS REF_DATE, COUNT(*) AS NUM_REG, SUM(IF(REGEXP_REPLACE(TRIM(CAST(X."&amp;F89&amp;" AS STRING)),'[^a-zA-Z0-9_\\s]','') &lt;&gt;TRIM(CAST(X."&amp;F89&amp;" AS STRING)),1,0)) AS NUM_REG_DIF,'"&amp;MAX('ID1&amp;5'!K:K)+1&amp;"' AS ID_EXEC, CURRENT_TIMESTAMP() AS TIME_EXEC FROM "&amp;I89,
IF(C89="Missings",+"SELECT '"&amp;UPPER(B89)&amp;"' AS TABELA, '"&amp;UPPER(C89)&amp;"' AS TIPOLOGIA_TESTE,'"&amp;D89&amp;"' AS TABELA_LT,'N/A' AS TABELA_SIMUL,'"&amp;F89&amp;"' AS CAMPO, "&amp;"'${ref_date}' AS REF_DATE, COUNT(*) AS NUM_REG, SUM(IF(TRIM(CAST(X."&amp;F89&amp;" AS STRING)) IN ('0000-00-00','0001-01-01','9999-12-31','MISS','00000','99999999999','99999999999.00','99999999999.000000'),1,0)) AS NUM_REG_DIF,'"&amp;MAX('ID1&amp;5'!K:K)+1&amp;"' AS ID_EXEC, CURRENT_TIMESTAMP() AS TIME_EXEC FROM "&amp;I89,
IF(C89="Not applicable",+"SELECT '"&amp;UPPER(B89)&amp;"' AS TABELA, '"&amp;UPPER(C89)&amp;"' AS TIPOLOGIA_TESTE,'"&amp;D89&amp;"' AS TABELA_LT,'N/A' AS TABELA_SIMUL,'"&amp;F89&amp;"' AS CAMPO, "&amp;"'${ref_date}' AS REF_DATE, COUNT(*) AS NUM_REG, SUM(IF(TRIM(CAST(X."&amp;F89&amp;" AS STRING)) IN ('N/A','11111111111','11111111111.00','11111111111.000000','1111-11-11'),1,0)) AS NUM_REG_DIF,'"&amp;MAX('ID1&amp;5'!K:K)+1&amp;"' AS ID_EXEC, CURRENT_TIMESTAMP() AS TIME_EXEC FROM "&amp;I89,
IF(C89="Valores extremos",+"SELECT '"&amp;UPPER(B89)&amp;"' AS TABELA, '"&amp;UPPER(C89)&amp;"' AS TIPOLOGIA_TESTE,'"&amp;D89&amp;"' AS TABELA_LT,'N/A' AS TABELA_SIMUL,'"&amp;F89&amp;"' AS CAMPO, "&amp;"'${ref_date}' AS REF_DATE, CAST(MIN("&amp;F89&amp;") AS STRING) AS VALOR_MIN, CAST(MAX("&amp;F89&amp;") AS STRING) AS VALOR_MAX,'"&amp;MAX('ID1&amp;5'!K:K)+1&amp;"' AS ID_EXEC, CURRENT_TIMESTAMP() AS TIME_EXEC FROM "&amp;MID(I89,1,LEN(I89)-2)&amp;" AND CAST("&amp;F89&amp;"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TABELA_SIMUL,'imprmnt_stts_prvs' AS CAMPO, '${ref_date}' AS REF_DATE, COUNT(*) AS NUM_REG, SUM(IF(COALESCE(CAST(X.imprmnt_stts_prvs AS STRING),'')&lt;&gt;COALESCE(CAST(Y.imprmnt_stts_prvs_SIMUL AS STRING),'') OR (X.imprmnt_stts_prvs IS NULL AND Y.imprmnt_stts_prvs_SIMUL IS NOT NULL ) OR (X.imprmnt_stts_prvs IS NOT NULL AND Y.imprmnt_stts_prvs_SIMUL IS NULL),1,0)) AS NUM_REG_DIF,'1' AS ID_EXEC, CURRENT_TIMESTAMP() AS TIME_EXEC FROM (SELECT instrmnt_id, imprmnt_stts_prvs FROM BU_LOANTAPE_WORK.LT002_INSTRUMENT WHERE ref_date='${ref_date}' AND nome_perimetro='Individual Local' AND segmento='ESTR' AND ambito='SRB_MBDT' AND entidade='00100')X INNER JOIN (SELECT instrmnt_id AS instrmnt_id_SIMUL, imprmnt_stts_prvs AS imprmnt_stts_prvs_SIMUL FROM BU_LOANTAPE_WORK.SIMUL_LT002_INSTRUMENT WHERE ref_date='${ref_date}' AND nome_perimetro='Individual Local' AND segmento='ESTR' AND ambito='PILAR3' AND entidade='00100')Y ON X.INSTRMNT_ID=Y.INSTRMNT_ID_SIMUL</v>
      </c>
      <c r="M89" s="36" t="str">
        <f t="shared" si="4"/>
        <v>UNION ALL SELECT 'INSTRUMENT' AS TABELA, 'COERÊNCIA' AS TIPOLOGIA_TESTE,'BU_LOANTAPE_WORK.LT002_INSTRUMENT' AS TABELA_LT,'BU_LOANTAPE_WORK.SIMUL_LT002_INSTRUMENT' AS TABELA_SIMUL,'imprmnt_stts_prvs' AS CAMPO, '${ref_date}' AS REF_DATE, COUNT(*) AS NUM_REG, SUM(IF(COALESCE(CAST(X.imprmnt_stts_prvs AS STRING),'')&lt;&gt;COALESCE(CAST(Y.imprmnt_stts_prvs_SIMUL AS STRING),'') OR (X.imprmnt_stts_prvs IS NULL AND Y.imprmnt_stts_prvs_SIMUL IS NOT NULL ) OR (X.imprmnt_stts_prvs IS NOT NULL AND Y.imprmnt_stts_prvs_SIMUL IS NULL),1,0)) AS NUM_REG_DIF,'1' AS ID_EXEC, CURRENT_TIMESTAMP() AS TIME_EXEC FROM (SELECT instrmnt_id, imprmnt_stts_prvs FROM BU_LOANTAPE_WORK.LT002_INSTRUMENT WHERE ref_date='${ref_date}' AND nome_perimetro='Individual Local' AND segmento='ESTR' AND ambito='SRB_MBDT' AND entidade='00100')X INNER JOIN (SELECT instrmnt_id AS instrmnt_id_SIMUL, imprmnt_stts_prvs AS imprmnt_stts_prvs_SIMUL FROM BU_LOANTAPE_WORK.SIMUL_LT002_INSTRUMENT WHERE ref_date='${ref_date}' AND nome_perimetro='Individual Local' AND segmento='ESTR' AND ambito='PILAR3' AND entidade='00100')Y ON X.INSTRMNT_ID=Y.INSTRMNT_ID_SIMUL</v>
      </c>
      <c r="N89" s="38" t="s">
        <v>40</v>
      </c>
    </row>
    <row r="90" spans="2:14">
      <c r="B90" s="34" t="s">
        <v>117</v>
      </c>
      <c r="C90" s="34" t="s">
        <v>5</v>
      </c>
      <c r="D90" s="34" t="str">
        <f>+UPPER('0. Instruções'!$D$35&amp;"."&amp;VLOOKUP(B90,'0. Instruções'!$C$27:$D$32,2,FALSE))</f>
        <v>BU_LOANTAPE_WORK.LT002_INSTRUMENT</v>
      </c>
      <c r="E90" s="34" t="str">
        <f>+UPPER('0. Instruções'!$D$36&amp;"."&amp;VLOOKUP(B90,'0. Instruções'!$C$27:$E$32,3,FALSE))</f>
        <v>BU_LOANTAPE_WORK.SIMUL_LT002_INSTRUMENT</v>
      </c>
      <c r="F90" s="34" t="s">
        <v>1169</v>
      </c>
      <c r="G90" s="34"/>
      <c r="H90" s="34"/>
      <c r="I90" s="34" t="str">
        <f>"(SELECT "&amp;VLOOKUP(B90,'0. Instruções'!$C$27:$G$32,4,FALSE)&amp;", "&amp;F90&amp;" FROM "&amp;D90&amp;" WHERE "&amp;'0. Instruções'!$D$42&amp;")X"</f>
        <v>(SELECT instrmnt_id, intrnl_rtng FROM BU_LOANTAPE_WORK.LT002_INSTRUMENT WHERE ref_date='${ref_date}' AND nome_perimetro='Individual Local' AND segmento='ESTR' AND ambito='SRB_MBDT' AND entidade='00100')X</v>
      </c>
      <c r="J90" s="34" t="str">
        <f>"(SELECT "&amp;VLOOKUP(B90,'0. Instruções'!$C$27:$G$32,4,FALSE)&amp;" AS "&amp;VLOOKUP(B90,'0. Instruções'!$C$27:$G$32,4,FALSE)&amp;"_SIMUL, "&amp;F90&amp;" AS "&amp;F90&amp;"_SIMUL FROM "&amp;E90&amp;" WHERE "&amp;'0. Instruções'!$D$43&amp;")Y"</f>
        <v>(SELECT instrmnt_id AS instrmnt_id_SIMUL, intrnl_rtng AS intrnl_rtng_SIMUL FROM BU_LOANTAPE_WORK.SIMUL_LT002_INSTRUMENT WHERE ref_date='${ref_date}' AND nome_perimetro='Individual Local' AND segmento='ESTR' AND ambito='PILAR3' AND entidade='00100')Y</v>
      </c>
      <c r="K90" s="35" t="str">
        <f>+UPPER("ON X."&amp;VLOOKUP(B90,'0. Instruções'!$C$27:$G$32,4,FALSE)&amp;"=Y."&amp;VLOOKUP(B90,'0. Instruções'!$C$27:$G$32,4,FALSE)&amp;"_SIMUL")</f>
        <v>ON X.INSTRMNT_ID=Y.INSTRMNT_ID_SIMUL</v>
      </c>
      <c r="L90" s="35" t="str">
        <f>+IF(C90="Coerência", +IF(LEFT(G90,5)="FLOAT","SELECT '"&amp;UPPER(B90)&amp;"' AS TABELA, '"&amp;UPPER(C90)&amp;"' AS TIPOLOGIA_TESTE,'"&amp;D90&amp;"' AS TABELA_LT,'"&amp;E90&amp;"' AS TABELA_SIMUL,'"&amp;F90&amp;"' AS CAMPO, "&amp;"'${ref_date}' AS REF_DATE, COUNT(*) AS NUM_REG, SUM(IF((ABS(COALESCE(CAST(X."&amp;F90&amp;" AS DECIMAL(18,6)),0)-COALESCE(CAST(Y."&amp;F90&amp;"_SIMUL AS DECIMAL(18,6)),0))&gt;0.000001) OR (X."&amp;F90&amp;" IS NULL AND Y."&amp;F90&amp;"_SIMUL IS NOT NULL ) OR (X."&amp;F90&amp;" IS NOT NULL AND Y."&amp;F90&amp;"_SIMUL IS NULL),1,0)) AS NUM_REG_DIF,'"&amp;MAX('ID1&amp;5'!K:K)+1&amp;"' AS ID_EXEC, CURRENT_TIMESTAMP() AS TIME_EXEC FROM "&amp;I90&amp;" INNER JOIN "&amp;J90&amp;" "&amp;K90,"SELECT '"&amp;UPPER(B90)&amp;"' AS TABELA, '"&amp;UPPER(C90)&amp;"' AS TIPOLOGIA_TESTE,'"&amp;D90&amp;"' AS TABELA_LT,'"&amp;E90&amp;"' AS TABELA_SIMUL,'"&amp;F90&amp;"' AS CAMPO, "&amp;"'${ref_date}' AS REF_DATE, COUNT(*) AS NUM_REG, SUM(IF(COALESCE(CAST(X."&amp;F90&amp;" AS STRING),'')&lt;&gt;COALESCE(CAST(Y."&amp;F90&amp;"_SIMUL AS STRING),'') OR (X."&amp;F90&amp;" IS NULL AND Y."&amp;F90&amp;"_SIMUL IS NOT NULL ) OR (X."&amp;F90&amp;" IS NOT NULL AND Y."&amp;F90&amp;"_SIMUL IS NULL),1,0)) AS NUM_REG_DIF,'"&amp;MAX('ID1&amp;5'!L:L)+1&amp;"' AS ID_EXEC, CURRENT_TIMESTAMP() AS TIME_EXEC FROM "&amp;I90&amp;" INNER JOIN "&amp;J90&amp;" "&amp;K90),
IF(C90="Validade",+IF(G90="Code List","SELECT '"&amp;UPPER(B90)&amp;"' AS TABELA, '"&amp;UPPER(C90)&amp;"' AS TIPOLOGIA_TESTE,'"&amp;D90&amp;"' AS TABELA_LT,'N/A' AS TABELA_SIMUL,'"&amp;F90&amp;"' AS CAMPO, "&amp;"'${ref_date}' AS REF_DATE, COUNT(*) AS NUM_REG, SUM(IF(TRIM(CAST(X."&amp;F90&amp;" AS STRING))='' OR TRIM(CAST(X."&amp;F90&amp;" AS STRING)) IS NULL OR CAST(X."&amp;F90&amp;" AS STRING) NOT "&amp;H90&amp;",1,0)) AS NUM_REG_DIF,'"&amp;MAX('ID1&amp;5'!K:K)+1&amp;"' AS ID_EXEC, CURRENT_TIMESTAMP() AS TIME_EXEC FROM "&amp;I90,"SELECT '"&amp;UPPER(B90)&amp;"' AS TABELA, '"&amp;UPPER(C90)&amp;"' AS TIPOLOGIA_TESTE,'"&amp;D90&amp;"' AS TABELA_LT,'N/A' AS TABELA_SIMUL,'"&amp;F90&amp;"' AS CAMPO, "&amp;"'${ref_date}' AS REF_DATE, COUNT(*) AS NUM_REG, SUM(IF(TRIM(CAST(X."&amp;F90&amp;" AS STRING))='' OR TRIM(CAST(X."&amp;F90&amp;" AS STRING)) IS NULL,1,0)) AS NUM_REG_DIF,'"&amp;MAX('ID1&amp;5'!K:K)+1&amp;"' AS ID_EXEC, CURRENT_TIMESTAMP() AS TIME_EXEC FROM "&amp;I90),
IF(C90="Caracteres Especiais",+"SELECT '"&amp;UPPER(B90)&amp;"' AS TABELA, '"&amp;UPPER(C90)&amp;"' AS TIPOLOGIA_TESTE,'"&amp;D90&amp;"' AS TABELA_LT,'N/A' AS TABELA_SIMUL,'"&amp;F90&amp;"' AS CAMPO, "&amp;"'${ref_date}' AS REF_DATE, COUNT(*) AS NUM_REG, SUM(IF(REGEXP_REPLACE(TRIM(CAST(X."&amp;F90&amp;" AS STRING)),'[^a-zA-Z0-9_\\s]','') &lt;&gt;TRIM(CAST(X."&amp;F90&amp;" AS STRING)),1,0)) AS NUM_REG_DIF,'"&amp;MAX('ID1&amp;5'!K:K)+1&amp;"' AS ID_EXEC, CURRENT_TIMESTAMP() AS TIME_EXEC FROM "&amp;I90,
IF(C90="Missings",+"SELECT '"&amp;UPPER(B90)&amp;"' AS TABELA, '"&amp;UPPER(C90)&amp;"' AS TIPOLOGIA_TESTE,'"&amp;D90&amp;"' AS TABELA_LT,'N/A' AS TABELA_SIMUL,'"&amp;F90&amp;"' AS CAMPO, "&amp;"'${ref_date}' AS REF_DATE, COUNT(*) AS NUM_REG, SUM(IF(TRIM(CAST(X."&amp;F90&amp;" AS STRING)) IN ('0000-00-00','0001-01-01','9999-12-31','MISS','00000','99999999999','99999999999.00','99999999999.000000'),1,0)) AS NUM_REG_DIF,'"&amp;MAX('ID1&amp;5'!K:K)+1&amp;"' AS ID_EXEC, CURRENT_TIMESTAMP() AS TIME_EXEC FROM "&amp;I90,
IF(C90="Not applicable",+"SELECT '"&amp;UPPER(B90)&amp;"' AS TABELA, '"&amp;UPPER(C90)&amp;"' AS TIPOLOGIA_TESTE,'"&amp;D90&amp;"' AS TABELA_LT,'N/A' AS TABELA_SIMUL,'"&amp;F90&amp;"' AS CAMPO, "&amp;"'${ref_date}' AS REF_DATE, COUNT(*) AS NUM_REG, SUM(IF(TRIM(CAST(X."&amp;F90&amp;" AS STRING)) IN ('N/A','11111111111','11111111111.00','11111111111.000000','1111-11-11'),1,0)) AS NUM_REG_DIF,'"&amp;MAX('ID1&amp;5'!K:K)+1&amp;"' AS ID_EXEC, CURRENT_TIMESTAMP() AS TIME_EXEC FROM "&amp;I90,
IF(C90="Valores extremos",+"SELECT '"&amp;UPPER(B90)&amp;"' AS TABELA, '"&amp;UPPER(C90)&amp;"' AS TIPOLOGIA_TESTE,'"&amp;D90&amp;"' AS TABELA_LT,'N/A' AS TABELA_SIMUL,'"&amp;F90&amp;"' AS CAMPO, "&amp;"'${ref_date}' AS REF_DATE, CAST(MIN("&amp;F90&amp;") AS STRING) AS VALOR_MIN, CAST(MAX("&amp;F90&amp;") AS STRING) AS VALOR_MAX,'"&amp;MAX('ID1&amp;5'!K:K)+1&amp;"' AS ID_EXEC, CURRENT_TIMESTAMP() AS TIME_EXEC FROM "&amp;MID(I90,1,LEN(I90)-2)&amp;" AND CAST("&amp;F90&amp;"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TABELA_SIMUL,'intrnl_rtng' AS CAMPO, '${ref_date}' AS REF_DATE, COUNT(*) AS NUM_REG, SUM(IF(COALESCE(CAST(X.intrnl_rtng AS STRING),'')&lt;&gt;COALESCE(CAST(Y.intrnl_rtng_SIMUL AS STRING),'') OR (X.intrnl_rtng IS NULL AND Y.intrnl_rtng_SIMUL IS NOT NULL ) OR (X.intrnl_rtng IS NOT NULL AND Y.intrnl_rtng_SIMUL IS NULL),1,0)) AS NUM_REG_DIF,'1' AS ID_EXEC, CURRENT_TIMESTAMP() AS TIME_EXEC FROM (SELECT instrmnt_id, intrnl_rtng FROM BU_LOANTAPE_WORK.LT002_INSTRUMENT WHERE ref_date='${ref_date}' AND nome_perimetro='Individual Local' AND segmento='ESTR' AND ambito='SRB_MBDT' AND entidade='00100')X INNER JOIN (SELECT instrmnt_id AS instrmnt_id_SIMUL, intrnl_rtng AS intrnl_rtng_SIMUL FROM BU_LOANTAPE_WORK.SIMUL_LT002_INSTRUMENT WHERE ref_date='${ref_date}' AND nome_perimetro='Individual Local' AND segmento='ESTR' AND ambito='PILAR3' AND entidade='00100')Y ON X.INSTRMNT_ID=Y.INSTRMNT_ID_SIMUL</v>
      </c>
      <c r="M90" s="36" t="str">
        <f t="shared" si="4"/>
        <v>UNION ALL SELECT 'INSTRUMENT' AS TABELA, 'COERÊNCIA' AS TIPOLOGIA_TESTE,'BU_LOANTAPE_WORK.LT002_INSTRUMENT' AS TABELA_LT,'BU_LOANTAPE_WORK.SIMUL_LT002_INSTRUMENT' AS TABELA_SIMUL,'intrnl_rtng' AS CAMPO, '${ref_date}' AS REF_DATE, COUNT(*) AS NUM_REG, SUM(IF(COALESCE(CAST(X.intrnl_rtng AS STRING),'')&lt;&gt;COALESCE(CAST(Y.intrnl_rtng_SIMUL AS STRING),'') OR (X.intrnl_rtng IS NULL AND Y.intrnl_rtng_SIMUL IS NOT NULL ) OR (X.intrnl_rtng IS NOT NULL AND Y.intrnl_rtng_SIMUL IS NULL),1,0)) AS NUM_REG_DIF,'1' AS ID_EXEC, CURRENT_TIMESTAMP() AS TIME_EXEC FROM (SELECT instrmnt_id, intrnl_rtng FROM BU_LOANTAPE_WORK.LT002_INSTRUMENT WHERE ref_date='${ref_date}' AND nome_perimetro='Individual Local' AND segmento='ESTR' AND ambito='SRB_MBDT' AND entidade='00100')X INNER JOIN (SELECT instrmnt_id AS instrmnt_id_SIMUL, intrnl_rtng AS intrnl_rtng_SIMUL FROM BU_LOANTAPE_WORK.SIMUL_LT002_INSTRUMENT WHERE ref_date='${ref_date}' AND nome_perimetro='Individual Local' AND segmento='ESTR' AND ambito='PILAR3' AND entidade='00100')Y ON X.INSTRMNT_ID=Y.INSTRMNT_ID_SIMUL</v>
      </c>
      <c r="N90" s="38" t="s">
        <v>40</v>
      </c>
    </row>
    <row r="91" spans="2:14">
      <c r="B91" s="34" t="s">
        <v>117</v>
      </c>
      <c r="C91" s="34" t="s">
        <v>5</v>
      </c>
      <c r="D91" s="34" t="str">
        <f>+UPPER('0. Instruções'!$D$35&amp;"."&amp;VLOOKUP(B91,'0. Instruções'!$C$27:$D$32,2,FALSE))</f>
        <v>BU_LOANTAPE_WORK.LT002_INSTRUMENT</v>
      </c>
      <c r="E91" s="34" t="str">
        <f>+UPPER('0. Instruções'!$D$36&amp;"."&amp;VLOOKUP(B91,'0. Instruções'!$C$27:$E$32,3,FALSE))</f>
        <v>BU_LOANTAPE_WORK.SIMUL_LT002_INSTRUMENT</v>
      </c>
      <c r="F91" s="34" t="s">
        <v>1170</v>
      </c>
      <c r="G91" s="34"/>
      <c r="H91" s="34"/>
      <c r="I91" s="34" t="str">
        <f>"(SELECT "&amp;VLOOKUP(B91,'0. Instruções'!$C$27:$G$32,4,FALSE)&amp;", "&amp;F91&amp;" FROM "&amp;D91&amp;" WHERE "&amp;'0. Instruções'!$D$42&amp;")X"</f>
        <v>(SELECT instrmnt_id, intrnl_rtng_incptn FROM BU_LOANTAPE_WORK.LT002_INSTRUMENT WHERE ref_date='${ref_date}' AND nome_perimetro='Individual Local' AND segmento='ESTR' AND ambito='SRB_MBDT' AND entidade='00100')X</v>
      </c>
      <c r="J91" s="34" t="str">
        <f>"(SELECT "&amp;VLOOKUP(B91,'0. Instruções'!$C$27:$G$32,4,FALSE)&amp;" AS "&amp;VLOOKUP(B91,'0. Instruções'!$C$27:$G$32,4,FALSE)&amp;"_SIMUL, "&amp;F91&amp;" AS "&amp;F91&amp;"_SIMUL FROM "&amp;E91&amp;" WHERE "&amp;'0. Instruções'!$D$43&amp;")Y"</f>
        <v>(SELECT instrmnt_id AS instrmnt_id_SIMUL, intrnl_rtng_incptn AS intrnl_rtng_incptn_SIMUL FROM BU_LOANTAPE_WORK.SIMUL_LT002_INSTRUMENT WHERE ref_date='${ref_date}' AND nome_perimetro='Individual Local' AND segmento='ESTR' AND ambito='PILAR3' AND entidade='00100')Y</v>
      </c>
      <c r="K91" s="35" t="str">
        <f>+UPPER("ON X."&amp;VLOOKUP(B91,'0. Instruções'!$C$27:$G$32,4,FALSE)&amp;"=Y."&amp;VLOOKUP(B91,'0. Instruções'!$C$27:$G$32,4,FALSE)&amp;"_SIMUL")</f>
        <v>ON X.INSTRMNT_ID=Y.INSTRMNT_ID_SIMUL</v>
      </c>
      <c r="L91" s="35" t="str">
        <f>+IF(C91="Coerência", +IF(LEFT(G91,5)="FLOAT","SELECT '"&amp;UPPER(B91)&amp;"' AS TABELA, '"&amp;UPPER(C91)&amp;"' AS TIPOLOGIA_TESTE,'"&amp;D91&amp;"' AS TABELA_LT,'"&amp;E91&amp;"' AS TABELA_SIMUL,'"&amp;F91&amp;"' AS CAMPO, "&amp;"'${ref_date}' AS REF_DATE, COUNT(*) AS NUM_REG, SUM(IF((ABS(COALESCE(CAST(X."&amp;F91&amp;" AS DECIMAL(18,6)),0)-COALESCE(CAST(Y."&amp;F91&amp;"_SIMUL AS DECIMAL(18,6)),0))&gt;0.000001) OR (X."&amp;F91&amp;" IS NULL AND Y."&amp;F91&amp;"_SIMUL IS NOT NULL ) OR (X."&amp;F91&amp;" IS NOT NULL AND Y."&amp;F91&amp;"_SIMUL IS NULL),1,0)) AS NUM_REG_DIF,'"&amp;MAX('ID1&amp;5'!K:K)+1&amp;"' AS ID_EXEC, CURRENT_TIMESTAMP() AS TIME_EXEC FROM "&amp;I91&amp;" INNER JOIN "&amp;J91&amp;" "&amp;K91,"SELECT '"&amp;UPPER(B91)&amp;"' AS TABELA, '"&amp;UPPER(C91)&amp;"' AS TIPOLOGIA_TESTE,'"&amp;D91&amp;"' AS TABELA_LT,'"&amp;E91&amp;"' AS TABELA_SIMUL,'"&amp;F91&amp;"' AS CAMPO, "&amp;"'${ref_date}' AS REF_DATE, COUNT(*) AS NUM_REG, SUM(IF(COALESCE(CAST(X."&amp;F91&amp;" AS STRING),'')&lt;&gt;COALESCE(CAST(Y."&amp;F91&amp;"_SIMUL AS STRING),'') OR (X."&amp;F91&amp;" IS NULL AND Y."&amp;F91&amp;"_SIMUL IS NOT NULL ) OR (X."&amp;F91&amp;" IS NOT NULL AND Y."&amp;F91&amp;"_SIMUL IS NULL),1,0)) AS NUM_REG_DIF,'"&amp;MAX('ID1&amp;5'!L:L)+1&amp;"' AS ID_EXEC, CURRENT_TIMESTAMP() AS TIME_EXEC FROM "&amp;I91&amp;" INNER JOIN "&amp;J91&amp;" "&amp;K91),
IF(C91="Validade",+IF(G91="Code List","SELECT '"&amp;UPPER(B91)&amp;"' AS TABELA, '"&amp;UPPER(C91)&amp;"' AS TIPOLOGIA_TESTE,'"&amp;D91&amp;"' AS TABELA_LT,'N/A' AS TABELA_SIMUL,'"&amp;F91&amp;"' AS CAMPO, "&amp;"'${ref_date}' AS REF_DATE, COUNT(*) AS NUM_REG, SUM(IF(TRIM(CAST(X."&amp;F91&amp;" AS STRING))='' OR TRIM(CAST(X."&amp;F91&amp;" AS STRING)) IS NULL OR CAST(X."&amp;F91&amp;" AS STRING) NOT "&amp;H91&amp;",1,0)) AS NUM_REG_DIF,'"&amp;MAX('ID1&amp;5'!K:K)+1&amp;"' AS ID_EXEC, CURRENT_TIMESTAMP() AS TIME_EXEC FROM "&amp;I91,"SELECT '"&amp;UPPER(B91)&amp;"' AS TABELA, '"&amp;UPPER(C91)&amp;"' AS TIPOLOGIA_TESTE,'"&amp;D91&amp;"' AS TABELA_LT,'N/A' AS TABELA_SIMUL,'"&amp;F91&amp;"' AS CAMPO, "&amp;"'${ref_date}' AS REF_DATE, COUNT(*) AS NUM_REG, SUM(IF(TRIM(CAST(X."&amp;F91&amp;" AS STRING))='' OR TRIM(CAST(X."&amp;F91&amp;" AS STRING)) IS NULL,1,0)) AS NUM_REG_DIF,'"&amp;MAX('ID1&amp;5'!K:K)+1&amp;"' AS ID_EXEC, CURRENT_TIMESTAMP() AS TIME_EXEC FROM "&amp;I91),
IF(C91="Caracteres Especiais",+"SELECT '"&amp;UPPER(B91)&amp;"' AS TABELA, '"&amp;UPPER(C91)&amp;"' AS TIPOLOGIA_TESTE,'"&amp;D91&amp;"' AS TABELA_LT,'N/A' AS TABELA_SIMUL,'"&amp;F91&amp;"' AS CAMPO, "&amp;"'${ref_date}' AS REF_DATE, COUNT(*) AS NUM_REG, SUM(IF(REGEXP_REPLACE(TRIM(CAST(X."&amp;F91&amp;" AS STRING)),'[^a-zA-Z0-9_\\s]','') &lt;&gt;TRIM(CAST(X."&amp;F91&amp;" AS STRING)),1,0)) AS NUM_REG_DIF,'"&amp;MAX('ID1&amp;5'!K:K)+1&amp;"' AS ID_EXEC, CURRENT_TIMESTAMP() AS TIME_EXEC FROM "&amp;I91,
IF(C91="Missings",+"SELECT '"&amp;UPPER(B91)&amp;"' AS TABELA, '"&amp;UPPER(C91)&amp;"' AS TIPOLOGIA_TESTE,'"&amp;D91&amp;"' AS TABELA_LT,'N/A' AS TABELA_SIMUL,'"&amp;F91&amp;"' AS CAMPO, "&amp;"'${ref_date}' AS REF_DATE, COUNT(*) AS NUM_REG, SUM(IF(TRIM(CAST(X."&amp;F91&amp;" AS STRING)) IN ('0000-00-00','0001-01-01','9999-12-31','MISS','00000','99999999999','99999999999.00','99999999999.000000'),1,0)) AS NUM_REG_DIF,'"&amp;MAX('ID1&amp;5'!K:K)+1&amp;"' AS ID_EXEC, CURRENT_TIMESTAMP() AS TIME_EXEC FROM "&amp;I91,
IF(C91="Not applicable",+"SELECT '"&amp;UPPER(B91)&amp;"' AS TABELA, '"&amp;UPPER(C91)&amp;"' AS TIPOLOGIA_TESTE,'"&amp;D91&amp;"' AS TABELA_LT,'N/A' AS TABELA_SIMUL,'"&amp;F91&amp;"' AS CAMPO, "&amp;"'${ref_date}' AS REF_DATE, COUNT(*) AS NUM_REG, SUM(IF(TRIM(CAST(X."&amp;F91&amp;" AS STRING)) IN ('N/A','11111111111','11111111111.00','11111111111.000000','1111-11-11'),1,0)) AS NUM_REG_DIF,'"&amp;MAX('ID1&amp;5'!K:K)+1&amp;"' AS ID_EXEC, CURRENT_TIMESTAMP() AS TIME_EXEC FROM "&amp;I91,
IF(C91="Valores extremos",+"SELECT '"&amp;UPPER(B91)&amp;"' AS TABELA, '"&amp;UPPER(C91)&amp;"' AS TIPOLOGIA_TESTE,'"&amp;D91&amp;"' AS TABELA_LT,'N/A' AS TABELA_SIMUL,'"&amp;F91&amp;"' AS CAMPO, "&amp;"'${ref_date}' AS REF_DATE, CAST(MIN("&amp;F91&amp;") AS STRING) AS VALOR_MIN, CAST(MAX("&amp;F91&amp;") AS STRING) AS VALOR_MAX,'"&amp;MAX('ID1&amp;5'!K:K)+1&amp;"' AS ID_EXEC, CURRENT_TIMESTAMP() AS TIME_EXEC FROM "&amp;MID(I91,1,LEN(I91)-2)&amp;" AND CAST("&amp;F91&amp;"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TABELA_SIMUL,'intrnl_rtng_incptn' AS CAMPO, '${ref_date}' AS REF_DATE, COUNT(*) AS NUM_REG, SUM(IF(COALESCE(CAST(X.intrnl_rtng_incptn AS STRING),'')&lt;&gt;COALESCE(CAST(Y.intrnl_rtng_incptn_SIMUL AS STRING),'') OR (X.intrnl_rtng_incptn IS NULL AND Y.intrnl_rtng_incptn_SIMUL IS NOT NULL ) OR (X.intrnl_rtng_incptn IS NOT NULL AND Y.intrnl_rtng_incptn_SIMUL IS NULL),1,0)) AS NUM_REG_DIF,'1' AS ID_EXEC, CURRENT_TIMESTAMP() AS TIME_EXEC FROM (SELECT instrmnt_id, intrnl_rtng_incptn FROM BU_LOANTAPE_WORK.LT002_INSTRUMENT WHERE ref_date='${ref_date}' AND nome_perimetro='Individual Local' AND segmento='ESTR' AND ambito='SRB_MBDT' AND entidade='00100')X INNER JOIN (SELECT instrmnt_id AS instrmnt_id_SIMUL, intrnl_rtng_incptn AS intrnl_rtng_incptn_SIMUL FROM BU_LOANTAPE_WORK.SIMUL_LT002_INSTRUMENT WHERE ref_date='${ref_date}' AND nome_perimetro='Individual Local' AND segmento='ESTR' AND ambito='PILAR3' AND entidade='00100')Y ON X.INSTRMNT_ID=Y.INSTRMNT_ID_SIMUL</v>
      </c>
      <c r="M91" s="36" t="str">
        <f t="shared" si="4"/>
        <v>UNION ALL SELECT 'INSTRUMENT' AS TABELA, 'COERÊNCIA' AS TIPOLOGIA_TESTE,'BU_LOANTAPE_WORK.LT002_INSTRUMENT' AS TABELA_LT,'BU_LOANTAPE_WORK.SIMUL_LT002_INSTRUMENT' AS TABELA_SIMUL,'intrnl_rtng_incptn' AS CAMPO, '${ref_date}' AS REF_DATE, COUNT(*) AS NUM_REG, SUM(IF(COALESCE(CAST(X.intrnl_rtng_incptn AS STRING),'')&lt;&gt;COALESCE(CAST(Y.intrnl_rtng_incptn_SIMUL AS STRING),'') OR (X.intrnl_rtng_incptn IS NULL AND Y.intrnl_rtng_incptn_SIMUL IS NOT NULL ) OR (X.intrnl_rtng_incptn IS NOT NULL AND Y.intrnl_rtng_incptn_SIMUL IS NULL),1,0)) AS NUM_REG_DIF,'1' AS ID_EXEC, CURRENT_TIMESTAMP() AS TIME_EXEC FROM (SELECT instrmnt_id, intrnl_rtng_incptn FROM BU_LOANTAPE_WORK.LT002_INSTRUMENT WHERE ref_date='${ref_date}' AND nome_perimetro='Individual Local' AND segmento='ESTR' AND ambito='SRB_MBDT' AND entidade='00100')X INNER JOIN (SELECT instrmnt_id AS instrmnt_id_SIMUL, intrnl_rtng_incptn AS intrnl_rtng_incptn_SIMUL FROM BU_LOANTAPE_WORK.SIMUL_LT002_INSTRUMENT WHERE ref_date='${ref_date}' AND nome_perimetro='Individual Local' AND segmento='ESTR' AND ambito='PILAR3' AND entidade='00100')Y ON X.INSTRMNT_ID=Y.INSTRMNT_ID_SIMUL</v>
      </c>
      <c r="N91" s="38" t="s">
        <v>40</v>
      </c>
    </row>
    <row r="92" spans="2:14">
      <c r="B92" s="34" t="s">
        <v>117</v>
      </c>
      <c r="C92" s="34" t="s">
        <v>5</v>
      </c>
      <c r="D92" s="34" t="str">
        <f>+UPPER('0. Instruções'!$D$35&amp;"."&amp;VLOOKUP(B92,'0. Instruções'!$C$27:$D$32,2,FALSE))</f>
        <v>BU_LOANTAPE_WORK.LT002_INSTRUMENT</v>
      </c>
      <c r="E92" s="34" t="str">
        <f>+UPPER('0. Instruções'!$D$36&amp;"."&amp;VLOOKUP(B92,'0. Instruções'!$C$27:$E$32,3,FALSE))</f>
        <v>BU_LOANTAPE_WORK.SIMUL_LT002_INSTRUMENT</v>
      </c>
      <c r="F92" s="34" t="s">
        <v>1171</v>
      </c>
      <c r="G92" s="34"/>
      <c r="H92" s="34"/>
      <c r="I92" s="34" t="str">
        <f>"(SELECT "&amp;VLOOKUP(B92,'0. Instruções'!$C$27:$G$32,4,FALSE)&amp;", "&amp;F92&amp;" FROM "&amp;D92&amp;" WHERE "&amp;'0. Instruções'!$D$42&amp;")X"</f>
        <v>(SELECT instrmnt_id, intrnl_sgmnt FROM BU_LOANTAPE_WORK.LT002_INSTRUMENT WHERE ref_date='${ref_date}' AND nome_perimetro='Individual Local' AND segmento='ESTR' AND ambito='SRB_MBDT' AND entidade='00100')X</v>
      </c>
      <c r="J92" s="34" t="str">
        <f>"(SELECT "&amp;VLOOKUP(B92,'0. Instruções'!$C$27:$G$32,4,FALSE)&amp;" AS "&amp;VLOOKUP(B92,'0. Instruções'!$C$27:$G$32,4,FALSE)&amp;"_SIMUL, "&amp;F92&amp;" AS "&amp;F92&amp;"_SIMUL FROM "&amp;E92&amp;" WHERE "&amp;'0. Instruções'!$D$43&amp;")Y"</f>
        <v>(SELECT instrmnt_id AS instrmnt_id_SIMUL, intrnl_sgmnt AS intrnl_sgmnt_SIMUL FROM BU_LOANTAPE_WORK.SIMUL_LT002_INSTRUMENT WHERE ref_date='${ref_date}' AND nome_perimetro='Individual Local' AND segmento='ESTR' AND ambito='PILAR3' AND entidade='00100')Y</v>
      </c>
      <c r="K92" s="35" t="str">
        <f>+UPPER("ON X."&amp;VLOOKUP(B92,'0. Instruções'!$C$27:$G$32,4,FALSE)&amp;"=Y."&amp;VLOOKUP(B92,'0. Instruções'!$C$27:$G$32,4,FALSE)&amp;"_SIMUL")</f>
        <v>ON X.INSTRMNT_ID=Y.INSTRMNT_ID_SIMUL</v>
      </c>
      <c r="L92" s="35" t="str">
        <f>+IF(C92="Coerência", +IF(LEFT(G92,5)="FLOAT","SELECT '"&amp;UPPER(B92)&amp;"' AS TABELA, '"&amp;UPPER(C92)&amp;"' AS TIPOLOGIA_TESTE,'"&amp;D92&amp;"' AS TABELA_LT,'"&amp;E92&amp;"' AS TABELA_SIMUL,'"&amp;F92&amp;"' AS CAMPO, "&amp;"'${ref_date}' AS REF_DATE, COUNT(*) AS NUM_REG, SUM(IF((ABS(COALESCE(CAST(X."&amp;F92&amp;" AS DECIMAL(18,6)),0)-COALESCE(CAST(Y."&amp;F92&amp;"_SIMUL AS DECIMAL(18,6)),0))&gt;0.000001) OR (X."&amp;F92&amp;" IS NULL AND Y."&amp;F92&amp;"_SIMUL IS NOT NULL ) OR (X."&amp;F92&amp;" IS NOT NULL AND Y."&amp;F92&amp;"_SIMUL IS NULL),1,0)) AS NUM_REG_DIF,'"&amp;MAX('ID1&amp;5'!K:K)+1&amp;"' AS ID_EXEC, CURRENT_TIMESTAMP() AS TIME_EXEC FROM "&amp;I92&amp;" INNER JOIN "&amp;J92&amp;" "&amp;K92,"SELECT '"&amp;UPPER(B92)&amp;"' AS TABELA, '"&amp;UPPER(C92)&amp;"' AS TIPOLOGIA_TESTE,'"&amp;D92&amp;"' AS TABELA_LT,'"&amp;E92&amp;"' AS TABELA_SIMUL,'"&amp;F92&amp;"' AS CAMPO, "&amp;"'${ref_date}' AS REF_DATE, COUNT(*) AS NUM_REG, SUM(IF(COALESCE(CAST(X."&amp;F92&amp;" AS STRING),'')&lt;&gt;COALESCE(CAST(Y."&amp;F92&amp;"_SIMUL AS STRING),'') OR (X."&amp;F92&amp;" IS NULL AND Y."&amp;F92&amp;"_SIMUL IS NOT NULL ) OR (X."&amp;F92&amp;" IS NOT NULL AND Y."&amp;F92&amp;"_SIMUL IS NULL),1,0)) AS NUM_REG_DIF,'"&amp;MAX('ID1&amp;5'!L:L)+1&amp;"' AS ID_EXEC, CURRENT_TIMESTAMP() AS TIME_EXEC FROM "&amp;I92&amp;" INNER JOIN "&amp;J92&amp;" "&amp;K92),
IF(C92="Validade",+IF(G92="Code List","SELECT '"&amp;UPPER(B92)&amp;"' AS TABELA, '"&amp;UPPER(C92)&amp;"' AS TIPOLOGIA_TESTE,'"&amp;D92&amp;"' AS TABELA_LT,'N/A' AS TABELA_SIMUL,'"&amp;F92&amp;"' AS CAMPO, "&amp;"'${ref_date}' AS REF_DATE, COUNT(*) AS NUM_REG, SUM(IF(TRIM(CAST(X."&amp;F92&amp;" AS STRING))='' OR TRIM(CAST(X."&amp;F92&amp;" AS STRING)) IS NULL OR CAST(X."&amp;F92&amp;" AS STRING) NOT "&amp;H92&amp;",1,0)) AS NUM_REG_DIF,'"&amp;MAX('ID1&amp;5'!K:K)+1&amp;"' AS ID_EXEC, CURRENT_TIMESTAMP() AS TIME_EXEC FROM "&amp;I92,"SELECT '"&amp;UPPER(B92)&amp;"' AS TABELA, '"&amp;UPPER(C92)&amp;"' AS TIPOLOGIA_TESTE,'"&amp;D92&amp;"' AS TABELA_LT,'N/A' AS TABELA_SIMUL,'"&amp;F92&amp;"' AS CAMPO, "&amp;"'${ref_date}' AS REF_DATE, COUNT(*) AS NUM_REG, SUM(IF(TRIM(CAST(X."&amp;F92&amp;" AS STRING))='' OR TRIM(CAST(X."&amp;F92&amp;" AS STRING)) IS NULL,1,0)) AS NUM_REG_DIF,'"&amp;MAX('ID1&amp;5'!K:K)+1&amp;"' AS ID_EXEC, CURRENT_TIMESTAMP() AS TIME_EXEC FROM "&amp;I92),
IF(C92="Caracteres Especiais",+"SELECT '"&amp;UPPER(B92)&amp;"' AS TABELA, '"&amp;UPPER(C92)&amp;"' AS TIPOLOGIA_TESTE,'"&amp;D92&amp;"' AS TABELA_LT,'N/A' AS TABELA_SIMUL,'"&amp;F92&amp;"' AS CAMPO, "&amp;"'${ref_date}' AS REF_DATE, COUNT(*) AS NUM_REG, SUM(IF(REGEXP_REPLACE(TRIM(CAST(X."&amp;F92&amp;" AS STRING)),'[^a-zA-Z0-9_\\s]','') &lt;&gt;TRIM(CAST(X."&amp;F92&amp;" AS STRING)),1,0)) AS NUM_REG_DIF,'"&amp;MAX('ID1&amp;5'!K:K)+1&amp;"' AS ID_EXEC, CURRENT_TIMESTAMP() AS TIME_EXEC FROM "&amp;I92,
IF(C92="Missings",+"SELECT '"&amp;UPPER(B92)&amp;"' AS TABELA, '"&amp;UPPER(C92)&amp;"' AS TIPOLOGIA_TESTE,'"&amp;D92&amp;"' AS TABELA_LT,'N/A' AS TABELA_SIMUL,'"&amp;F92&amp;"' AS CAMPO, "&amp;"'${ref_date}' AS REF_DATE, COUNT(*) AS NUM_REG, SUM(IF(TRIM(CAST(X."&amp;F92&amp;" AS STRING)) IN ('0000-00-00','0001-01-01','9999-12-31','MISS','00000','99999999999','99999999999.00','99999999999.000000'),1,0)) AS NUM_REG_DIF,'"&amp;MAX('ID1&amp;5'!K:K)+1&amp;"' AS ID_EXEC, CURRENT_TIMESTAMP() AS TIME_EXEC FROM "&amp;I92,
IF(C92="Not applicable",+"SELECT '"&amp;UPPER(B92)&amp;"' AS TABELA, '"&amp;UPPER(C92)&amp;"' AS TIPOLOGIA_TESTE,'"&amp;D92&amp;"' AS TABELA_LT,'N/A' AS TABELA_SIMUL,'"&amp;F92&amp;"' AS CAMPO, "&amp;"'${ref_date}' AS REF_DATE, COUNT(*) AS NUM_REG, SUM(IF(TRIM(CAST(X."&amp;F92&amp;" AS STRING)) IN ('N/A','11111111111','11111111111.00','11111111111.000000','1111-11-11'),1,0)) AS NUM_REG_DIF,'"&amp;MAX('ID1&amp;5'!K:K)+1&amp;"' AS ID_EXEC, CURRENT_TIMESTAMP() AS TIME_EXEC FROM "&amp;I92,
IF(C92="Valores extremos",+"SELECT '"&amp;UPPER(B92)&amp;"' AS TABELA, '"&amp;UPPER(C92)&amp;"' AS TIPOLOGIA_TESTE,'"&amp;D92&amp;"' AS TABELA_LT,'N/A' AS TABELA_SIMUL,'"&amp;F92&amp;"' AS CAMPO, "&amp;"'${ref_date}' AS REF_DATE, CAST(MIN("&amp;F92&amp;") AS STRING) AS VALOR_MIN, CAST(MAX("&amp;F92&amp;") AS STRING) AS VALOR_MAX,'"&amp;MAX('ID1&amp;5'!K:K)+1&amp;"' AS ID_EXEC, CURRENT_TIMESTAMP() AS TIME_EXEC FROM "&amp;MID(I92,1,LEN(I92)-2)&amp;" AND CAST("&amp;F92&amp;"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TABELA_SIMUL,'intrnl_sgmnt' AS CAMPO, '${ref_date}' AS REF_DATE, COUNT(*) AS NUM_REG, SUM(IF(COALESCE(CAST(X.intrnl_sgmnt AS STRING),'')&lt;&gt;COALESCE(CAST(Y.intrnl_sgmnt_SIMUL AS STRING),'') OR (X.intrnl_sgmnt IS NULL AND Y.intrnl_sgmnt_SIMUL IS NOT NULL ) OR (X.intrnl_sgmnt IS NOT NULL AND Y.intrnl_sgmnt_SIMUL IS NULL),1,0)) AS NUM_REG_DIF,'1' AS ID_EXEC, CURRENT_TIMESTAMP() AS TIME_EXEC FROM (SELECT instrmnt_id, intrnl_sgmnt FROM BU_LOANTAPE_WORK.LT002_INSTRUMENT WHERE ref_date='${ref_date}' AND nome_perimetro='Individual Local' AND segmento='ESTR' AND ambito='SRB_MBDT' AND entidade='00100')X INNER JOIN (SELECT instrmnt_id AS instrmnt_id_SIMUL, intrnl_sgmnt AS intrnl_sgmnt_SIMUL FROM BU_LOANTAPE_WORK.SIMUL_LT002_INSTRUMENT WHERE ref_date='${ref_date}' AND nome_perimetro='Individual Local' AND segmento='ESTR' AND ambito='PILAR3' AND entidade='00100')Y ON X.INSTRMNT_ID=Y.INSTRMNT_ID_SIMUL</v>
      </c>
      <c r="M92" s="36" t="str">
        <f t="shared" si="4"/>
        <v>UNION ALL SELECT 'INSTRUMENT' AS TABELA, 'COERÊNCIA' AS TIPOLOGIA_TESTE,'BU_LOANTAPE_WORK.LT002_INSTRUMENT' AS TABELA_LT,'BU_LOANTAPE_WORK.SIMUL_LT002_INSTRUMENT' AS TABELA_SIMUL,'intrnl_sgmnt' AS CAMPO, '${ref_date}' AS REF_DATE, COUNT(*) AS NUM_REG, SUM(IF(COALESCE(CAST(X.intrnl_sgmnt AS STRING),'')&lt;&gt;COALESCE(CAST(Y.intrnl_sgmnt_SIMUL AS STRING),'') OR (X.intrnl_sgmnt IS NULL AND Y.intrnl_sgmnt_SIMUL IS NOT NULL ) OR (X.intrnl_sgmnt IS NOT NULL AND Y.intrnl_sgmnt_SIMUL IS NULL),1,0)) AS NUM_REG_DIF,'1' AS ID_EXEC, CURRENT_TIMESTAMP() AS TIME_EXEC FROM (SELECT instrmnt_id, intrnl_sgmnt FROM BU_LOANTAPE_WORK.LT002_INSTRUMENT WHERE ref_date='${ref_date}' AND nome_perimetro='Individual Local' AND segmento='ESTR' AND ambito='SRB_MBDT' AND entidade='00100')X INNER JOIN (SELECT instrmnt_id AS instrmnt_id_SIMUL, intrnl_sgmnt AS intrnl_sgmnt_SIMUL FROM BU_LOANTAPE_WORK.SIMUL_LT002_INSTRUMENT WHERE ref_date='${ref_date}' AND nome_perimetro='Individual Local' AND segmento='ESTR' AND ambito='PILAR3' AND entidade='00100')Y ON X.INSTRMNT_ID=Y.INSTRMNT_ID_SIMUL</v>
      </c>
      <c r="N92" s="38" t="s">
        <v>40</v>
      </c>
    </row>
    <row r="93" spans="2:14">
      <c r="B93" s="34" t="s">
        <v>117</v>
      </c>
      <c r="C93" s="34" t="s">
        <v>5</v>
      </c>
      <c r="D93" s="34" t="str">
        <f>+UPPER('0. Instruções'!$D$35&amp;"."&amp;VLOOKUP(B93,'0. Instruções'!$C$27:$D$32,2,FALSE))</f>
        <v>BU_LOANTAPE_WORK.LT002_INSTRUMENT</v>
      </c>
      <c r="E93" s="34" t="str">
        <f>+UPPER('0. Instruções'!$D$36&amp;"."&amp;VLOOKUP(B93,'0. Instruções'!$C$27:$E$32,3,FALSE))</f>
        <v>BU_LOANTAPE_WORK.SIMUL_LT002_INSTRUMENT</v>
      </c>
      <c r="F93" s="34" t="s">
        <v>1172</v>
      </c>
      <c r="G93" s="34"/>
      <c r="H93" s="34"/>
      <c r="I93" s="34" t="str">
        <f>"(SELECT "&amp;VLOOKUP(B93,'0. Instruções'!$C$27:$G$32,4,FALSE)&amp;", "&amp;F93&amp;" FROM "&amp;D93&amp;" WHERE "&amp;'0. Instruções'!$D$42&amp;")X"</f>
        <v>(SELECT instrmnt_id, intrnl_unt FROM BU_LOANTAPE_WORK.LT002_INSTRUMENT WHERE ref_date='${ref_date}' AND nome_perimetro='Individual Local' AND segmento='ESTR' AND ambito='SRB_MBDT' AND entidade='00100')X</v>
      </c>
      <c r="J93" s="34" t="str">
        <f>"(SELECT "&amp;VLOOKUP(B93,'0. Instruções'!$C$27:$G$32,4,FALSE)&amp;" AS "&amp;VLOOKUP(B93,'0. Instruções'!$C$27:$G$32,4,FALSE)&amp;"_SIMUL, "&amp;F93&amp;" AS "&amp;F93&amp;"_SIMUL FROM "&amp;E93&amp;" WHERE "&amp;'0. Instruções'!$D$43&amp;")Y"</f>
        <v>(SELECT instrmnt_id AS instrmnt_id_SIMUL, intrnl_unt AS intrnl_unt_SIMUL FROM BU_LOANTAPE_WORK.SIMUL_LT002_INSTRUMENT WHERE ref_date='${ref_date}' AND nome_perimetro='Individual Local' AND segmento='ESTR' AND ambito='PILAR3' AND entidade='00100')Y</v>
      </c>
      <c r="K93" s="35" t="str">
        <f>+UPPER("ON X."&amp;VLOOKUP(B93,'0. Instruções'!$C$27:$G$32,4,FALSE)&amp;"=Y."&amp;VLOOKUP(B93,'0. Instruções'!$C$27:$G$32,4,FALSE)&amp;"_SIMUL")</f>
        <v>ON X.INSTRMNT_ID=Y.INSTRMNT_ID_SIMUL</v>
      </c>
      <c r="L93" s="35" t="str">
        <f>+IF(C93="Coerência", +IF(LEFT(G93,5)="FLOAT","SELECT '"&amp;UPPER(B93)&amp;"' AS TABELA, '"&amp;UPPER(C93)&amp;"' AS TIPOLOGIA_TESTE,'"&amp;D93&amp;"' AS TABELA_LT,'"&amp;E93&amp;"' AS TABELA_SIMUL,'"&amp;F93&amp;"' AS CAMPO, "&amp;"'${ref_date}' AS REF_DATE, COUNT(*) AS NUM_REG, SUM(IF((ABS(COALESCE(CAST(X."&amp;F93&amp;" AS DECIMAL(18,6)),0)-COALESCE(CAST(Y."&amp;F93&amp;"_SIMUL AS DECIMAL(18,6)),0))&gt;0.000001) OR (X."&amp;F93&amp;" IS NULL AND Y."&amp;F93&amp;"_SIMUL IS NOT NULL ) OR (X."&amp;F93&amp;" IS NOT NULL AND Y."&amp;F93&amp;"_SIMUL IS NULL),1,0)) AS NUM_REG_DIF,'"&amp;MAX('ID1&amp;5'!K:K)+1&amp;"' AS ID_EXEC, CURRENT_TIMESTAMP() AS TIME_EXEC FROM "&amp;I93&amp;" INNER JOIN "&amp;J93&amp;" "&amp;K93,"SELECT '"&amp;UPPER(B93)&amp;"' AS TABELA, '"&amp;UPPER(C93)&amp;"' AS TIPOLOGIA_TESTE,'"&amp;D93&amp;"' AS TABELA_LT,'"&amp;E93&amp;"' AS TABELA_SIMUL,'"&amp;F93&amp;"' AS CAMPO, "&amp;"'${ref_date}' AS REF_DATE, COUNT(*) AS NUM_REG, SUM(IF(COALESCE(CAST(X."&amp;F93&amp;" AS STRING),'')&lt;&gt;COALESCE(CAST(Y."&amp;F93&amp;"_SIMUL AS STRING),'') OR (X."&amp;F93&amp;" IS NULL AND Y."&amp;F93&amp;"_SIMUL IS NOT NULL ) OR (X."&amp;F93&amp;" IS NOT NULL AND Y."&amp;F93&amp;"_SIMUL IS NULL),1,0)) AS NUM_REG_DIF,'"&amp;MAX('ID1&amp;5'!L:L)+1&amp;"' AS ID_EXEC, CURRENT_TIMESTAMP() AS TIME_EXEC FROM "&amp;I93&amp;" INNER JOIN "&amp;J93&amp;" "&amp;K93),
IF(C93="Validade",+IF(G93="Code List","SELECT '"&amp;UPPER(B93)&amp;"' AS TABELA, '"&amp;UPPER(C93)&amp;"' AS TIPOLOGIA_TESTE,'"&amp;D93&amp;"' AS TABELA_LT,'N/A' AS TABELA_SIMUL,'"&amp;F93&amp;"' AS CAMPO, "&amp;"'${ref_date}' AS REF_DATE, COUNT(*) AS NUM_REG, SUM(IF(TRIM(CAST(X."&amp;F93&amp;" AS STRING))='' OR TRIM(CAST(X."&amp;F93&amp;" AS STRING)) IS NULL OR CAST(X."&amp;F93&amp;" AS STRING) NOT "&amp;H93&amp;",1,0)) AS NUM_REG_DIF,'"&amp;MAX('ID1&amp;5'!K:K)+1&amp;"' AS ID_EXEC, CURRENT_TIMESTAMP() AS TIME_EXEC FROM "&amp;I93,"SELECT '"&amp;UPPER(B93)&amp;"' AS TABELA, '"&amp;UPPER(C93)&amp;"' AS TIPOLOGIA_TESTE,'"&amp;D93&amp;"' AS TABELA_LT,'N/A' AS TABELA_SIMUL,'"&amp;F93&amp;"' AS CAMPO, "&amp;"'${ref_date}' AS REF_DATE, COUNT(*) AS NUM_REG, SUM(IF(TRIM(CAST(X."&amp;F93&amp;" AS STRING))='' OR TRIM(CAST(X."&amp;F93&amp;" AS STRING)) IS NULL,1,0)) AS NUM_REG_DIF,'"&amp;MAX('ID1&amp;5'!K:K)+1&amp;"' AS ID_EXEC, CURRENT_TIMESTAMP() AS TIME_EXEC FROM "&amp;I93),
IF(C93="Caracteres Especiais",+"SELECT '"&amp;UPPER(B93)&amp;"' AS TABELA, '"&amp;UPPER(C93)&amp;"' AS TIPOLOGIA_TESTE,'"&amp;D93&amp;"' AS TABELA_LT,'N/A' AS TABELA_SIMUL,'"&amp;F93&amp;"' AS CAMPO, "&amp;"'${ref_date}' AS REF_DATE, COUNT(*) AS NUM_REG, SUM(IF(REGEXP_REPLACE(TRIM(CAST(X."&amp;F93&amp;" AS STRING)),'[^a-zA-Z0-9_\\s]','') &lt;&gt;TRIM(CAST(X."&amp;F93&amp;" AS STRING)),1,0)) AS NUM_REG_DIF,'"&amp;MAX('ID1&amp;5'!K:K)+1&amp;"' AS ID_EXEC, CURRENT_TIMESTAMP() AS TIME_EXEC FROM "&amp;I93,
IF(C93="Missings",+"SELECT '"&amp;UPPER(B93)&amp;"' AS TABELA, '"&amp;UPPER(C93)&amp;"' AS TIPOLOGIA_TESTE,'"&amp;D93&amp;"' AS TABELA_LT,'N/A' AS TABELA_SIMUL,'"&amp;F93&amp;"' AS CAMPO, "&amp;"'${ref_date}' AS REF_DATE, COUNT(*) AS NUM_REG, SUM(IF(TRIM(CAST(X."&amp;F93&amp;" AS STRING)) IN ('0000-00-00','0001-01-01','9999-12-31','MISS','00000','99999999999','99999999999.00','99999999999.000000'),1,0)) AS NUM_REG_DIF,'"&amp;MAX('ID1&amp;5'!K:K)+1&amp;"' AS ID_EXEC, CURRENT_TIMESTAMP() AS TIME_EXEC FROM "&amp;I93,
IF(C93="Not applicable",+"SELECT '"&amp;UPPER(B93)&amp;"' AS TABELA, '"&amp;UPPER(C93)&amp;"' AS TIPOLOGIA_TESTE,'"&amp;D93&amp;"' AS TABELA_LT,'N/A' AS TABELA_SIMUL,'"&amp;F93&amp;"' AS CAMPO, "&amp;"'${ref_date}' AS REF_DATE, COUNT(*) AS NUM_REG, SUM(IF(TRIM(CAST(X."&amp;F93&amp;" AS STRING)) IN ('N/A','11111111111','11111111111.00','11111111111.000000','1111-11-11'),1,0)) AS NUM_REG_DIF,'"&amp;MAX('ID1&amp;5'!K:K)+1&amp;"' AS ID_EXEC, CURRENT_TIMESTAMP() AS TIME_EXEC FROM "&amp;I93,
IF(C93="Valores extremos",+"SELECT '"&amp;UPPER(B93)&amp;"' AS TABELA, '"&amp;UPPER(C93)&amp;"' AS TIPOLOGIA_TESTE,'"&amp;D93&amp;"' AS TABELA_LT,'N/A' AS TABELA_SIMUL,'"&amp;F93&amp;"' AS CAMPO, "&amp;"'${ref_date}' AS REF_DATE, CAST(MIN("&amp;F93&amp;") AS STRING) AS VALOR_MIN, CAST(MAX("&amp;F93&amp;") AS STRING) AS VALOR_MAX,'"&amp;MAX('ID1&amp;5'!K:K)+1&amp;"' AS ID_EXEC, CURRENT_TIMESTAMP() AS TIME_EXEC FROM "&amp;MID(I93,1,LEN(I93)-2)&amp;" AND CAST("&amp;F93&amp;"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TABELA_SIMUL,'intrnl_unt' AS CAMPO, '${ref_date}' AS REF_DATE, COUNT(*) AS NUM_REG, SUM(IF(COALESCE(CAST(X.intrnl_unt AS STRING),'')&lt;&gt;COALESCE(CAST(Y.intrnl_unt_SIMUL AS STRING),'') OR (X.intrnl_unt IS NULL AND Y.intrnl_unt_SIMUL IS NOT NULL ) OR (X.intrnl_unt IS NOT NULL AND Y.intrnl_unt_SIMUL IS NULL),1,0)) AS NUM_REG_DIF,'1' AS ID_EXEC, CURRENT_TIMESTAMP() AS TIME_EXEC FROM (SELECT instrmnt_id, intrnl_unt FROM BU_LOANTAPE_WORK.LT002_INSTRUMENT WHERE ref_date='${ref_date}' AND nome_perimetro='Individual Local' AND segmento='ESTR' AND ambito='SRB_MBDT' AND entidade='00100')X INNER JOIN (SELECT instrmnt_id AS instrmnt_id_SIMUL, intrnl_unt AS intrnl_unt_SIMUL FROM BU_LOANTAPE_WORK.SIMUL_LT002_INSTRUMENT WHERE ref_date='${ref_date}' AND nome_perimetro='Individual Local' AND segmento='ESTR' AND ambito='PILAR3' AND entidade='00100')Y ON X.INSTRMNT_ID=Y.INSTRMNT_ID_SIMUL</v>
      </c>
      <c r="M93" s="36" t="str">
        <f t="shared" si="4"/>
        <v>UNION ALL SELECT 'INSTRUMENT' AS TABELA, 'COERÊNCIA' AS TIPOLOGIA_TESTE,'BU_LOANTAPE_WORK.LT002_INSTRUMENT' AS TABELA_LT,'BU_LOANTAPE_WORK.SIMUL_LT002_INSTRUMENT' AS TABELA_SIMUL,'intrnl_unt' AS CAMPO, '${ref_date}' AS REF_DATE, COUNT(*) AS NUM_REG, SUM(IF(COALESCE(CAST(X.intrnl_unt AS STRING),'')&lt;&gt;COALESCE(CAST(Y.intrnl_unt_SIMUL AS STRING),'') OR (X.intrnl_unt IS NULL AND Y.intrnl_unt_SIMUL IS NOT NULL ) OR (X.intrnl_unt IS NOT NULL AND Y.intrnl_unt_SIMUL IS NULL),1,0)) AS NUM_REG_DIF,'1' AS ID_EXEC, CURRENT_TIMESTAMP() AS TIME_EXEC FROM (SELECT instrmnt_id, intrnl_unt FROM BU_LOANTAPE_WORK.LT002_INSTRUMENT WHERE ref_date='${ref_date}' AND nome_perimetro='Individual Local' AND segmento='ESTR' AND ambito='SRB_MBDT' AND entidade='00100')X INNER JOIN (SELECT instrmnt_id AS instrmnt_id_SIMUL, intrnl_unt AS intrnl_unt_SIMUL FROM BU_LOANTAPE_WORK.SIMUL_LT002_INSTRUMENT WHERE ref_date='${ref_date}' AND nome_perimetro='Individual Local' AND segmento='ESTR' AND ambito='PILAR3' AND entidade='00100')Y ON X.INSTRMNT_ID=Y.INSTRMNT_ID_SIMUL</v>
      </c>
      <c r="N93" s="38" t="s">
        <v>40</v>
      </c>
    </row>
    <row r="94" spans="2:14">
      <c r="B94" s="34" t="s">
        <v>117</v>
      </c>
      <c r="C94" s="34" t="s">
        <v>5</v>
      </c>
      <c r="D94" s="34" t="str">
        <f>+UPPER('0. Instruções'!$D$35&amp;"."&amp;VLOOKUP(B94,'0. Instruções'!$C$27:$D$32,2,FALSE))</f>
        <v>BU_LOANTAPE_WORK.LT002_INSTRUMENT</v>
      </c>
      <c r="E94" s="34" t="str">
        <f>+UPPER('0. Instruções'!$D$36&amp;"."&amp;VLOOKUP(B94,'0. Instruções'!$C$27:$E$32,3,FALSE))</f>
        <v>BU_LOANTAPE_WORK.SIMUL_LT002_INSTRUMENT</v>
      </c>
      <c r="F94" s="34" t="s">
        <v>1173</v>
      </c>
      <c r="G94" s="34"/>
      <c r="H94" s="34"/>
      <c r="I94" s="34" t="str">
        <f>"(SELECT "&amp;VLOOKUP(B94,'0. Instruções'!$C$27:$G$32,4,FALSE)&amp;", "&amp;F94&amp;" FROM "&amp;D94&amp;" WHERE "&amp;'0. Instruções'!$D$42&amp;")X"</f>
        <v>(SELECT instrmnt_id, lcre FROM BU_LOANTAPE_WORK.LT002_INSTRUMENT WHERE ref_date='${ref_date}' AND nome_perimetro='Individual Local' AND segmento='ESTR' AND ambito='SRB_MBDT' AND entidade='00100')X</v>
      </c>
      <c r="J94" s="34" t="str">
        <f>"(SELECT "&amp;VLOOKUP(B94,'0. Instruções'!$C$27:$G$32,4,FALSE)&amp;" AS "&amp;VLOOKUP(B94,'0. Instruções'!$C$27:$G$32,4,FALSE)&amp;"_SIMUL, "&amp;F94&amp;" AS "&amp;F94&amp;"_SIMUL FROM "&amp;E94&amp;" WHERE "&amp;'0. Instruções'!$D$43&amp;")Y"</f>
        <v>(SELECT instrmnt_id AS instrmnt_id_SIMUL, lcre AS lcre_SIMUL FROM BU_LOANTAPE_WORK.SIMUL_LT002_INSTRUMENT WHERE ref_date='${ref_date}' AND nome_perimetro='Individual Local' AND segmento='ESTR' AND ambito='PILAR3' AND entidade='00100')Y</v>
      </c>
      <c r="K94" s="35" t="str">
        <f>+UPPER("ON X."&amp;VLOOKUP(B94,'0. Instruções'!$C$27:$G$32,4,FALSE)&amp;"=Y."&amp;VLOOKUP(B94,'0. Instruções'!$C$27:$G$32,4,FALSE)&amp;"_SIMUL")</f>
        <v>ON X.INSTRMNT_ID=Y.INSTRMNT_ID_SIMUL</v>
      </c>
      <c r="L94" s="35" t="str">
        <f>+IF(C94="Coerência", +IF(LEFT(G94,5)="FLOAT","SELECT '"&amp;UPPER(B94)&amp;"' AS TABELA, '"&amp;UPPER(C94)&amp;"' AS TIPOLOGIA_TESTE,'"&amp;D94&amp;"' AS TABELA_LT,'"&amp;E94&amp;"' AS TABELA_SIMUL,'"&amp;F94&amp;"' AS CAMPO, "&amp;"'${ref_date}' AS REF_DATE, COUNT(*) AS NUM_REG, SUM(IF((ABS(COALESCE(CAST(X."&amp;F94&amp;" AS DECIMAL(18,6)),0)-COALESCE(CAST(Y."&amp;F94&amp;"_SIMUL AS DECIMAL(18,6)),0))&gt;0.000001) OR (X."&amp;F94&amp;" IS NULL AND Y."&amp;F94&amp;"_SIMUL IS NOT NULL ) OR (X."&amp;F94&amp;" IS NOT NULL AND Y."&amp;F94&amp;"_SIMUL IS NULL),1,0)) AS NUM_REG_DIF,'"&amp;MAX('ID1&amp;5'!K:K)+1&amp;"' AS ID_EXEC, CURRENT_TIMESTAMP() AS TIME_EXEC FROM "&amp;I94&amp;" INNER JOIN "&amp;J94&amp;" "&amp;K94,"SELECT '"&amp;UPPER(B94)&amp;"' AS TABELA, '"&amp;UPPER(C94)&amp;"' AS TIPOLOGIA_TESTE,'"&amp;D94&amp;"' AS TABELA_LT,'"&amp;E94&amp;"' AS TABELA_SIMUL,'"&amp;F94&amp;"' AS CAMPO, "&amp;"'${ref_date}' AS REF_DATE, COUNT(*) AS NUM_REG, SUM(IF(COALESCE(CAST(X."&amp;F94&amp;" AS STRING),'')&lt;&gt;COALESCE(CAST(Y."&amp;F94&amp;"_SIMUL AS STRING),'') OR (X."&amp;F94&amp;" IS NULL AND Y."&amp;F94&amp;"_SIMUL IS NOT NULL ) OR (X."&amp;F94&amp;" IS NOT NULL AND Y."&amp;F94&amp;"_SIMUL IS NULL),1,0)) AS NUM_REG_DIF,'"&amp;MAX('ID1&amp;5'!L:L)+1&amp;"' AS ID_EXEC, CURRENT_TIMESTAMP() AS TIME_EXEC FROM "&amp;I94&amp;" INNER JOIN "&amp;J94&amp;" "&amp;K94),
IF(C94="Validade",+IF(G94="Code List","SELECT '"&amp;UPPER(B94)&amp;"' AS TABELA, '"&amp;UPPER(C94)&amp;"' AS TIPOLOGIA_TESTE,'"&amp;D94&amp;"' AS TABELA_LT,'N/A' AS TABELA_SIMUL,'"&amp;F94&amp;"' AS CAMPO, "&amp;"'${ref_date}' AS REF_DATE, COUNT(*) AS NUM_REG, SUM(IF(TRIM(CAST(X."&amp;F94&amp;" AS STRING))='' OR TRIM(CAST(X."&amp;F94&amp;" AS STRING)) IS NULL OR CAST(X."&amp;F94&amp;" AS STRING) NOT "&amp;H94&amp;",1,0)) AS NUM_REG_DIF,'"&amp;MAX('ID1&amp;5'!K:K)+1&amp;"' AS ID_EXEC, CURRENT_TIMESTAMP() AS TIME_EXEC FROM "&amp;I94,"SELECT '"&amp;UPPER(B94)&amp;"' AS TABELA, '"&amp;UPPER(C94)&amp;"' AS TIPOLOGIA_TESTE,'"&amp;D94&amp;"' AS TABELA_LT,'N/A' AS TABELA_SIMUL,'"&amp;F94&amp;"' AS CAMPO, "&amp;"'${ref_date}' AS REF_DATE, COUNT(*) AS NUM_REG, SUM(IF(TRIM(CAST(X."&amp;F94&amp;" AS STRING))='' OR TRIM(CAST(X."&amp;F94&amp;" AS STRING)) IS NULL,1,0)) AS NUM_REG_DIF,'"&amp;MAX('ID1&amp;5'!K:K)+1&amp;"' AS ID_EXEC, CURRENT_TIMESTAMP() AS TIME_EXEC FROM "&amp;I94),
IF(C94="Caracteres Especiais",+"SELECT '"&amp;UPPER(B94)&amp;"' AS TABELA, '"&amp;UPPER(C94)&amp;"' AS TIPOLOGIA_TESTE,'"&amp;D94&amp;"' AS TABELA_LT,'N/A' AS TABELA_SIMUL,'"&amp;F94&amp;"' AS CAMPO, "&amp;"'${ref_date}' AS REF_DATE, COUNT(*) AS NUM_REG, SUM(IF(REGEXP_REPLACE(TRIM(CAST(X."&amp;F94&amp;" AS STRING)),'[^a-zA-Z0-9_\\s]','') &lt;&gt;TRIM(CAST(X."&amp;F94&amp;" AS STRING)),1,0)) AS NUM_REG_DIF,'"&amp;MAX('ID1&amp;5'!K:K)+1&amp;"' AS ID_EXEC, CURRENT_TIMESTAMP() AS TIME_EXEC FROM "&amp;I94,
IF(C94="Missings",+"SELECT '"&amp;UPPER(B94)&amp;"' AS TABELA, '"&amp;UPPER(C94)&amp;"' AS TIPOLOGIA_TESTE,'"&amp;D94&amp;"' AS TABELA_LT,'N/A' AS TABELA_SIMUL,'"&amp;F94&amp;"' AS CAMPO, "&amp;"'${ref_date}' AS REF_DATE, COUNT(*) AS NUM_REG, SUM(IF(TRIM(CAST(X."&amp;F94&amp;" AS STRING)) IN ('0000-00-00','0001-01-01','9999-12-31','MISS','00000','99999999999','99999999999.00','99999999999.000000'),1,0)) AS NUM_REG_DIF,'"&amp;MAX('ID1&amp;5'!K:K)+1&amp;"' AS ID_EXEC, CURRENT_TIMESTAMP() AS TIME_EXEC FROM "&amp;I94,
IF(C94="Not applicable",+"SELECT '"&amp;UPPER(B94)&amp;"' AS TABELA, '"&amp;UPPER(C94)&amp;"' AS TIPOLOGIA_TESTE,'"&amp;D94&amp;"' AS TABELA_LT,'N/A' AS TABELA_SIMUL,'"&amp;F94&amp;"' AS CAMPO, "&amp;"'${ref_date}' AS REF_DATE, COUNT(*) AS NUM_REG, SUM(IF(TRIM(CAST(X."&amp;F94&amp;" AS STRING)) IN ('N/A','11111111111','11111111111.00','11111111111.000000','1111-11-11'),1,0)) AS NUM_REG_DIF,'"&amp;MAX('ID1&amp;5'!K:K)+1&amp;"' AS ID_EXEC, CURRENT_TIMESTAMP() AS TIME_EXEC FROM "&amp;I94,
IF(C94="Valores extremos",+"SELECT '"&amp;UPPER(B94)&amp;"' AS TABELA, '"&amp;UPPER(C94)&amp;"' AS TIPOLOGIA_TESTE,'"&amp;D94&amp;"' AS TABELA_LT,'N/A' AS TABELA_SIMUL,'"&amp;F94&amp;"' AS CAMPO, "&amp;"'${ref_date}' AS REF_DATE, CAST(MIN("&amp;F94&amp;") AS STRING) AS VALOR_MIN, CAST(MAX("&amp;F94&amp;") AS STRING) AS VALOR_MAX,'"&amp;MAX('ID1&amp;5'!K:K)+1&amp;"' AS ID_EXEC, CURRENT_TIMESTAMP() AS TIME_EXEC FROM "&amp;MID(I94,1,LEN(I94)-2)&amp;" AND CAST("&amp;F94&amp;"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TABELA_SIMUL,'lcre' AS CAMPO, '${ref_date}' AS REF_DATE, COUNT(*) AS NUM_REG, SUM(IF(COALESCE(CAST(X.lcre AS STRING),'')&lt;&gt;COALESCE(CAST(Y.lcre_SIMUL AS STRING),'') OR (X.lcre IS NULL AND Y.lcre_SIMUL IS NOT NULL ) OR (X.lcre IS NOT NULL AND Y.lcre_SIMUL IS NULL),1,0)) AS NUM_REG_DIF,'1' AS ID_EXEC, CURRENT_TIMESTAMP() AS TIME_EXEC FROM (SELECT instrmnt_id, lcre FROM BU_LOANTAPE_WORK.LT002_INSTRUMENT WHERE ref_date='${ref_date}' AND nome_perimetro='Individual Local' AND segmento='ESTR' AND ambito='SRB_MBDT' AND entidade='00100')X INNER JOIN (SELECT instrmnt_id AS instrmnt_id_SIMUL, lcre AS lcre_SIMUL FROM BU_LOANTAPE_WORK.SIMUL_LT002_INSTRUMENT WHERE ref_date='${ref_date}' AND nome_perimetro='Individual Local' AND segmento='ESTR' AND ambito='PILAR3' AND entidade='00100')Y ON X.INSTRMNT_ID=Y.INSTRMNT_ID_SIMUL</v>
      </c>
      <c r="M94" s="36" t="str">
        <f t="shared" si="4"/>
        <v>UNION ALL SELECT 'INSTRUMENT' AS TABELA, 'COERÊNCIA' AS TIPOLOGIA_TESTE,'BU_LOANTAPE_WORK.LT002_INSTRUMENT' AS TABELA_LT,'BU_LOANTAPE_WORK.SIMUL_LT002_INSTRUMENT' AS TABELA_SIMUL,'lcre' AS CAMPO, '${ref_date}' AS REF_DATE, COUNT(*) AS NUM_REG, SUM(IF(COALESCE(CAST(X.lcre AS STRING),'')&lt;&gt;COALESCE(CAST(Y.lcre_SIMUL AS STRING),'') OR (X.lcre IS NULL AND Y.lcre_SIMUL IS NOT NULL ) OR (X.lcre IS NOT NULL AND Y.lcre_SIMUL IS NULL),1,0)) AS NUM_REG_DIF,'1' AS ID_EXEC, CURRENT_TIMESTAMP() AS TIME_EXEC FROM (SELECT instrmnt_id, lcre FROM BU_LOANTAPE_WORK.LT002_INSTRUMENT WHERE ref_date='${ref_date}' AND nome_perimetro='Individual Local' AND segmento='ESTR' AND ambito='SRB_MBDT' AND entidade='00100')X INNER JOIN (SELECT instrmnt_id AS instrmnt_id_SIMUL, lcre AS lcre_SIMUL FROM BU_LOANTAPE_WORK.SIMUL_LT002_INSTRUMENT WHERE ref_date='${ref_date}' AND nome_perimetro='Individual Local' AND segmento='ESTR' AND ambito='PILAR3' AND entidade='00100')Y ON X.INSTRMNT_ID=Y.INSTRMNT_ID_SIMUL</v>
      </c>
      <c r="N94" s="38" t="s">
        <v>40</v>
      </c>
    </row>
    <row r="95" spans="2:14">
      <c r="B95" s="34" t="s">
        <v>117</v>
      </c>
      <c r="C95" s="34" t="s">
        <v>5</v>
      </c>
      <c r="D95" s="34" t="str">
        <f>+UPPER('0. Instruções'!$D$35&amp;"."&amp;VLOOKUP(B95,'0. Instruções'!$C$27:$D$32,2,FALSE))</f>
        <v>BU_LOANTAPE_WORK.LT002_INSTRUMENT</v>
      </c>
      <c r="E95" s="34" t="str">
        <f>+UPPER('0. Instruções'!$D$36&amp;"."&amp;VLOOKUP(B95,'0. Instruções'!$C$27:$E$32,3,FALSE))</f>
        <v>BU_LOANTAPE_WORK.SIMUL_LT002_INSTRUMENT</v>
      </c>
      <c r="F95" s="34" t="s">
        <v>1174</v>
      </c>
      <c r="G95" s="34"/>
      <c r="H95" s="34"/>
      <c r="I95" s="34" t="str">
        <f>"(SELECT "&amp;VLOOKUP(B95,'0. Instruções'!$C$27:$G$32,4,FALSE)&amp;", "&amp;F95&amp;" FROM "&amp;D95&amp;" WHERE "&amp;'0. Instruções'!$D$42&amp;")X"</f>
        <v>(SELECT instrmnt_id, lgl_prcdng_stts FROM BU_LOANTAPE_WORK.LT002_INSTRUMENT WHERE ref_date='${ref_date}' AND nome_perimetro='Individual Local' AND segmento='ESTR' AND ambito='SRB_MBDT' AND entidade='00100')X</v>
      </c>
      <c r="J95" s="34" t="str">
        <f>"(SELECT "&amp;VLOOKUP(B95,'0. Instruções'!$C$27:$G$32,4,FALSE)&amp;" AS "&amp;VLOOKUP(B95,'0. Instruções'!$C$27:$G$32,4,FALSE)&amp;"_SIMUL, "&amp;F95&amp;" AS "&amp;F95&amp;"_SIMUL FROM "&amp;E95&amp;" WHERE "&amp;'0. Instruções'!$D$43&amp;")Y"</f>
        <v>(SELECT instrmnt_id AS instrmnt_id_SIMUL, lgl_prcdng_stts AS lgl_prcdng_stts_SIMUL FROM BU_LOANTAPE_WORK.SIMUL_LT002_INSTRUMENT WHERE ref_date='${ref_date}' AND nome_perimetro='Individual Local' AND segmento='ESTR' AND ambito='PILAR3' AND entidade='00100')Y</v>
      </c>
      <c r="K95" s="35" t="str">
        <f>+UPPER("ON X."&amp;VLOOKUP(B95,'0. Instruções'!$C$27:$G$32,4,FALSE)&amp;"=Y."&amp;VLOOKUP(B95,'0. Instruções'!$C$27:$G$32,4,FALSE)&amp;"_SIMUL")</f>
        <v>ON X.INSTRMNT_ID=Y.INSTRMNT_ID_SIMUL</v>
      </c>
      <c r="L95" s="35" t="str">
        <f>+IF(C95="Coerência", +IF(LEFT(G95,5)="FLOAT","SELECT '"&amp;UPPER(B95)&amp;"' AS TABELA, '"&amp;UPPER(C95)&amp;"' AS TIPOLOGIA_TESTE,'"&amp;D95&amp;"' AS TABELA_LT,'"&amp;E95&amp;"' AS TABELA_SIMUL,'"&amp;F95&amp;"' AS CAMPO, "&amp;"'${ref_date}' AS REF_DATE, COUNT(*) AS NUM_REG, SUM(IF((ABS(COALESCE(CAST(X."&amp;F95&amp;" AS DECIMAL(18,6)),0)-COALESCE(CAST(Y."&amp;F95&amp;"_SIMUL AS DECIMAL(18,6)),0))&gt;0.000001) OR (X."&amp;F95&amp;" IS NULL AND Y."&amp;F95&amp;"_SIMUL IS NOT NULL ) OR (X."&amp;F95&amp;" IS NOT NULL AND Y."&amp;F95&amp;"_SIMUL IS NULL),1,0)) AS NUM_REG_DIF,'"&amp;MAX('ID1&amp;5'!K:K)+1&amp;"' AS ID_EXEC, CURRENT_TIMESTAMP() AS TIME_EXEC FROM "&amp;I95&amp;" INNER JOIN "&amp;J95&amp;" "&amp;K95,"SELECT '"&amp;UPPER(B95)&amp;"' AS TABELA, '"&amp;UPPER(C95)&amp;"' AS TIPOLOGIA_TESTE,'"&amp;D95&amp;"' AS TABELA_LT,'"&amp;E95&amp;"' AS TABELA_SIMUL,'"&amp;F95&amp;"' AS CAMPO, "&amp;"'${ref_date}' AS REF_DATE, COUNT(*) AS NUM_REG, SUM(IF(COALESCE(CAST(X."&amp;F95&amp;" AS STRING),'')&lt;&gt;COALESCE(CAST(Y."&amp;F95&amp;"_SIMUL AS STRING),'') OR (X."&amp;F95&amp;" IS NULL AND Y."&amp;F95&amp;"_SIMUL IS NOT NULL ) OR (X."&amp;F95&amp;" IS NOT NULL AND Y."&amp;F95&amp;"_SIMUL IS NULL),1,0)) AS NUM_REG_DIF,'"&amp;MAX('ID1&amp;5'!L:L)+1&amp;"' AS ID_EXEC, CURRENT_TIMESTAMP() AS TIME_EXEC FROM "&amp;I95&amp;" INNER JOIN "&amp;J95&amp;" "&amp;K95),
IF(C95="Validade",+IF(G95="Code List","SELECT '"&amp;UPPER(B95)&amp;"' AS TABELA, '"&amp;UPPER(C95)&amp;"' AS TIPOLOGIA_TESTE,'"&amp;D95&amp;"' AS TABELA_LT,'N/A' AS TABELA_SIMUL,'"&amp;F95&amp;"' AS CAMPO, "&amp;"'${ref_date}' AS REF_DATE, COUNT(*) AS NUM_REG, SUM(IF(TRIM(CAST(X."&amp;F95&amp;" AS STRING))='' OR TRIM(CAST(X."&amp;F95&amp;" AS STRING)) IS NULL OR CAST(X."&amp;F95&amp;" AS STRING) NOT "&amp;H95&amp;",1,0)) AS NUM_REG_DIF,'"&amp;MAX('ID1&amp;5'!K:K)+1&amp;"' AS ID_EXEC, CURRENT_TIMESTAMP() AS TIME_EXEC FROM "&amp;I95,"SELECT '"&amp;UPPER(B95)&amp;"' AS TABELA, '"&amp;UPPER(C95)&amp;"' AS TIPOLOGIA_TESTE,'"&amp;D95&amp;"' AS TABELA_LT,'N/A' AS TABELA_SIMUL,'"&amp;F95&amp;"' AS CAMPO, "&amp;"'${ref_date}' AS REF_DATE, COUNT(*) AS NUM_REG, SUM(IF(TRIM(CAST(X."&amp;F95&amp;" AS STRING))='' OR TRIM(CAST(X."&amp;F95&amp;" AS STRING)) IS NULL,1,0)) AS NUM_REG_DIF,'"&amp;MAX('ID1&amp;5'!K:K)+1&amp;"' AS ID_EXEC, CURRENT_TIMESTAMP() AS TIME_EXEC FROM "&amp;I95),
IF(C95="Caracteres Especiais",+"SELECT '"&amp;UPPER(B95)&amp;"' AS TABELA, '"&amp;UPPER(C95)&amp;"' AS TIPOLOGIA_TESTE,'"&amp;D95&amp;"' AS TABELA_LT,'N/A' AS TABELA_SIMUL,'"&amp;F95&amp;"' AS CAMPO, "&amp;"'${ref_date}' AS REF_DATE, COUNT(*) AS NUM_REG, SUM(IF(REGEXP_REPLACE(TRIM(CAST(X."&amp;F95&amp;" AS STRING)),'[^a-zA-Z0-9_\\s]','') &lt;&gt;TRIM(CAST(X."&amp;F95&amp;" AS STRING)),1,0)) AS NUM_REG_DIF,'"&amp;MAX('ID1&amp;5'!K:K)+1&amp;"' AS ID_EXEC, CURRENT_TIMESTAMP() AS TIME_EXEC FROM "&amp;I95,
IF(C95="Missings",+"SELECT '"&amp;UPPER(B95)&amp;"' AS TABELA, '"&amp;UPPER(C95)&amp;"' AS TIPOLOGIA_TESTE,'"&amp;D95&amp;"' AS TABELA_LT,'N/A' AS TABELA_SIMUL,'"&amp;F95&amp;"' AS CAMPO, "&amp;"'${ref_date}' AS REF_DATE, COUNT(*) AS NUM_REG, SUM(IF(TRIM(CAST(X."&amp;F95&amp;" AS STRING)) IN ('0000-00-00','0001-01-01','9999-12-31','MISS','00000','99999999999','99999999999.00','99999999999.000000'),1,0)) AS NUM_REG_DIF,'"&amp;MAX('ID1&amp;5'!K:K)+1&amp;"' AS ID_EXEC, CURRENT_TIMESTAMP() AS TIME_EXEC FROM "&amp;I95,
IF(C95="Not applicable",+"SELECT '"&amp;UPPER(B95)&amp;"' AS TABELA, '"&amp;UPPER(C95)&amp;"' AS TIPOLOGIA_TESTE,'"&amp;D95&amp;"' AS TABELA_LT,'N/A' AS TABELA_SIMUL,'"&amp;F95&amp;"' AS CAMPO, "&amp;"'${ref_date}' AS REF_DATE, COUNT(*) AS NUM_REG, SUM(IF(TRIM(CAST(X."&amp;F95&amp;" AS STRING)) IN ('N/A','11111111111','11111111111.00','11111111111.000000','1111-11-11'),1,0)) AS NUM_REG_DIF,'"&amp;MAX('ID1&amp;5'!K:K)+1&amp;"' AS ID_EXEC, CURRENT_TIMESTAMP() AS TIME_EXEC FROM "&amp;I95,
IF(C95="Valores extremos",+"SELECT '"&amp;UPPER(B95)&amp;"' AS TABELA, '"&amp;UPPER(C95)&amp;"' AS TIPOLOGIA_TESTE,'"&amp;D95&amp;"' AS TABELA_LT,'N/A' AS TABELA_SIMUL,'"&amp;F95&amp;"' AS CAMPO, "&amp;"'${ref_date}' AS REF_DATE, CAST(MIN("&amp;F95&amp;") AS STRING) AS VALOR_MIN, CAST(MAX("&amp;F95&amp;") AS STRING) AS VALOR_MAX,'"&amp;MAX('ID1&amp;5'!K:K)+1&amp;"' AS ID_EXEC, CURRENT_TIMESTAMP() AS TIME_EXEC FROM "&amp;MID(I95,1,LEN(I95)-2)&amp;" AND CAST("&amp;F95&amp;"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TABELA_SIMUL,'lgl_prcdng_stts' AS CAMPO, '${ref_date}' AS REF_DATE, COUNT(*) AS NUM_REG, SUM(IF(COALESCE(CAST(X.lgl_prcdng_stts AS STRING),'')&lt;&gt;COALESCE(CAST(Y.lgl_prcdng_stts_SIMUL AS STRING),'') OR (X.lgl_prcdng_stts IS NULL AND Y.lgl_prcdng_stts_SIMUL IS NOT NULL ) OR (X.lgl_prcdng_stts IS NOT NULL AND Y.lgl_prcdng_stts_SIMUL IS NULL),1,0)) AS NUM_REG_DIF,'1' AS ID_EXEC, CURRENT_TIMESTAMP() AS TIME_EXEC FROM (SELECT instrmnt_id, lgl_prcdng_stts FROM BU_LOANTAPE_WORK.LT002_INSTRUMENT WHERE ref_date='${ref_date}' AND nome_perimetro='Individual Local' AND segmento='ESTR' AND ambito='SRB_MBDT' AND entidade='00100')X INNER JOIN (SELECT instrmnt_id AS instrmnt_id_SIMUL, lgl_prcdng_stts AS lgl_prcdng_stts_SIMUL FROM BU_LOANTAPE_WORK.SIMUL_LT002_INSTRUMENT WHERE ref_date='${ref_date}' AND nome_perimetro='Individual Local' AND segmento='ESTR' AND ambito='PILAR3' AND entidade='00100')Y ON X.INSTRMNT_ID=Y.INSTRMNT_ID_SIMUL</v>
      </c>
      <c r="M95" s="36" t="str">
        <f t="shared" si="4"/>
        <v>UNION ALL SELECT 'INSTRUMENT' AS TABELA, 'COERÊNCIA' AS TIPOLOGIA_TESTE,'BU_LOANTAPE_WORK.LT002_INSTRUMENT' AS TABELA_LT,'BU_LOANTAPE_WORK.SIMUL_LT002_INSTRUMENT' AS TABELA_SIMUL,'lgl_prcdng_stts' AS CAMPO, '${ref_date}' AS REF_DATE, COUNT(*) AS NUM_REG, SUM(IF(COALESCE(CAST(X.lgl_prcdng_stts AS STRING),'')&lt;&gt;COALESCE(CAST(Y.lgl_prcdng_stts_SIMUL AS STRING),'') OR (X.lgl_prcdng_stts IS NULL AND Y.lgl_prcdng_stts_SIMUL IS NOT NULL ) OR (X.lgl_prcdng_stts IS NOT NULL AND Y.lgl_prcdng_stts_SIMUL IS NULL),1,0)) AS NUM_REG_DIF,'1' AS ID_EXEC, CURRENT_TIMESTAMP() AS TIME_EXEC FROM (SELECT instrmnt_id, lgl_prcdng_stts FROM BU_LOANTAPE_WORK.LT002_INSTRUMENT WHERE ref_date='${ref_date}' AND nome_perimetro='Individual Local' AND segmento='ESTR' AND ambito='SRB_MBDT' AND entidade='00100')X INNER JOIN (SELECT instrmnt_id AS instrmnt_id_SIMUL, lgl_prcdng_stts AS lgl_prcdng_stts_SIMUL FROM BU_LOANTAPE_WORK.SIMUL_LT002_INSTRUMENT WHERE ref_date='${ref_date}' AND nome_perimetro='Individual Local' AND segmento='ESTR' AND ambito='PILAR3' AND entidade='00100')Y ON X.INSTRMNT_ID=Y.INSTRMNT_ID_SIMUL</v>
      </c>
      <c r="N95" s="38" t="s">
        <v>40</v>
      </c>
    </row>
    <row r="96" spans="2:14">
      <c r="B96" s="34" t="s">
        <v>117</v>
      </c>
      <c r="C96" s="34" t="s">
        <v>5</v>
      </c>
      <c r="D96" s="34" t="str">
        <f>+UPPER('0. Instruções'!$D$35&amp;"."&amp;VLOOKUP(B96,'0. Instruções'!$C$27:$D$32,2,FALSE))</f>
        <v>BU_LOANTAPE_WORK.LT002_INSTRUMENT</v>
      </c>
      <c r="E96" s="34" t="str">
        <f>+UPPER('0. Instruções'!$D$36&amp;"."&amp;VLOOKUP(B96,'0. Instruções'!$C$27:$E$32,3,FALSE))</f>
        <v>BU_LOANTAPE_WORK.SIMUL_LT002_INSTRUMENT</v>
      </c>
      <c r="F96" s="34" t="s">
        <v>1175</v>
      </c>
      <c r="G96" s="34"/>
      <c r="H96" s="34"/>
      <c r="I96" s="34" t="str">
        <f>"(SELECT "&amp;VLOOKUP(B96,'0. Instruções'!$C$27:$G$32,4,FALSE)&amp;", "&amp;F96&amp;" FROM "&amp;D96&amp;" WHERE "&amp;'0. Instruções'!$D$42&amp;")X"</f>
        <v>(SELECT instrmnt_id, lnd_drgtn FROM BU_LOANTAPE_WORK.LT002_INSTRUMENT WHERE ref_date='${ref_date}' AND nome_perimetro='Individual Local' AND segmento='ESTR' AND ambito='SRB_MBDT' AND entidade='00100')X</v>
      </c>
      <c r="J96" s="34" t="str">
        <f>"(SELECT "&amp;VLOOKUP(B96,'0. Instruções'!$C$27:$G$32,4,FALSE)&amp;" AS "&amp;VLOOKUP(B96,'0. Instruções'!$C$27:$G$32,4,FALSE)&amp;"_SIMUL, "&amp;F96&amp;" AS "&amp;F96&amp;"_SIMUL FROM "&amp;E96&amp;" WHERE "&amp;'0. Instruções'!$D$43&amp;")Y"</f>
        <v>(SELECT instrmnt_id AS instrmnt_id_SIMUL, lnd_drgtn AS lnd_drgtn_SIMUL FROM BU_LOANTAPE_WORK.SIMUL_LT002_INSTRUMENT WHERE ref_date='${ref_date}' AND nome_perimetro='Individual Local' AND segmento='ESTR' AND ambito='PILAR3' AND entidade='00100')Y</v>
      </c>
      <c r="K96" s="35" t="str">
        <f>+UPPER("ON X."&amp;VLOOKUP(B96,'0. Instruções'!$C$27:$G$32,4,FALSE)&amp;"=Y."&amp;VLOOKUP(B96,'0. Instruções'!$C$27:$G$32,4,FALSE)&amp;"_SIMUL")</f>
        <v>ON X.INSTRMNT_ID=Y.INSTRMNT_ID_SIMUL</v>
      </c>
      <c r="L96" s="35" t="str">
        <f>+IF(C96="Coerência", +IF(LEFT(G96,5)="FLOAT","SELECT '"&amp;UPPER(B96)&amp;"' AS TABELA, '"&amp;UPPER(C96)&amp;"' AS TIPOLOGIA_TESTE,'"&amp;D96&amp;"' AS TABELA_LT,'"&amp;E96&amp;"' AS TABELA_SIMUL,'"&amp;F96&amp;"' AS CAMPO, "&amp;"'${ref_date}' AS REF_DATE, COUNT(*) AS NUM_REG, SUM(IF((ABS(COALESCE(CAST(X."&amp;F96&amp;" AS DECIMAL(18,6)),0)-COALESCE(CAST(Y."&amp;F96&amp;"_SIMUL AS DECIMAL(18,6)),0))&gt;0.000001) OR (X."&amp;F96&amp;" IS NULL AND Y."&amp;F96&amp;"_SIMUL IS NOT NULL ) OR (X."&amp;F96&amp;" IS NOT NULL AND Y."&amp;F96&amp;"_SIMUL IS NULL),1,0)) AS NUM_REG_DIF,'"&amp;MAX('ID1&amp;5'!K:K)+1&amp;"' AS ID_EXEC, CURRENT_TIMESTAMP() AS TIME_EXEC FROM "&amp;I96&amp;" INNER JOIN "&amp;J96&amp;" "&amp;K96,"SELECT '"&amp;UPPER(B96)&amp;"' AS TABELA, '"&amp;UPPER(C96)&amp;"' AS TIPOLOGIA_TESTE,'"&amp;D96&amp;"' AS TABELA_LT,'"&amp;E96&amp;"' AS TABELA_SIMUL,'"&amp;F96&amp;"' AS CAMPO, "&amp;"'${ref_date}' AS REF_DATE, COUNT(*) AS NUM_REG, SUM(IF(COALESCE(CAST(X."&amp;F96&amp;" AS STRING),'')&lt;&gt;COALESCE(CAST(Y."&amp;F96&amp;"_SIMUL AS STRING),'') OR (X."&amp;F96&amp;" IS NULL AND Y."&amp;F96&amp;"_SIMUL IS NOT NULL ) OR (X."&amp;F96&amp;" IS NOT NULL AND Y."&amp;F96&amp;"_SIMUL IS NULL),1,0)) AS NUM_REG_DIF,'"&amp;MAX('ID1&amp;5'!L:L)+1&amp;"' AS ID_EXEC, CURRENT_TIMESTAMP() AS TIME_EXEC FROM "&amp;I96&amp;" INNER JOIN "&amp;J96&amp;" "&amp;K96),
IF(C96="Validade",+IF(G96="Code List","SELECT '"&amp;UPPER(B96)&amp;"' AS TABELA, '"&amp;UPPER(C96)&amp;"' AS TIPOLOGIA_TESTE,'"&amp;D96&amp;"' AS TABELA_LT,'N/A' AS TABELA_SIMUL,'"&amp;F96&amp;"' AS CAMPO, "&amp;"'${ref_date}' AS REF_DATE, COUNT(*) AS NUM_REG, SUM(IF(TRIM(CAST(X."&amp;F96&amp;" AS STRING))='' OR TRIM(CAST(X."&amp;F96&amp;" AS STRING)) IS NULL OR CAST(X."&amp;F96&amp;" AS STRING) NOT "&amp;H96&amp;",1,0)) AS NUM_REG_DIF,'"&amp;MAX('ID1&amp;5'!K:K)+1&amp;"' AS ID_EXEC, CURRENT_TIMESTAMP() AS TIME_EXEC FROM "&amp;I96,"SELECT '"&amp;UPPER(B96)&amp;"' AS TABELA, '"&amp;UPPER(C96)&amp;"' AS TIPOLOGIA_TESTE,'"&amp;D96&amp;"' AS TABELA_LT,'N/A' AS TABELA_SIMUL,'"&amp;F96&amp;"' AS CAMPO, "&amp;"'${ref_date}' AS REF_DATE, COUNT(*) AS NUM_REG, SUM(IF(TRIM(CAST(X."&amp;F96&amp;" AS STRING))='' OR TRIM(CAST(X."&amp;F96&amp;" AS STRING)) IS NULL,1,0)) AS NUM_REG_DIF,'"&amp;MAX('ID1&amp;5'!K:K)+1&amp;"' AS ID_EXEC, CURRENT_TIMESTAMP() AS TIME_EXEC FROM "&amp;I96),
IF(C96="Caracteres Especiais",+"SELECT '"&amp;UPPER(B96)&amp;"' AS TABELA, '"&amp;UPPER(C96)&amp;"' AS TIPOLOGIA_TESTE,'"&amp;D96&amp;"' AS TABELA_LT,'N/A' AS TABELA_SIMUL,'"&amp;F96&amp;"' AS CAMPO, "&amp;"'${ref_date}' AS REF_DATE, COUNT(*) AS NUM_REG, SUM(IF(REGEXP_REPLACE(TRIM(CAST(X."&amp;F96&amp;" AS STRING)),'[^a-zA-Z0-9_\\s]','') &lt;&gt;TRIM(CAST(X."&amp;F96&amp;" AS STRING)),1,0)) AS NUM_REG_DIF,'"&amp;MAX('ID1&amp;5'!K:K)+1&amp;"' AS ID_EXEC, CURRENT_TIMESTAMP() AS TIME_EXEC FROM "&amp;I96,
IF(C96="Missings",+"SELECT '"&amp;UPPER(B96)&amp;"' AS TABELA, '"&amp;UPPER(C96)&amp;"' AS TIPOLOGIA_TESTE,'"&amp;D96&amp;"' AS TABELA_LT,'N/A' AS TABELA_SIMUL,'"&amp;F96&amp;"' AS CAMPO, "&amp;"'${ref_date}' AS REF_DATE, COUNT(*) AS NUM_REG, SUM(IF(TRIM(CAST(X."&amp;F96&amp;" AS STRING)) IN ('0000-00-00','0001-01-01','9999-12-31','MISS','00000','99999999999','99999999999.00','99999999999.000000'),1,0)) AS NUM_REG_DIF,'"&amp;MAX('ID1&amp;5'!K:K)+1&amp;"' AS ID_EXEC, CURRENT_TIMESTAMP() AS TIME_EXEC FROM "&amp;I96,
IF(C96="Not applicable",+"SELECT '"&amp;UPPER(B96)&amp;"' AS TABELA, '"&amp;UPPER(C96)&amp;"' AS TIPOLOGIA_TESTE,'"&amp;D96&amp;"' AS TABELA_LT,'N/A' AS TABELA_SIMUL,'"&amp;F96&amp;"' AS CAMPO, "&amp;"'${ref_date}' AS REF_DATE, COUNT(*) AS NUM_REG, SUM(IF(TRIM(CAST(X."&amp;F96&amp;" AS STRING)) IN ('N/A','11111111111','11111111111.00','11111111111.000000','1111-11-11'),1,0)) AS NUM_REG_DIF,'"&amp;MAX('ID1&amp;5'!K:K)+1&amp;"' AS ID_EXEC, CURRENT_TIMESTAMP() AS TIME_EXEC FROM "&amp;I96,
IF(C96="Valores extremos",+"SELECT '"&amp;UPPER(B96)&amp;"' AS TABELA, '"&amp;UPPER(C96)&amp;"' AS TIPOLOGIA_TESTE,'"&amp;D96&amp;"' AS TABELA_LT,'N/A' AS TABELA_SIMUL,'"&amp;F96&amp;"' AS CAMPO, "&amp;"'${ref_date}' AS REF_DATE, CAST(MIN("&amp;F96&amp;") AS STRING) AS VALOR_MIN, CAST(MAX("&amp;F96&amp;") AS STRING) AS VALOR_MAX,'"&amp;MAX('ID1&amp;5'!K:K)+1&amp;"' AS ID_EXEC, CURRENT_TIMESTAMP() AS TIME_EXEC FROM "&amp;MID(I96,1,LEN(I96)-2)&amp;" AND CAST("&amp;F96&amp;"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TABELA_SIMUL,'lnd_drgtn' AS CAMPO, '${ref_date}' AS REF_DATE, COUNT(*) AS NUM_REG, SUM(IF(COALESCE(CAST(X.lnd_drgtn AS STRING),'')&lt;&gt;COALESCE(CAST(Y.lnd_drgtn_SIMUL AS STRING),'') OR (X.lnd_drgtn IS NULL AND Y.lnd_drgtn_SIMUL IS NOT NULL ) OR (X.lnd_drgtn IS NOT NULL AND Y.lnd_drgtn_SIMUL IS NULL),1,0)) AS NUM_REG_DIF,'1' AS ID_EXEC, CURRENT_TIMESTAMP() AS TIME_EXEC FROM (SELECT instrmnt_id, lnd_drgtn FROM BU_LOANTAPE_WORK.LT002_INSTRUMENT WHERE ref_date='${ref_date}' AND nome_perimetro='Individual Local' AND segmento='ESTR' AND ambito='SRB_MBDT' AND entidade='00100')X INNER JOIN (SELECT instrmnt_id AS instrmnt_id_SIMUL, lnd_drgtn AS lnd_drgtn_SIMUL FROM BU_LOANTAPE_WORK.SIMUL_LT002_INSTRUMENT WHERE ref_date='${ref_date}' AND nome_perimetro='Individual Local' AND segmento='ESTR' AND ambito='PILAR3' AND entidade='00100')Y ON X.INSTRMNT_ID=Y.INSTRMNT_ID_SIMUL</v>
      </c>
      <c r="M96" s="36" t="str">
        <f t="shared" si="4"/>
        <v>UNION ALL SELECT 'INSTRUMENT' AS TABELA, 'COERÊNCIA' AS TIPOLOGIA_TESTE,'BU_LOANTAPE_WORK.LT002_INSTRUMENT' AS TABELA_LT,'BU_LOANTAPE_WORK.SIMUL_LT002_INSTRUMENT' AS TABELA_SIMUL,'lnd_drgtn' AS CAMPO, '${ref_date}' AS REF_DATE, COUNT(*) AS NUM_REG, SUM(IF(COALESCE(CAST(X.lnd_drgtn AS STRING),'')&lt;&gt;COALESCE(CAST(Y.lnd_drgtn_SIMUL AS STRING),'') OR (X.lnd_drgtn IS NULL AND Y.lnd_drgtn_SIMUL IS NOT NULL ) OR (X.lnd_drgtn IS NOT NULL AND Y.lnd_drgtn_SIMUL IS NULL),1,0)) AS NUM_REG_DIF,'1' AS ID_EXEC, CURRENT_TIMESTAMP() AS TIME_EXEC FROM (SELECT instrmnt_id, lnd_drgtn FROM BU_LOANTAPE_WORK.LT002_INSTRUMENT WHERE ref_date='${ref_date}' AND nome_perimetro='Individual Local' AND segmento='ESTR' AND ambito='SRB_MBDT' AND entidade='00100')X INNER JOIN (SELECT instrmnt_id AS instrmnt_id_SIMUL, lnd_drgtn AS lnd_drgtn_SIMUL FROM BU_LOANTAPE_WORK.SIMUL_LT002_INSTRUMENT WHERE ref_date='${ref_date}' AND nome_perimetro='Individual Local' AND segmento='ESTR' AND ambito='PILAR3' AND entidade='00100')Y ON X.INSTRMNT_ID=Y.INSTRMNT_ID_SIMUL</v>
      </c>
      <c r="N96" s="38" t="s">
        <v>40</v>
      </c>
    </row>
    <row r="97" spans="2:14">
      <c r="B97" s="34" t="s">
        <v>117</v>
      </c>
      <c r="C97" s="34" t="s">
        <v>5</v>
      </c>
      <c r="D97" s="34" t="str">
        <f>+UPPER('0. Instruções'!$D$35&amp;"."&amp;VLOOKUP(B97,'0. Instruções'!$C$27:$D$32,2,FALSE))</f>
        <v>BU_LOANTAPE_WORK.LT002_INSTRUMENT</v>
      </c>
      <c r="E97" s="34" t="str">
        <f>+UPPER('0. Instruções'!$D$36&amp;"."&amp;VLOOKUP(B97,'0. Instruções'!$C$27:$E$32,3,FALSE))</f>
        <v>BU_LOANTAPE_WORK.SIMUL_LT002_INSTRUMENT</v>
      </c>
      <c r="F97" s="34" t="s">
        <v>1176</v>
      </c>
      <c r="G97" s="34"/>
      <c r="H97" s="34"/>
      <c r="I97" s="34" t="str">
        <f>"(SELECT "&amp;VLOOKUP(B97,'0. Instruções'!$C$27:$G$32,4,FALSE)&amp;", "&amp;F97&amp;" FROM "&amp;D97&amp;" WHERE "&amp;'0. Instruções'!$D$42&amp;")X"</f>
        <v>(SELECT instrmnt_id, poci FROM BU_LOANTAPE_WORK.LT002_INSTRUMENT WHERE ref_date='${ref_date}' AND nome_perimetro='Individual Local' AND segmento='ESTR' AND ambito='SRB_MBDT' AND entidade='00100')X</v>
      </c>
      <c r="J97" s="34" t="str">
        <f>"(SELECT "&amp;VLOOKUP(B97,'0. Instruções'!$C$27:$G$32,4,FALSE)&amp;" AS "&amp;VLOOKUP(B97,'0. Instruções'!$C$27:$G$32,4,FALSE)&amp;"_SIMUL, "&amp;F97&amp;" AS "&amp;F97&amp;"_SIMUL FROM "&amp;E97&amp;" WHERE "&amp;'0. Instruções'!$D$43&amp;")Y"</f>
        <v>(SELECT instrmnt_id AS instrmnt_id_SIMUL, poci AS poci_SIMUL FROM BU_LOANTAPE_WORK.SIMUL_LT002_INSTRUMENT WHERE ref_date='${ref_date}' AND nome_perimetro='Individual Local' AND segmento='ESTR' AND ambito='PILAR3' AND entidade='00100')Y</v>
      </c>
      <c r="K97" s="35" t="str">
        <f>+UPPER("ON X."&amp;VLOOKUP(B97,'0. Instruções'!$C$27:$G$32,4,FALSE)&amp;"=Y."&amp;VLOOKUP(B97,'0. Instruções'!$C$27:$G$32,4,FALSE)&amp;"_SIMUL")</f>
        <v>ON X.INSTRMNT_ID=Y.INSTRMNT_ID_SIMUL</v>
      </c>
      <c r="L97" s="35" t="str">
        <f>+IF(C97="Coerência", +IF(LEFT(G97,5)="FLOAT","SELECT '"&amp;UPPER(B97)&amp;"' AS TABELA, '"&amp;UPPER(C97)&amp;"' AS TIPOLOGIA_TESTE,'"&amp;D97&amp;"' AS TABELA_LT,'"&amp;E97&amp;"' AS TABELA_SIMUL,'"&amp;F97&amp;"' AS CAMPO, "&amp;"'${ref_date}' AS REF_DATE, COUNT(*) AS NUM_REG, SUM(IF((ABS(COALESCE(CAST(X."&amp;F97&amp;" AS DECIMAL(18,6)),0)-COALESCE(CAST(Y."&amp;F97&amp;"_SIMUL AS DECIMAL(18,6)),0))&gt;0.000001) OR (X."&amp;F97&amp;" IS NULL AND Y."&amp;F97&amp;"_SIMUL IS NOT NULL ) OR (X."&amp;F97&amp;" IS NOT NULL AND Y."&amp;F97&amp;"_SIMUL IS NULL),1,0)) AS NUM_REG_DIF,'"&amp;MAX('ID1&amp;5'!K:K)+1&amp;"' AS ID_EXEC, CURRENT_TIMESTAMP() AS TIME_EXEC FROM "&amp;I97&amp;" INNER JOIN "&amp;J97&amp;" "&amp;K97,"SELECT '"&amp;UPPER(B97)&amp;"' AS TABELA, '"&amp;UPPER(C97)&amp;"' AS TIPOLOGIA_TESTE,'"&amp;D97&amp;"' AS TABELA_LT,'"&amp;E97&amp;"' AS TABELA_SIMUL,'"&amp;F97&amp;"' AS CAMPO, "&amp;"'${ref_date}' AS REF_DATE, COUNT(*) AS NUM_REG, SUM(IF(COALESCE(CAST(X."&amp;F97&amp;" AS STRING),'')&lt;&gt;COALESCE(CAST(Y."&amp;F97&amp;"_SIMUL AS STRING),'') OR (X."&amp;F97&amp;" IS NULL AND Y."&amp;F97&amp;"_SIMUL IS NOT NULL ) OR (X."&amp;F97&amp;" IS NOT NULL AND Y."&amp;F97&amp;"_SIMUL IS NULL),1,0)) AS NUM_REG_DIF,'"&amp;MAX('ID1&amp;5'!L:L)+1&amp;"' AS ID_EXEC, CURRENT_TIMESTAMP() AS TIME_EXEC FROM "&amp;I97&amp;" INNER JOIN "&amp;J97&amp;" "&amp;K97),
IF(C97="Validade",+IF(G97="Code List","SELECT '"&amp;UPPER(B97)&amp;"' AS TABELA, '"&amp;UPPER(C97)&amp;"' AS TIPOLOGIA_TESTE,'"&amp;D97&amp;"' AS TABELA_LT,'N/A' AS TABELA_SIMUL,'"&amp;F97&amp;"' AS CAMPO, "&amp;"'${ref_date}' AS REF_DATE, COUNT(*) AS NUM_REG, SUM(IF(TRIM(CAST(X."&amp;F97&amp;" AS STRING))='' OR TRIM(CAST(X."&amp;F97&amp;" AS STRING)) IS NULL OR CAST(X."&amp;F97&amp;" AS STRING) NOT "&amp;H97&amp;",1,0)) AS NUM_REG_DIF,'"&amp;MAX('ID1&amp;5'!K:K)+1&amp;"' AS ID_EXEC, CURRENT_TIMESTAMP() AS TIME_EXEC FROM "&amp;I97,"SELECT '"&amp;UPPER(B97)&amp;"' AS TABELA, '"&amp;UPPER(C97)&amp;"' AS TIPOLOGIA_TESTE,'"&amp;D97&amp;"' AS TABELA_LT,'N/A' AS TABELA_SIMUL,'"&amp;F97&amp;"' AS CAMPO, "&amp;"'${ref_date}' AS REF_DATE, COUNT(*) AS NUM_REG, SUM(IF(TRIM(CAST(X."&amp;F97&amp;" AS STRING))='' OR TRIM(CAST(X."&amp;F97&amp;" AS STRING)) IS NULL,1,0)) AS NUM_REG_DIF,'"&amp;MAX('ID1&amp;5'!K:K)+1&amp;"' AS ID_EXEC, CURRENT_TIMESTAMP() AS TIME_EXEC FROM "&amp;I97),
IF(C97="Caracteres Especiais",+"SELECT '"&amp;UPPER(B97)&amp;"' AS TABELA, '"&amp;UPPER(C97)&amp;"' AS TIPOLOGIA_TESTE,'"&amp;D97&amp;"' AS TABELA_LT,'N/A' AS TABELA_SIMUL,'"&amp;F97&amp;"' AS CAMPO, "&amp;"'${ref_date}' AS REF_DATE, COUNT(*) AS NUM_REG, SUM(IF(REGEXP_REPLACE(TRIM(CAST(X."&amp;F97&amp;" AS STRING)),'[^a-zA-Z0-9_\\s]','') &lt;&gt;TRIM(CAST(X."&amp;F97&amp;" AS STRING)),1,0)) AS NUM_REG_DIF,'"&amp;MAX('ID1&amp;5'!K:K)+1&amp;"' AS ID_EXEC, CURRENT_TIMESTAMP() AS TIME_EXEC FROM "&amp;I97,
IF(C97="Missings",+"SELECT '"&amp;UPPER(B97)&amp;"' AS TABELA, '"&amp;UPPER(C97)&amp;"' AS TIPOLOGIA_TESTE,'"&amp;D97&amp;"' AS TABELA_LT,'N/A' AS TABELA_SIMUL,'"&amp;F97&amp;"' AS CAMPO, "&amp;"'${ref_date}' AS REF_DATE, COUNT(*) AS NUM_REG, SUM(IF(TRIM(CAST(X."&amp;F97&amp;" AS STRING)) IN ('0000-00-00','0001-01-01','9999-12-31','MISS','00000','99999999999','99999999999.00','99999999999.000000'),1,0)) AS NUM_REG_DIF,'"&amp;MAX('ID1&amp;5'!K:K)+1&amp;"' AS ID_EXEC, CURRENT_TIMESTAMP() AS TIME_EXEC FROM "&amp;I97,
IF(C97="Not applicable",+"SELECT '"&amp;UPPER(B97)&amp;"' AS TABELA, '"&amp;UPPER(C97)&amp;"' AS TIPOLOGIA_TESTE,'"&amp;D97&amp;"' AS TABELA_LT,'N/A' AS TABELA_SIMUL,'"&amp;F97&amp;"' AS CAMPO, "&amp;"'${ref_date}' AS REF_DATE, COUNT(*) AS NUM_REG, SUM(IF(TRIM(CAST(X."&amp;F97&amp;" AS STRING)) IN ('N/A','11111111111','11111111111.00','11111111111.000000','1111-11-11'),1,0)) AS NUM_REG_DIF,'"&amp;MAX('ID1&amp;5'!K:K)+1&amp;"' AS ID_EXEC, CURRENT_TIMESTAMP() AS TIME_EXEC FROM "&amp;I97,
IF(C97="Valores extremos",+"SELECT '"&amp;UPPER(B97)&amp;"' AS TABELA, '"&amp;UPPER(C97)&amp;"' AS TIPOLOGIA_TESTE,'"&amp;D97&amp;"' AS TABELA_LT,'N/A' AS TABELA_SIMUL,'"&amp;F97&amp;"' AS CAMPO, "&amp;"'${ref_date}' AS REF_DATE, CAST(MIN("&amp;F97&amp;") AS STRING) AS VALOR_MIN, CAST(MAX("&amp;F97&amp;") AS STRING) AS VALOR_MAX,'"&amp;MAX('ID1&amp;5'!K:K)+1&amp;"' AS ID_EXEC, CURRENT_TIMESTAMP() AS TIME_EXEC FROM "&amp;MID(I97,1,LEN(I97)-2)&amp;" AND CAST("&amp;F97&amp;"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TABELA_SIMUL,'poci' AS CAMPO, '${ref_date}' AS REF_DATE, COUNT(*) AS NUM_REG, SUM(IF(COALESCE(CAST(X.poci AS STRING),'')&lt;&gt;COALESCE(CAST(Y.poci_SIMUL AS STRING),'') OR (X.poci IS NULL AND Y.poci_SIMUL IS NOT NULL ) OR (X.poci IS NOT NULL AND Y.poci_SIMUL IS NULL),1,0)) AS NUM_REG_DIF,'1' AS ID_EXEC, CURRENT_TIMESTAMP() AS TIME_EXEC FROM (SELECT instrmnt_id, poci FROM BU_LOANTAPE_WORK.LT002_INSTRUMENT WHERE ref_date='${ref_date}' AND nome_perimetro='Individual Local' AND segmento='ESTR' AND ambito='SRB_MBDT' AND entidade='00100')X INNER JOIN (SELECT instrmnt_id AS instrmnt_id_SIMUL, poci AS poci_SIMUL FROM BU_LOANTAPE_WORK.SIMUL_LT002_INSTRUMENT WHERE ref_date='${ref_date}' AND nome_perimetro='Individual Local' AND segmento='ESTR' AND ambito='PILAR3' AND entidade='00100')Y ON X.INSTRMNT_ID=Y.INSTRMNT_ID_SIMUL</v>
      </c>
      <c r="M97" s="36" t="str">
        <f t="shared" si="4"/>
        <v>UNION ALL SELECT 'INSTRUMENT' AS TABELA, 'COERÊNCIA' AS TIPOLOGIA_TESTE,'BU_LOANTAPE_WORK.LT002_INSTRUMENT' AS TABELA_LT,'BU_LOANTAPE_WORK.SIMUL_LT002_INSTRUMENT' AS TABELA_SIMUL,'poci' AS CAMPO, '${ref_date}' AS REF_DATE, COUNT(*) AS NUM_REG, SUM(IF(COALESCE(CAST(X.poci AS STRING),'')&lt;&gt;COALESCE(CAST(Y.poci_SIMUL AS STRING),'') OR (X.poci IS NULL AND Y.poci_SIMUL IS NOT NULL ) OR (X.poci IS NOT NULL AND Y.poci_SIMUL IS NULL),1,0)) AS NUM_REG_DIF,'1' AS ID_EXEC, CURRENT_TIMESTAMP() AS TIME_EXEC FROM (SELECT instrmnt_id, poci FROM BU_LOANTAPE_WORK.LT002_INSTRUMENT WHERE ref_date='${ref_date}' AND nome_perimetro='Individual Local' AND segmento='ESTR' AND ambito='SRB_MBDT' AND entidade='00100')X INNER JOIN (SELECT instrmnt_id AS instrmnt_id_SIMUL, poci AS poci_SIMUL FROM BU_LOANTAPE_WORK.SIMUL_LT002_INSTRUMENT WHERE ref_date='${ref_date}' AND nome_perimetro='Individual Local' AND segmento='ESTR' AND ambito='PILAR3' AND entidade='00100')Y ON X.INSTRMNT_ID=Y.INSTRMNT_ID_SIMUL</v>
      </c>
      <c r="N97" s="38" t="s">
        <v>40</v>
      </c>
    </row>
    <row r="98" spans="2:14">
      <c r="B98" s="34" t="s">
        <v>117</v>
      </c>
      <c r="C98" s="34" t="s">
        <v>5</v>
      </c>
      <c r="D98" s="34" t="str">
        <f>+UPPER('0. Instruções'!$D$35&amp;"."&amp;VLOOKUP(B98,'0. Instruções'!$C$27:$D$32,2,FALSE))</f>
        <v>BU_LOANTAPE_WORK.LT002_INSTRUMENT</v>
      </c>
      <c r="E98" s="34" t="str">
        <f>+UPPER('0. Instruções'!$D$36&amp;"."&amp;VLOOKUP(B98,'0. Instruções'!$C$27:$E$32,3,FALSE))</f>
        <v>BU_LOANTAPE_WORK.SIMUL_LT002_INSTRUMENT</v>
      </c>
      <c r="F98" s="34" t="s">
        <v>644</v>
      </c>
      <c r="G98" s="34"/>
      <c r="H98" s="34"/>
      <c r="I98" s="34" t="str">
        <f>"(SELECT "&amp;VLOOKUP(B98,'0. Instruções'!$C$27:$G$32,4,FALSE)&amp;", "&amp;F98&amp;" FROM "&amp;D98&amp;" WHERE "&amp;'0. Instruções'!$D$42&amp;")X"</f>
        <v>(SELECT instrmnt_id, prfrmng_stts FROM BU_LOANTAPE_WORK.LT002_INSTRUMENT WHERE ref_date='${ref_date}' AND nome_perimetro='Individual Local' AND segmento='ESTR' AND ambito='SRB_MBDT' AND entidade='00100')X</v>
      </c>
      <c r="J98" s="34" t="str">
        <f>"(SELECT "&amp;VLOOKUP(B98,'0. Instruções'!$C$27:$G$32,4,FALSE)&amp;" AS "&amp;VLOOKUP(B98,'0. Instruções'!$C$27:$G$32,4,FALSE)&amp;"_SIMUL, "&amp;F98&amp;" AS "&amp;F98&amp;"_SIMUL FROM "&amp;E98&amp;" WHERE "&amp;'0. Instruções'!$D$43&amp;")Y"</f>
        <v>(SELECT instrmnt_id AS instrmnt_id_SIMUL, prfrmng_stts AS prfrmng_stts_SIMUL FROM BU_LOANTAPE_WORK.SIMUL_LT002_INSTRUMENT WHERE ref_date='${ref_date}' AND nome_perimetro='Individual Local' AND segmento='ESTR' AND ambito='PILAR3' AND entidade='00100')Y</v>
      </c>
      <c r="K98" s="35" t="str">
        <f>+UPPER("ON X."&amp;VLOOKUP(B98,'0. Instruções'!$C$27:$G$32,4,FALSE)&amp;"=Y."&amp;VLOOKUP(B98,'0. Instruções'!$C$27:$G$32,4,FALSE)&amp;"_SIMUL")</f>
        <v>ON X.INSTRMNT_ID=Y.INSTRMNT_ID_SIMUL</v>
      </c>
      <c r="L98" s="35" t="str">
        <f>+IF(C98="Coerência", +IF(LEFT(G98,5)="FLOAT","SELECT '"&amp;UPPER(B98)&amp;"' AS TABELA, '"&amp;UPPER(C98)&amp;"' AS TIPOLOGIA_TESTE,'"&amp;D98&amp;"' AS TABELA_LT,'"&amp;E98&amp;"' AS TABELA_SIMUL,'"&amp;F98&amp;"' AS CAMPO, "&amp;"'${ref_date}' AS REF_DATE, COUNT(*) AS NUM_REG, SUM(IF((ABS(COALESCE(CAST(X."&amp;F98&amp;" AS DECIMAL(18,6)),0)-COALESCE(CAST(Y."&amp;F98&amp;"_SIMUL AS DECIMAL(18,6)),0))&gt;0.000001) OR (X."&amp;F98&amp;" IS NULL AND Y."&amp;F98&amp;"_SIMUL IS NOT NULL ) OR (X."&amp;F98&amp;" IS NOT NULL AND Y."&amp;F98&amp;"_SIMUL IS NULL),1,0)) AS NUM_REG_DIF,'"&amp;MAX('ID1&amp;5'!K:K)+1&amp;"' AS ID_EXEC, CURRENT_TIMESTAMP() AS TIME_EXEC FROM "&amp;I98&amp;" INNER JOIN "&amp;J98&amp;" "&amp;K98,"SELECT '"&amp;UPPER(B98)&amp;"' AS TABELA, '"&amp;UPPER(C98)&amp;"' AS TIPOLOGIA_TESTE,'"&amp;D98&amp;"' AS TABELA_LT,'"&amp;E98&amp;"' AS TABELA_SIMUL,'"&amp;F98&amp;"' AS CAMPO, "&amp;"'${ref_date}' AS REF_DATE, COUNT(*) AS NUM_REG, SUM(IF(COALESCE(CAST(X."&amp;F98&amp;" AS STRING),'')&lt;&gt;COALESCE(CAST(Y."&amp;F98&amp;"_SIMUL AS STRING),'') OR (X."&amp;F98&amp;" IS NULL AND Y."&amp;F98&amp;"_SIMUL IS NOT NULL ) OR (X."&amp;F98&amp;" IS NOT NULL AND Y."&amp;F98&amp;"_SIMUL IS NULL),1,0)) AS NUM_REG_DIF,'"&amp;MAX('ID1&amp;5'!L:L)+1&amp;"' AS ID_EXEC, CURRENT_TIMESTAMP() AS TIME_EXEC FROM "&amp;I98&amp;" INNER JOIN "&amp;J98&amp;" "&amp;K98),
IF(C98="Validade",+IF(G98="Code List","SELECT '"&amp;UPPER(B98)&amp;"' AS TABELA, '"&amp;UPPER(C98)&amp;"' AS TIPOLOGIA_TESTE,'"&amp;D98&amp;"' AS TABELA_LT,'N/A' AS TABELA_SIMUL,'"&amp;F98&amp;"' AS CAMPO, "&amp;"'${ref_date}' AS REF_DATE, COUNT(*) AS NUM_REG, SUM(IF(TRIM(CAST(X."&amp;F98&amp;" AS STRING))='' OR TRIM(CAST(X."&amp;F98&amp;" AS STRING)) IS NULL OR CAST(X."&amp;F98&amp;" AS STRING) NOT "&amp;H98&amp;",1,0)) AS NUM_REG_DIF,'"&amp;MAX('ID1&amp;5'!K:K)+1&amp;"' AS ID_EXEC, CURRENT_TIMESTAMP() AS TIME_EXEC FROM "&amp;I98,"SELECT '"&amp;UPPER(B98)&amp;"' AS TABELA, '"&amp;UPPER(C98)&amp;"' AS TIPOLOGIA_TESTE,'"&amp;D98&amp;"' AS TABELA_LT,'N/A' AS TABELA_SIMUL,'"&amp;F98&amp;"' AS CAMPO, "&amp;"'${ref_date}' AS REF_DATE, COUNT(*) AS NUM_REG, SUM(IF(TRIM(CAST(X."&amp;F98&amp;" AS STRING))='' OR TRIM(CAST(X."&amp;F98&amp;" AS STRING)) IS NULL,1,0)) AS NUM_REG_DIF,'"&amp;MAX('ID1&amp;5'!K:K)+1&amp;"' AS ID_EXEC, CURRENT_TIMESTAMP() AS TIME_EXEC FROM "&amp;I98),
IF(C98="Caracteres Especiais",+"SELECT '"&amp;UPPER(B98)&amp;"' AS TABELA, '"&amp;UPPER(C98)&amp;"' AS TIPOLOGIA_TESTE,'"&amp;D98&amp;"' AS TABELA_LT,'N/A' AS TABELA_SIMUL,'"&amp;F98&amp;"' AS CAMPO, "&amp;"'${ref_date}' AS REF_DATE, COUNT(*) AS NUM_REG, SUM(IF(REGEXP_REPLACE(TRIM(CAST(X."&amp;F98&amp;" AS STRING)),'[^a-zA-Z0-9_\\s]','') &lt;&gt;TRIM(CAST(X."&amp;F98&amp;" AS STRING)),1,0)) AS NUM_REG_DIF,'"&amp;MAX('ID1&amp;5'!K:K)+1&amp;"' AS ID_EXEC, CURRENT_TIMESTAMP() AS TIME_EXEC FROM "&amp;I98,
IF(C98="Missings",+"SELECT '"&amp;UPPER(B98)&amp;"' AS TABELA, '"&amp;UPPER(C98)&amp;"' AS TIPOLOGIA_TESTE,'"&amp;D98&amp;"' AS TABELA_LT,'N/A' AS TABELA_SIMUL,'"&amp;F98&amp;"' AS CAMPO, "&amp;"'${ref_date}' AS REF_DATE, COUNT(*) AS NUM_REG, SUM(IF(TRIM(CAST(X."&amp;F98&amp;" AS STRING)) IN ('0000-00-00','0001-01-01','9999-12-31','MISS','00000','99999999999','99999999999.00','99999999999.000000'),1,0)) AS NUM_REG_DIF,'"&amp;MAX('ID1&amp;5'!K:K)+1&amp;"' AS ID_EXEC, CURRENT_TIMESTAMP() AS TIME_EXEC FROM "&amp;I98,
IF(C98="Not applicable",+"SELECT '"&amp;UPPER(B98)&amp;"' AS TABELA, '"&amp;UPPER(C98)&amp;"' AS TIPOLOGIA_TESTE,'"&amp;D98&amp;"' AS TABELA_LT,'N/A' AS TABELA_SIMUL,'"&amp;F98&amp;"' AS CAMPO, "&amp;"'${ref_date}' AS REF_DATE, COUNT(*) AS NUM_REG, SUM(IF(TRIM(CAST(X."&amp;F98&amp;" AS STRING)) IN ('N/A','11111111111','11111111111.00','11111111111.000000','1111-11-11'),1,0)) AS NUM_REG_DIF,'"&amp;MAX('ID1&amp;5'!K:K)+1&amp;"' AS ID_EXEC, CURRENT_TIMESTAMP() AS TIME_EXEC FROM "&amp;I98,
IF(C98="Valores extremos",+"SELECT '"&amp;UPPER(B98)&amp;"' AS TABELA, '"&amp;UPPER(C98)&amp;"' AS TIPOLOGIA_TESTE,'"&amp;D98&amp;"' AS TABELA_LT,'N/A' AS TABELA_SIMUL,'"&amp;F98&amp;"' AS CAMPO, "&amp;"'${ref_date}' AS REF_DATE, CAST(MIN("&amp;F98&amp;") AS STRING) AS VALOR_MIN, CAST(MAX("&amp;F98&amp;") AS STRING) AS VALOR_MAX,'"&amp;MAX('ID1&amp;5'!K:K)+1&amp;"' AS ID_EXEC, CURRENT_TIMESTAMP() AS TIME_EXEC FROM "&amp;MID(I98,1,LEN(I98)-2)&amp;" AND CAST("&amp;F98&amp;"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TABELA_SIMUL,'prfrmng_stts' AS CAMPO, '${ref_date}' AS REF_DATE, COUNT(*) AS NUM_REG, SUM(IF(COALESCE(CAST(X.prfrmng_stts AS STRING),'')&lt;&gt;COALESCE(CAST(Y.prfrmng_stts_SIMUL AS STRING),'') OR (X.prfrmng_stts IS NULL AND Y.prfrmng_stts_SIMUL IS NOT NULL ) OR (X.prfrmng_stts IS NOT NULL AND Y.prfrmng_stts_SIMUL IS NULL),1,0)) AS NUM_REG_DIF,'1' AS ID_EXEC, CURRENT_TIMESTAMP() AS TIME_EXEC FROM (SELECT instrmnt_id, prfrmng_stts FROM BU_LOANTAPE_WORK.LT002_INSTRUMENT WHERE ref_date='${ref_date}' AND nome_perimetro='Individual Local' AND segmento='ESTR' AND ambito='SRB_MBDT' AND entidade='00100')X INNER JOIN (SELECT instrmnt_id AS instrmnt_id_SIMUL, prfrmng_stts AS prfrmng_stts_SIMUL FROM BU_LOANTAPE_WORK.SIMUL_LT002_INSTRUMENT WHERE ref_date='${ref_date}' AND nome_perimetro='Individual Local' AND segmento='ESTR' AND ambito='PILAR3' AND entidade='00100')Y ON X.INSTRMNT_ID=Y.INSTRMNT_ID_SIMUL</v>
      </c>
      <c r="M98" s="36" t="str">
        <f t="shared" si="4"/>
        <v>UNION ALL SELECT 'INSTRUMENT' AS TABELA, 'COERÊNCIA' AS TIPOLOGIA_TESTE,'BU_LOANTAPE_WORK.LT002_INSTRUMENT' AS TABELA_LT,'BU_LOANTAPE_WORK.SIMUL_LT002_INSTRUMENT' AS TABELA_SIMUL,'prfrmng_stts' AS CAMPO, '${ref_date}' AS REF_DATE, COUNT(*) AS NUM_REG, SUM(IF(COALESCE(CAST(X.prfrmng_stts AS STRING),'')&lt;&gt;COALESCE(CAST(Y.prfrmng_stts_SIMUL AS STRING),'') OR (X.prfrmng_stts IS NULL AND Y.prfrmng_stts_SIMUL IS NOT NULL ) OR (X.prfrmng_stts IS NOT NULL AND Y.prfrmng_stts_SIMUL IS NULL),1,0)) AS NUM_REG_DIF,'1' AS ID_EXEC, CURRENT_TIMESTAMP() AS TIME_EXEC FROM (SELECT instrmnt_id, prfrmng_stts FROM BU_LOANTAPE_WORK.LT002_INSTRUMENT WHERE ref_date='${ref_date}' AND nome_perimetro='Individual Local' AND segmento='ESTR' AND ambito='SRB_MBDT' AND entidade='00100')X INNER JOIN (SELECT instrmnt_id AS instrmnt_id_SIMUL, prfrmng_stts AS prfrmng_stts_SIMUL FROM BU_LOANTAPE_WORK.SIMUL_LT002_INSTRUMENT WHERE ref_date='${ref_date}' AND nome_perimetro='Individual Local' AND segmento='ESTR' AND ambito='PILAR3' AND entidade='00100')Y ON X.INSTRMNT_ID=Y.INSTRMNT_ID_SIMUL</v>
      </c>
      <c r="N98" s="38" t="s">
        <v>40</v>
      </c>
    </row>
    <row r="99" spans="2:14">
      <c r="B99" s="34" t="s">
        <v>117</v>
      </c>
      <c r="C99" s="34" t="s">
        <v>5</v>
      </c>
      <c r="D99" s="34" t="str">
        <f>+UPPER('0. Instruções'!$D$35&amp;"."&amp;VLOOKUP(B99,'0. Instruções'!$C$27:$D$32,2,FALSE))</f>
        <v>BU_LOANTAPE_WORK.LT002_INSTRUMENT</v>
      </c>
      <c r="E99" s="34" t="str">
        <f>+UPPER('0. Instruções'!$D$36&amp;"."&amp;VLOOKUP(B99,'0. Instruções'!$C$27:$E$32,3,FALSE))</f>
        <v>BU_LOANTAPE_WORK.SIMUL_LT002_INSTRUMENT</v>
      </c>
      <c r="F99" s="34" t="s">
        <v>306</v>
      </c>
      <c r="G99" s="34"/>
      <c r="H99" s="34"/>
      <c r="I99" s="34" t="str">
        <f>"(SELECT "&amp;VLOOKUP(B99,'0. Instruções'!$C$27:$G$32,4,FALSE)&amp;", "&amp;F99&amp;" FROM "&amp;D99&amp;" WHERE "&amp;'0. Instruções'!$D$42&amp;")X"</f>
        <v>(SELECT instrmnt_id, prfrmng_stts_prvs FROM BU_LOANTAPE_WORK.LT002_INSTRUMENT WHERE ref_date='${ref_date}' AND nome_perimetro='Individual Local' AND segmento='ESTR' AND ambito='SRB_MBDT' AND entidade='00100')X</v>
      </c>
      <c r="J99" s="34" t="str">
        <f>"(SELECT "&amp;VLOOKUP(B99,'0. Instruções'!$C$27:$G$32,4,FALSE)&amp;" AS "&amp;VLOOKUP(B99,'0. Instruções'!$C$27:$G$32,4,FALSE)&amp;"_SIMUL, "&amp;F99&amp;" AS "&amp;F99&amp;"_SIMUL FROM "&amp;E99&amp;" WHERE "&amp;'0. Instruções'!$D$43&amp;")Y"</f>
        <v>(SELECT instrmnt_id AS instrmnt_id_SIMUL, prfrmng_stts_prvs AS prfrmng_stts_prvs_SIMUL FROM BU_LOANTAPE_WORK.SIMUL_LT002_INSTRUMENT WHERE ref_date='${ref_date}' AND nome_perimetro='Individual Local' AND segmento='ESTR' AND ambito='PILAR3' AND entidade='00100')Y</v>
      </c>
      <c r="K99" s="35" t="str">
        <f>+UPPER("ON X."&amp;VLOOKUP(B99,'0. Instruções'!$C$27:$G$32,4,FALSE)&amp;"=Y."&amp;VLOOKUP(B99,'0. Instruções'!$C$27:$G$32,4,FALSE)&amp;"_SIMUL")</f>
        <v>ON X.INSTRMNT_ID=Y.INSTRMNT_ID_SIMUL</v>
      </c>
      <c r="L99" s="35" t="str">
        <f>+IF(C99="Coerência", +IF(LEFT(G99,5)="FLOAT","SELECT '"&amp;UPPER(B99)&amp;"' AS TABELA, '"&amp;UPPER(C99)&amp;"' AS TIPOLOGIA_TESTE,'"&amp;D99&amp;"' AS TABELA_LT,'"&amp;E99&amp;"' AS TABELA_SIMUL,'"&amp;F99&amp;"' AS CAMPO, "&amp;"'${ref_date}' AS REF_DATE, COUNT(*) AS NUM_REG, SUM(IF((ABS(COALESCE(CAST(X."&amp;F99&amp;" AS DECIMAL(18,6)),0)-COALESCE(CAST(Y."&amp;F99&amp;"_SIMUL AS DECIMAL(18,6)),0))&gt;0.000001) OR (X."&amp;F99&amp;" IS NULL AND Y."&amp;F99&amp;"_SIMUL IS NOT NULL ) OR (X."&amp;F99&amp;" IS NOT NULL AND Y."&amp;F99&amp;"_SIMUL IS NULL),1,0)) AS NUM_REG_DIF,'"&amp;MAX('ID1&amp;5'!K:K)+1&amp;"' AS ID_EXEC, CURRENT_TIMESTAMP() AS TIME_EXEC FROM "&amp;I99&amp;" INNER JOIN "&amp;J99&amp;" "&amp;K99,"SELECT '"&amp;UPPER(B99)&amp;"' AS TABELA, '"&amp;UPPER(C99)&amp;"' AS TIPOLOGIA_TESTE,'"&amp;D99&amp;"' AS TABELA_LT,'"&amp;E99&amp;"' AS TABELA_SIMUL,'"&amp;F99&amp;"' AS CAMPO, "&amp;"'${ref_date}' AS REF_DATE, COUNT(*) AS NUM_REG, SUM(IF(COALESCE(CAST(X."&amp;F99&amp;" AS STRING),'')&lt;&gt;COALESCE(CAST(Y."&amp;F99&amp;"_SIMUL AS STRING),'') OR (X."&amp;F99&amp;" IS NULL AND Y."&amp;F99&amp;"_SIMUL IS NOT NULL ) OR (X."&amp;F99&amp;" IS NOT NULL AND Y."&amp;F99&amp;"_SIMUL IS NULL),1,0)) AS NUM_REG_DIF,'"&amp;MAX('ID1&amp;5'!L:L)+1&amp;"' AS ID_EXEC, CURRENT_TIMESTAMP() AS TIME_EXEC FROM "&amp;I99&amp;" INNER JOIN "&amp;J99&amp;" "&amp;K99),
IF(C99="Validade",+IF(G99="Code List","SELECT '"&amp;UPPER(B99)&amp;"' AS TABELA, '"&amp;UPPER(C99)&amp;"' AS TIPOLOGIA_TESTE,'"&amp;D99&amp;"' AS TABELA_LT,'N/A' AS TABELA_SIMUL,'"&amp;F99&amp;"' AS CAMPO, "&amp;"'${ref_date}' AS REF_DATE, COUNT(*) AS NUM_REG, SUM(IF(TRIM(CAST(X."&amp;F99&amp;" AS STRING))='' OR TRIM(CAST(X."&amp;F99&amp;" AS STRING)) IS NULL OR CAST(X."&amp;F99&amp;" AS STRING) NOT "&amp;H99&amp;",1,0)) AS NUM_REG_DIF,'"&amp;MAX('ID1&amp;5'!K:K)+1&amp;"' AS ID_EXEC, CURRENT_TIMESTAMP() AS TIME_EXEC FROM "&amp;I99,"SELECT '"&amp;UPPER(B99)&amp;"' AS TABELA, '"&amp;UPPER(C99)&amp;"' AS TIPOLOGIA_TESTE,'"&amp;D99&amp;"' AS TABELA_LT,'N/A' AS TABELA_SIMUL,'"&amp;F99&amp;"' AS CAMPO, "&amp;"'${ref_date}' AS REF_DATE, COUNT(*) AS NUM_REG, SUM(IF(TRIM(CAST(X."&amp;F99&amp;" AS STRING))='' OR TRIM(CAST(X."&amp;F99&amp;" AS STRING)) IS NULL,1,0)) AS NUM_REG_DIF,'"&amp;MAX('ID1&amp;5'!K:K)+1&amp;"' AS ID_EXEC, CURRENT_TIMESTAMP() AS TIME_EXEC FROM "&amp;I99),
IF(C99="Caracteres Especiais",+"SELECT '"&amp;UPPER(B99)&amp;"' AS TABELA, '"&amp;UPPER(C99)&amp;"' AS TIPOLOGIA_TESTE,'"&amp;D99&amp;"' AS TABELA_LT,'N/A' AS TABELA_SIMUL,'"&amp;F99&amp;"' AS CAMPO, "&amp;"'${ref_date}' AS REF_DATE, COUNT(*) AS NUM_REG, SUM(IF(REGEXP_REPLACE(TRIM(CAST(X."&amp;F99&amp;" AS STRING)),'[^a-zA-Z0-9_\\s]','') &lt;&gt;TRIM(CAST(X."&amp;F99&amp;" AS STRING)),1,0)) AS NUM_REG_DIF,'"&amp;MAX('ID1&amp;5'!K:K)+1&amp;"' AS ID_EXEC, CURRENT_TIMESTAMP() AS TIME_EXEC FROM "&amp;I99,
IF(C99="Missings",+"SELECT '"&amp;UPPER(B99)&amp;"' AS TABELA, '"&amp;UPPER(C99)&amp;"' AS TIPOLOGIA_TESTE,'"&amp;D99&amp;"' AS TABELA_LT,'N/A' AS TABELA_SIMUL,'"&amp;F99&amp;"' AS CAMPO, "&amp;"'${ref_date}' AS REF_DATE, COUNT(*) AS NUM_REG, SUM(IF(TRIM(CAST(X."&amp;F99&amp;" AS STRING)) IN ('0000-00-00','0001-01-01','9999-12-31','MISS','00000','99999999999','99999999999.00','99999999999.000000'),1,0)) AS NUM_REG_DIF,'"&amp;MAX('ID1&amp;5'!K:K)+1&amp;"' AS ID_EXEC, CURRENT_TIMESTAMP() AS TIME_EXEC FROM "&amp;I99,
IF(C99="Not applicable",+"SELECT '"&amp;UPPER(B99)&amp;"' AS TABELA, '"&amp;UPPER(C99)&amp;"' AS TIPOLOGIA_TESTE,'"&amp;D99&amp;"' AS TABELA_LT,'N/A' AS TABELA_SIMUL,'"&amp;F99&amp;"' AS CAMPO, "&amp;"'${ref_date}' AS REF_DATE, COUNT(*) AS NUM_REG, SUM(IF(TRIM(CAST(X."&amp;F99&amp;" AS STRING)) IN ('N/A','11111111111','11111111111.00','11111111111.000000','1111-11-11'),1,0)) AS NUM_REG_DIF,'"&amp;MAX('ID1&amp;5'!K:K)+1&amp;"' AS ID_EXEC, CURRENT_TIMESTAMP() AS TIME_EXEC FROM "&amp;I99,
IF(C99="Valores extremos",+"SELECT '"&amp;UPPER(B99)&amp;"' AS TABELA, '"&amp;UPPER(C99)&amp;"' AS TIPOLOGIA_TESTE,'"&amp;D99&amp;"' AS TABELA_LT,'N/A' AS TABELA_SIMUL,'"&amp;F99&amp;"' AS CAMPO, "&amp;"'${ref_date}' AS REF_DATE, CAST(MIN("&amp;F99&amp;") AS STRING) AS VALOR_MIN, CAST(MAX("&amp;F99&amp;") AS STRING) AS VALOR_MAX,'"&amp;MAX('ID1&amp;5'!K:K)+1&amp;"' AS ID_EXEC, CURRENT_TIMESTAMP() AS TIME_EXEC FROM "&amp;MID(I99,1,LEN(I99)-2)&amp;" AND CAST("&amp;F99&amp;"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TABELA_SIMUL,'prfrmng_stts_prvs' AS CAMPO, '${ref_date}' AS REF_DATE, COUNT(*) AS NUM_REG, SUM(IF(COALESCE(CAST(X.prfrmng_stts_prvs AS STRING),'')&lt;&gt;COALESCE(CAST(Y.prfrmng_stts_prvs_SIMUL AS STRING),'') OR (X.prfrmng_stts_prvs IS NULL AND Y.prfrmng_stts_prvs_SIMUL IS NOT NULL ) OR (X.prfrmng_stts_prvs IS NOT NULL AND Y.prfrmng_stts_prvs_SIMUL IS NULL),1,0)) AS NUM_REG_DIF,'1' AS ID_EXEC, CURRENT_TIMESTAMP() AS TIME_EXEC FROM (SELECT instrmnt_id, prfrmng_stts_prvs FROM BU_LOANTAPE_WORK.LT002_INSTRUMENT WHERE ref_date='${ref_date}' AND nome_perimetro='Individual Local' AND segmento='ESTR' AND ambito='SRB_MBDT' AND entidade='00100')X INNER JOIN (SELECT instrmnt_id AS instrmnt_id_SIMUL, prfrmng_stts_prvs AS prfrmng_stts_prvs_SIMUL FROM BU_LOANTAPE_WORK.SIMUL_LT002_INSTRUMENT WHERE ref_date='${ref_date}' AND nome_perimetro='Individual Local' AND segmento='ESTR' AND ambito='PILAR3' AND entidade='00100')Y ON X.INSTRMNT_ID=Y.INSTRMNT_ID_SIMUL</v>
      </c>
      <c r="M99" s="36" t="str">
        <f t="shared" si="4"/>
        <v>UNION ALL SELECT 'INSTRUMENT' AS TABELA, 'COERÊNCIA' AS TIPOLOGIA_TESTE,'BU_LOANTAPE_WORK.LT002_INSTRUMENT' AS TABELA_LT,'BU_LOANTAPE_WORK.SIMUL_LT002_INSTRUMENT' AS TABELA_SIMUL,'prfrmng_stts_prvs' AS CAMPO, '${ref_date}' AS REF_DATE, COUNT(*) AS NUM_REG, SUM(IF(COALESCE(CAST(X.prfrmng_stts_prvs AS STRING),'')&lt;&gt;COALESCE(CAST(Y.prfrmng_stts_prvs_SIMUL AS STRING),'') OR (X.prfrmng_stts_prvs IS NULL AND Y.prfrmng_stts_prvs_SIMUL IS NOT NULL ) OR (X.prfrmng_stts_prvs IS NOT NULL AND Y.prfrmng_stts_prvs_SIMUL IS NULL),1,0)) AS NUM_REG_DIF,'1' AS ID_EXEC, CURRENT_TIMESTAMP() AS TIME_EXEC FROM (SELECT instrmnt_id, prfrmng_stts_prvs FROM BU_LOANTAPE_WORK.LT002_INSTRUMENT WHERE ref_date='${ref_date}' AND nome_perimetro='Individual Local' AND segmento='ESTR' AND ambito='SRB_MBDT' AND entidade='00100')X INNER JOIN (SELECT instrmnt_id AS instrmnt_id_SIMUL, prfrmng_stts_prvs AS prfrmng_stts_prvs_SIMUL FROM BU_LOANTAPE_WORK.SIMUL_LT002_INSTRUMENT WHERE ref_date='${ref_date}' AND nome_perimetro='Individual Local' AND segmento='ESTR' AND ambito='PILAR3' AND entidade='00100')Y ON X.INSTRMNT_ID=Y.INSTRMNT_ID_SIMUL</v>
      </c>
      <c r="N99" s="38" t="s">
        <v>40</v>
      </c>
    </row>
    <row r="100" spans="2:14">
      <c r="B100" s="34" t="s">
        <v>117</v>
      </c>
      <c r="C100" s="34" t="s">
        <v>5</v>
      </c>
      <c r="D100" s="34" t="str">
        <f>+UPPER('0. Instruções'!$D$35&amp;"."&amp;VLOOKUP(B100,'0. Instruções'!$C$27:$D$32,2,FALSE))</f>
        <v>BU_LOANTAPE_WORK.LT002_INSTRUMENT</v>
      </c>
      <c r="E100" s="34" t="str">
        <f>+UPPER('0. Instruções'!$D$36&amp;"."&amp;VLOOKUP(B100,'0. Instruções'!$C$27:$E$32,3,FALSE))</f>
        <v>BU_LOANTAPE_WORK.SIMUL_LT002_INSTRUMENT</v>
      </c>
      <c r="F100" s="34" t="s">
        <v>645</v>
      </c>
      <c r="G100" s="34"/>
      <c r="H100" s="34"/>
      <c r="I100" s="34" t="str">
        <f>"(SELECT "&amp;VLOOKUP(B100,'0. Instruções'!$C$27:$G$32,4,FALSE)&amp;", "&amp;F100&amp;" FROM "&amp;D100&amp;" WHERE "&amp;'0. Instruções'!$D$42&amp;")X"</f>
        <v>(SELECT instrmnt_id, prjct_fnnc_ln FROM BU_LOANTAPE_WORK.LT002_INSTRUMENT WHERE ref_date='${ref_date}' AND nome_perimetro='Individual Local' AND segmento='ESTR' AND ambito='SRB_MBDT' AND entidade='00100')X</v>
      </c>
      <c r="J100" s="34" t="str">
        <f>"(SELECT "&amp;VLOOKUP(B100,'0. Instruções'!$C$27:$G$32,4,FALSE)&amp;" AS "&amp;VLOOKUP(B100,'0. Instruções'!$C$27:$G$32,4,FALSE)&amp;"_SIMUL, "&amp;F100&amp;" AS "&amp;F100&amp;"_SIMUL FROM "&amp;E100&amp;" WHERE "&amp;'0. Instruções'!$D$43&amp;")Y"</f>
        <v>(SELECT instrmnt_id AS instrmnt_id_SIMUL, prjct_fnnc_ln AS prjct_fnnc_ln_SIMUL FROM BU_LOANTAPE_WORK.SIMUL_LT002_INSTRUMENT WHERE ref_date='${ref_date}' AND nome_perimetro='Individual Local' AND segmento='ESTR' AND ambito='PILAR3' AND entidade='00100')Y</v>
      </c>
      <c r="K100" s="35" t="str">
        <f>+UPPER("ON X."&amp;VLOOKUP(B100,'0. Instruções'!$C$27:$G$32,4,FALSE)&amp;"=Y."&amp;VLOOKUP(B100,'0. Instruções'!$C$27:$G$32,4,FALSE)&amp;"_SIMUL")</f>
        <v>ON X.INSTRMNT_ID=Y.INSTRMNT_ID_SIMUL</v>
      </c>
      <c r="L100" s="35" t="str">
        <f>+IF(C100="Coerência", +IF(LEFT(G100,5)="FLOAT","SELECT '"&amp;UPPER(B100)&amp;"' AS TABELA, '"&amp;UPPER(C100)&amp;"' AS TIPOLOGIA_TESTE,'"&amp;D100&amp;"' AS TABELA_LT,'"&amp;E100&amp;"' AS TABELA_SIMUL,'"&amp;F100&amp;"' AS CAMPO, "&amp;"'${ref_date}' AS REF_DATE, COUNT(*) AS NUM_REG, SUM(IF((ABS(COALESCE(CAST(X."&amp;F100&amp;" AS DECIMAL(18,6)),0)-COALESCE(CAST(Y."&amp;F100&amp;"_SIMUL AS DECIMAL(18,6)),0))&gt;0.000001) OR (X."&amp;F100&amp;" IS NULL AND Y."&amp;F100&amp;"_SIMUL IS NOT NULL ) OR (X."&amp;F100&amp;" IS NOT NULL AND Y."&amp;F100&amp;"_SIMUL IS NULL),1,0)) AS NUM_REG_DIF,'"&amp;MAX('ID1&amp;5'!K:K)+1&amp;"' AS ID_EXEC, CURRENT_TIMESTAMP() AS TIME_EXEC FROM "&amp;I100&amp;" INNER JOIN "&amp;J100&amp;" "&amp;K100,"SELECT '"&amp;UPPER(B100)&amp;"' AS TABELA, '"&amp;UPPER(C100)&amp;"' AS TIPOLOGIA_TESTE,'"&amp;D100&amp;"' AS TABELA_LT,'"&amp;E100&amp;"' AS TABELA_SIMUL,'"&amp;F100&amp;"' AS CAMPO, "&amp;"'${ref_date}' AS REF_DATE, COUNT(*) AS NUM_REG, SUM(IF(COALESCE(CAST(X."&amp;F100&amp;" AS STRING),'')&lt;&gt;COALESCE(CAST(Y."&amp;F100&amp;"_SIMUL AS STRING),'') OR (X."&amp;F100&amp;" IS NULL AND Y."&amp;F100&amp;"_SIMUL IS NOT NULL ) OR (X."&amp;F100&amp;" IS NOT NULL AND Y."&amp;F100&amp;"_SIMUL IS NULL),1,0)) AS NUM_REG_DIF,'"&amp;MAX('ID1&amp;5'!L:L)+1&amp;"' AS ID_EXEC, CURRENT_TIMESTAMP() AS TIME_EXEC FROM "&amp;I100&amp;" INNER JOIN "&amp;J100&amp;" "&amp;K100),
IF(C100="Validade",+IF(G100="Code List","SELECT '"&amp;UPPER(B100)&amp;"' AS TABELA, '"&amp;UPPER(C100)&amp;"' AS TIPOLOGIA_TESTE,'"&amp;D100&amp;"' AS TABELA_LT,'N/A' AS TABELA_SIMUL,'"&amp;F100&amp;"' AS CAMPO, "&amp;"'${ref_date}' AS REF_DATE, COUNT(*) AS NUM_REG, SUM(IF(TRIM(CAST(X."&amp;F100&amp;" AS STRING))='' OR TRIM(CAST(X."&amp;F100&amp;" AS STRING)) IS NULL OR CAST(X."&amp;F100&amp;" AS STRING) NOT "&amp;H100&amp;",1,0)) AS NUM_REG_DIF,'"&amp;MAX('ID1&amp;5'!K:K)+1&amp;"' AS ID_EXEC, CURRENT_TIMESTAMP() AS TIME_EXEC FROM "&amp;I100,"SELECT '"&amp;UPPER(B100)&amp;"' AS TABELA, '"&amp;UPPER(C100)&amp;"' AS TIPOLOGIA_TESTE,'"&amp;D100&amp;"' AS TABELA_LT,'N/A' AS TABELA_SIMUL,'"&amp;F100&amp;"' AS CAMPO, "&amp;"'${ref_date}' AS REF_DATE, COUNT(*) AS NUM_REG, SUM(IF(TRIM(CAST(X."&amp;F100&amp;" AS STRING))='' OR TRIM(CAST(X."&amp;F100&amp;" AS STRING)) IS NULL,1,0)) AS NUM_REG_DIF,'"&amp;MAX('ID1&amp;5'!K:K)+1&amp;"' AS ID_EXEC, CURRENT_TIMESTAMP() AS TIME_EXEC FROM "&amp;I100),
IF(C100="Caracteres Especiais",+"SELECT '"&amp;UPPER(B100)&amp;"' AS TABELA, '"&amp;UPPER(C100)&amp;"' AS TIPOLOGIA_TESTE,'"&amp;D100&amp;"' AS TABELA_LT,'N/A' AS TABELA_SIMUL,'"&amp;F100&amp;"' AS CAMPO, "&amp;"'${ref_date}' AS REF_DATE, COUNT(*) AS NUM_REG, SUM(IF(REGEXP_REPLACE(TRIM(CAST(X."&amp;F100&amp;" AS STRING)),'[^a-zA-Z0-9_\\s]','') &lt;&gt;TRIM(CAST(X."&amp;F100&amp;" AS STRING)),1,0)) AS NUM_REG_DIF,'"&amp;MAX('ID1&amp;5'!K:K)+1&amp;"' AS ID_EXEC, CURRENT_TIMESTAMP() AS TIME_EXEC FROM "&amp;I100,
IF(C100="Missings",+"SELECT '"&amp;UPPER(B100)&amp;"' AS TABELA, '"&amp;UPPER(C100)&amp;"' AS TIPOLOGIA_TESTE,'"&amp;D100&amp;"' AS TABELA_LT,'N/A' AS TABELA_SIMUL,'"&amp;F100&amp;"' AS CAMPO, "&amp;"'${ref_date}' AS REF_DATE, COUNT(*) AS NUM_REG, SUM(IF(TRIM(CAST(X."&amp;F100&amp;" AS STRING)) IN ('0000-00-00','0001-01-01','9999-12-31','MISS','00000','99999999999','99999999999.00','99999999999.000000'),1,0)) AS NUM_REG_DIF,'"&amp;MAX('ID1&amp;5'!K:K)+1&amp;"' AS ID_EXEC, CURRENT_TIMESTAMP() AS TIME_EXEC FROM "&amp;I100,
IF(C100="Not applicable",+"SELECT '"&amp;UPPER(B100)&amp;"' AS TABELA, '"&amp;UPPER(C100)&amp;"' AS TIPOLOGIA_TESTE,'"&amp;D100&amp;"' AS TABELA_LT,'N/A' AS TABELA_SIMUL,'"&amp;F100&amp;"' AS CAMPO, "&amp;"'${ref_date}' AS REF_DATE, COUNT(*) AS NUM_REG, SUM(IF(TRIM(CAST(X."&amp;F100&amp;" AS STRING)) IN ('N/A','11111111111','11111111111.00','11111111111.000000','1111-11-11'),1,0)) AS NUM_REG_DIF,'"&amp;MAX('ID1&amp;5'!K:K)+1&amp;"' AS ID_EXEC, CURRENT_TIMESTAMP() AS TIME_EXEC FROM "&amp;I100,
IF(C100="Valores extremos",+"SELECT '"&amp;UPPER(B100)&amp;"' AS TABELA, '"&amp;UPPER(C100)&amp;"' AS TIPOLOGIA_TESTE,'"&amp;D100&amp;"' AS TABELA_LT,'N/A' AS TABELA_SIMUL,'"&amp;F100&amp;"' AS CAMPO, "&amp;"'${ref_date}' AS REF_DATE, CAST(MIN("&amp;F100&amp;") AS STRING) AS VALOR_MIN, CAST(MAX("&amp;F100&amp;") AS STRING) AS VALOR_MAX,'"&amp;MAX('ID1&amp;5'!K:K)+1&amp;"' AS ID_EXEC, CURRENT_TIMESTAMP() AS TIME_EXEC FROM "&amp;MID(I100,1,LEN(I100)-2)&amp;" AND CAST("&amp;F100&amp;"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TABELA_SIMUL,'prjct_fnnc_ln' AS CAMPO, '${ref_date}' AS REF_DATE, COUNT(*) AS NUM_REG, SUM(IF(COALESCE(CAST(X.prjct_fnnc_ln AS STRING),'')&lt;&gt;COALESCE(CAST(Y.prjct_fnnc_ln_SIMUL AS STRING),'') OR (X.prjct_fnnc_ln IS NULL AND Y.prjct_fnnc_ln_SIMUL IS NOT NULL ) OR (X.prjct_fnnc_ln IS NOT NULL AND Y.prjct_fnnc_ln_SIMUL IS NULL),1,0)) AS NUM_REG_DIF,'1' AS ID_EXEC, CURRENT_TIMESTAMP() AS TIME_EXEC FROM (SELECT instrmnt_id, prjct_fnnc_ln FROM BU_LOANTAPE_WORK.LT002_INSTRUMENT WHERE ref_date='${ref_date}' AND nome_perimetro='Individual Local' AND segmento='ESTR' AND ambito='SRB_MBDT' AND entidade='00100')X INNER JOIN (SELECT instrmnt_id AS instrmnt_id_SIMUL, prjct_fnnc_ln AS prjct_fnnc_ln_SIMUL FROM BU_LOANTAPE_WORK.SIMUL_LT002_INSTRUMENT WHERE ref_date='${ref_date}' AND nome_perimetro='Individual Local' AND segmento='ESTR' AND ambito='PILAR3' AND entidade='00100')Y ON X.INSTRMNT_ID=Y.INSTRMNT_ID_SIMUL</v>
      </c>
      <c r="M100" s="36" t="str">
        <f t="shared" si="4"/>
        <v>UNION ALL SELECT 'INSTRUMENT' AS TABELA, 'COERÊNCIA' AS TIPOLOGIA_TESTE,'BU_LOANTAPE_WORK.LT002_INSTRUMENT' AS TABELA_LT,'BU_LOANTAPE_WORK.SIMUL_LT002_INSTRUMENT' AS TABELA_SIMUL,'prjct_fnnc_ln' AS CAMPO, '${ref_date}' AS REF_DATE, COUNT(*) AS NUM_REG, SUM(IF(COALESCE(CAST(X.prjct_fnnc_ln AS STRING),'')&lt;&gt;COALESCE(CAST(Y.prjct_fnnc_ln_SIMUL AS STRING),'') OR (X.prjct_fnnc_ln IS NULL AND Y.prjct_fnnc_ln_SIMUL IS NOT NULL ) OR (X.prjct_fnnc_ln IS NOT NULL AND Y.prjct_fnnc_ln_SIMUL IS NULL),1,0)) AS NUM_REG_DIF,'1' AS ID_EXEC, CURRENT_TIMESTAMP() AS TIME_EXEC FROM (SELECT instrmnt_id, prjct_fnnc_ln FROM BU_LOANTAPE_WORK.LT002_INSTRUMENT WHERE ref_date='${ref_date}' AND nome_perimetro='Individual Local' AND segmento='ESTR' AND ambito='SRB_MBDT' AND entidade='00100')X INNER JOIN (SELECT instrmnt_id AS instrmnt_id_SIMUL, prjct_fnnc_ln AS prjct_fnnc_ln_SIMUL FROM BU_LOANTAPE_WORK.SIMUL_LT002_INSTRUMENT WHERE ref_date='${ref_date}' AND nome_perimetro='Individual Local' AND segmento='ESTR' AND ambito='PILAR3' AND entidade='00100')Y ON X.INSTRMNT_ID=Y.INSTRMNT_ID_SIMUL</v>
      </c>
      <c r="N100" s="38" t="s">
        <v>40</v>
      </c>
    </row>
    <row r="101" spans="2:14">
      <c r="B101" s="34" t="s">
        <v>117</v>
      </c>
      <c r="C101" s="34" t="s">
        <v>5</v>
      </c>
      <c r="D101" s="34" t="str">
        <f>+UPPER('0. Instruções'!$D$35&amp;"."&amp;VLOOKUP(B101,'0. Instruções'!$C$27:$D$32,2,FALSE))</f>
        <v>BU_LOANTAPE_WORK.LT002_INSTRUMENT</v>
      </c>
      <c r="E101" s="34" t="str">
        <f>+UPPER('0. Instruções'!$D$36&amp;"."&amp;VLOOKUP(B101,'0. Instruções'!$C$27:$E$32,3,FALSE))</f>
        <v>BU_LOANTAPE_WORK.SIMUL_LT002_INSTRUMENT</v>
      </c>
      <c r="F101" s="34" t="s">
        <v>1177</v>
      </c>
      <c r="G101" s="34"/>
      <c r="H101" s="34"/>
      <c r="I101" s="34" t="str">
        <f>"(SELECT "&amp;VLOOKUP(B101,'0. Instruções'!$C$27:$G$32,4,FALSE)&amp;", "&amp;F101&amp;" FROM "&amp;D101&amp;" WHERE "&amp;'0. Instruções'!$D$42&amp;")X"</f>
        <v>(SELECT instrmnt_id, prps FROM BU_LOANTAPE_WORK.LT002_INSTRUMENT WHERE ref_date='${ref_date}' AND nome_perimetro='Individual Local' AND segmento='ESTR' AND ambito='SRB_MBDT' AND entidade='00100')X</v>
      </c>
      <c r="J101" s="34" t="str">
        <f>"(SELECT "&amp;VLOOKUP(B101,'0. Instruções'!$C$27:$G$32,4,FALSE)&amp;" AS "&amp;VLOOKUP(B101,'0. Instruções'!$C$27:$G$32,4,FALSE)&amp;"_SIMUL, "&amp;F101&amp;" AS "&amp;F101&amp;"_SIMUL FROM "&amp;E101&amp;" WHERE "&amp;'0. Instruções'!$D$43&amp;")Y"</f>
        <v>(SELECT instrmnt_id AS instrmnt_id_SIMUL, prps AS prps_SIMUL FROM BU_LOANTAPE_WORK.SIMUL_LT002_INSTRUMENT WHERE ref_date='${ref_date}' AND nome_perimetro='Individual Local' AND segmento='ESTR' AND ambito='PILAR3' AND entidade='00100')Y</v>
      </c>
      <c r="K101" s="35" t="str">
        <f>+UPPER("ON X."&amp;VLOOKUP(B101,'0. Instruções'!$C$27:$G$32,4,FALSE)&amp;"=Y."&amp;VLOOKUP(B101,'0. Instruções'!$C$27:$G$32,4,FALSE)&amp;"_SIMUL")</f>
        <v>ON X.INSTRMNT_ID=Y.INSTRMNT_ID_SIMUL</v>
      </c>
      <c r="L101" s="35" t="str">
        <f>+IF(C101="Coerência", +IF(LEFT(G101,5)="FLOAT","SELECT '"&amp;UPPER(B101)&amp;"' AS TABELA, '"&amp;UPPER(C101)&amp;"' AS TIPOLOGIA_TESTE,'"&amp;D101&amp;"' AS TABELA_LT,'"&amp;E101&amp;"' AS TABELA_SIMUL,'"&amp;F101&amp;"' AS CAMPO, "&amp;"'${ref_date}' AS REF_DATE, COUNT(*) AS NUM_REG, SUM(IF((ABS(COALESCE(CAST(X."&amp;F101&amp;" AS DECIMAL(18,6)),0)-COALESCE(CAST(Y."&amp;F101&amp;"_SIMUL AS DECIMAL(18,6)),0))&gt;0.000001) OR (X."&amp;F101&amp;" IS NULL AND Y."&amp;F101&amp;"_SIMUL IS NOT NULL ) OR (X."&amp;F101&amp;" IS NOT NULL AND Y."&amp;F101&amp;"_SIMUL IS NULL),1,0)) AS NUM_REG_DIF,'"&amp;MAX('ID1&amp;5'!K:K)+1&amp;"' AS ID_EXEC, CURRENT_TIMESTAMP() AS TIME_EXEC FROM "&amp;I101&amp;" INNER JOIN "&amp;J101&amp;" "&amp;K101,"SELECT '"&amp;UPPER(B101)&amp;"' AS TABELA, '"&amp;UPPER(C101)&amp;"' AS TIPOLOGIA_TESTE,'"&amp;D101&amp;"' AS TABELA_LT,'"&amp;E101&amp;"' AS TABELA_SIMUL,'"&amp;F101&amp;"' AS CAMPO, "&amp;"'${ref_date}' AS REF_DATE, COUNT(*) AS NUM_REG, SUM(IF(COALESCE(CAST(X."&amp;F101&amp;" AS STRING),'')&lt;&gt;COALESCE(CAST(Y."&amp;F101&amp;"_SIMUL AS STRING),'') OR (X."&amp;F101&amp;" IS NULL AND Y."&amp;F101&amp;"_SIMUL IS NOT NULL ) OR (X."&amp;F101&amp;" IS NOT NULL AND Y."&amp;F101&amp;"_SIMUL IS NULL),1,0)) AS NUM_REG_DIF,'"&amp;MAX('ID1&amp;5'!L:L)+1&amp;"' AS ID_EXEC, CURRENT_TIMESTAMP() AS TIME_EXEC FROM "&amp;I101&amp;" INNER JOIN "&amp;J101&amp;" "&amp;K101),
IF(C101="Validade",+IF(G101="Code List","SELECT '"&amp;UPPER(B101)&amp;"' AS TABELA, '"&amp;UPPER(C101)&amp;"' AS TIPOLOGIA_TESTE,'"&amp;D101&amp;"' AS TABELA_LT,'N/A' AS TABELA_SIMUL,'"&amp;F101&amp;"' AS CAMPO, "&amp;"'${ref_date}' AS REF_DATE, COUNT(*) AS NUM_REG, SUM(IF(TRIM(CAST(X."&amp;F101&amp;" AS STRING))='' OR TRIM(CAST(X."&amp;F101&amp;" AS STRING)) IS NULL OR CAST(X."&amp;F101&amp;" AS STRING) NOT "&amp;H101&amp;",1,0)) AS NUM_REG_DIF,'"&amp;MAX('ID1&amp;5'!K:K)+1&amp;"' AS ID_EXEC, CURRENT_TIMESTAMP() AS TIME_EXEC FROM "&amp;I101,"SELECT '"&amp;UPPER(B101)&amp;"' AS TABELA, '"&amp;UPPER(C101)&amp;"' AS TIPOLOGIA_TESTE,'"&amp;D101&amp;"' AS TABELA_LT,'N/A' AS TABELA_SIMUL,'"&amp;F101&amp;"' AS CAMPO, "&amp;"'${ref_date}' AS REF_DATE, COUNT(*) AS NUM_REG, SUM(IF(TRIM(CAST(X."&amp;F101&amp;" AS STRING))='' OR TRIM(CAST(X."&amp;F101&amp;" AS STRING)) IS NULL,1,0)) AS NUM_REG_DIF,'"&amp;MAX('ID1&amp;5'!K:K)+1&amp;"' AS ID_EXEC, CURRENT_TIMESTAMP() AS TIME_EXEC FROM "&amp;I101),
IF(C101="Caracteres Especiais",+"SELECT '"&amp;UPPER(B101)&amp;"' AS TABELA, '"&amp;UPPER(C101)&amp;"' AS TIPOLOGIA_TESTE,'"&amp;D101&amp;"' AS TABELA_LT,'N/A' AS TABELA_SIMUL,'"&amp;F101&amp;"' AS CAMPO, "&amp;"'${ref_date}' AS REF_DATE, COUNT(*) AS NUM_REG, SUM(IF(REGEXP_REPLACE(TRIM(CAST(X."&amp;F101&amp;" AS STRING)),'[^a-zA-Z0-9_\\s]','') &lt;&gt;TRIM(CAST(X."&amp;F101&amp;" AS STRING)),1,0)) AS NUM_REG_DIF,'"&amp;MAX('ID1&amp;5'!K:K)+1&amp;"' AS ID_EXEC, CURRENT_TIMESTAMP() AS TIME_EXEC FROM "&amp;I101,
IF(C101="Missings",+"SELECT '"&amp;UPPER(B101)&amp;"' AS TABELA, '"&amp;UPPER(C101)&amp;"' AS TIPOLOGIA_TESTE,'"&amp;D101&amp;"' AS TABELA_LT,'N/A' AS TABELA_SIMUL,'"&amp;F101&amp;"' AS CAMPO, "&amp;"'${ref_date}' AS REF_DATE, COUNT(*) AS NUM_REG, SUM(IF(TRIM(CAST(X."&amp;F101&amp;" AS STRING)) IN ('0000-00-00','0001-01-01','9999-12-31','MISS','00000','99999999999','99999999999.00','99999999999.000000'),1,0)) AS NUM_REG_DIF,'"&amp;MAX('ID1&amp;5'!K:K)+1&amp;"' AS ID_EXEC, CURRENT_TIMESTAMP() AS TIME_EXEC FROM "&amp;I101,
IF(C101="Not applicable",+"SELECT '"&amp;UPPER(B101)&amp;"' AS TABELA, '"&amp;UPPER(C101)&amp;"' AS TIPOLOGIA_TESTE,'"&amp;D101&amp;"' AS TABELA_LT,'N/A' AS TABELA_SIMUL,'"&amp;F101&amp;"' AS CAMPO, "&amp;"'${ref_date}' AS REF_DATE, COUNT(*) AS NUM_REG, SUM(IF(TRIM(CAST(X."&amp;F101&amp;" AS STRING)) IN ('N/A','11111111111','11111111111.00','11111111111.000000','1111-11-11'),1,0)) AS NUM_REG_DIF,'"&amp;MAX('ID1&amp;5'!K:K)+1&amp;"' AS ID_EXEC, CURRENT_TIMESTAMP() AS TIME_EXEC FROM "&amp;I101,
IF(C101="Valores extremos",+"SELECT '"&amp;UPPER(B101)&amp;"' AS TABELA, '"&amp;UPPER(C101)&amp;"' AS TIPOLOGIA_TESTE,'"&amp;D101&amp;"' AS TABELA_LT,'N/A' AS TABELA_SIMUL,'"&amp;F101&amp;"' AS CAMPO, "&amp;"'${ref_date}' AS REF_DATE, CAST(MIN("&amp;F101&amp;") AS STRING) AS VALOR_MIN, CAST(MAX("&amp;F101&amp;") AS STRING) AS VALOR_MAX,'"&amp;MAX('ID1&amp;5'!K:K)+1&amp;"' AS ID_EXEC, CURRENT_TIMESTAMP() AS TIME_EXEC FROM "&amp;MID(I101,1,LEN(I101)-2)&amp;" AND CAST("&amp;F101&amp;"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TABELA_SIMUL,'prps' AS CAMPO, '${ref_date}' AS REF_DATE, COUNT(*) AS NUM_REG, SUM(IF(COALESCE(CAST(X.prps AS STRING),'')&lt;&gt;COALESCE(CAST(Y.prps_SIMUL AS STRING),'') OR (X.prps IS NULL AND Y.prps_SIMUL IS NOT NULL ) OR (X.prps IS NOT NULL AND Y.prps_SIMUL IS NULL),1,0)) AS NUM_REG_DIF,'1' AS ID_EXEC, CURRENT_TIMESTAMP() AS TIME_EXEC FROM (SELECT instrmnt_id, prps FROM BU_LOANTAPE_WORK.LT002_INSTRUMENT WHERE ref_date='${ref_date}' AND nome_perimetro='Individual Local' AND segmento='ESTR' AND ambito='SRB_MBDT' AND entidade='00100')X INNER JOIN (SELECT instrmnt_id AS instrmnt_id_SIMUL, prps AS prps_SIMUL FROM BU_LOANTAPE_WORK.SIMUL_LT002_INSTRUMENT WHERE ref_date='${ref_date}' AND nome_perimetro='Individual Local' AND segmento='ESTR' AND ambito='PILAR3' AND entidade='00100')Y ON X.INSTRMNT_ID=Y.INSTRMNT_ID_SIMUL</v>
      </c>
      <c r="M101" s="36" t="str">
        <f t="shared" si="4"/>
        <v>UNION ALL SELECT 'INSTRUMENT' AS TABELA, 'COERÊNCIA' AS TIPOLOGIA_TESTE,'BU_LOANTAPE_WORK.LT002_INSTRUMENT' AS TABELA_LT,'BU_LOANTAPE_WORK.SIMUL_LT002_INSTRUMENT' AS TABELA_SIMUL,'prps' AS CAMPO, '${ref_date}' AS REF_DATE, COUNT(*) AS NUM_REG, SUM(IF(COALESCE(CAST(X.prps AS STRING),'')&lt;&gt;COALESCE(CAST(Y.prps_SIMUL AS STRING),'') OR (X.prps IS NULL AND Y.prps_SIMUL IS NOT NULL ) OR (X.prps IS NOT NULL AND Y.prps_SIMUL IS NULL),1,0)) AS NUM_REG_DIF,'1' AS ID_EXEC, CURRENT_TIMESTAMP() AS TIME_EXEC FROM (SELECT instrmnt_id, prps FROM BU_LOANTAPE_WORK.LT002_INSTRUMENT WHERE ref_date='${ref_date}' AND nome_perimetro='Individual Local' AND segmento='ESTR' AND ambito='SRB_MBDT' AND entidade='00100')X INNER JOIN (SELECT instrmnt_id AS instrmnt_id_SIMUL, prps AS prps_SIMUL FROM BU_LOANTAPE_WORK.SIMUL_LT002_INSTRUMENT WHERE ref_date='${ref_date}' AND nome_perimetro='Individual Local' AND segmento='ESTR' AND ambito='PILAR3' AND entidade='00100')Y ON X.INSTRMNT_ID=Y.INSTRMNT_ID_SIMUL</v>
      </c>
      <c r="N101" s="38" t="s">
        <v>40</v>
      </c>
    </row>
    <row r="102" spans="2:14">
      <c r="B102" s="34" t="s">
        <v>117</v>
      </c>
      <c r="C102" s="34" t="s">
        <v>5</v>
      </c>
      <c r="D102" s="34" t="str">
        <f>+UPPER('0. Instruções'!$D$35&amp;"."&amp;VLOOKUP(B102,'0. Instruções'!$C$27:$D$32,2,FALSE))</f>
        <v>BU_LOANTAPE_WORK.LT002_INSTRUMENT</v>
      </c>
      <c r="E102" s="34" t="str">
        <f>+UPPER('0. Instruções'!$D$36&amp;"."&amp;VLOOKUP(B102,'0. Instruções'!$C$27:$E$32,3,FALSE))</f>
        <v>BU_LOANTAPE_WORK.SIMUL_LT002_INSTRUMENT</v>
      </c>
      <c r="F102" s="34" t="s">
        <v>1178</v>
      </c>
      <c r="G102" s="34"/>
      <c r="H102" s="34"/>
      <c r="I102" s="34" t="str">
        <f>"(SELECT "&amp;VLOOKUP(B102,'0. Instruções'!$C$27:$G$32,4,FALSE)&amp;", "&amp;F102&amp;" FROM "&amp;D102&amp;" WHERE "&amp;'0. Instruções'!$D$42&amp;")X"</f>
        <v>(SELECT instrmnt_id, pymnt_intrst_only FROM BU_LOANTAPE_WORK.LT002_INSTRUMENT WHERE ref_date='${ref_date}' AND nome_perimetro='Individual Local' AND segmento='ESTR' AND ambito='SRB_MBDT' AND entidade='00100')X</v>
      </c>
      <c r="J102" s="34" t="str">
        <f>"(SELECT "&amp;VLOOKUP(B102,'0. Instruções'!$C$27:$G$32,4,FALSE)&amp;" AS "&amp;VLOOKUP(B102,'0. Instruções'!$C$27:$G$32,4,FALSE)&amp;"_SIMUL, "&amp;F102&amp;" AS "&amp;F102&amp;"_SIMUL FROM "&amp;E102&amp;" WHERE "&amp;'0. Instruções'!$D$43&amp;")Y"</f>
        <v>(SELECT instrmnt_id AS instrmnt_id_SIMUL, pymnt_intrst_only AS pymnt_intrst_only_SIMUL FROM BU_LOANTAPE_WORK.SIMUL_LT002_INSTRUMENT WHERE ref_date='${ref_date}' AND nome_perimetro='Individual Local' AND segmento='ESTR' AND ambito='PILAR3' AND entidade='00100')Y</v>
      </c>
      <c r="K102" s="35" t="str">
        <f>+UPPER("ON X."&amp;VLOOKUP(B102,'0. Instruções'!$C$27:$G$32,4,FALSE)&amp;"=Y."&amp;VLOOKUP(B102,'0. Instruções'!$C$27:$G$32,4,FALSE)&amp;"_SIMUL")</f>
        <v>ON X.INSTRMNT_ID=Y.INSTRMNT_ID_SIMUL</v>
      </c>
      <c r="L102" s="35" t="str">
        <f>+IF(C102="Coerência", +IF(LEFT(G102,5)="FLOAT","SELECT '"&amp;UPPER(B102)&amp;"' AS TABELA, '"&amp;UPPER(C102)&amp;"' AS TIPOLOGIA_TESTE,'"&amp;D102&amp;"' AS TABELA_LT,'"&amp;E102&amp;"' AS TABELA_SIMUL,'"&amp;F102&amp;"' AS CAMPO, "&amp;"'${ref_date}' AS REF_DATE, COUNT(*) AS NUM_REG, SUM(IF((ABS(COALESCE(CAST(X."&amp;F102&amp;" AS DECIMAL(18,6)),0)-COALESCE(CAST(Y."&amp;F102&amp;"_SIMUL AS DECIMAL(18,6)),0))&gt;0.000001) OR (X."&amp;F102&amp;" IS NULL AND Y."&amp;F102&amp;"_SIMUL IS NOT NULL ) OR (X."&amp;F102&amp;" IS NOT NULL AND Y."&amp;F102&amp;"_SIMUL IS NULL),1,0)) AS NUM_REG_DIF,'"&amp;MAX('ID1&amp;5'!K:K)+1&amp;"' AS ID_EXEC, CURRENT_TIMESTAMP() AS TIME_EXEC FROM "&amp;I102&amp;" INNER JOIN "&amp;J102&amp;" "&amp;K102,"SELECT '"&amp;UPPER(B102)&amp;"' AS TABELA, '"&amp;UPPER(C102)&amp;"' AS TIPOLOGIA_TESTE,'"&amp;D102&amp;"' AS TABELA_LT,'"&amp;E102&amp;"' AS TABELA_SIMUL,'"&amp;F102&amp;"' AS CAMPO, "&amp;"'${ref_date}' AS REF_DATE, COUNT(*) AS NUM_REG, SUM(IF(COALESCE(CAST(X."&amp;F102&amp;" AS STRING),'')&lt;&gt;COALESCE(CAST(Y."&amp;F102&amp;"_SIMUL AS STRING),'') OR (X."&amp;F102&amp;" IS NULL AND Y."&amp;F102&amp;"_SIMUL IS NOT NULL ) OR (X."&amp;F102&amp;" IS NOT NULL AND Y."&amp;F102&amp;"_SIMUL IS NULL),1,0)) AS NUM_REG_DIF,'"&amp;MAX('ID1&amp;5'!L:L)+1&amp;"' AS ID_EXEC, CURRENT_TIMESTAMP() AS TIME_EXEC FROM "&amp;I102&amp;" INNER JOIN "&amp;J102&amp;" "&amp;K102),
IF(C102="Validade",+IF(G102="Code List","SELECT '"&amp;UPPER(B102)&amp;"' AS TABELA, '"&amp;UPPER(C102)&amp;"' AS TIPOLOGIA_TESTE,'"&amp;D102&amp;"' AS TABELA_LT,'N/A' AS TABELA_SIMUL,'"&amp;F102&amp;"' AS CAMPO, "&amp;"'${ref_date}' AS REF_DATE, COUNT(*) AS NUM_REG, SUM(IF(TRIM(CAST(X."&amp;F102&amp;" AS STRING))='' OR TRIM(CAST(X."&amp;F102&amp;" AS STRING)) IS NULL OR CAST(X."&amp;F102&amp;" AS STRING) NOT "&amp;H102&amp;",1,0)) AS NUM_REG_DIF,'"&amp;MAX('ID1&amp;5'!K:K)+1&amp;"' AS ID_EXEC, CURRENT_TIMESTAMP() AS TIME_EXEC FROM "&amp;I102,"SELECT '"&amp;UPPER(B102)&amp;"' AS TABELA, '"&amp;UPPER(C102)&amp;"' AS TIPOLOGIA_TESTE,'"&amp;D102&amp;"' AS TABELA_LT,'N/A' AS TABELA_SIMUL,'"&amp;F102&amp;"' AS CAMPO, "&amp;"'${ref_date}' AS REF_DATE, COUNT(*) AS NUM_REG, SUM(IF(TRIM(CAST(X."&amp;F102&amp;" AS STRING))='' OR TRIM(CAST(X."&amp;F102&amp;" AS STRING)) IS NULL,1,0)) AS NUM_REG_DIF,'"&amp;MAX('ID1&amp;5'!K:K)+1&amp;"' AS ID_EXEC, CURRENT_TIMESTAMP() AS TIME_EXEC FROM "&amp;I102),
IF(C102="Caracteres Especiais",+"SELECT '"&amp;UPPER(B102)&amp;"' AS TABELA, '"&amp;UPPER(C102)&amp;"' AS TIPOLOGIA_TESTE,'"&amp;D102&amp;"' AS TABELA_LT,'N/A' AS TABELA_SIMUL,'"&amp;F102&amp;"' AS CAMPO, "&amp;"'${ref_date}' AS REF_DATE, COUNT(*) AS NUM_REG, SUM(IF(REGEXP_REPLACE(TRIM(CAST(X."&amp;F102&amp;" AS STRING)),'[^a-zA-Z0-9_\\s]','') &lt;&gt;TRIM(CAST(X."&amp;F102&amp;" AS STRING)),1,0)) AS NUM_REG_DIF,'"&amp;MAX('ID1&amp;5'!K:K)+1&amp;"' AS ID_EXEC, CURRENT_TIMESTAMP() AS TIME_EXEC FROM "&amp;I102,
IF(C102="Missings",+"SELECT '"&amp;UPPER(B102)&amp;"' AS TABELA, '"&amp;UPPER(C102)&amp;"' AS TIPOLOGIA_TESTE,'"&amp;D102&amp;"' AS TABELA_LT,'N/A' AS TABELA_SIMUL,'"&amp;F102&amp;"' AS CAMPO, "&amp;"'${ref_date}' AS REF_DATE, COUNT(*) AS NUM_REG, SUM(IF(TRIM(CAST(X."&amp;F102&amp;" AS STRING)) IN ('0000-00-00','0001-01-01','9999-12-31','MISS','00000','99999999999','99999999999.00','99999999999.000000'),1,0)) AS NUM_REG_DIF,'"&amp;MAX('ID1&amp;5'!K:K)+1&amp;"' AS ID_EXEC, CURRENT_TIMESTAMP() AS TIME_EXEC FROM "&amp;I102,
IF(C102="Not applicable",+"SELECT '"&amp;UPPER(B102)&amp;"' AS TABELA, '"&amp;UPPER(C102)&amp;"' AS TIPOLOGIA_TESTE,'"&amp;D102&amp;"' AS TABELA_LT,'N/A' AS TABELA_SIMUL,'"&amp;F102&amp;"' AS CAMPO, "&amp;"'${ref_date}' AS REF_DATE, COUNT(*) AS NUM_REG, SUM(IF(TRIM(CAST(X."&amp;F102&amp;" AS STRING)) IN ('N/A','11111111111','11111111111.00','11111111111.000000','1111-11-11'),1,0)) AS NUM_REG_DIF,'"&amp;MAX('ID1&amp;5'!K:K)+1&amp;"' AS ID_EXEC, CURRENT_TIMESTAMP() AS TIME_EXEC FROM "&amp;I102,
IF(C102="Valores extremos",+"SELECT '"&amp;UPPER(B102)&amp;"' AS TABELA, '"&amp;UPPER(C102)&amp;"' AS TIPOLOGIA_TESTE,'"&amp;D102&amp;"' AS TABELA_LT,'N/A' AS TABELA_SIMUL,'"&amp;F102&amp;"' AS CAMPO, "&amp;"'${ref_date}' AS REF_DATE, CAST(MIN("&amp;F102&amp;") AS STRING) AS VALOR_MIN, CAST(MAX("&amp;F102&amp;") AS STRING) AS VALOR_MAX,'"&amp;MAX('ID1&amp;5'!K:K)+1&amp;"' AS ID_EXEC, CURRENT_TIMESTAMP() AS TIME_EXEC FROM "&amp;MID(I102,1,LEN(I102)-2)&amp;" AND CAST("&amp;F102&amp;"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TABELA_SIMUL,'pymnt_intrst_only' AS CAMPO, '${ref_date}' AS REF_DATE, COUNT(*) AS NUM_REG, SUM(IF(COALESCE(CAST(X.pymnt_intrst_only AS STRING),'')&lt;&gt;COALESCE(CAST(Y.pymnt_intrst_only_SIMUL AS STRING),'') OR (X.pymnt_intrst_only IS NULL AND Y.pymnt_intrst_only_SIMUL IS NOT NULL ) OR (X.pymnt_intrst_only IS NOT NULL AND Y.pymnt_intrst_only_SIMUL IS NULL),1,0)) AS NUM_REG_DIF,'1' AS ID_EXEC, CURRENT_TIMESTAMP() AS TIME_EXEC FROM (SELECT instrmnt_id, pymnt_intrst_only FROM BU_LOANTAPE_WORK.LT002_INSTRUMENT WHERE ref_date='${ref_date}' AND nome_perimetro='Individual Local' AND segmento='ESTR' AND ambito='SRB_MBDT' AND entidade='00100')X INNER JOIN (SELECT instrmnt_id AS instrmnt_id_SIMUL, pymnt_intrst_only AS pymnt_intrst_only_SIMUL FROM BU_LOANTAPE_WORK.SIMUL_LT002_INSTRUMENT WHERE ref_date='${ref_date}' AND nome_perimetro='Individual Local' AND segmento='ESTR' AND ambito='PILAR3' AND entidade='00100')Y ON X.INSTRMNT_ID=Y.INSTRMNT_ID_SIMUL</v>
      </c>
      <c r="M102" s="36" t="str">
        <f t="shared" si="4"/>
        <v>UNION ALL SELECT 'INSTRUMENT' AS TABELA, 'COERÊNCIA' AS TIPOLOGIA_TESTE,'BU_LOANTAPE_WORK.LT002_INSTRUMENT' AS TABELA_LT,'BU_LOANTAPE_WORK.SIMUL_LT002_INSTRUMENT' AS TABELA_SIMUL,'pymnt_intrst_only' AS CAMPO, '${ref_date}' AS REF_DATE, COUNT(*) AS NUM_REG, SUM(IF(COALESCE(CAST(X.pymnt_intrst_only AS STRING),'')&lt;&gt;COALESCE(CAST(Y.pymnt_intrst_only_SIMUL AS STRING),'') OR (X.pymnt_intrst_only IS NULL AND Y.pymnt_intrst_only_SIMUL IS NOT NULL ) OR (X.pymnt_intrst_only IS NOT NULL AND Y.pymnt_intrst_only_SIMUL IS NULL),1,0)) AS NUM_REG_DIF,'1' AS ID_EXEC, CURRENT_TIMESTAMP() AS TIME_EXEC FROM (SELECT instrmnt_id, pymnt_intrst_only FROM BU_LOANTAPE_WORK.LT002_INSTRUMENT WHERE ref_date='${ref_date}' AND nome_perimetro='Individual Local' AND segmento='ESTR' AND ambito='SRB_MBDT' AND entidade='00100')X INNER JOIN (SELECT instrmnt_id AS instrmnt_id_SIMUL, pymnt_intrst_only AS pymnt_intrst_only_SIMUL FROM BU_LOANTAPE_WORK.SIMUL_LT002_INSTRUMENT WHERE ref_date='${ref_date}' AND nome_perimetro='Individual Local' AND segmento='ESTR' AND ambito='PILAR3' AND entidade='00100')Y ON X.INSTRMNT_ID=Y.INSTRMNT_ID_SIMUL</v>
      </c>
      <c r="N102" s="38" t="s">
        <v>40</v>
      </c>
    </row>
    <row r="103" spans="2:14">
      <c r="B103" s="34" t="s">
        <v>117</v>
      </c>
      <c r="C103" s="34" t="s">
        <v>5</v>
      </c>
      <c r="D103" s="34" t="str">
        <f>+UPPER('0. Instruções'!$D$35&amp;"."&amp;VLOOKUP(B103,'0. Instruções'!$C$27:$D$32,2,FALSE))</f>
        <v>BU_LOANTAPE_WORK.LT002_INSTRUMENT</v>
      </c>
      <c r="E103" s="34" t="str">
        <f>+UPPER('0. Instruções'!$D$36&amp;"."&amp;VLOOKUP(B103,'0. Instruções'!$C$27:$E$32,3,FALSE))</f>
        <v>BU_LOANTAPE_WORK.SIMUL_LT002_INSTRUMENT</v>
      </c>
      <c r="F103" s="34" t="s">
        <v>1179</v>
      </c>
      <c r="G103" s="34"/>
      <c r="H103" s="34"/>
      <c r="I103" s="34" t="str">
        <f>"(SELECT "&amp;VLOOKUP(B103,'0. Instruções'!$C$27:$G$32,4,FALSE)&amp;", "&amp;F103&amp;" FROM "&amp;D103&amp;" WHERE "&amp;'0. Instruções'!$D$42&amp;")X"</f>
        <v>(SELECT instrmnt_id, rcrs FROM BU_LOANTAPE_WORK.LT002_INSTRUMENT WHERE ref_date='${ref_date}' AND nome_perimetro='Individual Local' AND segmento='ESTR' AND ambito='SRB_MBDT' AND entidade='00100')X</v>
      </c>
      <c r="J103" s="34" t="str">
        <f>"(SELECT "&amp;VLOOKUP(B103,'0. Instruções'!$C$27:$G$32,4,FALSE)&amp;" AS "&amp;VLOOKUP(B103,'0. Instruções'!$C$27:$G$32,4,FALSE)&amp;"_SIMUL, "&amp;F103&amp;" AS "&amp;F103&amp;"_SIMUL FROM "&amp;E103&amp;" WHERE "&amp;'0. Instruções'!$D$43&amp;")Y"</f>
        <v>(SELECT instrmnt_id AS instrmnt_id_SIMUL, rcrs AS rcrs_SIMUL FROM BU_LOANTAPE_WORK.SIMUL_LT002_INSTRUMENT WHERE ref_date='${ref_date}' AND nome_perimetro='Individual Local' AND segmento='ESTR' AND ambito='PILAR3' AND entidade='00100')Y</v>
      </c>
      <c r="K103" s="35" t="str">
        <f>+UPPER("ON X."&amp;VLOOKUP(B103,'0. Instruções'!$C$27:$G$32,4,FALSE)&amp;"=Y."&amp;VLOOKUP(B103,'0. Instruções'!$C$27:$G$32,4,FALSE)&amp;"_SIMUL")</f>
        <v>ON X.INSTRMNT_ID=Y.INSTRMNT_ID_SIMUL</v>
      </c>
      <c r="L103" s="35" t="str">
        <f>+IF(C103="Coerência", +IF(LEFT(G103,5)="FLOAT","SELECT '"&amp;UPPER(B103)&amp;"' AS TABELA, '"&amp;UPPER(C103)&amp;"' AS TIPOLOGIA_TESTE,'"&amp;D103&amp;"' AS TABELA_LT,'"&amp;E103&amp;"' AS TABELA_SIMUL,'"&amp;F103&amp;"' AS CAMPO, "&amp;"'${ref_date}' AS REF_DATE, COUNT(*) AS NUM_REG, SUM(IF((ABS(COALESCE(CAST(X."&amp;F103&amp;" AS DECIMAL(18,6)),0)-COALESCE(CAST(Y."&amp;F103&amp;"_SIMUL AS DECIMAL(18,6)),0))&gt;0.000001) OR (X."&amp;F103&amp;" IS NULL AND Y."&amp;F103&amp;"_SIMUL IS NOT NULL ) OR (X."&amp;F103&amp;" IS NOT NULL AND Y."&amp;F103&amp;"_SIMUL IS NULL),1,0)) AS NUM_REG_DIF,'"&amp;MAX('ID1&amp;5'!K:K)+1&amp;"' AS ID_EXEC, CURRENT_TIMESTAMP() AS TIME_EXEC FROM "&amp;I103&amp;" INNER JOIN "&amp;J103&amp;" "&amp;K103,"SELECT '"&amp;UPPER(B103)&amp;"' AS TABELA, '"&amp;UPPER(C103)&amp;"' AS TIPOLOGIA_TESTE,'"&amp;D103&amp;"' AS TABELA_LT,'"&amp;E103&amp;"' AS TABELA_SIMUL,'"&amp;F103&amp;"' AS CAMPO, "&amp;"'${ref_date}' AS REF_DATE, COUNT(*) AS NUM_REG, SUM(IF(COALESCE(CAST(X."&amp;F103&amp;" AS STRING),'')&lt;&gt;COALESCE(CAST(Y."&amp;F103&amp;"_SIMUL AS STRING),'') OR (X."&amp;F103&amp;" IS NULL AND Y."&amp;F103&amp;"_SIMUL IS NOT NULL ) OR (X."&amp;F103&amp;" IS NOT NULL AND Y."&amp;F103&amp;"_SIMUL IS NULL),1,0)) AS NUM_REG_DIF,'"&amp;MAX('ID1&amp;5'!L:L)+1&amp;"' AS ID_EXEC, CURRENT_TIMESTAMP() AS TIME_EXEC FROM "&amp;I103&amp;" INNER JOIN "&amp;J103&amp;" "&amp;K103),
IF(C103="Validade",+IF(G103="Code List","SELECT '"&amp;UPPER(B103)&amp;"' AS TABELA, '"&amp;UPPER(C103)&amp;"' AS TIPOLOGIA_TESTE,'"&amp;D103&amp;"' AS TABELA_LT,'N/A' AS TABELA_SIMUL,'"&amp;F103&amp;"' AS CAMPO, "&amp;"'${ref_date}' AS REF_DATE, COUNT(*) AS NUM_REG, SUM(IF(TRIM(CAST(X."&amp;F103&amp;" AS STRING))='' OR TRIM(CAST(X."&amp;F103&amp;" AS STRING)) IS NULL OR CAST(X."&amp;F103&amp;" AS STRING) NOT "&amp;H103&amp;",1,0)) AS NUM_REG_DIF,'"&amp;MAX('ID1&amp;5'!K:K)+1&amp;"' AS ID_EXEC, CURRENT_TIMESTAMP() AS TIME_EXEC FROM "&amp;I103,"SELECT '"&amp;UPPER(B103)&amp;"' AS TABELA, '"&amp;UPPER(C103)&amp;"' AS TIPOLOGIA_TESTE,'"&amp;D103&amp;"' AS TABELA_LT,'N/A' AS TABELA_SIMUL,'"&amp;F103&amp;"' AS CAMPO, "&amp;"'${ref_date}' AS REF_DATE, COUNT(*) AS NUM_REG, SUM(IF(TRIM(CAST(X."&amp;F103&amp;" AS STRING))='' OR TRIM(CAST(X."&amp;F103&amp;" AS STRING)) IS NULL,1,0)) AS NUM_REG_DIF,'"&amp;MAX('ID1&amp;5'!K:K)+1&amp;"' AS ID_EXEC, CURRENT_TIMESTAMP() AS TIME_EXEC FROM "&amp;I103),
IF(C103="Caracteres Especiais",+"SELECT '"&amp;UPPER(B103)&amp;"' AS TABELA, '"&amp;UPPER(C103)&amp;"' AS TIPOLOGIA_TESTE,'"&amp;D103&amp;"' AS TABELA_LT,'N/A' AS TABELA_SIMUL,'"&amp;F103&amp;"' AS CAMPO, "&amp;"'${ref_date}' AS REF_DATE, COUNT(*) AS NUM_REG, SUM(IF(REGEXP_REPLACE(TRIM(CAST(X."&amp;F103&amp;" AS STRING)),'[^a-zA-Z0-9_\\s]','') &lt;&gt;TRIM(CAST(X."&amp;F103&amp;" AS STRING)),1,0)) AS NUM_REG_DIF,'"&amp;MAX('ID1&amp;5'!K:K)+1&amp;"' AS ID_EXEC, CURRENT_TIMESTAMP() AS TIME_EXEC FROM "&amp;I103,
IF(C103="Missings",+"SELECT '"&amp;UPPER(B103)&amp;"' AS TABELA, '"&amp;UPPER(C103)&amp;"' AS TIPOLOGIA_TESTE,'"&amp;D103&amp;"' AS TABELA_LT,'N/A' AS TABELA_SIMUL,'"&amp;F103&amp;"' AS CAMPO, "&amp;"'${ref_date}' AS REF_DATE, COUNT(*) AS NUM_REG, SUM(IF(TRIM(CAST(X."&amp;F103&amp;" AS STRING)) IN ('0000-00-00','0001-01-01','9999-12-31','MISS','00000','99999999999','99999999999.00','99999999999.000000'),1,0)) AS NUM_REG_DIF,'"&amp;MAX('ID1&amp;5'!K:K)+1&amp;"' AS ID_EXEC, CURRENT_TIMESTAMP() AS TIME_EXEC FROM "&amp;I103,
IF(C103="Not applicable",+"SELECT '"&amp;UPPER(B103)&amp;"' AS TABELA, '"&amp;UPPER(C103)&amp;"' AS TIPOLOGIA_TESTE,'"&amp;D103&amp;"' AS TABELA_LT,'N/A' AS TABELA_SIMUL,'"&amp;F103&amp;"' AS CAMPO, "&amp;"'${ref_date}' AS REF_DATE, COUNT(*) AS NUM_REG, SUM(IF(TRIM(CAST(X."&amp;F103&amp;" AS STRING)) IN ('N/A','11111111111','11111111111.00','11111111111.000000','1111-11-11'),1,0)) AS NUM_REG_DIF,'"&amp;MAX('ID1&amp;5'!K:K)+1&amp;"' AS ID_EXEC, CURRENT_TIMESTAMP() AS TIME_EXEC FROM "&amp;I103,
IF(C103="Valores extremos",+"SELECT '"&amp;UPPER(B103)&amp;"' AS TABELA, '"&amp;UPPER(C103)&amp;"' AS TIPOLOGIA_TESTE,'"&amp;D103&amp;"' AS TABELA_LT,'N/A' AS TABELA_SIMUL,'"&amp;F103&amp;"' AS CAMPO, "&amp;"'${ref_date}' AS REF_DATE, CAST(MIN("&amp;F103&amp;") AS STRING) AS VALOR_MIN, CAST(MAX("&amp;F103&amp;") AS STRING) AS VALOR_MAX,'"&amp;MAX('ID1&amp;5'!K:K)+1&amp;"' AS ID_EXEC, CURRENT_TIMESTAMP() AS TIME_EXEC FROM "&amp;MID(I103,1,LEN(I103)-2)&amp;" AND CAST("&amp;F103&amp;"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TABELA_SIMUL,'rcrs' AS CAMPO, '${ref_date}' AS REF_DATE, COUNT(*) AS NUM_REG, SUM(IF(COALESCE(CAST(X.rcrs AS STRING),'')&lt;&gt;COALESCE(CAST(Y.rcrs_SIMUL AS STRING),'') OR (X.rcrs IS NULL AND Y.rcrs_SIMUL IS NOT NULL ) OR (X.rcrs IS NOT NULL AND Y.rcrs_SIMUL IS NULL),1,0)) AS NUM_REG_DIF,'1' AS ID_EXEC, CURRENT_TIMESTAMP() AS TIME_EXEC FROM (SELECT instrmnt_id, rcrs FROM BU_LOANTAPE_WORK.LT002_INSTRUMENT WHERE ref_date='${ref_date}' AND nome_perimetro='Individual Local' AND segmento='ESTR' AND ambito='SRB_MBDT' AND entidade='00100')X INNER JOIN (SELECT instrmnt_id AS instrmnt_id_SIMUL, rcrs AS rcrs_SIMUL FROM BU_LOANTAPE_WORK.SIMUL_LT002_INSTRUMENT WHERE ref_date='${ref_date}' AND nome_perimetro='Individual Local' AND segmento='ESTR' AND ambito='PILAR3' AND entidade='00100')Y ON X.INSTRMNT_ID=Y.INSTRMNT_ID_SIMUL</v>
      </c>
      <c r="M103" s="36" t="str">
        <f t="shared" si="4"/>
        <v>UNION ALL SELECT 'INSTRUMENT' AS TABELA, 'COERÊNCIA' AS TIPOLOGIA_TESTE,'BU_LOANTAPE_WORK.LT002_INSTRUMENT' AS TABELA_LT,'BU_LOANTAPE_WORK.SIMUL_LT002_INSTRUMENT' AS TABELA_SIMUL,'rcrs' AS CAMPO, '${ref_date}' AS REF_DATE, COUNT(*) AS NUM_REG, SUM(IF(COALESCE(CAST(X.rcrs AS STRING),'')&lt;&gt;COALESCE(CAST(Y.rcrs_SIMUL AS STRING),'') OR (X.rcrs IS NULL AND Y.rcrs_SIMUL IS NOT NULL ) OR (X.rcrs IS NOT NULL AND Y.rcrs_SIMUL IS NULL),1,0)) AS NUM_REG_DIF,'1' AS ID_EXEC, CURRENT_TIMESTAMP() AS TIME_EXEC FROM (SELECT instrmnt_id, rcrs FROM BU_LOANTAPE_WORK.LT002_INSTRUMENT WHERE ref_date='${ref_date}' AND nome_perimetro='Individual Local' AND segmento='ESTR' AND ambito='SRB_MBDT' AND entidade='00100')X INNER JOIN (SELECT instrmnt_id AS instrmnt_id_SIMUL, rcrs AS rcrs_SIMUL FROM BU_LOANTAPE_WORK.SIMUL_LT002_INSTRUMENT WHERE ref_date='${ref_date}' AND nome_perimetro='Individual Local' AND segmento='ESTR' AND ambito='PILAR3' AND entidade='00100')Y ON X.INSTRMNT_ID=Y.INSTRMNT_ID_SIMUL</v>
      </c>
      <c r="N103" s="38" t="s">
        <v>40</v>
      </c>
    </row>
    <row r="104" spans="2:14">
      <c r="B104" s="34" t="s">
        <v>117</v>
      </c>
      <c r="C104" s="34" t="s">
        <v>5</v>
      </c>
      <c r="D104" s="34" t="str">
        <f>+UPPER('0. Instruções'!$D$35&amp;"."&amp;VLOOKUP(B104,'0. Instruções'!$C$27:$D$32,2,FALSE))</f>
        <v>BU_LOANTAPE_WORK.LT002_INSTRUMENT</v>
      </c>
      <c r="E104" s="34" t="str">
        <f>+UPPER('0. Instruções'!$D$36&amp;"."&amp;VLOOKUP(B104,'0. Instruções'!$C$27:$E$32,3,FALSE))</f>
        <v>BU_LOANTAPE_WORK.SIMUL_LT002_INSTRUMENT</v>
      </c>
      <c r="F104" s="34" t="s">
        <v>307</v>
      </c>
      <c r="G104" s="34"/>
      <c r="H104" s="34"/>
      <c r="I104" s="34" t="str">
        <f>"(SELECT "&amp;VLOOKUP(B104,'0. Instruções'!$C$27:$G$32,4,FALSE)&amp;", "&amp;F104&amp;" FROM "&amp;D104&amp;" WHERE "&amp;'0. Instruções'!$D$42&amp;")X"</f>
        <v>(SELECT instrmnt_id, rfnnc_prps FROM BU_LOANTAPE_WORK.LT002_INSTRUMENT WHERE ref_date='${ref_date}' AND nome_perimetro='Individual Local' AND segmento='ESTR' AND ambito='SRB_MBDT' AND entidade='00100')X</v>
      </c>
      <c r="J104" s="34" t="str">
        <f>"(SELECT "&amp;VLOOKUP(B104,'0. Instruções'!$C$27:$G$32,4,FALSE)&amp;" AS "&amp;VLOOKUP(B104,'0. Instruções'!$C$27:$G$32,4,FALSE)&amp;"_SIMUL, "&amp;F104&amp;" AS "&amp;F104&amp;"_SIMUL FROM "&amp;E104&amp;" WHERE "&amp;'0. Instruções'!$D$43&amp;")Y"</f>
        <v>(SELECT instrmnt_id AS instrmnt_id_SIMUL, rfnnc_prps AS rfnnc_prps_SIMUL FROM BU_LOANTAPE_WORK.SIMUL_LT002_INSTRUMENT WHERE ref_date='${ref_date}' AND nome_perimetro='Individual Local' AND segmento='ESTR' AND ambito='PILAR3' AND entidade='00100')Y</v>
      </c>
      <c r="K104" s="35" t="str">
        <f>+UPPER("ON X."&amp;VLOOKUP(B104,'0. Instruções'!$C$27:$G$32,4,FALSE)&amp;"=Y."&amp;VLOOKUP(B104,'0. Instruções'!$C$27:$G$32,4,FALSE)&amp;"_SIMUL")</f>
        <v>ON X.INSTRMNT_ID=Y.INSTRMNT_ID_SIMUL</v>
      </c>
      <c r="L104" s="35" t="str">
        <f>+IF(C104="Coerência", +IF(LEFT(G104,5)="FLOAT","SELECT '"&amp;UPPER(B104)&amp;"' AS TABELA, '"&amp;UPPER(C104)&amp;"' AS TIPOLOGIA_TESTE,'"&amp;D104&amp;"' AS TABELA_LT,'"&amp;E104&amp;"' AS TABELA_SIMUL,'"&amp;F104&amp;"' AS CAMPO, "&amp;"'${ref_date}' AS REF_DATE, COUNT(*) AS NUM_REG, SUM(IF((ABS(COALESCE(CAST(X."&amp;F104&amp;" AS DECIMAL(18,6)),0)-COALESCE(CAST(Y."&amp;F104&amp;"_SIMUL AS DECIMAL(18,6)),0))&gt;0.000001) OR (X."&amp;F104&amp;" IS NULL AND Y."&amp;F104&amp;"_SIMUL IS NOT NULL ) OR (X."&amp;F104&amp;" IS NOT NULL AND Y."&amp;F104&amp;"_SIMUL IS NULL),1,0)) AS NUM_REG_DIF,'"&amp;MAX('ID1&amp;5'!K:K)+1&amp;"' AS ID_EXEC, CURRENT_TIMESTAMP() AS TIME_EXEC FROM "&amp;I104&amp;" INNER JOIN "&amp;J104&amp;" "&amp;K104,"SELECT '"&amp;UPPER(B104)&amp;"' AS TABELA, '"&amp;UPPER(C104)&amp;"' AS TIPOLOGIA_TESTE,'"&amp;D104&amp;"' AS TABELA_LT,'"&amp;E104&amp;"' AS TABELA_SIMUL,'"&amp;F104&amp;"' AS CAMPO, "&amp;"'${ref_date}' AS REF_DATE, COUNT(*) AS NUM_REG, SUM(IF(COALESCE(CAST(X."&amp;F104&amp;" AS STRING),'')&lt;&gt;COALESCE(CAST(Y."&amp;F104&amp;"_SIMUL AS STRING),'') OR (X."&amp;F104&amp;" IS NULL AND Y."&amp;F104&amp;"_SIMUL IS NOT NULL ) OR (X."&amp;F104&amp;" IS NOT NULL AND Y."&amp;F104&amp;"_SIMUL IS NULL),1,0)) AS NUM_REG_DIF,'"&amp;MAX('ID1&amp;5'!L:L)+1&amp;"' AS ID_EXEC, CURRENT_TIMESTAMP() AS TIME_EXEC FROM "&amp;I104&amp;" INNER JOIN "&amp;J104&amp;" "&amp;K104),
IF(C104="Validade",+IF(G104="Code List","SELECT '"&amp;UPPER(B104)&amp;"' AS TABELA, '"&amp;UPPER(C104)&amp;"' AS TIPOLOGIA_TESTE,'"&amp;D104&amp;"' AS TABELA_LT,'N/A' AS TABELA_SIMUL,'"&amp;F104&amp;"' AS CAMPO, "&amp;"'${ref_date}' AS REF_DATE, COUNT(*) AS NUM_REG, SUM(IF(TRIM(CAST(X."&amp;F104&amp;" AS STRING))='' OR TRIM(CAST(X."&amp;F104&amp;" AS STRING)) IS NULL OR CAST(X."&amp;F104&amp;" AS STRING) NOT "&amp;H104&amp;",1,0)) AS NUM_REG_DIF,'"&amp;MAX('ID1&amp;5'!K:K)+1&amp;"' AS ID_EXEC, CURRENT_TIMESTAMP() AS TIME_EXEC FROM "&amp;I104,"SELECT '"&amp;UPPER(B104)&amp;"' AS TABELA, '"&amp;UPPER(C104)&amp;"' AS TIPOLOGIA_TESTE,'"&amp;D104&amp;"' AS TABELA_LT,'N/A' AS TABELA_SIMUL,'"&amp;F104&amp;"' AS CAMPO, "&amp;"'${ref_date}' AS REF_DATE, COUNT(*) AS NUM_REG, SUM(IF(TRIM(CAST(X."&amp;F104&amp;" AS STRING))='' OR TRIM(CAST(X."&amp;F104&amp;" AS STRING)) IS NULL,1,0)) AS NUM_REG_DIF,'"&amp;MAX('ID1&amp;5'!K:K)+1&amp;"' AS ID_EXEC, CURRENT_TIMESTAMP() AS TIME_EXEC FROM "&amp;I104),
IF(C104="Caracteres Especiais",+"SELECT '"&amp;UPPER(B104)&amp;"' AS TABELA, '"&amp;UPPER(C104)&amp;"' AS TIPOLOGIA_TESTE,'"&amp;D104&amp;"' AS TABELA_LT,'N/A' AS TABELA_SIMUL,'"&amp;F104&amp;"' AS CAMPO, "&amp;"'${ref_date}' AS REF_DATE, COUNT(*) AS NUM_REG, SUM(IF(REGEXP_REPLACE(TRIM(CAST(X."&amp;F104&amp;" AS STRING)),'[^a-zA-Z0-9_\\s]','') &lt;&gt;TRIM(CAST(X."&amp;F104&amp;" AS STRING)),1,0)) AS NUM_REG_DIF,'"&amp;MAX('ID1&amp;5'!K:K)+1&amp;"' AS ID_EXEC, CURRENT_TIMESTAMP() AS TIME_EXEC FROM "&amp;I104,
IF(C104="Missings",+"SELECT '"&amp;UPPER(B104)&amp;"' AS TABELA, '"&amp;UPPER(C104)&amp;"' AS TIPOLOGIA_TESTE,'"&amp;D104&amp;"' AS TABELA_LT,'N/A' AS TABELA_SIMUL,'"&amp;F104&amp;"' AS CAMPO, "&amp;"'${ref_date}' AS REF_DATE, COUNT(*) AS NUM_REG, SUM(IF(TRIM(CAST(X."&amp;F104&amp;" AS STRING)) IN ('0000-00-00','0001-01-01','9999-12-31','MISS','00000','99999999999','99999999999.00','99999999999.000000'),1,0)) AS NUM_REG_DIF,'"&amp;MAX('ID1&amp;5'!K:K)+1&amp;"' AS ID_EXEC, CURRENT_TIMESTAMP() AS TIME_EXEC FROM "&amp;I104,
IF(C104="Not applicable",+"SELECT '"&amp;UPPER(B104)&amp;"' AS TABELA, '"&amp;UPPER(C104)&amp;"' AS TIPOLOGIA_TESTE,'"&amp;D104&amp;"' AS TABELA_LT,'N/A' AS TABELA_SIMUL,'"&amp;F104&amp;"' AS CAMPO, "&amp;"'${ref_date}' AS REF_DATE, COUNT(*) AS NUM_REG, SUM(IF(TRIM(CAST(X."&amp;F104&amp;" AS STRING)) IN ('N/A','11111111111','11111111111.00','11111111111.000000','1111-11-11'),1,0)) AS NUM_REG_DIF,'"&amp;MAX('ID1&amp;5'!K:K)+1&amp;"' AS ID_EXEC, CURRENT_TIMESTAMP() AS TIME_EXEC FROM "&amp;I104,
IF(C104="Valores extremos",+"SELECT '"&amp;UPPER(B104)&amp;"' AS TABELA, '"&amp;UPPER(C104)&amp;"' AS TIPOLOGIA_TESTE,'"&amp;D104&amp;"' AS TABELA_LT,'N/A' AS TABELA_SIMUL,'"&amp;F104&amp;"' AS CAMPO, "&amp;"'${ref_date}' AS REF_DATE, CAST(MIN("&amp;F104&amp;") AS STRING) AS VALOR_MIN, CAST(MAX("&amp;F104&amp;") AS STRING) AS VALOR_MAX,'"&amp;MAX('ID1&amp;5'!K:K)+1&amp;"' AS ID_EXEC, CURRENT_TIMESTAMP() AS TIME_EXEC FROM "&amp;MID(I104,1,LEN(I104)-2)&amp;" AND CAST("&amp;F104&amp;"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TABELA_SIMUL,'rfnnc_prps' AS CAMPO, '${ref_date}' AS REF_DATE, COUNT(*) AS NUM_REG, SUM(IF(COALESCE(CAST(X.rfnnc_prps AS STRING),'')&lt;&gt;COALESCE(CAST(Y.rfnnc_prps_SIMUL AS STRING),'') OR (X.rfnnc_prps IS NULL AND Y.rfnnc_prps_SIMUL IS NOT NULL ) OR (X.rfnnc_prps IS NOT NULL AND Y.rfnnc_prps_SIMUL IS NULL),1,0)) AS NUM_REG_DIF,'1' AS ID_EXEC, CURRENT_TIMESTAMP() AS TIME_EXEC FROM (SELECT instrmnt_id, rfnnc_prps FROM BU_LOANTAPE_WORK.LT002_INSTRUMENT WHERE ref_date='${ref_date}' AND nome_perimetro='Individual Local' AND segmento='ESTR' AND ambito='SRB_MBDT' AND entidade='00100')X INNER JOIN (SELECT instrmnt_id AS instrmnt_id_SIMUL, rfnnc_prps AS rfnnc_prps_SIMUL FROM BU_LOANTAPE_WORK.SIMUL_LT002_INSTRUMENT WHERE ref_date='${ref_date}' AND nome_perimetro='Individual Local' AND segmento='ESTR' AND ambito='PILAR3' AND entidade='00100')Y ON X.INSTRMNT_ID=Y.INSTRMNT_ID_SIMUL</v>
      </c>
      <c r="M104" s="36" t="str">
        <f t="shared" si="4"/>
        <v>UNION ALL SELECT 'INSTRUMENT' AS TABELA, 'COERÊNCIA' AS TIPOLOGIA_TESTE,'BU_LOANTAPE_WORK.LT002_INSTRUMENT' AS TABELA_LT,'BU_LOANTAPE_WORK.SIMUL_LT002_INSTRUMENT' AS TABELA_SIMUL,'rfnnc_prps' AS CAMPO, '${ref_date}' AS REF_DATE, COUNT(*) AS NUM_REG, SUM(IF(COALESCE(CAST(X.rfnnc_prps AS STRING),'')&lt;&gt;COALESCE(CAST(Y.rfnnc_prps_SIMUL AS STRING),'') OR (X.rfnnc_prps IS NULL AND Y.rfnnc_prps_SIMUL IS NOT NULL ) OR (X.rfnnc_prps IS NOT NULL AND Y.rfnnc_prps_SIMUL IS NULL),1,0)) AS NUM_REG_DIF,'1' AS ID_EXEC, CURRENT_TIMESTAMP() AS TIME_EXEC FROM (SELECT instrmnt_id, rfnnc_prps FROM BU_LOANTAPE_WORK.LT002_INSTRUMENT WHERE ref_date='${ref_date}' AND nome_perimetro='Individual Local' AND segmento='ESTR' AND ambito='SRB_MBDT' AND entidade='00100')X INNER JOIN (SELECT instrmnt_id AS instrmnt_id_SIMUL, rfnnc_prps AS rfnnc_prps_SIMUL FROM BU_LOANTAPE_WORK.SIMUL_LT002_INSTRUMENT WHERE ref_date='${ref_date}' AND nome_perimetro='Individual Local' AND segmento='ESTR' AND ambito='PILAR3' AND entidade='00100')Y ON X.INSTRMNT_ID=Y.INSTRMNT_ID_SIMUL</v>
      </c>
      <c r="N104" s="38" t="s">
        <v>40</v>
      </c>
    </row>
    <row r="105" spans="2:14">
      <c r="B105" s="34" t="s">
        <v>117</v>
      </c>
      <c r="C105" s="34" t="s">
        <v>5</v>
      </c>
      <c r="D105" s="34" t="str">
        <f>+UPPER('0. Instruções'!$D$35&amp;"."&amp;VLOOKUP(B105,'0. Instruções'!$C$27:$D$32,2,FALSE))</f>
        <v>BU_LOANTAPE_WORK.LT002_INSTRUMENT</v>
      </c>
      <c r="E105" s="34" t="str">
        <f>+UPPER('0. Instruções'!$D$36&amp;"."&amp;VLOOKUP(B105,'0. Instruções'!$C$27:$E$32,3,FALSE))</f>
        <v>BU_LOANTAPE_WORK.SIMUL_LT002_INSTRUMENT</v>
      </c>
      <c r="F105" s="34" t="s">
        <v>1180</v>
      </c>
      <c r="G105" s="34"/>
      <c r="H105" s="34"/>
      <c r="I105" s="34" t="str">
        <f>"(SELECT "&amp;VLOOKUP(B105,'0. Instruções'!$C$27:$G$32,4,FALSE)&amp;", "&amp;F105&amp;" FROM "&amp;D105&amp;" WHERE "&amp;'0. Instruções'!$D$42&amp;")X"</f>
        <v>(SELECT instrmnt_id, spcltv_lndng FROM BU_LOANTAPE_WORK.LT002_INSTRUMENT WHERE ref_date='${ref_date}' AND nome_perimetro='Individual Local' AND segmento='ESTR' AND ambito='SRB_MBDT' AND entidade='00100')X</v>
      </c>
      <c r="J105" s="34" t="str">
        <f>"(SELECT "&amp;VLOOKUP(B105,'0. Instruções'!$C$27:$G$32,4,FALSE)&amp;" AS "&amp;VLOOKUP(B105,'0. Instruções'!$C$27:$G$32,4,FALSE)&amp;"_SIMUL, "&amp;F105&amp;" AS "&amp;F105&amp;"_SIMUL FROM "&amp;E105&amp;" WHERE "&amp;'0. Instruções'!$D$43&amp;")Y"</f>
        <v>(SELECT instrmnt_id AS instrmnt_id_SIMUL, spcltv_lndng AS spcltv_lndng_SIMUL FROM BU_LOANTAPE_WORK.SIMUL_LT002_INSTRUMENT WHERE ref_date='${ref_date}' AND nome_perimetro='Individual Local' AND segmento='ESTR' AND ambito='PILAR3' AND entidade='00100')Y</v>
      </c>
      <c r="K105" s="35" t="str">
        <f>+UPPER("ON X."&amp;VLOOKUP(B105,'0. Instruções'!$C$27:$G$32,4,FALSE)&amp;"=Y."&amp;VLOOKUP(B105,'0. Instruções'!$C$27:$G$32,4,FALSE)&amp;"_SIMUL")</f>
        <v>ON X.INSTRMNT_ID=Y.INSTRMNT_ID_SIMUL</v>
      </c>
      <c r="L105" s="35" t="str">
        <f>+IF(C105="Coerência", +IF(LEFT(G105,5)="FLOAT","SELECT '"&amp;UPPER(B105)&amp;"' AS TABELA, '"&amp;UPPER(C105)&amp;"' AS TIPOLOGIA_TESTE,'"&amp;D105&amp;"' AS TABELA_LT,'"&amp;E105&amp;"' AS TABELA_SIMUL,'"&amp;F105&amp;"' AS CAMPO, "&amp;"'${ref_date}' AS REF_DATE, COUNT(*) AS NUM_REG, SUM(IF((ABS(COALESCE(CAST(X."&amp;F105&amp;" AS DECIMAL(18,6)),0)-COALESCE(CAST(Y."&amp;F105&amp;"_SIMUL AS DECIMAL(18,6)),0))&gt;0.000001) OR (X."&amp;F105&amp;" IS NULL AND Y."&amp;F105&amp;"_SIMUL IS NOT NULL ) OR (X."&amp;F105&amp;" IS NOT NULL AND Y."&amp;F105&amp;"_SIMUL IS NULL),1,0)) AS NUM_REG_DIF,'"&amp;MAX('ID1&amp;5'!K:K)+1&amp;"' AS ID_EXEC, CURRENT_TIMESTAMP() AS TIME_EXEC FROM "&amp;I105&amp;" INNER JOIN "&amp;J105&amp;" "&amp;K105,"SELECT '"&amp;UPPER(B105)&amp;"' AS TABELA, '"&amp;UPPER(C105)&amp;"' AS TIPOLOGIA_TESTE,'"&amp;D105&amp;"' AS TABELA_LT,'"&amp;E105&amp;"' AS TABELA_SIMUL,'"&amp;F105&amp;"' AS CAMPO, "&amp;"'${ref_date}' AS REF_DATE, COUNT(*) AS NUM_REG, SUM(IF(COALESCE(CAST(X."&amp;F105&amp;" AS STRING),'')&lt;&gt;COALESCE(CAST(Y."&amp;F105&amp;"_SIMUL AS STRING),'') OR (X."&amp;F105&amp;" IS NULL AND Y."&amp;F105&amp;"_SIMUL IS NOT NULL ) OR (X."&amp;F105&amp;" IS NOT NULL AND Y."&amp;F105&amp;"_SIMUL IS NULL),1,0)) AS NUM_REG_DIF,'"&amp;MAX('ID1&amp;5'!L:L)+1&amp;"' AS ID_EXEC, CURRENT_TIMESTAMP() AS TIME_EXEC FROM "&amp;I105&amp;" INNER JOIN "&amp;J105&amp;" "&amp;K105),
IF(C105="Validade",+IF(G105="Code List","SELECT '"&amp;UPPER(B105)&amp;"' AS TABELA, '"&amp;UPPER(C105)&amp;"' AS TIPOLOGIA_TESTE,'"&amp;D105&amp;"' AS TABELA_LT,'N/A' AS TABELA_SIMUL,'"&amp;F105&amp;"' AS CAMPO, "&amp;"'${ref_date}' AS REF_DATE, COUNT(*) AS NUM_REG, SUM(IF(TRIM(CAST(X."&amp;F105&amp;" AS STRING))='' OR TRIM(CAST(X."&amp;F105&amp;" AS STRING)) IS NULL OR CAST(X."&amp;F105&amp;" AS STRING) NOT "&amp;H105&amp;",1,0)) AS NUM_REG_DIF,'"&amp;MAX('ID1&amp;5'!K:K)+1&amp;"' AS ID_EXEC, CURRENT_TIMESTAMP() AS TIME_EXEC FROM "&amp;I105,"SELECT '"&amp;UPPER(B105)&amp;"' AS TABELA, '"&amp;UPPER(C105)&amp;"' AS TIPOLOGIA_TESTE,'"&amp;D105&amp;"' AS TABELA_LT,'N/A' AS TABELA_SIMUL,'"&amp;F105&amp;"' AS CAMPO, "&amp;"'${ref_date}' AS REF_DATE, COUNT(*) AS NUM_REG, SUM(IF(TRIM(CAST(X."&amp;F105&amp;" AS STRING))='' OR TRIM(CAST(X."&amp;F105&amp;" AS STRING)) IS NULL,1,0)) AS NUM_REG_DIF,'"&amp;MAX('ID1&amp;5'!K:K)+1&amp;"' AS ID_EXEC, CURRENT_TIMESTAMP() AS TIME_EXEC FROM "&amp;I105),
IF(C105="Caracteres Especiais",+"SELECT '"&amp;UPPER(B105)&amp;"' AS TABELA, '"&amp;UPPER(C105)&amp;"' AS TIPOLOGIA_TESTE,'"&amp;D105&amp;"' AS TABELA_LT,'N/A' AS TABELA_SIMUL,'"&amp;F105&amp;"' AS CAMPO, "&amp;"'${ref_date}' AS REF_DATE, COUNT(*) AS NUM_REG, SUM(IF(REGEXP_REPLACE(TRIM(CAST(X."&amp;F105&amp;" AS STRING)),'[^a-zA-Z0-9_\\s]','') &lt;&gt;TRIM(CAST(X."&amp;F105&amp;" AS STRING)),1,0)) AS NUM_REG_DIF,'"&amp;MAX('ID1&amp;5'!K:K)+1&amp;"' AS ID_EXEC, CURRENT_TIMESTAMP() AS TIME_EXEC FROM "&amp;I105,
IF(C105="Missings",+"SELECT '"&amp;UPPER(B105)&amp;"' AS TABELA, '"&amp;UPPER(C105)&amp;"' AS TIPOLOGIA_TESTE,'"&amp;D105&amp;"' AS TABELA_LT,'N/A' AS TABELA_SIMUL,'"&amp;F105&amp;"' AS CAMPO, "&amp;"'${ref_date}' AS REF_DATE, COUNT(*) AS NUM_REG, SUM(IF(TRIM(CAST(X."&amp;F105&amp;" AS STRING)) IN ('0000-00-00','0001-01-01','9999-12-31','MISS','00000','99999999999','99999999999.00','99999999999.000000'),1,0)) AS NUM_REG_DIF,'"&amp;MAX('ID1&amp;5'!K:K)+1&amp;"' AS ID_EXEC, CURRENT_TIMESTAMP() AS TIME_EXEC FROM "&amp;I105,
IF(C105="Not applicable",+"SELECT '"&amp;UPPER(B105)&amp;"' AS TABELA, '"&amp;UPPER(C105)&amp;"' AS TIPOLOGIA_TESTE,'"&amp;D105&amp;"' AS TABELA_LT,'N/A' AS TABELA_SIMUL,'"&amp;F105&amp;"' AS CAMPO, "&amp;"'${ref_date}' AS REF_DATE, COUNT(*) AS NUM_REG, SUM(IF(TRIM(CAST(X."&amp;F105&amp;" AS STRING)) IN ('N/A','11111111111','11111111111.00','11111111111.000000','1111-11-11'),1,0)) AS NUM_REG_DIF,'"&amp;MAX('ID1&amp;5'!K:K)+1&amp;"' AS ID_EXEC, CURRENT_TIMESTAMP() AS TIME_EXEC FROM "&amp;I105,
IF(C105="Valores extremos",+"SELECT '"&amp;UPPER(B105)&amp;"' AS TABELA, '"&amp;UPPER(C105)&amp;"' AS TIPOLOGIA_TESTE,'"&amp;D105&amp;"' AS TABELA_LT,'N/A' AS TABELA_SIMUL,'"&amp;F105&amp;"' AS CAMPO, "&amp;"'${ref_date}' AS REF_DATE, CAST(MIN("&amp;F105&amp;") AS STRING) AS VALOR_MIN, CAST(MAX("&amp;F105&amp;") AS STRING) AS VALOR_MAX,'"&amp;MAX('ID1&amp;5'!K:K)+1&amp;"' AS ID_EXEC, CURRENT_TIMESTAMP() AS TIME_EXEC FROM "&amp;MID(I105,1,LEN(I105)-2)&amp;" AND CAST("&amp;F105&amp;"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TABELA_SIMUL,'spcltv_lndng' AS CAMPO, '${ref_date}' AS REF_DATE, COUNT(*) AS NUM_REG, SUM(IF(COALESCE(CAST(X.spcltv_lndng AS STRING),'')&lt;&gt;COALESCE(CAST(Y.spcltv_lndng_SIMUL AS STRING),'') OR (X.spcltv_lndng IS NULL AND Y.spcltv_lndng_SIMUL IS NOT NULL ) OR (X.spcltv_lndng IS NOT NULL AND Y.spcltv_lndng_SIMUL IS NULL),1,0)) AS NUM_REG_DIF,'1' AS ID_EXEC, CURRENT_TIMESTAMP() AS TIME_EXEC FROM (SELECT instrmnt_id, spcltv_lndng FROM BU_LOANTAPE_WORK.LT002_INSTRUMENT WHERE ref_date='${ref_date}' AND nome_perimetro='Individual Local' AND segmento='ESTR' AND ambito='SRB_MBDT' AND entidade='00100')X INNER JOIN (SELECT instrmnt_id AS instrmnt_id_SIMUL, spcltv_lndng AS spcltv_lndng_SIMUL FROM BU_LOANTAPE_WORK.SIMUL_LT002_INSTRUMENT WHERE ref_date='${ref_date}' AND nome_perimetro='Individual Local' AND segmento='ESTR' AND ambito='PILAR3' AND entidade='00100')Y ON X.INSTRMNT_ID=Y.INSTRMNT_ID_SIMUL</v>
      </c>
      <c r="M105" s="36" t="str">
        <f t="shared" si="4"/>
        <v>UNION ALL SELECT 'INSTRUMENT' AS TABELA, 'COERÊNCIA' AS TIPOLOGIA_TESTE,'BU_LOANTAPE_WORK.LT002_INSTRUMENT' AS TABELA_LT,'BU_LOANTAPE_WORK.SIMUL_LT002_INSTRUMENT' AS TABELA_SIMUL,'spcltv_lndng' AS CAMPO, '${ref_date}' AS REF_DATE, COUNT(*) AS NUM_REG, SUM(IF(COALESCE(CAST(X.spcltv_lndng AS STRING),'')&lt;&gt;COALESCE(CAST(Y.spcltv_lndng_SIMUL AS STRING),'') OR (X.spcltv_lndng IS NULL AND Y.spcltv_lndng_SIMUL IS NOT NULL ) OR (X.spcltv_lndng IS NOT NULL AND Y.spcltv_lndng_SIMUL IS NULL),1,0)) AS NUM_REG_DIF,'1' AS ID_EXEC, CURRENT_TIMESTAMP() AS TIME_EXEC FROM (SELECT instrmnt_id, spcltv_lndng FROM BU_LOANTAPE_WORK.LT002_INSTRUMENT WHERE ref_date='${ref_date}' AND nome_perimetro='Individual Local' AND segmento='ESTR' AND ambito='SRB_MBDT' AND entidade='00100')X INNER JOIN (SELECT instrmnt_id AS instrmnt_id_SIMUL, spcltv_lndng AS spcltv_lndng_SIMUL FROM BU_LOANTAPE_WORK.SIMUL_LT002_INSTRUMENT WHERE ref_date='${ref_date}' AND nome_perimetro='Individual Local' AND segmento='ESTR' AND ambito='PILAR3' AND entidade='00100')Y ON X.INSTRMNT_ID=Y.INSTRMNT_ID_SIMUL</v>
      </c>
      <c r="N105" s="38" t="s">
        <v>40</v>
      </c>
    </row>
    <row r="106" spans="2:14">
      <c r="B106" s="34" t="s">
        <v>117</v>
      </c>
      <c r="C106" s="34" t="s">
        <v>5</v>
      </c>
      <c r="D106" s="34" t="str">
        <f>+UPPER('0. Instruções'!$D$35&amp;"."&amp;VLOOKUP(B106,'0. Instruções'!$C$27:$D$32,2,FALSE))</f>
        <v>BU_LOANTAPE_WORK.LT002_INSTRUMENT</v>
      </c>
      <c r="E106" s="34" t="str">
        <f>+UPPER('0. Instruções'!$D$36&amp;"."&amp;VLOOKUP(B106,'0. Instruções'!$C$27:$E$32,3,FALSE))</f>
        <v>BU_LOANTAPE_WORK.SIMUL_LT002_INSTRUMENT</v>
      </c>
      <c r="F106" s="34" t="s">
        <v>1181</v>
      </c>
      <c r="G106" s="34"/>
      <c r="H106" s="34"/>
      <c r="I106" s="34" t="str">
        <f>"(SELECT "&amp;VLOOKUP(B106,'0. Instruções'!$C$27:$G$32,4,FALSE)&amp;", "&amp;F106&amp;" FROM "&amp;D106&amp;" WHERE "&amp;'0. Instruções'!$D$42&amp;")X"</f>
        <v>(SELECT instrmnt_id, stts_undrwrttn_trnsctn FROM BU_LOANTAPE_WORK.LT002_INSTRUMENT WHERE ref_date='${ref_date}' AND nome_perimetro='Individual Local' AND segmento='ESTR' AND ambito='SRB_MBDT' AND entidade='00100')X</v>
      </c>
      <c r="J106" s="34" t="str">
        <f>"(SELECT "&amp;VLOOKUP(B106,'0. Instruções'!$C$27:$G$32,4,FALSE)&amp;" AS "&amp;VLOOKUP(B106,'0. Instruções'!$C$27:$G$32,4,FALSE)&amp;"_SIMUL, "&amp;F106&amp;" AS "&amp;F106&amp;"_SIMUL FROM "&amp;E106&amp;" WHERE "&amp;'0. Instruções'!$D$43&amp;")Y"</f>
        <v>(SELECT instrmnt_id AS instrmnt_id_SIMUL, stts_undrwrttn_trnsctn AS stts_undrwrttn_trnsctn_SIMUL FROM BU_LOANTAPE_WORK.SIMUL_LT002_INSTRUMENT WHERE ref_date='${ref_date}' AND nome_perimetro='Individual Local' AND segmento='ESTR' AND ambito='PILAR3' AND entidade='00100')Y</v>
      </c>
      <c r="K106" s="35" t="str">
        <f>+UPPER("ON X."&amp;VLOOKUP(B106,'0. Instruções'!$C$27:$G$32,4,FALSE)&amp;"=Y."&amp;VLOOKUP(B106,'0. Instruções'!$C$27:$G$32,4,FALSE)&amp;"_SIMUL")</f>
        <v>ON X.INSTRMNT_ID=Y.INSTRMNT_ID_SIMUL</v>
      </c>
      <c r="L106" s="35" t="str">
        <f>+IF(C106="Coerência", +IF(LEFT(G106,5)="FLOAT","SELECT '"&amp;UPPER(B106)&amp;"' AS TABELA, '"&amp;UPPER(C106)&amp;"' AS TIPOLOGIA_TESTE,'"&amp;D106&amp;"' AS TABELA_LT,'"&amp;E106&amp;"' AS TABELA_SIMUL,'"&amp;F106&amp;"' AS CAMPO, "&amp;"'${ref_date}' AS REF_DATE, COUNT(*) AS NUM_REG, SUM(IF((ABS(COALESCE(CAST(X."&amp;F106&amp;" AS DECIMAL(18,6)),0)-COALESCE(CAST(Y."&amp;F106&amp;"_SIMUL AS DECIMAL(18,6)),0))&gt;0.000001) OR (X."&amp;F106&amp;" IS NULL AND Y."&amp;F106&amp;"_SIMUL IS NOT NULL ) OR (X."&amp;F106&amp;" IS NOT NULL AND Y."&amp;F106&amp;"_SIMUL IS NULL),1,0)) AS NUM_REG_DIF,'"&amp;MAX('ID1&amp;5'!K:K)+1&amp;"' AS ID_EXEC, CURRENT_TIMESTAMP() AS TIME_EXEC FROM "&amp;I106&amp;" INNER JOIN "&amp;J106&amp;" "&amp;K106,"SELECT '"&amp;UPPER(B106)&amp;"' AS TABELA, '"&amp;UPPER(C106)&amp;"' AS TIPOLOGIA_TESTE,'"&amp;D106&amp;"' AS TABELA_LT,'"&amp;E106&amp;"' AS TABELA_SIMUL,'"&amp;F106&amp;"' AS CAMPO, "&amp;"'${ref_date}' AS REF_DATE, COUNT(*) AS NUM_REG, SUM(IF(COALESCE(CAST(X."&amp;F106&amp;" AS STRING),'')&lt;&gt;COALESCE(CAST(Y."&amp;F106&amp;"_SIMUL AS STRING),'') OR (X."&amp;F106&amp;" IS NULL AND Y."&amp;F106&amp;"_SIMUL IS NOT NULL ) OR (X."&amp;F106&amp;" IS NOT NULL AND Y."&amp;F106&amp;"_SIMUL IS NULL),1,0)) AS NUM_REG_DIF,'"&amp;MAX('ID1&amp;5'!L:L)+1&amp;"' AS ID_EXEC, CURRENT_TIMESTAMP() AS TIME_EXEC FROM "&amp;I106&amp;" INNER JOIN "&amp;J106&amp;" "&amp;K106),
IF(C106="Validade",+IF(G106="Code List","SELECT '"&amp;UPPER(B106)&amp;"' AS TABELA, '"&amp;UPPER(C106)&amp;"' AS TIPOLOGIA_TESTE,'"&amp;D106&amp;"' AS TABELA_LT,'N/A' AS TABELA_SIMUL,'"&amp;F106&amp;"' AS CAMPO, "&amp;"'${ref_date}' AS REF_DATE, COUNT(*) AS NUM_REG, SUM(IF(TRIM(CAST(X."&amp;F106&amp;" AS STRING))='' OR TRIM(CAST(X."&amp;F106&amp;" AS STRING)) IS NULL OR CAST(X."&amp;F106&amp;" AS STRING) NOT "&amp;H106&amp;",1,0)) AS NUM_REG_DIF,'"&amp;MAX('ID1&amp;5'!K:K)+1&amp;"' AS ID_EXEC, CURRENT_TIMESTAMP() AS TIME_EXEC FROM "&amp;I106,"SELECT '"&amp;UPPER(B106)&amp;"' AS TABELA, '"&amp;UPPER(C106)&amp;"' AS TIPOLOGIA_TESTE,'"&amp;D106&amp;"' AS TABELA_LT,'N/A' AS TABELA_SIMUL,'"&amp;F106&amp;"' AS CAMPO, "&amp;"'${ref_date}' AS REF_DATE, COUNT(*) AS NUM_REG, SUM(IF(TRIM(CAST(X."&amp;F106&amp;" AS STRING))='' OR TRIM(CAST(X."&amp;F106&amp;" AS STRING)) IS NULL,1,0)) AS NUM_REG_DIF,'"&amp;MAX('ID1&amp;5'!K:K)+1&amp;"' AS ID_EXEC, CURRENT_TIMESTAMP() AS TIME_EXEC FROM "&amp;I106),
IF(C106="Caracteres Especiais",+"SELECT '"&amp;UPPER(B106)&amp;"' AS TABELA, '"&amp;UPPER(C106)&amp;"' AS TIPOLOGIA_TESTE,'"&amp;D106&amp;"' AS TABELA_LT,'N/A' AS TABELA_SIMUL,'"&amp;F106&amp;"' AS CAMPO, "&amp;"'${ref_date}' AS REF_DATE, COUNT(*) AS NUM_REG, SUM(IF(REGEXP_REPLACE(TRIM(CAST(X."&amp;F106&amp;" AS STRING)),'[^a-zA-Z0-9_\\s]','') &lt;&gt;TRIM(CAST(X."&amp;F106&amp;" AS STRING)),1,0)) AS NUM_REG_DIF,'"&amp;MAX('ID1&amp;5'!K:K)+1&amp;"' AS ID_EXEC, CURRENT_TIMESTAMP() AS TIME_EXEC FROM "&amp;I106,
IF(C106="Missings",+"SELECT '"&amp;UPPER(B106)&amp;"' AS TABELA, '"&amp;UPPER(C106)&amp;"' AS TIPOLOGIA_TESTE,'"&amp;D106&amp;"' AS TABELA_LT,'N/A' AS TABELA_SIMUL,'"&amp;F106&amp;"' AS CAMPO, "&amp;"'${ref_date}' AS REF_DATE, COUNT(*) AS NUM_REG, SUM(IF(TRIM(CAST(X."&amp;F106&amp;" AS STRING)) IN ('0000-00-00','0001-01-01','9999-12-31','MISS','00000','99999999999','99999999999.00','99999999999.000000'),1,0)) AS NUM_REG_DIF,'"&amp;MAX('ID1&amp;5'!K:K)+1&amp;"' AS ID_EXEC, CURRENT_TIMESTAMP() AS TIME_EXEC FROM "&amp;I106,
IF(C106="Not applicable",+"SELECT '"&amp;UPPER(B106)&amp;"' AS TABELA, '"&amp;UPPER(C106)&amp;"' AS TIPOLOGIA_TESTE,'"&amp;D106&amp;"' AS TABELA_LT,'N/A' AS TABELA_SIMUL,'"&amp;F106&amp;"' AS CAMPO, "&amp;"'${ref_date}' AS REF_DATE, COUNT(*) AS NUM_REG, SUM(IF(TRIM(CAST(X."&amp;F106&amp;" AS STRING)) IN ('N/A','11111111111','11111111111.00','11111111111.000000','1111-11-11'),1,0)) AS NUM_REG_DIF,'"&amp;MAX('ID1&amp;5'!K:K)+1&amp;"' AS ID_EXEC, CURRENT_TIMESTAMP() AS TIME_EXEC FROM "&amp;I106,
IF(C106="Valores extremos",+"SELECT '"&amp;UPPER(B106)&amp;"' AS TABELA, '"&amp;UPPER(C106)&amp;"' AS TIPOLOGIA_TESTE,'"&amp;D106&amp;"' AS TABELA_LT,'N/A' AS TABELA_SIMUL,'"&amp;F106&amp;"' AS CAMPO, "&amp;"'${ref_date}' AS REF_DATE, CAST(MIN("&amp;F106&amp;") AS STRING) AS VALOR_MIN, CAST(MAX("&amp;F106&amp;") AS STRING) AS VALOR_MAX,'"&amp;MAX('ID1&amp;5'!K:K)+1&amp;"' AS ID_EXEC, CURRENT_TIMESTAMP() AS TIME_EXEC FROM "&amp;MID(I106,1,LEN(I106)-2)&amp;" AND CAST("&amp;F106&amp;"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TABELA_SIMUL,'stts_undrwrttn_trnsctn' AS CAMPO, '${ref_date}' AS REF_DATE, COUNT(*) AS NUM_REG, SUM(IF(COALESCE(CAST(X.stts_undrwrttn_trnsctn AS STRING),'')&lt;&gt;COALESCE(CAST(Y.stts_undrwrttn_trnsctn_SIMUL AS STRING),'') OR (X.stts_undrwrttn_trnsctn IS NULL AND Y.stts_undrwrttn_trnsctn_SIMUL IS NOT NULL ) OR (X.stts_undrwrttn_trnsctn IS NOT NULL AND Y.stts_undrwrttn_trnsctn_SIMUL IS NULL),1,0)) AS NUM_REG_DIF,'1' AS ID_EXEC, CURRENT_TIMESTAMP() AS TIME_EXEC FROM (SELECT instrmnt_id, stts_undrwrttn_trnsctn FROM BU_LOANTAPE_WORK.LT002_INSTRUMENT WHERE ref_date='${ref_date}' AND nome_perimetro='Individual Local' AND segmento='ESTR' AND ambito='SRB_MBDT' AND entidade='00100')X INNER JOIN (SELECT instrmnt_id AS instrmnt_id_SIMUL, stts_undrwrttn_trnsctn AS stts_undrwrttn_trnsctn_SIMUL FROM BU_LOANTAPE_WORK.SIMUL_LT002_INSTRUMENT WHERE ref_date='${ref_date}' AND nome_perimetro='Individual Local' AND segmento='ESTR' AND ambito='PILAR3' AND entidade='00100')Y ON X.INSTRMNT_ID=Y.INSTRMNT_ID_SIMUL</v>
      </c>
      <c r="M106" s="36" t="str">
        <f t="shared" si="4"/>
        <v>UNION ALL SELECT 'INSTRUMENT' AS TABELA, 'COERÊNCIA' AS TIPOLOGIA_TESTE,'BU_LOANTAPE_WORK.LT002_INSTRUMENT' AS TABELA_LT,'BU_LOANTAPE_WORK.SIMUL_LT002_INSTRUMENT' AS TABELA_SIMUL,'stts_undrwrttn_trnsctn' AS CAMPO, '${ref_date}' AS REF_DATE, COUNT(*) AS NUM_REG, SUM(IF(COALESCE(CAST(X.stts_undrwrttn_trnsctn AS STRING),'')&lt;&gt;COALESCE(CAST(Y.stts_undrwrttn_trnsctn_SIMUL AS STRING),'') OR (X.stts_undrwrttn_trnsctn IS NULL AND Y.stts_undrwrttn_trnsctn_SIMUL IS NOT NULL ) OR (X.stts_undrwrttn_trnsctn IS NOT NULL AND Y.stts_undrwrttn_trnsctn_SIMUL IS NULL),1,0)) AS NUM_REG_DIF,'1' AS ID_EXEC, CURRENT_TIMESTAMP() AS TIME_EXEC FROM (SELECT instrmnt_id, stts_undrwrttn_trnsctn FROM BU_LOANTAPE_WORK.LT002_INSTRUMENT WHERE ref_date='${ref_date}' AND nome_perimetro='Individual Local' AND segmento='ESTR' AND ambito='SRB_MBDT' AND entidade='00100')X INNER JOIN (SELECT instrmnt_id AS instrmnt_id_SIMUL, stts_undrwrttn_trnsctn AS stts_undrwrttn_trnsctn_SIMUL FROM BU_LOANTAPE_WORK.SIMUL_LT002_INSTRUMENT WHERE ref_date='${ref_date}' AND nome_perimetro='Individual Local' AND segmento='ESTR' AND ambito='PILAR3' AND entidade='00100')Y ON X.INSTRMNT_ID=Y.INSTRMNT_ID_SIMUL</v>
      </c>
      <c r="N106" s="38" t="s">
        <v>40</v>
      </c>
    </row>
    <row r="107" spans="2:14">
      <c r="B107" s="34" t="s">
        <v>117</v>
      </c>
      <c r="C107" s="34" t="s">
        <v>5</v>
      </c>
      <c r="D107" s="34" t="str">
        <f>+UPPER('0. Instruções'!$D$35&amp;"."&amp;VLOOKUP(B107,'0. Instruções'!$C$27:$D$32,2,FALSE))</f>
        <v>BU_LOANTAPE_WORK.LT002_INSTRUMENT</v>
      </c>
      <c r="E107" s="34" t="str">
        <f>+UPPER('0. Instruções'!$D$36&amp;"."&amp;VLOOKUP(B107,'0. Instruções'!$C$27:$E$32,3,FALSE))</f>
        <v>BU_LOANTAPE_WORK.SIMUL_LT002_INSTRUMENT</v>
      </c>
      <c r="F107" s="34" t="s">
        <v>1182</v>
      </c>
      <c r="G107" s="34"/>
      <c r="H107" s="34"/>
      <c r="I107" s="34" t="str">
        <f>"(SELECT "&amp;VLOOKUP(B107,'0. Instruções'!$C$27:$G$32,4,FALSE)&amp;", "&amp;F107&amp;" FROM "&amp;D107&amp;" WHERE "&amp;'0. Instruções'!$D$42&amp;")X"</f>
        <v>(SELECT instrmnt_id, trnch FROM BU_LOANTAPE_WORK.LT002_INSTRUMENT WHERE ref_date='${ref_date}' AND nome_perimetro='Individual Local' AND segmento='ESTR' AND ambito='SRB_MBDT' AND entidade='00100')X</v>
      </c>
      <c r="J107" s="34" t="str">
        <f>"(SELECT "&amp;VLOOKUP(B107,'0. Instruções'!$C$27:$G$32,4,FALSE)&amp;" AS "&amp;VLOOKUP(B107,'0. Instruções'!$C$27:$G$32,4,FALSE)&amp;"_SIMUL, "&amp;F107&amp;" AS "&amp;F107&amp;"_SIMUL FROM "&amp;E107&amp;" WHERE "&amp;'0. Instruções'!$D$43&amp;")Y"</f>
        <v>(SELECT instrmnt_id AS instrmnt_id_SIMUL, trnch AS trnch_SIMUL FROM BU_LOANTAPE_WORK.SIMUL_LT002_INSTRUMENT WHERE ref_date='${ref_date}' AND nome_perimetro='Individual Local' AND segmento='ESTR' AND ambito='PILAR3' AND entidade='00100')Y</v>
      </c>
      <c r="K107" s="35" t="str">
        <f>+UPPER("ON X."&amp;VLOOKUP(B107,'0. Instruções'!$C$27:$G$32,4,FALSE)&amp;"=Y."&amp;VLOOKUP(B107,'0. Instruções'!$C$27:$G$32,4,FALSE)&amp;"_SIMUL")</f>
        <v>ON X.INSTRMNT_ID=Y.INSTRMNT_ID_SIMUL</v>
      </c>
      <c r="L107" s="35" t="str">
        <f>+IF(C107="Coerência", +IF(LEFT(G107,5)="FLOAT","SELECT '"&amp;UPPER(B107)&amp;"' AS TABELA, '"&amp;UPPER(C107)&amp;"' AS TIPOLOGIA_TESTE,'"&amp;D107&amp;"' AS TABELA_LT,'"&amp;E107&amp;"' AS TABELA_SIMUL,'"&amp;F107&amp;"' AS CAMPO, "&amp;"'${ref_date}' AS REF_DATE, COUNT(*) AS NUM_REG, SUM(IF((ABS(COALESCE(CAST(X."&amp;F107&amp;" AS DECIMAL(18,6)),0)-COALESCE(CAST(Y."&amp;F107&amp;"_SIMUL AS DECIMAL(18,6)),0))&gt;0.000001) OR (X."&amp;F107&amp;" IS NULL AND Y."&amp;F107&amp;"_SIMUL IS NOT NULL ) OR (X."&amp;F107&amp;" IS NOT NULL AND Y."&amp;F107&amp;"_SIMUL IS NULL),1,0)) AS NUM_REG_DIF,'"&amp;MAX('ID1&amp;5'!K:K)+1&amp;"' AS ID_EXEC, CURRENT_TIMESTAMP() AS TIME_EXEC FROM "&amp;I107&amp;" INNER JOIN "&amp;J107&amp;" "&amp;K107,"SELECT '"&amp;UPPER(B107)&amp;"' AS TABELA, '"&amp;UPPER(C107)&amp;"' AS TIPOLOGIA_TESTE,'"&amp;D107&amp;"' AS TABELA_LT,'"&amp;E107&amp;"' AS TABELA_SIMUL,'"&amp;F107&amp;"' AS CAMPO, "&amp;"'${ref_date}' AS REF_DATE, COUNT(*) AS NUM_REG, SUM(IF(COALESCE(CAST(X."&amp;F107&amp;" AS STRING),'')&lt;&gt;COALESCE(CAST(Y."&amp;F107&amp;"_SIMUL AS STRING),'') OR (X."&amp;F107&amp;" IS NULL AND Y."&amp;F107&amp;"_SIMUL IS NOT NULL ) OR (X."&amp;F107&amp;" IS NOT NULL AND Y."&amp;F107&amp;"_SIMUL IS NULL),1,0)) AS NUM_REG_DIF,'"&amp;MAX('ID1&amp;5'!L:L)+1&amp;"' AS ID_EXEC, CURRENT_TIMESTAMP() AS TIME_EXEC FROM "&amp;I107&amp;" INNER JOIN "&amp;J107&amp;" "&amp;K107),
IF(C107="Validade",+IF(G107="Code List","SELECT '"&amp;UPPER(B107)&amp;"' AS TABELA, '"&amp;UPPER(C107)&amp;"' AS TIPOLOGIA_TESTE,'"&amp;D107&amp;"' AS TABELA_LT,'N/A' AS TABELA_SIMUL,'"&amp;F107&amp;"' AS CAMPO, "&amp;"'${ref_date}' AS REF_DATE, COUNT(*) AS NUM_REG, SUM(IF(TRIM(CAST(X."&amp;F107&amp;" AS STRING))='' OR TRIM(CAST(X."&amp;F107&amp;" AS STRING)) IS NULL OR CAST(X."&amp;F107&amp;" AS STRING) NOT "&amp;H107&amp;",1,0)) AS NUM_REG_DIF,'"&amp;MAX('ID1&amp;5'!K:K)+1&amp;"' AS ID_EXEC, CURRENT_TIMESTAMP() AS TIME_EXEC FROM "&amp;I107,"SELECT '"&amp;UPPER(B107)&amp;"' AS TABELA, '"&amp;UPPER(C107)&amp;"' AS TIPOLOGIA_TESTE,'"&amp;D107&amp;"' AS TABELA_LT,'N/A' AS TABELA_SIMUL,'"&amp;F107&amp;"' AS CAMPO, "&amp;"'${ref_date}' AS REF_DATE, COUNT(*) AS NUM_REG, SUM(IF(TRIM(CAST(X."&amp;F107&amp;" AS STRING))='' OR TRIM(CAST(X."&amp;F107&amp;" AS STRING)) IS NULL,1,0)) AS NUM_REG_DIF,'"&amp;MAX('ID1&amp;5'!K:K)+1&amp;"' AS ID_EXEC, CURRENT_TIMESTAMP() AS TIME_EXEC FROM "&amp;I107),
IF(C107="Caracteres Especiais",+"SELECT '"&amp;UPPER(B107)&amp;"' AS TABELA, '"&amp;UPPER(C107)&amp;"' AS TIPOLOGIA_TESTE,'"&amp;D107&amp;"' AS TABELA_LT,'N/A' AS TABELA_SIMUL,'"&amp;F107&amp;"' AS CAMPO, "&amp;"'${ref_date}' AS REF_DATE, COUNT(*) AS NUM_REG, SUM(IF(REGEXP_REPLACE(TRIM(CAST(X."&amp;F107&amp;" AS STRING)),'[^a-zA-Z0-9_\\s]','') &lt;&gt;TRIM(CAST(X."&amp;F107&amp;" AS STRING)),1,0)) AS NUM_REG_DIF,'"&amp;MAX('ID1&amp;5'!K:K)+1&amp;"' AS ID_EXEC, CURRENT_TIMESTAMP() AS TIME_EXEC FROM "&amp;I107,
IF(C107="Missings",+"SELECT '"&amp;UPPER(B107)&amp;"' AS TABELA, '"&amp;UPPER(C107)&amp;"' AS TIPOLOGIA_TESTE,'"&amp;D107&amp;"' AS TABELA_LT,'N/A' AS TABELA_SIMUL,'"&amp;F107&amp;"' AS CAMPO, "&amp;"'${ref_date}' AS REF_DATE, COUNT(*) AS NUM_REG, SUM(IF(TRIM(CAST(X."&amp;F107&amp;" AS STRING)) IN ('0000-00-00','0001-01-01','9999-12-31','MISS','00000','99999999999','99999999999.00','99999999999.000000'),1,0)) AS NUM_REG_DIF,'"&amp;MAX('ID1&amp;5'!K:K)+1&amp;"' AS ID_EXEC, CURRENT_TIMESTAMP() AS TIME_EXEC FROM "&amp;I107,
IF(C107="Not applicable",+"SELECT '"&amp;UPPER(B107)&amp;"' AS TABELA, '"&amp;UPPER(C107)&amp;"' AS TIPOLOGIA_TESTE,'"&amp;D107&amp;"' AS TABELA_LT,'N/A' AS TABELA_SIMUL,'"&amp;F107&amp;"' AS CAMPO, "&amp;"'${ref_date}' AS REF_DATE, COUNT(*) AS NUM_REG, SUM(IF(TRIM(CAST(X."&amp;F107&amp;" AS STRING)) IN ('N/A','11111111111','11111111111.00','11111111111.000000','1111-11-11'),1,0)) AS NUM_REG_DIF,'"&amp;MAX('ID1&amp;5'!K:K)+1&amp;"' AS ID_EXEC, CURRENT_TIMESTAMP() AS TIME_EXEC FROM "&amp;I107,
IF(C107="Valores extremos",+"SELECT '"&amp;UPPER(B107)&amp;"' AS TABELA, '"&amp;UPPER(C107)&amp;"' AS TIPOLOGIA_TESTE,'"&amp;D107&amp;"' AS TABELA_LT,'N/A' AS TABELA_SIMUL,'"&amp;F107&amp;"' AS CAMPO, "&amp;"'${ref_date}' AS REF_DATE, CAST(MIN("&amp;F107&amp;") AS STRING) AS VALOR_MIN, CAST(MAX("&amp;F107&amp;") AS STRING) AS VALOR_MAX,'"&amp;MAX('ID1&amp;5'!K:K)+1&amp;"' AS ID_EXEC, CURRENT_TIMESTAMP() AS TIME_EXEC FROM "&amp;MID(I107,1,LEN(I107)-2)&amp;" AND CAST("&amp;F107&amp;"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TABELA_SIMUL,'trnch' AS CAMPO, '${ref_date}' AS REF_DATE, COUNT(*) AS NUM_REG, SUM(IF(COALESCE(CAST(X.trnch AS STRING),'')&lt;&gt;COALESCE(CAST(Y.trnch_SIMUL AS STRING),'') OR (X.trnch IS NULL AND Y.trnch_SIMUL IS NOT NULL ) OR (X.trnch IS NOT NULL AND Y.trnch_SIMUL IS NULL),1,0)) AS NUM_REG_DIF,'1' AS ID_EXEC, CURRENT_TIMESTAMP() AS TIME_EXEC FROM (SELECT instrmnt_id, trnch FROM BU_LOANTAPE_WORK.LT002_INSTRUMENT WHERE ref_date='${ref_date}' AND nome_perimetro='Individual Local' AND segmento='ESTR' AND ambito='SRB_MBDT' AND entidade='00100')X INNER JOIN (SELECT instrmnt_id AS instrmnt_id_SIMUL, trnch AS trnch_SIMUL FROM BU_LOANTAPE_WORK.SIMUL_LT002_INSTRUMENT WHERE ref_date='${ref_date}' AND nome_perimetro='Individual Local' AND segmento='ESTR' AND ambito='PILAR3' AND entidade='00100')Y ON X.INSTRMNT_ID=Y.INSTRMNT_ID_SIMUL</v>
      </c>
      <c r="M107" s="36" t="str">
        <f t="shared" si="4"/>
        <v>UNION ALL SELECT 'INSTRUMENT' AS TABELA, 'COERÊNCIA' AS TIPOLOGIA_TESTE,'BU_LOANTAPE_WORK.LT002_INSTRUMENT' AS TABELA_LT,'BU_LOANTAPE_WORK.SIMUL_LT002_INSTRUMENT' AS TABELA_SIMUL,'trnch' AS CAMPO, '${ref_date}' AS REF_DATE, COUNT(*) AS NUM_REG, SUM(IF(COALESCE(CAST(X.trnch AS STRING),'')&lt;&gt;COALESCE(CAST(Y.trnch_SIMUL AS STRING),'') OR (X.trnch IS NULL AND Y.trnch_SIMUL IS NOT NULL ) OR (X.trnch IS NOT NULL AND Y.trnch_SIMUL IS NULL),1,0)) AS NUM_REG_DIF,'1' AS ID_EXEC, CURRENT_TIMESTAMP() AS TIME_EXEC FROM (SELECT instrmnt_id, trnch FROM BU_LOANTAPE_WORK.LT002_INSTRUMENT WHERE ref_date='${ref_date}' AND nome_perimetro='Individual Local' AND segmento='ESTR' AND ambito='SRB_MBDT' AND entidade='00100')X INNER JOIN (SELECT instrmnt_id AS instrmnt_id_SIMUL, trnch AS trnch_SIMUL FROM BU_LOANTAPE_WORK.SIMUL_LT002_INSTRUMENT WHERE ref_date='${ref_date}' AND nome_perimetro='Individual Local' AND segmento='ESTR' AND ambito='PILAR3' AND entidade='00100')Y ON X.INSTRMNT_ID=Y.INSTRMNT_ID_SIMUL</v>
      </c>
      <c r="N107" s="38"/>
    </row>
    <row r="108" spans="2:14">
      <c r="B108" s="34" t="s">
        <v>117</v>
      </c>
      <c r="C108" s="34" t="s">
        <v>5</v>
      </c>
      <c r="D108" s="34" t="str">
        <f>+UPPER('0. Instruções'!$D$35&amp;"."&amp;VLOOKUP(B108,'0. Instruções'!$C$27:$D$32,2,FALSE))</f>
        <v>BU_LOANTAPE_WORK.LT002_INSTRUMENT</v>
      </c>
      <c r="E108" s="34" t="str">
        <f>+UPPER('0. Instruções'!$D$36&amp;"."&amp;VLOOKUP(B108,'0. Instruções'!$C$27:$E$32,3,FALSE))</f>
        <v>BU_LOANTAPE_WORK.SIMUL_LT002_INSTRUMENT</v>
      </c>
      <c r="F108" s="34" t="s">
        <v>1183</v>
      </c>
      <c r="G108" s="34"/>
      <c r="H108" s="34"/>
      <c r="I108" s="34" t="str">
        <f>"(SELECT "&amp;VLOOKUP(B108,'0. Instruções'!$C$27:$G$32,4,FALSE)&amp;", "&amp;F108&amp;" FROM "&amp;D108&amp;" WHERE "&amp;'0. Instruções'!$D$42&amp;")X"</f>
        <v>(SELECT instrmnt_id, typ_amrtstn FROM BU_LOANTAPE_WORK.LT002_INSTRUMENT WHERE ref_date='${ref_date}' AND nome_perimetro='Individual Local' AND segmento='ESTR' AND ambito='SRB_MBDT' AND entidade='00100')X</v>
      </c>
      <c r="J108" s="34" t="str">
        <f>"(SELECT "&amp;VLOOKUP(B108,'0. Instruções'!$C$27:$G$32,4,FALSE)&amp;" AS "&amp;VLOOKUP(B108,'0. Instruções'!$C$27:$G$32,4,FALSE)&amp;"_SIMUL, "&amp;F108&amp;" AS "&amp;F108&amp;"_SIMUL FROM "&amp;E108&amp;" WHERE "&amp;'0. Instruções'!$D$43&amp;")Y"</f>
        <v>(SELECT instrmnt_id AS instrmnt_id_SIMUL, typ_amrtstn AS typ_amrtstn_SIMUL FROM BU_LOANTAPE_WORK.SIMUL_LT002_INSTRUMENT WHERE ref_date='${ref_date}' AND nome_perimetro='Individual Local' AND segmento='ESTR' AND ambito='PILAR3' AND entidade='00100')Y</v>
      </c>
      <c r="K108" s="35" t="str">
        <f>+UPPER("ON X."&amp;VLOOKUP(B108,'0. Instruções'!$C$27:$G$32,4,FALSE)&amp;"=Y."&amp;VLOOKUP(B108,'0. Instruções'!$C$27:$G$32,4,FALSE)&amp;"_SIMUL")</f>
        <v>ON X.INSTRMNT_ID=Y.INSTRMNT_ID_SIMUL</v>
      </c>
      <c r="L108" s="35" t="str">
        <f>+IF(C108="Coerência", +IF(LEFT(G108,5)="FLOAT","SELECT '"&amp;UPPER(B108)&amp;"' AS TABELA, '"&amp;UPPER(C108)&amp;"' AS TIPOLOGIA_TESTE,'"&amp;D108&amp;"' AS TABELA_LT,'"&amp;E108&amp;"' AS TABELA_SIMUL,'"&amp;F108&amp;"' AS CAMPO, "&amp;"'${ref_date}' AS REF_DATE, COUNT(*) AS NUM_REG, SUM(IF((ABS(COALESCE(CAST(X."&amp;F108&amp;" AS DECIMAL(18,6)),0)-COALESCE(CAST(Y."&amp;F108&amp;"_SIMUL AS DECIMAL(18,6)),0))&gt;0.000001) OR (X."&amp;F108&amp;" IS NULL AND Y."&amp;F108&amp;"_SIMUL IS NOT NULL ) OR (X."&amp;F108&amp;" IS NOT NULL AND Y."&amp;F108&amp;"_SIMUL IS NULL),1,0)) AS NUM_REG_DIF,'"&amp;MAX('ID1&amp;5'!K:K)+1&amp;"' AS ID_EXEC, CURRENT_TIMESTAMP() AS TIME_EXEC FROM "&amp;I108&amp;" INNER JOIN "&amp;J108&amp;" "&amp;K108,"SELECT '"&amp;UPPER(B108)&amp;"' AS TABELA, '"&amp;UPPER(C108)&amp;"' AS TIPOLOGIA_TESTE,'"&amp;D108&amp;"' AS TABELA_LT,'"&amp;E108&amp;"' AS TABELA_SIMUL,'"&amp;F108&amp;"' AS CAMPO, "&amp;"'${ref_date}' AS REF_DATE, COUNT(*) AS NUM_REG, SUM(IF(COALESCE(CAST(X."&amp;F108&amp;" AS STRING),'')&lt;&gt;COALESCE(CAST(Y."&amp;F108&amp;"_SIMUL AS STRING),'') OR (X."&amp;F108&amp;" IS NULL AND Y."&amp;F108&amp;"_SIMUL IS NOT NULL ) OR (X."&amp;F108&amp;" IS NOT NULL AND Y."&amp;F108&amp;"_SIMUL IS NULL),1,0)) AS NUM_REG_DIF,'"&amp;MAX('ID1&amp;5'!L:L)+1&amp;"' AS ID_EXEC, CURRENT_TIMESTAMP() AS TIME_EXEC FROM "&amp;I108&amp;" INNER JOIN "&amp;J108&amp;" "&amp;K108),
IF(C108="Validade",+IF(G108="Code List","SELECT '"&amp;UPPER(B108)&amp;"' AS TABELA, '"&amp;UPPER(C108)&amp;"' AS TIPOLOGIA_TESTE,'"&amp;D108&amp;"' AS TABELA_LT,'N/A' AS TABELA_SIMUL,'"&amp;F108&amp;"' AS CAMPO, "&amp;"'${ref_date}' AS REF_DATE, COUNT(*) AS NUM_REG, SUM(IF(TRIM(CAST(X."&amp;F108&amp;" AS STRING))='' OR TRIM(CAST(X."&amp;F108&amp;" AS STRING)) IS NULL OR CAST(X."&amp;F108&amp;" AS STRING) NOT "&amp;H108&amp;",1,0)) AS NUM_REG_DIF,'"&amp;MAX('ID1&amp;5'!K:K)+1&amp;"' AS ID_EXEC, CURRENT_TIMESTAMP() AS TIME_EXEC FROM "&amp;I108,"SELECT '"&amp;UPPER(B108)&amp;"' AS TABELA, '"&amp;UPPER(C108)&amp;"' AS TIPOLOGIA_TESTE,'"&amp;D108&amp;"' AS TABELA_LT,'N/A' AS TABELA_SIMUL,'"&amp;F108&amp;"' AS CAMPO, "&amp;"'${ref_date}' AS REF_DATE, COUNT(*) AS NUM_REG, SUM(IF(TRIM(CAST(X."&amp;F108&amp;" AS STRING))='' OR TRIM(CAST(X."&amp;F108&amp;" AS STRING)) IS NULL,1,0)) AS NUM_REG_DIF,'"&amp;MAX('ID1&amp;5'!K:K)+1&amp;"' AS ID_EXEC, CURRENT_TIMESTAMP() AS TIME_EXEC FROM "&amp;I108),
IF(C108="Caracteres Especiais",+"SELECT '"&amp;UPPER(B108)&amp;"' AS TABELA, '"&amp;UPPER(C108)&amp;"' AS TIPOLOGIA_TESTE,'"&amp;D108&amp;"' AS TABELA_LT,'N/A' AS TABELA_SIMUL,'"&amp;F108&amp;"' AS CAMPO, "&amp;"'${ref_date}' AS REF_DATE, COUNT(*) AS NUM_REG, SUM(IF(REGEXP_REPLACE(TRIM(CAST(X."&amp;F108&amp;" AS STRING)),'[^a-zA-Z0-9_\\s]','') &lt;&gt;TRIM(CAST(X."&amp;F108&amp;" AS STRING)),1,0)) AS NUM_REG_DIF,'"&amp;MAX('ID1&amp;5'!K:K)+1&amp;"' AS ID_EXEC, CURRENT_TIMESTAMP() AS TIME_EXEC FROM "&amp;I108,
IF(C108="Missings",+"SELECT '"&amp;UPPER(B108)&amp;"' AS TABELA, '"&amp;UPPER(C108)&amp;"' AS TIPOLOGIA_TESTE,'"&amp;D108&amp;"' AS TABELA_LT,'N/A' AS TABELA_SIMUL,'"&amp;F108&amp;"' AS CAMPO, "&amp;"'${ref_date}' AS REF_DATE, COUNT(*) AS NUM_REG, SUM(IF(TRIM(CAST(X."&amp;F108&amp;" AS STRING)) IN ('0000-00-00','0001-01-01','9999-12-31','MISS','00000','99999999999','99999999999.00','99999999999.000000'),1,0)) AS NUM_REG_DIF,'"&amp;MAX('ID1&amp;5'!K:K)+1&amp;"' AS ID_EXEC, CURRENT_TIMESTAMP() AS TIME_EXEC FROM "&amp;I108,
IF(C108="Not applicable",+"SELECT '"&amp;UPPER(B108)&amp;"' AS TABELA, '"&amp;UPPER(C108)&amp;"' AS TIPOLOGIA_TESTE,'"&amp;D108&amp;"' AS TABELA_LT,'N/A' AS TABELA_SIMUL,'"&amp;F108&amp;"' AS CAMPO, "&amp;"'${ref_date}' AS REF_DATE, COUNT(*) AS NUM_REG, SUM(IF(TRIM(CAST(X."&amp;F108&amp;" AS STRING)) IN ('N/A','11111111111','11111111111.00','11111111111.000000','1111-11-11'),1,0)) AS NUM_REG_DIF,'"&amp;MAX('ID1&amp;5'!K:K)+1&amp;"' AS ID_EXEC, CURRENT_TIMESTAMP() AS TIME_EXEC FROM "&amp;I108,
IF(C108="Valores extremos",+"SELECT '"&amp;UPPER(B108)&amp;"' AS TABELA, '"&amp;UPPER(C108)&amp;"' AS TIPOLOGIA_TESTE,'"&amp;D108&amp;"' AS TABELA_LT,'N/A' AS TABELA_SIMUL,'"&amp;F108&amp;"' AS CAMPO, "&amp;"'${ref_date}' AS REF_DATE, CAST(MIN("&amp;F108&amp;") AS STRING) AS VALOR_MIN, CAST(MAX("&amp;F108&amp;") AS STRING) AS VALOR_MAX,'"&amp;MAX('ID1&amp;5'!K:K)+1&amp;"' AS ID_EXEC, CURRENT_TIMESTAMP() AS TIME_EXEC FROM "&amp;MID(I108,1,LEN(I108)-2)&amp;" AND CAST("&amp;F108&amp;"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TABELA_SIMUL,'typ_amrtstn' AS CAMPO, '${ref_date}' AS REF_DATE, COUNT(*) AS NUM_REG, SUM(IF(COALESCE(CAST(X.typ_amrtstn AS STRING),'')&lt;&gt;COALESCE(CAST(Y.typ_amrtstn_SIMUL AS STRING),'') OR (X.typ_amrtstn IS NULL AND Y.typ_amrtstn_SIMUL IS NOT NULL ) OR (X.typ_amrtstn IS NOT NULL AND Y.typ_amrtstn_SIMUL IS NULL),1,0)) AS NUM_REG_DIF,'1' AS ID_EXEC, CURRENT_TIMESTAMP() AS TIME_EXEC FROM (SELECT instrmnt_id, typ_amrtstn FROM BU_LOANTAPE_WORK.LT002_INSTRUMENT WHERE ref_date='${ref_date}' AND nome_perimetro='Individual Local' AND segmento='ESTR' AND ambito='SRB_MBDT' AND entidade='00100')X INNER JOIN (SELECT instrmnt_id AS instrmnt_id_SIMUL, typ_amrtstn AS typ_amrtstn_SIMUL FROM BU_LOANTAPE_WORK.SIMUL_LT002_INSTRUMENT WHERE ref_date='${ref_date}' AND nome_perimetro='Individual Local' AND segmento='ESTR' AND ambito='PILAR3' AND entidade='00100')Y ON X.INSTRMNT_ID=Y.INSTRMNT_ID_SIMUL</v>
      </c>
      <c r="M108" s="36" t="str">
        <f t="shared" si="4"/>
        <v>UNION ALL SELECT 'INSTRUMENT' AS TABELA, 'COERÊNCIA' AS TIPOLOGIA_TESTE,'BU_LOANTAPE_WORK.LT002_INSTRUMENT' AS TABELA_LT,'BU_LOANTAPE_WORK.SIMUL_LT002_INSTRUMENT' AS TABELA_SIMUL,'typ_amrtstn' AS CAMPO, '${ref_date}' AS REF_DATE, COUNT(*) AS NUM_REG, SUM(IF(COALESCE(CAST(X.typ_amrtstn AS STRING),'')&lt;&gt;COALESCE(CAST(Y.typ_amrtstn_SIMUL AS STRING),'') OR (X.typ_amrtstn IS NULL AND Y.typ_amrtstn_SIMUL IS NOT NULL ) OR (X.typ_amrtstn IS NOT NULL AND Y.typ_amrtstn_SIMUL IS NULL),1,0)) AS NUM_REG_DIF,'1' AS ID_EXEC, CURRENT_TIMESTAMP() AS TIME_EXEC FROM (SELECT instrmnt_id, typ_amrtstn FROM BU_LOANTAPE_WORK.LT002_INSTRUMENT WHERE ref_date='${ref_date}' AND nome_perimetro='Individual Local' AND segmento='ESTR' AND ambito='SRB_MBDT' AND entidade='00100')X INNER JOIN (SELECT instrmnt_id AS instrmnt_id_SIMUL, typ_amrtstn AS typ_amrtstn_SIMUL FROM BU_LOANTAPE_WORK.SIMUL_LT002_INSTRUMENT WHERE ref_date='${ref_date}' AND nome_perimetro='Individual Local' AND segmento='ESTR' AND ambito='PILAR3' AND entidade='00100')Y ON X.INSTRMNT_ID=Y.INSTRMNT_ID_SIMUL</v>
      </c>
      <c r="N108" s="38"/>
    </row>
    <row r="109" spans="2:14">
      <c r="B109" s="34" t="s">
        <v>117</v>
      </c>
      <c r="C109" s="34" t="s">
        <v>5</v>
      </c>
      <c r="D109" s="34" t="str">
        <f>+UPPER('0. Instruções'!$D$35&amp;"."&amp;VLOOKUP(B109,'0. Instruções'!$C$27:$D$32,2,FALSE))</f>
        <v>BU_LOANTAPE_WORK.LT002_INSTRUMENT</v>
      </c>
      <c r="E109" s="34" t="str">
        <f>+UPPER('0. Instruções'!$D$36&amp;"."&amp;VLOOKUP(B109,'0. Instruções'!$C$27:$E$32,3,FALSE))</f>
        <v>BU_LOANTAPE_WORK.SIMUL_LT002_INSTRUMENT</v>
      </c>
      <c r="F109" s="34" t="s">
        <v>646</v>
      </c>
      <c r="G109" s="34"/>
      <c r="H109" s="34"/>
      <c r="I109" s="34" t="str">
        <f>"(SELECT "&amp;VLOOKUP(B109,'0. Instruções'!$C$27:$G$32,4,FALSE)&amp;", "&amp;F109&amp;" FROM "&amp;D109&amp;" WHERE "&amp;'0. Instruções'!$D$42&amp;")X"</f>
        <v>(SELECT instrmnt_id, typ_instrmnt FROM BU_LOANTAPE_WORK.LT002_INSTRUMENT WHERE ref_date='${ref_date}' AND nome_perimetro='Individual Local' AND segmento='ESTR' AND ambito='SRB_MBDT' AND entidade='00100')X</v>
      </c>
      <c r="J109" s="34" t="str">
        <f>"(SELECT "&amp;VLOOKUP(B109,'0. Instruções'!$C$27:$G$32,4,FALSE)&amp;" AS "&amp;VLOOKUP(B109,'0. Instruções'!$C$27:$G$32,4,FALSE)&amp;"_SIMUL, "&amp;F109&amp;" AS "&amp;F109&amp;"_SIMUL FROM "&amp;E109&amp;" WHERE "&amp;'0. Instruções'!$D$43&amp;")Y"</f>
        <v>(SELECT instrmnt_id AS instrmnt_id_SIMUL, typ_instrmnt AS typ_instrmnt_SIMUL FROM BU_LOANTAPE_WORK.SIMUL_LT002_INSTRUMENT WHERE ref_date='${ref_date}' AND nome_perimetro='Individual Local' AND segmento='ESTR' AND ambito='PILAR3' AND entidade='00100')Y</v>
      </c>
      <c r="K109" s="35" t="str">
        <f>+UPPER("ON X."&amp;VLOOKUP(B109,'0. Instruções'!$C$27:$G$32,4,FALSE)&amp;"=Y."&amp;VLOOKUP(B109,'0. Instruções'!$C$27:$G$32,4,FALSE)&amp;"_SIMUL")</f>
        <v>ON X.INSTRMNT_ID=Y.INSTRMNT_ID_SIMUL</v>
      </c>
      <c r="L109" s="35" t="str">
        <f>+IF(C109="Coerência", +IF(LEFT(G109,5)="FLOAT","SELECT '"&amp;UPPER(B109)&amp;"' AS TABELA, '"&amp;UPPER(C109)&amp;"' AS TIPOLOGIA_TESTE,'"&amp;D109&amp;"' AS TABELA_LT,'"&amp;E109&amp;"' AS TABELA_SIMUL,'"&amp;F109&amp;"' AS CAMPO, "&amp;"'${ref_date}' AS REF_DATE, COUNT(*) AS NUM_REG, SUM(IF((ABS(COALESCE(CAST(X."&amp;F109&amp;" AS DECIMAL(18,6)),0)-COALESCE(CAST(Y."&amp;F109&amp;"_SIMUL AS DECIMAL(18,6)),0))&gt;0.000001) OR (X."&amp;F109&amp;" IS NULL AND Y."&amp;F109&amp;"_SIMUL IS NOT NULL ) OR (X."&amp;F109&amp;" IS NOT NULL AND Y."&amp;F109&amp;"_SIMUL IS NULL),1,0)) AS NUM_REG_DIF,'"&amp;MAX('ID1&amp;5'!K:K)+1&amp;"' AS ID_EXEC, CURRENT_TIMESTAMP() AS TIME_EXEC FROM "&amp;I109&amp;" INNER JOIN "&amp;J109&amp;" "&amp;K109,"SELECT '"&amp;UPPER(B109)&amp;"' AS TABELA, '"&amp;UPPER(C109)&amp;"' AS TIPOLOGIA_TESTE,'"&amp;D109&amp;"' AS TABELA_LT,'"&amp;E109&amp;"' AS TABELA_SIMUL,'"&amp;F109&amp;"' AS CAMPO, "&amp;"'${ref_date}' AS REF_DATE, COUNT(*) AS NUM_REG, SUM(IF(COALESCE(CAST(X."&amp;F109&amp;" AS STRING),'')&lt;&gt;COALESCE(CAST(Y."&amp;F109&amp;"_SIMUL AS STRING),'') OR (X."&amp;F109&amp;" IS NULL AND Y."&amp;F109&amp;"_SIMUL IS NOT NULL ) OR (X."&amp;F109&amp;" IS NOT NULL AND Y."&amp;F109&amp;"_SIMUL IS NULL),1,0)) AS NUM_REG_DIF,'"&amp;MAX('ID1&amp;5'!L:L)+1&amp;"' AS ID_EXEC, CURRENT_TIMESTAMP() AS TIME_EXEC FROM "&amp;I109&amp;" INNER JOIN "&amp;J109&amp;" "&amp;K109),
IF(C109="Validade",+IF(G109="Code List","SELECT '"&amp;UPPER(B109)&amp;"' AS TABELA, '"&amp;UPPER(C109)&amp;"' AS TIPOLOGIA_TESTE,'"&amp;D109&amp;"' AS TABELA_LT,'N/A' AS TABELA_SIMUL,'"&amp;F109&amp;"' AS CAMPO, "&amp;"'${ref_date}' AS REF_DATE, COUNT(*) AS NUM_REG, SUM(IF(TRIM(CAST(X."&amp;F109&amp;" AS STRING))='' OR TRIM(CAST(X."&amp;F109&amp;" AS STRING)) IS NULL OR CAST(X."&amp;F109&amp;" AS STRING) NOT "&amp;H109&amp;",1,0)) AS NUM_REG_DIF,'"&amp;MAX('ID1&amp;5'!K:K)+1&amp;"' AS ID_EXEC, CURRENT_TIMESTAMP() AS TIME_EXEC FROM "&amp;I109,"SELECT '"&amp;UPPER(B109)&amp;"' AS TABELA, '"&amp;UPPER(C109)&amp;"' AS TIPOLOGIA_TESTE,'"&amp;D109&amp;"' AS TABELA_LT,'N/A' AS TABELA_SIMUL,'"&amp;F109&amp;"' AS CAMPO, "&amp;"'${ref_date}' AS REF_DATE, COUNT(*) AS NUM_REG, SUM(IF(TRIM(CAST(X."&amp;F109&amp;" AS STRING))='' OR TRIM(CAST(X."&amp;F109&amp;" AS STRING)) IS NULL,1,0)) AS NUM_REG_DIF,'"&amp;MAX('ID1&amp;5'!K:K)+1&amp;"' AS ID_EXEC, CURRENT_TIMESTAMP() AS TIME_EXEC FROM "&amp;I109),
IF(C109="Caracteres Especiais",+"SELECT '"&amp;UPPER(B109)&amp;"' AS TABELA, '"&amp;UPPER(C109)&amp;"' AS TIPOLOGIA_TESTE,'"&amp;D109&amp;"' AS TABELA_LT,'N/A' AS TABELA_SIMUL,'"&amp;F109&amp;"' AS CAMPO, "&amp;"'${ref_date}' AS REF_DATE, COUNT(*) AS NUM_REG, SUM(IF(REGEXP_REPLACE(TRIM(CAST(X."&amp;F109&amp;" AS STRING)),'[^a-zA-Z0-9_\\s]','') &lt;&gt;TRIM(CAST(X."&amp;F109&amp;" AS STRING)),1,0)) AS NUM_REG_DIF,'"&amp;MAX('ID1&amp;5'!K:K)+1&amp;"' AS ID_EXEC, CURRENT_TIMESTAMP() AS TIME_EXEC FROM "&amp;I109,
IF(C109="Missings",+"SELECT '"&amp;UPPER(B109)&amp;"' AS TABELA, '"&amp;UPPER(C109)&amp;"' AS TIPOLOGIA_TESTE,'"&amp;D109&amp;"' AS TABELA_LT,'N/A' AS TABELA_SIMUL,'"&amp;F109&amp;"' AS CAMPO, "&amp;"'${ref_date}' AS REF_DATE, COUNT(*) AS NUM_REG, SUM(IF(TRIM(CAST(X."&amp;F109&amp;" AS STRING)) IN ('0000-00-00','0001-01-01','9999-12-31','MISS','00000','99999999999','99999999999.00','99999999999.000000'),1,0)) AS NUM_REG_DIF,'"&amp;MAX('ID1&amp;5'!K:K)+1&amp;"' AS ID_EXEC, CURRENT_TIMESTAMP() AS TIME_EXEC FROM "&amp;I109,
IF(C109="Not applicable",+"SELECT '"&amp;UPPER(B109)&amp;"' AS TABELA, '"&amp;UPPER(C109)&amp;"' AS TIPOLOGIA_TESTE,'"&amp;D109&amp;"' AS TABELA_LT,'N/A' AS TABELA_SIMUL,'"&amp;F109&amp;"' AS CAMPO, "&amp;"'${ref_date}' AS REF_DATE, COUNT(*) AS NUM_REG, SUM(IF(TRIM(CAST(X."&amp;F109&amp;" AS STRING)) IN ('N/A','11111111111','11111111111.00','11111111111.000000','1111-11-11'),1,0)) AS NUM_REG_DIF,'"&amp;MAX('ID1&amp;5'!K:K)+1&amp;"' AS ID_EXEC, CURRENT_TIMESTAMP() AS TIME_EXEC FROM "&amp;I109,
IF(C109="Valores extremos",+"SELECT '"&amp;UPPER(B109)&amp;"' AS TABELA, '"&amp;UPPER(C109)&amp;"' AS TIPOLOGIA_TESTE,'"&amp;D109&amp;"' AS TABELA_LT,'N/A' AS TABELA_SIMUL,'"&amp;F109&amp;"' AS CAMPO, "&amp;"'${ref_date}' AS REF_DATE, CAST(MIN("&amp;F109&amp;") AS STRING) AS VALOR_MIN, CAST(MAX("&amp;F109&amp;") AS STRING) AS VALOR_MAX,'"&amp;MAX('ID1&amp;5'!K:K)+1&amp;"' AS ID_EXEC, CURRENT_TIMESTAMP() AS TIME_EXEC FROM "&amp;MID(I109,1,LEN(I109)-2)&amp;" AND CAST("&amp;F109&amp;"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TABELA_SIMUL,'typ_instrmnt' AS CAMPO, '${ref_date}' AS REF_DATE, COUNT(*) AS NUM_REG, SUM(IF(COALESCE(CAST(X.typ_instrmnt AS STRING),'')&lt;&gt;COALESCE(CAST(Y.typ_instrmnt_SIMUL AS STRING),'') OR (X.typ_instrmnt IS NULL AND Y.typ_instrmnt_SIMUL IS NOT NULL ) OR (X.typ_instrmnt IS NOT NULL AND Y.typ_instrmnt_SIMUL IS NULL),1,0)) AS NUM_REG_DIF,'1' AS ID_EXEC, CURRENT_TIMESTAMP() AS TIME_EXEC FROM (SELECT instrmnt_id, typ_instrmnt FROM BU_LOANTAPE_WORK.LT002_INSTRUMENT WHERE ref_date='${ref_date}' AND nome_perimetro='Individual Local' AND segmento='ESTR' AND ambito='SRB_MBDT' AND entidade='00100')X INNER JOIN (SELECT instrmnt_id AS instrmnt_id_SIMUL, typ_instrmnt AS typ_instrmnt_SIMUL FROM BU_LOANTAPE_WORK.SIMUL_LT002_INSTRUMENT WHERE ref_date='${ref_date}' AND nome_perimetro='Individual Local' AND segmento='ESTR' AND ambito='PILAR3' AND entidade='00100')Y ON X.INSTRMNT_ID=Y.INSTRMNT_ID_SIMUL</v>
      </c>
      <c r="M109" s="36" t="str">
        <f t="shared" si="4"/>
        <v>UNION ALL SELECT 'INSTRUMENT' AS TABELA, 'COERÊNCIA' AS TIPOLOGIA_TESTE,'BU_LOANTAPE_WORK.LT002_INSTRUMENT' AS TABELA_LT,'BU_LOANTAPE_WORK.SIMUL_LT002_INSTRUMENT' AS TABELA_SIMUL,'typ_instrmnt' AS CAMPO, '${ref_date}' AS REF_DATE, COUNT(*) AS NUM_REG, SUM(IF(COALESCE(CAST(X.typ_instrmnt AS STRING),'')&lt;&gt;COALESCE(CAST(Y.typ_instrmnt_SIMUL AS STRING),'') OR (X.typ_instrmnt IS NULL AND Y.typ_instrmnt_SIMUL IS NOT NULL ) OR (X.typ_instrmnt IS NOT NULL AND Y.typ_instrmnt_SIMUL IS NULL),1,0)) AS NUM_REG_DIF,'1' AS ID_EXEC, CURRENT_TIMESTAMP() AS TIME_EXEC FROM (SELECT instrmnt_id, typ_instrmnt FROM BU_LOANTAPE_WORK.LT002_INSTRUMENT WHERE ref_date='${ref_date}' AND nome_perimetro='Individual Local' AND segmento='ESTR' AND ambito='SRB_MBDT' AND entidade='00100')X INNER JOIN (SELECT instrmnt_id AS instrmnt_id_SIMUL, typ_instrmnt AS typ_instrmnt_SIMUL FROM BU_LOANTAPE_WORK.SIMUL_LT002_INSTRUMENT WHERE ref_date='${ref_date}' AND nome_perimetro='Individual Local' AND segmento='ESTR' AND ambito='PILAR3' AND entidade='00100')Y ON X.INSTRMNT_ID=Y.INSTRMNT_ID_SIMUL</v>
      </c>
      <c r="N109" s="38"/>
    </row>
    <row r="110" spans="2:14">
      <c r="B110" s="34" t="s">
        <v>117</v>
      </c>
      <c r="C110" s="34" t="s">
        <v>5</v>
      </c>
      <c r="D110" s="34" t="str">
        <f>+UPPER('0. Instruções'!$D$35&amp;"."&amp;VLOOKUP(B110,'0. Instruções'!$C$27:$D$32,2,FALSE))</f>
        <v>BU_LOANTAPE_WORK.LT002_INSTRUMENT</v>
      </c>
      <c r="E110" s="34" t="str">
        <f>+UPPER('0. Instruções'!$D$36&amp;"."&amp;VLOOKUP(B110,'0. Instruções'!$C$27:$E$32,3,FALSE))</f>
        <v>BU_LOANTAPE_WORK.SIMUL_LT002_INSTRUMENT</v>
      </c>
      <c r="F110" s="34" t="s">
        <v>1184</v>
      </c>
      <c r="G110" s="34"/>
      <c r="H110" s="34"/>
      <c r="I110" s="34" t="str">
        <f>"(SELECT "&amp;VLOOKUP(B110,'0. Instruções'!$C$27:$G$32,4,FALSE)&amp;", "&amp;F110&amp;" FROM "&amp;D110&amp;" WHERE "&amp;'0. Instruções'!$D$42&amp;")X"</f>
        <v>(SELECT instrmnt_id, typ_intrst_rt FROM BU_LOANTAPE_WORK.LT002_INSTRUMENT WHERE ref_date='${ref_date}' AND nome_perimetro='Individual Local' AND segmento='ESTR' AND ambito='SRB_MBDT' AND entidade='00100')X</v>
      </c>
      <c r="J110" s="34" t="str">
        <f>"(SELECT "&amp;VLOOKUP(B110,'0. Instruções'!$C$27:$G$32,4,FALSE)&amp;" AS "&amp;VLOOKUP(B110,'0. Instruções'!$C$27:$G$32,4,FALSE)&amp;"_SIMUL, "&amp;F110&amp;" AS "&amp;F110&amp;"_SIMUL FROM "&amp;E110&amp;" WHERE "&amp;'0. Instruções'!$D$43&amp;")Y"</f>
        <v>(SELECT instrmnt_id AS instrmnt_id_SIMUL, typ_intrst_rt AS typ_intrst_rt_SIMUL FROM BU_LOANTAPE_WORK.SIMUL_LT002_INSTRUMENT WHERE ref_date='${ref_date}' AND nome_perimetro='Individual Local' AND segmento='ESTR' AND ambito='PILAR3' AND entidade='00100')Y</v>
      </c>
      <c r="K110" s="35" t="str">
        <f>+UPPER("ON X."&amp;VLOOKUP(B110,'0. Instruções'!$C$27:$G$32,4,FALSE)&amp;"=Y."&amp;VLOOKUP(B110,'0. Instruções'!$C$27:$G$32,4,FALSE)&amp;"_SIMUL")</f>
        <v>ON X.INSTRMNT_ID=Y.INSTRMNT_ID_SIMUL</v>
      </c>
      <c r="L110" s="35" t="str">
        <f>+IF(C110="Coerência", +IF(LEFT(G110,5)="FLOAT","SELECT '"&amp;UPPER(B110)&amp;"' AS TABELA, '"&amp;UPPER(C110)&amp;"' AS TIPOLOGIA_TESTE,'"&amp;D110&amp;"' AS TABELA_LT,'"&amp;E110&amp;"' AS TABELA_SIMUL,'"&amp;F110&amp;"' AS CAMPO, "&amp;"'${ref_date}' AS REF_DATE, COUNT(*) AS NUM_REG, SUM(IF((ABS(COALESCE(CAST(X."&amp;F110&amp;" AS DECIMAL(18,6)),0)-COALESCE(CAST(Y."&amp;F110&amp;"_SIMUL AS DECIMAL(18,6)),0))&gt;0.000001) OR (X."&amp;F110&amp;" IS NULL AND Y."&amp;F110&amp;"_SIMUL IS NOT NULL ) OR (X."&amp;F110&amp;" IS NOT NULL AND Y."&amp;F110&amp;"_SIMUL IS NULL),1,0)) AS NUM_REG_DIF,'"&amp;MAX('ID1&amp;5'!K:K)+1&amp;"' AS ID_EXEC, CURRENT_TIMESTAMP() AS TIME_EXEC FROM "&amp;I110&amp;" INNER JOIN "&amp;J110&amp;" "&amp;K110,"SELECT '"&amp;UPPER(B110)&amp;"' AS TABELA, '"&amp;UPPER(C110)&amp;"' AS TIPOLOGIA_TESTE,'"&amp;D110&amp;"' AS TABELA_LT,'"&amp;E110&amp;"' AS TABELA_SIMUL,'"&amp;F110&amp;"' AS CAMPO, "&amp;"'${ref_date}' AS REF_DATE, COUNT(*) AS NUM_REG, SUM(IF(COALESCE(CAST(X."&amp;F110&amp;" AS STRING),'')&lt;&gt;COALESCE(CAST(Y."&amp;F110&amp;"_SIMUL AS STRING),'') OR (X."&amp;F110&amp;" IS NULL AND Y."&amp;F110&amp;"_SIMUL IS NOT NULL ) OR (X."&amp;F110&amp;" IS NOT NULL AND Y."&amp;F110&amp;"_SIMUL IS NULL),1,0)) AS NUM_REG_DIF,'"&amp;MAX('ID1&amp;5'!L:L)+1&amp;"' AS ID_EXEC, CURRENT_TIMESTAMP() AS TIME_EXEC FROM "&amp;I110&amp;" INNER JOIN "&amp;J110&amp;" "&amp;K110),
IF(C110="Validade",+IF(G110="Code List","SELECT '"&amp;UPPER(B110)&amp;"' AS TABELA, '"&amp;UPPER(C110)&amp;"' AS TIPOLOGIA_TESTE,'"&amp;D110&amp;"' AS TABELA_LT,'N/A' AS TABELA_SIMUL,'"&amp;F110&amp;"' AS CAMPO, "&amp;"'${ref_date}' AS REF_DATE, COUNT(*) AS NUM_REG, SUM(IF(TRIM(CAST(X."&amp;F110&amp;" AS STRING))='' OR TRIM(CAST(X."&amp;F110&amp;" AS STRING)) IS NULL OR CAST(X."&amp;F110&amp;" AS STRING) NOT "&amp;H110&amp;",1,0)) AS NUM_REG_DIF,'"&amp;MAX('ID1&amp;5'!K:K)+1&amp;"' AS ID_EXEC, CURRENT_TIMESTAMP() AS TIME_EXEC FROM "&amp;I110,"SELECT '"&amp;UPPER(B110)&amp;"' AS TABELA, '"&amp;UPPER(C110)&amp;"' AS TIPOLOGIA_TESTE,'"&amp;D110&amp;"' AS TABELA_LT,'N/A' AS TABELA_SIMUL,'"&amp;F110&amp;"' AS CAMPO, "&amp;"'${ref_date}' AS REF_DATE, COUNT(*) AS NUM_REG, SUM(IF(TRIM(CAST(X."&amp;F110&amp;" AS STRING))='' OR TRIM(CAST(X."&amp;F110&amp;" AS STRING)) IS NULL,1,0)) AS NUM_REG_DIF,'"&amp;MAX('ID1&amp;5'!K:K)+1&amp;"' AS ID_EXEC, CURRENT_TIMESTAMP() AS TIME_EXEC FROM "&amp;I110),
IF(C110="Caracteres Especiais",+"SELECT '"&amp;UPPER(B110)&amp;"' AS TABELA, '"&amp;UPPER(C110)&amp;"' AS TIPOLOGIA_TESTE,'"&amp;D110&amp;"' AS TABELA_LT,'N/A' AS TABELA_SIMUL,'"&amp;F110&amp;"' AS CAMPO, "&amp;"'${ref_date}' AS REF_DATE, COUNT(*) AS NUM_REG, SUM(IF(REGEXP_REPLACE(TRIM(CAST(X."&amp;F110&amp;" AS STRING)),'[^a-zA-Z0-9_\\s]','') &lt;&gt;TRIM(CAST(X."&amp;F110&amp;" AS STRING)),1,0)) AS NUM_REG_DIF,'"&amp;MAX('ID1&amp;5'!K:K)+1&amp;"' AS ID_EXEC, CURRENT_TIMESTAMP() AS TIME_EXEC FROM "&amp;I110,
IF(C110="Missings",+"SELECT '"&amp;UPPER(B110)&amp;"' AS TABELA, '"&amp;UPPER(C110)&amp;"' AS TIPOLOGIA_TESTE,'"&amp;D110&amp;"' AS TABELA_LT,'N/A' AS TABELA_SIMUL,'"&amp;F110&amp;"' AS CAMPO, "&amp;"'${ref_date}' AS REF_DATE, COUNT(*) AS NUM_REG, SUM(IF(TRIM(CAST(X."&amp;F110&amp;" AS STRING)) IN ('0000-00-00','0001-01-01','9999-12-31','MISS','00000','99999999999','99999999999.00','99999999999.000000'),1,0)) AS NUM_REG_DIF,'"&amp;MAX('ID1&amp;5'!K:K)+1&amp;"' AS ID_EXEC, CURRENT_TIMESTAMP() AS TIME_EXEC FROM "&amp;I110,
IF(C110="Not applicable",+"SELECT '"&amp;UPPER(B110)&amp;"' AS TABELA, '"&amp;UPPER(C110)&amp;"' AS TIPOLOGIA_TESTE,'"&amp;D110&amp;"' AS TABELA_LT,'N/A' AS TABELA_SIMUL,'"&amp;F110&amp;"' AS CAMPO, "&amp;"'${ref_date}' AS REF_DATE, COUNT(*) AS NUM_REG, SUM(IF(TRIM(CAST(X."&amp;F110&amp;" AS STRING)) IN ('N/A','11111111111','11111111111.00','11111111111.000000','1111-11-11'),1,0)) AS NUM_REG_DIF,'"&amp;MAX('ID1&amp;5'!K:K)+1&amp;"' AS ID_EXEC, CURRENT_TIMESTAMP() AS TIME_EXEC FROM "&amp;I110,
IF(C110="Valores extremos",+"SELECT '"&amp;UPPER(B110)&amp;"' AS TABELA, '"&amp;UPPER(C110)&amp;"' AS TIPOLOGIA_TESTE,'"&amp;D110&amp;"' AS TABELA_LT,'N/A' AS TABELA_SIMUL,'"&amp;F110&amp;"' AS CAMPO, "&amp;"'${ref_date}' AS REF_DATE, CAST(MIN("&amp;F110&amp;") AS STRING) AS VALOR_MIN, CAST(MAX("&amp;F110&amp;") AS STRING) AS VALOR_MAX,'"&amp;MAX('ID1&amp;5'!K:K)+1&amp;"' AS ID_EXEC, CURRENT_TIMESTAMP() AS TIME_EXEC FROM "&amp;MID(I110,1,LEN(I110)-2)&amp;" AND CAST("&amp;F110&amp;"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TABELA_SIMUL,'typ_intrst_rt' AS CAMPO, '${ref_date}' AS REF_DATE, COUNT(*) AS NUM_REG, SUM(IF(COALESCE(CAST(X.typ_intrst_rt AS STRING),'')&lt;&gt;COALESCE(CAST(Y.typ_intrst_rt_SIMUL AS STRING),'') OR (X.typ_intrst_rt IS NULL AND Y.typ_intrst_rt_SIMUL IS NOT NULL ) OR (X.typ_intrst_rt IS NOT NULL AND Y.typ_intrst_rt_SIMUL IS NULL),1,0)) AS NUM_REG_DIF,'1' AS ID_EXEC, CURRENT_TIMESTAMP() AS TIME_EXEC FROM (SELECT instrmnt_id, typ_intrst_rt FROM BU_LOANTAPE_WORK.LT002_INSTRUMENT WHERE ref_date='${ref_date}' AND nome_perimetro='Individual Local' AND segmento='ESTR' AND ambito='SRB_MBDT' AND entidade='00100')X INNER JOIN (SELECT instrmnt_id AS instrmnt_id_SIMUL, typ_intrst_rt AS typ_intrst_rt_SIMUL FROM BU_LOANTAPE_WORK.SIMUL_LT002_INSTRUMENT WHERE ref_date='${ref_date}' AND nome_perimetro='Individual Local' AND segmento='ESTR' AND ambito='PILAR3' AND entidade='00100')Y ON X.INSTRMNT_ID=Y.INSTRMNT_ID_SIMUL</v>
      </c>
      <c r="M110" s="36" t="str">
        <f t="shared" si="4"/>
        <v>UNION ALL SELECT 'INSTRUMENT' AS TABELA, 'COERÊNCIA' AS TIPOLOGIA_TESTE,'BU_LOANTAPE_WORK.LT002_INSTRUMENT' AS TABELA_LT,'BU_LOANTAPE_WORK.SIMUL_LT002_INSTRUMENT' AS TABELA_SIMUL,'typ_intrst_rt' AS CAMPO, '${ref_date}' AS REF_DATE, COUNT(*) AS NUM_REG, SUM(IF(COALESCE(CAST(X.typ_intrst_rt AS STRING),'')&lt;&gt;COALESCE(CAST(Y.typ_intrst_rt_SIMUL AS STRING),'') OR (X.typ_intrst_rt IS NULL AND Y.typ_intrst_rt_SIMUL IS NOT NULL ) OR (X.typ_intrst_rt IS NOT NULL AND Y.typ_intrst_rt_SIMUL IS NULL),1,0)) AS NUM_REG_DIF,'1' AS ID_EXEC, CURRENT_TIMESTAMP() AS TIME_EXEC FROM (SELECT instrmnt_id, typ_intrst_rt FROM BU_LOANTAPE_WORK.LT002_INSTRUMENT WHERE ref_date='${ref_date}' AND nome_perimetro='Individual Local' AND segmento='ESTR' AND ambito='SRB_MBDT' AND entidade='00100')X INNER JOIN (SELECT instrmnt_id AS instrmnt_id_SIMUL, typ_intrst_rt AS typ_intrst_rt_SIMUL FROM BU_LOANTAPE_WORK.SIMUL_LT002_INSTRUMENT WHERE ref_date='${ref_date}' AND nome_perimetro='Individual Local' AND segmento='ESTR' AND ambito='PILAR3' AND entidade='00100')Y ON X.INSTRMNT_ID=Y.INSTRMNT_ID_SIMUL</v>
      </c>
      <c r="N110" s="38"/>
    </row>
    <row r="111" spans="2:14">
      <c r="B111" s="34" t="s">
        <v>117</v>
      </c>
      <c r="C111" s="34" t="s">
        <v>5</v>
      </c>
      <c r="D111" s="34" t="str">
        <f>+UPPER('0. Instruções'!$D$35&amp;"."&amp;VLOOKUP(B111,'0. Instruções'!$C$27:$D$32,2,FALSE))</f>
        <v>BU_LOANTAPE_WORK.LT002_INSTRUMENT</v>
      </c>
      <c r="E111" s="34" t="str">
        <f>+UPPER('0. Instruções'!$D$36&amp;"."&amp;VLOOKUP(B111,'0. Instruções'!$C$27:$E$32,3,FALSE))</f>
        <v>BU_LOANTAPE_WORK.SIMUL_LT002_INSTRUMENT</v>
      </c>
      <c r="F111" s="34" t="s">
        <v>1185</v>
      </c>
      <c r="G111" s="34"/>
      <c r="H111" s="34"/>
      <c r="I111" s="34" t="str">
        <f>"(SELECT "&amp;VLOOKUP(B111,'0. Instruções'!$C$27:$G$32,4,FALSE)&amp;", "&amp;F111&amp;" FROM "&amp;D111&amp;" WHERE "&amp;'0. Instruções'!$D$42&amp;")X"</f>
        <v>(SELECT instrmnt_id, typ_mrtgg FROM BU_LOANTAPE_WORK.LT002_INSTRUMENT WHERE ref_date='${ref_date}' AND nome_perimetro='Individual Local' AND segmento='ESTR' AND ambito='SRB_MBDT' AND entidade='00100')X</v>
      </c>
      <c r="J111" s="34" t="str">
        <f>"(SELECT "&amp;VLOOKUP(B111,'0. Instruções'!$C$27:$G$32,4,FALSE)&amp;" AS "&amp;VLOOKUP(B111,'0. Instruções'!$C$27:$G$32,4,FALSE)&amp;"_SIMUL, "&amp;F111&amp;" AS "&amp;F111&amp;"_SIMUL FROM "&amp;E111&amp;" WHERE "&amp;'0. Instruções'!$D$43&amp;")Y"</f>
        <v>(SELECT instrmnt_id AS instrmnt_id_SIMUL, typ_mrtgg AS typ_mrtgg_SIMUL FROM BU_LOANTAPE_WORK.SIMUL_LT002_INSTRUMENT WHERE ref_date='${ref_date}' AND nome_perimetro='Individual Local' AND segmento='ESTR' AND ambito='PILAR3' AND entidade='00100')Y</v>
      </c>
      <c r="K111" s="35" t="str">
        <f>+UPPER("ON X."&amp;VLOOKUP(B111,'0. Instruções'!$C$27:$G$32,4,FALSE)&amp;"=Y."&amp;VLOOKUP(B111,'0. Instruções'!$C$27:$G$32,4,FALSE)&amp;"_SIMUL")</f>
        <v>ON X.INSTRMNT_ID=Y.INSTRMNT_ID_SIMUL</v>
      </c>
      <c r="L111" s="35" t="str">
        <f>+IF(C111="Coerência", +IF(LEFT(G111,5)="FLOAT","SELECT '"&amp;UPPER(B111)&amp;"' AS TABELA, '"&amp;UPPER(C111)&amp;"' AS TIPOLOGIA_TESTE,'"&amp;D111&amp;"' AS TABELA_LT,'"&amp;E111&amp;"' AS TABELA_SIMUL,'"&amp;F111&amp;"' AS CAMPO, "&amp;"'${ref_date}' AS REF_DATE, COUNT(*) AS NUM_REG, SUM(IF((ABS(COALESCE(CAST(X."&amp;F111&amp;" AS DECIMAL(18,6)),0)-COALESCE(CAST(Y."&amp;F111&amp;"_SIMUL AS DECIMAL(18,6)),0))&gt;0.000001) OR (X."&amp;F111&amp;" IS NULL AND Y."&amp;F111&amp;"_SIMUL IS NOT NULL ) OR (X."&amp;F111&amp;" IS NOT NULL AND Y."&amp;F111&amp;"_SIMUL IS NULL),1,0)) AS NUM_REG_DIF,'"&amp;MAX('ID1&amp;5'!K:K)+1&amp;"' AS ID_EXEC, CURRENT_TIMESTAMP() AS TIME_EXEC FROM "&amp;I111&amp;" INNER JOIN "&amp;J111&amp;" "&amp;K111,"SELECT '"&amp;UPPER(B111)&amp;"' AS TABELA, '"&amp;UPPER(C111)&amp;"' AS TIPOLOGIA_TESTE,'"&amp;D111&amp;"' AS TABELA_LT,'"&amp;E111&amp;"' AS TABELA_SIMUL,'"&amp;F111&amp;"' AS CAMPO, "&amp;"'${ref_date}' AS REF_DATE, COUNT(*) AS NUM_REG, SUM(IF(COALESCE(CAST(X."&amp;F111&amp;" AS STRING),'')&lt;&gt;COALESCE(CAST(Y."&amp;F111&amp;"_SIMUL AS STRING),'') OR (X."&amp;F111&amp;" IS NULL AND Y."&amp;F111&amp;"_SIMUL IS NOT NULL ) OR (X."&amp;F111&amp;" IS NOT NULL AND Y."&amp;F111&amp;"_SIMUL IS NULL),1,0)) AS NUM_REG_DIF,'"&amp;MAX('ID1&amp;5'!L:L)+1&amp;"' AS ID_EXEC, CURRENT_TIMESTAMP() AS TIME_EXEC FROM "&amp;I111&amp;" INNER JOIN "&amp;J111&amp;" "&amp;K111),
IF(C111="Validade",+IF(G111="Code List","SELECT '"&amp;UPPER(B111)&amp;"' AS TABELA, '"&amp;UPPER(C111)&amp;"' AS TIPOLOGIA_TESTE,'"&amp;D111&amp;"' AS TABELA_LT,'N/A' AS TABELA_SIMUL,'"&amp;F111&amp;"' AS CAMPO, "&amp;"'${ref_date}' AS REF_DATE, COUNT(*) AS NUM_REG, SUM(IF(TRIM(CAST(X."&amp;F111&amp;" AS STRING))='' OR TRIM(CAST(X."&amp;F111&amp;" AS STRING)) IS NULL OR CAST(X."&amp;F111&amp;" AS STRING) NOT "&amp;H111&amp;",1,0)) AS NUM_REG_DIF,'"&amp;MAX('ID1&amp;5'!K:K)+1&amp;"' AS ID_EXEC, CURRENT_TIMESTAMP() AS TIME_EXEC FROM "&amp;I111,"SELECT '"&amp;UPPER(B111)&amp;"' AS TABELA, '"&amp;UPPER(C111)&amp;"' AS TIPOLOGIA_TESTE,'"&amp;D111&amp;"' AS TABELA_LT,'N/A' AS TABELA_SIMUL,'"&amp;F111&amp;"' AS CAMPO, "&amp;"'${ref_date}' AS REF_DATE, COUNT(*) AS NUM_REG, SUM(IF(TRIM(CAST(X."&amp;F111&amp;" AS STRING))='' OR TRIM(CAST(X."&amp;F111&amp;" AS STRING)) IS NULL,1,0)) AS NUM_REG_DIF,'"&amp;MAX('ID1&amp;5'!K:K)+1&amp;"' AS ID_EXEC, CURRENT_TIMESTAMP() AS TIME_EXEC FROM "&amp;I111),
IF(C111="Caracteres Especiais",+"SELECT '"&amp;UPPER(B111)&amp;"' AS TABELA, '"&amp;UPPER(C111)&amp;"' AS TIPOLOGIA_TESTE,'"&amp;D111&amp;"' AS TABELA_LT,'N/A' AS TABELA_SIMUL,'"&amp;F111&amp;"' AS CAMPO, "&amp;"'${ref_date}' AS REF_DATE, COUNT(*) AS NUM_REG, SUM(IF(REGEXP_REPLACE(TRIM(CAST(X."&amp;F111&amp;" AS STRING)),'[^a-zA-Z0-9_\\s]','') &lt;&gt;TRIM(CAST(X."&amp;F111&amp;" AS STRING)),1,0)) AS NUM_REG_DIF,'"&amp;MAX('ID1&amp;5'!K:K)+1&amp;"' AS ID_EXEC, CURRENT_TIMESTAMP() AS TIME_EXEC FROM "&amp;I111,
IF(C111="Missings",+"SELECT '"&amp;UPPER(B111)&amp;"' AS TABELA, '"&amp;UPPER(C111)&amp;"' AS TIPOLOGIA_TESTE,'"&amp;D111&amp;"' AS TABELA_LT,'N/A' AS TABELA_SIMUL,'"&amp;F111&amp;"' AS CAMPO, "&amp;"'${ref_date}' AS REF_DATE, COUNT(*) AS NUM_REG, SUM(IF(TRIM(CAST(X."&amp;F111&amp;" AS STRING)) IN ('0000-00-00','0001-01-01','9999-12-31','MISS','00000','99999999999','99999999999.00','99999999999.000000'),1,0)) AS NUM_REG_DIF,'"&amp;MAX('ID1&amp;5'!K:K)+1&amp;"' AS ID_EXEC, CURRENT_TIMESTAMP() AS TIME_EXEC FROM "&amp;I111,
IF(C111="Not applicable",+"SELECT '"&amp;UPPER(B111)&amp;"' AS TABELA, '"&amp;UPPER(C111)&amp;"' AS TIPOLOGIA_TESTE,'"&amp;D111&amp;"' AS TABELA_LT,'N/A' AS TABELA_SIMUL,'"&amp;F111&amp;"' AS CAMPO, "&amp;"'${ref_date}' AS REF_DATE, COUNT(*) AS NUM_REG, SUM(IF(TRIM(CAST(X."&amp;F111&amp;" AS STRING)) IN ('N/A','11111111111','11111111111.00','11111111111.000000','1111-11-11'),1,0)) AS NUM_REG_DIF,'"&amp;MAX('ID1&amp;5'!K:K)+1&amp;"' AS ID_EXEC, CURRENT_TIMESTAMP() AS TIME_EXEC FROM "&amp;I111,
IF(C111="Valores extremos",+"SELECT '"&amp;UPPER(B111)&amp;"' AS TABELA, '"&amp;UPPER(C111)&amp;"' AS TIPOLOGIA_TESTE,'"&amp;D111&amp;"' AS TABELA_LT,'N/A' AS TABELA_SIMUL,'"&amp;F111&amp;"' AS CAMPO, "&amp;"'${ref_date}' AS REF_DATE, CAST(MIN("&amp;F111&amp;") AS STRING) AS VALOR_MIN, CAST(MAX("&amp;F111&amp;") AS STRING) AS VALOR_MAX,'"&amp;MAX('ID1&amp;5'!K:K)+1&amp;"' AS ID_EXEC, CURRENT_TIMESTAMP() AS TIME_EXEC FROM "&amp;MID(I111,1,LEN(I111)-2)&amp;" AND CAST("&amp;F111&amp;"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TABELA_SIMUL,'typ_mrtgg' AS CAMPO, '${ref_date}' AS REF_DATE, COUNT(*) AS NUM_REG, SUM(IF(COALESCE(CAST(X.typ_mrtgg AS STRING),'')&lt;&gt;COALESCE(CAST(Y.typ_mrtgg_SIMUL AS STRING),'') OR (X.typ_mrtgg IS NULL AND Y.typ_mrtgg_SIMUL IS NOT NULL ) OR (X.typ_mrtgg IS NOT NULL AND Y.typ_mrtgg_SIMUL IS NULL),1,0)) AS NUM_REG_DIF,'1' AS ID_EXEC, CURRENT_TIMESTAMP() AS TIME_EXEC FROM (SELECT instrmnt_id, typ_mrtgg FROM BU_LOANTAPE_WORK.LT002_INSTRUMENT WHERE ref_date='${ref_date}' AND nome_perimetro='Individual Local' AND segmento='ESTR' AND ambito='SRB_MBDT' AND entidade='00100')X INNER JOIN (SELECT instrmnt_id AS instrmnt_id_SIMUL, typ_mrtgg AS typ_mrtgg_SIMUL FROM BU_LOANTAPE_WORK.SIMUL_LT002_INSTRUMENT WHERE ref_date='${ref_date}' AND nome_perimetro='Individual Local' AND segmento='ESTR' AND ambito='PILAR3' AND entidade='00100')Y ON X.INSTRMNT_ID=Y.INSTRMNT_ID_SIMUL</v>
      </c>
      <c r="M111" s="36" t="str">
        <f t="shared" si="4"/>
        <v>UNION ALL SELECT 'INSTRUMENT' AS TABELA, 'COERÊNCIA' AS TIPOLOGIA_TESTE,'BU_LOANTAPE_WORK.LT002_INSTRUMENT' AS TABELA_LT,'BU_LOANTAPE_WORK.SIMUL_LT002_INSTRUMENT' AS TABELA_SIMUL,'typ_mrtgg' AS CAMPO, '${ref_date}' AS REF_DATE, COUNT(*) AS NUM_REG, SUM(IF(COALESCE(CAST(X.typ_mrtgg AS STRING),'')&lt;&gt;COALESCE(CAST(Y.typ_mrtgg_SIMUL AS STRING),'') OR (X.typ_mrtgg IS NULL AND Y.typ_mrtgg_SIMUL IS NOT NULL ) OR (X.typ_mrtgg IS NOT NULL AND Y.typ_mrtgg_SIMUL IS NULL),1,0)) AS NUM_REG_DIF,'1' AS ID_EXEC, CURRENT_TIMESTAMP() AS TIME_EXEC FROM (SELECT instrmnt_id, typ_mrtgg FROM BU_LOANTAPE_WORK.LT002_INSTRUMENT WHERE ref_date='${ref_date}' AND nome_perimetro='Individual Local' AND segmento='ESTR' AND ambito='SRB_MBDT' AND entidade='00100')X INNER JOIN (SELECT instrmnt_id AS instrmnt_id_SIMUL, typ_mrtgg AS typ_mrtgg_SIMUL FROM BU_LOANTAPE_WORK.SIMUL_LT002_INSTRUMENT WHERE ref_date='${ref_date}' AND nome_perimetro='Individual Local' AND segmento='ESTR' AND ambito='PILAR3' AND entidade='00100')Y ON X.INSTRMNT_ID=Y.INSTRMNT_ID_SIMUL</v>
      </c>
      <c r="N111" s="38"/>
    </row>
    <row r="112" spans="2:14">
      <c r="B112" s="34" t="s">
        <v>117</v>
      </c>
      <c r="C112" s="34" t="s">
        <v>5</v>
      </c>
      <c r="D112" s="34" t="str">
        <f>+UPPER('0. Instruções'!$D$35&amp;"."&amp;VLOOKUP(B112,'0. Instruções'!$C$27:$D$32,2,FALSE))</f>
        <v>BU_LOANTAPE_WORK.LT002_INSTRUMENT</v>
      </c>
      <c r="E112" s="34" t="str">
        <f>+UPPER('0. Instruções'!$D$36&amp;"."&amp;VLOOKUP(B112,'0. Instruções'!$C$27:$E$32,3,FALSE))</f>
        <v>BU_LOANTAPE_WORK.SIMUL_LT002_INSTRUMENT</v>
      </c>
      <c r="F112" s="34" t="s">
        <v>1186</v>
      </c>
      <c r="G112" s="34"/>
      <c r="H112" s="34"/>
      <c r="I112" s="34" t="str">
        <f>"(SELECT "&amp;VLOOKUP(B112,'0. Instruções'!$C$27:$G$32,4,FALSE)&amp;", "&amp;F112&amp;" FROM "&amp;D112&amp;" WHERE "&amp;'0. Instruções'!$D$42&amp;")X"</f>
        <v>(SELECT instrmnt_id, typ_cre_oprtn FROM BU_LOANTAPE_WORK.LT002_INSTRUMENT WHERE ref_date='${ref_date}' AND nome_perimetro='Individual Local' AND segmento='ESTR' AND ambito='SRB_MBDT' AND entidade='00100')X</v>
      </c>
      <c r="J112" s="34" t="str">
        <f>"(SELECT "&amp;VLOOKUP(B112,'0. Instruções'!$C$27:$G$32,4,FALSE)&amp;" AS "&amp;VLOOKUP(B112,'0. Instruções'!$C$27:$G$32,4,FALSE)&amp;"_SIMUL, "&amp;F112&amp;" AS "&amp;F112&amp;"_SIMUL FROM "&amp;E112&amp;" WHERE "&amp;'0. Instruções'!$D$43&amp;")Y"</f>
        <v>(SELECT instrmnt_id AS instrmnt_id_SIMUL, typ_cre_oprtn AS typ_cre_oprtn_SIMUL FROM BU_LOANTAPE_WORK.SIMUL_LT002_INSTRUMENT WHERE ref_date='${ref_date}' AND nome_perimetro='Individual Local' AND segmento='ESTR' AND ambito='PILAR3' AND entidade='00100')Y</v>
      </c>
      <c r="K112" s="35" t="str">
        <f>+UPPER("ON X."&amp;VLOOKUP(B112,'0. Instruções'!$C$27:$G$32,4,FALSE)&amp;"=Y."&amp;VLOOKUP(B112,'0. Instruções'!$C$27:$G$32,4,FALSE)&amp;"_SIMUL")</f>
        <v>ON X.INSTRMNT_ID=Y.INSTRMNT_ID_SIMUL</v>
      </c>
      <c r="L112" s="35" t="str">
        <f>+IF(C112="Coerência", +IF(LEFT(G112,5)="FLOAT","SELECT '"&amp;UPPER(B112)&amp;"' AS TABELA, '"&amp;UPPER(C112)&amp;"' AS TIPOLOGIA_TESTE,'"&amp;D112&amp;"' AS TABELA_LT,'"&amp;E112&amp;"' AS TABELA_SIMUL,'"&amp;F112&amp;"' AS CAMPO, "&amp;"'${ref_date}' AS REF_DATE, COUNT(*) AS NUM_REG, SUM(IF((ABS(COALESCE(CAST(X."&amp;F112&amp;" AS DECIMAL(18,6)),0)-COALESCE(CAST(Y."&amp;F112&amp;"_SIMUL AS DECIMAL(18,6)),0))&gt;0.000001) OR (X."&amp;F112&amp;" IS NULL AND Y."&amp;F112&amp;"_SIMUL IS NOT NULL ) OR (X."&amp;F112&amp;" IS NOT NULL AND Y."&amp;F112&amp;"_SIMUL IS NULL),1,0)) AS NUM_REG_DIF,'"&amp;MAX('ID1&amp;5'!K:K)+1&amp;"' AS ID_EXEC, CURRENT_TIMESTAMP() AS TIME_EXEC FROM "&amp;I112&amp;" INNER JOIN "&amp;J112&amp;" "&amp;K112,"SELECT '"&amp;UPPER(B112)&amp;"' AS TABELA, '"&amp;UPPER(C112)&amp;"' AS TIPOLOGIA_TESTE,'"&amp;D112&amp;"' AS TABELA_LT,'"&amp;E112&amp;"' AS TABELA_SIMUL,'"&amp;F112&amp;"' AS CAMPO, "&amp;"'${ref_date}' AS REF_DATE, COUNT(*) AS NUM_REG, SUM(IF(COALESCE(CAST(X."&amp;F112&amp;" AS STRING),'')&lt;&gt;COALESCE(CAST(Y."&amp;F112&amp;"_SIMUL AS STRING),'') OR (X."&amp;F112&amp;" IS NULL AND Y."&amp;F112&amp;"_SIMUL IS NOT NULL ) OR (X."&amp;F112&amp;" IS NOT NULL AND Y."&amp;F112&amp;"_SIMUL IS NULL),1,0)) AS NUM_REG_DIF,'"&amp;MAX('ID1&amp;5'!L:L)+1&amp;"' AS ID_EXEC, CURRENT_TIMESTAMP() AS TIME_EXEC FROM "&amp;I112&amp;" INNER JOIN "&amp;J112&amp;" "&amp;K112),
IF(C112="Validade",+IF(G112="Code List","SELECT '"&amp;UPPER(B112)&amp;"' AS TABELA, '"&amp;UPPER(C112)&amp;"' AS TIPOLOGIA_TESTE,'"&amp;D112&amp;"' AS TABELA_LT,'N/A' AS TABELA_SIMUL,'"&amp;F112&amp;"' AS CAMPO, "&amp;"'${ref_date}' AS REF_DATE, COUNT(*) AS NUM_REG, SUM(IF(TRIM(CAST(X."&amp;F112&amp;" AS STRING))='' OR TRIM(CAST(X."&amp;F112&amp;" AS STRING)) IS NULL OR CAST(X."&amp;F112&amp;" AS STRING) NOT "&amp;H112&amp;",1,0)) AS NUM_REG_DIF,'"&amp;MAX('ID1&amp;5'!K:K)+1&amp;"' AS ID_EXEC, CURRENT_TIMESTAMP() AS TIME_EXEC FROM "&amp;I112,"SELECT '"&amp;UPPER(B112)&amp;"' AS TABELA, '"&amp;UPPER(C112)&amp;"' AS TIPOLOGIA_TESTE,'"&amp;D112&amp;"' AS TABELA_LT,'N/A' AS TABELA_SIMUL,'"&amp;F112&amp;"' AS CAMPO, "&amp;"'${ref_date}' AS REF_DATE, COUNT(*) AS NUM_REG, SUM(IF(TRIM(CAST(X."&amp;F112&amp;" AS STRING))='' OR TRIM(CAST(X."&amp;F112&amp;" AS STRING)) IS NULL,1,0)) AS NUM_REG_DIF,'"&amp;MAX('ID1&amp;5'!K:K)+1&amp;"' AS ID_EXEC, CURRENT_TIMESTAMP() AS TIME_EXEC FROM "&amp;I112),
IF(C112="Caracteres Especiais",+"SELECT '"&amp;UPPER(B112)&amp;"' AS TABELA, '"&amp;UPPER(C112)&amp;"' AS TIPOLOGIA_TESTE,'"&amp;D112&amp;"' AS TABELA_LT,'N/A' AS TABELA_SIMUL,'"&amp;F112&amp;"' AS CAMPO, "&amp;"'${ref_date}' AS REF_DATE, COUNT(*) AS NUM_REG, SUM(IF(REGEXP_REPLACE(TRIM(CAST(X."&amp;F112&amp;" AS STRING)),'[^a-zA-Z0-9_\\s]','') &lt;&gt;TRIM(CAST(X."&amp;F112&amp;" AS STRING)),1,0)) AS NUM_REG_DIF,'"&amp;MAX('ID1&amp;5'!K:K)+1&amp;"' AS ID_EXEC, CURRENT_TIMESTAMP() AS TIME_EXEC FROM "&amp;I112,
IF(C112="Missings",+"SELECT '"&amp;UPPER(B112)&amp;"' AS TABELA, '"&amp;UPPER(C112)&amp;"' AS TIPOLOGIA_TESTE,'"&amp;D112&amp;"' AS TABELA_LT,'N/A' AS TABELA_SIMUL,'"&amp;F112&amp;"' AS CAMPO, "&amp;"'${ref_date}' AS REF_DATE, COUNT(*) AS NUM_REG, SUM(IF(TRIM(CAST(X."&amp;F112&amp;" AS STRING)) IN ('0000-00-00','0001-01-01','9999-12-31','MISS','00000','99999999999','99999999999.00','99999999999.000000'),1,0)) AS NUM_REG_DIF,'"&amp;MAX('ID1&amp;5'!K:K)+1&amp;"' AS ID_EXEC, CURRENT_TIMESTAMP() AS TIME_EXEC FROM "&amp;I112,
IF(C112="Not applicable",+"SELECT '"&amp;UPPER(B112)&amp;"' AS TABELA, '"&amp;UPPER(C112)&amp;"' AS TIPOLOGIA_TESTE,'"&amp;D112&amp;"' AS TABELA_LT,'N/A' AS TABELA_SIMUL,'"&amp;F112&amp;"' AS CAMPO, "&amp;"'${ref_date}' AS REF_DATE, COUNT(*) AS NUM_REG, SUM(IF(TRIM(CAST(X."&amp;F112&amp;" AS STRING)) IN ('N/A','11111111111','11111111111.00','11111111111.000000','1111-11-11'),1,0)) AS NUM_REG_DIF,'"&amp;MAX('ID1&amp;5'!K:K)+1&amp;"' AS ID_EXEC, CURRENT_TIMESTAMP() AS TIME_EXEC FROM "&amp;I112,
IF(C112="Valores extremos",+"SELECT '"&amp;UPPER(B112)&amp;"' AS TABELA, '"&amp;UPPER(C112)&amp;"' AS TIPOLOGIA_TESTE,'"&amp;D112&amp;"' AS TABELA_LT,'N/A' AS TABELA_SIMUL,'"&amp;F112&amp;"' AS CAMPO, "&amp;"'${ref_date}' AS REF_DATE, CAST(MIN("&amp;F112&amp;") AS STRING) AS VALOR_MIN, CAST(MAX("&amp;F112&amp;") AS STRING) AS VALOR_MAX,'"&amp;MAX('ID1&amp;5'!K:K)+1&amp;"' AS ID_EXEC, CURRENT_TIMESTAMP() AS TIME_EXEC FROM "&amp;MID(I112,1,LEN(I112)-2)&amp;" AND CAST("&amp;F112&amp;"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TABELA_SIMUL,'typ_cre_oprtn' AS CAMPO, '${ref_date}' AS REF_DATE, COUNT(*) AS NUM_REG, SUM(IF(COALESCE(CAST(X.typ_cre_oprtn AS STRING),'')&lt;&gt;COALESCE(CAST(Y.typ_cre_oprtn_SIMUL AS STRING),'') OR (X.typ_cre_oprtn IS NULL AND Y.typ_cre_oprtn_SIMUL IS NOT NULL ) OR (X.typ_cre_oprtn IS NOT NULL AND Y.typ_cre_oprtn_SIMUL IS NULL),1,0)) AS NUM_REG_DIF,'1' AS ID_EXEC, CURRENT_TIMESTAMP() AS TIME_EXEC FROM (SELECT instrmnt_id, typ_cre_oprtn FROM BU_LOANTAPE_WORK.LT002_INSTRUMENT WHERE ref_date='${ref_date}' AND nome_perimetro='Individual Local' AND segmento='ESTR' AND ambito='SRB_MBDT' AND entidade='00100')X INNER JOIN (SELECT instrmnt_id AS instrmnt_id_SIMUL, typ_cre_oprtn AS typ_cre_oprtn_SIMUL FROM BU_LOANTAPE_WORK.SIMUL_LT002_INSTRUMENT WHERE ref_date='${ref_date}' AND nome_perimetro='Individual Local' AND segmento='ESTR' AND ambito='PILAR3' AND entidade='00100')Y ON X.INSTRMNT_ID=Y.INSTRMNT_ID_SIMUL</v>
      </c>
      <c r="M112" s="36" t="str">
        <f t="shared" si="4"/>
        <v>UNION ALL SELECT 'INSTRUMENT' AS TABELA, 'COERÊNCIA' AS TIPOLOGIA_TESTE,'BU_LOANTAPE_WORK.LT002_INSTRUMENT' AS TABELA_LT,'BU_LOANTAPE_WORK.SIMUL_LT002_INSTRUMENT' AS TABELA_SIMUL,'typ_cre_oprtn' AS CAMPO, '${ref_date}' AS REF_DATE, COUNT(*) AS NUM_REG, SUM(IF(COALESCE(CAST(X.typ_cre_oprtn AS STRING),'')&lt;&gt;COALESCE(CAST(Y.typ_cre_oprtn_SIMUL AS STRING),'') OR (X.typ_cre_oprtn IS NULL AND Y.typ_cre_oprtn_SIMUL IS NOT NULL ) OR (X.typ_cre_oprtn IS NOT NULL AND Y.typ_cre_oprtn_SIMUL IS NULL),1,0)) AS NUM_REG_DIF,'1' AS ID_EXEC, CURRENT_TIMESTAMP() AS TIME_EXEC FROM (SELECT instrmnt_id, typ_cre_oprtn FROM BU_LOANTAPE_WORK.LT002_INSTRUMENT WHERE ref_date='${ref_date}' AND nome_perimetro='Individual Local' AND segmento='ESTR' AND ambito='SRB_MBDT' AND entidade='00100')X INNER JOIN (SELECT instrmnt_id AS instrmnt_id_SIMUL, typ_cre_oprtn AS typ_cre_oprtn_SIMUL FROM BU_LOANTAPE_WORK.SIMUL_LT002_INSTRUMENT WHERE ref_date='${ref_date}' AND nome_perimetro='Individual Local' AND segmento='ESTR' AND ambito='PILAR3' AND entidade='00100')Y ON X.INSTRMNT_ID=Y.INSTRMNT_ID_SIMUL</v>
      </c>
      <c r="N112" s="38"/>
    </row>
    <row r="113" spans="2:14">
      <c r="B113" s="34" t="s">
        <v>117</v>
      </c>
      <c r="C113" s="34" t="s">
        <v>5</v>
      </c>
      <c r="D113" s="34" t="str">
        <f>+UPPER('0. Instruções'!$D$35&amp;"."&amp;VLOOKUP(B113,'0. Instruções'!$C$27:$D$32,2,FALSE))</f>
        <v>BU_LOANTAPE_WORK.LT002_INSTRUMENT</v>
      </c>
      <c r="E113" s="34" t="str">
        <f>+UPPER('0. Instruções'!$D$36&amp;"."&amp;VLOOKUP(B113,'0. Instruções'!$C$27:$E$32,3,FALSE))</f>
        <v>BU_LOANTAPE_WORK.SIMUL_LT002_INSTRUMENT</v>
      </c>
      <c r="F113" s="34" t="s">
        <v>1187</v>
      </c>
      <c r="G113" s="34"/>
      <c r="H113" s="34"/>
      <c r="I113" s="34" t="str">
        <f>"(SELECT "&amp;VLOOKUP(B113,'0. Instruções'!$C$27:$G$32,4,FALSE)&amp;", "&amp;F113&amp;" FROM "&amp;D113&amp;" WHERE "&amp;'0. Instruções'!$D$42&amp;")X"</f>
        <v>(SELECT instrmnt_id, dt_strt_gp_ppal FROM BU_LOANTAPE_WORK.LT002_INSTRUMENT WHERE ref_date='${ref_date}' AND nome_perimetro='Individual Local' AND segmento='ESTR' AND ambito='SRB_MBDT' AND entidade='00100')X</v>
      </c>
      <c r="J113" s="34" t="str">
        <f>"(SELECT "&amp;VLOOKUP(B113,'0. Instruções'!$C$27:$G$32,4,FALSE)&amp;" AS "&amp;VLOOKUP(B113,'0. Instruções'!$C$27:$G$32,4,FALSE)&amp;"_SIMUL, "&amp;F113&amp;" AS "&amp;F113&amp;"_SIMUL FROM "&amp;E113&amp;" WHERE "&amp;'0. Instruções'!$D$43&amp;")Y"</f>
        <v>(SELECT instrmnt_id AS instrmnt_id_SIMUL, dt_strt_gp_ppal AS dt_strt_gp_ppal_SIMUL FROM BU_LOANTAPE_WORK.SIMUL_LT002_INSTRUMENT WHERE ref_date='${ref_date}' AND nome_perimetro='Individual Local' AND segmento='ESTR' AND ambito='PILAR3' AND entidade='00100')Y</v>
      </c>
      <c r="K113" s="35" t="str">
        <f>+UPPER("ON X."&amp;VLOOKUP(B113,'0. Instruções'!$C$27:$G$32,4,FALSE)&amp;"=Y."&amp;VLOOKUP(B113,'0. Instruções'!$C$27:$G$32,4,FALSE)&amp;"_SIMUL")</f>
        <v>ON X.INSTRMNT_ID=Y.INSTRMNT_ID_SIMUL</v>
      </c>
      <c r="L113" s="35" t="str">
        <f>+IF(C113="Coerência", +IF(LEFT(G113,5)="FLOAT","SELECT '"&amp;UPPER(B113)&amp;"' AS TABELA, '"&amp;UPPER(C113)&amp;"' AS TIPOLOGIA_TESTE,'"&amp;D113&amp;"' AS TABELA_LT,'"&amp;E113&amp;"' AS TABELA_SIMUL,'"&amp;F113&amp;"' AS CAMPO, "&amp;"'${ref_date}' AS REF_DATE, COUNT(*) AS NUM_REG, SUM(IF((ABS(COALESCE(CAST(X."&amp;F113&amp;" AS DECIMAL(18,6)),0)-COALESCE(CAST(Y."&amp;F113&amp;"_SIMUL AS DECIMAL(18,6)),0))&gt;0.000001) OR (X."&amp;F113&amp;" IS NULL AND Y."&amp;F113&amp;"_SIMUL IS NOT NULL ) OR (X."&amp;F113&amp;" IS NOT NULL AND Y."&amp;F113&amp;"_SIMUL IS NULL),1,0)) AS NUM_REG_DIF,'"&amp;MAX('ID1&amp;5'!K:K)+1&amp;"' AS ID_EXEC, CURRENT_TIMESTAMP() AS TIME_EXEC FROM "&amp;I113&amp;" INNER JOIN "&amp;J113&amp;" "&amp;K113,"SELECT '"&amp;UPPER(B113)&amp;"' AS TABELA, '"&amp;UPPER(C113)&amp;"' AS TIPOLOGIA_TESTE,'"&amp;D113&amp;"' AS TABELA_LT,'"&amp;E113&amp;"' AS TABELA_SIMUL,'"&amp;F113&amp;"' AS CAMPO, "&amp;"'${ref_date}' AS REF_DATE, COUNT(*) AS NUM_REG, SUM(IF(COALESCE(CAST(X."&amp;F113&amp;" AS STRING),'')&lt;&gt;COALESCE(CAST(Y."&amp;F113&amp;"_SIMUL AS STRING),'') OR (X."&amp;F113&amp;" IS NULL AND Y."&amp;F113&amp;"_SIMUL IS NOT NULL ) OR (X."&amp;F113&amp;" IS NOT NULL AND Y."&amp;F113&amp;"_SIMUL IS NULL),1,0)) AS NUM_REG_DIF,'"&amp;MAX('ID1&amp;5'!L:L)+1&amp;"' AS ID_EXEC, CURRENT_TIMESTAMP() AS TIME_EXEC FROM "&amp;I113&amp;" INNER JOIN "&amp;J113&amp;" "&amp;K113),
IF(C113="Validade",+IF(G113="Code List","SELECT '"&amp;UPPER(B113)&amp;"' AS TABELA, '"&amp;UPPER(C113)&amp;"' AS TIPOLOGIA_TESTE,'"&amp;D113&amp;"' AS TABELA_LT,'N/A' AS TABELA_SIMUL,'"&amp;F113&amp;"' AS CAMPO, "&amp;"'${ref_date}' AS REF_DATE, COUNT(*) AS NUM_REG, SUM(IF(TRIM(CAST(X."&amp;F113&amp;" AS STRING))='' OR TRIM(CAST(X."&amp;F113&amp;" AS STRING)) IS NULL OR CAST(X."&amp;F113&amp;" AS STRING) NOT "&amp;H113&amp;",1,0)) AS NUM_REG_DIF,'"&amp;MAX('ID1&amp;5'!K:K)+1&amp;"' AS ID_EXEC, CURRENT_TIMESTAMP() AS TIME_EXEC FROM "&amp;I113,"SELECT '"&amp;UPPER(B113)&amp;"' AS TABELA, '"&amp;UPPER(C113)&amp;"' AS TIPOLOGIA_TESTE,'"&amp;D113&amp;"' AS TABELA_LT,'N/A' AS TABELA_SIMUL,'"&amp;F113&amp;"' AS CAMPO, "&amp;"'${ref_date}' AS REF_DATE, COUNT(*) AS NUM_REG, SUM(IF(TRIM(CAST(X."&amp;F113&amp;" AS STRING))='' OR TRIM(CAST(X."&amp;F113&amp;" AS STRING)) IS NULL,1,0)) AS NUM_REG_DIF,'"&amp;MAX('ID1&amp;5'!K:K)+1&amp;"' AS ID_EXEC, CURRENT_TIMESTAMP() AS TIME_EXEC FROM "&amp;I113),
IF(C113="Caracteres Especiais",+"SELECT '"&amp;UPPER(B113)&amp;"' AS TABELA, '"&amp;UPPER(C113)&amp;"' AS TIPOLOGIA_TESTE,'"&amp;D113&amp;"' AS TABELA_LT,'N/A' AS TABELA_SIMUL,'"&amp;F113&amp;"' AS CAMPO, "&amp;"'${ref_date}' AS REF_DATE, COUNT(*) AS NUM_REG, SUM(IF(REGEXP_REPLACE(TRIM(CAST(X."&amp;F113&amp;" AS STRING)),'[^a-zA-Z0-9_\\s]','') &lt;&gt;TRIM(CAST(X."&amp;F113&amp;" AS STRING)),1,0)) AS NUM_REG_DIF,'"&amp;MAX('ID1&amp;5'!K:K)+1&amp;"' AS ID_EXEC, CURRENT_TIMESTAMP() AS TIME_EXEC FROM "&amp;I113,
IF(C113="Missings",+"SELECT '"&amp;UPPER(B113)&amp;"' AS TABELA, '"&amp;UPPER(C113)&amp;"' AS TIPOLOGIA_TESTE,'"&amp;D113&amp;"' AS TABELA_LT,'N/A' AS TABELA_SIMUL,'"&amp;F113&amp;"' AS CAMPO, "&amp;"'${ref_date}' AS REF_DATE, COUNT(*) AS NUM_REG, SUM(IF(TRIM(CAST(X."&amp;F113&amp;" AS STRING)) IN ('0000-00-00','0001-01-01','9999-12-31','MISS','00000','99999999999','99999999999.00','99999999999.000000'),1,0)) AS NUM_REG_DIF,'"&amp;MAX('ID1&amp;5'!K:K)+1&amp;"' AS ID_EXEC, CURRENT_TIMESTAMP() AS TIME_EXEC FROM "&amp;I113,
IF(C113="Not applicable",+"SELECT '"&amp;UPPER(B113)&amp;"' AS TABELA, '"&amp;UPPER(C113)&amp;"' AS TIPOLOGIA_TESTE,'"&amp;D113&amp;"' AS TABELA_LT,'N/A' AS TABELA_SIMUL,'"&amp;F113&amp;"' AS CAMPO, "&amp;"'${ref_date}' AS REF_DATE, COUNT(*) AS NUM_REG, SUM(IF(TRIM(CAST(X."&amp;F113&amp;" AS STRING)) IN ('N/A','11111111111','11111111111.00','11111111111.000000','1111-11-11'),1,0)) AS NUM_REG_DIF,'"&amp;MAX('ID1&amp;5'!K:K)+1&amp;"' AS ID_EXEC, CURRENT_TIMESTAMP() AS TIME_EXEC FROM "&amp;I113,
IF(C113="Valores extremos",+"SELECT '"&amp;UPPER(B113)&amp;"' AS TABELA, '"&amp;UPPER(C113)&amp;"' AS TIPOLOGIA_TESTE,'"&amp;D113&amp;"' AS TABELA_LT,'N/A' AS TABELA_SIMUL,'"&amp;F113&amp;"' AS CAMPO, "&amp;"'${ref_date}' AS REF_DATE, CAST(MIN("&amp;F113&amp;") AS STRING) AS VALOR_MIN, CAST(MAX("&amp;F113&amp;") AS STRING) AS VALOR_MAX,'"&amp;MAX('ID1&amp;5'!K:K)+1&amp;"' AS ID_EXEC, CURRENT_TIMESTAMP() AS TIME_EXEC FROM "&amp;MID(I113,1,LEN(I113)-2)&amp;" AND CAST("&amp;F113&amp;"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TABELA_SIMUL,'dt_strt_gp_ppal' AS CAMPO, '${ref_date}' AS REF_DATE, COUNT(*) AS NUM_REG, SUM(IF(COALESCE(CAST(X.dt_strt_gp_ppal AS STRING),'')&lt;&gt;COALESCE(CAST(Y.dt_strt_gp_ppal_SIMUL AS STRING),'') OR (X.dt_strt_gp_ppal IS NULL AND Y.dt_strt_gp_ppal_SIMUL IS NOT NULL ) OR (X.dt_strt_gp_ppal IS NOT NULL AND Y.dt_strt_gp_ppal_SIMUL IS NULL),1,0)) AS NUM_REG_DIF,'1' AS ID_EXEC, CURRENT_TIMESTAMP() AS TIME_EXEC FROM (SELECT instrmnt_id, dt_strt_gp_ppal FROM BU_LOANTAPE_WORK.LT002_INSTRUMENT WHERE ref_date='${ref_date}' AND nome_perimetro='Individual Local' AND segmento='ESTR' AND ambito='SRB_MBDT' AND entidade='00100')X INNER JOIN (SELECT instrmnt_id AS instrmnt_id_SIMUL, dt_strt_gp_ppal AS dt_strt_gp_ppal_SIMUL FROM BU_LOANTAPE_WORK.SIMUL_LT002_INSTRUMENT WHERE ref_date='${ref_date}' AND nome_perimetro='Individual Local' AND segmento='ESTR' AND ambito='PILAR3' AND entidade='00100')Y ON X.INSTRMNT_ID=Y.INSTRMNT_ID_SIMUL</v>
      </c>
      <c r="M113" s="36" t="str">
        <f t="shared" si="4"/>
        <v>UNION ALL SELECT 'INSTRUMENT' AS TABELA, 'COERÊNCIA' AS TIPOLOGIA_TESTE,'BU_LOANTAPE_WORK.LT002_INSTRUMENT' AS TABELA_LT,'BU_LOANTAPE_WORK.SIMUL_LT002_INSTRUMENT' AS TABELA_SIMUL,'dt_strt_gp_ppal' AS CAMPO, '${ref_date}' AS REF_DATE, COUNT(*) AS NUM_REG, SUM(IF(COALESCE(CAST(X.dt_strt_gp_ppal AS STRING),'')&lt;&gt;COALESCE(CAST(Y.dt_strt_gp_ppal_SIMUL AS STRING),'') OR (X.dt_strt_gp_ppal IS NULL AND Y.dt_strt_gp_ppal_SIMUL IS NOT NULL ) OR (X.dt_strt_gp_ppal IS NOT NULL AND Y.dt_strt_gp_ppal_SIMUL IS NULL),1,0)) AS NUM_REG_DIF,'1' AS ID_EXEC, CURRENT_TIMESTAMP() AS TIME_EXEC FROM (SELECT instrmnt_id, dt_strt_gp_ppal FROM BU_LOANTAPE_WORK.LT002_INSTRUMENT WHERE ref_date='${ref_date}' AND nome_perimetro='Individual Local' AND segmento='ESTR' AND ambito='SRB_MBDT' AND entidade='00100')X INNER JOIN (SELECT instrmnt_id AS instrmnt_id_SIMUL, dt_strt_gp_ppal AS dt_strt_gp_ppal_SIMUL FROM BU_LOANTAPE_WORK.SIMUL_LT002_INSTRUMENT WHERE ref_date='${ref_date}' AND nome_perimetro='Individual Local' AND segmento='ESTR' AND ambito='PILAR3' AND entidade='00100')Y ON X.INSTRMNT_ID=Y.INSTRMNT_ID_SIMUL</v>
      </c>
      <c r="N113" s="38"/>
    </row>
    <row r="114" spans="2:14">
      <c r="B114" s="34" t="s">
        <v>117</v>
      </c>
      <c r="C114" s="34" t="s">
        <v>5</v>
      </c>
      <c r="D114" s="34" t="str">
        <f>+UPPER('0. Instruções'!$D$35&amp;"."&amp;VLOOKUP(B114,'0. Instruções'!$C$27:$D$32,2,FALSE))</f>
        <v>BU_LOANTAPE_WORK.LT002_INSTRUMENT</v>
      </c>
      <c r="E114" s="34" t="str">
        <f>+UPPER('0. Instruções'!$D$36&amp;"."&amp;VLOOKUP(B114,'0. Instruções'!$C$27:$E$32,3,FALSE))</f>
        <v>BU_LOANTAPE_WORK.SIMUL_LT002_INSTRUMENT</v>
      </c>
      <c r="F114" s="34" t="s">
        <v>647</v>
      </c>
      <c r="G114" s="34"/>
      <c r="H114" s="34"/>
      <c r="I114" s="34" t="str">
        <f>"(SELECT "&amp;VLOOKUP(B114,'0. Instruções'!$C$27:$G$32,4,FALSE)&amp;", "&amp;F114&amp;" FROM "&amp;D114&amp;" WHERE "&amp;'0. Instruções'!$D$42&amp;")X"</f>
        <v>(SELECT instrmnt_id, grss_crryng_amnt_instrmnt FROM BU_LOANTAPE_WORK.LT002_INSTRUMENT WHERE ref_date='${ref_date}' AND nome_perimetro='Individual Local' AND segmento='ESTR' AND ambito='SRB_MBDT' AND entidade='00100')X</v>
      </c>
      <c r="J114" s="34" t="str">
        <f>"(SELECT "&amp;VLOOKUP(B114,'0. Instruções'!$C$27:$G$32,4,FALSE)&amp;" AS "&amp;VLOOKUP(B114,'0. Instruções'!$C$27:$G$32,4,FALSE)&amp;"_SIMUL, "&amp;F114&amp;" AS "&amp;F114&amp;"_SIMUL FROM "&amp;E114&amp;" WHERE "&amp;'0. Instruções'!$D$43&amp;")Y"</f>
        <v>(SELECT instrmnt_id AS instrmnt_id_SIMUL, grss_crryng_amnt_instrmnt AS grss_crryng_amnt_instrmnt_SIMUL FROM BU_LOANTAPE_WORK.SIMUL_LT002_INSTRUMENT WHERE ref_date='${ref_date}' AND nome_perimetro='Individual Local' AND segmento='ESTR' AND ambito='PILAR3' AND entidade='00100')Y</v>
      </c>
      <c r="K114" s="35" t="str">
        <f>+UPPER("ON X."&amp;VLOOKUP(B114,'0. Instruções'!$C$27:$G$32,4,FALSE)&amp;"=Y."&amp;VLOOKUP(B114,'0. Instruções'!$C$27:$G$32,4,FALSE)&amp;"_SIMUL")</f>
        <v>ON X.INSTRMNT_ID=Y.INSTRMNT_ID_SIMUL</v>
      </c>
      <c r="L114" s="35" t="str">
        <f>+IF(C114="Coerência", +IF(LEFT(G114,5)="FLOAT","SELECT '"&amp;UPPER(B114)&amp;"' AS TABELA, '"&amp;UPPER(C114)&amp;"' AS TIPOLOGIA_TESTE,'"&amp;D114&amp;"' AS TABELA_LT,'"&amp;E114&amp;"' AS TABELA_SIMUL,'"&amp;F114&amp;"' AS CAMPO, "&amp;"'${ref_date}' AS REF_DATE, COUNT(*) AS NUM_REG, SUM(IF((ABS(COALESCE(CAST(X."&amp;F114&amp;" AS DECIMAL(18,6)),0)-COALESCE(CAST(Y."&amp;F114&amp;"_SIMUL AS DECIMAL(18,6)),0))&gt;0.000001) OR (X."&amp;F114&amp;" IS NULL AND Y."&amp;F114&amp;"_SIMUL IS NOT NULL ) OR (X."&amp;F114&amp;" IS NOT NULL AND Y."&amp;F114&amp;"_SIMUL IS NULL),1,0)) AS NUM_REG_DIF,'"&amp;MAX('ID1&amp;5'!K:K)+1&amp;"' AS ID_EXEC, CURRENT_TIMESTAMP() AS TIME_EXEC FROM "&amp;I114&amp;" INNER JOIN "&amp;J114&amp;" "&amp;K114,"SELECT '"&amp;UPPER(B114)&amp;"' AS TABELA, '"&amp;UPPER(C114)&amp;"' AS TIPOLOGIA_TESTE,'"&amp;D114&amp;"' AS TABELA_LT,'"&amp;E114&amp;"' AS TABELA_SIMUL,'"&amp;F114&amp;"' AS CAMPO, "&amp;"'${ref_date}' AS REF_DATE, COUNT(*) AS NUM_REG, SUM(IF(COALESCE(CAST(X."&amp;F114&amp;" AS STRING),'')&lt;&gt;COALESCE(CAST(Y."&amp;F114&amp;"_SIMUL AS STRING),'') OR (X."&amp;F114&amp;" IS NULL AND Y."&amp;F114&amp;"_SIMUL IS NOT NULL ) OR (X."&amp;F114&amp;" IS NOT NULL AND Y."&amp;F114&amp;"_SIMUL IS NULL),1,0)) AS NUM_REG_DIF,'"&amp;MAX('ID1&amp;5'!L:L)+1&amp;"' AS ID_EXEC, CURRENT_TIMESTAMP() AS TIME_EXEC FROM "&amp;I114&amp;" INNER JOIN "&amp;J114&amp;" "&amp;K114),
IF(C114="Validade",+IF(G114="Code List","SELECT '"&amp;UPPER(B114)&amp;"' AS TABELA, '"&amp;UPPER(C114)&amp;"' AS TIPOLOGIA_TESTE,'"&amp;D114&amp;"' AS TABELA_LT,'N/A' AS TABELA_SIMUL,'"&amp;F114&amp;"' AS CAMPO, "&amp;"'${ref_date}' AS REF_DATE, COUNT(*) AS NUM_REG, SUM(IF(TRIM(CAST(X."&amp;F114&amp;" AS STRING))='' OR TRIM(CAST(X."&amp;F114&amp;" AS STRING)) IS NULL OR CAST(X."&amp;F114&amp;" AS STRING) NOT "&amp;H114&amp;",1,0)) AS NUM_REG_DIF,'"&amp;MAX('ID1&amp;5'!K:K)+1&amp;"' AS ID_EXEC, CURRENT_TIMESTAMP() AS TIME_EXEC FROM "&amp;I114,"SELECT '"&amp;UPPER(B114)&amp;"' AS TABELA, '"&amp;UPPER(C114)&amp;"' AS TIPOLOGIA_TESTE,'"&amp;D114&amp;"' AS TABELA_LT,'N/A' AS TABELA_SIMUL,'"&amp;F114&amp;"' AS CAMPO, "&amp;"'${ref_date}' AS REF_DATE, COUNT(*) AS NUM_REG, SUM(IF(TRIM(CAST(X."&amp;F114&amp;" AS STRING))='' OR TRIM(CAST(X."&amp;F114&amp;" AS STRING)) IS NULL,1,0)) AS NUM_REG_DIF,'"&amp;MAX('ID1&amp;5'!K:K)+1&amp;"' AS ID_EXEC, CURRENT_TIMESTAMP() AS TIME_EXEC FROM "&amp;I114),
IF(C114="Caracteres Especiais",+"SELECT '"&amp;UPPER(B114)&amp;"' AS TABELA, '"&amp;UPPER(C114)&amp;"' AS TIPOLOGIA_TESTE,'"&amp;D114&amp;"' AS TABELA_LT,'N/A' AS TABELA_SIMUL,'"&amp;F114&amp;"' AS CAMPO, "&amp;"'${ref_date}' AS REF_DATE, COUNT(*) AS NUM_REG, SUM(IF(REGEXP_REPLACE(TRIM(CAST(X."&amp;F114&amp;" AS STRING)),'[^a-zA-Z0-9_\\s]','') &lt;&gt;TRIM(CAST(X."&amp;F114&amp;" AS STRING)),1,0)) AS NUM_REG_DIF,'"&amp;MAX('ID1&amp;5'!K:K)+1&amp;"' AS ID_EXEC, CURRENT_TIMESTAMP() AS TIME_EXEC FROM "&amp;I114,
IF(C114="Missings",+"SELECT '"&amp;UPPER(B114)&amp;"' AS TABELA, '"&amp;UPPER(C114)&amp;"' AS TIPOLOGIA_TESTE,'"&amp;D114&amp;"' AS TABELA_LT,'N/A' AS TABELA_SIMUL,'"&amp;F114&amp;"' AS CAMPO, "&amp;"'${ref_date}' AS REF_DATE, COUNT(*) AS NUM_REG, SUM(IF(TRIM(CAST(X."&amp;F114&amp;" AS STRING)) IN ('0000-00-00','0001-01-01','9999-12-31','MISS','00000','99999999999','99999999999.00','99999999999.000000'),1,0)) AS NUM_REG_DIF,'"&amp;MAX('ID1&amp;5'!K:K)+1&amp;"' AS ID_EXEC, CURRENT_TIMESTAMP() AS TIME_EXEC FROM "&amp;I114,
IF(C114="Not applicable",+"SELECT '"&amp;UPPER(B114)&amp;"' AS TABELA, '"&amp;UPPER(C114)&amp;"' AS TIPOLOGIA_TESTE,'"&amp;D114&amp;"' AS TABELA_LT,'N/A' AS TABELA_SIMUL,'"&amp;F114&amp;"' AS CAMPO, "&amp;"'${ref_date}' AS REF_DATE, COUNT(*) AS NUM_REG, SUM(IF(TRIM(CAST(X."&amp;F114&amp;" AS STRING)) IN ('N/A','11111111111','11111111111.00','11111111111.000000','1111-11-11'),1,0)) AS NUM_REG_DIF,'"&amp;MAX('ID1&amp;5'!K:K)+1&amp;"' AS ID_EXEC, CURRENT_TIMESTAMP() AS TIME_EXEC FROM "&amp;I114,
IF(C114="Valores extremos",+"SELECT '"&amp;UPPER(B114)&amp;"' AS TABELA, '"&amp;UPPER(C114)&amp;"' AS TIPOLOGIA_TESTE,'"&amp;D114&amp;"' AS TABELA_LT,'N/A' AS TABELA_SIMUL,'"&amp;F114&amp;"' AS CAMPO, "&amp;"'${ref_date}' AS REF_DATE, CAST(MIN("&amp;F114&amp;") AS STRING) AS VALOR_MIN, CAST(MAX("&amp;F114&amp;") AS STRING) AS VALOR_MAX,'"&amp;MAX('ID1&amp;5'!K:K)+1&amp;"' AS ID_EXEC, CURRENT_TIMESTAMP() AS TIME_EXEC FROM "&amp;MID(I114,1,LEN(I114)-2)&amp;" AND CAST("&amp;F114&amp;"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TABELA_SIMUL,'grss_crryng_amnt_instrmnt' AS CAMPO, '${ref_date}' AS REF_DATE, COUNT(*) AS NUM_REG, SUM(IF(COALESCE(CAST(X.grss_crryng_amnt_instrmnt AS STRING),'')&lt;&gt;COALESCE(CAST(Y.grss_crryng_amnt_instrmnt_SIMUL AS STRING),'') OR (X.grss_crryng_amnt_instrmnt IS NULL AND Y.grss_crryng_amnt_instrmnt_SIMUL IS NOT NULL ) OR (X.grss_crryng_amnt_instrmnt IS NOT NULL AND Y.grss_crryng_amnt_instrmnt_SIMUL IS NULL),1,0)) AS NUM_REG_DIF,'1' AS ID_EXEC, CURRENT_TIMESTAMP() AS TIME_EXEC FROM (SELECT instrmnt_id, grss_crryng_amnt_instrmnt FROM BU_LOANTAPE_WORK.LT002_INSTRUMENT WHERE ref_date='${ref_date}' AND nome_perimetro='Individual Local' AND segmento='ESTR' AND ambito='SRB_MBDT' AND entidade='00100')X INNER JOIN (SELECT instrmnt_id AS instrmnt_id_SIMUL, grss_crryng_amnt_instrmnt AS grss_crryng_amnt_instrmnt_SIMUL FROM BU_LOANTAPE_WORK.SIMUL_LT002_INSTRUMENT WHERE ref_date='${ref_date}' AND nome_perimetro='Individual Local' AND segmento='ESTR' AND ambito='PILAR3' AND entidade='00100')Y ON X.INSTRMNT_ID=Y.INSTRMNT_ID_SIMUL</v>
      </c>
      <c r="M114" s="36" t="str">
        <f t="shared" si="4"/>
        <v>UNION ALL SELECT 'INSTRUMENT' AS TABELA, 'COERÊNCIA' AS TIPOLOGIA_TESTE,'BU_LOANTAPE_WORK.LT002_INSTRUMENT' AS TABELA_LT,'BU_LOANTAPE_WORK.SIMUL_LT002_INSTRUMENT' AS TABELA_SIMUL,'grss_crryng_amnt_instrmnt' AS CAMPO, '${ref_date}' AS REF_DATE, COUNT(*) AS NUM_REG, SUM(IF(COALESCE(CAST(X.grss_crryng_amnt_instrmnt AS STRING),'')&lt;&gt;COALESCE(CAST(Y.grss_crryng_amnt_instrmnt_SIMUL AS STRING),'') OR (X.grss_crryng_amnt_instrmnt IS NULL AND Y.grss_crryng_amnt_instrmnt_SIMUL IS NOT NULL ) OR (X.grss_crryng_amnt_instrmnt IS NOT NULL AND Y.grss_crryng_amnt_instrmnt_SIMUL IS NULL),1,0)) AS NUM_REG_DIF,'1' AS ID_EXEC, CURRENT_TIMESTAMP() AS TIME_EXEC FROM (SELECT instrmnt_id, grss_crryng_amnt_instrmnt FROM BU_LOANTAPE_WORK.LT002_INSTRUMENT WHERE ref_date='${ref_date}' AND nome_perimetro='Individual Local' AND segmento='ESTR' AND ambito='SRB_MBDT' AND entidade='00100')X INNER JOIN (SELECT instrmnt_id AS instrmnt_id_SIMUL, grss_crryng_amnt_instrmnt AS grss_crryng_amnt_instrmnt_SIMUL FROM BU_LOANTAPE_WORK.SIMUL_LT002_INSTRUMENT WHERE ref_date='${ref_date}' AND nome_perimetro='Individual Local' AND segmento='ESTR' AND ambito='PILAR3' AND entidade='00100')Y ON X.INSTRMNT_ID=Y.INSTRMNT_ID_SIMUL</v>
      </c>
      <c r="N114" s="38"/>
    </row>
    <row r="115" spans="2:14">
      <c r="B115" s="34" t="s">
        <v>117</v>
      </c>
      <c r="C115" s="34" t="s">
        <v>5</v>
      </c>
      <c r="D115" s="34" t="str">
        <f>+UPPER('0. Instruções'!$D$35&amp;"."&amp;VLOOKUP(B115,'0. Instruções'!$C$27:$D$32,2,FALSE))</f>
        <v>BU_LOANTAPE_WORK.LT002_INSTRUMENT</v>
      </c>
      <c r="E115" s="34" t="str">
        <f>+UPPER('0. Instruções'!$D$36&amp;"."&amp;VLOOKUP(B115,'0. Instruções'!$C$27:$E$32,3,FALSE))</f>
        <v>BU_LOANTAPE_WORK.SIMUL_LT002_INSTRUMENT</v>
      </c>
      <c r="F115" s="34" t="s">
        <v>648</v>
      </c>
      <c r="G115" s="34"/>
      <c r="H115" s="34"/>
      <c r="I115" s="34" t="str">
        <f>"(SELECT "&amp;VLOOKUP(B115,'0. Instruções'!$C$27:$G$32,4,FALSE)&amp;", "&amp;F115&amp;" FROM "&amp;D115&amp;" WHERE "&amp;'0. Instruções'!$D$42&amp;")X"</f>
        <v>(SELECT instrmnt_id, accmltd_chngs_fv_cr_instrmnt FROM BU_LOANTAPE_WORK.LT002_INSTRUMENT WHERE ref_date='${ref_date}' AND nome_perimetro='Individual Local' AND segmento='ESTR' AND ambito='SRB_MBDT' AND entidade='00100')X</v>
      </c>
      <c r="J115" s="34" t="str">
        <f>"(SELECT "&amp;VLOOKUP(B115,'0. Instruções'!$C$27:$G$32,4,FALSE)&amp;" AS "&amp;VLOOKUP(B115,'0. Instruções'!$C$27:$G$32,4,FALSE)&amp;"_SIMUL, "&amp;F115&amp;" AS "&amp;F115&amp;"_SIMUL FROM "&amp;E115&amp;" WHERE "&amp;'0. Instruções'!$D$43&amp;")Y"</f>
        <v>(SELECT instrmnt_id AS instrmnt_id_SIMUL, accmltd_chngs_fv_cr_instrmnt AS accmltd_chngs_fv_cr_instrmnt_SIMUL FROM BU_LOANTAPE_WORK.SIMUL_LT002_INSTRUMENT WHERE ref_date='${ref_date}' AND nome_perimetro='Individual Local' AND segmento='ESTR' AND ambito='PILAR3' AND entidade='00100')Y</v>
      </c>
      <c r="K115" s="35" t="str">
        <f>+UPPER("ON X."&amp;VLOOKUP(B115,'0. Instruções'!$C$27:$G$32,4,FALSE)&amp;"=Y."&amp;VLOOKUP(B115,'0. Instruções'!$C$27:$G$32,4,FALSE)&amp;"_SIMUL")</f>
        <v>ON X.INSTRMNT_ID=Y.INSTRMNT_ID_SIMUL</v>
      </c>
      <c r="L115" s="35" t="str">
        <f>+IF(C115="Coerência", +IF(LEFT(G115,5)="FLOAT","SELECT '"&amp;UPPER(B115)&amp;"' AS TABELA, '"&amp;UPPER(C115)&amp;"' AS TIPOLOGIA_TESTE,'"&amp;D115&amp;"' AS TABELA_LT,'"&amp;E115&amp;"' AS TABELA_SIMUL,'"&amp;F115&amp;"' AS CAMPO, "&amp;"'${ref_date}' AS REF_DATE, COUNT(*) AS NUM_REG, SUM(IF((ABS(COALESCE(CAST(X."&amp;F115&amp;" AS DECIMAL(18,6)),0)-COALESCE(CAST(Y."&amp;F115&amp;"_SIMUL AS DECIMAL(18,6)),0))&gt;0.000001) OR (X."&amp;F115&amp;" IS NULL AND Y."&amp;F115&amp;"_SIMUL IS NOT NULL ) OR (X."&amp;F115&amp;" IS NOT NULL AND Y."&amp;F115&amp;"_SIMUL IS NULL),1,0)) AS NUM_REG_DIF,'"&amp;MAX('ID1&amp;5'!K:K)+1&amp;"' AS ID_EXEC, CURRENT_TIMESTAMP() AS TIME_EXEC FROM "&amp;I115&amp;" INNER JOIN "&amp;J115&amp;" "&amp;K115,"SELECT '"&amp;UPPER(B115)&amp;"' AS TABELA, '"&amp;UPPER(C115)&amp;"' AS TIPOLOGIA_TESTE,'"&amp;D115&amp;"' AS TABELA_LT,'"&amp;E115&amp;"' AS TABELA_SIMUL,'"&amp;F115&amp;"' AS CAMPO, "&amp;"'${ref_date}' AS REF_DATE, COUNT(*) AS NUM_REG, SUM(IF(COALESCE(CAST(X."&amp;F115&amp;" AS STRING),'')&lt;&gt;COALESCE(CAST(Y."&amp;F115&amp;"_SIMUL AS STRING),'') OR (X."&amp;F115&amp;" IS NULL AND Y."&amp;F115&amp;"_SIMUL IS NOT NULL ) OR (X."&amp;F115&amp;" IS NOT NULL AND Y."&amp;F115&amp;"_SIMUL IS NULL),1,0)) AS NUM_REG_DIF,'"&amp;MAX('ID1&amp;5'!L:L)+1&amp;"' AS ID_EXEC, CURRENT_TIMESTAMP() AS TIME_EXEC FROM "&amp;I115&amp;" INNER JOIN "&amp;J115&amp;" "&amp;K115),
IF(C115="Validade",+IF(G115="Code List","SELECT '"&amp;UPPER(B115)&amp;"' AS TABELA, '"&amp;UPPER(C115)&amp;"' AS TIPOLOGIA_TESTE,'"&amp;D115&amp;"' AS TABELA_LT,'N/A' AS TABELA_SIMUL,'"&amp;F115&amp;"' AS CAMPO, "&amp;"'${ref_date}' AS REF_DATE, COUNT(*) AS NUM_REG, SUM(IF(TRIM(CAST(X."&amp;F115&amp;" AS STRING))='' OR TRIM(CAST(X."&amp;F115&amp;" AS STRING)) IS NULL OR CAST(X."&amp;F115&amp;" AS STRING) NOT "&amp;H115&amp;",1,0)) AS NUM_REG_DIF,'"&amp;MAX('ID1&amp;5'!K:K)+1&amp;"' AS ID_EXEC, CURRENT_TIMESTAMP() AS TIME_EXEC FROM "&amp;I115,"SELECT '"&amp;UPPER(B115)&amp;"' AS TABELA, '"&amp;UPPER(C115)&amp;"' AS TIPOLOGIA_TESTE,'"&amp;D115&amp;"' AS TABELA_LT,'N/A' AS TABELA_SIMUL,'"&amp;F115&amp;"' AS CAMPO, "&amp;"'${ref_date}' AS REF_DATE, COUNT(*) AS NUM_REG, SUM(IF(TRIM(CAST(X."&amp;F115&amp;" AS STRING))='' OR TRIM(CAST(X."&amp;F115&amp;" AS STRING)) IS NULL,1,0)) AS NUM_REG_DIF,'"&amp;MAX('ID1&amp;5'!K:K)+1&amp;"' AS ID_EXEC, CURRENT_TIMESTAMP() AS TIME_EXEC FROM "&amp;I115),
IF(C115="Caracteres Especiais",+"SELECT '"&amp;UPPER(B115)&amp;"' AS TABELA, '"&amp;UPPER(C115)&amp;"' AS TIPOLOGIA_TESTE,'"&amp;D115&amp;"' AS TABELA_LT,'N/A' AS TABELA_SIMUL,'"&amp;F115&amp;"' AS CAMPO, "&amp;"'${ref_date}' AS REF_DATE, COUNT(*) AS NUM_REG, SUM(IF(REGEXP_REPLACE(TRIM(CAST(X."&amp;F115&amp;" AS STRING)),'[^a-zA-Z0-9_\\s]','') &lt;&gt;TRIM(CAST(X."&amp;F115&amp;" AS STRING)),1,0)) AS NUM_REG_DIF,'"&amp;MAX('ID1&amp;5'!K:K)+1&amp;"' AS ID_EXEC, CURRENT_TIMESTAMP() AS TIME_EXEC FROM "&amp;I115,
IF(C115="Missings",+"SELECT '"&amp;UPPER(B115)&amp;"' AS TABELA, '"&amp;UPPER(C115)&amp;"' AS TIPOLOGIA_TESTE,'"&amp;D115&amp;"' AS TABELA_LT,'N/A' AS TABELA_SIMUL,'"&amp;F115&amp;"' AS CAMPO, "&amp;"'${ref_date}' AS REF_DATE, COUNT(*) AS NUM_REG, SUM(IF(TRIM(CAST(X."&amp;F115&amp;" AS STRING)) IN ('0000-00-00','0001-01-01','9999-12-31','MISS','00000','99999999999','99999999999.00','99999999999.000000'),1,0)) AS NUM_REG_DIF,'"&amp;MAX('ID1&amp;5'!K:K)+1&amp;"' AS ID_EXEC, CURRENT_TIMESTAMP() AS TIME_EXEC FROM "&amp;I115,
IF(C115="Not applicable",+"SELECT '"&amp;UPPER(B115)&amp;"' AS TABELA, '"&amp;UPPER(C115)&amp;"' AS TIPOLOGIA_TESTE,'"&amp;D115&amp;"' AS TABELA_LT,'N/A' AS TABELA_SIMUL,'"&amp;F115&amp;"' AS CAMPO, "&amp;"'${ref_date}' AS REF_DATE, COUNT(*) AS NUM_REG, SUM(IF(TRIM(CAST(X."&amp;F115&amp;" AS STRING)) IN ('N/A','11111111111','11111111111.00','11111111111.000000','1111-11-11'),1,0)) AS NUM_REG_DIF,'"&amp;MAX('ID1&amp;5'!K:K)+1&amp;"' AS ID_EXEC, CURRENT_TIMESTAMP() AS TIME_EXEC FROM "&amp;I115,
IF(C115="Valores extremos",+"SELECT '"&amp;UPPER(B115)&amp;"' AS TABELA, '"&amp;UPPER(C115)&amp;"' AS TIPOLOGIA_TESTE,'"&amp;D115&amp;"' AS TABELA_LT,'N/A' AS TABELA_SIMUL,'"&amp;F115&amp;"' AS CAMPO, "&amp;"'${ref_date}' AS REF_DATE, CAST(MIN("&amp;F115&amp;") AS STRING) AS VALOR_MIN, CAST(MAX("&amp;F115&amp;") AS STRING) AS VALOR_MAX,'"&amp;MAX('ID1&amp;5'!K:K)+1&amp;"' AS ID_EXEC, CURRENT_TIMESTAMP() AS TIME_EXEC FROM "&amp;MID(I115,1,LEN(I115)-2)&amp;" AND CAST("&amp;F115&amp;"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TABELA_SIMUL,'accmltd_chngs_fv_cr_instrmnt' AS CAMPO, '${ref_date}' AS REF_DATE, COUNT(*) AS NUM_REG, SUM(IF(COALESCE(CAST(X.accmltd_chngs_fv_cr_instrmnt AS STRING),'')&lt;&gt;COALESCE(CAST(Y.accmltd_chngs_fv_cr_instrmnt_SIMUL AS STRING),'') OR (X.accmltd_chngs_fv_cr_instrmnt IS NULL AND Y.accmltd_chngs_fv_cr_instrmnt_SIMUL IS NOT NULL ) OR (X.accmltd_chngs_fv_cr_instrmnt IS NOT NULL AND Y.accmltd_chngs_fv_cr_instrmnt_SIMUL IS NULL),1,0)) AS NUM_REG_DIF,'1' AS ID_EXEC, CURRENT_TIMESTAMP() AS TIME_EXEC FROM (SELECT instrmnt_id, accmltd_chngs_fv_cr_instrmnt FROM BU_LOANTAPE_WORK.LT002_INSTRUMENT WHERE ref_date='${ref_date}' AND nome_perimetro='Individual Local' AND segmento='ESTR' AND ambito='SRB_MBDT' AND entidade='00100')X INNER JOIN (SELECT instrmnt_id AS instrmnt_id_SIMUL, accmltd_chngs_fv_cr_instrmnt AS accmltd_chngs_fv_cr_instrmnt_SIMUL FROM BU_LOANTAPE_WORK.SIMUL_LT002_INSTRUMENT WHERE ref_date='${ref_date}' AND nome_perimetro='Individual Local' AND segmento='ESTR' AND ambito='PILAR3' AND entidade='00100')Y ON X.INSTRMNT_ID=Y.INSTRMNT_ID_SIMUL</v>
      </c>
      <c r="M115" s="36" t="str">
        <f t="shared" si="4"/>
        <v>UNION ALL SELECT 'INSTRUMENT' AS TABELA, 'COERÊNCIA' AS TIPOLOGIA_TESTE,'BU_LOANTAPE_WORK.LT002_INSTRUMENT' AS TABELA_LT,'BU_LOANTAPE_WORK.SIMUL_LT002_INSTRUMENT' AS TABELA_SIMUL,'accmltd_chngs_fv_cr_instrmnt' AS CAMPO, '${ref_date}' AS REF_DATE, COUNT(*) AS NUM_REG, SUM(IF(COALESCE(CAST(X.accmltd_chngs_fv_cr_instrmnt AS STRING),'')&lt;&gt;COALESCE(CAST(Y.accmltd_chngs_fv_cr_instrmnt_SIMUL AS STRING),'') OR (X.accmltd_chngs_fv_cr_instrmnt IS NULL AND Y.accmltd_chngs_fv_cr_instrmnt_SIMUL IS NOT NULL ) OR (X.accmltd_chngs_fv_cr_instrmnt IS NOT NULL AND Y.accmltd_chngs_fv_cr_instrmnt_SIMUL IS NULL),1,0)) AS NUM_REG_DIF,'1' AS ID_EXEC, CURRENT_TIMESTAMP() AS TIME_EXEC FROM (SELECT instrmnt_id, accmltd_chngs_fv_cr_instrmnt FROM BU_LOANTAPE_WORK.LT002_INSTRUMENT WHERE ref_date='${ref_date}' AND nome_perimetro='Individual Local' AND segmento='ESTR' AND ambito='SRB_MBDT' AND entidade='00100')X INNER JOIN (SELECT instrmnt_id AS instrmnt_id_SIMUL, accmltd_chngs_fv_cr_instrmnt AS accmltd_chngs_fv_cr_instrmnt_SIMUL FROM BU_LOANTAPE_WORK.SIMUL_LT002_INSTRUMENT WHERE ref_date='${ref_date}' AND nome_perimetro='Individual Local' AND segmento='ESTR' AND ambito='PILAR3' AND entidade='00100')Y ON X.INSTRMNT_ID=Y.INSTRMNT_ID_SIMUL</v>
      </c>
      <c r="N115" s="38"/>
    </row>
    <row r="116" spans="2:14">
      <c r="B116" s="34" t="s">
        <v>117</v>
      </c>
      <c r="C116" s="34" t="s">
        <v>5</v>
      </c>
      <c r="D116" s="34" t="str">
        <f>+UPPER('0. Instruções'!$D$35&amp;"."&amp;VLOOKUP(B116,'0. Instruções'!$C$27:$D$32,2,FALSE))</f>
        <v>BU_LOANTAPE_WORK.LT002_INSTRUMENT</v>
      </c>
      <c r="E116" s="34" t="str">
        <f>+UPPER('0. Instruções'!$D$36&amp;"."&amp;VLOOKUP(B116,'0. Instruções'!$C$27:$E$32,3,FALSE))</f>
        <v>BU_LOANTAPE_WORK.SIMUL_LT002_INSTRUMENT</v>
      </c>
      <c r="F116" s="34" t="s">
        <v>649</v>
      </c>
      <c r="G116" s="34"/>
      <c r="H116" s="34"/>
      <c r="I116" s="34" t="str">
        <f>"(SELECT "&amp;VLOOKUP(B116,'0. Instruções'!$C$27:$G$32,4,FALSE)&amp;", "&amp;F116&amp;" FROM "&amp;D116&amp;" WHERE "&amp;'0. Instruções'!$D$42&amp;")X"</f>
        <v>(SELECT instrmnt_id, accntng_clssfctn FROM BU_LOANTAPE_WORK.LT002_INSTRUMENT WHERE ref_date='${ref_date}' AND nome_perimetro='Individual Local' AND segmento='ESTR' AND ambito='SRB_MBDT' AND entidade='00100')X</v>
      </c>
      <c r="J116" s="34" t="str">
        <f>"(SELECT "&amp;VLOOKUP(B116,'0. Instruções'!$C$27:$G$32,4,FALSE)&amp;" AS "&amp;VLOOKUP(B116,'0. Instruções'!$C$27:$G$32,4,FALSE)&amp;"_SIMUL, "&amp;F116&amp;" AS "&amp;F116&amp;"_SIMUL FROM "&amp;E116&amp;" WHERE "&amp;'0. Instruções'!$D$43&amp;")Y"</f>
        <v>(SELECT instrmnt_id AS instrmnt_id_SIMUL, accntng_clssfctn AS accntng_clssfctn_SIMUL FROM BU_LOANTAPE_WORK.SIMUL_LT002_INSTRUMENT WHERE ref_date='${ref_date}' AND nome_perimetro='Individual Local' AND segmento='ESTR' AND ambito='PILAR3' AND entidade='00100')Y</v>
      </c>
      <c r="K116" s="35" t="str">
        <f>+UPPER("ON X."&amp;VLOOKUP(B116,'0. Instruções'!$C$27:$G$32,4,FALSE)&amp;"=Y."&amp;VLOOKUP(B116,'0. Instruções'!$C$27:$G$32,4,FALSE)&amp;"_SIMUL")</f>
        <v>ON X.INSTRMNT_ID=Y.INSTRMNT_ID_SIMUL</v>
      </c>
      <c r="L116" s="35" t="str">
        <f>+IF(C116="Coerência", +IF(LEFT(G116,5)="FLOAT","SELECT '"&amp;UPPER(B116)&amp;"' AS TABELA, '"&amp;UPPER(C116)&amp;"' AS TIPOLOGIA_TESTE,'"&amp;D116&amp;"' AS TABELA_LT,'"&amp;E116&amp;"' AS TABELA_SIMUL,'"&amp;F116&amp;"' AS CAMPO, "&amp;"'${ref_date}' AS REF_DATE, COUNT(*) AS NUM_REG, SUM(IF((ABS(COALESCE(CAST(X."&amp;F116&amp;" AS DECIMAL(18,6)),0)-COALESCE(CAST(Y."&amp;F116&amp;"_SIMUL AS DECIMAL(18,6)),0))&gt;0.000001) OR (X."&amp;F116&amp;" IS NULL AND Y."&amp;F116&amp;"_SIMUL IS NOT NULL ) OR (X."&amp;F116&amp;" IS NOT NULL AND Y."&amp;F116&amp;"_SIMUL IS NULL),1,0)) AS NUM_REG_DIF,'"&amp;MAX('ID1&amp;5'!K:K)+1&amp;"' AS ID_EXEC, CURRENT_TIMESTAMP() AS TIME_EXEC FROM "&amp;I116&amp;" INNER JOIN "&amp;J116&amp;" "&amp;K116,"SELECT '"&amp;UPPER(B116)&amp;"' AS TABELA, '"&amp;UPPER(C116)&amp;"' AS TIPOLOGIA_TESTE,'"&amp;D116&amp;"' AS TABELA_LT,'"&amp;E116&amp;"' AS TABELA_SIMUL,'"&amp;F116&amp;"' AS CAMPO, "&amp;"'${ref_date}' AS REF_DATE, COUNT(*) AS NUM_REG, SUM(IF(COALESCE(CAST(X."&amp;F116&amp;" AS STRING),'')&lt;&gt;COALESCE(CAST(Y."&amp;F116&amp;"_SIMUL AS STRING),'') OR (X."&amp;F116&amp;" IS NULL AND Y."&amp;F116&amp;"_SIMUL IS NOT NULL ) OR (X."&amp;F116&amp;" IS NOT NULL AND Y."&amp;F116&amp;"_SIMUL IS NULL),1,0)) AS NUM_REG_DIF,'"&amp;MAX('ID1&amp;5'!L:L)+1&amp;"' AS ID_EXEC, CURRENT_TIMESTAMP() AS TIME_EXEC FROM "&amp;I116&amp;" INNER JOIN "&amp;J116&amp;" "&amp;K116),
IF(C116="Validade",+IF(G116="Code List","SELECT '"&amp;UPPER(B116)&amp;"' AS TABELA, '"&amp;UPPER(C116)&amp;"' AS TIPOLOGIA_TESTE,'"&amp;D116&amp;"' AS TABELA_LT,'N/A' AS TABELA_SIMUL,'"&amp;F116&amp;"' AS CAMPO, "&amp;"'${ref_date}' AS REF_DATE, COUNT(*) AS NUM_REG, SUM(IF(TRIM(CAST(X."&amp;F116&amp;" AS STRING))='' OR TRIM(CAST(X."&amp;F116&amp;" AS STRING)) IS NULL OR CAST(X."&amp;F116&amp;" AS STRING) NOT "&amp;H116&amp;",1,0)) AS NUM_REG_DIF,'"&amp;MAX('ID1&amp;5'!K:K)+1&amp;"' AS ID_EXEC, CURRENT_TIMESTAMP() AS TIME_EXEC FROM "&amp;I116,"SELECT '"&amp;UPPER(B116)&amp;"' AS TABELA, '"&amp;UPPER(C116)&amp;"' AS TIPOLOGIA_TESTE,'"&amp;D116&amp;"' AS TABELA_LT,'N/A' AS TABELA_SIMUL,'"&amp;F116&amp;"' AS CAMPO, "&amp;"'${ref_date}' AS REF_DATE, COUNT(*) AS NUM_REG, SUM(IF(TRIM(CAST(X."&amp;F116&amp;" AS STRING))='' OR TRIM(CAST(X."&amp;F116&amp;" AS STRING)) IS NULL,1,0)) AS NUM_REG_DIF,'"&amp;MAX('ID1&amp;5'!K:K)+1&amp;"' AS ID_EXEC, CURRENT_TIMESTAMP() AS TIME_EXEC FROM "&amp;I116),
IF(C116="Caracteres Especiais",+"SELECT '"&amp;UPPER(B116)&amp;"' AS TABELA, '"&amp;UPPER(C116)&amp;"' AS TIPOLOGIA_TESTE,'"&amp;D116&amp;"' AS TABELA_LT,'N/A' AS TABELA_SIMUL,'"&amp;F116&amp;"' AS CAMPO, "&amp;"'${ref_date}' AS REF_DATE, COUNT(*) AS NUM_REG, SUM(IF(REGEXP_REPLACE(TRIM(CAST(X."&amp;F116&amp;" AS STRING)),'[^a-zA-Z0-9_\\s]','') &lt;&gt;TRIM(CAST(X."&amp;F116&amp;" AS STRING)),1,0)) AS NUM_REG_DIF,'"&amp;MAX('ID1&amp;5'!K:K)+1&amp;"' AS ID_EXEC, CURRENT_TIMESTAMP() AS TIME_EXEC FROM "&amp;I116,
IF(C116="Missings",+"SELECT '"&amp;UPPER(B116)&amp;"' AS TABELA, '"&amp;UPPER(C116)&amp;"' AS TIPOLOGIA_TESTE,'"&amp;D116&amp;"' AS TABELA_LT,'N/A' AS TABELA_SIMUL,'"&amp;F116&amp;"' AS CAMPO, "&amp;"'${ref_date}' AS REF_DATE, COUNT(*) AS NUM_REG, SUM(IF(TRIM(CAST(X."&amp;F116&amp;" AS STRING)) IN ('0000-00-00','0001-01-01','9999-12-31','MISS','00000','99999999999','99999999999.00','99999999999.000000'),1,0)) AS NUM_REG_DIF,'"&amp;MAX('ID1&amp;5'!K:K)+1&amp;"' AS ID_EXEC, CURRENT_TIMESTAMP() AS TIME_EXEC FROM "&amp;I116,
IF(C116="Not applicable",+"SELECT '"&amp;UPPER(B116)&amp;"' AS TABELA, '"&amp;UPPER(C116)&amp;"' AS TIPOLOGIA_TESTE,'"&amp;D116&amp;"' AS TABELA_LT,'N/A' AS TABELA_SIMUL,'"&amp;F116&amp;"' AS CAMPO, "&amp;"'${ref_date}' AS REF_DATE, COUNT(*) AS NUM_REG, SUM(IF(TRIM(CAST(X."&amp;F116&amp;" AS STRING)) IN ('N/A','11111111111','11111111111.00','11111111111.000000','1111-11-11'),1,0)) AS NUM_REG_DIF,'"&amp;MAX('ID1&amp;5'!K:K)+1&amp;"' AS ID_EXEC, CURRENT_TIMESTAMP() AS TIME_EXEC FROM "&amp;I116,
IF(C116="Valores extremos",+"SELECT '"&amp;UPPER(B116)&amp;"' AS TABELA, '"&amp;UPPER(C116)&amp;"' AS TIPOLOGIA_TESTE,'"&amp;D116&amp;"' AS TABELA_LT,'N/A' AS TABELA_SIMUL,'"&amp;F116&amp;"' AS CAMPO, "&amp;"'${ref_date}' AS REF_DATE, CAST(MIN("&amp;F116&amp;") AS STRING) AS VALOR_MIN, CAST(MAX("&amp;F116&amp;") AS STRING) AS VALOR_MAX,'"&amp;MAX('ID1&amp;5'!K:K)+1&amp;"' AS ID_EXEC, CURRENT_TIMESTAMP() AS TIME_EXEC FROM "&amp;MID(I116,1,LEN(I116)-2)&amp;" AND CAST("&amp;F116&amp;"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TABELA_SIMUL,'accntng_clssfctn' AS CAMPO, '${ref_date}' AS REF_DATE, COUNT(*) AS NUM_REG, SUM(IF(COALESCE(CAST(X.accntng_clssfctn AS STRING),'')&lt;&gt;COALESCE(CAST(Y.accntng_clssfctn_SIMUL AS STRING),'') OR (X.accntng_clssfctn IS NULL AND Y.accntng_clssfctn_SIMUL IS NOT NULL ) OR (X.accntng_clssfctn IS NOT NULL AND Y.accntng_clssfctn_SIMUL IS NULL),1,0)) AS NUM_REG_DIF,'1' AS ID_EXEC, CURRENT_TIMESTAMP() AS TIME_EXEC FROM (SELECT instrmnt_id, accntng_clssfctn FROM BU_LOANTAPE_WORK.LT002_INSTRUMENT WHERE ref_date='${ref_date}' AND nome_perimetro='Individual Local' AND segmento='ESTR' AND ambito='SRB_MBDT' AND entidade='00100')X INNER JOIN (SELECT instrmnt_id AS instrmnt_id_SIMUL, accntng_clssfctn AS accntng_clssfctn_SIMUL FROM BU_LOANTAPE_WORK.SIMUL_LT002_INSTRUMENT WHERE ref_date='${ref_date}' AND nome_perimetro='Individual Local' AND segmento='ESTR' AND ambito='PILAR3' AND entidade='00100')Y ON X.INSTRMNT_ID=Y.INSTRMNT_ID_SIMUL</v>
      </c>
      <c r="M116" s="36" t="str">
        <f t="shared" si="4"/>
        <v>UNION ALL SELECT 'INSTRUMENT' AS TABELA, 'COERÊNCIA' AS TIPOLOGIA_TESTE,'BU_LOANTAPE_WORK.LT002_INSTRUMENT' AS TABELA_LT,'BU_LOANTAPE_WORK.SIMUL_LT002_INSTRUMENT' AS TABELA_SIMUL,'accntng_clssfctn' AS CAMPO, '${ref_date}' AS REF_DATE, COUNT(*) AS NUM_REG, SUM(IF(COALESCE(CAST(X.accntng_clssfctn AS STRING),'')&lt;&gt;COALESCE(CAST(Y.accntng_clssfctn_SIMUL AS STRING),'') OR (X.accntng_clssfctn IS NULL AND Y.accntng_clssfctn_SIMUL IS NOT NULL ) OR (X.accntng_clssfctn IS NOT NULL AND Y.accntng_clssfctn_SIMUL IS NULL),1,0)) AS NUM_REG_DIF,'1' AS ID_EXEC, CURRENT_TIMESTAMP() AS TIME_EXEC FROM (SELECT instrmnt_id, accntng_clssfctn FROM BU_LOANTAPE_WORK.LT002_INSTRUMENT WHERE ref_date='${ref_date}' AND nome_perimetro='Individual Local' AND segmento='ESTR' AND ambito='SRB_MBDT' AND entidade='00100')X INNER JOIN (SELECT instrmnt_id AS instrmnt_id_SIMUL, accntng_clssfctn AS accntng_clssfctn_SIMUL FROM BU_LOANTAPE_WORK.SIMUL_LT002_INSTRUMENT WHERE ref_date='${ref_date}' AND nome_perimetro='Individual Local' AND segmento='ESTR' AND ambito='PILAR3' AND entidade='00100')Y ON X.INSTRMNT_ID=Y.INSTRMNT_ID_SIMUL</v>
      </c>
      <c r="N116" s="38"/>
    </row>
    <row r="117" spans="2:14">
      <c r="B117" s="34" t="s">
        <v>117</v>
      </c>
      <c r="C117" s="34" t="s">
        <v>5</v>
      </c>
      <c r="D117" s="34" t="str">
        <f>+UPPER('0. Instruções'!$D$35&amp;"."&amp;VLOOKUP(B117,'0. Instruções'!$C$27:$D$32,2,FALSE))</f>
        <v>BU_LOANTAPE_WORK.LT002_INSTRUMENT</v>
      </c>
      <c r="E117" s="34" t="str">
        <f>+UPPER('0. Instruções'!$D$36&amp;"."&amp;VLOOKUP(B117,'0. Instruções'!$C$27:$E$32,3,FALSE))</f>
        <v>BU_LOANTAPE_WORK.SIMUL_LT002_INSTRUMENT</v>
      </c>
      <c r="F117" s="34" t="s">
        <v>1188</v>
      </c>
      <c r="G117" s="34"/>
      <c r="H117" s="34"/>
      <c r="I117" s="34" t="str">
        <f>"(SELECT "&amp;VLOOKUP(B117,'0. Instruções'!$C$27:$G$32,4,FALSE)&amp;", "&amp;F117&amp;" FROM "&amp;D117&amp;" WHERE "&amp;'0. Instruções'!$D$42&amp;")X"</f>
        <v>(SELECT instrmnt_id, accrd_intrst_instrmnt FROM BU_LOANTAPE_WORK.LT002_INSTRUMENT WHERE ref_date='${ref_date}' AND nome_perimetro='Individual Local' AND segmento='ESTR' AND ambito='SRB_MBDT' AND entidade='00100')X</v>
      </c>
      <c r="J117" s="34" t="str">
        <f>"(SELECT "&amp;VLOOKUP(B117,'0. Instruções'!$C$27:$G$32,4,FALSE)&amp;" AS "&amp;VLOOKUP(B117,'0. Instruções'!$C$27:$G$32,4,FALSE)&amp;"_SIMUL, "&amp;F117&amp;" AS "&amp;F117&amp;"_SIMUL FROM "&amp;E117&amp;" WHERE "&amp;'0. Instruções'!$D$43&amp;")Y"</f>
        <v>(SELECT instrmnt_id AS instrmnt_id_SIMUL, accrd_intrst_instrmnt AS accrd_intrst_instrmnt_SIMUL FROM BU_LOANTAPE_WORK.SIMUL_LT002_INSTRUMENT WHERE ref_date='${ref_date}' AND nome_perimetro='Individual Local' AND segmento='ESTR' AND ambito='PILAR3' AND entidade='00100')Y</v>
      </c>
      <c r="K117" s="35" t="str">
        <f>+UPPER("ON X."&amp;VLOOKUP(B117,'0. Instruções'!$C$27:$G$32,4,FALSE)&amp;"=Y."&amp;VLOOKUP(B117,'0. Instruções'!$C$27:$G$32,4,FALSE)&amp;"_SIMUL")</f>
        <v>ON X.INSTRMNT_ID=Y.INSTRMNT_ID_SIMUL</v>
      </c>
      <c r="L117" s="35" t="str">
        <f>+IF(C117="Coerência", +IF(LEFT(G117,5)="FLOAT","SELECT '"&amp;UPPER(B117)&amp;"' AS TABELA, '"&amp;UPPER(C117)&amp;"' AS TIPOLOGIA_TESTE,'"&amp;D117&amp;"' AS TABELA_LT,'"&amp;E117&amp;"' AS TABELA_SIMUL,'"&amp;F117&amp;"' AS CAMPO, "&amp;"'${ref_date}' AS REF_DATE, COUNT(*) AS NUM_REG, SUM(IF((ABS(COALESCE(CAST(X."&amp;F117&amp;" AS DECIMAL(18,6)),0)-COALESCE(CAST(Y."&amp;F117&amp;"_SIMUL AS DECIMAL(18,6)),0))&gt;0.000001) OR (X."&amp;F117&amp;" IS NULL AND Y."&amp;F117&amp;"_SIMUL IS NOT NULL ) OR (X."&amp;F117&amp;" IS NOT NULL AND Y."&amp;F117&amp;"_SIMUL IS NULL),1,0)) AS NUM_REG_DIF,'"&amp;MAX('ID1&amp;5'!K:K)+1&amp;"' AS ID_EXEC, CURRENT_TIMESTAMP() AS TIME_EXEC FROM "&amp;I117&amp;" INNER JOIN "&amp;J117&amp;" "&amp;K117,"SELECT '"&amp;UPPER(B117)&amp;"' AS TABELA, '"&amp;UPPER(C117)&amp;"' AS TIPOLOGIA_TESTE,'"&amp;D117&amp;"' AS TABELA_LT,'"&amp;E117&amp;"' AS TABELA_SIMUL,'"&amp;F117&amp;"' AS CAMPO, "&amp;"'${ref_date}' AS REF_DATE, COUNT(*) AS NUM_REG, SUM(IF(COALESCE(CAST(X."&amp;F117&amp;" AS STRING),'')&lt;&gt;COALESCE(CAST(Y."&amp;F117&amp;"_SIMUL AS STRING),'') OR (X."&amp;F117&amp;" IS NULL AND Y."&amp;F117&amp;"_SIMUL IS NOT NULL ) OR (X."&amp;F117&amp;" IS NOT NULL AND Y."&amp;F117&amp;"_SIMUL IS NULL),1,0)) AS NUM_REG_DIF,'"&amp;MAX('ID1&amp;5'!L:L)+1&amp;"' AS ID_EXEC, CURRENT_TIMESTAMP() AS TIME_EXEC FROM "&amp;I117&amp;" INNER JOIN "&amp;J117&amp;" "&amp;K117),
IF(C117="Validade",+IF(G117="Code List","SELECT '"&amp;UPPER(B117)&amp;"' AS TABELA, '"&amp;UPPER(C117)&amp;"' AS TIPOLOGIA_TESTE,'"&amp;D117&amp;"' AS TABELA_LT,'N/A' AS TABELA_SIMUL,'"&amp;F117&amp;"' AS CAMPO, "&amp;"'${ref_date}' AS REF_DATE, COUNT(*) AS NUM_REG, SUM(IF(TRIM(CAST(X."&amp;F117&amp;" AS STRING))='' OR TRIM(CAST(X."&amp;F117&amp;" AS STRING)) IS NULL OR CAST(X."&amp;F117&amp;" AS STRING) NOT "&amp;H117&amp;",1,0)) AS NUM_REG_DIF,'"&amp;MAX('ID1&amp;5'!K:K)+1&amp;"' AS ID_EXEC, CURRENT_TIMESTAMP() AS TIME_EXEC FROM "&amp;I117,"SELECT '"&amp;UPPER(B117)&amp;"' AS TABELA, '"&amp;UPPER(C117)&amp;"' AS TIPOLOGIA_TESTE,'"&amp;D117&amp;"' AS TABELA_LT,'N/A' AS TABELA_SIMUL,'"&amp;F117&amp;"' AS CAMPO, "&amp;"'${ref_date}' AS REF_DATE, COUNT(*) AS NUM_REG, SUM(IF(TRIM(CAST(X."&amp;F117&amp;" AS STRING))='' OR TRIM(CAST(X."&amp;F117&amp;" AS STRING)) IS NULL,1,0)) AS NUM_REG_DIF,'"&amp;MAX('ID1&amp;5'!K:K)+1&amp;"' AS ID_EXEC, CURRENT_TIMESTAMP() AS TIME_EXEC FROM "&amp;I117),
IF(C117="Caracteres Especiais",+"SELECT '"&amp;UPPER(B117)&amp;"' AS TABELA, '"&amp;UPPER(C117)&amp;"' AS TIPOLOGIA_TESTE,'"&amp;D117&amp;"' AS TABELA_LT,'N/A' AS TABELA_SIMUL,'"&amp;F117&amp;"' AS CAMPO, "&amp;"'${ref_date}' AS REF_DATE, COUNT(*) AS NUM_REG, SUM(IF(REGEXP_REPLACE(TRIM(CAST(X."&amp;F117&amp;" AS STRING)),'[^a-zA-Z0-9_\\s]','') &lt;&gt;TRIM(CAST(X."&amp;F117&amp;" AS STRING)),1,0)) AS NUM_REG_DIF,'"&amp;MAX('ID1&amp;5'!K:K)+1&amp;"' AS ID_EXEC, CURRENT_TIMESTAMP() AS TIME_EXEC FROM "&amp;I117,
IF(C117="Missings",+"SELECT '"&amp;UPPER(B117)&amp;"' AS TABELA, '"&amp;UPPER(C117)&amp;"' AS TIPOLOGIA_TESTE,'"&amp;D117&amp;"' AS TABELA_LT,'N/A' AS TABELA_SIMUL,'"&amp;F117&amp;"' AS CAMPO, "&amp;"'${ref_date}' AS REF_DATE, COUNT(*) AS NUM_REG, SUM(IF(TRIM(CAST(X."&amp;F117&amp;" AS STRING)) IN ('0000-00-00','0001-01-01','9999-12-31','MISS','00000','99999999999','99999999999.00','99999999999.000000'),1,0)) AS NUM_REG_DIF,'"&amp;MAX('ID1&amp;5'!K:K)+1&amp;"' AS ID_EXEC, CURRENT_TIMESTAMP() AS TIME_EXEC FROM "&amp;I117,
IF(C117="Not applicable",+"SELECT '"&amp;UPPER(B117)&amp;"' AS TABELA, '"&amp;UPPER(C117)&amp;"' AS TIPOLOGIA_TESTE,'"&amp;D117&amp;"' AS TABELA_LT,'N/A' AS TABELA_SIMUL,'"&amp;F117&amp;"' AS CAMPO, "&amp;"'${ref_date}' AS REF_DATE, COUNT(*) AS NUM_REG, SUM(IF(TRIM(CAST(X."&amp;F117&amp;" AS STRING)) IN ('N/A','11111111111','11111111111.00','11111111111.000000','1111-11-11'),1,0)) AS NUM_REG_DIF,'"&amp;MAX('ID1&amp;5'!K:K)+1&amp;"' AS ID_EXEC, CURRENT_TIMESTAMP() AS TIME_EXEC FROM "&amp;I117,
IF(C117="Valores extremos",+"SELECT '"&amp;UPPER(B117)&amp;"' AS TABELA, '"&amp;UPPER(C117)&amp;"' AS TIPOLOGIA_TESTE,'"&amp;D117&amp;"' AS TABELA_LT,'N/A' AS TABELA_SIMUL,'"&amp;F117&amp;"' AS CAMPO, "&amp;"'${ref_date}' AS REF_DATE, CAST(MIN("&amp;F117&amp;") AS STRING) AS VALOR_MIN, CAST(MAX("&amp;F117&amp;") AS STRING) AS VALOR_MAX,'"&amp;MAX('ID1&amp;5'!K:K)+1&amp;"' AS ID_EXEC, CURRENT_TIMESTAMP() AS TIME_EXEC FROM "&amp;MID(I117,1,LEN(I117)-2)&amp;" AND CAST("&amp;F117&amp;"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TABELA_SIMUL,'accrd_intrst_instrmnt' AS CAMPO, '${ref_date}' AS REF_DATE, COUNT(*) AS NUM_REG, SUM(IF(COALESCE(CAST(X.accrd_intrst_instrmnt AS STRING),'')&lt;&gt;COALESCE(CAST(Y.accrd_intrst_instrmnt_SIMUL AS STRING),'') OR (X.accrd_intrst_instrmnt IS NULL AND Y.accrd_intrst_instrmnt_SIMUL IS NOT NULL ) OR (X.accrd_intrst_instrmnt IS NOT NULL AND Y.accrd_intrst_instrmnt_SIMUL IS NULL),1,0)) AS NUM_REG_DIF,'1' AS ID_EXEC, CURRENT_TIMESTAMP() AS TIME_EXEC FROM (SELECT instrmnt_id, accrd_intrst_instrmnt FROM BU_LOANTAPE_WORK.LT002_INSTRUMENT WHERE ref_date='${ref_date}' AND nome_perimetro='Individual Local' AND segmento='ESTR' AND ambito='SRB_MBDT' AND entidade='00100')X INNER JOIN (SELECT instrmnt_id AS instrmnt_id_SIMUL, accrd_intrst_instrmnt AS accrd_intrst_instrmnt_SIMUL FROM BU_LOANTAPE_WORK.SIMUL_LT002_INSTRUMENT WHERE ref_date='${ref_date}' AND nome_perimetro='Individual Local' AND segmento='ESTR' AND ambito='PILAR3' AND entidade='00100')Y ON X.INSTRMNT_ID=Y.INSTRMNT_ID_SIMUL</v>
      </c>
      <c r="M117" s="36" t="str">
        <f t="shared" si="4"/>
        <v>UNION ALL SELECT 'INSTRUMENT' AS TABELA, 'COERÊNCIA' AS TIPOLOGIA_TESTE,'BU_LOANTAPE_WORK.LT002_INSTRUMENT' AS TABELA_LT,'BU_LOANTAPE_WORK.SIMUL_LT002_INSTRUMENT' AS TABELA_SIMUL,'accrd_intrst_instrmnt' AS CAMPO, '${ref_date}' AS REF_DATE, COUNT(*) AS NUM_REG, SUM(IF(COALESCE(CAST(X.accrd_intrst_instrmnt AS STRING),'')&lt;&gt;COALESCE(CAST(Y.accrd_intrst_instrmnt_SIMUL AS STRING),'') OR (X.accrd_intrst_instrmnt IS NULL AND Y.accrd_intrst_instrmnt_SIMUL IS NOT NULL ) OR (X.accrd_intrst_instrmnt IS NOT NULL AND Y.accrd_intrst_instrmnt_SIMUL IS NULL),1,0)) AS NUM_REG_DIF,'1' AS ID_EXEC, CURRENT_TIMESTAMP() AS TIME_EXEC FROM (SELECT instrmnt_id, accrd_intrst_instrmnt FROM BU_LOANTAPE_WORK.LT002_INSTRUMENT WHERE ref_date='${ref_date}' AND nome_perimetro='Individual Local' AND segmento='ESTR' AND ambito='SRB_MBDT' AND entidade='00100')X INNER JOIN (SELECT instrmnt_id AS instrmnt_id_SIMUL, accrd_intrst_instrmnt AS accrd_intrst_instrmnt_SIMUL FROM BU_LOANTAPE_WORK.SIMUL_LT002_INSTRUMENT WHERE ref_date='${ref_date}' AND nome_perimetro='Individual Local' AND segmento='ESTR' AND ambito='PILAR3' AND entidade='00100')Y ON X.INSTRMNT_ID=Y.INSTRMNT_ID_SIMUL</v>
      </c>
      <c r="N117" s="38"/>
    </row>
    <row r="118" spans="2:14">
      <c r="B118" s="34" t="s">
        <v>117</v>
      </c>
      <c r="C118" s="34" t="s">
        <v>5</v>
      </c>
      <c r="D118" s="34" t="str">
        <f>+UPPER('0. Instruções'!$D$35&amp;"."&amp;VLOOKUP(B118,'0. Instruções'!$C$27:$D$32,2,FALSE))</f>
        <v>BU_LOANTAPE_WORK.LT002_INSTRUMENT</v>
      </c>
      <c r="E118" s="34" t="str">
        <f>+UPPER('0. Instruções'!$D$36&amp;"."&amp;VLOOKUP(B118,'0. Instruções'!$C$27:$E$32,3,FALSE))</f>
        <v>BU_LOANTAPE_WORK.SIMUL_LT002_INSTRUMENT</v>
      </c>
      <c r="F118" s="34" t="s">
        <v>1189</v>
      </c>
      <c r="G118" s="34"/>
      <c r="H118" s="34"/>
      <c r="I118" s="34" t="str">
        <f>"(SELECT "&amp;VLOOKUP(B118,'0. Instruções'!$C$27:$G$32,4,FALSE)&amp;", "&amp;F118&amp;" FROM "&amp;D118&amp;" WHERE "&amp;'0. Instruções'!$D$42&amp;")X"</f>
        <v>(SELECT instrmnt_id, amnt_d_at_mtrty FROM BU_LOANTAPE_WORK.LT002_INSTRUMENT WHERE ref_date='${ref_date}' AND nome_perimetro='Individual Local' AND segmento='ESTR' AND ambito='SRB_MBDT' AND entidade='00100')X</v>
      </c>
      <c r="J118" s="34" t="str">
        <f>"(SELECT "&amp;VLOOKUP(B118,'0. Instruções'!$C$27:$G$32,4,FALSE)&amp;" AS "&amp;VLOOKUP(B118,'0. Instruções'!$C$27:$G$32,4,FALSE)&amp;"_SIMUL, "&amp;F118&amp;" AS "&amp;F118&amp;"_SIMUL FROM "&amp;E118&amp;" WHERE "&amp;'0. Instruções'!$D$43&amp;")Y"</f>
        <v>(SELECT instrmnt_id AS instrmnt_id_SIMUL, amnt_d_at_mtrty AS amnt_d_at_mtrty_SIMUL FROM BU_LOANTAPE_WORK.SIMUL_LT002_INSTRUMENT WHERE ref_date='${ref_date}' AND nome_perimetro='Individual Local' AND segmento='ESTR' AND ambito='PILAR3' AND entidade='00100')Y</v>
      </c>
      <c r="K118" s="35" t="str">
        <f>+UPPER("ON X."&amp;VLOOKUP(B118,'0. Instruções'!$C$27:$G$32,4,FALSE)&amp;"=Y."&amp;VLOOKUP(B118,'0. Instruções'!$C$27:$G$32,4,FALSE)&amp;"_SIMUL")</f>
        <v>ON X.INSTRMNT_ID=Y.INSTRMNT_ID_SIMUL</v>
      </c>
      <c r="L118" s="35" t="str">
        <f>+IF(C118="Coerência", +IF(LEFT(G118,5)="FLOAT","SELECT '"&amp;UPPER(B118)&amp;"' AS TABELA, '"&amp;UPPER(C118)&amp;"' AS TIPOLOGIA_TESTE,'"&amp;D118&amp;"' AS TABELA_LT,'"&amp;E118&amp;"' AS TABELA_SIMUL,'"&amp;F118&amp;"' AS CAMPO, "&amp;"'${ref_date}' AS REF_DATE, COUNT(*) AS NUM_REG, SUM(IF((ABS(COALESCE(CAST(X."&amp;F118&amp;" AS DECIMAL(18,6)),0)-COALESCE(CAST(Y."&amp;F118&amp;"_SIMUL AS DECIMAL(18,6)),0))&gt;0.000001) OR (X."&amp;F118&amp;" IS NULL AND Y."&amp;F118&amp;"_SIMUL IS NOT NULL ) OR (X."&amp;F118&amp;" IS NOT NULL AND Y."&amp;F118&amp;"_SIMUL IS NULL),1,0)) AS NUM_REG_DIF,'"&amp;MAX('ID1&amp;5'!K:K)+1&amp;"' AS ID_EXEC, CURRENT_TIMESTAMP() AS TIME_EXEC FROM "&amp;I118&amp;" INNER JOIN "&amp;J118&amp;" "&amp;K118,"SELECT '"&amp;UPPER(B118)&amp;"' AS TABELA, '"&amp;UPPER(C118)&amp;"' AS TIPOLOGIA_TESTE,'"&amp;D118&amp;"' AS TABELA_LT,'"&amp;E118&amp;"' AS TABELA_SIMUL,'"&amp;F118&amp;"' AS CAMPO, "&amp;"'${ref_date}' AS REF_DATE, COUNT(*) AS NUM_REG, SUM(IF(COALESCE(CAST(X."&amp;F118&amp;" AS STRING),'')&lt;&gt;COALESCE(CAST(Y."&amp;F118&amp;"_SIMUL AS STRING),'') OR (X."&amp;F118&amp;" IS NULL AND Y."&amp;F118&amp;"_SIMUL IS NOT NULL ) OR (X."&amp;F118&amp;" IS NOT NULL AND Y."&amp;F118&amp;"_SIMUL IS NULL),1,0)) AS NUM_REG_DIF,'"&amp;MAX('ID1&amp;5'!L:L)+1&amp;"' AS ID_EXEC, CURRENT_TIMESTAMP() AS TIME_EXEC FROM "&amp;I118&amp;" INNER JOIN "&amp;J118&amp;" "&amp;K118),
IF(C118="Validade",+IF(G118="Code List","SELECT '"&amp;UPPER(B118)&amp;"' AS TABELA, '"&amp;UPPER(C118)&amp;"' AS TIPOLOGIA_TESTE,'"&amp;D118&amp;"' AS TABELA_LT,'N/A' AS TABELA_SIMUL,'"&amp;F118&amp;"' AS CAMPO, "&amp;"'${ref_date}' AS REF_DATE, COUNT(*) AS NUM_REG, SUM(IF(TRIM(CAST(X."&amp;F118&amp;" AS STRING))='' OR TRIM(CAST(X."&amp;F118&amp;" AS STRING)) IS NULL OR CAST(X."&amp;F118&amp;" AS STRING) NOT "&amp;H118&amp;",1,0)) AS NUM_REG_DIF,'"&amp;MAX('ID1&amp;5'!K:K)+1&amp;"' AS ID_EXEC, CURRENT_TIMESTAMP() AS TIME_EXEC FROM "&amp;I118,"SELECT '"&amp;UPPER(B118)&amp;"' AS TABELA, '"&amp;UPPER(C118)&amp;"' AS TIPOLOGIA_TESTE,'"&amp;D118&amp;"' AS TABELA_LT,'N/A' AS TABELA_SIMUL,'"&amp;F118&amp;"' AS CAMPO, "&amp;"'${ref_date}' AS REF_DATE, COUNT(*) AS NUM_REG, SUM(IF(TRIM(CAST(X."&amp;F118&amp;" AS STRING))='' OR TRIM(CAST(X."&amp;F118&amp;" AS STRING)) IS NULL,1,0)) AS NUM_REG_DIF,'"&amp;MAX('ID1&amp;5'!K:K)+1&amp;"' AS ID_EXEC, CURRENT_TIMESTAMP() AS TIME_EXEC FROM "&amp;I118),
IF(C118="Caracteres Especiais",+"SELECT '"&amp;UPPER(B118)&amp;"' AS TABELA, '"&amp;UPPER(C118)&amp;"' AS TIPOLOGIA_TESTE,'"&amp;D118&amp;"' AS TABELA_LT,'N/A' AS TABELA_SIMUL,'"&amp;F118&amp;"' AS CAMPO, "&amp;"'${ref_date}' AS REF_DATE, COUNT(*) AS NUM_REG, SUM(IF(REGEXP_REPLACE(TRIM(CAST(X."&amp;F118&amp;" AS STRING)),'[^a-zA-Z0-9_\\s]','') &lt;&gt;TRIM(CAST(X."&amp;F118&amp;" AS STRING)),1,0)) AS NUM_REG_DIF,'"&amp;MAX('ID1&amp;5'!K:K)+1&amp;"' AS ID_EXEC, CURRENT_TIMESTAMP() AS TIME_EXEC FROM "&amp;I118,
IF(C118="Missings",+"SELECT '"&amp;UPPER(B118)&amp;"' AS TABELA, '"&amp;UPPER(C118)&amp;"' AS TIPOLOGIA_TESTE,'"&amp;D118&amp;"' AS TABELA_LT,'N/A' AS TABELA_SIMUL,'"&amp;F118&amp;"' AS CAMPO, "&amp;"'${ref_date}' AS REF_DATE, COUNT(*) AS NUM_REG, SUM(IF(TRIM(CAST(X."&amp;F118&amp;" AS STRING)) IN ('0000-00-00','0001-01-01','9999-12-31','MISS','00000','99999999999','99999999999.00','99999999999.000000'),1,0)) AS NUM_REG_DIF,'"&amp;MAX('ID1&amp;5'!K:K)+1&amp;"' AS ID_EXEC, CURRENT_TIMESTAMP() AS TIME_EXEC FROM "&amp;I118,
IF(C118="Not applicable",+"SELECT '"&amp;UPPER(B118)&amp;"' AS TABELA, '"&amp;UPPER(C118)&amp;"' AS TIPOLOGIA_TESTE,'"&amp;D118&amp;"' AS TABELA_LT,'N/A' AS TABELA_SIMUL,'"&amp;F118&amp;"' AS CAMPO, "&amp;"'${ref_date}' AS REF_DATE, COUNT(*) AS NUM_REG, SUM(IF(TRIM(CAST(X."&amp;F118&amp;" AS STRING)) IN ('N/A','11111111111','11111111111.00','11111111111.000000','1111-11-11'),1,0)) AS NUM_REG_DIF,'"&amp;MAX('ID1&amp;5'!K:K)+1&amp;"' AS ID_EXEC, CURRENT_TIMESTAMP() AS TIME_EXEC FROM "&amp;I118,
IF(C118="Valores extremos",+"SELECT '"&amp;UPPER(B118)&amp;"' AS TABELA, '"&amp;UPPER(C118)&amp;"' AS TIPOLOGIA_TESTE,'"&amp;D118&amp;"' AS TABELA_LT,'N/A' AS TABELA_SIMUL,'"&amp;F118&amp;"' AS CAMPO, "&amp;"'${ref_date}' AS REF_DATE, CAST(MIN("&amp;F118&amp;") AS STRING) AS VALOR_MIN, CAST(MAX("&amp;F118&amp;") AS STRING) AS VALOR_MAX,'"&amp;MAX('ID1&amp;5'!K:K)+1&amp;"' AS ID_EXEC, CURRENT_TIMESTAMP() AS TIME_EXEC FROM "&amp;MID(I118,1,LEN(I118)-2)&amp;" AND CAST("&amp;F118&amp;"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TABELA_SIMUL,'amnt_d_at_mtrty' AS CAMPO, '${ref_date}' AS REF_DATE, COUNT(*) AS NUM_REG, SUM(IF(COALESCE(CAST(X.amnt_d_at_mtrty AS STRING),'')&lt;&gt;COALESCE(CAST(Y.amnt_d_at_mtrty_SIMUL AS STRING),'') OR (X.amnt_d_at_mtrty IS NULL AND Y.amnt_d_at_mtrty_SIMUL IS NOT NULL ) OR (X.amnt_d_at_mtrty IS NOT NULL AND Y.amnt_d_at_mtrty_SIMUL IS NULL),1,0)) AS NUM_REG_DIF,'1' AS ID_EXEC, CURRENT_TIMESTAMP() AS TIME_EXEC FROM (SELECT instrmnt_id, amnt_d_at_mtrty FROM BU_LOANTAPE_WORK.LT002_INSTRUMENT WHERE ref_date='${ref_date}' AND nome_perimetro='Individual Local' AND segmento='ESTR' AND ambito='SRB_MBDT' AND entidade='00100')X INNER JOIN (SELECT instrmnt_id AS instrmnt_id_SIMUL, amnt_d_at_mtrty AS amnt_d_at_mtrty_SIMUL FROM BU_LOANTAPE_WORK.SIMUL_LT002_INSTRUMENT WHERE ref_date='${ref_date}' AND nome_perimetro='Individual Local' AND segmento='ESTR' AND ambito='PILAR3' AND entidade='00100')Y ON X.INSTRMNT_ID=Y.INSTRMNT_ID_SIMUL</v>
      </c>
      <c r="M118" s="36" t="str">
        <f t="shared" si="4"/>
        <v>UNION ALL SELECT 'INSTRUMENT' AS TABELA, 'COERÊNCIA' AS TIPOLOGIA_TESTE,'BU_LOANTAPE_WORK.LT002_INSTRUMENT' AS TABELA_LT,'BU_LOANTAPE_WORK.SIMUL_LT002_INSTRUMENT' AS TABELA_SIMUL,'amnt_d_at_mtrty' AS CAMPO, '${ref_date}' AS REF_DATE, COUNT(*) AS NUM_REG, SUM(IF(COALESCE(CAST(X.amnt_d_at_mtrty AS STRING),'')&lt;&gt;COALESCE(CAST(Y.amnt_d_at_mtrty_SIMUL AS STRING),'') OR (X.amnt_d_at_mtrty IS NULL AND Y.amnt_d_at_mtrty_SIMUL IS NOT NULL ) OR (X.amnt_d_at_mtrty IS NOT NULL AND Y.amnt_d_at_mtrty_SIMUL IS NULL),1,0)) AS NUM_REG_DIF,'1' AS ID_EXEC, CURRENT_TIMESTAMP() AS TIME_EXEC FROM (SELECT instrmnt_id, amnt_d_at_mtrty FROM BU_LOANTAPE_WORK.LT002_INSTRUMENT WHERE ref_date='${ref_date}' AND nome_perimetro='Individual Local' AND segmento='ESTR' AND ambito='SRB_MBDT' AND entidade='00100')X INNER JOIN (SELECT instrmnt_id AS instrmnt_id_SIMUL, amnt_d_at_mtrty AS amnt_d_at_mtrty_SIMUL FROM BU_LOANTAPE_WORK.SIMUL_LT002_INSTRUMENT WHERE ref_date='${ref_date}' AND nome_perimetro='Individual Local' AND segmento='ESTR' AND ambito='PILAR3' AND entidade='00100')Y ON X.INSTRMNT_ID=Y.INSTRMNT_ID_SIMUL</v>
      </c>
      <c r="N118" s="38"/>
    </row>
    <row r="119" spans="2:14">
      <c r="B119" s="34" t="s">
        <v>117</v>
      </c>
      <c r="C119" s="34" t="s">
        <v>5</v>
      </c>
      <c r="D119" s="34" t="str">
        <f>+UPPER('0. Instruções'!$D$35&amp;"."&amp;VLOOKUP(B119,'0. Instruções'!$C$27:$D$32,2,FALSE))</f>
        <v>BU_LOANTAPE_WORK.LT002_INSTRUMENT</v>
      </c>
      <c r="E119" s="34" t="str">
        <f>+UPPER('0. Instruções'!$D$36&amp;"."&amp;VLOOKUP(B119,'0. Instruções'!$C$27:$E$32,3,FALSE))</f>
        <v>BU_LOANTAPE_WORK.SIMUL_LT002_INSTRUMENT</v>
      </c>
      <c r="F119" s="34" t="s">
        <v>1190</v>
      </c>
      <c r="G119" s="34"/>
      <c r="H119" s="34"/>
      <c r="I119" s="34" t="str">
        <f>"(SELECT "&amp;VLOOKUP(B119,'0. Instruções'!$C$27:$G$32,4,FALSE)&amp;", "&amp;F119&amp;" FROM "&amp;D119&amp;" WHERE "&amp;'0. Instruções'!$D$42&amp;")X"</f>
        <v>(SELECT instrmnt_id, ccf FROM BU_LOANTAPE_WORK.LT002_INSTRUMENT WHERE ref_date='${ref_date}' AND nome_perimetro='Individual Local' AND segmento='ESTR' AND ambito='SRB_MBDT' AND entidade='00100')X</v>
      </c>
      <c r="J119" s="34" t="str">
        <f>"(SELECT "&amp;VLOOKUP(B119,'0. Instruções'!$C$27:$G$32,4,FALSE)&amp;" AS "&amp;VLOOKUP(B119,'0. Instruções'!$C$27:$G$32,4,FALSE)&amp;"_SIMUL, "&amp;F119&amp;" AS "&amp;F119&amp;"_SIMUL FROM "&amp;E119&amp;" WHERE "&amp;'0. Instruções'!$D$43&amp;")Y"</f>
        <v>(SELECT instrmnt_id AS instrmnt_id_SIMUL, ccf AS ccf_SIMUL FROM BU_LOANTAPE_WORK.SIMUL_LT002_INSTRUMENT WHERE ref_date='${ref_date}' AND nome_perimetro='Individual Local' AND segmento='ESTR' AND ambito='PILAR3' AND entidade='00100')Y</v>
      </c>
      <c r="K119" s="35" t="str">
        <f>+UPPER("ON X."&amp;VLOOKUP(B119,'0. Instruções'!$C$27:$G$32,4,FALSE)&amp;"=Y."&amp;VLOOKUP(B119,'0. Instruções'!$C$27:$G$32,4,FALSE)&amp;"_SIMUL")</f>
        <v>ON X.INSTRMNT_ID=Y.INSTRMNT_ID_SIMUL</v>
      </c>
      <c r="L119" s="35" t="str">
        <f>+IF(C119="Coerência", +IF(LEFT(G119,5)="FLOAT","SELECT '"&amp;UPPER(B119)&amp;"' AS TABELA, '"&amp;UPPER(C119)&amp;"' AS TIPOLOGIA_TESTE,'"&amp;D119&amp;"' AS TABELA_LT,'"&amp;E119&amp;"' AS TABELA_SIMUL,'"&amp;F119&amp;"' AS CAMPO, "&amp;"'${ref_date}' AS REF_DATE, COUNT(*) AS NUM_REG, SUM(IF((ABS(COALESCE(CAST(X."&amp;F119&amp;" AS DECIMAL(18,6)),0)-COALESCE(CAST(Y."&amp;F119&amp;"_SIMUL AS DECIMAL(18,6)),0))&gt;0.000001) OR (X."&amp;F119&amp;" IS NULL AND Y."&amp;F119&amp;"_SIMUL IS NOT NULL ) OR (X."&amp;F119&amp;" IS NOT NULL AND Y."&amp;F119&amp;"_SIMUL IS NULL),1,0)) AS NUM_REG_DIF,'"&amp;MAX('ID1&amp;5'!K:K)+1&amp;"' AS ID_EXEC, CURRENT_TIMESTAMP() AS TIME_EXEC FROM "&amp;I119&amp;" INNER JOIN "&amp;J119&amp;" "&amp;K119,"SELECT '"&amp;UPPER(B119)&amp;"' AS TABELA, '"&amp;UPPER(C119)&amp;"' AS TIPOLOGIA_TESTE,'"&amp;D119&amp;"' AS TABELA_LT,'"&amp;E119&amp;"' AS TABELA_SIMUL,'"&amp;F119&amp;"' AS CAMPO, "&amp;"'${ref_date}' AS REF_DATE, COUNT(*) AS NUM_REG, SUM(IF(COALESCE(CAST(X."&amp;F119&amp;" AS STRING),'')&lt;&gt;COALESCE(CAST(Y."&amp;F119&amp;"_SIMUL AS STRING),'') OR (X."&amp;F119&amp;" IS NULL AND Y."&amp;F119&amp;"_SIMUL IS NOT NULL ) OR (X."&amp;F119&amp;" IS NOT NULL AND Y."&amp;F119&amp;"_SIMUL IS NULL),1,0)) AS NUM_REG_DIF,'"&amp;MAX('ID1&amp;5'!L:L)+1&amp;"' AS ID_EXEC, CURRENT_TIMESTAMP() AS TIME_EXEC FROM "&amp;I119&amp;" INNER JOIN "&amp;J119&amp;" "&amp;K119),
IF(C119="Validade",+IF(G119="Code List","SELECT '"&amp;UPPER(B119)&amp;"' AS TABELA, '"&amp;UPPER(C119)&amp;"' AS TIPOLOGIA_TESTE,'"&amp;D119&amp;"' AS TABELA_LT,'N/A' AS TABELA_SIMUL,'"&amp;F119&amp;"' AS CAMPO, "&amp;"'${ref_date}' AS REF_DATE, COUNT(*) AS NUM_REG, SUM(IF(TRIM(CAST(X."&amp;F119&amp;" AS STRING))='' OR TRIM(CAST(X."&amp;F119&amp;" AS STRING)) IS NULL OR CAST(X."&amp;F119&amp;" AS STRING) NOT "&amp;H119&amp;",1,0)) AS NUM_REG_DIF,'"&amp;MAX('ID1&amp;5'!K:K)+1&amp;"' AS ID_EXEC, CURRENT_TIMESTAMP() AS TIME_EXEC FROM "&amp;I119,"SELECT '"&amp;UPPER(B119)&amp;"' AS TABELA, '"&amp;UPPER(C119)&amp;"' AS TIPOLOGIA_TESTE,'"&amp;D119&amp;"' AS TABELA_LT,'N/A' AS TABELA_SIMUL,'"&amp;F119&amp;"' AS CAMPO, "&amp;"'${ref_date}' AS REF_DATE, COUNT(*) AS NUM_REG, SUM(IF(TRIM(CAST(X."&amp;F119&amp;" AS STRING))='' OR TRIM(CAST(X."&amp;F119&amp;" AS STRING)) IS NULL,1,0)) AS NUM_REG_DIF,'"&amp;MAX('ID1&amp;5'!K:K)+1&amp;"' AS ID_EXEC, CURRENT_TIMESTAMP() AS TIME_EXEC FROM "&amp;I119),
IF(C119="Caracteres Especiais",+"SELECT '"&amp;UPPER(B119)&amp;"' AS TABELA, '"&amp;UPPER(C119)&amp;"' AS TIPOLOGIA_TESTE,'"&amp;D119&amp;"' AS TABELA_LT,'N/A' AS TABELA_SIMUL,'"&amp;F119&amp;"' AS CAMPO, "&amp;"'${ref_date}' AS REF_DATE, COUNT(*) AS NUM_REG, SUM(IF(REGEXP_REPLACE(TRIM(CAST(X."&amp;F119&amp;" AS STRING)),'[^a-zA-Z0-9_\\s]','') &lt;&gt;TRIM(CAST(X."&amp;F119&amp;" AS STRING)),1,0)) AS NUM_REG_DIF,'"&amp;MAX('ID1&amp;5'!K:K)+1&amp;"' AS ID_EXEC, CURRENT_TIMESTAMP() AS TIME_EXEC FROM "&amp;I119,
IF(C119="Missings",+"SELECT '"&amp;UPPER(B119)&amp;"' AS TABELA, '"&amp;UPPER(C119)&amp;"' AS TIPOLOGIA_TESTE,'"&amp;D119&amp;"' AS TABELA_LT,'N/A' AS TABELA_SIMUL,'"&amp;F119&amp;"' AS CAMPO, "&amp;"'${ref_date}' AS REF_DATE, COUNT(*) AS NUM_REG, SUM(IF(TRIM(CAST(X."&amp;F119&amp;" AS STRING)) IN ('0000-00-00','0001-01-01','9999-12-31','MISS','00000','99999999999','99999999999.00','99999999999.000000'),1,0)) AS NUM_REG_DIF,'"&amp;MAX('ID1&amp;5'!K:K)+1&amp;"' AS ID_EXEC, CURRENT_TIMESTAMP() AS TIME_EXEC FROM "&amp;I119,
IF(C119="Not applicable",+"SELECT '"&amp;UPPER(B119)&amp;"' AS TABELA, '"&amp;UPPER(C119)&amp;"' AS TIPOLOGIA_TESTE,'"&amp;D119&amp;"' AS TABELA_LT,'N/A' AS TABELA_SIMUL,'"&amp;F119&amp;"' AS CAMPO, "&amp;"'${ref_date}' AS REF_DATE, COUNT(*) AS NUM_REG, SUM(IF(TRIM(CAST(X."&amp;F119&amp;" AS STRING)) IN ('N/A','11111111111','11111111111.00','11111111111.000000','1111-11-11'),1,0)) AS NUM_REG_DIF,'"&amp;MAX('ID1&amp;5'!K:K)+1&amp;"' AS ID_EXEC, CURRENT_TIMESTAMP() AS TIME_EXEC FROM "&amp;I119,
IF(C119="Valores extremos",+"SELECT '"&amp;UPPER(B119)&amp;"' AS TABELA, '"&amp;UPPER(C119)&amp;"' AS TIPOLOGIA_TESTE,'"&amp;D119&amp;"' AS TABELA_LT,'N/A' AS TABELA_SIMUL,'"&amp;F119&amp;"' AS CAMPO, "&amp;"'${ref_date}' AS REF_DATE, CAST(MIN("&amp;F119&amp;") AS STRING) AS VALOR_MIN, CAST(MAX("&amp;F119&amp;") AS STRING) AS VALOR_MAX,'"&amp;MAX('ID1&amp;5'!K:K)+1&amp;"' AS ID_EXEC, CURRENT_TIMESTAMP() AS TIME_EXEC FROM "&amp;MID(I119,1,LEN(I119)-2)&amp;" AND CAST("&amp;F119&amp;"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TABELA_SIMUL,'ccf' AS CAMPO, '${ref_date}' AS REF_DATE, COUNT(*) AS NUM_REG, SUM(IF(COALESCE(CAST(X.ccf AS STRING),'')&lt;&gt;COALESCE(CAST(Y.ccf_SIMUL AS STRING),'') OR (X.ccf IS NULL AND Y.ccf_SIMUL IS NOT NULL ) OR (X.ccf IS NOT NULL AND Y.ccf_SIMUL IS NULL),1,0)) AS NUM_REG_DIF,'1' AS ID_EXEC, CURRENT_TIMESTAMP() AS TIME_EXEC FROM (SELECT instrmnt_id, ccf FROM BU_LOANTAPE_WORK.LT002_INSTRUMENT WHERE ref_date='${ref_date}' AND nome_perimetro='Individual Local' AND segmento='ESTR' AND ambito='SRB_MBDT' AND entidade='00100')X INNER JOIN (SELECT instrmnt_id AS instrmnt_id_SIMUL, ccf AS ccf_SIMUL FROM BU_LOANTAPE_WORK.SIMUL_LT002_INSTRUMENT WHERE ref_date='${ref_date}' AND nome_perimetro='Individual Local' AND segmento='ESTR' AND ambito='PILAR3' AND entidade='00100')Y ON X.INSTRMNT_ID=Y.INSTRMNT_ID_SIMUL</v>
      </c>
      <c r="M119" s="36" t="str">
        <f t="shared" si="4"/>
        <v>UNION ALL SELECT 'INSTRUMENT' AS TABELA, 'COERÊNCIA' AS TIPOLOGIA_TESTE,'BU_LOANTAPE_WORK.LT002_INSTRUMENT' AS TABELA_LT,'BU_LOANTAPE_WORK.SIMUL_LT002_INSTRUMENT' AS TABELA_SIMUL,'ccf' AS CAMPO, '${ref_date}' AS REF_DATE, COUNT(*) AS NUM_REG, SUM(IF(COALESCE(CAST(X.ccf AS STRING),'')&lt;&gt;COALESCE(CAST(Y.ccf_SIMUL AS STRING),'') OR (X.ccf IS NULL AND Y.ccf_SIMUL IS NOT NULL ) OR (X.ccf IS NOT NULL AND Y.ccf_SIMUL IS NULL),1,0)) AS NUM_REG_DIF,'1' AS ID_EXEC, CURRENT_TIMESTAMP() AS TIME_EXEC FROM (SELECT instrmnt_id, ccf FROM BU_LOANTAPE_WORK.LT002_INSTRUMENT WHERE ref_date='${ref_date}' AND nome_perimetro='Individual Local' AND segmento='ESTR' AND ambito='SRB_MBDT' AND entidade='00100')X INNER JOIN (SELECT instrmnt_id AS instrmnt_id_SIMUL, ccf AS ccf_SIMUL FROM BU_LOANTAPE_WORK.SIMUL_LT002_INSTRUMENT WHERE ref_date='${ref_date}' AND nome_perimetro='Individual Local' AND segmento='ESTR' AND ambito='PILAR3' AND entidade='00100')Y ON X.INSTRMNT_ID=Y.INSTRMNT_ID_SIMUL</v>
      </c>
      <c r="N119" s="38"/>
    </row>
    <row r="120" spans="2:14">
      <c r="B120" s="34" t="s">
        <v>117</v>
      </c>
      <c r="C120" s="34" t="s">
        <v>5</v>
      </c>
      <c r="D120" s="34" t="str">
        <f>+UPPER('0. Instruções'!$D$35&amp;"."&amp;VLOOKUP(B120,'0. Instruções'!$C$27:$D$32,2,FALSE))</f>
        <v>BU_LOANTAPE_WORK.LT002_INSTRUMENT</v>
      </c>
      <c r="E120" s="34" t="str">
        <f>+UPPER('0. Instruções'!$D$36&amp;"."&amp;VLOOKUP(B120,'0. Instruções'!$C$27:$E$32,3,FALSE))</f>
        <v>BU_LOANTAPE_WORK.SIMUL_LT002_INSTRUMENT</v>
      </c>
      <c r="F120" s="34" t="s">
        <v>1191</v>
      </c>
      <c r="G120" s="34"/>
      <c r="H120" s="34"/>
      <c r="I120" s="34" t="str">
        <f>"(SELECT "&amp;VLOOKUP(B120,'0. Instruções'!$C$27:$G$32,4,FALSE)&amp;", "&amp;F120&amp;" FROM "&amp;D120&amp;" WHERE "&amp;'0. Instruções'!$D$42&amp;")X"</f>
        <v>(SELECT instrmnt_id, cmmtmnt_incptn_instrmnt FROM BU_LOANTAPE_WORK.LT002_INSTRUMENT WHERE ref_date='${ref_date}' AND nome_perimetro='Individual Local' AND segmento='ESTR' AND ambito='SRB_MBDT' AND entidade='00100')X</v>
      </c>
      <c r="J120" s="34" t="str">
        <f>"(SELECT "&amp;VLOOKUP(B120,'0. Instruções'!$C$27:$G$32,4,FALSE)&amp;" AS "&amp;VLOOKUP(B120,'0. Instruções'!$C$27:$G$32,4,FALSE)&amp;"_SIMUL, "&amp;F120&amp;" AS "&amp;F120&amp;"_SIMUL FROM "&amp;E120&amp;" WHERE "&amp;'0. Instruções'!$D$43&amp;")Y"</f>
        <v>(SELECT instrmnt_id AS instrmnt_id_SIMUL, cmmtmnt_incptn_instrmnt AS cmmtmnt_incptn_instrmnt_SIMUL FROM BU_LOANTAPE_WORK.SIMUL_LT002_INSTRUMENT WHERE ref_date='${ref_date}' AND nome_perimetro='Individual Local' AND segmento='ESTR' AND ambito='PILAR3' AND entidade='00100')Y</v>
      </c>
      <c r="K120" s="35" t="str">
        <f>+UPPER("ON X."&amp;VLOOKUP(B120,'0. Instruções'!$C$27:$G$32,4,FALSE)&amp;"=Y."&amp;VLOOKUP(B120,'0. Instruções'!$C$27:$G$32,4,FALSE)&amp;"_SIMUL")</f>
        <v>ON X.INSTRMNT_ID=Y.INSTRMNT_ID_SIMUL</v>
      </c>
      <c r="L120" s="35" t="str">
        <f>+IF(C120="Coerência", +IF(LEFT(G120,5)="FLOAT","SELECT '"&amp;UPPER(B120)&amp;"' AS TABELA, '"&amp;UPPER(C120)&amp;"' AS TIPOLOGIA_TESTE,'"&amp;D120&amp;"' AS TABELA_LT,'"&amp;E120&amp;"' AS TABELA_SIMUL,'"&amp;F120&amp;"' AS CAMPO, "&amp;"'${ref_date}' AS REF_DATE, COUNT(*) AS NUM_REG, SUM(IF((ABS(COALESCE(CAST(X."&amp;F120&amp;" AS DECIMAL(18,6)),0)-COALESCE(CAST(Y."&amp;F120&amp;"_SIMUL AS DECIMAL(18,6)),0))&gt;0.000001) OR (X."&amp;F120&amp;" IS NULL AND Y."&amp;F120&amp;"_SIMUL IS NOT NULL ) OR (X."&amp;F120&amp;" IS NOT NULL AND Y."&amp;F120&amp;"_SIMUL IS NULL),1,0)) AS NUM_REG_DIF,'"&amp;MAX('ID1&amp;5'!K:K)+1&amp;"' AS ID_EXEC, CURRENT_TIMESTAMP() AS TIME_EXEC FROM "&amp;I120&amp;" INNER JOIN "&amp;J120&amp;" "&amp;K120,"SELECT '"&amp;UPPER(B120)&amp;"' AS TABELA, '"&amp;UPPER(C120)&amp;"' AS TIPOLOGIA_TESTE,'"&amp;D120&amp;"' AS TABELA_LT,'"&amp;E120&amp;"' AS TABELA_SIMUL,'"&amp;F120&amp;"' AS CAMPO, "&amp;"'${ref_date}' AS REF_DATE, COUNT(*) AS NUM_REG, SUM(IF(COALESCE(CAST(X."&amp;F120&amp;" AS STRING),'')&lt;&gt;COALESCE(CAST(Y."&amp;F120&amp;"_SIMUL AS STRING),'') OR (X."&amp;F120&amp;" IS NULL AND Y."&amp;F120&amp;"_SIMUL IS NOT NULL ) OR (X."&amp;F120&amp;" IS NOT NULL AND Y."&amp;F120&amp;"_SIMUL IS NULL),1,0)) AS NUM_REG_DIF,'"&amp;MAX('ID1&amp;5'!L:L)+1&amp;"' AS ID_EXEC, CURRENT_TIMESTAMP() AS TIME_EXEC FROM "&amp;I120&amp;" INNER JOIN "&amp;J120&amp;" "&amp;K120),
IF(C120="Validade",+IF(G120="Code List","SELECT '"&amp;UPPER(B120)&amp;"' AS TABELA, '"&amp;UPPER(C120)&amp;"' AS TIPOLOGIA_TESTE,'"&amp;D120&amp;"' AS TABELA_LT,'N/A' AS TABELA_SIMUL,'"&amp;F120&amp;"' AS CAMPO, "&amp;"'${ref_date}' AS REF_DATE, COUNT(*) AS NUM_REG, SUM(IF(TRIM(CAST(X."&amp;F120&amp;" AS STRING))='' OR TRIM(CAST(X."&amp;F120&amp;" AS STRING)) IS NULL OR CAST(X."&amp;F120&amp;" AS STRING) NOT "&amp;H120&amp;",1,0)) AS NUM_REG_DIF,'"&amp;MAX('ID1&amp;5'!K:K)+1&amp;"' AS ID_EXEC, CURRENT_TIMESTAMP() AS TIME_EXEC FROM "&amp;I120,"SELECT '"&amp;UPPER(B120)&amp;"' AS TABELA, '"&amp;UPPER(C120)&amp;"' AS TIPOLOGIA_TESTE,'"&amp;D120&amp;"' AS TABELA_LT,'N/A' AS TABELA_SIMUL,'"&amp;F120&amp;"' AS CAMPO, "&amp;"'${ref_date}' AS REF_DATE, COUNT(*) AS NUM_REG, SUM(IF(TRIM(CAST(X."&amp;F120&amp;" AS STRING))='' OR TRIM(CAST(X."&amp;F120&amp;" AS STRING)) IS NULL,1,0)) AS NUM_REG_DIF,'"&amp;MAX('ID1&amp;5'!K:K)+1&amp;"' AS ID_EXEC, CURRENT_TIMESTAMP() AS TIME_EXEC FROM "&amp;I120),
IF(C120="Caracteres Especiais",+"SELECT '"&amp;UPPER(B120)&amp;"' AS TABELA, '"&amp;UPPER(C120)&amp;"' AS TIPOLOGIA_TESTE,'"&amp;D120&amp;"' AS TABELA_LT,'N/A' AS TABELA_SIMUL,'"&amp;F120&amp;"' AS CAMPO, "&amp;"'${ref_date}' AS REF_DATE, COUNT(*) AS NUM_REG, SUM(IF(REGEXP_REPLACE(TRIM(CAST(X."&amp;F120&amp;" AS STRING)),'[^a-zA-Z0-9_\\s]','') &lt;&gt;TRIM(CAST(X."&amp;F120&amp;" AS STRING)),1,0)) AS NUM_REG_DIF,'"&amp;MAX('ID1&amp;5'!K:K)+1&amp;"' AS ID_EXEC, CURRENT_TIMESTAMP() AS TIME_EXEC FROM "&amp;I120,
IF(C120="Missings",+"SELECT '"&amp;UPPER(B120)&amp;"' AS TABELA, '"&amp;UPPER(C120)&amp;"' AS TIPOLOGIA_TESTE,'"&amp;D120&amp;"' AS TABELA_LT,'N/A' AS TABELA_SIMUL,'"&amp;F120&amp;"' AS CAMPO, "&amp;"'${ref_date}' AS REF_DATE, COUNT(*) AS NUM_REG, SUM(IF(TRIM(CAST(X."&amp;F120&amp;" AS STRING)) IN ('0000-00-00','0001-01-01','9999-12-31','MISS','00000','99999999999','99999999999.00','99999999999.000000'),1,0)) AS NUM_REG_DIF,'"&amp;MAX('ID1&amp;5'!K:K)+1&amp;"' AS ID_EXEC, CURRENT_TIMESTAMP() AS TIME_EXEC FROM "&amp;I120,
IF(C120="Not applicable",+"SELECT '"&amp;UPPER(B120)&amp;"' AS TABELA, '"&amp;UPPER(C120)&amp;"' AS TIPOLOGIA_TESTE,'"&amp;D120&amp;"' AS TABELA_LT,'N/A' AS TABELA_SIMUL,'"&amp;F120&amp;"' AS CAMPO, "&amp;"'${ref_date}' AS REF_DATE, COUNT(*) AS NUM_REG, SUM(IF(TRIM(CAST(X."&amp;F120&amp;" AS STRING)) IN ('N/A','11111111111','11111111111.00','11111111111.000000','1111-11-11'),1,0)) AS NUM_REG_DIF,'"&amp;MAX('ID1&amp;5'!K:K)+1&amp;"' AS ID_EXEC, CURRENT_TIMESTAMP() AS TIME_EXEC FROM "&amp;I120,
IF(C120="Valores extremos",+"SELECT '"&amp;UPPER(B120)&amp;"' AS TABELA, '"&amp;UPPER(C120)&amp;"' AS TIPOLOGIA_TESTE,'"&amp;D120&amp;"' AS TABELA_LT,'N/A' AS TABELA_SIMUL,'"&amp;F120&amp;"' AS CAMPO, "&amp;"'${ref_date}' AS REF_DATE, CAST(MIN("&amp;F120&amp;") AS STRING) AS VALOR_MIN, CAST(MAX("&amp;F120&amp;") AS STRING) AS VALOR_MAX,'"&amp;MAX('ID1&amp;5'!K:K)+1&amp;"' AS ID_EXEC, CURRENT_TIMESTAMP() AS TIME_EXEC FROM "&amp;MID(I120,1,LEN(I120)-2)&amp;" AND CAST("&amp;F120&amp;"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TABELA_SIMUL,'cmmtmnt_incptn_instrmnt' AS CAMPO, '${ref_date}' AS REF_DATE, COUNT(*) AS NUM_REG, SUM(IF(COALESCE(CAST(X.cmmtmnt_incptn_instrmnt AS STRING),'')&lt;&gt;COALESCE(CAST(Y.cmmtmnt_incptn_instrmnt_SIMUL AS STRING),'') OR (X.cmmtmnt_incptn_instrmnt IS NULL AND Y.cmmtmnt_incptn_instrmnt_SIMUL IS NOT NULL ) OR (X.cmmtmnt_incptn_instrmnt IS NOT NULL AND Y.cmmtmnt_incptn_instrmnt_SIMUL IS NULL),1,0)) AS NUM_REG_DIF,'1' AS ID_EXEC, CURRENT_TIMESTAMP() AS TIME_EXEC FROM (SELECT instrmnt_id, cmmtmnt_incptn_instrmnt FROM BU_LOANTAPE_WORK.LT002_INSTRUMENT WHERE ref_date='${ref_date}' AND nome_perimetro='Individual Local' AND segmento='ESTR' AND ambito='SRB_MBDT' AND entidade='00100')X INNER JOIN (SELECT instrmnt_id AS instrmnt_id_SIMUL, cmmtmnt_incptn_instrmnt AS cmmtmnt_incptn_instrmnt_SIMUL FROM BU_LOANTAPE_WORK.SIMUL_LT002_INSTRUMENT WHERE ref_date='${ref_date}' AND nome_perimetro='Individual Local' AND segmento='ESTR' AND ambito='PILAR3' AND entidade='00100')Y ON X.INSTRMNT_ID=Y.INSTRMNT_ID_SIMUL</v>
      </c>
      <c r="M120" s="36" t="str">
        <f t="shared" si="4"/>
        <v>UNION ALL SELECT 'INSTRUMENT' AS TABELA, 'COERÊNCIA' AS TIPOLOGIA_TESTE,'BU_LOANTAPE_WORK.LT002_INSTRUMENT' AS TABELA_LT,'BU_LOANTAPE_WORK.SIMUL_LT002_INSTRUMENT' AS TABELA_SIMUL,'cmmtmnt_incptn_instrmnt' AS CAMPO, '${ref_date}' AS REF_DATE, COUNT(*) AS NUM_REG, SUM(IF(COALESCE(CAST(X.cmmtmnt_incptn_instrmnt AS STRING),'')&lt;&gt;COALESCE(CAST(Y.cmmtmnt_incptn_instrmnt_SIMUL AS STRING),'') OR (X.cmmtmnt_incptn_instrmnt IS NULL AND Y.cmmtmnt_incptn_instrmnt_SIMUL IS NOT NULL ) OR (X.cmmtmnt_incptn_instrmnt IS NOT NULL AND Y.cmmtmnt_incptn_instrmnt_SIMUL IS NULL),1,0)) AS NUM_REG_DIF,'1' AS ID_EXEC, CURRENT_TIMESTAMP() AS TIME_EXEC FROM (SELECT instrmnt_id, cmmtmnt_incptn_instrmnt FROM BU_LOANTAPE_WORK.LT002_INSTRUMENT WHERE ref_date='${ref_date}' AND nome_perimetro='Individual Local' AND segmento='ESTR' AND ambito='SRB_MBDT' AND entidade='00100')X INNER JOIN (SELECT instrmnt_id AS instrmnt_id_SIMUL, cmmtmnt_incptn_instrmnt AS cmmtmnt_incptn_instrmnt_SIMUL FROM BU_LOANTAPE_WORK.SIMUL_LT002_INSTRUMENT WHERE ref_date='${ref_date}' AND nome_perimetro='Individual Local' AND segmento='ESTR' AND ambito='PILAR3' AND entidade='00100')Y ON X.INSTRMNT_ID=Y.INSTRMNT_ID_SIMUL</v>
      </c>
      <c r="N120" s="38"/>
    </row>
    <row r="121" spans="2:14">
      <c r="B121" s="34" t="s">
        <v>117</v>
      </c>
      <c r="C121" s="34" t="s">
        <v>5</v>
      </c>
      <c r="D121" s="34" t="str">
        <f>+UPPER('0. Instruções'!$D$35&amp;"."&amp;VLOOKUP(B121,'0. Instruções'!$C$27:$D$32,2,FALSE))</f>
        <v>BU_LOANTAPE_WORK.LT002_INSTRUMENT</v>
      </c>
      <c r="E121" s="34" t="str">
        <f>+UPPER('0. Instruções'!$D$36&amp;"."&amp;VLOOKUP(B121,'0. Instruções'!$C$27:$E$32,3,FALSE))</f>
        <v>BU_LOANTAPE_WORK.SIMUL_LT002_INSTRUMENT</v>
      </c>
      <c r="F121" s="34" t="s">
        <v>1192</v>
      </c>
      <c r="G121" s="34"/>
      <c r="H121" s="34"/>
      <c r="I121" s="34" t="str">
        <f>"(SELECT "&amp;VLOOKUP(B121,'0. Instruções'!$C$27:$G$32,4,FALSE)&amp;", "&amp;F121&amp;" FROM "&amp;D121&amp;" WHERE "&amp;'0. Instruções'!$D$42&amp;")X"</f>
        <v>(SELECT instrmnt_id, cmmtmnt_instrmnt FROM BU_LOANTAPE_WORK.LT002_INSTRUMENT WHERE ref_date='${ref_date}' AND nome_perimetro='Individual Local' AND segmento='ESTR' AND ambito='SRB_MBDT' AND entidade='00100')X</v>
      </c>
      <c r="J121" s="34" t="str">
        <f>"(SELECT "&amp;VLOOKUP(B121,'0. Instruções'!$C$27:$G$32,4,FALSE)&amp;" AS "&amp;VLOOKUP(B121,'0. Instruções'!$C$27:$G$32,4,FALSE)&amp;"_SIMUL, "&amp;F121&amp;" AS "&amp;F121&amp;"_SIMUL FROM "&amp;E121&amp;" WHERE "&amp;'0. Instruções'!$D$43&amp;")Y"</f>
        <v>(SELECT instrmnt_id AS instrmnt_id_SIMUL, cmmtmnt_instrmnt AS cmmtmnt_instrmnt_SIMUL FROM BU_LOANTAPE_WORK.SIMUL_LT002_INSTRUMENT WHERE ref_date='${ref_date}' AND nome_perimetro='Individual Local' AND segmento='ESTR' AND ambito='PILAR3' AND entidade='00100')Y</v>
      </c>
      <c r="K121" s="35" t="str">
        <f>+UPPER("ON X."&amp;VLOOKUP(B121,'0. Instruções'!$C$27:$G$32,4,FALSE)&amp;"=Y."&amp;VLOOKUP(B121,'0. Instruções'!$C$27:$G$32,4,FALSE)&amp;"_SIMUL")</f>
        <v>ON X.INSTRMNT_ID=Y.INSTRMNT_ID_SIMUL</v>
      </c>
      <c r="L121" s="35" t="str">
        <f>+IF(C121="Coerência", +IF(LEFT(G121,5)="FLOAT","SELECT '"&amp;UPPER(B121)&amp;"' AS TABELA, '"&amp;UPPER(C121)&amp;"' AS TIPOLOGIA_TESTE,'"&amp;D121&amp;"' AS TABELA_LT,'"&amp;E121&amp;"' AS TABELA_SIMUL,'"&amp;F121&amp;"' AS CAMPO, "&amp;"'${ref_date}' AS REF_DATE, COUNT(*) AS NUM_REG, SUM(IF((ABS(COALESCE(CAST(X."&amp;F121&amp;" AS DECIMAL(18,6)),0)-COALESCE(CAST(Y."&amp;F121&amp;"_SIMUL AS DECIMAL(18,6)),0))&gt;0.000001) OR (X."&amp;F121&amp;" IS NULL AND Y."&amp;F121&amp;"_SIMUL IS NOT NULL ) OR (X."&amp;F121&amp;" IS NOT NULL AND Y."&amp;F121&amp;"_SIMUL IS NULL),1,0)) AS NUM_REG_DIF,'"&amp;MAX('ID1&amp;5'!K:K)+1&amp;"' AS ID_EXEC, CURRENT_TIMESTAMP() AS TIME_EXEC FROM "&amp;I121&amp;" INNER JOIN "&amp;J121&amp;" "&amp;K121,"SELECT '"&amp;UPPER(B121)&amp;"' AS TABELA, '"&amp;UPPER(C121)&amp;"' AS TIPOLOGIA_TESTE,'"&amp;D121&amp;"' AS TABELA_LT,'"&amp;E121&amp;"' AS TABELA_SIMUL,'"&amp;F121&amp;"' AS CAMPO, "&amp;"'${ref_date}' AS REF_DATE, COUNT(*) AS NUM_REG, SUM(IF(COALESCE(CAST(X."&amp;F121&amp;" AS STRING),'')&lt;&gt;COALESCE(CAST(Y."&amp;F121&amp;"_SIMUL AS STRING),'') OR (X."&amp;F121&amp;" IS NULL AND Y."&amp;F121&amp;"_SIMUL IS NOT NULL ) OR (X."&amp;F121&amp;" IS NOT NULL AND Y."&amp;F121&amp;"_SIMUL IS NULL),1,0)) AS NUM_REG_DIF,'"&amp;MAX('ID1&amp;5'!L:L)+1&amp;"' AS ID_EXEC, CURRENT_TIMESTAMP() AS TIME_EXEC FROM "&amp;I121&amp;" INNER JOIN "&amp;J121&amp;" "&amp;K121),
IF(C121="Validade",+IF(G121="Code List","SELECT '"&amp;UPPER(B121)&amp;"' AS TABELA, '"&amp;UPPER(C121)&amp;"' AS TIPOLOGIA_TESTE,'"&amp;D121&amp;"' AS TABELA_LT,'N/A' AS TABELA_SIMUL,'"&amp;F121&amp;"' AS CAMPO, "&amp;"'${ref_date}' AS REF_DATE, COUNT(*) AS NUM_REG, SUM(IF(TRIM(CAST(X."&amp;F121&amp;" AS STRING))='' OR TRIM(CAST(X."&amp;F121&amp;" AS STRING)) IS NULL OR CAST(X."&amp;F121&amp;" AS STRING) NOT "&amp;H121&amp;",1,0)) AS NUM_REG_DIF,'"&amp;MAX('ID1&amp;5'!K:K)+1&amp;"' AS ID_EXEC, CURRENT_TIMESTAMP() AS TIME_EXEC FROM "&amp;I121,"SELECT '"&amp;UPPER(B121)&amp;"' AS TABELA, '"&amp;UPPER(C121)&amp;"' AS TIPOLOGIA_TESTE,'"&amp;D121&amp;"' AS TABELA_LT,'N/A' AS TABELA_SIMUL,'"&amp;F121&amp;"' AS CAMPO, "&amp;"'${ref_date}' AS REF_DATE, COUNT(*) AS NUM_REG, SUM(IF(TRIM(CAST(X."&amp;F121&amp;" AS STRING))='' OR TRIM(CAST(X."&amp;F121&amp;" AS STRING)) IS NULL,1,0)) AS NUM_REG_DIF,'"&amp;MAX('ID1&amp;5'!K:K)+1&amp;"' AS ID_EXEC, CURRENT_TIMESTAMP() AS TIME_EXEC FROM "&amp;I121),
IF(C121="Caracteres Especiais",+"SELECT '"&amp;UPPER(B121)&amp;"' AS TABELA, '"&amp;UPPER(C121)&amp;"' AS TIPOLOGIA_TESTE,'"&amp;D121&amp;"' AS TABELA_LT,'N/A' AS TABELA_SIMUL,'"&amp;F121&amp;"' AS CAMPO, "&amp;"'${ref_date}' AS REF_DATE, COUNT(*) AS NUM_REG, SUM(IF(REGEXP_REPLACE(TRIM(CAST(X."&amp;F121&amp;" AS STRING)),'[^a-zA-Z0-9_\\s]','') &lt;&gt;TRIM(CAST(X."&amp;F121&amp;" AS STRING)),1,0)) AS NUM_REG_DIF,'"&amp;MAX('ID1&amp;5'!K:K)+1&amp;"' AS ID_EXEC, CURRENT_TIMESTAMP() AS TIME_EXEC FROM "&amp;I121,
IF(C121="Missings",+"SELECT '"&amp;UPPER(B121)&amp;"' AS TABELA, '"&amp;UPPER(C121)&amp;"' AS TIPOLOGIA_TESTE,'"&amp;D121&amp;"' AS TABELA_LT,'N/A' AS TABELA_SIMUL,'"&amp;F121&amp;"' AS CAMPO, "&amp;"'${ref_date}' AS REF_DATE, COUNT(*) AS NUM_REG, SUM(IF(TRIM(CAST(X."&amp;F121&amp;" AS STRING)) IN ('0000-00-00','0001-01-01','9999-12-31','MISS','00000','99999999999','99999999999.00','99999999999.000000'),1,0)) AS NUM_REG_DIF,'"&amp;MAX('ID1&amp;5'!K:K)+1&amp;"' AS ID_EXEC, CURRENT_TIMESTAMP() AS TIME_EXEC FROM "&amp;I121,
IF(C121="Not applicable",+"SELECT '"&amp;UPPER(B121)&amp;"' AS TABELA, '"&amp;UPPER(C121)&amp;"' AS TIPOLOGIA_TESTE,'"&amp;D121&amp;"' AS TABELA_LT,'N/A' AS TABELA_SIMUL,'"&amp;F121&amp;"' AS CAMPO, "&amp;"'${ref_date}' AS REF_DATE, COUNT(*) AS NUM_REG, SUM(IF(TRIM(CAST(X."&amp;F121&amp;" AS STRING)) IN ('N/A','11111111111','11111111111.00','11111111111.000000','1111-11-11'),1,0)) AS NUM_REG_DIF,'"&amp;MAX('ID1&amp;5'!K:K)+1&amp;"' AS ID_EXEC, CURRENT_TIMESTAMP() AS TIME_EXEC FROM "&amp;I121,
IF(C121="Valores extremos",+"SELECT '"&amp;UPPER(B121)&amp;"' AS TABELA, '"&amp;UPPER(C121)&amp;"' AS TIPOLOGIA_TESTE,'"&amp;D121&amp;"' AS TABELA_LT,'N/A' AS TABELA_SIMUL,'"&amp;F121&amp;"' AS CAMPO, "&amp;"'${ref_date}' AS REF_DATE, CAST(MIN("&amp;F121&amp;") AS STRING) AS VALOR_MIN, CAST(MAX("&amp;F121&amp;") AS STRING) AS VALOR_MAX,'"&amp;MAX('ID1&amp;5'!K:K)+1&amp;"' AS ID_EXEC, CURRENT_TIMESTAMP() AS TIME_EXEC FROM "&amp;MID(I121,1,LEN(I121)-2)&amp;" AND CAST("&amp;F121&amp;"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TABELA_SIMUL,'cmmtmnt_instrmnt' AS CAMPO, '${ref_date}' AS REF_DATE, COUNT(*) AS NUM_REG, SUM(IF(COALESCE(CAST(X.cmmtmnt_instrmnt AS STRING),'')&lt;&gt;COALESCE(CAST(Y.cmmtmnt_instrmnt_SIMUL AS STRING),'') OR (X.cmmtmnt_instrmnt IS NULL AND Y.cmmtmnt_instrmnt_SIMUL IS NOT NULL ) OR (X.cmmtmnt_instrmnt IS NOT NULL AND Y.cmmtmnt_instrmnt_SIMUL IS NULL),1,0)) AS NUM_REG_DIF,'1' AS ID_EXEC, CURRENT_TIMESTAMP() AS TIME_EXEC FROM (SELECT instrmnt_id, cmmtmnt_instrmnt FROM BU_LOANTAPE_WORK.LT002_INSTRUMENT WHERE ref_date='${ref_date}' AND nome_perimetro='Individual Local' AND segmento='ESTR' AND ambito='SRB_MBDT' AND entidade='00100')X INNER JOIN (SELECT instrmnt_id AS instrmnt_id_SIMUL, cmmtmnt_instrmnt AS cmmtmnt_instrmnt_SIMUL FROM BU_LOANTAPE_WORK.SIMUL_LT002_INSTRUMENT WHERE ref_date='${ref_date}' AND nome_perimetro='Individual Local' AND segmento='ESTR' AND ambito='PILAR3' AND entidade='00100')Y ON X.INSTRMNT_ID=Y.INSTRMNT_ID_SIMUL</v>
      </c>
      <c r="M121" s="36" t="str">
        <f t="shared" si="4"/>
        <v>UNION ALL SELECT 'INSTRUMENT' AS TABELA, 'COERÊNCIA' AS TIPOLOGIA_TESTE,'BU_LOANTAPE_WORK.LT002_INSTRUMENT' AS TABELA_LT,'BU_LOANTAPE_WORK.SIMUL_LT002_INSTRUMENT' AS TABELA_SIMUL,'cmmtmnt_instrmnt' AS CAMPO, '${ref_date}' AS REF_DATE, COUNT(*) AS NUM_REG, SUM(IF(COALESCE(CAST(X.cmmtmnt_instrmnt AS STRING),'')&lt;&gt;COALESCE(CAST(Y.cmmtmnt_instrmnt_SIMUL AS STRING),'') OR (X.cmmtmnt_instrmnt IS NULL AND Y.cmmtmnt_instrmnt_SIMUL IS NOT NULL ) OR (X.cmmtmnt_instrmnt IS NOT NULL AND Y.cmmtmnt_instrmnt_SIMUL IS NULL),1,0)) AS NUM_REG_DIF,'1' AS ID_EXEC, CURRENT_TIMESTAMP() AS TIME_EXEC FROM (SELECT instrmnt_id, cmmtmnt_instrmnt FROM BU_LOANTAPE_WORK.LT002_INSTRUMENT WHERE ref_date='${ref_date}' AND nome_perimetro='Individual Local' AND segmento='ESTR' AND ambito='SRB_MBDT' AND entidade='00100')X INNER JOIN (SELECT instrmnt_id AS instrmnt_id_SIMUL, cmmtmnt_instrmnt AS cmmtmnt_instrmnt_SIMUL FROM BU_LOANTAPE_WORK.SIMUL_LT002_INSTRUMENT WHERE ref_date='${ref_date}' AND nome_perimetro='Individual Local' AND segmento='ESTR' AND ambito='PILAR3' AND entidade='00100')Y ON X.INSTRMNT_ID=Y.INSTRMNT_ID_SIMUL</v>
      </c>
      <c r="N121" s="38"/>
    </row>
    <row r="122" spans="2:14">
      <c r="B122" s="34" t="s">
        <v>117</v>
      </c>
      <c r="C122" s="34" t="s">
        <v>5</v>
      </c>
      <c r="D122" s="34" t="str">
        <f>+UPPER('0. Instruções'!$D$35&amp;"."&amp;VLOOKUP(B122,'0. Instruções'!$C$27:$D$32,2,FALSE))</f>
        <v>BU_LOANTAPE_WORK.LT002_INSTRUMENT</v>
      </c>
      <c r="E122" s="34" t="str">
        <f>+UPPER('0. Instruções'!$D$36&amp;"."&amp;VLOOKUP(B122,'0. Instruções'!$C$27:$E$32,3,FALSE))</f>
        <v>BU_LOANTAPE_WORK.SIMUL_LT002_INSTRUMENT</v>
      </c>
      <c r="F122" s="34" t="s">
        <v>1193</v>
      </c>
      <c r="G122" s="34"/>
      <c r="H122" s="34"/>
      <c r="I122" s="34" t="str">
        <f>"(SELECT "&amp;VLOOKUP(B122,'0. Instruções'!$C$27:$G$32,4,FALSE)&amp;", "&amp;F122&amp;" FROM "&amp;D122&amp;" WHERE "&amp;'0. Instruções'!$D$42&amp;")X"</f>
        <v>(SELECT instrmnt_id, crryng_amnt_instrmnt FROM BU_LOANTAPE_WORK.LT002_INSTRUMENT WHERE ref_date='${ref_date}' AND nome_perimetro='Individual Local' AND segmento='ESTR' AND ambito='SRB_MBDT' AND entidade='00100')X</v>
      </c>
      <c r="J122" s="34" t="str">
        <f>"(SELECT "&amp;VLOOKUP(B122,'0. Instruções'!$C$27:$G$32,4,FALSE)&amp;" AS "&amp;VLOOKUP(B122,'0. Instruções'!$C$27:$G$32,4,FALSE)&amp;"_SIMUL, "&amp;F122&amp;" AS "&amp;F122&amp;"_SIMUL FROM "&amp;E122&amp;" WHERE "&amp;'0. Instruções'!$D$43&amp;")Y"</f>
        <v>(SELECT instrmnt_id AS instrmnt_id_SIMUL, crryng_amnt_instrmnt AS crryng_amnt_instrmnt_SIMUL FROM BU_LOANTAPE_WORK.SIMUL_LT002_INSTRUMENT WHERE ref_date='${ref_date}' AND nome_perimetro='Individual Local' AND segmento='ESTR' AND ambito='PILAR3' AND entidade='00100')Y</v>
      </c>
      <c r="K122" s="35" t="str">
        <f>+UPPER("ON X."&amp;VLOOKUP(B122,'0. Instruções'!$C$27:$G$32,4,FALSE)&amp;"=Y."&amp;VLOOKUP(B122,'0. Instruções'!$C$27:$G$32,4,FALSE)&amp;"_SIMUL")</f>
        <v>ON X.INSTRMNT_ID=Y.INSTRMNT_ID_SIMUL</v>
      </c>
      <c r="L122" s="35" t="str">
        <f>+IF(C122="Coerência", +IF(LEFT(G122,5)="FLOAT","SELECT '"&amp;UPPER(B122)&amp;"' AS TABELA, '"&amp;UPPER(C122)&amp;"' AS TIPOLOGIA_TESTE,'"&amp;D122&amp;"' AS TABELA_LT,'"&amp;E122&amp;"' AS TABELA_SIMUL,'"&amp;F122&amp;"' AS CAMPO, "&amp;"'${ref_date}' AS REF_DATE, COUNT(*) AS NUM_REG, SUM(IF((ABS(COALESCE(CAST(X."&amp;F122&amp;" AS DECIMAL(18,6)),0)-COALESCE(CAST(Y."&amp;F122&amp;"_SIMUL AS DECIMAL(18,6)),0))&gt;0.000001) OR (X."&amp;F122&amp;" IS NULL AND Y."&amp;F122&amp;"_SIMUL IS NOT NULL ) OR (X."&amp;F122&amp;" IS NOT NULL AND Y."&amp;F122&amp;"_SIMUL IS NULL),1,0)) AS NUM_REG_DIF,'"&amp;MAX('ID1&amp;5'!K:K)+1&amp;"' AS ID_EXEC, CURRENT_TIMESTAMP() AS TIME_EXEC FROM "&amp;I122&amp;" INNER JOIN "&amp;J122&amp;" "&amp;K122,"SELECT '"&amp;UPPER(B122)&amp;"' AS TABELA, '"&amp;UPPER(C122)&amp;"' AS TIPOLOGIA_TESTE,'"&amp;D122&amp;"' AS TABELA_LT,'"&amp;E122&amp;"' AS TABELA_SIMUL,'"&amp;F122&amp;"' AS CAMPO, "&amp;"'${ref_date}' AS REF_DATE, COUNT(*) AS NUM_REG, SUM(IF(COALESCE(CAST(X."&amp;F122&amp;" AS STRING),'')&lt;&gt;COALESCE(CAST(Y."&amp;F122&amp;"_SIMUL AS STRING),'') OR (X."&amp;F122&amp;" IS NULL AND Y."&amp;F122&amp;"_SIMUL IS NOT NULL ) OR (X."&amp;F122&amp;" IS NOT NULL AND Y."&amp;F122&amp;"_SIMUL IS NULL),1,0)) AS NUM_REG_DIF,'"&amp;MAX('ID1&amp;5'!L:L)+1&amp;"' AS ID_EXEC, CURRENT_TIMESTAMP() AS TIME_EXEC FROM "&amp;I122&amp;" INNER JOIN "&amp;J122&amp;" "&amp;K122),
IF(C122="Validade",+IF(G122="Code List","SELECT '"&amp;UPPER(B122)&amp;"' AS TABELA, '"&amp;UPPER(C122)&amp;"' AS TIPOLOGIA_TESTE,'"&amp;D122&amp;"' AS TABELA_LT,'N/A' AS TABELA_SIMUL,'"&amp;F122&amp;"' AS CAMPO, "&amp;"'${ref_date}' AS REF_DATE, COUNT(*) AS NUM_REG, SUM(IF(TRIM(CAST(X."&amp;F122&amp;" AS STRING))='' OR TRIM(CAST(X."&amp;F122&amp;" AS STRING)) IS NULL OR CAST(X."&amp;F122&amp;" AS STRING) NOT "&amp;H122&amp;",1,0)) AS NUM_REG_DIF,'"&amp;MAX('ID1&amp;5'!K:K)+1&amp;"' AS ID_EXEC, CURRENT_TIMESTAMP() AS TIME_EXEC FROM "&amp;I122,"SELECT '"&amp;UPPER(B122)&amp;"' AS TABELA, '"&amp;UPPER(C122)&amp;"' AS TIPOLOGIA_TESTE,'"&amp;D122&amp;"' AS TABELA_LT,'N/A' AS TABELA_SIMUL,'"&amp;F122&amp;"' AS CAMPO, "&amp;"'${ref_date}' AS REF_DATE, COUNT(*) AS NUM_REG, SUM(IF(TRIM(CAST(X."&amp;F122&amp;" AS STRING))='' OR TRIM(CAST(X."&amp;F122&amp;" AS STRING)) IS NULL,1,0)) AS NUM_REG_DIF,'"&amp;MAX('ID1&amp;5'!K:K)+1&amp;"' AS ID_EXEC, CURRENT_TIMESTAMP() AS TIME_EXEC FROM "&amp;I122),
IF(C122="Caracteres Especiais",+"SELECT '"&amp;UPPER(B122)&amp;"' AS TABELA, '"&amp;UPPER(C122)&amp;"' AS TIPOLOGIA_TESTE,'"&amp;D122&amp;"' AS TABELA_LT,'N/A' AS TABELA_SIMUL,'"&amp;F122&amp;"' AS CAMPO, "&amp;"'${ref_date}' AS REF_DATE, COUNT(*) AS NUM_REG, SUM(IF(REGEXP_REPLACE(TRIM(CAST(X."&amp;F122&amp;" AS STRING)),'[^a-zA-Z0-9_\\s]','') &lt;&gt;TRIM(CAST(X."&amp;F122&amp;" AS STRING)),1,0)) AS NUM_REG_DIF,'"&amp;MAX('ID1&amp;5'!K:K)+1&amp;"' AS ID_EXEC, CURRENT_TIMESTAMP() AS TIME_EXEC FROM "&amp;I122,
IF(C122="Missings",+"SELECT '"&amp;UPPER(B122)&amp;"' AS TABELA, '"&amp;UPPER(C122)&amp;"' AS TIPOLOGIA_TESTE,'"&amp;D122&amp;"' AS TABELA_LT,'N/A' AS TABELA_SIMUL,'"&amp;F122&amp;"' AS CAMPO, "&amp;"'${ref_date}' AS REF_DATE, COUNT(*) AS NUM_REG, SUM(IF(TRIM(CAST(X."&amp;F122&amp;" AS STRING)) IN ('0000-00-00','0001-01-01','9999-12-31','MISS','00000','99999999999','99999999999.00','99999999999.000000'),1,0)) AS NUM_REG_DIF,'"&amp;MAX('ID1&amp;5'!K:K)+1&amp;"' AS ID_EXEC, CURRENT_TIMESTAMP() AS TIME_EXEC FROM "&amp;I122,
IF(C122="Not applicable",+"SELECT '"&amp;UPPER(B122)&amp;"' AS TABELA, '"&amp;UPPER(C122)&amp;"' AS TIPOLOGIA_TESTE,'"&amp;D122&amp;"' AS TABELA_LT,'N/A' AS TABELA_SIMUL,'"&amp;F122&amp;"' AS CAMPO, "&amp;"'${ref_date}' AS REF_DATE, COUNT(*) AS NUM_REG, SUM(IF(TRIM(CAST(X."&amp;F122&amp;" AS STRING)) IN ('N/A','11111111111','11111111111.00','11111111111.000000','1111-11-11'),1,0)) AS NUM_REG_DIF,'"&amp;MAX('ID1&amp;5'!K:K)+1&amp;"' AS ID_EXEC, CURRENT_TIMESTAMP() AS TIME_EXEC FROM "&amp;I122,
IF(C122="Valores extremos",+"SELECT '"&amp;UPPER(B122)&amp;"' AS TABELA, '"&amp;UPPER(C122)&amp;"' AS TIPOLOGIA_TESTE,'"&amp;D122&amp;"' AS TABELA_LT,'N/A' AS TABELA_SIMUL,'"&amp;F122&amp;"' AS CAMPO, "&amp;"'${ref_date}' AS REF_DATE, CAST(MIN("&amp;F122&amp;") AS STRING) AS VALOR_MIN, CAST(MAX("&amp;F122&amp;") AS STRING) AS VALOR_MAX,'"&amp;MAX('ID1&amp;5'!K:K)+1&amp;"' AS ID_EXEC, CURRENT_TIMESTAMP() AS TIME_EXEC FROM "&amp;MID(I122,1,LEN(I122)-2)&amp;" AND CAST("&amp;F122&amp;"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TABELA_SIMUL,'crryng_amnt_instrmnt' AS CAMPO, '${ref_date}' AS REF_DATE, COUNT(*) AS NUM_REG, SUM(IF(COALESCE(CAST(X.crryng_amnt_instrmnt AS STRING),'')&lt;&gt;COALESCE(CAST(Y.crryng_amnt_instrmnt_SIMUL AS STRING),'') OR (X.crryng_amnt_instrmnt IS NULL AND Y.crryng_amnt_instrmnt_SIMUL IS NOT NULL ) OR (X.crryng_amnt_instrmnt IS NOT NULL AND Y.crryng_amnt_instrmnt_SIMUL IS NULL),1,0)) AS NUM_REG_DIF,'1' AS ID_EXEC, CURRENT_TIMESTAMP() AS TIME_EXEC FROM (SELECT instrmnt_id, crryng_amnt_instrmnt FROM BU_LOANTAPE_WORK.LT002_INSTRUMENT WHERE ref_date='${ref_date}' AND nome_perimetro='Individual Local' AND segmento='ESTR' AND ambito='SRB_MBDT' AND entidade='00100')X INNER JOIN (SELECT instrmnt_id AS instrmnt_id_SIMUL, crryng_amnt_instrmnt AS crryng_amnt_instrmnt_SIMUL FROM BU_LOANTAPE_WORK.SIMUL_LT002_INSTRUMENT WHERE ref_date='${ref_date}' AND nome_perimetro='Individual Local' AND segmento='ESTR' AND ambito='PILAR3' AND entidade='00100')Y ON X.INSTRMNT_ID=Y.INSTRMNT_ID_SIMUL</v>
      </c>
      <c r="M122" s="36" t="str">
        <f t="shared" si="4"/>
        <v>UNION ALL SELECT 'INSTRUMENT' AS TABELA, 'COERÊNCIA' AS TIPOLOGIA_TESTE,'BU_LOANTAPE_WORK.LT002_INSTRUMENT' AS TABELA_LT,'BU_LOANTAPE_WORK.SIMUL_LT002_INSTRUMENT' AS TABELA_SIMUL,'crryng_amnt_instrmnt' AS CAMPO, '${ref_date}' AS REF_DATE, COUNT(*) AS NUM_REG, SUM(IF(COALESCE(CAST(X.crryng_amnt_instrmnt AS STRING),'')&lt;&gt;COALESCE(CAST(Y.crryng_amnt_instrmnt_SIMUL AS STRING),'') OR (X.crryng_amnt_instrmnt IS NULL AND Y.crryng_amnt_instrmnt_SIMUL IS NOT NULL ) OR (X.crryng_amnt_instrmnt IS NOT NULL AND Y.crryng_amnt_instrmnt_SIMUL IS NULL),1,0)) AS NUM_REG_DIF,'1' AS ID_EXEC, CURRENT_TIMESTAMP() AS TIME_EXEC FROM (SELECT instrmnt_id, crryng_amnt_instrmnt FROM BU_LOANTAPE_WORK.LT002_INSTRUMENT WHERE ref_date='${ref_date}' AND nome_perimetro='Individual Local' AND segmento='ESTR' AND ambito='SRB_MBDT' AND entidade='00100')X INNER JOIN (SELECT instrmnt_id AS instrmnt_id_SIMUL, crryng_amnt_instrmnt AS crryng_amnt_instrmnt_SIMUL FROM BU_LOANTAPE_WORK.SIMUL_LT002_INSTRUMENT WHERE ref_date='${ref_date}' AND nome_perimetro='Individual Local' AND segmento='ESTR' AND ambito='PILAR3' AND entidade='00100')Y ON X.INSTRMNT_ID=Y.INSTRMNT_ID_SIMUL</v>
      </c>
      <c r="N122" s="38"/>
    </row>
    <row r="123" spans="2:14">
      <c r="B123" s="34" t="s">
        <v>117</v>
      </c>
      <c r="C123" s="34" t="s">
        <v>5</v>
      </c>
      <c r="D123" s="34" t="str">
        <f>+UPPER('0. Instruções'!$D$35&amp;"."&amp;VLOOKUP(B123,'0. Instruções'!$C$27:$D$32,2,FALSE))</f>
        <v>BU_LOANTAPE_WORK.LT002_INSTRUMENT</v>
      </c>
      <c r="E123" s="34" t="str">
        <f>+UPPER('0. Instruções'!$D$36&amp;"."&amp;VLOOKUP(B123,'0. Instruções'!$C$27:$E$32,3,FALSE))</f>
        <v>BU_LOANTAPE_WORK.SIMUL_LT002_INSTRUMENT</v>
      </c>
      <c r="F123" s="34" t="s">
        <v>1194</v>
      </c>
      <c r="G123" s="34"/>
      <c r="H123" s="34"/>
      <c r="I123" s="34" t="str">
        <f>"(SELECT "&amp;VLOOKUP(B123,'0. Instruções'!$C$27:$G$32,4,FALSE)&amp;", "&amp;F123&amp;" FROM "&amp;D123&amp;" WHERE "&amp;'0. Instruções'!$D$42&amp;")X"</f>
        <v>(SELECT instrmnt_id, dbt_yld FROM BU_LOANTAPE_WORK.LT002_INSTRUMENT WHERE ref_date='${ref_date}' AND nome_perimetro='Individual Local' AND segmento='ESTR' AND ambito='SRB_MBDT' AND entidade='00100')X</v>
      </c>
      <c r="J123" s="34" t="str">
        <f>"(SELECT "&amp;VLOOKUP(B123,'0. Instruções'!$C$27:$G$32,4,FALSE)&amp;" AS "&amp;VLOOKUP(B123,'0. Instruções'!$C$27:$G$32,4,FALSE)&amp;"_SIMUL, "&amp;F123&amp;" AS "&amp;F123&amp;"_SIMUL FROM "&amp;E123&amp;" WHERE "&amp;'0. Instruções'!$D$43&amp;")Y"</f>
        <v>(SELECT instrmnt_id AS instrmnt_id_SIMUL, dbt_yld AS dbt_yld_SIMUL FROM BU_LOANTAPE_WORK.SIMUL_LT002_INSTRUMENT WHERE ref_date='${ref_date}' AND nome_perimetro='Individual Local' AND segmento='ESTR' AND ambito='PILAR3' AND entidade='00100')Y</v>
      </c>
      <c r="K123" s="35" t="str">
        <f>+UPPER("ON X."&amp;VLOOKUP(B123,'0. Instruções'!$C$27:$G$32,4,FALSE)&amp;"=Y."&amp;VLOOKUP(B123,'0. Instruções'!$C$27:$G$32,4,FALSE)&amp;"_SIMUL")</f>
        <v>ON X.INSTRMNT_ID=Y.INSTRMNT_ID_SIMUL</v>
      </c>
      <c r="L123" s="35" t="str">
        <f>+IF(C123="Coerência", +IF(LEFT(G123,5)="FLOAT","SELECT '"&amp;UPPER(B123)&amp;"' AS TABELA, '"&amp;UPPER(C123)&amp;"' AS TIPOLOGIA_TESTE,'"&amp;D123&amp;"' AS TABELA_LT,'"&amp;E123&amp;"' AS TABELA_SIMUL,'"&amp;F123&amp;"' AS CAMPO, "&amp;"'${ref_date}' AS REF_DATE, COUNT(*) AS NUM_REG, SUM(IF((ABS(COALESCE(CAST(X."&amp;F123&amp;" AS DECIMAL(18,6)),0)-COALESCE(CAST(Y."&amp;F123&amp;"_SIMUL AS DECIMAL(18,6)),0))&gt;0.000001) OR (X."&amp;F123&amp;" IS NULL AND Y."&amp;F123&amp;"_SIMUL IS NOT NULL ) OR (X."&amp;F123&amp;" IS NOT NULL AND Y."&amp;F123&amp;"_SIMUL IS NULL),1,0)) AS NUM_REG_DIF,'"&amp;MAX('ID1&amp;5'!K:K)+1&amp;"' AS ID_EXEC, CURRENT_TIMESTAMP() AS TIME_EXEC FROM "&amp;I123&amp;" INNER JOIN "&amp;J123&amp;" "&amp;K123,"SELECT '"&amp;UPPER(B123)&amp;"' AS TABELA, '"&amp;UPPER(C123)&amp;"' AS TIPOLOGIA_TESTE,'"&amp;D123&amp;"' AS TABELA_LT,'"&amp;E123&amp;"' AS TABELA_SIMUL,'"&amp;F123&amp;"' AS CAMPO, "&amp;"'${ref_date}' AS REF_DATE, COUNT(*) AS NUM_REG, SUM(IF(COALESCE(CAST(X."&amp;F123&amp;" AS STRING),'')&lt;&gt;COALESCE(CAST(Y."&amp;F123&amp;"_SIMUL AS STRING),'') OR (X."&amp;F123&amp;" IS NULL AND Y."&amp;F123&amp;"_SIMUL IS NOT NULL ) OR (X."&amp;F123&amp;" IS NOT NULL AND Y."&amp;F123&amp;"_SIMUL IS NULL),1,0)) AS NUM_REG_DIF,'"&amp;MAX('ID1&amp;5'!L:L)+1&amp;"' AS ID_EXEC, CURRENT_TIMESTAMP() AS TIME_EXEC FROM "&amp;I123&amp;" INNER JOIN "&amp;J123&amp;" "&amp;K123),
IF(C123="Validade",+IF(G123="Code List","SELECT '"&amp;UPPER(B123)&amp;"' AS TABELA, '"&amp;UPPER(C123)&amp;"' AS TIPOLOGIA_TESTE,'"&amp;D123&amp;"' AS TABELA_LT,'N/A' AS TABELA_SIMUL,'"&amp;F123&amp;"' AS CAMPO, "&amp;"'${ref_date}' AS REF_DATE, COUNT(*) AS NUM_REG, SUM(IF(TRIM(CAST(X."&amp;F123&amp;" AS STRING))='' OR TRIM(CAST(X."&amp;F123&amp;" AS STRING)) IS NULL OR CAST(X."&amp;F123&amp;" AS STRING) NOT "&amp;H123&amp;",1,0)) AS NUM_REG_DIF,'"&amp;MAX('ID1&amp;5'!K:K)+1&amp;"' AS ID_EXEC, CURRENT_TIMESTAMP() AS TIME_EXEC FROM "&amp;I123,"SELECT '"&amp;UPPER(B123)&amp;"' AS TABELA, '"&amp;UPPER(C123)&amp;"' AS TIPOLOGIA_TESTE,'"&amp;D123&amp;"' AS TABELA_LT,'N/A' AS TABELA_SIMUL,'"&amp;F123&amp;"' AS CAMPO, "&amp;"'${ref_date}' AS REF_DATE, COUNT(*) AS NUM_REG, SUM(IF(TRIM(CAST(X."&amp;F123&amp;" AS STRING))='' OR TRIM(CAST(X."&amp;F123&amp;" AS STRING)) IS NULL,1,0)) AS NUM_REG_DIF,'"&amp;MAX('ID1&amp;5'!K:K)+1&amp;"' AS ID_EXEC, CURRENT_TIMESTAMP() AS TIME_EXEC FROM "&amp;I123),
IF(C123="Caracteres Especiais",+"SELECT '"&amp;UPPER(B123)&amp;"' AS TABELA, '"&amp;UPPER(C123)&amp;"' AS TIPOLOGIA_TESTE,'"&amp;D123&amp;"' AS TABELA_LT,'N/A' AS TABELA_SIMUL,'"&amp;F123&amp;"' AS CAMPO, "&amp;"'${ref_date}' AS REF_DATE, COUNT(*) AS NUM_REG, SUM(IF(REGEXP_REPLACE(TRIM(CAST(X."&amp;F123&amp;" AS STRING)),'[^a-zA-Z0-9_\\s]','') &lt;&gt;TRIM(CAST(X."&amp;F123&amp;" AS STRING)),1,0)) AS NUM_REG_DIF,'"&amp;MAX('ID1&amp;5'!K:K)+1&amp;"' AS ID_EXEC, CURRENT_TIMESTAMP() AS TIME_EXEC FROM "&amp;I123,
IF(C123="Missings",+"SELECT '"&amp;UPPER(B123)&amp;"' AS TABELA, '"&amp;UPPER(C123)&amp;"' AS TIPOLOGIA_TESTE,'"&amp;D123&amp;"' AS TABELA_LT,'N/A' AS TABELA_SIMUL,'"&amp;F123&amp;"' AS CAMPO, "&amp;"'${ref_date}' AS REF_DATE, COUNT(*) AS NUM_REG, SUM(IF(TRIM(CAST(X."&amp;F123&amp;" AS STRING)) IN ('0000-00-00','0001-01-01','9999-12-31','MISS','00000','99999999999','99999999999.00','99999999999.000000'),1,0)) AS NUM_REG_DIF,'"&amp;MAX('ID1&amp;5'!K:K)+1&amp;"' AS ID_EXEC, CURRENT_TIMESTAMP() AS TIME_EXEC FROM "&amp;I123,
IF(C123="Not applicable",+"SELECT '"&amp;UPPER(B123)&amp;"' AS TABELA, '"&amp;UPPER(C123)&amp;"' AS TIPOLOGIA_TESTE,'"&amp;D123&amp;"' AS TABELA_LT,'N/A' AS TABELA_SIMUL,'"&amp;F123&amp;"' AS CAMPO, "&amp;"'${ref_date}' AS REF_DATE, COUNT(*) AS NUM_REG, SUM(IF(TRIM(CAST(X."&amp;F123&amp;" AS STRING)) IN ('N/A','11111111111','11111111111.00','11111111111.000000','1111-11-11'),1,0)) AS NUM_REG_DIF,'"&amp;MAX('ID1&amp;5'!K:K)+1&amp;"' AS ID_EXEC, CURRENT_TIMESTAMP() AS TIME_EXEC FROM "&amp;I123,
IF(C123="Valores extremos",+"SELECT '"&amp;UPPER(B123)&amp;"' AS TABELA, '"&amp;UPPER(C123)&amp;"' AS TIPOLOGIA_TESTE,'"&amp;D123&amp;"' AS TABELA_LT,'N/A' AS TABELA_SIMUL,'"&amp;F123&amp;"' AS CAMPO, "&amp;"'${ref_date}' AS REF_DATE, CAST(MIN("&amp;F123&amp;") AS STRING) AS VALOR_MIN, CAST(MAX("&amp;F123&amp;") AS STRING) AS VALOR_MAX,'"&amp;MAX('ID1&amp;5'!K:K)+1&amp;"' AS ID_EXEC, CURRENT_TIMESTAMP() AS TIME_EXEC FROM "&amp;MID(I123,1,LEN(I123)-2)&amp;" AND CAST("&amp;F123&amp;"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TABELA_SIMUL,'dbt_yld' AS CAMPO, '${ref_date}' AS REF_DATE, COUNT(*) AS NUM_REG, SUM(IF(COALESCE(CAST(X.dbt_yld AS STRING),'')&lt;&gt;COALESCE(CAST(Y.dbt_yld_SIMUL AS STRING),'') OR (X.dbt_yld IS NULL AND Y.dbt_yld_SIMUL IS NOT NULL ) OR (X.dbt_yld IS NOT NULL AND Y.dbt_yld_SIMUL IS NULL),1,0)) AS NUM_REG_DIF,'1' AS ID_EXEC, CURRENT_TIMESTAMP() AS TIME_EXEC FROM (SELECT instrmnt_id, dbt_yld FROM BU_LOANTAPE_WORK.LT002_INSTRUMENT WHERE ref_date='${ref_date}' AND nome_perimetro='Individual Local' AND segmento='ESTR' AND ambito='SRB_MBDT' AND entidade='00100')X INNER JOIN (SELECT instrmnt_id AS instrmnt_id_SIMUL, dbt_yld AS dbt_yld_SIMUL FROM BU_LOANTAPE_WORK.SIMUL_LT002_INSTRUMENT WHERE ref_date='${ref_date}' AND nome_perimetro='Individual Local' AND segmento='ESTR' AND ambito='PILAR3' AND entidade='00100')Y ON X.INSTRMNT_ID=Y.INSTRMNT_ID_SIMUL</v>
      </c>
      <c r="M123" s="36" t="str">
        <f t="shared" si="4"/>
        <v>UNION ALL SELECT 'INSTRUMENT' AS TABELA, 'COERÊNCIA' AS TIPOLOGIA_TESTE,'BU_LOANTAPE_WORK.LT002_INSTRUMENT' AS TABELA_LT,'BU_LOANTAPE_WORK.SIMUL_LT002_INSTRUMENT' AS TABELA_SIMUL,'dbt_yld' AS CAMPO, '${ref_date}' AS REF_DATE, COUNT(*) AS NUM_REG, SUM(IF(COALESCE(CAST(X.dbt_yld AS STRING),'')&lt;&gt;COALESCE(CAST(Y.dbt_yld_SIMUL AS STRING),'') OR (X.dbt_yld IS NULL AND Y.dbt_yld_SIMUL IS NOT NULL ) OR (X.dbt_yld IS NOT NULL AND Y.dbt_yld_SIMUL IS NULL),1,0)) AS NUM_REG_DIF,'1' AS ID_EXEC, CURRENT_TIMESTAMP() AS TIME_EXEC FROM (SELECT instrmnt_id, dbt_yld FROM BU_LOANTAPE_WORK.LT002_INSTRUMENT WHERE ref_date='${ref_date}' AND nome_perimetro='Individual Local' AND segmento='ESTR' AND ambito='SRB_MBDT' AND entidade='00100')X INNER JOIN (SELECT instrmnt_id AS instrmnt_id_SIMUL, dbt_yld AS dbt_yld_SIMUL FROM BU_LOANTAPE_WORK.SIMUL_LT002_INSTRUMENT WHERE ref_date='${ref_date}' AND nome_perimetro='Individual Local' AND segmento='ESTR' AND ambito='PILAR3' AND entidade='00100')Y ON X.INSTRMNT_ID=Y.INSTRMNT_ID_SIMUL</v>
      </c>
      <c r="N123" s="38"/>
    </row>
    <row r="124" spans="2:14">
      <c r="B124" s="34" t="s">
        <v>117</v>
      </c>
      <c r="C124" s="34" t="s">
        <v>5</v>
      </c>
      <c r="D124" s="34" t="str">
        <f>+UPPER('0. Instruções'!$D$35&amp;"."&amp;VLOOKUP(B124,'0. Instruções'!$C$27:$D$32,2,FALSE))</f>
        <v>BU_LOANTAPE_WORK.LT002_INSTRUMENT</v>
      </c>
      <c r="E124" s="34" t="str">
        <f>+UPPER('0. Instruções'!$D$36&amp;"."&amp;VLOOKUP(B124,'0. Instruções'!$C$27:$E$32,3,FALSE))</f>
        <v>BU_LOANTAPE_WORK.SIMUL_LT002_INSTRUMENT</v>
      </c>
      <c r="F124" s="34" t="s">
        <v>650</v>
      </c>
      <c r="G124" s="34"/>
      <c r="H124" s="34"/>
      <c r="I124" s="34" t="str">
        <f>"(SELECT "&amp;VLOOKUP(B124,'0. Instruções'!$C$27:$G$32,4,FALSE)&amp;", "&amp;F124&amp;" FROM "&amp;D124&amp;" WHERE "&amp;'0. Instruções'!$D$42&amp;")X"</f>
        <v>(SELECT instrmnt_id, dt_lgl_fnl_mtrty FROM BU_LOANTAPE_WORK.LT002_INSTRUMENT WHERE ref_date='${ref_date}' AND nome_perimetro='Individual Local' AND segmento='ESTR' AND ambito='SRB_MBDT' AND entidade='00100')X</v>
      </c>
      <c r="J124" s="34" t="str">
        <f>"(SELECT "&amp;VLOOKUP(B124,'0. Instruções'!$C$27:$G$32,4,FALSE)&amp;" AS "&amp;VLOOKUP(B124,'0. Instruções'!$C$27:$G$32,4,FALSE)&amp;"_SIMUL, "&amp;F124&amp;" AS "&amp;F124&amp;"_SIMUL FROM "&amp;E124&amp;" WHERE "&amp;'0. Instruções'!$D$43&amp;")Y"</f>
        <v>(SELECT instrmnt_id AS instrmnt_id_SIMUL, dt_lgl_fnl_mtrty AS dt_lgl_fnl_mtrty_SIMUL FROM BU_LOANTAPE_WORK.SIMUL_LT002_INSTRUMENT WHERE ref_date='${ref_date}' AND nome_perimetro='Individual Local' AND segmento='ESTR' AND ambito='PILAR3' AND entidade='00100')Y</v>
      </c>
      <c r="K124" s="35" t="str">
        <f>+UPPER("ON X."&amp;VLOOKUP(B124,'0. Instruções'!$C$27:$G$32,4,FALSE)&amp;"=Y."&amp;VLOOKUP(B124,'0. Instruções'!$C$27:$G$32,4,FALSE)&amp;"_SIMUL")</f>
        <v>ON X.INSTRMNT_ID=Y.INSTRMNT_ID_SIMUL</v>
      </c>
      <c r="L124" s="35" t="str">
        <f>+IF(C124="Coerência", +IF(LEFT(G124,5)="FLOAT","SELECT '"&amp;UPPER(B124)&amp;"' AS TABELA, '"&amp;UPPER(C124)&amp;"' AS TIPOLOGIA_TESTE,'"&amp;D124&amp;"' AS TABELA_LT,'"&amp;E124&amp;"' AS TABELA_SIMUL,'"&amp;F124&amp;"' AS CAMPO, "&amp;"'${ref_date}' AS REF_DATE, COUNT(*) AS NUM_REG, SUM(IF((ABS(COALESCE(CAST(X."&amp;F124&amp;" AS DECIMAL(18,6)),0)-COALESCE(CAST(Y."&amp;F124&amp;"_SIMUL AS DECIMAL(18,6)),0))&gt;0.000001) OR (X."&amp;F124&amp;" IS NULL AND Y."&amp;F124&amp;"_SIMUL IS NOT NULL ) OR (X."&amp;F124&amp;" IS NOT NULL AND Y."&amp;F124&amp;"_SIMUL IS NULL),1,0)) AS NUM_REG_DIF,'"&amp;MAX('ID1&amp;5'!K:K)+1&amp;"' AS ID_EXEC, CURRENT_TIMESTAMP() AS TIME_EXEC FROM "&amp;I124&amp;" INNER JOIN "&amp;J124&amp;" "&amp;K124,"SELECT '"&amp;UPPER(B124)&amp;"' AS TABELA, '"&amp;UPPER(C124)&amp;"' AS TIPOLOGIA_TESTE,'"&amp;D124&amp;"' AS TABELA_LT,'"&amp;E124&amp;"' AS TABELA_SIMUL,'"&amp;F124&amp;"' AS CAMPO, "&amp;"'${ref_date}' AS REF_DATE, COUNT(*) AS NUM_REG, SUM(IF(COALESCE(CAST(X."&amp;F124&amp;" AS STRING),'')&lt;&gt;COALESCE(CAST(Y."&amp;F124&amp;"_SIMUL AS STRING),'') OR (X."&amp;F124&amp;" IS NULL AND Y."&amp;F124&amp;"_SIMUL IS NOT NULL ) OR (X."&amp;F124&amp;" IS NOT NULL AND Y."&amp;F124&amp;"_SIMUL IS NULL),1,0)) AS NUM_REG_DIF,'"&amp;MAX('ID1&amp;5'!L:L)+1&amp;"' AS ID_EXEC, CURRENT_TIMESTAMP() AS TIME_EXEC FROM "&amp;I124&amp;" INNER JOIN "&amp;J124&amp;" "&amp;K124),
IF(C124="Validade",+IF(G124="Code List","SELECT '"&amp;UPPER(B124)&amp;"' AS TABELA, '"&amp;UPPER(C124)&amp;"' AS TIPOLOGIA_TESTE,'"&amp;D124&amp;"' AS TABELA_LT,'N/A' AS TABELA_SIMUL,'"&amp;F124&amp;"' AS CAMPO, "&amp;"'${ref_date}' AS REF_DATE, COUNT(*) AS NUM_REG, SUM(IF(TRIM(CAST(X."&amp;F124&amp;" AS STRING))='' OR TRIM(CAST(X."&amp;F124&amp;" AS STRING)) IS NULL OR CAST(X."&amp;F124&amp;" AS STRING) NOT "&amp;H124&amp;",1,0)) AS NUM_REG_DIF,'"&amp;MAX('ID1&amp;5'!K:K)+1&amp;"' AS ID_EXEC, CURRENT_TIMESTAMP() AS TIME_EXEC FROM "&amp;I124,"SELECT '"&amp;UPPER(B124)&amp;"' AS TABELA, '"&amp;UPPER(C124)&amp;"' AS TIPOLOGIA_TESTE,'"&amp;D124&amp;"' AS TABELA_LT,'N/A' AS TABELA_SIMUL,'"&amp;F124&amp;"' AS CAMPO, "&amp;"'${ref_date}' AS REF_DATE, COUNT(*) AS NUM_REG, SUM(IF(TRIM(CAST(X."&amp;F124&amp;" AS STRING))='' OR TRIM(CAST(X."&amp;F124&amp;" AS STRING)) IS NULL,1,0)) AS NUM_REG_DIF,'"&amp;MAX('ID1&amp;5'!K:K)+1&amp;"' AS ID_EXEC, CURRENT_TIMESTAMP() AS TIME_EXEC FROM "&amp;I124),
IF(C124="Caracteres Especiais",+"SELECT '"&amp;UPPER(B124)&amp;"' AS TABELA, '"&amp;UPPER(C124)&amp;"' AS TIPOLOGIA_TESTE,'"&amp;D124&amp;"' AS TABELA_LT,'N/A' AS TABELA_SIMUL,'"&amp;F124&amp;"' AS CAMPO, "&amp;"'${ref_date}' AS REF_DATE, COUNT(*) AS NUM_REG, SUM(IF(REGEXP_REPLACE(TRIM(CAST(X."&amp;F124&amp;" AS STRING)),'[^a-zA-Z0-9_\\s]','') &lt;&gt;TRIM(CAST(X."&amp;F124&amp;" AS STRING)),1,0)) AS NUM_REG_DIF,'"&amp;MAX('ID1&amp;5'!K:K)+1&amp;"' AS ID_EXEC, CURRENT_TIMESTAMP() AS TIME_EXEC FROM "&amp;I124,
IF(C124="Missings",+"SELECT '"&amp;UPPER(B124)&amp;"' AS TABELA, '"&amp;UPPER(C124)&amp;"' AS TIPOLOGIA_TESTE,'"&amp;D124&amp;"' AS TABELA_LT,'N/A' AS TABELA_SIMUL,'"&amp;F124&amp;"' AS CAMPO, "&amp;"'${ref_date}' AS REF_DATE, COUNT(*) AS NUM_REG, SUM(IF(TRIM(CAST(X."&amp;F124&amp;" AS STRING)) IN ('0000-00-00','0001-01-01','9999-12-31','MISS','00000','99999999999','99999999999.00','99999999999.000000'),1,0)) AS NUM_REG_DIF,'"&amp;MAX('ID1&amp;5'!K:K)+1&amp;"' AS ID_EXEC, CURRENT_TIMESTAMP() AS TIME_EXEC FROM "&amp;I124,
IF(C124="Not applicable",+"SELECT '"&amp;UPPER(B124)&amp;"' AS TABELA, '"&amp;UPPER(C124)&amp;"' AS TIPOLOGIA_TESTE,'"&amp;D124&amp;"' AS TABELA_LT,'N/A' AS TABELA_SIMUL,'"&amp;F124&amp;"' AS CAMPO, "&amp;"'${ref_date}' AS REF_DATE, COUNT(*) AS NUM_REG, SUM(IF(TRIM(CAST(X."&amp;F124&amp;" AS STRING)) IN ('N/A','11111111111','11111111111.00','11111111111.000000','1111-11-11'),1,0)) AS NUM_REG_DIF,'"&amp;MAX('ID1&amp;5'!K:K)+1&amp;"' AS ID_EXEC, CURRENT_TIMESTAMP() AS TIME_EXEC FROM "&amp;I124,
IF(C124="Valores extremos",+"SELECT '"&amp;UPPER(B124)&amp;"' AS TABELA, '"&amp;UPPER(C124)&amp;"' AS TIPOLOGIA_TESTE,'"&amp;D124&amp;"' AS TABELA_LT,'N/A' AS TABELA_SIMUL,'"&amp;F124&amp;"' AS CAMPO, "&amp;"'${ref_date}' AS REF_DATE, CAST(MIN("&amp;F124&amp;") AS STRING) AS VALOR_MIN, CAST(MAX("&amp;F124&amp;") AS STRING) AS VALOR_MAX,'"&amp;MAX('ID1&amp;5'!K:K)+1&amp;"' AS ID_EXEC, CURRENT_TIMESTAMP() AS TIME_EXEC FROM "&amp;MID(I124,1,LEN(I124)-2)&amp;" AND CAST("&amp;F124&amp;"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TABELA_SIMUL,'dt_lgl_fnl_mtrty' AS CAMPO, '${ref_date}' AS REF_DATE, COUNT(*) AS NUM_REG, SUM(IF(COALESCE(CAST(X.dt_lgl_fnl_mtrty AS STRING),'')&lt;&gt;COALESCE(CAST(Y.dt_lgl_fnl_mtrty_SIMUL AS STRING),'') OR (X.dt_lgl_fnl_mtrty IS NULL AND Y.dt_lgl_fnl_mtrty_SIMUL IS NOT NULL ) OR (X.dt_lgl_fnl_mtrty IS NOT NULL AND Y.dt_lgl_fnl_mtrty_SIMUL IS NULL),1,0)) AS NUM_REG_DIF,'1' AS ID_EXEC, CURRENT_TIMESTAMP() AS TIME_EXEC FROM (SELECT instrmnt_id, dt_lgl_fnl_mtrty FROM BU_LOANTAPE_WORK.LT002_INSTRUMENT WHERE ref_date='${ref_date}' AND nome_perimetro='Individual Local' AND segmento='ESTR' AND ambito='SRB_MBDT' AND entidade='00100')X INNER JOIN (SELECT instrmnt_id AS instrmnt_id_SIMUL, dt_lgl_fnl_mtrty AS dt_lgl_fnl_mtrty_SIMUL FROM BU_LOANTAPE_WORK.SIMUL_LT002_INSTRUMENT WHERE ref_date='${ref_date}' AND nome_perimetro='Individual Local' AND segmento='ESTR' AND ambito='PILAR3' AND entidade='00100')Y ON X.INSTRMNT_ID=Y.INSTRMNT_ID_SIMUL</v>
      </c>
      <c r="M124" s="36" t="str">
        <f t="shared" si="4"/>
        <v>UNION ALL SELECT 'INSTRUMENT' AS TABELA, 'COERÊNCIA' AS TIPOLOGIA_TESTE,'BU_LOANTAPE_WORK.LT002_INSTRUMENT' AS TABELA_LT,'BU_LOANTAPE_WORK.SIMUL_LT002_INSTRUMENT' AS TABELA_SIMUL,'dt_lgl_fnl_mtrty' AS CAMPO, '${ref_date}' AS REF_DATE, COUNT(*) AS NUM_REG, SUM(IF(COALESCE(CAST(X.dt_lgl_fnl_mtrty AS STRING),'')&lt;&gt;COALESCE(CAST(Y.dt_lgl_fnl_mtrty_SIMUL AS STRING),'') OR (X.dt_lgl_fnl_mtrty IS NULL AND Y.dt_lgl_fnl_mtrty_SIMUL IS NOT NULL ) OR (X.dt_lgl_fnl_mtrty IS NOT NULL AND Y.dt_lgl_fnl_mtrty_SIMUL IS NULL),1,0)) AS NUM_REG_DIF,'1' AS ID_EXEC, CURRENT_TIMESTAMP() AS TIME_EXEC FROM (SELECT instrmnt_id, dt_lgl_fnl_mtrty FROM BU_LOANTAPE_WORK.LT002_INSTRUMENT WHERE ref_date='${ref_date}' AND nome_perimetro='Individual Local' AND segmento='ESTR' AND ambito='SRB_MBDT' AND entidade='00100')X INNER JOIN (SELECT instrmnt_id AS instrmnt_id_SIMUL, dt_lgl_fnl_mtrty AS dt_lgl_fnl_mtrty_SIMUL FROM BU_LOANTAPE_WORK.SIMUL_LT002_INSTRUMENT WHERE ref_date='${ref_date}' AND nome_perimetro='Individual Local' AND segmento='ESTR' AND ambito='PILAR3' AND entidade='00100')Y ON X.INSTRMNT_ID=Y.INSTRMNT_ID_SIMUL</v>
      </c>
      <c r="N124" s="38"/>
    </row>
    <row r="125" spans="2:14">
      <c r="B125" s="34" t="s">
        <v>117</v>
      </c>
      <c r="C125" s="34" t="s">
        <v>5</v>
      </c>
      <c r="D125" s="34" t="str">
        <f>+UPPER('0. Instruções'!$D$35&amp;"."&amp;VLOOKUP(B125,'0. Instruções'!$C$27:$D$32,2,FALSE))</f>
        <v>BU_LOANTAPE_WORK.LT002_INSTRUMENT</v>
      </c>
      <c r="E125" s="34" t="str">
        <f>+UPPER('0. Instruções'!$D$36&amp;"."&amp;VLOOKUP(B125,'0. Instruções'!$C$27:$E$32,3,FALSE))</f>
        <v>BU_LOANTAPE_WORK.SIMUL_LT002_INSTRUMENT</v>
      </c>
      <c r="F125" s="34" t="s">
        <v>1195</v>
      </c>
      <c r="G125" s="34"/>
      <c r="H125" s="34"/>
      <c r="I125" s="34" t="str">
        <f>"(SELECT "&amp;VLOOKUP(B125,'0. Instruções'!$C$27:$G$32,4,FALSE)&amp;", "&amp;F125&amp;" FROM "&amp;D125&amp;" WHERE "&amp;'0. Instruções'!$D$42&amp;")X"</f>
        <v>(SELECT instrmnt_id, dt_nxt_intrst_rt_rst FROM BU_LOANTAPE_WORK.LT002_INSTRUMENT WHERE ref_date='${ref_date}' AND nome_perimetro='Individual Local' AND segmento='ESTR' AND ambito='SRB_MBDT' AND entidade='00100')X</v>
      </c>
      <c r="J125" s="34" t="str">
        <f>"(SELECT "&amp;VLOOKUP(B125,'0. Instruções'!$C$27:$G$32,4,FALSE)&amp;" AS "&amp;VLOOKUP(B125,'0. Instruções'!$C$27:$G$32,4,FALSE)&amp;"_SIMUL, "&amp;F125&amp;" AS "&amp;F125&amp;"_SIMUL FROM "&amp;E125&amp;" WHERE "&amp;'0. Instruções'!$D$43&amp;")Y"</f>
        <v>(SELECT instrmnt_id AS instrmnt_id_SIMUL, dt_nxt_intrst_rt_rst AS dt_nxt_intrst_rt_rst_SIMUL FROM BU_LOANTAPE_WORK.SIMUL_LT002_INSTRUMENT WHERE ref_date='${ref_date}' AND nome_perimetro='Individual Local' AND segmento='ESTR' AND ambito='PILAR3' AND entidade='00100')Y</v>
      </c>
      <c r="K125" s="35" t="str">
        <f>+UPPER("ON X."&amp;VLOOKUP(B125,'0. Instruções'!$C$27:$G$32,4,FALSE)&amp;"=Y."&amp;VLOOKUP(B125,'0. Instruções'!$C$27:$G$32,4,FALSE)&amp;"_SIMUL")</f>
        <v>ON X.INSTRMNT_ID=Y.INSTRMNT_ID_SIMUL</v>
      </c>
      <c r="L125" s="35" t="str">
        <f>+IF(C125="Coerência", +IF(LEFT(G125,5)="FLOAT","SELECT '"&amp;UPPER(B125)&amp;"' AS TABELA, '"&amp;UPPER(C125)&amp;"' AS TIPOLOGIA_TESTE,'"&amp;D125&amp;"' AS TABELA_LT,'"&amp;E125&amp;"' AS TABELA_SIMUL,'"&amp;F125&amp;"' AS CAMPO, "&amp;"'${ref_date}' AS REF_DATE, COUNT(*) AS NUM_REG, SUM(IF((ABS(COALESCE(CAST(X."&amp;F125&amp;" AS DECIMAL(18,6)),0)-COALESCE(CAST(Y."&amp;F125&amp;"_SIMUL AS DECIMAL(18,6)),0))&gt;0.000001) OR (X."&amp;F125&amp;" IS NULL AND Y."&amp;F125&amp;"_SIMUL IS NOT NULL ) OR (X."&amp;F125&amp;" IS NOT NULL AND Y."&amp;F125&amp;"_SIMUL IS NULL),1,0)) AS NUM_REG_DIF,'"&amp;MAX('ID1&amp;5'!K:K)+1&amp;"' AS ID_EXEC, CURRENT_TIMESTAMP() AS TIME_EXEC FROM "&amp;I125&amp;" INNER JOIN "&amp;J125&amp;" "&amp;K125,"SELECT '"&amp;UPPER(B125)&amp;"' AS TABELA, '"&amp;UPPER(C125)&amp;"' AS TIPOLOGIA_TESTE,'"&amp;D125&amp;"' AS TABELA_LT,'"&amp;E125&amp;"' AS TABELA_SIMUL,'"&amp;F125&amp;"' AS CAMPO, "&amp;"'${ref_date}' AS REF_DATE, COUNT(*) AS NUM_REG, SUM(IF(COALESCE(CAST(X."&amp;F125&amp;" AS STRING),'')&lt;&gt;COALESCE(CAST(Y."&amp;F125&amp;"_SIMUL AS STRING),'') OR (X."&amp;F125&amp;" IS NULL AND Y."&amp;F125&amp;"_SIMUL IS NOT NULL ) OR (X."&amp;F125&amp;" IS NOT NULL AND Y."&amp;F125&amp;"_SIMUL IS NULL),1,0)) AS NUM_REG_DIF,'"&amp;MAX('ID1&amp;5'!L:L)+1&amp;"' AS ID_EXEC, CURRENT_TIMESTAMP() AS TIME_EXEC FROM "&amp;I125&amp;" INNER JOIN "&amp;J125&amp;" "&amp;K125),
IF(C125="Validade",+IF(G125="Code List","SELECT '"&amp;UPPER(B125)&amp;"' AS TABELA, '"&amp;UPPER(C125)&amp;"' AS TIPOLOGIA_TESTE,'"&amp;D125&amp;"' AS TABELA_LT,'N/A' AS TABELA_SIMUL,'"&amp;F125&amp;"' AS CAMPO, "&amp;"'${ref_date}' AS REF_DATE, COUNT(*) AS NUM_REG, SUM(IF(TRIM(CAST(X."&amp;F125&amp;" AS STRING))='' OR TRIM(CAST(X."&amp;F125&amp;" AS STRING)) IS NULL OR CAST(X."&amp;F125&amp;" AS STRING) NOT "&amp;H125&amp;",1,0)) AS NUM_REG_DIF,'"&amp;MAX('ID1&amp;5'!K:K)+1&amp;"' AS ID_EXEC, CURRENT_TIMESTAMP() AS TIME_EXEC FROM "&amp;I125,"SELECT '"&amp;UPPER(B125)&amp;"' AS TABELA, '"&amp;UPPER(C125)&amp;"' AS TIPOLOGIA_TESTE,'"&amp;D125&amp;"' AS TABELA_LT,'N/A' AS TABELA_SIMUL,'"&amp;F125&amp;"' AS CAMPO, "&amp;"'${ref_date}' AS REF_DATE, COUNT(*) AS NUM_REG, SUM(IF(TRIM(CAST(X."&amp;F125&amp;" AS STRING))='' OR TRIM(CAST(X."&amp;F125&amp;" AS STRING)) IS NULL,1,0)) AS NUM_REG_DIF,'"&amp;MAX('ID1&amp;5'!K:K)+1&amp;"' AS ID_EXEC, CURRENT_TIMESTAMP() AS TIME_EXEC FROM "&amp;I125),
IF(C125="Caracteres Especiais",+"SELECT '"&amp;UPPER(B125)&amp;"' AS TABELA, '"&amp;UPPER(C125)&amp;"' AS TIPOLOGIA_TESTE,'"&amp;D125&amp;"' AS TABELA_LT,'N/A' AS TABELA_SIMUL,'"&amp;F125&amp;"' AS CAMPO, "&amp;"'${ref_date}' AS REF_DATE, COUNT(*) AS NUM_REG, SUM(IF(REGEXP_REPLACE(TRIM(CAST(X."&amp;F125&amp;" AS STRING)),'[^a-zA-Z0-9_\\s]','') &lt;&gt;TRIM(CAST(X."&amp;F125&amp;" AS STRING)),1,0)) AS NUM_REG_DIF,'"&amp;MAX('ID1&amp;5'!K:K)+1&amp;"' AS ID_EXEC, CURRENT_TIMESTAMP() AS TIME_EXEC FROM "&amp;I125,
IF(C125="Missings",+"SELECT '"&amp;UPPER(B125)&amp;"' AS TABELA, '"&amp;UPPER(C125)&amp;"' AS TIPOLOGIA_TESTE,'"&amp;D125&amp;"' AS TABELA_LT,'N/A' AS TABELA_SIMUL,'"&amp;F125&amp;"' AS CAMPO, "&amp;"'${ref_date}' AS REF_DATE, COUNT(*) AS NUM_REG, SUM(IF(TRIM(CAST(X."&amp;F125&amp;" AS STRING)) IN ('0000-00-00','0001-01-01','9999-12-31','MISS','00000','99999999999','99999999999.00','99999999999.000000'),1,0)) AS NUM_REG_DIF,'"&amp;MAX('ID1&amp;5'!K:K)+1&amp;"' AS ID_EXEC, CURRENT_TIMESTAMP() AS TIME_EXEC FROM "&amp;I125,
IF(C125="Not applicable",+"SELECT '"&amp;UPPER(B125)&amp;"' AS TABELA, '"&amp;UPPER(C125)&amp;"' AS TIPOLOGIA_TESTE,'"&amp;D125&amp;"' AS TABELA_LT,'N/A' AS TABELA_SIMUL,'"&amp;F125&amp;"' AS CAMPO, "&amp;"'${ref_date}' AS REF_DATE, COUNT(*) AS NUM_REG, SUM(IF(TRIM(CAST(X."&amp;F125&amp;" AS STRING)) IN ('N/A','11111111111','11111111111.00','11111111111.000000','1111-11-11'),1,0)) AS NUM_REG_DIF,'"&amp;MAX('ID1&amp;5'!K:K)+1&amp;"' AS ID_EXEC, CURRENT_TIMESTAMP() AS TIME_EXEC FROM "&amp;I125,
IF(C125="Valores extremos",+"SELECT '"&amp;UPPER(B125)&amp;"' AS TABELA, '"&amp;UPPER(C125)&amp;"' AS TIPOLOGIA_TESTE,'"&amp;D125&amp;"' AS TABELA_LT,'N/A' AS TABELA_SIMUL,'"&amp;F125&amp;"' AS CAMPO, "&amp;"'${ref_date}' AS REF_DATE, CAST(MIN("&amp;F125&amp;") AS STRING) AS VALOR_MIN, CAST(MAX("&amp;F125&amp;") AS STRING) AS VALOR_MAX,'"&amp;MAX('ID1&amp;5'!K:K)+1&amp;"' AS ID_EXEC, CURRENT_TIMESTAMP() AS TIME_EXEC FROM "&amp;MID(I125,1,LEN(I125)-2)&amp;" AND CAST("&amp;F125&amp;"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TABELA_SIMUL,'dt_nxt_intrst_rt_rst' AS CAMPO, '${ref_date}' AS REF_DATE, COUNT(*) AS NUM_REG, SUM(IF(COALESCE(CAST(X.dt_nxt_intrst_rt_rst AS STRING),'')&lt;&gt;COALESCE(CAST(Y.dt_nxt_intrst_rt_rst_SIMUL AS STRING),'') OR (X.dt_nxt_intrst_rt_rst IS NULL AND Y.dt_nxt_intrst_rt_rst_SIMUL IS NOT NULL ) OR (X.dt_nxt_intrst_rt_rst IS NOT NULL AND Y.dt_nxt_intrst_rt_rst_SIMUL IS NULL),1,0)) AS NUM_REG_DIF,'1' AS ID_EXEC, CURRENT_TIMESTAMP() AS TIME_EXEC FROM (SELECT instrmnt_id, dt_nxt_intrst_rt_rst FROM BU_LOANTAPE_WORK.LT002_INSTRUMENT WHERE ref_date='${ref_date}' AND nome_perimetro='Individual Local' AND segmento='ESTR' AND ambito='SRB_MBDT' AND entidade='00100')X INNER JOIN (SELECT instrmnt_id AS instrmnt_id_SIMUL, dt_nxt_intrst_rt_rst AS dt_nxt_intrst_rt_rst_SIMUL FROM BU_LOANTAPE_WORK.SIMUL_LT002_INSTRUMENT WHERE ref_date='${ref_date}' AND nome_perimetro='Individual Local' AND segmento='ESTR' AND ambito='PILAR3' AND entidade='00100')Y ON X.INSTRMNT_ID=Y.INSTRMNT_ID_SIMUL</v>
      </c>
      <c r="M125" s="36" t="str">
        <f t="shared" si="4"/>
        <v>UNION ALL SELECT 'INSTRUMENT' AS TABELA, 'COERÊNCIA' AS TIPOLOGIA_TESTE,'BU_LOANTAPE_WORK.LT002_INSTRUMENT' AS TABELA_LT,'BU_LOANTAPE_WORK.SIMUL_LT002_INSTRUMENT' AS TABELA_SIMUL,'dt_nxt_intrst_rt_rst' AS CAMPO, '${ref_date}' AS REF_DATE, COUNT(*) AS NUM_REG, SUM(IF(COALESCE(CAST(X.dt_nxt_intrst_rt_rst AS STRING),'')&lt;&gt;COALESCE(CAST(Y.dt_nxt_intrst_rt_rst_SIMUL AS STRING),'') OR (X.dt_nxt_intrst_rt_rst IS NULL AND Y.dt_nxt_intrst_rt_rst_SIMUL IS NOT NULL ) OR (X.dt_nxt_intrst_rt_rst IS NOT NULL AND Y.dt_nxt_intrst_rt_rst_SIMUL IS NULL),1,0)) AS NUM_REG_DIF,'1' AS ID_EXEC, CURRENT_TIMESTAMP() AS TIME_EXEC FROM (SELECT instrmnt_id, dt_nxt_intrst_rt_rst FROM BU_LOANTAPE_WORK.LT002_INSTRUMENT WHERE ref_date='${ref_date}' AND nome_perimetro='Individual Local' AND segmento='ESTR' AND ambito='SRB_MBDT' AND entidade='00100')X INNER JOIN (SELECT instrmnt_id AS instrmnt_id_SIMUL, dt_nxt_intrst_rt_rst AS dt_nxt_intrst_rt_rst_SIMUL FROM BU_LOANTAPE_WORK.SIMUL_LT002_INSTRUMENT WHERE ref_date='${ref_date}' AND nome_perimetro='Individual Local' AND segmento='ESTR' AND ambito='PILAR3' AND entidade='00100')Y ON X.INSTRMNT_ID=Y.INSTRMNT_ID_SIMUL</v>
      </c>
      <c r="N125" s="38"/>
    </row>
    <row r="126" spans="2:14">
      <c r="B126" s="34" t="s">
        <v>117</v>
      </c>
      <c r="C126" s="34" t="s">
        <v>5</v>
      </c>
      <c r="D126" s="34" t="str">
        <f>+UPPER('0. Instruções'!$D$35&amp;"."&amp;VLOOKUP(B126,'0. Instruções'!$C$27:$D$32,2,FALSE))</f>
        <v>BU_LOANTAPE_WORK.LT002_INSTRUMENT</v>
      </c>
      <c r="E126" s="34" t="str">
        <f>+UPPER('0. Instruções'!$D$36&amp;"."&amp;VLOOKUP(B126,'0. Instruções'!$C$27:$E$32,3,FALSE))</f>
        <v>BU_LOANTAPE_WORK.SIMUL_LT002_INSTRUMENT</v>
      </c>
      <c r="F126" s="34" t="s">
        <v>1196</v>
      </c>
      <c r="G126" s="34"/>
      <c r="H126" s="34"/>
      <c r="I126" s="34" t="str">
        <f>"(SELECT "&amp;VLOOKUP(B126,'0. Instruções'!$C$27:$G$32,4,FALSE)&amp;", "&amp;F126&amp;" FROM "&amp;D126&amp;" WHERE "&amp;'0. Instruções'!$D$42&amp;")X"</f>
        <v>(SELECT instrmnt_id, dt_orgnl_mtrty FROM BU_LOANTAPE_WORK.LT002_INSTRUMENT WHERE ref_date='${ref_date}' AND nome_perimetro='Individual Local' AND segmento='ESTR' AND ambito='SRB_MBDT' AND entidade='00100')X</v>
      </c>
      <c r="J126" s="34" t="str">
        <f>"(SELECT "&amp;VLOOKUP(B126,'0. Instruções'!$C$27:$G$32,4,FALSE)&amp;" AS "&amp;VLOOKUP(B126,'0. Instruções'!$C$27:$G$32,4,FALSE)&amp;"_SIMUL, "&amp;F126&amp;" AS "&amp;F126&amp;"_SIMUL FROM "&amp;E126&amp;" WHERE "&amp;'0. Instruções'!$D$43&amp;")Y"</f>
        <v>(SELECT instrmnt_id AS instrmnt_id_SIMUL, dt_orgnl_mtrty AS dt_orgnl_mtrty_SIMUL FROM BU_LOANTAPE_WORK.SIMUL_LT002_INSTRUMENT WHERE ref_date='${ref_date}' AND nome_perimetro='Individual Local' AND segmento='ESTR' AND ambito='PILAR3' AND entidade='00100')Y</v>
      </c>
      <c r="K126" s="35" t="str">
        <f>+UPPER("ON X."&amp;VLOOKUP(B126,'0. Instruções'!$C$27:$G$32,4,FALSE)&amp;"=Y."&amp;VLOOKUP(B126,'0. Instruções'!$C$27:$G$32,4,FALSE)&amp;"_SIMUL")</f>
        <v>ON X.INSTRMNT_ID=Y.INSTRMNT_ID_SIMUL</v>
      </c>
      <c r="L126" s="35" t="str">
        <f>+IF(C126="Coerência", +IF(LEFT(G126,5)="FLOAT","SELECT '"&amp;UPPER(B126)&amp;"' AS TABELA, '"&amp;UPPER(C126)&amp;"' AS TIPOLOGIA_TESTE,'"&amp;D126&amp;"' AS TABELA_LT,'"&amp;E126&amp;"' AS TABELA_SIMUL,'"&amp;F126&amp;"' AS CAMPO, "&amp;"'${ref_date}' AS REF_DATE, COUNT(*) AS NUM_REG, SUM(IF((ABS(COALESCE(CAST(X."&amp;F126&amp;" AS DECIMAL(18,6)),0)-COALESCE(CAST(Y."&amp;F126&amp;"_SIMUL AS DECIMAL(18,6)),0))&gt;0.000001) OR (X."&amp;F126&amp;" IS NULL AND Y."&amp;F126&amp;"_SIMUL IS NOT NULL ) OR (X."&amp;F126&amp;" IS NOT NULL AND Y."&amp;F126&amp;"_SIMUL IS NULL),1,0)) AS NUM_REG_DIF,'"&amp;MAX('ID1&amp;5'!K:K)+1&amp;"' AS ID_EXEC, CURRENT_TIMESTAMP() AS TIME_EXEC FROM "&amp;I126&amp;" INNER JOIN "&amp;J126&amp;" "&amp;K126,"SELECT '"&amp;UPPER(B126)&amp;"' AS TABELA, '"&amp;UPPER(C126)&amp;"' AS TIPOLOGIA_TESTE,'"&amp;D126&amp;"' AS TABELA_LT,'"&amp;E126&amp;"' AS TABELA_SIMUL,'"&amp;F126&amp;"' AS CAMPO, "&amp;"'${ref_date}' AS REF_DATE, COUNT(*) AS NUM_REG, SUM(IF(COALESCE(CAST(X."&amp;F126&amp;" AS STRING),'')&lt;&gt;COALESCE(CAST(Y."&amp;F126&amp;"_SIMUL AS STRING),'') OR (X."&amp;F126&amp;" IS NULL AND Y."&amp;F126&amp;"_SIMUL IS NOT NULL ) OR (X."&amp;F126&amp;" IS NOT NULL AND Y."&amp;F126&amp;"_SIMUL IS NULL),1,0)) AS NUM_REG_DIF,'"&amp;MAX('ID1&amp;5'!L:L)+1&amp;"' AS ID_EXEC, CURRENT_TIMESTAMP() AS TIME_EXEC FROM "&amp;I126&amp;" INNER JOIN "&amp;J126&amp;" "&amp;K126),
IF(C126="Validade",+IF(G126="Code List","SELECT '"&amp;UPPER(B126)&amp;"' AS TABELA, '"&amp;UPPER(C126)&amp;"' AS TIPOLOGIA_TESTE,'"&amp;D126&amp;"' AS TABELA_LT,'N/A' AS TABELA_SIMUL,'"&amp;F126&amp;"' AS CAMPO, "&amp;"'${ref_date}' AS REF_DATE, COUNT(*) AS NUM_REG, SUM(IF(TRIM(CAST(X."&amp;F126&amp;" AS STRING))='' OR TRIM(CAST(X."&amp;F126&amp;" AS STRING)) IS NULL OR CAST(X."&amp;F126&amp;" AS STRING) NOT "&amp;H126&amp;",1,0)) AS NUM_REG_DIF,'"&amp;MAX('ID1&amp;5'!K:K)+1&amp;"' AS ID_EXEC, CURRENT_TIMESTAMP() AS TIME_EXEC FROM "&amp;I126,"SELECT '"&amp;UPPER(B126)&amp;"' AS TABELA, '"&amp;UPPER(C126)&amp;"' AS TIPOLOGIA_TESTE,'"&amp;D126&amp;"' AS TABELA_LT,'N/A' AS TABELA_SIMUL,'"&amp;F126&amp;"' AS CAMPO, "&amp;"'${ref_date}' AS REF_DATE, COUNT(*) AS NUM_REG, SUM(IF(TRIM(CAST(X."&amp;F126&amp;" AS STRING))='' OR TRIM(CAST(X."&amp;F126&amp;" AS STRING)) IS NULL,1,0)) AS NUM_REG_DIF,'"&amp;MAX('ID1&amp;5'!K:K)+1&amp;"' AS ID_EXEC, CURRENT_TIMESTAMP() AS TIME_EXEC FROM "&amp;I126),
IF(C126="Caracteres Especiais",+"SELECT '"&amp;UPPER(B126)&amp;"' AS TABELA, '"&amp;UPPER(C126)&amp;"' AS TIPOLOGIA_TESTE,'"&amp;D126&amp;"' AS TABELA_LT,'N/A' AS TABELA_SIMUL,'"&amp;F126&amp;"' AS CAMPO, "&amp;"'${ref_date}' AS REF_DATE, COUNT(*) AS NUM_REG, SUM(IF(REGEXP_REPLACE(TRIM(CAST(X."&amp;F126&amp;" AS STRING)),'[^a-zA-Z0-9_\\s]','') &lt;&gt;TRIM(CAST(X."&amp;F126&amp;" AS STRING)),1,0)) AS NUM_REG_DIF,'"&amp;MAX('ID1&amp;5'!K:K)+1&amp;"' AS ID_EXEC, CURRENT_TIMESTAMP() AS TIME_EXEC FROM "&amp;I126,
IF(C126="Missings",+"SELECT '"&amp;UPPER(B126)&amp;"' AS TABELA, '"&amp;UPPER(C126)&amp;"' AS TIPOLOGIA_TESTE,'"&amp;D126&amp;"' AS TABELA_LT,'N/A' AS TABELA_SIMUL,'"&amp;F126&amp;"' AS CAMPO, "&amp;"'${ref_date}' AS REF_DATE, COUNT(*) AS NUM_REG, SUM(IF(TRIM(CAST(X."&amp;F126&amp;" AS STRING)) IN ('0000-00-00','0001-01-01','9999-12-31','MISS','00000','99999999999','99999999999.00','99999999999.000000'),1,0)) AS NUM_REG_DIF,'"&amp;MAX('ID1&amp;5'!K:K)+1&amp;"' AS ID_EXEC, CURRENT_TIMESTAMP() AS TIME_EXEC FROM "&amp;I126,
IF(C126="Not applicable",+"SELECT '"&amp;UPPER(B126)&amp;"' AS TABELA, '"&amp;UPPER(C126)&amp;"' AS TIPOLOGIA_TESTE,'"&amp;D126&amp;"' AS TABELA_LT,'N/A' AS TABELA_SIMUL,'"&amp;F126&amp;"' AS CAMPO, "&amp;"'${ref_date}' AS REF_DATE, COUNT(*) AS NUM_REG, SUM(IF(TRIM(CAST(X."&amp;F126&amp;" AS STRING)) IN ('N/A','11111111111','11111111111.00','11111111111.000000','1111-11-11'),1,0)) AS NUM_REG_DIF,'"&amp;MAX('ID1&amp;5'!K:K)+1&amp;"' AS ID_EXEC, CURRENT_TIMESTAMP() AS TIME_EXEC FROM "&amp;I126,
IF(C126="Valores extremos",+"SELECT '"&amp;UPPER(B126)&amp;"' AS TABELA, '"&amp;UPPER(C126)&amp;"' AS TIPOLOGIA_TESTE,'"&amp;D126&amp;"' AS TABELA_LT,'N/A' AS TABELA_SIMUL,'"&amp;F126&amp;"' AS CAMPO, "&amp;"'${ref_date}' AS REF_DATE, CAST(MIN("&amp;F126&amp;") AS STRING) AS VALOR_MIN, CAST(MAX("&amp;F126&amp;") AS STRING) AS VALOR_MAX,'"&amp;MAX('ID1&amp;5'!K:K)+1&amp;"' AS ID_EXEC, CURRENT_TIMESTAMP() AS TIME_EXEC FROM "&amp;MID(I126,1,LEN(I126)-2)&amp;" AND CAST("&amp;F126&amp;"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TABELA_SIMUL,'dt_orgnl_mtrty' AS CAMPO, '${ref_date}' AS REF_DATE, COUNT(*) AS NUM_REG, SUM(IF(COALESCE(CAST(X.dt_orgnl_mtrty AS STRING),'')&lt;&gt;COALESCE(CAST(Y.dt_orgnl_mtrty_SIMUL AS STRING),'') OR (X.dt_orgnl_mtrty IS NULL AND Y.dt_orgnl_mtrty_SIMUL IS NOT NULL ) OR (X.dt_orgnl_mtrty IS NOT NULL AND Y.dt_orgnl_mtrty_SIMUL IS NULL),1,0)) AS NUM_REG_DIF,'1' AS ID_EXEC, CURRENT_TIMESTAMP() AS TIME_EXEC FROM (SELECT instrmnt_id, dt_orgnl_mtrty FROM BU_LOANTAPE_WORK.LT002_INSTRUMENT WHERE ref_date='${ref_date}' AND nome_perimetro='Individual Local' AND segmento='ESTR' AND ambito='SRB_MBDT' AND entidade='00100')X INNER JOIN (SELECT instrmnt_id AS instrmnt_id_SIMUL, dt_orgnl_mtrty AS dt_orgnl_mtrty_SIMUL FROM BU_LOANTAPE_WORK.SIMUL_LT002_INSTRUMENT WHERE ref_date='${ref_date}' AND nome_perimetro='Individual Local' AND segmento='ESTR' AND ambito='PILAR3' AND entidade='00100')Y ON X.INSTRMNT_ID=Y.INSTRMNT_ID_SIMUL</v>
      </c>
      <c r="M126" s="36" t="str">
        <f t="shared" si="4"/>
        <v>UNION ALL SELECT 'INSTRUMENT' AS TABELA, 'COERÊNCIA' AS TIPOLOGIA_TESTE,'BU_LOANTAPE_WORK.LT002_INSTRUMENT' AS TABELA_LT,'BU_LOANTAPE_WORK.SIMUL_LT002_INSTRUMENT' AS TABELA_SIMUL,'dt_orgnl_mtrty' AS CAMPO, '${ref_date}' AS REF_DATE, COUNT(*) AS NUM_REG, SUM(IF(COALESCE(CAST(X.dt_orgnl_mtrty AS STRING),'')&lt;&gt;COALESCE(CAST(Y.dt_orgnl_mtrty_SIMUL AS STRING),'') OR (X.dt_orgnl_mtrty IS NULL AND Y.dt_orgnl_mtrty_SIMUL IS NOT NULL ) OR (X.dt_orgnl_mtrty IS NOT NULL AND Y.dt_orgnl_mtrty_SIMUL IS NULL),1,0)) AS NUM_REG_DIF,'1' AS ID_EXEC, CURRENT_TIMESTAMP() AS TIME_EXEC FROM (SELECT instrmnt_id, dt_orgnl_mtrty FROM BU_LOANTAPE_WORK.LT002_INSTRUMENT WHERE ref_date='${ref_date}' AND nome_perimetro='Individual Local' AND segmento='ESTR' AND ambito='SRB_MBDT' AND entidade='00100')X INNER JOIN (SELECT instrmnt_id AS instrmnt_id_SIMUL, dt_orgnl_mtrty AS dt_orgnl_mtrty_SIMUL FROM BU_LOANTAPE_WORK.SIMUL_LT002_INSTRUMENT WHERE ref_date='${ref_date}' AND nome_perimetro='Individual Local' AND segmento='ESTR' AND ambito='PILAR3' AND entidade='00100')Y ON X.INSTRMNT_ID=Y.INSTRMNT_ID_SIMUL</v>
      </c>
      <c r="N126" s="38"/>
    </row>
    <row r="127" spans="2:14">
      <c r="B127" s="34" t="s">
        <v>117</v>
      </c>
      <c r="C127" s="34" t="s">
        <v>5</v>
      </c>
      <c r="D127" s="34" t="str">
        <f>+UPPER('0. Instruções'!$D$35&amp;"."&amp;VLOOKUP(B127,'0. Instruções'!$C$27:$D$32,2,FALSE))</f>
        <v>BU_LOANTAPE_WORK.LT002_INSTRUMENT</v>
      </c>
      <c r="E127" s="34" t="str">
        <f>+UPPER('0. Instruções'!$D$36&amp;"."&amp;VLOOKUP(B127,'0. Instruções'!$C$27:$E$32,3,FALSE))</f>
        <v>BU_LOANTAPE_WORK.SIMUL_LT002_INSTRUMENT</v>
      </c>
      <c r="F127" s="34" t="s">
        <v>297</v>
      </c>
      <c r="G127" s="34"/>
      <c r="H127" s="34"/>
      <c r="I127" s="34" t="str">
        <f>"(SELECT "&amp;VLOOKUP(B127,'0. Instruções'!$C$27:$G$32,4,FALSE)&amp;", "&amp;F127&amp;" FROM "&amp;D127&amp;" WHERE "&amp;'0. Instruções'!$D$42&amp;")X"</f>
        <v>(SELECT instrmnt_id, ifrs9_bhvrl_mtrty FROM BU_LOANTAPE_WORK.LT002_INSTRUMENT WHERE ref_date='${ref_date}' AND nome_perimetro='Individual Local' AND segmento='ESTR' AND ambito='SRB_MBDT' AND entidade='00100')X</v>
      </c>
      <c r="J127" s="34" t="str">
        <f>"(SELECT "&amp;VLOOKUP(B127,'0. Instruções'!$C$27:$G$32,4,FALSE)&amp;" AS "&amp;VLOOKUP(B127,'0. Instruções'!$C$27:$G$32,4,FALSE)&amp;"_SIMUL, "&amp;F127&amp;" AS "&amp;F127&amp;"_SIMUL FROM "&amp;E127&amp;" WHERE "&amp;'0. Instruções'!$D$43&amp;")Y"</f>
        <v>(SELECT instrmnt_id AS instrmnt_id_SIMUL, ifrs9_bhvrl_mtrty AS ifrs9_bhvrl_mtrty_SIMUL FROM BU_LOANTAPE_WORK.SIMUL_LT002_INSTRUMENT WHERE ref_date='${ref_date}' AND nome_perimetro='Individual Local' AND segmento='ESTR' AND ambito='PILAR3' AND entidade='00100')Y</v>
      </c>
      <c r="K127" s="35" t="str">
        <f>+UPPER("ON X."&amp;VLOOKUP(B127,'0. Instruções'!$C$27:$G$32,4,FALSE)&amp;"=Y."&amp;VLOOKUP(B127,'0. Instruções'!$C$27:$G$32,4,FALSE)&amp;"_SIMUL")</f>
        <v>ON X.INSTRMNT_ID=Y.INSTRMNT_ID_SIMUL</v>
      </c>
      <c r="L127" s="35" t="str">
        <f>+IF(C127="Coerência", +IF(LEFT(G127,5)="FLOAT","SELECT '"&amp;UPPER(B127)&amp;"' AS TABELA, '"&amp;UPPER(C127)&amp;"' AS TIPOLOGIA_TESTE,'"&amp;D127&amp;"' AS TABELA_LT,'"&amp;E127&amp;"' AS TABELA_SIMUL,'"&amp;F127&amp;"' AS CAMPO, "&amp;"'${ref_date}' AS REF_DATE, COUNT(*) AS NUM_REG, SUM(IF((ABS(COALESCE(CAST(X."&amp;F127&amp;" AS DECIMAL(18,6)),0)-COALESCE(CAST(Y."&amp;F127&amp;"_SIMUL AS DECIMAL(18,6)),0))&gt;0.000001) OR (X."&amp;F127&amp;" IS NULL AND Y."&amp;F127&amp;"_SIMUL IS NOT NULL ) OR (X."&amp;F127&amp;" IS NOT NULL AND Y."&amp;F127&amp;"_SIMUL IS NULL),1,0)) AS NUM_REG_DIF,'"&amp;MAX('ID1&amp;5'!K:K)+1&amp;"' AS ID_EXEC, CURRENT_TIMESTAMP() AS TIME_EXEC FROM "&amp;I127&amp;" INNER JOIN "&amp;J127&amp;" "&amp;K127,"SELECT '"&amp;UPPER(B127)&amp;"' AS TABELA, '"&amp;UPPER(C127)&amp;"' AS TIPOLOGIA_TESTE,'"&amp;D127&amp;"' AS TABELA_LT,'"&amp;E127&amp;"' AS TABELA_SIMUL,'"&amp;F127&amp;"' AS CAMPO, "&amp;"'${ref_date}' AS REF_DATE, COUNT(*) AS NUM_REG, SUM(IF(COALESCE(CAST(X."&amp;F127&amp;" AS STRING),'')&lt;&gt;COALESCE(CAST(Y."&amp;F127&amp;"_SIMUL AS STRING),'') OR (X."&amp;F127&amp;" IS NULL AND Y."&amp;F127&amp;"_SIMUL IS NOT NULL ) OR (X."&amp;F127&amp;" IS NOT NULL AND Y."&amp;F127&amp;"_SIMUL IS NULL),1,0)) AS NUM_REG_DIF,'"&amp;MAX('ID1&amp;5'!L:L)+1&amp;"' AS ID_EXEC, CURRENT_TIMESTAMP() AS TIME_EXEC FROM "&amp;I127&amp;" INNER JOIN "&amp;J127&amp;" "&amp;K127),
IF(C127="Validade",+IF(G127="Code List","SELECT '"&amp;UPPER(B127)&amp;"' AS TABELA, '"&amp;UPPER(C127)&amp;"' AS TIPOLOGIA_TESTE,'"&amp;D127&amp;"' AS TABELA_LT,'N/A' AS TABELA_SIMUL,'"&amp;F127&amp;"' AS CAMPO, "&amp;"'${ref_date}' AS REF_DATE, COUNT(*) AS NUM_REG, SUM(IF(TRIM(CAST(X."&amp;F127&amp;" AS STRING))='' OR TRIM(CAST(X."&amp;F127&amp;" AS STRING)) IS NULL OR CAST(X."&amp;F127&amp;" AS STRING) NOT "&amp;H127&amp;",1,0)) AS NUM_REG_DIF,'"&amp;MAX('ID1&amp;5'!K:K)+1&amp;"' AS ID_EXEC, CURRENT_TIMESTAMP() AS TIME_EXEC FROM "&amp;I127,"SELECT '"&amp;UPPER(B127)&amp;"' AS TABELA, '"&amp;UPPER(C127)&amp;"' AS TIPOLOGIA_TESTE,'"&amp;D127&amp;"' AS TABELA_LT,'N/A' AS TABELA_SIMUL,'"&amp;F127&amp;"' AS CAMPO, "&amp;"'${ref_date}' AS REF_DATE, COUNT(*) AS NUM_REG, SUM(IF(TRIM(CAST(X."&amp;F127&amp;" AS STRING))='' OR TRIM(CAST(X."&amp;F127&amp;" AS STRING)) IS NULL,1,0)) AS NUM_REG_DIF,'"&amp;MAX('ID1&amp;5'!K:K)+1&amp;"' AS ID_EXEC, CURRENT_TIMESTAMP() AS TIME_EXEC FROM "&amp;I127),
IF(C127="Caracteres Especiais",+"SELECT '"&amp;UPPER(B127)&amp;"' AS TABELA, '"&amp;UPPER(C127)&amp;"' AS TIPOLOGIA_TESTE,'"&amp;D127&amp;"' AS TABELA_LT,'N/A' AS TABELA_SIMUL,'"&amp;F127&amp;"' AS CAMPO, "&amp;"'${ref_date}' AS REF_DATE, COUNT(*) AS NUM_REG, SUM(IF(REGEXP_REPLACE(TRIM(CAST(X."&amp;F127&amp;" AS STRING)),'[^a-zA-Z0-9_\\s]','') &lt;&gt;TRIM(CAST(X."&amp;F127&amp;" AS STRING)),1,0)) AS NUM_REG_DIF,'"&amp;MAX('ID1&amp;5'!K:K)+1&amp;"' AS ID_EXEC, CURRENT_TIMESTAMP() AS TIME_EXEC FROM "&amp;I127,
IF(C127="Missings",+"SELECT '"&amp;UPPER(B127)&amp;"' AS TABELA, '"&amp;UPPER(C127)&amp;"' AS TIPOLOGIA_TESTE,'"&amp;D127&amp;"' AS TABELA_LT,'N/A' AS TABELA_SIMUL,'"&amp;F127&amp;"' AS CAMPO, "&amp;"'${ref_date}' AS REF_DATE, COUNT(*) AS NUM_REG, SUM(IF(TRIM(CAST(X."&amp;F127&amp;" AS STRING)) IN ('0000-00-00','0001-01-01','9999-12-31','MISS','00000','99999999999','99999999999.00','99999999999.000000'),1,0)) AS NUM_REG_DIF,'"&amp;MAX('ID1&amp;5'!K:K)+1&amp;"' AS ID_EXEC, CURRENT_TIMESTAMP() AS TIME_EXEC FROM "&amp;I127,
IF(C127="Not applicable",+"SELECT '"&amp;UPPER(B127)&amp;"' AS TABELA, '"&amp;UPPER(C127)&amp;"' AS TIPOLOGIA_TESTE,'"&amp;D127&amp;"' AS TABELA_LT,'N/A' AS TABELA_SIMUL,'"&amp;F127&amp;"' AS CAMPO, "&amp;"'${ref_date}' AS REF_DATE, COUNT(*) AS NUM_REG, SUM(IF(TRIM(CAST(X."&amp;F127&amp;" AS STRING)) IN ('N/A','11111111111','11111111111.00','11111111111.000000','1111-11-11'),1,0)) AS NUM_REG_DIF,'"&amp;MAX('ID1&amp;5'!K:K)+1&amp;"' AS ID_EXEC, CURRENT_TIMESTAMP() AS TIME_EXEC FROM "&amp;I127,
IF(C127="Valores extremos",+"SELECT '"&amp;UPPER(B127)&amp;"' AS TABELA, '"&amp;UPPER(C127)&amp;"' AS TIPOLOGIA_TESTE,'"&amp;D127&amp;"' AS TABELA_LT,'N/A' AS TABELA_SIMUL,'"&amp;F127&amp;"' AS CAMPO, "&amp;"'${ref_date}' AS REF_DATE, CAST(MIN("&amp;F127&amp;") AS STRING) AS VALOR_MIN, CAST(MAX("&amp;F127&amp;") AS STRING) AS VALOR_MAX,'"&amp;MAX('ID1&amp;5'!K:K)+1&amp;"' AS ID_EXEC, CURRENT_TIMESTAMP() AS TIME_EXEC FROM "&amp;MID(I127,1,LEN(I127)-2)&amp;" AND CAST("&amp;F127&amp;"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TABELA_SIMUL,'ifrs9_bhvrl_mtrty' AS CAMPO, '${ref_date}' AS REF_DATE, COUNT(*) AS NUM_REG, SUM(IF(COALESCE(CAST(X.ifrs9_bhvrl_mtrty AS STRING),'')&lt;&gt;COALESCE(CAST(Y.ifrs9_bhvrl_mtrty_SIMUL AS STRING),'') OR (X.ifrs9_bhvrl_mtrty IS NULL AND Y.ifrs9_bhvrl_mtrty_SIMUL IS NOT NULL ) OR (X.ifrs9_bhvrl_mtrty IS NOT NULL AND Y.ifrs9_bhvrl_mtrty_SIMUL IS NULL),1,0)) AS NUM_REG_DIF,'1' AS ID_EXEC, CURRENT_TIMESTAMP() AS TIME_EXEC FROM (SELECT instrmnt_id, ifrs9_bhvrl_mtrty FROM BU_LOANTAPE_WORK.LT002_INSTRUMENT WHERE ref_date='${ref_date}' AND nome_perimetro='Individual Local' AND segmento='ESTR' AND ambito='SRB_MBDT' AND entidade='00100')X INNER JOIN (SELECT instrmnt_id AS instrmnt_id_SIMUL, ifrs9_bhvrl_mtrty AS ifrs9_bhvrl_mtrty_SIMUL FROM BU_LOANTAPE_WORK.SIMUL_LT002_INSTRUMENT WHERE ref_date='${ref_date}' AND nome_perimetro='Individual Local' AND segmento='ESTR' AND ambito='PILAR3' AND entidade='00100')Y ON X.INSTRMNT_ID=Y.INSTRMNT_ID_SIMUL</v>
      </c>
      <c r="M127" s="36" t="str">
        <f t="shared" ref="M127:M190" si="5">+"UNION ALL "&amp;L127</f>
        <v>UNION ALL SELECT 'INSTRUMENT' AS TABELA, 'COERÊNCIA' AS TIPOLOGIA_TESTE,'BU_LOANTAPE_WORK.LT002_INSTRUMENT' AS TABELA_LT,'BU_LOANTAPE_WORK.SIMUL_LT002_INSTRUMENT' AS TABELA_SIMUL,'ifrs9_bhvrl_mtrty' AS CAMPO, '${ref_date}' AS REF_DATE, COUNT(*) AS NUM_REG, SUM(IF(COALESCE(CAST(X.ifrs9_bhvrl_mtrty AS STRING),'')&lt;&gt;COALESCE(CAST(Y.ifrs9_bhvrl_mtrty_SIMUL AS STRING),'') OR (X.ifrs9_bhvrl_mtrty IS NULL AND Y.ifrs9_bhvrl_mtrty_SIMUL IS NOT NULL ) OR (X.ifrs9_bhvrl_mtrty IS NOT NULL AND Y.ifrs9_bhvrl_mtrty_SIMUL IS NULL),1,0)) AS NUM_REG_DIF,'1' AS ID_EXEC, CURRENT_TIMESTAMP() AS TIME_EXEC FROM (SELECT instrmnt_id, ifrs9_bhvrl_mtrty FROM BU_LOANTAPE_WORK.LT002_INSTRUMENT WHERE ref_date='${ref_date}' AND nome_perimetro='Individual Local' AND segmento='ESTR' AND ambito='SRB_MBDT' AND entidade='00100')X INNER JOIN (SELECT instrmnt_id AS instrmnt_id_SIMUL, ifrs9_bhvrl_mtrty AS ifrs9_bhvrl_mtrty_SIMUL FROM BU_LOANTAPE_WORK.SIMUL_LT002_INSTRUMENT WHERE ref_date='${ref_date}' AND nome_perimetro='Individual Local' AND segmento='ESTR' AND ambito='PILAR3' AND entidade='00100')Y ON X.INSTRMNT_ID=Y.INSTRMNT_ID_SIMUL</v>
      </c>
      <c r="N127" s="38"/>
    </row>
    <row r="128" spans="2:14">
      <c r="B128" s="34" t="s">
        <v>117</v>
      </c>
      <c r="C128" s="34" t="s">
        <v>5</v>
      </c>
      <c r="D128" s="34" t="str">
        <f>+UPPER('0. Instruções'!$D$35&amp;"."&amp;VLOOKUP(B128,'0. Instruções'!$C$27:$D$32,2,FALSE))</f>
        <v>BU_LOANTAPE_WORK.LT002_INSTRUMENT</v>
      </c>
      <c r="E128" s="34" t="str">
        <f>+UPPER('0. Instruções'!$D$36&amp;"."&amp;VLOOKUP(B128,'0. Instruções'!$C$27:$E$32,3,FALSE))</f>
        <v>BU_LOANTAPE_WORK.SIMUL_LT002_INSTRUMENT</v>
      </c>
      <c r="F128" s="34" t="s">
        <v>1197</v>
      </c>
      <c r="G128" s="34"/>
      <c r="H128" s="34"/>
      <c r="I128" s="34" t="str">
        <f>"(SELECT "&amp;VLOOKUP(B128,'0. Instruções'!$C$27:$G$32,4,FALSE)&amp;", "&amp;F128&amp;" FROM "&amp;D128&amp;" WHERE "&amp;'0. Instruções'!$D$42&amp;")X"</f>
        <v>(SELECT instrmnt_id, ead FROM BU_LOANTAPE_WORK.LT002_INSTRUMENT WHERE ref_date='${ref_date}' AND nome_perimetro='Individual Local' AND segmento='ESTR' AND ambito='SRB_MBDT' AND entidade='00100')X</v>
      </c>
      <c r="J128" s="34" t="str">
        <f>"(SELECT "&amp;VLOOKUP(B128,'0. Instruções'!$C$27:$G$32,4,FALSE)&amp;" AS "&amp;VLOOKUP(B128,'0. Instruções'!$C$27:$G$32,4,FALSE)&amp;"_SIMUL, "&amp;F128&amp;" AS "&amp;F128&amp;"_SIMUL FROM "&amp;E128&amp;" WHERE "&amp;'0. Instruções'!$D$43&amp;")Y"</f>
        <v>(SELECT instrmnt_id AS instrmnt_id_SIMUL, ead AS ead_SIMUL FROM BU_LOANTAPE_WORK.SIMUL_LT002_INSTRUMENT WHERE ref_date='${ref_date}' AND nome_perimetro='Individual Local' AND segmento='ESTR' AND ambito='PILAR3' AND entidade='00100')Y</v>
      </c>
      <c r="K128" s="35" t="str">
        <f>+UPPER("ON X."&amp;VLOOKUP(B128,'0. Instruções'!$C$27:$G$32,4,FALSE)&amp;"=Y."&amp;VLOOKUP(B128,'0. Instruções'!$C$27:$G$32,4,FALSE)&amp;"_SIMUL")</f>
        <v>ON X.INSTRMNT_ID=Y.INSTRMNT_ID_SIMUL</v>
      </c>
      <c r="L128" s="35" t="str">
        <f>+IF(C128="Coerência", +IF(LEFT(G128,5)="FLOAT","SELECT '"&amp;UPPER(B128)&amp;"' AS TABELA, '"&amp;UPPER(C128)&amp;"' AS TIPOLOGIA_TESTE,'"&amp;D128&amp;"' AS TABELA_LT,'"&amp;E128&amp;"' AS TABELA_SIMUL,'"&amp;F128&amp;"' AS CAMPO, "&amp;"'${ref_date}' AS REF_DATE, COUNT(*) AS NUM_REG, SUM(IF((ABS(COALESCE(CAST(X."&amp;F128&amp;" AS DECIMAL(18,6)),0)-COALESCE(CAST(Y."&amp;F128&amp;"_SIMUL AS DECIMAL(18,6)),0))&gt;0.000001) OR (X."&amp;F128&amp;" IS NULL AND Y."&amp;F128&amp;"_SIMUL IS NOT NULL ) OR (X."&amp;F128&amp;" IS NOT NULL AND Y."&amp;F128&amp;"_SIMUL IS NULL),1,0)) AS NUM_REG_DIF,'"&amp;MAX('ID1&amp;5'!K:K)+1&amp;"' AS ID_EXEC, CURRENT_TIMESTAMP() AS TIME_EXEC FROM "&amp;I128&amp;" INNER JOIN "&amp;J128&amp;" "&amp;K128,"SELECT '"&amp;UPPER(B128)&amp;"' AS TABELA, '"&amp;UPPER(C128)&amp;"' AS TIPOLOGIA_TESTE,'"&amp;D128&amp;"' AS TABELA_LT,'"&amp;E128&amp;"' AS TABELA_SIMUL,'"&amp;F128&amp;"' AS CAMPO, "&amp;"'${ref_date}' AS REF_DATE, COUNT(*) AS NUM_REG, SUM(IF(COALESCE(CAST(X."&amp;F128&amp;" AS STRING),'')&lt;&gt;COALESCE(CAST(Y."&amp;F128&amp;"_SIMUL AS STRING),'') OR (X."&amp;F128&amp;" IS NULL AND Y."&amp;F128&amp;"_SIMUL IS NOT NULL ) OR (X."&amp;F128&amp;" IS NOT NULL AND Y."&amp;F128&amp;"_SIMUL IS NULL),1,0)) AS NUM_REG_DIF,'"&amp;MAX('ID1&amp;5'!L:L)+1&amp;"' AS ID_EXEC, CURRENT_TIMESTAMP() AS TIME_EXEC FROM "&amp;I128&amp;" INNER JOIN "&amp;J128&amp;" "&amp;K128),
IF(C128="Validade",+IF(G128="Code List","SELECT '"&amp;UPPER(B128)&amp;"' AS TABELA, '"&amp;UPPER(C128)&amp;"' AS TIPOLOGIA_TESTE,'"&amp;D128&amp;"' AS TABELA_LT,'N/A' AS TABELA_SIMUL,'"&amp;F128&amp;"' AS CAMPO, "&amp;"'${ref_date}' AS REF_DATE, COUNT(*) AS NUM_REG, SUM(IF(TRIM(CAST(X."&amp;F128&amp;" AS STRING))='' OR TRIM(CAST(X."&amp;F128&amp;" AS STRING)) IS NULL OR CAST(X."&amp;F128&amp;" AS STRING) NOT "&amp;H128&amp;",1,0)) AS NUM_REG_DIF,'"&amp;MAX('ID1&amp;5'!K:K)+1&amp;"' AS ID_EXEC, CURRENT_TIMESTAMP() AS TIME_EXEC FROM "&amp;I128,"SELECT '"&amp;UPPER(B128)&amp;"' AS TABELA, '"&amp;UPPER(C128)&amp;"' AS TIPOLOGIA_TESTE,'"&amp;D128&amp;"' AS TABELA_LT,'N/A' AS TABELA_SIMUL,'"&amp;F128&amp;"' AS CAMPO, "&amp;"'${ref_date}' AS REF_DATE, COUNT(*) AS NUM_REG, SUM(IF(TRIM(CAST(X."&amp;F128&amp;" AS STRING))='' OR TRIM(CAST(X."&amp;F128&amp;" AS STRING)) IS NULL,1,0)) AS NUM_REG_DIF,'"&amp;MAX('ID1&amp;5'!K:K)+1&amp;"' AS ID_EXEC, CURRENT_TIMESTAMP() AS TIME_EXEC FROM "&amp;I128),
IF(C128="Caracteres Especiais",+"SELECT '"&amp;UPPER(B128)&amp;"' AS TABELA, '"&amp;UPPER(C128)&amp;"' AS TIPOLOGIA_TESTE,'"&amp;D128&amp;"' AS TABELA_LT,'N/A' AS TABELA_SIMUL,'"&amp;F128&amp;"' AS CAMPO, "&amp;"'${ref_date}' AS REF_DATE, COUNT(*) AS NUM_REG, SUM(IF(REGEXP_REPLACE(TRIM(CAST(X."&amp;F128&amp;" AS STRING)),'[^a-zA-Z0-9_\\s]','') &lt;&gt;TRIM(CAST(X."&amp;F128&amp;" AS STRING)),1,0)) AS NUM_REG_DIF,'"&amp;MAX('ID1&amp;5'!K:K)+1&amp;"' AS ID_EXEC, CURRENT_TIMESTAMP() AS TIME_EXEC FROM "&amp;I128,
IF(C128="Missings",+"SELECT '"&amp;UPPER(B128)&amp;"' AS TABELA, '"&amp;UPPER(C128)&amp;"' AS TIPOLOGIA_TESTE,'"&amp;D128&amp;"' AS TABELA_LT,'N/A' AS TABELA_SIMUL,'"&amp;F128&amp;"' AS CAMPO, "&amp;"'${ref_date}' AS REF_DATE, COUNT(*) AS NUM_REG, SUM(IF(TRIM(CAST(X."&amp;F128&amp;" AS STRING)) IN ('0000-00-00','0001-01-01','9999-12-31','MISS','00000','99999999999','99999999999.00','99999999999.000000'),1,0)) AS NUM_REG_DIF,'"&amp;MAX('ID1&amp;5'!K:K)+1&amp;"' AS ID_EXEC, CURRENT_TIMESTAMP() AS TIME_EXEC FROM "&amp;I128,
IF(C128="Not applicable",+"SELECT '"&amp;UPPER(B128)&amp;"' AS TABELA, '"&amp;UPPER(C128)&amp;"' AS TIPOLOGIA_TESTE,'"&amp;D128&amp;"' AS TABELA_LT,'N/A' AS TABELA_SIMUL,'"&amp;F128&amp;"' AS CAMPO, "&amp;"'${ref_date}' AS REF_DATE, COUNT(*) AS NUM_REG, SUM(IF(TRIM(CAST(X."&amp;F128&amp;" AS STRING)) IN ('N/A','11111111111','11111111111.00','11111111111.000000','1111-11-11'),1,0)) AS NUM_REG_DIF,'"&amp;MAX('ID1&amp;5'!K:K)+1&amp;"' AS ID_EXEC, CURRENT_TIMESTAMP() AS TIME_EXEC FROM "&amp;I128,
IF(C128="Valores extremos",+"SELECT '"&amp;UPPER(B128)&amp;"' AS TABELA, '"&amp;UPPER(C128)&amp;"' AS TIPOLOGIA_TESTE,'"&amp;D128&amp;"' AS TABELA_LT,'N/A' AS TABELA_SIMUL,'"&amp;F128&amp;"' AS CAMPO, "&amp;"'${ref_date}' AS REF_DATE, CAST(MIN("&amp;F128&amp;") AS STRING) AS VALOR_MIN, CAST(MAX("&amp;F128&amp;") AS STRING) AS VALOR_MAX,'"&amp;MAX('ID1&amp;5'!K:K)+1&amp;"' AS ID_EXEC, CURRENT_TIMESTAMP() AS TIME_EXEC FROM "&amp;MID(I128,1,LEN(I128)-2)&amp;" AND CAST("&amp;F128&amp;"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TABELA_SIMUL,'ead' AS CAMPO, '${ref_date}' AS REF_DATE, COUNT(*) AS NUM_REG, SUM(IF(COALESCE(CAST(X.ead AS STRING),'')&lt;&gt;COALESCE(CAST(Y.ead_SIMUL AS STRING),'') OR (X.ead IS NULL AND Y.ead_SIMUL IS NOT NULL ) OR (X.ead IS NOT NULL AND Y.ead_SIMUL IS NULL),1,0)) AS NUM_REG_DIF,'1' AS ID_EXEC, CURRENT_TIMESTAMP() AS TIME_EXEC FROM (SELECT instrmnt_id, ead FROM BU_LOANTAPE_WORK.LT002_INSTRUMENT WHERE ref_date='${ref_date}' AND nome_perimetro='Individual Local' AND segmento='ESTR' AND ambito='SRB_MBDT' AND entidade='00100')X INNER JOIN (SELECT instrmnt_id AS instrmnt_id_SIMUL, ead AS ead_SIMUL FROM BU_LOANTAPE_WORK.SIMUL_LT002_INSTRUMENT WHERE ref_date='${ref_date}' AND nome_perimetro='Individual Local' AND segmento='ESTR' AND ambito='PILAR3' AND entidade='00100')Y ON X.INSTRMNT_ID=Y.INSTRMNT_ID_SIMUL</v>
      </c>
      <c r="M128" s="36" t="str">
        <f t="shared" si="5"/>
        <v>UNION ALL SELECT 'INSTRUMENT' AS TABELA, 'COERÊNCIA' AS TIPOLOGIA_TESTE,'BU_LOANTAPE_WORK.LT002_INSTRUMENT' AS TABELA_LT,'BU_LOANTAPE_WORK.SIMUL_LT002_INSTRUMENT' AS TABELA_SIMUL,'ead' AS CAMPO, '${ref_date}' AS REF_DATE, COUNT(*) AS NUM_REG, SUM(IF(COALESCE(CAST(X.ead AS STRING),'')&lt;&gt;COALESCE(CAST(Y.ead_SIMUL AS STRING),'') OR (X.ead IS NULL AND Y.ead_SIMUL IS NOT NULL ) OR (X.ead IS NOT NULL AND Y.ead_SIMUL IS NULL),1,0)) AS NUM_REG_DIF,'1' AS ID_EXEC, CURRENT_TIMESTAMP() AS TIME_EXEC FROM (SELECT instrmnt_id, ead FROM BU_LOANTAPE_WORK.LT002_INSTRUMENT WHERE ref_date='${ref_date}' AND nome_perimetro='Individual Local' AND segmento='ESTR' AND ambito='SRB_MBDT' AND entidade='00100')X INNER JOIN (SELECT instrmnt_id AS instrmnt_id_SIMUL, ead AS ead_SIMUL FROM BU_LOANTAPE_WORK.SIMUL_LT002_INSTRUMENT WHERE ref_date='${ref_date}' AND nome_perimetro='Individual Local' AND segmento='ESTR' AND ambito='PILAR3' AND entidade='00100')Y ON X.INSTRMNT_ID=Y.INSTRMNT_ID_SIMUL</v>
      </c>
      <c r="N128" s="38"/>
    </row>
    <row r="129" spans="2:14">
      <c r="B129" s="34" t="s">
        <v>117</v>
      </c>
      <c r="C129" s="34" t="s">
        <v>5</v>
      </c>
      <c r="D129" s="34" t="str">
        <f>+UPPER('0. Instruções'!$D$35&amp;"."&amp;VLOOKUP(B129,'0. Instruções'!$C$27:$D$32,2,FALSE))</f>
        <v>BU_LOANTAPE_WORK.LT002_INSTRUMENT</v>
      </c>
      <c r="E129" s="34" t="str">
        <f>+UPPER('0. Instruções'!$D$36&amp;"."&amp;VLOOKUP(B129,'0. Instruções'!$C$27:$E$32,3,FALSE))</f>
        <v>BU_LOANTAPE_WORK.SIMUL_LT002_INSTRUMENT</v>
      </c>
      <c r="F129" s="34" t="s">
        <v>1198</v>
      </c>
      <c r="G129" s="34"/>
      <c r="H129" s="34"/>
      <c r="I129" s="34" t="str">
        <f>"(SELECT "&amp;VLOOKUP(B129,'0. Instruções'!$C$27:$G$32,4,FALSE)&amp;", "&amp;F129&amp;" FROM "&amp;D129&amp;" WHERE "&amp;'0. Instruções'!$D$42&amp;")X"</f>
        <v>(SELECT instrmnt_id, ifrs9_ccf FROM BU_LOANTAPE_WORK.LT002_INSTRUMENT WHERE ref_date='${ref_date}' AND nome_perimetro='Individual Local' AND segmento='ESTR' AND ambito='SRB_MBDT' AND entidade='00100')X</v>
      </c>
      <c r="J129" s="34" t="str">
        <f>"(SELECT "&amp;VLOOKUP(B129,'0. Instruções'!$C$27:$G$32,4,FALSE)&amp;" AS "&amp;VLOOKUP(B129,'0. Instruções'!$C$27:$G$32,4,FALSE)&amp;"_SIMUL, "&amp;F129&amp;" AS "&amp;F129&amp;"_SIMUL FROM "&amp;E129&amp;" WHERE "&amp;'0. Instruções'!$D$43&amp;")Y"</f>
        <v>(SELECT instrmnt_id AS instrmnt_id_SIMUL, ifrs9_ccf AS ifrs9_ccf_SIMUL FROM BU_LOANTAPE_WORK.SIMUL_LT002_INSTRUMENT WHERE ref_date='${ref_date}' AND nome_perimetro='Individual Local' AND segmento='ESTR' AND ambito='PILAR3' AND entidade='00100')Y</v>
      </c>
      <c r="K129" s="35" t="str">
        <f>+UPPER("ON X."&amp;VLOOKUP(B129,'0. Instruções'!$C$27:$G$32,4,FALSE)&amp;"=Y."&amp;VLOOKUP(B129,'0. Instruções'!$C$27:$G$32,4,FALSE)&amp;"_SIMUL")</f>
        <v>ON X.INSTRMNT_ID=Y.INSTRMNT_ID_SIMUL</v>
      </c>
      <c r="L129" s="35" t="str">
        <f>+IF(C129="Coerência", +IF(LEFT(G129,5)="FLOAT","SELECT '"&amp;UPPER(B129)&amp;"' AS TABELA, '"&amp;UPPER(C129)&amp;"' AS TIPOLOGIA_TESTE,'"&amp;D129&amp;"' AS TABELA_LT,'"&amp;E129&amp;"' AS TABELA_SIMUL,'"&amp;F129&amp;"' AS CAMPO, "&amp;"'${ref_date}' AS REF_DATE, COUNT(*) AS NUM_REG, SUM(IF((ABS(COALESCE(CAST(X."&amp;F129&amp;" AS DECIMAL(18,6)),0)-COALESCE(CAST(Y."&amp;F129&amp;"_SIMUL AS DECIMAL(18,6)),0))&gt;0.000001) OR (X."&amp;F129&amp;" IS NULL AND Y."&amp;F129&amp;"_SIMUL IS NOT NULL ) OR (X."&amp;F129&amp;" IS NOT NULL AND Y."&amp;F129&amp;"_SIMUL IS NULL),1,0)) AS NUM_REG_DIF,'"&amp;MAX('ID1&amp;5'!K:K)+1&amp;"' AS ID_EXEC, CURRENT_TIMESTAMP() AS TIME_EXEC FROM "&amp;I129&amp;" INNER JOIN "&amp;J129&amp;" "&amp;K129,"SELECT '"&amp;UPPER(B129)&amp;"' AS TABELA, '"&amp;UPPER(C129)&amp;"' AS TIPOLOGIA_TESTE,'"&amp;D129&amp;"' AS TABELA_LT,'"&amp;E129&amp;"' AS TABELA_SIMUL,'"&amp;F129&amp;"' AS CAMPO, "&amp;"'${ref_date}' AS REF_DATE, COUNT(*) AS NUM_REG, SUM(IF(COALESCE(CAST(X."&amp;F129&amp;" AS STRING),'')&lt;&gt;COALESCE(CAST(Y."&amp;F129&amp;"_SIMUL AS STRING),'') OR (X."&amp;F129&amp;" IS NULL AND Y."&amp;F129&amp;"_SIMUL IS NOT NULL ) OR (X."&amp;F129&amp;" IS NOT NULL AND Y."&amp;F129&amp;"_SIMUL IS NULL),1,0)) AS NUM_REG_DIF,'"&amp;MAX('ID1&amp;5'!L:L)+1&amp;"' AS ID_EXEC, CURRENT_TIMESTAMP() AS TIME_EXEC FROM "&amp;I129&amp;" INNER JOIN "&amp;J129&amp;" "&amp;K129),
IF(C129="Validade",+IF(G129="Code List","SELECT '"&amp;UPPER(B129)&amp;"' AS TABELA, '"&amp;UPPER(C129)&amp;"' AS TIPOLOGIA_TESTE,'"&amp;D129&amp;"' AS TABELA_LT,'N/A' AS TABELA_SIMUL,'"&amp;F129&amp;"' AS CAMPO, "&amp;"'${ref_date}' AS REF_DATE, COUNT(*) AS NUM_REG, SUM(IF(TRIM(CAST(X."&amp;F129&amp;" AS STRING))='' OR TRIM(CAST(X."&amp;F129&amp;" AS STRING)) IS NULL OR CAST(X."&amp;F129&amp;" AS STRING) NOT "&amp;H129&amp;",1,0)) AS NUM_REG_DIF,'"&amp;MAX('ID1&amp;5'!K:K)+1&amp;"' AS ID_EXEC, CURRENT_TIMESTAMP() AS TIME_EXEC FROM "&amp;I129,"SELECT '"&amp;UPPER(B129)&amp;"' AS TABELA, '"&amp;UPPER(C129)&amp;"' AS TIPOLOGIA_TESTE,'"&amp;D129&amp;"' AS TABELA_LT,'N/A' AS TABELA_SIMUL,'"&amp;F129&amp;"' AS CAMPO, "&amp;"'${ref_date}' AS REF_DATE, COUNT(*) AS NUM_REG, SUM(IF(TRIM(CAST(X."&amp;F129&amp;" AS STRING))='' OR TRIM(CAST(X."&amp;F129&amp;" AS STRING)) IS NULL,1,0)) AS NUM_REG_DIF,'"&amp;MAX('ID1&amp;5'!K:K)+1&amp;"' AS ID_EXEC, CURRENT_TIMESTAMP() AS TIME_EXEC FROM "&amp;I129),
IF(C129="Caracteres Especiais",+"SELECT '"&amp;UPPER(B129)&amp;"' AS TABELA, '"&amp;UPPER(C129)&amp;"' AS TIPOLOGIA_TESTE,'"&amp;D129&amp;"' AS TABELA_LT,'N/A' AS TABELA_SIMUL,'"&amp;F129&amp;"' AS CAMPO, "&amp;"'${ref_date}' AS REF_DATE, COUNT(*) AS NUM_REG, SUM(IF(REGEXP_REPLACE(TRIM(CAST(X."&amp;F129&amp;" AS STRING)),'[^a-zA-Z0-9_\\s]','') &lt;&gt;TRIM(CAST(X."&amp;F129&amp;" AS STRING)),1,0)) AS NUM_REG_DIF,'"&amp;MAX('ID1&amp;5'!K:K)+1&amp;"' AS ID_EXEC, CURRENT_TIMESTAMP() AS TIME_EXEC FROM "&amp;I129,
IF(C129="Missings",+"SELECT '"&amp;UPPER(B129)&amp;"' AS TABELA, '"&amp;UPPER(C129)&amp;"' AS TIPOLOGIA_TESTE,'"&amp;D129&amp;"' AS TABELA_LT,'N/A' AS TABELA_SIMUL,'"&amp;F129&amp;"' AS CAMPO, "&amp;"'${ref_date}' AS REF_DATE, COUNT(*) AS NUM_REG, SUM(IF(TRIM(CAST(X."&amp;F129&amp;" AS STRING)) IN ('0000-00-00','0001-01-01','9999-12-31','MISS','00000','99999999999','99999999999.00','99999999999.000000'),1,0)) AS NUM_REG_DIF,'"&amp;MAX('ID1&amp;5'!K:K)+1&amp;"' AS ID_EXEC, CURRENT_TIMESTAMP() AS TIME_EXEC FROM "&amp;I129,
IF(C129="Not applicable",+"SELECT '"&amp;UPPER(B129)&amp;"' AS TABELA, '"&amp;UPPER(C129)&amp;"' AS TIPOLOGIA_TESTE,'"&amp;D129&amp;"' AS TABELA_LT,'N/A' AS TABELA_SIMUL,'"&amp;F129&amp;"' AS CAMPO, "&amp;"'${ref_date}' AS REF_DATE, COUNT(*) AS NUM_REG, SUM(IF(TRIM(CAST(X."&amp;F129&amp;" AS STRING)) IN ('N/A','11111111111','11111111111.00','11111111111.000000','1111-11-11'),1,0)) AS NUM_REG_DIF,'"&amp;MAX('ID1&amp;5'!K:K)+1&amp;"' AS ID_EXEC, CURRENT_TIMESTAMP() AS TIME_EXEC FROM "&amp;I129,
IF(C129="Valores extremos",+"SELECT '"&amp;UPPER(B129)&amp;"' AS TABELA, '"&amp;UPPER(C129)&amp;"' AS TIPOLOGIA_TESTE,'"&amp;D129&amp;"' AS TABELA_LT,'N/A' AS TABELA_SIMUL,'"&amp;F129&amp;"' AS CAMPO, "&amp;"'${ref_date}' AS REF_DATE, CAST(MIN("&amp;F129&amp;") AS STRING) AS VALOR_MIN, CAST(MAX("&amp;F129&amp;") AS STRING) AS VALOR_MAX,'"&amp;MAX('ID1&amp;5'!K:K)+1&amp;"' AS ID_EXEC, CURRENT_TIMESTAMP() AS TIME_EXEC FROM "&amp;MID(I129,1,LEN(I129)-2)&amp;" AND CAST("&amp;F129&amp;"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TABELA_SIMUL,'ifrs9_ccf' AS CAMPO, '${ref_date}' AS REF_DATE, COUNT(*) AS NUM_REG, SUM(IF(COALESCE(CAST(X.ifrs9_ccf AS STRING),'')&lt;&gt;COALESCE(CAST(Y.ifrs9_ccf_SIMUL AS STRING),'') OR (X.ifrs9_ccf IS NULL AND Y.ifrs9_ccf_SIMUL IS NOT NULL ) OR (X.ifrs9_ccf IS NOT NULL AND Y.ifrs9_ccf_SIMUL IS NULL),1,0)) AS NUM_REG_DIF,'1' AS ID_EXEC, CURRENT_TIMESTAMP() AS TIME_EXEC FROM (SELECT instrmnt_id, ifrs9_ccf FROM BU_LOANTAPE_WORK.LT002_INSTRUMENT WHERE ref_date='${ref_date}' AND nome_perimetro='Individual Local' AND segmento='ESTR' AND ambito='SRB_MBDT' AND entidade='00100')X INNER JOIN (SELECT instrmnt_id AS instrmnt_id_SIMUL, ifrs9_ccf AS ifrs9_ccf_SIMUL FROM BU_LOANTAPE_WORK.SIMUL_LT002_INSTRUMENT WHERE ref_date='${ref_date}' AND nome_perimetro='Individual Local' AND segmento='ESTR' AND ambito='PILAR3' AND entidade='00100')Y ON X.INSTRMNT_ID=Y.INSTRMNT_ID_SIMUL</v>
      </c>
      <c r="M129" s="36" t="str">
        <f t="shared" si="5"/>
        <v>UNION ALL SELECT 'INSTRUMENT' AS TABELA, 'COERÊNCIA' AS TIPOLOGIA_TESTE,'BU_LOANTAPE_WORK.LT002_INSTRUMENT' AS TABELA_LT,'BU_LOANTAPE_WORK.SIMUL_LT002_INSTRUMENT' AS TABELA_SIMUL,'ifrs9_ccf' AS CAMPO, '${ref_date}' AS REF_DATE, COUNT(*) AS NUM_REG, SUM(IF(COALESCE(CAST(X.ifrs9_ccf AS STRING),'')&lt;&gt;COALESCE(CAST(Y.ifrs9_ccf_SIMUL AS STRING),'') OR (X.ifrs9_ccf IS NULL AND Y.ifrs9_ccf_SIMUL IS NOT NULL ) OR (X.ifrs9_ccf IS NOT NULL AND Y.ifrs9_ccf_SIMUL IS NULL),1,0)) AS NUM_REG_DIF,'1' AS ID_EXEC, CURRENT_TIMESTAMP() AS TIME_EXEC FROM (SELECT instrmnt_id, ifrs9_ccf FROM BU_LOANTAPE_WORK.LT002_INSTRUMENT WHERE ref_date='${ref_date}' AND nome_perimetro='Individual Local' AND segmento='ESTR' AND ambito='SRB_MBDT' AND entidade='00100')X INNER JOIN (SELECT instrmnt_id AS instrmnt_id_SIMUL, ifrs9_ccf AS ifrs9_ccf_SIMUL FROM BU_LOANTAPE_WORK.SIMUL_LT002_INSTRUMENT WHERE ref_date='${ref_date}' AND nome_perimetro='Individual Local' AND segmento='ESTR' AND ambito='PILAR3' AND entidade='00100')Y ON X.INSTRMNT_ID=Y.INSTRMNT_ID_SIMUL</v>
      </c>
      <c r="N129" s="38"/>
    </row>
    <row r="130" spans="2:14">
      <c r="B130" s="34" t="s">
        <v>117</v>
      </c>
      <c r="C130" s="34" t="s">
        <v>5</v>
      </c>
      <c r="D130" s="34" t="str">
        <f>+UPPER('0. Instruções'!$D$35&amp;"."&amp;VLOOKUP(B130,'0. Instruções'!$C$27:$D$32,2,FALSE))</f>
        <v>BU_LOANTAPE_WORK.LT002_INSTRUMENT</v>
      </c>
      <c r="E130" s="34" t="str">
        <f>+UPPER('0. Instruções'!$D$36&amp;"."&amp;VLOOKUP(B130,'0. Instruções'!$C$27:$E$32,3,FALSE))</f>
        <v>BU_LOANTAPE_WORK.SIMUL_LT002_INSTRUMENT</v>
      </c>
      <c r="F130" s="34" t="s">
        <v>1199</v>
      </c>
      <c r="G130" s="34"/>
      <c r="H130" s="34"/>
      <c r="I130" s="34" t="str">
        <f>"(SELECT "&amp;VLOOKUP(B130,'0. Instruções'!$C$27:$G$32,4,FALSE)&amp;", "&amp;F130&amp;" FROM "&amp;D130&amp;" WHERE "&amp;'0. Instruções'!$D$42&amp;")X"</f>
        <v>(SELECT instrmnt_id, ifrs9_ead FROM BU_LOANTAPE_WORK.LT002_INSTRUMENT WHERE ref_date='${ref_date}' AND nome_perimetro='Individual Local' AND segmento='ESTR' AND ambito='SRB_MBDT' AND entidade='00100')X</v>
      </c>
      <c r="J130" s="34" t="str">
        <f>"(SELECT "&amp;VLOOKUP(B130,'0. Instruções'!$C$27:$G$32,4,FALSE)&amp;" AS "&amp;VLOOKUP(B130,'0. Instruções'!$C$27:$G$32,4,FALSE)&amp;"_SIMUL, "&amp;F130&amp;" AS "&amp;F130&amp;"_SIMUL FROM "&amp;E130&amp;" WHERE "&amp;'0. Instruções'!$D$43&amp;")Y"</f>
        <v>(SELECT instrmnt_id AS instrmnt_id_SIMUL, ifrs9_ead AS ifrs9_ead_SIMUL FROM BU_LOANTAPE_WORK.SIMUL_LT002_INSTRUMENT WHERE ref_date='${ref_date}' AND nome_perimetro='Individual Local' AND segmento='ESTR' AND ambito='PILAR3' AND entidade='00100')Y</v>
      </c>
      <c r="K130" s="35" t="str">
        <f>+UPPER("ON X."&amp;VLOOKUP(B130,'0. Instruções'!$C$27:$G$32,4,FALSE)&amp;"=Y."&amp;VLOOKUP(B130,'0. Instruções'!$C$27:$G$32,4,FALSE)&amp;"_SIMUL")</f>
        <v>ON X.INSTRMNT_ID=Y.INSTRMNT_ID_SIMUL</v>
      </c>
      <c r="L130" s="35" t="str">
        <f>+IF(C130="Coerência", +IF(LEFT(G130,5)="FLOAT","SELECT '"&amp;UPPER(B130)&amp;"' AS TABELA, '"&amp;UPPER(C130)&amp;"' AS TIPOLOGIA_TESTE,'"&amp;D130&amp;"' AS TABELA_LT,'"&amp;E130&amp;"' AS TABELA_SIMUL,'"&amp;F130&amp;"' AS CAMPO, "&amp;"'${ref_date}' AS REF_DATE, COUNT(*) AS NUM_REG, SUM(IF((ABS(COALESCE(CAST(X."&amp;F130&amp;" AS DECIMAL(18,6)),0)-COALESCE(CAST(Y."&amp;F130&amp;"_SIMUL AS DECIMAL(18,6)),0))&gt;0.000001) OR (X."&amp;F130&amp;" IS NULL AND Y."&amp;F130&amp;"_SIMUL IS NOT NULL ) OR (X."&amp;F130&amp;" IS NOT NULL AND Y."&amp;F130&amp;"_SIMUL IS NULL),1,0)) AS NUM_REG_DIF,'"&amp;MAX('ID1&amp;5'!K:K)+1&amp;"' AS ID_EXEC, CURRENT_TIMESTAMP() AS TIME_EXEC FROM "&amp;I130&amp;" INNER JOIN "&amp;J130&amp;" "&amp;K130,"SELECT '"&amp;UPPER(B130)&amp;"' AS TABELA, '"&amp;UPPER(C130)&amp;"' AS TIPOLOGIA_TESTE,'"&amp;D130&amp;"' AS TABELA_LT,'"&amp;E130&amp;"' AS TABELA_SIMUL,'"&amp;F130&amp;"' AS CAMPO, "&amp;"'${ref_date}' AS REF_DATE, COUNT(*) AS NUM_REG, SUM(IF(COALESCE(CAST(X."&amp;F130&amp;" AS STRING),'')&lt;&gt;COALESCE(CAST(Y."&amp;F130&amp;"_SIMUL AS STRING),'') OR (X."&amp;F130&amp;" IS NULL AND Y."&amp;F130&amp;"_SIMUL IS NOT NULL ) OR (X."&amp;F130&amp;" IS NOT NULL AND Y."&amp;F130&amp;"_SIMUL IS NULL),1,0)) AS NUM_REG_DIF,'"&amp;MAX('ID1&amp;5'!L:L)+1&amp;"' AS ID_EXEC, CURRENT_TIMESTAMP() AS TIME_EXEC FROM "&amp;I130&amp;" INNER JOIN "&amp;J130&amp;" "&amp;K130),
IF(C130="Validade",+IF(G130="Code List","SELECT '"&amp;UPPER(B130)&amp;"' AS TABELA, '"&amp;UPPER(C130)&amp;"' AS TIPOLOGIA_TESTE,'"&amp;D130&amp;"' AS TABELA_LT,'N/A' AS TABELA_SIMUL,'"&amp;F130&amp;"' AS CAMPO, "&amp;"'${ref_date}' AS REF_DATE, COUNT(*) AS NUM_REG, SUM(IF(TRIM(CAST(X."&amp;F130&amp;" AS STRING))='' OR TRIM(CAST(X."&amp;F130&amp;" AS STRING)) IS NULL OR CAST(X."&amp;F130&amp;" AS STRING) NOT "&amp;H130&amp;",1,0)) AS NUM_REG_DIF,'"&amp;MAX('ID1&amp;5'!K:K)+1&amp;"' AS ID_EXEC, CURRENT_TIMESTAMP() AS TIME_EXEC FROM "&amp;I130,"SELECT '"&amp;UPPER(B130)&amp;"' AS TABELA, '"&amp;UPPER(C130)&amp;"' AS TIPOLOGIA_TESTE,'"&amp;D130&amp;"' AS TABELA_LT,'N/A' AS TABELA_SIMUL,'"&amp;F130&amp;"' AS CAMPO, "&amp;"'${ref_date}' AS REF_DATE, COUNT(*) AS NUM_REG, SUM(IF(TRIM(CAST(X."&amp;F130&amp;" AS STRING))='' OR TRIM(CAST(X."&amp;F130&amp;" AS STRING)) IS NULL,1,0)) AS NUM_REG_DIF,'"&amp;MAX('ID1&amp;5'!K:K)+1&amp;"' AS ID_EXEC, CURRENT_TIMESTAMP() AS TIME_EXEC FROM "&amp;I130),
IF(C130="Caracteres Especiais",+"SELECT '"&amp;UPPER(B130)&amp;"' AS TABELA, '"&amp;UPPER(C130)&amp;"' AS TIPOLOGIA_TESTE,'"&amp;D130&amp;"' AS TABELA_LT,'N/A' AS TABELA_SIMUL,'"&amp;F130&amp;"' AS CAMPO, "&amp;"'${ref_date}' AS REF_DATE, COUNT(*) AS NUM_REG, SUM(IF(REGEXP_REPLACE(TRIM(CAST(X."&amp;F130&amp;" AS STRING)),'[^a-zA-Z0-9_\\s]','') &lt;&gt;TRIM(CAST(X."&amp;F130&amp;" AS STRING)),1,0)) AS NUM_REG_DIF,'"&amp;MAX('ID1&amp;5'!K:K)+1&amp;"' AS ID_EXEC, CURRENT_TIMESTAMP() AS TIME_EXEC FROM "&amp;I130,
IF(C130="Missings",+"SELECT '"&amp;UPPER(B130)&amp;"' AS TABELA, '"&amp;UPPER(C130)&amp;"' AS TIPOLOGIA_TESTE,'"&amp;D130&amp;"' AS TABELA_LT,'N/A' AS TABELA_SIMUL,'"&amp;F130&amp;"' AS CAMPO, "&amp;"'${ref_date}' AS REF_DATE, COUNT(*) AS NUM_REG, SUM(IF(TRIM(CAST(X."&amp;F130&amp;" AS STRING)) IN ('0000-00-00','0001-01-01','9999-12-31','MISS','00000','99999999999','99999999999.00','99999999999.000000'),1,0)) AS NUM_REG_DIF,'"&amp;MAX('ID1&amp;5'!K:K)+1&amp;"' AS ID_EXEC, CURRENT_TIMESTAMP() AS TIME_EXEC FROM "&amp;I130,
IF(C130="Not applicable",+"SELECT '"&amp;UPPER(B130)&amp;"' AS TABELA, '"&amp;UPPER(C130)&amp;"' AS TIPOLOGIA_TESTE,'"&amp;D130&amp;"' AS TABELA_LT,'N/A' AS TABELA_SIMUL,'"&amp;F130&amp;"' AS CAMPO, "&amp;"'${ref_date}' AS REF_DATE, COUNT(*) AS NUM_REG, SUM(IF(TRIM(CAST(X."&amp;F130&amp;" AS STRING)) IN ('N/A','11111111111','11111111111.00','11111111111.000000','1111-11-11'),1,0)) AS NUM_REG_DIF,'"&amp;MAX('ID1&amp;5'!K:K)+1&amp;"' AS ID_EXEC, CURRENT_TIMESTAMP() AS TIME_EXEC FROM "&amp;I130,
IF(C130="Valores extremos",+"SELECT '"&amp;UPPER(B130)&amp;"' AS TABELA, '"&amp;UPPER(C130)&amp;"' AS TIPOLOGIA_TESTE,'"&amp;D130&amp;"' AS TABELA_LT,'N/A' AS TABELA_SIMUL,'"&amp;F130&amp;"' AS CAMPO, "&amp;"'${ref_date}' AS REF_DATE, CAST(MIN("&amp;F130&amp;") AS STRING) AS VALOR_MIN, CAST(MAX("&amp;F130&amp;") AS STRING) AS VALOR_MAX,'"&amp;MAX('ID1&amp;5'!K:K)+1&amp;"' AS ID_EXEC, CURRENT_TIMESTAMP() AS TIME_EXEC FROM "&amp;MID(I130,1,LEN(I130)-2)&amp;" AND CAST("&amp;F130&amp;"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TABELA_SIMUL,'ifrs9_ead' AS CAMPO, '${ref_date}' AS REF_DATE, COUNT(*) AS NUM_REG, SUM(IF(COALESCE(CAST(X.ifrs9_ead AS STRING),'')&lt;&gt;COALESCE(CAST(Y.ifrs9_ead_SIMUL AS STRING),'') OR (X.ifrs9_ead IS NULL AND Y.ifrs9_ead_SIMUL IS NOT NULL ) OR (X.ifrs9_ead IS NOT NULL AND Y.ifrs9_ead_SIMUL IS NULL),1,0)) AS NUM_REG_DIF,'1' AS ID_EXEC, CURRENT_TIMESTAMP() AS TIME_EXEC FROM (SELECT instrmnt_id, ifrs9_ead FROM BU_LOANTAPE_WORK.LT002_INSTRUMENT WHERE ref_date='${ref_date}' AND nome_perimetro='Individual Local' AND segmento='ESTR' AND ambito='SRB_MBDT' AND entidade='00100')X INNER JOIN (SELECT instrmnt_id AS instrmnt_id_SIMUL, ifrs9_ead AS ifrs9_ead_SIMUL FROM BU_LOANTAPE_WORK.SIMUL_LT002_INSTRUMENT WHERE ref_date='${ref_date}' AND nome_perimetro='Individual Local' AND segmento='ESTR' AND ambito='PILAR3' AND entidade='00100')Y ON X.INSTRMNT_ID=Y.INSTRMNT_ID_SIMUL</v>
      </c>
      <c r="M130" s="36" t="str">
        <f t="shared" si="5"/>
        <v>UNION ALL SELECT 'INSTRUMENT' AS TABELA, 'COERÊNCIA' AS TIPOLOGIA_TESTE,'BU_LOANTAPE_WORK.LT002_INSTRUMENT' AS TABELA_LT,'BU_LOANTAPE_WORK.SIMUL_LT002_INSTRUMENT' AS TABELA_SIMUL,'ifrs9_ead' AS CAMPO, '${ref_date}' AS REF_DATE, COUNT(*) AS NUM_REG, SUM(IF(COALESCE(CAST(X.ifrs9_ead AS STRING),'')&lt;&gt;COALESCE(CAST(Y.ifrs9_ead_SIMUL AS STRING),'') OR (X.ifrs9_ead IS NULL AND Y.ifrs9_ead_SIMUL IS NOT NULL ) OR (X.ifrs9_ead IS NOT NULL AND Y.ifrs9_ead_SIMUL IS NULL),1,0)) AS NUM_REG_DIF,'1' AS ID_EXEC, CURRENT_TIMESTAMP() AS TIME_EXEC FROM (SELECT instrmnt_id, ifrs9_ead FROM BU_LOANTAPE_WORK.LT002_INSTRUMENT WHERE ref_date='${ref_date}' AND nome_perimetro='Individual Local' AND segmento='ESTR' AND ambito='SRB_MBDT' AND entidade='00100')X INNER JOIN (SELECT instrmnt_id AS instrmnt_id_SIMUL, ifrs9_ead AS ifrs9_ead_SIMUL FROM BU_LOANTAPE_WORK.SIMUL_LT002_INSTRUMENT WHERE ref_date='${ref_date}' AND nome_perimetro='Individual Local' AND segmento='ESTR' AND ambito='PILAR3' AND entidade='00100')Y ON X.INSTRMNT_ID=Y.INSTRMNT_ID_SIMUL</v>
      </c>
      <c r="N130" s="38"/>
    </row>
    <row r="131" spans="2:14">
      <c r="B131" s="34" t="s">
        <v>117</v>
      </c>
      <c r="C131" s="34" t="s">
        <v>5</v>
      </c>
      <c r="D131" s="34" t="str">
        <f>+UPPER('0. Instruções'!$D$35&amp;"."&amp;VLOOKUP(B131,'0. Instruções'!$C$27:$D$32,2,FALSE))</f>
        <v>BU_LOANTAPE_WORK.LT002_INSTRUMENT</v>
      </c>
      <c r="E131" s="34" t="str">
        <f>+UPPER('0. Instruções'!$D$36&amp;"."&amp;VLOOKUP(B131,'0. Instruções'!$C$27:$E$32,3,FALSE))</f>
        <v>BU_LOANTAPE_WORK.SIMUL_LT002_INSTRUMENT</v>
      </c>
      <c r="F131" s="34" t="s">
        <v>1200</v>
      </c>
      <c r="G131" s="34"/>
      <c r="H131" s="34"/>
      <c r="I131" s="34" t="str">
        <f>"(SELECT "&amp;VLOOKUP(B131,'0. Instruções'!$C$27:$G$32,4,FALSE)&amp;", "&amp;F131&amp;" FROM "&amp;D131&amp;" WHERE "&amp;'0. Instruções'!$D$42&amp;")X"</f>
        <v>(SELECT instrmnt_id, instlmnt_pay FROM BU_LOANTAPE_WORK.LT002_INSTRUMENT WHERE ref_date='${ref_date}' AND nome_perimetro='Individual Local' AND segmento='ESTR' AND ambito='SRB_MBDT' AND entidade='00100')X</v>
      </c>
      <c r="J131" s="34" t="str">
        <f>"(SELECT "&amp;VLOOKUP(B131,'0. Instruções'!$C$27:$G$32,4,FALSE)&amp;" AS "&amp;VLOOKUP(B131,'0. Instruções'!$C$27:$G$32,4,FALSE)&amp;"_SIMUL, "&amp;F131&amp;" AS "&amp;F131&amp;"_SIMUL FROM "&amp;E131&amp;" WHERE "&amp;'0. Instruções'!$D$43&amp;")Y"</f>
        <v>(SELECT instrmnt_id AS instrmnt_id_SIMUL, instlmnt_pay AS instlmnt_pay_SIMUL FROM BU_LOANTAPE_WORK.SIMUL_LT002_INSTRUMENT WHERE ref_date='${ref_date}' AND nome_perimetro='Individual Local' AND segmento='ESTR' AND ambito='PILAR3' AND entidade='00100')Y</v>
      </c>
      <c r="K131" s="35" t="str">
        <f>+UPPER("ON X."&amp;VLOOKUP(B131,'0. Instruções'!$C$27:$G$32,4,FALSE)&amp;"=Y."&amp;VLOOKUP(B131,'0. Instruções'!$C$27:$G$32,4,FALSE)&amp;"_SIMUL")</f>
        <v>ON X.INSTRMNT_ID=Y.INSTRMNT_ID_SIMUL</v>
      </c>
      <c r="L131" s="35" t="str">
        <f>+IF(C131="Coerência", +IF(LEFT(G131,5)="FLOAT","SELECT '"&amp;UPPER(B131)&amp;"' AS TABELA, '"&amp;UPPER(C131)&amp;"' AS TIPOLOGIA_TESTE,'"&amp;D131&amp;"' AS TABELA_LT,'"&amp;E131&amp;"' AS TABELA_SIMUL,'"&amp;F131&amp;"' AS CAMPO, "&amp;"'${ref_date}' AS REF_DATE, COUNT(*) AS NUM_REG, SUM(IF((ABS(COALESCE(CAST(X."&amp;F131&amp;" AS DECIMAL(18,6)),0)-COALESCE(CAST(Y."&amp;F131&amp;"_SIMUL AS DECIMAL(18,6)),0))&gt;0.000001) OR (X."&amp;F131&amp;" IS NULL AND Y."&amp;F131&amp;"_SIMUL IS NOT NULL ) OR (X."&amp;F131&amp;" IS NOT NULL AND Y."&amp;F131&amp;"_SIMUL IS NULL),1,0)) AS NUM_REG_DIF,'"&amp;MAX('ID1&amp;5'!K:K)+1&amp;"' AS ID_EXEC, CURRENT_TIMESTAMP() AS TIME_EXEC FROM "&amp;I131&amp;" INNER JOIN "&amp;J131&amp;" "&amp;K131,"SELECT '"&amp;UPPER(B131)&amp;"' AS TABELA, '"&amp;UPPER(C131)&amp;"' AS TIPOLOGIA_TESTE,'"&amp;D131&amp;"' AS TABELA_LT,'"&amp;E131&amp;"' AS TABELA_SIMUL,'"&amp;F131&amp;"' AS CAMPO, "&amp;"'${ref_date}' AS REF_DATE, COUNT(*) AS NUM_REG, SUM(IF(COALESCE(CAST(X."&amp;F131&amp;" AS STRING),'')&lt;&gt;COALESCE(CAST(Y."&amp;F131&amp;"_SIMUL AS STRING),'') OR (X."&amp;F131&amp;" IS NULL AND Y."&amp;F131&amp;"_SIMUL IS NOT NULL ) OR (X."&amp;F131&amp;" IS NOT NULL AND Y."&amp;F131&amp;"_SIMUL IS NULL),1,0)) AS NUM_REG_DIF,'"&amp;MAX('ID1&amp;5'!L:L)+1&amp;"' AS ID_EXEC, CURRENT_TIMESTAMP() AS TIME_EXEC FROM "&amp;I131&amp;" INNER JOIN "&amp;J131&amp;" "&amp;K131),
IF(C131="Validade",+IF(G131="Code List","SELECT '"&amp;UPPER(B131)&amp;"' AS TABELA, '"&amp;UPPER(C131)&amp;"' AS TIPOLOGIA_TESTE,'"&amp;D131&amp;"' AS TABELA_LT,'N/A' AS TABELA_SIMUL,'"&amp;F131&amp;"' AS CAMPO, "&amp;"'${ref_date}' AS REF_DATE, COUNT(*) AS NUM_REG, SUM(IF(TRIM(CAST(X."&amp;F131&amp;" AS STRING))='' OR TRIM(CAST(X."&amp;F131&amp;" AS STRING)) IS NULL OR CAST(X."&amp;F131&amp;" AS STRING) NOT "&amp;H131&amp;",1,0)) AS NUM_REG_DIF,'"&amp;MAX('ID1&amp;5'!K:K)+1&amp;"' AS ID_EXEC, CURRENT_TIMESTAMP() AS TIME_EXEC FROM "&amp;I131,"SELECT '"&amp;UPPER(B131)&amp;"' AS TABELA, '"&amp;UPPER(C131)&amp;"' AS TIPOLOGIA_TESTE,'"&amp;D131&amp;"' AS TABELA_LT,'N/A' AS TABELA_SIMUL,'"&amp;F131&amp;"' AS CAMPO, "&amp;"'${ref_date}' AS REF_DATE, COUNT(*) AS NUM_REG, SUM(IF(TRIM(CAST(X."&amp;F131&amp;" AS STRING))='' OR TRIM(CAST(X."&amp;F131&amp;" AS STRING)) IS NULL,1,0)) AS NUM_REG_DIF,'"&amp;MAX('ID1&amp;5'!K:K)+1&amp;"' AS ID_EXEC, CURRENT_TIMESTAMP() AS TIME_EXEC FROM "&amp;I131),
IF(C131="Caracteres Especiais",+"SELECT '"&amp;UPPER(B131)&amp;"' AS TABELA, '"&amp;UPPER(C131)&amp;"' AS TIPOLOGIA_TESTE,'"&amp;D131&amp;"' AS TABELA_LT,'N/A' AS TABELA_SIMUL,'"&amp;F131&amp;"' AS CAMPO, "&amp;"'${ref_date}' AS REF_DATE, COUNT(*) AS NUM_REG, SUM(IF(REGEXP_REPLACE(TRIM(CAST(X."&amp;F131&amp;" AS STRING)),'[^a-zA-Z0-9_\\s]','') &lt;&gt;TRIM(CAST(X."&amp;F131&amp;" AS STRING)),1,0)) AS NUM_REG_DIF,'"&amp;MAX('ID1&amp;5'!K:K)+1&amp;"' AS ID_EXEC, CURRENT_TIMESTAMP() AS TIME_EXEC FROM "&amp;I131,
IF(C131="Missings",+"SELECT '"&amp;UPPER(B131)&amp;"' AS TABELA, '"&amp;UPPER(C131)&amp;"' AS TIPOLOGIA_TESTE,'"&amp;D131&amp;"' AS TABELA_LT,'N/A' AS TABELA_SIMUL,'"&amp;F131&amp;"' AS CAMPO, "&amp;"'${ref_date}' AS REF_DATE, COUNT(*) AS NUM_REG, SUM(IF(TRIM(CAST(X."&amp;F131&amp;" AS STRING)) IN ('0000-00-00','0001-01-01','9999-12-31','MISS','00000','99999999999','99999999999.00','99999999999.000000'),1,0)) AS NUM_REG_DIF,'"&amp;MAX('ID1&amp;5'!K:K)+1&amp;"' AS ID_EXEC, CURRENT_TIMESTAMP() AS TIME_EXEC FROM "&amp;I131,
IF(C131="Not applicable",+"SELECT '"&amp;UPPER(B131)&amp;"' AS TABELA, '"&amp;UPPER(C131)&amp;"' AS TIPOLOGIA_TESTE,'"&amp;D131&amp;"' AS TABELA_LT,'N/A' AS TABELA_SIMUL,'"&amp;F131&amp;"' AS CAMPO, "&amp;"'${ref_date}' AS REF_DATE, COUNT(*) AS NUM_REG, SUM(IF(TRIM(CAST(X."&amp;F131&amp;" AS STRING)) IN ('N/A','11111111111','11111111111.00','11111111111.000000','1111-11-11'),1,0)) AS NUM_REG_DIF,'"&amp;MAX('ID1&amp;5'!K:K)+1&amp;"' AS ID_EXEC, CURRENT_TIMESTAMP() AS TIME_EXEC FROM "&amp;I131,
IF(C131="Valores extremos",+"SELECT '"&amp;UPPER(B131)&amp;"' AS TABELA, '"&amp;UPPER(C131)&amp;"' AS TIPOLOGIA_TESTE,'"&amp;D131&amp;"' AS TABELA_LT,'N/A' AS TABELA_SIMUL,'"&amp;F131&amp;"' AS CAMPO, "&amp;"'${ref_date}' AS REF_DATE, CAST(MIN("&amp;F131&amp;") AS STRING) AS VALOR_MIN, CAST(MAX("&amp;F131&amp;") AS STRING) AS VALOR_MAX,'"&amp;MAX('ID1&amp;5'!K:K)+1&amp;"' AS ID_EXEC, CURRENT_TIMESTAMP() AS TIME_EXEC FROM "&amp;MID(I131,1,LEN(I131)-2)&amp;" AND CAST("&amp;F131&amp;"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TABELA_SIMUL,'instlmnt_pay' AS CAMPO, '${ref_date}' AS REF_DATE, COUNT(*) AS NUM_REG, SUM(IF(COALESCE(CAST(X.instlmnt_pay AS STRING),'')&lt;&gt;COALESCE(CAST(Y.instlmnt_pay_SIMUL AS STRING),'') OR (X.instlmnt_pay IS NULL AND Y.instlmnt_pay_SIMUL IS NOT NULL ) OR (X.instlmnt_pay IS NOT NULL AND Y.instlmnt_pay_SIMUL IS NULL),1,0)) AS NUM_REG_DIF,'1' AS ID_EXEC, CURRENT_TIMESTAMP() AS TIME_EXEC FROM (SELECT instrmnt_id, instlmnt_pay FROM BU_LOANTAPE_WORK.LT002_INSTRUMENT WHERE ref_date='${ref_date}' AND nome_perimetro='Individual Local' AND segmento='ESTR' AND ambito='SRB_MBDT' AND entidade='00100')X INNER JOIN (SELECT instrmnt_id AS instrmnt_id_SIMUL, instlmnt_pay AS instlmnt_pay_SIMUL FROM BU_LOANTAPE_WORK.SIMUL_LT002_INSTRUMENT WHERE ref_date='${ref_date}' AND nome_perimetro='Individual Local' AND segmento='ESTR' AND ambito='PILAR3' AND entidade='00100')Y ON X.INSTRMNT_ID=Y.INSTRMNT_ID_SIMUL</v>
      </c>
      <c r="M131" s="36" t="str">
        <f t="shared" si="5"/>
        <v>UNION ALL SELECT 'INSTRUMENT' AS TABELA, 'COERÊNCIA' AS TIPOLOGIA_TESTE,'BU_LOANTAPE_WORK.LT002_INSTRUMENT' AS TABELA_LT,'BU_LOANTAPE_WORK.SIMUL_LT002_INSTRUMENT' AS TABELA_SIMUL,'instlmnt_pay' AS CAMPO, '${ref_date}' AS REF_DATE, COUNT(*) AS NUM_REG, SUM(IF(COALESCE(CAST(X.instlmnt_pay AS STRING),'')&lt;&gt;COALESCE(CAST(Y.instlmnt_pay_SIMUL AS STRING),'') OR (X.instlmnt_pay IS NULL AND Y.instlmnt_pay_SIMUL IS NOT NULL ) OR (X.instlmnt_pay IS NOT NULL AND Y.instlmnt_pay_SIMUL IS NULL),1,0)) AS NUM_REG_DIF,'1' AS ID_EXEC, CURRENT_TIMESTAMP() AS TIME_EXEC FROM (SELECT instrmnt_id, instlmnt_pay FROM BU_LOANTAPE_WORK.LT002_INSTRUMENT WHERE ref_date='${ref_date}' AND nome_perimetro='Individual Local' AND segmento='ESTR' AND ambito='SRB_MBDT' AND entidade='00100')X INNER JOIN (SELECT instrmnt_id AS instrmnt_id_SIMUL, instlmnt_pay AS instlmnt_pay_SIMUL FROM BU_LOANTAPE_WORK.SIMUL_LT002_INSTRUMENT WHERE ref_date='${ref_date}' AND nome_perimetro='Individual Local' AND segmento='ESTR' AND ambito='PILAR3' AND entidade='00100')Y ON X.INSTRMNT_ID=Y.INSTRMNT_ID_SIMUL</v>
      </c>
      <c r="N131" s="38"/>
    </row>
    <row r="132" spans="2:14">
      <c r="B132" s="34" t="s">
        <v>117</v>
      </c>
      <c r="C132" s="34" t="s">
        <v>5</v>
      </c>
      <c r="D132" s="34" t="str">
        <f>+UPPER('0. Instruções'!$D$35&amp;"."&amp;VLOOKUP(B132,'0. Instruções'!$C$27:$D$32,2,FALSE))</f>
        <v>BU_LOANTAPE_WORK.LT002_INSTRUMENT</v>
      </c>
      <c r="E132" s="34" t="str">
        <f>+UPPER('0. Instruções'!$D$36&amp;"."&amp;VLOOKUP(B132,'0. Instruções'!$C$27:$E$32,3,FALSE))</f>
        <v>BU_LOANTAPE_WORK.SIMUL_LT002_INSTRUMENT</v>
      </c>
      <c r="F132" s="34" t="s">
        <v>1201</v>
      </c>
      <c r="G132" s="34"/>
      <c r="H132" s="34"/>
      <c r="I132" s="34" t="str">
        <f>"(SELECT "&amp;VLOOKUP(B132,'0. Instruções'!$C$27:$G$32,4,FALSE)&amp;", "&amp;F132&amp;" FROM "&amp;D132&amp;" WHERE "&amp;'0. Instruções'!$D$42&amp;")X"</f>
        <v>(SELECT instrmnt_id, off_blnc_sht_amnt_instrmnt FROM BU_LOANTAPE_WORK.LT002_INSTRUMENT WHERE ref_date='${ref_date}' AND nome_perimetro='Individual Local' AND segmento='ESTR' AND ambito='SRB_MBDT' AND entidade='00100')X</v>
      </c>
      <c r="J132" s="34" t="str">
        <f>"(SELECT "&amp;VLOOKUP(B132,'0. Instruções'!$C$27:$G$32,4,FALSE)&amp;" AS "&amp;VLOOKUP(B132,'0. Instruções'!$C$27:$G$32,4,FALSE)&amp;"_SIMUL, "&amp;F132&amp;" AS "&amp;F132&amp;"_SIMUL FROM "&amp;E132&amp;" WHERE "&amp;'0. Instruções'!$D$43&amp;")Y"</f>
        <v>(SELECT instrmnt_id AS instrmnt_id_SIMUL, off_blnc_sht_amnt_instrmnt AS off_blnc_sht_amnt_instrmnt_SIMUL FROM BU_LOANTAPE_WORK.SIMUL_LT002_INSTRUMENT WHERE ref_date='${ref_date}' AND nome_perimetro='Individual Local' AND segmento='ESTR' AND ambito='PILAR3' AND entidade='00100')Y</v>
      </c>
      <c r="K132" s="35" t="str">
        <f>+UPPER("ON X."&amp;VLOOKUP(B132,'0. Instruções'!$C$27:$G$32,4,FALSE)&amp;"=Y."&amp;VLOOKUP(B132,'0. Instruções'!$C$27:$G$32,4,FALSE)&amp;"_SIMUL")</f>
        <v>ON X.INSTRMNT_ID=Y.INSTRMNT_ID_SIMUL</v>
      </c>
      <c r="L132" s="35" t="str">
        <f>+IF(C132="Coerência", +IF(LEFT(G132,5)="FLOAT","SELECT '"&amp;UPPER(B132)&amp;"' AS TABELA, '"&amp;UPPER(C132)&amp;"' AS TIPOLOGIA_TESTE,'"&amp;D132&amp;"' AS TABELA_LT,'"&amp;E132&amp;"' AS TABELA_SIMUL,'"&amp;F132&amp;"' AS CAMPO, "&amp;"'${ref_date}' AS REF_DATE, COUNT(*) AS NUM_REG, SUM(IF((ABS(COALESCE(CAST(X."&amp;F132&amp;" AS DECIMAL(18,6)),0)-COALESCE(CAST(Y."&amp;F132&amp;"_SIMUL AS DECIMAL(18,6)),0))&gt;0.000001) OR (X."&amp;F132&amp;" IS NULL AND Y."&amp;F132&amp;"_SIMUL IS NOT NULL ) OR (X."&amp;F132&amp;" IS NOT NULL AND Y."&amp;F132&amp;"_SIMUL IS NULL),1,0)) AS NUM_REG_DIF,'"&amp;MAX('ID1&amp;5'!K:K)+1&amp;"' AS ID_EXEC, CURRENT_TIMESTAMP() AS TIME_EXEC FROM "&amp;I132&amp;" INNER JOIN "&amp;J132&amp;" "&amp;K132,"SELECT '"&amp;UPPER(B132)&amp;"' AS TABELA, '"&amp;UPPER(C132)&amp;"' AS TIPOLOGIA_TESTE,'"&amp;D132&amp;"' AS TABELA_LT,'"&amp;E132&amp;"' AS TABELA_SIMUL,'"&amp;F132&amp;"' AS CAMPO, "&amp;"'${ref_date}' AS REF_DATE, COUNT(*) AS NUM_REG, SUM(IF(COALESCE(CAST(X."&amp;F132&amp;" AS STRING),'')&lt;&gt;COALESCE(CAST(Y."&amp;F132&amp;"_SIMUL AS STRING),'') OR (X."&amp;F132&amp;" IS NULL AND Y."&amp;F132&amp;"_SIMUL IS NOT NULL ) OR (X."&amp;F132&amp;" IS NOT NULL AND Y."&amp;F132&amp;"_SIMUL IS NULL),1,0)) AS NUM_REG_DIF,'"&amp;MAX('ID1&amp;5'!L:L)+1&amp;"' AS ID_EXEC, CURRENT_TIMESTAMP() AS TIME_EXEC FROM "&amp;I132&amp;" INNER JOIN "&amp;J132&amp;" "&amp;K132),
IF(C132="Validade",+IF(G132="Code List","SELECT '"&amp;UPPER(B132)&amp;"' AS TABELA, '"&amp;UPPER(C132)&amp;"' AS TIPOLOGIA_TESTE,'"&amp;D132&amp;"' AS TABELA_LT,'N/A' AS TABELA_SIMUL,'"&amp;F132&amp;"' AS CAMPO, "&amp;"'${ref_date}' AS REF_DATE, COUNT(*) AS NUM_REG, SUM(IF(TRIM(CAST(X."&amp;F132&amp;" AS STRING))='' OR TRIM(CAST(X."&amp;F132&amp;" AS STRING)) IS NULL OR CAST(X."&amp;F132&amp;" AS STRING) NOT "&amp;H132&amp;",1,0)) AS NUM_REG_DIF,'"&amp;MAX('ID1&amp;5'!K:K)+1&amp;"' AS ID_EXEC, CURRENT_TIMESTAMP() AS TIME_EXEC FROM "&amp;I132,"SELECT '"&amp;UPPER(B132)&amp;"' AS TABELA, '"&amp;UPPER(C132)&amp;"' AS TIPOLOGIA_TESTE,'"&amp;D132&amp;"' AS TABELA_LT,'N/A' AS TABELA_SIMUL,'"&amp;F132&amp;"' AS CAMPO, "&amp;"'${ref_date}' AS REF_DATE, COUNT(*) AS NUM_REG, SUM(IF(TRIM(CAST(X."&amp;F132&amp;" AS STRING))='' OR TRIM(CAST(X."&amp;F132&amp;" AS STRING)) IS NULL,1,0)) AS NUM_REG_DIF,'"&amp;MAX('ID1&amp;5'!K:K)+1&amp;"' AS ID_EXEC, CURRENT_TIMESTAMP() AS TIME_EXEC FROM "&amp;I132),
IF(C132="Caracteres Especiais",+"SELECT '"&amp;UPPER(B132)&amp;"' AS TABELA, '"&amp;UPPER(C132)&amp;"' AS TIPOLOGIA_TESTE,'"&amp;D132&amp;"' AS TABELA_LT,'N/A' AS TABELA_SIMUL,'"&amp;F132&amp;"' AS CAMPO, "&amp;"'${ref_date}' AS REF_DATE, COUNT(*) AS NUM_REG, SUM(IF(REGEXP_REPLACE(TRIM(CAST(X."&amp;F132&amp;" AS STRING)),'[^a-zA-Z0-9_\\s]','') &lt;&gt;TRIM(CAST(X."&amp;F132&amp;" AS STRING)),1,0)) AS NUM_REG_DIF,'"&amp;MAX('ID1&amp;5'!K:K)+1&amp;"' AS ID_EXEC, CURRENT_TIMESTAMP() AS TIME_EXEC FROM "&amp;I132,
IF(C132="Missings",+"SELECT '"&amp;UPPER(B132)&amp;"' AS TABELA, '"&amp;UPPER(C132)&amp;"' AS TIPOLOGIA_TESTE,'"&amp;D132&amp;"' AS TABELA_LT,'N/A' AS TABELA_SIMUL,'"&amp;F132&amp;"' AS CAMPO, "&amp;"'${ref_date}' AS REF_DATE, COUNT(*) AS NUM_REG, SUM(IF(TRIM(CAST(X."&amp;F132&amp;" AS STRING)) IN ('0000-00-00','0001-01-01','9999-12-31','MISS','00000','99999999999','99999999999.00','99999999999.000000'),1,0)) AS NUM_REG_DIF,'"&amp;MAX('ID1&amp;5'!K:K)+1&amp;"' AS ID_EXEC, CURRENT_TIMESTAMP() AS TIME_EXEC FROM "&amp;I132,
IF(C132="Not applicable",+"SELECT '"&amp;UPPER(B132)&amp;"' AS TABELA, '"&amp;UPPER(C132)&amp;"' AS TIPOLOGIA_TESTE,'"&amp;D132&amp;"' AS TABELA_LT,'N/A' AS TABELA_SIMUL,'"&amp;F132&amp;"' AS CAMPO, "&amp;"'${ref_date}' AS REF_DATE, COUNT(*) AS NUM_REG, SUM(IF(TRIM(CAST(X."&amp;F132&amp;" AS STRING)) IN ('N/A','11111111111','11111111111.00','11111111111.000000','1111-11-11'),1,0)) AS NUM_REG_DIF,'"&amp;MAX('ID1&amp;5'!K:K)+1&amp;"' AS ID_EXEC, CURRENT_TIMESTAMP() AS TIME_EXEC FROM "&amp;I132,
IF(C132="Valores extremos",+"SELECT '"&amp;UPPER(B132)&amp;"' AS TABELA, '"&amp;UPPER(C132)&amp;"' AS TIPOLOGIA_TESTE,'"&amp;D132&amp;"' AS TABELA_LT,'N/A' AS TABELA_SIMUL,'"&amp;F132&amp;"' AS CAMPO, "&amp;"'${ref_date}' AS REF_DATE, CAST(MIN("&amp;F132&amp;") AS STRING) AS VALOR_MIN, CAST(MAX("&amp;F132&amp;") AS STRING) AS VALOR_MAX,'"&amp;MAX('ID1&amp;5'!K:K)+1&amp;"' AS ID_EXEC, CURRENT_TIMESTAMP() AS TIME_EXEC FROM "&amp;MID(I132,1,LEN(I132)-2)&amp;" AND CAST("&amp;F132&amp;"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TABELA_SIMUL,'off_blnc_sht_amnt_instrmnt' AS CAMPO, '${ref_date}' AS REF_DATE, COUNT(*) AS NUM_REG, SUM(IF(COALESCE(CAST(X.off_blnc_sht_amnt_instrmnt AS STRING),'')&lt;&gt;COALESCE(CAST(Y.off_blnc_sht_amnt_instrmnt_SIMUL AS STRING),'') OR (X.off_blnc_sht_amnt_instrmnt IS NULL AND Y.off_blnc_sht_amnt_instrmnt_SIMUL IS NOT NULL ) OR (X.off_blnc_sht_amnt_instrmnt IS NOT NULL AND Y.off_blnc_sht_amnt_instrmnt_SIMUL IS NULL),1,0)) AS NUM_REG_DIF,'1' AS ID_EXEC, CURRENT_TIMESTAMP() AS TIME_EXEC FROM (SELECT instrmnt_id, off_blnc_sht_amnt_instrmnt FROM BU_LOANTAPE_WORK.LT002_INSTRUMENT WHERE ref_date='${ref_date}' AND nome_perimetro='Individual Local' AND segmento='ESTR' AND ambito='SRB_MBDT' AND entidade='00100')X INNER JOIN (SELECT instrmnt_id AS instrmnt_id_SIMUL, off_blnc_sht_amnt_instrmnt AS off_blnc_sht_amnt_instrmnt_SIMUL FROM BU_LOANTAPE_WORK.SIMUL_LT002_INSTRUMENT WHERE ref_date='${ref_date}' AND nome_perimetro='Individual Local' AND segmento='ESTR' AND ambito='PILAR3' AND entidade='00100')Y ON X.INSTRMNT_ID=Y.INSTRMNT_ID_SIMUL</v>
      </c>
      <c r="M132" s="36" t="str">
        <f t="shared" si="5"/>
        <v>UNION ALL SELECT 'INSTRUMENT' AS TABELA, 'COERÊNCIA' AS TIPOLOGIA_TESTE,'BU_LOANTAPE_WORK.LT002_INSTRUMENT' AS TABELA_LT,'BU_LOANTAPE_WORK.SIMUL_LT002_INSTRUMENT' AS TABELA_SIMUL,'off_blnc_sht_amnt_instrmnt' AS CAMPO, '${ref_date}' AS REF_DATE, COUNT(*) AS NUM_REG, SUM(IF(COALESCE(CAST(X.off_blnc_sht_amnt_instrmnt AS STRING),'')&lt;&gt;COALESCE(CAST(Y.off_blnc_sht_amnt_instrmnt_SIMUL AS STRING),'') OR (X.off_blnc_sht_amnt_instrmnt IS NULL AND Y.off_blnc_sht_amnt_instrmnt_SIMUL IS NOT NULL ) OR (X.off_blnc_sht_amnt_instrmnt IS NOT NULL AND Y.off_blnc_sht_amnt_instrmnt_SIMUL IS NULL),1,0)) AS NUM_REG_DIF,'1' AS ID_EXEC, CURRENT_TIMESTAMP() AS TIME_EXEC FROM (SELECT instrmnt_id, off_blnc_sht_amnt_instrmnt FROM BU_LOANTAPE_WORK.LT002_INSTRUMENT WHERE ref_date='${ref_date}' AND nome_perimetro='Individual Local' AND segmento='ESTR' AND ambito='SRB_MBDT' AND entidade='00100')X INNER JOIN (SELECT instrmnt_id AS instrmnt_id_SIMUL, off_blnc_sht_amnt_instrmnt AS off_blnc_sht_amnt_instrmnt_SIMUL FROM BU_LOANTAPE_WORK.SIMUL_LT002_INSTRUMENT WHERE ref_date='${ref_date}' AND nome_perimetro='Individual Local' AND segmento='ESTR' AND ambito='PILAR3' AND entidade='00100')Y ON X.INSTRMNT_ID=Y.INSTRMNT_ID_SIMUL</v>
      </c>
      <c r="N132" s="38"/>
    </row>
    <row r="133" spans="2:14">
      <c r="B133" s="34" t="s">
        <v>117</v>
      </c>
      <c r="C133" s="34" t="s">
        <v>5</v>
      </c>
      <c r="D133" s="34" t="str">
        <f>+UPPER('0. Instruções'!$D$35&amp;"."&amp;VLOOKUP(B133,'0. Instruções'!$C$27:$D$32,2,FALSE))</f>
        <v>BU_LOANTAPE_WORK.LT002_INSTRUMENT</v>
      </c>
      <c r="E133" s="34" t="str">
        <f>+UPPER('0. Instruções'!$D$36&amp;"."&amp;VLOOKUP(B133,'0. Instruções'!$C$27:$E$32,3,FALSE))</f>
        <v>BU_LOANTAPE_WORK.SIMUL_LT002_INSTRUMENT</v>
      </c>
      <c r="F133" s="34" t="s">
        <v>305</v>
      </c>
      <c r="G133" s="34"/>
      <c r="H133" s="34"/>
      <c r="I133" s="34" t="str">
        <f>"(SELECT "&amp;VLOOKUP(B133,'0. Instruções'!$C$27:$G$32,4,FALSE)&amp;", "&amp;F133&amp;" FROM "&amp;D133&amp;" WHERE "&amp;'0. Instruções'!$D$42&amp;")X"</f>
        <v>(SELECT instrmnt_id, off_blnc_sht_amnt_instrmnt_prvs FROM BU_LOANTAPE_WORK.LT002_INSTRUMENT WHERE ref_date='${ref_date}' AND nome_perimetro='Individual Local' AND segmento='ESTR' AND ambito='SRB_MBDT' AND entidade='00100')X</v>
      </c>
      <c r="J133" s="34" t="str">
        <f>"(SELECT "&amp;VLOOKUP(B133,'0. Instruções'!$C$27:$G$32,4,FALSE)&amp;" AS "&amp;VLOOKUP(B133,'0. Instruções'!$C$27:$G$32,4,FALSE)&amp;"_SIMUL, "&amp;F133&amp;" AS "&amp;F133&amp;"_SIMUL FROM "&amp;E133&amp;" WHERE "&amp;'0. Instruções'!$D$43&amp;")Y"</f>
        <v>(SELECT instrmnt_id AS instrmnt_id_SIMUL, off_blnc_sht_amnt_instrmnt_prvs AS off_blnc_sht_amnt_instrmnt_prvs_SIMUL FROM BU_LOANTAPE_WORK.SIMUL_LT002_INSTRUMENT WHERE ref_date='${ref_date}' AND nome_perimetro='Individual Local' AND segmento='ESTR' AND ambito='PILAR3' AND entidade='00100')Y</v>
      </c>
      <c r="K133" s="35" t="str">
        <f>+UPPER("ON X."&amp;VLOOKUP(B133,'0. Instruções'!$C$27:$G$32,4,FALSE)&amp;"=Y."&amp;VLOOKUP(B133,'0. Instruções'!$C$27:$G$32,4,FALSE)&amp;"_SIMUL")</f>
        <v>ON X.INSTRMNT_ID=Y.INSTRMNT_ID_SIMUL</v>
      </c>
      <c r="L133" s="35" t="str">
        <f>+IF(C133="Coerência", +IF(LEFT(G133,5)="FLOAT","SELECT '"&amp;UPPER(B133)&amp;"' AS TABELA, '"&amp;UPPER(C133)&amp;"' AS TIPOLOGIA_TESTE,'"&amp;D133&amp;"' AS TABELA_LT,'"&amp;E133&amp;"' AS TABELA_SIMUL,'"&amp;F133&amp;"' AS CAMPO, "&amp;"'${ref_date}' AS REF_DATE, COUNT(*) AS NUM_REG, SUM(IF((ABS(COALESCE(CAST(X."&amp;F133&amp;" AS DECIMAL(18,6)),0)-COALESCE(CAST(Y."&amp;F133&amp;"_SIMUL AS DECIMAL(18,6)),0))&gt;0.000001) OR (X."&amp;F133&amp;" IS NULL AND Y."&amp;F133&amp;"_SIMUL IS NOT NULL ) OR (X."&amp;F133&amp;" IS NOT NULL AND Y."&amp;F133&amp;"_SIMUL IS NULL),1,0)) AS NUM_REG_DIF,'"&amp;MAX('ID1&amp;5'!K:K)+1&amp;"' AS ID_EXEC, CURRENT_TIMESTAMP() AS TIME_EXEC FROM "&amp;I133&amp;" INNER JOIN "&amp;J133&amp;" "&amp;K133,"SELECT '"&amp;UPPER(B133)&amp;"' AS TABELA, '"&amp;UPPER(C133)&amp;"' AS TIPOLOGIA_TESTE,'"&amp;D133&amp;"' AS TABELA_LT,'"&amp;E133&amp;"' AS TABELA_SIMUL,'"&amp;F133&amp;"' AS CAMPO, "&amp;"'${ref_date}' AS REF_DATE, COUNT(*) AS NUM_REG, SUM(IF(COALESCE(CAST(X."&amp;F133&amp;" AS STRING),'')&lt;&gt;COALESCE(CAST(Y."&amp;F133&amp;"_SIMUL AS STRING),'') OR (X."&amp;F133&amp;" IS NULL AND Y."&amp;F133&amp;"_SIMUL IS NOT NULL ) OR (X."&amp;F133&amp;" IS NOT NULL AND Y."&amp;F133&amp;"_SIMUL IS NULL),1,0)) AS NUM_REG_DIF,'"&amp;MAX('ID1&amp;5'!L:L)+1&amp;"' AS ID_EXEC, CURRENT_TIMESTAMP() AS TIME_EXEC FROM "&amp;I133&amp;" INNER JOIN "&amp;J133&amp;" "&amp;K133),
IF(C133="Validade",+IF(G133="Code List","SELECT '"&amp;UPPER(B133)&amp;"' AS TABELA, '"&amp;UPPER(C133)&amp;"' AS TIPOLOGIA_TESTE,'"&amp;D133&amp;"' AS TABELA_LT,'N/A' AS TABELA_SIMUL,'"&amp;F133&amp;"' AS CAMPO, "&amp;"'${ref_date}' AS REF_DATE, COUNT(*) AS NUM_REG, SUM(IF(TRIM(CAST(X."&amp;F133&amp;" AS STRING))='' OR TRIM(CAST(X."&amp;F133&amp;" AS STRING)) IS NULL OR CAST(X."&amp;F133&amp;" AS STRING) NOT "&amp;H133&amp;",1,0)) AS NUM_REG_DIF,'"&amp;MAX('ID1&amp;5'!K:K)+1&amp;"' AS ID_EXEC, CURRENT_TIMESTAMP() AS TIME_EXEC FROM "&amp;I133,"SELECT '"&amp;UPPER(B133)&amp;"' AS TABELA, '"&amp;UPPER(C133)&amp;"' AS TIPOLOGIA_TESTE,'"&amp;D133&amp;"' AS TABELA_LT,'N/A' AS TABELA_SIMUL,'"&amp;F133&amp;"' AS CAMPO, "&amp;"'${ref_date}' AS REF_DATE, COUNT(*) AS NUM_REG, SUM(IF(TRIM(CAST(X."&amp;F133&amp;" AS STRING))='' OR TRIM(CAST(X."&amp;F133&amp;" AS STRING)) IS NULL,1,0)) AS NUM_REG_DIF,'"&amp;MAX('ID1&amp;5'!K:K)+1&amp;"' AS ID_EXEC, CURRENT_TIMESTAMP() AS TIME_EXEC FROM "&amp;I133),
IF(C133="Caracteres Especiais",+"SELECT '"&amp;UPPER(B133)&amp;"' AS TABELA, '"&amp;UPPER(C133)&amp;"' AS TIPOLOGIA_TESTE,'"&amp;D133&amp;"' AS TABELA_LT,'N/A' AS TABELA_SIMUL,'"&amp;F133&amp;"' AS CAMPO, "&amp;"'${ref_date}' AS REF_DATE, COUNT(*) AS NUM_REG, SUM(IF(REGEXP_REPLACE(TRIM(CAST(X."&amp;F133&amp;" AS STRING)),'[^a-zA-Z0-9_\\s]','') &lt;&gt;TRIM(CAST(X."&amp;F133&amp;" AS STRING)),1,0)) AS NUM_REG_DIF,'"&amp;MAX('ID1&amp;5'!K:K)+1&amp;"' AS ID_EXEC, CURRENT_TIMESTAMP() AS TIME_EXEC FROM "&amp;I133,
IF(C133="Missings",+"SELECT '"&amp;UPPER(B133)&amp;"' AS TABELA, '"&amp;UPPER(C133)&amp;"' AS TIPOLOGIA_TESTE,'"&amp;D133&amp;"' AS TABELA_LT,'N/A' AS TABELA_SIMUL,'"&amp;F133&amp;"' AS CAMPO, "&amp;"'${ref_date}' AS REF_DATE, COUNT(*) AS NUM_REG, SUM(IF(TRIM(CAST(X."&amp;F133&amp;" AS STRING)) IN ('0000-00-00','0001-01-01','9999-12-31','MISS','00000','99999999999','99999999999.00','99999999999.000000'),1,0)) AS NUM_REG_DIF,'"&amp;MAX('ID1&amp;5'!K:K)+1&amp;"' AS ID_EXEC, CURRENT_TIMESTAMP() AS TIME_EXEC FROM "&amp;I133,
IF(C133="Not applicable",+"SELECT '"&amp;UPPER(B133)&amp;"' AS TABELA, '"&amp;UPPER(C133)&amp;"' AS TIPOLOGIA_TESTE,'"&amp;D133&amp;"' AS TABELA_LT,'N/A' AS TABELA_SIMUL,'"&amp;F133&amp;"' AS CAMPO, "&amp;"'${ref_date}' AS REF_DATE, COUNT(*) AS NUM_REG, SUM(IF(TRIM(CAST(X."&amp;F133&amp;" AS STRING)) IN ('N/A','11111111111','11111111111.00','11111111111.000000','1111-11-11'),1,0)) AS NUM_REG_DIF,'"&amp;MAX('ID1&amp;5'!K:K)+1&amp;"' AS ID_EXEC, CURRENT_TIMESTAMP() AS TIME_EXEC FROM "&amp;I133,
IF(C133="Valores extremos",+"SELECT '"&amp;UPPER(B133)&amp;"' AS TABELA, '"&amp;UPPER(C133)&amp;"' AS TIPOLOGIA_TESTE,'"&amp;D133&amp;"' AS TABELA_LT,'N/A' AS TABELA_SIMUL,'"&amp;F133&amp;"' AS CAMPO, "&amp;"'${ref_date}' AS REF_DATE, CAST(MIN("&amp;F133&amp;") AS STRING) AS VALOR_MIN, CAST(MAX("&amp;F133&amp;") AS STRING) AS VALOR_MAX,'"&amp;MAX('ID1&amp;5'!K:K)+1&amp;"' AS ID_EXEC, CURRENT_TIMESTAMP() AS TIME_EXEC FROM "&amp;MID(I133,1,LEN(I133)-2)&amp;" AND CAST("&amp;F133&amp;"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TABELA_SIMUL,'off_blnc_sht_amnt_instrmnt_prvs' AS CAMPO, '${ref_date}' AS REF_DATE, COUNT(*) AS NUM_REG, SUM(IF(COALESCE(CAST(X.off_blnc_sht_amnt_instrmnt_prvs AS STRING),'')&lt;&gt;COALESCE(CAST(Y.off_blnc_sht_amnt_instrmnt_prvs_SIMUL AS STRING),'') OR (X.off_blnc_sht_amnt_instrmnt_prvs IS NULL AND Y.off_blnc_sht_amnt_instrmnt_prvs_SIMUL IS NOT NULL ) OR (X.off_blnc_sht_amnt_instrmnt_prvs IS NOT NULL AND Y.off_blnc_sht_amnt_instrmnt_prvs_SIMUL IS NULL),1,0)) AS NUM_REG_DIF,'1' AS ID_EXEC, CURRENT_TIMESTAMP() AS TIME_EXEC FROM (SELECT instrmnt_id, off_blnc_sht_amnt_instrmnt_prvs FROM BU_LOANTAPE_WORK.LT002_INSTRUMENT WHERE ref_date='${ref_date}' AND nome_perimetro='Individual Local' AND segmento='ESTR' AND ambito='SRB_MBDT' AND entidade='00100')X INNER JOIN (SELECT instrmnt_id AS instrmnt_id_SIMUL, off_blnc_sht_amnt_instrmnt_prvs AS off_blnc_sht_amnt_instrmnt_prvs_SIMUL FROM BU_LOANTAPE_WORK.SIMUL_LT002_INSTRUMENT WHERE ref_date='${ref_date}' AND nome_perimetro='Individual Local' AND segmento='ESTR' AND ambito='PILAR3' AND entidade='00100')Y ON X.INSTRMNT_ID=Y.INSTRMNT_ID_SIMUL</v>
      </c>
      <c r="M133" s="36" t="str">
        <f t="shared" si="5"/>
        <v>UNION ALL SELECT 'INSTRUMENT' AS TABELA, 'COERÊNCIA' AS TIPOLOGIA_TESTE,'BU_LOANTAPE_WORK.LT002_INSTRUMENT' AS TABELA_LT,'BU_LOANTAPE_WORK.SIMUL_LT002_INSTRUMENT' AS TABELA_SIMUL,'off_blnc_sht_amnt_instrmnt_prvs' AS CAMPO, '${ref_date}' AS REF_DATE, COUNT(*) AS NUM_REG, SUM(IF(COALESCE(CAST(X.off_blnc_sht_amnt_instrmnt_prvs AS STRING),'')&lt;&gt;COALESCE(CAST(Y.off_blnc_sht_amnt_instrmnt_prvs_SIMUL AS STRING),'') OR (X.off_blnc_sht_amnt_instrmnt_prvs IS NULL AND Y.off_blnc_sht_amnt_instrmnt_prvs_SIMUL IS NOT NULL ) OR (X.off_blnc_sht_amnt_instrmnt_prvs IS NOT NULL AND Y.off_blnc_sht_amnt_instrmnt_prvs_SIMUL IS NULL),1,0)) AS NUM_REG_DIF,'1' AS ID_EXEC, CURRENT_TIMESTAMP() AS TIME_EXEC FROM (SELECT instrmnt_id, off_blnc_sht_amnt_instrmnt_prvs FROM BU_LOANTAPE_WORK.LT002_INSTRUMENT WHERE ref_date='${ref_date}' AND nome_perimetro='Individual Local' AND segmento='ESTR' AND ambito='SRB_MBDT' AND entidade='00100')X INNER JOIN (SELECT instrmnt_id AS instrmnt_id_SIMUL, off_blnc_sht_amnt_instrmnt_prvs AS off_blnc_sht_amnt_instrmnt_prvs_SIMUL FROM BU_LOANTAPE_WORK.SIMUL_LT002_INSTRUMENT WHERE ref_date='${ref_date}' AND nome_perimetro='Individual Local' AND segmento='ESTR' AND ambito='PILAR3' AND entidade='00100')Y ON X.INSTRMNT_ID=Y.INSTRMNT_ID_SIMUL</v>
      </c>
      <c r="N133" s="38"/>
    </row>
    <row r="134" spans="2:14">
      <c r="B134" s="34" t="s">
        <v>117</v>
      </c>
      <c r="C134" s="34" t="s">
        <v>5</v>
      </c>
      <c r="D134" s="34" t="str">
        <f>+UPPER('0. Instruções'!$D$35&amp;"."&amp;VLOOKUP(B134,'0. Instruções'!$C$27:$D$32,2,FALSE))</f>
        <v>BU_LOANTAPE_WORK.LT002_INSTRUMENT</v>
      </c>
      <c r="E134" s="34" t="str">
        <f>+UPPER('0. Instruções'!$D$36&amp;"."&amp;VLOOKUP(B134,'0. Instruções'!$C$27:$E$32,3,FALSE))</f>
        <v>BU_LOANTAPE_WORK.SIMUL_LT002_INSTRUMENT</v>
      </c>
      <c r="F134" s="34" t="s">
        <v>1202</v>
      </c>
      <c r="G134" s="34"/>
      <c r="H134" s="34"/>
      <c r="I134" s="34" t="str">
        <f>"(SELECT "&amp;VLOOKUP(B134,'0. Instruções'!$C$27:$G$32,4,FALSE)&amp;", "&amp;F134&amp;" FROM "&amp;D134&amp;" WHERE "&amp;'0. Instruções'!$D$42&amp;")X"</f>
        <v>(SELECT instrmnt_id, otstndng_nmnl_amnt_instrmnt FROM BU_LOANTAPE_WORK.LT002_INSTRUMENT WHERE ref_date='${ref_date}' AND nome_perimetro='Individual Local' AND segmento='ESTR' AND ambito='SRB_MBDT' AND entidade='00100')X</v>
      </c>
      <c r="J134" s="34" t="str">
        <f>"(SELECT "&amp;VLOOKUP(B134,'0. Instruções'!$C$27:$G$32,4,FALSE)&amp;" AS "&amp;VLOOKUP(B134,'0. Instruções'!$C$27:$G$32,4,FALSE)&amp;"_SIMUL, "&amp;F134&amp;" AS "&amp;F134&amp;"_SIMUL FROM "&amp;E134&amp;" WHERE "&amp;'0. Instruções'!$D$43&amp;")Y"</f>
        <v>(SELECT instrmnt_id AS instrmnt_id_SIMUL, otstndng_nmnl_amnt_instrmnt AS otstndng_nmnl_amnt_instrmnt_SIMUL FROM BU_LOANTAPE_WORK.SIMUL_LT002_INSTRUMENT WHERE ref_date='${ref_date}' AND nome_perimetro='Individual Local' AND segmento='ESTR' AND ambito='PILAR3' AND entidade='00100')Y</v>
      </c>
      <c r="K134" s="35" t="str">
        <f>+UPPER("ON X."&amp;VLOOKUP(B134,'0. Instruções'!$C$27:$G$32,4,FALSE)&amp;"=Y."&amp;VLOOKUP(B134,'0. Instruções'!$C$27:$G$32,4,FALSE)&amp;"_SIMUL")</f>
        <v>ON X.INSTRMNT_ID=Y.INSTRMNT_ID_SIMUL</v>
      </c>
      <c r="L134" s="35" t="str">
        <f>+IF(C134="Coerência", +IF(LEFT(G134,5)="FLOAT","SELECT '"&amp;UPPER(B134)&amp;"' AS TABELA, '"&amp;UPPER(C134)&amp;"' AS TIPOLOGIA_TESTE,'"&amp;D134&amp;"' AS TABELA_LT,'"&amp;E134&amp;"' AS TABELA_SIMUL,'"&amp;F134&amp;"' AS CAMPO, "&amp;"'${ref_date}' AS REF_DATE, COUNT(*) AS NUM_REG, SUM(IF((ABS(COALESCE(CAST(X."&amp;F134&amp;" AS DECIMAL(18,6)),0)-COALESCE(CAST(Y."&amp;F134&amp;"_SIMUL AS DECIMAL(18,6)),0))&gt;0.000001) OR (X."&amp;F134&amp;" IS NULL AND Y."&amp;F134&amp;"_SIMUL IS NOT NULL ) OR (X."&amp;F134&amp;" IS NOT NULL AND Y."&amp;F134&amp;"_SIMUL IS NULL),1,0)) AS NUM_REG_DIF,'"&amp;MAX('ID1&amp;5'!K:K)+1&amp;"' AS ID_EXEC, CURRENT_TIMESTAMP() AS TIME_EXEC FROM "&amp;I134&amp;" INNER JOIN "&amp;J134&amp;" "&amp;K134,"SELECT '"&amp;UPPER(B134)&amp;"' AS TABELA, '"&amp;UPPER(C134)&amp;"' AS TIPOLOGIA_TESTE,'"&amp;D134&amp;"' AS TABELA_LT,'"&amp;E134&amp;"' AS TABELA_SIMUL,'"&amp;F134&amp;"' AS CAMPO, "&amp;"'${ref_date}' AS REF_DATE, COUNT(*) AS NUM_REG, SUM(IF(COALESCE(CAST(X."&amp;F134&amp;" AS STRING),'')&lt;&gt;COALESCE(CAST(Y."&amp;F134&amp;"_SIMUL AS STRING),'') OR (X."&amp;F134&amp;" IS NULL AND Y."&amp;F134&amp;"_SIMUL IS NOT NULL ) OR (X."&amp;F134&amp;" IS NOT NULL AND Y."&amp;F134&amp;"_SIMUL IS NULL),1,0)) AS NUM_REG_DIF,'"&amp;MAX('ID1&amp;5'!L:L)+1&amp;"' AS ID_EXEC, CURRENT_TIMESTAMP() AS TIME_EXEC FROM "&amp;I134&amp;" INNER JOIN "&amp;J134&amp;" "&amp;K134),
IF(C134="Validade",+IF(G134="Code List","SELECT '"&amp;UPPER(B134)&amp;"' AS TABELA, '"&amp;UPPER(C134)&amp;"' AS TIPOLOGIA_TESTE,'"&amp;D134&amp;"' AS TABELA_LT,'N/A' AS TABELA_SIMUL,'"&amp;F134&amp;"' AS CAMPO, "&amp;"'${ref_date}' AS REF_DATE, COUNT(*) AS NUM_REG, SUM(IF(TRIM(CAST(X."&amp;F134&amp;" AS STRING))='' OR TRIM(CAST(X."&amp;F134&amp;" AS STRING)) IS NULL OR CAST(X."&amp;F134&amp;" AS STRING) NOT "&amp;H134&amp;",1,0)) AS NUM_REG_DIF,'"&amp;MAX('ID1&amp;5'!K:K)+1&amp;"' AS ID_EXEC, CURRENT_TIMESTAMP() AS TIME_EXEC FROM "&amp;I134,"SELECT '"&amp;UPPER(B134)&amp;"' AS TABELA, '"&amp;UPPER(C134)&amp;"' AS TIPOLOGIA_TESTE,'"&amp;D134&amp;"' AS TABELA_LT,'N/A' AS TABELA_SIMUL,'"&amp;F134&amp;"' AS CAMPO, "&amp;"'${ref_date}' AS REF_DATE, COUNT(*) AS NUM_REG, SUM(IF(TRIM(CAST(X."&amp;F134&amp;" AS STRING))='' OR TRIM(CAST(X."&amp;F134&amp;" AS STRING)) IS NULL,1,0)) AS NUM_REG_DIF,'"&amp;MAX('ID1&amp;5'!K:K)+1&amp;"' AS ID_EXEC, CURRENT_TIMESTAMP() AS TIME_EXEC FROM "&amp;I134),
IF(C134="Caracteres Especiais",+"SELECT '"&amp;UPPER(B134)&amp;"' AS TABELA, '"&amp;UPPER(C134)&amp;"' AS TIPOLOGIA_TESTE,'"&amp;D134&amp;"' AS TABELA_LT,'N/A' AS TABELA_SIMUL,'"&amp;F134&amp;"' AS CAMPO, "&amp;"'${ref_date}' AS REF_DATE, COUNT(*) AS NUM_REG, SUM(IF(REGEXP_REPLACE(TRIM(CAST(X."&amp;F134&amp;" AS STRING)),'[^a-zA-Z0-9_\\s]','') &lt;&gt;TRIM(CAST(X."&amp;F134&amp;" AS STRING)),1,0)) AS NUM_REG_DIF,'"&amp;MAX('ID1&amp;5'!K:K)+1&amp;"' AS ID_EXEC, CURRENT_TIMESTAMP() AS TIME_EXEC FROM "&amp;I134,
IF(C134="Missings",+"SELECT '"&amp;UPPER(B134)&amp;"' AS TABELA, '"&amp;UPPER(C134)&amp;"' AS TIPOLOGIA_TESTE,'"&amp;D134&amp;"' AS TABELA_LT,'N/A' AS TABELA_SIMUL,'"&amp;F134&amp;"' AS CAMPO, "&amp;"'${ref_date}' AS REF_DATE, COUNT(*) AS NUM_REG, SUM(IF(TRIM(CAST(X."&amp;F134&amp;" AS STRING)) IN ('0000-00-00','0001-01-01','9999-12-31','MISS','00000','99999999999','99999999999.00','99999999999.000000'),1,0)) AS NUM_REG_DIF,'"&amp;MAX('ID1&amp;5'!K:K)+1&amp;"' AS ID_EXEC, CURRENT_TIMESTAMP() AS TIME_EXEC FROM "&amp;I134,
IF(C134="Not applicable",+"SELECT '"&amp;UPPER(B134)&amp;"' AS TABELA, '"&amp;UPPER(C134)&amp;"' AS TIPOLOGIA_TESTE,'"&amp;D134&amp;"' AS TABELA_LT,'N/A' AS TABELA_SIMUL,'"&amp;F134&amp;"' AS CAMPO, "&amp;"'${ref_date}' AS REF_DATE, COUNT(*) AS NUM_REG, SUM(IF(TRIM(CAST(X."&amp;F134&amp;" AS STRING)) IN ('N/A','11111111111','11111111111.00','11111111111.000000','1111-11-11'),1,0)) AS NUM_REG_DIF,'"&amp;MAX('ID1&amp;5'!K:K)+1&amp;"' AS ID_EXEC, CURRENT_TIMESTAMP() AS TIME_EXEC FROM "&amp;I134,
IF(C134="Valores extremos",+"SELECT '"&amp;UPPER(B134)&amp;"' AS TABELA, '"&amp;UPPER(C134)&amp;"' AS TIPOLOGIA_TESTE,'"&amp;D134&amp;"' AS TABELA_LT,'N/A' AS TABELA_SIMUL,'"&amp;F134&amp;"' AS CAMPO, "&amp;"'${ref_date}' AS REF_DATE, CAST(MIN("&amp;F134&amp;") AS STRING) AS VALOR_MIN, CAST(MAX("&amp;F134&amp;") AS STRING) AS VALOR_MAX,'"&amp;MAX('ID1&amp;5'!K:K)+1&amp;"' AS ID_EXEC, CURRENT_TIMESTAMP() AS TIME_EXEC FROM "&amp;MID(I134,1,LEN(I134)-2)&amp;" AND CAST("&amp;F134&amp;"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TABELA_SIMUL,'otstndng_nmnl_amnt_instrmnt' AS CAMPO, '${ref_date}' AS REF_DATE, COUNT(*) AS NUM_REG, SUM(IF(COALESCE(CAST(X.otstndng_nmnl_amnt_instrmnt AS STRING),'')&lt;&gt;COALESCE(CAST(Y.otstndng_nmnl_amnt_instrmnt_SIMUL AS STRING),'') OR (X.otstndng_nmnl_amnt_instrmnt IS NULL AND Y.otstndng_nmnl_amnt_instrmnt_SIMUL IS NOT NULL ) OR (X.otstndng_nmnl_amnt_instrmnt IS NOT NULL AND Y.otstndng_nmnl_amnt_instrmnt_SIMUL IS NULL),1,0)) AS NUM_REG_DIF,'1' AS ID_EXEC, CURRENT_TIMESTAMP() AS TIME_EXEC FROM (SELECT instrmnt_id, otstndng_nmnl_amnt_instrmnt FROM BU_LOANTAPE_WORK.LT002_INSTRUMENT WHERE ref_date='${ref_date}' AND nome_perimetro='Individual Local' AND segmento='ESTR' AND ambito='SRB_MBDT' AND entidade='00100')X INNER JOIN (SELECT instrmnt_id AS instrmnt_id_SIMUL, otstndng_nmnl_amnt_instrmnt AS otstndng_nmnl_amnt_instrmnt_SIMUL FROM BU_LOANTAPE_WORK.SIMUL_LT002_INSTRUMENT WHERE ref_date='${ref_date}' AND nome_perimetro='Individual Local' AND segmento='ESTR' AND ambito='PILAR3' AND entidade='00100')Y ON X.INSTRMNT_ID=Y.INSTRMNT_ID_SIMUL</v>
      </c>
      <c r="M134" s="36" t="str">
        <f t="shared" si="5"/>
        <v>UNION ALL SELECT 'INSTRUMENT' AS TABELA, 'COERÊNCIA' AS TIPOLOGIA_TESTE,'BU_LOANTAPE_WORK.LT002_INSTRUMENT' AS TABELA_LT,'BU_LOANTAPE_WORK.SIMUL_LT002_INSTRUMENT' AS TABELA_SIMUL,'otstndng_nmnl_amnt_instrmnt' AS CAMPO, '${ref_date}' AS REF_DATE, COUNT(*) AS NUM_REG, SUM(IF(COALESCE(CAST(X.otstndng_nmnl_amnt_instrmnt AS STRING),'')&lt;&gt;COALESCE(CAST(Y.otstndng_nmnl_amnt_instrmnt_SIMUL AS STRING),'') OR (X.otstndng_nmnl_amnt_instrmnt IS NULL AND Y.otstndng_nmnl_amnt_instrmnt_SIMUL IS NOT NULL ) OR (X.otstndng_nmnl_amnt_instrmnt IS NOT NULL AND Y.otstndng_nmnl_amnt_instrmnt_SIMUL IS NULL),1,0)) AS NUM_REG_DIF,'1' AS ID_EXEC, CURRENT_TIMESTAMP() AS TIME_EXEC FROM (SELECT instrmnt_id, otstndng_nmnl_amnt_instrmnt FROM BU_LOANTAPE_WORK.LT002_INSTRUMENT WHERE ref_date='${ref_date}' AND nome_perimetro='Individual Local' AND segmento='ESTR' AND ambito='SRB_MBDT' AND entidade='00100')X INNER JOIN (SELECT instrmnt_id AS instrmnt_id_SIMUL, otstndng_nmnl_amnt_instrmnt AS otstndng_nmnl_amnt_instrmnt_SIMUL FROM BU_LOANTAPE_WORK.SIMUL_LT002_INSTRUMENT WHERE ref_date='${ref_date}' AND nome_perimetro='Individual Local' AND segmento='ESTR' AND ambito='PILAR3' AND entidade='00100')Y ON X.INSTRMNT_ID=Y.INSTRMNT_ID_SIMUL</v>
      </c>
      <c r="N134" s="38"/>
    </row>
    <row r="135" spans="2:14">
      <c r="B135" s="34" t="s">
        <v>117</v>
      </c>
      <c r="C135" s="34" t="s">
        <v>5</v>
      </c>
      <c r="D135" s="34" t="str">
        <f>+UPPER('0. Instruções'!$D$35&amp;"."&amp;VLOOKUP(B135,'0. Instruções'!$C$27:$D$32,2,FALSE))</f>
        <v>BU_LOANTAPE_WORK.LT002_INSTRUMENT</v>
      </c>
      <c r="E135" s="34" t="str">
        <f>+UPPER('0. Instruções'!$D$36&amp;"."&amp;VLOOKUP(B135,'0. Instruções'!$C$27:$E$32,3,FALSE))</f>
        <v>BU_LOANTAPE_WORK.SIMUL_LT002_INSTRUMENT</v>
      </c>
      <c r="F135" s="34" t="s">
        <v>1203</v>
      </c>
      <c r="G135" s="34"/>
      <c r="H135" s="34"/>
      <c r="I135" s="34" t="str">
        <f>"(SELECT "&amp;VLOOKUP(B135,'0. Instruções'!$C$27:$G$32,4,FALSE)&amp;", "&amp;F135&amp;" FROM "&amp;D135&amp;" WHERE "&amp;'0. Instruções'!$D$42&amp;")X"</f>
        <v>(SELECT instrmnt_id, otstndng_nmnl_amnt_instrmnt_prvs FROM BU_LOANTAPE_WORK.LT002_INSTRUMENT WHERE ref_date='${ref_date}' AND nome_perimetro='Individual Local' AND segmento='ESTR' AND ambito='SRB_MBDT' AND entidade='00100')X</v>
      </c>
      <c r="J135" s="34" t="str">
        <f>"(SELECT "&amp;VLOOKUP(B135,'0. Instruções'!$C$27:$G$32,4,FALSE)&amp;" AS "&amp;VLOOKUP(B135,'0. Instruções'!$C$27:$G$32,4,FALSE)&amp;"_SIMUL, "&amp;F135&amp;" AS "&amp;F135&amp;"_SIMUL FROM "&amp;E135&amp;" WHERE "&amp;'0. Instruções'!$D$43&amp;")Y"</f>
        <v>(SELECT instrmnt_id AS instrmnt_id_SIMUL, otstndng_nmnl_amnt_instrmnt_prvs AS otstndng_nmnl_amnt_instrmnt_prvs_SIMUL FROM BU_LOANTAPE_WORK.SIMUL_LT002_INSTRUMENT WHERE ref_date='${ref_date}' AND nome_perimetro='Individual Local' AND segmento='ESTR' AND ambito='PILAR3' AND entidade='00100')Y</v>
      </c>
      <c r="K135" s="35" t="str">
        <f>+UPPER("ON X."&amp;VLOOKUP(B135,'0. Instruções'!$C$27:$G$32,4,FALSE)&amp;"=Y."&amp;VLOOKUP(B135,'0. Instruções'!$C$27:$G$32,4,FALSE)&amp;"_SIMUL")</f>
        <v>ON X.INSTRMNT_ID=Y.INSTRMNT_ID_SIMUL</v>
      </c>
      <c r="L135" s="35" t="str">
        <f>+IF(C135="Coerência", +IF(LEFT(G135,5)="FLOAT","SELECT '"&amp;UPPER(B135)&amp;"' AS TABELA, '"&amp;UPPER(C135)&amp;"' AS TIPOLOGIA_TESTE,'"&amp;D135&amp;"' AS TABELA_LT,'"&amp;E135&amp;"' AS TABELA_SIMUL,'"&amp;F135&amp;"' AS CAMPO, "&amp;"'${ref_date}' AS REF_DATE, COUNT(*) AS NUM_REG, SUM(IF((ABS(COALESCE(CAST(X."&amp;F135&amp;" AS DECIMAL(18,6)),0)-COALESCE(CAST(Y."&amp;F135&amp;"_SIMUL AS DECIMAL(18,6)),0))&gt;0.000001) OR (X."&amp;F135&amp;" IS NULL AND Y."&amp;F135&amp;"_SIMUL IS NOT NULL ) OR (X."&amp;F135&amp;" IS NOT NULL AND Y."&amp;F135&amp;"_SIMUL IS NULL),1,0)) AS NUM_REG_DIF,'"&amp;MAX('ID1&amp;5'!K:K)+1&amp;"' AS ID_EXEC, CURRENT_TIMESTAMP() AS TIME_EXEC FROM "&amp;I135&amp;" INNER JOIN "&amp;J135&amp;" "&amp;K135,"SELECT '"&amp;UPPER(B135)&amp;"' AS TABELA, '"&amp;UPPER(C135)&amp;"' AS TIPOLOGIA_TESTE,'"&amp;D135&amp;"' AS TABELA_LT,'"&amp;E135&amp;"' AS TABELA_SIMUL,'"&amp;F135&amp;"' AS CAMPO, "&amp;"'${ref_date}' AS REF_DATE, COUNT(*) AS NUM_REG, SUM(IF(COALESCE(CAST(X."&amp;F135&amp;" AS STRING),'')&lt;&gt;COALESCE(CAST(Y."&amp;F135&amp;"_SIMUL AS STRING),'') OR (X."&amp;F135&amp;" IS NULL AND Y."&amp;F135&amp;"_SIMUL IS NOT NULL ) OR (X."&amp;F135&amp;" IS NOT NULL AND Y."&amp;F135&amp;"_SIMUL IS NULL),1,0)) AS NUM_REG_DIF,'"&amp;MAX('ID1&amp;5'!L:L)+1&amp;"' AS ID_EXEC, CURRENT_TIMESTAMP() AS TIME_EXEC FROM "&amp;I135&amp;" INNER JOIN "&amp;J135&amp;" "&amp;K135),
IF(C135="Validade",+IF(G135="Code List","SELECT '"&amp;UPPER(B135)&amp;"' AS TABELA, '"&amp;UPPER(C135)&amp;"' AS TIPOLOGIA_TESTE,'"&amp;D135&amp;"' AS TABELA_LT,'N/A' AS TABELA_SIMUL,'"&amp;F135&amp;"' AS CAMPO, "&amp;"'${ref_date}' AS REF_DATE, COUNT(*) AS NUM_REG, SUM(IF(TRIM(CAST(X."&amp;F135&amp;" AS STRING))='' OR TRIM(CAST(X."&amp;F135&amp;" AS STRING)) IS NULL OR CAST(X."&amp;F135&amp;" AS STRING) NOT "&amp;H135&amp;",1,0)) AS NUM_REG_DIF,'"&amp;MAX('ID1&amp;5'!K:K)+1&amp;"' AS ID_EXEC, CURRENT_TIMESTAMP() AS TIME_EXEC FROM "&amp;I135,"SELECT '"&amp;UPPER(B135)&amp;"' AS TABELA, '"&amp;UPPER(C135)&amp;"' AS TIPOLOGIA_TESTE,'"&amp;D135&amp;"' AS TABELA_LT,'N/A' AS TABELA_SIMUL,'"&amp;F135&amp;"' AS CAMPO, "&amp;"'${ref_date}' AS REF_DATE, COUNT(*) AS NUM_REG, SUM(IF(TRIM(CAST(X."&amp;F135&amp;" AS STRING))='' OR TRIM(CAST(X."&amp;F135&amp;" AS STRING)) IS NULL,1,0)) AS NUM_REG_DIF,'"&amp;MAX('ID1&amp;5'!K:K)+1&amp;"' AS ID_EXEC, CURRENT_TIMESTAMP() AS TIME_EXEC FROM "&amp;I135),
IF(C135="Caracteres Especiais",+"SELECT '"&amp;UPPER(B135)&amp;"' AS TABELA, '"&amp;UPPER(C135)&amp;"' AS TIPOLOGIA_TESTE,'"&amp;D135&amp;"' AS TABELA_LT,'N/A' AS TABELA_SIMUL,'"&amp;F135&amp;"' AS CAMPO, "&amp;"'${ref_date}' AS REF_DATE, COUNT(*) AS NUM_REG, SUM(IF(REGEXP_REPLACE(TRIM(CAST(X."&amp;F135&amp;" AS STRING)),'[^a-zA-Z0-9_\\s]','') &lt;&gt;TRIM(CAST(X."&amp;F135&amp;" AS STRING)),1,0)) AS NUM_REG_DIF,'"&amp;MAX('ID1&amp;5'!K:K)+1&amp;"' AS ID_EXEC, CURRENT_TIMESTAMP() AS TIME_EXEC FROM "&amp;I135,
IF(C135="Missings",+"SELECT '"&amp;UPPER(B135)&amp;"' AS TABELA, '"&amp;UPPER(C135)&amp;"' AS TIPOLOGIA_TESTE,'"&amp;D135&amp;"' AS TABELA_LT,'N/A' AS TABELA_SIMUL,'"&amp;F135&amp;"' AS CAMPO, "&amp;"'${ref_date}' AS REF_DATE, COUNT(*) AS NUM_REG, SUM(IF(TRIM(CAST(X."&amp;F135&amp;" AS STRING)) IN ('0000-00-00','0001-01-01','9999-12-31','MISS','00000','99999999999','99999999999.00','99999999999.000000'),1,0)) AS NUM_REG_DIF,'"&amp;MAX('ID1&amp;5'!K:K)+1&amp;"' AS ID_EXEC, CURRENT_TIMESTAMP() AS TIME_EXEC FROM "&amp;I135,
IF(C135="Not applicable",+"SELECT '"&amp;UPPER(B135)&amp;"' AS TABELA, '"&amp;UPPER(C135)&amp;"' AS TIPOLOGIA_TESTE,'"&amp;D135&amp;"' AS TABELA_LT,'N/A' AS TABELA_SIMUL,'"&amp;F135&amp;"' AS CAMPO, "&amp;"'${ref_date}' AS REF_DATE, COUNT(*) AS NUM_REG, SUM(IF(TRIM(CAST(X."&amp;F135&amp;" AS STRING)) IN ('N/A','11111111111','11111111111.00','11111111111.000000','1111-11-11'),1,0)) AS NUM_REG_DIF,'"&amp;MAX('ID1&amp;5'!K:K)+1&amp;"' AS ID_EXEC, CURRENT_TIMESTAMP() AS TIME_EXEC FROM "&amp;I135,
IF(C135="Valores extremos",+"SELECT '"&amp;UPPER(B135)&amp;"' AS TABELA, '"&amp;UPPER(C135)&amp;"' AS TIPOLOGIA_TESTE,'"&amp;D135&amp;"' AS TABELA_LT,'N/A' AS TABELA_SIMUL,'"&amp;F135&amp;"' AS CAMPO, "&amp;"'${ref_date}' AS REF_DATE, CAST(MIN("&amp;F135&amp;") AS STRING) AS VALOR_MIN, CAST(MAX("&amp;F135&amp;") AS STRING) AS VALOR_MAX,'"&amp;MAX('ID1&amp;5'!K:K)+1&amp;"' AS ID_EXEC, CURRENT_TIMESTAMP() AS TIME_EXEC FROM "&amp;MID(I135,1,LEN(I135)-2)&amp;" AND CAST("&amp;F135&amp;"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TABELA_SIMUL,'otstndng_nmnl_amnt_instrmnt_prvs' AS CAMPO, '${ref_date}' AS REF_DATE, COUNT(*) AS NUM_REG, SUM(IF(COALESCE(CAST(X.otstndng_nmnl_amnt_instrmnt_prvs AS STRING),'')&lt;&gt;COALESCE(CAST(Y.otstndng_nmnl_amnt_instrmnt_prvs_SIMUL AS STRING),'') OR (X.otstndng_nmnl_amnt_instrmnt_prvs IS NULL AND Y.otstndng_nmnl_amnt_instrmnt_prvs_SIMUL IS NOT NULL ) OR (X.otstndng_nmnl_amnt_instrmnt_prvs IS NOT NULL AND Y.otstndng_nmnl_amnt_instrmnt_prvs_SIMUL IS NULL),1,0)) AS NUM_REG_DIF,'1' AS ID_EXEC, CURRENT_TIMESTAMP() AS TIME_EXEC FROM (SELECT instrmnt_id, otstndng_nmnl_amnt_instrmnt_prvs FROM BU_LOANTAPE_WORK.LT002_INSTRUMENT WHERE ref_date='${ref_date}' AND nome_perimetro='Individual Local' AND segmento='ESTR' AND ambito='SRB_MBDT' AND entidade='00100')X INNER JOIN (SELECT instrmnt_id AS instrmnt_id_SIMUL, otstndng_nmnl_amnt_instrmnt_prvs AS otstndng_nmnl_amnt_instrmnt_prvs_SIMUL FROM BU_LOANTAPE_WORK.SIMUL_LT002_INSTRUMENT WHERE ref_date='${ref_date}' AND nome_perimetro='Individual Local' AND segmento='ESTR' AND ambito='PILAR3' AND entidade='00100')Y ON X.INSTRMNT_ID=Y.INSTRMNT_ID_SIMUL</v>
      </c>
      <c r="M135" s="36" t="str">
        <f t="shared" si="5"/>
        <v>UNION ALL SELECT 'INSTRUMENT' AS TABELA, 'COERÊNCIA' AS TIPOLOGIA_TESTE,'BU_LOANTAPE_WORK.LT002_INSTRUMENT' AS TABELA_LT,'BU_LOANTAPE_WORK.SIMUL_LT002_INSTRUMENT' AS TABELA_SIMUL,'otstndng_nmnl_amnt_instrmnt_prvs' AS CAMPO, '${ref_date}' AS REF_DATE, COUNT(*) AS NUM_REG, SUM(IF(COALESCE(CAST(X.otstndng_nmnl_amnt_instrmnt_prvs AS STRING),'')&lt;&gt;COALESCE(CAST(Y.otstndng_nmnl_amnt_instrmnt_prvs_SIMUL AS STRING),'') OR (X.otstndng_nmnl_amnt_instrmnt_prvs IS NULL AND Y.otstndng_nmnl_amnt_instrmnt_prvs_SIMUL IS NOT NULL ) OR (X.otstndng_nmnl_amnt_instrmnt_prvs IS NOT NULL AND Y.otstndng_nmnl_amnt_instrmnt_prvs_SIMUL IS NULL),1,0)) AS NUM_REG_DIF,'1' AS ID_EXEC, CURRENT_TIMESTAMP() AS TIME_EXEC FROM (SELECT instrmnt_id, otstndng_nmnl_amnt_instrmnt_prvs FROM BU_LOANTAPE_WORK.LT002_INSTRUMENT WHERE ref_date='${ref_date}' AND nome_perimetro='Individual Local' AND segmento='ESTR' AND ambito='SRB_MBDT' AND entidade='00100')X INNER JOIN (SELECT instrmnt_id AS instrmnt_id_SIMUL, otstndng_nmnl_amnt_instrmnt_prvs AS otstndng_nmnl_amnt_instrmnt_prvs_SIMUL FROM BU_LOANTAPE_WORK.SIMUL_LT002_INSTRUMENT WHERE ref_date='${ref_date}' AND nome_perimetro='Individual Local' AND segmento='ESTR' AND ambito='PILAR3' AND entidade='00100')Y ON X.INSTRMNT_ID=Y.INSTRMNT_ID_SIMUL</v>
      </c>
      <c r="N135" s="38"/>
    </row>
    <row r="136" spans="2:14">
      <c r="B136" s="34" t="s">
        <v>117</v>
      </c>
      <c r="C136" s="34" t="s">
        <v>5</v>
      </c>
      <c r="D136" s="34" t="str">
        <f>+UPPER('0. Instruções'!$D$35&amp;"."&amp;VLOOKUP(B136,'0. Instruções'!$C$27:$D$32,2,FALSE))</f>
        <v>BU_LOANTAPE_WORK.LT002_INSTRUMENT</v>
      </c>
      <c r="E136" s="34" t="str">
        <f>+UPPER('0. Instruções'!$D$36&amp;"."&amp;VLOOKUP(B136,'0. Instruções'!$C$27:$E$32,3,FALSE))</f>
        <v>BU_LOANTAPE_WORK.SIMUL_LT002_INSTRUMENT</v>
      </c>
      <c r="F136" s="34" t="s">
        <v>1204</v>
      </c>
      <c r="G136" s="34"/>
      <c r="H136" s="34"/>
      <c r="I136" s="34" t="str">
        <f>"(SELECT "&amp;VLOOKUP(B136,'0. Instruções'!$C$27:$G$32,4,FALSE)&amp;", "&amp;F136&amp;" FROM "&amp;D136&amp;" WHERE "&amp;'0. Instruções'!$D$42&amp;")X"</f>
        <v>(SELECT instrmnt_id, prvsns_off_blnc_sht FROM BU_LOANTAPE_WORK.LT002_INSTRUMENT WHERE ref_date='${ref_date}' AND nome_perimetro='Individual Local' AND segmento='ESTR' AND ambito='SRB_MBDT' AND entidade='00100')X</v>
      </c>
      <c r="J136" s="34" t="str">
        <f>"(SELECT "&amp;VLOOKUP(B136,'0. Instruções'!$C$27:$G$32,4,FALSE)&amp;" AS "&amp;VLOOKUP(B136,'0. Instruções'!$C$27:$G$32,4,FALSE)&amp;"_SIMUL, "&amp;F136&amp;" AS "&amp;F136&amp;"_SIMUL FROM "&amp;E136&amp;" WHERE "&amp;'0. Instruções'!$D$43&amp;")Y"</f>
        <v>(SELECT instrmnt_id AS instrmnt_id_SIMUL, prvsns_off_blnc_sht AS prvsns_off_blnc_sht_SIMUL FROM BU_LOANTAPE_WORK.SIMUL_LT002_INSTRUMENT WHERE ref_date='${ref_date}' AND nome_perimetro='Individual Local' AND segmento='ESTR' AND ambito='PILAR3' AND entidade='00100')Y</v>
      </c>
      <c r="K136" s="35" t="str">
        <f>+UPPER("ON X."&amp;VLOOKUP(B136,'0. Instruções'!$C$27:$G$32,4,FALSE)&amp;"=Y."&amp;VLOOKUP(B136,'0. Instruções'!$C$27:$G$32,4,FALSE)&amp;"_SIMUL")</f>
        <v>ON X.INSTRMNT_ID=Y.INSTRMNT_ID_SIMUL</v>
      </c>
      <c r="L136" s="35" t="str">
        <f>+IF(C136="Coerência", +IF(LEFT(G136,5)="FLOAT","SELECT '"&amp;UPPER(B136)&amp;"' AS TABELA, '"&amp;UPPER(C136)&amp;"' AS TIPOLOGIA_TESTE,'"&amp;D136&amp;"' AS TABELA_LT,'"&amp;E136&amp;"' AS TABELA_SIMUL,'"&amp;F136&amp;"' AS CAMPO, "&amp;"'${ref_date}' AS REF_DATE, COUNT(*) AS NUM_REG, SUM(IF((ABS(COALESCE(CAST(X."&amp;F136&amp;" AS DECIMAL(18,6)),0)-COALESCE(CAST(Y."&amp;F136&amp;"_SIMUL AS DECIMAL(18,6)),0))&gt;0.000001) OR (X."&amp;F136&amp;" IS NULL AND Y."&amp;F136&amp;"_SIMUL IS NOT NULL ) OR (X."&amp;F136&amp;" IS NOT NULL AND Y."&amp;F136&amp;"_SIMUL IS NULL),1,0)) AS NUM_REG_DIF,'"&amp;MAX('ID1&amp;5'!K:K)+1&amp;"' AS ID_EXEC, CURRENT_TIMESTAMP() AS TIME_EXEC FROM "&amp;I136&amp;" INNER JOIN "&amp;J136&amp;" "&amp;K136,"SELECT '"&amp;UPPER(B136)&amp;"' AS TABELA, '"&amp;UPPER(C136)&amp;"' AS TIPOLOGIA_TESTE,'"&amp;D136&amp;"' AS TABELA_LT,'"&amp;E136&amp;"' AS TABELA_SIMUL,'"&amp;F136&amp;"' AS CAMPO, "&amp;"'${ref_date}' AS REF_DATE, COUNT(*) AS NUM_REG, SUM(IF(COALESCE(CAST(X."&amp;F136&amp;" AS STRING),'')&lt;&gt;COALESCE(CAST(Y."&amp;F136&amp;"_SIMUL AS STRING),'') OR (X."&amp;F136&amp;" IS NULL AND Y."&amp;F136&amp;"_SIMUL IS NOT NULL ) OR (X."&amp;F136&amp;" IS NOT NULL AND Y."&amp;F136&amp;"_SIMUL IS NULL),1,0)) AS NUM_REG_DIF,'"&amp;MAX('ID1&amp;5'!L:L)+1&amp;"' AS ID_EXEC, CURRENT_TIMESTAMP() AS TIME_EXEC FROM "&amp;I136&amp;" INNER JOIN "&amp;J136&amp;" "&amp;K136),
IF(C136="Validade",+IF(G136="Code List","SELECT '"&amp;UPPER(B136)&amp;"' AS TABELA, '"&amp;UPPER(C136)&amp;"' AS TIPOLOGIA_TESTE,'"&amp;D136&amp;"' AS TABELA_LT,'N/A' AS TABELA_SIMUL,'"&amp;F136&amp;"' AS CAMPO, "&amp;"'${ref_date}' AS REF_DATE, COUNT(*) AS NUM_REG, SUM(IF(TRIM(CAST(X."&amp;F136&amp;" AS STRING))='' OR TRIM(CAST(X."&amp;F136&amp;" AS STRING)) IS NULL OR CAST(X."&amp;F136&amp;" AS STRING) NOT "&amp;H136&amp;",1,0)) AS NUM_REG_DIF,'"&amp;MAX('ID1&amp;5'!K:K)+1&amp;"' AS ID_EXEC, CURRENT_TIMESTAMP() AS TIME_EXEC FROM "&amp;I136,"SELECT '"&amp;UPPER(B136)&amp;"' AS TABELA, '"&amp;UPPER(C136)&amp;"' AS TIPOLOGIA_TESTE,'"&amp;D136&amp;"' AS TABELA_LT,'N/A' AS TABELA_SIMUL,'"&amp;F136&amp;"' AS CAMPO, "&amp;"'${ref_date}' AS REF_DATE, COUNT(*) AS NUM_REG, SUM(IF(TRIM(CAST(X."&amp;F136&amp;" AS STRING))='' OR TRIM(CAST(X."&amp;F136&amp;" AS STRING)) IS NULL,1,0)) AS NUM_REG_DIF,'"&amp;MAX('ID1&amp;5'!K:K)+1&amp;"' AS ID_EXEC, CURRENT_TIMESTAMP() AS TIME_EXEC FROM "&amp;I136),
IF(C136="Caracteres Especiais",+"SELECT '"&amp;UPPER(B136)&amp;"' AS TABELA, '"&amp;UPPER(C136)&amp;"' AS TIPOLOGIA_TESTE,'"&amp;D136&amp;"' AS TABELA_LT,'N/A' AS TABELA_SIMUL,'"&amp;F136&amp;"' AS CAMPO, "&amp;"'${ref_date}' AS REF_DATE, COUNT(*) AS NUM_REG, SUM(IF(REGEXP_REPLACE(TRIM(CAST(X."&amp;F136&amp;" AS STRING)),'[^a-zA-Z0-9_\\s]','') &lt;&gt;TRIM(CAST(X."&amp;F136&amp;" AS STRING)),1,0)) AS NUM_REG_DIF,'"&amp;MAX('ID1&amp;5'!K:K)+1&amp;"' AS ID_EXEC, CURRENT_TIMESTAMP() AS TIME_EXEC FROM "&amp;I136,
IF(C136="Missings",+"SELECT '"&amp;UPPER(B136)&amp;"' AS TABELA, '"&amp;UPPER(C136)&amp;"' AS TIPOLOGIA_TESTE,'"&amp;D136&amp;"' AS TABELA_LT,'N/A' AS TABELA_SIMUL,'"&amp;F136&amp;"' AS CAMPO, "&amp;"'${ref_date}' AS REF_DATE, COUNT(*) AS NUM_REG, SUM(IF(TRIM(CAST(X."&amp;F136&amp;" AS STRING)) IN ('0000-00-00','0001-01-01','9999-12-31','MISS','00000','99999999999','99999999999.00','99999999999.000000'),1,0)) AS NUM_REG_DIF,'"&amp;MAX('ID1&amp;5'!K:K)+1&amp;"' AS ID_EXEC, CURRENT_TIMESTAMP() AS TIME_EXEC FROM "&amp;I136,
IF(C136="Not applicable",+"SELECT '"&amp;UPPER(B136)&amp;"' AS TABELA, '"&amp;UPPER(C136)&amp;"' AS TIPOLOGIA_TESTE,'"&amp;D136&amp;"' AS TABELA_LT,'N/A' AS TABELA_SIMUL,'"&amp;F136&amp;"' AS CAMPO, "&amp;"'${ref_date}' AS REF_DATE, COUNT(*) AS NUM_REG, SUM(IF(TRIM(CAST(X."&amp;F136&amp;" AS STRING)) IN ('N/A','11111111111','11111111111.00','11111111111.000000','1111-11-11'),1,0)) AS NUM_REG_DIF,'"&amp;MAX('ID1&amp;5'!K:K)+1&amp;"' AS ID_EXEC, CURRENT_TIMESTAMP() AS TIME_EXEC FROM "&amp;I136,
IF(C136="Valores extremos",+"SELECT '"&amp;UPPER(B136)&amp;"' AS TABELA, '"&amp;UPPER(C136)&amp;"' AS TIPOLOGIA_TESTE,'"&amp;D136&amp;"' AS TABELA_LT,'N/A' AS TABELA_SIMUL,'"&amp;F136&amp;"' AS CAMPO, "&amp;"'${ref_date}' AS REF_DATE, CAST(MIN("&amp;F136&amp;") AS STRING) AS VALOR_MIN, CAST(MAX("&amp;F136&amp;") AS STRING) AS VALOR_MAX,'"&amp;MAX('ID1&amp;5'!K:K)+1&amp;"' AS ID_EXEC, CURRENT_TIMESTAMP() AS TIME_EXEC FROM "&amp;MID(I136,1,LEN(I136)-2)&amp;" AND CAST("&amp;F136&amp;"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TABELA_SIMUL,'prvsns_off_blnc_sht' AS CAMPO, '${ref_date}' AS REF_DATE, COUNT(*) AS NUM_REG, SUM(IF(COALESCE(CAST(X.prvsns_off_blnc_sht AS STRING),'')&lt;&gt;COALESCE(CAST(Y.prvsns_off_blnc_sht_SIMUL AS STRING),'') OR (X.prvsns_off_blnc_sht IS NULL AND Y.prvsns_off_blnc_sht_SIMUL IS NOT NULL ) OR (X.prvsns_off_blnc_sht IS NOT NULL AND Y.prvsns_off_blnc_sht_SIMUL IS NULL),1,0)) AS NUM_REG_DIF,'1' AS ID_EXEC, CURRENT_TIMESTAMP() AS TIME_EXEC FROM (SELECT instrmnt_id, prvsns_off_blnc_sht FROM BU_LOANTAPE_WORK.LT002_INSTRUMENT WHERE ref_date='${ref_date}' AND nome_perimetro='Individual Local' AND segmento='ESTR' AND ambito='SRB_MBDT' AND entidade='00100')X INNER JOIN (SELECT instrmnt_id AS instrmnt_id_SIMUL, prvsns_off_blnc_sht AS prvsns_off_blnc_sht_SIMUL FROM BU_LOANTAPE_WORK.SIMUL_LT002_INSTRUMENT WHERE ref_date='${ref_date}' AND nome_perimetro='Individual Local' AND segmento='ESTR' AND ambito='PILAR3' AND entidade='00100')Y ON X.INSTRMNT_ID=Y.INSTRMNT_ID_SIMUL</v>
      </c>
      <c r="M136" s="36" t="str">
        <f t="shared" si="5"/>
        <v>UNION ALL SELECT 'INSTRUMENT' AS TABELA, 'COERÊNCIA' AS TIPOLOGIA_TESTE,'BU_LOANTAPE_WORK.LT002_INSTRUMENT' AS TABELA_LT,'BU_LOANTAPE_WORK.SIMUL_LT002_INSTRUMENT' AS TABELA_SIMUL,'prvsns_off_blnc_sht' AS CAMPO, '${ref_date}' AS REF_DATE, COUNT(*) AS NUM_REG, SUM(IF(COALESCE(CAST(X.prvsns_off_blnc_sht AS STRING),'')&lt;&gt;COALESCE(CAST(Y.prvsns_off_blnc_sht_SIMUL AS STRING),'') OR (X.prvsns_off_blnc_sht IS NULL AND Y.prvsns_off_blnc_sht_SIMUL IS NOT NULL ) OR (X.prvsns_off_blnc_sht IS NOT NULL AND Y.prvsns_off_blnc_sht_SIMUL IS NULL),1,0)) AS NUM_REG_DIF,'1' AS ID_EXEC, CURRENT_TIMESTAMP() AS TIME_EXEC FROM (SELECT instrmnt_id, prvsns_off_blnc_sht FROM BU_LOANTAPE_WORK.LT002_INSTRUMENT WHERE ref_date='${ref_date}' AND nome_perimetro='Individual Local' AND segmento='ESTR' AND ambito='SRB_MBDT' AND entidade='00100')X INNER JOIN (SELECT instrmnt_id AS instrmnt_id_SIMUL, prvsns_off_blnc_sht AS prvsns_off_blnc_sht_SIMUL FROM BU_LOANTAPE_WORK.SIMUL_LT002_INSTRUMENT WHERE ref_date='${ref_date}' AND nome_perimetro='Individual Local' AND segmento='ESTR' AND ambito='PILAR3' AND entidade='00100')Y ON X.INSTRMNT_ID=Y.INSTRMNT_ID_SIMUL</v>
      </c>
      <c r="N136" s="38"/>
    </row>
    <row r="137" spans="2:14">
      <c r="B137" s="34" t="s">
        <v>117</v>
      </c>
      <c r="C137" s="34" t="s">
        <v>5</v>
      </c>
      <c r="D137" s="34" t="str">
        <f>+UPPER('0. Instruções'!$D$35&amp;"."&amp;VLOOKUP(B137,'0. Instruções'!$C$27:$D$32,2,FALSE))</f>
        <v>BU_LOANTAPE_WORK.LT002_INSTRUMENT</v>
      </c>
      <c r="E137" s="34" t="str">
        <f>+UPPER('0. Instruções'!$D$36&amp;"."&amp;VLOOKUP(B137,'0. Instruções'!$C$27:$E$32,3,FALSE))</f>
        <v>BU_LOANTAPE_WORK.SIMUL_LT002_INSTRUMENT</v>
      </c>
      <c r="F137" s="34" t="s">
        <v>1205</v>
      </c>
      <c r="G137" s="34"/>
      <c r="H137" s="34"/>
      <c r="I137" s="34" t="str">
        <f>"(SELECT "&amp;VLOOKUP(B137,'0. Instruções'!$C$27:$G$32,4,FALSE)&amp;", "&amp;F137&amp;" FROM "&amp;D137&amp;" WHERE "&amp;'0. Instruções'!$D$42&amp;")X"</f>
        <v>(SELECT instrmnt_id, pymnt_frqncy FROM BU_LOANTAPE_WORK.LT002_INSTRUMENT WHERE ref_date='${ref_date}' AND nome_perimetro='Individual Local' AND segmento='ESTR' AND ambito='SRB_MBDT' AND entidade='00100')X</v>
      </c>
      <c r="J137" s="34" t="str">
        <f>"(SELECT "&amp;VLOOKUP(B137,'0. Instruções'!$C$27:$G$32,4,FALSE)&amp;" AS "&amp;VLOOKUP(B137,'0. Instruções'!$C$27:$G$32,4,FALSE)&amp;"_SIMUL, "&amp;F137&amp;" AS "&amp;F137&amp;"_SIMUL FROM "&amp;E137&amp;" WHERE "&amp;'0. Instruções'!$D$43&amp;")Y"</f>
        <v>(SELECT instrmnt_id AS instrmnt_id_SIMUL, pymnt_frqncy AS pymnt_frqncy_SIMUL FROM BU_LOANTAPE_WORK.SIMUL_LT002_INSTRUMENT WHERE ref_date='${ref_date}' AND nome_perimetro='Individual Local' AND segmento='ESTR' AND ambito='PILAR3' AND entidade='00100')Y</v>
      </c>
      <c r="K137" s="35" t="str">
        <f>+UPPER("ON X."&amp;VLOOKUP(B137,'0. Instruções'!$C$27:$G$32,4,FALSE)&amp;"=Y."&amp;VLOOKUP(B137,'0. Instruções'!$C$27:$G$32,4,FALSE)&amp;"_SIMUL")</f>
        <v>ON X.INSTRMNT_ID=Y.INSTRMNT_ID_SIMUL</v>
      </c>
      <c r="L137" s="35" t="str">
        <f>+IF(C137="Coerência", +IF(LEFT(G137,5)="FLOAT","SELECT '"&amp;UPPER(B137)&amp;"' AS TABELA, '"&amp;UPPER(C137)&amp;"' AS TIPOLOGIA_TESTE,'"&amp;D137&amp;"' AS TABELA_LT,'"&amp;E137&amp;"' AS TABELA_SIMUL,'"&amp;F137&amp;"' AS CAMPO, "&amp;"'${ref_date}' AS REF_DATE, COUNT(*) AS NUM_REG, SUM(IF((ABS(COALESCE(CAST(X."&amp;F137&amp;" AS DECIMAL(18,6)),0)-COALESCE(CAST(Y."&amp;F137&amp;"_SIMUL AS DECIMAL(18,6)),0))&gt;0.000001) OR (X."&amp;F137&amp;" IS NULL AND Y."&amp;F137&amp;"_SIMUL IS NOT NULL ) OR (X."&amp;F137&amp;" IS NOT NULL AND Y."&amp;F137&amp;"_SIMUL IS NULL),1,0)) AS NUM_REG_DIF,'"&amp;MAX('ID1&amp;5'!K:K)+1&amp;"' AS ID_EXEC, CURRENT_TIMESTAMP() AS TIME_EXEC FROM "&amp;I137&amp;" INNER JOIN "&amp;J137&amp;" "&amp;K137,"SELECT '"&amp;UPPER(B137)&amp;"' AS TABELA, '"&amp;UPPER(C137)&amp;"' AS TIPOLOGIA_TESTE,'"&amp;D137&amp;"' AS TABELA_LT,'"&amp;E137&amp;"' AS TABELA_SIMUL,'"&amp;F137&amp;"' AS CAMPO, "&amp;"'${ref_date}' AS REF_DATE, COUNT(*) AS NUM_REG, SUM(IF(COALESCE(CAST(X."&amp;F137&amp;" AS STRING),'')&lt;&gt;COALESCE(CAST(Y."&amp;F137&amp;"_SIMUL AS STRING),'') OR (X."&amp;F137&amp;" IS NULL AND Y."&amp;F137&amp;"_SIMUL IS NOT NULL ) OR (X."&amp;F137&amp;" IS NOT NULL AND Y."&amp;F137&amp;"_SIMUL IS NULL),1,0)) AS NUM_REG_DIF,'"&amp;MAX('ID1&amp;5'!L:L)+1&amp;"' AS ID_EXEC, CURRENT_TIMESTAMP() AS TIME_EXEC FROM "&amp;I137&amp;" INNER JOIN "&amp;J137&amp;" "&amp;K137),
IF(C137="Validade",+IF(G137="Code List","SELECT '"&amp;UPPER(B137)&amp;"' AS TABELA, '"&amp;UPPER(C137)&amp;"' AS TIPOLOGIA_TESTE,'"&amp;D137&amp;"' AS TABELA_LT,'N/A' AS TABELA_SIMUL,'"&amp;F137&amp;"' AS CAMPO, "&amp;"'${ref_date}' AS REF_DATE, COUNT(*) AS NUM_REG, SUM(IF(TRIM(CAST(X."&amp;F137&amp;" AS STRING))='' OR TRIM(CAST(X."&amp;F137&amp;" AS STRING)) IS NULL OR CAST(X."&amp;F137&amp;" AS STRING) NOT "&amp;H137&amp;",1,0)) AS NUM_REG_DIF,'"&amp;MAX('ID1&amp;5'!K:K)+1&amp;"' AS ID_EXEC, CURRENT_TIMESTAMP() AS TIME_EXEC FROM "&amp;I137,"SELECT '"&amp;UPPER(B137)&amp;"' AS TABELA, '"&amp;UPPER(C137)&amp;"' AS TIPOLOGIA_TESTE,'"&amp;D137&amp;"' AS TABELA_LT,'N/A' AS TABELA_SIMUL,'"&amp;F137&amp;"' AS CAMPO, "&amp;"'${ref_date}' AS REF_DATE, COUNT(*) AS NUM_REG, SUM(IF(TRIM(CAST(X."&amp;F137&amp;" AS STRING))='' OR TRIM(CAST(X."&amp;F137&amp;" AS STRING)) IS NULL,1,0)) AS NUM_REG_DIF,'"&amp;MAX('ID1&amp;5'!K:K)+1&amp;"' AS ID_EXEC, CURRENT_TIMESTAMP() AS TIME_EXEC FROM "&amp;I137),
IF(C137="Caracteres Especiais",+"SELECT '"&amp;UPPER(B137)&amp;"' AS TABELA, '"&amp;UPPER(C137)&amp;"' AS TIPOLOGIA_TESTE,'"&amp;D137&amp;"' AS TABELA_LT,'N/A' AS TABELA_SIMUL,'"&amp;F137&amp;"' AS CAMPO, "&amp;"'${ref_date}' AS REF_DATE, COUNT(*) AS NUM_REG, SUM(IF(REGEXP_REPLACE(TRIM(CAST(X."&amp;F137&amp;" AS STRING)),'[^a-zA-Z0-9_\\s]','') &lt;&gt;TRIM(CAST(X."&amp;F137&amp;" AS STRING)),1,0)) AS NUM_REG_DIF,'"&amp;MAX('ID1&amp;5'!K:K)+1&amp;"' AS ID_EXEC, CURRENT_TIMESTAMP() AS TIME_EXEC FROM "&amp;I137,
IF(C137="Missings",+"SELECT '"&amp;UPPER(B137)&amp;"' AS TABELA, '"&amp;UPPER(C137)&amp;"' AS TIPOLOGIA_TESTE,'"&amp;D137&amp;"' AS TABELA_LT,'N/A' AS TABELA_SIMUL,'"&amp;F137&amp;"' AS CAMPO, "&amp;"'${ref_date}' AS REF_DATE, COUNT(*) AS NUM_REG, SUM(IF(TRIM(CAST(X."&amp;F137&amp;" AS STRING)) IN ('0000-00-00','0001-01-01','9999-12-31','MISS','00000','99999999999','99999999999.00','99999999999.000000'),1,0)) AS NUM_REG_DIF,'"&amp;MAX('ID1&amp;5'!K:K)+1&amp;"' AS ID_EXEC, CURRENT_TIMESTAMP() AS TIME_EXEC FROM "&amp;I137,
IF(C137="Not applicable",+"SELECT '"&amp;UPPER(B137)&amp;"' AS TABELA, '"&amp;UPPER(C137)&amp;"' AS TIPOLOGIA_TESTE,'"&amp;D137&amp;"' AS TABELA_LT,'N/A' AS TABELA_SIMUL,'"&amp;F137&amp;"' AS CAMPO, "&amp;"'${ref_date}' AS REF_DATE, COUNT(*) AS NUM_REG, SUM(IF(TRIM(CAST(X."&amp;F137&amp;" AS STRING)) IN ('N/A','11111111111','11111111111.00','11111111111.000000','1111-11-11'),1,0)) AS NUM_REG_DIF,'"&amp;MAX('ID1&amp;5'!K:K)+1&amp;"' AS ID_EXEC, CURRENT_TIMESTAMP() AS TIME_EXEC FROM "&amp;I137,
IF(C137="Valores extremos",+"SELECT '"&amp;UPPER(B137)&amp;"' AS TABELA, '"&amp;UPPER(C137)&amp;"' AS TIPOLOGIA_TESTE,'"&amp;D137&amp;"' AS TABELA_LT,'N/A' AS TABELA_SIMUL,'"&amp;F137&amp;"' AS CAMPO, "&amp;"'${ref_date}' AS REF_DATE, CAST(MIN("&amp;F137&amp;") AS STRING) AS VALOR_MIN, CAST(MAX("&amp;F137&amp;") AS STRING) AS VALOR_MAX,'"&amp;MAX('ID1&amp;5'!K:K)+1&amp;"' AS ID_EXEC, CURRENT_TIMESTAMP() AS TIME_EXEC FROM "&amp;MID(I137,1,LEN(I137)-2)&amp;" AND CAST("&amp;F137&amp;"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TABELA_SIMUL,'pymnt_frqncy' AS CAMPO, '${ref_date}' AS REF_DATE, COUNT(*) AS NUM_REG, SUM(IF(COALESCE(CAST(X.pymnt_frqncy AS STRING),'')&lt;&gt;COALESCE(CAST(Y.pymnt_frqncy_SIMUL AS STRING),'') OR (X.pymnt_frqncy IS NULL AND Y.pymnt_frqncy_SIMUL IS NOT NULL ) OR (X.pymnt_frqncy IS NOT NULL AND Y.pymnt_frqncy_SIMUL IS NULL),1,0)) AS NUM_REG_DIF,'1' AS ID_EXEC, CURRENT_TIMESTAMP() AS TIME_EXEC FROM (SELECT instrmnt_id, pymnt_frqncy FROM BU_LOANTAPE_WORK.LT002_INSTRUMENT WHERE ref_date='${ref_date}' AND nome_perimetro='Individual Local' AND segmento='ESTR' AND ambito='SRB_MBDT' AND entidade='00100')X INNER JOIN (SELECT instrmnt_id AS instrmnt_id_SIMUL, pymnt_frqncy AS pymnt_frqncy_SIMUL FROM BU_LOANTAPE_WORK.SIMUL_LT002_INSTRUMENT WHERE ref_date='${ref_date}' AND nome_perimetro='Individual Local' AND segmento='ESTR' AND ambito='PILAR3' AND entidade='00100')Y ON X.INSTRMNT_ID=Y.INSTRMNT_ID_SIMUL</v>
      </c>
      <c r="M137" s="36" t="str">
        <f t="shared" si="5"/>
        <v>UNION ALL SELECT 'INSTRUMENT' AS TABELA, 'COERÊNCIA' AS TIPOLOGIA_TESTE,'BU_LOANTAPE_WORK.LT002_INSTRUMENT' AS TABELA_LT,'BU_LOANTAPE_WORK.SIMUL_LT002_INSTRUMENT' AS TABELA_SIMUL,'pymnt_frqncy' AS CAMPO, '${ref_date}' AS REF_DATE, COUNT(*) AS NUM_REG, SUM(IF(COALESCE(CAST(X.pymnt_frqncy AS STRING),'')&lt;&gt;COALESCE(CAST(Y.pymnt_frqncy_SIMUL AS STRING),'') OR (X.pymnt_frqncy IS NULL AND Y.pymnt_frqncy_SIMUL IS NOT NULL ) OR (X.pymnt_frqncy IS NOT NULL AND Y.pymnt_frqncy_SIMUL IS NULL),1,0)) AS NUM_REG_DIF,'1' AS ID_EXEC, CURRENT_TIMESTAMP() AS TIME_EXEC FROM (SELECT instrmnt_id, pymnt_frqncy FROM BU_LOANTAPE_WORK.LT002_INSTRUMENT WHERE ref_date='${ref_date}' AND nome_perimetro='Individual Local' AND segmento='ESTR' AND ambito='SRB_MBDT' AND entidade='00100')X INNER JOIN (SELECT instrmnt_id AS instrmnt_id_SIMUL, pymnt_frqncy AS pymnt_frqncy_SIMUL FROM BU_LOANTAPE_WORK.SIMUL_LT002_INSTRUMENT WHERE ref_date='${ref_date}' AND nome_perimetro='Individual Local' AND segmento='ESTR' AND ambito='PILAR3' AND entidade='00100')Y ON X.INSTRMNT_ID=Y.INSTRMNT_ID_SIMUL</v>
      </c>
      <c r="N137" s="38"/>
    </row>
    <row r="138" spans="2:14">
      <c r="B138" s="34" t="s">
        <v>117</v>
      </c>
      <c r="C138" s="34" t="s">
        <v>5</v>
      </c>
      <c r="D138" s="34" t="str">
        <f>+UPPER('0. Instruções'!$D$35&amp;"."&amp;VLOOKUP(B138,'0. Instruções'!$C$27:$D$32,2,FALSE))</f>
        <v>BU_LOANTAPE_WORK.LT002_INSTRUMENT</v>
      </c>
      <c r="E138" s="34" t="str">
        <f>+UPPER('0. Instruções'!$D$36&amp;"."&amp;VLOOKUP(B138,'0. Instruções'!$C$27:$E$32,3,FALSE))</f>
        <v>BU_LOANTAPE_WORK.SIMUL_LT002_INSTRUMENT</v>
      </c>
      <c r="F138" s="34" t="s">
        <v>1206</v>
      </c>
      <c r="G138" s="34"/>
      <c r="H138" s="34"/>
      <c r="I138" s="34" t="str">
        <f>"(SELECT "&amp;VLOOKUP(B138,'0. Instruções'!$C$27:$G$32,4,FALSE)&amp;", "&amp;F138&amp;" FROM "&amp;D138&amp;" WHERE "&amp;'0. Instruções'!$D$42&amp;")X"</f>
        <v>(SELECT instrmnt_id, rtntn_shr FROM BU_LOANTAPE_WORK.LT002_INSTRUMENT WHERE ref_date='${ref_date}' AND nome_perimetro='Individual Local' AND segmento='ESTR' AND ambito='SRB_MBDT' AND entidade='00100')X</v>
      </c>
      <c r="J138" s="34" t="str">
        <f>"(SELECT "&amp;VLOOKUP(B138,'0. Instruções'!$C$27:$G$32,4,FALSE)&amp;" AS "&amp;VLOOKUP(B138,'0. Instruções'!$C$27:$G$32,4,FALSE)&amp;"_SIMUL, "&amp;F138&amp;" AS "&amp;F138&amp;"_SIMUL FROM "&amp;E138&amp;" WHERE "&amp;'0. Instruções'!$D$43&amp;")Y"</f>
        <v>(SELECT instrmnt_id AS instrmnt_id_SIMUL, rtntn_shr AS rtntn_shr_SIMUL FROM BU_LOANTAPE_WORK.SIMUL_LT002_INSTRUMENT WHERE ref_date='${ref_date}' AND nome_perimetro='Individual Local' AND segmento='ESTR' AND ambito='PILAR3' AND entidade='00100')Y</v>
      </c>
      <c r="K138" s="35" t="str">
        <f>+UPPER("ON X."&amp;VLOOKUP(B138,'0. Instruções'!$C$27:$G$32,4,FALSE)&amp;"=Y."&amp;VLOOKUP(B138,'0. Instruções'!$C$27:$G$32,4,FALSE)&amp;"_SIMUL")</f>
        <v>ON X.INSTRMNT_ID=Y.INSTRMNT_ID_SIMUL</v>
      </c>
      <c r="L138" s="35" t="str">
        <f>+IF(C138="Coerência", +IF(LEFT(G138,5)="FLOAT","SELECT '"&amp;UPPER(B138)&amp;"' AS TABELA, '"&amp;UPPER(C138)&amp;"' AS TIPOLOGIA_TESTE,'"&amp;D138&amp;"' AS TABELA_LT,'"&amp;E138&amp;"' AS TABELA_SIMUL,'"&amp;F138&amp;"' AS CAMPO, "&amp;"'${ref_date}' AS REF_DATE, COUNT(*) AS NUM_REG, SUM(IF((ABS(COALESCE(CAST(X."&amp;F138&amp;" AS DECIMAL(18,6)),0)-COALESCE(CAST(Y."&amp;F138&amp;"_SIMUL AS DECIMAL(18,6)),0))&gt;0.000001) OR (X."&amp;F138&amp;" IS NULL AND Y."&amp;F138&amp;"_SIMUL IS NOT NULL ) OR (X."&amp;F138&amp;" IS NOT NULL AND Y."&amp;F138&amp;"_SIMUL IS NULL),1,0)) AS NUM_REG_DIF,'"&amp;MAX('ID1&amp;5'!K:K)+1&amp;"' AS ID_EXEC, CURRENT_TIMESTAMP() AS TIME_EXEC FROM "&amp;I138&amp;" INNER JOIN "&amp;J138&amp;" "&amp;K138,"SELECT '"&amp;UPPER(B138)&amp;"' AS TABELA, '"&amp;UPPER(C138)&amp;"' AS TIPOLOGIA_TESTE,'"&amp;D138&amp;"' AS TABELA_LT,'"&amp;E138&amp;"' AS TABELA_SIMUL,'"&amp;F138&amp;"' AS CAMPO, "&amp;"'${ref_date}' AS REF_DATE, COUNT(*) AS NUM_REG, SUM(IF(COALESCE(CAST(X."&amp;F138&amp;" AS STRING),'')&lt;&gt;COALESCE(CAST(Y."&amp;F138&amp;"_SIMUL AS STRING),'') OR (X."&amp;F138&amp;" IS NULL AND Y."&amp;F138&amp;"_SIMUL IS NOT NULL ) OR (X."&amp;F138&amp;" IS NOT NULL AND Y."&amp;F138&amp;"_SIMUL IS NULL),1,0)) AS NUM_REG_DIF,'"&amp;MAX('ID1&amp;5'!L:L)+1&amp;"' AS ID_EXEC, CURRENT_TIMESTAMP() AS TIME_EXEC FROM "&amp;I138&amp;" INNER JOIN "&amp;J138&amp;" "&amp;K138),
IF(C138="Validade",+IF(G138="Code List","SELECT '"&amp;UPPER(B138)&amp;"' AS TABELA, '"&amp;UPPER(C138)&amp;"' AS TIPOLOGIA_TESTE,'"&amp;D138&amp;"' AS TABELA_LT,'N/A' AS TABELA_SIMUL,'"&amp;F138&amp;"' AS CAMPO, "&amp;"'${ref_date}' AS REF_DATE, COUNT(*) AS NUM_REG, SUM(IF(TRIM(CAST(X."&amp;F138&amp;" AS STRING))='' OR TRIM(CAST(X."&amp;F138&amp;" AS STRING)) IS NULL OR CAST(X."&amp;F138&amp;" AS STRING) NOT "&amp;H138&amp;",1,0)) AS NUM_REG_DIF,'"&amp;MAX('ID1&amp;5'!K:K)+1&amp;"' AS ID_EXEC, CURRENT_TIMESTAMP() AS TIME_EXEC FROM "&amp;I138,"SELECT '"&amp;UPPER(B138)&amp;"' AS TABELA, '"&amp;UPPER(C138)&amp;"' AS TIPOLOGIA_TESTE,'"&amp;D138&amp;"' AS TABELA_LT,'N/A' AS TABELA_SIMUL,'"&amp;F138&amp;"' AS CAMPO, "&amp;"'${ref_date}' AS REF_DATE, COUNT(*) AS NUM_REG, SUM(IF(TRIM(CAST(X."&amp;F138&amp;" AS STRING))='' OR TRIM(CAST(X."&amp;F138&amp;" AS STRING)) IS NULL,1,0)) AS NUM_REG_DIF,'"&amp;MAX('ID1&amp;5'!K:K)+1&amp;"' AS ID_EXEC, CURRENT_TIMESTAMP() AS TIME_EXEC FROM "&amp;I138),
IF(C138="Caracteres Especiais",+"SELECT '"&amp;UPPER(B138)&amp;"' AS TABELA, '"&amp;UPPER(C138)&amp;"' AS TIPOLOGIA_TESTE,'"&amp;D138&amp;"' AS TABELA_LT,'N/A' AS TABELA_SIMUL,'"&amp;F138&amp;"' AS CAMPO, "&amp;"'${ref_date}' AS REF_DATE, COUNT(*) AS NUM_REG, SUM(IF(REGEXP_REPLACE(TRIM(CAST(X."&amp;F138&amp;" AS STRING)),'[^a-zA-Z0-9_\\s]','') &lt;&gt;TRIM(CAST(X."&amp;F138&amp;" AS STRING)),1,0)) AS NUM_REG_DIF,'"&amp;MAX('ID1&amp;5'!K:K)+1&amp;"' AS ID_EXEC, CURRENT_TIMESTAMP() AS TIME_EXEC FROM "&amp;I138,
IF(C138="Missings",+"SELECT '"&amp;UPPER(B138)&amp;"' AS TABELA, '"&amp;UPPER(C138)&amp;"' AS TIPOLOGIA_TESTE,'"&amp;D138&amp;"' AS TABELA_LT,'N/A' AS TABELA_SIMUL,'"&amp;F138&amp;"' AS CAMPO, "&amp;"'${ref_date}' AS REF_DATE, COUNT(*) AS NUM_REG, SUM(IF(TRIM(CAST(X."&amp;F138&amp;" AS STRING)) IN ('0000-00-00','0001-01-01','9999-12-31','MISS','00000','99999999999','99999999999.00','99999999999.000000'),1,0)) AS NUM_REG_DIF,'"&amp;MAX('ID1&amp;5'!K:K)+1&amp;"' AS ID_EXEC, CURRENT_TIMESTAMP() AS TIME_EXEC FROM "&amp;I138,
IF(C138="Not applicable",+"SELECT '"&amp;UPPER(B138)&amp;"' AS TABELA, '"&amp;UPPER(C138)&amp;"' AS TIPOLOGIA_TESTE,'"&amp;D138&amp;"' AS TABELA_LT,'N/A' AS TABELA_SIMUL,'"&amp;F138&amp;"' AS CAMPO, "&amp;"'${ref_date}' AS REF_DATE, COUNT(*) AS NUM_REG, SUM(IF(TRIM(CAST(X."&amp;F138&amp;" AS STRING)) IN ('N/A','11111111111','11111111111.00','11111111111.000000','1111-11-11'),1,0)) AS NUM_REG_DIF,'"&amp;MAX('ID1&amp;5'!K:K)+1&amp;"' AS ID_EXEC, CURRENT_TIMESTAMP() AS TIME_EXEC FROM "&amp;I138,
IF(C138="Valores extremos",+"SELECT '"&amp;UPPER(B138)&amp;"' AS TABELA, '"&amp;UPPER(C138)&amp;"' AS TIPOLOGIA_TESTE,'"&amp;D138&amp;"' AS TABELA_LT,'N/A' AS TABELA_SIMUL,'"&amp;F138&amp;"' AS CAMPO, "&amp;"'${ref_date}' AS REF_DATE, CAST(MIN("&amp;F138&amp;") AS STRING) AS VALOR_MIN, CAST(MAX("&amp;F138&amp;") AS STRING) AS VALOR_MAX,'"&amp;MAX('ID1&amp;5'!K:K)+1&amp;"' AS ID_EXEC, CURRENT_TIMESTAMP() AS TIME_EXEC FROM "&amp;MID(I138,1,LEN(I138)-2)&amp;" AND CAST("&amp;F138&amp;"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TABELA_SIMUL,'rtntn_shr' AS CAMPO, '${ref_date}' AS REF_DATE, COUNT(*) AS NUM_REG, SUM(IF(COALESCE(CAST(X.rtntn_shr AS STRING),'')&lt;&gt;COALESCE(CAST(Y.rtntn_shr_SIMUL AS STRING),'') OR (X.rtntn_shr IS NULL AND Y.rtntn_shr_SIMUL IS NOT NULL ) OR (X.rtntn_shr IS NOT NULL AND Y.rtntn_shr_SIMUL IS NULL),1,0)) AS NUM_REG_DIF,'1' AS ID_EXEC, CURRENT_TIMESTAMP() AS TIME_EXEC FROM (SELECT instrmnt_id, rtntn_shr FROM BU_LOANTAPE_WORK.LT002_INSTRUMENT WHERE ref_date='${ref_date}' AND nome_perimetro='Individual Local' AND segmento='ESTR' AND ambito='SRB_MBDT' AND entidade='00100')X INNER JOIN (SELECT instrmnt_id AS instrmnt_id_SIMUL, rtntn_shr AS rtntn_shr_SIMUL FROM BU_LOANTAPE_WORK.SIMUL_LT002_INSTRUMENT WHERE ref_date='${ref_date}' AND nome_perimetro='Individual Local' AND segmento='ESTR' AND ambito='PILAR3' AND entidade='00100')Y ON X.INSTRMNT_ID=Y.INSTRMNT_ID_SIMUL</v>
      </c>
      <c r="M138" s="36" t="str">
        <f t="shared" si="5"/>
        <v>UNION ALL SELECT 'INSTRUMENT' AS TABELA, 'COERÊNCIA' AS TIPOLOGIA_TESTE,'BU_LOANTAPE_WORK.LT002_INSTRUMENT' AS TABELA_LT,'BU_LOANTAPE_WORK.SIMUL_LT002_INSTRUMENT' AS TABELA_SIMUL,'rtntn_shr' AS CAMPO, '${ref_date}' AS REF_DATE, COUNT(*) AS NUM_REG, SUM(IF(COALESCE(CAST(X.rtntn_shr AS STRING),'')&lt;&gt;COALESCE(CAST(Y.rtntn_shr_SIMUL AS STRING),'') OR (X.rtntn_shr IS NULL AND Y.rtntn_shr_SIMUL IS NOT NULL ) OR (X.rtntn_shr IS NOT NULL AND Y.rtntn_shr_SIMUL IS NULL),1,0)) AS NUM_REG_DIF,'1' AS ID_EXEC, CURRENT_TIMESTAMP() AS TIME_EXEC FROM (SELECT instrmnt_id, rtntn_shr FROM BU_LOANTAPE_WORK.LT002_INSTRUMENT WHERE ref_date='${ref_date}' AND nome_perimetro='Individual Local' AND segmento='ESTR' AND ambito='SRB_MBDT' AND entidade='00100')X INNER JOIN (SELECT instrmnt_id AS instrmnt_id_SIMUL, rtntn_shr AS rtntn_shr_SIMUL FROM BU_LOANTAPE_WORK.SIMUL_LT002_INSTRUMENT WHERE ref_date='${ref_date}' AND nome_perimetro='Individual Local' AND segmento='ESTR' AND ambito='PILAR3' AND entidade='00100')Y ON X.INSTRMNT_ID=Y.INSTRMNT_ID_SIMUL</v>
      </c>
      <c r="N138" s="38"/>
    </row>
    <row r="139" spans="2:14">
      <c r="B139" s="34" t="s">
        <v>117</v>
      </c>
      <c r="C139" s="34" t="s">
        <v>5</v>
      </c>
      <c r="D139" s="34" t="str">
        <f>+UPPER('0. Instruções'!$D$35&amp;"."&amp;VLOOKUP(B139,'0. Instruções'!$C$27:$D$32,2,FALSE))</f>
        <v>BU_LOANTAPE_WORK.LT002_INSTRUMENT</v>
      </c>
      <c r="E139" s="34" t="str">
        <f>+UPPER('0. Instruções'!$D$36&amp;"."&amp;VLOOKUP(B139,'0. Instruções'!$C$27:$E$32,3,FALSE))</f>
        <v>BU_LOANTAPE_WORK.SIMUL_LT002_INSTRUMENT</v>
      </c>
      <c r="F139" s="34" t="s">
        <v>1207</v>
      </c>
      <c r="G139" s="34"/>
      <c r="H139" s="34"/>
      <c r="I139" s="34" t="str">
        <f>"(SELECT "&amp;VLOOKUP(B139,'0. Instruções'!$C$27:$G$32,4,FALSE)&amp;", "&amp;F139&amp;" FROM "&amp;D139&amp;" WHERE "&amp;'0. Instruções'!$D$42&amp;")X"</f>
        <v>(SELECT instrmnt_id, rwa FROM BU_LOANTAPE_WORK.LT002_INSTRUMENT WHERE ref_date='${ref_date}' AND nome_perimetro='Individual Local' AND segmento='ESTR' AND ambito='SRB_MBDT' AND entidade='00100')X</v>
      </c>
      <c r="J139" s="34" t="str">
        <f>"(SELECT "&amp;VLOOKUP(B139,'0. Instruções'!$C$27:$G$32,4,FALSE)&amp;" AS "&amp;VLOOKUP(B139,'0. Instruções'!$C$27:$G$32,4,FALSE)&amp;"_SIMUL, "&amp;F139&amp;" AS "&amp;F139&amp;"_SIMUL FROM "&amp;E139&amp;" WHERE "&amp;'0. Instruções'!$D$43&amp;")Y"</f>
        <v>(SELECT instrmnt_id AS instrmnt_id_SIMUL, rwa AS rwa_SIMUL FROM BU_LOANTAPE_WORK.SIMUL_LT002_INSTRUMENT WHERE ref_date='${ref_date}' AND nome_perimetro='Individual Local' AND segmento='ESTR' AND ambito='PILAR3' AND entidade='00100')Y</v>
      </c>
      <c r="K139" s="35" t="str">
        <f>+UPPER("ON X."&amp;VLOOKUP(B139,'0. Instruções'!$C$27:$G$32,4,FALSE)&amp;"=Y."&amp;VLOOKUP(B139,'0. Instruções'!$C$27:$G$32,4,FALSE)&amp;"_SIMUL")</f>
        <v>ON X.INSTRMNT_ID=Y.INSTRMNT_ID_SIMUL</v>
      </c>
      <c r="L139" s="35" t="str">
        <f>+IF(C139="Coerência", +IF(LEFT(G139,5)="FLOAT","SELECT '"&amp;UPPER(B139)&amp;"' AS TABELA, '"&amp;UPPER(C139)&amp;"' AS TIPOLOGIA_TESTE,'"&amp;D139&amp;"' AS TABELA_LT,'"&amp;E139&amp;"' AS TABELA_SIMUL,'"&amp;F139&amp;"' AS CAMPO, "&amp;"'${ref_date}' AS REF_DATE, COUNT(*) AS NUM_REG, SUM(IF((ABS(COALESCE(CAST(X."&amp;F139&amp;" AS DECIMAL(18,6)),0)-COALESCE(CAST(Y."&amp;F139&amp;"_SIMUL AS DECIMAL(18,6)),0))&gt;0.000001) OR (X."&amp;F139&amp;" IS NULL AND Y."&amp;F139&amp;"_SIMUL IS NOT NULL ) OR (X."&amp;F139&amp;" IS NOT NULL AND Y."&amp;F139&amp;"_SIMUL IS NULL),1,0)) AS NUM_REG_DIF,'"&amp;MAX('ID1&amp;5'!K:K)+1&amp;"' AS ID_EXEC, CURRENT_TIMESTAMP() AS TIME_EXEC FROM "&amp;I139&amp;" INNER JOIN "&amp;J139&amp;" "&amp;K139,"SELECT '"&amp;UPPER(B139)&amp;"' AS TABELA, '"&amp;UPPER(C139)&amp;"' AS TIPOLOGIA_TESTE,'"&amp;D139&amp;"' AS TABELA_LT,'"&amp;E139&amp;"' AS TABELA_SIMUL,'"&amp;F139&amp;"' AS CAMPO, "&amp;"'${ref_date}' AS REF_DATE, COUNT(*) AS NUM_REG, SUM(IF(COALESCE(CAST(X."&amp;F139&amp;" AS STRING),'')&lt;&gt;COALESCE(CAST(Y."&amp;F139&amp;"_SIMUL AS STRING),'') OR (X."&amp;F139&amp;" IS NULL AND Y."&amp;F139&amp;"_SIMUL IS NOT NULL ) OR (X."&amp;F139&amp;" IS NOT NULL AND Y."&amp;F139&amp;"_SIMUL IS NULL),1,0)) AS NUM_REG_DIF,'"&amp;MAX('ID1&amp;5'!L:L)+1&amp;"' AS ID_EXEC, CURRENT_TIMESTAMP() AS TIME_EXEC FROM "&amp;I139&amp;" INNER JOIN "&amp;J139&amp;" "&amp;K139),
IF(C139="Validade",+IF(G139="Code List","SELECT '"&amp;UPPER(B139)&amp;"' AS TABELA, '"&amp;UPPER(C139)&amp;"' AS TIPOLOGIA_TESTE,'"&amp;D139&amp;"' AS TABELA_LT,'N/A' AS TABELA_SIMUL,'"&amp;F139&amp;"' AS CAMPO, "&amp;"'${ref_date}' AS REF_DATE, COUNT(*) AS NUM_REG, SUM(IF(TRIM(CAST(X."&amp;F139&amp;" AS STRING))='' OR TRIM(CAST(X."&amp;F139&amp;" AS STRING)) IS NULL OR CAST(X."&amp;F139&amp;" AS STRING) NOT "&amp;H139&amp;",1,0)) AS NUM_REG_DIF,'"&amp;MAX('ID1&amp;5'!K:K)+1&amp;"' AS ID_EXEC, CURRENT_TIMESTAMP() AS TIME_EXEC FROM "&amp;I139,"SELECT '"&amp;UPPER(B139)&amp;"' AS TABELA, '"&amp;UPPER(C139)&amp;"' AS TIPOLOGIA_TESTE,'"&amp;D139&amp;"' AS TABELA_LT,'N/A' AS TABELA_SIMUL,'"&amp;F139&amp;"' AS CAMPO, "&amp;"'${ref_date}' AS REF_DATE, COUNT(*) AS NUM_REG, SUM(IF(TRIM(CAST(X."&amp;F139&amp;" AS STRING))='' OR TRIM(CAST(X."&amp;F139&amp;" AS STRING)) IS NULL,1,0)) AS NUM_REG_DIF,'"&amp;MAX('ID1&amp;5'!K:K)+1&amp;"' AS ID_EXEC, CURRENT_TIMESTAMP() AS TIME_EXEC FROM "&amp;I139),
IF(C139="Caracteres Especiais",+"SELECT '"&amp;UPPER(B139)&amp;"' AS TABELA, '"&amp;UPPER(C139)&amp;"' AS TIPOLOGIA_TESTE,'"&amp;D139&amp;"' AS TABELA_LT,'N/A' AS TABELA_SIMUL,'"&amp;F139&amp;"' AS CAMPO, "&amp;"'${ref_date}' AS REF_DATE, COUNT(*) AS NUM_REG, SUM(IF(REGEXP_REPLACE(TRIM(CAST(X."&amp;F139&amp;" AS STRING)),'[^a-zA-Z0-9_\\s]','') &lt;&gt;TRIM(CAST(X."&amp;F139&amp;" AS STRING)),1,0)) AS NUM_REG_DIF,'"&amp;MAX('ID1&amp;5'!K:K)+1&amp;"' AS ID_EXEC, CURRENT_TIMESTAMP() AS TIME_EXEC FROM "&amp;I139,
IF(C139="Missings",+"SELECT '"&amp;UPPER(B139)&amp;"' AS TABELA, '"&amp;UPPER(C139)&amp;"' AS TIPOLOGIA_TESTE,'"&amp;D139&amp;"' AS TABELA_LT,'N/A' AS TABELA_SIMUL,'"&amp;F139&amp;"' AS CAMPO, "&amp;"'${ref_date}' AS REF_DATE, COUNT(*) AS NUM_REG, SUM(IF(TRIM(CAST(X."&amp;F139&amp;" AS STRING)) IN ('0000-00-00','0001-01-01','9999-12-31','MISS','00000','99999999999','99999999999.00','99999999999.000000'),1,0)) AS NUM_REG_DIF,'"&amp;MAX('ID1&amp;5'!K:K)+1&amp;"' AS ID_EXEC, CURRENT_TIMESTAMP() AS TIME_EXEC FROM "&amp;I139,
IF(C139="Not applicable",+"SELECT '"&amp;UPPER(B139)&amp;"' AS TABELA, '"&amp;UPPER(C139)&amp;"' AS TIPOLOGIA_TESTE,'"&amp;D139&amp;"' AS TABELA_LT,'N/A' AS TABELA_SIMUL,'"&amp;F139&amp;"' AS CAMPO, "&amp;"'${ref_date}' AS REF_DATE, COUNT(*) AS NUM_REG, SUM(IF(TRIM(CAST(X."&amp;F139&amp;" AS STRING)) IN ('N/A','11111111111','11111111111.00','11111111111.000000','1111-11-11'),1,0)) AS NUM_REG_DIF,'"&amp;MAX('ID1&amp;5'!K:K)+1&amp;"' AS ID_EXEC, CURRENT_TIMESTAMP() AS TIME_EXEC FROM "&amp;I139,
IF(C139="Valores extremos",+"SELECT '"&amp;UPPER(B139)&amp;"' AS TABELA, '"&amp;UPPER(C139)&amp;"' AS TIPOLOGIA_TESTE,'"&amp;D139&amp;"' AS TABELA_LT,'N/A' AS TABELA_SIMUL,'"&amp;F139&amp;"' AS CAMPO, "&amp;"'${ref_date}' AS REF_DATE, CAST(MIN("&amp;F139&amp;") AS STRING) AS VALOR_MIN, CAST(MAX("&amp;F139&amp;") AS STRING) AS VALOR_MAX,'"&amp;MAX('ID1&amp;5'!K:K)+1&amp;"' AS ID_EXEC, CURRENT_TIMESTAMP() AS TIME_EXEC FROM "&amp;MID(I139,1,LEN(I139)-2)&amp;" AND CAST("&amp;F139&amp;"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TABELA_SIMUL,'rwa' AS CAMPO, '${ref_date}' AS REF_DATE, COUNT(*) AS NUM_REG, SUM(IF(COALESCE(CAST(X.rwa AS STRING),'')&lt;&gt;COALESCE(CAST(Y.rwa_SIMUL AS STRING),'') OR (X.rwa IS NULL AND Y.rwa_SIMUL IS NOT NULL ) OR (X.rwa IS NOT NULL AND Y.rwa_SIMUL IS NULL),1,0)) AS NUM_REG_DIF,'1' AS ID_EXEC, CURRENT_TIMESTAMP() AS TIME_EXEC FROM (SELECT instrmnt_id, rwa FROM BU_LOANTAPE_WORK.LT002_INSTRUMENT WHERE ref_date='${ref_date}' AND nome_perimetro='Individual Local' AND segmento='ESTR' AND ambito='SRB_MBDT' AND entidade='00100')X INNER JOIN (SELECT instrmnt_id AS instrmnt_id_SIMUL, rwa AS rwa_SIMUL FROM BU_LOANTAPE_WORK.SIMUL_LT002_INSTRUMENT WHERE ref_date='${ref_date}' AND nome_perimetro='Individual Local' AND segmento='ESTR' AND ambito='PILAR3' AND entidade='00100')Y ON X.INSTRMNT_ID=Y.INSTRMNT_ID_SIMUL</v>
      </c>
      <c r="M139" s="36" t="str">
        <f t="shared" si="5"/>
        <v>UNION ALL SELECT 'INSTRUMENT' AS TABELA, 'COERÊNCIA' AS TIPOLOGIA_TESTE,'BU_LOANTAPE_WORK.LT002_INSTRUMENT' AS TABELA_LT,'BU_LOANTAPE_WORK.SIMUL_LT002_INSTRUMENT' AS TABELA_SIMUL,'rwa' AS CAMPO, '${ref_date}' AS REF_DATE, COUNT(*) AS NUM_REG, SUM(IF(COALESCE(CAST(X.rwa AS STRING),'')&lt;&gt;COALESCE(CAST(Y.rwa_SIMUL AS STRING),'') OR (X.rwa IS NULL AND Y.rwa_SIMUL IS NOT NULL ) OR (X.rwa IS NOT NULL AND Y.rwa_SIMUL IS NULL),1,0)) AS NUM_REG_DIF,'1' AS ID_EXEC, CURRENT_TIMESTAMP() AS TIME_EXEC FROM (SELECT instrmnt_id, rwa FROM BU_LOANTAPE_WORK.LT002_INSTRUMENT WHERE ref_date='${ref_date}' AND nome_perimetro='Individual Local' AND segmento='ESTR' AND ambito='SRB_MBDT' AND entidade='00100')X INNER JOIN (SELECT instrmnt_id AS instrmnt_id_SIMUL, rwa AS rwa_SIMUL FROM BU_LOANTAPE_WORK.SIMUL_LT002_INSTRUMENT WHERE ref_date='${ref_date}' AND nome_perimetro='Individual Local' AND segmento='ESTR' AND ambito='PILAR3' AND entidade='00100')Y ON X.INSTRMNT_ID=Y.INSTRMNT_ID_SIMUL</v>
      </c>
      <c r="N139" s="38"/>
    </row>
    <row r="140" spans="2:14">
      <c r="B140" s="34" t="s">
        <v>117</v>
      </c>
      <c r="C140" s="34" t="s">
        <v>5</v>
      </c>
      <c r="D140" s="34" t="str">
        <f>+UPPER('0. Instruções'!$D$35&amp;"."&amp;VLOOKUP(B140,'0. Instruções'!$C$27:$D$32,2,FALSE))</f>
        <v>BU_LOANTAPE_WORK.LT002_INSTRUMENT</v>
      </c>
      <c r="E140" s="34" t="str">
        <f>+UPPER('0. Instruções'!$D$36&amp;"."&amp;VLOOKUP(B140,'0. Instruções'!$C$27:$E$32,3,FALSE))</f>
        <v>BU_LOANTAPE_WORK.SIMUL_LT002_INSTRUMENT</v>
      </c>
      <c r="F140" s="34" t="s">
        <v>1208</v>
      </c>
      <c r="G140" s="34"/>
      <c r="H140" s="34"/>
      <c r="I140" s="34" t="str">
        <f>"(SELECT "&amp;VLOOKUP(B140,'0. Instruções'!$C$27:$G$32,4,FALSE)&amp;", "&amp;F140&amp;" FROM "&amp;D140&amp;" WHERE "&amp;'0. Instruções'!$D$42&amp;")X"</f>
        <v>(SELECT instrmnt_id, rwa_mthd FROM BU_LOANTAPE_WORK.LT002_INSTRUMENT WHERE ref_date='${ref_date}' AND nome_perimetro='Individual Local' AND segmento='ESTR' AND ambito='SRB_MBDT' AND entidade='00100')X</v>
      </c>
      <c r="J140" s="34" t="str">
        <f>"(SELECT "&amp;VLOOKUP(B140,'0. Instruções'!$C$27:$G$32,4,FALSE)&amp;" AS "&amp;VLOOKUP(B140,'0. Instruções'!$C$27:$G$32,4,FALSE)&amp;"_SIMUL, "&amp;F140&amp;" AS "&amp;F140&amp;"_SIMUL FROM "&amp;E140&amp;" WHERE "&amp;'0. Instruções'!$D$43&amp;")Y"</f>
        <v>(SELECT instrmnt_id AS instrmnt_id_SIMUL, rwa_mthd AS rwa_mthd_SIMUL FROM BU_LOANTAPE_WORK.SIMUL_LT002_INSTRUMENT WHERE ref_date='${ref_date}' AND nome_perimetro='Individual Local' AND segmento='ESTR' AND ambito='PILAR3' AND entidade='00100')Y</v>
      </c>
      <c r="K140" s="35" t="str">
        <f>+UPPER("ON X."&amp;VLOOKUP(B140,'0. Instruções'!$C$27:$G$32,4,FALSE)&amp;"=Y."&amp;VLOOKUP(B140,'0. Instruções'!$C$27:$G$32,4,FALSE)&amp;"_SIMUL")</f>
        <v>ON X.INSTRMNT_ID=Y.INSTRMNT_ID_SIMUL</v>
      </c>
      <c r="L140" s="35" t="str">
        <f>+IF(C140="Coerência", +IF(LEFT(G140,5)="FLOAT","SELECT '"&amp;UPPER(B140)&amp;"' AS TABELA, '"&amp;UPPER(C140)&amp;"' AS TIPOLOGIA_TESTE,'"&amp;D140&amp;"' AS TABELA_LT,'"&amp;E140&amp;"' AS TABELA_SIMUL,'"&amp;F140&amp;"' AS CAMPO, "&amp;"'${ref_date}' AS REF_DATE, COUNT(*) AS NUM_REG, SUM(IF((ABS(COALESCE(CAST(X."&amp;F140&amp;" AS DECIMAL(18,6)),0)-COALESCE(CAST(Y."&amp;F140&amp;"_SIMUL AS DECIMAL(18,6)),0))&gt;0.000001) OR (X."&amp;F140&amp;" IS NULL AND Y."&amp;F140&amp;"_SIMUL IS NOT NULL ) OR (X."&amp;F140&amp;" IS NOT NULL AND Y."&amp;F140&amp;"_SIMUL IS NULL),1,0)) AS NUM_REG_DIF,'"&amp;MAX('ID1&amp;5'!K:K)+1&amp;"' AS ID_EXEC, CURRENT_TIMESTAMP() AS TIME_EXEC FROM "&amp;I140&amp;" INNER JOIN "&amp;J140&amp;" "&amp;K140,"SELECT '"&amp;UPPER(B140)&amp;"' AS TABELA, '"&amp;UPPER(C140)&amp;"' AS TIPOLOGIA_TESTE,'"&amp;D140&amp;"' AS TABELA_LT,'"&amp;E140&amp;"' AS TABELA_SIMUL,'"&amp;F140&amp;"' AS CAMPO, "&amp;"'${ref_date}' AS REF_DATE, COUNT(*) AS NUM_REG, SUM(IF(COALESCE(CAST(X."&amp;F140&amp;" AS STRING),'')&lt;&gt;COALESCE(CAST(Y."&amp;F140&amp;"_SIMUL AS STRING),'') OR (X."&amp;F140&amp;" IS NULL AND Y."&amp;F140&amp;"_SIMUL IS NOT NULL ) OR (X."&amp;F140&amp;" IS NOT NULL AND Y."&amp;F140&amp;"_SIMUL IS NULL),1,0)) AS NUM_REG_DIF,'"&amp;MAX('ID1&amp;5'!L:L)+1&amp;"' AS ID_EXEC, CURRENT_TIMESTAMP() AS TIME_EXEC FROM "&amp;I140&amp;" INNER JOIN "&amp;J140&amp;" "&amp;K140),
IF(C140="Validade",+IF(G140="Code List","SELECT '"&amp;UPPER(B140)&amp;"' AS TABELA, '"&amp;UPPER(C140)&amp;"' AS TIPOLOGIA_TESTE,'"&amp;D140&amp;"' AS TABELA_LT,'N/A' AS TABELA_SIMUL,'"&amp;F140&amp;"' AS CAMPO, "&amp;"'${ref_date}' AS REF_DATE, COUNT(*) AS NUM_REG, SUM(IF(TRIM(CAST(X."&amp;F140&amp;" AS STRING))='' OR TRIM(CAST(X."&amp;F140&amp;" AS STRING)) IS NULL OR CAST(X."&amp;F140&amp;" AS STRING) NOT "&amp;H140&amp;",1,0)) AS NUM_REG_DIF,'"&amp;MAX('ID1&amp;5'!K:K)+1&amp;"' AS ID_EXEC, CURRENT_TIMESTAMP() AS TIME_EXEC FROM "&amp;I140,"SELECT '"&amp;UPPER(B140)&amp;"' AS TABELA, '"&amp;UPPER(C140)&amp;"' AS TIPOLOGIA_TESTE,'"&amp;D140&amp;"' AS TABELA_LT,'N/A' AS TABELA_SIMUL,'"&amp;F140&amp;"' AS CAMPO, "&amp;"'${ref_date}' AS REF_DATE, COUNT(*) AS NUM_REG, SUM(IF(TRIM(CAST(X."&amp;F140&amp;" AS STRING))='' OR TRIM(CAST(X."&amp;F140&amp;" AS STRING)) IS NULL,1,0)) AS NUM_REG_DIF,'"&amp;MAX('ID1&amp;5'!K:K)+1&amp;"' AS ID_EXEC, CURRENT_TIMESTAMP() AS TIME_EXEC FROM "&amp;I140),
IF(C140="Caracteres Especiais",+"SELECT '"&amp;UPPER(B140)&amp;"' AS TABELA, '"&amp;UPPER(C140)&amp;"' AS TIPOLOGIA_TESTE,'"&amp;D140&amp;"' AS TABELA_LT,'N/A' AS TABELA_SIMUL,'"&amp;F140&amp;"' AS CAMPO, "&amp;"'${ref_date}' AS REF_DATE, COUNT(*) AS NUM_REG, SUM(IF(REGEXP_REPLACE(TRIM(CAST(X."&amp;F140&amp;" AS STRING)),'[^a-zA-Z0-9_\\s]','') &lt;&gt;TRIM(CAST(X."&amp;F140&amp;" AS STRING)),1,0)) AS NUM_REG_DIF,'"&amp;MAX('ID1&amp;5'!K:K)+1&amp;"' AS ID_EXEC, CURRENT_TIMESTAMP() AS TIME_EXEC FROM "&amp;I140,
IF(C140="Missings",+"SELECT '"&amp;UPPER(B140)&amp;"' AS TABELA, '"&amp;UPPER(C140)&amp;"' AS TIPOLOGIA_TESTE,'"&amp;D140&amp;"' AS TABELA_LT,'N/A' AS TABELA_SIMUL,'"&amp;F140&amp;"' AS CAMPO, "&amp;"'${ref_date}' AS REF_DATE, COUNT(*) AS NUM_REG, SUM(IF(TRIM(CAST(X."&amp;F140&amp;" AS STRING)) IN ('0000-00-00','0001-01-01','9999-12-31','MISS','00000','99999999999','99999999999.00','99999999999.000000'),1,0)) AS NUM_REG_DIF,'"&amp;MAX('ID1&amp;5'!K:K)+1&amp;"' AS ID_EXEC, CURRENT_TIMESTAMP() AS TIME_EXEC FROM "&amp;I140,
IF(C140="Not applicable",+"SELECT '"&amp;UPPER(B140)&amp;"' AS TABELA, '"&amp;UPPER(C140)&amp;"' AS TIPOLOGIA_TESTE,'"&amp;D140&amp;"' AS TABELA_LT,'N/A' AS TABELA_SIMUL,'"&amp;F140&amp;"' AS CAMPO, "&amp;"'${ref_date}' AS REF_DATE, COUNT(*) AS NUM_REG, SUM(IF(TRIM(CAST(X."&amp;F140&amp;" AS STRING)) IN ('N/A','11111111111','11111111111.00','11111111111.000000','1111-11-11'),1,0)) AS NUM_REG_DIF,'"&amp;MAX('ID1&amp;5'!K:K)+1&amp;"' AS ID_EXEC, CURRENT_TIMESTAMP() AS TIME_EXEC FROM "&amp;I140,
IF(C140="Valores extremos",+"SELECT '"&amp;UPPER(B140)&amp;"' AS TABELA, '"&amp;UPPER(C140)&amp;"' AS TIPOLOGIA_TESTE,'"&amp;D140&amp;"' AS TABELA_LT,'N/A' AS TABELA_SIMUL,'"&amp;F140&amp;"' AS CAMPO, "&amp;"'${ref_date}' AS REF_DATE, CAST(MIN("&amp;F140&amp;") AS STRING) AS VALOR_MIN, CAST(MAX("&amp;F140&amp;") AS STRING) AS VALOR_MAX,'"&amp;MAX('ID1&amp;5'!K:K)+1&amp;"' AS ID_EXEC, CURRENT_TIMESTAMP() AS TIME_EXEC FROM "&amp;MID(I140,1,LEN(I140)-2)&amp;" AND CAST("&amp;F140&amp;"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TABELA_SIMUL,'rwa_mthd' AS CAMPO, '${ref_date}' AS REF_DATE, COUNT(*) AS NUM_REG, SUM(IF(COALESCE(CAST(X.rwa_mthd AS STRING),'')&lt;&gt;COALESCE(CAST(Y.rwa_mthd_SIMUL AS STRING),'') OR (X.rwa_mthd IS NULL AND Y.rwa_mthd_SIMUL IS NOT NULL ) OR (X.rwa_mthd IS NOT NULL AND Y.rwa_mthd_SIMUL IS NULL),1,0)) AS NUM_REG_DIF,'1' AS ID_EXEC, CURRENT_TIMESTAMP() AS TIME_EXEC FROM (SELECT instrmnt_id, rwa_mthd FROM BU_LOANTAPE_WORK.LT002_INSTRUMENT WHERE ref_date='${ref_date}' AND nome_perimetro='Individual Local' AND segmento='ESTR' AND ambito='SRB_MBDT' AND entidade='00100')X INNER JOIN (SELECT instrmnt_id AS instrmnt_id_SIMUL, rwa_mthd AS rwa_mthd_SIMUL FROM BU_LOANTAPE_WORK.SIMUL_LT002_INSTRUMENT WHERE ref_date='${ref_date}' AND nome_perimetro='Individual Local' AND segmento='ESTR' AND ambito='PILAR3' AND entidade='00100')Y ON X.INSTRMNT_ID=Y.INSTRMNT_ID_SIMUL</v>
      </c>
      <c r="M140" s="36" t="str">
        <f t="shared" si="5"/>
        <v>UNION ALL SELECT 'INSTRUMENT' AS TABELA, 'COERÊNCIA' AS TIPOLOGIA_TESTE,'BU_LOANTAPE_WORK.LT002_INSTRUMENT' AS TABELA_LT,'BU_LOANTAPE_WORK.SIMUL_LT002_INSTRUMENT' AS TABELA_SIMUL,'rwa_mthd' AS CAMPO, '${ref_date}' AS REF_DATE, COUNT(*) AS NUM_REG, SUM(IF(COALESCE(CAST(X.rwa_mthd AS STRING),'')&lt;&gt;COALESCE(CAST(Y.rwa_mthd_SIMUL AS STRING),'') OR (X.rwa_mthd IS NULL AND Y.rwa_mthd_SIMUL IS NOT NULL ) OR (X.rwa_mthd IS NOT NULL AND Y.rwa_mthd_SIMUL IS NULL),1,0)) AS NUM_REG_DIF,'1' AS ID_EXEC, CURRENT_TIMESTAMP() AS TIME_EXEC FROM (SELECT instrmnt_id, rwa_mthd FROM BU_LOANTAPE_WORK.LT002_INSTRUMENT WHERE ref_date='${ref_date}' AND nome_perimetro='Individual Local' AND segmento='ESTR' AND ambito='SRB_MBDT' AND entidade='00100')X INNER JOIN (SELECT instrmnt_id AS instrmnt_id_SIMUL, rwa_mthd AS rwa_mthd_SIMUL FROM BU_LOANTAPE_WORK.SIMUL_LT002_INSTRUMENT WHERE ref_date='${ref_date}' AND nome_perimetro='Individual Local' AND segmento='ESTR' AND ambito='PILAR3' AND entidade='00100')Y ON X.INSTRMNT_ID=Y.INSTRMNT_ID_SIMUL</v>
      </c>
      <c r="N140" s="38"/>
    </row>
    <row r="141" spans="2:14">
      <c r="B141" s="34" t="s">
        <v>117</v>
      </c>
      <c r="C141" s="34" t="s">
        <v>5</v>
      </c>
      <c r="D141" s="34" t="str">
        <f>+UPPER('0. Instruções'!$D$35&amp;"."&amp;VLOOKUP(B141,'0. Instruções'!$C$27:$D$32,2,FALSE))</f>
        <v>BU_LOANTAPE_WORK.LT002_INSTRUMENT</v>
      </c>
      <c r="E141" s="34" t="str">
        <f>+UPPER('0. Instruções'!$D$36&amp;"."&amp;VLOOKUP(B141,'0. Instruções'!$C$27:$E$32,3,FALSE))</f>
        <v>BU_LOANTAPE_WORK.SIMUL_LT002_INSTRUMENT</v>
      </c>
      <c r="F141" s="34" t="s">
        <v>1209</v>
      </c>
      <c r="G141" s="34"/>
      <c r="H141" s="34"/>
      <c r="I141" s="34" t="str">
        <f>"(SELECT "&amp;VLOOKUP(B141,'0. Instruções'!$C$27:$G$32,4,FALSE)&amp;", "&amp;F141&amp;" FROM "&amp;D141&amp;" WHERE "&amp;'0. Instruções'!$D$42&amp;")X"</f>
        <v>(SELECT instrmnt_id, spnsr_nm FROM BU_LOANTAPE_WORK.LT002_INSTRUMENT WHERE ref_date='${ref_date}' AND nome_perimetro='Individual Local' AND segmento='ESTR' AND ambito='SRB_MBDT' AND entidade='00100')X</v>
      </c>
      <c r="J141" s="34" t="str">
        <f>"(SELECT "&amp;VLOOKUP(B141,'0. Instruções'!$C$27:$G$32,4,FALSE)&amp;" AS "&amp;VLOOKUP(B141,'0. Instruções'!$C$27:$G$32,4,FALSE)&amp;"_SIMUL, "&amp;F141&amp;" AS "&amp;F141&amp;"_SIMUL FROM "&amp;E141&amp;" WHERE "&amp;'0. Instruções'!$D$43&amp;")Y"</f>
        <v>(SELECT instrmnt_id AS instrmnt_id_SIMUL, spnsr_nm AS spnsr_nm_SIMUL FROM BU_LOANTAPE_WORK.SIMUL_LT002_INSTRUMENT WHERE ref_date='${ref_date}' AND nome_perimetro='Individual Local' AND segmento='ESTR' AND ambito='PILAR3' AND entidade='00100')Y</v>
      </c>
      <c r="K141" s="35" t="str">
        <f>+UPPER("ON X."&amp;VLOOKUP(B141,'0. Instruções'!$C$27:$G$32,4,FALSE)&amp;"=Y."&amp;VLOOKUP(B141,'0. Instruções'!$C$27:$G$32,4,FALSE)&amp;"_SIMUL")</f>
        <v>ON X.INSTRMNT_ID=Y.INSTRMNT_ID_SIMUL</v>
      </c>
      <c r="L141" s="35" t="str">
        <f>+IF(C141="Coerência", +IF(LEFT(G141,5)="FLOAT","SELECT '"&amp;UPPER(B141)&amp;"' AS TABELA, '"&amp;UPPER(C141)&amp;"' AS TIPOLOGIA_TESTE,'"&amp;D141&amp;"' AS TABELA_LT,'"&amp;E141&amp;"' AS TABELA_SIMUL,'"&amp;F141&amp;"' AS CAMPO, "&amp;"'${ref_date}' AS REF_DATE, COUNT(*) AS NUM_REG, SUM(IF((ABS(COALESCE(CAST(X."&amp;F141&amp;" AS DECIMAL(18,6)),0)-COALESCE(CAST(Y."&amp;F141&amp;"_SIMUL AS DECIMAL(18,6)),0))&gt;0.000001) OR (X."&amp;F141&amp;" IS NULL AND Y."&amp;F141&amp;"_SIMUL IS NOT NULL ) OR (X."&amp;F141&amp;" IS NOT NULL AND Y."&amp;F141&amp;"_SIMUL IS NULL),1,0)) AS NUM_REG_DIF,'"&amp;MAX('ID1&amp;5'!K:K)+1&amp;"' AS ID_EXEC, CURRENT_TIMESTAMP() AS TIME_EXEC FROM "&amp;I141&amp;" INNER JOIN "&amp;J141&amp;" "&amp;K141,"SELECT '"&amp;UPPER(B141)&amp;"' AS TABELA, '"&amp;UPPER(C141)&amp;"' AS TIPOLOGIA_TESTE,'"&amp;D141&amp;"' AS TABELA_LT,'"&amp;E141&amp;"' AS TABELA_SIMUL,'"&amp;F141&amp;"' AS CAMPO, "&amp;"'${ref_date}' AS REF_DATE, COUNT(*) AS NUM_REG, SUM(IF(COALESCE(CAST(X."&amp;F141&amp;" AS STRING),'')&lt;&gt;COALESCE(CAST(Y."&amp;F141&amp;"_SIMUL AS STRING),'') OR (X."&amp;F141&amp;" IS NULL AND Y."&amp;F141&amp;"_SIMUL IS NOT NULL ) OR (X."&amp;F141&amp;" IS NOT NULL AND Y."&amp;F141&amp;"_SIMUL IS NULL),1,0)) AS NUM_REG_DIF,'"&amp;MAX('ID1&amp;5'!L:L)+1&amp;"' AS ID_EXEC, CURRENT_TIMESTAMP() AS TIME_EXEC FROM "&amp;I141&amp;" INNER JOIN "&amp;J141&amp;" "&amp;K141),
IF(C141="Validade",+IF(G141="Code List","SELECT '"&amp;UPPER(B141)&amp;"' AS TABELA, '"&amp;UPPER(C141)&amp;"' AS TIPOLOGIA_TESTE,'"&amp;D141&amp;"' AS TABELA_LT,'N/A' AS TABELA_SIMUL,'"&amp;F141&amp;"' AS CAMPO, "&amp;"'${ref_date}' AS REF_DATE, COUNT(*) AS NUM_REG, SUM(IF(TRIM(CAST(X."&amp;F141&amp;" AS STRING))='' OR TRIM(CAST(X."&amp;F141&amp;" AS STRING)) IS NULL OR CAST(X."&amp;F141&amp;" AS STRING) NOT "&amp;H141&amp;",1,0)) AS NUM_REG_DIF,'"&amp;MAX('ID1&amp;5'!K:K)+1&amp;"' AS ID_EXEC, CURRENT_TIMESTAMP() AS TIME_EXEC FROM "&amp;I141,"SELECT '"&amp;UPPER(B141)&amp;"' AS TABELA, '"&amp;UPPER(C141)&amp;"' AS TIPOLOGIA_TESTE,'"&amp;D141&amp;"' AS TABELA_LT,'N/A' AS TABELA_SIMUL,'"&amp;F141&amp;"' AS CAMPO, "&amp;"'${ref_date}' AS REF_DATE, COUNT(*) AS NUM_REG, SUM(IF(TRIM(CAST(X."&amp;F141&amp;" AS STRING))='' OR TRIM(CAST(X."&amp;F141&amp;" AS STRING)) IS NULL,1,0)) AS NUM_REG_DIF,'"&amp;MAX('ID1&amp;5'!K:K)+1&amp;"' AS ID_EXEC, CURRENT_TIMESTAMP() AS TIME_EXEC FROM "&amp;I141),
IF(C141="Caracteres Especiais",+"SELECT '"&amp;UPPER(B141)&amp;"' AS TABELA, '"&amp;UPPER(C141)&amp;"' AS TIPOLOGIA_TESTE,'"&amp;D141&amp;"' AS TABELA_LT,'N/A' AS TABELA_SIMUL,'"&amp;F141&amp;"' AS CAMPO, "&amp;"'${ref_date}' AS REF_DATE, COUNT(*) AS NUM_REG, SUM(IF(REGEXP_REPLACE(TRIM(CAST(X."&amp;F141&amp;" AS STRING)),'[^a-zA-Z0-9_\\s]','') &lt;&gt;TRIM(CAST(X."&amp;F141&amp;" AS STRING)),1,0)) AS NUM_REG_DIF,'"&amp;MAX('ID1&amp;5'!K:K)+1&amp;"' AS ID_EXEC, CURRENT_TIMESTAMP() AS TIME_EXEC FROM "&amp;I141,
IF(C141="Missings",+"SELECT '"&amp;UPPER(B141)&amp;"' AS TABELA, '"&amp;UPPER(C141)&amp;"' AS TIPOLOGIA_TESTE,'"&amp;D141&amp;"' AS TABELA_LT,'N/A' AS TABELA_SIMUL,'"&amp;F141&amp;"' AS CAMPO, "&amp;"'${ref_date}' AS REF_DATE, COUNT(*) AS NUM_REG, SUM(IF(TRIM(CAST(X."&amp;F141&amp;" AS STRING)) IN ('0000-00-00','0001-01-01','9999-12-31','MISS','00000','99999999999','99999999999.00','99999999999.000000'),1,0)) AS NUM_REG_DIF,'"&amp;MAX('ID1&amp;5'!K:K)+1&amp;"' AS ID_EXEC, CURRENT_TIMESTAMP() AS TIME_EXEC FROM "&amp;I141,
IF(C141="Not applicable",+"SELECT '"&amp;UPPER(B141)&amp;"' AS TABELA, '"&amp;UPPER(C141)&amp;"' AS TIPOLOGIA_TESTE,'"&amp;D141&amp;"' AS TABELA_LT,'N/A' AS TABELA_SIMUL,'"&amp;F141&amp;"' AS CAMPO, "&amp;"'${ref_date}' AS REF_DATE, COUNT(*) AS NUM_REG, SUM(IF(TRIM(CAST(X."&amp;F141&amp;" AS STRING)) IN ('N/A','11111111111','11111111111.00','11111111111.000000','1111-11-11'),1,0)) AS NUM_REG_DIF,'"&amp;MAX('ID1&amp;5'!K:K)+1&amp;"' AS ID_EXEC, CURRENT_TIMESTAMP() AS TIME_EXEC FROM "&amp;I141,
IF(C141="Valores extremos",+"SELECT '"&amp;UPPER(B141)&amp;"' AS TABELA, '"&amp;UPPER(C141)&amp;"' AS TIPOLOGIA_TESTE,'"&amp;D141&amp;"' AS TABELA_LT,'N/A' AS TABELA_SIMUL,'"&amp;F141&amp;"' AS CAMPO, "&amp;"'${ref_date}' AS REF_DATE, CAST(MIN("&amp;F141&amp;") AS STRING) AS VALOR_MIN, CAST(MAX("&amp;F141&amp;") AS STRING) AS VALOR_MAX,'"&amp;MAX('ID1&amp;5'!K:K)+1&amp;"' AS ID_EXEC, CURRENT_TIMESTAMP() AS TIME_EXEC FROM "&amp;MID(I141,1,LEN(I141)-2)&amp;" AND CAST("&amp;F141&amp;"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TABELA_SIMUL,'spnsr_nm' AS CAMPO, '${ref_date}' AS REF_DATE, COUNT(*) AS NUM_REG, SUM(IF(COALESCE(CAST(X.spnsr_nm AS STRING),'')&lt;&gt;COALESCE(CAST(Y.spnsr_nm_SIMUL AS STRING),'') OR (X.spnsr_nm IS NULL AND Y.spnsr_nm_SIMUL IS NOT NULL ) OR (X.spnsr_nm IS NOT NULL AND Y.spnsr_nm_SIMUL IS NULL),1,0)) AS NUM_REG_DIF,'1' AS ID_EXEC, CURRENT_TIMESTAMP() AS TIME_EXEC FROM (SELECT instrmnt_id, spnsr_nm FROM BU_LOANTAPE_WORK.LT002_INSTRUMENT WHERE ref_date='${ref_date}' AND nome_perimetro='Individual Local' AND segmento='ESTR' AND ambito='SRB_MBDT' AND entidade='00100')X INNER JOIN (SELECT instrmnt_id AS instrmnt_id_SIMUL, spnsr_nm AS spnsr_nm_SIMUL FROM BU_LOANTAPE_WORK.SIMUL_LT002_INSTRUMENT WHERE ref_date='${ref_date}' AND nome_perimetro='Individual Local' AND segmento='ESTR' AND ambito='PILAR3' AND entidade='00100')Y ON X.INSTRMNT_ID=Y.INSTRMNT_ID_SIMUL</v>
      </c>
      <c r="M141" s="36" t="str">
        <f t="shared" si="5"/>
        <v>UNION ALL SELECT 'INSTRUMENT' AS TABELA, 'COERÊNCIA' AS TIPOLOGIA_TESTE,'BU_LOANTAPE_WORK.LT002_INSTRUMENT' AS TABELA_LT,'BU_LOANTAPE_WORK.SIMUL_LT002_INSTRUMENT' AS TABELA_SIMUL,'spnsr_nm' AS CAMPO, '${ref_date}' AS REF_DATE, COUNT(*) AS NUM_REG, SUM(IF(COALESCE(CAST(X.spnsr_nm AS STRING),'')&lt;&gt;COALESCE(CAST(Y.spnsr_nm_SIMUL AS STRING),'') OR (X.spnsr_nm IS NULL AND Y.spnsr_nm_SIMUL IS NOT NULL ) OR (X.spnsr_nm IS NOT NULL AND Y.spnsr_nm_SIMUL IS NULL),1,0)) AS NUM_REG_DIF,'1' AS ID_EXEC, CURRENT_TIMESTAMP() AS TIME_EXEC FROM (SELECT instrmnt_id, spnsr_nm FROM BU_LOANTAPE_WORK.LT002_INSTRUMENT WHERE ref_date='${ref_date}' AND nome_perimetro='Individual Local' AND segmento='ESTR' AND ambito='SRB_MBDT' AND entidade='00100')X INNER JOIN (SELECT instrmnt_id AS instrmnt_id_SIMUL, spnsr_nm AS spnsr_nm_SIMUL FROM BU_LOANTAPE_WORK.SIMUL_LT002_INSTRUMENT WHERE ref_date='${ref_date}' AND nome_perimetro='Individual Local' AND segmento='ESTR' AND ambito='PILAR3' AND entidade='00100')Y ON X.INSTRMNT_ID=Y.INSTRMNT_ID_SIMUL</v>
      </c>
      <c r="N141" s="38"/>
    </row>
    <row r="142" spans="2:14">
      <c r="B142" s="34" t="s">
        <v>117</v>
      </c>
      <c r="C142" s="34" t="s">
        <v>5</v>
      </c>
      <c r="D142" s="34" t="str">
        <f>+UPPER('0. Instruções'!$D$35&amp;"."&amp;VLOOKUP(B142,'0. Instruções'!$C$27:$D$32,2,FALSE))</f>
        <v>BU_LOANTAPE_WORK.LT002_INSTRUMENT</v>
      </c>
      <c r="E142" s="34" t="str">
        <f>+UPPER('0. Instruções'!$D$36&amp;"."&amp;VLOOKUP(B142,'0. Instruções'!$C$27:$E$32,3,FALSE))</f>
        <v>BU_LOANTAPE_WORK.SIMUL_LT002_INSTRUMENT</v>
      </c>
      <c r="F142" s="34" t="s">
        <v>651</v>
      </c>
      <c r="G142" s="34"/>
      <c r="H142" s="34"/>
      <c r="I142" s="34" t="str">
        <f>"(SELECT "&amp;VLOOKUP(B142,'0. Instruções'!$C$27:$G$32,4,FALSE)&amp;", "&amp;F142&amp;" FROM "&amp;D142&amp;" WHERE "&amp;'0. Instruções'!$D$42&amp;")X"</f>
        <v>(SELECT instrmnt_id, accmltd_imprmnt_instrmnt FROM BU_LOANTAPE_WORK.LT002_INSTRUMENT WHERE ref_date='${ref_date}' AND nome_perimetro='Individual Local' AND segmento='ESTR' AND ambito='SRB_MBDT' AND entidade='00100')X</v>
      </c>
      <c r="J142" s="34" t="str">
        <f>"(SELECT "&amp;VLOOKUP(B142,'0. Instruções'!$C$27:$G$32,4,FALSE)&amp;" AS "&amp;VLOOKUP(B142,'0. Instruções'!$C$27:$G$32,4,FALSE)&amp;"_SIMUL, "&amp;F142&amp;" AS "&amp;F142&amp;"_SIMUL FROM "&amp;E142&amp;" WHERE "&amp;'0. Instruções'!$D$43&amp;")Y"</f>
        <v>(SELECT instrmnt_id AS instrmnt_id_SIMUL, accmltd_imprmnt_instrmnt AS accmltd_imprmnt_instrmnt_SIMUL FROM BU_LOANTAPE_WORK.SIMUL_LT002_INSTRUMENT WHERE ref_date='${ref_date}' AND nome_perimetro='Individual Local' AND segmento='ESTR' AND ambito='PILAR3' AND entidade='00100')Y</v>
      </c>
      <c r="K142" s="35" t="str">
        <f>+UPPER("ON X."&amp;VLOOKUP(B142,'0. Instruções'!$C$27:$G$32,4,FALSE)&amp;"=Y."&amp;VLOOKUP(B142,'0. Instruções'!$C$27:$G$32,4,FALSE)&amp;"_SIMUL")</f>
        <v>ON X.INSTRMNT_ID=Y.INSTRMNT_ID_SIMUL</v>
      </c>
      <c r="L142" s="35" t="str">
        <f>+IF(C142="Coerência", +IF(LEFT(G142,5)="FLOAT","SELECT '"&amp;UPPER(B142)&amp;"' AS TABELA, '"&amp;UPPER(C142)&amp;"' AS TIPOLOGIA_TESTE,'"&amp;D142&amp;"' AS TABELA_LT,'"&amp;E142&amp;"' AS TABELA_SIMUL,'"&amp;F142&amp;"' AS CAMPO, "&amp;"'${ref_date}' AS REF_DATE, COUNT(*) AS NUM_REG, SUM(IF((ABS(COALESCE(CAST(X."&amp;F142&amp;" AS DECIMAL(18,6)),0)-COALESCE(CAST(Y."&amp;F142&amp;"_SIMUL AS DECIMAL(18,6)),0))&gt;0.000001) OR (X."&amp;F142&amp;" IS NULL AND Y."&amp;F142&amp;"_SIMUL IS NOT NULL ) OR (X."&amp;F142&amp;" IS NOT NULL AND Y."&amp;F142&amp;"_SIMUL IS NULL),1,0)) AS NUM_REG_DIF,'"&amp;MAX('ID1&amp;5'!K:K)+1&amp;"' AS ID_EXEC, CURRENT_TIMESTAMP() AS TIME_EXEC FROM "&amp;I142&amp;" INNER JOIN "&amp;J142&amp;" "&amp;K142,"SELECT '"&amp;UPPER(B142)&amp;"' AS TABELA, '"&amp;UPPER(C142)&amp;"' AS TIPOLOGIA_TESTE,'"&amp;D142&amp;"' AS TABELA_LT,'"&amp;E142&amp;"' AS TABELA_SIMUL,'"&amp;F142&amp;"' AS CAMPO, "&amp;"'${ref_date}' AS REF_DATE, COUNT(*) AS NUM_REG, SUM(IF(COALESCE(CAST(X."&amp;F142&amp;" AS STRING),'')&lt;&gt;COALESCE(CAST(Y."&amp;F142&amp;"_SIMUL AS STRING),'') OR (X."&amp;F142&amp;" IS NULL AND Y."&amp;F142&amp;"_SIMUL IS NOT NULL ) OR (X."&amp;F142&amp;" IS NOT NULL AND Y."&amp;F142&amp;"_SIMUL IS NULL),1,0)) AS NUM_REG_DIF,'"&amp;MAX('ID1&amp;5'!L:L)+1&amp;"' AS ID_EXEC, CURRENT_TIMESTAMP() AS TIME_EXEC FROM "&amp;I142&amp;" INNER JOIN "&amp;J142&amp;" "&amp;K142),
IF(C142="Validade",+IF(G142="Code List","SELECT '"&amp;UPPER(B142)&amp;"' AS TABELA, '"&amp;UPPER(C142)&amp;"' AS TIPOLOGIA_TESTE,'"&amp;D142&amp;"' AS TABELA_LT,'N/A' AS TABELA_SIMUL,'"&amp;F142&amp;"' AS CAMPO, "&amp;"'${ref_date}' AS REF_DATE, COUNT(*) AS NUM_REG, SUM(IF(TRIM(CAST(X."&amp;F142&amp;" AS STRING))='' OR TRIM(CAST(X."&amp;F142&amp;" AS STRING)) IS NULL OR CAST(X."&amp;F142&amp;" AS STRING) NOT "&amp;H142&amp;",1,0)) AS NUM_REG_DIF,'"&amp;MAX('ID1&amp;5'!K:K)+1&amp;"' AS ID_EXEC, CURRENT_TIMESTAMP() AS TIME_EXEC FROM "&amp;I142,"SELECT '"&amp;UPPER(B142)&amp;"' AS TABELA, '"&amp;UPPER(C142)&amp;"' AS TIPOLOGIA_TESTE,'"&amp;D142&amp;"' AS TABELA_LT,'N/A' AS TABELA_SIMUL,'"&amp;F142&amp;"' AS CAMPO, "&amp;"'${ref_date}' AS REF_DATE, COUNT(*) AS NUM_REG, SUM(IF(TRIM(CAST(X."&amp;F142&amp;" AS STRING))='' OR TRIM(CAST(X."&amp;F142&amp;" AS STRING)) IS NULL,1,0)) AS NUM_REG_DIF,'"&amp;MAX('ID1&amp;5'!K:K)+1&amp;"' AS ID_EXEC, CURRENT_TIMESTAMP() AS TIME_EXEC FROM "&amp;I142),
IF(C142="Caracteres Especiais",+"SELECT '"&amp;UPPER(B142)&amp;"' AS TABELA, '"&amp;UPPER(C142)&amp;"' AS TIPOLOGIA_TESTE,'"&amp;D142&amp;"' AS TABELA_LT,'N/A' AS TABELA_SIMUL,'"&amp;F142&amp;"' AS CAMPO, "&amp;"'${ref_date}' AS REF_DATE, COUNT(*) AS NUM_REG, SUM(IF(REGEXP_REPLACE(TRIM(CAST(X."&amp;F142&amp;" AS STRING)),'[^a-zA-Z0-9_\\s]','') &lt;&gt;TRIM(CAST(X."&amp;F142&amp;" AS STRING)),1,0)) AS NUM_REG_DIF,'"&amp;MAX('ID1&amp;5'!K:K)+1&amp;"' AS ID_EXEC, CURRENT_TIMESTAMP() AS TIME_EXEC FROM "&amp;I142,
IF(C142="Missings",+"SELECT '"&amp;UPPER(B142)&amp;"' AS TABELA, '"&amp;UPPER(C142)&amp;"' AS TIPOLOGIA_TESTE,'"&amp;D142&amp;"' AS TABELA_LT,'N/A' AS TABELA_SIMUL,'"&amp;F142&amp;"' AS CAMPO, "&amp;"'${ref_date}' AS REF_DATE, COUNT(*) AS NUM_REG, SUM(IF(TRIM(CAST(X."&amp;F142&amp;" AS STRING)) IN ('0000-00-00','0001-01-01','9999-12-31','MISS','00000','99999999999','99999999999.00','99999999999.000000'),1,0)) AS NUM_REG_DIF,'"&amp;MAX('ID1&amp;5'!K:K)+1&amp;"' AS ID_EXEC, CURRENT_TIMESTAMP() AS TIME_EXEC FROM "&amp;I142,
IF(C142="Not applicable",+"SELECT '"&amp;UPPER(B142)&amp;"' AS TABELA, '"&amp;UPPER(C142)&amp;"' AS TIPOLOGIA_TESTE,'"&amp;D142&amp;"' AS TABELA_LT,'N/A' AS TABELA_SIMUL,'"&amp;F142&amp;"' AS CAMPO, "&amp;"'${ref_date}' AS REF_DATE, COUNT(*) AS NUM_REG, SUM(IF(TRIM(CAST(X."&amp;F142&amp;" AS STRING)) IN ('N/A','11111111111','11111111111.00','11111111111.000000','1111-11-11'),1,0)) AS NUM_REG_DIF,'"&amp;MAX('ID1&amp;5'!K:K)+1&amp;"' AS ID_EXEC, CURRENT_TIMESTAMP() AS TIME_EXEC FROM "&amp;I142,
IF(C142="Valores extremos",+"SELECT '"&amp;UPPER(B142)&amp;"' AS TABELA, '"&amp;UPPER(C142)&amp;"' AS TIPOLOGIA_TESTE,'"&amp;D142&amp;"' AS TABELA_LT,'N/A' AS TABELA_SIMUL,'"&amp;F142&amp;"' AS CAMPO, "&amp;"'${ref_date}' AS REF_DATE, CAST(MIN("&amp;F142&amp;") AS STRING) AS VALOR_MIN, CAST(MAX("&amp;F142&amp;") AS STRING) AS VALOR_MAX,'"&amp;MAX('ID1&amp;5'!K:K)+1&amp;"' AS ID_EXEC, CURRENT_TIMESTAMP() AS TIME_EXEC FROM "&amp;MID(I142,1,LEN(I142)-2)&amp;" AND CAST("&amp;F142&amp;"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TABELA_SIMUL,'accmltd_imprmnt_instrmnt' AS CAMPO, '${ref_date}' AS REF_DATE, COUNT(*) AS NUM_REG, SUM(IF(COALESCE(CAST(X.accmltd_imprmnt_instrmnt AS STRING),'')&lt;&gt;COALESCE(CAST(Y.accmltd_imprmnt_instrmnt_SIMUL AS STRING),'') OR (X.accmltd_imprmnt_instrmnt IS NULL AND Y.accmltd_imprmnt_instrmnt_SIMUL IS NOT NULL ) OR (X.accmltd_imprmnt_instrmnt IS NOT NULL AND Y.accmltd_imprmnt_instrmnt_SIMUL IS NULL),1,0)) AS NUM_REG_DIF,'1' AS ID_EXEC, CURRENT_TIMESTAMP() AS TIME_EXEC FROM (SELECT instrmnt_id, accmltd_imprmnt_instrmnt FROM BU_LOANTAPE_WORK.LT002_INSTRUMENT WHERE ref_date='${ref_date}' AND nome_perimetro='Individual Local' AND segmento='ESTR' AND ambito='SRB_MBDT' AND entidade='00100')X INNER JOIN (SELECT instrmnt_id AS instrmnt_id_SIMUL, accmltd_imprmnt_instrmnt AS accmltd_imprmnt_instrmnt_SIMUL FROM BU_LOANTAPE_WORK.SIMUL_LT002_INSTRUMENT WHERE ref_date='${ref_date}' AND nome_perimetro='Individual Local' AND segmento='ESTR' AND ambito='PILAR3' AND entidade='00100')Y ON X.INSTRMNT_ID=Y.INSTRMNT_ID_SIMUL</v>
      </c>
      <c r="M142" s="36" t="str">
        <f t="shared" si="5"/>
        <v>UNION ALL SELECT 'INSTRUMENT' AS TABELA, 'COERÊNCIA' AS TIPOLOGIA_TESTE,'BU_LOANTAPE_WORK.LT002_INSTRUMENT' AS TABELA_LT,'BU_LOANTAPE_WORK.SIMUL_LT002_INSTRUMENT' AS TABELA_SIMUL,'accmltd_imprmnt_instrmnt' AS CAMPO, '${ref_date}' AS REF_DATE, COUNT(*) AS NUM_REG, SUM(IF(COALESCE(CAST(X.accmltd_imprmnt_instrmnt AS STRING),'')&lt;&gt;COALESCE(CAST(Y.accmltd_imprmnt_instrmnt_SIMUL AS STRING),'') OR (X.accmltd_imprmnt_instrmnt IS NULL AND Y.accmltd_imprmnt_instrmnt_SIMUL IS NOT NULL ) OR (X.accmltd_imprmnt_instrmnt IS NOT NULL AND Y.accmltd_imprmnt_instrmnt_SIMUL IS NULL),1,0)) AS NUM_REG_DIF,'1' AS ID_EXEC, CURRENT_TIMESTAMP() AS TIME_EXEC FROM (SELECT instrmnt_id, accmltd_imprmnt_instrmnt FROM BU_LOANTAPE_WORK.LT002_INSTRUMENT WHERE ref_date='${ref_date}' AND nome_perimetro='Individual Local' AND segmento='ESTR' AND ambito='SRB_MBDT' AND entidade='00100')X INNER JOIN (SELECT instrmnt_id AS instrmnt_id_SIMUL, accmltd_imprmnt_instrmnt AS accmltd_imprmnt_instrmnt_SIMUL FROM BU_LOANTAPE_WORK.SIMUL_LT002_INSTRUMENT WHERE ref_date='${ref_date}' AND nome_perimetro='Individual Local' AND segmento='ESTR' AND ambito='PILAR3' AND entidade='00100')Y ON X.INSTRMNT_ID=Y.INSTRMNT_ID_SIMUL</v>
      </c>
      <c r="N142" s="38"/>
    </row>
    <row r="143" spans="2:14">
      <c r="B143" s="34" t="s">
        <v>117</v>
      </c>
      <c r="C143" s="34" t="s">
        <v>5</v>
      </c>
      <c r="D143" s="34" t="str">
        <f>+UPPER('0. Instruções'!$D$35&amp;"."&amp;VLOOKUP(B143,'0. Instruções'!$C$27:$D$32,2,FALSE))</f>
        <v>BU_LOANTAPE_WORK.LT002_INSTRUMENT</v>
      </c>
      <c r="E143" s="34" t="str">
        <f>+UPPER('0. Instruções'!$D$36&amp;"."&amp;VLOOKUP(B143,'0. Instruções'!$C$27:$E$32,3,FALSE))</f>
        <v>BU_LOANTAPE_WORK.SIMUL_LT002_INSTRUMENT</v>
      </c>
      <c r="F143" s="34" t="s">
        <v>1210</v>
      </c>
      <c r="G143" s="34"/>
      <c r="H143" s="34"/>
      <c r="I143" s="34" t="str">
        <f>"(SELECT "&amp;VLOOKUP(B143,'0. Instruções'!$C$27:$G$32,4,FALSE)&amp;", "&amp;F143&amp;" FROM "&amp;D143&amp;" WHERE "&amp;'0. Instruções'!$D$42&amp;")X"</f>
        <v>(SELECT instrmnt_id, accmltd_imprmnt_instrmnt_prvs FROM BU_LOANTAPE_WORK.LT002_INSTRUMENT WHERE ref_date='${ref_date}' AND nome_perimetro='Individual Local' AND segmento='ESTR' AND ambito='SRB_MBDT' AND entidade='00100')X</v>
      </c>
      <c r="J143" s="34" t="str">
        <f>"(SELECT "&amp;VLOOKUP(B143,'0. Instruções'!$C$27:$G$32,4,FALSE)&amp;" AS "&amp;VLOOKUP(B143,'0. Instruções'!$C$27:$G$32,4,FALSE)&amp;"_SIMUL, "&amp;F143&amp;" AS "&amp;F143&amp;"_SIMUL FROM "&amp;E143&amp;" WHERE "&amp;'0. Instruções'!$D$43&amp;")Y"</f>
        <v>(SELECT instrmnt_id AS instrmnt_id_SIMUL, accmltd_imprmnt_instrmnt_prvs AS accmltd_imprmnt_instrmnt_prvs_SIMUL FROM BU_LOANTAPE_WORK.SIMUL_LT002_INSTRUMENT WHERE ref_date='${ref_date}' AND nome_perimetro='Individual Local' AND segmento='ESTR' AND ambito='PILAR3' AND entidade='00100')Y</v>
      </c>
      <c r="K143" s="35" t="str">
        <f>+UPPER("ON X."&amp;VLOOKUP(B143,'0. Instruções'!$C$27:$G$32,4,FALSE)&amp;"=Y."&amp;VLOOKUP(B143,'0. Instruções'!$C$27:$G$32,4,FALSE)&amp;"_SIMUL")</f>
        <v>ON X.INSTRMNT_ID=Y.INSTRMNT_ID_SIMUL</v>
      </c>
      <c r="L143" s="35" t="str">
        <f>+IF(C143="Coerência", +IF(LEFT(G143,5)="FLOAT","SELECT '"&amp;UPPER(B143)&amp;"' AS TABELA, '"&amp;UPPER(C143)&amp;"' AS TIPOLOGIA_TESTE,'"&amp;D143&amp;"' AS TABELA_LT,'"&amp;E143&amp;"' AS TABELA_SIMUL,'"&amp;F143&amp;"' AS CAMPO, "&amp;"'${ref_date}' AS REF_DATE, COUNT(*) AS NUM_REG, SUM(IF((ABS(COALESCE(CAST(X."&amp;F143&amp;" AS DECIMAL(18,6)),0)-COALESCE(CAST(Y."&amp;F143&amp;"_SIMUL AS DECIMAL(18,6)),0))&gt;0.000001) OR (X."&amp;F143&amp;" IS NULL AND Y."&amp;F143&amp;"_SIMUL IS NOT NULL ) OR (X."&amp;F143&amp;" IS NOT NULL AND Y."&amp;F143&amp;"_SIMUL IS NULL),1,0)) AS NUM_REG_DIF,'"&amp;MAX('ID1&amp;5'!K:K)+1&amp;"' AS ID_EXEC, CURRENT_TIMESTAMP() AS TIME_EXEC FROM "&amp;I143&amp;" INNER JOIN "&amp;J143&amp;" "&amp;K143,"SELECT '"&amp;UPPER(B143)&amp;"' AS TABELA, '"&amp;UPPER(C143)&amp;"' AS TIPOLOGIA_TESTE,'"&amp;D143&amp;"' AS TABELA_LT,'"&amp;E143&amp;"' AS TABELA_SIMUL,'"&amp;F143&amp;"' AS CAMPO, "&amp;"'${ref_date}' AS REF_DATE, COUNT(*) AS NUM_REG, SUM(IF(COALESCE(CAST(X."&amp;F143&amp;" AS STRING),'')&lt;&gt;COALESCE(CAST(Y."&amp;F143&amp;"_SIMUL AS STRING),'') OR (X."&amp;F143&amp;" IS NULL AND Y."&amp;F143&amp;"_SIMUL IS NOT NULL ) OR (X."&amp;F143&amp;" IS NOT NULL AND Y."&amp;F143&amp;"_SIMUL IS NULL),1,0)) AS NUM_REG_DIF,'"&amp;MAX('ID1&amp;5'!L:L)+1&amp;"' AS ID_EXEC, CURRENT_TIMESTAMP() AS TIME_EXEC FROM "&amp;I143&amp;" INNER JOIN "&amp;J143&amp;" "&amp;K143),
IF(C143="Validade",+IF(G143="Code List","SELECT '"&amp;UPPER(B143)&amp;"' AS TABELA, '"&amp;UPPER(C143)&amp;"' AS TIPOLOGIA_TESTE,'"&amp;D143&amp;"' AS TABELA_LT,'N/A' AS TABELA_SIMUL,'"&amp;F143&amp;"' AS CAMPO, "&amp;"'${ref_date}' AS REF_DATE, COUNT(*) AS NUM_REG, SUM(IF(TRIM(CAST(X."&amp;F143&amp;" AS STRING))='' OR TRIM(CAST(X."&amp;F143&amp;" AS STRING)) IS NULL OR CAST(X."&amp;F143&amp;" AS STRING) NOT "&amp;H143&amp;",1,0)) AS NUM_REG_DIF,'"&amp;MAX('ID1&amp;5'!K:K)+1&amp;"' AS ID_EXEC, CURRENT_TIMESTAMP() AS TIME_EXEC FROM "&amp;I143,"SELECT '"&amp;UPPER(B143)&amp;"' AS TABELA, '"&amp;UPPER(C143)&amp;"' AS TIPOLOGIA_TESTE,'"&amp;D143&amp;"' AS TABELA_LT,'N/A' AS TABELA_SIMUL,'"&amp;F143&amp;"' AS CAMPO, "&amp;"'${ref_date}' AS REF_DATE, COUNT(*) AS NUM_REG, SUM(IF(TRIM(CAST(X."&amp;F143&amp;" AS STRING))='' OR TRIM(CAST(X."&amp;F143&amp;" AS STRING)) IS NULL,1,0)) AS NUM_REG_DIF,'"&amp;MAX('ID1&amp;5'!K:K)+1&amp;"' AS ID_EXEC, CURRENT_TIMESTAMP() AS TIME_EXEC FROM "&amp;I143),
IF(C143="Caracteres Especiais",+"SELECT '"&amp;UPPER(B143)&amp;"' AS TABELA, '"&amp;UPPER(C143)&amp;"' AS TIPOLOGIA_TESTE,'"&amp;D143&amp;"' AS TABELA_LT,'N/A' AS TABELA_SIMUL,'"&amp;F143&amp;"' AS CAMPO, "&amp;"'${ref_date}' AS REF_DATE, COUNT(*) AS NUM_REG, SUM(IF(REGEXP_REPLACE(TRIM(CAST(X."&amp;F143&amp;" AS STRING)),'[^a-zA-Z0-9_\\s]','') &lt;&gt;TRIM(CAST(X."&amp;F143&amp;" AS STRING)),1,0)) AS NUM_REG_DIF,'"&amp;MAX('ID1&amp;5'!K:K)+1&amp;"' AS ID_EXEC, CURRENT_TIMESTAMP() AS TIME_EXEC FROM "&amp;I143,
IF(C143="Missings",+"SELECT '"&amp;UPPER(B143)&amp;"' AS TABELA, '"&amp;UPPER(C143)&amp;"' AS TIPOLOGIA_TESTE,'"&amp;D143&amp;"' AS TABELA_LT,'N/A' AS TABELA_SIMUL,'"&amp;F143&amp;"' AS CAMPO, "&amp;"'${ref_date}' AS REF_DATE, COUNT(*) AS NUM_REG, SUM(IF(TRIM(CAST(X."&amp;F143&amp;" AS STRING)) IN ('0000-00-00','0001-01-01','9999-12-31','MISS','00000','99999999999','99999999999.00','99999999999.000000'),1,0)) AS NUM_REG_DIF,'"&amp;MAX('ID1&amp;5'!K:K)+1&amp;"' AS ID_EXEC, CURRENT_TIMESTAMP() AS TIME_EXEC FROM "&amp;I143,
IF(C143="Not applicable",+"SELECT '"&amp;UPPER(B143)&amp;"' AS TABELA, '"&amp;UPPER(C143)&amp;"' AS TIPOLOGIA_TESTE,'"&amp;D143&amp;"' AS TABELA_LT,'N/A' AS TABELA_SIMUL,'"&amp;F143&amp;"' AS CAMPO, "&amp;"'${ref_date}' AS REF_DATE, COUNT(*) AS NUM_REG, SUM(IF(TRIM(CAST(X."&amp;F143&amp;" AS STRING)) IN ('N/A','11111111111','11111111111.00','11111111111.000000','1111-11-11'),1,0)) AS NUM_REG_DIF,'"&amp;MAX('ID1&amp;5'!K:K)+1&amp;"' AS ID_EXEC, CURRENT_TIMESTAMP() AS TIME_EXEC FROM "&amp;I143,
IF(C143="Valores extremos",+"SELECT '"&amp;UPPER(B143)&amp;"' AS TABELA, '"&amp;UPPER(C143)&amp;"' AS TIPOLOGIA_TESTE,'"&amp;D143&amp;"' AS TABELA_LT,'N/A' AS TABELA_SIMUL,'"&amp;F143&amp;"' AS CAMPO, "&amp;"'${ref_date}' AS REF_DATE, CAST(MIN("&amp;F143&amp;") AS STRING) AS VALOR_MIN, CAST(MAX("&amp;F143&amp;") AS STRING) AS VALOR_MAX,'"&amp;MAX('ID1&amp;5'!K:K)+1&amp;"' AS ID_EXEC, CURRENT_TIMESTAMP() AS TIME_EXEC FROM "&amp;MID(I143,1,LEN(I143)-2)&amp;" AND CAST("&amp;F143&amp;"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TABELA_SIMUL,'accmltd_imprmnt_instrmnt_prvs' AS CAMPO, '${ref_date}' AS REF_DATE, COUNT(*) AS NUM_REG, SUM(IF(COALESCE(CAST(X.accmltd_imprmnt_instrmnt_prvs AS STRING),'')&lt;&gt;COALESCE(CAST(Y.accmltd_imprmnt_instrmnt_prvs_SIMUL AS STRING),'') OR (X.accmltd_imprmnt_instrmnt_prvs IS NULL AND Y.accmltd_imprmnt_instrmnt_prvs_SIMUL IS NOT NULL ) OR (X.accmltd_imprmnt_instrmnt_prvs IS NOT NULL AND Y.accmltd_imprmnt_instrmnt_prvs_SIMUL IS NULL),1,0)) AS NUM_REG_DIF,'1' AS ID_EXEC, CURRENT_TIMESTAMP() AS TIME_EXEC FROM (SELECT instrmnt_id, accmltd_imprmnt_instrmnt_prvs FROM BU_LOANTAPE_WORK.LT002_INSTRUMENT WHERE ref_date='${ref_date}' AND nome_perimetro='Individual Local' AND segmento='ESTR' AND ambito='SRB_MBDT' AND entidade='00100')X INNER JOIN (SELECT instrmnt_id AS instrmnt_id_SIMUL, accmltd_imprmnt_instrmnt_prvs AS accmltd_imprmnt_instrmnt_prvs_SIMUL FROM BU_LOANTAPE_WORK.SIMUL_LT002_INSTRUMENT WHERE ref_date='${ref_date}' AND nome_perimetro='Individual Local' AND segmento='ESTR' AND ambito='PILAR3' AND entidade='00100')Y ON X.INSTRMNT_ID=Y.INSTRMNT_ID_SIMUL</v>
      </c>
      <c r="M143" s="36" t="str">
        <f t="shared" si="5"/>
        <v>UNION ALL SELECT 'INSTRUMENT' AS TABELA, 'COERÊNCIA' AS TIPOLOGIA_TESTE,'BU_LOANTAPE_WORK.LT002_INSTRUMENT' AS TABELA_LT,'BU_LOANTAPE_WORK.SIMUL_LT002_INSTRUMENT' AS TABELA_SIMUL,'accmltd_imprmnt_instrmnt_prvs' AS CAMPO, '${ref_date}' AS REF_DATE, COUNT(*) AS NUM_REG, SUM(IF(COALESCE(CAST(X.accmltd_imprmnt_instrmnt_prvs AS STRING),'')&lt;&gt;COALESCE(CAST(Y.accmltd_imprmnt_instrmnt_prvs_SIMUL AS STRING),'') OR (X.accmltd_imprmnt_instrmnt_prvs IS NULL AND Y.accmltd_imprmnt_instrmnt_prvs_SIMUL IS NOT NULL ) OR (X.accmltd_imprmnt_instrmnt_prvs IS NOT NULL AND Y.accmltd_imprmnt_instrmnt_prvs_SIMUL IS NULL),1,0)) AS NUM_REG_DIF,'1' AS ID_EXEC, CURRENT_TIMESTAMP() AS TIME_EXEC FROM (SELECT instrmnt_id, accmltd_imprmnt_instrmnt_prvs FROM BU_LOANTAPE_WORK.LT002_INSTRUMENT WHERE ref_date='${ref_date}' AND nome_perimetro='Individual Local' AND segmento='ESTR' AND ambito='SRB_MBDT' AND entidade='00100')X INNER JOIN (SELECT instrmnt_id AS instrmnt_id_SIMUL, accmltd_imprmnt_instrmnt_prvs AS accmltd_imprmnt_instrmnt_prvs_SIMUL FROM BU_LOANTAPE_WORK.SIMUL_LT002_INSTRUMENT WHERE ref_date='${ref_date}' AND nome_perimetro='Individual Local' AND segmento='ESTR' AND ambito='PILAR3' AND entidade='00100')Y ON X.INSTRMNT_ID=Y.INSTRMNT_ID_SIMUL</v>
      </c>
      <c r="N143" s="38"/>
    </row>
    <row r="144" spans="2:14">
      <c r="B144" s="34" t="s">
        <v>117</v>
      </c>
      <c r="C144" s="34" t="s">
        <v>5</v>
      </c>
      <c r="D144" s="34" t="str">
        <f>+UPPER('0. Instruções'!$D$35&amp;"."&amp;VLOOKUP(B144,'0. Instruções'!$C$27:$D$32,2,FALSE))</f>
        <v>BU_LOANTAPE_WORK.LT002_INSTRUMENT</v>
      </c>
      <c r="E144" s="34" t="str">
        <f>+UPPER('0. Instruções'!$D$36&amp;"."&amp;VLOOKUP(B144,'0. Instruções'!$C$27:$E$32,3,FALSE))</f>
        <v>BU_LOANTAPE_WORK.SIMUL_LT002_INSTRUMENT</v>
      </c>
      <c r="F144" s="34" t="s">
        <v>1211</v>
      </c>
      <c r="G144" s="34"/>
      <c r="H144" s="34"/>
      <c r="I144" s="34" t="str">
        <f>"(SELECT "&amp;VLOOKUP(B144,'0. Instruções'!$C$27:$G$32,4,FALSE)&amp;", "&amp;F144&amp;" FROM "&amp;D144&amp;" WHERE "&amp;'0. Instruções'!$D$42&amp;")X"</f>
        <v>(SELECT instrmnt_id, accmltd_wrtffs_instrmnt FROM BU_LOANTAPE_WORK.LT002_INSTRUMENT WHERE ref_date='${ref_date}' AND nome_perimetro='Individual Local' AND segmento='ESTR' AND ambito='SRB_MBDT' AND entidade='00100')X</v>
      </c>
      <c r="J144" s="34" t="str">
        <f>"(SELECT "&amp;VLOOKUP(B144,'0. Instruções'!$C$27:$G$32,4,FALSE)&amp;" AS "&amp;VLOOKUP(B144,'0. Instruções'!$C$27:$G$32,4,FALSE)&amp;"_SIMUL, "&amp;F144&amp;" AS "&amp;F144&amp;"_SIMUL FROM "&amp;E144&amp;" WHERE "&amp;'0. Instruções'!$D$43&amp;")Y"</f>
        <v>(SELECT instrmnt_id AS instrmnt_id_SIMUL, accmltd_wrtffs_instrmnt AS accmltd_wrtffs_instrmnt_SIMUL FROM BU_LOANTAPE_WORK.SIMUL_LT002_INSTRUMENT WHERE ref_date='${ref_date}' AND nome_perimetro='Individual Local' AND segmento='ESTR' AND ambito='PILAR3' AND entidade='00100')Y</v>
      </c>
      <c r="K144" s="35" t="str">
        <f>+UPPER("ON X."&amp;VLOOKUP(B144,'0. Instruções'!$C$27:$G$32,4,FALSE)&amp;"=Y."&amp;VLOOKUP(B144,'0. Instruções'!$C$27:$G$32,4,FALSE)&amp;"_SIMUL")</f>
        <v>ON X.INSTRMNT_ID=Y.INSTRMNT_ID_SIMUL</v>
      </c>
      <c r="L144" s="35" t="str">
        <f>+IF(C144="Coerência", +IF(LEFT(G144,5)="FLOAT","SELECT '"&amp;UPPER(B144)&amp;"' AS TABELA, '"&amp;UPPER(C144)&amp;"' AS TIPOLOGIA_TESTE,'"&amp;D144&amp;"' AS TABELA_LT,'"&amp;E144&amp;"' AS TABELA_SIMUL,'"&amp;F144&amp;"' AS CAMPO, "&amp;"'${ref_date}' AS REF_DATE, COUNT(*) AS NUM_REG, SUM(IF((ABS(COALESCE(CAST(X."&amp;F144&amp;" AS DECIMAL(18,6)),0)-COALESCE(CAST(Y."&amp;F144&amp;"_SIMUL AS DECIMAL(18,6)),0))&gt;0.000001) OR (X."&amp;F144&amp;" IS NULL AND Y."&amp;F144&amp;"_SIMUL IS NOT NULL ) OR (X."&amp;F144&amp;" IS NOT NULL AND Y."&amp;F144&amp;"_SIMUL IS NULL),1,0)) AS NUM_REG_DIF,'"&amp;MAX('ID1&amp;5'!K:K)+1&amp;"' AS ID_EXEC, CURRENT_TIMESTAMP() AS TIME_EXEC FROM "&amp;I144&amp;" INNER JOIN "&amp;J144&amp;" "&amp;K144,"SELECT '"&amp;UPPER(B144)&amp;"' AS TABELA, '"&amp;UPPER(C144)&amp;"' AS TIPOLOGIA_TESTE,'"&amp;D144&amp;"' AS TABELA_LT,'"&amp;E144&amp;"' AS TABELA_SIMUL,'"&amp;F144&amp;"' AS CAMPO, "&amp;"'${ref_date}' AS REF_DATE, COUNT(*) AS NUM_REG, SUM(IF(COALESCE(CAST(X."&amp;F144&amp;" AS STRING),'')&lt;&gt;COALESCE(CAST(Y."&amp;F144&amp;"_SIMUL AS STRING),'') OR (X."&amp;F144&amp;" IS NULL AND Y."&amp;F144&amp;"_SIMUL IS NOT NULL ) OR (X."&amp;F144&amp;" IS NOT NULL AND Y."&amp;F144&amp;"_SIMUL IS NULL),1,0)) AS NUM_REG_DIF,'"&amp;MAX('ID1&amp;5'!L:L)+1&amp;"' AS ID_EXEC, CURRENT_TIMESTAMP() AS TIME_EXEC FROM "&amp;I144&amp;" INNER JOIN "&amp;J144&amp;" "&amp;K144),
IF(C144="Validade",+IF(G144="Code List","SELECT '"&amp;UPPER(B144)&amp;"' AS TABELA, '"&amp;UPPER(C144)&amp;"' AS TIPOLOGIA_TESTE,'"&amp;D144&amp;"' AS TABELA_LT,'N/A' AS TABELA_SIMUL,'"&amp;F144&amp;"' AS CAMPO, "&amp;"'${ref_date}' AS REF_DATE, COUNT(*) AS NUM_REG, SUM(IF(TRIM(CAST(X."&amp;F144&amp;" AS STRING))='' OR TRIM(CAST(X."&amp;F144&amp;" AS STRING)) IS NULL OR CAST(X."&amp;F144&amp;" AS STRING) NOT "&amp;H144&amp;",1,0)) AS NUM_REG_DIF,'"&amp;MAX('ID1&amp;5'!K:K)+1&amp;"' AS ID_EXEC, CURRENT_TIMESTAMP() AS TIME_EXEC FROM "&amp;I144,"SELECT '"&amp;UPPER(B144)&amp;"' AS TABELA, '"&amp;UPPER(C144)&amp;"' AS TIPOLOGIA_TESTE,'"&amp;D144&amp;"' AS TABELA_LT,'N/A' AS TABELA_SIMUL,'"&amp;F144&amp;"' AS CAMPO, "&amp;"'${ref_date}' AS REF_DATE, COUNT(*) AS NUM_REG, SUM(IF(TRIM(CAST(X."&amp;F144&amp;" AS STRING))='' OR TRIM(CAST(X."&amp;F144&amp;" AS STRING)) IS NULL,1,0)) AS NUM_REG_DIF,'"&amp;MAX('ID1&amp;5'!K:K)+1&amp;"' AS ID_EXEC, CURRENT_TIMESTAMP() AS TIME_EXEC FROM "&amp;I144),
IF(C144="Caracteres Especiais",+"SELECT '"&amp;UPPER(B144)&amp;"' AS TABELA, '"&amp;UPPER(C144)&amp;"' AS TIPOLOGIA_TESTE,'"&amp;D144&amp;"' AS TABELA_LT,'N/A' AS TABELA_SIMUL,'"&amp;F144&amp;"' AS CAMPO, "&amp;"'${ref_date}' AS REF_DATE, COUNT(*) AS NUM_REG, SUM(IF(REGEXP_REPLACE(TRIM(CAST(X."&amp;F144&amp;" AS STRING)),'[^a-zA-Z0-9_\\s]','') &lt;&gt;TRIM(CAST(X."&amp;F144&amp;" AS STRING)),1,0)) AS NUM_REG_DIF,'"&amp;MAX('ID1&amp;5'!K:K)+1&amp;"' AS ID_EXEC, CURRENT_TIMESTAMP() AS TIME_EXEC FROM "&amp;I144,
IF(C144="Missings",+"SELECT '"&amp;UPPER(B144)&amp;"' AS TABELA, '"&amp;UPPER(C144)&amp;"' AS TIPOLOGIA_TESTE,'"&amp;D144&amp;"' AS TABELA_LT,'N/A' AS TABELA_SIMUL,'"&amp;F144&amp;"' AS CAMPO, "&amp;"'${ref_date}' AS REF_DATE, COUNT(*) AS NUM_REG, SUM(IF(TRIM(CAST(X."&amp;F144&amp;" AS STRING)) IN ('0000-00-00','0001-01-01','9999-12-31','MISS','00000','99999999999','99999999999.00','99999999999.000000'),1,0)) AS NUM_REG_DIF,'"&amp;MAX('ID1&amp;5'!K:K)+1&amp;"' AS ID_EXEC, CURRENT_TIMESTAMP() AS TIME_EXEC FROM "&amp;I144,
IF(C144="Not applicable",+"SELECT '"&amp;UPPER(B144)&amp;"' AS TABELA, '"&amp;UPPER(C144)&amp;"' AS TIPOLOGIA_TESTE,'"&amp;D144&amp;"' AS TABELA_LT,'N/A' AS TABELA_SIMUL,'"&amp;F144&amp;"' AS CAMPO, "&amp;"'${ref_date}' AS REF_DATE, COUNT(*) AS NUM_REG, SUM(IF(TRIM(CAST(X."&amp;F144&amp;" AS STRING)) IN ('N/A','11111111111','11111111111.00','11111111111.000000','1111-11-11'),1,0)) AS NUM_REG_DIF,'"&amp;MAX('ID1&amp;5'!K:K)+1&amp;"' AS ID_EXEC, CURRENT_TIMESTAMP() AS TIME_EXEC FROM "&amp;I144,
IF(C144="Valores extremos",+"SELECT '"&amp;UPPER(B144)&amp;"' AS TABELA, '"&amp;UPPER(C144)&amp;"' AS TIPOLOGIA_TESTE,'"&amp;D144&amp;"' AS TABELA_LT,'N/A' AS TABELA_SIMUL,'"&amp;F144&amp;"' AS CAMPO, "&amp;"'${ref_date}' AS REF_DATE, CAST(MIN("&amp;F144&amp;") AS STRING) AS VALOR_MIN, CAST(MAX("&amp;F144&amp;") AS STRING) AS VALOR_MAX,'"&amp;MAX('ID1&amp;5'!K:K)+1&amp;"' AS ID_EXEC, CURRENT_TIMESTAMP() AS TIME_EXEC FROM "&amp;MID(I144,1,LEN(I144)-2)&amp;" AND CAST("&amp;F144&amp;"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TABELA_SIMUL,'accmltd_wrtffs_instrmnt' AS CAMPO, '${ref_date}' AS REF_DATE, COUNT(*) AS NUM_REG, SUM(IF(COALESCE(CAST(X.accmltd_wrtffs_instrmnt AS STRING),'')&lt;&gt;COALESCE(CAST(Y.accmltd_wrtffs_instrmnt_SIMUL AS STRING),'') OR (X.accmltd_wrtffs_instrmnt IS NULL AND Y.accmltd_wrtffs_instrmnt_SIMUL IS NOT NULL ) OR (X.accmltd_wrtffs_instrmnt IS NOT NULL AND Y.accmltd_wrtffs_instrmnt_SIMUL IS NULL),1,0)) AS NUM_REG_DIF,'1' AS ID_EXEC, CURRENT_TIMESTAMP() AS TIME_EXEC FROM (SELECT instrmnt_id, accmltd_wrtffs_instrmnt FROM BU_LOANTAPE_WORK.LT002_INSTRUMENT WHERE ref_date='${ref_date}' AND nome_perimetro='Individual Local' AND segmento='ESTR' AND ambito='SRB_MBDT' AND entidade='00100')X INNER JOIN (SELECT instrmnt_id AS instrmnt_id_SIMUL, accmltd_wrtffs_instrmnt AS accmltd_wrtffs_instrmnt_SIMUL FROM BU_LOANTAPE_WORK.SIMUL_LT002_INSTRUMENT WHERE ref_date='${ref_date}' AND nome_perimetro='Individual Local' AND segmento='ESTR' AND ambito='PILAR3' AND entidade='00100')Y ON X.INSTRMNT_ID=Y.INSTRMNT_ID_SIMUL</v>
      </c>
      <c r="M144" s="36" t="str">
        <f t="shared" si="5"/>
        <v>UNION ALL SELECT 'INSTRUMENT' AS TABELA, 'COERÊNCIA' AS TIPOLOGIA_TESTE,'BU_LOANTAPE_WORK.LT002_INSTRUMENT' AS TABELA_LT,'BU_LOANTAPE_WORK.SIMUL_LT002_INSTRUMENT' AS TABELA_SIMUL,'accmltd_wrtffs_instrmnt' AS CAMPO, '${ref_date}' AS REF_DATE, COUNT(*) AS NUM_REG, SUM(IF(COALESCE(CAST(X.accmltd_wrtffs_instrmnt AS STRING),'')&lt;&gt;COALESCE(CAST(Y.accmltd_wrtffs_instrmnt_SIMUL AS STRING),'') OR (X.accmltd_wrtffs_instrmnt IS NULL AND Y.accmltd_wrtffs_instrmnt_SIMUL IS NOT NULL ) OR (X.accmltd_wrtffs_instrmnt IS NOT NULL AND Y.accmltd_wrtffs_instrmnt_SIMUL IS NULL),1,0)) AS NUM_REG_DIF,'1' AS ID_EXEC, CURRENT_TIMESTAMP() AS TIME_EXEC FROM (SELECT instrmnt_id, accmltd_wrtffs_instrmnt FROM BU_LOANTAPE_WORK.LT002_INSTRUMENT WHERE ref_date='${ref_date}' AND nome_perimetro='Individual Local' AND segmento='ESTR' AND ambito='SRB_MBDT' AND entidade='00100')X INNER JOIN (SELECT instrmnt_id AS instrmnt_id_SIMUL, accmltd_wrtffs_instrmnt AS accmltd_wrtffs_instrmnt_SIMUL FROM BU_LOANTAPE_WORK.SIMUL_LT002_INSTRUMENT WHERE ref_date='${ref_date}' AND nome_perimetro='Individual Local' AND segmento='ESTR' AND ambito='PILAR3' AND entidade='00100')Y ON X.INSTRMNT_ID=Y.INSTRMNT_ID_SIMUL</v>
      </c>
      <c r="N144" s="38"/>
    </row>
    <row r="145" spans="2:14">
      <c r="B145" s="34" t="s">
        <v>117</v>
      </c>
      <c r="C145" s="34" t="s">
        <v>5</v>
      </c>
      <c r="D145" s="34" t="str">
        <f>+UPPER('0. Instruções'!$D$35&amp;"."&amp;VLOOKUP(B145,'0. Instruções'!$C$27:$D$32,2,FALSE))</f>
        <v>BU_LOANTAPE_WORK.LT002_INSTRUMENT</v>
      </c>
      <c r="E145" s="34" t="str">
        <f>+UPPER('0. Instruções'!$D$36&amp;"."&amp;VLOOKUP(B145,'0. Instruções'!$C$27:$E$32,3,FALSE))</f>
        <v>BU_LOANTAPE_WORK.SIMUL_LT002_INSTRUMENT</v>
      </c>
      <c r="F145" s="34" t="s">
        <v>1212</v>
      </c>
      <c r="G145" s="34"/>
      <c r="H145" s="34"/>
      <c r="I145" s="34" t="str">
        <f>"(SELECT "&amp;VLOOKUP(B145,'0. Instruções'!$C$27:$G$32,4,FALSE)&amp;", "&amp;F145&amp;" FROM "&amp;D145&amp;" WHERE "&amp;'0. Instruções'!$D$42&amp;")X"</f>
        <v>(SELECT instrmnt_id, arrrs_instrmnt FROM BU_LOANTAPE_WORK.LT002_INSTRUMENT WHERE ref_date='${ref_date}' AND nome_perimetro='Individual Local' AND segmento='ESTR' AND ambito='SRB_MBDT' AND entidade='00100')X</v>
      </c>
      <c r="J145" s="34" t="str">
        <f>"(SELECT "&amp;VLOOKUP(B145,'0. Instruções'!$C$27:$G$32,4,FALSE)&amp;" AS "&amp;VLOOKUP(B145,'0. Instruções'!$C$27:$G$32,4,FALSE)&amp;"_SIMUL, "&amp;F145&amp;" AS "&amp;F145&amp;"_SIMUL FROM "&amp;E145&amp;" WHERE "&amp;'0. Instruções'!$D$43&amp;")Y"</f>
        <v>(SELECT instrmnt_id AS instrmnt_id_SIMUL, arrrs_instrmnt AS arrrs_instrmnt_SIMUL FROM BU_LOANTAPE_WORK.SIMUL_LT002_INSTRUMENT WHERE ref_date='${ref_date}' AND nome_perimetro='Individual Local' AND segmento='ESTR' AND ambito='PILAR3' AND entidade='00100')Y</v>
      </c>
      <c r="K145" s="35" t="str">
        <f>+UPPER("ON X."&amp;VLOOKUP(B145,'0. Instruções'!$C$27:$G$32,4,FALSE)&amp;"=Y."&amp;VLOOKUP(B145,'0. Instruções'!$C$27:$G$32,4,FALSE)&amp;"_SIMUL")</f>
        <v>ON X.INSTRMNT_ID=Y.INSTRMNT_ID_SIMUL</v>
      </c>
      <c r="L145" s="35" t="str">
        <f>+IF(C145="Coerência", +IF(LEFT(G145,5)="FLOAT","SELECT '"&amp;UPPER(B145)&amp;"' AS TABELA, '"&amp;UPPER(C145)&amp;"' AS TIPOLOGIA_TESTE,'"&amp;D145&amp;"' AS TABELA_LT,'"&amp;E145&amp;"' AS TABELA_SIMUL,'"&amp;F145&amp;"' AS CAMPO, "&amp;"'${ref_date}' AS REF_DATE, COUNT(*) AS NUM_REG, SUM(IF((ABS(COALESCE(CAST(X."&amp;F145&amp;" AS DECIMAL(18,6)),0)-COALESCE(CAST(Y."&amp;F145&amp;"_SIMUL AS DECIMAL(18,6)),0))&gt;0.000001) OR (X."&amp;F145&amp;" IS NULL AND Y."&amp;F145&amp;"_SIMUL IS NOT NULL ) OR (X."&amp;F145&amp;" IS NOT NULL AND Y."&amp;F145&amp;"_SIMUL IS NULL),1,0)) AS NUM_REG_DIF,'"&amp;MAX('ID1&amp;5'!K:K)+1&amp;"' AS ID_EXEC, CURRENT_TIMESTAMP() AS TIME_EXEC FROM "&amp;I145&amp;" INNER JOIN "&amp;J145&amp;" "&amp;K145,"SELECT '"&amp;UPPER(B145)&amp;"' AS TABELA, '"&amp;UPPER(C145)&amp;"' AS TIPOLOGIA_TESTE,'"&amp;D145&amp;"' AS TABELA_LT,'"&amp;E145&amp;"' AS TABELA_SIMUL,'"&amp;F145&amp;"' AS CAMPO, "&amp;"'${ref_date}' AS REF_DATE, COUNT(*) AS NUM_REG, SUM(IF(COALESCE(CAST(X."&amp;F145&amp;" AS STRING),'')&lt;&gt;COALESCE(CAST(Y."&amp;F145&amp;"_SIMUL AS STRING),'') OR (X."&amp;F145&amp;" IS NULL AND Y."&amp;F145&amp;"_SIMUL IS NOT NULL ) OR (X."&amp;F145&amp;" IS NOT NULL AND Y."&amp;F145&amp;"_SIMUL IS NULL),1,0)) AS NUM_REG_DIF,'"&amp;MAX('ID1&amp;5'!L:L)+1&amp;"' AS ID_EXEC, CURRENT_TIMESTAMP() AS TIME_EXEC FROM "&amp;I145&amp;" INNER JOIN "&amp;J145&amp;" "&amp;K145),
IF(C145="Validade",+IF(G145="Code List","SELECT '"&amp;UPPER(B145)&amp;"' AS TABELA, '"&amp;UPPER(C145)&amp;"' AS TIPOLOGIA_TESTE,'"&amp;D145&amp;"' AS TABELA_LT,'N/A' AS TABELA_SIMUL,'"&amp;F145&amp;"' AS CAMPO, "&amp;"'${ref_date}' AS REF_DATE, COUNT(*) AS NUM_REG, SUM(IF(TRIM(CAST(X."&amp;F145&amp;" AS STRING))='' OR TRIM(CAST(X."&amp;F145&amp;" AS STRING)) IS NULL OR CAST(X."&amp;F145&amp;" AS STRING) NOT "&amp;H145&amp;",1,0)) AS NUM_REG_DIF,'"&amp;MAX('ID1&amp;5'!K:K)+1&amp;"' AS ID_EXEC, CURRENT_TIMESTAMP() AS TIME_EXEC FROM "&amp;I145,"SELECT '"&amp;UPPER(B145)&amp;"' AS TABELA, '"&amp;UPPER(C145)&amp;"' AS TIPOLOGIA_TESTE,'"&amp;D145&amp;"' AS TABELA_LT,'N/A' AS TABELA_SIMUL,'"&amp;F145&amp;"' AS CAMPO, "&amp;"'${ref_date}' AS REF_DATE, COUNT(*) AS NUM_REG, SUM(IF(TRIM(CAST(X."&amp;F145&amp;" AS STRING))='' OR TRIM(CAST(X."&amp;F145&amp;" AS STRING)) IS NULL,1,0)) AS NUM_REG_DIF,'"&amp;MAX('ID1&amp;5'!K:K)+1&amp;"' AS ID_EXEC, CURRENT_TIMESTAMP() AS TIME_EXEC FROM "&amp;I145),
IF(C145="Caracteres Especiais",+"SELECT '"&amp;UPPER(B145)&amp;"' AS TABELA, '"&amp;UPPER(C145)&amp;"' AS TIPOLOGIA_TESTE,'"&amp;D145&amp;"' AS TABELA_LT,'N/A' AS TABELA_SIMUL,'"&amp;F145&amp;"' AS CAMPO, "&amp;"'${ref_date}' AS REF_DATE, COUNT(*) AS NUM_REG, SUM(IF(REGEXP_REPLACE(TRIM(CAST(X."&amp;F145&amp;" AS STRING)),'[^a-zA-Z0-9_\\s]','') &lt;&gt;TRIM(CAST(X."&amp;F145&amp;" AS STRING)),1,0)) AS NUM_REG_DIF,'"&amp;MAX('ID1&amp;5'!K:K)+1&amp;"' AS ID_EXEC, CURRENT_TIMESTAMP() AS TIME_EXEC FROM "&amp;I145,
IF(C145="Missings",+"SELECT '"&amp;UPPER(B145)&amp;"' AS TABELA, '"&amp;UPPER(C145)&amp;"' AS TIPOLOGIA_TESTE,'"&amp;D145&amp;"' AS TABELA_LT,'N/A' AS TABELA_SIMUL,'"&amp;F145&amp;"' AS CAMPO, "&amp;"'${ref_date}' AS REF_DATE, COUNT(*) AS NUM_REG, SUM(IF(TRIM(CAST(X."&amp;F145&amp;" AS STRING)) IN ('0000-00-00','0001-01-01','9999-12-31','MISS','00000','99999999999','99999999999.00','99999999999.000000'),1,0)) AS NUM_REG_DIF,'"&amp;MAX('ID1&amp;5'!K:K)+1&amp;"' AS ID_EXEC, CURRENT_TIMESTAMP() AS TIME_EXEC FROM "&amp;I145,
IF(C145="Not applicable",+"SELECT '"&amp;UPPER(B145)&amp;"' AS TABELA, '"&amp;UPPER(C145)&amp;"' AS TIPOLOGIA_TESTE,'"&amp;D145&amp;"' AS TABELA_LT,'N/A' AS TABELA_SIMUL,'"&amp;F145&amp;"' AS CAMPO, "&amp;"'${ref_date}' AS REF_DATE, COUNT(*) AS NUM_REG, SUM(IF(TRIM(CAST(X."&amp;F145&amp;" AS STRING)) IN ('N/A','11111111111','11111111111.00','11111111111.000000','1111-11-11'),1,0)) AS NUM_REG_DIF,'"&amp;MAX('ID1&amp;5'!K:K)+1&amp;"' AS ID_EXEC, CURRENT_TIMESTAMP() AS TIME_EXEC FROM "&amp;I145,
IF(C145="Valores extremos",+"SELECT '"&amp;UPPER(B145)&amp;"' AS TABELA, '"&amp;UPPER(C145)&amp;"' AS TIPOLOGIA_TESTE,'"&amp;D145&amp;"' AS TABELA_LT,'N/A' AS TABELA_SIMUL,'"&amp;F145&amp;"' AS CAMPO, "&amp;"'${ref_date}' AS REF_DATE, CAST(MIN("&amp;F145&amp;") AS STRING) AS VALOR_MIN, CAST(MAX("&amp;F145&amp;") AS STRING) AS VALOR_MAX,'"&amp;MAX('ID1&amp;5'!K:K)+1&amp;"' AS ID_EXEC, CURRENT_TIMESTAMP() AS TIME_EXEC FROM "&amp;MID(I145,1,LEN(I145)-2)&amp;" AND CAST("&amp;F145&amp;"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TABELA_SIMUL,'arrrs_instrmnt' AS CAMPO, '${ref_date}' AS REF_DATE, COUNT(*) AS NUM_REG, SUM(IF(COALESCE(CAST(X.arrrs_instrmnt AS STRING),'')&lt;&gt;COALESCE(CAST(Y.arrrs_instrmnt_SIMUL AS STRING),'') OR (X.arrrs_instrmnt IS NULL AND Y.arrrs_instrmnt_SIMUL IS NOT NULL ) OR (X.arrrs_instrmnt IS NOT NULL AND Y.arrrs_instrmnt_SIMUL IS NULL),1,0)) AS NUM_REG_DIF,'1' AS ID_EXEC, CURRENT_TIMESTAMP() AS TIME_EXEC FROM (SELECT instrmnt_id, arrrs_instrmnt FROM BU_LOANTAPE_WORK.LT002_INSTRUMENT WHERE ref_date='${ref_date}' AND nome_perimetro='Individual Local' AND segmento='ESTR' AND ambito='SRB_MBDT' AND entidade='00100')X INNER JOIN (SELECT instrmnt_id AS instrmnt_id_SIMUL, arrrs_instrmnt AS arrrs_instrmnt_SIMUL FROM BU_LOANTAPE_WORK.SIMUL_LT002_INSTRUMENT WHERE ref_date='${ref_date}' AND nome_perimetro='Individual Local' AND segmento='ESTR' AND ambito='PILAR3' AND entidade='00100')Y ON X.INSTRMNT_ID=Y.INSTRMNT_ID_SIMUL</v>
      </c>
      <c r="M145" s="36" t="str">
        <f t="shared" si="5"/>
        <v>UNION ALL SELECT 'INSTRUMENT' AS TABELA, 'COERÊNCIA' AS TIPOLOGIA_TESTE,'BU_LOANTAPE_WORK.LT002_INSTRUMENT' AS TABELA_LT,'BU_LOANTAPE_WORK.SIMUL_LT002_INSTRUMENT' AS TABELA_SIMUL,'arrrs_instrmnt' AS CAMPO, '${ref_date}' AS REF_DATE, COUNT(*) AS NUM_REG, SUM(IF(COALESCE(CAST(X.arrrs_instrmnt AS STRING),'')&lt;&gt;COALESCE(CAST(Y.arrrs_instrmnt_SIMUL AS STRING),'') OR (X.arrrs_instrmnt IS NULL AND Y.arrrs_instrmnt_SIMUL IS NOT NULL ) OR (X.arrrs_instrmnt IS NOT NULL AND Y.arrrs_instrmnt_SIMUL IS NULL),1,0)) AS NUM_REG_DIF,'1' AS ID_EXEC, CURRENT_TIMESTAMP() AS TIME_EXEC FROM (SELECT instrmnt_id, arrrs_instrmnt FROM BU_LOANTAPE_WORK.LT002_INSTRUMENT WHERE ref_date='${ref_date}' AND nome_perimetro='Individual Local' AND segmento='ESTR' AND ambito='SRB_MBDT' AND entidade='00100')X INNER JOIN (SELECT instrmnt_id AS instrmnt_id_SIMUL, arrrs_instrmnt AS arrrs_instrmnt_SIMUL FROM BU_LOANTAPE_WORK.SIMUL_LT002_INSTRUMENT WHERE ref_date='${ref_date}' AND nome_perimetro='Individual Local' AND segmento='ESTR' AND ambito='PILAR3' AND entidade='00100')Y ON X.INSTRMNT_ID=Y.INSTRMNT_ID_SIMUL</v>
      </c>
      <c r="N145" s="38"/>
    </row>
    <row r="146" spans="2:14">
      <c r="B146" s="34" t="s">
        <v>117</v>
      </c>
      <c r="C146" s="34" t="s">
        <v>5</v>
      </c>
      <c r="D146" s="34" t="str">
        <f>+UPPER('0. Instruções'!$D$35&amp;"."&amp;VLOOKUP(B146,'0. Instruções'!$C$27:$D$32,2,FALSE))</f>
        <v>BU_LOANTAPE_WORK.LT002_INSTRUMENT</v>
      </c>
      <c r="E146" s="34" t="str">
        <f>+UPPER('0. Instruções'!$D$36&amp;"."&amp;VLOOKUP(B146,'0. Instruções'!$C$27:$E$32,3,FALSE))</f>
        <v>BU_LOANTAPE_WORK.SIMUL_LT002_INSTRUMENT</v>
      </c>
      <c r="F146" s="34" t="s">
        <v>1213</v>
      </c>
      <c r="G146" s="34"/>
      <c r="H146" s="34"/>
      <c r="I146" s="34" t="str">
        <f>"(SELECT "&amp;VLOOKUP(B146,'0. Instruções'!$C$27:$G$32,4,FALSE)&amp;", "&amp;F146&amp;" FROM "&amp;D146&amp;" WHERE "&amp;'0. Instruções'!$D$42&amp;")X"</f>
        <v>(SELECT instrmnt_id, arrrs_instrmnt_12m FROM BU_LOANTAPE_WORK.LT002_INSTRUMENT WHERE ref_date='${ref_date}' AND nome_perimetro='Individual Local' AND segmento='ESTR' AND ambito='SRB_MBDT' AND entidade='00100')X</v>
      </c>
      <c r="J146" s="34" t="str">
        <f>"(SELECT "&amp;VLOOKUP(B146,'0. Instruções'!$C$27:$G$32,4,FALSE)&amp;" AS "&amp;VLOOKUP(B146,'0. Instruções'!$C$27:$G$32,4,FALSE)&amp;"_SIMUL, "&amp;F146&amp;" AS "&amp;F146&amp;"_SIMUL FROM "&amp;E146&amp;" WHERE "&amp;'0. Instruções'!$D$43&amp;")Y"</f>
        <v>(SELECT instrmnt_id AS instrmnt_id_SIMUL, arrrs_instrmnt_12m AS arrrs_instrmnt_12m_SIMUL FROM BU_LOANTAPE_WORK.SIMUL_LT002_INSTRUMENT WHERE ref_date='${ref_date}' AND nome_perimetro='Individual Local' AND segmento='ESTR' AND ambito='PILAR3' AND entidade='00100')Y</v>
      </c>
      <c r="K146" s="35" t="str">
        <f>+UPPER("ON X."&amp;VLOOKUP(B146,'0. Instruções'!$C$27:$G$32,4,FALSE)&amp;"=Y."&amp;VLOOKUP(B146,'0. Instruções'!$C$27:$G$32,4,FALSE)&amp;"_SIMUL")</f>
        <v>ON X.INSTRMNT_ID=Y.INSTRMNT_ID_SIMUL</v>
      </c>
      <c r="L146" s="35" t="str">
        <f>+IF(C146="Coerência", +IF(LEFT(G146,5)="FLOAT","SELECT '"&amp;UPPER(B146)&amp;"' AS TABELA, '"&amp;UPPER(C146)&amp;"' AS TIPOLOGIA_TESTE,'"&amp;D146&amp;"' AS TABELA_LT,'"&amp;E146&amp;"' AS TABELA_SIMUL,'"&amp;F146&amp;"' AS CAMPO, "&amp;"'${ref_date}' AS REF_DATE, COUNT(*) AS NUM_REG, SUM(IF((ABS(COALESCE(CAST(X."&amp;F146&amp;" AS DECIMAL(18,6)),0)-COALESCE(CAST(Y."&amp;F146&amp;"_SIMUL AS DECIMAL(18,6)),0))&gt;0.000001) OR (X."&amp;F146&amp;" IS NULL AND Y."&amp;F146&amp;"_SIMUL IS NOT NULL ) OR (X."&amp;F146&amp;" IS NOT NULL AND Y."&amp;F146&amp;"_SIMUL IS NULL),1,0)) AS NUM_REG_DIF,'"&amp;MAX('ID1&amp;5'!K:K)+1&amp;"' AS ID_EXEC, CURRENT_TIMESTAMP() AS TIME_EXEC FROM "&amp;I146&amp;" INNER JOIN "&amp;J146&amp;" "&amp;K146,"SELECT '"&amp;UPPER(B146)&amp;"' AS TABELA, '"&amp;UPPER(C146)&amp;"' AS TIPOLOGIA_TESTE,'"&amp;D146&amp;"' AS TABELA_LT,'"&amp;E146&amp;"' AS TABELA_SIMUL,'"&amp;F146&amp;"' AS CAMPO, "&amp;"'${ref_date}' AS REF_DATE, COUNT(*) AS NUM_REG, SUM(IF(COALESCE(CAST(X."&amp;F146&amp;" AS STRING),'')&lt;&gt;COALESCE(CAST(Y."&amp;F146&amp;"_SIMUL AS STRING),'') OR (X."&amp;F146&amp;" IS NULL AND Y."&amp;F146&amp;"_SIMUL IS NOT NULL ) OR (X."&amp;F146&amp;" IS NOT NULL AND Y."&amp;F146&amp;"_SIMUL IS NULL),1,0)) AS NUM_REG_DIF,'"&amp;MAX('ID1&amp;5'!L:L)+1&amp;"' AS ID_EXEC, CURRENT_TIMESTAMP() AS TIME_EXEC FROM "&amp;I146&amp;" INNER JOIN "&amp;J146&amp;" "&amp;K146),
IF(C146="Validade",+IF(G146="Code List","SELECT '"&amp;UPPER(B146)&amp;"' AS TABELA, '"&amp;UPPER(C146)&amp;"' AS TIPOLOGIA_TESTE,'"&amp;D146&amp;"' AS TABELA_LT,'N/A' AS TABELA_SIMUL,'"&amp;F146&amp;"' AS CAMPO, "&amp;"'${ref_date}' AS REF_DATE, COUNT(*) AS NUM_REG, SUM(IF(TRIM(CAST(X."&amp;F146&amp;" AS STRING))='' OR TRIM(CAST(X."&amp;F146&amp;" AS STRING)) IS NULL OR CAST(X."&amp;F146&amp;" AS STRING) NOT "&amp;H146&amp;",1,0)) AS NUM_REG_DIF,'"&amp;MAX('ID1&amp;5'!K:K)+1&amp;"' AS ID_EXEC, CURRENT_TIMESTAMP() AS TIME_EXEC FROM "&amp;I146,"SELECT '"&amp;UPPER(B146)&amp;"' AS TABELA, '"&amp;UPPER(C146)&amp;"' AS TIPOLOGIA_TESTE,'"&amp;D146&amp;"' AS TABELA_LT,'N/A' AS TABELA_SIMUL,'"&amp;F146&amp;"' AS CAMPO, "&amp;"'${ref_date}' AS REF_DATE, COUNT(*) AS NUM_REG, SUM(IF(TRIM(CAST(X."&amp;F146&amp;" AS STRING))='' OR TRIM(CAST(X."&amp;F146&amp;" AS STRING)) IS NULL,1,0)) AS NUM_REG_DIF,'"&amp;MAX('ID1&amp;5'!K:K)+1&amp;"' AS ID_EXEC, CURRENT_TIMESTAMP() AS TIME_EXEC FROM "&amp;I146),
IF(C146="Caracteres Especiais",+"SELECT '"&amp;UPPER(B146)&amp;"' AS TABELA, '"&amp;UPPER(C146)&amp;"' AS TIPOLOGIA_TESTE,'"&amp;D146&amp;"' AS TABELA_LT,'N/A' AS TABELA_SIMUL,'"&amp;F146&amp;"' AS CAMPO, "&amp;"'${ref_date}' AS REF_DATE, COUNT(*) AS NUM_REG, SUM(IF(REGEXP_REPLACE(TRIM(CAST(X."&amp;F146&amp;" AS STRING)),'[^a-zA-Z0-9_\\s]','') &lt;&gt;TRIM(CAST(X."&amp;F146&amp;" AS STRING)),1,0)) AS NUM_REG_DIF,'"&amp;MAX('ID1&amp;5'!K:K)+1&amp;"' AS ID_EXEC, CURRENT_TIMESTAMP() AS TIME_EXEC FROM "&amp;I146,
IF(C146="Missings",+"SELECT '"&amp;UPPER(B146)&amp;"' AS TABELA, '"&amp;UPPER(C146)&amp;"' AS TIPOLOGIA_TESTE,'"&amp;D146&amp;"' AS TABELA_LT,'N/A' AS TABELA_SIMUL,'"&amp;F146&amp;"' AS CAMPO, "&amp;"'${ref_date}' AS REF_DATE, COUNT(*) AS NUM_REG, SUM(IF(TRIM(CAST(X."&amp;F146&amp;" AS STRING)) IN ('0000-00-00','0001-01-01','9999-12-31','MISS','00000','99999999999','99999999999.00','99999999999.000000'),1,0)) AS NUM_REG_DIF,'"&amp;MAX('ID1&amp;5'!K:K)+1&amp;"' AS ID_EXEC, CURRENT_TIMESTAMP() AS TIME_EXEC FROM "&amp;I146,
IF(C146="Not applicable",+"SELECT '"&amp;UPPER(B146)&amp;"' AS TABELA, '"&amp;UPPER(C146)&amp;"' AS TIPOLOGIA_TESTE,'"&amp;D146&amp;"' AS TABELA_LT,'N/A' AS TABELA_SIMUL,'"&amp;F146&amp;"' AS CAMPO, "&amp;"'${ref_date}' AS REF_DATE, COUNT(*) AS NUM_REG, SUM(IF(TRIM(CAST(X."&amp;F146&amp;" AS STRING)) IN ('N/A','11111111111','11111111111.00','11111111111.000000','1111-11-11'),1,0)) AS NUM_REG_DIF,'"&amp;MAX('ID1&amp;5'!K:K)+1&amp;"' AS ID_EXEC, CURRENT_TIMESTAMP() AS TIME_EXEC FROM "&amp;I146,
IF(C146="Valores extremos",+"SELECT '"&amp;UPPER(B146)&amp;"' AS TABELA, '"&amp;UPPER(C146)&amp;"' AS TIPOLOGIA_TESTE,'"&amp;D146&amp;"' AS TABELA_LT,'N/A' AS TABELA_SIMUL,'"&amp;F146&amp;"' AS CAMPO, "&amp;"'${ref_date}' AS REF_DATE, CAST(MIN("&amp;F146&amp;") AS STRING) AS VALOR_MIN, CAST(MAX("&amp;F146&amp;") AS STRING) AS VALOR_MAX,'"&amp;MAX('ID1&amp;5'!K:K)+1&amp;"' AS ID_EXEC, CURRENT_TIMESTAMP() AS TIME_EXEC FROM "&amp;MID(I146,1,LEN(I146)-2)&amp;" AND CAST("&amp;F146&amp;"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TABELA_SIMUL,'arrrs_instrmnt_12m' AS CAMPO, '${ref_date}' AS REF_DATE, COUNT(*) AS NUM_REG, SUM(IF(COALESCE(CAST(X.arrrs_instrmnt_12m AS STRING),'')&lt;&gt;COALESCE(CAST(Y.arrrs_instrmnt_12m_SIMUL AS STRING),'') OR (X.arrrs_instrmnt_12m IS NULL AND Y.arrrs_instrmnt_12m_SIMUL IS NOT NULL ) OR (X.arrrs_instrmnt_12m IS NOT NULL AND Y.arrrs_instrmnt_12m_SIMUL IS NULL),1,0)) AS NUM_REG_DIF,'1' AS ID_EXEC, CURRENT_TIMESTAMP() AS TIME_EXEC FROM (SELECT instrmnt_id, arrrs_instrmnt_12m FROM BU_LOANTAPE_WORK.LT002_INSTRUMENT WHERE ref_date='${ref_date}' AND nome_perimetro='Individual Local' AND segmento='ESTR' AND ambito='SRB_MBDT' AND entidade='00100')X INNER JOIN (SELECT instrmnt_id AS instrmnt_id_SIMUL, arrrs_instrmnt_12m AS arrrs_instrmnt_12m_SIMUL FROM BU_LOANTAPE_WORK.SIMUL_LT002_INSTRUMENT WHERE ref_date='${ref_date}' AND nome_perimetro='Individual Local' AND segmento='ESTR' AND ambito='PILAR3' AND entidade='00100')Y ON X.INSTRMNT_ID=Y.INSTRMNT_ID_SIMUL</v>
      </c>
      <c r="M146" s="36" t="str">
        <f t="shared" si="5"/>
        <v>UNION ALL SELECT 'INSTRUMENT' AS TABELA, 'COERÊNCIA' AS TIPOLOGIA_TESTE,'BU_LOANTAPE_WORK.LT002_INSTRUMENT' AS TABELA_LT,'BU_LOANTAPE_WORK.SIMUL_LT002_INSTRUMENT' AS TABELA_SIMUL,'arrrs_instrmnt_12m' AS CAMPO, '${ref_date}' AS REF_DATE, COUNT(*) AS NUM_REG, SUM(IF(COALESCE(CAST(X.arrrs_instrmnt_12m AS STRING),'')&lt;&gt;COALESCE(CAST(Y.arrrs_instrmnt_12m_SIMUL AS STRING),'') OR (X.arrrs_instrmnt_12m IS NULL AND Y.arrrs_instrmnt_12m_SIMUL IS NOT NULL ) OR (X.arrrs_instrmnt_12m IS NOT NULL AND Y.arrrs_instrmnt_12m_SIMUL IS NULL),1,0)) AS NUM_REG_DIF,'1' AS ID_EXEC, CURRENT_TIMESTAMP() AS TIME_EXEC FROM (SELECT instrmnt_id, arrrs_instrmnt_12m FROM BU_LOANTAPE_WORK.LT002_INSTRUMENT WHERE ref_date='${ref_date}' AND nome_perimetro='Individual Local' AND segmento='ESTR' AND ambito='SRB_MBDT' AND entidade='00100')X INNER JOIN (SELECT instrmnt_id AS instrmnt_id_SIMUL, arrrs_instrmnt_12m AS arrrs_instrmnt_12m_SIMUL FROM BU_LOANTAPE_WORK.SIMUL_LT002_INSTRUMENT WHERE ref_date='${ref_date}' AND nome_perimetro='Individual Local' AND segmento='ESTR' AND ambito='PILAR3' AND entidade='00100')Y ON X.INSTRMNT_ID=Y.INSTRMNT_ID_SIMUL</v>
      </c>
      <c r="N146" s="38"/>
    </row>
    <row r="147" spans="2:14">
      <c r="B147" s="34" t="s">
        <v>117</v>
      </c>
      <c r="C147" s="34" t="s">
        <v>5</v>
      </c>
      <c r="D147" s="34" t="str">
        <f>+UPPER('0. Instruções'!$D$35&amp;"."&amp;VLOOKUP(B147,'0. Instruções'!$C$27:$D$32,2,FALSE))</f>
        <v>BU_LOANTAPE_WORK.LT002_INSTRUMENT</v>
      </c>
      <c r="E147" s="34" t="str">
        <f>+UPPER('0. Instruções'!$D$36&amp;"."&amp;VLOOKUP(B147,'0. Instruções'!$C$27:$E$32,3,FALSE))</f>
        <v>BU_LOANTAPE_WORK.SIMUL_LT002_INSTRUMENT</v>
      </c>
      <c r="F147" s="34" t="s">
        <v>1214</v>
      </c>
      <c r="G147" s="34"/>
      <c r="H147" s="34"/>
      <c r="I147" s="34" t="str">
        <f>"(SELECT "&amp;VLOOKUP(B147,'0. Instruções'!$C$27:$G$32,4,FALSE)&amp;", "&amp;F147&amp;" FROM "&amp;D147&amp;" WHERE "&amp;'0. Instruções'!$D$42&amp;")X"</f>
        <v>(SELECT instrmnt_id, cmltv_rcvrs_snc_dflt_instrmnt FROM BU_LOANTAPE_WORK.LT002_INSTRUMENT WHERE ref_date='${ref_date}' AND nome_perimetro='Individual Local' AND segmento='ESTR' AND ambito='SRB_MBDT' AND entidade='00100')X</v>
      </c>
      <c r="J147" s="34" t="str">
        <f>"(SELECT "&amp;VLOOKUP(B147,'0. Instruções'!$C$27:$G$32,4,FALSE)&amp;" AS "&amp;VLOOKUP(B147,'0. Instruções'!$C$27:$G$32,4,FALSE)&amp;"_SIMUL, "&amp;F147&amp;" AS "&amp;F147&amp;"_SIMUL FROM "&amp;E147&amp;" WHERE "&amp;'0. Instruções'!$D$43&amp;")Y"</f>
        <v>(SELECT instrmnt_id AS instrmnt_id_SIMUL, cmltv_rcvrs_snc_dflt_instrmnt AS cmltv_rcvrs_snc_dflt_instrmnt_SIMUL FROM BU_LOANTAPE_WORK.SIMUL_LT002_INSTRUMENT WHERE ref_date='${ref_date}' AND nome_perimetro='Individual Local' AND segmento='ESTR' AND ambito='PILAR3' AND entidade='00100')Y</v>
      </c>
      <c r="K147" s="35" t="str">
        <f>+UPPER("ON X."&amp;VLOOKUP(B147,'0. Instruções'!$C$27:$G$32,4,FALSE)&amp;"=Y."&amp;VLOOKUP(B147,'0. Instruções'!$C$27:$G$32,4,FALSE)&amp;"_SIMUL")</f>
        <v>ON X.INSTRMNT_ID=Y.INSTRMNT_ID_SIMUL</v>
      </c>
      <c r="L147" s="35" t="str">
        <f>+IF(C147="Coerência", +IF(LEFT(G147,5)="FLOAT","SELECT '"&amp;UPPER(B147)&amp;"' AS TABELA, '"&amp;UPPER(C147)&amp;"' AS TIPOLOGIA_TESTE,'"&amp;D147&amp;"' AS TABELA_LT,'"&amp;E147&amp;"' AS TABELA_SIMUL,'"&amp;F147&amp;"' AS CAMPO, "&amp;"'${ref_date}' AS REF_DATE, COUNT(*) AS NUM_REG, SUM(IF((ABS(COALESCE(CAST(X."&amp;F147&amp;" AS DECIMAL(18,6)),0)-COALESCE(CAST(Y."&amp;F147&amp;"_SIMUL AS DECIMAL(18,6)),0))&gt;0.000001) OR (X."&amp;F147&amp;" IS NULL AND Y."&amp;F147&amp;"_SIMUL IS NOT NULL ) OR (X."&amp;F147&amp;" IS NOT NULL AND Y."&amp;F147&amp;"_SIMUL IS NULL),1,0)) AS NUM_REG_DIF,'"&amp;MAX('ID1&amp;5'!K:K)+1&amp;"' AS ID_EXEC, CURRENT_TIMESTAMP() AS TIME_EXEC FROM "&amp;I147&amp;" INNER JOIN "&amp;J147&amp;" "&amp;K147,"SELECT '"&amp;UPPER(B147)&amp;"' AS TABELA, '"&amp;UPPER(C147)&amp;"' AS TIPOLOGIA_TESTE,'"&amp;D147&amp;"' AS TABELA_LT,'"&amp;E147&amp;"' AS TABELA_SIMUL,'"&amp;F147&amp;"' AS CAMPO, "&amp;"'${ref_date}' AS REF_DATE, COUNT(*) AS NUM_REG, SUM(IF(COALESCE(CAST(X."&amp;F147&amp;" AS STRING),'')&lt;&gt;COALESCE(CAST(Y."&amp;F147&amp;"_SIMUL AS STRING),'') OR (X."&amp;F147&amp;" IS NULL AND Y."&amp;F147&amp;"_SIMUL IS NOT NULL ) OR (X."&amp;F147&amp;" IS NOT NULL AND Y."&amp;F147&amp;"_SIMUL IS NULL),1,0)) AS NUM_REG_DIF,'"&amp;MAX('ID1&amp;5'!L:L)+1&amp;"' AS ID_EXEC, CURRENT_TIMESTAMP() AS TIME_EXEC FROM "&amp;I147&amp;" INNER JOIN "&amp;J147&amp;" "&amp;K147),
IF(C147="Validade",+IF(G147="Code List","SELECT '"&amp;UPPER(B147)&amp;"' AS TABELA, '"&amp;UPPER(C147)&amp;"' AS TIPOLOGIA_TESTE,'"&amp;D147&amp;"' AS TABELA_LT,'N/A' AS TABELA_SIMUL,'"&amp;F147&amp;"' AS CAMPO, "&amp;"'${ref_date}' AS REF_DATE, COUNT(*) AS NUM_REG, SUM(IF(TRIM(CAST(X."&amp;F147&amp;" AS STRING))='' OR TRIM(CAST(X."&amp;F147&amp;" AS STRING)) IS NULL OR CAST(X."&amp;F147&amp;" AS STRING) NOT "&amp;H147&amp;",1,0)) AS NUM_REG_DIF,'"&amp;MAX('ID1&amp;5'!K:K)+1&amp;"' AS ID_EXEC, CURRENT_TIMESTAMP() AS TIME_EXEC FROM "&amp;I147,"SELECT '"&amp;UPPER(B147)&amp;"' AS TABELA, '"&amp;UPPER(C147)&amp;"' AS TIPOLOGIA_TESTE,'"&amp;D147&amp;"' AS TABELA_LT,'N/A' AS TABELA_SIMUL,'"&amp;F147&amp;"' AS CAMPO, "&amp;"'${ref_date}' AS REF_DATE, COUNT(*) AS NUM_REG, SUM(IF(TRIM(CAST(X."&amp;F147&amp;" AS STRING))='' OR TRIM(CAST(X."&amp;F147&amp;" AS STRING)) IS NULL,1,0)) AS NUM_REG_DIF,'"&amp;MAX('ID1&amp;5'!K:K)+1&amp;"' AS ID_EXEC, CURRENT_TIMESTAMP() AS TIME_EXEC FROM "&amp;I147),
IF(C147="Caracteres Especiais",+"SELECT '"&amp;UPPER(B147)&amp;"' AS TABELA, '"&amp;UPPER(C147)&amp;"' AS TIPOLOGIA_TESTE,'"&amp;D147&amp;"' AS TABELA_LT,'N/A' AS TABELA_SIMUL,'"&amp;F147&amp;"' AS CAMPO, "&amp;"'${ref_date}' AS REF_DATE, COUNT(*) AS NUM_REG, SUM(IF(REGEXP_REPLACE(TRIM(CAST(X."&amp;F147&amp;" AS STRING)),'[^a-zA-Z0-9_\\s]','') &lt;&gt;TRIM(CAST(X."&amp;F147&amp;" AS STRING)),1,0)) AS NUM_REG_DIF,'"&amp;MAX('ID1&amp;5'!K:K)+1&amp;"' AS ID_EXEC, CURRENT_TIMESTAMP() AS TIME_EXEC FROM "&amp;I147,
IF(C147="Missings",+"SELECT '"&amp;UPPER(B147)&amp;"' AS TABELA, '"&amp;UPPER(C147)&amp;"' AS TIPOLOGIA_TESTE,'"&amp;D147&amp;"' AS TABELA_LT,'N/A' AS TABELA_SIMUL,'"&amp;F147&amp;"' AS CAMPO, "&amp;"'${ref_date}' AS REF_DATE, COUNT(*) AS NUM_REG, SUM(IF(TRIM(CAST(X."&amp;F147&amp;" AS STRING)) IN ('0000-00-00','0001-01-01','9999-12-31','MISS','00000','99999999999','99999999999.00','99999999999.000000'),1,0)) AS NUM_REG_DIF,'"&amp;MAX('ID1&amp;5'!K:K)+1&amp;"' AS ID_EXEC, CURRENT_TIMESTAMP() AS TIME_EXEC FROM "&amp;I147,
IF(C147="Not applicable",+"SELECT '"&amp;UPPER(B147)&amp;"' AS TABELA, '"&amp;UPPER(C147)&amp;"' AS TIPOLOGIA_TESTE,'"&amp;D147&amp;"' AS TABELA_LT,'N/A' AS TABELA_SIMUL,'"&amp;F147&amp;"' AS CAMPO, "&amp;"'${ref_date}' AS REF_DATE, COUNT(*) AS NUM_REG, SUM(IF(TRIM(CAST(X."&amp;F147&amp;" AS STRING)) IN ('N/A','11111111111','11111111111.00','11111111111.000000','1111-11-11'),1,0)) AS NUM_REG_DIF,'"&amp;MAX('ID1&amp;5'!K:K)+1&amp;"' AS ID_EXEC, CURRENT_TIMESTAMP() AS TIME_EXEC FROM "&amp;I147,
IF(C147="Valores extremos",+"SELECT '"&amp;UPPER(B147)&amp;"' AS TABELA, '"&amp;UPPER(C147)&amp;"' AS TIPOLOGIA_TESTE,'"&amp;D147&amp;"' AS TABELA_LT,'N/A' AS TABELA_SIMUL,'"&amp;F147&amp;"' AS CAMPO, "&amp;"'${ref_date}' AS REF_DATE, CAST(MIN("&amp;F147&amp;") AS STRING) AS VALOR_MIN, CAST(MAX("&amp;F147&amp;") AS STRING) AS VALOR_MAX,'"&amp;MAX('ID1&amp;5'!K:K)+1&amp;"' AS ID_EXEC, CURRENT_TIMESTAMP() AS TIME_EXEC FROM "&amp;MID(I147,1,LEN(I147)-2)&amp;" AND CAST("&amp;F147&amp;"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TABELA_SIMUL,'cmltv_rcvrs_snc_dflt_instrmnt' AS CAMPO, '${ref_date}' AS REF_DATE, COUNT(*) AS NUM_REG, SUM(IF(COALESCE(CAST(X.cmltv_rcvrs_snc_dflt_instrmnt AS STRING),'')&lt;&gt;COALESCE(CAST(Y.cmltv_rcvrs_snc_dflt_instrmnt_SIMUL AS STRING),'') OR (X.cmltv_rcvrs_snc_dflt_instrmnt IS NULL AND Y.cmltv_rcvrs_snc_dflt_instrmnt_SIMUL IS NOT NULL ) OR (X.cmltv_rcvrs_snc_dflt_instrmnt IS NOT NULL AND Y.cmltv_rcvrs_snc_dflt_instrmnt_SIMUL IS NULL),1,0)) AS NUM_REG_DIF,'1' AS ID_EXEC, CURRENT_TIMESTAMP() AS TIME_EXEC FROM (SELECT instrmnt_id, cmltv_rcvrs_snc_dflt_instrmnt FROM BU_LOANTAPE_WORK.LT002_INSTRUMENT WHERE ref_date='${ref_date}' AND nome_perimetro='Individual Local' AND segmento='ESTR' AND ambito='SRB_MBDT' AND entidade='00100')X INNER JOIN (SELECT instrmnt_id AS instrmnt_id_SIMUL, cmltv_rcvrs_snc_dflt_instrmnt AS cmltv_rcvrs_snc_dflt_instrmnt_SIMUL FROM BU_LOANTAPE_WORK.SIMUL_LT002_INSTRUMENT WHERE ref_date='${ref_date}' AND nome_perimetro='Individual Local' AND segmento='ESTR' AND ambito='PILAR3' AND entidade='00100')Y ON X.INSTRMNT_ID=Y.INSTRMNT_ID_SIMUL</v>
      </c>
      <c r="M147" s="36" t="str">
        <f t="shared" si="5"/>
        <v>UNION ALL SELECT 'INSTRUMENT' AS TABELA, 'COERÊNCIA' AS TIPOLOGIA_TESTE,'BU_LOANTAPE_WORK.LT002_INSTRUMENT' AS TABELA_LT,'BU_LOANTAPE_WORK.SIMUL_LT002_INSTRUMENT' AS TABELA_SIMUL,'cmltv_rcvrs_snc_dflt_instrmnt' AS CAMPO, '${ref_date}' AS REF_DATE, COUNT(*) AS NUM_REG, SUM(IF(COALESCE(CAST(X.cmltv_rcvrs_snc_dflt_instrmnt AS STRING),'')&lt;&gt;COALESCE(CAST(Y.cmltv_rcvrs_snc_dflt_instrmnt_SIMUL AS STRING),'') OR (X.cmltv_rcvrs_snc_dflt_instrmnt IS NULL AND Y.cmltv_rcvrs_snc_dflt_instrmnt_SIMUL IS NOT NULL ) OR (X.cmltv_rcvrs_snc_dflt_instrmnt IS NOT NULL AND Y.cmltv_rcvrs_snc_dflt_instrmnt_SIMUL IS NULL),1,0)) AS NUM_REG_DIF,'1' AS ID_EXEC, CURRENT_TIMESTAMP() AS TIME_EXEC FROM (SELECT instrmnt_id, cmltv_rcvrs_snc_dflt_instrmnt FROM BU_LOANTAPE_WORK.LT002_INSTRUMENT WHERE ref_date='${ref_date}' AND nome_perimetro='Individual Local' AND segmento='ESTR' AND ambito='SRB_MBDT' AND entidade='00100')X INNER JOIN (SELECT instrmnt_id AS instrmnt_id_SIMUL, cmltv_rcvrs_snc_dflt_instrmnt AS cmltv_rcvrs_snc_dflt_instrmnt_SIMUL FROM BU_LOANTAPE_WORK.SIMUL_LT002_INSTRUMENT WHERE ref_date='${ref_date}' AND nome_perimetro='Individual Local' AND segmento='ESTR' AND ambito='PILAR3' AND entidade='00100')Y ON X.INSTRMNT_ID=Y.INSTRMNT_ID_SIMUL</v>
      </c>
      <c r="N147" s="38"/>
    </row>
    <row r="148" spans="2:14">
      <c r="B148" s="34" t="s">
        <v>117</v>
      </c>
      <c r="C148" s="34" t="s">
        <v>5</v>
      </c>
      <c r="D148" s="34" t="str">
        <f>+UPPER('0. Instruções'!$D$35&amp;"."&amp;VLOOKUP(B148,'0. Instruções'!$C$27:$D$32,2,FALSE))</f>
        <v>BU_LOANTAPE_WORK.LT002_INSTRUMENT</v>
      </c>
      <c r="E148" s="34" t="str">
        <f>+UPPER('0. Instruções'!$D$36&amp;"."&amp;VLOOKUP(B148,'0. Instruções'!$C$27:$E$32,3,FALSE))</f>
        <v>BU_LOANTAPE_WORK.SIMUL_LT002_INSTRUMENT</v>
      </c>
      <c r="F148" s="34" t="s">
        <v>1215</v>
      </c>
      <c r="G148" s="34"/>
      <c r="H148" s="34"/>
      <c r="I148" s="34" t="str">
        <f>"(SELECT "&amp;VLOOKUP(B148,'0. Instruções'!$C$27:$G$32,4,FALSE)&amp;", "&amp;F148&amp;" FROM "&amp;D148&amp;" WHERE "&amp;'0. Instruções'!$D$42&amp;")X"</f>
        <v>(SELECT instrmnt_id, dpd FROM BU_LOANTAPE_WORK.LT002_INSTRUMENT WHERE ref_date='${ref_date}' AND nome_perimetro='Individual Local' AND segmento='ESTR' AND ambito='SRB_MBDT' AND entidade='00100')X</v>
      </c>
      <c r="J148" s="34" t="str">
        <f>"(SELECT "&amp;VLOOKUP(B148,'0. Instruções'!$C$27:$G$32,4,FALSE)&amp;" AS "&amp;VLOOKUP(B148,'0. Instruções'!$C$27:$G$32,4,FALSE)&amp;"_SIMUL, "&amp;F148&amp;" AS "&amp;F148&amp;"_SIMUL FROM "&amp;E148&amp;" WHERE "&amp;'0. Instruções'!$D$43&amp;")Y"</f>
        <v>(SELECT instrmnt_id AS instrmnt_id_SIMUL, dpd AS dpd_SIMUL FROM BU_LOANTAPE_WORK.SIMUL_LT002_INSTRUMENT WHERE ref_date='${ref_date}' AND nome_perimetro='Individual Local' AND segmento='ESTR' AND ambito='PILAR3' AND entidade='00100')Y</v>
      </c>
      <c r="K148" s="35" t="str">
        <f>+UPPER("ON X."&amp;VLOOKUP(B148,'0. Instruções'!$C$27:$G$32,4,FALSE)&amp;"=Y."&amp;VLOOKUP(B148,'0. Instruções'!$C$27:$G$32,4,FALSE)&amp;"_SIMUL")</f>
        <v>ON X.INSTRMNT_ID=Y.INSTRMNT_ID_SIMUL</v>
      </c>
      <c r="L148" s="35" t="str">
        <f>+IF(C148="Coerência", +IF(LEFT(G148,5)="FLOAT","SELECT '"&amp;UPPER(B148)&amp;"' AS TABELA, '"&amp;UPPER(C148)&amp;"' AS TIPOLOGIA_TESTE,'"&amp;D148&amp;"' AS TABELA_LT,'"&amp;E148&amp;"' AS TABELA_SIMUL,'"&amp;F148&amp;"' AS CAMPO, "&amp;"'${ref_date}' AS REF_DATE, COUNT(*) AS NUM_REG, SUM(IF((ABS(COALESCE(CAST(X."&amp;F148&amp;" AS DECIMAL(18,6)),0)-COALESCE(CAST(Y."&amp;F148&amp;"_SIMUL AS DECIMAL(18,6)),0))&gt;0.000001) OR (X."&amp;F148&amp;" IS NULL AND Y."&amp;F148&amp;"_SIMUL IS NOT NULL ) OR (X."&amp;F148&amp;" IS NOT NULL AND Y."&amp;F148&amp;"_SIMUL IS NULL),1,0)) AS NUM_REG_DIF,'"&amp;MAX('ID1&amp;5'!K:K)+1&amp;"' AS ID_EXEC, CURRENT_TIMESTAMP() AS TIME_EXEC FROM "&amp;I148&amp;" INNER JOIN "&amp;J148&amp;" "&amp;K148,"SELECT '"&amp;UPPER(B148)&amp;"' AS TABELA, '"&amp;UPPER(C148)&amp;"' AS TIPOLOGIA_TESTE,'"&amp;D148&amp;"' AS TABELA_LT,'"&amp;E148&amp;"' AS TABELA_SIMUL,'"&amp;F148&amp;"' AS CAMPO, "&amp;"'${ref_date}' AS REF_DATE, COUNT(*) AS NUM_REG, SUM(IF(COALESCE(CAST(X."&amp;F148&amp;" AS STRING),'')&lt;&gt;COALESCE(CAST(Y."&amp;F148&amp;"_SIMUL AS STRING),'') OR (X."&amp;F148&amp;" IS NULL AND Y."&amp;F148&amp;"_SIMUL IS NOT NULL ) OR (X."&amp;F148&amp;" IS NOT NULL AND Y."&amp;F148&amp;"_SIMUL IS NULL),1,0)) AS NUM_REG_DIF,'"&amp;MAX('ID1&amp;5'!L:L)+1&amp;"' AS ID_EXEC, CURRENT_TIMESTAMP() AS TIME_EXEC FROM "&amp;I148&amp;" INNER JOIN "&amp;J148&amp;" "&amp;K148),
IF(C148="Validade",+IF(G148="Code List","SELECT '"&amp;UPPER(B148)&amp;"' AS TABELA, '"&amp;UPPER(C148)&amp;"' AS TIPOLOGIA_TESTE,'"&amp;D148&amp;"' AS TABELA_LT,'N/A' AS TABELA_SIMUL,'"&amp;F148&amp;"' AS CAMPO, "&amp;"'${ref_date}' AS REF_DATE, COUNT(*) AS NUM_REG, SUM(IF(TRIM(CAST(X."&amp;F148&amp;" AS STRING))='' OR TRIM(CAST(X."&amp;F148&amp;" AS STRING)) IS NULL OR CAST(X."&amp;F148&amp;" AS STRING) NOT "&amp;H148&amp;",1,0)) AS NUM_REG_DIF,'"&amp;MAX('ID1&amp;5'!K:K)+1&amp;"' AS ID_EXEC, CURRENT_TIMESTAMP() AS TIME_EXEC FROM "&amp;I148,"SELECT '"&amp;UPPER(B148)&amp;"' AS TABELA, '"&amp;UPPER(C148)&amp;"' AS TIPOLOGIA_TESTE,'"&amp;D148&amp;"' AS TABELA_LT,'N/A' AS TABELA_SIMUL,'"&amp;F148&amp;"' AS CAMPO, "&amp;"'${ref_date}' AS REF_DATE, COUNT(*) AS NUM_REG, SUM(IF(TRIM(CAST(X."&amp;F148&amp;" AS STRING))='' OR TRIM(CAST(X."&amp;F148&amp;" AS STRING)) IS NULL,1,0)) AS NUM_REG_DIF,'"&amp;MAX('ID1&amp;5'!K:K)+1&amp;"' AS ID_EXEC, CURRENT_TIMESTAMP() AS TIME_EXEC FROM "&amp;I148),
IF(C148="Caracteres Especiais",+"SELECT '"&amp;UPPER(B148)&amp;"' AS TABELA, '"&amp;UPPER(C148)&amp;"' AS TIPOLOGIA_TESTE,'"&amp;D148&amp;"' AS TABELA_LT,'N/A' AS TABELA_SIMUL,'"&amp;F148&amp;"' AS CAMPO, "&amp;"'${ref_date}' AS REF_DATE, COUNT(*) AS NUM_REG, SUM(IF(REGEXP_REPLACE(TRIM(CAST(X."&amp;F148&amp;" AS STRING)),'[^a-zA-Z0-9_\\s]','') &lt;&gt;TRIM(CAST(X."&amp;F148&amp;" AS STRING)),1,0)) AS NUM_REG_DIF,'"&amp;MAX('ID1&amp;5'!K:K)+1&amp;"' AS ID_EXEC, CURRENT_TIMESTAMP() AS TIME_EXEC FROM "&amp;I148,
IF(C148="Missings",+"SELECT '"&amp;UPPER(B148)&amp;"' AS TABELA, '"&amp;UPPER(C148)&amp;"' AS TIPOLOGIA_TESTE,'"&amp;D148&amp;"' AS TABELA_LT,'N/A' AS TABELA_SIMUL,'"&amp;F148&amp;"' AS CAMPO, "&amp;"'${ref_date}' AS REF_DATE, COUNT(*) AS NUM_REG, SUM(IF(TRIM(CAST(X."&amp;F148&amp;" AS STRING)) IN ('0000-00-00','0001-01-01','9999-12-31','MISS','00000','99999999999','99999999999.00','99999999999.000000'),1,0)) AS NUM_REG_DIF,'"&amp;MAX('ID1&amp;5'!K:K)+1&amp;"' AS ID_EXEC, CURRENT_TIMESTAMP() AS TIME_EXEC FROM "&amp;I148,
IF(C148="Not applicable",+"SELECT '"&amp;UPPER(B148)&amp;"' AS TABELA, '"&amp;UPPER(C148)&amp;"' AS TIPOLOGIA_TESTE,'"&amp;D148&amp;"' AS TABELA_LT,'N/A' AS TABELA_SIMUL,'"&amp;F148&amp;"' AS CAMPO, "&amp;"'${ref_date}' AS REF_DATE, COUNT(*) AS NUM_REG, SUM(IF(TRIM(CAST(X."&amp;F148&amp;" AS STRING)) IN ('N/A','11111111111','11111111111.00','11111111111.000000','1111-11-11'),1,0)) AS NUM_REG_DIF,'"&amp;MAX('ID1&amp;5'!K:K)+1&amp;"' AS ID_EXEC, CURRENT_TIMESTAMP() AS TIME_EXEC FROM "&amp;I148,
IF(C148="Valores extremos",+"SELECT '"&amp;UPPER(B148)&amp;"' AS TABELA, '"&amp;UPPER(C148)&amp;"' AS TIPOLOGIA_TESTE,'"&amp;D148&amp;"' AS TABELA_LT,'N/A' AS TABELA_SIMUL,'"&amp;F148&amp;"' AS CAMPO, "&amp;"'${ref_date}' AS REF_DATE, CAST(MIN("&amp;F148&amp;") AS STRING) AS VALOR_MIN, CAST(MAX("&amp;F148&amp;") AS STRING) AS VALOR_MAX,'"&amp;MAX('ID1&amp;5'!K:K)+1&amp;"' AS ID_EXEC, CURRENT_TIMESTAMP() AS TIME_EXEC FROM "&amp;MID(I148,1,LEN(I148)-2)&amp;" AND CAST("&amp;F148&amp;"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TABELA_SIMUL,'dpd' AS CAMPO, '${ref_date}' AS REF_DATE, COUNT(*) AS NUM_REG, SUM(IF(COALESCE(CAST(X.dpd AS STRING),'')&lt;&gt;COALESCE(CAST(Y.dpd_SIMUL AS STRING),'') OR (X.dpd IS NULL AND Y.dpd_SIMUL IS NOT NULL ) OR (X.dpd IS NOT NULL AND Y.dpd_SIMUL IS NULL),1,0)) AS NUM_REG_DIF,'1' AS ID_EXEC, CURRENT_TIMESTAMP() AS TIME_EXEC FROM (SELECT instrmnt_id, dpd FROM BU_LOANTAPE_WORK.LT002_INSTRUMENT WHERE ref_date='${ref_date}' AND nome_perimetro='Individual Local' AND segmento='ESTR' AND ambito='SRB_MBDT' AND entidade='00100')X INNER JOIN (SELECT instrmnt_id AS instrmnt_id_SIMUL, dpd AS dpd_SIMUL FROM BU_LOANTAPE_WORK.SIMUL_LT002_INSTRUMENT WHERE ref_date='${ref_date}' AND nome_perimetro='Individual Local' AND segmento='ESTR' AND ambito='PILAR3' AND entidade='00100')Y ON X.INSTRMNT_ID=Y.INSTRMNT_ID_SIMUL</v>
      </c>
      <c r="M148" s="36" t="str">
        <f t="shared" si="5"/>
        <v>UNION ALL SELECT 'INSTRUMENT' AS TABELA, 'COERÊNCIA' AS TIPOLOGIA_TESTE,'BU_LOANTAPE_WORK.LT002_INSTRUMENT' AS TABELA_LT,'BU_LOANTAPE_WORK.SIMUL_LT002_INSTRUMENT' AS TABELA_SIMUL,'dpd' AS CAMPO, '${ref_date}' AS REF_DATE, COUNT(*) AS NUM_REG, SUM(IF(COALESCE(CAST(X.dpd AS STRING),'')&lt;&gt;COALESCE(CAST(Y.dpd_SIMUL AS STRING),'') OR (X.dpd IS NULL AND Y.dpd_SIMUL IS NOT NULL ) OR (X.dpd IS NOT NULL AND Y.dpd_SIMUL IS NULL),1,0)) AS NUM_REG_DIF,'1' AS ID_EXEC, CURRENT_TIMESTAMP() AS TIME_EXEC FROM (SELECT instrmnt_id, dpd FROM BU_LOANTAPE_WORK.LT002_INSTRUMENT WHERE ref_date='${ref_date}' AND nome_perimetro='Individual Local' AND segmento='ESTR' AND ambito='SRB_MBDT' AND entidade='00100')X INNER JOIN (SELECT instrmnt_id AS instrmnt_id_SIMUL, dpd AS dpd_SIMUL FROM BU_LOANTAPE_WORK.SIMUL_LT002_INSTRUMENT WHERE ref_date='${ref_date}' AND nome_perimetro='Individual Local' AND segmento='ESTR' AND ambito='PILAR3' AND entidade='00100')Y ON X.INSTRMNT_ID=Y.INSTRMNT_ID_SIMUL</v>
      </c>
      <c r="N148" s="38"/>
    </row>
    <row r="149" spans="2:14">
      <c r="B149" s="34" t="s">
        <v>117</v>
      </c>
      <c r="C149" s="34" t="s">
        <v>5</v>
      </c>
      <c r="D149" s="34" t="str">
        <f>+UPPER('0. Instruções'!$D$35&amp;"."&amp;VLOOKUP(B149,'0. Instruções'!$C$27:$D$32,2,FALSE))</f>
        <v>BU_LOANTAPE_WORK.LT002_INSTRUMENT</v>
      </c>
      <c r="E149" s="34" t="str">
        <f>+UPPER('0. Instruções'!$D$36&amp;"."&amp;VLOOKUP(B149,'0. Instruções'!$C$27:$E$32,3,FALSE))</f>
        <v>BU_LOANTAPE_WORK.SIMUL_LT002_INSTRUMENT</v>
      </c>
      <c r="F149" s="34" t="s">
        <v>1216</v>
      </c>
      <c r="G149" s="34"/>
      <c r="H149" s="34"/>
      <c r="I149" s="34" t="str">
        <f>"(SELECT "&amp;VLOOKUP(B149,'0. Instruções'!$C$27:$G$32,4,FALSE)&amp;", "&amp;F149&amp;" FROM "&amp;D149&amp;" WHERE "&amp;'0. Instruções'!$D$42&amp;")X"</f>
        <v>(SELECT instrmnt_id, dpd_12m FROM BU_LOANTAPE_WORK.LT002_INSTRUMENT WHERE ref_date='${ref_date}' AND nome_perimetro='Individual Local' AND segmento='ESTR' AND ambito='SRB_MBDT' AND entidade='00100')X</v>
      </c>
      <c r="J149" s="34" t="str">
        <f>"(SELECT "&amp;VLOOKUP(B149,'0. Instruções'!$C$27:$G$32,4,FALSE)&amp;" AS "&amp;VLOOKUP(B149,'0. Instruções'!$C$27:$G$32,4,FALSE)&amp;"_SIMUL, "&amp;F149&amp;" AS "&amp;F149&amp;"_SIMUL FROM "&amp;E149&amp;" WHERE "&amp;'0. Instruções'!$D$43&amp;")Y"</f>
        <v>(SELECT instrmnt_id AS instrmnt_id_SIMUL, dpd_12m AS dpd_12m_SIMUL FROM BU_LOANTAPE_WORK.SIMUL_LT002_INSTRUMENT WHERE ref_date='${ref_date}' AND nome_perimetro='Individual Local' AND segmento='ESTR' AND ambito='PILAR3' AND entidade='00100')Y</v>
      </c>
      <c r="K149" s="35" t="str">
        <f>+UPPER("ON X."&amp;VLOOKUP(B149,'0. Instruções'!$C$27:$G$32,4,FALSE)&amp;"=Y."&amp;VLOOKUP(B149,'0. Instruções'!$C$27:$G$32,4,FALSE)&amp;"_SIMUL")</f>
        <v>ON X.INSTRMNT_ID=Y.INSTRMNT_ID_SIMUL</v>
      </c>
      <c r="L149" s="35" t="str">
        <f>+IF(C149="Coerência", +IF(LEFT(G149,5)="FLOAT","SELECT '"&amp;UPPER(B149)&amp;"' AS TABELA, '"&amp;UPPER(C149)&amp;"' AS TIPOLOGIA_TESTE,'"&amp;D149&amp;"' AS TABELA_LT,'"&amp;E149&amp;"' AS TABELA_SIMUL,'"&amp;F149&amp;"' AS CAMPO, "&amp;"'${ref_date}' AS REF_DATE, COUNT(*) AS NUM_REG, SUM(IF((ABS(COALESCE(CAST(X."&amp;F149&amp;" AS DECIMAL(18,6)),0)-COALESCE(CAST(Y."&amp;F149&amp;"_SIMUL AS DECIMAL(18,6)),0))&gt;0.000001) OR (X."&amp;F149&amp;" IS NULL AND Y."&amp;F149&amp;"_SIMUL IS NOT NULL ) OR (X."&amp;F149&amp;" IS NOT NULL AND Y."&amp;F149&amp;"_SIMUL IS NULL),1,0)) AS NUM_REG_DIF,'"&amp;MAX('ID1&amp;5'!K:K)+1&amp;"' AS ID_EXEC, CURRENT_TIMESTAMP() AS TIME_EXEC FROM "&amp;I149&amp;" INNER JOIN "&amp;J149&amp;" "&amp;K149,"SELECT '"&amp;UPPER(B149)&amp;"' AS TABELA, '"&amp;UPPER(C149)&amp;"' AS TIPOLOGIA_TESTE,'"&amp;D149&amp;"' AS TABELA_LT,'"&amp;E149&amp;"' AS TABELA_SIMUL,'"&amp;F149&amp;"' AS CAMPO, "&amp;"'${ref_date}' AS REF_DATE, COUNT(*) AS NUM_REG, SUM(IF(COALESCE(CAST(X."&amp;F149&amp;" AS STRING),'')&lt;&gt;COALESCE(CAST(Y."&amp;F149&amp;"_SIMUL AS STRING),'') OR (X."&amp;F149&amp;" IS NULL AND Y."&amp;F149&amp;"_SIMUL IS NOT NULL ) OR (X."&amp;F149&amp;" IS NOT NULL AND Y."&amp;F149&amp;"_SIMUL IS NULL),1,0)) AS NUM_REG_DIF,'"&amp;MAX('ID1&amp;5'!L:L)+1&amp;"' AS ID_EXEC, CURRENT_TIMESTAMP() AS TIME_EXEC FROM "&amp;I149&amp;" INNER JOIN "&amp;J149&amp;" "&amp;K149),
IF(C149="Validade",+IF(G149="Code List","SELECT '"&amp;UPPER(B149)&amp;"' AS TABELA, '"&amp;UPPER(C149)&amp;"' AS TIPOLOGIA_TESTE,'"&amp;D149&amp;"' AS TABELA_LT,'N/A' AS TABELA_SIMUL,'"&amp;F149&amp;"' AS CAMPO, "&amp;"'${ref_date}' AS REF_DATE, COUNT(*) AS NUM_REG, SUM(IF(TRIM(CAST(X."&amp;F149&amp;" AS STRING))='' OR TRIM(CAST(X."&amp;F149&amp;" AS STRING)) IS NULL OR CAST(X."&amp;F149&amp;" AS STRING) NOT "&amp;H149&amp;",1,0)) AS NUM_REG_DIF,'"&amp;MAX('ID1&amp;5'!K:K)+1&amp;"' AS ID_EXEC, CURRENT_TIMESTAMP() AS TIME_EXEC FROM "&amp;I149,"SELECT '"&amp;UPPER(B149)&amp;"' AS TABELA, '"&amp;UPPER(C149)&amp;"' AS TIPOLOGIA_TESTE,'"&amp;D149&amp;"' AS TABELA_LT,'N/A' AS TABELA_SIMUL,'"&amp;F149&amp;"' AS CAMPO, "&amp;"'${ref_date}' AS REF_DATE, COUNT(*) AS NUM_REG, SUM(IF(TRIM(CAST(X."&amp;F149&amp;" AS STRING))='' OR TRIM(CAST(X."&amp;F149&amp;" AS STRING)) IS NULL,1,0)) AS NUM_REG_DIF,'"&amp;MAX('ID1&amp;5'!K:K)+1&amp;"' AS ID_EXEC, CURRENT_TIMESTAMP() AS TIME_EXEC FROM "&amp;I149),
IF(C149="Caracteres Especiais",+"SELECT '"&amp;UPPER(B149)&amp;"' AS TABELA, '"&amp;UPPER(C149)&amp;"' AS TIPOLOGIA_TESTE,'"&amp;D149&amp;"' AS TABELA_LT,'N/A' AS TABELA_SIMUL,'"&amp;F149&amp;"' AS CAMPO, "&amp;"'${ref_date}' AS REF_DATE, COUNT(*) AS NUM_REG, SUM(IF(REGEXP_REPLACE(TRIM(CAST(X."&amp;F149&amp;" AS STRING)),'[^a-zA-Z0-9_\\s]','') &lt;&gt;TRIM(CAST(X."&amp;F149&amp;" AS STRING)),1,0)) AS NUM_REG_DIF,'"&amp;MAX('ID1&amp;5'!K:K)+1&amp;"' AS ID_EXEC, CURRENT_TIMESTAMP() AS TIME_EXEC FROM "&amp;I149,
IF(C149="Missings",+"SELECT '"&amp;UPPER(B149)&amp;"' AS TABELA, '"&amp;UPPER(C149)&amp;"' AS TIPOLOGIA_TESTE,'"&amp;D149&amp;"' AS TABELA_LT,'N/A' AS TABELA_SIMUL,'"&amp;F149&amp;"' AS CAMPO, "&amp;"'${ref_date}' AS REF_DATE, COUNT(*) AS NUM_REG, SUM(IF(TRIM(CAST(X."&amp;F149&amp;" AS STRING)) IN ('0000-00-00','0001-01-01','9999-12-31','MISS','00000','99999999999','99999999999.00','99999999999.000000'),1,0)) AS NUM_REG_DIF,'"&amp;MAX('ID1&amp;5'!K:K)+1&amp;"' AS ID_EXEC, CURRENT_TIMESTAMP() AS TIME_EXEC FROM "&amp;I149,
IF(C149="Not applicable",+"SELECT '"&amp;UPPER(B149)&amp;"' AS TABELA, '"&amp;UPPER(C149)&amp;"' AS TIPOLOGIA_TESTE,'"&amp;D149&amp;"' AS TABELA_LT,'N/A' AS TABELA_SIMUL,'"&amp;F149&amp;"' AS CAMPO, "&amp;"'${ref_date}' AS REF_DATE, COUNT(*) AS NUM_REG, SUM(IF(TRIM(CAST(X."&amp;F149&amp;" AS STRING)) IN ('N/A','11111111111','11111111111.00','11111111111.000000','1111-11-11'),1,0)) AS NUM_REG_DIF,'"&amp;MAX('ID1&amp;5'!K:K)+1&amp;"' AS ID_EXEC, CURRENT_TIMESTAMP() AS TIME_EXEC FROM "&amp;I149,
IF(C149="Valores extremos",+"SELECT '"&amp;UPPER(B149)&amp;"' AS TABELA, '"&amp;UPPER(C149)&amp;"' AS TIPOLOGIA_TESTE,'"&amp;D149&amp;"' AS TABELA_LT,'N/A' AS TABELA_SIMUL,'"&amp;F149&amp;"' AS CAMPO, "&amp;"'${ref_date}' AS REF_DATE, CAST(MIN("&amp;F149&amp;") AS STRING) AS VALOR_MIN, CAST(MAX("&amp;F149&amp;") AS STRING) AS VALOR_MAX,'"&amp;MAX('ID1&amp;5'!K:K)+1&amp;"' AS ID_EXEC, CURRENT_TIMESTAMP() AS TIME_EXEC FROM "&amp;MID(I149,1,LEN(I149)-2)&amp;" AND CAST("&amp;F149&amp;"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TABELA_SIMUL,'dpd_12m' AS CAMPO, '${ref_date}' AS REF_DATE, COUNT(*) AS NUM_REG, SUM(IF(COALESCE(CAST(X.dpd_12m AS STRING),'')&lt;&gt;COALESCE(CAST(Y.dpd_12m_SIMUL AS STRING),'') OR (X.dpd_12m IS NULL AND Y.dpd_12m_SIMUL IS NOT NULL ) OR (X.dpd_12m IS NOT NULL AND Y.dpd_12m_SIMUL IS NULL),1,0)) AS NUM_REG_DIF,'1' AS ID_EXEC, CURRENT_TIMESTAMP() AS TIME_EXEC FROM (SELECT instrmnt_id, dpd_12m FROM BU_LOANTAPE_WORK.LT002_INSTRUMENT WHERE ref_date='${ref_date}' AND nome_perimetro='Individual Local' AND segmento='ESTR' AND ambito='SRB_MBDT' AND entidade='00100')X INNER JOIN (SELECT instrmnt_id AS instrmnt_id_SIMUL, dpd_12m AS dpd_12m_SIMUL FROM BU_LOANTAPE_WORK.SIMUL_LT002_INSTRUMENT WHERE ref_date='${ref_date}' AND nome_perimetro='Individual Local' AND segmento='ESTR' AND ambito='PILAR3' AND entidade='00100')Y ON X.INSTRMNT_ID=Y.INSTRMNT_ID_SIMUL</v>
      </c>
      <c r="M149" s="36" t="str">
        <f t="shared" si="5"/>
        <v>UNION ALL SELECT 'INSTRUMENT' AS TABELA, 'COERÊNCIA' AS TIPOLOGIA_TESTE,'BU_LOANTAPE_WORK.LT002_INSTRUMENT' AS TABELA_LT,'BU_LOANTAPE_WORK.SIMUL_LT002_INSTRUMENT' AS TABELA_SIMUL,'dpd_12m' AS CAMPO, '${ref_date}' AS REF_DATE, COUNT(*) AS NUM_REG, SUM(IF(COALESCE(CAST(X.dpd_12m AS STRING),'')&lt;&gt;COALESCE(CAST(Y.dpd_12m_SIMUL AS STRING),'') OR (X.dpd_12m IS NULL AND Y.dpd_12m_SIMUL IS NOT NULL ) OR (X.dpd_12m IS NOT NULL AND Y.dpd_12m_SIMUL IS NULL),1,0)) AS NUM_REG_DIF,'1' AS ID_EXEC, CURRENT_TIMESTAMP() AS TIME_EXEC FROM (SELECT instrmnt_id, dpd_12m FROM BU_LOANTAPE_WORK.LT002_INSTRUMENT WHERE ref_date='${ref_date}' AND nome_perimetro='Individual Local' AND segmento='ESTR' AND ambito='SRB_MBDT' AND entidade='00100')X INNER JOIN (SELECT instrmnt_id AS instrmnt_id_SIMUL, dpd_12m AS dpd_12m_SIMUL FROM BU_LOANTAPE_WORK.SIMUL_LT002_INSTRUMENT WHERE ref_date='${ref_date}' AND nome_perimetro='Individual Local' AND segmento='ESTR' AND ambito='PILAR3' AND entidade='00100')Y ON X.INSTRMNT_ID=Y.INSTRMNT_ID_SIMUL</v>
      </c>
      <c r="N149" s="38"/>
    </row>
    <row r="150" spans="2:14">
      <c r="B150" s="34" t="s">
        <v>117</v>
      </c>
      <c r="C150" s="34" t="s">
        <v>5</v>
      </c>
      <c r="D150" s="34" t="str">
        <f>+UPPER('0. Instruções'!$D$35&amp;"."&amp;VLOOKUP(B150,'0. Instruções'!$C$27:$D$32,2,FALSE))</f>
        <v>BU_LOANTAPE_WORK.LT002_INSTRUMENT</v>
      </c>
      <c r="E150" s="34" t="str">
        <f>+UPPER('0. Instruções'!$D$36&amp;"."&amp;VLOOKUP(B150,'0. Instruções'!$C$27:$E$32,3,FALSE))</f>
        <v>BU_LOANTAPE_WORK.SIMUL_LT002_INSTRUMENT</v>
      </c>
      <c r="F150" s="34" t="s">
        <v>1217</v>
      </c>
      <c r="G150" s="34"/>
      <c r="H150" s="34"/>
      <c r="I150" s="34" t="str">
        <f>"(SELECT "&amp;VLOOKUP(B150,'0. Instruções'!$C$27:$G$32,4,FALSE)&amp;", "&amp;F150&amp;" FROM "&amp;D150&amp;" WHERE "&amp;'0. Instruções'!$D$42&amp;")X"</f>
        <v>(SELECT instrmnt_id, dpd_12m_frbrnc_stts FROM BU_LOANTAPE_WORK.LT002_INSTRUMENT WHERE ref_date='${ref_date}' AND nome_perimetro='Individual Local' AND segmento='ESTR' AND ambito='SRB_MBDT' AND entidade='00100')X</v>
      </c>
      <c r="J150" s="34" t="str">
        <f>"(SELECT "&amp;VLOOKUP(B150,'0. Instruções'!$C$27:$G$32,4,FALSE)&amp;" AS "&amp;VLOOKUP(B150,'0. Instruções'!$C$27:$G$32,4,FALSE)&amp;"_SIMUL, "&amp;F150&amp;" AS "&amp;F150&amp;"_SIMUL FROM "&amp;E150&amp;" WHERE "&amp;'0. Instruções'!$D$43&amp;")Y"</f>
        <v>(SELECT instrmnt_id AS instrmnt_id_SIMUL, dpd_12m_frbrnc_stts AS dpd_12m_frbrnc_stts_SIMUL FROM BU_LOANTAPE_WORK.SIMUL_LT002_INSTRUMENT WHERE ref_date='${ref_date}' AND nome_perimetro='Individual Local' AND segmento='ESTR' AND ambito='PILAR3' AND entidade='00100')Y</v>
      </c>
      <c r="K150" s="35" t="str">
        <f>+UPPER("ON X."&amp;VLOOKUP(B150,'0. Instruções'!$C$27:$G$32,4,FALSE)&amp;"=Y."&amp;VLOOKUP(B150,'0. Instruções'!$C$27:$G$32,4,FALSE)&amp;"_SIMUL")</f>
        <v>ON X.INSTRMNT_ID=Y.INSTRMNT_ID_SIMUL</v>
      </c>
      <c r="L150" s="35" t="str">
        <f>+IF(C150="Coerência", +IF(LEFT(G150,5)="FLOAT","SELECT '"&amp;UPPER(B150)&amp;"' AS TABELA, '"&amp;UPPER(C150)&amp;"' AS TIPOLOGIA_TESTE,'"&amp;D150&amp;"' AS TABELA_LT,'"&amp;E150&amp;"' AS TABELA_SIMUL,'"&amp;F150&amp;"' AS CAMPO, "&amp;"'${ref_date}' AS REF_DATE, COUNT(*) AS NUM_REG, SUM(IF((ABS(COALESCE(CAST(X."&amp;F150&amp;" AS DECIMAL(18,6)),0)-COALESCE(CAST(Y."&amp;F150&amp;"_SIMUL AS DECIMAL(18,6)),0))&gt;0.000001) OR (X."&amp;F150&amp;" IS NULL AND Y."&amp;F150&amp;"_SIMUL IS NOT NULL ) OR (X."&amp;F150&amp;" IS NOT NULL AND Y."&amp;F150&amp;"_SIMUL IS NULL),1,0)) AS NUM_REG_DIF,'"&amp;MAX('ID1&amp;5'!K:K)+1&amp;"' AS ID_EXEC, CURRENT_TIMESTAMP() AS TIME_EXEC FROM "&amp;I150&amp;" INNER JOIN "&amp;J150&amp;" "&amp;K150,"SELECT '"&amp;UPPER(B150)&amp;"' AS TABELA, '"&amp;UPPER(C150)&amp;"' AS TIPOLOGIA_TESTE,'"&amp;D150&amp;"' AS TABELA_LT,'"&amp;E150&amp;"' AS TABELA_SIMUL,'"&amp;F150&amp;"' AS CAMPO, "&amp;"'${ref_date}' AS REF_DATE, COUNT(*) AS NUM_REG, SUM(IF(COALESCE(CAST(X."&amp;F150&amp;" AS STRING),'')&lt;&gt;COALESCE(CAST(Y."&amp;F150&amp;"_SIMUL AS STRING),'') OR (X."&amp;F150&amp;" IS NULL AND Y."&amp;F150&amp;"_SIMUL IS NOT NULL ) OR (X."&amp;F150&amp;" IS NOT NULL AND Y."&amp;F150&amp;"_SIMUL IS NULL),1,0)) AS NUM_REG_DIF,'"&amp;MAX('ID1&amp;5'!L:L)+1&amp;"' AS ID_EXEC, CURRENT_TIMESTAMP() AS TIME_EXEC FROM "&amp;I150&amp;" INNER JOIN "&amp;J150&amp;" "&amp;K150),
IF(C150="Validade",+IF(G150="Code List","SELECT '"&amp;UPPER(B150)&amp;"' AS TABELA, '"&amp;UPPER(C150)&amp;"' AS TIPOLOGIA_TESTE,'"&amp;D150&amp;"' AS TABELA_LT,'N/A' AS TABELA_SIMUL,'"&amp;F150&amp;"' AS CAMPO, "&amp;"'${ref_date}' AS REF_DATE, COUNT(*) AS NUM_REG, SUM(IF(TRIM(CAST(X."&amp;F150&amp;" AS STRING))='' OR TRIM(CAST(X."&amp;F150&amp;" AS STRING)) IS NULL OR CAST(X."&amp;F150&amp;" AS STRING) NOT "&amp;H150&amp;",1,0)) AS NUM_REG_DIF,'"&amp;MAX('ID1&amp;5'!K:K)+1&amp;"' AS ID_EXEC, CURRENT_TIMESTAMP() AS TIME_EXEC FROM "&amp;I150,"SELECT '"&amp;UPPER(B150)&amp;"' AS TABELA, '"&amp;UPPER(C150)&amp;"' AS TIPOLOGIA_TESTE,'"&amp;D150&amp;"' AS TABELA_LT,'N/A' AS TABELA_SIMUL,'"&amp;F150&amp;"' AS CAMPO, "&amp;"'${ref_date}' AS REF_DATE, COUNT(*) AS NUM_REG, SUM(IF(TRIM(CAST(X."&amp;F150&amp;" AS STRING))='' OR TRIM(CAST(X."&amp;F150&amp;" AS STRING)) IS NULL,1,0)) AS NUM_REG_DIF,'"&amp;MAX('ID1&amp;5'!K:K)+1&amp;"' AS ID_EXEC, CURRENT_TIMESTAMP() AS TIME_EXEC FROM "&amp;I150),
IF(C150="Caracteres Especiais",+"SELECT '"&amp;UPPER(B150)&amp;"' AS TABELA, '"&amp;UPPER(C150)&amp;"' AS TIPOLOGIA_TESTE,'"&amp;D150&amp;"' AS TABELA_LT,'N/A' AS TABELA_SIMUL,'"&amp;F150&amp;"' AS CAMPO, "&amp;"'${ref_date}' AS REF_DATE, COUNT(*) AS NUM_REG, SUM(IF(REGEXP_REPLACE(TRIM(CAST(X."&amp;F150&amp;" AS STRING)),'[^a-zA-Z0-9_\\s]','') &lt;&gt;TRIM(CAST(X."&amp;F150&amp;" AS STRING)),1,0)) AS NUM_REG_DIF,'"&amp;MAX('ID1&amp;5'!K:K)+1&amp;"' AS ID_EXEC, CURRENT_TIMESTAMP() AS TIME_EXEC FROM "&amp;I150,
IF(C150="Missings",+"SELECT '"&amp;UPPER(B150)&amp;"' AS TABELA, '"&amp;UPPER(C150)&amp;"' AS TIPOLOGIA_TESTE,'"&amp;D150&amp;"' AS TABELA_LT,'N/A' AS TABELA_SIMUL,'"&amp;F150&amp;"' AS CAMPO, "&amp;"'${ref_date}' AS REF_DATE, COUNT(*) AS NUM_REG, SUM(IF(TRIM(CAST(X."&amp;F150&amp;" AS STRING)) IN ('0000-00-00','0001-01-01','9999-12-31','MISS','00000','99999999999','99999999999.00','99999999999.000000'),1,0)) AS NUM_REG_DIF,'"&amp;MAX('ID1&amp;5'!K:K)+1&amp;"' AS ID_EXEC, CURRENT_TIMESTAMP() AS TIME_EXEC FROM "&amp;I150,
IF(C150="Not applicable",+"SELECT '"&amp;UPPER(B150)&amp;"' AS TABELA, '"&amp;UPPER(C150)&amp;"' AS TIPOLOGIA_TESTE,'"&amp;D150&amp;"' AS TABELA_LT,'N/A' AS TABELA_SIMUL,'"&amp;F150&amp;"' AS CAMPO, "&amp;"'${ref_date}' AS REF_DATE, COUNT(*) AS NUM_REG, SUM(IF(TRIM(CAST(X."&amp;F150&amp;" AS STRING)) IN ('N/A','11111111111','11111111111.00','11111111111.000000','1111-11-11'),1,0)) AS NUM_REG_DIF,'"&amp;MAX('ID1&amp;5'!K:K)+1&amp;"' AS ID_EXEC, CURRENT_TIMESTAMP() AS TIME_EXEC FROM "&amp;I150,
IF(C150="Valores extremos",+"SELECT '"&amp;UPPER(B150)&amp;"' AS TABELA, '"&amp;UPPER(C150)&amp;"' AS TIPOLOGIA_TESTE,'"&amp;D150&amp;"' AS TABELA_LT,'N/A' AS TABELA_SIMUL,'"&amp;F150&amp;"' AS CAMPO, "&amp;"'${ref_date}' AS REF_DATE, CAST(MIN("&amp;F150&amp;") AS STRING) AS VALOR_MIN, CAST(MAX("&amp;F150&amp;") AS STRING) AS VALOR_MAX,'"&amp;MAX('ID1&amp;5'!K:K)+1&amp;"' AS ID_EXEC, CURRENT_TIMESTAMP() AS TIME_EXEC FROM "&amp;MID(I150,1,LEN(I150)-2)&amp;" AND CAST("&amp;F150&amp;"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TABELA_SIMUL,'dpd_12m_frbrnc_stts' AS CAMPO, '${ref_date}' AS REF_DATE, COUNT(*) AS NUM_REG, SUM(IF(COALESCE(CAST(X.dpd_12m_frbrnc_stts AS STRING),'')&lt;&gt;COALESCE(CAST(Y.dpd_12m_frbrnc_stts_SIMUL AS STRING),'') OR (X.dpd_12m_frbrnc_stts IS NULL AND Y.dpd_12m_frbrnc_stts_SIMUL IS NOT NULL ) OR (X.dpd_12m_frbrnc_stts IS NOT NULL AND Y.dpd_12m_frbrnc_stts_SIMUL IS NULL),1,0)) AS NUM_REG_DIF,'1' AS ID_EXEC, CURRENT_TIMESTAMP() AS TIME_EXEC FROM (SELECT instrmnt_id, dpd_12m_frbrnc_stts FROM BU_LOANTAPE_WORK.LT002_INSTRUMENT WHERE ref_date='${ref_date}' AND nome_perimetro='Individual Local' AND segmento='ESTR' AND ambito='SRB_MBDT' AND entidade='00100')X INNER JOIN (SELECT instrmnt_id AS instrmnt_id_SIMUL, dpd_12m_frbrnc_stts AS dpd_12m_frbrnc_stts_SIMUL FROM BU_LOANTAPE_WORK.SIMUL_LT002_INSTRUMENT WHERE ref_date='${ref_date}' AND nome_perimetro='Individual Local' AND segmento='ESTR' AND ambito='PILAR3' AND entidade='00100')Y ON X.INSTRMNT_ID=Y.INSTRMNT_ID_SIMUL</v>
      </c>
      <c r="M150" s="36" t="str">
        <f t="shared" si="5"/>
        <v>UNION ALL SELECT 'INSTRUMENT' AS TABELA, 'COERÊNCIA' AS TIPOLOGIA_TESTE,'BU_LOANTAPE_WORK.LT002_INSTRUMENT' AS TABELA_LT,'BU_LOANTAPE_WORK.SIMUL_LT002_INSTRUMENT' AS TABELA_SIMUL,'dpd_12m_frbrnc_stts' AS CAMPO, '${ref_date}' AS REF_DATE, COUNT(*) AS NUM_REG, SUM(IF(COALESCE(CAST(X.dpd_12m_frbrnc_stts AS STRING),'')&lt;&gt;COALESCE(CAST(Y.dpd_12m_frbrnc_stts_SIMUL AS STRING),'') OR (X.dpd_12m_frbrnc_stts IS NULL AND Y.dpd_12m_frbrnc_stts_SIMUL IS NOT NULL ) OR (X.dpd_12m_frbrnc_stts IS NOT NULL AND Y.dpd_12m_frbrnc_stts_SIMUL IS NULL),1,0)) AS NUM_REG_DIF,'1' AS ID_EXEC, CURRENT_TIMESTAMP() AS TIME_EXEC FROM (SELECT instrmnt_id, dpd_12m_frbrnc_stts FROM BU_LOANTAPE_WORK.LT002_INSTRUMENT WHERE ref_date='${ref_date}' AND nome_perimetro='Individual Local' AND segmento='ESTR' AND ambito='SRB_MBDT' AND entidade='00100')X INNER JOIN (SELECT instrmnt_id AS instrmnt_id_SIMUL, dpd_12m_frbrnc_stts AS dpd_12m_frbrnc_stts_SIMUL FROM BU_LOANTAPE_WORK.SIMUL_LT002_INSTRUMENT WHERE ref_date='${ref_date}' AND nome_perimetro='Individual Local' AND segmento='ESTR' AND ambito='PILAR3' AND entidade='00100')Y ON X.INSTRMNT_ID=Y.INSTRMNT_ID_SIMUL</v>
      </c>
      <c r="N150" s="38"/>
    </row>
    <row r="151" spans="2:14">
      <c r="B151" s="34" t="s">
        <v>117</v>
      </c>
      <c r="C151" s="34" t="s">
        <v>5</v>
      </c>
      <c r="D151" s="34" t="str">
        <f>+UPPER('0. Instruções'!$D$35&amp;"."&amp;VLOOKUP(B151,'0. Instruções'!$C$27:$D$32,2,FALSE))</f>
        <v>BU_LOANTAPE_WORK.LT002_INSTRUMENT</v>
      </c>
      <c r="E151" s="34" t="str">
        <f>+UPPER('0. Instruções'!$D$36&amp;"."&amp;VLOOKUP(B151,'0. Instruções'!$C$27:$E$32,3,FALSE))</f>
        <v>BU_LOANTAPE_WORK.SIMUL_LT002_INSTRUMENT</v>
      </c>
      <c r="F151" s="34" t="s">
        <v>293</v>
      </c>
      <c r="G151" s="34"/>
      <c r="H151" s="34"/>
      <c r="I151" s="34" t="str">
        <f>"(SELECT "&amp;VLOOKUP(B151,'0. Instruções'!$C$27:$G$32,4,FALSE)&amp;", "&amp;F151&amp;" FROM "&amp;D151&amp;" WHERE "&amp;'0. Instruções'!$D$42&amp;")X"</f>
        <v>(SELECT instrmnt_id, dpd_12m_prfrmng_stts FROM BU_LOANTAPE_WORK.LT002_INSTRUMENT WHERE ref_date='${ref_date}' AND nome_perimetro='Individual Local' AND segmento='ESTR' AND ambito='SRB_MBDT' AND entidade='00100')X</v>
      </c>
      <c r="J151" s="34" t="str">
        <f>"(SELECT "&amp;VLOOKUP(B151,'0. Instruções'!$C$27:$G$32,4,FALSE)&amp;" AS "&amp;VLOOKUP(B151,'0. Instruções'!$C$27:$G$32,4,FALSE)&amp;"_SIMUL, "&amp;F151&amp;" AS "&amp;F151&amp;"_SIMUL FROM "&amp;E151&amp;" WHERE "&amp;'0. Instruções'!$D$43&amp;")Y"</f>
        <v>(SELECT instrmnt_id AS instrmnt_id_SIMUL, dpd_12m_prfrmng_stts AS dpd_12m_prfrmng_stts_SIMUL FROM BU_LOANTAPE_WORK.SIMUL_LT002_INSTRUMENT WHERE ref_date='${ref_date}' AND nome_perimetro='Individual Local' AND segmento='ESTR' AND ambito='PILAR3' AND entidade='00100')Y</v>
      </c>
      <c r="K151" s="35" t="str">
        <f>+UPPER("ON X."&amp;VLOOKUP(B151,'0. Instruções'!$C$27:$G$32,4,FALSE)&amp;"=Y."&amp;VLOOKUP(B151,'0. Instruções'!$C$27:$G$32,4,FALSE)&amp;"_SIMUL")</f>
        <v>ON X.INSTRMNT_ID=Y.INSTRMNT_ID_SIMUL</v>
      </c>
      <c r="L151" s="35" t="str">
        <f>+IF(C151="Coerência", +IF(LEFT(G151,5)="FLOAT","SELECT '"&amp;UPPER(B151)&amp;"' AS TABELA, '"&amp;UPPER(C151)&amp;"' AS TIPOLOGIA_TESTE,'"&amp;D151&amp;"' AS TABELA_LT,'"&amp;E151&amp;"' AS TABELA_SIMUL,'"&amp;F151&amp;"' AS CAMPO, "&amp;"'${ref_date}' AS REF_DATE, COUNT(*) AS NUM_REG, SUM(IF((ABS(COALESCE(CAST(X."&amp;F151&amp;" AS DECIMAL(18,6)),0)-COALESCE(CAST(Y."&amp;F151&amp;"_SIMUL AS DECIMAL(18,6)),0))&gt;0.000001) OR (X."&amp;F151&amp;" IS NULL AND Y."&amp;F151&amp;"_SIMUL IS NOT NULL ) OR (X."&amp;F151&amp;" IS NOT NULL AND Y."&amp;F151&amp;"_SIMUL IS NULL),1,0)) AS NUM_REG_DIF,'"&amp;MAX('ID1&amp;5'!K:K)+1&amp;"' AS ID_EXEC, CURRENT_TIMESTAMP() AS TIME_EXEC FROM "&amp;I151&amp;" INNER JOIN "&amp;J151&amp;" "&amp;K151,"SELECT '"&amp;UPPER(B151)&amp;"' AS TABELA, '"&amp;UPPER(C151)&amp;"' AS TIPOLOGIA_TESTE,'"&amp;D151&amp;"' AS TABELA_LT,'"&amp;E151&amp;"' AS TABELA_SIMUL,'"&amp;F151&amp;"' AS CAMPO, "&amp;"'${ref_date}' AS REF_DATE, COUNT(*) AS NUM_REG, SUM(IF(COALESCE(CAST(X."&amp;F151&amp;" AS STRING),'')&lt;&gt;COALESCE(CAST(Y."&amp;F151&amp;"_SIMUL AS STRING),'') OR (X."&amp;F151&amp;" IS NULL AND Y."&amp;F151&amp;"_SIMUL IS NOT NULL ) OR (X."&amp;F151&amp;" IS NOT NULL AND Y."&amp;F151&amp;"_SIMUL IS NULL),1,0)) AS NUM_REG_DIF,'"&amp;MAX('ID1&amp;5'!L:L)+1&amp;"' AS ID_EXEC, CURRENT_TIMESTAMP() AS TIME_EXEC FROM "&amp;I151&amp;" INNER JOIN "&amp;J151&amp;" "&amp;K151),
IF(C151="Validade",+IF(G151="Code List","SELECT '"&amp;UPPER(B151)&amp;"' AS TABELA, '"&amp;UPPER(C151)&amp;"' AS TIPOLOGIA_TESTE,'"&amp;D151&amp;"' AS TABELA_LT,'N/A' AS TABELA_SIMUL,'"&amp;F151&amp;"' AS CAMPO, "&amp;"'${ref_date}' AS REF_DATE, COUNT(*) AS NUM_REG, SUM(IF(TRIM(CAST(X."&amp;F151&amp;" AS STRING))='' OR TRIM(CAST(X."&amp;F151&amp;" AS STRING)) IS NULL OR CAST(X."&amp;F151&amp;" AS STRING) NOT "&amp;H151&amp;",1,0)) AS NUM_REG_DIF,'"&amp;MAX('ID1&amp;5'!K:K)+1&amp;"' AS ID_EXEC, CURRENT_TIMESTAMP() AS TIME_EXEC FROM "&amp;I151,"SELECT '"&amp;UPPER(B151)&amp;"' AS TABELA, '"&amp;UPPER(C151)&amp;"' AS TIPOLOGIA_TESTE,'"&amp;D151&amp;"' AS TABELA_LT,'N/A' AS TABELA_SIMUL,'"&amp;F151&amp;"' AS CAMPO, "&amp;"'${ref_date}' AS REF_DATE, COUNT(*) AS NUM_REG, SUM(IF(TRIM(CAST(X."&amp;F151&amp;" AS STRING))='' OR TRIM(CAST(X."&amp;F151&amp;" AS STRING)) IS NULL,1,0)) AS NUM_REG_DIF,'"&amp;MAX('ID1&amp;5'!K:K)+1&amp;"' AS ID_EXEC, CURRENT_TIMESTAMP() AS TIME_EXEC FROM "&amp;I151),
IF(C151="Caracteres Especiais",+"SELECT '"&amp;UPPER(B151)&amp;"' AS TABELA, '"&amp;UPPER(C151)&amp;"' AS TIPOLOGIA_TESTE,'"&amp;D151&amp;"' AS TABELA_LT,'N/A' AS TABELA_SIMUL,'"&amp;F151&amp;"' AS CAMPO, "&amp;"'${ref_date}' AS REF_DATE, COUNT(*) AS NUM_REG, SUM(IF(REGEXP_REPLACE(TRIM(CAST(X."&amp;F151&amp;" AS STRING)),'[^a-zA-Z0-9_\\s]','') &lt;&gt;TRIM(CAST(X."&amp;F151&amp;" AS STRING)),1,0)) AS NUM_REG_DIF,'"&amp;MAX('ID1&amp;5'!K:K)+1&amp;"' AS ID_EXEC, CURRENT_TIMESTAMP() AS TIME_EXEC FROM "&amp;I151,
IF(C151="Missings",+"SELECT '"&amp;UPPER(B151)&amp;"' AS TABELA, '"&amp;UPPER(C151)&amp;"' AS TIPOLOGIA_TESTE,'"&amp;D151&amp;"' AS TABELA_LT,'N/A' AS TABELA_SIMUL,'"&amp;F151&amp;"' AS CAMPO, "&amp;"'${ref_date}' AS REF_DATE, COUNT(*) AS NUM_REG, SUM(IF(TRIM(CAST(X."&amp;F151&amp;" AS STRING)) IN ('0000-00-00','0001-01-01','9999-12-31','MISS','00000','99999999999','99999999999.00','99999999999.000000'),1,0)) AS NUM_REG_DIF,'"&amp;MAX('ID1&amp;5'!K:K)+1&amp;"' AS ID_EXEC, CURRENT_TIMESTAMP() AS TIME_EXEC FROM "&amp;I151,
IF(C151="Not applicable",+"SELECT '"&amp;UPPER(B151)&amp;"' AS TABELA, '"&amp;UPPER(C151)&amp;"' AS TIPOLOGIA_TESTE,'"&amp;D151&amp;"' AS TABELA_LT,'N/A' AS TABELA_SIMUL,'"&amp;F151&amp;"' AS CAMPO, "&amp;"'${ref_date}' AS REF_DATE, COUNT(*) AS NUM_REG, SUM(IF(TRIM(CAST(X."&amp;F151&amp;" AS STRING)) IN ('N/A','11111111111','11111111111.00','11111111111.000000','1111-11-11'),1,0)) AS NUM_REG_DIF,'"&amp;MAX('ID1&amp;5'!K:K)+1&amp;"' AS ID_EXEC, CURRENT_TIMESTAMP() AS TIME_EXEC FROM "&amp;I151,
IF(C151="Valores extremos",+"SELECT '"&amp;UPPER(B151)&amp;"' AS TABELA, '"&amp;UPPER(C151)&amp;"' AS TIPOLOGIA_TESTE,'"&amp;D151&amp;"' AS TABELA_LT,'N/A' AS TABELA_SIMUL,'"&amp;F151&amp;"' AS CAMPO, "&amp;"'${ref_date}' AS REF_DATE, CAST(MIN("&amp;F151&amp;") AS STRING) AS VALOR_MIN, CAST(MAX("&amp;F151&amp;") AS STRING) AS VALOR_MAX,'"&amp;MAX('ID1&amp;5'!K:K)+1&amp;"' AS ID_EXEC, CURRENT_TIMESTAMP() AS TIME_EXEC FROM "&amp;MID(I151,1,LEN(I151)-2)&amp;" AND CAST("&amp;F151&amp;"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TABELA_SIMUL,'dpd_12m_prfrmng_stts' AS CAMPO, '${ref_date}' AS REF_DATE, COUNT(*) AS NUM_REG, SUM(IF(COALESCE(CAST(X.dpd_12m_prfrmng_stts AS STRING),'')&lt;&gt;COALESCE(CAST(Y.dpd_12m_prfrmng_stts_SIMUL AS STRING),'') OR (X.dpd_12m_prfrmng_stts IS NULL AND Y.dpd_12m_prfrmng_stts_SIMUL IS NOT NULL ) OR (X.dpd_12m_prfrmng_stts IS NOT NULL AND Y.dpd_12m_prfrmng_stts_SIMUL IS NULL),1,0)) AS NUM_REG_DIF,'1' AS ID_EXEC, CURRENT_TIMESTAMP() AS TIME_EXEC FROM (SELECT instrmnt_id, dpd_12m_prfrmng_stts FROM BU_LOANTAPE_WORK.LT002_INSTRUMENT WHERE ref_date='${ref_date}' AND nome_perimetro='Individual Local' AND segmento='ESTR' AND ambito='SRB_MBDT' AND entidade='00100')X INNER JOIN (SELECT instrmnt_id AS instrmnt_id_SIMUL, dpd_12m_prfrmng_stts AS dpd_12m_prfrmng_stts_SIMUL FROM BU_LOANTAPE_WORK.SIMUL_LT002_INSTRUMENT WHERE ref_date='${ref_date}' AND nome_perimetro='Individual Local' AND segmento='ESTR' AND ambito='PILAR3' AND entidade='00100')Y ON X.INSTRMNT_ID=Y.INSTRMNT_ID_SIMUL</v>
      </c>
      <c r="M151" s="36" t="str">
        <f t="shared" si="5"/>
        <v>UNION ALL SELECT 'INSTRUMENT' AS TABELA, 'COERÊNCIA' AS TIPOLOGIA_TESTE,'BU_LOANTAPE_WORK.LT002_INSTRUMENT' AS TABELA_LT,'BU_LOANTAPE_WORK.SIMUL_LT002_INSTRUMENT' AS TABELA_SIMUL,'dpd_12m_prfrmng_stts' AS CAMPO, '${ref_date}' AS REF_DATE, COUNT(*) AS NUM_REG, SUM(IF(COALESCE(CAST(X.dpd_12m_prfrmng_stts AS STRING),'')&lt;&gt;COALESCE(CAST(Y.dpd_12m_prfrmng_stts_SIMUL AS STRING),'') OR (X.dpd_12m_prfrmng_stts IS NULL AND Y.dpd_12m_prfrmng_stts_SIMUL IS NOT NULL ) OR (X.dpd_12m_prfrmng_stts IS NOT NULL AND Y.dpd_12m_prfrmng_stts_SIMUL IS NULL),1,0)) AS NUM_REG_DIF,'1' AS ID_EXEC, CURRENT_TIMESTAMP() AS TIME_EXEC FROM (SELECT instrmnt_id, dpd_12m_prfrmng_stts FROM BU_LOANTAPE_WORK.LT002_INSTRUMENT WHERE ref_date='${ref_date}' AND nome_perimetro='Individual Local' AND segmento='ESTR' AND ambito='SRB_MBDT' AND entidade='00100')X INNER JOIN (SELECT instrmnt_id AS instrmnt_id_SIMUL, dpd_12m_prfrmng_stts AS dpd_12m_prfrmng_stts_SIMUL FROM BU_LOANTAPE_WORK.SIMUL_LT002_INSTRUMENT WHERE ref_date='${ref_date}' AND nome_perimetro='Individual Local' AND segmento='ESTR' AND ambito='PILAR3' AND entidade='00100')Y ON X.INSTRMNT_ID=Y.INSTRMNT_ID_SIMUL</v>
      </c>
      <c r="N151" s="38"/>
    </row>
    <row r="152" spans="2:14">
      <c r="B152" s="34" t="s">
        <v>117</v>
      </c>
      <c r="C152" s="34" t="s">
        <v>5</v>
      </c>
      <c r="D152" s="34" t="str">
        <f>+UPPER('0. Instruções'!$D$35&amp;"."&amp;VLOOKUP(B152,'0. Instruções'!$C$27:$D$32,2,FALSE))</f>
        <v>BU_LOANTAPE_WORK.LT002_INSTRUMENT</v>
      </c>
      <c r="E152" s="34" t="str">
        <f>+UPPER('0. Instruções'!$D$36&amp;"."&amp;VLOOKUP(B152,'0. Instruções'!$C$27:$E$32,3,FALSE))</f>
        <v>BU_LOANTAPE_WORK.SIMUL_LT002_INSTRUMENT</v>
      </c>
      <c r="F152" s="34" t="s">
        <v>1218</v>
      </c>
      <c r="G152" s="34"/>
      <c r="H152" s="34"/>
      <c r="I152" s="34" t="str">
        <f>"(SELECT "&amp;VLOOKUP(B152,'0. Instruções'!$C$27:$G$32,4,FALSE)&amp;", "&amp;F152&amp;" FROM "&amp;D152&amp;" WHERE "&amp;'0. Instruções'!$D$42&amp;")X"</f>
        <v>(SELECT instrmnt_id, dpd_24m_frbrnc_stts FROM BU_LOANTAPE_WORK.LT002_INSTRUMENT WHERE ref_date='${ref_date}' AND nome_perimetro='Individual Local' AND segmento='ESTR' AND ambito='SRB_MBDT' AND entidade='00100')X</v>
      </c>
      <c r="J152" s="34" t="str">
        <f>"(SELECT "&amp;VLOOKUP(B152,'0. Instruções'!$C$27:$G$32,4,FALSE)&amp;" AS "&amp;VLOOKUP(B152,'0. Instruções'!$C$27:$G$32,4,FALSE)&amp;"_SIMUL, "&amp;F152&amp;" AS "&amp;F152&amp;"_SIMUL FROM "&amp;E152&amp;" WHERE "&amp;'0. Instruções'!$D$43&amp;")Y"</f>
        <v>(SELECT instrmnt_id AS instrmnt_id_SIMUL, dpd_24m_frbrnc_stts AS dpd_24m_frbrnc_stts_SIMUL FROM BU_LOANTAPE_WORK.SIMUL_LT002_INSTRUMENT WHERE ref_date='${ref_date}' AND nome_perimetro='Individual Local' AND segmento='ESTR' AND ambito='PILAR3' AND entidade='00100')Y</v>
      </c>
      <c r="K152" s="35" t="str">
        <f>+UPPER("ON X."&amp;VLOOKUP(B152,'0. Instruções'!$C$27:$G$32,4,FALSE)&amp;"=Y."&amp;VLOOKUP(B152,'0. Instruções'!$C$27:$G$32,4,FALSE)&amp;"_SIMUL")</f>
        <v>ON X.INSTRMNT_ID=Y.INSTRMNT_ID_SIMUL</v>
      </c>
      <c r="L152" s="35" t="str">
        <f>+IF(C152="Coerência", +IF(LEFT(G152,5)="FLOAT","SELECT '"&amp;UPPER(B152)&amp;"' AS TABELA, '"&amp;UPPER(C152)&amp;"' AS TIPOLOGIA_TESTE,'"&amp;D152&amp;"' AS TABELA_LT,'"&amp;E152&amp;"' AS TABELA_SIMUL,'"&amp;F152&amp;"' AS CAMPO, "&amp;"'${ref_date}' AS REF_DATE, COUNT(*) AS NUM_REG, SUM(IF((ABS(COALESCE(CAST(X."&amp;F152&amp;" AS DECIMAL(18,6)),0)-COALESCE(CAST(Y."&amp;F152&amp;"_SIMUL AS DECIMAL(18,6)),0))&gt;0.000001) OR (X."&amp;F152&amp;" IS NULL AND Y."&amp;F152&amp;"_SIMUL IS NOT NULL ) OR (X."&amp;F152&amp;" IS NOT NULL AND Y."&amp;F152&amp;"_SIMUL IS NULL),1,0)) AS NUM_REG_DIF,'"&amp;MAX('ID1&amp;5'!K:K)+1&amp;"' AS ID_EXEC, CURRENT_TIMESTAMP() AS TIME_EXEC FROM "&amp;I152&amp;" INNER JOIN "&amp;J152&amp;" "&amp;K152,"SELECT '"&amp;UPPER(B152)&amp;"' AS TABELA, '"&amp;UPPER(C152)&amp;"' AS TIPOLOGIA_TESTE,'"&amp;D152&amp;"' AS TABELA_LT,'"&amp;E152&amp;"' AS TABELA_SIMUL,'"&amp;F152&amp;"' AS CAMPO, "&amp;"'${ref_date}' AS REF_DATE, COUNT(*) AS NUM_REG, SUM(IF(COALESCE(CAST(X."&amp;F152&amp;" AS STRING),'')&lt;&gt;COALESCE(CAST(Y."&amp;F152&amp;"_SIMUL AS STRING),'') OR (X."&amp;F152&amp;" IS NULL AND Y."&amp;F152&amp;"_SIMUL IS NOT NULL ) OR (X."&amp;F152&amp;" IS NOT NULL AND Y."&amp;F152&amp;"_SIMUL IS NULL),1,0)) AS NUM_REG_DIF,'"&amp;MAX('ID1&amp;5'!L:L)+1&amp;"' AS ID_EXEC, CURRENT_TIMESTAMP() AS TIME_EXEC FROM "&amp;I152&amp;" INNER JOIN "&amp;J152&amp;" "&amp;K152),
IF(C152="Validade",+IF(G152="Code List","SELECT '"&amp;UPPER(B152)&amp;"' AS TABELA, '"&amp;UPPER(C152)&amp;"' AS TIPOLOGIA_TESTE,'"&amp;D152&amp;"' AS TABELA_LT,'N/A' AS TABELA_SIMUL,'"&amp;F152&amp;"' AS CAMPO, "&amp;"'${ref_date}' AS REF_DATE, COUNT(*) AS NUM_REG, SUM(IF(TRIM(CAST(X."&amp;F152&amp;" AS STRING))='' OR TRIM(CAST(X."&amp;F152&amp;" AS STRING)) IS NULL OR CAST(X."&amp;F152&amp;" AS STRING) NOT "&amp;H152&amp;",1,0)) AS NUM_REG_DIF,'"&amp;MAX('ID1&amp;5'!K:K)+1&amp;"' AS ID_EXEC, CURRENT_TIMESTAMP() AS TIME_EXEC FROM "&amp;I152,"SELECT '"&amp;UPPER(B152)&amp;"' AS TABELA, '"&amp;UPPER(C152)&amp;"' AS TIPOLOGIA_TESTE,'"&amp;D152&amp;"' AS TABELA_LT,'N/A' AS TABELA_SIMUL,'"&amp;F152&amp;"' AS CAMPO, "&amp;"'${ref_date}' AS REF_DATE, COUNT(*) AS NUM_REG, SUM(IF(TRIM(CAST(X."&amp;F152&amp;" AS STRING))='' OR TRIM(CAST(X."&amp;F152&amp;" AS STRING)) IS NULL,1,0)) AS NUM_REG_DIF,'"&amp;MAX('ID1&amp;5'!K:K)+1&amp;"' AS ID_EXEC, CURRENT_TIMESTAMP() AS TIME_EXEC FROM "&amp;I152),
IF(C152="Caracteres Especiais",+"SELECT '"&amp;UPPER(B152)&amp;"' AS TABELA, '"&amp;UPPER(C152)&amp;"' AS TIPOLOGIA_TESTE,'"&amp;D152&amp;"' AS TABELA_LT,'N/A' AS TABELA_SIMUL,'"&amp;F152&amp;"' AS CAMPO, "&amp;"'${ref_date}' AS REF_DATE, COUNT(*) AS NUM_REG, SUM(IF(REGEXP_REPLACE(TRIM(CAST(X."&amp;F152&amp;" AS STRING)),'[^a-zA-Z0-9_\\s]','') &lt;&gt;TRIM(CAST(X."&amp;F152&amp;" AS STRING)),1,0)) AS NUM_REG_DIF,'"&amp;MAX('ID1&amp;5'!K:K)+1&amp;"' AS ID_EXEC, CURRENT_TIMESTAMP() AS TIME_EXEC FROM "&amp;I152,
IF(C152="Missings",+"SELECT '"&amp;UPPER(B152)&amp;"' AS TABELA, '"&amp;UPPER(C152)&amp;"' AS TIPOLOGIA_TESTE,'"&amp;D152&amp;"' AS TABELA_LT,'N/A' AS TABELA_SIMUL,'"&amp;F152&amp;"' AS CAMPO, "&amp;"'${ref_date}' AS REF_DATE, COUNT(*) AS NUM_REG, SUM(IF(TRIM(CAST(X."&amp;F152&amp;" AS STRING)) IN ('0000-00-00','0001-01-01','9999-12-31','MISS','00000','99999999999','99999999999.00','99999999999.000000'),1,0)) AS NUM_REG_DIF,'"&amp;MAX('ID1&amp;5'!K:K)+1&amp;"' AS ID_EXEC, CURRENT_TIMESTAMP() AS TIME_EXEC FROM "&amp;I152,
IF(C152="Not applicable",+"SELECT '"&amp;UPPER(B152)&amp;"' AS TABELA, '"&amp;UPPER(C152)&amp;"' AS TIPOLOGIA_TESTE,'"&amp;D152&amp;"' AS TABELA_LT,'N/A' AS TABELA_SIMUL,'"&amp;F152&amp;"' AS CAMPO, "&amp;"'${ref_date}' AS REF_DATE, COUNT(*) AS NUM_REG, SUM(IF(TRIM(CAST(X."&amp;F152&amp;" AS STRING)) IN ('N/A','11111111111','11111111111.00','11111111111.000000','1111-11-11'),1,0)) AS NUM_REG_DIF,'"&amp;MAX('ID1&amp;5'!K:K)+1&amp;"' AS ID_EXEC, CURRENT_TIMESTAMP() AS TIME_EXEC FROM "&amp;I152,
IF(C152="Valores extremos",+"SELECT '"&amp;UPPER(B152)&amp;"' AS TABELA, '"&amp;UPPER(C152)&amp;"' AS TIPOLOGIA_TESTE,'"&amp;D152&amp;"' AS TABELA_LT,'N/A' AS TABELA_SIMUL,'"&amp;F152&amp;"' AS CAMPO, "&amp;"'${ref_date}' AS REF_DATE, CAST(MIN("&amp;F152&amp;") AS STRING) AS VALOR_MIN, CAST(MAX("&amp;F152&amp;") AS STRING) AS VALOR_MAX,'"&amp;MAX('ID1&amp;5'!K:K)+1&amp;"' AS ID_EXEC, CURRENT_TIMESTAMP() AS TIME_EXEC FROM "&amp;MID(I152,1,LEN(I152)-2)&amp;" AND CAST("&amp;F152&amp;"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TABELA_SIMUL,'dpd_24m_frbrnc_stts' AS CAMPO, '${ref_date}' AS REF_DATE, COUNT(*) AS NUM_REG, SUM(IF(COALESCE(CAST(X.dpd_24m_frbrnc_stts AS STRING),'')&lt;&gt;COALESCE(CAST(Y.dpd_24m_frbrnc_stts_SIMUL AS STRING),'') OR (X.dpd_24m_frbrnc_stts IS NULL AND Y.dpd_24m_frbrnc_stts_SIMUL IS NOT NULL ) OR (X.dpd_24m_frbrnc_stts IS NOT NULL AND Y.dpd_24m_frbrnc_stts_SIMUL IS NULL),1,0)) AS NUM_REG_DIF,'1' AS ID_EXEC, CURRENT_TIMESTAMP() AS TIME_EXEC FROM (SELECT instrmnt_id, dpd_24m_frbrnc_stts FROM BU_LOANTAPE_WORK.LT002_INSTRUMENT WHERE ref_date='${ref_date}' AND nome_perimetro='Individual Local' AND segmento='ESTR' AND ambito='SRB_MBDT' AND entidade='00100')X INNER JOIN (SELECT instrmnt_id AS instrmnt_id_SIMUL, dpd_24m_frbrnc_stts AS dpd_24m_frbrnc_stts_SIMUL FROM BU_LOANTAPE_WORK.SIMUL_LT002_INSTRUMENT WHERE ref_date='${ref_date}' AND nome_perimetro='Individual Local' AND segmento='ESTR' AND ambito='PILAR3' AND entidade='00100')Y ON X.INSTRMNT_ID=Y.INSTRMNT_ID_SIMUL</v>
      </c>
      <c r="M152" s="36" t="str">
        <f t="shared" si="5"/>
        <v>UNION ALL SELECT 'INSTRUMENT' AS TABELA, 'COERÊNCIA' AS TIPOLOGIA_TESTE,'BU_LOANTAPE_WORK.LT002_INSTRUMENT' AS TABELA_LT,'BU_LOANTAPE_WORK.SIMUL_LT002_INSTRUMENT' AS TABELA_SIMUL,'dpd_24m_frbrnc_stts' AS CAMPO, '${ref_date}' AS REF_DATE, COUNT(*) AS NUM_REG, SUM(IF(COALESCE(CAST(X.dpd_24m_frbrnc_stts AS STRING),'')&lt;&gt;COALESCE(CAST(Y.dpd_24m_frbrnc_stts_SIMUL AS STRING),'') OR (X.dpd_24m_frbrnc_stts IS NULL AND Y.dpd_24m_frbrnc_stts_SIMUL IS NOT NULL ) OR (X.dpd_24m_frbrnc_stts IS NOT NULL AND Y.dpd_24m_frbrnc_stts_SIMUL IS NULL),1,0)) AS NUM_REG_DIF,'1' AS ID_EXEC, CURRENT_TIMESTAMP() AS TIME_EXEC FROM (SELECT instrmnt_id, dpd_24m_frbrnc_stts FROM BU_LOANTAPE_WORK.LT002_INSTRUMENT WHERE ref_date='${ref_date}' AND nome_perimetro='Individual Local' AND segmento='ESTR' AND ambito='SRB_MBDT' AND entidade='00100')X INNER JOIN (SELECT instrmnt_id AS instrmnt_id_SIMUL, dpd_24m_frbrnc_stts AS dpd_24m_frbrnc_stts_SIMUL FROM BU_LOANTAPE_WORK.SIMUL_LT002_INSTRUMENT WHERE ref_date='${ref_date}' AND nome_perimetro='Individual Local' AND segmento='ESTR' AND ambito='PILAR3' AND entidade='00100')Y ON X.INSTRMNT_ID=Y.INSTRMNT_ID_SIMUL</v>
      </c>
      <c r="N152" s="38"/>
    </row>
    <row r="153" spans="2:14">
      <c r="B153" s="34" t="s">
        <v>117</v>
      </c>
      <c r="C153" s="34" t="s">
        <v>5</v>
      </c>
      <c r="D153" s="34" t="str">
        <f>+UPPER('0. Instruções'!$D$35&amp;"."&amp;VLOOKUP(B153,'0. Instruções'!$C$27:$D$32,2,FALSE))</f>
        <v>BU_LOANTAPE_WORK.LT002_INSTRUMENT</v>
      </c>
      <c r="E153" s="34" t="str">
        <f>+UPPER('0. Instruções'!$D$36&amp;"."&amp;VLOOKUP(B153,'0. Instruções'!$C$27:$E$32,3,FALSE))</f>
        <v>BU_LOANTAPE_WORK.SIMUL_LT002_INSTRUMENT</v>
      </c>
      <c r="F153" s="34" t="s">
        <v>295</v>
      </c>
      <c r="G153" s="34"/>
      <c r="H153" s="34"/>
      <c r="I153" s="34" t="str">
        <f>"(SELECT "&amp;VLOOKUP(B153,'0. Instruções'!$C$27:$G$32,4,FALSE)&amp;", "&amp;F153&amp;" FROM "&amp;D153&amp;" WHERE "&amp;'0. Instruções'!$D$42&amp;")X"</f>
        <v>(SELECT instrmnt_id, dpd_24m_prfrmng_stts FROM BU_LOANTAPE_WORK.LT002_INSTRUMENT WHERE ref_date='${ref_date}' AND nome_perimetro='Individual Local' AND segmento='ESTR' AND ambito='SRB_MBDT' AND entidade='00100')X</v>
      </c>
      <c r="J153" s="34" t="str">
        <f>"(SELECT "&amp;VLOOKUP(B153,'0. Instruções'!$C$27:$G$32,4,FALSE)&amp;" AS "&amp;VLOOKUP(B153,'0. Instruções'!$C$27:$G$32,4,FALSE)&amp;"_SIMUL, "&amp;F153&amp;" AS "&amp;F153&amp;"_SIMUL FROM "&amp;E153&amp;" WHERE "&amp;'0. Instruções'!$D$43&amp;")Y"</f>
        <v>(SELECT instrmnt_id AS instrmnt_id_SIMUL, dpd_24m_prfrmng_stts AS dpd_24m_prfrmng_stts_SIMUL FROM BU_LOANTAPE_WORK.SIMUL_LT002_INSTRUMENT WHERE ref_date='${ref_date}' AND nome_perimetro='Individual Local' AND segmento='ESTR' AND ambito='PILAR3' AND entidade='00100')Y</v>
      </c>
      <c r="K153" s="35" t="str">
        <f>+UPPER("ON X."&amp;VLOOKUP(B153,'0. Instruções'!$C$27:$G$32,4,FALSE)&amp;"=Y."&amp;VLOOKUP(B153,'0. Instruções'!$C$27:$G$32,4,FALSE)&amp;"_SIMUL")</f>
        <v>ON X.INSTRMNT_ID=Y.INSTRMNT_ID_SIMUL</v>
      </c>
      <c r="L153" s="35" t="str">
        <f>+IF(C153="Coerência", +IF(LEFT(G153,5)="FLOAT","SELECT '"&amp;UPPER(B153)&amp;"' AS TABELA, '"&amp;UPPER(C153)&amp;"' AS TIPOLOGIA_TESTE,'"&amp;D153&amp;"' AS TABELA_LT,'"&amp;E153&amp;"' AS TABELA_SIMUL,'"&amp;F153&amp;"' AS CAMPO, "&amp;"'${ref_date}' AS REF_DATE, COUNT(*) AS NUM_REG, SUM(IF((ABS(COALESCE(CAST(X."&amp;F153&amp;" AS DECIMAL(18,6)),0)-COALESCE(CAST(Y."&amp;F153&amp;"_SIMUL AS DECIMAL(18,6)),0))&gt;0.000001) OR (X."&amp;F153&amp;" IS NULL AND Y."&amp;F153&amp;"_SIMUL IS NOT NULL ) OR (X."&amp;F153&amp;" IS NOT NULL AND Y."&amp;F153&amp;"_SIMUL IS NULL),1,0)) AS NUM_REG_DIF,'"&amp;MAX('ID1&amp;5'!K:K)+1&amp;"' AS ID_EXEC, CURRENT_TIMESTAMP() AS TIME_EXEC FROM "&amp;I153&amp;" INNER JOIN "&amp;J153&amp;" "&amp;K153,"SELECT '"&amp;UPPER(B153)&amp;"' AS TABELA, '"&amp;UPPER(C153)&amp;"' AS TIPOLOGIA_TESTE,'"&amp;D153&amp;"' AS TABELA_LT,'"&amp;E153&amp;"' AS TABELA_SIMUL,'"&amp;F153&amp;"' AS CAMPO, "&amp;"'${ref_date}' AS REF_DATE, COUNT(*) AS NUM_REG, SUM(IF(COALESCE(CAST(X."&amp;F153&amp;" AS STRING),'')&lt;&gt;COALESCE(CAST(Y."&amp;F153&amp;"_SIMUL AS STRING),'') OR (X."&amp;F153&amp;" IS NULL AND Y."&amp;F153&amp;"_SIMUL IS NOT NULL ) OR (X."&amp;F153&amp;" IS NOT NULL AND Y."&amp;F153&amp;"_SIMUL IS NULL),1,0)) AS NUM_REG_DIF,'"&amp;MAX('ID1&amp;5'!L:L)+1&amp;"' AS ID_EXEC, CURRENT_TIMESTAMP() AS TIME_EXEC FROM "&amp;I153&amp;" INNER JOIN "&amp;J153&amp;" "&amp;K153),
IF(C153="Validade",+IF(G153="Code List","SELECT '"&amp;UPPER(B153)&amp;"' AS TABELA, '"&amp;UPPER(C153)&amp;"' AS TIPOLOGIA_TESTE,'"&amp;D153&amp;"' AS TABELA_LT,'N/A' AS TABELA_SIMUL,'"&amp;F153&amp;"' AS CAMPO, "&amp;"'${ref_date}' AS REF_DATE, COUNT(*) AS NUM_REG, SUM(IF(TRIM(CAST(X."&amp;F153&amp;" AS STRING))='' OR TRIM(CAST(X."&amp;F153&amp;" AS STRING)) IS NULL OR CAST(X."&amp;F153&amp;" AS STRING) NOT "&amp;H153&amp;",1,0)) AS NUM_REG_DIF,'"&amp;MAX('ID1&amp;5'!K:K)+1&amp;"' AS ID_EXEC, CURRENT_TIMESTAMP() AS TIME_EXEC FROM "&amp;I153,"SELECT '"&amp;UPPER(B153)&amp;"' AS TABELA, '"&amp;UPPER(C153)&amp;"' AS TIPOLOGIA_TESTE,'"&amp;D153&amp;"' AS TABELA_LT,'N/A' AS TABELA_SIMUL,'"&amp;F153&amp;"' AS CAMPO, "&amp;"'${ref_date}' AS REF_DATE, COUNT(*) AS NUM_REG, SUM(IF(TRIM(CAST(X."&amp;F153&amp;" AS STRING))='' OR TRIM(CAST(X."&amp;F153&amp;" AS STRING)) IS NULL,1,0)) AS NUM_REG_DIF,'"&amp;MAX('ID1&amp;5'!K:K)+1&amp;"' AS ID_EXEC, CURRENT_TIMESTAMP() AS TIME_EXEC FROM "&amp;I153),
IF(C153="Caracteres Especiais",+"SELECT '"&amp;UPPER(B153)&amp;"' AS TABELA, '"&amp;UPPER(C153)&amp;"' AS TIPOLOGIA_TESTE,'"&amp;D153&amp;"' AS TABELA_LT,'N/A' AS TABELA_SIMUL,'"&amp;F153&amp;"' AS CAMPO, "&amp;"'${ref_date}' AS REF_DATE, COUNT(*) AS NUM_REG, SUM(IF(REGEXP_REPLACE(TRIM(CAST(X."&amp;F153&amp;" AS STRING)),'[^a-zA-Z0-9_\\s]','') &lt;&gt;TRIM(CAST(X."&amp;F153&amp;" AS STRING)),1,0)) AS NUM_REG_DIF,'"&amp;MAX('ID1&amp;5'!K:K)+1&amp;"' AS ID_EXEC, CURRENT_TIMESTAMP() AS TIME_EXEC FROM "&amp;I153,
IF(C153="Missings",+"SELECT '"&amp;UPPER(B153)&amp;"' AS TABELA, '"&amp;UPPER(C153)&amp;"' AS TIPOLOGIA_TESTE,'"&amp;D153&amp;"' AS TABELA_LT,'N/A' AS TABELA_SIMUL,'"&amp;F153&amp;"' AS CAMPO, "&amp;"'${ref_date}' AS REF_DATE, COUNT(*) AS NUM_REG, SUM(IF(TRIM(CAST(X."&amp;F153&amp;" AS STRING)) IN ('0000-00-00','0001-01-01','9999-12-31','MISS','00000','99999999999','99999999999.00','99999999999.000000'),1,0)) AS NUM_REG_DIF,'"&amp;MAX('ID1&amp;5'!K:K)+1&amp;"' AS ID_EXEC, CURRENT_TIMESTAMP() AS TIME_EXEC FROM "&amp;I153,
IF(C153="Not applicable",+"SELECT '"&amp;UPPER(B153)&amp;"' AS TABELA, '"&amp;UPPER(C153)&amp;"' AS TIPOLOGIA_TESTE,'"&amp;D153&amp;"' AS TABELA_LT,'N/A' AS TABELA_SIMUL,'"&amp;F153&amp;"' AS CAMPO, "&amp;"'${ref_date}' AS REF_DATE, COUNT(*) AS NUM_REG, SUM(IF(TRIM(CAST(X."&amp;F153&amp;" AS STRING)) IN ('N/A','11111111111','11111111111.00','11111111111.000000','1111-11-11'),1,0)) AS NUM_REG_DIF,'"&amp;MAX('ID1&amp;5'!K:K)+1&amp;"' AS ID_EXEC, CURRENT_TIMESTAMP() AS TIME_EXEC FROM "&amp;I153,
IF(C153="Valores extremos",+"SELECT '"&amp;UPPER(B153)&amp;"' AS TABELA, '"&amp;UPPER(C153)&amp;"' AS TIPOLOGIA_TESTE,'"&amp;D153&amp;"' AS TABELA_LT,'N/A' AS TABELA_SIMUL,'"&amp;F153&amp;"' AS CAMPO, "&amp;"'${ref_date}' AS REF_DATE, CAST(MIN("&amp;F153&amp;") AS STRING) AS VALOR_MIN, CAST(MAX("&amp;F153&amp;") AS STRING) AS VALOR_MAX,'"&amp;MAX('ID1&amp;5'!K:K)+1&amp;"' AS ID_EXEC, CURRENT_TIMESTAMP() AS TIME_EXEC FROM "&amp;MID(I153,1,LEN(I153)-2)&amp;" AND CAST("&amp;F153&amp;"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TABELA_SIMUL,'dpd_24m_prfrmng_stts' AS CAMPO, '${ref_date}' AS REF_DATE, COUNT(*) AS NUM_REG, SUM(IF(COALESCE(CAST(X.dpd_24m_prfrmng_stts AS STRING),'')&lt;&gt;COALESCE(CAST(Y.dpd_24m_prfrmng_stts_SIMUL AS STRING),'') OR (X.dpd_24m_prfrmng_stts IS NULL AND Y.dpd_24m_prfrmng_stts_SIMUL IS NOT NULL ) OR (X.dpd_24m_prfrmng_stts IS NOT NULL AND Y.dpd_24m_prfrmng_stts_SIMUL IS NULL),1,0)) AS NUM_REG_DIF,'1' AS ID_EXEC, CURRENT_TIMESTAMP() AS TIME_EXEC FROM (SELECT instrmnt_id, dpd_24m_prfrmng_stts FROM BU_LOANTAPE_WORK.LT002_INSTRUMENT WHERE ref_date='${ref_date}' AND nome_perimetro='Individual Local' AND segmento='ESTR' AND ambito='SRB_MBDT' AND entidade='00100')X INNER JOIN (SELECT instrmnt_id AS instrmnt_id_SIMUL, dpd_24m_prfrmng_stts AS dpd_24m_prfrmng_stts_SIMUL FROM BU_LOANTAPE_WORK.SIMUL_LT002_INSTRUMENT WHERE ref_date='${ref_date}' AND nome_perimetro='Individual Local' AND segmento='ESTR' AND ambito='PILAR3' AND entidade='00100')Y ON X.INSTRMNT_ID=Y.INSTRMNT_ID_SIMUL</v>
      </c>
      <c r="M153" s="36" t="str">
        <f t="shared" si="5"/>
        <v>UNION ALL SELECT 'INSTRUMENT' AS TABELA, 'COERÊNCIA' AS TIPOLOGIA_TESTE,'BU_LOANTAPE_WORK.LT002_INSTRUMENT' AS TABELA_LT,'BU_LOANTAPE_WORK.SIMUL_LT002_INSTRUMENT' AS TABELA_SIMUL,'dpd_24m_prfrmng_stts' AS CAMPO, '${ref_date}' AS REF_DATE, COUNT(*) AS NUM_REG, SUM(IF(COALESCE(CAST(X.dpd_24m_prfrmng_stts AS STRING),'')&lt;&gt;COALESCE(CAST(Y.dpd_24m_prfrmng_stts_SIMUL AS STRING),'') OR (X.dpd_24m_prfrmng_stts IS NULL AND Y.dpd_24m_prfrmng_stts_SIMUL IS NOT NULL ) OR (X.dpd_24m_prfrmng_stts IS NOT NULL AND Y.dpd_24m_prfrmng_stts_SIMUL IS NULL),1,0)) AS NUM_REG_DIF,'1' AS ID_EXEC, CURRENT_TIMESTAMP() AS TIME_EXEC FROM (SELECT instrmnt_id, dpd_24m_prfrmng_stts FROM BU_LOANTAPE_WORK.LT002_INSTRUMENT WHERE ref_date='${ref_date}' AND nome_perimetro='Individual Local' AND segmento='ESTR' AND ambito='SRB_MBDT' AND entidade='00100')X INNER JOIN (SELECT instrmnt_id AS instrmnt_id_SIMUL, dpd_24m_prfrmng_stts AS dpd_24m_prfrmng_stts_SIMUL FROM BU_LOANTAPE_WORK.SIMUL_LT002_INSTRUMENT WHERE ref_date='${ref_date}' AND nome_perimetro='Individual Local' AND segmento='ESTR' AND ambito='PILAR3' AND entidade='00100')Y ON X.INSTRMNT_ID=Y.INSTRMNT_ID_SIMUL</v>
      </c>
      <c r="N153" s="38"/>
    </row>
    <row r="154" spans="2:14">
      <c r="B154" s="34" t="s">
        <v>117</v>
      </c>
      <c r="C154" s="34" t="s">
        <v>5</v>
      </c>
      <c r="D154" s="34" t="str">
        <f>+UPPER('0. Instruções'!$D$35&amp;"."&amp;VLOOKUP(B154,'0. Instruções'!$C$27:$D$32,2,FALSE))</f>
        <v>BU_LOANTAPE_WORK.LT002_INSTRUMENT</v>
      </c>
      <c r="E154" s="34" t="str">
        <f>+UPPER('0. Instruções'!$D$36&amp;"."&amp;VLOOKUP(B154,'0. Instruções'!$C$27:$E$32,3,FALSE))</f>
        <v>BU_LOANTAPE_WORK.SIMUL_LT002_INSTRUMENT</v>
      </c>
      <c r="F154" s="34" t="s">
        <v>1219</v>
      </c>
      <c r="G154" s="34"/>
      <c r="H154" s="34"/>
      <c r="I154" s="34" t="str">
        <f>"(SELECT "&amp;VLOOKUP(B154,'0. Instruções'!$C$27:$G$32,4,FALSE)&amp;", "&amp;F154&amp;" FROM "&amp;D154&amp;" WHERE "&amp;'0. Instruções'!$D$42&amp;")X"</f>
        <v>(SELECT instrmnt_id, dpd_frbrnc_stts FROM BU_LOANTAPE_WORK.LT002_INSTRUMENT WHERE ref_date='${ref_date}' AND nome_perimetro='Individual Local' AND segmento='ESTR' AND ambito='SRB_MBDT' AND entidade='00100')X</v>
      </c>
      <c r="J154" s="34" t="str">
        <f>"(SELECT "&amp;VLOOKUP(B154,'0. Instruções'!$C$27:$G$32,4,FALSE)&amp;" AS "&amp;VLOOKUP(B154,'0. Instruções'!$C$27:$G$32,4,FALSE)&amp;"_SIMUL, "&amp;F154&amp;" AS "&amp;F154&amp;"_SIMUL FROM "&amp;E154&amp;" WHERE "&amp;'0. Instruções'!$D$43&amp;")Y"</f>
        <v>(SELECT instrmnt_id AS instrmnt_id_SIMUL, dpd_frbrnc_stts AS dpd_frbrnc_stts_SIMUL FROM BU_LOANTAPE_WORK.SIMUL_LT002_INSTRUMENT WHERE ref_date='${ref_date}' AND nome_perimetro='Individual Local' AND segmento='ESTR' AND ambito='PILAR3' AND entidade='00100')Y</v>
      </c>
      <c r="K154" s="35" t="str">
        <f>+UPPER("ON X."&amp;VLOOKUP(B154,'0. Instruções'!$C$27:$G$32,4,FALSE)&amp;"=Y."&amp;VLOOKUP(B154,'0. Instruções'!$C$27:$G$32,4,FALSE)&amp;"_SIMUL")</f>
        <v>ON X.INSTRMNT_ID=Y.INSTRMNT_ID_SIMUL</v>
      </c>
      <c r="L154" s="35" t="str">
        <f>+IF(C154="Coerência", +IF(LEFT(G154,5)="FLOAT","SELECT '"&amp;UPPER(B154)&amp;"' AS TABELA, '"&amp;UPPER(C154)&amp;"' AS TIPOLOGIA_TESTE,'"&amp;D154&amp;"' AS TABELA_LT,'"&amp;E154&amp;"' AS TABELA_SIMUL,'"&amp;F154&amp;"' AS CAMPO, "&amp;"'${ref_date}' AS REF_DATE, COUNT(*) AS NUM_REG, SUM(IF((ABS(COALESCE(CAST(X."&amp;F154&amp;" AS DECIMAL(18,6)),0)-COALESCE(CAST(Y."&amp;F154&amp;"_SIMUL AS DECIMAL(18,6)),0))&gt;0.000001) OR (X."&amp;F154&amp;" IS NULL AND Y."&amp;F154&amp;"_SIMUL IS NOT NULL ) OR (X."&amp;F154&amp;" IS NOT NULL AND Y."&amp;F154&amp;"_SIMUL IS NULL),1,0)) AS NUM_REG_DIF,'"&amp;MAX('ID1&amp;5'!K:K)+1&amp;"' AS ID_EXEC, CURRENT_TIMESTAMP() AS TIME_EXEC FROM "&amp;I154&amp;" INNER JOIN "&amp;J154&amp;" "&amp;K154,"SELECT '"&amp;UPPER(B154)&amp;"' AS TABELA, '"&amp;UPPER(C154)&amp;"' AS TIPOLOGIA_TESTE,'"&amp;D154&amp;"' AS TABELA_LT,'"&amp;E154&amp;"' AS TABELA_SIMUL,'"&amp;F154&amp;"' AS CAMPO, "&amp;"'${ref_date}' AS REF_DATE, COUNT(*) AS NUM_REG, SUM(IF(COALESCE(CAST(X."&amp;F154&amp;" AS STRING),'')&lt;&gt;COALESCE(CAST(Y."&amp;F154&amp;"_SIMUL AS STRING),'') OR (X."&amp;F154&amp;" IS NULL AND Y."&amp;F154&amp;"_SIMUL IS NOT NULL ) OR (X."&amp;F154&amp;" IS NOT NULL AND Y."&amp;F154&amp;"_SIMUL IS NULL),1,0)) AS NUM_REG_DIF,'"&amp;MAX('ID1&amp;5'!L:L)+1&amp;"' AS ID_EXEC, CURRENT_TIMESTAMP() AS TIME_EXEC FROM "&amp;I154&amp;" INNER JOIN "&amp;J154&amp;" "&amp;K154),
IF(C154="Validade",+IF(G154="Code List","SELECT '"&amp;UPPER(B154)&amp;"' AS TABELA, '"&amp;UPPER(C154)&amp;"' AS TIPOLOGIA_TESTE,'"&amp;D154&amp;"' AS TABELA_LT,'N/A' AS TABELA_SIMUL,'"&amp;F154&amp;"' AS CAMPO, "&amp;"'${ref_date}' AS REF_DATE, COUNT(*) AS NUM_REG, SUM(IF(TRIM(CAST(X."&amp;F154&amp;" AS STRING))='' OR TRIM(CAST(X."&amp;F154&amp;" AS STRING)) IS NULL OR CAST(X."&amp;F154&amp;" AS STRING) NOT "&amp;H154&amp;",1,0)) AS NUM_REG_DIF,'"&amp;MAX('ID1&amp;5'!K:K)+1&amp;"' AS ID_EXEC, CURRENT_TIMESTAMP() AS TIME_EXEC FROM "&amp;I154,"SELECT '"&amp;UPPER(B154)&amp;"' AS TABELA, '"&amp;UPPER(C154)&amp;"' AS TIPOLOGIA_TESTE,'"&amp;D154&amp;"' AS TABELA_LT,'N/A' AS TABELA_SIMUL,'"&amp;F154&amp;"' AS CAMPO, "&amp;"'${ref_date}' AS REF_DATE, COUNT(*) AS NUM_REG, SUM(IF(TRIM(CAST(X."&amp;F154&amp;" AS STRING))='' OR TRIM(CAST(X."&amp;F154&amp;" AS STRING)) IS NULL,1,0)) AS NUM_REG_DIF,'"&amp;MAX('ID1&amp;5'!K:K)+1&amp;"' AS ID_EXEC, CURRENT_TIMESTAMP() AS TIME_EXEC FROM "&amp;I154),
IF(C154="Caracteres Especiais",+"SELECT '"&amp;UPPER(B154)&amp;"' AS TABELA, '"&amp;UPPER(C154)&amp;"' AS TIPOLOGIA_TESTE,'"&amp;D154&amp;"' AS TABELA_LT,'N/A' AS TABELA_SIMUL,'"&amp;F154&amp;"' AS CAMPO, "&amp;"'${ref_date}' AS REF_DATE, COUNT(*) AS NUM_REG, SUM(IF(REGEXP_REPLACE(TRIM(CAST(X."&amp;F154&amp;" AS STRING)),'[^a-zA-Z0-9_\\s]','') &lt;&gt;TRIM(CAST(X."&amp;F154&amp;" AS STRING)),1,0)) AS NUM_REG_DIF,'"&amp;MAX('ID1&amp;5'!K:K)+1&amp;"' AS ID_EXEC, CURRENT_TIMESTAMP() AS TIME_EXEC FROM "&amp;I154,
IF(C154="Missings",+"SELECT '"&amp;UPPER(B154)&amp;"' AS TABELA, '"&amp;UPPER(C154)&amp;"' AS TIPOLOGIA_TESTE,'"&amp;D154&amp;"' AS TABELA_LT,'N/A' AS TABELA_SIMUL,'"&amp;F154&amp;"' AS CAMPO, "&amp;"'${ref_date}' AS REF_DATE, COUNT(*) AS NUM_REG, SUM(IF(TRIM(CAST(X."&amp;F154&amp;" AS STRING)) IN ('0000-00-00','0001-01-01','9999-12-31','MISS','00000','99999999999','99999999999.00','99999999999.000000'),1,0)) AS NUM_REG_DIF,'"&amp;MAX('ID1&amp;5'!K:K)+1&amp;"' AS ID_EXEC, CURRENT_TIMESTAMP() AS TIME_EXEC FROM "&amp;I154,
IF(C154="Not applicable",+"SELECT '"&amp;UPPER(B154)&amp;"' AS TABELA, '"&amp;UPPER(C154)&amp;"' AS TIPOLOGIA_TESTE,'"&amp;D154&amp;"' AS TABELA_LT,'N/A' AS TABELA_SIMUL,'"&amp;F154&amp;"' AS CAMPO, "&amp;"'${ref_date}' AS REF_DATE, COUNT(*) AS NUM_REG, SUM(IF(TRIM(CAST(X."&amp;F154&amp;" AS STRING)) IN ('N/A','11111111111','11111111111.00','11111111111.000000','1111-11-11'),1,0)) AS NUM_REG_DIF,'"&amp;MAX('ID1&amp;5'!K:K)+1&amp;"' AS ID_EXEC, CURRENT_TIMESTAMP() AS TIME_EXEC FROM "&amp;I154,
IF(C154="Valores extremos",+"SELECT '"&amp;UPPER(B154)&amp;"' AS TABELA, '"&amp;UPPER(C154)&amp;"' AS TIPOLOGIA_TESTE,'"&amp;D154&amp;"' AS TABELA_LT,'N/A' AS TABELA_SIMUL,'"&amp;F154&amp;"' AS CAMPO, "&amp;"'${ref_date}' AS REF_DATE, CAST(MIN("&amp;F154&amp;") AS STRING) AS VALOR_MIN, CAST(MAX("&amp;F154&amp;") AS STRING) AS VALOR_MAX,'"&amp;MAX('ID1&amp;5'!K:K)+1&amp;"' AS ID_EXEC, CURRENT_TIMESTAMP() AS TIME_EXEC FROM "&amp;MID(I154,1,LEN(I154)-2)&amp;" AND CAST("&amp;F154&amp;"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TABELA_SIMUL,'dpd_frbrnc_stts' AS CAMPO, '${ref_date}' AS REF_DATE, COUNT(*) AS NUM_REG, SUM(IF(COALESCE(CAST(X.dpd_frbrnc_stts AS STRING),'')&lt;&gt;COALESCE(CAST(Y.dpd_frbrnc_stts_SIMUL AS STRING),'') OR (X.dpd_frbrnc_stts IS NULL AND Y.dpd_frbrnc_stts_SIMUL IS NOT NULL ) OR (X.dpd_frbrnc_stts IS NOT NULL AND Y.dpd_frbrnc_stts_SIMUL IS NULL),1,0)) AS NUM_REG_DIF,'1' AS ID_EXEC, CURRENT_TIMESTAMP() AS TIME_EXEC FROM (SELECT instrmnt_id, dpd_frbrnc_stts FROM BU_LOANTAPE_WORK.LT002_INSTRUMENT WHERE ref_date='${ref_date}' AND nome_perimetro='Individual Local' AND segmento='ESTR' AND ambito='SRB_MBDT' AND entidade='00100')X INNER JOIN (SELECT instrmnt_id AS instrmnt_id_SIMUL, dpd_frbrnc_stts AS dpd_frbrnc_stts_SIMUL FROM BU_LOANTAPE_WORK.SIMUL_LT002_INSTRUMENT WHERE ref_date='${ref_date}' AND nome_perimetro='Individual Local' AND segmento='ESTR' AND ambito='PILAR3' AND entidade='00100')Y ON X.INSTRMNT_ID=Y.INSTRMNT_ID_SIMUL</v>
      </c>
      <c r="M154" s="36" t="str">
        <f t="shared" si="5"/>
        <v>UNION ALL SELECT 'INSTRUMENT' AS TABELA, 'COERÊNCIA' AS TIPOLOGIA_TESTE,'BU_LOANTAPE_WORK.LT002_INSTRUMENT' AS TABELA_LT,'BU_LOANTAPE_WORK.SIMUL_LT002_INSTRUMENT' AS TABELA_SIMUL,'dpd_frbrnc_stts' AS CAMPO, '${ref_date}' AS REF_DATE, COUNT(*) AS NUM_REG, SUM(IF(COALESCE(CAST(X.dpd_frbrnc_stts AS STRING),'')&lt;&gt;COALESCE(CAST(Y.dpd_frbrnc_stts_SIMUL AS STRING),'') OR (X.dpd_frbrnc_stts IS NULL AND Y.dpd_frbrnc_stts_SIMUL IS NOT NULL ) OR (X.dpd_frbrnc_stts IS NOT NULL AND Y.dpd_frbrnc_stts_SIMUL IS NULL),1,0)) AS NUM_REG_DIF,'1' AS ID_EXEC, CURRENT_TIMESTAMP() AS TIME_EXEC FROM (SELECT instrmnt_id, dpd_frbrnc_stts FROM BU_LOANTAPE_WORK.LT002_INSTRUMENT WHERE ref_date='${ref_date}' AND nome_perimetro='Individual Local' AND segmento='ESTR' AND ambito='SRB_MBDT' AND entidade='00100')X INNER JOIN (SELECT instrmnt_id AS instrmnt_id_SIMUL, dpd_frbrnc_stts AS dpd_frbrnc_stts_SIMUL FROM BU_LOANTAPE_WORK.SIMUL_LT002_INSTRUMENT WHERE ref_date='${ref_date}' AND nome_perimetro='Individual Local' AND segmento='ESTR' AND ambito='PILAR3' AND entidade='00100')Y ON X.INSTRMNT_ID=Y.INSTRMNT_ID_SIMUL</v>
      </c>
      <c r="N154" s="38"/>
    </row>
    <row r="155" spans="2:14">
      <c r="B155" s="34" t="s">
        <v>117</v>
      </c>
      <c r="C155" s="34" t="s">
        <v>5</v>
      </c>
      <c r="D155" s="34" t="str">
        <f>+UPPER('0. Instruções'!$D$35&amp;"."&amp;VLOOKUP(B155,'0. Instruções'!$C$27:$D$32,2,FALSE))</f>
        <v>BU_LOANTAPE_WORK.LT002_INSTRUMENT</v>
      </c>
      <c r="E155" s="34" t="str">
        <f>+UPPER('0. Instruções'!$D$36&amp;"."&amp;VLOOKUP(B155,'0. Instruções'!$C$27:$E$32,3,FALSE))</f>
        <v>BU_LOANTAPE_WORK.SIMUL_LT002_INSTRUMENT</v>
      </c>
      <c r="F155" s="34" t="s">
        <v>296</v>
      </c>
      <c r="G155" s="34"/>
      <c r="H155" s="34"/>
      <c r="I155" s="34" t="str">
        <f>"(SELECT "&amp;VLOOKUP(B155,'0. Instruções'!$C$27:$G$32,4,FALSE)&amp;", "&amp;F155&amp;" FROM "&amp;D155&amp;" WHERE "&amp;'0. Instruções'!$D$42&amp;")X"</f>
        <v>(SELECT instrmnt_id, dpd_prfrmng_stts FROM BU_LOANTAPE_WORK.LT002_INSTRUMENT WHERE ref_date='${ref_date}' AND nome_perimetro='Individual Local' AND segmento='ESTR' AND ambito='SRB_MBDT' AND entidade='00100')X</v>
      </c>
      <c r="J155" s="34" t="str">
        <f>"(SELECT "&amp;VLOOKUP(B155,'0. Instruções'!$C$27:$G$32,4,FALSE)&amp;" AS "&amp;VLOOKUP(B155,'0. Instruções'!$C$27:$G$32,4,FALSE)&amp;"_SIMUL, "&amp;F155&amp;" AS "&amp;F155&amp;"_SIMUL FROM "&amp;E155&amp;" WHERE "&amp;'0. Instruções'!$D$43&amp;")Y"</f>
        <v>(SELECT instrmnt_id AS instrmnt_id_SIMUL, dpd_prfrmng_stts AS dpd_prfrmng_stts_SIMUL FROM BU_LOANTAPE_WORK.SIMUL_LT002_INSTRUMENT WHERE ref_date='${ref_date}' AND nome_perimetro='Individual Local' AND segmento='ESTR' AND ambito='PILAR3' AND entidade='00100')Y</v>
      </c>
      <c r="K155" s="35" t="str">
        <f>+UPPER("ON X."&amp;VLOOKUP(B155,'0. Instruções'!$C$27:$G$32,4,FALSE)&amp;"=Y."&amp;VLOOKUP(B155,'0. Instruções'!$C$27:$G$32,4,FALSE)&amp;"_SIMUL")</f>
        <v>ON X.INSTRMNT_ID=Y.INSTRMNT_ID_SIMUL</v>
      </c>
      <c r="L155" s="35" t="str">
        <f>+IF(C155="Coerência", +IF(LEFT(G155,5)="FLOAT","SELECT '"&amp;UPPER(B155)&amp;"' AS TABELA, '"&amp;UPPER(C155)&amp;"' AS TIPOLOGIA_TESTE,'"&amp;D155&amp;"' AS TABELA_LT,'"&amp;E155&amp;"' AS TABELA_SIMUL,'"&amp;F155&amp;"' AS CAMPO, "&amp;"'${ref_date}' AS REF_DATE, COUNT(*) AS NUM_REG, SUM(IF((ABS(COALESCE(CAST(X."&amp;F155&amp;" AS DECIMAL(18,6)),0)-COALESCE(CAST(Y."&amp;F155&amp;"_SIMUL AS DECIMAL(18,6)),0))&gt;0.000001) OR (X."&amp;F155&amp;" IS NULL AND Y."&amp;F155&amp;"_SIMUL IS NOT NULL ) OR (X."&amp;F155&amp;" IS NOT NULL AND Y."&amp;F155&amp;"_SIMUL IS NULL),1,0)) AS NUM_REG_DIF,'"&amp;MAX('ID1&amp;5'!K:K)+1&amp;"' AS ID_EXEC, CURRENT_TIMESTAMP() AS TIME_EXEC FROM "&amp;I155&amp;" INNER JOIN "&amp;J155&amp;" "&amp;K155,"SELECT '"&amp;UPPER(B155)&amp;"' AS TABELA, '"&amp;UPPER(C155)&amp;"' AS TIPOLOGIA_TESTE,'"&amp;D155&amp;"' AS TABELA_LT,'"&amp;E155&amp;"' AS TABELA_SIMUL,'"&amp;F155&amp;"' AS CAMPO, "&amp;"'${ref_date}' AS REF_DATE, COUNT(*) AS NUM_REG, SUM(IF(COALESCE(CAST(X."&amp;F155&amp;" AS STRING),'')&lt;&gt;COALESCE(CAST(Y."&amp;F155&amp;"_SIMUL AS STRING),'') OR (X."&amp;F155&amp;" IS NULL AND Y."&amp;F155&amp;"_SIMUL IS NOT NULL ) OR (X."&amp;F155&amp;" IS NOT NULL AND Y."&amp;F155&amp;"_SIMUL IS NULL),1,0)) AS NUM_REG_DIF,'"&amp;MAX('ID1&amp;5'!L:L)+1&amp;"' AS ID_EXEC, CURRENT_TIMESTAMP() AS TIME_EXEC FROM "&amp;I155&amp;" INNER JOIN "&amp;J155&amp;" "&amp;K155),
IF(C155="Validade",+IF(G155="Code List","SELECT '"&amp;UPPER(B155)&amp;"' AS TABELA, '"&amp;UPPER(C155)&amp;"' AS TIPOLOGIA_TESTE,'"&amp;D155&amp;"' AS TABELA_LT,'N/A' AS TABELA_SIMUL,'"&amp;F155&amp;"' AS CAMPO, "&amp;"'${ref_date}' AS REF_DATE, COUNT(*) AS NUM_REG, SUM(IF(TRIM(CAST(X."&amp;F155&amp;" AS STRING))='' OR TRIM(CAST(X."&amp;F155&amp;" AS STRING)) IS NULL OR CAST(X."&amp;F155&amp;" AS STRING) NOT "&amp;H155&amp;",1,0)) AS NUM_REG_DIF,'"&amp;MAX('ID1&amp;5'!K:K)+1&amp;"' AS ID_EXEC, CURRENT_TIMESTAMP() AS TIME_EXEC FROM "&amp;I155,"SELECT '"&amp;UPPER(B155)&amp;"' AS TABELA, '"&amp;UPPER(C155)&amp;"' AS TIPOLOGIA_TESTE,'"&amp;D155&amp;"' AS TABELA_LT,'N/A' AS TABELA_SIMUL,'"&amp;F155&amp;"' AS CAMPO, "&amp;"'${ref_date}' AS REF_DATE, COUNT(*) AS NUM_REG, SUM(IF(TRIM(CAST(X."&amp;F155&amp;" AS STRING))='' OR TRIM(CAST(X."&amp;F155&amp;" AS STRING)) IS NULL,1,0)) AS NUM_REG_DIF,'"&amp;MAX('ID1&amp;5'!K:K)+1&amp;"' AS ID_EXEC, CURRENT_TIMESTAMP() AS TIME_EXEC FROM "&amp;I155),
IF(C155="Caracteres Especiais",+"SELECT '"&amp;UPPER(B155)&amp;"' AS TABELA, '"&amp;UPPER(C155)&amp;"' AS TIPOLOGIA_TESTE,'"&amp;D155&amp;"' AS TABELA_LT,'N/A' AS TABELA_SIMUL,'"&amp;F155&amp;"' AS CAMPO, "&amp;"'${ref_date}' AS REF_DATE, COUNT(*) AS NUM_REG, SUM(IF(REGEXP_REPLACE(TRIM(CAST(X."&amp;F155&amp;" AS STRING)),'[^a-zA-Z0-9_\\s]','') &lt;&gt;TRIM(CAST(X."&amp;F155&amp;" AS STRING)),1,0)) AS NUM_REG_DIF,'"&amp;MAX('ID1&amp;5'!K:K)+1&amp;"' AS ID_EXEC, CURRENT_TIMESTAMP() AS TIME_EXEC FROM "&amp;I155,
IF(C155="Missings",+"SELECT '"&amp;UPPER(B155)&amp;"' AS TABELA, '"&amp;UPPER(C155)&amp;"' AS TIPOLOGIA_TESTE,'"&amp;D155&amp;"' AS TABELA_LT,'N/A' AS TABELA_SIMUL,'"&amp;F155&amp;"' AS CAMPO, "&amp;"'${ref_date}' AS REF_DATE, COUNT(*) AS NUM_REG, SUM(IF(TRIM(CAST(X."&amp;F155&amp;" AS STRING)) IN ('0000-00-00','0001-01-01','9999-12-31','MISS','00000','99999999999','99999999999.00','99999999999.000000'),1,0)) AS NUM_REG_DIF,'"&amp;MAX('ID1&amp;5'!K:K)+1&amp;"' AS ID_EXEC, CURRENT_TIMESTAMP() AS TIME_EXEC FROM "&amp;I155,
IF(C155="Not applicable",+"SELECT '"&amp;UPPER(B155)&amp;"' AS TABELA, '"&amp;UPPER(C155)&amp;"' AS TIPOLOGIA_TESTE,'"&amp;D155&amp;"' AS TABELA_LT,'N/A' AS TABELA_SIMUL,'"&amp;F155&amp;"' AS CAMPO, "&amp;"'${ref_date}' AS REF_DATE, COUNT(*) AS NUM_REG, SUM(IF(TRIM(CAST(X."&amp;F155&amp;" AS STRING)) IN ('N/A','11111111111','11111111111.00','11111111111.000000','1111-11-11'),1,0)) AS NUM_REG_DIF,'"&amp;MAX('ID1&amp;5'!K:K)+1&amp;"' AS ID_EXEC, CURRENT_TIMESTAMP() AS TIME_EXEC FROM "&amp;I155,
IF(C155="Valores extremos",+"SELECT '"&amp;UPPER(B155)&amp;"' AS TABELA, '"&amp;UPPER(C155)&amp;"' AS TIPOLOGIA_TESTE,'"&amp;D155&amp;"' AS TABELA_LT,'N/A' AS TABELA_SIMUL,'"&amp;F155&amp;"' AS CAMPO, "&amp;"'${ref_date}' AS REF_DATE, CAST(MIN("&amp;F155&amp;") AS STRING) AS VALOR_MIN, CAST(MAX("&amp;F155&amp;") AS STRING) AS VALOR_MAX,'"&amp;MAX('ID1&amp;5'!K:K)+1&amp;"' AS ID_EXEC, CURRENT_TIMESTAMP() AS TIME_EXEC FROM "&amp;MID(I155,1,LEN(I155)-2)&amp;" AND CAST("&amp;F155&amp;"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TABELA_SIMUL,'dpd_prfrmng_stts' AS CAMPO, '${ref_date}' AS REF_DATE, COUNT(*) AS NUM_REG, SUM(IF(COALESCE(CAST(X.dpd_prfrmng_stts AS STRING),'')&lt;&gt;COALESCE(CAST(Y.dpd_prfrmng_stts_SIMUL AS STRING),'') OR (X.dpd_prfrmng_stts IS NULL AND Y.dpd_prfrmng_stts_SIMUL IS NOT NULL ) OR (X.dpd_prfrmng_stts IS NOT NULL AND Y.dpd_prfrmng_stts_SIMUL IS NULL),1,0)) AS NUM_REG_DIF,'1' AS ID_EXEC, CURRENT_TIMESTAMP() AS TIME_EXEC FROM (SELECT instrmnt_id, dpd_prfrmng_stts FROM BU_LOANTAPE_WORK.LT002_INSTRUMENT WHERE ref_date='${ref_date}' AND nome_perimetro='Individual Local' AND segmento='ESTR' AND ambito='SRB_MBDT' AND entidade='00100')X INNER JOIN (SELECT instrmnt_id AS instrmnt_id_SIMUL, dpd_prfrmng_stts AS dpd_prfrmng_stts_SIMUL FROM BU_LOANTAPE_WORK.SIMUL_LT002_INSTRUMENT WHERE ref_date='${ref_date}' AND nome_perimetro='Individual Local' AND segmento='ESTR' AND ambito='PILAR3' AND entidade='00100')Y ON X.INSTRMNT_ID=Y.INSTRMNT_ID_SIMUL</v>
      </c>
      <c r="M155" s="36" t="str">
        <f t="shared" si="5"/>
        <v>UNION ALL SELECT 'INSTRUMENT' AS TABELA, 'COERÊNCIA' AS TIPOLOGIA_TESTE,'BU_LOANTAPE_WORK.LT002_INSTRUMENT' AS TABELA_LT,'BU_LOANTAPE_WORK.SIMUL_LT002_INSTRUMENT' AS TABELA_SIMUL,'dpd_prfrmng_stts' AS CAMPO, '${ref_date}' AS REF_DATE, COUNT(*) AS NUM_REG, SUM(IF(COALESCE(CAST(X.dpd_prfrmng_stts AS STRING),'')&lt;&gt;COALESCE(CAST(Y.dpd_prfrmng_stts_SIMUL AS STRING),'') OR (X.dpd_prfrmng_stts IS NULL AND Y.dpd_prfrmng_stts_SIMUL IS NOT NULL ) OR (X.dpd_prfrmng_stts IS NOT NULL AND Y.dpd_prfrmng_stts_SIMUL IS NULL),1,0)) AS NUM_REG_DIF,'1' AS ID_EXEC, CURRENT_TIMESTAMP() AS TIME_EXEC FROM (SELECT instrmnt_id, dpd_prfrmng_stts FROM BU_LOANTAPE_WORK.LT002_INSTRUMENT WHERE ref_date='${ref_date}' AND nome_perimetro='Individual Local' AND segmento='ESTR' AND ambito='SRB_MBDT' AND entidade='00100')X INNER JOIN (SELECT instrmnt_id AS instrmnt_id_SIMUL, dpd_prfrmng_stts AS dpd_prfrmng_stts_SIMUL FROM BU_LOANTAPE_WORK.SIMUL_LT002_INSTRUMENT WHERE ref_date='${ref_date}' AND nome_perimetro='Individual Local' AND segmento='ESTR' AND ambito='PILAR3' AND entidade='00100')Y ON X.INSTRMNT_ID=Y.INSTRMNT_ID_SIMUL</v>
      </c>
      <c r="N155" s="38"/>
    </row>
    <row r="156" spans="2:14">
      <c r="B156" s="34" t="s">
        <v>117</v>
      </c>
      <c r="C156" s="34" t="s">
        <v>5</v>
      </c>
      <c r="D156" s="34" t="str">
        <f>+UPPER('0. Instruções'!$D$35&amp;"."&amp;VLOOKUP(B156,'0. Instruções'!$C$27:$D$32,2,FALSE))</f>
        <v>BU_LOANTAPE_WORK.LT002_INSTRUMENT</v>
      </c>
      <c r="E156" s="34" t="str">
        <f>+UPPER('0. Instruções'!$D$36&amp;"."&amp;VLOOKUP(B156,'0. Instruções'!$C$27:$E$32,3,FALSE))</f>
        <v>BU_LOANTAPE_WORK.SIMUL_LT002_INSTRUMENT</v>
      </c>
      <c r="F156" s="34" t="s">
        <v>298</v>
      </c>
      <c r="G156" s="34"/>
      <c r="H156" s="34"/>
      <c r="I156" s="34" t="str">
        <f>"(SELECT "&amp;VLOOKUP(B156,'0. Instruções'!$C$27:$G$32,4,FALSE)&amp;", "&amp;F156&amp;" FROM "&amp;D156&amp;" WHERE "&amp;'0. Instruções'!$D$42&amp;")X"</f>
        <v>(SELECT instrmnt_id, dt_imprmnt_stts FROM BU_LOANTAPE_WORK.LT002_INSTRUMENT WHERE ref_date='${ref_date}' AND nome_perimetro='Individual Local' AND segmento='ESTR' AND ambito='SRB_MBDT' AND entidade='00100')X</v>
      </c>
      <c r="J156" s="34" t="str">
        <f>"(SELECT "&amp;VLOOKUP(B156,'0. Instruções'!$C$27:$G$32,4,FALSE)&amp;" AS "&amp;VLOOKUP(B156,'0. Instruções'!$C$27:$G$32,4,FALSE)&amp;"_SIMUL, "&amp;F156&amp;" AS "&amp;F156&amp;"_SIMUL FROM "&amp;E156&amp;" WHERE "&amp;'0. Instruções'!$D$43&amp;")Y"</f>
        <v>(SELECT instrmnt_id AS instrmnt_id_SIMUL, dt_imprmnt_stts AS dt_imprmnt_stts_SIMUL FROM BU_LOANTAPE_WORK.SIMUL_LT002_INSTRUMENT WHERE ref_date='${ref_date}' AND nome_perimetro='Individual Local' AND segmento='ESTR' AND ambito='PILAR3' AND entidade='00100')Y</v>
      </c>
      <c r="K156" s="35" t="str">
        <f>+UPPER("ON X."&amp;VLOOKUP(B156,'0. Instruções'!$C$27:$G$32,4,FALSE)&amp;"=Y."&amp;VLOOKUP(B156,'0. Instruções'!$C$27:$G$32,4,FALSE)&amp;"_SIMUL")</f>
        <v>ON X.INSTRMNT_ID=Y.INSTRMNT_ID_SIMUL</v>
      </c>
      <c r="L156" s="35" t="str">
        <f>+IF(C156="Coerência", +IF(LEFT(G156,5)="FLOAT","SELECT '"&amp;UPPER(B156)&amp;"' AS TABELA, '"&amp;UPPER(C156)&amp;"' AS TIPOLOGIA_TESTE,'"&amp;D156&amp;"' AS TABELA_LT,'"&amp;E156&amp;"' AS TABELA_SIMUL,'"&amp;F156&amp;"' AS CAMPO, "&amp;"'${ref_date}' AS REF_DATE, COUNT(*) AS NUM_REG, SUM(IF((ABS(COALESCE(CAST(X."&amp;F156&amp;" AS DECIMAL(18,6)),0)-COALESCE(CAST(Y."&amp;F156&amp;"_SIMUL AS DECIMAL(18,6)),0))&gt;0.000001) OR (X."&amp;F156&amp;" IS NULL AND Y."&amp;F156&amp;"_SIMUL IS NOT NULL ) OR (X."&amp;F156&amp;" IS NOT NULL AND Y."&amp;F156&amp;"_SIMUL IS NULL),1,0)) AS NUM_REG_DIF,'"&amp;MAX('ID1&amp;5'!K:K)+1&amp;"' AS ID_EXEC, CURRENT_TIMESTAMP() AS TIME_EXEC FROM "&amp;I156&amp;" INNER JOIN "&amp;J156&amp;" "&amp;K156,"SELECT '"&amp;UPPER(B156)&amp;"' AS TABELA, '"&amp;UPPER(C156)&amp;"' AS TIPOLOGIA_TESTE,'"&amp;D156&amp;"' AS TABELA_LT,'"&amp;E156&amp;"' AS TABELA_SIMUL,'"&amp;F156&amp;"' AS CAMPO, "&amp;"'${ref_date}' AS REF_DATE, COUNT(*) AS NUM_REG, SUM(IF(COALESCE(CAST(X."&amp;F156&amp;" AS STRING),'')&lt;&gt;COALESCE(CAST(Y."&amp;F156&amp;"_SIMUL AS STRING),'') OR (X."&amp;F156&amp;" IS NULL AND Y."&amp;F156&amp;"_SIMUL IS NOT NULL ) OR (X."&amp;F156&amp;" IS NOT NULL AND Y."&amp;F156&amp;"_SIMUL IS NULL),1,0)) AS NUM_REG_DIF,'"&amp;MAX('ID1&amp;5'!L:L)+1&amp;"' AS ID_EXEC, CURRENT_TIMESTAMP() AS TIME_EXEC FROM "&amp;I156&amp;" INNER JOIN "&amp;J156&amp;" "&amp;K156),
IF(C156="Validade",+IF(G156="Code List","SELECT '"&amp;UPPER(B156)&amp;"' AS TABELA, '"&amp;UPPER(C156)&amp;"' AS TIPOLOGIA_TESTE,'"&amp;D156&amp;"' AS TABELA_LT,'N/A' AS TABELA_SIMUL,'"&amp;F156&amp;"' AS CAMPO, "&amp;"'${ref_date}' AS REF_DATE, COUNT(*) AS NUM_REG, SUM(IF(TRIM(CAST(X."&amp;F156&amp;" AS STRING))='' OR TRIM(CAST(X."&amp;F156&amp;" AS STRING)) IS NULL OR CAST(X."&amp;F156&amp;" AS STRING) NOT "&amp;H156&amp;",1,0)) AS NUM_REG_DIF,'"&amp;MAX('ID1&amp;5'!K:K)+1&amp;"' AS ID_EXEC, CURRENT_TIMESTAMP() AS TIME_EXEC FROM "&amp;I156,"SELECT '"&amp;UPPER(B156)&amp;"' AS TABELA, '"&amp;UPPER(C156)&amp;"' AS TIPOLOGIA_TESTE,'"&amp;D156&amp;"' AS TABELA_LT,'N/A' AS TABELA_SIMUL,'"&amp;F156&amp;"' AS CAMPO, "&amp;"'${ref_date}' AS REF_DATE, COUNT(*) AS NUM_REG, SUM(IF(TRIM(CAST(X."&amp;F156&amp;" AS STRING))='' OR TRIM(CAST(X."&amp;F156&amp;" AS STRING)) IS NULL,1,0)) AS NUM_REG_DIF,'"&amp;MAX('ID1&amp;5'!K:K)+1&amp;"' AS ID_EXEC, CURRENT_TIMESTAMP() AS TIME_EXEC FROM "&amp;I156),
IF(C156="Caracteres Especiais",+"SELECT '"&amp;UPPER(B156)&amp;"' AS TABELA, '"&amp;UPPER(C156)&amp;"' AS TIPOLOGIA_TESTE,'"&amp;D156&amp;"' AS TABELA_LT,'N/A' AS TABELA_SIMUL,'"&amp;F156&amp;"' AS CAMPO, "&amp;"'${ref_date}' AS REF_DATE, COUNT(*) AS NUM_REG, SUM(IF(REGEXP_REPLACE(TRIM(CAST(X."&amp;F156&amp;" AS STRING)),'[^a-zA-Z0-9_\\s]','') &lt;&gt;TRIM(CAST(X."&amp;F156&amp;" AS STRING)),1,0)) AS NUM_REG_DIF,'"&amp;MAX('ID1&amp;5'!K:K)+1&amp;"' AS ID_EXEC, CURRENT_TIMESTAMP() AS TIME_EXEC FROM "&amp;I156,
IF(C156="Missings",+"SELECT '"&amp;UPPER(B156)&amp;"' AS TABELA, '"&amp;UPPER(C156)&amp;"' AS TIPOLOGIA_TESTE,'"&amp;D156&amp;"' AS TABELA_LT,'N/A' AS TABELA_SIMUL,'"&amp;F156&amp;"' AS CAMPO, "&amp;"'${ref_date}' AS REF_DATE, COUNT(*) AS NUM_REG, SUM(IF(TRIM(CAST(X."&amp;F156&amp;" AS STRING)) IN ('0000-00-00','0001-01-01','9999-12-31','MISS','00000','99999999999','99999999999.00','99999999999.000000'),1,0)) AS NUM_REG_DIF,'"&amp;MAX('ID1&amp;5'!K:K)+1&amp;"' AS ID_EXEC, CURRENT_TIMESTAMP() AS TIME_EXEC FROM "&amp;I156,
IF(C156="Not applicable",+"SELECT '"&amp;UPPER(B156)&amp;"' AS TABELA, '"&amp;UPPER(C156)&amp;"' AS TIPOLOGIA_TESTE,'"&amp;D156&amp;"' AS TABELA_LT,'N/A' AS TABELA_SIMUL,'"&amp;F156&amp;"' AS CAMPO, "&amp;"'${ref_date}' AS REF_DATE, COUNT(*) AS NUM_REG, SUM(IF(TRIM(CAST(X."&amp;F156&amp;" AS STRING)) IN ('N/A','11111111111','11111111111.00','11111111111.000000','1111-11-11'),1,0)) AS NUM_REG_DIF,'"&amp;MAX('ID1&amp;5'!K:K)+1&amp;"' AS ID_EXEC, CURRENT_TIMESTAMP() AS TIME_EXEC FROM "&amp;I156,
IF(C156="Valores extremos",+"SELECT '"&amp;UPPER(B156)&amp;"' AS TABELA, '"&amp;UPPER(C156)&amp;"' AS TIPOLOGIA_TESTE,'"&amp;D156&amp;"' AS TABELA_LT,'N/A' AS TABELA_SIMUL,'"&amp;F156&amp;"' AS CAMPO, "&amp;"'${ref_date}' AS REF_DATE, CAST(MIN("&amp;F156&amp;") AS STRING) AS VALOR_MIN, CAST(MAX("&amp;F156&amp;") AS STRING) AS VALOR_MAX,'"&amp;MAX('ID1&amp;5'!K:K)+1&amp;"' AS ID_EXEC, CURRENT_TIMESTAMP() AS TIME_EXEC FROM "&amp;MID(I156,1,LEN(I156)-2)&amp;" AND CAST("&amp;F156&amp;"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TABELA_SIMUL,'dt_imprmnt_stts' AS CAMPO, '${ref_date}' AS REF_DATE, COUNT(*) AS NUM_REG, SUM(IF(COALESCE(CAST(X.dt_imprmnt_stts AS STRING),'')&lt;&gt;COALESCE(CAST(Y.dt_imprmnt_stts_SIMUL AS STRING),'') OR (X.dt_imprmnt_stts IS NULL AND Y.dt_imprmnt_stts_SIMUL IS NOT NULL ) OR (X.dt_imprmnt_stts IS NOT NULL AND Y.dt_imprmnt_stts_SIMUL IS NULL),1,0)) AS NUM_REG_DIF,'1' AS ID_EXEC, CURRENT_TIMESTAMP() AS TIME_EXEC FROM (SELECT instrmnt_id, dt_imprmnt_stts FROM BU_LOANTAPE_WORK.LT002_INSTRUMENT WHERE ref_date='${ref_date}' AND nome_perimetro='Individual Local' AND segmento='ESTR' AND ambito='SRB_MBDT' AND entidade='00100')X INNER JOIN (SELECT instrmnt_id AS instrmnt_id_SIMUL, dt_imprmnt_stts AS dt_imprmnt_stts_SIMUL FROM BU_LOANTAPE_WORK.SIMUL_LT002_INSTRUMENT WHERE ref_date='${ref_date}' AND nome_perimetro='Individual Local' AND segmento='ESTR' AND ambito='PILAR3' AND entidade='00100')Y ON X.INSTRMNT_ID=Y.INSTRMNT_ID_SIMUL</v>
      </c>
      <c r="M156" s="36" t="str">
        <f t="shared" si="5"/>
        <v>UNION ALL SELECT 'INSTRUMENT' AS TABELA, 'COERÊNCIA' AS TIPOLOGIA_TESTE,'BU_LOANTAPE_WORK.LT002_INSTRUMENT' AS TABELA_LT,'BU_LOANTAPE_WORK.SIMUL_LT002_INSTRUMENT' AS TABELA_SIMUL,'dt_imprmnt_stts' AS CAMPO, '${ref_date}' AS REF_DATE, COUNT(*) AS NUM_REG, SUM(IF(COALESCE(CAST(X.dt_imprmnt_stts AS STRING),'')&lt;&gt;COALESCE(CAST(Y.dt_imprmnt_stts_SIMUL AS STRING),'') OR (X.dt_imprmnt_stts IS NULL AND Y.dt_imprmnt_stts_SIMUL IS NOT NULL ) OR (X.dt_imprmnt_stts IS NOT NULL AND Y.dt_imprmnt_stts_SIMUL IS NULL),1,0)) AS NUM_REG_DIF,'1' AS ID_EXEC, CURRENT_TIMESTAMP() AS TIME_EXEC FROM (SELECT instrmnt_id, dt_imprmnt_stts FROM BU_LOANTAPE_WORK.LT002_INSTRUMENT WHERE ref_date='${ref_date}' AND nome_perimetro='Individual Local' AND segmento='ESTR' AND ambito='SRB_MBDT' AND entidade='00100')X INNER JOIN (SELECT instrmnt_id AS instrmnt_id_SIMUL, dt_imprmnt_stts AS dt_imprmnt_stts_SIMUL FROM BU_LOANTAPE_WORK.SIMUL_LT002_INSTRUMENT WHERE ref_date='${ref_date}' AND nome_perimetro='Individual Local' AND segmento='ESTR' AND ambito='PILAR3' AND entidade='00100')Y ON X.INSTRMNT_ID=Y.INSTRMNT_ID_SIMUL</v>
      </c>
      <c r="N156" s="38"/>
    </row>
    <row r="157" spans="2:14">
      <c r="B157" s="34" t="s">
        <v>117</v>
      </c>
      <c r="C157" s="34" t="s">
        <v>5</v>
      </c>
      <c r="D157" s="34" t="str">
        <f>+UPPER('0. Instruções'!$D$35&amp;"."&amp;VLOOKUP(B157,'0. Instruções'!$C$27:$D$32,2,FALSE))</f>
        <v>BU_LOANTAPE_WORK.LT002_INSTRUMENT</v>
      </c>
      <c r="E157" s="34" t="str">
        <f>+UPPER('0. Instruções'!$D$36&amp;"."&amp;VLOOKUP(B157,'0. Instruções'!$C$27:$E$32,3,FALSE))</f>
        <v>BU_LOANTAPE_WORK.SIMUL_LT002_INSTRUMENT</v>
      </c>
      <c r="F157" s="34" t="s">
        <v>299</v>
      </c>
      <c r="G157" s="34"/>
      <c r="H157" s="34"/>
      <c r="I157" s="34" t="str">
        <f>"(SELECT "&amp;VLOOKUP(B157,'0. Instruções'!$C$27:$G$32,4,FALSE)&amp;", "&amp;F157&amp;" FROM "&amp;D157&amp;" WHERE "&amp;'0. Instruções'!$D$42&amp;")X"</f>
        <v>(SELECT instrmnt_id, dt_imprmnt_stts_prvs FROM BU_LOANTAPE_WORK.LT002_INSTRUMENT WHERE ref_date='${ref_date}' AND nome_perimetro='Individual Local' AND segmento='ESTR' AND ambito='SRB_MBDT' AND entidade='00100')X</v>
      </c>
      <c r="J157" s="34" t="str">
        <f>"(SELECT "&amp;VLOOKUP(B157,'0. Instruções'!$C$27:$G$32,4,FALSE)&amp;" AS "&amp;VLOOKUP(B157,'0. Instruções'!$C$27:$G$32,4,FALSE)&amp;"_SIMUL, "&amp;F157&amp;" AS "&amp;F157&amp;"_SIMUL FROM "&amp;E157&amp;" WHERE "&amp;'0. Instruções'!$D$43&amp;")Y"</f>
        <v>(SELECT instrmnt_id AS instrmnt_id_SIMUL, dt_imprmnt_stts_prvs AS dt_imprmnt_stts_prvs_SIMUL FROM BU_LOANTAPE_WORK.SIMUL_LT002_INSTRUMENT WHERE ref_date='${ref_date}' AND nome_perimetro='Individual Local' AND segmento='ESTR' AND ambito='PILAR3' AND entidade='00100')Y</v>
      </c>
      <c r="K157" s="35" t="str">
        <f>+UPPER("ON X."&amp;VLOOKUP(B157,'0. Instruções'!$C$27:$G$32,4,FALSE)&amp;"=Y."&amp;VLOOKUP(B157,'0. Instruções'!$C$27:$G$32,4,FALSE)&amp;"_SIMUL")</f>
        <v>ON X.INSTRMNT_ID=Y.INSTRMNT_ID_SIMUL</v>
      </c>
      <c r="L157" s="35" t="str">
        <f>+IF(C157="Coerência", +IF(LEFT(G157,5)="FLOAT","SELECT '"&amp;UPPER(B157)&amp;"' AS TABELA, '"&amp;UPPER(C157)&amp;"' AS TIPOLOGIA_TESTE,'"&amp;D157&amp;"' AS TABELA_LT,'"&amp;E157&amp;"' AS TABELA_SIMUL,'"&amp;F157&amp;"' AS CAMPO, "&amp;"'${ref_date}' AS REF_DATE, COUNT(*) AS NUM_REG, SUM(IF((ABS(COALESCE(CAST(X."&amp;F157&amp;" AS DECIMAL(18,6)),0)-COALESCE(CAST(Y."&amp;F157&amp;"_SIMUL AS DECIMAL(18,6)),0))&gt;0.000001) OR (X."&amp;F157&amp;" IS NULL AND Y."&amp;F157&amp;"_SIMUL IS NOT NULL ) OR (X."&amp;F157&amp;" IS NOT NULL AND Y."&amp;F157&amp;"_SIMUL IS NULL),1,0)) AS NUM_REG_DIF,'"&amp;MAX('ID1&amp;5'!K:K)+1&amp;"' AS ID_EXEC, CURRENT_TIMESTAMP() AS TIME_EXEC FROM "&amp;I157&amp;" INNER JOIN "&amp;J157&amp;" "&amp;K157,"SELECT '"&amp;UPPER(B157)&amp;"' AS TABELA, '"&amp;UPPER(C157)&amp;"' AS TIPOLOGIA_TESTE,'"&amp;D157&amp;"' AS TABELA_LT,'"&amp;E157&amp;"' AS TABELA_SIMUL,'"&amp;F157&amp;"' AS CAMPO, "&amp;"'${ref_date}' AS REF_DATE, COUNT(*) AS NUM_REG, SUM(IF(COALESCE(CAST(X."&amp;F157&amp;" AS STRING),'')&lt;&gt;COALESCE(CAST(Y."&amp;F157&amp;"_SIMUL AS STRING),'') OR (X."&amp;F157&amp;" IS NULL AND Y."&amp;F157&amp;"_SIMUL IS NOT NULL ) OR (X."&amp;F157&amp;" IS NOT NULL AND Y."&amp;F157&amp;"_SIMUL IS NULL),1,0)) AS NUM_REG_DIF,'"&amp;MAX('ID1&amp;5'!L:L)+1&amp;"' AS ID_EXEC, CURRENT_TIMESTAMP() AS TIME_EXEC FROM "&amp;I157&amp;" INNER JOIN "&amp;J157&amp;" "&amp;K157),
IF(C157="Validade",+IF(G157="Code List","SELECT '"&amp;UPPER(B157)&amp;"' AS TABELA, '"&amp;UPPER(C157)&amp;"' AS TIPOLOGIA_TESTE,'"&amp;D157&amp;"' AS TABELA_LT,'N/A' AS TABELA_SIMUL,'"&amp;F157&amp;"' AS CAMPO, "&amp;"'${ref_date}' AS REF_DATE, COUNT(*) AS NUM_REG, SUM(IF(TRIM(CAST(X."&amp;F157&amp;" AS STRING))='' OR TRIM(CAST(X."&amp;F157&amp;" AS STRING)) IS NULL OR CAST(X."&amp;F157&amp;" AS STRING) NOT "&amp;H157&amp;",1,0)) AS NUM_REG_DIF,'"&amp;MAX('ID1&amp;5'!K:K)+1&amp;"' AS ID_EXEC, CURRENT_TIMESTAMP() AS TIME_EXEC FROM "&amp;I157,"SELECT '"&amp;UPPER(B157)&amp;"' AS TABELA, '"&amp;UPPER(C157)&amp;"' AS TIPOLOGIA_TESTE,'"&amp;D157&amp;"' AS TABELA_LT,'N/A' AS TABELA_SIMUL,'"&amp;F157&amp;"' AS CAMPO, "&amp;"'${ref_date}' AS REF_DATE, COUNT(*) AS NUM_REG, SUM(IF(TRIM(CAST(X."&amp;F157&amp;" AS STRING))='' OR TRIM(CAST(X."&amp;F157&amp;" AS STRING)) IS NULL,1,0)) AS NUM_REG_DIF,'"&amp;MAX('ID1&amp;5'!K:K)+1&amp;"' AS ID_EXEC, CURRENT_TIMESTAMP() AS TIME_EXEC FROM "&amp;I157),
IF(C157="Caracteres Especiais",+"SELECT '"&amp;UPPER(B157)&amp;"' AS TABELA, '"&amp;UPPER(C157)&amp;"' AS TIPOLOGIA_TESTE,'"&amp;D157&amp;"' AS TABELA_LT,'N/A' AS TABELA_SIMUL,'"&amp;F157&amp;"' AS CAMPO, "&amp;"'${ref_date}' AS REF_DATE, COUNT(*) AS NUM_REG, SUM(IF(REGEXP_REPLACE(TRIM(CAST(X."&amp;F157&amp;" AS STRING)),'[^a-zA-Z0-9_\\s]','') &lt;&gt;TRIM(CAST(X."&amp;F157&amp;" AS STRING)),1,0)) AS NUM_REG_DIF,'"&amp;MAX('ID1&amp;5'!K:K)+1&amp;"' AS ID_EXEC, CURRENT_TIMESTAMP() AS TIME_EXEC FROM "&amp;I157,
IF(C157="Missings",+"SELECT '"&amp;UPPER(B157)&amp;"' AS TABELA, '"&amp;UPPER(C157)&amp;"' AS TIPOLOGIA_TESTE,'"&amp;D157&amp;"' AS TABELA_LT,'N/A' AS TABELA_SIMUL,'"&amp;F157&amp;"' AS CAMPO, "&amp;"'${ref_date}' AS REF_DATE, COUNT(*) AS NUM_REG, SUM(IF(TRIM(CAST(X."&amp;F157&amp;" AS STRING)) IN ('0000-00-00','0001-01-01','9999-12-31','MISS','00000','99999999999','99999999999.00','99999999999.000000'),1,0)) AS NUM_REG_DIF,'"&amp;MAX('ID1&amp;5'!K:K)+1&amp;"' AS ID_EXEC, CURRENT_TIMESTAMP() AS TIME_EXEC FROM "&amp;I157,
IF(C157="Not applicable",+"SELECT '"&amp;UPPER(B157)&amp;"' AS TABELA, '"&amp;UPPER(C157)&amp;"' AS TIPOLOGIA_TESTE,'"&amp;D157&amp;"' AS TABELA_LT,'N/A' AS TABELA_SIMUL,'"&amp;F157&amp;"' AS CAMPO, "&amp;"'${ref_date}' AS REF_DATE, COUNT(*) AS NUM_REG, SUM(IF(TRIM(CAST(X."&amp;F157&amp;" AS STRING)) IN ('N/A','11111111111','11111111111.00','11111111111.000000','1111-11-11'),1,0)) AS NUM_REG_DIF,'"&amp;MAX('ID1&amp;5'!K:K)+1&amp;"' AS ID_EXEC, CURRENT_TIMESTAMP() AS TIME_EXEC FROM "&amp;I157,
IF(C157="Valores extremos",+"SELECT '"&amp;UPPER(B157)&amp;"' AS TABELA, '"&amp;UPPER(C157)&amp;"' AS TIPOLOGIA_TESTE,'"&amp;D157&amp;"' AS TABELA_LT,'N/A' AS TABELA_SIMUL,'"&amp;F157&amp;"' AS CAMPO, "&amp;"'${ref_date}' AS REF_DATE, CAST(MIN("&amp;F157&amp;") AS STRING) AS VALOR_MIN, CAST(MAX("&amp;F157&amp;") AS STRING) AS VALOR_MAX,'"&amp;MAX('ID1&amp;5'!K:K)+1&amp;"' AS ID_EXEC, CURRENT_TIMESTAMP() AS TIME_EXEC FROM "&amp;MID(I157,1,LEN(I157)-2)&amp;" AND CAST("&amp;F157&amp;"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TABELA_SIMUL,'dt_imprmnt_stts_prvs' AS CAMPO, '${ref_date}' AS REF_DATE, COUNT(*) AS NUM_REG, SUM(IF(COALESCE(CAST(X.dt_imprmnt_stts_prvs AS STRING),'')&lt;&gt;COALESCE(CAST(Y.dt_imprmnt_stts_prvs_SIMUL AS STRING),'') OR (X.dt_imprmnt_stts_prvs IS NULL AND Y.dt_imprmnt_stts_prvs_SIMUL IS NOT NULL ) OR (X.dt_imprmnt_stts_prvs IS NOT NULL AND Y.dt_imprmnt_stts_prvs_SIMUL IS NULL),1,0)) AS NUM_REG_DIF,'1' AS ID_EXEC, CURRENT_TIMESTAMP() AS TIME_EXEC FROM (SELECT instrmnt_id, dt_imprmnt_stts_prvs FROM BU_LOANTAPE_WORK.LT002_INSTRUMENT WHERE ref_date='${ref_date}' AND nome_perimetro='Individual Local' AND segmento='ESTR' AND ambito='SRB_MBDT' AND entidade='00100')X INNER JOIN (SELECT instrmnt_id AS instrmnt_id_SIMUL, dt_imprmnt_stts_prvs AS dt_imprmnt_stts_prvs_SIMUL FROM BU_LOANTAPE_WORK.SIMUL_LT002_INSTRUMENT WHERE ref_date='${ref_date}' AND nome_perimetro='Individual Local' AND segmento='ESTR' AND ambito='PILAR3' AND entidade='00100')Y ON X.INSTRMNT_ID=Y.INSTRMNT_ID_SIMUL</v>
      </c>
      <c r="M157" s="36" t="str">
        <f t="shared" si="5"/>
        <v>UNION ALL SELECT 'INSTRUMENT' AS TABELA, 'COERÊNCIA' AS TIPOLOGIA_TESTE,'BU_LOANTAPE_WORK.LT002_INSTRUMENT' AS TABELA_LT,'BU_LOANTAPE_WORK.SIMUL_LT002_INSTRUMENT' AS TABELA_SIMUL,'dt_imprmnt_stts_prvs' AS CAMPO, '${ref_date}' AS REF_DATE, COUNT(*) AS NUM_REG, SUM(IF(COALESCE(CAST(X.dt_imprmnt_stts_prvs AS STRING),'')&lt;&gt;COALESCE(CAST(Y.dt_imprmnt_stts_prvs_SIMUL AS STRING),'') OR (X.dt_imprmnt_stts_prvs IS NULL AND Y.dt_imprmnt_stts_prvs_SIMUL IS NOT NULL ) OR (X.dt_imprmnt_stts_prvs IS NOT NULL AND Y.dt_imprmnt_stts_prvs_SIMUL IS NULL),1,0)) AS NUM_REG_DIF,'1' AS ID_EXEC, CURRENT_TIMESTAMP() AS TIME_EXEC FROM (SELECT instrmnt_id, dt_imprmnt_stts_prvs FROM BU_LOANTAPE_WORK.LT002_INSTRUMENT WHERE ref_date='${ref_date}' AND nome_perimetro='Individual Local' AND segmento='ESTR' AND ambito='SRB_MBDT' AND entidade='00100')X INNER JOIN (SELECT instrmnt_id AS instrmnt_id_SIMUL, dt_imprmnt_stts_prvs AS dt_imprmnt_stts_prvs_SIMUL FROM BU_LOANTAPE_WORK.SIMUL_LT002_INSTRUMENT WHERE ref_date='${ref_date}' AND nome_perimetro='Individual Local' AND segmento='ESTR' AND ambito='PILAR3' AND entidade='00100')Y ON X.INSTRMNT_ID=Y.INSTRMNT_ID_SIMUL</v>
      </c>
      <c r="N157" s="38"/>
    </row>
    <row r="158" spans="2:14">
      <c r="B158" s="34" t="s">
        <v>117</v>
      </c>
      <c r="C158" s="34" t="s">
        <v>5</v>
      </c>
      <c r="D158" s="34" t="str">
        <f>+UPPER('0. Instruções'!$D$35&amp;"."&amp;VLOOKUP(B158,'0. Instruções'!$C$27:$D$32,2,FALSE))</f>
        <v>BU_LOANTAPE_WORK.LT002_INSTRUMENT</v>
      </c>
      <c r="E158" s="34" t="str">
        <f>+UPPER('0. Instruções'!$D$36&amp;"."&amp;VLOOKUP(B158,'0. Instruções'!$C$27:$E$32,3,FALSE))</f>
        <v>BU_LOANTAPE_WORK.SIMUL_LT002_INSTRUMENT</v>
      </c>
      <c r="F158" s="34" t="s">
        <v>1220</v>
      </c>
      <c r="G158" s="34"/>
      <c r="H158" s="34"/>
      <c r="I158" s="34" t="str">
        <f>"(SELECT "&amp;VLOOKUP(B158,'0. Instruções'!$C$27:$G$32,4,FALSE)&amp;", "&amp;F158&amp;" FROM "&amp;D158&amp;" WHERE "&amp;'0. Instruções'!$D$42&amp;")X"</f>
        <v>(SELECT instrmnt_id, dt_pst_d FROM BU_LOANTAPE_WORK.LT002_INSTRUMENT WHERE ref_date='${ref_date}' AND nome_perimetro='Individual Local' AND segmento='ESTR' AND ambito='SRB_MBDT' AND entidade='00100')X</v>
      </c>
      <c r="J158" s="34" t="str">
        <f>"(SELECT "&amp;VLOOKUP(B158,'0. Instruções'!$C$27:$G$32,4,FALSE)&amp;" AS "&amp;VLOOKUP(B158,'0. Instruções'!$C$27:$G$32,4,FALSE)&amp;"_SIMUL, "&amp;F158&amp;" AS "&amp;F158&amp;"_SIMUL FROM "&amp;E158&amp;" WHERE "&amp;'0. Instruções'!$D$43&amp;")Y"</f>
        <v>(SELECT instrmnt_id AS instrmnt_id_SIMUL, dt_pst_d AS dt_pst_d_SIMUL FROM BU_LOANTAPE_WORK.SIMUL_LT002_INSTRUMENT WHERE ref_date='${ref_date}' AND nome_perimetro='Individual Local' AND segmento='ESTR' AND ambito='PILAR3' AND entidade='00100')Y</v>
      </c>
      <c r="K158" s="35" t="str">
        <f>+UPPER("ON X."&amp;VLOOKUP(B158,'0. Instruções'!$C$27:$G$32,4,FALSE)&amp;"=Y."&amp;VLOOKUP(B158,'0. Instruções'!$C$27:$G$32,4,FALSE)&amp;"_SIMUL")</f>
        <v>ON X.INSTRMNT_ID=Y.INSTRMNT_ID_SIMUL</v>
      </c>
      <c r="L158" s="35" t="str">
        <f>+IF(C158="Coerência", +IF(LEFT(G158,5)="FLOAT","SELECT '"&amp;UPPER(B158)&amp;"' AS TABELA, '"&amp;UPPER(C158)&amp;"' AS TIPOLOGIA_TESTE,'"&amp;D158&amp;"' AS TABELA_LT,'"&amp;E158&amp;"' AS TABELA_SIMUL,'"&amp;F158&amp;"' AS CAMPO, "&amp;"'${ref_date}' AS REF_DATE, COUNT(*) AS NUM_REG, SUM(IF((ABS(COALESCE(CAST(X."&amp;F158&amp;" AS DECIMAL(18,6)),0)-COALESCE(CAST(Y."&amp;F158&amp;"_SIMUL AS DECIMAL(18,6)),0))&gt;0.000001) OR (X."&amp;F158&amp;" IS NULL AND Y."&amp;F158&amp;"_SIMUL IS NOT NULL ) OR (X."&amp;F158&amp;" IS NOT NULL AND Y."&amp;F158&amp;"_SIMUL IS NULL),1,0)) AS NUM_REG_DIF,'"&amp;MAX('ID1&amp;5'!K:K)+1&amp;"' AS ID_EXEC, CURRENT_TIMESTAMP() AS TIME_EXEC FROM "&amp;I158&amp;" INNER JOIN "&amp;J158&amp;" "&amp;K158,"SELECT '"&amp;UPPER(B158)&amp;"' AS TABELA, '"&amp;UPPER(C158)&amp;"' AS TIPOLOGIA_TESTE,'"&amp;D158&amp;"' AS TABELA_LT,'"&amp;E158&amp;"' AS TABELA_SIMUL,'"&amp;F158&amp;"' AS CAMPO, "&amp;"'${ref_date}' AS REF_DATE, COUNT(*) AS NUM_REG, SUM(IF(COALESCE(CAST(X."&amp;F158&amp;" AS STRING),'')&lt;&gt;COALESCE(CAST(Y."&amp;F158&amp;"_SIMUL AS STRING),'') OR (X."&amp;F158&amp;" IS NULL AND Y."&amp;F158&amp;"_SIMUL IS NOT NULL ) OR (X."&amp;F158&amp;" IS NOT NULL AND Y."&amp;F158&amp;"_SIMUL IS NULL),1,0)) AS NUM_REG_DIF,'"&amp;MAX('ID1&amp;5'!L:L)+1&amp;"' AS ID_EXEC, CURRENT_TIMESTAMP() AS TIME_EXEC FROM "&amp;I158&amp;" INNER JOIN "&amp;J158&amp;" "&amp;K158),
IF(C158="Validade",+IF(G158="Code List","SELECT '"&amp;UPPER(B158)&amp;"' AS TABELA, '"&amp;UPPER(C158)&amp;"' AS TIPOLOGIA_TESTE,'"&amp;D158&amp;"' AS TABELA_LT,'N/A' AS TABELA_SIMUL,'"&amp;F158&amp;"' AS CAMPO, "&amp;"'${ref_date}' AS REF_DATE, COUNT(*) AS NUM_REG, SUM(IF(TRIM(CAST(X."&amp;F158&amp;" AS STRING))='' OR TRIM(CAST(X."&amp;F158&amp;" AS STRING)) IS NULL OR CAST(X."&amp;F158&amp;" AS STRING) NOT "&amp;H158&amp;",1,0)) AS NUM_REG_DIF,'"&amp;MAX('ID1&amp;5'!K:K)+1&amp;"' AS ID_EXEC, CURRENT_TIMESTAMP() AS TIME_EXEC FROM "&amp;I158,"SELECT '"&amp;UPPER(B158)&amp;"' AS TABELA, '"&amp;UPPER(C158)&amp;"' AS TIPOLOGIA_TESTE,'"&amp;D158&amp;"' AS TABELA_LT,'N/A' AS TABELA_SIMUL,'"&amp;F158&amp;"' AS CAMPO, "&amp;"'${ref_date}' AS REF_DATE, COUNT(*) AS NUM_REG, SUM(IF(TRIM(CAST(X."&amp;F158&amp;" AS STRING))='' OR TRIM(CAST(X."&amp;F158&amp;" AS STRING)) IS NULL,1,0)) AS NUM_REG_DIF,'"&amp;MAX('ID1&amp;5'!K:K)+1&amp;"' AS ID_EXEC, CURRENT_TIMESTAMP() AS TIME_EXEC FROM "&amp;I158),
IF(C158="Caracteres Especiais",+"SELECT '"&amp;UPPER(B158)&amp;"' AS TABELA, '"&amp;UPPER(C158)&amp;"' AS TIPOLOGIA_TESTE,'"&amp;D158&amp;"' AS TABELA_LT,'N/A' AS TABELA_SIMUL,'"&amp;F158&amp;"' AS CAMPO, "&amp;"'${ref_date}' AS REF_DATE, COUNT(*) AS NUM_REG, SUM(IF(REGEXP_REPLACE(TRIM(CAST(X."&amp;F158&amp;" AS STRING)),'[^a-zA-Z0-9_\\s]','') &lt;&gt;TRIM(CAST(X."&amp;F158&amp;" AS STRING)),1,0)) AS NUM_REG_DIF,'"&amp;MAX('ID1&amp;5'!K:K)+1&amp;"' AS ID_EXEC, CURRENT_TIMESTAMP() AS TIME_EXEC FROM "&amp;I158,
IF(C158="Missings",+"SELECT '"&amp;UPPER(B158)&amp;"' AS TABELA, '"&amp;UPPER(C158)&amp;"' AS TIPOLOGIA_TESTE,'"&amp;D158&amp;"' AS TABELA_LT,'N/A' AS TABELA_SIMUL,'"&amp;F158&amp;"' AS CAMPO, "&amp;"'${ref_date}' AS REF_DATE, COUNT(*) AS NUM_REG, SUM(IF(TRIM(CAST(X."&amp;F158&amp;" AS STRING)) IN ('0000-00-00','0001-01-01','9999-12-31','MISS','00000','99999999999','99999999999.00','99999999999.000000'),1,0)) AS NUM_REG_DIF,'"&amp;MAX('ID1&amp;5'!K:K)+1&amp;"' AS ID_EXEC, CURRENT_TIMESTAMP() AS TIME_EXEC FROM "&amp;I158,
IF(C158="Not applicable",+"SELECT '"&amp;UPPER(B158)&amp;"' AS TABELA, '"&amp;UPPER(C158)&amp;"' AS TIPOLOGIA_TESTE,'"&amp;D158&amp;"' AS TABELA_LT,'N/A' AS TABELA_SIMUL,'"&amp;F158&amp;"' AS CAMPO, "&amp;"'${ref_date}' AS REF_DATE, COUNT(*) AS NUM_REG, SUM(IF(TRIM(CAST(X."&amp;F158&amp;" AS STRING)) IN ('N/A','11111111111','11111111111.00','11111111111.000000','1111-11-11'),1,0)) AS NUM_REG_DIF,'"&amp;MAX('ID1&amp;5'!K:K)+1&amp;"' AS ID_EXEC, CURRENT_TIMESTAMP() AS TIME_EXEC FROM "&amp;I158,
IF(C158="Valores extremos",+"SELECT '"&amp;UPPER(B158)&amp;"' AS TABELA, '"&amp;UPPER(C158)&amp;"' AS TIPOLOGIA_TESTE,'"&amp;D158&amp;"' AS TABELA_LT,'N/A' AS TABELA_SIMUL,'"&amp;F158&amp;"' AS CAMPO, "&amp;"'${ref_date}' AS REF_DATE, CAST(MIN("&amp;F158&amp;") AS STRING) AS VALOR_MIN, CAST(MAX("&amp;F158&amp;") AS STRING) AS VALOR_MAX,'"&amp;MAX('ID1&amp;5'!K:K)+1&amp;"' AS ID_EXEC, CURRENT_TIMESTAMP() AS TIME_EXEC FROM "&amp;MID(I158,1,LEN(I158)-2)&amp;" AND CAST("&amp;F158&amp;"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TABELA_SIMUL,'dt_pst_d' AS CAMPO, '${ref_date}' AS REF_DATE, COUNT(*) AS NUM_REG, SUM(IF(COALESCE(CAST(X.dt_pst_d AS STRING),'')&lt;&gt;COALESCE(CAST(Y.dt_pst_d_SIMUL AS STRING),'') OR (X.dt_pst_d IS NULL AND Y.dt_pst_d_SIMUL IS NOT NULL ) OR (X.dt_pst_d IS NOT NULL AND Y.dt_pst_d_SIMUL IS NULL),1,0)) AS NUM_REG_DIF,'1' AS ID_EXEC, CURRENT_TIMESTAMP() AS TIME_EXEC FROM (SELECT instrmnt_id, dt_pst_d FROM BU_LOANTAPE_WORK.LT002_INSTRUMENT WHERE ref_date='${ref_date}' AND nome_perimetro='Individual Local' AND segmento='ESTR' AND ambito='SRB_MBDT' AND entidade='00100')X INNER JOIN (SELECT instrmnt_id AS instrmnt_id_SIMUL, dt_pst_d AS dt_pst_d_SIMUL FROM BU_LOANTAPE_WORK.SIMUL_LT002_INSTRUMENT WHERE ref_date='${ref_date}' AND nome_perimetro='Individual Local' AND segmento='ESTR' AND ambito='PILAR3' AND entidade='00100')Y ON X.INSTRMNT_ID=Y.INSTRMNT_ID_SIMUL</v>
      </c>
      <c r="M158" s="36" t="str">
        <f t="shared" si="5"/>
        <v>UNION ALL SELECT 'INSTRUMENT' AS TABELA, 'COERÊNCIA' AS TIPOLOGIA_TESTE,'BU_LOANTAPE_WORK.LT002_INSTRUMENT' AS TABELA_LT,'BU_LOANTAPE_WORK.SIMUL_LT002_INSTRUMENT' AS TABELA_SIMUL,'dt_pst_d' AS CAMPO, '${ref_date}' AS REF_DATE, COUNT(*) AS NUM_REG, SUM(IF(COALESCE(CAST(X.dt_pst_d AS STRING),'')&lt;&gt;COALESCE(CAST(Y.dt_pst_d_SIMUL AS STRING),'') OR (X.dt_pst_d IS NULL AND Y.dt_pst_d_SIMUL IS NOT NULL ) OR (X.dt_pst_d IS NOT NULL AND Y.dt_pst_d_SIMUL IS NULL),1,0)) AS NUM_REG_DIF,'1' AS ID_EXEC, CURRENT_TIMESTAMP() AS TIME_EXEC FROM (SELECT instrmnt_id, dt_pst_d FROM BU_LOANTAPE_WORK.LT002_INSTRUMENT WHERE ref_date='${ref_date}' AND nome_perimetro='Individual Local' AND segmento='ESTR' AND ambito='SRB_MBDT' AND entidade='00100')X INNER JOIN (SELECT instrmnt_id AS instrmnt_id_SIMUL, dt_pst_d AS dt_pst_d_SIMUL FROM BU_LOANTAPE_WORK.SIMUL_LT002_INSTRUMENT WHERE ref_date='${ref_date}' AND nome_perimetro='Individual Local' AND segmento='ESTR' AND ambito='PILAR3' AND entidade='00100')Y ON X.INSTRMNT_ID=Y.INSTRMNT_ID_SIMUL</v>
      </c>
      <c r="N158" s="38"/>
    </row>
    <row r="159" spans="2:14">
      <c r="B159" s="34" t="s">
        <v>117</v>
      </c>
      <c r="C159" s="34" t="s">
        <v>5</v>
      </c>
      <c r="D159" s="34" t="str">
        <f>+UPPER('0. Instruções'!$D$35&amp;"."&amp;VLOOKUP(B159,'0. Instruções'!$C$27:$D$32,2,FALSE))</f>
        <v>BU_LOANTAPE_WORK.LT002_INSTRUMENT</v>
      </c>
      <c r="E159" s="34" t="str">
        <f>+UPPER('0. Instruções'!$D$36&amp;"."&amp;VLOOKUP(B159,'0. Instruções'!$C$27:$E$32,3,FALSE))</f>
        <v>BU_LOANTAPE_WORK.SIMUL_LT002_INSTRUMENT</v>
      </c>
      <c r="F159" s="34" t="s">
        <v>1221</v>
      </c>
      <c r="G159" s="34"/>
      <c r="H159" s="34"/>
      <c r="I159" s="34" t="str">
        <f>"(SELECT "&amp;VLOOKUP(B159,'0. Instruções'!$C$27:$G$32,4,FALSE)&amp;", "&amp;F159&amp;" FROM "&amp;D159&amp;" WHERE "&amp;'0. Instruções'!$D$42&amp;")X"</f>
        <v>(SELECT instrmnt_id, imprmnt_assssmnt_mthd FROM BU_LOANTAPE_WORK.LT002_INSTRUMENT WHERE ref_date='${ref_date}' AND nome_perimetro='Individual Local' AND segmento='ESTR' AND ambito='SRB_MBDT' AND entidade='00100')X</v>
      </c>
      <c r="J159" s="34" t="str">
        <f>"(SELECT "&amp;VLOOKUP(B159,'0. Instruções'!$C$27:$G$32,4,FALSE)&amp;" AS "&amp;VLOOKUP(B159,'0. Instruções'!$C$27:$G$32,4,FALSE)&amp;"_SIMUL, "&amp;F159&amp;" AS "&amp;F159&amp;"_SIMUL FROM "&amp;E159&amp;" WHERE "&amp;'0. Instruções'!$D$43&amp;")Y"</f>
        <v>(SELECT instrmnt_id AS instrmnt_id_SIMUL, imprmnt_assssmnt_mthd AS imprmnt_assssmnt_mthd_SIMUL FROM BU_LOANTAPE_WORK.SIMUL_LT002_INSTRUMENT WHERE ref_date='${ref_date}' AND nome_perimetro='Individual Local' AND segmento='ESTR' AND ambito='PILAR3' AND entidade='00100')Y</v>
      </c>
      <c r="K159" s="35" t="str">
        <f>+UPPER("ON X."&amp;VLOOKUP(B159,'0. Instruções'!$C$27:$G$32,4,FALSE)&amp;"=Y."&amp;VLOOKUP(B159,'0. Instruções'!$C$27:$G$32,4,FALSE)&amp;"_SIMUL")</f>
        <v>ON X.INSTRMNT_ID=Y.INSTRMNT_ID_SIMUL</v>
      </c>
      <c r="L159" s="35" t="str">
        <f>+IF(C159="Coerência", +IF(LEFT(G159,5)="FLOAT","SELECT '"&amp;UPPER(B159)&amp;"' AS TABELA, '"&amp;UPPER(C159)&amp;"' AS TIPOLOGIA_TESTE,'"&amp;D159&amp;"' AS TABELA_LT,'"&amp;E159&amp;"' AS TABELA_SIMUL,'"&amp;F159&amp;"' AS CAMPO, "&amp;"'${ref_date}' AS REF_DATE, COUNT(*) AS NUM_REG, SUM(IF((ABS(COALESCE(CAST(X."&amp;F159&amp;" AS DECIMAL(18,6)),0)-COALESCE(CAST(Y."&amp;F159&amp;"_SIMUL AS DECIMAL(18,6)),0))&gt;0.000001) OR (X."&amp;F159&amp;" IS NULL AND Y."&amp;F159&amp;"_SIMUL IS NOT NULL ) OR (X."&amp;F159&amp;" IS NOT NULL AND Y."&amp;F159&amp;"_SIMUL IS NULL),1,0)) AS NUM_REG_DIF,'"&amp;MAX('ID1&amp;5'!K:K)+1&amp;"' AS ID_EXEC, CURRENT_TIMESTAMP() AS TIME_EXEC FROM "&amp;I159&amp;" INNER JOIN "&amp;J159&amp;" "&amp;K159,"SELECT '"&amp;UPPER(B159)&amp;"' AS TABELA, '"&amp;UPPER(C159)&amp;"' AS TIPOLOGIA_TESTE,'"&amp;D159&amp;"' AS TABELA_LT,'"&amp;E159&amp;"' AS TABELA_SIMUL,'"&amp;F159&amp;"' AS CAMPO, "&amp;"'${ref_date}' AS REF_DATE, COUNT(*) AS NUM_REG, SUM(IF(COALESCE(CAST(X."&amp;F159&amp;" AS STRING),'')&lt;&gt;COALESCE(CAST(Y."&amp;F159&amp;"_SIMUL AS STRING),'') OR (X."&amp;F159&amp;" IS NULL AND Y."&amp;F159&amp;"_SIMUL IS NOT NULL ) OR (X."&amp;F159&amp;" IS NOT NULL AND Y."&amp;F159&amp;"_SIMUL IS NULL),1,0)) AS NUM_REG_DIF,'"&amp;MAX('ID1&amp;5'!L:L)+1&amp;"' AS ID_EXEC, CURRENT_TIMESTAMP() AS TIME_EXEC FROM "&amp;I159&amp;" INNER JOIN "&amp;J159&amp;" "&amp;K159),
IF(C159="Validade",+IF(G159="Code List","SELECT '"&amp;UPPER(B159)&amp;"' AS TABELA, '"&amp;UPPER(C159)&amp;"' AS TIPOLOGIA_TESTE,'"&amp;D159&amp;"' AS TABELA_LT,'N/A' AS TABELA_SIMUL,'"&amp;F159&amp;"' AS CAMPO, "&amp;"'${ref_date}' AS REF_DATE, COUNT(*) AS NUM_REG, SUM(IF(TRIM(CAST(X."&amp;F159&amp;" AS STRING))='' OR TRIM(CAST(X."&amp;F159&amp;" AS STRING)) IS NULL OR CAST(X."&amp;F159&amp;" AS STRING) NOT "&amp;H159&amp;",1,0)) AS NUM_REG_DIF,'"&amp;MAX('ID1&amp;5'!K:K)+1&amp;"' AS ID_EXEC, CURRENT_TIMESTAMP() AS TIME_EXEC FROM "&amp;I159,"SELECT '"&amp;UPPER(B159)&amp;"' AS TABELA, '"&amp;UPPER(C159)&amp;"' AS TIPOLOGIA_TESTE,'"&amp;D159&amp;"' AS TABELA_LT,'N/A' AS TABELA_SIMUL,'"&amp;F159&amp;"' AS CAMPO, "&amp;"'${ref_date}' AS REF_DATE, COUNT(*) AS NUM_REG, SUM(IF(TRIM(CAST(X."&amp;F159&amp;" AS STRING))='' OR TRIM(CAST(X."&amp;F159&amp;" AS STRING)) IS NULL,1,0)) AS NUM_REG_DIF,'"&amp;MAX('ID1&amp;5'!K:K)+1&amp;"' AS ID_EXEC, CURRENT_TIMESTAMP() AS TIME_EXEC FROM "&amp;I159),
IF(C159="Caracteres Especiais",+"SELECT '"&amp;UPPER(B159)&amp;"' AS TABELA, '"&amp;UPPER(C159)&amp;"' AS TIPOLOGIA_TESTE,'"&amp;D159&amp;"' AS TABELA_LT,'N/A' AS TABELA_SIMUL,'"&amp;F159&amp;"' AS CAMPO, "&amp;"'${ref_date}' AS REF_DATE, COUNT(*) AS NUM_REG, SUM(IF(REGEXP_REPLACE(TRIM(CAST(X."&amp;F159&amp;" AS STRING)),'[^a-zA-Z0-9_\\s]','') &lt;&gt;TRIM(CAST(X."&amp;F159&amp;" AS STRING)),1,0)) AS NUM_REG_DIF,'"&amp;MAX('ID1&amp;5'!K:K)+1&amp;"' AS ID_EXEC, CURRENT_TIMESTAMP() AS TIME_EXEC FROM "&amp;I159,
IF(C159="Missings",+"SELECT '"&amp;UPPER(B159)&amp;"' AS TABELA, '"&amp;UPPER(C159)&amp;"' AS TIPOLOGIA_TESTE,'"&amp;D159&amp;"' AS TABELA_LT,'N/A' AS TABELA_SIMUL,'"&amp;F159&amp;"' AS CAMPO, "&amp;"'${ref_date}' AS REF_DATE, COUNT(*) AS NUM_REG, SUM(IF(TRIM(CAST(X."&amp;F159&amp;" AS STRING)) IN ('0000-00-00','0001-01-01','9999-12-31','MISS','00000','99999999999','99999999999.00','99999999999.000000'),1,0)) AS NUM_REG_DIF,'"&amp;MAX('ID1&amp;5'!K:K)+1&amp;"' AS ID_EXEC, CURRENT_TIMESTAMP() AS TIME_EXEC FROM "&amp;I159,
IF(C159="Not applicable",+"SELECT '"&amp;UPPER(B159)&amp;"' AS TABELA, '"&amp;UPPER(C159)&amp;"' AS TIPOLOGIA_TESTE,'"&amp;D159&amp;"' AS TABELA_LT,'N/A' AS TABELA_SIMUL,'"&amp;F159&amp;"' AS CAMPO, "&amp;"'${ref_date}' AS REF_DATE, COUNT(*) AS NUM_REG, SUM(IF(TRIM(CAST(X."&amp;F159&amp;" AS STRING)) IN ('N/A','11111111111','11111111111.00','11111111111.000000','1111-11-11'),1,0)) AS NUM_REG_DIF,'"&amp;MAX('ID1&amp;5'!K:K)+1&amp;"' AS ID_EXEC, CURRENT_TIMESTAMP() AS TIME_EXEC FROM "&amp;I159,
IF(C159="Valores extremos",+"SELECT '"&amp;UPPER(B159)&amp;"' AS TABELA, '"&amp;UPPER(C159)&amp;"' AS TIPOLOGIA_TESTE,'"&amp;D159&amp;"' AS TABELA_LT,'N/A' AS TABELA_SIMUL,'"&amp;F159&amp;"' AS CAMPO, "&amp;"'${ref_date}' AS REF_DATE, CAST(MIN("&amp;F159&amp;") AS STRING) AS VALOR_MIN, CAST(MAX("&amp;F159&amp;") AS STRING) AS VALOR_MAX,'"&amp;MAX('ID1&amp;5'!K:K)+1&amp;"' AS ID_EXEC, CURRENT_TIMESTAMP() AS TIME_EXEC FROM "&amp;MID(I159,1,LEN(I159)-2)&amp;" AND CAST("&amp;F159&amp;"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TABELA_SIMUL,'imprmnt_assssmnt_mthd' AS CAMPO, '${ref_date}' AS REF_DATE, COUNT(*) AS NUM_REG, SUM(IF(COALESCE(CAST(X.imprmnt_assssmnt_mthd AS STRING),'')&lt;&gt;COALESCE(CAST(Y.imprmnt_assssmnt_mthd_SIMUL AS STRING),'') OR (X.imprmnt_assssmnt_mthd IS NULL AND Y.imprmnt_assssmnt_mthd_SIMUL IS NOT NULL ) OR (X.imprmnt_assssmnt_mthd IS NOT NULL AND Y.imprmnt_assssmnt_mthd_SIMUL IS NULL),1,0)) AS NUM_REG_DIF,'1' AS ID_EXEC, CURRENT_TIMESTAMP() AS TIME_EXEC FROM (SELECT instrmnt_id, imprmnt_assssmnt_mthd FROM BU_LOANTAPE_WORK.LT002_INSTRUMENT WHERE ref_date='${ref_date}' AND nome_perimetro='Individual Local' AND segmento='ESTR' AND ambito='SRB_MBDT' AND entidade='00100')X INNER JOIN (SELECT instrmnt_id AS instrmnt_id_SIMUL, imprmnt_assssmnt_mthd AS imprmnt_assssmnt_mthd_SIMUL FROM BU_LOANTAPE_WORK.SIMUL_LT002_INSTRUMENT WHERE ref_date='${ref_date}' AND nome_perimetro='Individual Local' AND segmento='ESTR' AND ambito='PILAR3' AND entidade='00100')Y ON X.INSTRMNT_ID=Y.INSTRMNT_ID_SIMUL</v>
      </c>
      <c r="M159" s="36" t="str">
        <f t="shared" si="5"/>
        <v>UNION ALL SELECT 'INSTRUMENT' AS TABELA, 'COERÊNCIA' AS TIPOLOGIA_TESTE,'BU_LOANTAPE_WORK.LT002_INSTRUMENT' AS TABELA_LT,'BU_LOANTAPE_WORK.SIMUL_LT002_INSTRUMENT' AS TABELA_SIMUL,'imprmnt_assssmnt_mthd' AS CAMPO, '${ref_date}' AS REF_DATE, COUNT(*) AS NUM_REG, SUM(IF(COALESCE(CAST(X.imprmnt_assssmnt_mthd AS STRING),'')&lt;&gt;COALESCE(CAST(Y.imprmnt_assssmnt_mthd_SIMUL AS STRING),'') OR (X.imprmnt_assssmnt_mthd IS NULL AND Y.imprmnt_assssmnt_mthd_SIMUL IS NOT NULL ) OR (X.imprmnt_assssmnt_mthd IS NOT NULL AND Y.imprmnt_assssmnt_mthd_SIMUL IS NULL),1,0)) AS NUM_REG_DIF,'1' AS ID_EXEC, CURRENT_TIMESTAMP() AS TIME_EXEC FROM (SELECT instrmnt_id, imprmnt_assssmnt_mthd FROM BU_LOANTAPE_WORK.LT002_INSTRUMENT WHERE ref_date='${ref_date}' AND nome_perimetro='Individual Local' AND segmento='ESTR' AND ambito='SRB_MBDT' AND entidade='00100')X INNER JOIN (SELECT instrmnt_id AS instrmnt_id_SIMUL, imprmnt_assssmnt_mthd AS imprmnt_assssmnt_mthd_SIMUL FROM BU_LOANTAPE_WORK.SIMUL_LT002_INSTRUMENT WHERE ref_date='${ref_date}' AND nome_perimetro='Individual Local' AND segmento='ESTR' AND ambito='PILAR3' AND entidade='00100')Y ON X.INSTRMNT_ID=Y.INSTRMNT_ID_SIMUL</v>
      </c>
      <c r="N159" s="38"/>
    </row>
    <row r="160" spans="2:14">
      <c r="B160" s="34" t="s">
        <v>117</v>
      </c>
      <c r="C160" s="34" t="s">
        <v>5</v>
      </c>
      <c r="D160" s="34" t="str">
        <f>+UPPER('0. Instruções'!$D$35&amp;"."&amp;VLOOKUP(B160,'0. Instruções'!$C$27:$D$32,2,FALSE))</f>
        <v>BU_LOANTAPE_WORK.LT002_INSTRUMENT</v>
      </c>
      <c r="E160" s="34" t="str">
        <f>+UPPER('0. Instruções'!$D$36&amp;"."&amp;VLOOKUP(B160,'0. Instruções'!$C$27:$E$32,3,FALSE))</f>
        <v>BU_LOANTAPE_WORK.SIMUL_LT002_INSTRUMENT</v>
      </c>
      <c r="F160" s="34" t="s">
        <v>1222</v>
      </c>
      <c r="G160" s="34"/>
      <c r="H160" s="34"/>
      <c r="I160" s="34" t="str">
        <f>"(SELECT "&amp;VLOOKUP(B160,'0. Instruções'!$C$27:$G$32,4,FALSE)&amp;", "&amp;F160&amp;" FROM "&amp;D160&amp;" WHERE "&amp;'0. Instruções'!$D$42&amp;")X"</f>
        <v>(SELECT instrmnt_id, imprmnt_clcltn_mthd FROM BU_LOANTAPE_WORK.LT002_INSTRUMENT WHERE ref_date='${ref_date}' AND nome_perimetro='Individual Local' AND segmento='ESTR' AND ambito='SRB_MBDT' AND entidade='00100')X</v>
      </c>
      <c r="J160" s="34" t="str">
        <f>"(SELECT "&amp;VLOOKUP(B160,'0. Instruções'!$C$27:$G$32,4,FALSE)&amp;" AS "&amp;VLOOKUP(B160,'0. Instruções'!$C$27:$G$32,4,FALSE)&amp;"_SIMUL, "&amp;F160&amp;" AS "&amp;F160&amp;"_SIMUL FROM "&amp;E160&amp;" WHERE "&amp;'0. Instruções'!$D$43&amp;")Y"</f>
        <v>(SELECT instrmnt_id AS instrmnt_id_SIMUL, imprmnt_clcltn_mthd AS imprmnt_clcltn_mthd_SIMUL FROM BU_LOANTAPE_WORK.SIMUL_LT002_INSTRUMENT WHERE ref_date='${ref_date}' AND nome_perimetro='Individual Local' AND segmento='ESTR' AND ambito='PILAR3' AND entidade='00100')Y</v>
      </c>
      <c r="K160" s="35" t="str">
        <f>+UPPER("ON X."&amp;VLOOKUP(B160,'0. Instruções'!$C$27:$G$32,4,FALSE)&amp;"=Y."&amp;VLOOKUP(B160,'0. Instruções'!$C$27:$G$32,4,FALSE)&amp;"_SIMUL")</f>
        <v>ON X.INSTRMNT_ID=Y.INSTRMNT_ID_SIMUL</v>
      </c>
      <c r="L160" s="35" t="str">
        <f>+IF(C160="Coerência", +IF(LEFT(G160,5)="FLOAT","SELECT '"&amp;UPPER(B160)&amp;"' AS TABELA, '"&amp;UPPER(C160)&amp;"' AS TIPOLOGIA_TESTE,'"&amp;D160&amp;"' AS TABELA_LT,'"&amp;E160&amp;"' AS TABELA_SIMUL,'"&amp;F160&amp;"' AS CAMPO, "&amp;"'${ref_date}' AS REF_DATE, COUNT(*) AS NUM_REG, SUM(IF((ABS(COALESCE(CAST(X."&amp;F160&amp;" AS DECIMAL(18,6)),0)-COALESCE(CAST(Y."&amp;F160&amp;"_SIMUL AS DECIMAL(18,6)),0))&gt;0.000001) OR (X."&amp;F160&amp;" IS NULL AND Y."&amp;F160&amp;"_SIMUL IS NOT NULL ) OR (X."&amp;F160&amp;" IS NOT NULL AND Y."&amp;F160&amp;"_SIMUL IS NULL),1,0)) AS NUM_REG_DIF,'"&amp;MAX('ID1&amp;5'!K:K)+1&amp;"' AS ID_EXEC, CURRENT_TIMESTAMP() AS TIME_EXEC FROM "&amp;I160&amp;" INNER JOIN "&amp;J160&amp;" "&amp;K160,"SELECT '"&amp;UPPER(B160)&amp;"' AS TABELA, '"&amp;UPPER(C160)&amp;"' AS TIPOLOGIA_TESTE,'"&amp;D160&amp;"' AS TABELA_LT,'"&amp;E160&amp;"' AS TABELA_SIMUL,'"&amp;F160&amp;"' AS CAMPO, "&amp;"'${ref_date}' AS REF_DATE, COUNT(*) AS NUM_REG, SUM(IF(COALESCE(CAST(X."&amp;F160&amp;" AS STRING),'')&lt;&gt;COALESCE(CAST(Y."&amp;F160&amp;"_SIMUL AS STRING),'') OR (X."&amp;F160&amp;" IS NULL AND Y."&amp;F160&amp;"_SIMUL IS NOT NULL ) OR (X."&amp;F160&amp;" IS NOT NULL AND Y."&amp;F160&amp;"_SIMUL IS NULL),1,0)) AS NUM_REG_DIF,'"&amp;MAX('ID1&amp;5'!L:L)+1&amp;"' AS ID_EXEC, CURRENT_TIMESTAMP() AS TIME_EXEC FROM "&amp;I160&amp;" INNER JOIN "&amp;J160&amp;" "&amp;K160),
IF(C160="Validade",+IF(G160="Code List","SELECT '"&amp;UPPER(B160)&amp;"' AS TABELA, '"&amp;UPPER(C160)&amp;"' AS TIPOLOGIA_TESTE,'"&amp;D160&amp;"' AS TABELA_LT,'N/A' AS TABELA_SIMUL,'"&amp;F160&amp;"' AS CAMPO, "&amp;"'${ref_date}' AS REF_DATE, COUNT(*) AS NUM_REG, SUM(IF(TRIM(CAST(X."&amp;F160&amp;" AS STRING))='' OR TRIM(CAST(X."&amp;F160&amp;" AS STRING)) IS NULL OR CAST(X."&amp;F160&amp;" AS STRING) NOT "&amp;H160&amp;",1,0)) AS NUM_REG_DIF,'"&amp;MAX('ID1&amp;5'!K:K)+1&amp;"' AS ID_EXEC, CURRENT_TIMESTAMP() AS TIME_EXEC FROM "&amp;I160,"SELECT '"&amp;UPPER(B160)&amp;"' AS TABELA, '"&amp;UPPER(C160)&amp;"' AS TIPOLOGIA_TESTE,'"&amp;D160&amp;"' AS TABELA_LT,'N/A' AS TABELA_SIMUL,'"&amp;F160&amp;"' AS CAMPO, "&amp;"'${ref_date}' AS REF_DATE, COUNT(*) AS NUM_REG, SUM(IF(TRIM(CAST(X."&amp;F160&amp;" AS STRING))='' OR TRIM(CAST(X."&amp;F160&amp;" AS STRING)) IS NULL,1,0)) AS NUM_REG_DIF,'"&amp;MAX('ID1&amp;5'!K:K)+1&amp;"' AS ID_EXEC, CURRENT_TIMESTAMP() AS TIME_EXEC FROM "&amp;I160),
IF(C160="Caracteres Especiais",+"SELECT '"&amp;UPPER(B160)&amp;"' AS TABELA, '"&amp;UPPER(C160)&amp;"' AS TIPOLOGIA_TESTE,'"&amp;D160&amp;"' AS TABELA_LT,'N/A' AS TABELA_SIMUL,'"&amp;F160&amp;"' AS CAMPO, "&amp;"'${ref_date}' AS REF_DATE, COUNT(*) AS NUM_REG, SUM(IF(REGEXP_REPLACE(TRIM(CAST(X."&amp;F160&amp;" AS STRING)),'[^a-zA-Z0-9_\\s]','') &lt;&gt;TRIM(CAST(X."&amp;F160&amp;" AS STRING)),1,0)) AS NUM_REG_DIF,'"&amp;MAX('ID1&amp;5'!K:K)+1&amp;"' AS ID_EXEC, CURRENT_TIMESTAMP() AS TIME_EXEC FROM "&amp;I160,
IF(C160="Missings",+"SELECT '"&amp;UPPER(B160)&amp;"' AS TABELA, '"&amp;UPPER(C160)&amp;"' AS TIPOLOGIA_TESTE,'"&amp;D160&amp;"' AS TABELA_LT,'N/A' AS TABELA_SIMUL,'"&amp;F160&amp;"' AS CAMPO, "&amp;"'${ref_date}' AS REF_DATE, COUNT(*) AS NUM_REG, SUM(IF(TRIM(CAST(X."&amp;F160&amp;" AS STRING)) IN ('0000-00-00','0001-01-01','9999-12-31','MISS','00000','99999999999','99999999999.00','99999999999.000000'),1,0)) AS NUM_REG_DIF,'"&amp;MAX('ID1&amp;5'!K:K)+1&amp;"' AS ID_EXEC, CURRENT_TIMESTAMP() AS TIME_EXEC FROM "&amp;I160,
IF(C160="Not applicable",+"SELECT '"&amp;UPPER(B160)&amp;"' AS TABELA, '"&amp;UPPER(C160)&amp;"' AS TIPOLOGIA_TESTE,'"&amp;D160&amp;"' AS TABELA_LT,'N/A' AS TABELA_SIMUL,'"&amp;F160&amp;"' AS CAMPO, "&amp;"'${ref_date}' AS REF_DATE, COUNT(*) AS NUM_REG, SUM(IF(TRIM(CAST(X."&amp;F160&amp;" AS STRING)) IN ('N/A','11111111111','11111111111.00','11111111111.000000','1111-11-11'),1,0)) AS NUM_REG_DIF,'"&amp;MAX('ID1&amp;5'!K:K)+1&amp;"' AS ID_EXEC, CURRENT_TIMESTAMP() AS TIME_EXEC FROM "&amp;I160,
IF(C160="Valores extremos",+"SELECT '"&amp;UPPER(B160)&amp;"' AS TABELA, '"&amp;UPPER(C160)&amp;"' AS TIPOLOGIA_TESTE,'"&amp;D160&amp;"' AS TABELA_LT,'N/A' AS TABELA_SIMUL,'"&amp;F160&amp;"' AS CAMPO, "&amp;"'${ref_date}' AS REF_DATE, CAST(MIN("&amp;F160&amp;") AS STRING) AS VALOR_MIN, CAST(MAX("&amp;F160&amp;") AS STRING) AS VALOR_MAX,'"&amp;MAX('ID1&amp;5'!K:K)+1&amp;"' AS ID_EXEC, CURRENT_TIMESTAMP() AS TIME_EXEC FROM "&amp;MID(I160,1,LEN(I160)-2)&amp;" AND CAST("&amp;F160&amp;"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TABELA_SIMUL,'imprmnt_clcltn_mthd' AS CAMPO, '${ref_date}' AS REF_DATE, COUNT(*) AS NUM_REG, SUM(IF(COALESCE(CAST(X.imprmnt_clcltn_mthd AS STRING),'')&lt;&gt;COALESCE(CAST(Y.imprmnt_clcltn_mthd_SIMUL AS STRING),'') OR (X.imprmnt_clcltn_mthd IS NULL AND Y.imprmnt_clcltn_mthd_SIMUL IS NOT NULL ) OR (X.imprmnt_clcltn_mthd IS NOT NULL AND Y.imprmnt_clcltn_mthd_SIMUL IS NULL),1,0)) AS NUM_REG_DIF,'1' AS ID_EXEC, CURRENT_TIMESTAMP() AS TIME_EXEC FROM (SELECT instrmnt_id, imprmnt_clcltn_mthd FROM BU_LOANTAPE_WORK.LT002_INSTRUMENT WHERE ref_date='${ref_date}' AND nome_perimetro='Individual Local' AND segmento='ESTR' AND ambito='SRB_MBDT' AND entidade='00100')X INNER JOIN (SELECT instrmnt_id AS instrmnt_id_SIMUL, imprmnt_clcltn_mthd AS imprmnt_clcltn_mthd_SIMUL FROM BU_LOANTAPE_WORK.SIMUL_LT002_INSTRUMENT WHERE ref_date='${ref_date}' AND nome_perimetro='Individual Local' AND segmento='ESTR' AND ambito='PILAR3' AND entidade='00100')Y ON X.INSTRMNT_ID=Y.INSTRMNT_ID_SIMUL</v>
      </c>
      <c r="M160" s="36" t="str">
        <f t="shared" si="5"/>
        <v>UNION ALL SELECT 'INSTRUMENT' AS TABELA, 'COERÊNCIA' AS TIPOLOGIA_TESTE,'BU_LOANTAPE_WORK.LT002_INSTRUMENT' AS TABELA_LT,'BU_LOANTAPE_WORK.SIMUL_LT002_INSTRUMENT' AS TABELA_SIMUL,'imprmnt_clcltn_mthd' AS CAMPO, '${ref_date}' AS REF_DATE, COUNT(*) AS NUM_REG, SUM(IF(COALESCE(CAST(X.imprmnt_clcltn_mthd AS STRING),'')&lt;&gt;COALESCE(CAST(Y.imprmnt_clcltn_mthd_SIMUL AS STRING),'') OR (X.imprmnt_clcltn_mthd IS NULL AND Y.imprmnt_clcltn_mthd_SIMUL IS NOT NULL ) OR (X.imprmnt_clcltn_mthd IS NOT NULL AND Y.imprmnt_clcltn_mthd_SIMUL IS NULL),1,0)) AS NUM_REG_DIF,'1' AS ID_EXEC, CURRENT_TIMESTAMP() AS TIME_EXEC FROM (SELECT instrmnt_id, imprmnt_clcltn_mthd FROM BU_LOANTAPE_WORK.LT002_INSTRUMENT WHERE ref_date='${ref_date}' AND nome_perimetro='Individual Local' AND segmento='ESTR' AND ambito='SRB_MBDT' AND entidade='00100')X INNER JOIN (SELECT instrmnt_id AS instrmnt_id_SIMUL, imprmnt_clcltn_mthd AS imprmnt_clcltn_mthd_SIMUL FROM BU_LOANTAPE_WORK.SIMUL_LT002_INSTRUMENT WHERE ref_date='${ref_date}' AND nome_perimetro='Individual Local' AND segmento='ESTR' AND ambito='PILAR3' AND entidade='00100')Y ON X.INSTRMNT_ID=Y.INSTRMNT_ID_SIMUL</v>
      </c>
      <c r="N160" s="38"/>
    </row>
    <row r="161" spans="2:14">
      <c r="B161" s="34" t="s">
        <v>117</v>
      </c>
      <c r="C161" s="34" t="s">
        <v>5</v>
      </c>
      <c r="D161" s="34" t="str">
        <f>+UPPER('0. Instruções'!$D$35&amp;"."&amp;VLOOKUP(B161,'0. Instruções'!$C$27:$D$32,2,FALSE))</f>
        <v>BU_LOANTAPE_WORK.LT002_INSTRUMENT</v>
      </c>
      <c r="E161" s="34" t="str">
        <f>+UPPER('0. Instruções'!$D$36&amp;"."&amp;VLOOKUP(B161,'0. Instruções'!$C$27:$E$32,3,FALSE))</f>
        <v>BU_LOANTAPE_WORK.SIMUL_LT002_INSTRUMENT</v>
      </c>
      <c r="F161" s="34" t="s">
        <v>1223</v>
      </c>
      <c r="G161" s="34"/>
      <c r="H161" s="34"/>
      <c r="I161" s="34" t="str">
        <f>"(SELECT "&amp;VLOOKUP(B161,'0. Instruções'!$C$27:$G$32,4,FALSE)&amp;", "&amp;F161&amp;" FROM "&amp;D161&amp;" WHERE "&amp;'0. Instruções'!$D$42&amp;")X"</f>
        <v>(SELECT instrmnt_id, nmbr_frbrnc_msrs FROM BU_LOANTAPE_WORK.LT002_INSTRUMENT WHERE ref_date='${ref_date}' AND nome_perimetro='Individual Local' AND segmento='ESTR' AND ambito='SRB_MBDT' AND entidade='00100')X</v>
      </c>
      <c r="J161" s="34" t="str">
        <f>"(SELECT "&amp;VLOOKUP(B161,'0. Instruções'!$C$27:$G$32,4,FALSE)&amp;" AS "&amp;VLOOKUP(B161,'0. Instruções'!$C$27:$G$32,4,FALSE)&amp;"_SIMUL, "&amp;F161&amp;" AS "&amp;F161&amp;"_SIMUL FROM "&amp;E161&amp;" WHERE "&amp;'0. Instruções'!$D$43&amp;")Y"</f>
        <v>(SELECT instrmnt_id AS instrmnt_id_SIMUL, nmbr_frbrnc_msrs AS nmbr_frbrnc_msrs_SIMUL FROM BU_LOANTAPE_WORK.SIMUL_LT002_INSTRUMENT WHERE ref_date='${ref_date}' AND nome_perimetro='Individual Local' AND segmento='ESTR' AND ambito='PILAR3' AND entidade='00100')Y</v>
      </c>
      <c r="K161" s="35" t="str">
        <f>+UPPER("ON X."&amp;VLOOKUP(B161,'0. Instruções'!$C$27:$G$32,4,FALSE)&amp;"=Y."&amp;VLOOKUP(B161,'0. Instruções'!$C$27:$G$32,4,FALSE)&amp;"_SIMUL")</f>
        <v>ON X.INSTRMNT_ID=Y.INSTRMNT_ID_SIMUL</v>
      </c>
      <c r="L161" s="35" t="str">
        <f>+IF(C161="Coerência", +IF(LEFT(G161,5)="FLOAT","SELECT '"&amp;UPPER(B161)&amp;"' AS TABELA, '"&amp;UPPER(C161)&amp;"' AS TIPOLOGIA_TESTE,'"&amp;D161&amp;"' AS TABELA_LT,'"&amp;E161&amp;"' AS TABELA_SIMUL,'"&amp;F161&amp;"' AS CAMPO, "&amp;"'${ref_date}' AS REF_DATE, COUNT(*) AS NUM_REG, SUM(IF((ABS(COALESCE(CAST(X."&amp;F161&amp;" AS DECIMAL(18,6)),0)-COALESCE(CAST(Y."&amp;F161&amp;"_SIMUL AS DECIMAL(18,6)),0))&gt;0.000001) OR (X."&amp;F161&amp;" IS NULL AND Y."&amp;F161&amp;"_SIMUL IS NOT NULL ) OR (X."&amp;F161&amp;" IS NOT NULL AND Y."&amp;F161&amp;"_SIMUL IS NULL),1,0)) AS NUM_REG_DIF,'"&amp;MAX('ID1&amp;5'!K:K)+1&amp;"' AS ID_EXEC, CURRENT_TIMESTAMP() AS TIME_EXEC FROM "&amp;I161&amp;" INNER JOIN "&amp;J161&amp;" "&amp;K161,"SELECT '"&amp;UPPER(B161)&amp;"' AS TABELA, '"&amp;UPPER(C161)&amp;"' AS TIPOLOGIA_TESTE,'"&amp;D161&amp;"' AS TABELA_LT,'"&amp;E161&amp;"' AS TABELA_SIMUL,'"&amp;F161&amp;"' AS CAMPO, "&amp;"'${ref_date}' AS REF_DATE, COUNT(*) AS NUM_REG, SUM(IF(COALESCE(CAST(X."&amp;F161&amp;" AS STRING),'')&lt;&gt;COALESCE(CAST(Y."&amp;F161&amp;"_SIMUL AS STRING),'') OR (X."&amp;F161&amp;" IS NULL AND Y."&amp;F161&amp;"_SIMUL IS NOT NULL ) OR (X."&amp;F161&amp;" IS NOT NULL AND Y."&amp;F161&amp;"_SIMUL IS NULL),1,0)) AS NUM_REG_DIF,'"&amp;MAX('ID1&amp;5'!L:L)+1&amp;"' AS ID_EXEC, CURRENT_TIMESTAMP() AS TIME_EXEC FROM "&amp;I161&amp;" INNER JOIN "&amp;J161&amp;" "&amp;K161),
IF(C161="Validade",+IF(G161="Code List","SELECT '"&amp;UPPER(B161)&amp;"' AS TABELA, '"&amp;UPPER(C161)&amp;"' AS TIPOLOGIA_TESTE,'"&amp;D161&amp;"' AS TABELA_LT,'N/A' AS TABELA_SIMUL,'"&amp;F161&amp;"' AS CAMPO, "&amp;"'${ref_date}' AS REF_DATE, COUNT(*) AS NUM_REG, SUM(IF(TRIM(CAST(X."&amp;F161&amp;" AS STRING))='' OR TRIM(CAST(X."&amp;F161&amp;" AS STRING)) IS NULL OR CAST(X."&amp;F161&amp;" AS STRING) NOT "&amp;H161&amp;",1,0)) AS NUM_REG_DIF,'"&amp;MAX('ID1&amp;5'!K:K)+1&amp;"' AS ID_EXEC, CURRENT_TIMESTAMP() AS TIME_EXEC FROM "&amp;I161,"SELECT '"&amp;UPPER(B161)&amp;"' AS TABELA, '"&amp;UPPER(C161)&amp;"' AS TIPOLOGIA_TESTE,'"&amp;D161&amp;"' AS TABELA_LT,'N/A' AS TABELA_SIMUL,'"&amp;F161&amp;"' AS CAMPO, "&amp;"'${ref_date}' AS REF_DATE, COUNT(*) AS NUM_REG, SUM(IF(TRIM(CAST(X."&amp;F161&amp;" AS STRING))='' OR TRIM(CAST(X."&amp;F161&amp;" AS STRING)) IS NULL,1,0)) AS NUM_REG_DIF,'"&amp;MAX('ID1&amp;5'!K:K)+1&amp;"' AS ID_EXEC, CURRENT_TIMESTAMP() AS TIME_EXEC FROM "&amp;I161),
IF(C161="Caracteres Especiais",+"SELECT '"&amp;UPPER(B161)&amp;"' AS TABELA, '"&amp;UPPER(C161)&amp;"' AS TIPOLOGIA_TESTE,'"&amp;D161&amp;"' AS TABELA_LT,'N/A' AS TABELA_SIMUL,'"&amp;F161&amp;"' AS CAMPO, "&amp;"'${ref_date}' AS REF_DATE, COUNT(*) AS NUM_REG, SUM(IF(REGEXP_REPLACE(TRIM(CAST(X."&amp;F161&amp;" AS STRING)),'[^a-zA-Z0-9_\\s]','') &lt;&gt;TRIM(CAST(X."&amp;F161&amp;" AS STRING)),1,0)) AS NUM_REG_DIF,'"&amp;MAX('ID1&amp;5'!K:K)+1&amp;"' AS ID_EXEC, CURRENT_TIMESTAMP() AS TIME_EXEC FROM "&amp;I161,
IF(C161="Missings",+"SELECT '"&amp;UPPER(B161)&amp;"' AS TABELA, '"&amp;UPPER(C161)&amp;"' AS TIPOLOGIA_TESTE,'"&amp;D161&amp;"' AS TABELA_LT,'N/A' AS TABELA_SIMUL,'"&amp;F161&amp;"' AS CAMPO, "&amp;"'${ref_date}' AS REF_DATE, COUNT(*) AS NUM_REG, SUM(IF(TRIM(CAST(X."&amp;F161&amp;" AS STRING)) IN ('0000-00-00','0001-01-01','9999-12-31','MISS','00000','99999999999','99999999999.00','99999999999.000000'),1,0)) AS NUM_REG_DIF,'"&amp;MAX('ID1&amp;5'!K:K)+1&amp;"' AS ID_EXEC, CURRENT_TIMESTAMP() AS TIME_EXEC FROM "&amp;I161,
IF(C161="Not applicable",+"SELECT '"&amp;UPPER(B161)&amp;"' AS TABELA, '"&amp;UPPER(C161)&amp;"' AS TIPOLOGIA_TESTE,'"&amp;D161&amp;"' AS TABELA_LT,'N/A' AS TABELA_SIMUL,'"&amp;F161&amp;"' AS CAMPO, "&amp;"'${ref_date}' AS REF_DATE, COUNT(*) AS NUM_REG, SUM(IF(TRIM(CAST(X."&amp;F161&amp;" AS STRING)) IN ('N/A','11111111111','11111111111.00','11111111111.000000','1111-11-11'),1,0)) AS NUM_REG_DIF,'"&amp;MAX('ID1&amp;5'!K:K)+1&amp;"' AS ID_EXEC, CURRENT_TIMESTAMP() AS TIME_EXEC FROM "&amp;I161,
IF(C161="Valores extremos",+"SELECT '"&amp;UPPER(B161)&amp;"' AS TABELA, '"&amp;UPPER(C161)&amp;"' AS TIPOLOGIA_TESTE,'"&amp;D161&amp;"' AS TABELA_LT,'N/A' AS TABELA_SIMUL,'"&amp;F161&amp;"' AS CAMPO, "&amp;"'${ref_date}' AS REF_DATE, CAST(MIN("&amp;F161&amp;") AS STRING) AS VALOR_MIN, CAST(MAX("&amp;F161&amp;") AS STRING) AS VALOR_MAX,'"&amp;MAX('ID1&amp;5'!K:K)+1&amp;"' AS ID_EXEC, CURRENT_TIMESTAMP() AS TIME_EXEC FROM "&amp;MID(I161,1,LEN(I161)-2)&amp;" AND CAST("&amp;F161&amp;"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TABELA_SIMUL,'nmbr_frbrnc_msrs' AS CAMPO, '${ref_date}' AS REF_DATE, COUNT(*) AS NUM_REG, SUM(IF(COALESCE(CAST(X.nmbr_frbrnc_msrs AS STRING),'')&lt;&gt;COALESCE(CAST(Y.nmbr_frbrnc_msrs_SIMUL AS STRING),'') OR (X.nmbr_frbrnc_msrs IS NULL AND Y.nmbr_frbrnc_msrs_SIMUL IS NOT NULL ) OR (X.nmbr_frbrnc_msrs IS NOT NULL AND Y.nmbr_frbrnc_msrs_SIMUL IS NULL),1,0)) AS NUM_REG_DIF,'1' AS ID_EXEC, CURRENT_TIMESTAMP() AS TIME_EXEC FROM (SELECT instrmnt_id, nmbr_frbrnc_msrs FROM BU_LOANTAPE_WORK.LT002_INSTRUMENT WHERE ref_date='${ref_date}' AND nome_perimetro='Individual Local' AND segmento='ESTR' AND ambito='SRB_MBDT' AND entidade='00100')X INNER JOIN (SELECT instrmnt_id AS instrmnt_id_SIMUL, nmbr_frbrnc_msrs AS nmbr_frbrnc_msrs_SIMUL FROM BU_LOANTAPE_WORK.SIMUL_LT002_INSTRUMENT WHERE ref_date='${ref_date}' AND nome_perimetro='Individual Local' AND segmento='ESTR' AND ambito='PILAR3' AND entidade='00100')Y ON X.INSTRMNT_ID=Y.INSTRMNT_ID_SIMUL</v>
      </c>
      <c r="M161" s="36" t="str">
        <f t="shared" si="5"/>
        <v>UNION ALL SELECT 'INSTRUMENT' AS TABELA, 'COERÊNCIA' AS TIPOLOGIA_TESTE,'BU_LOANTAPE_WORK.LT002_INSTRUMENT' AS TABELA_LT,'BU_LOANTAPE_WORK.SIMUL_LT002_INSTRUMENT' AS TABELA_SIMUL,'nmbr_frbrnc_msrs' AS CAMPO, '${ref_date}' AS REF_DATE, COUNT(*) AS NUM_REG, SUM(IF(COALESCE(CAST(X.nmbr_frbrnc_msrs AS STRING),'')&lt;&gt;COALESCE(CAST(Y.nmbr_frbrnc_msrs_SIMUL AS STRING),'') OR (X.nmbr_frbrnc_msrs IS NULL AND Y.nmbr_frbrnc_msrs_SIMUL IS NOT NULL ) OR (X.nmbr_frbrnc_msrs IS NOT NULL AND Y.nmbr_frbrnc_msrs_SIMUL IS NULL),1,0)) AS NUM_REG_DIF,'1' AS ID_EXEC, CURRENT_TIMESTAMP() AS TIME_EXEC FROM (SELECT instrmnt_id, nmbr_frbrnc_msrs FROM BU_LOANTAPE_WORK.LT002_INSTRUMENT WHERE ref_date='${ref_date}' AND nome_perimetro='Individual Local' AND segmento='ESTR' AND ambito='SRB_MBDT' AND entidade='00100')X INNER JOIN (SELECT instrmnt_id AS instrmnt_id_SIMUL, nmbr_frbrnc_msrs AS nmbr_frbrnc_msrs_SIMUL FROM BU_LOANTAPE_WORK.SIMUL_LT002_INSTRUMENT WHERE ref_date='${ref_date}' AND nome_perimetro='Individual Local' AND segmento='ESTR' AND ambito='PILAR3' AND entidade='00100')Y ON X.INSTRMNT_ID=Y.INSTRMNT_ID_SIMUL</v>
      </c>
      <c r="N161" s="38"/>
    </row>
    <row r="162" spans="2:14">
      <c r="B162" s="34" t="s">
        <v>117</v>
      </c>
      <c r="C162" s="34" t="s">
        <v>5</v>
      </c>
      <c r="D162" s="34" t="str">
        <f>+UPPER('0. Instruções'!$D$35&amp;"."&amp;VLOOKUP(B162,'0. Instruções'!$C$27:$D$32,2,FALSE))</f>
        <v>BU_LOANTAPE_WORK.LT002_INSTRUMENT</v>
      </c>
      <c r="E162" s="34" t="str">
        <f>+UPPER('0. Instruções'!$D$36&amp;"."&amp;VLOOKUP(B162,'0. Instruções'!$C$27:$E$32,3,FALSE))</f>
        <v>BU_LOANTAPE_WORK.SIMUL_LT002_INSTRUMENT</v>
      </c>
      <c r="F162" s="34" t="s">
        <v>1224</v>
      </c>
      <c r="G162" s="34"/>
      <c r="H162" s="34"/>
      <c r="I162" s="34" t="str">
        <f>"(SELECT "&amp;VLOOKUP(B162,'0. Instruções'!$C$27:$G$32,4,FALSE)&amp;", "&amp;F162&amp;" FROM "&amp;D162&amp;" WHERE "&amp;'0. Instruções'!$D$42&amp;")X"</f>
        <v>(SELECT instrmnt_id, ifrs9_lgd FROM BU_LOANTAPE_WORK.LT002_INSTRUMENT WHERE ref_date='${ref_date}' AND nome_perimetro='Individual Local' AND segmento='ESTR' AND ambito='SRB_MBDT' AND entidade='00100')X</v>
      </c>
      <c r="J162" s="34" t="str">
        <f>"(SELECT "&amp;VLOOKUP(B162,'0. Instruções'!$C$27:$G$32,4,FALSE)&amp;" AS "&amp;VLOOKUP(B162,'0. Instruções'!$C$27:$G$32,4,FALSE)&amp;"_SIMUL, "&amp;F162&amp;" AS "&amp;F162&amp;"_SIMUL FROM "&amp;E162&amp;" WHERE "&amp;'0. Instruções'!$D$43&amp;")Y"</f>
        <v>(SELECT instrmnt_id AS instrmnt_id_SIMUL, ifrs9_lgd AS ifrs9_lgd_SIMUL FROM BU_LOANTAPE_WORK.SIMUL_LT002_INSTRUMENT WHERE ref_date='${ref_date}' AND nome_perimetro='Individual Local' AND segmento='ESTR' AND ambito='PILAR3' AND entidade='00100')Y</v>
      </c>
      <c r="K162" s="35" t="str">
        <f>+UPPER("ON X."&amp;VLOOKUP(B162,'0. Instruções'!$C$27:$G$32,4,FALSE)&amp;"=Y."&amp;VLOOKUP(B162,'0. Instruções'!$C$27:$G$32,4,FALSE)&amp;"_SIMUL")</f>
        <v>ON X.INSTRMNT_ID=Y.INSTRMNT_ID_SIMUL</v>
      </c>
      <c r="L162" s="35" t="str">
        <f>+IF(C162="Coerência", +IF(LEFT(G162,5)="FLOAT","SELECT '"&amp;UPPER(B162)&amp;"' AS TABELA, '"&amp;UPPER(C162)&amp;"' AS TIPOLOGIA_TESTE,'"&amp;D162&amp;"' AS TABELA_LT,'"&amp;E162&amp;"' AS TABELA_SIMUL,'"&amp;F162&amp;"' AS CAMPO, "&amp;"'${ref_date}' AS REF_DATE, COUNT(*) AS NUM_REG, SUM(IF((ABS(COALESCE(CAST(X."&amp;F162&amp;" AS DECIMAL(18,6)),0)-COALESCE(CAST(Y."&amp;F162&amp;"_SIMUL AS DECIMAL(18,6)),0))&gt;0.000001) OR (X."&amp;F162&amp;" IS NULL AND Y."&amp;F162&amp;"_SIMUL IS NOT NULL ) OR (X."&amp;F162&amp;" IS NOT NULL AND Y."&amp;F162&amp;"_SIMUL IS NULL),1,0)) AS NUM_REG_DIF,'"&amp;MAX('ID1&amp;5'!K:K)+1&amp;"' AS ID_EXEC, CURRENT_TIMESTAMP() AS TIME_EXEC FROM "&amp;I162&amp;" INNER JOIN "&amp;J162&amp;" "&amp;K162,"SELECT '"&amp;UPPER(B162)&amp;"' AS TABELA, '"&amp;UPPER(C162)&amp;"' AS TIPOLOGIA_TESTE,'"&amp;D162&amp;"' AS TABELA_LT,'"&amp;E162&amp;"' AS TABELA_SIMUL,'"&amp;F162&amp;"' AS CAMPO, "&amp;"'${ref_date}' AS REF_DATE, COUNT(*) AS NUM_REG, SUM(IF(COALESCE(CAST(X."&amp;F162&amp;" AS STRING),'')&lt;&gt;COALESCE(CAST(Y."&amp;F162&amp;"_SIMUL AS STRING),'') OR (X."&amp;F162&amp;" IS NULL AND Y."&amp;F162&amp;"_SIMUL IS NOT NULL ) OR (X."&amp;F162&amp;" IS NOT NULL AND Y."&amp;F162&amp;"_SIMUL IS NULL),1,0)) AS NUM_REG_DIF,'"&amp;MAX('ID1&amp;5'!L:L)+1&amp;"' AS ID_EXEC, CURRENT_TIMESTAMP() AS TIME_EXEC FROM "&amp;I162&amp;" INNER JOIN "&amp;J162&amp;" "&amp;K162),
IF(C162="Validade",+IF(G162="Code List","SELECT '"&amp;UPPER(B162)&amp;"' AS TABELA, '"&amp;UPPER(C162)&amp;"' AS TIPOLOGIA_TESTE,'"&amp;D162&amp;"' AS TABELA_LT,'N/A' AS TABELA_SIMUL,'"&amp;F162&amp;"' AS CAMPO, "&amp;"'${ref_date}' AS REF_DATE, COUNT(*) AS NUM_REG, SUM(IF(TRIM(CAST(X."&amp;F162&amp;" AS STRING))='' OR TRIM(CAST(X."&amp;F162&amp;" AS STRING)) IS NULL OR CAST(X."&amp;F162&amp;" AS STRING) NOT "&amp;H162&amp;",1,0)) AS NUM_REG_DIF,'"&amp;MAX('ID1&amp;5'!K:K)+1&amp;"' AS ID_EXEC, CURRENT_TIMESTAMP() AS TIME_EXEC FROM "&amp;I162,"SELECT '"&amp;UPPER(B162)&amp;"' AS TABELA, '"&amp;UPPER(C162)&amp;"' AS TIPOLOGIA_TESTE,'"&amp;D162&amp;"' AS TABELA_LT,'N/A' AS TABELA_SIMUL,'"&amp;F162&amp;"' AS CAMPO, "&amp;"'${ref_date}' AS REF_DATE, COUNT(*) AS NUM_REG, SUM(IF(TRIM(CAST(X."&amp;F162&amp;" AS STRING))='' OR TRIM(CAST(X."&amp;F162&amp;" AS STRING)) IS NULL,1,0)) AS NUM_REG_DIF,'"&amp;MAX('ID1&amp;5'!K:K)+1&amp;"' AS ID_EXEC, CURRENT_TIMESTAMP() AS TIME_EXEC FROM "&amp;I162),
IF(C162="Caracteres Especiais",+"SELECT '"&amp;UPPER(B162)&amp;"' AS TABELA, '"&amp;UPPER(C162)&amp;"' AS TIPOLOGIA_TESTE,'"&amp;D162&amp;"' AS TABELA_LT,'N/A' AS TABELA_SIMUL,'"&amp;F162&amp;"' AS CAMPO, "&amp;"'${ref_date}' AS REF_DATE, COUNT(*) AS NUM_REG, SUM(IF(REGEXP_REPLACE(TRIM(CAST(X."&amp;F162&amp;" AS STRING)),'[^a-zA-Z0-9_\\s]','') &lt;&gt;TRIM(CAST(X."&amp;F162&amp;" AS STRING)),1,0)) AS NUM_REG_DIF,'"&amp;MAX('ID1&amp;5'!K:K)+1&amp;"' AS ID_EXEC, CURRENT_TIMESTAMP() AS TIME_EXEC FROM "&amp;I162,
IF(C162="Missings",+"SELECT '"&amp;UPPER(B162)&amp;"' AS TABELA, '"&amp;UPPER(C162)&amp;"' AS TIPOLOGIA_TESTE,'"&amp;D162&amp;"' AS TABELA_LT,'N/A' AS TABELA_SIMUL,'"&amp;F162&amp;"' AS CAMPO, "&amp;"'${ref_date}' AS REF_DATE, COUNT(*) AS NUM_REG, SUM(IF(TRIM(CAST(X."&amp;F162&amp;" AS STRING)) IN ('0000-00-00','0001-01-01','9999-12-31','MISS','00000','99999999999','99999999999.00','99999999999.000000'),1,0)) AS NUM_REG_DIF,'"&amp;MAX('ID1&amp;5'!K:K)+1&amp;"' AS ID_EXEC, CURRENT_TIMESTAMP() AS TIME_EXEC FROM "&amp;I162,
IF(C162="Not applicable",+"SELECT '"&amp;UPPER(B162)&amp;"' AS TABELA, '"&amp;UPPER(C162)&amp;"' AS TIPOLOGIA_TESTE,'"&amp;D162&amp;"' AS TABELA_LT,'N/A' AS TABELA_SIMUL,'"&amp;F162&amp;"' AS CAMPO, "&amp;"'${ref_date}' AS REF_DATE, COUNT(*) AS NUM_REG, SUM(IF(TRIM(CAST(X."&amp;F162&amp;" AS STRING)) IN ('N/A','11111111111','11111111111.00','11111111111.000000','1111-11-11'),1,0)) AS NUM_REG_DIF,'"&amp;MAX('ID1&amp;5'!K:K)+1&amp;"' AS ID_EXEC, CURRENT_TIMESTAMP() AS TIME_EXEC FROM "&amp;I162,
IF(C162="Valores extremos",+"SELECT '"&amp;UPPER(B162)&amp;"' AS TABELA, '"&amp;UPPER(C162)&amp;"' AS TIPOLOGIA_TESTE,'"&amp;D162&amp;"' AS TABELA_LT,'N/A' AS TABELA_SIMUL,'"&amp;F162&amp;"' AS CAMPO, "&amp;"'${ref_date}' AS REF_DATE, CAST(MIN("&amp;F162&amp;") AS STRING) AS VALOR_MIN, CAST(MAX("&amp;F162&amp;") AS STRING) AS VALOR_MAX,'"&amp;MAX('ID1&amp;5'!K:K)+1&amp;"' AS ID_EXEC, CURRENT_TIMESTAMP() AS TIME_EXEC FROM "&amp;MID(I162,1,LEN(I162)-2)&amp;" AND CAST("&amp;F162&amp;"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TABELA_SIMUL,'ifrs9_lgd' AS CAMPO, '${ref_date}' AS REF_DATE, COUNT(*) AS NUM_REG, SUM(IF(COALESCE(CAST(X.ifrs9_lgd AS STRING),'')&lt;&gt;COALESCE(CAST(Y.ifrs9_lgd_SIMUL AS STRING),'') OR (X.ifrs9_lgd IS NULL AND Y.ifrs9_lgd_SIMUL IS NOT NULL ) OR (X.ifrs9_lgd IS NOT NULL AND Y.ifrs9_lgd_SIMUL IS NULL),1,0)) AS NUM_REG_DIF,'1' AS ID_EXEC, CURRENT_TIMESTAMP() AS TIME_EXEC FROM (SELECT instrmnt_id, ifrs9_lgd FROM BU_LOANTAPE_WORK.LT002_INSTRUMENT WHERE ref_date='${ref_date}' AND nome_perimetro='Individual Local' AND segmento='ESTR' AND ambito='SRB_MBDT' AND entidade='00100')X INNER JOIN (SELECT instrmnt_id AS instrmnt_id_SIMUL, ifrs9_lgd AS ifrs9_lgd_SIMUL FROM BU_LOANTAPE_WORK.SIMUL_LT002_INSTRUMENT WHERE ref_date='${ref_date}' AND nome_perimetro='Individual Local' AND segmento='ESTR' AND ambito='PILAR3' AND entidade='00100')Y ON X.INSTRMNT_ID=Y.INSTRMNT_ID_SIMUL</v>
      </c>
      <c r="M162" s="36" t="str">
        <f t="shared" si="5"/>
        <v>UNION ALL SELECT 'INSTRUMENT' AS TABELA, 'COERÊNCIA' AS TIPOLOGIA_TESTE,'BU_LOANTAPE_WORK.LT002_INSTRUMENT' AS TABELA_LT,'BU_LOANTAPE_WORK.SIMUL_LT002_INSTRUMENT' AS TABELA_SIMUL,'ifrs9_lgd' AS CAMPO, '${ref_date}' AS REF_DATE, COUNT(*) AS NUM_REG, SUM(IF(COALESCE(CAST(X.ifrs9_lgd AS STRING),'')&lt;&gt;COALESCE(CAST(Y.ifrs9_lgd_SIMUL AS STRING),'') OR (X.ifrs9_lgd IS NULL AND Y.ifrs9_lgd_SIMUL IS NOT NULL ) OR (X.ifrs9_lgd IS NOT NULL AND Y.ifrs9_lgd_SIMUL IS NULL),1,0)) AS NUM_REG_DIF,'1' AS ID_EXEC, CURRENT_TIMESTAMP() AS TIME_EXEC FROM (SELECT instrmnt_id, ifrs9_lgd FROM BU_LOANTAPE_WORK.LT002_INSTRUMENT WHERE ref_date='${ref_date}' AND nome_perimetro='Individual Local' AND segmento='ESTR' AND ambito='SRB_MBDT' AND entidade='00100')X INNER JOIN (SELECT instrmnt_id AS instrmnt_id_SIMUL, ifrs9_lgd AS ifrs9_lgd_SIMUL FROM BU_LOANTAPE_WORK.SIMUL_LT002_INSTRUMENT WHERE ref_date='${ref_date}' AND nome_perimetro='Individual Local' AND segmento='ESTR' AND ambito='PILAR3' AND entidade='00100')Y ON X.INSTRMNT_ID=Y.INSTRMNT_ID_SIMUL</v>
      </c>
      <c r="N162" s="38"/>
    </row>
    <row r="163" spans="2:14">
      <c r="B163" s="34" t="s">
        <v>117</v>
      </c>
      <c r="C163" s="34" t="s">
        <v>5</v>
      </c>
      <c r="D163" s="34" t="str">
        <f>+UPPER('0. Instruções'!$D$35&amp;"."&amp;VLOOKUP(B163,'0. Instruções'!$C$27:$D$32,2,FALSE))</f>
        <v>BU_LOANTAPE_WORK.LT002_INSTRUMENT</v>
      </c>
      <c r="E163" s="34" t="str">
        <f>+UPPER('0. Instruções'!$D$36&amp;"."&amp;VLOOKUP(B163,'0. Instruções'!$C$27:$E$32,3,FALSE))</f>
        <v>BU_LOANTAPE_WORK.SIMUL_LT002_INSTRUMENT</v>
      </c>
      <c r="F163" s="34" t="s">
        <v>1225</v>
      </c>
      <c r="G163" s="34"/>
      <c r="H163" s="34"/>
      <c r="I163" s="34" t="str">
        <f>"(SELECT "&amp;VLOOKUP(B163,'0. Instruções'!$C$27:$G$32,4,FALSE)&amp;", "&amp;F163&amp;" FROM "&amp;D163&amp;" WHERE "&amp;'0. Instruções'!$D$42&amp;")X"</f>
        <v>(SELECT instrmnt_id, lgd FROM BU_LOANTAPE_WORK.LT002_INSTRUMENT WHERE ref_date='${ref_date}' AND nome_perimetro='Individual Local' AND segmento='ESTR' AND ambito='SRB_MBDT' AND entidade='00100')X</v>
      </c>
      <c r="J163" s="34" t="str">
        <f>"(SELECT "&amp;VLOOKUP(B163,'0. Instruções'!$C$27:$G$32,4,FALSE)&amp;" AS "&amp;VLOOKUP(B163,'0. Instruções'!$C$27:$G$32,4,FALSE)&amp;"_SIMUL, "&amp;F163&amp;" AS "&amp;F163&amp;"_SIMUL FROM "&amp;E163&amp;" WHERE "&amp;'0. Instruções'!$D$43&amp;")Y"</f>
        <v>(SELECT instrmnt_id AS instrmnt_id_SIMUL, lgd AS lgd_SIMUL FROM BU_LOANTAPE_WORK.SIMUL_LT002_INSTRUMENT WHERE ref_date='${ref_date}' AND nome_perimetro='Individual Local' AND segmento='ESTR' AND ambito='PILAR3' AND entidade='00100')Y</v>
      </c>
      <c r="K163" s="35" t="str">
        <f>+UPPER("ON X."&amp;VLOOKUP(B163,'0. Instruções'!$C$27:$G$32,4,FALSE)&amp;"=Y."&amp;VLOOKUP(B163,'0. Instruções'!$C$27:$G$32,4,FALSE)&amp;"_SIMUL")</f>
        <v>ON X.INSTRMNT_ID=Y.INSTRMNT_ID_SIMUL</v>
      </c>
      <c r="L163" s="35" t="str">
        <f>+IF(C163="Coerência", +IF(LEFT(G163,5)="FLOAT","SELECT '"&amp;UPPER(B163)&amp;"' AS TABELA, '"&amp;UPPER(C163)&amp;"' AS TIPOLOGIA_TESTE,'"&amp;D163&amp;"' AS TABELA_LT,'"&amp;E163&amp;"' AS TABELA_SIMUL,'"&amp;F163&amp;"' AS CAMPO, "&amp;"'${ref_date}' AS REF_DATE, COUNT(*) AS NUM_REG, SUM(IF((ABS(COALESCE(CAST(X."&amp;F163&amp;" AS DECIMAL(18,6)),0)-COALESCE(CAST(Y."&amp;F163&amp;"_SIMUL AS DECIMAL(18,6)),0))&gt;0.000001) OR (X."&amp;F163&amp;" IS NULL AND Y."&amp;F163&amp;"_SIMUL IS NOT NULL ) OR (X."&amp;F163&amp;" IS NOT NULL AND Y."&amp;F163&amp;"_SIMUL IS NULL),1,0)) AS NUM_REG_DIF,'"&amp;MAX('ID1&amp;5'!K:K)+1&amp;"' AS ID_EXEC, CURRENT_TIMESTAMP() AS TIME_EXEC FROM "&amp;I163&amp;" INNER JOIN "&amp;J163&amp;" "&amp;K163,"SELECT '"&amp;UPPER(B163)&amp;"' AS TABELA, '"&amp;UPPER(C163)&amp;"' AS TIPOLOGIA_TESTE,'"&amp;D163&amp;"' AS TABELA_LT,'"&amp;E163&amp;"' AS TABELA_SIMUL,'"&amp;F163&amp;"' AS CAMPO, "&amp;"'${ref_date}' AS REF_DATE, COUNT(*) AS NUM_REG, SUM(IF(COALESCE(CAST(X."&amp;F163&amp;" AS STRING),'')&lt;&gt;COALESCE(CAST(Y."&amp;F163&amp;"_SIMUL AS STRING),'') OR (X."&amp;F163&amp;" IS NULL AND Y."&amp;F163&amp;"_SIMUL IS NOT NULL ) OR (X."&amp;F163&amp;" IS NOT NULL AND Y."&amp;F163&amp;"_SIMUL IS NULL),1,0)) AS NUM_REG_DIF,'"&amp;MAX('ID1&amp;5'!L:L)+1&amp;"' AS ID_EXEC, CURRENT_TIMESTAMP() AS TIME_EXEC FROM "&amp;I163&amp;" INNER JOIN "&amp;J163&amp;" "&amp;K163),
IF(C163="Validade",+IF(G163="Code List","SELECT '"&amp;UPPER(B163)&amp;"' AS TABELA, '"&amp;UPPER(C163)&amp;"' AS TIPOLOGIA_TESTE,'"&amp;D163&amp;"' AS TABELA_LT,'N/A' AS TABELA_SIMUL,'"&amp;F163&amp;"' AS CAMPO, "&amp;"'${ref_date}' AS REF_DATE, COUNT(*) AS NUM_REG, SUM(IF(TRIM(CAST(X."&amp;F163&amp;" AS STRING))='' OR TRIM(CAST(X."&amp;F163&amp;" AS STRING)) IS NULL OR CAST(X."&amp;F163&amp;" AS STRING) NOT "&amp;H163&amp;",1,0)) AS NUM_REG_DIF,'"&amp;MAX('ID1&amp;5'!K:K)+1&amp;"' AS ID_EXEC, CURRENT_TIMESTAMP() AS TIME_EXEC FROM "&amp;I163,"SELECT '"&amp;UPPER(B163)&amp;"' AS TABELA, '"&amp;UPPER(C163)&amp;"' AS TIPOLOGIA_TESTE,'"&amp;D163&amp;"' AS TABELA_LT,'N/A' AS TABELA_SIMUL,'"&amp;F163&amp;"' AS CAMPO, "&amp;"'${ref_date}' AS REF_DATE, COUNT(*) AS NUM_REG, SUM(IF(TRIM(CAST(X."&amp;F163&amp;" AS STRING))='' OR TRIM(CAST(X."&amp;F163&amp;" AS STRING)) IS NULL,1,0)) AS NUM_REG_DIF,'"&amp;MAX('ID1&amp;5'!K:K)+1&amp;"' AS ID_EXEC, CURRENT_TIMESTAMP() AS TIME_EXEC FROM "&amp;I163),
IF(C163="Caracteres Especiais",+"SELECT '"&amp;UPPER(B163)&amp;"' AS TABELA, '"&amp;UPPER(C163)&amp;"' AS TIPOLOGIA_TESTE,'"&amp;D163&amp;"' AS TABELA_LT,'N/A' AS TABELA_SIMUL,'"&amp;F163&amp;"' AS CAMPO, "&amp;"'${ref_date}' AS REF_DATE, COUNT(*) AS NUM_REG, SUM(IF(REGEXP_REPLACE(TRIM(CAST(X."&amp;F163&amp;" AS STRING)),'[^a-zA-Z0-9_\\s]','') &lt;&gt;TRIM(CAST(X."&amp;F163&amp;" AS STRING)),1,0)) AS NUM_REG_DIF,'"&amp;MAX('ID1&amp;5'!K:K)+1&amp;"' AS ID_EXEC, CURRENT_TIMESTAMP() AS TIME_EXEC FROM "&amp;I163,
IF(C163="Missings",+"SELECT '"&amp;UPPER(B163)&amp;"' AS TABELA, '"&amp;UPPER(C163)&amp;"' AS TIPOLOGIA_TESTE,'"&amp;D163&amp;"' AS TABELA_LT,'N/A' AS TABELA_SIMUL,'"&amp;F163&amp;"' AS CAMPO, "&amp;"'${ref_date}' AS REF_DATE, COUNT(*) AS NUM_REG, SUM(IF(TRIM(CAST(X."&amp;F163&amp;" AS STRING)) IN ('0000-00-00','0001-01-01','9999-12-31','MISS','00000','99999999999','99999999999.00','99999999999.000000'),1,0)) AS NUM_REG_DIF,'"&amp;MAX('ID1&amp;5'!K:K)+1&amp;"' AS ID_EXEC, CURRENT_TIMESTAMP() AS TIME_EXEC FROM "&amp;I163,
IF(C163="Not applicable",+"SELECT '"&amp;UPPER(B163)&amp;"' AS TABELA, '"&amp;UPPER(C163)&amp;"' AS TIPOLOGIA_TESTE,'"&amp;D163&amp;"' AS TABELA_LT,'N/A' AS TABELA_SIMUL,'"&amp;F163&amp;"' AS CAMPO, "&amp;"'${ref_date}' AS REF_DATE, COUNT(*) AS NUM_REG, SUM(IF(TRIM(CAST(X."&amp;F163&amp;" AS STRING)) IN ('N/A','11111111111','11111111111.00','11111111111.000000','1111-11-11'),1,0)) AS NUM_REG_DIF,'"&amp;MAX('ID1&amp;5'!K:K)+1&amp;"' AS ID_EXEC, CURRENT_TIMESTAMP() AS TIME_EXEC FROM "&amp;I163,
IF(C163="Valores extremos",+"SELECT '"&amp;UPPER(B163)&amp;"' AS TABELA, '"&amp;UPPER(C163)&amp;"' AS TIPOLOGIA_TESTE,'"&amp;D163&amp;"' AS TABELA_LT,'N/A' AS TABELA_SIMUL,'"&amp;F163&amp;"' AS CAMPO, "&amp;"'${ref_date}' AS REF_DATE, CAST(MIN("&amp;F163&amp;") AS STRING) AS VALOR_MIN, CAST(MAX("&amp;F163&amp;") AS STRING) AS VALOR_MAX,'"&amp;MAX('ID1&amp;5'!K:K)+1&amp;"' AS ID_EXEC, CURRENT_TIMESTAMP() AS TIME_EXEC FROM "&amp;MID(I163,1,LEN(I163)-2)&amp;" AND CAST("&amp;F163&amp;"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TABELA_SIMUL,'lgd' AS CAMPO, '${ref_date}' AS REF_DATE, COUNT(*) AS NUM_REG, SUM(IF(COALESCE(CAST(X.lgd AS STRING),'')&lt;&gt;COALESCE(CAST(Y.lgd_SIMUL AS STRING),'') OR (X.lgd IS NULL AND Y.lgd_SIMUL IS NOT NULL ) OR (X.lgd IS NOT NULL AND Y.lgd_SIMUL IS NULL),1,0)) AS NUM_REG_DIF,'1' AS ID_EXEC, CURRENT_TIMESTAMP() AS TIME_EXEC FROM (SELECT instrmnt_id, lgd FROM BU_LOANTAPE_WORK.LT002_INSTRUMENT WHERE ref_date='${ref_date}' AND nome_perimetro='Individual Local' AND segmento='ESTR' AND ambito='SRB_MBDT' AND entidade='00100')X INNER JOIN (SELECT instrmnt_id AS instrmnt_id_SIMUL, lgd AS lgd_SIMUL FROM BU_LOANTAPE_WORK.SIMUL_LT002_INSTRUMENT WHERE ref_date='${ref_date}' AND nome_perimetro='Individual Local' AND segmento='ESTR' AND ambito='PILAR3' AND entidade='00100')Y ON X.INSTRMNT_ID=Y.INSTRMNT_ID_SIMUL</v>
      </c>
      <c r="M163" s="36" t="str">
        <f t="shared" si="5"/>
        <v>UNION ALL SELECT 'INSTRUMENT' AS TABELA, 'COERÊNCIA' AS TIPOLOGIA_TESTE,'BU_LOANTAPE_WORK.LT002_INSTRUMENT' AS TABELA_LT,'BU_LOANTAPE_WORK.SIMUL_LT002_INSTRUMENT' AS TABELA_SIMUL,'lgd' AS CAMPO, '${ref_date}' AS REF_DATE, COUNT(*) AS NUM_REG, SUM(IF(COALESCE(CAST(X.lgd AS STRING),'')&lt;&gt;COALESCE(CAST(Y.lgd_SIMUL AS STRING),'') OR (X.lgd IS NULL AND Y.lgd_SIMUL IS NOT NULL ) OR (X.lgd IS NOT NULL AND Y.lgd_SIMUL IS NULL),1,0)) AS NUM_REG_DIF,'1' AS ID_EXEC, CURRENT_TIMESTAMP() AS TIME_EXEC FROM (SELECT instrmnt_id, lgd FROM BU_LOANTAPE_WORK.LT002_INSTRUMENT WHERE ref_date='${ref_date}' AND nome_perimetro='Individual Local' AND segmento='ESTR' AND ambito='SRB_MBDT' AND entidade='00100')X INNER JOIN (SELECT instrmnt_id AS instrmnt_id_SIMUL, lgd AS lgd_SIMUL FROM BU_LOANTAPE_WORK.SIMUL_LT002_INSTRUMENT WHERE ref_date='${ref_date}' AND nome_perimetro='Individual Local' AND segmento='ESTR' AND ambito='PILAR3' AND entidade='00100')Y ON X.INSTRMNT_ID=Y.INSTRMNT_ID_SIMUL</v>
      </c>
      <c r="N163" s="38"/>
    </row>
    <row r="164" spans="2:14">
      <c r="B164" s="34" t="s">
        <v>117</v>
      </c>
      <c r="C164" s="34" t="s">
        <v>5</v>
      </c>
      <c r="D164" s="34" t="str">
        <f>+UPPER('0. Instruções'!$D$35&amp;"."&amp;VLOOKUP(B164,'0. Instruções'!$C$27:$D$32,2,FALSE))</f>
        <v>BU_LOANTAPE_WORK.LT002_INSTRUMENT</v>
      </c>
      <c r="E164" s="34" t="str">
        <f>+UPPER('0. Instruções'!$D$36&amp;"."&amp;VLOOKUP(B164,'0. Instruções'!$C$27:$E$32,3,FALSE))</f>
        <v>BU_LOANTAPE_WORK.SIMUL_LT002_INSTRUMENT</v>
      </c>
      <c r="F164" s="34" t="s">
        <v>1226</v>
      </c>
      <c r="G164" s="34"/>
      <c r="H164" s="34"/>
      <c r="I164" s="34" t="str">
        <f>"(SELECT "&amp;VLOOKUP(B164,'0. Instruções'!$C$27:$G$32,4,FALSE)&amp;", "&amp;F164&amp;" FROM "&amp;D164&amp;" WHERE "&amp;'0. Instruções'!$D$42&amp;")X"</f>
        <v>(SELECT instrmnt_id, ltv FROM BU_LOANTAPE_WORK.LT002_INSTRUMENT WHERE ref_date='${ref_date}' AND nome_perimetro='Individual Local' AND segmento='ESTR' AND ambito='SRB_MBDT' AND entidade='00100')X</v>
      </c>
      <c r="J164" s="34" t="str">
        <f>"(SELECT "&amp;VLOOKUP(B164,'0. Instruções'!$C$27:$G$32,4,FALSE)&amp;" AS "&amp;VLOOKUP(B164,'0. Instruções'!$C$27:$G$32,4,FALSE)&amp;"_SIMUL, "&amp;F164&amp;" AS "&amp;F164&amp;"_SIMUL FROM "&amp;E164&amp;" WHERE "&amp;'0. Instruções'!$D$43&amp;")Y"</f>
        <v>(SELECT instrmnt_id AS instrmnt_id_SIMUL, ltv AS ltv_SIMUL FROM BU_LOANTAPE_WORK.SIMUL_LT002_INSTRUMENT WHERE ref_date='${ref_date}' AND nome_perimetro='Individual Local' AND segmento='ESTR' AND ambito='PILAR3' AND entidade='00100')Y</v>
      </c>
      <c r="K164" s="35" t="str">
        <f>+UPPER("ON X."&amp;VLOOKUP(B164,'0. Instruções'!$C$27:$G$32,4,FALSE)&amp;"=Y."&amp;VLOOKUP(B164,'0. Instruções'!$C$27:$G$32,4,FALSE)&amp;"_SIMUL")</f>
        <v>ON X.INSTRMNT_ID=Y.INSTRMNT_ID_SIMUL</v>
      </c>
      <c r="L164" s="35" t="str">
        <f>+IF(C164="Coerência", +IF(LEFT(G164,5)="FLOAT","SELECT '"&amp;UPPER(B164)&amp;"' AS TABELA, '"&amp;UPPER(C164)&amp;"' AS TIPOLOGIA_TESTE,'"&amp;D164&amp;"' AS TABELA_LT,'"&amp;E164&amp;"' AS TABELA_SIMUL,'"&amp;F164&amp;"' AS CAMPO, "&amp;"'${ref_date}' AS REF_DATE, COUNT(*) AS NUM_REG, SUM(IF((ABS(COALESCE(CAST(X."&amp;F164&amp;" AS DECIMAL(18,6)),0)-COALESCE(CAST(Y."&amp;F164&amp;"_SIMUL AS DECIMAL(18,6)),0))&gt;0.000001) OR (X."&amp;F164&amp;" IS NULL AND Y."&amp;F164&amp;"_SIMUL IS NOT NULL ) OR (X."&amp;F164&amp;" IS NOT NULL AND Y."&amp;F164&amp;"_SIMUL IS NULL),1,0)) AS NUM_REG_DIF,'"&amp;MAX('ID1&amp;5'!K:K)+1&amp;"' AS ID_EXEC, CURRENT_TIMESTAMP() AS TIME_EXEC FROM "&amp;I164&amp;" INNER JOIN "&amp;J164&amp;" "&amp;K164,"SELECT '"&amp;UPPER(B164)&amp;"' AS TABELA, '"&amp;UPPER(C164)&amp;"' AS TIPOLOGIA_TESTE,'"&amp;D164&amp;"' AS TABELA_LT,'"&amp;E164&amp;"' AS TABELA_SIMUL,'"&amp;F164&amp;"' AS CAMPO, "&amp;"'${ref_date}' AS REF_DATE, COUNT(*) AS NUM_REG, SUM(IF(COALESCE(CAST(X."&amp;F164&amp;" AS STRING),'')&lt;&gt;COALESCE(CAST(Y."&amp;F164&amp;"_SIMUL AS STRING),'') OR (X."&amp;F164&amp;" IS NULL AND Y."&amp;F164&amp;"_SIMUL IS NOT NULL ) OR (X."&amp;F164&amp;" IS NOT NULL AND Y."&amp;F164&amp;"_SIMUL IS NULL),1,0)) AS NUM_REG_DIF,'"&amp;MAX('ID1&amp;5'!L:L)+1&amp;"' AS ID_EXEC, CURRENT_TIMESTAMP() AS TIME_EXEC FROM "&amp;I164&amp;" INNER JOIN "&amp;J164&amp;" "&amp;K164),
IF(C164="Validade",+IF(G164="Code List","SELECT '"&amp;UPPER(B164)&amp;"' AS TABELA, '"&amp;UPPER(C164)&amp;"' AS TIPOLOGIA_TESTE,'"&amp;D164&amp;"' AS TABELA_LT,'N/A' AS TABELA_SIMUL,'"&amp;F164&amp;"' AS CAMPO, "&amp;"'${ref_date}' AS REF_DATE, COUNT(*) AS NUM_REG, SUM(IF(TRIM(CAST(X."&amp;F164&amp;" AS STRING))='' OR TRIM(CAST(X."&amp;F164&amp;" AS STRING)) IS NULL OR CAST(X."&amp;F164&amp;" AS STRING) NOT "&amp;H164&amp;",1,0)) AS NUM_REG_DIF,'"&amp;MAX('ID1&amp;5'!K:K)+1&amp;"' AS ID_EXEC, CURRENT_TIMESTAMP() AS TIME_EXEC FROM "&amp;I164,"SELECT '"&amp;UPPER(B164)&amp;"' AS TABELA, '"&amp;UPPER(C164)&amp;"' AS TIPOLOGIA_TESTE,'"&amp;D164&amp;"' AS TABELA_LT,'N/A' AS TABELA_SIMUL,'"&amp;F164&amp;"' AS CAMPO, "&amp;"'${ref_date}' AS REF_DATE, COUNT(*) AS NUM_REG, SUM(IF(TRIM(CAST(X."&amp;F164&amp;" AS STRING))='' OR TRIM(CAST(X."&amp;F164&amp;" AS STRING)) IS NULL,1,0)) AS NUM_REG_DIF,'"&amp;MAX('ID1&amp;5'!K:K)+1&amp;"' AS ID_EXEC, CURRENT_TIMESTAMP() AS TIME_EXEC FROM "&amp;I164),
IF(C164="Caracteres Especiais",+"SELECT '"&amp;UPPER(B164)&amp;"' AS TABELA, '"&amp;UPPER(C164)&amp;"' AS TIPOLOGIA_TESTE,'"&amp;D164&amp;"' AS TABELA_LT,'N/A' AS TABELA_SIMUL,'"&amp;F164&amp;"' AS CAMPO, "&amp;"'${ref_date}' AS REF_DATE, COUNT(*) AS NUM_REG, SUM(IF(REGEXP_REPLACE(TRIM(CAST(X."&amp;F164&amp;" AS STRING)),'[^a-zA-Z0-9_\\s]','') &lt;&gt;TRIM(CAST(X."&amp;F164&amp;" AS STRING)),1,0)) AS NUM_REG_DIF,'"&amp;MAX('ID1&amp;5'!K:K)+1&amp;"' AS ID_EXEC, CURRENT_TIMESTAMP() AS TIME_EXEC FROM "&amp;I164,
IF(C164="Missings",+"SELECT '"&amp;UPPER(B164)&amp;"' AS TABELA, '"&amp;UPPER(C164)&amp;"' AS TIPOLOGIA_TESTE,'"&amp;D164&amp;"' AS TABELA_LT,'N/A' AS TABELA_SIMUL,'"&amp;F164&amp;"' AS CAMPO, "&amp;"'${ref_date}' AS REF_DATE, COUNT(*) AS NUM_REG, SUM(IF(TRIM(CAST(X."&amp;F164&amp;" AS STRING)) IN ('0000-00-00','0001-01-01','9999-12-31','MISS','00000','99999999999','99999999999.00','99999999999.000000'),1,0)) AS NUM_REG_DIF,'"&amp;MAX('ID1&amp;5'!K:K)+1&amp;"' AS ID_EXEC, CURRENT_TIMESTAMP() AS TIME_EXEC FROM "&amp;I164,
IF(C164="Not applicable",+"SELECT '"&amp;UPPER(B164)&amp;"' AS TABELA, '"&amp;UPPER(C164)&amp;"' AS TIPOLOGIA_TESTE,'"&amp;D164&amp;"' AS TABELA_LT,'N/A' AS TABELA_SIMUL,'"&amp;F164&amp;"' AS CAMPO, "&amp;"'${ref_date}' AS REF_DATE, COUNT(*) AS NUM_REG, SUM(IF(TRIM(CAST(X."&amp;F164&amp;" AS STRING)) IN ('N/A','11111111111','11111111111.00','11111111111.000000','1111-11-11'),1,0)) AS NUM_REG_DIF,'"&amp;MAX('ID1&amp;5'!K:K)+1&amp;"' AS ID_EXEC, CURRENT_TIMESTAMP() AS TIME_EXEC FROM "&amp;I164,
IF(C164="Valores extremos",+"SELECT '"&amp;UPPER(B164)&amp;"' AS TABELA, '"&amp;UPPER(C164)&amp;"' AS TIPOLOGIA_TESTE,'"&amp;D164&amp;"' AS TABELA_LT,'N/A' AS TABELA_SIMUL,'"&amp;F164&amp;"' AS CAMPO, "&amp;"'${ref_date}' AS REF_DATE, CAST(MIN("&amp;F164&amp;") AS STRING) AS VALOR_MIN, CAST(MAX("&amp;F164&amp;") AS STRING) AS VALOR_MAX,'"&amp;MAX('ID1&amp;5'!K:K)+1&amp;"' AS ID_EXEC, CURRENT_TIMESTAMP() AS TIME_EXEC FROM "&amp;MID(I164,1,LEN(I164)-2)&amp;" AND CAST("&amp;F164&amp;"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TABELA_SIMUL,'ltv' AS CAMPO, '${ref_date}' AS REF_DATE, COUNT(*) AS NUM_REG, SUM(IF(COALESCE(CAST(X.ltv AS STRING),'')&lt;&gt;COALESCE(CAST(Y.ltv_SIMUL AS STRING),'') OR (X.ltv IS NULL AND Y.ltv_SIMUL IS NOT NULL ) OR (X.ltv IS NOT NULL AND Y.ltv_SIMUL IS NULL),1,0)) AS NUM_REG_DIF,'1' AS ID_EXEC, CURRENT_TIMESTAMP() AS TIME_EXEC FROM (SELECT instrmnt_id, ltv FROM BU_LOANTAPE_WORK.LT002_INSTRUMENT WHERE ref_date='${ref_date}' AND nome_perimetro='Individual Local' AND segmento='ESTR' AND ambito='SRB_MBDT' AND entidade='00100')X INNER JOIN (SELECT instrmnt_id AS instrmnt_id_SIMUL, ltv AS ltv_SIMUL FROM BU_LOANTAPE_WORK.SIMUL_LT002_INSTRUMENT WHERE ref_date='${ref_date}' AND nome_perimetro='Individual Local' AND segmento='ESTR' AND ambito='PILAR3' AND entidade='00100')Y ON X.INSTRMNT_ID=Y.INSTRMNT_ID_SIMUL</v>
      </c>
      <c r="M164" s="36" t="str">
        <f t="shared" si="5"/>
        <v>UNION ALL SELECT 'INSTRUMENT' AS TABELA, 'COERÊNCIA' AS TIPOLOGIA_TESTE,'BU_LOANTAPE_WORK.LT002_INSTRUMENT' AS TABELA_LT,'BU_LOANTAPE_WORK.SIMUL_LT002_INSTRUMENT' AS TABELA_SIMUL,'ltv' AS CAMPO, '${ref_date}' AS REF_DATE, COUNT(*) AS NUM_REG, SUM(IF(COALESCE(CAST(X.ltv AS STRING),'')&lt;&gt;COALESCE(CAST(Y.ltv_SIMUL AS STRING),'') OR (X.ltv IS NULL AND Y.ltv_SIMUL IS NOT NULL ) OR (X.ltv IS NOT NULL AND Y.ltv_SIMUL IS NULL),1,0)) AS NUM_REG_DIF,'1' AS ID_EXEC, CURRENT_TIMESTAMP() AS TIME_EXEC FROM (SELECT instrmnt_id, ltv FROM BU_LOANTAPE_WORK.LT002_INSTRUMENT WHERE ref_date='${ref_date}' AND nome_perimetro='Individual Local' AND segmento='ESTR' AND ambito='SRB_MBDT' AND entidade='00100')X INNER JOIN (SELECT instrmnt_id AS instrmnt_id_SIMUL, ltv AS ltv_SIMUL FROM BU_LOANTAPE_WORK.SIMUL_LT002_INSTRUMENT WHERE ref_date='${ref_date}' AND nome_perimetro='Individual Local' AND segmento='ESTR' AND ambito='PILAR3' AND entidade='00100')Y ON X.INSTRMNT_ID=Y.INSTRMNT_ID_SIMUL</v>
      </c>
      <c r="N164" s="38"/>
    </row>
    <row r="165" spans="2:14">
      <c r="B165" s="34" t="s">
        <v>117</v>
      </c>
      <c r="C165" s="34" t="s">
        <v>5</v>
      </c>
      <c r="D165" s="34" t="str">
        <f>+UPPER('0. Instruções'!$D$35&amp;"."&amp;VLOOKUP(B165,'0. Instruções'!$C$27:$D$32,2,FALSE))</f>
        <v>BU_LOANTAPE_WORK.LT002_INSTRUMENT</v>
      </c>
      <c r="E165" s="34" t="str">
        <f>+UPPER('0. Instruções'!$D$36&amp;"."&amp;VLOOKUP(B165,'0. Instruções'!$C$27:$E$32,3,FALSE))</f>
        <v>BU_LOANTAPE_WORK.SIMUL_LT002_INSTRUMENT</v>
      </c>
      <c r="F165" s="34" t="s">
        <v>1227</v>
      </c>
      <c r="G165" s="34"/>
      <c r="H165" s="34"/>
      <c r="I165" s="34" t="str">
        <f>"(SELECT "&amp;VLOOKUP(B165,'0. Instruções'!$C$27:$G$32,4,FALSE)&amp;", "&amp;F165&amp;" FROM "&amp;D165&amp;" WHERE "&amp;'0. Instruções'!$D$42&amp;")X"</f>
        <v>(SELECT instrmnt_id, ltv_incptn FROM BU_LOANTAPE_WORK.LT002_INSTRUMENT WHERE ref_date='${ref_date}' AND nome_perimetro='Individual Local' AND segmento='ESTR' AND ambito='SRB_MBDT' AND entidade='00100')X</v>
      </c>
      <c r="J165" s="34" t="str">
        <f>"(SELECT "&amp;VLOOKUP(B165,'0. Instruções'!$C$27:$G$32,4,FALSE)&amp;" AS "&amp;VLOOKUP(B165,'0. Instruções'!$C$27:$G$32,4,FALSE)&amp;"_SIMUL, "&amp;F165&amp;" AS "&amp;F165&amp;"_SIMUL FROM "&amp;E165&amp;" WHERE "&amp;'0. Instruções'!$D$43&amp;")Y"</f>
        <v>(SELECT instrmnt_id AS instrmnt_id_SIMUL, ltv_incptn AS ltv_incptn_SIMUL FROM BU_LOANTAPE_WORK.SIMUL_LT002_INSTRUMENT WHERE ref_date='${ref_date}' AND nome_perimetro='Individual Local' AND segmento='ESTR' AND ambito='PILAR3' AND entidade='00100')Y</v>
      </c>
      <c r="K165" s="35" t="str">
        <f>+UPPER("ON X."&amp;VLOOKUP(B165,'0. Instruções'!$C$27:$G$32,4,FALSE)&amp;"=Y."&amp;VLOOKUP(B165,'0. Instruções'!$C$27:$G$32,4,FALSE)&amp;"_SIMUL")</f>
        <v>ON X.INSTRMNT_ID=Y.INSTRMNT_ID_SIMUL</v>
      </c>
      <c r="L165" s="35" t="str">
        <f>+IF(C165="Coerência", +IF(LEFT(G165,5)="FLOAT","SELECT '"&amp;UPPER(B165)&amp;"' AS TABELA, '"&amp;UPPER(C165)&amp;"' AS TIPOLOGIA_TESTE,'"&amp;D165&amp;"' AS TABELA_LT,'"&amp;E165&amp;"' AS TABELA_SIMUL,'"&amp;F165&amp;"' AS CAMPO, "&amp;"'${ref_date}' AS REF_DATE, COUNT(*) AS NUM_REG, SUM(IF((ABS(COALESCE(CAST(X."&amp;F165&amp;" AS DECIMAL(18,6)),0)-COALESCE(CAST(Y."&amp;F165&amp;"_SIMUL AS DECIMAL(18,6)),0))&gt;0.000001) OR (X."&amp;F165&amp;" IS NULL AND Y."&amp;F165&amp;"_SIMUL IS NOT NULL ) OR (X."&amp;F165&amp;" IS NOT NULL AND Y."&amp;F165&amp;"_SIMUL IS NULL),1,0)) AS NUM_REG_DIF,'"&amp;MAX('ID1&amp;5'!K:K)+1&amp;"' AS ID_EXEC, CURRENT_TIMESTAMP() AS TIME_EXEC FROM "&amp;I165&amp;" INNER JOIN "&amp;J165&amp;" "&amp;K165,"SELECT '"&amp;UPPER(B165)&amp;"' AS TABELA, '"&amp;UPPER(C165)&amp;"' AS TIPOLOGIA_TESTE,'"&amp;D165&amp;"' AS TABELA_LT,'"&amp;E165&amp;"' AS TABELA_SIMUL,'"&amp;F165&amp;"' AS CAMPO, "&amp;"'${ref_date}' AS REF_DATE, COUNT(*) AS NUM_REG, SUM(IF(COALESCE(CAST(X."&amp;F165&amp;" AS STRING),'')&lt;&gt;COALESCE(CAST(Y."&amp;F165&amp;"_SIMUL AS STRING),'') OR (X."&amp;F165&amp;" IS NULL AND Y."&amp;F165&amp;"_SIMUL IS NOT NULL ) OR (X."&amp;F165&amp;" IS NOT NULL AND Y."&amp;F165&amp;"_SIMUL IS NULL),1,0)) AS NUM_REG_DIF,'"&amp;MAX('ID1&amp;5'!L:L)+1&amp;"' AS ID_EXEC, CURRENT_TIMESTAMP() AS TIME_EXEC FROM "&amp;I165&amp;" INNER JOIN "&amp;J165&amp;" "&amp;K165),
IF(C165="Validade",+IF(G165="Code List","SELECT '"&amp;UPPER(B165)&amp;"' AS TABELA, '"&amp;UPPER(C165)&amp;"' AS TIPOLOGIA_TESTE,'"&amp;D165&amp;"' AS TABELA_LT,'N/A' AS TABELA_SIMUL,'"&amp;F165&amp;"' AS CAMPO, "&amp;"'${ref_date}' AS REF_DATE, COUNT(*) AS NUM_REG, SUM(IF(TRIM(CAST(X."&amp;F165&amp;" AS STRING))='' OR TRIM(CAST(X."&amp;F165&amp;" AS STRING)) IS NULL OR CAST(X."&amp;F165&amp;" AS STRING) NOT "&amp;H165&amp;",1,0)) AS NUM_REG_DIF,'"&amp;MAX('ID1&amp;5'!K:K)+1&amp;"' AS ID_EXEC, CURRENT_TIMESTAMP() AS TIME_EXEC FROM "&amp;I165,"SELECT '"&amp;UPPER(B165)&amp;"' AS TABELA, '"&amp;UPPER(C165)&amp;"' AS TIPOLOGIA_TESTE,'"&amp;D165&amp;"' AS TABELA_LT,'N/A' AS TABELA_SIMUL,'"&amp;F165&amp;"' AS CAMPO, "&amp;"'${ref_date}' AS REF_DATE, COUNT(*) AS NUM_REG, SUM(IF(TRIM(CAST(X."&amp;F165&amp;" AS STRING))='' OR TRIM(CAST(X."&amp;F165&amp;" AS STRING)) IS NULL,1,0)) AS NUM_REG_DIF,'"&amp;MAX('ID1&amp;5'!K:K)+1&amp;"' AS ID_EXEC, CURRENT_TIMESTAMP() AS TIME_EXEC FROM "&amp;I165),
IF(C165="Caracteres Especiais",+"SELECT '"&amp;UPPER(B165)&amp;"' AS TABELA, '"&amp;UPPER(C165)&amp;"' AS TIPOLOGIA_TESTE,'"&amp;D165&amp;"' AS TABELA_LT,'N/A' AS TABELA_SIMUL,'"&amp;F165&amp;"' AS CAMPO, "&amp;"'${ref_date}' AS REF_DATE, COUNT(*) AS NUM_REG, SUM(IF(REGEXP_REPLACE(TRIM(CAST(X."&amp;F165&amp;" AS STRING)),'[^a-zA-Z0-9_\\s]','') &lt;&gt;TRIM(CAST(X."&amp;F165&amp;" AS STRING)),1,0)) AS NUM_REG_DIF,'"&amp;MAX('ID1&amp;5'!K:K)+1&amp;"' AS ID_EXEC, CURRENT_TIMESTAMP() AS TIME_EXEC FROM "&amp;I165,
IF(C165="Missings",+"SELECT '"&amp;UPPER(B165)&amp;"' AS TABELA, '"&amp;UPPER(C165)&amp;"' AS TIPOLOGIA_TESTE,'"&amp;D165&amp;"' AS TABELA_LT,'N/A' AS TABELA_SIMUL,'"&amp;F165&amp;"' AS CAMPO, "&amp;"'${ref_date}' AS REF_DATE, COUNT(*) AS NUM_REG, SUM(IF(TRIM(CAST(X."&amp;F165&amp;" AS STRING)) IN ('0000-00-00','0001-01-01','9999-12-31','MISS','00000','99999999999','99999999999.00','99999999999.000000'),1,0)) AS NUM_REG_DIF,'"&amp;MAX('ID1&amp;5'!K:K)+1&amp;"' AS ID_EXEC, CURRENT_TIMESTAMP() AS TIME_EXEC FROM "&amp;I165,
IF(C165="Not applicable",+"SELECT '"&amp;UPPER(B165)&amp;"' AS TABELA, '"&amp;UPPER(C165)&amp;"' AS TIPOLOGIA_TESTE,'"&amp;D165&amp;"' AS TABELA_LT,'N/A' AS TABELA_SIMUL,'"&amp;F165&amp;"' AS CAMPO, "&amp;"'${ref_date}' AS REF_DATE, COUNT(*) AS NUM_REG, SUM(IF(TRIM(CAST(X."&amp;F165&amp;" AS STRING)) IN ('N/A','11111111111','11111111111.00','11111111111.000000','1111-11-11'),1,0)) AS NUM_REG_DIF,'"&amp;MAX('ID1&amp;5'!K:K)+1&amp;"' AS ID_EXEC, CURRENT_TIMESTAMP() AS TIME_EXEC FROM "&amp;I165,
IF(C165="Valores extremos",+"SELECT '"&amp;UPPER(B165)&amp;"' AS TABELA, '"&amp;UPPER(C165)&amp;"' AS TIPOLOGIA_TESTE,'"&amp;D165&amp;"' AS TABELA_LT,'N/A' AS TABELA_SIMUL,'"&amp;F165&amp;"' AS CAMPO, "&amp;"'${ref_date}' AS REF_DATE, CAST(MIN("&amp;F165&amp;") AS STRING) AS VALOR_MIN, CAST(MAX("&amp;F165&amp;") AS STRING) AS VALOR_MAX,'"&amp;MAX('ID1&amp;5'!K:K)+1&amp;"' AS ID_EXEC, CURRENT_TIMESTAMP() AS TIME_EXEC FROM "&amp;MID(I165,1,LEN(I165)-2)&amp;" AND CAST("&amp;F165&amp;"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TABELA_SIMUL,'ltv_incptn' AS CAMPO, '${ref_date}' AS REF_DATE, COUNT(*) AS NUM_REG, SUM(IF(COALESCE(CAST(X.ltv_incptn AS STRING),'')&lt;&gt;COALESCE(CAST(Y.ltv_incptn_SIMUL AS STRING),'') OR (X.ltv_incptn IS NULL AND Y.ltv_incptn_SIMUL IS NOT NULL ) OR (X.ltv_incptn IS NOT NULL AND Y.ltv_incptn_SIMUL IS NULL),1,0)) AS NUM_REG_DIF,'1' AS ID_EXEC, CURRENT_TIMESTAMP() AS TIME_EXEC FROM (SELECT instrmnt_id, ltv_incptn FROM BU_LOANTAPE_WORK.LT002_INSTRUMENT WHERE ref_date='${ref_date}' AND nome_perimetro='Individual Local' AND segmento='ESTR' AND ambito='SRB_MBDT' AND entidade='00100')X INNER JOIN (SELECT instrmnt_id AS instrmnt_id_SIMUL, ltv_incptn AS ltv_incptn_SIMUL FROM BU_LOANTAPE_WORK.SIMUL_LT002_INSTRUMENT WHERE ref_date='${ref_date}' AND nome_perimetro='Individual Local' AND segmento='ESTR' AND ambito='PILAR3' AND entidade='00100')Y ON X.INSTRMNT_ID=Y.INSTRMNT_ID_SIMUL</v>
      </c>
      <c r="M165" s="36" t="str">
        <f t="shared" si="5"/>
        <v>UNION ALL SELECT 'INSTRUMENT' AS TABELA, 'COERÊNCIA' AS TIPOLOGIA_TESTE,'BU_LOANTAPE_WORK.LT002_INSTRUMENT' AS TABELA_LT,'BU_LOANTAPE_WORK.SIMUL_LT002_INSTRUMENT' AS TABELA_SIMUL,'ltv_incptn' AS CAMPO, '${ref_date}' AS REF_DATE, COUNT(*) AS NUM_REG, SUM(IF(COALESCE(CAST(X.ltv_incptn AS STRING),'')&lt;&gt;COALESCE(CAST(Y.ltv_incptn_SIMUL AS STRING),'') OR (X.ltv_incptn IS NULL AND Y.ltv_incptn_SIMUL IS NOT NULL ) OR (X.ltv_incptn IS NOT NULL AND Y.ltv_incptn_SIMUL IS NULL),1,0)) AS NUM_REG_DIF,'1' AS ID_EXEC, CURRENT_TIMESTAMP() AS TIME_EXEC FROM (SELECT instrmnt_id, ltv_incptn FROM BU_LOANTAPE_WORK.LT002_INSTRUMENT WHERE ref_date='${ref_date}' AND nome_perimetro='Individual Local' AND segmento='ESTR' AND ambito='SRB_MBDT' AND entidade='00100')X INNER JOIN (SELECT instrmnt_id AS instrmnt_id_SIMUL, ltv_incptn AS ltv_incptn_SIMUL FROM BU_LOANTAPE_WORK.SIMUL_LT002_INSTRUMENT WHERE ref_date='${ref_date}' AND nome_perimetro='Individual Local' AND segmento='ESTR' AND ambito='PILAR3' AND entidade='00100')Y ON X.INSTRMNT_ID=Y.INSTRMNT_ID_SIMUL</v>
      </c>
      <c r="N165" s="38"/>
    </row>
    <row r="166" spans="2:14">
      <c r="B166" s="34" t="s">
        <v>117</v>
      </c>
      <c r="C166" s="34" t="s">
        <v>5</v>
      </c>
      <c r="D166" s="34" t="str">
        <f>+UPPER('0. Instruções'!$D$35&amp;"."&amp;VLOOKUP(B166,'0. Instruções'!$C$27:$D$32,2,FALSE))</f>
        <v>BU_LOANTAPE_WORK.LT002_INSTRUMENT</v>
      </c>
      <c r="E166" s="34" t="str">
        <f>+UPPER('0. Instruções'!$D$36&amp;"."&amp;VLOOKUP(B166,'0. Instruções'!$C$27:$E$32,3,FALSE))</f>
        <v>BU_LOANTAPE_WORK.SIMUL_LT002_INSTRUMENT</v>
      </c>
      <c r="F166" s="34" t="s">
        <v>1228</v>
      </c>
      <c r="G166" s="34"/>
      <c r="H166" s="34"/>
      <c r="I166" s="34" t="str">
        <f>"(SELECT "&amp;VLOOKUP(B166,'0. Instruções'!$C$27:$G$32,4,FALSE)&amp;", "&amp;F166&amp;" FROM "&amp;D166&amp;" WHERE "&amp;'0. Instruções'!$D$42&amp;")X"</f>
        <v>(SELECT instrmnt_id, ltv_npe FROM BU_LOANTAPE_WORK.LT002_INSTRUMENT WHERE ref_date='${ref_date}' AND nome_perimetro='Individual Local' AND segmento='ESTR' AND ambito='SRB_MBDT' AND entidade='00100')X</v>
      </c>
      <c r="J166" s="34" t="str">
        <f>"(SELECT "&amp;VLOOKUP(B166,'0. Instruções'!$C$27:$G$32,4,FALSE)&amp;" AS "&amp;VLOOKUP(B166,'0. Instruções'!$C$27:$G$32,4,FALSE)&amp;"_SIMUL, "&amp;F166&amp;" AS "&amp;F166&amp;"_SIMUL FROM "&amp;E166&amp;" WHERE "&amp;'0. Instruções'!$D$43&amp;")Y"</f>
        <v>(SELECT instrmnt_id AS instrmnt_id_SIMUL, ltv_npe AS ltv_npe_SIMUL FROM BU_LOANTAPE_WORK.SIMUL_LT002_INSTRUMENT WHERE ref_date='${ref_date}' AND nome_perimetro='Individual Local' AND segmento='ESTR' AND ambito='PILAR3' AND entidade='00100')Y</v>
      </c>
      <c r="K166" s="35" t="str">
        <f>+UPPER("ON X."&amp;VLOOKUP(B166,'0. Instruções'!$C$27:$G$32,4,FALSE)&amp;"=Y."&amp;VLOOKUP(B166,'0. Instruções'!$C$27:$G$32,4,FALSE)&amp;"_SIMUL")</f>
        <v>ON X.INSTRMNT_ID=Y.INSTRMNT_ID_SIMUL</v>
      </c>
      <c r="L166" s="35" t="str">
        <f>+IF(C166="Coerência", +IF(LEFT(G166,5)="FLOAT","SELECT '"&amp;UPPER(B166)&amp;"' AS TABELA, '"&amp;UPPER(C166)&amp;"' AS TIPOLOGIA_TESTE,'"&amp;D166&amp;"' AS TABELA_LT,'"&amp;E166&amp;"' AS TABELA_SIMUL,'"&amp;F166&amp;"' AS CAMPO, "&amp;"'${ref_date}' AS REF_DATE, COUNT(*) AS NUM_REG, SUM(IF((ABS(COALESCE(CAST(X."&amp;F166&amp;" AS DECIMAL(18,6)),0)-COALESCE(CAST(Y."&amp;F166&amp;"_SIMUL AS DECIMAL(18,6)),0))&gt;0.000001) OR (X."&amp;F166&amp;" IS NULL AND Y."&amp;F166&amp;"_SIMUL IS NOT NULL ) OR (X."&amp;F166&amp;" IS NOT NULL AND Y."&amp;F166&amp;"_SIMUL IS NULL),1,0)) AS NUM_REG_DIF,'"&amp;MAX('ID1&amp;5'!K:K)+1&amp;"' AS ID_EXEC, CURRENT_TIMESTAMP() AS TIME_EXEC FROM "&amp;I166&amp;" INNER JOIN "&amp;J166&amp;" "&amp;K166,"SELECT '"&amp;UPPER(B166)&amp;"' AS TABELA, '"&amp;UPPER(C166)&amp;"' AS TIPOLOGIA_TESTE,'"&amp;D166&amp;"' AS TABELA_LT,'"&amp;E166&amp;"' AS TABELA_SIMUL,'"&amp;F166&amp;"' AS CAMPO, "&amp;"'${ref_date}' AS REF_DATE, COUNT(*) AS NUM_REG, SUM(IF(COALESCE(CAST(X."&amp;F166&amp;" AS STRING),'')&lt;&gt;COALESCE(CAST(Y."&amp;F166&amp;"_SIMUL AS STRING),'') OR (X."&amp;F166&amp;" IS NULL AND Y."&amp;F166&amp;"_SIMUL IS NOT NULL ) OR (X."&amp;F166&amp;" IS NOT NULL AND Y."&amp;F166&amp;"_SIMUL IS NULL),1,0)) AS NUM_REG_DIF,'"&amp;MAX('ID1&amp;5'!L:L)+1&amp;"' AS ID_EXEC, CURRENT_TIMESTAMP() AS TIME_EXEC FROM "&amp;I166&amp;" INNER JOIN "&amp;J166&amp;" "&amp;K166),
IF(C166="Validade",+IF(G166="Code List","SELECT '"&amp;UPPER(B166)&amp;"' AS TABELA, '"&amp;UPPER(C166)&amp;"' AS TIPOLOGIA_TESTE,'"&amp;D166&amp;"' AS TABELA_LT,'N/A' AS TABELA_SIMUL,'"&amp;F166&amp;"' AS CAMPO, "&amp;"'${ref_date}' AS REF_DATE, COUNT(*) AS NUM_REG, SUM(IF(TRIM(CAST(X."&amp;F166&amp;" AS STRING))='' OR TRIM(CAST(X."&amp;F166&amp;" AS STRING)) IS NULL OR CAST(X."&amp;F166&amp;" AS STRING) NOT "&amp;H166&amp;",1,0)) AS NUM_REG_DIF,'"&amp;MAX('ID1&amp;5'!K:K)+1&amp;"' AS ID_EXEC, CURRENT_TIMESTAMP() AS TIME_EXEC FROM "&amp;I166,"SELECT '"&amp;UPPER(B166)&amp;"' AS TABELA, '"&amp;UPPER(C166)&amp;"' AS TIPOLOGIA_TESTE,'"&amp;D166&amp;"' AS TABELA_LT,'N/A' AS TABELA_SIMUL,'"&amp;F166&amp;"' AS CAMPO, "&amp;"'${ref_date}' AS REF_DATE, COUNT(*) AS NUM_REG, SUM(IF(TRIM(CAST(X."&amp;F166&amp;" AS STRING))='' OR TRIM(CAST(X."&amp;F166&amp;" AS STRING)) IS NULL,1,0)) AS NUM_REG_DIF,'"&amp;MAX('ID1&amp;5'!K:K)+1&amp;"' AS ID_EXEC, CURRENT_TIMESTAMP() AS TIME_EXEC FROM "&amp;I166),
IF(C166="Caracteres Especiais",+"SELECT '"&amp;UPPER(B166)&amp;"' AS TABELA, '"&amp;UPPER(C166)&amp;"' AS TIPOLOGIA_TESTE,'"&amp;D166&amp;"' AS TABELA_LT,'N/A' AS TABELA_SIMUL,'"&amp;F166&amp;"' AS CAMPO, "&amp;"'${ref_date}' AS REF_DATE, COUNT(*) AS NUM_REG, SUM(IF(REGEXP_REPLACE(TRIM(CAST(X."&amp;F166&amp;" AS STRING)),'[^a-zA-Z0-9_\\s]','') &lt;&gt;TRIM(CAST(X."&amp;F166&amp;" AS STRING)),1,0)) AS NUM_REG_DIF,'"&amp;MAX('ID1&amp;5'!K:K)+1&amp;"' AS ID_EXEC, CURRENT_TIMESTAMP() AS TIME_EXEC FROM "&amp;I166,
IF(C166="Missings",+"SELECT '"&amp;UPPER(B166)&amp;"' AS TABELA, '"&amp;UPPER(C166)&amp;"' AS TIPOLOGIA_TESTE,'"&amp;D166&amp;"' AS TABELA_LT,'N/A' AS TABELA_SIMUL,'"&amp;F166&amp;"' AS CAMPO, "&amp;"'${ref_date}' AS REF_DATE, COUNT(*) AS NUM_REG, SUM(IF(TRIM(CAST(X."&amp;F166&amp;" AS STRING)) IN ('0000-00-00','0001-01-01','9999-12-31','MISS','00000','99999999999','99999999999.00','99999999999.000000'),1,0)) AS NUM_REG_DIF,'"&amp;MAX('ID1&amp;5'!K:K)+1&amp;"' AS ID_EXEC, CURRENT_TIMESTAMP() AS TIME_EXEC FROM "&amp;I166,
IF(C166="Not applicable",+"SELECT '"&amp;UPPER(B166)&amp;"' AS TABELA, '"&amp;UPPER(C166)&amp;"' AS TIPOLOGIA_TESTE,'"&amp;D166&amp;"' AS TABELA_LT,'N/A' AS TABELA_SIMUL,'"&amp;F166&amp;"' AS CAMPO, "&amp;"'${ref_date}' AS REF_DATE, COUNT(*) AS NUM_REG, SUM(IF(TRIM(CAST(X."&amp;F166&amp;" AS STRING)) IN ('N/A','11111111111','11111111111.00','11111111111.000000','1111-11-11'),1,0)) AS NUM_REG_DIF,'"&amp;MAX('ID1&amp;5'!K:K)+1&amp;"' AS ID_EXEC, CURRENT_TIMESTAMP() AS TIME_EXEC FROM "&amp;I166,
IF(C166="Valores extremos",+"SELECT '"&amp;UPPER(B166)&amp;"' AS TABELA, '"&amp;UPPER(C166)&amp;"' AS TIPOLOGIA_TESTE,'"&amp;D166&amp;"' AS TABELA_LT,'N/A' AS TABELA_SIMUL,'"&amp;F166&amp;"' AS CAMPO, "&amp;"'${ref_date}' AS REF_DATE, CAST(MIN("&amp;F166&amp;") AS STRING) AS VALOR_MIN, CAST(MAX("&amp;F166&amp;") AS STRING) AS VALOR_MAX,'"&amp;MAX('ID1&amp;5'!K:K)+1&amp;"' AS ID_EXEC, CURRENT_TIMESTAMP() AS TIME_EXEC FROM "&amp;MID(I166,1,LEN(I166)-2)&amp;" AND CAST("&amp;F166&amp;"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TABELA_SIMUL,'ltv_npe' AS CAMPO, '${ref_date}' AS REF_DATE, COUNT(*) AS NUM_REG, SUM(IF(COALESCE(CAST(X.ltv_npe AS STRING),'')&lt;&gt;COALESCE(CAST(Y.ltv_npe_SIMUL AS STRING),'') OR (X.ltv_npe IS NULL AND Y.ltv_npe_SIMUL IS NOT NULL ) OR (X.ltv_npe IS NOT NULL AND Y.ltv_npe_SIMUL IS NULL),1,0)) AS NUM_REG_DIF,'1' AS ID_EXEC, CURRENT_TIMESTAMP() AS TIME_EXEC FROM (SELECT instrmnt_id, ltv_npe FROM BU_LOANTAPE_WORK.LT002_INSTRUMENT WHERE ref_date='${ref_date}' AND nome_perimetro='Individual Local' AND segmento='ESTR' AND ambito='SRB_MBDT' AND entidade='00100')X INNER JOIN (SELECT instrmnt_id AS instrmnt_id_SIMUL, ltv_npe AS ltv_npe_SIMUL FROM BU_LOANTAPE_WORK.SIMUL_LT002_INSTRUMENT WHERE ref_date='${ref_date}' AND nome_perimetro='Individual Local' AND segmento='ESTR' AND ambito='PILAR3' AND entidade='00100')Y ON X.INSTRMNT_ID=Y.INSTRMNT_ID_SIMUL</v>
      </c>
      <c r="M166" s="36" t="str">
        <f t="shared" si="5"/>
        <v>UNION ALL SELECT 'INSTRUMENT' AS TABELA, 'COERÊNCIA' AS TIPOLOGIA_TESTE,'BU_LOANTAPE_WORK.LT002_INSTRUMENT' AS TABELA_LT,'BU_LOANTAPE_WORK.SIMUL_LT002_INSTRUMENT' AS TABELA_SIMUL,'ltv_npe' AS CAMPO, '${ref_date}' AS REF_DATE, COUNT(*) AS NUM_REG, SUM(IF(COALESCE(CAST(X.ltv_npe AS STRING),'')&lt;&gt;COALESCE(CAST(Y.ltv_npe_SIMUL AS STRING),'') OR (X.ltv_npe IS NULL AND Y.ltv_npe_SIMUL IS NOT NULL ) OR (X.ltv_npe IS NOT NULL AND Y.ltv_npe_SIMUL IS NULL),1,0)) AS NUM_REG_DIF,'1' AS ID_EXEC, CURRENT_TIMESTAMP() AS TIME_EXEC FROM (SELECT instrmnt_id, ltv_npe FROM BU_LOANTAPE_WORK.LT002_INSTRUMENT WHERE ref_date='${ref_date}' AND nome_perimetro='Individual Local' AND segmento='ESTR' AND ambito='SRB_MBDT' AND entidade='00100')X INNER JOIN (SELECT instrmnt_id AS instrmnt_id_SIMUL, ltv_npe AS ltv_npe_SIMUL FROM BU_LOANTAPE_WORK.SIMUL_LT002_INSTRUMENT WHERE ref_date='${ref_date}' AND nome_perimetro='Individual Local' AND segmento='ESTR' AND ambito='PILAR3' AND entidade='00100')Y ON X.INSTRMNT_ID=Y.INSTRMNT_ID_SIMUL</v>
      </c>
      <c r="N166" s="38"/>
    </row>
    <row r="167" spans="2:14">
      <c r="B167" s="34" t="s">
        <v>117</v>
      </c>
      <c r="C167" s="34" t="s">
        <v>5</v>
      </c>
      <c r="D167" s="34" t="str">
        <f>+UPPER('0. Instruções'!$D$35&amp;"."&amp;VLOOKUP(B167,'0. Instruções'!$C$27:$D$32,2,FALSE))</f>
        <v>BU_LOANTAPE_WORK.LT002_INSTRUMENT</v>
      </c>
      <c r="E167" s="34" t="str">
        <f>+UPPER('0. Instruções'!$D$36&amp;"."&amp;VLOOKUP(B167,'0. Instruções'!$C$27:$E$32,3,FALSE))</f>
        <v>BU_LOANTAPE_WORK.SIMUL_LT002_INSTRUMENT</v>
      </c>
      <c r="F167" s="34" t="s">
        <v>1229</v>
      </c>
      <c r="G167" s="34"/>
      <c r="H167" s="34"/>
      <c r="I167" s="34" t="str">
        <f>"(SELECT "&amp;VLOOKUP(B167,'0. Instruções'!$C$27:$G$32,4,FALSE)&amp;", "&amp;F167&amp;" FROM "&amp;D167&amp;" WHERE "&amp;'0. Instruções'!$D$42&amp;")X"</f>
        <v>(SELECT instrmnt_id, pd_crr_incptn FROM BU_LOANTAPE_WORK.LT002_INSTRUMENT WHERE ref_date='${ref_date}' AND nome_perimetro='Individual Local' AND segmento='ESTR' AND ambito='SRB_MBDT' AND entidade='00100')X</v>
      </c>
      <c r="J167" s="34" t="str">
        <f>"(SELECT "&amp;VLOOKUP(B167,'0. Instruções'!$C$27:$G$32,4,FALSE)&amp;" AS "&amp;VLOOKUP(B167,'0. Instruções'!$C$27:$G$32,4,FALSE)&amp;"_SIMUL, "&amp;F167&amp;" AS "&amp;F167&amp;"_SIMUL FROM "&amp;E167&amp;" WHERE "&amp;'0. Instruções'!$D$43&amp;")Y"</f>
        <v>(SELECT instrmnt_id AS instrmnt_id_SIMUL, pd_crr_incptn AS pd_crr_incptn_SIMUL FROM BU_LOANTAPE_WORK.SIMUL_LT002_INSTRUMENT WHERE ref_date='${ref_date}' AND nome_perimetro='Individual Local' AND segmento='ESTR' AND ambito='PILAR3' AND entidade='00100')Y</v>
      </c>
      <c r="K167" s="35" t="str">
        <f>+UPPER("ON X."&amp;VLOOKUP(B167,'0. Instruções'!$C$27:$G$32,4,FALSE)&amp;"=Y."&amp;VLOOKUP(B167,'0. Instruções'!$C$27:$G$32,4,FALSE)&amp;"_SIMUL")</f>
        <v>ON X.INSTRMNT_ID=Y.INSTRMNT_ID_SIMUL</v>
      </c>
      <c r="L167" s="35" t="str">
        <f>+IF(C167="Coerência", +IF(LEFT(G167,5)="FLOAT","SELECT '"&amp;UPPER(B167)&amp;"' AS TABELA, '"&amp;UPPER(C167)&amp;"' AS TIPOLOGIA_TESTE,'"&amp;D167&amp;"' AS TABELA_LT,'"&amp;E167&amp;"' AS TABELA_SIMUL,'"&amp;F167&amp;"' AS CAMPO, "&amp;"'${ref_date}' AS REF_DATE, COUNT(*) AS NUM_REG, SUM(IF((ABS(COALESCE(CAST(X."&amp;F167&amp;" AS DECIMAL(18,6)),0)-COALESCE(CAST(Y."&amp;F167&amp;"_SIMUL AS DECIMAL(18,6)),0))&gt;0.000001) OR (X."&amp;F167&amp;" IS NULL AND Y."&amp;F167&amp;"_SIMUL IS NOT NULL ) OR (X."&amp;F167&amp;" IS NOT NULL AND Y."&amp;F167&amp;"_SIMUL IS NULL),1,0)) AS NUM_REG_DIF,'"&amp;MAX('ID1&amp;5'!K:K)+1&amp;"' AS ID_EXEC, CURRENT_TIMESTAMP() AS TIME_EXEC FROM "&amp;I167&amp;" INNER JOIN "&amp;J167&amp;" "&amp;K167,"SELECT '"&amp;UPPER(B167)&amp;"' AS TABELA, '"&amp;UPPER(C167)&amp;"' AS TIPOLOGIA_TESTE,'"&amp;D167&amp;"' AS TABELA_LT,'"&amp;E167&amp;"' AS TABELA_SIMUL,'"&amp;F167&amp;"' AS CAMPO, "&amp;"'${ref_date}' AS REF_DATE, COUNT(*) AS NUM_REG, SUM(IF(COALESCE(CAST(X."&amp;F167&amp;" AS STRING),'')&lt;&gt;COALESCE(CAST(Y."&amp;F167&amp;"_SIMUL AS STRING),'') OR (X."&amp;F167&amp;" IS NULL AND Y."&amp;F167&amp;"_SIMUL IS NOT NULL ) OR (X."&amp;F167&amp;" IS NOT NULL AND Y."&amp;F167&amp;"_SIMUL IS NULL),1,0)) AS NUM_REG_DIF,'"&amp;MAX('ID1&amp;5'!L:L)+1&amp;"' AS ID_EXEC, CURRENT_TIMESTAMP() AS TIME_EXEC FROM "&amp;I167&amp;" INNER JOIN "&amp;J167&amp;" "&amp;K167),
IF(C167="Validade",+IF(G167="Code List","SELECT '"&amp;UPPER(B167)&amp;"' AS TABELA, '"&amp;UPPER(C167)&amp;"' AS TIPOLOGIA_TESTE,'"&amp;D167&amp;"' AS TABELA_LT,'N/A' AS TABELA_SIMUL,'"&amp;F167&amp;"' AS CAMPO, "&amp;"'${ref_date}' AS REF_DATE, COUNT(*) AS NUM_REG, SUM(IF(TRIM(CAST(X."&amp;F167&amp;" AS STRING))='' OR TRIM(CAST(X."&amp;F167&amp;" AS STRING)) IS NULL OR CAST(X."&amp;F167&amp;" AS STRING) NOT "&amp;H167&amp;",1,0)) AS NUM_REG_DIF,'"&amp;MAX('ID1&amp;5'!K:K)+1&amp;"' AS ID_EXEC, CURRENT_TIMESTAMP() AS TIME_EXEC FROM "&amp;I167,"SELECT '"&amp;UPPER(B167)&amp;"' AS TABELA, '"&amp;UPPER(C167)&amp;"' AS TIPOLOGIA_TESTE,'"&amp;D167&amp;"' AS TABELA_LT,'N/A' AS TABELA_SIMUL,'"&amp;F167&amp;"' AS CAMPO, "&amp;"'${ref_date}' AS REF_DATE, COUNT(*) AS NUM_REG, SUM(IF(TRIM(CAST(X."&amp;F167&amp;" AS STRING))='' OR TRIM(CAST(X."&amp;F167&amp;" AS STRING)) IS NULL,1,0)) AS NUM_REG_DIF,'"&amp;MAX('ID1&amp;5'!K:K)+1&amp;"' AS ID_EXEC, CURRENT_TIMESTAMP() AS TIME_EXEC FROM "&amp;I167),
IF(C167="Caracteres Especiais",+"SELECT '"&amp;UPPER(B167)&amp;"' AS TABELA, '"&amp;UPPER(C167)&amp;"' AS TIPOLOGIA_TESTE,'"&amp;D167&amp;"' AS TABELA_LT,'N/A' AS TABELA_SIMUL,'"&amp;F167&amp;"' AS CAMPO, "&amp;"'${ref_date}' AS REF_DATE, COUNT(*) AS NUM_REG, SUM(IF(REGEXP_REPLACE(TRIM(CAST(X."&amp;F167&amp;" AS STRING)),'[^a-zA-Z0-9_\\s]','') &lt;&gt;TRIM(CAST(X."&amp;F167&amp;" AS STRING)),1,0)) AS NUM_REG_DIF,'"&amp;MAX('ID1&amp;5'!K:K)+1&amp;"' AS ID_EXEC, CURRENT_TIMESTAMP() AS TIME_EXEC FROM "&amp;I167,
IF(C167="Missings",+"SELECT '"&amp;UPPER(B167)&amp;"' AS TABELA, '"&amp;UPPER(C167)&amp;"' AS TIPOLOGIA_TESTE,'"&amp;D167&amp;"' AS TABELA_LT,'N/A' AS TABELA_SIMUL,'"&amp;F167&amp;"' AS CAMPO, "&amp;"'${ref_date}' AS REF_DATE, COUNT(*) AS NUM_REG, SUM(IF(TRIM(CAST(X."&amp;F167&amp;" AS STRING)) IN ('0000-00-00','0001-01-01','9999-12-31','MISS','00000','99999999999','99999999999.00','99999999999.000000'),1,0)) AS NUM_REG_DIF,'"&amp;MAX('ID1&amp;5'!K:K)+1&amp;"' AS ID_EXEC, CURRENT_TIMESTAMP() AS TIME_EXEC FROM "&amp;I167,
IF(C167="Not applicable",+"SELECT '"&amp;UPPER(B167)&amp;"' AS TABELA, '"&amp;UPPER(C167)&amp;"' AS TIPOLOGIA_TESTE,'"&amp;D167&amp;"' AS TABELA_LT,'N/A' AS TABELA_SIMUL,'"&amp;F167&amp;"' AS CAMPO, "&amp;"'${ref_date}' AS REF_DATE, COUNT(*) AS NUM_REG, SUM(IF(TRIM(CAST(X."&amp;F167&amp;" AS STRING)) IN ('N/A','11111111111','11111111111.00','11111111111.000000','1111-11-11'),1,0)) AS NUM_REG_DIF,'"&amp;MAX('ID1&amp;5'!K:K)+1&amp;"' AS ID_EXEC, CURRENT_TIMESTAMP() AS TIME_EXEC FROM "&amp;I167,
IF(C167="Valores extremos",+"SELECT '"&amp;UPPER(B167)&amp;"' AS TABELA, '"&amp;UPPER(C167)&amp;"' AS TIPOLOGIA_TESTE,'"&amp;D167&amp;"' AS TABELA_LT,'N/A' AS TABELA_SIMUL,'"&amp;F167&amp;"' AS CAMPO, "&amp;"'${ref_date}' AS REF_DATE, CAST(MIN("&amp;F167&amp;") AS STRING) AS VALOR_MIN, CAST(MAX("&amp;F167&amp;") AS STRING) AS VALOR_MAX,'"&amp;MAX('ID1&amp;5'!K:K)+1&amp;"' AS ID_EXEC, CURRENT_TIMESTAMP() AS TIME_EXEC FROM "&amp;MID(I167,1,LEN(I167)-2)&amp;" AND CAST("&amp;F167&amp;"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TABELA_SIMUL,'pd_crr_incptn' AS CAMPO, '${ref_date}' AS REF_DATE, COUNT(*) AS NUM_REG, SUM(IF(COALESCE(CAST(X.pd_crr_incptn AS STRING),'')&lt;&gt;COALESCE(CAST(Y.pd_crr_incptn_SIMUL AS STRING),'') OR (X.pd_crr_incptn IS NULL AND Y.pd_crr_incptn_SIMUL IS NOT NULL ) OR (X.pd_crr_incptn IS NOT NULL AND Y.pd_crr_incptn_SIMUL IS NULL),1,0)) AS NUM_REG_DIF,'1' AS ID_EXEC, CURRENT_TIMESTAMP() AS TIME_EXEC FROM (SELECT instrmnt_id, pd_crr_incptn FROM BU_LOANTAPE_WORK.LT002_INSTRUMENT WHERE ref_date='${ref_date}' AND nome_perimetro='Individual Local' AND segmento='ESTR' AND ambito='SRB_MBDT' AND entidade='00100')X INNER JOIN (SELECT instrmnt_id AS instrmnt_id_SIMUL, pd_crr_incptn AS pd_crr_incptn_SIMUL FROM BU_LOANTAPE_WORK.SIMUL_LT002_INSTRUMENT WHERE ref_date='${ref_date}' AND nome_perimetro='Individual Local' AND segmento='ESTR' AND ambito='PILAR3' AND entidade='00100')Y ON X.INSTRMNT_ID=Y.INSTRMNT_ID_SIMUL</v>
      </c>
      <c r="M167" s="36" t="str">
        <f t="shared" si="5"/>
        <v>UNION ALL SELECT 'INSTRUMENT' AS TABELA, 'COERÊNCIA' AS TIPOLOGIA_TESTE,'BU_LOANTAPE_WORK.LT002_INSTRUMENT' AS TABELA_LT,'BU_LOANTAPE_WORK.SIMUL_LT002_INSTRUMENT' AS TABELA_SIMUL,'pd_crr_incptn' AS CAMPO, '${ref_date}' AS REF_DATE, COUNT(*) AS NUM_REG, SUM(IF(COALESCE(CAST(X.pd_crr_incptn AS STRING),'')&lt;&gt;COALESCE(CAST(Y.pd_crr_incptn_SIMUL AS STRING),'') OR (X.pd_crr_incptn IS NULL AND Y.pd_crr_incptn_SIMUL IS NOT NULL ) OR (X.pd_crr_incptn IS NOT NULL AND Y.pd_crr_incptn_SIMUL IS NULL),1,0)) AS NUM_REG_DIF,'1' AS ID_EXEC, CURRENT_TIMESTAMP() AS TIME_EXEC FROM (SELECT instrmnt_id, pd_crr_incptn FROM BU_LOANTAPE_WORK.LT002_INSTRUMENT WHERE ref_date='${ref_date}' AND nome_perimetro='Individual Local' AND segmento='ESTR' AND ambito='SRB_MBDT' AND entidade='00100')X INNER JOIN (SELECT instrmnt_id AS instrmnt_id_SIMUL, pd_crr_incptn AS pd_crr_incptn_SIMUL FROM BU_LOANTAPE_WORK.SIMUL_LT002_INSTRUMENT WHERE ref_date='${ref_date}' AND nome_perimetro='Individual Local' AND segmento='ESTR' AND ambito='PILAR3' AND entidade='00100')Y ON X.INSTRMNT_ID=Y.INSTRMNT_ID_SIMUL</v>
      </c>
      <c r="N167" s="38"/>
    </row>
    <row r="168" spans="2:14">
      <c r="B168" s="34" t="s">
        <v>117</v>
      </c>
      <c r="C168" s="34" t="s">
        <v>5</v>
      </c>
      <c r="D168" s="34" t="str">
        <f>+UPPER('0. Instruções'!$D$35&amp;"."&amp;VLOOKUP(B168,'0. Instruções'!$C$27:$D$32,2,FALSE))</f>
        <v>BU_LOANTAPE_WORK.LT002_INSTRUMENT</v>
      </c>
      <c r="E168" s="34" t="str">
        <f>+UPPER('0. Instruções'!$D$36&amp;"."&amp;VLOOKUP(B168,'0. Instruções'!$C$27:$E$32,3,FALSE))</f>
        <v>BU_LOANTAPE_WORK.SIMUL_LT002_INSTRUMENT</v>
      </c>
      <c r="F168" s="34" t="s">
        <v>1230</v>
      </c>
      <c r="G168" s="34"/>
      <c r="H168" s="34"/>
      <c r="I168" s="34" t="str">
        <f>"(SELECT "&amp;VLOOKUP(B168,'0. Instruções'!$C$27:$G$32,4,FALSE)&amp;", "&amp;F168&amp;" FROM "&amp;D168&amp;" WHERE "&amp;'0. Instruções'!$D$42&amp;")X"</f>
        <v>(SELECT instrmnt_id, pd_crr_rd FROM BU_LOANTAPE_WORK.LT002_INSTRUMENT WHERE ref_date='${ref_date}' AND nome_perimetro='Individual Local' AND segmento='ESTR' AND ambito='SRB_MBDT' AND entidade='00100')X</v>
      </c>
      <c r="J168" s="34" t="str">
        <f>"(SELECT "&amp;VLOOKUP(B168,'0. Instruções'!$C$27:$G$32,4,FALSE)&amp;" AS "&amp;VLOOKUP(B168,'0. Instruções'!$C$27:$G$32,4,FALSE)&amp;"_SIMUL, "&amp;F168&amp;" AS "&amp;F168&amp;"_SIMUL FROM "&amp;E168&amp;" WHERE "&amp;'0. Instruções'!$D$43&amp;")Y"</f>
        <v>(SELECT instrmnt_id AS instrmnt_id_SIMUL, pd_crr_rd AS pd_crr_rd_SIMUL FROM BU_LOANTAPE_WORK.SIMUL_LT002_INSTRUMENT WHERE ref_date='${ref_date}' AND nome_perimetro='Individual Local' AND segmento='ESTR' AND ambito='PILAR3' AND entidade='00100')Y</v>
      </c>
      <c r="K168" s="35" t="str">
        <f>+UPPER("ON X."&amp;VLOOKUP(B168,'0. Instruções'!$C$27:$G$32,4,FALSE)&amp;"=Y."&amp;VLOOKUP(B168,'0. Instruções'!$C$27:$G$32,4,FALSE)&amp;"_SIMUL")</f>
        <v>ON X.INSTRMNT_ID=Y.INSTRMNT_ID_SIMUL</v>
      </c>
      <c r="L168" s="35" t="str">
        <f>+IF(C168="Coerência", +IF(LEFT(G168,5)="FLOAT","SELECT '"&amp;UPPER(B168)&amp;"' AS TABELA, '"&amp;UPPER(C168)&amp;"' AS TIPOLOGIA_TESTE,'"&amp;D168&amp;"' AS TABELA_LT,'"&amp;E168&amp;"' AS TABELA_SIMUL,'"&amp;F168&amp;"' AS CAMPO, "&amp;"'${ref_date}' AS REF_DATE, COUNT(*) AS NUM_REG, SUM(IF((ABS(COALESCE(CAST(X."&amp;F168&amp;" AS DECIMAL(18,6)),0)-COALESCE(CAST(Y."&amp;F168&amp;"_SIMUL AS DECIMAL(18,6)),0))&gt;0.000001) OR (X."&amp;F168&amp;" IS NULL AND Y."&amp;F168&amp;"_SIMUL IS NOT NULL ) OR (X."&amp;F168&amp;" IS NOT NULL AND Y."&amp;F168&amp;"_SIMUL IS NULL),1,0)) AS NUM_REG_DIF,'"&amp;MAX('ID1&amp;5'!K:K)+1&amp;"' AS ID_EXEC, CURRENT_TIMESTAMP() AS TIME_EXEC FROM "&amp;I168&amp;" INNER JOIN "&amp;J168&amp;" "&amp;K168,"SELECT '"&amp;UPPER(B168)&amp;"' AS TABELA, '"&amp;UPPER(C168)&amp;"' AS TIPOLOGIA_TESTE,'"&amp;D168&amp;"' AS TABELA_LT,'"&amp;E168&amp;"' AS TABELA_SIMUL,'"&amp;F168&amp;"' AS CAMPO, "&amp;"'${ref_date}' AS REF_DATE, COUNT(*) AS NUM_REG, SUM(IF(COALESCE(CAST(X."&amp;F168&amp;" AS STRING),'')&lt;&gt;COALESCE(CAST(Y."&amp;F168&amp;"_SIMUL AS STRING),'') OR (X."&amp;F168&amp;" IS NULL AND Y."&amp;F168&amp;"_SIMUL IS NOT NULL ) OR (X."&amp;F168&amp;" IS NOT NULL AND Y."&amp;F168&amp;"_SIMUL IS NULL),1,0)) AS NUM_REG_DIF,'"&amp;MAX('ID1&amp;5'!L:L)+1&amp;"' AS ID_EXEC, CURRENT_TIMESTAMP() AS TIME_EXEC FROM "&amp;I168&amp;" INNER JOIN "&amp;J168&amp;" "&amp;K168),
IF(C168="Validade",+IF(G168="Code List","SELECT '"&amp;UPPER(B168)&amp;"' AS TABELA, '"&amp;UPPER(C168)&amp;"' AS TIPOLOGIA_TESTE,'"&amp;D168&amp;"' AS TABELA_LT,'N/A' AS TABELA_SIMUL,'"&amp;F168&amp;"' AS CAMPO, "&amp;"'${ref_date}' AS REF_DATE, COUNT(*) AS NUM_REG, SUM(IF(TRIM(CAST(X."&amp;F168&amp;" AS STRING))='' OR TRIM(CAST(X."&amp;F168&amp;" AS STRING)) IS NULL OR CAST(X."&amp;F168&amp;" AS STRING) NOT "&amp;H168&amp;",1,0)) AS NUM_REG_DIF,'"&amp;MAX('ID1&amp;5'!K:K)+1&amp;"' AS ID_EXEC, CURRENT_TIMESTAMP() AS TIME_EXEC FROM "&amp;I168,"SELECT '"&amp;UPPER(B168)&amp;"' AS TABELA, '"&amp;UPPER(C168)&amp;"' AS TIPOLOGIA_TESTE,'"&amp;D168&amp;"' AS TABELA_LT,'N/A' AS TABELA_SIMUL,'"&amp;F168&amp;"' AS CAMPO, "&amp;"'${ref_date}' AS REF_DATE, COUNT(*) AS NUM_REG, SUM(IF(TRIM(CAST(X."&amp;F168&amp;" AS STRING))='' OR TRIM(CAST(X."&amp;F168&amp;" AS STRING)) IS NULL,1,0)) AS NUM_REG_DIF,'"&amp;MAX('ID1&amp;5'!K:K)+1&amp;"' AS ID_EXEC, CURRENT_TIMESTAMP() AS TIME_EXEC FROM "&amp;I168),
IF(C168="Caracteres Especiais",+"SELECT '"&amp;UPPER(B168)&amp;"' AS TABELA, '"&amp;UPPER(C168)&amp;"' AS TIPOLOGIA_TESTE,'"&amp;D168&amp;"' AS TABELA_LT,'N/A' AS TABELA_SIMUL,'"&amp;F168&amp;"' AS CAMPO, "&amp;"'${ref_date}' AS REF_DATE, COUNT(*) AS NUM_REG, SUM(IF(REGEXP_REPLACE(TRIM(CAST(X."&amp;F168&amp;" AS STRING)),'[^a-zA-Z0-9_\\s]','') &lt;&gt;TRIM(CAST(X."&amp;F168&amp;" AS STRING)),1,0)) AS NUM_REG_DIF,'"&amp;MAX('ID1&amp;5'!K:K)+1&amp;"' AS ID_EXEC, CURRENT_TIMESTAMP() AS TIME_EXEC FROM "&amp;I168,
IF(C168="Missings",+"SELECT '"&amp;UPPER(B168)&amp;"' AS TABELA, '"&amp;UPPER(C168)&amp;"' AS TIPOLOGIA_TESTE,'"&amp;D168&amp;"' AS TABELA_LT,'N/A' AS TABELA_SIMUL,'"&amp;F168&amp;"' AS CAMPO, "&amp;"'${ref_date}' AS REF_DATE, COUNT(*) AS NUM_REG, SUM(IF(TRIM(CAST(X."&amp;F168&amp;" AS STRING)) IN ('0000-00-00','0001-01-01','9999-12-31','MISS','00000','99999999999','99999999999.00','99999999999.000000'),1,0)) AS NUM_REG_DIF,'"&amp;MAX('ID1&amp;5'!K:K)+1&amp;"' AS ID_EXEC, CURRENT_TIMESTAMP() AS TIME_EXEC FROM "&amp;I168,
IF(C168="Not applicable",+"SELECT '"&amp;UPPER(B168)&amp;"' AS TABELA, '"&amp;UPPER(C168)&amp;"' AS TIPOLOGIA_TESTE,'"&amp;D168&amp;"' AS TABELA_LT,'N/A' AS TABELA_SIMUL,'"&amp;F168&amp;"' AS CAMPO, "&amp;"'${ref_date}' AS REF_DATE, COUNT(*) AS NUM_REG, SUM(IF(TRIM(CAST(X."&amp;F168&amp;" AS STRING)) IN ('N/A','11111111111','11111111111.00','11111111111.000000','1111-11-11'),1,0)) AS NUM_REG_DIF,'"&amp;MAX('ID1&amp;5'!K:K)+1&amp;"' AS ID_EXEC, CURRENT_TIMESTAMP() AS TIME_EXEC FROM "&amp;I168,
IF(C168="Valores extremos",+"SELECT '"&amp;UPPER(B168)&amp;"' AS TABELA, '"&amp;UPPER(C168)&amp;"' AS TIPOLOGIA_TESTE,'"&amp;D168&amp;"' AS TABELA_LT,'N/A' AS TABELA_SIMUL,'"&amp;F168&amp;"' AS CAMPO, "&amp;"'${ref_date}' AS REF_DATE, CAST(MIN("&amp;F168&amp;") AS STRING) AS VALOR_MIN, CAST(MAX("&amp;F168&amp;") AS STRING) AS VALOR_MAX,'"&amp;MAX('ID1&amp;5'!K:K)+1&amp;"' AS ID_EXEC, CURRENT_TIMESTAMP() AS TIME_EXEC FROM "&amp;MID(I168,1,LEN(I168)-2)&amp;" AND CAST("&amp;F168&amp;"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TABELA_SIMUL,'pd_crr_rd' AS CAMPO, '${ref_date}' AS REF_DATE, COUNT(*) AS NUM_REG, SUM(IF(COALESCE(CAST(X.pd_crr_rd AS STRING),'')&lt;&gt;COALESCE(CAST(Y.pd_crr_rd_SIMUL AS STRING),'') OR (X.pd_crr_rd IS NULL AND Y.pd_crr_rd_SIMUL IS NOT NULL ) OR (X.pd_crr_rd IS NOT NULL AND Y.pd_crr_rd_SIMUL IS NULL),1,0)) AS NUM_REG_DIF,'1' AS ID_EXEC, CURRENT_TIMESTAMP() AS TIME_EXEC FROM (SELECT instrmnt_id, pd_crr_rd FROM BU_LOANTAPE_WORK.LT002_INSTRUMENT WHERE ref_date='${ref_date}' AND nome_perimetro='Individual Local' AND segmento='ESTR' AND ambito='SRB_MBDT' AND entidade='00100')X INNER JOIN (SELECT instrmnt_id AS instrmnt_id_SIMUL, pd_crr_rd AS pd_crr_rd_SIMUL FROM BU_LOANTAPE_WORK.SIMUL_LT002_INSTRUMENT WHERE ref_date='${ref_date}' AND nome_perimetro='Individual Local' AND segmento='ESTR' AND ambito='PILAR3' AND entidade='00100')Y ON X.INSTRMNT_ID=Y.INSTRMNT_ID_SIMUL</v>
      </c>
      <c r="M168" s="36" t="str">
        <f t="shared" si="5"/>
        <v>UNION ALL SELECT 'INSTRUMENT' AS TABELA, 'COERÊNCIA' AS TIPOLOGIA_TESTE,'BU_LOANTAPE_WORK.LT002_INSTRUMENT' AS TABELA_LT,'BU_LOANTAPE_WORK.SIMUL_LT002_INSTRUMENT' AS TABELA_SIMUL,'pd_crr_rd' AS CAMPO, '${ref_date}' AS REF_DATE, COUNT(*) AS NUM_REG, SUM(IF(COALESCE(CAST(X.pd_crr_rd AS STRING),'')&lt;&gt;COALESCE(CAST(Y.pd_crr_rd_SIMUL AS STRING),'') OR (X.pd_crr_rd IS NULL AND Y.pd_crr_rd_SIMUL IS NOT NULL ) OR (X.pd_crr_rd IS NOT NULL AND Y.pd_crr_rd_SIMUL IS NULL),1,0)) AS NUM_REG_DIF,'1' AS ID_EXEC, CURRENT_TIMESTAMP() AS TIME_EXEC FROM (SELECT instrmnt_id, pd_crr_rd FROM BU_LOANTAPE_WORK.LT002_INSTRUMENT WHERE ref_date='${ref_date}' AND nome_perimetro='Individual Local' AND segmento='ESTR' AND ambito='SRB_MBDT' AND entidade='00100')X INNER JOIN (SELECT instrmnt_id AS instrmnt_id_SIMUL, pd_crr_rd AS pd_crr_rd_SIMUL FROM BU_LOANTAPE_WORK.SIMUL_LT002_INSTRUMENT WHERE ref_date='${ref_date}' AND nome_perimetro='Individual Local' AND segmento='ESTR' AND ambito='PILAR3' AND entidade='00100')Y ON X.INSTRMNT_ID=Y.INSTRMNT_ID_SIMUL</v>
      </c>
      <c r="N168" s="38"/>
    </row>
    <row r="169" spans="2:14">
      <c r="B169" s="34" t="s">
        <v>117</v>
      </c>
      <c r="C169" s="34" t="s">
        <v>5</v>
      </c>
      <c r="D169" s="34" t="str">
        <f>+UPPER('0. Instruções'!$D$35&amp;"."&amp;VLOOKUP(B169,'0. Instruções'!$C$27:$D$32,2,FALSE))</f>
        <v>BU_LOANTAPE_WORK.LT002_INSTRUMENT</v>
      </c>
      <c r="E169" s="34" t="str">
        <f>+UPPER('0. Instruções'!$D$36&amp;"."&amp;VLOOKUP(B169,'0. Instruções'!$C$27:$E$32,3,FALSE))</f>
        <v>BU_LOANTAPE_WORK.SIMUL_LT002_INSTRUMENT</v>
      </c>
      <c r="F169" s="34" t="s">
        <v>1231</v>
      </c>
      <c r="G169" s="34"/>
      <c r="H169" s="34"/>
      <c r="I169" s="34" t="str">
        <f>"(SELECT "&amp;VLOOKUP(B169,'0. Instruções'!$C$27:$G$32,4,FALSE)&amp;", "&amp;F169&amp;" FROM "&amp;D169&amp;" WHERE "&amp;'0. Instruções'!$D$42&amp;")X"</f>
        <v>(SELECT instrmnt_id, pd_crr_rd_t1 FROM BU_LOANTAPE_WORK.LT002_INSTRUMENT WHERE ref_date='${ref_date}' AND nome_perimetro='Individual Local' AND segmento='ESTR' AND ambito='SRB_MBDT' AND entidade='00100')X</v>
      </c>
      <c r="J169" s="34" t="str">
        <f>"(SELECT "&amp;VLOOKUP(B169,'0. Instruções'!$C$27:$G$32,4,FALSE)&amp;" AS "&amp;VLOOKUP(B169,'0. Instruções'!$C$27:$G$32,4,FALSE)&amp;"_SIMUL, "&amp;F169&amp;" AS "&amp;F169&amp;"_SIMUL FROM "&amp;E169&amp;" WHERE "&amp;'0. Instruções'!$D$43&amp;")Y"</f>
        <v>(SELECT instrmnt_id AS instrmnt_id_SIMUL, pd_crr_rd_t1 AS pd_crr_rd_t1_SIMUL FROM BU_LOANTAPE_WORK.SIMUL_LT002_INSTRUMENT WHERE ref_date='${ref_date}' AND nome_perimetro='Individual Local' AND segmento='ESTR' AND ambito='PILAR3' AND entidade='00100')Y</v>
      </c>
      <c r="K169" s="35" t="str">
        <f>+UPPER("ON X."&amp;VLOOKUP(B169,'0. Instruções'!$C$27:$G$32,4,FALSE)&amp;"=Y."&amp;VLOOKUP(B169,'0. Instruções'!$C$27:$G$32,4,FALSE)&amp;"_SIMUL")</f>
        <v>ON X.INSTRMNT_ID=Y.INSTRMNT_ID_SIMUL</v>
      </c>
      <c r="L169" s="35" t="str">
        <f>+IF(C169="Coerência", +IF(LEFT(G169,5)="FLOAT","SELECT '"&amp;UPPER(B169)&amp;"' AS TABELA, '"&amp;UPPER(C169)&amp;"' AS TIPOLOGIA_TESTE,'"&amp;D169&amp;"' AS TABELA_LT,'"&amp;E169&amp;"' AS TABELA_SIMUL,'"&amp;F169&amp;"' AS CAMPO, "&amp;"'${ref_date}' AS REF_DATE, COUNT(*) AS NUM_REG, SUM(IF((ABS(COALESCE(CAST(X."&amp;F169&amp;" AS DECIMAL(18,6)),0)-COALESCE(CAST(Y."&amp;F169&amp;"_SIMUL AS DECIMAL(18,6)),0))&gt;0.000001) OR (X."&amp;F169&amp;" IS NULL AND Y."&amp;F169&amp;"_SIMUL IS NOT NULL ) OR (X."&amp;F169&amp;" IS NOT NULL AND Y."&amp;F169&amp;"_SIMUL IS NULL),1,0)) AS NUM_REG_DIF,'"&amp;MAX('ID1&amp;5'!K:K)+1&amp;"' AS ID_EXEC, CURRENT_TIMESTAMP() AS TIME_EXEC FROM "&amp;I169&amp;" INNER JOIN "&amp;J169&amp;" "&amp;K169,"SELECT '"&amp;UPPER(B169)&amp;"' AS TABELA, '"&amp;UPPER(C169)&amp;"' AS TIPOLOGIA_TESTE,'"&amp;D169&amp;"' AS TABELA_LT,'"&amp;E169&amp;"' AS TABELA_SIMUL,'"&amp;F169&amp;"' AS CAMPO, "&amp;"'${ref_date}' AS REF_DATE, COUNT(*) AS NUM_REG, SUM(IF(COALESCE(CAST(X."&amp;F169&amp;" AS STRING),'')&lt;&gt;COALESCE(CAST(Y."&amp;F169&amp;"_SIMUL AS STRING),'') OR (X."&amp;F169&amp;" IS NULL AND Y."&amp;F169&amp;"_SIMUL IS NOT NULL ) OR (X."&amp;F169&amp;" IS NOT NULL AND Y."&amp;F169&amp;"_SIMUL IS NULL),1,0)) AS NUM_REG_DIF,'"&amp;MAX('ID1&amp;5'!L:L)+1&amp;"' AS ID_EXEC, CURRENT_TIMESTAMP() AS TIME_EXEC FROM "&amp;I169&amp;" INNER JOIN "&amp;J169&amp;" "&amp;K169),
IF(C169="Validade",+IF(G169="Code List","SELECT '"&amp;UPPER(B169)&amp;"' AS TABELA, '"&amp;UPPER(C169)&amp;"' AS TIPOLOGIA_TESTE,'"&amp;D169&amp;"' AS TABELA_LT,'N/A' AS TABELA_SIMUL,'"&amp;F169&amp;"' AS CAMPO, "&amp;"'${ref_date}' AS REF_DATE, COUNT(*) AS NUM_REG, SUM(IF(TRIM(CAST(X."&amp;F169&amp;" AS STRING))='' OR TRIM(CAST(X."&amp;F169&amp;" AS STRING)) IS NULL OR CAST(X."&amp;F169&amp;" AS STRING) NOT "&amp;H169&amp;",1,0)) AS NUM_REG_DIF,'"&amp;MAX('ID1&amp;5'!K:K)+1&amp;"' AS ID_EXEC, CURRENT_TIMESTAMP() AS TIME_EXEC FROM "&amp;I169,"SELECT '"&amp;UPPER(B169)&amp;"' AS TABELA, '"&amp;UPPER(C169)&amp;"' AS TIPOLOGIA_TESTE,'"&amp;D169&amp;"' AS TABELA_LT,'N/A' AS TABELA_SIMUL,'"&amp;F169&amp;"' AS CAMPO, "&amp;"'${ref_date}' AS REF_DATE, COUNT(*) AS NUM_REG, SUM(IF(TRIM(CAST(X."&amp;F169&amp;" AS STRING))='' OR TRIM(CAST(X."&amp;F169&amp;" AS STRING)) IS NULL,1,0)) AS NUM_REG_DIF,'"&amp;MAX('ID1&amp;5'!K:K)+1&amp;"' AS ID_EXEC, CURRENT_TIMESTAMP() AS TIME_EXEC FROM "&amp;I169),
IF(C169="Caracteres Especiais",+"SELECT '"&amp;UPPER(B169)&amp;"' AS TABELA, '"&amp;UPPER(C169)&amp;"' AS TIPOLOGIA_TESTE,'"&amp;D169&amp;"' AS TABELA_LT,'N/A' AS TABELA_SIMUL,'"&amp;F169&amp;"' AS CAMPO, "&amp;"'${ref_date}' AS REF_DATE, COUNT(*) AS NUM_REG, SUM(IF(REGEXP_REPLACE(TRIM(CAST(X."&amp;F169&amp;" AS STRING)),'[^a-zA-Z0-9_\\s]','') &lt;&gt;TRIM(CAST(X."&amp;F169&amp;" AS STRING)),1,0)) AS NUM_REG_DIF,'"&amp;MAX('ID1&amp;5'!K:K)+1&amp;"' AS ID_EXEC, CURRENT_TIMESTAMP() AS TIME_EXEC FROM "&amp;I169,
IF(C169="Missings",+"SELECT '"&amp;UPPER(B169)&amp;"' AS TABELA, '"&amp;UPPER(C169)&amp;"' AS TIPOLOGIA_TESTE,'"&amp;D169&amp;"' AS TABELA_LT,'N/A' AS TABELA_SIMUL,'"&amp;F169&amp;"' AS CAMPO, "&amp;"'${ref_date}' AS REF_DATE, COUNT(*) AS NUM_REG, SUM(IF(TRIM(CAST(X."&amp;F169&amp;" AS STRING)) IN ('0000-00-00','0001-01-01','9999-12-31','MISS','00000','99999999999','99999999999.00','99999999999.000000'),1,0)) AS NUM_REG_DIF,'"&amp;MAX('ID1&amp;5'!K:K)+1&amp;"' AS ID_EXEC, CURRENT_TIMESTAMP() AS TIME_EXEC FROM "&amp;I169,
IF(C169="Not applicable",+"SELECT '"&amp;UPPER(B169)&amp;"' AS TABELA, '"&amp;UPPER(C169)&amp;"' AS TIPOLOGIA_TESTE,'"&amp;D169&amp;"' AS TABELA_LT,'N/A' AS TABELA_SIMUL,'"&amp;F169&amp;"' AS CAMPO, "&amp;"'${ref_date}' AS REF_DATE, COUNT(*) AS NUM_REG, SUM(IF(TRIM(CAST(X."&amp;F169&amp;" AS STRING)) IN ('N/A','11111111111','11111111111.00','11111111111.000000','1111-11-11'),1,0)) AS NUM_REG_DIF,'"&amp;MAX('ID1&amp;5'!K:K)+1&amp;"' AS ID_EXEC, CURRENT_TIMESTAMP() AS TIME_EXEC FROM "&amp;I169,
IF(C169="Valores extremos",+"SELECT '"&amp;UPPER(B169)&amp;"' AS TABELA, '"&amp;UPPER(C169)&amp;"' AS TIPOLOGIA_TESTE,'"&amp;D169&amp;"' AS TABELA_LT,'N/A' AS TABELA_SIMUL,'"&amp;F169&amp;"' AS CAMPO, "&amp;"'${ref_date}' AS REF_DATE, CAST(MIN("&amp;F169&amp;") AS STRING) AS VALOR_MIN, CAST(MAX("&amp;F169&amp;") AS STRING) AS VALOR_MAX,'"&amp;MAX('ID1&amp;5'!K:K)+1&amp;"' AS ID_EXEC, CURRENT_TIMESTAMP() AS TIME_EXEC FROM "&amp;MID(I169,1,LEN(I169)-2)&amp;" AND CAST("&amp;F169&amp;"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TABELA_SIMUL,'pd_crr_rd_t1' AS CAMPO, '${ref_date}' AS REF_DATE, COUNT(*) AS NUM_REG, SUM(IF(COALESCE(CAST(X.pd_crr_rd_t1 AS STRING),'')&lt;&gt;COALESCE(CAST(Y.pd_crr_rd_t1_SIMUL AS STRING),'') OR (X.pd_crr_rd_t1 IS NULL AND Y.pd_crr_rd_t1_SIMUL IS NOT NULL ) OR (X.pd_crr_rd_t1 IS NOT NULL AND Y.pd_crr_rd_t1_SIMUL IS NULL),1,0)) AS NUM_REG_DIF,'1' AS ID_EXEC, CURRENT_TIMESTAMP() AS TIME_EXEC FROM (SELECT instrmnt_id, pd_crr_rd_t1 FROM BU_LOANTAPE_WORK.LT002_INSTRUMENT WHERE ref_date='${ref_date}' AND nome_perimetro='Individual Local' AND segmento='ESTR' AND ambito='SRB_MBDT' AND entidade='00100')X INNER JOIN (SELECT instrmnt_id AS instrmnt_id_SIMUL, pd_crr_rd_t1 AS pd_crr_rd_t1_SIMUL FROM BU_LOANTAPE_WORK.SIMUL_LT002_INSTRUMENT WHERE ref_date='${ref_date}' AND nome_perimetro='Individual Local' AND segmento='ESTR' AND ambito='PILAR3' AND entidade='00100')Y ON X.INSTRMNT_ID=Y.INSTRMNT_ID_SIMUL</v>
      </c>
      <c r="M169" s="36" t="str">
        <f t="shared" si="5"/>
        <v>UNION ALL SELECT 'INSTRUMENT' AS TABELA, 'COERÊNCIA' AS TIPOLOGIA_TESTE,'BU_LOANTAPE_WORK.LT002_INSTRUMENT' AS TABELA_LT,'BU_LOANTAPE_WORK.SIMUL_LT002_INSTRUMENT' AS TABELA_SIMUL,'pd_crr_rd_t1' AS CAMPO, '${ref_date}' AS REF_DATE, COUNT(*) AS NUM_REG, SUM(IF(COALESCE(CAST(X.pd_crr_rd_t1 AS STRING),'')&lt;&gt;COALESCE(CAST(Y.pd_crr_rd_t1_SIMUL AS STRING),'') OR (X.pd_crr_rd_t1 IS NULL AND Y.pd_crr_rd_t1_SIMUL IS NOT NULL ) OR (X.pd_crr_rd_t1 IS NOT NULL AND Y.pd_crr_rd_t1_SIMUL IS NULL),1,0)) AS NUM_REG_DIF,'1' AS ID_EXEC, CURRENT_TIMESTAMP() AS TIME_EXEC FROM (SELECT instrmnt_id, pd_crr_rd_t1 FROM BU_LOANTAPE_WORK.LT002_INSTRUMENT WHERE ref_date='${ref_date}' AND nome_perimetro='Individual Local' AND segmento='ESTR' AND ambito='SRB_MBDT' AND entidade='00100')X INNER JOIN (SELECT instrmnt_id AS instrmnt_id_SIMUL, pd_crr_rd_t1 AS pd_crr_rd_t1_SIMUL FROM BU_LOANTAPE_WORK.SIMUL_LT002_INSTRUMENT WHERE ref_date='${ref_date}' AND nome_perimetro='Individual Local' AND segmento='ESTR' AND ambito='PILAR3' AND entidade='00100')Y ON X.INSTRMNT_ID=Y.INSTRMNT_ID_SIMUL</v>
      </c>
      <c r="N169" s="38"/>
    </row>
    <row r="170" spans="2:14">
      <c r="B170" s="34" t="s">
        <v>117</v>
      </c>
      <c r="C170" s="34" t="s">
        <v>5</v>
      </c>
      <c r="D170" s="34" t="str">
        <f>+UPPER('0. Instruções'!$D$35&amp;"."&amp;VLOOKUP(B170,'0. Instruções'!$C$27:$D$32,2,FALSE))</f>
        <v>BU_LOANTAPE_WORK.LT002_INSTRUMENT</v>
      </c>
      <c r="E170" s="34" t="str">
        <f>+UPPER('0. Instruções'!$D$36&amp;"."&amp;VLOOKUP(B170,'0. Instruções'!$C$27:$E$32,3,FALSE))</f>
        <v>BU_LOANTAPE_WORK.SIMUL_LT002_INSTRUMENT</v>
      </c>
      <c r="F170" s="34" t="s">
        <v>1232</v>
      </c>
      <c r="G170" s="34"/>
      <c r="H170" s="34"/>
      <c r="I170" s="34" t="str">
        <f>"(SELECT "&amp;VLOOKUP(B170,'0. Instruções'!$C$27:$G$32,4,FALSE)&amp;", "&amp;F170&amp;" FROM "&amp;D170&amp;" WHERE "&amp;'0. Instruções'!$D$42&amp;")X"</f>
        <v>(SELECT instrmnt_id, pd_ifrs9_12m_incptn FROM BU_LOANTAPE_WORK.LT002_INSTRUMENT WHERE ref_date='${ref_date}' AND nome_perimetro='Individual Local' AND segmento='ESTR' AND ambito='SRB_MBDT' AND entidade='00100')X</v>
      </c>
      <c r="J170" s="34" t="str">
        <f>"(SELECT "&amp;VLOOKUP(B170,'0. Instruções'!$C$27:$G$32,4,FALSE)&amp;" AS "&amp;VLOOKUP(B170,'0. Instruções'!$C$27:$G$32,4,FALSE)&amp;"_SIMUL, "&amp;F170&amp;" AS "&amp;F170&amp;"_SIMUL FROM "&amp;E170&amp;" WHERE "&amp;'0. Instruções'!$D$43&amp;")Y"</f>
        <v>(SELECT instrmnt_id AS instrmnt_id_SIMUL, pd_ifrs9_12m_incptn AS pd_ifrs9_12m_incptn_SIMUL FROM BU_LOANTAPE_WORK.SIMUL_LT002_INSTRUMENT WHERE ref_date='${ref_date}' AND nome_perimetro='Individual Local' AND segmento='ESTR' AND ambito='PILAR3' AND entidade='00100')Y</v>
      </c>
      <c r="K170" s="35" t="str">
        <f>+UPPER("ON X."&amp;VLOOKUP(B170,'0. Instruções'!$C$27:$G$32,4,FALSE)&amp;"=Y."&amp;VLOOKUP(B170,'0. Instruções'!$C$27:$G$32,4,FALSE)&amp;"_SIMUL")</f>
        <v>ON X.INSTRMNT_ID=Y.INSTRMNT_ID_SIMUL</v>
      </c>
      <c r="L170" s="35" t="str">
        <f>+IF(C170="Coerência", +IF(LEFT(G170,5)="FLOAT","SELECT '"&amp;UPPER(B170)&amp;"' AS TABELA, '"&amp;UPPER(C170)&amp;"' AS TIPOLOGIA_TESTE,'"&amp;D170&amp;"' AS TABELA_LT,'"&amp;E170&amp;"' AS TABELA_SIMUL,'"&amp;F170&amp;"' AS CAMPO, "&amp;"'${ref_date}' AS REF_DATE, COUNT(*) AS NUM_REG, SUM(IF((ABS(COALESCE(CAST(X."&amp;F170&amp;" AS DECIMAL(18,6)),0)-COALESCE(CAST(Y."&amp;F170&amp;"_SIMUL AS DECIMAL(18,6)),0))&gt;0.000001) OR (X."&amp;F170&amp;" IS NULL AND Y."&amp;F170&amp;"_SIMUL IS NOT NULL ) OR (X."&amp;F170&amp;" IS NOT NULL AND Y."&amp;F170&amp;"_SIMUL IS NULL),1,0)) AS NUM_REG_DIF,'"&amp;MAX('ID1&amp;5'!K:K)+1&amp;"' AS ID_EXEC, CURRENT_TIMESTAMP() AS TIME_EXEC FROM "&amp;I170&amp;" INNER JOIN "&amp;J170&amp;" "&amp;K170,"SELECT '"&amp;UPPER(B170)&amp;"' AS TABELA, '"&amp;UPPER(C170)&amp;"' AS TIPOLOGIA_TESTE,'"&amp;D170&amp;"' AS TABELA_LT,'"&amp;E170&amp;"' AS TABELA_SIMUL,'"&amp;F170&amp;"' AS CAMPO, "&amp;"'${ref_date}' AS REF_DATE, COUNT(*) AS NUM_REG, SUM(IF(COALESCE(CAST(X."&amp;F170&amp;" AS STRING),'')&lt;&gt;COALESCE(CAST(Y."&amp;F170&amp;"_SIMUL AS STRING),'') OR (X."&amp;F170&amp;" IS NULL AND Y."&amp;F170&amp;"_SIMUL IS NOT NULL ) OR (X."&amp;F170&amp;" IS NOT NULL AND Y."&amp;F170&amp;"_SIMUL IS NULL),1,0)) AS NUM_REG_DIF,'"&amp;MAX('ID1&amp;5'!L:L)+1&amp;"' AS ID_EXEC, CURRENT_TIMESTAMP() AS TIME_EXEC FROM "&amp;I170&amp;" INNER JOIN "&amp;J170&amp;" "&amp;K170),
IF(C170="Validade",+IF(G170="Code List","SELECT '"&amp;UPPER(B170)&amp;"' AS TABELA, '"&amp;UPPER(C170)&amp;"' AS TIPOLOGIA_TESTE,'"&amp;D170&amp;"' AS TABELA_LT,'N/A' AS TABELA_SIMUL,'"&amp;F170&amp;"' AS CAMPO, "&amp;"'${ref_date}' AS REF_DATE, COUNT(*) AS NUM_REG, SUM(IF(TRIM(CAST(X."&amp;F170&amp;" AS STRING))='' OR TRIM(CAST(X."&amp;F170&amp;" AS STRING)) IS NULL OR CAST(X."&amp;F170&amp;" AS STRING) NOT "&amp;H170&amp;",1,0)) AS NUM_REG_DIF,'"&amp;MAX('ID1&amp;5'!K:K)+1&amp;"' AS ID_EXEC, CURRENT_TIMESTAMP() AS TIME_EXEC FROM "&amp;I170,"SELECT '"&amp;UPPER(B170)&amp;"' AS TABELA, '"&amp;UPPER(C170)&amp;"' AS TIPOLOGIA_TESTE,'"&amp;D170&amp;"' AS TABELA_LT,'N/A' AS TABELA_SIMUL,'"&amp;F170&amp;"' AS CAMPO, "&amp;"'${ref_date}' AS REF_DATE, COUNT(*) AS NUM_REG, SUM(IF(TRIM(CAST(X."&amp;F170&amp;" AS STRING))='' OR TRIM(CAST(X."&amp;F170&amp;" AS STRING)) IS NULL,1,0)) AS NUM_REG_DIF,'"&amp;MAX('ID1&amp;5'!K:K)+1&amp;"' AS ID_EXEC, CURRENT_TIMESTAMP() AS TIME_EXEC FROM "&amp;I170),
IF(C170="Caracteres Especiais",+"SELECT '"&amp;UPPER(B170)&amp;"' AS TABELA, '"&amp;UPPER(C170)&amp;"' AS TIPOLOGIA_TESTE,'"&amp;D170&amp;"' AS TABELA_LT,'N/A' AS TABELA_SIMUL,'"&amp;F170&amp;"' AS CAMPO, "&amp;"'${ref_date}' AS REF_DATE, COUNT(*) AS NUM_REG, SUM(IF(REGEXP_REPLACE(TRIM(CAST(X."&amp;F170&amp;" AS STRING)),'[^a-zA-Z0-9_\\s]','') &lt;&gt;TRIM(CAST(X."&amp;F170&amp;" AS STRING)),1,0)) AS NUM_REG_DIF,'"&amp;MAX('ID1&amp;5'!K:K)+1&amp;"' AS ID_EXEC, CURRENT_TIMESTAMP() AS TIME_EXEC FROM "&amp;I170,
IF(C170="Missings",+"SELECT '"&amp;UPPER(B170)&amp;"' AS TABELA, '"&amp;UPPER(C170)&amp;"' AS TIPOLOGIA_TESTE,'"&amp;D170&amp;"' AS TABELA_LT,'N/A' AS TABELA_SIMUL,'"&amp;F170&amp;"' AS CAMPO, "&amp;"'${ref_date}' AS REF_DATE, COUNT(*) AS NUM_REG, SUM(IF(TRIM(CAST(X."&amp;F170&amp;" AS STRING)) IN ('0000-00-00','0001-01-01','9999-12-31','MISS','00000','99999999999','99999999999.00','99999999999.000000'),1,0)) AS NUM_REG_DIF,'"&amp;MAX('ID1&amp;5'!K:K)+1&amp;"' AS ID_EXEC, CURRENT_TIMESTAMP() AS TIME_EXEC FROM "&amp;I170,
IF(C170="Not applicable",+"SELECT '"&amp;UPPER(B170)&amp;"' AS TABELA, '"&amp;UPPER(C170)&amp;"' AS TIPOLOGIA_TESTE,'"&amp;D170&amp;"' AS TABELA_LT,'N/A' AS TABELA_SIMUL,'"&amp;F170&amp;"' AS CAMPO, "&amp;"'${ref_date}' AS REF_DATE, COUNT(*) AS NUM_REG, SUM(IF(TRIM(CAST(X."&amp;F170&amp;" AS STRING)) IN ('N/A','11111111111','11111111111.00','11111111111.000000','1111-11-11'),1,0)) AS NUM_REG_DIF,'"&amp;MAX('ID1&amp;5'!K:K)+1&amp;"' AS ID_EXEC, CURRENT_TIMESTAMP() AS TIME_EXEC FROM "&amp;I170,
IF(C170="Valores extremos",+"SELECT '"&amp;UPPER(B170)&amp;"' AS TABELA, '"&amp;UPPER(C170)&amp;"' AS TIPOLOGIA_TESTE,'"&amp;D170&amp;"' AS TABELA_LT,'N/A' AS TABELA_SIMUL,'"&amp;F170&amp;"' AS CAMPO, "&amp;"'${ref_date}' AS REF_DATE, CAST(MIN("&amp;F170&amp;") AS STRING) AS VALOR_MIN, CAST(MAX("&amp;F170&amp;") AS STRING) AS VALOR_MAX,'"&amp;MAX('ID1&amp;5'!K:K)+1&amp;"' AS ID_EXEC, CURRENT_TIMESTAMP() AS TIME_EXEC FROM "&amp;MID(I170,1,LEN(I170)-2)&amp;" AND CAST("&amp;F170&amp;"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TABELA_SIMUL,'pd_ifrs9_12m_incptn' AS CAMPO, '${ref_date}' AS REF_DATE, COUNT(*) AS NUM_REG, SUM(IF(COALESCE(CAST(X.pd_ifrs9_12m_incptn AS STRING),'')&lt;&gt;COALESCE(CAST(Y.pd_ifrs9_12m_incptn_SIMUL AS STRING),'') OR (X.pd_ifrs9_12m_incptn IS NULL AND Y.pd_ifrs9_12m_incptn_SIMUL IS NOT NULL ) OR (X.pd_ifrs9_12m_incptn IS NOT NULL AND Y.pd_ifrs9_12m_incptn_SIMUL IS NULL),1,0)) AS NUM_REG_DIF,'1' AS ID_EXEC, CURRENT_TIMESTAMP() AS TIME_EXEC FROM (SELECT instrmnt_id, pd_ifrs9_12m_incptn FROM BU_LOANTAPE_WORK.LT002_INSTRUMENT WHERE ref_date='${ref_date}' AND nome_perimetro='Individual Local' AND segmento='ESTR' AND ambito='SRB_MBDT' AND entidade='00100')X INNER JOIN (SELECT instrmnt_id AS instrmnt_id_SIMUL, pd_ifrs9_12m_incptn AS pd_ifrs9_12m_incptn_SIMUL FROM BU_LOANTAPE_WORK.SIMUL_LT002_INSTRUMENT WHERE ref_date='${ref_date}' AND nome_perimetro='Individual Local' AND segmento='ESTR' AND ambito='PILAR3' AND entidade='00100')Y ON X.INSTRMNT_ID=Y.INSTRMNT_ID_SIMUL</v>
      </c>
      <c r="M170" s="36" t="str">
        <f t="shared" si="5"/>
        <v>UNION ALL SELECT 'INSTRUMENT' AS TABELA, 'COERÊNCIA' AS TIPOLOGIA_TESTE,'BU_LOANTAPE_WORK.LT002_INSTRUMENT' AS TABELA_LT,'BU_LOANTAPE_WORK.SIMUL_LT002_INSTRUMENT' AS TABELA_SIMUL,'pd_ifrs9_12m_incptn' AS CAMPO, '${ref_date}' AS REF_DATE, COUNT(*) AS NUM_REG, SUM(IF(COALESCE(CAST(X.pd_ifrs9_12m_incptn AS STRING),'')&lt;&gt;COALESCE(CAST(Y.pd_ifrs9_12m_incptn_SIMUL AS STRING),'') OR (X.pd_ifrs9_12m_incptn IS NULL AND Y.pd_ifrs9_12m_incptn_SIMUL IS NOT NULL ) OR (X.pd_ifrs9_12m_incptn IS NOT NULL AND Y.pd_ifrs9_12m_incptn_SIMUL IS NULL),1,0)) AS NUM_REG_DIF,'1' AS ID_EXEC, CURRENT_TIMESTAMP() AS TIME_EXEC FROM (SELECT instrmnt_id, pd_ifrs9_12m_incptn FROM BU_LOANTAPE_WORK.LT002_INSTRUMENT WHERE ref_date='${ref_date}' AND nome_perimetro='Individual Local' AND segmento='ESTR' AND ambito='SRB_MBDT' AND entidade='00100')X INNER JOIN (SELECT instrmnt_id AS instrmnt_id_SIMUL, pd_ifrs9_12m_incptn AS pd_ifrs9_12m_incptn_SIMUL FROM BU_LOANTAPE_WORK.SIMUL_LT002_INSTRUMENT WHERE ref_date='${ref_date}' AND nome_perimetro='Individual Local' AND segmento='ESTR' AND ambito='PILAR3' AND entidade='00100')Y ON X.INSTRMNT_ID=Y.INSTRMNT_ID_SIMUL</v>
      </c>
      <c r="N170" s="38"/>
    </row>
    <row r="171" spans="2:14">
      <c r="B171" s="34" t="s">
        <v>117</v>
      </c>
      <c r="C171" s="34" t="s">
        <v>5</v>
      </c>
      <c r="D171" s="34" t="str">
        <f>+UPPER('0. Instruções'!$D$35&amp;"."&amp;VLOOKUP(B171,'0. Instruções'!$C$27:$D$32,2,FALSE))</f>
        <v>BU_LOANTAPE_WORK.LT002_INSTRUMENT</v>
      </c>
      <c r="E171" s="34" t="str">
        <f>+UPPER('0. Instruções'!$D$36&amp;"."&amp;VLOOKUP(B171,'0. Instruções'!$C$27:$E$32,3,FALSE))</f>
        <v>BU_LOANTAPE_WORK.SIMUL_LT002_INSTRUMENT</v>
      </c>
      <c r="F171" s="34" t="s">
        <v>1233</v>
      </c>
      <c r="G171" s="34"/>
      <c r="H171" s="34"/>
      <c r="I171" s="34" t="str">
        <f>"(SELECT "&amp;VLOOKUP(B171,'0. Instruções'!$C$27:$G$32,4,FALSE)&amp;", "&amp;F171&amp;" FROM "&amp;D171&amp;" WHERE "&amp;'0. Instruções'!$D$42&amp;")X"</f>
        <v>(SELECT instrmnt_id, pd_ifrs9_12m_rd FROM BU_LOANTAPE_WORK.LT002_INSTRUMENT WHERE ref_date='${ref_date}' AND nome_perimetro='Individual Local' AND segmento='ESTR' AND ambito='SRB_MBDT' AND entidade='00100')X</v>
      </c>
      <c r="J171" s="34" t="str">
        <f>"(SELECT "&amp;VLOOKUP(B171,'0. Instruções'!$C$27:$G$32,4,FALSE)&amp;" AS "&amp;VLOOKUP(B171,'0. Instruções'!$C$27:$G$32,4,FALSE)&amp;"_SIMUL, "&amp;F171&amp;" AS "&amp;F171&amp;"_SIMUL FROM "&amp;E171&amp;" WHERE "&amp;'0. Instruções'!$D$43&amp;")Y"</f>
        <v>(SELECT instrmnt_id AS instrmnt_id_SIMUL, pd_ifrs9_12m_rd AS pd_ifrs9_12m_rd_SIMUL FROM BU_LOANTAPE_WORK.SIMUL_LT002_INSTRUMENT WHERE ref_date='${ref_date}' AND nome_perimetro='Individual Local' AND segmento='ESTR' AND ambito='PILAR3' AND entidade='00100')Y</v>
      </c>
      <c r="K171" s="35" t="str">
        <f>+UPPER("ON X."&amp;VLOOKUP(B171,'0. Instruções'!$C$27:$G$32,4,FALSE)&amp;"=Y."&amp;VLOOKUP(B171,'0. Instruções'!$C$27:$G$32,4,FALSE)&amp;"_SIMUL")</f>
        <v>ON X.INSTRMNT_ID=Y.INSTRMNT_ID_SIMUL</v>
      </c>
      <c r="L171" s="35" t="str">
        <f>+IF(C171="Coerência", +IF(LEFT(G171,5)="FLOAT","SELECT '"&amp;UPPER(B171)&amp;"' AS TABELA, '"&amp;UPPER(C171)&amp;"' AS TIPOLOGIA_TESTE,'"&amp;D171&amp;"' AS TABELA_LT,'"&amp;E171&amp;"' AS TABELA_SIMUL,'"&amp;F171&amp;"' AS CAMPO, "&amp;"'${ref_date}' AS REF_DATE, COUNT(*) AS NUM_REG, SUM(IF((ABS(COALESCE(CAST(X."&amp;F171&amp;" AS DECIMAL(18,6)),0)-COALESCE(CAST(Y."&amp;F171&amp;"_SIMUL AS DECIMAL(18,6)),0))&gt;0.000001) OR (X."&amp;F171&amp;" IS NULL AND Y."&amp;F171&amp;"_SIMUL IS NOT NULL ) OR (X."&amp;F171&amp;" IS NOT NULL AND Y."&amp;F171&amp;"_SIMUL IS NULL),1,0)) AS NUM_REG_DIF,'"&amp;MAX('ID1&amp;5'!K:K)+1&amp;"' AS ID_EXEC, CURRENT_TIMESTAMP() AS TIME_EXEC FROM "&amp;I171&amp;" INNER JOIN "&amp;J171&amp;" "&amp;K171,"SELECT '"&amp;UPPER(B171)&amp;"' AS TABELA, '"&amp;UPPER(C171)&amp;"' AS TIPOLOGIA_TESTE,'"&amp;D171&amp;"' AS TABELA_LT,'"&amp;E171&amp;"' AS TABELA_SIMUL,'"&amp;F171&amp;"' AS CAMPO, "&amp;"'${ref_date}' AS REF_DATE, COUNT(*) AS NUM_REG, SUM(IF(COALESCE(CAST(X."&amp;F171&amp;" AS STRING),'')&lt;&gt;COALESCE(CAST(Y."&amp;F171&amp;"_SIMUL AS STRING),'') OR (X."&amp;F171&amp;" IS NULL AND Y."&amp;F171&amp;"_SIMUL IS NOT NULL ) OR (X."&amp;F171&amp;" IS NOT NULL AND Y."&amp;F171&amp;"_SIMUL IS NULL),1,0)) AS NUM_REG_DIF,'"&amp;MAX('ID1&amp;5'!L:L)+1&amp;"' AS ID_EXEC, CURRENT_TIMESTAMP() AS TIME_EXEC FROM "&amp;I171&amp;" INNER JOIN "&amp;J171&amp;" "&amp;K171),
IF(C171="Validade",+IF(G171="Code List","SELECT '"&amp;UPPER(B171)&amp;"' AS TABELA, '"&amp;UPPER(C171)&amp;"' AS TIPOLOGIA_TESTE,'"&amp;D171&amp;"' AS TABELA_LT,'N/A' AS TABELA_SIMUL,'"&amp;F171&amp;"' AS CAMPO, "&amp;"'${ref_date}' AS REF_DATE, COUNT(*) AS NUM_REG, SUM(IF(TRIM(CAST(X."&amp;F171&amp;" AS STRING))='' OR TRIM(CAST(X."&amp;F171&amp;" AS STRING)) IS NULL OR CAST(X."&amp;F171&amp;" AS STRING) NOT "&amp;H171&amp;",1,0)) AS NUM_REG_DIF,'"&amp;MAX('ID1&amp;5'!K:K)+1&amp;"' AS ID_EXEC, CURRENT_TIMESTAMP() AS TIME_EXEC FROM "&amp;I171,"SELECT '"&amp;UPPER(B171)&amp;"' AS TABELA, '"&amp;UPPER(C171)&amp;"' AS TIPOLOGIA_TESTE,'"&amp;D171&amp;"' AS TABELA_LT,'N/A' AS TABELA_SIMUL,'"&amp;F171&amp;"' AS CAMPO, "&amp;"'${ref_date}' AS REF_DATE, COUNT(*) AS NUM_REG, SUM(IF(TRIM(CAST(X."&amp;F171&amp;" AS STRING))='' OR TRIM(CAST(X."&amp;F171&amp;" AS STRING)) IS NULL,1,0)) AS NUM_REG_DIF,'"&amp;MAX('ID1&amp;5'!K:K)+1&amp;"' AS ID_EXEC, CURRENT_TIMESTAMP() AS TIME_EXEC FROM "&amp;I171),
IF(C171="Caracteres Especiais",+"SELECT '"&amp;UPPER(B171)&amp;"' AS TABELA, '"&amp;UPPER(C171)&amp;"' AS TIPOLOGIA_TESTE,'"&amp;D171&amp;"' AS TABELA_LT,'N/A' AS TABELA_SIMUL,'"&amp;F171&amp;"' AS CAMPO, "&amp;"'${ref_date}' AS REF_DATE, COUNT(*) AS NUM_REG, SUM(IF(REGEXP_REPLACE(TRIM(CAST(X."&amp;F171&amp;" AS STRING)),'[^a-zA-Z0-9_\\s]','') &lt;&gt;TRIM(CAST(X."&amp;F171&amp;" AS STRING)),1,0)) AS NUM_REG_DIF,'"&amp;MAX('ID1&amp;5'!K:K)+1&amp;"' AS ID_EXEC, CURRENT_TIMESTAMP() AS TIME_EXEC FROM "&amp;I171,
IF(C171="Missings",+"SELECT '"&amp;UPPER(B171)&amp;"' AS TABELA, '"&amp;UPPER(C171)&amp;"' AS TIPOLOGIA_TESTE,'"&amp;D171&amp;"' AS TABELA_LT,'N/A' AS TABELA_SIMUL,'"&amp;F171&amp;"' AS CAMPO, "&amp;"'${ref_date}' AS REF_DATE, COUNT(*) AS NUM_REG, SUM(IF(TRIM(CAST(X."&amp;F171&amp;" AS STRING)) IN ('0000-00-00','0001-01-01','9999-12-31','MISS','00000','99999999999','99999999999.00','99999999999.000000'),1,0)) AS NUM_REG_DIF,'"&amp;MAX('ID1&amp;5'!K:K)+1&amp;"' AS ID_EXEC, CURRENT_TIMESTAMP() AS TIME_EXEC FROM "&amp;I171,
IF(C171="Not applicable",+"SELECT '"&amp;UPPER(B171)&amp;"' AS TABELA, '"&amp;UPPER(C171)&amp;"' AS TIPOLOGIA_TESTE,'"&amp;D171&amp;"' AS TABELA_LT,'N/A' AS TABELA_SIMUL,'"&amp;F171&amp;"' AS CAMPO, "&amp;"'${ref_date}' AS REF_DATE, COUNT(*) AS NUM_REG, SUM(IF(TRIM(CAST(X."&amp;F171&amp;" AS STRING)) IN ('N/A','11111111111','11111111111.00','11111111111.000000','1111-11-11'),1,0)) AS NUM_REG_DIF,'"&amp;MAX('ID1&amp;5'!K:K)+1&amp;"' AS ID_EXEC, CURRENT_TIMESTAMP() AS TIME_EXEC FROM "&amp;I171,
IF(C171="Valores extremos",+"SELECT '"&amp;UPPER(B171)&amp;"' AS TABELA, '"&amp;UPPER(C171)&amp;"' AS TIPOLOGIA_TESTE,'"&amp;D171&amp;"' AS TABELA_LT,'N/A' AS TABELA_SIMUL,'"&amp;F171&amp;"' AS CAMPO, "&amp;"'${ref_date}' AS REF_DATE, CAST(MIN("&amp;F171&amp;") AS STRING) AS VALOR_MIN, CAST(MAX("&amp;F171&amp;") AS STRING) AS VALOR_MAX,'"&amp;MAX('ID1&amp;5'!K:K)+1&amp;"' AS ID_EXEC, CURRENT_TIMESTAMP() AS TIME_EXEC FROM "&amp;MID(I171,1,LEN(I171)-2)&amp;" AND CAST("&amp;F171&amp;"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TABELA_SIMUL,'pd_ifrs9_12m_rd' AS CAMPO, '${ref_date}' AS REF_DATE, COUNT(*) AS NUM_REG, SUM(IF(COALESCE(CAST(X.pd_ifrs9_12m_rd AS STRING),'')&lt;&gt;COALESCE(CAST(Y.pd_ifrs9_12m_rd_SIMUL AS STRING),'') OR (X.pd_ifrs9_12m_rd IS NULL AND Y.pd_ifrs9_12m_rd_SIMUL IS NOT NULL ) OR (X.pd_ifrs9_12m_rd IS NOT NULL AND Y.pd_ifrs9_12m_rd_SIMUL IS NULL),1,0)) AS NUM_REG_DIF,'1' AS ID_EXEC, CURRENT_TIMESTAMP() AS TIME_EXEC FROM (SELECT instrmnt_id, pd_ifrs9_12m_rd FROM BU_LOANTAPE_WORK.LT002_INSTRUMENT WHERE ref_date='${ref_date}' AND nome_perimetro='Individual Local' AND segmento='ESTR' AND ambito='SRB_MBDT' AND entidade='00100')X INNER JOIN (SELECT instrmnt_id AS instrmnt_id_SIMUL, pd_ifrs9_12m_rd AS pd_ifrs9_12m_rd_SIMUL FROM BU_LOANTAPE_WORK.SIMUL_LT002_INSTRUMENT WHERE ref_date='${ref_date}' AND nome_perimetro='Individual Local' AND segmento='ESTR' AND ambito='PILAR3' AND entidade='00100')Y ON X.INSTRMNT_ID=Y.INSTRMNT_ID_SIMUL</v>
      </c>
      <c r="M171" s="36" t="str">
        <f t="shared" si="5"/>
        <v>UNION ALL SELECT 'INSTRUMENT' AS TABELA, 'COERÊNCIA' AS TIPOLOGIA_TESTE,'BU_LOANTAPE_WORK.LT002_INSTRUMENT' AS TABELA_LT,'BU_LOANTAPE_WORK.SIMUL_LT002_INSTRUMENT' AS TABELA_SIMUL,'pd_ifrs9_12m_rd' AS CAMPO, '${ref_date}' AS REF_DATE, COUNT(*) AS NUM_REG, SUM(IF(COALESCE(CAST(X.pd_ifrs9_12m_rd AS STRING),'')&lt;&gt;COALESCE(CAST(Y.pd_ifrs9_12m_rd_SIMUL AS STRING),'') OR (X.pd_ifrs9_12m_rd IS NULL AND Y.pd_ifrs9_12m_rd_SIMUL IS NOT NULL ) OR (X.pd_ifrs9_12m_rd IS NOT NULL AND Y.pd_ifrs9_12m_rd_SIMUL IS NULL),1,0)) AS NUM_REG_DIF,'1' AS ID_EXEC, CURRENT_TIMESTAMP() AS TIME_EXEC FROM (SELECT instrmnt_id, pd_ifrs9_12m_rd FROM BU_LOANTAPE_WORK.LT002_INSTRUMENT WHERE ref_date='${ref_date}' AND nome_perimetro='Individual Local' AND segmento='ESTR' AND ambito='SRB_MBDT' AND entidade='00100')X INNER JOIN (SELECT instrmnt_id AS instrmnt_id_SIMUL, pd_ifrs9_12m_rd AS pd_ifrs9_12m_rd_SIMUL FROM BU_LOANTAPE_WORK.SIMUL_LT002_INSTRUMENT WHERE ref_date='${ref_date}' AND nome_perimetro='Individual Local' AND segmento='ESTR' AND ambito='PILAR3' AND entidade='00100')Y ON X.INSTRMNT_ID=Y.INSTRMNT_ID_SIMUL</v>
      </c>
      <c r="N171" s="38"/>
    </row>
    <row r="172" spans="2:14">
      <c r="B172" s="34" t="s">
        <v>117</v>
      </c>
      <c r="C172" s="34" t="s">
        <v>5</v>
      </c>
      <c r="D172" s="34" t="str">
        <f>+UPPER('0. Instruções'!$D$35&amp;"."&amp;VLOOKUP(B172,'0. Instruções'!$C$27:$D$32,2,FALSE))</f>
        <v>BU_LOANTAPE_WORK.LT002_INSTRUMENT</v>
      </c>
      <c r="E172" s="34" t="str">
        <f>+UPPER('0. Instruções'!$D$36&amp;"."&amp;VLOOKUP(B172,'0. Instruções'!$C$27:$E$32,3,FALSE))</f>
        <v>BU_LOANTAPE_WORK.SIMUL_LT002_INSTRUMENT</v>
      </c>
      <c r="F172" s="34" t="s">
        <v>1234</v>
      </c>
      <c r="G172" s="34"/>
      <c r="H172" s="34"/>
      <c r="I172" s="34" t="str">
        <f>"(SELECT "&amp;VLOOKUP(B172,'0. Instruções'!$C$27:$G$32,4,FALSE)&amp;", "&amp;F172&amp;" FROM "&amp;D172&amp;" WHERE "&amp;'0. Instruções'!$D$42&amp;")X"</f>
        <v>(SELECT instrmnt_id, pd_ifrs9_12m_rd_t1 FROM BU_LOANTAPE_WORK.LT002_INSTRUMENT WHERE ref_date='${ref_date}' AND nome_perimetro='Individual Local' AND segmento='ESTR' AND ambito='SRB_MBDT' AND entidade='00100')X</v>
      </c>
      <c r="J172" s="34" t="str">
        <f>"(SELECT "&amp;VLOOKUP(B172,'0. Instruções'!$C$27:$G$32,4,FALSE)&amp;" AS "&amp;VLOOKUP(B172,'0. Instruções'!$C$27:$G$32,4,FALSE)&amp;"_SIMUL, "&amp;F172&amp;" AS "&amp;F172&amp;"_SIMUL FROM "&amp;E172&amp;" WHERE "&amp;'0. Instruções'!$D$43&amp;")Y"</f>
        <v>(SELECT instrmnt_id AS instrmnt_id_SIMUL, pd_ifrs9_12m_rd_t1 AS pd_ifrs9_12m_rd_t1_SIMUL FROM BU_LOANTAPE_WORK.SIMUL_LT002_INSTRUMENT WHERE ref_date='${ref_date}' AND nome_perimetro='Individual Local' AND segmento='ESTR' AND ambito='PILAR3' AND entidade='00100')Y</v>
      </c>
      <c r="K172" s="35" t="str">
        <f>+UPPER("ON X."&amp;VLOOKUP(B172,'0. Instruções'!$C$27:$G$32,4,FALSE)&amp;"=Y."&amp;VLOOKUP(B172,'0. Instruções'!$C$27:$G$32,4,FALSE)&amp;"_SIMUL")</f>
        <v>ON X.INSTRMNT_ID=Y.INSTRMNT_ID_SIMUL</v>
      </c>
      <c r="L172" s="35" t="str">
        <f>+IF(C172="Coerência", +IF(LEFT(G172,5)="FLOAT","SELECT '"&amp;UPPER(B172)&amp;"' AS TABELA, '"&amp;UPPER(C172)&amp;"' AS TIPOLOGIA_TESTE,'"&amp;D172&amp;"' AS TABELA_LT,'"&amp;E172&amp;"' AS TABELA_SIMUL,'"&amp;F172&amp;"' AS CAMPO, "&amp;"'${ref_date}' AS REF_DATE, COUNT(*) AS NUM_REG, SUM(IF((ABS(COALESCE(CAST(X."&amp;F172&amp;" AS DECIMAL(18,6)),0)-COALESCE(CAST(Y."&amp;F172&amp;"_SIMUL AS DECIMAL(18,6)),0))&gt;0.000001) OR (X."&amp;F172&amp;" IS NULL AND Y."&amp;F172&amp;"_SIMUL IS NOT NULL ) OR (X."&amp;F172&amp;" IS NOT NULL AND Y."&amp;F172&amp;"_SIMUL IS NULL),1,0)) AS NUM_REG_DIF,'"&amp;MAX('ID1&amp;5'!K:K)+1&amp;"' AS ID_EXEC, CURRENT_TIMESTAMP() AS TIME_EXEC FROM "&amp;I172&amp;" INNER JOIN "&amp;J172&amp;" "&amp;K172,"SELECT '"&amp;UPPER(B172)&amp;"' AS TABELA, '"&amp;UPPER(C172)&amp;"' AS TIPOLOGIA_TESTE,'"&amp;D172&amp;"' AS TABELA_LT,'"&amp;E172&amp;"' AS TABELA_SIMUL,'"&amp;F172&amp;"' AS CAMPO, "&amp;"'${ref_date}' AS REF_DATE, COUNT(*) AS NUM_REG, SUM(IF(COALESCE(CAST(X."&amp;F172&amp;" AS STRING),'')&lt;&gt;COALESCE(CAST(Y."&amp;F172&amp;"_SIMUL AS STRING),'') OR (X."&amp;F172&amp;" IS NULL AND Y."&amp;F172&amp;"_SIMUL IS NOT NULL ) OR (X."&amp;F172&amp;" IS NOT NULL AND Y."&amp;F172&amp;"_SIMUL IS NULL),1,0)) AS NUM_REG_DIF,'"&amp;MAX('ID1&amp;5'!L:L)+1&amp;"' AS ID_EXEC, CURRENT_TIMESTAMP() AS TIME_EXEC FROM "&amp;I172&amp;" INNER JOIN "&amp;J172&amp;" "&amp;K172),
IF(C172="Validade",+IF(G172="Code List","SELECT '"&amp;UPPER(B172)&amp;"' AS TABELA, '"&amp;UPPER(C172)&amp;"' AS TIPOLOGIA_TESTE,'"&amp;D172&amp;"' AS TABELA_LT,'N/A' AS TABELA_SIMUL,'"&amp;F172&amp;"' AS CAMPO, "&amp;"'${ref_date}' AS REF_DATE, COUNT(*) AS NUM_REG, SUM(IF(TRIM(CAST(X."&amp;F172&amp;" AS STRING))='' OR TRIM(CAST(X."&amp;F172&amp;" AS STRING)) IS NULL OR CAST(X."&amp;F172&amp;" AS STRING) NOT "&amp;H172&amp;",1,0)) AS NUM_REG_DIF,'"&amp;MAX('ID1&amp;5'!K:K)+1&amp;"' AS ID_EXEC, CURRENT_TIMESTAMP() AS TIME_EXEC FROM "&amp;I172,"SELECT '"&amp;UPPER(B172)&amp;"' AS TABELA, '"&amp;UPPER(C172)&amp;"' AS TIPOLOGIA_TESTE,'"&amp;D172&amp;"' AS TABELA_LT,'N/A' AS TABELA_SIMUL,'"&amp;F172&amp;"' AS CAMPO, "&amp;"'${ref_date}' AS REF_DATE, COUNT(*) AS NUM_REG, SUM(IF(TRIM(CAST(X."&amp;F172&amp;" AS STRING))='' OR TRIM(CAST(X."&amp;F172&amp;" AS STRING)) IS NULL,1,0)) AS NUM_REG_DIF,'"&amp;MAX('ID1&amp;5'!K:K)+1&amp;"' AS ID_EXEC, CURRENT_TIMESTAMP() AS TIME_EXEC FROM "&amp;I172),
IF(C172="Caracteres Especiais",+"SELECT '"&amp;UPPER(B172)&amp;"' AS TABELA, '"&amp;UPPER(C172)&amp;"' AS TIPOLOGIA_TESTE,'"&amp;D172&amp;"' AS TABELA_LT,'N/A' AS TABELA_SIMUL,'"&amp;F172&amp;"' AS CAMPO, "&amp;"'${ref_date}' AS REF_DATE, COUNT(*) AS NUM_REG, SUM(IF(REGEXP_REPLACE(TRIM(CAST(X."&amp;F172&amp;" AS STRING)),'[^a-zA-Z0-9_\\s]','') &lt;&gt;TRIM(CAST(X."&amp;F172&amp;" AS STRING)),1,0)) AS NUM_REG_DIF,'"&amp;MAX('ID1&amp;5'!K:K)+1&amp;"' AS ID_EXEC, CURRENT_TIMESTAMP() AS TIME_EXEC FROM "&amp;I172,
IF(C172="Missings",+"SELECT '"&amp;UPPER(B172)&amp;"' AS TABELA, '"&amp;UPPER(C172)&amp;"' AS TIPOLOGIA_TESTE,'"&amp;D172&amp;"' AS TABELA_LT,'N/A' AS TABELA_SIMUL,'"&amp;F172&amp;"' AS CAMPO, "&amp;"'${ref_date}' AS REF_DATE, COUNT(*) AS NUM_REG, SUM(IF(TRIM(CAST(X."&amp;F172&amp;" AS STRING)) IN ('0000-00-00','0001-01-01','9999-12-31','MISS','00000','99999999999','99999999999.00','99999999999.000000'),1,0)) AS NUM_REG_DIF,'"&amp;MAX('ID1&amp;5'!K:K)+1&amp;"' AS ID_EXEC, CURRENT_TIMESTAMP() AS TIME_EXEC FROM "&amp;I172,
IF(C172="Not applicable",+"SELECT '"&amp;UPPER(B172)&amp;"' AS TABELA, '"&amp;UPPER(C172)&amp;"' AS TIPOLOGIA_TESTE,'"&amp;D172&amp;"' AS TABELA_LT,'N/A' AS TABELA_SIMUL,'"&amp;F172&amp;"' AS CAMPO, "&amp;"'${ref_date}' AS REF_DATE, COUNT(*) AS NUM_REG, SUM(IF(TRIM(CAST(X."&amp;F172&amp;" AS STRING)) IN ('N/A','11111111111','11111111111.00','11111111111.000000','1111-11-11'),1,0)) AS NUM_REG_DIF,'"&amp;MAX('ID1&amp;5'!K:K)+1&amp;"' AS ID_EXEC, CURRENT_TIMESTAMP() AS TIME_EXEC FROM "&amp;I172,
IF(C172="Valores extremos",+"SELECT '"&amp;UPPER(B172)&amp;"' AS TABELA, '"&amp;UPPER(C172)&amp;"' AS TIPOLOGIA_TESTE,'"&amp;D172&amp;"' AS TABELA_LT,'N/A' AS TABELA_SIMUL,'"&amp;F172&amp;"' AS CAMPO, "&amp;"'${ref_date}' AS REF_DATE, CAST(MIN("&amp;F172&amp;") AS STRING) AS VALOR_MIN, CAST(MAX("&amp;F172&amp;") AS STRING) AS VALOR_MAX,'"&amp;MAX('ID1&amp;5'!K:K)+1&amp;"' AS ID_EXEC, CURRENT_TIMESTAMP() AS TIME_EXEC FROM "&amp;MID(I172,1,LEN(I172)-2)&amp;" AND CAST("&amp;F172&amp;"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TABELA_SIMUL,'pd_ifrs9_12m_rd_t1' AS CAMPO, '${ref_date}' AS REF_DATE, COUNT(*) AS NUM_REG, SUM(IF(COALESCE(CAST(X.pd_ifrs9_12m_rd_t1 AS STRING),'')&lt;&gt;COALESCE(CAST(Y.pd_ifrs9_12m_rd_t1_SIMUL AS STRING),'') OR (X.pd_ifrs9_12m_rd_t1 IS NULL AND Y.pd_ifrs9_12m_rd_t1_SIMUL IS NOT NULL ) OR (X.pd_ifrs9_12m_rd_t1 IS NOT NULL AND Y.pd_ifrs9_12m_rd_t1_SIMUL IS NULL),1,0)) AS NUM_REG_DIF,'1' AS ID_EXEC, CURRENT_TIMESTAMP() AS TIME_EXEC FROM (SELECT instrmnt_id, pd_ifrs9_12m_rd_t1 FROM BU_LOANTAPE_WORK.LT002_INSTRUMENT WHERE ref_date='${ref_date}' AND nome_perimetro='Individual Local' AND segmento='ESTR' AND ambito='SRB_MBDT' AND entidade='00100')X INNER JOIN (SELECT instrmnt_id AS instrmnt_id_SIMUL, pd_ifrs9_12m_rd_t1 AS pd_ifrs9_12m_rd_t1_SIMUL FROM BU_LOANTAPE_WORK.SIMUL_LT002_INSTRUMENT WHERE ref_date='${ref_date}' AND nome_perimetro='Individual Local' AND segmento='ESTR' AND ambito='PILAR3' AND entidade='00100')Y ON X.INSTRMNT_ID=Y.INSTRMNT_ID_SIMUL</v>
      </c>
      <c r="M172" s="36" t="str">
        <f t="shared" si="5"/>
        <v>UNION ALL SELECT 'INSTRUMENT' AS TABELA, 'COERÊNCIA' AS TIPOLOGIA_TESTE,'BU_LOANTAPE_WORK.LT002_INSTRUMENT' AS TABELA_LT,'BU_LOANTAPE_WORK.SIMUL_LT002_INSTRUMENT' AS TABELA_SIMUL,'pd_ifrs9_12m_rd_t1' AS CAMPO, '${ref_date}' AS REF_DATE, COUNT(*) AS NUM_REG, SUM(IF(COALESCE(CAST(X.pd_ifrs9_12m_rd_t1 AS STRING),'')&lt;&gt;COALESCE(CAST(Y.pd_ifrs9_12m_rd_t1_SIMUL AS STRING),'') OR (X.pd_ifrs9_12m_rd_t1 IS NULL AND Y.pd_ifrs9_12m_rd_t1_SIMUL IS NOT NULL ) OR (X.pd_ifrs9_12m_rd_t1 IS NOT NULL AND Y.pd_ifrs9_12m_rd_t1_SIMUL IS NULL),1,0)) AS NUM_REG_DIF,'1' AS ID_EXEC, CURRENT_TIMESTAMP() AS TIME_EXEC FROM (SELECT instrmnt_id, pd_ifrs9_12m_rd_t1 FROM BU_LOANTAPE_WORK.LT002_INSTRUMENT WHERE ref_date='${ref_date}' AND nome_perimetro='Individual Local' AND segmento='ESTR' AND ambito='SRB_MBDT' AND entidade='00100')X INNER JOIN (SELECT instrmnt_id AS instrmnt_id_SIMUL, pd_ifrs9_12m_rd_t1 AS pd_ifrs9_12m_rd_t1_SIMUL FROM BU_LOANTAPE_WORK.SIMUL_LT002_INSTRUMENT WHERE ref_date='${ref_date}' AND nome_perimetro='Individual Local' AND segmento='ESTR' AND ambito='PILAR3' AND entidade='00100')Y ON X.INSTRMNT_ID=Y.INSTRMNT_ID_SIMUL</v>
      </c>
      <c r="N172" s="38"/>
    </row>
    <row r="173" spans="2:14">
      <c r="B173" s="34" t="s">
        <v>117</v>
      </c>
      <c r="C173" s="34" t="s">
        <v>5</v>
      </c>
      <c r="D173" s="34" t="str">
        <f>+UPPER('0. Instruções'!$D$35&amp;"."&amp;VLOOKUP(B173,'0. Instruções'!$C$27:$D$32,2,FALSE))</f>
        <v>BU_LOANTAPE_WORK.LT002_INSTRUMENT</v>
      </c>
      <c r="E173" s="34" t="str">
        <f>+UPPER('0. Instruções'!$D$36&amp;"."&amp;VLOOKUP(B173,'0. Instruções'!$C$27:$E$32,3,FALSE))</f>
        <v>BU_LOANTAPE_WORK.SIMUL_LT002_INSTRUMENT</v>
      </c>
      <c r="F173" s="34" t="s">
        <v>1235</v>
      </c>
      <c r="G173" s="34"/>
      <c r="H173" s="34"/>
      <c r="I173" s="34" t="str">
        <f>"(SELECT "&amp;VLOOKUP(B173,'0. Instruções'!$C$27:$G$32,4,FALSE)&amp;", "&amp;F173&amp;" FROM "&amp;D173&amp;" WHERE "&amp;'0. Instruções'!$D$42&amp;")X"</f>
        <v>(SELECT instrmnt_id, pd_ifrs9_lftm_incptn FROM BU_LOANTAPE_WORK.LT002_INSTRUMENT WHERE ref_date='${ref_date}' AND nome_perimetro='Individual Local' AND segmento='ESTR' AND ambito='SRB_MBDT' AND entidade='00100')X</v>
      </c>
      <c r="J173" s="34" t="str">
        <f>"(SELECT "&amp;VLOOKUP(B173,'0. Instruções'!$C$27:$G$32,4,FALSE)&amp;" AS "&amp;VLOOKUP(B173,'0. Instruções'!$C$27:$G$32,4,FALSE)&amp;"_SIMUL, "&amp;F173&amp;" AS "&amp;F173&amp;"_SIMUL FROM "&amp;E173&amp;" WHERE "&amp;'0. Instruções'!$D$43&amp;")Y"</f>
        <v>(SELECT instrmnt_id AS instrmnt_id_SIMUL, pd_ifrs9_lftm_incptn AS pd_ifrs9_lftm_incptn_SIMUL FROM BU_LOANTAPE_WORK.SIMUL_LT002_INSTRUMENT WHERE ref_date='${ref_date}' AND nome_perimetro='Individual Local' AND segmento='ESTR' AND ambito='PILAR3' AND entidade='00100')Y</v>
      </c>
      <c r="K173" s="35" t="str">
        <f>+UPPER("ON X."&amp;VLOOKUP(B173,'0. Instruções'!$C$27:$G$32,4,FALSE)&amp;"=Y."&amp;VLOOKUP(B173,'0. Instruções'!$C$27:$G$32,4,FALSE)&amp;"_SIMUL")</f>
        <v>ON X.INSTRMNT_ID=Y.INSTRMNT_ID_SIMUL</v>
      </c>
      <c r="L173" s="35" t="str">
        <f>+IF(C173="Coerência", +IF(LEFT(G173,5)="FLOAT","SELECT '"&amp;UPPER(B173)&amp;"' AS TABELA, '"&amp;UPPER(C173)&amp;"' AS TIPOLOGIA_TESTE,'"&amp;D173&amp;"' AS TABELA_LT,'"&amp;E173&amp;"' AS TABELA_SIMUL,'"&amp;F173&amp;"' AS CAMPO, "&amp;"'${ref_date}' AS REF_DATE, COUNT(*) AS NUM_REG, SUM(IF((ABS(COALESCE(CAST(X."&amp;F173&amp;" AS DECIMAL(18,6)),0)-COALESCE(CAST(Y."&amp;F173&amp;"_SIMUL AS DECIMAL(18,6)),0))&gt;0.000001) OR (X."&amp;F173&amp;" IS NULL AND Y."&amp;F173&amp;"_SIMUL IS NOT NULL ) OR (X."&amp;F173&amp;" IS NOT NULL AND Y."&amp;F173&amp;"_SIMUL IS NULL),1,0)) AS NUM_REG_DIF,'"&amp;MAX('ID1&amp;5'!K:K)+1&amp;"' AS ID_EXEC, CURRENT_TIMESTAMP() AS TIME_EXEC FROM "&amp;I173&amp;" INNER JOIN "&amp;J173&amp;" "&amp;K173,"SELECT '"&amp;UPPER(B173)&amp;"' AS TABELA, '"&amp;UPPER(C173)&amp;"' AS TIPOLOGIA_TESTE,'"&amp;D173&amp;"' AS TABELA_LT,'"&amp;E173&amp;"' AS TABELA_SIMUL,'"&amp;F173&amp;"' AS CAMPO, "&amp;"'${ref_date}' AS REF_DATE, COUNT(*) AS NUM_REG, SUM(IF(COALESCE(CAST(X."&amp;F173&amp;" AS STRING),'')&lt;&gt;COALESCE(CAST(Y."&amp;F173&amp;"_SIMUL AS STRING),'') OR (X."&amp;F173&amp;" IS NULL AND Y."&amp;F173&amp;"_SIMUL IS NOT NULL ) OR (X."&amp;F173&amp;" IS NOT NULL AND Y."&amp;F173&amp;"_SIMUL IS NULL),1,0)) AS NUM_REG_DIF,'"&amp;MAX('ID1&amp;5'!L:L)+1&amp;"' AS ID_EXEC, CURRENT_TIMESTAMP() AS TIME_EXEC FROM "&amp;I173&amp;" INNER JOIN "&amp;J173&amp;" "&amp;K173),
IF(C173="Validade",+IF(G173="Code List","SELECT '"&amp;UPPER(B173)&amp;"' AS TABELA, '"&amp;UPPER(C173)&amp;"' AS TIPOLOGIA_TESTE,'"&amp;D173&amp;"' AS TABELA_LT,'N/A' AS TABELA_SIMUL,'"&amp;F173&amp;"' AS CAMPO, "&amp;"'${ref_date}' AS REF_DATE, COUNT(*) AS NUM_REG, SUM(IF(TRIM(CAST(X."&amp;F173&amp;" AS STRING))='' OR TRIM(CAST(X."&amp;F173&amp;" AS STRING)) IS NULL OR CAST(X."&amp;F173&amp;" AS STRING) NOT "&amp;H173&amp;",1,0)) AS NUM_REG_DIF,'"&amp;MAX('ID1&amp;5'!K:K)+1&amp;"' AS ID_EXEC, CURRENT_TIMESTAMP() AS TIME_EXEC FROM "&amp;I173,"SELECT '"&amp;UPPER(B173)&amp;"' AS TABELA, '"&amp;UPPER(C173)&amp;"' AS TIPOLOGIA_TESTE,'"&amp;D173&amp;"' AS TABELA_LT,'N/A' AS TABELA_SIMUL,'"&amp;F173&amp;"' AS CAMPO, "&amp;"'${ref_date}' AS REF_DATE, COUNT(*) AS NUM_REG, SUM(IF(TRIM(CAST(X."&amp;F173&amp;" AS STRING))='' OR TRIM(CAST(X."&amp;F173&amp;" AS STRING)) IS NULL,1,0)) AS NUM_REG_DIF,'"&amp;MAX('ID1&amp;5'!K:K)+1&amp;"' AS ID_EXEC, CURRENT_TIMESTAMP() AS TIME_EXEC FROM "&amp;I173),
IF(C173="Caracteres Especiais",+"SELECT '"&amp;UPPER(B173)&amp;"' AS TABELA, '"&amp;UPPER(C173)&amp;"' AS TIPOLOGIA_TESTE,'"&amp;D173&amp;"' AS TABELA_LT,'N/A' AS TABELA_SIMUL,'"&amp;F173&amp;"' AS CAMPO, "&amp;"'${ref_date}' AS REF_DATE, COUNT(*) AS NUM_REG, SUM(IF(REGEXP_REPLACE(TRIM(CAST(X."&amp;F173&amp;" AS STRING)),'[^a-zA-Z0-9_\\s]','') &lt;&gt;TRIM(CAST(X."&amp;F173&amp;" AS STRING)),1,0)) AS NUM_REG_DIF,'"&amp;MAX('ID1&amp;5'!K:K)+1&amp;"' AS ID_EXEC, CURRENT_TIMESTAMP() AS TIME_EXEC FROM "&amp;I173,
IF(C173="Missings",+"SELECT '"&amp;UPPER(B173)&amp;"' AS TABELA, '"&amp;UPPER(C173)&amp;"' AS TIPOLOGIA_TESTE,'"&amp;D173&amp;"' AS TABELA_LT,'N/A' AS TABELA_SIMUL,'"&amp;F173&amp;"' AS CAMPO, "&amp;"'${ref_date}' AS REF_DATE, COUNT(*) AS NUM_REG, SUM(IF(TRIM(CAST(X."&amp;F173&amp;" AS STRING)) IN ('0000-00-00','0001-01-01','9999-12-31','MISS','00000','99999999999','99999999999.00','99999999999.000000'),1,0)) AS NUM_REG_DIF,'"&amp;MAX('ID1&amp;5'!K:K)+1&amp;"' AS ID_EXEC, CURRENT_TIMESTAMP() AS TIME_EXEC FROM "&amp;I173,
IF(C173="Not applicable",+"SELECT '"&amp;UPPER(B173)&amp;"' AS TABELA, '"&amp;UPPER(C173)&amp;"' AS TIPOLOGIA_TESTE,'"&amp;D173&amp;"' AS TABELA_LT,'N/A' AS TABELA_SIMUL,'"&amp;F173&amp;"' AS CAMPO, "&amp;"'${ref_date}' AS REF_DATE, COUNT(*) AS NUM_REG, SUM(IF(TRIM(CAST(X."&amp;F173&amp;" AS STRING)) IN ('N/A','11111111111','11111111111.00','11111111111.000000','1111-11-11'),1,0)) AS NUM_REG_DIF,'"&amp;MAX('ID1&amp;5'!K:K)+1&amp;"' AS ID_EXEC, CURRENT_TIMESTAMP() AS TIME_EXEC FROM "&amp;I173,
IF(C173="Valores extremos",+"SELECT '"&amp;UPPER(B173)&amp;"' AS TABELA, '"&amp;UPPER(C173)&amp;"' AS TIPOLOGIA_TESTE,'"&amp;D173&amp;"' AS TABELA_LT,'N/A' AS TABELA_SIMUL,'"&amp;F173&amp;"' AS CAMPO, "&amp;"'${ref_date}' AS REF_DATE, CAST(MIN("&amp;F173&amp;") AS STRING) AS VALOR_MIN, CAST(MAX("&amp;F173&amp;") AS STRING) AS VALOR_MAX,'"&amp;MAX('ID1&amp;5'!K:K)+1&amp;"' AS ID_EXEC, CURRENT_TIMESTAMP() AS TIME_EXEC FROM "&amp;MID(I173,1,LEN(I173)-2)&amp;" AND CAST("&amp;F173&amp;"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TABELA_SIMUL,'pd_ifrs9_lftm_incptn' AS CAMPO, '${ref_date}' AS REF_DATE, COUNT(*) AS NUM_REG, SUM(IF(COALESCE(CAST(X.pd_ifrs9_lftm_incptn AS STRING),'')&lt;&gt;COALESCE(CAST(Y.pd_ifrs9_lftm_incptn_SIMUL AS STRING),'') OR (X.pd_ifrs9_lftm_incptn IS NULL AND Y.pd_ifrs9_lftm_incptn_SIMUL IS NOT NULL ) OR (X.pd_ifrs9_lftm_incptn IS NOT NULL AND Y.pd_ifrs9_lftm_incptn_SIMUL IS NULL),1,0)) AS NUM_REG_DIF,'1' AS ID_EXEC, CURRENT_TIMESTAMP() AS TIME_EXEC FROM (SELECT instrmnt_id, pd_ifrs9_lftm_incptn FROM BU_LOANTAPE_WORK.LT002_INSTRUMENT WHERE ref_date='${ref_date}' AND nome_perimetro='Individual Local' AND segmento='ESTR' AND ambito='SRB_MBDT' AND entidade='00100')X INNER JOIN (SELECT instrmnt_id AS instrmnt_id_SIMUL, pd_ifrs9_lftm_incptn AS pd_ifrs9_lftm_incptn_SIMUL FROM BU_LOANTAPE_WORK.SIMUL_LT002_INSTRUMENT WHERE ref_date='${ref_date}' AND nome_perimetro='Individual Local' AND segmento='ESTR' AND ambito='PILAR3' AND entidade='00100')Y ON X.INSTRMNT_ID=Y.INSTRMNT_ID_SIMUL</v>
      </c>
      <c r="M173" s="36" t="str">
        <f t="shared" si="5"/>
        <v>UNION ALL SELECT 'INSTRUMENT' AS TABELA, 'COERÊNCIA' AS TIPOLOGIA_TESTE,'BU_LOANTAPE_WORK.LT002_INSTRUMENT' AS TABELA_LT,'BU_LOANTAPE_WORK.SIMUL_LT002_INSTRUMENT' AS TABELA_SIMUL,'pd_ifrs9_lftm_incptn' AS CAMPO, '${ref_date}' AS REF_DATE, COUNT(*) AS NUM_REG, SUM(IF(COALESCE(CAST(X.pd_ifrs9_lftm_incptn AS STRING),'')&lt;&gt;COALESCE(CAST(Y.pd_ifrs9_lftm_incptn_SIMUL AS STRING),'') OR (X.pd_ifrs9_lftm_incptn IS NULL AND Y.pd_ifrs9_lftm_incptn_SIMUL IS NOT NULL ) OR (X.pd_ifrs9_lftm_incptn IS NOT NULL AND Y.pd_ifrs9_lftm_incptn_SIMUL IS NULL),1,0)) AS NUM_REG_DIF,'1' AS ID_EXEC, CURRENT_TIMESTAMP() AS TIME_EXEC FROM (SELECT instrmnt_id, pd_ifrs9_lftm_incptn FROM BU_LOANTAPE_WORK.LT002_INSTRUMENT WHERE ref_date='${ref_date}' AND nome_perimetro='Individual Local' AND segmento='ESTR' AND ambito='SRB_MBDT' AND entidade='00100')X INNER JOIN (SELECT instrmnt_id AS instrmnt_id_SIMUL, pd_ifrs9_lftm_incptn AS pd_ifrs9_lftm_incptn_SIMUL FROM BU_LOANTAPE_WORK.SIMUL_LT002_INSTRUMENT WHERE ref_date='${ref_date}' AND nome_perimetro='Individual Local' AND segmento='ESTR' AND ambito='PILAR3' AND entidade='00100')Y ON X.INSTRMNT_ID=Y.INSTRMNT_ID_SIMUL</v>
      </c>
      <c r="N173" s="38"/>
    </row>
    <row r="174" spans="2:14">
      <c r="B174" s="34" t="s">
        <v>117</v>
      </c>
      <c r="C174" s="34" t="s">
        <v>5</v>
      </c>
      <c r="D174" s="34" t="str">
        <f>+UPPER('0. Instruções'!$D$35&amp;"."&amp;VLOOKUP(B174,'0. Instruções'!$C$27:$D$32,2,FALSE))</f>
        <v>BU_LOANTAPE_WORK.LT002_INSTRUMENT</v>
      </c>
      <c r="E174" s="34" t="str">
        <f>+UPPER('0. Instruções'!$D$36&amp;"."&amp;VLOOKUP(B174,'0. Instruções'!$C$27:$E$32,3,FALSE))</f>
        <v>BU_LOANTAPE_WORK.SIMUL_LT002_INSTRUMENT</v>
      </c>
      <c r="F174" s="34" t="s">
        <v>1236</v>
      </c>
      <c r="G174" s="34"/>
      <c r="H174" s="34"/>
      <c r="I174" s="34" t="str">
        <f>"(SELECT "&amp;VLOOKUP(B174,'0. Instruções'!$C$27:$G$32,4,FALSE)&amp;", "&amp;F174&amp;" FROM "&amp;D174&amp;" WHERE "&amp;'0. Instruções'!$D$42&amp;")X"</f>
        <v>(SELECT instrmnt_id, pd_ifrs9_rmnng_lftm_incptn FROM BU_LOANTAPE_WORK.LT002_INSTRUMENT WHERE ref_date='${ref_date}' AND nome_perimetro='Individual Local' AND segmento='ESTR' AND ambito='SRB_MBDT' AND entidade='00100')X</v>
      </c>
      <c r="J174" s="34" t="str">
        <f>"(SELECT "&amp;VLOOKUP(B174,'0. Instruções'!$C$27:$G$32,4,FALSE)&amp;" AS "&amp;VLOOKUP(B174,'0. Instruções'!$C$27:$G$32,4,FALSE)&amp;"_SIMUL, "&amp;F174&amp;" AS "&amp;F174&amp;"_SIMUL FROM "&amp;E174&amp;" WHERE "&amp;'0. Instruções'!$D$43&amp;")Y"</f>
        <v>(SELECT instrmnt_id AS instrmnt_id_SIMUL, pd_ifrs9_rmnng_lftm_incptn AS pd_ifrs9_rmnng_lftm_incptn_SIMUL FROM BU_LOANTAPE_WORK.SIMUL_LT002_INSTRUMENT WHERE ref_date='${ref_date}' AND nome_perimetro='Individual Local' AND segmento='ESTR' AND ambito='PILAR3' AND entidade='00100')Y</v>
      </c>
      <c r="K174" s="35" t="str">
        <f>+UPPER("ON X."&amp;VLOOKUP(B174,'0. Instruções'!$C$27:$G$32,4,FALSE)&amp;"=Y."&amp;VLOOKUP(B174,'0. Instruções'!$C$27:$G$32,4,FALSE)&amp;"_SIMUL")</f>
        <v>ON X.INSTRMNT_ID=Y.INSTRMNT_ID_SIMUL</v>
      </c>
      <c r="L174" s="35" t="str">
        <f>+IF(C174="Coerência", +IF(LEFT(G174,5)="FLOAT","SELECT '"&amp;UPPER(B174)&amp;"' AS TABELA, '"&amp;UPPER(C174)&amp;"' AS TIPOLOGIA_TESTE,'"&amp;D174&amp;"' AS TABELA_LT,'"&amp;E174&amp;"' AS TABELA_SIMUL,'"&amp;F174&amp;"' AS CAMPO, "&amp;"'${ref_date}' AS REF_DATE, COUNT(*) AS NUM_REG, SUM(IF((ABS(COALESCE(CAST(X."&amp;F174&amp;" AS DECIMAL(18,6)),0)-COALESCE(CAST(Y."&amp;F174&amp;"_SIMUL AS DECIMAL(18,6)),0))&gt;0.000001) OR (X."&amp;F174&amp;" IS NULL AND Y."&amp;F174&amp;"_SIMUL IS NOT NULL ) OR (X."&amp;F174&amp;" IS NOT NULL AND Y."&amp;F174&amp;"_SIMUL IS NULL),1,0)) AS NUM_REG_DIF,'"&amp;MAX('ID1&amp;5'!K:K)+1&amp;"' AS ID_EXEC, CURRENT_TIMESTAMP() AS TIME_EXEC FROM "&amp;I174&amp;" INNER JOIN "&amp;J174&amp;" "&amp;K174,"SELECT '"&amp;UPPER(B174)&amp;"' AS TABELA, '"&amp;UPPER(C174)&amp;"' AS TIPOLOGIA_TESTE,'"&amp;D174&amp;"' AS TABELA_LT,'"&amp;E174&amp;"' AS TABELA_SIMUL,'"&amp;F174&amp;"' AS CAMPO, "&amp;"'${ref_date}' AS REF_DATE, COUNT(*) AS NUM_REG, SUM(IF(COALESCE(CAST(X."&amp;F174&amp;" AS STRING),'')&lt;&gt;COALESCE(CAST(Y."&amp;F174&amp;"_SIMUL AS STRING),'') OR (X."&amp;F174&amp;" IS NULL AND Y."&amp;F174&amp;"_SIMUL IS NOT NULL ) OR (X."&amp;F174&amp;" IS NOT NULL AND Y."&amp;F174&amp;"_SIMUL IS NULL),1,0)) AS NUM_REG_DIF,'"&amp;MAX('ID1&amp;5'!L:L)+1&amp;"' AS ID_EXEC, CURRENT_TIMESTAMP() AS TIME_EXEC FROM "&amp;I174&amp;" INNER JOIN "&amp;J174&amp;" "&amp;K174),
IF(C174="Validade",+IF(G174="Code List","SELECT '"&amp;UPPER(B174)&amp;"' AS TABELA, '"&amp;UPPER(C174)&amp;"' AS TIPOLOGIA_TESTE,'"&amp;D174&amp;"' AS TABELA_LT,'N/A' AS TABELA_SIMUL,'"&amp;F174&amp;"' AS CAMPO, "&amp;"'${ref_date}' AS REF_DATE, COUNT(*) AS NUM_REG, SUM(IF(TRIM(CAST(X."&amp;F174&amp;" AS STRING))='' OR TRIM(CAST(X."&amp;F174&amp;" AS STRING)) IS NULL OR CAST(X."&amp;F174&amp;" AS STRING) NOT "&amp;H174&amp;",1,0)) AS NUM_REG_DIF,'"&amp;MAX('ID1&amp;5'!K:K)+1&amp;"' AS ID_EXEC, CURRENT_TIMESTAMP() AS TIME_EXEC FROM "&amp;I174,"SELECT '"&amp;UPPER(B174)&amp;"' AS TABELA, '"&amp;UPPER(C174)&amp;"' AS TIPOLOGIA_TESTE,'"&amp;D174&amp;"' AS TABELA_LT,'N/A' AS TABELA_SIMUL,'"&amp;F174&amp;"' AS CAMPO, "&amp;"'${ref_date}' AS REF_DATE, COUNT(*) AS NUM_REG, SUM(IF(TRIM(CAST(X."&amp;F174&amp;" AS STRING))='' OR TRIM(CAST(X."&amp;F174&amp;" AS STRING)) IS NULL,1,0)) AS NUM_REG_DIF,'"&amp;MAX('ID1&amp;5'!K:K)+1&amp;"' AS ID_EXEC, CURRENT_TIMESTAMP() AS TIME_EXEC FROM "&amp;I174),
IF(C174="Caracteres Especiais",+"SELECT '"&amp;UPPER(B174)&amp;"' AS TABELA, '"&amp;UPPER(C174)&amp;"' AS TIPOLOGIA_TESTE,'"&amp;D174&amp;"' AS TABELA_LT,'N/A' AS TABELA_SIMUL,'"&amp;F174&amp;"' AS CAMPO, "&amp;"'${ref_date}' AS REF_DATE, COUNT(*) AS NUM_REG, SUM(IF(REGEXP_REPLACE(TRIM(CAST(X."&amp;F174&amp;" AS STRING)),'[^a-zA-Z0-9_\\s]','') &lt;&gt;TRIM(CAST(X."&amp;F174&amp;" AS STRING)),1,0)) AS NUM_REG_DIF,'"&amp;MAX('ID1&amp;5'!K:K)+1&amp;"' AS ID_EXEC, CURRENT_TIMESTAMP() AS TIME_EXEC FROM "&amp;I174,
IF(C174="Missings",+"SELECT '"&amp;UPPER(B174)&amp;"' AS TABELA, '"&amp;UPPER(C174)&amp;"' AS TIPOLOGIA_TESTE,'"&amp;D174&amp;"' AS TABELA_LT,'N/A' AS TABELA_SIMUL,'"&amp;F174&amp;"' AS CAMPO, "&amp;"'${ref_date}' AS REF_DATE, COUNT(*) AS NUM_REG, SUM(IF(TRIM(CAST(X."&amp;F174&amp;" AS STRING)) IN ('0000-00-00','0001-01-01','9999-12-31','MISS','00000','99999999999','99999999999.00','99999999999.000000'),1,0)) AS NUM_REG_DIF,'"&amp;MAX('ID1&amp;5'!K:K)+1&amp;"' AS ID_EXEC, CURRENT_TIMESTAMP() AS TIME_EXEC FROM "&amp;I174,
IF(C174="Not applicable",+"SELECT '"&amp;UPPER(B174)&amp;"' AS TABELA, '"&amp;UPPER(C174)&amp;"' AS TIPOLOGIA_TESTE,'"&amp;D174&amp;"' AS TABELA_LT,'N/A' AS TABELA_SIMUL,'"&amp;F174&amp;"' AS CAMPO, "&amp;"'${ref_date}' AS REF_DATE, COUNT(*) AS NUM_REG, SUM(IF(TRIM(CAST(X."&amp;F174&amp;" AS STRING)) IN ('N/A','11111111111','11111111111.00','11111111111.000000','1111-11-11'),1,0)) AS NUM_REG_DIF,'"&amp;MAX('ID1&amp;5'!K:K)+1&amp;"' AS ID_EXEC, CURRENT_TIMESTAMP() AS TIME_EXEC FROM "&amp;I174,
IF(C174="Valores extremos",+"SELECT '"&amp;UPPER(B174)&amp;"' AS TABELA, '"&amp;UPPER(C174)&amp;"' AS TIPOLOGIA_TESTE,'"&amp;D174&amp;"' AS TABELA_LT,'N/A' AS TABELA_SIMUL,'"&amp;F174&amp;"' AS CAMPO, "&amp;"'${ref_date}' AS REF_DATE, CAST(MIN("&amp;F174&amp;") AS STRING) AS VALOR_MIN, CAST(MAX("&amp;F174&amp;") AS STRING) AS VALOR_MAX,'"&amp;MAX('ID1&amp;5'!K:K)+1&amp;"' AS ID_EXEC, CURRENT_TIMESTAMP() AS TIME_EXEC FROM "&amp;MID(I174,1,LEN(I174)-2)&amp;" AND CAST("&amp;F174&amp;"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TABELA_SIMUL,'pd_ifrs9_rmnng_lftm_incptn' AS CAMPO, '${ref_date}' AS REF_DATE, COUNT(*) AS NUM_REG, SUM(IF(COALESCE(CAST(X.pd_ifrs9_rmnng_lftm_incptn AS STRING),'')&lt;&gt;COALESCE(CAST(Y.pd_ifrs9_rmnng_lftm_incptn_SIMUL AS STRING),'') OR (X.pd_ifrs9_rmnng_lftm_incptn IS NULL AND Y.pd_ifrs9_rmnng_lftm_incptn_SIMUL IS NOT NULL ) OR (X.pd_ifrs9_rmnng_lftm_incptn IS NOT NULL AND Y.pd_ifrs9_rmnng_lftm_incptn_SIMUL IS NULL),1,0)) AS NUM_REG_DIF,'1' AS ID_EXEC, CURRENT_TIMESTAMP() AS TIME_EXEC FROM (SELECT instrmnt_id, pd_ifrs9_rmnng_lftm_incptn FROM BU_LOANTAPE_WORK.LT002_INSTRUMENT WHERE ref_date='${ref_date}' AND nome_perimetro='Individual Local' AND segmento='ESTR' AND ambito='SRB_MBDT' AND entidade='00100')X INNER JOIN (SELECT instrmnt_id AS instrmnt_id_SIMUL, pd_ifrs9_rmnng_lftm_incptn AS pd_ifrs9_rmnng_lftm_incptn_SIMUL FROM BU_LOANTAPE_WORK.SIMUL_LT002_INSTRUMENT WHERE ref_date='${ref_date}' AND nome_perimetro='Individual Local' AND segmento='ESTR' AND ambito='PILAR3' AND entidade='00100')Y ON X.INSTRMNT_ID=Y.INSTRMNT_ID_SIMUL</v>
      </c>
      <c r="M174" s="36" t="str">
        <f t="shared" si="5"/>
        <v>UNION ALL SELECT 'INSTRUMENT' AS TABELA, 'COERÊNCIA' AS TIPOLOGIA_TESTE,'BU_LOANTAPE_WORK.LT002_INSTRUMENT' AS TABELA_LT,'BU_LOANTAPE_WORK.SIMUL_LT002_INSTRUMENT' AS TABELA_SIMUL,'pd_ifrs9_rmnng_lftm_incptn' AS CAMPO, '${ref_date}' AS REF_DATE, COUNT(*) AS NUM_REG, SUM(IF(COALESCE(CAST(X.pd_ifrs9_rmnng_lftm_incptn AS STRING),'')&lt;&gt;COALESCE(CAST(Y.pd_ifrs9_rmnng_lftm_incptn_SIMUL AS STRING),'') OR (X.pd_ifrs9_rmnng_lftm_incptn IS NULL AND Y.pd_ifrs9_rmnng_lftm_incptn_SIMUL IS NOT NULL ) OR (X.pd_ifrs9_rmnng_lftm_incptn IS NOT NULL AND Y.pd_ifrs9_rmnng_lftm_incptn_SIMUL IS NULL),1,0)) AS NUM_REG_DIF,'1' AS ID_EXEC, CURRENT_TIMESTAMP() AS TIME_EXEC FROM (SELECT instrmnt_id, pd_ifrs9_rmnng_lftm_incptn FROM BU_LOANTAPE_WORK.LT002_INSTRUMENT WHERE ref_date='${ref_date}' AND nome_perimetro='Individual Local' AND segmento='ESTR' AND ambito='SRB_MBDT' AND entidade='00100')X INNER JOIN (SELECT instrmnt_id AS instrmnt_id_SIMUL, pd_ifrs9_rmnng_lftm_incptn AS pd_ifrs9_rmnng_lftm_incptn_SIMUL FROM BU_LOANTAPE_WORK.SIMUL_LT002_INSTRUMENT WHERE ref_date='${ref_date}' AND nome_perimetro='Individual Local' AND segmento='ESTR' AND ambito='PILAR3' AND entidade='00100')Y ON X.INSTRMNT_ID=Y.INSTRMNT_ID_SIMUL</v>
      </c>
      <c r="N174" s="38"/>
    </row>
    <row r="175" spans="2:14">
      <c r="B175" s="34" t="s">
        <v>117</v>
      </c>
      <c r="C175" s="34" t="s">
        <v>5</v>
      </c>
      <c r="D175" s="34" t="str">
        <f>+UPPER('0. Instruções'!$D$35&amp;"."&amp;VLOOKUP(B175,'0. Instruções'!$C$27:$D$32,2,FALSE))</f>
        <v>BU_LOANTAPE_WORK.LT002_INSTRUMENT</v>
      </c>
      <c r="E175" s="34" t="str">
        <f>+UPPER('0. Instruções'!$D$36&amp;"."&amp;VLOOKUP(B175,'0. Instruções'!$C$27:$E$32,3,FALSE))</f>
        <v>BU_LOANTAPE_WORK.SIMUL_LT002_INSTRUMENT</v>
      </c>
      <c r="F175" s="34" t="s">
        <v>1237</v>
      </c>
      <c r="G175" s="34"/>
      <c r="H175" s="34"/>
      <c r="I175" s="34" t="str">
        <f>"(SELECT "&amp;VLOOKUP(B175,'0. Instruções'!$C$27:$G$32,4,FALSE)&amp;", "&amp;F175&amp;" FROM "&amp;D175&amp;" WHERE "&amp;'0. Instruções'!$D$42&amp;")X"</f>
        <v>(SELECT instrmnt_id, pd_ifrs9_rmnng_lftm_rd FROM BU_LOANTAPE_WORK.LT002_INSTRUMENT WHERE ref_date='${ref_date}' AND nome_perimetro='Individual Local' AND segmento='ESTR' AND ambito='SRB_MBDT' AND entidade='00100')X</v>
      </c>
      <c r="J175" s="34" t="str">
        <f>"(SELECT "&amp;VLOOKUP(B175,'0. Instruções'!$C$27:$G$32,4,FALSE)&amp;" AS "&amp;VLOOKUP(B175,'0. Instruções'!$C$27:$G$32,4,FALSE)&amp;"_SIMUL, "&amp;F175&amp;" AS "&amp;F175&amp;"_SIMUL FROM "&amp;E175&amp;" WHERE "&amp;'0. Instruções'!$D$43&amp;")Y"</f>
        <v>(SELECT instrmnt_id AS instrmnt_id_SIMUL, pd_ifrs9_rmnng_lftm_rd AS pd_ifrs9_rmnng_lftm_rd_SIMUL FROM BU_LOANTAPE_WORK.SIMUL_LT002_INSTRUMENT WHERE ref_date='${ref_date}' AND nome_perimetro='Individual Local' AND segmento='ESTR' AND ambito='PILAR3' AND entidade='00100')Y</v>
      </c>
      <c r="K175" s="35" t="str">
        <f>+UPPER("ON X."&amp;VLOOKUP(B175,'0. Instruções'!$C$27:$G$32,4,FALSE)&amp;"=Y."&amp;VLOOKUP(B175,'0. Instruções'!$C$27:$G$32,4,FALSE)&amp;"_SIMUL")</f>
        <v>ON X.INSTRMNT_ID=Y.INSTRMNT_ID_SIMUL</v>
      </c>
      <c r="L175" s="35" t="str">
        <f>+IF(C175="Coerência", +IF(LEFT(G175,5)="FLOAT","SELECT '"&amp;UPPER(B175)&amp;"' AS TABELA, '"&amp;UPPER(C175)&amp;"' AS TIPOLOGIA_TESTE,'"&amp;D175&amp;"' AS TABELA_LT,'"&amp;E175&amp;"' AS TABELA_SIMUL,'"&amp;F175&amp;"' AS CAMPO, "&amp;"'${ref_date}' AS REF_DATE, COUNT(*) AS NUM_REG, SUM(IF((ABS(COALESCE(CAST(X."&amp;F175&amp;" AS DECIMAL(18,6)),0)-COALESCE(CAST(Y."&amp;F175&amp;"_SIMUL AS DECIMAL(18,6)),0))&gt;0.000001) OR (X."&amp;F175&amp;" IS NULL AND Y."&amp;F175&amp;"_SIMUL IS NOT NULL ) OR (X."&amp;F175&amp;" IS NOT NULL AND Y."&amp;F175&amp;"_SIMUL IS NULL),1,0)) AS NUM_REG_DIF,'"&amp;MAX('ID1&amp;5'!K:K)+1&amp;"' AS ID_EXEC, CURRENT_TIMESTAMP() AS TIME_EXEC FROM "&amp;I175&amp;" INNER JOIN "&amp;J175&amp;" "&amp;K175,"SELECT '"&amp;UPPER(B175)&amp;"' AS TABELA, '"&amp;UPPER(C175)&amp;"' AS TIPOLOGIA_TESTE,'"&amp;D175&amp;"' AS TABELA_LT,'"&amp;E175&amp;"' AS TABELA_SIMUL,'"&amp;F175&amp;"' AS CAMPO, "&amp;"'${ref_date}' AS REF_DATE, COUNT(*) AS NUM_REG, SUM(IF(COALESCE(CAST(X."&amp;F175&amp;" AS STRING),'')&lt;&gt;COALESCE(CAST(Y."&amp;F175&amp;"_SIMUL AS STRING),'') OR (X."&amp;F175&amp;" IS NULL AND Y."&amp;F175&amp;"_SIMUL IS NOT NULL ) OR (X."&amp;F175&amp;" IS NOT NULL AND Y."&amp;F175&amp;"_SIMUL IS NULL),1,0)) AS NUM_REG_DIF,'"&amp;MAX('ID1&amp;5'!L:L)+1&amp;"' AS ID_EXEC, CURRENT_TIMESTAMP() AS TIME_EXEC FROM "&amp;I175&amp;" INNER JOIN "&amp;J175&amp;" "&amp;K175),
IF(C175="Validade",+IF(G175="Code List","SELECT '"&amp;UPPER(B175)&amp;"' AS TABELA, '"&amp;UPPER(C175)&amp;"' AS TIPOLOGIA_TESTE,'"&amp;D175&amp;"' AS TABELA_LT,'N/A' AS TABELA_SIMUL,'"&amp;F175&amp;"' AS CAMPO, "&amp;"'${ref_date}' AS REF_DATE, COUNT(*) AS NUM_REG, SUM(IF(TRIM(CAST(X."&amp;F175&amp;" AS STRING))='' OR TRIM(CAST(X."&amp;F175&amp;" AS STRING)) IS NULL OR CAST(X."&amp;F175&amp;" AS STRING) NOT "&amp;H175&amp;",1,0)) AS NUM_REG_DIF,'"&amp;MAX('ID1&amp;5'!K:K)+1&amp;"' AS ID_EXEC, CURRENT_TIMESTAMP() AS TIME_EXEC FROM "&amp;I175,"SELECT '"&amp;UPPER(B175)&amp;"' AS TABELA, '"&amp;UPPER(C175)&amp;"' AS TIPOLOGIA_TESTE,'"&amp;D175&amp;"' AS TABELA_LT,'N/A' AS TABELA_SIMUL,'"&amp;F175&amp;"' AS CAMPO, "&amp;"'${ref_date}' AS REF_DATE, COUNT(*) AS NUM_REG, SUM(IF(TRIM(CAST(X."&amp;F175&amp;" AS STRING))='' OR TRIM(CAST(X."&amp;F175&amp;" AS STRING)) IS NULL,1,0)) AS NUM_REG_DIF,'"&amp;MAX('ID1&amp;5'!K:K)+1&amp;"' AS ID_EXEC, CURRENT_TIMESTAMP() AS TIME_EXEC FROM "&amp;I175),
IF(C175="Caracteres Especiais",+"SELECT '"&amp;UPPER(B175)&amp;"' AS TABELA, '"&amp;UPPER(C175)&amp;"' AS TIPOLOGIA_TESTE,'"&amp;D175&amp;"' AS TABELA_LT,'N/A' AS TABELA_SIMUL,'"&amp;F175&amp;"' AS CAMPO, "&amp;"'${ref_date}' AS REF_DATE, COUNT(*) AS NUM_REG, SUM(IF(REGEXP_REPLACE(TRIM(CAST(X."&amp;F175&amp;" AS STRING)),'[^a-zA-Z0-9_\\s]','') &lt;&gt;TRIM(CAST(X."&amp;F175&amp;" AS STRING)),1,0)) AS NUM_REG_DIF,'"&amp;MAX('ID1&amp;5'!K:K)+1&amp;"' AS ID_EXEC, CURRENT_TIMESTAMP() AS TIME_EXEC FROM "&amp;I175,
IF(C175="Missings",+"SELECT '"&amp;UPPER(B175)&amp;"' AS TABELA, '"&amp;UPPER(C175)&amp;"' AS TIPOLOGIA_TESTE,'"&amp;D175&amp;"' AS TABELA_LT,'N/A' AS TABELA_SIMUL,'"&amp;F175&amp;"' AS CAMPO, "&amp;"'${ref_date}' AS REF_DATE, COUNT(*) AS NUM_REG, SUM(IF(TRIM(CAST(X."&amp;F175&amp;" AS STRING)) IN ('0000-00-00','0001-01-01','9999-12-31','MISS','00000','99999999999','99999999999.00','99999999999.000000'),1,0)) AS NUM_REG_DIF,'"&amp;MAX('ID1&amp;5'!K:K)+1&amp;"' AS ID_EXEC, CURRENT_TIMESTAMP() AS TIME_EXEC FROM "&amp;I175,
IF(C175="Not applicable",+"SELECT '"&amp;UPPER(B175)&amp;"' AS TABELA, '"&amp;UPPER(C175)&amp;"' AS TIPOLOGIA_TESTE,'"&amp;D175&amp;"' AS TABELA_LT,'N/A' AS TABELA_SIMUL,'"&amp;F175&amp;"' AS CAMPO, "&amp;"'${ref_date}' AS REF_DATE, COUNT(*) AS NUM_REG, SUM(IF(TRIM(CAST(X."&amp;F175&amp;" AS STRING)) IN ('N/A','11111111111','11111111111.00','11111111111.000000','1111-11-11'),1,0)) AS NUM_REG_DIF,'"&amp;MAX('ID1&amp;5'!K:K)+1&amp;"' AS ID_EXEC, CURRENT_TIMESTAMP() AS TIME_EXEC FROM "&amp;I175,
IF(C175="Valores extremos",+"SELECT '"&amp;UPPER(B175)&amp;"' AS TABELA, '"&amp;UPPER(C175)&amp;"' AS TIPOLOGIA_TESTE,'"&amp;D175&amp;"' AS TABELA_LT,'N/A' AS TABELA_SIMUL,'"&amp;F175&amp;"' AS CAMPO, "&amp;"'${ref_date}' AS REF_DATE, CAST(MIN("&amp;F175&amp;") AS STRING) AS VALOR_MIN, CAST(MAX("&amp;F175&amp;") AS STRING) AS VALOR_MAX,'"&amp;MAX('ID1&amp;5'!K:K)+1&amp;"' AS ID_EXEC, CURRENT_TIMESTAMP() AS TIME_EXEC FROM "&amp;MID(I175,1,LEN(I175)-2)&amp;" AND CAST("&amp;F175&amp;"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TABELA_SIMUL,'pd_ifrs9_rmnng_lftm_rd' AS CAMPO, '${ref_date}' AS REF_DATE, COUNT(*) AS NUM_REG, SUM(IF(COALESCE(CAST(X.pd_ifrs9_rmnng_lftm_rd AS STRING),'')&lt;&gt;COALESCE(CAST(Y.pd_ifrs9_rmnng_lftm_rd_SIMUL AS STRING),'') OR (X.pd_ifrs9_rmnng_lftm_rd IS NULL AND Y.pd_ifrs9_rmnng_lftm_rd_SIMUL IS NOT NULL ) OR (X.pd_ifrs9_rmnng_lftm_rd IS NOT NULL AND Y.pd_ifrs9_rmnng_lftm_rd_SIMUL IS NULL),1,0)) AS NUM_REG_DIF,'1' AS ID_EXEC, CURRENT_TIMESTAMP() AS TIME_EXEC FROM (SELECT instrmnt_id, pd_ifrs9_rmnng_lftm_rd FROM BU_LOANTAPE_WORK.LT002_INSTRUMENT WHERE ref_date='${ref_date}' AND nome_perimetro='Individual Local' AND segmento='ESTR' AND ambito='SRB_MBDT' AND entidade='00100')X INNER JOIN (SELECT instrmnt_id AS instrmnt_id_SIMUL, pd_ifrs9_rmnng_lftm_rd AS pd_ifrs9_rmnng_lftm_rd_SIMUL FROM BU_LOANTAPE_WORK.SIMUL_LT002_INSTRUMENT WHERE ref_date='${ref_date}' AND nome_perimetro='Individual Local' AND segmento='ESTR' AND ambito='PILAR3' AND entidade='00100')Y ON X.INSTRMNT_ID=Y.INSTRMNT_ID_SIMUL</v>
      </c>
      <c r="M175" s="36" t="str">
        <f t="shared" si="5"/>
        <v>UNION ALL SELECT 'INSTRUMENT' AS TABELA, 'COERÊNCIA' AS TIPOLOGIA_TESTE,'BU_LOANTAPE_WORK.LT002_INSTRUMENT' AS TABELA_LT,'BU_LOANTAPE_WORK.SIMUL_LT002_INSTRUMENT' AS TABELA_SIMUL,'pd_ifrs9_rmnng_lftm_rd' AS CAMPO, '${ref_date}' AS REF_DATE, COUNT(*) AS NUM_REG, SUM(IF(COALESCE(CAST(X.pd_ifrs9_rmnng_lftm_rd AS STRING),'')&lt;&gt;COALESCE(CAST(Y.pd_ifrs9_rmnng_lftm_rd_SIMUL AS STRING),'') OR (X.pd_ifrs9_rmnng_lftm_rd IS NULL AND Y.pd_ifrs9_rmnng_lftm_rd_SIMUL IS NOT NULL ) OR (X.pd_ifrs9_rmnng_lftm_rd IS NOT NULL AND Y.pd_ifrs9_rmnng_lftm_rd_SIMUL IS NULL),1,0)) AS NUM_REG_DIF,'1' AS ID_EXEC, CURRENT_TIMESTAMP() AS TIME_EXEC FROM (SELECT instrmnt_id, pd_ifrs9_rmnng_lftm_rd FROM BU_LOANTAPE_WORK.LT002_INSTRUMENT WHERE ref_date='${ref_date}' AND nome_perimetro='Individual Local' AND segmento='ESTR' AND ambito='SRB_MBDT' AND entidade='00100')X INNER JOIN (SELECT instrmnt_id AS instrmnt_id_SIMUL, pd_ifrs9_rmnng_lftm_rd AS pd_ifrs9_rmnng_lftm_rd_SIMUL FROM BU_LOANTAPE_WORK.SIMUL_LT002_INSTRUMENT WHERE ref_date='${ref_date}' AND nome_perimetro='Individual Local' AND segmento='ESTR' AND ambito='PILAR3' AND entidade='00100')Y ON X.INSTRMNT_ID=Y.INSTRMNT_ID_SIMUL</v>
      </c>
      <c r="N175" s="38"/>
    </row>
    <row r="176" spans="2:14">
      <c r="B176" s="34" t="s">
        <v>117</v>
      </c>
      <c r="C176" s="34" t="s">
        <v>5</v>
      </c>
      <c r="D176" s="34" t="str">
        <f>+UPPER('0. Instruções'!$D$35&amp;"."&amp;VLOOKUP(B176,'0. Instruções'!$C$27:$D$32,2,FALSE))</f>
        <v>BU_LOANTAPE_WORK.LT002_INSTRUMENT</v>
      </c>
      <c r="E176" s="34" t="str">
        <f>+UPPER('0. Instruções'!$D$36&amp;"."&amp;VLOOKUP(B176,'0. Instruções'!$C$27:$E$32,3,FALSE))</f>
        <v>BU_LOANTAPE_WORK.SIMUL_LT002_INSTRUMENT</v>
      </c>
      <c r="F176" s="34" t="s">
        <v>1238</v>
      </c>
      <c r="G176" s="34"/>
      <c r="H176" s="34"/>
      <c r="I176" s="34" t="str">
        <f>"(SELECT "&amp;VLOOKUP(B176,'0. Instruções'!$C$27:$G$32,4,FALSE)&amp;", "&amp;F176&amp;" FROM "&amp;D176&amp;" WHERE "&amp;'0. Instruções'!$D$42&amp;")X"</f>
        <v>(SELECT instrmnt_id, rtng_mthd FROM BU_LOANTAPE_WORK.LT002_INSTRUMENT WHERE ref_date='${ref_date}' AND nome_perimetro='Individual Local' AND segmento='ESTR' AND ambito='SRB_MBDT' AND entidade='00100')X</v>
      </c>
      <c r="J176" s="34" t="str">
        <f>"(SELECT "&amp;VLOOKUP(B176,'0. Instruções'!$C$27:$G$32,4,FALSE)&amp;" AS "&amp;VLOOKUP(B176,'0. Instruções'!$C$27:$G$32,4,FALSE)&amp;"_SIMUL, "&amp;F176&amp;" AS "&amp;F176&amp;"_SIMUL FROM "&amp;E176&amp;" WHERE "&amp;'0. Instruções'!$D$43&amp;")Y"</f>
        <v>(SELECT instrmnt_id AS instrmnt_id_SIMUL, rtng_mthd AS rtng_mthd_SIMUL FROM BU_LOANTAPE_WORK.SIMUL_LT002_INSTRUMENT WHERE ref_date='${ref_date}' AND nome_perimetro='Individual Local' AND segmento='ESTR' AND ambito='PILAR3' AND entidade='00100')Y</v>
      </c>
      <c r="K176" s="35" t="str">
        <f>+UPPER("ON X."&amp;VLOOKUP(B176,'0. Instruções'!$C$27:$G$32,4,FALSE)&amp;"=Y."&amp;VLOOKUP(B176,'0. Instruções'!$C$27:$G$32,4,FALSE)&amp;"_SIMUL")</f>
        <v>ON X.INSTRMNT_ID=Y.INSTRMNT_ID_SIMUL</v>
      </c>
      <c r="L176" s="35" t="str">
        <f>+IF(C176="Coerência", +IF(LEFT(G176,5)="FLOAT","SELECT '"&amp;UPPER(B176)&amp;"' AS TABELA, '"&amp;UPPER(C176)&amp;"' AS TIPOLOGIA_TESTE,'"&amp;D176&amp;"' AS TABELA_LT,'"&amp;E176&amp;"' AS TABELA_SIMUL,'"&amp;F176&amp;"' AS CAMPO, "&amp;"'${ref_date}' AS REF_DATE, COUNT(*) AS NUM_REG, SUM(IF((ABS(COALESCE(CAST(X."&amp;F176&amp;" AS DECIMAL(18,6)),0)-COALESCE(CAST(Y."&amp;F176&amp;"_SIMUL AS DECIMAL(18,6)),0))&gt;0.000001) OR (X."&amp;F176&amp;" IS NULL AND Y."&amp;F176&amp;"_SIMUL IS NOT NULL ) OR (X."&amp;F176&amp;" IS NOT NULL AND Y."&amp;F176&amp;"_SIMUL IS NULL),1,0)) AS NUM_REG_DIF,'"&amp;MAX('ID1&amp;5'!K:K)+1&amp;"' AS ID_EXEC, CURRENT_TIMESTAMP() AS TIME_EXEC FROM "&amp;I176&amp;" INNER JOIN "&amp;J176&amp;" "&amp;K176,"SELECT '"&amp;UPPER(B176)&amp;"' AS TABELA, '"&amp;UPPER(C176)&amp;"' AS TIPOLOGIA_TESTE,'"&amp;D176&amp;"' AS TABELA_LT,'"&amp;E176&amp;"' AS TABELA_SIMUL,'"&amp;F176&amp;"' AS CAMPO, "&amp;"'${ref_date}' AS REF_DATE, COUNT(*) AS NUM_REG, SUM(IF(COALESCE(CAST(X."&amp;F176&amp;" AS STRING),'')&lt;&gt;COALESCE(CAST(Y."&amp;F176&amp;"_SIMUL AS STRING),'') OR (X."&amp;F176&amp;" IS NULL AND Y."&amp;F176&amp;"_SIMUL IS NOT NULL ) OR (X."&amp;F176&amp;" IS NOT NULL AND Y."&amp;F176&amp;"_SIMUL IS NULL),1,0)) AS NUM_REG_DIF,'"&amp;MAX('ID1&amp;5'!L:L)+1&amp;"' AS ID_EXEC, CURRENT_TIMESTAMP() AS TIME_EXEC FROM "&amp;I176&amp;" INNER JOIN "&amp;J176&amp;" "&amp;K176),
IF(C176="Validade",+IF(G176="Code List","SELECT '"&amp;UPPER(B176)&amp;"' AS TABELA, '"&amp;UPPER(C176)&amp;"' AS TIPOLOGIA_TESTE,'"&amp;D176&amp;"' AS TABELA_LT,'N/A' AS TABELA_SIMUL,'"&amp;F176&amp;"' AS CAMPO, "&amp;"'${ref_date}' AS REF_DATE, COUNT(*) AS NUM_REG, SUM(IF(TRIM(CAST(X."&amp;F176&amp;" AS STRING))='' OR TRIM(CAST(X."&amp;F176&amp;" AS STRING)) IS NULL OR CAST(X."&amp;F176&amp;" AS STRING) NOT "&amp;H176&amp;",1,0)) AS NUM_REG_DIF,'"&amp;MAX('ID1&amp;5'!K:K)+1&amp;"' AS ID_EXEC, CURRENT_TIMESTAMP() AS TIME_EXEC FROM "&amp;I176,"SELECT '"&amp;UPPER(B176)&amp;"' AS TABELA, '"&amp;UPPER(C176)&amp;"' AS TIPOLOGIA_TESTE,'"&amp;D176&amp;"' AS TABELA_LT,'N/A' AS TABELA_SIMUL,'"&amp;F176&amp;"' AS CAMPO, "&amp;"'${ref_date}' AS REF_DATE, COUNT(*) AS NUM_REG, SUM(IF(TRIM(CAST(X."&amp;F176&amp;" AS STRING))='' OR TRIM(CAST(X."&amp;F176&amp;" AS STRING)) IS NULL,1,0)) AS NUM_REG_DIF,'"&amp;MAX('ID1&amp;5'!K:K)+1&amp;"' AS ID_EXEC, CURRENT_TIMESTAMP() AS TIME_EXEC FROM "&amp;I176),
IF(C176="Caracteres Especiais",+"SELECT '"&amp;UPPER(B176)&amp;"' AS TABELA, '"&amp;UPPER(C176)&amp;"' AS TIPOLOGIA_TESTE,'"&amp;D176&amp;"' AS TABELA_LT,'N/A' AS TABELA_SIMUL,'"&amp;F176&amp;"' AS CAMPO, "&amp;"'${ref_date}' AS REF_DATE, COUNT(*) AS NUM_REG, SUM(IF(REGEXP_REPLACE(TRIM(CAST(X."&amp;F176&amp;" AS STRING)),'[^a-zA-Z0-9_\\s]','') &lt;&gt;TRIM(CAST(X."&amp;F176&amp;" AS STRING)),1,0)) AS NUM_REG_DIF,'"&amp;MAX('ID1&amp;5'!K:K)+1&amp;"' AS ID_EXEC, CURRENT_TIMESTAMP() AS TIME_EXEC FROM "&amp;I176,
IF(C176="Missings",+"SELECT '"&amp;UPPER(B176)&amp;"' AS TABELA, '"&amp;UPPER(C176)&amp;"' AS TIPOLOGIA_TESTE,'"&amp;D176&amp;"' AS TABELA_LT,'N/A' AS TABELA_SIMUL,'"&amp;F176&amp;"' AS CAMPO, "&amp;"'${ref_date}' AS REF_DATE, COUNT(*) AS NUM_REG, SUM(IF(TRIM(CAST(X."&amp;F176&amp;" AS STRING)) IN ('0000-00-00','0001-01-01','9999-12-31','MISS','00000','99999999999','99999999999.00','99999999999.000000'),1,0)) AS NUM_REG_DIF,'"&amp;MAX('ID1&amp;5'!K:K)+1&amp;"' AS ID_EXEC, CURRENT_TIMESTAMP() AS TIME_EXEC FROM "&amp;I176,
IF(C176="Not applicable",+"SELECT '"&amp;UPPER(B176)&amp;"' AS TABELA, '"&amp;UPPER(C176)&amp;"' AS TIPOLOGIA_TESTE,'"&amp;D176&amp;"' AS TABELA_LT,'N/A' AS TABELA_SIMUL,'"&amp;F176&amp;"' AS CAMPO, "&amp;"'${ref_date}' AS REF_DATE, COUNT(*) AS NUM_REG, SUM(IF(TRIM(CAST(X."&amp;F176&amp;" AS STRING)) IN ('N/A','11111111111','11111111111.00','11111111111.000000','1111-11-11'),1,0)) AS NUM_REG_DIF,'"&amp;MAX('ID1&amp;5'!K:K)+1&amp;"' AS ID_EXEC, CURRENT_TIMESTAMP() AS TIME_EXEC FROM "&amp;I176,
IF(C176="Valores extremos",+"SELECT '"&amp;UPPER(B176)&amp;"' AS TABELA, '"&amp;UPPER(C176)&amp;"' AS TIPOLOGIA_TESTE,'"&amp;D176&amp;"' AS TABELA_LT,'N/A' AS TABELA_SIMUL,'"&amp;F176&amp;"' AS CAMPO, "&amp;"'${ref_date}' AS REF_DATE, CAST(MIN("&amp;F176&amp;") AS STRING) AS VALOR_MIN, CAST(MAX("&amp;F176&amp;") AS STRING) AS VALOR_MAX,'"&amp;MAX('ID1&amp;5'!K:K)+1&amp;"' AS ID_EXEC, CURRENT_TIMESTAMP() AS TIME_EXEC FROM "&amp;MID(I176,1,LEN(I176)-2)&amp;" AND CAST("&amp;F176&amp;"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TABELA_SIMUL,'rtng_mthd' AS CAMPO, '${ref_date}' AS REF_DATE, COUNT(*) AS NUM_REG, SUM(IF(COALESCE(CAST(X.rtng_mthd AS STRING),'')&lt;&gt;COALESCE(CAST(Y.rtng_mthd_SIMUL AS STRING),'') OR (X.rtng_mthd IS NULL AND Y.rtng_mthd_SIMUL IS NOT NULL ) OR (X.rtng_mthd IS NOT NULL AND Y.rtng_mthd_SIMUL IS NULL),1,0)) AS NUM_REG_DIF,'1' AS ID_EXEC, CURRENT_TIMESTAMP() AS TIME_EXEC FROM (SELECT instrmnt_id, rtng_mthd FROM BU_LOANTAPE_WORK.LT002_INSTRUMENT WHERE ref_date='${ref_date}' AND nome_perimetro='Individual Local' AND segmento='ESTR' AND ambito='SRB_MBDT' AND entidade='00100')X INNER JOIN (SELECT instrmnt_id AS instrmnt_id_SIMUL, rtng_mthd AS rtng_mthd_SIMUL FROM BU_LOANTAPE_WORK.SIMUL_LT002_INSTRUMENT WHERE ref_date='${ref_date}' AND nome_perimetro='Individual Local' AND segmento='ESTR' AND ambito='PILAR3' AND entidade='00100')Y ON X.INSTRMNT_ID=Y.INSTRMNT_ID_SIMUL</v>
      </c>
      <c r="M176" s="36" t="str">
        <f t="shared" si="5"/>
        <v>UNION ALL SELECT 'INSTRUMENT' AS TABELA, 'COERÊNCIA' AS TIPOLOGIA_TESTE,'BU_LOANTAPE_WORK.LT002_INSTRUMENT' AS TABELA_LT,'BU_LOANTAPE_WORK.SIMUL_LT002_INSTRUMENT' AS TABELA_SIMUL,'rtng_mthd' AS CAMPO, '${ref_date}' AS REF_DATE, COUNT(*) AS NUM_REG, SUM(IF(COALESCE(CAST(X.rtng_mthd AS STRING),'')&lt;&gt;COALESCE(CAST(Y.rtng_mthd_SIMUL AS STRING),'') OR (X.rtng_mthd IS NULL AND Y.rtng_mthd_SIMUL IS NOT NULL ) OR (X.rtng_mthd IS NOT NULL AND Y.rtng_mthd_SIMUL IS NULL),1,0)) AS NUM_REG_DIF,'1' AS ID_EXEC, CURRENT_TIMESTAMP() AS TIME_EXEC FROM (SELECT instrmnt_id, rtng_mthd FROM BU_LOANTAPE_WORK.LT002_INSTRUMENT WHERE ref_date='${ref_date}' AND nome_perimetro='Individual Local' AND segmento='ESTR' AND ambito='SRB_MBDT' AND entidade='00100')X INNER JOIN (SELECT instrmnt_id AS instrmnt_id_SIMUL, rtng_mthd AS rtng_mthd_SIMUL FROM BU_LOANTAPE_WORK.SIMUL_LT002_INSTRUMENT WHERE ref_date='${ref_date}' AND nome_perimetro='Individual Local' AND segmento='ESTR' AND ambito='PILAR3' AND entidade='00100')Y ON X.INSTRMNT_ID=Y.INSTRMNT_ID_SIMUL</v>
      </c>
      <c r="N176" s="38"/>
    </row>
    <row r="177" spans="2:14">
      <c r="B177" s="34" t="s">
        <v>117</v>
      </c>
      <c r="C177" s="34" t="s">
        <v>5</v>
      </c>
      <c r="D177" s="34" t="str">
        <f>+UPPER('0. Instruções'!$D$35&amp;"."&amp;VLOOKUP(B177,'0. Instruções'!$C$27:$D$32,2,FALSE))</f>
        <v>BU_LOANTAPE_WORK.LT002_INSTRUMENT</v>
      </c>
      <c r="E177" s="34" t="str">
        <f>+UPPER('0. Instruções'!$D$36&amp;"."&amp;VLOOKUP(B177,'0. Instruções'!$C$27:$E$32,3,FALSE))</f>
        <v>BU_LOANTAPE_WORK.SIMUL_LT002_INSTRUMENT</v>
      </c>
      <c r="F177" s="34" t="s">
        <v>1239</v>
      </c>
      <c r="G177" s="34"/>
      <c r="H177" s="34"/>
      <c r="I177" s="34" t="str">
        <f>"(SELECT "&amp;VLOOKUP(B177,'0. Instruções'!$C$27:$G$32,4,FALSE)&amp;", "&amp;F177&amp;" FROM "&amp;D177&amp;" WHERE "&amp;'0. Instruções'!$D$42&amp;")X"</f>
        <v>(SELECT instrmnt_id, rtng_scl FROM BU_LOANTAPE_WORK.LT002_INSTRUMENT WHERE ref_date='${ref_date}' AND nome_perimetro='Individual Local' AND segmento='ESTR' AND ambito='SRB_MBDT' AND entidade='00100')X</v>
      </c>
      <c r="J177" s="34" t="str">
        <f>"(SELECT "&amp;VLOOKUP(B177,'0. Instruções'!$C$27:$G$32,4,FALSE)&amp;" AS "&amp;VLOOKUP(B177,'0. Instruções'!$C$27:$G$32,4,FALSE)&amp;"_SIMUL, "&amp;F177&amp;" AS "&amp;F177&amp;"_SIMUL FROM "&amp;E177&amp;" WHERE "&amp;'0. Instruções'!$D$43&amp;")Y"</f>
        <v>(SELECT instrmnt_id AS instrmnt_id_SIMUL, rtng_scl AS rtng_scl_SIMUL FROM BU_LOANTAPE_WORK.SIMUL_LT002_INSTRUMENT WHERE ref_date='${ref_date}' AND nome_perimetro='Individual Local' AND segmento='ESTR' AND ambito='PILAR3' AND entidade='00100')Y</v>
      </c>
      <c r="K177" s="35" t="str">
        <f>+UPPER("ON X."&amp;VLOOKUP(B177,'0. Instruções'!$C$27:$G$32,4,FALSE)&amp;"=Y."&amp;VLOOKUP(B177,'0. Instruções'!$C$27:$G$32,4,FALSE)&amp;"_SIMUL")</f>
        <v>ON X.INSTRMNT_ID=Y.INSTRMNT_ID_SIMUL</v>
      </c>
      <c r="L177" s="35" t="str">
        <f>+IF(C177="Coerência", +IF(LEFT(G177,5)="FLOAT","SELECT '"&amp;UPPER(B177)&amp;"' AS TABELA, '"&amp;UPPER(C177)&amp;"' AS TIPOLOGIA_TESTE,'"&amp;D177&amp;"' AS TABELA_LT,'"&amp;E177&amp;"' AS TABELA_SIMUL,'"&amp;F177&amp;"' AS CAMPO, "&amp;"'${ref_date}' AS REF_DATE, COUNT(*) AS NUM_REG, SUM(IF((ABS(COALESCE(CAST(X."&amp;F177&amp;" AS DECIMAL(18,6)),0)-COALESCE(CAST(Y."&amp;F177&amp;"_SIMUL AS DECIMAL(18,6)),0))&gt;0.000001) OR (X."&amp;F177&amp;" IS NULL AND Y."&amp;F177&amp;"_SIMUL IS NOT NULL ) OR (X."&amp;F177&amp;" IS NOT NULL AND Y."&amp;F177&amp;"_SIMUL IS NULL),1,0)) AS NUM_REG_DIF,'"&amp;MAX('ID1&amp;5'!K:K)+1&amp;"' AS ID_EXEC, CURRENT_TIMESTAMP() AS TIME_EXEC FROM "&amp;I177&amp;" INNER JOIN "&amp;J177&amp;" "&amp;K177,"SELECT '"&amp;UPPER(B177)&amp;"' AS TABELA, '"&amp;UPPER(C177)&amp;"' AS TIPOLOGIA_TESTE,'"&amp;D177&amp;"' AS TABELA_LT,'"&amp;E177&amp;"' AS TABELA_SIMUL,'"&amp;F177&amp;"' AS CAMPO, "&amp;"'${ref_date}' AS REF_DATE, COUNT(*) AS NUM_REG, SUM(IF(COALESCE(CAST(X."&amp;F177&amp;" AS STRING),'')&lt;&gt;COALESCE(CAST(Y."&amp;F177&amp;"_SIMUL AS STRING),'') OR (X."&amp;F177&amp;" IS NULL AND Y."&amp;F177&amp;"_SIMUL IS NOT NULL ) OR (X."&amp;F177&amp;" IS NOT NULL AND Y."&amp;F177&amp;"_SIMUL IS NULL),1,0)) AS NUM_REG_DIF,'"&amp;MAX('ID1&amp;5'!L:L)+1&amp;"' AS ID_EXEC, CURRENT_TIMESTAMP() AS TIME_EXEC FROM "&amp;I177&amp;" INNER JOIN "&amp;J177&amp;" "&amp;K177),
IF(C177="Validade",+IF(G177="Code List","SELECT '"&amp;UPPER(B177)&amp;"' AS TABELA, '"&amp;UPPER(C177)&amp;"' AS TIPOLOGIA_TESTE,'"&amp;D177&amp;"' AS TABELA_LT,'N/A' AS TABELA_SIMUL,'"&amp;F177&amp;"' AS CAMPO, "&amp;"'${ref_date}' AS REF_DATE, COUNT(*) AS NUM_REG, SUM(IF(TRIM(CAST(X."&amp;F177&amp;" AS STRING))='' OR TRIM(CAST(X."&amp;F177&amp;" AS STRING)) IS NULL OR CAST(X."&amp;F177&amp;" AS STRING) NOT "&amp;H177&amp;",1,0)) AS NUM_REG_DIF,'"&amp;MAX('ID1&amp;5'!K:K)+1&amp;"' AS ID_EXEC, CURRENT_TIMESTAMP() AS TIME_EXEC FROM "&amp;I177,"SELECT '"&amp;UPPER(B177)&amp;"' AS TABELA, '"&amp;UPPER(C177)&amp;"' AS TIPOLOGIA_TESTE,'"&amp;D177&amp;"' AS TABELA_LT,'N/A' AS TABELA_SIMUL,'"&amp;F177&amp;"' AS CAMPO, "&amp;"'${ref_date}' AS REF_DATE, COUNT(*) AS NUM_REG, SUM(IF(TRIM(CAST(X."&amp;F177&amp;" AS STRING))='' OR TRIM(CAST(X."&amp;F177&amp;" AS STRING)) IS NULL,1,0)) AS NUM_REG_DIF,'"&amp;MAX('ID1&amp;5'!K:K)+1&amp;"' AS ID_EXEC, CURRENT_TIMESTAMP() AS TIME_EXEC FROM "&amp;I177),
IF(C177="Caracteres Especiais",+"SELECT '"&amp;UPPER(B177)&amp;"' AS TABELA, '"&amp;UPPER(C177)&amp;"' AS TIPOLOGIA_TESTE,'"&amp;D177&amp;"' AS TABELA_LT,'N/A' AS TABELA_SIMUL,'"&amp;F177&amp;"' AS CAMPO, "&amp;"'${ref_date}' AS REF_DATE, COUNT(*) AS NUM_REG, SUM(IF(REGEXP_REPLACE(TRIM(CAST(X."&amp;F177&amp;" AS STRING)),'[^a-zA-Z0-9_\\s]','') &lt;&gt;TRIM(CAST(X."&amp;F177&amp;" AS STRING)),1,0)) AS NUM_REG_DIF,'"&amp;MAX('ID1&amp;5'!K:K)+1&amp;"' AS ID_EXEC, CURRENT_TIMESTAMP() AS TIME_EXEC FROM "&amp;I177,
IF(C177="Missings",+"SELECT '"&amp;UPPER(B177)&amp;"' AS TABELA, '"&amp;UPPER(C177)&amp;"' AS TIPOLOGIA_TESTE,'"&amp;D177&amp;"' AS TABELA_LT,'N/A' AS TABELA_SIMUL,'"&amp;F177&amp;"' AS CAMPO, "&amp;"'${ref_date}' AS REF_DATE, COUNT(*) AS NUM_REG, SUM(IF(TRIM(CAST(X."&amp;F177&amp;" AS STRING)) IN ('0000-00-00','0001-01-01','9999-12-31','MISS','00000','99999999999','99999999999.00','99999999999.000000'),1,0)) AS NUM_REG_DIF,'"&amp;MAX('ID1&amp;5'!K:K)+1&amp;"' AS ID_EXEC, CURRENT_TIMESTAMP() AS TIME_EXEC FROM "&amp;I177,
IF(C177="Not applicable",+"SELECT '"&amp;UPPER(B177)&amp;"' AS TABELA, '"&amp;UPPER(C177)&amp;"' AS TIPOLOGIA_TESTE,'"&amp;D177&amp;"' AS TABELA_LT,'N/A' AS TABELA_SIMUL,'"&amp;F177&amp;"' AS CAMPO, "&amp;"'${ref_date}' AS REF_DATE, COUNT(*) AS NUM_REG, SUM(IF(TRIM(CAST(X."&amp;F177&amp;" AS STRING)) IN ('N/A','11111111111','11111111111.00','11111111111.000000','1111-11-11'),1,0)) AS NUM_REG_DIF,'"&amp;MAX('ID1&amp;5'!K:K)+1&amp;"' AS ID_EXEC, CURRENT_TIMESTAMP() AS TIME_EXEC FROM "&amp;I177,
IF(C177="Valores extremos",+"SELECT '"&amp;UPPER(B177)&amp;"' AS TABELA, '"&amp;UPPER(C177)&amp;"' AS TIPOLOGIA_TESTE,'"&amp;D177&amp;"' AS TABELA_LT,'N/A' AS TABELA_SIMUL,'"&amp;F177&amp;"' AS CAMPO, "&amp;"'${ref_date}' AS REF_DATE, CAST(MIN("&amp;F177&amp;") AS STRING) AS VALOR_MIN, CAST(MAX("&amp;F177&amp;") AS STRING) AS VALOR_MAX,'"&amp;MAX('ID1&amp;5'!K:K)+1&amp;"' AS ID_EXEC, CURRENT_TIMESTAMP() AS TIME_EXEC FROM "&amp;MID(I177,1,LEN(I177)-2)&amp;" AND CAST("&amp;F177&amp;"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TABELA_SIMUL,'rtng_scl' AS CAMPO, '${ref_date}' AS REF_DATE, COUNT(*) AS NUM_REG, SUM(IF(COALESCE(CAST(X.rtng_scl AS STRING),'')&lt;&gt;COALESCE(CAST(Y.rtng_scl_SIMUL AS STRING),'') OR (X.rtng_scl IS NULL AND Y.rtng_scl_SIMUL IS NOT NULL ) OR (X.rtng_scl IS NOT NULL AND Y.rtng_scl_SIMUL IS NULL),1,0)) AS NUM_REG_DIF,'1' AS ID_EXEC, CURRENT_TIMESTAMP() AS TIME_EXEC FROM (SELECT instrmnt_id, rtng_scl FROM BU_LOANTAPE_WORK.LT002_INSTRUMENT WHERE ref_date='${ref_date}' AND nome_perimetro='Individual Local' AND segmento='ESTR' AND ambito='SRB_MBDT' AND entidade='00100')X INNER JOIN (SELECT instrmnt_id AS instrmnt_id_SIMUL, rtng_scl AS rtng_scl_SIMUL FROM BU_LOANTAPE_WORK.SIMUL_LT002_INSTRUMENT WHERE ref_date='${ref_date}' AND nome_perimetro='Individual Local' AND segmento='ESTR' AND ambito='PILAR3' AND entidade='00100')Y ON X.INSTRMNT_ID=Y.INSTRMNT_ID_SIMUL</v>
      </c>
      <c r="M177" s="36" t="str">
        <f t="shared" si="5"/>
        <v>UNION ALL SELECT 'INSTRUMENT' AS TABELA, 'COERÊNCIA' AS TIPOLOGIA_TESTE,'BU_LOANTAPE_WORK.LT002_INSTRUMENT' AS TABELA_LT,'BU_LOANTAPE_WORK.SIMUL_LT002_INSTRUMENT' AS TABELA_SIMUL,'rtng_scl' AS CAMPO, '${ref_date}' AS REF_DATE, COUNT(*) AS NUM_REG, SUM(IF(COALESCE(CAST(X.rtng_scl AS STRING),'')&lt;&gt;COALESCE(CAST(Y.rtng_scl_SIMUL AS STRING),'') OR (X.rtng_scl IS NULL AND Y.rtng_scl_SIMUL IS NOT NULL ) OR (X.rtng_scl IS NOT NULL AND Y.rtng_scl_SIMUL IS NULL),1,0)) AS NUM_REG_DIF,'1' AS ID_EXEC, CURRENT_TIMESTAMP() AS TIME_EXEC FROM (SELECT instrmnt_id, rtng_scl FROM BU_LOANTAPE_WORK.LT002_INSTRUMENT WHERE ref_date='${ref_date}' AND nome_perimetro='Individual Local' AND segmento='ESTR' AND ambito='SRB_MBDT' AND entidade='00100')X INNER JOIN (SELECT instrmnt_id AS instrmnt_id_SIMUL, rtng_scl AS rtng_scl_SIMUL FROM BU_LOANTAPE_WORK.SIMUL_LT002_INSTRUMENT WHERE ref_date='${ref_date}' AND nome_perimetro='Individual Local' AND segmento='ESTR' AND ambito='PILAR3' AND entidade='00100')Y ON X.INSTRMNT_ID=Y.INSTRMNT_ID_SIMUL</v>
      </c>
      <c r="N177" s="38"/>
    </row>
    <row r="178" spans="2:14">
      <c r="B178" s="34" t="s">
        <v>117</v>
      </c>
      <c r="C178" s="34" t="s">
        <v>5</v>
      </c>
      <c r="D178" s="34" t="str">
        <f>+UPPER('0. Instruções'!$D$35&amp;"."&amp;VLOOKUP(B178,'0. Instruções'!$C$27:$D$32,2,FALSE))</f>
        <v>BU_LOANTAPE_WORK.LT002_INSTRUMENT</v>
      </c>
      <c r="E178" s="34" t="str">
        <f>+UPPER('0. Instruções'!$D$36&amp;"."&amp;VLOOKUP(B178,'0. Instruções'!$C$27:$E$32,3,FALSE))</f>
        <v>BU_LOANTAPE_WORK.SIMUL_LT002_INSTRUMENT</v>
      </c>
      <c r="F178" s="34" t="s">
        <v>1240</v>
      </c>
      <c r="G178" s="34"/>
      <c r="H178" s="34"/>
      <c r="I178" s="34" t="str">
        <f>"(SELECT "&amp;VLOOKUP(B178,'0. Instruções'!$C$27:$G$32,4,FALSE)&amp;", "&amp;F178&amp;" FROM "&amp;D178&amp;" WHERE "&amp;'0. Instruções'!$D$42&amp;")X"</f>
        <v>(SELECT instrmnt_id, sicr_assssmnt_mthd FROM BU_LOANTAPE_WORK.LT002_INSTRUMENT WHERE ref_date='${ref_date}' AND nome_perimetro='Individual Local' AND segmento='ESTR' AND ambito='SRB_MBDT' AND entidade='00100')X</v>
      </c>
      <c r="J178" s="34" t="str">
        <f>"(SELECT "&amp;VLOOKUP(B178,'0. Instruções'!$C$27:$G$32,4,FALSE)&amp;" AS "&amp;VLOOKUP(B178,'0. Instruções'!$C$27:$G$32,4,FALSE)&amp;"_SIMUL, "&amp;F178&amp;" AS "&amp;F178&amp;"_SIMUL FROM "&amp;E178&amp;" WHERE "&amp;'0. Instruções'!$D$43&amp;")Y"</f>
        <v>(SELECT instrmnt_id AS instrmnt_id_SIMUL, sicr_assssmnt_mthd AS sicr_assssmnt_mthd_SIMUL FROM BU_LOANTAPE_WORK.SIMUL_LT002_INSTRUMENT WHERE ref_date='${ref_date}' AND nome_perimetro='Individual Local' AND segmento='ESTR' AND ambito='PILAR3' AND entidade='00100')Y</v>
      </c>
      <c r="K178" s="35" t="str">
        <f>+UPPER("ON X."&amp;VLOOKUP(B178,'0. Instruções'!$C$27:$G$32,4,FALSE)&amp;"=Y."&amp;VLOOKUP(B178,'0. Instruções'!$C$27:$G$32,4,FALSE)&amp;"_SIMUL")</f>
        <v>ON X.INSTRMNT_ID=Y.INSTRMNT_ID_SIMUL</v>
      </c>
      <c r="L178" s="35" t="str">
        <f>+IF(C178="Coerência", +IF(LEFT(G178,5)="FLOAT","SELECT '"&amp;UPPER(B178)&amp;"' AS TABELA, '"&amp;UPPER(C178)&amp;"' AS TIPOLOGIA_TESTE,'"&amp;D178&amp;"' AS TABELA_LT,'"&amp;E178&amp;"' AS TABELA_SIMUL,'"&amp;F178&amp;"' AS CAMPO, "&amp;"'${ref_date}' AS REF_DATE, COUNT(*) AS NUM_REG, SUM(IF((ABS(COALESCE(CAST(X."&amp;F178&amp;" AS DECIMAL(18,6)),0)-COALESCE(CAST(Y."&amp;F178&amp;"_SIMUL AS DECIMAL(18,6)),0))&gt;0.000001) OR (X."&amp;F178&amp;" IS NULL AND Y."&amp;F178&amp;"_SIMUL IS NOT NULL ) OR (X."&amp;F178&amp;" IS NOT NULL AND Y."&amp;F178&amp;"_SIMUL IS NULL),1,0)) AS NUM_REG_DIF,'"&amp;MAX('ID1&amp;5'!K:K)+1&amp;"' AS ID_EXEC, CURRENT_TIMESTAMP() AS TIME_EXEC FROM "&amp;I178&amp;" INNER JOIN "&amp;J178&amp;" "&amp;K178,"SELECT '"&amp;UPPER(B178)&amp;"' AS TABELA, '"&amp;UPPER(C178)&amp;"' AS TIPOLOGIA_TESTE,'"&amp;D178&amp;"' AS TABELA_LT,'"&amp;E178&amp;"' AS TABELA_SIMUL,'"&amp;F178&amp;"' AS CAMPO, "&amp;"'${ref_date}' AS REF_DATE, COUNT(*) AS NUM_REG, SUM(IF(COALESCE(CAST(X."&amp;F178&amp;" AS STRING),'')&lt;&gt;COALESCE(CAST(Y."&amp;F178&amp;"_SIMUL AS STRING),'') OR (X."&amp;F178&amp;" IS NULL AND Y."&amp;F178&amp;"_SIMUL IS NOT NULL ) OR (X."&amp;F178&amp;" IS NOT NULL AND Y."&amp;F178&amp;"_SIMUL IS NULL),1,0)) AS NUM_REG_DIF,'"&amp;MAX('ID1&amp;5'!L:L)+1&amp;"' AS ID_EXEC, CURRENT_TIMESTAMP() AS TIME_EXEC FROM "&amp;I178&amp;" INNER JOIN "&amp;J178&amp;" "&amp;K178),
IF(C178="Validade",+IF(G178="Code List","SELECT '"&amp;UPPER(B178)&amp;"' AS TABELA, '"&amp;UPPER(C178)&amp;"' AS TIPOLOGIA_TESTE,'"&amp;D178&amp;"' AS TABELA_LT,'N/A' AS TABELA_SIMUL,'"&amp;F178&amp;"' AS CAMPO, "&amp;"'${ref_date}' AS REF_DATE, COUNT(*) AS NUM_REG, SUM(IF(TRIM(CAST(X."&amp;F178&amp;" AS STRING))='' OR TRIM(CAST(X."&amp;F178&amp;" AS STRING)) IS NULL OR CAST(X."&amp;F178&amp;" AS STRING) NOT "&amp;H178&amp;",1,0)) AS NUM_REG_DIF,'"&amp;MAX('ID1&amp;5'!K:K)+1&amp;"' AS ID_EXEC, CURRENT_TIMESTAMP() AS TIME_EXEC FROM "&amp;I178,"SELECT '"&amp;UPPER(B178)&amp;"' AS TABELA, '"&amp;UPPER(C178)&amp;"' AS TIPOLOGIA_TESTE,'"&amp;D178&amp;"' AS TABELA_LT,'N/A' AS TABELA_SIMUL,'"&amp;F178&amp;"' AS CAMPO, "&amp;"'${ref_date}' AS REF_DATE, COUNT(*) AS NUM_REG, SUM(IF(TRIM(CAST(X."&amp;F178&amp;" AS STRING))='' OR TRIM(CAST(X."&amp;F178&amp;" AS STRING)) IS NULL,1,0)) AS NUM_REG_DIF,'"&amp;MAX('ID1&amp;5'!K:K)+1&amp;"' AS ID_EXEC, CURRENT_TIMESTAMP() AS TIME_EXEC FROM "&amp;I178),
IF(C178="Caracteres Especiais",+"SELECT '"&amp;UPPER(B178)&amp;"' AS TABELA, '"&amp;UPPER(C178)&amp;"' AS TIPOLOGIA_TESTE,'"&amp;D178&amp;"' AS TABELA_LT,'N/A' AS TABELA_SIMUL,'"&amp;F178&amp;"' AS CAMPO, "&amp;"'${ref_date}' AS REF_DATE, COUNT(*) AS NUM_REG, SUM(IF(REGEXP_REPLACE(TRIM(CAST(X."&amp;F178&amp;" AS STRING)),'[^a-zA-Z0-9_\\s]','') &lt;&gt;TRIM(CAST(X."&amp;F178&amp;" AS STRING)),1,0)) AS NUM_REG_DIF,'"&amp;MAX('ID1&amp;5'!K:K)+1&amp;"' AS ID_EXEC, CURRENT_TIMESTAMP() AS TIME_EXEC FROM "&amp;I178,
IF(C178="Missings",+"SELECT '"&amp;UPPER(B178)&amp;"' AS TABELA, '"&amp;UPPER(C178)&amp;"' AS TIPOLOGIA_TESTE,'"&amp;D178&amp;"' AS TABELA_LT,'N/A' AS TABELA_SIMUL,'"&amp;F178&amp;"' AS CAMPO, "&amp;"'${ref_date}' AS REF_DATE, COUNT(*) AS NUM_REG, SUM(IF(TRIM(CAST(X."&amp;F178&amp;" AS STRING)) IN ('0000-00-00','0001-01-01','9999-12-31','MISS','00000','99999999999','99999999999.00','99999999999.000000'),1,0)) AS NUM_REG_DIF,'"&amp;MAX('ID1&amp;5'!K:K)+1&amp;"' AS ID_EXEC, CURRENT_TIMESTAMP() AS TIME_EXEC FROM "&amp;I178,
IF(C178="Not applicable",+"SELECT '"&amp;UPPER(B178)&amp;"' AS TABELA, '"&amp;UPPER(C178)&amp;"' AS TIPOLOGIA_TESTE,'"&amp;D178&amp;"' AS TABELA_LT,'N/A' AS TABELA_SIMUL,'"&amp;F178&amp;"' AS CAMPO, "&amp;"'${ref_date}' AS REF_DATE, COUNT(*) AS NUM_REG, SUM(IF(TRIM(CAST(X."&amp;F178&amp;" AS STRING)) IN ('N/A','11111111111','11111111111.00','11111111111.000000','1111-11-11'),1,0)) AS NUM_REG_DIF,'"&amp;MAX('ID1&amp;5'!K:K)+1&amp;"' AS ID_EXEC, CURRENT_TIMESTAMP() AS TIME_EXEC FROM "&amp;I178,
IF(C178="Valores extremos",+"SELECT '"&amp;UPPER(B178)&amp;"' AS TABELA, '"&amp;UPPER(C178)&amp;"' AS TIPOLOGIA_TESTE,'"&amp;D178&amp;"' AS TABELA_LT,'N/A' AS TABELA_SIMUL,'"&amp;F178&amp;"' AS CAMPO, "&amp;"'${ref_date}' AS REF_DATE, CAST(MIN("&amp;F178&amp;") AS STRING) AS VALOR_MIN, CAST(MAX("&amp;F178&amp;") AS STRING) AS VALOR_MAX,'"&amp;MAX('ID1&amp;5'!K:K)+1&amp;"' AS ID_EXEC, CURRENT_TIMESTAMP() AS TIME_EXEC FROM "&amp;MID(I178,1,LEN(I178)-2)&amp;" AND CAST("&amp;F178&amp;"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TABELA_SIMUL,'sicr_assssmnt_mthd' AS CAMPO, '${ref_date}' AS REF_DATE, COUNT(*) AS NUM_REG, SUM(IF(COALESCE(CAST(X.sicr_assssmnt_mthd AS STRING),'')&lt;&gt;COALESCE(CAST(Y.sicr_assssmnt_mthd_SIMUL AS STRING),'') OR (X.sicr_assssmnt_mthd IS NULL AND Y.sicr_assssmnt_mthd_SIMUL IS NOT NULL ) OR (X.sicr_assssmnt_mthd IS NOT NULL AND Y.sicr_assssmnt_mthd_SIMUL IS NULL),1,0)) AS NUM_REG_DIF,'1' AS ID_EXEC, CURRENT_TIMESTAMP() AS TIME_EXEC FROM (SELECT instrmnt_id, sicr_assssmnt_mthd FROM BU_LOANTAPE_WORK.LT002_INSTRUMENT WHERE ref_date='${ref_date}' AND nome_perimetro='Individual Local' AND segmento='ESTR' AND ambito='SRB_MBDT' AND entidade='00100')X INNER JOIN (SELECT instrmnt_id AS instrmnt_id_SIMUL, sicr_assssmnt_mthd AS sicr_assssmnt_mthd_SIMUL FROM BU_LOANTAPE_WORK.SIMUL_LT002_INSTRUMENT WHERE ref_date='${ref_date}' AND nome_perimetro='Individual Local' AND segmento='ESTR' AND ambito='PILAR3' AND entidade='00100')Y ON X.INSTRMNT_ID=Y.INSTRMNT_ID_SIMUL</v>
      </c>
      <c r="M178" s="36" t="str">
        <f t="shared" si="5"/>
        <v>UNION ALL SELECT 'INSTRUMENT' AS TABELA, 'COERÊNCIA' AS TIPOLOGIA_TESTE,'BU_LOANTAPE_WORK.LT002_INSTRUMENT' AS TABELA_LT,'BU_LOANTAPE_WORK.SIMUL_LT002_INSTRUMENT' AS TABELA_SIMUL,'sicr_assssmnt_mthd' AS CAMPO, '${ref_date}' AS REF_DATE, COUNT(*) AS NUM_REG, SUM(IF(COALESCE(CAST(X.sicr_assssmnt_mthd AS STRING),'')&lt;&gt;COALESCE(CAST(Y.sicr_assssmnt_mthd_SIMUL AS STRING),'') OR (X.sicr_assssmnt_mthd IS NULL AND Y.sicr_assssmnt_mthd_SIMUL IS NOT NULL ) OR (X.sicr_assssmnt_mthd IS NOT NULL AND Y.sicr_assssmnt_mthd_SIMUL IS NULL),1,0)) AS NUM_REG_DIF,'1' AS ID_EXEC, CURRENT_TIMESTAMP() AS TIME_EXEC FROM (SELECT instrmnt_id, sicr_assssmnt_mthd FROM BU_LOANTAPE_WORK.LT002_INSTRUMENT WHERE ref_date='${ref_date}' AND nome_perimetro='Individual Local' AND segmento='ESTR' AND ambito='SRB_MBDT' AND entidade='00100')X INNER JOIN (SELECT instrmnt_id AS instrmnt_id_SIMUL, sicr_assssmnt_mthd AS sicr_assssmnt_mthd_SIMUL FROM BU_LOANTAPE_WORK.SIMUL_LT002_INSTRUMENT WHERE ref_date='${ref_date}' AND nome_perimetro='Individual Local' AND segmento='ESTR' AND ambito='PILAR3' AND entidade='00100')Y ON X.INSTRMNT_ID=Y.INSTRMNT_ID_SIMUL</v>
      </c>
      <c r="N178" s="38"/>
    </row>
    <row r="179" spans="2:14">
      <c r="B179" s="34" t="s">
        <v>117</v>
      </c>
      <c r="C179" s="34" t="s">
        <v>5</v>
      </c>
      <c r="D179" s="34" t="str">
        <f>+UPPER('0. Instruções'!$D$35&amp;"."&amp;VLOOKUP(B179,'0. Instruções'!$C$27:$D$32,2,FALSE))</f>
        <v>BU_LOANTAPE_WORK.LT002_INSTRUMENT</v>
      </c>
      <c r="E179" s="34" t="str">
        <f>+UPPER('0. Instruções'!$D$36&amp;"."&amp;VLOOKUP(B179,'0. Instruções'!$C$27:$E$32,3,FALSE))</f>
        <v>BU_LOANTAPE_WORK.SIMUL_LT002_INSTRUMENT</v>
      </c>
      <c r="F179" s="34" t="s">
        <v>1241</v>
      </c>
      <c r="G179" s="34"/>
      <c r="H179" s="34"/>
      <c r="I179" s="34" t="str">
        <f>"(SELECT "&amp;VLOOKUP(B179,'0. Instruções'!$C$27:$G$32,4,FALSE)&amp;", "&amp;F179&amp;" FROM "&amp;D179&amp;" WHERE "&amp;'0. Instruções'!$D$42&amp;")X"</f>
        <v>(SELECT instrmnt_id, annlsd_agrd_rt FROM BU_LOANTAPE_WORK.LT002_INSTRUMENT WHERE ref_date='${ref_date}' AND nome_perimetro='Individual Local' AND segmento='ESTR' AND ambito='SRB_MBDT' AND entidade='00100')X</v>
      </c>
      <c r="J179" s="34" t="str">
        <f>"(SELECT "&amp;VLOOKUP(B179,'0. Instruções'!$C$27:$G$32,4,FALSE)&amp;" AS "&amp;VLOOKUP(B179,'0. Instruções'!$C$27:$G$32,4,FALSE)&amp;"_SIMUL, "&amp;F179&amp;" AS "&amp;F179&amp;"_SIMUL FROM "&amp;E179&amp;" WHERE "&amp;'0. Instruções'!$D$43&amp;")Y"</f>
        <v>(SELECT instrmnt_id AS instrmnt_id_SIMUL, annlsd_agrd_rt AS annlsd_agrd_rt_SIMUL FROM BU_LOANTAPE_WORK.SIMUL_LT002_INSTRUMENT WHERE ref_date='${ref_date}' AND nome_perimetro='Individual Local' AND segmento='ESTR' AND ambito='PILAR3' AND entidade='00100')Y</v>
      </c>
      <c r="K179" s="35" t="str">
        <f>+UPPER("ON X."&amp;VLOOKUP(B179,'0. Instruções'!$C$27:$G$32,4,FALSE)&amp;"=Y."&amp;VLOOKUP(B179,'0. Instruções'!$C$27:$G$32,4,FALSE)&amp;"_SIMUL")</f>
        <v>ON X.INSTRMNT_ID=Y.INSTRMNT_ID_SIMUL</v>
      </c>
      <c r="L179" s="35" t="str">
        <f>+IF(C179="Coerência", +IF(LEFT(G179,5)="FLOAT","SELECT '"&amp;UPPER(B179)&amp;"' AS TABELA, '"&amp;UPPER(C179)&amp;"' AS TIPOLOGIA_TESTE,'"&amp;D179&amp;"' AS TABELA_LT,'"&amp;E179&amp;"' AS TABELA_SIMUL,'"&amp;F179&amp;"' AS CAMPO, "&amp;"'${ref_date}' AS REF_DATE, COUNT(*) AS NUM_REG, SUM(IF((ABS(COALESCE(CAST(X."&amp;F179&amp;" AS DECIMAL(18,6)),0)-COALESCE(CAST(Y."&amp;F179&amp;"_SIMUL AS DECIMAL(18,6)),0))&gt;0.000001) OR (X."&amp;F179&amp;" IS NULL AND Y."&amp;F179&amp;"_SIMUL IS NOT NULL ) OR (X."&amp;F179&amp;" IS NOT NULL AND Y."&amp;F179&amp;"_SIMUL IS NULL),1,0)) AS NUM_REG_DIF,'"&amp;MAX('ID1&amp;5'!K:K)+1&amp;"' AS ID_EXEC, CURRENT_TIMESTAMP() AS TIME_EXEC FROM "&amp;I179&amp;" INNER JOIN "&amp;J179&amp;" "&amp;K179,"SELECT '"&amp;UPPER(B179)&amp;"' AS TABELA, '"&amp;UPPER(C179)&amp;"' AS TIPOLOGIA_TESTE,'"&amp;D179&amp;"' AS TABELA_LT,'"&amp;E179&amp;"' AS TABELA_SIMUL,'"&amp;F179&amp;"' AS CAMPO, "&amp;"'${ref_date}' AS REF_DATE, COUNT(*) AS NUM_REG, SUM(IF(COALESCE(CAST(X."&amp;F179&amp;" AS STRING),'')&lt;&gt;COALESCE(CAST(Y."&amp;F179&amp;"_SIMUL AS STRING),'') OR (X."&amp;F179&amp;" IS NULL AND Y."&amp;F179&amp;"_SIMUL IS NOT NULL ) OR (X."&amp;F179&amp;" IS NOT NULL AND Y."&amp;F179&amp;"_SIMUL IS NULL),1,0)) AS NUM_REG_DIF,'"&amp;MAX('ID1&amp;5'!L:L)+1&amp;"' AS ID_EXEC, CURRENT_TIMESTAMP() AS TIME_EXEC FROM "&amp;I179&amp;" INNER JOIN "&amp;J179&amp;" "&amp;K179),
IF(C179="Validade",+IF(G179="Code List","SELECT '"&amp;UPPER(B179)&amp;"' AS TABELA, '"&amp;UPPER(C179)&amp;"' AS TIPOLOGIA_TESTE,'"&amp;D179&amp;"' AS TABELA_LT,'N/A' AS TABELA_SIMUL,'"&amp;F179&amp;"' AS CAMPO, "&amp;"'${ref_date}' AS REF_DATE, COUNT(*) AS NUM_REG, SUM(IF(TRIM(CAST(X."&amp;F179&amp;" AS STRING))='' OR TRIM(CAST(X."&amp;F179&amp;" AS STRING)) IS NULL OR CAST(X."&amp;F179&amp;" AS STRING) NOT "&amp;H179&amp;",1,0)) AS NUM_REG_DIF,'"&amp;MAX('ID1&amp;5'!K:K)+1&amp;"' AS ID_EXEC, CURRENT_TIMESTAMP() AS TIME_EXEC FROM "&amp;I179,"SELECT '"&amp;UPPER(B179)&amp;"' AS TABELA, '"&amp;UPPER(C179)&amp;"' AS TIPOLOGIA_TESTE,'"&amp;D179&amp;"' AS TABELA_LT,'N/A' AS TABELA_SIMUL,'"&amp;F179&amp;"' AS CAMPO, "&amp;"'${ref_date}' AS REF_DATE, COUNT(*) AS NUM_REG, SUM(IF(TRIM(CAST(X."&amp;F179&amp;" AS STRING))='' OR TRIM(CAST(X."&amp;F179&amp;" AS STRING)) IS NULL,1,0)) AS NUM_REG_DIF,'"&amp;MAX('ID1&amp;5'!K:K)+1&amp;"' AS ID_EXEC, CURRENT_TIMESTAMP() AS TIME_EXEC FROM "&amp;I179),
IF(C179="Caracteres Especiais",+"SELECT '"&amp;UPPER(B179)&amp;"' AS TABELA, '"&amp;UPPER(C179)&amp;"' AS TIPOLOGIA_TESTE,'"&amp;D179&amp;"' AS TABELA_LT,'N/A' AS TABELA_SIMUL,'"&amp;F179&amp;"' AS CAMPO, "&amp;"'${ref_date}' AS REF_DATE, COUNT(*) AS NUM_REG, SUM(IF(REGEXP_REPLACE(TRIM(CAST(X."&amp;F179&amp;" AS STRING)),'[^a-zA-Z0-9_\\s]','') &lt;&gt;TRIM(CAST(X."&amp;F179&amp;" AS STRING)),1,0)) AS NUM_REG_DIF,'"&amp;MAX('ID1&amp;5'!K:K)+1&amp;"' AS ID_EXEC, CURRENT_TIMESTAMP() AS TIME_EXEC FROM "&amp;I179,
IF(C179="Missings",+"SELECT '"&amp;UPPER(B179)&amp;"' AS TABELA, '"&amp;UPPER(C179)&amp;"' AS TIPOLOGIA_TESTE,'"&amp;D179&amp;"' AS TABELA_LT,'N/A' AS TABELA_SIMUL,'"&amp;F179&amp;"' AS CAMPO, "&amp;"'${ref_date}' AS REF_DATE, COUNT(*) AS NUM_REG, SUM(IF(TRIM(CAST(X."&amp;F179&amp;" AS STRING)) IN ('0000-00-00','0001-01-01','9999-12-31','MISS','00000','99999999999','99999999999.00','99999999999.000000'),1,0)) AS NUM_REG_DIF,'"&amp;MAX('ID1&amp;5'!K:K)+1&amp;"' AS ID_EXEC, CURRENT_TIMESTAMP() AS TIME_EXEC FROM "&amp;I179,
IF(C179="Not applicable",+"SELECT '"&amp;UPPER(B179)&amp;"' AS TABELA, '"&amp;UPPER(C179)&amp;"' AS TIPOLOGIA_TESTE,'"&amp;D179&amp;"' AS TABELA_LT,'N/A' AS TABELA_SIMUL,'"&amp;F179&amp;"' AS CAMPO, "&amp;"'${ref_date}' AS REF_DATE, COUNT(*) AS NUM_REG, SUM(IF(TRIM(CAST(X."&amp;F179&amp;" AS STRING)) IN ('N/A','11111111111','11111111111.00','11111111111.000000','1111-11-11'),1,0)) AS NUM_REG_DIF,'"&amp;MAX('ID1&amp;5'!K:K)+1&amp;"' AS ID_EXEC, CURRENT_TIMESTAMP() AS TIME_EXEC FROM "&amp;I179,
IF(C179="Valores extremos",+"SELECT '"&amp;UPPER(B179)&amp;"' AS TABELA, '"&amp;UPPER(C179)&amp;"' AS TIPOLOGIA_TESTE,'"&amp;D179&amp;"' AS TABELA_LT,'N/A' AS TABELA_SIMUL,'"&amp;F179&amp;"' AS CAMPO, "&amp;"'${ref_date}' AS REF_DATE, CAST(MIN("&amp;F179&amp;") AS STRING) AS VALOR_MIN, CAST(MAX("&amp;F179&amp;") AS STRING) AS VALOR_MAX,'"&amp;MAX('ID1&amp;5'!K:K)+1&amp;"' AS ID_EXEC, CURRENT_TIMESTAMP() AS TIME_EXEC FROM "&amp;MID(I179,1,LEN(I179)-2)&amp;" AND CAST("&amp;F179&amp;"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TABELA_SIMUL,'annlsd_agrd_rt' AS CAMPO, '${ref_date}' AS REF_DATE, COUNT(*) AS NUM_REG, SUM(IF(COALESCE(CAST(X.annlsd_agrd_rt AS STRING),'')&lt;&gt;COALESCE(CAST(Y.annlsd_agrd_rt_SIMUL AS STRING),'') OR (X.annlsd_agrd_rt IS NULL AND Y.annlsd_agrd_rt_SIMUL IS NOT NULL ) OR (X.annlsd_agrd_rt IS NOT NULL AND Y.annlsd_agrd_rt_SIMUL IS NULL),1,0)) AS NUM_REG_DIF,'1' AS ID_EXEC, CURRENT_TIMESTAMP() AS TIME_EXEC FROM (SELECT instrmnt_id, annlsd_agrd_rt FROM BU_LOANTAPE_WORK.LT002_INSTRUMENT WHERE ref_date='${ref_date}' AND nome_perimetro='Individual Local' AND segmento='ESTR' AND ambito='SRB_MBDT' AND entidade='00100')X INNER JOIN (SELECT instrmnt_id AS instrmnt_id_SIMUL, annlsd_agrd_rt AS annlsd_agrd_rt_SIMUL FROM BU_LOANTAPE_WORK.SIMUL_LT002_INSTRUMENT WHERE ref_date='${ref_date}' AND nome_perimetro='Individual Local' AND segmento='ESTR' AND ambito='PILAR3' AND entidade='00100')Y ON X.INSTRMNT_ID=Y.INSTRMNT_ID_SIMUL</v>
      </c>
      <c r="M179" s="36" t="str">
        <f t="shared" si="5"/>
        <v>UNION ALL SELECT 'INSTRUMENT' AS TABELA, 'COERÊNCIA' AS TIPOLOGIA_TESTE,'BU_LOANTAPE_WORK.LT002_INSTRUMENT' AS TABELA_LT,'BU_LOANTAPE_WORK.SIMUL_LT002_INSTRUMENT' AS TABELA_SIMUL,'annlsd_agrd_rt' AS CAMPO, '${ref_date}' AS REF_DATE, COUNT(*) AS NUM_REG, SUM(IF(COALESCE(CAST(X.annlsd_agrd_rt AS STRING),'')&lt;&gt;COALESCE(CAST(Y.annlsd_agrd_rt_SIMUL AS STRING),'') OR (X.annlsd_agrd_rt IS NULL AND Y.annlsd_agrd_rt_SIMUL IS NOT NULL ) OR (X.annlsd_agrd_rt IS NOT NULL AND Y.annlsd_agrd_rt_SIMUL IS NULL),1,0)) AS NUM_REG_DIF,'1' AS ID_EXEC, CURRENT_TIMESTAMP() AS TIME_EXEC FROM (SELECT instrmnt_id, annlsd_agrd_rt FROM BU_LOANTAPE_WORK.LT002_INSTRUMENT WHERE ref_date='${ref_date}' AND nome_perimetro='Individual Local' AND segmento='ESTR' AND ambito='SRB_MBDT' AND entidade='00100')X INNER JOIN (SELECT instrmnt_id AS instrmnt_id_SIMUL, annlsd_agrd_rt AS annlsd_agrd_rt_SIMUL FROM BU_LOANTAPE_WORK.SIMUL_LT002_INSTRUMENT WHERE ref_date='${ref_date}' AND nome_perimetro='Individual Local' AND segmento='ESTR' AND ambito='PILAR3' AND entidade='00100')Y ON X.INSTRMNT_ID=Y.INSTRMNT_ID_SIMUL</v>
      </c>
      <c r="N179" s="38"/>
    </row>
    <row r="180" spans="2:14">
      <c r="B180" s="34" t="s">
        <v>117</v>
      </c>
      <c r="C180" s="34" t="s">
        <v>5</v>
      </c>
      <c r="D180" s="34" t="str">
        <f>+UPPER('0. Instruções'!$D$35&amp;"."&amp;VLOOKUP(B180,'0. Instruções'!$C$27:$D$32,2,FALSE))</f>
        <v>BU_LOANTAPE_WORK.LT002_INSTRUMENT</v>
      </c>
      <c r="E180" s="34" t="str">
        <f>+UPPER('0. Instruções'!$D$36&amp;"."&amp;VLOOKUP(B180,'0. Instruções'!$C$27:$E$32,3,FALSE))</f>
        <v>BU_LOANTAPE_WORK.SIMUL_LT002_INSTRUMENT</v>
      </c>
      <c r="F180" s="34" t="s">
        <v>1242</v>
      </c>
      <c r="G180" s="34"/>
      <c r="H180" s="34"/>
      <c r="I180" s="34" t="str">
        <f>"(SELECT "&amp;VLOOKUP(B180,'0. Instruções'!$C$27:$G$32,4,FALSE)&amp;", "&amp;F180&amp;" FROM "&amp;D180&amp;" WHERE "&amp;'0. Instruções'!$D$42&amp;")X"</f>
        <v>(SELECT instrmnt_id, eir FROM BU_LOANTAPE_WORK.LT002_INSTRUMENT WHERE ref_date='${ref_date}' AND nome_perimetro='Individual Local' AND segmento='ESTR' AND ambito='SRB_MBDT' AND entidade='00100')X</v>
      </c>
      <c r="J180" s="34" t="str">
        <f>"(SELECT "&amp;VLOOKUP(B180,'0. Instruções'!$C$27:$G$32,4,FALSE)&amp;" AS "&amp;VLOOKUP(B180,'0. Instruções'!$C$27:$G$32,4,FALSE)&amp;"_SIMUL, "&amp;F180&amp;" AS "&amp;F180&amp;"_SIMUL FROM "&amp;E180&amp;" WHERE "&amp;'0. Instruções'!$D$43&amp;")Y"</f>
        <v>(SELECT instrmnt_id AS instrmnt_id_SIMUL, eir AS eir_SIMUL FROM BU_LOANTAPE_WORK.SIMUL_LT002_INSTRUMENT WHERE ref_date='${ref_date}' AND nome_perimetro='Individual Local' AND segmento='ESTR' AND ambito='PILAR3' AND entidade='00100')Y</v>
      </c>
      <c r="K180" s="35" t="str">
        <f>+UPPER("ON X."&amp;VLOOKUP(B180,'0. Instruções'!$C$27:$G$32,4,FALSE)&amp;"=Y."&amp;VLOOKUP(B180,'0. Instruções'!$C$27:$G$32,4,FALSE)&amp;"_SIMUL")</f>
        <v>ON X.INSTRMNT_ID=Y.INSTRMNT_ID_SIMUL</v>
      </c>
      <c r="L180" s="35" t="str">
        <f>+IF(C180="Coerência", +IF(LEFT(G180,5)="FLOAT","SELECT '"&amp;UPPER(B180)&amp;"' AS TABELA, '"&amp;UPPER(C180)&amp;"' AS TIPOLOGIA_TESTE,'"&amp;D180&amp;"' AS TABELA_LT,'"&amp;E180&amp;"' AS TABELA_SIMUL,'"&amp;F180&amp;"' AS CAMPO, "&amp;"'${ref_date}' AS REF_DATE, COUNT(*) AS NUM_REG, SUM(IF((ABS(COALESCE(CAST(X."&amp;F180&amp;" AS DECIMAL(18,6)),0)-COALESCE(CAST(Y."&amp;F180&amp;"_SIMUL AS DECIMAL(18,6)),0))&gt;0.000001) OR (X."&amp;F180&amp;" IS NULL AND Y."&amp;F180&amp;"_SIMUL IS NOT NULL ) OR (X."&amp;F180&amp;" IS NOT NULL AND Y."&amp;F180&amp;"_SIMUL IS NULL),1,0)) AS NUM_REG_DIF,'"&amp;MAX('ID1&amp;5'!K:K)+1&amp;"' AS ID_EXEC, CURRENT_TIMESTAMP() AS TIME_EXEC FROM "&amp;I180&amp;" INNER JOIN "&amp;J180&amp;" "&amp;K180,"SELECT '"&amp;UPPER(B180)&amp;"' AS TABELA, '"&amp;UPPER(C180)&amp;"' AS TIPOLOGIA_TESTE,'"&amp;D180&amp;"' AS TABELA_LT,'"&amp;E180&amp;"' AS TABELA_SIMUL,'"&amp;F180&amp;"' AS CAMPO, "&amp;"'${ref_date}' AS REF_DATE, COUNT(*) AS NUM_REG, SUM(IF(COALESCE(CAST(X."&amp;F180&amp;" AS STRING),'')&lt;&gt;COALESCE(CAST(Y."&amp;F180&amp;"_SIMUL AS STRING),'') OR (X."&amp;F180&amp;" IS NULL AND Y."&amp;F180&amp;"_SIMUL IS NOT NULL ) OR (X."&amp;F180&amp;" IS NOT NULL AND Y."&amp;F180&amp;"_SIMUL IS NULL),1,0)) AS NUM_REG_DIF,'"&amp;MAX('ID1&amp;5'!L:L)+1&amp;"' AS ID_EXEC, CURRENT_TIMESTAMP() AS TIME_EXEC FROM "&amp;I180&amp;" INNER JOIN "&amp;J180&amp;" "&amp;K180),
IF(C180="Validade",+IF(G180="Code List","SELECT '"&amp;UPPER(B180)&amp;"' AS TABELA, '"&amp;UPPER(C180)&amp;"' AS TIPOLOGIA_TESTE,'"&amp;D180&amp;"' AS TABELA_LT,'N/A' AS TABELA_SIMUL,'"&amp;F180&amp;"' AS CAMPO, "&amp;"'${ref_date}' AS REF_DATE, COUNT(*) AS NUM_REG, SUM(IF(TRIM(CAST(X."&amp;F180&amp;" AS STRING))='' OR TRIM(CAST(X."&amp;F180&amp;" AS STRING)) IS NULL OR CAST(X."&amp;F180&amp;" AS STRING) NOT "&amp;H180&amp;",1,0)) AS NUM_REG_DIF,'"&amp;MAX('ID1&amp;5'!K:K)+1&amp;"' AS ID_EXEC, CURRENT_TIMESTAMP() AS TIME_EXEC FROM "&amp;I180,"SELECT '"&amp;UPPER(B180)&amp;"' AS TABELA, '"&amp;UPPER(C180)&amp;"' AS TIPOLOGIA_TESTE,'"&amp;D180&amp;"' AS TABELA_LT,'N/A' AS TABELA_SIMUL,'"&amp;F180&amp;"' AS CAMPO, "&amp;"'${ref_date}' AS REF_DATE, COUNT(*) AS NUM_REG, SUM(IF(TRIM(CAST(X."&amp;F180&amp;" AS STRING))='' OR TRIM(CAST(X."&amp;F180&amp;" AS STRING)) IS NULL,1,0)) AS NUM_REG_DIF,'"&amp;MAX('ID1&amp;5'!K:K)+1&amp;"' AS ID_EXEC, CURRENT_TIMESTAMP() AS TIME_EXEC FROM "&amp;I180),
IF(C180="Caracteres Especiais",+"SELECT '"&amp;UPPER(B180)&amp;"' AS TABELA, '"&amp;UPPER(C180)&amp;"' AS TIPOLOGIA_TESTE,'"&amp;D180&amp;"' AS TABELA_LT,'N/A' AS TABELA_SIMUL,'"&amp;F180&amp;"' AS CAMPO, "&amp;"'${ref_date}' AS REF_DATE, COUNT(*) AS NUM_REG, SUM(IF(REGEXP_REPLACE(TRIM(CAST(X."&amp;F180&amp;" AS STRING)),'[^a-zA-Z0-9_\\s]','') &lt;&gt;TRIM(CAST(X."&amp;F180&amp;" AS STRING)),1,0)) AS NUM_REG_DIF,'"&amp;MAX('ID1&amp;5'!K:K)+1&amp;"' AS ID_EXEC, CURRENT_TIMESTAMP() AS TIME_EXEC FROM "&amp;I180,
IF(C180="Missings",+"SELECT '"&amp;UPPER(B180)&amp;"' AS TABELA, '"&amp;UPPER(C180)&amp;"' AS TIPOLOGIA_TESTE,'"&amp;D180&amp;"' AS TABELA_LT,'N/A' AS TABELA_SIMUL,'"&amp;F180&amp;"' AS CAMPO, "&amp;"'${ref_date}' AS REF_DATE, COUNT(*) AS NUM_REG, SUM(IF(TRIM(CAST(X."&amp;F180&amp;" AS STRING)) IN ('0000-00-00','0001-01-01','9999-12-31','MISS','00000','99999999999','99999999999.00','99999999999.000000'),1,0)) AS NUM_REG_DIF,'"&amp;MAX('ID1&amp;5'!K:K)+1&amp;"' AS ID_EXEC, CURRENT_TIMESTAMP() AS TIME_EXEC FROM "&amp;I180,
IF(C180="Not applicable",+"SELECT '"&amp;UPPER(B180)&amp;"' AS TABELA, '"&amp;UPPER(C180)&amp;"' AS TIPOLOGIA_TESTE,'"&amp;D180&amp;"' AS TABELA_LT,'N/A' AS TABELA_SIMUL,'"&amp;F180&amp;"' AS CAMPO, "&amp;"'${ref_date}' AS REF_DATE, COUNT(*) AS NUM_REG, SUM(IF(TRIM(CAST(X."&amp;F180&amp;" AS STRING)) IN ('N/A','11111111111','11111111111.00','11111111111.000000','1111-11-11'),1,0)) AS NUM_REG_DIF,'"&amp;MAX('ID1&amp;5'!K:K)+1&amp;"' AS ID_EXEC, CURRENT_TIMESTAMP() AS TIME_EXEC FROM "&amp;I180,
IF(C180="Valores extremos",+"SELECT '"&amp;UPPER(B180)&amp;"' AS TABELA, '"&amp;UPPER(C180)&amp;"' AS TIPOLOGIA_TESTE,'"&amp;D180&amp;"' AS TABELA_LT,'N/A' AS TABELA_SIMUL,'"&amp;F180&amp;"' AS CAMPO, "&amp;"'${ref_date}' AS REF_DATE, CAST(MIN("&amp;F180&amp;") AS STRING) AS VALOR_MIN, CAST(MAX("&amp;F180&amp;") AS STRING) AS VALOR_MAX,'"&amp;MAX('ID1&amp;5'!K:K)+1&amp;"' AS ID_EXEC, CURRENT_TIMESTAMP() AS TIME_EXEC FROM "&amp;MID(I180,1,LEN(I180)-2)&amp;" AND CAST("&amp;F180&amp;"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TABELA_SIMUL,'eir' AS CAMPO, '${ref_date}' AS REF_DATE, COUNT(*) AS NUM_REG, SUM(IF(COALESCE(CAST(X.eir AS STRING),'')&lt;&gt;COALESCE(CAST(Y.eir_SIMUL AS STRING),'') OR (X.eir IS NULL AND Y.eir_SIMUL IS NOT NULL ) OR (X.eir IS NOT NULL AND Y.eir_SIMUL IS NULL),1,0)) AS NUM_REG_DIF,'1' AS ID_EXEC, CURRENT_TIMESTAMP() AS TIME_EXEC FROM (SELECT instrmnt_id, eir FROM BU_LOANTAPE_WORK.LT002_INSTRUMENT WHERE ref_date='${ref_date}' AND nome_perimetro='Individual Local' AND segmento='ESTR' AND ambito='SRB_MBDT' AND entidade='00100')X INNER JOIN (SELECT instrmnt_id AS instrmnt_id_SIMUL, eir AS eir_SIMUL FROM BU_LOANTAPE_WORK.SIMUL_LT002_INSTRUMENT WHERE ref_date='${ref_date}' AND nome_perimetro='Individual Local' AND segmento='ESTR' AND ambito='PILAR3' AND entidade='00100')Y ON X.INSTRMNT_ID=Y.INSTRMNT_ID_SIMUL</v>
      </c>
      <c r="M180" s="36" t="str">
        <f t="shared" si="5"/>
        <v>UNION ALL SELECT 'INSTRUMENT' AS TABELA, 'COERÊNCIA' AS TIPOLOGIA_TESTE,'BU_LOANTAPE_WORK.LT002_INSTRUMENT' AS TABELA_LT,'BU_LOANTAPE_WORK.SIMUL_LT002_INSTRUMENT' AS TABELA_SIMUL,'eir' AS CAMPO, '${ref_date}' AS REF_DATE, COUNT(*) AS NUM_REG, SUM(IF(COALESCE(CAST(X.eir AS STRING),'')&lt;&gt;COALESCE(CAST(Y.eir_SIMUL AS STRING),'') OR (X.eir IS NULL AND Y.eir_SIMUL IS NOT NULL ) OR (X.eir IS NOT NULL AND Y.eir_SIMUL IS NULL),1,0)) AS NUM_REG_DIF,'1' AS ID_EXEC, CURRENT_TIMESTAMP() AS TIME_EXEC FROM (SELECT instrmnt_id, eir FROM BU_LOANTAPE_WORK.LT002_INSTRUMENT WHERE ref_date='${ref_date}' AND nome_perimetro='Individual Local' AND segmento='ESTR' AND ambito='SRB_MBDT' AND entidade='00100')X INNER JOIN (SELECT instrmnt_id AS instrmnt_id_SIMUL, eir AS eir_SIMUL FROM BU_LOANTAPE_WORK.SIMUL_LT002_INSTRUMENT WHERE ref_date='${ref_date}' AND nome_perimetro='Individual Local' AND segmento='ESTR' AND ambito='PILAR3' AND entidade='00100')Y ON X.INSTRMNT_ID=Y.INSTRMNT_ID_SIMUL</v>
      </c>
      <c r="N180" s="38"/>
    </row>
    <row r="181" spans="2:14">
      <c r="B181" s="34" t="s">
        <v>117</v>
      </c>
      <c r="C181" s="34" t="s">
        <v>5</v>
      </c>
      <c r="D181" s="34" t="str">
        <f>+UPPER('0. Instruções'!$D$35&amp;"."&amp;VLOOKUP(B181,'0. Instruções'!$C$27:$D$32,2,FALSE))</f>
        <v>BU_LOANTAPE_WORK.LT002_INSTRUMENT</v>
      </c>
      <c r="E181" s="34" t="str">
        <f>+UPPER('0. Instruções'!$D$36&amp;"."&amp;VLOOKUP(B181,'0. Instruções'!$C$27:$E$32,3,FALSE))</f>
        <v>BU_LOANTAPE_WORK.SIMUL_LT002_INSTRUMENT</v>
      </c>
      <c r="F181" s="34" t="s">
        <v>1243</v>
      </c>
      <c r="G181" s="34"/>
      <c r="H181" s="34"/>
      <c r="I181" s="34" t="str">
        <f>"(SELECT "&amp;VLOOKUP(B181,'0. Instruções'!$C$27:$G$32,4,FALSE)&amp;", "&amp;F181&amp;" FROM "&amp;D181&amp;" WHERE "&amp;'0. Instruções'!$D$42&amp;")X"</f>
        <v>(SELECT instrmnt_id, eir_incptn FROM BU_LOANTAPE_WORK.LT002_INSTRUMENT WHERE ref_date='${ref_date}' AND nome_perimetro='Individual Local' AND segmento='ESTR' AND ambito='SRB_MBDT' AND entidade='00100')X</v>
      </c>
      <c r="J181" s="34" t="str">
        <f>"(SELECT "&amp;VLOOKUP(B181,'0. Instruções'!$C$27:$G$32,4,FALSE)&amp;" AS "&amp;VLOOKUP(B181,'0. Instruções'!$C$27:$G$32,4,FALSE)&amp;"_SIMUL, "&amp;F181&amp;" AS "&amp;F181&amp;"_SIMUL FROM "&amp;E181&amp;" WHERE "&amp;'0. Instruções'!$D$43&amp;")Y"</f>
        <v>(SELECT instrmnt_id AS instrmnt_id_SIMUL, eir_incptn AS eir_incptn_SIMUL FROM BU_LOANTAPE_WORK.SIMUL_LT002_INSTRUMENT WHERE ref_date='${ref_date}' AND nome_perimetro='Individual Local' AND segmento='ESTR' AND ambito='PILAR3' AND entidade='00100')Y</v>
      </c>
      <c r="K181" s="35" t="str">
        <f>+UPPER("ON X."&amp;VLOOKUP(B181,'0. Instruções'!$C$27:$G$32,4,FALSE)&amp;"=Y."&amp;VLOOKUP(B181,'0. Instruções'!$C$27:$G$32,4,FALSE)&amp;"_SIMUL")</f>
        <v>ON X.INSTRMNT_ID=Y.INSTRMNT_ID_SIMUL</v>
      </c>
      <c r="L181" s="35" t="str">
        <f>+IF(C181="Coerência", +IF(LEFT(G181,5)="FLOAT","SELECT '"&amp;UPPER(B181)&amp;"' AS TABELA, '"&amp;UPPER(C181)&amp;"' AS TIPOLOGIA_TESTE,'"&amp;D181&amp;"' AS TABELA_LT,'"&amp;E181&amp;"' AS TABELA_SIMUL,'"&amp;F181&amp;"' AS CAMPO, "&amp;"'${ref_date}' AS REF_DATE, COUNT(*) AS NUM_REG, SUM(IF((ABS(COALESCE(CAST(X."&amp;F181&amp;" AS DECIMAL(18,6)),0)-COALESCE(CAST(Y."&amp;F181&amp;"_SIMUL AS DECIMAL(18,6)),0))&gt;0.000001) OR (X."&amp;F181&amp;" IS NULL AND Y."&amp;F181&amp;"_SIMUL IS NOT NULL ) OR (X."&amp;F181&amp;" IS NOT NULL AND Y."&amp;F181&amp;"_SIMUL IS NULL),1,0)) AS NUM_REG_DIF,'"&amp;MAX('ID1&amp;5'!K:K)+1&amp;"' AS ID_EXEC, CURRENT_TIMESTAMP() AS TIME_EXEC FROM "&amp;I181&amp;" INNER JOIN "&amp;J181&amp;" "&amp;K181,"SELECT '"&amp;UPPER(B181)&amp;"' AS TABELA, '"&amp;UPPER(C181)&amp;"' AS TIPOLOGIA_TESTE,'"&amp;D181&amp;"' AS TABELA_LT,'"&amp;E181&amp;"' AS TABELA_SIMUL,'"&amp;F181&amp;"' AS CAMPO, "&amp;"'${ref_date}' AS REF_DATE, COUNT(*) AS NUM_REG, SUM(IF(COALESCE(CAST(X."&amp;F181&amp;" AS STRING),'')&lt;&gt;COALESCE(CAST(Y."&amp;F181&amp;"_SIMUL AS STRING),'') OR (X."&amp;F181&amp;" IS NULL AND Y."&amp;F181&amp;"_SIMUL IS NOT NULL ) OR (X."&amp;F181&amp;" IS NOT NULL AND Y."&amp;F181&amp;"_SIMUL IS NULL),1,0)) AS NUM_REG_DIF,'"&amp;MAX('ID1&amp;5'!L:L)+1&amp;"' AS ID_EXEC, CURRENT_TIMESTAMP() AS TIME_EXEC FROM "&amp;I181&amp;" INNER JOIN "&amp;J181&amp;" "&amp;K181),
IF(C181="Validade",+IF(G181="Code List","SELECT '"&amp;UPPER(B181)&amp;"' AS TABELA, '"&amp;UPPER(C181)&amp;"' AS TIPOLOGIA_TESTE,'"&amp;D181&amp;"' AS TABELA_LT,'N/A' AS TABELA_SIMUL,'"&amp;F181&amp;"' AS CAMPO, "&amp;"'${ref_date}' AS REF_DATE, COUNT(*) AS NUM_REG, SUM(IF(TRIM(CAST(X."&amp;F181&amp;" AS STRING))='' OR TRIM(CAST(X."&amp;F181&amp;" AS STRING)) IS NULL OR CAST(X."&amp;F181&amp;" AS STRING) NOT "&amp;H181&amp;",1,0)) AS NUM_REG_DIF,'"&amp;MAX('ID1&amp;5'!K:K)+1&amp;"' AS ID_EXEC, CURRENT_TIMESTAMP() AS TIME_EXEC FROM "&amp;I181,"SELECT '"&amp;UPPER(B181)&amp;"' AS TABELA, '"&amp;UPPER(C181)&amp;"' AS TIPOLOGIA_TESTE,'"&amp;D181&amp;"' AS TABELA_LT,'N/A' AS TABELA_SIMUL,'"&amp;F181&amp;"' AS CAMPO, "&amp;"'${ref_date}' AS REF_DATE, COUNT(*) AS NUM_REG, SUM(IF(TRIM(CAST(X."&amp;F181&amp;" AS STRING))='' OR TRIM(CAST(X."&amp;F181&amp;" AS STRING)) IS NULL,1,0)) AS NUM_REG_DIF,'"&amp;MAX('ID1&amp;5'!K:K)+1&amp;"' AS ID_EXEC, CURRENT_TIMESTAMP() AS TIME_EXEC FROM "&amp;I181),
IF(C181="Caracteres Especiais",+"SELECT '"&amp;UPPER(B181)&amp;"' AS TABELA, '"&amp;UPPER(C181)&amp;"' AS TIPOLOGIA_TESTE,'"&amp;D181&amp;"' AS TABELA_LT,'N/A' AS TABELA_SIMUL,'"&amp;F181&amp;"' AS CAMPO, "&amp;"'${ref_date}' AS REF_DATE, COUNT(*) AS NUM_REG, SUM(IF(REGEXP_REPLACE(TRIM(CAST(X."&amp;F181&amp;" AS STRING)),'[^a-zA-Z0-9_\\s]','') &lt;&gt;TRIM(CAST(X."&amp;F181&amp;" AS STRING)),1,0)) AS NUM_REG_DIF,'"&amp;MAX('ID1&amp;5'!K:K)+1&amp;"' AS ID_EXEC, CURRENT_TIMESTAMP() AS TIME_EXEC FROM "&amp;I181,
IF(C181="Missings",+"SELECT '"&amp;UPPER(B181)&amp;"' AS TABELA, '"&amp;UPPER(C181)&amp;"' AS TIPOLOGIA_TESTE,'"&amp;D181&amp;"' AS TABELA_LT,'N/A' AS TABELA_SIMUL,'"&amp;F181&amp;"' AS CAMPO, "&amp;"'${ref_date}' AS REF_DATE, COUNT(*) AS NUM_REG, SUM(IF(TRIM(CAST(X."&amp;F181&amp;" AS STRING)) IN ('0000-00-00','0001-01-01','9999-12-31','MISS','00000','99999999999','99999999999.00','99999999999.000000'),1,0)) AS NUM_REG_DIF,'"&amp;MAX('ID1&amp;5'!K:K)+1&amp;"' AS ID_EXEC, CURRENT_TIMESTAMP() AS TIME_EXEC FROM "&amp;I181,
IF(C181="Not applicable",+"SELECT '"&amp;UPPER(B181)&amp;"' AS TABELA, '"&amp;UPPER(C181)&amp;"' AS TIPOLOGIA_TESTE,'"&amp;D181&amp;"' AS TABELA_LT,'N/A' AS TABELA_SIMUL,'"&amp;F181&amp;"' AS CAMPO, "&amp;"'${ref_date}' AS REF_DATE, COUNT(*) AS NUM_REG, SUM(IF(TRIM(CAST(X."&amp;F181&amp;" AS STRING)) IN ('N/A','11111111111','11111111111.00','11111111111.000000','1111-11-11'),1,0)) AS NUM_REG_DIF,'"&amp;MAX('ID1&amp;5'!K:K)+1&amp;"' AS ID_EXEC, CURRENT_TIMESTAMP() AS TIME_EXEC FROM "&amp;I181,
IF(C181="Valores extremos",+"SELECT '"&amp;UPPER(B181)&amp;"' AS TABELA, '"&amp;UPPER(C181)&amp;"' AS TIPOLOGIA_TESTE,'"&amp;D181&amp;"' AS TABELA_LT,'N/A' AS TABELA_SIMUL,'"&amp;F181&amp;"' AS CAMPO, "&amp;"'${ref_date}' AS REF_DATE, CAST(MIN("&amp;F181&amp;") AS STRING) AS VALOR_MIN, CAST(MAX("&amp;F181&amp;") AS STRING) AS VALOR_MAX,'"&amp;MAX('ID1&amp;5'!K:K)+1&amp;"' AS ID_EXEC, CURRENT_TIMESTAMP() AS TIME_EXEC FROM "&amp;MID(I181,1,LEN(I181)-2)&amp;" AND CAST("&amp;F181&amp;"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TABELA_SIMUL,'eir_incptn' AS CAMPO, '${ref_date}' AS REF_DATE, COUNT(*) AS NUM_REG, SUM(IF(COALESCE(CAST(X.eir_incptn AS STRING),'')&lt;&gt;COALESCE(CAST(Y.eir_incptn_SIMUL AS STRING),'') OR (X.eir_incptn IS NULL AND Y.eir_incptn_SIMUL IS NOT NULL ) OR (X.eir_incptn IS NOT NULL AND Y.eir_incptn_SIMUL IS NULL),1,0)) AS NUM_REG_DIF,'1' AS ID_EXEC, CURRENT_TIMESTAMP() AS TIME_EXEC FROM (SELECT instrmnt_id, eir_incptn FROM BU_LOANTAPE_WORK.LT002_INSTRUMENT WHERE ref_date='${ref_date}' AND nome_perimetro='Individual Local' AND segmento='ESTR' AND ambito='SRB_MBDT' AND entidade='00100')X INNER JOIN (SELECT instrmnt_id AS instrmnt_id_SIMUL, eir_incptn AS eir_incptn_SIMUL FROM BU_LOANTAPE_WORK.SIMUL_LT002_INSTRUMENT WHERE ref_date='${ref_date}' AND nome_perimetro='Individual Local' AND segmento='ESTR' AND ambito='PILAR3' AND entidade='00100')Y ON X.INSTRMNT_ID=Y.INSTRMNT_ID_SIMUL</v>
      </c>
      <c r="M181" s="36" t="str">
        <f t="shared" si="5"/>
        <v>UNION ALL SELECT 'INSTRUMENT' AS TABELA, 'COERÊNCIA' AS TIPOLOGIA_TESTE,'BU_LOANTAPE_WORK.LT002_INSTRUMENT' AS TABELA_LT,'BU_LOANTAPE_WORK.SIMUL_LT002_INSTRUMENT' AS TABELA_SIMUL,'eir_incptn' AS CAMPO, '${ref_date}' AS REF_DATE, COUNT(*) AS NUM_REG, SUM(IF(COALESCE(CAST(X.eir_incptn AS STRING),'')&lt;&gt;COALESCE(CAST(Y.eir_incptn_SIMUL AS STRING),'') OR (X.eir_incptn IS NULL AND Y.eir_incptn_SIMUL IS NOT NULL ) OR (X.eir_incptn IS NOT NULL AND Y.eir_incptn_SIMUL IS NULL),1,0)) AS NUM_REG_DIF,'1' AS ID_EXEC, CURRENT_TIMESTAMP() AS TIME_EXEC FROM (SELECT instrmnt_id, eir_incptn FROM BU_LOANTAPE_WORK.LT002_INSTRUMENT WHERE ref_date='${ref_date}' AND nome_perimetro='Individual Local' AND segmento='ESTR' AND ambito='SRB_MBDT' AND entidade='00100')X INNER JOIN (SELECT instrmnt_id AS instrmnt_id_SIMUL, eir_incptn AS eir_incptn_SIMUL FROM BU_LOANTAPE_WORK.SIMUL_LT002_INSTRUMENT WHERE ref_date='${ref_date}' AND nome_perimetro='Individual Local' AND segmento='ESTR' AND ambito='PILAR3' AND entidade='00100')Y ON X.INSTRMNT_ID=Y.INSTRMNT_ID_SIMUL</v>
      </c>
      <c r="N181" s="38"/>
    </row>
    <row r="182" spans="2:14">
      <c r="B182" s="34" t="s">
        <v>117</v>
      </c>
      <c r="C182" s="34" t="s">
        <v>5</v>
      </c>
      <c r="D182" s="34" t="str">
        <f>+UPPER('0. Instruções'!$D$35&amp;"."&amp;VLOOKUP(B182,'0. Instruções'!$C$27:$D$32,2,FALSE))</f>
        <v>BU_LOANTAPE_WORK.LT002_INSTRUMENT</v>
      </c>
      <c r="E182" s="34" t="str">
        <f>+UPPER('0. Instruções'!$D$36&amp;"."&amp;VLOOKUP(B182,'0. Instruções'!$C$27:$E$32,3,FALSE))</f>
        <v>BU_LOANTAPE_WORK.SIMUL_LT002_INSTRUMENT</v>
      </c>
      <c r="F182" s="34" t="s">
        <v>1244</v>
      </c>
      <c r="G182" s="34"/>
      <c r="H182" s="34"/>
      <c r="I182" s="34" t="str">
        <f>"(SELECT "&amp;VLOOKUP(B182,'0. Instruções'!$C$27:$G$32,4,FALSE)&amp;", "&amp;F182&amp;" FROM "&amp;D182&amp;" WHERE "&amp;'0. Instruções'!$D$42&amp;")X"</f>
        <v>(SELECT instrmnt_id, intrst_rt_rst_frqncy FROM BU_LOANTAPE_WORK.LT002_INSTRUMENT WHERE ref_date='${ref_date}' AND nome_perimetro='Individual Local' AND segmento='ESTR' AND ambito='SRB_MBDT' AND entidade='00100')X</v>
      </c>
      <c r="J182" s="34" t="str">
        <f>"(SELECT "&amp;VLOOKUP(B182,'0. Instruções'!$C$27:$G$32,4,FALSE)&amp;" AS "&amp;VLOOKUP(B182,'0. Instruções'!$C$27:$G$32,4,FALSE)&amp;"_SIMUL, "&amp;F182&amp;" AS "&amp;F182&amp;"_SIMUL FROM "&amp;E182&amp;" WHERE "&amp;'0. Instruções'!$D$43&amp;")Y"</f>
        <v>(SELECT instrmnt_id AS instrmnt_id_SIMUL, intrst_rt_rst_frqncy AS intrst_rt_rst_frqncy_SIMUL FROM BU_LOANTAPE_WORK.SIMUL_LT002_INSTRUMENT WHERE ref_date='${ref_date}' AND nome_perimetro='Individual Local' AND segmento='ESTR' AND ambito='PILAR3' AND entidade='00100')Y</v>
      </c>
      <c r="K182" s="35" t="str">
        <f>+UPPER("ON X."&amp;VLOOKUP(B182,'0. Instruções'!$C$27:$G$32,4,FALSE)&amp;"=Y."&amp;VLOOKUP(B182,'0. Instruções'!$C$27:$G$32,4,FALSE)&amp;"_SIMUL")</f>
        <v>ON X.INSTRMNT_ID=Y.INSTRMNT_ID_SIMUL</v>
      </c>
      <c r="L182" s="35" t="str">
        <f>+IF(C182="Coerência", +IF(LEFT(G182,5)="FLOAT","SELECT '"&amp;UPPER(B182)&amp;"' AS TABELA, '"&amp;UPPER(C182)&amp;"' AS TIPOLOGIA_TESTE,'"&amp;D182&amp;"' AS TABELA_LT,'"&amp;E182&amp;"' AS TABELA_SIMUL,'"&amp;F182&amp;"' AS CAMPO, "&amp;"'${ref_date}' AS REF_DATE, COUNT(*) AS NUM_REG, SUM(IF((ABS(COALESCE(CAST(X."&amp;F182&amp;" AS DECIMAL(18,6)),0)-COALESCE(CAST(Y."&amp;F182&amp;"_SIMUL AS DECIMAL(18,6)),0))&gt;0.000001) OR (X."&amp;F182&amp;" IS NULL AND Y."&amp;F182&amp;"_SIMUL IS NOT NULL ) OR (X."&amp;F182&amp;" IS NOT NULL AND Y."&amp;F182&amp;"_SIMUL IS NULL),1,0)) AS NUM_REG_DIF,'"&amp;MAX('ID1&amp;5'!K:K)+1&amp;"' AS ID_EXEC, CURRENT_TIMESTAMP() AS TIME_EXEC FROM "&amp;I182&amp;" INNER JOIN "&amp;J182&amp;" "&amp;K182,"SELECT '"&amp;UPPER(B182)&amp;"' AS TABELA, '"&amp;UPPER(C182)&amp;"' AS TIPOLOGIA_TESTE,'"&amp;D182&amp;"' AS TABELA_LT,'"&amp;E182&amp;"' AS TABELA_SIMUL,'"&amp;F182&amp;"' AS CAMPO, "&amp;"'${ref_date}' AS REF_DATE, COUNT(*) AS NUM_REG, SUM(IF(COALESCE(CAST(X."&amp;F182&amp;" AS STRING),'')&lt;&gt;COALESCE(CAST(Y."&amp;F182&amp;"_SIMUL AS STRING),'') OR (X."&amp;F182&amp;" IS NULL AND Y."&amp;F182&amp;"_SIMUL IS NOT NULL ) OR (X."&amp;F182&amp;" IS NOT NULL AND Y."&amp;F182&amp;"_SIMUL IS NULL),1,0)) AS NUM_REG_DIF,'"&amp;MAX('ID1&amp;5'!L:L)+1&amp;"' AS ID_EXEC, CURRENT_TIMESTAMP() AS TIME_EXEC FROM "&amp;I182&amp;" INNER JOIN "&amp;J182&amp;" "&amp;K182),
IF(C182="Validade",+IF(G182="Code List","SELECT '"&amp;UPPER(B182)&amp;"' AS TABELA, '"&amp;UPPER(C182)&amp;"' AS TIPOLOGIA_TESTE,'"&amp;D182&amp;"' AS TABELA_LT,'N/A' AS TABELA_SIMUL,'"&amp;F182&amp;"' AS CAMPO, "&amp;"'${ref_date}' AS REF_DATE, COUNT(*) AS NUM_REG, SUM(IF(TRIM(CAST(X."&amp;F182&amp;" AS STRING))='' OR TRIM(CAST(X."&amp;F182&amp;" AS STRING)) IS NULL OR CAST(X."&amp;F182&amp;" AS STRING) NOT "&amp;H182&amp;",1,0)) AS NUM_REG_DIF,'"&amp;MAX('ID1&amp;5'!K:K)+1&amp;"' AS ID_EXEC, CURRENT_TIMESTAMP() AS TIME_EXEC FROM "&amp;I182,"SELECT '"&amp;UPPER(B182)&amp;"' AS TABELA, '"&amp;UPPER(C182)&amp;"' AS TIPOLOGIA_TESTE,'"&amp;D182&amp;"' AS TABELA_LT,'N/A' AS TABELA_SIMUL,'"&amp;F182&amp;"' AS CAMPO, "&amp;"'${ref_date}' AS REF_DATE, COUNT(*) AS NUM_REG, SUM(IF(TRIM(CAST(X."&amp;F182&amp;" AS STRING))='' OR TRIM(CAST(X."&amp;F182&amp;" AS STRING)) IS NULL,1,0)) AS NUM_REG_DIF,'"&amp;MAX('ID1&amp;5'!K:K)+1&amp;"' AS ID_EXEC, CURRENT_TIMESTAMP() AS TIME_EXEC FROM "&amp;I182),
IF(C182="Caracteres Especiais",+"SELECT '"&amp;UPPER(B182)&amp;"' AS TABELA, '"&amp;UPPER(C182)&amp;"' AS TIPOLOGIA_TESTE,'"&amp;D182&amp;"' AS TABELA_LT,'N/A' AS TABELA_SIMUL,'"&amp;F182&amp;"' AS CAMPO, "&amp;"'${ref_date}' AS REF_DATE, COUNT(*) AS NUM_REG, SUM(IF(REGEXP_REPLACE(TRIM(CAST(X."&amp;F182&amp;" AS STRING)),'[^a-zA-Z0-9_\\s]','') &lt;&gt;TRIM(CAST(X."&amp;F182&amp;" AS STRING)),1,0)) AS NUM_REG_DIF,'"&amp;MAX('ID1&amp;5'!K:K)+1&amp;"' AS ID_EXEC, CURRENT_TIMESTAMP() AS TIME_EXEC FROM "&amp;I182,
IF(C182="Missings",+"SELECT '"&amp;UPPER(B182)&amp;"' AS TABELA, '"&amp;UPPER(C182)&amp;"' AS TIPOLOGIA_TESTE,'"&amp;D182&amp;"' AS TABELA_LT,'N/A' AS TABELA_SIMUL,'"&amp;F182&amp;"' AS CAMPO, "&amp;"'${ref_date}' AS REF_DATE, COUNT(*) AS NUM_REG, SUM(IF(TRIM(CAST(X."&amp;F182&amp;" AS STRING)) IN ('0000-00-00','0001-01-01','9999-12-31','MISS','00000','99999999999','99999999999.00','99999999999.000000'),1,0)) AS NUM_REG_DIF,'"&amp;MAX('ID1&amp;5'!K:K)+1&amp;"' AS ID_EXEC, CURRENT_TIMESTAMP() AS TIME_EXEC FROM "&amp;I182,
IF(C182="Not applicable",+"SELECT '"&amp;UPPER(B182)&amp;"' AS TABELA, '"&amp;UPPER(C182)&amp;"' AS TIPOLOGIA_TESTE,'"&amp;D182&amp;"' AS TABELA_LT,'N/A' AS TABELA_SIMUL,'"&amp;F182&amp;"' AS CAMPO, "&amp;"'${ref_date}' AS REF_DATE, COUNT(*) AS NUM_REG, SUM(IF(TRIM(CAST(X."&amp;F182&amp;" AS STRING)) IN ('N/A','11111111111','11111111111.00','11111111111.000000','1111-11-11'),1,0)) AS NUM_REG_DIF,'"&amp;MAX('ID1&amp;5'!K:K)+1&amp;"' AS ID_EXEC, CURRENT_TIMESTAMP() AS TIME_EXEC FROM "&amp;I182,
IF(C182="Valores extremos",+"SELECT '"&amp;UPPER(B182)&amp;"' AS TABELA, '"&amp;UPPER(C182)&amp;"' AS TIPOLOGIA_TESTE,'"&amp;D182&amp;"' AS TABELA_LT,'N/A' AS TABELA_SIMUL,'"&amp;F182&amp;"' AS CAMPO, "&amp;"'${ref_date}' AS REF_DATE, CAST(MIN("&amp;F182&amp;") AS STRING) AS VALOR_MIN, CAST(MAX("&amp;F182&amp;") AS STRING) AS VALOR_MAX,'"&amp;MAX('ID1&amp;5'!K:K)+1&amp;"' AS ID_EXEC, CURRENT_TIMESTAMP() AS TIME_EXEC FROM "&amp;MID(I182,1,LEN(I182)-2)&amp;" AND CAST("&amp;F182&amp;"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TABELA_SIMUL,'intrst_rt_rst_frqncy' AS CAMPO, '${ref_date}' AS REF_DATE, COUNT(*) AS NUM_REG, SUM(IF(COALESCE(CAST(X.intrst_rt_rst_frqncy AS STRING),'')&lt;&gt;COALESCE(CAST(Y.intrst_rt_rst_frqncy_SIMUL AS STRING),'') OR (X.intrst_rt_rst_frqncy IS NULL AND Y.intrst_rt_rst_frqncy_SIMUL IS NOT NULL ) OR (X.intrst_rt_rst_frqncy IS NOT NULL AND Y.intrst_rt_rst_frqncy_SIMUL IS NULL),1,0)) AS NUM_REG_DIF,'1' AS ID_EXEC, CURRENT_TIMESTAMP() AS TIME_EXEC FROM (SELECT instrmnt_id, intrst_rt_rst_frqncy FROM BU_LOANTAPE_WORK.LT002_INSTRUMENT WHERE ref_date='${ref_date}' AND nome_perimetro='Individual Local' AND segmento='ESTR' AND ambito='SRB_MBDT' AND entidade='00100')X INNER JOIN (SELECT instrmnt_id AS instrmnt_id_SIMUL, intrst_rt_rst_frqncy AS intrst_rt_rst_frqncy_SIMUL FROM BU_LOANTAPE_WORK.SIMUL_LT002_INSTRUMENT WHERE ref_date='${ref_date}' AND nome_perimetro='Individual Local' AND segmento='ESTR' AND ambito='PILAR3' AND entidade='00100')Y ON X.INSTRMNT_ID=Y.INSTRMNT_ID_SIMUL</v>
      </c>
      <c r="M182" s="36" t="str">
        <f t="shared" si="5"/>
        <v>UNION ALL SELECT 'INSTRUMENT' AS TABELA, 'COERÊNCIA' AS TIPOLOGIA_TESTE,'BU_LOANTAPE_WORK.LT002_INSTRUMENT' AS TABELA_LT,'BU_LOANTAPE_WORK.SIMUL_LT002_INSTRUMENT' AS TABELA_SIMUL,'intrst_rt_rst_frqncy' AS CAMPO, '${ref_date}' AS REF_DATE, COUNT(*) AS NUM_REG, SUM(IF(COALESCE(CAST(X.intrst_rt_rst_frqncy AS STRING),'')&lt;&gt;COALESCE(CAST(Y.intrst_rt_rst_frqncy_SIMUL AS STRING),'') OR (X.intrst_rt_rst_frqncy IS NULL AND Y.intrst_rt_rst_frqncy_SIMUL IS NOT NULL ) OR (X.intrst_rt_rst_frqncy IS NOT NULL AND Y.intrst_rt_rst_frqncy_SIMUL IS NULL),1,0)) AS NUM_REG_DIF,'1' AS ID_EXEC, CURRENT_TIMESTAMP() AS TIME_EXEC FROM (SELECT instrmnt_id, intrst_rt_rst_frqncy FROM BU_LOANTAPE_WORK.LT002_INSTRUMENT WHERE ref_date='${ref_date}' AND nome_perimetro='Individual Local' AND segmento='ESTR' AND ambito='SRB_MBDT' AND entidade='00100')X INNER JOIN (SELECT instrmnt_id AS instrmnt_id_SIMUL, intrst_rt_rst_frqncy AS intrst_rt_rst_frqncy_SIMUL FROM BU_LOANTAPE_WORK.SIMUL_LT002_INSTRUMENT WHERE ref_date='${ref_date}' AND nome_perimetro='Individual Local' AND segmento='ESTR' AND ambito='PILAR3' AND entidade='00100')Y ON X.INSTRMNT_ID=Y.INSTRMNT_ID_SIMUL</v>
      </c>
      <c r="N182" s="38"/>
    </row>
    <row r="183" spans="2:14">
      <c r="B183" s="34" t="s">
        <v>117</v>
      </c>
      <c r="C183" s="34" t="s">
        <v>5</v>
      </c>
      <c r="D183" s="34" t="str">
        <f>+UPPER('0. Instruções'!$D$35&amp;"."&amp;VLOOKUP(B183,'0. Instruções'!$C$27:$D$32,2,FALSE))</f>
        <v>BU_LOANTAPE_WORK.LT002_INSTRUMENT</v>
      </c>
      <c r="E183" s="34" t="str">
        <f>+UPPER('0. Instruções'!$D$36&amp;"."&amp;VLOOKUP(B183,'0. Instruções'!$C$27:$E$32,3,FALSE))</f>
        <v>BU_LOANTAPE_WORK.SIMUL_LT002_INSTRUMENT</v>
      </c>
      <c r="F183" s="34" t="s">
        <v>1245</v>
      </c>
      <c r="G183" s="34"/>
      <c r="H183" s="34"/>
      <c r="I183" s="34" t="str">
        <f>"(SELECT "&amp;VLOOKUP(B183,'0. Instruções'!$C$27:$G$32,4,FALSE)&amp;", "&amp;F183&amp;" FROM "&amp;D183&amp;" WHERE "&amp;'0. Instruções'!$D$42&amp;")X"</f>
        <v>(SELECT instrmnt_id, add_fld01 FROM BU_LOANTAPE_WORK.LT002_INSTRUMENT WHERE ref_date='${ref_date}' AND nome_perimetro='Individual Local' AND segmento='ESTR' AND ambito='SRB_MBDT' AND entidade='00100')X</v>
      </c>
      <c r="J183" s="34" t="str">
        <f>"(SELECT "&amp;VLOOKUP(B183,'0. Instruções'!$C$27:$G$32,4,FALSE)&amp;" AS "&amp;VLOOKUP(B183,'0. Instruções'!$C$27:$G$32,4,FALSE)&amp;"_SIMUL, "&amp;F183&amp;" AS "&amp;F183&amp;"_SIMUL FROM "&amp;E183&amp;" WHERE "&amp;'0. Instruções'!$D$43&amp;")Y"</f>
        <v>(SELECT instrmnt_id AS instrmnt_id_SIMUL, add_fld01 AS add_fld01_SIMUL FROM BU_LOANTAPE_WORK.SIMUL_LT002_INSTRUMENT WHERE ref_date='${ref_date}' AND nome_perimetro='Individual Local' AND segmento='ESTR' AND ambito='PILAR3' AND entidade='00100')Y</v>
      </c>
      <c r="K183" s="35" t="str">
        <f>+UPPER("ON X."&amp;VLOOKUP(B183,'0. Instruções'!$C$27:$G$32,4,FALSE)&amp;"=Y."&amp;VLOOKUP(B183,'0. Instruções'!$C$27:$G$32,4,FALSE)&amp;"_SIMUL")</f>
        <v>ON X.INSTRMNT_ID=Y.INSTRMNT_ID_SIMUL</v>
      </c>
      <c r="L183" s="35" t="str">
        <f>+IF(C183="Coerência", +IF(LEFT(G183,5)="FLOAT","SELECT '"&amp;UPPER(B183)&amp;"' AS TABELA, '"&amp;UPPER(C183)&amp;"' AS TIPOLOGIA_TESTE,'"&amp;D183&amp;"' AS TABELA_LT,'"&amp;E183&amp;"' AS TABELA_SIMUL,'"&amp;F183&amp;"' AS CAMPO, "&amp;"'${ref_date}' AS REF_DATE, COUNT(*) AS NUM_REG, SUM(IF((ABS(COALESCE(CAST(X."&amp;F183&amp;" AS DECIMAL(18,6)),0)-COALESCE(CAST(Y."&amp;F183&amp;"_SIMUL AS DECIMAL(18,6)),0))&gt;0.000001) OR (X."&amp;F183&amp;" IS NULL AND Y."&amp;F183&amp;"_SIMUL IS NOT NULL ) OR (X."&amp;F183&amp;" IS NOT NULL AND Y."&amp;F183&amp;"_SIMUL IS NULL),1,0)) AS NUM_REG_DIF,'"&amp;MAX('ID1&amp;5'!K:K)+1&amp;"' AS ID_EXEC, CURRENT_TIMESTAMP() AS TIME_EXEC FROM "&amp;I183&amp;" INNER JOIN "&amp;J183&amp;" "&amp;K183,"SELECT '"&amp;UPPER(B183)&amp;"' AS TABELA, '"&amp;UPPER(C183)&amp;"' AS TIPOLOGIA_TESTE,'"&amp;D183&amp;"' AS TABELA_LT,'"&amp;E183&amp;"' AS TABELA_SIMUL,'"&amp;F183&amp;"' AS CAMPO, "&amp;"'${ref_date}' AS REF_DATE, COUNT(*) AS NUM_REG, SUM(IF(COALESCE(CAST(X."&amp;F183&amp;" AS STRING),'')&lt;&gt;COALESCE(CAST(Y."&amp;F183&amp;"_SIMUL AS STRING),'') OR (X."&amp;F183&amp;" IS NULL AND Y."&amp;F183&amp;"_SIMUL IS NOT NULL ) OR (X."&amp;F183&amp;" IS NOT NULL AND Y."&amp;F183&amp;"_SIMUL IS NULL),1,0)) AS NUM_REG_DIF,'"&amp;MAX('ID1&amp;5'!L:L)+1&amp;"' AS ID_EXEC, CURRENT_TIMESTAMP() AS TIME_EXEC FROM "&amp;I183&amp;" INNER JOIN "&amp;J183&amp;" "&amp;K183),
IF(C183="Validade",+IF(G183="Code List","SELECT '"&amp;UPPER(B183)&amp;"' AS TABELA, '"&amp;UPPER(C183)&amp;"' AS TIPOLOGIA_TESTE,'"&amp;D183&amp;"' AS TABELA_LT,'N/A' AS TABELA_SIMUL,'"&amp;F183&amp;"' AS CAMPO, "&amp;"'${ref_date}' AS REF_DATE, COUNT(*) AS NUM_REG, SUM(IF(TRIM(CAST(X."&amp;F183&amp;" AS STRING))='' OR TRIM(CAST(X."&amp;F183&amp;" AS STRING)) IS NULL OR CAST(X."&amp;F183&amp;" AS STRING) NOT "&amp;H183&amp;",1,0)) AS NUM_REG_DIF,'"&amp;MAX('ID1&amp;5'!K:K)+1&amp;"' AS ID_EXEC, CURRENT_TIMESTAMP() AS TIME_EXEC FROM "&amp;I183,"SELECT '"&amp;UPPER(B183)&amp;"' AS TABELA, '"&amp;UPPER(C183)&amp;"' AS TIPOLOGIA_TESTE,'"&amp;D183&amp;"' AS TABELA_LT,'N/A' AS TABELA_SIMUL,'"&amp;F183&amp;"' AS CAMPO, "&amp;"'${ref_date}' AS REF_DATE, COUNT(*) AS NUM_REG, SUM(IF(TRIM(CAST(X."&amp;F183&amp;" AS STRING))='' OR TRIM(CAST(X."&amp;F183&amp;" AS STRING)) IS NULL,1,0)) AS NUM_REG_DIF,'"&amp;MAX('ID1&amp;5'!K:K)+1&amp;"' AS ID_EXEC, CURRENT_TIMESTAMP() AS TIME_EXEC FROM "&amp;I183),
IF(C183="Caracteres Especiais",+"SELECT '"&amp;UPPER(B183)&amp;"' AS TABELA, '"&amp;UPPER(C183)&amp;"' AS TIPOLOGIA_TESTE,'"&amp;D183&amp;"' AS TABELA_LT,'N/A' AS TABELA_SIMUL,'"&amp;F183&amp;"' AS CAMPO, "&amp;"'${ref_date}' AS REF_DATE, COUNT(*) AS NUM_REG, SUM(IF(REGEXP_REPLACE(TRIM(CAST(X."&amp;F183&amp;" AS STRING)),'[^a-zA-Z0-9_\\s]','') &lt;&gt;TRIM(CAST(X."&amp;F183&amp;" AS STRING)),1,0)) AS NUM_REG_DIF,'"&amp;MAX('ID1&amp;5'!K:K)+1&amp;"' AS ID_EXEC, CURRENT_TIMESTAMP() AS TIME_EXEC FROM "&amp;I183,
IF(C183="Missings",+"SELECT '"&amp;UPPER(B183)&amp;"' AS TABELA, '"&amp;UPPER(C183)&amp;"' AS TIPOLOGIA_TESTE,'"&amp;D183&amp;"' AS TABELA_LT,'N/A' AS TABELA_SIMUL,'"&amp;F183&amp;"' AS CAMPO, "&amp;"'${ref_date}' AS REF_DATE, COUNT(*) AS NUM_REG, SUM(IF(TRIM(CAST(X."&amp;F183&amp;" AS STRING)) IN ('0000-00-00','0001-01-01','9999-12-31','MISS','00000','99999999999','99999999999.00','99999999999.000000'),1,0)) AS NUM_REG_DIF,'"&amp;MAX('ID1&amp;5'!K:K)+1&amp;"' AS ID_EXEC, CURRENT_TIMESTAMP() AS TIME_EXEC FROM "&amp;I183,
IF(C183="Not applicable",+"SELECT '"&amp;UPPER(B183)&amp;"' AS TABELA, '"&amp;UPPER(C183)&amp;"' AS TIPOLOGIA_TESTE,'"&amp;D183&amp;"' AS TABELA_LT,'N/A' AS TABELA_SIMUL,'"&amp;F183&amp;"' AS CAMPO, "&amp;"'${ref_date}' AS REF_DATE, COUNT(*) AS NUM_REG, SUM(IF(TRIM(CAST(X."&amp;F183&amp;" AS STRING)) IN ('N/A','11111111111','11111111111.00','11111111111.000000','1111-11-11'),1,0)) AS NUM_REG_DIF,'"&amp;MAX('ID1&amp;5'!K:K)+1&amp;"' AS ID_EXEC, CURRENT_TIMESTAMP() AS TIME_EXEC FROM "&amp;I183,
IF(C183="Valores extremos",+"SELECT '"&amp;UPPER(B183)&amp;"' AS TABELA, '"&amp;UPPER(C183)&amp;"' AS TIPOLOGIA_TESTE,'"&amp;D183&amp;"' AS TABELA_LT,'N/A' AS TABELA_SIMUL,'"&amp;F183&amp;"' AS CAMPO, "&amp;"'${ref_date}' AS REF_DATE, CAST(MIN("&amp;F183&amp;") AS STRING) AS VALOR_MIN, CAST(MAX("&amp;F183&amp;") AS STRING) AS VALOR_MAX,'"&amp;MAX('ID1&amp;5'!K:K)+1&amp;"' AS ID_EXEC, CURRENT_TIMESTAMP() AS TIME_EXEC FROM "&amp;MID(I183,1,LEN(I183)-2)&amp;" AND CAST("&amp;F183&amp;"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TABELA_SIMUL,'add_fld01' AS CAMPO, '${ref_date}' AS REF_DATE, COUNT(*) AS NUM_REG, SUM(IF(COALESCE(CAST(X.add_fld01 AS STRING),'')&lt;&gt;COALESCE(CAST(Y.add_fld01_SIMUL AS STRING),'') OR (X.add_fld01 IS NULL AND Y.add_fld01_SIMUL IS NOT NULL ) OR (X.add_fld01 IS NOT NULL AND Y.add_fld01_SIMUL IS NULL),1,0)) AS NUM_REG_DIF,'1' AS ID_EXEC, CURRENT_TIMESTAMP() AS TIME_EXEC FROM (SELECT instrmnt_id, add_fld01 FROM BU_LOANTAPE_WORK.LT002_INSTRUMENT WHERE ref_date='${ref_date}' AND nome_perimetro='Individual Local' AND segmento='ESTR' AND ambito='SRB_MBDT' AND entidade='00100')X INNER JOIN (SELECT instrmnt_id AS instrmnt_id_SIMUL, add_fld01 AS add_fld01_SIMUL FROM BU_LOANTAPE_WORK.SIMUL_LT002_INSTRUMENT WHERE ref_date='${ref_date}' AND nome_perimetro='Individual Local' AND segmento='ESTR' AND ambito='PILAR3' AND entidade='00100')Y ON X.INSTRMNT_ID=Y.INSTRMNT_ID_SIMUL</v>
      </c>
      <c r="M183" s="36" t="str">
        <f t="shared" si="5"/>
        <v>UNION ALL SELECT 'INSTRUMENT' AS TABELA, 'COERÊNCIA' AS TIPOLOGIA_TESTE,'BU_LOANTAPE_WORK.LT002_INSTRUMENT' AS TABELA_LT,'BU_LOANTAPE_WORK.SIMUL_LT002_INSTRUMENT' AS TABELA_SIMUL,'add_fld01' AS CAMPO, '${ref_date}' AS REF_DATE, COUNT(*) AS NUM_REG, SUM(IF(COALESCE(CAST(X.add_fld01 AS STRING),'')&lt;&gt;COALESCE(CAST(Y.add_fld01_SIMUL AS STRING),'') OR (X.add_fld01 IS NULL AND Y.add_fld01_SIMUL IS NOT NULL ) OR (X.add_fld01 IS NOT NULL AND Y.add_fld01_SIMUL IS NULL),1,0)) AS NUM_REG_DIF,'1' AS ID_EXEC, CURRENT_TIMESTAMP() AS TIME_EXEC FROM (SELECT instrmnt_id, add_fld01 FROM BU_LOANTAPE_WORK.LT002_INSTRUMENT WHERE ref_date='${ref_date}' AND nome_perimetro='Individual Local' AND segmento='ESTR' AND ambito='SRB_MBDT' AND entidade='00100')X INNER JOIN (SELECT instrmnt_id AS instrmnt_id_SIMUL, add_fld01 AS add_fld01_SIMUL FROM BU_LOANTAPE_WORK.SIMUL_LT002_INSTRUMENT WHERE ref_date='${ref_date}' AND nome_perimetro='Individual Local' AND segmento='ESTR' AND ambito='PILAR3' AND entidade='00100')Y ON X.INSTRMNT_ID=Y.INSTRMNT_ID_SIMUL</v>
      </c>
      <c r="N183" s="38"/>
    </row>
    <row r="184" spans="2:14">
      <c r="B184" s="34" t="s">
        <v>117</v>
      </c>
      <c r="C184" s="34" t="s">
        <v>5</v>
      </c>
      <c r="D184" s="34" t="str">
        <f>+UPPER('0. Instruções'!$D$35&amp;"."&amp;VLOOKUP(B184,'0. Instruções'!$C$27:$D$32,2,FALSE))</f>
        <v>BU_LOANTAPE_WORK.LT002_INSTRUMENT</v>
      </c>
      <c r="E184" s="34" t="str">
        <f>+UPPER('0. Instruções'!$D$36&amp;"."&amp;VLOOKUP(B184,'0. Instruções'!$C$27:$E$32,3,FALSE))</f>
        <v>BU_LOANTAPE_WORK.SIMUL_LT002_INSTRUMENT</v>
      </c>
      <c r="F184" s="34" t="s">
        <v>1246</v>
      </c>
      <c r="G184" s="34"/>
      <c r="H184" s="34"/>
      <c r="I184" s="34" t="str">
        <f>"(SELECT "&amp;VLOOKUP(B184,'0. Instruções'!$C$27:$G$32,4,FALSE)&amp;", "&amp;F184&amp;" FROM "&amp;D184&amp;" WHERE "&amp;'0. Instruções'!$D$42&amp;")X"</f>
        <v>(SELECT instrmnt_id, add_fld02 FROM BU_LOANTAPE_WORK.LT002_INSTRUMENT WHERE ref_date='${ref_date}' AND nome_perimetro='Individual Local' AND segmento='ESTR' AND ambito='SRB_MBDT' AND entidade='00100')X</v>
      </c>
      <c r="J184" s="34" t="str">
        <f>"(SELECT "&amp;VLOOKUP(B184,'0. Instruções'!$C$27:$G$32,4,FALSE)&amp;" AS "&amp;VLOOKUP(B184,'0. Instruções'!$C$27:$G$32,4,FALSE)&amp;"_SIMUL, "&amp;F184&amp;" AS "&amp;F184&amp;"_SIMUL FROM "&amp;E184&amp;" WHERE "&amp;'0. Instruções'!$D$43&amp;")Y"</f>
        <v>(SELECT instrmnt_id AS instrmnt_id_SIMUL, add_fld02 AS add_fld02_SIMUL FROM BU_LOANTAPE_WORK.SIMUL_LT002_INSTRUMENT WHERE ref_date='${ref_date}' AND nome_perimetro='Individual Local' AND segmento='ESTR' AND ambito='PILAR3' AND entidade='00100')Y</v>
      </c>
      <c r="K184" s="35" t="str">
        <f>+UPPER("ON X."&amp;VLOOKUP(B184,'0. Instruções'!$C$27:$G$32,4,FALSE)&amp;"=Y."&amp;VLOOKUP(B184,'0. Instruções'!$C$27:$G$32,4,FALSE)&amp;"_SIMUL")</f>
        <v>ON X.INSTRMNT_ID=Y.INSTRMNT_ID_SIMUL</v>
      </c>
      <c r="L184" s="35" t="str">
        <f>+IF(C184="Coerência", +IF(LEFT(G184,5)="FLOAT","SELECT '"&amp;UPPER(B184)&amp;"' AS TABELA, '"&amp;UPPER(C184)&amp;"' AS TIPOLOGIA_TESTE,'"&amp;D184&amp;"' AS TABELA_LT,'"&amp;E184&amp;"' AS TABELA_SIMUL,'"&amp;F184&amp;"' AS CAMPO, "&amp;"'${ref_date}' AS REF_DATE, COUNT(*) AS NUM_REG, SUM(IF((ABS(COALESCE(CAST(X."&amp;F184&amp;" AS DECIMAL(18,6)),0)-COALESCE(CAST(Y."&amp;F184&amp;"_SIMUL AS DECIMAL(18,6)),0))&gt;0.000001) OR (X."&amp;F184&amp;" IS NULL AND Y."&amp;F184&amp;"_SIMUL IS NOT NULL ) OR (X."&amp;F184&amp;" IS NOT NULL AND Y."&amp;F184&amp;"_SIMUL IS NULL),1,0)) AS NUM_REG_DIF,'"&amp;MAX('ID1&amp;5'!K:K)+1&amp;"' AS ID_EXEC, CURRENT_TIMESTAMP() AS TIME_EXEC FROM "&amp;I184&amp;" INNER JOIN "&amp;J184&amp;" "&amp;K184,"SELECT '"&amp;UPPER(B184)&amp;"' AS TABELA, '"&amp;UPPER(C184)&amp;"' AS TIPOLOGIA_TESTE,'"&amp;D184&amp;"' AS TABELA_LT,'"&amp;E184&amp;"' AS TABELA_SIMUL,'"&amp;F184&amp;"' AS CAMPO, "&amp;"'${ref_date}' AS REF_DATE, COUNT(*) AS NUM_REG, SUM(IF(COALESCE(CAST(X."&amp;F184&amp;" AS STRING),'')&lt;&gt;COALESCE(CAST(Y."&amp;F184&amp;"_SIMUL AS STRING),'') OR (X."&amp;F184&amp;" IS NULL AND Y."&amp;F184&amp;"_SIMUL IS NOT NULL ) OR (X."&amp;F184&amp;" IS NOT NULL AND Y."&amp;F184&amp;"_SIMUL IS NULL),1,0)) AS NUM_REG_DIF,'"&amp;MAX('ID1&amp;5'!L:L)+1&amp;"' AS ID_EXEC, CURRENT_TIMESTAMP() AS TIME_EXEC FROM "&amp;I184&amp;" INNER JOIN "&amp;J184&amp;" "&amp;K184),
IF(C184="Validade",+IF(G184="Code List","SELECT '"&amp;UPPER(B184)&amp;"' AS TABELA, '"&amp;UPPER(C184)&amp;"' AS TIPOLOGIA_TESTE,'"&amp;D184&amp;"' AS TABELA_LT,'N/A' AS TABELA_SIMUL,'"&amp;F184&amp;"' AS CAMPO, "&amp;"'${ref_date}' AS REF_DATE, COUNT(*) AS NUM_REG, SUM(IF(TRIM(CAST(X."&amp;F184&amp;" AS STRING))='' OR TRIM(CAST(X."&amp;F184&amp;" AS STRING)) IS NULL OR CAST(X."&amp;F184&amp;" AS STRING) NOT "&amp;H184&amp;",1,0)) AS NUM_REG_DIF,'"&amp;MAX('ID1&amp;5'!K:K)+1&amp;"' AS ID_EXEC, CURRENT_TIMESTAMP() AS TIME_EXEC FROM "&amp;I184,"SELECT '"&amp;UPPER(B184)&amp;"' AS TABELA, '"&amp;UPPER(C184)&amp;"' AS TIPOLOGIA_TESTE,'"&amp;D184&amp;"' AS TABELA_LT,'N/A' AS TABELA_SIMUL,'"&amp;F184&amp;"' AS CAMPO, "&amp;"'${ref_date}' AS REF_DATE, COUNT(*) AS NUM_REG, SUM(IF(TRIM(CAST(X."&amp;F184&amp;" AS STRING))='' OR TRIM(CAST(X."&amp;F184&amp;" AS STRING)) IS NULL,1,0)) AS NUM_REG_DIF,'"&amp;MAX('ID1&amp;5'!K:K)+1&amp;"' AS ID_EXEC, CURRENT_TIMESTAMP() AS TIME_EXEC FROM "&amp;I184),
IF(C184="Caracteres Especiais",+"SELECT '"&amp;UPPER(B184)&amp;"' AS TABELA, '"&amp;UPPER(C184)&amp;"' AS TIPOLOGIA_TESTE,'"&amp;D184&amp;"' AS TABELA_LT,'N/A' AS TABELA_SIMUL,'"&amp;F184&amp;"' AS CAMPO, "&amp;"'${ref_date}' AS REF_DATE, COUNT(*) AS NUM_REG, SUM(IF(REGEXP_REPLACE(TRIM(CAST(X."&amp;F184&amp;" AS STRING)),'[^a-zA-Z0-9_\\s]','') &lt;&gt;TRIM(CAST(X."&amp;F184&amp;" AS STRING)),1,0)) AS NUM_REG_DIF,'"&amp;MAX('ID1&amp;5'!K:K)+1&amp;"' AS ID_EXEC, CURRENT_TIMESTAMP() AS TIME_EXEC FROM "&amp;I184,
IF(C184="Missings",+"SELECT '"&amp;UPPER(B184)&amp;"' AS TABELA, '"&amp;UPPER(C184)&amp;"' AS TIPOLOGIA_TESTE,'"&amp;D184&amp;"' AS TABELA_LT,'N/A' AS TABELA_SIMUL,'"&amp;F184&amp;"' AS CAMPO, "&amp;"'${ref_date}' AS REF_DATE, COUNT(*) AS NUM_REG, SUM(IF(TRIM(CAST(X."&amp;F184&amp;" AS STRING)) IN ('0000-00-00','0001-01-01','9999-12-31','MISS','00000','99999999999','99999999999.00','99999999999.000000'),1,0)) AS NUM_REG_DIF,'"&amp;MAX('ID1&amp;5'!K:K)+1&amp;"' AS ID_EXEC, CURRENT_TIMESTAMP() AS TIME_EXEC FROM "&amp;I184,
IF(C184="Not applicable",+"SELECT '"&amp;UPPER(B184)&amp;"' AS TABELA, '"&amp;UPPER(C184)&amp;"' AS TIPOLOGIA_TESTE,'"&amp;D184&amp;"' AS TABELA_LT,'N/A' AS TABELA_SIMUL,'"&amp;F184&amp;"' AS CAMPO, "&amp;"'${ref_date}' AS REF_DATE, COUNT(*) AS NUM_REG, SUM(IF(TRIM(CAST(X."&amp;F184&amp;" AS STRING)) IN ('N/A','11111111111','11111111111.00','11111111111.000000','1111-11-11'),1,0)) AS NUM_REG_DIF,'"&amp;MAX('ID1&amp;5'!K:K)+1&amp;"' AS ID_EXEC, CURRENT_TIMESTAMP() AS TIME_EXEC FROM "&amp;I184,
IF(C184="Valores extremos",+"SELECT '"&amp;UPPER(B184)&amp;"' AS TABELA, '"&amp;UPPER(C184)&amp;"' AS TIPOLOGIA_TESTE,'"&amp;D184&amp;"' AS TABELA_LT,'N/A' AS TABELA_SIMUL,'"&amp;F184&amp;"' AS CAMPO, "&amp;"'${ref_date}' AS REF_DATE, CAST(MIN("&amp;F184&amp;") AS STRING) AS VALOR_MIN, CAST(MAX("&amp;F184&amp;") AS STRING) AS VALOR_MAX,'"&amp;MAX('ID1&amp;5'!K:K)+1&amp;"' AS ID_EXEC, CURRENT_TIMESTAMP() AS TIME_EXEC FROM "&amp;MID(I184,1,LEN(I184)-2)&amp;" AND CAST("&amp;F184&amp;"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TABELA_SIMUL,'add_fld02' AS CAMPO, '${ref_date}' AS REF_DATE, COUNT(*) AS NUM_REG, SUM(IF(COALESCE(CAST(X.add_fld02 AS STRING),'')&lt;&gt;COALESCE(CAST(Y.add_fld02_SIMUL AS STRING),'') OR (X.add_fld02 IS NULL AND Y.add_fld02_SIMUL IS NOT NULL ) OR (X.add_fld02 IS NOT NULL AND Y.add_fld02_SIMUL IS NULL),1,0)) AS NUM_REG_DIF,'1' AS ID_EXEC, CURRENT_TIMESTAMP() AS TIME_EXEC FROM (SELECT instrmnt_id, add_fld02 FROM BU_LOANTAPE_WORK.LT002_INSTRUMENT WHERE ref_date='${ref_date}' AND nome_perimetro='Individual Local' AND segmento='ESTR' AND ambito='SRB_MBDT' AND entidade='00100')X INNER JOIN (SELECT instrmnt_id AS instrmnt_id_SIMUL, add_fld02 AS add_fld02_SIMUL FROM BU_LOANTAPE_WORK.SIMUL_LT002_INSTRUMENT WHERE ref_date='${ref_date}' AND nome_perimetro='Individual Local' AND segmento='ESTR' AND ambito='PILAR3' AND entidade='00100')Y ON X.INSTRMNT_ID=Y.INSTRMNT_ID_SIMUL</v>
      </c>
      <c r="M184" s="36" t="str">
        <f t="shared" si="5"/>
        <v>UNION ALL SELECT 'INSTRUMENT' AS TABELA, 'COERÊNCIA' AS TIPOLOGIA_TESTE,'BU_LOANTAPE_WORK.LT002_INSTRUMENT' AS TABELA_LT,'BU_LOANTAPE_WORK.SIMUL_LT002_INSTRUMENT' AS TABELA_SIMUL,'add_fld02' AS CAMPO, '${ref_date}' AS REF_DATE, COUNT(*) AS NUM_REG, SUM(IF(COALESCE(CAST(X.add_fld02 AS STRING),'')&lt;&gt;COALESCE(CAST(Y.add_fld02_SIMUL AS STRING),'') OR (X.add_fld02 IS NULL AND Y.add_fld02_SIMUL IS NOT NULL ) OR (X.add_fld02 IS NOT NULL AND Y.add_fld02_SIMUL IS NULL),1,0)) AS NUM_REG_DIF,'1' AS ID_EXEC, CURRENT_TIMESTAMP() AS TIME_EXEC FROM (SELECT instrmnt_id, add_fld02 FROM BU_LOANTAPE_WORK.LT002_INSTRUMENT WHERE ref_date='${ref_date}' AND nome_perimetro='Individual Local' AND segmento='ESTR' AND ambito='SRB_MBDT' AND entidade='00100')X INNER JOIN (SELECT instrmnt_id AS instrmnt_id_SIMUL, add_fld02 AS add_fld02_SIMUL FROM BU_LOANTAPE_WORK.SIMUL_LT002_INSTRUMENT WHERE ref_date='${ref_date}' AND nome_perimetro='Individual Local' AND segmento='ESTR' AND ambito='PILAR3' AND entidade='00100')Y ON X.INSTRMNT_ID=Y.INSTRMNT_ID_SIMUL</v>
      </c>
      <c r="N184" s="38"/>
    </row>
    <row r="185" spans="2:14">
      <c r="B185" s="34" t="s">
        <v>117</v>
      </c>
      <c r="C185" s="34" t="s">
        <v>5</v>
      </c>
      <c r="D185" s="34" t="str">
        <f>+UPPER('0. Instruções'!$D$35&amp;"."&amp;VLOOKUP(B185,'0. Instruções'!$C$27:$D$32,2,FALSE))</f>
        <v>BU_LOANTAPE_WORK.LT002_INSTRUMENT</v>
      </c>
      <c r="E185" s="34" t="str">
        <f>+UPPER('0. Instruções'!$D$36&amp;"."&amp;VLOOKUP(B185,'0. Instruções'!$C$27:$E$32,3,FALSE))</f>
        <v>BU_LOANTAPE_WORK.SIMUL_LT002_INSTRUMENT</v>
      </c>
      <c r="F185" s="34" t="s">
        <v>1247</v>
      </c>
      <c r="G185" s="34"/>
      <c r="H185" s="34"/>
      <c r="I185" s="34" t="str">
        <f>"(SELECT "&amp;VLOOKUP(B185,'0. Instruções'!$C$27:$G$32,4,FALSE)&amp;", "&amp;F185&amp;" FROM "&amp;D185&amp;" WHERE "&amp;'0. Instruções'!$D$42&amp;")X"</f>
        <v>(SELECT instrmnt_id, add_fld03 FROM BU_LOANTAPE_WORK.LT002_INSTRUMENT WHERE ref_date='${ref_date}' AND nome_perimetro='Individual Local' AND segmento='ESTR' AND ambito='SRB_MBDT' AND entidade='00100')X</v>
      </c>
      <c r="J185" s="34" t="str">
        <f>"(SELECT "&amp;VLOOKUP(B185,'0. Instruções'!$C$27:$G$32,4,FALSE)&amp;" AS "&amp;VLOOKUP(B185,'0. Instruções'!$C$27:$G$32,4,FALSE)&amp;"_SIMUL, "&amp;F185&amp;" AS "&amp;F185&amp;"_SIMUL FROM "&amp;E185&amp;" WHERE "&amp;'0. Instruções'!$D$43&amp;")Y"</f>
        <v>(SELECT instrmnt_id AS instrmnt_id_SIMUL, add_fld03 AS add_fld03_SIMUL FROM BU_LOANTAPE_WORK.SIMUL_LT002_INSTRUMENT WHERE ref_date='${ref_date}' AND nome_perimetro='Individual Local' AND segmento='ESTR' AND ambito='PILAR3' AND entidade='00100')Y</v>
      </c>
      <c r="K185" s="35" t="str">
        <f>+UPPER("ON X."&amp;VLOOKUP(B185,'0. Instruções'!$C$27:$G$32,4,FALSE)&amp;"=Y."&amp;VLOOKUP(B185,'0. Instruções'!$C$27:$G$32,4,FALSE)&amp;"_SIMUL")</f>
        <v>ON X.INSTRMNT_ID=Y.INSTRMNT_ID_SIMUL</v>
      </c>
      <c r="L185" s="35" t="str">
        <f>+IF(C185="Coerência", +IF(LEFT(G185,5)="FLOAT","SELECT '"&amp;UPPER(B185)&amp;"' AS TABELA, '"&amp;UPPER(C185)&amp;"' AS TIPOLOGIA_TESTE,'"&amp;D185&amp;"' AS TABELA_LT,'"&amp;E185&amp;"' AS TABELA_SIMUL,'"&amp;F185&amp;"' AS CAMPO, "&amp;"'${ref_date}' AS REF_DATE, COUNT(*) AS NUM_REG, SUM(IF((ABS(COALESCE(CAST(X."&amp;F185&amp;" AS DECIMAL(18,6)),0)-COALESCE(CAST(Y."&amp;F185&amp;"_SIMUL AS DECIMAL(18,6)),0))&gt;0.000001) OR (X."&amp;F185&amp;" IS NULL AND Y."&amp;F185&amp;"_SIMUL IS NOT NULL ) OR (X."&amp;F185&amp;" IS NOT NULL AND Y."&amp;F185&amp;"_SIMUL IS NULL),1,0)) AS NUM_REG_DIF,'"&amp;MAX('ID1&amp;5'!K:K)+1&amp;"' AS ID_EXEC, CURRENT_TIMESTAMP() AS TIME_EXEC FROM "&amp;I185&amp;" INNER JOIN "&amp;J185&amp;" "&amp;K185,"SELECT '"&amp;UPPER(B185)&amp;"' AS TABELA, '"&amp;UPPER(C185)&amp;"' AS TIPOLOGIA_TESTE,'"&amp;D185&amp;"' AS TABELA_LT,'"&amp;E185&amp;"' AS TABELA_SIMUL,'"&amp;F185&amp;"' AS CAMPO, "&amp;"'${ref_date}' AS REF_DATE, COUNT(*) AS NUM_REG, SUM(IF(COALESCE(CAST(X."&amp;F185&amp;" AS STRING),'')&lt;&gt;COALESCE(CAST(Y."&amp;F185&amp;"_SIMUL AS STRING),'') OR (X."&amp;F185&amp;" IS NULL AND Y."&amp;F185&amp;"_SIMUL IS NOT NULL ) OR (X."&amp;F185&amp;" IS NOT NULL AND Y."&amp;F185&amp;"_SIMUL IS NULL),1,0)) AS NUM_REG_DIF,'"&amp;MAX('ID1&amp;5'!L:L)+1&amp;"' AS ID_EXEC, CURRENT_TIMESTAMP() AS TIME_EXEC FROM "&amp;I185&amp;" INNER JOIN "&amp;J185&amp;" "&amp;K185),
IF(C185="Validade",+IF(G185="Code List","SELECT '"&amp;UPPER(B185)&amp;"' AS TABELA, '"&amp;UPPER(C185)&amp;"' AS TIPOLOGIA_TESTE,'"&amp;D185&amp;"' AS TABELA_LT,'N/A' AS TABELA_SIMUL,'"&amp;F185&amp;"' AS CAMPO, "&amp;"'${ref_date}' AS REF_DATE, COUNT(*) AS NUM_REG, SUM(IF(TRIM(CAST(X."&amp;F185&amp;" AS STRING))='' OR TRIM(CAST(X."&amp;F185&amp;" AS STRING)) IS NULL OR CAST(X."&amp;F185&amp;" AS STRING) NOT "&amp;H185&amp;",1,0)) AS NUM_REG_DIF,'"&amp;MAX('ID1&amp;5'!K:K)+1&amp;"' AS ID_EXEC, CURRENT_TIMESTAMP() AS TIME_EXEC FROM "&amp;I185,"SELECT '"&amp;UPPER(B185)&amp;"' AS TABELA, '"&amp;UPPER(C185)&amp;"' AS TIPOLOGIA_TESTE,'"&amp;D185&amp;"' AS TABELA_LT,'N/A' AS TABELA_SIMUL,'"&amp;F185&amp;"' AS CAMPO, "&amp;"'${ref_date}' AS REF_DATE, COUNT(*) AS NUM_REG, SUM(IF(TRIM(CAST(X."&amp;F185&amp;" AS STRING))='' OR TRIM(CAST(X."&amp;F185&amp;" AS STRING)) IS NULL,1,0)) AS NUM_REG_DIF,'"&amp;MAX('ID1&amp;5'!K:K)+1&amp;"' AS ID_EXEC, CURRENT_TIMESTAMP() AS TIME_EXEC FROM "&amp;I185),
IF(C185="Caracteres Especiais",+"SELECT '"&amp;UPPER(B185)&amp;"' AS TABELA, '"&amp;UPPER(C185)&amp;"' AS TIPOLOGIA_TESTE,'"&amp;D185&amp;"' AS TABELA_LT,'N/A' AS TABELA_SIMUL,'"&amp;F185&amp;"' AS CAMPO, "&amp;"'${ref_date}' AS REF_DATE, COUNT(*) AS NUM_REG, SUM(IF(REGEXP_REPLACE(TRIM(CAST(X."&amp;F185&amp;" AS STRING)),'[^a-zA-Z0-9_\\s]','') &lt;&gt;TRIM(CAST(X."&amp;F185&amp;" AS STRING)),1,0)) AS NUM_REG_DIF,'"&amp;MAX('ID1&amp;5'!K:K)+1&amp;"' AS ID_EXEC, CURRENT_TIMESTAMP() AS TIME_EXEC FROM "&amp;I185,
IF(C185="Missings",+"SELECT '"&amp;UPPER(B185)&amp;"' AS TABELA, '"&amp;UPPER(C185)&amp;"' AS TIPOLOGIA_TESTE,'"&amp;D185&amp;"' AS TABELA_LT,'N/A' AS TABELA_SIMUL,'"&amp;F185&amp;"' AS CAMPO, "&amp;"'${ref_date}' AS REF_DATE, COUNT(*) AS NUM_REG, SUM(IF(TRIM(CAST(X."&amp;F185&amp;" AS STRING)) IN ('0000-00-00','0001-01-01','9999-12-31','MISS','00000','99999999999','99999999999.00','99999999999.000000'),1,0)) AS NUM_REG_DIF,'"&amp;MAX('ID1&amp;5'!K:K)+1&amp;"' AS ID_EXEC, CURRENT_TIMESTAMP() AS TIME_EXEC FROM "&amp;I185,
IF(C185="Not applicable",+"SELECT '"&amp;UPPER(B185)&amp;"' AS TABELA, '"&amp;UPPER(C185)&amp;"' AS TIPOLOGIA_TESTE,'"&amp;D185&amp;"' AS TABELA_LT,'N/A' AS TABELA_SIMUL,'"&amp;F185&amp;"' AS CAMPO, "&amp;"'${ref_date}' AS REF_DATE, COUNT(*) AS NUM_REG, SUM(IF(TRIM(CAST(X."&amp;F185&amp;" AS STRING)) IN ('N/A','11111111111','11111111111.00','11111111111.000000','1111-11-11'),1,0)) AS NUM_REG_DIF,'"&amp;MAX('ID1&amp;5'!K:K)+1&amp;"' AS ID_EXEC, CURRENT_TIMESTAMP() AS TIME_EXEC FROM "&amp;I185,
IF(C185="Valores extremos",+"SELECT '"&amp;UPPER(B185)&amp;"' AS TABELA, '"&amp;UPPER(C185)&amp;"' AS TIPOLOGIA_TESTE,'"&amp;D185&amp;"' AS TABELA_LT,'N/A' AS TABELA_SIMUL,'"&amp;F185&amp;"' AS CAMPO, "&amp;"'${ref_date}' AS REF_DATE, CAST(MIN("&amp;F185&amp;") AS STRING) AS VALOR_MIN, CAST(MAX("&amp;F185&amp;") AS STRING) AS VALOR_MAX,'"&amp;MAX('ID1&amp;5'!K:K)+1&amp;"' AS ID_EXEC, CURRENT_TIMESTAMP() AS TIME_EXEC FROM "&amp;MID(I185,1,LEN(I185)-2)&amp;" AND CAST("&amp;F185&amp;"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TABELA_SIMUL,'add_fld03' AS CAMPO, '${ref_date}' AS REF_DATE, COUNT(*) AS NUM_REG, SUM(IF(COALESCE(CAST(X.add_fld03 AS STRING),'')&lt;&gt;COALESCE(CAST(Y.add_fld03_SIMUL AS STRING),'') OR (X.add_fld03 IS NULL AND Y.add_fld03_SIMUL IS NOT NULL ) OR (X.add_fld03 IS NOT NULL AND Y.add_fld03_SIMUL IS NULL),1,0)) AS NUM_REG_DIF,'1' AS ID_EXEC, CURRENT_TIMESTAMP() AS TIME_EXEC FROM (SELECT instrmnt_id, add_fld03 FROM BU_LOANTAPE_WORK.LT002_INSTRUMENT WHERE ref_date='${ref_date}' AND nome_perimetro='Individual Local' AND segmento='ESTR' AND ambito='SRB_MBDT' AND entidade='00100')X INNER JOIN (SELECT instrmnt_id AS instrmnt_id_SIMUL, add_fld03 AS add_fld03_SIMUL FROM BU_LOANTAPE_WORK.SIMUL_LT002_INSTRUMENT WHERE ref_date='${ref_date}' AND nome_perimetro='Individual Local' AND segmento='ESTR' AND ambito='PILAR3' AND entidade='00100')Y ON X.INSTRMNT_ID=Y.INSTRMNT_ID_SIMUL</v>
      </c>
      <c r="M185" s="36" t="str">
        <f t="shared" si="5"/>
        <v>UNION ALL SELECT 'INSTRUMENT' AS TABELA, 'COERÊNCIA' AS TIPOLOGIA_TESTE,'BU_LOANTAPE_WORK.LT002_INSTRUMENT' AS TABELA_LT,'BU_LOANTAPE_WORK.SIMUL_LT002_INSTRUMENT' AS TABELA_SIMUL,'add_fld03' AS CAMPO, '${ref_date}' AS REF_DATE, COUNT(*) AS NUM_REG, SUM(IF(COALESCE(CAST(X.add_fld03 AS STRING),'')&lt;&gt;COALESCE(CAST(Y.add_fld03_SIMUL AS STRING),'') OR (X.add_fld03 IS NULL AND Y.add_fld03_SIMUL IS NOT NULL ) OR (X.add_fld03 IS NOT NULL AND Y.add_fld03_SIMUL IS NULL),1,0)) AS NUM_REG_DIF,'1' AS ID_EXEC, CURRENT_TIMESTAMP() AS TIME_EXEC FROM (SELECT instrmnt_id, add_fld03 FROM BU_LOANTAPE_WORK.LT002_INSTRUMENT WHERE ref_date='${ref_date}' AND nome_perimetro='Individual Local' AND segmento='ESTR' AND ambito='SRB_MBDT' AND entidade='00100')X INNER JOIN (SELECT instrmnt_id AS instrmnt_id_SIMUL, add_fld03 AS add_fld03_SIMUL FROM BU_LOANTAPE_WORK.SIMUL_LT002_INSTRUMENT WHERE ref_date='${ref_date}' AND nome_perimetro='Individual Local' AND segmento='ESTR' AND ambito='PILAR3' AND entidade='00100')Y ON X.INSTRMNT_ID=Y.INSTRMNT_ID_SIMUL</v>
      </c>
      <c r="N185" s="38"/>
    </row>
    <row r="186" spans="2:14">
      <c r="B186" s="34" t="s">
        <v>117</v>
      </c>
      <c r="C186" s="34" t="s">
        <v>5</v>
      </c>
      <c r="D186" s="34" t="str">
        <f>+UPPER('0. Instruções'!$D$35&amp;"."&amp;VLOOKUP(B186,'0. Instruções'!$C$27:$D$32,2,FALSE))</f>
        <v>BU_LOANTAPE_WORK.LT002_INSTRUMENT</v>
      </c>
      <c r="E186" s="34" t="str">
        <f>+UPPER('0. Instruções'!$D$36&amp;"."&amp;VLOOKUP(B186,'0. Instruções'!$C$27:$E$32,3,FALSE))</f>
        <v>BU_LOANTAPE_WORK.SIMUL_LT002_INSTRUMENT</v>
      </c>
      <c r="F186" s="34" t="s">
        <v>1248</v>
      </c>
      <c r="G186" s="34"/>
      <c r="H186" s="34"/>
      <c r="I186" s="34" t="str">
        <f>"(SELECT "&amp;VLOOKUP(B186,'0. Instruções'!$C$27:$G$32,4,FALSE)&amp;", "&amp;F186&amp;" FROM "&amp;D186&amp;" WHERE "&amp;'0. Instruções'!$D$42&amp;")X"</f>
        <v>(SELECT instrmnt_id, add_fld04 FROM BU_LOANTAPE_WORK.LT002_INSTRUMENT WHERE ref_date='${ref_date}' AND nome_perimetro='Individual Local' AND segmento='ESTR' AND ambito='SRB_MBDT' AND entidade='00100')X</v>
      </c>
      <c r="J186" s="34" t="str">
        <f>"(SELECT "&amp;VLOOKUP(B186,'0. Instruções'!$C$27:$G$32,4,FALSE)&amp;" AS "&amp;VLOOKUP(B186,'0. Instruções'!$C$27:$G$32,4,FALSE)&amp;"_SIMUL, "&amp;F186&amp;" AS "&amp;F186&amp;"_SIMUL FROM "&amp;E186&amp;" WHERE "&amp;'0. Instruções'!$D$43&amp;")Y"</f>
        <v>(SELECT instrmnt_id AS instrmnt_id_SIMUL, add_fld04 AS add_fld04_SIMUL FROM BU_LOANTAPE_WORK.SIMUL_LT002_INSTRUMENT WHERE ref_date='${ref_date}' AND nome_perimetro='Individual Local' AND segmento='ESTR' AND ambito='PILAR3' AND entidade='00100')Y</v>
      </c>
      <c r="K186" s="35" t="str">
        <f>+UPPER("ON X."&amp;VLOOKUP(B186,'0. Instruções'!$C$27:$G$32,4,FALSE)&amp;"=Y."&amp;VLOOKUP(B186,'0. Instruções'!$C$27:$G$32,4,FALSE)&amp;"_SIMUL")</f>
        <v>ON X.INSTRMNT_ID=Y.INSTRMNT_ID_SIMUL</v>
      </c>
      <c r="L186" s="35" t="str">
        <f>+IF(C186="Coerência", +IF(LEFT(G186,5)="FLOAT","SELECT '"&amp;UPPER(B186)&amp;"' AS TABELA, '"&amp;UPPER(C186)&amp;"' AS TIPOLOGIA_TESTE,'"&amp;D186&amp;"' AS TABELA_LT,'"&amp;E186&amp;"' AS TABELA_SIMUL,'"&amp;F186&amp;"' AS CAMPO, "&amp;"'${ref_date}' AS REF_DATE, COUNT(*) AS NUM_REG, SUM(IF((ABS(COALESCE(CAST(X."&amp;F186&amp;" AS DECIMAL(18,6)),0)-COALESCE(CAST(Y."&amp;F186&amp;"_SIMUL AS DECIMAL(18,6)),0))&gt;0.000001) OR (X."&amp;F186&amp;" IS NULL AND Y."&amp;F186&amp;"_SIMUL IS NOT NULL ) OR (X."&amp;F186&amp;" IS NOT NULL AND Y."&amp;F186&amp;"_SIMUL IS NULL),1,0)) AS NUM_REG_DIF,'"&amp;MAX('ID1&amp;5'!K:K)+1&amp;"' AS ID_EXEC, CURRENT_TIMESTAMP() AS TIME_EXEC FROM "&amp;I186&amp;" INNER JOIN "&amp;J186&amp;" "&amp;K186,"SELECT '"&amp;UPPER(B186)&amp;"' AS TABELA, '"&amp;UPPER(C186)&amp;"' AS TIPOLOGIA_TESTE,'"&amp;D186&amp;"' AS TABELA_LT,'"&amp;E186&amp;"' AS TABELA_SIMUL,'"&amp;F186&amp;"' AS CAMPO, "&amp;"'${ref_date}' AS REF_DATE, COUNT(*) AS NUM_REG, SUM(IF(COALESCE(CAST(X."&amp;F186&amp;" AS STRING),'')&lt;&gt;COALESCE(CAST(Y."&amp;F186&amp;"_SIMUL AS STRING),'') OR (X."&amp;F186&amp;" IS NULL AND Y."&amp;F186&amp;"_SIMUL IS NOT NULL ) OR (X."&amp;F186&amp;" IS NOT NULL AND Y."&amp;F186&amp;"_SIMUL IS NULL),1,0)) AS NUM_REG_DIF,'"&amp;MAX('ID1&amp;5'!L:L)+1&amp;"' AS ID_EXEC, CURRENT_TIMESTAMP() AS TIME_EXEC FROM "&amp;I186&amp;" INNER JOIN "&amp;J186&amp;" "&amp;K186),
IF(C186="Validade",+IF(G186="Code List","SELECT '"&amp;UPPER(B186)&amp;"' AS TABELA, '"&amp;UPPER(C186)&amp;"' AS TIPOLOGIA_TESTE,'"&amp;D186&amp;"' AS TABELA_LT,'N/A' AS TABELA_SIMUL,'"&amp;F186&amp;"' AS CAMPO, "&amp;"'${ref_date}' AS REF_DATE, COUNT(*) AS NUM_REG, SUM(IF(TRIM(CAST(X."&amp;F186&amp;" AS STRING))='' OR TRIM(CAST(X."&amp;F186&amp;" AS STRING)) IS NULL OR CAST(X."&amp;F186&amp;" AS STRING) NOT "&amp;H186&amp;",1,0)) AS NUM_REG_DIF,'"&amp;MAX('ID1&amp;5'!K:K)+1&amp;"' AS ID_EXEC, CURRENT_TIMESTAMP() AS TIME_EXEC FROM "&amp;I186,"SELECT '"&amp;UPPER(B186)&amp;"' AS TABELA, '"&amp;UPPER(C186)&amp;"' AS TIPOLOGIA_TESTE,'"&amp;D186&amp;"' AS TABELA_LT,'N/A' AS TABELA_SIMUL,'"&amp;F186&amp;"' AS CAMPO, "&amp;"'${ref_date}' AS REF_DATE, COUNT(*) AS NUM_REG, SUM(IF(TRIM(CAST(X."&amp;F186&amp;" AS STRING))='' OR TRIM(CAST(X."&amp;F186&amp;" AS STRING)) IS NULL,1,0)) AS NUM_REG_DIF,'"&amp;MAX('ID1&amp;5'!K:K)+1&amp;"' AS ID_EXEC, CURRENT_TIMESTAMP() AS TIME_EXEC FROM "&amp;I186),
IF(C186="Caracteres Especiais",+"SELECT '"&amp;UPPER(B186)&amp;"' AS TABELA, '"&amp;UPPER(C186)&amp;"' AS TIPOLOGIA_TESTE,'"&amp;D186&amp;"' AS TABELA_LT,'N/A' AS TABELA_SIMUL,'"&amp;F186&amp;"' AS CAMPO, "&amp;"'${ref_date}' AS REF_DATE, COUNT(*) AS NUM_REG, SUM(IF(REGEXP_REPLACE(TRIM(CAST(X."&amp;F186&amp;" AS STRING)),'[^a-zA-Z0-9_\\s]','') &lt;&gt;TRIM(CAST(X."&amp;F186&amp;" AS STRING)),1,0)) AS NUM_REG_DIF,'"&amp;MAX('ID1&amp;5'!K:K)+1&amp;"' AS ID_EXEC, CURRENT_TIMESTAMP() AS TIME_EXEC FROM "&amp;I186,
IF(C186="Missings",+"SELECT '"&amp;UPPER(B186)&amp;"' AS TABELA, '"&amp;UPPER(C186)&amp;"' AS TIPOLOGIA_TESTE,'"&amp;D186&amp;"' AS TABELA_LT,'N/A' AS TABELA_SIMUL,'"&amp;F186&amp;"' AS CAMPO, "&amp;"'${ref_date}' AS REF_DATE, COUNT(*) AS NUM_REG, SUM(IF(TRIM(CAST(X."&amp;F186&amp;" AS STRING)) IN ('0000-00-00','0001-01-01','9999-12-31','MISS','00000','99999999999','99999999999.00','99999999999.000000'),1,0)) AS NUM_REG_DIF,'"&amp;MAX('ID1&amp;5'!K:K)+1&amp;"' AS ID_EXEC, CURRENT_TIMESTAMP() AS TIME_EXEC FROM "&amp;I186,
IF(C186="Not applicable",+"SELECT '"&amp;UPPER(B186)&amp;"' AS TABELA, '"&amp;UPPER(C186)&amp;"' AS TIPOLOGIA_TESTE,'"&amp;D186&amp;"' AS TABELA_LT,'N/A' AS TABELA_SIMUL,'"&amp;F186&amp;"' AS CAMPO, "&amp;"'${ref_date}' AS REF_DATE, COUNT(*) AS NUM_REG, SUM(IF(TRIM(CAST(X."&amp;F186&amp;" AS STRING)) IN ('N/A','11111111111','11111111111.00','11111111111.000000','1111-11-11'),1,0)) AS NUM_REG_DIF,'"&amp;MAX('ID1&amp;5'!K:K)+1&amp;"' AS ID_EXEC, CURRENT_TIMESTAMP() AS TIME_EXEC FROM "&amp;I186,
IF(C186="Valores extremos",+"SELECT '"&amp;UPPER(B186)&amp;"' AS TABELA, '"&amp;UPPER(C186)&amp;"' AS TIPOLOGIA_TESTE,'"&amp;D186&amp;"' AS TABELA_LT,'N/A' AS TABELA_SIMUL,'"&amp;F186&amp;"' AS CAMPO, "&amp;"'${ref_date}' AS REF_DATE, CAST(MIN("&amp;F186&amp;") AS STRING) AS VALOR_MIN, CAST(MAX("&amp;F186&amp;") AS STRING) AS VALOR_MAX,'"&amp;MAX('ID1&amp;5'!K:K)+1&amp;"' AS ID_EXEC, CURRENT_TIMESTAMP() AS TIME_EXEC FROM "&amp;MID(I186,1,LEN(I186)-2)&amp;" AND CAST("&amp;F186&amp;"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TABELA_SIMUL,'add_fld04' AS CAMPO, '${ref_date}' AS REF_DATE, COUNT(*) AS NUM_REG, SUM(IF(COALESCE(CAST(X.add_fld04 AS STRING),'')&lt;&gt;COALESCE(CAST(Y.add_fld04_SIMUL AS STRING),'') OR (X.add_fld04 IS NULL AND Y.add_fld04_SIMUL IS NOT NULL ) OR (X.add_fld04 IS NOT NULL AND Y.add_fld04_SIMUL IS NULL),1,0)) AS NUM_REG_DIF,'1' AS ID_EXEC, CURRENT_TIMESTAMP() AS TIME_EXEC FROM (SELECT instrmnt_id, add_fld04 FROM BU_LOANTAPE_WORK.LT002_INSTRUMENT WHERE ref_date='${ref_date}' AND nome_perimetro='Individual Local' AND segmento='ESTR' AND ambito='SRB_MBDT' AND entidade='00100')X INNER JOIN (SELECT instrmnt_id AS instrmnt_id_SIMUL, add_fld04 AS add_fld04_SIMUL FROM BU_LOANTAPE_WORK.SIMUL_LT002_INSTRUMENT WHERE ref_date='${ref_date}' AND nome_perimetro='Individual Local' AND segmento='ESTR' AND ambito='PILAR3' AND entidade='00100')Y ON X.INSTRMNT_ID=Y.INSTRMNT_ID_SIMUL</v>
      </c>
      <c r="M186" s="36" t="str">
        <f t="shared" si="5"/>
        <v>UNION ALL SELECT 'INSTRUMENT' AS TABELA, 'COERÊNCIA' AS TIPOLOGIA_TESTE,'BU_LOANTAPE_WORK.LT002_INSTRUMENT' AS TABELA_LT,'BU_LOANTAPE_WORK.SIMUL_LT002_INSTRUMENT' AS TABELA_SIMUL,'add_fld04' AS CAMPO, '${ref_date}' AS REF_DATE, COUNT(*) AS NUM_REG, SUM(IF(COALESCE(CAST(X.add_fld04 AS STRING),'')&lt;&gt;COALESCE(CAST(Y.add_fld04_SIMUL AS STRING),'') OR (X.add_fld04 IS NULL AND Y.add_fld04_SIMUL IS NOT NULL ) OR (X.add_fld04 IS NOT NULL AND Y.add_fld04_SIMUL IS NULL),1,0)) AS NUM_REG_DIF,'1' AS ID_EXEC, CURRENT_TIMESTAMP() AS TIME_EXEC FROM (SELECT instrmnt_id, add_fld04 FROM BU_LOANTAPE_WORK.LT002_INSTRUMENT WHERE ref_date='${ref_date}' AND nome_perimetro='Individual Local' AND segmento='ESTR' AND ambito='SRB_MBDT' AND entidade='00100')X INNER JOIN (SELECT instrmnt_id AS instrmnt_id_SIMUL, add_fld04 AS add_fld04_SIMUL FROM BU_LOANTAPE_WORK.SIMUL_LT002_INSTRUMENT WHERE ref_date='${ref_date}' AND nome_perimetro='Individual Local' AND segmento='ESTR' AND ambito='PILAR3' AND entidade='00100')Y ON X.INSTRMNT_ID=Y.INSTRMNT_ID_SIMUL</v>
      </c>
      <c r="N186" s="38"/>
    </row>
    <row r="187" spans="2:14">
      <c r="B187" s="34" t="s">
        <v>117</v>
      </c>
      <c r="C187" s="34" t="s">
        <v>5</v>
      </c>
      <c r="D187" s="34" t="str">
        <f>+UPPER('0. Instruções'!$D$35&amp;"."&amp;VLOOKUP(B187,'0. Instruções'!$C$27:$D$32,2,FALSE))</f>
        <v>BU_LOANTAPE_WORK.LT002_INSTRUMENT</v>
      </c>
      <c r="E187" s="34" t="str">
        <f>+UPPER('0. Instruções'!$D$36&amp;"."&amp;VLOOKUP(B187,'0. Instruções'!$C$27:$E$32,3,FALSE))</f>
        <v>BU_LOANTAPE_WORK.SIMUL_LT002_INSTRUMENT</v>
      </c>
      <c r="F187" s="34" t="s">
        <v>1249</v>
      </c>
      <c r="G187" s="34"/>
      <c r="H187" s="34"/>
      <c r="I187" s="34" t="str">
        <f>"(SELECT "&amp;VLOOKUP(B187,'0. Instruções'!$C$27:$G$32,4,FALSE)&amp;", "&amp;F187&amp;" FROM "&amp;D187&amp;" WHERE "&amp;'0. Instruções'!$D$42&amp;")X"</f>
        <v>(SELECT instrmnt_id, add_fld05 FROM BU_LOANTAPE_WORK.LT002_INSTRUMENT WHERE ref_date='${ref_date}' AND nome_perimetro='Individual Local' AND segmento='ESTR' AND ambito='SRB_MBDT' AND entidade='00100')X</v>
      </c>
      <c r="J187" s="34" t="str">
        <f>"(SELECT "&amp;VLOOKUP(B187,'0. Instruções'!$C$27:$G$32,4,FALSE)&amp;" AS "&amp;VLOOKUP(B187,'0. Instruções'!$C$27:$G$32,4,FALSE)&amp;"_SIMUL, "&amp;F187&amp;" AS "&amp;F187&amp;"_SIMUL FROM "&amp;E187&amp;" WHERE "&amp;'0. Instruções'!$D$43&amp;")Y"</f>
        <v>(SELECT instrmnt_id AS instrmnt_id_SIMUL, add_fld05 AS add_fld05_SIMUL FROM BU_LOANTAPE_WORK.SIMUL_LT002_INSTRUMENT WHERE ref_date='${ref_date}' AND nome_perimetro='Individual Local' AND segmento='ESTR' AND ambito='PILAR3' AND entidade='00100')Y</v>
      </c>
      <c r="K187" s="35" t="str">
        <f>+UPPER("ON X."&amp;VLOOKUP(B187,'0. Instruções'!$C$27:$G$32,4,FALSE)&amp;"=Y."&amp;VLOOKUP(B187,'0. Instruções'!$C$27:$G$32,4,FALSE)&amp;"_SIMUL")</f>
        <v>ON X.INSTRMNT_ID=Y.INSTRMNT_ID_SIMUL</v>
      </c>
      <c r="L187" s="35" t="str">
        <f>+IF(C187="Coerência", +IF(LEFT(G187,5)="FLOAT","SELECT '"&amp;UPPER(B187)&amp;"' AS TABELA, '"&amp;UPPER(C187)&amp;"' AS TIPOLOGIA_TESTE,'"&amp;D187&amp;"' AS TABELA_LT,'"&amp;E187&amp;"' AS TABELA_SIMUL,'"&amp;F187&amp;"' AS CAMPO, "&amp;"'${ref_date}' AS REF_DATE, COUNT(*) AS NUM_REG, SUM(IF((ABS(COALESCE(CAST(X."&amp;F187&amp;" AS DECIMAL(18,6)),0)-COALESCE(CAST(Y."&amp;F187&amp;"_SIMUL AS DECIMAL(18,6)),0))&gt;0.000001) OR (X."&amp;F187&amp;" IS NULL AND Y."&amp;F187&amp;"_SIMUL IS NOT NULL ) OR (X."&amp;F187&amp;" IS NOT NULL AND Y."&amp;F187&amp;"_SIMUL IS NULL),1,0)) AS NUM_REG_DIF,'"&amp;MAX('ID1&amp;5'!K:K)+1&amp;"' AS ID_EXEC, CURRENT_TIMESTAMP() AS TIME_EXEC FROM "&amp;I187&amp;" INNER JOIN "&amp;J187&amp;" "&amp;K187,"SELECT '"&amp;UPPER(B187)&amp;"' AS TABELA, '"&amp;UPPER(C187)&amp;"' AS TIPOLOGIA_TESTE,'"&amp;D187&amp;"' AS TABELA_LT,'"&amp;E187&amp;"' AS TABELA_SIMUL,'"&amp;F187&amp;"' AS CAMPO, "&amp;"'${ref_date}' AS REF_DATE, COUNT(*) AS NUM_REG, SUM(IF(COALESCE(CAST(X."&amp;F187&amp;" AS STRING),'')&lt;&gt;COALESCE(CAST(Y."&amp;F187&amp;"_SIMUL AS STRING),'') OR (X."&amp;F187&amp;" IS NULL AND Y."&amp;F187&amp;"_SIMUL IS NOT NULL ) OR (X."&amp;F187&amp;" IS NOT NULL AND Y."&amp;F187&amp;"_SIMUL IS NULL),1,0)) AS NUM_REG_DIF,'"&amp;MAX('ID1&amp;5'!L:L)+1&amp;"' AS ID_EXEC, CURRENT_TIMESTAMP() AS TIME_EXEC FROM "&amp;I187&amp;" INNER JOIN "&amp;J187&amp;" "&amp;K187),
IF(C187="Validade",+IF(G187="Code List","SELECT '"&amp;UPPER(B187)&amp;"' AS TABELA, '"&amp;UPPER(C187)&amp;"' AS TIPOLOGIA_TESTE,'"&amp;D187&amp;"' AS TABELA_LT,'N/A' AS TABELA_SIMUL,'"&amp;F187&amp;"' AS CAMPO, "&amp;"'${ref_date}' AS REF_DATE, COUNT(*) AS NUM_REG, SUM(IF(TRIM(CAST(X."&amp;F187&amp;" AS STRING))='' OR TRIM(CAST(X."&amp;F187&amp;" AS STRING)) IS NULL OR CAST(X."&amp;F187&amp;" AS STRING) NOT "&amp;H187&amp;",1,0)) AS NUM_REG_DIF,'"&amp;MAX('ID1&amp;5'!K:K)+1&amp;"' AS ID_EXEC, CURRENT_TIMESTAMP() AS TIME_EXEC FROM "&amp;I187,"SELECT '"&amp;UPPER(B187)&amp;"' AS TABELA, '"&amp;UPPER(C187)&amp;"' AS TIPOLOGIA_TESTE,'"&amp;D187&amp;"' AS TABELA_LT,'N/A' AS TABELA_SIMUL,'"&amp;F187&amp;"' AS CAMPO, "&amp;"'${ref_date}' AS REF_DATE, COUNT(*) AS NUM_REG, SUM(IF(TRIM(CAST(X."&amp;F187&amp;" AS STRING))='' OR TRIM(CAST(X."&amp;F187&amp;" AS STRING)) IS NULL,1,0)) AS NUM_REG_DIF,'"&amp;MAX('ID1&amp;5'!K:K)+1&amp;"' AS ID_EXEC, CURRENT_TIMESTAMP() AS TIME_EXEC FROM "&amp;I187),
IF(C187="Caracteres Especiais",+"SELECT '"&amp;UPPER(B187)&amp;"' AS TABELA, '"&amp;UPPER(C187)&amp;"' AS TIPOLOGIA_TESTE,'"&amp;D187&amp;"' AS TABELA_LT,'N/A' AS TABELA_SIMUL,'"&amp;F187&amp;"' AS CAMPO, "&amp;"'${ref_date}' AS REF_DATE, COUNT(*) AS NUM_REG, SUM(IF(REGEXP_REPLACE(TRIM(CAST(X."&amp;F187&amp;" AS STRING)),'[^a-zA-Z0-9_\\s]','') &lt;&gt;TRIM(CAST(X."&amp;F187&amp;" AS STRING)),1,0)) AS NUM_REG_DIF,'"&amp;MAX('ID1&amp;5'!K:K)+1&amp;"' AS ID_EXEC, CURRENT_TIMESTAMP() AS TIME_EXEC FROM "&amp;I187,
IF(C187="Missings",+"SELECT '"&amp;UPPER(B187)&amp;"' AS TABELA, '"&amp;UPPER(C187)&amp;"' AS TIPOLOGIA_TESTE,'"&amp;D187&amp;"' AS TABELA_LT,'N/A' AS TABELA_SIMUL,'"&amp;F187&amp;"' AS CAMPO, "&amp;"'${ref_date}' AS REF_DATE, COUNT(*) AS NUM_REG, SUM(IF(TRIM(CAST(X."&amp;F187&amp;" AS STRING)) IN ('0000-00-00','0001-01-01','9999-12-31','MISS','00000','99999999999','99999999999.00','99999999999.000000'),1,0)) AS NUM_REG_DIF,'"&amp;MAX('ID1&amp;5'!K:K)+1&amp;"' AS ID_EXEC, CURRENT_TIMESTAMP() AS TIME_EXEC FROM "&amp;I187,
IF(C187="Not applicable",+"SELECT '"&amp;UPPER(B187)&amp;"' AS TABELA, '"&amp;UPPER(C187)&amp;"' AS TIPOLOGIA_TESTE,'"&amp;D187&amp;"' AS TABELA_LT,'N/A' AS TABELA_SIMUL,'"&amp;F187&amp;"' AS CAMPO, "&amp;"'${ref_date}' AS REF_DATE, COUNT(*) AS NUM_REG, SUM(IF(TRIM(CAST(X."&amp;F187&amp;" AS STRING)) IN ('N/A','11111111111','11111111111.00','11111111111.000000','1111-11-11'),1,0)) AS NUM_REG_DIF,'"&amp;MAX('ID1&amp;5'!K:K)+1&amp;"' AS ID_EXEC, CURRENT_TIMESTAMP() AS TIME_EXEC FROM "&amp;I187,
IF(C187="Valores extremos",+"SELECT '"&amp;UPPER(B187)&amp;"' AS TABELA, '"&amp;UPPER(C187)&amp;"' AS TIPOLOGIA_TESTE,'"&amp;D187&amp;"' AS TABELA_LT,'N/A' AS TABELA_SIMUL,'"&amp;F187&amp;"' AS CAMPO, "&amp;"'${ref_date}' AS REF_DATE, CAST(MIN("&amp;F187&amp;") AS STRING) AS VALOR_MIN, CAST(MAX("&amp;F187&amp;") AS STRING) AS VALOR_MAX,'"&amp;MAX('ID1&amp;5'!K:K)+1&amp;"' AS ID_EXEC, CURRENT_TIMESTAMP() AS TIME_EXEC FROM "&amp;MID(I187,1,LEN(I187)-2)&amp;" AND CAST("&amp;F187&amp;"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TABELA_SIMUL,'add_fld05' AS CAMPO, '${ref_date}' AS REF_DATE, COUNT(*) AS NUM_REG, SUM(IF(COALESCE(CAST(X.add_fld05 AS STRING),'')&lt;&gt;COALESCE(CAST(Y.add_fld05_SIMUL AS STRING),'') OR (X.add_fld05 IS NULL AND Y.add_fld05_SIMUL IS NOT NULL ) OR (X.add_fld05 IS NOT NULL AND Y.add_fld05_SIMUL IS NULL),1,0)) AS NUM_REG_DIF,'1' AS ID_EXEC, CURRENT_TIMESTAMP() AS TIME_EXEC FROM (SELECT instrmnt_id, add_fld05 FROM BU_LOANTAPE_WORK.LT002_INSTRUMENT WHERE ref_date='${ref_date}' AND nome_perimetro='Individual Local' AND segmento='ESTR' AND ambito='SRB_MBDT' AND entidade='00100')X INNER JOIN (SELECT instrmnt_id AS instrmnt_id_SIMUL, add_fld05 AS add_fld05_SIMUL FROM BU_LOANTAPE_WORK.SIMUL_LT002_INSTRUMENT WHERE ref_date='${ref_date}' AND nome_perimetro='Individual Local' AND segmento='ESTR' AND ambito='PILAR3' AND entidade='00100')Y ON X.INSTRMNT_ID=Y.INSTRMNT_ID_SIMUL</v>
      </c>
      <c r="M187" s="36" t="str">
        <f t="shared" si="5"/>
        <v>UNION ALL SELECT 'INSTRUMENT' AS TABELA, 'COERÊNCIA' AS TIPOLOGIA_TESTE,'BU_LOANTAPE_WORK.LT002_INSTRUMENT' AS TABELA_LT,'BU_LOANTAPE_WORK.SIMUL_LT002_INSTRUMENT' AS TABELA_SIMUL,'add_fld05' AS CAMPO, '${ref_date}' AS REF_DATE, COUNT(*) AS NUM_REG, SUM(IF(COALESCE(CAST(X.add_fld05 AS STRING),'')&lt;&gt;COALESCE(CAST(Y.add_fld05_SIMUL AS STRING),'') OR (X.add_fld05 IS NULL AND Y.add_fld05_SIMUL IS NOT NULL ) OR (X.add_fld05 IS NOT NULL AND Y.add_fld05_SIMUL IS NULL),1,0)) AS NUM_REG_DIF,'1' AS ID_EXEC, CURRENT_TIMESTAMP() AS TIME_EXEC FROM (SELECT instrmnt_id, add_fld05 FROM BU_LOANTAPE_WORK.LT002_INSTRUMENT WHERE ref_date='${ref_date}' AND nome_perimetro='Individual Local' AND segmento='ESTR' AND ambito='SRB_MBDT' AND entidade='00100')X INNER JOIN (SELECT instrmnt_id AS instrmnt_id_SIMUL, add_fld05 AS add_fld05_SIMUL FROM BU_LOANTAPE_WORK.SIMUL_LT002_INSTRUMENT WHERE ref_date='${ref_date}' AND nome_perimetro='Individual Local' AND segmento='ESTR' AND ambito='PILAR3' AND entidade='00100')Y ON X.INSTRMNT_ID=Y.INSTRMNT_ID_SIMUL</v>
      </c>
      <c r="N187" s="38"/>
    </row>
    <row r="188" spans="2:14">
      <c r="B188" s="34" t="s">
        <v>117</v>
      </c>
      <c r="C188" s="34" t="s">
        <v>5</v>
      </c>
      <c r="D188" s="34" t="str">
        <f>+UPPER('0. Instruções'!$D$35&amp;"."&amp;VLOOKUP(B188,'0. Instruções'!$C$27:$D$32,2,FALSE))</f>
        <v>BU_LOANTAPE_WORK.LT002_INSTRUMENT</v>
      </c>
      <c r="E188" s="34" t="str">
        <f>+UPPER('0. Instruções'!$D$36&amp;"."&amp;VLOOKUP(B188,'0. Instruções'!$C$27:$E$32,3,FALSE))</f>
        <v>BU_LOANTAPE_WORK.SIMUL_LT002_INSTRUMENT</v>
      </c>
      <c r="F188" s="34" t="s">
        <v>1250</v>
      </c>
      <c r="G188" s="34"/>
      <c r="H188" s="34"/>
      <c r="I188" s="34" t="str">
        <f>"(SELECT "&amp;VLOOKUP(B188,'0. Instruções'!$C$27:$G$32,4,FALSE)&amp;", "&amp;F188&amp;" FROM "&amp;D188&amp;" WHERE "&amp;'0. Instruções'!$D$42&amp;")X"</f>
        <v>(SELECT instrmnt_id, add_fld06 FROM BU_LOANTAPE_WORK.LT002_INSTRUMENT WHERE ref_date='${ref_date}' AND nome_perimetro='Individual Local' AND segmento='ESTR' AND ambito='SRB_MBDT' AND entidade='00100')X</v>
      </c>
      <c r="J188" s="34" t="str">
        <f>"(SELECT "&amp;VLOOKUP(B188,'0. Instruções'!$C$27:$G$32,4,FALSE)&amp;" AS "&amp;VLOOKUP(B188,'0. Instruções'!$C$27:$G$32,4,FALSE)&amp;"_SIMUL, "&amp;F188&amp;" AS "&amp;F188&amp;"_SIMUL FROM "&amp;E188&amp;" WHERE "&amp;'0. Instruções'!$D$43&amp;")Y"</f>
        <v>(SELECT instrmnt_id AS instrmnt_id_SIMUL, add_fld06 AS add_fld06_SIMUL FROM BU_LOANTAPE_WORK.SIMUL_LT002_INSTRUMENT WHERE ref_date='${ref_date}' AND nome_perimetro='Individual Local' AND segmento='ESTR' AND ambito='PILAR3' AND entidade='00100')Y</v>
      </c>
      <c r="K188" s="35" t="str">
        <f>+UPPER("ON X."&amp;VLOOKUP(B188,'0. Instruções'!$C$27:$G$32,4,FALSE)&amp;"=Y."&amp;VLOOKUP(B188,'0. Instruções'!$C$27:$G$32,4,FALSE)&amp;"_SIMUL")</f>
        <v>ON X.INSTRMNT_ID=Y.INSTRMNT_ID_SIMUL</v>
      </c>
      <c r="L188" s="35" t="str">
        <f>+IF(C188="Coerência", +IF(LEFT(G188,5)="FLOAT","SELECT '"&amp;UPPER(B188)&amp;"' AS TABELA, '"&amp;UPPER(C188)&amp;"' AS TIPOLOGIA_TESTE,'"&amp;D188&amp;"' AS TABELA_LT,'"&amp;E188&amp;"' AS TABELA_SIMUL,'"&amp;F188&amp;"' AS CAMPO, "&amp;"'${ref_date}' AS REF_DATE, COUNT(*) AS NUM_REG, SUM(IF((ABS(COALESCE(CAST(X."&amp;F188&amp;" AS DECIMAL(18,6)),0)-COALESCE(CAST(Y."&amp;F188&amp;"_SIMUL AS DECIMAL(18,6)),0))&gt;0.000001) OR (X."&amp;F188&amp;" IS NULL AND Y."&amp;F188&amp;"_SIMUL IS NOT NULL ) OR (X."&amp;F188&amp;" IS NOT NULL AND Y."&amp;F188&amp;"_SIMUL IS NULL),1,0)) AS NUM_REG_DIF,'"&amp;MAX('ID1&amp;5'!K:K)+1&amp;"' AS ID_EXEC, CURRENT_TIMESTAMP() AS TIME_EXEC FROM "&amp;I188&amp;" INNER JOIN "&amp;J188&amp;" "&amp;K188,"SELECT '"&amp;UPPER(B188)&amp;"' AS TABELA, '"&amp;UPPER(C188)&amp;"' AS TIPOLOGIA_TESTE,'"&amp;D188&amp;"' AS TABELA_LT,'"&amp;E188&amp;"' AS TABELA_SIMUL,'"&amp;F188&amp;"' AS CAMPO, "&amp;"'${ref_date}' AS REF_DATE, COUNT(*) AS NUM_REG, SUM(IF(COALESCE(CAST(X."&amp;F188&amp;" AS STRING),'')&lt;&gt;COALESCE(CAST(Y."&amp;F188&amp;"_SIMUL AS STRING),'') OR (X."&amp;F188&amp;" IS NULL AND Y."&amp;F188&amp;"_SIMUL IS NOT NULL ) OR (X."&amp;F188&amp;" IS NOT NULL AND Y."&amp;F188&amp;"_SIMUL IS NULL),1,0)) AS NUM_REG_DIF,'"&amp;MAX('ID1&amp;5'!L:L)+1&amp;"' AS ID_EXEC, CURRENT_TIMESTAMP() AS TIME_EXEC FROM "&amp;I188&amp;" INNER JOIN "&amp;J188&amp;" "&amp;K188),
IF(C188="Validade",+IF(G188="Code List","SELECT '"&amp;UPPER(B188)&amp;"' AS TABELA, '"&amp;UPPER(C188)&amp;"' AS TIPOLOGIA_TESTE,'"&amp;D188&amp;"' AS TABELA_LT,'N/A' AS TABELA_SIMUL,'"&amp;F188&amp;"' AS CAMPO, "&amp;"'${ref_date}' AS REF_DATE, COUNT(*) AS NUM_REG, SUM(IF(TRIM(CAST(X."&amp;F188&amp;" AS STRING))='' OR TRIM(CAST(X."&amp;F188&amp;" AS STRING)) IS NULL OR CAST(X."&amp;F188&amp;" AS STRING) NOT "&amp;H188&amp;",1,0)) AS NUM_REG_DIF,'"&amp;MAX('ID1&amp;5'!K:K)+1&amp;"' AS ID_EXEC, CURRENT_TIMESTAMP() AS TIME_EXEC FROM "&amp;I188,"SELECT '"&amp;UPPER(B188)&amp;"' AS TABELA, '"&amp;UPPER(C188)&amp;"' AS TIPOLOGIA_TESTE,'"&amp;D188&amp;"' AS TABELA_LT,'N/A' AS TABELA_SIMUL,'"&amp;F188&amp;"' AS CAMPO, "&amp;"'${ref_date}' AS REF_DATE, COUNT(*) AS NUM_REG, SUM(IF(TRIM(CAST(X."&amp;F188&amp;" AS STRING))='' OR TRIM(CAST(X."&amp;F188&amp;" AS STRING)) IS NULL,1,0)) AS NUM_REG_DIF,'"&amp;MAX('ID1&amp;5'!K:K)+1&amp;"' AS ID_EXEC, CURRENT_TIMESTAMP() AS TIME_EXEC FROM "&amp;I188),
IF(C188="Caracteres Especiais",+"SELECT '"&amp;UPPER(B188)&amp;"' AS TABELA, '"&amp;UPPER(C188)&amp;"' AS TIPOLOGIA_TESTE,'"&amp;D188&amp;"' AS TABELA_LT,'N/A' AS TABELA_SIMUL,'"&amp;F188&amp;"' AS CAMPO, "&amp;"'${ref_date}' AS REF_DATE, COUNT(*) AS NUM_REG, SUM(IF(REGEXP_REPLACE(TRIM(CAST(X."&amp;F188&amp;" AS STRING)),'[^a-zA-Z0-9_\\s]','') &lt;&gt;TRIM(CAST(X."&amp;F188&amp;" AS STRING)),1,0)) AS NUM_REG_DIF,'"&amp;MAX('ID1&amp;5'!K:K)+1&amp;"' AS ID_EXEC, CURRENT_TIMESTAMP() AS TIME_EXEC FROM "&amp;I188,
IF(C188="Missings",+"SELECT '"&amp;UPPER(B188)&amp;"' AS TABELA, '"&amp;UPPER(C188)&amp;"' AS TIPOLOGIA_TESTE,'"&amp;D188&amp;"' AS TABELA_LT,'N/A' AS TABELA_SIMUL,'"&amp;F188&amp;"' AS CAMPO, "&amp;"'${ref_date}' AS REF_DATE, COUNT(*) AS NUM_REG, SUM(IF(TRIM(CAST(X."&amp;F188&amp;" AS STRING)) IN ('0000-00-00','0001-01-01','9999-12-31','MISS','00000','99999999999','99999999999.00','99999999999.000000'),1,0)) AS NUM_REG_DIF,'"&amp;MAX('ID1&amp;5'!K:K)+1&amp;"' AS ID_EXEC, CURRENT_TIMESTAMP() AS TIME_EXEC FROM "&amp;I188,
IF(C188="Not applicable",+"SELECT '"&amp;UPPER(B188)&amp;"' AS TABELA, '"&amp;UPPER(C188)&amp;"' AS TIPOLOGIA_TESTE,'"&amp;D188&amp;"' AS TABELA_LT,'N/A' AS TABELA_SIMUL,'"&amp;F188&amp;"' AS CAMPO, "&amp;"'${ref_date}' AS REF_DATE, COUNT(*) AS NUM_REG, SUM(IF(TRIM(CAST(X."&amp;F188&amp;" AS STRING)) IN ('N/A','11111111111','11111111111.00','11111111111.000000','1111-11-11'),1,0)) AS NUM_REG_DIF,'"&amp;MAX('ID1&amp;5'!K:K)+1&amp;"' AS ID_EXEC, CURRENT_TIMESTAMP() AS TIME_EXEC FROM "&amp;I188,
IF(C188="Valores extremos",+"SELECT '"&amp;UPPER(B188)&amp;"' AS TABELA, '"&amp;UPPER(C188)&amp;"' AS TIPOLOGIA_TESTE,'"&amp;D188&amp;"' AS TABELA_LT,'N/A' AS TABELA_SIMUL,'"&amp;F188&amp;"' AS CAMPO, "&amp;"'${ref_date}' AS REF_DATE, CAST(MIN("&amp;F188&amp;") AS STRING) AS VALOR_MIN, CAST(MAX("&amp;F188&amp;") AS STRING) AS VALOR_MAX,'"&amp;MAX('ID1&amp;5'!K:K)+1&amp;"' AS ID_EXEC, CURRENT_TIMESTAMP() AS TIME_EXEC FROM "&amp;MID(I188,1,LEN(I188)-2)&amp;" AND CAST("&amp;F188&amp;"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TABELA_SIMUL,'add_fld06' AS CAMPO, '${ref_date}' AS REF_DATE, COUNT(*) AS NUM_REG, SUM(IF(COALESCE(CAST(X.add_fld06 AS STRING),'')&lt;&gt;COALESCE(CAST(Y.add_fld06_SIMUL AS STRING),'') OR (X.add_fld06 IS NULL AND Y.add_fld06_SIMUL IS NOT NULL ) OR (X.add_fld06 IS NOT NULL AND Y.add_fld06_SIMUL IS NULL),1,0)) AS NUM_REG_DIF,'1' AS ID_EXEC, CURRENT_TIMESTAMP() AS TIME_EXEC FROM (SELECT instrmnt_id, add_fld06 FROM BU_LOANTAPE_WORK.LT002_INSTRUMENT WHERE ref_date='${ref_date}' AND nome_perimetro='Individual Local' AND segmento='ESTR' AND ambito='SRB_MBDT' AND entidade='00100')X INNER JOIN (SELECT instrmnt_id AS instrmnt_id_SIMUL, add_fld06 AS add_fld06_SIMUL FROM BU_LOANTAPE_WORK.SIMUL_LT002_INSTRUMENT WHERE ref_date='${ref_date}' AND nome_perimetro='Individual Local' AND segmento='ESTR' AND ambito='PILAR3' AND entidade='00100')Y ON X.INSTRMNT_ID=Y.INSTRMNT_ID_SIMUL</v>
      </c>
      <c r="M188" s="36" t="str">
        <f t="shared" si="5"/>
        <v>UNION ALL SELECT 'INSTRUMENT' AS TABELA, 'COERÊNCIA' AS TIPOLOGIA_TESTE,'BU_LOANTAPE_WORK.LT002_INSTRUMENT' AS TABELA_LT,'BU_LOANTAPE_WORK.SIMUL_LT002_INSTRUMENT' AS TABELA_SIMUL,'add_fld06' AS CAMPO, '${ref_date}' AS REF_DATE, COUNT(*) AS NUM_REG, SUM(IF(COALESCE(CAST(X.add_fld06 AS STRING),'')&lt;&gt;COALESCE(CAST(Y.add_fld06_SIMUL AS STRING),'') OR (X.add_fld06 IS NULL AND Y.add_fld06_SIMUL IS NOT NULL ) OR (X.add_fld06 IS NOT NULL AND Y.add_fld06_SIMUL IS NULL),1,0)) AS NUM_REG_DIF,'1' AS ID_EXEC, CURRENT_TIMESTAMP() AS TIME_EXEC FROM (SELECT instrmnt_id, add_fld06 FROM BU_LOANTAPE_WORK.LT002_INSTRUMENT WHERE ref_date='${ref_date}' AND nome_perimetro='Individual Local' AND segmento='ESTR' AND ambito='SRB_MBDT' AND entidade='00100')X INNER JOIN (SELECT instrmnt_id AS instrmnt_id_SIMUL, add_fld06 AS add_fld06_SIMUL FROM BU_LOANTAPE_WORK.SIMUL_LT002_INSTRUMENT WHERE ref_date='${ref_date}' AND nome_perimetro='Individual Local' AND segmento='ESTR' AND ambito='PILAR3' AND entidade='00100')Y ON X.INSTRMNT_ID=Y.INSTRMNT_ID_SIMUL</v>
      </c>
      <c r="N188" s="38"/>
    </row>
    <row r="189" spans="2:14">
      <c r="B189" s="34" t="s">
        <v>117</v>
      </c>
      <c r="C189" s="34" t="s">
        <v>5</v>
      </c>
      <c r="D189" s="34" t="str">
        <f>+UPPER('0. Instruções'!$D$35&amp;"."&amp;VLOOKUP(B189,'0. Instruções'!$C$27:$D$32,2,FALSE))</f>
        <v>BU_LOANTAPE_WORK.LT002_INSTRUMENT</v>
      </c>
      <c r="E189" s="34" t="str">
        <f>+UPPER('0. Instruções'!$D$36&amp;"."&amp;VLOOKUP(B189,'0. Instruções'!$C$27:$E$32,3,FALSE))</f>
        <v>BU_LOANTAPE_WORK.SIMUL_LT002_INSTRUMENT</v>
      </c>
      <c r="F189" s="34" t="s">
        <v>1251</v>
      </c>
      <c r="G189" s="34"/>
      <c r="H189" s="34"/>
      <c r="I189" s="34" t="str">
        <f>"(SELECT "&amp;VLOOKUP(B189,'0. Instruções'!$C$27:$G$32,4,FALSE)&amp;", "&amp;F189&amp;" FROM "&amp;D189&amp;" WHERE "&amp;'0. Instruções'!$D$42&amp;")X"</f>
        <v>(SELECT instrmnt_id, add_fld07 FROM BU_LOANTAPE_WORK.LT002_INSTRUMENT WHERE ref_date='${ref_date}' AND nome_perimetro='Individual Local' AND segmento='ESTR' AND ambito='SRB_MBDT' AND entidade='00100')X</v>
      </c>
      <c r="J189" s="34" t="str">
        <f>"(SELECT "&amp;VLOOKUP(B189,'0. Instruções'!$C$27:$G$32,4,FALSE)&amp;" AS "&amp;VLOOKUP(B189,'0. Instruções'!$C$27:$G$32,4,FALSE)&amp;"_SIMUL, "&amp;F189&amp;" AS "&amp;F189&amp;"_SIMUL FROM "&amp;E189&amp;" WHERE "&amp;'0. Instruções'!$D$43&amp;")Y"</f>
        <v>(SELECT instrmnt_id AS instrmnt_id_SIMUL, add_fld07 AS add_fld07_SIMUL FROM BU_LOANTAPE_WORK.SIMUL_LT002_INSTRUMENT WHERE ref_date='${ref_date}' AND nome_perimetro='Individual Local' AND segmento='ESTR' AND ambito='PILAR3' AND entidade='00100')Y</v>
      </c>
      <c r="K189" s="35" t="str">
        <f>+UPPER("ON X."&amp;VLOOKUP(B189,'0. Instruções'!$C$27:$G$32,4,FALSE)&amp;"=Y."&amp;VLOOKUP(B189,'0. Instruções'!$C$27:$G$32,4,FALSE)&amp;"_SIMUL")</f>
        <v>ON X.INSTRMNT_ID=Y.INSTRMNT_ID_SIMUL</v>
      </c>
      <c r="L189" s="35" t="str">
        <f>+IF(C189="Coerência", +IF(LEFT(G189,5)="FLOAT","SELECT '"&amp;UPPER(B189)&amp;"' AS TABELA, '"&amp;UPPER(C189)&amp;"' AS TIPOLOGIA_TESTE,'"&amp;D189&amp;"' AS TABELA_LT,'"&amp;E189&amp;"' AS TABELA_SIMUL,'"&amp;F189&amp;"' AS CAMPO, "&amp;"'${ref_date}' AS REF_DATE, COUNT(*) AS NUM_REG, SUM(IF((ABS(COALESCE(CAST(X."&amp;F189&amp;" AS DECIMAL(18,6)),0)-COALESCE(CAST(Y."&amp;F189&amp;"_SIMUL AS DECIMAL(18,6)),0))&gt;0.000001) OR (X."&amp;F189&amp;" IS NULL AND Y."&amp;F189&amp;"_SIMUL IS NOT NULL ) OR (X."&amp;F189&amp;" IS NOT NULL AND Y."&amp;F189&amp;"_SIMUL IS NULL),1,0)) AS NUM_REG_DIF,'"&amp;MAX('ID1&amp;5'!K:K)+1&amp;"' AS ID_EXEC, CURRENT_TIMESTAMP() AS TIME_EXEC FROM "&amp;I189&amp;" INNER JOIN "&amp;J189&amp;" "&amp;K189,"SELECT '"&amp;UPPER(B189)&amp;"' AS TABELA, '"&amp;UPPER(C189)&amp;"' AS TIPOLOGIA_TESTE,'"&amp;D189&amp;"' AS TABELA_LT,'"&amp;E189&amp;"' AS TABELA_SIMUL,'"&amp;F189&amp;"' AS CAMPO, "&amp;"'${ref_date}' AS REF_DATE, COUNT(*) AS NUM_REG, SUM(IF(COALESCE(CAST(X."&amp;F189&amp;" AS STRING),'')&lt;&gt;COALESCE(CAST(Y."&amp;F189&amp;"_SIMUL AS STRING),'') OR (X."&amp;F189&amp;" IS NULL AND Y."&amp;F189&amp;"_SIMUL IS NOT NULL ) OR (X."&amp;F189&amp;" IS NOT NULL AND Y."&amp;F189&amp;"_SIMUL IS NULL),1,0)) AS NUM_REG_DIF,'"&amp;MAX('ID1&amp;5'!L:L)+1&amp;"' AS ID_EXEC, CURRENT_TIMESTAMP() AS TIME_EXEC FROM "&amp;I189&amp;" INNER JOIN "&amp;J189&amp;" "&amp;K189),
IF(C189="Validade",+IF(G189="Code List","SELECT '"&amp;UPPER(B189)&amp;"' AS TABELA, '"&amp;UPPER(C189)&amp;"' AS TIPOLOGIA_TESTE,'"&amp;D189&amp;"' AS TABELA_LT,'N/A' AS TABELA_SIMUL,'"&amp;F189&amp;"' AS CAMPO, "&amp;"'${ref_date}' AS REF_DATE, COUNT(*) AS NUM_REG, SUM(IF(TRIM(CAST(X."&amp;F189&amp;" AS STRING))='' OR TRIM(CAST(X."&amp;F189&amp;" AS STRING)) IS NULL OR CAST(X."&amp;F189&amp;" AS STRING) NOT "&amp;H189&amp;",1,0)) AS NUM_REG_DIF,'"&amp;MAX('ID1&amp;5'!K:K)+1&amp;"' AS ID_EXEC, CURRENT_TIMESTAMP() AS TIME_EXEC FROM "&amp;I189,"SELECT '"&amp;UPPER(B189)&amp;"' AS TABELA, '"&amp;UPPER(C189)&amp;"' AS TIPOLOGIA_TESTE,'"&amp;D189&amp;"' AS TABELA_LT,'N/A' AS TABELA_SIMUL,'"&amp;F189&amp;"' AS CAMPO, "&amp;"'${ref_date}' AS REF_DATE, COUNT(*) AS NUM_REG, SUM(IF(TRIM(CAST(X."&amp;F189&amp;" AS STRING))='' OR TRIM(CAST(X."&amp;F189&amp;" AS STRING)) IS NULL,1,0)) AS NUM_REG_DIF,'"&amp;MAX('ID1&amp;5'!K:K)+1&amp;"' AS ID_EXEC, CURRENT_TIMESTAMP() AS TIME_EXEC FROM "&amp;I189),
IF(C189="Caracteres Especiais",+"SELECT '"&amp;UPPER(B189)&amp;"' AS TABELA, '"&amp;UPPER(C189)&amp;"' AS TIPOLOGIA_TESTE,'"&amp;D189&amp;"' AS TABELA_LT,'N/A' AS TABELA_SIMUL,'"&amp;F189&amp;"' AS CAMPO, "&amp;"'${ref_date}' AS REF_DATE, COUNT(*) AS NUM_REG, SUM(IF(REGEXP_REPLACE(TRIM(CAST(X."&amp;F189&amp;" AS STRING)),'[^a-zA-Z0-9_\\s]','') &lt;&gt;TRIM(CAST(X."&amp;F189&amp;" AS STRING)),1,0)) AS NUM_REG_DIF,'"&amp;MAX('ID1&amp;5'!K:K)+1&amp;"' AS ID_EXEC, CURRENT_TIMESTAMP() AS TIME_EXEC FROM "&amp;I189,
IF(C189="Missings",+"SELECT '"&amp;UPPER(B189)&amp;"' AS TABELA, '"&amp;UPPER(C189)&amp;"' AS TIPOLOGIA_TESTE,'"&amp;D189&amp;"' AS TABELA_LT,'N/A' AS TABELA_SIMUL,'"&amp;F189&amp;"' AS CAMPO, "&amp;"'${ref_date}' AS REF_DATE, COUNT(*) AS NUM_REG, SUM(IF(TRIM(CAST(X."&amp;F189&amp;" AS STRING)) IN ('0000-00-00','0001-01-01','9999-12-31','MISS','00000','99999999999','99999999999.00','99999999999.000000'),1,0)) AS NUM_REG_DIF,'"&amp;MAX('ID1&amp;5'!K:K)+1&amp;"' AS ID_EXEC, CURRENT_TIMESTAMP() AS TIME_EXEC FROM "&amp;I189,
IF(C189="Not applicable",+"SELECT '"&amp;UPPER(B189)&amp;"' AS TABELA, '"&amp;UPPER(C189)&amp;"' AS TIPOLOGIA_TESTE,'"&amp;D189&amp;"' AS TABELA_LT,'N/A' AS TABELA_SIMUL,'"&amp;F189&amp;"' AS CAMPO, "&amp;"'${ref_date}' AS REF_DATE, COUNT(*) AS NUM_REG, SUM(IF(TRIM(CAST(X."&amp;F189&amp;" AS STRING)) IN ('N/A','11111111111','11111111111.00','11111111111.000000','1111-11-11'),1,0)) AS NUM_REG_DIF,'"&amp;MAX('ID1&amp;5'!K:K)+1&amp;"' AS ID_EXEC, CURRENT_TIMESTAMP() AS TIME_EXEC FROM "&amp;I189,
IF(C189="Valores extremos",+"SELECT '"&amp;UPPER(B189)&amp;"' AS TABELA, '"&amp;UPPER(C189)&amp;"' AS TIPOLOGIA_TESTE,'"&amp;D189&amp;"' AS TABELA_LT,'N/A' AS TABELA_SIMUL,'"&amp;F189&amp;"' AS CAMPO, "&amp;"'${ref_date}' AS REF_DATE, CAST(MIN("&amp;F189&amp;") AS STRING) AS VALOR_MIN, CAST(MAX("&amp;F189&amp;") AS STRING) AS VALOR_MAX,'"&amp;MAX('ID1&amp;5'!K:K)+1&amp;"' AS ID_EXEC, CURRENT_TIMESTAMP() AS TIME_EXEC FROM "&amp;MID(I189,1,LEN(I189)-2)&amp;" AND CAST("&amp;F189&amp;"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TABELA_SIMUL,'add_fld07' AS CAMPO, '${ref_date}' AS REF_DATE, COUNT(*) AS NUM_REG, SUM(IF(COALESCE(CAST(X.add_fld07 AS STRING),'')&lt;&gt;COALESCE(CAST(Y.add_fld07_SIMUL AS STRING),'') OR (X.add_fld07 IS NULL AND Y.add_fld07_SIMUL IS NOT NULL ) OR (X.add_fld07 IS NOT NULL AND Y.add_fld07_SIMUL IS NULL),1,0)) AS NUM_REG_DIF,'1' AS ID_EXEC, CURRENT_TIMESTAMP() AS TIME_EXEC FROM (SELECT instrmnt_id, add_fld07 FROM BU_LOANTAPE_WORK.LT002_INSTRUMENT WHERE ref_date='${ref_date}' AND nome_perimetro='Individual Local' AND segmento='ESTR' AND ambito='SRB_MBDT' AND entidade='00100')X INNER JOIN (SELECT instrmnt_id AS instrmnt_id_SIMUL, add_fld07 AS add_fld07_SIMUL FROM BU_LOANTAPE_WORK.SIMUL_LT002_INSTRUMENT WHERE ref_date='${ref_date}' AND nome_perimetro='Individual Local' AND segmento='ESTR' AND ambito='PILAR3' AND entidade='00100')Y ON X.INSTRMNT_ID=Y.INSTRMNT_ID_SIMUL</v>
      </c>
      <c r="M189" s="36" t="str">
        <f t="shared" si="5"/>
        <v>UNION ALL SELECT 'INSTRUMENT' AS TABELA, 'COERÊNCIA' AS TIPOLOGIA_TESTE,'BU_LOANTAPE_WORK.LT002_INSTRUMENT' AS TABELA_LT,'BU_LOANTAPE_WORK.SIMUL_LT002_INSTRUMENT' AS TABELA_SIMUL,'add_fld07' AS CAMPO, '${ref_date}' AS REF_DATE, COUNT(*) AS NUM_REG, SUM(IF(COALESCE(CAST(X.add_fld07 AS STRING),'')&lt;&gt;COALESCE(CAST(Y.add_fld07_SIMUL AS STRING),'') OR (X.add_fld07 IS NULL AND Y.add_fld07_SIMUL IS NOT NULL ) OR (X.add_fld07 IS NOT NULL AND Y.add_fld07_SIMUL IS NULL),1,0)) AS NUM_REG_DIF,'1' AS ID_EXEC, CURRENT_TIMESTAMP() AS TIME_EXEC FROM (SELECT instrmnt_id, add_fld07 FROM BU_LOANTAPE_WORK.LT002_INSTRUMENT WHERE ref_date='${ref_date}' AND nome_perimetro='Individual Local' AND segmento='ESTR' AND ambito='SRB_MBDT' AND entidade='00100')X INNER JOIN (SELECT instrmnt_id AS instrmnt_id_SIMUL, add_fld07 AS add_fld07_SIMUL FROM BU_LOANTAPE_WORK.SIMUL_LT002_INSTRUMENT WHERE ref_date='${ref_date}' AND nome_perimetro='Individual Local' AND segmento='ESTR' AND ambito='PILAR3' AND entidade='00100')Y ON X.INSTRMNT_ID=Y.INSTRMNT_ID_SIMUL</v>
      </c>
      <c r="N189" s="38"/>
    </row>
    <row r="190" spans="2:14">
      <c r="B190" s="34" t="s">
        <v>117</v>
      </c>
      <c r="C190" s="34" t="s">
        <v>5</v>
      </c>
      <c r="D190" s="34" t="str">
        <f>+UPPER('0. Instruções'!$D$35&amp;"."&amp;VLOOKUP(B190,'0. Instruções'!$C$27:$D$32,2,FALSE))</f>
        <v>BU_LOANTAPE_WORK.LT002_INSTRUMENT</v>
      </c>
      <c r="E190" s="34" t="str">
        <f>+UPPER('0. Instruções'!$D$36&amp;"."&amp;VLOOKUP(B190,'0. Instruções'!$C$27:$E$32,3,FALSE))</f>
        <v>BU_LOANTAPE_WORK.SIMUL_LT002_INSTRUMENT</v>
      </c>
      <c r="F190" s="34" t="s">
        <v>1252</v>
      </c>
      <c r="G190" s="34"/>
      <c r="H190" s="34"/>
      <c r="I190" s="34" t="str">
        <f>"(SELECT "&amp;VLOOKUP(B190,'0. Instruções'!$C$27:$G$32,4,FALSE)&amp;", "&amp;F190&amp;" FROM "&amp;D190&amp;" WHERE "&amp;'0. Instruções'!$D$42&amp;")X"</f>
        <v>(SELECT instrmnt_id, add_fld08 FROM BU_LOANTAPE_WORK.LT002_INSTRUMENT WHERE ref_date='${ref_date}' AND nome_perimetro='Individual Local' AND segmento='ESTR' AND ambito='SRB_MBDT' AND entidade='00100')X</v>
      </c>
      <c r="J190" s="34" t="str">
        <f>"(SELECT "&amp;VLOOKUP(B190,'0. Instruções'!$C$27:$G$32,4,FALSE)&amp;" AS "&amp;VLOOKUP(B190,'0. Instruções'!$C$27:$G$32,4,FALSE)&amp;"_SIMUL, "&amp;F190&amp;" AS "&amp;F190&amp;"_SIMUL FROM "&amp;E190&amp;" WHERE "&amp;'0. Instruções'!$D$43&amp;")Y"</f>
        <v>(SELECT instrmnt_id AS instrmnt_id_SIMUL, add_fld08 AS add_fld08_SIMUL FROM BU_LOANTAPE_WORK.SIMUL_LT002_INSTRUMENT WHERE ref_date='${ref_date}' AND nome_perimetro='Individual Local' AND segmento='ESTR' AND ambito='PILAR3' AND entidade='00100')Y</v>
      </c>
      <c r="K190" s="35" t="str">
        <f>+UPPER("ON X."&amp;VLOOKUP(B190,'0. Instruções'!$C$27:$G$32,4,FALSE)&amp;"=Y."&amp;VLOOKUP(B190,'0. Instruções'!$C$27:$G$32,4,FALSE)&amp;"_SIMUL")</f>
        <v>ON X.INSTRMNT_ID=Y.INSTRMNT_ID_SIMUL</v>
      </c>
      <c r="L190" s="35" t="str">
        <f>+IF(C190="Coerência", +IF(LEFT(G190,5)="FLOAT","SELECT '"&amp;UPPER(B190)&amp;"' AS TABELA, '"&amp;UPPER(C190)&amp;"' AS TIPOLOGIA_TESTE,'"&amp;D190&amp;"' AS TABELA_LT,'"&amp;E190&amp;"' AS TABELA_SIMUL,'"&amp;F190&amp;"' AS CAMPO, "&amp;"'${ref_date}' AS REF_DATE, COUNT(*) AS NUM_REG, SUM(IF((ABS(COALESCE(CAST(X."&amp;F190&amp;" AS DECIMAL(18,6)),0)-COALESCE(CAST(Y."&amp;F190&amp;"_SIMUL AS DECIMAL(18,6)),0))&gt;0.000001) OR (X."&amp;F190&amp;" IS NULL AND Y."&amp;F190&amp;"_SIMUL IS NOT NULL ) OR (X."&amp;F190&amp;" IS NOT NULL AND Y."&amp;F190&amp;"_SIMUL IS NULL),1,0)) AS NUM_REG_DIF,'"&amp;MAX('ID1&amp;5'!K:K)+1&amp;"' AS ID_EXEC, CURRENT_TIMESTAMP() AS TIME_EXEC FROM "&amp;I190&amp;" INNER JOIN "&amp;J190&amp;" "&amp;K190,"SELECT '"&amp;UPPER(B190)&amp;"' AS TABELA, '"&amp;UPPER(C190)&amp;"' AS TIPOLOGIA_TESTE,'"&amp;D190&amp;"' AS TABELA_LT,'"&amp;E190&amp;"' AS TABELA_SIMUL,'"&amp;F190&amp;"' AS CAMPO, "&amp;"'${ref_date}' AS REF_DATE, COUNT(*) AS NUM_REG, SUM(IF(COALESCE(CAST(X."&amp;F190&amp;" AS STRING),'')&lt;&gt;COALESCE(CAST(Y."&amp;F190&amp;"_SIMUL AS STRING),'') OR (X."&amp;F190&amp;" IS NULL AND Y."&amp;F190&amp;"_SIMUL IS NOT NULL ) OR (X."&amp;F190&amp;" IS NOT NULL AND Y."&amp;F190&amp;"_SIMUL IS NULL),1,0)) AS NUM_REG_DIF,'"&amp;MAX('ID1&amp;5'!L:L)+1&amp;"' AS ID_EXEC, CURRENT_TIMESTAMP() AS TIME_EXEC FROM "&amp;I190&amp;" INNER JOIN "&amp;J190&amp;" "&amp;K190),
IF(C190="Validade",+IF(G190="Code List","SELECT '"&amp;UPPER(B190)&amp;"' AS TABELA, '"&amp;UPPER(C190)&amp;"' AS TIPOLOGIA_TESTE,'"&amp;D190&amp;"' AS TABELA_LT,'N/A' AS TABELA_SIMUL,'"&amp;F190&amp;"' AS CAMPO, "&amp;"'${ref_date}' AS REF_DATE, COUNT(*) AS NUM_REG, SUM(IF(TRIM(CAST(X."&amp;F190&amp;" AS STRING))='' OR TRIM(CAST(X."&amp;F190&amp;" AS STRING)) IS NULL OR CAST(X."&amp;F190&amp;" AS STRING) NOT "&amp;H190&amp;",1,0)) AS NUM_REG_DIF,'"&amp;MAX('ID1&amp;5'!K:K)+1&amp;"' AS ID_EXEC, CURRENT_TIMESTAMP() AS TIME_EXEC FROM "&amp;I190,"SELECT '"&amp;UPPER(B190)&amp;"' AS TABELA, '"&amp;UPPER(C190)&amp;"' AS TIPOLOGIA_TESTE,'"&amp;D190&amp;"' AS TABELA_LT,'N/A' AS TABELA_SIMUL,'"&amp;F190&amp;"' AS CAMPO, "&amp;"'${ref_date}' AS REF_DATE, COUNT(*) AS NUM_REG, SUM(IF(TRIM(CAST(X."&amp;F190&amp;" AS STRING))='' OR TRIM(CAST(X."&amp;F190&amp;" AS STRING)) IS NULL,1,0)) AS NUM_REG_DIF,'"&amp;MAX('ID1&amp;5'!K:K)+1&amp;"' AS ID_EXEC, CURRENT_TIMESTAMP() AS TIME_EXEC FROM "&amp;I190),
IF(C190="Caracteres Especiais",+"SELECT '"&amp;UPPER(B190)&amp;"' AS TABELA, '"&amp;UPPER(C190)&amp;"' AS TIPOLOGIA_TESTE,'"&amp;D190&amp;"' AS TABELA_LT,'N/A' AS TABELA_SIMUL,'"&amp;F190&amp;"' AS CAMPO, "&amp;"'${ref_date}' AS REF_DATE, COUNT(*) AS NUM_REG, SUM(IF(REGEXP_REPLACE(TRIM(CAST(X."&amp;F190&amp;" AS STRING)),'[^a-zA-Z0-9_\\s]','') &lt;&gt;TRIM(CAST(X."&amp;F190&amp;" AS STRING)),1,0)) AS NUM_REG_DIF,'"&amp;MAX('ID1&amp;5'!K:K)+1&amp;"' AS ID_EXEC, CURRENT_TIMESTAMP() AS TIME_EXEC FROM "&amp;I190,
IF(C190="Missings",+"SELECT '"&amp;UPPER(B190)&amp;"' AS TABELA, '"&amp;UPPER(C190)&amp;"' AS TIPOLOGIA_TESTE,'"&amp;D190&amp;"' AS TABELA_LT,'N/A' AS TABELA_SIMUL,'"&amp;F190&amp;"' AS CAMPO, "&amp;"'${ref_date}' AS REF_DATE, COUNT(*) AS NUM_REG, SUM(IF(TRIM(CAST(X."&amp;F190&amp;" AS STRING)) IN ('0000-00-00','0001-01-01','9999-12-31','MISS','00000','99999999999','99999999999.00','99999999999.000000'),1,0)) AS NUM_REG_DIF,'"&amp;MAX('ID1&amp;5'!K:K)+1&amp;"' AS ID_EXEC, CURRENT_TIMESTAMP() AS TIME_EXEC FROM "&amp;I190,
IF(C190="Not applicable",+"SELECT '"&amp;UPPER(B190)&amp;"' AS TABELA, '"&amp;UPPER(C190)&amp;"' AS TIPOLOGIA_TESTE,'"&amp;D190&amp;"' AS TABELA_LT,'N/A' AS TABELA_SIMUL,'"&amp;F190&amp;"' AS CAMPO, "&amp;"'${ref_date}' AS REF_DATE, COUNT(*) AS NUM_REG, SUM(IF(TRIM(CAST(X."&amp;F190&amp;" AS STRING)) IN ('N/A','11111111111','11111111111.00','11111111111.000000','1111-11-11'),1,0)) AS NUM_REG_DIF,'"&amp;MAX('ID1&amp;5'!K:K)+1&amp;"' AS ID_EXEC, CURRENT_TIMESTAMP() AS TIME_EXEC FROM "&amp;I190,
IF(C190="Valores extremos",+"SELECT '"&amp;UPPER(B190)&amp;"' AS TABELA, '"&amp;UPPER(C190)&amp;"' AS TIPOLOGIA_TESTE,'"&amp;D190&amp;"' AS TABELA_LT,'N/A' AS TABELA_SIMUL,'"&amp;F190&amp;"' AS CAMPO, "&amp;"'${ref_date}' AS REF_DATE, CAST(MIN("&amp;F190&amp;") AS STRING) AS VALOR_MIN, CAST(MAX("&amp;F190&amp;") AS STRING) AS VALOR_MAX,'"&amp;MAX('ID1&amp;5'!K:K)+1&amp;"' AS ID_EXEC, CURRENT_TIMESTAMP() AS TIME_EXEC FROM "&amp;MID(I190,1,LEN(I190)-2)&amp;" AND CAST("&amp;F190&amp;"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TABELA_SIMUL,'add_fld08' AS CAMPO, '${ref_date}' AS REF_DATE, COUNT(*) AS NUM_REG, SUM(IF(COALESCE(CAST(X.add_fld08 AS STRING),'')&lt;&gt;COALESCE(CAST(Y.add_fld08_SIMUL AS STRING),'') OR (X.add_fld08 IS NULL AND Y.add_fld08_SIMUL IS NOT NULL ) OR (X.add_fld08 IS NOT NULL AND Y.add_fld08_SIMUL IS NULL),1,0)) AS NUM_REG_DIF,'1' AS ID_EXEC, CURRENT_TIMESTAMP() AS TIME_EXEC FROM (SELECT instrmnt_id, add_fld08 FROM BU_LOANTAPE_WORK.LT002_INSTRUMENT WHERE ref_date='${ref_date}' AND nome_perimetro='Individual Local' AND segmento='ESTR' AND ambito='SRB_MBDT' AND entidade='00100')X INNER JOIN (SELECT instrmnt_id AS instrmnt_id_SIMUL, add_fld08 AS add_fld08_SIMUL FROM BU_LOANTAPE_WORK.SIMUL_LT002_INSTRUMENT WHERE ref_date='${ref_date}' AND nome_perimetro='Individual Local' AND segmento='ESTR' AND ambito='PILAR3' AND entidade='00100')Y ON X.INSTRMNT_ID=Y.INSTRMNT_ID_SIMUL</v>
      </c>
      <c r="M190" s="36" t="str">
        <f t="shared" si="5"/>
        <v>UNION ALL SELECT 'INSTRUMENT' AS TABELA, 'COERÊNCIA' AS TIPOLOGIA_TESTE,'BU_LOANTAPE_WORK.LT002_INSTRUMENT' AS TABELA_LT,'BU_LOANTAPE_WORK.SIMUL_LT002_INSTRUMENT' AS TABELA_SIMUL,'add_fld08' AS CAMPO, '${ref_date}' AS REF_DATE, COUNT(*) AS NUM_REG, SUM(IF(COALESCE(CAST(X.add_fld08 AS STRING),'')&lt;&gt;COALESCE(CAST(Y.add_fld08_SIMUL AS STRING),'') OR (X.add_fld08 IS NULL AND Y.add_fld08_SIMUL IS NOT NULL ) OR (X.add_fld08 IS NOT NULL AND Y.add_fld08_SIMUL IS NULL),1,0)) AS NUM_REG_DIF,'1' AS ID_EXEC, CURRENT_TIMESTAMP() AS TIME_EXEC FROM (SELECT instrmnt_id, add_fld08 FROM BU_LOANTAPE_WORK.LT002_INSTRUMENT WHERE ref_date='${ref_date}' AND nome_perimetro='Individual Local' AND segmento='ESTR' AND ambito='SRB_MBDT' AND entidade='00100')X INNER JOIN (SELECT instrmnt_id AS instrmnt_id_SIMUL, add_fld08 AS add_fld08_SIMUL FROM BU_LOANTAPE_WORK.SIMUL_LT002_INSTRUMENT WHERE ref_date='${ref_date}' AND nome_perimetro='Individual Local' AND segmento='ESTR' AND ambito='PILAR3' AND entidade='00100')Y ON X.INSTRMNT_ID=Y.INSTRMNT_ID_SIMUL</v>
      </c>
      <c r="N190" s="38"/>
    </row>
    <row r="191" spans="2:14">
      <c r="B191" s="34" t="s">
        <v>117</v>
      </c>
      <c r="C191" s="34" t="s">
        <v>5</v>
      </c>
      <c r="D191" s="34" t="str">
        <f>+UPPER('0. Instruções'!$D$35&amp;"."&amp;VLOOKUP(B191,'0. Instruções'!$C$27:$D$32,2,FALSE))</f>
        <v>BU_LOANTAPE_WORK.LT002_INSTRUMENT</v>
      </c>
      <c r="E191" s="34" t="str">
        <f>+UPPER('0. Instruções'!$D$36&amp;"."&amp;VLOOKUP(B191,'0. Instruções'!$C$27:$E$32,3,FALSE))</f>
        <v>BU_LOANTAPE_WORK.SIMUL_LT002_INSTRUMENT</v>
      </c>
      <c r="F191" s="34" t="s">
        <v>1253</v>
      </c>
      <c r="G191" s="34"/>
      <c r="H191" s="34"/>
      <c r="I191" s="34" t="str">
        <f>"(SELECT "&amp;VLOOKUP(B191,'0. Instruções'!$C$27:$G$32,4,FALSE)&amp;", "&amp;F191&amp;" FROM "&amp;D191&amp;" WHERE "&amp;'0. Instruções'!$D$42&amp;")X"</f>
        <v>(SELECT instrmnt_id, add_fld09 FROM BU_LOANTAPE_WORK.LT002_INSTRUMENT WHERE ref_date='${ref_date}' AND nome_perimetro='Individual Local' AND segmento='ESTR' AND ambito='SRB_MBDT' AND entidade='00100')X</v>
      </c>
      <c r="J191" s="34" t="str">
        <f>"(SELECT "&amp;VLOOKUP(B191,'0. Instruções'!$C$27:$G$32,4,FALSE)&amp;" AS "&amp;VLOOKUP(B191,'0. Instruções'!$C$27:$G$32,4,FALSE)&amp;"_SIMUL, "&amp;F191&amp;" AS "&amp;F191&amp;"_SIMUL FROM "&amp;E191&amp;" WHERE "&amp;'0. Instruções'!$D$43&amp;")Y"</f>
        <v>(SELECT instrmnt_id AS instrmnt_id_SIMUL, add_fld09 AS add_fld09_SIMUL FROM BU_LOANTAPE_WORK.SIMUL_LT002_INSTRUMENT WHERE ref_date='${ref_date}' AND nome_perimetro='Individual Local' AND segmento='ESTR' AND ambito='PILAR3' AND entidade='00100')Y</v>
      </c>
      <c r="K191" s="35" t="str">
        <f>+UPPER("ON X."&amp;VLOOKUP(B191,'0. Instruções'!$C$27:$G$32,4,FALSE)&amp;"=Y."&amp;VLOOKUP(B191,'0. Instruções'!$C$27:$G$32,4,FALSE)&amp;"_SIMUL")</f>
        <v>ON X.INSTRMNT_ID=Y.INSTRMNT_ID_SIMUL</v>
      </c>
      <c r="L191" s="35" t="str">
        <f>+IF(C191="Coerência", +IF(LEFT(G191,5)="FLOAT","SELECT '"&amp;UPPER(B191)&amp;"' AS TABELA, '"&amp;UPPER(C191)&amp;"' AS TIPOLOGIA_TESTE,'"&amp;D191&amp;"' AS TABELA_LT,'"&amp;E191&amp;"' AS TABELA_SIMUL,'"&amp;F191&amp;"' AS CAMPO, "&amp;"'${ref_date}' AS REF_DATE, COUNT(*) AS NUM_REG, SUM(IF((ABS(COALESCE(CAST(X."&amp;F191&amp;" AS DECIMAL(18,6)),0)-COALESCE(CAST(Y."&amp;F191&amp;"_SIMUL AS DECIMAL(18,6)),0))&gt;0.000001) OR (X."&amp;F191&amp;" IS NULL AND Y."&amp;F191&amp;"_SIMUL IS NOT NULL ) OR (X."&amp;F191&amp;" IS NOT NULL AND Y."&amp;F191&amp;"_SIMUL IS NULL),1,0)) AS NUM_REG_DIF,'"&amp;MAX('ID1&amp;5'!K:K)+1&amp;"' AS ID_EXEC, CURRENT_TIMESTAMP() AS TIME_EXEC FROM "&amp;I191&amp;" INNER JOIN "&amp;J191&amp;" "&amp;K191,"SELECT '"&amp;UPPER(B191)&amp;"' AS TABELA, '"&amp;UPPER(C191)&amp;"' AS TIPOLOGIA_TESTE,'"&amp;D191&amp;"' AS TABELA_LT,'"&amp;E191&amp;"' AS TABELA_SIMUL,'"&amp;F191&amp;"' AS CAMPO, "&amp;"'${ref_date}' AS REF_DATE, COUNT(*) AS NUM_REG, SUM(IF(COALESCE(CAST(X."&amp;F191&amp;" AS STRING),'')&lt;&gt;COALESCE(CAST(Y."&amp;F191&amp;"_SIMUL AS STRING),'') OR (X."&amp;F191&amp;" IS NULL AND Y."&amp;F191&amp;"_SIMUL IS NOT NULL ) OR (X."&amp;F191&amp;" IS NOT NULL AND Y."&amp;F191&amp;"_SIMUL IS NULL),1,0)) AS NUM_REG_DIF,'"&amp;MAX('ID1&amp;5'!L:L)+1&amp;"' AS ID_EXEC, CURRENT_TIMESTAMP() AS TIME_EXEC FROM "&amp;I191&amp;" INNER JOIN "&amp;J191&amp;" "&amp;K191),
IF(C191="Validade",+IF(G191="Code List","SELECT '"&amp;UPPER(B191)&amp;"' AS TABELA, '"&amp;UPPER(C191)&amp;"' AS TIPOLOGIA_TESTE,'"&amp;D191&amp;"' AS TABELA_LT,'N/A' AS TABELA_SIMUL,'"&amp;F191&amp;"' AS CAMPO, "&amp;"'${ref_date}' AS REF_DATE, COUNT(*) AS NUM_REG, SUM(IF(TRIM(CAST(X."&amp;F191&amp;" AS STRING))='' OR TRIM(CAST(X."&amp;F191&amp;" AS STRING)) IS NULL OR CAST(X."&amp;F191&amp;" AS STRING) NOT "&amp;H191&amp;",1,0)) AS NUM_REG_DIF,'"&amp;MAX('ID1&amp;5'!K:K)+1&amp;"' AS ID_EXEC, CURRENT_TIMESTAMP() AS TIME_EXEC FROM "&amp;I191,"SELECT '"&amp;UPPER(B191)&amp;"' AS TABELA, '"&amp;UPPER(C191)&amp;"' AS TIPOLOGIA_TESTE,'"&amp;D191&amp;"' AS TABELA_LT,'N/A' AS TABELA_SIMUL,'"&amp;F191&amp;"' AS CAMPO, "&amp;"'${ref_date}' AS REF_DATE, COUNT(*) AS NUM_REG, SUM(IF(TRIM(CAST(X."&amp;F191&amp;" AS STRING))='' OR TRIM(CAST(X."&amp;F191&amp;" AS STRING)) IS NULL,1,0)) AS NUM_REG_DIF,'"&amp;MAX('ID1&amp;5'!K:K)+1&amp;"' AS ID_EXEC, CURRENT_TIMESTAMP() AS TIME_EXEC FROM "&amp;I191),
IF(C191="Caracteres Especiais",+"SELECT '"&amp;UPPER(B191)&amp;"' AS TABELA, '"&amp;UPPER(C191)&amp;"' AS TIPOLOGIA_TESTE,'"&amp;D191&amp;"' AS TABELA_LT,'N/A' AS TABELA_SIMUL,'"&amp;F191&amp;"' AS CAMPO, "&amp;"'${ref_date}' AS REF_DATE, COUNT(*) AS NUM_REG, SUM(IF(REGEXP_REPLACE(TRIM(CAST(X."&amp;F191&amp;" AS STRING)),'[^a-zA-Z0-9_\\s]','') &lt;&gt;TRIM(CAST(X."&amp;F191&amp;" AS STRING)),1,0)) AS NUM_REG_DIF,'"&amp;MAX('ID1&amp;5'!K:K)+1&amp;"' AS ID_EXEC, CURRENT_TIMESTAMP() AS TIME_EXEC FROM "&amp;I191,
IF(C191="Missings",+"SELECT '"&amp;UPPER(B191)&amp;"' AS TABELA, '"&amp;UPPER(C191)&amp;"' AS TIPOLOGIA_TESTE,'"&amp;D191&amp;"' AS TABELA_LT,'N/A' AS TABELA_SIMUL,'"&amp;F191&amp;"' AS CAMPO, "&amp;"'${ref_date}' AS REF_DATE, COUNT(*) AS NUM_REG, SUM(IF(TRIM(CAST(X."&amp;F191&amp;" AS STRING)) IN ('0000-00-00','0001-01-01','9999-12-31','MISS','00000','99999999999','99999999999.00','99999999999.000000'),1,0)) AS NUM_REG_DIF,'"&amp;MAX('ID1&amp;5'!K:K)+1&amp;"' AS ID_EXEC, CURRENT_TIMESTAMP() AS TIME_EXEC FROM "&amp;I191,
IF(C191="Not applicable",+"SELECT '"&amp;UPPER(B191)&amp;"' AS TABELA, '"&amp;UPPER(C191)&amp;"' AS TIPOLOGIA_TESTE,'"&amp;D191&amp;"' AS TABELA_LT,'N/A' AS TABELA_SIMUL,'"&amp;F191&amp;"' AS CAMPO, "&amp;"'${ref_date}' AS REF_DATE, COUNT(*) AS NUM_REG, SUM(IF(TRIM(CAST(X."&amp;F191&amp;" AS STRING)) IN ('N/A','11111111111','11111111111.00','11111111111.000000','1111-11-11'),1,0)) AS NUM_REG_DIF,'"&amp;MAX('ID1&amp;5'!K:K)+1&amp;"' AS ID_EXEC, CURRENT_TIMESTAMP() AS TIME_EXEC FROM "&amp;I191,
IF(C191="Valores extremos",+"SELECT '"&amp;UPPER(B191)&amp;"' AS TABELA, '"&amp;UPPER(C191)&amp;"' AS TIPOLOGIA_TESTE,'"&amp;D191&amp;"' AS TABELA_LT,'N/A' AS TABELA_SIMUL,'"&amp;F191&amp;"' AS CAMPO, "&amp;"'${ref_date}' AS REF_DATE, CAST(MIN("&amp;F191&amp;") AS STRING) AS VALOR_MIN, CAST(MAX("&amp;F191&amp;") AS STRING) AS VALOR_MAX,'"&amp;MAX('ID1&amp;5'!K:K)+1&amp;"' AS ID_EXEC, CURRENT_TIMESTAMP() AS TIME_EXEC FROM "&amp;MID(I191,1,LEN(I191)-2)&amp;" AND CAST("&amp;F191&amp;"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TABELA_SIMUL,'add_fld09' AS CAMPO, '${ref_date}' AS REF_DATE, COUNT(*) AS NUM_REG, SUM(IF(COALESCE(CAST(X.add_fld09 AS STRING),'')&lt;&gt;COALESCE(CAST(Y.add_fld09_SIMUL AS STRING),'') OR (X.add_fld09 IS NULL AND Y.add_fld09_SIMUL IS NOT NULL ) OR (X.add_fld09 IS NOT NULL AND Y.add_fld09_SIMUL IS NULL),1,0)) AS NUM_REG_DIF,'1' AS ID_EXEC, CURRENT_TIMESTAMP() AS TIME_EXEC FROM (SELECT instrmnt_id, add_fld09 FROM BU_LOANTAPE_WORK.LT002_INSTRUMENT WHERE ref_date='${ref_date}' AND nome_perimetro='Individual Local' AND segmento='ESTR' AND ambito='SRB_MBDT' AND entidade='00100')X INNER JOIN (SELECT instrmnt_id AS instrmnt_id_SIMUL, add_fld09 AS add_fld09_SIMUL FROM BU_LOANTAPE_WORK.SIMUL_LT002_INSTRUMENT WHERE ref_date='${ref_date}' AND nome_perimetro='Individual Local' AND segmento='ESTR' AND ambito='PILAR3' AND entidade='00100')Y ON X.INSTRMNT_ID=Y.INSTRMNT_ID_SIMUL</v>
      </c>
      <c r="M191" s="36" t="str">
        <f t="shared" ref="M191:M254" si="6">+"UNION ALL "&amp;L191</f>
        <v>UNION ALL SELECT 'INSTRUMENT' AS TABELA, 'COERÊNCIA' AS TIPOLOGIA_TESTE,'BU_LOANTAPE_WORK.LT002_INSTRUMENT' AS TABELA_LT,'BU_LOANTAPE_WORK.SIMUL_LT002_INSTRUMENT' AS TABELA_SIMUL,'add_fld09' AS CAMPO, '${ref_date}' AS REF_DATE, COUNT(*) AS NUM_REG, SUM(IF(COALESCE(CAST(X.add_fld09 AS STRING),'')&lt;&gt;COALESCE(CAST(Y.add_fld09_SIMUL AS STRING),'') OR (X.add_fld09 IS NULL AND Y.add_fld09_SIMUL IS NOT NULL ) OR (X.add_fld09 IS NOT NULL AND Y.add_fld09_SIMUL IS NULL),1,0)) AS NUM_REG_DIF,'1' AS ID_EXEC, CURRENT_TIMESTAMP() AS TIME_EXEC FROM (SELECT instrmnt_id, add_fld09 FROM BU_LOANTAPE_WORK.LT002_INSTRUMENT WHERE ref_date='${ref_date}' AND nome_perimetro='Individual Local' AND segmento='ESTR' AND ambito='SRB_MBDT' AND entidade='00100')X INNER JOIN (SELECT instrmnt_id AS instrmnt_id_SIMUL, add_fld09 AS add_fld09_SIMUL FROM BU_LOANTAPE_WORK.SIMUL_LT002_INSTRUMENT WHERE ref_date='${ref_date}' AND nome_perimetro='Individual Local' AND segmento='ESTR' AND ambito='PILAR3' AND entidade='00100')Y ON X.INSTRMNT_ID=Y.INSTRMNT_ID_SIMUL</v>
      </c>
      <c r="N191" s="38"/>
    </row>
    <row r="192" spans="2:14">
      <c r="B192" s="34" t="s">
        <v>117</v>
      </c>
      <c r="C192" s="34" t="s">
        <v>5</v>
      </c>
      <c r="D192" s="34" t="str">
        <f>+UPPER('0. Instruções'!$D$35&amp;"."&amp;VLOOKUP(B192,'0. Instruções'!$C$27:$D$32,2,FALSE))</f>
        <v>BU_LOANTAPE_WORK.LT002_INSTRUMENT</v>
      </c>
      <c r="E192" s="34" t="str">
        <f>+UPPER('0. Instruções'!$D$36&amp;"."&amp;VLOOKUP(B192,'0. Instruções'!$C$27:$E$32,3,FALSE))</f>
        <v>BU_LOANTAPE_WORK.SIMUL_LT002_INSTRUMENT</v>
      </c>
      <c r="F192" s="34" t="s">
        <v>1254</v>
      </c>
      <c r="G192" s="34"/>
      <c r="H192" s="34"/>
      <c r="I192" s="34" t="str">
        <f>"(SELECT "&amp;VLOOKUP(B192,'0. Instruções'!$C$27:$G$32,4,FALSE)&amp;", "&amp;F192&amp;" FROM "&amp;D192&amp;" WHERE "&amp;'0. Instruções'!$D$42&amp;")X"</f>
        <v>(SELECT instrmnt_id, add_fld10 FROM BU_LOANTAPE_WORK.LT002_INSTRUMENT WHERE ref_date='${ref_date}' AND nome_perimetro='Individual Local' AND segmento='ESTR' AND ambito='SRB_MBDT' AND entidade='00100')X</v>
      </c>
      <c r="J192" s="34" t="str">
        <f>"(SELECT "&amp;VLOOKUP(B192,'0. Instruções'!$C$27:$G$32,4,FALSE)&amp;" AS "&amp;VLOOKUP(B192,'0. Instruções'!$C$27:$G$32,4,FALSE)&amp;"_SIMUL, "&amp;F192&amp;" AS "&amp;F192&amp;"_SIMUL FROM "&amp;E192&amp;" WHERE "&amp;'0. Instruções'!$D$43&amp;")Y"</f>
        <v>(SELECT instrmnt_id AS instrmnt_id_SIMUL, add_fld10 AS add_fld10_SIMUL FROM BU_LOANTAPE_WORK.SIMUL_LT002_INSTRUMENT WHERE ref_date='${ref_date}' AND nome_perimetro='Individual Local' AND segmento='ESTR' AND ambito='PILAR3' AND entidade='00100')Y</v>
      </c>
      <c r="K192" s="35" t="str">
        <f>+UPPER("ON X."&amp;VLOOKUP(B192,'0. Instruções'!$C$27:$G$32,4,FALSE)&amp;"=Y."&amp;VLOOKUP(B192,'0. Instruções'!$C$27:$G$32,4,FALSE)&amp;"_SIMUL")</f>
        <v>ON X.INSTRMNT_ID=Y.INSTRMNT_ID_SIMUL</v>
      </c>
      <c r="L192" s="35" t="str">
        <f>+IF(C192="Coerência", +IF(LEFT(G192,5)="FLOAT","SELECT '"&amp;UPPER(B192)&amp;"' AS TABELA, '"&amp;UPPER(C192)&amp;"' AS TIPOLOGIA_TESTE,'"&amp;D192&amp;"' AS TABELA_LT,'"&amp;E192&amp;"' AS TABELA_SIMUL,'"&amp;F192&amp;"' AS CAMPO, "&amp;"'${ref_date}' AS REF_DATE, COUNT(*) AS NUM_REG, SUM(IF((ABS(COALESCE(CAST(X."&amp;F192&amp;" AS DECIMAL(18,6)),0)-COALESCE(CAST(Y."&amp;F192&amp;"_SIMUL AS DECIMAL(18,6)),0))&gt;0.000001) OR (X."&amp;F192&amp;" IS NULL AND Y."&amp;F192&amp;"_SIMUL IS NOT NULL ) OR (X."&amp;F192&amp;" IS NOT NULL AND Y."&amp;F192&amp;"_SIMUL IS NULL),1,0)) AS NUM_REG_DIF,'"&amp;MAX('ID1&amp;5'!K:K)+1&amp;"' AS ID_EXEC, CURRENT_TIMESTAMP() AS TIME_EXEC FROM "&amp;I192&amp;" INNER JOIN "&amp;J192&amp;" "&amp;K192,"SELECT '"&amp;UPPER(B192)&amp;"' AS TABELA, '"&amp;UPPER(C192)&amp;"' AS TIPOLOGIA_TESTE,'"&amp;D192&amp;"' AS TABELA_LT,'"&amp;E192&amp;"' AS TABELA_SIMUL,'"&amp;F192&amp;"' AS CAMPO, "&amp;"'${ref_date}' AS REF_DATE, COUNT(*) AS NUM_REG, SUM(IF(COALESCE(CAST(X."&amp;F192&amp;" AS STRING),'')&lt;&gt;COALESCE(CAST(Y."&amp;F192&amp;"_SIMUL AS STRING),'') OR (X."&amp;F192&amp;" IS NULL AND Y."&amp;F192&amp;"_SIMUL IS NOT NULL ) OR (X."&amp;F192&amp;" IS NOT NULL AND Y."&amp;F192&amp;"_SIMUL IS NULL),1,0)) AS NUM_REG_DIF,'"&amp;MAX('ID1&amp;5'!L:L)+1&amp;"' AS ID_EXEC, CURRENT_TIMESTAMP() AS TIME_EXEC FROM "&amp;I192&amp;" INNER JOIN "&amp;J192&amp;" "&amp;K192),
IF(C192="Validade",+IF(G192="Code List","SELECT '"&amp;UPPER(B192)&amp;"' AS TABELA, '"&amp;UPPER(C192)&amp;"' AS TIPOLOGIA_TESTE,'"&amp;D192&amp;"' AS TABELA_LT,'N/A' AS TABELA_SIMUL,'"&amp;F192&amp;"' AS CAMPO, "&amp;"'${ref_date}' AS REF_DATE, COUNT(*) AS NUM_REG, SUM(IF(TRIM(CAST(X."&amp;F192&amp;" AS STRING))='' OR TRIM(CAST(X."&amp;F192&amp;" AS STRING)) IS NULL OR CAST(X."&amp;F192&amp;" AS STRING) NOT "&amp;H192&amp;",1,0)) AS NUM_REG_DIF,'"&amp;MAX('ID1&amp;5'!K:K)+1&amp;"' AS ID_EXEC, CURRENT_TIMESTAMP() AS TIME_EXEC FROM "&amp;I192,"SELECT '"&amp;UPPER(B192)&amp;"' AS TABELA, '"&amp;UPPER(C192)&amp;"' AS TIPOLOGIA_TESTE,'"&amp;D192&amp;"' AS TABELA_LT,'N/A' AS TABELA_SIMUL,'"&amp;F192&amp;"' AS CAMPO, "&amp;"'${ref_date}' AS REF_DATE, COUNT(*) AS NUM_REG, SUM(IF(TRIM(CAST(X."&amp;F192&amp;" AS STRING))='' OR TRIM(CAST(X."&amp;F192&amp;" AS STRING)) IS NULL,1,0)) AS NUM_REG_DIF,'"&amp;MAX('ID1&amp;5'!K:K)+1&amp;"' AS ID_EXEC, CURRENT_TIMESTAMP() AS TIME_EXEC FROM "&amp;I192),
IF(C192="Caracteres Especiais",+"SELECT '"&amp;UPPER(B192)&amp;"' AS TABELA, '"&amp;UPPER(C192)&amp;"' AS TIPOLOGIA_TESTE,'"&amp;D192&amp;"' AS TABELA_LT,'N/A' AS TABELA_SIMUL,'"&amp;F192&amp;"' AS CAMPO, "&amp;"'${ref_date}' AS REF_DATE, COUNT(*) AS NUM_REG, SUM(IF(REGEXP_REPLACE(TRIM(CAST(X."&amp;F192&amp;" AS STRING)),'[^a-zA-Z0-9_\\s]','') &lt;&gt;TRIM(CAST(X."&amp;F192&amp;" AS STRING)),1,0)) AS NUM_REG_DIF,'"&amp;MAX('ID1&amp;5'!K:K)+1&amp;"' AS ID_EXEC, CURRENT_TIMESTAMP() AS TIME_EXEC FROM "&amp;I192,
IF(C192="Missings",+"SELECT '"&amp;UPPER(B192)&amp;"' AS TABELA, '"&amp;UPPER(C192)&amp;"' AS TIPOLOGIA_TESTE,'"&amp;D192&amp;"' AS TABELA_LT,'N/A' AS TABELA_SIMUL,'"&amp;F192&amp;"' AS CAMPO, "&amp;"'${ref_date}' AS REF_DATE, COUNT(*) AS NUM_REG, SUM(IF(TRIM(CAST(X."&amp;F192&amp;" AS STRING)) IN ('0000-00-00','0001-01-01','9999-12-31','MISS','00000','99999999999','99999999999.00','99999999999.000000'),1,0)) AS NUM_REG_DIF,'"&amp;MAX('ID1&amp;5'!K:K)+1&amp;"' AS ID_EXEC, CURRENT_TIMESTAMP() AS TIME_EXEC FROM "&amp;I192,
IF(C192="Not applicable",+"SELECT '"&amp;UPPER(B192)&amp;"' AS TABELA, '"&amp;UPPER(C192)&amp;"' AS TIPOLOGIA_TESTE,'"&amp;D192&amp;"' AS TABELA_LT,'N/A' AS TABELA_SIMUL,'"&amp;F192&amp;"' AS CAMPO, "&amp;"'${ref_date}' AS REF_DATE, COUNT(*) AS NUM_REG, SUM(IF(TRIM(CAST(X."&amp;F192&amp;" AS STRING)) IN ('N/A','11111111111','11111111111.00','11111111111.000000','1111-11-11'),1,0)) AS NUM_REG_DIF,'"&amp;MAX('ID1&amp;5'!K:K)+1&amp;"' AS ID_EXEC, CURRENT_TIMESTAMP() AS TIME_EXEC FROM "&amp;I192,
IF(C192="Valores extremos",+"SELECT '"&amp;UPPER(B192)&amp;"' AS TABELA, '"&amp;UPPER(C192)&amp;"' AS TIPOLOGIA_TESTE,'"&amp;D192&amp;"' AS TABELA_LT,'N/A' AS TABELA_SIMUL,'"&amp;F192&amp;"' AS CAMPO, "&amp;"'${ref_date}' AS REF_DATE, CAST(MIN("&amp;F192&amp;") AS STRING) AS VALOR_MIN, CAST(MAX("&amp;F192&amp;") AS STRING) AS VALOR_MAX,'"&amp;MAX('ID1&amp;5'!K:K)+1&amp;"' AS ID_EXEC, CURRENT_TIMESTAMP() AS TIME_EXEC FROM "&amp;MID(I192,1,LEN(I192)-2)&amp;" AND CAST("&amp;F192&amp;"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TABELA_SIMUL,'add_fld10' AS CAMPO, '${ref_date}' AS REF_DATE, COUNT(*) AS NUM_REG, SUM(IF(COALESCE(CAST(X.add_fld10 AS STRING),'')&lt;&gt;COALESCE(CAST(Y.add_fld10_SIMUL AS STRING),'') OR (X.add_fld10 IS NULL AND Y.add_fld10_SIMUL IS NOT NULL ) OR (X.add_fld10 IS NOT NULL AND Y.add_fld10_SIMUL IS NULL),1,0)) AS NUM_REG_DIF,'1' AS ID_EXEC, CURRENT_TIMESTAMP() AS TIME_EXEC FROM (SELECT instrmnt_id, add_fld10 FROM BU_LOANTAPE_WORK.LT002_INSTRUMENT WHERE ref_date='${ref_date}' AND nome_perimetro='Individual Local' AND segmento='ESTR' AND ambito='SRB_MBDT' AND entidade='00100')X INNER JOIN (SELECT instrmnt_id AS instrmnt_id_SIMUL, add_fld10 AS add_fld10_SIMUL FROM BU_LOANTAPE_WORK.SIMUL_LT002_INSTRUMENT WHERE ref_date='${ref_date}' AND nome_perimetro='Individual Local' AND segmento='ESTR' AND ambito='PILAR3' AND entidade='00100')Y ON X.INSTRMNT_ID=Y.INSTRMNT_ID_SIMUL</v>
      </c>
      <c r="M192" s="36" t="str">
        <f t="shared" si="6"/>
        <v>UNION ALL SELECT 'INSTRUMENT' AS TABELA, 'COERÊNCIA' AS TIPOLOGIA_TESTE,'BU_LOANTAPE_WORK.LT002_INSTRUMENT' AS TABELA_LT,'BU_LOANTAPE_WORK.SIMUL_LT002_INSTRUMENT' AS TABELA_SIMUL,'add_fld10' AS CAMPO, '${ref_date}' AS REF_DATE, COUNT(*) AS NUM_REG, SUM(IF(COALESCE(CAST(X.add_fld10 AS STRING),'')&lt;&gt;COALESCE(CAST(Y.add_fld10_SIMUL AS STRING),'') OR (X.add_fld10 IS NULL AND Y.add_fld10_SIMUL IS NOT NULL ) OR (X.add_fld10 IS NOT NULL AND Y.add_fld10_SIMUL IS NULL),1,0)) AS NUM_REG_DIF,'1' AS ID_EXEC, CURRENT_TIMESTAMP() AS TIME_EXEC FROM (SELECT instrmnt_id, add_fld10 FROM BU_LOANTAPE_WORK.LT002_INSTRUMENT WHERE ref_date='${ref_date}' AND nome_perimetro='Individual Local' AND segmento='ESTR' AND ambito='SRB_MBDT' AND entidade='00100')X INNER JOIN (SELECT instrmnt_id AS instrmnt_id_SIMUL, add_fld10 AS add_fld10_SIMUL FROM BU_LOANTAPE_WORK.SIMUL_LT002_INSTRUMENT WHERE ref_date='${ref_date}' AND nome_perimetro='Individual Local' AND segmento='ESTR' AND ambito='PILAR3' AND entidade='00100')Y ON X.INSTRMNT_ID=Y.INSTRMNT_ID_SIMUL</v>
      </c>
      <c r="N192" s="38"/>
    </row>
    <row r="193" spans="2:14">
      <c r="B193" s="34" t="s">
        <v>117</v>
      </c>
      <c r="C193" s="34" t="s">
        <v>5</v>
      </c>
      <c r="D193" s="34" t="str">
        <f>+UPPER('0. Instruções'!$D$35&amp;"."&amp;VLOOKUP(B193,'0. Instruções'!$C$27:$D$32,2,FALSE))</f>
        <v>BU_LOANTAPE_WORK.LT002_INSTRUMENT</v>
      </c>
      <c r="E193" s="34" t="str">
        <f>+UPPER('0. Instruções'!$D$36&amp;"."&amp;VLOOKUP(B193,'0. Instruções'!$C$27:$E$32,3,FALSE))</f>
        <v>BU_LOANTAPE_WORK.SIMUL_LT002_INSTRUMENT</v>
      </c>
      <c r="F193" s="34" t="s">
        <v>1255</v>
      </c>
      <c r="G193" s="34"/>
      <c r="H193" s="34"/>
      <c r="I193" s="34" t="str">
        <f>"(SELECT "&amp;VLOOKUP(B193,'0. Instruções'!$C$27:$G$32,4,FALSE)&amp;", "&amp;F193&amp;" FROM "&amp;D193&amp;" WHERE "&amp;'0. Instruções'!$D$42&amp;")X"</f>
        <v>(SELECT instrmnt_id, rcvd_amrtstn_12m FROM BU_LOANTAPE_WORK.LT002_INSTRUMENT WHERE ref_date='${ref_date}' AND nome_perimetro='Individual Local' AND segmento='ESTR' AND ambito='SRB_MBDT' AND entidade='00100')X</v>
      </c>
      <c r="J193" s="34" t="str">
        <f>"(SELECT "&amp;VLOOKUP(B193,'0. Instruções'!$C$27:$G$32,4,FALSE)&amp;" AS "&amp;VLOOKUP(B193,'0. Instruções'!$C$27:$G$32,4,FALSE)&amp;"_SIMUL, "&amp;F193&amp;" AS "&amp;F193&amp;"_SIMUL FROM "&amp;E193&amp;" WHERE "&amp;'0. Instruções'!$D$43&amp;")Y"</f>
        <v>(SELECT instrmnt_id AS instrmnt_id_SIMUL, rcvd_amrtstn_12m AS rcvd_amrtstn_12m_SIMUL FROM BU_LOANTAPE_WORK.SIMUL_LT002_INSTRUMENT WHERE ref_date='${ref_date}' AND nome_perimetro='Individual Local' AND segmento='ESTR' AND ambito='PILAR3' AND entidade='00100')Y</v>
      </c>
      <c r="K193" s="35" t="str">
        <f>+UPPER("ON X."&amp;VLOOKUP(B193,'0. Instruções'!$C$27:$G$32,4,FALSE)&amp;"=Y."&amp;VLOOKUP(B193,'0. Instruções'!$C$27:$G$32,4,FALSE)&amp;"_SIMUL")</f>
        <v>ON X.INSTRMNT_ID=Y.INSTRMNT_ID_SIMUL</v>
      </c>
      <c r="L193" s="35" t="str">
        <f>+IF(C193="Coerência", +IF(LEFT(G193,5)="FLOAT","SELECT '"&amp;UPPER(B193)&amp;"' AS TABELA, '"&amp;UPPER(C193)&amp;"' AS TIPOLOGIA_TESTE,'"&amp;D193&amp;"' AS TABELA_LT,'"&amp;E193&amp;"' AS TABELA_SIMUL,'"&amp;F193&amp;"' AS CAMPO, "&amp;"'${ref_date}' AS REF_DATE, COUNT(*) AS NUM_REG, SUM(IF((ABS(COALESCE(CAST(X."&amp;F193&amp;" AS DECIMAL(18,6)),0)-COALESCE(CAST(Y."&amp;F193&amp;"_SIMUL AS DECIMAL(18,6)),0))&gt;0.000001) OR (X."&amp;F193&amp;" IS NULL AND Y."&amp;F193&amp;"_SIMUL IS NOT NULL ) OR (X."&amp;F193&amp;" IS NOT NULL AND Y."&amp;F193&amp;"_SIMUL IS NULL),1,0)) AS NUM_REG_DIF,'"&amp;MAX('ID1&amp;5'!K:K)+1&amp;"' AS ID_EXEC, CURRENT_TIMESTAMP() AS TIME_EXEC FROM "&amp;I193&amp;" INNER JOIN "&amp;J193&amp;" "&amp;K193,"SELECT '"&amp;UPPER(B193)&amp;"' AS TABELA, '"&amp;UPPER(C193)&amp;"' AS TIPOLOGIA_TESTE,'"&amp;D193&amp;"' AS TABELA_LT,'"&amp;E193&amp;"' AS TABELA_SIMUL,'"&amp;F193&amp;"' AS CAMPO, "&amp;"'${ref_date}' AS REF_DATE, COUNT(*) AS NUM_REG, SUM(IF(COALESCE(CAST(X."&amp;F193&amp;" AS STRING),'')&lt;&gt;COALESCE(CAST(Y."&amp;F193&amp;"_SIMUL AS STRING),'') OR (X."&amp;F193&amp;" IS NULL AND Y."&amp;F193&amp;"_SIMUL IS NOT NULL ) OR (X."&amp;F193&amp;" IS NOT NULL AND Y."&amp;F193&amp;"_SIMUL IS NULL),1,0)) AS NUM_REG_DIF,'"&amp;MAX('ID1&amp;5'!L:L)+1&amp;"' AS ID_EXEC, CURRENT_TIMESTAMP() AS TIME_EXEC FROM "&amp;I193&amp;" INNER JOIN "&amp;J193&amp;" "&amp;K193),
IF(C193="Validade",+IF(G193="Code List","SELECT '"&amp;UPPER(B193)&amp;"' AS TABELA, '"&amp;UPPER(C193)&amp;"' AS TIPOLOGIA_TESTE,'"&amp;D193&amp;"' AS TABELA_LT,'N/A' AS TABELA_SIMUL,'"&amp;F193&amp;"' AS CAMPO, "&amp;"'${ref_date}' AS REF_DATE, COUNT(*) AS NUM_REG, SUM(IF(TRIM(CAST(X."&amp;F193&amp;" AS STRING))='' OR TRIM(CAST(X."&amp;F193&amp;" AS STRING)) IS NULL OR CAST(X."&amp;F193&amp;" AS STRING) NOT "&amp;H193&amp;",1,0)) AS NUM_REG_DIF,'"&amp;MAX('ID1&amp;5'!K:K)+1&amp;"' AS ID_EXEC, CURRENT_TIMESTAMP() AS TIME_EXEC FROM "&amp;I193,"SELECT '"&amp;UPPER(B193)&amp;"' AS TABELA, '"&amp;UPPER(C193)&amp;"' AS TIPOLOGIA_TESTE,'"&amp;D193&amp;"' AS TABELA_LT,'N/A' AS TABELA_SIMUL,'"&amp;F193&amp;"' AS CAMPO, "&amp;"'${ref_date}' AS REF_DATE, COUNT(*) AS NUM_REG, SUM(IF(TRIM(CAST(X."&amp;F193&amp;" AS STRING))='' OR TRIM(CAST(X."&amp;F193&amp;" AS STRING)) IS NULL,1,0)) AS NUM_REG_DIF,'"&amp;MAX('ID1&amp;5'!K:K)+1&amp;"' AS ID_EXEC, CURRENT_TIMESTAMP() AS TIME_EXEC FROM "&amp;I193),
IF(C193="Caracteres Especiais",+"SELECT '"&amp;UPPER(B193)&amp;"' AS TABELA, '"&amp;UPPER(C193)&amp;"' AS TIPOLOGIA_TESTE,'"&amp;D193&amp;"' AS TABELA_LT,'N/A' AS TABELA_SIMUL,'"&amp;F193&amp;"' AS CAMPO, "&amp;"'${ref_date}' AS REF_DATE, COUNT(*) AS NUM_REG, SUM(IF(REGEXP_REPLACE(TRIM(CAST(X."&amp;F193&amp;" AS STRING)),'[^a-zA-Z0-9_\\s]','') &lt;&gt;TRIM(CAST(X."&amp;F193&amp;" AS STRING)),1,0)) AS NUM_REG_DIF,'"&amp;MAX('ID1&amp;5'!K:K)+1&amp;"' AS ID_EXEC, CURRENT_TIMESTAMP() AS TIME_EXEC FROM "&amp;I193,
IF(C193="Missings",+"SELECT '"&amp;UPPER(B193)&amp;"' AS TABELA, '"&amp;UPPER(C193)&amp;"' AS TIPOLOGIA_TESTE,'"&amp;D193&amp;"' AS TABELA_LT,'N/A' AS TABELA_SIMUL,'"&amp;F193&amp;"' AS CAMPO, "&amp;"'${ref_date}' AS REF_DATE, COUNT(*) AS NUM_REG, SUM(IF(TRIM(CAST(X."&amp;F193&amp;" AS STRING)) IN ('0000-00-00','0001-01-01','9999-12-31','MISS','00000','99999999999','99999999999.00','99999999999.000000'),1,0)) AS NUM_REG_DIF,'"&amp;MAX('ID1&amp;5'!K:K)+1&amp;"' AS ID_EXEC, CURRENT_TIMESTAMP() AS TIME_EXEC FROM "&amp;I193,
IF(C193="Not applicable",+"SELECT '"&amp;UPPER(B193)&amp;"' AS TABELA, '"&amp;UPPER(C193)&amp;"' AS TIPOLOGIA_TESTE,'"&amp;D193&amp;"' AS TABELA_LT,'N/A' AS TABELA_SIMUL,'"&amp;F193&amp;"' AS CAMPO, "&amp;"'${ref_date}' AS REF_DATE, COUNT(*) AS NUM_REG, SUM(IF(TRIM(CAST(X."&amp;F193&amp;" AS STRING)) IN ('N/A','11111111111','11111111111.00','11111111111.000000','1111-11-11'),1,0)) AS NUM_REG_DIF,'"&amp;MAX('ID1&amp;5'!K:K)+1&amp;"' AS ID_EXEC, CURRENT_TIMESTAMP() AS TIME_EXEC FROM "&amp;I193,
IF(C193="Valores extremos",+"SELECT '"&amp;UPPER(B193)&amp;"' AS TABELA, '"&amp;UPPER(C193)&amp;"' AS TIPOLOGIA_TESTE,'"&amp;D193&amp;"' AS TABELA_LT,'N/A' AS TABELA_SIMUL,'"&amp;F193&amp;"' AS CAMPO, "&amp;"'${ref_date}' AS REF_DATE, CAST(MIN("&amp;F193&amp;") AS STRING) AS VALOR_MIN, CAST(MAX("&amp;F193&amp;") AS STRING) AS VALOR_MAX,'"&amp;MAX('ID1&amp;5'!K:K)+1&amp;"' AS ID_EXEC, CURRENT_TIMESTAMP() AS TIME_EXEC FROM "&amp;MID(I193,1,LEN(I193)-2)&amp;" AND CAST("&amp;F193&amp;"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TABELA_SIMUL,'rcvd_amrtstn_12m' AS CAMPO, '${ref_date}' AS REF_DATE, COUNT(*) AS NUM_REG, SUM(IF(COALESCE(CAST(X.rcvd_amrtstn_12m AS STRING),'')&lt;&gt;COALESCE(CAST(Y.rcvd_amrtstn_12m_SIMUL AS STRING),'') OR (X.rcvd_amrtstn_12m IS NULL AND Y.rcvd_amrtstn_12m_SIMUL IS NOT NULL ) OR (X.rcvd_amrtstn_12m IS NOT NULL AND Y.rcvd_amrtstn_12m_SIMUL IS NULL),1,0)) AS NUM_REG_DIF,'1' AS ID_EXEC, CURRENT_TIMESTAMP() AS TIME_EXEC FROM (SELECT instrmnt_id, rcvd_amrtstn_12m FROM BU_LOANTAPE_WORK.LT002_INSTRUMENT WHERE ref_date='${ref_date}' AND nome_perimetro='Individual Local' AND segmento='ESTR' AND ambito='SRB_MBDT' AND entidade='00100')X INNER JOIN (SELECT instrmnt_id AS instrmnt_id_SIMUL, rcvd_amrtstn_12m AS rcvd_amrtstn_12m_SIMUL FROM BU_LOANTAPE_WORK.SIMUL_LT002_INSTRUMENT WHERE ref_date='${ref_date}' AND nome_perimetro='Individual Local' AND segmento='ESTR' AND ambito='PILAR3' AND entidade='00100')Y ON X.INSTRMNT_ID=Y.INSTRMNT_ID_SIMUL</v>
      </c>
      <c r="M193" s="36" t="str">
        <f t="shared" si="6"/>
        <v>UNION ALL SELECT 'INSTRUMENT' AS TABELA, 'COERÊNCIA' AS TIPOLOGIA_TESTE,'BU_LOANTAPE_WORK.LT002_INSTRUMENT' AS TABELA_LT,'BU_LOANTAPE_WORK.SIMUL_LT002_INSTRUMENT' AS TABELA_SIMUL,'rcvd_amrtstn_12m' AS CAMPO, '${ref_date}' AS REF_DATE, COUNT(*) AS NUM_REG, SUM(IF(COALESCE(CAST(X.rcvd_amrtstn_12m AS STRING),'')&lt;&gt;COALESCE(CAST(Y.rcvd_amrtstn_12m_SIMUL AS STRING),'') OR (X.rcvd_amrtstn_12m IS NULL AND Y.rcvd_amrtstn_12m_SIMUL IS NOT NULL ) OR (X.rcvd_amrtstn_12m IS NOT NULL AND Y.rcvd_amrtstn_12m_SIMUL IS NULL),1,0)) AS NUM_REG_DIF,'1' AS ID_EXEC, CURRENT_TIMESTAMP() AS TIME_EXEC FROM (SELECT instrmnt_id, rcvd_amrtstn_12m FROM BU_LOANTAPE_WORK.LT002_INSTRUMENT WHERE ref_date='${ref_date}' AND nome_perimetro='Individual Local' AND segmento='ESTR' AND ambito='SRB_MBDT' AND entidade='00100')X INNER JOIN (SELECT instrmnt_id AS instrmnt_id_SIMUL, rcvd_amrtstn_12m AS rcvd_amrtstn_12m_SIMUL FROM BU_LOANTAPE_WORK.SIMUL_LT002_INSTRUMENT WHERE ref_date='${ref_date}' AND nome_perimetro='Individual Local' AND segmento='ESTR' AND ambito='PILAR3' AND entidade='00100')Y ON X.INSTRMNT_ID=Y.INSTRMNT_ID_SIMUL</v>
      </c>
      <c r="N193" s="38"/>
    </row>
    <row r="194" spans="2:14">
      <c r="B194" s="34" t="s">
        <v>117</v>
      </c>
      <c r="C194" s="34" t="s">
        <v>5</v>
      </c>
      <c r="D194" s="34" t="str">
        <f>+UPPER('0. Instruções'!$D$35&amp;"."&amp;VLOOKUP(B194,'0. Instruções'!$C$27:$D$32,2,FALSE))</f>
        <v>BU_LOANTAPE_WORK.LT002_INSTRUMENT</v>
      </c>
      <c r="E194" s="34" t="str">
        <f>+UPPER('0. Instruções'!$D$36&amp;"."&amp;VLOOKUP(B194,'0. Instruções'!$C$27:$E$32,3,FALSE))</f>
        <v>BU_LOANTAPE_WORK.SIMUL_LT002_INSTRUMENT</v>
      </c>
      <c r="F194" s="34" t="s">
        <v>1256</v>
      </c>
      <c r="G194" s="34"/>
      <c r="H194" s="34"/>
      <c r="I194" s="34" t="str">
        <f>"(SELECT "&amp;VLOOKUP(B194,'0. Instruções'!$C$27:$G$32,4,FALSE)&amp;", "&amp;F194&amp;" FROM "&amp;D194&amp;" WHERE "&amp;'0. Instruções'!$D$42&amp;")X"</f>
        <v>(SELECT instrmnt_id, rcvd_amrtstn_24m FROM BU_LOANTAPE_WORK.LT002_INSTRUMENT WHERE ref_date='${ref_date}' AND nome_perimetro='Individual Local' AND segmento='ESTR' AND ambito='SRB_MBDT' AND entidade='00100')X</v>
      </c>
      <c r="J194" s="34" t="str">
        <f>"(SELECT "&amp;VLOOKUP(B194,'0. Instruções'!$C$27:$G$32,4,FALSE)&amp;" AS "&amp;VLOOKUP(B194,'0. Instruções'!$C$27:$G$32,4,FALSE)&amp;"_SIMUL, "&amp;F194&amp;" AS "&amp;F194&amp;"_SIMUL FROM "&amp;E194&amp;" WHERE "&amp;'0. Instruções'!$D$43&amp;")Y"</f>
        <v>(SELECT instrmnt_id AS instrmnt_id_SIMUL, rcvd_amrtstn_24m AS rcvd_amrtstn_24m_SIMUL FROM BU_LOANTAPE_WORK.SIMUL_LT002_INSTRUMENT WHERE ref_date='${ref_date}' AND nome_perimetro='Individual Local' AND segmento='ESTR' AND ambito='PILAR3' AND entidade='00100')Y</v>
      </c>
      <c r="K194" s="35" t="str">
        <f>+UPPER("ON X."&amp;VLOOKUP(B194,'0. Instruções'!$C$27:$G$32,4,FALSE)&amp;"=Y."&amp;VLOOKUP(B194,'0. Instruções'!$C$27:$G$32,4,FALSE)&amp;"_SIMUL")</f>
        <v>ON X.INSTRMNT_ID=Y.INSTRMNT_ID_SIMUL</v>
      </c>
      <c r="L194" s="35" t="str">
        <f>+IF(C194="Coerência", +IF(LEFT(G194,5)="FLOAT","SELECT '"&amp;UPPER(B194)&amp;"' AS TABELA, '"&amp;UPPER(C194)&amp;"' AS TIPOLOGIA_TESTE,'"&amp;D194&amp;"' AS TABELA_LT,'"&amp;E194&amp;"' AS TABELA_SIMUL,'"&amp;F194&amp;"' AS CAMPO, "&amp;"'${ref_date}' AS REF_DATE, COUNT(*) AS NUM_REG, SUM(IF((ABS(COALESCE(CAST(X."&amp;F194&amp;" AS DECIMAL(18,6)),0)-COALESCE(CAST(Y."&amp;F194&amp;"_SIMUL AS DECIMAL(18,6)),0))&gt;0.000001) OR (X."&amp;F194&amp;" IS NULL AND Y."&amp;F194&amp;"_SIMUL IS NOT NULL ) OR (X."&amp;F194&amp;" IS NOT NULL AND Y."&amp;F194&amp;"_SIMUL IS NULL),1,0)) AS NUM_REG_DIF,'"&amp;MAX('ID1&amp;5'!K:K)+1&amp;"' AS ID_EXEC, CURRENT_TIMESTAMP() AS TIME_EXEC FROM "&amp;I194&amp;" INNER JOIN "&amp;J194&amp;" "&amp;K194,"SELECT '"&amp;UPPER(B194)&amp;"' AS TABELA, '"&amp;UPPER(C194)&amp;"' AS TIPOLOGIA_TESTE,'"&amp;D194&amp;"' AS TABELA_LT,'"&amp;E194&amp;"' AS TABELA_SIMUL,'"&amp;F194&amp;"' AS CAMPO, "&amp;"'${ref_date}' AS REF_DATE, COUNT(*) AS NUM_REG, SUM(IF(COALESCE(CAST(X."&amp;F194&amp;" AS STRING),'')&lt;&gt;COALESCE(CAST(Y."&amp;F194&amp;"_SIMUL AS STRING),'') OR (X."&amp;F194&amp;" IS NULL AND Y."&amp;F194&amp;"_SIMUL IS NOT NULL ) OR (X."&amp;F194&amp;" IS NOT NULL AND Y."&amp;F194&amp;"_SIMUL IS NULL),1,0)) AS NUM_REG_DIF,'"&amp;MAX('ID1&amp;5'!L:L)+1&amp;"' AS ID_EXEC, CURRENT_TIMESTAMP() AS TIME_EXEC FROM "&amp;I194&amp;" INNER JOIN "&amp;J194&amp;" "&amp;K194),
IF(C194="Validade",+IF(G194="Code List","SELECT '"&amp;UPPER(B194)&amp;"' AS TABELA, '"&amp;UPPER(C194)&amp;"' AS TIPOLOGIA_TESTE,'"&amp;D194&amp;"' AS TABELA_LT,'N/A' AS TABELA_SIMUL,'"&amp;F194&amp;"' AS CAMPO, "&amp;"'${ref_date}' AS REF_DATE, COUNT(*) AS NUM_REG, SUM(IF(TRIM(CAST(X."&amp;F194&amp;" AS STRING))='' OR TRIM(CAST(X."&amp;F194&amp;" AS STRING)) IS NULL OR CAST(X."&amp;F194&amp;" AS STRING) NOT "&amp;H194&amp;",1,0)) AS NUM_REG_DIF,'"&amp;MAX('ID1&amp;5'!K:K)+1&amp;"' AS ID_EXEC, CURRENT_TIMESTAMP() AS TIME_EXEC FROM "&amp;I194,"SELECT '"&amp;UPPER(B194)&amp;"' AS TABELA, '"&amp;UPPER(C194)&amp;"' AS TIPOLOGIA_TESTE,'"&amp;D194&amp;"' AS TABELA_LT,'N/A' AS TABELA_SIMUL,'"&amp;F194&amp;"' AS CAMPO, "&amp;"'${ref_date}' AS REF_DATE, COUNT(*) AS NUM_REG, SUM(IF(TRIM(CAST(X."&amp;F194&amp;" AS STRING))='' OR TRIM(CAST(X."&amp;F194&amp;" AS STRING)) IS NULL,1,0)) AS NUM_REG_DIF,'"&amp;MAX('ID1&amp;5'!K:K)+1&amp;"' AS ID_EXEC, CURRENT_TIMESTAMP() AS TIME_EXEC FROM "&amp;I194),
IF(C194="Caracteres Especiais",+"SELECT '"&amp;UPPER(B194)&amp;"' AS TABELA, '"&amp;UPPER(C194)&amp;"' AS TIPOLOGIA_TESTE,'"&amp;D194&amp;"' AS TABELA_LT,'N/A' AS TABELA_SIMUL,'"&amp;F194&amp;"' AS CAMPO, "&amp;"'${ref_date}' AS REF_DATE, COUNT(*) AS NUM_REG, SUM(IF(REGEXP_REPLACE(TRIM(CAST(X."&amp;F194&amp;" AS STRING)),'[^a-zA-Z0-9_\\s]','') &lt;&gt;TRIM(CAST(X."&amp;F194&amp;" AS STRING)),1,0)) AS NUM_REG_DIF,'"&amp;MAX('ID1&amp;5'!K:K)+1&amp;"' AS ID_EXEC, CURRENT_TIMESTAMP() AS TIME_EXEC FROM "&amp;I194,
IF(C194="Missings",+"SELECT '"&amp;UPPER(B194)&amp;"' AS TABELA, '"&amp;UPPER(C194)&amp;"' AS TIPOLOGIA_TESTE,'"&amp;D194&amp;"' AS TABELA_LT,'N/A' AS TABELA_SIMUL,'"&amp;F194&amp;"' AS CAMPO, "&amp;"'${ref_date}' AS REF_DATE, COUNT(*) AS NUM_REG, SUM(IF(TRIM(CAST(X."&amp;F194&amp;" AS STRING)) IN ('0000-00-00','0001-01-01','9999-12-31','MISS','00000','99999999999','99999999999.00','99999999999.000000'),1,0)) AS NUM_REG_DIF,'"&amp;MAX('ID1&amp;5'!K:K)+1&amp;"' AS ID_EXEC, CURRENT_TIMESTAMP() AS TIME_EXEC FROM "&amp;I194,
IF(C194="Not applicable",+"SELECT '"&amp;UPPER(B194)&amp;"' AS TABELA, '"&amp;UPPER(C194)&amp;"' AS TIPOLOGIA_TESTE,'"&amp;D194&amp;"' AS TABELA_LT,'N/A' AS TABELA_SIMUL,'"&amp;F194&amp;"' AS CAMPO, "&amp;"'${ref_date}' AS REF_DATE, COUNT(*) AS NUM_REG, SUM(IF(TRIM(CAST(X."&amp;F194&amp;" AS STRING)) IN ('N/A','11111111111','11111111111.00','11111111111.000000','1111-11-11'),1,0)) AS NUM_REG_DIF,'"&amp;MAX('ID1&amp;5'!K:K)+1&amp;"' AS ID_EXEC, CURRENT_TIMESTAMP() AS TIME_EXEC FROM "&amp;I194,
IF(C194="Valores extremos",+"SELECT '"&amp;UPPER(B194)&amp;"' AS TABELA, '"&amp;UPPER(C194)&amp;"' AS TIPOLOGIA_TESTE,'"&amp;D194&amp;"' AS TABELA_LT,'N/A' AS TABELA_SIMUL,'"&amp;F194&amp;"' AS CAMPO, "&amp;"'${ref_date}' AS REF_DATE, CAST(MIN("&amp;F194&amp;") AS STRING) AS VALOR_MIN, CAST(MAX("&amp;F194&amp;") AS STRING) AS VALOR_MAX,'"&amp;MAX('ID1&amp;5'!K:K)+1&amp;"' AS ID_EXEC, CURRENT_TIMESTAMP() AS TIME_EXEC FROM "&amp;MID(I194,1,LEN(I194)-2)&amp;" AND CAST("&amp;F194&amp;"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TABELA_SIMUL,'rcvd_amrtstn_24m' AS CAMPO, '${ref_date}' AS REF_DATE, COUNT(*) AS NUM_REG, SUM(IF(COALESCE(CAST(X.rcvd_amrtstn_24m AS STRING),'')&lt;&gt;COALESCE(CAST(Y.rcvd_amrtstn_24m_SIMUL AS STRING),'') OR (X.rcvd_amrtstn_24m IS NULL AND Y.rcvd_amrtstn_24m_SIMUL IS NOT NULL ) OR (X.rcvd_amrtstn_24m IS NOT NULL AND Y.rcvd_amrtstn_24m_SIMUL IS NULL),1,0)) AS NUM_REG_DIF,'1' AS ID_EXEC, CURRENT_TIMESTAMP() AS TIME_EXEC FROM (SELECT instrmnt_id, rcvd_amrtstn_24m FROM BU_LOANTAPE_WORK.LT002_INSTRUMENT WHERE ref_date='${ref_date}' AND nome_perimetro='Individual Local' AND segmento='ESTR' AND ambito='SRB_MBDT' AND entidade='00100')X INNER JOIN (SELECT instrmnt_id AS instrmnt_id_SIMUL, rcvd_amrtstn_24m AS rcvd_amrtstn_24m_SIMUL FROM BU_LOANTAPE_WORK.SIMUL_LT002_INSTRUMENT WHERE ref_date='${ref_date}' AND nome_perimetro='Individual Local' AND segmento='ESTR' AND ambito='PILAR3' AND entidade='00100')Y ON X.INSTRMNT_ID=Y.INSTRMNT_ID_SIMUL</v>
      </c>
      <c r="M194" s="36" t="str">
        <f t="shared" si="6"/>
        <v>UNION ALL SELECT 'INSTRUMENT' AS TABELA, 'COERÊNCIA' AS TIPOLOGIA_TESTE,'BU_LOANTAPE_WORK.LT002_INSTRUMENT' AS TABELA_LT,'BU_LOANTAPE_WORK.SIMUL_LT002_INSTRUMENT' AS TABELA_SIMUL,'rcvd_amrtstn_24m' AS CAMPO, '${ref_date}' AS REF_DATE, COUNT(*) AS NUM_REG, SUM(IF(COALESCE(CAST(X.rcvd_amrtstn_24m AS STRING),'')&lt;&gt;COALESCE(CAST(Y.rcvd_amrtstn_24m_SIMUL AS STRING),'') OR (X.rcvd_amrtstn_24m IS NULL AND Y.rcvd_amrtstn_24m_SIMUL IS NOT NULL ) OR (X.rcvd_amrtstn_24m IS NOT NULL AND Y.rcvd_amrtstn_24m_SIMUL IS NULL),1,0)) AS NUM_REG_DIF,'1' AS ID_EXEC, CURRENT_TIMESTAMP() AS TIME_EXEC FROM (SELECT instrmnt_id, rcvd_amrtstn_24m FROM BU_LOANTAPE_WORK.LT002_INSTRUMENT WHERE ref_date='${ref_date}' AND nome_perimetro='Individual Local' AND segmento='ESTR' AND ambito='SRB_MBDT' AND entidade='00100')X INNER JOIN (SELECT instrmnt_id AS instrmnt_id_SIMUL, rcvd_amrtstn_24m AS rcvd_amrtstn_24m_SIMUL FROM BU_LOANTAPE_WORK.SIMUL_LT002_INSTRUMENT WHERE ref_date='${ref_date}' AND nome_perimetro='Individual Local' AND segmento='ESTR' AND ambito='PILAR3' AND entidade='00100')Y ON X.INSTRMNT_ID=Y.INSTRMNT_ID_SIMUL</v>
      </c>
      <c r="N194" s="38"/>
    </row>
    <row r="195" spans="2:14">
      <c r="B195" s="34" t="s">
        <v>117</v>
      </c>
      <c r="C195" s="34" t="s">
        <v>5</v>
      </c>
      <c r="D195" s="34" t="str">
        <f>+UPPER('0. Instruções'!$D$35&amp;"."&amp;VLOOKUP(B195,'0. Instruções'!$C$27:$D$32,2,FALSE))</f>
        <v>BU_LOANTAPE_WORK.LT002_INSTRUMENT</v>
      </c>
      <c r="E195" s="34" t="str">
        <f>+UPPER('0. Instruções'!$D$36&amp;"."&amp;VLOOKUP(B195,'0. Instruções'!$C$27:$E$32,3,FALSE))</f>
        <v>BU_LOANTAPE_WORK.SIMUL_LT002_INSTRUMENT</v>
      </c>
      <c r="F195" s="34" t="s">
        <v>1257</v>
      </c>
      <c r="G195" s="34"/>
      <c r="H195" s="34"/>
      <c r="I195" s="34" t="str">
        <f>"(SELECT "&amp;VLOOKUP(B195,'0. Instruções'!$C$27:$G$32,4,FALSE)&amp;", "&amp;F195&amp;" FROM "&amp;D195&amp;" WHERE "&amp;'0. Instruções'!$D$42&amp;")X"</f>
        <v>(SELECT instrmnt_id, rcvd_intrst_12m FROM BU_LOANTAPE_WORK.LT002_INSTRUMENT WHERE ref_date='${ref_date}' AND nome_perimetro='Individual Local' AND segmento='ESTR' AND ambito='SRB_MBDT' AND entidade='00100')X</v>
      </c>
      <c r="J195" s="34" t="str">
        <f>"(SELECT "&amp;VLOOKUP(B195,'0. Instruções'!$C$27:$G$32,4,FALSE)&amp;" AS "&amp;VLOOKUP(B195,'0. Instruções'!$C$27:$G$32,4,FALSE)&amp;"_SIMUL, "&amp;F195&amp;" AS "&amp;F195&amp;"_SIMUL FROM "&amp;E195&amp;" WHERE "&amp;'0. Instruções'!$D$43&amp;")Y"</f>
        <v>(SELECT instrmnt_id AS instrmnt_id_SIMUL, rcvd_intrst_12m AS rcvd_intrst_12m_SIMUL FROM BU_LOANTAPE_WORK.SIMUL_LT002_INSTRUMENT WHERE ref_date='${ref_date}' AND nome_perimetro='Individual Local' AND segmento='ESTR' AND ambito='PILAR3' AND entidade='00100')Y</v>
      </c>
      <c r="K195" s="35" t="str">
        <f>+UPPER("ON X."&amp;VLOOKUP(B195,'0. Instruções'!$C$27:$G$32,4,FALSE)&amp;"=Y."&amp;VLOOKUP(B195,'0. Instruções'!$C$27:$G$32,4,FALSE)&amp;"_SIMUL")</f>
        <v>ON X.INSTRMNT_ID=Y.INSTRMNT_ID_SIMUL</v>
      </c>
      <c r="L195" s="35" t="str">
        <f>+IF(C195="Coerência", +IF(LEFT(G195,5)="FLOAT","SELECT '"&amp;UPPER(B195)&amp;"' AS TABELA, '"&amp;UPPER(C195)&amp;"' AS TIPOLOGIA_TESTE,'"&amp;D195&amp;"' AS TABELA_LT,'"&amp;E195&amp;"' AS TABELA_SIMUL,'"&amp;F195&amp;"' AS CAMPO, "&amp;"'${ref_date}' AS REF_DATE, COUNT(*) AS NUM_REG, SUM(IF((ABS(COALESCE(CAST(X."&amp;F195&amp;" AS DECIMAL(18,6)),0)-COALESCE(CAST(Y."&amp;F195&amp;"_SIMUL AS DECIMAL(18,6)),0))&gt;0.000001) OR (X."&amp;F195&amp;" IS NULL AND Y."&amp;F195&amp;"_SIMUL IS NOT NULL ) OR (X."&amp;F195&amp;" IS NOT NULL AND Y."&amp;F195&amp;"_SIMUL IS NULL),1,0)) AS NUM_REG_DIF,'"&amp;MAX('ID1&amp;5'!K:K)+1&amp;"' AS ID_EXEC, CURRENT_TIMESTAMP() AS TIME_EXEC FROM "&amp;I195&amp;" INNER JOIN "&amp;J195&amp;" "&amp;K195,"SELECT '"&amp;UPPER(B195)&amp;"' AS TABELA, '"&amp;UPPER(C195)&amp;"' AS TIPOLOGIA_TESTE,'"&amp;D195&amp;"' AS TABELA_LT,'"&amp;E195&amp;"' AS TABELA_SIMUL,'"&amp;F195&amp;"' AS CAMPO, "&amp;"'${ref_date}' AS REF_DATE, COUNT(*) AS NUM_REG, SUM(IF(COALESCE(CAST(X."&amp;F195&amp;" AS STRING),'')&lt;&gt;COALESCE(CAST(Y."&amp;F195&amp;"_SIMUL AS STRING),'') OR (X."&amp;F195&amp;" IS NULL AND Y."&amp;F195&amp;"_SIMUL IS NOT NULL ) OR (X."&amp;F195&amp;" IS NOT NULL AND Y."&amp;F195&amp;"_SIMUL IS NULL),1,0)) AS NUM_REG_DIF,'"&amp;MAX('ID1&amp;5'!L:L)+1&amp;"' AS ID_EXEC, CURRENT_TIMESTAMP() AS TIME_EXEC FROM "&amp;I195&amp;" INNER JOIN "&amp;J195&amp;" "&amp;K195),
IF(C195="Validade",+IF(G195="Code List","SELECT '"&amp;UPPER(B195)&amp;"' AS TABELA, '"&amp;UPPER(C195)&amp;"' AS TIPOLOGIA_TESTE,'"&amp;D195&amp;"' AS TABELA_LT,'N/A' AS TABELA_SIMUL,'"&amp;F195&amp;"' AS CAMPO, "&amp;"'${ref_date}' AS REF_DATE, COUNT(*) AS NUM_REG, SUM(IF(TRIM(CAST(X."&amp;F195&amp;" AS STRING))='' OR TRIM(CAST(X."&amp;F195&amp;" AS STRING)) IS NULL OR CAST(X."&amp;F195&amp;" AS STRING) NOT "&amp;H195&amp;",1,0)) AS NUM_REG_DIF,'"&amp;MAX('ID1&amp;5'!K:K)+1&amp;"' AS ID_EXEC, CURRENT_TIMESTAMP() AS TIME_EXEC FROM "&amp;I195,"SELECT '"&amp;UPPER(B195)&amp;"' AS TABELA, '"&amp;UPPER(C195)&amp;"' AS TIPOLOGIA_TESTE,'"&amp;D195&amp;"' AS TABELA_LT,'N/A' AS TABELA_SIMUL,'"&amp;F195&amp;"' AS CAMPO, "&amp;"'${ref_date}' AS REF_DATE, COUNT(*) AS NUM_REG, SUM(IF(TRIM(CAST(X."&amp;F195&amp;" AS STRING))='' OR TRIM(CAST(X."&amp;F195&amp;" AS STRING)) IS NULL,1,0)) AS NUM_REG_DIF,'"&amp;MAX('ID1&amp;5'!K:K)+1&amp;"' AS ID_EXEC, CURRENT_TIMESTAMP() AS TIME_EXEC FROM "&amp;I195),
IF(C195="Caracteres Especiais",+"SELECT '"&amp;UPPER(B195)&amp;"' AS TABELA, '"&amp;UPPER(C195)&amp;"' AS TIPOLOGIA_TESTE,'"&amp;D195&amp;"' AS TABELA_LT,'N/A' AS TABELA_SIMUL,'"&amp;F195&amp;"' AS CAMPO, "&amp;"'${ref_date}' AS REF_DATE, COUNT(*) AS NUM_REG, SUM(IF(REGEXP_REPLACE(TRIM(CAST(X."&amp;F195&amp;" AS STRING)),'[^a-zA-Z0-9_\\s]','') &lt;&gt;TRIM(CAST(X."&amp;F195&amp;" AS STRING)),1,0)) AS NUM_REG_DIF,'"&amp;MAX('ID1&amp;5'!K:K)+1&amp;"' AS ID_EXEC, CURRENT_TIMESTAMP() AS TIME_EXEC FROM "&amp;I195,
IF(C195="Missings",+"SELECT '"&amp;UPPER(B195)&amp;"' AS TABELA, '"&amp;UPPER(C195)&amp;"' AS TIPOLOGIA_TESTE,'"&amp;D195&amp;"' AS TABELA_LT,'N/A' AS TABELA_SIMUL,'"&amp;F195&amp;"' AS CAMPO, "&amp;"'${ref_date}' AS REF_DATE, COUNT(*) AS NUM_REG, SUM(IF(TRIM(CAST(X."&amp;F195&amp;" AS STRING)) IN ('0000-00-00','0001-01-01','9999-12-31','MISS','00000','99999999999','99999999999.00','99999999999.000000'),1,0)) AS NUM_REG_DIF,'"&amp;MAX('ID1&amp;5'!K:K)+1&amp;"' AS ID_EXEC, CURRENT_TIMESTAMP() AS TIME_EXEC FROM "&amp;I195,
IF(C195="Not applicable",+"SELECT '"&amp;UPPER(B195)&amp;"' AS TABELA, '"&amp;UPPER(C195)&amp;"' AS TIPOLOGIA_TESTE,'"&amp;D195&amp;"' AS TABELA_LT,'N/A' AS TABELA_SIMUL,'"&amp;F195&amp;"' AS CAMPO, "&amp;"'${ref_date}' AS REF_DATE, COUNT(*) AS NUM_REG, SUM(IF(TRIM(CAST(X."&amp;F195&amp;" AS STRING)) IN ('N/A','11111111111','11111111111.00','11111111111.000000','1111-11-11'),1,0)) AS NUM_REG_DIF,'"&amp;MAX('ID1&amp;5'!K:K)+1&amp;"' AS ID_EXEC, CURRENT_TIMESTAMP() AS TIME_EXEC FROM "&amp;I195,
IF(C195="Valores extremos",+"SELECT '"&amp;UPPER(B195)&amp;"' AS TABELA, '"&amp;UPPER(C195)&amp;"' AS TIPOLOGIA_TESTE,'"&amp;D195&amp;"' AS TABELA_LT,'N/A' AS TABELA_SIMUL,'"&amp;F195&amp;"' AS CAMPO, "&amp;"'${ref_date}' AS REF_DATE, CAST(MIN("&amp;F195&amp;") AS STRING) AS VALOR_MIN, CAST(MAX("&amp;F195&amp;") AS STRING) AS VALOR_MAX,'"&amp;MAX('ID1&amp;5'!K:K)+1&amp;"' AS ID_EXEC, CURRENT_TIMESTAMP() AS TIME_EXEC FROM "&amp;MID(I195,1,LEN(I195)-2)&amp;" AND CAST("&amp;F195&amp;"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TABELA_SIMUL,'rcvd_intrst_12m' AS CAMPO, '${ref_date}' AS REF_DATE, COUNT(*) AS NUM_REG, SUM(IF(COALESCE(CAST(X.rcvd_intrst_12m AS STRING),'')&lt;&gt;COALESCE(CAST(Y.rcvd_intrst_12m_SIMUL AS STRING),'') OR (X.rcvd_intrst_12m IS NULL AND Y.rcvd_intrst_12m_SIMUL IS NOT NULL ) OR (X.rcvd_intrst_12m IS NOT NULL AND Y.rcvd_intrst_12m_SIMUL IS NULL),1,0)) AS NUM_REG_DIF,'1' AS ID_EXEC, CURRENT_TIMESTAMP() AS TIME_EXEC FROM (SELECT instrmnt_id, rcvd_intrst_12m FROM BU_LOANTAPE_WORK.LT002_INSTRUMENT WHERE ref_date='${ref_date}' AND nome_perimetro='Individual Local' AND segmento='ESTR' AND ambito='SRB_MBDT' AND entidade='00100')X INNER JOIN (SELECT instrmnt_id AS instrmnt_id_SIMUL, rcvd_intrst_12m AS rcvd_intrst_12m_SIMUL FROM BU_LOANTAPE_WORK.SIMUL_LT002_INSTRUMENT WHERE ref_date='${ref_date}' AND nome_perimetro='Individual Local' AND segmento='ESTR' AND ambito='PILAR3' AND entidade='00100')Y ON X.INSTRMNT_ID=Y.INSTRMNT_ID_SIMUL</v>
      </c>
      <c r="M195" s="36" t="str">
        <f t="shared" si="6"/>
        <v>UNION ALL SELECT 'INSTRUMENT' AS TABELA, 'COERÊNCIA' AS TIPOLOGIA_TESTE,'BU_LOANTAPE_WORK.LT002_INSTRUMENT' AS TABELA_LT,'BU_LOANTAPE_WORK.SIMUL_LT002_INSTRUMENT' AS TABELA_SIMUL,'rcvd_intrst_12m' AS CAMPO, '${ref_date}' AS REF_DATE, COUNT(*) AS NUM_REG, SUM(IF(COALESCE(CAST(X.rcvd_intrst_12m AS STRING),'')&lt;&gt;COALESCE(CAST(Y.rcvd_intrst_12m_SIMUL AS STRING),'') OR (X.rcvd_intrst_12m IS NULL AND Y.rcvd_intrst_12m_SIMUL IS NOT NULL ) OR (X.rcvd_intrst_12m IS NOT NULL AND Y.rcvd_intrst_12m_SIMUL IS NULL),1,0)) AS NUM_REG_DIF,'1' AS ID_EXEC, CURRENT_TIMESTAMP() AS TIME_EXEC FROM (SELECT instrmnt_id, rcvd_intrst_12m FROM BU_LOANTAPE_WORK.LT002_INSTRUMENT WHERE ref_date='${ref_date}' AND nome_perimetro='Individual Local' AND segmento='ESTR' AND ambito='SRB_MBDT' AND entidade='00100')X INNER JOIN (SELECT instrmnt_id AS instrmnt_id_SIMUL, rcvd_intrst_12m AS rcvd_intrst_12m_SIMUL FROM BU_LOANTAPE_WORK.SIMUL_LT002_INSTRUMENT WHERE ref_date='${ref_date}' AND nome_perimetro='Individual Local' AND segmento='ESTR' AND ambito='PILAR3' AND entidade='00100')Y ON X.INSTRMNT_ID=Y.INSTRMNT_ID_SIMUL</v>
      </c>
      <c r="N195" s="38"/>
    </row>
    <row r="196" spans="2:14">
      <c r="B196" s="34" t="s">
        <v>117</v>
      </c>
      <c r="C196" s="34" t="s">
        <v>5</v>
      </c>
      <c r="D196" s="34" t="str">
        <f>+UPPER('0. Instruções'!$D$35&amp;"."&amp;VLOOKUP(B196,'0. Instruções'!$C$27:$D$32,2,FALSE))</f>
        <v>BU_LOANTAPE_WORK.LT002_INSTRUMENT</v>
      </c>
      <c r="E196" s="34" t="str">
        <f>+UPPER('0. Instruções'!$D$36&amp;"."&amp;VLOOKUP(B196,'0. Instruções'!$C$27:$E$32,3,FALSE))</f>
        <v>BU_LOANTAPE_WORK.SIMUL_LT002_INSTRUMENT</v>
      </c>
      <c r="F196" s="34" t="s">
        <v>1258</v>
      </c>
      <c r="G196" s="34"/>
      <c r="H196" s="34"/>
      <c r="I196" s="34" t="str">
        <f>"(SELECT "&amp;VLOOKUP(B196,'0. Instruções'!$C$27:$G$32,4,FALSE)&amp;", "&amp;F196&amp;" FROM "&amp;D196&amp;" WHERE "&amp;'0. Instruções'!$D$42&amp;")X"</f>
        <v>(SELECT instrmnt_id, rcvd_intrst_24m FROM BU_LOANTAPE_WORK.LT002_INSTRUMENT WHERE ref_date='${ref_date}' AND nome_perimetro='Individual Local' AND segmento='ESTR' AND ambito='SRB_MBDT' AND entidade='00100')X</v>
      </c>
      <c r="J196" s="34" t="str">
        <f>"(SELECT "&amp;VLOOKUP(B196,'0. Instruções'!$C$27:$G$32,4,FALSE)&amp;" AS "&amp;VLOOKUP(B196,'0. Instruções'!$C$27:$G$32,4,FALSE)&amp;"_SIMUL, "&amp;F196&amp;" AS "&amp;F196&amp;"_SIMUL FROM "&amp;E196&amp;" WHERE "&amp;'0. Instruções'!$D$43&amp;")Y"</f>
        <v>(SELECT instrmnt_id AS instrmnt_id_SIMUL, rcvd_intrst_24m AS rcvd_intrst_24m_SIMUL FROM BU_LOANTAPE_WORK.SIMUL_LT002_INSTRUMENT WHERE ref_date='${ref_date}' AND nome_perimetro='Individual Local' AND segmento='ESTR' AND ambito='PILAR3' AND entidade='00100')Y</v>
      </c>
      <c r="K196" s="35" t="str">
        <f>+UPPER("ON X."&amp;VLOOKUP(B196,'0. Instruções'!$C$27:$G$32,4,FALSE)&amp;"=Y."&amp;VLOOKUP(B196,'0. Instruções'!$C$27:$G$32,4,FALSE)&amp;"_SIMUL")</f>
        <v>ON X.INSTRMNT_ID=Y.INSTRMNT_ID_SIMUL</v>
      </c>
      <c r="L196" s="35" t="str">
        <f>+IF(C196="Coerência", +IF(LEFT(G196,5)="FLOAT","SELECT '"&amp;UPPER(B196)&amp;"' AS TABELA, '"&amp;UPPER(C196)&amp;"' AS TIPOLOGIA_TESTE,'"&amp;D196&amp;"' AS TABELA_LT,'"&amp;E196&amp;"' AS TABELA_SIMUL,'"&amp;F196&amp;"' AS CAMPO, "&amp;"'${ref_date}' AS REF_DATE, COUNT(*) AS NUM_REG, SUM(IF((ABS(COALESCE(CAST(X."&amp;F196&amp;" AS DECIMAL(18,6)),0)-COALESCE(CAST(Y."&amp;F196&amp;"_SIMUL AS DECIMAL(18,6)),0))&gt;0.000001) OR (X."&amp;F196&amp;" IS NULL AND Y."&amp;F196&amp;"_SIMUL IS NOT NULL ) OR (X."&amp;F196&amp;" IS NOT NULL AND Y."&amp;F196&amp;"_SIMUL IS NULL),1,0)) AS NUM_REG_DIF,'"&amp;MAX('ID1&amp;5'!K:K)+1&amp;"' AS ID_EXEC, CURRENT_TIMESTAMP() AS TIME_EXEC FROM "&amp;I196&amp;" INNER JOIN "&amp;J196&amp;" "&amp;K196,"SELECT '"&amp;UPPER(B196)&amp;"' AS TABELA, '"&amp;UPPER(C196)&amp;"' AS TIPOLOGIA_TESTE,'"&amp;D196&amp;"' AS TABELA_LT,'"&amp;E196&amp;"' AS TABELA_SIMUL,'"&amp;F196&amp;"' AS CAMPO, "&amp;"'${ref_date}' AS REF_DATE, COUNT(*) AS NUM_REG, SUM(IF(COALESCE(CAST(X."&amp;F196&amp;" AS STRING),'')&lt;&gt;COALESCE(CAST(Y."&amp;F196&amp;"_SIMUL AS STRING),'') OR (X."&amp;F196&amp;" IS NULL AND Y."&amp;F196&amp;"_SIMUL IS NOT NULL ) OR (X."&amp;F196&amp;" IS NOT NULL AND Y."&amp;F196&amp;"_SIMUL IS NULL),1,0)) AS NUM_REG_DIF,'"&amp;MAX('ID1&amp;5'!L:L)+1&amp;"' AS ID_EXEC, CURRENT_TIMESTAMP() AS TIME_EXEC FROM "&amp;I196&amp;" INNER JOIN "&amp;J196&amp;" "&amp;K196),
IF(C196="Validade",+IF(G196="Code List","SELECT '"&amp;UPPER(B196)&amp;"' AS TABELA, '"&amp;UPPER(C196)&amp;"' AS TIPOLOGIA_TESTE,'"&amp;D196&amp;"' AS TABELA_LT,'N/A' AS TABELA_SIMUL,'"&amp;F196&amp;"' AS CAMPO, "&amp;"'${ref_date}' AS REF_DATE, COUNT(*) AS NUM_REG, SUM(IF(TRIM(CAST(X."&amp;F196&amp;" AS STRING))='' OR TRIM(CAST(X."&amp;F196&amp;" AS STRING)) IS NULL OR CAST(X."&amp;F196&amp;" AS STRING) NOT "&amp;H196&amp;",1,0)) AS NUM_REG_DIF,'"&amp;MAX('ID1&amp;5'!K:K)+1&amp;"' AS ID_EXEC, CURRENT_TIMESTAMP() AS TIME_EXEC FROM "&amp;I196,"SELECT '"&amp;UPPER(B196)&amp;"' AS TABELA, '"&amp;UPPER(C196)&amp;"' AS TIPOLOGIA_TESTE,'"&amp;D196&amp;"' AS TABELA_LT,'N/A' AS TABELA_SIMUL,'"&amp;F196&amp;"' AS CAMPO, "&amp;"'${ref_date}' AS REF_DATE, COUNT(*) AS NUM_REG, SUM(IF(TRIM(CAST(X."&amp;F196&amp;" AS STRING))='' OR TRIM(CAST(X."&amp;F196&amp;" AS STRING)) IS NULL,1,0)) AS NUM_REG_DIF,'"&amp;MAX('ID1&amp;5'!K:K)+1&amp;"' AS ID_EXEC, CURRENT_TIMESTAMP() AS TIME_EXEC FROM "&amp;I196),
IF(C196="Caracteres Especiais",+"SELECT '"&amp;UPPER(B196)&amp;"' AS TABELA, '"&amp;UPPER(C196)&amp;"' AS TIPOLOGIA_TESTE,'"&amp;D196&amp;"' AS TABELA_LT,'N/A' AS TABELA_SIMUL,'"&amp;F196&amp;"' AS CAMPO, "&amp;"'${ref_date}' AS REF_DATE, COUNT(*) AS NUM_REG, SUM(IF(REGEXP_REPLACE(TRIM(CAST(X."&amp;F196&amp;" AS STRING)),'[^a-zA-Z0-9_\\s]','') &lt;&gt;TRIM(CAST(X."&amp;F196&amp;" AS STRING)),1,0)) AS NUM_REG_DIF,'"&amp;MAX('ID1&amp;5'!K:K)+1&amp;"' AS ID_EXEC, CURRENT_TIMESTAMP() AS TIME_EXEC FROM "&amp;I196,
IF(C196="Missings",+"SELECT '"&amp;UPPER(B196)&amp;"' AS TABELA, '"&amp;UPPER(C196)&amp;"' AS TIPOLOGIA_TESTE,'"&amp;D196&amp;"' AS TABELA_LT,'N/A' AS TABELA_SIMUL,'"&amp;F196&amp;"' AS CAMPO, "&amp;"'${ref_date}' AS REF_DATE, COUNT(*) AS NUM_REG, SUM(IF(TRIM(CAST(X."&amp;F196&amp;" AS STRING)) IN ('0000-00-00','0001-01-01','9999-12-31','MISS','00000','99999999999','99999999999.00','99999999999.000000'),1,0)) AS NUM_REG_DIF,'"&amp;MAX('ID1&amp;5'!K:K)+1&amp;"' AS ID_EXEC, CURRENT_TIMESTAMP() AS TIME_EXEC FROM "&amp;I196,
IF(C196="Not applicable",+"SELECT '"&amp;UPPER(B196)&amp;"' AS TABELA, '"&amp;UPPER(C196)&amp;"' AS TIPOLOGIA_TESTE,'"&amp;D196&amp;"' AS TABELA_LT,'N/A' AS TABELA_SIMUL,'"&amp;F196&amp;"' AS CAMPO, "&amp;"'${ref_date}' AS REF_DATE, COUNT(*) AS NUM_REG, SUM(IF(TRIM(CAST(X."&amp;F196&amp;" AS STRING)) IN ('N/A','11111111111','11111111111.00','11111111111.000000','1111-11-11'),1,0)) AS NUM_REG_DIF,'"&amp;MAX('ID1&amp;5'!K:K)+1&amp;"' AS ID_EXEC, CURRENT_TIMESTAMP() AS TIME_EXEC FROM "&amp;I196,
IF(C196="Valores extremos",+"SELECT '"&amp;UPPER(B196)&amp;"' AS TABELA, '"&amp;UPPER(C196)&amp;"' AS TIPOLOGIA_TESTE,'"&amp;D196&amp;"' AS TABELA_LT,'N/A' AS TABELA_SIMUL,'"&amp;F196&amp;"' AS CAMPO, "&amp;"'${ref_date}' AS REF_DATE, CAST(MIN("&amp;F196&amp;") AS STRING) AS VALOR_MIN, CAST(MAX("&amp;F196&amp;") AS STRING) AS VALOR_MAX,'"&amp;MAX('ID1&amp;5'!K:K)+1&amp;"' AS ID_EXEC, CURRENT_TIMESTAMP() AS TIME_EXEC FROM "&amp;MID(I196,1,LEN(I196)-2)&amp;" AND CAST("&amp;F196&amp;"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TABELA_SIMUL,'rcvd_intrst_24m' AS CAMPO, '${ref_date}' AS REF_DATE, COUNT(*) AS NUM_REG, SUM(IF(COALESCE(CAST(X.rcvd_intrst_24m AS STRING),'')&lt;&gt;COALESCE(CAST(Y.rcvd_intrst_24m_SIMUL AS STRING),'') OR (X.rcvd_intrst_24m IS NULL AND Y.rcvd_intrst_24m_SIMUL IS NOT NULL ) OR (X.rcvd_intrst_24m IS NOT NULL AND Y.rcvd_intrst_24m_SIMUL IS NULL),1,0)) AS NUM_REG_DIF,'1' AS ID_EXEC, CURRENT_TIMESTAMP() AS TIME_EXEC FROM (SELECT instrmnt_id, rcvd_intrst_24m FROM BU_LOANTAPE_WORK.LT002_INSTRUMENT WHERE ref_date='${ref_date}' AND nome_perimetro='Individual Local' AND segmento='ESTR' AND ambito='SRB_MBDT' AND entidade='00100')X INNER JOIN (SELECT instrmnt_id AS instrmnt_id_SIMUL, rcvd_intrst_24m AS rcvd_intrst_24m_SIMUL FROM BU_LOANTAPE_WORK.SIMUL_LT002_INSTRUMENT WHERE ref_date='${ref_date}' AND nome_perimetro='Individual Local' AND segmento='ESTR' AND ambito='PILAR3' AND entidade='00100')Y ON X.INSTRMNT_ID=Y.INSTRMNT_ID_SIMUL</v>
      </c>
      <c r="M196" s="36" t="str">
        <f t="shared" si="6"/>
        <v>UNION ALL SELECT 'INSTRUMENT' AS TABELA, 'COERÊNCIA' AS TIPOLOGIA_TESTE,'BU_LOANTAPE_WORK.LT002_INSTRUMENT' AS TABELA_LT,'BU_LOANTAPE_WORK.SIMUL_LT002_INSTRUMENT' AS TABELA_SIMUL,'rcvd_intrst_24m' AS CAMPO, '${ref_date}' AS REF_DATE, COUNT(*) AS NUM_REG, SUM(IF(COALESCE(CAST(X.rcvd_intrst_24m AS STRING),'')&lt;&gt;COALESCE(CAST(Y.rcvd_intrst_24m_SIMUL AS STRING),'') OR (X.rcvd_intrst_24m IS NULL AND Y.rcvd_intrst_24m_SIMUL IS NOT NULL ) OR (X.rcvd_intrst_24m IS NOT NULL AND Y.rcvd_intrst_24m_SIMUL IS NULL),1,0)) AS NUM_REG_DIF,'1' AS ID_EXEC, CURRENT_TIMESTAMP() AS TIME_EXEC FROM (SELECT instrmnt_id, rcvd_intrst_24m FROM BU_LOANTAPE_WORK.LT002_INSTRUMENT WHERE ref_date='${ref_date}' AND nome_perimetro='Individual Local' AND segmento='ESTR' AND ambito='SRB_MBDT' AND entidade='00100')X INNER JOIN (SELECT instrmnt_id AS instrmnt_id_SIMUL, rcvd_intrst_24m AS rcvd_intrst_24m_SIMUL FROM BU_LOANTAPE_WORK.SIMUL_LT002_INSTRUMENT WHERE ref_date='${ref_date}' AND nome_perimetro='Individual Local' AND segmento='ESTR' AND ambito='PILAR3' AND entidade='00100')Y ON X.INSTRMNT_ID=Y.INSTRMNT_ID_SIMUL</v>
      </c>
      <c r="N196" s="38"/>
    </row>
    <row r="197" spans="2:14">
      <c r="B197" s="34" t="s">
        <v>117</v>
      </c>
      <c r="C197" s="34" t="s">
        <v>5</v>
      </c>
      <c r="D197" s="34" t="str">
        <f>+UPPER('0. Instruções'!$D$35&amp;"."&amp;VLOOKUP(B197,'0. Instruções'!$C$27:$D$32,2,FALSE))</f>
        <v>BU_LOANTAPE_WORK.LT002_INSTRUMENT</v>
      </c>
      <c r="E197" s="34" t="str">
        <f>+UPPER('0. Instruções'!$D$36&amp;"."&amp;VLOOKUP(B197,'0. Instruções'!$C$27:$E$32,3,FALSE))</f>
        <v>BU_LOANTAPE_WORK.SIMUL_LT002_INSTRUMENT</v>
      </c>
      <c r="F197" s="34" t="s">
        <v>1259</v>
      </c>
      <c r="G197" s="34"/>
      <c r="H197" s="34"/>
      <c r="I197" s="34" t="str">
        <f>"(SELECT "&amp;VLOOKUP(B197,'0. Instruções'!$C$27:$G$32,4,FALSE)&amp;", "&amp;F197&amp;" FROM "&amp;D197&amp;" WHERE "&amp;'0. Instruções'!$D$42&amp;")X"</f>
        <v>(SELECT instrmnt_id, syndct_rl FROM BU_LOANTAPE_WORK.LT002_INSTRUMENT WHERE ref_date='${ref_date}' AND nome_perimetro='Individual Local' AND segmento='ESTR' AND ambito='SRB_MBDT' AND entidade='00100')X</v>
      </c>
      <c r="J197" s="34" t="str">
        <f>"(SELECT "&amp;VLOOKUP(B197,'0. Instruções'!$C$27:$G$32,4,FALSE)&amp;" AS "&amp;VLOOKUP(B197,'0. Instruções'!$C$27:$G$32,4,FALSE)&amp;"_SIMUL, "&amp;F197&amp;" AS "&amp;F197&amp;"_SIMUL FROM "&amp;E197&amp;" WHERE "&amp;'0. Instruções'!$D$43&amp;")Y"</f>
        <v>(SELECT instrmnt_id AS instrmnt_id_SIMUL, syndct_rl AS syndct_rl_SIMUL FROM BU_LOANTAPE_WORK.SIMUL_LT002_INSTRUMENT WHERE ref_date='${ref_date}' AND nome_perimetro='Individual Local' AND segmento='ESTR' AND ambito='PILAR3' AND entidade='00100')Y</v>
      </c>
      <c r="K197" s="35" t="str">
        <f>+UPPER("ON X."&amp;VLOOKUP(B197,'0. Instruções'!$C$27:$G$32,4,FALSE)&amp;"=Y."&amp;VLOOKUP(B197,'0. Instruções'!$C$27:$G$32,4,FALSE)&amp;"_SIMUL")</f>
        <v>ON X.INSTRMNT_ID=Y.INSTRMNT_ID_SIMUL</v>
      </c>
      <c r="L197" s="35" t="str">
        <f>+IF(C197="Coerência", +IF(LEFT(G197,5)="FLOAT","SELECT '"&amp;UPPER(B197)&amp;"' AS TABELA, '"&amp;UPPER(C197)&amp;"' AS TIPOLOGIA_TESTE,'"&amp;D197&amp;"' AS TABELA_LT,'"&amp;E197&amp;"' AS TABELA_SIMUL,'"&amp;F197&amp;"' AS CAMPO, "&amp;"'${ref_date}' AS REF_DATE, COUNT(*) AS NUM_REG, SUM(IF((ABS(COALESCE(CAST(X."&amp;F197&amp;" AS DECIMAL(18,6)),0)-COALESCE(CAST(Y."&amp;F197&amp;"_SIMUL AS DECIMAL(18,6)),0))&gt;0.000001) OR (X."&amp;F197&amp;" IS NULL AND Y."&amp;F197&amp;"_SIMUL IS NOT NULL ) OR (X."&amp;F197&amp;" IS NOT NULL AND Y."&amp;F197&amp;"_SIMUL IS NULL),1,0)) AS NUM_REG_DIF,'"&amp;MAX('ID1&amp;5'!K:K)+1&amp;"' AS ID_EXEC, CURRENT_TIMESTAMP() AS TIME_EXEC FROM "&amp;I197&amp;" INNER JOIN "&amp;J197&amp;" "&amp;K197,"SELECT '"&amp;UPPER(B197)&amp;"' AS TABELA, '"&amp;UPPER(C197)&amp;"' AS TIPOLOGIA_TESTE,'"&amp;D197&amp;"' AS TABELA_LT,'"&amp;E197&amp;"' AS TABELA_SIMUL,'"&amp;F197&amp;"' AS CAMPO, "&amp;"'${ref_date}' AS REF_DATE, COUNT(*) AS NUM_REG, SUM(IF(COALESCE(CAST(X."&amp;F197&amp;" AS STRING),'')&lt;&gt;COALESCE(CAST(Y."&amp;F197&amp;"_SIMUL AS STRING),'') OR (X."&amp;F197&amp;" IS NULL AND Y."&amp;F197&amp;"_SIMUL IS NOT NULL ) OR (X."&amp;F197&amp;" IS NOT NULL AND Y."&amp;F197&amp;"_SIMUL IS NULL),1,0)) AS NUM_REG_DIF,'"&amp;MAX('ID1&amp;5'!L:L)+1&amp;"' AS ID_EXEC, CURRENT_TIMESTAMP() AS TIME_EXEC FROM "&amp;I197&amp;" INNER JOIN "&amp;J197&amp;" "&amp;K197),
IF(C197="Validade",+IF(G197="Code List","SELECT '"&amp;UPPER(B197)&amp;"' AS TABELA, '"&amp;UPPER(C197)&amp;"' AS TIPOLOGIA_TESTE,'"&amp;D197&amp;"' AS TABELA_LT,'N/A' AS TABELA_SIMUL,'"&amp;F197&amp;"' AS CAMPO, "&amp;"'${ref_date}' AS REF_DATE, COUNT(*) AS NUM_REG, SUM(IF(TRIM(CAST(X."&amp;F197&amp;" AS STRING))='' OR TRIM(CAST(X."&amp;F197&amp;" AS STRING)) IS NULL OR CAST(X."&amp;F197&amp;" AS STRING) NOT "&amp;H197&amp;",1,0)) AS NUM_REG_DIF,'"&amp;MAX('ID1&amp;5'!K:K)+1&amp;"' AS ID_EXEC, CURRENT_TIMESTAMP() AS TIME_EXEC FROM "&amp;I197,"SELECT '"&amp;UPPER(B197)&amp;"' AS TABELA, '"&amp;UPPER(C197)&amp;"' AS TIPOLOGIA_TESTE,'"&amp;D197&amp;"' AS TABELA_LT,'N/A' AS TABELA_SIMUL,'"&amp;F197&amp;"' AS CAMPO, "&amp;"'${ref_date}' AS REF_DATE, COUNT(*) AS NUM_REG, SUM(IF(TRIM(CAST(X."&amp;F197&amp;" AS STRING))='' OR TRIM(CAST(X."&amp;F197&amp;" AS STRING)) IS NULL,1,0)) AS NUM_REG_DIF,'"&amp;MAX('ID1&amp;5'!K:K)+1&amp;"' AS ID_EXEC, CURRENT_TIMESTAMP() AS TIME_EXEC FROM "&amp;I197),
IF(C197="Caracteres Especiais",+"SELECT '"&amp;UPPER(B197)&amp;"' AS TABELA, '"&amp;UPPER(C197)&amp;"' AS TIPOLOGIA_TESTE,'"&amp;D197&amp;"' AS TABELA_LT,'N/A' AS TABELA_SIMUL,'"&amp;F197&amp;"' AS CAMPO, "&amp;"'${ref_date}' AS REF_DATE, COUNT(*) AS NUM_REG, SUM(IF(REGEXP_REPLACE(TRIM(CAST(X."&amp;F197&amp;" AS STRING)),'[^a-zA-Z0-9_\\s]','') &lt;&gt;TRIM(CAST(X."&amp;F197&amp;" AS STRING)),1,0)) AS NUM_REG_DIF,'"&amp;MAX('ID1&amp;5'!K:K)+1&amp;"' AS ID_EXEC, CURRENT_TIMESTAMP() AS TIME_EXEC FROM "&amp;I197,
IF(C197="Missings",+"SELECT '"&amp;UPPER(B197)&amp;"' AS TABELA, '"&amp;UPPER(C197)&amp;"' AS TIPOLOGIA_TESTE,'"&amp;D197&amp;"' AS TABELA_LT,'N/A' AS TABELA_SIMUL,'"&amp;F197&amp;"' AS CAMPO, "&amp;"'${ref_date}' AS REF_DATE, COUNT(*) AS NUM_REG, SUM(IF(TRIM(CAST(X."&amp;F197&amp;" AS STRING)) IN ('0000-00-00','0001-01-01','9999-12-31','MISS','00000','99999999999','99999999999.00','99999999999.000000'),1,0)) AS NUM_REG_DIF,'"&amp;MAX('ID1&amp;5'!K:K)+1&amp;"' AS ID_EXEC, CURRENT_TIMESTAMP() AS TIME_EXEC FROM "&amp;I197,
IF(C197="Not applicable",+"SELECT '"&amp;UPPER(B197)&amp;"' AS TABELA, '"&amp;UPPER(C197)&amp;"' AS TIPOLOGIA_TESTE,'"&amp;D197&amp;"' AS TABELA_LT,'N/A' AS TABELA_SIMUL,'"&amp;F197&amp;"' AS CAMPO, "&amp;"'${ref_date}' AS REF_DATE, COUNT(*) AS NUM_REG, SUM(IF(TRIM(CAST(X."&amp;F197&amp;" AS STRING)) IN ('N/A','11111111111','11111111111.00','11111111111.000000','1111-11-11'),1,0)) AS NUM_REG_DIF,'"&amp;MAX('ID1&amp;5'!K:K)+1&amp;"' AS ID_EXEC, CURRENT_TIMESTAMP() AS TIME_EXEC FROM "&amp;I197,
IF(C197="Valores extremos",+"SELECT '"&amp;UPPER(B197)&amp;"' AS TABELA, '"&amp;UPPER(C197)&amp;"' AS TIPOLOGIA_TESTE,'"&amp;D197&amp;"' AS TABELA_LT,'N/A' AS TABELA_SIMUL,'"&amp;F197&amp;"' AS CAMPO, "&amp;"'${ref_date}' AS REF_DATE, CAST(MIN("&amp;F197&amp;") AS STRING) AS VALOR_MIN, CAST(MAX("&amp;F197&amp;") AS STRING) AS VALOR_MAX,'"&amp;MAX('ID1&amp;5'!K:K)+1&amp;"' AS ID_EXEC, CURRENT_TIMESTAMP() AS TIME_EXEC FROM "&amp;MID(I197,1,LEN(I197)-2)&amp;" AND CAST("&amp;F197&amp;"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TABELA_SIMUL,'syndct_rl' AS CAMPO, '${ref_date}' AS REF_DATE, COUNT(*) AS NUM_REG, SUM(IF(COALESCE(CAST(X.syndct_rl AS STRING),'')&lt;&gt;COALESCE(CAST(Y.syndct_rl_SIMUL AS STRING),'') OR (X.syndct_rl IS NULL AND Y.syndct_rl_SIMUL IS NOT NULL ) OR (X.syndct_rl IS NOT NULL AND Y.syndct_rl_SIMUL IS NULL),1,0)) AS NUM_REG_DIF,'1' AS ID_EXEC, CURRENT_TIMESTAMP() AS TIME_EXEC FROM (SELECT instrmnt_id, syndct_rl FROM BU_LOANTAPE_WORK.LT002_INSTRUMENT WHERE ref_date='${ref_date}' AND nome_perimetro='Individual Local' AND segmento='ESTR' AND ambito='SRB_MBDT' AND entidade='00100')X INNER JOIN (SELECT instrmnt_id AS instrmnt_id_SIMUL, syndct_rl AS syndct_rl_SIMUL FROM BU_LOANTAPE_WORK.SIMUL_LT002_INSTRUMENT WHERE ref_date='${ref_date}' AND nome_perimetro='Individual Local' AND segmento='ESTR' AND ambito='PILAR3' AND entidade='00100')Y ON X.INSTRMNT_ID=Y.INSTRMNT_ID_SIMUL</v>
      </c>
      <c r="M197" s="36" t="str">
        <f t="shared" si="6"/>
        <v>UNION ALL SELECT 'INSTRUMENT' AS TABELA, 'COERÊNCIA' AS TIPOLOGIA_TESTE,'BU_LOANTAPE_WORK.LT002_INSTRUMENT' AS TABELA_LT,'BU_LOANTAPE_WORK.SIMUL_LT002_INSTRUMENT' AS TABELA_SIMUL,'syndct_rl' AS CAMPO, '${ref_date}' AS REF_DATE, COUNT(*) AS NUM_REG, SUM(IF(COALESCE(CAST(X.syndct_rl AS STRING),'')&lt;&gt;COALESCE(CAST(Y.syndct_rl_SIMUL AS STRING),'') OR (X.syndct_rl IS NULL AND Y.syndct_rl_SIMUL IS NOT NULL ) OR (X.syndct_rl IS NOT NULL AND Y.syndct_rl_SIMUL IS NULL),1,0)) AS NUM_REG_DIF,'1' AS ID_EXEC, CURRENT_TIMESTAMP() AS TIME_EXEC FROM (SELECT instrmnt_id, syndct_rl FROM BU_LOANTAPE_WORK.LT002_INSTRUMENT WHERE ref_date='${ref_date}' AND nome_perimetro='Individual Local' AND segmento='ESTR' AND ambito='SRB_MBDT' AND entidade='00100')X INNER JOIN (SELECT instrmnt_id AS instrmnt_id_SIMUL, syndct_rl AS syndct_rl_SIMUL FROM BU_LOANTAPE_WORK.SIMUL_LT002_INSTRUMENT WHERE ref_date='${ref_date}' AND nome_perimetro='Individual Local' AND segmento='ESTR' AND ambito='PILAR3' AND entidade='00100')Y ON X.INSTRMNT_ID=Y.INSTRMNT_ID_SIMUL</v>
      </c>
      <c r="N197" s="38"/>
    </row>
    <row r="198" spans="2:14">
      <c r="B198" s="34" t="s">
        <v>117</v>
      </c>
      <c r="C198" s="34" t="s">
        <v>5</v>
      </c>
      <c r="D198" s="34" t="str">
        <f>+UPPER('0. Instruções'!$D$35&amp;"."&amp;VLOOKUP(B198,'0. Instruções'!$C$27:$D$32,2,FALSE))</f>
        <v>BU_LOANTAPE_WORK.LT002_INSTRUMENT</v>
      </c>
      <c r="E198" s="34" t="str">
        <f>+UPPER('0. Instruções'!$D$36&amp;"."&amp;VLOOKUP(B198,'0. Instruções'!$C$27:$E$32,3,FALSE))</f>
        <v>BU_LOANTAPE_WORK.SIMUL_LT002_INSTRUMENT</v>
      </c>
      <c r="F198" s="34" t="s">
        <v>1260</v>
      </c>
      <c r="G198" s="34"/>
      <c r="H198" s="34"/>
      <c r="I198" s="34" t="str">
        <f>"(SELECT "&amp;VLOOKUP(B198,'0. Instruções'!$C$27:$G$32,4,FALSE)&amp;", "&amp;F198&amp;" FROM "&amp;D198&amp;" WHERE "&amp;'0. Instruções'!$D$42&amp;")X"</f>
        <v>(SELECT instrmnt_id, syndctd_agnt FROM BU_LOANTAPE_WORK.LT002_INSTRUMENT WHERE ref_date='${ref_date}' AND nome_perimetro='Individual Local' AND segmento='ESTR' AND ambito='SRB_MBDT' AND entidade='00100')X</v>
      </c>
      <c r="J198" s="34" t="str">
        <f>"(SELECT "&amp;VLOOKUP(B198,'0. Instruções'!$C$27:$G$32,4,FALSE)&amp;" AS "&amp;VLOOKUP(B198,'0. Instruções'!$C$27:$G$32,4,FALSE)&amp;"_SIMUL, "&amp;F198&amp;" AS "&amp;F198&amp;"_SIMUL FROM "&amp;E198&amp;" WHERE "&amp;'0. Instruções'!$D$43&amp;")Y"</f>
        <v>(SELECT instrmnt_id AS instrmnt_id_SIMUL, syndctd_agnt AS syndctd_agnt_SIMUL FROM BU_LOANTAPE_WORK.SIMUL_LT002_INSTRUMENT WHERE ref_date='${ref_date}' AND nome_perimetro='Individual Local' AND segmento='ESTR' AND ambito='PILAR3' AND entidade='00100')Y</v>
      </c>
      <c r="K198" s="35" t="str">
        <f>+UPPER("ON X."&amp;VLOOKUP(B198,'0. Instruções'!$C$27:$G$32,4,FALSE)&amp;"=Y."&amp;VLOOKUP(B198,'0. Instruções'!$C$27:$G$32,4,FALSE)&amp;"_SIMUL")</f>
        <v>ON X.INSTRMNT_ID=Y.INSTRMNT_ID_SIMUL</v>
      </c>
      <c r="L198" s="35" t="str">
        <f>+IF(C198="Coerência", +IF(LEFT(G198,5)="FLOAT","SELECT '"&amp;UPPER(B198)&amp;"' AS TABELA, '"&amp;UPPER(C198)&amp;"' AS TIPOLOGIA_TESTE,'"&amp;D198&amp;"' AS TABELA_LT,'"&amp;E198&amp;"' AS TABELA_SIMUL,'"&amp;F198&amp;"' AS CAMPO, "&amp;"'${ref_date}' AS REF_DATE, COUNT(*) AS NUM_REG, SUM(IF((ABS(COALESCE(CAST(X."&amp;F198&amp;" AS DECIMAL(18,6)),0)-COALESCE(CAST(Y."&amp;F198&amp;"_SIMUL AS DECIMAL(18,6)),0))&gt;0.000001) OR (X."&amp;F198&amp;" IS NULL AND Y."&amp;F198&amp;"_SIMUL IS NOT NULL ) OR (X."&amp;F198&amp;" IS NOT NULL AND Y."&amp;F198&amp;"_SIMUL IS NULL),1,0)) AS NUM_REG_DIF,'"&amp;MAX('ID1&amp;5'!K:K)+1&amp;"' AS ID_EXEC, CURRENT_TIMESTAMP() AS TIME_EXEC FROM "&amp;I198&amp;" INNER JOIN "&amp;J198&amp;" "&amp;K198,"SELECT '"&amp;UPPER(B198)&amp;"' AS TABELA, '"&amp;UPPER(C198)&amp;"' AS TIPOLOGIA_TESTE,'"&amp;D198&amp;"' AS TABELA_LT,'"&amp;E198&amp;"' AS TABELA_SIMUL,'"&amp;F198&amp;"' AS CAMPO, "&amp;"'${ref_date}' AS REF_DATE, COUNT(*) AS NUM_REG, SUM(IF(COALESCE(CAST(X."&amp;F198&amp;" AS STRING),'')&lt;&gt;COALESCE(CAST(Y."&amp;F198&amp;"_SIMUL AS STRING),'') OR (X."&amp;F198&amp;" IS NULL AND Y."&amp;F198&amp;"_SIMUL IS NOT NULL ) OR (X."&amp;F198&amp;" IS NOT NULL AND Y."&amp;F198&amp;"_SIMUL IS NULL),1,0)) AS NUM_REG_DIF,'"&amp;MAX('ID1&amp;5'!L:L)+1&amp;"' AS ID_EXEC, CURRENT_TIMESTAMP() AS TIME_EXEC FROM "&amp;I198&amp;" INNER JOIN "&amp;J198&amp;" "&amp;K198),
IF(C198="Validade",+IF(G198="Code List","SELECT '"&amp;UPPER(B198)&amp;"' AS TABELA, '"&amp;UPPER(C198)&amp;"' AS TIPOLOGIA_TESTE,'"&amp;D198&amp;"' AS TABELA_LT,'N/A' AS TABELA_SIMUL,'"&amp;F198&amp;"' AS CAMPO, "&amp;"'${ref_date}' AS REF_DATE, COUNT(*) AS NUM_REG, SUM(IF(TRIM(CAST(X."&amp;F198&amp;" AS STRING))='' OR TRIM(CAST(X."&amp;F198&amp;" AS STRING)) IS NULL OR CAST(X."&amp;F198&amp;" AS STRING) NOT "&amp;H198&amp;",1,0)) AS NUM_REG_DIF,'"&amp;MAX('ID1&amp;5'!K:K)+1&amp;"' AS ID_EXEC, CURRENT_TIMESTAMP() AS TIME_EXEC FROM "&amp;I198,"SELECT '"&amp;UPPER(B198)&amp;"' AS TABELA, '"&amp;UPPER(C198)&amp;"' AS TIPOLOGIA_TESTE,'"&amp;D198&amp;"' AS TABELA_LT,'N/A' AS TABELA_SIMUL,'"&amp;F198&amp;"' AS CAMPO, "&amp;"'${ref_date}' AS REF_DATE, COUNT(*) AS NUM_REG, SUM(IF(TRIM(CAST(X."&amp;F198&amp;" AS STRING))='' OR TRIM(CAST(X."&amp;F198&amp;" AS STRING)) IS NULL,1,0)) AS NUM_REG_DIF,'"&amp;MAX('ID1&amp;5'!K:K)+1&amp;"' AS ID_EXEC, CURRENT_TIMESTAMP() AS TIME_EXEC FROM "&amp;I198),
IF(C198="Caracteres Especiais",+"SELECT '"&amp;UPPER(B198)&amp;"' AS TABELA, '"&amp;UPPER(C198)&amp;"' AS TIPOLOGIA_TESTE,'"&amp;D198&amp;"' AS TABELA_LT,'N/A' AS TABELA_SIMUL,'"&amp;F198&amp;"' AS CAMPO, "&amp;"'${ref_date}' AS REF_DATE, COUNT(*) AS NUM_REG, SUM(IF(REGEXP_REPLACE(TRIM(CAST(X."&amp;F198&amp;" AS STRING)),'[^a-zA-Z0-9_\\s]','') &lt;&gt;TRIM(CAST(X."&amp;F198&amp;" AS STRING)),1,0)) AS NUM_REG_DIF,'"&amp;MAX('ID1&amp;5'!K:K)+1&amp;"' AS ID_EXEC, CURRENT_TIMESTAMP() AS TIME_EXEC FROM "&amp;I198,
IF(C198="Missings",+"SELECT '"&amp;UPPER(B198)&amp;"' AS TABELA, '"&amp;UPPER(C198)&amp;"' AS TIPOLOGIA_TESTE,'"&amp;D198&amp;"' AS TABELA_LT,'N/A' AS TABELA_SIMUL,'"&amp;F198&amp;"' AS CAMPO, "&amp;"'${ref_date}' AS REF_DATE, COUNT(*) AS NUM_REG, SUM(IF(TRIM(CAST(X."&amp;F198&amp;" AS STRING)) IN ('0000-00-00','0001-01-01','9999-12-31','MISS','00000','99999999999','99999999999.00','99999999999.000000'),1,0)) AS NUM_REG_DIF,'"&amp;MAX('ID1&amp;5'!K:K)+1&amp;"' AS ID_EXEC, CURRENT_TIMESTAMP() AS TIME_EXEC FROM "&amp;I198,
IF(C198="Not applicable",+"SELECT '"&amp;UPPER(B198)&amp;"' AS TABELA, '"&amp;UPPER(C198)&amp;"' AS TIPOLOGIA_TESTE,'"&amp;D198&amp;"' AS TABELA_LT,'N/A' AS TABELA_SIMUL,'"&amp;F198&amp;"' AS CAMPO, "&amp;"'${ref_date}' AS REF_DATE, COUNT(*) AS NUM_REG, SUM(IF(TRIM(CAST(X."&amp;F198&amp;" AS STRING)) IN ('N/A','11111111111','11111111111.00','11111111111.000000','1111-11-11'),1,0)) AS NUM_REG_DIF,'"&amp;MAX('ID1&amp;5'!K:K)+1&amp;"' AS ID_EXEC, CURRENT_TIMESTAMP() AS TIME_EXEC FROM "&amp;I198,
IF(C198="Valores extremos",+"SELECT '"&amp;UPPER(B198)&amp;"' AS TABELA, '"&amp;UPPER(C198)&amp;"' AS TIPOLOGIA_TESTE,'"&amp;D198&amp;"' AS TABELA_LT,'N/A' AS TABELA_SIMUL,'"&amp;F198&amp;"' AS CAMPO, "&amp;"'${ref_date}' AS REF_DATE, CAST(MIN("&amp;F198&amp;") AS STRING) AS VALOR_MIN, CAST(MAX("&amp;F198&amp;") AS STRING) AS VALOR_MAX,'"&amp;MAX('ID1&amp;5'!K:K)+1&amp;"' AS ID_EXEC, CURRENT_TIMESTAMP() AS TIME_EXEC FROM "&amp;MID(I198,1,LEN(I198)-2)&amp;" AND CAST("&amp;F198&amp;"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TABELA_SIMUL,'syndctd_agnt' AS CAMPO, '${ref_date}' AS REF_DATE, COUNT(*) AS NUM_REG, SUM(IF(COALESCE(CAST(X.syndctd_agnt AS STRING),'')&lt;&gt;COALESCE(CAST(Y.syndctd_agnt_SIMUL AS STRING),'') OR (X.syndctd_agnt IS NULL AND Y.syndctd_agnt_SIMUL IS NOT NULL ) OR (X.syndctd_agnt IS NOT NULL AND Y.syndctd_agnt_SIMUL IS NULL),1,0)) AS NUM_REG_DIF,'1' AS ID_EXEC, CURRENT_TIMESTAMP() AS TIME_EXEC FROM (SELECT instrmnt_id, syndctd_agnt FROM BU_LOANTAPE_WORK.LT002_INSTRUMENT WHERE ref_date='${ref_date}' AND nome_perimetro='Individual Local' AND segmento='ESTR' AND ambito='SRB_MBDT' AND entidade='00100')X INNER JOIN (SELECT instrmnt_id AS instrmnt_id_SIMUL, syndctd_agnt AS syndctd_agnt_SIMUL FROM BU_LOANTAPE_WORK.SIMUL_LT002_INSTRUMENT WHERE ref_date='${ref_date}' AND nome_perimetro='Individual Local' AND segmento='ESTR' AND ambito='PILAR3' AND entidade='00100')Y ON X.INSTRMNT_ID=Y.INSTRMNT_ID_SIMUL</v>
      </c>
      <c r="M198" s="36" t="str">
        <f t="shared" si="6"/>
        <v>UNION ALL SELECT 'INSTRUMENT' AS TABELA, 'COERÊNCIA' AS TIPOLOGIA_TESTE,'BU_LOANTAPE_WORK.LT002_INSTRUMENT' AS TABELA_LT,'BU_LOANTAPE_WORK.SIMUL_LT002_INSTRUMENT' AS TABELA_SIMUL,'syndctd_agnt' AS CAMPO, '${ref_date}' AS REF_DATE, COUNT(*) AS NUM_REG, SUM(IF(COALESCE(CAST(X.syndctd_agnt AS STRING),'')&lt;&gt;COALESCE(CAST(Y.syndctd_agnt_SIMUL AS STRING),'') OR (X.syndctd_agnt IS NULL AND Y.syndctd_agnt_SIMUL IS NOT NULL ) OR (X.syndctd_agnt IS NOT NULL AND Y.syndctd_agnt_SIMUL IS NULL),1,0)) AS NUM_REG_DIF,'1' AS ID_EXEC, CURRENT_TIMESTAMP() AS TIME_EXEC FROM (SELECT instrmnt_id, syndctd_agnt FROM BU_LOANTAPE_WORK.LT002_INSTRUMENT WHERE ref_date='${ref_date}' AND nome_perimetro='Individual Local' AND segmento='ESTR' AND ambito='SRB_MBDT' AND entidade='00100')X INNER JOIN (SELECT instrmnt_id AS instrmnt_id_SIMUL, syndctd_agnt AS syndctd_agnt_SIMUL FROM BU_LOANTAPE_WORK.SIMUL_LT002_INSTRUMENT WHERE ref_date='${ref_date}' AND nome_perimetro='Individual Local' AND segmento='ESTR' AND ambito='PILAR3' AND entidade='00100')Y ON X.INSTRMNT_ID=Y.INSTRMNT_ID_SIMUL</v>
      </c>
      <c r="N198" s="38"/>
    </row>
    <row r="199" spans="2:14">
      <c r="B199" s="34" t="s">
        <v>117</v>
      </c>
      <c r="C199" s="34" t="s">
        <v>5</v>
      </c>
      <c r="D199" s="34" t="str">
        <f>+UPPER('0. Instruções'!$D$35&amp;"."&amp;VLOOKUP(B199,'0. Instruções'!$C$27:$D$32,2,FALSE))</f>
        <v>BU_LOANTAPE_WORK.LT002_INSTRUMENT</v>
      </c>
      <c r="E199" s="34" t="str">
        <f>+UPPER('0. Instruções'!$D$36&amp;"."&amp;VLOOKUP(B199,'0. Instruções'!$C$27:$E$32,3,FALSE))</f>
        <v>BU_LOANTAPE_WORK.SIMUL_LT002_INSTRUMENT</v>
      </c>
      <c r="F199" s="34" t="s">
        <v>1261</v>
      </c>
      <c r="G199" s="34"/>
      <c r="H199" s="34"/>
      <c r="I199" s="34" t="str">
        <f>"(SELECT "&amp;VLOOKUP(B199,'0. Instruções'!$C$27:$G$32,4,FALSE)&amp;", "&amp;F199&amp;" FROM "&amp;D199&amp;" WHERE "&amp;'0. Instruções'!$D$42&amp;")X"</f>
        <v>(SELECT instrmnt_id, syndctd_cntrct_id FROM BU_LOANTAPE_WORK.LT002_INSTRUMENT WHERE ref_date='${ref_date}' AND nome_perimetro='Individual Local' AND segmento='ESTR' AND ambito='SRB_MBDT' AND entidade='00100')X</v>
      </c>
      <c r="J199" s="34" t="str">
        <f>"(SELECT "&amp;VLOOKUP(B199,'0. Instruções'!$C$27:$G$32,4,FALSE)&amp;" AS "&amp;VLOOKUP(B199,'0. Instruções'!$C$27:$G$32,4,FALSE)&amp;"_SIMUL, "&amp;F199&amp;" AS "&amp;F199&amp;"_SIMUL FROM "&amp;E199&amp;" WHERE "&amp;'0. Instruções'!$D$43&amp;")Y"</f>
        <v>(SELECT instrmnt_id AS instrmnt_id_SIMUL, syndctd_cntrct_id AS syndctd_cntrct_id_SIMUL FROM BU_LOANTAPE_WORK.SIMUL_LT002_INSTRUMENT WHERE ref_date='${ref_date}' AND nome_perimetro='Individual Local' AND segmento='ESTR' AND ambito='PILAR3' AND entidade='00100')Y</v>
      </c>
      <c r="K199" s="35" t="str">
        <f>+UPPER("ON X."&amp;VLOOKUP(B199,'0. Instruções'!$C$27:$G$32,4,FALSE)&amp;"=Y."&amp;VLOOKUP(B199,'0. Instruções'!$C$27:$G$32,4,FALSE)&amp;"_SIMUL")</f>
        <v>ON X.INSTRMNT_ID=Y.INSTRMNT_ID_SIMUL</v>
      </c>
      <c r="L199" s="35" t="str">
        <f>+IF(C199="Coerência", +IF(LEFT(G199,5)="FLOAT","SELECT '"&amp;UPPER(B199)&amp;"' AS TABELA, '"&amp;UPPER(C199)&amp;"' AS TIPOLOGIA_TESTE,'"&amp;D199&amp;"' AS TABELA_LT,'"&amp;E199&amp;"' AS TABELA_SIMUL,'"&amp;F199&amp;"' AS CAMPO, "&amp;"'${ref_date}' AS REF_DATE, COUNT(*) AS NUM_REG, SUM(IF((ABS(COALESCE(CAST(X."&amp;F199&amp;" AS DECIMAL(18,6)),0)-COALESCE(CAST(Y."&amp;F199&amp;"_SIMUL AS DECIMAL(18,6)),0))&gt;0.000001) OR (X."&amp;F199&amp;" IS NULL AND Y."&amp;F199&amp;"_SIMUL IS NOT NULL ) OR (X."&amp;F199&amp;" IS NOT NULL AND Y."&amp;F199&amp;"_SIMUL IS NULL),1,0)) AS NUM_REG_DIF,'"&amp;MAX('ID1&amp;5'!K:K)+1&amp;"' AS ID_EXEC, CURRENT_TIMESTAMP() AS TIME_EXEC FROM "&amp;I199&amp;" INNER JOIN "&amp;J199&amp;" "&amp;K199,"SELECT '"&amp;UPPER(B199)&amp;"' AS TABELA, '"&amp;UPPER(C199)&amp;"' AS TIPOLOGIA_TESTE,'"&amp;D199&amp;"' AS TABELA_LT,'"&amp;E199&amp;"' AS TABELA_SIMUL,'"&amp;F199&amp;"' AS CAMPO, "&amp;"'${ref_date}' AS REF_DATE, COUNT(*) AS NUM_REG, SUM(IF(COALESCE(CAST(X."&amp;F199&amp;" AS STRING),'')&lt;&gt;COALESCE(CAST(Y."&amp;F199&amp;"_SIMUL AS STRING),'') OR (X."&amp;F199&amp;" IS NULL AND Y."&amp;F199&amp;"_SIMUL IS NOT NULL ) OR (X."&amp;F199&amp;" IS NOT NULL AND Y."&amp;F199&amp;"_SIMUL IS NULL),1,0)) AS NUM_REG_DIF,'"&amp;MAX('ID1&amp;5'!L:L)+1&amp;"' AS ID_EXEC, CURRENT_TIMESTAMP() AS TIME_EXEC FROM "&amp;I199&amp;" INNER JOIN "&amp;J199&amp;" "&amp;K199),
IF(C199="Validade",+IF(G199="Code List","SELECT '"&amp;UPPER(B199)&amp;"' AS TABELA, '"&amp;UPPER(C199)&amp;"' AS TIPOLOGIA_TESTE,'"&amp;D199&amp;"' AS TABELA_LT,'N/A' AS TABELA_SIMUL,'"&amp;F199&amp;"' AS CAMPO, "&amp;"'${ref_date}' AS REF_DATE, COUNT(*) AS NUM_REG, SUM(IF(TRIM(CAST(X."&amp;F199&amp;" AS STRING))='' OR TRIM(CAST(X."&amp;F199&amp;" AS STRING)) IS NULL OR CAST(X."&amp;F199&amp;" AS STRING) NOT "&amp;H199&amp;",1,0)) AS NUM_REG_DIF,'"&amp;MAX('ID1&amp;5'!K:K)+1&amp;"' AS ID_EXEC, CURRENT_TIMESTAMP() AS TIME_EXEC FROM "&amp;I199,"SELECT '"&amp;UPPER(B199)&amp;"' AS TABELA, '"&amp;UPPER(C199)&amp;"' AS TIPOLOGIA_TESTE,'"&amp;D199&amp;"' AS TABELA_LT,'N/A' AS TABELA_SIMUL,'"&amp;F199&amp;"' AS CAMPO, "&amp;"'${ref_date}' AS REF_DATE, COUNT(*) AS NUM_REG, SUM(IF(TRIM(CAST(X."&amp;F199&amp;" AS STRING))='' OR TRIM(CAST(X."&amp;F199&amp;" AS STRING)) IS NULL,1,0)) AS NUM_REG_DIF,'"&amp;MAX('ID1&amp;5'!K:K)+1&amp;"' AS ID_EXEC, CURRENT_TIMESTAMP() AS TIME_EXEC FROM "&amp;I199),
IF(C199="Caracteres Especiais",+"SELECT '"&amp;UPPER(B199)&amp;"' AS TABELA, '"&amp;UPPER(C199)&amp;"' AS TIPOLOGIA_TESTE,'"&amp;D199&amp;"' AS TABELA_LT,'N/A' AS TABELA_SIMUL,'"&amp;F199&amp;"' AS CAMPO, "&amp;"'${ref_date}' AS REF_DATE, COUNT(*) AS NUM_REG, SUM(IF(REGEXP_REPLACE(TRIM(CAST(X."&amp;F199&amp;" AS STRING)),'[^a-zA-Z0-9_\\s]','') &lt;&gt;TRIM(CAST(X."&amp;F199&amp;" AS STRING)),1,0)) AS NUM_REG_DIF,'"&amp;MAX('ID1&amp;5'!K:K)+1&amp;"' AS ID_EXEC, CURRENT_TIMESTAMP() AS TIME_EXEC FROM "&amp;I199,
IF(C199="Missings",+"SELECT '"&amp;UPPER(B199)&amp;"' AS TABELA, '"&amp;UPPER(C199)&amp;"' AS TIPOLOGIA_TESTE,'"&amp;D199&amp;"' AS TABELA_LT,'N/A' AS TABELA_SIMUL,'"&amp;F199&amp;"' AS CAMPO, "&amp;"'${ref_date}' AS REF_DATE, COUNT(*) AS NUM_REG, SUM(IF(TRIM(CAST(X."&amp;F199&amp;" AS STRING)) IN ('0000-00-00','0001-01-01','9999-12-31','MISS','00000','99999999999','99999999999.00','99999999999.000000'),1,0)) AS NUM_REG_DIF,'"&amp;MAX('ID1&amp;5'!K:K)+1&amp;"' AS ID_EXEC, CURRENT_TIMESTAMP() AS TIME_EXEC FROM "&amp;I199,
IF(C199="Not applicable",+"SELECT '"&amp;UPPER(B199)&amp;"' AS TABELA, '"&amp;UPPER(C199)&amp;"' AS TIPOLOGIA_TESTE,'"&amp;D199&amp;"' AS TABELA_LT,'N/A' AS TABELA_SIMUL,'"&amp;F199&amp;"' AS CAMPO, "&amp;"'${ref_date}' AS REF_DATE, COUNT(*) AS NUM_REG, SUM(IF(TRIM(CAST(X."&amp;F199&amp;" AS STRING)) IN ('N/A','11111111111','11111111111.00','11111111111.000000','1111-11-11'),1,0)) AS NUM_REG_DIF,'"&amp;MAX('ID1&amp;5'!K:K)+1&amp;"' AS ID_EXEC, CURRENT_TIMESTAMP() AS TIME_EXEC FROM "&amp;I199,
IF(C199="Valores extremos",+"SELECT '"&amp;UPPER(B199)&amp;"' AS TABELA, '"&amp;UPPER(C199)&amp;"' AS TIPOLOGIA_TESTE,'"&amp;D199&amp;"' AS TABELA_LT,'N/A' AS TABELA_SIMUL,'"&amp;F199&amp;"' AS CAMPO, "&amp;"'${ref_date}' AS REF_DATE, CAST(MIN("&amp;F199&amp;") AS STRING) AS VALOR_MIN, CAST(MAX("&amp;F199&amp;") AS STRING) AS VALOR_MAX,'"&amp;MAX('ID1&amp;5'!K:K)+1&amp;"' AS ID_EXEC, CURRENT_TIMESTAMP() AS TIME_EXEC FROM "&amp;MID(I199,1,LEN(I199)-2)&amp;" AND CAST("&amp;F199&amp;"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TABELA_SIMUL,'syndctd_cntrct_id' AS CAMPO, '${ref_date}' AS REF_DATE, COUNT(*) AS NUM_REG, SUM(IF(COALESCE(CAST(X.syndctd_cntrct_id AS STRING),'')&lt;&gt;COALESCE(CAST(Y.syndctd_cntrct_id_SIMUL AS STRING),'') OR (X.syndctd_cntrct_id IS NULL AND Y.syndctd_cntrct_id_SIMUL IS NOT NULL ) OR (X.syndctd_cntrct_id IS NOT NULL AND Y.syndctd_cntrct_id_SIMUL IS NULL),1,0)) AS NUM_REG_DIF,'1' AS ID_EXEC, CURRENT_TIMESTAMP() AS TIME_EXEC FROM (SELECT instrmnt_id, syndctd_cntrct_id FROM BU_LOANTAPE_WORK.LT002_INSTRUMENT WHERE ref_date='${ref_date}' AND nome_perimetro='Individual Local' AND segmento='ESTR' AND ambito='SRB_MBDT' AND entidade='00100')X INNER JOIN (SELECT instrmnt_id AS instrmnt_id_SIMUL, syndctd_cntrct_id AS syndctd_cntrct_id_SIMUL FROM BU_LOANTAPE_WORK.SIMUL_LT002_INSTRUMENT WHERE ref_date='${ref_date}' AND nome_perimetro='Individual Local' AND segmento='ESTR' AND ambito='PILAR3' AND entidade='00100')Y ON X.INSTRMNT_ID=Y.INSTRMNT_ID_SIMUL</v>
      </c>
      <c r="M199" s="36" t="str">
        <f t="shared" si="6"/>
        <v>UNION ALL SELECT 'INSTRUMENT' AS TABELA, 'COERÊNCIA' AS TIPOLOGIA_TESTE,'BU_LOANTAPE_WORK.LT002_INSTRUMENT' AS TABELA_LT,'BU_LOANTAPE_WORK.SIMUL_LT002_INSTRUMENT' AS TABELA_SIMUL,'syndctd_cntrct_id' AS CAMPO, '${ref_date}' AS REF_DATE, COUNT(*) AS NUM_REG, SUM(IF(COALESCE(CAST(X.syndctd_cntrct_id AS STRING),'')&lt;&gt;COALESCE(CAST(Y.syndctd_cntrct_id_SIMUL AS STRING),'') OR (X.syndctd_cntrct_id IS NULL AND Y.syndctd_cntrct_id_SIMUL IS NOT NULL ) OR (X.syndctd_cntrct_id IS NOT NULL AND Y.syndctd_cntrct_id_SIMUL IS NULL),1,0)) AS NUM_REG_DIF,'1' AS ID_EXEC, CURRENT_TIMESTAMP() AS TIME_EXEC FROM (SELECT instrmnt_id, syndctd_cntrct_id FROM BU_LOANTAPE_WORK.LT002_INSTRUMENT WHERE ref_date='${ref_date}' AND nome_perimetro='Individual Local' AND segmento='ESTR' AND ambito='SRB_MBDT' AND entidade='00100')X INNER JOIN (SELECT instrmnt_id AS instrmnt_id_SIMUL, syndctd_cntrct_id AS syndctd_cntrct_id_SIMUL FROM BU_LOANTAPE_WORK.SIMUL_LT002_INSTRUMENT WHERE ref_date='${ref_date}' AND nome_perimetro='Individual Local' AND segmento='ESTR' AND ambito='PILAR3' AND entidade='00100')Y ON X.INSTRMNT_ID=Y.INSTRMNT_ID_SIMUL</v>
      </c>
      <c r="N199" s="38"/>
    </row>
    <row r="200" spans="2:14">
      <c r="B200" s="34" t="s">
        <v>117</v>
      </c>
      <c r="C200" s="34" t="s">
        <v>5</v>
      </c>
      <c r="D200" s="34" t="str">
        <f>+UPPER('0. Instruções'!$D$35&amp;"."&amp;VLOOKUP(B200,'0. Instruções'!$C$27:$D$32,2,FALSE))</f>
        <v>BU_LOANTAPE_WORK.LT002_INSTRUMENT</v>
      </c>
      <c r="E200" s="34" t="str">
        <f>+UPPER('0. Instruções'!$D$36&amp;"."&amp;VLOOKUP(B200,'0. Instruções'!$C$27:$E$32,3,FALSE))</f>
        <v>BU_LOANTAPE_WORK.SIMUL_LT002_INSTRUMENT</v>
      </c>
      <c r="F200" s="34" t="s">
        <v>1262</v>
      </c>
      <c r="G200" s="34"/>
      <c r="H200" s="34"/>
      <c r="I200" s="34" t="str">
        <f>"(SELECT "&amp;VLOOKUP(B200,'0. Instruções'!$C$27:$G$32,4,FALSE)&amp;", "&amp;F200&amp;" FROM "&amp;D200&amp;" WHERE "&amp;'0. Instruções'!$D$42&amp;")X"</f>
        <v>(SELECT instrmnt_id, syndctd_lndrs FROM BU_LOANTAPE_WORK.LT002_INSTRUMENT WHERE ref_date='${ref_date}' AND nome_perimetro='Individual Local' AND segmento='ESTR' AND ambito='SRB_MBDT' AND entidade='00100')X</v>
      </c>
      <c r="J200" s="34" t="str">
        <f>"(SELECT "&amp;VLOOKUP(B200,'0. Instruções'!$C$27:$G$32,4,FALSE)&amp;" AS "&amp;VLOOKUP(B200,'0. Instruções'!$C$27:$G$32,4,FALSE)&amp;"_SIMUL, "&amp;F200&amp;" AS "&amp;F200&amp;"_SIMUL FROM "&amp;E200&amp;" WHERE "&amp;'0. Instruções'!$D$43&amp;")Y"</f>
        <v>(SELECT instrmnt_id AS instrmnt_id_SIMUL, syndctd_lndrs AS syndctd_lndrs_SIMUL FROM BU_LOANTAPE_WORK.SIMUL_LT002_INSTRUMENT WHERE ref_date='${ref_date}' AND nome_perimetro='Individual Local' AND segmento='ESTR' AND ambito='PILAR3' AND entidade='00100')Y</v>
      </c>
      <c r="K200" s="35" t="str">
        <f>+UPPER("ON X."&amp;VLOOKUP(B200,'0. Instruções'!$C$27:$G$32,4,FALSE)&amp;"=Y."&amp;VLOOKUP(B200,'0. Instruções'!$C$27:$G$32,4,FALSE)&amp;"_SIMUL")</f>
        <v>ON X.INSTRMNT_ID=Y.INSTRMNT_ID_SIMUL</v>
      </c>
      <c r="L200" s="35" t="str">
        <f>+IF(C200="Coerência", +IF(LEFT(G200,5)="FLOAT","SELECT '"&amp;UPPER(B200)&amp;"' AS TABELA, '"&amp;UPPER(C200)&amp;"' AS TIPOLOGIA_TESTE,'"&amp;D200&amp;"' AS TABELA_LT,'"&amp;E200&amp;"' AS TABELA_SIMUL,'"&amp;F200&amp;"' AS CAMPO, "&amp;"'${ref_date}' AS REF_DATE, COUNT(*) AS NUM_REG, SUM(IF((ABS(COALESCE(CAST(X."&amp;F200&amp;" AS DECIMAL(18,6)),0)-COALESCE(CAST(Y."&amp;F200&amp;"_SIMUL AS DECIMAL(18,6)),0))&gt;0.000001) OR (X."&amp;F200&amp;" IS NULL AND Y."&amp;F200&amp;"_SIMUL IS NOT NULL ) OR (X."&amp;F200&amp;" IS NOT NULL AND Y."&amp;F200&amp;"_SIMUL IS NULL),1,0)) AS NUM_REG_DIF,'"&amp;MAX('ID1&amp;5'!K:K)+1&amp;"' AS ID_EXEC, CURRENT_TIMESTAMP() AS TIME_EXEC FROM "&amp;I200&amp;" INNER JOIN "&amp;J200&amp;" "&amp;K200,"SELECT '"&amp;UPPER(B200)&amp;"' AS TABELA, '"&amp;UPPER(C200)&amp;"' AS TIPOLOGIA_TESTE,'"&amp;D200&amp;"' AS TABELA_LT,'"&amp;E200&amp;"' AS TABELA_SIMUL,'"&amp;F200&amp;"' AS CAMPO, "&amp;"'${ref_date}' AS REF_DATE, COUNT(*) AS NUM_REG, SUM(IF(COALESCE(CAST(X."&amp;F200&amp;" AS STRING),'')&lt;&gt;COALESCE(CAST(Y."&amp;F200&amp;"_SIMUL AS STRING),'') OR (X."&amp;F200&amp;" IS NULL AND Y."&amp;F200&amp;"_SIMUL IS NOT NULL ) OR (X."&amp;F200&amp;" IS NOT NULL AND Y."&amp;F200&amp;"_SIMUL IS NULL),1,0)) AS NUM_REG_DIF,'"&amp;MAX('ID1&amp;5'!L:L)+1&amp;"' AS ID_EXEC, CURRENT_TIMESTAMP() AS TIME_EXEC FROM "&amp;I200&amp;" INNER JOIN "&amp;J200&amp;" "&amp;K200),
IF(C200="Validade",+IF(G200="Code List","SELECT '"&amp;UPPER(B200)&amp;"' AS TABELA, '"&amp;UPPER(C200)&amp;"' AS TIPOLOGIA_TESTE,'"&amp;D200&amp;"' AS TABELA_LT,'N/A' AS TABELA_SIMUL,'"&amp;F200&amp;"' AS CAMPO, "&amp;"'${ref_date}' AS REF_DATE, COUNT(*) AS NUM_REG, SUM(IF(TRIM(CAST(X."&amp;F200&amp;" AS STRING))='' OR TRIM(CAST(X."&amp;F200&amp;" AS STRING)) IS NULL OR CAST(X."&amp;F200&amp;" AS STRING) NOT "&amp;H200&amp;",1,0)) AS NUM_REG_DIF,'"&amp;MAX('ID1&amp;5'!K:K)+1&amp;"' AS ID_EXEC, CURRENT_TIMESTAMP() AS TIME_EXEC FROM "&amp;I200,"SELECT '"&amp;UPPER(B200)&amp;"' AS TABELA, '"&amp;UPPER(C200)&amp;"' AS TIPOLOGIA_TESTE,'"&amp;D200&amp;"' AS TABELA_LT,'N/A' AS TABELA_SIMUL,'"&amp;F200&amp;"' AS CAMPO, "&amp;"'${ref_date}' AS REF_DATE, COUNT(*) AS NUM_REG, SUM(IF(TRIM(CAST(X."&amp;F200&amp;" AS STRING))='' OR TRIM(CAST(X."&amp;F200&amp;" AS STRING)) IS NULL,1,0)) AS NUM_REG_DIF,'"&amp;MAX('ID1&amp;5'!K:K)+1&amp;"' AS ID_EXEC, CURRENT_TIMESTAMP() AS TIME_EXEC FROM "&amp;I200),
IF(C200="Caracteres Especiais",+"SELECT '"&amp;UPPER(B200)&amp;"' AS TABELA, '"&amp;UPPER(C200)&amp;"' AS TIPOLOGIA_TESTE,'"&amp;D200&amp;"' AS TABELA_LT,'N/A' AS TABELA_SIMUL,'"&amp;F200&amp;"' AS CAMPO, "&amp;"'${ref_date}' AS REF_DATE, COUNT(*) AS NUM_REG, SUM(IF(REGEXP_REPLACE(TRIM(CAST(X."&amp;F200&amp;" AS STRING)),'[^a-zA-Z0-9_\\s]','') &lt;&gt;TRIM(CAST(X."&amp;F200&amp;" AS STRING)),1,0)) AS NUM_REG_DIF,'"&amp;MAX('ID1&amp;5'!K:K)+1&amp;"' AS ID_EXEC, CURRENT_TIMESTAMP() AS TIME_EXEC FROM "&amp;I200,
IF(C200="Missings",+"SELECT '"&amp;UPPER(B200)&amp;"' AS TABELA, '"&amp;UPPER(C200)&amp;"' AS TIPOLOGIA_TESTE,'"&amp;D200&amp;"' AS TABELA_LT,'N/A' AS TABELA_SIMUL,'"&amp;F200&amp;"' AS CAMPO, "&amp;"'${ref_date}' AS REF_DATE, COUNT(*) AS NUM_REG, SUM(IF(TRIM(CAST(X."&amp;F200&amp;" AS STRING)) IN ('0000-00-00','0001-01-01','9999-12-31','MISS','00000','99999999999','99999999999.00','99999999999.000000'),1,0)) AS NUM_REG_DIF,'"&amp;MAX('ID1&amp;5'!K:K)+1&amp;"' AS ID_EXEC, CURRENT_TIMESTAMP() AS TIME_EXEC FROM "&amp;I200,
IF(C200="Not applicable",+"SELECT '"&amp;UPPER(B200)&amp;"' AS TABELA, '"&amp;UPPER(C200)&amp;"' AS TIPOLOGIA_TESTE,'"&amp;D200&amp;"' AS TABELA_LT,'N/A' AS TABELA_SIMUL,'"&amp;F200&amp;"' AS CAMPO, "&amp;"'${ref_date}' AS REF_DATE, COUNT(*) AS NUM_REG, SUM(IF(TRIM(CAST(X."&amp;F200&amp;" AS STRING)) IN ('N/A','11111111111','11111111111.00','11111111111.000000','1111-11-11'),1,0)) AS NUM_REG_DIF,'"&amp;MAX('ID1&amp;5'!K:K)+1&amp;"' AS ID_EXEC, CURRENT_TIMESTAMP() AS TIME_EXEC FROM "&amp;I200,
IF(C200="Valores extremos",+"SELECT '"&amp;UPPER(B200)&amp;"' AS TABELA, '"&amp;UPPER(C200)&amp;"' AS TIPOLOGIA_TESTE,'"&amp;D200&amp;"' AS TABELA_LT,'N/A' AS TABELA_SIMUL,'"&amp;F200&amp;"' AS CAMPO, "&amp;"'${ref_date}' AS REF_DATE, CAST(MIN("&amp;F200&amp;") AS STRING) AS VALOR_MIN, CAST(MAX("&amp;F200&amp;") AS STRING) AS VALOR_MAX,'"&amp;MAX('ID1&amp;5'!K:K)+1&amp;"' AS ID_EXEC, CURRENT_TIMESTAMP() AS TIME_EXEC FROM "&amp;MID(I200,1,LEN(I200)-2)&amp;" AND CAST("&amp;F200&amp;"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TABELA_SIMUL,'syndctd_lndrs' AS CAMPO, '${ref_date}' AS REF_DATE, COUNT(*) AS NUM_REG, SUM(IF(COALESCE(CAST(X.syndctd_lndrs AS STRING),'')&lt;&gt;COALESCE(CAST(Y.syndctd_lndrs_SIMUL AS STRING),'') OR (X.syndctd_lndrs IS NULL AND Y.syndctd_lndrs_SIMUL IS NOT NULL ) OR (X.syndctd_lndrs IS NOT NULL AND Y.syndctd_lndrs_SIMUL IS NULL),1,0)) AS NUM_REG_DIF,'1' AS ID_EXEC, CURRENT_TIMESTAMP() AS TIME_EXEC FROM (SELECT instrmnt_id, syndctd_lndrs FROM BU_LOANTAPE_WORK.LT002_INSTRUMENT WHERE ref_date='${ref_date}' AND nome_perimetro='Individual Local' AND segmento='ESTR' AND ambito='SRB_MBDT' AND entidade='00100')X INNER JOIN (SELECT instrmnt_id AS instrmnt_id_SIMUL, syndctd_lndrs AS syndctd_lndrs_SIMUL FROM BU_LOANTAPE_WORK.SIMUL_LT002_INSTRUMENT WHERE ref_date='${ref_date}' AND nome_perimetro='Individual Local' AND segmento='ESTR' AND ambito='PILAR3' AND entidade='00100')Y ON X.INSTRMNT_ID=Y.INSTRMNT_ID_SIMUL</v>
      </c>
      <c r="M200" s="36" t="str">
        <f t="shared" si="6"/>
        <v>UNION ALL SELECT 'INSTRUMENT' AS TABELA, 'COERÊNCIA' AS TIPOLOGIA_TESTE,'BU_LOANTAPE_WORK.LT002_INSTRUMENT' AS TABELA_LT,'BU_LOANTAPE_WORK.SIMUL_LT002_INSTRUMENT' AS TABELA_SIMUL,'syndctd_lndrs' AS CAMPO, '${ref_date}' AS REF_DATE, COUNT(*) AS NUM_REG, SUM(IF(COALESCE(CAST(X.syndctd_lndrs AS STRING),'')&lt;&gt;COALESCE(CAST(Y.syndctd_lndrs_SIMUL AS STRING),'') OR (X.syndctd_lndrs IS NULL AND Y.syndctd_lndrs_SIMUL IS NOT NULL ) OR (X.syndctd_lndrs IS NOT NULL AND Y.syndctd_lndrs_SIMUL IS NULL),1,0)) AS NUM_REG_DIF,'1' AS ID_EXEC, CURRENT_TIMESTAMP() AS TIME_EXEC FROM (SELECT instrmnt_id, syndctd_lndrs FROM BU_LOANTAPE_WORK.LT002_INSTRUMENT WHERE ref_date='${ref_date}' AND nome_perimetro='Individual Local' AND segmento='ESTR' AND ambito='SRB_MBDT' AND entidade='00100')X INNER JOIN (SELECT instrmnt_id AS instrmnt_id_SIMUL, syndctd_lndrs AS syndctd_lndrs_SIMUL FROM BU_LOANTAPE_WORK.SIMUL_LT002_INSTRUMENT WHERE ref_date='${ref_date}' AND nome_perimetro='Individual Local' AND segmento='ESTR' AND ambito='PILAR3' AND entidade='00100')Y ON X.INSTRMNT_ID=Y.INSTRMNT_ID_SIMUL</v>
      </c>
      <c r="N200" s="38"/>
    </row>
    <row r="201" spans="2:14">
      <c r="B201" s="34" t="s">
        <v>117</v>
      </c>
      <c r="C201" s="34" t="s">
        <v>5</v>
      </c>
      <c r="D201" s="34" t="str">
        <f>+UPPER('0. Instruções'!$D$35&amp;"."&amp;VLOOKUP(B201,'0. Instruções'!$C$27:$D$32,2,FALSE))</f>
        <v>BU_LOANTAPE_WORK.LT002_INSTRUMENT</v>
      </c>
      <c r="E201" s="34" t="str">
        <f>+UPPER('0. Instruções'!$D$36&amp;"."&amp;VLOOKUP(B201,'0. Instruções'!$C$27:$E$32,3,FALSE))</f>
        <v>BU_LOANTAPE_WORK.SIMUL_LT002_INSTRUMENT</v>
      </c>
      <c r="F201" s="34" t="s">
        <v>1263</v>
      </c>
      <c r="G201" s="34"/>
      <c r="H201" s="34"/>
      <c r="I201" s="34" t="str">
        <f>"(SELECT "&amp;VLOOKUP(B201,'0. Instruções'!$C$27:$G$32,4,FALSE)&amp;", "&amp;F201&amp;" FROM "&amp;D201&amp;" WHERE "&amp;'0. Instruções'!$D$42&amp;")X"</f>
        <v>(SELECT instrmnt_id, syndctd_shr FROM BU_LOANTAPE_WORK.LT002_INSTRUMENT WHERE ref_date='${ref_date}' AND nome_perimetro='Individual Local' AND segmento='ESTR' AND ambito='SRB_MBDT' AND entidade='00100')X</v>
      </c>
      <c r="J201" s="34" t="str">
        <f>"(SELECT "&amp;VLOOKUP(B201,'0. Instruções'!$C$27:$G$32,4,FALSE)&amp;" AS "&amp;VLOOKUP(B201,'0. Instruções'!$C$27:$G$32,4,FALSE)&amp;"_SIMUL, "&amp;F201&amp;" AS "&amp;F201&amp;"_SIMUL FROM "&amp;E201&amp;" WHERE "&amp;'0. Instruções'!$D$43&amp;")Y"</f>
        <v>(SELECT instrmnt_id AS instrmnt_id_SIMUL, syndctd_shr AS syndctd_shr_SIMUL FROM BU_LOANTAPE_WORK.SIMUL_LT002_INSTRUMENT WHERE ref_date='${ref_date}' AND nome_perimetro='Individual Local' AND segmento='ESTR' AND ambito='PILAR3' AND entidade='00100')Y</v>
      </c>
      <c r="K201" s="35" t="str">
        <f>+UPPER("ON X."&amp;VLOOKUP(B201,'0. Instruções'!$C$27:$G$32,4,FALSE)&amp;"=Y."&amp;VLOOKUP(B201,'0. Instruções'!$C$27:$G$32,4,FALSE)&amp;"_SIMUL")</f>
        <v>ON X.INSTRMNT_ID=Y.INSTRMNT_ID_SIMUL</v>
      </c>
      <c r="L201" s="35" t="str">
        <f>+IF(C201="Coerência", +IF(LEFT(G201,5)="FLOAT","SELECT '"&amp;UPPER(B201)&amp;"' AS TABELA, '"&amp;UPPER(C201)&amp;"' AS TIPOLOGIA_TESTE,'"&amp;D201&amp;"' AS TABELA_LT,'"&amp;E201&amp;"' AS TABELA_SIMUL,'"&amp;F201&amp;"' AS CAMPO, "&amp;"'${ref_date}' AS REF_DATE, COUNT(*) AS NUM_REG, SUM(IF((ABS(COALESCE(CAST(X."&amp;F201&amp;" AS DECIMAL(18,6)),0)-COALESCE(CAST(Y."&amp;F201&amp;"_SIMUL AS DECIMAL(18,6)),0))&gt;0.000001) OR (X."&amp;F201&amp;" IS NULL AND Y."&amp;F201&amp;"_SIMUL IS NOT NULL ) OR (X."&amp;F201&amp;" IS NOT NULL AND Y."&amp;F201&amp;"_SIMUL IS NULL),1,0)) AS NUM_REG_DIF,'"&amp;MAX('ID1&amp;5'!K:K)+1&amp;"' AS ID_EXEC, CURRENT_TIMESTAMP() AS TIME_EXEC FROM "&amp;I201&amp;" INNER JOIN "&amp;J201&amp;" "&amp;K201,"SELECT '"&amp;UPPER(B201)&amp;"' AS TABELA, '"&amp;UPPER(C201)&amp;"' AS TIPOLOGIA_TESTE,'"&amp;D201&amp;"' AS TABELA_LT,'"&amp;E201&amp;"' AS TABELA_SIMUL,'"&amp;F201&amp;"' AS CAMPO, "&amp;"'${ref_date}' AS REF_DATE, COUNT(*) AS NUM_REG, SUM(IF(COALESCE(CAST(X."&amp;F201&amp;" AS STRING),'')&lt;&gt;COALESCE(CAST(Y."&amp;F201&amp;"_SIMUL AS STRING),'') OR (X."&amp;F201&amp;" IS NULL AND Y."&amp;F201&amp;"_SIMUL IS NOT NULL ) OR (X."&amp;F201&amp;" IS NOT NULL AND Y."&amp;F201&amp;"_SIMUL IS NULL),1,0)) AS NUM_REG_DIF,'"&amp;MAX('ID1&amp;5'!L:L)+1&amp;"' AS ID_EXEC, CURRENT_TIMESTAMP() AS TIME_EXEC FROM "&amp;I201&amp;" INNER JOIN "&amp;J201&amp;" "&amp;K201),
IF(C201="Validade",+IF(G201="Code List","SELECT '"&amp;UPPER(B201)&amp;"' AS TABELA, '"&amp;UPPER(C201)&amp;"' AS TIPOLOGIA_TESTE,'"&amp;D201&amp;"' AS TABELA_LT,'N/A' AS TABELA_SIMUL,'"&amp;F201&amp;"' AS CAMPO, "&amp;"'${ref_date}' AS REF_DATE, COUNT(*) AS NUM_REG, SUM(IF(TRIM(CAST(X."&amp;F201&amp;" AS STRING))='' OR TRIM(CAST(X."&amp;F201&amp;" AS STRING)) IS NULL OR CAST(X."&amp;F201&amp;" AS STRING) NOT "&amp;H201&amp;",1,0)) AS NUM_REG_DIF,'"&amp;MAX('ID1&amp;5'!K:K)+1&amp;"' AS ID_EXEC, CURRENT_TIMESTAMP() AS TIME_EXEC FROM "&amp;I201,"SELECT '"&amp;UPPER(B201)&amp;"' AS TABELA, '"&amp;UPPER(C201)&amp;"' AS TIPOLOGIA_TESTE,'"&amp;D201&amp;"' AS TABELA_LT,'N/A' AS TABELA_SIMUL,'"&amp;F201&amp;"' AS CAMPO, "&amp;"'${ref_date}' AS REF_DATE, COUNT(*) AS NUM_REG, SUM(IF(TRIM(CAST(X."&amp;F201&amp;" AS STRING))='' OR TRIM(CAST(X."&amp;F201&amp;" AS STRING)) IS NULL,1,0)) AS NUM_REG_DIF,'"&amp;MAX('ID1&amp;5'!K:K)+1&amp;"' AS ID_EXEC, CURRENT_TIMESTAMP() AS TIME_EXEC FROM "&amp;I201),
IF(C201="Caracteres Especiais",+"SELECT '"&amp;UPPER(B201)&amp;"' AS TABELA, '"&amp;UPPER(C201)&amp;"' AS TIPOLOGIA_TESTE,'"&amp;D201&amp;"' AS TABELA_LT,'N/A' AS TABELA_SIMUL,'"&amp;F201&amp;"' AS CAMPO, "&amp;"'${ref_date}' AS REF_DATE, COUNT(*) AS NUM_REG, SUM(IF(REGEXP_REPLACE(TRIM(CAST(X."&amp;F201&amp;" AS STRING)),'[^a-zA-Z0-9_\\s]','') &lt;&gt;TRIM(CAST(X."&amp;F201&amp;" AS STRING)),1,0)) AS NUM_REG_DIF,'"&amp;MAX('ID1&amp;5'!K:K)+1&amp;"' AS ID_EXEC, CURRENT_TIMESTAMP() AS TIME_EXEC FROM "&amp;I201,
IF(C201="Missings",+"SELECT '"&amp;UPPER(B201)&amp;"' AS TABELA, '"&amp;UPPER(C201)&amp;"' AS TIPOLOGIA_TESTE,'"&amp;D201&amp;"' AS TABELA_LT,'N/A' AS TABELA_SIMUL,'"&amp;F201&amp;"' AS CAMPO, "&amp;"'${ref_date}' AS REF_DATE, COUNT(*) AS NUM_REG, SUM(IF(TRIM(CAST(X."&amp;F201&amp;" AS STRING)) IN ('0000-00-00','0001-01-01','9999-12-31','MISS','00000','99999999999','99999999999.00','99999999999.000000'),1,0)) AS NUM_REG_DIF,'"&amp;MAX('ID1&amp;5'!K:K)+1&amp;"' AS ID_EXEC, CURRENT_TIMESTAMP() AS TIME_EXEC FROM "&amp;I201,
IF(C201="Not applicable",+"SELECT '"&amp;UPPER(B201)&amp;"' AS TABELA, '"&amp;UPPER(C201)&amp;"' AS TIPOLOGIA_TESTE,'"&amp;D201&amp;"' AS TABELA_LT,'N/A' AS TABELA_SIMUL,'"&amp;F201&amp;"' AS CAMPO, "&amp;"'${ref_date}' AS REF_DATE, COUNT(*) AS NUM_REG, SUM(IF(TRIM(CAST(X."&amp;F201&amp;" AS STRING)) IN ('N/A','11111111111','11111111111.00','11111111111.000000','1111-11-11'),1,0)) AS NUM_REG_DIF,'"&amp;MAX('ID1&amp;5'!K:K)+1&amp;"' AS ID_EXEC, CURRENT_TIMESTAMP() AS TIME_EXEC FROM "&amp;I201,
IF(C201="Valores extremos",+"SELECT '"&amp;UPPER(B201)&amp;"' AS TABELA, '"&amp;UPPER(C201)&amp;"' AS TIPOLOGIA_TESTE,'"&amp;D201&amp;"' AS TABELA_LT,'N/A' AS TABELA_SIMUL,'"&amp;F201&amp;"' AS CAMPO, "&amp;"'${ref_date}' AS REF_DATE, CAST(MIN("&amp;F201&amp;") AS STRING) AS VALOR_MIN, CAST(MAX("&amp;F201&amp;") AS STRING) AS VALOR_MAX,'"&amp;MAX('ID1&amp;5'!K:K)+1&amp;"' AS ID_EXEC, CURRENT_TIMESTAMP() AS TIME_EXEC FROM "&amp;MID(I201,1,LEN(I201)-2)&amp;" AND CAST("&amp;F201&amp;"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TABELA_SIMUL,'syndctd_shr' AS CAMPO, '${ref_date}' AS REF_DATE, COUNT(*) AS NUM_REG, SUM(IF(COALESCE(CAST(X.syndctd_shr AS STRING),'')&lt;&gt;COALESCE(CAST(Y.syndctd_shr_SIMUL AS STRING),'') OR (X.syndctd_shr IS NULL AND Y.syndctd_shr_SIMUL IS NOT NULL ) OR (X.syndctd_shr IS NOT NULL AND Y.syndctd_shr_SIMUL IS NULL),1,0)) AS NUM_REG_DIF,'1' AS ID_EXEC, CURRENT_TIMESTAMP() AS TIME_EXEC FROM (SELECT instrmnt_id, syndctd_shr FROM BU_LOANTAPE_WORK.LT002_INSTRUMENT WHERE ref_date='${ref_date}' AND nome_perimetro='Individual Local' AND segmento='ESTR' AND ambito='SRB_MBDT' AND entidade='00100')X INNER JOIN (SELECT instrmnt_id AS instrmnt_id_SIMUL, syndctd_shr AS syndctd_shr_SIMUL FROM BU_LOANTAPE_WORK.SIMUL_LT002_INSTRUMENT WHERE ref_date='${ref_date}' AND nome_perimetro='Individual Local' AND segmento='ESTR' AND ambito='PILAR3' AND entidade='00100')Y ON X.INSTRMNT_ID=Y.INSTRMNT_ID_SIMUL</v>
      </c>
      <c r="M201" s="36" t="str">
        <f t="shared" si="6"/>
        <v>UNION ALL SELECT 'INSTRUMENT' AS TABELA, 'COERÊNCIA' AS TIPOLOGIA_TESTE,'BU_LOANTAPE_WORK.LT002_INSTRUMENT' AS TABELA_LT,'BU_LOANTAPE_WORK.SIMUL_LT002_INSTRUMENT' AS TABELA_SIMUL,'syndctd_shr' AS CAMPO, '${ref_date}' AS REF_DATE, COUNT(*) AS NUM_REG, SUM(IF(COALESCE(CAST(X.syndctd_shr AS STRING),'')&lt;&gt;COALESCE(CAST(Y.syndctd_shr_SIMUL AS STRING),'') OR (X.syndctd_shr IS NULL AND Y.syndctd_shr_SIMUL IS NOT NULL ) OR (X.syndctd_shr IS NOT NULL AND Y.syndctd_shr_SIMUL IS NULL),1,0)) AS NUM_REG_DIF,'1' AS ID_EXEC, CURRENT_TIMESTAMP() AS TIME_EXEC FROM (SELECT instrmnt_id, syndctd_shr FROM BU_LOANTAPE_WORK.LT002_INSTRUMENT WHERE ref_date='${ref_date}' AND nome_perimetro='Individual Local' AND segmento='ESTR' AND ambito='SRB_MBDT' AND entidade='00100')X INNER JOIN (SELECT instrmnt_id AS instrmnt_id_SIMUL, syndctd_shr AS syndctd_shr_SIMUL FROM BU_LOANTAPE_WORK.SIMUL_LT002_INSTRUMENT WHERE ref_date='${ref_date}' AND nome_perimetro='Individual Local' AND segmento='ESTR' AND ambito='PILAR3' AND entidade='00100')Y ON X.INSTRMNT_ID=Y.INSTRMNT_ID_SIMUL</v>
      </c>
      <c r="N201" s="38"/>
    </row>
    <row r="202" spans="2:14">
      <c r="B202" s="34" t="s">
        <v>117</v>
      </c>
      <c r="C202" s="34" t="s">
        <v>5</v>
      </c>
      <c r="D202" s="34" t="str">
        <f>+UPPER('0. Instruções'!$D$35&amp;"."&amp;VLOOKUP(B202,'0. Instruções'!$C$27:$D$32,2,FALSE))</f>
        <v>BU_LOANTAPE_WORK.LT002_INSTRUMENT</v>
      </c>
      <c r="E202" s="34" t="str">
        <f>+UPPER('0. Instruções'!$D$36&amp;"."&amp;VLOOKUP(B202,'0. Instruções'!$C$27:$E$32,3,FALSE))</f>
        <v>BU_LOANTAPE_WORK.SIMUL_LT002_INSTRUMENT</v>
      </c>
      <c r="F202" s="34" t="s">
        <v>1264</v>
      </c>
      <c r="G202" s="34"/>
      <c r="H202" s="34"/>
      <c r="I202" s="34" t="str">
        <f>"(SELECT "&amp;VLOOKUP(B202,'0. Instruções'!$C$27:$G$32,4,FALSE)&amp;", "&amp;F202&amp;" FROM "&amp;D202&amp;" WHERE "&amp;'0. Instruções'!$D$42&amp;")X"</f>
        <v>(SELECT instrmnt_id, syndctn_typ FROM BU_LOANTAPE_WORK.LT002_INSTRUMENT WHERE ref_date='${ref_date}' AND nome_perimetro='Individual Local' AND segmento='ESTR' AND ambito='SRB_MBDT' AND entidade='00100')X</v>
      </c>
      <c r="J202" s="34" t="str">
        <f>"(SELECT "&amp;VLOOKUP(B202,'0. Instruções'!$C$27:$G$32,4,FALSE)&amp;" AS "&amp;VLOOKUP(B202,'0. Instruções'!$C$27:$G$32,4,FALSE)&amp;"_SIMUL, "&amp;F202&amp;" AS "&amp;F202&amp;"_SIMUL FROM "&amp;E202&amp;" WHERE "&amp;'0. Instruções'!$D$43&amp;")Y"</f>
        <v>(SELECT instrmnt_id AS instrmnt_id_SIMUL, syndctn_typ AS syndctn_typ_SIMUL FROM BU_LOANTAPE_WORK.SIMUL_LT002_INSTRUMENT WHERE ref_date='${ref_date}' AND nome_perimetro='Individual Local' AND segmento='ESTR' AND ambito='PILAR3' AND entidade='00100')Y</v>
      </c>
      <c r="K202" s="35" t="str">
        <f>+UPPER("ON X."&amp;VLOOKUP(B202,'0. Instruções'!$C$27:$G$32,4,FALSE)&amp;"=Y."&amp;VLOOKUP(B202,'0. Instruções'!$C$27:$G$32,4,FALSE)&amp;"_SIMUL")</f>
        <v>ON X.INSTRMNT_ID=Y.INSTRMNT_ID_SIMUL</v>
      </c>
      <c r="L202" s="35" t="str">
        <f>+IF(C202="Coerência", +IF(LEFT(G202,5)="FLOAT","SELECT '"&amp;UPPER(B202)&amp;"' AS TABELA, '"&amp;UPPER(C202)&amp;"' AS TIPOLOGIA_TESTE,'"&amp;D202&amp;"' AS TABELA_LT,'"&amp;E202&amp;"' AS TABELA_SIMUL,'"&amp;F202&amp;"' AS CAMPO, "&amp;"'${ref_date}' AS REF_DATE, COUNT(*) AS NUM_REG, SUM(IF((ABS(COALESCE(CAST(X."&amp;F202&amp;" AS DECIMAL(18,6)),0)-COALESCE(CAST(Y."&amp;F202&amp;"_SIMUL AS DECIMAL(18,6)),0))&gt;0.000001) OR (X."&amp;F202&amp;" IS NULL AND Y."&amp;F202&amp;"_SIMUL IS NOT NULL ) OR (X."&amp;F202&amp;" IS NOT NULL AND Y."&amp;F202&amp;"_SIMUL IS NULL),1,0)) AS NUM_REG_DIF,'"&amp;MAX('ID1&amp;5'!K:K)+1&amp;"' AS ID_EXEC, CURRENT_TIMESTAMP() AS TIME_EXEC FROM "&amp;I202&amp;" INNER JOIN "&amp;J202&amp;" "&amp;K202,"SELECT '"&amp;UPPER(B202)&amp;"' AS TABELA, '"&amp;UPPER(C202)&amp;"' AS TIPOLOGIA_TESTE,'"&amp;D202&amp;"' AS TABELA_LT,'"&amp;E202&amp;"' AS TABELA_SIMUL,'"&amp;F202&amp;"' AS CAMPO, "&amp;"'${ref_date}' AS REF_DATE, COUNT(*) AS NUM_REG, SUM(IF(COALESCE(CAST(X."&amp;F202&amp;" AS STRING),'')&lt;&gt;COALESCE(CAST(Y."&amp;F202&amp;"_SIMUL AS STRING),'') OR (X."&amp;F202&amp;" IS NULL AND Y."&amp;F202&amp;"_SIMUL IS NOT NULL ) OR (X."&amp;F202&amp;" IS NOT NULL AND Y."&amp;F202&amp;"_SIMUL IS NULL),1,0)) AS NUM_REG_DIF,'"&amp;MAX('ID1&amp;5'!L:L)+1&amp;"' AS ID_EXEC, CURRENT_TIMESTAMP() AS TIME_EXEC FROM "&amp;I202&amp;" INNER JOIN "&amp;J202&amp;" "&amp;K202),
IF(C202="Validade",+IF(G202="Code List","SELECT '"&amp;UPPER(B202)&amp;"' AS TABELA, '"&amp;UPPER(C202)&amp;"' AS TIPOLOGIA_TESTE,'"&amp;D202&amp;"' AS TABELA_LT,'N/A' AS TABELA_SIMUL,'"&amp;F202&amp;"' AS CAMPO, "&amp;"'${ref_date}' AS REF_DATE, COUNT(*) AS NUM_REG, SUM(IF(TRIM(CAST(X."&amp;F202&amp;" AS STRING))='' OR TRIM(CAST(X."&amp;F202&amp;" AS STRING)) IS NULL OR CAST(X."&amp;F202&amp;" AS STRING) NOT "&amp;H202&amp;",1,0)) AS NUM_REG_DIF,'"&amp;MAX('ID1&amp;5'!K:K)+1&amp;"' AS ID_EXEC, CURRENT_TIMESTAMP() AS TIME_EXEC FROM "&amp;I202,"SELECT '"&amp;UPPER(B202)&amp;"' AS TABELA, '"&amp;UPPER(C202)&amp;"' AS TIPOLOGIA_TESTE,'"&amp;D202&amp;"' AS TABELA_LT,'N/A' AS TABELA_SIMUL,'"&amp;F202&amp;"' AS CAMPO, "&amp;"'${ref_date}' AS REF_DATE, COUNT(*) AS NUM_REG, SUM(IF(TRIM(CAST(X."&amp;F202&amp;" AS STRING))='' OR TRIM(CAST(X."&amp;F202&amp;" AS STRING)) IS NULL,1,0)) AS NUM_REG_DIF,'"&amp;MAX('ID1&amp;5'!K:K)+1&amp;"' AS ID_EXEC, CURRENT_TIMESTAMP() AS TIME_EXEC FROM "&amp;I202),
IF(C202="Caracteres Especiais",+"SELECT '"&amp;UPPER(B202)&amp;"' AS TABELA, '"&amp;UPPER(C202)&amp;"' AS TIPOLOGIA_TESTE,'"&amp;D202&amp;"' AS TABELA_LT,'N/A' AS TABELA_SIMUL,'"&amp;F202&amp;"' AS CAMPO, "&amp;"'${ref_date}' AS REF_DATE, COUNT(*) AS NUM_REG, SUM(IF(REGEXP_REPLACE(TRIM(CAST(X."&amp;F202&amp;" AS STRING)),'[^a-zA-Z0-9_\\s]','') &lt;&gt;TRIM(CAST(X."&amp;F202&amp;" AS STRING)),1,0)) AS NUM_REG_DIF,'"&amp;MAX('ID1&amp;5'!K:K)+1&amp;"' AS ID_EXEC, CURRENT_TIMESTAMP() AS TIME_EXEC FROM "&amp;I202,
IF(C202="Missings",+"SELECT '"&amp;UPPER(B202)&amp;"' AS TABELA, '"&amp;UPPER(C202)&amp;"' AS TIPOLOGIA_TESTE,'"&amp;D202&amp;"' AS TABELA_LT,'N/A' AS TABELA_SIMUL,'"&amp;F202&amp;"' AS CAMPO, "&amp;"'${ref_date}' AS REF_DATE, COUNT(*) AS NUM_REG, SUM(IF(TRIM(CAST(X."&amp;F202&amp;" AS STRING)) IN ('0000-00-00','0001-01-01','9999-12-31','MISS','00000','99999999999','99999999999.00','99999999999.000000'),1,0)) AS NUM_REG_DIF,'"&amp;MAX('ID1&amp;5'!K:K)+1&amp;"' AS ID_EXEC, CURRENT_TIMESTAMP() AS TIME_EXEC FROM "&amp;I202,
IF(C202="Not applicable",+"SELECT '"&amp;UPPER(B202)&amp;"' AS TABELA, '"&amp;UPPER(C202)&amp;"' AS TIPOLOGIA_TESTE,'"&amp;D202&amp;"' AS TABELA_LT,'N/A' AS TABELA_SIMUL,'"&amp;F202&amp;"' AS CAMPO, "&amp;"'${ref_date}' AS REF_DATE, COUNT(*) AS NUM_REG, SUM(IF(TRIM(CAST(X."&amp;F202&amp;" AS STRING)) IN ('N/A','11111111111','11111111111.00','11111111111.000000','1111-11-11'),1,0)) AS NUM_REG_DIF,'"&amp;MAX('ID1&amp;5'!K:K)+1&amp;"' AS ID_EXEC, CURRENT_TIMESTAMP() AS TIME_EXEC FROM "&amp;I202,
IF(C202="Valores extremos",+"SELECT '"&amp;UPPER(B202)&amp;"' AS TABELA, '"&amp;UPPER(C202)&amp;"' AS TIPOLOGIA_TESTE,'"&amp;D202&amp;"' AS TABELA_LT,'N/A' AS TABELA_SIMUL,'"&amp;F202&amp;"' AS CAMPO, "&amp;"'${ref_date}' AS REF_DATE, CAST(MIN("&amp;F202&amp;") AS STRING) AS VALOR_MIN, CAST(MAX("&amp;F202&amp;") AS STRING) AS VALOR_MAX,'"&amp;MAX('ID1&amp;5'!K:K)+1&amp;"' AS ID_EXEC, CURRENT_TIMESTAMP() AS TIME_EXEC FROM "&amp;MID(I202,1,LEN(I202)-2)&amp;" AND CAST("&amp;F202&amp;"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TABELA_SIMUL,'syndctn_typ' AS CAMPO, '${ref_date}' AS REF_DATE, COUNT(*) AS NUM_REG, SUM(IF(COALESCE(CAST(X.syndctn_typ AS STRING),'')&lt;&gt;COALESCE(CAST(Y.syndctn_typ_SIMUL AS STRING),'') OR (X.syndctn_typ IS NULL AND Y.syndctn_typ_SIMUL IS NOT NULL ) OR (X.syndctn_typ IS NOT NULL AND Y.syndctn_typ_SIMUL IS NULL),1,0)) AS NUM_REG_DIF,'1' AS ID_EXEC, CURRENT_TIMESTAMP() AS TIME_EXEC FROM (SELECT instrmnt_id, syndctn_typ FROM BU_LOANTAPE_WORK.LT002_INSTRUMENT WHERE ref_date='${ref_date}' AND nome_perimetro='Individual Local' AND segmento='ESTR' AND ambito='SRB_MBDT' AND entidade='00100')X INNER JOIN (SELECT instrmnt_id AS instrmnt_id_SIMUL, syndctn_typ AS syndctn_typ_SIMUL FROM BU_LOANTAPE_WORK.SIMUL_LT002_INSTRUMENT WHERE ref_date='${ref_date}' AND nome_perimetro='Individual Local' AND segmento='ESTR' AND ambito='PILAR3' AND entidade='00100')Y ON X.INSTRMNT_ID=Y.INSTRMNT_ID_SIMUL</v>
      </c>
      <c r="M202" s="36" t="str">
        <f t="shared" si="6"/>
        <v>UNION ALL SELECT 'INSTRUMENT' AS TABELA, 'COERÊNCIA' AS TIPOLOGIA_TESTE,'BU_LOANTAPE_WORK.LT002_INSTRUMENT' AS TABELA_LT,'BU_LOANTAPE_WORK.SIMUL_LT002_INSTRUMENT' AS TABELA_SIMUL,'syndctn_typ' AS CAMPO, '${ref_date}' AS REF_DATE, COUNT(*) AS NUM_REG, SUM(IF(COALESCE(CAST(X.syndctn_typ AS STRING),'')&lt;&gt;COALESCE(CAST(Y.syndctn_typ_SIMUL AS STRING),'') OR (X.syndctn_typ IS NULL AND Y.syndctn_typ_SIMUL IS NOT NULL ) OR (X.syndctn_typ IS NOT NULL AND Y.syndctn_typ_SIMUL IS NULL),1,0)) AS NUM_REG_DIF,'1' AS ID_EXEC, CURRENT_TIMESTAMP() AS TIME_EXEC FROM (SELECT instrmnt_id, syndctn_typ FROM BU_LOANTAPE_WORK.LT002_INSTRUMENT WHERE ref_date='${ref_date}' AND nome_perimetro='Individual Local' AND segmento='ESTR' AND ambito='SRB_MBDT' AND entidade='00100')X INNER JOIN (SELECT instrmnt_id AS instrmnt_id_SIMUL, syndctn_typ AS syndctn_typ_SIMUL FROM BU_LOANTAPE_WORK.SIMUL_LT002_INSTRUMENT WHERE ref_date='${ref_date}' AND nome_perimetro='Individual Local' AND segmento='ESTR' AND ambito='PILAR3' AND entidade='00100')Y ON X.INSTRMNT_ID=Y.INSTRMNT_ID_SIMUL</v>
      </c>
      <c r="N202" s="38"/>
    </row>
    <row r="203" spans="2:14">
      <c r="B203" s="34" t="s">
        <v>117</v>
      </c>
      <c r="C203" s="34" t="s">
        <v>5</v>
      </c>
      <c r="D203" s="34" t="str">
        <f>+UPPER('0. Instruções'!$D$35&amp;"."&amp;VLOOKUP(B203,'0. Instruções'!$C$27:$D$32,2,FALSE))</f>
        <v>BU_LOANTAPE_WORK.LT002_INSTRUMENT</v>
      </c>
      <c r="E203" s="34" t="str">
        <f>+UPPER('0. Instruções'!$D$36&amp;"."&amp;VLOOKUP(B203,'0. Instruções'!$C$27:$E$32,3,FALSE))</f>
        <v>BU_LOANTAPE_WORK.SIMUL_LT002_INSTRUMENT</v>
      </c>
      <c r="F203" s="34" t="s">
        <v>1265</v>
      </c>
      <c r="G203" s="34"/>
      <c r="H203" s="34"/>
      <c r="I203" s="34" t="str">
        <f>"(SELECT "&amp;VLOOKUP(B203,'0. Instruções'!$C$27:$G$32,4,FALSE)&amp;", "&amp;F203&amp;" FROM "&amp;D203&amp;" WHERE "&amp;'0. Instruções'!$D$42&amp;")X"</f>
        <v>(SELECT instrmnt_id, eba_cmplnt_mrtr_st_c19 FROM BU_LOANTAPE_WORK.LT002_INSTRUMENT WHERE ref_date='${ref_date}' AND nome_perimetro='Individual Local' AND segmento='ESTR' AND ambito='SRB_MBDT' AND entidade='00100')X</v>
      </c>
      <c r="J203" s="34" t="str">
        <f>"(SELECT "&amp;VLOOKUP(B203,'0. Instruções'!$C$27:$G$32,4,FALSE)&amp;" AS "&amp;VLOOKUP(B203,'0. Instruções'!$C$27:$G$32,4,FALSE)&amp;"_SIMUL, "&amp;F203&amp;" AS "&amp;F203&amp;"_SIMUL FROM "&amp;E203&amp;" WHERE "&amp;'0. Instruções'!$D$43&amp;")Y"</f>
        <v>(SELECT instrmnt_id AS instrmnt_id_SIMUL, eba_cmplnt_mrtr_st_c19 AS eba_cmplnt_mrtr_st_c19_SIMUL FROM BU_LOANTAPE_WORK.SIMUL_LT002_INSTRUMENT WHERE ref_date='${ref_date}' AND nome_perimetro='Individual Local' AND segmento='ESTR' AND ambito='PILAR3' AND entidade='00100')Y</v>
      </c>
      <c r="K203" s="35" t="str">
        <f>+UPPER("ON X."&amp;VLOOKUP(B203,'0. Instruções'!$C$27:$G$32,4,FALSE)&amp;"=Y."&amp;VLOOKUP(B203,'0. Instruções'!$C$27:$G$32,4,FALSE)&amp;"_SIMUL")</f>
        <v>ON X.INSTRMNT_ID=Y.INSTRMNT_ID_SIMUL</v>
      </c>
      <c r="L203" s="35" t="str">
        <f>+IF(C203="Coerência", +IF(LEFT(G203,5)="FLOAT","SELECT '"&amp;UPPER(B203)&amp;"' AS TABELA, '"&amp;UPPER(C203)&amp;"' AS TIPOLOGIA_TESTE,'"&amp;D203&amp;"' AS TABELA_LT,'"&amp;E203&amp;"' AS TABELA_SIMUL,'"&amp;F203&amp;"' AS CAMPO, "&amp;"'${ref_date}' AS REF_DATE, COUNT(*) AS NUM_REG, SUM(IF((ABS(COALESCE(CAST(X."&amp;F203&amp;" AS DECIMAL(18,6)),0)-COALESCE(CAST(Y."&amp;F203&amp;"_SIMUL AS DECIMAL(18,6)),0))&gt;0.000001) OR (X."&amp;F203&amp;" IS NULL AND Y."&amp;F203&amp;"_SIMUL IS NOT NULL ) OR (X."&amp;F203&amp;" IS NOT NULL AND Y."&amp;F203&amp;"_SIMUL IS NULL),1,0)) AS NUM_REG_DIF,'"&amp;MAX('ID1&amp;5'!K:K)+1&amp;"' AS ID_EXEC, CURRENT_TIMESTAMP() AS TIME_EXEC FROM "&amp;I203&amp;" INNER JOIN "&amp;J203&amp;" "&amp;K203,"SELECT '"&amp;UPPER(B203)&amp;"' AS TABELA, '"&amp;UPPER(C203)&amp;"' AS TIPOLOGIA_TESTE,'"&amp;D203&amp;"' AS TABELA_LT,'"&amp;E203&amp;"' AS TABELA_SIMUL,'"&amp;F203&amp;"' AS CAMPO, "&amp;"'${ref_date}' AS REF_DATE, COUNT(*) AS NUM_REG, SUM(IF(COALESCE(CAST(X."&amp;F203&amp;" AS STRING),'')&lt;&gt;COALESCE(CAST(Y."&amp;F203&amp;"_SIMUL AS STRING),'') OR (X."&amp;F203&amp;" IS NULL AND Y."&amp;F203&amp;"_SIMUL IS NOT NULL ) OR (X."&amp;F203&amp;" IS NOT NULL AND Y."&amp;F203&amp;"_SIMUL IS NULL),1,0)) AS NUM_REG_DIF,'"&amp;MAX('ID1&amp;5'!L:L)+1&amp;"' AS ID_EXEC, CURRENT_TIMESTAMP() AS TIME_EXEC FROM "&amp;I203&amp;" INNER JOIN "&amp;J203&amp;" "&amp;K203),
IF(C203="Validade",+IF(G203="Code List","SELECT '"&amp;UPPER(B203)&amp;"' AS TABELA, '"&amp;UPPER(C203)&amp;"' AS TIPOLOGIA_TESTE,'"&amp;D203&amp;"' AS TABELA_LT,'N/A' AS TABELA_SIMUL,'"&amp;F203&amp;"' AS CAMPO, "&amp;"'${ref_date}' AS REF_DATE, COUNT(*) AS NUM_REG, SUM(IF(TRIM(CAST(X."&amp;F203&amp;" AS STRING))='' OR TRIM(CAST(X."&amp;F203&amp;" AS STRING)) IS NULL OR CAST(X."&amp;F203&amp;" AS STRING) NOT "&amp;H203&amp;",1,0)) AS NUM_REG_DIF,'"&amp;MAX('ID1&amp;5'!K:K)+1&amp;"' AS ID_EXEC, CURRENT_TIMESTAMP() AS TIME_EXEC FROM "&amp;I203,"SELECT '"&amp;UPPER(B203)&amp;"' AS TABELA, '"&amp;UPPER(C203)&amp;"' AS TIPOLOGIA_TESTE,'"&amp;D203&amp;"' AS TABELA_LT,'N/A' AS TABELA_SIMUL,'"&amp;F203&amp;"' AS CAMPO, "&amp;"'${ref_date}' AS REF_DATE, COUNT(*) AS NUM_REG, SUM(IF(TRIM(CAST(X."&amp;F203&amp;" AS STRING))='' OR TRIM(CAST(X."&amp;F203&amp;" AS STRING)) IS NULL,1,0)) AS NUM_REG_DIF,'"&amp;MAX('ID1&amp;5'!K:K)+1&amp;"' AS ID_EXEC, CURRENT_TIMESTAMP() AS TIME_EXEC FROM "&amp;I203),
IF(C203="Caracteres Especiais",+"SELECT '"&amp;UPPER(B203)&amp;"' AS TABELA, '"&amp;UPPER(C203)&amp;"' AS TIPOLOGIA_TESTE,'"&amp;D203&amp;"' AS TABELA_LT,'N/A' AS TABELA_SIMUL,'"&amp;F203&amp;"' AS CAMPO, "&amp;"'${ref_date}' AS REF_DATE, COUNT(*) AS NUM_REG, SUM(IF(REGEXP_REPLACE(TRIM(CAST(X."&amp;F203&amp;" AS STRING)),'[^a-zA-Z0-9_\\s]','') &lt;&gt;TRIM(CAST(X."&amp;F203&amp;" AS STRING)),1,0)) AS NUM_REG_DIF,'"&amp;MAX('ID1&amp;5'!K:K)+1&amp;"' AS ID_EXEC, CURRENT_TIMESTAMP() AS TIME_EXEC FROM "&amp;I203,
IF(C203="Missings",+"SELECT '"&amp;UPPER(B203)&amp;"' AS TABELA, '"&amp;UPPER(C203)&amp;"' AS TIPOLOGIA_TESTE,'"&amp;D203&amp;"' AS TABELA_LT,'N/A' AS TABELA_SIMUL,'"&amp;F203&amp;"' AS CAMPO, "&amp;"'${ref_date}' AS REF_DATE, COUNT(*) AS NUM_REG, SUM(IF(TRIM(CAST(X."&amp;F203&amp;" AS STRING)) IN ('0000-00-00','0001-01-01','9999-12-31','MISS','00000','99999999999','99999999999.00','99999999999.000000'),1,0)) AS NUM_REG_DIF,'"&amp;MAX('ID1&amp;5'!K:K)+1&amp;"' AS ID_EXEC, CURRENT_TIMESTAMP() AS TIME_EXEC FROM "&amp;I203,
IF(C203="Not applicable",+"SELECT '"&amp;UPPER(B203)&amp;"' AS TABELA, '"&amp;UPPER(C203)&amp;"' AS TIPOLOGIA_TESTE,'"&amp;D203&amp;"' AS TABELA_LT,'N/A' AS TABELA_SIMUL,'"&amp;F203&amp;"' AS CAMPO, "&amp;"'${ref_date}' AS REF_DATE, COUNT(*) AS NUM_REG, SUM(IF(TRIM(CAST(X."&amp;F203&amp;" AS STRING)) IN ('N/A','11111111111','11111111111.00','11111111111.000000','1111-11-11'),1,0)) AS NUM_REG_DIF,'"&amp;MAX('ID1&amp;5'!K:K)+1&amp;"' AS ID_EXEC, CURRENT_TIMESTAMP() AS TIME_EXEC FROM "&amp;I203,
IF(C203="Valores extremos",+"SELECT '"&amp;UPPER(B203)&amp;"' AS TABELA, '"&amp;UPPER(C203)&amp;"' AS TIPOLOGIA_TESTE,'"&amp;D203&amp;"' AS TABELA_LT,'N/A' AS TABELA_SIMUL,'"&amp;F203&amp;"' AS CAMPO, "&amp;"'${ref_date}' AS REF_DATE, CAST(MIN("&amp;F203&amp;") AS STRING) AS VALOR_MIN, CAST(MAX("&amp;F203&amp;") AS STRING) AS VALOR_MAX,'"&amp;MAX('ID1&amp;5'!K:K)+1&amp;"' AS ID_EXEC, CURRENT_TIMESTAMP() AS TIME_EXEC FROM "&amp;MID(I203,1,LEN(I203)-2)&amp;" AND CAST("&amp;F203&amp;"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TABELA_SIMUL,'eba_cmplnt_mrtr_st_c19' AS CAMPO, '${ref_date}' AS REF_DATE, COUNT(*) AS NUM_REG, SUM(IF(COALESCE(CAST(X.eba_cmplnt_mrtr_st_c19 AS STRING),'')&lt;&gt;COALESCE(CAST(Y.eba_cmplnt_mrtr_st_c19_SIMUL AS STRING),'') OR (X.eba_cmplnt_mrtr_st_c19 IS NULL AND Y.eba_cmplnt_mrtr_st_c19_SIMUL IS NOT NULL ) OR (X.eba_cmplnt_mrtr_st_c19 IS NOT NULL AND Y.eba_cmplnt_mrtr_st_c19_SIMUL IS NULL),1,0)) AS NUM_REG_DIF,'1' AS ID_EXEC, CURRENT_TIMESTAMP() AS TIME_EXEC FROM (SELECT instrmnt_id, eba_cmplnt_mrtr_st_c19 FROM BU_LOANTAPE_WORK.LT002_INSTRUMENT WHERE ref_date='${ref_date}' AND nome_perimetro='Individual Local' AND segmento='ESTR' AND ambito='SRB_MBDT' AND entidade='00100')X INNER JOIN (SELECT instrmnt_id AS instrmnt_id_SIMUL, eba_cmplnt_mrtr_st_c19 AS eba_cmplnt_mrtr_st_c19_SIMUL FROM BU_LOANTAPE_WORK.SIMUL_LT002_INSTRUMENT WHERE ref_date='${ref_date}' AND nome_perimetro='Individual Local' AND segmento='ESTR' AND ambito='PILAR3' AND entidade='00100')Y ON X.INSTRMNT_ID=Y.INSTRMNT_ID_SIMUL</v>
      </c>
      <c r="M203" s="36" t="str">
        <f t="shared" si="6"/>
        <v>UNION ALL SELECT 'INSTRUMENT' AS TABELA, 'COERÊNCIA' AS TIPOLOGIA_TESTE,'BU_LOANTAPE_WORK.LT002_INSTRUMENT' AS TABELA_LT,'BU_LOANTAPE_WORK.SIMUL_LT002_INSTRUMENT' AS TABELA_SIMUL,'eba_cmplnt_mrtr_st_c19' AS CAMPO, '${ref_date}' AS REF_DATE, COUNT(*) AS NUM_REG, SUM(IF(COALESCE(CAST(X.eba_cmplnt_mrtr_st_c19 AS STRING),'')&lt;&gt;COALESCE(CAST(Y.eba_cmplnt_mrtr_st_c19_SIMUL AS STRING),'') OR (X.eba_cmplnt_mrtr_st_c19 IS NULL AND Y.eba_cmplnt_mrtr_st_c19_SIMUL IS NOT NULL ) OR (X.eba_cmplnt_mrtr_st_c19 IS NOT NULL AND Y.eba_cmplnt_mrtr_st_c19_SIMUL IS NULL),1,0)) AS NUM_REG_DIF,'1' AS ID_EXEC, CURRENT_TIMESTAMP() AS TIME_EXEC FROM (SELECT instrmnt_id, eba_cmplnt_mrtr_st_c19 FROM BU_LOANTAPE_WORK.LT002_INSTRUMENT WHERE ref_date='${ref_date}' AND nome_perimetro='Individual Local' AND segmento='ESTR' AND ambito='SRB_MBDT' AND entidade='00100')X INNER JOIN (SELECT instrmnt_id AS instrmnt_id_SIMUL, eba_cmplnt_mrtr_st_c19 AS eba_cmplnt_mrtr_st_c19_SIMUL FROM BU_LOANTAPE_WORK.SIMUL_LT002_INSTRUMENT WHERE ref_date='${ref_date}' AND nome_perimetro='Individual Local' AND segmento='ESTR' AND ambito='PILAR3' AND entidade='00100')Y ON X.INSTRMNT_ID=Y.INSTRMNT_ID_SIMUL</v>
      </c>
      <c r="N203" s="38"/>
    </row>
    <row r="204" spans="2:14">
      <c r="B204" s="34" t="s">
        <v>117</v>
      </c>
      <c r="C204" s="34" t="s">
        <v>5</v>
      </c>
      <c r="D204" s="34" t="str">
        <f>+UPPER('0. Instruções'!$D$35&amp;"."&amp;VLOOKUP(B204,'0. Instruções'!$C$27:$D$32,2,FALSE))</f>
        <v>BU_LOANTAPE_WORK.LT002_INSTRUMENT</v>
      </c>
      <c r="E204" s="34" t="str">
        <f>+UPPER('0. Instruções'!$D$36&amp;"."&amp;VLOOKUP(B204,'0. Instruções'!$C$27:$E$32,3,FALSE))</f>
        <v>BU_LOANTAPE_WORK.SIMUL_LT002_INSTRUMENT</v>
      </c>
      <c r="F204" s="34" t="s">
        <v>1266</v>
      </c>
      <c r="G204" s="34"/>
      <c r="H204" s="34"/>
      <c r="I204" s="34" t="str">
        <f>"(SELECT "&amp;VLOOKUP(B204,'0. Instruções'!$C$27:$G$32,4,FALSE)&amp;", "&amp;F204&amp;" FROM "&amp;D204&amp;" WHERE "&amp;'0. Instruções'!$D$42&amp;")X"</f>
        <v>(SELECT instrmnt_id, dt_cmplnt_mrtr_stts_c19 FROM BU_LOANTAPE_WORK.LT002_INSTRUMENT WHERE ref_date='${ref_date}' AND nome_perimetro='Individual Local' AND segmento='ESTR' AND ambito='SRB_MBDT' AND entidade='00100')X</v>
      </c>
      <c r="J204" s="34" t="str">
        <f>"(SELECT "&amp;VLOOKUP(B204,'0. Instruções'!$C$27:$G$32,4,FALSE)&amp;" AS "&amp;VLOOKUP(B204,'0. Instruções'!$C$27:$G$32,4,FALSE)&amp;"_SIMUL, "&amp;F204&amp;" AS "&amp;F204&amp;"_SIMUL FROM "&amp;E204&amp;" WHERE "&amp;'0. Instruções'!$D$43&amp;")Y"</f>
        <v>(SELECT instrmnt_id AS instrmnt_id_SIMUL, dt_cmplnt_mrtr_stts_c19 AS dt_cmplnt_mrtr_stts_c19_SIMUL FROM BU_LOANTAPE_WORK.SIMUL_LT002_INSTRUMENT WHERE ref_date='${ref_date}' AND nome_perimetro='Individual Local' AND segmento='ESTR' AND ambito='PILAR3' AND entidade='00100')Y</v>
      </c>
      <c r="K204" s="35" t="str">
        <f>+UPPER("ON X."&amp;VLOOKUP(B204,'0. Instruções'!$C$27:$G$32,4,FALSE)&amp;"=Y."&amp;VLOOKUP(B204,'0. Instruções'!$C$27:$G$32,4,FALSE)&amp;"_SIMUL")</f>
        <v>ON X.INSTRMNT_ID=Y.INSTRMNT_ID_SIMUL</v>
      </c>
      <c r="L204" s="35" t="str">
        <f>+IF(C204="Coerência", +IF(LEFT(G204,5)="FLOAT","SELECT '"&amp;UPPER(B204)&amp;"' AS TABELA, '"&amp;UPPER(C204)&amp;"' AS TIPOLOGIA_TESTE,'"&amp;D204&amp;"' AS TABELA_LT,'"&amp;E204&amp;"' AS TABELA_SIMUL,'"&amp;F204&amp;"' AS CAMPO, "&amp;"'${ref_date}' AS REF_DATE, COUNT(*) AS NUM_REG, SUM(IF((ABS(COALESCE(CAST(X."&amp;F204&amp;" AS DECIMAL(18,6)),0)-COALESCE(CAST(Y."&amp;F204&amp;"_SIMUL AS DECIMAL(18,6)),0))&gt;0.000001) OR (X."&amp;F204&amp;" IS NULL AND Y."&amp;F204&amp;"_SIMUL IS NOT NULL ) OR (X."&amp;F204&amp;" IS NOT NULL AND Y."&amp;F204&amp;"_SIMUL IS NULL),1,0)) AS NUM_REG_DIF,'"&amp;MAX('ID1&amp;5'!K:K)+1&amp;"' AS ID_EXEC, CURRENT_TIMESTAMP() AS TIME_EXEC FROM "&amp;I204&amp;" INNER JOIN "&amp;J204&amp;" "&amp;K204,"SELECT '"&amp;UPPER(B204)&amp;"' AS TABELA, '"&amp;UPPER(C204)&amp;"' AS TIPOLOGIA_TESTE,'"&amp;D204&amp;"' AS TABELA_LT,'"&amp;E204&amp;"' AS TABELA_SIMUL,'"&amp;F204&amp;"' AS CAMPO, "&amp;"'${ref_date}' AS REF_DATE, COUNT(*) AS NUM_REG, SUM(IF(COALESCE(CAST(X."&amp;F204&amp;" AS STRING),'')&lt;&gt;COALESCE(CAST(Y."&amp;F204&amp;"_SIMUL AS STRING),'') OR (X."&amp;F204&amp;" IS NULL AND Y."&amp;F204&amp;"_SIMUL IS NOT NULL ) OR (X."&amp;F204&amp;" IS NOT NULL AND Y."&amp;F204&amp;"_SIMUL IS NULL),1,0)) AS NUM_REG_DIF,'"&amp;MAX('ID1&amp;5'!L:L)+1&amp;"' AS ID_EXEC, CURRENT_TIMESTAMP() AS TIME_EXEC FROM "&amp;I204&amp;" INNER JOIN "&amp;J204&amp;" "&amp;K204),
IF(C204="Validade",+IF(G204="Code List","SELECT '"&amp;UPPER(B204)&amp;"' AS TABELA, '"&amp;UPPER(C204)&amp;"' AS TIPOLOGIA_TESTE,'"&amp;D204&amp;"' AS TABELA_LT,'N/A' AS TABELA_SIMUL,'"&amp;F204&amp;"' AS CAMPO, "&amp;"'${ref_date}' AS REF_DATE, COUNT(*) AS NUM_REG, SUM(IF(TRIM(CAST(X."&amp;F204&amp;" AS STRING))='' OR TRIM(CAST(X."&amp;F204&amp;" AS STRING)) IS NULL OR CAST(X."&amp;F204&amp;" AS STRING) NOT "&amp;H204&amp;",1,0)) AS NUM_REG_DIF,'"&amp;MAX('ID1&amp;5'!K:K)+1&amp;"' AS ID_EXEC, CURRENT_TIMESTAMP() AS TIME_EXEC FROM "&amp;I204,"SELECT '"&amp;UPPER(B204)&amp;"' AS TABELA, '"&amp;UPPER(C204)&amp;"' AS TIPOLOGIA_TESTE,'"&amp;D204&amp;"' AS TABELA_LT,'N/A' AS TABELA_SIMUL,'"&amp;F204&amp;"' AS CAMPO, "&amp;"'${ref_date}' AS REF_DATE, COUNT(*) AS NUM_REG, SUM(IF(TRIM(CAST(X."&amp;F204&amp;" AS STRING))='' OR TRIM(CAST(X."&amp;F204&amp;" AS STRING)) IS NULL,1,0)) AS NUM_REG_DIF,'"&amp;MAX('ID1&amp;5'!K:K)+1&amp;"' AS ID_EXEC, CURRENT_TIMESTAMP() AS TIME_EXEC FROM "&amp;I204),
IF(C204="Caracteres Especiais",+"SELECT '"&amp;UPPER(B204)&amp;"' AS TABELA, '"&amp;UPPER(C204)&amp;"' AS TIPOLOGIA_TESTE,'"&amp;D204&amp;"' AS TABELA_LT,'N/A' AS TABELA_SIMUL,'"&amp;F204&amp;"' AS CAMPO, "&amp;"'${ref_date}' AS REF_DATE, COUNT(*) AS NUM_REG, SUM(IF(REGEXP_REPLACE(TRIM(CAST(X."&amp;F204&amp;" AS STRING)),'[^a-zA-Z0-9_\\s]','') &lt;&gt;TRIM(CAST(X."&amp;F204&amp;" AS STRING)),1,0)) AS NUM_REG_DIF,'"&amp;MAX('ID1&amp;5'!K:K)+1&amp;"' AS ID_EXEC, CURRENT_TIMESTAMP() AS TIME_EXEC FROM "&amp;I204,
IF(C204="Missings",+"SELECT '"&amp;UPPER(B204)&amp;"' AS TABELA, '"&amp;UPPER(C204)&amp;"' AS TIPOLOGIA_TESTE,'"&amp;D204&amp;"' AS TABELA_LT,'N/A' AS TABELA_SIMUL,'"&amp;F204&amp;"' AS CAMPO, "&amp;"'${ref_date}' AS REF_DATE, COUNT(*) AS NUM_REG, SUM(IF(TRIM(CAST(X."&amp;F204&amp;" AS STRING)) IN ('0000-00-00','0001-01-01','9999-12-31','MISS','00000','99999999999','99999999999.00','99999999999.000000'),1,0)) AS NUM_REG_DIF,'"&amp;MAX('ID1&amp;5'!K:K)+1&amp;"' AS ID_EXEC, CURRENT_TIMESTAMP() AS TIME_EXEC FROM "&amp;I204,
IF(C204="Not applicable",+"SELECT '"&amp;UPPER(B204)&amp;"' AS TABELA, '"&amp;UPPER(C204)&amp;"' AS TIPOLOGIA_TESTE,'"&amp;D204&amp;"' AS TABELA_LT,'N/A' AS TABELA_SIMUL,'"&amp;F204&amp;"' AS CAMPO, "&amp;"'${ref_date}' AS REF_DATE, COUNT(*) AS NUM_REG, SUM(IF(TRIM(CAST(X."&amp;F204&amp;" AS STRING)) IN ('N/A','11111111111','11111111111.00','11111111111.000000','1111-11-11'),1,0)) AS NUM_REG_DIF,'"&amp;MAX('ID1&amp;5'!K:K)+1&amp;"' AS ID_EXEC, CURRENT_TIMESTAMP() AS TIME_EXEC FROM "&amp;I204,
IF(C204="Valores extremos",+"SELECT '"&amp;UPPER(B204)&amp;"' AS TABELA, '"&amp;UPPER(C204)&amp;"' AS TIPOLOGIA_TESTE,'"&amp;D204&amp;"' AS TABELA_LT,'N/A' AS TABELA_SIMUL,'"&amp;F204&amp;"' AS CAMPO, "&amp;"'${ref_date}' AS REF_DATE, CAST(MIN("&amp;F204&amp;") AS STRING) AS VALOR_MIN, CAST(MAX("&amp;F204&amp;") AS STRING) AS VALOR_MAX,'"&amp;MAX('ID1&amp;5'!K:K)+1&amp;"' AS ID_EXEC, CURRENT_TIMESTAMP() AS TIME_EXEC FROM "&amp;MID(I204,1,LEN(I204)-2)&amp;" AND CAST("&amp;F204&amp;"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TABELA_SIMUL,'dt_cmplnt_mrtr_stts_c19' AS CAMPO, '${ref_date}' AS REF_DATE, COUNT(*) AS NUM_REG, SUM(IF(COALESCE(CAST(X.dt_cmplnt_mrtr_stts_c19 AS STRING),'')&lt;&gt;COALESCE(CAST(Y.dt_cmplnt_mrtr_stts_c19_SIMUL AS STRING),'') OR (X.dt_cmplnt_mrtr_stts_c19 IS NULL AND Y.dt_cmplnt_mrtr_stts_c19_SIMUL IS NOT NULL ) OR (X.dt_cmplnt_mrtr_stts_c19 IS NOT NULL AND Y.dt_cmplnt_mrtr_stts_c19_SIMUL IS NULL),1,0)) AS NUM_REG_DIF,'1' AS ID_EXEC, CURRENT_TIMESTAMP() AS TIME_EXEC FROM (SELECT instrmnt_id, dt_cmplnt_mrtr_stts_c19 FROM BU_LOANTAPE_WORK.LT002_INSTRUMENT WHERE ref_date='${ref_date}' AND nome_perimetro='Individual Local' AND segmento='ESTR' AND ambito='SRB_MBDT' AND entidade='00100')X INNER JOIN (SELECT instrmnt_id AS instrmnt_id_SIMUL, dt_cmplnt_mrtr_stts_c19 AS dt_cmplnt_mrtr_stts_c19_SIMUL FROM BU_LOANTAPE_WORK.SIMUL_LT002_INSTRUMENT WHERE ref_date='${ref_date}' AND nome_perimetro='Individual Local' AND segmento='ESTR' AND ambito='PILAR3' AND entidade='00100')Y ON X.INSTRMNT_ID=Y.INSTRMNT_ID_SIMUL</v>
      </c>
      <c r="M204" s="36" t="str">
        <f t="shared" si="6"/>
        <v>UNION ALL SELECT 'INSTRUMENT' AS TABELA, 'COERÊNCIA' AS TIPOLOGIA_TESTE,'BU_LOANTAPE_WORK.LT002_INSTRUMENT' AS TABELA_LT,'BU_LOANTAPE_WORK.SIMUL_LT002_INSTRUMENT' AS TABELA_SIMUL,'dt_cmplnt_mrtr_stts_c19' AS CAMPO, '${ref_date}' AS REF_DATE, COUNT(*) AS NUM_REG, SUM(IF(COALESCE(CAST(X.dt_cmplnt_mrtr_stts_c19 AS STRING),'')&lt;&gt;COALESCE(CAST(Y.dt_cmplnt_mrtr_stts_c19_SIMUL AS STRING),'') OR (X.dt_cmplnt_mrtr_stts_c19 IS NULL AND Y.dt_cmplnt_mrtr_stts_c19_SIMUL IS NOT NULL ) OR (X.dt_cmplnt_mrtr_stts_c19 IS NOT NULL AND Y.dt_cmplnt_mrtr_stts_c19_SIMUL IS NULL),1,0)) AS NUM_REG_DIF,'1' AS ID_EXEC, CURRENT_TIMESTAMP() AS TIME_EXEC FROM (SELECT instrmnt_id, dt_cmplnt_mrtr_stts_c19 FROM BU_LOANTAPE_WORK.LT002_INSTRUMENT WHERE ref_date='${ref_date}' AND nome_perimetro='Individual Local' AND segmento='ESTR' AND ambito='SRB_MBDT' AND entidade='00100')X INNER JOIN (SELECT instrmnt_id AS instrmnt_id_SIMUL, dt_cmplnt_mrtr_stts_c19 AS dt_cmplnt_mrtr_stts_c19_SIMUL FROM BU_LOANTAPE_WORK.SIMUL_LT002_INSTRUMENT WHERE ref_date='${ref_date}' AND nome_perimetro='Individual Local' AND segmento='ESTR' AND ambito='PILAR3' AND entidade='00100')Y ON X.INSTRMNT_ID=Y.INSTRMNT_ID_SIMUL</v>
      </c>
      <c r="N204" s="38"/>
    </row>
    <row r="205" spans="2:14">
      <c r="B205" s="34" t="s">
        <v>117</v>
      </c>
      <c r="C205" s="34" t="s">
        <v>5</v>
      </c>
      <c r="D205" s="34" t="str">
        <f>+UPPER('0. Instruções'!$D$35&amp;"."&amp;VLOOKUP(B205,'0. Instruções'!$C$27:$D$32,2,FALSE))</f>
        <v>BU_LOANTAPE_WORK.LT002_INSTRUMENT</v>
      </c>
      <c r="E205" s="34" t="str">
        <f>+UPPER('0. Instruções'!$D$36&amp;"."&amp;VLOOKUP(B205,'0. Instruções'!$C$27:$E$32,3,FALSE))</f>
        <v>BU_LOANTAPE_WORK.SIMUL_LT002_INSTRUMENT</v>
      </c>
      <c r="F205" s="34" t="s">
        <v>1267</v>
      </c>
      <c r="G205" s="34"/>
      <c r="H205" s="34"/>
      <c r="I205" s="34" t="str">
        <f>"(SELECT "&amp;VLOOKUP(B205,'0. Instruções'!$C$27:$G$32,4,FALSE)&amp;", "&amp;F205&amp;" FROM "&amp;D205&amp;" WHERE "&amp;'0. Instruções'!$D$42&amp;")X"</f>
        <v>(SELECT instrmnt_id, dt_cmplnt_mrtr_stts_prvs_c19 FROM BU_LOANTAPE_WORK.LT002_INSTRUMENT WHERE ref_date='${ref_date}' AND nome_perimetro='Individual Local' AND segmento='ESTR' AND ambito='SRB_MBDT' AND entidade='00100')X</v>
      </c>
      <c r="J205" s="34" t="str">
        <f>"(SELECT "&amp;VLOOKUP(B205,'0. Instruções'!$C$27:$G$32,4,FALSE)&amp;" AS "&amp;VLOOKUP(B205,'0. Instruções'!$C$27:$G$32,4,FALSE)&amp;"_SIMUL, "&amp;F205&amp;" AS "&amp;F205&amp;"_SIMUL FROM "&amp;E205&amp;" WHERE "&amp;'0. Instruções'!$D$43&amp;")Y"</f>
        <v>(SELECT instrmnt_id AS instrmnt_id_SIMUL, dt_cmplnt_mrtr_stts_prvs_c19 AS dt_cmplnt_mrtr_stts_prvs_c19_SIMUL FROM BU_LOANTAPE_WORK.SIMUL_LT002_INSTRUMENT WHERE ref_date='${ref_date}' AND nome_perimetro='Individual Local' AND segmento='ESTR' AND ambito='PILAR3' AND entidade='00100')Y</v>
      </c>
      <c r="K205" s="35" t="str">
        <f>+UPPER("ON X."&amp;VLOOKUP(B205,'0. Instruções'!$C$27:$G$32,4,FALSE)&amp;"=Y."&amp;VLOOKUP(B205,'0. Instruções'!$C$27:$G$32,4,FALSE)&amp;"_SIMUL")</f>
        <v>ON X.INSTRMNT_ID=Y.INSTRMNT_ID_SIMUL</v>
      </c>
      <c r="L205" s="35" t="str">
        <f>+IF(C205="Coerência", +IF(LEFT(G205,5)="FLOAT","SELECT '"&amp;UPPER(B205)&amp;"' AS TABELA, '"&amp;UPPER(C205)&amp;"' AS TIPOLOGIA_TESTE,'"&amp;D205&amp;"' AS TABELA_LT,'"&amp;E205&amp;"' AS TABELA_SIMUL,'"&amp;F205&amp;"' AS CAMPO, "&amp;"'${ref_date}' AS REF_DATE, COUNT(*) AS NUM_REG, SUM(IF((ABS(COALESCE(CAST(X."&amp;F205&amp;" AS DECIMAL(18,6)),0)-COALESCE(CAST(Y."&amp;F205&amp;"_SIMUL AS DECIMAL(18,6)),0))&gt;0.000001) OR (X."&amp;F205&amp;" IS NULL AND Y."&amp;F205&amp;"_SIMUL IS NOT NULL ) OR (X."&amp;F205&amp;" IS NOT NULL AND Y."&amp;F205&amp;"_SIMUL IS NULL),1,0)) AS NUM_REG_DIF,'"&amp;MAX('ID1&amp;5'!K:K)+1&amp;"' AS ID_EXEC, CURRENT_TIMESTAMP() AS TIME_EXEC FROM "&amp;I205&amp;" INNER JOIN "&amp;J205&amp;" "&amp;K205,"SELECT '"&amp;UPPER(B205)&amp;"' AS TABELA, '"&amp;UPPER(C205)&amp;"' AS TIPOLOGIA_TESTE,'"&amp;D205&amp;"' AS TABELA_LT,'"&amp;E205&amp;"' AS TABELA_SIMUL,'"&amp;F205&amp;"' AS CAMPO, "&amp;"'${ref_date}' AS REF_DATE, COUNT(*) AS NUM_REG, SUM(IF(COALESCE(CAST(X."&amp;F205&amp;" AS STRING),'')&lt;&gt;COALESCE(CAST(Y."&amp;F205&amp;"_SIMUL AS STRING),'') OR (X."&amp;F205&amp;" IS NULL AND Y."&amp;F205&amp;"_SIMUL IS NOT NULL ) OR (X."&amp;F205&amp;" IS NOT NULL AND Y."&amp;F205&amp;"_SIMUL IS NULL),1,0)) AS NUM_REG_DIF,'"&amp;MAX('ID1&amp;5'!L:L)+1&amp;"' AS ID_EXEC, CURRENT_TIMESTAMP() AS TIME_EXEC FROM "&amp;I205&amp;" INNER JOIN "&amp;J205&amp;" "&amp;K205),
IF(C205="Validade",+IF(G205="Code List","SELECT '"&amp;UPPER(B205)&amp;"' AS TABELA, '"&amp;UPPER(C205)&amp;"' AS TIPOLOGIA_TESTE,'"&amp;D205&amp;"' AS TABELA_LT,'N/A' AS TABELA_SIMUL,'"&amp;F205&amp;"' AS CAMPO, "&amp;"'${ref_date}' AS REF_DATE, COUNT(*) AS NUM_REG, SUM(IF(TRIM(CAST(X."&amp;F205&amp;" AS STRING))='' OR TRIM(CAST(X."&amp;F205&amp;" AS STRING)) IS NULL OR CAST(X."&amp;F205&amp;" AS STRING) NOT "&amp;H205&amp;",1,0)) AS NUM_REG_DIF,'"&amp;MAX('ID1&amp;5'!K:K)+1&amp;"' AS ID_EXEC, CURRENT_TIMESTAMP() AS TIME_EXEC FROM "&amp;I205,"SELECT '"&amp;UPPER(B205)&amp;"' AS TABELA, '"&amp;UPPER(C205)&amp;"' AS TIPOLOGIA_TESTE,'"&amp;D205&amp;"' AS TABELA_LT,'N/A' AS TABELA_SIMUL,'"&amp;F205&amp;"' AS CAMPO, "&amp;"'${ref_date}' AS REF_DATE, COUNT(*) AS NUM_REG, SUM(IF(TRIM(CAST(X."&amp;F205&amp;" AS STRING))='' OR TRIM(CAST(X."&amp;F205&amp;" AS STRING)) IS NULL,1,0)) AS NUM_REG_DIF,'"&amp;MAX('ID1&amp;5'!K:K)+1&amp;"' AS ID_EXEC, CURRENT_TIMESTAMP() AS TIME_EXEC FROM "&amp;I205),
IF(C205="Caracteres Especiais",+"SELECT '"&amp;UPPER(B205)&amp;"' AS TABELA, '"&amp;UPPER(C205)&amp;"' AS TIPOLOGIA_TESTE,'"&amp;D205&amp;"' AS TABELA_LT,'N/A' AS TABELA_SIMUL,'"&amp;F205&amp;"' AS CAMPO, "&amp;"'${ref_date}' AS REF_DATE, COUNT(*) AS NUM_REG, SUM(IF(REGEXP_REPLACE(TRIM(CAST(X."&amp;F205&amp;" AS STRING)),'[^a-zA-Z0-9_\\s]','') &lt;&gt;TRIM(CAST(X."&amp;F205&amp;" AS STRING)),1,0)) AS NUM_REG_DIF,'"&amp;MAX('ID1&amp;5'!K:K)+1&amp;"' AS ID_EXEC, CURRENT_TIMESTAMP() AS TIME_EXEC FROM "&amp;I205,
IF(C205="Missings",+"SELECT '"&amp;UPPER(B205)&amp;"' AS TABELA, '"&amp;UPPER(C205)&amp;"' AS TIPOLOGIA_TESTE,'"&amp;D205&amp;"' AS TABELA_LT,'N/A' AS TABELA_SIMUL,'"&amp;F205&amp;"' AS CAMPO, "&amp;"'${ref_date}' AS REF_DATE, COUNT(*) AS NUM_REG, SUM(IF(TRIM(CAST(X."&amp;F205&amp;" AS STRING)) IN ('0000-00-00','0001-01-01','9999-12-31','MISS','00000','99999999999','99999999999.00','99999999999.000000'),1,0)) AS NUM_REG_DIF,'"&amp;MAX('ID1&amp;5'!K:K)+1&amp;"' AS ID_EXEC, CURRENT_TIMESTAMP() AS TIME_EXEC FROM "&amp;I205,
IF(C205="Not applicable",+"SELECT '"&amp;UPPER(B205)&amp;"' AS TABELA, '"&amp;UPPER(C205)&amp;"' AS TIPOLOGIA_TESTE,'"&amp;D205&amp;"' AS TABELA_LT,'N/A' AS TABELA_SIMUL,'"&amp;F205&amp;"' AS CAMPO, "&amp;"'${ref_date}' AS REF_DATE, COUNT(*) AS NUM_REG, SUM(IF(TRIM(CAST(X."&amp;F205&amp;" AS STRING)) IN ('N/A','11111111111','11111111111.00','11111111111.000000','1111-11-11'),1,0)) AS NUM_REG_DIF,'"&amp;MAX('ID1&amp;5'!K:K)+1&amp;"' AS ID_EXEC, CURRENT_TIMESTAMP() AS TIME_EXEC FROM "&amp;I205,
IF(C205="Valores extremos",+"SELECT '"&amp;UPPER(B205)&amp;"' AS TABELA, '"&amp;UPPER(C205)&amp;"' AS TIPOLOGIA_TESTE,'"&amp;D205&amp;"' AS TABELA_LT,'N/A' AS TABELA_SIMUL,'"&amp;F205&amp;"' AS CAMPO, "&amp;"'${ref_date}' AS REF_DATE, CAST(MIN("&amp;F205&amp;") AS STRING) AS VALOR_MIN, CAST(MAX("&amp;F205&amp;") AS STRING) AS VALOR_MAX,'"&amp;MAX('ID1&amp;5'!K:K)+1&amp;"' AS ID_EXEC, CURRENT_TIMESTAMP() AS TIME_EXEC FROM "&amp;MID(I205,1,LEN(I205)-2)&amp;" AND CAST("&amp;F205&amp;"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TABELA_SIMUL,'dt_cmplnt_mrtr_stts_prvs_c19' AS CAMPO, '${ref_date}' AS REF_DATE, COUNT(*) AS NUM_REG, SUM(IF(COALESCE(CAST(X.dt_cmplnt_mrtr_stts_prvs_c19 AS STRING),'')&lt;&gt;COALESCE(CAST(Y.dt_cmplnt_mrtr_stts_prvs_c19_SIMUL AS STRING),'') OR (X.dt_cmplnt_mrtr_stts_prvs_c19 IS NULL AND Y.dt_cmplnt_mrtr_stts_prvs_c19_SIMUL IS NOT NULL ) OR (X.dt_cmplnt_mrtr_stts_prvs_c19 IS NOT NULL AND Y.dt_cmplnt_mrtr_stts_prvs_c19_SIMUL IS NULL),1,0)) AS NUM_REG_DIF,'1' AS ID_EXEC, CURRENT_TIMESTAMP() AS TIME_EXEC FROM (SELECT instrmnt_id, dt_cmplnt_mrtr_stts_prvs_c19 FROM BU_LOANTAPE_WORK.LT002_INSTRUMENT WHERE ref_date='${ref_date}' AND nome_perimetro='Individual Local' AND segmento='ESTR' AND ambito='SRB_MBDT' AND entidade='00100')X INNER JOIN (SELECT instrmnt_id AS instrmnt_id_SIMUL, dt_cmplnt_mrtr_stts_prvs_c19 AS dt_cmplnt_mrtr_stts_prvs_c19_SIMUL FROM BU_LOANTAPE_WORK.SIMUL_LT002_INSTRUMENT WHERE ref_date='${ref_date}' AND nome_perimetro='Individual Local' AND segmento='ESTR' AND ambito='PILAR3' AND entidade='00100')Y ON X.INSTRMNT_ID=Y.INSTRMNT_ID_SIMUL</v>
      </c>
      <c r="M205" s="36" t="str">
        <f t="shared" si="6"/>
        <v>UNION ALL SELECT 'INSTRUMENT' AS TABELA, 'COERÊNCIA' AS TIPOLOGIA_TESTE,'BU_LOANTAPE_WORK.LT002_INSTRUMENT' AS TABELA_LT,'BU_LOANTAPE_WORK.SIMUL_LT002_INSTRUMENT' AS TABELA_SIMUL,'dt_cmplnt_mrtr_stts_prvs_c19' AS CAMPO, '${ref_date}' AS REF_DATE, COUNT(*) AS NUM_REG, SUM(IF(COALESCE(CAST(X.dt_cmplnt_mrtr_stts_prvs_c19 AS STRING),'')&lt;&gt;COALESCE(CAST(Y.dt_cmplnt_mrtr_stts_prvs_c19_SIMUL AS STRING),'') OR (X.dt_cmplnt_mrtr_stts_prvs_c19 IS NULL AND Y.dt_cmplnt_mrtr_stts_prvs_c19_SIMUL IS NOT NULL ) OR (X.dt_cmplnt_mrtr_stts_prvs_c19 IS NOT NULL AND Y.dt_cmplnt_mrtr_stts_prvs_c19_SIMUL IS NULL),1,0)) AS NUM_REG_DIF,'1' AS ID_EXEC, CURRENT_TIMESTAMP() AS TIME_EXEC FROM (SELECT instrmnt_id, dt_cmplnt_mrtr_stts_prvs_c19 FROM BU_LOANTAPE_WORK.LT002_INSTRUMENT WHERE ref_date='${ref_date}' AND nome_perimetro='Individual Local' AND segmento='ESTR' AND ambito='SRB_MBDT' AND entidade='00100')X INNER JOIN (SELECT instrmnt_id AS instrmnt_id_SIMUL, dt_cmplnt_mrtr_stts_prvs_c19 AS dt_cmplnt_mrtr_stts_prvs_c19_SIMUL FROM BU_LOANTAPE_WORK.SIMUL_LT002_INSTRUMENT WHERE ref_date='${ref_date}' AND nome_perimetro='Individual Local' AND segmento='ESTR' AND ambito='PILAR3' AND entidade='00100')Y ON X.INSTRMNT_ID=Y.INSTRMNT_ID_SIMUL</v>
      </c>
      <c r="N205" s="38"/>
    </row>
    <row r="206" spans="2:14">
      <c r="B206" s="34" t="s">
        <v>117</v>
      </c>
      <c r="C206" s="34" t="s">
        <v>5</v>
      </c>
      <c r="D206" s="34" t="str">
        <f>+UPPER('0. Instruções'!$D$35&amp;"."&amp;VLOOKUP(B206,'0. Instruções'!$C$27:$D$32,2,FALSE))</f>
        <v>BU_LOANTAPE_WORK.LT002_INSTRUMENT</v>
      </c>
      <c r="E206" s="34" t="str">
        <f>+UPPER('0. Instruções'!$D$36&amp;"."&amp;VLOOKUP(B206,'0. Instruções'!$C$27:$E$32,3,FALSE))</f>
        <v>BU_LOANTAPE_WORK.SIMUL_LT002_INSTRUMENT</v>
      </c>
      <c r="F206" s="34" t="s">
        <v>1268</v>
      </c>
      <c r="G206" s="34"/>
      <c r="H206" s="34"/>
      <c r="I206" s="34" t="str">
        <f>"(SELECT "&amp;VLOOKUP(B206,'0. Instruções'!$C$27:$G$32,4,FALSE)&amp;", "&amp;F206&amp;" FROM "&amp;D206&amp;" WHERE "&amp;'0. Instruções'!$D$42&amp;")X"</f>
        <v>(SELECT instrmnt_id, mtrty_ltst_mrtr_c19 FROM BU_LOANTAPE_WORK.LT002_INSTRUMENT WHERE ref_date='${ref_date}' AND nome_perimetro='Individual Local' AND segmento='ESTR' AND ambito='SRB_MBDT' AND entidade='00100')X</v>
      </c>
      <c r="J206" s="34" t="str">
        <f>"(SELECT "&amp;VLOOKUP(B206,'0. Instruções'!$C$27:$G$32,4,FALSE)&amp;" AS "&amp;VLOOKUP(B206,'0. Instruções'!$C$27:$G$32,4,FALSE)&amp;"_SIMUL, "&amp;F206&amp;" AS "&amp;F206&amp;"_SIMUL FROM "&amp;E206&amp;" WHERE "&amp;'0. Instruções'!$D$43&amp;")Y"</f>
        <v>(SELECT instrmnt_id AS instrmnt_id_SIMUL, mtrty_ltst_mrtr_c19 AS mtrty_ltst_mrtr_c19_SIMUL FROM BU_LOANTAPE_WORK.SIMUL_LT002_INSTRUMENT WHERE ref_date='${ref_date}' AND nome_perimetro='Individual Local' AND segmento='ESTR' AND ambito='PILAR3' AND entidade='00100')Y</v>
      </c>
      <c r="K206" s="35" t="str">
        <f>+UPPER("ON X."&amp;VLOOKUP(B206,'0. Instruções'!$C$27:$G$32,4,FALSE)&amp;"=Y."&amp;VLOOKUP(B206,'0. Instruções'!$C$27:$G$32,4,FALSE)&amp;"_SIMUL")</f>
        <v>ON X.INSTRMNT_ID=Y.INSTRMNT_ID_SIMUL</v>
      </c>
      <c r="L206" s="35" t="str">
        <f>+IF(C206="Coerência", +IF(LEFT(G206,5)="FLOAT","SELECT '"&amp;UPPER(B206)&amp;"' AS TABELA, '"&amp;UPPER(C206)&amp;"' AS TIPOLOGIA_TESTE,'"&amp;D206&amp;"' AS TABELA_LT,'"&amp;E206&amp;"' AS TABELA_SIMUL,'"&amp;F206&amp;"' AS CAMPO, "&amp;"'${ref_date}' AS REF_DATE, COUNT(*) AS NUM_REG, SUM(IF((ABS(COALESCE(CAST(X."&amp;F206&amp;" AS DECIMAL(18,6)),0)-COALESCE(CAST(Y."&amp;F206&amp;"_SIMUL AS DECIMAL(18,6)),0))&gt;0.000001) OR (X."&amp;F206&amp;" IS NULL AND Y."&amp;F206&amp;"_SIMUL IS NOT NULL ) OR (X."&amp;F206&amp;" IS NOT NULL AND Y."&amp;F206&amp;"_SIMUL IS NULL),1,0)) AS NUM_REG_DIF,'"&amp;MAX('ID1&amp;5'!K:K)+1&amp;"' AS ID_EXEC, CURRENT_TIMESTAMP() AS TIME_EXEC FROM "&amp;I206&amp;" INNER JOIN "&amp;J206&amp;" "&amp;K206,"SELECT '"&amp;UPPER(B206)&amp;"' AS TABELA, '"&amp;UPPER(C206)&amp;"' AS TIPOLOGIA_TESTE,'"&amp;D206&amp;"' AS TABELA_LT,'"&amp;E206&amp;"' AS TABELA_SIMUL,'"&amp;F206&amp;"' AS CAMPO, "&amp;"'${ref_date}' AS REF_DATE, COUNT(*) AS NUM_REG, SUM(IF(COALESCE(CAST(X."&amp;F206&amp;" AS STRING),'')&lt;&gt;COALESCE(CAST(Y."&amp;F206&amp;"_SIMUL AS STRING),'') OR (X."&amp;F206&amp;" IS NULL AND Y."&amp;F206&amp;"_SIMUL IS NOT NULL ) OR (X."&amp;F206&amp;" IS NOT NULL AND Y."&amp;F206&amp;"_SIMUL IS NULL),1,0)) AS NUM_REG_DIF,'"&amp;MAX('ID1&amp;5'!L:L)+1&amp;"' AS ID_EXEC, CURRENT_TIMESTAMP() AS TIME_EXEC FROM "&amp;I206&amp;" INNER JOIN "&amp;J206&amp;" "&amp;K206),
IF(C206="Validade",+IF(G206="Code List","SELECT '"&amp;UPPER(B206)&amp;"' AS TABELA, '"&amp;UPPER(C206)&amp;"' AS TIPOLOGIA_TESTE,'"&amp;D206&amp;"' AS TABELA_LT,'N/A' AS TABELA_SIMUL,'"&amp;F206&amp;"' AS CAMPO, "&amp;"'${ref_date}' AS REF_DATE, COUNT(*) AS NUM_REG, SUM(IF(TRIM(CAST(X."&amp;F206&amp;" AS STRING))='' OR TRIM(CAST(X."&amp;F206&amp;" AS STRING)) IS NULL OR CAST(X."&amp;F206&amp;" AS STRING) NOT "&amp;H206&amp;",1,0)) AS NUM_REG_DIF,'"&amp;MAX('ID1&amp;5'!K:K)+1&amp;"' AS ID_EXEC, CURRENT_TIMESTAMP() AS TIME_EXEC FROM "&amp;I206,"SELECT '"&amp;UPPER(B206)&amp;"' AS TABELA, '"&amp;UPPER(C206)&amp;"' AS TIPOLOGIA_TESTE,'"&amp;D206&amp;"' AS TABELA_LT,'N/A' AS TABELA_SIMUL,'"&amp;F206&amp;"' AS CAMPO, "&amp;"'${ref_date}' AS REF_DATE, COUNT(*) AS NUM_REG, SUM(IF(TRIM(CAST(X."&amp;F206&amp;" AS STRING))='' OR TRIM(CAST(X."&amp;F206&amp;" AS STRING)) IS NULL,1,0)) AS NUM_REG_DIF,'"&amp;MAX('ID1&amp;5'!K:K)+1&amp;"' AS ID_EXEC, CURRENT_TIMESTAMP() AS TIME_EXEC FROM "&amp;I206),
IF(C206="Caracteres Especiais",+"SELECT '"&amp;UPPER(B206)&amp;"' AS TABELA, '"&amp;UPPER(C206)&amp;"' AS TIPOLOGIA_TESTE,'"&amp;D206&amp;"' AS TABELA_LT,'N/A' AS TABELA_SIMUL,'"&amp;F206&amp;"' AS CAMPO, "&amp;"'${ref_date}' AS REF_DATE, COUNT(*) AS NUM_REG, SUM(IF(REGEXP_REPLACE(TRIM(CAST(X."&amp;F206&amp;" AS STRING)),'[^a-zA-Z0-9_\\s]','') &lt;&gt;TRIM(CAST(X."&amp;F206&amp;" AS STRING)),1,0)) AS NUM_REG_DIF,'"&amp;MAX('ID1&amp;5'!K:K)+1&amp;"' AS ID_EXEC, CURRENT_TIMESTAMP() AS TIME_EXEC FROM "&amp;I206,
IF(C206="Missings",+"SELECT '"&amp;UPPER(B206)&amp;"' AS TABELA, '"&amp;UPPER(C206)&amp;"' AS TIPOLOGIA_TESTE,'"&amp;D206&amp;"' AS TABELA_LT,'N/A' AS TABELA_SIMUL,'"&amp;F206&amp;"' AS CAMPO, "&amp;"'${ref_date}' AS REF_DATE, COUNT(*) AS NUM_REG, SUM(IF(TRIM(CAST(X."&amp;F206&amp;" AS STRING)) IN ('0000-00-00','0001-01-01','9999-12-31','MISS','00000','99999999999','99999999999.00','99999999999.000000'),1,0)) AS NUM_REG_DIF,'"&amp;MAX('ID1&amp;5'!K:K)+1&amp;"' AS ID_EXEC, CURRENT_TIMESTAMP() AS TIME_EXEC FROM "&amp;I206,
IF(C206="Not applicable",+"SELECT '"&amp;UPPER(B206)&amp;"' AS TABELA, '"&amp;UPPER(C206)&amp;"' AS TIPOLOGIA_TESTE,'"&amp;D206&amp;"' AS TABELA_LT,'N/A' AS TABELA_SIMUL,'"&amp;F206&amp;"' AS CAMPO, "&amp;"'${ref_date}' AS REF_DATE, COUNT(*) AS NUM_REG, SUM(IF(TRIM(CAST(X."&amp;F206&amp;" AS STRING)) IN ('N/A','11111111111','11111111111.00','11111111111.000000','1111-11-11'),1,0)) AS NUM_REG_DIF,'"&amp;MAX('ID1&amp;5'!K:K)+1&amp;"' AS ID_EXEC, CURRENT_TIMESTAMP() AS TIME_EXEC FROM "&amp;I206,
IF(C206="Valores extremos",+"SELECT '"&amp;UPPER(B206)&amp;"' AS TABELA, '"&amp;UPPER(C206)&amp;"' AS TIPOLOGIA_TESTE,'"&amp;D206&amp;"' AS TABELA_LT,'N/A' AS TABELA_SIMUL,'"&amp;F206&amp;"' AS CAMPO, "&amp;"'${ref_date}' AS REF_DATE, CAST(MIN("&amp;F206&amp;") AS STRING) AS VALOR_MIN, CAST(MAX("&amp;F206&amp;") AS STRING) AS VALOR_MAX,'"&amp;MAX('ID1&amp;5'!K:K)+1&amp;"' AS ID_EXEC, CURRENT_TIMESTAMP() AS TIME_EXEC FROM "&amp;MID(I206,1,LEN(I206)-2)&amp;" AND CAST("&amp;F206&amp;"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TABELA_SIMUL,'mtrty_ltst_mrtr_c19' AS CAMPO, '${ref_date}' AS REF_DATE, COUNT(*) AS NUM_REG, SUM(IF(COALESCE(CAST(X.mtrty_ltst_mrtr_c19 AS STRING),'')&lt;&gt;COALESCE(CAST(Y.mtrty_ltst_mrtr_c19_SIMUL AS STRING),'') OR (X.mtrty_ltst_mrtr_c19 IS NULL AND Y.mtrty_ltst_mrtr_c19_SIMUL IS NOT NULL ) OR (X.mtrty_ltst_mrtr_c19 IS NOT NULL AND Y.mtrty_ltst_mrtr_c19_SIMUL IS NULL),1,0)) AS NUM_REG_DIF,'1' AS ID_EXEC, CURRENT_TIMESTAMP() AS TIME_EXEC FROM (SELECT instrmnt_id, mtrty_ltst_mrtr_c19 FROM BU_LOANTAPE_WORK.LT002_INSTRUMENT WHERE ref_date='${ref_date}' AND nome_perimetro='Individual Local' AND segmento='ESTR' AND ambito='SRB_MBDT' AND entidade='00100')X INNER JOIN (SELECT instrmnt_id AS instrmnt_id_SIMUL, mtrty_ltst_mrtr_c19 AS mtrty_ltst_mrtr_c19_SIMUL FROM BU_LOANTAPE_WORK.SIMUL_LT002_INSTRUMENT WHERE ref_date='${ref_date}' AND nome_perimetro='Individual Local' AND segmento='ESTR' AND ambito='PILAR3' AND entidade='00100')Y ON X.INSTRMNT_ID=Y.INSTRMNT_ID_SIMUL</v>
      </c>
      <c r="M206" s="36" t="str">
        <f t="shared" si="6"/>
        <v>UNION ALL SELECT 'INSTRUMENT' AS TABELA, 'COERÊNCIA' AS TIPOLOGIA_TESTE,'BU_LOANTAPE_WORK.LT002_INSTRUMENT' AS TABELA_LT,'BU_LOANTAPE_WORK.SIMUL_LT002_INSTRUMENT' AS TABELA_SIMUL,'mtrty_ltst_mrtr_c19' AS CAMPO, '${ref_date}' AS REF_DATE, COUNT(*) AS NUM_REG, SUM(IF(COALESCE(CAST(X.mtrty_ltst_mrtr_c19 AS STRING),'')&lt;&gt;COALESCE(CAST(Y.mtrty_ltst_mrtr_c19_SIMUL AS STRING),'') OR (X.mtrty_ltst_mrtr_c19 IS NULL AND Y.mtrty_ltst_mrtr_c19_SIMUL IS NOT NULL ) OR (X.mtrty_ltst_mrtr_c19 IS NOT NULL AND Y.mtrty_ltst_mrtr_c19_SIMUL IS NULL),1,0)) AS NUM_REG_DIF,'1' AS ID_EXEC, CURRENT_TIMESTAMP() AS TIME_EXEC FROM (SELECT instrmnt_id, mtrty_ltst_mrtr_c19 FROM BU_LOANTAPE_WORK.LT002_INSTRUMENT WHERE ref_date='${ref_date}' AND nome_perimetro='Individual Local' AND segmento='ESTR' AND ambito='SRB_MBDT' AND entidade='00100')X INNER JOIN (SELECT instrmnt_id AS instrmnt_id_SIMUL, mtrty_ltst_mrtr_c19 AS mtrty_ltst_mrtr_c19_SIMUL FROM BU_LOANTAPE_WORK.SIMUL_LT002_INSTRUMENT WHERE ref_date='${ref_date}' AND nome_perimetro='Individual Local' AND segmento='ESTR' AND ambito='PILAR3' AND entidade='00100')Y ON X.INSTRMNT_ID=Y.INSTRMNT_ID_SIMUL</v>
      </c>
      <c r="N206" s="38"/>
    </row>
    <row r="207" spans="2:14">
      <c r="B207" s="34" t="s">
        <v>117</v>
      </c>
      <c r="C207" s="34" t="s">
        <v>5</v>
      </c>
      <c r="D207" s="34" t="str">
        <f>+UPPER('0. Instruções'!$D$35&amp;"."&amp;VLOOKUP(B207,'0. Instruções'!$C$27:$D$32,2,FALSE))</f>
        <v>BU_LOANTAPE_WORK.LT002_INSTRUMENT</v>
      </c>
      <c r="E207" s="34" t="str">
        <f>+UPPER('0. Instruções'!$D$36&amp;"."&amp;VLOOKUP(B207,'0. Instruções'!$C$27:$E$32,3,FALSE))</f>
        <v>BU_LOANTAPE_WORK.SIMUL_LT002_INSTRUMENT</v>
      </c>
      <c r="F207" s="34" t="s">
        <v>1269</v>
      </c>
      <c r="G207" s="34"/>
      <c r="H207" s="34"/>
      <c r="I207" s="34" t="str">
        <f>"(SELECT "&amp;VLOOKUP(B207,'0. Instruções'!$C$27:$G$32,4,FALSE)&amp;", "&amp;F207&amp;" FROM "&amp;D207&amp;" WHERE "&amp;'0. Instruções'!$D$42&amp;")X"</f>
        <v>(SELECT instrmnt_id, typ_cmplnt_mrtr_c19 FROM BU_LOANTAPE_WORK.LT002_INSTRUMENT WHERE ref_date='${ref_date}' AND nome_perimetro='Individual Local' AND segmento='ESTR' AND ambito='SRB_MBDT' AND entidade='00100')X</v>
      </c>
      <c r="J207" s="34" t="str">
        <f>"(SELECT "&amp;VLOOKUP(B207,'0. Instruções'!$C$27:$G$32,4,FALSE)&amp;" AS "&amp;VLOOKUP(B207,'0. Instruções'!$C$27:$G$32,4,FALSE)&amp;"_SIMUL, "&amp;F207&amp;" AS "&amp;F207&amp;"_SIMUL FROM "&amp;E207&amp;" WHERE "&amp;'0. Instruções'!$D$43&amp;")Y"</f>
        <v>(SELECT instrmnt_id AS instrmnt_id_SIMUL, typ_cmplnt_mrtr_c19 AS typ_cmplnt_mrtr_c19_SIMUL FROM BU_LOANTAPE_WORK.SIMUL_LT002_INSTRUMENT WHERE ref_date='${ref_date}' AND nome_perimetro='Individual Local' AND segmento='ESTR' AND ambito='PILAR3' AND entidade='00100')Y</v>
      </c>
      <c r="K207" s="35" t="str">
        <f>+UPPER("ON X."&amp;VLOOKUP(B207,'0. Instruções'!$C$27:$G$32,4,FALSE)&amp;"=Y."&amp;VLOOKUP(B207,'0. Instruções'!$C$27:$G$32,4,FALSE)&amp;"_SIMUL")</f>
        <v>ON X.INSTRMNT_ID=Y.INSTRMNT_ID_SIMUL</v>
      </c>
      <c r="L207" s="35" t="str">
        <f>+IF(C207="Coerência", +IF(LEFT(G207,5)="FLOAT","SELECT '"&amp;UPPER(B207)&amp;"' AS TABELA, '"&amp;UPPER(C207)&amp;"' AS TIPOLOGIA_TESTE,'"&amp;D207&amp;"' AS TABELA_LT,'"&amp;E207&amp;"' AS TABELA_SIMUL,'"&amp;F207&amp;"' AS CAMPO, "&amp;"'${ref_date}' AS REF_DATE, COUNT(*) AS NUM_REG, SUM(IF((ABS(COALESCE(CAST(X."&amp;F207&amp;" AS DECIMAL(18,6)),0)-COALESCE(CAST(Y."&amp;F207&amp;"_SIMUL AS DECIMAL(18,6)),0))&gt;0.000001) OR (X."&amp;F207&amp;" IS NULL AND Y."&amp;F207&amp;"_SIMUL IS NOT NULL ) OR (X."&amp;F207&amp;" IS NOT NULL AND Y."&amp;F207&amp;"_SIMUL IS NULL),1,0)) AS NUM_REG_DIF,'"&amp;MAX('ID1&amp;5'!K:K)+1&amp;"' AS ID_EXEC, CURRENT_TIMESTAMP() AS TIME_EXEC FROM "&amp;I207&amp;" INNER JOIN "&amp;J207&amp;" "&amp;K207,"SELECT '"&amp;UPPER(B207)&amp;"' AS TABELA, '"&amp;UPPER(C207)&amp;"' AS TIPOLOGIA_TESTE,'"&amp;D207&amp;"' AS TABELA_LT,'"&amp;E207&amp;"' AS TABELA_SIMUL,'"&amp;F207&amp;"' AS CAMPO, "&amp;"'${ref_date}' AS REF_DATE, COUNT(*) AS NUM_REG, SUM(IF(COALESCE(CAST(X."&amp;F207&amp;" AS STRING),'')&lt;&gt;COALESCE(CAST(Y."&amp;F207&amp;"_SIMUL AS STRING),'') OR (X."&amp;F207&amp;" IS NULL AND Y."&amp;F207&amp;"_SIMUL IS NOT NULL ) OR (X."&amp;F207&amp;" IS NOT NULL AND Y."&amp;F207&amp;"_SIMUL IS NULL),1,0)) AS NUM_REG_DIF,'"&amp;MAX('ID1&amp;5'!L:L)+1&amp;"' AS ID_EXEC, CURRENT_TIMESTAMP() AS TIME_EXEC FROM "&amp;I207&amp;" INNER JOIN "&amp;J207&amp;" "&amp;K207),
IF(C207="Validade",+IF(G207="Code List","SELECT '"&amp;UPPER(B207)&amp;"' AS TABELA, '"&amp;UPPER(C207)&amp;"' AS TIPOLOGIA_TESTE,'"&amp;D207&amp;"' AS TABELA_LT,'N/A' AS TABELA_SIMUL,'"&amp;F207&amp;"' AS CAMPO, "&amp;"'${ref_date}' AS REF_DATE, COUNT(*) AS NUM_REG, SUM(IF(TRIM(CAST(X."&amp;F207&amp;" AS STRING))='' OR TRIM(CAST(X."&amp;F207&amp;" AS STRING)) IS NULL OR CAST(X."&amp;F207&amp;" AS STRING) NOT "&amp;H207&amp;",1,0)) AS NUM_REG_DIF,'"&amp;MAX('ID1&amp;5'!K:K)+1&amp;"' AS ID_EXEC, CURRENT_TIMESTAMP() AS TIME_EXEC FROM "&amp;I207,"SELECT '"&amp;UPPER(B207)&amp;"' AS TABELA, '"&amp;UPPER(C207)&amp;"' AS TIPOLOGIA_TESTE,'"&amp;D207&amp;"' AS TABELA_LT,'N/A' AS TABELA_SIMUL,'"&amp;F207&amp;"' AS CAMPO, "&amp;"'${ref_date}' AS REF_DATE, COUNT(*) AS NUM_REG, SUM(IF(TRIM(CAST(X."&amp;F207&amp;" AS STRING))='' OR TRIM(CAST(X."&amp;F207&amp;" AS STRING)) IS NULL,1,0)) AS NUM_REG_DIF,'"&amp;MAX('ID1&amp;5'!K:K)+1&amp;"' AS ID_EXEC, CURRENT_TIMESTAMP() AS TIME_EXEC FROM "&amp;I207),
IF(C207="Caracteres Especiais",+"SELECT '"&amp;UPPER(B207)&amp;"' AS TABELA, '"&amp;UPPER(C207)&amp;"' AS TIPOLOGIA_TESTE,'"&amp;D207&amp;"' AS TABELA_LT,'N/A' AS TABELA_SIMUL,'"&amp;F207&amp;"' AS CAMPO, "&amp;"'${ref_date}' AS REF_DATE, COUNT(*) AS NUM_REG, SUM(IF(REGEXP_REPLACE(TRIM(CAST(X."&amp;F207&amp;" AS STRING)),'[^a-zA-Z0-9_\\s]','') &lt;&gt;TRIM(CAST(X."&amp;F207&amp;" AS STRING)),1,0)) AS NUM_REG_DIF,'"&amp;MAX('ID1&amp;5'!K:K)+1&amp;"' AS ID_EXEC, CURRENT_TIMESTAMP() AS TIME_EXEC FROM "&amp;I207,
IF(C207="Missings",+"SELECT '"&amp;UPPER(B207)&amp;"' AS TABELA, '"&amp;UPPER(C207)&amp;"' AS TIPOLOGIA_TESTE,'"&amp;D207&amp;"' AS TABELA_LT,'N/A' AS TABELA_SIMUL,'"&amp;F207&amp;"' AS CAMPO, "&amp;"'${ref_date}' AS REF_DATE, COUNT(*) AS NUM_REG, SUM(IF(TRIM(CAST(X."&amp;F207&amp;" AS STRING)) IN ('0000-00-00','0001-01-01','9999-12-31','MISS','00000','99999999999','99999999999.00','99999999999.000000'),1,0)) AS NUM_REG_DIF,'"&amp;MAX('ID1&amp;5'!K:K)+1&amp;"' AS ID_EXEC, CURRENT_TIMESTAMP() AS TIME_EXEC FROM "&amp;I207,
IF(C207="Not applicable",+"SELECT '"&amp;UPPER(B207)&amp;"' AS TABELA, '"&amp;UPPER(C207)&amp;"' AS TIPOLOGIA_TESTE,'"&amp;D207&amp;"' AS TABELA_LT,'N/A' AS TABELA_SIMUL,'"&amp;F207&amp;"' AS CAMPO, "&amp;"'${ref_date}' AS REF_DATE, COUNT(*) AS NUM_REG, SUM(IF(TRIM(CAST(X."&amp;F207&amp;" AS STRING)) IN ('N/A','11111111111','11111111111.00','11111111111.000000','1111-11-11'),1,0)) AS NUM_REG_DIF,'"&amp;MAX('ID1&amp;5'!K:K)+1&amp;"' AS ID_EXEC, CURRENT_TIMESTAMP() AS TIME_EXEC FROM "&amp;I207,
IF(C207="Valores extremos",+"SELECT '"&amp;UPPER(B207)&amp;"' AS TABELA, '"&amp;UPPER(C207)&amp;"' AS TIPOLOGIA_TESTE,'"&amp;D207&amp;"' AS TABELA_LT,'N/A' AS TABELA_SIMUL,'"&amp;F207&amp;"' AS CAMPO, "&amp;"'${ref_date}' AS REF_DATE, CAST(MIN("&amp;F207&amp;") AS STRING) AS VALOR_MIN, CAST(MAX("&amp;F207&amp;") AS STRING) AS VALOR_MAX,'"&amp;MAX('ID1&amp;5'!K:K)+1&amp;"' AS ID_EXEC, CURRENT_TIMESTAMP() AS TIME_EXEC FROM "&amp;MID(I207,1,LEN(I207)-2)&amp;" AND CAST("&amp;F207&amp;"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TABELA_SIMUL,'typ_cmplnt_mrtr_c19' AS CAMPO, '${ref_date}' AS REF_DATE, COUNT(*) AS NUM_REG, SUM(IF(COALESCE(CAST(X.typ_cmplnt_mrtr_c19 AS STRING),'')&lt;&gt;COALESCE(CAST(Y.typ_cmplnt_mrtr_c19_SIMUL AS STRING),'') OR (X.typ_cmplnt_mrtr_c19 IS NULL AND Y.typ_cmplnt_mrtr_c19_SIMUL IS NOT NULL ) OR (X.typ_cmplnt_mrtr_c19 IS NOT NULL AND Y.typ_cmplnt_mrtr_c19_SIMUL IS NULL),1,0)) AS NUM_REG_DIF,'1' AS ID_EXEC, CURRENT_TIMESTAMP() AS TIME_EXEC FROM (SELECT instrmnt_id, typ_cmplnt_mrtr_c19 FROM BU_LOANTAPE_WORK.LT002_INSTRUMENT WHERE ref_date='${ref_date}' AND nome_perimetro='Individual Local' AND segmento='ESTR' AND ambito='SRB_MBDT' AND entidade='00100')X INNER JOIN (SELECT instrmnt_id AS instrmnt_id_SIMUL, typ_cmplnt_mrtr_c19 AS typ_cmplnt_mrtr_c19_SIMUL FROM BU_LOANTAPE_WORK.SIMUL_LT002_INSTRUMENT WHERE ref_date='${ref_date}' AND nome_perimetro='Individual Local' AND segmento='ESTR' AND ambito='PILAR3' AND entidade='00100')Y ON X.INSTRMNT_ID=Y.INSTRMNT_ID_SIMUL</v>
      </c>
      <c r="M207" s="36" t="str">
        <f t="shared" si="6"/>
        <v>UNION ALL SELECT 'INSTRUMENT' AS TABELA, 'COERÊNCIA' AS TIPOLOGIA_TESTE,'BU_LOANTAPE_WORK.LT002_INSTRUMENT' AS TABELA_LT,'BU_LOANTAPE_WORK.SIMUL_LT002_INSTRUMENT' AS TABELA_SIMUL,'typ_cmplnt_mrtr_c19' AS CAMPO, '${ref_date}' AS REF_DATE, COUNT(*) AS NUM_REG, SUM(IF(COALESCE(CAST(X.typ_cmplnt_mrtr_c19 AS STRING),'')&lt;&gt;COALESCE(CAST(Y.typ_cmplnt_mrtr_c19_SIMUL AS STRING),'') OR (X.typ_cmplnt_mrtr_c19 IS NULL AND Y.typ_cmplnt_mrtr_c19_SIMUL IS NOT NULL ) OR (X.typ_cmplnt_mrtr_c19 IS NOT NULL AND Y.typ_cmplnt_mrtr_c19_SIMUL IS NULL),1,0)) AS NUM_REG_DIF,'1' AS ID_EXEC, CURRENT_TIMESTAMP() AS TIME_EXEC FROM (SELECT instrmnt_id, typ_cmplnt_mrtr_c19 FROM BU_LOANTAPE_WORK.LT002_INSTRUMENT WHERE ref_date='${ref_date}' AND nome_perimetro='Individual Local' AND segmento='ESTR' AND ambito='SRB_MBDT' AND entidade='00100')X INNER JOIN (SELECT instrmnt_id AS instrmnt_id_SIMUL, typ_cmplnt_mrtr_c19 AS typ_cmplnt_mrtr_c19_SIMUL FROM BU_LOANTAPE_WORK.SIMUL_LT002_INSTRUMENT WHERE ref_date='${ref_date}' AND nome_perimetro='Individual Local' AND segmento='ESTR' AND ambito='PILAR3' AND entidade='00100')Y ON X.INSTRMNT_ID=Y.INSTRMNT_ID_SIMUL</v>
      </c>
      <c r="N207" s="38"/>
    </row>
    <row r="208" spans="2:14">
      <c r="B208" s="34" t="s">
        <v>117</v>
      </c>
      <c r="C208" s="34" t="s">
        <v>5</v>
      </c>
      <c r="D208" s="34" t="str">
        <f>+UPPER('0. Instruções'!$D$35&amp;"."&amp;VLOOKUP(B208,'0. Instruções'!$C$27:$D$32,2,FALSE))</f>
        <v>BU_LOANTAPE_WORK.LT002_INSTRUMENT</v>
      </c>
      <c r="E208" s="34" t="str">
        <f>+UPPER('0. Instruções'!$D$36&amp;"."&amp;VLOOKUP(B208,'0. Instruções'!$C$27:$E$32,3,FALSE))</f>
        <v>BU_LOANTAPE_WORK.SIMUL_LT002_INSTRUMENT</v>
      </c>
      <c r="F208" s="34" t="s">
        <v>1270</v>
      </c>
      <c r="G208" s="34"/>
      <c r="H208" s="34"/>
      <c r="I208" s="34" t="str">
        <f>"(SELECT "&amp;VLOOKUP(B208,'0. Instruções'!$C$27:$G$32,4,FALSE)&amp;", "&amp;F208&amp;" FROM "&amp;D208&amp;" WHERE "&amp;'0. Instruções'!$D$42&amp;")X"</f>
        <v>(SELECT instrmnt_id, grc_prd_cptl_intrst_c19 FROM BU_LOANTAPE_WORK.LT002_INSTRUMENT WHERE ref_date='${ref_date}' AND nome_perimetro='Individual Local' AND segmento='ESTR' AND ambito='SRB_MBDT' AND entidade='00100')X</v>
      </c>
      <c r="J208" s="34" t="str">
        <f>"(SELECT "&amp;VLOOKUP(B208,'0. Instruções'!$C$27:$G$32,4,FALSE)&amp;" AS "&amp;VLOOKUP(B208,'0. Instruções'!$C$27:$G$32,4,FALSE)&amp;"_SIMUL, "&amp;F208&amp;" AS "&amp;F208&amp;"_SIMUL FROM "&amp;E208&amp;" WHERE "&amp;'0. Instruções'!$D$43&amp;")Y"</f>
        <v>(SELECT instrmnt_id AS instrmnt_id_SIMUL, grc_prd_cptl_intrst_c19 AS grc_prd_cptl_intrst_c19_SIMUL FROM BU_LOANTAPE_WORK.SIMUL_LT002_INSTRUMENT WHERE ref_date='${ref_date}' AND nome_perimetro='Individual Local' AND segmento='ESTR' AND ambito='PILAR3' AND entidade='00100')Y</v>
      </c>
      <c r="K208" s="35" t="str">
        <f>+UPPER("ON X."&amp;VLOOKUP(B208,'0. Instruções'!$C$27:$G$32,4,FALSE)&amp;"=Y."&amp;VLOOKUP(B208,'0. Instruções'!$C$27:$G$32,4,FALSE)&amp;"_SIMUL")</f>
        <v>ON X.INSTRMNT_ID=Y.INSTRMNT_ID_SIMUL</v>
      </c>
      <c r="L208" s="35" t="str">
        <f>+IF(C208="Coerência", +IF(LEFT(G208,5)="FLOAT","SELECT '"&amp;UPPER(B208)&amp;"' AS TABELA, '"&amp;UPPER(C208)&amp;"' AS TIPOLOGIA_TESTE,'"&amp;D208&amp;"' AS TABELA_LT,'"&amp;E208&amp;"' AS TABELA_SIMUL,'"&amp;F208&amp;"' AS CAMPO, "&amp;"'${ref_date}' AS REF_DATE, COUNT(*) AS NUM_REG, SUM(IF((ABS(COALESCE(CAST(X."&amp;F208&amp;" AS DECIMAL(18,6)),0)-COALESCE(CAST(Y."&amp;F208&amp;"_SIMUL AS DECIMAL(18,6)),0))&gt;0.000001) OR (X."&amp;F208&amp;" IS NULL AND Y."&amp;F208&amp;"_SIMUL IS NOT NULL ) OR (X."&amp;F208&amp;" IS NOT NULL AND Y."&amp;F208&amp;"_SIMUL IS NULL),1,0)) AS NUM_REG_DIF,'"&amp;MAX('ID1&amp;5'!K:K)+1&amp;"' AS ID_EXEC, CURRENT_TIMESTAMP() AS TIME_EXEC FROM "&amp;I208&amp;" INNER JOIN "&amp;J208&amp;" "&amp;K208,"SELECT '"&amp;UPPER(B208)&amp;"' AS TABELA, '"&amp;UPPER(C208)&amp;"' AS TIPOLOGIA_TESTE,'"&amp;D208&amp;"' AS TABELA_LT,'"&amp;E208&amp;"' AS TABELA_SIMUL,'"&amp;F208&amp;"' AS CAMPO, "&amp;"'${ref_date}' AS REF_DATE, COUNT(*) AS NUM_REG, SUM(IF(COALESCE(CAST(X."&amp;F208&amp;" AS STRING),'')&lt;&gt;COALESCE(CAST(Y."&amp;F208&amp;"_SIMUL AS STRING),'') OR (X."&amp;F208&amp;" IS NULL AND Y."&amp;F208&amp;"_SIMUL IS NOT NULL ) OR (X."&amp;F208&amp;" IS NOT NULL AND Y."&amp;F208&amp;"_SIMUL IS NULL),1,0)) AS NUM_REG_DIF,'"&amp;MAX('ID1&amp;5'!L:L)+1&amp;"' AS ID_EXEC, CURRENT_TIMESTAMP() AS TIME_EXEC FROM "&amp;I208&amp;" INNER JOIN "&amp;J208&amp;" "&amp;K208),
IF(C208="Validade",+IF(G208="Code List","SELECT '"&amp;UPPER(B208)&amp;"' AS TABELA, '"&amp;UPPER(C208)&amp;"' AS TIPOLOGIA_TESTE,'"&amp;D208&amp;"' AS TABELA_LT,'N/A' AS TABELA_SIMUL,'"&amp;F208&amp;"' AS CAMPO, "&amp;"'${ref_date}' AS REF_DATE, COUNT(*) AS NUM_REG, SUM(IF(TRIM(CAST(X."&amp;F208&amp;" AS STRING))='' OR TRIM(CAST(X."&amp;F208&amp;" AS STRING)) IS NULL OR CAST(X."&amp;F208&amp;" AS STRING) NOT "&amp;H208&amp;",1,0)) AS NUM_REG_DIF,'"&amp;MAX('ID1&amp;5'!K:K)+1&amp;"' AS ID_EXEC, CURRENT_TIMESTAMP() AS TIME_EXEC FROM "&amp;I208,"SELECT '"&amp;UPPER(B208)&amp;"' AS TABELA, '"&amp;UPPER(C208)&amp;"' AS TIPOLOGIA_TESTE,'"&amp;D208&amp;"' AS TABELA_LT,'N/A' AS TABELA_SIMUL,'"&amp;F208&amp;"' AS CAMPO, "&amp;"'${ref_date}' AS REF_DATE, COUNT(*) AS NUM_REG, SUM(IF(TRIM(CAST(X."&amp;F208&amp;" AS STRING))='' OR TRIM(CAST(X."&amp;F208&amp;" AS STRING)) IS NULL,1,0)) AS NUM_REG_DIF,'"&amp;MAX('ID1&amp;5'!K:K)+1&amp;"' AS ID_EXEC, CURRENT_TIMESTAMP() AS TIME_EXEC FROM "&amp;I208),
IF(C208="Caracteres Especiais",+"SELECT '"&amp;UPPER(B208)&amp;"' AS TABELA, '"&amp;UPPER(C208)&amp;"' AS TIPOLOGIA_TESTE,'"&amp;D208&amp;"' AS TABELA_LT,'N/A' AS TABELA_SIMUL,'"&amp;F208&amp;"' AS CAMPO, "&amp;"'${ref_date}' AS REF_DATE, COUNT(*) AS NUM_REG, SUM(IF(REGEXP_REPLACE(TRIM(CAST(X."&amp;F208&amp;" AS STRING)),'[^a-zA-Z0-9_\\s]','') &lt;&gt;TRIM(CAST(X."&amp;F208&amp;" AS STRING)),1,0)) AS NUM_REG_DIF,'"&amp;MAX('ID1&amp;5'!K:K)+1&amp;"' AS ID_EXEC, CURRENT_TIMESTAMP() AS TIME_EXEC FROM "&amp;I208,
IF(C208="Missings",+"SELECT '"&amp;UPPER(B208)&amp;"' AS TABELA, '"&amp;UPPER(C208)&amp;"' AS TIPOLOGIA_TESTE,'"&amp;D208&amp;"' AS TABELA_LT,'N/A' AS TABELA_SIMUL,'"&amp;F208&amp;"' AS CAMPO, "&amp;"'${ref_date}' AS REF_DATE, COUNT(*) AS NUM_REG, SUM(IF(TRIM(CAST(X."&amp;F208&amp;" AS STRING)) IN ('0000-00-00','0001-01-01','9999-12-31','MISS','00000','99999999999','99999999999.00','99999999999.000000'),1,0)) AS NUM_REG_DIF,'"&amp;MAX('ID1&amp;5'!K:K)+1&amp;"' AS ID_EXEC, CURRENT_TIMESTAMP() AS TIME_EXEC FROM "&amp;I208,
IF(C208="Not applicable",+"SELECT '"&amp;UPPER(B208)&amp;"' AS TABELA, '"&amp;UPPER(C208)&amp;"' AS TIPOLOGIA_TESTE,'"&amp;D208&amp;"' AS TABELA_LT,'N/A' AS TABELA_SIMUL,'"&amp;F208&amp;"' AS CAMPO, "&amp;"'${ref_date}' AS REF_DATE, COUNT(*) AS NUM_REG, SUM(IF(TRIM(CAST(X."&amp;F208&amp;" AS STRING)) IN ('N/A','11111111111','11111111111.00','11111111111.000000','1111-11-11'),1,0)) AS NUM_REG_DIF,'"&amp;MAX('ID1&amp;5'!K:K)+1&amp;"' AS ID_EXEC, CURRENT_TIMESTAMP() AS TIME_EXEC FROM "&amp;I208,
IF(C208="Valores extremos",+"SELECT '"&amp;UPPER(B208)&amp;"' AS TABELA, '"&amp;UPPER(C208)&amp;"' AS TIPOLOGIA_TESTE,'"&amp;D208&amp;"' AS TABELA_LT,'N/A' AS TABELA_SIMUL,'"&amp;F208&amp;"' AS CAMPO, "&amp;"'${ref_date}' AS REF_DATE, CAST(MIN("&amp;F208&amp;") AS STRING) AS VALOR_MIN, CAST(MAX("&amp;F208&amp;") AS STRING) AS VALOR_MAX,'"&amp;MAX('ID1&amp;5'!K:K)+1&amp;"' AS ID_EXEC, CURRENT_TIMESTAMP() AS TIME_EXEC FROM "&amp;MID(I208,1,LEN(I208)-2)&amp;" AND CAST("&amp;F208&amp;"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TABELA_SIMUL,'grc_prd_cptl_intrst_c19' AS CAMPO, '${ref_date}' AS REF_DATE, COUNT(*) AS NUM_REG, SUM(IF(COALESCE(CAST(X.grc_prd_cptl_intrst_c19 AS STRING),'')&lt;&gt;COALESCE(CAST(Y.grc_prd_cptl_intrst_c19_SIMUL AS STRING),'') OR (X.grc_prd_cptl_intrst_c19 IS NULL AND Y.grc_prd_cptl_intrst_c19_SIMUL IS NOT NULL ) OR (X.grc_prd_cptl_intrst_c19 IS NOT NULL AND Y.grc_prd_cptl_intrst_c19_SIMUL IS NULL),1,0)) AS NUM_REG_DIF,'1' AS ID_EXEC, CURRENT_TIMESTAMP() AS TIME_EXEC FROM (SELECT instrmnt_id, grc_prd_cptl_intrst_c19 FROM BU_LOANTAPE_WORK.LT002_INSTRUMENT WHERE ref_date='${ref_date}' AND nome_perimetro='Individual Local' AND segmento='ESTR' AND ambito='SRB_MBDT' AND entidade='00100')X INNER JOIN (SELECT instrmnt_id AS instrmnt_id_SIMUL, grc_prd_cptl_intrst_c19 AS grc_prd_cptl_intrst_c19_SIMUL FROM BU_LOANTAPE_WORK.SIMUL_LT002_INSTRUMENT WHERE ref_date='${ref_date}' AND nome_perimetro='Individual Local' AND segmento='ESTR' AND ambito='PILAR3' AND entidade='00100')Y ON X.INSTRMNT_ID=Y.INSTRMNT_ID_SIMUL</v>
      </c>
      <c r="M208" s="36" t="str">
        <f t="shared" si="6"/>
        <v>UNION ALL SELECT 'INSTRUMENT' AS TABELA, 'COERÊNCIA' AS TIPOLOGIA_TESTE,'BU_LOANTAPE_WORK.LT002_INSTRUMENT' AS TABELA_LT,'BU_LOANTAPE_WORK.SIMUL_LT002_INSTRUMENT' AS TABELA_SIMUL,'grc_prd_cptl_intrst_c19' AS CAMPO, '${ref_date}' AS REF_DATE, COUNT(*) AS NUM_REG, SUM(IF(COALESCE(CAST(X.grc_prd_cptl_intrst_c19 AS STRING),'')&lt;&gt;COALESCE(CAST(Y.grc_prd_cptl_intrst_c19_SIMUL AS STRING),'') OR (X.grc_prd_cptl_intrst_c19 IS NULL AND Y.grc_prd_cptl_intrst_c19_SIMUL IS NOT NULL ) OR (X.grc_prd_cptl_intrst_c19 IS NOT NULL AND Y.grc_prd_cptl_intrst_c19_SIMUL IS NULL),1,0)) AS NUM_REG_DIF,'1' AS ID_EXEC, CURRENT_TIMESTAMP() AS TIME_EXEC FROM (SELECT instrmnt_id, grc_prd_cptl_intrst_c19 FROM BU_LOANTAPE_WORK.LT002_INSTRUMENT WHERE ref_date='${ref_date}' AND nome_perimetro='Individual Local' AND segmento='ESTR' AND ambito='SRB_MBDT' AND entidade='00100')X INNER JOIN (SELECT instrmnt_id AS instrmnt_id_SIMUL, grc_prd_cptl_intrst_c19 AS grc_prd_cptl_intrst_c19_SIMUL FROM BU_LOANTAPE_WORK.SIMUL_LT002_INSTRUMENT WHERE ref_date='${ref_date}' AND nome_perimetro='Individual Local' AND segmento='ESTR' AND ambito='PILAR3' AND entidade='00100')Y ON X.INSTRMNT_ID=Y.INSTRMNT_ID_SIMUL</v>
      </c>
      <c r="N208" s="38"/>
    </row>
    <row r="209" spans="2:14">
      <c r="B209" s="34" t="s">
        <v>117</v>
      </c>
      <c r="C209" s="34" t="s">
        <v>5</v>
      </c>
      <c r="D209" s="34" t="str">
        <f>+UPPER('0. Instruções'!$D$35&amp;"."&amp;VLOOKUP(B209,'0. Instruções'!$C$27:$D$32,2,FALSE))</f>
        <v>BU_LOANTAPE_WORK.LT002_INSTRUMENT</v>
      </c>
      <c r="E209" s="34" t="str">
        <f>+UPPER('0. Instruções'!$D$36&amp;"."&amp;VLOOKUP(B209,'0. Instruções'!$C$27:$E$32,3,FALSE))</f>
        <v>BU_LOANTAPE_WORK.SIMUL_LT002_INSTRUMENT</v>
      </c>
      <c r="F209" s="34" t="s">
        <v>1271</v>
      </c>
      <c r="G209" s="34"/>
      <c r="H209" s="34"/>
      <c r="I209" s="34" t="str">
        <f>"(SELECT "&amp;VLOOKUP(B209,'0. Instruções'!$C$27:$G$32,4,FALSE)&amp;", "&amp;F209&amp;" FROM "&amp;D209&amp;" WHERE "&amp;'0. Instruções'!$D$42&amp;")X"</f>
        <v>(SELECT instrmnt_id, cmplnt_mrtr_c19_nm FROM BU_LOANTAPE_WORK.LT002_INSTRUMENT WHERE ref_date='${ref_date}' AND nome_perimetro='Individual Local' AND segmento='ESTR' AND ambito='SRB_MBDT' AND entidade='00100')X</v>
      </c>
      <c r="J209" s="34" t="str">
        <f>"(SELECT "&amp;VLOOKUP(B209,'0. Instruções'!$C$27:$G$32,4,FALSE)&amp;" AS "&amp;VLOOKUP(B209,'0. Instruções'!$C$27:$G$32,4,FALSE)&amp;"_SIMUL, "&amp;F209&amp;" AS "&amp;F209&amp;"_SIMUL FROM "&amp;E209&amp;" WHERE "&amp;'0. Instruções'!$D$43&amp;")Y"</f>
        <v>(SELECT instrmnt_id AS instrmnt_id_SIMUL, cmplnt_mrtr_c19_nm AS cmplnt_mrtr_c19_nm_SIMUL FROM BU_LOANTAPE_WORK.SIMUL_LT002_INSTRUMENT WHERE ref_date='${ref_date}' AND nome_perimetro='Individual Local' AND segmento='ESTR' AND ambito='PILAR3' AND entidade='00100')Y</v>
      </c>
      <c r="K209" s="35" t="str">
        <f>+UPPER("ON X."&amp;VLOOKUP(B209,'0. Instruções'!$C$27:$G$32,4,FALSE)&amp;"=Y."&amp;VLOOKUP(B209,'0. Instruções'!$C$27:$G$32,4,FALSE)&amp;"_SIMUL")</f>
        <v>ON X.INSTRMNT_ID=Y.INSTRMNT_ID_SIMUL</v>
      </c>
      <c r="L209" s="35" t="str">
        <f>+IF(C209="Coerência", +IF(LEFT(G209,5)="FLOAT","SELECT '"&amp;UPPER(B209)&amp;"' AS TABELA, '"&amp;UPPER(C209)&amp;"' AS TIPOLOGIA_TESTE,'"&amp;D209&amp;"' AS TABELA_LT,'"&amp;E209&amp;"' AS TABELA_SIMUL,'"&amp;F209&amp;"' AS CAMPO, "&amp;"'${ref_date}' AS REF_DATE, COUNT(*) AS NUM_REG, SUM(IF((ABS(COALESCE(CAST(X."&amp;F209&amp;" AS DECIMAL(18,6)),0)-COALESCE(CAST(Y."&amp;F209&amp;"_SIMUL AS DECIMAL(18,6)),0))&gt;0.000001) OR (X."&amp;F209&amp;" IS NULL AND Y."&amp;F209&amp;"_SIMUL IS NOT NULL ) OR (X."&amp;F209&amp;" IS NOT NULL AND Y."&amp;F209&amp;"_SIMUL IS NULL),1,0)) AS NUM_REG_DIF,'"&amp;MAX('ID1&amp;5'!K:K)+1&amp;"' AS ID_EXEC, CURRENT_TIMESTAMP() AS TIME_EXEC FROM "&amp;I209&amp;" INNER JOIN "&amp;J209&amp;" "&amp;K209,"SELECT '"&amp;UPPER(B209)&amp;"' AS TABELA, '"&amp;UPPER(C209)&amp;"' AS TIPOLOGIA_TESTE,'"&amp;D209&amp;"' AS TABELA_LT,'"&amp;E209&amp;"' AS TABELA_SIMUL,'"&amp;F209&amp;"' AS CAMPO, "&amp;"'${ref_date}' AS REF_DATE, COUNT(*) AS NUM_REG, SUM(IF(COALESCE(CAST(X."&amp;F209&amp;" AS STRING),'')&lt;&gt;COALESCE(CAST(Y."&amp;F209&amp;"_SIMUL AS STRING),'') OR (X."&amp;F209&amp;" IS NULL AND Y."&amp;F209&amp;"_SIMUL IS NOT NULL ) OR (X."&amp;F209&amp;" IS NOT NULL AND Y."&amp;F209&amp;"_SIMUL IS NULL),1,0)) AS NUM_REG_DIF,'"&amp;MAX('ID1&amp;5'!L:L)+1&amp;"' AS ID_EXEC, CURRENT_TIMESTAMP() AS TIME_EXEC FROM "&amp;I209&amp;" INNER JOIN "&amp;J209&amp;" "&amp;K209),
IF(C209="Validade",+IF(G209="Code List","SELECT '"&amp;UPPER(B209)&amp;"' AS TABELA, '"&amp;UPPER(C209)&amp;"' AS TIPOLOGIA_TESTE,'"&amp;D209&amp;"' AS TABELA_LT,'N/A' AS TABELA_SIMUL,'"&amp;F209&amp;"' AS CAMPO, "&amp;"'${ref_date}' AS REF_DATE, COUNT(*) AS NUM_REG, SUM(IF(TRIM(CAST(X."&amp;F209&amp;" AS STRING))='' OR TRIM(CAST(X."&amp;F209&amp;" AS STRING)) IS NULL OR CAST(X."&amp;F209&amp;" AS STRING) NOT "&amp;H209&amp;",1,0)) AS NUM_REG_DIF,'"&amp;MAX('ID1&amp;5'!K:K)+1&amp;"' AS ID_EXEC, CURRENT_TIMESTAMP() AS TIME_EXEC FROM "&amp;I209,"SELECT '"&amp;UPPER(B209)&amp;"' AS TABELA, '"&amp;UPPER(C209)&amp;"' AS TIPOLOGIA_TESTE,'"&amp;D209&amp;"' AS TABELA_LT,'N/A' AS TABELA_SIMUL,'"&amp;F209&amp;"' AS CAMPO, "&amp;"'${ref_date}' AS REF_DATE, COUNT(*) AS NUM_REG, SUM(IF(TRIM(CAST(X."&amp;F209&amp;" AS STRING))='' OR TRIM(CAST(X."&amp;F209&amp;" AS STRING)) IS NULL,1,0)) AS NUM_REG_DIF,'"&amp;MAX('ID1&amp;5'!K:K)+1&amp;"' AS ID_EXEC, CURRENT_TIMESTAMP() AS TIME_EXEC FROM "&amp;I209),
IF(C209="Caracteres Especiais",+"SELECT '"&amp;UPPER(B209)&amp;"' AS TABELA, '"&amp;UPPER(C209)&amp;"' AS TIPOLOGIA_TESTE,'"&amp;D209&amp;"' AS TABELA_LT,'N/A' AS TABELA_SIMUL,'"&amp;F209&amp;"' AS CAMPO, "&amp;"'${ref_date}' AS REF_DATE, COUNT(*) AS NUM_REG, SUM(IF(REGEXP_REPLACE(TRIM(CAST(X."&amp;F209&amp;" AS STRING)),'[^a-zA-Z0-9_\\s]','') &lt;&gt;TRIM(CAST(X."&amp;F209&amp;" AS STRING)),1,0)) AS NUM_REG_DIF,'"&amp;MAX('ID1&amp;5'!K:K)+1&amp;"' AS ID_EXEC, CURRENT_TIMESTAMP() AS TIME_EXEC FROM "&amp;I209,
IF(C209="Missings",+"SELECT '"&amp;UPPER(B209)&amp;"' AS TABELA, '"&amp;UPPER(C209)&amp;"' AS TIPOLOGIA_TESTE,'"&amp;D209&amp;"' AS TABELA_LT,'N/A' AS TABELA_SIMUL,'"&amp;F209&amp;"' AS CAMPO, "&amp;"'${ref_date}' AS REF_DATE, COUNT(*) AS NUM_REG, SUM(IF(TRIM(CAST(X."&amp;F209&amp;" AS STRING)) IN ('0000-00-00','0001-01-01','9999-12-31','MISS','00000','99999999999','99999999999.00','99999999999.000000'),1,0)) AS NUM_REG_DIF,'"&amp;MAX('ID1&amp;5'!K:K)+1&amp;"' AS ID_EXEC, CURRENT_TIMESTAMP() AS TIME_EXEC FROM "&amp;I209,
IF(C209="Not applicable",+"SELECT '"&amp;UPPER(B209)&amp;"' AS TABELA, '"&amp;UPPER(C209)&amp;"' AS TIPOLOGIA_TESTE,'"&amp;D209&amp;"' AS TABELA_LT,'N/A' AS TABELA_SIMUL,'"&amp;F209&amp;"' AS CAMPO, "&amp;"'${ref_date}' AS REF_DATE, COUNT(*) AS NUM_REG, SUM(IF(TRIM(CAST(X."&amp;F209&amp;" AS STRING)) IN ('N/A','11111111111','11111111111.00','11111111111.000000','1111-11-11'),1,0)) AS NUM_REG_DIF,'"&amp;MAX('ID1&amp;5'!K:K)+1&amp;"' AS ID_EXEC, CURRENT_TIMESTAMP() AS TIME_EXEC FROM "&amp;I209,
IF(C209="Valores extremos",+"SELECT '"&amp;UPPER(B209)&amp;"' AS TABELA, '"&amp;UPPER(C209)&amp;"' AS TIPOLOGIA_TESTE,'"&amp;D209&amp;"' AS TABELA_LT,'N/A' AS TABELA_SIMUL,'"&amp;F209&amp;"' AS CAMPO, "&amp;"'${ref_date}' AS REF_DATE, CAST(MIN("&amp;F209&amp;") AS STRING) AS VALOR_MIN, CAST(MAX("&amp;F209&amp;") AS STRING) AS VALOR_MAX,'"&amp;MAX('ID1&amp;5'!K:K)+1&amp;"' AS ID_EXEC, CURRENT_TIMESTAMP() AS TIME_EXEC FROM "&amp;MID(I209,1,LEN(I209)-2)&amp;" AND CAST("&amp;F209&amp;"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TABELA_SIMUL,'cmplnt_mrtr_c19_nm' AS CAMPO, '${ref_date}' AS REF_DATE, COUNT(*) AS NUM_REG, SUM(IF(COALESCE(CAST(X.cmplnt_mrtr_c19_nm AS STRING),'')&lt;&gt;COALESCE(CAST(Y.cmplnt_mrtr_c19_nm_SIMUL AS STRING),'') OR (X.cmplnt_mrtr_c19_nm IS NULL AND Y.cmplnt_mrtr_c19_nm_SIMUL IS NOT NULL ) OR (X.cmplnt_mrtr_c19_nm IS NOT NULL AND Y.cmplnt_mrtr_c19_nm_SIMUL IS NULL),1,0)) AS NUM_REG_DIF,'1' AS ID_EXEC, CURRENT_TIMESTAMP() AS TIME_EXEC FROM (SELECT instrmnt_id, cmplnt_mrtr_c19_nm FROM BU_LOANTAPE_WORK.LT002_INSTRUMENT WHERE ref_date='${ref_date}' AND nome_perimetro='Individual Local' AND segmento='ESTR' AND ambito='SRB_MBDT' AND entidade='00100')X INNER JOIN (SELECT instrmnt_id AS instrmnt_id_SIMUL, cmplnt_mrtr_c19_nm AS cmplnt_mrtr_c19_nm_SIMUL FROM BU_LOANTAPE_WORK.SIMUL_LT002_INSTRUMENT WHERE ref_date='${ref_date}' AND nome_perimetro='Individual Local' AND segmento='ESTR' AND ambito='PILAR3' AND entidade='00100')Y ON X.INSTRMNT_ID=Y.INSTRMNT_ID_SIMUL</v>
      </c>
      <c r="M209" s="36" t="str">
        <f t="shared" si="6"/>
        <v>UNION ALL SELECT 'INSTRUMENT' AS TABELA, 'COERÊNCIA' AS TIPOLOGIA_TESTE,'BU_LOANTAPE_WORK.LT002_INSTRUMENT' AS TABELA_LT,'BU_LOANTAPE_WORK.SIMUL_LT002_INSTRUMENT' AS TABELA_SIMUL,'cmplnt_mrtr_c19_nm' AS CAMPO, '${ref_date}' AS REF_DATE, COUNT(*) AS NUM_REG, SUM(IF(COALESCE(CAST(X.cmplnt_mrtr_c19_nm AS STRING),'')&lt;&gt;COALESCE(CAST(Y.cmplnt_mrtr_c19_nm_SIMUL AS STRING),'') OR (X.cmplnt_mrtr_c19_nm IS NULL AND Y.cmplnt_mrtr_c19_nm_SIMUL IS NOT NULL ) OR (X.cmplnt_mrtr_c19_nm IS NOT NULL AND Y.cmplnt_mrtr_c19_nm_SIMUL IS NULL),1,0)) AS NUM_REG_DIF,'1' AS ID_EXEC, CURRENT_TIMESTAMP() AS TIME_EXEC FROM (SELECT instrmnt_id, cmplnt_mrtr_c19_nm FROM BU_LOANTAPE_WORK.LT002_INSTRUMENT WHERE ref_date='${ref_date}' AND nome_perimetro='Individual Local' AND segmento='ESTR' AND ambito='SRB_MBDT' AND entidade='00100')X INNER JOIN (SELECT instrmnt_id AS instrmnt_id_SIMUL, cmplnt_mrtr_c19_nm AS cmplnt_mrtr_c19_nm_SIMUL FROM BU_LOANTAPE_WORK.SIMUL_LT002_INSTRUMENT WHERE ref_date='${ref_date}' AND nome_perimetro='Individual Local' AND segmento='ESTR' AND ambito='PILAR3' AND entidade='00100')Y ON X.INSTRMNT_ID=Y.INSTRMNT_ID_SIMUL</v>
      </c>
      <c r="N209" s="38"/>
    </row>
    <row r="210" spans="2:14">
      <c r="B210" s="34" t="s">
        <v>117</v>
      </c>
      <c r="C210" s="34" t="s">
        <v>5</v>
      </c>
      <c r="D210" s="34" t="str">
        <f>+UPPER('0. Instruções'!$D$35&amp;"."&amp;VLOOKUP(B210,'0. Instruções'!$C$27:$D$32,2,FALSE))</f>
        <v>BU_LOANTAPE_WORK.LT002_INSTRUMENT</v>
      </c>
      <c r="E210" s="34" t="str">
        <f>+UPPER('0. Instruções'!$D$36&amp;"."&amp;VLOOKUP(B210,'0. Instruções'!$C$27:$E$32,3,FALSE))</f>
        <v>BU_LOANTAPE_WORK.SIMUL_LT002_INSTRUMENT</v>
      </c>
      <c r="F210" s="34" t="s">
        <v>1272</v>
      </c>
      <c r="G210" s="34"/>
      <c r="H210" s="34"/>
      <c r="I210" s="34" t="str">
        <f>"(SELECT "&amp;VLOOKUP(B210,'0. Instruções'!$C$27:$G$32,4,FALSE)&amp;", "&amp;F210&amp;" FROM "&amp;D210&amp;" WHERE "&amp;'0. Instruções'!$D$42&amp;")X"</f>
        <v>(SELECT instrmnt_id, frbrnc_stts_c19 FROM BU_LOANTAPE_WORK.LT002_INSTRUMENT WHERE ref_date='${ref_date}' AND nome_perimetro='Individual Local' AND segmento='ESTR' AND ambito='SRB_MBDT' AND entidade='00100')X</v>
      </c>
      <c r="J210" s="34" t="str">
        <f>"(SELECT "&amp;VLOOKUP(B210,'0. Instruções'!$C$27:$G$32,4,FALSE)&amp;" AS "&amp;VLOOKUP(B210,'0. Instruções'!$C$27:$G$32,4,FALSE)&amp;"_SIMUL, "&amp;F210&amp;" AS "&amp;F210&amp;"_SIMUL FROM "&amp;E210&amp;" WHERE "&amp;'0. Instruções'!$D$43&amp;")Y"</f>
        <v>(SELECT instrmnt_id AS instrmnt_id_SIMUL, frbrnc_stts_c19 AS frbrnc_stts_c19_SIMUL FROM BU_LOANTAPE_WORK.SIMUL_LT002_INSTRUMENT WHERE ref_date='${ref_date}' AND nome_perimetro='Individual Local' AND segmento='ESTR' AND ambito='PILAR3' AND entidade='00100')Y</v>
      </c>
      <c r="K210" s="35" t="str">
        <f>+UPPER("ON X."&amp;VLOOKUP(B210,'0. Instruções'!$C$27:$G$32,4,FALSE)&amp;"=Y."&amp;VLOOKUP(B210,'0. Instruções'!$C$27:$G$32,4,FALSE)&amp;"_SIMUL")</f>
        <v>ON X.INSTRMNT_ID=Y.INSTRMNT_ID_SIMUL</v>
      </c>
      <c r="L210" s="35" t="str">
        <f>+IF(C210="Coerência", +IF(LEFT(G210,5)="FLOAT","SELECT '"&amp;UPPER(B210)&amp;"' AS TABELA, '"&amp;UPPER(C210)&amp;"' AS TIPOLOGIA_TESTE,'"&amp;D210&amp;"' AS TABELA_LT,'"&amp;E210&amp;"' AS TABELA_SIMUL,'"&amp;F210&amp;"' AS CAMPO, "&amp;"'${ref_date}' AS REF_DATE, COUNT(*) AS NUM_REG, SUM(IF((ABS(COALESCE(CAST(X."&amp;F210&amp;" AS DECIMAL(18,6)),0)-COALESCE(CAST(Y."&amp;F210&amp;"_SIMUL AS DECIMAL(18,6)),0))&gt;0.000001) OR (X."&amp;F210&amp;" IS NULL AND Y."&amp;F210&amp;"_SIMUL IS NOT NULL ) OR (X."&amp;F210&amp;" IS NOT NULL AND Y."&amp;F210&amp;"_SIMUL IS NULL),1,0)) AS NUM_REG_DIF,'"&amp;MAX('ID1&amp;5'!K:K)+1&amp;"' AS ID_EXEC, CURRENT_TIMESTAMP() AS TIME_EXEC FROM "&amp;I210&amp;" INNER JOIN "&amp;J210&amp;" "&amp;K210,"SELECT '"&amp;UPPER(B210)&amp;"' AS TABELA, '"&amp;UPPER(C210)&amp;"' AS TIPOLOGIA_TESTE,'"&amp;D210&amp;"' AS TABELA_LT,'"&amp;E210&amp;"' AS TABELA_SIMUL,'"&amp;F210&amp;"' AS CAMPO, "&amp;"'${ref_date}' AS REF_DATE, COUNT(*) AS NUM_REG, SUM(IF(COALESCE(CAST(X."&amp;F210&amp;" AS STRING),'')&lt;&gt;COALESCE(CAST(Y."&amp;F210&amp;"_SIMUL AS STRING),'') OR (X."&amp;F210&amp;" IS NULL AND Y."&amp;F210&amp;"_SIMUL IS NOT NULL ) OR (X."&amp;F210&amp;" IS NOT NULL AND Y."&amp;F210&amp;"_SIMUL IS NULL),1,0)) AS NUM_REG_DIF,'"&amp;MAX('ID1&amp;5'!L:L)+1&amp;"' AS ID_EXEC, CURRENT_TIMESTAMP() AS TIME_EXEC FROM "&amp;I210&amp;" INNER JOIN "&amp;J210&amp;" "&amp;K210),
IF(C210="Validade",+IF(G210="Code List","SELECT '"&amp;UPPER(B210)&amp;"' AS TABELA, '"&amp;UPPER(C210)&amp;"' AS TIPOLOGIA_TESTE,'"&amp;D210&amp;"' AS TABELA_LT,'N/A' AS TABELA_SIMUL,'"&amp;F210&amp;"' AS CAMPO, "&amp;"'${ref_date}' AS REF_DATE, COUNT(*) AS NUM_REG, SUM(IF(TRIM(CAST(X."&amp;F210&amp;" AS STRING))='' OR TRIM(CAST(X."&amp;F210&amp;" AS STRING)) IS NULL OR CAST(X."&amp;F210&amp;" AS STRING) NOT "&amp;H210&amp;",1,0)) AS NUM_REG_DIF,'"&amp;MAX('ID1&amp;5'!K:K)+1&amp;"' AS ID_EXEC, CURRENT_TIMESTAMP() AS TIME_EXEC FROM "&amp;I210,"SELECT '"&amp;UPPER(B210)&amp;"' AS TABELA, '"&amp;UPPER(C210)&amp;"' AS TIPOLOGIA_TESTE,'"&amp;D210&amp;"' AS TABELA_LT,'N/A' AS TABELA_SIMUL,'"&amp;F210&amp;"' AS CAMPO, "&amp;"'${ref_date}' AS REF_DATE, COUNT(*) AS NUM_REG, SUM(IF(TRIM(CAST(X."&amp;F210&amp;" AS STRING))='' OR TRIM(CAST(X."&amp;F210&amp;" AS STRING)) IS NULL,1,0)) AS NUM_REG_DIF,'"&amp;MAX('ID1&amp;5'!K:K)+1&amp;"' AS ID_EXEC, CURRENT_TIMESTAMP() AS TIME_EXEC FROM "&amp;I210),
IF(C210="Caracteres Especiais",+"SELECT '"&amp;UPPER(B210)&amp;"' AS TABELA, '"&amp;UPPER(C210)&amp;"' AS TIPOLOGIA_TESTE,'"&amp;D210&amp;"' AS TABELA_LT,'N/A' AS TABELA_SIMUL,'"&amp;F210&amp;"' AS CAMPO, "&amp;"'${ref_date}' AS REF_DATE, COUNT(*) AS NUM_REG, SUM(IF(REGEXP_REPLACE(TRIM(CAST(X."&amp;F210&amp;" AS STRING)),'[^a-zA-Z0-9_\\s]','') &lt;&gt;TRIM(CAST(X."&amp;F210&amp;" AS STRING)),1,0)) AS NUM_REG_DIF,'"&amp;MAX('ID1&amp;5'!K:K)+1&amp;"' AS ID_EXEC, CURRENT_TIMESTAMP() AS TIME_EXEC FROM "&amp;I210,
IF(C210="Missings",+"SELECT '"&amp;UPPER(B210)&amp;"' AS TABELA, '"&amp;UPPER(C210)&amp;"' AS TIPOLOGIA_TESTE,'"&amp;D210&amp;"' AS TABELA_LT,'N/A' AS TABELA_SIMUL,'"&amp;F210&amp;"' AS CAMPO, "&amp;"'${ref_date}' AS REF_DATE, COUNT(*) AS NUM_REG, SUM(IF(TRIM(CAST(X."&amp;F210&amp;" AS STRING)) IN ('0000-00-00','0001-01-01','9999-12-31','MISS','00000','99999999999','99999999999.00','99999999999.000000'),1,0)) AS NUM_REG_DIF,'"&amp;MAX('ID1&amp;5'!K:K)+1&amp;"' AS ID_EXEC, CURRENT_TIMESTAMP() AS TIME_EXEC FROM "&amp;I210,
IF(C210="Not applicable",+"SELECT '"&amp;UPPER(B210)&amp;"' AS TABELA, '"&amp;UPPER(C210)&amp;"' AS TIPOLOGIA_TESTE,'"&amp;D210&amp;"' AS TABELA_LT,'N/A' AS TABELA_SIMUL,'"&amp;F210&amp;"' AS CAMPO, "&amp;"'${ref_date}' AS REF_DATE, COUNT(*) AS NUM_REG, SUM(IF(TRIM(CAST(X."&amp;F210&amp;" AS STRING)) IN ('N/A','11111111111','11111111111.00','11111111111.000000','1111-11-11'),1,0)) AS NUM_REG_DIF,'"&amp;MAX('ID1&amp;5'!K:K)+1&amp;"' AS ID_EXEC, CURRENT_TIMESTAMP() AS TIME_EXEC FROM "&amp;I210,
IF(C210="Valores extremos",+"SELECT '"&amp;UPPER(B210)&amp;"' AS TABELA, '"&amp;UPPER(C210)&amp;"' AS TIPOLOGIA_TESTE,'"&amp;D210&amp;"' AS TABELA_LT,'N/A' AS TABELA_SIMUL,'"&amp;F210&amp;"' AS CAMPO, "&amp;"'${ref_date}' AS REF_DATE, CAST(MIN("&amp;F210&amp;") AS STRING) AS VALOR_MIN, CAST(MAX("&amp;F210&amp;") AS STRING) AS VALOR_MAX,'"&amp;MAX('ID1&amp;5'!K:K)+1&amp;"' AS ID_EXEC, CURRENT_TIMESTAMP() AS TIME_EXEC FROM "&amp;MID(I210,1,LEN(I210)-2)&amp;" AND CAST("&amp;F210&amp;"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TABELA_SIMUL,'frbrnc_stts_c19' AS CAMPO, '${ref_date}' AS REF_DATE, COUNT(*) AS NUM_REG, SUM(IF(COALESCE(CAST(X.frbrnc_stts_c19 AS STRING),'')&lt;&gt;COALESCE(CAST(Y.frbrnc_stts_c19_SIMUL AS STRING),'') OR (X.frbrnc_stts_c19 IS NULL AND Y.frbrnc_stts_c19_SIMUL IS NOT NULL ) OR (X.frbrnc_stts_c19 IS NOT NULL AND Y.frbrnc_stts_c19_SIMUL IS NULL),1,0)) AS NUM_REG_DIF,'1' AS ID_EXEC, CURRENT_TIMESTAMP() AS TIME_EXEC FROM (SELECT instrmnt_id, frbrnc_stts_c19 FROM BU_LOANTAPE_WORK.LT002_INSTRUMENT WHERE ref_date='${ref_date}' AND nome_perimetro='Individual Local' AND segmento='ESTR' AND ambito='SRB_MBDT' AND entidade='00100')X INNER JOIN (SELECT instrmnt_id AS instrmnt_id_SIMUL, frbrnc_stts_c19 AS frbrnc_stts_c19_SIMUL FROM BU_LOANTAPE_WORK.SIMUL_LT002_INSTRUMENT WHERE ref_date='${ref_date}' AND nome_perimetro='Individual Local' AND segmento='ESTR' AND ambito='PILAR3' AND entidade='00100')Y ON X.INSTRMNT_ID=Y.INSTRMNT_ID_SIMUL</v>
      </c>
      <c r="M210" s="36" t="str">
        <f t="shared" si="6"/>
        <v>UNION ALL SELECT 'INSTRUMENT' AS TABELA, 'COERÊNCIA' AS TIPOLOGIA_TESTE,'BU_LOANTAPE_WORK.LT002_INSTRUMENT' AS TABELA_LT,'BU_LOANTAPE_WORK.SIMUL_LT002_INSTRUMENT' AS TABELA_SIMUL,'frbrnc_stts_c19' AS CAMPO, '${ref_date}' AS REF_DATE, COUNT(*) AS NUM_REG, SUM(IF(COALESCE(CAST(X.frbrnc_stts_c19 AS STRING),'')&lt;&gt;COALESCE(CAST(Y.frbrnc_stts_c19_SIMUL AS STRING),'') OR (X.frbrnc_stts_c19 IS NULL AND Y.frbrnc_stts_c19_SIMUL IS NOT NULL ) OR (X.frbrnc_stts_c19 IS NOT NULL AND Y.frbrnc_stts_c19_SIMUL IS NULL),1,0)) AS NUM_REG_DIF,'1' AS ID_EXEC, CURRENT_TIMESTAMP() AS TIME_EXEC FROM (SELECT instrmnt_id, frbrnc_stts_c19 FROM BU_LOANTAPE_WORK.LT002_INSTRUMENT WHERE ref_date='${ref_date}' AND nome_perimetro='Individual Local' AND segmento='ESTR' AND ambito='SRB_MBDT' AND entidade='00100')X INNER JOIN (SELECT instrmnt_id AS instrmnt_id_SIMUL, frbrnc_stts_c19 AS frbrnc_stts_c19_SIMUL FROM BU_LOANTAPE_WORK.SIMUL_LT002_INSTRUMENT WHERE ref_date='${ref_date}' AND nome_perimetro='Individual Local' AND segmento='ESTR' AND ambito='PILAR3' AND entidade='00100')Y ON X.INSTRMNT_ID=Y.INSTRMNT_ID_SIMUL</v>
      </c>
      <c r="N210" s="38"/>
    </row>
    <row r="211" spans="2:14">
      <c r="B211" s="34" t="s">
        <v>117</v>
      </c>
      <c r="C211" s="34" t="s">
        <v>5</v>
      </c>
      <c r="D211" s="34" t="str">
        <f>+UPPER('0. Instruções'!$D$35&amp;"."&amp;VLOOKUP(B211,'0. Instruções'!$C$27:$D$32,2,FALSE))</f>
        <v>BU_LOANTAPE_WORK.LT002_INSTRUMENT</v>
      </c>
      <c r="E211" s="34" t="str">
        <f>+UPPER('0. Instruções'!$D$36&amp;"."&amp;VLOOKUP(B211,'0. Instruções'!$C$27:$E$32,3,FALSE))</f>
        <v>BU_LOANTAPE_WORK.SIMUL_LT002_INSTRUMENT</v>
      </c>
      <c r="F211" s="34" t="s">
        <v>1273</v>
      </c>
      <c r="G211" s="34"/>
      <c r="H211" s="34"/>
      <c r="I211" s="34" t="str">
        <f>"(SELECT "&amp;VLOOKUP(B211,'0. Instruções'!$C$27:$G$32,4,FALSE)&amp;", "&amp;F211&amp;" FROM "&amp;D211&amp;" WHERE "&amp;'0. Instruções'!$D$42&amp;")X"</f>
        <v>(SELECT instrmnt_id, dt_frbrnc_stts_c19 FROM BU_LOANTAPE_WORK.LT002_INSTRUMENT WHERE ref_date='${ref_date}' AND nome_perimetro='Individual Local' AND segmento='ESTR' AND ambito='SRB_MBDT' AND entidade='00100')X</v>
      </c>
      <c r="J211" s="34" t="str">
        <f>"(SELECT "&amp;VLOOKUP(B211,'0. Instruções'!$C$27:$G$32,4,FALSE)&amp;" AS "&amp;VLOOKUP(B211,'0. Instruções'!$C$27:$G$32,4,FALSE)&amp;"_SIMUL, "&amp;F211&amp;" AS "&amp;F211&amp;"_SIMUL FROM "&amp;E211&amp;" WHERE "&amp;'0. Instruções'!$D$43&amp;")Y"</f>
        <v>(SELECT instrmnt_id AS instrmnt_id_SIMUL, dt_frbrnc_stts_c19 AS dt_frbrnc_stts_c19_SIMUL FROM BU_LOANTAPE_WORK.SIMUL_LT002_INSTRUMENT WHERE ref_date='${ref_date}' AND nome_perimetro='Individual Local' AND segmento='ESTR' AND ambito='PILAR3' AND entidade='00100')Y</v>
      </c>
      <c r="K211" s="35" t="str">
        <f>+UPPER("ON X."&amp;VLOOKUP(B211,'0. Instruções'!$C$27:$G$32,4,FALSE)&amp;"=Y."&amp;VLOOKUP(B211,'0. Instruções'!$C$27:$G$32,4,FALSE)&amp;"_SIMUL")</f>
        <v>ON X.INSTRMNT_ID=Y.INSTRMNT_ID_SIMUL</v>
      </c>
      <c r="L211" s="35" t="str">
        <f>+IF(C211="Coerência", +IF(LEFT(G211,5)="FLOAT","SELECT '"&amp;UPPER(B211)&amp;"' AS TABELA, '"&amp;UPPER(C211)&amp;"' AS TIPOLOGIA_TESTE,'"&amp;D211&amp;"' AS TABELA_LT,'"&amp;E211&amp;"' AS TABELA_SIMUL,'"&amp;F211&amp;"' AS CAMPO, "&amp;"'${ref_date}' AS REF_DATE, COUNT(*) AS NUM_REG, SUM(IF((ABS(COALESCE(CAST(X."&amp;F211&amp;" AS DECIMAL(18,6)),0)-COALESCE(CAST(Y."&amp;F211&amp;"_SIMUL AS DECIMAL(18,6)),0))&gt;0.000001) OR (X."&amp;F211&amp;" IS NULL AND Y."&amp;F211&amp;"_SIMUL IS NOT NULL ) OR (X."&amp;F211&amp;" IS NOT NULL AND Y."&amp;F211&amp;"_SIMUL IS NULL),1,0)) AS NUM_REG_DIF,'"&amp;MAX('ID1&amp;5'!K:K)+1&amp;"' AS ID_EXEC, CURRENT_TIMESTAMP() AS TIME_EXEC FROM "&amp;I211&amp;" INNER JOIN "&amp;J211&amp;" "&amp;K211,"SELECT '"&amp;UPPER(B211)&amp;"' AS TABELA, '"&amp;UPPER(C211)&amp;"' AS TIPOLOGIA_TESTE,'"&amp;D211&amp;"' AS TABELA_LT,'"&amp;E211&amp;"' AS TABELA_SIMUL,'"&amp;F211&amp;"' AS CAMPO, "&amp;"'${ref_date}' AS REF_DATE, COUNT(*) AS NUM_REG, SUM(IF(COALESCE(CAST(X."&amp;F211&amp;" AS STRING),'')&lt;&gt;COALESCE(CAST(Y."&amp;F211&amp;"_SIMUL AS STRING),'') OR (X."&amp;F211&amp;" IS NULL AND Y."&amp;F211&amp;"_SIMUL IS NOT NULL ) OR (X."&amp;F211&amp;" IS NOT NULL AND Y."&amp;F211&amp;"_SIMUL IS NULL),1,0)) AS NUM_REG_DIF,'"&amp;MAX('ID1&amp;5'!L:L)+1&amp;"' AS ID_EXEC, CURRENT_TIMESTAMP() AS TIME_EXEC FROM "&amp;I211&amp;" INNER JOIN "&amp;J211&amp;" "&amp;K211),
IF(C211="Validade",+IF(G211="Code List","SELECT '"&amp;UPPER(B211)&amp;"' AS TABELA, '"&amp;UPPER(C211)&amp;"' AS TIPOLOGIA_TESTE,'"&amp;D211&amp;"' AS TABELA_LT,'N/A' AS TABELA_SIMUL,'"&amp;F211&amp;"' AS CAMPO, "&amp;"'${ref_date}' AS REF_DATE, COUNT(*) AS NUM_REG, SUM(IF(TRIM(CAST(X."&amp;F211&amp;" AS STRING))='' OR TRIM(CAST(X."&amp;F211&amp;" AS STRING)) IS NULL OR CAST(X."&amp;F211&amp;" AS STRING) NOT "&amp;H211&amp;",1,0)) AS NUM_REG_DIF,'"&amp;MAX('ID1&amp;5'!K:K)+1&amp;"' AS ID_EXEC, CURRENT_TIMESTAMP() AS TIME_EXEC FROM "&amp;I211,"SELECT '"&amp;UPPER(B211)&amp;"' AS TABELA, '"&amp;UPPER(C211)&amp;"' AS TIPOLOGIA_TESTE,'"&amp;D211&amp;"' AS TABELA_LT,'N/A' AS TABELA_SIMUL,'"&amp;F211&amp;"' AS CAMPO, "&amp;"'${ref_date}' AS REF_DATE, COUNT(*) AS NUM_REG, SUM(IF(TRIM(CAST(X."&amp;F211&amp;" AS STRING))='' OR TRIM(CAST(X."&amp;F211&amp;" AS STRING)) IS NULL,1,0)) AS NUM_REG_DIF,'"&amp;MAX('ID1&amp;5'!K:K)+1&amp;"' AS ID_EXEC, CURRENT_TIMESTAMP() AS TIME_EXEC FROM "&amp;I211),
IF(C211="Caracteres Especiais",+"SELECT '"&amp;UPPER(B211)&amp;"' AS TABELA, '"&amp;UPPER(C211)&amp;"' AS TIPOLOGIA_TESTE,'"&amp;D211&amp;"' AS TABELA_LT,'N/A' AS TABELA_SIMUL,'"&amp;F211&amp;"' AS CAMPO, "&amp;"'${ref_date}' AS REF_DATE, COUNT(*) AS NUM_REG, SUM(IF(REGEXP_REPLACE(TRIM(CAST(X."&amp;F211&amp;" AS STRING)),'[^a-zA-Z0-9_\\s]','') &lt;&gt;TRIM(CAST(X."&amp;F211&amp;" AS STRING)),1,0)) AS NUM_REG_DIF,'"&amp;MAX('ID1&amp;5'!K:K)+1&amp;"' AS ID_EXEC, CURRENT_TIMESTAMP() AS TIME_EXEC FROM "&amp;I211,
IF(C211="Missings",+"SELECT '"&amp;UPPER(B211)&amp;"' AS TABELA, '"&amp;UPPER(C211)&amp;"' AS TIPOLOGIA_TESTE,'"&amp;D211&amp;"' AS TABELA_LT,'N/A' AS TABELA_SIMUL,'"&amp;F211&amp;"' AS CAMPO, "&amp;"'${ref_date}' AS REF_DATE, COUNT(*) AS NUM_REG, SUM(IF(TRIM(CAST(X."&amp;F211&amp;" AS STRING)) IN ('0000-00-00','0001-01-01','9999-12-31','MISS','00000','99999999999','99999999999.00','99999999999.000000'),1,0)) AS NUM_REG_DIF,'"&amp;MAX('ID1&amp;5'!K:K)+1&amp;"' AS ID_EXEC, CURRENT_TIMESTAMP() AS TIME_EXEC FROM "&amp;I211,
IF(C211="Not applicable",+"SELECT '"&amp;UPPER(B211)&amp;"' AS TABELA, '"&amp;UPPER(C211)&amp;"' AS TIPOLOGIA_TESTE,'"&amp;D211&amp;"' AS TABELA_LT,'N/A' AS TABELA_SIMUL,'"&amp;F211&amp;"' AS CAMPO, "&amp;"'${ref_date}' AS REF_DATE, COUNT(*) AS NUM_REG, SUM(IF(TRIM(CAST(X."&amp;F211&amp;" AS STRING)) IN ('N/A','11111111111','11111111111.00','11111111111.000000','1111-11-11'),1,0)) AS NUM_REG_DIF,'"&amp;MAX('ID1&amp;5'!K:K)+1&amp;"' AS ID_EXEC, CURRENT_TIMESTAMP() AS TIME_EXEC FROM "&amp;I211,
IF(C211="Valores extremos",+"SELECT '"&amp;UPPER(B211)&amp;"' AS TABELA, '"&amp;UPPER(C211)&amp;"' AS TIPOLOGIA_TESTE,'"&amp;D211&amp;"' AS TABELA_LT,'N/A' AS TABELA_SIMUL,'"&amp;F211&amp;"' AS CAMPO, "&amp;"'${ref_date}' AS REF_DATE, CAST(MIN("&amp;F211&amp;") AS STRING) AS VALOR_MIN, CAST(MAX("&amp;F211&amp;") AS STRING) AS VALOR_MAX,'"&amp;MAX('ID1&amp;5'!K:K)+1&amp;"' AS ID_EXEC, CURRENT_TIMESTAMP() AS TIME_EXEC FROM "&amp;MID(I211,1,LEN(I211)-2)&amp;" AND CAST("&amp;F211&amp;"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TABELA_SIMUL,'dt_frbrnc_stts_c19' AS CAMPO, '${ref_date}' AS REF_DATE, COUNT(*) AS NUM_REG, SUM(IF(COALESCE(CAST(X.dt_frbrnc_stts_c19 AS STRING),'')&lt;&gt;COALESCE(CAST(Y.dt_frbrnc_stts_c19_SIMUL AS STRING),'') OR (X.dt_frbrnc_stts_c19 IS NULL AND Y.dt_frbrnc_stts_c19_SIMUL IS NOT NULL ) OR (X.dt_frbrnc_stts_c19 IS NOT NULL AND Y.dt_frbrnc_stts_c19_SIMUL IS NULL),1,0)) AS NUM_REG_DIF,'1' AS ID_EXEC, CURRENT_TIMESTAMP() AS TIME_EXEC FROM (SELECT instrmnt_id, dt_frbrnc_stts_c19 FROM BU_LOANTAPE_WORK.LT002_INSTRUMENT WHERE ref_date='${ref_date}' AND nome_perimetro='Individual Local' AND segmento='ESTR' AND ambito='SRB_MBDT' AND entidade='00100')X INNER JOIN (SELECT instrmnt_id AS instrmnt_id_SIMUL, dt_frbrnc_stts_c19 AS dt_frbrnc_stts_c19_SIMUL FROM BU_LOANTAPE_WORK.SIMUL_LT002_INSTRUMENT WHERE ref_date='${ref_date}' AND nome_perimetro='Individual Local' AND segmento='ESTR' AND ambito='PILAR3' AND entidade='00100')Y ON X.INSTRMNT_ID=Y.INSTRMNT_ID_SIMUL</v>
      </c>
      <c r="M211" s="36" t="str">
        <f t="shared" si="6"/>
        <v>UNION ALL SELECT 'INSTRUMENT' AS TABELA, 'COERÊNCIA' AS TIPOLOGIA_TESTE,'BU_LOANTAPE_WORK.LT002_INSTRUMENT' AS TABELA_LT,'BU_LOANTAPE_WORK.SIMUL_LT002_INSTRUMENT' AS TABELA_SIMUL,'dt_frbrnc_stts_c19' AS CAMPO, '${ref_date}' AS REF_DATE, COUNT(*) AS NUM_REG, SUM(IF(COALESCE(CAST(X.dt_frbrnc_stts_c19 AS STRING),'')&lt;&gt;COALESCE(CAST(Y.dt_frbrnc_stts_c19_SIMUL AS STRING),'') OR (X.dt_frbrnc_stts_c19 IS NULL AND Y.dt_frbrnc_stts_c19_SIMUL IS NOT NULL ) OR (X.dt_frbrnc_stts_c19 IS NOT NULL AND Y.dt_frbrnc_stts_c19_SIMUL IS NULL),1,0)) AS NUM_REG_DIF,'1' AS ID_EXEC, CURRENT_TIMESTAMP() AS TIME_EXEC FROM (SELECT instrmnt_id, dt_frbrnc_stts_c19 FROM BU_LOANTAPE_WORK.LT002_INSTRUMENT WHERE ref_date='${ref_date}' AND nome_perimetro='Individual Local' AND segmento='ESTR' AND ambito='SRB_MBDT' AND entidade='00100')X INNER JOIN (SELECT instrmnt_id AS instrmnt_id_SIMUL, dt_frbrnc_stts_c19 AS dt_frbrnc_stts_c19_SIMUL FROM BU_LOANTAPE_WORK.SIMUL_LT002_INSTRUMENT WHERE ref_date='${ref_date}' AND nome_perimetro='Individual Local' AND segmento='ESTR' AND ambito='PILAR3' AND entidade='00100')Y ON X.INSTRMNT_ID=Y.INSTRMNT_ID_SIMUL</v>
      </c>
      <c r="N211" s="38"/>
    </row>
    <row r="212" spans="2:14">
      <c r="B212" s="34" t="s">
        <v>117</v>
      </c>
      <c r="C212" s="34" t="s">
        <v>5</v>
      </c>
      <c r="D212" s="34" t="str">
        <f>+UPPER('0. Instruções'!$D$35&amp;"."&amp;VLOOKUP(B212,'0. Instruções'!$C$27:$D$32,2,FALSE))</f>
        <v>BU_LOANTAPE_WORK.LT002_INSTRUMENT</v>
      </c>
      <c r="E212" s="34" t="str">
        <f>+UPPER('0. Instruções'!$D$36&amp;"."&amp;VLOOKUP(B212,'0. Instruções'!$C$27:$E$32,3,FALSE))</f>
        <v>BU_LOANTAPE_WORK.SIMUL_LT002_INSTRUMENT</v>
      </c>
      <c r="F212" s="34" t="s">
        <v>1274</v>
      </c>
      <c r="G212" s="34"/>
      <c r="H212" s="34"/>
      <c r="I212" s="34" t="str">
        <f>"(SELECT "&amp;VLOOKUP(B212,'0. Instruções'!$C$27:$G$32,4,FALSE)&amp;", "&amp;F212&amp;" FROM "&amp;D212&amp;" WHERE "&amp;'0. Instruções'!$D$42&amp;")X"</f>
        <v>(SELECT instrmnt_id, dt_frbrnc_stts_prvs_c19 FROM BU_LOANTAPE_WORK.LT002_INSTRUMENT WHERE ref_date='${ref_date}' AND nome_perimetro='Individual Local' AND segmento='ESTR' AND ambito='SRB_MBDT' AND entidade='00100')X</v>
      </c>
      <c r="J212" s="34" t="str">
        <f>"(SELECT "&amp;VLOOKUP(B212,'0. Instruções'!$C$27:$G$32,4,FALSE)&amp;" AS "&amp;VLOOKUP(B212,'0. Instruções'!$C$27:$G$32,4,FALSE)&amp;"_SIMUL, "&amp;F212&amp;" AS "&amp;F212&amp;"_SIMUL FROM "&amp;E212&amp;" WHERE "&amp;'0. Instruções'!$D$43&amp;")Y"</f>
        <v>(SELECT instrmnt_id AS instrmnt_id_SIMUL, dt_frbrnc_stts_prvs_c19 AS dt_frbrnc_stts_prvs_c19_SIMUL FROM BU_LOANTAPE_WORK.SIMUL_LT002_INSTRUMENT WHERE ref_date='${ref_date}' AND nome_perimetro='Individual Local' AND segmento='ESTR' AND ambito='PILAR3' AND entidade='00100')Y</v>
      </c>
      <c r="K212" s="35" t="str">
        <f>+UPPER("ON X."&amp;VLOOKUP(B212,'0. Instruções'!$C$27:$G$32,4,FALSE)&amp;"=Y."&amp;VLOOKUP(B212,'0. Instruções'!$C$27:$G$32,4,FALSE)&amp;"_SIMUL")</f>
        <v>ON X.INSTRMNT_ID=Y.INSTRMNT_ID_SIMUL</v>
      </c>
      <c r="L212" s="35" t="str">
        <f>+IF(C212="Coerência", +IF(LEFT(G212,5)="FLOAT","SELECT '"&amp;UPPER(B212)&amp;"' AS TABELA, '"&amp;UPPER(C212)&amp;"' AS TIPOLOGIA_TESTE,'"&amp;D212&amp;"' AS TABELA_LT,'"&amp;E212&amp;"' AS TABELA_SIMUL,'"&amp;F212&amp;"' AS CAMPO, "&amp;"'${ref_date}' AS REF_DATE, COUNT(*) AS NUM_REG, SUM(IF((ABS(COALESCE(CAST(X."&amp;F212&amp;" AS DECIMAL(18,6)),0)-COALESCE(CAST(Y."&amp;F212&amp;"_SIMUL AS DECIMAL(18,6)),0))&gt;0.000001) OR (X."&amp;F212&amp;" IS NULL AND Y."&amp;F212&amp;"_SIMUL IS NOT NULL ) OR (X."&amp;F212&amp;" IS NOT NULL AND Y."&amp;F212&amp;"_SIMUL IS NULL),1,0)) AS NUM_REG_DIF,'"&amp;MAX('ID1&amp;5'!K:K)+1&amp;"' AS ID_EXEC, CURRENT_TIMESTAMP() AS TIME_EXEC FROM "&amp;I212&amp;" INNER JOIN "&amp;J212&amp;" "&amp;K212,"SELECT '"&amp;UPPER(B212)&amp;"' AS TABELA, '"&amp;UPPER(C212)&amp;"' AS TIPOLOGIA_TESTE,'"&amp;D212&amp;"' AS TABELA_LT,'"&amp;E212&amp;"' AS TABELA_SIMUL,'"&amp;F212&amp;"' AS CAMPO, "&amp;"'${ref_date}' AS REF_DATE, COUNT(*) AS NUM_REG, SUM(IF(COALESCE(CAST(X."&amp;F212&amp;" AS STRING),'')&lt;&gt;COALESCE(CAST(Y."&amp;F212&amp;"_SIMUL AS STRING),'') OR (X."&amp;F212&amp;" IS NULL AND Y."&amp;F212&amp;"_SIMUL IS NOT NULL ) OR (X."&amp;F212&amp;" IS NOT NULL AND Y."&amp;F212&amp;"_SIMUL IS NULL),1,0)) AS NUM_REG_DIF,'"&amp;MAX('ID1&amp;5'!L:L)+1&amp;"' AS ID_EXEC, CURRENT_TIMESTAMP() AS TIME_EXEC FROM "&amp;I212&amp;" INNER JOIN "&amp;J212&amp;" "&amp;K212),
IF(C212="Validade",+IF(G212="Code List","SELECT '"&amp;UPPER(B212)&amp;"' AS TABELA, '"&amp;UPPER(C212)&amp;"' AS TIPOLOGIA_TESTE,'"&amp;D212&amp;"' AS TABELA_LT,'N/A' AS TABELA_SIMUL,'"&amp;F212&amp;"' AS CAMPO, "&amp;"'${ref_date}' AS REF_DATE, COUNT(*) AS NUM_REG, SUM(IF(TRIM(CAST(X."&amp;F212&amp;" AS STRING))='' OR TRIM(CAST(X."&amp;F212&amp;" AS STRING)) IS NULL OR CAST(X."&amp;F212&amp;" AS STRING) NOT "&amp;H212&amp;",1,0)) AS NUM_REG_DIF,'"&amp;MAX('ID1&amp;5'!K:K)+1&amp;"' AS ID_EXEC, CURRENT_TIMESTAMP() AS TIME_EXEC FROM "&amp;I212,"SELECT '"&amp;UPPER(B212)&amp;"' AS TABELA, '"&amp;UPPER(C212)&amp;"' AS TIPOLOGIA_TESTE,'"&amp;D212&amp;"' AS TABELA_LT,'N/A' AS TABELA_SIMUL,'"&amp;F212&amp;"' AS CAMPO, "&amp;"'${ref_date}' AS REF_DATE, COUNT(*) AS NUM_REG, SUM(IF(TRIM(CAST(X."&amp;F212&amp;" AS STRING))='' OR TRIM(CAST(X."&amp;F212&amp;" AS STRING)) IS NULL,1,0)) AS NUM_REG_DIF,'"&amp;MAX('ID1&amp;5'!K:K)+1&amp;"' AS ID_EXEC, CURRENT_TIMESTAMP() AS TIME_EXEC FROM "&amp;I212),
IF(C212="Caracteres Especiais",+"SELECT '"&amp;UPPER(B212)&amp;"' AS TABELA, '"&amp;UPPER(C212)&amp;"' AS TIPOLOGIA_TESTE,'"&amp;D212&amp;"' AS TABELA_LT,'N/A' AS TABELA_SIMUL,'"&amp;F212&amp;"' AS CAMPO, "&amp;"'${ref_date}' AS REF_DATE, COUNT(*) AS NUM_REG, SUM(IF(REGEXP_REPLACE(TRIM(CAST(X."&amp;F212&amp;" AS STRING)),'[^a-zA-Z0-9_\\s]','') &lt;&gt;TRIM(CAST(X."&amp;F212&amp;" AS STRING)),1,0)) AS NUM_REG_DIF,'"&amp;MAX('ID1&amp;5'!K:K)+1&amp;"' AS ID_EXEC, CURRENT_TIMESTAMP() AS TIME_EXEC FROM "&amp;I212,
IF(C212="Missings",+"SELECT '"&amp;UPPER(B212)&amp;"' AS TABELA, '"&amp;UPPER(C212)&amp;"' AS TIPOLOGIA_TESTE,'"&amp;D212&amp;"' AS TABELA_LT,'N/A' AS TABELA_SIMUL,'"&amp;F212&amp;"' AS CAMPO, "&amp;"'${ref_date}' AS REF_DATE, COUNT(*) AS NUM_REG, SUM(IF(TRIM(CAST(X."&amp;F212&amp;" AS STRING)) IN ('0000-00-00','0001-01-01','9999-12-31','MISS','00000','99999999999','99999999999.00','99999999999.000000'),1,0)) AS NUM_REG_DIF,'"&amp;MAX('ID1&amp;5'!K:K)+1&amp;"' AS ID_EXEC, CURRENT_TIMESTAMP() AS TIME_EXEC FROM "&amp;I212,
IF(C212="Not applicable",+"SELECT '"&amp;UPPER(B212)&amp;"' AS TABELA, '"&amp;UPPER(C212)&amp;"' AS TIPOLOGIA_TESTE,'"&amp;D212&amp;"' AS TABELA_LT,'N/A' AS TABELA_SIMUL,'"&amp;F212&amp;"' AS CAMPO, "&amp;"'${ref_date}' AS REF_DATE, COUNT(*) AS NUM_REG, SUM(IF(TRIM(CAST(X."&amp;F212&amp;" AS STRING)) IN ('N/A','11111111111','11111111111.00','11111111111.000000','1111-11-11'),1,0)) AS NUM_REG_DIF,'"&amp;MAX('ID1&amp;5'!K:K)+1&amp;"' AS ID_EXEC, CURRENT_TIMESTAMP() AS TIME_EXEC FROM "&amp;I212,
IF(C212="Valores extremos",+"SELECT '"&amp;UPPER(B212)&amp;"' AS TABELA, '"&amp;UPPER(C212)&amp;"' AS TIPOLOGIA_TESTE,'"&amp;D212&amp;"' AS TABELA_LT,'N/A' AS TABELA_SIMUL,'"&amp;F212&amp;"' AS CAMPO, "&amp;"'${ref_date}' AS REF_DATE, CAST(MIN("&amp;F212&amp;") AS STRING) AS VALOR_MIN, CAST(MAX("&amp;F212&amp;") AS STRING) AS VALOR_MAX,'"&amp;MAX('ID1&amp;5'!K:K)+1&amp;"' AS ID_EXEC, CURRENT_TIMESTAMP() AS TIME_EXEC FROM "&amp;MID(I212,1,LEN(I212)-2)&amp;" AND CAST("&amp;F212&amp;"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TABELA_SIMUL,'dt_frbrnc_stts_prvs_c19' AS CAMPO, '${ref_date}' AS REF_DATE, COUNT(*) AS NUM_REG, SUM(IF(COALESCE(CAST(X.dt_frbrnc_stts_prvs_c19 AS STRING),'')&lt;&gt;COALESCE(CAST(Y.dt_frbrnc_stts_prvs_c19_SIMUL AS STRING),'') OR (X.dt_frbrnc_stts_prvs_c19 IS NULL AND Y.dt_frbrnc_stts_prvs_c19_SIMUL IS NOT NULL ) OR (X.dt_frbrnc_stts_prvs_c19 IS NOT NULL AND Y.dt_frbrnc_stts_prvs_c19_SIMUL IS NULL),1,0)) AS NUM_REG_DIF,'1' AS ID_EXEC, CURRENT_TIMESTAMP() AS TIME_EXEC FROM (SELECT instrmnt_id, dt_frbrnc_stts_prvs_c19 FROM BU_LOANTAPE_WORK.LT002_INSTRUMENT WHERE ref_date='${ref_date}' AND nome_perimetro='Individual Local' AND segmento='ESTR' AND ambito='SRB_MBDT' AND entidade='00100')X INNER JOIN (SELECT instrmnt_id AS instrmnt_id_SIMUL, dt_frbrnc_stts_prvs_c19 AS dt_frbrnc_stts_prvs_c19_SIMUL FROM BU_LOANTAPE_WORK.SIMUL_LT002_INSTRUMENT WHERE ref_date='${ref_date}' AND nome_perimetro='Individual Local' AND segmento='ESTR' AND ambito='PILAR3' AND entidade='00100')Y ON X.INSTRMNT_ID=Y.INSTRMNT_ID_SIMUL</v>
      </c>
      <c r="M212" s="36" t="str">
        <f t="shared" si="6"/>
        <v>UNION ALL SELECT 'INSTRUMENT' AS TABELA, 'COERÊNCIA' AS TIPOLOGIA_TESTE,'BU_LOANTAPE_WORK.LT002_INSTRUMENT' AS TABELA_LT,'BU_LOANTAPE_WORK.SIMUL_LT002_INSTRUMENT' AS TABELA_SIMUL,'dt_frbrnc_stts_prvs_c19' AS CAMPO, '${ref_date}' AS REF_DATE, COUNT(*) AS NUM_REG, SUM(IF(COALESCE(CAST(X.dt_frbrnc_stts_prvs_c19 AS STRING),'')&lt;&gt;COALESCE(CAST(Y.dt_frbrnc_stts_prvs_c19_SIMUL AS STRING),'') OR (X.dt_frbrnc_stts_prvs_c19 IS NULL AND Y.dt_frbrnc_stts_prvs_c19_SIMUL IS NOT NULL ) OR (X.dt_frbrnc_stts_prvs_c19 IS NOT NULL AND Y.dt_frbrnc_stts_prvs_c19_SIMUL IS NULL),1,0)) AS NUM_REG_DIF,'1' AS ID_EXEC, CURRENT_TIMESTAMP() AS TIME_EXEC FROM (SELECT instrmnt_id, dt_frbrnc_stts_prvs_c19 FROM BU_LOANTAPE_WORK.LT002_INSTRUMENT WHERE ref_date='${ref_date}' AND nome_perimetro='Individual Local' AND segmento='ESTR' AND ambito='SRB_MBDT' AND entidade='00100')X INNER JOIN (SELECT instrmnt_id AS instrmnt_id_SIMUL, dt_frbrnc_stts_prvs_c19 AS dt_frbrnc_stts_prvs_c19_SIMUL FROM BU_LOANTAPE_WORK.SIMUL_LT002_INSTRUMENT WHERE ref_date='${ref_date}' AND nome_perimetro='Individual Local' AND segmento='ESTR' AND ambito='PILAR3' AND entidade='00100')Y ON X.INSTRMNT_ID=Y.INSTRMNT_ID_SIMUL</v>
      </c>
      <c r="N212" s="38"/>
    </row>
    <row r="213" spans="2:14">
      <c r="B213" s="34" t="s">
        <v>117</v>
      </c>
      <c r="C213" s="34" t="s">
        <v>5</v>
      </c>
      <c r="D213" s="34" t="str">
        <f>+UPPER('0. Instruções'!$D$35&amp;"."&amp;VLOOKUP(B213,'0. Instruções'!$C$27:$D$32,2,FALSE))</f>
        <v>BU_LOANTAPE_WORK.LT002_INSTRUMENT</v>
      </c>
      <c r="E213" s="34" t="str">
        <f>+UPPER('0. Instruções'!$D$36&amp;"."&amp;VLOOKUP(B213,'0. Instruções'!$C$27:$E$32,3,FALSE))</f>
        <v>BU_LOANTAPE_WORK.SIMUL_LT002_INSTRUMENT</v>
      </c>
      <c r="F213" s="34" t="s">
        <v>1275</v>
      </c>
      <c r="G213" s="34"/>
      <c r="H213" s="34"/>
      <c r="I213" s="34" t="str">
        <f>"(SELECT "&amp;VLOOKUP(B213,'0. Instruções'!$C$27:$G$32,4,FALSE)&amp;", "&amp;F213&amp;" FROM "&amp;D213&amp;" WHERE "&amp;'0. Instruções'!$D$42&amp;")X"</f>
        <v>(SELECT instrmnt_id, mtrty_ltst_frbrnc_msr_c19 FROM BU_LOANTAPE_WORK.LT002_INSTRUMENT WHERE ref_date='${ref_date}' AND nome_perimetro='Individual Local' AND segmento='ESTR' AND ambito='SRB_MBDT' AND entidade='00100')X</v>
      </c>
      <c r="J213" s="34" t="str">
        <f>"(SELECT "&amp;VLOOKUP(B213,'0. Instruções'!$C$27:$G$32,4,FALSE)&amp;" AS "&amp;VLOOKUP(B213,'0. Instruções'!$C$27:$G$32,4,FALSE)&amp;"_SIMUL, "&amp;F213&amp;" AS "&amp;F213&amp;"_SIMUL FROM "&amp;E213&amp;" WHERE "&amp;'0. Instruções'!$D$43&amp;")Y"</f>
        <v>(SELECT instrmnt_id AS instrmnt_id_SIMUL, mtrty_ltst_frbrnc_msr_c19 AS mtrty_ltst_frbrnc_msr_c19_SIMUL FROM BU_LOANTAPE_WORK.SIMUL_LT002_INSTRUMENT WHERE ref_date='${ref_date}' AND nome_perimetro='Individual Local' AND segmento='ESTR' AND ambito='PILAR3' AND entidade='00100')Y</v>
      </c>
      <c r="K213" s="35" t="str">
        <f>+UPPER("ON X."&amp;VLOOKUP(B213,'0. Instruções'!$C$27:$G$32,4,FALSE)&amp;"=Y."&amp;VLOOKUP(B213,'0. Instruções'!$C$27:$G$32,4,FALSE)&amp;"_SIMUL")</f>
        <v>ON X.INSTRMNT_ID=Y.INSTRMNT_ID_SIMUL</v>
      </c>
      <c r="L213" s="35" t="str">
        <f>+IF(C213="Coerência", +IF(LEFT(G213,5)="FLOAT","SELECT '"&amp;UPPER(B213)&amp;"' AS TABELA, '"&amp;UPPER(C213)&amp;"' AS TIPOLOGIA_TESTE,'"&amp;D213&amp;"' AS TABELA_LT,'"&amp;E213&amp;"' AS TABELA_SIMUL,'"&amp;F213&amp;"' AS CAMPO, "&amp;"'${ref_date}' AS REF_DATE, COUNT(*) AS NUM_REG, SUM(IF((ABS(COALESCE(CAST(X."&amp;F213&amp;" AS DECIMAL(18,6)),0)-COALESCE(CAST(Y."&amp;F213&amp;"_SIMUL AS DECIMAL(18,6)),0))&gt;0.000001) OR (X."&amp;F213&amp;" IS NULL AND Y."&amp;F213&amp;"_SIMUL IS NOT NULL ) OR (X."&amp;F213&amp;" IS NOT NULL AND Y."&amp;F213&amp;"_SIMUL IS NULL),1,0)) AS NUM_REG_DIF,'"&amp;MAX('ID1&amp;5'!K:K)+1&amp;"' AS ID_EXEC, CURRENT_TIMESTAMP() AS TIME_EXEC FROM "&amp;I213&amp;" INNER JOIN "&amp;J213&amp;" "&amp;K213,"SELECT '"&amp;UPPER(B213)&amp;"' AS TABELA, '"&amp;UPPER(C213)&amp;"' AS TIPOLOGIA_TESTE,'"&amp;D213&amp;"' AS TABELA_LT,'"&amp;E213&amp;"' AS TABELA_SIMUL,'"&amp;F213&amp;"' AS CAMPO, "&amp;"'${ref_date}' AS REF_DATE, COUNT(*) AS NUM_REG, SUM(IF(COALESCE(CAST(X."&amp;F213&amp;" AS STRING),'')&lt;&gt;COALESCE(CAST(Y."&amp;F213&amp;"_SIMUL AS STRING),'') OR (X."&amp;F213&amp;" IS NULL AND Y."&amp;F213&amp;"_SIMUL IS NOT NULL ) OR (X."&amp;F213&amp;" IS NOT NULL AND Y."&amp;F213&amp;"_SIMUL IS NULL),1,0)) AS NUM_REG_DIF,'"&amp;MAX('ID1&amp;5'!L:L)+1&amp;"' AS ID_EXEC, CURRENT_TIMESTAMP() AS TIME_EXEC FROM "&amp;I213&amp;" INNER JOIN "&amp;J213&amp;" "&amp;K213),
IF(C213="Validade",+IF(G213="Code List","SELECT '"&amp;UPPER(B213)&amp;"' AS TABELA, '"&amp;UPPER(C213)&amp;"' AS TIPOLOGIA_TESTE,'"&amp;D213&amp;"' AS TABELA_LT,'N/A' AS TABELA_SIMUL,'"&amp;F213&amp;"' AS CAMPO, "&amp;"'${ref_date}' AS REF_DATE, COUNT(*) AS NUM_REG, SUM(IF(TRIM(CAST(X."&amp;F213&amp;" AS STRING))='' OR TRIM(CAST(X."&amp;F213&amp;" AS STRING)) IS NULL OR CAST(X."&amp;F213&amp;" AS STRING) NOT "&amp;H213&amp;",1,0)) AS NUM_REG_DIF,'"&amp;MAX('ID1&amp;5'!K:K)+1&amp;"' AS ID_EXEC, CURRENT_TIMESTAMP() AS TIME_EXEC FROM "&amp;I213,"SELECT '"&amp;UPPER(B213)&amp;"' AS TABELA, '"&amp;UPPER(C213)&amp;"' AS TIPOLOGIA_TESTE,'"&amp;D213&amp;"' AS TABELA_LT,'N/A' AS TABELA_SIMUL,'"&amp;F213&amp;"' AS CAMPO, "&amp;"'${ref_date}' AS REF_DATE, COUNT(*) AS NUM_REG, SUM(IF(TRIM(CAST(X."&amp;F213&amp;" AS STRING))='' OR TRIM(CAST(X."&amp;F213&amp;" AS STRING)) IS NULL,1,0)) AS NUM_REG_DIF,'"&amp;MAX('ID1&amp;5'!K:K)+1&amp;"' AS ID_EXEC, CURRENT_TIMESTAMP() AS TIME_EXEC FROM "&amp;I213),
IF(C213="Caracteres Especiais",+"SELECT '"&amp;UPPER(B213)&amp;"' AS TABELA, '"&amp;UPPER(C213)&amp;"' AS TIPOLOGIA_TESTE,'"&amp;D213&amp;"' AS TABELA_LT,'N/A' AS TABELA_SIMUL,'"&amp;F213&amp;"' AS CAMPO, "&amp;"'${ref_date}' AS REF_DATE, COUNT(*) AS NUM_REG, SUM(IF(REGEXP_REPLACE(TRIM(CAST(X."&amp;F213&amp;" AS STRING)),'[^a-zA-Z0-9_\\s]','') &lt;&gt;TRIM(CAST(X."&amp;F213&amp;" AS STRING)),1,0)) AS NUM_REG_DIF,'"&amp;MAX('ID1&amp;5'!K:K)+1&amp;"' AS ID_EXEC, CURRENT_TIMESTAMP() AS TIME_EXEC FROM "&amp;I213,
IF(C213="Missings",+"SELECT '"&amp;UPPER(B213)&amp;"' AS TABELA, '"&amp;UPPER(C213)&amp;"' AS TIPOLOGIA_TESTE,'"&amp;D213&amp;"' AS TABELA_LT,'N/A' AS TABELA_SIMUL,'"&amp;F213&amp;"' AS CAMPO, "&amp;"'${ref_date}' AS REF_DATE, COUNT(*) AS NUM_REG, SUM(IF(TRIM(CAST(X."&amp;F213&amp;" AS STRING)) IN ('0000-00-00','0001-01-01','9999-12-31','MISS','00000','99999999999','99999999999.00','99999999999.000000'),1,0)) AS NUM_REG_DIF,'"&amp;MAX('ID1&amp;5'!K:K)+1&amp;"' AS ID_EXEC, CURRENT_TIMESTAMP() AS TIME_EXEC FROM "&amp;I213,
IF(C213="Not applicable",+"SELECT '"&amp;UPPER(B213)&amp;"' AS TABELA, '"&amp;UPPER(C213)&amp;"' AS TIPOLOGIA_TESTE,'"&amp;D213&amp;"' AS TABELA_LT,'N/A' AS TABELA_SIMUL,'"&amp;F213&amp;"' AS CAMPO, "&amp;"'${ref_date}' AS REF_DATE, COUNT(*) AS NUM_REG, SUM(IF(TRIM(CAST(X."&amp;F213&amp;" AS STRING)) IN ('N/A','11111111111','11111111111.00','11111111111.000000','1111-11-11'),1,0)) AS NUM_REG_DIF,'"&amp;MAX('ID1&amp;5'!K:K)+1&amp;"' AS ID_EXEC, CURRENT_TIMESTAMP() AS TIME_EXEC FROM "&amp;I213,
IF(C213="Valores extremos",+"SELECT '"&amp;UPPER(B213)&amp;"' AS TABELA, '"&amp;UPPER(C213)&amp;"' AS TIPOLOGIA_TESTE,'"&amp;D213&amp;"' AS TABELA_LT,'N/A' AS TABELA_SIMUL,'"&amp;F213&amp;"' AS CAMPO, "&amp;"'${ref_date}' AS REF_DATE, CAST(MIN("&amp;F213&amp;") AS STRING) AS VALOR_MIN, CAST(MAX("&amp;F213&amp;") AS STRING) AS VALOR_MAX,'"&amp;MAX('ID1&amp;5'!K:K)+1&amp;"' AS ID_EXEC, CURRENT_TIMESTAMP() AS TIME_EXEC FROM "&amp;MID(I213,1,LEN(I213)-2)&amp;" AND CAST("&amp;F213&amp;"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TABELA_SIMUL,'mtrty_ltst_frbrnc_msr_c19' AS CAMPO, '${ref_date}' AS REF_DATE, COUNT(*) AS NUM_REG, SUM(IF(COALESCE(CAST(X.mtrty_ltst_frbrnc_msr_c19 AS STRING),'')&lt;&gt;COALESCE(CAST(Y.mtrty_ltst_frbrnc_msr_c19_SIMUL AS STRING),'') OR (X.mtrty_ltst_frbrnc_msr_c19 IS NULL AND Y.mtrty_ltst_frbrnc_msr_c19_SIMUL IS NOT NULL ) OR (X.mtrty_ltst_frbrnc_msr_c19 IS NOT NULL AND Y.mtrty_ltst_frbrnc_msr_c19_SIMUL IS NULL),1,0)) AS NUM_REG_DIF,'1' AS ID_EXEC, CURRENT_TIMESTAMP() AS TIME_EXEC FROM (SELECT instrmnt_id, mtrty_ltst_frbrnc_msr_c19 FROM BU_LOANTAPE_WORK.LT002_INSTRUMENT WHERE ref_date='${ref_date}' AND nome_perimetro='Individual Local' AND segmento='ESTR' AND ambito='SRB_MBDT' AND entidade='00100')X INNER JOIN (SELECT instrmnt_id AS instrmnt_id_SIMUL, mtrty_ltst_frbrnc_msr_c19 AS mtrty_ltst_frbrnc_msr_c19_SIMUL FROM BU_LOANTAPE_WORK.SIMUL_LT002_INSTRUMENT WHERE ref_date='${ref_date}' AND nome_perimetro='Individual Local' AND segmento='ESTR' AND ambito='PILAR3' AND entidade='00100')Y ON X.INSTRMNT_ID=Y.INSTRMNT_ID_SIMUL</v>
      </c>
      <c r="M213" s="36" t="str">
        <f t="shared" si="6"/>
        <v>UNION ALL SELECT 'INSTRUMENT' AS TABELA, 'COERÊNCIA' AS TIPOLOGIA_TESTE,'BU_LOANTAPE_WORK.LT002_INSTRUMENT' AS TABELA_LT,'BU_LOANTAPE_WORK.SIMUL_LT002_INSTRUMENT' AS TABELA_SIMUL,'mtrty_ltst_frbrnc_msr_c19' AS CAMPO, '${ref_date}' AS REF_DATE, COUNT(*) AS NUM_REG, SUM(IF(COALESCE(CAST(X.mtrty_ltst_frbrnc_msr_c19 AS STRING),'')&lt;&gt;COALESCE(CAST(Y.mtrty_ltst_frbrnc_msr_c19_SIMUL AS STRING),'') OR (X.mtrty_ltst_frbrnc_msr_c19 IS NULL AND Y.mtrty_ltst_frbrnc_msr_c19_SIMUL IS NOT NULL ) OR (X.mtrty_ltst_frbrnc_msr_c19 IS NOT NULL AND Y.mtrty_ltst_frbrnc_msr_c19_SIMUL IS NULL),1,0)) AS NUM_REG_DIF,'1' AS ID_EXEC, CURRENT_TIMESTAMP() AS TIME_EXEC FROM (SELECT instrmnt_id, mtrty_ltst_frbrnc_msr_c19 FROM BU_LOANTAPE_WORK.LT002_INSTRUMENT WHERE ref_date='${ref_date}' AND nome_perimetro='Individual Local' AND segmento='ESTR' AND ambito='SRB_MBDT' AND entidade='00100')X INNER JOIN (SELECT instrmnt_id AS instrmnt_id_SIMUL, mtrty_ltst_frbrnc_msr_c19 AS mtrty_ltst_frbrnc_msr_c19_SIMUL FROM BU_LOANTAPE_WORK.SIMUL_LT002_INSTRUMENT WHERE ref_date='${ref_date}' AND nome_perimetro='Individual Local' AND segmento='ESTR' AND ambito='PILAR3' AND entidade='00100')Y ON X.INSTRMNT_ID=Y.INSTRMNT_ID_SIMUL</v>
      </c>
      <c r="N213" s="38"/>
    </row>
    <row r="214" spans="2:14">
      <c r="B214" s="34" t="s">
        <v>117</v>
      </c>
      <c r="C214" s="34" t="s">
        <v>5</v>
      </c>
      <c r="D214" s="34" t="str">
        <f>+UPPER('0. Instruções'!$D$35&amp;"."&amp;VLOOKUP(B214,'0. Instruções'!$C$27:$D$32,2,FALSE))</f>
        <v>BU_LOANTAPE_WORK.LT002_INSTRUMENT</v>
      </c>
      <c r="E214" s="34" t="str">
        <f>+UPPER('0. Instruções'!$D$36&amp;"."&amp;VLOOKUP(B214,'0. Instruções'!$C$27:$E$32,3,FALSE))</f>
        <v>BU_LOANTAPE_WORK.SIMUL_LT002_INSTRUMENT</v>
      </c>
      <c r="F214" s="34" t="s">
        <v>1276</v>
      </c>
      <c r="G214" s="34"/>
      <c r="H214" s="34"/>
      <c r="I214" s="34" t="str">
        <f>"(SELECT "&amp;VLOOKUP(B214,'0. Instruções'!$C$27:$G$32,4,FALSE)&amp;", "&amp;F214&amp;" FROM "&amp;D214&amp;" WHERE "&amp;'0. Instruções'!$D$42&amp;")X"</f>
        <v>(SELECT instrmnt_id, dt_end_gp_ppal_c19 FROM BU_LOANTAPE_WORK.LT002_INSTRUMENT WHERE ref_date='${ref_date}' AND nome_perimetro='Individual Local' AND segmento='ESTR' AND ambito='SRB_MBDT' AND entidade='00100')X</v>
      </c>
      <c r="J214" s="34" t="str">
        <f>"(SELECT "&amp;VLOOKUP(B214,'0. Instruções'!$C$27:$G$32,4,FALSE)&amp;" AS "&amp;VLOOKUP(B214,'0. Instruções'!$C$27:$G$32,4,FALSE)&amp;"_SIMUL, "&amp;F214&amp;" AS "&amp;F214&amp;"_SIMUL FROM "&amp;E214&amp;" WHERE "&amp;'0. Instruções'!$D$43&amp;")Y"</f>
        <v>(SELECT instrmnt_id AS instrmnt_id_SIMUL, dt_end_gp_ppal_c19 AS dt_end_gp_ppal_c19_SIMUL FROM BU_LOANTAPE_WORK.SIMUL_LT002_INSTRUMENT WHERE ref_date='${ref_date}' AND nome_perimetro='Individual Local' AND segmento='ESTR' AND ambito='PILAR3' AND entidade='00100')Y</v>
      </c>
      <c r="K214" s="35" t="str">
        <f>+UPPER("ON X."&amp;VLOOKUP(B214,'0. Instruções'!$C$27:$G$32,4,FALSE)&amp;"=Y."&amp;VLOOKUP(B214,'0. Instruções'!$C$27:$G$32,4,FALSE)&amp;"_SIMUL")</f>
        <v>ON X.INSTRMNT_ID=Y.INSTRMNT_ID_SIMUL</v>
      </c>
      <c r="L214" s="35" t="str">
        <f>+IF(C214="Coerência", +IF(LEFT(G214,5)="FLOAT","SELECT '"&amp;UPPER(B214)&amp;"' AS TABELA, '"&amp;UPPER(C214)&amp;"' AS TIPOLOGIA_TESTE,'"&amp;D214&amp;"' AS TABELA_LT,'"&amp;E214&amp;"' AS TABELA_SIMUL,'"&amp;F214&amp;"' AS CAMPO, "&amp;"'${ref_date}' AS REF_DATE, COUNT(*) AS NUM_REG, SUM(IF((ABS(COALESCE(CAST(X."&amp;F214&amp;" AS DECIMAL(18,6)),0)-COALESCE(CAST(Y."&amp;F214&amp;"_SIMUL AS DECIMAL(18,6)),0))&gt;0.000001) OR (X."&amp;F214&amp;" IS NULL AND Y."&amp;F214&amp;"_SIMUL IS NOT NULL ) OR (X."&amp;F214&amp;" IS NOT NULL AND Y."&amp;F214&amp;"_SIMUL IS NULL),1,0)) AS NUM_REG_DIF,'"&amp;MAX('ID1&amp;5'!K:K)+1&amp;"' AS ID_EXEC, CURRENT_TIMESTAMP() AS TIME_EXEC FROM "&amp;I214&amp;" INNER JOIN "&amp;J214&amp;" "&amp;K214,"SELECT '"&amp;UPPER(B214)&amp;"' AS TABELA, '"&amp;UPPER(C214)&amp;"' AS TIPOLOGIA_TESTE,'"&amp;D214&amp;"' AS TABELA_LT,'"&amp;E214&amp;"' AS TABELA_SIMUL,'"&amp;F214&amp;"' AS CAMPO, "&amp;"'${ref_date}' AS REF_DATE, COUNT(*) AS NUM_REG, SUM(IF(COALESCE(CAST(X."&amp;F214&amp;" AS STRING),'')&lt;&gt;COALESCE(CAST(Y."&amp;F214&amp;"_SIMUL AS STRING),'') OR (X."&amp;F214&amp;" IS NULL AND Y."&amp;F214&amp;"_SIMUL IS NOT NULL ) OR (X."&amp;F214&amp;" IS NOT NULL AND Y."&amp;F214&amp;"_SIMUL IS NULL),1,0)) AS NUM_REG_DIF,'"&amp;MAX('ID1&amp;5'!L:L)+1&amp;"' AS ID_EXEC, CURRENT_TIMESTAMP() AS TIME_EXEC FROM "&amp;I214&amp;" INNER JOIN "&amp;J214&amp;" "&amp;K214),
IF(C214="Validade",+IF(G214="Code List","SELECT '"&amp;UPPER(B214)&amp;"' AS TABELA, '"&amp;UPPER(C214)&amp;"' AS TIPOLOGIA_TESTE,'"&amp;D214&amp;"' AS TABELA_LT,'N/A' AS TABELA_SIMUL,'"&amp;F214&amp;"' AS CAMPO, "&amp;"'${ref_date}' AS REF_DATE, COUNT(*) AS NUM_REG, SUM(IF(TRIM(CAST(X."&amp;F214&amp;" AS STRING))='' OR TRIM(CAST(X."&amp;F214&amp;" AS STRING)) IS NULL OR CAST(X."&amp;F214&amp;" AS STRING) NOT "&amp;H214&amp;",1,0)) AS NUM_REG_DIF,'"&amp;MAX('ID1&amp;5'!K:K)+1&amp;"' AS ID_EXEC, CURRENT_TIMESTAMP() AS TIME_EXEC FROM "&amp;I214,"SELECT '"&amp;UPPER(B214)&amp;"' AS TABELA, '"&amp;UPPER(C214)&amp;"' AS TIPOLOGIA_TESTE,'"&amp;D214&amp;"' AS TABELA_LT,'N/A' AS TABELA_SIMUL,'"&amp;F214&amp;"' AS CAMPO, "&amp;"'${ref_date}' AS REF_DATE, COUNT(*) AS NUM_REG, SUM(IF(TRIM(CAST(X."&amp;F214&amp;" AS STRING))='' OR TRIM(CAST(X."&amp;F214&amp;" AS STRING)) IS NULL,1,0)) AS NUM_REG_DIF,'"&amp;MAX('ID1&amp;5'!K:K)+1&amp;"' AS ID_EXEC, CURRENT_TIMESTAMP() AS TIME_EXEC FROM "&amp;I214),
IF(C214="Caracteres Especiais",+"SELECT '"&amp;UPPER(B214)&amp;"' AS TABELA, '"&amp;UPPER(C214)&amp;"' AS TIPOLOGIA_TESTE,'"&amp;D214&amp;"' AS TABELA_LT,'N/A' AS TABELA_SIMUL,'"&amp;F214&amp;"' AS CAMPO, "&amp;"'${ref_date}' AS REF_DATE, COUNT(*) AS NUM_REG, SUM(IF(REGEXP_REPLACE(TRIM(CAST(X."&amp;F214&amp;" AS STRING)),'[^a-zA-Z0-9_\\s]','') &lt;&gt;TRIM(CAST(X."&amp;F214&amp;" AS STRING)),1,0)) AS NUM_REG_DIF,'"&amp;MAX('ID1&amp;5'!K:K)+1&amp;"' AS ID_EXEC, CURRENT_TIMESTAMP() AS TIME_EXEC FROM "&amp;I214,
IF(C214="Missings",+"SELECT '"&amp;UPPER(B214)&amp;"' AS TABELA, '"&amp;UPPER(C214)&amp;"' AS TIPOLOGIA_TESTE,'"&amp;D214&amp;"' AS TABELA_LT,'N/A' AS TABELA_SIMUL,'"&amp;F214&amp;"' AS CAMPO, "&amp;"'${ref_date}' AS REF_DATE, COUNT(*) AS NUM_REG, SUM(IF(TRIM(CAST(X."&amp;F214&amp;" AS STRING)) IN ('0000-00-00','0001-01-01','9999-12-31','MISS','00000','99999999999','99999999999.00','99999999999.000000'),1,0)) AS NUM_REG_DIF,'"&amp;MAX('ID1&amp;5'!K:K)+1&amp;"' AS ID_EXEC, CURRENT_TIMESTAMP() AS TIME_EXEC FROM "&amp;I214,
IF(C214="Not applicable",+"SELECT '"&amp;UPPER(B214)&amp;"' AS TABELA, '"&amp;UPPER(C214)&amp;"' AS TIPOLOGIA_TESTE,'"&amp;D214&amp;"' AS TABELA_LT,'N/A' AS TABELA_SIMUL,'"&amp;F214&amp;"' AS CAMPO, "&amp;"'${ref_date}' AS REF_DATE, COUNT(*) AS NUM_REG, SUM(IF(TRIM(CAST(X."&amp;F214&amp;" AS STRING)) IN ('N/A','11111111111','11111111111.00','11111111111.000000','1111-11-11'),1,0)) AS NUM_REG_DIF,'"&amp;MAX('ID1&amp;5'!K:K)+1&amp;"' AS ID_EXEC, CURRENT_TIMESTAMP() AS TIME_EXEC FROM "&amp;I214,
IF(C214="Valores extremos",+"SELECT '"&amp;UPPER(B214)&amp;"' AS TABELA, '"&amp;UPPER(C214)&amp;"' AS TIPOLOGIA_TESTE,'"&amp;D214&amp;"' AS TABELA_LT,'N/A' AS TABELA_SIMUL,'"&amp;F214&amp;"' AS CAMPO, "&amp;"'${ref_date}' AS REF_DATE, CAST(MIN("&amp;F214&amp;") AS STRING) AS VALOR_MIN, CAST(MAX("&amp;F214&amp;") AS STRING) AS VALOR_MAX,'"&amp;MAX('ID1&amp;5'!K:K)+1&amp;"' AS ID_EXEC, CURRENT_TIMESTAMP() AS TIME_EXEC FROM "&amp;MID(I214,1,LEN(I214)-2)&amp;" AND CAST("&amp;F214&amp;"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TABELA_SIMUL,'dt_end_gp_ppal_c19' AS CAMPO, '${ref_date}' AS REF_DATE, COUNT(*) AS NUM_REG, SUM(IF(COALESCE(CAST(X.dt_end_gp_ppal_c19 AS STRING),'')&lt;&gt;COALESCE(CAST(Y.dt_end_gp_ppal_c19_SIMUL AS STRING),'') OR (X.dt_end_gp_ppal_c19 IS NULL AND Y.dt_end_gp_ppal_c19_SIMUL IS NOT NULL ) OR (X.dt_end_gp_ppal_c19 IS NOT NULL AND Y.dt_end_gp_ppal_c19_SIMUL IS NULL),1,0)) AS NUM_REG_DIF,'1' AS ID_EXEC, CURRENT_TIMESTAMP() AS TIME_EXEC FROM (SELECT instrmnt_id, dt_end_gp_ppal_c19 FROM BU_LOANTAPE_WORK.LT002_INSTRUMENT WHERE ref_date='${ref_date}' AND nome_perimetro='Individual Local' AND segmento='ESTR' AND ambito='SRB_MBDT' AND entidade='00100')X INNER JOIN (SELECT instrmnt_id AS instrmnt_id_SIMUL, dt_end_gp_ppal_c19 AS dt_end_gp_ppal_c19_SIMUL FROM BU_LOANTAPE_WORK.SIMUL_LT002_INSTRUMENT WHERE ref_date='${ref_date}' AND nome_perimetro='Individual Local' AND segmento='ESTR' AND ambito='PILAR3' AND entidade='00100')Y ON X.INSTRMNT_ID=Y.INSTRMNT_ID_SIMUL</v>
      </c>
      <c r="M214" s="36" t="str">
        <f t="shared" si="6"/>
        <v>UNION ALL SELECT 'INSTRUMENT' AS TABELA, 'COERÊNCIA' AS TIPOLOGIA_TESTE,'BU_LOANTAPE_WORK.LT002_INSTRUMENT' AS TABELA_LT,'BU_LOANTAPE_WORK.SIMUL_LT002_INSTRUMENT' AS TABELA_SIMUL,'dt_end_gp_ppal_c19' AS CAMPO, '${ref_date}' AS REF_DATE, COUNT(*) AS NUM_REG, SUM(IF(COALESCE(CAST(X.dt_end_gp_ppal_c19 AS STRING),'')&lt;&gt;COALESCE(CAST(Y.dt_end_gp_ppal_c19_SIMUL AS STRING),'') OR (X.dt_end_gp_ppal_c19 IS NULL AND Y.dt_end_gp_ppal_c19_SIMUL IS NOT NULL ) OR (X.dt_end_gp_ppal_c19 IS NOT NULL AND Y.dt_end_gp_ppal_c19_SIMUL IS NULL),1,0)) AS NUM_REG_DIF,'1' AS ID_EXEC, CURRENT_TIMESTAMP() AS TIME_EXEC FROM (SELECT instrmnt_id, dt_end_gp_ppal_c19 FROM BU_LOANTAPE_WORK.LT002_INSTRUMENT WHERE ref_date='${ref_date}' AND nome_perimetro='Individual Local' AND segmento='ESTR' AND ambito='SRB_MBDT' AND entidade='00100')X INNER JOIN (SELECT instrmnt_id AS instrmnt_id_SIMUL, dt_end_gp_ppal_c19 AS dt_end_gp_ppal_c19_SIMUL FROM BU_LOANTAPE_WORK.SIMUL_LT002_INSTRUMENT WHERE ref_date='${ref_date}' AND nome_perimetro='Individual Local' AND segmento='ESTR' AND ambito='PILAR3' AND entidade='00100')Y ON X.INSTRMNT_ID=Y.INSTRMNT_ID_SIMUL</v>
      </c>
      <c r="N214" s="38"/>
    </row>
    <row r="215" spans="2:14">
      <c r="B215" s="34" t="s">
        <v>117</v>
      </c>
      <c r="C215" s="34" t="s">
        <v>5</v>
      </c>
      <c r="D215" s="34" t="str">
        <f>+UPPER('0. Instruções'!$D$35&amp;"."&amp;VLOOKUP(B215,'0. Instruções'!$C$27:$D$32,2,FALSE))</f>
        <v>BU_LOANTAPE_WORK.LT002_INSTRUMENT</v>
      </c>
      <c r="E215" s="34" t="str">
        <f>+UPPER('0. Instruções'!$D$36&amp;"."&amp;VLOOKUP(B215,'0. Instruções'!$C$27:$E$32,3,FALSE))</f>
        <v>BU_LOANTAPE_WORK.SIMUL_LT002_INSTRUMENT</v>
      </c>
      <c r="F215" s="34" t="s">
        <v>1277</v>
      </c>
      <c r="G215" s="34"/>
      <c r="H215" s="34"/>
      <c r="I215" s="34" t="str">
        <f>"(SELECT "&amp;VLOOKUP(B215,'0. Instruções'!$C$27:$G$32,4,FALSE)&amp;", "&amp;F215&amp;" FROM "&amp;D215&amp;" WHERE "&amp;'0. Instruções'!$D$42&amp;")X"</f>
        <v>(SELECT instrmnt_id, dt_end_intrst_only_c19 FROM BU_LOANTAPE_WORK.LT002_INSTRUMENT WHERE ref_date='${ref_date}' AND nome_perimetro='Individual Local' AND segmento='ESTR' AND ambito='SRB_MBDT' AND entidade='00100')X</v>
      </c>
      <c r="J215" s="34" t="str">
        <f>"(SELECT "&amp;VLOOKUP(B215,'0. Instruções'!$C$27:$G$32,4,FALSE)&amp;" AS "&amp;VLOOKUP(B215,'0. Instruções'!$C$27:$G$32,4,FALSE)&amp;"_SIMUL, "&amp;F215&amp;" AS "&amp;F215&amp;"_SIMUL FROM "&amp;E215&amp;" WHERE "&amp;'0. Instruções'!$D$43&amp;")Y"</f>
        <v>(SELECT instrmnt_id AS instrmnt_id_SIMUL, dt_end_intrst_only_c19 AS dt_end_intrst_only_c19_SIMUL FROM BU_LOANTAPE_WORK.SIMUL_LT002_INSTRUMENT WHERE ref_date='${ref_date}' AND nome_perimetro='Individual Local' AND segmento='ESTR' AND ambito='PILAR3' AND entidade='00100')Y</v>
      </c>
      <c r="K215" s="35" t="str">
        <f>+UPPER("ON X."&amp;VLOOKUP(B215,'0. Instruções'!$C$27:$G$32,4,FALSE)&amp;"=Y."&amp;VLOOKUP(B215,'0. Instruções'!$C$27:$G$32,4,FALSE)&amp;"_SIMUL")</f>
        <v>ON X.INSTRMNT_ID=Y.INSTRMNT_ID_SIMUL</v>
      </c>
      <c r="L215" s="35" t="str">
        <f>+IF(C215="Coerência", +IF(LEFT(G215,5)="FLOAT","SELECT '"&amp;UPPER(B215)&amp;"' AS TABELA, '"&amp;UPPER(C215)&amp;"' AS TIPOLOGIA_TESTE,'"&amp;D215&amp;"' AS TABELA_LT,'"&amp;E215&amp;"' AS TABELA_SIMUL,'"&amp;F215&amp;"' AS CAMPO, "&amp;"'${ref_date}' AS REF_DATE, COUNT(*) AS NUM_REG, SUM(IF((ABS(COALESCE(CAST(X."&amp;F215&amp;" AS DECIMAL(18,6)),0)-COALESCE(CAST(Y."&amp;F215&amp;"_SIMUL AS DECIMAL(18,6)),0))&gt;0.000001) OR (X."&amp;F215&amp;" IS NULL AND Y."&amp;F215&amp;"_SIMUL IS NOT NULL ) OR (X."&amp;F215&amp;" IS NOT NULL AND Y."&amp;F215&amp;"_SIMUL IS NULL),1,0)) AS NUM_REG_DIF,'"&amp;MAX('ID1&amp;5'!K:K)+1&amp;"' AS ID_EXEC, CURRENT_TIMESTAMP() AS TIME_EXEC FROM "&amp;I215&amp;" INNER JOIN "&amp;J215&amp;" "&amp;K215,"SELECT '"&amp;UPPER(B215)&amp;"' AS TABELA, '"&amp;UPPER(C215)&amp;"' AS TIPOLOGIA_TESTE,'"&amp;D215&amp;"' AS TABELA_LT,'"&amp;E215&amp;"' AS TABELA_SIMUL,'"&amp;F215&amp;"' AS CAMPO, "&amp;"'${ref_date}' AS REF_DATE, COUNT(*) AS NUM_REG, SUM(IF(COALESCE(CAST(X."&amp;F215&amp;" AS STRING),'')&lt;&gt;COALESCE(CAST(Y."&amp;F215&amp;"_SIMUL AS STRING),'') OR (X."&amp;F215&amp;" IS NULL AND Y."&amp;F215&amp;"_SIMUL IS NOT NULL ) OR (X."&amp;F215&amp;" IS NOT NULL AND Y."&amp;F215&amp;"_SIMUL IS NULL),1,0)) AS NUM_REG_DIF,'"&amp;MAX('ID1&amp;5'!L:L)+1&amp;"' AS ID_EXEC, CURRENT_TIMESTAMP() AS TIME_EXEC FROM "&amp;I215&amp;" INNER JOIN "&amp;J215&amp;" "&amp;K215),
IF(C215="Validade",+IF(G215="Code List","SELECT '"&amp;UPPER(B215)&amp;"' AS TABELA, '"&amp;UPPER(C215)&amp;"' AS TIPOLOGIA_TESTE,'"&amp;D215&amp;"' AS TABELA_LT,'N/A' AS TABELA_SIMUL,'"&amp;F215&amp;"' AS CAMPO, "&amp;"'${ref_date}' AS REF_DATE, COUNT(*) AS NUM_REG, SUM(IF(TRIM(CAST(X."&amp;F215&amp;" AS STRING))='' OR TRIM(CAST(X."&amp;F215&amp;" AS STRING)) IS NULL OR CAST(X."&amp;F215&amp;" AS STRING) NOT "&amp;H215&amp;",1,0)) AS NUM_REG_DIF,'"&amp;MAX('ID1&amp;5'!K:K)+1&amp;"' AS ID_EXEC, CURRENT_TIMESTAMP() AS TIME_EXEC FROM "&amp;I215,"SELECT '"&amp;UPPER(B215)&amp;"' AS TABELA, '"&amp;UPPER(C215)&amp;"' AS TIPOLOGIA_TESTE,'"&amp;D215&amp;"' AS TABELA_LT,'N/A' AS TABELA_SIMUL,'"&amp;F215&amp;"' AS CAMPO, "&amp;"'${ref_date}' AS REF_DATE, COUNT(*) AS NUM_REG, SUM(IF(TRIM(CAST(X."&amp;F215&amp;" AS STRING))='' OR TRIM(CAST(X."&amp;F215&amp;" AS STRING)) IS NULL,1,0)) AS NUM_REG_DIF,'"&amp;MAX('ID1&amp;5'!K:K)+1&amp;"' AS ID_EXEC, CURRENT_TIMESTAMP() AS TIME_EXEC FROM "&amp;I215),
IF(C215="Caracteres Especiais",+"SELECT '"&amp;UPPER(B215)&amp;"' AS TABELA, '"&amp;UPPER(C215)&amp;"' AS TIPOLOGIA_TESTE,'"&amp;D215&amp;"' AS TABELA_LT,'N/A' AS TABELA_SIMUL,'"&amp;F215&amp;"' AS CAMPO, "&amp;"'${ref_date}' AS REF_DATE, COUNT(*) AS NUM_REG, SUM(IF(REGEXP_REPLACE(TRIM(CAST(X."&amp;F215&amp;" AS STRING)),'[^a-zA-Z0-9_\\s]','') &lt;&gt;TRIM(CAST(X."&amp;F215&amp;" AS STRING)),1,0)) AS NUM_REG_DIF,'"&amp;MAX('ID1&amp;5'!K:K)+1&amp;"' AS ID_EXEC, CURRENT_TIMESTAMP() AS TIME_EXEC FROM "&amp;I215,
IF(C215="Missings",+"SELECT '"&amp;UPPER(B215)&amp;"' AS TABELA, '"&amp;UPPER(C215)&amp;"' AS TIPOLOGIA_TESTE,'"&amp;D215&amp;"' AS TABELA_LT,'N/A' AS TABELA_SIMUL,'"&amp;F215&amp;"' AS CAMPO, "&amp;"'${ref_date}' AS REF_DATE, COUNT(*) AS NUM_REG, SUM(IF(TRIM(CAST(X."&amp;F215&amp;" AS STRING)) IN ('0000-00-00','0001-01-01','9999-12-31','MISS','00000','99999999999','99999999999.00','99999999999.000000'),1,0)) AS NUM_REG_DIF,'"&amp;MAX('ID1&amp;5'!K:K)+1&amp;"' AS ID_EXEC, CURRENT_TIMESTAMP() AS TIME_EXEC FROM "&amp;I215,
IF(C215="Not applicable",+"SELECT '"&amp;UPPER(B215)&amp;"' AS TABELA, '"&amp;UPPER(C215)&amp;"' AS TIPOLOGIA_TESTE,'"&amp;D215&amp;"' AS TABELA_LT,'N/A' AS TABELA_SIMUL,'"&amp;F215&amp;"' AS CAMPO, "&amp;"'${ref_date}' AS REF_DATE, COUNT(*) AS NUM_REG, SUM(IF(TRIM(CAST(X."&amp;F215&amp;" AS STRING)) IN ('N/A','11111111111','11111111111.00','11111111111.000000','1111-11-11'),1,0)) AS NUM_REG_DIF,'"&amp;MAX('ID1&amp;5'!K:K)+1&amp;"' AS ID_EXEC, CURRENT_TIMESTAMP() AS TIME_EXEC FROM "&amp;I215,
IF(C215="Valores extremos",+"SELECT '"&amp;UPPER(B215)&amp;"' AS TABELA, '"&amp;UPPER(C215)&amp;"' AS TIPOLOGIA_TESTE,'"&amp;D215&amp;"' AS TABELA_LT,'N/A' AS TABELA_SIMUL,'"&amp;F215&amp;"' AS CAMPO, "&amp;"'${ref_date}' AS REF_DATE, CAST(MIN("&amp;F215&amp;") AS STRING) AS VALOR_MIN, CAST(MAX("&amp;F215&amp;") AS STRING) AS VALOR_MAX,'"&amp;MAX('ID1&amp;5'!K:K)+1&amp;"' AS ID_EXEC, CURRENT_TIMESTAMP() AS TIME_EXEC FROM "&amp;MID(I215,1,LEN(I215)-2)&amp;" AND CAST("&amp;F215&amp;"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TABELA_SIMUL,'dt_end_intrst_only_c19' AS CAMPO, '${ref_date}' AS REF_DATE, COUNT(*) AS NUM_REG, SUM(IF(COALESCE(CAST(X.dt_end_intrst_only_c19 AS STRING),'')&lt;&gt;COALESCE(CAST(Y.dt_end_intrst_only_c19_SIMUL AS STRING),'') OR (X.dt_end_intrst_only_c19 IS NULL AND Y.dt_end_intrst_only_c19_SIMUL IS NOT NULL ) OR (X.dt_end_intrst_only_c19 IS NOT NULL AND Y.dt_end_intrst_only_c19_SIMUL IS NULL),1,0)) AS NUM_REG_DIF,'1' AS ID_EXEC, CURRENT_TIMESTAMP() AS TIME_EXEC FROM (SELECT instrmnt_id, dt_end_intrst_only_c19 FROM BU_LOANTAPE_WORK.LT002_INSTRUMENT WHERE ref_date='${ref_date}' AND nome_perimetro='Individual Local' AND segmento='ESTR' AND ambito='SRB_MBDT' AND entidade='00100')X INNER JOIN (SELECT instrmnt_id AS instrmnt_id_SIMUL, dt_end_intrst_only_c19 AS dt_end_intrst_only_c19_SIMUL FROM BU_LOANTAPE_WORK.SIMUL_LT002_INSTRUMENT WHERE ref_date='${ref_date}' AND nome_perimetro='Individual Local' AND segmento='ESTR' AND ambito='PILAR3' AND entidade='00100')Y ON X.INSTRMNT_ID=Y.INSTRMNT_ID_SIMUL</v>
      </c>
      <c r="M215" s="36" t="str">
        <f t="shared" si="6"/>
        <v>UNION ALL SELECT 'INSTRUMENT' AS TABELA, 'COERÊNCIA' AS TIPOLOGIA_TESTE,'BU_LOANTAPE_WORK.LT002_INSTRUMENT' AS TABELA_LT,'BU_LOANTAPE_WORK.SIMUL_LT002_INSTRUMENT' AS TABELA_SIMUL,'dt_end_intrst_only_c19' AS CAMPO, '${ref_date}' AS REF_DATE, COUNT(*) AS NUM_REG, SUM(IF(COALESCE(CAST(X.dt_end_intrst_only_c19 AS STRING),'')&lt;&gt;COALESCE(CAST(Y.dt_end_intrst_only_c19_SIMUL AS STRING),'') OR (X.dt_end_intrst_only_c19 IS NULL AND Y.dt_end_intrst_only_c19_SIMUL IS NOT NULL ) OR (X.dt_end_intrst_only_c19 IS NOT NULL AND Y.dt_end_intrst_only_c19_SIMUL IS NULL),1,0)) AS NUM_REG_DIF,'1' AS ID_EXEC, CURRENT_TIMESTAMP() AS TIME_EXEC FROM (SELECT instrmnt_id, dt_end_intrst_only_c19 FROM BU_LOANTAPE_WORK.LT002_INSTRUMENT WHERE ref_date='${ref_date}' AND nome_perimetro='Individual Local' AND segmento='ESTR' AND ambito='SRB_MBDT' AND entidade='00100')X INNER JOIN (SELECT instrmnt_id AS instrmnt_id_SIMUL, dt_end_intrst_only_c19 AS dt_end_intrst_only_c19_SIMUL FROM BU_LOANTAPE_WORK.SIMUL_LT002_INSTRUMENT WHERE ref_date='${ref_date}' AND nome_perimetro='Individual Local' AND segmento='ESTR' AND ambito='PILAR3' AND entidade='00100')Y ON X.INSTRMNT_ID=Y.INSTRMNT_ID_SIMUL</v>
      </c>
      <c r="N215" s="38"/>
    </row>
    <row r="216" spans="2:14">
      <c r="B216" s="34" t="s">
        <v>117</v>
      </c>
      <c r="C216" s="34" t="s">
        <v>5</v>
      </c>
      <c r="D216" s="34" t="str">
        <f>+UPPER('0. Instruções'!$D$35&amp;"."&amp;VLOOKUP(B216,'0. Instruções'!$C$27:$D$32,2,FALSE))</f>
        <v>BU_LOANTAPE_WORK.LT002_INSTRUMENT</v>
      </c>
      <c r="E216" s="34" t="str">
        <f>+UPPER('0. Instruções'!$D$36&amp;"."&amp;VLOOKUP(B216,'0. Instruções'!$C$27:$E$32,3,FALSE))</f>
        <v>BU_LOANTAPE_WORK.SIMUL_LT002_INSTRUMENT</v>
      </c>
      <c r="F216" s="34" t="s">
        <v>1278</v>
      </c>
      <c r="G216" s="34"/>
      <c r="H216" s="34"/>
      <c r="I216" s="34" t="str">
        <f>"(SELECT "&amp;VLOOKUP(B216,'0. Instruções'!$C$27:$G$32,4,FALSE)&amp;", "&amp;F216&amp;" FROM "&amp;D216&amp;" WHERE "&amp;'0. Instruções'!$D$42&amp;")X"</f>
        <v>(SELECT instrmnt_id, sbjct_pblc_grnt_schm_c19 FROM BU_LOANTAPE_WORK.LT002_INSTRUMENT WHERE ref_date='${ref_date}' AND nome_perimetro='Individual Local' AND segmento='ESTR' AND ambito='SRB_MBDT' AND entidade='00100')X</v>
      </c>
      <c r="J216" s="34" t="str">
        <f>"(SELECT "&amp;VLOOKUP(B216,'0. Instruções'!$C$27:$G$32,4,FALSE)&amp;" AS "&amp;VLOOKUP(B216,'0. Instruções'!$C$27:$G$32,4,FALSE)&amp;"_SIMUL, "&amp;F216&amp;" AS "&amp;F216&amp;"_SIMUL FROM "&amp;E216&amp;" WHERE "&amp;'0. Instruções'!$D$43&amp;")Y"</f>
        <v>(SELECT instrmnt_id AS instrmnt_id_SIMUL, sbjct_pblc_grnt_schm_c19 AS sbjct_pblc_grnt_schm_c19_SIMUL FROM BU_LOANTAPE_WORK.SIMUL_LT002_INSTRUMENT WHERE ref_date='${ref_date}' AND nome_perimetro='Individual Local' AND segmento='ESTR' AND ambito='PILAR3' AND entidade='00100')Y</v>
      </c>
      <c r="K216" s="35" t="str">
        <f>+UPPER("ON X."&amp;VLOOKUP(B216,'0. Instruções'!$C$27:$G$32,4,FALSE)&amp;"=Y."&amp;VLOOKUP(B216,'0. Instruções'!$C$27:$G$32,4,FALSE)&amp;"_SIMUL")</f>
        <v>ON X.INSTRMNT_ID=Y.INSTRMNT_ID_SIMUL</v>
      </c>
      <c r="L216" s="35" t="str">
        <f>+IF(C216="Coerência", +IF(LEFT(G216,5)="FLOAT","SELECT '"&amp;UPPER(B216)&amp;"' AS TABELA, '"&amp;UPPER(C216)&amp;"' AS TIPOLOGIA_TESTE,'"&amp;D216&amp;"' AS TABELA_LT,'"&amp;E216&amp;"' AS TABELA_SIMUL,'"&amp;F216&amp;"' AS CAMPO, "&amp;"'${ref_date}' AS REF_DATE, COUNT(*) AS NUM_REG, SUM(IF((ABS(COALESCE(CAST(X."&amp;F216&amp;" AS DECIMAL(18,6)),0)-COALESCE(CAST(Y."&amp;F216&amp;"_SIMUL AS DECIMAL(18,6)),0))&gt;0.000001) OR (X."&amp;F216&amp;" IS NULL AND Y."&amp;F216&amp;"_SIMUL IS NOT NULL ) OR (X."&amp;F216&amp;" IS NOT NULL AND Y."&amp;F216&amp;"_SIMUL IS NULL),1,0)) AS NUM_REG_DIF,'"&amp;MAX('ID1&amp;5'!K:K)+1&amp;"' AS ID_EXEC, CURRENT_TIMESTAMP() AS TIME_EXEC FROM "&amp;I216&amp;" INNER JOIN "&amp;J216&amp;" "&amp;K216,"SELECT '"&amp;UPPER(B216)&amp;"' AS TABELA, '"&amp;UPPER(C216)&amp;"' AS TIPOLOGIA_TESTE,'"&amp;D216&amp;"' AS TABELA_LT,'"&amp;E216&amp;"' AS TABELA_SIMUL,'"&amp;F216&amp;"' AS CAMPO, "&amp;"'${ref_date}' AS REF_DATE, COUNT(*) AS NUM_REG, SUM(IF(COALESCE(CAST(X."&amp;F216&amp;" AS STRING),'')&lt;&gt;COALESCE(CAST(Y."&amp;F216&amp;"_SIMUL AS STRING),'') OR (X."&amp;F216&amp;" IS NULL AND Y."&amp;F216&amp;"_SIMUL IS NOT NULL ) OR (X."&amp;F216&amp;" IS NOT NULL AND Y."&amp;F216&amp;"_SIMUL IS NULL),1,0)) AS NUM_REG_DIF,'"&amp;MAX('ID1&amp;5'!L:L)+1&amp;"' AS ID_EXEC, CURRENT_TIMESTAMP() AS TIME_EXEC FROM "&amp;I216&amp;" INNER JOIN "&amp;J216&amp;" "&amp;K216),
IF(C216="Validade",+IF(G216="Code List","SELECT '"&amp;UPPER(B216)&amp;"' AS TABELA, '"&amp;UPPER(C216)&amp;"' AS TIPOLOGIA_TESTE,'"&amp;D216&amp;"' AS TABELA_LT,'N/A' AS TABELA_SIMUL,'"&amp;F216&amp;"' AS CAMPO, "&amp;"'${ref_date}' AS REF_DATE, COUNT(*) AS NUM_REG, SUM(IF(TRIM(CAST(X."&amp;F216&amp;" AS STRING))='' OR TRIM(CAST(X."&amp;F216&amp;" AS STRING)) IS NULL OR CAST(X."&amp;F216&amp;" AS STRING) NOT "&amp;H216&amp;",1,0)) AS NUM_REG_DIF,'"&amp;MAX('ID1&amp;5'!K:K)+1&amp;"' AS ID_EXEC, CURRENT_TIMESTAMP() AS TIME_EXEC FROM "&amp;I216,"SELECT '"&amp;UPPER(B216)&amp;"' AS TABELA, '"&amp;UPPER(C216)&amp;"' AS TIPOLOGIA_TESTE,'"&amp;D216&amp;"' AS TABELA_LT,'N/A' AS TABELA_SIMUL,'"&amp;F216&amp;"' AS CAMPO, "&amp;"'${ref_date}' AS REF_DATE, COUNT(*) AS NUM_REG, SUM(IF(TRIM(CAST(X."&amp;F216&amp;" AS STRING))='' OR TRIM(CAST(X."&amp;F216&amp;" AS STRING)) IS NULL,1,0)) AS NUM_REG_DIF,'"&amp;MAX('ID1&amp;5'!K:K)+1&amp;"' AS ID_EXEC, CURRENT_TIMESTAMP() AS TIME_EXEC FROM "&amp;I216),
IF(C216="Caracteres Especiais",+"SELECT '"&amp;UPPER(B216)&amp;"' AS TABELA, '"&amp;UPPER(C216)&amp;"' AS TIPOLOGIA_TESTE,'"&amp;D216&amp;"' AS TABELA_LT,'N/A' AS TABELA_SIMUL,'"&amp;F216&amp;"' AS CAMPO, "&amp;"'${ref_date}' AS REF_DATE, COUNT(*) AS NUM_REG, SUM(IF(REGEXP_REPLACE(TRIM(CAST(X."&amp;F216&amp;" AS STRING)),'[^a-zA-Z0-9_\\s]','') &lt;&gt;TRIM(CAST(X."&amp;F216&amp;" AS STRING)),1,0)) AS NUM_REG_DIF,'"&amp;MAX('ID1&amp;5'!K:K)+1&amp;"' AS ID_EXEC, CURRENT_TIMESTAMP() AS TIME_EXEC FROM "&amp;I216,
IF(C216="Missings",+"SELECT '"&amp;UPPER(B216)&amp;"' AS TABELA, '"&amp;UPPER(C216)&amp;"' AS TIPOLOGIA_TESTE,'"&amp;D216&amp;"' AS TABELA_LT,'N/A' AS TABELA_SIMUL,'"&amp;F216&amp;"' AS CAMPO, "&amp;"'${ref_date}' AS REF_DATE, COUNT(*) AS NUM_REG, SUM(IF(TRIM(CAST(X."&amp;F216&amp;" AS STRING)) IN ('0000-00-00','0001-01-01','9999-12-31','MISS','00000','99999999999','99999999999.00','99999999999.000000'),1,0)) AS NUM_REG_DIF,'"&amp;MAX('ID1&amp;5'!K:K)+1&amp;"' AS ID_EXEC, CURRENT_TIMESTAMP() AS TIME_EXEC FROM "&amp;I216,
IF(C216="Not applicable",+"SELECT '"&amp;UPPER(B216)&amp;"' AS TABELA, '"&amp;UPPER(C216)&amp;"' AS TIPOLOGIA_TESTE,'"&amp;D216&amp;"' AS TABELA_LT,'N/A' AS TABELA_SIMUL,'"&amp;F216&amp;"' AS CAMPO, "&amp;"'${ref_date}' AS REF_DATE, COUNT(*) AS NUM_REG, SUM(IF(TRIM(CAST(X."&amp;F216&amp;" AS STRING)) IN ('N/A','11111111111','11111111111.00','11111111111.000000','1111-11-11'),1,0)) AS NUM_REG_DIF,'"&amp;MAX('ID1&amp;5'!K:K)+1&amp;"' AS ID_EXEC, CURRENT_TIMESTAMP() AS TIME_EXEC FROM "&amp;I216,
IF(C216="Valores extremos",+"SELECT '"&amp;UPPER(B216)&amp;"' AS TABELA, '"&amp;UPPER(C216)&amp;"' AS TIPOLOGIA_TESTE,'"&amp;D216&amp;"' AS TABELA_LT,'N/A' AS TABELA_SIMUL,'"&amp;F216&amp;"' AS CAMPO, "&amp;"'${ref_date}' AS REF_DATE, CAST(MIN("&amp;F216&amp;") AS STRING) AS VALOR_MIN, CAST(MAX("&amp;F216&amp;") AS STRING) AS VALOR_MAX,'"&amp;MAX('ID1&amp;5'!K:K)+1&amp;"' AS ID_EXEC, CURRENT_TIMESTAMP() AS TIME_EXEC FROM "&amp;MID(I216,1,LEN(I216)-2)&amp;" AND CAST("&amp;F216&amp;"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TABELA_SIMUL,'sbjct_pblc_grnt_schm_c19' AS CAMPO, '${ref_date}' AS REF_DATE, COUNT(*) AS NUM_REG, SUM(IF(COALESCE(CAST(X.sbjct_pblc_grnt_schm_c19 AS STRING),'')&lt;&gt;COALESCE(CAST(Y.sbjct_pblc_grnt_schm_c19_SIMUL AS STRING),'') OR (X.sbjct_pblc_grnt_schm_c19 IS NULL AND Y.sbjct_pblc_grnt_schm_c19_SIMUL IS NOT NULL ) OR (X.sbjct_pblc_grnt_schm_c19 IS NOT NULL AND Y.sbjct_pblc_grnt_schm_c19_SIMUL IS NULL),1,0)) AS NUM_REG_DIF,'1' AS ID_EXEC, CURRENT_TIMESTAMP() AS TIME_EXEC FROM (SELECT instrmnt_id, sbjct_pblc_grnt_schm_c19 FROM BU_LOANTAPE_WORK.LT002_INSTRUMENT WHERE ref_date='${ref_date}' AND nome_perimetro='Individual Local' AND segmento='ESTR' AND ambito='SRB_MBDT' AND entidade='00100')X INNER JOIN (SELECT instrmnt_id AS instrmnt_id_SIMUL, sbjct_pblc_grnt_schm_c19 AS sbjct_pblc_grnt_schm_c19_SIMUL FROM BU_LOANTAPE_WORK.SIMUL_LT002_INSTRUMENT WHERE ref_date='${ref_date}' AND nome_perimetro='Individual Local' AND segmento='ESTR' AND ambito='PILAR3' AND entidade='00100')Y ON X.INSTRMNT_ID=Y.INSTRMNT_ID_SIMUL</v>
      </c>
      <c r="M216" s="36" t="str">
        <f t="shared" si="6"/>
        <v>UNION ALL SELECT 'INSTRUMENT' AS TABELA, 'COERÊNCIA' AS TIPOLOGIA_TESTE,'BU_LOANTAPE_WORK.LT002_INSTRUMENT' AS TABELA_LT,'BU_LOANTAPE_WORK.SIMUL_LT002_INSTRUMENT' AS TABELA_SIMUL,'sbjct_pblc_grnt_schm_c19' AS CAMPO, '${ref_date}' AS REF_DATE, COUNT(*) AS NUM_REG, SUM(IF(COALESCE(CAST(X.sbjct_pblc_grnt_schm_c19 AS STRING),'')&lt;&gt;COALESCE(CAST(Y.sbjct_pblc_grnt_schm_c19_SIMUL AS STRING),'') OR (X.sbjct_pblc_grnt_schm_c19 IS NULL AND Y.sbjct_pblc_grnt_schm_c19_SIMUL IS NOT NULL ) OR (X.sbjct_pblc_grnt_schm_c19 IS NOT NULL AND Y.sbjct_pblc_grnt_schm_c19_SIMUL IS NULL),1,0)) AS NUM_REG_DIF,'1' AS ID_EXEC, CURRENT_TIMESTAMP() AS TIME_EXEC FROM (SELECT instrmnt_id, sbjct_pblc_grnt_schm_c19 FROM BU_LOANTAPE_WORK.LT002_INSTRUMENT WHERE ref_date='${ref_date}' AND nome_perimetro='Individual Local' AND segmento='ESTR' AND ambito='SRB_MBDT' AND entidade='00100')X INNER JOIN (SELECT instrmnt_id AS instrmnt_id_SIMUL, sbjct_pblc_grnt_schm_c19 AS sbjct_pblc_grnt_schm_c19_SIMUL FROM BU_LOANTAPE_WORK.SIMUL_LT002_INSTRUMENT WHERE ref_date='${ref_date}' AND nome_perimetro='Individual Local' AND segmento='ESTR' AND ambito='PILAR3' AND entidade='00100')Y ON X.INSTRMNT_ID=Y.INSTRMNT_ID_SIMUL</v>
      </c>
      <c r="N216" s="38"/>
    </row>
    <row r="217" spans="2:14">
      <c r="B217" s="34" t="s">
        <v>117</v>
      </c>
      <c r="C217" s="34" t="s">
        <v>5</v>
      </c>
      <c r="D217" s="34" t="str">
        <f>+UPPER('0. Instruções'!$D$35&amp;"."&amp;VLOOKUP(B217,'0. Instruções'!$C$27:$D$32,2,FALSE))</f>
        <v>BU_LOANTAPE_WORK.LT002_INSTRUMENT</v>
      </c>
      <c r="E217" s="34" t="str">
        <f>+UPPER('0. Instruções'!$D$36&amp;"."&amp;VLOOKUP(B217,'0. Instruções'!$C$27:$E$32,3,FALSE))</f>
        <v>BU_LOANTAPE_WORK.SIMUL_LT002_INSTRUMENT</v>
      </c>
      <c r="F217" s="34" t="s">
        <v>1279</v>
      </c>
      <c r="G217" s="34"/>
      <c r="H217" s="34"/>
      <c r="I217" s="34" t="str">
        <f>"(SELECT "&amp;VLOOKUP(B217,'0. Instruções'!$C$27:$G$32,4,FALSE)&amp;", "&amp;F217&amp;" FROM "&amp;D217&amp;" WHERE "&amp;'0. Instruções'!$D$42&amp;")X"</f>
        <v>(SELECT instrmnt_id, pblc_grnt_schm_c19_nm FROM BU_LOANTAPE_WORK.LT002_INSTRUMENT WHERE ref_date='${ref_date}' AND nome_perimetro='Individual Local' AND segmento='ESTR' AND ambito='SRB_MBDT' AND entidade='00100')X</v>
      </c>
      <c r="J217" s="34" t="str">
        <f>"(SELECT "&amp;VLOOKUP(B217,'0. Instruções'!$C$27:$G$32,4,FALSE)&amp;" AS "&amp;VLOOKUP(B217,'0. Instruções'!$C$27:$G$32,4,FALSE)&amp;"_SIMUL, "&amp;F217&amp;" AS "&amp;F217&amp;"_SIMUL FROM "&amp;E217&amp;" WHERE "&amp;'0. Instruções'!$D$43&amp;")Y"</f>
        <v>(SELECT instrmnt_id AS instrmnt_id_SIMUL, pblc_grnt_schm_c19_nm AS pblc_grnt_schm_c19_nm_SIMUL FROM BU_LOANTAPE_WORK.SIMUL_LT002_INSTRUMENT WHERE ref_date='${ref_date}' AND nome_perimetro='Individual Local' AND segmento='ESTR' AND ambito='PILAR3' AND entidade='00100')Y</v>
      </c>
      <c r="K217" s="35" t="str">
        <f>+UPPER("ON X."&amp;VLOOKUP(B217,'0. Instruções'!$C$27:$G$32,4,FALSE)&amp;"=Y."&amp;VLOOKUP(B217,'0. Instruções'!$C$27:$G$32,4,FALSE)&amp;"_SIMUL")</f>
        <v>ON X.INSTRMNT_ID=Y.INSTRMNT_ID_SIMUL</v>
      </c>
      <c r="L217" s="35" t="str">
        <f>+IF(C217="Coerência", +IF(LEFT(G217,5)="FLOAT","SELECT '"&amp;UPPER(B217)&amp;"' AS TABELA, '"&amp;UPPER(C217)&amp;"' AS TIPOLOGIA_TESTE,'"&amp;D217&amp;"' AS TABELA_LT,'"&amp;E217&amp;"' AS TABELA_SIMUL,'"&amp;F217&amp;"' AS CAMPO, "&amp;"'${ref_date}' AS REF_DATE, COUNT(*) AS NUM_REG, SUM(IF((ABS(COALESCE(CAST(X."&amp;F217&amp;" AS DECIMAL(18,6)),0)-COALESCE(CAST(Y."&amp;F217&amp;"_SIMUL AS DECIMAL(18,6)),0))&gt;0.000001) OR (X."&amp;F217&amp;" IS NULL AND Y."&amp;F217&amp;"_SIMUL IS NOT NULL ) OR (X."&amp;F217&amp;" IS NOT NULL AND Y."&amp;F217&amp;"_SIMUL IS NULL),1,0)) AS NUM_REG_DIF,'"&amp;MAX('ID1&amp;5'!K:K)+1&amp;"' AS ID_EXEC, CURRENT_TIMESTAMP() AS TIME_EXEC FROM "&amp;I217&amp;" INNER JOIN "&amp;J217&amp;" "&amp;K217,"SELECT '"&amp;UPPER(B217)&amp;"' AS TABELA, '"&amp;UPPER(C217)&amp;"' AS TIPOLOGIA_TESTE,'"&amp;D217&amp;"' AS TABELA_LT,'"&amp;E217&amp;"' AS TABELA_SIMUL,'"&amp;F217&amp;"' AS CAMPO, "&amp;"'${ref_date}' AS REF_DATE, COUNT(*) AS NUM_REG, SUM(IF(COALESCE(CAST(X."&amp;F217&amp;" AS STRING),'')&lt;&gt;COALESCE(CAST(Y."&amp;F217&amp;"_SIMUL AS STRING),'') OR (X."&amp;F217&amp;" IS NULL AND Y."&amp;F217&amp;"_SIMUL IS NOT NULL ) OR (X."&amp;F217&amp;" IS NOT NULL AND Y."&amp;F217&amp;"_SIMUL IS NULL),1,0)) AS NUM_REG_DIF,'"&amp;MAX('ID1&amp;5'!L:L)+1&amp;"' AS ID_EXEC, CURRENT_TIMESTAMP() AS TIME_EXEC FROM "&amp;I217&amp;" INNER JOIN "&amp;J217&amp;" "&amp;K217),
IF(C217="Validade",+IF(G217="Code List","SELECT '"&amp;UPPER(B217)&amp;"' AS TABELA, '"&amp;UPPER(C217)&amp;"' AS TIPOLOGIA_TESTE,'"&amp;D217&amp;"' AS TABELA_LT,'N/A' AS TABELA_SIMUL,'"&amp;F217&amp;"' AS CAMPO, "&amp;"'${ref_date}' AS REF_DATE, COUNT(*) AS NUM_REG, SUM(IF(TRIM(CAST(X."&amp;F217&amp;" AS STRING))='' OR TRIM(CAST(X."&amp;F217&amp;" AS STRING)) IS NULL OR CAST(X."&amp;F217&amp;" AS STRING) NOT "&amp;H217&amp;",1,0)) AS NUM_REG_DIF,'"&amp;MAX('ID1&amp;5'!K:K)+1&amp;"' AS ID_EXEC, CURRENT_TIMESTAMP() AS TIME_EXEC FROM "&amp;I217,"SELECT '"&amp;UPPER(B217)&amp;"' AS TABELA, '"&amp;UPPER(C217)&amp;"' AS TIPOLOGIA_TESTE,'"&amp;D217&amp;"' AS TABELA_LT,'N/A' AS TABELA_SIMUL,'"&amp;F217&amp;"' AS CAMPO, "&amp;"'${ref_date}' AS REF_DATE, COUNT(*) AS NUM_REG, SUM(IF(TRIM(CAST(X."&amp;F217&amp;" AS STRING))='' OR TRIM(CAST(X."&amp;F217&amp;" AS STRING)) IS NULL,1,0)) AS NUM_REG_DIF,'"&amp;MAX('ID1&amp;5'!K:K)+1&amp;"' AS ID_EXEC, CURRENT_TIMESTAMP() AS TIME_EXEC FROM "&amp;I217),
IF(C217="Caracteres Especiais",+"SELECT '"&amp;UPPER(B217)&amp;"' AS TABELA, '"&amp;UPPER(C217)&amp;"' AS TIPOLOGIA_TESTE,'"&amp;D217&amp;"' AS TABELA_LT,'N/A' AS TABELA_SIMUL,'"&amp;F217&amp;"' AS CAMPO, "&amp;"'${ref_date}' AS REF_DATE, COUNT(*) AS NUM_REG, SUM(IF(REGEXP_REPLACE(TRIM(CAST(X."&amp;F217&amp;" AS STRING)),'[^a-zA-Z0-9_\\s]','') &lt;&gt;TRIM(CAST(X."&amp;F217&amp;" AS STRING)),1,0)) AS NUM_REG_DIF,'"&amp;MAX('ID1&amp;5'!K:K)+1&amp;"' AS ID_EXEC, CURRENT_TIMESTAMP() AS TIME_EXEC FROM "&amp;I217,
IF(C217="Missings",+"SELECT '"&amp;UPPER(B217)&amp;"' AS TABELA, '"&amp;UPPER(C217)&amp;"' AS TIPOLOGIA_TESTE,'"&amp;D217&amp;"' AS TABELA_LT,'N/A' AS TABELA_SIMUL,'"&amp;F217&amp;"' AS CAMPO, "&amp;"'${ref_date}' AS REF_DATE, COUNT(*) AS NUM_REG, SUM(IF(TRIM(CAST(X."&amp;F217&amp;" AS STRING)) IN ('0000-00-00','0001-01-01','9999-12-31','MISS','00000','99999999999','99999999999.00','99999999999.000000'),1,0)) AS NUM_REG_DIF,'"&amp;MAX('ID1&amp;5'!K:K)+1&amp;"' AS ID_EXEC, CURRENT_TIMESTAMP() AS TIME_EXEC FROM "&amp;I217,
IF(C217="Not applicable",+"SELECT '"&amp;UPPER(B217)&amp;"' AS TABELA, '"&amp;UPPER(C217)&amp;"' AS TIPOLOGIA_TESTE,'"&amp;D217&amp;"' AS TABELA_LT,'N/A' AS TABELA_SIMUL,'"&amp;F217&amp;"' AS CAMPO, "&amp;"'${ref_date}' AS REF_DATE, COUNT(*) AS NUM_REG, SUM(IF(TRIM(CAST(X."&amp;F217&amp;" AS STRING)) IN ('N/A','11111111111','11111111111.00','11111111111.000000','1111-11-11'),1,0)) AS NUM_REG_DIF,'"&amp;MAX('ID1&amp;5'!K:K)+1&amp;"' AS ID_EXEC, CURRENT_TIMESTAMP() AS TIME_EXEC FROM "&amp;I217,
IF(C217="Valores extremos",+"SELECT '"&amp;UPPER(B217)&amp;"' AS TABELA, '"&amp;UPPER(C217)&amp;"' AS TIPOLOGIA_TESTE,'"&amp;D217&amp;"' AS TABELA_LT,'N/A' AS TABELA_SIMUL,'"&amp;F217&amp;"' AS CAMPO, "&amp;"'${ref_date}' AS REF_DATE, CAST(MIN("&amp;F217&amp;") AS STRING) AS VALOR_MIN, CAST(MAX("&amp;F217&amp;") AS STRING) AS VALOR_MAX,'"&amp;MAX('ID1&amp;5'!K:K)+1&amp;"' AS ID_EXEC, CURRENT_TIMESTAMP() AS TIME_EXEC FROM "&amp;MID(I217,1,LEN(I217)-2)&amp;" AND CAST("&amp;F217&amp;"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TABELA_SIMUL,'pblc_grnt_schm_c19_nm' AS CAMPO, '${ref_date}' AS REF_DATE, COUNT(*) AS NUM_REG, SUM(IF(COALESCE(CAST(X.pblc_grnt_schm_c19_nm AS STRING),'')&lt;&gt;COALESCE(CAST(Y.pblc_grnt_schm_c19_nm_SIMUL AS STRING),'') OR (X.pblc_grnt_schm_c19_nm IS NULL AND Y.pblc_grnt_schm_c19_nm_SIMUL IS NOT NULL ) OR (X.pblc_grnt_schm_c19_nm IS NOT NULL AND Y.pblc_grnt_schm_c19_nm_SIMUL IS NULL),1,0)) AS NUM_REG_DIF,'1' AS ID_EXEC, CURRENT_TIMESTAMP() AS TIME_EXEC FROM (SELECT instrmnt_id, pblc_grnt_schm_c19_nm FROM BU_LOANTAPE_WORK.LT002_INSTRUMENT WHERE ref_date='${ref_date}' AND nome_perimetro='Individual Local' AND segmento='ESTR' AND ambito='SRB_MBDT' AND entidade='00100')X INNER JOIN (SELECT instrmnt_id AS instrmnt_id_SIMUL, pblc_grnt_schm_c19_nm AS pblc_grnt_schm_c19_nm_SIMUL FROM BU_LOANTAPE_WORK.SIMUL_LT002_INSTRUMENT WHERE ref_date='${ref_date}' AND nome_perimetro='Individual Local' AND segmento='ESTR' AND ambito='PILAR3' AND entidade='00100')Y ON X.INSTRMNT_ID=Y.INSTRMNT_ID_SIMUL</v>
      </c>
      <c r="M217" s="36" t="str">
        <f t="shared" si="6"/>
        <v>UNION ALL SELECT 'INSTRUMENT' AS TABELA, 'COERÊNCIA' AS TIPOLOGIA_TESTE,'BU_LOANTAPE_WORK.LT002_INSTRUMENT' AS TABELA_LT,'BU_LOANTAPE_WORK.SIMUL_LT002_INSTRUMENT' AS TABELA_SIMUL,'pblc_grnt_schm_c19_nm' AS CAMPO, '${ref_date}' AS REF_DATE, COUNT(*) AS NUM_REG, SUM(IF(COALESCE(CAST(X.pblc_grnt_schm_c19_nm AS STRING),'')&lt;&gt;COALESCE(CAST(Y.pblc_grnt_schm_c19_nm_SIMUL AS STRING),'') OR (X.pblc_grnt_schm_c19_nm IS NULL AND Y.pblc_grnt_schm_c19_nm_SIMUL IS NOT NULL ) OR (X.pblc_grnt_schm_c19_nm IS NOT NULL AND Y.pblc_grnt_schm_c19_nm_SIMUL IS NULL),1,0)) AS NUM_REG_DIF,'1' AS ID_EXEC, CURRENT_TIMESTAMP() AS TIME_EXEC FROM (SELECT instrmnt_id, pblc_grnt_schm_c19_nm FROM BU_LOANTAPE_WORK.LT002_INSTRUMENT WHERE ref_date='${ref_date}' AND nome_perimetro='Individual Local' AND segmento='ESTR' AND ambito='SRB_MBDT' AND entidade='00100')X INNER JOIN (SELECT instrmnt_id AS instrmnt_id_SIMUL, pblc_grnt_schm_c19_nm AS pblc_grnt_schm_c19_nm_SIMUL FROM BU_LOANTAPE_WORK.SIMUL_LT002_INSTRUMENT WHERE ref_date='${ref_date}' AND nome_perimetro='Individual Local' AND segmento='ESTR' AND ambito='PILAR3' AND entidade='00100')Y ON X.INSTRMNT_ID=Y.INSTRMNT_ID_SIMUL</v>
      </c>
      <c r="N217" s="38"/>
    </row>
    <row r="218" spans="2:14">
      <c r="B218" s="34" t="s">
        <v>117</v>
      </c>
      <c r="C218" s="34" t="s">
        <v>5</v>
      </c>
      <c r="D218" s="34" t="str">
        <f>+UPPER('0. Instruções'!$D$35&amp;"."&amp;VLOOKUP(B218,'0. Instruções'!$C$27:$D$32,2,FALSE))</f>
        <v>BU_LOANTAPE_WORK.LT002_INSTRUMENT</v>
      </c>
      <c r="E218" s="34" t="str">
        <f>+UPPER('0. Instruções'!$D$36&amp;"."&amp;VLOOKUP(B218,'0. Instruções'!$C$27:$E$32,3,FALSE))</f>
        <v>BU_LOANTAPE_WORK.SIMUL_LT002_INSTRUMENT</v>
      </c>
      <c r="F218" s="34" t="s">
        <v>1280</v>
      </c>
      <c r="G218" s="34"/>
      <c r="H218" s="34"/>
      <c r="I218" s="34" t="str">
        <f>"(SELECT "&amp;VLOOKUP(B218,'0. Instruções'!$C$27:$G$32,4,FALSE)&amp;", "&amp;F218&amp;" FROM "&amp;D218&amp;" WHERE "&amp;'0. Instruções'!$D$42&amp;")X"</f>
        <v>(SELECT instrmnt_id, pmnt_pblc_grnt_schm_c19 FROM BU_LOANTAPE_WORK.LT002_INSTRUMENT WHERE ref_date='${ref_date}' AND nome_perimetro='Individual Local' AND segmento='ESTR' AND ambito='SRB_MBDT' AND entidade='00100')X</v>
      </c>
      <c r="J218" s="34" t="str">
        <f>"(SELECT "&amp;VLOOKUP(B218,'0. Instruções'!$C$27:$G$32,4,FALSE)&amp;" AS "&amp;VLOOKUP(B218,'0. Instruções'!$C$27:$G$32,4,FALSE)&amp;"_SIMUL, "&amp;F218&amp;" AS "&amp;F218&amp;"_SIMUL FROM "&amp;E218&amp;" WHERE "&amp;'0. Instruções'!$D$43&amp;")Y"</f>
        <v>(SELECT instrmnt_id AS instrmnt_id_SIMUL, pmnt_pblc_grnt_schm_c19 AS pmnt_pblc_grnt_schm_c19_SIMUL FROM BU_LOANTAPE_WORK.SIMUL_LT002_INSTRUMENT WHERE ref_date='${ref_date}' AND nome_perimetro='Individual Local' AND segmento='ESTR' AND ambito='PILAR3' AND entidade='00100')Y</v>
      </c>
      <c r="K218" s="35" t="str">
        <f>+UPPER("ON X."&amp;VLOOKUP(B218,'0. Instruções'!$C$27:$G$32,4,FALSE)&amp;"=Y."&amp;VLOOKUP(B218,'0. Instruções'!$C$27:$G$32,4,FALSE)&amp;"_SIMUL")</f>
        <v>ON X.INSTRMNT_ID=Y.INSTRMNT_ID_SIMUL</v>
      </c>
      <c r="L218" s="35" t="str">
        <f>+IF(C218="Coerência", +IF(LEFT(G218,5)="FLOAT","SELECT '"&amp;UPPER(B218)&amp;"' AS TABELA, '"&amp;UPPER(C218)&amp;"' AS TIPOLOGIA_TESTE,'"&amp;D218&amp;"' AS TABELA_LT,'"&amp;E218&amp;"' AS TABELA_SIMUL,'"&amp;F218&amp;"' AS CAMPO, "&amp;"'${ref_date}' AS REF_DATE, COUNT(*) AS NUM_REG, SUM(IF((ABS(COALESCE(CAST(X."&amp;F218&amp;" AS DECIMAL(18,6)),0)-COALESCE(CAST(Y."&amp;F218&amp;"_SIMUL AS DECIMAL(18,6)),0))&gt;0.000001) OR (X."&amp;F218&amp;" IS NULL AND Y."&amp;F218&amp;"_SIMUL IS NOT NULL ) OR (X."&amp;F218&amp;" IS NOT NULL AND Y."&amp;F218&amp;"_SIMUL IS NULL),1,0)) AS NUM_REG_DIF,'"&amp;MAX('ID1&amp;5'!K:K)+1&amp;"' AS ID_EXEC, CURRENT_TIMESTAMP() AS TIME_EXEC FROM "&amp;I218&amp;" INNER JOIN "&amp;J218&amp;" "&amp;K218,"SELECT '"&amp;UPPER(B218)&amp;"' AS TABELA, '"&amp;UPPER(C218)&amp;"' AS TIPOLOGIA_TESTE,'"&amp;D218&amp;"' AS TABELA_LT,'"&amp;E218&amp;"' AS TABELA_SIMUL,'"&amp;F218&amp;"' AS CAMPO, "&amp;"'${ref_date}' AS REF_DATE, COUNT(*) AS NUM_REG, SUM(IF(COALESCE(CAST(X."&amp;F218&amp;" AS STRING),'')&lt;&gt;COALESCE(CAST(Y."&amp;F218&amp;"_SIMUL AS STRING),'') OR (X."&amp;F218&amp;" IS NULL AND Y."&amp;F218&amp;"_SIMUL IS NOT NULL ) OR (X."&amp;F218&amp;" IS NOT NULL AND Y."&amp;F218&amp;"_SIMUL IS NULL),1,0)) AS NUM_REG_DIF,'"&amp;MAX('ID1&amp;5'!L:L)+1&amp;"' AS ID_EXEC, CURRENT_TIMESTAMP() AS TIME_EXEC FROM "&amp;I218&amp;" INNER JOIN "&amp;J218&amp;" "&amp;K218),
IF(C218="Validade",+IF(G218="Code List","SELECT '"&amp;UPPER(B218)&amp;"' AS TABELA, '"&amp;UPPER(C218)&amp;"' AS TIPOLOGIA_TESTE,'"&amp;D218&amp;"' AS TABELA_LT,'N/A' AS TABELA_SIMUL,'"&amp;F218&amp;"' AS CAMPO, "&amp;"'${ref_date}' AS REF_DATE, COUNT(*) AS NUM_REG, SUM(IF(TRIM(CAST(X."&amp;F218&amp;" AS STRING))='' OR TRIM(CAST(X."&amp;F218&amp;" AS STRING)) IS NULL OR CAST(X."&amp;F218&amp;" AS STRING) NOT "&amp;H218&amp;",1,0)) AS NUM_REG_DIF,'"&amp;MAX('ID1&amp;5'!K:K)+1&amp;"' AS ID_EXEC, CURRENT_TIMESTAMP() AS TIME_EXEC FROM "&amp;I218,"SELECT '"&amp;UPPER(B218)&amp;"' AS TABELA, '"&amp;UPPER(C218)&amp;"' AS TIPOLOGIA_TESTE,'"&amp;D218&amp;"' AS TABELA_LT,'N/A' AS TABELA_SIMUL,'"&amp;F218&amp;"' AS CAMPO, "&amp;"'${ref_date}' AS REF_DATE, COUNT(*) AS NUM_REG, SUM(IF(TRIM(CAST(X."&amp;F218&amp;" AS STRING))='' OR TRIM(CAST(X."&amp;F218&amp;" AS STRING)) IS NULL,1,0)) AS NUM_REG_DIF,'"&amp;MAX('ID1&amp;5'!K:K)+1&amp;"' AS ID_EXEC, CURRENT_TIMESTAMP() AS TIME_EXEC FROM "&amp;I218),
IF(C218="Caracteres Especiais",+"SELECT '"&amp;UPPER(B218)&amp;"' AS TABELA, '"&amp;UPPER(C218)&amp;"' AS TIPOLOGIA_TESTE,'"&amp;D218&amp;"' AS TABELA_LT,'N/A' AS TABELA_SIMUL,'"&amp;F218&amp;"' AS CAMPO, "&amp;"'${ref_date}' AS REF_DATE, COUNT(*) AS NUM_REG, SUM(IF(REGEXP_REPLACE(TRIM(CAST(X."&amp;F218&amp;" AS STRING)),'[^a-zA-Z0-9_\\s]','') &lt;&gt;TRIM(CAST(X."&amp;F218&amp;" AS STRING)),1,0)) AS NUM_REG_DIF,'"&amp;MAX('ID1&amp;5'!K:K)+1&amp;"' AS ID_EXEC, CURRENT_TIMESTAMP() AS TIME_EXEC FROM "&amp;I218,
IF(C218="Missings",+"SELECT '"&amp;UPPER(B218)&amp;"' AS TABELA, '"&amp;UPPER(C218)&amp;"' AS TIPOLOGIA_TESTE,'"&amp;D218&amp;"' AS TABELA_LT,'N/A' AS TABELA_SIMUL,'"&amp;F218&amp;"' AS CAMPO, "&amp;"'${ref_date}' AS REF_DATE, COUNT(*) AS NUM_REG, SUM(IF(TRIM(CAST(X."&amp;F218&amp;" AS STRING)) IN ('0000-00-00','0001-01-01','9999-12-31','MISS','00000','99999999999','99999999999.00','99999999999.000000'),1,0)) AS NUM_REG_DIF,'"&amp;MAX('ID1&amp;5'!K:K)+1&amp;"' AS ID_EXEC, CURRENT_TIMESTAMP() AS TIME_EXEC FROM "&amp;I218,
IF(C218="Not applicable",+"SELECT '"&amp;UPPER(B218)&amp;"' AS TABELA, '"&amp;UPPER(C218)&amp;"' AS TIPOLOGIA_TESTE,'"&amp;D218&amp;"' AS TABELA_LT,'N/A' AS TABELA_SIMUL,'"&amp;F218&amp;"' AS CAMPO, "&amp;"'${ref_date}' AS REF_DATE, COUNT(*) AS NUM_REG, SUM(IF(TRIM(CAST(X."&amp;F218&amp;" AS STRING)) IN ('N/A','11111111111','11111111111.00','11111111111.000000','1111-11-11'),1,0)) AS NUM_REG_DIF,'"&amp;MAX('ID1&amp;5'!K:K)+1&amp;"' AS ID_EXEC, CURRENT_TIMESTAMP() AS TIME_EXEC FROM "&amp;I218,
IF(C218="Valores extremos",+"SELECT '"&amp;UPPER(B218)&amp;"' AS TABELA, '"&amp;UPPER(C218)&amp;"' AS TIPOLOGIA_TESTE,'"&amp;D218&amp;"' AS TABELA_LT,'N/A' AS TABELA_SIMUL,'"&amp;F218&amp;"' AS CAMPO, "&amp;"'${ref_date}' AS REF_DATE, CAST(MIN("&amp;F218&amp;") AS STRING) AS VALOR_MIN, CAST(MAX("&amp;F218&amp;") AS STRING) AS VALOR_MAX,'"&amp;MAX('ID1&amp;5'!K:K)+1&amp;"' AS ID_EXEC, CURRENT_TIMESTAMP() AS TIME_EXEC FROM "&amp;MID(I218,1,LEN(I218)-2)&amp;" AND CAST("&amp;F218&amp;"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TABELA_SIMUL,'pmnt_pblc_grnt_schm_c19' AS CAMPO, '${ref_date}' AS REF_DATE, COUNT(*) AS NUM_REG, SUM(IF(COALESCE(CAST(X.pmnt_pblc_grnt_schm_c19 AS STRING),'')&lt;&gt;COALESCE(CAST(Y.pmnt_pblc_grnt_schm_c19_SIMUL AS STRING),'') OR (X.pmnt_pblc_grnt_schm_c19 IS NULL AND Y.pmnt_pblc_grnt_schm_c19_SIMUL IS NOT NULL ) OR (X.pmnt_pblc_grnt_schm_c19 IS NOT NULL AND Y.pmnt_pblc_grnt_schm_c19_SIMUL IS NULL),1,0)) AS NUM_REG_DIF,'1' AS ID_EXEC, CURRENT_TIMESTAMP() AS TIME_EXEC FROM (SELECT instrmnt_id, pmnt_pblc_grnt_schm_c19 FROM BU_LOANTAPE_WORK.LT002_INSTRUMENT WHERE ref_date='${ref_date}' AND nome_perimetro='Individual Local' AND segmento='ESTR' AND ambito='SRB_MBDT' AND entidade='00100')X INNER JOIN (SELECT instrmnt_id AS instrmnt_id_SIMUL, pmnt_pblc_grnt_schm_c19 AS pmnt_pblc_grnt_schm_c19_SIMUL FROM BU_LOANTAPE_WORK.SIMUL_LT002_INSTRUMENT WHERE ref_date='${ref_date}' AND nome_perimetro='Individual Local' AND segmento='ESTR' AND ambito='PILAR3' AND entidade='00100')Y ON X.INSTRMNT_ID=Y.INSTRMNT_ID_SIMUL</v>
      </c>
      <c r="M218" s="36" t="str">
        <f t="shared" si="6"/>
        <v>UNION ALL SELECT 'INSTRUMENT' AS TABELA, 'COERÊNCIA' AS TIPOLOGIA_TESTE,'BU_LOANTAPE_WORK.LT002_INSTRUMENT' AS TABELA_LT,'BU_LOANTAPE_WORK.SIMUL_LT002_INSTRUMENT' AS TABELA_SIMUL,'pmnt_pblc_grnt_schm_c19' AS CAMPO, '${ref_date}' AS REF_DATE, COUNT(*) AS NUM_REG, SUM(IF(COALESCE(CAST(X.pmnt_pblc_grnt_schm_c19 AS STRING),'')&lt;&gt;COALESCE(CAST(Y.pmnt_pblc_grnt_schm_c19_SIMUL AS STRING),'') OR (X.pmnt_pblc_grnt_schm_c19 IS NULL AND Y.pmnt_pblc_grnt_schm_c19_SIMUL IS NOT NULL ) OR (X.pmnt_pblc_grnt_schm_c19 IS NOT NULL AND Y.pmnt_pblc_grnt_schm_c19_SIMUL IS NULL),1,0)) AS NUM_REG_DIF,'1' AS ID_EXEC, CURRENT_TIMESTAMP() AS TIME_EXEC FROM (SELECT instrmnt_id, pmnt_pblc_grnt_schm_c19 FROM BU_LOANTAPE_WORK.LT002_INSTRUMENT WHERE ref_date='${ref_date}' AND nome_perimetro='Individual Local' AND segmento='ESTR' AND ambito='SRB_MBDT' AND entidade='00100')X INNER JOIN (SELECT instrmnt_id AS instrmnt_id_SIMUL, pmnt_pblc_grnt_schm_c19 AS pmnt_pblc_grnt_schm_c19_SIMUL FROM BU_LOANTAPE_WORK.SIMUL_LT002_INSTRUMENT WHERE ref_date='${ref_date}' AND nome_perimetro='Individual Local' AND segmento='ESTR' AND ambito='PILAR3' AND entidade='00100')Y ON X.INSTRMNT_ID=Y.INSTRMNT_ID_SIMUL</v>
      </c>
      <c r="N218" s="38"/>
    </row>
    <row r="219" spans="2:14">
      <c r="B219" s="34" t="s">
        <v>117</v>
      </c>
      <c r="C219" s="34" t="s">
        <v>5</v>
      </c>
      <c r="D219" s="34" t="str">
        <f>+UPPER('0. Instruções'!$D$35&amp;"."&amp;VLOOKUP(B219,'0. Instruções'!$C$27:$D$32,2,FALSE))</f>
        <v>BU_LOANTAPE_WORK.LT002_INSTRUMENT</v>
      </c>
      <c r="E219" s="34" t="str">
        <f>+UPPER('0. Instruções'!$D$36&amp;"."&amp;VLOOKUP(B219,'0. Instruções'!$C$27:$E$32,3,FALSE))</f>
        <v>BU_LOANTAPE_WORK.SIMUL_LT002_INSTRUMENT</v>
      </c>
      <c r="F219" s="34" t="s">
        <v>1281</v>
      </c>
      <c r="G219" s="34"/>
      <c r="H219" s="34"/>
      <c r="I219" s="34" t="str">
        <f>"(SELECT "&amp;VLOOKUP(B219,'0. Instruções'!$C$27:$G$32,4,FALSE)&amp;", "&amp;F219&amp;" FROM "&amp;D219&amp;" WHERE "&amp;'0. Instruções'!$D$42&amp;")X"</f>
        <v>(SELECT instrmnt_id, asst_scrt_clss FROM BU_LOANTAPE_WORK.LT002_INSTRUMENT WHERE ref_date='${ref_date}' AND nome_perimetro='Individual Local' AND segmento='ESTR' AND ambito='SRB_MBDT' AND entidade='00100')X</v>
      </c>
      <c r="J219" s="34" t="str">
        <f>"(SELECT "&amp;VLOOKUP(B219,'0. Instruções'!$C$27:$G$32,4,FALSE)&amp;" AS "&amp;VLOOKUP(B219,'0. Instruções'!$C$27:$G$32,4,FALSE)&amp;"_SIMUL, "&amp;F219&amp;" AS "&amp;F219&amp;"_SIMUL FROM "&amp;E219&amp;" WHERE "&amp;'0. Instruções'!$D$43&amp;")Y"</f>
        <v>(SELECT instrmnt_id AS instrmnt_id_SIMUL, asst_scrt_clss AS asst_scrt_clss_SIMUL FROM BU_LOANTAPE_WORK.SIMUL_LT002_INSTRUMENT WHERE ref_date='${ref_date}' AND nome_perimetro='Individual Local' AND segmento='ESTR' AND ambito='PILAR3' AND entidade='00100')Y</v>
      </c>
      <c r="K219" s="35" t="str">
        <f>+UPPER("ON X."&amp;VLOOKUP(B219,'0. Instruções'!$C$27:$G$32,4,FALSE)&amp;"=Y."&amp;VLOOKUP(B219,'0. Instruções'!$C$27:$G$32,4,FALSE)&amp;"_SIMUL")</f>
        <v>ON X.INSTRMNT_ID=Y.INSTRMNT_ID_SIMUL</v>
      </c>
      <c r="L219" s="35" t="str">
        <f>+IF(C219="Coerência", +IF(LEFT(G219,5)="FLOAT","SELECT '"&amp;UPPER(B219)&amp;"' AS TABELA, '"&amp;UPPER(C219)&amp;"' AS TIPOLOGIA_TESTE,'"&amp;D219&amp;"' AS TABELA_LT,'"&amp;E219&amp;"' AS TABELA_SIMUL,'"&amp;F219&amp;"' AS CAMPO, "&amp;"'${ref_date}' AS REF_DATE, COUNT(*) AS NUM_REG, SUM(IF((ABS(COALESCE(CAST(X."&amp;F219&amp;" AS DECIMAL(18,6)),0)-COALESCE(CAST(Y."&amp;F219&amp;"_SIMUL AS DECIMAL(18,6)),0))&gt;0.000001) OR (X."&amp;F219&amp;" IS NULL AND Y."&amp;F219&amp;"_SIMUL IS NOT NULL ) OR (X."&amp;F219&amp;" IS NOT NULL AND Y."&amp;F219&amp;"_SIMUL IS NULL),1,0)) AS NUM_REG_DIF,'"&amp;MAX('ID1&amp;5'!K:K)+1&amp;"' AS ID_EXEC, CURRENT_TIMESTAMP() AS TIME_EXEC FROM "&amp;I219&amp;" INNER JOIN "&amp;J219&amp;" "&amp;K219,"SELECT '"&amp;UPPER(B219)&amp;"' AS TABELA, '"&amp;UPPER(C219)&amp;"' AS TIPOLOGIA_TESTE,'"&amp;D219&amp;"' AS TABELA_LT,'"&amp;E219&amp;"' AS TABELA_SIMUL,'"&amp;F219&amp;"' AS CAMPO, "&amp;"'${ref_date}' AS REF_DATE, COUNT(*) AS NUM_REG, SUM(IF(COALESCE(CAST(X."&amp;F219&amp;" AS STRING),'')&lt;&gt;COALESCE(CAST(Y."&amp;F219&amp;"_SIMUL AS STRING),'') OR (X."&amp;F219&amp;" IS NULL AND Y."&amp;F219&amp;"_SIMUL IS NOT NULL ) OR (X."&amp;F219&amp;" IS NOT NULL AND Y."&amp;F219&amp;"_SIMUL IS NULL),1,0)) AS NUM_REG_DIF,'"&amp;MAX('ID1&amp;5'!L:L)+1&amp;"' AS ID_EXEC, CURRENT_TIMESTAMP() AS TIME_EXEC FROM "&amp;I219&amp;" INNER JOIN "&amp;J219&amp;" "&amp;K219),
IF(C219="Validade",+IF(G219="Code List","SELECT '"&amp;UPPER(B219)&amp;"' AS TABELA, '"&amp;UPPER(C219)&amp;"' AS TIPOLOGIA_TESTE,'"&amp;D219&amp;"' AS TABELA_LT,'N/A' AS TABELA_SIMUL,'"&amp;F219&amp;"' AS CAMPO, "&amp;"'${ref_date}' AS REF_DATE, COUNT(*) AS NUM_REG, SUM(IF(TRIM(CAST(X."&amp;F219&amp;" AS STRING))='' OR TRIM(CAST(X."&amp;F219&amp;" AS STRING)) IS NULL OR CAST(X."&amp;F219&amp;" AS STRING) NOT "&amp;H219&amp;",1,0)) AS NUM_REG_DIF,'"&amp;MAX('ID1&amp;5'!K:K)+1&amp;"' AS ID_EXEC, CURRENT_TIMESTAMP() AS TIME_EXEC FROM "&amp;I219,"SELECT '"&amp;UPPER(B219)&amp;"' AS TABELA, '"&amp;UPPER(C219)&amp;"' AS TIPOLOGIA_TESTE,'"&amp;D219&amp;"' AS TABELA_LT,'N/A' AS TABELA_SIMUL,'"&amp;F219&amp;"' AS CAMPO, "&amp;"'${ref_date}' AS REF_DATE, COUNT(*) AS NUM_REG, SUM(IF(TRIM(CAST(X."&amp;F219&amp;" AS STRING))='' OR TRIM(CAST(X."&amp;F219&amp;" AS STRING)) IS NULL,1,0)) AS NUM_REG_DIF,'"&amp;MAX('ID1&amp;5'!K:K)+1&amp;"' AS ID_EXEC, CURRENT_TIMESTAMP() AS TIME_EXEC FROM "&amp;I219),
IF(C219="Caracteres Especiais",+"SELECT '"&amp;UPPER(B219)&amp;"' AS TABELA, '"&amp;UPPER(C219)&amp;"' AS TIPOLOGIA_TESTE,'"&amp;D219&amp;"' AS TABELA_LT,'N/A' AS TABELA_SIMUL,'"&amp;F219&amp;"' AS CAMPO, "&amp;"'${ref_date}' AS REF_DATE, COUNT(*) AS NUM_REG, SUM(IF(REGEXP_REPLACE(TRIM(CAST(X."&amp;F219&amp;" AS STRING)),'[^a-zA-Z0-9_\\s]','') &lt;&gt;TRIM(CAST(X."&amp;F219&amp;" AS STRING)),1,0)) AS NUM_REG_DIF,'"&amp;MAX('ID1&amp;5'!K:K)+1&amp;"' AS ID_EXEC, CURRENT_TIMESTAMP() AS TIME_EXEC FROM "&amp;I219,
IF(C219="Missings",+"SELECT '"&amp;UPPER(B219)&amp;"' AS TABELA, '"&amp;UPPER(C219)&amp;"' AS TIPOLOGIA_TESTE,'"&amp;D219&amp;"' AS TABELA_LT,'N/A' AS TABELA_SIMUL,'"&amp;F219&amp;"' AS CAMPO, "&amp;"'${ref_date}' AS REF_DATE, COUNT(*) AS NUM_REG, SUM(IF(TRIM(CAST(X."&amp;F219&amp;" AS STRING)) IN ('0000-00-00','0001-01-01','9999-12-31','MISS','00000','99999999999','99999999999.00','99999999999.000000'),1,0)) AS NUM_REG_DIF,'"&amp;MAX('ID1&amp;5'!K:K)+1&amp;"' AS ID_EXEC, CURRENT_TIMESTAMP() AS TIME_EXEC FROM "&amp;I219,
IF(C219="Not applicable",+"SELECT '"&amp;UPPER(B219)&amp;"' AS TABELA, '"&amp;UPPER(C219)&amp;"' AS TIPOLOGIA_TESTE,'"&amp;D219&amp;"' AS TABELA_LT,'N/A' AS TABELA_SIMUL,'"&amp;F219&amp;"' AS CAMPO, "&amp;"'${ref_date}' AS REF_DATE, COUNT(*) AS NUM_REG, SUM(IF(TRIM(CAST(X."&amp;F219&amp;" AS STRING)) IN ('N/A','11111111111','11111111111.00','11111111111.000000','1111-11-11'),1,0)) AS NUM_REG_DIF,'"&amp;MAX('ID1&amp;5'!K:K)+1&amp;"' AS ID_EXEC, CURRENT_TIMESTAMP() AS TIME_EXEC FROM "&amp;I219,
IF(C219="Valores extremos",+"SELECT '"&amp;UPPER(B219)&amp;"' AS TABELA, '"&amp;UPPER(C219)&amp;"' AS TIPOLOGIA_TESTE,'"&amp;D219&amp;"' AS TABELA_LT,'N/A' AS TABELA_SIMUL,'"&amp;F219&amp;"' AS CAMPO, "&amp;"'${ref_date}' AS REF_DATE, CAST(MIN("&amp;F219&amp;") AS STRING) AS VALOR_MIN, CAST(MAX("&amp;F219&amp;") AS STRING) AS VALOR_MAX,'"&amp;MAX('ID1&amp;5'!K:K)+1&amp;"' AS ID_EXEC, CURRENT_TIMESTAMP() AS TIME_EXEC FROM "&amp;MID(I219,1,LEN(I219)-2)&amp;" AND CAST("&amp;F219&amp;"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TABELA_SIMUL,'asst_scrt_clss' AS CAMPO, '${ref_date}' AS REF_DATE, COUNT(*) AS NUM_REG, SUM(IF(COALESCE(CAST(X.asst_scrt_clss AS STRING),'')&lt;&gt;COALESCE(CAST(Y.asst_scrt_clss_SIMUL AS STRING),'') OR (X.asst_scrt_clss IS NULL AND Y.asst_scrt_clss_SIMUL IS NOT NULL ) OR (X.asst_scrt_clss IS NOT NULL AND Y.asst_scrt_clss_SIMUL IS NULL),1,0)) AS NUM_REG_DIF,'1' AS ID_EXEC, CURRENT_TIMESTAMP() AS TIME_EXEC FROM (SELECT instrmnt_id, asst_scrt_clss FROM BU_LOANTAPE_WORK.LT002_INSTRUMENT WHERE ref_date='${ref_date}' AND nome_perimetro='Individual Local' AND segmento='ESTR' AND ambito='SRB_MBDT' AND entidade='00100')X INNER JOIN (SELECT instrmnt_id AS instrmnt_id_SIMUL, asst_scrt_clss AS asst_scrt_clss_SIMUL FROM BU_LOANTAPE_WORK.SIMUL_LT002_INSTRUMENT WHERE ref_date='${ref_date}' AND nome_perimetro='Individual Local' AND segmento='ESTR' AND ambito='PILAR3' AND entidade='00100')Y ON X.INSTRMNT_ID=Y.INSTRMNT_ID_SIMUL</v>
      </c>
      <c r="M219" s="36" t="str">
        <f t="shared" si="6"/>
        <v>UNION ALL SELECT 'INSTRUMENT' AS TABELA, 'COERÊNCIA' AS TIPOLOGIA_TESTE,'BU_LOANTAPE_WORK.LT002_INSTRUMENT' AS TABELA_LT,'BU_LOANTAPE_WORK.SIMUL_LT002_INSTRUMENT' AS TABELA_SIMUL,'asst_scrt_clss' AS CAMPO, '${ref_date}' AS REF_DATE, COUNT(*) AS NUM_REG, SUM(IF(COALESCE(CAST(X.asst_scrt_clss AS STRING),'')&lt;&gt;COALESCE(CAST(Y.asst_scrt_clss_SIMUL AS STRING),'') OR (X.asst_scrt_clss IS NULL AND Y.asst_scrt_clss_SIMUL IS NOT NULL ) OR (X.asst_scrt_clss IS NOT NULL AND Y.asst_scrt_clss_SIMUL IS NULL),1,0)) AS NUM_REG_DIF,'1' AS ID_EXEC, CURRENT_TIMESTAMP() AS TIME_EXEC FROM (SELECT instrmnt_id, asst_scrt_clss FROM BU_LOANTAPE_WORK.LT002_INSTRUMENT WHERE ref_date='${ref_date}' AND nome_perimetro='Individual Local' AND segmento='ESTR' AND ambito='SRB_MBDT' AND entidade='00100')X INNER JOIN (SELECT instrmnt_id AS instrmnt_id_SIMUL, asst_scrt_clss AS asst_scrt_clss_SIMUL FROM BU_LOANTAPE_WORK.SIMUL_LT002_INSTRUMENT WHERE ref_date='${ref_date}' AND nome_perimetro='Individual Local' AND segmento='ESTR' AND ambito='PILAR3' AND entidade='00100')Y ON X.INSTRMNT_ID=Y.INSTRMNT_ID_SIMUL</v>
      </c>
      <c r="N219" s="38"/>
    </row>
    <row r="220" spans="2:14">
      <c r="B220" s="34" t="s">
        <v>117</v>
      </c>
      <c r="C220" s="34" t="s">
        <v>5</v>
      </c>
      <c r="D220" s="34" t="str">
        <f>+UPPER('0. Instruções'!$D$35&amp;"."&amp;VLOOKUP(B220,'0. Instruções'!$C$27:$D$32,2,FALSE))</f>
        <v>BU_LOANTAPE_WORK.LT002_INSTRUMENT</v>
      </c>
      <c r="E220" s="34" t="str">
        <f>+UPPER('0. Instruções'!$D$36&amp;"."&amp;VLOOKUP(B220,'0. Instruções'!$C$27:$E$32,3,FALSE))</f>
        <v>BU_LOANTAPE_WORK.SIMUL_LT002_INSTRUMENT</v>
      </c>
      <c r="F220" s="34" t="s">
        <v>1282</v>
      </c>
      <c r="G220" s="34"/>
      <c r="H220" s="34"/>
      <c r="I220" s="34" t="str">
        <f>"(SELECT "&amp;VLOOKUP(B220,'0. Instruções'!$C$27:$G$32,4,FALSE)&amp;", "&amp;F220&amp;" FROM "&amp;D220&amp;" WHERE "&amp;'0. Instruções'!$D$42&amp;")X"</f>
        <v>(SELECT instrmnt_id, cpn_crrncy FROM BU_LOANTAPE_WORK.LT002_INSTRUMENT WHERE ref_date='${ref_date}' AND nome_perimetro='Individual Local' AND segmento='ESTR' AND ambito='SRB_MBDT' AND entidade='00100')X</v>
      </c>
      <c r="J220" s="34" t="str">
        <f>"(SELECT "&amp;VLOOKUP(B220,'0. Instruções'!$C$27:$G$32,4,FALSE)&amp;" AS "&amp;VLOOKUP(B220,'0. Instruções'!$C$27:$G$32,4,FALSE)&amp;"_SIMUL, "&amp;F220&amp;" AS "&amp;F220&amp;"_SIMUL FROM "&amp;E220&amp;" WHERE "&amp;'0. Instruções'!$D$43&amp;")Y"</f>
        <v>(SELECT instrmnt_id AS instrmnt_id_SIMUL, cpn_crrncy AS cpn_crrncy_SIMUL FROM BU_LOANTAPE_WORK.SIMUL_LT002_INSTRUMENT WHERE ref_date='${ref_date}' AND nome_perimetro='Individual Local' AND segmento='ESTR' AND ambito='PILAR3' AND entidade='00100')Y</v>
      </c>
      <c r="K220" s="35" t="str">
        <f>+UPPER("ON X."&amp;VLOOKUP(B220,'0. Instruções'!$C$27:$G$32,4,FALSE)&amp;"=Y."&amp;VLOOKUP(B220,'0. Instruções'!$C$27:$G$32,4,FALSE)&amp;"_SIMUL")</f>
        <v>ON X.INSTRMNT_ID=Y.INSTRMNT_ID_SIMUL</v>
      </c>
      <c r="L220" s="35" t="str">
        <f>+IF(C220="Coerência", +IF(LEFT(G220,5)="FLOAT","SELECT '"&amp;UPPER(B220)&amp;"' AS TABELA, '"&amp;UPPER(C220)&amp;"' AS TIPOLOGIA_TESTE,'"&amp;D220&amp;"' AS TABELA_LT,'"&amp;E220&amp;"' AS TABELA_SIMUL,'"&amp;F220&amp;"' AS CAMPO, "&amp;"'${ref_date}' AS REF_DATE, COUNT(*) AS NUM_REG, SUM(IF((ABS(COALESCE(CAST(X."&amp;F220&amp;" AS DECIMAL(18,6)),0)-COALESCE(CAST(Y."&amp;F220&amp;"_SIMUL AS DECIMAL(18,6)),0))&gt;0.000001) OR (X."&amp;F220&amp;" IS NULL AND Y."&amp;F220&amp;"_SIMUL IS NOT NULL ) OR (X."&amp;F220&amp;" IS NOT NULL AND Y."&amp;F220&amp;"_SIMUL IS NULL),1,0)) AS NUM_REG_DIF,'"&amp;MAX('ID1&amp;5'!K:K)+1&amp;"' AS ID_EXEC, CURRENT_TIMESTAMP() AS TIME_EXEC FROM "&amp;I220&amp;" INNER JOIN "&amp;J220&amp;" "&amp;K220,"SELECT '"&amp;UPPER(B220)&amp;"' AS TABELA, '"&amp;UPPER(C220)&amp;"' AS TIPOLOGIA_TESTE,'"&amp;D220&amp;"' AS TABELA_LT,'"&amp;E220&amp;"' AS TABELA_SIMUL,'"&amp;F220&amp;"' AS CAMPO, "&amp;"'${ref_date}' AS REF_DATE, COUNT(*) AS NUM_REG, SUM(IF(COALESCE(CAST(X."&amp;F220&amp;" AS STRING),'')&lt;&gt;COALESCE(CAST(Y."&amp;F220&amp;"_SIMUL AS STRING),'') OR (X."&amp;F220&amp;" IS NULL AND Y."&amp;F220&amp;"_SIMUL IS NOT NULL ) OR (X."&amp;F220&amp;" IS NOT NULL AND Y."&amp;F220&amp;"_SIMUL IS NULL),1,0)) AS NUM_REG_DIF,'"&amp;MAX('ID1&amp;5'!L:L)+1&amp;"' AS ID_EXEC, CURRENT_TIMESTAMP() AS TIME_EXEC FROM "&amp;I220&amp;" INNER JOIN "&amp;J220&amp;" "&amp;K220),
IF(C220="Validade",+IF(G220="Code List","SELECT '"&amp;UPPER(B220)&amp;"' AS TABELA, '"&amp;UPPER(C220)&amp;"' AS TIPOLOGIA_TESTE,'"&amp;D220&amp;"' AS TABELA_LT,'N/A' AS TABELA_SIMUL,'"&amp;F220&amp;"' AS CAMPO, "&amp;"'${ref_date}' AS REF_DATE, COUNT(*) AS NUM_REG, SUM(IF(TRIM(CAST(X."&amp;F220&amp;" AS STRING))='' OR TRIM(CAST(X."&amp;F220&amp;" AS STRING)) IS NULL OR CAST(X."&amp;F220&amp;" AS STRING) NOT "&amp;H220&amp;",1,0)) AS NUM_REG_DIF,'"&amp;MAX('ID1&amp;5'!K:K)+1&amp;"' AS ID_EXEC, CURRENT_TIMESTAMP() AS TIME_EXEC FROM "&amp;I220,"SELECT '"&amp;UPPER(B220)&amp;"' AS TABELA, '"&amp;UPPER(C220)&amp;"' AS TIPOLOGIA_TESTE,'"&amp;D220&amp;"' AS TABELA_LT,'N/A' AS TABELA_SIMUL,'"&amp;F220&amp;"' AS CAMPO, "&amp;"'${ref_date}' AS REF_DATE, COUNT(*) AS NUM_REG, SUM(IF(TRIM(CAST(X."&amp;F220&amp;" AS STRING))='' OR TRIM(CAST(X."&amp;F220&amp;" AS STRING)) IS NULL,1,0)) AS NUM_REG_DIF,'"&amp;MAX('ID1&amp;5'!K:K)+1&amp;"' AS ID_EXEC, CURRENT_TIMESTAMP() AS TIME_EXEC FROM "&amp;I220),
IF(C220="Caracteres Especiais",+"SELECT '"&amp;UPPER(B220)&amp;"' AS TABELA, '"&amp;UPPER(C220)&amp;"' AS TIPOLOGIA_TESTE,'"&amp;D220&amp;"' AS TABELA_LT,'N/A' AS TABELA_SIMUL,'"&amp;F220&amp;"' AS CAMPO, "&amp;"'${ref_date}' AS REF_DATE, COUNT(*) AS NUM_REG, SUM(IF(REGEXP_REPLACE(TRIM(CAST(X."&amp;F220&amp;" AS STRING)),'[^a-zA-Z0-9_\\s]','') &lt;&gt;TRIM(CAST(X."&amp;F220&amp;" AS STRING)),1,0)) AS NUM_REG_DIF,'"&amp;MAX('ID1&amp;5'!K:K)+1&amp;"' AS ID_EXEC, CURRENT_TIMESTAMP() AS TIME_EXEC FROM "&amp;I220,
IF(C220="Missings",+"SELECT '"&amp;UPPER(B220)&amp;"' AS TABELA, '"&amp;UPPER(C220)&amp;"' AS TIPOLOGIA_TESTE,'"&amp;D220&amp;"' AS TABELA_LT,'N/A' AS TABELA_SIMUL,'"&amp;F220&amp;"' AS CAMPO, "&amp;"'${ref_date}' AS REF_DATE, COUNT(*) AS NUM_REG, SUM(IF(TRIM(CAST(X."&amp;F220&amp;" AS STRING)) IN ('0000-00-00','0001-01-01','9999-12-31','MISS','00000','99999999999','99999999999.00','99999999999.000000'),1,0)) AS NUM_REG_DIF,'"&amp;MAX('ID1&amp;5'!K:K)+1&amp;"' AS ID_EXEC, CURRENT_TIMESTAMP() AS TIME_EXEC FROM "&amp;I220,
IF(C220="Not applicable",+"SELECT '"&amp;UPPER(B220)&amp;"' AS TABELA, '"&amp;UPPER(C220)&amp;"' AS TIPOLOGIA_TESTE,'"&amp;D220&amp;"' AS TABELA_LT,'N/A' AS TABELA_SIMUL,'"&amp;F220&amp;"' AS CAMPO, "&amp;"'${ref_date}' AS REF_DATE, COUNT(*) AS NUM_REG, SUM(IF(TRIM(CAST(X."&amp;F220&amp;" AS STRING)) IN ('N/A','11111111111','11111111111.00','11111111111.000000','1111-11-11'),1,0)) AS NUM_REG_DIF,'"&amp;MAX('ID1&amp;5'!K:K)+1&amp;"' AS ID_EXEC, CURRENT_TIMESTAMP() AS TIME_EXEC FROM "&amp;I220,
IF(C220="Valores extremos",+"SELECT '"&amp;UPPER(B220)&amp;"' AS TABELA, '"&amp;UPPER(C220)&amp;"' AS TIPOLOGIA_TESTE,'"&amp;D220&amp;"' AS TABELA_LT,'N/A' AS TABELA_SIMUL,'"&amp;F220&amp;"' AS CAMPO, "&amp;"'${ref_date}' AS REF_DATE, CAST(MIN("&amp;F220&amp;") AS STRING) AS VALOR_MIN, CAST(MAX("&amp;F220&amp;") AS STRING) AS VALOR_MAX,'"&amp;MAX('ID1&amp;5'!K:K)+1&amp;"' AS ID_EXEC, CURRENT_TIMESTAMP() AS TIME_EXEC FROM "&amp;MID(I220,1,LEN(I220)-2)&amp;" AND CAST("&amp;F220&amp;"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TABELA_SIMUL,'cpn_crrncy' AS CAMPO, '${ref_date}' AS REF_DATE, COUNT(*) AS NUM_REG, SUM(IF(COALESCE(CAST(X.cpn_crrncy AS STRING),'')&lt;&gt;COALESCE(CAST(Y.cpn_crrncy_SIMUL AS STRING),'') OR (X.cpn_crrncy IS NULL AND Y.cpn_crrncy_SIMUL IS NOT NULL ) OR (X.cpn_crrncy IS NOT NULL AND Y.cpn_crrncy_SIMUL IS NULL),1,0)) AS NUM_REG_DIF,'1' AS ID_EXEC, CURRENT_TIMESTAMP() AS TIME_EXEC FROM (SELECT instrmnt_id, cpn_crrncy FROM BU_LOANTAPE_WORK.LT002_INSTRUMENT WHERE ref_date='${ref_date}' AND nome_perimetro='Individual Local' AND segmento='ESTR' AND ambito='SRB_MBDT' AND entidade='00100')X INNER JOIN (SELECT instrmnt_id AS instrmnt_id_SIMUL, cpn_crrncy AS cpn_crrncy_SIMUL FROM BU_LOANTAPE_WORK.SIMUL_LT002_INSTRUMENT WHERE ref_date='${ref_date}' AND nome_perimetro='Individual Local' AND segmento='ESTR' AND ambito='PILAR3' AND entidade='00100')Y ON X.INSTRMNT_ID=Y.INSTRMNT_ID_SIMUL</v>
      </c>
      <c r="M220" s="36" t="str">
        <f t="shared" si="6"/>
        <v>UNION ALL SELECT 'INSTRUMENT' AS TABELA, 'COERÊNCIA' AS TIPOLOGIA_TESTE,'BU_LOANTAPE_WORK.LT002_INSTRUMENT' AS TABELA_LT,'BU_LOANTAPE_WORK.SIMUL_LT002_INSTRUMENT' AS TABELA_SIMUL,'cpn_crrncy' AS CAMPO, '${ref_date}' AS REF_DATE, COUNT(*) AS NUM_REG, SUM(IF(COALESCE(CAST(X.cpn_crrncy AS STRING),'')&lt;&gt;COALESCE(CAST(Y.cpn_crrncy_SIMUL AS STRING),'') OR (X.cpn_crrncy IS NULL AND Y.cpn_crrncy_SIMUL IS NOT NULL ) OR (X.cpn_crrncy IS NOT NULL AND Y.cpn_crrncy_SIMUL IS NULL),1,0)) AS NUM_REG_DIF,'1' AS ID_EXEC, CURRENT_TIMESTAMP() AS TIME_EXEC FROM (SELECT instrmnt_id, cpn_crrncy FROM BU_LOANTAPE_WORK.LT002_INSTRUMENT WHERE ref_date='${ref_date}' AND nome_perimetro='Individual Local' AND segmento='ESTR' AND ambito='SRB_MBDT' AND entidade='00100')X INNER JOIN (SELECT instrmnt_id AS instrmnt_id_SIMUL, cpn_crrncy AS cpn_crrncy_SIMUL FROM BU_LOANTAPE_WORK.SIMUL_LT002_INSTRUMENT WHERE ref_date='${ref_date}' AND nome_perimetro='Individual Local' AND segmento='ESTR' AND ambito='PILAR3' AND entidade='00100')Y ON X.INSTRMNT_ID=Y.INSTRMNT_ID_SIMUL</v>
      </c>
      <c r="N220" s="38"/>
    </row>
    <row r="221" spans="2:14">
      <c r="B221" s="34" t="s">
        <v>117</v>
      </c>
      <c r="C221" s="34" t="s">
        <v>5</v>
      </c>
      <c r="D221" s="34" t="str">
        <f>+UPPER('0. Instruções'!$D$35&amp;"."&amp;VLOOKUP(B221,'0. Instruções'!$C$27:$D$32,2,FALSE))</f>
        <v>BU_LOANTAPE_WORK.LT002_INSTRUMENT</v>
      </c>
      <c r="E221" s="34" t="str">
        <f>+UPPER('0. Instruções'!$D$36&amp;"."&amp;VLOOKUP(B221,'0. Instruções'!$C$27:$E$32,3,FALSE))</f>
        <v>BU_LOANTAPE_WORK.SIMUL_LT002_INSTRUMENT</v>
      </c>
      <c r="F221" s="34" t="s">
        <v>1283</v>
      </c>
      <c r="G221" s="34"/>
      <c r="H221" s="34"/>
      <c r="I221" s="34" t="str">
        <f>"(SELECT "&amp;VLOOKUP(B221,'0. Instruções'!$C$27:$G$32,4,FALSE)&amp;", "&amp;F221&amp;" FROM "&amp;D221&amp;" WHERE "&amp;'0. Instruções'!$D$42&amp;")X"</f>
        <v>(SELECT instrmnt_id, cpn_rt FROM BU_LOANTAPE_WORK.LT002_INSTRUMENT WHERE ref_date='${ref_date}' AND nome_perimetro='Individual Local' AND segmento='ESTR' AND ambito='SRB_MBDT' AND entidade='00100')X</v>
      </c>
      <c r="J221" s="34" t="str">
        <f>"(SELECT "&amp;VLOOKUP(B221,'0. Instruções'!$C$27:$G$32,4,FALSE)&amp;" AS "&amp;VLOOKUP(B221,'0. Instruções'!$C$27:$G$32,4,FALSE)&amp;"_SIMUL, "&amp;F221&amp;" AS "&amp;F221&amp;"_SIMUL FROM "&amp;E221&amp;" WHERE "&amp;'0. Instruções'!$D$43&amp;")Y"</f>
        <v>(SELECT instrmnt_id AS instrmnt_id_SIMUL, cpn_rt AS cpn_rt_SIMUL FROM BU_LOANTAPE_WORK.SIMUL_LT002_INSTRUMENT WHERE ref_date='${ref_date}' AND nome_perimetro='Individual Local' AND segmento='ESTR' AND ambito='PILAR3' AND entidade='00100')Y</v>
      </c>
      <c r="K221" s="35" t="str">
        <f>+UPPER("ON X."&amp;VLOOKUP(B221,'0. Instruções'!$C$27:$G$32,4,FALSE)&amp;"=Y."&amp;VLOOKUP(B221,'0. Instruções'!$C$27:$G$32,4,FALSE)&amp;"_SIMUL")</f>
        <v>ON X.INSTRMNT_ID=Y.INSTRMNT_ID_SIMUL</v>
      </c>
      <c r="L221" s="35" t="str">
        <f>+IF(C221="Coerência", +IF(LEFT(G221,5)="FLOAT","SELECT '"&amp;UPPER(B221)&amp;"' AS TABELA, '"&amp;UPPER(C221)&amp;"' AS TIPOLOGIA_TESTE,'"&amp;D221&amp;"' AS TABELA_LT,'"&amp;E221&amp;"' AS TABELA_SIMUL,'"&amp;F221&amp;"' AS CAMPO, "&amp;"'${ref_date}' AS REF_DATE, COUNT(*) AS NUM_REG, SUM(IF((ABS(COALESCE(CAST(X."&amp;F221&amp;" AS DECIMAL(18,6)),0)-COALESCE(CAST(Y."&amp;F221&amp;"_SIMUL AS DECIMAL(18,6)),0))&gt;0.000001) OR (X."&amp;F221&amp;" IS NULL AND Y."&amp;F221&amp;"_SIMUL IS NOT NULL ) OR (X."&amp;F221&amp;" IS NOT NULL AND Y."&amp;F221&amp;"_SIMUL IS NULL),1,0)) AS NUM_REG_DIF,'"&amp;MAX('ID1&amp;5'!K:K)+1&amp;"' AS ID_EXEC, CURRENT_TIMESTAMP() AS TIME_EXEC FROM "&amp;I221&amp;" INNER JOIN "&amp;J221&amp;" "&amp;K221,"SELECT '"&amp;UPPER(B221)&amp;"' AS TABELA, '"&amp;UPPER(C221)&amp;"' AS TIPOLOGIA_TESTE,'"&amp;D221&amp;"' AS TABELA_LT,'"&amp;E221&amp;"' AS TABELA_SIMUL,'"&amp;F221&amp;"' AS CAMPO, "&amp;"'${ref_date}' AS REF_DATE, COUNT(*) AS NUM_REG, SUM(IF(COALESCE(CAST(X."&amp;F221&amp;" AS STRING),'')&lt;&gt;COALESCE(CAST(Y."&amp;F221&amp;"_SIMUL AS STRING),'') OR (X."&amp;F221&amp;" IS NULL AND Y."&amp;F221&amp;"_SIMUL IS NOT NULL ) OR (X."&amp;F221&amp;" IS NOT NULL AND Y."&amp;F221&amp;"_SIMUL IS NULL),1,0)) AS NUM_REG_DIF,'"&amp;MAX('ID1&amp;5'!L:L)+1&amp;"' AS ID_EXEC, CURRENT_TIMESTAMP() AS TIME_EXEC FROM "&amp;I221&amp;" INNER JOIN "&amp;J221&amp;" "&amp;K221),
IF(C221="Validade",+IF(G221="Code List","SELECT '"&amp;UPPER(B221)&amp;"' AS TABELA, '"&amp;UPPER(C221)&amp;"' AS TIPOLOGIA_TESTE,'"&amp;D221&amp;"' AS TABELA_LT,'N/A' AS TABELA_SIMUL,'"&amp;F221&amp;"' AS CAMPO, "&amp;"'${ref_date}' AS REF_DATE, COUNT(*) AS NUM_REG, SUM(IF(TRIM(CAST(X."&amp;F221&amp;" AS STRING))='' OR TRIM(CAST(X."&amp;F221&amp;" AS STRING)) IS NULL OR CAST(X."&amp;F221&amp;" AS STRING) NOT "&amp;H221&amp;",1,0)) AS NUM_REG_DIF,'"&amp;MAX('ID1&amp;5'!K:K)+1&amp;"' AS ID_EXEC, CURRENT_TIMESTAMP() AS TIME_EXEC FROM "&amp;I221,"SELECT '"&amp;UPPER(B221)&amp;"' AS TABELA, '"&amp;UPPER(C221)&amp;"' AS TIPOLOGIA_TESTE,'"&amp;D221&amp;"' AS TABELA_LT,'N/A' AS TABELA_SIMUL,'"&amp;F221&amp;"' AS CAMPO, "&amp;"'${ref_date}' AS REF_DATE, COUNT(*) AS NUM_REG, SUM(IF(TRIM(CAST(X."&amp;F221&amp;" AS STRING))='' OR TRIM(CAST(X."&amp;F221&amp;" AS STRING)) IS NULL,1,0)) AS NUM_REG_DIF,'"&amp;MAX('ID1&amp;5'!K:K)+1&amp;"' AS ID_EXEC, CURRENT_TIMESTAMP() AS TIME_EXEC FROM "&amp;I221),
IF(C221="Caracteres Especiais",+"SELECT '"&amp;UPPER(B221)&amp;"' AS TABELA, '"&amp;UPPER(C221)&amp;"' AS TIPOLOGIA_TESTE,'"&amp;D221&amp;"' AS TABELA_LT,'N/A' AS TABELA_SIMUL,'"&amp;F221&amp;"' AS CAMPO, "&amp;"'${ref_date}' AS REF_DATE, COUNT(*) AS NUM_REG, SUM(IF(REGEXP_REPLACE(TRIM(CAST(X."&amp;F221&amp;" AS STRING)),'[^a-zA-Z0-9_\\s]','') &lt;&gt;TRIM(CAST(X."&amp;F221&amp;" AS STRING)),1,0)) AS NUM_REG_DIF,'"&amp;MAX('ID1&amp;5'!K:K)+1&amp;"' AS ID_EXEC, CURRENT_TIMESTAMP() AS TIME_EXEC FROM "&amp;I221,
IF(C221="Missings",+"SELECT '"&amp;UPPER(B221)&amp;"' AS TABELA, '"&amp;UPPER(C221)&amp;"' AS TIPOLOGIA_TESTE,'"&amp;D221&amp;"' AS TABELA_LT,'N/A' AS TABELA_SIMUL,'"&amp;F221&amp;"' AS CAMPO, "&amp;"'${ref_date}' AS REF_DATE, COUNT(*) AS NUM_REG, SUM(IF(TRIM(CAST(X."&amp;F221&amp;" AS STRING)) IN ('0000-00-00','0001-01-01','9999-12-31','MISS','00000','99999999999','99999999999.00','99999999999.000000'),1,0)) AS NUM_REG_DIF,'"&amp;MAX('ID1&amp;5'!K:K)+1&amp;"' AS ID_EXEC, CURRENT_TIMESTAMP() AS TIME_EXEC FROM "&amp;I221,
IF(C221="Not applicable",+"SELECT '"&amp;UPPER(B221)&amp;"' AS TABELA, '"&amp;UPPER(C221)&amp;"' AS TIPOLOGIA_TESTE,'"&amp;D221&amp;"' AS TABELA_LT,'N/A' AS TABELA_SIMUL,'"&amp;F221&amp;"' AS CAMPO, "&amp;"'${ref_date}' AS REF_DATE, COUNT(*) AS NUM_REG, SUM(IF(TRIM(CAST(X."&amp;F221&amp;" AS STRING)) IN ('N/A','11111111111','11111111111.00','11111111111.000000','1111-11-11'),1,0)) AS NUM_REG_DIF,'"&amp;MAX('ID1&amp;5'!K:K)+1&amp;"' AS ID_EXEC, CURRENT_TIMESTAMP() AS TIME_EXEC FROM "&amp;I221,
IF(C221="Valores extremos",+"SELECT '"&amp;UPPER(B221)&amp;"' AS TABELA, '"&amp;UPPER(C221)&amp;"' AS TIPOLOGIA_TESTE,'"&amp;D221&amp;"' AS TABELA_LT,'N/A' AS TABELA_SIMUL,'"&amp;F221&amp;"' AS CAMPO, "&amp;"'${ref_date}' AS REF_DATE, CAST(MIN("&amp;F221&amp;") AS STRING) AS VALOR_MIN, CAST(MAX("&amp;F221&amp;") AS STRING) AS VALOR_MAX,'"&amp;MAX('ID1&amp;5'!K:K)+1&amp;"' AS ID_EXEC, CURRENT_TIMESTAMP() AS TIME_EXEC FROM "&amp;MID(I221,1,LEN(I221)-2)&amp;" AND CAST("&amp;F221&amp;"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TABELA_SIMUL,'cpn_rt' AS CAMPO, '${ref_date}' AS REF_DATE, COUNT(*) AS NUM_REG, SUM(IF(COALESCE(CAST(X.cpn_rt AS STRING),'')&lt;&gt;COALESCE(CAST(Y.cpn_rt_SIMUL AS STRING),'') OR (X.cpn_rt IS NULL AND Y.cpn_rt_SIMUL IS NOT NULL ) OR (X.cpn_rt IS NOT NULL AND Y.cpn_rt_SIMUL IS NULL),1,0)) AS NUM_REG_DIF,'1' AS ID_EXEC, CURRENT_TIMESTAMP() AS TIME_EXEC FROM (SELECT instrmnt_id, cpn_rt FROM BU_LOANTAPE_WORK.LT002_INSTRUMENT WHERE ref_date='${ref_date}' AND nome_perimetro='Individual Local' AND segmento='ESTR' AND ambito='SRB_MBDT' AND entidade='00100')X INNER JOIN (SELECT instrmnt_id AS instrmnt_id_SIMUL, cpn_rt AS cpn_rt_SIMUL FROM BU_LOANTAPE_WORK.SIMUL_LT002_INSTRUMENT WHERE ref_date='${ref_date}' AND nome_perimetro='Individual Local' AND segmento='ESTR' AND ambito='PILAR3' AND entidade='00100')Y ON X.INSTRMNT_ID=Y.INSTRMNT_ID_SIMUL</v>
      </c>
      <c r="M221" s="36" t="str">
        <f t="shared" si="6"/>
        <v>UNION ALL SELECT 'INSTRUMENT' AS TABELA, 'COERÊNCIA' AS TIPOLOGIA_TESTE,'BU_LOANTAPE_WORK.LT002_INSTRUMENT' AS TABELA_LT,'BU_LOANTAPE_WORK.SIMUL_LT002_INSTRUMENT' AS TABELA_SIMUL,'cpn_rt' AS CAMPO, '${ref_date}' AS REF_DATE, COUNT(*) AS NUM_REG, SUM(IF(COALESCE(CAST(X.cpn_rt AS STRING),'')&lt;&gt;COALESCE(CAST(Y.cpn_rt_SIMUL AS STRING),'') OR (X.cpn_rt IS NULL AND Y.cpn_rt_SIMUL IS NOT NULL ) OR (X.cpn_rt IS NOT NULL AND Y.cpn_rt_SIMUL IS NULL),1,0)) AS NUM_REG_DIF,'1' AS ID_EXEC, CURRENT_TIMESTAMP() AS TIME_EXEC FROM (SELECT instrmnt_id, cpn_rt FROM BU_LOANTAPE_WORK.LT002_INSTRUMENT WHERE ref_date='${ref_date}' AND nome_perimetro='Individual Local' AND segmento='ESTR' AND ambito='SRB_MBDT' AND entidade='00100')X INNER JOIN (SELECT instrmnt_id AS instrmnt_id_SIMUL, cpn_rt AS cpn_rt_SIMUL FROM BU_LOANTAPE_WORK.SIMUL_LT002_INSTRUMENT WHERE ref_date='${ref_date}' AND nome_perimetro='Individual Local' AND segmento='ESTR' AND ambito='PILAR3' AND entidade='00100')Y ON X.INSTRMNT_ID=Y.INSTRMNT_ID_SIMUL</v>
      </c>
      <c r="N221" s="38"/>
    </row>
    <row r="222" spans="2:14">
      <c r="B222" s="34" t="s">
        <v>117</v>
      </c>
      <c r="C222" s="34" t="s">
        <v>5</v>
      </c>
      <c r="D222" s="34" t="str">
        <f>+UPPER('0. Instruções'!$D$35&amp;"."&amp;VLOOKUP(B222,'0. Instruções'!$C$27:$D$32,2,FALSE))</f>
        <v>BU_LOANTAPE_WORK.LT002_INSTRUMENT</v>
      </c>
      <c r="E222" s="34" t="str">
        <f>+UPPER('0. Instruções'!$D$36&amp;"."&amp;VLOOKUP(B222,'0. Instruções'!$C$27:$E$32,3,FALSE))</f>
        <v>BU_LOANTAPE_WORK.SIMUL_LT002_INSTRUMENT</v>
      </c>
      <c r="F222" s="34" t="s">
        <v>1284</v>
      </c>
      <c r="G222" s="34"/>
      <c r="H222" s="34"/>
      <c r="I222" s="34" t="str">
        <f>"(SELECT "&amp;VLOOKUP(B222,'0. Instruções'!$C$27:$G$32,4,FALSE)&amp;", "&amp;F222&amp;" FROM "&amp;D222&amp;" WHERE "&amp;'0. Instruções'!$D$42&amp;")X"</f>
        <v>(SELECT instrmnt_id, dt_vltn FROM BU_LOANTAPE_WORK.LT002_INSTRUMENT WHERE ref_date='${ref_date}' AND nome_perimetro='Individual Local' AND segmento='ESTR' AND ambito='SRB_MBDT' AND entidade='00100')X</v>
      </c>
      <c r="J222" s="34" t="str">
        <f>"(SELECT "&amp;VLOOKUP(B222,'0. Instruções'!$C$27:$G$32,4,FALSE)&amp;" AS "&amp;VLOOKUP(B222,'0. Instruções'!$C$27:$G$32,4,FALSE)&amp;"_SIMUL, "&amp;F222&amp;" AS "&amp;F222&amp;"_SIMUL FROM "&amp;E222&amp;" WHERE "&amp;'0. Instruções'!$D$43&amp;")Y"</f>
        <v>(SELECT instrmnt_id AS instrmnt_id_SIMUL, dt_vltn AS dt_vltn_SIMUL FROM BU_LOANTAPE_WORK.SIMUL_LT002_INSTRUMENT WHERE ref_date='${ref_date}' AND nome_perimetro='Individual Local' AND segmento='ESTR' AND ambito='PILAR3' AND entidade='00100')Y</v>
      </c>
      <c r="K222" s="35" t="str">
        <f>+UPPER("ON X."&amp;VLOOKUP(B222,'0. Instruções'!$C$27:$G$32,4,FALSE)&amp;"=Y."&amp;VLOOKUP(B222,'0. Instruções'!$C$27:$G$32,4,FALSE)&amp;"_SIMUL")</f>
        <v>ON X.INSTRMNT_ID=Y.INSTRMNT_ID_SIMUL</v>
      </c>
      <c r="L222" s="35" t="str">
        <f>+IF(C222="Coerência", +IF(LEFT(G222,5)="FLOAT","SELECT '"&amp;UPPER(B222)&amp;"' AS TABELA, '"&amp;UPPER(C222)&amp;"' AS TIPOLOGIA_TESTE,'"&amp;D222&amp;"' AS TABELA_LT,'"&amp;E222&amp;"' AS TABELA_SIMUL,'"&amp;F222&amp;"' AS CAMPO, "&amp;"'${ref_date}' AS REF_DATE, COUNT(*) AS NUM_REG, SUM(IF((ABS(COALESCE(CAST(X."&amp;F222&amp;" AS DECIMAL(18,6)),0)-COALESCE(CAST(Y."&amp;F222&amp;"_SIMUL AS DECIMAL(18,6)),0))&gt;0.000001) OR (X."&amp;F222&amp;" IS NULL AND Y."&amp;F222&amp;"_SIMUL IS NOT NULL ) OR (X."&amp;F222&amp;" IS NOT NULL AND Y."&amp;F222&amp;"_SIMUL IS NULL),1,0)) AS NUM_REG_DIF,'"&amp;MAX('ID1&amp;5'!K:K)+1&amp;"' AS ID_EXEC, CURRENT_TIMESTAMP() AS TIME_EXEC FROM "&amp;I222&amp;" INNER JOIN "&amp;J222&amp;" "&amp;K222,"SELECT '"&amp;UPPER(B222)&amp;"' AS TABELA, '"&amp;UPPER(C222)&amp;"' AS TIPOLOGIA_TESTE,'"&amp;D222&amp;"' AS TABELA_LT,'"&amp;E222&amp;"' AS TABELA_SIMUL,'"&amp;F222&amp;"' AS CAMPO, "&amp;"'${ref_date}' AS REF_DATE, COUNT(*) AS NUM_REG, SUM(IF(COALESCE(CAST(X."&amp;F222&amp;" AS STRING),'')&lt;&gt;COALESCE(CAST(Y."&amp;F222&amp;"_SIMUL AS STRING),'') OR (X."&amp;F222&amp;" IS NULL AND Y."&amp;F222&amp;"_SIMUL IS NOT NULL ) OR (X."&amp;F222&amp;" IS NOT NULL AND Y."&amp;F222&amp;"_SIMUL IS NULL),1,0)) AS NUM_REG_DIF,'"&amp;MAX('ID1&amp;5'!L:L)+1&amp;"' AS ID_EXEC, CURRENT_TIMESTAMP() AS TIME_EXEC FROM "&amp;I222&amp;" INNER JOIN "&amp;J222&amp;" "&amp;K222),
IF(C222="Validade",+IF(G222="Code List","SELECT '"&amp;UPPER(B222)&amp;"' AS TABELA, '"&amp;UPPER(C222)&amp;"' AS TIPOLOGIA_TESTE,'"&amp;D222&amp;"' AS TABELA_LT,'N/A' AS TABELA_SIMUL,'"&amp;F222&amp;"' AS CAMPO, "&amp;"'${ref_date}' AS REF_DATE, COUNT(*) AS NUM_REG, SUM(IF(TRIM(CAST(X."&amp;F222&amp;" AS STRING))='' OR TRIM(CAST(X."&amp;F222&amp;" AS STRING)) IS NULL OR CAST(X."&amp;F222&amp;" AS STRING) NOT "&amp;H222&amp;",1,0)) AS NUM_REG_DIF,'"&amp;MAX('ID1&amp;5'!K:K)+1&amp;"' AS ID_EXEC, CURRENT_TIMESTAMP() AS TIME_EXEC FROM "&amp;I222,"SELECT '"&amp;UPPER(B222)&amp;"' AS TABELA, '"&amp;UPPER(C222)&amp;"' AS TIPOLOGIA_TESTE,'"&amp;D222&amp;"' AS TABELA_LT,'N/A' AS TABELA_SIMUL,'"&amp;F222&amp;"' AS CAMPO, "&amp;"'${ref_date}' AS REF_DATE, COUNT(*) AS NUM_REG, SUM(IF(TRIM(CAST(X."&amp;F222&amp;" AS STRING))='' OR TRIM(CAST(X."&amp;F222&amp;" AS STRING)) IS NULL,1,0)) AS NUM_REG_DIF,'"&amp;MAX('ID1&amp;5'!K:K)+1&amp;"' AS ID_EXEC, CURRENT_TIMESTAMP() AS TIME_EXEC FROM "&amp;I222),
IF(C222="Caracteres Especiais",+"SELECT '"&amp;UPPER(B222)&amp;"' AS TABELA, '"&amp;UPPER(C222)&amp;"' AS TIPOLOGIA_TESTE,'"&amp;D222&amp;"' AS TABELA_LT,'N/A' AS TABELA_SIMUL,'"&amp;F222&amp;"' AS CAMPO, "&amp;"'${ref_date}' AS REF_DATE, COUNT(*) AS NUM_REG, SUM(IF(REGEXP_REPLACE(TRIM(CAST(X."&amp;F222&amp;" AS STRING)),'[^a-zA-Z0-9_\\s]','') &lt;&gt;TRIM(CAST(X."&amp;F222&amp;" AS STRING)),1,0)) AS NUM_REG_DIF,'"&amp;MAX('ID1&amp;5'!K:K)+1&amp;"' AS ID_EXEC, CURRENT_TIMESTAMP() AS TIME_EXEC FROM "&amp;I222,
IF(C222="Missings",+"SELECT '"&amp;UPPER(B222)&amp;"' AS TABELA, '"&amp;UPPER(C222)&amp;"' AS TIPOLOGIA_TESTE,'"&amp;D222&amp;"' AS TABELA_LT,'N/A' AS TABELA_SIMUL,'"&amp;F222&amp;"' AS CAMPO, "&amp;"'${ref_date}' AS REF_DATE, COUNT(*) AS NUM_REG, SUM(IF(TRIM(CAST(X."&amp;F222&amp;" AS STRING)) IN ('0000-00-00','0001-01-01','9999-12-31','MISS','00000','99999999999','99999999999.00','99999999999.000000'),1,0)) AS NUM_REG_DIF,'"&amp;MAX('ID1&amp;5'!K:K)+1&amp;"' AS ID_EXEC, CURRENT_TIMESTAMP() AS TIME_EXEC FROM "&amp;I222,
IF(C222="Not applicable",+"SELECT '"&amp;UPPER(B222)&amp;"' AS TABELA, '"&amp;UPPER(C222)&amp;"' AS TIPOLOGIA_TESTE,'"&amp;D222&amp;"' AS TABELA_LT,'N/A' AS TABELA_SIMUL,'"&amp;F222&amp;"' AS CAMPO, "&amp;"'${ref_date}' AS REF_DATE, COUNT(*) AS NUM_REG, SUM(IF(TRIM(CAST(X."&amp;F222&amp;" AS STRING)) IN ('N/A','11111111111','11111111111.00','11111111111.000000','1111-11-11'),1,0)) AS NUM_REG_DIF,'"&amp;MAX('ID1&amp;5'!K:K)+1&amp;"' AS ID_EXEC, CURRENT_TIMESTAMP() AS TIME_EXEC FROM "&amp;I222,
IF(C222="Valores extremos",+"SELECT '"&amp;UPPER(B222)&amp;"' AS TABELA, '"&amp;UPPER(C222)&amp;"' AS TIPOLOGIA_TESTE,'"&amp;D222&amp;"' AS TABELA_LT,'N/A' AS TABELA_SIMUL,'"&amp;F222&amp;"' AS CAMPO, "&amp;"'${ref_date}' AS REF_DATE, CAST(MIN("&amp;F222&amp;") AS STRING) AS VALOR_MIN, CAST(MAX("&amp;F222&amp;") AS STRING) AS VALOR_MAX,'"&amp;MAX('ID1&amp;5'!K:K)+1&amp;"' AS ID_EXEC, CURRENT_TIMESTAMP() AS TIME_EXEC FROM "&amp;MID(I222,1,LEN(I222)-2)&amp;" AND CAST("&amp;F222&amp;"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TABELA_SIMUL,'dt_vltn' AS CAMPO, '${ref_date}' AS REF_DATE, COUNT(*) AS NUM_REG, SUM(IF(COALESCE(CAST(X.dt_vltn AS STRING),'')&lt;&gt;COALESCE(CAST(Y.dt_vltn_SIMUL AS STRING),'') OR (X.dt_vltn IS NULL AND Y.dt_vltn_SIMUL IS NOT NULL ) OR (X.dt_vltn IS NOT NULL AND Y.dt_vltn_SIMUL IS NULL),1,0)) AS NUM_REG_DIF,'1' AS ID_EXEC, CURRENT_TIMESTAMP() AS TIME_EXEC FROM (SELECT instrmnt_id, dt_vltn FROM BU_LOANTAPE_WORK.LT002_INSTRUMENT WHERE ref_date='${ref_date}' AND nome_perimetro='Individual Local' AND segmento='ESTR' AND ambito='SRB_MBDT' AND entidade='00100')X INNER JOIN (SELECT instrmnt_id AS instrmnt_id_SIMUL, dt_vltn AS dt_vltn_SIMUL FROM BU_LOANTAPE_WORK.SIMUL_LT002_INSTRUMENT WHERE ref_date='${ref_date}' AND nome_perimetro='Individual Local' AND segmento='ESTR' AND ambito='PILAR3' AND entidade='00100')Y ON X.INSTRMNT_ID=Y.INSTRMNT_ID_SIMUL</v>
      </c>
      <c r="M222" s="36" t="str">
        <f t="shared" si="6"/>
        <v>UNION ALL SELECT 'INSTRUMENT' AS TABELA, 'COERÊNCIA' AS TIPOLOGIA_TESTE,'BU_LOANTAPE_WORK.LT002_INSTRUMENT' AS TABELA_LT,'BU_LOANTAPE_WORK.SIMUL_LT002_INSTRUMENT' AS TABELA_SIMUL,'dt_vltn' AS CAMPO, '${ref_date}' AS REF_DATE, COUNT(*) AS NUM_REG, SUM(IF(COALESCE(CAST(X.dt_vltn AS STRING),'')&lt;&gt;COALESCE(CAST(Y.dt_vltn_SIMUL AS STRING),'') OR (X.dt_vltn IS NULL AND Y.dt_vltn_SIMUL IS NOT NULL ) OR (X.dt_vltn IS NOT NULL AND Y.dt_vltn_SIMUL IS NULL),1,0)) AS NUM_REG_DIF,'1' AS ID_EXEC, CURRENT_TIMESTAMP() AS TIME_EXEC FROM (SELECT instrmnt_id, dt_vltn FROM BU_LOANTAPE_WORK.LT002_INSTRUMENT WHERE ref_date='${ref_date}' AND nome_perimetro='Individual Local' AND segmento='ESTR' AND ambito='SRB_MBDT' AND entidade='00100')X INNER JOIN (SELECT instrmnt_id AS instrmnt_id_SIMUL, dt_vltn AS dt_vltn_SIMUL FROM BU_LOANTAPE_WORK.SIMUL_LT002_INSTRUMENT WHERE ref_date='${ref_date}' AND nome_perimetro='Individual Local' AND segmento='ESTR' AND ambito='PILAR3' AND entidade='00100')Y ON X.INSTRMNT_ID=Y.INSTRMNT_ID_SIMUL</v>
      </c>
      <c r="N222" s="38"/>
    </row>
    <row r="223" spans="2:14">
      <c r="B223" s="34" t="s">
        <v>117</v>
      </c>
      <c r="C223" s="34" t="s">
        <v>5</v>
      </c>
      <c r="D223" s="34" t="str">
        <f>+UPPER('0. Instruções'!$D$35&amp;"."&amp;VLOOKUP(B223,'0. Instruções'!$C$27:$D$32,2,FALSE))</f>
        <v>BU_LOANTAPE_WORK.LT002_INSTRUMENT</v>
      </c>
      <c r="E223" s="34" t="str">
        <f>+UPPER('0. Instruções'!$D$36&amp;"."&amp;VLOOKUP(B223,'0. Instruções'!$C$27:$E$32,3,FALSE))</f>
        <v>BU_LOANTAPE_WORK.SIMUL_LT002_INSTRUMENT</v>
      </c>
      <c r="F223" s="34" t="s">
        <v>1285</v>
      </c>
      <c r="G223" s="34"/>
      <c r="H223" s="34"/>
      <c r="I223" s="34" t="str">
        <f>"(SELECT "&amp;VLOOKUP(B223,'0. Instruções'!$C$27:$G$32,4,FALSE)&amp;", "&amp;F223&amp;" FROM "&amp;D223&amp;" WHERE "&amp;'0. Instruções'!$D$42&amp;")X"</f>
        <v>(SELECT instrmnt_id, elgblty_ecb FROM BU_LOANTAPE_WORK.LT002_INSTRUMENT WHERE ref_date='${ref_date}' AND nome_perimetro='Individual Local' AND segmento='ESTR' AND ambito='SRB_MBDT' AND entidade='00100')X</v>
      </c>
      <c r="J223" s="34" t="str">
        <f>"(SELECT "&amp;VLOOKUP(B223,'0. Instruções'!$C$27:$G$32,4,FALSE)&amp;" AS "&amp;VLOOKUP(B223,'0. Instruções'!$C$27:$G$32,4,FALSE)&amp;"_SIMUL, "&amp;F223&amp;" AS "&amp;F223&amp;"_SIMUL FROM "&amp;E223&amp;" WHERE "&amp;'0. Instruções'!$D$43&amp;")Y"</f>
        <v>(SELECT instrmnt_id AS instrmnt_id_SIMUL, elgblty_ecb AS elgblty_ecb_SIMUL FROM BU_LOANTAPE_WORK.SIMUL_LT002_INSTRUMENT WHERE ref_date='${ref_date}' AND nome_perimetro='Individual Local' AND segmento='ESTR' AND ambito='PILAR3' AND entidade='00100')Y</v>
      </c>
      <c r="K223" s="35" t="str">
        <f>+UPPER("ON X."&amp;VLOOKUP(B223,'0. Instruções'!$C$27:$G$32,4,FALSE)&amp;"=Y."&amp;VLOOKUP(B223,'0. Instruções'!$C$27:$G$32,4,FALSE)&amp;"_SIMUL")</f>
        <v>ON X.INSTRMNT_ID=Y.INSTRMNT_ID_SIMUL</v>
      </c>
      <c r="L223" s="35" t="str">
        <f>+IF(C223="Coerência", +IF(LEFT(G223,5)="FLOAT","SELECT '"&amp;UPPER(B223)&amp;"' AS TABELA, '"&amp;UPPER(C223)&amp;"' AS TIPOLOGIA_TESTE,'"&amp;D223&amp;"' AS TABELA_LT,'"&amp;E223&amp;"' AS TABELA_SIMUL,'"&amp;F223&amp;"' AS CAMPO, "&amp;"'${ref_date}' AS REF_DATE, COUNT(*) AS NUM_REG, SUM(IF((ABS(COALESCE(CAST(X."&amp;F223&amp;" AS DECIMAL(18,6)),0)-COALESCE(CAST(Y."&amp;F223&amp;"_SIMUL AS DECIMAL(18,6)),0))&gt;0.000001) OR (X."&amp;F223&amp;" IS NULL AND Y."&amp;F223&amp;"_SIMUL IS NOT NULL ) OR (X."&amp;F223&amp;" IS NOT NULL AND Y."&amp;F223&amp;"_SIMUL IS NULL),1,0)) AS NUM_REG_DIF,'"&amp;MAX('ID1&amp;5'!K:K)+1&amp;"' AS ID_EXEC, CURRENT_TIMESTAMP() AS TIME_EXEC FROM "&amp;I223&amp;" INNER JOIN "&amp;J223&amp;" "&amp;K223,"SELECT '"&amp;UPPER(B223)&amp;"' AS TABELA, '"&amp;UPPER(C223)&amp;"' AS TIPOLOGIA_TESTE,'"&amp;D223&amp;"' AS TABELA_LT,'"&amp;E223&amp;"' AS TABELA_SIMUL,'"&amp;F223&amp;"' AS CAMPO, "&amp;"'${ref_date}' AS REF_DATE, COUNT(*) AS NUM_REG, SUM(IF(COALESCE(CAST(X."&amp;F223&amp;" AS STRING),'')&lt;&gt;COALESCE(CAST(Y."&amp;F223&amp;"_SIMUL AS STRING),'') OR (X."&amp;F223&amp;" IS NULL AND Y."&amp;F223&amp;"_SIMUL IS NOT NULL ) OR (X."&amp;F223&amp;" IS NOT NULL AND Y."&amp;F223&amp;"_SIMUL IS NULL),1,0)) AS NUM_REG_DIF,'"&amp;MAX('ID1&amp;5'!L:L)+1&amp;"' AS ID_EXEC, CURRENT_TIMESTAMP() AS TIME_EXEC FROM "&amp;I223&amp;" INNER JOIN "&amp;J223&amp;" "&amp;K223),
IF(C223="Validade",+IF(G223="Code List","SELECT '"&amp;UPPER(B223)&amp;"' AS TABELA, '"&amp;UPPER(C223)&amp;"' AS TIPOLOGIA_TESTE,'"&amp;D223&amp;"' AS TABELA_LT,'N/A' AS TABELA_SIMUL,'"&amp;F223&amp;"' AS CAMPO, "&amp;"'${ref_date}' AS REF_DATE, COUNT(*) AS NUM_REG, SUM(IF(TRIM(CAST(X."&amp;F223&amp;" AS STRING))='' OR TRIM(CAST(X."&amp;F223&amp;" AS STRING)) IS NULL OR CAST(X."&amp;F223&amp;" AS STRING) NOT "&amp;H223&amp;",1,0)) AS NUM_REG_DIF,'"&amp;MAX('ID1&amp;5'!K:K)+1&amp;"' AS ID_EXEC, CURRENT_TIMESTAMP() AS TIME_EXEC FROM "&amp;I223,"SELECT '"&amp;UPPER(B223)&amp;"' AS TABELA, '"&amp;UPPER(C223)&amp;"' AS TIPOLOGIA_TESTE,'"&amp;D223&amp;"' AS TABELA_LT,'N/A' AS TABELA_SIMUL,'"&amp;F223&amp;"' AS CAMPO, "&amp;"'${ref_date}' AS REF_DATE, COUNT(*) AS NUM_REG, SUM(IF(TRIM(CAST(X."&amp;F223&amp;" AS STRING))='' OR TRIM(CAST(X."&amp;F223&amp;" AS STRING)) IS NULL,1,0)) AS NUM_REG_DIF,'"&amp;MAX('ID1&amp;5'!K:K)+1&amp;"' AS ID_EXEC, CURRENT_TIMESTAMP() AS TIME_EXEC FROM "&amp;I223),
IF(C223="Caracteres Especiais",+"SELECT '"&amp;UPPER(B223)&amp;"' AS TABELA, '"&amp;UPPER(C223)&amp;"' AS TIPOLOGIA_TESTE,'"&amp;D223&amp;"' AS TABELA_LT,'N/A' AS TABELA_SIMUL,'"&amp;F223&amp;"' AS CAMPO, "&amp;"'${ref_date}' AS REF_DATE, COUNT(*) AS NUM_REG, SUM(IF(REGEXP_REPLACE(TRIM(CAST(X."&amp;F223&amp;" AS STRING)),'[^a-zA-Z0-9_\\s]','') &lt;&gt;TRIM(CAST(X."&amp;F223&amp;" AS STRING)),1,0)) AS NUM_REG_DIF,'"&amp;MAX('ID1&amp;5'!K:K)+1&amp;"' AS ID_EXEC, CURRENT_TIMESTAMP() AS TIME_EXEC FROM "&amp;I223,
IF(C223="Missings",+"SELECT '"&amp;UPPER(B223)&amp;"' AS TABELA, '"&amp;UPPER(C223)&amp;"' AS TIPOLOGIA_TESTE,'"&amp;D223&amp;"' AS TABELA_LT,'N/A' AS TABELA_SIMUL,'"&amp;F223&amp;"' AS CAMPO, "&amp;"'${ref_date}' AS REF_DATE, COUNT(*) AS NUM_REG, SUM(IF(TRIM(CAST(X."&amp;F223&amp;" AS STRING)) IN ('0000-00-00','0001-01-01','9999-12-31','MISS','00000','99999999999','99999999999.00','99999999999.000000'),1,0)) AS NUM_REG_DIF,'"&amp;MAX('ID1&amp;5'!K:K)+1&amp;"' AS ID_EXEC, CURRENT_TIMESTAMP() AS TIME_EXEC FROM "&amp;I223,
IF(C223="Not applicable",+"SELECT '"&amp;UPPER(B223)&amp;"' AS TABELA, '"&amp;UPPER(C223)&amp;"' AS TIPOLOGIA_TESTE,'"&amp;D223&amp;"' AS TABELA_LT,'N/A' AS TABELA_SIMUL,'"&amp;F223&amp;"' AS CAMPO, "&amp;"'${ref_date}' AS REF_DATE, COUNT(*) AS NUM_REG, SUM(IF(TRIM(CAST(X."&amp;F223&amp;" AS STRING)) IN ('N/A','11111111111','11111111111.00','11111111111.000000','1111-11-11'),1,0)) AS NUM_REG_DIF,'"&amp;MAX('ID1&amp;5'!K:K)+1&amp;"' AS ID_EXEC, CURRENT_TIMESTAMP() AS TIME_EXEC FROM "&amp;I223,
IF(C223="Valores extremos",+"SELECT '"&amp;UPPER(B223)&amp;"' AS TABELA, '"&amp;UPPER(C223)&amp;"' AS TIPOLOGIA_TESTE,'"&amp;D223&amp;"' AS TABELA_LT,'N/A' AS TABELA_SIMUL,'"&amp;F223&amp;"' AS CAMPO, "&amp;"'${ref_date}' AS REF_DATE, CAST(MIN("&amp;F223&amp;") AS STRING) AS VALOR_MIN, CAST(MAX("&amp;F223&amp;") AS STRING) AS VALOR_MAX,'"&amp;MAX('ID1&amp;5'!K:K)+1&amp;"' AS ID_EXEC, CURRENT_TIMESTAMP() AS TIME_EXEC FROM "&amp;MID(I223,1,LEN(I223)-2)&amp;" AND CAST("&amp;F223&amp;"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TABELA_SIMUL,'elgblty_ecb' AS CAMPO, '${ref_date}' AS REF_DATE, COUNT(*) AS NUM_REG, SUM(IF(COALESCE(CAST(X.elgblty_ecb AS STRING),'')&lt;&gt;COALESCE(CAST(Y.elgblty_ecb_SIMUL AS STRING),'') OR (X.elgblty_ecb IS NULL AND Y.elgblty_ecb_SIMUL IS NOT NULL ) OR (X.elgblty_ecb IS NOT NULL AND Y.elgblty_ecb_SIMUL IS NULL),1,0)) AS NUM_REG_DIF,'1' AS ID_EXEC, CURRENT_TIMESTAMP() AS TIME_EXEC FROM (SELECT instrmnt_id, elgblty_ecb FROM BU_LOANTAPE_WORK.LT002_INSTRUMENT WHERE ref_date='${ref_date}' AND nome_perimetro='Individual Local' AND segmento='ESTR' AND ambito='SRB_MBDT' AND entidade='00100')X INNER JOIN (SELECT instrmnt_id AS instrmnt_id_SIMUL, elgblty_ecb AS elgblty_ecb_SIMUL FROM BU_LOANTAPE_WORK.SIMUL_LT002_INSTRUMENT WHERE ref_date='${ref_date}' AND nome_perimetro='Individual Local' AND segmento='ESTR' AND ambito='PILAR3' AND entidade='00100')Y ON X.INSTRMNT_ID=Y.INSTRMNT_ID_SIMUL</v>
      </c>
      <c r="M223" s="36" t="str">
        <f t="shared" si="6"/>
        <v>UNION ALL SELECT 'INSTRUMENT' AS TABELA, 'COERÊNCIA' AS TIPOLOGIA_TESTE,'BU_LOANTAPE_WORK.LT002_INSTRUMENT' AS TABELA_LT,'BU_LOANTAPE_WORK.SIMUL_LT002_INSTRUMENT' AS TABELA_SIMUL,'elgblty_ecb' AS CAMPO, '${ref_date}' AS REF_DATE, COUNT(*) AS NUM_REG, SUM(IF(COALESCE(CAST(X.elgblty_ecb AS STRING),'')&lt;&gt;COALESCE(CAST(Y.elgblty_ecb_SIMUL AS STRING),'') OR (X.elgblty_ecb IS NULL AND Y.elgblty_ecb_SIMUL IS NOT NULL ) OR (X.elgblty_ecb IS NOT NULL AND Y.elgblty_ecb_SIMUL IS NULL),1,0)) AS NUM_REG_DIF,'1' AS ID_EXEC, CURRENT_TIMESTAMP() AS TIME_EXEC FROM (SELECT instrmnt_id, elgblty_ecb FROM BU_LOANTAPE_WORK.LT002_INSTRUMENT WHERE ref_date='${ref_date}' AND nome_perimetro='Individual Local' AND segmento='ESTR' AND ambito='SRB_MBDT' AND entidade='00100')X INNER JOIN (SELECT instrmnt_id AS instrmnt_id_SIMUL, elgblty_ecb AS elgblty_ecb_SIMUL FROM BU_LOANTAPE_WORK.SIMUL_LT002_INSTRUMENT WHERE ref_date='${ref_date}' AND nome_perimetro='Individual Local' AND segmento='ESTR' AND ambito='PILAR3' AND entidade='00100')Y ON X.INSTRMNT_ID=Y.INSTRMNT_ID_SIMUL</v>
      </c>
      <c r="N223" s="38"/>
    </row>
    <row r="224" spans="2:14">
      <c r="B224" s="34" t="s">
        <v>117</v>
      </c>
      <c r="C224" s="34" t="s">
        <v>5</v>
      </c>
      <c r="D224" s="34" t="str">
        <f>+UPPER('0. Instruções'!$D$35&amp;"."&amp;VLOOKUP(B224,'0. Instruções'!$C$27:$D$32,2,FALSE))</f>
        <v>BU_LOANTAPE_WORK.LT002_INSTRUMENT</v>
      </c>
      <c r="E224" s="34" t="str">
        <f>+UPPER('0. Instruções'!$D$36&amp;"."&amp;VLOOKUP(B224,'0. Instruções'!$C$27:$E$32,3,FALSE))</f>
        <v>BU_LOANTAPE_WORK.SIMUL_LT002_INSTRUMENT</v>
      </c>
      <c r="F224" s="34" t="s">
        <v>1286</v>
      </c>
      <c r="G224" s="34"/>
      <c r="H224" s="34"/>
      <c r="I224" s="34" t="str">
        <f>"(SELECT "&amp;VLOOKUP(B224,'0. Instruções'!$C$27:$G$32,4,FALSE)&amp;", "&amp;F224&amp;" FROM "&amp;D224&amp;" WHERE "&amp;'0. Instruções'!$D$42&amp;")X"</f>
        <v>(SELECT instrmnt_id, grntr_id FROM BU_LOANTAPE_WORK.LT002_INSTRUMENT WHERE ref_date='${ref_date}' AND nome_perimetro='Individual Local' AND segmento='ESTR' AND ambito='SRB_MBDT' AND entidade='00100')X</v>
      </c>
      <c r="J224" s="34" t="str">
        <f>"(SELECT "&amp;VLOOKUP(B224,'0. Instruções'!$C$27:$G$32,4,FALSE)&amp;" AS "&amp;VLOOKUP(B224,'0. Instruções'!$C$27:$G$32,4,FALSE)&amp;"_SIMUL, "&amp;F224&amp;" AS "&amp;F224&amp;"_SIMUL FROM "&amp;E224&amp;" WHERE "&amp;'0. Instruções'!$D$43&amp;")Y"</f>
        <v>(SELECT instrmnt_id AS instrmnt_id_SIMUL, grntr_id AS grntr_id_SIMUL FROM BU_LOANTAPE_WORK.SIMUL_LT002_INSTRUMENT WHERE ref_date='${ref_date}' AND nome_perimetro='Individual Local' AND segmento='ESTR' AND ambito='PILAR3' AND entidade='00100')Y</v>
      </c>
      <c r="K224" s="35" t="str">
        <f>+UPPER("ON X."&amp;VLOOKUP(B224,'0. Instruções'!$C$27:$G$32,4,FALSE)&amp;"=Y."&amp;VLOOKUP(B224,'0. Instruções'!$C$27:$G$32,4,FALSE)&amp;"_SIMUL")</f>
        <v>ON X.INSTRMNT_ID=Y.INSTRMNT_ID_SIMUL</v>
      </c>
      <c r="L224" s="35" t="str">
        <f>+IF(C224="Coerência", +IF(LEFT(G224,5)="FLOAT","SELECT '"&amp;UPPER(B224)&amp;"' AS TABELA, '"&amp;UPPER(C224)&amp;"' AS TIPOLOGIA_TESTE,'"&amp;D224&amp;"' AS TABELA_LT,'"&amp;E224&amp;"' AS TABELA_SIMUL,'"&amp;F224&amp;"' AS CAMPO, "&amp;"'${ref_date}' AS REF_DATE, COUNT(*) AS NUM_REG, SUM(IF((ABS(COALESCE(CAST(X."&amp;F224&amp;" AS DECIMAL(18,6)),0)-COALESCE(CAST(Y."&amp;F224&amp;"_SIMUL AS DECIMAL(18,6)),0))&gt;0.000001) OR (X."&amp;F224&amp;" IS NULL AND Y."&amp;F224&amp;"_SIMUL IS NOT NULL ) OR (X."&amp;F224&amp;" IS NOT NULL AND Y."&amp;F224&amp;"_SIMUL IS NULL),1,0)) AS NUM_REG_DIF,'"&amp;MAX('ID1&amp;5'!K:K)+1&amp;"' AS ID_EXEC, CURRENT_TIMESTAMP() AS TIME_EXEC FROM "&amp;I224&amp;" INNER JOIN "&amp;J224&amp;" "&amp;K224,"SELECT '"&amp;UPPER(B224)&amp;"' AS TABELA, '"&amp;UPPER(C224)&amp;"' AS TIPOLOGIA_TESTE,'"&amp;D224&amp;"' AS TABELA_LT,'"&amp;E224&amp;"' AS TABELA_SIMUL,'"&amp;F224&amp;"' AS CAMPO, "&amp;"'${ref_date}' AS REF_DATE, COUNT(*) AS NUM_REG, SUM(IF(COALESCE(CAST(X."&amp;F224&amp;" AS STRING),'')&lt;&gt;COALESCE(CAST(Y."&amp;F224&amp;"_SIMUL AS STRING),'') OR (X."&amp;F224&amp;" IS NULL AND Y."&amp;F224&amp;"_SIMUL IS NOT NULL ) OR (X."&amp;F224&amp;" IS NOT NULL AND Y."&amp;F224&amp;"_SIMUL IS NULL),1,0)) AS NUM_REG_DIF,'"&amp;MAX('ID1&amp;5'!L:L)+1&amp;"' AS ID_EXEC, CURRENT_TIMESTAMP() AS TIME_EXEC FROM "&amp;I224&amp;" INNER JOIN "&amp;J224&amp;" "&amp;K224),
IF(C224="Validade",+IF(G224="Code List","SELECT '"&amp;UPPER(B224)&amp;"' AS TABELA, '"&amp;UPPER(C224)&amp;"' AS TIPOLOGIA_TESTE,'"&amp;D224&amp;"' AS TABELA_LT,'N/A' AS TABELA_SIMUL,'"&amp;F224&amp;"' AS CAMPO, "&amp;"'${ref_date}' AS REF_DATE, COUNT(*) AS NUM_REG, SUM(IF(TRIM(CAST(X."&amp;F224&amp;" AS STRING))='' OR TRIM(CAST(X."&amp;F224&amp;" AS STRING)) IS NULL OR CAST(X."&amp;F224&amp;" AS STRING) NOT "&amp;H224&amp;",1,0)) AS NUM_REG_DIF,'"&amp;MAX('ID1&amp;5'!K:K)+1&amp;"' AS ID_EXEC, CURRENT_TIMESTAMP() AS TIME_EXEC FROM "&amp;I224,"SELECT '"&amp;UPPER(B224)&amp;"' AS TABELA, '"&amp;UPPER(C224)&amp;"' AS TIPOLOGIA_TESTE,'"&amp;D224&amp;"' AS TABELA_LT,'N/A' AS TABELA_SIMUL,'"&amp;F224&amp;"' AS CAMPO, "&amp;"'${ref_date}' AS REF_DATE, COUNT(*) AS NUM_REG, SUM(IF(TRIM(CAST(X."&amp;F224&amp;" AS STRING))='' OR TRIM(CAST(X."&amp;F224&amp;" AS STRING)) IS NULL,1,0)) AS NUM_REG_DIF,'"&amp;MAX('ID1&amp;5'!K:K)+1&amp;"' AS ID_EXEC, CURRENT_TIMESTAMP() AS TIME_EXEC FROM "&amp;I224),
IF(C224="Caracteres Especiais",+"SELECT '"&amp;UPPER(B224)&amp;"' AS TABELA, '"&amp;UPPER(C224)&amp;"' AS TIPOLOGIA_TESTE,'"&amp;D224&amp;"' AS TABELA_LT,'N/A' AS TABELA_SIMUL,'"&amp;F224&amp;"' AS CAMPO, "&amp;"'${ref_date}' AS REF_DATE, COUNT(*) AS NUM_REG, SUM(IF(REGEXP_REPLACE(TRIM(CAST(X."&amp;F224&amp;" AS STRING)),'[^a-zA-Z0-9_\\s]','') &lt;&gt;TRIM(CAST(X."&amp;F224&amp;" AS STRING)),1,0)) AS NUM_REG_DIF,'"&amp;MAX('ID1&amp;5'!K:K)+1&amp;"' AS ID_EXEC, CURRENT_TIMESTAMP() AS TIME_EXEC FROM "&amp;I224,
IF(C224="Missings",+"SELECT '"&amp;UPPER(B224)&amp;"' AS TABELA, '"&amp;UPPER(C224)&amp;"' AS TIPOLOGIA_TESTE,'"&amp;D224&amp;"' AS TABELA_LT,'N/A' AS TABELA_SIMUL,'"&amp;F224&amp;"' AS CAMPO, "&amp;"'${ref_date}' AS REF_DATE, COUNT(*) AS NUM_REG, SUM(IF(TRIM(CAST(X."&amp;F224&amp;" AS STRING)) IN ('0000-00-00','0001-01-01','9999-12-31','MISS','00000','99999999999','99999999999.00','99999999999.000000'),1,0)) AS NUM_REG_DIF,'"&amp;MAX('ID1&amp;5'!K:K)+1&amp;"' AS ID_EXEC, CURRENT_TIMESTAMP() AS TIME_EXEC FROM "&amp;I224,
IF(C224="Not applicable",+"SELECT '"&amp;UPPER(B224)&amp;"' AS TABELA, '"&amp;UPPER(C224)&amp;"' AS TIPOLOGIA_TESTE,'"&amp;D224&amp;"' AS TABELA_LT,'N/A' AS TABELA_SIMUL,'"&amp;F224&amp;"' AS CAMPO, "&amp;"'${ref_date}' AS REF_DATE, COUNT(*) AS NUM_REG, SUM(IF(TRIM(CAST(X."&amp;F224&amp;" AS STRING)) IN ('N/A','11111111111','11111111111.00','11111111111.000000','1111-11-11'),1,0)) AS NUM_REG_DIF,'"&amp;MAX('ID1&amp;5'!K:K)+1&amp;"' AS ID_EXEC, CURRENT_TIMESTAMP() AS TIME_EXEC FROM "&amp;I224,
IF(C224="Valores extremos",+"SELECT '"&amp;UPPER(B224)&amp;"' AS TABELA, '"&amp;UPPER(C224)&amp;"' AS TIPOLOGIA_TESTE,'"&amp;D224&amp;"' AS TABELA_LT,'N/A' AS TABELA_SIMUL,'"&amp;F224&amp;"' AS CAMPO, "&amp;"'${ref_date}' AS REF_DATE, CAST(MIN("&amp;F224&amp;") AS STRING) AS VALOR_MIN, CAST(MAX("&amp;F224&amp;") AS STRING) AS VALOR_MAX,'"&amp;MAX('ID1&amp;5'!K:K)+1&amp;"' AS ID_EXEC, CURRENT_TIMESTAMP() AS TIME_EXEC FROM "&amp;MID(I224,1,LEN(I224)-2)&amp;" AND CAST("&amp;F224&amp;"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TABELA_SIMUL,'grntr_id' AS CAMPO, '${ref_date}' AS REF_DATE, COUNT(*) AS NUM_REG, SUM(IF(COALESCE(CAST(X.grntr_id AS STRING),'')&lt;&gt;COALESCE(CAST(Y.grntr_id_SIMUL AS STRING),'') OR (X.grntr_id IS NULL AND Y.grntr_id_SIMUL IS NOT NULL ) OR (X.grntr_id IS NOT NULL AND Y.grntr_id_SIMUL IS NULL),1,0)) AS NUM_REG_DIF,'1' AS ID_EXEC, CURRENT_TIMESTAMP() AS TIME_EXEC FROM (SELECT instrmnt_id, grntr_id FROM BU_LOANTAPE_WORK.LT002_INSTRUMENT WHERE ref_date='${ref_date}' AND nome_perimetro='Individual Local' AND segmento='ESTR' AND ambito='SRB_MBDT' AND entidade='00100')X INNER JOIN (SELECT instrmnt_id AS instrmnt_id_SIMUL, grntr_id AS grntr_id_SIMUL FROM BU_LOANTAPE_WORK.SIMUL_LT002_INSTRUMENT WHERE ref_date='${ref_date}' AND nome_perimetro='Individual Local' AND segmento='ESTR' AND ambito='PILAR3' AND entidade='00100')Y ON X.INSTRMNT_ID=Y.INSTRMNT_ID_SIMUL</v>
      </c>
      <c r="M224" s="36" t="str">
        <f t="shared" si="6"/>
        <v>UNION ALL SELECT 'INSTRUMENT' AS TABELA, 'COERÊNCIA' AS TIPOLOGIA_TESTE,'BU_LOANTAPE_WORK.LT002_INSTRUMENT' AS TABELA_LT,'BU_LOANTAPE_WORK.SIMUL_LT002_INSTRUMENT' AS TABELA_SIMUL,'grntr_id' AS CAMPO, '${ref_date}' AS REF_DATE, COUNT(*) AS NUM_REG, SUM(IF(COALESCE(CAST(X.grntr_id AS STRING),'')&lt;&gt;COALESCE(CAST(Y.grntr_id_SIMUL AS STRING),'') OR (X.grntr_id IS NULL AND Y.grntr_id_SIMUL IS NOT NULL ) OR (X.grntr_id IS NOT NULL AND Y.grntr_id_SIMUL IS NULL),1,0)) AS NUM_REG_DIF,'1' AS ID_EXEC, CURRENT_TIMESTAMP() AS TIME_EXEC FROM (SELECT instrmnt_id, grntr_id FROM BU_LOANTAPE_WORK.LT002_INSTRUMENT WHERE ref_date='${ref_date}' AND nome_perimetro='Individual Local' AND segmento='ESTR' AND ambito='SRB_MBDT' AND entidade='00100')X INNER JOIN (SELECT instrmnt_id AS instrmnt_id_SIMUL, grntr_id AS grntr_id_SIMUL FROM BU_LOANTAPE_WORK.SIMUL_LT002_INSTRUMENT WHERE ref_date='${ref_date}' AND nome_perimetro='Individual Local' AND segmento='ESTR' AND ambito='PILAR3' AND entidade='00100')Y ON X.INSTRMNT_ID=Y.INSTRMNT_ID_SIMUL</v>
      </c>
      <c r="N224" s="38"/>
    </row>
    <row r="225" spans="2:14">
      <c r="B225" s="34" t="s">
        <v>117</v>
      </c>
      <c r="C225" s="34" t="s">
        <v>5</v>
      </c>
      <c r="D225" s="34" t="str">
        <f>+UPPER('0. Instruções'!$D$35&amp;"."&amp;VLOOKUP(B225,'0. Instruções'!$C$27:$D$32,2,FALSE))</f>
        <v>BU_LOANTAPE_WORK.LT002_INSTRUMENT</v>
      </c>
      <c r="E225" s="34" t="str">
        <f>+UPPER('0. Instruções'!$D$36&amp;"."&amp;VLOOKUP(B225,'0. Instruções'!$C$27:$E$32,3,FALSE))</f>
        <v>BU_LOANTAPE_WORK.SIMUL_LT002_INSTRUMENT</v>
      </c>
      <c r="F225" s="34" t="s">
        <v>1287</v>
      </c>
      <c r="G225" s="34"/>
      <c r="H225" s="34"/>
      <c r="I225" s="34" t="str">
        <f>"(SELECT "&amp;VLOOKUP(B225,'0. Instruções'!$C$27:$G$32,4,FALSE)&amp;", "&amp;F225&amp;" FROM "&amp;D225&amp;" WHERE "&amp;'0. Instruções'!$D$42&amp;")X"</f>
        <v>(SELECT instrmnt_id, grntr_id_typ FROM BU_LOANTAPE_WORK.LT002_INSTRUMENT WHERE ref_date='${ref_date}' AND nome_perimetro='Individual Local' AND segmento='ESTR' AND ambito='SRB_MBDT' AND entidade='00100')X</v>
      </c>
      <c r="J225" s="34" t="str">
        <f>"(SELECT "&amp;VLOOKUP(B225,'0. Instruções'!$C$27:$G$32,4,FALSE)&amp;" AS "&amp;VLOOKUP(B225,'0. Instruções'!$C$27:$G$32,4,FALSE)&amp;"_SIMUL, "&amp;F225&amp;" AS "&amp;F225&amp;"_SIMUL FROM "&amp;E225&amp;" WHERE "&amp;'0. Instruções'!$D$43&amp;")Y"</f>
        <v>(SELECT instrmnt_id AS instrmnt_id_SIMUL, grntr_id_typ AS grntr_id_typ_SIMUL FROM BU_LOANTAPE_WORK.SIMUL_LT002_INSTRUMENT WHERE ref_date='${ref_date}' AND nome_perimetro='Individual Local' AND segmento='ESTR' AND ambito='PILAR3' AND entidade='00100')Y</v>
      </c>
      <c r="K225" s="35" t="str">
        <f>+UPPER("ON X."&amp;VLOOKUP(B225,'0. Instruções'!$C$27:$G$32,4,FALSE)&amp;"=Y."&amp;VLOOKUP(B225,'0. Instruções'!$C$27:$G$32,4,FALSE)&amp;"_SIMUL")</f>
        <v>ON X.INSTRMNT_ID=Y.INSTRMNT_ID_SIMUL</v>
      </c>
      <c r="L225" s="35" t="str">
        <f>+IF(C225="Coerência", +IF(LEFT(G225,5)="FLOAT","SELECT '"&amp;UPPER(B225)&amp;"' AS TABELA, '"&amp;UPPER(C225)&amp;"' AS TIPOLOGIA_TESTE,'"&amp;D225&amp;"' AS TABELA_LT,'"&amp;E225&amp;"' AS TABELA_SIMUL,'"&amp;F225&amp;"' AS CAMPO, "&amp;"'${ref_date}' AS REF_DATE, COUNT(*) AS NUM_REG, SUM(IF((ABS(COALESCE(CAST(X."&amp;F225&amp;" AS DECIMAL(18,6)),0)-COALESCE(CAST(Y."&amp;F225&amp;"_SIMUL AS DECIMAL(18,6)),0))&gt;0.000001) OR (X."&amp;F225&amp;" IS NULL AND Y."&amp;F225&amp;"_SIMUL IS NOT NULL ) OR (X."&amp;F225&amp;" IS NOT NULL AND Y."&amp;F225&amp;"_SIMUL IS NULL),1,0)) AS NUM_REG_DIF,'"&amp;MAX('ID1&amp;5'!K:K)+1&amp;"' AS ID_EXEC, CURRENT_TIMESTAMP() AS TIME_EXEC FROM "&amp;I225&amp;" INNER JOIN "&amp;J225&amp;" "&amp;K225,"SELECT '"&amp;UPPER(B225)&amp;"' AS TABELA, '"&amp;UPPER(C225)&amp;"' AS TIPOLOGIA_TESTE,'"&amp;D225&amp;"' AS TABELA_LT,'"&amp;E225&amp;"' AS TABELA_SIMUL,'"&amp;F225&amp;"' AS CAMPO, "&amp;"'${ref_date}' AS REF_DATE, COUNT(*) AS NUM_REG, SUM(IF(COALESCE(CAST(X."&amp;F225&amp;" AS STRING),'')&lt;&gt;COALESCE(CAST(Y."&amp;F225&amp;"_SIMUL AS STRING),'') OR (X."&amp;F225&amp;" IS NULL AND Y."&amp;F225&amp;"_SIMUL IS NOT NULL ) OR (X."&amp;F225&amp;" IS NOT NULL AND Y."&amp;F225&amp;"_SIMUL IS NULL),1,0)) AS NUM_REG_DIF,'"&amp;MAX('ID1&amp;5'!L:L)+1&amp;"' AS ID_EXEC, CURRENT_TIMESTAMP() AS TIME_EXEC FROM "&amp;I225&amp;" INNER JOIN "&amp;J225&amp;" "&amp;K225),
IF(C225="Validade",+IF(G225="Code List","SELECT '"&amp;UPPER(B225)&amp;"' AS TABELA, '"&amp;UPPER(C225)&amp;"' AS TIPOLOGIA_TESTE,'"&amp;D225&amp;"' AS TABELA_LT,'N/A' AS TABELA_SIMUL,'"&amp;F225&amp;"' AS CAMPO, "&amp;"'${ref_date}' AS REF_DATE, COUNT(*) AS NUM_REG, SUM(IF(TRIM(CAST(X."&amp;F225&amp;" AS STRING))='' OR TRIM(CAST(X."&amp;F225&amp;" AS STRING)) IS NULL OR CAST(X."&amp;F225&amp;" AS STRING) NOT "&amp;H225&amp;",1,0)) AS NUM_REG_DIF,'"&amp;MAX('ID1&amp;5'!K:K)+1&amp;"' AS ID_EXEC, CURRENT_TIMESTAMP() AS TIME_EXEC FROM "&amp;I225,"SELECT '"&amp;UPPER(B225)&amp;"' AS TABELA, '"&amp;UPPER(C225)&amp;"' AS TIPOLOGIA_TESTE,'"&amp;D225&amp;"' AS TABELA_LT,'N/A' AS TABELA_SIMUL,'"&amp;F225&amp;"' AS CAMPO, "&amp;"'${ref_date}' AS REF_DATE, COUNT(*) AS NUM_REG, SUM(IF(TRIM(CAST(X."&amp;F225&amp;" AS STRING))='' OR TRIM(CAST(X."&amp;F225&amp;" AS STRING)) IS NULL,1,0)) AS NUM_REG_DIF,'"&amp;MAX('ID1&amp;5'!K:K)+1&amp;"' AS ID_EXEC, CURRENT_TIMESTAMP() AS TIME_EXEC FROM "&amp;I225),
IF(C225="Caracteres Especiais",+"SELECT '"&amp;UPPER(B225)&amp;"' AS TABELA, '"&amp;UPPER(C225)&amp;"' AS TIPOLOGIA_TESTE,'"&amp;D225&amp;"' AS TABELA_LT,'N/A' AS TABELA_SIMUL,'"&amp;F225&amp;"' AS CAMPO, "&amp;"'${ref_date}' AS REF_DATE, COUNT(*) AS NUM_REG, SUM(IF(REGEXP_REPLACE(TRIM(CAST(X."&amp;F225&amp;" AS STRING)),'[^a-zA-Z0-9_\\s]','') &lt;&gt;TRIM(CAST(X."&amp;F225&amp;" AS STRING)),1,0)) AS NUM_REG_DIF,'"&amp;MAX('ID1&amp;5'!K:K)+1&amp;"' AS ID_EXEC, CURRENT_TIMESTAMP() AS TIME_EXEC FROM "&amp;I225,
IF(C225="Missings",+"SELECT '"&amp;UPPER(B225)&amp;"' AS TABELA, '"&amp;UPPER(C225)&amp;"' AS TIPOLOGIA_TESTE,'"&amp;D225&amp;"' AS TABELA_LT,'N/A' AS TABELA_SIMUL,'"&amp;F225&amp;"' AS CAMPO, "&amp;"'${ref_date}' AS REF_DATE, COUNT(*) AS NUM_REG, SUM(IF(TRIM(CAST(X."&amp;F225&amp;" AS STRING)) IN ('0000-00-00','0001-01-01','9999-12-31','MISS','00000','99999999999','99999999999.00','99999999999.000000'),1,0)) AS NUM_REG_DIF,'"&amp;MAX('ID1&amp;5'!K:K)+1&amp;"' AS ID_EXEC, CURRENT_TIMESTAMP() AS TIME_EXEC FROM "&amp;I225,
IF(C225="Not applicable",+"SELECT '"&amp;UPPER(B225)&amp;"' AS TABELA, '"&amp;UPPER(C225)&amp;"' AS TIPOLOGIA_TESTE,'"&amp;D225&amp;"' AS TABELA_LT,'N/A' AS TABELA_SIMUL,'"&amp;F225&amp;"' AS CAMPO, "&amp;"'${ref_date}' AS REF_DATE, COUNT(*) AS NUM_REG, SUM(IF(TRIM(CAST(X."&amp;F225&amp;" AS STRING)) IN ('N/A','11111111111','11111111111.00','11111111111.000000','1111-11-11'),1,0)) AS NUM_REG_DIF,'"&amp;MAX('ID1&amp;5'!K:K)+1&amp;"' AS ID_EXEC, CURRENT_TIMESTAMP() AS TIME_EXEC FROM "&amp;I225,
IF(C225="Valores extremos",+"SELECT '"&amp;UPPER(B225)&amp;"' AS TABELA, '"&amp;UPPER(C225)&amp;"' AS TIPOLOGIA_TESTE,'"&amp;D225&amp;"' AS TABELA_LT,'N/A' AS TABELA_SIMUL,'"&amp;F225&amp;"' AS CAMPO, "&amp;"'${ref_date}' AS REF_DATE, CAST(MIN("&amp;F225&amp;") AS STRING) AS VALOR_MIN, CAST(MAX("&amp;F225&amp;") AS STRING) AS VALOR_MAX,'"&amp;MAX('ID1&amp;5'!K:K)+1&amp;"' AS ID_EXEC, CURRENT_TIMESTAMP() AS TIME_EXEC FROM "&amp;MID(I225,1,LEN(I225)-2)&amp;" AND CAST("&amp;F225&amp;"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TABELA_SIMUL,'grntr_id_typ' AS CAMPO, '${ref_date}' AS REF_DATE, COUNT(*) AS NUM_REG, SUM(IF(COALESCE(CAST(X.grntr_id_typ AS STRING),'')&lt;&gt;COALESCE(CAST(Y.grntr_id_typ_SIMUL AS STRING),'') OR (X.grntr_id_typ IS NULL AND Y.grntr_id_typ_SIMUL IS NOT NULL ) OR (X.grntr_id_typ IS NOT NULL AND Y.grntr_id_typ_SIMUL IS NULL),1,0)) AS NUM_REG_DIF,'1' AS ID_EXEC, CURRENT_TIMESTAMP() AS TIME_EXEC FROM (SELECT instrmnt_id, grntr_id_typ FROM BU_LOANTAPE_WORK.LT002_INSTRUMENT WHERE ref_date='${ref_date}' AND nome_perimetro='Individual Local' AND segmento='ESTR' AND ambito='SRB_MBDT' AND entidade='00100')X INNER JOIN (SELECT instrmnt_id AS instrmnt_id_SIMUL, grntr_id_typ AS grntr_id_typ_SIMUL FROM BU_LOANTAPE_WORK.SIMUL_LT002_INSTRUMENT WHERE ref_date='${ref_date}' AND nome_perimetro='Individual Local' AND segmento='ESTR' AND ambito='PILAR3' AND entidade='00100')Y ON X.INSTRMNT_ID=Y.INSTRMNT_ID_SIMUL</v>
      </c>
      <c r="M225" s="36" t="str">
        <f t="shared" si="6"/>
        <v>UNION ALL SELECT 'INSTRUMENT' AS TABELA, 'COERÊNCIA' AS TIPOLOGIA_TESTE,'BU_LOANTAPE_WORK.LT002_INSTRUMENT' AS TABELA_LT,'BU_LOANTAPE_WORK.SIMUL_LT002_INSTRUMENT' AS TABELA_SIMUL,'grntr_id_typ' AS CAMPO, '${ref_date}' AS REF_DATE, COUNT(*) AS NUM_REG, SUM(IF(COALESCE(CAST(X.grntr_id_typ AS STRING),'')&lt;&gt;COALESCE(CAST(Y.grntr_id_typ_SIMUL AS STRING),'') OR (X.grntr_id_typ IS NULL AND Y.grntr_id_typ_SIMUL IS NOT NULL ) OR (X.grntr_id_typ IS NOT NULL AND Y.grntr_id_typ_SIMUL IS NULL),1,0)) AS NUM_REG_DIF,'1' AS ID_EXEC, CURRENT_TIMESTAMP() AS TIME_EXEC FROM (SELECT instrmnt_id, grntr_id_typ FROM BU_LOANTAPE_WORK.LT002_INSTRUMENT WHERE ref_date='${ref_date}' AND nome_perimetro='Individual Local' AND segmento='ESTR' AND ambito='SRB_MBDT' AND entidade='00100')X INNER JOIN (SELECT instrmnt_id AS instrmnt_id_SIMUL, grntr_id_typ AS grntr_id_typ_SIMUL FROM BU_LOANTAPE_WORK.SIMUL_LT002_INSTRUMENT WHERE ref_date='${ref_date}' AND nome_perimetro='Individual Local' AND segmento='ESTR' AND ambito='PILAR3' AND entidade='00100')Y ON X.INSTRMNT_ID=Y.INSTRMNT_ID_SIMUL</v>
      </c>
      <c r="N225" s="38"/>
    </row>
    <row r="226" spans="2:14">
      <c r="B226" s="34" t="s">
        <v>117</v>
      </c>
      <c r="C226" s="34" t="s">
        <v>5</v>
      </c>
      <c r="D226" s="34" t="str">
        <f>+UPPER('0. Instruções'!$D$35&amp;"."&amp;VLOOKUP(B226,'0. Instruções'!$C$27:$D$32,2,FALSE))</f>
        <v>BU_LOANTAPE_WORK.LT002_INSTRUMENT</v>
      </c>
      <c r="E226" s="34" t="str">
        <f>+UPPER('0. Instruções'!$D$36&amp;"."&amp;VLOOKUP(B226,'0. Instruções'!$C$27:$E$32,3,FALSE))</f>
        <v>BU_LOANTAPE_WORK.SIMUL_LT002_INSTRUMENT</v>
      </c>
      <c r="F226" s="34" t="s">
        <v>1288</v>
      </c>
      <c r="G226" s="34"/>
      <c r="H226" s="34"/>
      <c r="I226" s="34" t="str">
        <f>"(SELECT "&amp;VLOOKUP(B226,'0. Instruções'!$C$27:$G$32,4,FALSE)&amp;", "&amp;F226&amp;" FROM "&amp;D226&amp;" WHERE "&amp;'0. Instruções'!$D$42&amp;")X"</f>
        <v>(SELECT instrmnt_id, hedge_id FROM BU_LOANTAPE_WORK.LT002_INSTRUMENT WHERE ref_date='${ref_date}' AND nome_perimetro='Individual Local' AND segmento='ESTR' AND ambito='SRB_MBDT' AND entidade='00100')X</v>
      </c>
      <c r="J226" s="34" t="str">
        <f>"(SELECT "&amp;VLOOKUP(B226,'0. Instruções'!$C$27:$G$32,4,FALSE)&amp;" AS "&amp;VLOOKUP(B226,'0. Instruções'!$C$27:$G$32,4,FALSE)&amp;"_SIMUL, "&amp;F226&amp;" AS "&amp;F226&amp;"_SIMUL FROM "&amp;E226&amp;" WHERE "&amp;'0. Instruções'!$D$43&amp;")Y"</f>
        <v>(SELECT instrmnt_id AS instrmnt_id_SIMUL, hedge_id AS hedge_id_SIMUL FROM BU_LOANTAPE_WORK.SIMUL_LT002_INSTRUMENT WHERE ref_date='${ref_date}' AND nome_perimetro='Individual Local' AND segmento='ESTR' AND ambito='PILAR3' AND entidade='00100')Y</v>
      </c>
      <c r="K226" s="35" t="str">
        <f>+UPPER("ON X."&amp;VLOOKUP(B226,'0. Instruções'!$C$27:$G$32,4,FALSE)&amp;"=Y."&amp;VLOOKUP(B226,'0. Instruções'!$C$27:$G$32,4,FALSE)&amp;"_SIMUL")</f>
        <v>ON X.INSTRMNT_ID=Y.INSTRMNT_ID_SIMUL</v>
      </c>
      <c r="L226" s="35" t="str">
        <f>+IF(C226="Coerência", +IF(LEFT(G226,5)="FLOAT","SELECT '"&amp;UPPER(B226)&amp;"' AS TABELA, '"&amp;UPPER(C226)&amp;"' AS TIPOLOGIA_TESTE,'"&amp;D226&amp;"' AS TABELA_LT,'"&amp;E226&amp;"' AS TABELA_SIMUL,'"&amp;F226&amp;"' AS CAMPO, "&amp;"'${ref_date}' AS REF_DATE, COUNT(*) AS NUM_REG, SUM(IF((ABS(COALESCE(CAST(X."&amp;F226&amp;" AS DECIMAL(18,6)),0)-COALESCE(CAST(Y."&amp;F226&amp;"_SIMUL AS DECIMAL(18,6)),0))&gt;0.000001) OR (X."&amp;F226&amp;" IS NULL AND Y."&amp;F226&amp;"_SIMUL IS NOT NULL ) OR (X."&amp;F226&amp;" IS NOT NULL AND Y."&amp;F226&amp;"_SIMUL IS NULL),1,0)) AS NUM_REG_DIF,'"&amp;MAX('ID1&amp;5'!K:K)+1&amp;"' AS ID_EXEC, CURRENT_TIMESTAMP() AS TIME_EXEC FROM "&amp;I226&amp;" INNER JOIN "&amp;J226&amp;" "&amp;K226,"SELECT '"&amp;UPPER(B226)&amp;"' AS TABELA, '"&amp;UPPER(C226)&amp;"' AS TIPOLOGIA_TESTE,'"&amp;D226&amp;"' AS TABELA_LT,'"&amp;E226&amp;"' AS TABELA_SIMUL,'"&amp;F226&amp;"' AS CAMPO, "&amp;"'${ref_date}' AS REF_DATE, COUNT(*) AS NUM_REG, SUM(IF(COALESCE(CAST(X."&amp;F226&amp;" AS STRING),'')&lt;&gt;COALESCE(CAST(Y."&amp;F226&amp;"_SIMUL AS STRING),'') OR (X."&amp;F226&amp;" IS NULL AND Y."&amp;F226&amp;"_SIMUL IS NOT NULL ) OR (X."&amp;F226&amp;" IS NOT NULL AND Y."&amp;F226&amp;"_SIMUL IS NULL),1,0)) AS NUM_REG_DIF,'"&amp;MAX('ID1&amp;5'!L:L)+1&amp;"' AS ID_EXEC, CURRENT_TIMESTAMP() AS TIME_EXEC FROM "&amp;I226&amp;" INNER JOIN "&amp;J226&amp;" "&amp;K226),
IF(C226="Validade",+IF(G226="Code List","SELECT '"&amp;UPPER(B226)&amp;"' AS TABELA, '"&amp;UPPER(C226)&amp;"' AS TIPOLOGIA_TESTE,'"&amp;D226&amp;"' AS TABELA_LT,'N/A' AS TABELA_SIMUL,'"&amp;F226&amp;"' AS CAMPO, "&amp;"'${ref_date}' AS REF_DATE, COUNT(*) AS NUM_REG, SUM(IF(TRIM(CAST(X."&amp;F226&amp;" AS STRING))='' OR TRIM(CAST(X."&amp;F226&amp;" AS STRING)) IS NULL OR CAST(X."&amp;F226&amp;" AS STRING) NOT "&amp;H226&amp;",1,0)) AS NUM_REG_DIF,'"&amp;MAX('ID1&amp;5'!K:K)+1&amp;"' AS ID_EXEC, CURRENT_TIMESTAMP() AS TIME_EXEC FROM "&amp;I226,"SELECT '"&amp;UPPER(B226)&amp;"' AS TABELA, '"&amp;UPPER(C226)&amp;"' AS TIPOLOGIA_TESTE,'"&amp;D226&amp;"' AS TABELA_LT,'N/A' AS TABELA_SIMUL,'"&amp;F226&amp;"' AS CAMPO, "&amp;"'${ref_date}' AS REF_DATE, COUNT(*) AS NUM_REG, SUM(IF(TRIM(CAST(X."&amp;F226&amp;" AS STRING))='' OR TRIM(CAST(X."&amp;F226&amp;" AS STRING)) IS NULL,1,0)) AS NUM_REG_DIF,'"&amp;MAX('ID1&amp;5'!K:K)+1&amp;"' AS ID_EXEC, CURRENT_TIMESTAMP() AS TIME_EXEC FROM "&amp;I226),
IF(C226="Caracteres Especiais",+"SELECT '"&amp;UPPER(B226)&amp;"' AS TABELA, '"&amp;UPPER(C226)&amp;"' AS TIPOLOGIA_TESTE,'"&amp;D226&amp;"' AS TABELA_LT,'N/A' AS TABELA_SIMUL,'"&amp;F226&amp;"' AS CAMPO, "&amp;"'${ref_date}' AS REF_DATE, COUNT(*) AS NUM_REG, SUM(IF(REGEXP_REPLACE(TRIM(CAST(X."&amp;F226&amp;" AS STRING)),'[^a-zA-Z0-9_\\s]','') &lt;&gt;TRIM(CAST(X."&amp;F226&amp;" AS STRING)),1,0)) AS NUM_REG_DIF,'"&amp;MAX('ID1&amp;5'!K:K)+1&amp;"' AS ID_EXEC, CURRENT_TIMESTAMP() AS TIME_EXEC FROM "&amp;I226,
IF(C226="Missings",+"SELECT '"&amp;UPPER(B226)&amp;"' AS TABELA, '"&amp;UPPER(C226)&amp;"' AS TIPOLOGIA_TESTE,'"&amp;D226&amp;"' AS TABELA_LT,'N/A' AS TABELA_SIMUL,'"&amp;F226&amp;"' AS CAMPO, "&amp;"'${ref_date}' AS REF_DATE, COUNT(*) AS NUM_REG, SUM(IF(TRIM(CAST(X."&amp;F226&amp;" AS STRING)) IN ('0000-00-00','0001-01-01','9999-12-31','MISS','00000','99999999999','99999999999.00','99999999999.000000'),1,0)) AS NUM_REG_DIF,'"&amp;MAX('ID1&amp;5'!K:K)+1&amp;"' AS ID_EXEC, CURRENT_TIMESTAMP() AS TIME_EXEC FROM "&amp;I226,
IF(C226="Not applicable",+"SELECT '"&amp;UPPER(B226)&amp;"' AS TABELA, '"&amp;UPPER(C226)&amp;"' AS TIPOLOGIA_TESTE,'"&amp;D226&amp;"' AS TABELA_LT,'N/A' AS TABELA_SIMUL,'"&amp;F226&amp;"' AS CAMPO, "&amp;"'${ref_date}' AS REF_DATE, COUNT(*) AS NUM_REG, SUM(IF(TRIM(CAST(X."&amp;F226&amp;" AS STRING)) IN ('N/A','11111111111','11111111111.00','11111111111.000000','1111-11-11'),1,0)) AS NUM_REG_DIF,'"&amp;MAX('ID1&amp;5'!K:K)+1&amp;"' AS ID_EXEC, CURRENT_TIMESTAMP() AS TIME_EXEC FROM "&amp;I226,
IF(C226="Valores extremos",+"SELECT '"&amp;UPPER(B226)&amp;"' AS TABELA, '"&amp;UPPER(C226)&amp;"' AS TIPOLOGIA_TESTE,'"&amp;D226&amp;"' AS TABELA_LT,'N/A' AS TABELA_SIMUL,'"&amp;F226&amp;"' AS CAMPO, "&amp;"'${ref_date}' AS REF_DATE, CAST(MIN("&amp;F226&amp;") AS STRING) AS VALOR_MIN, CAST(MAX("&amp;F226&amp;") AS STRING) AS VALOR_MAX,'"&amp;MAX('ID1&amp;5'!K:K)+1&amp;"' AS ID_EXEC, CURRENT_TIMESTAMP() AS TIME_EXEC FROM "&amp;MID(I226,1,LEN(I226)-2)&amp;" AND CAST("&amp;F226&amp;"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TABELA_SIMUL,'hedge_id' AS CAMPO, '${ref_date}' AS REF_DATE, COUNT(*) AS NUM_REG, SUM(IF(COALESCE(CAST(X.hedge_id AS STRING),'')&lt;&gt;COALESCE(CAST(Y.hedge_id_SIMUL AS STRING),'') OR (X.hedge_id IS NULL AND Y.hedge_id_SIMUL IS NOT NULL ) OR (X.hedge_id IS NOT NULL AND Y.hedge_id_SIMUL IS NULL),1,0)) AS NUM_REG_DIF,'1' AS ID_EXEC, CURRENT_TIMESTAMP() AS TIME_EXEC FROM (SELECT instrmnt_id, hedge_id FROM BU_LOANTAPE_WORK.LT002_INSTRUMENT WHERE ref_date='${ref_date}' AND nome_perimetro='Individual Local' AND segmento='ESTR' AND ambito='SRB_MBDT' AND entidade='00100')X INNER JOIN (SELECT instrmnt_id AS instrmnt_id_SIMUL, hedge_id AS hedge_id_SIMUL FROM BU_LOANTAPE_WORK.SIMUL_LT002_INSTRUMENT WHERE ref_date='${ref_date}' AND nome_perimetro='Individual Local' AND segmento='ESTR' AND ambito='PILAR3' AND entidade='00100')Y ON X.INSTRMNT_ID=Y.INSTRMNT_ID_SIMUL</v>
      </c>
      <c r="M226" s="36" t="str">
        <f t="shared" si="6"/>
        <v>UNION ALL SELECT 'INSTRUMENT' AS TABELA, 'COERÊNCIA' AS TIPOLOGIA_TESTE,'BU_LOANTAPE_WORK.LT002_INSTRUMENT' AS TABELA_LT,'BU_LOANTAPE_WORK.SIMUL_LT002_INSTRUMENT' AS TABELA_SIMUL,'hedge_id' AS CAMPO, '${ref_date}' AS REF_DATE, COUNT(*) AS NUM_REG, SUM(IF(COALESCE(CAST(X.hedge_id AS STRING),'')&lt;&gt;COALESCE(CAST(Y.hedge_id_SIMUL AS STRING),'') OR (X.hedge_id IS NULL AND Y.hedge_id_SIMUL IS NOT NULL ) OR (X.hedge_id IS NOT NULL AND Y.hedge_id_SIMUL IS NULL),1,0)) AS NUM_REG_DIF,'1' AS ID_EXEC, CURRENT_TIMESTAMP() AS TIME_EXEC FROM (SELECT instrmnt_id, hedge_id FROM BU_LOANTAPE_WORK.LT002_INSTRUMENT WHERE ref_date='${ref_date}' AND nome_perimetro='Individual Local' AND segmento='ESTR' AND ambito='SRB_MBDT' AND entidade='00100')X INNER JOIN (SELECT instrmnt_id AS instrmnt_id_SIMUL, hedge_id AS hedge_id_SIMUL FROM BU_LOANTAPE_WORK.SIMUL_LT002_INSTRUMENT WHERE ref_date='${ref_date}' AND nome_perimetro='Individual Local' AND segmento='ESTR' AND ambito='PILAR3' AND entidade='00100')Y ON X.INSTRMNT_ID=Y.INSTRMNT_ID_SIMUL</v>
      </c>
      <c r="N226" s="38"/>
    </row>
    <row r="227" spans="2:14">
      <c r="B227" s="34" t="s">
        <v>117</v>
      </c>
      <c r="C227" s="34" t="s">
        <v>5</v>
      </c>
      <c r="D227" s="34" t="str">
        <f>+UPPER('0. Instruções'!$D$35&amp;"."&amp;VLOOKUP(B227,'0. Instruções'!$C$27:$D$32,2,FALSE))</f>
        <v>BU_LOANTAPE_WORK.LT002_INSTRUMENT</v>
      </c>
      <c r="E227" s="34" t="str">
        <f>+UPPER('0. Instruções'!$D$36&amp;"."&amp;VLOOKUP(B227,'0. Instruções'!$C$27:$E$32,3,FALSE))</f>
        <v>BU_LOANTAPE_WORK.SIMUL_LT002_INSTRUMENT</v>
      </c>
      <c r="F227" s="34" t="s">
        <v>1289</v>
      </c>
      <c r="G227" s="34"/>
      <c r="H227" s="34"/>
      <c r="I227" s="34" t="str">
        <f>"(SELECT "&amp;VLOOKUP(B227,'0. Instruções'!$C$27:$G$32,4,FALSE)&amp;", "&amp;F227&amp;" FROM "&amp;D227&amp;" WHERE "&amp;'0. Instruções'!$D$42&amp;")X"</f>
        <v>(SELECT instrmnt_id, instr_snrty_clss FROM BU_LOANTAPE_WORK.LT002_INSTRUMENT WHERE ref_date='${ref_date}' AND nome_perimetro='Individual Local' AND segmento='ESTR' AND ambito='SRB_MBDT' AND entidade='00100')X</v>
      </c>
      <c r="J227" s="34" t="str">
        <f>"(SELECT "&amp;VLOOKUP(B227,'0. Instruções'!$C$27:$G$32,4,FALSE)&amp;" AS "&amp;VLOOKUP(B227,'0. Instruções'!$C$27:$G$32,4,FALSE)&amp;"_SIMUL, "&amp;F227&amp;" AS "&amp;F227&amp;"_SIMUL FROM "&amp;E227&amp;" WHERE "&amp;'0. Instruções'!$D$43&amp;")Y"</f>
        <v>(SELECT instrmnt_id AS instrmnt_id_SIMUL, instr_snrty_clss AS instr_snrty_clss_SIMUL FROM BU_LOANTAPE_WORK.SIMUL_LT002_INSTRUMENT WHERE ref_date='${ref_date}' AND nome_perimetro='Individual Local' AND segmento='ESTR' AND ambito='PILAR3' AND entidade='00100')Y</v>
      </c>
      <c r="K227" s="35" t="str">
        <f>+UPPER("ON X."&amp;VLOOKUP(B227,'0. Instruções'!$C$27:$G$32,4,FALSE)&amp;"=Y."&amp;VLOOKUP(B227,'0. Instruções'!$C$27:$G$32,4,FALSE)&amp;"_SIMUL")</f>
        <v>ON X.INSTRMNT_ID=Y.INSTRMNT_ID_SIMUL</v>
      </c>
      <c r="L227" s="35" t="str">
        <f>+IF(C227="Coerência", +IF(LEFT(G227,5)="FLOAT","SELECT '"&amp;UPPER(B227)&amp;"' AS TABELA, '"&amp;UPPER(C227)&amp;"' AS TIPOLOGIA_TESTE,'"&amp;D227&amp;"' AS TABELA_LT,'"&amp;E227&amp;"' AS TABELA_SIMUL,'"&amp;F227&amp;"' AS CAMPO, "&amp;"'${ref_date}' AS REF_DATE, COUNT(*) AS NUM_REG, SUM(IF((ABS(COALESCE(CAST(X."&amp;F227&amp;" AS DECIMAL(18,6)),0)-COALESCE(CAST(Y."&amp;F227&amp;"_SIMUL AS DECIMAL(18,6)),0))&gt;0.000001) OR (X."&amp;F227&amp;" IS NULL AND Y."&amp;F227&amp;"_SIMUL IS NOT NULL ) OR (X."&amp;F227&amp;" IS NOT NULL AND Y."&amp;F227&amp;"_SIMUL IS NULL),1,0)) AS NUM_REG_DIF,'"&amp;MAX('ID1&amp;5'!K:K)+1&amp;"' AS ID_EXEC, CURRENT_TIMESTAMP() AS TIME_EXEC FROM "&amp;I227&amp;" INNER JOIN "&amp;J227&amp;" "&amp;K227,"SELECT '"&amp;UPPER(B227)&amp;"' AS TABELA, '"&amp;UPPER(C227)&amp;"' AS TIPOLOGIA_TESTE,'"&amp;D227&amp;"' AS TABELA_LT,'"&amp;E227&amp;"' AS TABELA_SIMUL,'"&amp;F227&amp;"' AS CAMPO, "&amp;"'${ref_date}' AS REF_DATE, COUNT(*) AS NUM_REG, SUM(IF(COALESCE(CAST(X."&amp;F227&amp;" AS STRING),'')&lt;&gt;COALESCE(CAST(Y."&amp;F227&amp;"_SIMUL AS STRING),'') OR (X."&amp;F227&amp;" IS NULL AND Y."&amp;F227&amp;"_SIMUL IS NOT NULL ) OR (X."&amp;F227&amp;" IS NOT NULL AND Y."&amp;F227&amp;"_SIMUL IS NULL),1,0)) AS NUM_REG_DIF,'"&amp;MAX('ID1&amp;5'!L:L)+1&amp;"' AS ID_EXEC, CURRENT_TIMESTAMP() AS TIME_EXEC FROM "&amp;I227&amp;" INNER JOIN "&amp;J227&amp;" "&amp;K227),
IF(C227="Validade",+IF(G227="Code List","SELECT '"&amp;UPPER(B227)&amp;"' AS TABELA, '"&amp;UPPER(C227)&amp;"' AS TIPOLOGIA_TESTE,'"&amp;D227&amp;"' AS TABELA_LT,'N/A' AS TABELA_SIMUL,'"&amp;F227&amp;"' AS CAMPO, "&amp;"'${ref_date}' AS REF_DATE, COUNT(*) AS NUM_REG, SUM(IF(TRIM(CAST(X."&amp;F227&amp;" AS STRING))='' OR TRIM(CAST(X."&amp;F227&amp;" AS STRING)) IS NULL OR CAST(X."&amp;F227&amp;" AS STRING) NOT "&amp;H227&amp;",1,0)) AS NUM_REG_DIF,'"&amp;MAX('ID1&amp;5'!K:K)+1&amp;"' AS ID_EXEC, CURRENT_TIMESTAMP() AS TIME_EXEC FROM "&amp;I227,"SELECT '"&amp;UPPER(B227)&amp;"' AS TABELA, '"&amp;UPPER(C227)&amp;"' AS TIPOLOGIA_TESTE,'"&amp;D227&amp;"' AS TABELA_LT,'N/A' AS TABELA_SIMUL,'"&amp;F227&amp;"' AS CAMPO, "&amp;"'${ref_date}' AS REF_DATE, COUNT(*) AS NUM_REG, SUM(IF(TRIM(CAST(X."&amp;F227&amp;" AS STRING))='' OR TRIM(CAST(X."&amp;F227&amp;" AS STRING)) IS NULL,1,0)) AS NUM_REG_DIF,'"&amp;MAX('ID1&amp;5'!K:K)+1&amp;"' AS ID_EXEC, CURRENT_TIMESTAMP() AS TIME_EXEC FROM "&amp;I227),
IF(C227="Caracteres Especiais",+"SELECT '"&amp;UPPER(B227)&amp;"' AS TABELA, '"&amp;UPPER(C227)&amp;"' AS TIPOLOGIA_TESTE,'"&amp;D227&amp;"' AS TABELA_LT,'N/A' AS TABELA_SIMUL,'"&amp;F227&amp;"' AS CAMPO, "&amp;"'${ref_date}' AS REF_DATE, COUNT(*) AS NUM_REG, SUM(IF(REGEXP_REPLACE(TRIM(CAST(X."&amp;F227&amp;" AS STRING)),'[^a-zA-Z0-9_\\s]','') &lt;&gt;TRIM(CAST(X."&amp;F227&amp;" AS STRING)),1,0)) AS NUM_REG_DIF,'"&amp;MAX('ID1&amp;5'!K:K)+1&amp;"' AS ID_EXEC, CURRENT_TIMESTAMP() AS TIME_EXEC FROM "&amp;I227,
IF(C227="Missings",+"SELECT '"&amp;UPPER(B227)&amp;"' AS TABELA, '"&amp;UPPER(C227)&amp;"' AS TIPOLOGIA_TESTE,'"&amp;D227&amp;"' AS TABELA_LT,'N/A' AS TABELA_SIMUL,'"&amp;F227&amp;"' AS CAMPO, "&amp;"'${ref_date}' AS REF_DATE, COUNT(*) AS NUM_REG, SUM(IF(TRIM(CAST(X."&amp;F227&amp;" AS STRING)) IN ('0000-00-00','0001-01-01','9999-12-31','MISS','00000','99999999999','99999999999.00','99999999999.000000'),1,0)) AS NUM_REG_DIF,'"&amp;MAX('ID1&amp;5'!K:K)+1&amp;"' AS ID_EXEC, CURRENT_TIMESTAMP() AS TIME_EXEC FROM "&amp;I227,
IF(C227="Not applicable",+"SELECT '"&amp;UPPER(B227)&amp;"' AS TABELA, '"&amp;UPPER(C227)&amp;"' AS TIPOLOGIA_TESTE,'"&amp;D227&amp;"' AS TABELA_LT,'N/A' AS TABELA_SIMUL,'"&amp;F227&amp;"' AS CAMPO, "&amp;"'${ref_date}' AS REF_DATE, COUNT(*) AS NUM_REG, SUM(IF(TRIM(CAST(X."&amp;F227&amp;" AS STRING)) IN ('N/A','11111111111','11111111111.00','11111111111.000000','1111-11-11'),1,0)) AS NUM_REG_DIF,'"&amp;MAX('ID1&amp;5'!K:K)+1&amp;"' AS ID_EXEC, CURRENT_TIMESTAMP() AS TIME_EXEC FROM "&amp;I227,
IF(C227="Valores extremos",+"SELECT '"&amp;UPPER(B227)&amp;"' AS TABELA, '"&amp;UPPER(C227)&amp;"' AS TIPOLOGIA_TESTE,'"&amp;D227&amp;"' AS TABELA_LT,'N/A' AS TABELA_SIMUL,'"&amp;F227&amp;"' AS CAMPO, "&amp;"'${ref_date}' AS REF_DATE, CAST(MIN("&amp;F227&amp;") AS STRING) AS VALOR_MIN, CAST(MAX("&amp;F227&amp;") AS STRING) AS VALOR_MAX,'"&amp;MAX('ID1&amp;5'!K:K)+1&amp;"' AS ID_EXEC, CURRENT_TIMESTAMP() AS TIME_EXEC FROM "&amp;MID(I227,1,LEN(I227)-2)&amp;" AND CAST("&amp;F227&amp;"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TABELA_SIMUL,'instr_snrty_clss' AS CAMPO, '${ref_date}' AS REF_DATE, COUNT(*) AS NUM_REG, SUM(IF(COALESCE(CAST(X.instr_snrty_clss AS STRING),'')&lt;&gt;COALESCE(CAST(Y.instr_snrty_clss_SIMUL AS STRING),'') OR (X.instr_snrty_clss IS NULL AND Y.instr_snrty_clss_SIMUL IS NOT NULL ) OR (X.instr_snrty_clss IS NOT NULL AND Y.instr_snrty_clss_SIMUL IS NULL),1,0)) AS NUM_REG_DIF,'1' AS ID_EXEC, CURRENT_TIMESTAMP() AS TIME_EXEC FROM (SELECT instrmnt_id, instr_snrty_clss FROM BU_LOANTAPE_WORK.LT002_INSTRUMENT WHERE ref_date='${ref_date}' AND nome_perimetro='Individual Local' AND segmento='ESTR' AND ambito='SRB_MBDT' AND entidade='00100')X INNER JOIN (SELECT instrmnt_id AS instrmnt_id_SIMUL, instr_snrty_clss AS instr_snrty_clss_SIMUL FROM BU_LOANTAPE_WORK.SIMUL_LT002_INSTRUMENT WHERE ref_date='${ref_date}' AND nome_perimetro='Individual Local' AND segmento='ESTR' AND ambito='PILAR3' AND entidade='00100')Y ON X.INSTRMNT_ID=Y.INSTRMNT_ID_SIMUL</v>
      </c>
      <c r="M227" s="36" t="str">
        <f t="shared" si="6"/>
        <v>UNION ALL SELECT 'INSTRUMENT' AS TABELA, 'COERÊNCIA' AS TIPOLOGIA_TESTE,'BU_LOANTAPE_WORK.LT002_INSTRUMENT' AS TABELA_LT,'BU_LOANTAPE_WORK.SIMUL_LT002_INSTRUMENT' AS TABELA_SIMUL,'instr_snrty_clss' AS CAMPO, '${ref_date}' AS REF_DATE, COUNT(*) AS NUM_REG, SUM(IF(COALESCE(CAST(X.instr_snrty_clss AS STRING),'')&lt;&gt;COALESCE(CAST(Y.instr_snrty_clss_SIMUL AS STRING),'') OR (X.instr_snrty_clss IS NULL AND Y.instr_snrty_clss_SIMUL IS NOT NULL ) OR (X.instr_snrty_clss IS NOT NULL AND Y.instr_snrty_clss_SIMUL IS NULL),1,0)) AS NUM_REG_DIF,'1' AS ID_EXEC, CURRENT_TIMESTAMP() AS TIME_EXEC FROM (SELECT instrmnt_id, instr_snrty_clss FROM BU_LOANTAPE_WORK.LT002_INSTRUMENT WHERE ref_date='${ref_date}' AND nome_perimetro='Individual Local' AND segmento='ESTR' AND ambito='SRB_MBDT' AND entidade='00100')X INNER JOIN (SELECT instrmnt_id AS instrmnt_id_SIMUL, instr_snrty_clss AS instr_snrty_clss_SIMUL FROM BU_LOANTAPE_WORK.SIMUL_LT002_INSTRUMENT WHERE ref_date='${ref_date}' AND nome_perimetro='Individual Local' AND segmento='ESTR' AND ambito='PILAR3' AND entidade='00100')Y ON X.INSTRMNT_ID=Y.INSTRMNT_ID_SIMUL</v>
      </c>
      <c r="N227" s="38"/>
    </row>
    <row r="228" spans="2:14">
      <c r="B228" s="34" t="s">
        <v>117</v>
      </c>
      <c r="C228" s="34" t="s">
        <v>5</v>
      </c>
      <c r="D228" s="34" t="str">
        <f>+UPPER('0. Instruções'!$D$35&amp;"."&amp;VLOOKUP(B228,'0. Instruções'!$C$27:$D$32,2,FALSE))</f>
        <v>BU_LOANTAPE_WORK.LT002_INSTRUMENT</v>
      </c>
      <c r="E228" s="34" t="str">
        <f>+UPPER('0. Instruções'!$D$36&amp;"."&amp;VLOOKUP(B228,'0. Instruções'!$C$27:$E$32,3,FALSE))</f>
        <v>BU_LOANTAPE_WORK.SIMUL_LT002_INSTRUMENT</v>
      </c>
      <c r="F228" s="34" t="s">
        <v>1290</v>
      </c>
      <c r="G228" s="34"/>
      <c r="H228" s="34"/>
      <c r="I228" s="34" t="str">
        <f>"(SELECT "&amp;VLOOKUP(B228,'0. Instruções'!$C$27:$G$32,4,FALSE)&amp;", "&amp;F228&amp;" FROM "&amp;D228&amp;" WHERE "&amp;'0. Instruções'!$D$42&amp;")X"</f>
        <v>(SELECT instrmnt_id, instrmnt_clss FROM BU_LOANTAPE_WORK.LT002_INSTRUMENT WHERE ref_date='${ref_date}' AND nome_perimetro='Individual Local' AND segmento='ESTR' AND ambito='SRB_MBDT' AND entidade='00100')X</v>
      </c>
      <c r="J228" s="34" t="str">
        <f>"(SELECT "&amp;VLOOKUP(B228,'0. Instruções'!$C$27:$G$32,4,FALSE)&amp;" AS "&amp;VLOOKUP(B228,'0. Instruções'!$C$27:$G$32,4,FALSE)&amp;"_SIMUL, "&amp;F228&amp;" AS "&amp;F228&amp;"_SIMUL FROM "&amp;E228&amp;" WHERE "&amp;'0. Instruções'!$D$43&amp;")Y"</f>
        <v>(SELECT instrmnt_id AS instrmnt_id_SIMUL, instrmnt_clss AS instrmnt_clss_SIMUL FROM BU_LOANTAPE_WORK.SIMUL_LT002_INSTRUMENT WHERE ref_date='${ref_date}' AND nome_perimetro='Individual Local' AND segmento='ESTR' AND ambito='PILAR3' AND entidade='00100')Y</v>
      </c>
      <c r="K228" s="35" t="str">
        <f>+UPPER("ON X."&amp;VLOOKUP(B228,'0. Instruções'!$C$27:$G$32,4,FALSE)&amp;"=Y."&amp;VLOOKUP(B228,'0. Instruções'!$C$27:$G$32,4,FALSE)&amp;"_SIMUL")</f>
        <v>ON X.INSTRMNT_ID=Y.INSTRMNT_ID_SIMUL</v>
      </c>
      <c r="L228" s="35" t="str">
        <f>+IF(C228="Coerência", +IF(LEFT(G228,5)="FLOAT","SELECT '"&amp;UPPER(B228)&amp;"' AS TABELA, '"&amp;UPPER(C228)&amp;"' AS TIPOLOGIA_TESTE,'"&amp;D228&amp;"' AS TABELA_LT,'"&amp;E228&amp;"' AS TABELA_SIMUL,'"&amp;F228&amp;"' AS CAMPO, "&amp;"'${ref_date}' AS REF_DATE, COUNT(*) AS NUM_REG, SUM(IF((ABS(COALESCE(CAST(X."&amp;F228&amp;" AS DECIMAL(18,6)),0)-COALESCE(CAST(Y."&amp;F228&amp;"_SIMUL AS DECIMAL(18,6)),0))&gt;0.000001) OR (X."&amp;F228&amp;" IS NULL AND Y."&amp;F228&amp;"_SIMUL IS NOT NULL ) OR (X."&amp;F228&amp;" IS NOT NULL AND Y."&amp;F228&amp;"_SIMUL IS NULL),1,0)) AS NUM_REG_DIF,'"&amp;MAX('ID1&amp;5'!K:K)+1&amp;"' AS ID_EXEC, CURRENT_TIMESTAMP() AS TIME_EXEC FROM "&amp;I228&amp;" INNER JOIN "&amp;J228&amp;" "&amp;K228,"SELECT '"&amp;UPPER(B228)&amp;"' AS TABELA, '"&amp;UPPER(C228)&amp;"' AS TIPOLOGIA_TESTE,'"&amp;D228&amp;"' AS TABELA_LT,'"&amp;E228&amp;"' AS TABELA_SIMUL,'"&amp;F228&amp;"' AS CAMPO, "&amp;"'${ref_date}' AS REF_DATE, COUNT(*) AS NUM_REG, SUM(IF(COALESCE(CAST(X."&amp;F228&amp;" AS STRING),'')&lt;&gt;COALESCE(CAST(Y."&amp;F228&amp;"_SIMUL AS STRING),'') OR (X."&amp;F228&amp;" IS NULL AND Y."&amp;F228&amp;"_SIMUL IS NOT NULL ) OR (X."&amp;F228&amp;" IS NOT NULL AND Y."&amp;F228&amp;"_SIMUL IS NULL),1,0)) AS NUM_REG_DIF,'"&amp;MAX('ID1&amp;5'!L:L)+1&amp;"' AS ID_EXEC, CURRENT_TIMESTAMP() AS TIME_EXEC FROM "&amp;I228&amp;" INNER JOIN "&amp;J228&amp;" "&amp;K228),
IF(C228="Validade",+IF(G228="Code List","SELECT '"&amp;UPPER(B228)&amp;"' AS TABELA, '"&amp;UPPER(C228)&amp;"' AS TIPOLOGIA_TESTE,'"&amp;D228&amp;"' AS TABELA_LT,'N/A' AS TABELA_SIMUL,'"&amp;F228&amp;"' AS CAMPO, "&amp;"'${ref_date}' AS REF_DATE, COUNT(*) AS NUM_REG, SUM(IF(TRIM(CAST(X."&amp;F228&amp;" AS STRING))='' OR TRIM(CAST(X."&amp;F228&amp;" AS STRING)) IS NULL OR CAST(X."&amp;F228&amp;" AS STRING) NOT "&amp;H228&amp;",1,0)) AS NUM_REG_DIF,'"&amp;MAX('ID1&amp;5'!K:K)+1&amp;"' AS ID_EXEC, CURRENT_TIMESTAMP() AS TIME_EXEC FROM "&amp;I228,"SELECT '"&amp;UPPER(B228)&amp;"' AS TABELA, '"&amp;UPPER(C228)&amp;"' AS TIPOLOGIA_TESTE,'"&amp;D228&amp;"' AS TABELA_LT,'N/A' AS TABELA_SIMUL,'"&amp;F228&amp;"' AS CAMPO, "&amp;"'${ref_date}' AS REF_DATE, COUNT(*) AS NUM_REG, SUM(IF(TRIM(CAST(X."&amp;F228&amp;" AS STRING))='' OR TRIM(CAST(X."&amp;F228&amp;" AS STRING)) IS NULL,1,0)) AS NUM_REG_DIF,'"&amp;MAX('ID1&amp;5'!K:K)+1&amp;"' AS ID_EXEC, CURRENT_TIMESTAMP() AS TIME_EXEC FROM "&amp;I228),
IF(C228="Caracteres Especiais",+"SELECT '"&amp;UPPER(B228)&amp;"' AS TABELA, '"&amp;UPPER(C228)&amp;"' AS TIPOLOGIA_TESTE,'"&amp;D228&amp;"' AS TABELA_LT,'N/A' AS TABELA_SIMUL,'"&amp;F228&amp;"' AS CAMPO, "&amp;"'${ref_date}' AS REF_DATE, COUNT(*) AS NUM_REG, SUM(IF(REGEXP_REPLACE(TRIM(CAST(X."&amp;F228&amp;" AS STRING)),'[^a-zA-Z0-9_\\s]','') &lt;&gt;TRIM(CAST(X."&amp;F228&amp;" AS STRING)),1,0)) AS NUM_REG_DIF,'"&amp;MAX('ID1&amp;5'!K:K)+1&amp;"' AS ID_EXEC, CURRENT_TIMESTAMP() AS TIME_EXEC FROM "&amp;I228,
IF(C228="Missings",+"SELECT '"&amp;UPPER(B228)&amp;"' AS TABELA, '"&amp;UPPER(C228)&amp;"' AS TIPOLOGIA_TESTE,'"&amp;D228&amp;"' AS TABELA_LT,'N/A' AS TABELA_SIMUL,'"&amp;F228&amp;"' AS CAMPO, "&amp;"'${ref_date}' AS REF_DATE, COUNT(*) AS NUM_REG, SUM(IF(TRIM(CAST(X."&amp;F228&amp;" AS STRING)) IN ('0000-00-00','0001-01-01','9999-12-31','MISS','00000','99999999999','99999999999.00','99999999999.000000'),1,0)) AS NUM_REG_DIF,'"&amp;MAX('ID1&amp;5'!K:K)+1&amp;"' AS ID_EXEC, CURRENT_TIMESTAMP() AS TIME_EXEC FROM "&amp;I228,
IF(C228="Not applicable",+"SELECT '"&amp;UPPER(B228)&amp;"' AS TABELA, '"&amp;UPPER(C228)&amp;"' AS TIPOLOGIA_TESTE,'"&amp;D228&amp;"' AS TABELA_LT,'N/A' AS TABELA_SIMUL,'"&amp;F228&amp;"' AS CAMPO, "&amp;"'${ref_date}' AS REF_DATE, COUNT(*) AS NUM_REG, SUM(IF(TRIM(CAST(X."&amp;F228&amp;" AS STRING)) IN ('N/A','11111111111','11111111111.00','11111111111.000000','1111-11-11'),1,0)) AS NUM_REG_DIF,'"&amp;MAX('ID1&amp;5'!K:K)+1&amp;"' AS ID_EXEC, CURRENT_TIMESTAMP() AS TIME_EXEC FROM "&amp;I228,
IF(C228="Valores extremos",+"SELECT '"&amp;UPPER(B228)&amp;"' AS TABELA, '"&amp;UPPER(C228)&amp;"' AS TIPOLOGIA_TESTE,'"&amp;D228&amp;"' AS TABELA_LT,'N/A' AS TABELA_SIMUL,'"&amp;F228&amp;"' AS CAMPO, "&amp;"'${ref_date}' AS REF_DATE, CAST(MIN("&amp;F228&amp;") AS STRING) AS VALOR_MIN, CAST(MAX("&amp;F228&amp;") AS STRING) AS VALOR_MAX,'"&amp;MAX('ID1&amp;5'!K:K)+1&amp;"' AS ID_EXEC, CURRENT_TIMESTAMP() AS TIME_EXEC FROM "&amp;MID(I228,1,LEN(I228)-2)&amp;" AND CAST("&amp;F228&amp;"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TABELA_SIMUL,'instrmnt_clss' AS CAMPO, '${ref_date}' AS REF_DATE, COUNT(*) AS NUM_REG, SUM(IF(COALESCE(CAST(X.instrmnt_clss AS STRING),'')&lt;&gt;COALESCE(CAST(Y.instrmnt_clss_SIMUL AS STRING),'') OR (X.instrmnt_clss IS NULL AND Y.instrmnt_clss_SIMUL IS NOT NULL ) OR (X.instrmnt_clss IS NOT NULL AND Y.instrmnt_clss_SIMUL IS NULL),1,0)) AS NUM_REG_DIF,'1' AS ID_EXEC, CURRENT_TIMESTAMP() AS TIME_EXEC FROM (SELECT instrmnt_id, instrmnt_clss FROM BU_LOANTAPE_WORK.LT002_INSTRUMENT WHERE ref_date='${ref_date}' AND nome_perimetro='Individual Local' AND segmento='ESTR' AND ambito='SRB_MBDT' AND entidade='00100')X INNER JOIN (SELECT instrmnt_id AS instrmnt_id_SIMUL, instrmnt_clss AS instrmnt_clss_SIMUL FROM BU_LOANTAPE_WORK.SIMUL_LT002_INSTRUMENT WHERE ref_date='${ref_date}' AND nome_perimetro='Individual Local' AND segmento='ESTR' AND ambito='PILAR3' AND entidade='00100')Y ON X.INSTRMNT_ID=Y.INSTRMNT_ID_SIMUL</v>
      </c>
      <c r="M228" s="36" t="str">
        <f t="shared" si="6"/>
        <v>UNION ALL SELECT 'INSTRUMENT' AS TABELA, 'COERÊNCIA' AS TIPOLOGIA_TESTE,'BU_LOANTAPE_WORK.LT002_INSTRUMENT' AS TABELA_LT,'BU_LOANTAPE_WORK.SIMUL_LT002_INSTRUMENT' AS TABELA_SIMUL,'instrmnt_clss' AS CAMPO, '${ref_date}' AS REF_DATE, COUNT(*) AS NUM_REG, SUM(IF(COALESCE(CAST(X.instrmnt_clss AS STRING),'')&lt;&gt;COALESCE(CAST(Y.instrmnt_clss_SIMUL AS STRING),'') OR (X.instrmnt_clss IS NULL AND Y.instrmnt_clss_SIMUL IS NOT NULL ) OR (X.instrmnt_clss IS NOT NULL AND Y.instrmnt_clss_SIMUL IS NULL),1,0)) AS NUM_REG_DIF,'1' AS ID_EXEC, CURRENT_TIMESTAMP() AS TIME_EXEC FROM (SELECT instrmnt_id, instrmnt_clss FROM BU_LOANTAPE_WORK.LT002_INSTRUMENT WHERE ref_date='${ref_date}' AND nome_perimetro='Individual Local' AND segmento='ESTR' AND ambito='SRB_MBDT' AND entidade='00100')X INNER JOIN (SELECT instrmnt_id AS instrmnt_id_SIMUL, instrmnt_clss AS instrmnt_clss_SIMUL FROM BU_LOANTAPE_WORK.SIMUL_LT002_INSTRUMENT WHERE ref_date='${ref_date}' AND nome_perimetro='Individual Local' AND segmento='ESTR' AND ambito='PILAR3' AND entidade='00100')Y ON X.INSTRMNT_ID=Y.INSTRMNT_ID_SIMUL</v>
      </c>
      <c r="N228" s="38"/>
    </row>
    <row r="229" spans="2:14">
      <c r="B229" s="34" t="s">
        <v>117</v>
      </c>
      <c r="C229" s="34" t="s">
        <v>5</v>
      </c>
      <c r="D229" s="34" t="str">
        <f>+UPPER('0. Instruções'!$D$35&amp;"."&amp;VLOOKUP(B229,'0. Instruções'!$C$27:$D$32,2,FALSE))</f>
        <v>BU_LOANTAPE_WORK.LT002_INSTRUMENT</v>
      </c>
      <c r="E229" s="34" t="str">
        <f>+UPPER('0. Instruções'!$D$36&amp;"."&amp;VLOOKUP(B229,'0. Instruções'!$C$27:$E$32,3,FALSE))</f>
        <v>BU_LOANTAPE_WORK.SIMUL_LT002_INSTRUMENT</v>
      </c>
      <c r="F229" s="34" t="s">
        <v>614</v>
      </c>
      <c r="G229" s="34"/>
      <c r="H229" s="34"/>
      <c r="I229" s="34" t="str">
        <f>"(SELECT "&amp;VLOOKUP(B229,'0. Instruções'!$C$27:$G$32,4,FALSE)&amp;", "&amp;F229&amp;" FROM "&amp;D229&amp;" WHERE "&amp;'0. Instruções'!$D$42&amp;")X"</f>
        <v>(SELECT instrmnt_id, isin FROM BU_LOANTAPE_WORK.LT002_INSTRUMENT WHERE ref_date='${ref_date}' AND nome_perimetro='Individual Local' AND segmento='ESTR' AND ambito='SRB_MBDT' AND entidade='00100')X</v>
      </c>
      <c r="J229" s="34" t="str">
        <f>"(SELECT "&amp;VLOOKUP(B229,'0. Instruções'!$C$27:$G$32,4,FALSE)&amp;" AS "&amp;VLOOKUP(B229,'0. Instruções'!$C$27:$G$32,4,FALSE)&amp;"_SIMUL, "&amp;F229&amp;" AS "&amp;F229&amp;"_SIMUL FROM "&amp;E229&amp;" WHERE "&amp;'0. Instruções'!$D$43&amp;")Y"</f>
        <v>(SELECT instrmnt_id AS instrmnt_id_SIMUL, isin AS isin_SIMUL FROM BU_LOANTAPE_WORK.SIMUL_LT002_INSTRUMENT WHERE ref_date='${ref_date}' AND nome_perimetro='Individual Local' AND segmento='ESTR' AND ambito='PILAR3' AND entidade='00100')Y</v>
      </c>
      <c r="K229" s="35" t="str">
        <f>+UPPER("ON X."&amp;VLOOKUP(B229,'0. Instruções'!$C$27:$G$32,4,FALSE)&amp;"=Y."&amp;VLOOKUP(B229,'0. Instruções'!$C$27:$G$32,4,FALSE)&amp;"_SIMUL")</f>
        <v>ON X.INSTRMNT_ID=Y.INSTRMNT_ID_SIMUL</v>
      </c>
      <c r="L229" s="35" t="str">
        <f>+IF(C229="Coerência", +IF(LEFT(G229,5)="FLOAT","SELECT '"&amp;UPPER(B229)&amp;"' AS TABELA, '"&amp;UPPER(C229)&amp;"' AS TIPOLOGIA_TESTE,'"&amp;D229&amp;"' AS TABELA_LT,'"&amp;E229&amp;"' AS TABELA_SIMUL,'"&amp;F229&amp;"' AS CAMPO, "&amp;"'${ref_date}' AS REF_DATE, COUNT(*) AS NUM_REG, SUM(IF((ABS(COALESCE(CAST(X."&amp;F229&amp;" AS DECIMAL(18,6)),0)-COALESCE(CAST(Y."&amp;F229&amp;"_SIMUL AS DECIMAL(18,6)),0))&gt;0.000001) OR (X."&amp;F229&amp;" IS NULL AND Y."&amp;F229&amp;"_SIMUL IS NOT NULL ) OR (X."&amp;F229&amp;" IS NOT NULL AND Y."&amp;F229&amp;"_SIMUL IS NULL),1,0)) AS NUM_REG_DIF,'"&amp;MAX('ID1&amp;5'!K:K)+1&amp;"' AS ID_EXEC, CURRENT_TIMESTAMP() AS TIME_EXEC FROM "&amp;I229&amp;" INNER JOIN "&amp;J229&amp;" "&amp;K229,"SELECT '"&amp;UPPER(B229)&amp;"' AS TABELA, '"&amp;UPPER(C229)&amp;"' AS TIPOLOGIA_TESTE,'"&amp;D229&amp;"' AS TABELA_LT,'"&amp;E229&amp;"' AS TABELA_SIMUL,'"&amp;F229&amp;"' AS CAMPO, "&amp;"'${ref_date}' AS REF_DATE, COUNT(*) AS NUM_REG, SUM(IF(COALESCE(CAST(X."&amp;F229&amp;" AS STRING),'')&lt;&gt;COALESCE(CAST(Y."&amp;F229&amp;"_SIMUL AS STRING),'') OR (X."&amp;F229&amp;" IS NULL AND Y."&amp;F229&amp;"_SIMUL IS NOT NULL ) OR (X."&amp;F229&amp;" IS NOT NULL AND Y."&amp;F229&amp;"_SIMUL IS NULL),1,0)) AS NUM_REG_DIF,'"&amp;MAX('ID1&amp;5'!L:L)+1&amp;"' AS ID_EXEC, CURRENT_TIMESTAMP() AS TIME_EXEC FROM "&amp;I229&amp;" INNER JOIN "&amp;J229&amp;" "&amp;K229),
IF(C229="Validade",+IF(G229="Code List","SELECT '"&amp;UPPER(B229)&amp;"' AS TABELA, '"&amp;UPPER(C229)&amp;"' AS TIPOLOGIA_TESTE,'"&amp;D229&amp;"' AS TABELA_LT,'N/A' AS TABELA_SIMUL,'"&amp;F229&amp;"' AS CAMPO, "&amp;"'${ref_date}' AS REF_DATE, COUNT(*) AS NUM_REG, SUM(IF(TRIM(CAST(X."&amp;F229&amp;" AS STRING))='' OR TRIM(CAST(X."&amp;F229&amp;" AS STRING)) IS NULL OR CAST(X."&amp;F229&amp;" AS STRING) NOT "&amp;H229&amp;",1,0)) AS NUM_REG_DIF,'"&amp;MAX('ID1&amp;5'!K:K)+1&amp;"' AS ID_EXEC, CURRENT_TIMESTAMP() AS TIME_EXEC FROM "&amp;I229,"SELECT '"&amp;UPPER(B229)&amp;"' AS TABELA, '"&amp;UPPER(C229)&amp;"' AS TIPOLOGIA_TESTE,'"&amp;D229&amp;"' AS TABELA_LT,'N/A' AS TABELA_SIMUL,'"&amp;F229&amp;"' AS CAMPO, "&amp;"'${ref_date}' AS REF_DATE, COUNT(*) AS NUM_REG, SUM(IF(TRIM(CAST(X."&amp;F229&amp;" AS STRING))='' OR TRIM(CAST(X."&amp;F229&amp;" AS STRING)) IS NULL,1,0)) AS NUM_REG_DIF,'"&amp;MAX('ID1&amp;5'!K:K)+1&amp;"' AS ID_EXEC, CURRENT_TIMESTAMP() AS TIME_EXEC FROM "&amp;I229),
IF(C229="Caracteres Especiais",+"SELECT '"&amp;UPPER(B229)&amp;"' AS TABELA, '"&amp;UPPER(C229)&amp;"' AS TIPOLOGIA_TESTE,'"&amp;D229&amp;"' AS TABELA_LT,'N/A' AS TABELA_SIMUL,'"&amp;F229&amp;"' AS CAMPO, "&amp;"'${ref_date}' AS REF_DATE, COUNT(*) AS NUM_REG, SUM(IF(REGEXP_REPLACE(TRIM(CAST(X."&amp;F229&amp;" AS STRING)),'[^a-zA-Z0-9_\\s]','') &lt;&gt;TRIM(CAST(X."&amp;F229&amp;" AS STRING)),1,0)) AS NUM_REG_DIF,'"&amp;MAX('ID1&amp;5'!K:K)+1&amp;"' AS ID_EXEC, CURRENT_TIMESTAMP() AS TIME_EXEC FROM "&amp;I229,
IF(C229="Missings",+"SELECT '"&amp;UPPER(B229)&amp;"' AS TABELA, '"&amp;UPPER(C229)&amp;"' AS TIPOLOGIA_TESTE,'"&amp;D229&amp;"' AS TABELA_LT,'N/A' AS TABELA_SIMUL,'"&amp;F229&amp;"' AS CAMPO, "&amp;"'${ref_date}' AS REF_DATE, COUNT(*) AS NUM_REG, SUM(IF(TRIM(CAST(X."&amp;F229&amp;" AS STRING)) IN ('0000-00-00','0001-01-01','9999-12-31','MISS','00000','99999999999','99999999999.00','99999999999.000000'),1,0)) AS NUM_REG_DIF,'"&amp;MAX('ID1&amp;5'!K:K)+1&amp;"' AS ID_EXEC, CURRENT_TIMESTAMP() AS TIME_EXEC FROM "&amp;I229,
IF(C229="Not applicable",+"SELECT '"&amp;UPPER(B229)&amp;"' AS TABELA, '"&amp;UPPER(C229)&amp;"' AS TIPOLOGIA_TESTE,'"&amp;D229&amp;"' AS TABELA_LT,'N/A' AS TABELA_SIMUL,'"&amp;F229&amp;"' AS CAMPO, "&amp;"'${ref_date}' AS REF_DATE, COUNT(*) AS NUM_REG, SUM(IF(TRIM(CAST(X."&amp;F229&amp;" AS STRING)) IN ('N/A','11111111111','11111111111.00','11111111111.000000','1111-11-11'),1,0)) AS NUM_REG_DIF,'"&amp;MAX('ID1&amp;5'!K:K)+1&amp;"' AS ID_EXEC, CURRENT_TIMESTAMP() AS TIME_EXEC FROM "&amp;I229,
IF(C229="Valores extremos",+"SELECT '"&amp;UPPER(B229)&amp;"' AS TABELA, '"&amp;UPPER(C229)&amp;"' AS TIPOLOGIA_TESTE,'"&amp;D229&amp;"' AS TABELA_LT,'N/A' AS TABELA_SIMUL,'"&amp;F229&amp;"' AS CAMPO, "&amp;"'${ref_date}' AS REF_DATE, CAST(MIN("&amp;F229&amp;") AS STRING) AS VALOR_MIN, CAST(MAX("&amp;F229&amp;") AS STRING) AS VALOR_MAX,'"&amp;MAX('ID1&amp;5'!K:K)+1&amp;"' AS ID_EXEC, CURRENT_TIMESTAMP() AS TIME_EXEC FROM "&amp;MID(I229,1,LEN(I229)-2)&amp;" AND CAST("&amp;F229&amp;"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TABELA_SIMUL,'isin' AS CAMPO, '${ref_date}' AS REF_DATE, COUNT(*) AS NUM_REG, SUM(IF(COALESCE(CAST(X.isin AS STRING),'')&lt;&gt;COALESCE(CAST(Y.isin_SIMUL AS STRING),'') OR (X.isin IS NULL AND Y.isin_SIMUL IS NOT NULL ) OR (X.isin IS NOT NULL AND Y.isin_SIMUL IS NULL),1,0)) AS NUM_REG_DIF,'1' AS ID_EXEC, CURRENT_TIMESTAMP() AS TIME_EXEC FROM (SELECT instrmnt_id, isin FROM BU_LOANTAPE_WORK.LT002_INSTRUMENT WHERE ref_date='${ref_date}' AND nome_perimetro='Individual Local' AND segmento='ESTR' AND ambito='SRB_MBDT' AND entidade='00100')X INNER JOIN (SELECT instrmnt_id AS instrmnt_id_SIMUL, isin AS isin_SIMUL FROM BU_LOANTAPE_WORK.SIMUL_LT002_INSTRUMENT WHERE ref_date='${ref_date}' AND nome_perimetro='Individual Local' AND segmento='ESTR' AND ambito='PILAR3' AND entidade='00100')Y ON X.INSTRMNT_ID=Y.INSTRMNT_ID_SIMUL</v>
      </c>
      <c r="M229" s="36" t="str">
        <f t="shared" si="6"/>
        <v>UNION ALL SELECT 'INSTRUMENT' AS TABELA, 'COERÊNCIA' AS TIPOLOGIA_TESTE,'BU_LOANTAPE_WORK.LT002_INSTRUMENT' AS TABELA_LT,'BU_LOANTAPE_WORK.SIMUL_LT002_INSTRUMENT' AS TABELA_SIMUL,'isin' AS CAMPO, '${ref_date}' AS REF_DATE, COUNT(*) AS NUM_REG, SUM(IF(COALESCE(CAST(X.isin AS STRING),'')&lt;&gt;COALESCE(CAST(Y.isin_SIMUL AS STRING),'') OR (X.isin IS NULL AND Y.isin_SIMUL IS NOT NULL ) OR (X.isin IS NOT NULL AND Y.isin_SIMUL IS NULL),1,0)) AS NUM_REG_DIF,'1' AS ID_EXEC, CURRENT_TIMESTAMP() AS TIME_EXEC FROM (SELECT instrmnt_id, isin FROM BU_LOANTAPE_WORK.LT002_INSTRUMENT WHERE ref_date='${ref_date}' AND nome_perimetro='Individual Local' AND segmento='ESTR' AND ambito='SRB_MBDT' AND entidade='00100')X INNER JOIN (SELECT instrmnt_id AS instrmnt_id_SIMUL, isin AS isin_SIMUL FROM BU_LOANTAPE_WORK.SIMUL_LT002_INSTRUMENT WHERE ref_date='${ref_date}' AND nome_perimetro='Individual Local' AND segmento='ESTR' AND ambito='PILAR3' AND entidade='00100')Y ON X.INSTRMNT_ID=Y.INSTRMNT_ID_SIMUL</v>
      </c>
      <c r="N229" s="38"/>
    </row>
    <row r="230" spans="2:14">
      <c r="B230" s="34" t="s">
        <v>117</v>
      </c>
      <c r="C230" s="34" t="s">
        <v>5</v>
      </c>
      <c r="D230" s="34" t="str">
        <f>+UPPER('0. Instruções'!$D$35&amp;"."&amp;VLOOKUP(B230,'0. Instruções'!$C$27:$D$32,2,FALSE))</f>
        <v>BU_LOANTAPE_WORK.LT002_INSTRUMENT</v>
      </c>
      <c r="E230" s="34" t="str">
        <f>+UPPER('0. Instruções'!$D$36&amp;"."&amp;VLOOKUP(B230,'0. Instruções'!$C$27:$E$32,3,FALSE))</f>
        <v>BU_LOANTAPE_WORK.SIMUL_LT002_INSTRUMENT</v>
      </c>
      <c r="F230" s="34" t="s">
        <v>652</v>
      </c>
      <c r="G230" s="34"/>
      <c r="H230" s="34"/>
      <c r="I230" s="34" t="str">
        <f>"(SELECT "&amp;VLOOKUP(B230,'0. Instruções'!$C$27:$G$32,4,FALSE)&amp;", "&amp;F230&amp;" FROM "&amp;D230&amp;" WHERE "&amp;'0. Instruções'!$D$42&amp;")X"</f>
        <v>(SELECT instrmnt_id, issr_cntry FROM BU_LOANTAPE_WORK.LT002_INSTRUMENT WHERE ref_date='${ref_date}' AND nome_perimetro='Individual Local' AND segmento='ESTR' AND ambito='SRB_MBDT' AND entidade='00100')X</v>
      </c>
      <c r="J230" s="34" t="str">
        <f>"(SELECT "&amp;VLOOKUP(B230,'0. Instruções'!$C$27:$G$32,4,FALSE)&amp;" AS "&amp;VLOOKUP(B230,'0. Instruções'!$C$27:$G$32,4,FALSE)&amp;"_SIMUL, "&amp;F230&amp;" AS "&amp;F230&amp;"_SIMUL FROM "&amp;E230&amp;" WHERE "&amp;'0. Instruções'!$D$43&amp;")Y"</f>
        <v>(SELECT instrmnt_id AS instrmnt_id_SIMUL, issr_cntry AS issr_cntry_SIMUL FROM BU_LOANTAPE_WORK.SIMUL_LT002_INSTRUMENT WHERE ref_date='${ref_date}' AND nome_perimetro='Individual Local' AND segmento='ESTR' AND ambito='PILAR3' AND entidade='00100')Y</v>
      </c>
      <c r="K230" s="35" t="str">
        <f>+UPPER("ON X."&amp;VLOOKUP(B230,'0. Instruções'!$C$27:$G$32,4,FALSE)&amp;"=Y."&amp;VLOOKUP(B230,'0. Instruções'!$C$27:$G$32,4,FALSE)&amp;"_SIMUL")</f>
        <v>ON X.INSTRMNT_ID=Y.INSTRMNT_ID_SIMUL</v>
      </c>
      <c r="L230" s="35" t="str">
        <f>+IF(C230="Coerência", +IF(LEFT(G230,5)="FLOAT","SELECT '"&amp;UPPER(B230)&amp;"' AS TABELA, '"&amp;UPPER(C230)&amp;"' AS TIPOLOGIA_TESTE,'"&amp;D230&amp;"' AS TABELA_LT,'"&amp;E230&amp;"' AS TABELA_SIMUL,'"&amp;F230&amp;"' AS CAMPO, "&amp;"'${ref_date}' AS REF_DATE, COUNT(*) AS NUM_REG, SUM(IF((ABS(COALESCE(CAST(X."&amp;F230&amp;" AS DECIMAL(18,6)),0)-COALESCE(CAST(Y."&amp;F230&amp;"_SIMUL AS DECIMAL(18,6)),0))&gt;0.000001) OR (X."&amp;F230&amp;" IS NULL AND Y."&amp;F230&amp;"_SIMUL IS NOT NULL ) OR (X."&amp;F230&amp;" IS NOT NULL AND Y."&amp;F230&amp;"_SIMUL IS NULL),1,0)) AS NUM_REG_DIF,'"&amp;MAX('ID1&amp;5'!K:K)+1&amp;"' AS ID_EXEC, CURRENT_TIMESTAMP() AS TIME_EXEC FROM "&amp;I230&amp;" INNER JOIN "&amp;J230&amp;" "&amp;K230,"SELECT '"&amp;UPPER(B230)&amp;"' AS TABELA, '"&amp;UPPER(C230)&amp;"' AS TIPOLOGIA_TESTE,'"&amp;D230&amp;"' AS TABELA_LT,'"&amp;E230&amp;"' AS TABELA_SIMUL,'"&amp;F230&amp;"' AS CAMPO, "&amp;"'${ref_date}' AS REF_DATE, COUNT(*) AS NUM_REG, SUM(IF(COALESCE(CAST(X."&amp;F230&amp;" AS STRING),'')&lt;&gt;COALESCE(CAST(Y."&amp;F230&amp;"_SIMUL AS STRING),'') OR (X."&amp;F230&amp;" IS NULL AND Y."&amp;F230&amp;"_SIMUL IS NOT NULL ) OR (X."&amp;F230&amp;" IS NOT NULL AND Y."&amp;F230&amp;"_SIMUL IS NULL),1,0)) AS NUM_REG_DIF,'"&amp;MAX('ID1&amp;5'!L:L)+1&amp;"' AS ID_EXEC, CURRENT_TIMESTAMP() AS TIME_EXEC FROM "&amp;I230&amp;" INNER JOIN "&amp;J230&amp;" "&amp;K230),
IF(C230="Validade",+IF(G230="Code List","SELECT '"&amp;UPPER(B230)&amp;"' AS TABELA, '"&amp;UPPER(C230)&amp;"' AS TIPOLOGIA_TESTE,'"&amp;D230&amp;"' AS TABELA_LT,'N/A' AS TABELA_SIMUL,'"&amp;F230&amp;"' AS CAMPO, "&amp;"'${ref_date}' AS REF_DATE, COUNT(*) AS NUM_REG, SUM(IF(TRIM(CAST(X."&amp;F230&amp;" AS STRING))='' OR TRIM(CAST(X."&amp;F230&amp;" AS STRING)) IS NULL OR CAST(X."&amp;F230&amp;" AS STRING) NOT "&amp;H230&amp;",1,0)) AS NUM_REG_DIF,'"&amp;MAX('ID1&amp;5'!K:K)+1&amp;"' AS ID_EXEC, CURRENT_TIMESTAMP() AS TIME_EXEC FROM "&amp;I230,"SELECT '"&amp;UPPER(B230)&amp;"' AS TABELA, '"&amp;UPPER(C230)&amp;"' AS TIPOLOGIA_TESTE,'"&amp;D230&amp;"' AS TABELA_LT,'N/A' AS TABELA_SIMUL,'"&amp;F230&amp;"' AS CAMPO, "&amp;"'${ref_date}' AS REF_DATE, COUNT(*) AS NUM_REG, SUM(IF(TRIM(CAST(X."&amp;F230&amp;" AS STRING))='' OR TRIM(CAST(X."&amp;F230&amp;" AS STRING)) IS NULL,1,0)) AS NUM_REG_DIF,'"&amp;MAX('ID1&amp;5'!K:K)+1&amp;"' AS ID_EXEC, CURRENT_TIMESTAMP() AS TIME_EXEC FROM "&amp;I230),
IF(C230="Caracteres Especiais",+"SELECT '"&amp;UPPER(B230)&amp;"' AS TABELA, '"&amp;UPPER(C230)&amp;"' AS TIPOLOGIA_TESTE,'"&amp;D230&amp;"' AS TABELA_LT,'N/A' AS TABELA_SIMUL,'"&amp;F230&amp;"' AS CAMPO, "&amp;"'${ref_date}' AS REF_DATE, COUNT(*) AS NUM_REG, SUM(IF(REGEXP_REPLACE(TRIM(CAST(X."&amp;F230&amp;" AS STRING)),'[^a-zA-Z0-9_\\s]','') &lt;&gt;TRIM(CAST(X."&amp;F230&amp;" AS STRING)),1,0)) AS NUM_REG_DIF,'"&amp;MAX('ID1&amp;5'!K:K)+1&amp;"' AS ID_EXEC, CURRENT_TIMESTAMP() AS TIME_EXEC FROM "&amp;I230,
IF(C230="Missings",+"SELECT '"&amp;UPPER(B230)&amp;"' AS TABELA, '"&amp;UPPER(C230)&amp;"' AS TIPOLOGIA_TESTE,'"&amp;D230&amp;"' AS TABELA_LT,'N/A' AS TABELA_SIMUL,'"&amp;F230&amp;"' AS CAMPO, "&amp;"'${ref_date}' AS REF_DATE, COUNT(*) AS NUM_REG, SUM(IF(TRIM(CAST(X."&amp;F230&amp;" AS STRING)) IN ('0000-00-00','0001-01-01','9999-12-31','MISS','00000','99999999999','99999999999.00','99999999999.000000'),1,0)) AS NUM_REG_DIF,'"&amp;MAX('ID1&amp;5'!K:K)+1&amp;"' AS ID_EXEC, CURRENT_TIMESTAMP() AS TIME_EXEC FROM "&amp;I230,
IF(C230="Not applicable",+"SELECT '"&amp;UPPER(B230)&amp;"' AS TABELA, '"&amp;UPPER(C230)&amp;"' AS TIPOLOGIA_TESTE,'"&amp;D230&amp;"' AS TABELA_LT,'N/A' AS TABELA_SIMUL,'"&amp;F230&amp;"' AS CAMPO, "&amp;"'${ref_date}' AS REF_DATE, COUNT(*) AS NUM_REG, SUM(IF(TRIM(CAST(X."&amp;F230&amp;" AS STRING)) IN ('N/A','11111111111','11111111111.00','11111111111.000000','1111-11-11'),1,0)) AS NUM_REG_DIF,'"&amp;MAX('ID1&amp;5'!K:K)+1&amp;"' AS ID_EXEC, CURRENT_TIMESTAMP() AS TIME_EXEC FROM "&amp;I230,
IF(C230="Valores extremos",+"SELECT '"&amp;UPPER(B230)&amp;"' AS TABELA, '"&amp;UPPER(C230)&amp;"' AS TIPOLOGIA_TESTE,'"&amp;D230&amp;"' AS TABELA_LT,'N/A' AS TABELA_SIMUL,'"&amp;F230&amp;"' AS CAMPO, "&amp;"'${ref_date}' AS REF_DATE, CAST(MIN("&amp;F230&amp;") AS STRING) AS VALOR_MIN, CAST(MAX("&amp;F230&amp;") AS STRING) AS VALOR_MAX,'"&amp;MAX('ID1&amp;5'!K:K)+1&amp;"' AS ID_EXEC, CURRENT_TIMESTAMP() AS TIME_EXEC FROM "&amp;MID(I230,1,LEN(I230)-2)&amp;" AND CAST("&amp;F230&amp;"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TABELA_SIMUL,'issr_cntry' AS CAMPO, '${ref_date}' AS REF_DATE, COUNT(*) AS NUM_REG, SUM(IF(COALESCE(CAST(X.issr_cntry AS STRING),'')&lt;&gt;COALESCE(CAST(Y.issr_cntry_SIMUL AS STRING),'') OR (X.issr_cntry IS NULL AND Y.issr_cntry_SIMUL IS NOT NULL ) OR (X.issr_cntry IS NOT NULL AND Y.issr_cntry_SIMUL IS NULL),1,0)) AS NUM_REG_DIF,'1' AS ID_EXEC, CURRENT_TIMESTAMP() AS TIME_EXEC FROM (SELECT instrmnt_id, issr_cntry FROM BU_LOANTAPE_WORK.LT002_INSTRUMENT WHERE ref_date='${ref_date}' AND nome_perimetro='Individual Local' AND segmento='ESTR' AND ambito='SRB_MBDT' AND entidade='00100')X INNER JOIN (SELECT instrmnt_id AS instrmnt_id_SIMUL, issr_cntry AS issr_cntry_SIMUL FROM BU_LOANTAPE_WORK.SIMUL_LT002_INSTRUMENT WHERE ref_date='${ref_date}' AND nome_perimetro='Individual Local' AND segmento='ESTR' AND ambito='PILAR3' AND entidade='00100')Y ON X.INSTRMNT_ID=Y.INSTRMNT_ID_SIMUL</v>
      </c>
      <c r="M230" s="36" t="str">
        <f t="shared" si="6"/>
        <v>UNION ALL SELECT 'INSTRUMENT' AS TABELA, 'COERÊNCIA' AS TIPOLOGIA_TESTE,'BU_LOANTAPE_WORK.LT002_INSTRUMENT' AS TABELA_LT,'BU_LOANTAPE_WORK.SIMUL_LT002_INSTRUMENT' AS TABELA_SIMUL,'issr_cntry' AS CAMPO, '${ref_date}' AS REF_DATE, COUNT(*) AS NUM_REG, SUM(IF(COALESCE(CAST(X.issr_cntry AS STRING),'')&lt;&gt;COALESCE(CAST(Y.issr_cntry_SIMUL AS STRING),'') OR (X.issr_cntry IS NULL AND Y.issr_cntry_SIMUL IS NOT NULL ) OR (X.issr_cntry IS NOT NULL AND Y.issr_cntry_SIMUL IS NULL),1,0)) AS NUM_REG_DIF,'1' AS ID_EXEC, CURRENT_TIMESTAMP() AS TIME_EXEC FROM (SELECT instrmnt_id, issr_cntry FROM BU_LOANTAPE_WORK.LT002_INSTRUMENT WHERE ref_date='${ref_date}' AND nome_perimetro='Individual Local' AND segmento='ESTR' AND ambito='SRB_MBDT' AND entidade='00100')X INNER JOIN (SELECT instrmnt_id AS instrmnt_id_SIMUL, issr_cntry AS issr_cntry_SIMUL FROM BU_LOANTAPE_WORK.SIMUL_LT002_INSTRUMENT WHERE ref_date='${ref_date}' AND nome_perimetro='Individual Local' AND segmento='ESTR' AND ambito='PILAR3' AND entidade='00100')Y ON X.INSTRMNT_ID=Y.INSTRMNT_ID_SIMUL</v>
      </c>
      <c r="N230" s="38"/>
    </row>
    <row r="231" spans="2:14">
      <c r="B231" s="34" t="s">
        <v>117</v>
      </c>
      <c r="C231" s="34" t="s">
        <v>5</v>
      </c>
      <c r="D231" s="34" t="str">
        <f>+UPPER('0. Instruções'!$D$35&amp;"."&amp;VLOOKUP(B231,'0. Instruções'!$C$27:$D$32,2,FALSE))</f>
        <v>BU_LOANTAPE_WORK.LT002_INSTRUMENT</v>
      </c>
      <c r="E231" s="34" t="str">
        <f>+UPPER('0. Instruções'!$D$36&amp;"."&amp;VLOOKUP(B231,'0. Instruções'!$C$27:$E$32,3,FALSE))</f>
        <v>BU_LOANTAPE_WORK.SIMUL_LT002_INSTRUMENT</v>
      </c>
      <c r="F231" s="34" t="s">
        <v>1291</v>
      </c>
      <c r="G231" s="34"/>
      <c r="H231" s="34"/>
      <c r="I231" s="34" t="str">
        <f>"(SELECT "&amp;VLOOKUP(B231,'0. Instruções'!$C$27:$G$32,4,FALSE)&amp;", "&amp;F231&amp;" FROM "&amp;D231&amp;" WHERE "&amp;'0. Instruções'!$D$42&amp;")X"</f>
        <v>(SELECT instrmnt_id, issr_esa_2010 FROM BU_LOANTAPE_WORK.LT002_INSTRUMENT WHERE ref_date='${ref_date}' AND nome_perimetro='Individual Local' AND segmento='ESTR' AND ambito='SRB_MBDT' AND entidade='00100')X</v>
      </c>
      <c r="J231" s="34" t="str">
        <f>"(SELECT "&amp;VLOOKUP(B231,'0. Instruções'!$C$27:$G$32,4,FALSE)&amp;" AS "&amp;VLOOKUP(B231,'0. Instruções'!$C$27:$G$32,4,FALSE)&amp;"_SIMUL, "&amp;F231&amp;" AS "&amp;F231&amp;"_SIMUL FROM "&amp;E231&amp;" WHERE "&amp;'0. Instruções'!$D$43&amp;")Y"</f>
        <v>(SELECT instrmnt_id AS instrmnt_id_SIMUL, issr_esa_2010 AS issr_esa_2010_SIMUL FROM BU_LOANTAPE_WORK.SIMUL_LT002_INSTRUMENT WHERE ref_date='${ref_date}' AND nome_perimetro='Individual Local' AND segmento='ESTR' AND ambito='PILAR3' AND entidade='00100')Y</v>
      </c>
      <c r="K231" s="35" t="str">
        <f>+UPPER("ON X."&amp;VLOOKUP(B231,'0. Instruções'!$C$27:$G$32,4,FALSE)&amp;"=Y."&amp;VLOOKUP(B231,'0. Instruções'!$C$27:$G$32,4,FALSE)&amp;"_SIMUL")</f>
        <v>ON X.INSTRMNT_ID=Y.INSTRMNT_ID_SIMUL</v>
      </c>
      <c r="L231" s="35" t="str">
        <f>+IF(C231="Coerência", +IF(LEFT(G231,5)="FLOAT","SELECT '"&amp;UPPER(B231)&amp;"' AS TABELA, '"&amp;UPPER(C231)&amp;"' AS TIPOLOGIA_TESTE,'"&amp;D231&amp;"' AS TABELA_LT,'"&amp;E231&amp;"' AS TABELA_SIMUL,'"&amp;F231&amp;"' AS CAMPO, "&amp;"'${ref_date}' AS REF_DATE, COUNT(*) AS NUM_REG, SUM(IF((ABS(COALESCE(CAST(X."&amp;F231&amp;" AS DECIMAL(18,6)),0)-COALESCE(CAST(Y."&amp;F231&amp;"_SIMUL AS DECIMAL(18,6)),0))&gt;0.000001) OR (X."&amp;F231&amp;" IS NULL AND Y."&amp;F231&amp;"_SIMUL IS NOT NULL ) OR (X."&amp;F231&amp;" IS NOT NULL AND Y."&amp;F231&amp;"_SIMUL IS NULL),1,0)) AS NUM_REG_DIF,'"&amp;MAX('ID1&amp;5'!K:K)+1&amp;"' AS ID_EXEC, CURRENT_TIMESTAMP() AS TIME_EXEC FROM "&amp;I231&amp;" INNER JOIN "&amp;J231&amp;" "&amp;K231,"SELECT '"&amp;UPPER(B231)&amp;"' AS TABELA, '"&amp;UPPER(C231)&amp;"' AS TIPOLOGIA_TESTE,'"&amp;D231&amp;"' AS TABELA_LT,'"&amp;E231&amp;"' AS TABELA_SIMUL,'"&amp;F231&amp;"' AS CAMPO, "&amp;"'${ref_date}' AS REF_DATE, COUNT(*) AS NUM_REG, SUM(IF(COALESCE(CAST(X."&amp;F231&amp;" AS STRING),'')&lt;&gt;COALESCE(CAST(Y."&amp;F231&amp;"_SIMUL AS STRING),'') OR (X."&amp;F231&amp;" IS NULL AND Y."&amp;F231&amp;"_SIMUL IS NOT NULL ) OR (X."&amp;F231&amp;" IS NOT NULL AND Y."&amp;F231&amp;"_SIMUL IS NULL),1,0)) AS NUM_REG_DIF,'"&amp;MAX('ID1&amp;5'!L:L)+1&amp;"' AS ID_EXEC, CURRENT_TIMESTAMP() AS TIME_EXEC FROM "&amp;I231&amp;" INNER JOIN "&amp;J231&amp;" "&amp;K231),
IF(C231="Validade",+IF(G231="Code List","SELECT '"&amp;UPPER(B231)&amp;"' AS TABELA, '"&amp;UPPER(C231)&amp;"' AS TIPOLOGIA_TESTE,'"&amp;D231&amp;"' AS TABELA_LT,'N/A' AS TABELA_SIMUL,'"&amp;F231&amp;"' AS CAMPO, "&amp;"'${ref_date}' AS REF_DATE, COUNT(*) AS NUM_REG, SUM(IF(TRIM(CAST(X."&amp;F231&amp;" AS STRING))='' OR TRIM(CAST(X."&amp;F231&amp;" AS STRING)) IS NULL OR CAST(X."&amp;F231&amp;" AS STRING) NOT "&amp;H231&amp;",1,0)) AS NUM_REG_DIF,'"&amp;MAX('ID1&amp;5'!K:K)+1&amp;"' AS ID_EXEC, CURRENT_TIMESTAMP() AS TIME_EXEC FROM "&amp;I231,"SELECT '"&amp;UPPER(B231)&amp;"' AS TABELA, '"&amp;UPPER(C231)&amp;"' AS TIPOLOGIA_TESTE,'"&amp;D231&amp;"' AS TABELA_LT,'N/A' AS TABELA_SIMUL,'"&amp;F231&amp;"' AS CAMPO, "&amp;"'${ref_date}' AS REF_DATE, COUNT(*) AS NUM_REG, SUM(IF(TRIM(CAST(X."&amp;F231&amp;" AS STRING))='' OR TRIM(CAST(X."&amp;F231&amp;" AS STRING)) IS NULL,1,0)) AS NUM_REG_DIF,'"&amp;MAX('ID1&amp;5'!K:K)+1&amp;"' AS ID_EXEC, CURRENT_TIMESTAMP() AS TIME_EXEC FROM "&amp;I231),
IF(C231="Caracteres Especiais",+"SELECT '"&amp;UPPER(B231)&amp;"' AS TABELA, '"&amp;UPPER(C231)&amp;"' AS TIPOLOGIA_TESTE,'"&amp;D231&amp;"' AS TABELA_LT,'N/A' AS TABELA_SIMUL,'"&amp;F231&amp;"' AS CAMPO, "&amp;"'${ref_date}' AS REF_DATE, COUNT(*) AS NUM_REG, SUM(IF(REGEXP_REPLACE(TRIM(CAST(X."&amp;F231&amp;" AS STRING)),'[^a-zA-Z0-9_\\s]','') &lt;&gt;TRIM(CAST(X."&amp;F231&amp;" AS STRING)),1,0)) AS NUM_REG_DIF,'"&amp;MAX('ID1&amp;5'!K:K)+1&amp;"' AS ID_EXEC, CURRENT_TIMESTAMP() AS TIME_EXEC FROM "&amp;I231,
IF(C231="Missings",+"SELECT '"&amp;UPPER(B231)&amp;"' AS TABELA, '"&amp;UPPER(C231)&amp;"' AS TIPOLOGIA_TESTE,'"&amp;D231&amp;"' AS TABELA_LT,'N/A' AS TABELA_SIMUL,'"&amp;F231&amp;"' AS CAMPO, "&amp;"'${ref_date}' AS REF_DATE, COUNT(*) AS NUM_REG, SUM(IF(TRIM(CAST(X."&amp;F231&amp;" AS STRING)) IN ('0000-00-00','0001-01-01','9999-12-31','MISS','00000','99999999999','99999999999.00','99999999999.000000'),1,0)) AS NUM_REG_DIF,'"&amp;MAX('ID1&amp;5'!K:K)+1&amp;"' AS ID_EXEC, CURRENT_TIMESTAMP() AS TIME_EXEC FROM "&amp;I231,
IF(C231="Not applicable",+"SELECT '"&amp;UPPER(B231)&amp;"' AS TABELA, '"&amp;UPPER(C231)&amp;"' AS TIPOLOGIA_TESTE,'"&amp;D231&amp;"' AS TABELA_LT,'N/A' AS TABELA_SIMUL,'"&amp;F231&amp;"' AS CAMPO, "&amp;"'${ref_date}' AS REF_DATE, COUNT(*) AS NUM_REG, SUM(IF(TRIM(CAST(X."&amp;F231&amp;" AS STRING)) IN ('N/A','11111111111','11111111111.00','11111111111.000000','1111-11-11'),1,0)) AS NUM_REG_DIF,'"&amp;MAX('ID1&amp;5'!K:K)+1&amp;"' AS ID_EXEC, CURRENT_TIMESTAMP() AS TIME_EXEC FROM "&amp;I231,
IF(C231="Valores extremos",+"SELECT '"&amp;UPPER(B231)&amp;"' AS TABELA, '"&amp;UPPER(C231)&amp;"' AS TIPOLOGIA_TESTE,'"&amp;D231&amp;"' AS TABELA_LT,'N/A' AS TABELA_SIMUL,'"&amp;F231&amp;"' AS CAMPO, "&amp;"'${ref_date}' AS REF_DATE, CAST(MIN("&amp;F231&amp;") AS STRING) AS VALOR_MIN, CAST(MAX("&amp;F231&amp;") AS STRING) AS VALOR_MAX,'"&amp;MAX('ID1&amp;5'!K:K)+1&amp;"' AS ID_EXEC, CURRENT_TIMESTAMP() AS TIME_EXEC FROM "&amp;MID(I231,1,LEN(I231)-2)&amp;" AND CAST("&amp;F231&amp;"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TABELA_SIMUL,'issr_esa_2010' AS CAMPO, '${ref_date}' AS REF_DATE, COUNT(*) AS NUM_REG, SUM(IF(COALESCE(CAST(X.issr_esa_2010 AS STRING),'')&lt;&gt;COALESCE(CAST(Y.issr_esa_2010_SIMUL AS STRING),'') OR (X.issr_esa_2010 IS NULL AND Y.issr_esa_2010_SIMUL IS NOT NULL ) OR (X.issr_esa_2010 IS NOT NULL AND Y.issr_esa_2010_SIMUL IS NULL),1,0)) AS NUM_REG_DIF,'1' AS ID_EXEC, CURRENT_TIMESTAMP() AS TIME_EXEC FROM (SELECT instrmnt_id, issr_esa_2010 FROM BU_LOANTAPE_WORK.LT002_INSTRUMENT WHERE ref_date='${ref_date}' AND nome_perimetro='Individual Local' AND segmento='ESTR' AND ambito='SRB_MBDT' AND entidade='00100')X INNER JOIN (SELECT instrmnt_id AS instrmnt_id_SIMUL, issr_esa_2010 AS issr_esa_2010_SIMUL FROM BU_LOANTAPE_WORK.SIMUL_LT002_INSTRUMENT WHERE ref_date='${ref_date}' AND nome_perimetro='Individual Local' AND segmento='ESTR' AND ambito='PILAR3' AND entidade='00100')Y ON X.INSTRMNT_ID=Y.INSTRMNT_ID_SIMUL</v>
      </c>
      <c r="M231" s="36" t="str">
        <f t="shared" si="6"/>
        <v>UNION ALL SELECT 'INSTRUMENT' AS TABELA, 'COERÊNCIA' AS TIPOLOGIA_TESTE,'BU_LOANTAPE_WORK.LT002_INSTRUMENT' AS TABELA_LT,'BU_LOANTAPE_WORK.SIMUL_LT002_INSTRUMENT' AS TABELA_SIMUL,'issr_esa_2010' AS CAMPO, '${ref_date}' AS REF_DATE, COUNT(*) AS NUM_REG, SUM(IF(COALESCE(CAST(X.issr_esa_2010 AS STRING),'')&lt;&gt;COALESCE(CAST(Y.issr_esa_2010_SIMUL AS STRING),'') OR (X.issr_esa_2010 IS NULL AND Y.issr_esa_2010_SIMUL IS NOT NULL ) OR (X.issr_esa_2010 IS NOT NULL AND Y.issr_esa_2010_SIMUL IS NULL),1,0)) AS NUM_REG_DIF,'1' AS ID_EXEC, CURRENT_TIMESTAMP() AS TIME_EXEC FROM (SELECT instrmnt_id, issr_esa_2010 FROM BU_LOANTAPE_WORK.LT002_INSTRUMENT WHERE ref_date='${ref_date}' AND nome_perimetro='Individual Local' AND segmento='ESTR' AND ambito='SRB_MBDT' AND entidade='00100')X INNER JOIN (SELECT instrmnt_id AS instrmnt_id_SIMUL, issr_esa_2010 AS issr_esa_2010_SIMUL FROM BU_LOANTAPE_WORK.SIMUL_LT002_INSTRUMENT WHERE ref_date='${ref_date}' AND nome_perimetro='Individual Local' AND segmento='ESTR' AND ambito='PILAR3' AND entidade='00100')Y ON X.INSTRMNT_ID=Y.INSTRMNT_ID_SIMUL</v>
      </c>
      <c r="N231" s="38"/>
    </row>
    <row r="232" spans="2:14">
      <c r="B232" s="34" t="s">
        <v>117</v>
      </c>
      <c r="C232" s="34" t="s">
        <v>5</v>
      </c>
      <c r="D232" s="34" t="str">
        <f>+UPPER('0. Instruções'!$D$35&amp;"."&amp;VLOOKUP(B232,'0. Instruções'!$C$27:$D$32,2,FALSE))</f>
        <v>BU_LOANTAPE_WORK.LT002_INSTRUMENT</v>
      </c>
      <c r="E232" s="34" t="str">
        <f>+UPPER('0. Instruções'!$D$36&amp;"."&amp;VLOOKUP(B232,'0. Instruções'!$C$27:$E$32,3,FALSE))</f>
        <v>BU_LOANTAPE_WORK.SIMUL_LT002_INSTRUMENT</v>
      </c>
      <c r="F232" s="34" t="s">
        <v>1292</v>
      </c>
      <c r="G232" s="34"/>
      <c r="H232" s="34"/>
      <c r="I232" s="34" t="str">
        <f>"(SELECT "&amp;VLOOKUP(B232,'0. Instruções'!$C$27:$G$32,4,FALSE)&amp;", "&amp;F232&amp;" FROM "&amp;D232&amp;" WHERE "&amp;'0. Instruções'!$D$42&amp;")X"</f>
        <v>(SELECT instrmnt_id, issr_id FROM BU_LOANTAPE_WORK.LT002_INSTRUMENT WHERE ref_date='${ref_date}' AND nome_perimetro='Individual Local' AND segmento='ESTR' AND ambito='SRB_MBDT' AND entidade='00100')X</v>
      </c>
      <c r="J232" s="34" t="str">
        <f>"(SELECT "&amp;VLOOKUP(B232,'0. Instruções'!$C$27:$G$32,4,FALSE)&amp;" AS "&amp;VLOOKUP(B232,'0. Instruções'!$C$27:$G$32,4,FALSE)&amp;"_SIMUL, "&amp;F232&amp;" AS "&amp;F232&amp;"_SIMUL FROM "&amp;E232&amp;" WHERE "&amp;'0. Instruções'!$D$43&amp;")Y"</f>
        <v>(SELECT instrmnt_id AS instrmnt_id_SIMUL, issr_id AS issr_id_SIMUL FROM BU_LOANTAPE_WORK.SIMUL_LT002_INSTRUMENT WHERE ref_date='${ref_date}' AND nome_perimetro='Individual Local' AND segmento='ESTR' AND ambito='PILAR3' AND entidade='00100')Y</v>
      </c>
      <c r="K232" s="35" t="str">
        <f>+UPPER("ON X."&amp;VLOOKUP(B232,'0. Instruções'!$C$27:$G$32,4,FALSE)&amp;"=Y."&amp;VLOOKUP(B232,'0. Instruções'!$C$27:$G$32,4,FALSE)&amp;"_SIMUL")</f>
        <v>ON X.INSTRMNT_ID=Y.INSTRMNT_ID_SIMUL</v>
      </c>
      <c r="L232" s="35" t="str">
        <f>+IF(C232="Coerência", +IF(LEFT(G232,5)="FLOAT","SELECT '"&amp;UPPER(B232)&amp;"' AS TABELA, '"&amp;UPPER(C232)&amp;"' AS TIPOLOGIA_TESTE,'"&amp;D232&amp;"' AS TABELA_LT,'"&amp;E232&amp;"' AS TABELA_SIMUL,'"&amp;F232&amp;"' AS CAMPO, "&amp;"'${ref_date}' AS REF_DATE, COUNT(*) AS NUM_REG, SUM(IF((ABS(COALESCE(CAST(X."&amp;F232&amp;" AS DECIMAL(18,6)),0)-COALESCE(CAST(Y."&amp;F232&amp;"_SIMUL AS DECIMAL(18,6)),0))&gt;0.000001) OR (X."&amp;F232&amp;" IS NULL AND Y."&amp;F232&amp;"_SIMUL IS NOT NULL ) OR (X."&amp;F232&amp;" IS NOT NULL AND Y."&amp;F232&amp;"_SIMUL IS NULL),1,0)) AS NUM_REG_DIF,'"&amp;MAX('ID1&amp;5'!K:K)+1&amp;"' AS ID_EXEC, CURRENT_TIMESTAMP() AS TIME_EXEC FROM "&amp;I232&amp;" INNER JOIN "&amp;J232&amp;" "&amp;K232,"SELECT '"&amp;UPPER(B232)&amp;"' AS TABELA, '"&amp;UPPER(C232)&amp;"' AS TIPOLOGIA_TESTE,'"&amp;D232&amp;"' AS TABELA_LT,'"&amp;E232&amp;"' AS TABELA_SIMUL,'"&amp;F232&amp;"' AS CAMPO, "&amp;"'${ref_date}' AS REF_DATE, COUNT(*) AS NUM_REG, SUM(IF(COALESCE(CAST(X."&amp;F232&amp;" AS STRING),'')&lt;&gt;COALESCE(CAST(Y."&amp;F232&amp;"_SIMUL AS STRING),'') OR (X."&amp;F232&amp;" IS NULL AND Y."&amp;F232&amp;"_SIMUL IS NOT NULL ) OR (X."&amp;F232&amp;" IS NOT NULL AND Y."&amp;F232&amp;"_SIMUL IS NULL),1,0)) AS NUM_REG_DIF,'"&amp;MAX('ID1&amp;5'!L:L)+1&amp;"' AS ID_EXEC, CURRENT_TIMESTAMP() AS TIME_EXEC FROM "&amp;I232&amp;" INNER JOIN "&amp;J232&amp;" "&amp;K232),
IF(C232="Validade",+IF(G232="Code List","SELECT '"&amp;UPPER(B232)&amp;"' AS TABELA, '"&amp;UPPER(C232)&amp;"' AS TIPOLOGIA_TESTE,'"&amp;D232&amp;"' AS TABELA_LT,'N/A' AS TABELA_SIMUL,'"&amp;F232&amp;"' AS CAMPO, "&amp;"'${ref_date}' AS REF_DATE, COUNT(*) AS NUM_REG, SUM(IF(TRIM(CAST(X."&amp;F232&amp;" AS STRING))='' OR TRIM(CAST(X."&amp;F232&amp;" AS STRING)) IS NULL OR CAST(X."&amp;F232&amp;" AS STRING) NOT "&amp;H232&amp;",1,0)) AS NUM_REG_DIF,'"&amp;MAX('ID1&amp;5'!K:K)+1&amp;"' AS ID_EXEC, CURRENT_TIMESTAMP() AS TIME_EXEC FROM "&amp;I232,"SELECT '"&amp;UPPER(B232)&amp;"' AS TABELA, '"&amp;UPPER(C232)&amp;"' AS TIPOLOGIA_TESTE,'"&amp;D232&amp;"' AS TABELA_LT,'N/A' AS TABELA_SIMUL,'"&amp;F232&amp;"' AS CAMPO, "&amp;"'${ref_date}' AS REF_DATE, COUNT(*) AS NUM_REG, SUM(IF(TRIM(CAST(X."&amp;F232&amp;" AS STRING))='' OR TRIM(CAST(X."&amp;F232&amp;" AS STRING)) IS NULL,1,0)) AS NUM_REG_DIF,'"&amp;MAX('ID1&amp;5'!K:K)+1&amp;"' AS ID_EXEC, CURRENT_TIMESTAMP() AS TIME_EXEC FROM "&amp;I232),
IF(C232="Caracteres Especiais",+"SELECT '"&amp;UPPER(B232)&amp;"' AS TABELA, '"&amp;UPPER(C232)&amp;"' AS TIPOLOGIA_TESTE,'"&amp;D232&amp;"' AS TABELA_LT,'N/A' AS TABELA_SIMUL,'"&amp;F232&amp;"' AS CAMPO, "&amp;"'${ref_date}' AS REF_DATE, COUNT(*) AS NUM_REG, SUM(IF(REGEXP_REPLACE(TRIM(CAST(X."&amp;F232&amp;" AS STRING)),'[^a-zA-Z0-9_\\s]','') &lt;&gt;TRIM(CAST(X."&amp;F232&amp;" AS STRING)),1,0)) AS NUM_REG_DIF,'"&amp;MAX('ID1&amp;5'!K:K)+1&amp;"' AS ID_EXEC, CURRENT_TIMESTAMP() AS TIME_EXEC FROM "&amp;I232,
IF(C232="Missings",+"SELECT '"&amp;UPPER(B232)&amp;"' AS TABELA, '"&amp;UPPER(C232)&amp;"' AS TIPOLOGIA_TESTE,'"&amp;D232&amp;"' AS TABELA_LT,'N/A' AS TABELA_SIMUL,'"&amp;F232&amp;"' AS CAMPO, "&amp;"'${ref_date}' AS REF_DATE, COUNT(*) AS NUM_REG, SUM(IF(TRIM(CAST(X."&amp;F232&amp;" AS STRING)) IN ('0000-00-00','0001-01-01','9999-12-31','MISS','00000','99999999999','99999999999.00','99999999999.000000'),1,0)) AS NUM_REG_DIF,'"&amp;MAX('ID1&amp;5'!K:K)+1&amp;"' AS ID_EXEC, CURRENT_TIMESTAMP() AS TIME_EXEC FROM "&amp;I232,
IF(C232="Not applicable",+"SELECT '"&amp;UPPER(B232)&amp;"' AS TABELA, '"&amp;UPPER(C232)&amp;"' AS TIPOLOGIA_TESTE,'"&amp;D232&amp;"' AS TABELA_LT,'N/A' AS TABELA_SIMUL,'"&amp;F232&amp;"' AS CAMPO, "&amp;"'${ref_date}' AS REF_DATE, COUNT(*) AS NUM_REG, SUM(IF(TRIM(CAST(X."&amp;F232&amp;" AS STRING)) IN ('N/A','11111111111','11111111111.00','11111111111.000000','1111-11-11'),1,0)) AS NUM_REG_DIF,'"&amp;MAX('ID1&amp;5'!K:K)+1&amp;"' AS ID_EXEC, CURRENT_TIMESTAMP() AS TIME_EXEC FROM "&amp;I232,
IF(C232="Valores extremos",+"SELECT '"&amp;UPPER(B232)&amp;"' AS TABELA, '"&amp;UPPER(C232)&amp;"' AS TIPOLOGIA_TESTE,'"&amp;D232&amp;"' AS TABELA_LT,'N/A' AS TABELA_SIMUL,'"&amp;F232&amp;"' AS CAMPO, "&amp;"'${ref_date}' AS REF_DATE, CAST(MIN("&amp;F232&amp;") AS STRING) AS VALOR_MIN, CAST(MAX("&amp;F232&amp;") AS STRING) AS VALOR_MAX,'"&amp;MAX('ID1&amp;5'!K:K)+1&amp;"' AS ID_EXEC, CURRENT_TIMESTAMP() AS TIME_EXEC FROM "&amp;MID(I232,1,LEN(I232)-2)&amp;" AND CAST("&amp;F232&amp;"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TABELA_SIMUL,'issr_id' AS CAMPO, '${ref_date}' AS REF_DATE, COUNT(*) AS NUM_REG, SUM(IF(COALESCE(CAST(X.issr_id AS STRING),'')&lt;&gt;COALESCE(CAST(Y.issr_id_SIMUL AS STRING),'') OR (X.issr_id IS NULL AND Y.issr_id_SIMUL IS NOT NULL ) OR (X.issr_id IS NOT NULL AND Y.issr_id_SIMUL IS NULL),1,0)) AS NUM_REG_DIF,'1' AS ID_EXEC, CURRENT_TIMESTAMP() AS TIME_EXEC FROM (SELECT instrmnt_id, issr_id FROM BU_LOANTAPE_WORK.LT002_INSTRUMENT WHERE ref_date='${ref_date}' AND nome_perimetro='Individual Local' AND segmento='ESTR' AND ambito='SRB_MBDT' AND entidade='00100')X INNER JOIN (SELECT instrmnt_id AS instrmnt_id_SIMUL, issr_id AS issr_id_SIMUL FROM BU_LOANTAPE_WORK.SIMUL_LT002_INSTRUMENT WHERE ref_date='${ref_date}' AND nome_perimetro='Individual Local' AND segmento='ESTR' AND ambito='PILAR3' AND entidade='00100')Y ON X.INSTRMNT_ID=Y.INSTRMNT_ID_SIMUL</v>
      </c>
      <c r="M232" s="36" t="str">
        <f t="shared" si="6"/>
        <v>UNION ALL SELECT 'INSTRUMENT' AS TABELA, 'COERÊNCIA' AS TIPOLOGIA_TESTE,'BU_LOANTAPE_WORK.LT002_INSTRUMENT' AS TABELA_LT,'BU_LOANTAPE_WORK.SIMUL_LT002_INSTRUMENT' AS TABELA_SIMUL,'issr_id' AS CAMPO, '${ref_date}' AS REF_DATE, COUNT(*) AS NUM_REG, SUM(IF(COALESCE(CAST(X.issr_id AS STRING),'')&lt;&gt;COALESCE(CAST(Y.issr_id_SIMUL AS STRING),'') OR (X.issr_id IS NULL AND Y.issr_id_SIMUL IS NOT NULL ) OR (X.issr_id IS NOT NULL AND Y.issr_id_SIMUL IS NULL),1,0)) AS NUM_REG_DIF,'1' AS ID_EXEC, CURRENT_TIMESTAMP() AS TIME_EXEC FROM (SELECT instrmnt_id, issr_id FROM BU_LOANTAPE_WORK.LT002_INSTRUMENT WHERE ref_date='${ref_date}' AND nome_perimetro='Individual Local' AND segmento='ESTR' AND ambito='SRB_MBDT' AND entidade='00100')X INNER JOIN (SELECT instrmnt_id AS instrmnt_id_SIMUL, issr_id AS issr_id_SIMUL FROM BU_LOANTAPE_WORK.SIMUL_LT002_INSTRUMENT WHERE ref_date='${ref_date}' AND nome_perimetro='Individual Local' AND segmento='ESTR' AND ambito='PILAR3' AND entidade='00100')Y ON X.INSTRMNT_ID=Y.INSTRMNT_ID_SIMUL</v>
      </c>
      <c r="N232" s="38"/>
    </row>
    <row r="233" spans="2:14">
      <c r="B233" s="34" t="s">
        <v>117</v>
      </c>
      <c r="C233" s="34" t="s">
        <v>5</v>
      </c>
      <c r="D233" s="34" t="str">
        <f>+UPPER('0. Instruções'!$D$35&amp;"."&amp;VLOOKUP(B233,'0. Instruções'!$C$27:$D$32,2,FALSE))</f>
        <v>BU_LOANTAPE_WORK.LT002_INSTRUMENT</v>
      </c>
      <c r="E233" s="34" t="str">
        <f>+UPPER('0. Instruções'!$D$36&amp;"."&amp;VLOOKUP(B233,'0. Instruções'!$C$27:$E$32,3,FALSE))</f>
        <v>BU_LOANTAPE_WORK.SIMUL_LT002_INSTRUMENT</v>
      </c>
      <c r="F233" s="34" t="s">
        <v>1293</v>
      </c>
      <c r="G233" s="34"/>
      <c r="H233" s="34"/>
      <c r="I233" s="34" t="str">
        <f>"(SELECT "&amp;VLOOKUP(B233,'0. Instruções'!$C$27:$G$32,4,FALSE)&amp;", "&amp;F233&amp;" FROM "&amp;D233&amp;" WHERE "&amp;'0. Instruções'!$D$42&amp;")X"</f>
        <v>(SELECT instrmnt_id, issr_id_typ FROM BU_LOANTAPE_WORK.LT002_INSTRUMENT WHERE ref_date='${ref_date}' AND nome_perimetro='Individual Local' AND segmento='ESTR' AND ambito='SRB_MBDT' AND entidade='00100')X</v>
      </c>
      <c r="J233" s="34" t="str">
        <f>"(SELECT "&amp;VLOOKUP(B233,'0. Instruções'!$C$27:$G$32,4,FALSE)&amp;" AS "&amp;VLOOKUP(B233,'0. Instruções'!$C$27:$G$32,4,FALSE)&amp;"_SIMUL, "&amp;F233&amp;" AS "&amp;F233&amp;"_SIMUL FROM "&amp;E233&amp;" WHERE "&amp;'0. Instruções'!$D$43&amp;")Y"</f>
        <v>(SELECT instrmnt_id AS instrmnt_id_SIMUL, issr_id_typ AS issr_id_typ_SIMUL FROM BU_LOANTAPE_WORK.SIMUL_LT002_INSTRUMENT WHERE ref_date='${ref_date}' AND nome_perimetro='Individual Local' AND segmento='ESTR' AND ambito='PILAR3' AND entidade='00100')Y</v>
      </c>
      <c r="K233" s="35" t="str">
        <f>+UPPER("ON X."&amp;VLOOKUP(B233,'0. Instruções'!$C$27:$G$32,4,FALSE)&amp;"=Y."&amp;VLOOKUP(B233,'0. Instruções'!$C$27:$G$32,4,FALSE)&amp;"_SIMUL")</f>
        <v>ON X.INSTRMNT_ID=Y.INSTRMNT_ID_SIMUL</v>
      </c>
      <c r="L233" s="35" t="str">
        <f>+IF(C233="Coerência", +IF(LEFT(G233,5)="FLOAT","SELECT '"&amp;UPPER(B233)&amp;"' AS TABELA, '"&amp;UPPER(C233)&amp;"' AS TIPOLOGIA_TESTE,'"&amp;D233&amp;"' AS TABELA_LT,'"&amp;E233&amp;"' AS TABELA_SIMUL,'"&amp;F233&amp;"' AS CAMPO, "&amp;"'${ref_date}' AS REF_DATE, COUNT(*) AS NUM_REG, SUM(IF((ABS(COALESCE(CAST(X."&amp;F233&amp;" AS DECIMAL(18,6)),0)-COALESCE(CAST(Y."&amp;F233&amp;"_SIMUL AS DECIMAL(18,6)),0))&gt;0.000001) OR (X."&amp;F233&amp;" IS NULL AND Y."&amp;F233&amp;"_SIMUL IS NOT NULL ) OR (X."&amp;F233&amp;" IS NOT NULL AND Y."&amp;F233&amp;"_SIMUL IS NULL),1,0)) AS NUM_REG_DIF,'"&amp;MAX('ID1&amp;5'!K:K)+1&amp;"' AS ID_EXEC, CURRENT_TIMESTAMP() AS TIME_EXEC FROM "&amp;I233&amp;" INNER JOIN "&amp;J233&amp;" "&amp;K233,"SELECT '"&amp;UPPER(B233)&amp;"' AS TABELA, '"&amp;UPPER(C233)&amp;"' AS TIPOLOGIA_TESTE,'"&amp;D233&amp;"' AS TABELA_LT,'"&amp;E233&amp;"' AS TABELA_SIMUL,'"&amp;F233&amp;"' AS CAMPO, "&amp;"'${ref_date}' AS REF_DATE, COUNT(*) AS NUM_REG, SUM(IF(COALESCE(CAST(X."&amp;F233&amp;" AS STRING),'')&lt;&gt;COALESCE(CAST(Y."&amp;F233&amp;"_SIMUL AS STRING),'') OR (X."&amp;F233&amp;" IS NULL AND Y."&amp;F233&amp;"_SIMUL IS NOT NULL ) OR (X."&amp;F233&amp;" IS NOT NULL AND Y."&amp;F233&amp;"_SIMUL IS NULL),1,0)) AS NUM_REG_DIF,'"&amp;MAX('ID1&amp;5'!L:L)+1&amp;"' AS ID_EXEC, CURRENT_TIMESTAMP() AS TIME_EXEC FROM "&amp;I233&amp;" INNER JOIN "&amp;J233&amp;" "&amp;K233),
IF(C233="Validade",+IF(G233="Code List","SELECT '"&amp;UPPER(B233)&amp;"' AS TABELA, '"&amp;UPPER(C233)&amp;"' AS TIPOLOGIA_TESTE,'"&amp;D233&amp;"' AS TABELA_LT,'N/A' AS TABELA_SIMUL,'"&amp;F233&amp;"' AS CAMPO, "&amp;"'${ref_date}' AS REF_DATE, COUNT(*) AS NUM_REG, SUM(IF(TRIM(CAST(X."&amp;F233&amp;" AS STRING))='' OR TRIM(CAST(X."&amp;F233&amp;" AS STRING)) IS NULL OR CAST(X."&amp;F233&amp;" AS STRING) NOT "&amp;H233&amp;",1,0)) AS NUM_REG_DIF,'"&amp;MAX('ID1&amp;5'!K:K)+1&amp;"' AS ID_EXEC, CURRENT_TIMESTAMP() AS TIME_EXEC FROM "&amp;I233,"SELECT '"&amp;UPPER(B233)&amp;"' AS TABELA, '"&amp;UPPER(C233)&amp;"' AS TIPOLOGIA_TESTE,'"&amp;D233&amp;"' AS TABELA_LT,'N/A' AS TABELA_SIMUL,'"&amp;F233&amp;"' AS CAMPO, "&amp;"'${ref_date}' AS REF_DATE, COUNT(*) AS NUM_REG, SUM(IF(TRIM(CAST(X."&amp;F233&amp;" AS STRING))='' OR TRIM(CAST(X."&amp;F233&amp;" AS STRING)) IS NULL,1,0)) AS NUM_REG_DIF,'"&amp;MAX('ID1&amp;5'!K:K)+1&amp;"' AS ID_EXEC, CURRENT_TIMESTAMP() AS TIME_EXEC FROM "&amp;I233),
IF(C233="Caracteres Especiais",+"SELECT '"&amp;UPPER(B233)&amp;"' AS TABELA, '"&amp;UPPER(C233)&amp;"' AS TIPOLOGIA_TESTE,'"&amp;D233&amp;"' AS TABELA_LT,'N/A' AS TABELA_SIMUL,'"&amp;F233&amp;"' AS CAMPO, "&amp;"'${ref_date}' AS REF_DATE, COUNT(*) AS NUM_REG, SUM(IF(REGEXP_REPLACE(TRIM(CAST(X."&amp;F233&amp;" AS STRING)),'[^a-zA-Z0-9_\\s]','') &lt;&gt;TRIM(CAST(X."&amp;F233&amp;" AS STRING)),1,0)) AS NUM_REG_DIF,'"&amp;MAX('ID1&amp;5'!K:K)+1&amp;"' AS ID_EXEC, CURRENT_TIMESTAMP() AS TIME_EXEC FROM "&amp;I233,
IF(C233="Missings",+"SELECT '"&amp;UPPER(B233)&amp;"' AS TABELA, '"&amp;UPPER(C233)&amp;"' AS TIPOLOGIA_TESTE,'"&amp;D233&amp;"' AS TABELA_LT,'N/A' AS TABELA_SIMUL,'"&amp;F233&amp;"' AS CAMPO, "&amp;"'${ref_date}' AS REF_DATE, COUNT(*) AS NUM_REG, SUM(IF(TRIM(CAST(X."&amp;F233&amp;" AS STRING)) IN ('0000-00-00','0001-01-01','9999-12-31','MISS','00000','99999999999','99999999999.00','99999999999.000000'),1,0)) AS NUM_REG_DIF,'"&amp;MAX('ID1&amp;5'!K:K)+1&amp;"' AS ID_EXEC, CURRENT_TIMESTAMP() AS TIME_EXEC FROM "&amp;I233,
IF(C233="Not applicable",+"SELECT '"&amp;UPPER(B233)&amp;"' AS TABELA, '"&amp;UPPER(C233)&amp;"' AS TIPOLOGIA_TESTE,'"&amp;D233&amp;"' AS TABELA_LT,'N/A' AS TABELA_SIMUL,'"&amp;F233&amp;"' AS CAMPO, "&amp;"'${ref_date}' AS REF_DATE, COUNT(*) AS NUM_REG, SUM(IF(TRIM(CAST(X."&amp;F233&amp;" AS STRING)) IN ('N/A','11111111111','11111111111.00','11111111111.000000','1111-11-11'),1,0)) AS NUM_REG_DIF,'"&amp;MAX('ID1&amp;5'!K:K)+1&amp;"' AS ID_EXEC, CURRENT_TIMESTAMP() AS TIME_EXEC FROM "&amp;I233,
IF(C233="Valores extremos",+"SELECT '"&amp;UPPER(B233)&amp;"' AS TABELA, '"&amp;UPPER(C233)&amp;"' AS TIPOLOGIA_TESTE,'"&amp;D233&amp;"' AS TABELA_LT,'N/A' AS TABELA_SIMUL,'"&amp;F233&amp;"' AS CAMPO, "&amp;"'${ref_date}' AS REF_DATE, CAST(MIN("&amp;F233&amp;") AS STRING) AS VALOR_MIN, CAST(MAX("&amp;F233&amp;") AS STRING) AS VALOR_MAX,'"&amp;MAX('ID1&amp;5'!K:K)+1&amp;"' AS ID_EXEC, CURRENT_TIMESTAMP() AS TIME_EXEC FROM "&amp;MID(I233,1,LEN(I233)-2)&amp;" AND CAST("&amp;F233&amp;"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TABELA_SIMUL,'issr_id_typ' AS CAMPO, '${ref_date}' AS REF_DATE, COUNT(*) AS NUM_REG, SUM(IF(COALESCE(CAST(X.issr_id_typ AS STRING),'')&lt;&gt;COALESCE(CAST(Y.issr_id_typ_SIMUL AS STRING),'') OR (X.issr_id_typ IS NULL AND Y.issr_id_typ_SIMUL IS NOT NULL ) OR (X.issr_id_typ IS NOT NULL AND Y.issr_id_typ_SIMUL IS NULL),1,0)) AS NUM_REG_DIF,'1' AS ID_EXEC, CURRENT_TIMESTAMP() AS TIME_EXEC FROM (SELECT instrmnt_id, issr_id_typ FROM BU_LOANTAPE_WORK.LT002_INSTRUMENT WHERE ref_date='${ref_date}' AND nome_perimetro='Individual Local' AND segmento='ESTR' AND ambito='SRB_MBDT' AND entidade='00100')X INNER JOIN (SELECT instrmnt_id AS instrmnt_id_SIMUL, issr_id_typ AS issr_id_typ_SIMUL FROM BU_LOANTAPE_WORK.SIMUL_LT002_INSTRUMENT WHERE ref_date='${ref_date}' AND nome_perimetro='Individual Local' AND segmento='ESTR' AND ambito='PILAR3' AND entidade='00100')Y ON X.INSTRMNT_ID=Y.INSTRMNT_ID_SIMUL</v>
      </c>
      <c r="M233" s="36" t="str">
        <f t="shared" si="6"/>
        <v>UNION ALL SELECT 'INSTRUMENT' AS TABELA, 'COERÊNCIA' AS TIPOLOGIA_TESTE,'BU_LOANTAPE_WORK.LT002_INSTRUMENT' AS TABELA_LT,'BU_LOANTAPE_WORK.SIMUL_LT002_INSTRUMENT' AS TABELA_SIMUL,'issr_id_typ' AS CAMPO, '${ref_date}' AS REF_DATE, COUNT(*) AS NUM_REG, SUM(IF(COALESCE(CAST(X.issr_id_typ AS STRING),'')&lt;&gt;COALESCE(CAST(Y.issr_id_typ_SIMUL AS STRING),'') OR (X.issr_id_typ IS NULL AND Y.issr_id_typ_SIMUL IS NOT NULL ) OR (X.issr_id_typ IS NOT NULL AND Y.issr_id_typ_SIMUL IS NULL),1,0)) AS NUM_REG_DIF,'1' AS ID_EXEC, CURRENT_TIMESTAMP() AS TIME_EXEC FROM (SELECT instrmnt_id, issr_id_typ FROM BU_LOANTAPE_WORK.LT002_INSTRUMENT WHERE ref_date='${ref_date}' AND nome_perimetro='Individual Local' AND segmento='ESTR' AND ambito='SRB_MBDT' AND entidade='00100')X INNER JOIN (SELECT instrmnt_id AS instrmnt_id_SIMUL, issr_id_typ AS issr_id_typ_SIMUL FROM BU_LOANTAPE_WORK.SIMUL_LT002_INSTRUMENT WHERE ref_date='${ref_date}' AND nome_perimetro='Individual Local' AND segmento='ESTR' AND ambito='PILAR3' AND entidade='00100')Y ON X.INSTRMNT_ID=Y.INSTRMNT_ID_SIMUL</v>
      </c>
      <c r="N233" s="38"/>
    </row>
    <row r="234" spans="2:14">
      <c r="B234" s="34" t="s">
        <v>117</v>
      </c>
      <c r="C234" s="34" t="s">
        <v>5</v>
      </c>
      <c r="D234" s="34" t="str">
        <f>+UPPER('0. Instruções'!$D$35&amp;"."&amp;VLOOKUP(B234,'0. Instruções'!$C$27:$D$32,2,FALSE))</f>
        <v>BU_LOANTAPE_WORK.LT002_INSTRUMENT</v>
      </c>
      <c r="E234" s="34" t="str">
        <f>+UPPER('0. Instruções'!$D$36&amp;"."&amp;VLOOKUP(B234,'0. Instruções'!$C$27:$E$32,3,FALSE))</f>
        <v>BU_LOANTAPE_WORK.SIMUL_LT002_INSTRUMENT</v>
      </c>
      <c r="F234" s="34" t="s">
        <v>653</v>
      </c>
      <c r="G234" s="34"/>
      <c r="H234" s="34"/>
      <c r="I234" s="34" t="str">
        <f>"(SELECT "&amp;VLOOKUP(B234,'0. Instruções'!$C$27:$G$32,4,FALSE)&amp;", "&amp;F234&amp;" FROM "&amp;D234&amp;" WHERE "&amp;'0. Instruções'!$D$42&amp;")X"</f>
        <v>(SELECT instrmnt_id, issr_nace_sctr FROM BU_LOANTAPE_WORK.LT002_INSTRUMENT WHERE ref_date='${ref_date}' AND nome_perimetro='Individual Local' AND segmento='ESTR' AND ambito='SRB_MBDT' AND entidade='00100')X</v>
      </c>
      <c r="J234" s="34" t="str">
        <f>"(SELECT "&amp;VLOOKUP(B234,'0. Instruções'!$C$27:$G$32,4,FALSE)&amp;" AS "&amp;VLOOKUP(B234,'0. Instruções'!$C$27:$G$32,4,FALSE)&amp;"_SIMUL, "&amp;F234&amp;" AS "&amp;F234&amp;"_SIMUL FROM "&amp;E234&amp;" WHERE "&amp;'0. Instruções'!$D$43&amp;")Y"</f>
        <v>(SELECT instrmnt_id AS instrmnt_id_SIMUL, issr_nace_sctr AS issr_nace_sctr_SIMUL FROM BU_LOANTAPE_WORK.SIMUL_LT002_INSTRUMENT WHERE ref_date='${ref_date}' AND nome_perimetro='Individual Local' AND segmento='ESTR' AND ambito='PILAR3' AND entidade='00100')Y</v>
      </c>
      <c r="K234" s="35" t="str">
        <f>+UPPER("ON X."&amp;VLOOKUP(B234,'0. Instruções'!$C$27:$G$32,4,FALSE)&amp;"=Y."&amp;VLOOKUP(B234,'0. Instruções'!$C$27:$G$32,4,FALSE)&amp;"_SIMUL")</f>
        <v>ON X.INSTRMNT_ID=Y.INSTRMNT_ID_SIMUL</v>
      </c>
      <c r="L234" s="35" t="str">
        <f>+IF(C234="Coerência", +IF(LEFT(G234,5)="FLOAT","SELECT '"&amp;UPPER(B234)&amp;"' AS TABELA, '"&amp;UPPER(C234)&amp;"' AS TIPOLOGIA_TESTE,'"&amp;D234&amp;"' AS TABELA_LT,'"&amp;E234&amp;"' AS TABELA_SIMUL,'"&amp;F234&amp;"' AS CAMPO, "&amp;"'${ref_date}' AS REF_DATE, COUNT(*) AS NUM_REG, SUM(IF((ABS(COALESCE(CAST(X."&amp;F234&amp;" AS DECIMAL(18,6)),0)-COALESCE(CAST(Y."&amp;F234&amp;"_SIMUL AS DECIMAL(18,6)),0))&gt;0.000001) OR (X."&amp;F234&amp;" IS NULL AND Y."&amp;F234&amp;"_SIMUL IS NOT NULL ) OR (X."&amp;F234&amp;" IS NOT NULL AND Y."&amp;F234&amp;"_SIMUL IS NULL),1,0)) AS NUM_REG_DIF,'"&amp;MAX('ID1&amp;5'!K:K)+1&amp;"' AS ID_EXEC, CURRENT_TIMESTAMP() AS TIME_EXEC FROM "&amp;I234&amp;" INNER JOIN "&amp;J234&amp;" "&amp;K234,"SELECT '"&amp;UPPER(B234)&amp;"' AS TABELA, '"&amp;UPPER(C234)&amp;"' AS TIPOLOGIA_TESTE,'"&amp;D234&amp;"' AS TABELA_LT,'"&amp;E234&amp;"' AS TABELA_SIMUL,'"&amp;F234&amp;"' AS CAMPO, "&amp;"'${ref_date}' AS REF_DATE, COUNT(*) AS NUM_REG, SUM(IF(COALESCE(CAST(X."&amp;F234&amp;" AS STRING),'')&lt;&gt;COALESCE(CAST(Y."&amp;F234&amp;"_SIMUL AS STRING),'') OR (X."&amp;F234&amp;" IS NULL AND Y."&amp;F234&amp;"_SIMUL IS NOT NULL ) OR (X."&amp;F234&amp;" IS NOT NULL AND Y."&amp;F234&amp;"_SIMUL IS NULL),1,0)) AS NUM_REG_DIF,'"&amp;MAX('ID1&amp;5'!L:L)+1&amp;"' AS ID_EXEC, CURRENT_TIMESTAMP() AS TIME_EXEC FROM "&amp;I234&amp;" INNER JOIN "&amp;J234&amp;" "&amp;K234),
IF(C234="Validade",+IF(G234="Code List","SELECT '"&amp;UPPER(B234)&amp;"' AS TABELA, '"&amp;UPPER(C234)&amp;"' AS TIPOLOGIA_TESTE,'"&amp;D234&amp;"' AS TABELA_LT,'N/A' AS TABELA_SIMUL,'"&amp;F234&amp;"' AS CAMPO, "&amp;"'${ref_date}' AS REF_DATE, COUNT(*) AS NUM_REG, SUM(IF(TRIM(CAST(X."&amp;F234&amp;" AS STRING))='' OR TRIM(CAST(X."&amp;F234&amp;" AS STRING)) IS NULL OR CAST(X."&amp;F234&amp;" AS STRING) NOT "&amp;H234&amp;",1,0)) AS NUM_REG_DIF,'"&amp;MAX('ID1&amp;5'!K:K)+1&amp;"' AS ID_EXEC, CURRENT_TIMESTAMP() AS TIME_EXEC FROM "&amp;I234,"SELECT '"&amp;UPPER(B234)&amp;"' AS TABELA, '"&amp;UPPER(C234)&amp;"' AS TIPOLOGIA_TESTE,'"&amp;D234&amp;"' AS TABELA_LT,'N/A' AS TABELA_SIMUL,'"&amp;F234&amp;"' AS CAMPO, "&amp;"'${ref_date}' AS REF_DATE, COUNT(*) AS NUM_REG, SUM(IF(TRIM(CAST(X."&amp;F234&amp;" AS STRING))='' OR TRIM(CAST(X."&amp;F234&amp;" AS STRING)) IS NULL,1,0)) AS NUM_REG_DIF,'"&amp;MAX('ID1&amp;5'!K:K)+1&amp;"' AS ID_EXEC, CURRENT_TIMESTAMP() AS TIME_EXEC FROM "&amp;I234),
IF(C234="Caracteres Especiais",+"SELECT '"&amp;UPPER(B234)&amp;"' AS TABELA, '"&amp;UPPER(C234)&amp;"' AS TIPOLOGIA_TESTE,'"&amp;D234&amp;"' AS TABELA_LT,'N/A' AS TABELA_SIMUL,'"&amp;F234&amp;"' AS CAMPO, "&amp;"'${ref_date}' AS REF_DATE, COUNT(*) AS NUM_REG, SUM(IF(REGEXP_REPLACE(TRIM(CAST(X."&amp;F234&amp;" AS STRING)),'[^a-zA-Z0-9_\\s]','') &lt;&gt;TRIM(CAST(X."&amp;F234&amp;" AS STRING)),1,0)) AS NUM_REG_DIF,'"&amp;MAX('ID1&amp;5'!K:K)+1&amp;"' AS ID_EXEC, CURRENT_TIMESTAMP() AS TIME_EXEC FROM "&amp;I234,
IF(C234="Missings",+"SELECT '"&amp;UPPER(B234)&amp;"' AS TABELA, '"&amp;UPPER(C234)&amp;"' AS TIPOLOGIA_TESTE,'"&amp;D234&amp;"' AS TABELA_LT,'N/A' AS TABELA_SIMUL,'"&amp;F234&amp;"' AS CAMPO, "&amp;"'${ref_date}' AS REF_DATE, COUNT(*) AS NUM_REG, SUM(IF(TRIM(CAST(X."&amp;F234&amp;" AS STRING)) IN ('0000-00-00','0001-01-01','9999-12-31','MISS','00000','99999999999','99999999999.00','99999999999.000000'),1,0)) AS NUM_REG_DIF,'"&amp;MAX('ID1&amp;5'!K:K)+1&amp;"' AS ID_EXEC, CURRENT_TIMESTAMP() AS TIME_EXEC FROM "&amp;I234,
IF(C234="Not applicable",+"SELECT '"&amp;UPPER(B234)&amp;"' AS TABELA, '"&amp;UPPER(C234)&amp;"' AS TIPOLOGIA_TESTE,'"&amp;D234&amp;"' AS TABELA_LT,'N/A' AS TABELA_SIMUL,'"&amp;F234&amp;"' AS CAMPO, "&amp;"'${ref_date}' AS REF_DATE, COUNT(*) AS NUM_REG, SUM(IF(TRIM(CAST(X."&amp;F234&amp;" AS STRING)) IN ('N/A','11111111111','11111111111.00','11111111111.000000','1111-11-11'),1,0)) AS NUM_REG_DIF,'"&amp;MAX('ID1&amp;5'!K:K)+1&amp;"' AS ID_EXEC, CURRENT_TIMESTAMP() AS TIME_EXEC FROM "&amp;I234,
IF(C234="Valores extremos",+"SELECT '"&amp;UPPER(B234)&amp;"' AS TABELA, '"&amp;UPPER(C234)&amp;"' AS TIPOLOGIA_TESTE,'"&amp;D234&amp;"' AS TABELA_LT,'N/A' AS TABELA_SIMUL,'"&amp;F234&amp;"' AS CAMPO, "&amp;"'${ref_date}' AS REF_DATE, CAST(MIN("&amp;F234&amp;") AS STRING) AS VALOR_MIN, CAST(MAX("&amp;F234&amp;") AS STRING) AS VALOR_MAX,'"&amp;MAX('ID1&amp;5'!K:K)+1&amp;"' AS ID_EXEC, CURRENT_TIMESTAMP() AS TIME_EXEC FROM "&amp;MID(I234,1,LEN(I234)-2)&amp;" AND CAST("&amp;F234&amp;"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TABELA_SIMUL,'issr_nace_sctr' AS CAMPO, '${ref_date}' AS REF_DATE, COUNT(*) AS NUM_REG, SUM(IF(COALESCE(CAST(X.issr_nace_sctr AS STRING),'')&lt;&gt;COALESCE(CAST(Y.issr_nace_sctr_SIMUL AS STRING),'') OR (X.issr_nace_sctr IS NULL AND Y.issr_nace_sctr_SIMUL IS NOT NULL ) OR (X.issr_nace_sctr IS NOT NULL AND Y.issr_nace_sctr_SIMUL IS NULL),1,0)) AS NUM_REG_DIF,'1' AS ID_EXEC, CURRENT_TIMESTAMP() AS TIME_EXEC FROM (SELECT instrmnt_id, issr_nace_sctr FROM BU_LOANTAPE_WORK.LT002_INSTRUMENT WHERE ref_date='${ref_date}' AND nome_perimetro='Individual Local' AND segmento='ESTR' AND ambito='SRB_MBDT' AND entidade='00100')X INNER JOIN (SELECT instrmnt_id AS instrmnt_id_SIMUL, issr_nace_sctr AS issr_nace_sctr_SIMUL FROM BU_LOANTAPE_WORK.SIMUL_LT002_INSTRUMENT WHERE ref_date='${ref_date}' AND nome_perimetro='Individual Local' AND segmento='ESTR' AND ambito='PILAR3' AND entidade='00100')Y ON X.INSTRMNT_ID=Y.INSTRMNT_ID_SIMUL</v>
      </c>
      <c r="M234" s="36" t="str">
        <f t="shared" si="6"/>
        <v>UNION ALL SELECT 'INSTRUMENT' AS TABELA, 'COERÊNCIA' AS TIPOLOGIA_TESTE,'BU_LOANTAPE_WORK.LT002_INSTRUMENT' AS TABELA_LT,'BU_LOANTAPE_WORK.SIMUL_LT002_INSTRUMENT' AS TABELA_SIMUL,'issr_nace_sctr' AS CAMPO, '${ref_date}' AS REF_DATE, COUNT(*) AS NUM_REG, SUM(IF(COALESCE(CAST(X.issr_nace_sctr AS STRING),'')&lt;&gt;COALESCE(CAST(Y.issr_nace_sctr_SIMUL AS STRING),'') OR (X.issr_nace_sctr IS NULL AND Y.issr_nace_sctr_SIMUL IS NOT NULL ) OR (X.issr_nace_sctr IS NOT NULL AND Y.issr_nace_sctr_SIMUL IS NULL),1,0)) AS NUM_REG_DIF,'1' AS ID_EXEC, CURRENT_TIMESTAMP() AS TIME_EXEC FROM (SELECT instrmnt_id, issr_nace_sctr FROM BU_LOANTAPE_WORK.LT002_INSTRUMENT WHERE ref_date='${ref_date}' AND nome_perimetro='Individual Local' AND segmento='ESTR' AND ambito='SRB_MBDT' AND entidade='00100')X INNER JOIN (SELECT instrmnt_id AS instrmnt_id_SIMUL, issr_nace_sctr AS issr_nace_sctr_SIMUL FROM BU_LOANTAPE_WORK.SIMUL_LT002_INSTRUMENT WHERE ref_date='${ref_date}' AND nome_perimetro='Individual Local' AND segmento='ESTR' AND ambito='PILAR3' AND entidade='00100')Y ON X.INSTRMNT_ID=Y.INSTRMNT_ID_SIMUL</v>
      </c>
      <c r="N234" s="38"/>
    </row>
    <row r="235" spans="2:14">
      <c r="B235" s="34" t="s">
        <v>117</v>
      </c>
      <c r="C235" s="34" t="s">
        <v>5</v>
      </c>
      <c r="D235" s="34" t="str">
        <f>+UPPER('0. Instruções'!$D$35&amp;"."&amp;VLOOKUP(B235,'0. Instruções'!$C$27:$D$32,2,FALSE))</f>
        <v>BU_LOANTAPE_WORK.LT002_INSTRUMENT</v>
      </c>
      <c r="E235" s="34" t="str">
        <f>+UPPER('0. Instruções'!$D$36&amp;"."&amp;VLOOKUP(B235,'0. Instruções'!$C$27:$E$32,3,FALSE))</f>
        <v>BU_LOANTAPE_WORK.SIMUL_LT002_INSTRUMENT</v>
      </c>
      <c r="F235" s="34" t="s">
        <v>1294</v>
      </c>
      <c r="G235" s="34"/>
      <c r="H235" s="34"/>
      <c r="I235" s="34" t="str">
        <f>"(SELECT "&amp;VLOOKUP(B235,'0. Instruções'!$C$27:$G$32,4,FALSE)&amp;", "&amp;F235&amp;" FROM "&amp;D235&amp;" WHERE "&amp;'0. Instruções'!$D$42&amp;")X"</f>
        <v>(SELECT instrmnt_id, issr_rtng FROM BU_LOANTAPE_WORK.LT002_INSTRUMENT WHERE ref_date='${ref_date}' AND nome_perimetro='Individual Local' AND segmento='ESTR' AND ambito='SRB_MBDT' AND entidade='00100')X</v>
      </c>
      <c r="J235" s="34" t="str">
        <f>"(SELECT "&amp;VLOOKUP(B235,'0. Instruções'!$C$27:$G$32,4,FALSE)&amp;" AS "&amp;VLOOKUP(B235,'0. Instruções'!$C$27:$G$32,4,FALSE)&amp;"_SIMUL, "&amp;F235&amp;" AS "&amp;F235&amp;"_SIMUL FROM "&amp;E235&amp;" WHERE "&amp;'0. Instruções'!$D$43&amp;")Y"</f>
        <v>(SELECT instrmnt_id AS instrmnt_id_SIMUL, issr_rtng AS issr_rtng_SIMUL FROM BU_LOANTAPE_WORK.SIMUL_LT002_INSTRUMENT WHERE ref_date='${ref_date}' AND nome_perimetro='Individual Local' AND segmento='ESTR' AND ambito='PILAR3' AND entidade='00100')Y</v>
      </c>
      <c r="K235" s="35" t="str">
        <f>+UPPER("ON X."&amp;VLOOKUP(B235,'0. Instruções'!$C$27:$G$32,4,FALSE)&amp;"=Y."&amp;VLOOKUP(B235,'0. Instruções'!$C$27:$G$32,4,FALSE)&amp;"_SIMUL")</f>
        <v>ON X.INSTRMNT_ID=Y.INSTRMNT_ID_SIMUL</v>
      </c>
      <c r="L235" s="35" t="str">
        <f>+IF(C235="Coerência", +IF(LEFT(G235,5)="FLOAT","SELECT '"&amp;UPPER(B235)&amp;"' AS TABELA, '"&amp;UPPER(C235)&amp;"' AS TIPOLOGIA_TESTE,'"&amp;D235&amp;"' AS TABELA_LT,'"&amp;E235&amp;"' AS TABELA_SIMUL,'"&amp;F235&amp;"' AS CAMPO, "&amp;"'${ref_date}' AS REF_DATE, COUNT(*) AS NUM_REG, SUM(IF((ABS(COALESCE(CAST(X."&amp;F235&amp;" AS DECIMAL(18,6)),0)-COALESCE(CAST(Y."&amp;F235&amp;"_SIMUL AS DECIMAL(18,6)),0))&gt;0.000001) OR (X."&amp;F235&amp;" IS NULL AND Y."&amp;F235&amp;"_SIMUL IS NOT NULL ) OR (X."&amp;F235&amp;" IS NOT NULL AND Y."&amp;F235&amp;"_SIMUL IS NULL),1,0)) AS NUM_REG_DIF,'"&amp;MAX('ID1&amp;5'!K:K)+1&amp;"' AS ID_EXEC, CURRENT_TIMESTAMP() AS TIME_EXEC FROM "&amp;I235&amp;" INNER JOIN "&amp;J235&amp;" "&amp;K235,"SELECT '"&amp;UPPER(B235)&amp;"' AS TABELA, '"&amp;UPPER(C235)&amp;"' AS TIPOLOGIA_TESTE,'"&amp;D235&amp;"' AS TABELA_LT,'"&amp;E235&amp;"' AS TABELA_SIMUL,'"&amp;F235&amp;"' AS CAMPO, "&amp;"'${ref_date}' AS REF_DATE, COUNT(*) AS NUM_REG, SUM(IF(COALESCE(CAST(X."&amp;F235&amp;" AS STRING),'')&lt;&gt;COALESCE(CAST(Y."&amp;F235&amp;"_SIMUL AS STRING),'') OR (X."&amp;F235&amp;" IS NULL AND Y."&amp;F235&amp;"_SIMUL IS NOT NULL ) OR (X."&amp;F235&amp;" IS NOT NULL AND Y."&amp;F235&amp;"_SIMUL IS NULL),1,0)) AS NUM_REG_DIF,'"&amp;MAX('ID1&amp;5'!L:L)+1&amp;"' AS ID_EXEC, CURRENT_TIMESTAMP() AS TIME_EXEC FROM "&amp;I235&amp;" INNER JOIN "&amp;J235&amp;" "&amp;K235),
IF(C235="Validade",+IF(G235="Code List","SELECT '"&amp;UPPER(B235)&amp;"' AS TABELA, '"&amp;UPPER(C235)&amp;"' AS TIPOLOGIA_TESTE,'"&amp;D235&amp;"' AS TABELA_LT,'N/A' AS TABELA_SIMUL,'"&amp;F235&amp;"' AS CAMPO, "&amp;"'${ref_date}' AS REF_DATE, COUNT(*) AS NUM_REG, SUM(IF(TRIM(CAST(X."&amp;F235&amp;" AS STRING))='' OR TRIM(CAST(X."&amp;F235&amp;" AS STRING)) IS NULL OR CAST(X."&amp;F235&amp;" AS STRING) NOT "&amp;H235&amp;",1,0)) AS NUM_REG_DIF,'"&amp;MAX('ID1&amp;5'!K:K)+1&amp;"' AS ID_EXEC, CURRENT_TIMESTAMP() AS TIME_EXEC FROM "&amp;I235,"SELECT '"&amp;UPPER(B235)&amp;"' AS TABELA, '"&amp;UPPER(C235)&amp;"' AS TIPOLOGIA_TESTE,'"&amp;D235&amp;"' AS TABELA_LT,'N/A' AS TABELA_SIMUL,'"&amp;F235&amp;"' AS CAMPO, "&amp;"'${ref_date}' AS REF_DATE, COUNT(*) AS NUM_REG, SUM(IF(TRIM(CAST(X."&amp;F235&amp;" AS STRING))='' OR TRIM(CAST(X."&amp;F235&amp;" AS STRING)) IS NULL,1,0)) AS NUM_REG_DIF,'"&amp;MAX('ID1&amp;5'!K:K)+1&amp;"' AS ID_EXEC, CURRENT_TIMESTAMP() AS TIME_EXEC FROM "&amp;I235),
IF(C235="Caracteres Especiais",+"SELECT '"&amp;UPPER(B235)&amp;"' AS TABELA, '"&amp;UPPER(C235)&amp;"' AS TIPOLOGIA_TESTE,'"&amp;D235&amp;"' AS TABELA_LT,'N/A' AS TABELA_SIMUL,'"&amp;F235&amp;"' AS CAMPO, "&amp;"'${ref_date}' AS REF_DATE, COUNT(*) AS NUM_REG, SUM(IF(REGEXP_REPLACE(TRIM(CAST(X."&amp;F235&amp;" AS STRING)),'[^a-zA-Z0-9_\\s]','') &lt;&gt;TRIM(CAST(X."&amp;F235&amp;" AS STRING)),1,0)) AS NUM_REG_DIF,'"&amp;MAX('ID1&amp;5'!K:K)+1&amp;"' AS ID_EXEC, CURRENT_TIMESTAMP() AS TIME_EXEC FROM "&amp;I235,
IF(C235="Missings",+"SELECT '"&amp;UPPER(B235)&amp;"' AS TABELA, '"&amp;UPPER(C235)&amp;"' AS TIPOLOGIA_TESTE,'"&amp;D235&amp;"' AS TABELA_LT,'N/A' AS TABELA_SIMUL,'"&amp;F235&amp;"' AS CAMPO, "&amp;"'${ref_date}' AS REF_DATE, COUNT(*) AS NUM_REG, SUM(IF(TRIM(CAST(X."&amp;F235&amp;" AS STRING)) IN ('0000-00-00','0001-01-01','9999-12-31','MISS','00000','99999999999','99999999999.00','99999999999.000000'),1,0)) AS NUM_REG_DIF,'"&amp;MAX('ID1&amp;5'!K:K)+1&amp;"' AS ID_EXEC, CURRENT_TIMESTAMP() AS TIME_EXEC FROM "&amp;I235,
IF(C235="Not applicable",+"SELECT '"&amp;UPPER(B235)&amp;"' AS TABELA, '"&amp;UPPER(C235)&amp;"' AS TIPOLOGIA_TESTE,'"&amp;D235&amp;"' AS TABELA_LT,'N/A' AS TABELA_SIMUL,'"&amp;F235&amp;"' AS CAMPO, "&amp;"'${ref_date}' AS REF_DATE, COUNT(*) AS NUM_REG, SUM(IF(TRIM(CAST(X."&amp;F235&amp;" AS STRING)) IN ('N/A','11111111111','11111111111.00','11111111111.000000','1111-11-11'),1,0)) AS NUM_REG_DIF,'"&amp;MAX('ID1&amp;5'!K:K)+1&amp;"' AS ID_EXEC, CURRENT_TIMESTAMP() AS TIME_EXEC FROM "&amp;I235,
IF(C235="Valores extremos",+"SELECT '"&amp;UPPER(B235)&amp;"' AS TABELA, '"&amp;UPPER(C235)&amp;"' AS TIPOLOGIA_TESTE,'"&amp;D235&amp;"' AS TABELA_LT,'N/A' AS TABELA_SIMUL,'"&amp;F235&amp;"' AS CAMPO, "&amp;"'${ref_date}' AS REF_DATE, CAST(MIN("&amp;F235&amp;") AS STRING) AS VALOR_MIN, CAST(MAX("&amp;F235&amp;") AS STRING) AS VALOR_MAX,'"&amp;MAX('ID1&amp;5'!K:K)+1&amp;"' AS ID_EXEC, CURRENT_TIMESTAMP() AS TIME_EXEC FROM "&amp;MID(I235,1,LEN(I235)-2)&amp;" AND CAST("&amp;F235&amp;"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TABELA_SIMUL,'issr_rtng' AS CAMPO, '${ref_date}' AS REF_DATE, COUNT(*) AS NUM_REG, SUM(IF(COALESCE(CAST(X.issr_rtng AS STRING),'')&lt;&gt;COALESCE(CAST(Y.issr_rtng_SIMUL AS STRING),'') OR (X.issr_rtng IS NULL AND Y.issr_rtng_SIMUL IS NOT NULL ) OR (X.issr_rtng IS NOT NULL AND Y.issr_rtng_SIMUL IS NULL),1,0)) AS NUM_REG_DIF,'1' AS ID_EXEC, CURRENT_TIMESTAMP() AS TIME_EXEC FROM (SELECT instrmnt_id, issr_rtng FROM BU_LOANTAPE_WORK.LT002_INSTRUMENT WHERE ref_date='${ref_date}' AND nome_perimetro='Individual Local' AND segmento='ESTR' AND ambito='SRB_MBDT' AND entidade='00100')X INNER JOIN (SELECT instrmnt_id AS instrmnt_id_SIMUL, issr_rtng AS issr_rtng_SIMUL FROM BU_LOANTAPE_WORK.SIMUL_LT002_INSTRUMENT WHERE ref_date='${ref_date}' AND nome_perimetro='Individual Local' AND segmento='ESTR' AND ambito='PILAR3' AND entidade='00100')Y ON X.INSTRMNT_ID=Y.INSTRMNT_ID_SIMUL</v>
      </c>
      <c r="M235" s="36" t="str">
        <f t="shared" si="6"/>
        <v>UNION ALL SELECT 'INSTRUMENT' AS TABELA, 'COERÊNCIA' AS TIPOLOGIA_TESTE,'BU_LOANTAPE_WORK.LT002_INSTRUMENT' AS TABELA_LT,'BU_LOANTAPE_WORK.SIMUL_LT002_INSTRUMENT' AS TABELA_SIMUL,'issr_rtng' AS CAMPO, '${ref_date}' AS REF_DATE, COUNT(*) AS NUM_REG, SUM(IF(COALESCE(CAST(X.issr_rtng AS STRING),'')&lt;&gt;COALESCE(CAST(Y.issr_rtng_SIMUL AS STRING),'') OR (X.issr_rtng IS NULL AND Y.issr_rtng_SIMUL IS NOT NULL ) OR (X.issr_rtng IS NOT NULL AND Y.issr_rtng_SIMUL IS NULL),1,0)) AS NUM_REG_DIF,'1' AS ID_EXEC, CURRENT_TIMESTAMP() AS TIME_EXEC FROM (SELECT instrmnt_id, issr_rtng FROM BU_LOANTAPE_WORK.LT002_INSTRUMENT WHERE ref_date='${ref_date}' AND nome_perimetro='Individual Local' AND segmento='ESTR' AND ambito='SRB_MBDT' AND entidade='00100')X INNER JOIN (SELECT instrmnt_id AS instrmnt_id_SIMUL, issr_rtng AS issr_rtng_SIMUL FROM BU_LOANTAPE_WORK.SIMUL_LT002_INSTRUMENT WHERE ref_date='${ref_date}' AND nome_perimetro='Individual Local' AND segmento='ESTR' AND ambito='PILAR3' AND entidade='00100')Y ON X.INSTRMNT_ID=Y.INSTRMNT_ID_SIMUL</v>
      </c>
      <c r="N235" s="38"/>
    </row>
    <row r="236" spans="2:14">
      <c r="B236" s="34" t="s">
        <v>117</v>
      </c>
      <c r="C236" s="34" t="s">
        <v>5</v>
      </c>
      <c r="D236" s="34" t="str">
        <f>+UPPER('0. Instruções'!$D$35&amp;"."&amp;VLOOKUP(B236,'0. Instruções'!$C$27:$D$32,2,FALSE))</f>
        <v>BU_LOANTAPE_WORK.LT002_INSTRUMENT</v>
      </c>
      <c r="E236" s="34" t="str">
        <f>+UPPER('0. Instruções'!$D$36&amp;"."&amp;VLOOKUP(B236,'0. Instruções'!$C$27:$E$32,3,FALSE))</f>
        <v>BU_LOANTAPE_WORK.SIMUL_LT002_INSTRUMENT</v>
      </c>
      <c r="F236" s="34" t="s">
        <v>1295</v>
      </c>
      <c r="G236" s="34"/>
      <c r="H236" s="34"/>
      <c r="I236" s="34" t="str">
        <f>"(SELECT "&amp;VLOOKUP(B236,'0. Instruções'!$C$27:$G$32,4,FALSE)&amp;", "&amp;F236&amp;" FROM "&amp;D236&amp;" WHERE "&amp;'0. Instruções'!$D$42&amp;")X"</f>
        <v>(SELECT instrmnt_id, issr_rtng_src FROM BU_LOANTAPE_WORK.LT002_INSTRUMENT WHERE ref_date='${ref_date}' AND nome_perimetro='Individual Local' AND segmento='ESTR' AND ambito='SRB_MBDT' AND entidade='00100')X</v>
      </c>
      <c r="J236" s="34" t="str">
        <f>"(SELECT "&amp;VLOOKUP(B236,'0. Instruções'!$C$27:$G$32,4,FALSE)&amp;" AS "&amp;VLOOKUP(B236,'0. Instruções'!$C$27:$G$32,4,FALSE)&amp;"_SIMUL, "&amp;F236&amp;" AS "&amp;F236&amp;"_SIMUL FROM "&amp;E236&amp;" WHERE "&amp;'0. Instruções'!$D$43&amp;")Y"</f>
        <v>(SELECT instrmnt_id AS instrmnt_id_SIMUL, issr_rtng_src AS issr_rtng_src_SIMUL FROM BU_LOANTAPE_WORK.SIMUL_LT002_INSTRUMENT WHERE ref_date='${ref_date}' AND nome_perimetro='Individual Local' AND segmento='ESTR' AND ambito='PILAR3' AND entidade='00100')Y</v>
      </c>
      <c r="K236" s="35" t="str">
        <f>+UPPER("ON X."&amp;VLOOKUP(B236,'0. Instruções'!$C$27:$G$32,4,FALSE)&amp;"=Y."&amp;VLOOKUP(B236,'0. Instruções'!$C$27:$G$32,4,FALSE)&amp;"_SIMUL")</f>
        <v>ON X.INSTRMNT_ID=Y.INSTRMNT_ID_SIMUL</v>
      </c>
      <c r="L236" s="35" t="str">
        <f>+IF(C236="Coerência", +IF(LEFT(G236,5)="FLOAT","SELECT '"&amp;UPPER(B236)&amp;"' AS TABELA, '"&amp;UPPER(C236)&amp;"' AS TIPOLOGIA_TESTE,'"&amp;D236&amp;"' AS TABELA_LT,'"&amp;E236&amp;"' AS TABELA_SIMUL,'"&amp;F236&amp;"' AS CAMPO, "&amp;"'${ref_date}' AS REF_DATE, COUNT(*) AS NUM_REG, SUM(IF((ABS(COALESCE(CAST(X."&amp;F236&amp;" AS DECIMAL(18,6)),0)-COALESCE(CAST(Y."&amp;F236&amp;"_SIMUL AS DECIMAL(18,6)),0))&gt;0.000001) OR (X."&amp;F236&amp;" IS NULL AND Y."&amp;F236&amp;"_SIMUL IS NOT NULL ) OR (X."&amp;F236&amp;" IS NOT NULL AND Y."&amp;F236&amp;"_SIMUL IS NULL),1,0)) AS NUM_REG_DIF,'"&amp;MAX('ID1&amp;5'!K:K)+1&amp;"' AS ID_EXEC, CURRENT_TIMESTAMP() AS TIME_EXEC FROM "&amp;I236&amp;" INNER JOIN "&amp;J236&amp;" "&amp;K236,"SELECT '"&amp;UPPER(B236)&amp;"' AS TABELA, '"&amp;UPPER(C236)&amp;"' AS TIPOLOGIA_TESTE,'"&amp;D236&amp;"' AS TABELA_LT,'"&amp;E236&amp;"' AS TABELA_SIMUL,'"&amp;F236&amp;"' AS CAMPO, "&amp;"'${ref_date}' AS REF_DATE, COUNT(*) AS NUM_REG, SUM(IF(COALESCE(CAST(X."&amp;F236&amp;" AS STRING),'')&lt;&gt;COALESCE(CAST(Y."&amp;F236&amp;"_SIMUL AS STRING),'') OR (X."&amp;F236&amp;" IS NULL AND Y."&amp;F236&amp;"_SIMUL IS NOT NULL ) OR (X."&amp;F236&amp;" IS NOT NULL AND Y."&amp;F236&amp;"_SIMUL IS NULL),1,0)) AS NUM_REG_DIF,'"&amp;MAX('ID1&amp;5'!L:L)+1&amp;"' AS ID_EXEC, CURRENT_TIMESTAMP() AS TIME_EXEC FROM "&amp;I236&amp;" INNER JOIN "&amp;J236&amp;" "&amp;K236),
IF(C236="Validade",+IF(G236="Code List","SELECT '"&amp;UPPER(B236)&amp;"' AS TABELA, '"&amp;UPPER(C236)&amp;"' AS TIPOLOGIA_TESTE,'"&amp;D236&amp;"' AS TABELA_LT,'N/A' AS TABELA_SIMUL,'"&amp;F236&amp;"' AS CAMPO, "&amp;"'${ref_date}' AS REF_DATE, COUNT(*) AS NUM_REG, SUM(IF(TRIM(CAST(X."&amp;F236&amp;" AS STRING))='' OR TRIM(CAST(X."&amp;F236&amp;" AS STRING)) IS NULL OR CAST(X."&amp;F236&amp;" AS STRING) NOT "&amp;H236&amp;",1,0)) AS NUM_REG_DIF,'"&amp;MAX('ID1&amp;5'!K:K)+1&amp;"' AS ID_EXEC, CURRENT_TIMESTAMP() AS TIME_EXEC FROM "&amp;I236,"SELECT '"&amp;UPPER(B236)&amp;"' AS TABELA, '"&amp;UPPER(C236)&amp;"' AS TIPOLOGIA_TESTE,'"&amp;D236&amp;"' AS TABELA_LT,'N/A' AS TABELA_SIMUL,'"&amp;F236&amp;"' AS CAMPO, "&amp;"'${ref_date}' AS REF_DATE, COUNT(*) AS NUM_REG, SUM(IF(TRIM(CAST(X."&amp;F236&amp;" AS STRING))='' OR TRIM(CAST(X."&amp;F236&amp;" AS STRING)) IS NULL,1,0)) AS NUM_REG_DIF,'"&amp;MAX('ID1&amp;5'!K:K)+1&amp;"' AS ID_EXEC, CURRENT_TIMESTAMP() AS TIME_EXEC FROM "&amp;I236),
IF(C236="Caracteres Especiais",+"SELECT '"&amp;UPPER(B236)&amp;"' AS TABELA, '"&amp;UPPER(C236)&amp;"' AS TIPOLOGIA_TESTE,'"&amp;D236&amp;"' AS TABELA_LT,'N/A' AS TABELA_SIMUL,'"&amp;F236&amp;"' AS CAMPO, "&amp;"'${ref_date}' AS REF_DATE, COUNT(*) AS NUM_REG, SUM(IF(REGEXP_REPLACE(TRIM(CAST(X."&amp;F236&amp;" AS STRING)),'[^a-zA-Z0-9_\\s]','') &lt;&gt;TRIM(CAST(X."&amp;F236&amp;" AS STRING)),1,0)) AS NUM_REG_DIF,'"&amp;MAX('ID1&amp;5'!K:K)+1&amp;"' AS ID_EXEC, CURRENT_TIMESTAMP() AS TIME_EXEC FROM "&amp;I236,
IF(C236="Missings",+"SELECT '"&amp;UPPER(B236)&amp;"' AS TABELA, '"&amp;UPPER(C236)&amp;"' AS TIPOLOGIA_TESTE,'"&amp;D236&amp;"' AS TABELA_LT,'N/A' AS TABELA_SIMUL,'"&amp;F236&amp;"' AS CAMPO, "&amp;"'${ref_date}' AS REF_DATE, COUNT(*) AS NUM_REG, SUM(IF(TRIM(CAST(X."&amp;F236&amp;" AS STRING)) IN ('0000-00-00','0001-01-01','9999-12-31','MISS','00000','99999999999','99999999999.00','99999999999.000000'),1,0)) AS NUM_REG_DIF,'"&amp;MAX('ID1&amp;5'!K:K)+1&amp;"' AS ID_EXEC, CURRENT_TIMESTAMP() AS TIME_EXEC FROM "&amp;I236,
IF(C236="Not applicable",+"SELECT '"&amp;UPPER(B236)&amp;"' AS TABELA, '"&amp;UPPER(C236)&amp;"' AS TIPOLOGIA_TESTE,'"&amp;D236&amp;"' AS TABELA_LT,'N/A' AS TABELA_SIMUL,'"&amp;F236&amp;"' AS CAMPO, "&amp;"'${ref_date}' AS REF_DATE, COUNT(*) AS NUM_REG, SUM(IF(TRIM(CAST(X."&amp;F236&amp;" AS STRING)) IN ('N/A','11111111111','11111111111.00','11111111111.000000','1111-11-11'),1,0)) AS NUM_REG_DIF,'"&amp;MAX('ID1&amp;5'!K:K)+1&amp;"' AS ID_EXEC, CURRENT_TIMESTAMP() AS TIME_EXEC FROM "&amp;I236,
IF(C236="Valores extremos",+"SELECT '"&amp;UPPER(B236)&amp;"' AS TABELA, '"&amp;UPPER(C236)&amp;"' AS TIPOLOGIA_TESTE,'"&amp;D236&amp;"' AS TABELA_LT,'N/A' AS TABELA_SIMUL,'"&amp;F236&amp;"' AS CAMPO, "&amp;"'${ref_date}' AS REF_DATE, CAST(MIN("&amp;F236&amp;") AS STRING) AS VALOR_MIN, CAST(MAX("&amp;F236&amp;") AS STRING) AS VALOR_MAX,'"&amp;MAX('ID1&amp;5'!K:K)+1&amp;"' AS ID_EXEC, CURRENT_TIMESTAMP() AS TIME_EXEC FROM "&amp;MID(I236,1,LEN(I236)-2)&amp;" AND CAST("&amp;F236&amp;"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TABELA_SIMUL,'issr_rtng_src' AS CAMPO, '${ref_date}' AS REF_DATE, COUNT(*) AS NUM_REG, SUM(IF(COALESCE(CAST(X.issr_rtng_src AS STRING),'')&lt;&gt;COALESCE(CAST(Y.issr_rtng_src_SIMUL AS STRING),'') OR (X.issr_rtng_src IS NULL AND Y.issr_rtng_src_SIMUL IS NOT NULL ) OR (X.issr_rtng_src IS NOT NULL AND Y.issr_rtng_src_SIMUL IS NULL),1,0)) AS NUM_REG_DIF,'1' AS ID_EXEC, CURRENT_TIMESTAMP() AS TIME_EXEC FROM (SELECT instrmnt_id, issr_rtng_src FROM BU_LOANTAPE_WORK.LT002_INSTRUMENT WHERE ref_date='${ref_date}' AND nome_perimetro='Individual Local' AND segmento='ESTR' AND ambito='SRB_MBDT' AND entidade='00100')X INNER JOIN (SELECT instrmnt_id AS instrmnt_id_SIMUL, issr_rtng_src AS issr_rtng_src_SIMUL FROM BU_LOANTAPE_WORK.SIMUL_LT002_INSTRUMENT WHERE ref_date='${ref_date}' AND nome_perimetro='Individual Local' AND segmento='ESTR' AND ambito='PILAR3' AND entidade='00100')Y ON X.INSTRMNT_ID=Y.INSTRMNT_ID_SIMUL</v>
      </c>
      <c r="M236" s="36" t="str">
        <f t="shared" si="6"/>
        <v>UNION ALL SELECT 'INSTRUMENT' AS TABELA, 'COERÊNCIA' AS TIPOLOGIA_TESTE,'BU_LOANTAPE_WORK.LT002_INSTRUMENT' AS TABELA_LT,'BU_LOANTAPE_WORK.SIMUL_LT002_INSTRUMENT' AS TABELA_SIMUL,'issr_rtng_src' AS CAMPO, '${ref_date}' AS REF_DATE, COUNT(*) AS NUM_REG, SUM(IF(COALESCE(CAST(X.issr_rtng_src AS STRING),'')&lt;&gt;COALESCE(CAST(Y.issr_rtng_src_SIMUL AS STRING),'') OR (X.issr_rtng_src IS NULL AND Y.issr_rtng_src_SIMUL IS NOT NULL ) OR (X.issr_rtng_src IS NOT NULL AND Y.issr_rtng_src_SIMUL IS NULL),1,0)) AS NUM_REG_DIF,'1' AS ID_EXEC, CURRENT_TIMESTAMP() AS TIME_EXEC FROM (SELECT instrmnt_id, issr_rtng_src FROM BU_LOANTAPE_WORK.LT002_INSTRUMENT WHERE ref_date='${ref_date}' AND nome_perimetro='Individual Local' AND segmento='ESTR' AND ambito='SRB_MBDT' AND entidade='00100')X INNER JOIN (SELECT instrmnt_id AS instrmnt_id_SIMUL, issr_rtng_src AS issr_rtng_src_SIMUL FROM BU_LOANTAPE_WORK.SIMUL_LT002_INSTRUMENT WHERE ref_date='${ref_date}' AND nome_perimetro='Individual Local' AND segmento='ESTR' AND ambito='PILAR3' AND entidade='00100')Y ON X.INSTRMNT_ID=Y.INSTRMNT_ID_SIMUL</v>
      </c>
      <c r="N236" s="38"/>
    </row>
    <row r="237" spans="2:14">
      <c r="B237" s="34" t="s">
        <v>117</v>
      </c>
      <c r="C237" s="34" t="s">
        <v>5</v>
      </c>
      <c r="D237" s="34" t="str">
        <f>+UPPER('0. Instruções'!$D$35&amp;"."&amp;VLOOKUP(B237,'0. Instruções'!$C$27:$D$32,2,FALSE))</f>
        <v>BU_LOANTAPE_WORK.LT002_INSTRUMENT</v>
      </c>
      <c r="E237" s="34" t="str">
        <f>+UPPER('0. Instruções'!$D$36&amp;"."&amp;VLOOKUP(B237,'0. Instruções'!$C$27:$E$32,3,FALSE))</f>
        <v>BU_LOANTAPE_WORK.SIMUL_LT002_INSTRUMENT</v>
      </c>
      <c r="F237" s="34" t="s">
        <v>1296</v>
      </c>
      <c r="G237" s="34"/>
      <c r="H237" s="34"/>
      <c r="I237" s="34" t="str">
        <f>"(SELECT "&amp;VLOOKUP(B237,'0. Instruções'!$C$27:$G$32,4,FALSE)&amp;", "&amp;F237&amp;" FROM "&amp;D237&amp;" WHERE "&amp;'0. Instruções'!$D$42&amp;")X"</f>
        <v>(SELECT instrmnt_id, issr_typ FROM BU_LOANTAPE_WORK.LT002_INSTRUMENT WHERE ref_date='${ref_date}' AND nome_perimetro='Individual Local' AND segmento='ESTR' AND ambito='SRB_MBDT' AND entidade='00100')X</v>
      </c>
      <c r="J237" s="34" t="str">
        <f>"(SELECT "&amp;VLOOKUP(B237,'0. Instruções'!$C$27:$G$32,4,FALSE)&amp;" AS "&amp;VLOOKUP(B237,'0. Instruções'!$C$27:$G$32,4,FALSE)&amp;"_SIMUL, "&amp;F237&amp;" AS "&amp;F237&amp;"_SIMUL FROM "&amp;E237&amp;" WHERE "&amp;'0. Instruções'!$D$43&amp;")Y"</f>
        <v>(SELECT instrmnt_id AS instrmnt_id_SIMUL, issr_typ AS issr_typ_SIMUL FROM BU_LOANTAPE_WORK.SIMUL_LT002_INSTRUMENT WHERE ref_date='${ref_date}' AND nome_perimetro='Individual Local' AND segmento='ESTR' AND ambito='PILAR3' AND entidade='00100')Y</v>
      </c>
      <c r="K237" s="35" t="str">
        <f>+UPPER("ON X."&amp;VLOOKUP(B237,'0. Instruções'!$C$27:$G$32,4,FALSE)&amp;"=Y."&amp;VLOOKUP(B237,'0. Instruções'!$C$27:$G$32,4,FALSE)&amp;"_SIMUL")</f>
        <v>ON X.INSTRMNT_ID=Y.INSTRMNT_ID_SIMUL</v>
      </c>
      <c r="L237" s="35" t="str">
        <f>+IF(C237="Coerência", +IF(LEFT(G237,5)="FLOAT","SELECT '"&amp;UPPER(B237)&amp;"' AS TABELA, '"&amp;UPPER(C237)&amp;"' AS TIPOLOGIA_TESTE,'"&amp;D237&amp;"' AS TABELA_LT,'"&amp;E237&amp;"' AS TABELA_SIMUL,'"&amp;F237&amp;"' AS CAMPO, "&amp;"'${ref_date}' AS REF_DATE, COUNT(*) AS NUM_REG, SUM(IF((ABS(COALESCE(CAST(X."&amp;F237&amp;" AS DECIMAL(18,6)),0)-COALESCE(CAST(Y."&amp;F237&amp;"_SIMUL AS DECIMAL(18,6)),0))&gt;0.000001) OR (X."&amp;F237&amp;" IS NULL AND Y."&amp;F237&amp;"_SIMUL IS NOT NULL ) OR (X."&amp;F237&amp;" IS NOT NULL AND Y."&amp;F237&amp;"_SIMUL IS NULL),1,0)) AS NUM_REG_DIF,'"&amp;MAX('ID1&amp;5'!K:K)+1&amp;"' AS ID_EXEC, CURRENT_TIMESTAMP() AS TIME_EXEC FROM "&amp;I237&amp;" INNER JOIN "&amp;J237&amp;" "&amp;K237,"SELECT '"&amp;UPPER(B237)&amp;"' AS TABELA, '"&amp;UPPER(C237)&amp;"' AS TIPOLOGIA_TESTE,'"&amp;D237&amp;"' AS TABELA_LT,'"&amp;E237&amp;"' AS TABELA_SIMUL,'"&amp;F237&amp;"' AS CAMPO, "&amp;"'${ref_date}' AS REF_DATE, COUNT(*) AS NUM_REG, SUM(IF(COALESCE(CAST(X."&amp;F237&amp;" AS STRING),'')&lt;&gt;COALESCE(CAST(Y."&amp;F237&amp;"_SIMUL AS STRING),'') OR (X."&amp;F237&amp;" IS NULL AND Y."&amp;F237&amp;"_SIMUL IS NOT NULL ) OR (X."&amp;F237&amp;" IS NOT NULL AND Y."&amp;F237&amp;"_SIMUL IS NULL),1,0)) AS NUM_REG_DIF,'"&amp;MAX('ID1&amp;5'!L:L)+1&amp;"' AS ID_EXEC, CURRENT_TIMESTAMP() AS TIME_EXEC FROM "&amp;I237&amp;" INNER JOIN "&amp;J237&amp;" "&amp;K237),
IF(C237="Validade",+IF(G237="Code List","SELECT '"&amp;UPPER(B237)&amp;"' AS TABELA, '"&amp;UPPER(C237)&amp;"' AS TIPOLOGIA_TESTE,'"&amp;D237&amp;"' AS TABELA_LT,'N/A' AS TABELA_SIMUL,'"&amp;F237&amp;"' AS CAMPO, "&amp;"'${ref_date}' AS REF_DATE, COUNT(*) AS NUM_REG, SUM(IF(TRIM(CAST(X."&amp;F237&amp;" AS STRING))='' OR TRIM(CAST(X."&amp;F237&amp;" AS STRING)) IS NULL OR CAST(X."&amp;F237&amp;" AS STRING) NOT "&amp;H237&amp;",1,0)) AS NUM_REG_DIF,'"&amp;MAX('ID1&amp;5'!K:K)+1&amp;"' AS ID_EXEC, CURRENT_TIMESTAMP() AS TIME_EXEC FROM "&amp;I237,"SELECT '"&amp;UPPER(B237)&amp;"' AS TABELA, '"&amp;UPPER(C237)&amp;"' AS TIPOLOGIA_TESTE,'"&amp;D237&amp;"' AS TABELA_LT,'N/A' AS TABELA_SIMUL,'"&amp;F237&amp;"' AS CAMPO, "&amp;"'${ref_date}' AS REF_DATE, COUNT(*) AS NUM_REG, SUM(IF(TRIM(CAST(X."&amp;F237&amp;" AS STRING))='' OR TRIM(CAST(X."&amp;F237&amp;" AS STRING)) IS NULL,1,0)) AS NUM_REG_DIF,'"&amp;MAX('ID1&amp;5'!K:K)+1&amp;"' AS ID_EXEC, CURRENT_TIMESTAMP() AS TIME_EXEC FROM "&amp;I237),
IF(C237="Caracteres Especiais",+"SELECT '"&amp;UPPER(B237)&amp;"' AS TABELA, '"&amp;UPPER(C237)&amp;"' AS TIPOLOGIA_TESTE,'"&amp;D237&amp;"' AS TABELA_LT,'N/A' AS TABELA_SIMUL,'"&amp;F237&amp;"' AS CAMPO, "&amp;"'${ref_date}' AS REF_DATE, COUNT(*) AS NUM_REG, SUM(IF(REGEXP_REPLACE(TRIM(CAST(X."&amp;F237&amp;" AS STRING)),'[^a-zA-Z0-9_\\s]','') &lt;&gt;TRIM(CAST(X."&amp;F237&amp;" AS STRING)),1,0)) AS NUM_REG_DIF,'"&amp;MAX('ID1&amp;5'!K:K)+1&amp;"' AS ID_EXEC, CURRENT_TIMESTAMP() AS TIME_EXEC FROM "&amp;I237,
IF(C237="Missings",+"SELECT '"&amp;UPPER(B237)&amp;"' AS TABELA, '"&amp;UPPER(C237)&amp;"' AS TIPOLOGIA_TESTE,'"&amp;D237&amp;"' AS TABELA_LT,'N/A' AS TABELA_SIMUL,'"&amp;F237&amp;"' AS CAMPO, "&amp;"'${ref_date}' AS REF_DATE, COUNT(*) AS NUM_REG, SUM(IF(TRIM(CAST(X."&amp;F237&amp;" AS STRING)) IN ('0000-00-00','0001-01-01','9999-12-31','MISS','00000','99999999999','99999999999.00','99999999999.000000'),1,0)) AS NUM_REG_DIF,'"&amp;MAX('ID1&amp;5'!K:K)+1&amp;"' AS ID_EXEC, CURRENT_TIMESTAMP() AS TIME_EXEC FROM "&amp;I237,
IF(C237="Not applicable",+"SELECT '"&amp;UPPER(B237)&amp;"' AS TABELA, '"&amp;UPPER(C237)&amp;"' AS TIPOLOGIA_TESTE,'"&amp;D237&amp;"' AS TABELA_LT,'N/A' AS TABELA_SIMUL,'"&amp;F237&amp;"' AS CAMPO, "&amp;"'${ref_date}' AS REF_DATE, COUNT(*) AS NUM_REG, SUM(IF(TRIM(CAST(X."&amp;F237&amp;" AS STRING)) IN ('N/A','11111111111','11111111111.00','11111111111.000000','1111-11-11'),1,0)) AS NUM_REG_DIF,'"&amp;MAX('ID1&amp;5'!K:K)+1&amp;"' AS ID_EXEC, CURRENT_TIMESTAMP() AS TIME_EXEC FROM "&amp;I237,
IF(C237="Valores extremos",+"SELECT '"&amp;UPPER(B237)&amp;"' AS TABELA, '"&amp;UPPER(C237)&amp;"' AS TIPOLOGIA_TESTE,'"&amp;D237&amp;"' AS TABELA_LT,'N/A' AS TABELA_SIMUL,'"&amp;F237&amp;"' AS CAMPO, "&amp;"'${ref_date}' AS REF_DATE, CAST(MIN("&amp;F237&amp;") AS STRING) AS VALOR_MIN, CAST(MAX("&amp;F237&amp;") AS STRING) AS VALOR_MAX,'"&amp;MAX('ID1&amp;5'!K:K)+1&amp;"' AS ID_EXEC, CURRENT_TIMESTAMP() AS TIME_EXEC FROM "&amp;MID(I237,1,LEN(I237)-2)&amp;" AND CAST("&amp;F237&amp;"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TABELA_SIMUL,'issr_typ' AS CAMPO, '${ref_date}' AS REF_DATE, COUNT(*) AS NUM_REG, SUM(IF(COALESCE(CAST(X.issr_typ AS STRING),'')&lt;&gt;COALESCE(CAST(Y.issr_typ_SIMUL AS STRING),'') OR (X.issr_typ IS NULL AND Y.issr_typ_SIMUL IS NOT NULL ) OR (X.issr_typ IS NOT NULL AND Y.issr_typ_SIMUL IS NULL),1,0)) AS NUM_REG_DIF,'1' AS ID_EXEC, CURRENT_TIMESTAMP() AS TIME_EXEC FROM (SELECT instrmnt_id, issr_typ FROM BU_LOANTAPE_WORK.LT002_INSTRUMENT WHERE ref_date='${ref_date}' AND nome_perimetro='Individual Local' AND segmento='ESTR' AND ambito='SRB_MBDT' AND entidade='00100')X INNER JOIN (SELECT instrmnt_id AS instrmnt_id_SIMUL, issr_typ AS issr_typ_SIMUL FROM BU_LOANTAPE_WORK.SIMUL_LT002_INSTRUMENT WHERE ref_date='${ref_date}' AND nome_perimetro='Individual Local' AND segmento='ESTR' AND ambito='PILAR3' AND entidade='00100')Y ON X.INSTRMNT_ID=Y.INSTRMNT_ID_SIMUL</v>
      </c>
      <c r="M237" s="36" t="str">
        <f t="shared" si="6"/>
        <v>UNION ALL SELECT 'INSTRUMENT' AS TABELA, 'COERÊNCIA' AS TIPOLOGIA_TESTE,'BU_LOANTAPE_WORK.LT002_INSTRUMENT' AS TABELA_LT,'BU_LOANTAPE_WORK.SIMUL_LT002_INSTRUMENT' AS TABELA_SIMUL,'issr_typ' AS CAMPO, '${ref_date}' AS REF_DATE, COUNT(*) AS NUM_REG, SUM(IF(COALESCE(CAST(X.issr_typ AS STRING),'')&lt;&gt;COALESCE(CAST(Y.issr_typ_SIMUL AS STRING),'') OR (X.issr_typ IS NULL AND Y.issr_typ_SIMUL IS NOT NULL ) OR (X.issr_typ IS NOT NULL AND Y.issr_typ_SIMUL IS NULL),1,0)) AS NUM_REG_DIF,'1' AS ID_EXEC, CURRENT_TIMESTAMP() AS TIME_EXEC FROM (SELECT instrmnt_id, issr_typ FROM BU_LOANTAPE_WORK.LT002_INSTRUMENT WHERE ref_date='${ref_date}' AND nome_perimetro='Individual Local' AND segmento='ESTR' AND ambito='SRB_MBDT' AND entidade='00100')X INNER JOIN (SELECT instrmnt_id AS instrmnt_id_SIMUL, issr_typ AS issr_typ_SIMUL FROM BU_LOANTAPE_WORK.SIMUL_LT002_INSTRUMENT WHERE ref_date='${ref_date}' AND nome_perimetro='Individual Local' AND segmento='ESTR' AND ambito='PILAR3' AND entidade='00100')Y ON X.INSTRMNT_ID=Y.INSTRMNT_ID_SIMUL</v>
      </c>
      <c r="N237" s="38"/>
    </row>
    <row r="238" spans="2:14">
      <c r="B238" s="34" t="s">
        <v>117</v>
      </c>
      <c r="C238" s="34" t="s">
        <v>5</v>
      </c>
      <c r="D238" s="34" t="str">
        <f>+UPPER('0. Instruções'!$D$35&amp;"."&amp;VLOOKUP(B238,'0. Instruções'!$C$27:$D$32,2,FALSE))</f>
        <v>BU_LOANTAPE_WORK.LT002_INSTRUMENT</v>
      </c>
      <c r="E238" s="34" t="str">
        <f>+UPPER('0. Instruções'!$D$36&amp;"."&amp;VLOOKUP(B238,'0. Instruções'!$C$27:$E$32,3,FALSE))</f>
        <v>BU_LOANTAPE_WORK.SIMUL_LT002_INSTRUMENT</v>
      </c>
      <c r="F238" s="34" t="s">
        <v>1297</v>
      </c>
      <c r="G238" s="34"/>
      <c r="H238" s="34"/>
      <c r="I238" s="34" t="str">
        <f>"(SELECT "&amp;VLOOKUP(B238,'0. Instruções'!$C$27:$G$32,4,FALSE)&amp;", "&amp;F238&amp;" FROM "&amp;D238&amp;" WHERE "&amp;'0. Instruções'!$D$42&amp;")X"</f>
        <v>(SELECT instrmnt_id, lcr_bffr_ctgry FROM BU_LOANTAPE_WORK.LT002_INSTRUMENT WHERE ref_date='${ref_date}' AND nome_perimetro='Individual Local' AND segmento='ESTR' AND ambito='SRB_MBDT' AND entidade='00100')X</v>
      </c>
      <c r="J238" s="34" t="str">
        <f>"(SELECT "&amp;VLOOKUP(B238,'0. Instruções'!$C$27:$G$32,4,FALSE)&amp;" AS "&amp;VLOOKUP(B238,'0. Instruções'!$C$27:$G$32,4,FALSE)&amp;"_SIMUL, "&amp;F238&amp;" AS "&amp;F238&amp;"_SIMUL FROM "&amp;E238&amp;" WHERE "&amp;'0. Instruções'!$D$43&amp;")Y"</f>
        <v>(SELECT instrmnt_id AS instrmnt_id_SIMUL, lcr_bffr_ctgry AS lcr_bffr_ctgry_SIMUL FROM BU_LOANTAPE_WORK.SIMUL_LT002_INSTRUMENT WHERE ref_date='${ref_date}' AND nome_perimetro='Individual Local' AND segmento='ESTR' AND ambito='PILAR3' AND entidade='00100')Y</v>
      </c>
      <c r="K238" s="35" t="str">
        <f>+UPPER("ON X."&amp;VLOOKUP(B238,'0. Instruções'!$C$27:$G$32,4,FALSE)&amp;"=Y."&amp;VLOOKUP(B238,'0. Instruções'!$C$27:$G$32,4,FALSE)&amp;"_SIMUL")</f>
        <v>ON X.INSTRMNT_ID=Y.INSTRMNT_ID_SIMUL</v>
      </c>
      <c r="L238" s="35" t="str">
        <f>+IF(C238="Coerência", +IF(LEFT(G238,5)="FLOAT","SELECT '"&amp;UPPER(B238)&amp;"' AS TABELA, '"&amp;UPPER(C238)&amp;"' AS TIPOLOGIA_TESTE,'"&amp;D238&amp;"' AS TABELA_LT,'"&amp;E238&amp;"' AS TABELA_SIMUL,'"&amp;F238&amp;"' AS CAMPO, "&amp;"'${ref_date}' AS REF_DATE, COUNT(*) AS NUM_REG, SUM(IF((ABS(COALESCE(CAST(X."&amp;F238&amp;" AS DECIMAL(18,6)),0)-COALESCE(CAST(Y."&amp;F238&amp;"_SIMUL AS DECIMAL(18,6)),0))&gt;0.000001) OR (X."&amp;F238&amp;" IS NULL AND Y."&amp;F238&amp;"_SIMUL IS NOT NULL ) OR (X."&amp;F238&amp;" IS NOT NULL AND Y."&amp;F238&amp;"_SIMUL IS NULL),1,0)) AS NUM_REG_DIF,'"&amp;MAX('ID1&amp;5'!K:K)+1&amp;"' AS ID_EXEC, CURRENT_TIMESTAMP() AS TIME_EXEC FROM "&amp;I238&amp;" INNER JOIN "&amp;J238&amp;" "&amp;K238,"SELECT '"&amp;UPPER(B238)&amp;"' AS TABELA, '"&amp;UPPER(C238)&amp;"' AS TIPOLOGIA_TESTE,'"&amp;D238&amp;"' AS TABELA_LT,'"&amp;E238&amp;"' AS TABELA_SIMUL,'"&amp;F238&amp;"' AS CAMPO, "&amp;"'${ref_date}' AS REF_DATE, COUNT(*) AS NUM_REG, SUM(IF(COALESCE(CAST(X."&amp;F238&amp;" AS STRING),'')&lt;&gt;COALESCE(CAST(Y."&amp;F238&amp;"_SIMUL AS STRING),'') OR (X."&amp;F238&amp;" IS NULL AND Y."&amp;F238&amp;"_SIMUL IS NOT NULL ) OR (X."&amp;F238&amp;" IS NOT NULL AND Y."&amp;F238&amp;"_SIMUL IS NULL),1,0)) AS NUM_REG_DIF,'"&amp;MAX('ID1&amp;5'!L:L)+1&amp;"' AS ID_EXEC, CURRENT_TIMESTAMP() AS TIME_EXEC FROM "&amp;I238&amp;" INNER JOIN "&amp;J238&amp;" "&amp;K238),
IF(C238="Validade",+IF(G238="Code List","SELECT '"&amp;UPPER(B238)&amp;"' AS TABELA, '"&amp;UPPER(C238)&amp;"' AS TIPOLOGIA_TESTE,'"&amp;D238&amp;"' AS TABELA_LT,'N/A' AS TABELA_SIMUL,'"&amp;F238&amp;"' AS CAMPO, "&amp;"'${ref_date}' AS REF_DATE, COUNT(*) AS NUM_REG, SUM(IF(TRIM(CAST(X."&amp;F238&amp;" AS STRING))='' OR TRIM(CAST(X."&amp;F238&amp;" AS STRING)) IS NULL OR CAST(X."&amp;F238&amp;" AS STRING) NOT "&amp;H238&amp;",1,0)) AS NUM_REG_DIF,'"&amp;MAX('ID1&amp;5'!K:K)+1&amp;"' AS ID_EXEC, CURRENT_TIMESTAMP() AS TIME_EXEC FROM "&amp;I238,"SELECT '"&amp;UPPER(B238)&amp;"' AS TABELA, '"&amp;UPPER(C238)&amp;"' AS TIPOLOGIA_TESTE,'"&amp;D238&amp;"' AS TABELA_LT,'N/A' AS TABELA_SIMUL,'"&amp;F238&amp;"' AS CAMPO, "&amp;"'${ref_date}' AS REF_DATE, COUNT(*) AS NUM_REG, SUM(IF(TRIM(CAST(X."&amp;F238&amp;" AS STRING))='' OR TRIM(CAST(X."&amp;F238&amp;" AS STRING)) IS NULL,1,0)) AS NUM_REG_DIF,'"&amp;MAX('ID1&amp;5'!K:K)+1&amp;"' AS ID_EXEC, CURRENT_TIMESTAMP() AS TIME_EXEC FROM "&amp;I238),
IF(C238="Caracteres Especiais",+"SELECT '"&amp;UPPER(B238)&amp;"' AS TABELA, '"&amp;UPPER(C238)&amp;"' AS TIPOLOGIA_TESTE,'"&amp;D238&amp;"' AS TABELA_LT,'N/A' AS TABELA_SIMUL,'"&amp;F238&amp;"' AS CAMPO, "&amp;"'${ref_date}' AS REF_DATE, COUNT(*) AS NUM_REG, SUM(IF(REGEXP_REPLACE(TRIM(CAST(X."&amp;F238&amp;" AS STRING)),'[^a-zA-Z0-9_\\s]','') &lt;&gt;TRIM(CAST(X."&amp;F238&amp;" AS STRING)),1,0)) AS NUM_REG_DIF,'"&amp;MAX('ID1&amp;5'!K:K)+1&amp;"' AS ID_EXEC, CURRENT_TIMESTAMP() AS TIME_EXEC FROM "&amp;I238,
IF(C238="Missings",+"SELECT '"&amp;UPPER(B238)&amp;"' AS TABELA, '"&amp;UPPER(C238)&amp;"' AS TIPOLOGIA_TESTE,'"&amp;D238&amp;"' AS TABELA_LT,'N/A' AS TABELA_SIMUL,'"&amp;F238&amp;"' AS CAMPO, "&amp;"'${ref_date}' AS REF_DATE, COUNT(*) AS NUM_REG, SUM(IF(TRIM(CAST(X."&amp;F238&amp;" AS STRING)) IN ('0000-00-00','0001-01-01','9999-12-31','MISS','00000','99999999999','99999999999.00','99999999999.000000'),1,0)) AS NUM_REG_DIF,'"&amp;MAX('ID1&amp;5'!K:K)+1&amp;"' AS ID_EXEC, CURRENT_TIMESTAMP() AS TIME_EXEC FROM "&amp;I238,
IF(C238="Not applicable",+"SELECT '"&amp;UPPER(B238)&amp;"' AS TABELA, '"&amp;UPPER(C238)&amp;"' AS TIPOLOGIA_TESTE,'"&amp;D238&amp;"' AS TABELA_LT,'N/A' AS TABELA_SIMUL,'"&amp;F238&amp;"' AS CAMPO, "&amp;"'${ref_date}' AS REF_DATE, COUNT(*) AS NUM_REG, SUM(IF(TRIM(CAST(X."&amp;F238&amp;" AS STRING)) IN ('N/A','11111111111','11111111111.00','11111111111.000000','1111-11-11'),1,0)) AS NUM_REG_DIF,'"&amp;MAX('ID1&amp;5'!K:K)+1&amp;"' AS ID_EXEC, CURRENT_TIMESTAMP() AS TIME_EXEC FROM "&amp;I238,
IF(C238="Valores extremos",+"SELECT '"&amp;UPPER(B238)&amp;"' AS TABELA, '"&amp;UPPER(C238)&amp;"' AS TIPOLOGIA_TESTE,'"&amp;D238&amp;"' AS TABELA_LT,'N/A' AS TABELA_SIMUL,'"&amp;F238&amp;"' AS CAMPO, "&amp;"'${ref_date}' AS REF_DATE, CAST(MIN("&amp;F238&amp;") AS STRING) AS VALOR_MIN, CAST(MAX("&amp;F238&amp;") AS STRING) AS VALOR_MAX,'"&amp;MAX('ID1&amp;5'!K:K)+1&amp;"' AS ID_EXEC, CURRENT_TIMESTAMP() AS TIME_EXEC FROM "&amp;MID(I238,1,LEN(I238)-2)&amp;" AND CAST("&amp;F238&amp;"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TABELA_SIMUL,'lcr_bffr_ctgry' AS CAMPO, '${ref_date}' AS REF_DATE, COUNT(*) AS NUM_REG, SUM(IF(COALESCE(CAST(X.lcr_bffr_ctgry AS STRING),'')&lt;&gt;COALESCE(CAST(Y.lcr_bffr_ctgry_SIMUL AS STRING),'') OR (X.lcr_bffr_ctgry IS NULL AND Y.lcr_bffr_ctgry_SIMUL IS NOT NULL ) OR (X.lcr_bffr_ctgry IS NOT NULL AND Y.lcr_bffr_ctgry_SIMUL IS NULL),1,0)) AS NUM_REG_DIF,'1' AS ID_EXEC, CURRENT_TIMESTAMP() AS TIME_EXEC FROM (SELECT instrmnt_id, lcr_bffr_ctgry FROM BU_LOANTAPE_WORK.LT002_INSTRUMENT WHERE ref_date='${ref_date}' AND nome_perimetro='Individual Local' AND segmento='ESTR' AND ambito='SRB_MBDT' AND entidade='00100')X INNER JOIN (SELECT instrmnt_id AS instrmnt_id_SIMUL, lcr_bffr_ctgry AS lcr_bffr_ctgry_SIMUL FROM BU_LOANTAPE_WORK.SIMUL_LT002_INSTRUMENT WHERE ref_date='${ref_date}' AND nome_perimetro='Individual Local' AND segmento='ESTR' AND ambito='PILAR3' AND entidade='00100')Y ON X.INSTRMNT_ID=Y.INSTRMNT_ID_SIMUL</v>
      </c>
      <c r="M238" s="36" t="str">
        <f t="shared" si="6"/>
        <v>UNION ALL SELECT 'INSTRUMENT' AS TABELA, 'COERÊNCIA' AS TIPOLOGIA_TESTE,'BU_LOANTAPE_WORK.LT002_INSTRUMENT' AS TABELA_LT,'BU_LOANTAPE_WORK.SIMUL_LT002_INSTRUMENT' AS TABELA_SIMUL,'lcr_bffr_ctgry' AS CAMPO, '${ref_date}' AS REF_DATE, COUNT(*) AS NUM_REG, SUM(IF(COALESCE(CAST(X.lcr_bffr_ctgry AS STRING),'')&lt;&gt;COALESCE(CAST(Y.lcr_bffr_ctgry_SIMUL AS STRING),'') OR (X.lcr_bffr_ctgry IS NULL AND Y.lcr_bffr_ctgry_SIMUL IS NOT NULL ) OR (X.lcr_bffr_ctgry IS NOT NULL AND Y.lcr_bffr_ctgry_SIMUL IS NULL),1,0)) AS NUM_REG_DIF,'1' AS ID_EXEC, CURRENT_TIMESTAMP() AS TIME_EXEC FROM (SELECT instrmnt_id, lcr_bffr_ctgry FROM BU_LOANTAPE_WORK.LT002_INSTRUMENT WHERE ref_date='${ref_date}' AND nome_perimetro='Individual Local' AND segmento='ESTR' AND ambito='SRB_MBDT' AND entidade='00100')X INNER JOIN (SELECT instrmnt_id AS instrmnt_id_SIMUL, lcr_bffr_ctgry AS lcr_bffr_ctgry_SIMUL FROM BU_LOANTAPE_WORK.SIMUL_LT002_INSTRUMENT WHERE ref_date='${ref_date}' AND nome_perimetro='Individual Local' AND segmento='ESTR' AND ambito='PILAR3' AND entidade='00100')Y ON X.INSTRMNT_ID=Y.INSTRMNT_ID_SIMUL</v>
      </c>
      <c r="N238" s="38"/>
    </row>
    <row r="239" spans="2:14">
      <c r="B239" s="34" t="s">
        <v>117</v>
      </c>
      <c r="C239" s="34" t="s">
        <v>5</v>
      </c>
      <c r="D239" s="34" t="str">
        <f>+UPPER('0. Instruções'!$D$35&amp;"."&amp;VLOOKUP(B239,'0. Instruções'!$C$27:$D$32,2,FALSE))</f>
        <v>BU_LOANTAPE_WORK.LT002_INSTRUMENT</v>
      </c>
      <c r="E239" s="34" t="str">
        <f>+UPPER('0. Instruções'!$D$36&amp;"."&amp;VLOOKUP(B239,'0. Instruções'!$C$27:$E$32,3,FALSE))</f>
        <v>BU_LOANTAPE_WORK.SIMUL_LT002_INSTRUMENT</v>
      </c>
      <c r="F239" s="34" t="s">
        <v>1298</v>
      </c>
      <c r="G239" s="34"/>
      <c r="H239" s="34"/>
      <c r="I239" s="34" t="str">
        <f>"(SELECT "&amp;VLOOKUP(B239,'0. Instruções'!$C$27:$G$32,4,FALSE)&amp;", "&amp;F239&amp;" FROM "&amp;D239&amp;" WHERE "&amp;'0. Instruções'!$D$42&amp;")X"</f>
        <v>(SELECT instrmnt_id, prch_undr_rsl_agr FROM BU_LOANTAPE_WORK.LT002_INSTRUMENT WHERE ref_date='${ref_date}' AND nome_perimetro='Individual Local' AND segmento='ESTR' AND ambito='SRB_MBDT' AND entidade='00100')X</v>
      </c>
      <c r="J239" s="34" t="str">
        <f>"(SELECT "&amp;VLOOKUP(B239,'0. Instruções'!$C$27:$G$32,4,FALSE)&amp;" AS "&amp;VLOOKUP(B239,'0. Instruções'!$C$27:$G$32,4,FALSE)&amp;"_SIMUL, "&amp;F239&amp;" AS "&amp;F239&amp;"_SIMUL FROM "&amp;E239&amp;" WHERE "&amp;'0. Instruções'!$D$43&amp;")Y"</f>
        <v>(SELECT instrmnt_id AS instrmnt_id_SIMUL, prch_undr_rsl_agr AS prch_undr_rsl_agr_SIMUL FROM BU_LOANTAPE_WORK.SIMUL_LT002_INSTRUMENT WHERE ref_date='${ref_date}' AND nome_perimetro='Individual Local' AND segmento='ESTR' AND ambito='PILAR3' AND entidade='00100')Y</v>
      </c>
      <c r="K239" s="35" t="str">
        <f>+UPPER("ON X."&amp;VLOOKUP(B239,'0. Instruções'!$C$27:$G$32,4,FALSE)&amp;"=Y."&amp;VLOOKUP(B239,'0. Instruções'!$C$27:$G$32,4,FALSE)&amp;"_SIMUL")</f>
        <v>ON X.INSTRMNT_ID=Y.INSTRMNT_ID_SIMUL</v>
      </c>
      <c r="L239" s="35" t="str">
        <f>+IF(C239="Coerência", +IF(LEFT(G239,5)="FLOAT","SELECT '"&amp;UPPER(B239)&amp;"' AS TABELA, '"&amp;UPPER(C239)&amp;"' AS TIPOLOGIA_TESTE,'"&amp;D239&amp;"' AS TABELA_LT,'"&amp;E239&amp;"' AS TABELA_SIMUL,'"&amp;F239&amp;"' AS CAMPO, "&amp;"'${ref_date}' AS REF_DATE, COUNT(*) AS NUM_REG, SUM(IF((ABS(COALESCE(CAST(X."&amp;F239&amp;" AS DECIMAL(18,6)),0)-COALESCE(CAST(Y."&amp;F239&amp;"_SIMUL AS DECIMAL(18,6)),0))&gt;0.000001) OR (X."&amp;F239&amp;" IS NULL AND Y."&amp;F239&amp;"_SIMUL IS NOT NULL ) OR (X."&amp;F239&amp;" IS NOT NULL AND Y."&amp;F239&amp;"_SIMUL IS NULL),1,0)) AS NUM_REG_DIF,'"&amp;MAX('ID1&amp;5'!K:K)+1&amp;"' AS ID_EXEC, CURRENT_TIMESTAMP() AS TIME_EXEC FROM "&amp;I239&amp;" INNER JOIN "&amp;J239&amp;" "&amp;K239,"SELECT '"&amp;UPPER(B239)&amp;"' AS TABELA, '"&amp;UPPER(C239)&amp;"' AS TIPOLOGIA_TESTE,'"&amp;D239&amp;"' AS TABELA_LT,'"&amp;E239&amp;"' AS TABELA_SIMUL,'"&amp;F239&amp;"' AS CAMPO, "&amp;"'${ref_date}' AS REF_DATE, COUNT(*) AS NUM_REG, SUM(IF(COALESCE(CAST(X."&amp;F239&amp;" AS STRING),'')&lt;&gt;COALESCE(CAST(Y."&amp;F239&amp;"_SIMUL AS STRING),'') OR (X."&amp;F239&amp;" IS NULL AND Y."&amp;F239&amp;"_SIMUL IS NOT NULL ) OR (X."&amp;F239&amp;" IS NOT NULL AND Y."&amp;F239&amp;"_SIMUL IS NULL),1,0)) AS NUM_REG_DIF,'"&amp;MAX('ID1&amp;5'!L:L)+1&amp;"' AS ID_EXEC, CURRENT_TIMESTAMP() AS TIME_EXEC FROM "&amp;I239&amp;" INNER JOIN "&amp;J239&amp;" "&amp;K239),
IF(C239="Validade",+IF(G239="Code List","SELECT '"&amp;UPPER(B239)&amp;"' AS TABELA, '"&amp;UPPER(C239)&amp;"' AS TIPOLOGIA_TESTE,'"&amp;D239&amp;"' AS TABELA_LT,'N/A' AS TABELA_SIMUL,'"&amp;F239&amp;"' AS CAMPO, "&amp;"'${ref_date}' AS REF_DATE, COUNT(*) AS NUM_REG, SUM(IF(TRIM(CAST(X."&amp;F239&amp;" AS STRING))='' OR TRIM(CAST(X."&amp;F239&amp;" AS STRING)) IS NULL OR CAST(X."&amp;F239&amp;" AS STRING) NOT "&amp;H239&amp;",1,0)) AS NUM_REG_DIF,'"&amp;MAX('ID1&amp;5'!K:K)+1&amp;"' AS ID_EXEC, CURRENT_TIMESTAMP() AS TIME_EXEC FROM "&amp;I239,"SELECT '"&amp;UPPER(B239)&amp;"' AS TABELA, '"&amp;UPPER(C239)&amp;"' AS TIPOLOGIA_TESTE,'"&amp;D239&amp;"' AS TABELA_LT,'N/A' AS TABELA_SIMUL,'"&amp;F239&amp;"' AS CAMPO, "&amp;"'${ref_date}' AS REF_DATE, COUNT(*) AS NUM_REG, SUM(IF(TRIM(CAST(X."&amp;F239&amp;" AS STRING))='' OR TRIM(CAST(X."&amp;F239&amp;" AS STRING)) IS NULL,1,0)) AS NUM_REG_DIF,'"&amp;MAX('ID1&amp;5'!K:K)+1&amp;"' AS ID_EXEC, CURRENT_TIMESTAMP() AS TIME_EXEC FROM "&amp;I239),
IF(C239="Caracteres Especiais",+"SELECT '"&amp;UPPER(B239)&amp;"' AS TABELA, '"&amp;UPPER(C239)&amp;"' AS TIPOLOGIA_TESTE,'"&amp;D239&amp;"' AS TABELA_LT,'N/A' AS TABELA_SIMUL,'"&amp;F239&amp;"' AS CAMPO, "&amp;"'${ref_date}' AS REF_DATE, COUNT(*) AS NUM_REG, SUM(IF(REGEXP_REPLACE(TRIM(CAST(X."&amp;F239&amp;" AS STRING)),'[^a-zA-Z0-9_\\s]','') &lt;&gt;TRIM(CAST(X."&amp;F239&amp;" AS STRING)),1,0)) AS NUM_REG_DIF,'"&amp;MAX('ID1&amp;5'!K:K)+1&amp;"' AS ID_EXEC, CURRENT_TIMESTAMP() AS TIME_EXEC FROM "&amp;I239,
IF(C239="Missings",+"SELECT '"&amp;UPPER(B239)&amp;"' AS TABELA, '"&amp;UPPER(C239)&amp;"' AS TIPOLOGIA_TESTE,'"&amp;D239&amp;"' AS TABELA_LT,'N/A' AS TABELA_SIMUL,'"&amp;F239&amp;"' AS CAMPO, "&amp;"'${ref_date}' AS REF_DATE, COUNT(*) AS NUM_REG, SUM(IF(TRIM(CAST(X."&amp;F239&amp;" AS STRING)) IN ('0000-00-00','0001-01-01','9999-12-31','MISS','00000','99999999999','99999999999.00','99999999999.000000'),1,0)) AS NUM_REG_DIF,'"&amp;MAX('ID1&amp;5'!K:K)+1&amp;"' AS ID_EXEC, CURRENT_TIMESTAMP() AS TIME_EXEC FROM "&amp;I239,
IF(C239="Not applicable",+"SELECT '"&amp;UPPER(B239)&amp;"' AS TABELA, '"&amp;UPPER(C239)&amp;"' AS TIPOLOGIA_TESTE,'"&amp;D239&amp;"' AS TABELA_LT,'N/A' AS TABELA_SIMUL,'"&amp;F239&amp;"' AS CAMPO, "&amp;"'${ref_date}' AS REF_DATE, COUNT(*) AS NUM_REG, SUM(IF(TRIM(CAST(X."&amp;F239&amp;" AS STRING)) IN ('N/A','11111111111','11111111111.00','11111111111.000000','1111-11-11'),1,0)) AS NUM_REG_DIF,'"&amp;MAX('ID1&amp;5'!K:K)+1&amp;"' AS ID_EXEC, CURRENT_TIMESTAMP() AS TIME_EXEC FROM "&amp;I239,
IF(C239="Valores extremos",+"SELECT '"&amp;UPPER(B239)&amp;"' AS TABELA, '"&amp;UPPER(C239)&amp;"' AS TIPOLOGIA_TESTE,'"&amp;D239&amp;"' AS TABELA_LT,'N/A' AS TABELA_SIMUL,'"&amp;F239&amp;"' AS CAMPO, "&amp;"'${ref_date}' AS REF_DATE, CAST(MIN("&amp;F239&amp;") AS STRING) AS VALOR_MIN, CAST(MAX("&amp;F239&amp;") AS STRING) AS VALOR_MAX,'"&amp;MAX('ID1&amp;5'!K:K)+1&amp;"' AS ID_EXEC, CURRENT_TIMESTAMP() AS TIME_EXEC FROM "&amp;MID(I239,1,LEN(I239)-2)&amp;" AND CAST("&amp;F239&amp;"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TABELA_SIMUL,'prch_undr_rsl_agr' AS CAMPO, '${ref_date}' AS REF_DATE, COUNT(*) AS NUM_REG, SUM(IF(COALESCE(CAST(X.prch_undr_rsl_agr AS STRING),'')&lt;&gt;COALESCE(CAST(Y.prch_undr_rsl_agr_SIMUL AS STRING),'') OR (X.prch_undr_rsl_agr IS NULL AND Y.prch_undr_rsl_agr_SIMUL IS NOT NULL ) OR (X.prch_undr_rsl_agr IS NOT NULL AND Y.prch_undr_rsl_agr_SIMUL IS NULL),1,0)) AS NUM_REG_DIF,'1' AS ID_EXEC, CURRENT_TIMESTAMP() AS TIME_EXEC FROM (SELECT instrmnt_id, prch_undr_rsl_agr FROM BU_LOANTAPE_WORK.LT002_INSTRUMENT WHERE ref_date='${ref_date}' AND nome_perimetro='Individual Local' AND segmento='ESTR' AND ambito='SRB_MBDT' AND entidade='00100')X INNER JOIN (SELECT instrmnt_id AS instrmnt_id_SIMUL, prch_undr_rsl_agr AS prch_undr_rsl_agr_SIMUL FROM BU_LOANTAPE_WORK.SIMUL_LT002_INSTRUMENT WHERE ref_date='${ref_date}' AND nome_perimetro='Individual Local' AND segmento='ESTR' AND ambito='PILAR3' AND entidade='00100')Y ON X.INSTRMNT_ID=Y.INSTRMNT_ID_SIMUL</v>
      </c>
      <c r="M239" s="36" t="str">
        <f t="shared" si="6"/>
        <v>UNION ALL SELECT 'INSTRUMENT' AS TABELA, 'COERÊNCIA' AS TIPOLOGIA_TESTE,'BU_LOANTAPE_WORK.LT002_INSTRUMENT' AS TABELA_LT,'BU_LOANTAPE_WORK.SIMUL_LT002_INSTRUMENT' AS TABELA_SIMUL,'prch_undr_rsl_agr' AS CAMPO, '${ref_date}' AS REF_DATE, COUNT(*) AS NUM_REG, SUM(IF(COALESCE(CAST(X.prch_undr_rsl_agr AS STRING),'')&lt;&gt;COALESCE(CAST(Y.prch_undr_rsl_agr_SIMUL AS STRING),'') OR (X.prch_undr_rsl_agr IS NULL AND Y.prch_undr_rsl_agr_SIMUL IS NOT NULL ) OR (X.prch_undr_rsl_agr IS NOT NULL AND Y.prch_undr_rsl_agr_SIMUL IS NULL),1,0)) AS NUM_REG_DIF,'1' AS ID_EXEC, CURRENT_TIMESTAMP() AS TIME_EXEC FROM (SELECT instrmnt_id, prch_undr_rsl_agr FROM BU_LOANTAPE_WORK.LT002_INSTRUMENT WHERE ref_date='${ref_date}' AND nome_perimetro='Individual Local' AND segmento='ESTR' AND ambito='SRB_MBDT' AND entidade='00100')X INNER JOIN (SELECT instrmnt_id AS instrmnt_id_SIMUL, prch_undr_rsl_agr AS prch_undr_rsl_agr_SIMUL FROM BU_LOANTAPE_WORK.SIMUL_LT002_INSTRUMENT WHERE ref_date='${ref_date}' AND nome_perimetro='Individual Local' AND segmento='ESTR' AND ambito='PILAR3' AND entidade='00100')Y ON X.INSTRMNT_ID=Y.INSTRMNT_ID_SIMUL</v>
      </c>
      <c r="N239" s="38"/>
    </row>
    <row r="240" spans="2:14">
      <c r="B240" s="34" t="s">
        <v>117</v>
      </c>
      <c r="C240" s="34" t="s">
        <v>5</v>
      </c>
      <c r="D240" s="34" t="str">
        <f>+UPPER('0. Instruções'!$D$35&amp;"."&amp;VLOOKUP(B240,'0. Instruções'!$C$27:$D$32,2,FALSE))</f>
        <v>BU_LOANTAPE_WORK.LT002_INSTRUMENT</v>
      </c>
      <c r="E240" s="34" t="str">
        <f>+UPPER('0. Instruções'!$D$36&amp;"."&amp;VLOOKUP(B240,'0. Instruções'!$C$27:$E$32,3,FALSE))</f>
        <v>BU_LOANTAPE_WORK.SIMUL_LT002_INSTRUMENT</v>
      </c>
      <c r="F240" s="34" t="s">
        <v>1299</v>
      </c>
      <c r="G240" s="34"/>
      <c r="H240" s="34"/>
      <c r="I240" s="34" t="str">
        <f>"(SELECT "&amp;VLOOKUP(B240,'0. Instruções'!$C$27:$G$32,4,FALSE)&amp;", "&amp;F240&amp;" FROM "&amp;D240&amp;" WHERE "&amp;'0. Instruções'!$D$42&amp;")X"</f>
        <v>(SELECT instrmnt_id, prdntl_prtfl FROM BU_LOANTAPE_WORK.LT002_INSTRUMENT WHERE ref_date='${ref_date}' AND nome_perimetro='Individual Local' AND segmento='ESTR' AND ambito='SRB_MBDT' AND entidade='00100')X</v>
      </c>
      <c r="J240" s="34" t="str">
        <f>"(SELECT "&amp;VLOOKUP(B240,'0. Instruções'!$C$27:$G$32,4,FALSE)&amp;" AS "&amp;VLOOKUP(B240,'0. Instruções'!$C$27:$G$32,4,FALSE)&amp;"_SIMUL, "&amp;F240&amp;" AS "&amp;F240&amp;"_SIMUL FROM "&amp;E240&amp;" WHERE "&amp;'0. Instruções'!$D$43&amp;")Y"</f>
        <v>(SELECT instrmnt_id AS instrmnt_id_SIMUL, prdntl_prtfl AS prdntl_prtfl_SIMUL FROM BU_LOANTAPE_WORK.SIMUL_LT002_INSTRUMENT WHERE ref_date='${ref_date}' AND nome_perimetro='Individual Local' AND segmento='ESTR' AND ambito='PILAR3' AND entidade='00100')Y</v>
      </c>
      <c r="K240" s="35" t="str">
        <f>+UPPER("ON X."&amp;VLOOKUP(B240,'0. Instruções'!$C$27:$G$32,4,FALSE)&amp;"=Y."&amp;VLOOKUP(B240,'0. Instruções'!$C$27:$G$32,4,FALSE)&amp;"_SIMUL")</f>
        <v>ON X.INSTRMNT_ID=Y.INSTRMNT_ID_SIMUL</v>
      </c>
      <c r="L240" s="35" t="str">
        <f>+IF(C240="Coerência", +IF(LEFT(G240,5)="FLOAT","SELECT '"&amp;UPPER(B240)&amp;"' AS TABELA, '"&amp;UPPER(C240)&amp;"' AS TIPOLOGIA_TESTE,'"&amp;D240&amp;"' AS TABELA_LT,'"&amp;E240&amp;"' AS TABELA_SIMUL,'"&amp;F240&amp;"' AS CAMPO, "&amp;"'${ref_date}' AS REF_DATE, COUNT(*) AS NUM_REG, SUM(IF((ABS(COALESCE(CAST(X."&amp;F240&amp;" AS DECIMAL(18,6)),0)-COALESCE(CAST(Y."&amp;F240&amp;"_SIMUL AS DECIMAL(18,6)),0))&gt;0.000001) OR (X."&amp;F240&amp;" IS NULL AND Y."&amp;F240&amp;"_SIMUL IS NOT NULL ) OR (X."&amp;F240&amp;" IS NOT NULL AND Y."&amp;F240&amp;"_SIMUL IS NULL),1,0)) AS NUM_REG_DIF,'"&amp;MAX('ID1&amp;5'!K:K)+1&amp;"' AS ID_EXEC, CURRENT_TIMESTAMP() AS TIME_EXEC FROM "&amp;I240&amp;" INNER JOIN "&amp;J240&amp;" "&amp;K240,"SELECT '"&amp;UPPER(B240)&amp;"' AS TABELA, '"&amp;UPPER(C240)&amp;"' AS TIPOLOGIA_TESTE,'"&amp;D240&amp;"' AS TABELA_LT,'"&amp;E240&amp;"' AS TABELA_SIMUL,'"&amp;F240&amp;"' AS CAMPO, "&amp;"'${ref_date}' AS REF_DATE, COUNT(*) AS NUM_REG, SUM(IF(COALESCE(CAST(X."&amp;F240&amp;" AS STRING),'')&lt;&gt;COALESCE(CAST(Y."&amp;F240&amp;"_SIMUL AS STRING),'') OR (X."&amp;F240&amp;" IS NULL AND Y."&amp;F240&amp;"_SIMUL IS NOT NULL ) OR (X."&amp;F240&amp;" IS NOT NULL AND Y."&amp;F240&amp;"_SIMUL IS NULL),1,0)) AS NUM_REG_DIF,'"&amp;MAX('ID1&amp;5'!L:L)+1&amp;"' AS ID_EXEC, CURRENT_TIMESTAMP() AS TIME_EXEC FROM "&amp;I240&amp;" INNER JOIN "&amp;J240&amp;" "&amp;K240),
IF(C240="Validade",+IF(G240="Code List","SELECT '"&amp;UPPER(B240)&amp;"' AS TABELA, '"&amp;UPPER(C240)&amp;"' AS TIPOLOGIA_TESTE,'"&amp;D240&amp;"' AS TABELA_LT,'N/A' AS TABELA_SIMUL,'"&amp;F240&amp;"' AS CAMPO, "&amp;"'${ref_date}' AS REF_DATE, COUNT(*) AS NUM_REG, SUM(IF(TRIM(CAST(X."&amp;F240&amp;" AS STRING))='' OR TRIM(CAST(X."&amp;F240&amp;" AS STRING)) IS NULL OR CAST(X."&amp;F240&amp;" AS STRING) NOT "&amp;H240&amp;",1,0)) AS NUM_REG_DIF,'"&amp;MAX('ID1&amp;5'!K:K)+1&amp;"' AS ID_EXEC, CURRENT_TIMESTAMP() AS TIME_EXEC FROM "&amp;I240,"SELECT '"&amp;UPPER(B240)&amp;"' AS TABELA, '"&amp;UPPER(C240)&amp;"' AS TIPOLOGIA_TESTE,'"&amp;D240&amp;"' AS TABELA_LT,'N/A' AS TABELA_SIMUL,'"&amp;F240&amp;"' AS CAMPO, "&amp;"'${ref_date}' AS REF_DATE, COUNT(*) AS NUM_REG, SUM(IF(TRIM(CAST(X."&amp;F240&amp;" AS STRING))='' OR TRIM(CAST(X."&amp;F240&amp;" AS STRING)) IS NULL,1,0)) AS NUM_REG_DIF,'"&amp;MAX('ID1&amp;5'!K:K)+1&amp;"' AS ID_EXEC, CURRENT_TIMESTAMP() AS TIME_EXEC FROM "&amp;I240),
IF(C240="Caracteres Especiais",+"SELECT '"&amp;UPPER(B240)&amp;"' AS TABELA, '"&amp;UPPER(C240)&amp;"' AS TIPOLOGIA_TESTE,'"&amp;D240&amp;"' AS TABELA_LT,'N/A' AS TABELA_SIMUL,'"&amp;F240&amp;"' AS CAMPO, "&amp;"'${ref_date}' AS REF_DATE, COUNT(*) AS NUM_REG, SUM(IF(REGEXP_REPLACE(TRIM(CAST(X."&amp;F240&amp;" AS STRING)),'[^a-zA-Z0-9_\\s]','') &lt;&gt;TRIM(CAST(X."&amp;F240&amp;" AS STRING)),1,0)) AS NUM_REG_DIF,'"&amp;MAX('ID1&amp;5'!K:K)+1&amp;"' AS ID_EXEC, CURRENT_TIMESTAMP() AS TIME_EXEC FROM "&amp;I240,
IF(C240="Missings",+"SELECT '"&amp;UPPER(B240)&amp;"' AS TABELA, '"&amp;UPPER(C240)&amp;"' AS TIPOLOGIA_TESTE,'"&amp;D240&amp;"' AS TABELA_LT,'N/A' AS TABELA_SIMUL,'"&amp;F240&amp;"' AS CAMPO, "&amp;"'${ref_date}' AS REF_DATE, COUNT(*) AS NUM_REG, SUM(IF(TRIM(CAST(X."&amp;F240&amp;" AS STRING)) IN ('0000-00-00','0001-01-01','9999-12-31','MISS','00000','99999999999','99999999999.00','99999999999.000000'),1,0)) AS NUM_REG_DIF,'"&amp;MAX('ID1&amp;5'!K:K)+1&amp;"' AS ID_EXEC, CURRENT_TIMESTAMP() AS TIME_EXEC FROM "&amp;I240,
IF(C240="Not applicable",+"SELECT '"&amp;UPPER(B240)&amp;"' AS TABELA, '"&amp;UPPER(C240)&amp;"' AS TIPOLOGIA_TESTE,'"&amp;D240&amp;"' AS TABELA_LT,'N/A' AS TABELA_SIMUL,'"&amp;F240&amp;"' AS CAMPO, "&amp;"'${ref_date}' AS REF_DATE, COUNT(*) AS NUM_REG, SUM(IF(TRIM(CAST(X."&amp;F240&amp;" AS STRING)) IN ('N/A','11111111111','11111111111.00','11111111111.000000','1111-11-11'),1,0)) AS NUM_REG_DIF,'"&amp;MAX('ID1&amp;5'!K:K)+1&amp;"' AS ID_EXEC, CURRENT_TIMESTAMP() AS TIME_EXEC FROM "&amp;I240,
IF(C240="Valores extremos",+"SELECT '"&amp;UPPER(B240)&amp;"' AS TABELA, '"&amp;UPPER(C240)&amp;"' AS TIPOLOGIA_TESTE,'"&amp;D240&amp;"' AS TABELA_LT,'N/A' AS TABELA_SIMUL,'"&amp;F240&amp;"' AS CAMPO, "&amp;"'${ref_date}' AS REF_DATE, CAST(MIN("&amp;F240&amp;") AS STRING) AS VALOR_MIN, CAST(MAX("&amp;F240&amp;") AS STRING) AS VALOR_MAX,'"&amp;MAX('ID1&amp;5'!K:K)+1&amp;"' AS ID_EXEC, CURRENT_TIMESTAMP() AS TIME_EXEC FROM "&amp;MID(I240,1,LEN(I240)-2)&amp;" AND CAST("&amp;F240&amp;"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TABELA_SIMUL,'prdntl_prtfl' AS CAMPO, '${ref_date}' AS REF_DATE, COUNT(*) AS NUM_REG, SUM(IF(COALESCE(CAST(X.prdntl_prtfl AS STRING),'')&lt;&gt;COALESCE(CAST(Y.prdntl_prtfl_SIMUL AS STRING),'') OR (X.prdntl_prtfl IS NULL AND Y.prdntl_prtfl_SIMUL IS NOT NULL ) OR (X.prdntl_prtfl IS NOT NULL AND Y.prdntl_prtfl_SIMUL IS NULL),1,0)) AS NUM_REG_DIF,'1' AS ID_EXEC, CURRENT_TIMESTAMP() AS TIME_EXEC FROM (SELECT instrmnt_id, prdntl_prtfl FROM BU_LOANTAPE_WORK.LT002_INSTRUMENT WHERE ref_date='${ref_date}' AND nome_perimetro='Individual Local' AND segmento='ESTR' AND ambito='SRB_MBDT' AND entidade='00100')X INNER JOIN (SELECT instrmnt_id AS instrmnt_id_SIMUL, prdntl_prtfl AS prdntl_prtfl_SIMUL FROM BU_LOANTAPE_WORK.SIMUL_LT002_INSTRUMENT WHERE ref_date='${ref_date}' AND nome_perimetro='Individual Local' AND segmento='ESTR' AND ambito='PILAR3' AND entidade='00100')Y ON X.INSTRMNT_ID=Y.INSTRMNT_ID_SIMUL</v>
      </c>
      <c r="M240" s="36" t="str">
        <f t="shared" si="6"/>
        <v>UNION ALL SELECT 'INSTRUMENT' AS TABELA, 'COERÊNCIA' AS TIPOLOGIA_TESTE,'BU_LOANTAPE_WORK.LT002_INSTRUMENT' AS TABELA_LT,'BU_LOANTAPE_WORK.SIMUL_LT002_INSTRUMENT' AS TABELA_SIMUL,'prdntl_prtfl' AS CAMPO, '${ref_date}' AS REF_DATE, COUNT(*) AS NUM_REG, SUM(IF(COALESCE(CAST(X.prdntl_prtfl AS STRING),'')&lt;&gt;COALESCE(CAST(Y.prdntl_prtfl_SIMUL AS STRING),'') OR (X.prdntl_prtfl IS NULL AND Y.prdntl_prtfl_SIMUL IS NOT NULL ) OR (X.prdntl_prtfl IS NOT NULL AND Y.prdntl_prtfl_SIMUL IS NULL),1,0)) AS NUM_REG_DIF,'1' AS ID_EXEC, CURRENT_TIMESTAMP() AS TIME_EXEC FROM (SELECT instrmnt_id, prdntl_prtfl FROM BU_LOANTAPE_WORK.LT002_INSTRUMENT WHERE ref_date='${ref_date}' AND nome_perimetro='Individual Local' AND segmento='ESTR' AND ambito='SRB_MBDT' AND entidade='00100')X INNER JOIN (SELECT instrmnt_id AS instrmnt_id_SIMUL, prdntl_prtfl AS prdntl_prtfl_SIMUL FROM BU_LOANTAPE_WORK.SIMUL_LT002_INSTRUMENT WHERE ref_date='${ref_date}' AND nome_perimetro='Individual Local' AND segmento='ESTR' AND ambito='PILAR3' AND entidade='00100')Y ON X.INSTRMNT_ID=Y.INSTRMNT_ID_SIMUL</v>
      </c>
      <c r="N240" s="38"/>
    </row>
    <row r="241" spans="2:14">
      <c r="B241" s="34" t="s">
        <v>117</v>
      </c>
      <c r="C241" s="34" t="s">
        <v>5</v>
      </c>
      <c r="D241" s="34" t="str">
        <f>+UPPER('0. Instruções'!$D$35&amp;"."&amp;VLOOKUP(B241,'0. Instruções'!$C$27:$D$32,2,FALSE))</f>
        <v>BU_LOANTAPE_WORK.LT002_INSTRUMENT</v>
      </c>
      <c r="E241" s="34" t="str">
        <f>+UPPER('0. Instruções'!$D$36&amp;"."&amp;VLOOKUP(B241,'0. Instruções'!$C$27:$E$32,3,FALSE))</f>
        <v>BU_LOANTAPE_WORK.SIMUL_LT002_INSTRUMENT</v>
      </c>
      <c r="F241" s="34" t="s">
        <v>654</v>
      </c>
      <c r="G241" s="34"/>
      <c r="H241" s="34"/>
      <c r="I241" s="34" t="str">
        <f>"(SELECT "&amp;VLOOKUP(B241,'0. Instruções'!$C$27:$G$32,4,FALSE)&amp;", "&amp;F241&amp;" FROM "&amp;D241&amp;" WHERE "&amp;'0. Instruções'!$D$42&amp;")X"</f>
        <v>(SELECT instrmnt_id, prmry_asst_clssf FROM BU_LOANTAPE_WORK.LT002_INSTRUMENT WHERE ref_date='${ref_date}' AND nome_perimetro='Individual Local' AND segmento='ESTR' AND ambito='SRB_MBDT' AND entidade='00100')X</v>
      </c>
      <c r="J241" s="34" t="str">
        <f>"(SELECT "&amp;VLOOKUP(B241,'0. Instruções'!$C$27:$G$32,4,FALSE)&amp;" AS "&amp;VLOOKUP(B241,'0. Instruções'!$C$27:$G$32,4,FALSE)&amp;"_SIMUL, "&amp;F241&amp;" AS "&amp;F241&amp;"_SIMUL FROM "&amp;E241&amp;" WHERE "&amp;'0. Instruções'!$D$43&amp;")Y"</f>
        <v>(SELECT instrmnt_id AS instrmnt_id_SIMUL, prmry_asst_clssf AS prmry_asst_clssf_SIMUL FROM BU_LOANTAPE_WORK.SIMUL_LT002_INSTRUMENT WHERE ref_date='${ref_date}' AND nome_perimetro='Individual Local' AND segmento='ESTR' AND ambito='PILAR3' AND entidade='00100')Y</v>
      </c>
      <c r="K241" s="35" t="str">
        <f>+UPPER("ON X."&amp;VLOOKUP(B241,'0. Instruções'!$C$27:$G$32,4,FALSE)&amp;"=Y."&amp;VLOOKUP(B241,'0. Instruções'!$C$27:$G$32,4,FALSE)&amp;"_SIMUL")</f>
        <v>ON X.INSTRMNT_ID=Y.INSTRMNT_ID_SIMUL</v>
      </c>
      <c r="L241" s="35" t="str">
        <f>+IF(C241="Coerência", +IF(LEFT(G241,5)="FLOAT","SELECT '"&amp;UPPER(B241)&amp;"' AS TABELA, '"&amp;UPPER(C241)&amp;"' AS TIPOLOGIA_TESTE,'"&amp;D241&amp;"' AS TABELA_LT,'"&amp;E241&amp;"' AS TABELA_SIMUL,'"&amp;F241&amp;"' AS CAMPO, "&amp;"'${ref_date}' AS REF_DATE, COUNT(*) AS NUM_REG, SUM(IF((ABS(COALESCE(CAST(X."&amp;F241&amp;" AS DECIMAL(18,6)),0)-COALESCE(CAST(Y."&amp;F241&amp;"_SIMUL AS DECIMAL(18,6)),0))&gt;0.000001) OR (X."&amp;F241&amp;" IS NULL AND Y."&amp;F241&amp;"_SIMUL IS NOT NULL ) OR (X."&amp;F241&amp;" IS NOT NULL AND Y."&amp;F241&amp;"_SIMUL IS NULL),1,0)) AS NUM_REG_DIF,'"&amp;MAX('ID1&amp;5'!K:K)+1&amp;"' AS ID_EXEC, CURRENT_TIMESTAMP() AS TIME_EXEC FROM "&amp;I241&amp;" INNER JOIN "&amp;J241&amp;" "&amp;K241,"SELECT '"&amp;UPPER(B241)&amp;"' AS TABELA, '"&amp;UPPER(C241)&amp;"' AS TIPOLOGIA_TESTE,'"&amp;D241&amp;"' AS TABELA_LT,'"&amp;E241&amp;"' AS TABELA_SIMUL,'"&amp;F241&amp;"' AS CAMPO, "&amp;"'${ref_date}' AS REF_DATE, COUNT(*) AS NUM_REG, SUM(IF(COALESCE(CAST(X."&amp;F241&amp;" AS STRING),'')&lt;&gt;COALESCE(CAST(Y."&amp;F241&amp;"_SIMUL AS STRING),'') OR (X."&amp;F241&amp;" IS NULL AND Y."&amp;F241&amp;"_SIMUL IS NOT NULL ) OR (X."&amp;F241&amp;" IS NOT NULL AND Y."&amp;F241&amp;"_SIMUL IS NULL),1,0)) AS NUM_REG_DIF,'"&amp;MAX('ID1&amp;5'!L:L)+1&amp;"' AS ID_EXEC, CURRENT_TIMESTAMP() AS TIME_EXEC FROM "&amp;I241&amp;" INNER JOIN "&amp;J241&amp;" "&amp;K241),
IF(C241="Validade",+IF(G241="Code List","SELECT '"&amp;UPPER(B241)&amp;"' AS TABELA, '"&amp;UPPER(C241)&amp;"' AS TIPOLOGIA_TESTE,'"&amp;D241&amp;"' AS TABELA_LT,'N/A' AS TABELA_SIMUL,'"&amp;F241&amp;"' AS CAMPO, "&amp;"'${ref_date}' AS REF_DATE, COUNT(*) AS NUM_REG, SUM(IF(TRIM(CAST(X."&amp;F241&amp;" AS STRING))='' OR TRIM(CAST(X."&amp;F241&amp;" AS STRING)) IS NULL OR CAST(X."&amp;F241&amp;" AS STRING) NOT "&amp;H241&amp;",1,0)) AS NUM_REG_DIF,'"&amp;MAX('ID1&amp;5'!K:K)+1&amp;"' AS ID_EXEC, CURRENT_TIMESTAMP() AS TIME_EXEC FROM "&amp;I241,"SELECT '"&amp;UPPER(B241)&amp;"' AS TABELA, '"&amp;UPPER(C241)&amp;"' AS TIPOLOGIA_TESTE,'"&amp;D241&amp;"' AS TABELA_LT,'N/A' AS TABELA_SIMUL,'"&amp;F241&amp;"' AS CAMPO, "&amp;"'${ref_date}' AS REF_DATE, COUNT(*) AS NUM_REG, SUM(IF(TRIM(CAST(X."&amp;F241&amp;" AS STRING))='' OR TRIM(CAST(X."&amp;F241&amp;" AS STRING)) IS NULL,1,0)) AS NUM_REG_DIF,'"&amp;MAX('ID1&amp;5'!K:K)+1&amp;"' AS ID_EXEC, CURRENT_TIMESTAMP() AS TIME_EXEC FROM "&amp;I241),
IF(C241="Caracteres Especiais",+"SELECT '"&amp;UPPER(B241)&amp;"' AS TABELA, '"&amp;UPPER(C241)&amp;"' AS TIPOLOGIA_TESTE,'"&amp;D241&amp;"' AS TABELA_LT,'N/A' AS TABELA_SIMUL,'"&amp;F241&amp;"' AS CAMPO, "&amp;"'${ref_date}' AS REF_DATE, COUNT(*) AS NUM_REG, SUM(IF(REGEXP_REPLACE(TRIM(CAST(X."&amp;F241&amp;" AS STRING)),'[^a-zA-Z0-9_\\s]','') &lt;&gt;TRIM(CAST(X."&amp;F241&amp;" AS STRING)),1,0)) AS NUM_REG_DIF,'"&amp;MAX('ID1&amp;5'!K:K)+1&amp;"' AS ID_EXEC, CURRENT_TIMESTAMP() AS TIME_EXEC FROM "&amp;I241,
IF(C241="Missings",+"SELECT '"&amp;UPPER(B241)&amp;"' AS TABELA, '"&amp;UPPER(C241)&amp;"' AS TIPOLOGIA_TESTE,'"&amp;D241&amp;"' AS TABELA_LT,'N/A' AS TABELA_SIMUL,'"&amp;F241&amp;"' AS CAMPO, "&amp;"'${ref_date}' AS REF_DATE, COUNT(*) AS NUM_REG, SUM(IF(TRIM(CAST(X."&amp;F241&amp;" AS STRING)) IN ('0000-00-00','0001-01-01','9999-12-31','MISS','00000','99999999999','99999999999.00','99999999999.000000'),1,0)) AS NUM_REG_DIF,'"&amp;MAX('ID1&amp;5'!K:K)+1&amp;"' AS ID_EXEC, CURRENT_TIMESTAMP() AS TIME_EXEC FROM "&amp;I241,
IF(C241="Not applicable",+"SELECT '"&amp;UPPER(B241)&amp;"' AS TABELA, '"&amp;UPPER(C241)&amp;"' AS TIPOLOGIA_TESTE,'"&amp;D241&amp;"' AS TABELA_LT,'N/A' AS TABELA_SIMUL,'"&amp;F241&amp;"' AS CAMPO, "&amp;"'${ref_date}' AS REF_DATE, COUNT(*) AS NUM_REG, SUM(IF(TRIM(CAST(X."&amp;F241&amp;" AS STRING)) IN ('N/A','11111111111','11111111111.00','11111111111.000000','1111-11-11'),1,0)) AS NUM_REG_DIF,'"&amp;MAX('ID1&amp;5'!K:K)+1&amp;"' AS ID_EXEC, CURRENT_TIMESTAMP() AS TIME_EXEC FROM "&amp;I241,
IF(C241="Valores extremos",+"SELECT '"&amp;UPPER(B241)&amp;"' AS TABELA, '"&amp;UPPER(C241)&amp;"' AS TIPOLOGIA_TESTE,'"&amp;D241&amp;"' AS TABELA_LT,'N/A' AS TABELA_SIMUL,'"&amp;F241&amp;"' AS CAMPO, "&amp;"'${ref_date}' AS REF_DATE, CAST(MIN("&amp;F241&amp;") AS STRING) AS VALOR_MIN, CAST(MAX("&amp;F241&amp;") AS STRING) AS VALOR_MAX,'"&amp;MAX('ID1&amp;5'!K:K)+1&amp;"' AS ID_EXEC, CURRENT_TIMESTAMP() AS TIME_EXEC FROM "&amp;MID(I241,1,LEN(I241)-2)&amp;" AND CAST("&amp;F241&amp;"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TABELA_SIMUL,'prmry_asst_clssf' AS CAMPO, '${ref_date}' AS REF_DATE, COUNT(*) AS NUM_REG, SUM(IF(COALESCE(CAST(X.prmry_asst_clssf AS STRING),'')&lt;&gt;COALESCE(CAST(Y.prmry_asst_clssf_SIMUL AS STRING),'') OR (X.prmry_asst_clssf IS NULL AND Y.prmry_asst_clssf_SIMUL IS NOT NULL ) OR (X.prmry_asst_clssf IS NOT NULL AND Y.prmry_asst_clssf_SIMUL IS NULL),1,0)) AS NUM_REG_DIF,'1' AS ID_EXEC, CURRENT_TIMESTAMP() AS TIME_EXEC FROM (SELECT instrmnt_id, prmry_asst_clssf FROM BU_LOANTAPE_WORK.LT002_INSTRUMENT WHERE ref_date='${ref_date}' AND nome_perimetro='Individual Local' AND segmento='ESTR' AND ambito='SRB_MBDT' AND entidade='00100')X INNER JOIN (SELECT instrmnt_id AS instrmnt_id_SIMUL, prmry_asst_clssf AS prmry_asst_clssf_SIMUL FROM BU_LOANTAPE_WORK.SIMUL_LT002_INSTRUMENT WHERE ref_date='${ref_date}' AND nome_perimetro='Individual Local' AND segmento='ESTR' AND ambito='PILAR3' AND entidade='00100')Y ON X.INSTRMNT_ID=Y.INSTRMNT_ID_SIMUL</v>
      </c>
      <c r="M241" s="36" t="str">
        <f t="shared" si="6"/>
        <v>UNION ALL SELECT 'INSTRUMENT' AS TABELA, 'COERÊNCIA' AS TIPOLOGIA_TESTE,'BU_LOANTAPE_WORK.LT002_INSTRUMENT' AS TABELA_LT,'BU_LOANTAPE_WORK.SIMUL_LT002_INSTRUMENT' AS TABELA_SIMUL,'prmry_asst_clssf' AS CAMPO, '${ref_date}' AS REF_DATE, COUNT(*) AS NUM_REG, SUM(IF(COALESCE(CAST(X.prmry_asst_clssf AS STRING),'')&lt;&gt;COALESCE(CAST(Y.prmry_asst_clssf_SIMUL AS STRING),'') OR (X.prmry_asst_clssf IS NULL AND Y.prmry_asst_clssf_SIMUL IS NOT NULL ) OR (X.prmry_asst_clssf IS NOT NULL AND Y.prmry_asst_clssf_SIMUL IS NULL),1,0)) AS NUM_REG_DIF,'1' AS ID_EXEC, CURRENT_TIMESTAMP() AS TIME_EXEC FROM (SELECT instrmnt_id, prmry_asst_clssf FROM BU_LOANTAPE_WORK.LT002_INSTRUMENT WHERE ref_date='${ref_date}' AND nome_perimetro='Individual Local' AND segmento='ESTR' AND ambito='SRB_MBDT' AND entidade='00100')X INNER JOIN (SELECT instrmnt_id AS instrmnt_id_SIMUL, prmry_asst_clssf AS prmry_asst_clssf_SIMUL FROM BU_LOANTAPE_WORK.SIMUL_LT002_INSTRUMENT WHERE ref_date='${ref_date}' AND nome_perimetro='Individual Local' AND segmento='ESTR' AND ambito='PILAR3' AND entidade='00100')Y ON X.INSTRMNT_ID=Y.INSTRMNT_ID_SIMUL</v>
      </c>
      <c r="N241" s="38"/>
    </row>
    <row r="242" spans="2:14">
      <c r="B242" s="34" t="s">
        <v>117</v>
      </c>
      <c r="C242" s="34" t="s">
        <v>5</v>
      </c>
      <c r="D242" s="34" t="str">
        <f>+UPPER('0. Instruções'!$D$35&amp;"."&amp;VLOOKUP(B242,'0. Instruções'!$C$27:$D$32,2,FALSE))</f>
        <v>BU_LOANTAPE_WORK.LT002_INSTRUMENT</v>
      </c>
      <c r="E242" s="34" t="str">
        <f>+UPPER('0. Instruções'!$D$36&amp;"."&amp;VLOOKUP(B242,'0. Instruções'!$C$27:$E$32,3,FALSE))</f>
        <v>BU_LOANTAPE_WORK.SIMUL_LT002_INSTRUMENT</v>
      </c>
      <c r="F242" s="34" t="s">
        <v>1300</v>
      </c>
      <c r="G242" s="34"/>
      <c r="H242" s="34"/>
      <c r="I242" s="34" t="str">
        <f>"(SELECT "&amp;VLOOKUP(B242,'0. Instruções'!$C$27:$G$32,4,FALSE)&amp;", "&amp;F242&amp;" FROM "&amp;D242&amp;" WHERE "&amp;'0. Instruções'!$D$42&amp;")X"</f>
        <v>(SELECT instrmnt_id, prt_lcr_bffr FROM BU_LOANTAPE_WORK.LT002_INSTRUMENT WHERE ref_date='${ref_date}' AND nome_perimetro='Individual Local' AND segmento='ESTR' AND ambito='SRB_MBDT' AND entidade='00100')X</v>
      </c>
      <c r="J242" s="34" t="str">
        <f>"(SELECT "&amp;VLOOKUP(B242,'0. Instruções'!$C$27:$G$32,4,FALSE)&amp;" AS "&amp;VLOOKUP(B242,'0. Instruções'!$C$27:$G$32,4,FALSE)&amp;"_SIMUL, "&amp;F242&amp;" AS "&amp;F242&amp;"_SIMUL FROM "&amp;E242&amp;" WHERE "&amp;'0. Instruções'!$D$43&amp;")Y"</f>
        <v>(SELECT instrmnt_id AS instrmnt_id_SIMUL, prt_lcr_bffr AS prt_lcr_bffr_SIMUL FROM BU_LOANTAPE_WORK.SIMUL_LT002_INSTRUMENT WHERE ref_date='${ref_date}' AND nome_perimetro='Individual Local' AND segmento='ESTR' AND ambito='PILAR3' AND entidade='00100')Y</v>
      </c>
      <c r="K242" s="35" t="str">
        <f>+UPPER("ON X."&amp;VLOOKUP(B242,'0. Instruções'!$C$27:$G$32,4,FALSE)&amp;"=Y."&amp;VLOOKUP(B242,'0. Instruções'!$C$27:$G$32,4,FALSE)&amp;"_SIMUL")</f>
        <v>ON X.INSTRMNT_ID=Y.INSTRMNT_ID_SIMUL</v>
      </c>
      <c r="L242" s="35" t="str">
        <f>+IF(C242="Coerência", +IF(LEFT(G242,5)="FLOAT","SELECT '"&amp;UPPER(B242)&amp;"' AS TABELA, '"&amp;UPPER(C242)&amp;"' AS TIPOLOGIA_TESTE,'"&amp;D242&amp;"' AS TABELA_LT,'"&amp;E242&amp;"' AS TABELA_SIMUL,'"&amp;F242&amp;"' AS CAMPO, "&amp;"'${ref_date}' AS REF_DATE, COUNT(*) AS NUM_REG, SUM(IF((ABS(COALESCE(CAST(X."&amp;F242&amp;" AS DECIMAL(18,6)),0)-COALESCE(CAST(Y."&amp;F242&amp;"_SIMUL AS DECIMAL(18,6)),0))&gt;0.000001) OR (X."&amp;F242&amp;" IS NULL AND Y."&amp;F242&amp;"_SIMUL IS NOT NULL ) OR (X."&amp;F242&amp;" IS NOT NULL AND Y."&amp;F242&amp;"_SIMUL IS NULL),1,0)) AS NUM_REG_DIF,'"&amp;MAX('ID1&amp;5'!K:K)+1&amp;"' AS ID_EXEC, CURRENT_TIMESTAMP() AS TIME_EXEC FROM "&amp;I242&amp;" INNER JOIN "&amp;J242&amp;" "&amp;K242,"SELECT '"&amp;UPPER(B242)&amp;"' AS TABELA, '"&amp;UPPER(C242)&amp;"' AS TIPOLOGIA_TESTE,'"&amp;D242&amp;"' AS TABELA_LT,'"&amp;E242&amp;"' AS TABELA_SIMUL,'"&amp;F242&amp;"' AS CAMPO, "&amp;"'${ref_date}' AS REF_DATE, COUNT(*) AS NUM_REG, SUM(IF(COALESCE(CAST(X."&amp;F242&amp;" AS STRING),'')&lt;&gt;COALESCE(CAST(Y."&amp;F242&amp;"_SIMUL AS STRING),'') OR (X."&amp;F242&amp;" IS NULL AND Y."&amp;F242&amp;"_SIMUL IS NOT NULL ) OR (X."&amp;F242&amp;" IS NOT NULL AND Y."&amp;F242&amp;"_SIMUL IS NULL),1,0)) AS NUM_REG_DIF,'"&amp;MAX('ID1&amp;5'!L:L)+1&amp;"' AS ID_EXEC, CURRENT_TIMESTAMP() AS TIME_EXEC FROM "&amp;I242&amp;" INNER JOIN "&amp;J242&amp;" "&amp;K242),
IF(C242="Validade",+IF(G242="Code List","SELECT '"&amp;UPPER(B242)&amp;"' AS TABELA, '"&amp;UPPER(C242)&amp;"' AS TIPOLOGIA_TESTE,'"&amp;D242&amp;"' AS TABELA_LT,'N/A' AS TABELA_SIMUL,'"&amp;F242&amp;"' AS CAMPO, "&amp;"'${ref_date}' AS REF_DATE, COUNT(*) AS NUM_REG, SUM(IF(TRIM(CAST(X."&amp;F242&amp;" AS STRING))='' OR TRIM(CAST(X."&amp;F242&amp;" AS STRING)) IS NULL OR CAST(X."&amp;F242&amp;" AS STRING) NOT "&amp;H242&amp;",1,0)) AS NUM_REG_DIF,'"&amp;MAX('ID1&amp;5'!K:K)+1&amp;"' AS ID_EXEC, CURRENT_TIMESTAMP() AS TIME_EXEC FROM "&amp;I242,"SELECT '"&amp;UPPER(B242)&amp;"' AS TABELA, '"&amp;UPPER(C242)&amp;"' AS TIPOLOGIA_TESTE,'"&amp;D242&amp;"' AS TABELA_LT,'N/A' AS TABELA_SIMUL,'"&amp;F242&amp;"' AS CAMPO, "&amp;"'${ref_date}' AS REF_DATE, COUNT(*) AS NUM_REG, SUM(IF(TRIM(CAST(X."&amp;F242&amp;" AS STRING))='' OR TRIM(CAST(X."&amp;F242&amp;" AS STRING)) IS NULL,1,0)) AS NUM_REG_DIF,'"&amp;MAX('ID1&amp;5'!K:K)+1&amp;"' AS ID_EXEC, CURRENT_TIMESTAMP() AS TIME_EXEC FROM "&amp;I242),
IF(C242="Caracteres Especiais",+"SELECT '"&amp;UPPER(B242)&amp;"' AS TABELA, '"&amp;UPPER(C242)&amp;"' AS TIPOLOGIA_TESTE,'"&amp;D242&amp;"' AS TABELA_LT,'N/A' AS TABELA_SIMUL,'"&amp;F242&amp;"' AS CAMPO, "&amp;"'${ref_date}' AS REF_DATE, COUNT(*) AS NUM_REG, SUM(IF(REGEXP_REPLACE(TRIM(CAST(X."&amp;F242&amp;" AS STRING)),'[^a-zA-Z0-9_\\s]','') &lt;&gt;TRIM(CAST(X."&amp;F242&amp;" AS STRING)),1,0)) AS NUM_REG_DIF,'"&amp;MAX('ID1&amp;5'!K:K)+1&amp;"' AS ID_EXEC, CURRENT_TIMESTAMP() AS TIME_EXEC FROM "&amp;I242,
IF(C242="Missings",+"SELECT '"&amp;UPPER(B242)&amp;"' AS TABELA, '"&amp;UPPER(C242)&amp;"' AS TIPOLOGIA_TESTE,'"&amp;D242&amp;"' AS TABELA_LT,'N/A' AS TABELA_SIMUL,'"&amp;F242&amp;"' AS CAMPO, "&amp;"'${ref_date}' AS REF_DATE, COUNT(*) AS NUM_REG, SUM(IF(TRIM(CAST(X."&amp;F242&amp;" AS STRING)) IN ('0000-00-00','0001-01-01','9999-12-31','MISS','00000','99999999999','99999999999.00','99999999999.000000'),1,0)) AS NUM_REG_DIF,'"&amp;MAX('ID1&amp;5'!K:K)+1&amp;"' AS ID_EXEC, CURRENT_TIMESTAMP() AS TIME_EXEC FROM "&amp;I242,
IF(C242="Not applicable",+"SELECT '"&amp;UPPER(B242)&amp;"' AS TABELA, '"&amp;UPPER(C242)&amp;"' AS TIPOLOGIA_TESTE,'"&amp;D242&amp;"' AS TABELA_LT,'N/A' AS TABELA_SIMUL,'"&amp;F242&amp;"' AS CAMPO, "&amp;"'${ref_date}' AS REF_DATE, COUNT(*) AS NUM_REG, SUM(IF(TRIM(CAST(X."&amp;F242&amp;" AS STRING)) IN ('N/A','11111111111','11111111111.00','11111111111.000000','1111-11-11'),1,0)) AS NUM_REG_DIF,'"&amp;MAX('ID1&amp;5'!K:K)+1&amp;"' AS ID_EXEC, CURRENT_TIMESTAMP() AS TIME_EXEC FROM "&amp;I242,
IF(C242="Valores extremos",+"SELECT '"&amp;UPPER(B242)&amp;"' AS TABELA, '"&amp;UPPER(C242)&amp;"' AS TIPOLOGIA_TESTE,'"&amp;D242&amp;"' AS TABELA_LT,'N/A' AS TABELA_SIMUL,'"&amp;F242&amp;"' AS CAMPO, "&amp;"'${ref_date}' AS REF_DATE, CAST(MIN("&amp;F242&amp;") AS STRING) AS VALOR_MIN, CAST(MAX("&amp;F242&amp;") AS STRING) AS VALOR_MAX,'"&amp;MAX('ID1&amp;5'!K:K)+1&amp;"' AS ID_EXEC, CURRENT_TIMESTAMP() AS TIME_EXEC FROM "&amp;MID(I242,1,LEN(I242)-2)&amp;" AND CAST("&amp;F242&amp;"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TABELA_SIMUL,'prt_lcr_bffr' AS CAMPO, '${ref_date}' AS REF_DATE, COUNT(*) AS NUM_REG, SUM(IF(COALESCE(CAST(X.prt_lcr_bffr AS STRING),'')&lt;&gt;COALESCE(CAST(Y.prt_lcr_bffr_SIMUL AS STRING),'') OR (X.prt_lcr_bffr IS NULL AND Y.prt_lcr_bffr_SIMUL IS NOT NULL ) OR (X.prt_lcr_bffr IS NOT NULL AND Y.prt_lcr_bffr_SIMUL IS NULL),1,0)) AS NUM_REG_DIF,'1' AS ID_EXEC, CURRENT_TIMESTAMP() AS TIME_EXEC FROM (SELECT instrmnt_id, prt_lcr_bffr FROM BU_LOANTAPE_WORK.LT002_INSTRUMENT WHERE ref_date='${ref_date}' AND nome_perimetro='Individual Local' AND segmento='ESTR' AND ambito='SRB_MBDT' AND entidade='00100')X INNER JOIN (SELECT instrmnt_id AS instrmnt_id_SIMUL, prt_lcr_bffr AS prt_lcr_bffr_SIMUL FROM BU_LOANTAPE_WORK.SIMUL_LT002_INSTRUMENT WHERE ref_date='${ref_date}' AND nome_perimetro='Individual Local' AND segmento='ESTR' AND ambito='PILAR3' AND entidade='00100')Y ON X.INSTRMNT_ID=Y.INSTRMNT_ID_SIMUL</v>
      </c>
      <c r="M242" s="36" t="str">
        <f t="shared" si="6"/>
        <v>UNION ALL SELECT 'INSTRUMENT' AS TABELA, 'COERÊNCIA' AS TIPOLOGIA_TESTE,'BU_LOANTAPE_WORK.LT002_INSTRUMENT' AS TABELA_LT,'BU_LOANTAPE_WORK.SIMUL_LT002_INSTRUMENT' AS TABELA_SIMUL,'prt_lcr_bffr' AS CAMPO, '${ref_date}' AS REF_DATE, COUNT(*) AS NUM_REG, SUM(IF(COALESCE(CAST(X.prt_lcr_bffr AS STRING),'')&lt;&gt;COALESCE(CAST(Y.prt_lcr_bffr_SIMUL AS STRING),'') OR (X.prt_lcr_bffr IS NULL AND Y.prt_lcr_bffr_SIMUL IS NOT NULL ) OR (X.prt_lcr_bffr IS NOT NULL AND Y.prt_lcr_bffr_SIMUL IS NULL),1,0)) AS NUM_REG_DIF,'1' AS ID_EXEC, CURRENT_TIMESTAMP() AS TIME_EXEC FROM (SELECT instrmnt_id, prt_lcr_bffr FROM BU_LOANTAPE_WORK.LT002_INSTRUMENT WHERE ref_date='${ref_date}' AND nome_perimetro='Individual Local' AND segmento='ESTR' AND ambito='SRB_MBDT' AND entidade='00100')X INNER JOIN (SELECT instrmnt_id AS instrmnt_id_SIMUL, prt_lcr_bffr AS prt_lcr_bffr_SIMUL FROM BU_LOANTAPE_WORK.SIMUL_LT002_INSTRUMENT WHERE ref_date='${ref_date}' AND nome_perimetro='Individual Local' AND segmento='ESTR' AND ambito='PILAR3' AND entidade='00100')Y ON X.INSTRMNT_ID=Y.INSTRMNT_ID_SIMUL</v>
      </c>
      <c r="N242" s="38"/>
    </row>
    <row r="243" spans="2:14">
      <c r="B243" s="34" t="s">
        <v>117</v>
      </c>
      <c r="C243" s="34" t="s">
        <v>5</v>
      </c>
      <c r="D243" s="34" t="str">
        <f>+UPPER('0. Instruções'!$D$35&amp;"."&amp;VLOOKUP(B243,'0. Instruções'!$C$27:$D$32,2,FALSE))</f>
        <v>BU_LOANTAPE_WORK.LT002_INSTRUMENT</v>
      </c>
      <c r="E243" s="34" t="str">
        <f>+UPPER('0. Instruções'!$D$36&amp;"."&amp;VLOOKUP(B243,'0. Instruções'!$C$27:$E$32,3,FALSE))</f>
        <v>BU_LOANTAPE_WORK.SIMUL_LT002_INSTRUMENT</v>
      </c>
      <c r="F243" s="34" t="s">
        <v>1301</v>
      </c>
      <c r="G243" s="34"/>
      <c r="H243" s="34"/>
      <c r="I243" s="34" t="str">
        <f>"(SELECT "&amp;VLOOKUP(B243,'0. Instruções'!$C$27:$G$32,4,FALSE)&amp;", "&amp;F243&amp;" FROM "&amp;D243&amp;" WHERE "&amp;'0. Instruções'!$D$42&amp;")X"</f>
        <v>(SELECT instrmnt_id, rfrnc_rt FROM BU_LOANTAPE_WORK.LT002_INSTRUMENT WHERE ref_date='${ref_date}' AND nome_perimetro='Individual Local' AND segmento='ESTR' AND ambito='SRB_MBDT' AND entidade='00100')X</v>
      </c>
      <c r="J243" s="34" t="str">
        <f>"(SELECT "&amp;VLOOKUP(B243,'0. Instruções'!$C$27:$G$32,4,FALSE)&amp;" AS "&amp;VLOOKUP(B243,'0. Instruções'!$C$27:$G$32,4,FALSE)&amp;"_SIMUL, "&amp;F243&amp;" AS "&amp;F243&amp;"_SIMUL FROM "&amp;E243&amp;" WHERE "&amp;'0. Instruções'!$D$43&amp;")Y"</f>
        <v>(SELECT instrmnt_id AS instrmnt_id_SIMUL, rfrnc_rt AS rfrnc_rt_SIMUL FROM BU_LOANTAPE_WORK.SIMUL_LT002_INSTRUMENT WHERE ref_date='${ref_date}' AND nome_perimetro='Individual Local' AND segmento='ESTR' AND ambito='PILAR3' AND entidade='00100')Y</v>
      </c>
      <c r="K243" s="35" t="str">
        <f>+UPPER("ON X."&amp;VLOOKUP(B243,'0. Instruções'!$C$27:$G$32,4,FALSE)&amp;"=Y."&amp;VLOOKUP(B243,'0. Instruções'!$C$27:$G$32,4,FALSE)&amp;"_SIMUL")</f>
        <v>ON X.INSTRMNT_ID=Y.INSTRMNT_ID_SIMUL</v>
      </c>
      <c r="L243" s="35" t="str">
        <f>+IF(C243="Coerência", +IF(LEFT(G243,5)="FLOAT","SELECT '"&amp;UPPER(B243)&amp;"' AS TABELA, '"&amp;UPPER(C243)&amp;"' AS TIPOLOGIA_TESTE,'"&amp;D243&amp;"' AS TABELA_LT,'"&amp;E243&amp;"' AS TABELA_SIMUL,'"&amp;F243&amp;"' AS CAMPO, "&amp;"'${ref_date}' AS REF_DATE, COUNT(*) AS NUM_REG, SUM(IF((ABS(COALESCE(CAST(X."&amp;F243&amp;" AS DECIMAL(18,6)),0)-COALESCE(CAST(Y."&amp;F243&amp;"_SIMUL AS DECIMAL(18,6)),0))&gt;0.000001) OR (X."&amp;F243&amp;" IS NULL AND Y."&amp;F243&amp;"_SIMUL IS NOT NULL ) OR (X."&amp;F243&amp;" IS NOT NULL AND Y."&amp;F243&amp;"_SIMUL IS NULL),1,0)) AS NUM_REG_DIF,'"&amp;MAX('ID1&amp;5'!K:K)+1&amp;"' AS ID_EXEC, CURRENT_TIMESTAMP() AS TIME_EXEC FROM "&amp;I243&amp;" INNER JOIN "&amp;J243&amp;" "&amp;K243,"SELECT '"&amp;UPPER(B243)&amp;"' AS TABELA, '"&amp;UPPER(C243)&amp;"' AS TIPOLOGIA_TESTE,'"&amp;D243&amp;"' AS TABELA_LT,'"&amp;E243&amp;"' AS TABELA_SIMUL,'"&amp;F243&amp;"' AS CAMPO, "&amp;"'${ref_date}' AS REF_DATE, COUNT(*) AS NUM_REG, SUM(IF(COALESCE(CAST(X."&amp;F243&amp;" AS STRING),'')&lt;&gt;COALESCE(CAST(Y."&amp;F243&amp;"_SIMUL AS STRING),'') OR (X."&amp;F243&amp;" IS NULL AND Y."&amp;F243&amp;"_SIMUL IS NOT NULL ) OR (X."&amp;F243&amp;" IS NOT NULL AND Y."&amp;F243&amp;"_SIMUL IS NULL),1,0)) AS NUM_REG_DIF,'"&amp;MAX('ID1&amp;5'!L:L)+1&amp;"' AS ID_EXEC, CURRENT_TIMESTAMP() AS TIME_EXEC FROM "&amp;I243&amp;" INNER JOIN "&amp;J243&amp;" "&amp;K243),
IF(C243="Validade",+IF(G243="Code List","SELECT '"&amp;UPPER(B243)&amp;"' AS TABELA, '"&amp;UPPER(C243)&amp;"' AS TIPOLOGIA_TESTE,'"&amp;D243&amp;"' AS TABELA_LT,'N/A' AS TABELA_SIMUL,'"&amp;F243&amp;"' AS CAMPO, "&amp;"'${ref_date}' AS REF_DATE, COUNT(*) AS NUM_REG, SUM(IF(TRIM(CAST(X."&amp;F243&amp;" AS STRING))='' OR TRIM(CAST(X."&amp;F243&amp;" AS STRING)) IS NULL OR CAST(X."&amp;F243&amp;" AS STRING) NOT "&amp;H243&amp;",1,0)) AS NUM_REG_DIF,'"&amp;MAX('ID1&amp;5'!K:K)+1&amp;"' AS ID_EXEC, CURRENT_TIMESTAMP() AS TIME_EXEC FROM "&amp;I243,"SELECT '"&amp;UPPER(B243)&amp;"' AS TABELA, '"&amp;UPPER(C243)&amp;"' AS TIPOLOGIA_TESTE,'"&amp;D243&amp;"' AS TABELA_LT,'N/A' AS TABELA_SIMUL,'"&amp;F243&amp;"' AS CAMPO, "&amp;"'${ref_date}' AS REF_DATE, COUNT(*) AS NUM_REG, SUM(IF(TRIM(CAST(X."&amp;F243&amp;" AS STRING))='' OR TRIM(CAST(X."&amp;F243&amp;" AS STRING)) IS NULL,1,0)) AS NUM_REG_DIF,'"&amp;MAX('ID1&amp;5'!K:K)+1&amp;"' AS ID_EXEC, CURRENT_TIMESTAMP() AS TIME_EXEC FROM "&amp;I243),
IF(C243="Caracteres Especiais",+"SELECT '"&amp;UPPER(B243)&amp;"' AS TABELA, '"&amp;UPPER(C243)&amp;"' AS TIPOLOGIA_TESTE,'"&amp;D243&amp;"' AS TABELA_LT,'N/A' AS TABELA_SIMUL,'"&amp;F243&amp;"' AS CAMPO, "&amp;"'${ref_date}' AS REF_DATE, COUNT(*) AS NUM_REG, SUM(IF(REGEXP_REPLACE(TRIM(CAST(X."&amp;F243&amp;" AS STRING)),'[^a-zA-Z0-9_\\s]','') &lt;&gt;TRIM(CAST(X."&amp;F243&amp;" AS STRING)),1,0)) AS NUM_REG_DIF,'"&amp;MAX('ID1&amp;5'!K:K)+1&amp;"' AS ID_EXEC, CURRENT_TIMESTAMP() AS TIME_EXEC FROM "&amp;I243,
IF(C243="Missings",+"SELECT '"&amp;UPPER(B243)&amp;"' AS TABELA, '"&amp;UPPER(C243)&amp;"' AS TIPOLOGIA_TESTE,'"&amp;D243&amp;"' AS TABELA_LT,'N/A' AS TABELA_SIMUL,'"&amp;F243&amp;"' AS CAMPO, "&amp;"'${ref_date}' AS REF_DATE, COUNT(*) AS NUM_REG, SUM(IF(TRIM(CAST(X."&amp;F243&amp;" AS STRING)) IN ('0000-00-00','0001-01-01','9999-12-31','MISS','00000','99999999999','99999999999.00','99999999999.000000'),1,0)) AS NUM_REG_DIF,'"&amp;MAX('ID1&amp;5'!K:K)+1&amp;"' AS ID_EXEC, CURRENT_TIMESTAMP() AS TIME_EXEC FROM "&amp;I243,
IF(C243="Not applicable",+"SELECT '"&amp;UPPER(B243)&amp;"' AS TABELA, '"&amp;UPPER(C243)&amp;"' AS TIPOLOGIA_TESTE,'"&amp;D243&amp;"' AS TABELA_LT,'N/A' AS TABELA_SIMUL,'"&amp;F243&amp;"' AS CAMPO, "&amp;"'${ref_date}' AS REF_DATE, COUNT(*) AS NUM_REG, SUM(IF(TRIM(CAST(X."&amp;F243&amp;" AS STRING)) IN ('N/A','11111111111','11111111111.00','11111111111.000000','1111-11-11'),1,0)) AS NUM_REG_DIF,'"&amp;MAX('ID1&amp;5'!K:K)+1&amp;"' AS ID_EXEC, CURRENT_TIMESTAMP() AS TIME_EXEC FROM "&amp;I243,
IF(C243="Valores extremos",+"SELECT '"&amp;UPPER(B243)&amp;"' AS TABELA, '"&amp;UPPER(C243)&amp;"' AS TIPOLOGIA_TESTE,'"&amp;D243&amp;"' AS TABELA_LT,'N/A' AS TABELA_SIMUL,'"&amp;F243&amp;"' AS CAMPO, "&amp;"'${ref_date}' AS REF_DATE, CAST(MIN("&amp;F243&amp;") AS STRING) AS VALOR_MIN, CAST(MAX("&amp;F243&amp;") AS STRING) AS VALOR_MAX,'"&amp;MAX('ID1&amp;5'!K:K)+1&amp;"' AS ID_EXEC, CURRENT_TIMESTAMP() AS TIME_EXEC FROM "&amp;MID(I243,1,LEN(I243)-2)&amp;" AND CAST("&amp;F243&amp;"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TABELA_SIMUL,'rfrnc_rt' AS CAMPO, '${ref_date}' AS REF_DATE, COUNT(*) AS NUM_REG, SUM(IF(COALESCE(CAST(X.rfrnc_rt AS STRING),'')&lt;&gt;COALESCE(CAST(Y.rfrnc_rt_SIMUL AS STRING),'') OR (X.rfrnc_rt IS NULL AND Y.rfrnc_rt_SIMUL IS NOT NULL ) OR (X.rfrnc_rt IS NOT NULL AND Y.rfrnc_rt_SIMUL IS NULL),1,0)) AS NUM_REG_DIF,'1' AS ID_EXEC, CURRENT_TIMESTAMP() AS TIME_EXEC FROM (SELECT instrmnt_id, rfrnc_rt FROM BU_LOANTAPE_WORK.LT002_INSTRUMENT WHERE ref_date='${ref_date}' AND nome_perimetro='Individual Local' AND segmento='ESTR' AND ambito='SRB_MBDT' AND entidade='00100')X INNER JOIN (SELECT instrmnt_id AS instrmnt_id_SIMUL, rfrnc_rt AS rfrnc_rt_SIMUL FROM BU_LOANTAPE_WORK.SIMUL_LT002_INSTRUMENT WHERE ref_date='${ref_date}' AND nome_perimetro='Individual Local' AND segmento='ESTR' AND ambito='PILAR3' AND entidade='00100')Y ON X.INSTRMNT_ID=Y.INSTRMNT_ID_SIMUL</v>
      </c>
      <c r="M243" s="36" t="str">
        <f t="shared" si="6"/>
        <v>UNION ALL SELECT 'INSTRUMENT' AS TABELA, 'COERÊNCIA' AS TIPOLOGIA_TESTE,'BU_LOANTAPE_WORK.LT002_INSTRUMENT' AS TABELA_LT,'BU_LOANTAPE_WORK.SIMUL_LT002_INSTRUMENT' AS TABELA_SIMUL,'rfrnc_rt' AS CAMPO, '${ref_date}' AS REF_DATE, COUNT(*) AS NUM_REG, SUM(IF(COALESCE(CAST(X.rfrnc_rt AS STRING),'')&lt;&gt;COALESCE(CAST(Y.rfrnc_rt_SIMUL AS STRING),'') OR (X.rfrnc_rt IS NULL AND Y.rfrnc_rt_SIMUL IS NOT NULL ) OR (X.rfrnc_rt IS NOT NULL AND Y.rfrnc_rt_SIMUL IS NULL),1,0)) AS NUM_REG_DIF,'1' AS ID_EXEC, CURRENT_TIMESTAMP() AS TIME_EXEC FROM (SELECT instrmnt_id, rfrnc_rt FROM BU_LOANTAPE_WORK.LT002_INSTRUMENT WHERE ref_date='${ref_date}' AND nome_perimetro='Individual Local' AND segmento='ESTR' AND ambito='SRB_MBDT' AND entidade='00100')X INNER JOIN (SELECT instrmnt_id AS instrmnt_id_SIMUL, rfrnc_rt AS rfrnc_rt_SIMUL FROM BU_LOANTAPE_WORK.SIMUL_LT002_INSTRUMENT WHERE ref_date='${ref_date}' AND nome_perimetro='Individual Local' AND segmento='ESTR' AND ambito='PILAR3' AND entidade='00100')Y ON X.INSTRMNT_ID=Y.INSTRMNT_ID_SIMUL</v>
      </c>
      <c r="N243" s="38"/>
    </row>
    <row r="244" spans="2:14">
      <c r="B244" s="34" t="s">
        <v>117</v>
      </c>
      <c r="C244" s="34" t="s">
        <v>5</v>
      </c>
      <c r="D244" s="34" t="str">
        <f>+UPPER('0. Instruções'!$D$35&amp;"."&amp;VLOOKUP(B244,'0. Instruções'!$C$27:$D$32,2,FALSE))</f>
        <v>BU_LOANTAPE_WORK.LT002_INSTRUMENT</v>
      </c>
      <c r="E244" s="34" t="str">
        <f>+UPPER('0. Instruções'!$D$36&amp;"."&amp;VLOOKUP(B244,'0. Instruções'!$C$27:$E$32,3,FALSE))</f>
        <v>BU_LOANTAPE_WORK.SIMUL_LT002_INSTRUMENT</v>
      </c>
      <c r="F244" s="34" t="s">
        <v>1302</v>
      </c>
      <c r="G244" s="34"/>
      <c r="H244" s="34"/>
      <c r="I244" s="34" t="str">
        <f>"(SELECT "&amp;VLOOKUP(B244,'0. Instruções'!$C$27:$G$32,4,FALSE)&amp;", "&amp;F244&amp;" FROM "&amp;D244&amp;" WHERE "&amp;'0. Instruções'!$D$42&amp;")X"</f>
        <v>(SELECT instrmnt_id, sprd FROM BU_LOANTAPE_WORK.LT002_INSTRUMENT WHERE ref_date='${ref_date}' AND nome_perimetro='Individual Local' AND segmento='ESTR' AND ambito='SRB_MBDT' AND entidade='00100')X</v>
      </c>
      <c r="J244" s="34" t="str">
        <f>"(SELECT "&amp;VLOOKUP(B244,'0. Instruções'!$C$27:$G$32,4,FALSE)&amp;" AS "&amp;VLOOKUP(B244,'0. Instruções'!$C$27:$G$32,4,FALSE)&amp;"_SIMUL, "&amp;F244&amp;" AS "&amp;F244&amp;"_SIMUL FROM "&amp;E244&amp;" WHERE "&amp;'0. Instruções'!$D$43&amp;")Y"</f>
        <v>(SELECT instrmnt_id AS instrmnt_id_SIMUL, sprd AS sprd_SIMUL FROM BU_LOANTAPE_WORK.SIMUL_LT002_INSTRUMENT WHERE ref_date='${ref_date}' AND nome_perimetro='Individual Local' AND segmento='ESTR' AND ambito='PILAR3' AND entidade='00100')Y</v>
      </c>
      <c r="K244" s="35" t="str">
        <f>+UPPER("ON X."&amp;VLOOKUP(B244,'0. Instruções'!$C$27:$G$32,4,FALSE)&amp;"=Y."&amp;VLOOKUP(B244,'0. Instruções'!$C$27:$G$32,4,FALSE)&amp;"_SIMUL")</f>
        <v>ON X.INSTRMNT_ID=Y.INSTRMNT_ID_SIMUL</v>
      </c>
      <c r="L244" s="35" t="str">
        <f>+IF(C244="Coerência", +IF(LEFT(G244,5)="FLOAT","SELECT '"&amp;UPPER(B244)&amp;"' AS TABELA, '"&amp;UPPER(C244)&amp;"' AS TIPOLOGIA_TESTE,'"&amp;D244&amp;"' AS TABELA_LT,'"&amp;E244&amp;"' AS TABELA_SIMUL,'"&amp;F244&amp;"' AS CAMPO, "&amp;"'${ref_date}' AS REF_DATE, COUNT(*) AS NUM_REG, SUM(IF((ABS(COALESCE(CAST(X."&amp;F244&amp;" AS DECIMAL(18,6)),0)-COALESCE(CAST(Y."&amp;F244&amp;"_SIMUL AS DECIMAL(18,6)),0))&gt;0.000001) OR (X."&amp;F244&amp;" IS NULL AND Y."&amp;F244&amp;"_SIMUL IS NOT NULL ) OR (X."&amp;F244&amp;" IS NOT NULL AND Y."&amp;F244&amp;"_SIMUL IS NULL),1,0)) AS NUM_REG_DIF,'"&amp;MAX('ID1&amp;5'!K:K)+1&amp;"' AS ID_EXEC, CURRENT_TIMESTAMP() AS TIME_EXEC FROM "&amp;I244&amp;" INNER JOIN "&amp;J244&amp;" "&amp;K244,"SELECT '"&amp;UPPER(B244)&amp;"' AS TABELA, '"&amp;UPPER(C244)&amp;"' AS TIPOLOGIA_TESTE,'"&amp;D244&amp;"' AS TABELA_LT,'"&amp;E244&amp;"' AS TABELA_SIMUL,'"&amp;F244&amp;"' AS CAMPO, "&amp;"'${ref_date}' AS REF_DATE, COUNT(*) AS NUM_REG, SUM(IF(COALESCE(CAST(X."&amp;F244&amp;" AS STRING),'')&lt;&gt;COALESCE(CAST(Y."&amp;F244&amp;"_SIMUL AS STRING),'') OR (X."&amp;F244&amp;" IS NULL AND Y."&amp;F244&amp;"_SIMUL IS NOT NULL ) OR (X."&amp;F244&amp;" IS NOT NULL AND Y."&amp;F244&amp;"_SIMUL IS NULL),1,0)) AS NUM_REG_DIF,'"&amp;MAX('ID1&amp;5'!L:L)+1&amp;"' AS ID_EXEC, CURRENT_TIMESTAMP() AS TIME_EXEC FROM "&amp;I244&amp;" INNER JOIN "&amp;J244&amp;" "&amp;K244),
IF(C244="Validade",+IF(G244="Code List","SELECT '"&amp;UPPER(B244)&amp;"' AS TABELA, '"&amp;UPPER(C244)&amp;"' AS TIPOLOGIA_TESTE,'"&amp;D244&amp;"' AS TABELA_LT,'N/A' AS TABELA_SIMUL,'"&amp;F244&amp;"' AS CAMPO, "&amp;"'${ref_date}' AS REF_DATE, COUNT(*) AS NUM_REG, SUM(IF(TRIM(CAST(X."&amp;F244&amp;" AS STRING))='' OR TRIM(CAST(X."&amp;F244&amp;" AS STRING)) IS NULL OR CAST(X."&amp;F244&amp;" AS STRING) NOT "&amp;H244&amp;",1,0)) AS NUM_REG_DIF,'"&amp;MAX('ID1&amp;5'!K:K)+1&amp;"' AS ID_EXEC, CURRENT_TIMESTAMP() AS TIME_EXEC FROM "&amp;I244,"SELECT '"&amp;UPPER(B244)&amp;"' AS TABELA, '"&amp;UPPER(C244)&amp;"' AS TIPOLOGIA_TESTE,'"&amp;D244&amp;"' AS TABELA_LT,'N/A' AS TABELA_SIMUL,'"&amp;F244&amp;"' AS CAMPO, "&amp;"'${ref_date}' AS REF_DATE, COUNT(*) AS NUM_REG, SUM(IF(TRIM(CAST(X."&amp;F244&amp;" AS STRING))='' OR TRIM(CAST(X."&amp;F244&amp;" AS STRING)) IS NULL,1,0)) AS NUM_REG_DIF,'"&amp;MAX('ID1&amp;5'!K:K)+1&amp;"' AS ID_EXEC, CURRENT_TIMESTAMP() AS TIME_EXEC FROM "&amp;I244),
IF(C244="Caracteres Especiais",+"SELECT '"&amp;UPPER(B244)&amp;"' AS TABELA, '"&amp;UPPER(C244)&amp;"' AS TIPOLOGIA_TESTE,'"&amp;D244&amp;"' AS TABELA_LT,'N/A' AS TABELA_SIMUL,'"&amp;F244&amp;"' AS CAMPO, "&amp;"'${ref_date}' AS REF_DATE, COUNT(*) AS NUM_REG, SUM(IF(REGEXP_REPLACE(TRIM(CAST(X."&amp;F244&amp;" AS STRING)),'[^a-zA-Z0-9_\\s]','') &lt;&gt;TRIM(CAST(X."&amp;F244&amp;" AS STRING)),1,0)) AS NUM_REG_DIF,'"&amp;MAX('ID1&amp;5'!K:K)+1&amp;"' AS ID_EXEC, CURRENT_TIMESTAMP() AS TIME_EXEC FROM "&amp;I244,
IF(C244="Missings",+"SELECT '"&amp;UPPER(B244)&amp;"' AS TABELA, '"&amp;UPPER(C244)&amp;"' AS TIPOLOGIA_TESTE,'"&amp;D244&amp;"' AS TABELA_LT,'N/A' AS TABELA_SIMUL,'"&amp;F244&amp;"' AS CAMPO, "&amp;"'${ref_date}' AS REF_DATE, COUNT(*) AS NUM_REG, SUM(IF(TRIM(CAST(X."&amp;F244&amp;" AS STRING)) IN ('0000-00-00','0001-01-01','9999-12-31','MISS','00000','99999999999','99999999999.00','99999999999.000000'),1,0)) AS NUM_REG_DIF,'"&amp;MAX('ID1&amp;5'!K:K)+1&amp;"' AS ID_EXEC, CURRENT_TIMESTAMP() AS TIME_EXEC FROM "&amp;I244,
IF(C244="Not applicable",+"SELECT '"&amp;UPPER(B244)&amp;"' AS TABELA, '"&amp;UPPER(C244)&amp;"' AS TIPOLOGIA_TESTE,'"&amp;D244&amp;"' AS TABELA_LT,'N/A' AS TABELA_SIMUL,'"&amp;F244&amp;"' AS CAMPO, "&amp;"'${ref_date}' AS REF_DATE, COUNT(*) AS NUM_REG, SUM(IF(TRIM(CAST(X."&amp;F244&amp;" AS STRING)) IN ('N/A','11111111111','11111111111.00','11111111111.000000','1111-11-11'),1,0)) AS NUM_REG_DIF,'"&amp;MAX('ID1&amp;5'!K:K)+1&amp;"' AS ID_EXEC, CURRENT_TIMESTAMP() AS TIME_EXEC FROM "&amp;I244,
IF(C244="Valores extremos",+"SELECT '"&amp;UPPER(B244)&amp;"' AS TABELA, '"&amp;UPPER(C244)&amp;"' AS TIPOLOGIA_TESTE,'"&amp;D244&amp;"' AS TABELA_LT,'N/A' AS TABELA_SIMUL,'"&amp;F244&amp;"' AS CAMPO, "&amp;"'${ref_date}' AS REF_DATE, CAST(MIN("&amp;F244&amp;") AS STRING) AS VALOR_MIN, CAST(MAX("&amp;F244&amp;") AS STRING) AS VALOR_MAX,'"&amp;MAX('ID1&amp;5'!K:K)+1&amp;"' AS ID_EXEC, CURRENT_TIMESTAMP() AS TIME_EXEC FROM "&amp;MID(I244,1,LEN(I244)-2)&amp;" AND CAST("&amp;F244&amp;"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TABELA_SIMUL,'sprd' AS CAMPO, '${ref_date}' AS REF_DATE, COUNT(*) AS NUM_REG, SUM(IF(COALESCE(CAST(X.sprd AS STRING),'')&lt;&gt;COALESCE(CAST(Y.sprd_SIMUL AS STRING),'') OR (X.sprd IS NULL AND Y.sprd_SIMUL IS NOT NULL ) OR (X.sprd IS NOT NULL AND Y.sprd_SIMUL IS NULL),1,0)) AS NUM_REG_DIF,'1' AS ID_EXEC, CURRENT_TIMESTAMP() AS TIME_EXEC FROM (SELECT instrmnt_id, sprd FROM BU_LOANTAPE_WORK.LT002_INSTRUMENT WHERE ref_date='${ref_date}' AND nome_perimetro='Individual Local' AND segmento='ESTR' AND ambito='SRB_MBDT' AND entidade='00100')X INNER JOIN (SELECT instrmnt_id AS instrmnt_id_SIMUL, sprd AS sprd_SIMUL FROM BU_LOANTAPE_WORK.SIMUL_LT002_INSTRUMENT WHERE ref_date='${ref_date}' AND nome_perimetro='Individual Local' AND segmento='ESTR' AND ambito='PILAR3' AND entidade='00100')Y ON X.INSTRMNT_ID=Y.INSTRMNT_ID_SIMUL</v>
      </c>
      <c r="M244" s="36" t="str">
        <f t="shared" si="6"/>
        <v>UNION ALL SELECT 'INSTRUMENT' AS TABELA, 'COERÊNCIA' AS TIPOLOGIA_TESTE,'BU_LOANTAPE_WORK.LT002_INSTRUMENT' AS TABELA_LT,'BU_LOANTAPE_WORK.SIMUL_LT002_INSTRUMENT' AS TABELA_SIMUL,'sprd' AS CAMPO, '${ref_date}' AS REF_DATE, COUNT(*) AS NUM_REG, SUM(IF(COALESCE(CAST(X.sprd AS STRING),'')&lt;&gt;COALESCE(CAST(Y.sprd_SIMUL AS STRING),'') OR (X.sprd IS NULL AND Y.sprd_SIMUL IS NOT NULL ) OR (X.sprd IS NOT NULL AND Y.sprd_SIMUL IS NULL),1,0)) AS NUM_REG_DIF,'1' AS ID_EXEC, CURRENT_TIMESTAMP() AS TIME_EXEC FROM (SELECT instrmnt_id, sprd FROM BU_LOANTAPE_WORK.LT002_INSTRUMENT WHERE ref_date='${ref_date}' AND nome_perimetro='Individual Local' AND segmento='ESTR' AND ambito='SRB_MBDT' AND entidade='00100')X INNER JOIN (SELECT instrmnt_id AS instrmnt_id_SIMUL, sprd AS sprd_SIMUL FROM BU_LOANTAPE_WORK.SIMUL_LT002_INSTRUMENT WHERE ref_date='${ref_date}' AND nome_perimetro='Individual Local' AND segmento='ESTR' AND ambito='PILAR3' AND entidade='00100')Y ON X.INSTRMNT_ID=Y.INSTRMNT_ID_SIMUL</v>
      </c>
      <c r="N244" s="38"/>
    </row>
    <row r="245" spans="2:14">
      <c r="B245" s="34" t="s">
        <v>117</v>
      </c>
      <c r="C245" s="34" t="s">
        <v>5</v>
      </c>
      <c r="D245" s="34" t="str">
        <f>+UPPER('0. Instruções'!$D$35&amp;"."&amp;VLOOKUP(B245,'0. Instruções'!$C$27:$D$32,2,FALSE))</f>
        <v>BU_LOANTAPE_WORK.LT002_INSTRUMENT</v>
      </c>
      <c r="E245" s="34" t="str">
        <f>+UPPER('0. Instruções'!$D$36&amp;"."&amp;VLOOKUP(B245,'0. Instruções'!$C$27:$E$32,3,FALSE))</f>
        <v>BU_LOANTAPE_WORK.SIMUL_LT002_INSTRUMENT</v>
      </c>
      <c r="F245" s="34" t="s">
        <v>1303</v>
      </c>
      <c r="G245" s="34"/>
      <c r="H245" s="34"/>
      <c r="I245" s="34" t="str">
        <f>"(SELECT "&amp;VLOOKUP(B245,'0. Instruções'!$C$27:$G$32,4,FALSE)&amp;", "&amp;F245&amp;" FROM "&amp;D245&amp;" WHERE "&amp;'0. Instruções'!$D$42&amp;")X"</f>
        <v>(SELECT instrmnt_id, srcs_encmbrnc FROM BU_LOANTAPE_WORK.LT002_INSTRUMENT WHERE ref_date='${ref_date}' AND nome_perimetro='Individual Local' AND segmento='ESTR' AND ambito='SRB_MBDT' AND entidade='00100')X</v>
      </c>
      <c r="J245" s="34" t="str">
        <f>"(SELECT "&amp;VLOOKUP(B245,'0. Instruções'!$C$27:$G$32,4,FALSE)&amp;" AS "&amp;VLOOKUP(B245,'0. Instruções'!$C$27:$G$32,4,FALSE)&amp;"_SIMUL, "&amp;F245&amp;" AS "&amp;F245&amp;"_SIMUL FROM "&amp;E245&amp;" WHERE "&amp;'0. Instruções'!$D$43&amp;")Y"</f>
        <v>(SELECT instrmnt_id AS instrmnt_id_SIMUL, srcs_encmbrnc AS srcs_encmbrnc_SIMUL FROM BU_LOANTAPE_WORK.SIMUL_LT002_INSTRUMENT WHERE ref_date='${ref_date}' AND nome_perimetro='Individual Local' AND segmento='ESTR' AND ambito='PILAR3' AND entidade='00100')Y</v>
      </c>
      <c r="K245" s="35" t="str">
        <f>+UPPER("ON X."&amp;VLOOKUP(B245,'0. Instruções'!$C$27:$G$32,4,FALSE)&amp;"=Y."&amp;VLOOKUP(B245,'0. Instruções'!$C$27:$G$32,4,FALSE)&amp;"_SIMUL")</f>
        <v>ON X.INSTRMNT_ID=Y.INSTRMNT_ID_SIMUL</v>
      </c>
      <c r="L245" s="35" t="str">
        <f>+IF(C245="Coerência", +IF(LEFT(G245,5)="FLOAT","SELECT '"&amp;UPPER(B245)&amp;"' AS TABELA, '"&amp;UPPER(C245)&amp;"' AS TIPOLOGIA_TESTE,'"&amp;D245&amp;"' AS TABELA_LT,'"&amp;E245&amp;"' AS TABELA_SIMUL,'"&amp;F245&amp;"' AS CAMPO, "&amp;"'${ref_date}' AS REF_DATE, COUNT(*) AS NUM_REG, SUM(IF((ABS(COALESCE(CAST(X."&amp;F245&amp;" AS DECIMAL(18,6)),0)-COALESCE(CAST(Y."&amp;F245&amp;"_SIMUL AS DECIMAL(18,6)),0))&gt;0.000001) OR (X."&amp;F245&amp;" IS NULL AND Y."&amp;F245&amp;"_SIMUL IS NOT NULL ) OR (X."&amp;F245&amp;" IS NOT NULL AND Y."&amp;F245&amp;"_SIMUL IS NULL),1,0)) AS NUM_REG_DIF,'"&amp;MAX('ID1&amp;5'!K:K)+1&amp;"' AS ID_EXEC, CURRENT_TIMESTAMP() AS TIME_EXEC FROM "&amp;I245&amp;" INNER JOIN "&amp;J245&amp;" "&amp;K245,"SELECT '"&amp;UPPER(B245)&amp;"' AS TABELA, '"&amp;UPPER(C245)&amp;"' AS TIPOLOGIA_TESTE,'"&amp;D245&amp;"' AS TABELA_LT,'"&amp;E245&amp;"' AS TABELA_SIMUL,'"&amp;F245&amp;"' AS CAMPO, "&amp;"'${ref_date}' AS REF_DATE, COUNT(*) AS NUM_REG, SUM(IF(COALESCE(CAST(X."&amp;F245&amp;" AS STRING),'')&lt;&gt;COALESCE(CAST(Y."&amp;F245&amp;"_SIMUL AS STRING),'') OR (X."&amp;F245&amp;" IS NULL AND Y."&amp;F245&amp;"_SIMUL IS NOT NULL ) OR (X."&amp;F245&amp;" IS NOT NULL AND Y."&amp;F245&amp;"_SIMUL IS NULL),1,0)) AS NUM_REG_DIF,'"&amp;MAX('ID1&amp;5'!L:L)+1&amp;"' AS ID_EXEC, CURRENT_TIMESTAMP() AS TIME_EXEC FROM "&amp;I245&amp;" INNER JOIN "&amp;J245&amp;" "&amp;K245),
IF(C245="Validade",+IF(G245="Code List","SELECT '"&amp;UPPER(B245)&amp;"' AS TABELA, '"&amp;UPPER(C245)&amp;"' AS TIPOLOGIA_TESTE,'"&amp;D245&amp;"' AS TABELA_LT,'N/A' AS TABELA_SIMUL,'"&amp;F245&amp;"' AS CAMPO, "&amp;"'${ref_date}' AS REF_DATE, COUNT(*) AS NUM_REG, SUM(IF(TRIM(CAST(X."&amp;F245&amp;" AS STRING))='' OR TRIM(CAST(X."&amp;F245&amp;" AS STRING)) IS NULL OR CAST(X."&amp;F245&amp;" AS STRING) NOT "&amp;H245&amp;",1,0)) AS NUM_REG_DIF,'"&amp;MAX('ID1&amp;5'!K:K)+1&amp;"' AS ID_EXEC, CURRENT_TIMESTAMP() AS TIME_EXEC FROM "&amp;I245,"SELECT '"&amp;UPPER(B245)&amp;"' AS TABELA, '"&amp;UPPER(C245)&amp;"' AS TIPOLOGIA_TESTE,'"&amp;D245&amp;"' AS TABELA_LT,'N/A' AS TABELA_SIMUL,'"&amp;F245&amp;"' AS CAMPO, "&amp;"'${ref_date}' AS REF_DATE, COUNT(*) AS NUM_REG, SUM(IF(TRIM(CAST(X."&amp;F245&amp;" AS STRING))='' OR TRIM(CAST(X."&amp;F245&amp;" AS STRING)) IS NULL,1,0)) AS NUM_REG_DIF,'"&amp;MAX('ID1&amp;5'!K:K)+1&amp;"' AS ID_EXEC, CURRENT_TIMESTAMP() AS TIME_EXEC FROM "&amp;I245),
IF(C245="Caracteres Especiais",+"SELECT '"&amp;UPPER(B245)&amp;"' AS TABELA, '"&amp;UPPER(C245)&amp;"' AS TIPOLOGIA_TESTE,'"&amp;D245&amp;"' AS TABELA_LT,'N/A' AS TABELA_SIMUL,'"&amp;F245&amp;"' AS CAMPO, "&amp;"'${ref_date}' AS REF_DATE, COUNT(*) AS NUM_REG, SUM(IF(REGEXP_REPLACE(TRIM(CAST(X."&amp;F245&amp;" AS STRING)),'[^a-zA-Z0-9_\\s]','') &lt;&gt;TRIM(CAST(X."&amp;F245&amp;" AS STRING)),1,0)) AS NUM_REG_DIF,'"&amp;MAX('ID1&amp;5'!K:K)+1&amp;"' AS ID_EXEC, CURRENT_TIMESTAMP() AS TIME_EXEC FROM "&amp;I245,
IF(C245="Missings",+"SELECT '"&amp;UPPER(B245)&amp;"' AS TABELA, '"&amp;UPPER(C245)&amp;"' AS TIPOLOGIA_TESTE,'"&amp;D245&amp;"' AS TABELA_LT,'N/A' AS TABELA_SIMUL,'"&amp;F245&amp;"' AS CAMPO, "&amp;"'${ref_date}' AS REF_DATE, COUNT(*) AS NUM_REG, SUM(IF(TRIM(CAST(X."&amp;F245&amp;" AS STRING)) IN ('0000-00-00','0001-01-01','9999-12-31','MISS','00000','99999999999','99999999999.00','99999999999.000000'),1,0)) AS NUM_REG_DIF,'"&amp;MAX('ID1&amp;5'!K:K)+1&amp;"' AS ID_EXEC, CURRENT_TIMESTAMP() AS TIME_EXEC FROM "&amp;I245,
IF(C245="Not applicable",+"SELECT '"&amp;UPPER(B245)&amp;"' AS TABELA, '"&amp;UPPER(C245)&amp;"' AS TIPOLOGIA_TESTE,'"&amp;D245&amp;"' AS TABELA_LT,'N/A' AS TABELA_SIMUL,'"&amp;F245&amp;"' AS CAMPO, "&amp;"'${ref_date}' AS REF_DATE, COUNT(*) AS NUM_REG, SUM(IF(TRIM(CAST(X."&amp;F245&amp;" AS STRING)) IN ('N/A','11111111111','11111111111.00','11111111111.000000','1111-11-11'),1,0)) AS NUM_REG_DIF,'"&amp;MAX('ID1&amp;5'!K:K)+1&amp;"' AS ID_EXEC, CURRENT_TIMESTAMP() AS TIME_EXEC FROM "&amp;I245,
IF(C245="Valores extremos",+"SELECT '"&amp;UPPER(B245)&amp;"' AS TABELA, '"&amp;UPPER(C245)&amp;"' AS TIPOLOGIA_TESTE,'"&amp;D245&amp;"' AS TABELA_LT,'N/A' AS TABELA_SIMUL,'"&amp;F245&amp;"' AS CAMPO, "&amp;"'${ref_date}' AS REF_DATE, CAST(MIN("&amp;F245&amp;") AS STRING) AS VALOR_MIN, CAST(MAX("&amp;F245&amp;") AS STRING) AS VALOR_MAX,'"&amp;MAX('ID1&amp;5'!K:K)+1&amp;"' AS ID_EXEC, CURRENT_TIMESTAMP() AS TIME_EXEC FROM "&amp;MID(I245,1,LEN(I245)-2)&amp;" AND CAST("&amp;F245&amp;"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TABELA_SIMUL,'srcs_encmbrnc' AS CAMPO, '${ref_date}' AS REF_DATE, COUNT(*) AS NUM_REG, SUM(IF(COALESCE(CAST(X.srcs_encmbrnc AS STRING),'')&lt;&gt;COALESCE(CAST(Y.srcs_encmbrnc_SIMUL AS STRING),'') OR (X.srcs_encmbrnc IS NULL AND Y.srcs_encmbrnc_SIMUL IS NOT NULL ) OR (X.srcs_encmbrnc IS NOT NULL AND Y.srcs_encmbrnc_SIMUL IS NULL),1,0)) AS NUM_REG_DIF,'1' AS ID_EXEC, CURRENT_TIMESTAMP() AS TIME_EXEC FROM (SELECT instrmnt_id, srcs_encmbrnc FROM BU_LOANTAPE_WORK.LT002_INSTRUMENT WHERE ref_date='${ref_date}' AND nome_perimetro='Individual Local' AND segmento='ESTR' AND ambito='SRB_MBDT' AND entidade='00100')X INNER JOIN (SELECT instrmnt_id AS instrmnt_id_SIMUL, srcs_encmbrnc AS srcs_encmbrnc_SIMUL FROM BU_LOANTAPE_WORK.SIMUL_LT002_INSTRUMENT WHERE ref_date='${ref_date}' AND nome_perimetro='Individual Local' AND segmento='ESTR' AND ambito='PILAR3' AND entidade='00100')Y ON X.INSTRMNT_ID=Y.INSTRMNT_ID_SIMUL</v>
      </c>
      <c r="M245" s="36" t="str">
        <f t="shared" si="6"/>
        <v>UNION ALL SELECT 'INSTRUMENT' AS TABELA, 'COERÊNCIA' AS TIPOLOGIA_TESTE,'BU_LOANTAPE_WORK.LT002_INSTRUMENT' AS TABELA_LT,'BU_LOANTAPE_WORK.SIMUL_LT002_INSTRUMENT' AS TABELA_SIMUL,'srcs_encmbrnc' AS CAMPO, '${ref_date}' AS REF_DATE, COUNT(*) AS NUM_REG, SUM(IF(COALESCE(CAST(X.srcs_encmbrnc AS STRING),'')&lt;&gt;COALESCE(CAST(Y.srcs_encmbrnc_SIMUL AS STRING),'') OR (X.srcs_encmbrnc IS NULL AND Y.srcs_encmbrnc_SIMUL IS NOT NULL ) OR (X.srcs_encmbrnc IS NOT NULL AND Y.srcs_encmbrnc_SIMUL IS NULL),1,0)) AS NUM_REG_DIF,'1' AS ID_EXEC, CURRENT_TIMESTAMP() AS TIME_EXEC FROM (SELECT instrmnt_id, srcs_encmbrnc FROM BU_LOANTAPE_WORK.LT002_INSTRUMENT WHERE ref_date='${ref_date}' AND nome_perimetro='Individual Local' AND segmento='ESTR' AND ambito='SRB_MBDT' AND entidade='00100')X INNER JOIN (SELECT instrmnt_id AS instrmnt_id_SIMUL, srcs_encmbrnc AS srcs_encmbrnc_SIMUL FROM BU_LOANTAPE_WORK.SIMUL_LT002_INSTRUMENT WHERE ref_date='${ref_date}' AND nome_perimetro='Individual Local' AND segmento='ESTR' AND ambito='PILAR3' AND entidade='00100')Y ON X.INSTRMNT_ID=Y.INSTRMNT_ID_SIMUL</v>
      </c>
      <c r="N245" s="38"/>
    </row>
    <row r="246" spans="2:14">
      <c r="B246" s="34" t="s">
        <v>117</v>
      </c>
      <c r="C246" s="34" t="s">
        <v>5</v>
      </c>
      <c r="D246" s="34" t="str">
        <f>+UPPER('0. Instruções'!$D$35&amp;"."&amp;VLOOKUP(B246,'0. Instruções'!$C$27:$D$32,2,FALSE))</f>
        <v>BU_LOANTAPE_WORK.LT002_INSTRUMENT</v>
      </c>
      <c r="E246" s="34" t="str">
        <f>+UPPER('0. Instruções'!$D$36&amp;"."&amp;VLOOKUP(B246,'0. Instruções'!$C$27:$E$32,3,FALSE))</f>
        <v>BU_LOANTAPE_WORK.SIMUL_LT002_INSTRUMENT</v>
      </c>
      <c r="F246" s="34" t="s">
        <v>1304</v>
      </c>
      <c r="G246" s="34"/>
      <c r="H246" s="34"/>
      <c r="I246" s="34" t="str">
        <f>"(SELECT "&amp;VLOOKUP(B246,'0. Instruções'!$C$27:$G$32,4,FALSE)&amp;", "&amp;F246&amp;" FROM "&amp;D246&amp;" WHERE "&amp;'0. Instruções'!$D$42&amp;")X"</f>
        <v>(SELECT instrmnt_id, type_of_plcmnt FROM BU_LOANTAPE_WORK.LT002_INSTRUMENT WHERE ref_date='${ref_date}' AND nome_perimetro='Individual Local' AND segmento='ESTR' AND ambito='SRB_MBDT' AND entidade='00100')X</v>
      </c>
      <c r="J246" s="34" t="str">
        <f>"(SELECT "&amp;VLOOKUP(B246,'0. Instruções'!$C$27:$G$32,4,FALSE)&amp;" AS "&amp;VLOOKUP(B246,'0. Instruções'!$C$27:$G$32,4,FALSE)&amp;"_SIMUL, "&amp;F246&amp;" AS "&amp;F246&amp;"_SIMUL FROM "&amp;E246&amp;" WHERE "&amp;'0. Instruções'!$D$43&amp;")Y"</f>
        <v>(SELECT instrmnt_id AS instrmnt_id_SIMUL, type_of_plcmnt AS type_of_plcmnt_SIMUL FROM BU_LOANTAPE_WORK.SIMUL_LT002_INSTRUMENT WHERE ref_date='${ref_date}' AND nome_perimetro='Individual Local' AND segmento='ESTR' AND ambito='PILAR3' AND entidade='00100')Y</v>
      </c>
      <c r="K246" s="35" t="str">
        <f>+UPPER("ON X."&amp;VLOOKUP(B246,'0. Instruções'!$C$27:$G$32,4,FALSE)&amp;"=Y."&amp;VLOOKUP(B246,'0. Instruções'!$C$27:$G$32,4,FALSE)&amp;"_SIMUL")</f>
        <v>ON X.INSTRMNT_ID=Y.INSTRMNT_ID_SIMUL</v>
      </c>
      <c r="L246" s="35" t="str">
        <f>+IF(C246="Coerência", +IF(LEFT(G246,5)="FLOAT","SELECT '"&amp;UPPER(B246)&amp;"' AS TABELA, '"&amp;UPPER(C246)&amp;"' AS TIPOLOGIA_TESTE,'"&amp;D246&amp;"' AS TABELA_LT,'"&amp;E246&amp;"' AS TABELA_SIMUL,'"&amp;F246&amp;"' AS CAMPO, "&amp;"'${ref_date}' AS REF_DATE, COUNT(*) AS NUM_REG, SUM(IF((ABS(COALESCE(CAST(X."&amp;F246&amp;" AS DECIMAL(18,6)),0)-COALESCE(CAST(Y."&amp;F246&amp;"_SIMUL AS DECIMAL(18,6)),0))&gt;0.000001) OR (X."&amp;F246&amp;" IS NULL AND Y."&amp;F246&amp;"_SIMUL IS NOT NULL ) OR (X."&amp;F246&amp;" IS NOT NULL AND Y."&amp;F246&amp;"_SIMUL IS NULL),1,0)) AS NUM_REG_DIF,'"&amp;MAX('ID1&amp;5'!K:K)+1&amp;"' AS ID_EXEC, CURRENT_TIMESTAMP() AS TIME_EXEC FROM "&amp;I246&amp;" INNER JOIN "&amp;J246&amp;" "&amp;K246,"SELECT '"&amp;UPPER(B246)&amp;"' AS TABELA, '"&amp;UPPER(C246)&amp;"' AS TIPOLOGIA_TESTE,'"&amp;D246&amp;"' AS TABELA_LT,'"&amp;E246&amp;"' AS TABELA_SIMUL,'"&amp;F246&amp;"' AS CAMPO, "&amp;"'${ref_date}' AS REF_DATE, COUNT(*) AS NUM_REG, SUM(IF(COALESCE(CAST(X."&amp;F246&amp;" AS STRING),'')&lt;&gt;COALESCE(CAST(Y."&amp;F246&amp;"_SIMUL AS STRING),'') OR (X."&amp;F246&amp;" IS NULL AND Y."&amp;F246&amp;"_SIMUL IS NOT NULL ) OR (X."&amp;F246&amp;" IS NOT NULL AND Y."&amp;F246&amp;"_SIMUL IS NULL),1,0)) AS NUM_REG_DIF,'"&amp;MAX('ID1&amp;5'!L:L)+1&amp;"' AS ID_EXEC, CURRENT_TIMESTAMP() AS TIME_EXEC FROM "&amp;I246&amp;" INNER JOIN "&amp;J246&amp;" "&amp;K246),
IF(C246="Validade",+IF(G246="Code List","SELECT '"&amp;UPPER(B246)&amp;"' AS TABELA, '"&amp;UPPER(C246)&amp;"' AS TIPOLOGIA_TESTE,'"&amp;D246&amp;"' AS TABELA_LT,'N/A' AS TABELA_SIMUL,'"&amp;F246&amp;"' AS CAMPO, "&amp;"'${ref_date}' AS REF_DATE, COUNT(*) AS NUM_REG, SUM(IF(TRIM(CAST(X."&amp;F246&amp;" AS STRING))='' OR TRIM(CAST(X."&amp;F246&amp;" AS STRING)) IS NULL OR CAST(X."&amp;F246&amp;" AS STRING) NOT "&amp;H246&amp;",1,0)) AS NUM_REG_DIF,'"&amp;MAX('ID1&amp;5'!K:K)+1&amp;"' AS ID_EXEC, CURRENT_TIMESTAMP() AS TIME_EXEC FROM "&amp;I246,"SELECT '"&amp;UPPER(B246)&amp;"' AS TABELA, '"&amp;UPPER(C246)&amp;"' AS TIPOLOGIA_TESTE,'"&amp;D246&amp;"' AS TABELA_LT,'N/A' AS TABELA_SIMUL,'"&amp;F246&amp;"' AS CAMPO, "&amp;"'${ref_date}' AS REF_DATE, COUNT(*) AS NUM_REG, SUM(IF(TRIM(CAST(X."&amp;F246&amp;" AS STRING))='' OR TRIM(CAST(X."&amp;F246&amp;" AS STRING)) IS NULL,1,0)) AS NUM_REG_DIF,'"&amp;MAX('ID1&amp;5'!K:K)+1&amp;"' AS ID_EXEC, CURRENT_TIMESTAMP() AS TIME_EXEC FROM "&amp;I246),
IF(C246="Caracteres Especiais",+"SELECT '"&amp;UPPER(B246)&amp;"' AS TABELA, '"&amp;UPPER(C246)&amp;"' AS TIPOLOGIA_TESTE,'"&amp;D246&amp;"' AS TABELA_LT,'N/A' AS TABELA_SIMUL,'"&amp;F246&amp;"' AS CAMPO, "&amp;"'${ref_date}' AS REF_DATE, COUNT(*) AS NUM_REG, SUM(IF(REGEXP_REPLACE(TRIM(CAST(X."&amp;F246&amp;" AS STRING)),'[^a-zA-Z0-9_\\s]','') &lt;&gt;TRIM(CAST(X."&amp;F246&amp;" AS STRING)),1,0)) AS NUM_REG_DIF,'"&amp;MAX('ID1&amp;5'!K:K)+1&amp;"' AS ID_EXEC, CURRENT_TIMESTAMP() AS TIME_EXEC FROM "&amp;I246,
IF(C246="Missings",+"SELECT '"&amp;UPPER(B246)&amp;"' AS TABELA, '"&amp;UPPER(C246)&amp;"' AS TIPOLOGIA_TESTE,'"&amp;D246&amp;"' AS TABELA_LT,'N/A' AS TABELA_SIMUL,'"&amp;F246&amp;"' AS CAMPO, "&amp;"'${ref_date}' AS REF_DATE, COUNT(*) AS NUM_REG, SUM(IF(TRIM(CAST(X."&amp;F246&amp;" AS STRING)) IN ('0000-00-00','0001-01-01','9999-12-31','MISS','00000','99999999999','99999999999.00','99999999999.000000'),1,0)) AS NUM_REG_DIF,'"&amp;MAX('ID1&amp;5'!K:K)+1&amp;"' AS ID_EXEC, CURRENT_TIMESTAMP() AS TIME_EXEC FROM "&amp;I246,
IF(C246="Not applicable",+"SELECT '"&amp;UPPER(B246)&amp;"' AS TABELA, '"&amp;UPPER(C246)&amp;"' AS TIPOLOGIA_TESTE,'"&amp;D246&amp;"' AS TABELA_LT,'N/A' AS TABELA_SIMUL,'"&amp;F246&amp;"' AS CAMPO, "&amp;"'${ref_date}' AS REF_DATE, COUNT(*) AS NUM_REG, SUM(IF(TRIM(CAST(X."&amp;F246&amp;" AS STRING)) IN ('N/A','11111111111','11111111111.00','11111111111.000000','1111-11-11'),1,0)) AS NUM_REG_DIF,'"&amp;MAX('ID1&amp;5'!K:K)+1&amp;"' AS ID_EXEC, CURRENT_TIMESTAMP() AS TIME_EXEC FROM "&amp;I246,
IF(C246="Valores extremos",+"SELECT '"&amp;UPPER(B246)&amp;"' AS TABELA, '"&amp;UPPER(C246)&amp;"' AS TIPOLOGIA_TESTE,'"&amp;D246&amp;"' AS TABELA_LT,'N/A' AS TABELA_SIMUL,'"&amp;F246&amp;"' AS CAMPO, "&amp;"'${ref_date}' AS REF_DATE, CAST(MIN("&amp;F246&amp;") AS STRING) AS VALOR_MIN, CAST(MAX("&amp;F246&amp;") AS STRING) AS VALOR_MAX,'"&amp;MAX('ID1&amp;5'!K:K)+1&amp;"' AS ID_EXEC, CURRENT_TIMESTAMP() AS TIME_EXEC FROM "&amp;MID(I246,1,LEN(I246)-2)&amp;" AND CAST("&amp;F246&amp;"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TABELA_SIMUL,'type_of_plcmnt' AS CAMPO, '${ref_date}' AS REF_DATE, COUNT(*) AS NUM_REG, SUM(IF(COALESCE(CAST(X.type_of_plcmnt AS STRING),'')&lt;&gt;COALESCE(CAST(Y.type_of_plcmnt_SIMUL AS STRING),'') OR (X.type_of_plcmnt IS NULL AND Y.type_of_plcmnt_SIMUL IS NOT NULL ) OR (X.type_of_plcmnt IS NOT NULL AND Y.type_of_plcmnt_SIMUL IS NULL),1,0)) AS NUM_REG_DIF,'1' AS ID_EXEC, CURRENT_TIMESTAMP() AS TIME_EXEC FROM (SELECT instrmnt_id, type_of_plcmnt FROM BU_LOANTAPE_WORK.LT002_INSTRUMENT WHERE ref_date='${ref_date}' AND nome_perimetro='Individual Local' AND segmento='ESTR' AND ambito='SRB_MBDT' AND entidade='00100')X INNER JOIN (SELECT instrmnt_id AS instrmnt_id_SIMUL, type_of_plcmnt AS type_of_plcmnt_SIMUL FROM BU_LOANTAPE_WORK.SIMUL_LT002_INSTRUMENT WHERE ref_date='${ref_date}' AND nome_perimetro='Individual Local' AND segmento='ESTR' AND ambito='PILAR3' AND entidade='00100')Y ON X.INSTRMNT_ID=Y.INSTRMNT_ID_SIMUL</v>
      </c>
      <c r="M246" s="36" t="str">
        <f t="shared" si="6"/>
        <v>UNION ALL SELECT 'INSTRUMENT' AS TABELA, 'COERÊNCIA' AS TIPOLOGIA_TESTE,'BU_LOANTAPE_WORK.LT002_INSTRUMENT' AS TABELA_LT,'BU_LOANTAPE_WORK.SIMUL_LT002_INSTRUMENT' AS TABELA_SIMUL,'type_of_plcmnt' AS CAMPO, '${ref_date}' AS REF_DATE, COUNT(*) AS NUM_REG, SUM(IF(COALESCE(CAST(X.type_of_plcmnt AS STRING),'')&lt;&gt;COALESCE(CAST(Y.type_of_plcmnt_SIMUL AS STRING),'') OR (X.type_of_plcmnt IS NULL AND Y.type_of_plcmnt_SIMUL IS NOT NULL ) OR (X.type_of_plcmnt IS NOT NULL AND Y.type_of_plcmnt_SIMUL IS NULL),1,0)) AS NUM_REG_DIF,'1' AS ID_EXEC, CURRENT_TIMESTAMP() AS TIME_EXEC FROM (SELECT instrmnt_id, type_of_plcmnt FROM BU_LOANTAPE_WORK.LT002_INSTRUMENT WHERE ref_date='${ref_date}' AND nome_perimetro='Individual Local' AND segmento='ESTR' AND ambito='SRB_MBDT' AND entidade='00100')X INNER JOIN (SELECT instrmnt_id AS instrmnt_id_SIMUL, type_of_plcmnt AS type_of_plcmnt_SIMUL FROM BU_LOANTAPE_WORK.SIMUL_LT002_INSTRUMENT WHERE ref_date='${ref_date}' AND nome_perimetro='Individual Local' AND segmento='ESTR' AND ambito='PILAR3' AND entidade='00100')Y ON X.INSTRMNT_ID=Y.INSTRMNT_ID_SIMUL</v>
      </c>
      <c r="N246" s="38"/>
    </row>
    <row r="247" spans="2:14">
      <c r="B247" s="34" t="s">
        <v>117</v>
      </c>
      <c r="C247" s="34" t="s">
        <v>5</v>
      </c>
      <c r="D247" s="34" t="str">
        <f>+UPPER('0. Instruções'!$D$35&amp;"."&amp;VLOOKUP(B247,'0. Instruções'!$C$27:$D$32,2,FALSE))</f>
        <v>BU_LOANTAPE_WORK.LT002_INSTRUMENT</v>
      </c>
      <c r="E247" s="34" t="str">
        <f>+UPPER('0. Instruções'!$D$36&amp;"."&amp;VLOOKUP(B247,'0. Instruções'!$C$27:$E$32,3,FALSE))</f>
        <v>BU_LOANTAPE_WORK.SIMUL_LT002_INSTRUMENT</v>
      </c>
      <c r="F247" s="34" t="s">
        <v>1305</v>
      </c>
      <c r="G247" s="34"/>
      <c r="H247" s="34"/>
      <c r="I247" s="34" t="str">
        <f>"(SELECT "&amp;VLOOKUP(B247,'0. Instruções'!$C$27:$G$32,4,FALSE)&amp;", "&amp;F247&amp;" FROM "&amp;D247&amp;" WHERE "&amp;'0. Instruções'!$D$42&amp;")X"</f>
        <v>(SELECT instrmnt_id, vltn_crrncy FROM BU_LOANTAPE_WORK.LT002_INSTRUMENT WHERE ref_date='${ref_date}' AND nome_perimetro='Individual Local' AND segmento='ESTR' AND ambito='SRB_MBDT' AND entidade='00100')X</v>
      </c>
      <c r="J247" s="34" t="str">
        <f>"(SELECT "&amp;VLOOKUP(B247,'0. Instruções'!$C$27:$G$32,4,FALSE)&amp;" AS "&amp;VLOOKUP(B247,'0. Instruções'!$C$27:$G$32,4,FALSE)&amp;"_SIMUL, "&amp;F247&amp;" AS "&amp;F247&amp;"_SIMUL FROM "&amp;E247&amp;" WHERE "&amp;'0. Instruções'!$D$43&amp;")Y"</f>
        <v>(SELECT instrmnt_id AS instrmnt_id_SIMUL, vltn_crrncy AS vltn_crrncy_SIMUL FROM BU_LOANTAPE_WORK.SIMUL_LT002_INSTRUMENT WHERE ref_date='${ref_date}' AND nome_perimetro='Individual Local' AND segmento='ESTR' AND ambito='PILAR3' AND entidade='00100')Y</v>
      </c>
      <c r="K247" s="35" t="str">
        <f>+UPPER("ON X."&amp;VLOOKUP(B247,'0. Instruções'!$C$27:$G$32,4,FALSE)&amp;"=Y."&amp;VLOOKUP(B247,'0. Instruções'!$C$27:$G$32,4,FALSE)&amp;"_SIMUL")</f>
        <v>ON X.INSTRMNT_ID=Y.INSTRMNT_ID_SIMUL</v>
      </c>
      <c r="L247" s="35" t="str">
        <f>+IF(C247="Coerência", +IF(LEFT(G247,5)="FLOAT","SELECT '"&amp;UPPER(B247)&amp;"' AS TABELA, '"&amp;UPPER(C247)&amp;"' AS TIPOLOGIA_TESTE,'"&amp;D247&amp;"' AS TABELA_LT,'"&amp;E247&amp;"' AS TABELA_SIMUL,'"&amp;F247&amp;"' AS CAMPO, "&amp;"'${ref_date}' AS REF_DATE, COUNT(*) AS NUM_REG, SUM(IF((ABS(COALESCE(CAST(X."&amp;F247&amp;" AS DECIMAL(18,6)),0)-COALESCE(CAST(Y."&amp;F247&amp;"_SIMUL AS DECIMAL(18,6)),0))&gt;0.000001) OR (X."&amp;F247&amp;" IS NULL AND Y."&amp;F247&amp;"_SIMUL IS NOT NULL ) OR (X."&amp;F247&amp;" IS NOT NULL AND Y."&amp;F247&amp;"_SIMUL IS NULL),1,0)) AS NUM_REG_DIF,'"&amp;MAX('ID1&amp;5'!K:K)+1&amp;"' AS ID_EXEC, CURRENT_TIMESTAMP() AS TIME_EXEC FROM "&amp;I247&amp;" INNER JOIN "&amp;J247&amp;" "&amp;K247,"SELECT '"&amp;UPPER(B247)&amp;"' AS TABELA, '"&amp;UPPER(C247)&amp;"' AS TIPOLOGIA_TESTE,'"&amp;D247&amp;"' AS TABELA_LT,'"&amp;E247&amp;"' AS TABELA_SIMUL,'"&amp;F247&amp;"' AS CAMPO, "&amp;"'${ref_date}' AS REF_DATE, COUNT(*) AS NUM_REG, SUM(IF(COALESCE(CAST(X."&amp;F247&amp;" AS STRING),'')&lt;&gt;COALESCE(CAST(Y."&amp;F247&amp;"_SIMUL AS STRING),'') OR (X."&amp;F247&amp;" IS NULL AND Y."&amp;F247&amp;"_SIMUL IS NOT NULL ) OR (X."&amp;F247&amp;" IS NOT NULL AND Y."&amp;F247&amp;"_SIMUL IS NULL),1,0)) AS NUM_REG_DIF,'"&amp;MAX('ID1&amp;5'!L:L)+1&amp;"' AS ID_EXEC, CURRENT_TIMESTAMP() AS TIME_EXEC FROM "&amp;I247&amp;" INNER JOIN "&amp;J247&amp;" "&amp;K247),
IF(C247="Validade",+IF(G247="Code List","SELECT '"&amp;UPPER(B247)&amp;"' AS TABELA, '"&amp;UPPER(C247)&amp;"' AS TIPOLOGIA_TESTE,'"&amp;D247&amp;"' AS TABELA_LT,'N/A' AS TABELA_SIMUL,'"&amp;F247&amp;"' AS CAMPO, "&amp;"'${ref_date}' AS REF_DATE, COUNT(*) AS NUM_REG, SUM(IF(TRIM(CAST(X."&amp;F247&amp;" AS STRING))='' OR TRIM(CAST(X."&amp;F247&amp;" AS STRING)) IS NULL OR CAST(X."&amp;F247&amp;" AS STRING) NOT "&amp;H247&amp;",1,0)) AS NUM_REG_DIF,'"&amp;MAX('ID1&amp;5'!K:K)+1&amp;"' AS ID_EXEC, CURRENT_TIMESTAMP() AS TIME_EXEC FROM "&amp;I247,"SELECT '"&amp;UPPER(B247)&amp;"' AS TABELA, '"&amp;UPPER(C247)&amp;"' AS TIPOLOGIA_TESTE,'"&amp;D247&amp;"' AS TABELA_LT,'N/A' AS TABELA_SIMUL,'"&amp;F247&amp;"' AS CAMPO, "&amp;"'${ref_date}' AS REF_DATE, COUNT(*) AS NUM_REG, SUM(IF(TRIM(CAST(X."&amp;F247&amp;" AS STRING))='' OR TRIM(CAST(X."&amp;F247&amp;" AS STRING)) IS NULL,1,0)) AS NUM_REG_DIF,'"&amp;MAX('ID1&amp;5'!K:K)+1&amp;"' AS ID_EXEC, CURRENT_TIMESTAMP() AS TIME_EXEC FROM "&amp;I247),
IF(C247="Caracteres Especiais",+"SELECT '"&amp;UPPER(B247)&amp;"' AS TABELA, '"&amp;UPPER(C247)&amp;"' AS TIPOLOGIA_TESTE,'"&amp;D247&amp;"' AS TABELA_LT,'N/A' AS TABELA_SIMUL,'"&amp;F247&amp;"' AS CAMPO, "&amp;"'${ref_date}' AS REF_DATE, COUNT(*) AS NUM_REG, SUM(IF(REGEXP_REPLACE(TRIM(CAST(X."&amp;F247&amp;" AS STRING)),'[^a-zA-Z0-9_\\s]','') &lt;&gt;TRIM(CAST(X."&amp;F247&amp;" AS STRING)),1,0)) AS NUM_REG_DIF,'"&amp;MAX('ID1&amp;5'!K:K)+1&amp;"' AS ID_EXEC, CURRENT_TIMESTAMP() AS TIME_EXEC FROM "&amp;I247,
IF(C247="Missings",+"SELECT '"&amp;UPPER(B247)&amp;"' AS TABELA, '"&amp;UPPER(C247)&amp;"' AS TIPOLOGIA_TESTE,'"&amp;D247&amp;"' AS TABELA_LT,'N/A' AS TABELA_SIMUL,'"&amp;F247&amp;"' AS CAMPO, "&amp;"'${ref_date}' AS REF_DATE, COUNT(*) AS NUM_REG, SUM(IF(TRIM(CAST(X."&amp;F247&amp;" AS STRING)) IN ('0000-00-00','0001-01-01','9999-12-31','MISS','00000','99999999999','99999999999.00','99999999999.000000'),1,0)) AS NUM_REG_DIF,'"&amp;MAX('ID1&amp;5'!K:K)+1&amp;"' AS ID_EXEC, CURRENT_TIMESTAMP() AS TIME_EXEC FROM "&amp;I247,
IF(C247="Not applicable",+"SELECT '"&amp;UPPER(B247)&amp;"' AS TABELA, '"&amp;UPPER(C247)&amp;"' AS TIPOLOGIA_TESTE,'"&amp;D247&amp;"' AS TABELA_LT,'N/A' AS TABELA_SIMUL,'"&amp;F247&amp;"' AS CAMPO, "&amp;"'${ref_date}' AS REF_DATE, COUNT(*) AS NUM_REG, SUM(IF(TRIM(CAST(X."&amp;F247&amp;" AS STRING)) IN ('N/A','11111111111','11111111111.00','11111111111.000000','1111-11-11'),1,0)) AS NUM_REG_DIF,'"&amp;MAX('ID1&amp;5'!K:K)+1&amp;"' AS ID_EXEC, CURRENT_TIMESTAMP() AS TIME_EXEC FROM "&amp;I247,
IF(C247="Valores extremos",+"SELECT '"&amp;UPPER(B247)&amp;"' AS TABELA, '"&amp;UPPER(C247)&amp;"' AS TIPOLOGIA_TESTE,'"&amp;D247&amp;"' AS TABELA_LT,'N/A' AS TABELA_SIMUL,'"&amp;F247&amp;"' AS CAMPO, "&amp;"'${ref_date}' AS REF_DATE, CAST(MIN("&amp;F247&amp;") AS STRING) AS VALOR_MIN, CAST(MAX("&amp;F247&amp;") AS STRING) AS VALOR_MAX,'"&amp;MAX('ID1&amp;5'!K:K)+1&amp;"' AS ID_EXEC, CURRENT_TIMESTAMP() AS TIME_EXEC FROM "&amp;MID(I247,1,LEN(I247)-2)&amp;" AND CAST("&amp;F247&amp;"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TABELA_SIMUL,'vltn_crrncy' AS CAMPO, '${ref_date}' AS REF_DATE, COUNT(*) AS NUM_REG, SUM(IF(COALESCE(CAST(X.vltn_crrncy AS STRING),'')&lt;&gt;COALESCE(CAST(Y.vltn_crrncy_SIMUL AS STRING),'') OR (X.vltn_crrncy IS NULL AND Y.vltn_crrncy_SIMUL IS NOT NULL ) OR (X.vltn_crrncy IS NOT NULL AND Y.vltn_crrncy_SIMUL IS NULL),1,0)) AS NUM_REG_DIF,'1' AS ID_EXEC, CURRENT_TIMESTAMP() AS TIME_EXEC FROM (SELECT instrmnt_id, vltn_crrncy FROM BU_LOANTAPE_WORK.LT002_INSTRUMENT WHERE ref_date='${ref_date}' AND nome_perimetro='Individual Local' AND segmento='ESTR' AND ambito='SRB_MBDT' AND entidade='00100')X INNER JOIN (SELECT instrmnt_id AS instrmnt_id_SIMUL, vltn_crrncy AS vltn_crrncy_SIMUL FROM BU_LOANTAPE_WORK.SIMUL_LT002_INSTRUMENT WHERE ref_date='${ref_date}' AND nome_perimetro='Individual Local' AND segmento='ESTR' AND ambito='PILAR3' AND entidade='00100')Y ON X.INSTRMNT_ID=Y.INSTRMNT_ID_SIMUL</v>
      </c>
      <c r="M247" s="36" t="str">
        <f t="shared" si="6"/>
        <v>UNION ALL SELECT 'INSTRUMENT' AS TABELA, 'COERÊNCIA' AS TIPOLOGIA_TESTE,'BU_LOANTAPE_WORK.LT002_INSTRUMENT' AS TABELA_LT,'BU_LOANTAPE_WORK.SIMUL_LT002_INSTRUMENT' AS TABELA_SIMUL,'vltn_crrncy' AS CAMPO, '${ref_date}' AS REF_DATE, COUNT(*) AS NUM_REG, SUM(IF(COALESCE(CAST(X.vltn_crrncy AS STRING),'')&lt;&gt;COALESCE(CAST(Y.vltn_crrncy_SIMUL AS STRING),'') OR (X.vltn_crrncy IS NULL AND Y.vltn_crrncy_SIMUL IS NOT NULL ) OR (X.vltn_crrncy IS NOT NULL AND Y.vltn_crrncy_SIMUL IS NULL),1,0)) AS NUM_REG_DIF,'1' AS ID_EXEC, CURRENT_TIMESTAMP() AS TIME_EXEC FROM (SELECT instrmnt_id, vltn_crrncy FROM BU_LOANTAPE_WORK.LT002_INSTRUMENT WHERE ref_date='${ref_date}' AND nome_perimetro='Individual Local' AND segmento='ESTR' AND ambito='SRB_MBDT' AND entidade='00100')X INNER JOIN (SELECT instrmnt_id AS instrmnt_id_SIMUL, vltn_crrncy AS vltn_crrncy_SIMUL FROM BU_LOANTAPE_WORK.SIMUL_LT002_INSTRUMENT WHERE ref_date='${ref_date}' AND nome_perimetro='Individual Local' AND segmento='ESTR' AND ambito='PILAR3' AND entidade='00100')Y ON X.INSTRMNT_ID=Y.INSTRMNT_ID_SIMUL</v>
      </c>
      <c r="N247" s="38"/>
    </row>
    <row r="248" spans="2:14">
      <c r="B248" s="34" t="s">
        <v>117</v>
      </c>
      <c r="C248" s="34" t="s">
        <v>5</v>
      </c>
      <c r="D248" s="34" t="str">
        <f>+UPPER('0. Instruções'!$D$35&amp;"."&amp;VLOOKUP(B248,'0. Instruções'!$C$27:$D$32,2,FALSE))</f>
        <v>BU_LOANTAPE_WORK.LT002_INSTRUMENT</v>
      </c>
      <c r="E248" s="34" t="str">
        <f>+UPPER('0. Instruções'!$D$36&amp;"."&amp;VLOOKUP(B248,'0. Instruções'!$C$27:$E$32,3,FALSE))</f>
        <v>BU_LOANTAPE_WORK.SIMUL_LT002_INSTRUMENT</v>
      </c>
      <c r="F248" s="34" t="s">
        <v>1306</v>
      </c>
      <c r="G248" s="34"/>
      <c r="H248" s="34"/>
      <c r="I248" s="34" t="str">
        <f>"(SELECT "&amp;VLOOKUP(B248,'0. Instruções'!$C$27:$G$32,4,FALSE)&amp;", "&amp;F248&amp;" FROM "&amp;D248&amp;" WHERE "&amp;'0. Instruções'!$D$42&amp;")X"</f>
        <v>(SELECT instrmnt_id, vltn_typ FROM BU_LOANTAPE_WORK.LT002_INSTRUMENT WHERE ref_date='${ref_date}' AND nome_perimetro='Individual Local' AND segmento='ESTR' AND ambito='SRB_MBDT' AND entidade='00100')X</v>
      </c>
      <c r="J248" s="34" t="str">
        <f>"(SELECT "&amp;VLOOKUP(B248,'0. Instruções'!$C$27:$G$32,4,FALSE)&amp;" AS "&amp;VLOOKUP(B248,'0. Instruções'!$C$27:$G$32,4,FALSE)&amp;"_SIMUL, "&amp;F248&amp;" AS "&amp;F248&amp;"_SIMUL FROM "&amp;E248&amp;" WHERE "&amp;'0. Instruções'!$D$43&amp;")Y"</f>
        <v>(SELECT instrmnt_id AS instrmnt_id_SIMUL, vltn_typ AS vltn_typ_SIMUL FROM BU_LOANTAPE_WORK.SIMUL_LT002_INSTRUMENT WHERE ref_date='${ref_date}' AND nome_perimetro='Individual Local' AND segmento='ESTR' AND ambito='PILAR3' AND entidade='00100')Y</v>
      </c>
      <c r="K248" s="35" t="str">
        <f>+UPPER("ON X."&amp;VLOOKUP(B248,'0. Instruções'!$C$27:$G$32,4,FALSE)&amp;"=Y."&amp;VLOOKUP(B248,'0. Instruções'!$C$27:$G$32,4,FALSE)&amp;"_SIMUL")</f>
        <v>ON X.INSTRMNT_ID=Y.INSTRMNT_ID_SIMUL</v>
      </c>
      <c r="L248" s="35" t="str">
        <f>+IF(C248="Coerência", +IF(LEFT(G248,5)="FLOAT","SELECT '"&amp;UPPER(B248)&amp;"' AS TABELA, '"&amp;UPPER(C248)&amp;"' AS TIPOLOGIA_TESTE,'"&amp;D248&amp;"' AS TABELA_LT,'"&amp;E248&amp;"' AS TABELA_SIMUL,'"&amp;F248&amp;"' AS CAMPO, "&amp;"'${ref_date}' AS REF_DATE, COUNT(*) AS NUM_REG, SUM(IF((ABS(COALESCE(CAST(X."&amp;F248&amp;" AS DECIMAL(18,6)),0)-COALESCE(CAST(Y."&amp;F248&amp;"_SIMUL AS DECIMAL(18,6)),0))&gt;0.000001) OR (X."&amp;F248&amp;" IS NULL AND Y."&amp;F248&amp;"_SIMUL IS NOT NULL ) OR (X."&amp;F248&amp;" IS NOT NULL AND Y."&amp;F248&amp;"_SIMUL IS NULL),1,0)) AS NUM_REG_DIF,'"&amp;MAX('ID1&amp;5'!K:K)+1&amp;"' AS ID_EXEC, CURRENT_TIMESTAMP() AS TIME_EXEC FROM "&amp;I248&amp;" INNER JOIN "&amp;J248&amp;" "&amp;K248,"SELECT '"&amp;UPPER(B248)&amp;"' AS TABELA, '"&amp;UPPER(C248)&amp;"' AS TIPOLOGIA_TESTE,'"&amp;D248&amp;"' AS TABELA_LT,'"&amp;E248&amp;"' AS TABELA_SIMUL,'"&amp;F248&amp;"' AS CAMPO, "&amp;"'${ref_date}' AS REF_DATE, COUNT(*) AS NUM_REG, SUM(IF(COALESCE(CAST(X."&amp;F248&amp;" AS STRING),'')&lt;&gt;COALESCE(CAST(Y."&amp;F248&amp;"_SIMUL AS STRING),'') OR (X."&amp;F248&amp;" IS NULL AND Y."&amp;F248&amp;"_SIMUL IS NOT NULL ) OR (X."&amp;F248&amp;" IS NOT NULL AND Y."&amp;F248&amp;"_SIMUL IS NULL),1,0)) AS NUM_REG_DIF,'"&amp;MAX('ID1&amp;5'!L:L)+1&amp;"' AS ID_EXEC, CURRENT_TIMESTAMP() AS TIME_EXEC FROM "&amp;I248&amp;" INNER JOIN "&amp;J248&amp;" "&amp;K248),
IF(C248="Validade",+IF(G248="Code List","SELECT '"&amp;UPPER(B248)&amp;"' AS TABELA, '"&amp;UPPER(C248)&amp;"' AS TIPOLOGIA_TESTE,'"&amp;D248&amp;"' AS TABELA_LT,'N/A' AS TABELA_SIMUL,'"&amp;F248&amp;"' AS CAMPO, "&amp;"'${ref_date}' AS REF_DATE, COUNT(*) AS NUM_REG, SUM(IF(TRIM(CAST(X."&amp;F248&amp;" AS STRING))='' OR TRIM(CAST(X."&amp;F248&amp;" AS STRING)) IS NULL OR CAST(X."&amp;F248&amp;" AS STRING) NOT "&amp;H248&amp;",1,0)) AS NUM_REG_DIF,'"&amp;MAX('ID1&amp;5'!K:K)+1&amp;"' AS ID_EXEC, CURRENT_TIMESTAMP() AS TIME_EXEC FROM "&amp;I248,"SELECT '"&amp;UPPER(B248)&amp;"' AS TABELA, '"&amp;UPPER(C248)&amp;"' AS TIPOLOGIA_TESTE,'"&amp;D248&amp;"' AS TABELA_LT,'N/A' AS TABELA_SIMUL,'"&amp;F248&amp;"' AS CAMPO, "&amp;"'${ref_date}' AS REF_DATE, COUNT(*) AS NUM_REG, SUM(IF(TRIM(CAST(X."&amp;F248&amp;" AS STRING))='' OR TRIM(CAST(X."&amp;F248&amp;" AS STRING)) IS NULL,1,0)) AS NUM_REG_DIF,'"&amp;MAX('ID1&amp;5'!K:K)+1&amp;"' AS ID_EXEC, CURRENT_TIMESTAMP() AS TIME_EXEC FROM "&amp;I248),
IF(C248="Caracteres Especiais",+"SELECT '"&amp;UPPER(B248)&amp;"' AS TABELA, '"&amp;UPPER(C248)&amp;"' AS TIPOLOGIA_TESTE,'"&amp;D248&amp;"' AS TABELA_LT,'N/A' AS TABELA_SIMUL,'"&amp;F248&amp;"' AS CAMPO, "&amp;"'${ref_date}' AS REF_DATE, COUNT(*) AS NUM_REG, SUM(IF(REGEXP_REPLACE(TRIM(CAST(X."&amp;F248&amp;" AS STRING)),'[^a-zA-Z0-9_\\s]','') &lt;&gt;TRIM(CAST(X."&amp;F248&amp;" AS STRING)),1,0)) AS NUM_REG_DIF,'"&amp;MAX('ID1&amp;5'!K:K)+1&amp;"' AS ID_EXEC, CURRENT_TIMESTAMP() AS TIME_EXEC FROM "&amp;I248,
IF(C248="Missings",+"SELECT '"&amp;UPPER(B248)&amp;"' AS TABELA, '"&amp;UPPER(C248)&amp;"' AS TIPOLOGIA_TESTE,'"&amp;D248&amp;"' AS TABELA_LT,'N/A' AS TABELA_SIMUL,'"&amp;F248&amp;"' AS CAMPO, "&amp;"'${ref_date}' AS REF_DATE, COUNT(*) AS NUM_REG, SUM(IF(TRIM(CAST(X."&amp;F248&amp;" AS STRING)) IN ('0000-00-00','0001-01-01','9999-12-31','MISS','00000','99999999999','99999999999.00','99999999999.000000'),1,0)) AS NUM_REG_DIF,'"&amp;MAX('ID1&amp;5'!K:K)+1&amp;"' AS ID_EXEC, CURRENT_TIMESTAMP() AS TIME_EXEC FROM "&amp;I248,
IF(C248="Not applicable",+"SELECT '"&amp;UPPER(B248)&amp;"' AS TABELA, '"&amp;UPPER(C248)&amp;"' AS TIPOLOGIA_TESTE,'"&amp;D248&amp;"' AS TABELA_LT,'N/A' AS TABELA_SIMUL,'"&amp;F248&amp;"' AS CAMPO, "&amp;"'${ref_date}' AS REF_DATE, COUNT(*) AS NUM_REG, SUM(IF(TRIM(CAST(X."&amp;F248&amp;" AS STRING)) IN ('N/A','11111111111','11111111111.00','11111111111.000000','1111-11-11'),1,0)) AS NUM_REG_DIF,'"&amp;MAX('ID1&amp;5'!K:K)+1&amp;"' AS ID_EXEC, CURRENT_TIMESTAMP() AS TIME_EXEC FROM "&amp;I248,
IF(C248="Valores extremos",+"SELECT '"&amp;UPPER(B248)&amp;"' AS TABELA, '"&amp;UPPER(C248)&amp;"' AS TIPOLOGIA_TESTE,'"&amp;D248&amp;"' AS TABELA_LT,'N/A' AS TABELA_SIMUL,'"&amp;F248&amp;"' AS CAMPO, "&amp;"'${ref_date}' AS REF_DATE, CAST(MIN("&amp;F248&amp;") AS STRING) AS VALOR_MIN, CAST(MAX("&amp;F248&amp;") AS STRING) AS VALOR_MAX,'"&amp;MAX('ID1&amp;5'!K:K)+1&amp;"' AS ID_EXEC, CURRENT_TIMESTAMP() AS TIME_EXEC FROM "&amp;MID(I248,1,LEN(I248)-2)&amp;" AND CAST("&amp;F248&amp;"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TABELA_SIMUL,'vltn_typ' AS CAMPO, '${ref_date}' AS REF_DATE, COUNT(*) AS NUM_REG, SUM(IF(COALESCE(CAST(X.vltn_typ AS STRING),'')&lt;&gt;COALESCE(CAST(Y.vltn_typ_SIMUL AS STRING),'') OR (X.vltn_typ IS NULL AND Y.vltn_typ_SIMUL IS NOT NULL ) OR (X.vltn_typ IS NOT NULL AND Y.vltn_typ_SIMUL IS NULL),1,0)) AS NUM_REG_DIF,'1' AS ID_EXEC, CURRENT_TIMESTAMP() AS TIME_EXEC FROM (SELECT instrmnt_id, vltn_typ FROM BU_LOANTAPE_WORK.LT002_INSTRUMENT WHERE ref_date='${ref_date}' AND nome_perimetro='Individual Local' AND segmento='ESTR' AND ambito='SRB_MBDT' AND entidade='00100')X INNER JOIN (SELECT instrmnt_id AS instrmnt_id_SIMUL, vltn_typ AS vltn_typ_SIMUL FROM BU_LOANTAPE_WORK.SIMUL_LT002_INSTRUMENT WHERE ref_date='${ref_date}' AND nome_perimetro='Individual Local' AND segmento='ESTR' AND ambito='PILAR3' AND entidade='00100')Y ON X.INSTRMNT_ID=Y.INSTRMNT_ID_SIMUL</v>
      </c>
      <c r="M248" s="36" t="str">
        <f t="shared" si="6"/>
        <v>UNION ALL SELECT 'INSTRUMENT' AS TABELA, 'COERÊNCIA' AS TIPOLOGIA_TESTE,'BU_LOANTAPE_WORK.LT002_INSTRUMENT' AS TABELA_LT,'BU_LOANTAPE_WORK.SIMUL_LT002_INSTRUMENT' AS TABELA_SIMUL,'vltn_typ' AS CAMPO, '${ref_date}' AS REF_DATE, COUNT(*) AS NUM_REG, SUM(IF(COALESCE(CAST(X.vltn_typ AS STRING),'')&lt;&gt;COALESCE(CAST(Y.vltn_typ_SIMUL AS STRING),'') OR (X.vltn_typ IS NULL AND Y.vltn_typ_SIMUL IS NOT NULL ) OR (X.vltn_typ IS NOT NULL AND Y.vltn_typ_SIMUL IS NULL),1,0)) AS NUM_REG_DIF,'1' AS ID_EXEC, CURRENT_TIMESTAMP() AS TIME_EXEC FROM (SELECT instrmnt_id, vltn_typ FROM BU_LOANTAPE_WORK.LT002_INSTRUMENT WHERE ref_date='${ref_date}' AND nome_perimetro='Individual Local' AND segmento='ESTR' AND ambito='SRB_MBDT' AND entidade='00100')X INNER JOIN (SELECT instrmnt_id AS instrmnt_id_SIMUL, vltn_typ AS vltn_typ_SIMUL FROM BU_LOANTAPE_WORK.SIMUL_LT002_INSTRUMENT WHERE ref_date='${ref_date}' AND nome_perimetro='Individual Local' AND segmento='ESTR' AND ambito='PILAR3' AND entidade='00100')Y ON X.INSTRMNT_ID=Y.INSTRMNT_ID_SIMUL</v>
      </c>
      <c r="N248" s="38"/>
    </row>
    <row r="249" spans="2:14">
      <c r="B249" s="34" t="s">
        <v>117</v>
      </c>
      <c r="C249" s="34" t="s">
        <v>5</v>
      </c>
      <c r="D249" s="34" t="str">
        <f>+UPPER('0. Instruções'!$D$35&amp;"."&amp;VLOOKUP(B249,'0. Instruções'!$C$27:$D$32,2,FALSE))</f>
        <v>BU_LOANTAPE_WORK.LT002_INSTRUMENT</v>
      </c>
      <c r="E249" s="34" t="str">
        <f>+UPPER('0. Instruções'!$D$36&amp;"."&amp;VLOOKUP(B249,'0. Instruções'!$C$27:$E$32,3,FALSE))</f>
        <v>BU_LOANTAPE_WORK.SIMUL_LT002_INSTRUMENT</v>
      </c>
      <c r="F249" s="34" t="s">
        <v>656</v>
      </c>
      <c r="G249" s="34"/>
      <c r="H249" s="34"/>
      <c r="I249" s="34" t="str">
        <f>"(SELECT "&amp;VLOOKUP(B249,'0. Instruções'!$C$27:$G$32,4,FALSE)&amp;", "&amp;F249&amp;" FROM "&amp;D249&amp;" WHERE "&amp;'0. Instruções'!$D$42&amp;")X"</f>
        <v>(SELECT instrmnt_id, cod_soc FROM BU_LOANTAPE_WORK.LT002_INSTRUMENT WHERE ref_date='${ref_date}' AND nome_perimetro='Individual Local' AND segmento='ESTR' AND ambito='SRB_MBDT' AND entidade='00100')X</v>
      </c>
      <c r="J249" s="34" t="str">
        <f>"(SELECT "&amp;VLOOKUP(B249,'0. Instruções'!$C$27:$G$32,4,FALSE)&amp;" AS "&amp;VLOOKUP(B249,'0. Instruções'!$C$27:$G$32,4,FALSE)&amp;"_SIMUL, "&amp;F249&amp;" AS "&amp;F249&amp;"_SIMUL FROM "&amp;E249&amp;" WHERE "&amp;'0. Instruções'!$D$43&amp;")Y"</f>
        <v>(SELECT instrmnt_id AS instrmnt_id_SIMUL, cod_soc AS cod_soc_SIMUL FROM BU_LOANTAPE_WORK.SIMUL_LT002_INSTRUMENT WHERE ref_date='${ref_date}' AND nome_perimetro='Individual Local' AND segmento='ESTR' AND ambito='PILAR3' AND entidade='00100')Y</v>
      </c>
      <c r="K249" s="35" t="str">
        <f>+UPPER("ON X."&amp;VLOOKUP(B249,'0. Instruções'!$C$27:$G$32,4,FALSE)&amp;"=Y."&amp;VLOOKUP(B249,'0. Instruções'!$C$27:$G$32,4,FALSE)&amp;"_SIMUL")</f>
        <v>ON X.INSTRMNT_ID=Y.INSTRMNT_ID_SIMUL</v>
      </c>
      <c r="L249" s="35" t="str">
        <f>+IF(C249="Coerência", +IF(LEFT(G249,5)="FLOAT","SELECT '"&amp;UPPER(B249)&amp;"' AS TABELA, '"&amp;UPPER(C249)&amp;"' AS TIPOLOGIA_TESTE,'"&amp;D249&amp;"' AS TABELA_LT,'"&amp;E249&amp;"' AS TABELA_SIMUL,'"&amp;F249&amp;"' AS CAMPO, "&amp;"'${ref_date}' AS REF_DATE, COUNT(*) AS NUM_REG, SUM(IF((ABS(COALESCE(CAST(X."&amp;F249&amp;" AS DECIMAL(18,6)),0)-COALESCE(CAST(Y."&amp;F249&amp;"_SIMUL AS DECIMAL(18,6)),0))&gt;0.000001) OR (X."&amp;F249&amp;" IS NULL AND Y."&amp;F249&amp;"_SIMUL IS NOT NULL ) OR (X."&amp;F249&amp;" IS NOT NULL AND Y."&amp;F249&amp;"_SIMUL IS NULL),1,0)) AS NUM_REG_DIF,'"&amp;MAX('ID1&amp;5'!K:K)+1&amp;"' AS ID_EXEC, CURRENT_TIMESTAMP() AS TIME_EXEC FROM "&amp;I249&amp;" INNER JOIN "&amp;J249&amp;" "&amp;K249,"SELECT '"&amp;UPPER(B249)&amp;"' AS TABELA, '"&amp;UPPER(C249)&amp;"' AS TIPOLOGIA_TESTE,'"&amp;D249&amp;"' AS TABELA_LT,'"&amp;E249&amp;"' AS TABELA_SIMUL,'"&amp;F249&amp;"' AS CAMPO, "&amp;"'${ref_date}' AS REF_DATE, COUNT(*) AS NUM_REG, SUM(IF(COALESCE(CAST(X."&amp;F249&amp;" AS STRING),'')&lt;&gt;COALESCE(CAST(Y."&amp;F249&amp;"_SIMUL AS STRING),'') OR (X."&amp;F249&amp;" IS NULL AND Y."&amp;F249&amp;"_SIMUL IS NOT NULL ) OR (X."&amp;F249&amp;" IS NOT NULL AND Y."&amp;F249&amp;"_SIMUL IS NULL),1,0)) AS NUM_REG_DIF,'"&amp;MAX('ID1&amp;5'!L:L)+1&amp;"' AS ID_EXEC, CURRENT_TIMESTAMP() AS TIME_EXEC FROM "&amp;I249&amp;" INNER JOIN "&amp;J249&amp;" "&amp;K249),
IF(C249="Validade",+IF(G249="Code List","SELECT '"&amp;UPPER(B249)&amp;"' AS TABELA, '"&amp;UPPER(C249)&amp;"' AS TIPOLOGIA_TESTE,'"&amp;D249&amp;"' AS TABELA_LT,'N/A' AS TABELA_SIMUL,'"&amp;F249&amp;"' AS CAMPO, "&amp;"'${ref_date}' AS REF_DATE, COUNT(*) AS NUM_REG, SUM(IF(TRIM(CAST(X."&amp;F249&amp;" AS STRING))='' OR TRIM(CAST(X."&amp;F249&amp;" AS STRING)) IS NULL OR CAST(X."&amp;F249&amp;" AS STRING) NOT "&amp;H249&amp;",1,0)) AS NUM_REG_DIF,'"&amp;MAX('ID1&amp;5'!K:K)+1&amp;"' AS ID_EXEC, CURRENT_TIMESTAMP() AS TIME_EXEC FROM "&amp;I249,"SELECT '"&amp;UPPER(B249)&amp;"' AS TABELA, '"&amp;UPPER(C249)&amp;"' AS TIPOLOGIA_TESTE,'"&amp;D249&amp;"' AS TABELA_LT,'N/A' AS TABELA_SIMUL,'"&amp;F249&amp;"' AS CAMPO, "&amp;"'${ref_date}' AS REF_DATE, COUNT(*) AS NUM_REG, SUM(IF(TRIM(CAST(X."&amp;F249&amp;" AS STRING))='' OR TRIM(CAST(X."&amp;F249&amp;" AS STRING)) IS NULL,1,0)) AS NUM_REG_DIF,'"&amp;MAX('ID1&amp;5'!K:K)+1&amp;"' AS ID_EXEC, CURRENT_TIMESTAMP() AS TIME_EXEC FROM "&amp;I249),
IF(C249="Caracteres Especiais",+"SELECT '"&amp;UPPER(B249)&amp;"' AS TABELA, '"&amp;UPPER(C249)&amp;"' AS TIPOLOGIA_TESTE,'"&amp;D249&amp;"' AS TABELA_LT,'N/A' AS TABELA_SIMUL,'"&amp;F249&amp;"' AS CAMPO, "&amp;"'${ref_date}' AS REF_DATE, COUNT(*) AS NUM_REG, SUM(IF(REGEXP_REPLACE(TRIM(CAST(X."&amp;F249&amp;" AS STRING)),'[^a-zA-Z0-9_\\s]','') &lt;&gt;TRIM(CAST(X."&amp;F249&amp;" AS STRING)),1,0)) AS NUM_REG_DIF,'"&amp;MAX('ID1&amp;5'!K:K)+1&amp;"' AS ID_EXEC, CURRENT_TIMESTAMP() AS TIME_EXEC FROM "&amp;I249,
IF(C249="Missings",+"SELECT '"&amp;UPPER(B249)&amp;"' AS TABELA, '"&amp;UPPER(C249)&amp;"' AS TIPOLOGIA_TESTE,'"&amp;D249&amp;"' AS TABELA_LT,'N/A' AS TABELA_SIMUL,'"&amp;F249&amp;"' AS CAMPO, "&amp;"'${ref_date}' AS REF_DATE, COUNT(*) AS NUM_REG, SUM(IF(TRIM(CAST(X."&amp;F249&amp;" AS STRING)) IN ('0000-00-00','0001-01-01','9999-12-31','MISS','00000','99999999999','99999999999.00','99999999999.000000'),1,0)) AS NUM_REG_DIF,'"&amp;MAX('ID1&amp;5'!K:K)+1&amp;"' AS ID_EXEC, CURRENT_TIMESTAMP() AS TIME_EXEC FROM "&amp;I249,
IF(C249="Not applicable",+"SELECT '"&amp;UPPER(B249)&amp;"' AS TABELA, '"&amp;UPPER(C249)&amp;"' AS TIPOLOGIA_TESTE,'"&amp;D249&amp;"' AS TABELA_LT,'N/A' AS TABELA_SIMUL,'"&amp;F249&amp;"' AS CAMPO, "&amp;"'${ref_date}' AS REF_DATE, COUNT(*) AS NUM_REG, SUM(IF(TRIM(CAST(X."&amp;F249&amp;" AS STRING)) IN ('N/A','11111111111','11111111111.00','11111111111.000000','1111-11-11'),1,0)) AS NUM_REG_DIF,'"&amp;MAX('ID1&amp;5'!K:K)+1&amp;"' AS ID_EXEC, CURRENT_TIMESTAMP() AS TIME_EXEC FROM "&amp;I249,
IF(C249="Valores extremos",+"SELECT '"&amp;UPPER(B249)&amp;"' AS TABELA, '"&amp;UPPER(C249)&amp;"' AS TIPOLOGIA_TESTE,'"&amp;D249&amp;"' AS TABELA_LT,'N/A' AS TABELA_SIMUL,'"&amp;F249&amp;"' AS CAMPO, "&amp;"'${ref_date}' AS REF_DATE, CAST(MIN("&amp;F249&amp;") AS STRING) AS VALOR_MIN, CAST(MAX("&amp;F249&amp;") AS STRING) AS VALOR_MAX,'"&amp;MAX('ID1&amp;5'!K:K)+1&amp;"' AS ID_EXEC, CURRENT_TIMESTAMP() AS TIME_EXEC FROM "&amp;MID(I249,1,LEN(I249)-2)&amp;" AND CAST("&amp;F249&amp;"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BU_LOANTAPE_WORK.LT002_INSTRUMENT WHERE ref_date='${ref_date}' AND nome_perimetro='Individual Local' AND segmento='ESTR' AND ambito='SRB_MBDT' AND entidade='00100')X INNER JOIN (SELECT instrmnt_id AS instrmnt_id_SIMUL, cod_soc AS cod_soc_SIMUL FROM BU_LOANTAPE_WORK.SIMUL_LT002_INSTRUMENT WHERE ref_date='${ref_date}' AND nome_perimetro='Individual Local' AND segmento='ESTR' AND ambito='PILAR3' AND entidade='00100')Y ON X.INSTRMNT_ID=Y.INSTRMNT_ID_SIMUL</v>
      </c>
      <c r="M249" s="36" t="str">
        <f t="shared" si="6"/>
        <v>UNION ALL SELECT 'INSTRUMENT' AS TABELA, 'COERÊNCIA' AS TIPOLOGIA_TESTE,'BU_LOANTAPE_WORK.LT002_INSTRUMENT' AS TABELA_LT,'BU_LOANTAPE_WORK.SIMUL_LT002_INSTRUMENT'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BU_LOANTAPE_WORK.LT002_INSTRUMENT WHERE ref_date='${ref_date}' AND nome_perimetro='Individual Local' AND segmento='ESTR' AND ambito='SRB_MBDT' AND entidade='00100')X INNER JOIN (SELECT instrmnt_id AS instrmnt_id_SIMUL, cod_soc AS cod_soc_SIMUL FROM BU_LOANTAPE_WORK.SIMUL_LT002_INSTRUMENT WHERE ref_date='${ref_date}' AND nome_perimetro='Individual Local' AND segmento='ESTR' AND ambito='PILAR3' AND entidade='00100')Y ON X.INSTRMNT_ID=Y.INSTRMNT_ID_SIMUL</v>
      </c>
      <c r="N249" s="38"/>
    </row>
    <row r="250" spans="2:14">
      <c r="B250" s="34" t="s">
        <v>117</v>
      </c>
      <c r="C250" s="34" t="s">
        <v>5</v>
      </c>
      <c r="D250" s="34" t="str">
        <f>+UPPER('0. Instruções'!$D$35&amp;"."&amp;VLOOKUP(B250,'0. Instruções'!$C$27:$D$32,2,FALSE))</f>
        <v>BU_LOANTAPE_WORK.LT002_INSTRUMENT</v>
      </c>
      <c r="E250" s="34" t="str">
        <f>+UPPER('0. Instruções'!$D$36&amp;"."&amp;VLOOKUP(B250,'0. Instruções'!$C$27:$E$32,3,FALSE))</f>
        <v>BU_LOANTAPE_WORK.SIMUL_LT002_INSTRUMENT</v>
      </c>
      <c r="F250" s="34" t="s">
        <v>655</v>
      </c>
      <c r="G250" s="34"/>
      <c r="H250" s="34"/>
      <c r="I250" s="34" t="str">
        <f>"(SELECT "&amp;VLOOKUP(B250,'0. Instruções'!$C$27:$G$32,4,FALSE)&amp;", "&amp;F250&amp;" FROM "&amp;D250&amp;" WHERE "&amp;'0. Instruções'!$D$42&amp;")X"</f>
        <v>(SELECT instrmnt_id, subportfolio_id FROM BU_LOANTAPE_WORK.LT002_INSTRUMENT WHERE ref_date='${ref_date}' AND nome_perimetro='Individual Local' AND segmento='ESTR' AND ambito='SRB_MBDT' AND entidade='00100')X</v>
      </c>
      <c r="J250" s="34" t="str">
        <f>"(SELECT "&amp;VLOOKUP(B250,'0. Instruções'!$C$27:$G$32,4,FALSE)&amp;" AS "&amp;VLOOKUP(B250,'0. Instruções'!$C$27:$G$32,4,FALSE)&amp;"_SIMUL, "&amp;F250&amp;" AS "&amp;F250&amp;"_SIMUL FROM "&amp;E250&amp;" WHERE "&amp;'0. Instruções'!$D$43&amp;")Y"</f>
        <v>(SELECT instrmnt_id AS instrmnt_id_SIMUL, subportfolio_id AS subportfolio_id_SIMUL FROM BU_LOANTAPE_WORK.SIMUL_LT002_INSTRUMENT WHERE ref_date='${ref_date}' AND nome_perimetro='Individual Local' AND segmento='ESTR' AND ambito='PILAR3' AND entidade='00100')Y</v>
      </c>
      <c r="K250" s="35" t="str">
        <f>+UPPER("ON X."&amp;VLOOKUP(B250,'0. Instruções'!$C$27:$G$32,4,FALSE)&amp;"=Y."&amp;VLOOKUP(B250,'0. Instruções'!$C$27:$G$32,4,FALSE)&amp;"_SIMUL")</f>
        <v>ON X.INSTRMNT_ID=Y.INSTRMNT_ID_SIMUL</v>
      </c>
      <c r="L250" s="35" t="str">
        <f>+IF(C250="Coerência", +IF(LEFT(G250,5)="FLOAT","SELECT '"&amp;UPPER(B250)&amp;"' AS TABELA, '"&amp;UPPER(C250)&amp;"' AS TIPOLOGIA_TESTE,'"&amp;D250&amp;"' AS TABELA_LT,'"&amp;E250&amp;"' AS TABELA_SIMUL,'"&amp;F250&amp;"' AS CAMPO, "&amp;"'${ref_date}' AS REF_DATE, COUNT(*) AS NUM_REG, SUM(IF((ABS(COALESCE(CAST(X."&amp;F250&amp;" AS DECIMAL(18,6)),0)-COALESCE(CAST(Y."&amp;F250&amp;"_SIMUL AS DECIMAL(18,6)),0))&gt;0.000001) OR (X."&amp;F250&amp;" IS NULL AND Y."&amp;F250&amp;"_SIMUL IS NOT NULL ) OR (X."&amp;F250&amp;" IS NOT NULL AND Y."&amp;F250&amp;"_SIMUL IS NULL),1,0)) AS NUM_REG_DIF,'"&amp;MAX('ID1&amp;5'!K:K)+1&amp;"' AS ID_EXEC, CURRENT_TIMESTAMP() AS TIME_EXEC FROM "&amp;I250&amp;" INNER JOIN "&amp;J250&amp;" "&amp;K250,"SELECT '"&amp;UPPER(B250)&amp;"' AS TABELA, '"&amp;UPPER(C250)&amp;"' AS TIPOLOGIA_TESTE,'"&amp;D250&amp;"' AS TABELA_LT,'"&amp;E250&amp;"' AS TABELA_SIMUL,'"&amp;F250&amp;"' AS CAMPO, "&amp;"'${ref_date}' AS REF_DATE, COUNT(*) AS NUM_REG, SUM(IF(COALESCE(CAST(X."&amp;F250&amp;" AS STRING),'')&lt;&gt;COALESCE(CAST(Y."&amp;F250&amp;"_SIMUL AS STRING),'') OR (X."&amp;F250&amp;" IS NULL AND Y."&amp;F250&amp;"_SIMUL IS NOT NULL ) OR (X."&amp;F250&amp;" IS NOT NULL AND Y."&amp;F250&amp;"_SIMUL IS NULL),1,0)) AS NUM_REG_DIF,'"&amp;MAX('ID1&amp;5'!L:L)+1&amp;"' AS ID_EXEC, CURRENT_TIMESTAMP() AS TIME_EXEC FROM "&amp;I250&amp;" INNER JOIN "&amp;J250&amp;" "&amp;K250),
IF(C250="Validade",+IF(G250="Code List","SELECT '"&amp;UPPER(B250)&amp;"' AS TABELA, '"&amp;UPPER(C250)&amp;"' AS TIPOLOGIA_TESTE,'"&amp;D250&amp;"' AS TABELA_LT,'N/A' AS TABELA_SIMUL,'"&amp;F250&amp;"' AS CAMPO, "&amp;"'${ref_date}' AS REF_DATE, COUNT(*) AS NUM_REG, SUM(IF(TRIM(CAST(X."&amp;F250&amp;" AS STRING))='' OR TRIM(CAST(X."&amp;F250&amp;" AS STRING)) IS NULL OR CAST(X."&amp;F250&amp;" AS STRING) NOT "&amp;H250&amp;",1,0)) AS NUM_REG_DIF,'"&amp;MAX('ID1&amp;5'!K:K)+1&amp;"' AS ID_EXEC, CURRENT_TIMESTAMP() AS TIME_EXEC FROM "&amp;I250,"SELECT '"&amp;UPPER(B250)&amp;"' AS TABELA, '"&amp;UPPER(C250)&amp;"' AS TIPOLOGIA_TESTE,'"&amp;D250&amp;"' AS TABELA_LT,'N/A' AS TABELA_SIMUL,'"&amp;F250&amp;"' AS CAMPO, "&amp;"'${ref_date}' AS REF_DATE, COUNT(*) AS NUM_REG, SUM(IF(TRIM(CAST(X."&amp;F250&amp;" AS STRING))='' OR TRIM(CAST(X."&amp;F250&amp;" AS STRING)) IS NULL,1,0)) AS NUM_REG_DIF,'"&amp;MAX('ID1&amp;5'!K:K)+1&amp;"' AS ID_EXEC, CURRENT_TIMESTAMP() AS TIME_EXEC FROM "&amp;I250),
IF(C250="Caracteres Especiais",+"SELECT '"&amp;UPPER(B250)&amp;"' AS TABELA, '"&amp;UPPER(C250)&amp;"' AS TIPOLOGIA_TESTE,'"&amp;D250&amp;"' AS TABELA_LT,'N/A' AS TABELA_SIMUL,'"&amp;F250&amp;"' AS CAMPO, "&amp;"'${ref_date}' AS REF_DATE, COUNT(*) AS NUM_REG, SUM(IF(REGEXP_REPLACE(TRIM(CAST(X."&amp;F250&amp;" AS STRING)),'[^a-zA-Z0-9_\\s]','') &lt;&gt;TRIM(CAST(X."&amp;F250&amp;" AS STRING)),1,0)) AS NUM_REG_DIF,'"&amp;MAX('ID1&amp;5'!K:K)+1&amp;"' AS ID_EXEC, CURRENT_TIMESTAMP() AS TIME_EXEC FROM "&amp;I250,
IF(C250="Missings",+"SELECT '"&amp;UPPER(B250)&amp;"' AS TABELA, '"&amp;UPPER(C250)&amp;"' AS TIPOLOGIA_TESTE,'"&amp;D250&amp;"' AS TABELA_LT,'N/A' AS TABELA_SIMUL,'"&amp;F250&amp;"' AS CAMPO, "&amp;"'${ref_date}' AS REF_DATE, COUNT(*) AS NUM_REG, SUM(IF(TRIM(CAST(X."&amp;F250&amp;" AS STRING)) IN ('0000-00-00','0001-01-01','9999-12-31','MISS','00000','99999999999','99999999999.00','99999999999.000000'),1,0)) AS NUM_REG_DIF,'"&amp;MAX('ID1&amp;5'!K:K)+1&amp;"' AS ID_EXEC, CURRENT_TIMESTAMP() AS TIME_EXEC FROM "&amp;I250,
IF(C250="Not applicable",+"SELECT '"&amp;UPPER(B250)&amp;"' AS TABELA, '"&amp;UPPER(C250)&amp;"' AS TIPOLOGIA_TESTE,'"&amp;D250&amp;"' AS TABELA_LT,'N/A' AS TABELA_SIMUL,'"&amp;F250&amp;"' AS CAMPO, "&amp;"'${ref_date}' AS REF_DATE, COUNT(*) AS NUM_REG, SUM(IF(TRIM(CAST(X."&amp;F250&amp;" AS STRING)) IN ('N/A','11111111111','11111111111.00','11111111111.000000','1111-11-11'),1,0)) AS NUM_REG_DIF,'"&amp;MAX('ID1&amp;5'!K:K)+1&amp;"' AS ID_EXEC, CURRENT_TIMESTAMP() AS TIME_EXEC FROM "&amp;I250,
IF(C250="Valores extremos",+"SELECT '"&amp;UPPER(B250)&amp;"' AS TABELA, '"&amp;UPPER(C250)&amp;"' AS TIPOLOGIA_TESTE,'"&amp;D250&amp;"' AS TABELA_LT,'N/A' AS TABELA_SIMUL,'"&amp;F250&amp;"' AS CAMPO, "&amp;"'${ref_date}' AS REF_DATE, CAST(MIN("&amp;F250&amp;") AS STRING) AS VALOR_MIN, CAST(MAX("&amp;F250&amp;") AS STRING) AS VALOR_MAX,'"&amp;MAX('ID1&amp;5'!K:K)+1&amp;"' AS ID_EXEC, CURRENT_TIMESTAMP() AS TIME_EXEC FROM "&amp;MID(I250,1,LEN(I250)-2)&amp;" AND CAST("&amp;F250&amp;"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TABELA_SIMUL,'subportfolio_id' AS CAMPO, '${ref_date}' AS REF_DATE, COUNT(*) AS NUM_REG, SUM(IF(COALESCE(CAST(X.subportfolio_id AS STRING),'')&lt;&gt;COALESCE(CAST(Y.subportfolio_id_SIMUL AS STRING),'') OR (X.subportfolio_id IS NULL AND Y.subportfolio_id_SIMUL IS NOT NULL ) OR (X.subportfolio_id IS NOT NULL AND Y.subportfolio_id_SIMUL IS NULL),1,0)) AS NUM_REG_DIF,'1' AS ID_EXEC, CURRENT_TIMESTAMP() AS TIME_EXEC FROM (SELECT instrmnt_id, subportfolio_id FROM BU_LOANTAPE_WORK.LT002_INSTRUMENT WHERE ref_date='${ref_date}' AND nome_perimetro='Individual Local' AND segmento='ESTR' AND ambito='SRB_MBDT' AND entidade='00100')X INNER JOIN (SELECT instrmnt_id AS instrmnt_id_SIMUL, subportfolio_id AS subportfolio_id_SIMUL FROM BU_LOANTAPE_WORK.SIMUL_LT002_INSTRUMENT WHERE ref_date='${ref_date}' AND nome_perimetro='Individual Local' AND segmento='ESTR' AND ambito='PILAR3' AND entidade='00100')Y ON X.INSTRMNT_ID=Y.INSTRMNT_ID_SIMUL</v>
      </c>
      <c r="M250" s="36" t="str">
        <f t="shared" si="6"/>
        <v>UNION ALL SELECT 'INSTRUMENT' AS TABELA, 'COERÊNCIA' AS TIPOLOGIA_TESTE,'BU_LOANTAPE_WORK.LT002_INSTRUMENT' AS TABELA_LT,'BU_LOANTAPE_WORK.SIMUL_LT002_INSTRUMENT' AS TABELA_SIMUL,'subportfolio_id' AS CAMPO, '${ref_date}' AS REF_DATE, COUNT(*) AS NUM_REG, SUM(IF(COALESCE(CAST(X.subportfolio_id AS STRING),'')&lt;&gt;COALESCE(CAST(Y.subportfolio_id_SIMUL AS STRING),'') OR (X.subportfolio_id IS NULL AND Y.subportfolio_id_SIMUL IS NOT NULL ) OR (X.subportfolio_id IS NOT NULL AND Y.subportfolio_id_SIMUL IS NULL),1,0)) AS NUM_REG_DIF,'1' AS ID_EXEC, CURRENT_TIMESTAMP() AS TIME_EXEC FROM (SELECT instrmnt_id, subportfolio_id FROM BU_LOANTAPE_WORK.LT002_INSTRUMENT WHERE ref_date='${ref_date}' AND nome_perimetro='Individual Local' AND segmento='ESTR' AND ambito='SRB_MBDT' AND entidade='00100')X INNER JOIN (SELECT instrmnt_id AS instrmnt_id_SIMUL, subportfolio_id AS subportfolio_id_SIMUL FROM BU_LOANTAPE_WORK.SIMUL_LT002_INSTRUMENT WHERE ref_date='${ref_date}' AND nome_perimetro='Individual Local' AND segmento='ESTR' AND ambito='PILAR3' AND entidade='00100')Y ON X.INSTRMNT_ID=Y.INSTRMNT_ID_SIMUL</v>
      </c>
      <c r="N250" s="38"/>
    </row>
    <row r="251" spans="2:14">
      <c r="B251" s="34" t="s">
        <v>117</v>
      </c>
      <c r="C251" s="34" t="s">
        <v>5</v>
      </c>
      <c r="D251" s="34" t="str">
        <f>+UPPER('0. Instruções'!$D$35&amp;"."&amp;VLOOKUP(B251,'0. Instruções'!$C$27:$D$32,2,FALSE))</f>
        <v>BU_LOANTAPE_WORK.LT002_INSTRUMENT</v>
      </c>
      <c r="E251" s="34" t="str">
        <f>+UPPER('0. Instruções'!$D$36&amp;"."&amp;VLOOKUP(B251,'0. Instruções'!$C$27:$E$32,3,FALSE))</f>
        <v>BU_LOANTAPE_WORK.SIMUL_LT002_INSTRUMENT</v>
      </c>
      <c r="F251" s="34" t="s">
        <v>1307</v>
      </c>
      <c r="G251" s="34"/>
      <c r="H251" s="34"/>
      <c r="I251" s="34" t="str">
        <f>"(SELECT "&amp;VLOOKUP(B251,'0. Instruções'!$C$27:$G$32,4,FALSE)&amp;", "&amp;F251&amp;" FROM "&amp;D251&amp;" WHERE "&amp;'0. Instruções'!$D$42&amp;")X"</f>
        <v>(SELECT instrmnt_id, cre_fnrp18 FROM BU_LOANTAPE_WORK.LT002_INSTRUMENT WHERE ref_date='${ref_date}' AND nome_perimetro='Individual Local' AND segmento='ESTR' AND ambito='SRB_MBDT' AND entidade='00100')X</v>
      </c>
      <c r="J251" s="34" t="str">
        <f>"(SELECT "&amp;VLOOKUP(B251,'0. Instruções'!$C$27:$G$32,4,FALSE)&amp;" AS "&amp;VLOOKUP(B251,'0. Instruções'!$C$27:$G$32,4,FALSE)&amp;"_SIMUL, "&amp;F251&amp;" AS "&amp;F251&amp;"_SIMUL FROM "&amp;E251&amp;" WHERE "&amp;'0. Instruções'!$D$43&amp;")Y"</f>
        <v>(SELECT instrmnt_id AS instrmnt_id_SIMUL, cre_fnrp18 AS cre_fnrp18_SIMUL FROM BU_LOANTAPE_WORK.SIMUL_LT002_INSTRUMENT WHERE ref_date='${ref_date}' AND nome_perimetro='Individual Local' AND segmento='ESTR' AND ambito='PILAR3' AND entidade='00100')Y</v>
      </c>
      <c r="K251" s="35" t="str">
        <f>+UPPER("ON X."&amp;VLOOKUP(B251,'0. Instruções'!$C$27:$G$32,4,FALSE)&amp;"=Y."&amp;VLOOKUP(B251,'0. Instruções'!$C$27:$G$32,4,FALSE)&amp;"_SIMUL")</f>
        <v>ON X.INSTRMNT_ID=Y.INSTRMNT_ID_SIMUL</v>
      </c>
      <c r="L251" s="35" t="str">
        <f>+IF(C251="Coerência", +IF(LEFT(G251,5)="FLOAT","SELECT '"&amp;UPPER(B251)&amp;"' AS TABELA, '"&amp;UPPER(C251)&amp;"' AS TIPOLOGIA_TESTE,'"&amp;D251&amp;"' AS TABELA_LT,'"&amp;E251&amp;"' AS TABELA_SIMUL,'"&amp;F251&amp;"' AS CAMPO, "&amp;"'${ref_date}' AS REF_DATE, COUNT(*) AS NUM_REG, SUM(IF((ABS(COALESCE(CAST(X."&amp;F251&amp;" AS DECIMAL(18,6)),0)-COALESCE(CAST(Y."&amp;F251&amp;"_SIMUL AS DECIMAL(18,6)),0))&gt;0.000001) OR (X."&amp;F251&amp;" IS NULL AND Y."&amp;F251&amp;"_SIMUL IS NOT NULL ) OR (X."&amp;F251&amp;" IS NOT NULL AND Y."&amp;F251&amp;"_SIMUL IS NULL),1,0)) AS NUM_REG_DIF,'"&amp;MAX('ID1&amp;5'!K:K)+1&amp;"' AS ID_EXEC, CURRENT_TIMESTAMP() AS TIME_EXEC FROM "&amp;I251&amp;" INNER JOIN "&amp;J251&amp;" "&amp;K251,"SELECT '"&amp;UPPER(B251)&amp;"' AS TABELA, '"&amp;UPPER(C251)&amp;"' AS TIPOLOGIA_TESTE,'"&amp;D251&amp;"' AS TABELA_LT,'"&amp;E251&amp;"' AS TABELA_SIMUL,'"&amp;F251&amp;"' AS CAMPO, "&amp;"'${ref_date}' AS REF_DATE, COUNT(*) AS NUM_REG, SUM(IF(COALESCE(CAST(X."&amp;F251&amp;" AS STRING),'')&lt;&gt;COALESCE(CAST(Y."&amp;F251&amp;"_SIMUL AS STRING),'') OR (X."&amp;F251&amp;" IS NULL AND Y."&amp;F251&amp;"_SIMUL IS NOT NULL ) OR (X."&amp;F251&amp;" IS NOT NULL AND Y."&amp;F251&amp;"_SIMUL IS NULL),1,0)) AS NUM_REG_DIF,'"&amp;MAX('ID1&amp;5'!L:L)+1&amp;"' AS ID_EXEC, CURRENT_TIMESTAMP() AS TIME_EXEC FROM "&amp;I251&amp;" INNER JOIN "&amp;J251&amp;" "&amp;K251),
IF(C251="Validade",+IF(G251="Code List","SELECT '"&amp;UPPER(B251)&amp;"' AS TABELA, '"&amp;UPPER(C251)&amp;"' AS TIPOLOGIA_TESTE,'"&amp;D251&amp;"' AS TABELA_LT,'N/A' AS TABELA_SIMUL,'"&amp;F251&amp;"' AS CAMPO, "&amp;"'${ref_date}' AS REF_DATE, COUNT(*) AS NUM_REG, SUM(IF(TRIM(CAST(X."&amp;F251&amp;" AS STRING))='' OR TRIM(CAST(X."&amp;F251&amp;" AS STRING)) IS NULL OR CAST(X."&amp;F251&amp;" AS STRING) NOT "&amp;H251&amp;",1,0)) AS NUM_REG_DIF,'"&amp;MAX('ID1&amp;5'!K:K)+1&amp;"' AS ID_EXEC, CURRENT_TIMESTAMP() AS TIME_EXEC FROM "&amp;I251,"SELECT '"&amp;UPPER(B251)&amp;"' AS TABELA, '"&amp;UPPER(C251)&amp;"' AS TIPOLOGIA_TESTE,'"&amp;D251&amp;"' AS TABELA_LT,'N/A' AS TABELA_SIMUL,'"&amp;F251&amp;"' AS CAMPO, "&amp;"'${ref_date}' AS REF_DATE, COUNT(*) AS NUM_REG, SUM(IF(TRIM(CAST(X."&amp;F251&amp;" AS STRING))='' OR TRIM(CAST(X."&amp;F251&amp;" AS STRING)) IS NULL,1,0)) AS NUM_REG_DIF,'"&amp;MAX('ID1&amp;5'!K:K)+1&amp;"' AS ID_EXEC, CURRENT_TIMESTAMP() AS TIME_EXEC FROM "&amp;I251),
IF(C251="Caracteres Especiais",+"SELECT '"&amp;UPPER(B251)&amp;"' AS TABELA, '"&amp;UPPER(C251)&amp;"' AS TIPOLOGIA_TESTE,'"&amp;D251&amp;"' AS TABELA_LT,'N/A' AS TABELA_SIMUL,'"&amp;F251&amp;"' AS CAMPO, "&amp;"'${ref_date}' AS REF_DATE, COUNT(*) AS NUM_REG, SUM(IF(REGEXP_REPLACE(TRIM(CAST(X."&amp;F251&amp;" AS STRING)),'[^a-zA-Z0-9_\\s]','') &lt;&gt;TRIM(CAST(X."&amp;F251&amp;" AS STRING)),1,0)) AS NUM_REG_DIF,'"&amp;MAX('ID1&amp;5'!K:K)+1&amp;"' AS ID_EXEC, CURRENT_TIMESTAMP() AS TIME_EXEC FROM "&amp;I251,
IF(C251="Missings",+"SELECT '"&amp;UPPER(B251)&amp;"' AS TABELA, '"&amp;UPPER(C251)&amp;"' AS TIPOLOGIA_TESTE,'"&amp;D251&amp;"' AS TABELA_LT,'N/A' AS TABELA_SIMUL,'"&amp;F251&amp;"' AS CAMPO, "&amp;"'${ref_date}' AS REF_DATE, COUNT(*) AS NUM_REG, SUM(IF(TRIM(CAST(X."&amp;F251&amp;" AS STRING)) IN ('0000-00-00','0001-01-01','9999-12-31','MISS','00000','99999999999','99999999999.00','99999999999.000000'),1,0)) AS NUM_REG_DIF,'"&amp;MAX('ID1&amp;5'!K:K)+1&amp;"' AS ID_EXEC, CURRENT_TIMESTAMP() AS TIME_EXEC FROM "&amp;I251,
IF(C251="Not applicable",+"SELECT '"&amp;UPPER(B251)&amp;"' AS TABELA, '"&amp;UPPER(C251)&amp;"' AS TIPOLOGIA_TESTE,'"&amp;D251&amp;"' AS TABELA_LT,'N/A' AS TABELA_SIMUL,'"&amp;F251&amp;"' AS CAMPO, "&amp;"'${ref_date}' AS REF_DATE, COUNT(*) AS NUM_REG, SUM(IF(TRIM(CAST(X."&amp;F251&amp;" AS STRING)) IN ('N/A','11111111111','11111111111.00','11111111111.000000','1111-11-11'),1,0)) AS NUM_REG_DIF,'"&amp;MAX('ID1&amp;5'!K:K)+1&amp;"' AS ID_EXEC, CURRENT_TIMESTAMP() AS TIME_EXEC FROM "&amp;I251,
IF(C251="Valores extremos",+"SELECT '"&amp;UPPER(B251)&amp;"' AS TABELA, '"&amp;UPPER(C251)&amp;"' AS TIPOLOGIA_TESTE,'"&amp;D251&amp;"' AS TABELA_LT,'N/A' AS TABELA_SIMUL,'"&amp;F251&amp;"' AS CAMPO, "&amp;"'${ref_date}' AS REF_DATE, CAST(MIN("&amp;F251&amp;") AS STRING) AS VALOR_MIN, CAST(MAX("&amp;F251&amp;") AS STRING) AS VALOR_MAX,'"&amp;MAX('ID1&amp;5'!K:K)+1&amp;"' AS ID_EXEC, CURRENT_TIMESTAMP() AS TIME_EXEC FROM "&amp;MID(I251,1,LEN(I251)-2)&amp;" AND CAST("&amp;F251&amp;"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TABELA_SIMUL,'cre_fnrp18' AS CAMPO, '${ref_date}' AS REF_DATE, COUNT(*) AS NUM_REG, SUM(IF(COALESCE(CAST(X.cre_fnrp18 AS STRING),'')&lt;&gt;COALESCE(CAST(Y.cre_fnrp18_SIMUL AS STRING),'') OR (X.cre_fnrp18 IS NULL AND Y.cre_fnrp18_SIMUL IS NOT NULL ) OR (X.cre_fnrp18 IS NOT NULL AND Y.cre_fnrp18_SIMUL IS NULL),1,0)) AS NUM_REG_DIF,'1' AS ID_EXEC, CURRENT_TIMESTAMP() AS TIME_EXEC FROM (SELECT instrmnt_id, cre_fnrp18 FROM BU_LOANTAPE_WORK.LT002_INSTRUMENT WHERE ref_date='${ref_date}' AND nome_perimetro='Individual Local' AND segmento='ESTR' AND ambito='SRB_MBDT' AND entidade='00100')X INNER JOIN (SELECT instrmnt_id AS instrmnt_id_SIMUL, cre_fnrp18 AS cre_fnrp18_SIMUL FROM BU_LOANTAPE_WORK.SIMUL_LT002_INSTRUMENT WHERE ref_date='${ref_date}' AND nome_perimetro='Individual Local' AND segmento='ESTR' AND ambito='PILAR3' AND entidade='00100')Y ON X.INSTRMNT_ID=Y.INSTRMNT_ID_SIMUL</v>
      </c>
      <c r="M251" s="36" t="str">
        <f t="shared" si="6"/>
        <v>UNION ALL SELECT 'INSTRUMENT' AS TABELA, 'COERÊNCIA' AS TIPOLOGIA_TESTE,'BU_LOANTAPE_WORK.LT002_INSTRUMENT' AS TABELA_LT,'BU_LOANTAPE_WORK.SIMUL_LT002_INSTRUMENT' AS TABELA_SIMUL,'cre_fnrp18' AS CAMPO, '${ref_date}' AS REF_DATE, COUNT(*) AS NUM_REG, SUM(IF(COALESCE(CAST(X.cre_fnrp18 AS STRING),'')&lt;&gt;COALESCE(CAST(Y.cre_fnrp18_SIMUL AS STRING),'') OR (X.cre_fnrp18 IS NULL AND Y.cre_fnrp18_SIMUL IS NOT NULL ) OR (X.cre_fnrp18 IS NOT NULL AND Y.cre_fnrp18_SIMUL IS NULL),1,0)) AS NUM_REG_DIF,'1' AS ID_EXEC, CURRENT_TIMESTAMP() AS TIME_EXEC FROM (SELECT instrmnt_id, cre_fnrp18 FROM BU_LOANTAPE_WORK.LT002_INSTRUMENT WHERE ref_date='${ref_date}' AND nome_perimetro='Individual Local' AND segmento='ESTR' AND ambito='SRB_MBDT' AND entidade='00100')X INNER JOIN (SELECT instrmnt_id AS instrmnt_id_SIMUL, cre_fnrp18 AS cre_fnrp18_SIMUL FROM BU_LOANTAPE_WORK.SIMUL_LT002_INSTRUMENT WHERE ref_date='${ref_date}' AND nome_perimetro='Individual Local' AND segmento='ESTR' AND ambito='PILAR3' AND entidade='00100')Y ON X.INSTRMNT_ID=Y.INSTRMNT_ID_SIMUL</v>
      </c>
      <c r="N251" s="38"/>
    </row>
    <row r="252" spans="2:14">
      <c r="B252" s="34" t="s">
        <v>117</v>
      </c>
      <c r="C252" s="34" t="s">
        <v>5</v>
      </c>
      <c r="D252" s="34" t="str">
        <f>+UPPER('0. Instruções'!$D$35&amp;"."&amp;VLOOKUP(B252,'0. Instruções'!$C$27:$D$32,2,FALSE))</f>
        <v>BU_LOANTAPE_WORK.LT002_INSTRUMENT</v>
      </c>
      <c r="E252" s="34" t="str">
        <f>+UPPER('0. Instruções'!$D$36&amp;"."&amp;VLOOKUP(B252,'0. Instruções'!$C$27:$E$32,3,FALSE))</f>
        <v>BU_LOANTAPE_WORK.SIMUL_LT002_INSTRUMENT</v>
      </c>
      <c r="F252" s="34" t="s">
        <v>1308</v>
      </c>
      <c r="G252" s="34"/>
      <c r="H252" s="34"/>
      <c r="I252" s="34" t="str">
        <f>"(SELECT "&amp;VLOOKUP(B252,'0. Instruções'!$C$27:$G$32,4,FALSE)&amp;", "&amp;F252&amp;" FROM "&amp;D252&amp;" WHERE "&amp;'0. Instruções'!$D$42&amp;")X"</f>
        <v>(SELECT instrmnt_id, sme_fnrp18 FROM BU_LOANTAPE_WORK.LT002_INSTRUMENT WHERE ref_date='${ref_date}' AND nome_perimetro='Individual Local' AND segmento='ESTR' AND ambito='SRB_MBDT' AND entidade='00100')X</v>
      </c>
      <c r="J252" s="34" t="str">
        <f>"(SELECT "&amp;VLOOKUP(B252,'0. Instruções'!$C$27:$G$32,4,FALSE)&amp;" AS "&amp;VLOOKUP(B252,'0. Instruções'!$C$27:$G$32,4,FALSE)&amp;"_SIMUL, "&amp;F252&amp;" AS "&amp;F252&amp;"_SIMUL FROM "&amp;E252&amp;" WHERE "&amp;'0. Instruções'!$D$43&amp;")Y"</f>
        <v>(SELECT instrmnt_id AS instrmnt_id_SIMUL, sme_fnrp18 AS sme_fnrp18_SIMUL FROM BU_LOANTAPE_WORK.SIMUL_LT002_INSTRUMENT WHERE ref_date='${ref_date}' AND nome_perimetro='Individual Local' AND segmento='ESTR' AND ambito='PILAR3' AND entidade='00100')Y</v>
      </c>
      <c r="K252" s="35" t="str">
        <f>+UPPER("ON X."&amp;VLOOKUP(B252,'0. Instruções'!$C$27:$G$32,4,FALSE)&amp;"=Y."&amp;VLOOKUP(B252,'0. Instruções'!$C$27:$G$32,4,FALSE)&amp;"_SIMUL")</f>
        <v>ON X.INSTRMNT_ID=Y.INSTRMNT_ID_SIMUL</v>
      </c>
      <c r="L252" s="35" t="str">
        <f>+IF(C252="Coerência", +IF(LEFT(G252,5)="FLOAT","SELECT '"&amp;UPPER(B252)&amp;"' AS TABELA, '"&amp;UPPER(C252)&amp;"' AS TIPOLOGIA_TESTE,'"&amp;D252&amp;"' AS TABELA_LT,'"&amp;E252&amp;"' AS TABELA_SIMUL,'"&amp;F252&amp;"' AS CAMPO, "&amp;"'${ref_date}' AS REF_DATE, COUNT(*) AS NUM_REG, SUM(IF((ABS(COALESCE(CAST(X."&amp;F252&amp;" AS DECIMAL(18,6)),0)-COALESCE(CAST(Y."&amp;F252&amp;"_SIMUL AS DECIMAL(18,6)),0))&gt;0.000001) OR (X."&amp;F252&amp;" IS NULL AND Y."&amp;F252&amp;"_SIMUL IS NOT NULL ) OR (X."&amp;F252&amp;" IS NOT NULL AND Y."&amp;F252&amp;"_SIMUL IS NULL),1,0)) AS NUM_REG_DIF,'"&amp;MAX('ID1&amp;5'!K:K)+1&amp;"' AS ID_EXEC, CURRENT_TIMESTAMP() AS TIME_EXEC FROM "&amp;I252&amp;" INNER JOIN "&amp;J252&amp;" "&amp;K252,"SELECT '"&amp;UPPER(B252)&amp;"' AS TABELA, '"&amp;UPPER(C252)&amp;"' AS TIPOLOGIA_TESTE,'"&amp;D252&amp;"' AS TABELA_LT,'"&amp;E252&amp;"' AS TABELA_SIMUL,'"&amp;F252&amp;"' AS CAMPO, "&amp;"'${ref_date}' AS REF_DATE, COUNT(*) AS NUM_REG, SUM(IF(COALESCE(CAST(X."&amp;F252&amp;" AS STRING),'')&lt;&gt;COALESCE(CAST(Y."&amp;F252&amp;"_SIMUL AS STRING),'') OR (X."&amp;F252&amp;" IS NULL AND Y."&amp;F252&amp;"_SIMUL IS NOT NULL ) OR (X."&amp;F252&amp;" IS NOT NULL AND Y."&amp;F252&amp;"_SIMUL IS NULL),1,0)) AS NUM_REG_DIF,'"&amp;MAX('ID1&amp;5'!L:L)+1&amp;"' AS ID_EXEC, CURRENT_TIMESTAMP() AS TIME_EXEC FROM "&amp;I252&amp;" INNER JOIN "&amp;J252&amp;" "&amp;K252),
IF(C252="Validade",+IF(G252="Code List","SELECT '"&amp;UPPER(B252)&amp;"' AS TABELA, '"&amp;UPPER(C252)&amp;"' AS TIPOLOGIA_TESTE,'"&amp;D252&amp;"' AS TABELA_LT,'N/A' AS TABELA_SIMUL,'"&amp;F252&amp;"' AS CAMPO, "&amp;"'${ref_date}' AS REF_DATE, COUNT(*) AS NUM_REG, SUM(IF(TRIM(CAST(X."&amp;F252&amp;" AS STRING))='' OR TRIM(CAST(X."&amp;F252&amp;" AS STRING)) IS NULL OR CAST(X."&amp;F252&amp;" AS STRING) NOT "&amp;H252&amp;",1,0)) AS NUM_REG_DIF,'"&amp;MAX('ID1&amp;5'!K:K)+1&amp;"' AS ID_EXEC, CURRENT_TIMESTAMP() AS TIME_EXEC FROM "&amp;I252,"SELECT '"&amp;UPPER(B252)&amp;"' AS TABELA, '"&amp;UPPER(C252)&amp;"' AS TIPOLOGIA_TESTE,'"&amp;D252&amp;"' AS TABELA_LT,'N/A' AS TABELA_SIMUL,'"&amp;F252&amp;"' AS CAMPO, "&amp;"'${ref_date}' AS REF_DATE, COUNT(*) AS NUM_REG, SUM(IF(TRIM(CAST(X."&amp;F252&amp;" AS STRING))='' OR TRIM(CAST(X."&amp;F252&amp;" AS STRING)) IS NULL,1,0)) AS NUM_REG_DIF,'"&amp;MAX('ID1&amp;5'!K:K)+1&amp;"' AS ID_EXEC, CURRENT_TIMESTAMP() AS TIME_EXEC FROM "&amp;I252),
IF(C252="Caracteres Especiais",+"SELECT '"&amp;UPPER(B252)&amp;"' AS TABELA, '"&amp;UPPER(C252)&amp;"' AS TIPOLOGIA_TESTE,'"&amp;D252&amp;"' AS TABELA_LT,'N/A' AS TABELA_SIMUL,'"&amp;F252&amp;"' AS CAMPO, "&amp;"'${ref_date}' AS REF_DATE, COUNT(*) AS NUM_REG, SUM(IF(REGEXP_REPLACE(TRIM(CAST(X."&amp;F252&amp;" AS STRING)),'[^a-zA-Z0-9_\\s]','') &lt;&gt;TRIM(CAST(X."&amp;F252&amp;" AS STRING)),1,0)) AS NUM_REG_DIF,'"&amp;MAX('ID1&amp;5'!K:K)+1&amp;"' AS ID_EXEC, CURRENT_TIMESTAMP() AS TIME_EXEC FROM "&amp;I252,
IF(C252="Missings",+"SELECT '"&amp;UPPER(B252)&amp;"' AS TABELA, '"&amp;UPPER(C252)&amp;"' AS TIPOLOGIA_TESTE,'"&amp;D252&amp;"' AS TABELA_LT,'N/A' AS TABELA_SIMUL,'"&amp;F252&amp;"' AS CAMPO, "&amp;"'${ref_date}' AS REF_DATE, COUNT(*) AS NUM_REG, SUM(IF(TRIM(CAST(X."&amp;F252&amp;" AS STRING)) IN ('0000-00-00','0001-01-01','9999-12-31','MISS','00000','99999999999','99999999999.00','99999999999.000000'),1,0)) AS NUM_REG_DIF,'"&amp;MAX('ID1&amp;5'!K:K)+1&amp;"' AS ID_EXEC, CURRENT_TIMESTAMP() AS TIME_EXEC FROM "&amp;I252,
IF(C252="Not applicable",+"SELECT '"&amp;UPPER(B252)&amp;"' AS TABELA, '"&amp;UPPER(C252)&amp;"' AS TIPOLOGIA_TESTE,'"&amp;D252&amp;"' AS TABELA_LT,'N/A' AS TABELA_SIMUL,'"&amp;F252&amp;"' AS CAMPO, "&amp;"'${ref_date}' AS REF_DATE, COUNT(*) AS NUM_REG, SUM(IF(TRIM(CAST(X."&amp;F252&amp;" AS STRING)) IN ('N/A','11111111111','11111111111.00','11111111111.000000','1111-11-11'),1,0)) AS NUM_REG_DIF,'"&amp;MAX('ID1&amp;5'!K:K)+1&amp;"' AS ID_EXEC, CURRENT_TIMESTAMP() AS TIME_EXEC FROM "&amp;I252,
IF(C252="Valores extremos",+"SELECT '"&amp;UPPER(B252)&amp;"' AS TABELA, '"&amp;UPPER(C252)&amp;"' AS TIPOLOGIA_TESTE,'"&amp;D252&amp;"' AS TABELA_LT,'N/A' AS TABELA_SIMUL,'"&amp;F252&amp;"' AS CAMPO, "&amp;"'${ref_date}' AS REF_DATE, CAST(MIN("&amp;F252&amp;") AS STRING) AS VALOR_MIN, CAST(MAX("&amp;F252&amp;") AS STRING) AS VALOR_MAX,'"&amp;MAX('ID1&amp;5'!K:K)+1&amp;"' AS ID_EXEC, CURRENT_TIMESTAMP() AS TIME_EXEC FROM "&amp;MID(I252,1,LEN(I252)-2)&amp;" AND CAST("&amp;F252&amp;"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TABELA_SIMUL,'sme_fnrp18' AS CAMPO, '${ref_date}' AS REF_DATE, COUNT(*) AS NUM_REG, SUM(IF(COALESCE(CAST(X.sme_fnrp18 AS STRING),'')&lt;&gt;COALESCE(CAST(Y.sme_fnrp18_SIMUL AS STRING),'') OR (X.sme_fnrp18 IS NULL AND Y.sme_fnrp18_SIMUL IS NOT NULL ) OR (X.sme_fnrp18 IS NOT NULL AND Y.sme_fnrp18_SIMUL IS NULL),1,0)) AS NUM_REG_DIF,'1' AS ID_EXEC, CURRENT_TIMESTAMP() AS TIME_EXEC FROM (SELECT instrmnt_id, sme_fnrp18 FROM BU_LOANTAPE_WORK.LT002_INSTRUMENT WHERE ref_date='${ref_date}' AND nome_perimetro='Individual Local' AND segmento='ESTR' AND ambito='SRB_MBDT' AND entidade='00100')X INNER JOIN (SELECT instrmnt_id AS instrmnt_id_SIMUL, sme_fnrp18 AS sme_fnrp18_SIMUL FROM BU_LOANTAPE_WORK.SIMUL_LT002_INSTRUMENT WHERE ref_date='${ref_date}' AND nome_perimetro='Individual Local' AND segmento='ESTR' AND ambito='PILAR3' AND entidade='00100')Y ON X.INSTRMNT_ID=Y.INSTRMNT_ID_SIMUL</v>
      </c>
      <c r="M252" s="36" t="str">
        <f t="shared" si="6"/>
        <v>UNION ALL SELECT 'INSTRUMENT' AS TABELA, 'COERÊNCIA' AS TIPOLOGIA_TESTE,'BU_LOANTAPE_WORK.LT002_INSTRUMENT' AS TABELA_LT,'BU_LOANTAPE_WORK.SIMUL_LT002_INSTRUMENT' AS TABELA_SIMUL,'sme_fnrp18' AS CAMPO, '${ref_date}' AS REF_DATE, COUNT(*) AS NUM_REG, SUM(IF(COALESCE(CAST(X.sme_fnrp18 AS STRING),'')&lt;&gt;COALESCE(CAST(Y.sme_fnrp18_SIMUL AS STRING),'') OR (X.sme_fnrp18 IS NULL AND Y.sme_fnrp18_SIMUL IS NOT NULL ) OR (X.sme_fnrp18 IS NOT NULL AND Y.sme_fnrp18_SIMUL IS NULL),1,0)) AS NUM_REG_DIF,'1' AS ID_EXEC, CURRENT_TIMESTAMP() AS TIME_EXEC FROM (SELECT instrmnt_id, sme_fnrp18 FROM BU_LOANTAPE_WORK.LT002_INSTRUMENT WHERE ref_date='${ref_date}' AND nome_perimetro='Individual Local' AND segmento='ESTR' AND ambito='SRB_MBDT' AND entidade='00100')X INNER JOIN (SELECT instrmnt_id AS instrmnt_id_SIMUL, sme_fnrp18 AS sme_fnrp18_SIMUL FROM BU_LOANTAPE_WORK.SIMUL_LT002_INSTRUMENT WHERE ref_date='${ref_date}' AND nome_perimetro='Individual Local' AND segmento='ESTR' AND ambito='PILAR3' AND entidade='00100')Y ON X.INSTRMNT_ID=Y.INSTRMNT_ID_SIMUL</v>
      </c>
      <c r="N252" s="38"/>
    </row>
    <row r="253" spans="2:14">
      <c r="B253" s="34" t="s">
        <v>117</v>
      </c>
      <c r="C253" s="34" t="s">
        <v>5</v>
      </c>
      <c r="D253" s="34" t="str">
        <f>+UPPER('0. Instruções'!$D$35&amp;"."&amp;VLOOKUP(B253,'0. Instruções'!$C$27:$D$32,2,FALSE))</f>
        <v>BU_LOANTAPE_WORK.LT002_INSTRUMENT</v>
      </c>
      <c r="E253" s="34" t="str">
        <f>+UPPER('0. Instruções'!$D$36&amp;"."&amp;VLOOKUP(B253,'0. Instruções'!$C$27:$E$32,3,FALSE))</f>
        <v>BU_LOANTAPE_WORK.SIMUL_LT002_INSTRUMENT</v>
      </c>
      <c r="F253" s="34" t="s">
        <v>1309</v>
      </c>
      <c r="G253" s="34"/>
      <c r="H253" s="34"/>
      <c r="I253" s="34" t="str">
        <f>"(SELECT "&amp;VLOOKUP(B253,'0. Instruções'!$C$27:$G$32,4,FALSE)&amp;", "&amp;F253&amp;" FROM "&amp;D253&amp;" WHERE "&amp;'0. Instruções'!$D$42&amp;")X"</f>
        <v>(SELECT instrmnt_id, rre_fnrp18 FROM BU_LOANTAPE_WORK.LT002_INSTRUMENT WHERE ref_date='${ref_date}' AND nome_perimetro='Individual Local' AND segmento='ESTR' AND ambito='SRB_MBDT' AND entidade='00100')X</v>
      </c>
      <c r="J253" s="34" t="str">
        <f>"(SELECT "&amp;VLOOKUP(B253,'0. Instruções'!$C$27:$G$32,4,FALSE)&amp;" AS "&amp;VLOOKUP(B253,'0. Instruções'!$C$27:$G$32,4,FALSE)&amp;"_SIMUL, "&amp;F253&amp;" AS "&amp;F253&amp;"_SIMUL FROM "&amp;E253&amp;" WHERE "&amp;'0. Instruções'!$D$43&amp;")Y"</f>
        <v>(SELECT instrmnt_id AS instrmnt_id_SIMUL, rre_fnrp18 AS rre_fnrp18_SIMUL FROM BU_LOANTAPE_WORK.SIMUL_LT002_INSTRUMENT WHERE ref_date='${ref_date}' AND nome_perimetro='Individual Local' AND segmento='ESTR' AND ambito='PILAR3' AND entidade='00100')Y</v>
      </c>
      <c r="K253" s="35" t="str">
        <f>+UPPER("ON X."&amp;VLOOKUP(B253,'0. Instruções'!$C$27:$G$32,4,FALSE)&amp;"=Y."&amp;VLOOKUP(B253,'0. Instruções'!$C$27:$G$32,4,FALSE)&amp;"_SIMUL")</f>
        <v>ON X.INSTRMNT_ID=Y.INSTRMNT_ID_SIMUL</v>
      </c>
      <c r="L253" s="35" t="str">
        <f>+IF(C253="Coerência", +IF(LEFT(G253,5)="FLOAT","SELECT '"&amp;UPPER(B253)&amp;"' AS TABELA, '"&amp;UPPER(C253)&amp;"' AS TIPOLOGIA_TESTE,'"&amp;D253&amp;"' AS TABELA_LT,'"&amp;E253&amp;"' AS TABELA_SIMUL,'"&amp;F253&amp;"' AS CAMPO, "&amp;"'${ref_date}' AS REF_DATE, COUNT(*) AS NUM_REG, SUM(IF((ABS(COALESCE(CAST(X."&amp;F253&amp;" AS DECIMAL(18,6)),0)-COALESCE(CAST(Y."&amp;F253&amp;"_SIMUL AS DECIMAL(18,6)),0))&gt;0.000001) OR (X."&amp;F253&amp;" IS NULL AND Y."&amp;F253&amp;"_SIMUL IS NOT NULL ) OR (X."&amp;F253&amp;" IS NOT NULL AND Y."&amp;F253&amp;"_SIMUL IS NULL),1,0)) AS NUM_REG_DIF,'"&amp;MAX('ID1&amp;5'!K:K)+1&amp;"' AS ID_EXEC, CURRENT_TIMESTAMP() AS TIME_EXEC FROM "&amp;I253&amp;" INNER JOIN "&amp;J253&amp;" "&amp;K253,"SELECT '"&amp;UPPER(B253)&amp;"' AS TABELA, '"&amp;UPPER(C253)&amp;"' AS TIPOLOGIA_TESTE,'"&amp;D253&amp;"' AS TABELA_LT,'"&amp;E253&amp;"' AS TABELA_SIMUL,'"&amp;F253&amp;"' AS CAMPO, "&amp;"'${ref_date}' AS REF_DATE, COUNT(*) AS NUM_REG, SUM(IF(COALESCE(CAST(X."&amp;F253&amp;" AS STRING),'')&lt;&gt;COALESCE(CAST(Y."&amp;F253&amp;"_SIMUL AS STRING),'') OR (X."&amp;F253&amp;" IS NULL AND Y."&amp;F253&amp;"_SIMUL IS NOT NULL ) OR (X."&amp;F253&amp;" IS NOT NULL AND Y."&amp;F253&amp;"_SIMUL IS NULL),1,0)) AS NUM_REG_DIF,'"&amp;MAX('ID1&amp;5'!L:L)+1&amp;"' AS ID_EXEC, CURRENT_TIMESTAMP() AS TIME_EXEC FROM "&amp;I253&amp;" INNER JOIN "&amp;J253&amp;" "&amp;K253),
IF(C253="Validade",+IF(G253="Code List","SELECT '"&amp;UPPER(B253)&amp;"' AS TABELA, '"&amp;UPPER(C253)&amp;"' AS TIPOLOGIA_TESTE,'"&amp;D253&amp;"' AS TABELA_LT,'N/A' AS TABELA_SIMUL,'"&amp;F253&amp;"' AS CAMPO, "&amp;"'${ref_date}' AS REF_DATE, COUNT(*) AS NUM_REG, SUM(IF(TRIM(CAST(X."&amp;F253&amp;" AS STRING))='' OR TRIM(CAST(X."&amp;F253&amp;" AS STRING)) IS NULL OR CAST(X."&amp;F253&amp;" AS STRING) NOT "&amp;H253&amp;",1,0)) AS NUM_REG_DIF,'"&amp;MAX('ID1&amp;5'!K:K)+1&amp;"' AS ID_EXEC, CURRENT_TIMESTAMP() AS TIME_EXEC FROM "&amp;I253,"SELECT '"&amp;UPPER(B253)&amp;"' AS TABELA, '"&amp;UPPER(C253)&amp;"' AS TIPOLOGIA_TESTE,'"&amp;D253&amp;"' AS TABELA_LT,'N/A' AS TABELA_SIMUL,'"&amp;F253&amp;"' AS CAMPO, "&amp;"'${ref_date}' AS REF_DATE, COUNT(*) AS NUM_REG, SUM(IF(TRIM(CAST(X."&amp;F253&amp;" AS STRING))='' OR TRIM(CAST(X."&amp;F253&amp;" AS STRING)) IS NULL,1,0)) AS NUM_REG_DIF,'"&amp;MAX('ID1&amp;5'!K:K)+1&amp;"' AS ID_EXEC, CURRENT_TIMESTAMP() AS TIME_EXEC FROM "&amp;I253),
IF(C253="Caracteres Especiais",+"SELECT '"&amp;UPPER(B253)&amp;"' AS TABELA, '"&amp;UPPER(C253)&amp;"' AS TIPOLOGIA_TESTE,'"&amp;D253&amp;"' AS TABELA_LT,'N/A' AS TABELA_SIMUL,'"&amp;F253&amp;"' AS CAMPO, "&amp;"'${ref_date}' AS REF_DATE, COUNT(*) AS NUM_REG, SUM(IF(REGEXP_REPLACE(TRIM(CAST(X."&amp;F253&amp;" AS STRING)),'[^a-zA-Z0-9_\\s]','') &lt;&gt;TRIM(CAST(X."&amp;F253&amp;" AS STRING)),1,0)) AS NUM_REG_DIF,'"&amp;MAX('ID1&amp;5'!K:K)+1&amp;"' AS ID_EXEC, CURRENT_TIMESTAMP() AS TIME_EXEC FROM "&amp;I253,
IF(C253="Missings",+"SELECT '"&amp;UPPER(B253)&amp;"' AS TABELA, '"&amp;UPPER(C253)&amp;"' AS TIPOLOGIA_TESTE,'"&amp;D253&amp;"' AS TABELA_LT,'N/A' AS TABELA_SIMUL,'"&amp;F253&amp;"' AS CAMPO, "&amp;"'${ref_date}' AS REF_DATE, COUNT(*) AS NUM_REG, SUM(IF(TRIM(CAST(X."&amp;F253&amp;" AS STRING)) IN ('0000-00-00','0001-01-01','9999-12-31','MISS','00000','99999999999','99999999999.00','99999999999.000000'),1,0)) AS NUM_REG_DIF,'"&amp;MAX('ID1&amp;5'!K:K)+1&amp;"' AS ID_EXEC, CURRENT_TIMESTAMP() AS TIME_EXEC FROM "&amp;I253,
IF(C253="Not applicable",+"SELECT '"&amp;UPPER(B253)&amp;"' AS TABELA, '"&amp;UPPER(C253)&amp;"' AS TIPOLOGIA_TESTE,'"&amp;D253&amp;"' AS TABELA_LT,'N/A' AS TABELA_SIMUL,'"&amp;F253&amp;"' AS CAMPO, "&amp;"'${ref_date}' AS REF_DATE, COUNT(*) AS NUM_REG, SUM(IF(TRIM(CAST(X."&amp;F253&amp;" AS STRING)) IN ('N/A','11111111111','11111111111.00','11111111111.000000','1111-11-11'),1,0)) AS NUM_REG_DIF,'"&amp;MAX('ID1&amp;5'!K:K)+1&amp;"' AS ID_EXEC, CURRENT_TIMESTAMP() AS TIME_EXEC FROM "&amp;I253,
IF(C253="Valores extremos",+"SELECT '"&amp;UPPER(B253)&amp;"' AS TABELA, '"&amp;UPPER(C253)&amp;"' AS TIPOLOGIA_TESTE,'"&amp;D253&amp;"' AS TABELA_LT,'N/A' AS TABELA_SIMUL,'"&amp;F253&amp;"' AS CAMPO, "&amp;"'${ref_date}' AS REF_DATE, CAST(MIN("&amp;F253&amp;") AS STRING) AS VALOR_MIN, CAST(MAX("&amp;F253&amp;") AS STRING) AS VALOR_MAX,'"&amp;MAX('ID1&amp;5'!K:K)+1&amp;"' AS ID_EXEC, CURRENT_TIMESTAMP() AS TIME_EXEC FROM "&amp;MID(I253,1,LEN(I253)-2)&amp;" AND CAST("&amp;F253&amp;"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TABELA_SIMUL,'rre_fnrp18' AS CAMPO, '${ref_date}' AS REF_DATE, COUNT(*) AS NUM_REG, SUM(IF(COALESCE(CAST(X.rre_fnrp18 AS STRING),'')&lt;&gt;COALESCE(CAST(Y.rre_fnrp18_SIMUL AS STRING),'') OR (X.rre_fnrp18 IS NULL AND Y.rre_fnrp18_SIMUL IS NOT NULL ) OR (X.rre_fnrp18 IS NOT NULL AND Y.rre_fnrp18_SIMUL IS NULL),1,0)) AS NUM_REG_DIF,'1' AS ID_EXEC, CURRENT_TIMESTAMP() AS TIME_EXEC FROM (SELECT instrmnt_id, rre_fnrp18 FROM BU_LOANTAPE_WORK.LT002_INSTRUMENT WHERE ref_date='${ref_date}' AND nome_perimetro='Individual Local' AND segmento='ESTR' AND ambito='SRB_MBDT' AND entidade='00100')X INNER JOIN (SELECT instrmnt_id AS instrmnt_id_SIMUL, rre_fnrp18 AS rre_fnrp18_SIMUL FROM BU_LOANTAPE_WORK.SIMUL_LT002_INSTRUMENT WHERE ref_date='${ref_date}' AND nome_perimetro='Individual Local' AND segmento='ESTR' AND ambito='PILAR3' AND entidade='00100')Y ON X.INSTRMNT_ID=Y.INSTRMNT_ID_SIMUL</v>
      </c>
      <c r="M253" s="36" t="str">
        <f t="shared" si="6"/>
        <v>UNION ALL SELECT 'INSTRUMENT' AS TABELA, 'COERÊNCIA' AS TIPOLOGIA_TESTE,'BU_LOANTAPE_WORK.LT002_INSTRUMENT' AS TABELA_LT,'BU_LOANTAPE_WORK.SIMUL_LT002_INSTRUMENT' AS TABELA_SIMUL,'rre_fnrp18' AS CAMPO, '${ref_date}' AS REF_DATE, COUNT(*) AS NUM_REG, SUM(IF(COALESCE(CAST(X.rre_fnrp18 AS STRING),'')&lt;&gt;COALESCE(CAST(Y.rre_fnrp18_SIMUL AS STRING),'') OR (X.rre_fnrp18 IS NULL AND Y.rre_fnrp18_SIMUL IS NOT NULL ) OR (X.rre_fnrp18 IS NOT NULL AND Y.rre_fnrp18_SIMUL IS NULL),1,0)) AS NUM_REG_DIF,'1' AS ID_EXEC, CURRENT_TIMESTAMP() AS TIME_EXEC FROM (SELECT instrmnt_id, rre_fnrp18 FROM BU_LOANTAPE_WORK.LT002_INSTRUMENT WHERE ref_date='${ref_date}' AND nome_perimetro='Individual Local' AND segmento='ESTR' AND ambito='SRB_MBDT' AND entidade='00100')X INNER JOIN (SELECT instrmnt_id AS instrmnt_id_SIMUL, rre_fnrp18 AS rre_fnrp18_SIMUL FROM BU_LOANTAPE_WORK.SIMUL_LT002_INSTRUMENT WHERE ref_date='${ref_date}' AND nome_perimetro='Individual Local' AND segmento='ESTR' AND ambito='PILAR3' AND entidade='00100')Y ON X.INSTRMNT_ID=Y.INSTRMNT_ID_SIMUL</v>
      </c>
      <c r="N253" s="38"/>
    </row>
    <row r="254" spans="2:14">
      <c r="B254" s="34" t="s">
        <v>117</v>
      </c>
      <c r="C254" s="34" t="s">
        <v>5</v>
      </c>
      <c r="D254" s="34" t="str">
        <f>+UPPER('0. Instruções'!$D$35&amp;"."&amp;VLOOKUP(B254,'0. Instruções'!$C$27:$D$32,2,FALSE))</f>
        <v>BU_LOANTAPE_WORK.LT002_INSTRUMENT</v>
      </c>
      <c r="E254" s="34" t="str">
        <f>+UPPER('0. Instruções'!$D$36&amp;"."&amp;VLOOKUP(B254,'0. Instruções'!$C$27:$E$32,3,FALSE))</f>
        <v>BU_LOANTAPE_WORK.SIMUL_LT002_INSTRUMENT</v>
      </c>
      <c r="F254" s="34" t="s">
        <v>1310</v>
      </c>
      <c r="G254" s="34"/>
      <c r="H254" s="34"/>
      <c r="I254" s="34" t="str">
        <f>"(SELECT "&amp;VLOOKUP(B254,'0. Instruções'!$C$27:$G$32,4,FALSE)&amp;", "&amp;F254&amp;" FROM "&amp;D254&amp;" WHERE "&amp;'0. Instruções'!$D$42&amp;")X"</f>
        <v>(SELECT instrmnt_id, cnsmptn_fnrp18 FROM BU_LOANTAPE_WORK.LT002_INSTRUMENT WHERE ref_date='${ref_date}' AND nome_perimetro='Individual Local' AND segmento='ESTR' AND ambito='SRB_MBDT' AND entidade='00100')X</v>
      </c>
      <c r="J254" s="34" t="str">
        <f>"(SELECT "&amp;VLOOKUP(B254,'0. Instruções'!$C$27:$G$32,4,FALSE)&amp;" AS "&amp;VLOOKUP(B254,'0. Instruções'!$C$27:$G$32,4,FALSE)&amp;"_SIMUL, "&amp;F254&amp;" AS "&amp;F254&amp;"_SIMUL FROM "&amp;E254&amp;" WHERE "&amp;'0. Instruções'!$D$43&amp;")Y"</f>
        <v>(SELECT instrmnt_id AS instrmnt_id_SIMUL, cnsmptn_fnrp18 AS cnsmptn_fnrp18_SIMUL FROM BU_LOANTAPE_WORK.SIMUL_LT002_INSTRUMENT WHERE ref_date='${ref_date}' AND nome_perimetro='Individual Local' AND segmento='ESTR' AND ambito='PILAR3' AND entidade='00100')Y</v>
      </c>
      <c r="K254" s="35" t="str">
        <f>+UPPER("ON X."&amp;VLOOKUP(B254,'0. Instruções'!$C$27:$G$32,4,FALSE)&amp;"=Y."&amp;VLOOKUP(B254,'0. Instruções'!$C$27:$G$32,4,FALSE)&amp;"_SIMUL")</f>
        <v>ON X.INSTRMNT_ID=Y.INSTRMNT_ID_SIMUL</v>
      </c>
      <c r="L254" s="35" t="str">
        <f>+IF(C254="Coerência", +IF(LEFT(G254,5)="FLOAT","SELECT '"&amp;UPPER(B254)&amp;"' AS TABELA, '"&amp;UPPER(C254)&amp;"' AS TIPOLOGIA_TESTE,'"&amp;D254&amp;"' AS TABELA_LT,'"&amp;E254&amp;"' AS TABELA_SIMUL,'"&amp;F254&amp;"' AS CAMPO, "&amp;"'${ref_date}' AS REF_DATE, COUNT(*) AS NUM_REG, SUM(IF((ABS(COALESCE(CAST(X."&amp;F254&amp;" AS DECIMAL(18,6)),0)-COALESCE(CAST(Y."&amp;F254&amp;"_SIMUL AS DECIMAL(18,6)),0))&gt;0.000001) OR (X."&amp;F254&amp;" IS NULL AND Y."&amp;F254&amp;"_SIMUL IS NOT NULL ) OR (X."&amp;F254&amp;" IS NOT NULL AND Y."&amp;F254&amp;"_SIMUL IS NULL),1,0)) AS NUM_REG_DIF,'"&amp;MAX('ID1&amp;5'!K:K)+1&amp;"' AS ID_EXEC, CURRENT_TIMESTAMP() AS TIME_EXEC FROM "&amp;I254&amp;" INNER JOIN "&amp;J254&amp;" "&amp;K254,"SELECT '"&amp;UPPER(B254)&amp;"' AS TABELA, '"&amp;UPPER(C254)&amp;"' AS TIPOLOGIA_TESTE,'"&amp;D254&amp;"' AS TABELA_LT,'"&amp;E254&amp;"' AS TABELA_SIMUL,'"&amp;F254&amp;"' AS CAMPO, "&amp;"'${ref_date}' AS REF_DATE, COUNT(*) AS NUM_REG, SUM(IF(COALESCE(CAST(X."&amp;F254&amp;" AS STRING),'')&lt;&gt;COALESCE(CAST(Y."&amp;F254&amp;"_SIMUL AS STRING),'') OR (X."&amp;F254&amp;" IS NULL AND Y."&amp;F254&amp;"_SIMUL IS NOT NULL ) OR (X."&amp;F254&amp;" IS NOT NULL AND Y."&amp;F254&amp;"_SIMUL IS NULL),1,0)) AS NUM_REG_DIF,'"&amp;MAX('ID1&amp;5'!L:L)+1&amp;"' AS ID_EXEC, CURRENT_TIMESTAMP() AS TIME_EXEC FROM "&amp;I254&amp;" INNER JOIN "&amp;J254&amp;" "&amp;K254),
IF(C254="Validade",+IF(G254="Code List","SELECT '"&amp;UPPER(B254)&amp;"' AS TABELA, '"&amp;UPPER(C254)&amp;"' AS TIPOLOGIA_TESTE,'"&amp;D254&amp;"' AS TABELA_LT,'N/A' AS TABELA_SIMUL,'"&amp;F254&amp;"' AS CAMPO, "&amp;"'${ref_date}' AS REF_DATE, COUNT(*) AS NUM_REG, SUM(IF(TRIM(CAST(X."&amp;F254&amp;" AS STRING))='' OR TRIM(CAST(X."&amp;F254&amp;" AS STRING)) IS NULL OR CAST(X."&amp;F254&amp;" AS STRING) NOT "&amp;H254&amp;",1,0)) AS NUM_REG_DIF,'"&amp;MAX('ID1&amp;5'!K:K)+1&amp;"' AS ID_EXEC, CURRENT_TIMESTAMP() AS TIME_EXEC FROM "&amp;I254,"SELECT '"&amp;UPPER(B254)&amp;"' AS TABELA, '"&amp;UPPER(C254)&amp;"' AS TIPOLOGIA_TESTE,'"&amp;D254&amp;"' AS TABELA_LT,'N/A' AS TABELA_SIMUL,'"&amp;F254&amp;"' AS CAMPO, "&amp;"'${ref_date}' AS REF_DATE, COUNT(*) AS NUM_REG, SUM(IF(TRIM(CAST(X."&amp;F254&amp;" AS STRING))='' OR TRIM(CAST(X."&amp;F254&amp;" AS STRING)) IS NULL,1,0)) AS NUM_REG_DIF,'"&amp;MAX('ID1&amp;5'!K:K)+1&amp;"' AS ID_EXEC, CURRENT_TIMESTAMP() AS TIME_EXEC FROM "&amp;I254),
IF(C254="Caracteres Especiais",+"SELECT '"&amp;UPPER(B254)&amp;"' AS TABELA, '"&amp;UPPER(C254)&amp;"' AS TIPOLOGIA_TESTE,'"&amp;D254&amp;"' AS TABELA_LT,'N/A' AS TABELA_SIMUL,'"&amp;F254&amp;"' AS CAMPO, "&amp;"'${ref_date}' AS REF_DATE, COUNT(*) AS NUM_REG, SUM(IF(REGEXP_REPLACE(TRIM(CAST(X."&amp;F254&amp;" AS STRING)),'[^a-zA-Z0-9_\\s]','') &lt;&gt;TRIM(CAST(X."&amp;F254&amp;" AS STRING)),1,0)) AS NUM_REG_DIF,'"&amp;MAX('ID1&amp;5'!K:K)+1&amp;"' AS ID_EXEC, CURRENT_TIMESTAMP() AS TIME_EXEC FROM "&amp;I254,
IF(C254="Missings",+"SELECT '"&amp;UPPER(B254)&amp;"' AS TABELA, '"&amp;UPPER(C254)&amp;"' AS TIPOLOGIA_TESTE,'"&amp;D254&amp;"' AS TABELA_LT,'N/A' AS TABELA_SIMUL,'"&amp;F254&amp;"' AS CAMPO, "&amp;"'${ref_date}' AS REF_DATE, COUNT(*) AS NUM_REG, SUM(IF(TRIM(CAST(X."&amp;F254&amp;" AS STRING)) IN ('0000-00-00','0001-01-01','9999-12-31','MISS','00000','99999999999','99999999999.00','99999999999.000000'),1,0)) AS NUM_REG_DIF,'"&amp;MAX('ID1&amp;5'!K:K)+1&amp;"' AS ID_EXEC, CURRENT_TIMESTAMP() AS TIME_EXEC FROM "&amp;I254,
IF(C254="Not applicable",+"SELECT '"&amp;UPPER(B254)&amp;"' AS TABELA, '"&amp;UPPER(C254)&amp;"' AS TIPOLOGIA_TESTE,'"&amp;D254&amp;"' AS TABELA_LT,'N/A' AS TABELA_SIMUL,'"&amp;F254&amp;"' AS CAMPO, "&amp;"'${ref_date}' AS REF_DATE, COUNT(*) AS NUM_REG, SUM(IF(TRIM(CAST(X."&amp;F254&amp;" AS STRING)) IN ('N/A','11111111111','11111111111.00','11111111111.000000','1111-11-11'),1,0)) AS NUM_REG_DIF,'"&amp;MAX('ID1&amp;5'!K:K)+1&amp;"' AS ID_EXEC, CURRENT_TIMESTAMP() AS TIME_EXEC FROM "&amp;I254,
IF(C254="Valores extremos",+"SELECT '"&amp;UPPER(B254)&amp;"' AS TABELA, '"&amp;UPPER(C254)&amp;"' AS TIPOLOGIA_TESTE,'"&amp;D254&amp;"' AS TABELA_LT,'N/A' AS TABELA_SIMUL,'"&amp;F254&amp;"' AS CAMPO, "&amp;"'${ref_date}' AS REF_DATE, CAST(MIN("&amp;F254&amp;") AS STRING) AS VALOR_MIN, CAST(MAX("&amp;F254&amp;") AS STRING) AS VALOR_MAX,'"&amp;MAX('ID1&amp;5'!K:K)+1&amp;"' AS ID_EXEC, CURRENT_TIMESTAMP() AS TIME_EXEC FROM "&amp;MID(I254,1,LEN(I254)-2)&amp;" AND CAST("&amp;F254&amp;"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TABELA_SIMUL,'cnsmptn_fnrp18' AS CAMPO, '${ref_date}' AS REF_DATE, COUNT(*) AS NUM_REG, SUM(IF(COALESCE(CAST(X.cnsmptn_fnrp18 AS STRING),'')&lt;&gt;COALESCE(CAST(Y.cnsmptn_fnrp18_SIMUL AS STRING),'') OR (X.cnsmptn_fnrp18 IS NULL AND Y.cnsmptn_fnrp18_SIMUL IS NOT NULL ) OR (X.cnsmptn_fnrp18 IS NOT NULL AND Y.cnsmptn_fnrp18_SIMUL IS NULL),1,0)) AS NUM_REG_DIF,'1' AS ID_EXEC, CURRENT_TIMESTAMP() AS TIME_EXEC FROM (SELECT instrmnt_id, cnsmptn_fnrp18 FROM BU_LOANTAPE_WORK.LT002_INSTRUMENT WHERE ref_date='${ref_date}' AND nome_perimetro='Individual Local' AND segmento='ESTR' AND ambito='SRB_MBDT' AND entidade='00100')X INNER JOIN (SELECT instrmnt_id AS instrmnt_id_SIMUL, cnsmptn_fnrp18 AS cnsmptn_fnrp18_SIMUL FROM BU_LOANTAPE_WORK.SIMUL_LT002_INSTRUMENT WHERE ref_date='${ref_date}' AND nome_perimetro='Individual Local' AND segmento='ESTR' AND ambito='PILAR3' AND entidade='00100')Y ON X.INSTRMNT_ID=Y.INSTRMNT_ID_SIMUL</v>
      </c>
      <c r="M254" s="36" t="str">
        <f t="shared" si="6"/>
        <v>UNION ALL SELECT 'INSTRUMENT' AS TABELA, 'COERÊNCIA' AS TIPOLOGIA_TESTE,'BU_LOANTAPE_WORK.LT002_INSTRUMENT' AS TABELA_LT,'BU_LOANTAPE_WORK.SIMUL_LT002_INSTRUMENT' AS TABELA_SIMUL,'cnsmptn_fnrp18' AS CAMPO, '${ref_date}' AS REF_DATE, COUNT(*) AS NUM_REG, SUM(IF(COALESCE(CAST(X.cnsmptn_fnrp18 AS STRING),'')&lt;&gt;COALESCE(CAST(Y.cnsmptn_fnrp18_SIMUL AS STRING),'') OR (X.cnsmptn_fnrp18 IS NULL AND Y.cnsmptn_fnrp18_SIMUL IS NOT NULL ) OR (X.cnsmptn_fnrp18 IS NOT NULL AND Y.cnsmptn_fnrp18_SIMUL IS NULL),1,0)) AS NUM_REG_DIF,'1' AS ID_EXEC, CURRENT_TIMESTAMP() AS TIME_EXEC FROM (SELECT instrmnt_id, cnsmptn_fnrp18 FROM BU_LOANTAPE_WORK.LT002_INSTRUMENT WHERE ref_date='${ref_date}' AND nome_perimetro='Individual Local' AND segmento='ESTR' AND ambito='SRB_MBDT' AND entidade='00100')X INNER JOIN (SELECT instrmnt_id AS instrmnt_id_SIMUL, cnsmptn_fnrp18 AS cnsmptn_fnrp18_SIMUL FROM BU_LOANTAPE_WORK.SIMUL_LT002_INSTRUMENT WHERE ref_date='${ref_date}' AND nome_perimetro='Individual Local' AND segmento='ESTR' AND ambito='PILAR3' AND entidade='00100')Y ON X.INSTRMNT_ID=Y.INSTRMNT_ID_SIMUL</v>
      </c>
      <c r="N254" s="38"/>
    </row>
    <row r="255" spans="2:14">
      <c r="B255" s="34" t="s">
        <v>117</v>
      </c>
      <c r="C255" s="34" t="s">
        <v>5</v>
      </c>
      <c r="D255" s="34" t="str">
        <f>+UPPER('0. Instruções'!$D$35&amp;"."&amp;VLOOKUP(B255,'0. Instruções'!$C$27:$D$32,2,FALSE))</f>
        <v>BU_LOANTAPE_WORK.LT002_INSTRUMENT</v>
      </c>
      <c r="E255" s="34" t="str">
        <f>+UPPER('0. Instruções'!$D$36&amp;"."&amp;VLOOKUP(B255,'0. Instruções'!$C$27:$E$32,3,FALSE))</f>
        <v>BU_LOANTAPE_WORK.SIMUL_LT002_INSTRUMENT</v>
      </c>
      <c r="F255" s="34" t="s">
        <v>1311</v>
      </c>
      <c r="G255" s="34"/>
      <c r="H255" s="34"/>
      <c r="I255" s="34" t="str">
        <f>"(SELECT "&amp;VLOOKUP(B255,'0. Instruções'!$C$27:$G$32,4,FALSE)&amp;", "&amp;F255&amp;" FROM "&amp;D255&amp;" WHERE "&amp;'0. Instruções'!$D$42&amp;")X"</f>
        <v>(SELECT instrmnt_id, lvrg_fnnc_flg FROM BU_LOANTAPE_WORK.LT002_INSTRUMENT WHERE ref_date='${ref_date}' AND nome_perimetro='Individual Local' AND segmento='ESTR' AND ambito='SRB_MBDT' AND entidade='00100')X</v>
      </c>
      <c r="J255" s="34" t="str">
        <f>"(SELECT "&amp;VLOOKUP(B255,'0. Instruções'!$C$27:$G$32,4,FALSE)&amp;" AS "&amp;VLOOKUP(B255,'0. Instruções'!$C$27:$G$32,4,FALSE)&amp;"_SIMUL, "&amp;F255&amp;" AS "&amp;F255&amp;"_SIMUL FROM "&amp;E255&amp;" WHERE "&amp;'0. Instruções'!$D$43&amp;")Y"</f>
        <v>(SELECT instrmnt_id AS instrmnt_id_SIMUL, lvrg_fnnc_flg AS lvrg_fnnc_flg_SIMUL FROM BU_LOANTAPE_WORK.SIMUL_LT002_INSTRUMENT WHERE ref_date='${ref_date}' AND nome_perimetro='Individual Local' AND segmento='ESTR' AND ambito='PILAR3' AND entidade='00100')Y</v>
      </c>
      <c r="K255" s="35" t="str">
        <f>+UPPER("ON X."&amp;VLOOKUP(B255,'0. Instruções'!$C$27:$G$32,4,FALSE)&amp;"=Y."&amp;VLOOKUP(B255,'0. Instruções'!$C$27:$G$32,4,FALSE)&amp;"_SIMUL")</f>
        <v>ON X.INSTRMNT_ID=Y.INSTRMNT_ID_SIMUL</v>
      </c>
      <c r="L255" s="35" t="str">
        <f>+IF(C255="Coerência", +IF(LEFT(G255,5)="FLOAT","SELECT '"&amp;UPPER(B255)&amp;"' AS TABELA, '"&amp;UPPER(C255)&amp;"' AS TIPOLOGIA_TESTE,'"&amp;D255&amp;"' AS TABELA_LT,'"&amp;E255&amp;"' AS TABELA_SIMUL,'"&amp;F255&amp;"' AS CAMPO, "&amp;"'${ref_date}' AS REF_DATE, COUNT(*) AS NUM_REG, SUM(IF((ABS(COALESCE(CAST(X."&amp;F255&amp;" AS DECIMAL(18,6)),0)-COALESCE(CAST(Y."&amp;F255&amp;"_SIMUL AS DECIMAL(18,6)),0))&gt;0.000001) OR (X."&amp;F255&amp;" IS NULL AND Y."&amp;F255&amp;"_SIMUL IS NOT NULL ) OR (X."&amp;F255&amp;" IS NOT NULL AND Y."&amp;F255&amp;"_SIMUL IS NULL),1,0)) AS NUM_REG_DIF,'"&amp;MAX('ID1&amp;5'!K:K)+1&amp;"' AS ID_EXEC, CURRENT_TIMESTAMP() AS TIME_EXEC FROM "&amp;I255&amp;" INNER JOIN "&amp;J255&amp;" "&amp;K255,"SELECT '"&amp;UPPER(B255)&amp;"' AS TABELA, '"&amp;UPPER(C255)&amp;"' AS TIPOLOGIA_TESTE,'"&amp;D255&amp;"' AS TABELA_LT,'"&amp;E255&amp;"' AS TABELA_SIMUL,'"&amp;F255&amp;"' AS CAMPO, "&amp;"'${ref_date}' AS REF_DATE, COUNT(*) AS NUM_REG, SUM(IF(COALESCE(CAST(X."&amp;F255&amp;" AS STRING),'')&lt;&gt;COALESCE(CAST(Y."&amp;F255&amp;"_SIMUL AS STRING),'') OR (X."&amp;F255&amp;" IS NULL AND Y."&amp;F255&amp;"_SIMUL IS NOT NULL ) OR (X."&amp;F255&amp;" IS NOT NULL AND Y."&amp;F255&amp;"_SIMUL IS NULL),1,0)) AS NUM_REG_DIF,'"&amp;MAX('ID1&amp;5'!L:L)+1&amp;"' AS ID_EXEC, CURRENT_TIMESTAMP() AS TIME_EXEC FROM "&amp;I255&amp;" INNER JOIN "&amp;J255&amp;" "&amp;K255),
IF(C255="Validade",+IF(G255="Code List","SELECT '"&amp;UPPER(B255)&amp;"' AS TABELA, '"&amp;UPPER(C255)&amp;"' AS TIPOLOGIA_TESTE,'"&amp;D255&amp;"' AS TABELA_LT,'N/A' AS TABELA_SIMUL,'"&amp;F255&amp;"' AS CAMPO, "&amp;"'${ref_date}' AS REF_DATE, COUNT(*) AS NUM_REG, SUM(IF(TRIM(CAST(X."&amp;F255&amp;" AS STRING))='' OR TRIM(CAST(X."&amp;F255&amp;" AS STRING)) IS NULL OR CAST(X."&amp;F255&amp;" AS STRING) NOT "&amp;H255&amp;",1,0)) AS NUM_REG_DIF,'"&amp;MAX('ID1&amp;5'!K:K)+1&amp;"' AS ID_EXEC, CURRENT_TIMESTAMP() AS TIME_EXEC FROM "&amp;I255,"SELECT '"&amp;UPPER(B255)&amp;"' AS TABELA, '"&amp;UPPER(C255)&amp;"' AS TIPOLOGIA_TESTE,'"&amp;D255&amp;"' AS TABELA_LT,'N/A' AS TABELA_SIMUL,'"&amp;F255&amp;"' AS CAMPO, "&amp;"'${ref_date}' AS REF_DATE, COUNT(*) AS NUM_REG, SUM(IF(TRIM(CAST(X."&amp;F255&amp;" AS STRING))='' OR TRIM(CAST(X."&amp;F255&amp;" AS STRING)) IS NULL,1,0)) AS NUM_REG_DIF,'"&amp;MAX('ID1&amp;5'!K:K)+1&amp;"' AS ID_EXEC, CURRENT_TIMESTAMP() AS TIME_EXEC FROM "&amp;I255),
IF(C255="Caracteres Especiais",+"SELECT '"&amp;UPPER(B255)&amp;"' AS TABELA, '"&amp;UPPER(C255)&amp;"' AS TIPOLOGIA_TESTE,'"&amp;D255&amp;"' AS TABELA_LT,'N/A' AS TABELA_SIMUL,'"&amp;F255&amp;"' AS CAMPO, "&amp;"'${ref_date}' AS REF_DATE, COUNT(*) AS NUM_REG, SUM(IF(REGEXP_REPLACE(TRIM(CAST(X."&amp;F255&amp;" AS STRING)),'[^a-zA-Z0-9_\\s]','') &lt;&gt;TRIM(CAST(X."&amp;F255&amp;" AS STRING)),1,0)) AS NUM_REG_DIF,'"&amp;MAX('ID1&amp;5'!K:K)+1&amp;"' AS ID_EXEC, CURRENT_TIMESTAMP() AS TIME_EXEC FROM "&amp;I255,
IF(C255="Missings",+"SELECT '"&amp;UPPER(B255)&amp;"' AS TABELA, '"&amp;UPPER(C255)&amp;"' AS TIPOLOGIA_TESTE,'"&amp;D255&amp;"' AS TABELA_LT,'N/A' AS TABELA_SIMUL,'"&amp;F255&amp;"' AS CAMPO, "&amp;"'${ref_date}' AS REF_DATE, COUNT(*) AS NUM_REG, SUM(IF(TRIM(CAST(X."&amp;F255&amp;" AS STRING)) IN ('0000-00-00','0001-01-01','9999-12-31','MISS','00000','99999999999','99999999999.00','99999999999.000000'),1,0)) AS NUM_REG_DIF,'"&amp;MAX('ID1&amp;5'!K:K)+1&amp;"' AS ID_EXEC, CURRENT_TIMESTAMP() AS TIME_EXEC FROM "&amp;I255,
IF(C255="Not applicable",+"SELECT '"&amp;UPPER(B255)&amp;"' AS TABELA, '"&amp;UPPER(C255)&amp;"' AS TIPOLOGIA_TESTE,'"&amp;D255&amp;"' AS TABELA_LT,'N/A' AS TABELA_SIMUL,'"&amp;F255&amp;"' AS CAMPO, "&amp;"'${ref_date}' AS REF_DATE, COUNT(*) AS NUM_REG, SUM(IF(TRIM(CAST(X."&amp;F255&amp;" AS STRING)) IN ('N/A','11111111111','11111111111.00','11111111111.000000','1111-11-11'),1,0)) AS NUM_REG_DIF,'"&amp;MAX('ID1&amp;5'!K:K)+1&amp;"' AS ID_EXEC, CURRENT_TIMESTAMP() AS TIME_EXEC FROM "&amp;I255,
IF(C255="Valores extremos",+"SELECT '"&amp;UPPER(B255)&amp;"' AS TABELA, '"&amp;UPPER(C255)&amp;"' AS TIPOLOGIA_TESTE,'"&amp;D255&amp;"' AS TABELA_LT,'N/A' AS TABELA_SIMUL,'"&amp;F255&amp;"' AS CAMPO, "&amp;"'${ref_date}' AS REF_DATE, CAST(MIN("&amp;F255&amp;") AS STRING) AS VALOR_MIN, CAST(MAX("&amp;F255&amp;") AS STRING) AS VALOR_MAX,'"&amp;MAX('ID1&amp;5'!K:K)+1&amp;"' AS ID_EXEC, CURRENT_TIMESTAMP() AS TIME_EXEC FROM "&amp;MID(I255,1,LEN(I255)-2)&amp;" AND CAST("&amp;F255&amp;"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TABELA_SIMUL,'lvrg_fnnc_flg' AS CAMPO, '${ref_date}' AS REF_DATE, COUNT(*) AS NUM_REG, SUM(IF(COALESCE(CAST(X.lvrg_fnnc_flg AS STRING),'')&lt;&gt;COALESCE(CAST(Y.lvrg_fnnc_flg_SIMUL AS STRING),'') OR (X.lvrg_fnnc_flg IS NULL AND Y.lvrg_fnnc_flg_SIMUL IS NOT NULL ) OR (X.lvrg_fnnc_flg IS NOT NULL AND Y.lvrg_fnnc_flg_SIMUL IS NULL),1,0)) AS NUM_REG_DIF,'1' AS ID_EXEC, CURRENT_TIMESTAMP() AS TIME_EXEC FROM (SELECT instrmnt_id, lvrg_fnnc_flg FROM BU_LOANTAPE_WORK.LT002_INSTRUMENT WHERE ref_date='${ref_date}' AND nome_perimetro='Individual Local' AND segmento='ESTR' AND ambito='SRB_MBDT' AND entidade='00100')X INNER JOIN (SELECT instrmnt_id AS instrmnt_id_SIMUL, lvrg_fnnc_flg AS lvrg_fnnc_flg_SIMUL FROM BU_LOANTAPE_WORK.SIMUL_LT002_INSTRUMENT WHERE ref_date='${ref_date}' AND nome_perimetro='Individual Local' AND segmento='ESTR' AND ambito='PILAR3' AND entidade='00100')Y ON X.INSTRMNT_ID=Y.INSTRMNT_ID_SIMUL</v>
      </c>
      <c r="M255" s="36" t="str">
        <f t="shared" ref="M255:M318" si="7">+"UNION ALL "&amp;L255</f>
        <v>UNION ALL SELECT 'INSTRUMENT' AS TABELA, 'COERÊNCIA' AS TIPOLOGIA_TESTE,'BU_LOANTAPE_WORK.LT002_INSTRUMENT' AS TABELA_LT,'BU_LOANTAPE_WORK.SIMUL_LT002_INSTRUMENT' AS TABELA_SIMUL,'lvrg_fnnc_flg' AS CAMPO, '${ref_date}' AS REF_DATE, COUNT(*) AS NUM_REG, SUM(IF(COALESCE(CAST(X.lvrg_fnnc_flg AS STRING),'')&lt;&gt;COALESCE(CAST(Y.lvrg_fnnc_flg_SIMUL AS STRING),'') OR (X.lvrg_fnnc_flg IS NULL AND Y.lvrg_fnnc_flg_SIMUL IS NOT NULL ) OR (X.lvrg_fnnc_flg IS NOT NULL AND Y.lvrg_fnnc_flg_SIMUL IS NULL),1,0)) AS NUM_REG_DIF,'1' AS ID_EXEC, CURRENT_TIMESTAMP() AS TIME_EXEC FROM (SELECT instrmnt_id, lvrg_fnnc_flg FROM BU_LOANTAPE_WORK.LT002_INSTRUMENT WHERE ref_date='${ref_date}' AND nome_perimetro='Individual Local' AND segmento='ESTR' AND ambito='SRB_MBDT' AND entidade='00100')X INNER JOIN (SELECT instrmnt_id AS instrmnt_id_SIMUL, lvrg_fnnc_flg AS lvrg_fnnc_flg_SIMUL FROM BU_LOANTAPE_WORK.SIMUL_LT002_INSTRUMENT WHERE ref_date='${ref_date}' AND nome_perimetro='Individual Local' AND segmento='ESTR' AND ambito='PILAR3' AND entidade='00100')Y ON X.INSTRMNT_ID=Y.INSTRMNT_ID_SIMUL</v>
      </c>
      <c r="N255" s="38"/>
    </row>
    <row r="256" spans="2:14">
      <c r="B256" s="34" t="s">
        <v>117</v>
      </c>
      <c r="C256" s="34" t="s">
        <v>5</v>
      </c>
      <c r="D256" s="34" t="str">
        <f>+UPPER('0. Instruções'!$D$35&amp;"."&amp;VLOOKUP(B256,'0. Instruções'!$C$27:$D$32,2,FALSE))</f>
        <v>BU_LOANTAPE_WORK.LT002_INSTRUMENT</v>
      </c>
      <c r="E256" s="34" t="str">
        <f>+UPPER('0. Instruções'!$D$36&amp;"."&amp;VLOOKUP(B256,'0. Instruções'!$C$27:$E$32,3,FALSE))</f>
        <v>BU_LOANTAPE_WORK.SIMUL_LT002_INSTRUMENT</v>
      </c>
      <c r="F256" s="34" t="s">
        <v>1312</v>
      </c>
      <c r="G256" s="34"/>
      <c r="H256" s="34"/>
      <c r="I256" s="34" t="str">
        <f>"(SELECT "&amp;VLOOKUP(B256,'0. Instruções'!$C$27:$G$32,4,FALSE)&amp;", "&amp;F256&amp;" FROM "&amp;D256&amp;" WHERE "&amp;'0. Instruções'!$D$42&amp;")X"</f>
        <v>(SELECT instrmnt_id, intrnl_sgmnt_ifrs9 FROM BU_LOANTAPE_WORK.LT002_INSTRUMENT WHERE ref_date='${ref_date}' AND nome_perimetro='Individual Local' AND segmento='ESTR' AND ambito='SRB_MBDT' AND entidade='00100')X</v>
      </c>
      <c r="J256" s="34" t="str">
        <f>"(SELECT "&amp;VLOOKUP(B256,'0. Instruções'!$C$27:$G$32,4,FALSE)&amp;" AS "&amp;VLOOKUP(B256,'0. Instruções'!$C$27:$G$32,4,FALSE)&amp;"_SIMUL, "&amp;F256&amp;" AS "&amp;F256&amp;"_SIMUL FROM "&amp;E256&amp;" WHERE "&amp;'0. Instruções'!$D$43&amp;")Y"</f>
        <v>(SELECT instrmnt_id AS instrmnt_id_SIMUL, intrnl_sgmnt_ifrs9 AS intrnl_sgmnt_ifrs9_SIMUL FROM BU_LOANTAPE_WORK.SIMUL_LT002_INSTRUMENT WHERE ref_date='${ref_date}' AND nome_perimetro='Individual Local' AND segmento='ESTR' AND ambito='PILAR3' AND entidade='00100')Y</v>
      </c>
      <c r="K256" s="35" t="str">
        <f>+UPPER("ON X."&amp;VLOOKUP(B256,'0. Instruções'!$C$27:$G$32,4,FALSE)&amp;"=Y."&amp;VLOOKUP(B256,'0. Instruções'!$C$27:$G$32,4,FALSE)&amp;"_SIMUL")</f>
        <v>ON X.INSTRMNT_ID=Y.INSTRMNT_ID_SIMUL</v>
      </c>
      <c r="L256" s="35" t="str">
        <f>+IF(C256="Coerência", +IF(LEFT(G256,5)="FLOAT","SELECT '"&amp;UPPER(B256)&amp;"' AS TABELA, '"&amp;UPPER(C256)&amp;"' AS TIPOLOGIA_TESTE,'"&amp;D256&amp;"' AS TABELA_LT,'"&amp;E256&amp;"' AS TABELA_SIMUL,'"&amp;F256&amp;"' AS CAMPO, "&amp;"'${ref_date}' AS REF_DATE, COUNT(*) AS NUM_REG, SUM(IF((ABS(COALESCE(CAST(X."&amp;F256&amp;" AS DECIMAL(18,6)),0)-COALESCE(CAST(Y."&amp;F256&amp;"_SIMUL AS DECIMAL(18,6)),0))&gt;0.000001) OR (X."&amp;F256&amp;" IS NULL AND Y."&amp;F256&amp;"_SIMUL IS NOT NULL ) OR (X."&amp;F256&amp;" IS NOT NULL AND Y."&amp;F256&amp;"_SIMUL IS NULL),1,0)) AS NUM_REG_DIF,'"&amp;MAX('ID1&amp;5'!K:K)+1&amp;"' AS ID_EXEC, CURRENT_TIMESTAMP() AS TIME_EXEC FROM "&amp;I256&amp;" INNER JOIN "&amp;J256&amp;" "&amp;K256,"SELECT '"&amp;UPPER(B256)&amp;"' AS TABELA, '"&amp;UPPER(C256)&amp;"' AS TIPOLOGIA_TESTE,'"&amp;D256&amp;"' AS TABELA_LT,'"&amp;E256&amp;"' AS TABELA_SIMUL,'"&amp;F256&amp;"' AS CAMPO, "&amp;"'${ref_date}' AS REF_DATE, COUNT(*) AS NUM_REG, SUM(IF(COALESCE(CAST(X."&amp;F256&amp;" AS STRING),'')&lt;&gt;COALESCE(CAST(Y."&amp;F256&amp;"_SIMUL AS STRING),'') OR (X."&amp;F256&amp;" IS NULL AND Y."&amp;F256&amp;"_SIMUL IS NOT NULL ) OR (X."&amp;F256&amp;" IS NOT NULL AND Y."&amp;F256&amp;"_SIMUL IS NULL),1,0)) AS NUM_REG_DIF,'"&amp;MAX('ID1&amp;5'!L:L)+1&amp;"' AS ID_EXEC, CURRENT_TIMESTAMP() AS TIME_EXEC FROM "&amp;I256&amp;" INNER JOIN "&amp;J256&amp;" "&amp;K256),
IF(C256="Validade",+IF(G256="Code List","SELECT '"&amp;UPPER(B256)&amp;"' AS TABELA, '"&amp;UPPER(C256)&amp;"' AS TIPOLOGIA_TESTE,'"&amp;D256&amp;"' AS TABELA_LT,'N/A' AS TABELA_SIMUL,'"&amp;F256&amp;"' AS CAMPO, "&amp;"'${ref_date}' AS REF_DATE, COUNT(*) AS NUM_REG, SUM(IF(TRIM(CAST(X."&amp;F256&amp;" AS STRING))='' OR TRIM(CAST(X."&amp;F256&amp;" AS STRING)) IS NULL OR CAST(X."&amp;F256&amp;" AS STRING) NOT "&amp;H256&amp;",1,0)) AS NUM_REG_DIF,'"&amp;MAX('ID1&amp;5'!K:K)+1&amp;"' AS ID_EXEC, CURRENT_TIMESTAMP() AS TIME_EXEC FROM "&amp;I256,"SELECT '"&amp;UPPER(B256)&amp;"' AS TABELA, '"&amp;UPPER(C256)&amp;"' AS TIPOLOGIA_TESTE,'"&amp;D256&amp;"' AS TABELA_LT,'N/A' AS TABELA_SIMUL,'"&amp;F256&amp;"' AS CAMPO, "&amp;"'${ref_date}' AS REF_DATE, COUNT(*) AS NUM_REG, SUM(IF(TRIM(CAST(X."&amp;F256&amp;" AS STRING))='' OR TRIM(CAST(X."&amp;F256&amp;" AS STRING)) IS NULL,1,0)) AS NUM_REG_DIF,'"&amp;MAX('ID1&amp;5'!K:K)+1&amp;"' AS ID_EXEC, CURRENT_TIMESTAMP() AS TIME_EXEC FROM "&amp;I256),
IF(C256="Caracteres Especiais",+"SELECT '"&amp;UPPER(B256)&amp;"' AS TABELA, '"&amp;UPPER(C256)&amp;"' AS TIPOLOGIA_TESTE,'"&amp;D256&amp;"' AS TABELA_LT,'N/A' AS TABELA_SIMUL,'"&amp;F256&amp;"' AS CAMPO, "&amp;"'${ref_date}' AS REF_DATE, COUNT(*) AS NUM_REG, SUM(IF(REGEXP_REPLACE(TRIM(CAST(X."&amp;F256&amp;" AS STRING)),'[^a-zA-Z0-9_\\s]','') &lt;&gt;TRIM(CAST(X."&amp;F256&amp;" AS STRING)),1,0)) AS NUM_REG_DIF,'"&amp;MAX('ID1&amp;5'!K:K)+1&amp;"' AS ID_EXEC, CURRENT_TIMESTAMP() AS TIME_EXEC FROM "&amp;I256,
IF(C256="Missings",+"SELECT '"&amp;UPPER(B256)&amp;"' AS TABELA, '"&amp;UPPER(C256)&amp;"' AS TIPOLOGIA_TESTE,'"&amp;D256&amp;"' AS TABELA_LT,'N/A' AS TABELA_SIMUL,'"&amp;F256&amp;"' AS CAMPO, "&amp;"'${ref_date}' AS REF_DATE, COUNT(*) AS NUM_REG, SUM(IF(TRIM(CAST(X."&amp;F256&amp;" AS STRING)) IN ('0000-00-00','0001-01-01','9999-12-31','MISS','00000','99999999999','99999999999.00','99999999999.000000'),1,0)) AS NUM_REG_DIF,'"&amp;MAX('ID1&amp;5'!K:K)+1&amp;"' AS ID_EXEC, CURRENT_TIMESTAMP() AS TIME_EXEC FROM "&amp;I256,
IF(C256="Not applicable",+"SELECT '"&amp;UPPER(B256)&amp;"' AS TABELA, '"&amp;UPPER(C256)&amp;"' AS TIPOLOGIA_TESTE,'"&amp;D256&amp;"' AS TABELA_LT,'N/A' AS TABELA_SIMUL,'"&amp;F256&amp;"' AS CAMPO, "&amp;"'${ref_date}' AS REF_DATE, COUNT(*) AS NUM_REG, SUM(IF(TRIM(CAST(X."&amp;F256&amp;" AS STRING)) IN ('N/A','11111111111','11111111111.00','11111111111.000000','1111-11-11'),1,0)) AS NUM_REG_DIF,'"&amp;MAX('ID1&amp;5'!K:K)+1&amp;"' AS ID_EXEC, CURRENT_TIMESTAMP() AS TIME_EXEC FROM "&amp;I256,
IF(C256="Valores extremos",+"SELECT '"&amp;UPPER(B256)&amp;"' AS TABELA, '"&amp;UPPER(C256)&amp;"' AS TIPOLOGIA_TESTE,'"&amp;D256&amp;"' AS TABELA_LT,'N/A' AS TABELA_SIMUL,'"&amp;F256&amp;"' AS CAMPO, "&amp;"'${ref_date}' AS REF_DATE, CAST(MIN("&amp;F256&amp;") AS STRING) AS VALOR_MIN, CAST(MAX("&amp;F256&amp;") AS STRING) AS VALOR_MAX,'"&amp;MAX('ID1&amp;5'!K:K)+1&amp;"' AS ID_EXEC, CURRENT_TIMESTAMP() AS TIME_EXEC FROM "&amp;MID(I256,1,LEN(I256)-2)&amp;" AND CAST("&amp;F256&amp;"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TABELA_SIMUL,'intrnl_sgmnt_ifrs9' AS CAMPO, '${ref_date}' AS REF_DATE, COUNT(*) AS NUM_REG, SUM(IF(COALESCE(CAST(X.intrnl_sgmnt_ifrs9 AS STRING),'')&lt;&gt;COALESCE(CAST(Y.intrnl_sgmnt_ifrs9_SIMUL AS STRING),'') OR (X.intrnl_sgmnt_ifrs9 IS NULL AND Y.intrnl_sgmnt_ifrs9_SIMUL IS NOT NULL ) OR (X.intrnl_sgmnt_ifrs9 IS NOT NULL AND Y.intrnl_sgmnt_ifrs9_SIMUL IS NULL),1,0)) AS NUM_REG_DIF,'1' AS ID_EXEC, CURRENT_TIMESTAMP() AS TIME_EXEC FROM (SELECT instrmnt_id, intrnl_sgmnt_ifrs9 FROM BU_LOANTAPE_WORK.LT002_INSTRUMENT WHERE ref_date='${ref_date}' AND nome_perimetro='Individual Local' AND segmento='ESTR' AND ambito='SRB_MBDT' AND entidade='00100')X INNER JOIN (SELECT instrmnt_id AS instrmnt_id_SIMUL, intrnl_sgmnt_ifrs9 AS intrnl_sgmnt_ifrs9_SIMUL FROM BU_LOANTAPE_WORK.SIMUL_LT002_INSTRUMENT WHERE ref_date='${ref_date}' AND nome_perimetro='Individual Local' AND segmento='ESTR' AND ambito='PILAR3' AND entidade='00100')Y ON X.INSTRMNT_ID=Y.INSTRMNT_ID_SIMUL</v>
      </c>
      <c r="M256" s="36" t="str">
        <f t="shared" si="7"/>
        <v>UNION ALL SELECT 'INSTRUMENT' AS TABELA, 'COERÊNCIA' AS TIPOLOGIA_TESTE,'BU_LOANTAPE_WORK.LT002_INSTRUMENT' AS TABELA_LT,'BU_LOANTAPE_WORK.SIMUL_LT002_INSTRUMENT' AS TABELA_SIMUL,'intrnl_sgmnt_ifrs9' AS CAMPO, '${ref_date}' AS REF_DATE, COUNT(*) AS NUM_REG, SUM(IF(COALESCE(CAST(X.intrnl_sgmnt_ifrs9 AS STRING),'')&lt;&gt;COALESCE(CAST(Y.intrnl_sgmnt_ifrs9_SIMUL AS STRING),'') OR (X.intrnl_sgmnt_ifrs9 IS NULL AND Y.intrnl_sgmnt_ifrs9_SIMUL IS NOT NULL ) OR (X.intrnl_sgmnt_ifrs9 IS NOT NULL AND Y.intrnl_sgmnt_ifrs9_SIMUL IS NULL),1,0)) AS NUM_REG_DIF,'1' AS ID_EXEC, CURRENT_TIMESTAMP() AS TIME_EXEC FROM (SELECT instrmnt_id, intrnl_sgmnt_ifrs9 FROM BU_LOANTAPE_WORK.LT002_INSTRUMENT WHERE ref_date='${ref_date}' AND nome_perimetro='Individual Local' AND segmento='ESTR' AND ambito='SRB_MBDT' AND entidade='00100')X INNER JOIN (SELECT instrmnt_id AS instrmnt_id_SIMUL, intrnl_sgmnt_ifrs9 AS intrnl_sgmnt_ifrs9_SIMUL FROM BU_LOANTAPE_WORK.SIMUL_LT002_INSTRUMENT WHERE ref_date='${ref_date}' AND nome_perimetro='Individual Local' AND segmento='ESTR' AND ambito='PILAR3' AND entidade='00100')Y ON X.INSTRMNT_ID=Y.INSTRMNT_ID_SIMUL</v>
      </c>
      <c r="N256" s="38"/>
    </row>
    <row r="257" spans="2:14">
      <c r="B257" s="34" t="s">
        <v>117</v>
      </c>
      <c r="C257" s="34" t="s">
        <v>5</v>
      </c>
      <c r="D257" s="34" t="str">
        <f>+UPPER('0. Instruções'!$D$35&amp;"."&amp;VLOOKUP(B257,'0. Instruções'!$C$27:$D$32,2,FALSE))</f>
        <v>BU_LOANTAPE_WORK.LT002_INSTRUMENT</v>
      </c>
      <c r="E257" s="34" t="str">
        <f>+UPPER('0. Instruções'!$D$36&amp;"."&amp;VLOOKUP(B257,'0. Instruções'!$C$27:$E$32,3,FALSE))</f>
        <v>BU_LOANTAPE_WORK.SIMUL_LT002_INSTRUMENT</v>
      </c>
      <c r="F257" s="34" t="s">
        <v>1313</v>
      </c>
      <c r="G257" s="34"/>
      <c r="H257" s="34"/>
      <c r="I257" s="34" t="str">
        <f>"(SELECT "&amp;VLOOKUP(B257,'0. Instruções'!$C$27:$G$32,4,FALSE)&amp;", "&amp;F257&amp;" FROM "&amp;D257&amp;" WHERE "&amp;'0. Instruções'!$D$42&amp;")X"</f>
        <v>(SELECT instrmnt_id, intrnl_sgmnt_cat_msta FROM BU_LOANTAPE_WORK.LT002_INSTRUMENT WHERE ref_date='${ref_date}' AND nome_perimetro='Individual Local' AND segmento='ESTR' AND ambito='SRB_MBDT' AND entidade='00100')X</v>
      </c>
      <c r="J257" s="34" t="str">
        <f>"(SELECT "&amp;VLOOKUP(B257,'0. Instruções'!$C$27:$G$32,4,FALSE)&amp;" AS "&amp;VLOOKUP(B257,'0. Instruções'!$C$27:$G$32,4,FALSE)&amp;"_SIMUL, "&amp;F257&amp;" AS "&amp;F257&amp;"_SIMUL FROM "&amp;E257&amp;" WHERE "&amp;'0. Instruções'!$D$43&amp;")Y"</f>
        <v>(SELECT instrmnt_id AS instrmnt_id_SIMUL, intrnl_sgmnt_cat_msta AS intrnl_sgmnt_cat_msta_SIMUL FROM BU_LOANTAPE_WORK.SIMUL_LT002_INSTRUMENT WHERE ref_date='${ref_date}' AND nome_perimetro='Individual Local' AND segmento='ESTR' AND ambito='PILAR3' AND entidade='00100')Y</v>
      </c>
      <c r="K257" s="35" t="str">
        <f>+UPPER("ON X."&amp;VLOOKUP(B257,'0. Instruções'!$C$27:$G$32,4,FALSE)&amp;"=Y."&amp;VLOOKUP(B257,'0. Instruções'!$C$27:$G$32,4,FALSE)&amp;"_SIMUL")</f>
        <v>ON X.INSTRMNT_ID=Y.INSTRMNT_ID_SIMUL</v>
      </c>
      <c r="L257" s="35" t="str">
        <f>+IF(C257="Coerência", +IF(LEFT(G257,5)="FLOAT","SELECT '"&amp;UPPER(B257)&amp;"' AS TABELA, '"&amp;UPPER(C257)&amp;"' AS TIPOLOGIA_TESTE,'"&amp;D257&amp;"' AS TABELA_LT,'"&amp;E257&amp;"' AS TABELA_SIMUL,'"&amp;F257&amp;"' AS CAMPO, "&amp;"'${ref_date}' AS REF_DATE, COUNT(*) AS NUM_REG, SUM(IF((ABS(COALESCE(CAST(X."&amp;F257&amp;" AS DECIMAL(18,6)),0)-COALESCE(CAST(Y."&amp;F257&amp;"_SIMUL AS DECIMAL(18,6)),0))&gt;0.000001) OR (X."&amp;F257&amp;" IS NULL AND Y."&amp;F257&amp;"_SIMUL IS NOT NULL ) OR (X."&amp;F257&amp;" IS NOT NULL AND Y."&amp;F257&amp;"_SIMUL IS NULL),1,0)) AS NUM_REG_DIF,'"&amp;MAX('ID1&amp;5'!K:K)+1&amp;"' AS ID_EXEC, CURRENT_TIMESTAMP() AS TIME_EXEC FROM "&amp;I257&amp;" INNER JOIN "&amp;J257&amp;" "&amp;K257,"SELECT '"&amp;UPPER(B257)&amp;"' AS TABELA, '"&amp;UPPER(C257)&amp;"' AS TIPOLOGIA_TESTE,'"&amp;D257&amp;"' AS TABELA_LT,'"&amp;E257&amp;"' AS TABELA_SIMUL,'"&amp;F257&amp;"' AS CAMPO, "&amp;"'${ref_date}' AS REF_DATE, COUNT(*) AS NUM_REG, SUM(IF(COALESCE(CAST(X."&amp;F257&amp;" AS STRING),'')&lt;&gt;COALESCE(CAST(Y."&amp;F257&amp;"_SIMUL AS STRING),'') OR (X."&amp;F257&amp;" IS NULL AND Y."&amp;F257&amp;"_SIMUL IS NOT NULL ) OR (X."&amp;F257&amp;" IS NOT NULL AND Y."&amp;F257&amp;"_SIMUL IS NULL),1,0)) AS NUM_REG_DIF,'"&amp;MAX('ID1&amp;5'!L:L)+1&amp;"' AS ID_EXEC, CURRENT_TIMESTAMP() AS TIME_EXEC FROM "&amp;I257&amp;" INNER JOIN "&amp;J257&amp;" "&amp;K257),
IF(C257="Validade",+IF(G257="Code List","SELECT '"&amp;UPPER(B257)&amp;"' AS TABELA, '"&amp;UPPER(C257)&amp;"' AS TIPOLOGIA_TESTE,'"&amp;D257&amp;"' AS TABELA_LT,'N/A' AS TABELA_SIMUL,'"&amp;F257&amp;"' AS CAMPO, "&amp;"'${ref_date}' AS REF_DATE, COUNT(*) AS NUM_REG, SUM(IF(TRIM(CAST(X."&amp;F257&amp;" AS STRING))='' OR TRIM(CAST(X."&amp;F257&amp;" AS STRING)) IS NULL OR CAST(X."&amp;F257&amp;" AS STRING) NOT "&amp;H257&amp;",1,0)) AS NUM_REG_DIF,'"&amp;MAX('ID1&amp;5'!K:K)+1&amp;"' AS ID_EXEC, CURRENT_TIMESTAMP() AS TIME_EXEC FROM "&amp;I257,"SELECT '"&amp;UPPER(B257)&amp;"' AS TABELA, '"&amp;UPPER(C257)&amp;"' AS TIPOLOGIA_TESTE,'"&amp;D257&amp;"' AS TABELA_LT,'N/A' AS TABELA_SIMUL,'"&amp;F257&amp;"' AS CAMPO, "&amp;"'${ref_date}' AS REF_DATE, COUNT(*) AS NUM_REG, SUM(IF(TRIM(CAST(X."&amp;F257&amp;" AS STRING))='' OR TRIM(CAST(X."&amp;F257&amp;" AS STRING)) IS NULL,1,0)) AS NUM_REG_DIF,'"&amp;MAX('ID1&amp;5'!K:K)+1&amp;"' AS ID_EXEC, CURRENT_TIMESTAMP() AS TIME_EXEC FROM "&amp;I257),
IF(C257="Caracteres Especiais",+"SELECT '"&amp;UPPER(B257)&amp;"' AS TABELA, '"&amp;UPPER(C257)&amp;"' AS TIPOLOGIA_TESTE,'"&amp;D257&amp;"' AS TABELA_LT,'N/A' AS TABELA_SIMUL,'"&amp;F257&amp;"' AS CAMPO, "&amp;"'${ref_date}' AS REF_DATE, COUNT(*) AS NUM_REG, SUM(IF(REGEXP_REPLACE(TRIM(CAST(X."&amp;F257&amp;" AS STRING)),'[^a-zA-Z0-9_\\s]','') &lt;&gt;TRIM(CAST(X."&amp;F257&amp;" AS STRING)),1,0)) AS NUM_REG_DIF,'"&amp;MAX('ID1&amp;5'!K:K)+1&amp;"' AS ID_EXEC, CURRENT_TIMESTAMP() AS TIME_EXEC FROM "&amp;I257,
IF(C257="Missings",+"SELECT '"&amp;UPPER(B257)&amp;"' AS TABELA, '"&amp;UPPER(C257)&amp;"' AS TIPOLOGIA_TESTE,'"&amp;D257&amp;"' AS TABELA_LT,'N/A' AS TABELA_SIMUL,'"&amp;F257&amp;"' AS CAMPO, "&amp;"'${ref_date}' AS REF_DATE, COUNT(*) AS NUM_REG, SUM(IF(TRIM(CAST(X."&amp;F257&amp;" AS STRING)) IN ('0000-00-00','0001-01-01','9999-12-31','MISS','00000','99999999999','99999999999.00','99999999999.000000'),1,0)) AS NUM_REG_DIF,'"&amp;MAX('ID1&amp;5'!K:K)+1&amp;"' AS ID_EXEC, CURRENT_TIMESTAMP() AS TIME_EXEC FROM "&amp;I257,
IF(C257="Not applicable",+"SELECT '"&amp;UPPER(B257)&amp;"' AS TABELA, '"&amp;UPPER(C257)&amp;"' AS TIPOLOGIA_TESTE,'"&amp;D257&amp;"' AS TABELA_LT,'N/A' AS TABELA_SIMUL,'"&amp;F257&amp;"' AS CAMPO, "&amp;"'${ref_date}' AS REF_DATE, COUNT(*) AS NUM_REG, SUM(IF(TRIM(CAST(X."&amp;F257&amp;" AS STRING)) IN ('N/A','11111111111','11111111111.00','11111111111.000000','1111-11-11'),1,0)) AS NUM_REG_DIF,'"&amp;MAX('ID1&amp;5'!K:K)+1&amp;"' AS ID_EXEC, CURRENT_TIMESTAMP() AS TIME_EXEC FROM "&amp;I257,
IF(C257="Valores extremos",+"SELECT '"&amp;UPPER(B257)&amp;"' AS TABELA, '"&amp;UPPER(C257)&amp;"' AS TIPOLOGIA_TESTE,'"&amp;D257&amp;"' AS TABELA_LT,'N/A' AS TABELA_SIMUL,'"&amp;F257&amp;"' AS CAMPO, "&amp;"'${ref_date}' AS REF_DATE, CAST(MIN("&amp;F257&amp;") AS STRING) AS VALOR_MIN, CAST(MAX("&amp;F257&amp;") AS STRING) AS VALOR_MAX,'"&amp;MAX('ID1&amp;5'!K:K)+1&amp;"' AS ID_EXEC, CURRENT_TIMESTAMP() AS TIME_EXEC FROM "&amp;MID(I257,1,LEN(I257)-2)&amp;" AND CAST("&amp;F257&amp;"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TABELA_SIMUL,'intrnl_sgmnt_cat_msta' AS CAMPO, '${ref_date}' AS REF_DATE, COUNT(*) AS NUM_REG, SUM(IF(COALESCE(CAST(X.intrnl_sgmnt_cat_msta AS STRING),'')&lt;&gt;COALESCE(CAST(Y.intrnl_sgmnt_cat_msta_SIMUL AS STRING),'') OR (X.intrnl_sgmnt_cat_msta IS NULL AND Y.intrnl_sgmnt_cat_msta_SIMUL IS NOT NULL ) OR (X.intrnl_sgmnt_cat_msta IS NOT NULL AND Y.intrnl_sgmnt_cat_msta_SIMUL IS NULL),1,0)) AS NUM_REG_DIF,'1' AS ID_EXEC, CURRENT_TIMESTAMP() AS TIME_EXEC FROM (SELECT instrmnt_id, intrnl_sgmnt_cat_msta FROM BU_LOANTAPE_WORK.LT002_INSTRUMENT WHERE ref_date='${ref_date}' AND nome_perimetro='Individual Local' AND segmento='ESTR' AND ambito='SRB_MBDT' AND entidade='00100')X INNER JOIN (SELECT instrmnt_id AS instrmnt_id_SIMUL, intrnl_sgmnt_cat_msta AS intrnl_sgmnt_cat_msta_SIMUL FROM BU_LOANTAPE_WORK.SIMUL_LT002_INSTRUMENT WHERE ref_date='${ref_date}' AND nome_perimetro='Individual Local' AND segmento='ESTR' AND ambito='PILAR3' AND entidade='00100')Y ON X.INSTRMNT_ID=Y.INSTRMNT_ID_SIMUL</v>
      </c>
      <c r="M257" s="36" t="str">
        <f t="shared" si="7"/>
        <v>UNION ALL SELECT 'INSTRUMENT' AS TABELA, 'COERÊNCIA' AS TIPOLOGIA_TESTE,'BU_LOANTAPE_WORK.LT002_INSTRUMENT' AS TABELA_LT,'BU_LOANTAPE_WORK.SIMUL_LT002_INSTRUMENT' AS TABELA_SIMUL,'intrnl_sgmnt_cat_msta' AS CAMPO, '${ref_date}' AS REF_DATE, COUNT(*) AS NUM_REG, SUM(IF(COALESCE(CAST(X.intrnl_sgmnt_cat_msta AS STRING),'')&lt;&gt;COALESCE(CAST(Y.intrnl_sgmnt_cat_msta_SIMUL AS STRING),'') OR (X.intrnl_sgmnt_cat_msta IS NULL AND Y.intrnl_sgmnt_cat_msta_SIMUL IS NOT NULL ) OR (X.intrnl_sgmnt_cat_msta IS NOT NULL AND Y.intrnl_sgmnt_cat_msta_SIMUL IS NULL),1,0)) AS NUM_REG_DIF,'1' AS ID_EXEC, CURRENT_TIMESTAMP() AS TIME_EXEC FROM (SELECT instrmnt_id, intrnl_sgmnt_cat_msta FROM BU_LOANTAPE_WORK.LT002_INSTRUMENT WHERE ref_date='${ref_date}' AND nome_perimetro='Individual Local' AND segmento='ESTR' AND ambito='SRB_MBDT' AND entidade='00100')X INNER JOIN (SELECT instrmnt_id AS instrmnt_id_SIMUL, intrnl_sgmnt_cat_msta AS intrnl_sgmnt_cat_msta_SIMUL FROM BU_LOANTAPE_WORK.SIMUL_LT002_INSTRUMENT WHERE ref_date='${ref_date}' AND nome_perimetro='Individual Local' AND segmento='ESTR' AND ambito='PILAR3' AND entidade='00100')Y ON X.INSTRMNT_ID=Y.INSTRMNT_ID_SIMUL</v>
      </c>
      <c r="N257" s="38"/>
    </row>
    <row r="258" spans="2:14">
      <c r="B258" s="34" t="s">
        <v>117</v>
      </c>
      <c r="C258" s="34" t="s">
        <v>5</v>
      </c>
      <c r="D258" s="34" t="str">
        <f>+UPPER('0. Instruções'!$D$35&amp;"."&amp;VLOOKUP(B258,'0. Instruções'!$C$27:$D$32,2,FALSE))</f>
        <v>BU_LOANTAPE_WORK.LT002_INSTRUMENT</v>
      </c>
      <c r="E258" s="34" t="str">
        <f>+UPPER('0. Instruções'!$D$36&amp;"."&amp;VLOOKUP(B258,'0. Instruções'!$C$27:$E$32,3,FALSE))</f>
        <v>BU_LOANTAPE_WORK.SIMUL_LT002_INSTRUMENT</v>
      </c>
      <c r="F258" s="34" t="s">
        <v>1314</v>
      </c>
      <c r="G258" s="34"/>
      <c r="H258" s="34"/>
      <c r="I258" s="34" t="str">
        <f>"(SELECT "&amp;VLOOKUP(B258,'0. Instruções'!$C$27:$G$32,4,FALSE)&amp;", "&amp;F258&amp;" FROM "&amp;D258&amp;" WHERE "&amp;'0. Instruções'!$D$42&amp;")X"</f>
        <v>(SELECT instrmnt_id, intrnl_sgmnt_catgsub FROM BU_LOANTAPE_WORK.LT002_INSTRUMENT WHERE ref_date='${ref_date}' AND nome_perimetro='Individual Local' AND segmento='ESTR' AND ambito='SRB_MBDT' AND entidade='00100')X</v>
      </c>
      <c r="J258" s="34" t="str">
        <f>"(SELECT "&amp;VLOOKUP(B258,'0. Instruções'!$C$27:$G$32,4,FALSE)&amp;" AS "&amp;VLOOKUP(B258,'0. Instruções'!$C$27:$G$32,4,FALSE)&amp;"_SIMUL, "&amp;F258&amp;" AS "&amp;F258&amp;"_SIMUL FROM "&amp;E258&amp;" WHERE "&amp;'0. Instruções'!$D$43&amp;")Y"</f>
        <v>(SELECT instrmnt_id AS instrmnt_id_SIMUL, intrnl_sgmnt_catgsub AS intrnl_sgmnt_catgsub_SIMUL FROM BU_LOANTAPE_WORK.SIMUL_LT002_INSTRUMENT WHERE ref_date='${ref_date}' AND nome_perimetro='Individual Local' AND segmento='ESTR' AND ambito='PILAR3' AND entidade='00100')Y</v>
      </c>
      <c r="K258" s="35" t="str">
        <f>+UPPER("ON X."&amp;VLOOKUP(B258,'0. Instruções'!$C$27:$G$32,4,FALSE)&amp;"=Y."&amp;VLOOKUP(B258,'0. Instruções'!$C$27:$G$32,4,FALSE)&amp;"_SIMUL")</f>
        <v>ON X.INSTRMNT_ID=Y.INSTRMNT_ID_SIMUL</v>
      </c>
      <c r="L258" s="35" t="str">
        <f>+IF(C258="Coerência", +IF(LEFT(G258,5)="FLOAT","SELECT '"&amp;UPPER(B258)&amp;"' AS TABELA, '"&amp;UPPER(C258)&amp;"' AS TIPOLOGIA_TESTE,'"&amp;D258&amp;"' AS TABELA_LT,'"&amp;E258&amp;"' AS TABELA_SIMUL,'"&amp;F258&amp;"' AS CAMPO, "&amp;"'${ref_date}' AS REF_DATE, COUNT(*) AS NUM_REG, SUM(IF((ABS(COALESCE(CAST(X."&amp;F258&amp;" AS DECIMAL(18,6)),0)-COALESCE(CAST(Y."&amp;F258&amp;"_SIMUL AS DECIMAL(18,6)),0))&gt;0.000001) OR (X."&amp;F258&amp;" IS NULL AND Y."&amp;F258&amp;"_SIMUL IS NOT NULL ) OR (X."&amp;F258&amp;" IS NOT NULL AND Y."&amp;F258&amp;"_SIMUL IS NULL),1,0)) AS NUM_REG_DIF,'"&amp;MAX('ID1&amp;5'!K:K)+1&amp;"' AS ID_EXEC, CURRENT_TIMESTAMP() AS TIME_EXEC FROM "&amp;I258&amp;" INNER JOIN "&amp;J258&amp;" "&amp;K258,"SELECT '"&amp;UPPER(B258)&amp;"' AS TABELA, '"&amp;UPPER(C258)&amp;"' AS TIPOLOGIA_TESTE,'"&amp;D258&amp;"' AS TABELA_LT,'"&amp;E258&amp;"' AS TABELA_SIMUL,'"&amp;F258&amp;"' AS CAMPO, "&amp;"'${ref_date}' AS REF_DATE, COUNT(*) AS NUM_REG, SUM(IF(COALESCE(CAST(X."&amp;F258&amp;" AS STRING),'')&lt;&gt;COALESCE(CAST(Y."&amp;F258&amp;"_SIMUL AS STRING),'') OR (X."&amp;F258&amp;" IS NULL AND Y."&amp;F258&amp;"_SIMUL IS NOT NULL ) OR (X."&amp;F258&amp;" IS NOT NULL AND Y."&amp;F258&amp;"_SIMUL IS NULL),1,0)) AS NUM_REG_DIF,'"&amp;MAX('ID1&amp;5'!L:L)+1&amp;"' AS ID_EXEC, CURRENT_TIMESTAMP() AS TIME_EXEC FROM "&amp;I258&amp;" INNER JOIN "&amp;J258&amp;" "&amp;K258),
IF(C258="Validade",+IF(G258="Code List","SELECT '"&amp;UPPER(B258)&amp;"' AS TABELA, '"&amp;UPPER(C258)&amp;"' AS TIPOLOGIA_TESTE,'"&amp;D258&amp;"' AS TABELA_LT,'N/A' AS TABELA_SIMUL,'"&amp;F258&amp;"' AS CAMPO, "&amp;"'${ref_date}' AS REF_DATE, COUNT(*) AS NUM_REG, SUM(IF(TRIM(CAST(X."&amp;F258&amp;" AS STRING))='' OR TRIM(CAST(X."&amp;F258&amp;" AS STRING)) IS NULL OR CAST(X."&amp;F258&amp;" AS STRING) NOT "&amp;H258&amp;",1,0)) AS NUM_REG_DIF,'"&amp;MAX('ID1&amp;5'!K:K)+1&amp;"' AS ID_EXEC, CURRENT_TIMESTAMP() AS TIME_EXEC FROM "&amp;I258,"SELECT '"&amp;UPPER(B258)&amp;"' AS TABELA, '"&amp;UPPER(C258)&amp;"' AS TIPOLOGIA_TESTE,'"&amp;D258&amp;"' AS TABELA_LT,'N/A' AS TABELA_SIMUL,'"&amp;F258&amp;"' AS CAMPO, "&amp;"'${ref_date}' AS REF_DATE, COUNT(*) AS NUM_REG, SUM(IF(TRIM(CAST(X."&amp;F258&amp;" AS STRING))='' OR TRIM(CAST(X."&amp;F258&amp;" AS STRING)) IS NULL,1,0)) AS NUM_REG_DIF,'"&amp;MAX('ID1&amp;5'!K:K)+1&amp;"' AS ID_EXEC, CURRENT_TIMESTAMP() AS TIME_EXEC FROM "&amp;I258),
IF(C258="Caracteres Especiais",+"SELECT '"&amp;UPPER(B258)&amp;"' AS TABELA, '"&amp;UPPER(C258)&amp;"' AS TIPOLOGIA_TESTE,'"&amp;D258&amp;"' AS TABELA_LT,'N/A' AS TABELA_SIMUL,'"&amp;F258&amp;"' AS CAMPO, "&amp;"'${ref_date}' AS REF_DATE, COUNT(*) AS NUM_REG, SUM(IF(REGEXP_REPLACE(TRIM(CAST(X."&amp;F258&amp;" AS STRING)),'[^a-zA-Z0-9_\\s]','') &lt;&gt;TRIM(CAST(X."&amp;F258&amp;" AS STRING)),1,0)) AS NUM_REG_DIF,'"&amp;MAX('ID1&amp;5'!K:K)+1&amp;"' AS ID_EXEC, CURRENT_TIMESTAMP() AS TIME_EXEC FROM "&amp;I258,
IF(C258="Missings",+"SELECT '"&amp;UPPER(B258)&amp;"' AS TABELA, '"&amp;UPPER(C258)&amp;"' AS TIPOLOGIA_TESTE,'"&amp;D258&amp;"' AS TABELA_LT,'N/A' AS TABELA_SIMUL,'"&amp;F258&amp;"' AS CAMPO, "&amp;"'${ref_date}' AS REF_DATE, COUNT(*) AS NUM_REG, SUM(IF(TRIM(CAST(X."&amp;F258&amp;" AS STRING)) IN ('0000-00-00','0001-01-01','9999-12-31','MISS','00000','99999999999','99999999999.00','99999999999.000000'),1,0)) AS NUM_REG_DIF,'"&amp;MAX('ID1&amp;5'!K:K)+1&amp;"' AS ID_EXEC, CURRENT_TIMESTAMP() AS TIME_EXEC FROM "&amp;I258,
IF(C258="Not applicable",+"SELECT '"&amp;UPPER(B258)&amp;"' AS TABELA, '"&amp;UPPER(C258)&amp;"' AS TIPOLOGIA_TESTE,'"&amp;D258&amp;"' AS TABELA_LT,'N/A' AS TABELA_SIMUL,'"&amp;F258&amp;"' AS CAMPO, "&amp;"'${ref_date}' AS REF_DATE, COUNT(*) AS NUM_REG, SUM(IF(TRIM(CAST(X."&amp;F258&amp;" AS STRING)) IN ('N/A','11111111111','11111111111.00','11111111111.000000','1111-11-11'),1,0)) AS NUM_REG_DIF,'"&amp;MAX('ID1&amp;5'!K:K)+1&amp;"' AS ID_EXEC, CURRENT_TIMESTAMP() AS TIME_EXEC FROM "&amp;I258,
IF(C258="Valores extremos",+"SELECT '"&amp;UPPER(B258)&amp;"' AS TABELA, '"&amp;UPPER(C258)&amp;"' AS TIPOLOGIA_TESTE,'"&amp;D258&amp;"' AS TABELA_LT,'N/A' AS TABELA_SIMUL,'"&amp;F258&amp;"' AS CAMPO, "&amp;"'${ref_date}' AS REF_DATE, CAST(MIN("&amp;F258&amp;") AS STRING) AS VALOR_MIN, CAST(MAX("&amp;F258&amp;") AS STRING) AS VALOR_MAX,'"&amp;MAX('ID1&amp;5'!K:K)+1&amp;"' AS ID_EXEC, CURRENT_TIMESTAMP() AS TIME_EXEC FROM "&amp;MID(I258,1,LEN(I258)-2)&amp;" AND CAST("&amp;F258&amp;"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TABELA_SIMUL,'intrnl_sgmnt_catgsub' AS CAMPO, '${ref_date}' AS REF_DATE, COUNT(*) AS NUM_REG, SUM(IF(COALESCE(CAST(X.intrnl_sgmnt_catgsub AS STRING),'')&lt;&gt;COALESCE(CAST(Y.intrnl_sgmnt_catgsub_SIMUL AS STRING),'') OR (X.intrnl_sgmnt_catgsub IS NULL AND Y.intrnl_sgmnt_catgsub_SIMUL IS NOT NULL ) OR (X.intrnl_sgmnt_catgsub IS NOT NULL AND Y.intrnl_sgmnt_catgsub_SIMUL IS NULL),1,0)) AS NUM_REG_DIF,'1' AS ID_EXEC, CURRENT_TIMESTAMP() AS TIME_EXEC FROM (SELECT instrmnt_id, intrnl_sgmnt_catgsub FROM BU_LOANTAPE_WORK.LT002_INSTRUMENT WHERE ref_date='${ref_date}' AND nome_perimetro='Individual Local' AND segmento='ESTR' AND ambito='SRB_MBDT' AND entidade='00100')X INNER JOIN (SELECT instrmnt_id AS instrmnt_id_SIMUL, intrnl_sgmnt_catgsub AS intrnl_sgmnt_catgsub_SIMUL FROM BU_LOANTAPE_WORK.SIMUL_LT002_INSTRUMENT WHERE ref_date='${ref_date}' AND nome_perimetro='Individual Local' AND segmento='ESTR' AND ambito='PILAR3' AND entidade='00100')Y ON X.INSTRMNT_ID=Y.INSTRMNT_ID_SIMUL</v>
      </c>
      <c r="M258" s="36" t="str">
        <f t="shared" si="7"/>
        <v>UNION ALL SELECT 'INSTRUMENT' AS TABELA, 'COERÊNCIA' AS TIPOLOGIA_TESTE,'BU_LOANTAPE_WORK.LT002_INSTRUMENT' AS TABELA_LT,'BU_LOANTAPE_WORK.SIMUL_LT002_INSTRUMENT' AS TABELA_SIMUL,'intrnl_sgmnt_catgsub' AS CAMPO, '${ref_date}' AS REF_DATE, COUNT(*) AS NUM_REG, SUM(IF(COALESCE(CAST(X.intrnl_sgmnt_catgsub AS STRING),'')&lt;&gt;COALESCE(CAST(Y.intrnl_sgmnt_catgsub_SIMUL AS STRING),'') OR (X.intrnl_sgmnt_catgsub IS NULL AND Y.intrnl_sgmnt_catgsub_SIMUL IS NOT NULL ) OR (X.intrnl_sgmnt_catgsub IS NOT NULL AND Y.intrnl_sgmnt_catgsub_SIMUL IS NULL),1,0)) AS NUM_REG_DIF,'1' AS ID_EXEC, CURRENT_TIMESTAMP() AS TIME_EXEC FROM (SELECT instrmnt_id, intrnl_sgmnt_catgsub FROM BU_LOANTAPE_WORK.LT002_INSTRUMENT WHERE ref_date='${ref_date}' AND nome_perimetro='Individual Local' AND segmento='ESTR' AND ambito='SRB_MBDT' AND entidade='00100')X INNER JOIN (SELECT instrmnt_id AS instrmnt_id_SIMUL, intrnl_sgmnt_catgsub AS intrnl_sgmnt_catgsub_SIMUL FROM BU_LOANTAPE_WORK.SIMUL_LT002_INSTRUMENT WHERE ref_date='${ref_date}' AND nome_perimetro='Individual Local' AND segmento='ESTR' AND ambito='PILAR3' AND entidade='00100')Y ON X.INSTRMNT_ID=Y.INSTRMNT_ID_SIMUL</v>
      </c>
      <c r="N258" s="38"/>
    </row>
    <row r="259" spans="2:14">
      <c r="B259" s="34" t="s">
        <v>117</v>
      </c>
      <c r="C259" s="34" t="s">
        <v>5</v>
      </c>
      <c r="D259" s="34" t="str">
        <f>+UPPER('0. Instruções'!$D$35&amp;"."&amp;VLOOKUP(B259,'0. Instruções'!$C$27:$D$32,2,FALSE))</f>
        <v>BU_LOANTAPE_WORK.LT002_INSTRUMENT</v>
      </c>
      <c r="E259" s="34" t="str">
        <f>+UPPER('0. Instruções'!$D$36&amp;"."&amp;VLOOKUP(B259,'0. Instruções'!$C$27:$E$32,3,FALSE))</f>
        <v>BU_LOANTAPE_WORK.SIMUL_LT002_INSTRUMENT</v>
      </c>
      <c r="F259" s="34" t="s">
        <v>1315</v>
      </c>
      <c r="G259" s="34"/>
      <c r="H259" s="34"/>
      <c r="I259" s="34" t="str">
        <f>"(SELECT "&amp;VLOOKUP(B259,'0. Instruções'!$C$27:$G$32,4,FALSE)&amp;", "&amp;F259&amp;" FROM "&amp;D259&amp;" WHERE "&amp;'0. Instruções'!$D$42&amp;")X"</f>
        <v>(SELECT instrmnt_id, crrltn_cffcnt FROM BU_LOANTAPE_WORK.LT002_INSTRUMENT WHERE ref_date='${ref_date}' AND nome_perimetro='Individual Local' AND segmento='ESTR' AND ambito='SRB_MBDT' AND entidade='00100')X</v>
      </c>
      <c r="J259" s="34" t="str">
        <f>"(SELECT "&amp;VLOOKUP(B259,'0. Instruções'!$C$27:$G$32,4,FALSE)&amp;" AS "&amp;VLOOKUP(B259,'0. Instruções'!$C$27:$G$32,4,FALSE)&amp;"_SIMUL, "&amp;F259&amp;" AS "&amp;F259&amp;"_SIMUL FROM "&amp;E259&amp;" WHERE "&amp;'0. Instruções'!$D$43&amp;")Y"</f>
        <v>(SELECT instrmnt_id AS instrmnt_id_SIMUL, crrltn_cffcnt AS crrltn_cffcnt_SIMUL FROM BU_LOANTAPE_WORK.SIMUL_LT002_INSTRUMENT WHERE ref_date='${ref_date}' AND nome_perimetro='Individual Local' AND segmento='ESTR' AND ambito='PILAR3' AND entidade='00100')Y</v>
      </c>
      <c r="K259" s="35" t="str">
        <f>+UPPER("ON X."&amp;VLOOKUP(B259,'0. Instruções'!$C$27:$G$32,4,FALSE)&amp;"=Y."&amp;VLOOKUP(B259,'0. Instruções'!$C$27:$G$32,4,FALSE)&amp;"_SIMUL")</f>
        <v>ON X.INSTRMNT_ID=Y.INSTRMNT_ID_SIMUL</v>
      </c>
      <c r="L259" s="35" t="str">
        <f>+IF(C259="Coerência", +IF(LEFT(G259,5)="FLOAT","SELECT '"&amp;UPPER(B259)&amp;"' AS TABELA, '"&amp;UPPER(C259)&amp;"' AS TIPOLOGIA_TESTE,'"&amp;D259&amp;"' AS TABELA_LT,'"&amp;E259&amp;"' AS TABELA_SIMUL,'"&amp;F259&amp;"' AS CAMPO, "&amp;"'${ref_date}' AS REF_DATE, COUNT(*) AS NUM_REG, SUM(IF((ABS(COALESCE(CAST(X."&amp;F259&amp;" AS DECIMAL(18,6)),0)-COALESCE(CAST(Y."&amp;F259&amp;"_SIMUL AS DECIMAL(18,6)),0))&gt;0.000001) OR (X."&amp;F259&amp;" IS NULL AND Y."&amp;F259&amp;"_SIMUL IS NOT NULL ) OR (X."&amp;F259&amp;" IS NOT NULL AND Y."&amp;F259&amp;"_SIMUL IS NULL),1,0)) AS NUM_REG_DIF,'"&amp;MAX('ID1&amp;5'!K:K)+1&amp;"' AS ID_EXEC, CURRENT_TIMESTAMP() AS TIME_EXEC FROM "&amp;I259&amp;" INNER JOIN "&amp;J259&amp;" "&amp;K259,"SELECT '"&amp;UPPER(B259)&amp;"' AS TABELA, '"&amp;UPPER(C259)&amp;"' AS TIPOLOGIA_TESTE,'"&amp;D259&amp;"' AS TABELA_LT,'"&amp;E259&amp;"' AS TABELA_SIMUL,'"&amp;F259&amp;"' AS CAMPO, "&amp;"'${ref_date}' AS REF_DATE, COUNT(*) AS NUM_REG, SUM(IF(COALESCE(CAST(X."&amp;F259&amp;" AS STRING),'')&lt;&gt;COALESCE(CAST(Y."&amp;F259&amp;"_SIMUL AS STRING),'') OR (X."&amp;F259&amp;" IS NULL AND Y."&amp;F259&amp;"_SIMUL IS NOT NULL ) OR (X."&amp;F259&amp;" IS NOT NULL AND Y."&amp;F259&amp;"_SIMUL IS NULL),1,0)) AS NUM_REG_DIF,'"&amp;MAX('ID1&amp;5'!L:L)+1&amp;"' AS ID_EXEC, CURRENT_TIMESTAMP() AS TIME_EXEC FROM "&amp;I259&amp;" INNER JOIN "&amp;J259&amp;" "&amp;K259),
IF(C259="Validade",+IF(G259="Code List","SELECT '"&amp;UPPER(B259)&amp;"' AS TABELA, '"&amp;UPPER(C259)&amp;"' AS TIPOLOGIA_TESTE,'"&amp;D259&amp;"' AS TABELA_LT,'N/A' AS TABELA_SIMUL,'"&amp;F259&amp;"' AS CAMPO, "&amp;"'${ref_date}' AS REF_DATE, COUNT(*) AS NUM_REG, SUM(IF(TRIM(CAST(X."&amp;F259&amp;" AS STRING))='' OR TRIM(CAST(X."&amp;F259&amp;" AS STRING)) IS NULL OR CAST(X."&amp;F259&amp;" AS STRING) NOT "&amp;H259&amp;",1,0)) AS NUM_REG_DIF,'"&amp;MAX('ID1&amp;5'!K:K)+1&amp;"' AS ID_EXEC, CURRENT_TIMESTAMP() AS TIME_EXEC FROM "&amp;I259,"SELECT '"&amp;UPPER(B259)&amp;"' AS TABELA, '"&amp;UPPER(C259)&amp;"' AS TIPOLOGIA_TESTE,'"&amp;D259&amp;"' AS TABELA_LT,'N/A' AS TABELA_SIMUL,'"&amp;F259&amp;"' AS CAMPO, "&amp;"'${ref_date}' AS REF_DATE, COUNT(*) AS NUM_REG, SUM(IF(TRIM(CAST(X."&amp;F259&amp;" AS STRING))='' OR TRIM(CAST(X."&amp;F259&amp;" AS STRING)) IS NULL,1,0)) AS NUM_REG_DIF,'"&amp;MAX('ID1&amp;5'!K:K)+1&amp;"' AS ID_EXEC, CURRENT_TIMESTAMP() AS TIME_EXEC FROM "&amp;I259),
IF(C259="Caracteres Especiais",+"SELECT '"&amp;UPPER(B259)&amp;"' AS TABELA, '"&amp;UPPER(C259)&amp;"' AS TIPOLOGIA_TESTE,'"&amp;D259&amp;"' AS TABELA_LT,'N/A' AS TABELA_SIMUL,'"&amp;F259&amp;"' AS CAMPO, "&amp;"'${ref_date}' AS REF_DATE, COUNT(*) AS NUM_REG, SUM(IF(REGEXP_REPLACE(TRIM(CAST(X."&amp;F259&amp;" AS STRING)),'[^a-zA-Z0-9_\\s]','') &lt;&gt;TRIM(CAST(X."&amp;F259&amp;" AS STRING)),1,0)) AS NUM_REG_DIF,'"&amp;MAX('ID1&amp;5'!K:K)+1&amp;"' AS ID_EXEC, CURRENT_TIMESTAMP() AS TIME_EXEC FROM "&amp;I259,
IF(C259="Missings",+"SELECT '"&amp;UPPER(B259)&amp;"' AS TABELA, '"&amp;UPPER(C259)&amp;"' AS TIPOLOGIA_TESTE,'"&amp;D259&amp;"' AS TABELA_LT,'N/A' AS TABELA_SIMUL,'"&amp;F259&amp;"' AS CAMPO, "&amp;"'${ref_date}' AS REF_DATE, COUNT(*) AS NUM_REG, SUM(IF(TRIM(CAST(X."&amp;F259&amp;" AS STRING)) IN ('0000-00-00','0001-01-01','9999-12-31','MISS','00000','99999999999','99999999999.00','99999999999.000000'),1,0)) AS NUM_REG_DIF,'"&amp;MAX('ID1&amp;5'!K:K)+1&amp;"' AS ID_EXEC, CURRENT_TIMESTAMP() AS TIME_EXEC FROM "&amp;I259,
IF(C259="Not applicable",+"SELECT '"&amp;UPPER(B259)&amp;"' AS TABELA, '"&amp;UPPER(C259)&amp;"' AS TIPOLOGIA_TESTE,'"&amp;D259&amp;"' AS TABELA_LT,'N/A' AS TABELA_SIMUL,'"&amp;F259&amp;"' AS CAMPO, "&amp;"'${ref_date}' AS REF_DATE, COUNT(*) AS NUM_REG, SUM(IF(TRIM(CAST(X."&amp;F259&amp;" AS STRING)) IN ('N/A','11111111111','11111111111.00','11111111111.000000','1111-11-11'),1,0)) AS NUM_REG_DIF,'"&amp;MAX('ID1&amp;5'!K:K)+1&amp;"' AS ID_EXEC, CURRENT_TIMESTAMP() AS TIME_EXEC FROM "&amp;I259,
IF(C259="Valores extremos",+"SELECT '"&amp;UPPER(B259)&amp;"' AS TABELA, '"&amp;UPPER(C259)&amp;"' AS TIPOLOGIA_TESTE,'"&amp;D259&amp;"' AS TABELA_LT,'N/A' AS TABELA_SIMUL,'"&amp;F259&amp;"' AS CAMPO, "&amp;"'${ref_date}' AS REF_DATE, CAST(MIN("&amp;F259&amp;") AS STRING) AS VALOR_MIN, CAST(MAX("&amp;F259&amp;") AS STRING) AS VALOR_MAX,'"&amp;MAX('ID1&amp;5'!K:K)+1&amp;"' AS ID_EXEC, CURRENT_TIMESTAMP() AS TIME_EXEC FROM "&amp;MID(I259,1,LEN(I259)-2)&amp;" AND CAST("&amp;F259&amp;"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TABELA_SIMUL,'crrltn_cffcnt' AS CAMPO, '${ref_date}' AS REF_DATE, COUNT(*) AS NUM_REG, SUM(IF(COALESCE(CAST(X.crrltn_cffcnt AS STRING),'')&lt;&gt;COALESCE(CAST(Y.crrltn_cffcnt_SIMUL AS STRING),'') OR (X.crrltn_cffcnt IS NULL AND Y.crrltn_cffcnt_SIMUL IS NOT NULL ) OR (X.crrltn_cffcnt IS NOT NULL AND Y.crrltn_cffcnt_SIMUL IS NULL),1,0)) AS NUM_REG_DIF,'1' AS ID_EXEC, CURRENT_TIMESTAMP() AS TIME_EXEC FROM (SELECT instrmnt_id, crrltn_cffcnt FROM BU_LOANTAPE_WORK.LT002_INSTRUMENT WHERE ref_date='${ref_date}' AND nome_perimetro='Individual Local' AND segmento='ESTR' AND ambito='SRB_MBDT' AND entidade='00100')X INNER JOIN (SELECT instrmnt_id AS instrmnt_id_SIMUL, crrltn_cffcnt AS crrltn_cffcnt_SIMUL FROM BU_LOANTAPE_WORK.SIMUL_LT002_INSTRUMENT WHERE ref_date='${ref_date}' AND nome_perimetro='Individual Local' AND segmento='ESTR' AND ambito='PILAR3' AND entidade='00100')Y ON X.INSTRMNT_ID=Y.INSTRMNT_ID_SIMUL</v>
      </c>
      <c r="M259" s="36" t="str">
        <f t="shared" si="7"/>
        <v>UNION ALL SELECT 'INSTRUMENT' AS TABELA, 'COERÊNCIA' AS TIPOLOGIA_TESTE,'BU_LOANTAPE_WORK.LT002_INSTRUMENT' AS TABELA_LT,'BU_LOANTAPE_WORK.SIMUL_LT002_INSTRUMENT' AS TABELA_SIMUL,'crrltn_cffcnt' AS CAMPO, '${ref_date}' AS REF_DATE, COUNT(*) AS NUM_REG, SUM(IF(COALESCE(CAST(X.crrltn_cffcnt AS STRING),'')&lt;&gt;COALESCE(CAST(Y.crrltn_cffcnt_SIMUL AS STRING),'') OR (X.crrltn_cffcnt IS NULL AND Y.crrltn_cffcnt_SIMUL IS NOT NULL ) OR (X.crrltn_cffcnt IS NOT NULL AND Y.crrltn_cffcnt_SIMUL IS NULL),1,0)) AS NUM_REG_DIF,'1' AS ID_EXEC, CURRENT_TIMESTAMP() AS TIME_EXEC FROM (SELECT instrmnt_id, crrltn_cffcnt FROM BU_LOANTAPE_WORK.LT002_INSTRUMENT WHERE ref_date='${ref_date}' AND nome_perimetro='Individual Local' AND segmento='ESTR' AND ambito='SRB_MBDT' AND entidade='00100')X INNER JOIN (SELECT instrmnt_id AS instrmnt_id_SIMUL, crrltn_cffcnt AS crrltn_cffcnt_SIMUL FROM BU_LOANTAPE_WORK.SIMUL_LT002_INSTRUMENT WHERE ref_date='${ref_date}' AND nome_perimetro='Individual Local' AND segmento='ESTR' AND ambito='PILAR3' AND entidade='00100')Y ON X.INSTRMNT_ID=Y.INSTRMNT_ID_SIMUL</v>
      </c>
      <c r="N259" s="38"/>
    </row>
    <row r="260" spans="2:14">
      <c r="B260" s="34" t="s">
        <v>117</v>
      </c>
      <c r="C260" s="34" t="s">
        <v>5</v>
      </c>
      <c r="D260" s="34" t="str">
        <f>+UPPER('0. Instruções'!$D$35&amp;"."&amp;VLOOKUP(B260,'0. Instruções'!$C$27:$D$32,2,FALSE))</f>
        <v>BU_LOANTAPE_WORK.LT002_INSTRUMENT</v>
      </c>
      <c r="E260" s="34" t="str">
        <f>+UPPER('0. Instruções'!$D$36&amp;"."&amp;VLOOKUP(B260,'0. Instruções'!$C$27:$E$32,3,FALSE))</f>
        <v>BU_LOANTAPE_WORK.SIMUL_LT002_INSTRUMENT</v>
      </c>
      <c r="F260" s="34" t="s">
        <v>1316</v>
      </c>
      <c r="G260" s="34"/>
      <c r="H260" s="34"/>
      <c r="I260" s="34" t="str">
        <f>"(SELECT "&amp;VLOOKUP(B260,'0. Instruções'!$C$27:$G$32,4,FALSE)&amp;", "&amp;F260&amp;" FROM "&amp;D260&amp;" WHERE "&amp;'0. Instruções'!$D$42&amp;")X"</f>
        <v>(SELECT instrmnt_id, isin_scrtstn FROM BU_LOANTAPE_WORK.LT002_INSTRUMENT WHERE ref_date='${ref_date}' AND nome_perimetro='Individual Local' AND segmento='ESTR' AND ambito='SRB_MBDT' AND entidade='00100')X</v>
      </c>
      <c r="J260" s="34" t="str">
        <f>"(SELECT "&amp;VLOOKUP(B260,'0. Instruções'!$C$27:$G$32,4,FALSE)&amp;" AS "&amp;VLOOKUP(B260,'0. Instruções'!$C$27:$G$32,4,FALSE)&amp;"_SIMUL, "&amp;F260&amp;" AS "&amp;F260&amp;"_SIMUL FROM "&amp;E260&amp;" WHERE "&amp;'0. Instruções'!$D$43&amp;")Y"</f>
        <v>(SELECT instrmnt_id AS instrmnt_id_SIMUL, isin_scrtstn AS isin_scrtstn_SIMUL FROM BU_LOANTAPE_WORK.SIMUL_LT002_INSTRUMENT WHERE ref_date='${ref_date}' AND nome_perimetro='Individual Local' AND segmento='ESTR' AND ambito='PILAR3' AND entidade='00100')Y</v>
      </c>
      <c r="K260" s="35" t="str">
        <f>+UPPER("ON X."&amp;VLOOKUP(B260,'0. Instruções'!$C$27:$G$32,4,FALSE)&amp;"=Y."&amp;VLOOKUP(B260,'0. Instruções'!$C$27:$G$32,4,FALSE)&amp;"_SIMUL")</f>
        <v>ON X.INSTRMNT_ID=Y.INSTRMNT_ID_SIMUL</v>
      </c>
      <c r="L260" s="35" t="str">
        <f>+IF(C260="Coerência", +IF(LEFT(G260,5)="FLOAT","SELECT '"&amp;UPPER(B260)&amp;"' AS TABELA, '"&amp;UPPER(C260)&amp;"' AS TIPOLOGIA_TESTE,'"&amp;D260&amp;"' AS TABELA_LT,'"&amp;E260&amp;"' AS TABELA_SIMUL,'"&amp;F260&amp;"' AS CAMPO, "&amp;"'${ref_date}' AS REF_DATE, COUNT(*) AS NUM_REG, SUM(IF((ABS(COALESCE(CAST(X."&amp;F260&amp;" AS DECIMAL(18,6)),0)-COALESCE(CAST(Y."&amp;F260&amp;"_SIMUL AS DECIMAL(18,6)),0))&gt;0.000001) OR (X."&amp;F260&amp;" IS NULL AND Y."&amp;F260&amp;"_SIMUL IS NOT NULL ) OR (X."&amp;F260&amp;" IS NOT NULL AND Y."&amp;F260&amp;"_SIMUL IS NULL),1,0)) AS NUM_REG_DIF,'"&amp;MAX('ID1&amp;5'!K:K)+1&amp;"' AS ID_EXEC, CURRENT_TIMESTAMP() AS TIME_EXEC FROM "&amp;I260&amp;" INNER JOIN "&amp;J260&amp;" "&amp;K260,"SELECT '"&amp;UPPER(B260)&amp;"' AS TABELA, '"&amp;UPPER(C260)&amp;"' AS TIPOLOGIA_TESTE,'"&amp;D260&amp;"' AS TABELA_LT,'"&amp;E260&amp;"' AS TABELA_SIMUL,'"&amp;F260&amp;"' AS CAMPO, "&amp;"'${ref_date}' AS REF_DATE, COUNT(*) AS NUM_REG, SUM(IF(COALESCE(CAST(X."&amp;F260&amp;" AS STRING),'')&lt;&gt;COALESCE(CAST(Y."&amp;F260&amp;"_SIMUL AS STRING),'') OR (X."&amp;F260&amp;" IS NULL AND Y."&amp;F260&amp;"_SIMUL IS NOT NULL ) OR (X."&amp;F260&amp;" IS NOT NULL AND Y."&amp;F260&amp;"_SIMUL IS NULL),1,0)) AS NUM_REG_DIF,'"&amp;MAX('ID1&amp;5'!L:L)+1&amp;"' AS ID_EXEC, CURRENT_TIMESTAMP() AS TIME_EXEC FROM "&amp;I260&amp;" INNER JOIN "&amp;J260&amp;" "&amp;K260),
IF(C260="Validade",+IF(G260="Code List","SELECT '"&amp;UPPER(B260)&amp;"' AS TABELA, '"&amp;UPPER(C260)&amp;"' AS TIPOLOGIA_TESTE,'"&amp;D260&amp;"' AS TABELA_LT,'N/A' AS TABELA_SIMUL,'"&amp;F260&amp;"' AS CAMPO, "&amp;"'${ref_date}' AS REF_DATE, COUNT(*) AS NUM_REG, SUM(IF(TRIM(CAST(X."&amp;F260&amp;" AS STRING))='' OR TRIM(CAST(X."&amp;F260&amp;" AS STRING)) IS NULL OR CAST(X."&amp;F260&amp;" AS STRING) NOT "&amp;H260&amp;",1,0)) AS NUM_REG_DIF,'"&amp;MAX('ID1&amp;5'!K:K)+1&amp;"' AS ID_EXEC, CURRENT_TIMESTAMP() AS TIME_EXEC FROM "&amp;I260,"SELECT '"&amp;UPPER(B260)&amp;"' AS TABELA, '"&amp;UPPER(C260)&amp;"' AS TIPOLOGIA_TESTE,'"&amp;D260&amp;"' AS TABELA_LT,'N/A' AS TABELA_SIMUL,'"&amp;F260&amp;"' AS CAMPO, "&amp;"'${ref_date}' AS REF_DATE, COUNT(*) AS NUM_REG, SUM(IF(TRIM(CAST(X."&amp;F260&amp;" AS STRING))='' OR TRIM(CAST(X."&amp;F260&amp;" AS STRING)) IS NULL,1,0)) AS NUM_REG_DIF,'"&amp;MAX('ID1&amp;5'!K:K)+1&amp;"' AS ID_EXEC, CURRENT_TIMESTAMP() AS TIME_EXEC FROM "&amp;I260),
IF(C260="Caracteres Especiais",+"SELECT '"&amp;UPPER(B260)&amp;"' AS TABELA, '"&amp;UPPER(C260)&amp;"' AS TIPOLOGIA_TESTE,'"&amp;D260&amp;"' AS TABELA_LT,'N/A' AS TABELA_SIMUL,'"&amp;F260&amp;"' AS CAMPO, "&amp;"'${ref_date}' AS REF_DATE, COUNT(*) AS NUM_REG, SUM(IF(REGEXP_REPLACE(TRIM(CAST(X."&amp;F260&amp;" AS STRING)),'[^a-zA-Z0-9_\\s]','') &lt;&gt;TRIM(CAST(X."&amp;F260&amp;" AS STRING)),1,0)) AS NUM_REG_DIF,'"&amp;MAX('ID1&amp;5'!K:K)+1&amp;"' AS ID_EXEC, CURRENT_TIMESTAMP() AS TIME_EXEC FROM "&amp;I260,
IF(C260="Missings",+"SELECT '"&amp;UPPER(B260)&amp;"' AS TABELA, '"&amp;UPPER(C260)&amp;"' AS TIPOLOGIA_TESTE,'"&amp;D260&amp;"' AS TABELA_LT,'N/A' AS TABELA_SIMUL,'"&amp;F260&amp;"' AS CAMPO, "&amp;"'${ref_date}' AS REF_DATE, COUNT(*) AS NUM_REG, SUM(IF(TRIM(CAST(X."&amp;F260&amp;" AS STRING)) IN ('0000-00-00','0001-01-01','9999-12-31','MISS','00000','99999999999','99999999999.00','99999999999.000000'),1,0)) AS NUM_REG_DIF,'"&amp;MAX('ID1&amp;5'!K:K)+1&amp;"' AS ID_EXEC, CURRENT_TIMESTAMP() AS TIME_EXEC FROM "&amp;I260,
IF(C260="Not applicable",+"SELECT '"&amp;UPPER(B260)&amp;"' AS TABELA, '"&amp;UPPER(C260)&amp;"' AS TIPOLOGIA_TESTE,'"&amp;D260&amp;"' AS TABELA_LT,'N/A' AS TABELA_SIMUL,'"&amp;F260&amp;"' AS CAMPO, "&amp;"'${ref_date}' AS REF_DATE, COUNT(*) AS NUM_REG, SUM(IF(TRIM(CAST(X."&amp;F260&amp;" AS STRING)) IN ('N/A','11111111111','11111111111.00','11111111111.000000','1111-11-11'),1,0)) AS NUM_REG_DIF,'"&amp;MAX('ID1&amp;5'!K:K)+1&amp;"' AS ID_EXEC, CURRENT_TIMESTAMP() AS TIME_EXEC FROM "&amp;I260,
IF(C260="Valores extremos",+"SELECT '"&amp;UPPER(B260)&amp;"' AS TABELA, '"&amp;UPPER(C260)&amp;"' AS TIPOLOGIA_TESTE,'"&amp;D260&amp;"' AS TABELA_LT,'N/A' AS TABELA_SIMUL,'"&amp;F260&amp;"' AS CAMPO, "&amp;"'${ref_date}' AS REF_DATE, CAST(MIN("&amp;F260&amp;") AS STRING) AS VALOR_MIN, CAST(MAX("&amp;F260&amp;") AS STRING) AS VALOR_MAX,'"&amp;MAX('ID1&amp;5'!K:K)+1&amp;"' AS ID_EXEC, CURRENT_TIMESTAMP() AS TIME_EXEC FROM "&amp;MID(I260,1,LEN(I260)-2)&amp;" AND CAST("&amp;F260&amp;"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TABELA_SIMUL,'isin_scrtstn' AS CAMPO, '${ref_date}' AS REF_DATE, COUNT(*) AS NUM_REG, SUM(IF(COALESCE(CAST(X.isin_scrtstn AS STRING),'')&lt;&gt;COALESCE(CAST(Y.isin_scrtstn_SIMUL AS STRING),'') OR (X.isin_scrtstn IS NULL AND Y.isin_scrtstn_SIMUL IS NOT NULL ) OR (X.isin_scrtstn IS NOT NULL AND Y.isin_scrtstn_SIMUL IS NULL),1,0)) AS NUM_REG_DIF,'1' AS ID_EXEC, CURRENT_TIMESTAMP() AS TIME_EXEC FROM (SELECT instrmnt_id, isin_scrtstn FROM BU_LOANTAPE_WORK.LT002_INSTRUMENT WHERE ref_date='${ref_date}' AND nome_perimetro='Individual Local' AND segmento='ESTR' AND ambito='SRB_MBDT' AND entidade='00100')X INNER JOIN (SELECT instrmnt_id AS instrmnt_id_SIMUL, isin_scrtstn AS isin_scrtstn_SIMUL FROM BU_LOANTAPE_WORK.SIMUL_LT002_INSTRUMENT WHERE ref_date='${ref_date}' AND nome_perimetro='Individual Local' AND segmento='ESTR' AND ambito='PILAR3' AND entidade='00100')Y ON X.INSTRMNT_ID=Y.INSTRMNT_ID_SIMUL</v>
      </c>
      <c r="M260" s="36" t="str">
        <f t="shared" si="7"/>
        <v>UNION ALL SELECT 'INSTRUMENT' AS TABELA, 'COERÊNCIA' AS TIPOLOGIA_TESTE,'BU_LOANTAPE_WORK.LT002_INSTRUMENT' AS TABELA_LT,'BU_LOANTAPE_WORK.SIMUL_LT002_INSTRUMENT' AS TABELA_SIMUL,'isin_scrtstn' AS CAMPO, '${ref_date}' AS REF_DATE, COUNT(*) AS NUM_REG, SUM(IF(COALESCE(CAST(X.isin_scrtstn AS STRING),'')&lt;&gt;COALESCE(CAST(Y.isin_scrtstn_SIMUL AS STRING),'') OR (X.isin_scrtstn IS NULL AND Y.isin_scrtstn_SIMUL IS NOT NULL ) OR (X.isin_scrtstn IS NOT NULL AND Y.isin_scrtstn_SIMUL IS NULL),1,0)) AS NUM_REG_DIF,'1' AS ID_EXEC, CURRENT_TIMESTAMP() AS TIME_EXEC FROM (SELECT instrmnt_id, isin_scrtstn FROM BU_LOANTAPE_WORK.LT002_INSTRUMENT WHERE ref_date='${ref_date}' AND nome_perimetro='Individual Local' AND segmento='ESTR' AND ambito='SRB_MBDT' AND entidade='00100')X INNER JOIN (SELECT instrmnt_id AS instrmnt_id_SIMUL, isin_scrtstn AS isin_scrtstn_SIMUL FROM BU_LOANTAPE_WORK.SIMUL_LT002_INSTRUMENT WHERE ref_date='${ref_date}' AND nome_perimetro='Individual Local' AND segmento='ESTR' AND ambito='PILAR3' AND entidade='00100')Y ON X.INSTRMNT_ID=Y.INSTRMNT_ID_SIMUL</v>
      </c>
      <c r="N260" s="38"/>
    </row>
    <row r="261" spans="2:14">
      <c r="B261" s="34" t="s">
        <v>117</v>
      </c>
      <c r="C261" s="34" t="s">
        <v>5</v>
      </c>
      <c r="D261" s="34" t="str">
        <f>+UPPER('0. Instruções'!$D$35&amp;"."&amp;VLOOKUP(B261,'0. Instruções'!$C$27:$D$32,2,FALSE))</f>
        <v>BU_LOANTAPE_WORK.LT002_INSTRUMENT</v>
      </c>
      <c r="E261" s="34" t="str">
        <f>+UPPER('0. Instruções'!$D$36&amp;"."&amp;VLOOKUP(B261,'0. Instruções'!$C$27:$E$32,3,FALSE))</f>
        <v>BU_LOANTAPE_WORK.SIMUL_LT002_INSTRUMENT</v>
      </c>
      <c r="F261" s="34" t="s">
        <v>1317</v>
      </c>
      <c r="G261" s="34"/>
      <c r="H261" s="34"/>
      <c r="I261" s="34" t="str">
        <f>"(SELECT "&amp;VLOOKUP(B261,'0. Instruções'!$C$27:$G$32,4,FALSE)&amp;", "&amp;F261&amp;" FROM "&amp;D261&amp;" WHERE "&amp;'0. Instruções'!$D$42&amp;")X"</f>
        <v>(SELECT instrmnt_id, cntrct_id_bdr FROM BU_LOANTAPE_WORK.LT002_INSTRUMENT WHERE ref_date='${ref_date}' AND nome_perimetro='Individual Local' AND segmento='ESTR' AND ambito='SRB_MBDT' AND entidade='00100')X</v>
      </c>
      <c r="J261" s="34" t="str">
        <f>"(SELECT "&amp;VLOOKUP(B261,'0. Instruções'!$C$27:$G$32,4,FALSE)&amp;" AS "&amp;VLOOKUP(B261,'0. Instruções'!$C$27:$G$32,4,FALSE)&amp;"_SIMUL, "&amp;F261&amp;" AS "&amp;F261&amp;"_SIMUL FROM "&amp;E261&amp;" WHERE "&amp;'0. Instruções'!$D$43&amp;")Y"</f>
        <v>(SELECT instrmnt_id AS instrmnt_id_SIMUL, cntrct_id_bdr AS cntrct_id_bdr_SIMUL FROM BU_LOANTAPE_WORK.SIMUL_LT002_INSTRUMENT WHERE ref_date='${ref_date}' AND nome_perimetro='Individual Local' AND segmento='ESTR' AND ambito='PILAR3' AND entidade='00100')Y</v>
      </c>
      <c r="K261" s="35" t="str">
        <f>+UPPER("ON X."&amp;VLOOKUP(B261,'0. Instruções'!$C$27:$G$32,4,FALSE)&amp;"=Y."&amp;VLOOKUP(B261,'0. Instruções'!$C$27:$G$32,4,FALSE)&amp;"_SIMUL")</f>
        <v>ON X.INSTRMNT_ID=Y.INSTRMNT_ID_SIMUL</v>
      </c>
      <c r="L261" s="35" t="str">
        <f>+IF(C261="Coerência", +IF(LEFT(G261,5)="FLOAT","SELECT '"&amp;UPPER(B261)&amp;"' AS TABELA, '"&amp;UPPER(C261)&amp;"' AS TIPOLOGIA_TESTE,'"&amp;D261&amp;"' AS TABELA_LT,'"&amp;E261&amp;"' AS TABELA_SIMUL,'"&amp;F261&amp;"' AS CAMPO, "&amp;"'${ref_date}' AS REF_DATE, COUNT(*) AS NUM_REG, SUM(IF((ABS(COALESCE(CAST(X."&amp;F261&amp;" AS DECIMAL(18,6)),0)-COALESCE(CAST(Y."&amp;F261&amp;"_SIMUL AS DECIMAL(18,6)),0))&gt;0.000001) OR (X."&amp;F261&amp;" IS NULL AND Y."&amp;F261&amp;"_SIMUL IS NOT NULL ) OR (X."&amp;F261&amp;" IS NOT NULL AND Y."&amp;F261&amp;"_SIMUL IS NULL),1,0)) AS NUM_REG_DIF,'"&amp;MAX('ID1&amp;5'!K:K)+1&amp;"' AS ID_EXEC, CURRENT_TIMESTAMP() AS TIME_EXEC FROM "&amp;I261&amp;" INNER JOIN "&amp;J261&amp;" "&amp;K261,"SELECT '"&amp;UPPER(B261)&amp;"' AS TABELA, '"&amp;UPPER(C261)&amp;"' AS TIPOLOGIA_TESTE,'"&amp;D261&amp;"' AS TABELA_LT,'"&amp;E261&amp;"' AS TABELA_SIMUL,'"&amp;F261&amp;"' AS CAMPO, "&amp;"'${ref_date}' AS REF_DATE, COUNT(*) AS NUM_REG, SUM(IF(COALESCE(CAST(X."&amp;F261&amp;" AS STRING),'')&lt;&gt;COALESCE(CAST(Y."&amp;F261&amp;"_SIMUL AS STRING),'') OR (X."&amp;F261&amp;" IS NULL AND Y."&amp;F261&amp;"_SIMUL IS NOT NULL ) OR (X."&amp;F261&amp;" IS NOT NULL AND Y."&amp;F261&amp;"_SIMUL IS NULL),1,0)) AS NUM_REG_DIF,'"&amp;MAX('ID1&amp;5'!L:L)+1&amp;"' AS ID_EXEC, CURRENT_TIMESTAMP() AS TIME_EXEC FROM "&amp;I261&amp;" INNER JOIN "&amp;J261&amp;" "&amp;K261),
IF(C261="Validade",+IF(G261="Code List","SELECT '"&amp;UPPER(B261)&amp;"' AS TABELA, '"&amp;UPPER(C261)&amp;"' AS TIPOLOGIA_TESTE,'"&amp;D261&amp;"' AS TABELA_LT,'N/A' AS TABELA_SIMUL,'"&amp;F261&amp;"' AS CAMPO, "&amp;"'${ref_date}' AS REF_DATE, COUNT(*) AS NUM_REG, SUM(IF(TRIM(CAST(X."&amp;F261&amp;" AS STRING))='' OR TRIM(CAST(X."&amp;F261&amp;" AS STRING)) IS NULL OR CAST(X."&amp;F261&amp;" AS STRING) NOT "&amp;H261&amp;",1,0)) AS NUM_REG_DIF,'"&amp;MAX('ID1&amp;5'!K:K)+1&amp;"' AS ID_EXEC, CURRENT_TIMESTAMP() AS TIME_EXEC FROM "&amp;I261,"SELECT '"&amp;UPPER(B261)&amp;"' AS TABELA, '"&amp;UPPER(C261)&amp;"' AS TIPOLOGIA_TESTE,'"&amp;D261&amp;"' AS TABELA_LT,'N/A' AS TABELA_SIMUL,'"&amp;F261&amp;"' AS CAMPO, "&amp;"'${ref_date}' AS REF_DATE, COUNT(*) AS NUM_REG, SUM(IF(TRIM(CAST(X."&amp;F261&amp;" AS STRING))='' OR TRIM(CAST(X."&amp;F261&amp;" AS STRING)) IS NULL,1,0)) AS NUM_REG_DIF,'"&amp;MAX('ID1&amp;5'!K:K)+1&amp;"' AS ID_EXEC, CURRENT_TIMESTAMP() AS TIME_EXEC FROM "&amp;I261),
IF(C261="Caracteres Especiais",+"SELECT '"&amp;UPPER(B261)&amp;"' AS TABELA, '"&amp;UPPER(C261)&amp;"' AS TIPOLOGIA_TESTE,'"&amp;D261&amp;"' AS TABELA_LT,'N/A' AS TABELA_SIMUL,'"&amp;F261&amp;"' AS CAMPO, "&amp;"'${ref_date}' AS REF_DATE, COUNT(*) AS NUM_REG, SUM(IF(REGEXP_REPLACE(TRIM(CAST(X."&amp;F261&amp;" AS STRING)),'[^a-zA-Z0-9_\\s]','') &lt;&gt;TRIM(CAST(X."&amp;F261&amp;" AS STRING)),1,0)) AS NUM_REG_DIF,'"&amp;MAX('ID1&amp;5'!K:K)+1&amp;"' AS ID_EXEC, CURRENT_TIMESTAMP() AS TIME_EXEC FROM "&amp;I261,
IF(C261="Missings",+"SELECT '"&amp;UPPER(B261)&amp;"' AS TABELA, '"&amp;UPPER(C261)&amp;"' AS TIPOLOGIA_TESTE,'"&amp;D261&amp;"' AS TABELA_LT,'N/A' AS TABELA_SIMUL,'"&amp;F261&amp;"' AS CAMPO, "&amp;"'${ref_date}' AS REF_DATE, COUNT(*) AS NUM_REG, SUM(IF(TRIM(CAST(X."&amp;F261&amp;" AS STRING)) IN ('0000-00-00','0001-01-01','9999-12-31','MISS','00000','99999999999','99999999999.00','99999999999.000000'),1,0)) AS NUM_REG_DIF,'"&amp;MAX('ID1&amp;5'!K:K)+1&amp;"' AS ID_EXEC, CURRENT_TIMESTAMP() AS TIME_EXEC FROM "&amp;I261,
IF(C261="Not applicable",+"SELECT '"&amp;UPPER(B261)&amp;"' AS TABELA, '"&amp;UPPER(C261)&amp;"' AS TIPOLOGIA_TESTE,'"&amp;D261&amp;"' AS TABELA_LT,'N/A' AS TABELA_SIMUL,'"&amp;F261&amp;"' AS CAMPO, "&amp;"'${ref_date}' AS REF_DATE, COUNT(*) AS NUM_REG, SUM(IF(TRIM(CAST(X."&amp;F261&amp;" AS STRING)) IN ('N/A','11111111111','11111111111.00','11111111111.000000','1111-11-11'),1,0)) AS NUM_REG_DIF,'"&amp;MAX('ID1&amp;5'!K:K)+1&amp;"' AS ID_EXEC, CURRENT_TIMESTAMP() AS TIME_EXEC FROM "&amp;I261,
IF(C261="Valores extremos",+"SELECT '"&amp;UPPER(B261)&amp;"' AS TABELA, '"&amp;UPPER(C261)&amp;"' AS TIPOLOGIA_TESTE,'"&amp;D261&amp;"' AS TABELA_LT,'N/A' AS TABELA_SIMUL,'"&amp;F261&amp;"' AS CAMPO, "&amp;"'${ref_date}' AS REF_DATE, CAST(MIN("&amp;F261&amp;") AS STRING) AS VALOR_MIN, CAST(MAX("&amp;F261&amp;") AS STRING) AS VALOR_MAX,'"&amp;MAX('ID1&amp;5'!K:K)+1&amp;"' AS ID_EXEC, CURRENT_TIMESTAMP() AS TIME_EXEC FROM "&amp;MID(I261,1,LEN(I261)-2)&amp;" AND CAST("&amp;F261&amp;"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TABELA_SIMUL,'cntrct_id_bdr' AS CAMPO, '${ref_date}' AS REF_DATE, COUNT(*) AS NUM_REG, SUM(IF(COALESCE(CAST(X.cntrct_id_bdr AS STRING),'')&lt;&gt;COALESCE(CAST(Y.cntrct_id_bdr_SIMUL AS STRING),'') OR (X.cntrct_id_bdr IS NULL AND Y.cntrct_id_bdr_SIMUL IS NOT NULL ) OR (X.cntrct_id_bdr IS NOT NULL AND Y.cntrct_id_bdr_SIMUL IS NULL),1,0)) AS NUM_REG_DIF,'1' AS ID_EXEC, CURRENT_TIMESTAMP() AS TIME_EXEC FROM (SELECT instrmnt_id, cntrct_id_bdr FROM BU_LOANTAPE_WORK.LT002_INSTRUMENT WHERE ref_date='${ref_date}' AND nome_perimetro='Individual Local' AND segmento='ESTR' AND ambito='SRB_MBDT' AND entidade='00100')X INNER JOIN (SELECT instrmnt_id AS instrmnt_id_SIMUL, cntrct_id_bdr AS cntrct_id_bdr_SIMUL FROM BU_LOANTAPE_WORK.SIMUL_LT002_INSTRUMENT WHERE ref_date='${ref_date}' AND nome_perimetro='Individual Local' AND segmento='ESTR' AND ambito='PILAR3' AND entidade='00100')Y ON X.INSTRMNT_ID=Y.INSTRMNT_ID_SIMUL</v>
      </c>
      <c r="M261" s="36" t="str">
        <f t="shared" si="7"/>
        <v>UNION ALL SELECT 'INSTRUMENT' AS TABELA, 'COERÊNCIA' AS TIPOLOGIA_TESTE,'BU_LOANTAPE_WORK.LT002_INSTRUMENT' AS TABELA_LT,'BU_LOANTAPE_WORK.SIMUL_LT002_INSTRUMENT' AS TABELA_SIMUL,'cntrct_id_bdr' AS CAMPO, '${ref_date}' AS REF_DATE, COUNT(*) AS NUM_REG, SUM(IF(COALESCE(CAST(X.cntrct_id_bdr AS STRING),'')&lt;&gt;COALESCE(CAST(Y.cntrct_id_bdr_SIMUL AS STRING),'') OR (X.cntrct_id_bdr IS NULL AND Y.cntrct_id_bdr_SIMUL IS NOT NULL ) OR (X.cntrct_id_bdr IS NOT NULL AND Y.cntrct_id_bdr_SIMUL IS NULL),1,0)) AS NUM_REG_DIF,'1' AS ID_EXEC, CURRENT_TIMESTAMP() AS TIME_EXEC FROM (SELECT instrmnt_id, cntrct_id_bdr FROM BU_LOANTAPE_WORK.LT002_INSTRUMENT WHERE ref_date='${ref_date}' AND nome_perimetro='Individual Local' AND segmento='ESTR' AND ambito='SRB_MBDT' AND entidade='00100')X INNER JOIN (SELECT instrmnt_id AS instrmnt_id_SIMUL, cntrct_id_bdr AS cntrct_id_bdr_SIMUL FROM BU_LOANTAPE_WORK.SIMUL_LT002_INSTRUMENT WHERE ref_date='${ref_date}' AND nome_perimetro='Individual Local' AND segmento='ESTR' AND ambito='PILAR3' AND entidade='00100')Y ON X.INSTRMNT_ID=Y.INSTRMNT_ID_SIMUL</v>
      </c>
      <c r="N261" s="38"/>
    </row>
    <row r="262" spans="2:14">
      <c r="B262" s="34" t="s">
        <v>117</v>
      </c>
      <c r="C262" s="34" t="s">
        <v>5</v>
      </c>
      <c r="D262" s="34" t="str">
        <f>+UPPER('0. Instruções'!$D$35&amp;"."&amp;VLOOKUP(B262,'0. Instruções'!$C$27:$D$32,2,FALSE))</f>
        <v>BU_LOANTAPE_WORK.LT002_INSTRUMENT</v>
      </c>
      <c r="E262" s="34" t="str">
        <f>+UPPER('0. Instruções'!$D$36&amp;"."&amp;VLOOKUP(B262,'0. Instruções'!$C$27:$E$32,3,FALSE))</f>
        <v>BU_LOANTAPE_WORK.SIMUL_LT002_INSTRUMENT</v>
      </c>
      <c r="F262" s="34" t="s">
        <v>686</v>
      </c>
      <c r="G262" s="34"/>
      <c r="H262" s="34"/>
      <c r="I262" s="34" t="str">
        <f>"(SELECT "&amp;VLOOKUP(B262,'0. Instruções'!$C$27:$G$32,4,FALSE)&amp;", "&amp;F262&amp;" FROM "&amp;D262&amp;" WHERE "&amp;'0. Instruções'!$D$42&amp;")X"</f>
        <v>(SELECT instrmnt_id, sstnbl_indctr FROM BU_LOANTAPE_WORK.LT002_INSTRUMENT WHERE ref_date='${ref_date}' AND nome_perimetro='Individual Local' AND segmento='ESTR' AND ambito='SRB_MBDT' AND entidade='00100')X</v>
      </c>
      <c r="J262" s="34" t="str">
        <f>"(SELECT "&amp;VLOOKUP(B262,'0. Instruções'!$C$27:$G$32,4,FALSE)&amp;" AS "&amp;VLOOKUP(B262,'0. Instruções'!$C$27:$G$32,4,FALSE)&amp;"_SIMUL, "&amp;F262&amp;" AS "&amp;F262&amp;"_SIMUL FROM "&amp;E262&amp;" WHERE "&amp;'0. Instruções'!$D$43&amp;")Y"</f>
        <v>(SELECT instrmnt_id AS instrmnt_id_SIMUL, sstnbl_indctr AS sstnbl_indctr_SIMUL FROM BU_LOANTAPE_WORK.SIMUL_LT002_INSTRUMENT WHERE ref_date='${ref_date}' AND nome_perimetro='Individual Local' AND segmento='ESTR' AND ambito='PILAR3' AND entidade='00100')Y</v>
      </c>
      <c r="K262" s="35" t="str">
        <f>+UPPER("ON X."&amp;VLOOKUP(B262,'0. Instruções'!$C$27:$G$32,4,FALSE)&amp;"=Y."&amp;VLOOKUP(B262,'0. Instruções'!$C$27:$G$32,4,FALSE)&amp;"_SIMUL")</f>
        <v>ON X.INSTRMNT_ID=Y.INSTRMNT_ID_SIMUL</v>
      </c>
      <c r="L262" s="35" t="str">
        <f>+IF(C262="Coerência", +IF(LEFT(G262,5)="FLOAT","SELECT '"&amp;UPPER(B262)&amp;"' AS TABELA, '"&amp;UPPER(C262)&amp;"' AS TIPOLOGIA_TESTE,'"&amp;D262&amp;"' AS TABELA_LT,'"&amp;E262&amp;"' AS TABELA_SIMUL,'"&amp;F262&amp;"' AS CAMPO, "&amp;"'${ref_date}' AS REF_DATE, COUNT(*) AS NUM_REG, SUM(IF((ABS(COALESCE(CAST(X."&amp;F262&amp;" AS DECIMAL(18,6)),0)-COALESCE(CAST(Y."&amp;F262&amp;"_SIMUL AS DECIMAL(18,6)),0))&gt;0.000001) OR (X."&amp;F262&amp;" IS NULL AND Y."&amp;F262&amp;"_SIMUL IS NOT NULL ) OR (X."&amp;F262&amp;" IS NOT NULL AND Y."&amp;F262&amp;"_SIMUL IS NULL),1,0)) AS NUM_REG_DIF,'"&amp;MAX('ID1&amp;5'!K:K)+1&amp;"' AS ID_EXEC, CURRENT_TIMESTAMP() AS TIME_EXEC FROM "&amp;I262&amp;" INNER JOIN "&amp;J262&amp;" "&amp;K262,"SELECT '"&amp;UPPER(B262)&amp;"' AS TABELA, '"&amp;UPPER(C262)&amp;"' AS TIPOLOGIA_TESTE,'"&amp;D262&amp;"' AS TABELA_LT,'"&amp;E262&amp;"' AS TABELA_SIMUL,'"&amp;F262&amp;"' AS CAMPO, "&amp;"'${ref_date}' AS REF_DATE, COUNT(*) AS NUM_REG, SUM(IF(COALESCE(CAST(X."&amp;F262&amp;" AS STRING),'')&lt;&gt;COALESCE(CAST(Y."&amp;F262&amp;"_SIMUL AS STRING),'') OR (X."&amp;F262&amp;" IS NULL AND Y."&amp;F262&amp;"_SIMUL IS NOT NULL ) OR (X."&amp;F262&amp;" IS NOT NULL AND Y."&amp;F262&amp;"_SIMUL IS NULL),1,0)) AS NUM_REG_DIF,'"&amp;MAX('ID1&amp;5'!L:L)+1&amp;"' AS ID_EXEC, CURRENT_TIMESTAMP() AS TIME_EXEC FROM "&amp;I262&amp;" INNER JOIN "&amp;J262&amp;" "&amp;K262),
IF(C262="Validade",+IF(G262="Code List","SELECT '"&amp;UPPER(B262)&amp;"' AS TABELA, '"&amp;UPPER(C262)&amp;"' AS TIPOLOGIA_TESTE,'"&amp;D262&amp;"' AS TABELA_LT,'N/A' AS TABELA_SIMUL,'"&amp;F262&amp;"' AS CAMPO, "&amp;"'${ref_date}' AS REF_DATE, COUNT(*) AS NUM_REG, SUM(IF(TRIM(CAST(X."&amp;F262&amp;" AS STRING))='' OR TRIM(CAST(X."&amp;F262&amp;" AS STRING)) IS NULL OR CAST(X."&amp;F262&amp;" AS STRING) NOT "&amp;H262&amp;",1,0)) AS NUM_REG_DIF,'"&amp;MAX('ID1&amp;5'!K:K)+1&amp;"' AS ID_EXEC, CURRENT_TIMESTAMP() AS TIME_EXEC FROM "&amp;I262,"SELECT '"&amp;UPPER(B262)&amp;"' AS TABELA, '"&amp;UPPER(C262)&amp;"' AS TIPOLOGIA_TESTE,'"&amp;D262&amp;"' AS TABELA_LT,'N/A' AS TABELA_SIMUL,'"&amp;F262&amp;"' AS CAMPO, "&amp;"'${ref_date}' AS REF_DATE, COUNT(*) AS NUM_REG, SUM(IF(TRIM(CAST(X."&amp;F262&amp;" AS STRING))='' OR TRIM(CAST(X."&amp;F262&amp;" AS STRING)) IS NULL,1,0)) AS NUM_REG_DIF,'"&amp;MAX('ID1&amp;5'!K:K)+1&amp;"' AS ID_EXEC, CURRENT_TIMESTAMP() AS TIME_EXEC FROM "&amp;I262),
IF(C262="Caracteres Especiais",+"SELECT '"&amp;UPPER(B262)&amp;"' AS TABELA, '"&amp;UPPER(C262)&amp;"' AS TIPOLOGIA_TESTE,'"&amp;D262&amp;"' AS TABELA_LT,'N/A' AS TABELA_SIMUL,'"&amp;F262&amp;"' AS CAMPO, "&amp;"'${ref_date}' AS REF_DATE, COUNT(*) AS NUM_REG, SUM(IF(REGEXP_REPLACE(TRIM(CAST(X."&amp;F262&amp;" AS STRING)),'[^a-zA-Z0-9_\\s]','') &lt;&gt;TRIM(CAST(X."&amp;F262&amp;" AS STRING)),1,0)) AS NUM_REG_DIF,'"&amp;MAX('ID1&amp;5'!K:K)+1&amp;"' AS ID_EXEC, CURRENT_TIMESTAMP() AS TIME_EXEC FROM "&amp;I262,
IF(C262="Missings",+"SELECT '"&amp;UPPER(B262)&amp;"' AS TABELA, '"&amp;UPPER(C262)&amp;"' AS TIPOLOGIA_TESTE,'"&amp;D262&amp;"' AS TABELA_LT,'N/A' AS TABELA_SIMUL,'"&amp;F262&amp;"' AS CAMPO, "&amp;"'${ref_date}' AS REF_DATE, COUNT(*) AS NUM_REG, SUM(IF(TRIM(CAST(X."&amp;F262&amp;" AS STRING)) IN ('0000-00-00','0001-01-01','9999-12-31','MISS','00000','99999999999','99999999999.00','99999999999.000000'),1,0)) AS NUM_REG_DIF,'"&amp;MAX('ID1&amp;5'!K:K)+1&amp;"' AS ID_EXEC, CURRENT_TIMESTAMP() AS TIME_EXEC FROM "&amp;I262,
IF(C262="Not applicable",+"SELECT '"&amp;UPPER(B262)&amp;"' AS TABELA, '"&amp;UPPER(C262)&amp;"' AS TIPOLOGIA_TESTE,'"&amp;D262&amp;"' AS TABELA_LT,'N/A' AS TABELA_SIMUL,'"&amp;F262&amp;"' AS CAMPO, "&amp;"'${ref_date}' AS REF_DATE, COUNT(*) AS NUM_REG, SUM(IF(TRIM(CAST(X."&amp;F262&amp;" AS STRING)) IN ('N/A','11111111111','11111111111.00','11111111111.000000','1111-11-11'),1,0)) AS NUM_REG_DIF,'"&amp;MAX('ID1&amp;5'!K:K)+1&amp;"' AS ID_EXEC, CURRENT_TIMESTAMP() AS TIME_EXEC FROM "&amp;I262,
IF(C262="Valores extremos",+"SELECT '"&amp;UPPER(B262)&amp;"' AS TABELA, '"&amp;UPPER(C262)&amp;"' AS TIPOLOGIA_TESTE,'"&amp;D262&amp;"' AS TABELA_LT,'N/A' AS TABELA_SIMUL,'"&amp;F262&amp;"' AS CAMPO, "&amp;"'${ref_date}' AS REF_DATE, CAST(MIN("&amp;F262&amp;") AS STRING) AS VALOR_MIN, CAST(MAX("&amp;F262&amp;") AS STRING) AS VALOR_MAX,'"&amp;MAX('ID1&amp;5'!K:K)+1&amp;"' AS ID_EXEC, CURRENT_TIMESTAMP() AS TIME_EXEC FROM "&amp;MID(I262,1,LEN(I262)-2)&amp;" AND CAST("&amp;F262&amp;"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TABELA_SIMUL,'sstnbl_indctr' AS CAMPO, '${ref_date}' AS REF_DATE, COUNT(*) AS NUM_REG, SUM(IF(COALESCE(CAST(X.sstnbl_indctr AS STRING),'')&lt;&gt;COALESCE(CAST(Y.sstnbl_indctr_SIMUL AS STRING),'') OR (X.sstnbl_indctr IS NULL AND Y.sstnbl_indctr_SIMUL IS NOT NULL ) OR (X.sstnbl_indctr IS NOT NULL AND Y.sstnbl_indctr_SIMUL IS NULL),1,0)) AS NUM_REG_DIF,'1' AS ID_EXEC, CURRENT_TIMESTAMP() AS TIME_EXEC FROM (SELECT instrmnt_id, sstnbl_indctr FROM BU_LOANTAPE_WORK.LT002_INSTRUMENT WHERE ref_date='${ref_date}' AND nome_perimetro='Individual Local' AND segmento='ESTR' AND ambito='SRB_MBDT' AND entidade='00100')X INNER JOIN (SELECT instrmnt_id AS instrmnt_id_SIMUL, sstnbl_indctr AS sstnbl_indctr_SIMUL FROM BU_LOANTAPE_WORK.SIMUL_LT002_INSTRUMENT WHERE ref_date='${ref_date}' AND nome_perimetro='Individual Local' AND segmento='ESTR' AND ambito='PILAR3' AND entidade='00100')Y ON X.INSTRMNT_ID=Y.INSTRMNT_ID_SIMUL</v>
      </c>
      <c r="M262" s="36" t="str">
        <f t="shared" si="7"/>
        <v>UNION ALL SELECT 'INSTRUMENT' AS TABELA, 'COERÊNCIA' AS TIPOLOGIA_TESTE,'BU_LOANTAPE_WORK.LT002_INSTRUMENT' AS TABELA_LT,'BU_LOANTAPE_WORK.SIMUL_LT002_INSTRUMENT' AS TABELA_SIMUL,'sstnbl_indctr' AS CAMPO, '${ref_date}' AS REF_DATE, COUNT(*) AS NUM_REG, SUM(IF(COALESCE(CAST(X.sstnbl_indctr AS STRING),'')&lt;&gt;COALESCE(CAST(Y.sstnbl_indctr_SIMUL AS STRING),'') OR (X.sstnbl_indctr IS NULL AND Y.sstnbl_indctr_SIMUL IS NOT NULL ) OR (X.sstnbl_indctr IS NOT NULL AND Y.sstnbl_indctr_SIMUL IS NULL),1,0)) AS NUM_REG_DIF,'1' AS ID_EXEC, CURRENT_TIMESTAMP() AS TIME_EXEC FROM (SELECT instrmnt_id, sstnbl_indctr FROM BU_LOANTAPE_WORK.LT002_INSTRUMENT WHERE ref_date='${ref_date}' AND nome_perimetro='Individual Local' AND segmento='ESTR' AND ambito='SRB_MBDT' AND entidade='00100')X INNER JOIN (SELECT instrmnt_id AS instrmnt_id_SIMUL, sstnbl_indctr AS sstnbl_indctr_SIMUL FROM BU_LOANTAPE_WORK.SIMUL_LT002_INSTRUMENT WHERE ref_date='${ref_date}' AND nome_perimetro='Individual Local' AND segmento='ESTR' AND ambito='PILAR3' AND entidade='00100')Y ON X.INSTRMNT_ID=Y.INSTRMNT_ID_SIMUL</v>
      </c>
      <c r="N262" s="38"/>
    </row>
    <row r="263" spans="2:14">
      <c r="B263" s="34" t="s">
        <v>117</v>
      </c>
      <c r="C263" s="34" t="s">
        <v>5</v>
      </c>
      <c r="D263" s="34" t="str">
        <f>+UPPER('0. Instruções'!$D$35&amp;"."&amp;VLOOKUP(B263,'0. Instruções'!$C$27:$D$32,2,FALSE))</f>
        <v>BU_LOANTAPE_WORK.LT002_INSTRUMENT</v>
      </c>
      <c r="E263" s="34" t="str">
        <f>+UPPER('0. Instruções'!$D$36&amp;"."&amp;VLOOKUP(B263,'0. Instruções'!$C$27:$E$32,3,FALSE))</f>
        <v>BU_LOANTAPE_WORK.SIMUL_LT002_INSTRUMENT</v>
      </c>
      <c r="F263" s="34" t="s">
        <v>696</v>
      </c>
      <c r="G263" s="34"/>
      <c r="H263" s="34"/>
      <c r="I263" s="34" t="str">
        <f>"(SELECT "&amp;VLOOKUP(B263,'0. Instruções'!$C$27:$G$32,4,FALSE)&amp;", "&amp;F263&amp;" FROM "&amp;D263&amp;" WHERE "&amp;'0. Instruções'!$D$42&amp;")X"</f>
        <v>(SELECT instrmnt_id, sstnbl_ctgry FROM BU_LOANTAPE_WORK.LT002_INSTRUMENT WHERE ref_date='${ref_date}' AND nome_perimetro='Individual Local' AND segmento='ESTR' AND ambito='SRB_MBDT' AND entidade='00100')X</v>
      </c>
      <c r="J263" s="34" t="str">
        <f>"(SELECT "&amp;VLOOKUP(B263,'0. Instruções'!$C$27:$G$32,4,FALSE)&amp;" AS "&amp;VLOOKUP(B263,'0. Instruções'!$C$27:$G$32,4,FALSE)&amp;"_SIMUL, "&amp;F263&amp;" AS "&amp;F263&amp;"_SIMUL FROM "&amp;E263&amp;" WHERE "&amp;'0. Instruções'!$D$43&amp;")Y"</f>
        <v>(SELECT instrmnt_id AS instrmnt_id_SIMUL, sstnbl_ctgry AS sstnbl_ctgry_SIMUL FROM BU_LOANTAPE_WORK.SIMUL_LT002_INSTRUMENT WHERE ref_date='${ref_date}' AND nome_perimetro='Individual Local' AND segmento='ESTR' AND ambito='PILAR3' AND entidade='00100')Y</v>
      </c>
      <c r="K263" s="35" t="str">
        <f>+UPPER("ON X."&amp;VLOOKUP(B263,'0. Instruções'!$C$27:$G$32,4,FALSE)&amp;"=Y."&amp;VLOOKUP(B263,'0. Instruções'!$C$27:$G$32,4,FALSE)&amp;"_SIMUL")</f>
        <v>ON X.INSTRMNT_ID=Y.INSTRMNT_ID_SIMUL</v>
      </c>
      <c r="L263" s="35" t="str">
        <f>+IF(C263="Coerência", +IF(LEFT(G263,5)="FLOAT","SELECT '"&amp;UPPER(B263)&amp;"' AS TABELA, '"&amp;UPPER(C263)&amp;"' AS TIPOLOGIA_TESTE,'"&amp;D263&amp;"' AS TABELA_LT,'"&amp;E263&amp;"' AS TABELA_SIMUL,'"&amp;F263&amp;"' AS CAMPO, "&amp;"'${ref_date}' AS REF_DATE, COUNT(*) AS NUM_REG, SUM(IF((ABS(COALESCE(CAST(X."&amp;F263&amp;" AS DECIMAL(18,6)),0)-COALESCE(CAST(Y."&amp;F263&amp;"_SIMUL AS DECIMAL(18,6)),0))&gt;0.000001) OR (X."&amp;F263&amp;" IS NULL AND Y."&amp;F263&amp;"_SIMUL IS NOT NULL ) OR (X."&amp;F263&amp;" IS NOT NULL AND Y."&amp;F263&amp;"_SIMUL IS NULL),1,0)) AS NUM_REG_DIF,'"&amp;MAX('ID1&amp;5'!K:K)+1&amp;"' AS ID_EXEC, CURRENT_TIMESTAMP() AS TIME_EXEC FROM "&amp;I263&amp;" INNER JOIN "&amp;J263&amp;" "&amp;K263,"SELECT '"&amp;UPPER(B263)&amp;"' AS TABELA, '"&amp;UPPER(C263)&amp;"' AS TIPOLOGIA_TESTE,'"&amp;D263&amp;"' AS TABELA_LT,'"&amp;E263&amp;"' AS TABELA_SIMUL,'"&amp;F263&amp;"' AS CAMPO, "&amp;"'${ref_date}' AS REF_DATE, COUNT(*) AS NUM_REG, SUM(IF(COALESCE(CAST(X."&amp;F263&amp;" AS STRING),'')&lt;&gt;COALESCE(CAST(Y."&amp;F263&amp;"_SIMUL AS STRING),'') OR (X."&amp;F263&amp;" IS NULL AND Y."&amp;F263&amp;"_SIMUL IS NOT NULL ) OR (X."&amp;F263&amp;" IS NOT NULL AND Y."&amp;F263&amp;"_SIMUL IS NULL),1,0)) AS NUM_REG_DIF,'"&amp;MAX('ID1&amp;5'!L:L)+1&amp;"' AS ID_EXEC, CURRENT_TIMESTAMP() AS TIME_EXEC FROM "&amp;I263&amp;" INNER JOIN "&amp;J263&amp;" "&amp;K263),
IF(C263="Validade",+IF(G263="Code List","SELECT '"&amp;UPPER(B263)&amp;"' AS TABELA, '"&amp;UPPER(C263)&amp;"' AS TIPOLOGIA_TESTE,'"&amp;D263&amp;"' AS TABELA_LT,'N/A' AS TABELA_SIMUL,'"&amp;F263&amp;"' AS CAMPO, "&amp;"'${ref_date}' AS REF_DATE, COUNT(*) AS NUM_REG, SUM(IF(TRIM(CAST(X."&amp;F263&amp;" AS STRING))='' OR TRIM(CAST(X."&amp;F263&amp;" AS STRING)) IS NULL OR CAST(X."&amp;F263&amp;" AS STRING) NOT "&amp;H263&amp;",1,0)) AS NUM_REG_DIF,'"&amp;MAX('ID1&amp;5'!K:K)+1&amp;"' AS ID_EXEC, CURRENT_TIMESTAMP() AS TIME_EXEC FROM "&amp;I263,"SELECT '"&amp;UPPER(B263)&amp;"' AS TABELA, '"&amp;UPPER(C263)&amp;"' AS TIPOLOGIA_TESTE,'"&amp;D263&amp;"' AS TABELA_LT,'N/A' AS TABELA_SIMUL,'"&amp;F263&amp;"' AS CAMPO, "&amp;"'${ref_date}' AS REF_DATE, COUNT(*) AS NUM_REG, SUM(IF(TRIM(CAST(X."&amp;F263&amp;" AS STRING))='' OR TRIM(CAST(X."&amp;F263&amp;" AS STRING)) IS NULL,1,0)) AS NUM_REG_DIF,'"&amp;MAX('ID1&amp;5'!K:K)+1&amp;"' AS ID_EXEC, CURRENT_TIMESTAMP() AS TIME_EXEC FROM "&amp;I263),
IF(C263="Caracteres Especiais",+"SELECT '"&amp;UPPER(B263)&amp;"' AS TABELA, '"&amp;UPPER(C263)&amp;"' AS TIPOLOGIA_TESTE,'"&amp;D263&amp;"' AS TABELA_LT,'N/A' AS TABELA_SIMUL,'"&amp;F263&amp;"' AS CAMPO, "&amp;"'${ref_date}' AS REF_DATE, COUNT(*) AS NUM_REG, SUM(IF(REGEXP_REPLACE(TRIM(CAST(X."&amp;F263&amp;" AS STRING)),'[^a-zA-Z0-9_\\s]','') &lt;&gt;TRIM(CAST(X."&amp;F263&amp;" AS STRING)),1,0)) AS NUM_REG_DIF,'"&amp;MAX('ID1&amp;5'!K:K)+1&amp;"' AS ID_EXEC, CURRENT_TIMESTAMP() AS TIME_EXEC FROM "&amp;I263,
IF(C263="Missings",+"SELECT '"&amp;UPPER(B263)&amp;"' AS TABELA, '"&amp;UPPER(C263)&amp;"' AS TIPOLOGIA_TESTE,'"&amp;D263&amp;"' AS TABELA_LT,'N/A' AS TABELA_SIMUL,'"&amp;F263&amp;"' AS CAMPO, "&amp;"'${ref_date}' AS REF_DATE, COUNT(*) AS NUM_REG, SUM(IF(TRIM(CAST(X."&amp;F263&amp;" AS STRING)) IN ('0000-00-00','0001-01-01','9999-12-31','MISS','00000','99999999999','99999999999.00','99999999999.000000'),1,0)) AS NUM_REG_DIF,'"&amp;MAX('ID1&amp;5'!K:K)+1&amp;"' AS ID_EXEC, CURRENT_TIMESTAMP() AS TIME_EXEC FROM "&amp;I263,
IF(C263="Not applicable",+"SELECT '"&amp;UPPER(B263)&amp;"' AS TABELA, '"&amp;UPPER(C263)&amp;"' AS TIPOLOGIA_TESTE,'"&amp;D263&amp;"' AS TABELA_LT,'N/A' AS TABELA_SIMUL,'"&amp;F263&amp;"' AS CAMPO, "&amp;"'${ref_date}' AS REF_DATE, COUNT(*) AS NUM_REG, SUM(IF(TRIM(CAST(X."&amp;F263&amp;" AS STRING)) IN ('N/A','11111111111','11111111111.00','11111111111.000000','1111-11-11'),1,0)) AS NUM_REG_DIF,'"&amp;MAX('ID1&amp;5'!K:K)+1&amp;"' AS ID_EXEC, CURRENT_TIMESTAMP() AS TIME_EXEC FROM "&amp;I263,
IF(C263="Valores extremos",+"SELECT '"&amp;UPPER(B263)&amp;"' AS TABELA, '"&amp;UPPER(C263)&amp;"' AS TIPOLOGIA_TESTE,'"&amp;D263&amp;"' AS TABELA_LT,'N/A' AS TABELA_SIMUL,'"&amp;F263&amp;"' AS CAMPO, "&amp;"'${ref_date}' AS REF_DATE, CAST(MIN("&amp;F263&amp;") AS STRING) AS VALOR_MIN, CAST(MAX("&amp;F263&amp;") AS STRING) AS VALOR_MAX,'"&amp;MAX('ID1&amp;5'!K:K)+1&amp;"' AS ID_EXEC, CURRENT_TIMESTAMP() AS TIME_EXEC FROM "&amp;MID(I263,1,LEN(I263)-2)&amp;" AND CAST("&amp;F263&amp;"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TABELA_SIMUL,'sstnbl_ctgry' AS CAMPO, '${ref_date}' AS REF_DATE, COUNT(*) AS NUM_REG, SUM(IF(COALESCE(CAST(X.sstnbl_ctgry AS STRING),'')&lt;&gt;COALESCE(CAST(Y.sstnbl_ctgry_SIMUL AS STRING),'') OR (X.sstnbl_ctgry IS NULL AND Y.sstnbl_ctgry_SIMUL IS NOT NULL ) OR (X.sstnbl_ctgry IS NOT NULL AND Y.sstnbl_ctgry_SIMUL IS NULL),1,0)) AS NUM_REG_DIF,'1' AS ID_EXEC, CURRENT_TIMESTAMP() AS TIME_EXEC FROM (SELECT instrmnt_id, sstnbl_ctgry FROM BU_LOANTAPE_WORK.LT002_INSTRUMENT WHERE ref_date='${ref_date}' AND nome_perimetro='Individual Local' AND segmento='ESTR' AND ambito='SRB_MBDT' AND entidade='00100')X INNER JOIN (SELECT instrmnt_id AS instrmnt_id_SIMUL, sstnbl_ctgry AS sstnbl_ctgry_SIMUL FROM BU_LOANTAPE_WORK.SIMUL_LT002_INSTRUMENT WHERE ref_date='${ref_date}' AND nome_perimetro='Individual Local' AND segmento='ESTR' AND ambito='PILAR3' AND entidade='00100')Y ON X.INSTRMNT_ID=Y.INSTRMNT_ID_SIMUL</v>
      </c>
      <c r="M263" s="36" t="str">
        <f t="shared" si="7"/>
        <v>UNION ALL SELECT 'INSTRUMENT' AS TABELA, 'COERÊNCIA' AS TIPOLOGIA_TESTE,'BU_LOANTAPE_WORK.LT002_INSTRUMENT' AS TABELA_LT,'BU_LOANTAPE_WORK.SIMUL_LT002_INSTRUMENT' AS TABELA_SIMUL,'sstnbl_ctgry' AS CAMPO, '${ref_date}' AS REF_DATE, COUNT(*) AS NUM_REG, SUM(IF(COALESCE(CAST(X.sstnbl_ctgry AS STRING),'')&lt;&gt;COALESCE(CAST(Y.sstnbl_ctgry_SIMUL AS STRING),'') OR (X.sstnbl_ctgry IS NULL AND Y.sstnbl_ctgry_SIMUL IS NOT NULL ) OR (X.sstnbl_ctgry IS NOT NULL AND Y.sstnbl_ctgry_SIMUL IS NULL),1,0)) AS NUM_REG_DIF,'1' AS ID_EXEC, CURRENT_TIMESTAMP() AS TIME_EXEC FROM (SELECT instrmnt_id, sstnbl_ctgry FROM BU_LOANTAPE_WORK.LT002_INSTRUMENT WHERE ref_date='${ref_date}' AND nome_perimetro='Individual Local' AND segmento='ESTR' AND ambito='SRB_MBDT' AND entidade='00100')X INNER JOIN (SELECT instrmnt_id AS instrmnt_id_SIMUL, sstnbl_ctgry AS sstnbl_ctgry_SIMUL FROM BU_LOANTAPE_WORK.SIMUL_LT002_INSTRUMENT WHERE ref_date='${ref_date}' AND nome_perimetro='Individual Local' AND segmento='ESTR' AND ambito='PILAR3' AND entidade='00100')Y ON X.INSTRMNT_ID=Y.INSTRMNT_ID_SIMUL</v>
      </c>
      <c r="N263" s="38"/>
    </row>
    <row r="264" spans="2:14">
      <c r="B264" s="34" t="s">
        <v>117</v>
      </c>
      <c r="C264" s="34" t="s">
        <v>5</v>
      </c>
      <c r="D264" s="34" t="str">
        <f>+UPPER('0. Instruções'!$D$35&amp;"."&amp;VLOOKUP(B264,'0. Instruções'!$C$27:$D$32,2,FALSE))</f>
        <v>BU_LOANTAPE_WORK.LT002_INSTRUMENT</v>
      </c>
      <c r="E264" s="34" t="str">
        <f>+UPPER('0. Instruções'!$D$36&amp;"."&amp;VLOOKUP(B264,'0. Instruções'!$C$27:$E$32,3,FALSE))</f>
        <v>BU_LOANTAPE_WORK.SIMUL_LT002_INSTRUMENT</v>
      </c>
      <c r="F264" s="34" t="s">
        <v>1318</v>
      </c>
      <c r="G264" s="34"/>
      <c r="H264" s="34"/>
      <c r="I264" s="34" t="str">
        <f>"(SELECT "&amp;VLOOKUP(B264,'0. Instruções'!$C$27:$G$32,4,FALSE)&amp;", "&amp;F264&amp;" FROM "&amp;D264&amp;" WHERE "&amp;'0. Instruções'!$D$42&amp;")X"</f>
        <v>(SELECT instrmnt_id, avrg_blnc FROM BU_LOANTAPE_WORK.LT002_INSTRUMENT WHERE ref_date='${ref_date}' AND nome_perimetro='Individual Local' AND segmento='ESTR' AND ambito='SRB_MBDT' AND entidade='00100')X</v>
      </c>
      <c r="J264" s="34" t="str">
        <f>"(SELECT "&amp;VLOOKUP(B264,'0. Instruções'!$C$27:$G$32,4,FALSE)&amp;" AS "&amp;VLOOKUP(B264,'0. Instruções'!$C$27:$G$32,4,FALSE)&amp;"_SIMUL, "&amp;F264&amp;" AS "&amp;F264&amp;"_SIMUL FROM "&amp;E264&amp;" WHERE "&amp;'0. Instruções'!$D$43&amp;")Y"</f>
        <v>(SELECT instrmnt_id AS instrmnt_id_SIMUL, avrg_blnc AS avrg_blnc_SIMUL FROM BU_LOANTAPE_WORK.SIMUL_LT002_INSTRUMENT WHERE ref_date='${ref_date}' AND nome_perimetro='Individual Local' AND segmento='ESTR' AND ambito='PILAR3' AND entidade='00100')Y</v>
      </c>
      <c r="K264" s="35" t="str">
        <f>+UPPER("ON X."&amp;VLOOKUP(B264,'0. Instruções'!$C$27:$G$32,4,FALSE)&amp;"=Y."&amp;VLOOKUP(B264,'0. Instruções'!$C$27:$G$32,4,FALSE)&amp;"_SIMUL")</f>
        <v>ON X.INSTRMNT_ID=Y.INSTRMNT_ID_SIMUL</v>
      </c>
      <c r="L264" s="35" t="str">
        <f>+IF(C264="Coerência", +IF(LEFT(G264,5)="FLOAT","SELECT '"&amp;UPPER(B264)&amp;"' AS TABELA, '"&amp;UPPER(C264)&amp;"' AS TIPOLOGIA_TESTE,'"&amp;D264&amp;"' AS TABELA_LT,'"&amp;E264&amp;"' AS TABELA_SIMUL,'"&amp;F264&amp;"' AS CAMPO, "&amp;"'${ref_date}' AS REF_DATE, COUNT(*) AS NUM_REG, SUM(IF((ABS(COALESCE(CAST(X."&amp;F264&amp;" AS DECIMAL(18,6)),0)-COALESCE(CAST(Y."&amp;F264&amp;"_SIMUL AS DECIMAL(18,6)),0))&gt;0.000001) OR (X."&amp;F264&amp;" IS NULL AND Y."&amp;F264&amp;"_SIMUL IS NOT NULL ) OR (X."&amp;F264&amp;" IS NOT NULL AND Y."&amp;F264&amp;"_SIMUL IS NULL),1,0)) AS NUM_REG_DIF,'"&amp;MAX('ID1&amp;5'!K:K)+1&amp;"' AS ID_EXEC, CURRENT_TIMESTAMP() AS TIME_EXEC FROM "&amp;I264&amp;" INNER JOIN "&amp;J264&amp;" "&amp;K264,"SELECT '"&amp;UPPER(B264)&amp;"' AS TABELA, '"&amp;UPPER(C264)&amp;"' AS TIPOLOGIA_TESTE,'"&amp;D264&amp;"' AS TABELA_LT,'"&amp;E264&amp;"' AS TABELA_SIMUL,'"&amp;F264&amp;"' AS CAMPO, "&amp;"'${ref_date}' AS REF_DATE, COUNT(*) AS NUM_REG, SUM(IF(COALESCE(CAST(X."&amp;F264&amp;" AS STRING),'')&lt;&gt;COALESCE(CAST(Y."&amp;F264&amp;"_SIMUL AS STRING),'') OR (X."&amp;F264&amp;" IS NULL AND Y."&amp;F264&amp;"_SIMUL IS NOT NULL ) OR (X."&amp;F264&amp;" IS NOT NULL AND Y."&amp;F264&amp;"_SIMUL IS NULL),1,0)) AS NUM_REG_DIF,'"&amp;MAX('ID1&amp;5'!L:L)+1&amp;"' AS ID_EXEC, CURRENT_TIMESTAMP() AS TIME_EXEC FROM "&amp;I264&amp;" INNER JOIN "&amp;J264&amp;" "&amp;K264),
IF(C264="Validade",+IF(G264="Code List","SELECT '"&amp;UPPER(B264)&amp;"' AS TABELA, '"&amp;UPPER(C264)&amp;"' AS TIPOLOGIA_TESTE,'"&amp;D264&amp;"' AS TABELA_LT,'N/A' AS TABELA_SIMUL,'"&amp;F264&amp;"' AS CAMPO, "&amp;"'${ref_date}' AS REF_DATE, COUNT(*) AS NUM_REG, SUM(IF(TRIM(CAST(X."&amp;F264&amp;" AS STRING))='' OR TRIM(CAST(X."&amp;F264&amp;" AS STRING)) IS NULL OR CAST(X."&amp;F264&amp;" AS STRING) NOT "&amp;H264&amp;",1,0)) AS NUM_REG_DIF,'"&amp;MAX('ID1&amp;5'!K:K)+1&amp;"' AS ID_EXEC, CURRENT_TIMESTAMP() AS TIME_EXEC FROM "&amp;I264,"SELECT '"&amp;UPPER(B264)&amp;"' AS TABELA, '"&amp;UPPER(C264)&amp;"' AS TIPOLOGIA_TESTE,'"&amp;D264&amp;"' AS TABELA_LT,'N/A' AS TABELA_SIMUL,'"&amp;F264&amp;"' AS CAMPO, "&amp;"'${ref_date}' AS REF_DATE, COUNT(*) AS NUM_REG, SUM(IF(TRIM(CAST(X."&amp;F264&amp;" AS STRING))='' OR TRIM(CAST(X."&amp;F264&amp;" AS STRING)) IS NULL,1,0)) AS NUM_REG_DIF,'"&amp;MAX('ID1&amp;5'!K:K)+1&amp;"' AS ID_EXEC, CURRENT_TIMESTAMP() AS TIME_EXEC FROM "&amp;I264),
IF(C264="Caracteres Especiais",+"SELECT '"&amp;UPPER(B264)&amp;"' AS TABELA, '"&amp;UPPER(C264)&amp;"' AS TIPOLOGIA_TESTE,'"&amp;D264&amp;"' AS TABELA_LT,'N/A' AS TABELA_SIMUL,'"&amp;F264&amp;"' AS CAMPO, "&amp;"'${ref_date}' AS REF_DATE, COUNT(*) AS NUM_REG, SUM(IF(REGEXP_REPLACE(TRIM(CAST(X."&amp;F264&amp;" AS STRING)),'[^a-zA-Z0-9_\\s]','') &lt;&gt;TRIM(CAST(X."&amp;F264&amp;" AS STRING)),1,0)) AS NUM_REG_DIF,'"&amp;MAX('ID1&amp;5'!K:K)+1&amp;"' AS ID_EXEC, CURRENT_TIMESTAMP() AS TIME_EXEC FROM "&amp;I264,
IF(C264="Missings",+"SELECT '"&amp;UPPER(B264)&amp;"' AS TABELA, '"&amp;UPPER(C264)&amp;"' AS TIPOLOGIA_TESTE,'"&amp;D264&amp;"' AS TABELA_LT,'N/A' AS TABELA_SIMUL,'"&amp;F264&amp;"' AS CAMPO, "&amp;"'${ref_date}' AS REF_DATE, COUNT(*) AS NUM_REG, SUM(IF(TRIM(CAST(X."&amp;F264&amp;" AS STRING)) IN ('0000-00-00','0001-01-01','9999-12-31','MISS','00000','99999999999','99999999999.00','99999999999.000000'),1,0)) AS NUM_REG_DIF,'"&amp;MAX('ID1&amp;5'!K:K)+1&amp;"' AS ID_EXEC, CURRENT_TIMESTAMP() AS TIME_EXEC FROM "&amp;I264,
IF(C264="Not applicable",+"SELECT '"&amp;UPPER(B264)&amp;"' AS TABELA, '"&amp;UPPER(C264)&amp;"' AS TIPOLOGIA_TESTE,'"&amp;D264&amp;"' AS TABELA_LT,'N/A' AS TABELA_SIMUL,'"&amp;F264&amp;"' AS CAMPO, "&amp;"'${ref_date}' AS REF_DATE, COUNT(*) AS NUM_REG, SUM(IF(TRIM(CAST(X."&amp;F264&amp;" AS STRING)) IN ('N/A','11111111111','11111111111.00','11111111111.000000','1111-11-11'),1,0)) AS NUM_REG_DIF,'"&amp;MAX('ID1&amp;5'!K:K)+1&amp;"' AS ID_EXEC, CURRENT_TIMESTAMP() AS TIME_EXEC FROM "&amp;I264,
IF(C264="Valores extremos",+"SELECT '"&amp;UPPER(B264)&amp;"' AS TABELA, '"&amp;UPPER(C264)&amp;"' AS TIPOLOGIA_TESTE,'"&amp;D264&amp;"' AS TABELA_LT,'N/A' AS TABELA_SIMUL,'"&amp;F264&amp;"' AS CAMPO, "&amp;"'${ref_date}' AS REF_DATE, CAST(MIN("&amp;F264&amp;") AS STRING) AS VALOR_MIN, CAST(MAX("&amp;F264&amp;") AS STRING) AS VALOR_MAX,'"&amp;MAX('ID1&amp;5'!K:K)+1&amp;"' AS ID_EXEC, CURRENT_TIMESTAMP() AS TIME_EXEC FROM "&amp;MID(I264,1,LEN(I264)-2)&amp;" AND CAST("&amp;F264&amp;"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TABELA_SIMUL,'avrg_blnc' AS CAMPO, '${ref_date}' AS REF_DATE, COUNT(*) AS NUM_REG, SUM(IF(COALESCE(CAST(X.avrg_blnc AS STRING),'')&lt;&gt;COALESCE(CAST(Y.avrg_blnc_SIMUL AS STRING),'') OR (X.avrg_blnc IS NULL AND Y.avrg_blnc_SIMUL IS NOT NULL ) OR (X.avrg_blnc IS NOT NULL AND Y.avrg_blnc_SIMUL IS NULL),1,0)) AS NUM_REG_DIF,'1' AS ID_EXEC, CURRENT_TIMESTAMP() AS TIME_EXEC FROM (SELECT instrmnt_id, avrg_blnc FROM BU_LOANTAPE_WORK.LT002_INSTRUMENT WHERE ref_date='${ref_date}' AND nome_perimetro='Individual Local' AND segmento='ESTR' AND ambito='SRB_MBDT' AND entidade='00100')X INNER JOIN (SELECT instrmnt_id AS instrmnt_id_SIMUL, avrg_blnc AS avrg_blnc_SIMUL FROM BU_LOANTAPE_WORK.SIMUL_LT002_INSTRUMENT WHERE ref_date='${ref_date}' AND nome_perimetro='Individual Local' AND segmento='ESTR' AND ambito='PILAR3' AND entidade='00100')Y ON X.INSTRMNT_ID=Y.INSTRMNT_ID_SIMUL</v>
      </c>
      <c r="M264" s="36" t="str">
        <f t="shared" si="7"/>
        <v>UNION ALL SELECT 'INSTRUMENT' AS TABELA, 'COERÊNCIA' AS TIPOLOGIA_TESTE,'BU_LOANTAPE_WORK.LT002_INSTRUMENT' AS TABELA_LT,'BU_LOANTAPE_WORK.SIMUL_LT002_INSTRUMENT' AS TABELA_SIMUL,'avrg_blnc' AS CAMPO, '${ref_date}' AS REF_DATE, COUNT(*) AS NUM_REG, SUM(IF(COALESCE(CAST(X.avrg_blnc AS STRING),'')&lt;&gt;COALESCE(CAST(Y.avrg_blnc_SIMUL AS STRING),'') OR (X.avrg_blnc IS NULL AND Y.avrg_blnc_SIMUL IS NOT NULL ) OR (X.avrg_blnc IS NOT NULL AND Y.avrg_blnc_SIMUL IS NULL),1,0)) AS NUM_REG_DIF,'1' AS ID_EXEC, CURRENT_TIMESTAMP() AS TIME_EXEC FROM (SELECT instrmnt_id, avrg_blnc FROM BU_LOANTAPE_WORK.LT002_INSTRUMENT WHERE ref_date='${ref_date}' AND nome_perimetro='Individual Local' AND segmento='ESTR' AND ambito='SRB_MBDT' AND entidade='00100')X INNER JOIN (SELECT instrmnt_id AS instrmnt_id_SIMUL, avrg_blnc AS avrg_blnc_SIMUL FROM BU_LOANTAPE_WORK.SIMUL_LT002_INSTRUMENT WHERE ref_date='${ref_date}' AND nome_perimetro='Individual Local' AND segmento='ESTR' AND ambito='PILAR3' AND entidade='00100')Y ON X.INSTRMNT_ID=Y.INSTRMNT_ID_SIMUL</v>
      </c>
      <c r="N264" s="38"/>
    </row>
    <row r="265" spans="2:14">
      <c r="B265" s="34" t="s">
        <v>117</v>
      </c>
      <c r="C265" s="34" t="s">
        <v>5</v>
      </c>
      <c r="D265" s="34" t="str">
        <f>+UPPER('0. Instruções'!$D$35&amp;"."&amp;VLOOKUP(B265,'0. Instruções'!$C$27:$D$32,2,FALSE))</f>
        <v>BU_LOANTAPE_WORK.LT002_INSTRUMENT</v>
      </c>
      <c r="E265" s="34" t="str">
        <f>+UPPER('0. Instruções'!$D$36&amp;"."&amp;VLOOKUP(B265,'0. Instruções'!$C$27:$E$32,3,FALSE))</f>
        <v>BU_LOANTAPE_WORK.SIMUL_LT002_INSTRUMENT</v>
      </c>
      <c r="F265" s="34" t="s">
        <v>1319</v>
      </c>
      <c r="G265" s="34"/>
      <c r="H265" s="34"/>
      <c r="I265" s="34" t="str">
        <f>"(SELECT "&amp;VLOOKUP(B265,'0. Instruções'!$C$27:$G$32,4,FALSE)&amp;", "&amp;F265&amp;" FROM "&amp;D265&amp;" WHERE "&amp;'0. Instruções'!$D$42&amp;")X"</f>
        <v>(SELECT instrmnt_id, nw_bsnss FROM BU_LOANTAPE_WORK.LT002_INSTRUMENT WHERE ref_date='${ref_date}' AND nome_perimetro='Individual Local' AND segmento='ESTR' AND ambito='SRB_MBDT' AND entidade='00100')X</v>
      </c>
      <c r="J265" s="34" t="str">
        <f>"(SELECT "&amp;VLOOKUP(B265,'0. Instruções'!$C$27:$G$32,4,FALSE)&amp;" AS "&amp;VLOOKUP(B265,'0. Instruções'!$C$27:$G$32,4,FALSE)&amp;"_SIMUL, "&amp;F265&amp;" AS "&amp;F265&amp;"_SIMUL FROM "&amp;E265&amp;" WHERE "&amp;'0. Instruções'!$D$43&amp;")Y"</f>
        <v>(SELECT instrmnt_id AS instrmnt_id_SIMUL, nw_bsnss AS nw_bsnss_SIMUL FROM BU_LOANTAPE_WORK.SIMUL_LT002_INSTRUMENT WHERE ref_date='${ref_date}' AND nome_perimetro='Individual Local' AND segmento='ESTR' AND ambito='PILAR3' AND entidade='00100')Y</v>
      </c>
      <c r="K265" s="35" t="str">
        <f>+UPPER("ON X."&amp;VLOOKUP(B265,'0. Instruções'!$C$27:$G$32,4,FALSE)&amp;"=Y."&amp;VLOOKUP(B265,'0. Instruções'!$C$27:$G$32,4,FALSE)&amp;"_SIMUL")</f>
        <v>ON X.INSTRMNT_ID=Y.INSTRMNT_ID_SIMUL</v>
      </c>
      <c r="L265" s="35" t="str">
        <f>+IF(C265="Coerência", +IF(LEFT(G265,5)="FLOAT","SELECT '"&amp;UPPER(B265)&amp;"' AS TABELA, '"&amp;UPPER(C265)&amp;"' AS TIPOLOGIA_TESTE,'"&amp;D265&amp;"' AS TABELA_LT,'"&amp;E265&amp;"' AS TABELA_SIMUL,'"&amp;F265&amp;"' AS CAMPO, "&amp;"'${ref_date}' AS REF_DATE, COUNT(*) AS NUM_REG, SUM(IF((ABS(COALESCE(CAST(X."&amp;F265&amp;" AS DECIMAL(18,6)),0)-COALESCE(CAST(Y."&amp;F265&amp;"_SIMUL AS DECIMAL(18,6)),0))&gt;0.000001) OR (X."&amp;F265&amp;" IS NULL AND Y."&amp;F265&amp;"_SIMUL IS NOT NULL ) OR (X."&amp;F265&amp;" IS NOT NULL AND Y."&amp;F265&amp;"_SIMUL IS NULL),1,0)) AS NUM_REG_DIF,'"&amp;MAX('ID1&amp;5'!K:K)+1&amp;"' AS ID_EXEC, CURRENT_TIMESTAMP() AS TIME_EXEC FROM "&amp;I265&amp;" INNER JOIN "&amp;J265&amp;" "&amp;K265,"SELECT '"&amp;UPPER(B265)&amp;"' AS TABELA, '"&amp;UPPER(C265)&amp;"' AS TIPOLOGIA_TESTE,'"&amp;D265&amp;"' AS TABELA_LT,'"&amp;E265&amp;"' AS TABELA_SIMUL,'"&amp;F265&amp;"' AS CAMPO, "&amp;"'${ref_date}' AS REF_DATE, COUNT(*) AS NUM_REG, SUM(IF(COALESCE(CAST(X."&amp;F265&amp;" AS STRING),'')&lt;&gt;COALESCE(CAST(Y."&amp;F265&amp;"_SIMUL AS STRING),'') OR (X."&amp;F265&amp;" IS NULL AND Y."&amp;F265&amp;"_SIMUL IS NOT NULL ) OR (X."&amp;F265&amp;" IS NOT NULL AND Y."&amp;F265&amp;"_SIMUL IS NULL),1,0)) AS NUM_REG_DIF,'"&amp;MAX('ID1&amp;5'!L:L)+1&amp;"' AS ID_EXEC, CURRENT_TIMESTAMP() AS TIME_EXEC FROM "&amp;I265&amp;" INNER JOIN "&amp;J265&amp;" "&amp;K265),
IF(C265="Validade",+IF(G265="Code List","SELECT '"&amp;UPPER(B265)&amp;"' AS TABELA, '"&amp;UPPER(C265)&amp;"' AS TIPOLOGIA_TESTE,'"&amp;D265&amp;"' AS TABELA_LT,'N/A' AS TABELA_SIMUL,'"&amp;F265&amp;"' AS CAMPO, "&amp;"'${ref_date}' AS REF_DATE, COUNT(*) AS NUM_REG, SUM(IF(TRIM(CAST(X."&amp;F265&amp;" AS STRING))='' OR TRIM(CAST(X."&amp;F265&amp;" AS STRING)) IS NULL OR CAST(X."&amp;F265&amp;" AS STRING) NOT "&amp;H265&amp;",1,0)) AS NUM_REG_DIF,'"&amp;MAX('ID1&amp;5'!K:K)+1&amp;"' AS ID_EXEC, CURRENT_TIMESTAMP() AS TIME_EXEC FROM "&amp;I265,"SELECT '"&amp;UPPER(B265)&amp;"' AS TABELA, '"&amp;UPPER(C265)&amp;"' AS TIPOLOGIA_TESTE,'"&amp;D265&amp;"' AS TABELA_LT,'N/A' AS TABELA_SIMUL,'"&amp;F265&amp;"' AS CAMPO, "&amp;"'${ref_date}' AS REF_DATE, COUNT(*) AS NUM_REG, SUM(IF(TRIM(CAST(X."&amp;F265&amp;" AS STRING))='' OR TRIM(CAST(X."&amp;F265&amp;" AS STRING)) IS NULL,1,0)) AS NUM_REG_DIF,'"&amp;MAX('ID1&amp;5'!K:K)+1&amp;"' AS ID_EXEC, CURRENT_TIMESTAMP() AS TIME_EXEC FROM "&amp;I265),
IF(C265="Caracteres Especiais",+"SELECT '"&amp;UPPER(B265)&amp;"' AS TABELA, '"&amp;UPPER(C265)&amp;"' AS TIPOLOGIA_TESTE,'"&amp;D265&amp;"' AS TABELA_LT,'N/A' AS TABELA_SIMUL,'"&amp;F265&amp;"' AS CAMPO, "&amp;"'${ref_date}' AS REF_DATE, COUNT(*) AS NUM_REG, SUM(IF(REGEXP_REPLACE(TRIM(CAST(X."&amp;F265&amp;" AS STRING)),'[^a-zA-Z0-9_\\s]','') &lt;&gt;TRIM(CAST(X."&amp;F265&amp;" AS STRING)),1,0)) AS NUM_REG_DIF,'"&amp;MAX('ID1&amp;5'!K:K)+1&amp;"' AS ID_EXEC, CURRENT_TIMESTAMP() AS TIME_EXEC FROM "&amp;I265,
IF(C265="Missings",+"SELECT '"&amp;UPPER(B265)&amp;"' AS TABELA, '"&amp;UPPER(C265)&amp;"' AS TIPOLOGIA_TESTE,'"&amp;D265&amp;"' AS TABELA_LT,'N/A' AS TABELA_SIMUL,'"&amp;F265&amp;"' AS CAMPO, "&amp;"'${ref_date}' AS REF_DATE, COUNT(*) AS NUM_REG, SUM(IF(TRIM(CAST(X."&amp;F265&amp;" AS STRING)) IN ('0000-00-00','0001-01-01','9999-12-31','MISS','00000','99999999999','99999999999.00','99999999999.000000'),1,0)) AS NUM_REG_DIF,'"&amp;MAX('ID1&amp;5'!K:K)+1&amp;"' AS ID_EXEC, CURRENT_TIMESTAMP() AS TIME_EXEC FROM "&amp;I265,
IF(C265="Not applicable",+"SELECT '"&amp;UPPER(B265)&amp;"' AS TABELA, '"&amp;UPPER(C265)&amp;"' AS TIPOLOGIA_TESTE,'"&amp;D265&amp;"' AS TABELA_LT,'N/A' AS TABELA_SIMUL,'"&amp;F265&amp;"' AS CAMPO, "&amp;"'${ref_date}' AS REF_DATE, COUNT(*) AS NUM_REG, SUM(IF(TRIM(CAST(X."&amp;F265&amp;" AS STRING)) IN ('N/A','11111111111','11111111111.00','11111111111.000000','1111-11-11'),1,0)) AS NUM_REG_DIF,'"&amp;MAX('ID1&amp;5'!K:K)+1&amp;"' AS ID_EXEC, CURRENT_TIMESTAMP() AS TIME_EXEC FROM "&amp;I265,
IF(C265="Valores extremos",+"SELECT '"&amp;UPPER(B265)&amp;"' AS TABELA, '"&amp;UPPER(C265)&amp;"' AS TIPOLOGIA_TESTE,'"&amp;D265&amp;"' AS TABELA_LT,'N/A' AS TABELA_SIMUL,'"&amp;F265&amp;"' AS CAMPO, "&amp;"'${ref_date}' AS REF_DATE, CAST(MIN("&amp;F265&amp;") AS STRING) AS VALOR_MIN, CAST(MAX("&amp;F265&amp;") AS STRING) AS VALOR_MAX,'"&amp;MAX('ID1&amp;5'!K:K)+1&amp;"' AS ID_EXEC, CURRENT_TIMESTAMP() AS TIME_EXEC FROM "&amp;MID(I265,1,LEN(I265)-2)&amp;" AND CAST("&amp;F265&amp;"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TABELA_SIMUL,'nw_bsnss' AS CAMPO, '${ref_date}' AS REF_DATE, COUNT(*) AS NUM_REG, SUM(IF(COALESCE(CAST(X.nw_bsnss AS STRING),'')&lt;&gt;COALESCE(CAST(Y.nw_bsnss_SIMUL AS STRING),'') OR (X.nw_bsnss IS NULL AND Y.nw_bsnss_SIMUL IS NOT NULL ) OR (X.nw_bsnss IS NOT NULL AND Y.nw_bsnss_SIMUL IS NULL),1,0)) AS NUM_REG_DIF,'1' AS ID_EXEC, CURRENT_TIMESTAMP() AS TIME_EXEC FROM (SELECT instrmnt_id, nw_bsnss FROM BU_LOANTAPE_WORK.LT002_INSTRUMENT WHERE ref_date='${ref_date}' AND nome_perimetro='Individual Local' AND segmento='ESTR' AND ambito='SRB_MBDT' AND entidade='00100')X INNER JOIN (SELECT instrmnt_id AS instrmnt_id_SIMUL, nw_bsnss AS nw_bsnss_SIMUL FROM BU_LOANTAPE_WORK.SIMUL_LT002_INSTRUMENT WHERE ref_date='${ref_date}' AND nome_perimetro='Individual Local' AND segmento='ESTR' AND ambito='PILAR3' AND entidade='00100')Y ON X.INSTRMNT_ID=Y.INSTRMNT_ID_SIMUL</v>
      </c>
      <c r="M265" s="36" t="str">
        <f t="shared" si="7"/>
        <v>UNION ALL SELECT 'INSTRUMENT' AS TABELA, 'COERÊNCIA' AS TIPOLOGIA_TESTE,'BU_LOANTAPE_WORK.LT002_INSTRUMENT' AS TABELA_LT,'BU_LOANTAPE_WORK.SIMUL_LT002_INSTRUMENT' AS TABELA_SIMUL,'nw_bsnss' AS CAMPO, '${ref_date}' AS REF_DATE, COUNT(*) AS NUM_REG, SUM(IF(COALESCE(CAST(X.nw_bsnss AS STRING),'')&lt;&gt;COALESCE(CAST(Y.nw_bsnss_SIMUL AS STRING),'') OR (X.nw_bsnss IS NULL AND Y.nw_bsnss_SIMUL IS NOT NULL ) OR (X.nw_bsnss IS NOT NULL AND Y.nw_bsnss_SIMUL IS NULL),1,0)) AS NUM_REG_DIF,'1' AS ID_EXEC, CURRENT_TIMESTAMP() AS TIME_EXEC FROM (SELECT instrmnt_id, nw_bsnss FROM BU_LOANTAPE_WORK.LT002_INSTRUMENT WHERE ref_date='${ref_date}' AND nome_perimetro='Individual Local' AND segmento='ESTR' AND ambito='SRB_MBDT' AND entidade='00100')X INNER JOIN (SELECT instrmnt_id AS instrmnt_id_SIMUL, nw_bsnss AS nw_bsnss_SIMUL FROM BU_LOANTAPE_WORK.SIMUL_LT002_INSTRUMENT WHERE ref_date='${ref_date}' AND nome_perimetro='Individual Local' AND segmento='ESTR' AND ambito='PILAR3' AND entidade='00100')Y ON X.INSTRMNT_ID=Y.INSTRMNT_ID_SIMUL</v>
      </c>
      <c r="N265" s="38"/>
    </row>
    <row r="266" spans="2:14">
      <c r="B266" s="34" t="s">
        <v>117</v>
      </c>
      <c r="C266" s="34" t="s">
        <v>5</v>
      </c>
      <c r="D266" s="34" t="str">
        <f>+UPPER('0. Instruções'!$D$35&amp;"."&amp;VLOOKUP(B266,'0. Instruções'!$C$27:$D$32,2,FALSE))</f>
        <v>BU_LOANTAPE_WORK.LT002_INSTRUMENT</v>
      </c>
      <c r="E266" s="34" t="str">
        <f>+UPPER('0. Instruções'!$D$36&amp;"."&amp;VLOOKUP(B266,'0. Instruções'!$C$27:$E$32,3,FALSE))</f>
        <v>BU_LOANTAPE_WORK.SIMUL_LT002_INSTRUMENT</v>
      </c>
      <c r="F266" s="34" t="s">
        <v>658</v>
      </c>
      <c r="G266" s="34"/>
      <c r="H266" s="34"/>
      <c r="I266" s="34" t="str">
        <f>"(SELECT "&amp;VLOOKUP(B266,'0. Instruções'!$C$27:$G$32,4,FALSE)&amp;", "&amp;F266&amp;" FROM "&amp;D266&amp;" WHERE "&amp;'0. Instruções'!$D$42&amp;")X"</f>
        <v>(SELECT instrmnt_id, grss_intrst_incm FROM BU_LOANTAPE_WORK.LT002_INSTRUMENT WHERE ref_date='${ref_date}' AND nome_perimetro='Individual Local' AND segmento='ESTR' AND ambito='SRB_MBDT' AND entidade='00100')X</v>
      </c>
      <c r="J266" s="34" t="str">
        <f>"(SELECT "&amp;VLOOKUP(B266,'0. Instruções'!$C$27:$G$32,4,FALSE)&amp;" AS "&amp;VLOOKUP(B266,'0. Instruções'!$C$27:$G$32,4,FALSE)&amp;"_SIMUL, "&amp;F266&amp;" AS "&amp;F266&amp;"_SIMUL FROM "&amp;E266&amp;" WHERE "&amp;'0. Instruções'!$D$43&amp;")Y"</f>
        <v>(SELECT instrmnt_id AS instrmnt_id_SIMUL, grss_intrst_incm AS grss_intrst_incm_SIMUL FROM BU_LOANTAPE_WORK.SIMUL_LT002_INSTRUMENT WHERE ref_date='${ref_date}' AND nome_perimetro='Individual Local' AND segmento='ESTR' AND ambito='PILAR3' AND entidade='00100')Y</v>
      </c>
      <c r="K266" s="35" t="str">
        <f>+UPPER("ON X."&amp;VLOOKUP(B266,'0. Instruções'!$C$27:$G$32,4,FALSE)&amp;"=Y."&amp;VLOOKUP(B266,'0. Instruções'!$C$27:$G$32,4,FALSE)&amp;"_SIMUL")</f>
        <v>ON X.INSTRMNT_ID=Y.INSTRMNT_ID_SIMUL</v>
      </c>
      <c r="L266" s="35" t="str">
        <f>+IF(C266="Coerência", +IF(LEFT(G266,5)="FLOAT","SELECT '"&amp;UPPER(B266)&amp;"' AS TABELA, '"&amp;UPPER(C266)&amp;"' AS TIPOLOGIA_TESTE,'"&amp;D266&amp;"' AS TABELA_LT,'"&amp;E266&amp;"' AS TABELA_SIMUL,'"&amp;F266&amp;"' AS CAMPO, "&amp;"'${ref_date}' AS REF_DATE, COUNT(*) AS NUM_REG, SUM(IF((ABS(COALESCE(CAST(X."&amp;F266&amp;" AS DECIMAL(18,6)),0)-COALESCE(CAST(Y."&amp;F266&amp;"_SIMUL AS DECIMAL(18,6)),0))&gt;0.000001) OR (X."&amp;F266&amp;" IS NULL AND Y."&amp;F266&amp;"_SIMUL IS NOT NULL ) OR (X."&amp;F266&amp;" IS NOT NULL AND Y."&amp;F266&amp;"_SIMUL IS NULL),1,0)) AS NUM_REG_DIF,'"&amp;MAX('ID1&amp;5'!K:K)+1&amp;"' AS ID_EXEC, CURRENT_TIMESTAMP() AS TIME_EXEC FROM "&amp;I266&amp;" INNER JOIN "&amp;J266&amp;" "&amp;K266,"SELECT '"&amp;UPPER(B266)&amp;"' AS TABELA, '"&amp;UPPER(C266)&amp;"' AS TIPOLOGIA_TESTE,'"&amp;D266&amp;"' AS TABELA_LT,'"&amp;E266&amp;"' AS TABELA_SIMUL,'"&amp;F266&amp;"' AS CAMPO, "&amp;"'${ref_date}' AS REF_DATE, COUNT(*) AS NUM_REG, SUM(IF(COALESCE(CAST(X."&amp;F266&amp;" AS STRING),'')&lt;&gt;COALESCE(CAST(Y."&amp;F266&amp;"_SIMUL AS STRING),'') OR (X."&amp;F266&amp;" IS NULL AND Y."&amp;F266&amp;"_SIMUL IS NOT NULL ) OR (X."&amp;F266&amp;" IS NOT NULL AND Y."&amp;F266&amp;"_SIMUL IS NULL),1,0)) AS NUM_REG_DIF,'"&amp;MAX('ID1&amp;5'!L:L)+1&amp;"' AS ID_EXEC, CURRENT_TIMESTAMP() AS TIME_EXEC FROM "&amp;I266&amp;" INNER JOIN "&amp;J266&amp;" "&amp;K266),
IF(C266="Validade",+IF(G266="Code List","SELECT '"&amp;UPPER(B266)&amp;"' AS TABELA, '"&amp;UPPER(C266)&amp;"' AS TIPOLOGIA_TESTE,'"&amp;D266&amp;"' AS TABELA_LT,'N/A' AS TABELA_SIMUL,'"&amp;F266&amp;"' AS CAMPO, "&amp;"'${ref_date}' AS REF_DATE, COUNT(*) AS NUM_REG, SUM(IF(TRIM(CAST(X."&amp;F266&amp;" AS STRING))='' OR TRIM(CAST(X."&amp;F266&amp;" AS STRING)) IS NULL OR CAST(X."&amp;F266&amp;" AS STRING) NOT "&amp;H266&amp;",1,0)) AS NUM_REG_DIF,'"&amp;MAX('ID1&amp;5'!K:K)+1&amp;"' AS ID_EXEC, CURRENT_TIMESTAMP() AS TIME_EXEC FROM "&amp;I266,"SELECT '"&amp;UPPER(B266)&amp;"' AS TABELA, '"&amp;UPPER(C266)&amp;"' AS TIPOLOGIA_TESTE,'"&amp;D266&amp;"' AS TABELA_LT,'N/A' AS TABELA_SIMUL,'"&amp;F266&amp;"' AS CAMPO, "&amp;"'${ref_date}' AS REF_DATE, COUNT(*) AS NUM_REG, SUM(IF(TRIM(CAST(X."&amp;F266&amp;" AS STRING))='' OR TRIM(CAST(X."&amp;F266&amp;" AS STRING)) IS NULL,1,0)) AS NUM_REG_DIF,'"&amp;MAX('ID1&amp;5'!K:K)+1&amp;"' AS ID_EXEC, CURRENT_TIMESTAMP() AS TIME_EXEC FROM "&amp;I266),
IF(C266="Caracteres Especiais",+"SELECT '"&amp;UPPER(B266)&amp;"' AS TABELA, '"&amp;UPPER(C266)&amp;"' AS TIPOLOGIA_TESTE,'"&amp;D266&amp;"' AS TABELA_LT,'N/A' AS TABELA_SIMUL,'"&amp;F266&amp;"' AS CAMPO, "&amp;"'${ref_date}' AS REF_DATE, COUNT(*) AS NUM_REG, SUM(IF(REGEXP_REPLACE(TRIM(CAST(X."&amp;F266&amp;" AS STRING)),'[^a-zA-Z0-9_\\s]','') &lt;&gt;TRIM(CAST(X."&amp;F266&amp;" AS STRING)),1,0)) AS NUM_REG_DIF,'"&amp;MAX('ID1&amp;5'!K:K)+1&amp;"' AS ID_EXEC, CURRENT_TIMESTAMP() AS TIME_EXEC FROM "&amp;I266,
IF(C266="Missings",+"SELECT '"&amp;UPPER(B266)&amp;"' AS TABELA, '"&amp;UPPER(C266)&amp;"' AS TIPOLOGIA_TESTE,'"&amp;D266&amp;"' AS TABELA_LT,'N/A' AS TABELA_SIMUL,'"&amp;F266&amp;"' AS CAMPO, "&amp;"'${ref_date}' AS REF_DATE, COUNT(*) AS NUM_REG, SUM(IF(TRIM(CAST(X."&amp;F266&amp;" AS STRING)) IN ('0000-00-00','0001-01-01','9999-12-31','MISS','00000','99999999999','99999999999.00','99999999999.000000'),1,0)) AS NUM_REG_DIF,'"&amp;MAX('ID1&amp;5'!K:K)+1&amp;"' AS ID_EXEC, CURRENT_TIMESTAMP() AS TIME_EXEC FROM "&amp;I266,
IF(C266="Not applicable",+"SELECT '"&amp;UPPER(B266)&amp;"' AS TABELA, '"&amp;UPPER(C266)&amp;"' AS TIPOLOGIA_TESTE,'"&amp;D266&amp;"' AS TABELA_LT,'N/A' AS TABELA_SIMUL,'"&amp;F266&amp;"' AS CAMPO, "&amp;"'${ref_date}' AS REF_DATE, COUNT(*) AS NUM_REG, SUM(IF(TRIM(CAST(X."&amp;F266&amp;" AS STRING)) IN ('N/A','11111111111','11111111111.00','11111111111.000000','1111-11-11'),1,0)) AS NUM_REG_DIF,'"&amp;MAX('ID1&amp;5'!K:K)+1&amp;"' AS ID_EXEC, CURRENT_TIMESTAMP() AS TIME_EXEC FROM "&amp;I266,
IF(C266="Valores extremos",+"SELECT '"&amp;UPPER(B266)&amp;"' AS TABELA, '"&amp;UPPER(C266)&amp;"' AS TIPOLOGIA_TESTE,'"&amp;D266&amp;"' AS TABELA_LT,'N/A' AS TABELA_SIMUL,'"&amp;F266&amp;"' AS CAMPO, "&amp;"'${ref_date}' AS REF_DATE, CAST(MIN("&amp;F266&amp;") AS STRING) AS VALOR_MIN, CAST(MAX("&amp;F266&amp;") AS STRING) AS VALOR_MAX,'"&amp;MAX('ID1&amp;5'!K:K)+1&amp;"' AS ID_EXEC, CURRENT_TIMESTAMP() AS TIME_EXEC FROM "&amp;MID(I266,1,LEN(I266)-2)&amp;" AND CAST("&amp;F266&amp;"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TABELA_SIMUL,'grss_intrst_incm' AS CAMPO, '${ref_date}' AS REF_DATE, COUNT(*) AS NUM_REG, SUM(IF(COALESCE(CAST(X.grss_intrst_incm AS STRING),'')&lt;&gt;COALESCE(CAST(Y.grss_intrst_incm_SIMUL AS STRING),'') OR (X.grss_intrst_incm IS NULL AND Y.grss_intrst_incm_SIMUL IS NOT NULL ) OR (X.grss_intrst_incm IS NOT NULL AND Y.grss_intrst_incm_SIMUL IS NULL),1,0)) AS NUM_REG_DIF,'1' AS ID_EXEC, CURRENT_TIMESTAMP() AS TIME_EXEC FROM (SELECT instrmnt_id, grss_intrst_incm FROM BU_LOANTAPE_WORK.LT002_INSTRUMENT WHERE ref_date='${ref_date}' AND nome_perimetro='Individual Local' AND segmento='ESTR' AND ambito='SRB_MBDT' AND entidade='00100')X INNER JOIN (SELECT instrmnt_id AS instrmnt_id_SIMUL, grss_intrst_incm AS grss_intrst_incm_SIMUL FROM BU_LOANTAPE_WORK.SIMUL_LT002_INSTRUMENT WHERE ref_date='${ref_date}' AND nome_perimetro='Individual Local' AND segmento='ESTR' AND ambito='PILAR3' AND entidade='00100')Y ON X.INSTRMNT_ID=Y.INSTRMNT_ID_SIMUL</v>
      </c>
      <c r="M266" s="36" t="str">
        <f t="shared" si="7"/>
        <v>UNION ALL SELECT 'INSTRUMENT' AS TABELA, 'COERÊNCIA' AS TIPOLOGIA_TESTE,'BU_LOANTAPE_WORK.LT002_INSTRUMENT' AS TABELA_LT,'BU_LOANTAPE_WORK.SIMUL_LT002_INSTRUMENT' AS TABELA_SIMUL,'grss_intrst_incm' AS CAMPO, '${ref_date}' AS REF_DATE, COUNT(*) AS NUM_REG, SUM(IF(COALESCE(CAST(X.grss_intrst_incm AS STRING),'')&lt;&gt;COALESCE(CAST(Y.grss_intrst_incm_SIMUL AS STRING),'') OR (X.grss_intrst_incm IS NULL AND Y.grss_intrst_incm_SIMUL IS NOT NULL ) OR (X.grss_intrst_incm IS NOT NULL AND Y.grss_intrst_incm_SIMUL IS NULL),1,0)) AS NUM_REG_DIF,'1' AS ID_EXEC, CURRENT_TIMESTAMP() AS TIME_EXEC FROM (SELECT instrmnt_id, grss_intrst_incm FROM BU_LOANTAPE_WORK.LT002_INSTRUMENT WHERE ref_date='${ref_date}' AND nome_perimetro='Individual Local' AND segmento='ESTR' AND ambito='SRB_MBDT' AND entidade='00100')X INNER JOIN (SELECT instrmnt_id AS instrmnt_id_SIMUL, grss_intrst_incm AS grss_intrst_incm_SIMUL FROM BU_LOANTAPE_WORK.SIMUL_LT002_INSTRUMENT WHERE ref_date='${ref_date}' AND nome_perimetro='Individual Local' AND segmento='ESTR' AND ambito='PILAR3' AND entidade='00100')Y ON X.INSTRMNT_ID=Y.INSTRMNT_ID_SIMUL</v>
      </c>
      <c r="N266" s="38"/>
    </row>
    <row r="267" spans="2:14">
      <c r="B267" s="34" t="s">
        <v>117</v>
      </c>
      <c r="C267" s="34" t="s">
        <v>5</v>
      </c>
      <c r="D267" s="34" t="str">
        <f>+UPPER('0. Instruções'!$D$35&amp;"."&amp;VLOOKUP(B267,'0. Instruções'!$C$27:$D$32,2,FALSE))</f>
        <v>BU_LOANTAPE_WORK.LT002_INSTRUMENT</v>
      </c>
      <c r="E267" s="34" t="str">
        <f>+UPPER('0. Instruções'!$D$36&amp;"."&amp;VLOOKUP(B267,'0. Instruções'!$C$27:$E$32,3,FALSE))</f>
        <v>BU_LOANTAPE_WORK.SIMUL_LT002_INSTRUMENT</v>
      </c>
      <c r="F267" s="34" t="s">
        <v>659</v>
      </c>
      <c r="G267" s="34"/>
      <c r="H267" s="34"/>
      <c r="I267" s="34" t="str">
        <f>"(SELECT "&amp;VLOOKUP(B267,'0. Instruções'!$C$27:$G$32,4,FALSE)&amp;", "&amp;F267&amp;" FROM "&amp;D267&amp;" WHERE "&amp;'0. Instruções'!$D$42&amp;")X"</f>
        <v>(SELECT instrmnt_id, grss_cmmssn_incm FROM BU_LOANTAPE_WORK.LT002_INSTRUMENT WHERE ref_date='${ref_date}' AND nome_perimetro='Individual Local' AND segmento='ESTR' AND ambito='SRB_MBDT' AND entidade='00100')X</v>
      </c>
      <c r="J267" s="34" t="str">
        <f>"(SELECT "&amp;VLOOKUP(B267,'0. Instruções'!$C$27:$G$32,4,FALSE)&amp;" AS "&amp;VLOOKUP(B267,'0. Instruções'!$C$27:$G$32,4,FALSE)&amp;"_SIMUL, "&amp;F267&amp;" AS "&amp;F267&amp;"_SIMUL FROM "&amp;E267&amp;" WHERE "&amp;'0. Instruções'!$D$43&amp;")Y"</f>
        <v>(SELECT instrmnt_id AS instrmnt_id_SIMUL, grss_cmmssn_incm AS grss_cmmssn_incm_SIMUL FROM BU_LOANTAPE_WORK.SIMUL_LT002_INSTRUMENT WHERE ref_date='${ref_date}' AND nome_perimetro='Individual Local' AND segmento='ESTR' AND ambito='PILAR3' AND entidade='00100')Y</v>
      </c>
      <c r="K267" s="35" t="str">
        <f>+UPPER("ON X."&amp;VLOOKUP(B267,'0. Instruções'!$C$27:$G$32,4,FALSE)&amp;"=Y."&amp;VLOOKUP(B267,'0. Instruções'!$C$27:$G$32,4,FALSE)&amp;"_SIMUL")</f>
        <v>ON X.INSTRMNT_ID=Y.INSTRMNT_ID_SIMUL</v>
      </c>
      <c r="L267" s="35" t="str">
        <f>+IF(C267="Coerência", +IF(LEFT(G267,5)="FLOAT","SELECT '"&amp;UPPER(B267)&amp;"' AS TABELA, '"&amp;UPPER(C267)&amp;"' AS TIPOLOGIA_TESTE,'"&amp;D267&amp;"' AS TABELA_LT,'"&amp;E267&amp;"' AS TABELA_SIMUL,'"&amp;F267&amp;"' AS CAMPO, "&amp;"'${ref_date}' AS REF_DATE, COUNT(*) AS NUM_REG, SUM(IF((ABS(COALESCE(CAST(X."&amp;F267&amp;" AS DECIMAL(18,6)),0)-COALESCE(CAST(Y."&amp;F267&amp;"_SIMUL AS DECIMAL(18,6)),0))&gt;0.000001) OR (X."&amp;F267&amp;" IS NULL AND Y."&amp;F267&amp;"_SIMUL IS NOT NULL ) OR (X."&amp;F267&amp;" IS NOT NULL AND Y."&amp;F267&amp;"_SIMUL IS NULL),1,0)) AS NUM_REG_DIF,'"&amp;MAX('ID1&amp;5'!K:K)+1&amp;"' AS ID_EXEC, CURRENT_TIMESTAMP() AS TIME_EXEC FROM "&amp;I267&amp;" INNER JOIN "&amp;J267&amp;" "&amp;K267,"SELECT '"&amp;UPPER(B267)&amp;"' AS TABELA, '"&amp;UPPER(C267)&amp;"' AS TIPOLOGIA_TESTE,'"&amp;D267&amp;"' AS TABELA_LT,'"&amp;E267&amp;"' AS TABELA_SIMUL,'"&amp;F267&amp;"' AS CAMPO, "&amp;"'${ref_date}' AS REF_DATE, COUNT(*) AS NUM_REG, SUM(IF(COALESCE(CAST(X."&amp;F267&amp;" AS STRING),'')&lt;&gt;COALESCE(CAST(Y."&amp;F267&amp;"_SIMUL AS STRING),'') OR (X."&amp;F267&amp;" IS NULL AND Y."&amp;F267&amp;"_SIMUL IS NOT NULL ) OR (X."&amp;F267&amp;" IS NOT NULL AND Y."&amp;F267&amp;"_SIMUL IS NULL),1,0)) AS NUM_REG_DIF,'"&amp;MAX('ID1&amp;5'!L:L)+1&amp;"' AS ID_EXEC, CURRENT_TIMESTAMP() AS TIME_EXEC FROM "&amp;I267&amp;" INNER JOIN "&amp;J267&amp;" "&amp;K267),
IF(C267="Validade",+IF(G267="Code List","SELECT '"&amp;UPPER(B267)&amp;"' AS TABELA, '"&amp;UPPER(C267)&amp;"' AS TIPOLOGIA_TESTE,'"&amp;D267&amp;"' AS TABELA_LT,'N/A' AS TABELA_SIMUL,'"&amp;F267&amp;"' AS CAMPO, "&amp;"'${ref_date}' AS REF_DATE, COUNT(*) AS NUM_REG, SUM(IF(TRIM(CAST(X."&amp;F267&amp;" AS STRING))='' OR TRIM(CAST(X."&amp;F267&amp;" AS STRING)) IS NULL OR CAST(X."&amp;F267&amp;" AS STRING) NOT "&amp;H267&amp;",1,0)) AS NUM_REG_DIF,'"&amp;MAX('ID1&amp;5'!K:K)+1&amp;"' AS ID_EXEC, CURRENT_TIMESTAMP() AS TIME_EXEC FROM "&amp;I267,"SELECT '"&amp;UPPER(B267)&amp;"' AS TABELA, '"&amp;UPPER(C267)&amp;"' AS TIPOLOGIA_TESTE,'"&amp;D267&amp;"' AS TABELA_LT,'N/A' AS TABELA_SIMUL,'"&amp;F267&amp;"' AS CAMPO, "&amp;"'${ref_date}' AS REF_DATE, COUNT(*) AS NUM_REG, SUM(IF(TRIM(CAST(X."&amp;F267&amp;" AS STRING))='' OR TRIM(CAST(X."&amp;F267&amp;" AS STRING)) IS NULL,1,0)) AS NUM_REG_DIF,'"&amp;MAX('ID1&amp;5'!K:K)+1&amp;"' AS ID_EXEC, CURRENT_TIMESTAMP() AS TIME_EXEC FROM "&amp;I267),
IF(C267="Caracteres Especiais",+"SELECT '"&amp;UPPER(B267)&amp;"' AS TABELA, '"&amp;UPPER(C267)&amp;"' AS TIPOLOGIA_TESTE,'"&amp;D267&amp;"' AS TABELA_LT,'N/A' AS TABELA_SIMUL,'"&amp;F267&amp;"' AS CAMPO, "&amp;"'${ref_date}' AS REF_DATE, COUNT(*) AS NUM_REG, SUM(IF(REGEXP_REPLACE(TRIM(CAST(X."&amp;F267&amp;" AS STRING)),'[^a-zA-Z0-9_\\s]','') &lt;&gt;TRIM(CAST(X."&amp;F267&amp;" AS STRING)),1,0)) AS NUM_REG_DIF,'"&amp;MAX('ID1&amp;5'!K:K)+1&amp;"' AS ID_EXEC, CURRENT_TIMESTAMP() AS TIME_EXEC FROM "&amp;I267,
IF(C267="Missings",+"SELECT '"&amp;UPPER(B267)&amp;"' AS TABELA, '"&amp;UPPER(C267)&amp;"' AS TIPOLOGIA_TESTE,'"&amp;D267&amp;"' AS TABELA_LT,'N/A' AS TABELA_SIMUL,'"&amp;F267&amp;"' AS CAMPO, "&amp;"'${ref_date}' AS REF_DATE, COUNT(*) AS NUM_REG, SUM(IF(TRIM(CAST(X."&amp;F267&amp;" AS STRING)) IN ('0000-00-00','0001-01-01','9999-12-31','MISS','00000','99999999999','99999999999.00','99999999999.000000'),1,0)) AS NUM_REG_DIF,'"&amp;MAX('ID1&amp;5'!K:K)+1&amp;"' AS ID_EXEC, CURRENT_TIMESTAMP() AS TIME_EXEC FROM "&amp;I267,
IF(C267="Not applicable",+"SELECT '"&amp;UPPER(B267)&amp;"' AS TABELA, '"&amp;UPPER(C267)&amp;"' AS TIPOLOGIA_TESTE,'"&amp;D267&amp;"' AS TABELA_LT,'N/A' AS TABELA_SIMUL,'"&amp;F267&amp;"' AS CAMPO, "&amp;"'${ref_date}' AS REF_DATE, COUNT(*) AS NUM_REG, SUM(IF(TRIM(CAST(X."&amp;F267&amp;" AS STRING)) IN ('N/A','11111111111','11111111111.00','11111111111.000000','1111-11-11'),1,0)) AS NUM_REG_DIF,'"&amp;MAX('ID1&amp;5'!K:K)+1&amp;"' AS ID_EXEC, CURRENT_TIMESTAMP() AS TIME_EXEC FROM "&amp;I267,
IF(C267="Valores extremos",+"SELECT '"&amp;UPPER(B267)&amp;"' AS TABELA, '"&amp;UPPER(C267)&amp;"' AS TIPOLOGIA_TESTE,'"&amp;D267&amp;"' AS TABELA_LT,'N/A' AS TABELA_SIMUL,'"&amp;F267&amp;"' AS CAMPO, "&amp;"'${ref_date}' AS REF_DATE, CAST(MIN("&amp;F267&amp;") AS STRING) AS VALOR_MIN, CAST(MAX("&amp;F267&amp;") AS STRING) AS VALOR_MAX,'"&amp;MAX('ID1&amp;5'!K:K)+1&amp;"' AS ID_EXEC, CURRENT_TIMESTAMP() AS TIME_EXEC FROM "&amp;MID(I267,1,LEN(I267)-2)&amp;" AND CAST("&amp;F267&amp;"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TABELA_SIMUL,'grss_cmmssn_incm' AS CAMPO, '${ref_date}' AS REF_DATE, COUNT(*) AS NUM_REG, SUM(IF(COALESCE(CAST(X.grss_cmmssn_incm AS STRING),'')&lt;&gt;COALESCE(CAST(Y.grss_cmmssn_incm_SIMUL AS STRING),'') OR (X.grss_cmmssn_incm IS NULL AND Y.grss_cmmssn_incm_SIMUL IS NOT NULL ) OR (X.grss_cmmssn_incm IS NOT NULL AND Y.grss_cmmssn_incm_SIMUL IS NULL),1,0)) AS NUM_REG_DIF,'1' AS ID_EXEC, CURRENT_TIMESTAMP() AS TIME_EXEC FROM (SELECT instrmnt_id, grss_cmmssn_incm FROM BU_LOANTAPE_WORK.LT002_INSTRUMENT WHERE ref_date='${ref_date}' AND nome_perimetro='Individual Local' AND segmento='ESTR' AND ambito='SRB_MBDT' AND entidade='00100')X INNER JOIN (SELECT instrmnt_id AS instrmnt_id_SIMUL, grss_cmmssn_incm AS grss_cmmssn_incm_SIMUL FROM BU_LOANTAPE_WORK.SIMUL_LT002_INSTRUMENT WHERE ref_date='${ref_date}' AND nome_perimetro='Individual Local' AND segmento='ESTR' AND ambito='PILAR3' AND entidade='00100')Y ON X.INSTRMNT_ID=Y.INSTRMNT_ID_SIMUL</v>
      </c>
      <c r="M267" s="36" t="str">
        <f t="shared" si="7"/>
        <v>UNION ALL SELECT 'INSTRUMENT' AS TABELA, 'COERÊNCIA' AS TIPOLOGIA_TESTE,'BU_LOANTAPE_WORK.LT002_INSTRUMENT' AS TABELA_LT,'BU_LOANTAPE_WORK.SIMUL_LT002_INSTRUMENT' AS TABELA_SIMUL,'grss_cmmssn_incm' AS CAMPO, '${ref_date}' AS REF_DATE, COUNT(*) AS NUM_REG, SUM(IF(COALESCE(CAST(X.grss_cmmssn_incm AS STRING),'')&lt;&gt;COALESCE(CAST(Y.grss_cmmssn_incm_SIMUL AS STRING),'') OR (X.grss_cmmssn_incm IS NULL AND Y.grss_cmmssn_incm_SIMUL IS NOT NULL ) OR (X.grss_cmmssn_incm IS NOT NULL AND Y.grss_cmmssn_incm_SIMUL IS NULL),1,0)) AS NUM_REG_DIF,'1' AS ID_EXEC, CURRENT_TIMESTAMP() AS TIME_EXEC FROM (SELECT instrmnt_id, grss_cmmssn_incm FROM BU_LOANTAPE_WORK.LT002_INSTRUMENT WHERE ref_date='${ref_date}' AND nome_perimetro='Individual Local' AND segmento='ESTR' AND ambito='SRB_MBDT' AND entidade='00100')X INNER JOIN (SELECT instrmnt_id AS instrmnt_id_SIMUL, grss_cmmssn_incm AS grss_cmmssn_incm_SIMUL FROM BU_LOANTAPE_WORK.SIMUL_LT002_INSTRUMENT WHERE ref_date='${ref_date}' AND nome_perimetro='Individual Local' AND segmento='ESTR' AND ambito='PILAR3' AND entidade='00100')Y ON X.INSTRMNT_ID=Y.INSTRMNT_ID_SIMUL</v>
      </c>
      <c r="N267" s="38"/>
    </row>
    <row r="268" spans="2:14">
      <c r="B268" s="34" t="s">
        <v>117</v>
      </c>
      <c r="C268" s="34" t="s">
        <v>5</v>
      </c>
      <c r="D268" s="34" t="str">
        <f>+UPPER('0. Instruções'!$D$35&amp;"."&amp;VLOOKUP(B268,'0. Instruções'!$C$27:$D$32,2,FALSE))</f>
        <v>BU_LOANTAPE_WORK.LT002_INSTRUMENT</v>
      </c>
      <c r="E268" s="34" t="str">
        <f>+UPPER('0. Instruções'!$D$36&amp;"."&amp;VLOOKUP(B268,'0. Instruções'!$C$27:$E$32,3,FALSE))</f>
        <v>BU_LOANTAPE_WORK.SIMUL_LT002_INSTRUMENT</v>
      </c>
      <c r="F268" s="34" t="s">
        <v>1320</v>
      </c>
      <c r="G268" s="34"/>
      <c r="H268" s="34"/>
      <c r="I268" s="34" t="str">
        <f>"(SELECT "&amp;VLOOKUP(B268,'0. Instruções'!$C$27:$G$32,4,FALSE)&amp;", "&amp;F268&amp;" FROM "&amp;D268&amp;" WHERE "&amp;'0. Instruções'!$D$42&amp;")X"</f>
        <v>(SELECT instrmnt_id, intrnl_trnsfr_rt FROM BU_LOANTAPE_WORK.LT002_INSTRUMENT WHERE ref_date='${ref_date}' AND nome_perimetro='Individual Local' AND segmento='ESTR' AND ambito='SRB_MBDT' AND entidade='00100')X</v>
      </c>
      <c r="J268" s="34" t="str">
        <f>"(SELECT "&amp;VLOOKUP(B268,'0. Instruções'!$C$27:$G$32,4,FALSE)&amp;" AS "&amp;VLOOKUP(B268,'0. Instruções'!$C$27:$G$32,4,FALSE)&amp;"_SIMUL, "&amp;F268&amp;" AS "&amp;F268&amp;"_SIMUL FROM "&amp;E268&amp;" WHERE "&amp;'0. Instruções'!$D$43&amp;")Y"</f>
        <v>(SELECT instrmnt_id AS instrmnt_id_SIMUL, intrnl_trnsfr_rt AS intrnl_trnsfr_rt_SIMUL FROM BU_LOANTAPE_WORK.SIMUL_LT002_INSTRUMENT WHERE ref_date='${ref_date}' AND nome_perimetro='Individual Local' AND segmento='ESTR' AND ambito='PILAR3' AND entidade='00100')Y</v>
      </c>
      <c r="K268" s="35" t="str">
        <f>+UPPER("ON X."&amp;VLOOKUP(B268,'0. Instruções'!$C$27:$G$32,4,FALSE)&amp;"=Y."&amp;VLOOKUP(B268,'0. Instruções'!$C$27:$G$32,4,FALSE)&amp;"_SIMUL")</f>
        <v>ON X.INSTRMNT_ID=Y.INSTRMNT_ID_SIMUL</v>
      </c>
      <c r="L268" s="35" t="str">
        <f>+IF(C268="Coerência", +IF(LEFT(G268,5)="FLOAT","SELECT '"&amp;UPPER(B268)&amp;"' AS TABELA, '"&amp;UPPER(C268)&amp;"' AS TIPOLOGIA_TESTE,'"&amp;D268&amp;"' AS TABELA_LT,'"&amp;E268&amp;"' AS TABELA_SIMUL,'"&amp;F268&amp;"' AS CAMPO, "&amp;"'${ref_date}' AS REF_DATE, COUNT(*) AS NUM_REG, SUM(IF((ABS(COALESCE(CAST(X."&amp;F268&amp;" AS DECIMAL(18,6)),0)-COALESCE(CAST(Y."&amp;F268&amp;"_SIMUL AS DECIMAL(18,6)),0))&gt;0.000001) OR (X."&amp;F268&amp;" IS NULL AND Y."&amp;F268&amp;"_SIMUL IS NOT NULL ) OR (X."&amp;F268&amp;" IS NOT NULL AND Y."&amp;F268&amp;"_SIMUL IS NULL),1,0)) AS NUM_REG_DIF,'"&amp;MAX('ID1&amp;5'!K:K)+1&amp;"' AS ID_EXEC, CURRENT_TIMESTAMP() AS TIME_EXEC FROM "&amp;I268&amp;" INNER JOIN "&amp;J268&amp;" "&amp;K268,"SELECT '"&amp;UPPER(B268)&amp;"' AS TABELA, '"&amp;UPPER(C268)&amp;"' AS TIPOLOGIA_TESTE,'"&amp;D268&amp;"' AS TABELA_LT,'"&amp;E268&amp;"' AS TABELA_SIMUL,'"&amp;F268&amp;"' AS CAMPO, "&amp;"'${ref_date}' AS REF_DATE, COUNT(*) AS NUM_REG, SUM(IF(COALESCE(CAST(X."&amp;F268&amp;" AS STRING),'')&lt;&gt;COALESCE(CAST(Y."&amp;F268&amp;"_SIMUL AS STRING),'') OR (X."&amp;F268&amp;" IS NULL AND Y."&amp;F268&amp;"_SIMUL IS NOT NULL ) OR (X."&amp;F268&amp;" IS NOT NULL AND Y."&amp;F268&amp;"_SIMUL IS NULL),1,0)) AS NUM_REG_DIF,'"&amp;MAX('ID1&amp;5'!L:L)+1&amp;"' AS ID_EXEC, CURRENT_TIMESTAMP() AS TIME_EXEC FROM "&amp;I268&amp;" INNER JOIN "&amp;J268&amp;" "&amp;K268),
IF(C268="Validade",+IF(G268="Code List","SELECT '"&amp;UPPER(B268)&amp;"' AS TABELA, '"&amp;UPPER(C268)&amp;"' AS TIPOLOGIA_TESTE,'"&amp;D268&amp;"' AS TABELA_LT,'N/A' AS TABELA_SIMUL,'"&amp;F268&amp;"' AS CAMPO, "&amp;"'${ref_date}' AS REF_DATE, COUNT(*) AS NUM_REG, SUM(IF(TRIM(CAST(X."&amp;F268&amp;" AS STRING))='' OR TRIM(CAST(X."&amp;F268&amp;" AS STRING)) IS NULL OR CAST(X."&amp;F268&amp;" AS STRING) NOT "&amp;H268&amp;",1,0)) AS NUM_REG_DIF,'"&amp;MAX('ID1&amp;5'!K:K)+1&amp;"' AS ID_EXEC, CURRENT_TIMESTAMP() AS TIME_EXEC FROM "&amp;I268,"SELECT '"&amp;UPPER(B268)&amp;"' AS TABELA, '"&amp;UPPER(C268)&amp;"' AS TIPOLOGIA_TESTE,'"&amp;D268&amp;"' AS TABELA_LT,'N/A' AS TABELA_SIMUL,'"&amp;F268&amp;"' AS CAMPO, "&amp;"'${ref_date}' AS REF_DATE, COUNT(*) AS NUM_REG, SUM(IF(TRIM(CAST(X."&amp;F268&amp;" AS STRING))='' OR TRIM(CAST(X."&amp;F268&amp;" AS STRING)) IS NULL,1,0)) AS NUM_REG_DIF,'"&amp;MAX('ID1&amp;5'!K:K)+1&amp;"' AS ID_EXEC, CURRENT_TIMESTAMP() AS TIME_EXEC FROM "&amp;I268),
IF(C268="Caracteres Especiais",+"SELECT '"&amp;UPPER(B268)&amp;"' AS TABELA, '"&amp;UPPER(C268)&amp;"' AS TIPOLOGIA_TESTE,'"&amp;D268&amp;"' AS TABELA_LT,'N/A' AS TABELA_SIMUL,'"&amp;F268&amp;"' AS CAMPO, "&amp;"'${ref_date}' AS REF_DATE, COUNT(*) AS NUM_REG, SUM(IF(REGEXP_REPLACE(TRIM(CAST(X."&amp;F268&amp;" AS STRING)),'[^a-zA-Z0-9_\\s]','') &lt;&gt;TRIM(CAST(X."&amp;F268&amp;" AS STRING)),1,0)) AS NUM_REG_DIF,'"&amp;MAX('ID1&amp;5'!K:K)+1&amp;"' AS ID_EXEC, CURRENT_TIMESTAMP() AS TIME_EXEC FROM "&amp;I268,
IF(C268="Missings",+"SELECT '"&amp;UPPER(B268)&amp;"' AS TABELA, '"&amp;UPPER(C268)&amp;"' AS TIPOLOGIA_TESTE,'"&amp;D268&amp;"' AS TABELA_LT,'N/A' AS TABELA_SIMUL,'"&amp;F268&amp;"' AS CAMPO, "&amp;"'${ref_date}' AS REF_DATE, COUNT(*) AS NUM_REG, SUM(IF(TRIM(CAST(X."&amp;F268&amp;" AS STRING)) IN ('0000-00-00','0001-01-01','9999-12-31','MISS','00000','99999999999','99999999999.00','99999999999.000000'),1,0)) AS NUM_REG_DIF,'"&amp;MAX('ID1&amp;5'!K:K)+1&amp;"' AS ID_EXEC, CURRENT_TIMESTAMP() AS TIME_EXEC FROM "&amp;I268,
IF(C268="Not applicable",+"SELECT '"&amp;UPPER(B268)&amp;"' AS TABELA, '"&amp;UPPER(C268)&amp;"' AS TIPOLOGIA_TESTE,'"&amp;D268&amp;"' AS TABELA_LT,'N/A' AS TABELA_SIMUL,'"&amp;F268&amp;"' AS CAMPO, "&amp;"'${ref_date}' AS REF_DATE, COUNT(*) AS NUM_REG, SUM(IF(TRIM(CAST(X."&amp;F268&amp;" AS STRING)) IN ('N/A','11111111111','11111111111.00','11111111111.000000','1111-11-11'),1,0)) AS NUM_REG_DIF,'"&amp;MAX('ID1&amp;5'!K:K)+1&amp;"' AS ID_EXEC, CURRENT_TIMESTAMP() AS TIME_EXEC FROM "&amp;I268,
IF(C268="Valores extremos",+"SELECT '"&amp;UPPER(B268)&amp;"' AS TABELA, '"&amp;UPPER(C268)&amp;"' AS TIPOLOGIA_TESTE,'"&amp;D268&amp;"' AS TABELA_LT,'N/A' AS TABELA_SIMUL,'"&amp;F268&amp;"' AS CAMPO, "&amp;"'${ref_date}' AS REF_DATE, CAST(MIN("&amp;F268&amp;") AS STRING) AS VALOR_MIN, CAST(MAX("&amp;F268&amp;") AS STRING) AS VALOR_MAX,'"&amp;MAX('ID1&amp;5'!K:K)+1&amp;"' AS ID_EXEC, CURRENT_TIMESTAMP() AS TIME_EXEC FROM "&amp;MID(I268,1,LEN(I268)-2)&amp;" AND CAST("&amp;F268&amp;"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TABELA_SIMUL,'intrnl_trnsfr_rt' AS CAMPO, '${ref_date}' AS REF_DATE, COUNT(*) AS NUM_REG, SUM(IF(COALESCE(CAST(X.intrnl_trnsfr_rt AS STRING),'')&lt;&gt;COALESCE(CAST(Y.intrnl_trnsfr_rt_SIMUL AS STRING),'') OR (X.intrnl_trnsfr_rt IS NULL AND Y.intrnl_trnsfr_rt_SIMUL IS NOT NULL ) OR (X.intrnl_trnsfr_rt IS NOT NULL AND Y.intrnl_trnsfr_rt_SIMUL IS NULL),1,0)) AS NUM_REG_DIF,'1' AS ID_EXEC, CURRENT_TIMESTAMP() AS TIME_EXEC FROM (SELECT instrmnt_id, intrnl_trnsfr_rt FROM BU_LOANTAPE_WORK.LT002_INSTRUMENT WHERE ref_date='${ref_date}' AND nome_perimetro='Individual Local' AND segmento='ESTR' AND ambito='SRB_MBDT' AND entidade='00100')X INNER JOIN (SELECT instrmnt_id AS instrmnt_id_SIMUL, intrnl_trnsfr_rt AS intrnl_trnsfr_rt_SIMUL FROM BU_LOANTAPE_WORK.SIMUL_LT002_INSTRUMENT WHERE ref_date='${ref_date}' AND nome_perimetro='Individual Local' AND segmento='ESTR' AND ambito='PILAR3' AND entidade='00100')Y ON X.INSTRMNT_ID=Y.INSTRMNT_ID_SIMUL</v>
      </c>
      <c r="M268" s="36" t="str">
        <f t="shared" si="7"/>
        <v>UNION ALL SELECT 'INSTRUMENT' AS TABELA, 'COERÊNCIA' AS TIPOLOGIA_TESTE,'BU_LOANTAPE_WORK.LT002_INSTRUMENT' AS TABELA_LT,'BU_LOANTAPE_WORK.SIMUL_LT002_INSTRUMENT' AS TABELA_SIMUL,'intrnl_trnsfr_rt' AS CAMPO, '${ref_date}' AS REF_DATE, COUNT(*) AS NUM_REG, SUM(IF(COALESCE(CAST(X.intrnl_trnsfr_rt AS STRING),'')&lt;&gt;COALESCE(CAST(Y.intrnl_trnsfr_rt_SIMUL AS STRING),'') OR (X.intrnl_trnsfr_rt IS NULL AND Y.intrnl_trnsfr_rt_SIMUL IS NOT NULL ) OR (X.intrnl_trnsfr_rt IS NOT NULL AND Y.intrnl_trnsfr_rt_SIMUL IS NULL),1,0)) AS NUM_REG_DIF,'1' AS ID_EXEC, CURRENT_TIMESTAMP() AS TIME_EXEC FROM (SELECT instrmnt_id, intrnl_trnsfr_rt FROM BU_LOANTAPE_WORK.LT002_INSTRUMENT WHERE ref_date='${ref_date}' AND nome_perimetro='Individual Local' AND segmento='ESTR' AND ambito='SRB_MBDT' AND entidade='00100')X INNER JOIN (SELECT instrmnt_id AS instrmnt_id_SIMUL, intrnl_trnsfr_rt AS intrnl_trnsfr_rt_SIMUL FROM BU_LOANTAPE_WORK.SIMUL_LT002_INSTRUMENT WHERE ref_date='${ref_date}' AND nome_perimetro='Individual Local' AND segmento='ESTR' AND ambito='PILAR3' AND entidade='00100')Y ON X.INSTRMNT_ID=Y.INSTRMNT_ID_SIMUL</v>
      </c>
      <c r="N268" s="38"/>
    </row>
    <row r="269" spans="2:14">
      <c r="B269" s="34" t="s">
        <v>117</v>
      </c>
      <c r="C269" s="34" t="s">
        <v>5</v>
      </c>
      <c r="D269" s="34" t="str">
        <f>+UPPER('0. Instruções'!$D$35&amp;"."&amp;VLOOKUP(B269,'0. Instruções'!$C$27:$D$32,2,FALSE))</f>
        <v>BU_LOANTAPE_WORK.LT002_INSTRUMENT</v>
      </c>
      <c r="E269" s="34" t="str">
        <f>+UPPER('0. Instruções'!$D$36&amp;"."&amp;VLOOKUP(B269,'0. Instruções'!$C$27:$E$32,3,FALSE))</f>
        <v>BU_LOANTAPE_WORK.SIMUL_LT002_INSTRUMENT</v>
      </c>
      <c r="F269" s="34" t="s">
        <v>1321</v>
      </c>
      <c r="G269" s="34"/>
      <c r="H269" s="34"/>
      <c r="I269" s="34" t="str">
        <f>"(SELECT "&amp;VLOOKUP(B269,'0. Instruções'!$C$27:$G$32,4,FALSE)&amp;", "&amp;F269&amp;" FROM "&amp;D269&amp;" WHERE "&amp;'0. Instruções'!$D$42&amp;")X"</f>
        <v>(SELECT instrmnt_id, nt_ln_lss_prvsn FROM BU_LOANTAPE_WORK.LT002_INSTRUMENT WHERE ref_date='${ref_date}' AND nome_perimetro='Individual Local' AND segmento='ESTR' AND ambito='SRB_MBDT' AND entidade='00100')X</v>
      </c>
      <c r="J269" s="34" t="str">
        <f>"(SELECT "&amp;VLOOKUP(B269,'0. Instruções'!$C$27:$G$32,4,FALSE)&amp;" AS "&amp;VLOOKUP(B269,'0. Instruções'!$C$27:$G$32,4,FALSE)&amp;"_SIMUL, "&amp;F269&amp;" AS "&amp;F269&amp;"_SIMUL FROM "&amp;E269&amp;" WHERE "&amp;'0. Instruções'!$D$43&amp;")Y"</f>
        <v>(SELECT instrmnt_id AS instrmnt_id_SIMUL, nt_ln_lss_prvsn AS nt_ln_lss_prvsn_SIMUL FROM BU_LOANTAPE_WORK.SIMUL_LT002_INSTRUMENT WHERE ref_date='${ref_date}' AND nome_perimetro='Individual Local' AND segmento='ESTR' AND ambito='PILAR3' AND entidade='00100')Y</v>
      </c>
      <c r="K269" s="35" t="str">
        <f>+UPPER("ON X."&amp;VLOOKUP(B269,'0. Instruções'!$C$27:$G$32,4,FALSE)&amp;"=Y."&amp;VLOOKUP(B269,'0. Instruções'!$C$27:$G$32,4,FALSE)&amp;"_SIMUL")</f>
        <v>ON X.INSTRMNT_ID=Y.INSTRMNT_ID_SIMUL</v>
      </c>
      <c r="L269" s="35" t="str">
        <f>+IF(C269="Coerência", +IF(LEFT(G269,5)="FLOAT","SELECT '"&amp;UPPER(B269)&amp;"' AS TABELA, '"&amp;UPPER(C269)&amp;"' AS TIPOLOGIA_TESTE,'"&amp;D269&amp;"' AS TABELA_LT,'"&amp;E269&amp;"' AS TABELA_SIMUL,'"&amp;F269&amp;"' AS CAMPO, "&amp;"'${ref_date}' AS REF_DATE, COUNT(*) AS NUM_REG, SUM(IF((ABS(COALESCE(CAST(X."&amp;F269&amp;" AS DECIMAL(18,6)),0)-COALESCE(CAST(Y."&amp;F269&amp;"_SIMUL AS DECIMAL(18,6)),0))&gt;0.000001) OR (X."&amp;F269&amp;" IS NULL AND Y."&amp;F269&amp;"_SIMUL IS NOT NULL ) OR (X."&amp;F269&amp;" IS NOT NULL AND Y."&amp;F269&amp;"_SIMUL IS NULL),1,0)) AS NUM_REG_DIF,'"&amp;MAX('ID1&amp;5'!K:K)+1&amp;"' AS ID_EXEC, CURRENT_TIMESTAMP() AS TIME_EXEC FROM "&amp;I269&amp;" INNER JOIN "&amp;J269&amp;" "&amp;K269,"SELECT '"&amp;UPPER(B269)&amp;"' AS TABELA, '"&amp;UPPER(C269)&amp;"' AS TIPOLOGIA_TESTE,'"&amp;D269&amp;"' AS TABELA_LT,'"&amp;E269&amp;"' AS TABELA_SIMUL,'"&amp;F269&amp;"' AS CAMPO, "&amp;"'${ref_date}' AS REF_DATE, COUNT(*) AS NUM_REG, SUM(IF(COALESCE(CAST(X."&amp;F269&amp;" AS STRING),'')&lt;&gt;COALESCE(CAST(Y."&amp;F269&amp;"_SIMUL AS STRING),'') OR (X."&amp;F269&amp;" IS NULL AND Y."&amp;F269&amp;"_SIMUL IS NOT NULL ) OR (X."&amp;F269&amp;" IS NOT NULL AND Y."&amp;F269&amp;"_SIMUL IS NULL),1,0)) AS NUM_REG_DIF,'"&amp;MAX('ID1&amp;5'!L:L)+1&amp;"' AS ID_EXEC, CURRENT_TIMESTAMP() AS TIME_EXEC FROM "&amp;I269&amp;" INNER JOIN "&amp;J269&amp;" "&amp;K269),
IF(C269="Validade",+IF(G269="Code List","SELECT '"&amp;UPPER(B269)&amp;"' AS TABELA, '"&amp;UPPER(C269)&amp;"' AS TIPOLOGIA_TESTE,'"&amp;D269&amp;"' AS TABELA_LT,'N/A' AS TABELA_SIMUL,'"&amp;F269&amp;"' AS CAMPO, "&amp;"'${ref_date}' AS REF_DATE, COUNT(*) AS NUM_REG, SUM(IF(TRIM(CAST(X."&amp;F269&amp;" AS STRING))='' OR TRIM(CAST(X."&amp;F269&amp;" AS STRING)) IS NULL OR CAST(X."&amp;F269&amp;" AS STRING) NOT "&amp;H269&amp;",1,0)) AS NUM_REG_DIF,'"&amp;MAX('ID1&amp;5'!K:K)+1&amp;"' AS ID_EXEC, CURRENT_TIMESTAMP() AS TIME_EXEC FROM "&amp;I269,"SELECT '"&amp;UPPER(B269)&amp;"' AS TABELA, '"&amp;UPPER(C269)&amp;"' AS TIPOLOGIA_TESTE,'"&amp;D269&amp;"' AS TABELA_LT,'N/A' AS TABELA_SIMUL,'"&amp;F269&amp;"' AS CAMPO, "&amp;"'${ref_date}' AS REF_DATE, COUNT(*) AS NUM_REG, SUM(IF(TRIM(CAST(X."&amp;F269&amp;" AS STRING))='' OR TRIM(CAST(X."&amp;F269&amp;" AS STRING)) IS NULL,1,0)) AS NUM_REG_DIF,'"&amp;MAX('ID1&amp;5'!K:K)+1&amp;"' AS ID_EXEC, CURRENT_TIMESTAMP() AS TIME_EXEC FROM "&amp;I269),
IF(C269="Caracteres Especiais",+"SELECT '"&amp;UPPER(B269)&amp;"' AS TABELA, '"&amp;UPPER(C269)&amp;"' AS TIPOLOGIA_TESTE,'"&amp;D269&amp;"' AS TABELA_LT,'N/A' AS TABELA_SIMUL,'"&amp;F269&amp;"' AS CAMPO, "&amp;"'${ref_date}' AS REF_DATE, COUNT(*) AS NUM_REG, SUM(IF(REGEXP_REPLACE(TRIM(CAST(X."&amp;F269&amp;" AS STRING)),'[^a-zA-Z0-9_\\s]','') &lt;&gt;TRIM(CAST(X."&amp;F269&amp;" AS STRING)),1,0)) AS NUM_REG_DIF,'"&amp;MAX('ID1&amp;5'!K:K)+1&amp;"' AS ID_EXEC, CURRENT_TIMESTAMP() AS TIME_EXEC FROM "&amp;I269,
IF(C269="Missings",+"SELECT '"&amp;UPPER(B269)&amp;"' AS TABELA, '"&amp;UPPER(C269)&amp;"' AS TIPOLOGIA_TESTE,'"&amp;D269&amp;"' AS TABELA_LT,'N/A' AS TABELA_SIMUL,'"&amp;F269&amp;"' AS CAMPO, "&amp;"'${ref_date}' AS REF_DATE, COUNT(*) AS NUM_REG, SUM(IF(TRIM(CAST(X."&amp;F269&amp;" AS STRING)) IN ('0000-00-00','0001-01-01','9999-12-31','MISS','00000','99999999999','99999999999.00','99999999999.000000'),1,0)) AS NUM_REG_DIF,'"&amp;MAX('ID1&amp;5'!K:K)+1&amp;"' AS ID_EXEC, CURRENT_TIMESTAMP() AS TIME_EXEC FROM "&amp;I269,
IF(C269="Not applicable",+"SELECT '"&amp;UPPER(B269)&amp;"' AS TABELA, '"&amp;UPPER(C269)&amp;"' AS TIPOLOGIA_TESTE,'"&amp;D269&amp;"' AS TABELA_LT,'N/A' AS TABELA_SIMUL,'"&amp;F269&amp;"' AS CAMPO, "&amp;"'${ref_date}' AS REF_DATE, COUNT(*) AS NUM_REG, SUM(IF(TRIM(CAST(X."&amp;F269&amp;" AS STRING)) IN ('N/A','11111111111','11111111111.00','11111111111.000000','1111-11-11'),1,0)) AS NUM_REG_DIF,'"&amp;MAX('ID1&amp;5'!K:K)+1&amp;"' AS ID_EXEC, CURRENT_TIMESTAMP() AS TIME_EXEC FROM "&amp;I269,
IF(C269="Valores extremos",+"SELECT '"&amp;UPPER(B269)&amp;"' AS TABELA, '"&amp;UPPER(C269)&amp;"' AS TIPOLOGIA_TESTE,'"&amp;D269&amp;"' AS TABELA_LT,'N/A' AS TABELA_SIMUL,'"&amp;F269&amp;"' AS CAMPO, "&amp;"'${ref_date}' AS REF_DATE, CAST(MIN("&amp;F269&amp;") AS STRING) AS VALOR_MIN, CAST(MAX("&amp;F269&amp;") AS STRING) AS VALOR_MAX,'"&amp;MAX('ID1&amp;5'!K:K)+1&amp;"' AS ID_EXEC, CURRENT_TIMESTAMP() AS TIME_EXEC FROM "&amp;MID(I269,1,LEN(I269)-2)&amp;" AND CAST("&amp;F269&amp;"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TABELA_SIMUL,'nt_ln_lss_prvsn' AS CAMPO, '${ref_date}' AS REF_DATE, COUNT(*) AS NUM_REG, SUM(IF(COALESCE(CAST(X.nt_ln_lss_prvsn AS STRING),'')&lt;&gt;COALESCE(CAST(Y.nt_ln_lss_prvsn_SIMUL AS STRING),'') OR (X.nt_ln_lss_prvsn IS NULL AND Y.nt_ln_lss_prvsn_SIMUL IS NOT NULL ) OR (X.nt_ln_lss_prvsn IS NOT NULL AND Y.nt_ln_lss_prvsn_SIMUL IS NULL),1,0)) AS NUM_REG_DIF,'1' AS ID_EXEC, CURRENT_TIMESTAMP() AS TIME_EXEC FROM (SELECT instrmnt_id, nt_ln_lss_prvsn FROM BU_LOANTAPE_WORK.LT002_INSTRUMENT WHERE ref_date='${ref_date}' AND nome_perimetro='Individual Local' AND segmento='ESTR' AND ambito='SRB_MBDT' AND entidade='00100')X INNER JOIN (SELECT instrmnt_id AS instrmnt_id_SIMUL, nt_ln_lss_prvsn AS nt_ln_lss_prvsn_SIMUL FROM BU_LOANTAPE_WORK.SIMUL_LT002_INSTRUMENT WHERE ref_date='${ref_date}' AND nome_perimetro='Individual Local' AND segmento='ESTR' AND ambito='PILAR3' AND entidade='00100')Y ON X.INSTRMNT_ID=Y.INSTRMNT_ID_SIMUL</v>
      </c>
      <c r="M269" s="36" t="str">
        <f t="shared" si="7"/>
        <v>UNION ALL SELECT 'INSTRUMENT' AS TABELA, 'COERÊNCIA' AS TIPOLOGIA_TESTE,'BU_LOANTAPE_WORK.LT002_INSTRUMENT' AS TABELA_LT,'BU_LOANTAPE_WORK.SIMUL_LT002_INSTRUMENT' AS TABELA_SIMUL,'nt_ln_lss_prvsn' AS CAMPO, '${ref_date}' AS REF_DATE, COUNT(*) AS NUM_REG, SUM(IF(COALESCE(CAST(X.nt_ln_lss_prvsn AS STRING),'')&lt;&gt;COALESCE(CAST(Y.nt_ln_lss_prvsn_SIMUL AS STRING),'') OR (X.nt_ln_lss_prvsn IS NULL AND Y.nt_ln_lss_prvsn_SIMUL IS NOT NULL ) OR (X.nt_ln_lss_prvsn IS NOT NULL AND Y.nt_ln_lss_prvsn_SIMUL IS NULL),1,0)) AS NUM_REG_DIF,'1' AS ID_EXEC, CURRENT_TIMESTAMP() AS TIME_EXEC FROM (SELECT instrmnt_id, nt_ln_lss_prvsn FROM BU_LOANTAPE_WORK.LT002_INSTRUMENT WHERE ref_date='${ref_date}' AND nome_perimetro='Individual Local' AND segmento='ESTR' AND ambito='SRB_MBDT' AND entidade='00100')X INNER JOIN (SELECT instrmnt_id AS instrmnt_id_SIMUL, nt_ln_lss_prvsn AS nt_ln_lss_prvsn_SIMUL FROM BU_LOANTAPE_WORK.SIMUL_LT002_INSTRUMENT WHERE ref_date='${ref_date}' AND nome_perimetro='Individual Local' AND segmento='ESTR' AND ambito='PILAR3' AND entidade='00100')Y ON X.INSTRMNT_ID=Y.INSTRMNT_ID_SIMUL</v>
      </c>
      <c r="N269" s="38"/>
    </row>
    <row r="270" spans="2:14">
      <c r="B270" s="34" t="s">
        <v>117</v>
      </c>
      <c r="C270" s="34" t="s">
        <v>5</v>
      </c>
      <c r="D270" s="34" t="str">
        <f>+UPPER('0. Instruções'!$D$35&amp;"."&amp;VLOOKUP(B270,'0. Instruções'!$C$27:$D$32,2,FALSE))</f>
        <v>BU_LOANTAPE_WORK.LT002_INSTRUMENT</v>
      </c>
      <c r="E270" s="34" t="str">
        <f>+UPPER('0. Instruções'!$D$36&amp;"."&amp;VLOOKUP(B270,'0. Instruções'!$C$27:$E$32,3,FALSE))</f>
        <v>BU_LOANTAPE_WORK.SIMUL_LT002_INSTRUMENT</v>
      </c>
      <c r="F270" s="34" t="s">
        <v>1322</v>
      </c>
      <c r="G270" s="34"/>
      <c r="H270" s="34"/>
      <c r="I270" s="34" t="str">
        <f>"(SELECT "&amp;VLOOKUP(B270,'0. Instruções'!$C$27:$G$32,4,FALSE)&amp;", "&amp;F270&amp;" FROM "&amp;D270&amp;" WHERE "&amp;'0. Instruções'!$D$42&amp;")X"</f>
        <v>(SELECT instrmnt_id, bsnss_area FROM BU_LOANTAPE_WORK.LT002_INSTRUMENT WHERE ref_date='${ref_date}' AND nome_perimetro='Individual Local' AND segmento='ESTR' AND ambito='SRB_MBDT' AND entidade='00100')X</v>
      </c>
      <c r="J270" s="34" t="str">
        <f>"(SELECT "&amp;VLOOKUP(B270,'0. Instruções'!$C$27:$G$32,4,FALSE)&amp;" AS "&amp;VLOOKUP(B270,'0. Instruções'!$C$27:$G$32,4,FALSE)&amp;"_SIMUL, "&amp;F270&amp;" AS "&amp;F270&amp;"_SIMUL FROM "&amp;E270&amp;" WHERE "&amp;'0. Instruções'!$D$43&amp;")Y"</f>
        <v>(SELECT instrmnt_id AS instrmnt_id_SIMUL, bsnss_area AS bsnss_area_SIMUL FROM BU_LOANTAPE_WORK.SIMUL_LT002_INSTRUMENT WHERE ref_date='${ref_date}' AND nome_perimetro='Individual Local' AND segmento='ESTR' AND ambito='PILAR3' AND entidade='00100')Y</v>
      </c>
      <c r="K270" s="35" t="str">
        <f>+UPPER("ON X."&amp;VLOOKUP(B270,'0. Instruções'!$C$27:$G$32,4,FALSE)&amp;"=Y."&amp;VLOOKUP(B270,'0. Instruções'!$C$27:$G$32,4,FALSE)&amp;"_SIMUL")</f>
        <v>ON X.INSTRMNT_ID=Y.INSTRMNT_ID_SIMUL</v>
      </c>
      <c r="L270" s="35" t="str">
        <f>+IF(C270="Coerência", +IF(LEFT(G270,5)="FLOAT","SELECT '"&amp;UPPER(B270)&amp;"' AS TABELA, '"&amp;UPPER(C270)&amp;"' AS TIPOLOGIA_TESTE,'"&amp;D270&amp;"' AS TABELA_LT,'"&amp;E270&amp;"' AS TABELA_SIMUL,'"&amp;F270&amp;"' AS CAMPO, "&amp;"'${ref_date}' AS REF_DATE, COUNT(*) AS NUM_REG, SUM(IF((ABS(COALESCE(CAST(X."&amp;F270&amp;" AS DECIMAL(18,6)),0)-COALESCE(CAST(Y."&amp;F270&amp;"_SIMUL AS DECIMAL(18,6)),0))&gt;0.000001) OR (X."&amp;F270&amp;" IS NULL AND Y."&amp;F270&amp;"_SIMUL IS NOT NULL ) OR (X."&amp;F270&amp;" IS NOT NULL AND Y."&amp;F270&amp;"_SIMUL IS NULL),1,0)) AS NUM_REG_DIF,'"&amp;MAX('ID1&amp;5'!K:K)+1&amp;"' AS ID_EXEC, CURRENT_TIMESTAMP() AS TIME_EXEC FROM "&amp;I270&amp;" INNER JOIN "&amp;J270&amp;" "&amp;K270,"SELECT '"&amp;UPPER(B270)&amp;"' AS TABELA, '"&amp;UPPER(C270)&amp;"' AS TIPOLOGIA_TESTE,'"&amp;D270&amp;"' AS TABELA_LT,'"&amp;E270&amp;"' AS TABELA_SIMUL,'"&amp;F270&amp;"' AS CAMPO, "&amp;"'${ref_date}' AS REF_DATE, COUNT(*) AS NUM_REG, SUM(IF(COALESCE(CAST(X."&amp;F270&amp;" AS STRING),'')&lt;&gt;COALESCE(CAST(Y."&amp;F270&amp;"_SIMUL AS STRING),'') OR (X."&amp;F270&amp;" IS NULL AND Y."&amp;F270&amp;"_SIMUL IS NOT NULL ) OR (X."&amp;F270&amp;" IS NOT NULL AND Y."&amp;F270&amp;"_SIMUL IS NULL),1,0)) AS NUM_REG_DIF,'"&amp;MAX('ID1&amp;5'!L:L)+1&amp;"' AS ID_EXEC, CURRENT_TIMESTAMP() AS TIME_EXEC FROM "&amp;I270&amp;" INNER JOIN "&amp;J270&amp;" "&amp;K270),
IF(C270="Validade",+IF(G270="Code List","SELECT '"&amp;UPPER(B270)&amp;"' AS TABELA, '"&amp;UPPER(C270)&amp;"' AS TIPOLOGIA_TESTE,'"&amp;D270&amp;"' AS TABELA_LT,'N/A' AS TABELA_SIMUL,'"&amp;F270&amp;"' AS CAMPO, "&amp;"'${ref_date}' AS REF_DATE, COUNT(*) AS NUM_REG, SUM(IF(TRIM(CAST(X."&amp;F270&amp;" AS STRING))='' OR TRIM(CAST(X."&amp;F270&amp;" AS STRING)) IS NULL OR CAST(X."&amp;F270&amp;" AS STRING) NOT "&amp;H270&amp;",1,0)) AS NUM_REG_DIF,'"&amp;MAX('ID1&amp;5'!K:K)+1&amp;"' AS ID_EXEC, CURRENT_TIMESTAMP() AS TIME_EXEC FROM "&amp;I270,"SELECT '"&amp;UPPER(B270)&amp;"' AS TABELA, '"&amp;UPPER(C270)&amp;"' AS TIPOLOGIA_TESTE,'"&amp;D270&amp;"' AS TABELA_LT,'N/A' AS TABELA_SIMUL,'"&amp;F270&amp;"' AS CAMPO, "&amp;"'${ref_date}' AS REF_DATE, COUNT(*) AS NUM_REG, SUM(IF(TRIM(CAST(X."&amp;F270&amp;" AS STRING))='' OR TRIM(CAST(X."&amp;F270&amp;" AS STRING)) IS NULL,1,0)) AS NUM_REG_DIF,'"&amp;MAX('ID1&amp;5'!K:K)+1&amp;"' AS ID_EXEC, CURRENT_TIMESTAMP() AS TIME_EXEC FROM "&amp;I270),
IF(C270="Caracteres Especiais",+"SELECT '"&amp;UPPER(B270)&amp;"' AS TABELA, '"&amp;UPPER(C270)&amp;"' AS TIPOLOGIA_TESTE,'"&amp;D270&amp;"' AS TABELA_LT,'N/A' AS TABELA_SIMUL,'"&amp;F270&amp;"' AS CAMPO, "&amp;"'${ref_date}' AS REF_DATE, COUNT(*) AS NUM_REG, SUM(IF(REGEXP_REPLACE(TRIM(CAST(X."&amp;F270&amp;" AS STRING)),'[^a-zA-Z0-9_\\s]','') &lt;&gt;TRIM(CAST(X."&amp;F270&amp;" AS STRING)),1,0)) AS NUM_REG_DIF,'"&amp;MAX('ID1&amp;5'!K:K)+1&amp;"' AS ID_EXEC, CURRENT_TIMESTAMP() AS TIME_EXEC FROM "&amp;I270,
IF(C270="Missings",+"SELECT '"&amp;UPPER(B270)&amp;"' AS TABELA, '"&amp;UPPER(C270)&amp;"' AS TIPOLOGIA_TESTE,'"&amp;D270&amp;"' AS TABELA_LT,'N/A' AS TABELA_SIMUL,'"&amp;F270&amp;"' AS CAMPO, "&amp;"'${ref_date}' AS REF_DATE, COUNT(*) AS NUM_REG, SUM(IF(TRIM(CAST(X."&amp;F270&amp;" AS STRING)) IN ('0000-00-00','0001-01-01','9999-12-31','MISS','00000','99999999999','99999999999.00','99999999999.000000'),1,0)) AS NUM_REG_DIF,'"&amp;MAX('ID1&amp;5'!K:K)+1&amp;"' AS ID_EXEC, CURRENT_TIMESTAMP() AS TIME_EXEC FROM "&amp;I270,
IF(C270="Not applicable",+"SELECT '"&amp;UPPER(B270)&amp;"' AS TABELA, '"&amp;UPPER(C270)&amp;"' AS TIPOLOGIA_TESTE,'"&amp;D270&amp;"' AS TABELA_LT,'N/A' AS TABELA_SIMUL,'"&amp;F270&amp;"' AS CAMPO, "&amp;"'${ref_date}' AS REF_DATE, COUNT(*) AS NUM_REG, SUM(IF(TRIM(CAST(X."&amp;F270&amp;" AS STRING)) IN ('N/A','11111111111','11111111111.00','11111111111.000000','1111-11-11'),1,0)) AS NUM_REG_DIF,'"&amp;MAX('ID1&amp;5'!K:K)+1&amp;"' AS ID_EXEC, CURRENT_TIMESTAMP() AS TIME_EXEC FROM "&amp;I270,
IF(C270="Valores extremos",+"SELECT '"&amp;UPPER(B270)&amp;"' AS TABELA, '"&amp;UPPER(C270)&amp;"' AS TIPOLOGIA_TESTE,'"&amp;D270&amp;"' AS TABELA_LT,'N/A' AS TABELA_SIMUL,'"&amp;F270&amp;"' AS CAMPO, "&amp;"'${ref_date}' AS REF_DATE, CAST(MIN("&amp;F270&amp;") AS STRING) AS VALOR_MIN, CAST(MAX("&amp;F270&amp;") AS STRING) AS VALOR_MAX,'"&amp;MAX('ID1&amp;5'!K:K)+1&amp;"' AS ID_EXEC, CURRENT_TIMESTAMP() AS TIME_EXEC FROM "&amp;MID(I270,1,LEN(I270)-2)&amp;" AND CAST("&amp;F270&amp;"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TABELA_SIMUL,'bsnss_area' AS CAMPO, '${ref_date}' AS REF_DATE, COUNT(*) AS NUM_REG, SUM(IF(COALESCE(CAST(X.bsnss_area AS STRING),'')&lt;&gt;COALESCE(CAST(Y.bsnss_area_SIMUL AS STRING),'') OR (X.bsnss_area IS NULL AND Y.bsnss_area_SIMUL IS NOT NULL ) OR (X.bsnss_area IS NOT NULL AND Y.bsnss_area_SIMUL IS NULL),1,0)) AS NUM_REG_DIF,'1' AS ID_EXEC, CURRENT_TIMESTAMP() AS TIME_EXEC FROM (SELECT instrmnt_id, bsnss_area FROM BU_LOANTAPE_WORK.LT002_INSTRUMENT WHERE ref_date='${ref_date}' AND nome_perimetro='Individual Local' AND segmento='ESTR' AND ambito='SRB_MBDT' AND entidade='00100')X INNER JOIN (SELECT instrmnt_id AS instrmnt_id_SIMUL, bsnss_area AS bsnss_area_SIMUL FROM BU_LOANTAPE_WORK.SIMUL_LT002_INSTRUMENT WHERE ref_date='${ref_date}' AND nome_perimetro='Individual Local' AND segmento='ESTR' AND ambito='PILAR3' AND entidade='00100')Y ON X.INSTRMNT_ID=Y.INSTRMNT_ID_SIMUL</v>
      </c>
      <c r="M270" s="36" t="str">
        <f t="shared" si="7"/>
        <v>UNION ALL SELECT 'INSTRUMENT' AS TABELA, 'COERÊNCIA' AS TIPOLOGIA_TESTE,'BU_LOANTAPE_WORK.LT002_INSTRUMENT' AS TABELA_LT,'BU_LOANTAPE_WORK.SIMUL_LT002_INSTRUMENT' AS TABELA_SIMUL,'bsnss_area' AS CAMPO, '${ref_date}' AS REF_DATE, COUNT(*) AS NUM_REG, SUM(IF(COALESCE(CAST(X.bsnss_area AS STRING),'')&lt;&gt;COALESCE(CAST(Y.bsnss_area_SIMUL AS STRING),'') OR (X.bsnss_area IS NULL AND Y.bsnss_area_SIMUL IS NOT NULL ) OR (X.bsnss_area IS NOT NULL AND Y.bsnss_area_SIMUL IS NULL),1,0)) AS NUM_REG_DIF,'1' AS ID_EXEC, CURRENT_TIMESTAMP() AS TIME_EXEC FROM (SELECT instrmnt_id, bsnss_area FROM BU_LOANTAPE_WORK.LT002_INSTRUMENT WHERE ref_date='${ref_date}' AND nome_perimetro='Individual Local' AND segmento='ESTR' AND ambito='SRB_MBDT' AND entidade='00100')X INNER JOIN (SELECT instrmnt_id AS instrmnt_id_SIMUL, bsnss_area AS bsnss_area_SIMUL FROM BU_LOANTAPE_WORK.SIMUL_LT002_INSTRUMENT WHERE ref_date='${ref_date}' AND nome_perimetro='Individual Local' AND segmento='ESTR' AND ambito='PILAR3' AND entidade='00100')Y ON X.INSTRMNT_ID=Y.INSTRMNT_ID_SIMUL</v>
      </c>
      <c r="N270" s="38"/>
    </row>
    <row r="271" spans="2:14">
      <c r="B271" s="34" t="s">
        <v>117</v>
      </c>
      <c r="C271" s="34" t="s">
        <v>5</v>
      </c>
      <c r="D271" s="34" t="str">
        <f>+UPPER('0. Instruções'!$D$35&amp;"."&amp;VLOOKUP(B271,'0. Instruções'!$C$27:$D$32,2,FALSE))</f>
        <v>BU_LOANTAPE_WORK.LT002_INSTRUMENT</v>
      </c>
      <c r="E271" s="34" t="str">
        <f>+UPPER('0. Instruções'!$D$36&amp;"."&amp;VLOOKUP(B271,'0. Instruções'!$C$27:$E$32,3,FALSE))</f>
        <v>BU_LOANTAPE_WORK.SIMUL_LT002_INSTRUMENT</v>
      </c>
      <c r="F271" s="34" t="s">
        <v>1323</v>
      </c>
      <c r="G271" s="34"/>
      <c r="H271" s="34"/>
      <c r="I271" s="34" t="str">
        <f>"(SELECT "&amp;VLOOKUP(B271,'0. Instruções'!$C$27:$G$32,4,FALSE)&amp;", "&amp;F271&amp;" FROM "&amp;D271&amp;" WHERE "&amp;'0. Instruções'!$D$42&amp;")X"</f>
        <v>(SELECT instrmnt_id, mngmnt_prdct FROM BU_LOANTAPE_WORK.LT002_INSTRUMENT WHERE ref_date='${ref_date}' AND nome_perimetro='Individual Local' AND segmento='ESTR' AND ambito='SRB_MBDT' AND entidade='00100')X</v>
      </c>
      <c r="J271" s="34" t="str">
        <f>"(SELECT "&amp;VLOOKUP(B271,'0. Instruções'!$C$27:$G$32,4,FALSE)&amp;" AS "&amp;VLOOKUP(B271,'0. Instruções'!$C$27:$G$32,4,FALSE)&amp;"_SIMUL, "&amp;F271&amp;" AS "&amp;F271&amp;"_SIMUL FROM "&amp;E271&amp;" WHERE "&amp;'0. Instruções'!$D$43&amp;")Y"</f>
        <v>(SELECT instrmnt_id AS instrmnt_id_SIMUL, mngmnt_prdct AS mngmnt_prdct_SIMUL FROM BU_LOANTAPE_WORK.SIMUL_LT002_INSTRUMENT WHERE ref_date='${ref_date}' AND nome_perimetro='Individual Local' AND segmento='ESTR' AND ambito='PILAR3' AND entidade='00100')Y</v>
      </c>
      <c r="K271" s="35" t="str">
        <f>+UPPER("ON X."&amp;VLOOKUP(B271,'0. Instruções'!$C$27:$G$32,4,FALSE)&amp;"=Y."&amp;VLOOKUP(B271,'0. Instruções'!$C$27:$G$32,4,FALSE)&amp;"_SIMUL")</f>
        <v>ON X.INSTRMNT_ID=Y.INSTRMNT_ID_SIMUL</v>
      </c>
      <c r="L271" s="35" t="str">
        <f>+IF(C271="Coerência", +IF(LEFT(G271,5)="FLOAT","SELECT '"&amp;UPPER(B271)&amp;"' AS TABELA, '"&amp;UPPER(C271)&amp;"' AS TIPOLOGIA_TESTE,'"&amp;D271&amp;"' AS TABELA_LT,'"&amp;E271&amp;"' AS TABELA_SIMUL,'"&amp;F271&amp;"' AS CAMPO, "&amp;"'${ref_date}' AS REF_DATE, COUNT(*) AS NUM_REG, SUM(IF((ABS(COALESCE(CAST(X."&amp;F271&amp;" AS DECIMAL(18,6)),0)-COALESCE(CAST(Y."&amp;F271&amp;"_SIMUL AS DECIMAL(18,6)),0))&gt;0.000001) OR (X."&amp;F271&amp;" IS NULL AND Y."&amp;F271&amp;"_SIMUL IS NOT NULL ) OR (X."&amp;F271&amp;" IS NOT NULL AND Y."&amp;F271&amp;"_SIMUL IS NULL),1,0)) AS NUM_REG_DIF,'"&amp;MAX('ID1&amp;5'!K:K)+1&amp;"' AS ID_EXEC, CURRENT_TIMESTAMP() AS TIME_EXEC FROM "&amp;I271&amp;" INNER JOIN "&amp;J271&amp;" "&amp;K271,"SELECT '"&amp;UPPER(B271)&amp;"' AS TABELA, '"&amp;UPPER(C271)&amp;"' AS TIPOLOGIA_TESTE,'"&amp;D271&amp;"' AS TABELA_LT,'"&amp;E271&amp;"' AS TABELA_SIMUL,'"&amp;F271&amp;"' AS CAMPO, "&amp;"'${ref_date}' AS REF_DATE, COUNT(*) AS NUM_REG, SUM(IF(COALESCE(CAST(X."&amp;F271&amp;" AS STRING),'')&lt;&gt;COALESCE(CAST(Y."&amp;F271&amp;"_SIMUL AS STRING),'') OR (X."&amp;F271&amp;" IS NULL AND Y."&amp;F271&amp;"_SIMUL IS NOT NULL ) OR (X."&amp;F271&amp;" IS NOT NULL AND Y."&amp;F271&amp;"_SIMUL IS NULL),1,0)) AS NUM_REG_DIF,'"&amp;MAX('ID1&amp;5'!L:L)+1&amp;"' AS ID_EXEC, CURRENT_TIMESTAMP() AS TIME_EXEC FROM "&amp;I271&amp;" INNER JOIN "&amp;J271&amp;" "&amp;K271),
IF(C271="Validade",+IF(G271="Code List","SELECT '"&amp;UPPER(B271)&amp;"' AS TABELA, '"&amp;UPPER(C271)&amp;"' AS TIPOLOGIA_TESTE,'"&amp;D271&amp;"' AS TABELA_LT,'N/A' AS TABELA_SIMUL,'"&amp;F271&amp;"' AS CAMPO, "&amp;"'${ref_date}' AS REF_DATE, COUNT(*) AS NUM_REG, SUM(IF(TRIM(CAST(X."&amp;F271&amp;" AS STRING))='' OR TRIM(CAST(X."&amp;F271&amp;" AS STRING)) IS NULL OR CAST(X."&amp;F271&amp;" AS STRING) NOT "&amp;H271&amp;",1,0)) AS NUM_REG_DIF,'"&amp;MAX('ID1&amp;5'!K:K)+1&amp;"' AS ID_EXEC, CURRENT_TIMESTAMP() AS TIME_EXEC FROM "&amp;I271,"SELECT '"&amp;UPPER(B271)&amp;"' AS TABELA, '"&amp;UPPER(C271)&amp;"' AS TIPOLOGIA_TESTE,'"&amp;D271&amp;"' AS TABELA_LT,'N/A' AS TABELA_SIMUL,'"&amp;F271&amp;"' AS CAMPO, "&amp;"'${ref_date}' AS REF_DATE, COUNT(*) AS NUM_REG, SUM(IF(TRIM(CAST(X."&amp;F271&amp;" AS STRING))='' OR TRIM(CAST(X."&amp;F271&amp;" AS STRING)) IS NULL,1,0)) AS NUM_REG_DIF,'"&amp;MAX('ID1&amp;5'!K:K)+1&amp;"' AS ID_EXEC, CURRENT_TIMESTAMP() AS TIME_EXEC FROM "&amp;I271),
IF(C271="Caracteres Especiais",+"SELECT '"&amp;UPPER(B271)&amp;"' AS TABELA, '"&amp;UPPER(C271)&amp;"' AS TIPOLOGIA_TESTE,'"&amp;D271&amp;"' AS TABELA_LT,'N/A' AS TABELA_SIMUL,'"&amp;F271&amp;"' AS CAMPO, "&amp;"'${ref_date}' AS REF_DATE, COUNT(*) AS NUM_REG, SUM(IF(REGEXP_REPLACE(TRIM(CAST(X."&amp;F271&amp;" AS STRING)),'[^a-zA-Z0-9_\\s]','') &lt;&gt;TRIM(CAST(X."&amp;F271&amp;" AS STRING)),1,0)) AS NUM_REG_DIF,'"&amp;MAX('ID1&amp;5'!K:K)+1&amp;"' AS ID_EXEC, CURRENT_TIMESTAMP() AS TIME_EXEC FROM "&amp;I271,
IF(C271="Missings",+"SELECT '"&amp;UPPER(B271)&amp;"' AS TABELA, '"&amp;UPPER(C271)&amp;"' AS TIPOLOGIA_TESTE,'"&amp;D271&amp;"' AS TABELA_LT,'N/A' AS TABELA_SIMUL,'"&amp;F271&amp;"' AS CAMPO, "&amp;"'${ref_date}' AS REF_DATE, COUNT(*) AS NUM_REG, SUM(IF(TRIM(CAST(X."&amp;F271&amp;" AS STRING)) IN ('0000-00-00','0001-01-01','9999-12-31','MISS','00000','99999999999','99999999999.00','99999999999.000000'),1,0)) AS NUM_REG_DIF,'"&amp;MAX('ID1&amp;5'!K:K)+1&amp;"' AS ID_EXEC, CURRENT_TIMESTAMP() AS TIME_EXEC FROM "&amp;I271,
IF(C271="Not applicable",+"SELECT '"&amp;UPPER(B271)&amp;"' AS TABELA, '"&amp;UPPER(C271)&amp;"' AS TIPOLOGIA_TESTE,'"&amp;D271&amp;"' AS TABELA_LT,'N/A' AS TABELA_SIMUL,'"&amp;F271&amp;"' AS CAMPO, "&amp;"'${ref_date}' AS REF_DATE, COUNT(*) AS NUM_REG, SUM(IF(TRIM(CAST(X."&amp;F271&amp;" AS STRING)) IN ('N/A','11111111111','11111111111.00','11111111111.000000','1111-11-11'),1,0)) AS NUM_REG_DIF,'"&amp;MAX('ID1&amp;5'!K:K)+1&amp;"' AS ID_EXEC, CURRENT_TIMESTAMP() AS TIME_EXEC FROM "&amp;I271,
IF(C271="Valores extremos",+"SELECT '"&amp;UPPER(B271)&amp;"' AS TABELA, '"&amp;UPPER(C271)&amp;"' AS TIPOLOGIA_TESTE,'"&amp;D271&amp;"' AS TABELA_LT,'N/A' AS TABELA_SIMUL,'"&amp;F271&amp;"' AS CAMPO, "&amp;"'${ref_date}' AS REF_DATE, CAST(MIN("&amp;F271&amp;") AS STRING) AS VALOR_MIN, CAST(MAX("&amp;F271&amp;") AS STRING) AS VALOR_MAX,'"&amp;MAX('ID1&amp;5'!K:K)+1&amp;"' AS ID_EXEC, CURRENT_TIMESTAMP() AS TIME_EXEC FROM "&amp;MID(I271,1,LEN(I271)-2)&amp;" AND CAST("&amp;F271&amp;"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TABELA_SIMUL,'mngmnt_prdct' AS CAMPO, '${ref_date}' AS REF_DATE, COUNT(*) AS NUM_REG, SUM(IF(COALESCE(CAST(X.mngmnt_prdct AS STRING),'')&lt;&gt;COALESCE(CAST(Y.mngmnt_prdct_SIMUL AS STRING),'') OR (X.mngmnt_prdct IS NULL AND Y.mngmnt_prdct_SIMUL IS NOT NULL ) OR (X.mngmnt_prdct IS NOT NULL AND Y.mngmnt_prdct_SIMUL IS NULL),1,0)) AS NUM_REG_DIF,'1' AS ID_EXEC, CURRENT_TIMESTAMP() AS TIME_EXEC FROM (SELECT instrmnt_id, mngmnt_prdct FROM BU_LOANTAPE_WORK.LT002_INSTRUMENT WHERE ref_date='${ref_date}' AND nome_perimetro='Individual Local' AND segmento='ESTR' AND ambito='SRB_MBDT' AND entidade='00100')X INNER JOIN (SELECT instrmnt_id AS instrmnt_id_SIMUL, mngmnt_prdct AS mngmnt_prdct_SIMUL FROM BU_LOANTAPE_WORK.SIMUL_LT002_INSTRUMENT WHERE ref_date='${ref_date}' AND nome_perimetro='Individual Local' AND segmento='ESTR' AND ambito='PILAR3' AND entidade='00100')Y ON X.INSTRMNT_ID=Y.INSTRMNT_ID_SIMUL</v>
      </c>
      <c r="M271" s="36" t="str">
        <f t="shared" si="7"/>
        <v>UNION ALL SELECT 'INSTRUMENT' AS TABELA, 'COERÊNCIA' AS TIPOLOGIA_TESTE,'BU_LOANTAPE_WORK.LT002_INSTRUMENT' AS TABELA_LT,'BU_LOANTAPE_WORK.SIMUL_LT002_INSTRUMENT' AS TABELA_SIMUL,'mngmnt_prdct' AS CAMPO, '${ref_date}' AS REF_DATE, COUNT(*) AS NUM_REG, SUM(IF(COALESCE(CAST(X.mngmnt_prdct AS STRING),'')&lt;&gt;COALESCE(CAST(Y.mngmnt_prdct_SIMUL AS STRING),'') OR (X.mngmnt_prdct IS NULL AND Y.mngmnt_prdct_SIMUL IS NOT NULL ) OR (X.mngmnt_prdct IS NOT NULL AND Y.mngmnt_prdct_SIMUL IS NULL),1,0)) AS NUM_REG_DIF,'1' AS ID_EXEC, CURRENT_TIMESTAMP() AS TIME_EXEC FROM (SELECT instrmnt_id, mngmnt_prdct FROM BU_LOANTAPE_WORK.LT002_INSTRUMENT WHERE ref_date='${ref_date}' AND nome_perimetro='Individual Local' AND segmento='ESTR' AND ambito='SRB_MBDT' AND entidade='00100')X INNER JOIN (SELECT instrmnt_id AS instrmnt_id_SIMUL, mngmnt_prdct AS mngmnt_prdct_SIMUL FROM BU_LOANTAPE_WORK.SIMUL_LT002_INSTRUMENT WHERE ref_date='${ref_date}' AND nome_perimetro='Individual Local' AND segmento='ESTR' AND ambito='PILAR3' AND entidade='00100')Y ON X.INSTRMNT_ID=Y.INSTRMNT_ID_SIMUL</v>
      </c>
      <c r="N271" s="38"/>
    </row>
    <row r="272" spans="2:14">
      <c r="B272" s="34" t="s">
        <v>117</v>
      </c>
      <c r="C272" s="34" t="s">
        <v>5</v>
      </c>
      <c r="D272" s="34" t="str">
        <f>+UPPER('0. Instruções'!$D$35&amp;"."&amp;VLOOKUP(B272,'0. Instruções'!$C$27:$D$32,2,FALSE))</f>
        <v>BU_LOANTAPE_WORK.LT002_INSTRUMENT</v>
      </c>
      <c r="E272" s="34" t="str">
        <f>+UPPER('0. Instruções'!$D$36&amp;"."&amp;VLOOKUP(B272,'0. Instruções'!$C$27:$E$32,3,FALSE))</f>
        <v>BU_LOANTAPE_WORK.SIMUL_LT002_INSTRUMENT</v>
      </c>
      <c r="F272" s="34" t="s">
        <v>1324</v>
      </c>
      <c r="G272" s="34"/>
      <c r="H272" s="34"/>
      <c r="I272" s="34" t="str">
        <f>"(SELECT "&amp;VLOOKUP(B272,'0. Instruções'!$C$27:$G$32,4,FALSE)&amp;", "&amp;F272&amp;" FROM "&amp;D272&amp;" WHERE "&amp;'0. Instruções'!$D$42&amp;")X"</f>
        <v>(SELECT instrmnt_id, grss_cmmssn_expns FROM BU_LOANTAPE_WORK.LT002_INSTRUMENT WHERE ref_date='${ref_date}' AND nome_perimetro='Individual Local' AND segmento='ESTR' AND ambito='SRB_MBDT' AND entidade='00100')X</v>
      </c>
      <c r="J272" s="34" t="str">
        <f>"(SELECT "&amp;VLOOKUP(B272,'0. Instruções'!$C$27:$G$32,4,FALSE)&amp;" AS "&amp;VLOOKUP(B272,'0. Instruções'!$C$27:$G$32,4,FALSE)&amp;"_SIMUL, "&amp;F272&amp;" AS "&amp;F272&amp;"_SIMUL FROM "&amp;E272&amp;" WHERE "&amp;'0. Instruções'!$D$43&amp;")Y"</f>
        <v>(SELECT instrmnt_id AS instrmnt_id_SIMUL, grss_cmmssn_expns AS grss_cmmssn_expns_SIMUL FROM BU_LOANTAPE_WORK.SIMUL_LT002_INSTRUMENT WHERE ref_date='${ref_date}' AND nome_perimetro='Individual Local' AND segmento='ESTR' AND ambito='PILAR3' AND entidade='00100')Y</v>
      </c>
      <c r="K272" s="35" t="str">
        <f>+UPPER("ON X."&amp;VLOOKUP(B272,'0. Instruções'!$C$27:$G$32,4,FALSE)&amp;"=Y."&amp;VLOOKUP(B272,'0. Instruções'!$C$27:$G$32,4,FALSE)&amp;"_SIMUL")</f>
        <v>ON X.INSTRMNT_ID=Y.INSTRMNT_ID_SIMUL</v>
      </c>
      <c r="L272" s="35" t="str">
        <f>+IF(C272="Coerência", +IF(LEFT(G272,5)="FLOAT","SELECT '"&amp;UPPER(B272)&amp;"' AS TABELA, '"&amp;UPPER(C272)&amp;"' AS TIPOLOGIA_TESTE,'"&amp;D272&amp;"' AS TABELA_LT,'"&amp;E272&amp;"' AS TABELA_SIMUL,'"&amp;F272&amp;"' AS CAMPO, "&amp;"'${ref_date}' AS REF_DATE, COUNT(*) AS NUM_REG, SUM(IF((ABS(COALESCE(CAST(X."&amp;F272&amp;" AS DECIMAL(18,6)),0)-COALESCE(CAST(Y."&amp;F272&amp;"_SIMUL AS DECIMAL(18,6)),0))&gt;0.000001) OR (X."&amp;F272&amp;" IS NULL AND Y."&amp;F272&amp;"_SIMUL IS NOT NULL ) OR (X."&amp;F272&amp;" IS NOT NULL AND Y."&amp;F272&amp;"_SIMUL IS NULL),1,0)) AS NUM_REG_DIF,'"&amp;MAX('ID1&amp;5'!K:K)+1&amp;"' AS ID_EXEC, CURRENT_TIMESTAMP() AS TIME_EXEC FROM "&amp;I272&amp;" INNER JOIN "&amp;J272&amp;" "&amp;K272,"SELECT '"&amp;UPPER(B272)&amp;"' AS TABELA, '"&amp;UPPER(C272)&amp;"' AS TIPOLOGIA_TESTE,'"&amp;D272&amp;"' AS TABELA_LT,'"&amp;E272&amp;"' AS TABELA_SIMUL,'"&amp;F272&amp;"' AS CAMPO, "&amp;"'${ref_date}' AS REF_DATE, COUNT(*) AS NUM_REG, SUM(IF(COALESCE(CAST(X."&amp;F272&amp;" AS STRING),'')&lt;&gt;COALESCE(CAST(Y."&amp;F272&amp;"_SIMUL AS STRING),'') OR (X."&amp;F272&amp;" IS NULL AND Y."&amp;F272&amp;"_SIMUL IS NOT NULL ) OR (X."&amp;F272&amp;" IS NOT NULL AND Y."&amp;F272&amp;"_SIMUL IS NULL),1,0)) AS NUM_REG_DIF,'"&amp;MAX('ID1&amp;5'!L:L)+1&amp;"' AS ID_EXEC, CURRENT_TIMESTAMP() AS TIME_EXEC FROM "&amp;I272&amp;" INNER JOIN "&amp;J272&amp;" "&amp;K272),
IF(C272="Validade",+IF(G272="Code List","SELECT '"&amp;UPPER(B272)&amp;"' AS TABELA, '"&amp;UPPER(C272)&amp;"' AS TIPOLOGIA_TESTE,'"&amp;D272&amp;"' AS TABELA_LT,'N/A' AS TABELA_SIMUL,'"&amp;F272&amp;"' AS CAMPO, "&amp;"'${ref_date}' AS REF_DATE, COUNT(*) AS NUM_REG, SUM(IF(TRIM(CAST(X."&amp;F272&amp;" AS STRING))='' OR TRIM(CAST(X."&amp;F272&amp;" AS STRING)) IS NULL OR CAST(X."&amp;F272&amp;" AS STRING) NOT "&amp;H272&amp;",1,0)) AS NUM_REG_DIF,'"&amp;MAX('ID1&amp;5'!K:K)+1&amp;"' AS ID_EXEC, CURRENT_TIMESTAMP() AS TIME_EXEC FROM "&amp;I272,"SELECT '"&amp;UPPER(B272)&amp;"' AS TABELA, '"&amp;UPPER(C272)&amp;"' AS TIPOLOGIA_TESTE,'"&amp;D272&amp;"' AS TABELA_LT,'N/A' AS TABELA_SIMUL,'"&amp;F272&amp;"' AS CAMPO, "&amp;"'${ref_date}' AS REF_DATE, COUNT(*) AS NUM_REG, SUM(IF(TRIM(CAST(X."&amp;F272&amp;" AS STRING))='' OR TRIM(CAST(X."&amp;F272&amp;" AS STRING)) IS NULL,1,0)) AS NUM_REG_DIF,'"&amp;MAX('ID1&amp;5'!K:K)+1&amp;"' AS ID_EXEC, CURRENT_TIMESTAMP() AS TIME_EXEC FROM "&amp;I272),
IF(C272="Caracteres Especiais",+"SELECT '"&amp;UPPER(B272)&amp;"' AS TABELA, '"&amp;UPPER(C272)&amp;"' AS TIPOLOGIA_TESTE,'"&amp;D272&amp;"' AS TABELA_LT,'N/A' AS TABELA_SIMUL,'"&amp;F272&amp;"' AS CAMPO, "&amp;"'${ref_date}' AS REF_DATE, COUNT(*) AS NUM_REG, SUM(IF(REGEXP_REPLACE(TRIM(CAST(X."&amp;F272&amp;" AS STRING)),'[^a-zA-Z0-9_\\s]','') &lt;&gt;TRIM(CAST(X."&amp;F272&amp;" AS STRING)),1,0)) AS NUM_REG_DIF,'"&amp;MAX('ID1&amp;5'!K:K)+1&amp;"' AS ID_EXEC, CURRENT_TIMESTAMP() AS TIME_EXEC FROM "&amp;I272,
IF(C272="Missings",+"SELECT '"&amp;UPPER(B272)&amp;"' AS TABELA, '"&amp;UPPER(C272)&amp;"' AS TIPOLOGIA_TESTE,'"&amp;D272&amp;"' AS TABELA_LT,'N/A' AS TABELA_SIMUL,'"&amp;F272&amp;"' AS CAMPO, "&amp;"'${ref_date}' AS REF_DATE, COUNT(*) AS NUM_REG, SUM(IF(TRIM(CAST(X."&amp;F272&amp;" AS STRING)) IN ('0000-00-00','0001-01-01','9999-12-31','MISS','00000','99999999999','99999999999.00','99999999999.000000'),1,0)) AS NUM_REG_DIF,'"&amp;MAX('ID1&amp;5'!K:K)+1&amp;"' AS ID_EXEC, CURRENT_TIMESTAMP() AS TIME_EXEC FROM "&amp;I272,
IF(C272="Not applicable",+"SELECT '"&amp;UPPER(B272)&amp;"' AS TABELA, '"&amp;UPPER(C272)&amp;"' AS TIPOLOGIA_TESTE,'"&amp;D272&amp;"' AS TABELA_LT,'N/A' AS TABELA_SIMUL,'"&amp;F272&amp;"' AS CAMPO, "&amp;"'${ref_date}' AS REF_DATE, COUNT(*) AS NUM_REG, SUM(IF(TRIM(CAST(X."&amp;F272&amp;" AS STRING)) IN ('N/A','11111111111','11111111111.00','11111111111.000000','1111-11-11'),1,0)) AS NUM_REG_DIF,'"&amp;MAX('ID1&amp;5'!K:K)+1&amp;"' AS ID_EXEC, CURRENT_TIMESTAMP() AS TIME_EXEC FROM "&amp;I272,
IF(C272="Valores extremos",+"SELECT '"&amp;UPPER(B272)&amp;"' AS TABELA, '"&amp;UPPER(C272)&amp;"' AS TIPOLOGIA_TESTE,'"&amp;D272&amp;"' AS TABELA_LT,'N/A' AS TABELA_SIMUL,'"&amp;F272&amp;"' AS CAMPO, "&amp;"'${ref_date}' AS REF_DATE, CAST(MIN("&amp;F272&amp;") AS STRING) AS VALOR_MIN, CAST(MAX("&amp;F272&amp;") AS STRING) AS VALOR_MAX,'"&amp;MAX('ID1&amp;5'!K:K)+1&amp;"' AS ID_EXEC, CURRENT_TIMESTAMP() AS TIME_EXEC FROM "&amp;MID(I272,1,LEN(I272)-2)&amp;" AND CAST("&amp;F272&amp;"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TABELA_SIMUL,'grss_cmmssn_expns' AS CAMPO, '${ref_date}' AS REF_DATE, COUNT(*) AS NUM_REG, SUM(IF(COALESCE(CAST(X.grss_cmmssn_expns AS STRING),'')&lt;&gt;COALESCE(CAST(Y.grss_cmmssn_expns_SIMUL AS STRING),'') OR (X.grss_cmmssn_expns IS NULL AND Y.grss_cmmssn_expns_SIMUL IS NOT NULL ) OR (X.grss_cmmssn_expns IS NOT NULL AND Y.grss_cmmssn_expns_SIMUL IS NULL),1,0)) AS NUM_REG_DIF,'1' AS ID_EXEC, CURRENT_TIMESTAMP() AS TIME_EXEC FROM (SELECT instrmnt_id, grss_cmmssn_expns FROM BU_LOANTAPE_WORK.LT002_INSTRUMENT WHERE ref_date='${ref_date}' AND nome_perimetro='Individual Local' AND segmento='ESTR' AND ambito='SRB_MBDT' AND entidade='00100')X INNER JOIN (SELECT instrmnt_id AS instrmnt_id_SIMUL, grss_cmmssn_expns AS grss_cmmssn_expns_SIMUL FROM BU_LOANTAPE_WORK.SIMUL_LT002_INSTRUMENT WHERE ref_date='${ref_date}' AND nome_perimetro='Individual Local' AND segmento='ESTR' AND ambito='PILAR3' AND entidade='00100')Y ON X.INSTRMNT_ID=Y.INSTRMNT_ID_SIMUL</v>
      </c>
      <c r="M272" s="36" t="str">
        <f t="shared" si="7"/>
        <v>UNION ALL SELECT 'INSTRUMENT' AS TABELA, 'COERÊNCIA' AS TIPOLOGIA_TESTE,'BU_LOANTAPE_WORK.LT002_INSTRUMENT' AS TABELA_LT,'BU_LOANTAPE_WORK.SIMUL_LT002_INSTRUMENT' AS TABELA_SIMUL,'grss_cmmssn_expns' AS CAMPO, '${ref_date}' AS REF_DATE, COUNT(*) AS NUM_REG, SUM(IF(COALESCE(CAST(X.grss_cmmssn_expns AS STRING),'')&lt;&gt;COALESCE(CAST(Y.grss_cmmssn_expns_SIMUL AS STRING),'') OR (X.grss_cmmssn_expns IS NULL AND Y.grss_cmmssn_expns_SIMUL IS NOT NULL ) OR (X.grss_cmmssn_expns IS NOT NULL AND Y.grss_cmmssn_expns_SIMUL IS NULL),1,0)) AS NUM_REG_DIF,'1' AS ID_EXEC, CURRENT_TIMESTAMP() AS TIME_EXEC FROM (SELECT instrmnt_id, grss_cmmssn_expns FROM BU_LOANTAPE_WORK.LT002_INSTRUMENT WHERE ref_date='${ref_date}' AND nome_perimetro='Individual Local' AND segmento='ESTR' AND ambito='SRB_MBDT' AND entidade='00100')X INNER JOIN (SELECT instrmnt_id AS instrmnt_id_SIMUL, grss_cmmssn_expns AS grss_cmmssn_expns_SIMUL FROM BU_LOANTAPE_WORK.SIMUL_LT002_INSTRUMENT WHERE ref_date='${ref_date}' AND nome_perimetro='Individual Local' AND segmento='ESTR' AND ambito='PILAR3' AND entidade='00100')Y ON X.INSTRMNT_ID=Y.INSTRMNT_ID_SIMUL</v>
      </c>
      <c r="N272" s="38"/>
    </row>
    <row r="273" spans="2:14">
      <c r="B273" s="34" t="s">
        <v>117</v>
      </c>
      <c r="C273" s="34" t="s">
        <v>5</v>
      </c>
      <c r="D273" s="34" t="str">
        <f>+UPPER('0. Instruções'!$D$35&amp;"."&amp;VLOOKUP(B273,'0. Instruções'!$C$27:$D$32,2,FALSE))</f>
        <v>BU_LOANTAPE_WORK.LT002_INSTRUMENT</v>
      </c>
      <c r="E273" s="34" t="str">
        <f>+UPPER('0. Instruções'!$D$36&amp;"."&amp;VLOOKUP(B273,'0. Instruções'!$C$27:$E$32,3,FALSE))</f>
        <v>BU_LOANTAPE_WORK.SIMUL_LT002_INSTRUMENT</v>
      </c>
      <c r="F273" s="34" t="s">
        <v>1325</v>
      </c>
      <c r="G273" s="34"/>
      <c r="H273" s="34"/>
      <c r="I273" s="34" t="str">
        <f>"(SELECT "&amp;VLOOKUP(B273,'0. Instruções'!$C$27:$G$32,4,FALSE)&amp;", "&amp;F273&amp;" FROM "&amp;D273&amp;" WHERE "&amp;'0. Instruções'!$D$42&amp;")X"</f>
        <v>(SELECT instrmnt_id, gns_fnncl_trnsctn_exchng_dffrncs FROM BU_LOANTAPE_WORK.LT002_INSTRUMENT WHERE ref_date='${ref_date}' AND nome_perimetro='Individual Local' AND segmento='ESTR' AND ambito='SRB_MBDT' AND entidade='00100')X</v>
      </c>
      <c r="J273" s="34" t="str">
        <f>"(SELECT "&amp;VLOOKUP(B273,'0. Instruções'!$C$27:$G$32,4,FALSE)&amp;" AS "&amp;VLOOKUP(B273,'0. Instruções'!$C$27:$G$32,4,FALSE)&amp;"_SIMUL, "&amp;F273&amp;" AS "&amp;F273&amp;"_SIMUL FROM "&amp;E273&amp;" WHERE "&amp;'0. Instruções'!$D$43&amp;")Y"</f>
        <v>(SELECT instrmnt_id AS instrmnt_id_SIMUL, gns_fnncl_trnsctn_exchng_dffrncs AS gns_fnncl_trnsctn_exchng_dffrncs_SIMUL FROM BU_LOANTAPE_WORK.SIMUL_LT002_INSTRUMENT WHERE ref_date='${ref_date}' AND nome_perimetro='Individual Local' AND segmento='ESTR' AND ambito='PILAR3' AND entidade='00100')Y</v>
      </c>
      <c r="K273" s="35" t="str">
        <f>+UPPER("ON X."&amp;VLOOKUP(B273,'0. Instruções'!$C$27:$G$32,4,FALSE)&amp;"=Y."&amp;VLOOKUP(B273,'0. Instruções'!$C$27:$G$32,4,FALSE)&amp;"_SIMUL")</f>
        <v>ON X.INSTRMNT_ID=Y.INSTRMNT_ID_SIMUL</v>
      </c>
      <c r="L273" s="35" t="str">
        <f>+IF(C273="Coerência", +IF(LEFT(G273,5)="FLOAT","SELECT '"&amp;UPPER(B273)&amp;"' AS TABELA, '"&amp;UPPER(C273)&amp;"' AS TIPOLOGIA_TESTE,'"&amp;D273&amp;"' AS TABELA_LT,'"&amp;E273&amp;"' AS TABELA_SIMUL,'"&amp;F273&amp;"' AS CAMPO, "&amp;"'${ref_date}' AS REF_DATE, COUNT(*) AS NUM_REG, SUM(IF((ABS(COALESCE(CAST(X."&amp;F273&amp;" AS DECIMAL(18,6)),0)-COALESCE(CAST(Y."&amp;F273&amp;"_SIMUL AS DECIMAL(18,6)),0))&gt;0.000001) OR (X."&amp;F273&amp;" IS NULL AND Y."&amp;F273&amp;"_SIMUL IS NOT NULL ) OR (X."&amp;F273&amp;" IS NOT NULL AND Y."&amp;F273&amp;"_SIMUL IS NULL),1,0)) AS NUM_REG_DIF,'"&amp;MAX('ID1&amp;5'!K:K)+1&amp;"' AS ID_EXEC, CURRENT_TIMESTAMP() AS TIME_EXEC FROM "&amp;I273&amp;" INNER JOIN "&amp;J273&amp;" "&amp;K273,"SELECT '"&amp;UPPER(B273)&amp;"' AS TABELA, '"&amp;UPPER(C273)&amp;"' AS TIPOLOGIA_TESTE,'"&amp;D273&amp;"' AS TABELA_LT,'"&amp;E273&amp;"' AS TABELA_SIMUL,'"&amp;F273&amp;"' AS CAMPO, "&amp;"'${ref_date}' AS REF_DATE, COUNT(*) AS NUM_REG, SUM(IF(COALESCE(CAST(X."&amp;F273&amp;" AS STRING),'')&lt;&gt;COALESCE(CAST(Y."&amp;F273&amp;"_SIMUL AS STRING),'') OR (X."&amp;F273&amp;" IS NULL AND Y."&amp;F273&amp;"_SIMUL IS NOT NULL ) OR (X."&amp;F273&amp;" IS NOT NULL AND Y."&amp;F273&amp;"_SIMUL IS NULL),1,0)) AS NUM_REG_DIF,'"&amp;MAX('ID1&amp;5'!L:L)+1&amp;"' AS ID_EXEC, CURRENT_TIMESTAMP() AS TIME_EXEC FROM "&amp;I273&amp;" INNER JOIN "&amp;J273&amp;" "&amp;K273),
IF(C273="Validade",+IF(G273="Code List","SELECT '"&amp;UPPER(B273)&amp;"' AS TABELA, '"&amp;UPPER(C273)&amp;"' AS TIPOLOGIA_TESTE,'"&amp;D273&amp;"' AS TABELA_LT,'N/A' AS TABELA_SIMUL,'"&amp;F273&amp;"' AS CAMPO, "&amp;"'${ref_date}' AS REF_DATE, COUNT(*) AS NUM_REG, SUM(IF(TRIM(CAST(X."&amp;F273&amp;" AS STRING))='' OR TRIM(CAST(X."&amp;F273&amp;" AS STRING)) IS NULL OR CAST(X."&amp;F273&amp;" AS STRING) NOT "&amp;H273&amp;",1,0)) AS NUM_REG_DIF,'"&amp;MAX('ID1&amp;5'!K:K)+1&amp;"' AS ID_EXEC, CURRENT_TIMESTAMP() AS TIME_EXEC FROM "&amp;I273,"SELECT '"&amp;UPPER(B273)&amp;"' AS TABELA, '"&amp;UPPER(C273)&amp;"' AS TIPOLOGIA_TESTE,'"&amp;D273&amp;"' AS TABELA_LT,'N/A' AS TABELA_SIMUL,'"&amp;F273&amp;"' AS CAMPO, "&amp;"'${ref_date}' AS REF_DATE, COUNT(*) AS NUM_REG, SUM(IF(TRIM(CAST(X."&amp;F273&amp;" AS STRING))='' OR TRIM(CAST(X."&amp;F273&amp;" AS STRING)) IS NULL,1,0)) AS NUM_REG_DIF,'"&amp;MAX('ID1&amp;5'!K:K)+1&amp;"' AS ID_EXEC, CURRENT_TIMESTAMP() AS TIME_EXEC FROM "&amp;I273),
IF(C273="Caracteres Especiais",+"SELECT '"&amp;UPPER(B273)&amp;"' AS TABELA, '"&amp;UPPER(C273)&amp;"' AS TIPOLOGIA_TESTE,'"&amp;D273&amp;"' AS TABELA_LT,'N/A' AS TABELA_SIMUL,'"&amp;F273&amp;"' AS CAMPO, "&amp;"'${ref_date}' AS REF_DATE, COUNT(*) AS NUM_REG, SUM(IF(REGEXP_REPLACE(TRIM(CAST(X."&amp;F273&amp;" AS STRING)),'[^a-zA-Z0-9_\\s]','') &lt;&gt;TRIM(CAST(X."&amp;F273&amp;" AS STRING)),1,0)) AS NUM_REG_DIF,'"&amp;MAX('ID1&amp;5'!K:K)+1&amp;"' AS ID_EXEC, CURRENT_TIMESTAMP() AS TIME_EXEC FROM "&amp;I273,
IF(C273="Missings",+"SELECT '"&amp;UPPER(B273)&amp;"' AS TABELA, '"&amp;UPPER(C273)&amp;"' AS TIPOLOGIA_TESTE,'"&amp;D273&amp;"' AS TABELA_LT,'N/A' AS TABELA_SIMUL,'"&amp;F273&amp;"' AS CAMPO, "&amp;"'${ref_date}' AS REF_DATE, COUNT(*) AS NUM_REG, SUM(IF(TRIM(CAST(X."&amp;F273&amp;" AS STRING)) IN ('0000-00-00','0001-01-01','9999-12-31','MISS','00000','99999999999','99999999999.00','99999999999.000000'),1,0)) AS NUM_REG_DIF,'"&amp;MAX('ID1&amp;5'!K:K)+1&amp;"' AS ID_EXEC, CURRENT_TIMESTAMP() AS TIME_EXEC FROM "&amp;I273,
IF(C273="Not applicable",+"SELECT '"&amp;UPPER(B273)&amp;"' AS TABELA, '"&amp;UPPER(C273)&amp;"' AS TIPOLOGIA_TESTE,'"&amp;D273&amp;"' AS TABELA_LT,'N/A' AS TABELA_SIMUL,'"&amp;F273&amp;"' AS CAMPO, "&amp;"'${ref_date}' AS REF_DATE, COUNT(*) AS NUM_REG, SUM(IF(TRIM(CAST(X."&amp;F273&amp;" AS STRING)) IN ('N/A','11111111111','11111111111.00','11111111111.000000','1111-11-11'),1,0)) AS NUM_REG_DIF,'"&amp;MAX('ID1&amp;5'!K:K)+1&amp;"' AS ID_EXEC, CURRENT_TIMESTAMP() AS TIME_EXEC FROM "&amp;I273,
IF(C273="Valores extremos",+"SELECT '"&amp;UPPER(B273)&amp;"' AS TABELA, '"&amp;UPPER(C273)&amp;"' AS TIPOLOGIA_TESTE,'"&amp;D273&amp;"' AS TABELA_LT,'N/A' AS TABELA_SIMUL,'"&amp;F273&amp;"' AS CAMPO, "&amp;"'${ref_date}' AS REF_DATE, CAST(MIN("&amp;F273&amp;") AS STRING) AS VALOR_MIN, CAST(MAX("&amp;F273&amp;") AS STRING) AS VALOR_MAX,'"&amp;MAX('ID1&amp;5'!K:K)+1&amp;"' AS ID_EXEC, CURRENT_TIMESTAMP() AS TIME_EXEC FROM "&amp;MID(I273,1,LEN(I273)-2)&amp;" AND CAST("&amp;F273&amp;"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TABELA_SIMUL,'gns_fnncl_trnsctn_exchng_dffrncs' AS CAMPO, '${ref_date}' AS REF_DATE, COUNT(*) AS NUM_REG, SUM(IF(COALESCE(CAST(X.gns_fnncl_trnsctn_exchng_dffrncs AS STRING),'')&lt;&gt;COALESCE(CAST(Y.gns_fnncl_trnsctn_exchng_dffrncs_SIMUL AS STRING),'') OR (X.gns_fnncl_trnsctn_exchng_dffrncs IS NULL AND Y.gns_fnncl_trnsctn_exchng_dffrncs_SIMUL IS NOT NULL ) OR (X.gns_fnncl_trnsctn_exchng_dffrncs IS NOT NULL AND Y.gns_fnncl_trnsctn_exchng_dffrncs_SIMUL IS NULL),1,0)) AS NUM_REG_DIF,'1' AS ID_EXEC, CURRENT_TIMESTAMP() AS TIME_EXEC FROM (SELECT instrmnt_id, gns_fnncl_trnsctn_exchng_dffrncs FROM BU_LOANTAPE_WORK.LT002_INSTRUMENT WHERE ref_date='${ref_date}' AND nome_perimetro='Individual Local' AND segmento='ESTR' AND ambito='SRB_MBDT' AND entidade='00100')X INNER JOIN (SELECT instrmnt_id AS instrmnt_id_SIMUL, gns_fnncl_trnsctn_exchng_dffrncs AS gns_fnncl_trnsctn_exchng_dffrncs_SIMUL FROM BU_LOANTAPE_WORK.SIMUL_LT002_INSTRUMENT WHERE ref_date='${ref_date}' AND nome_perimetro='Individual Local' AND segmento='ESTR' AND ambito='PILAR3' AND entidade='00100')Y ON X.INSTRMNT_ID=Y.INSTRMNT_ID_SIMUL</v>
      </c>
      <c r="M273" s="36" t="str">
        <f t="shared" si="7"/>
        <v>UNION ALL SELECT 'INSTRUMENT' AS TABELA, 'COERÊNCIA' AS TIPOLOGIA_TESTE,'BU_LOANTAPE_WORK.LT002_INSTRUMENT' AS TABELA_LT,'BU_LOANTAPE_WORK.SIMUL_LT002_INSTRUMENT' AS TABELA_SIMUL,'gns_fnncl_trnsctn_exchng_dffrncs' AS CAMPO, '${ref_date}' AS REF_DATE, COUNT(*) AS NUM_REG, SUM(IF(COALESCE(CAST(X.gns_fnncl_trnsctn_exchng_dffrncs AS STRING),'')&lt;&gt;COALESCE(CAST(Y.gns_fnncl_trnsctn_exchng_dffrncs_SIMUL AS STRING),'') OR (X.gns_fnncl_trnsctn_exchng_dffrncs IS NULL AND Y.gns_fnncl_trnsctn_exchng_dffrncs_SIMUL IS NOT NULL ) OR (X.gns_fnncl_trnsctn_exchng_dffrncs IS NOT NULL AND Y.gns_fnncl_trnsctn_exchng_dffrncs_SIMUL IS NULL),1,0)) AS NUM_REG_DIF,'1' AS ID_EXEC, CURRENT_TIMESTAMP() AS TIME_EXEC FROM (SELECT instrmnt_id, gns_fnncl_trnsctn_exchng_dffrncs FROM BU_LOANTAPE_WORK.LT002_INSTRUMENT WHERE ref_date='${ref_date}' AND nome_perimetro='Individual Local' AND segmento='ESTR' AND ambito='SRB_MBDT' AND entidade='00100')X INNER JOIN (SELECT instrmnt_id AS instrmnt_id_SIMUL, gns_fnncl_trnsctn_exchng_dffrncs AS gns_fnncl_trnsctn_exchng_dffrncs_SIMUL FROM BU_LOANTAPE_WORK.SIMUL_LT002_INSTRUMENT WHERE ref_date='${ref_date}' AND nome_perimetro='Individual Local' AND segmento='ESTR' AND ambito='PILAR3' AND entidade='00100')Y ON X.INSTRMNT_ID=Y.INSTRMNT_ID_SIMUL</v>
      </c>
      <c r="N273" s="38"/>
    </row>
    <row r="274" spans="2:14">
      <c r="B274" s="34" t="s">
        <v>117</v>
      </c>
      <c r="C274" s="34" t="s">
        <v>5</v>
      </c>
      <c r="D274" s="34" t="str">
        <f>+UPPER('0. Instruções'!$D$35&amp;"."&amp;VLOOKUP(B274,'0. Instruções'!$C$27:$D$32,2,FALSE))</f>
        <v>BU_LOANTAPE_WORK.LT002_INSTRUMENT</v>
      </c>
      <c r="E274" s="34" t="str">
        <f>+UPPER('0. Instruções'!$D$36&amp;"."&amp;VLOOKUP(B274,'0. Instruções'!$C$27:$E$32,3,FALSE))</f>
        <v>BU_LOANTAPE_WORK.SIMUL_LT002_INSTRUMENT</v>
      </c>
      <c r="F274" s="34" t="s">
        <v>1326</v>
      </c>
      <c r="G274" s="34"/>
      <c r="H274" s="34"/>
      <c r="I274" s="34" t="str">
        <f>"(SELECT "&amp;VLOOKUP(B274,'0. Instruções'!$C$27:$G$32,4,FALSE)&amp;", "&amp;F274&amp;" FROM "&amp;D274&amp;" WHERE "&amp;'0. Instruções'!$D$42&amp;")X"</f>
        <v>(SELECT instrmnt_id, flg_intrbsnss FROM BU_LOANTAPE_WORK.LT002_INSTRUMENT WHERE ref_date='${ref_date}' AND nome_perimetro='Individual Local' AND segmento='ESTR' AND ambito='SRB_MBDT' AND entidade='00100')X</v>
      </c>
      <c r="J274" s="34" t="str">
        <f>"(SELECT "&amp;VLOOKUP(B274,'0. Instruções'!$C$27:$G$32,4,FALSE)&amp;" AS "&amp;VLOOKUP(B274,'0. Instruções'!$C$27:$G$32,4,FALSE)&amp;"_SIMUL, "&amp;F274&amp;" AS "&amp;F274&amp;"_SIMUL FROM "&amp;E274&amp;" WHERE "&amp;'0. Instruções'!$D$43&amp;")Y"</f>
        <v>(SELECT instrmnt_id AS instrmnt_id_SIMUL, flg_intrbsnss AS flg_intrbsnss_SIMUL FROM BU_LOANTAPE_WORK.SIMUL_LT002_INSTRUMENT WHERE ref_date='${ref_date}' AND nome_perimetro='Individual Local' AND segmento='ESTR' AND ambito='PILAR3' AND entidade='00100')Y</v>
      </c>
      <c r="K274" s="35" t="str">
        <f>+UPPER("ON X."&amp;VLOOKUP(B274,'0. Instruções'!$C$27:$G$32,4,FALSE)&amp;"=Y."&amp;VLOOKUP(B274,'0. Instruções'!$C$27:$G$32,4,FALSE)&amp;"_SIMUL")</f>
        <v>ON X.INSTRMNT_ID=Y.INSTRMNT_ID_SIMUL</v>
      </c>
      <c r="L274" s="35" t="str">
        <f>+IF(C274="Coerência", +IF(LEFT(G274,5)="FLOAT","SELECT '"&amp;UPPER(B274)&amp;"' AS TABELA, '"&amp;UPPER(C274)&amp;"' AS TIPOLOGIA_TESTE,'"&amp;D274&amp;"' AS TABELA_LT,'"&amp;E274&amp;"' AS TABELA_SIMUL,'"&amp;F274&amp;"' AS CAMPO, "&amp;"'${ref_date}' AS REF_DATE, COUNT(*) AS NUM_REG, SUM(IF((ABS(COALESCE(CAST(X."&amp;F274&amp;" AS DECIMAL(18,6)),0)-COALESCE(CAST(Y."&amp;F274&amp;"_SIMUL AS DECIMAL(18,6)),0))&gt;0.000001) OR (X."&amp;F274&amp;" IS NULL AND Y."&amp;F274&amp;"_SIMUL IS NOT NULL ) OR (X."&amp;F274&amp;" IS NOT NULL AND Y."&amp;F274&amp;"_SIMUL IS NULL),1,0)) AS NUM_REG_DIF,'"&amp;MAX('ID1&amp;5'!K:K)+1&amp;"' AS ID_EXEC, CURRENT_TIMESTAMP() AS TIME_EXEC FROM "&amp;I274&amp;" INNER JOIN "&amp;J274&amp;" "&amp;K274,"SELECT '"&amp;UPPER(B274)&amp;"' AS TABELA, '"&amp;UPPER(C274)&amp;"' AS TIPOLOGIA_TESTE,'"&amp;D274&amp;"' AS TABELA_LT,'"&amp;E274&amp;"' AS TABELA_SIMUL,'"&amp;F274&amp;"' AS CAMPO, "&amp;"'${ref_date}' AS REF_DATE, COUNT(*) AS NUM_REG, SUM(IF(COALESCE(CAST(X."&amp;F274&amp;" AS STRING),'')&lt;&gt;COALESCE(CAST(Y."&amp;F274&amp;"_SIMUL AS STRING),'') OR (X."&amp;F274&amp;" IS NULL AND Y."&amp;F274&amp;"_SIMUL IS NOT NULL ) OR (X."&amp;F274&amp;" IS NOT NULL AND Y."&amp;F274&amp;"_SIMUL IS NULL),1,0)) AS NUM_REG_DIF,'"&amp;MAX('ID1&amp;5'!L:L)+1&amp;"' AS ID_EXEC, CURRENT_TIMESTAMP() AS TIME_EXEC FROM "&amp;I274&amp;" INNER JOIN "&amp;J274&amp;" "&amp;K274),
IF(C274="Validade",+IF(G274="Code List","SELECT '"&amp;UPPER(B274)&amp;"' AS TABELA, '"&amp;UPPER(C274)&amp;"' AS TIPOLOGIA_TESTE,'"&amp;D274&amp;"' AS TABELA_LT,'N/A' AS TABELA_SIMUL,'"&amp;F274&amp;"' AS CAMPO, "&amp;"'${ref_date}' AS REF_DATE, COUNT(*) AS NUM_REG, SUM(IF(TRIM(CAST(X."&amp;F274&amp;" AS STRING))='' OR TRIM(CAST(X."&amp;F274&amp;" AS STRING)) IS NULL OR CAST(X."&amp;F274&amp;" AS STRING) NOT "&amp;H274&amp;",1,0)) AS NUM_REG_DIF,'"&amp;MAX('ID1&amp;5'!K:K)+1&amp;"' AS ID_EXEC, CURRENT_TIMESTAMP() AS TIME_EXEC FROM "&amp;I274,"SELECT '"&amp;UPPER(B274)&amp;"' AS TABELA, '"&amp;UPPER(C274)&amp;"' AS TIPOLOGIA_TESTE,'"&amp;D274&amp;"' AS TABELA_LT,'N/A' AS TABELA_SIMUL,'"&amp;F274&amp;"' AS CAMPO, "&amp;"'${ref_date}' AS REF_DATE, COUNT(*) AS NUM_REG, SUM(IF(TRIM(CAST(X."&amp;F274&amp;" AS STRING))='' OR TRIM(CAST(X."&amp;F274&amp;" AS STRING)) IS NULL,1,0)) AS NUM_REG_DIF,'"&amp;MAX('ID1&amp;5'!K:K)+1&amp;"' AS ID_EXEC, CURRENT_TIMESTAMP() AS TIME_EXEC FROM "&amp;I274),
IF(C274="Caracteres Especiais",+"SELECT '"&amp;UPPER(B274)&amp;"' AS TABELA, '"&amp;UPPER(C274)&amp;"' AS TIPOLOGIA_TESTE,'"&amp;D274&amp;"' AS TABELA_LT,'N/A' AS TABELA_SIMUL,'"&amp;F274&amp;"' AS CAMPO, "&amp;"'${ref_date}' AS REF_DATE, COUNT(*) AS NUM_REG, SUM(IF(REGEXP_REPLACE(TRIM(CAST(X."&amp;F274&amp;" AS STRING)),'[^a-zA-Z0-9_\\s]','') &lt;&gt;TRIM(CAST(X."&amp;F274&amp;" AS STRING)),1,0)) AS NUM_REG_DIF,'"&amp;MAX('ID1&amp;5'!K:K)+1&amp;"' AS ID_EXEC, CURRENT_TIMESTAMP() AS TIME_EXEC FROM "&amp;I274,
IF(C274="Missings",+"SELECT '"&amp;UPPER(B274)&amp;"' AS TABELA, '"&amp;UPPER(C274)&amp;"' AS TIPOLOGIA_TESTE,'"&amp;D274&amp;"' AS TABELA_LT,'N/A' AS TABELA_SIMUL,'"&amp;F274&amp;"' AS CAMPO, "&amp;"'${ref_date}' AS REF_DATE, COUNT(*) AS NUM_REG, SUM(IF(TRIM(CAST(X."&amp;F274&amp;" AS STRING)) IN ('0000-00-00','0001-01-01','9999-12-31','MISS','00000','99999999999','99999999999.00','99999999999.000000'),1,0)) AS NUM_REG_DIF,'"&amp;MAX('ID1&amp;5'!K:K)+1&amp;"' AS ID_EXEC, CURRENT_TIMESTAMP() AS TIME_EXEC FROM "&amp;I274,
IF(C274="Not applicable",+"SELECT '"&amp;UPPER(B274)&amp;"' AS TABELA, '"&amp;UPPER(C274)&amp;"' AS TIPOLOGIA_TESTE,'"&amp;D274&amp;"' AS TABELA_LT,'N/A' AS TABELA_SIMUL,'"&amp;F274&amp;"' AS CAMPO, "&amp;"'${ref_date}' AS REF_DATE, COUNT(*) AS NUM_REG, SUM(IF(TRIM(CAST(X."&amp;F274&amp;" AS STRING)) IN ('N/A','11111111111','11111111111.00','11111111111.000000','1111-11-11'),1,0)) AS NUM_REG_DIF,'"&amp;MAX('ID1&amp;5'!K:K)+1&amp;"' AS ID_EXEC, CURRENT_TIMESTAMP() AS TIME_EXEC FROM "&amp;I274,
IF(C274="Valores extremos",+"SELECT '"&amp;UPPER(B274)&amp;"' AS TABELA, '"&amp;UPPER(C274)&amp;"' AS TIPOLOGIA_TESTE,'"&amp;D274&amp;"' AS TABELA_LT,'N/A' AS TABELA_SIMUL,'"&amp;F274&amp;"' AS CAMPO, "&amp;"'${ref_date}' AS REF_DATE, CAST(MIN("&amp;F274&amp;") AS STRING) AS VALOR_MIN, CAST(MAX("&amp;F274&amp;") AS STRING) AS VALOR_MAX,'"&amp;MAX('ID1&amp;5'!K:K)+1&amp;"' AS ID_EXEC, CURRENT_TIMESTAMP() AS TIME_EXEC FROM "&amp;MID(I274,1,LEN(I274)-2)&amp;" AND CAST("&amp;F274&amp;"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TABELA_SIMUL,'flg_intrbsnss' AS CAMPO, '${ref_date}' AS REF_DATE, COUNT(*) AS NUM_REG, SUM(IF(COALESCE(CAST(X.flg_intrbsnss AS STRING),'')&lt;&gt;COALESCE(CAST(Y.flg_intrbsnss_SIMUL AS STRING),'') OR (X.flg_intrbsnss IS NULL AND Y.flg_intrbsnss_SIMUL IS NOT NULL ) OR (X.flg_intrbsnss IS NOT NULL AND Y.flg_intrbsnss_SIMUL IS NULL),1,0)) AS NUM_REG_DIF,'1' AS ID_EXEC, CURRENT_TIMESTAMP() AS TIME_EXEC FROM (SELECT instrmnt_id, flg_intrbsnss FROM BU_LOANTAPE_WORK.LT002_INSTRUMENT WHERE ref_date='${ref_date}' AND nome_perimetro='Individual Local' AND segmento='ESTR' AND ambito='SRB_MBDT' AND entidade='00100')X INNER JOIN (SELECT instrmnt_id AS instrmnt_id_SIMUL, flg_intrbsnss AS flg_intrbsnss_SIMUL FROM BU_LOANTAPE_WORK.SIMUL_LT002_INSTRUMENT WHERE ref_date='${ref_date}' AND nome_perimetro='Individual Local' AND segmento='ESTR' AND ambito='PILAR3' AND entidade='00100')Y ON X.INSTRMNT_ID=Y.INSTRMNT_ID_SIMUL</v>
      </c>
      <c r="M274" s="36" t="str">
        <f t="shared" si="7"/>
        <v>UNION ALL SELECT 'INSTRUMENT' AS TABELA, 'COERÊNCIA' AS TIPOLOGIA_TESTE,'BU_LOANTAPE_WORK.LT002_INSTRUMENT' AS TABELA_LT,'BU_LOANTAPE_WORK.SIMUL_LT002_INSTRUMENT' AS TABELA_SIMUL,'flg_intrbsnss' AS CAMPO, '${ref_date}' AS REF_DATE, COUNT(*) AS NUM_REG, SUM(IF(COALESCE(CAST(X.flg_intrbsnss AS STRING),'')&lt;&gt;COALESCE(CAST(Y.flg_intrbsnss_SIMUL AS STRING),'') OR (X.flg_intrbsnss IS NULL AND Y.flg_intrbsnss_SIMUL IS NOT NULL ) OR (X.flg_intrbsnss IS NOT NULL AND Y.flg_intrbsnss_SIMUL IS NULL),1,0)) AS NUM_REG_DIF,'1' AS ID_EXEC, CURRENT_TIMESTAMP() AS TIME_EXEC FROM (SELECT instrmnt_id, flg_intrbsnss FROM BU_LOANTAPE_WORK.LT002_INSTRUMENT WHERE ref_date='${ref_date}' AND nome_perimetro='Individual Local' AND segmento='ESTR' AND ambito='SRB_MBDT' AND entidade='00100')X INNER JOIN (SELECT instrmnt_id AS instrmnt_id_SIMUL, flg_intrbsnss AS flg_intrbsnss_SIMUL FROM BU_LOANTAPE_WORK.SIMUL_LT002_INSTRUMENT WHERE ref_date='${ref_date}' AND nome_perimetro='Individual Local' AND segmento='ESTR' AND ambito='PILAR3' AND entidade='00100')Y ON X.INSTRMNT_ID=Y.INSTRMNT_ID_SIMUL</v>
      </c>
      <c r="N274" s="38"/>
    </row>
    <row r="275" spans="2:14">
      <c r="B275" s="34" t="s">
        <v>117</v>
      </c>
      <c r="C275" s="34" t="s">
        <v>5</v>
      </c>
      <c r="D275" s="34" t="str">
        <f>+UPPER('0. Instruções'!$D$35&amp;"."&amp;VLOOKUP(B275,'0. Instruções'!$C$27:$D$32,2,FALSE))</f>
        <v>BU_LOANTAPE_WORK.LT002_INSTRUMENT</v>
      </c>
      <c r="E275" s="34" t="str">
        <f>+UPPER('0. Instruções'!$D$36&amp;"."&amp;VLOOKUP(B275,'0. Instruções'!$C$27:$E$32,3,FALSE))</f>
        <v>BU_LOANTAPE_WORK.SIMUL_LT002_INSTRUMENT</v>
      </c>
      <c r="F275" s="34" t="s">
        <v>1327</v>
      </c>
      <c r="G275" s="34"/>
      <c r="H275" s="34"/>
      <c r="I275" s="34" t="str">
        <f>"(SELECT "&amp;VLOOKUP(B275,'0. Instruções'!$C$27:$G$32,4,FALSE)&amp;", "&amp;F275&amp;" FROM "&amp;D275&amp;" WHERE "&amp;'0. Instruções'!$D$42&amp;")X"</f>
        <v>(SELECT instrmnt_id, intrbsnss_adj_cod FROM BU_LOANTAPE_WORK.LT002_INSTRUMENT WHERE ref_date='${ref_date}' AND nome_perimetro='Individual Local' AND segmento='ESTR' AND ambito='SRB_MBDT' AND entidade='00100')X</v>
      </c>
      <c r="J275" s="34" t="str">
        <f>"(SELECT "&amp;VLOOKUP(B275,'0. Instruções'!$C$27:$G$32,4,FALSE)&amp;" AS "&amp;VLOOKUP(B275,'0. Instruções'!$C$27:$G$32,4,FALSE)&amp;"_SIMUL, "&amp;F275&amp;" AS "&amp;F275&amp;"_SIMUL FROM "&amp;E275&amp;" WHERE "&amp;'0. Instruções'!$D$43&amp;")Y"</f>
        <v>(SELECT instrmnt_id AS instrmnt_id_SIMUL, intrbsnss_adj_cod AS intrbsnss_adj_cod_SIMUL FROM BU_LOANTAPE_WORK.SIMUL_LT002_INSTRUMENT WHERE ref_date='${ref_date}' AND nome_perimetro='Individual Local' AND segmento='ESTR' AND ambito='PILAR3' AND entidade='00100')Y</v>
      </c>
      <c r="K275" s="35" t="str">
        <f>+UPPER("ON X."&amp;VLOOKUP(B275,'0. Instruções'!$C$27:$G$32,4,FALSE)&amp;"=Y."&amp;VLOOKUP(B275,'0. Instruções'!$C$27:$G$32,4,FALSE)&amp;"_SIMUL")</f>
        <v>ON X.INSTRMNT_ID=Y.INSTRMNT_ID_SIMUL</v>
      </c>
      <c r="L275" s="35" t="str">
        <f>+IF(C275="Coerência", +IF(LEFT(G275,5)="FLOAT","SELECT '"&amp;UPPER(B275)&amp;"' AS TABELA, '"&amp;UPPER(C275)&amp;"' AS TIPOLOGIA_TESTE,'"&amp;D275&amp;"' AS TABELA_LT,'"&amp;E275&amp;"' AS TABELA_SIMUL,'"&amp;F275&amp;"' AS CAMPO, "&amp;"'${ref_date}' AS REF_DATE, COUNT(*) AS NUM_REG, SUM(IF((ABS(COALESCE(CAST(X."&amp;F275&amp;" AS DECIMAL(18,6)),0)-COALESCE(CAST(Y."&amp;F275&amp;"_SIMUL AS DECIMAL(18,6)),0))&gt;0.000001) OR (X."&amp;F275&amp;" IS NULL AND Y."&amp;F275&amp;"_SIMUL IS NOT NULL ) OR (X."&amp;F275&amp;" IS NOT NULL AND Y."&amp;F275&amp;"_SIMUL IS NULL),1,0)) AS NUM_REG_DIF,'"&amp;MAX('ID1&amp;5'!K:K)+1&amp;"' AS ID_EXEC, CURRENT_TIMESTAMP() AS TIME_EXEC FROM "&amp;I275&amp;" INNER JOIN "&amp;J275&amp;" "&amp;K275,"SELECT '"&amp;UPPER(B275)&amp;"' AS TABELA, '"&amp;UPPER(C275)&amp;"' AS TIPOLOGIA_TESTE,'"&amp;D275&amp;"' AS TABELA_LT,'"&amp;E275&amp;"' AS TABELA_SIMUL,'"&amp;F275&amp;"' AS CAMPO, "&amp;"'${ref_date}' AS REF_DATE, COUNT(*) AS NUM_REG, SUM(IF(COALESCE(CAST(X."&amp;F275&amp;" AS STRING),'')&lt;&gt;COALESCE(CAST(Y."&amp;F275&amp;"_SIMUL AS STRING),'') OR (X."&amp;F275&amp;" IS NULL AND Y."&amp;F275&amp;"_SIMUL IS NOT NULL ) OR (X."&amp;F275&amp;" IS NOT NULL AND Y."&amp;F275&amp;"_SIMUL IS NULL),1,0)) AS NUM_REG_DIF,'"&amp;MAX('ID1&amp;5'!L:L)+1&amp;"' AS ID_EXEC, CURRENT_TIMESTAMP() AS TIME_EXEC FROM "&amp;I275&amp;" INNER JOIN "&amp;J275&amp;" "&amp;K275),
IF(C275="Validade",+IF(G275="Code List","SELECT '"&amp;UPPER(B275)&amp;"' AS TABELA, '"&amp;UPPER(C275)&amp;"' AS TIPOLOGIA_TESTE,'"&amp;D275&amp;"' AS TABELA_LT,'N/A' AS TABELA_SIMUL,'"&amp;F275&amp;"' AS CAMPO, "&amp;"'${ref_date}' AS REF_DATE, COUNT(*) AS NUM_REG, SUM(IF(TRIM(CAST(X."&amp;F275&amp;" AS STRING))='' OR TRIM(CAST(X."&amp;F275&amp;" AS STRING)) IS NULL OR CAST(X."&amp;F275&amp;" AS STRING) NOT "&amp;H275&amp;",1,0)) AS NUM_REG_DIF,'"&amp;MAX('ID1&amp;5'!K:K)+1&amp;"' AS ID_EXEC, CURRENT_TIMESTAMP() AS TIME_EXEC FROM "&amp;I275,"SELECT '"&amp;UPPER(B275)&amp;"' AS TABELA, '"&amp;UPPER(C275)&amp;"' AS TIPOLOGIA_TESTE,'"&amp;D275&amp;"' AS TABELA_LT,'N/A' AS TABELA_SIMUL,'"&amp;F275&amp;"' AS CAMPO, "&amp;"'${ref_date}' AS REF_DATE, COUNT(*) AS NUM_REG, SUM(IF(TRIM(CAST(X."&amp;F275&amp;" AS STRING))='' OR TRIM(CAST(X."&amp;F275&amp;" AS STRING)) IS NULL,1,0)) AS NUM_REG_DIF,'"&amp;MAX('ID1&amp;5'!K:K)+1&amp;"' AS ID_EXEC, CURRENT_TIMESTAMP() AS TIME_EXEC FROM "&amp;I275),
IF(C275="Caracteres Especiais",+"SELECT '"&amp;UPPER(B275)&amp;"' AS TABELA, '"&amp;UPPER(C275)&amp;"' AS TIPOLOGIA_TESTE,'"&amp;D275&amp;"' AS TABELA_LT,'N/A' AS TABELA_SIMUL,'"&amp;F275&amp;"' AS CAMPO, "&amp;"'${ref_date}' AS REF_DATE, COUNT(*) AS NUM_REG, SUM(IF(REGEXP_REPLACE(TRIM(CAST(X."&amp;F275&amp;" AS STRING)),'[^a-zA-Z0-9_\\s]','') &lt;&gt;TRIM(CAST(X."&amp;F275&amp;" AS STRING)),1,0)) AS NUM_REG_DIF,'"&amp;MAX('ID1&amp;5'!K:K)+1&amp;"' AS ID_EXEC, CURRENT_TIMESTAMP() AS TIME_EXEC FROM "&amp;I275,
IF(C275="Missings",+"SELECT '"&amp;UPPER(B275)&amp;"' AS TABELA, '"&amp;UPPER(C275)&amp;"' AS TIPOLOGIA_TESTE,'"&amp;D275&amp;"' AS TABELA_LT,'N/A' AS TABELA_SIMUL,'"&amp;F275&amp;"' AS CAMPO, "&amp;"'${ref_date}' AS REF_DATE, COUNT(*) AS NUM_REG, SUM(IF(TRIM(CAST(X."&amp;F275&amp;" AS STRING)) IN ('0000-00-00','0001-01-01','9999-12-31','MISS','00000','99999999999','99999999999.00','99999999999.000000'),1,0)) AS NUM_REG_DIF,'"&amp;MAX('ID1&amp;5'!K:K)+1&amp;"' AS ID_EXEC, CURRENT_TIMESTAMP() AS TIME_EXEC FROM "&amp;I275,
IF(C275="Not applicable",+"SELECT '"&amp;UPPER(B275)&amp;"' AS TABELA, '"&amp;UPPER(C275)&amp;"' AS TIPOLOGIA_TESTE,'"&amp;D275&amp;"' AS TABELA_LT,'N/A' AS TABELA_SIMUL,'"&amp;F275&amp;"' AS CAMPO, "&amp;"'${ref_date}' AS REF_DATE, COUNT(*) AS NUM_REG, SUM(IF(TRIM(CAST(X."&amp;F275&amp;" AS STRING)) IN ('N/A','11111111111','11111111111.00','11111111111.000000','1111-11-11'),1,0)) AS NUM_REG_DIF,'"&amp;MAX('ID1&amp;5'!K:K)+1&amp;"' AS ID_EXEC, CURRENT_TIMESTAMP() AS TIME_EXEC FROM "&amp;I275,
IF(C275="Valores extremos",+"SELECT '"&amp;UPPER(B275)&amp;"' AS TABELA, '"&amp;UPPER(C275)&amp;"' AS TIPOLOGIA_TESTE,'"&amp;D275&amp;"' AS TABELA_LT,'N/A' AS TABELA_SIMUL,'"&amp;F275&amp;"' AS CAMPO, "&amp;"'${ref_date}' AS REF_DATE, CAST(MIN("&amp;F275&amp;") AS STRING) AS VALOR_MIN, CAST(MAX("&amp;F275&amp;") AS STRING) AS VALOR_MAX,'"&amp;MAX('ID1&amp;5'!K:K)+1&amp;"' AS ID_EXEC, CURRENT_TIMESTAMP() AS TIME_EXEC FROM "&amp;MID(I275,1,LEN(I275)-2)&amp;" AND CAST("&amp;F275&amp;"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TABELA_SIMUL,'intrbsnss_adj_cod' AS CAMPO, '${ref_date}' AS REF_DATE, COUNT(*) AS NUM_REG, SUM(IF(COALESCE(CAST(X.intrbsnss_adj_cod AS STRING),'')&lt;&gt;COALESCE(CAST(Y.intrbsnss_adj_cod_SIMUL AS STRING),'') OR (X.intrbsnss_adj_cod IS NULL AND Y.intrbsnss_adj_cod_SIMUL IS NOT NULL ) OR (X.intrbsnss_adj_cod IS NOT NULL AND Y.intrbsnss_adj_cod_SIMUL IS NULL),1,0)) AS NUM_REG_DIF,'1' AS ID_EXEC, CURRENT_TIMESTAMP() AS TIME_EXEC FROM (SELECT instrmnt_id, intrbsnss_adj_cod FROM BU_LOANTAPE_WORK.LT002_INSTRUMENT WHERE ref_date='${ref_date}' AND nome_perimetro='Individual Local' AND segmento='ESTR' AND ambito='SRB_MBDT' AND entidade='00100')X INNER JOIN (SELECT instrmnt_id AS instrmnt_id_SIMUL, intrbsnss_adj_cod AS intrbsnss_adj_cod_SIMUL FROM BU_LOANTAPE_WORK.SIMUL_LT002_INSTRUMENT WHERE ref_date='${ref_date}' AND nome_perimetro='Individual Local' AND segmento='ESTR' AND ambito='PILAR3' AND entidade='00100')Y ON X.INSTRMNT_ID=Y.INSTRMNT_ID_SIMUL</v>
      </c>
      <c r="M275" s="36" t="str">
        <f t="shared" si="7"/>
        <v>UNION ALL SELECT 'INSTRUMENT' AS TABELA, 'COERÊNCIA' AS TIPOLOGIA_TESTE,'BU_LOANTAPE_WORK.LT002_INSTRUMENT' AS TABELA_LT,'BU_LOANTAPE_WORK.SIMUL_LT002_INSTRUMENT' AS TABELA_SIMUL,'intrbsnss_adj_cod' AS CAMPO, '${ref_date}' AS REF_DATE, COUNT(*) AS NUM_REG, SUM(IF(COALESCE(CAST(X.intrbsnss_adj_cod AS STRING),'')&lt;&gt;COALESCE(CAST(Y.intrbsnss_adj_cod_SIMUL AS STRING),'') OR (X.intrbsnss_adj_cod IS NULL AND Y.intrbsnss_adj_cod_SIMUL IS NOT NULL ) OR (X.intrbsnss_adj_cod IS NOT NULL AND Y.intrbsnss_adj_cod_SIMUL IS NULL),1,0)) AS NUM_REG_DIF,'1' AS ID_EXEC, CURRENT_TIMESTAMP() AS TIME_EXEC FROM (SELECT instrmnt_id, intrbsnss_adj_cod FROM BU_LOANTAPE_WORK.LT002_INSTRUMENT WHERE ref_date='${ref_date}' AND nome_perimetro='Individual Local' AND segmento='ESTR' AND ambito='SRB_MBDT' AND entidade='00100')X INNER JOIN (SELECT instrmnt_id AS instrmnt_id_SIMUL, intrbsnss_adj_cod AS intrbsnss_adj_cod_SIMUL FROM BU_LOANTAPE_WORK.SIMUL_LT002_INSTRUMENT WHERE ref_date='${ref_date}' AND nome_perimetro='Individual Local' AND segmento='ESTR' AND ambito='PILAR3' AND entidade='00100')Y ON X.INSTRMNT_ID=Y.INSTRMNT_ID_SIMUL</v>
      </c>
      <c r="N275" s="38"/>
    </row>
    <row r="276" spans="2:14">
      <c r="B276" s="34" t="s">
        <v>117</v>
      </c>
      <c r="C276" s="34" t="s">
        <v>5</v>
      </c>
      <c r="D276" s="34" t="str">
        <f>+UPPER('0. Instruções'!$D$35&amp;"."&amp;VLOOKUP(B276,'0. Instruções'!$C$27:$D$32,2,FALSE))</f>
        <v>BU_LOANTAPE_WORK.LT002_INSTRUMENT</v>
      </c>
      <c r="E276" s="34" t="str">
        <f>+UPPER('0. Instruções'!$D$36&amp;"."&amp;VLOOKUP(B276,'0. Instruções'!$C$27:$E$32,3,FALSE))</f>
        <v>BU_LOANTAPE_WORK.SIMUL_LT002_INSTRUMENT</v>
      </c>
      <c r="F276" s="34" t="s">
        <v>1328</v>
      </c>
      <c r="G276" s="34"/>
      <c r="H276" s="34"/>
      <c r="I276" s="34" t="str">
        <f>"(SELECT "&amp;VLOOKUP(B276,'0. Instruções'!$C$27:$G$32,4,FALSE)&amp;", "&amp;F276&amp;" FROM "&amp;D276&amp;" WHERE "&amp;'0. Instruções'!$D$42&amp;")X"</f>
        <v>(SELECT instrmnt_id, cod_soc_dstntn FROM BU_LOANTAPE_WORK.LT002_INSTRUMENT WHERE ref_date='${ref_date}' AND nome_perimetro='Individual Local' AND segmento='ESTR' AND ambito='SRB_MBDT' AND entidade='00100')X</v>
      </c>
      <c r="J276" s="34" t="str">
        <f>"(SELECT "&amp;VLOOKUP(B276,'0. Instruções'!$C$27:$G$32,4,FALSE)&amp;" AS "&amp;VLOOKUP(B276,'0. Instruções'!$C$27:$G$32,4,FALSE)&amp;"_SIMUL, "&amp;F276&amp;" AS "&amp;F276&amp;"_SIMUL FROM "&amp;E276&amp;" WHERE "&amp;'0. Instruções'!$D$43&amp;")Y"</f>
        <v>(SELECT instrmnt_id AS instrmnt_id_SIMUL, cod_soc_dstntn AS cod_soc_dstntn_SIMUL FROM BU_LOANTAPE_WORK.SIMUL_LT002_INSTRUMENT WHERE ref_date='${ref_date}' AND nome_perimetro='Individual Local' AND segmento='ESTR' AND ambito='PILAR3' AND entidade='00100')Y</v>
      </c>
      <c r="K276" s="35" t="str">
        <f>+UPPER("ON X."&amp;VLOOKUP(B276,'0. Instruções'!$C$27:$G$32,4,FALSE)&amp;"=Y."&amp;VLOOKUP(B276,'0. Instruções'!$C$27:$G$32,4,FALSE)&amp;"_SIMUL")</f>
        <v>ON X.INSTRMNT_ID=Y.INSTRMNT_ID_SIMUL</v>
      </c>
      <c r="L276" s="35" t="str">
        <f>+IF(C276="Coerência", +IF(LEFT(G276,5)="FLOAT","SELECT '"&amp;UPPER(B276)&amp;"' AS TABELA, '"&amp;UPPER(C276)&amp;"' AS TIPOLOGIA_TESTE,'"&amp;D276&amp;"' AS TABELA_LT,'"&amp;E276&amp;"' AS TABELA_SIMUL,'"&amp;F276&amp;"' AS CAMPO, "&amp;"'${ref_date}' AS REF_DATE, COUNT(*) AS NUM_REG, SUM(IF((ABS(COALESCE(CAST(X."&amp;F276&amp;" AS DECIMAL(18,6)),0)-COALESCE(CAST(Y."&amp;F276&amp;"_SIMUL AS DECIMAL(18,6)),0))&gt;0.000001) OR (X."&amp;F276&amp;" IS NULL AND Y."&amp;F276&amp;"_SIMUL IS NOT NULL ) OR (X."&amp;F276&amp;" IS NOT NULL AND Y."&amp;F276&amp;"_SIMUL IS NULL),1,0)) AS NUM_REG_DIF,'"&amp;MAX('ID1&amp;5'!K:K)+1&amp;"' AS ID_EXEC, CURRENT_TIMESTAMP() AS TIME_EXEC FROM "&amp;I276&amp;" INNER JOIN "&amp;J276&amp;" "&amp;K276,"SELECT '"&amp;UPPER(B276)&amp;"' AS TABELA, '"&amp;UPPER(C276)&amp;"' AS TIPOLOGIA_TESTE,'"&amp;D276&amp;"' AS TABELA_LT,'"&amp;E276&amp;"' AS TABELA_SIMUL,'"&amp;F276&amp;"' AS CAMPO, "&amp;"'${ref_date}' AS REF_DATE, COUNT(*) AS NUM_REG, SUM(IF(COALESCE(CAST(X."&amp;F276&amp;" AS STRING),'')&lt;&gt;COALESCE(CAST(Y."&amp;F276&amp;"_SIMUL AS STRING),'') OR (X."&amp;F276&amp;" IS NULL AND Y."&amp;F276&amp;"_SIMUL IS NOT NULL ) OR (X."&amp;F276&amp;" IS NOT NULL AND Y."&amp;F276&amp;"_SIMUL IS NULL),1,0)) AS NUM_REG_DIF,'"&amp;MAX('ID1&amp;5'!L:L)+1&amp;"' AS ID_EXEC, CURRENT_TIMESTAMP() AS TIME_EXEC FROM "&amp;I276&amp;" INNER JOIN "&amp;J276&amp;" "&amp;K276),
IF(C276="Validade",+IF(G276="Code List","SELECT '"&amp;UPPER(B276)&amp;"' AS TABELA, '"&amp;UPPER(C276)&amp;"' AS TIPOLOGIA_TESTE,'"&amp;D276&amp;"' AS TABELA_LT,'N/A' AS TABELA_SIMUL,'"&amp;F276&amp;"' AS CAMPO, "&amp;"'${ref_date}' AS REF_DATE, COUNT(*) AS NUM_REG, SUM(IF(TRIM(CAST(X."&amp;F276&amp;" AS STRING))='' OR TRIM(CAST(X."&amp;F276&amp;" AS STRING)) IS NULL OR CAST(X."&amp;F276&amp;" AS STRING) NOT "&amp;H276&amp;",1,0)) AS NUM_REG_DIF,'"&amp;MAX('ID1&amp;5'!K:K)+1&amp;"' AS ID_EXEC, CURRENT_TIMESTAMP() AS TIME_EXEC FROM "&amp;I276,"SELECT '"&amp;UPPER(B276)&amp;"' AS TABELA, '"&amp;UPPER(C276)&amp;"' AS TIPOLOGIA_TESTE,'"&amp;D276&amp;"' AS TABELA_LT,'N/A' AS TABELA_SIMUL,'"&amp;F276&amp;"' AS CAMPO, "&amp;"'${ref_date}' AS REF_DATE, COUNT(*) AS NUM_REG, SUM(IF(TRIM(CAST(X."&amp;F276&amp;" AS STRING))='' OR TRIM(CAST(X."&amp;F276&amp;" AS STRING)) IS NULL,1,0)) AS NUM_REG_DIF,'"&amp;MAX('ID1&amp;5'!K:K)+1&amp;"' AS ID_EXEC, CURRENT_TIMESTAMP() AS TIME_EXEC FROM "&amp;I276),
IF(C276="Caracteres Especiais",+"SELECT '"&amp;UPPER(B276)&amp;"' AS TABELA, '"&amp;UPPER(C276)&amp;"' AS TIPOLOGIA_TESTE,'"&amp;D276&amp;"' AS TABELA_LT,'N/A' AS TABELA_SIMUL,'"&amp;F276&amp;"' AS CAMPO, "&amp;"'${ref_date}' AS REF_DATE, COUNT(*) AS NUM_REG, SUM(IF(REGEXP_REPLACE(TRIM(CAST(X."&amp;F276&amp;" AS STRING)),'[^a-zA-Z0-9_\\s]','') &lt;&gt;TRIM(CAST(X."&amp;F276&amp;" AS STRING)),1,0)) AS NUM_REG_DIF,'"&amp;MAX('ID1&amp;5'!K:K)+1&amp;"' AS ID_EXEC, CURRENT_TIMESTAMP() AS TIME_EXEC FROM "&amp;I276,
IF(C276="Missings",+"SELECT '"&amp;UPPER(B276)&amp;"' AS TABELA, '"&amp;UPPER(C276)&amp;"' AS TIPOLOGIA_TESTE,'"&amp;D276&amp;"' AS TABELA_LT,'N/A' AS TABELA_SIMUL,'"&amp;F276&amp;"' AS CAMPO, "&amp;"'${ref_date}' AS REF_DATE, COUNT(*) AS NUM_REG, SUM(IF(TRIM(CAST(X."&amp;F276&amp;" AS STRING)) IN ('0000-00-00','0001-01-01','9999-12-31','MISS','00000','99999999999','99999999999.00','99999999999.000000'),1,0)) AS NUM_REG_DIF,'"&amp;MAX('ID1&amp;5'!K:K)+1&amp;"' AS ID_EXEC, CURRENT_TIMESTAMP() AS TIME_EXEC FROM "&amp;I276,
IF(C276="Not applicable",+"SELECT '"&amp;UPPER(B276)&amp;"' AS TABELA, '"&amp;UPPER(C276)&amp;"' AS TIPOLOGIA_TESTE,'"&amp;D276&amp;"' AS TABELA_LT,'N/A' AS TABELA_SIMUL,'"&amp;F276&amp;"' AS CAMPO, "&amp;"'${ref_date}' AS REF_DATE, COUNT(*) AS NUM_REG, SUM(IF(TRIM(CAST(X."&amp;F276&amp;" AS STRING)) IN ('N/A','11111111111','11111111111.00','11111111111.000000','1111-11-11'),1,0)) AS NUM_REG_DIF,'"&amp;MAX('ID1&amp;5'!K:K)+1&amp;"' AS ID_EXEC, CURRENT_TIMESTAMP() AS TIME_EXEC FROM "&amp;I276,
IF(C276="Valores extremos",+"SELECT '"&amp;UPPER(B276)&amp;"' AS TABELA, '"&amp;UPPER(C276)&amp;"' AS TIPOLOGIA_TESTE,'"&amp;D276&amp;"' AS TABELA_LT,'N/A' AS TABELA_SIMUL,'"&amp;F276&amp;"' AS CAMPO, "&amp;"'${ref_date}' AS REF_DATE, CAST(MIN("&amp;F276&amp;") AS STRING) AS VALOR_MIN, CAST(MAX("&amp;F276&amp;") AS STRING) AS VALOR_MAX,'"&amp;MAX('ID1&amp;5'!K:K)+1&amp;"' AS ID_EXEC, CURRENT_TIMESTAMP() AS TIME_EXEC FROM "&amp;MID(I276,1,LEN(I276)-2)&amp;" AND CAST("&amp;F276&amp;"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TABELA_SIMUL,'cod_soc_dstntn' AS CAMPO, '${ref_date}' AS REF_DATE, COUNT(*) AS NUM_REG, SUM(IF(COALESCE(CAST(X.cod_soc_dstntn AS STRING),'')&lt;&gt;COALESCE(CAST(Y.cod_soc_dstntn_SIMUL AS STRING),'') OR (X.cod_soc_dstntn IS NULL AND Y.cod_soc_dstntn_SIMUL IS NOT NULL ) OR (X.cod_soc_dstntn IS NOT NULL AND Y.cod_soc_dstntn_SIMUL IS NULL),1,0)) AS NUM_REG_DIF,'1' AS ID_EXEC, CURRENT_TIMESTAMP() AS TIME_EXEC FROM (SELECT instrmnt_id, cod_soc_dstntn FROM BU_LOANTAPE_WORK.LT002_INSTRUMENT WHERE ref_date='${ref_date}' AND nome_perimetro='Individual Local' AND segmento='ESTR' AND ambito='SRB_MBDT' AND entidade='00100')X INNER JOIN (SELECT instrmnt_id AS instrmnt_id_SIMUL, cod_soc_dstntn AS cod_soc_dstntn_SIMUL FROM BU_LOANTAPE_WORK.SIMUL_LT002_INSTRUMENT WHERE ref_date='${ref_date}' AND nome_perimetro='Individual Local' AND segmento='ESTR' AND ambito='PILAR3' AND entidade='00100')Y ON X.INSTRMNT_ID=Y.INSTRMNT_ID_SIMUL</v>
      </c>
      <c r="M276" s="36" t="str">
        <f t="shared" si="7"/>
        <v>UNION ALL SELECT 'INSTRUMENT' AS TABELA, 'COERÊNCIA' AS TIPOLOGIA_TESTE,'BU_LOANTAPE_WORK.LT002_INSTRUMENT' AS TABELA_LT,'BU_LOANTAPE_WORK.SIMUL_LT002_INSTRUMENT' AS TABELA_SIMUL,'cod_soc_dstntn' AS CAMPO, '${ref_date}' AS REF_DATE, COUNT(*) AS NUM_REG, SUM(IF(COALESCE(CAST(X.cod_soc_dstntn AS STRING),'')&lt;&gt;COALESCE(CAST(Y.cod_soc_dstntn_SIMUL AS STRING),'') OR (X.cod_soc_dstntn IS NULL AND Y.cod_soc_dstntn_SIMUL IS NOT NULL ) OR (X.cod_soc_dstntn IS NOT NULL AND Y.cod_soc_dstntn_SIMUL IS NULL),1,0)) AS NUM_REG_DIF,'1' AS ID_EXEC, CURRENT_TIMESTAMP() AS TIME_EXEC FROM (SELECT instrmnt_id, cod_soc_dstntn FROM BU_LOANTAPE_WORK.LT002_INSTRUMENT WHERE ref_date='${ref_date}' AND nome_perimetro='Individual Local' AND segmento='ESTR' AND ambito='SRB_MBDT' AND entidade='00100')X INNER JOIN (SELECT instrmnt_id AS instrmnt_id_SIMUL, cod_soc_dstntn AS cod_soc_dstntn_SIMUL FROM BU_LOANTAPE_WORK.SIMUL_LT002_INSTRUMENT WHERE ref_date='${ref_date}' AND nome_perimetro='Individual Local' AND segmento='ESTR' AND ambito='PILAR3' AND entidade='00100')Y ON X.INSTRMNT_ID=Y.INSTRMNT_ID_SIMUL</v>
      </c>
      <c r="N276" s="38"/>
    </row>
    <row r="277" spans="2:14">
      <c r="B277" s="34" t="s">
        <v>117</v>
      </c>
      <c r="C277" s="34" t="s">
        <v>5</v>
      </c>
      <c r="D277" s="34" t="str">
        <f>+UPPER('0. Instruções'!$D$35&amp;"."&amp;VLOOKUP(B277,'0. Instruções'!$C$27:$D$32,2,FALSE))</f>
        <v>BU_LOANTAPE_WORK.LT002_INSTRUMENT</v>
      </c>
      <c r="E277" s="34" t="str">
        <f>+UPPER('0. Instruções'!$D$36&amp;"."&amp;VLOOKUP(B277,'0. Instruções'!$C$27:$E$32,3,FALSE))</f>
        <v>BU_LOANTAPE_WORK.SIMUL_LT002_INSTRUMENT</v>
      </c>
      <c r="F277" s="34" t="s">
        <v>1329</v>
      </c>
      <c r="G277" s="34"/>
      <c r="H277" s="34"/>
      <c r="I277" s="34" t="str">
        <f>"(SELECT "&amp;VLOOKUP(B277,'0. Instruções'!$C$27:$G$32,4,FALSE)&amp;", "&amp;F277&amp;" FROM "&amp;D277&amp;" WHERE "&amp;'0. Instruções'!$D$42&amp;")X"</f>
        <v>(SELECT instrmnt_id, bsnss_area_dstntn FROM BU_LOANTAPE_WORK.LT002_INSTRUMENT WHERE ref_date='${ref_date}' AND nome_perimetro='Individual Local' AND segmento='ESTR' AND ambito='SRB_MBDT' AND entidade='00100')X</v>
      </c>
      <c r="J277" s="34" t="str">
        <f>"(SELECT "&amp;VLOOKUP(B277,'0. Instruções'!$C$27:$G$32,4,FALSE)&amp;" AS "&amp;VLOOKUP(B277,'0. Instruções'!$C$27:$G$32,4,FALSE)&amp;"_SIMUL, "&amp;F277&amp;" AS "&amp;F277&amp;"_SIMUL FROM "&amp;E277&amp;" WHERE "&amp;'0. Instruções'!$D$43&amp;")Y"</f>
        <v>(SELECT instrmnt_id AS instrmnt_id_SIMUL, bsnss_area_dstntn AS bsnss_area_dstntn_SIMUL FROM BU_LOANTAPE_WORK.SIMUL_LT002_INSTRUMENT WHERE ref_date='${ref_date}' AND nome_perimetro='Individual Local' AND segmento='ESTR' AND ambito='PILAR3' AND entidade='00100')Y</v>
      </c>
      <c r="K277" s="35" t="str">
        <f>+UPPER("ON X."&amp;VLOOKUP(B277,'0. Instruções'!$C$27:$G$32,4,FALSE)&amp;"=Y."&amp;VLOOKUP(B277,'0. Instruções'!$C$27:$G$32,4,FALSE)&amp;"_SIMUL")</f>
        <v>ON X.INSTRMNT_ID=Y.INSTRMNT_ID_SIMUL</v>
      </c>
      <c r="L277" s="35" t="str">
        <f>+IF(C277="Coerência", +IF(LEFT(G277,5)="FLOAT","SELECT '"&amp;UPPER(B277)&amp;"' AS TABELA, '"&amp;UPPER(C277)&amp;"' AS TIPOLOGIA_TESTE,'"&amp;D277&amp;"' AS TABELA_LT,'"&amp;E277&amp;"' AS TABELA_SIMUL,'"&amp;F277&amp;"' AS CAMPO, "&amp;"'${ref_date}' AS REF_DATE, COUNT(*) AS NUM_REG, SUM(IF((ABS(COALESCE(CAST(X."&amp;F277&amp;" AS DECIMAL(18,6)),0)-COALESCE(CAST(Y."&amp;F277&amp;"_SIMUL AS DECIMAL(18,6)),0))&gt;0.000001) OR (X."&amp;F277&amp;" IS NULL AND Y."&amp;F277&amp;"_SIMUL IS NOT NULL ) OR (X."&amp;F277&amp;" IS NOT NULL AND Y."&amp;F277&amp;"_SIMUL IS NULL),1,0)) AS NUM_REG_DIF,'"&amp;MAX('ID1&amp;5'!K:K)+1&amp;"' AS ID_EXEC, CURRENT_TIMESTAMP() AS TIME_EXEC FROM "&amp;I277&amp;" INNER JOIN "&amp;J277&amp;" "&amp;K277,"SELECT '"&amp;UPPER(B277)&amp;"' AS TABELA, '"&amp;UPPER(C277)&amp;"' AS TIPOLOGIA_TESTE,'"&amp;D277&amp;"' AS TABELA_LT,'"&amp;E277&amp;"' AS TABELA_SIMUL,'"&amp;F277&amp;"' AS CAMPO, "&amp;"'${ref_date}' AS REF_DATE, COUNT(*) AS NUM_REG, SUM(IF(COALESCE(CAST(X."&amp;F277&amp;" AS STRING),'')&lt;&gt;COALESCE(CAST(Y."&amp;F277&amp;"_SIMUL AS STRING),'') OR (X."&amp;F277&amp;" IS NULL AND Y."&amp;F277&amp;"_SIMUL IS NOT NULL ) OR (X."&amp;F277&amp;" IS NOT NULL AND Y."&amp;F277&amp;"_SIMUL IS NULL),1,0)) AS NUM_REG_DIF,'"&amp;MAX('ID1&amp;5'!L:L)+1&amp;"' AS ID_EXEC, CURRENT_TIMESTAMP() AS TIME_EXEC FROM "&amp;I277&amp;" INNER JOIN "&amp;J277&amp;" "&amp;K277),
IF(C277="Validade",+IF(G277="Code List","SELECT '"&amp;UPPER(B277)&amp;"' AS TABELA, '"&amp;UPPER(C277)&amp;"' AS TIPOLOGIA_TESTE,'"&amp;D277&amp;"' AS TABELA_LT,'N/A' AS TABELA_SIMUL,'"&amp;F277&amp;"' AS CAMPO, "&amp;"'${ref_date}' AS REF_DATE, COUNT(*) AS NUM_REG, SUM(IF(TRIM(CAST(X."&amp;F277&amp;" AS STRING))='' OR TRIM(CAST(X."&amp;F277&amp;" AS STRING)) IS NULL OR CAST(X."&amp;F277&amp;" AS STRING) NOT "&amp;H277&amp;",1,0)) AS NUM_REG_DIF,'"&amp;MAX('ID1&amp;5'!K:K)+1&amp;"' AS ID_EXEC, CURRENT_TIMESTAMP() AS TIME_EXEC FROM "&amp;I277,"SELECT '"&amp;UPPER(B277)&amp;"' AS TABELA, '"&amp;UPPER(C277)&amp;"' AS TIPOLOGIA_TESTE,'"&amp;D277&amp;"' AS TABELA_LT,'N/A' AS TABELA_SIMUL,'"&amp;F277&amp;"' AS CAMPO, "&amp;"'${ref_date}' AS REF_DATE, COUNT(*) AS NUM_REG, SUM(IF(TRIM(CAST(X."&amp;F277&amp;" AS STRING))='' OR TRIM(CAST(X."&amp;F277&amp;" AS STRING)) IS NULL,1,0)) AS NUM_REG_DIF,'"&amp;MAX('ID1&amp;5'!K:K)+1&amp;"' AS ID_EXEC, CURRENT_TIMESTAMP() AS TIME_EXEC FROM "&amp;I277),
IF(C277="Caracteres Especiais",+"SELECT '"&amp;UPPER(B277)&amp;"' AS TABELA, '"&amp;UPPER(C277)&amp;"' AS TIPOLOGIA_TESTE,'"&amp;D277&amp;"' AS TABELA_LT,'N/A' AS TABELA_SIMUL,'"&amp;F277&amp;"' AS CAMPO, "&amp;"'${ref_date}' AS REF_DATE, COUNT(*) AS NUM_REG, SUM(IF(REGEXP_REPLACE(TRIM(CAST(X."&amp;F277&amp;" AS STRING)),'[^a-zA-Z0-9_\\s]','') &lt;&gt;TRIM(CAST(X."&amp;F277&amp;" AS STRING)),1,0)) AS NUM_REG_DIF,'"&amp;MAX('ID1&amp;5'!K:K)+1&amp;"' AS ID_EXEC, CURRENT_TIMESTAMP() AS TIME_EXEC FROM "&amp;I277,
IF(C277="Missings",+"SELECT '"&amp;UPPER(B277)&amp;"' AS TABELA, '"&amp;UPPER(C277)&amp;"' AS TIPOLOGIA_TESTE,'"&amp;D277&amp;"' AS TABELA_LT,'N/A' AS TABELA_SIMUL,'"&amp;F277&amp;"' AS CAMPO, "&amp;"'${ref_date}' AS REF_DATE, COUNT(*) AS NUM_REG, SUM(IF(TRIM(CAST(X."&amp;F277&amp;" AS STRING)) IN ('0000-00-00','0001-01-01','9999-12-31','MISS','00000','99999999999','99999999999.00','99999999999.000000'),1,0)) AS NUM_REG_DIF,'"&amp;MAX('ID1&amp;5'!K:K)+1&amp;"' AS ID_EXEC, CURRENT_TIMESTAMP() AS TIME_EXEC FROM "&amp;I277,
IF(C277="Not applicable",+"SELECT '"&amp;UPPER(B277)&amp;"' AS TABELA, '"&amp;UPPER(C277)&amp;"' AS TIPOLOGIA_TESTE,'"&amp;D277&amp;"' AS TABELA_LT,'N/A' AS TABELA_SIMUL,'"&amp;F277&amp;"' AS CAMPO, "&amp;"'${ref_date}' AS REF_DATE, COUNT(*) AS NUM_REG, SUM(IF(TRIM(CAST(X."&amp;F277&amp;" AS STRING)) IN ('N/A','11111111111','11111111111.00','11111111111.000000','1111-11-11'),1,0)) AS NUM_REG_DIF,'"&amp;MAX('ID1&amp;5'!K:K)+1&amp;"' AS ID_EXEC, CURRENT_TIMESTAMP() AS TIME_EXEC FROM "&amp;I277,
IF(C277="Valores extremos",+"SELECT '"&amp;UPPER(B277)&amp;"' AS TABELA, '"&amp;UPPER(C277)&amp;"' AS TIPOLOGIA_TESTE,'"&amp;D277&amp;"' AS TABELA_LT,'N/A' AS TABELA_SIMUL,'"&amp;F277&amp;"' AS CAMPO, "&amp;"'${ref_date}' AS REF_DATE, CAST(MIN("&amp;F277&amp;") AS STRING) AS VALOR_MIN, CAST(MAX("&amp;F277&amp;") AS STRING) AS VALOR_MAX,'"&amp;MAX('ID1&amp;5'!K:K)+1&amp;"' AS ID_EXEC, CURRENT_TIMESTAMP() AS TIME_EXEC FROM "&amp;MID(I277,1,LEN(I277)-2)&amp;" AND CAST("&amp;F277&amp;"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TABELA_SIMUL,'bsnss_area_dstntn' AS CAMPO, '${ref_date}' AS REF_DATE, COUNT(*) AS NUM_REG, SUM(IF(COALESCE(CAST(X.bsnss_area_dstntn AS STRING),'')&lt;&gt;COALESCE(CAST(Y.bsnss_area_dstntn_SIMUL AS STRING),'') OR (X.bsnss_area_dstntn IS NULL AND Y.bsnss_area_dstntn_SIMUL IS NOT NULL ) OR (X.bsnss_area_dstntn IS NOT NULL AND Y.bsnss_area_dstntn_SIMUL IS NULL),1,0)) AS NUM_REG_DIF,'1' AS ID_EXEC, CURRENT_TIMESTAMP() AS TIME_EXEC FROM (SELECT instrmnt_id, bsnss_area_dstntn FROM BU_LOANTAPE_WORK.LT002_INSTRUMENT WHERE ref_date='${ref_date}' AND nome_perimetro='Individual Local' AND segmento='ESTR' AND ambito='SRB_MBDT' AND entidade='00100')X INNER JOIN (SELECT instrmnt_id AS instrmnt_id_SIMUL, bsnss_area_dstntn AS bsnss_area_dstntn_SIMUL FROM BU_LOANTAPE_WORK.SIMUL_LT002_INSTRUMENT WHERE ref_date='${ref_date}' AND nome_perimetro='Individual Local' AND segmento='ESTR' AND ambito='PILAR3' AND entidade='00100')Y ON X.INSTRMNT_ID=Y.INSTRMNT_ID_SIMUL</v>
      </c>
      <c r="M277" s="36" t="str">
        <f t="shared" si="7"/>
        <v>UNION ALL SELECT 'INSTRUMENT' AS TABELA, 'COERÊNCIA' AS TIPOLOGIA_TESTE,'BU_LOANTAPE_WORK.LT002_INSTRUMENT' AS TABELA_LT,'BU_LOANTAPE_WORK.SIMUL_LT002_INSTRUMENT' AS TABELA_SIMUL,'bsnss_area_dstntn' AS CAMPO, '${ref_date}' AS REF_DATE, COUNT(*) AS NUM_REG, SUM(IF(COALESCE(CAST(X.bsnss_area_dstntn AS STRING),'')&lt;&gt;COALESCE(CAST(Y.bsnss_area_dstntn_SIMUL AS STRING),'') OR (X.bsnss_area_dstntn IS NULL AND Y.bsnss_area_dstntn_SIMUL IS NOT NULL ) OR (X.bsnss_area_dstntn IS NOT NULL AND Y.bsnss_area_dstntn_SIMUL IS NULL),1,0)) AS NUM_REG_DIF,'1' AS ID_EXEC, CURRENT_TIMESTAMP() AS TIME_EXEC FROM (SELECT instrmnt_id, bsnss_area_dstntn FROM BU_LOANTAPE_WORK.LT002_INSTRUMENT WHERE ref_date='${ref_date}' AND nome_perimetro='Individual Local' AND segmento='ESTR' AND ambito='SRB_MBDT' AND entidade='00100')X INNER JOIN (SELECT instrmnt_id AS instrmnt_id_SIMUL, bsnss_area_dstntn AS bsnss_area_dstntn_SIMUL FROM BU_LOANTAPE_WORK.SIMUL_LT002_INSTRUMENT WHERE ref_date='${ref_date}' AND nome_perimetro='Individual Local' AND segmento='ESTR' AND ambito='PILAR3' AND entidade='00100')Y ON X.INSTRMNT_ID=Y.INSTRMNT_ID_SIMUL</v>
      </c>
      <c r="N277" s="38"/>
    </row>
    <row r="278" spans="2:14">
      <c r="B278" s="34" t="s">
        <v>117</v>
      </c>
      <c r="C278" s="34" t="s">
        <v>5</v>
      </c>
      <c r="D278" s="34" t="str">
        <f>+UPPER('0. Instruções'!$D$35&amp;"."&amp;VLOOKUP(B278,'0. Instruções'!$C$27:$D$32,2,FALSE))</f>
        <v>BU_LOANTAPE_WORK.LT002_INSTRUMENT</v>
      </c>
      <c r="E278" s="34" t="str">
        <f>+UPPER('0. Instruções'!$D$36&amp;"."&amp;VLOOKUP(B278,'0. Instruções'!$C$27:$E$32,3,FALSE))</f>
        <v>BU_LOANTAPE_WORK.SIMUL_LT002_INSTRUMENT</v>
      </c>
      <c r="F278" s="34" t="s">
        <v>1330</v>
      </c>
      <c r="G278" s="34"/>
      <c r="H278" s="34"/>
      <c r="I278" s="34" t="str">
        <f>"(SELECT "&amp;VLOOKUP(B278,'0. Instruções'!$C$27:$G$32,4,FALSE)&amp;", "&amp;F278&amp;" FROM "&amp;D278&amp;" WHERE "&amp;'0. Instruções'!$D$42&amp;")X"</f>
        <v>(SELECT instrmnt_id, avrg_blnc_off_blnc FROM BU_LOANTAPE_WORK.LT002_INSTRUMENT WHERE ref_date='${ref_date}' AND nome_perimetro='Individual Local' AND segmento='ESTR' AND ambito='SRB_MBDT' AND entidade='00100')X</v>
      </c>
      <c r="J278" s="34" t="str">
        <f>"(SELECT "&amp;VLOOKUP(B278,'0. Instruções'!$C$27:$G$32,4,FALSE)&amp;" AS "&amp;VLOOKUP(B278,'0. Instruções'!$C$27:$G$32,4,FALSE)&amp;"_SIMUL, "&amp;F278&amp;" AS "&amp;F278&amp;"_SIMUL FROM "&amp;E278&amp;" WHERE "&amp;'0. Instruções'!$D$43&amp;")Y"</f>
        <v>(SELECT instrmnt_id AS instrmnt_id_SIMUL, avrg_blnc_off_blnc AS avrg_blnc_off_blnc_SIMUL FROM BU_LOANTAPE_WORK.SIMUL_LT002_INSTRUMENT WHERE ref_date='${ref_date}' AND nome_perimetro='Individual Local' AND segmento='ESTR' AND ambito='PILAR3' AND entidade='00100')Y</v>
      </c>
      <c r="K278" s="35" t="str">
        <f>+UPPER("ON X."&amp;VLOOKUP(B278,'0. Instruções'!$C$27:$G$32,4,FALSE)&amp;"=Y."&amp;VLOOKUP(B278,'0. Instruções'!$C$27:$G$32,4,FALSE)&amp;"_SIMUL")</f>
        <v>ON X.INSTRMNT_ID=Y.INSTRMNT_ID_SIMUL</v>
      </c>
      <c r="L278" s="35" t="str">
        <f>+IF(C278="Coerência", +IF(LEFT(G278,5)="FLOAT","SELECT '"&amp;UPPER(B278)&amp;"' AS TABELA, '"&amp;UPPER(C278)&amp;"' AS TIPOLOGIA_TESTE,'"&amp;D278&amp;"' AS TABELA_LT,'"&amp;E278&amp;"' AS TABELA_SIMUL,'"&amp;F278&amp;"' AS CAMPO, "&amp;"'${ref_date}' AS REF_DATE, COUNT(*) AS NUM_REG, SUM(IF((ABS(COALESCE(CAST(X."&amp;F278&amp;" AS DECIMAL(18,6)),0)-COALESCE(CAST(Y."&amp;F278&amp;"_SIMUL AS DECIMAL(18,6)),0))&gt;0.000001) OR (X."&amp;F278&amp;" IS NULL AND Y."&amp;F278&amp;"_SIMUL IS NOT NULL ) OR (X."&amp;F278&amp;" IS NOT NULL AND Y."&amp;F278&amp;"_SIMUL IS NULL),1,0)) AS NUM_REG_DIF,'"&amp;MAX('ID1&amp;5'!K:K)+1&amp;"' AS ID_EXEC, CURRENT_TIMESTAMP() AS TIME_EXEC FROM "&amp;I278&amp;" INNER JOIN "&amp;J278&amp;" "&amp;K278,"SELECT '"&amp;UPPER(B278)&amp;"' AS TABELA, '"&amp;UPPER(C278)&amp;"' AS TIPOLOGIA_TESTE,'"&amp;D278&amp;"' AS TABELA_LT,'"&amp;E278&amp;"' AS TABELA_SIMUL,'"&amp;F278&amp;"' AS CAMPO, "&amp;"'${ref_date}' AS REF_DATE, COUNT(*) AS NUM_REG, SUM(IF(COALESCE(CAST(X."&amp;F278&amp;" AS STRING),'')&lt;&gt;COALESCE(CAST(Y."&amp;F278&amp;"_SIMUL AS STRING),'') OR (X."&amp;F278&amp;" IS NULL AND Y."&amp;F278&amp;"_SIMUL IS NOT NULL ) OR (X."&amp;F278&amp;" IS NOT NULL AND Y."&amp;F278&amp;"_SIMUL IS NULL),1,0)) AS NUM_REG_DIF,'"&amp;MAX('ID1&amp;5'!L:L)+1&amp;"' AS ID_EXEC, CURRENT_TIMESTAMP() AS TIME_EXEC FROM "&amp;I278&amp;" INNER JOIN "&amp;J278&amp;" "&amp;K278),
IF(C278="Validade",+IF(G278="Code List","SELECT '"&amp;UPPER(B278)&amp;"' AS TABELA, '"&amp;UPPER(C278)&amp;"' AS TIPOLOGIA_TESTE,'"&amp;D278&amp;"' AS TABELA_LT,'N/A' AS TABELA_SIMUL,'"&amp;F278&amp;"' AS CAMPO, "&amp;"'${ref_date}' AS REF_DATE, COUNT(*) AS NUM_REG, SUM(IF(TRIM(CAST(X."&amp;F278&amp;" AS STRING))='' OR TRIM(CAST(X."&amp;F278&amp;" AS STRING)) IS NULL OR CAST(X."&amp;F278&amp;" AS STRING) NOT "&amp;H278&amp;",1,0)) AS NUM_REG_DIF,'"&amp;MAX('ID1&amp;5'!K:K)+1&amp;"' AS ID_EXEC, CURRENT_TIMESTAMP() AS TIME_EXEC FROM "&amp;I278,"SELECT '"&amp;UPPER(B278)&amp;"' AS TABELA, '"&amp;UPPER(C278)&amp;"' AS TIPOLOGIA_TESTE,'"&amp;D278&amp;"' AS TABELA_LT,'N/A' AS TABELA_SIMUL,'"&amp;F278&amp;"' AS CAMPO, "&amp;"'${ref_date}' AS REF_DATE, COUNT(*) AS NUM_REG, SUM(IF(TRIM(CAST(X."&amp;F278&amp;" AS STRING))='' OR TRIM(CAST(X."&amp;F278&amp;" AS STRING)) IS NULL,1,0)) AS NUM_REG_DIF,'"&amp;MAX('ID1&amp;5'!K:K)+1&amp;"' AS ID_EXEC, CURRENT_TIMESTAMP() AS TIME_EXEC FROM "&amp;I278),
IF(C278="Caracteres Especiais",+"SELECT '"&amp;UPPER(B278)&amp;"' AS TABELA, '"&amp;UPPER(C278)&amp;"' AS TIPOLOGIA_TESTE,'"&amp;D278&amp;"' AS TABELA_LT,'N/A' AS TABELA_SIMUL,'"&amp;F278&amp;"' AS CAMPO, "&amp;"'${ref_date}' AS REF_DATE, COUNT(*) AS NUM_REG, SUM(IF(REGEXP_REPLACE(TRIM(CAST(X."&amp;F278&amp;" AS STRING)),'[^a-zA-Z0-9_\\s]','') &lt;&gt;TRIM(CAST(X."&amp;F278&amp;" AS STRING)),1,0)) AS NUM_REG_DIF,'"&amp;MAX('ID1&amp;5'!K:K)+1&amp;"' AS ID_EXEC, CURRENT_TIMESTAMP() AS TIME_EXEC FROM "&amp;I278,
IF(C278="Missings",+"SELECT '"&amp;UPPER(B278)&amp;"' AS TABELA, '"&amp;UPPER(C278)&amp;"' AS TIPOLOGIA_TESTE,'"&amp;D278&amp;"' AS TABELA_LT,'N/A' AS TABELA_SIMUL,'"&amp;F278&amp;"' AS CAMPO, "&amp;"'${ref_date}' AS REF_DATE, COUNT(*) AS NUM_REG, SUM(IF(TRIM(CAST(X."&amp;F278&amp;" AS STRING)) IN ('0000-00-00','0001-01-01','9999-12-31','MISS','00000','99999999999','99999999999.00','99999999999.000000'),1,0)) AS NUM_REG_DIF,'"&amp;MAX('ID1&amp;5'!K:K)+1&amp;"' AS ID_EXEC, CURRENT_TIMESTAMP() AS TIME_EXEC FROM "&amp;I278,
IF(C278="Not applicable",+"SELECT '"&amp;UPPER(B278)&amp;"' AS TABELA, '"&amp;UPPER(C278)&amp;"' AS TIPOLOGIA_TESTE,'"&amp;D278&amp;"' AS TABELA_LT,'N/A' AS TABELA_SIMUL,'"&amp;F278&amp;"' AS CAMPO, "&amp;"'${ref_date}' AS REF_DATE, COUNT(*) AS NUM_REG, SUM(IF(TRIM(CAST(X."&amp;F278&amp;" AS STRING)) IN ('N/A','11111111111','11111111111.00','11111111111.000000','1111-11-11'),1,0)) AS NUM_REG_DIF,'"&amp;MAX('ID1&amp;5'!K:K)+1&amp;"' AS ID_EXEC, CURRENT_TIMESTAMP() AS TIME_EXEC FROM "&amp;I278,
IF(C278="Valores extremos",+"SELECT '"&amp;UPPER(B278)&amp;"' AS TABELA, '"&amp;UPPER(C278)&amp;"' AS TIPOLOGIA_TESTE,'"&amp;D278&amp;"' AS TABELA_LT,'N/A' AS TABELA_SIMUL,'"&amp;F278&amp;"' AS CAMPO, "&amp;"'${ref_date}' AS REF_DATE, CAST(MIN("&amp;F278&amp;") AS STRING) AS VALOR_MIN, CAST(MAX("&amp;F278&amp;") AS STRING) AS VALOR_MAX,'"&amp;MAX('ID1&amp;5'!K:K)+1&amp;"' AS ID_EXEC, CURRENT_TIMESTAMP() AS TIME_EXEC FROM "&amp;MID(I278,1,LEN(I278)-2)&amp;" AND CAST("&amp;F278&amp;"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TABELA_SIMUL,'avrg_blnc_off_blnc' AS CAMPO, '${ref_date}' AS REF_DATE, COUNT(*) AS NUM_REG, SUM(IF(COALESCE(CAST(X.avrg_blnc_off_blnc AS STRING),'')&lt;&gt;COALESCE(CAST(Y.avrg_blnc_off_blnc_SIMUL AS STRING),'') OR (X.avrg_blnc_off_blnc IS NULL AND Y.avrg_blnc_off_blnc_SIMUL IS NOT NULL ) OR (X.avrg_blnc_off_blnc IS NOT NULL AND Y.avrg_blnc_off_blnc_SIMUL IS NULL),1,0)) AS NUM_REG_DIF,'1' AS ID_EXEC, CURRENT_TIMESTAMP() AS TIME_EXEC FROM (SELECT instrmnt_id, avrg_blnc_off_blnc FROM BU_LOANTAPE_WORK.LT002_INSTRUMENT WHERE ref_date='${ref_date}' AND nome_perimetro='Individual Local' AND segmento='ESTR' AND ambito='SRB_MBDT' AND entidade='00100')X INNER JOIN (SELECT instrmnt_id AS instrmnt_id_SIMUL, avrg_blnc_off_blnc AS avrg_blnc_off_blnc_SIMUL FROM BU_LOANTAPE_WORK.SIMUL_LT002_INSTRUMENT WHERE ref_date='${ref_date}' AND nome_perimetro='Individual Local' AND segmento='ESTR' AND ambito='PILAR3' AND entidade='00100')Y ON X.INSTRMNT_ID=Y.INSTRMNT_ID_SIMUL</v>
      </c>
      <c r="M278" s="36" t="str">
        <f t="shared" si="7"/>
        <v>UNION ALL SELECT 'INSTRUMENT' AS TABELA, 'COERÊNCIA' AS TIPOLOGIA_TESTE,'BU_LOANTAPE_WORK.LT002_INSTRUMENT' AS TABELA_LT,'BU_LOANTAPE_WORK.SIMUL_LT002_INSTRUMENT' AS TABELA_SIMUL,'avrg_blnc_off_blnc' AS CAMPO, '${ref_date}' AS REF_DATE, COUNT(*) AS NUM_REG, SUM(IF(COALESCE(CAST(X.avrg_blnc_off_blnc AS STRING),'')&lt;&gt;COALESCE(CAST(Y.avrg_blnc_off_blnc_SIMUL AS STRING),'') OR (X.avrg_blnc_off_blnc IS NULL AND Y.avrg_blnc_off_blnc_SIMUL IS NOT NULL ) OR (X.avrg_blnc_off_blnc IS NOT NULL AND Y.avrg_blnc_off_blnc_SIMUL IS NULL),1,0)) AS NUM_REG_DIF,'1' AS ID_EXEC, CURRENT_TIMESTAMP() AS TIME_EXEC FROM (SELECT instrmnt_id, avrg_blnc_off_blnc FROM BU_LOANTAPE_WORK.LT002_INSTRUMENT WHERE ref_date='${ref_date}' AND nome_perimetro='Individual Local' AND segmento='ESTR' AND ambito='SRB_MBDT' AND entidade='00100')X INNER JOIN (SELECT instrmnt_id AS instrmnt_id_SIMUL, avrg_blnc_off_blnc AS avrg_blnc_off_blnc_SIMUL FROM BU_LOANTAPE_WORK.SIMUL_LT002_INSTRUMENT WHERE ref_date='${ref_date}' AND nome_perimetro='Individual Local' AND segmento='ESTR' AND ambito='PILAR3' AND entidade='00100')Y ON X.INSTRMNT_ID=Y.INSTRMNT_ID_SIMUL</v>
      </c>
      <c r="N278" s="38"/>
    </row>
    <row r="279" spans="2:14">
      <c r="B279" s="34" t="s">
        <v>117</v>
      </c>
      <c r="C279" s="34" t="s">
        <v>5</v>
      </c>
      <c r="D279" s="34" t="str">
        <f>+UPPER('0. Instruções'!$D$35&amp;"."&amp;VLOOKUP(B279,'0. Instruções'!$C$27:$D$32,2,FALSE))</f>
        <v>BU_LOANTAPE_WORK.LT002_INSTRUMENT</v>
      </c>
      <c r="E279" s="34" t="str">
        <f>+UPPER('0. Instruções'!$D$36&amp;"."&amp;VLOOKUP(B279,'0. Instruções'!$C$27:$E$32,3,FALSE))</f>
        <v>BU_LOANTAPE_WORK.SIMUL_LT002_INSTRUMENT</v>
      </c>
      <c r="F279" s="34" t="s">
        <v>1331</v>
      </c>
      <c r="G279" s="34"/>
      <c r="H279" s="34"/>
      <c r="I279" s="34" t="str">
        <f>"(SELECT "&amp;VLOOKUP(B279,'0. Instruções'!$C$27:$G$32,4,FALSE)&amp;", "&amp;F279&amp;" FROM "&amp;D279&amp;" WHERE "&amp;'0. Instruções'!$D$42&amp;")X"</f>
        <v>(SELECT instrmnt_id, intrnl_trnsfr_rt_off_blnc FROM BU_LOANTAPE_WORK.LT002_INSTRUMENT WHERE ref_date='${ref_date}' AND nome_perimetro='Individual Local' AND segmento='ESTR' AND ambito='SRB_MBDT' AND entidade='00100')X</v>
      </c>
      <c r="J279" s="34" t="str">
        <f>"(SELECT "&amp;VLOOKUP(B279,'0. Instruções'!$C$27:$G$32,4,FALSE)&amp;" AS "&amp;VLOOKUP(B279,'0. Instruções'!$C$27:$G$32,4,FALSE)&amp;"_SIMUL, "&amp;F279&amp;" AS "&amp;F279&amp;"_SIMUL FROM "&amp;E279&amp;" WHERE "&amp;'0. Instruções'!$D$43&amp;")Y"</f>
        <v>(SELECT instrmnt_id AS instrmnt_id_SIMUL, intrnl_trnsfr_rt_off_blnc AS intrnl_trnsfr_rt_off_blnc_SIMUL FROM BU_LOANTAPE_WORK.SIMUL_LT002_INSTRUMENT WHERE ref_date='${ref_date}' AND nome_perimetro='Individual Local' AND segmento='ESTR' AND ambito='PILAR3' AND entidade='00100')Y</v>
      </c>
      <c r="K279" s="35" t="str">
        <f>+UPPER("ON X."&amp;VLOOKUP(B279,'0. Instruções'!$C$27:$G$32,4,FALSE)&amp;"=Y."&amp;VLOOKUP(B279,'0. Instruções'!$C$27:$G$32,4,FALSE)&amp;"_SIMUL")</f>
        <v>ON X.INSTRMNT_ID=Y.INSTRMNT_ID_SIMUL</v>
      </c>
      <c r="L279" s="35" t="str">
        <f>+IF(C279="Coerência", +IF(LEFT(G279,5)="FLOAT","SELECT '"&amp;UPPER(B279)&amp;"' AS TABELA, '"&amp;UPPER(C279)&amp;"' AS TIPOLOGIA_TESTE,'"&amp;D279&amp;"' AS TABELA_LT,'"&amp;E279&amp;"' AS TABELA_SIMUL,'"&amp;F279&amp;"' AS CAMPO, "&amp;"'${ref_date}' AS REF_DATE, COUNT(*) AS NUM_REG, SUM(IF((ABS(COALESCE(CAST(X."&amp;F279&amp;" AS DECIMAL(18,6)),0)-COALESCE(CAST(Y."&amp;F279&amp;"_SIMUL AS DECIMAL(18,6)),0))&gt;0.000001) OR (X."&amp;F279&amp;" IS NULL AND Y."&amp;F279&amp;"_SIMUL IS NOT NULL ) OR (X."&amp;F279&amp;" IS NOT NULL AND Y."&amp;F279&amp;"_SIMUL IS NULL),1,0)) AS NUM_REG_DIF,'"&amp;MAX('ID1&amp;5'!K:K)+1&amp;"' AS ID_EXEC, CURRENT_TIMESTAMP() AS TIME_EXEC FROM "&amp;I279&amp;" INNER JOIN "&amp;J279&amp;" "&amp;K279,"SELECT '"&amp;UPPER(B279)&amp;"' AS TABELA, '"&amp;UPPER(C279)&amp;"' AS TIPOLOGIA_TESTE,'"&amp;D279&amp;"' AS TABELA_LT,'"&amp;E279&amp;"' AS TABELA_SIMUL,'"&amp;F279&amp;"' AS CAMPO, "&amp;"'${ref_date}' AS REF_DATE, COUNT(*) AS NUM_REG, SUM(IF(COALESCE(CAST(X."&amp;F279&amp;" AS STRING),'')&lt;&gt;COALESCE(CAST(Y."&amp;F279&amp;"_SIMUL AS STRING),'') OR (X."&amp;F279&amp;" IS NULL AND Y."&amp;F279&amp;"_SIMUL IS NOT NULL ) OR (X."&amp;F279&amp;" IS NOT NULL AND Y."&amp;F279&amp;"_SIMUL IS NULL),1,0)) AS NUM_REG_DIF,'"&amp;MAX('ID1&amp;5'!L:L)+1&amp;"' AS ID_EXEC, CURRENT_TIMESTAMP() AS TIME_EXEC FROM "&amp;I279&amp;" INNER JOIN "&amp;J279&amp;" "&amp;K279),
IF(C279="Validade",+IF(G279="Code List","SELECT '"&amp;UPPER(B279)&amp;"' AS TABELA, '"&amp;UPPER(C279)&amp;"' AS TIPOLOGIA_TESTE,'"&amp;D279&amp;"' AS TABELA_LT,'N/A' AS TABELA_SIMUL,'"&amp;F279&amp;"' AS CAMPO, "&amp;"'${ref_date}' AS REF_DATE, COUNT(*) AS NUM_REG, SUM(IF(TRIM(CAST(X."&amp;F279&amp;" AS STRING))='' OR TRIM(CAST(X."&amp;F279&amp;" AS STRING)) IS NULL OR CAST(X."&amp;F279&amp;" AS STRING) NOT "&amp;H279&amp;",1,0)) AS NUM_REG_DIF,'"&amp;MAX('ID1&amp;5'!K:K)+1&amp;"' AS ID_EXEC, CURRENT_TIMESTAMP() AS TIME_EXEC FROM "&amp;I279,"SELECT '"&amp;UPPER(B279)&amp;"' AS TABELA, '"&amp;UPPER(C279)&amp;"' AS TIPOLOGIA_TESTE,'"&amp;D279&amp;"' AS TABELA_LT,'N/A' AS TABELA_SIMUL,'"&amp;F279&amp;"' AS CAMPO, "&amp;"'${ref_date}' AS REF_DATE, COUNT(*) AS NUM_REG, SUM(IF(TRIM(CAST(X."&amp;F279&amp;" AS STRING))='' OR TRIM(CAST(X."&amp;F279&amp;" AS STRING)) IS NULL,1,0)) AS NUM_REG_DIF,'"&amp;MAX('ID1&amp;5'!K:K)+1&amp;"' AS ID_EXEC, CURRENT_TIMESTAMP() AS TIME_EXEC FROM "&amp;I279),
IF(C279="Caracteres Especiais",+"SELECT '"&amp;UPPER(B279)&amp;"' AS TABELA, '"&amp;UPPER(C279)&amp;"' AS TIPOLOGIA_TESTE,'"&amp;D279&amp;"' AS TABELA_LT,'N/A' AS TABELA_SIMUL,'"&amp;F279&amp;"' AS CAMPO, "&amp;"'${ref_date}' AS REF_DATE, COUNT(*) AS NUM_REG, SUM(IF(REGEXP_REPLACE(TRIM(CAST(X."&amp;F279&amp;" AS STRING)),'[^a-zA-Z0-9_\\s]','') &lt;&gt;TRIM(CAST(X."&amp;F279&amp;" AS STRING)),1,0)) AS NUM_REG_DIF,'"&amp;MAX('ID1&amp;5'!K:K)+1&amp;"' AS ID_EXEC, CURRENT_TIMESTAMP() AS TIME_EXEC FROM "&amp;I279,
IF(C279="Missings",+"SELECT '"&amp;UPPER(B279)&amp;"' AS TABELA, '"&amp;UPPER(C279)&amp;"' AS TIPOLOGIA_TESTE,'"&amp;D279&amp;"' AS TABELA_LT,'N/A' AS TABELA_SIMUL,'"&amp;F279&amp;"' AS CAMPO, "&amp;"'${ref_date}' AS REF_DATE, COUNT(*) AS NUM_REG, SUM(IF(TRIM(CAST(X."&amp;F279&amp;" AS STRING)) IN ('0000-00-00','0001-01-01','9999-12-31','MISS','00000','99999999999','99999999999.00','99999999999.000000'),1,0)) AS NUM_REG_DIF,'"&amp;MAX('ID1&amp;5'!K:K)+1&amp;"' AS ID_EXEC, CURRENT_TIMESTAMP() AS TIME_EXEC FROM "&amp;I279,
IF(C279="Not applicable",+"SELECT '"&amp;UPPER(B279)&amp;"' AS TABELA, '"&amp;UPPER(C279)&amp;"' AS TIPOLOGIA_TESTE,'"&amp;D279&amp;"' AS TABELA_LT,'N/A' AS TABELA_SIMUL,'"&amp;F279&amp;"' AS CAMPO, "&amp;"'${ref_date}' AS REF_DATE, COUNT(*) AS NUM_REG, SUM(IF(TRIM(CAST(X."&amp;F279&amp;" AS STRING)) IN ('N/A','11111111111','11111111111.00','11111111111.000000','1111-11-11'),1,0)) AS NUM_REG_DIF,'"&amp;MAX('ID1&amp;5'!K:K)+1&amp;"' AS ID_EXEC, CURRENT_TIMESTAMP() AS TIME_EXEC FROM "&amp;I279,
IF(C279="Valores extremos",+"SELECT '"&amp;UPPER(B279)&amp;"' AS TABELA, '"&amp;UPPER(C279)&amp;"' AS TIPOLOGIA_TESTE,'"&amp;D279&amp;"' AS TABELA_LT,'N/A' AS TABELA_SIMUL,'"&amp;F279&amp;"' AS CAMPO, "&amp;"'${ref_date}' AS REF_DATE, CAST(MIN("&amp;F279&amp;") AS STRING) AS VALOR_MIN, CAST(MAX("&amp;F279&amp;") AS STRING) AS VALOR_MAX,'"&amp;MAX('ID1&amp;5'!K:K)+1&amp;"' AS ID_EXEC, CURRENT_TIMESTAMP() AS TIME_EXEC FROM "&amp;MID(I279,1,LEN(I279)-2)&amp;" AND CAST("&amp;F279&amp;"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TABELA_SIMUL,'intrnl_trnsfr_rt_off_blnc' AS CAMPO, '${ref_date}' AS REF_DATE, COUNT(*) AS NUM_REG, SUM(IF(COALESCE(CAST(X.intrnl_trnsfr_rt_off_blnc AS STRING),'')&lt;&gt;COALESCE(CAST(Y.intrnl_trnsfr_rt_off_blnc_SIMUL AS STRING),'') OR (X.intrnl_trnsfr_rt_off_blnc IS NULL AND Y.intrnl_trnsfr_rt_off_blnc_SIMUL IS NOT NULL ) OR (X.intrnl_trnsfr_rt_off_blnc IS NOT NULL AND Y.intrnl_trnsfr_rt_off_blnc_SIMUL IS NULL),1,0)) AS NUM_REG_DIF,'1' AS ID_EXEC, CURRENT_TIMESTAMP() AS TIME_EXEC FROM (SELECT instrmnt_id, intrnl_trnsfr_rt_off_blnc FROM BU_LOANTAPE_WORK.LT002_INSTRUMENT WHERE ref_date='${ref_date}' AND nome_perimetro='Individual Local' AND segmento='ESTR' AND ambito='SRB_MBDT' AND entidade='00100')X INNER JOIN (SELECT instrmnt_id AS instrmnt_id_SIMUL, intrnl_trnsfr_rt_off_blnc AS intrnl_trnsfr_rt_off_blnc_SIMUL FROM BU_LOANTAPE_WORK.SIMUL_LT002_INSTRUMENT WHERE ref_date='${ref_date}' AND nome_perimetro='Individual Local' AND segmento='ESTR' AND ambito='PILAR3' AND entidade='00100')Y ON X.INSTRMNT_ID=Y.INSTRMNT_ID_SIMUL</v>
      </c>
      <c r="M279" s="36" t="str">
        <f t="shared" si="7"/>
        <v>UNION ALL SELECT 'INSTRUMENT' AS TABELA, 'COERÊNCIA' AS TIPOLOGIA_TESTE,'BU_LOANTAPE_WORK.LT002_INSTRUMENT' AS TABELA_LT,'BU_LOANTAPE_WORK.SIMUL_LT002_INSTRUMENT' AS TABELA_SIMUL,'intrnl_trnsfr_rt_off_blnc' AS CAMPO, '${ref_date}' AS REF_DATE, COUNT(*) AS NUM_REG, SUM(IF(COALESCE(CAST(X.intrnl_trnsfr_rt_off_blnc AS STRING),'')&lt;&gt;COALESCE(CAST(Y.intrnl_trnsfr_rt_off_blnc_SIMUL AS STRING),'') OR (X.intrnl_trnsfr_rt_off_blnc IS NULL AND Y.intrnl_trnsfr_rt_off_blnc_SIMUL IS NOT NULL ) OR (X.intrnl_trnsfr_rt_off_blnc IS NOT NULL AND Y.intrnl_trnsfr_rt_off_blnc_SIMUL IS NULL),1,0)) AS NUM_REG_DIF,'1' AS ID_EXEC, CURRENT_TIMESTAMP() AS TIME_EXEC FROM (SELECT instrmnt_id, intrnl_trnsfr_rt_off_blnc FROM BU_LOANTAPE_WORK.LT002_INSTRUMENT WHERE ref_date='${ref_date}' AND nome_perimetro='Individual Local' AND segmento='ESTR' AND ambito='SRB_MBDT' AND entidade='00100')X INNER JOIN (SELECT instrmnt_id AS instrmnt_id_SIMUL, intrnl_trnsfr_rt_off_blnc AS intrnl_trnsfr_rt_off_blnc_SIMUL FROM BU_LOANTAPE_WORK.SIMUL_LT002_INSTRUMENT WHERE ref_date='${ref_date}' AND nome_perimetro='Individual Local' AND segmento='ESTR' AND ambito='PILAR3' AND entidade='00100')Y ON X.INSTRMNT_ID=Y.INSTRMNT_ID_SIMUL</v>
      </c>
      <c r="N279" s="38"/>
    </row>
    <row r="280" spans="2:14">
      <c r="B280" s="34" t="s">
        <v>117</v>
      </c>
      <c r="C280" s="34" t="s">
        <v>5</v>
      </c>
      <c r="D280" s="34" t="str">
        <f>+UPPER('0. Instruções'!$D$35&amp;"."&amp;VLOOKUP(B280,'0. Instruções'!$C$27:$D$32,2,FALSE))</f>
        <v>BU_LOANTAPE_WORK.LT002_INSTRUMENT</v>
      </c>
      <c r="E280" s="34" t="str">
        <f>+UPPER('0. Instruções'!$D$36&amp;"."&amp;VLOOKUP(B280,'0. Instruções'!$C$27:$E$32,3,FALSE))</f>
        <v>BU_LOANTAPE_WORK.SIMUL_LT002_INSTRUMENT</v>
      </c>
      <c r="F280" s="34" t="s">
        <v>660</v>
      </c>
      <c r="G280" s="34"/>
      <c r="H280" s="34"/>
      <c r="I280" s="34" t="str">
        <f>"(SELECT "&amp;VLOOKUP(B280,'0. Instruções'!$C$27:$G$32,4,FALSE)&amp;", "&amp;F280&amp;" FROM "&amp;D280&amp;" WHERE "&amp;'0. Instruções'!$D$42&amp;")X"</f>
        <v>(SELECT instrmnt_id, grss_cmmssn_incm_off_blnc FROM BU_LOANTAPE_WORK.LT002_INSTRUMENT WHERE ref_date='${ref_date}' AND nome_perimetro='Individual Local' AND segmento='ESTR' AND ambito='SRB_MBDT' AND entidade='00100')X</v>
      </c>
      <c r="J280" s="34" t="str">
        <f>"(SELECT "&amp;VLOOKUP(B280,'0. Instruções'!$C$27:$G$32,4,FALSE)&amp;" AS "&amp;VLOOKUP(B280,'0. Instruções'!$C$27:$G$32,4,FALSE)&amp;"_SIMUL, "&amp;F280&amp;" AS "&amp;F280&amp;"_SIMUL FROM "&amp;E280&amp;" WHERE "&amp;'0. Instruções'!$D$43&amp;")Y"</f>
        <v>(SELECT instrmnt_id AS instrmnt_id_SIMUL, grss_cmmssn_incm_off_blnc AS grss_cmmssn_incm_off_blnc_SIMUL FROM BU_LOANTAPE_WORK.SIMUL_LT002_INSTRUMENT WHERE ref_date='${ref_date}' AND nome_perimetro='Individual Local' AND segmento='ESTR' AND ambito='PILAR3' AND entidade='00100')Y</v>
      </c>
      <c r="K280" s="35" t="str">
        <f>+UPPER("ON X."&amp;VLOOKUP(B280,'0. Instruções'!$C$27:$G$32,4,FALSE)&amp;"=Y."&amp;VLOOKUP(B280,'0. Instruções'!$C$27:$G$32,4,FALSE)&amp;"_SIMUL")</f>
        <v>ON X.INSTRMNT_ID=Y.INSTRMNT_ID_SIMUL</v>
      </c>
      <c r="L280" s="35" t="str">
        <f>+IF(C280="Coerência", +IF(LEFT(G280,5)="FLOAT","SELECT '"&amp;UPPER(B280)&amp;"' AS TABELA, '"&amp;UPPER(C280)&amp;"' AS TIPOLOGIA_TESTE,'"&amp;D280&amp;"' AS TABELA_LT,'"&amp;E280&amp;"' AS TABELA_SIMUL,'"&amp;F280&amp;"' AS CAMPO, "&amp;"'${ref_date}' AS REF_DATE, COUNT(*) AS NUM_REG, SUM(IF((ABS(COALESCE(CAST(X."&amp;F280&amp;" AS DECIMAL(18,6)),0)-COALESCE(CAST(Y."&amp;F280&amp;"_SIMUL AS DECIMAL(18,6)),0))&gt;0.000001) OR (X."&amp;F280&amp;" IS NULL AND Y."&amp;F280&amp;"_SIMUL IS NOT NULL ) OR (X."&amp;F280&amp;" IS NOT NULL AND Y."&amp;F280&amp;"_SIMUL IS NULL),1,0)) AS NUM_REG_DIF,'"&amp;MAX('ID1&amp;5'!K:K)+1&amp;"' AS ID_EXEC, CURRENT_TIMESTAMP() AS TIME_EXEC FROM "&amp;I280&amp;" INNER JOIN "&amp;J280&amp;" "&amp;K280,"SELECT '"&amp;UPPER(B280)&amp;"' AS TABELA, '"&amp;UPPER(C280)&amp;"' AS TIPOLOGIA_TESTE,'"&amp;D280&amp;"' AS TABELA_LT,'"&amp;E280&amp;"' AS TABELA_SIMUL,'"&amp;F280&amp;"' AS CAMPO, "&amp;"'${ref_date}' AS REF_DATE, COUNT(*) AS NUM_REG, SUM(IF(COALESCE(CAST(X."&amp;F280&amp;" AS STRING),'')&lt;&gt;COALESCE(CAST(Y."&amp;F280&amp;"_SIMUL AS STRING),'') OR (X."&amp;F280&amp;" IS NULL AND Y."&amp;F280&amp;"_SIMUL IS NOT NULL ) OR (X."&amp;F280&amp;" IS NOT NULL AND Y."&amp;F280&amp;"_SIMUL IS NULL),1,0)) AS NUM_REG_DIF,'"&amp;MAX('ID1&amp;5'!L:L)+1&amp;"' AS ID_EXEC, CURRENT_TIMESTAMP() AS TIME_EXEC FROM "&amp;I280&amp;" INNER JOIN "&amp;J280&amp;" "&amp;K280),
IF(C280="Validade",+IF(G280="Code List","SELECT '"&amp;UPPER(B280)&amp;"' AS TABELA, '"&amp;UPPER(C280)&amp;"' AS TIPOLOGIA_TESTE,'"&amp;D280&amp;"' AS TABELA_LT,'N/A' AS TABELA_SIMUL,'"&amp;F280&amp;"' AS CAMPO, "&amp;"'${ref_date}' AS REF_DATE, COUNT(*) AS NUM_REG, SUM(IF(TRIM(CAST(X."&amp;F280&amp;" AS STRING))='' OR TRIM(CAST(X."&amp;F280&amp;" AS STRING)) IS NULL OR CAST(X."&amp;F280&amp;" AS STRING) NOT "&amp;H280&amp;",1,0)) AS NUM_REG_DIF,'"&amp;MAX('ID1&amp;5'!K:K)+1&amp;"' AS ID_EXEC, CURRENT_TIMESTAMP() AS TIME_EXEC FROM "&amp;I280,"SELECT '"&amp;UPPER(B280)&amp;"' AS TABELA, '"&amp;UPPER(C280)&amp;"' AS TIPOLOGIA_TESTE,'"&amp;D280&amp;"' AS TABELA_LT,'N/A' AS TABELA_SIMUL,'"&amp;F280&amp;"' AS CAMPO, "&amp;"'${ref_date}' AS REF_DATE, COUNT(*) AS NUM_REG, SUM(IF(TRIM(CAST(X."&amp;F280&amp;" AS STRING))='' OR TRIM(CAST(X."&amp;F280&amp;" AS STRING)) IS NULL,1,0)) AS NUM_REG_DIF,'"&amp;MAX('ID1&amp;5'!K:K)+1&amp;"' AS ID_EXEC, CURRENT_TIMESTAMP() AS TIME_EXEC FROM "&amp;I280),
IF(C280="Caracteres Especiais",+"SELECT '"&amp;UPPER(B280)&amp;"' AS TABELA, '"&amp;UPPER(C280)&amp;"' AS TIPOLOGIA_TESTE,'"&amp;D280&amp;"' AS TABELA_LT,'N/A' AS TABELA_SIMUL,'"&amp;F280&amp;"' AS CAMPO, "&amp;"'${ref_date}' AS REF_DATE, COUNT(*) AS NUM_REG, SUM(IF(REGEXP_REPLACE(TRIM(CAST(X."&amp;F280&amp;" AS STRING)),'[^a-zA-Z0-9_\\s]','') &lt;&gt;TRIM(CAST(X."&amp;F280&amp;" AS STRING)),1,0)) AS NUM_REG_DIF,'"&amp;MAX('ID1&amp;5'!K:K)+1&amp;"' AS ID_EXEC, CURRENT_TIMESTAMP() AS TIME_EXEC FROM "&amp;I280,
IF(C280="Missings",+"SELECT '"&amp;UPPER(B280)&amp;"' AS TABELA, '"&amp;UPPER(C280)&amp;"' AS TIPOLOGIA_TESTE,'"&amp;D280&amp;"' AS TABELA_LT,'N/A' AS TABELA_SIMUL,'"&amp;F280&amp;"' AS CAMPO, "&amp;"'${ref_date}' AS REF_DATE, COUNT(*) AS NUM_REG, SUM(IF(TRIM(CAST(X."&amp;F280&amp;" AS STRING)) IN ('0000-00-00','0001-01-01','9999-12-31','MISS','00000','99999999999','99999999999.00','99999999999.000000'),1,0)) AS NUM_REG_DIF,'"&amp;MAX('ID1&amp;5'!K:K)+1&amp;"' AS ID_EXEC, CURRENT_TIMESTAMP() AS TIME_EXEC FROM "&amp;I280,
IF(C280="Not applicable",+"SELECT '"&amp;UPPER(B280)&amp;"' AS TABELA, '"&amp;UPPER(C280)&amp;"' AS TIPOLOGIA_TESTE,'"&amp;D280&amp;"' AS TABELA_LT,'N/A' AS TABELA_SIMUL,'"&amp;F280&amp;"' AS CAMPO, "&amp;"'${ref_date}' AS REF_DATE, COUNT(*) AS NUM_REG, SUM(IF(TRIM(CAST(X."&amp;F280&amp;" AS STRING)) IN ('N/A','11111111111','11111111111.00','11111111111.000000','1111-11-11'),1,0)) AS NUM_REG_DIF,'"&amp;MAX('ID1&amp;5'!K:K)+1&amp;"' AS ID_EXEC, CURRENT_TIMESTAMP() AS TIME_EXEC FROM "&amp;I280,
IF(C280="Valores extremos",+"SELECT '"&amp;UPPER(B280)&amp;"' AS TABELA, '"&amp;UPPER(C280)&amp;"' AS TIPOLOGIA_TESTE,'"&amp;D280&amp;"' AS TABELA_LT,'N/A' AS TABELA_SIMUL,'"&amp;F280&amp;"' AS CAMPO, "&amp;"'${ref_date}' AS REF_DATE, CAST(MIN("&amp;F280&amp;") AS STRING) AS VALOR_MIN, CAST(MAX("&amp;F280&amp;") AS STRING) AS VALOR_MAX,'"&amp;MAX('ID1&amp;5'!K:K)+1&amp;"' AS ID_EXEC, CURRENT_TIMESTAMP() AS TIME_EXEC FROM "&amp;MID(I280,1,LEN(I280)-2)&amp;" AND CAST("&amp;F280&amp;"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TABELA_SIMUL,'grss_cmmssn_incm_off_blnc' AS CAMPO, '${ref_date}' AS REF_DATE, COUNT(*) AS NUM_REG, SUM(IF(COALESCE(CAST(X.grss_cmmssn_incm_off_blnc AS STRING),'')&lt;&gt;COALESCE(CAST(Y.grss_cmmssn_incm_off_blnc_SIMUL AS STRING),'') OR (X.grss_cmmssn_incm_off_blnc IS NULL AND Y.grss_cmmssn_incm_off_blnc_SIMUL IS NOT NULL ) OR (X.grss_cmmssn_incm_off_blnc IS NOT NULL AND Y.grss_cmmssn_incm_off_blnc_SIMUL IS NULL),1,0)) AS NUM_REG_DIF,'1' AS ID_EXEC, CURRENT_TIMESTAMP() AS TIME_EXEC FROM (SELECT instrmnt_id, grss_cmmssn_incm_off_blnc FROM BU_LOANTAPE_WORK.LT002_INSTRUMENT WHERE ref_date='${ref_date}' AND nome_perimetro='Individual Local' AND segmento='ESTR' AND ambito='SRB_MBDT' AND entidade='00100')X INNER JOIN (SELECT instrmnt_id AS instrmnt_id_SIMUL, grss_cmmssn_incm_off_blnc AS grss_cmmssn_incm_off_blnc_SIMUL FROM BU_LOANTAPE_WORK.SIMUL_LT002_INSTRUMENT WHERE ref_date='${ref_date}' AND nome_perimetro='Individual Local' AND segmento='ESTR' AND ambito='PILAR3' AND entidade='00100')Y ON X.INSTRMNT_ID=Y.INSTRMNT_ID_SIMUL</v>
      </c>
      <c r="M280" s="36" t="str">
        <f t="shared" si="7"/>
        <v>UNION ALL SELECT 'INSTRUMENT' AS TABELA, 'COERÊNCIA' AS TIPOLOGIA_TESTE,'BU_LOANTAPE_WORK.LT002_INSTRUMENT' AS TABELA_LT,'BU_LOANTAPE_WORK.SIMUL_LT002_INSTRUMENT' AS TABELA_SIMUL,'grss_cmmssn_incm_off_blnc' AS CAMPO, '${ref_date}' AS REF_DATE, COUNT(*) AS NUM_REG, SUM(IF(COALESCE(CAST(X.grss_cmmssn_incm_off_blnc AS STRING),'')&lt;&gt;COALESCE(CAST(Y.grss_cmmssn_incm_off_blnc_SIMUL AS STRING),'') OR (X.grss_cmmssn_incm_off_blnc IS NULL AND Y.grss_cmmssn_incm_off_blnc_SIMUL IS NOT NULL ) OR (X.grss_cmmssn_incm_off_blnc IS NOT NULL AND Y.grss_cmmssn_incm_off_blnc_SIMUL IS NULL),1,0)) AS NUM_REG_DIF,'1' AS ID_EXEC, CURRENT_TIMESTAMP() AS TIME_EXEC FROM (SELECT instrmnt_id, grss_cmmssn_incm_off_blnc FROM BU_LOANTAPE_WORK.LT002_INSTRUMENT WHERE ref_date='${ref_date}' AND nome_perimetro='Individual Local' AND segmento='ESTR' AND ambito='SRB_MBDT' AND entidade='00100')X INNER JOIN (SELECT instrmnt_id AS instrmnt_id_SIMUL, grss_cmmssn_incm_off_blnc AS grss_cmmssn_incm_off_blnc_SIMUL FROM BU_LOANTAPE_WORK.SIMUL_LT002_INSTRUMENT WHERE ref_date='${ref_date}' AND nome_perimetro='Individual Local' AND segmento='ESTR' AND ambito='PILAR3' AND entidade='00100')Y ON X.INSTRMNT_ID=Y.INSTRMNT_ID_SIMUL</v>
      </c>
      <c r="N280" s="38"/>
    </row>
    <row r="281" spans="2:14">
      <c r="B281" s="34" t="s">
        <v>117</v>
      </c>
      <c r="C281" s="34" t="s">
        <v>5</v>
      </c>
      <c r="D281" s="34" t="str">
        <f>+UPPER('0. Instruções'!$D$35&amp;"."&amp;VLOOKUP(B281,'0. Instruções'!$C$27:$D$32,2,FALSE))</f>
        <v>BU_LOANTAPE_WORK.LT002_INSTRUMENT</v>
      </c>
      <c r="E281" s="34" t="str">
        <f>+UPPER('0. Instruções'!$D$36&amp;"."&amp;VLOOKUP(B281,'0. Instruções'!$C$27:$E$32,3,FALSE))</f>
        <v>BU_LOANTAPE_WORK.SIMUL_LT002_INSTRUMENT</v>
      </c>
      <c r="F281" s="34" t="s">
        <v>1332</v>
      </c>
      <c r="G281" s="34"/>
      <c r="H281" s="34"/>
      <c r="I281" s="34" t="str">
        <f>"(SELECT "&amp;VLOOKUP(B281,'0. Instruções'!$C$27:$G$32,4,FALSE)&amp;", "&amp;F281&amp;" FROM "&amp;D281&amp;" WHERE "&amp;'0. Instruções'!$D$42&amp;")X"</f>
        <v>(SELECT instrmnt_id, grss_cmmssn_expns_off_blnc FROM BU_LOANTAPE_WORK.LT002_INSTRUMENT WHERE ref_date='${ref_date}' AND nome_perimetro='Individual Local' AND segmento='ESTR' AND ambito='SRB_MBDT' AND entidade='00100')X</v>
      </c>
      <c r="J281" s="34" t="str">
        <f>"(SELECT "&amp;VLOOKUP(B281,'0. Instruções'!$C$27:$G$32,4,FALSE)&amp;" AS "&amp;VLOOKUP(B281,'0. Instruções'!$C$27:$G$32,4,FALSE)&amp;"_SIMUL, "&amp;F281&amp;" AS "&amp;F281&amp;"_SIMUL FROM "&amp;E281&amp;" WHERE "&amp;'0. Instruções'!$D$43&amp;")Y"</f>
        <v>(SELECT instrmnt_id AS instrmnt_id_SIMUL, grss_cmmssn_expns_off_blnc AS grss_cmmssn_expns_off_blnc_SIMUL FROM BU_LOANTAPE_WORK.SIMUL_LT002_INSTRUMENT WHERE ref_date='${ref_date}' AND nome_perimetro='Individual Local' AND segmento='ESTR' AND ambito='PILAR3' AND entidade='00100')Y</v>
      </c>
      <c r="K281" s="35" t="str">
        <f>+UPPER("ON X."&amp;VLOOKUP(B281,'0. Instruções'!$C$27:$G$32,4,FALSE)&amp;"=Y."&amp;VLOOKUP(B281,'0. Instruções'!$C$27:$G$32,4,FALSE)&amp;"_SIMUL")</f>
        <v>ON X.INSTRMNT_ID=Y.INSTRMNT_ID_SIMUL</v>
      </c>
      <c r="L281" s="35" t="str">
        <f>+IF(C281="Coerência", +IF(LEFT(G281,5)="FLOAT","SELECT '"&amp;UPPER(B281)&amp;"' AS TABELA, '"&amp;UPPER(C281)&amp;"' AS TIPOLOGIA_TESTE,'"&amp;D281&amp;"' AS TABELA_LT,'"&amp;E281&amp;"' AS TABELA_SIMUL,'"&amp;F281&amp;"' AS CAMPO, "&amp;"'${ref_date}' AS REF_DATE, COUNT(*) AS NUM_REG, SUM(IF((ABS(COALESCE(CAST(X."&amp;F281&amp;" AS DECIMAL(18,6)),0)-COALESCE(CAST(Y."&amp;F281&amp;"_SIMUL AS DECIMAL(18,6)),0))&gt;0.000001) OR (X."&amp;F281&amp;" IS NULL AND Y."&amp;F281&amp;"_SIMUL IS NOT NULL ) OR (X."&amp;F281&amp;" IS NOT NULL AND Y."&amp;F281&amp;"_SIMUL IS NULL),1,0)) AS NUM_REG_DIF,'"&amp;MAX('ID1&amp;5'!K:K)+1&amp;"' AS ID_EXEC, CURRENT_TIMESTAMP() AS TIME_EXEC FROM "&amp;I281&amp;" INNER JOIN "&amp;J281&amp;" "&amp;K281,"SELECT '"&amp;UPPER(B281)&amp;"' AS TABELA, '"&amp;UPPER(C281)&amp;"' AS TIPOLOGIA_TESTE,'"&amp;D281&amp;"' AS TABELA_LT,'"&amp;E281&amp;"' AS TABELA_SIMUL,'"&amp;F281&amp;"' AS CAMPO, "&amp;"'${ref_date}' AS REF_DATE, COUNT(*) AS NUM_REG, SUM(IF(COALESCE(CAST(X."&amp;F281&amp;" AS STRING),'')&lt;&gt;COALESCE(CAST(Y."&amp;F281&amp;"_SIMUL AS STRING),'') OR (X."&amp;F281&amp;" IS NULL AND Y."&amp;F281&amp;"_SIMUL IS NOT NULL ) OR (X."&amp;F281&amp;" IS NOT NULL AND Y."&amp;F281&amp;"_SIMUL IS NULL),1,0)) AS NUM_REG_DIF,'"&amp;MAX('ID1&amp;5'!L:L)+1&amp;"' AS ID_EXEC, CURRENT_TIMESTAMP() AS TIME_EXEC FROM "&amp;I281&amp;" INNER JOIN "&amp;J281&amp;" "&amp;K281),
IF(C281="Validade",+IF(G281="Code List","SELECT '"&amp;UPPER(B281)&amp;"' AS TABELA, '"&amp;UPPER(C281)&amp;"' AS TIPOLOGIA_TESTE,'"&amp;D281&amp;"' AS TABELA_LT,'N/A' AS TABELA_SIMUL,'"&amp;F281&amp;"' AS CAMPO, "&amp;"'${ref_date}' AS REF_DATE, COUNT(*) AS NUM_REG, SUM(IF(TRIM(CAST(X."&amp;F281&amp;" AS STRING))='' OR TRIM(CAST(X."&amp;F281&amp;" AS STRING)) IS NULL OR CAST(X."&amp;F281&amp;" AS STRING) NOT "&amp;H281&amp;",1,0)) AS NUM_REG_DIF,'"&amp;MAX('ID1&amp;5'!K:K)+1&amp;"' AS ID_EXEC, CURRENT_TIMESTAMP() AS TIME_EXEC FROM "&amp;I281,"SELECT '"&amp;UPPER(B281)&amp;"' AS TABELA, '"&amp;UPPER(C281)&amp;"' AS TIPOLOGIA_TESTE,'"&amp;D281&amp;"' AS TABELA_LT,'N/A' AS TABELA_SIMUL,'"&amp;F281&amp;"' AS CAMPO, "&amp;"'${ref_date}' AS REF_DATE, COUNT(*) AS NUM_REG, SUM(IF(TRIM(CAST(X."&amp;F281&amp;" AS STRING))='' OR TRIM(CAST(X."&amp;F281&amp;" AS STRING)) IS NULL,1,0)) AS NUM_REG_DIF,'"&amp;MAX('ID1&amp;5'!K:K)+1&amp;"' AS ID_EXEC, CURRENT_TIMESTAMP() AS TIME_EXEC FROM "&amp;I281),
IF(C281="Caracteres Especiais",+"SELECT '"&amp;UPPER(B281)&amp;"' AS TABELA, '"&amp;UPPER(C281)&amp;"' AS TIPOLOGIA_TESTE,'"&amp;D281&amp;"' AS TABELA_LT,'N/A' AS TABELA_SIMUL,'"&amp;F281&amp;"' AS CAMPO, "&amp;"'${ref_date}' AS REF_DATE, COUNT(*) AS NUM_REG, SUM(IF(REGEXP_REPLACE(TRIM(CAST(X."&amp;F281&amp;" AS STRING)),'[^a-zA-Z0-9_\\s]','') &lt;&gt;TRIM(CAST(X."&amp;F281&amp;" AS STRING)),1,0)) AS NUM_REG_DIF,'"&amp;MAX('ID1&amp;5'!K:K)+1&amp;"' AS ID_EXEC, CURRENT_TIMESTAMP() AS TIME_EXEC FROM "&amp;I281,
IF(C281="Missings",+"SELECT '"&amp;UPPER(B281)&amp;"' AS TABELA, '"&amp;UPPER(C281)&amp;"' AS TIPOLOGIA_TESTE,'"&amp;D281&amp;"' AS TABELA_LT,'N/A' AS TABELA_SIMUL,'"&amp;F281&amp;"' AS CAMPO, "&amp;"'${ref_date}' AS REF_DATE, COUNT(*) AS NUM_REG, SUM(IF(TRIM(CAST(X."&amp;F281&amp;" AS STRING)) IN ('0000-00-00','0001-01-01','9999-12-31','MISS','00000','99999999999','99999999999.00','99999999999.000000'),1,0)) AS NUM_REG_DIF,'"&amp;MAX('ID1&amp;5'!K:K)+1&amp;"' AS ID_EXEC, CURRENT_TIMESTAMP() AS TIME_EXEC FROM "&amp;I281,
IF(C281="Not applicable",+"SELECT '"&amp;UPPER(B281)&amp;"' AS TABELA, '"&amp;UPPER(C281)&amp;"' AS TIPOLOGIA_TESTE,'"&amp;D281&amp;"' AS TABELA_LT,'N/A' AS TABELA_SIMUL,'"&amp;F281&amp;"' AS CAMPO, "&amp;"'${ref_date}' AS REF_DATE, COUNT(*) AS NUM_REG, SUM(IF(TRIM(CAST(X."&amp;F281&amp;" AS STRING)) IN ('N/A','11111111111','11111111111.00','11111111111.000000','1111-11-11'),1,0)) AS NUM_REG_DIF,'"&amp;MAX('ID1&amp;5'!K:K)+1&amp;"' AS ID_EXEC, CURRENT_TIMESTAMP() AS TIME_EXEC FROM "&amp;I281,
IF(C281="Valores extremos",+"SELECT '"&amp;UPPER(B281)&amp;"' AS TABELA, '"&amp;UPPER(C281)&amp;"' AS TIPOLOGIA_TESTE,'"&amp;D281&amp;"' AS TABELA_LT,'N/A' AS TABELA_SIMUL,'"&amp;F281&amp;"' AS CAMPO, "&amp;"'${ref_date}' AS REF_DATE, CAST(MIN("&amp;F281&amp;") AS STRING) AS VALOR_MIN, CAST(MAX("&amp;F281&amp;") AS STRING) AS VALOR_MAX,'"&amp;MAX('ID1&amp;5'!K:K)+1&amp;"' AS ID_EXEC, CURRENT_TIMESTAMP() AS TIME_EXEC FROM "&amp;MID(I281,1,LEN(I281)-2)&amp;" AND CAST("&amp;F281&amp;"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TABELA_SIMUL,'grss_cmmssn_expns_off_blnc' AS CAMPO, '${ref_date}' AS REF_DATE, COUNT(*) AS NUM_REG, SUM(IF(COALESCE(CAST(X.grss_cmmssn_expns_off_blnc AS STRING),'')&lt;&gt;COALESCE(CAST(Y.grss_cmmssn_expns_off_blnc_SIMUL AS STRING),'') OR (X.grss_cmmssn_expns_off_blnc IS NULL AND Y.grss_cmmssn_expns_off_blnc_SIMUL IS NOT NULL ) OR (X.grss_cmmssn_expns_off_blnc IS NOT NULL AND Y.grss_cmmssn_expns_off_blnc_SIMUL IS NULL),1,0)) AS NUM_REG_DIF,'1' AS ID_EXEC, CURRENT_TIMESTAMP() AS TIME_EXEC FROM (SELECT instrmnt_id, grss_cmmssn_expns_off_blnc FROM BU_LOANTAPE_WORK.LT002_INSTRUMENT WHERE ref_date='${ref_date}' AND nome_perimetro='Individual Local' AND segmento='ESTR' AND ambito='SRB_MBDT' AND entidade='00100')X INNER JOIN (SELECT instrmnt_id AS instrmnt_id_SIMUL, grss_cmmssn_expns_off_blnc AS grss_cmmssn_expns_off_blnc_SIMUL FROM BU_LOANTAPE_WORK.SIMUL_LT002_INSTRUMENT WHERE ref_date='${ref_date}' AND nome_perimetro='Individual Local' AND segmento='ESTR' AND ambito='PILAR3' AND entidade='00100')Y ON X.INSTRMNT_ID=Y.INSTRMNT_ID_SIMUL</v>
      </c>
      <c r="M281" s="36" t="str">
        <f t="shared" si="7"/>
        <v>UNION ALL SELECT 'INSTRUMENT' AS TABELA, 'COERÊNCIA' AS TIPOLOGIA_TESTE,'BU_LOANTAPE_WORK.LT002_INSTRUMENT' AS TABELA_LT,'BU_LOANTAPE_WORK.SIMUL_LT002_INSTRUMENT' AS TABELA_SIMUL,'grss_cmmssn_expns_off_blnc' AS CAMPO, '${ref_date}' AS REF_DATE, COUNT(*) AS NUM_REG, SUM(IF(COALESCE(CAST(X.grss_cmmssn_expns_off_blnc AS STRING),'')&lt;&gt;COALESCE(CAST(Y.grss_cmmssn_expns_off_blnc_SIMUL AS STRING),'') OR (X.grss_cmmssn_expns_off_blnc IS NULL AND Y.grss_cmmssn_expns_off_blnc_SIMUL IS NOT NULL ) OR (X.grss_cmmssn_expns_off_blnc IS NOT NULL AND Y.grss_cmmssn_expns_off_blnc_SIMUL IS NULL),1,0)) AS NUM_REG_DIF,'1' AS ID_EXEC, CURRENT_TIMESTAMP() AS TIME_EXEC FROM (SELECT instrmnt_id, grss_cmmssn_expns_off_blnc FROM BU_LOANTAPE_WORK.LT002_INSTRUMENT WHERE ref_date='${ref_date}' AND nome_perimetro='Individual Local' AND segmento='ESTR' AND ambito='SRB_MBDT' AND entidade='00100')X INNER JOIN (SELECT instrmnt_id AS instrmnt_id_SIMUL, grss_cmmssn_expns_off_blnc AS grss_cmmssn_expns_off_blnc_SIMUL FROM BU_LOANTAPE_WORK.SIMUL_LT002_INSTRUMENT WHERE ref_date='${ref_date}' AND nome_perimetro='Individual Local' AND segmento='ESTR' AND ambito='PILAR3' AND entidade='00100')Y ON X.INSTRMNT_ID=Y.INSTRMNT_ID_SIMUL</v>
      </c>
      <c r="N281" s="38"/>
    </row>
    <row r="282" spans="2:14">
      <c r="B282" s="34" t="s">
        <v>117</v>
      </c>
      <c r="C282" s="34" t="s">
        <v>5</v>
      </c>
      <c r="D282" s="34" t="str">
        <f>+UPPER('0. Instruções'!$D$35&amp;"."&amp;VLOOKUP(B282,'0. Instruções'!$C$27:$D$32,2,FALSE))</f>
        <v>BU_LOANTAPE_WORK.LT002_INSTRUMENT</v>
      </c>
      <c r="E282" s="34" t="str">
        <f>+UPPER('0. Instruções'!$D$36&amp;"."&amp;VLOOKUP(B282,'0. Instruções'!$C$27:$E$32,3,FALSE))</f>
        <v>BU_LOANTAPE_WORK.SIMUL_LT002_INSTRUMENT</v>
      </c>
      <c r="F282" s="34" t="s">
        <v>1333</v>
      </c>
      <c r="G282" s="34"/>
      <c r="H282" s="34"/>
      <c r="I282" s="34" t="str">
        <f>"(SELECT "&amp;VLOOKUP(B282,'0. Instruções'!$C$27:$G$32,4,FALSE)&amp;", "&amp;F282&amp;" FROM "&amp;D282&amp;" WHERE "&amp;'0. Instruções'!$D$42&amp;")X"</f>
        <v>(SELECT instrmnt_id, rwa_off_blnc FROM BU_LOANTAPE_WORK.LT002_INSTRUMENT WHERE ref_date='${ref_date}' AND nome_perimetro='Individual Local' AND segmento='ESTR' AND ambito='SRB_MBDT' AND entidade='00100')X</v>
      </c>
      <c r="J282" s="34" t="str">
        <f>"(SELECT "&amp;VLOOKUP(B282,'0. Instruções'!$C$27:$G$32,4,FALSE)&amp;" AS "&amp;VLOOKUP(B282,'0. Instruções'!$C$27:$G$32,4,FALSE)&amp;"_SIMUL, "&amp;F282&amp;" AS "&amp;F282&amp;"_SIMUL FROM "&amp;E282&amp;" WHERE "&amp;'0. Instruções'!$D$43&amp;")Y"</f>
        <v>(SELECT instrmnt_id AS instrmnt_id_SIMUL, rwa_off_blnc AS rwa_off_blnc_SIMUL FROM BU_LOANTAPE_WORK.SIMUL_LT002_INSTRUMENT WHERE ref_date='${ref_date}' AND nome_perimetro='Individual Local' AND segmento='ESTR' AND ambito='PILAR3' AND entidade='00100')Y</v>
      </c>
      <c r="K282" s="35" t="str">
        <f>+UPPER("ON X."&amp;VLOOKUP(B282,'0. Instruções'!$C$27:$G$32,4,FALSE)&amp;"=Y."&amp;VLOOKUP(B282,'0. Instruções'!$C$27:$G$32,4,FALSE)&amp;"_SIMUL")</f>
        <v>ON X.INSTRMNT_ID=Y.INSTRMNT_ID_SIMUL</v>
      </c>
      <c r="L282" s="35" t="str">
        <f>+IF(C282="Coerência", +IF(LEFT(G282,5)="FLOAT","SELECT '"&amp;UPPER(B282)&amp;"' AS TABELA, '"&amp;UPPER(C282)&amp;"' AS TIPOLOGIA_TESTE,'"&amp;D282&amp;"' AS TABELA_LT,'"&amp;E282&amp;"' AS TABELA_SIMUL,'"&amp;F282&amp;"' AS CAMPO, "&amp;"'${ref_date}' AS REF_DATE, COUNT(*) AS NUM_REG, SUM(IF((ABS(COALESCE(CAST(X."&amp;F282&amp;" AS DECIMAL(18,6)),0)-COALESCE(CAST(Y."&amp;F282&amp;"_SIMUL AS DECIMAL(18,6)),0))&gt;0.000001) OR (X."&amp;F282&amp;" IS NULL AND Y."&amp;F282&amp;"_SIMUL IS NOT NULL ) OR (X."&amp;F282&amp;" IS NOT NULL AND Y."&amp;F282&amp;"_SIMUL IS NULL),1,0)) AS NUM_REG_DIF,'"&amp;MAX('ID1&amp;5'!K:K)+1&amp;"' AS ID_EXEC, CURRENT_TIMESTAMP() AS TIME_EXEC FROM "&amp;I282&amp;" INNER JOIN "&amp;J282&amp;" "&amp;K282,"SELECT '"&amp;UPPER(B282)&amp;"' AS TABELA, '"&amp;UPPER(C282)&amp;"' AS TIPOLOGIA_TESTE,'"&amp;D282&amp;"' AS TABELA_LT,'"&amp;E282&amp;"' AS TABELA_SIMUL,'"&amp;F282&amp;"' AS CAMPO, "&amp;"'${ref_date}' AS REF_DATE, COUNT(*) AS NUM_REG, SUM(IF(COALESCE(CAST(X."&amp;F282&amp;" AS STRING),'')&lt;&gt;COALESCE(CAST(Y."&amp;F282&amp;"_SIMUL AS STRING),'') OR (X."&amp;F282&amp;" IS NULL AND Y."&amp;F282&amp;"_SIMUL IS NOT NULL ) OR (X."&amp;F282&amp;" IS NOT NULL AND Y."&amp;F282&amp;"_SIMUL IS NULL),1,0)) AS NUM_REG_DIF,'"&amp;MAX('ID1&amp;5'!L:L)+1&amp;"' AS ID_EXEC, CURRENT_TIMESTAMP() AS TIME_EXEC FROM "&amp;I282&amp;" INNER JOIN "&amp;J282&amp;" "&amp;K282),
IF(C282="Validade",+IF(G282="Code List","SELECT '"&amp;UPPER(B282)&amp;"' AS TABELA, '"&amp;UPPER(C282)&amp;"' AS TIPOLOGIA_TESTE,'"&amp;D282&amp;"' AS TABELA_LT,'N/A' AS TABELA_SIMUL,'"&amp;F282&amp;"' AS CAMPO, "&amp;"'${ref_date}' AS REF_DATE, COUNT(*) AS NUM_REG, SUM(IF(TRIM(CAST(X."&amp;F282&amp;" AS STRING))='' OR TRIM(CAST(X."&amp;F282&amp;" AS STRING)) IS NULL OR CAST(X."&amp;F282&amp;" AS STRING) NOT "&amp;H282&amp;",1,0)) AS NUM_REG_DIF,'"&amp;MAX('ID1&amp;5'!K:K)+1&amp;"' AS ID_EXEC, CURRENT_TIMESTAMP() AS TIME_EXEC FROM "&amp;I282,"SELECT '"&amp;UPPER(B282)&amp;"' AS TABELA, '"&amp;UPPER(C282)&amp;"' AS TIPOLOGIA_TESTE,'"&amp;D282&amp;"' AS TABELA_LT,'N/A' AS TABELA_SIMUL,'"&amp;F282&amp;"' AS CAMPO, "&amp;"'${ref_date}' AS REF_DATE, COUNT(*) AS NUM_REG, SUM(IF(TRIM(CAST(X."&amp;F282&amp;" AS STRING))='' OR TRIM(CAST(X."&amp;F282&amp;" AS STRING)) IS NULL,1,0)) AS NUM_REG_DIF,'"&amp;MAX('ID1&amp;5'!K:K)+1&amp;"' AS ID_EXEC, CURRENT_TIMESTAMP() AS TIME_EXEC FROM "&amp;I282),
IF(C282="Caracteres Especiais",+"SELECT '"&amp;UPPER(B282)&amp;"' AS TABELA, '"&amp;UPPER(C282)&amp;"' AS TIPOLOGIA_TESTE,'"&amp;D282&amp;"' AS TABELA_LT,'N/A' AS TABELA_SIMUL,'"&amp;F282&amp;"' AS CAMPO, "&amp;"'${ref_date}' AS REF_DATE, COUNT(*) AS NUM_REG, SUM(IF(REGEXP_REPLACE(TRIM(CAST(X."&amp;F282&amp;" AS STRING)),'[^a-zA-Z0-9_\\s]','') &lt;&gt;TRIM(CAST(X."&amp;F282&amp;" AS STRING)),1,0)) AS NUM_REG_DIF,'"&amp;MAX('ID1&amp;5'!K:K)+1&amp;"' AS ID_EXEC, CURRENT_TIMESTAMP() AS TIME_EXEC FROM "&amp;I282,
IF(C282="Missings",+"SELECT '"&amp;UPPER(B282)&amp;"' AS TABELA, '"&amp;UPPER(C282)&amp;"' AS TIPOLOGIA_TESTE,'"&amp;D282&amp;"' AS TABELA_LT,'N/A' AS TABELA_SIMUL,'"&amp;F282&amp;"' AS CAMPO, "&amp;"'${ref_date}' AS REF_DATE, COUNT(*) AS NUM_REG, SUM(IF(TRIM(CAST(X."&amp;F282&amp;" AS STRING)) IN ('0000-00-00','0001-01-01','9999-12-31','MISS','00000','99999999999','99999999999.00','99999999999.000000'),1,0)) AS NUM_REG_DIF,'"&amp;MAX('ID1&amp;5'!K:K)+1&amp;"' AS ID_EXEC, CURRENT_TIMESTAMP() AS TIME_EXEC FROM "&amp;I282,
IF(C282="Not applicable",+"SELECT '"&amp;UPPER(B282)&amp;"' AS TABELA, '"&amp;UPPER(C282)&amp;"' AS TIPOLOGIA_TESTE,'"&amp;D282&amp;"' AS TABELA_LT,'N/A' AS TABELA_SIMUL,'"&amp;F282&amp;"' AS CAMPO, "&amp;"'${ref_date}' AS REF_DATE, COUNT(*) AS NUM_REG, SUM(IF(TRIM(CAST(X."&amp;F282&amp;" AS STRING)) IN ('N/A','11111111111','11111111111.00','11111111111.000000','1111-11-11'),1,0)) AS NUM_REG_DIF,'"&amp;MAX('ID1&amp;5'!K:K)+1&amp;"' AS ID_EXEC, CURRENT_TIMESTAMP() AS TIME_EXEC FROM "&amp;I282,
IF(C282="Valores extremos",+"SELECT '"&amp;UPPER(B282)&amp;"' AS TABELA, '"&amp;UPPER(C282)&amp;"' AS TIPOLOGIA_TESTE,'"&amp;D282&amp;"' AS TABELA_LT,'N/A' AS TABELA_SIMUL,'"&amp;F282&amp;"' AS CAMPO, "&amp;"'${ref_date}' AS REF_DATE, CAST(MIN("&amp;F282&amp;") AS STRING) AS VALOR_MIN, CAST(MAX("&amp;F282&amp;") AS STRING) AS VALOR_MAX,'"&amp;MAX('ID1&amp;5'!K:K)+1&amp;"' AS ID_EXEC, CURRENT_TIMESTAMP() AS TIME_EXEC FROM "&amp;MID(I282,1,LEN(I282)-2)&amp;" AND CAST("&amp;F282&amp;"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TABELA_SIMUL,'rwa_off_blnc' AS CAMPO, '${ref_date}' AS REF_DATE, COUNT(*) AS NUM_REG, SUM(IF(COALESCE(CAST(X.rwa_off_blnc AS STRING),'')&lt;&gt;COALESCE(CAST(Y.rwa_off_blnc_SIMUL AS STRING),'') OR (X.rwa_off_blnc IS NULL AND Y.rwa_off_blnc_SIMUL IS NOT NULL ) OR (X.rwa_off_blnc IS NOT NULL AND Y.rwa_off_blnc_SIMUL IS NULL),1,0)) AS NUM_REG_DIF,'1' AS ID_EXEC, CURRENT_TIMESTAMP() AS TIME_EXEC FROM (SELECT instrmnt_id, rwa_off_blnc FROM BU_LOANTAPE_WORK.LT002_INSTRUMENT WHERE ref_date='${ref_date}' AND nome_perimetro='Individual Local' AND segmento='ESTR' AND ambito='SRB_MBDT' AND entidade='00100')X INNER JOIN (SELECT instrmnt_id AS instrmnt_id_SIMUL, rwa_off_blnc AS rwa_off_blnc_SIMUL FROM BU_LOANTAPE_WORK.SIMUL_LT002_INSTRUMENT WHERE ref_date='${ref_date}' AND nome_perimetro='Individual Local' AND segmento='ESTR' AND ambito='PILAR3' AND entidade='00100')Y ON X.INSTRMNT_ID=Y.INSTRMNT_ID_SIMUL</v>
      </c>
      <c r="M282" s="36" t="str">
        <f t="shared" si="7"/>
        <v>UNION ALL SELECT 'INSTRUMENT' AS TABELA, 'COERÊNCIA' AS TIPOLOGIA_TESTE,'BU_LOANTAPE_WORK.LT002_INSTRUMENT' AS TABELA_LT,'BU_LOANTAPE_WORK.SIMUL_LT002_INSTRUMENT' AS TABELA_SIMUL,'rwa_off_blnc' AS CAMPO, '${ref_date}' AS REF_DATE, COUNT(*) AS NUM_REG, SUM(IF(COALESCE(CAST(X.rwa_off_blnc AS STRING),'')&lt;&gt;COALESCE(CAST(Y.rwa_off_blnc_SIMUL AS STRING),'') OR (X.rwa_off_blnc IS NULL AND Y.rwa_off_blnc_SIMUL IS NOT NULL ) OR (X.rwa_off_blnc IS NOT NULL AND Y.rwa_off_blnc_SIMUL IS NULL),1,0)) AS NUM_REG_DIF,'1' AS ID_EXEC, CURRENT_TIMESTAMP() AS TIME_EXEC FROM (SELECT instrmnt_id, rwa_off_blnc FROM BU_LOANTAPE_WORK.LT002_INSTRUMENT WHERE ref_date='${ref_date}' AND nome_perimetro='Individual Local' AND segmento='ESTR' AND ambito='SRB_MBDT' AND entidade='00100')X INNER JOIN (SELECT instrmnt_id AS instrmnt_id_SIMUL, rwa_off_blnc AS rwa_off_blnc_SIMUL FROM BU_LOANTAPE_WORK.SIMUL_LT002_INSTRUMENT WHERE ref_date='${ref_date}' AND nome_perimetro='Individual Local' AND segmento='ESTR' AND ambito='PILAR3' AND entidade='00100')Y ON X.INSTRMNT_ID=Y.INSTRMNT_ID_SIMUL</v>
      </c>
      <c r="N282" s="38"/>
    </row>
    <row r="283" spans="2:14">
      <c r="B283" s="34" t="s">
        <v>117</v>
      </c>
      <c r="C283" s="34" t="s">
        <v>5</v>
      </c>
      <c r="D283" s="34" t="str">
        <f>+UPPER('0. Instruções'!$D$35&amp;"."&amp;VLOOKUP(B283,'0. Instruções'!$C$27:$D$32,2,FALSE))</f>
        <v>BU_LOANTAPE_WORK.LT002_INSTRUMENT</v>
      </c>
      <c r="E283" s="34" t="str">
        <f>+UPPER('0. Instruções'!$D$36&amp;"."&amp;VLOOKUP(B283,'0. Instruções'!$C$27:$E$32,3,FALSE))</f>
        <v>BU_LOANTAPE_WORK.SIMUL_LT002_INSTRUMENT</v>
      </c>
      <c r="F283" s="34" t="s">
        <v>1334</v>
      </c>
      <c r="G283" s="34"/>
      <c r="H283" s="34"/>
      <c r="I283" s="34" t="str">
        <f>"(SELECT "&amp;VLOOKUP(B283,'0. Instruções'!$C$27:$G$32,4,FALSE)&amp;", "&amp;F283&amp;" FROM "&amp;D283&amp;" WHERE "&amp;'0. Instruções'!$D$42&amp;")X"</f>
        <v>(SELECT instrmnt_id, grss_intrst_expns FROM BU_LOANTAPE_WORK.LT002_INSTRUMENT WHERE ref_date='${ref_date}' AND nome_perimetro='Individual Local' AND segmento='ESTR' AND ambito='SRB_MBDT' AND entidade='00100')X</v>
      </c>
      <c r="J283" s="34" t="str">
        <f>"(SELECT "&amp;VLOOKUP(B283,'0. Instruções'!$C$27:$G$32,4,FALSE)&amp;" AS "&amp;VLOOKUP(B283,'0. Instruções'!$C$27:$G$32,4,FALSE)&amp;"_SIMUL, "&amp;F283&amp;" AS "&amp;F283&amp;"_SIMUL FROM "&amp;E283&amp;" WHERE "&amp;'0. Instruções'!$D$43&amp;")Y"</f>
        <v>(SELECT instrmnt_id AS instrmnt_id_SIMUL, grss_intrst_expns AS grss_intrst_expns_SIMUL FROM BU_LOANTAPE_WORK.SIMUL_LT002_INSTRUMENT WHERE ref_date='${ref_date}' AND nome_perimetro='Individual Local' AND segmento='ESTR' AND ambito='PILAR3' AND entidade='00100')Y</v>
      </c>
      <c r="K283" s="35" t="str">
        <f>+UPPER("ON X."&amp;VLOOKUP(B283,'0. Instruções'!$C$27:$G$32,4,FALSE)&amp;"=Y."&amp;VLOOKUP(B283,'0. Instruções'!$C$27:$G$32,4,FALSE)&amp;"_SIMUL")</f>
        <v>ON X.INSTRMNT_ID=Y.INSTRMNT_ID_SIMUL</v>
      </c>
      <c r="L283" s="35" t="str">
        <f>+IF(C283="Coerência", +IF(LEFT(G283,5)="FLOAT","SELECT '"&amp;UPPER(B283)&amp;"' AS TABELA, '"&amp;UPPER(C283)&amp;"' AS TIPOLOGIA_TESTE,'"&amp;D283&amp;"' AS TABELA_LT,'"&amp;E283&amp;"' AS TABELA_SIMUL,'"&amp;F283&amp;"' AS CAMPO, "&amp;"'${ref_date}' AS REF_DATE, COUNT(*) AS NUM_REG, SUM(IF((ABS(COALESCE(CAST(X."&amp;F283&amp;" AS DECIMAL(18,6)),0)-COALESCE(CAST(Y."&amp;F283&amp;"_SIMUL AS DECIMAL(18,6)),0))&gt;0.000001) OR (X."&amp;F283&amp;" IS NULL AND Y."&amp;F283&amp;"_SIMUL IS NOT NULL ) OR (X."&amp;F283&amp;" IS NOT NULL AND Y."&amp;F283&amp;"_SIMUL IS NULL),1,0)) AS NUM_REG_DIF,'"&amp;MAX('ID1&amp;5'!K:K)+1&amp;"' AS ID_EXEC, CURRENT_TIMESTAMP() AS TIME_EXEC FROM "&amp;I283&amp;" INNER JOIN "&amp;J283&amp;" "&amp;K283,"SELECT '"&amp;UPPER(B283)&amp;"' AS TABELA, '"&amp;UPPER(C283)&amp;"' AS TIPOLOGIA_TESTE,'"&amp;D283&amp;"' AS TABELA_LT,'"&amp;E283&amp;"' AS TABELA_SIMUL,'"&amp;F283&amp;"' AS CAMPO, "&amp;"'${ref_date}' AS REF_DATE, COUNT(*) AS NUM_REG, SUM(IF(COALESCE(CAST(X."&amp;F283&amp;" AS STRING),'')&lt;&gt;COALESCE(CAST(Y."&amp;F283&amp;"_SIMUL AS STRING),'') OR (X."&amp;F283&amp;" IS NULL AND Y."&amp;F283&amp;"_SIMUL IS NOT NULL ) OR (X."&amp;F283&amp;" IS NOT NULL AND Y."&amp;F283&amp;"_SIMUL IS NULL),1,0)) AS NUM_REG_DIF,'"&amp;MAX('ID1&amp;5'!L:L)+1&amp;"' AS ID_EXEC, CURRENT_TIMESTAMP() AS TIME_EXEC FROM "&amp;I283&amp;" INNER JOIN "&amp;J283&amp;" "&amp;K283),
IF(C283="Validade",+IF(G283="Code List","SELECT '"&amp;UPPER(B283)&amp;"' AS TABELA, '"&amp;UPPER(C283)&amp;"' AS TIPOLOGIA_TESTE,'"&amp;D283&amp;"' AS TABELA_LT,'N/A' AS TABELA_SIMUL,'"&amp;F283&amp;"' AS CAMPO, "&amp;"'${ref_date}' AS REF_DATE, COUNT(*) AS NUM_REG, SUM(IF(TRIM(CAST(X."&amp;F283&amp;" AS STRING))='' OR TRIM(CAST(X."&amp;F283&amp;" AS STRING)) IS NULL OR CAST(X."&amp;F283&amp;" AS STRING) NOT "&amp;H283&amp;",1,0)) AS NUM_REG_DIF,'"&amp;MAX('ID1&amp;5'!K:K)+1&amp;"' AS ID_EXEC, CURRENT_TIMESTAMP() AS TIME_EXEC FROM "&amp;I283,"SELECT '"&amp;UPPER(B283)&amp;"' AS TABELA, '"&amp;UPPER(C283)&amp;"' AS TIPOLOGIA_TESTE,'"&amp;D283&amp;"' AS TABELA_LT,'N/A' AS TABELA_SIMUL,'"&amp;F283&amp;"' AS CAMPO, "&amp;"'${ref_date}' AS REF_DATE, COUNT(*) AS NUM_REG, SUM(IF(TRIM(CAST(X."&amp;F283&amp;" AS STRING))='' OR TRIM(CAST(X."&amp;F283&amp;" AS STRING)) IS NULL,1,0)) AS NUM_REG_DIF,'"&amp;MAX('ID1&amp;5'!K:K)+1&amp;"' AS ID_EXEC, CURRENT_TIMESTAMP() AS TIME_EXEC FROM "&amp;I283),
IF(C283="Caracteres Especiais",+"SELECT '"&amp;UPPER(B283)&amp;"' AS TABELA, '"&amp;UPPER(C283)&amp;"' AS TIPOLOGIA_TESTE,'"&amp;D283&amp;"' AS TABELA_LT,'N/A' AS TABELA_SIMUL,'"&amp;F283&amp;"' AS CAMPO, "&amp;"'${ref_date}' AS REF_DATE, COUNT(*) AS NUM_REG, SUM(IF(REGEXP_REPLACE(TRIM(CAST(X."&amp;F283&amp;" AS STRING)),'[^a-zA-Z0-9_\\s]','') &lt;&gt;TRIM(CAST(X."&amp;F283&amp;" AS STRING)),1,0)) AS NUM_REG_DIF,'"&amp;MAX('ID1&amp;5'!K:K)+1&amp;"' AS ID_EXEC, CURRENT_TIMESTAMP() AS TIME_EXEC FROM "&amp;I283,
IF(C283="Missings",+"SELECT '"&amp;UPPER(B283)&amp;"' AS TABELA, '"&amp;UPPER(C283)&amp;"' AS TIPOLOGIA_TESTE,'"&amp;D283&amp;"' AS TABELA_LT,'N/A' AS TABELA_SIMUL,'"&amp;F283&amp;"' AS CAMPO, "&amp;"'${ref_date}' AS REF_DATE, COUNT(*) AS NUM_REG, SUM(IF(TRIM(CAST(X."&amp;F283&amp;" AS STRING)) IN ('0000-00-00','0001-01-01','9999-12-31','MISS','00000','99999999999','99999999999.00','99999999999.000000'),1,0)) AS NUM_REG_DIF,'"&amp;MAX('ID1&amp;5'!K:K)+1&amp;"' AS ID_EXEC, CURRENT_TIMESTAMP() AS TIME_EXEC FROM "&amp;I283,
IF(C283="Not applicable",+"SELECT '"&amp;UPPER(B283)&amp;"' AS TABELA, '"&amp;UPPER(C283)&amp;"' AS TIPOLOGIA_TESTE,'"&amp;D283&amp;"' AS TABELA_LT,'N/A' AS TABELA_SIMUL,'"&amp;F283&amp;"' AS CAMPO, "&amp;"'${ref_date}' AS REF_DATE, COUNT(*) AS NUM_REG, SUM(IF(TRIM(CAST(X."&amp;F283&amp;" AS STRING)) IN ('N/A','11111111111','11111111111.00','11111111111.000000','1111-11-11'),1,0)) AS NUM_REG_DIF,'"&amp;MAX('ID1&amp;5'!K:K)+1&amp;"' AS ID_EXEC, CURRENT_TIMESTAMP() AS TIME_EXEC FROM "&amp;I283,
IF(C283="Valores extremos",+"SELECT '"&amp;UPPER(B283)&amp;"' AS TABELA, '"&amp;UPPER(C283)&amp;"' AS TIPOLOGIA_TESTE,'"&amp;D283&amp;"' AS TABELA_LT,'N/A' AS TABELA_SIMUL,'"&amp;F283&amp;"' AS CAMPO, "&amp;"'${ref_date}' AS REF_DATE, CAST(MIN("&amp;F283&amp;") AS STRING) AS VALOR_MIN, CAST(MAX("&amp;F283&amp;") AS STRING) AS VALOR_MAX,'"&amp;MAX('ID1&amp;5'!K:K)+1&amp;"' AS ID_EXEC, CURRENT_TIMESTAMP() AS TIME_EXEC FROM "&amp;MID(I283,1,LEN(I283)-2)&amp;" AND CAST("&amp;F283&amp;"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TABELA_SIMUL,'grss_intrst_expns' AS CAMPO, '${ref_date}' AS REF_DATE, COUNT(*) AS NUM_REG, SUM(IF(COALESCE(CAST(X.grss_intrst_expns AS STRING),'')&lt;&gt;COALESCE(CAST(Y.grss_intrst_expns_SIMUL AS STRING),'') OR (X.grss_intrst_expns IS NULL AND Y.grss_intrst_expns_SIMUL IS NOT NULL ) OR (X.grss_intrst_expns IS NOT NULL AND Y.grss_intrst_expns_SIMUL IS NULL),1,0)) AS NUM_REG_DIF,'1' AS ID_EXEC, CURRENT_TIMESTAMP() AS TIME_EXEC FROM (SELECT instrmnt_id, grss_intrst_expns FROM BU_LOANTAPE_WORK.LT002_INSTRUMENT WHERE ref_date='${ref_date}' AND nome_perimetro='Individual Local' AND segmento='ESTR' AND ambito='SRB_MBDT' AND entidade='00100')X INNER JOIN (SELECT instrmnt_id AS instrmnt_id_SIMUL, grss_intrst_expns AS grss_intrst_expns_SIMUL FROM BU_LOANTAPE_WORK.SIMUL_LT002_INSTRUMENT WHERE ref_date='${ref_date}' AND nome_perimetro='Individual Local' AND segmento='ESTR' AND ambito='PILAR3' AND entidade='00100')Y ON X.INSTRMNT_ID=Y.INSTRMNT_ID_SIMUL</v>
      </c>
      <c r="M283" s="36" t="str">
        <f t="shared" si="7"/>
        <v>UNION ALL SELECT 'INSTRUMENT' AS TABELA, 'COERÊNCIA' AS TIPOLOGIA_TESTE,'BU_LOANTAPE_WORK.LT002_INSTRUMENT' AS TABELA_LT,'BU_LOANTAPE_WORK.SIMUL_LT002_INSTRUMENT' AS TABELA_SIMUL,'grss_intrst_expns' AS CAMPO, '${ref_date}' AS REF_DATE, COUNT(*) AS NUM_REG, SUM(IF(COALESCE(CAST(X.grss_intrst_expns AS STRING),'')&lt;&gt;COALESCE(CAST(Y.grss_intrst_expns_SIMUL AS STRING),'') OR (X.grss_intrst_expns IS NULL AND Y.grss_intrst_expns_SIMUL IS NOT NULL ) OR (X.grss_intrst_expns IS NOT NULL AND Y.grss_intrst_expns_SIMUL IS NULL),1,0)) AS NUM_REG_DIF,'1' AS ID_EXEC, CURRENT_TIMESTAMP() AS TIME_EXEC FROM (SELECT instrmnt_id, grss_intrst_expns FROM BU_LOANTAPE_WORK.LT002_INSTRUMENT WHERE ref_date='${ref_date}' AND nome_perimetro='Individual Local' AND segmento='ESTR' AND ambito='SRB_MBDT' AND entidade='00100')X INNER JOIN (SELECT instrmnt_id AS instrmnt_id_SIMUL, grss_intrst_expns AS grss_intrst_expns_SIMUL FROM BU_LOANTAPE_WORK.SIMUL_LT002_INSTRUMENT WHERE ref_date='${ref_date}' AND nome_perimetro='Individual Local' AND segmento='ESTR' AND ambito='PILAR3' AND entidade='00100')Y ON X.INSTRMNT_ID=Y.INSTRMNT_ID_SIMUL</v>
      </c>
      <c r="N283" s="38"/>
    </row>
    <row r="284" spans="2:14">
      <c r="B284" s="34" t="s">
        <v>117</v>
      </c>
      <c r="C284" s="34" t="s">
        <v>5</v>
      </c>
      <c r="D284" s="34" t="str">
        <f>+UPPER('0. Instruções'!$D$35&amp;"."&amp;VLOOKUP(B284,'0. Instruções'!$C$27:$D$32,2,FALSE))</f>
        <v>BU_LOANTAPE_WORK.LT002_INSTRUMENT</v>
      </c>
      <c r="E284" s="34" t="str">
        <f>+UPPER('0. Instruções'!$D$36&amp;"."&amp;VLOOKUP(B284,'0. Instruções'!$C$27:$E$32,3,FALSE))</f>
        <v>BU_LOANTAPE_WORK.SIMUL_LT002_INSTRUMENT</v>
      </c>
      <c r="F284" s="34" t="s">
        <v>1335</v>
      </c>
      <c r="G284" s="34"/>
      <c r="H284" s="34"/>
      <c r="I284" s="34" t="str">
        <f>"(SELECT "&amp;VLOOKUP(B284,'0. Instruções'!$C$27:$G$32,4,FALSE)&amp;", "&amp;F284&amp;" FROM "&amp;D284&amp;" WHERE "&amp;'0. Instruções'!$D$42&amp;")X"</f>
        <v>(SELECT instrmnt_id, nt_ln_lss_prvsn_off_blnc FROM BU_LOANTAPE_WORK.LT002_INSTRUMENT WHERE ref_date='${ref_date}' AND nome_perimetro='Individual Local' AND segmento='ESTR' AND ambito='SRB_MBDT' AND entidade='00100')X</v>
      </c>
      <c r="J284" s="34" t="str">
        <f>"(SELECT "&amp;VLOOKUP(B284,'0. Instruções'!$C$27:$G$32,4,FALSE)&amp;" AS "&amp;VLOOKUP(B284,'0. Instruções'!$C$27:$G$32,4,FALSE)&amp;"_SIMUL, "&amp;F284&amp;" AS "&amp;F284&amp;"_SIMUL FROM "&amp;E284&amp;" WHERE "&amp;'0. Instruções'!$D$43&amp;")Y"</f>
        <v>(SELECT instrmnt_id AS instrmnt_id_SIMUL, nt_ln_lss_prvsn_off_blnc AS nt_ln_lss_prvsn_off_blnc_SIMUL FROM BU_LOANTAPE_WORK.SIMUL_LT002_INSTRUMENT WHERE ref_date='${ref_date}' AND nome_perimetro='Individual Local' AND segmento='ESTR' AND ambito='PILAR3' AND entidade='00100')Y</v>
      </c>
      <c r="K284" s="35" t="str">
        <f>+UPPER("ON X."&amp;VLOOKUP(B284,'0. Instruções'!$C$27:$G$32,4,FALSE)&amp;"=Y."&amp;VLOOKUP(B284,'0. Instruções'!$C$27:$G$32,4,FALSE)&amp;"_SIMUL")</f>
        <v>ON X.INSTRMNT_ID=Y.INSTRMNT_ID_SIMUL</v>
      </c>
      <c r="L284" s="35" t="str">
        <f>+IF(C284="Coerência", +IF(LEFT(G284,5)="FLOAT","SELECT '"&amp;UPPER(B284)&amp;"' AS TABELA, '"&amp;UPPER(C284)&amp;"' AS TIPOLOGIA_TESTE,'"&amp;D284&amp;"' AS TABELA_LT,'"&amp;E284&amp;"' AS TABELA_SIMUL,'"&amp;F284&amp;"' AS CAMPO, "&amp;"'${ref_date}' AS REF_DATE, COUNT(*) AS NUM_REG, SUM(IF((ABS(COALESCE(CAST(X."&amp;F284&amp;" AS DECIMAL(18,6)),0)-COALESCE(CAST(Y."&amp;F284&amp;"_SIMUL AS DECIMAL(18,6)),0))&gt;0.000001) OR (X."&amp;F284&amp;" IS NULL AND Y."&amp;F284&amp;"_SIMUL IS NOT NULL ) OR (X."&amp;F284&amp;" IS NOT NULL AND Y."&amp;F284&amp;"_SIMUL IS NULL),1,0)) AS NUM_REG_DIF,'"&amp;MAX('ID1&amp;5'!K:K)+1&amp;"' AS ID_EXEC, CURRENT_TIMESTAMP() AS TIME_EXEC FROM "&amp;I284&amp;" INNER JOIN "&amp;J284&amp;" "&amp;K284,"SELECT '"&amp;UPPER(B284)&amp;"' AS TABELA, '"&amp;UPPER(C284)&amp;"' AS TIPOLOGIA_TESTE,'"&amp;D284&amp;"' AS TABELA_LT,'"&amp;E284&amp;"' AS TABELA_SIMUL,'"&amp;F284&amp;"' AS CAMPO, "&amp;"'${ref_date}' AS REF_DATE, COUNT(*) AS NUM_REG, SUM(IF(COALESCE(CAST(X."&amp;F284&amp;" AS STRING),'')&lt;&gt;COALESCE(CAST(Y."&amp;F284&amp;"_SIMUL AS STRING),'') OR (X."&amp;F284&amp;" IS NULL AND Y."&amp;F284&amp;"_SIMUL IS NOT NULL ) OR (X."&amp;F284&amp;" IS NOT NULL AND Y."&amp;F284&amp;"_SIMUL IS NULL),1,0)) AS NUM_REG_DIF,'"&amp;MAX('ID1&amp;5'!L:L)+1&amp;"' AS ID_EXEC, CURRENT_TIMESTAMP() AS TIME_EXEC FROM "&amp;I284&amp;" INNER JOIN "&amp;J284&amp;" "&amp;K284),
IF(C284="Validade",+IF(G284="Code List","SELECT '"&amp;UPPER(B284)&amp;"' AS TABELA, '"&amp;UPPER(C284)&amp;"' AS TIPOLOGIA_TESTE,'"&amp;D284&amp;"' AS TABELA_LT,'N/A' AS TABELA_SIMUL,'"&amp;F284&amp;"' AS CAMPO, "&amp;"'${ref_date}' AS REF_DATE, COUNT(*) AS NUM_REG, SUM(IF(TRIM(CAST(X."&amp;F284&amp;" AS STRING))='' OR TRIM(CAST(X."&amp;F284&amp;" AS STRING)) IS NULL OR CAST(X."&amp;F284&amp;" AS STRING) NOT "&amp;H284&amp;",1,0)) AS NUM_REG_DIF,'"&amp;MAX('ID1&amp;5'!K:K)+1&amp;"' AS ID_EXEC, CURRENT_TIMESTAMP() AS TIME_EXEC FROM "&amp;I284,"SELECT '"&amp;UPPER(B284)&amp;"' AS TABELA, '"&amp;UPPER(C284)&amp;"' AS TIPOLOGIA_TESTE,'"&amp;D284&amp;"' AS TABELA_LT,'N/A' AS TABELA_SIMUL,'"&amp;F284&amp;"' AS CAMPO, "&amp;"'${ref_date}' AS REF_DATE, COUNT(*) AS NUM_REG, SUM(IF(TRIM(CAST(X."&amp;F284&amp;" AS STRING))='' OR TRIM(CAST(X."&amp;F284&amp;" AS STRING)) IS NULL,1,0)) AS NUM_REG_DIF,'"&amp;MAX('ID1&amp;5'!K:K)+1&amp;"' AS ID_EXEC, CURRENT_TIMESTAMP() AS TIME_EXEC FROM "&amp;I284),
IF(C284="Caracteres Especiais",+"SELECT '"&amp;UPPER(B284)&amp;"' AS TABELA, '"&amp;UPPER(C284)&amp;"' AS TIPOLOGIA_TESTE,'"&amp;D284&amp;"' AS TABELA_LT,'N/A' AS TABELA_SIMUL,'"&amp;F284&amp;"' AS CAMPO, "&amp;"'${ref_date}' AS REF_DATE, COUNT(*) AS NUM_REG, SUM(IF(REGEXP_REPLACE(TRIM(CAST(X."&amp;F284&amp;" AS STRING)),'[^a-zA-Z0-9_\\s]','') &lt;&gt;TRIM(CAST(X."&amp;F284&amp;" AS STRING)),1,0)) AS NUM_REG_DIF,'"&amp;MAX('ID1&amp;5'!K:K)+1&amp;"' AS ID_EXEC, CURRENT_TIMESTAMP() AS TIME_EXEC FROM "&amp;I284,
IF(C284="Missings",+"SELECT '"&amp;UPPER(B284)&amp;"' AS TABELA, '"&amp;UPPER(C284)&amp;"' AS TIPOLOGIA_TESTE,'"&amp;D284&amp;"' AS TABELA_LT,'N/A' AS TABELA_SIMUL,'"&amp;F284&amp;"' AS CAMPO, "&amp;"'${ref_date}' AS REF_DATE, COUNT(*) AS NUM_REG, SUM(IF(TRIM(CAST(X."&amp;F284&amp;" AS STRING)) IN ('0000-00-00','0001-01-01','9999-12-31','MISS','00000','99999999999','99999999999.00','99999999999.000000'),1,0)) AS NUM_REG_DIF,'"&amp;MAX('ID1&amp;5'!K:K)+1&amp;"' AS ID_EXEC, CURRENT_TIMESTAMP() AS TIME_EXEC FROM "&amp;I284,
IF(C284="Not applicable",+"SELECT '"&amp;UPPER(B284)&amp;"' AS TABELA, '"&amp;UPPER(C284)&amp;"' AS TIPOLOGIA_TESTE,'"&amp;D284&amp;"' AS TABELA_LT,'N/A' AS TABELA_SIMUL,'"&amp;F284&amp;"' AS CAMPO, "&amp;"'${ref_date}' AS REF_DATE, COUNT(*) AS NUM_REG, SUM(IF(TRIM(CAST(X."&amp;F284&amp;" AS STRING)) IN ('N/A','11111111111','11111111111.00','11111111111.000000','1111-11-11'),1,0)) AS NUM_REG_DIF,'"&amp;MAX('ID1&amp;5'!K:K)+1&amp;"' AS ID_EXEC, CURRENT_TIMESTAMP() AS TIME_EXEC FROM "&amp;I284,
IF(C284="Valores extremos",+"SELECT '"&amp;UPPER(B284)&amp;"' AS TABELA, '"&amp;UPPER(C284)&amp;"' AS TIPOLOGIA_TESTE,'"&amp;D284&amp;"' AS TABELA_LT,'N/A' AS TABELA_SIMUL,'"&amp;F284&amp;"' AS CAMPO, "&amp;"'${ref_date}' AS REF_DATE, CAST(MIN("&amp;F284&amp;") AS STRING) AS VALOR_MIN, CAST(MAX("&amp;F284&amp;") AS STRING) AS VALOR_MAX,'"&amp;MAX('ID1&amp;5'!K:K)+1&amp;"' AS ID_EXEC, CURRENT_TIMESTAMP() AS TIME_EXEC FROM "&amp;MID(I284,1,LEN(I284)-2)&amp;" AND CAST("&amp;F284&amp;"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TABELA_SIMUL,'nt_ln_lss_prvsn_off_blnc' AS CAMPO, '${ref_date}' AS REF_DATE, COUNT(*) AS NUM_REG, SUM(IF(COALESCE(CAST(X.nt_ln_lss_prvsn_off_blnc AS STRING),'')&lt;&gt;COALESCE(CAST(Y.nt_ln_lss_prvsn_off_blnc_SIMUL AS STRING),'') OR (X.nt_ln_lss_prvsn_off_blnc IS NULL AND Y.nt_ln_lss_prvsn_off_blnc_SIMUL IS NOT NULL ) OR (X.nt_ln_lss_prvsn_off_blnc IS NOT NULL AND Y.nt_ln_lss_prvsn_off_blnc_SIMUL IS NULL),1,0)) AS NUM_REG_DIF,'1' AS ID_EXEC, CURRENT_TIMESTAMP() AS TIME_EXEC FROM (SELECT instrmnt_id, nt_ln_lss_prvsn_off_blnc FROM BU_LOANTAPE_WORK.LT002_INSTRUMENT WHERE ref_date='${ref_date}' AND nome_perimetro='Individual Local' AND segmento='ESTR' AND ambito='SRB_MBDT' AND entidade='00100')X INNER JOIN (SELECT instrmnt_id AS instrmnt_id_SIMUL, nt_ln_lss_prvsn_off_blnc AS nt_ln_lss_prvsn_off_blnc_SIMUL FROM BU_LOANTAPE_WORK.SIMUL_LT002_INSTRUMENT WHERE ref_date='${ref_date}' AND nome_perimetro='Individual Local' AND segmento='ESTR' AND ambito='PILAR3' AND entidade='00100')Y ON X.INSTRMNT_ID=Y.INSTRMNT_ID_SIMUL</v>
      </c>
      <c r="M284" s="36" t="str">
        <f t="shared" si="7"/>
        <v>UNION ALL SELECT 'INSTRUMENT' AS TABELA, 'COERÊNCIA' AS TIPOLOGIA_TESTE,'BU_LOANTAPE_WORK.LT002_INSTRUMENT' AS TABELA_LT,'BU_LOANTAPE_WORK.SIMUL_LT002_INSTRUMENT' AS TABELA_SIMUL,'nt_ln_lss_prvsn_off_blnc' AS CAMPO, '${ref_date}' AS REF_DATE, COUNT(*) AS NUM_REG, SUM(IF(COALESCE(CAST(X.nt_ln_lss_prvsn_off_blnc AS STRING),'')&lt;&gt;COALESCE(CAST(Y.nt_ln_lss_prvsn_off_blnc_SIMUL AS STRING),'') OR (X.nt_ln_lss_prvsn_off_blnc IS NULL AND Y.nt_ln_lss_prvsn_off_blnc_SIMUL IS NOT NULL ) OR (X.nt_ln_lss_prvsn_off_blnc IS NOT NULL AND Y.nt_ln_lss_prvsn_off_blnc_SIMUL IS NULL),1,0)) AS NUM_REG_DIF,'1' AS ID_EXEC, CURRENT_TIMESTAMP() AS TIME_EXEC FROM (SELECT instrmnt_id, nt_ln_lss_prvsn_off_blnc FROM BU_LOANTAPE_WORK.LT002_INSTRUMENT WHERE ref_date='${ref_date}' AND nome_perimetro='Individual Local' AND segmento='ESTR' AND ambito='SRB_MBDT' AND entidade='00100')X INNER JOIN (SELECT instrmnt_id AS instrmnt_id_SIMUL, nt_ln_lss_prvsn_off_blnc AS nt_ln_lss_prvsn_off_blnc_SIMUL FROM BU_LOANTAPE_WORK.SIMUL_LT002_INSTRUMENT WHERE ref_date='${ref_date}' AND nome_perimetro='Individual Local' AND segmento='ESTR' AND ambito='PILAR3' AND entidade='00100')Y ON X.INSTRMNT_ID=Y.INSTRMNT_ID_SIMUL</v>
      </c>
      <c r="N284" s="38"/>
    </row>
    <row r="285" spans="2:14">
      <c r="B285" s="34" t="s">
        <v>117</v>
      </c>
      <c r="C285" s="34" t="s">
        <v>5</v>
      </c>
      <c r="D285" s="34" t="str">
        <f>+UPPER('0. Instruções'!$D$35&amp;"."&amp;VLOOKUP(B285,'0. Instruções'!$C$27:$D$32,2,FALSE))</f>
        <v>BU_LOANTAPE_WORK.LT002_INSTRUMENT</v>
      </c>
      <c r="E285" s="34" t="str">
        <f>+UPPER('0. Instruções'!$D$36&amp;"."&amp;VLOOKUP(B285,'0. Instruções'!$C$27:$E$32,3,FALSE))</f>
        <v>BU_LOANTAPE_WORK.SIMUL_LT002_INSTRUMENT</v>
      </c>
      <c r="F285" s="34" t="s">
        <v>1336</v>
      </c>
      <c r="G285" s="34"/>
      <c r="H285" s="34"/>
      <c r="I285" s="34" t="str">
        <f>"(SELECT "&amp;VLOOKUP(B285,'0. Instruções'!$C$27:$G$32,4,FALSE)&amp;", "&amp;F285&amp;" FROM "&amp;D285&amp;" WHERE "&amp;'0. Instruções'!$D$42&amp;")X"</f>
        <v>(SELECT instrmnt_id, grss_intrst_incm_ccrr FROM BU_LOANTAPE_WORK.LT002_INSTRUMENT WHERE ref_date='${ref_date}' AND nome_perimetro='Individual Local' AND segmento='ESTR' AND ambito='SRB_MBDT' AND entidade='00100')X</v>
      </c>
      <c r="J285" s="34" t="str">
        <f>"(SELECT "&amp;VLOOKUP(B285,'0. Instruções'!$C$27:$G$32,4,FALSE)&amp;" AS "&amp;VLOOKUP(B285,'0. Instruções'!$C$27:$G$32,4,FALSE)&amp;"_SIMUL, "&amp;F285&amp;" AS "&amp;F285&amp;"_SIMUL FROM "&amp;E285&amp;" WHERE "&amp;'0. Instruções'!$D$43&amp;")Y"</f>
        <v>(SELECT instrmnt_id AS instrmnt_id_SIMUL, grss_intrst_incm_ccrr AS grss_intrst_incm_ccrr_SIMUL FROM BU_LOANTAPE_WORK.SIMUL_LT002_INSTRUMENT WHERE ref_date='${ref_date}' AND nome_perimetro='Individual Local' AND segmento='ESTR' AND ambito='PILAR3' AND entidade='00100')Y</v>
      </c>
      <c r="K285" s="35" t="str">
        <f>+UPPER("ON X."&amp;VLOOKUP(B285,'0. Instruções'!$C$27:$G$32,4,FALSE)&amp;"=Y."&amp;VLOOKUP(B285,'0. Instruções'!$C$27:$G$32,4,FALSE)&amp;"_SIMUL")</f>
        <v>ON X.INSTRMNT_ID=Y.INSTRMNT_ID_SIMUL</v>
      </c>
      <c r="L285" s="35" t="str">
        <f>+IF(C285="Coerência", +IF(LEFT(G285,5)="FLOAT","SELECT '"&amp;UPPER(B285)&amp;"' AS TABELA, '"&amp;UPPER(C285)&amp;"' AS TIPOLOGIA_TESTE,'"&amp;D285&amp;"' AS TABELA_LT,'"&amp;E285&amp;"' AS TABELA_SIMUL,'"&amp;F285&amp;"' AS CAMPO, "&amp;"'${ref_date}' AS REF_DATE, COUNT(*) AS NUM_REG, SUM(IF((ABS(COALESCE(CAST(X."&amp;F285&amp;" AS DECIMAL(18,6)),0)-COALESCE(CAST(Y."&amp;F285&amp;"_SIMUL AS DECIMAL(18,6)),0))&gt;0.000001) OR (X."&amp;F285&amp;" IS NULL AND Y."&amp;F285&amp;"_SIMUL IS NOT NULL ) OR (X."&amp;F285&amp;" IS NOT NULL AND Y."&amp;F285&amp;"_SIMUL IS NULL),1,0)) AS NUM_REG_DIF,'"&amp;MAX('ID1&amp;5'!K:K)+1&amp;"' AS ID_EXEC, CURRENT_TIMESTAMP() AS TIME_EXEC FROM "&amp;I285&amp;" INNER JOIN "&amp;J285&amp;" "&amp;K285,"SELECT '"&amp;UPPER(B285)&amp;"' AS TABELA, '"&amp;UPPER(C285)&amp;"' AS TIPOLOGIA_TESTE,'"&amp;D285&amp;"' AS TABELA_LT,'"&amp;E285&amp;"' AS TABELA_SIMUL,'"&amp;F285&amp;"' AS CAMPO, "&amp;"'${ref_date}' AS REF_DATE, COUNT(*) AS NUM_REG, SUM(IF(COALESCE(CAST(X."&amp;F285&amp;" AS STRING),'')&lt;&gt;COALESCE(CAST(Y."&amp;F285&amp;"_SIMUL AS STRING),'') OR (X."&amp;F285&amp;" IS NULL AND Y."&amp;F285&amp;"_SIMUL IS NOT NULL ) OR (X."&amp;F285&amp;" IS NOT NULL AND Y."&amp;F285&amp;"_SIMUL IS NULL),1,0)) AS NUM_REG_DIF,'"&amp;MAX('ID1&amp;5'!L:L)+1&amp;"' AS ID_EXEC, CURRENT_TIMESTAMP() AS TIME_EXEC FROM "&amp;I285&amp;" INNER JOIN "&amp;J285&amp;" "&amp;K285),
IF(C285="Validade",+IF(G285="Code List","SELECT '"&amp;UPPER(B285)&amp;"' AS TABELA, '"&amp;UPPER(C285)&amp;"' AS TIPOLOGIA_TESTE,'"&amp;D285&amp;"' AS TABELA_LT,'N/A' AS TABELA_SIMUL,'"&amp;F285&amp;"' AS CAMPO, "&amp;"'${ref_date}' AS REF_DATE, COUNT(*) AS NUM_REG, SUM(IF(TRIM(CAST(X."&amp;F285&amp;" AS STRING))='' OR TRIM(CAST(X."&amp;F285&amp;" AS STRING)) IS NULL OR CAST(X."&amp;F285&amp;" AS STRING) NOT "&amp;H285&amp;",1,0)) AS NUM_REG_DIF,'"&amp;MAX('ID1&amp;5'!K:K)+1&amp;"' AS ID_EXEC, CURRENT_TIMESTAMP() AS TIME_EXEC FROM "&amp;I285,"SELECT '"&amp;UPPER(B285)&amp;"' AS TABELA, '"&amp;UPPER(C285)&amp;"' AS TIPOLOGIA_TESTE,'"&amp;D285&amp;"' AS TABELA_LT,'N/A' AS TABELA_SIMUL,'"&amp;F285&amp;"' AS CAMPO, "&amp;"'${ref_date}' AS REF_DATE, COUNT(*) AS NUM_REG, SUM(IF(TRIM(CAST(X."&amp;F285&amp;" AS STRING))='' OR TRIM(CAST(X."&amp;F285&amp;" AS STRING)) IS NULL,1,0)) AS NUM_REG_DIF,'"&amp;MAX('ID1&amp;5'!K:K)+1&amp;"' AS ID_EXEC, CURRENT_TIMESTAMP() AS TIME_EXEC FROM "&amp;I285),
IF(C285="Caracteres Especiais",+"SELECT '"&amp;UPPER(B285)&amp;"' AS TABELA, '"&amp;UPPER(C285)&amp;"' AS TIPOLOGIA_TESTE,'"&amp;D285&amp;"' AS TABELA_LT,'N/A' AS TABELA_SIMUL,'"&amp;F285&amp;"' AS CAMPO, "&amp;"'${ref_date}' AS REF_DATE, COUNT(*) AS NUM_REG, SUM(IF(REGEXP_REPLACE(TRIM(CAST(X."&amp;F285&amp;" AS STRING)),'[^a-zA-Z0-9_\\s]','') &lt;&gt;TRIM(CAST(X."&amp;F285&amp;" AS STRING)),1,0)) AS NUM_REG_DIF,'"&amp;MAX('ID1&amp;5'!K:K)+1&amp;"' AS ID_EXEC, CURRENT_TIMESTAMP() AS TIME_EXEC FROM "&amp;I285,
IF(C285="Missings",+"SELECT '"&amp;UPPER(B285)&amp;"' AS TABELA, '"&amp;UPPER(C285)&amp;"' AS TIPOLOGIA_TESTE,'"&amp;D285&amp;"' AS TABELA_LT,'N/A' AS TABELA_SIMUL,'"&amp;F285&amp;"' AS CAMPO, "&amp;"'${ref_date}' AS REF_DATE, COUNT(*) AS NUM_REG, SUM(IF(TRIM(CAST(X."&amp;F285&amp;" AS STRING)) IN ('0000-00-00','0001-01-01','9999-12-31','MISS','00000','99999999999','99999999999.00','99999999999.000000'),1,0)) AS NUM_REG_DIF,'"&amp;MAX('ID1&amp;5'!K:K)+1&amp;"' AS ID_EXEC, CURRENT_TIMESTAMP() AS TIME_EXEC FROM "&amp;I285,
IF(C285="Not applicable",+"SELECT '"&amp;UPPER(B285)&amp;"' AS TABELA, '"&amp;UPPER(C285)&amp;"' AS TIPOLOGIA_TESTE,'"&amp;D285&amp;"' AS TABELA_LT,'N/A' AS TABELA_SIMUL,'"&amp;F285&amp;"' AS CAMPO, "&amp;"'${ref_date}' AS REF_DATE, COUNT(*) AS NUM_REG, SUM(IF(TRIM(CAST(X."&amp;F285&amp;" AS STRING)) IN ('N/A','11111111111','11111111111.00','11111111111.000000','1111-11-11'),1,0)) AS NUM_REG_DIF,'"&amp;MAX('ID1&amp;5'!K:K)+1&amp;"' AS ID_EXEC, CURRENT_TIMESTAMP() AS TIME_EXEC FROM "&amp;I285,
IF(C285="Valores extremos",+"SELECT '"&amp;UPPER(B285)&amp;"' AS TABELA, '"&amp;UPPER(C285)&amp;"' AS TIPOLOGIA_TESTE,'"&amp;D285&amp;"' AS TABELA_LT,'N/A' AS TABELA_SIMUL,'"&amp;F285&amp;"' AS CAMPO, "&amp;"'${ref_date}' AS REF_DATE, CAST(MIN("&amp;F285&amp;") AS STRING) AS VALOR_MIN, CAST(MAX("&amp;F285&amp;") AS STRING) AS VALOR_MAX,'"&amp;MAX('ID1&amp;5'!K:K)+1&amp;"' AS ID_EXEC, CURRENT_TIMESTAMP() AS TIME_EXEC FROM "&amp;MID(I285,1,LEN(I285)-2)&amp;" AND CAST("&amp;F285&amp;"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TABELA_SIMUL,'grss_intrst_incm_ccrr' AS CAMPO, '${ref_date}' AS REF_DATE, COUNT(*) AS NUM_REG, SUM(IF(COALESCE(CAST(X.grss_intrst_incm_ccrr AS STRING),'')&lt;&gt;COALESCE(CAST(Y.grss_intrst_incm_ccrr_SIMUL AS STRING),'') OR (X.grss_intrst_incm_ccrr IS NULL AND Y.grss_intrst_incm_ccrr_SIMUL IS NOT NULL ) OR (X.grss_intrst_incm_ccrr IS NOT NULL AND Y.grss_intrst_incm_ccrr_SIMUL IS NULL),1,0)) AS NUM_REG_DIF,'1' AS ID_EXEC, CURRENT_TIMESTAMP() AS TIME_EXEC FROM (SELECT instrmnt_id, grss_intrst_incm_ccrr FROM BU_LOANTAPE_WORK.LT002_INSTRUMENT WHERE ref_date='${ref_date}' AND nome_perimetro='Individual Local' AND segmento='ESTR' AND ambito='SRB_MBDT' AND entidade='00100')X INNER JOIN (SELECT instrmnt_id AS instrmnt_id_SIMUL, grss_intrst_incm_ccrr AS grss_intrst_incm_ccrr_SIMUL FROM BU_LOANTAPE_WORK.SIMUL_LT002_INSTRUMENT WHERE ref_date='${ref_date}' AND nome_perimetro='Individual Local' AND segmento='ESTR' AND ambito='PILAR3' AND entidade='00100')Y ON X.INSTRMNT_ID=Y.INSTRMNT_ID_SIMUL</v>
      </c>
      <c r="M285" s="36" t="str">
        <f t="shared" si="7"/>
        <v>UNION ALL SELECT 'INSTRUMENT' AS TABELA, 'COERÊNCIA' AS TIPOLOGIA_TESTE,'BU_LOANTAPE_WORK.LT002_INSTRUMENT' AS TABELA_LT,'BU_LOANTAPE_WORK.SIMUL_LT002_INSTRUMENT' AS TABELA_SIMUL,'grss_intrst_incm_ccrr' AS CAMPO, '${ref_date}' AS REF_DATE, COUNT(*) AS NUM_REG, SUM(IF(COALESCE(CAST(X.grss_intrst_incm_ccrr AS STRING),'')&lt;&gt;COALESCE(CAST(Y.grss_intrst_incm_ccrr_SIMUL AS STRING),'') OR (X.grss_intrst_incm_ccrr IS NULL AND Y.grss_intrst_incm_ccrr_SIMUL IS NOT NULL ) OR (X.grss_intrst_incm_ccrr IS NOT NULL AND Y.grss_intrst_incm_ccrr_SIMUL IS NULL),1,0)) AS NUM_REG_DIF,'1' AS ID_EXEC, CURRENT_TIMESTAMP() AS TIME_EXEC FROM (SELECT instrmnt_id, grss_intrst_incm_ccrr FROM BU_LOANTAPE_WORK.LT002_INSTRUMENT WHERE ref_date='${ref_date}' AND nome_perimetro='Individual Local' AND segmento='ESTR' AND ambito='SRB_MBDT' AND entidade='00100')X INNER JOIN (SELECT instrmnt_id AS instrmnt_id_SIMUL, grss_intrst_incm_ccrr AS grss_intrst_incm_ccrr_SIMUL FROM BU_LOANTAPE_WORK.SIMUL_LT002_INSTRUMENT WHERE ref_date='${ref_date}' AND nome_perimetro='Individual Local' AND segmento='ESTR' AND ambito='PILAR3' AND entidade='00100')Y ON X.INSTRMNT_ID=Y.INSTRMNT_ID_SIMUL</v>
      </c>
      <c r="N285" s="38"/>
    </row>
    <row r="286" spans="2:14">
      <c r="B286" s="34" t="s">
        <v>117</v>
      </c>
      <c r="C286" s="34" t="s">
        <v>5</v>
      </c>
      <c r="D286" s="34" t="str">
        <f>+UPPER('0. Instruções'!$D$35&amp;"."&amp;VLOOKUP(B286,'0. Instruções'!$C$27:$D$32,2,FALSE))</f>
        <v>BU_LOANTAPE_WORK.LT002_INSTRUMENT</v>
      </c>
      <c r="E286" s="34" t="str">
        <f>+UPPER('0. Instruções'!$D$36&amp;"."&amp;VLOOKUP(B286,'0. Instruções'!$C$27:$E$32,3,FALSE))</f>
        <v>BU_LOANTAPE_WORK.SIMUL_LT002_INSTRUMENT</v>
      </c>
      <c r="F286" s="34" t="s">
        <v>1337</v>
      </c>
      <c r="G286" s="34"/>
      <c r="H286" s="34"/>
      <c r="I286" s="34" t="str">
        <f>"(SELECT "&amp;VLOOKUP(B286,'0. Instruções'!$C$27:$G$32,4,FALSE)&amp;", "&amp;F286&amp;" FROM "&amp;D286&amp;" WHERE "&amp;'0. Instruções'!$D$42&amp;")X"</f>
        <v>(SELECT instrmnt_id, grss_intrst_expns_ccrr FROM BU_LOANTAPE_WORK.LT002_INSTRUMENT WHERE ref_date='${ref_date}' AND nome_perimetro='Individual Local' AND segmento='ESTR' AND ambito='SRB_MBDT' AND entidade='00100')X</v>
      </c>
      <c r="J286" s="34" t="str">
        <f>"(SELECT "&amp;VLOOKUP(B286,'0. Instruções'!$C$27:$G$32,4,FALSE)&amp;" AS "&amp;VLOOKUP(B286,'0. Instruções'!$C$27:$G$32,4,FALSE)&amp;"_SIMUL, "&amp;F286&amp;" AS "&amp;F286&amp;"_SIMUL FROM "&amp;E286&amp;" WHERE "&amp;'0. Instruções'!$D$43&amp;")Y"</f>
        <v>(SELECT instrmnt_id AS instrmnt_id_SIMUL, grss_intrst_expns_ccrr AS grss_intrst_expns_ccrr_SIMUL FROM BU_LOANTAPE_WORK.SIMUL_LT002_INSTRUMENT WHERE ref_date='${ref_date}' AND nome_perimetro='Individual Local' AND segmento='ESTR' AND ambito='PILAR3' AND entidade='00100')Y</v>
      </c>
      <c r="K286" s="35" t="str">
        <f>+UPPER("ON X."&amp;VLOOKUP(B286,'0. Instruções'!$C$27:$G$32,4,FALSE)&amp;"=Y."&amp;VLOOKUP(B286,'0. Instruções'!$C$27:$G$32,4,FALSE)&amp;"_SIMUL")</f>
        <v>ON X.INSTRMNT_ID=Y.INSTRMNT_ID_SIMUL</v>
      </c>
      <c r="L286" s="35" t="str">
        <f>+IF(C286="Coerência", +IF(LEFT(G286,5)="FLOAT","SELECT '"&amp;UPPER(B286)&amp;"' AS TABELA, '"&amp;UPPER(C286)&amp;"' AS TIPOLOGIA_TESTE,'"&amp;D286&amp;"' AS TABELA_LT,'"&amp;E286&amp;"' AS TABELA_SIMUL,'"&amp;F286&amp;"' AS CAMPO, "&amp;"'${ref_date}' AS REF_DATE, COUNT(*) AS NUM_REG, SUM(IF((ABS(COALESCE(CAST(X."&amp;F286&amp;" AS DECIMAL(18,6)),0)-COALESCE(CAST(Y."&amp;F286&amp;"_SIMUL AS DECIMAL(18,6)),0))&gt;0.000001) OR (X."&amp;F286&amp;" IS NULL AND Y."&amp;F286&amp;"_SIMUL IS NOT NULL ) OR (X."&amp;F286&amp;" IS NOT NULL AND Y."&amp;F286&amp;"_SIMUL IS NULL),1,0)) AS NUM_REG_DIF,'"&amp;MAX('ID1&amp;5'!K:K)+1&amp;"' AS ID_EXEC, CURRENT_TIMESTAMP() AS TIME_EXEC FROM "&amp;I286&amp;" INNER JOIN "&amp;J286&amp;" "&amp;K286,"SELECT '"&amp;UPPER(B286)&amp;"' AS TABELA, '"&amp;UPPER(C286)&amp;"' AS TIPOLOGIA_TESTE,'"&amp;D286&amp;"' AS TABELA_LT,'"&amp;E286&amp;"' AS TABELA_SIMUL,'"&amp;F286&amp;"' AS CAMPO, "&amp;"'${ref_date}' AS REF_DATE, COUNT(*) AS NUM_REG, SUM(IF(COALESCE(CAST(X."&amp;F286&amp;" AS STRING),'')&lt;&gt;COALESCE(CAST(Y."&amp;F286&amp;"_SIMUL AS STRING),'') OR (X."&amp;F286&amp;" IS NULL AND Y."&amp;F286&amp;"_SIMUL IS NOT NULL ) OR (X."&amp;F286&amp;" IS NOT NULL AND Y."&amp;F286&amp;"_SIMUL IS NULL),1,0)) AS NUM_REG_DIF,'"&amp;MAX('ID1&amp;5'!L:L)+1&amp;"' AS ID_EXEC, CURRENT_TIMESTAMP() AS TIME_EXEC FROM "&amp;I286&amp;" INNER JOIN "&amp;J286&amp;" "&amp;K286),
IF(C286="Validade",+IF(G286="Code List","SELECT '"&amp;UPPER(B286)&amp;"' AS TABELA, '"&amp;UPPER(C286)&amp;"' AS TIPOLOGIA_TESTE,'"&amp;D286&amp;"' AS TABELA_LT,'N/A' AS TABELA_SIMUL,'"&amp;F286&amp;"' AS CAMPO, "&amp;"'${ref_date}' AS REF_DATE, COUNT(*) AS NUM_REG, SUM(IF(TRIM(CAST(X."&amp;F286&amp;" AS STRING))='' OR TRIM(CAST(X."&amp;F286&amp;" AS STRING)) IS NULL OR CAST(X."&amp;F286&amp;" AS STRING) NOT "&amp;H286&amp;",1,0)) AS NUM_REG_DIF,'"&amp;MAX('ID1&amp;5'!K:K)+1&amp;"' AS ID_EXEC, CURRENT_TIMESTAMP() AS TIME_EXEC FROM "&amp;I286,"SELECT '"&amp;UPPER(B286)&amp;"' AS TABELA, '"&amp;UPPER(C286)&amp;"' AS TIPOLOGIA_TESTE,'"&amp;D286&amp;"' AS TABELA_LT,'N/A' AS TABELA_SIMUL,'"&amp;F286&amp;"' AS CAMPO, "&amp;"'${ref_date}' AS REF_DATE, COUNT(*) AS NUM_REG, SUM(IF(TRIM(CAST(X."&amp;F286&amp;" AS STRING))='' OR TRIM(CAST(X."&amp;F286&amp;" AS STRING)) IS NULL,1,0)) AS NUM_REG_DIF,'"&amp;MAX('ID1&amp;5'!K:K)+1&amp;"' AS ID_EXEC, CURRENT_TIMESTAMP() AS TIME_EXEC FROM "&amp;I286),
IF(C286="Caracteres Especiais",+"SELECT '"&amp;UPPER(B286)&amp;"' AS TABELA, '"&amp;UPPER(C286)&amp;"' AS TIPOLOGIA_TESTE,'"&amp;D286&amp;"' AS TABELA_LT,'N/A' AS TABELA_SIMUL,'"&amp;F286&amp;"' AS CAMPO, "&amp;"'${ref_date}' AS REF_DATE, COUNT(*) AS NUM_REG, SUM(IF(REGEXP_REPLACE(TRIM(CAST(X."&amp;F286&amp;" AS STRING)),'[^a-zA-Z0-9_\\s]','') &lt;&gt;TRIM(CAST(X."&amp;F286&amp;" AS STRING)),1,0)) AS NUM_REG_DIF,'"&amp;MAX('ID1&amp;5'!K:K)+1&amp;"' AS ID_EXEC, CURRENT_TIMESTAMP() AS TIME_EXEC FROM "&amp;I286,
IF(C286="Missings",+"SELECT '"&amp;UPPER(B286)&amp;"' AS TABELA, '"&amp;UPPER(C286)&amp;"' AS TIPOLOGIA_TESTE,'"&amp;D286&amp;"' AS TABELA_LT,'N/A' AS TABELA_SIMUL,'"&amp;F286&amp;"' AS CAMPO, "&amp;"'${ref_date}' AS REF_DATE, COUNT(*) AS NUM_REG, SUM(IF(TRIM(CAST(X."&amp;F286&amp;" AS STRING)) IN ('0000-00-00','0001-01-01','9999-12-31','MISS','00000','99999999999','99999999999.00','99999999999.000000'),1,0)) AS NUM_REG_DIF,'"&amp;MAX('ID1&amp;5'!K:K)+1&amp;"' AS ID_EXEC, CURRENT_TIMESTAMP() AS TIME_EXEC FROM "&amp;I286,
IF(C286="Not applicable",+"SELECT '"&amp;UPPER(B286)&amp;"' AS TABELA, '"&amp;UPPER(C286)&amp;"' AS TIPOLOGIA_TESTE,'"&amp;D286&amp;"' AS TABELA_LT,'N/A' AS TABELA_SIMUL,'"&amp;F286&amp;"' AS CAMPO, "&amp;"'${ref_date}' AS REF_DATE, COUNT(*) AS NUM_REG, SUM(IF(TRIM(CAST(X."&amp;F286&amp;" AS STRING)) IN ('N/A','11111111111','11111111111.00','11111111111.000000','1111-11-11'),1,0)) AS NUM_REG_DIF,'"&amp;MAX('ID1&amp;5'!K:K)+1&amp;"' AS ID_EXEC, CURRENT_TIMESTAMP() AS TIME_EXEC FROM "&amp;I286,
IF(C286="Valores extremos",+"SELECT '"&amp;UPPER(B286)&amp;"' AS TABELA, '"&amp;UPPER(C286)&amp;"' AS TIPOLOGIA_TESTE,'"&amp;D286&amp;"' AS TABELA_LT,'N/A' AS TABELA_SIMUL,'"&amp;F286&amp;"' AS CAMPO, "&amp;"'${ref_date}' AS REF_DATE, CAST(MIN("&amp;F286&amp;") AS STRING) AS VALOR_MIN, CAST(MAX("&amp;F286&amp;") AS STRING) AS VALOR_MAX,'"&amp;MAX('ID1&amp;5'!K:K)+1&amp;"' AS ID_EXEC, CURRENT_TIMESTAMP() AS TIME_EXEC FROM "&amp;MID(I286,1,LEN(I286)-2)&amp;" AND CAST("&amp;F286&amp;"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TABELA_SIMUL,'grss_intrst_expns_ccrr' AS CAMPO, '${ref_date}' AS REF_DATE, COUNT(*) AS NUM_REG, SUM(IF(COALESCE(CAST(X.grss_intrst_expns_ccrr AS STRING),'')&lt;&gt;COALESCE(CAST(Y.grss_intrst_expns_ccrr_SIMUL AS STRING),'') OR (X.grss_intrst_expns_ccrr IS NULL AND Y.grss_intrst_expns_ccrr_SIMUL IS NOT NULL ) OR (X.grss_intrst_expns_ccrr IS NOT NULL AND Y.grss_intrst_expns_ccrr_SIMUL IS NULL),1,0)) AS NUM_REG_DIF,'1' AS ID_EXEC, CURRENT_TIMESTAMP() AS TIME_EXEC FROM (SELECT instrmnt_id, grss_intrst_expns_ccrr FROM BU_LOANTAPE_WORK.LT002_INSTRUMENT WHERE ref_date='${ref_date}' AND nome_perimetro='Individual Local' AND segmento='ESTR' AND ambito='SRB_MBDT' AND entidade='00100')X INNER JOIN (SELECT instrmnt_id AS instrmnt_id_SIMUL, grss_intrst_expns_ccrr AS grss_intrst_expns_ccrr_SIMUL FROM BU_LOANTAPE_WORK.SIMUL_LT002_INSTRUMENT WHERE ref_date='${ref_date}' AND nome_perimetro='Individual Local' AND segmento='ESTR' AND ambito='PILAR3' AND entidade='00100')Y ON X.INSTRMNT_ID=Y.INSTRMNT_ID_SIMUL</v>
      </c>
      <c r="M286" s="36" t="str">
        <f t="shared" si="7"/>
        <v>UNION ALL SELECT 'INSTRUMENT' AS TABELA, 'COERÊNCIA' AS TIPOLOGIA_TESTE,'BU_LOANTAPE_WORK.LT002_INSTRUMENT' AS TABELA_LT,'BU_LOANTAPE_WORK.SIMUL_LT002_INSTRUMENT' AS TABELA_SIMUL,'grss_intrst_expns_ccrr' AS CAMPO, '${ref_date}' AS REF_DATE, COUNT(*) AS NUM_REG, SUM(IF(COALESCE(CAST(X.grss_intrst_expns_ccrr AS STRING),'')&lt;&gt;COALESCE(CAST(Y.grss_intrst_expns_ccrr_SIMUL AS STRING),'') OR (X.grss_intrst_expns_ccrr IS NULL AND Y.grss_intrst_expns_ccrr_SIMUL IS NOT NULL ) OR (X.grss_intrst_expns_ccrr IS NOT NULL AND Y.grss_intrst_expns_ccrr_SIMUL IS NULL),1,0)) AS NUM_REG_DIF,'1' AS ID_EXEC, CURRENT_TIMESTAMP() AS TIME_EXEC FROM (SELECT instrmnt_id, grss_intrst_expns_ccrr FROM BU_LOANTAPE_WORK.LT002_INSTRUMENT WHERE ref_date='${ref_date}' AND nome_perimetro='Individual Local' AND segmento='ESTR' AND ambito='SRB_MBDT' AND entidade='00100')X INNER JOIN (SELECT instrmnt_id AS instrmnt_id_SIMUL, grss_intrst_expns_ccrr AS grss_intrst_expns_ccrr_SIMUL FROM BU_LOANTAPE_WORK.SIMUL_LT002_INSTRUMENT WHERE ref_date='${ref_date}' AND nome_perimetro='Individual Local' AND segmento='ESTR' AND ambito='PILAR3' AND entidade='00100')Y ON X.INSTRMNT_ID=Y.INSTRMNT_ID_SIMUL</v>
      </c>
      <c r="N286" s="38"/>
    </row>
    <row r="287" spans="2:14">
      <c r="B287" s="34" t="s">
        <v>117</v>
      </c>
      <c r="C287" s="34" t="s">
        <v>5</v>
      </c>
      <c r="D287" s="34" t="str">
        <f>+UPPER('0. Instruções'!$D$35&amp;"."&amp;VLOOKUP(B287,'0. Instruções'!$C$27:$D$32,2,FALSE))</f>
        <v>BU_LOANTAPE_WORK.LT002_INSTRUMENT</v>
      </c>
      <c r="E287" s="34" t="str">
        <f>+UPPER('0. Instruções'!$D$36&amp;"."&amp;VLOOKUP(B287,'0. Instruções'!$C$27:$E$32,3,FALSE))</f>
        <v>BU_LOANTAPE_WORK.SIMUL_LT002_INSTRUMENT</v>
      </c>
      <c r="F287" s="34" t="s">
        <v>1338</v>
      </c>
      <c r="G287" s="34"/>
      <c r="H287" s="34"/>
      <c r="I287" s="34" t="str">
        <f>"(SELECT "&amp;VLOOKUP(B287,'0. Instruções'!$C$27:$G$32,4,FALSE)&amp;", "&amp;F287&amp;" FROM "&amp;D287&amp;" WHERE "&amp;'0. Instruções'!$D$42&amp;")X"</f>
        <v>(SELECT instrmnt_id, grss_cmmssn_incm_ccrr FROM BU_LOANTAPE_WORK.LT002_INSTRUMENT WHERE ref_date='${ref_date}' AND nome_perimetro='Individual Local' AND segmento='ESTR' AND ambito='SRB_MBDT' AND entidade='00100')X</v>
      </c>
      <c r="J287" s="34" t="str">
        <f>"(SELECT "&amp;VLOOKUP(B287,'0. Instruções'!$C$27:$G$32,4,FALSE)&amp;" AS "&amp;VLOOKUP(B287,'0. Instruções'!$C$27:$G$32,4,FALSE)&amp;"_SIMUL, "&amp;F287&amp;" AS "&amp;F287&amp;"_SIMUL FROM "&amp;E287&amp;" WHERE "&amp;'0. Instruções'!$D$43&amp;")Y"</f>
        <v>(SELECT instrmnt_id AS instrmnt_id_SIMUL, grss_cmmssn_incm_ccrr AS grss_cmmssn_incm_ccrr_SIMUL FROM BU_LOANTAPE_WORK.SIMUL_LT002_INSTRUMENT WHERE ref_date='${ref_date}' AND nome_perimetro='Individual Local' AND segmento='ESTR' AND ambito='PILAR3' AND entidade='00100')Y</v>
      </c>
      <c r="K287" s="35" t="str">
        <f>+UPPER("ON X."&amp;VLOOKUP(B287,'0. Instruções'!$C$27:$G$32,4,FALSE)&amp;"=Y."&amp;VLOOKUP(B287,'0. Instruções'!$C$27:$G$32,4,FALSE)&amp;"_SIMUL")</f>
        <v>ON X.INSTRMNT_ID=Y.INSTRMNT_ID_SIMUL</v>
      </c>
      <c r="L287" s="35" t="str">
        <f>+IF(C287="Coerência", +IF(LEFT(G287,5)="FLOAT","SELECT '"&amp;UPPER(B287)&amp;"' AS TABELA, '"&amp;UPPER(C287)&amp;"' AS TIPOLOGIA_TESTE,'"&amp;D287&amp;"' AS TABELA_LT,'"&amp;E287&amp;"' AS TABELA_SIMUL,'"&amp;F287&amp;"' AS CAMPO, "&amp;"'${ref_date}' AS REF_DATE, COUNT(*) AS NUM_REG, SUM(IF((ABS(COALESCE(CAST(X."&amp;F287&amp;" AS DECIMAL(18,6)),0)-COALESCE(CAST(Y."&amp;F287&amp;"_SIMUL AS DECIMAL(18,6)),0))&gt;0.000001) OR (X."&amp;F287&amp;" IS NULL AND Y."&amp;F287&amp;"_SIMUL IS NOT NULL ) OR (X."&amp;F287&amp;" IS NOT NULL AND Y."&amp;F287&amp;"_SIMUL IS NULL),1,0)) AS NUM_REG_DIF,'"&amp;MAX('ID1&amp;5'!K:K)+1&amp;"' AS ID_EXEC, CURRENT_TIMESTAMP() AS TIME_EXEC FROM "&amp;I287&amp;" INNER JOIN "&amp;J287&amp;" "&amp;K287,"SELECT '"&amp;UPPER(B287)&amp;"' AS TABELA, '"&amp;UPPER(C287)&amp;"' AS TIPOLOGIA_TESTE,'"&amp;D287&amp;"' AS TABELA_LT,'"&amp;E287&amp;"' AS TABELA_SIMUL,'"&amp;F287&amp;"' AS CAMPO, "&amp;"'${ref_date}' AS REF_DATE, COUNT(*) AS NUM_REG, SUM(IF(COALESCE(CAST(X."&amp;F287&amp;" AS STRING),'')&lt;&gt;COALESCE(CAST(Y."&amp;F287&amp;"_SIMUL AS STRING),'') OR (X."&amp;F287&amp;" IS NULL AND Y."&amp;F287&amp;"_SIMUL IS NOT NULL ) OR (X."&amp;F287&amp;" IS NOT NULL AND Y."&amp;F287&amp;"_SIMUL IS NULL),1,0)) AS NUM_REG_DIF,'"&amp;MAX('ID1&amp;5'!L:L)+1&amp;"' AS ID_EXEC, CURRENT_TIMESTAMP() AS TIME_EXEC FROM "&amp;I287&amp;" INNER JOIN "&amp;J287&amp;" "&amp;K287),
IF(C287="Validade",+IF(G287="Code List","SELECT '"&amp;UPPER(B287)&amp;"' AS TABELA, '"&amp;UPPER(C287)&amp;"' AS TIPOLOGIA_TESTE,'"&amp;D287&amp;"' AS TABELA_LT,'N/A' AS TABELA_SIMUL,'"&amp;F287&amp;"' AS CAMPO, "&amp;"'${ref_date}' AS REF_DATE, COUNT(*) AS NUM_REG, SUM(IF(TRIM(CAST(X."&amp;F287&amp;" AS STRING))='' OR TRIM(CAST(X."&amp;F287&amp;" AS STRING)) IS NULL OR CAST(X."&amp;F287&amp;" AS STRING) NOT "&amp;H287&amp;",1,0)) AS NUM_REG_DIF,'"&amp;MAX('ID1&amp;5'!K:K)+1&amp;"' AS ID_EXEC, CURRENT_TIMESTAMP() AS TIME_EXEC FROM "&amp;I287,"SELECT '"&amp;UPPER(B287)&amp;"' AS TABELA, '"&amp;UPPER(C287)&amp;"' AS TIPOLOGIA_TESTE,'"&amp;D287&amp;"' AS TABELA_LT,'N/A' AS TABELA_SIMUL,'"&amp;F287&amp;"' AS CAMPO, "&amp;"'${ref_date}' AS REF_DATE, COUNT(*) AS NUM_REG, SUM(IF(TRIM(CAST(X."&amp;F287&amp;" AS STRING))='' OR TRIM(CAST(X."&amp;F287&amp;" AS STRING)) IS NULL,1,0)) AS NUM_REG_DIF,'"&amp;MAX('ID1&amp;5'!K:K)+1&amp;"' AS ID_EXEC, CURRENT_TIMESTAMP() AS TIME_EXEC FROM "&amp;I287),
IF(C287="Caracteres Especiais",+"SELECT '"&amp;UPPER(B287)&amp;"' AS TABELA, '"&amp;UPPER(C287)&amp;"' AS TIPOLOGIA_TESTE,'"&amp;D287&amp;"' AS TABELA_LT,'N/A' AS TABELA_SIMUL,'"&amp;F287&amp;"' AS CAMPO, "&amp;"'${ref_date}' AS REF_DATE, COUNT(*) AS NUM_REG, SUM(IF(REGEXP_REPLACE(TRIM(CAST(X."&amp;F287&amp;" AS STRING)),'[^a-zA-Z0-9_\\s]','') &lt;&gt;TRIM(CAST(X."&amp;F287&amp;" AS STRING)),1,0)) AS NUM_REG_DIF,'"&amp;MAX('ID1&amp;5'!K:K)+1&amp;"' AS ID_EXEC, CURRENT_TIMESTAMP() AS TIME_EXEC FROM "&amp;I287,
IF(C287="Missings",+"SELECT '"&amp;UPPER(B287)&amp;"' AS TABELA, '"&amp;UPPER(C287)&amp;"' AS TIPOLOGIA_TESTE,'"&amp;D287&amp;"' AS TABELA_LT,'N/A' AS TABELA_SIMUL,'"&amp;F287&amp;"' AS CAMPO, "&amp;"'${ref_date}' AS REF_DATE, COUNT(*) AS NUM_REG, SUM(IF(TRIM(CAST(X."&amp;F287&amp;" AS STRING)) IN ('0000-00-00','0001-01-01','9999-12-31','MISS','00000','99999999999','99999999999.00','99999999999.000000'),1,0)) AS NUM_REG_DIF,'"&amp;MAX('ID1&amp;5'!K:K)+1&amp;"' AS ID_EXEC, CURRENT_TIMESTAMP() AS TIME_EXEC FROM "&amp;I287,
IF(C287="Not applicable",+"SELECT '"&amp;UPPER(B287)&amp;"' AS TABELA, '"&amp;UPPER(C287)&amp;"' AS TIPOLOGIA_TESTE,'"&amp;D287&amp;"' AS TABELA_LT,'N/A' AS TABELA_SIMUL,'"&amp;F287&amp;"' AS CAMPO, "&amp;"'${ref_date}' AS REF_DATE, COUNT(*) AS NUM_REG, SUM(IF(TRIM(CAST(X."&amp;F287&amp;" AS STRING)) IN ('N/A','11111111111','11111111111.00','11111111111.000000','1111-11-11'),1,0)) AS NUM_REG_DIF,'"&amp;MAX('ID1&amp;5'!K:K)+1&amp;"' AS ID_EXEC, CURRENT_TIMESTAMP() AS TIME_EXEC FROM "&amp;I287,
IF(C287="Valores extremos",+"SELECT '"&amp;UPPER(B287)&amp;"' AS TABELA, '"&amp;UPPER(C287)&amp;"' AS TIPOLOGIA_TESTE,'"&amp;D287&amp;"' AS TABELA_LT,'N/A' AS TABELA_SIMUL,'"&amp;F287&amp;"' AS CAMPO, "&amp;"'${ref_date}' AS REF_DATE, CAST(MIN("&amp;F287&amp;") AS STRING) AS VALOR_MIN, CAST(MAX("&amp;F287&amp;") AS STRING) AS VALOR_MAX,'"&amp;MAX('ID1&amp;5'!K:K)+1&amp;"' AS ID_EXEC, CURRENT_TIMESTAMP() AS TIME_EXEC FROM "&amp;MID(I287,1,LEN(I287)-2)&amp;" AND CAST("&amp;F287&amp;"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TABELA_SIMUL,'grss_cmmssn_incm_ccrr' AS CAMPO, '${ref_date}' AS REF_DATE, COUNT(*) AS NUM_REG, SUM(IF(COALESCE(CAST(X.grss_cmmssn_incm_ccrr AS STRING),'')&lt;&gt;COALESCE(CAST(Y.grss_cmmssn_incm_ccrr_SIMUL AS STRING),'') OR (X.grss_cmmssn_incm_ccrr IS NULL AND Y.grss_cmmssn_incm_ccrr_SIMUL IS NOT NULL ) OR (X.grss_cmmssn_incm_ccrr IS NOT NULL AND Y.grss_cmmssn_incm_ccrr_SIMUL IS NULL),1,0)) AS NUM_REG_DIF,'1' AS ID_EXEC, CURRENT_TIMESTAMP() AS TIME_EXEC FROM (SELECT instrmnt_id, grss_cmmssn_incm_ccrr FROM BU_LOANTAPE_WORK.LT002_INSTRUMENT WHERE ref_date='${ref_date}' AND nome_perimetro='Individual Local' AND segmento='ESTR' AND ambito='SRB_MBDT' AND entidade='00100')X INNER JOIN (SELECT instrmnt_id AS instrmnt_id_SIMUL, grss_cmmssn_incm_ccrr AS grss_cmmssn_incm_ccrr_SIMUL FROM BU_LOANTAPE_WORK.SIMUL_LT002_INSTRUMENT WHERE ref_date='${ref_date}' AND nome_perimetro='Individual Local' AND segmento='ESTR' AND ambito='PILAR3' AND entidade='00100')Y ON X.INSTRMNT_ID=Y.INSTRMNT_ID_SIMUL</v>
      </c>
      <c r="M287" s="36" t="str">
        <f t="shared" si="7"/>
        <v>UNION ALL SELECT 'INSTRUMENT' AS TABELA, 'COERÊNCIA' AS TIPOLOGIA_TESTE,'BU_LOANTAPE_WORK.LT002_INSTRUMENT' AS TABELA_LT,'BU_LOANTAPE_WORK.SIMUL_LT002_INSTRUMENT' AS TABELA_SIMUL,'grss_cmmssn_incm_ccrr' AS CAMPO, '${ref_date}' AS REF_DATE, COUNT(*) AS NUM_REG, SUM(IF(COALESCE(CAST(X.grss_cmmssn_incm_ccrr AS STRING),'')&lt;&gt;COALESCE(CAST(Y.grss_cmmssn_incm_ccrr_SIMUL AS STRING),'') OR (X.grss_cmmssn_incm_ccrr IS NULL AND Y.grss_cmmssn_incm_ccrr_SIMUL IS NOT NULL ) OR (X.grss_cmmssn_incm_ccrr IS NOT NULL AND Y.grss_cmmssn_incm_ccrr_SIMUL IS NULL),1,0)) AS NUM_REG_DIF,'1' AS ID_EXEC, CURRENT_TIMESTAMP() AS TIME_EXEC FROM (SELECT instrmnt_id, grss_cmmssn_incm_ccrr FROM BU_LOANTAPE_WORK.LT002_INSTRUMENT WHERE ref_date='${ref_date}' AND nome_perimetro='Individual Local' AND segmento='ESTR' AND ambito='SRB_MBDT' AND entidade='00100')X INNER JOIN (SELECT instrmnt_id AS instrmnt_id_SIMUL, grss_cmmssn_incm_ccrr AS grss_cmmssn_incm_ccrr_SIMUL FROM BU_LOANTAPE_WORK.SIMUL_LT002_INSTRUMENT WHERE ref_date='${ref_date}' AND nome_perimetro='Individual Local' AND segmento='ESTR' AND ambito='PILAR3' AND entidade='00100')Y ON X.INSTRMNT_ID=Y.INSTRMNT_ID_SIMUL</v>
      </c>
      <c r="N287" s="38"/>
    </row>
    <row r="288" spans="2:14">
      <c r="B288" s="34" t="s">
        <v>117</v>
      </c>
      <c r="C288" s="34" t="s">
        <v>5</v>
      </c>
      <c r="D288" s="34" t="str">
        <f>+UPPER('0. Instruções'!$D$35&amp;"."&amp;VLOOKUP(B288,'0. Instruções'!$C$27:$D$32,2,FALSE))</f>
        <v>BU_LOANTAPE_WORK.LT002_INSTRUMENT</v>
      </c>
      <c r="E288" s="34" t="str">
        <f>+UPPER('0. Instruções'!$D$36&amp;"."&amp;VLOOKUP(B288,'0. Instruções'!$C$27:$E$32,3,FALSE))</f>
        <v>BU_LOANTAPE_WORK.SIMUL_LT002_INSTRUMENT</v>
      </c>
      <c r="F288" s="34" t="s">
        <v>1339</v>
      </c>
      <c r="G288" s="34"/>
      <c r="H288" s="34"/>
      <c r="I288" s="34" t="str">
        <f>"(SELECT "&amp;VLOOKUP(B288,'0. Instruções'!$C$27:$G$32,4,FALSE)&amp;", "&amp;F288&amp;" FROM "&amp;D288&amp;" WHERE "&amp;'0. Instruções'!$D$42&amp;")X"</f>
        <v>(SELECT instrmnt_id, grss_cmmssn_expns_ccrr FROM BU_LOANTAPE_WORK.LT002_INSTRUMENT WHERE ref_date='${ref_date}' AND nome_perimetro='Individual Local' AND segmento='ESTR' AND ambito='SRB_MBDT' AND entidade='00100')X</v>
      </c>
      <c r="J288" s="34" t="str">
        <f>"(SELECT "&amp;VLOOKUP(B288,'0. Instruções'!$C$27:$G$32,4,FALSE)&amp;" AS "&amp;VLOOKUP(B288,'0. Instruções'!$C$27:$G$32,4,FALSE)&amp;"_SIMUL, "&amp;F288&amp;" AS "&amp;F288&amp;"_SIMUL FROM "&amp;E288&amp;" WHERE "&amp;'0. Instruções'!$D$43&amp;")Y"</f>
        <v>(SELECT instrmnt_id AS instrmnt_id_SIMUL, grss_cmmssn_expns_ccrr AS grss_cmmssn_expns_ccrr_SIMUL FROM BU_LOANTAPE_WORK.SIMUL_LT002_INSTRUMENT WHERE ref_date='${ref_date}' AND nome_perimetro='Individual Local' AND segmento='ESTR' AND ambito='PILAR3' AND entidade='00100')Y</v>
      </c>
      <c r="K288" s="35" t="str">
        <f>+UPPER("ON X."&amp;VLOOKUP(B288,'0. Instruções'!$C$27:$G$32,4,FALSE)&amp;"=Y."&amp;VLOOKUP(B288,'0. Instruções'!$C$27:$G$32,4,FALSE)&amp;"_SIMUL")</f>
        <v>ON X.INSTRMNT_ID=Y.INSTRMNT_ID_SIMUL</v>
      </c>
      <c r="L288" s="35" t="str">
        <f>+IF(C288="Coerência", +IF(LEFT(G288,5)="FLOAT","SELECT '"&amp;UPPER(B288)&amp;"' AS TABELA, '"&amp;UPPER(C288)&amp;"' AS TIPOLOGIA_TESTE,'"&amp;D288&amp;"' AS TABELA_LT,'"&amp;E288&amp;"' AS TABELA_SIMUL,'"&amp;F288&amp;"' AS CAMPO, "&amp;"'${ref_date}' AS REF_DATE, COUNT(*) AS NUM_REG, SUM(IF((ABS(COALESCE(CAST(X."&amp;F288&amp;" AS DECIMAL(18,6)),0)-COALESCE(CAST(Y."&amp;F288&amp;"_SIMUL AS DECIMAL(18,6)),0))&gt;0.000001) OR (X."&amp;F288&amp;" IS NULL AND Y."&amp;F288&amp;"_SIMUL IS NOT NULL ) OR (X."&amp;F288&amp;" IS NOT NULL AND Y."&amp;F288&amp;"_SIMUL IS NULL),1,0)) AS NUM_REG_DIF,'"&amp;MAX('ID1&amp;5'!K:K)+1&amp;"' AS ID_EXEC, CURRENT_TIMESTAMP() AS TIME_EXEC FROM "&amp;I288&amp;" INNER JOIN "&amp;J288&amp;" "&amp;K288,"SELECT '"&amp;UPPER(B288)&amp;"' AS TABELA, '"&amp;UPPER(C288)&amp;"' AS TIPOLOGIA_TESTE,'"&amp;D288&amp;"' AS TABELA_LT,'"&amp;E288&amp;"' AS TABELA_SIMUL,'"&amp;F288&amp;"' AS CAMPO, "&amp;"'${ref_date}' AS REF_DATE, COUNT(*) AS NUM_REG, SUM(IF(COALESCE(CAST(X."&amp;F288&amp;" AS STRING),'')&lt;&gt;COALESCE(CAST(Y."&amp;F288&amp;"_SIMUL AS STRING),'') OR (X."&amp;F288&amp;" IS NULL AND Y."&amp;F288&amp;"_SIMUL IS NOT NULL ) OR (X."&amp;F288&amp;" IS NOT NULL AND Y."&amp;F288&amp;"_SIMUL IS NULL),1,0)) AS NUM_REG_DIF,'"&amp;MAX('ID1&amp;5'!L:L)+1&amp;"' AS ID_EXEC, CURRENT_TIMESTAMP() AS TIME_EXEC FROM "&amp;I288&amp;" INNER JOIN "&amp;J288&amp;" "&amp;K288),
IF(C288="Validade",+IF(G288="Code List","SELECT '"&amp;UPPER(B288)&amp;"' AS TABELA, '"&amp;UPPER(C288)&amp;"' AS TIPOLOGIA_TESTE,'"&amp;D288&amp;"' AS TABELA_LT,'N/A' AS TABELA_SIMUL,'"&amp;F288&amp;"' AS CAMPO, "&amp;"'${ref_date}' AS REF_DATE, COUNT(*) AS NUM_REG, SUM(IF(TRIM(CAST(X."&amp;F288&amp;" AS STRING))='' OR TRIM(CAST(X."&amp;F288&amp;" AS STRING)) IS NULL OR CAST(X."&amp;F288&amp;" AS STRING) NOT "&amp;H288&amp;",1,0)) AS NUM_REG_DIF,'"&amp;MAX('ID1&amp;5'!K:K)+1&amp;"' AS ID_EXEC, CURRENT_TIMESTAMP() AS TIME_EXEC FROM "&amp;I288,"SELECT '"&amp;UPPER(B288)&amp;"' AS TABELA, '"&amp;UPPER(C288)&amp;"' AS TIPOLOGIA_TESTE,'"&amp;D288&amp;"' AS TABELA_LT,'N/A' AS TABELA_SIMUL,'"&amp;F288&amp;"' AS CAMPO, "&amp;"'${ref_date}' AS REF_DATE, COUNT(*) AS NUM_REG, SUM(IF(TRIM(CAST(X."&amp;F288&amp;" AS STRING))='' OR TRIM(CAST(X."&amp;F288&amp;" AS STRING)) IS NULL,1,0)) AS NUM_REG_DIF,'"&amp;MAX('ID1&amp;5'!K:K)+1&amp;"' AS ID_EXEC, CURRENT_TIMESTAMP() AS TIME_EXEC FROM "&amp;I288),
IF(C288="Caracteres Especiais",+"SELECT '"&amp;UPPER(B288)&amp;"' AS TABELA, '"&amp;UPPER(C288)&amp;"' AS TIPOLOGIA_TESTE,'"&amp;D288&amp;"' AS TABELA_LT,'N/A' AS TABELA_SIMUL,'"&amp;F288&amp;"' AS CAMPO, "&amp;"'${ref_date}' AS REF_DATE, COUNT(*) AS NUM_REG, SUM(IF(REGEXP_REPLACE(TRIM(CAST(X."&amp;F288&amp;" AS STRING)),'[^a-zA-Z0-9_\\s]','') &lt;&gt;TRIM(CAST(X."&amp;F288&amp;" AS STRING)),1,0)) AS NUM_REG_DIF,'"&amp;MAX('ID1&amp;5'!K:K)+1&amp;"' AS ID_EXEC, CURRENT_TIMESTAMP() AS TIME_EXEC FROM "&amp;I288,
IF(C288="Missings",+"SELECT '"&amp;UPPER(B288)&amp;"' AS TABELA, '"&amp;UPPER(C288)&amp;"' AS TIPOLOGIA_TESTE,'"&amp;D288&amp;"' AS TABELA_LT,'N/A' AS TABELA_SIMUL,'"&amp;F288&amp;"' AS CAMPO, "&amp;"'${ref_date}' AS REF_DATE, COUNT(*) AS NUM_REG, SUM(IF(TRIM(CAST(X."&amp;F288&amp;" AS STRING)) IN ('0000-00-00','0001-01-01','9999-12-31','MISS','00000','99999999999','99999999999.00','99999999999.000000'),1,0)) AS NUM_REG_DIF,'"&amp;MAX('ID1&amp;5'!K:K)+1&amp;"' AS ID_EXEC, CURRENT_TIMESTAMP() AS TIME_EXEC FROM "&amp;I288,
IF(C288="Not applicable",+"SELECT '"&amp;UPPER(B288)&amp;"' AS TABELA, '"&amp;UPPER(C288)&amp;"' AS TIPOLOGIA_TESTE,'"&amp;D288&amp;"' AS TABELA_LT,'N/A' AS TABELA_SIMUL,'"&amp;F288&amp;"' AS CAMPO, "&amp;"'${ref_date}' AS REF_DATE, COUNT(*) AS NUM_REG, SUM(IF(TRIM(CAST(X."&amp;F288&amp;" AS STRING)) IN ('N/A','11111111111','11111111111.00','11111111111.000000','1111-11-11'),1,0)) AS NUM_REG_DIF,'"&amp;MAX('ID1&amp;5'!K:K)+1&amp;"' AS ID_EXEC, CURRENT_TIMESTAMP() AS TIME_EXEC FROM "&amp;I288,
IF(C288="Valores extremos",+"SELECT '"&amp;UPPER(B288)&amp;"' AS TABELA, '"&amp;UPPER(C288)&amp;"' AS TIPOLOGIA_TESTE,'"&amp;D288&amp;"' AS TABELA_LT,'N/A' AS TABELA_SIMUL,'"&amp;F288&amp;"' AS CAMPO, "&amp;"'${ref_date}' AS REF_DATE, CAST(MIN("&amp;F288&amp;") AS STRING) AS VALOR_MIN, CAST(MAX("&amp;F288&amp;") AS STRING) AS VALOR_MAX,'"&amp;MAX('ID1&amp;5'!K:K)+1&amp;"' AS ID_EXEC, CURRENT_TIMESTAMP() AS TIME_EXEC FROM "&amp;MID(I288,1,LEN(I288)-2)&amp;" AND CAST("&amp;F288&amp;"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TABELA_SIMUL,'grss_cmmssn_expns_ccrr' AS CAMPO, '${ref_date}' AS REF_DATE, COUNT(*) AS NUM_REG, SUM(IF(COALESCE(CAST(X.grss_cmmssn_expns_ccrr AS STRING),'')&lt;&gt;COALESCE(CAST(Y.grss_cmmssn_expns_ccrr_SIMUL AS STRING),'') OR (X.grss_cmmssn_expns_ccrr IS NULL AND Y.grss_cmmssn_expns_ccrr_SIMUL IS NOT NULL ) OR (X.grss_cmmssn_expns_ccrr IS NOT NULL AND Y.grss_cmmssn_expns_ccrr_SIMUL IS NULL),1,0)) AS NUM_REG_DIF,'1' AS ID_EXEC, CURRENT_TIMESTAMP() AS TIME_EXEC FROM (SELECT instrmnt_id, grss_cmmssn_expns_ccrr FROM BU_LOANTAPE_WORK.LT002_INSTRUMENT WHERE ref_date='${ref_date}' AND nome_perimetro='Individual Local' AND segmento='ESTR' AND ambito='SRB_MBDT' AND entidade='00100')X INNER JOIN (SELECT instrmnt_id AS instrmnt_id_SIMUL, grss_cmmssn_expns_ccrr AS grss_cmmssn_expns_ccrr_SIMUL FROM BU_LOANTAPE_WORK.SIMUL_LT002_INSTRUMENT WHERE ref_date='${ref_date}' AND nome_perimetro='Individual Local' AND segmento='ESTR' AND ambito='PILAR3' AND entidade='00100')Y ON X.INSTRMNT_ID=Y.INSTRMNT_ID_SIMUL</v>
      </c>
      <c r="M288" s="36" t="str">
        <f t="shared" si="7"/>
        <v>UNION ALL SELECT 'INSTRUMENT' AS TABELA, 'COERÊNCIA' AS TIPOLOGIA_TESTE,'BU_LOANTAPE_WORK.LT002_INSTRUMENT' AS TABELA_LT,'BU_LOANTAPE_WORK.SIMUL_LT002_INSTRUMENT' AS TABELA_SIMUL,'grss_cmmssn_expns_ccrr' AS CAMPO, '${ref_date}' AS REF_DATE, COUNT(*) AS NUM_REG, SUM(IF(COALESCE(CAST(X.grss_cmmssn_expns_ccrr AS STRING),'')&lt;&gt;COALESCE(CAST(Y.grss_cmmssn_expns_ccrr_SIMUL AS STRING),'') OR (X.grss_cmmssn_expns_ccrr IS NULL AND Y.grss_cmmssn_expns_ccrr_SIMUL IS NOT NULL ) OR (X.grss_cmmssn_expns_ccrr IS NOT NULL AND Y.grss_cmmssn_expns_ccrr_SIMUL IS NULL),1,0)) AS NUM_REG_DIF,'1' AS ID_EXEC, CURRENT_TIMESTAMP() AS TIME_EXEC FROM (SELECT instrmnt_id, grss_cmmssn_expns_ccrr FROM BU_LOANTAPE_WORK.LT002_INSTRUMENT WHERE ref_date='${ref_date}' AND nome_perimetro='Individual Local' AND segmento='ESTR' AND ambito='SRB_MBDT' AND entidade='00100')X INNER JOIN (SELECT instrmnt_id AS instrmnt_id_SIMUL, grss_cmmssn_expns_ccrr AS grss_cmmssn_expns_ccrr_SIMUL FROM BU_LOANTAPE_WORK.SIMUL_LT002_INSTRUMENT WHERE ref_date='${ref_date}' AND nome_perimetro='Individual Local' AND segmento='ESTR' AND ambito='PILAR3' AND entidade='00100')Y ON X.INSTRMNT_ID=Y.INSTRMNT_ID_SIMUL</v>
      </c>
      <c r="N288" s="38"/>
    </row>
    <row r="289" spans="2:14">
      <c r="B289" s="34" t="s">
        <v>117</v>
      </c>
      <c r="C289" s="34" t="s">
        <v>5</v>
      </c>
      <c r="D289" s="34" t="str">
        <f>+UPPER('0. Instruções'!$D$35&amp;"."&amp;VLOOKUP(B289,'0. Instruções'!$C$27:$D$32,2,FALSE))</f>
        <v>BU_LOANTAPE_WORK.LT002_INSTRUMENT</v>
      </c>
      <c r="E289" s="34" t="str">
        <f>+UPPER('0. Instruções'!$D$36&amp;"."&amp;VLOOKUP(B289,'0. Instruções'!$C$27:$E$32,3,FALSE))</f>
        <v>BU_LOANTAPE_WORK.SIMUL_LT002_INSTRUMENT</v>
      </c>
      <c r="F289" s="34" t="s">
        <v>1340</v>
      </c>
      <c r="G289" s="34"/>
      <c r="H289" s="34"/>
      <c r="I289" s="34" t="str">
        <f>"(SELECT "&amp;VLOOKUP(B289,'0. Instruções'!$C$27:$G$32,4,FALSE)&amp;", "&amp;F289&amp;" FROM "&amp;D289&amp;" WHERE "&amp;'0. Instruções'!$D$42&amp;")X"</f>
        <v>(SELECT instrmnt_id, gns_fnncl_trnsctn_exchng_ccrr FROM BU_LOANTAPE_WORK.LT002_INSTRUMENT WHERE ref_date='${ref_date}' AND nome_perimetro='Individual Local' AND segmento='ESTR' AND ambito='SRB_MBDT' AND entidade='00100')X</v>
      </c>
      <c r="J289" s="34" t="str">
        <f>"(SELECT "&amp;VLOOKUP(B289,'0. Instruções'!$C$27:$G$32,4,FALSE)&amp;" AS "&amp;VLOOKUP(B289,'0. Instruções'!$C$27:$G$32,4,FALSE)&amp;"_SIMUL, "&amp;F289&amp;" AS "&amp;F289&amp;"_SIMUL FROM "&amp;E289&amp;" WHERE "&amp;'0. Instruções'!$D$43&amp;")Y"</f>
        <v>(SELECT instrmnt_id AS instrmnt_id_SIMUL, gns_fnncl_trnsctn_exchng_ccrr AS gns_fnncl_trnsctn_exchng_ccrr_SIMUL FROM BU_LOANTAPE_WORK.SIMUL_LT002_INSTRUMENT WHERE ref_date='${ref_date}' AND nome_perimetro='Individual Local' AND segmento='ESTR' AND ambito='PILAR3' AND entidade='00100')Y</v>
      </c>
      <c r="K289" s="35" t="str">
        <f>+UPPER("ON X."&amp;VLOOKUP(B289,'0. Instruções'!$C$27:$G$32,4,FALSE)&amp;"=Y."&amp;VLOOKUP(B289,'0. Instruções'!$C$27:$G$32,4,FALSE)&amp;"_SIMUL")</f>
        <v>ON X.INSTRMNT_ID=Y.INSTRMNT_ID_SIMUL</v>
      </c>
      <c r="L289" s="35" t="str">
        <f>+IF(C289="Coerência", +IF(LEFT(G289,5)="FLOAT","SELECT '"&amp;UPPER(B289)&amp;"' AS TABELA, '"&amp;UPPER(C289)&amp;"' AS TIPOLOGIA_TESTE,'"&amp;D289&amp;"' AS TABELA_LT,'"&amp;E289&amp;"' AS TABELA_SIMUL,'"&amp;F289&amp;"' AS CAMPO, "&amp;"'${ref_date}' AS REF_DATE, COUNT(*) AS NUM_REG, SUM(IF((ABS(COALESCE(CAST(X."&amp;F289&amp;" AS DECIMAL(18,6)),0)-COALESCE(CAST(Y."&amp;F289&amp;"_SIMUL AS DECIMAL(18,6)),0))&gt;0.000001) OR (X."&amp;F289&amp;" IS NULL AND Y."&amp;F289&amp;"_SIMUL IS NOT NULL ) OR (X."&amp;F289&amp;" IS NOT NULL AND Y."&amp;F289&amp;"_SIMUL IS NULL),1,0)) AS NUM_REG_DIF,'"&amp;MAX('ID1&amp;5'!K:K)+1&amp;"' AS ID_EXEC, CURRENT_TIMESTAMP() AS TIME_EXEC FROM "&amp;I289&amp;" INNER JOIN "&amp;J289&amp;" "&amp;K289,"SELECT '"&amp;UPPER(B289)&amp;"' AS TABELA, '"&amp;UPPER(C289)&amp;"' AS TIPOLOGIA_TESTE,'"&amp;D289&amp;"' AS TABELA_LT,'"&amp;E289&amp;"' AS TABELA_SIMUL,'"&amp;F289&amp;"' AS CAMPO, "&amp;"'${ref_date}' AS REF_DATE, COUNT(*) AS NUM_REG, SUM(IF(COALESCE(CAST(X."&amp;F289&amp;" AS STRING),'')&lt;&gt;COALESCE(CAST(Y."&amp;F289&amp;"_SIMUL AS STRING),'') OR (X."&amp;F289&amp;" IS NULL AND Y."&amp;F289&amp;"_SIMUL IS NOT NULL ) OR (X."&amp;F289&amp;" IS NOT NULL AND Y."&amp;F289&amp;"_SIMUL IS NULL),1,0)) AS NUM_REG_DIF,'"&amp;MAX('ID1&amp;5'!L:L)+1&amp;"' AS ID_EXEC, CURRENT_TIMESTAMP() AS TIME_EXEC FROM "&amp;I289&amp;" INNER JOIN "&amp;J289&amp;" "&amp;K289),
IF(C289="Validade",+IF(G289="Code List","SELECT '"&amp;UPPER(B289)&amp;"' AS TABELA, '"&amp;UPPER(C289)&amp;"' AS TIPOLOGIA_TESTE,'"&amp;D289&amp;"' AS TABELA_LT,'N/A' AS TABELA_SIMUL,'"&amp;F289&amp;"' AS CAMPO, "&amp;"'${ref_date}' AS REF_DATE, COUNT(*) AS NUM_REG, SUM(IF(TRIM(CAST(X."&amp;F289&amp;" AS STRING))='' OR TRIM(CAST(X."&amp;F289&amp;" AS STRING)) IS NULL OR CAST(X."&amp;F289&amp;" AS STRING) NOT "&amp;H289&amp;",1,0)) AS NUM_REG_DIF,'"&amp;MAX('ID1&amp;5'!K:K)+1&amp;"' AS ID_EXEC, CURRENT_TIMESTAMP() AS TIME_EXEC FROM "&amp;I289,"SELECT '"&amp;UPPER(B289)&amp;"' AS TABELA, '"&amp;UPPER(C289)&amp;"' AS TIPOLOGIA_TESTE,'"&amp;D289&amp;"' AS TABELA_LT,'N/A' AS TABELA_SIMUL,'"&amp;F289&amp;"' AS CAMPO, "&amp;"'${ref_date}' AS REF_DATE, COUNT(*) AS NUM_REG, SUM(IF(TRIM(CAST(X."&amp;F289&amp;" AS STRING))='' OR TRIM(CAST(X."&amp;F289&amp;" AS STRING)) IS NULL,1,0)) AS NUM_REG_DIF,'"&amp;MAX('ID1&amp;5'!K:K)+1&amp;"' AS ID_EXEC, CURRENT_TIMESTAMP() AS TIME_EXEC FROM "&amp;I289),
IF(C289="Caracteres Especiais",+"SELECT '"&amp;UPPER(B289)&amp;"' AS TABELA, '"&amp;UPPER(C289)&amp;"' AS TIPOLOGIA_TESTE,'"&amp;D289&amp;"' AS TABELA_LT,'N/A' AS TABELA_SIMUL,'"&amp;F289&amp;"' AS CAMPO, "&amp;"'${ref_date}' AS REF_DATE, COUNT(*) AS NUM_REG, SUM(IF(REGEXP_REPLACE(TRIM(CAST(X."&amp;F289&amp;" AS STRING)),'[^a-zA-Z0-9_\\s]','') &lt;&gt;TRIM(CAST(X."&amp;F289&amp;" AS STRING)),1,0)) AS NUM_REG_DIF,'"&amp;MAX('ID1&amp;5'!K:K)+1&amp;"' AS ID_EXEC, CURRENT_TIMESTAMP() AS TIME_EXEC FROM "&amp;I289,
IF(C289="Missings",+"SELECT '"&amp;UPPER(B289)&amp;"' AS TABELA, '"&amp;UPPER(C289)&amp;"' AS TIPOLOGIA_TESTE,'"&amp;D289&amp;"' AS TABELA_LT,'N/A' AS TABELA_SIMUL,'"&amp;F289&amp;"' AS CAMPO, "&amp;"'${ref_date}' AS REF_DATE, COUNT(*) AS NUM_REG, SUM(IF(TRIM(CAST(X."&amp;F289&amp;" AS STRING)) IN ('0000-00-00','0001-01-01','9999-12-31','MISS','00000','99999999999','99999999999.00','99999999999.000000'),1,0)) AS NUM_REG_DIF,'"&amp;MAX('ID1&amp;5'!K:K)+1&amp;"' AS ID_EXEC, CURRENT_TIMESTAMP() AS TIME_EXEC FROM "&amp;I289,
IF(C289="Not applicable",+"SELECT '"&amp;UPPER(B289)&amp;"' AS TABELA, '"&amp;UPPER(C289)&amp;"' AS TIPOLOGIA_TESTE,'"&amp;D289&amp;"' AS TABELA_LT,'N/A' AS TABELA_SIMUL,'"&amp;F289&amp;"' AS CAMPO, "&amp;"'${ref_date}' AS REF_DATE, COUNT(*) AS NUM_REG, SUM(IF(TRIM(CAST(X."&amp;F289&amp;" AS STRING)) IN ('N/A','11111111111','11111111111.00','11111111111.000000','1111-11-11'),1,0)) AS NUM_REG_DIF,'"&amp;MAX('ID1&amp;5'!K:K)+1&amp;"' AS ID_EXEC, CURRENT_TIMESTAMP() AS TIME_EXEC FROM "&amp;I289,
IF(C289="Valores extremos",+"SELECT '"&amp;UPPER(B289)&amp;"' AS TABELA, '"&amp;UPPER(C289)&amp;"' AS TIPOLOGIA_TESTE,'"&amp;D289&amp;"' AS TABELA_LT,'N/A' AS TABELA_SIMUL,'"&amp;F289&amp;"' AS CAMPO, "&amp;"'${ref_date}' AS REF_DATE, CAST(MIN("&amp;F289&amp;") AS STRING) AS VALOR_MIN, CAST(MAX("&amp;F289&amp;") AS STRING) AS VALOR_MAX,'"&amp;MAX('ID1&amp;5'!K:K)+1&amp;"' AS ID_EXEC, CURRENT_TIMESTAMP() AS TIME_EXEC FROM "&amp;MID(I289,1,LEN(I289)-2)&amp;" AND CAST("&amp;F289&amp;"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TABELA_SIMUL,'gns_fnncl_trnsctn_exchng_ccrr' AS CAMPO, '${ref_date}' AS REF_DATE, COUNT(*) AS NUM_REG, SUM(IF(COALESCE(CAST(X.gns_fnncl_trnsctn_exchng_ccrr AS STRING),'')&lt;&gt;COALESCE(CAST(Y.gns_fnncl_trnsctn_exchng_ccrr_SIMUL AS STRING),'') OR (X.gns_fnncl_trnsctn_exchng_ccrr IS NULL AND Y.gns_fnncl_trnsctn_exchng_ccrr_SIMUL IS NOT NULL ) OR (X.gns_fnncl_trnsctn_exchng_ccrr IS NOT NULL AND Y.gns_fnncl_trnsctn_exchng_ccrr_SIMUL IS NULL),1,0)) AS NUM_REG_DIF,'1' AS ID_EXEC, CURRENT_TIMESTAMP() AS TIME_EXEC FROM (SELECT instrmnt_id, gns_fnncl_trnsctn_exchng_ccrr FROM BU_LOANTAPE_WORK.LT002_INSTRUMENT WHERE ref_date='${ref_date}' AND nome_perimetro='Individual Local' AND segmento='ESTR' AND ambito='SRB_MBDT' AND entidade='00100')X INNER JOIN (SELECT instrmnt_id AS instrmnt_id_SIMUL, gns_fnncl_trnsctn_exchng_ccrr AS gns_fnncl_trnsctn_exchng_ccrr_SIMUL FROM BU_LOANTAPE_WORK.SIMUL_LT002_INSTRUMENT WHERE ref_date='${ref_date}' AND nome_perimetro='Individual Local' AND segmento='ESTR' AND ambito='PILAR3' AND entidade='00100')Y ON X.INSTRMNT_ID=Y.INSTRMNT_ID_SIMUL</v>
      </c>
      <c r="M289" s="36" t="str">
        <f t="shared" si="7"/>
        <v>UNION ALL SELECT 'INSTRUMENT' AS TABELA, 'COERÊNCIA' AS TIPOLOGIA_TESTE,'BU_LOANTAPE_WORK.LT002_INSTRUMENT' AS TABELA_LT,'BU_LOANTAPE_WORK.SIMUL_LT002_INSTRUMENT' AS TABELA_SIMUL,'gns_fnncl_trnsctn_exchng_ccrr' AS CAMPO, '${ref_date}' AS REF_DATE, COUNT(*) AS NUM_REG, SUM(IF(COALESCE(CAST(X.gns_fnncl_trnsctn_exchng_ccrr AS STRING),'')&lt;&gt;COALESCE(CAST(Y.gns_fnncl_trnsctn_exchng_ccrr_SIMUL AS STRING),'') OR (X.gns_fnncl_trnsctn_exchng_ccrr IS NULL AND Y.gns_fnncl_trnsctn_exchng_ccrr_SIMUL IS NOT NULL ) OR (X.gns_fnncl_trnsctn_exchng_ccrr IS NOT NULL AND Y.gns_fnncl_trnsctn_exchng_ccrr_SIMUL IS NULL),1,0)) AS NUM_REG_DIF,'1' AS ID_EXEC, CURRENT_TIMESTAMP() AS TIME_EXEC FROM (SELECT instrmnt_id, gns_fnncl_trnsctn_exchng_ccrr FROM BU_LOANTAPE_WORK.LT002_INSTRUMENT WHERE ref_date='${ref_date}' AND nome_perimetro='Individual Local' AND segmento='ESTR' AND ambito='SRB_MBDT' AND entidade='00100')X INNER JOIN (SELECT instrmnt_id AS instrmnt_id_SIMUL, gns_fnncl_trnsctn_exchng_ccrr AS gns_fnncl_trnsctn_exchng_ccrr_SIMUL FROM BU_LOANTAPE_WORK.SIMUL_LT002_INSTRUMENT WHERE ref_date='${ref_date}' AND nome_perimetro='Individual Local' AND segmento='ESTR' AND ambito='PILAR3' AND entidade='00100')Y ON X.INSTRMNT_ID=Y.INSTRMNT_ID_SIMUL</v>
      </c>
      <c r="N289" s="38"/>
    </row>
    <row r="290" spans="2:14">
      <c r="B290" s="34" t="s">
        <v>117</v>
      </c>
      <c r="C290" s="34" t="s">
        <v>5</v>
      </c>
      <c r="D290" s="34" t="str">
        <f>+UPPER('0. Instruções'!$D$35&amp;"."&amp;VLOOKUP(B290,'0. Instruções'!$C$27:$D$32,2,FALSE))</f>
        <v>BU_LOANTAPE_WORK.LT002_INSTRUMENT</v>
      </c>
      <c r="E290" s="34" t="str">
        <f>+UPPER('0. Instruções'!$D$36&amp;"."&amp;VLOOKUP(B290,'0. Instruções'!$C$27:$E$32,3,FALSE))</f>
        <v>BU_LOANTAPE_WORK.SIMUL_LT002_INSTRUMENT</v>
      </c>
      <c r="F290" s="34" t="s">
        <v>1341</v>
      </c>
      <c r="G290" s="34"/>
      <c r="H290" s="34"/>
      <c r="I290" s="34" t="str">
        <f>"(SELECT "&amp;VLOOKUP(B290,'0. Instruções'!$C$27:$G$32,4,FALSE)&amp;", "&amp;F290&amp;" FROM "&amp;D290&amp;" WHERE "&amp;'0. Instruções'!$D$42&amp;")X"</f>
        <v>(SELECT instrmnt_id, bsnss_area_ccrr FROM BU_LOANTAPE_WORK.LT002_INSTRUMENT WHERE ref_date='${ref_date}' AND nome_perimetro='Individual Local' AND segmento='ESTR' AND ambito='SRB_MBDT' AND entidade='00100')X</v>
      </c>
      <c r="J290" s="34" t="str">
        <f>"(SELECT "&amp;VLOOKUP(B290,'0. Instruções'!$C$27:$G$32,4,FALSE)&amp;" AS "&amp;VLOOKUP(B290,'0. Instruções'!$C$27:$G$32,4,FALSE)&amp;"_SIMUL, "&amp;F290&amp;" AS "&amp;F290&amp;"_SIMUL FROM "&amp;E290&amp;" WHERE "&amp;'0. Instruções'!$D$43&amp;")Y"</f>
        <v>(SELECT instrmnt_id AS instrmnt_id_SIMUL, bsnss_area_ccrr AS bsnss_area_ccrr_SIMUL FROM BU_LOANTAPE_WORK.SIMUL_LT002_INSTRUMENT WHERE ref_date='${ref_date}' AND nome_perimetro='Individual Local' AND segmento='ESTR' AND ambito='PILAR3' AND entidade='00100')Y</v>
      </c>
      <c r="K290" s="35" t="str">
        <f>+UPPER("ON X."&amp;VLOOKUP(B290,'0. Instruções'!$C$27:$G$32,4,FALSE)&amp;"=Y."&amp;VLOOKUP(B290,'0. Instruções'!$C$27:$G$32,4,FALSE)&amp;"_SIMUL")</f>
        <v>ON X.INSTRMNT_ID=Y.INSTRMNT_ID_SIMUL</v>
      </c>
      <c r="L290" s="35" t="str">
        <f>+IF(C290="Coerência", +IF(LEFT(G290,5)="FLOAT","SELECT '"&amp;UPPER(B290)&amp;"' AS TABELA, '"&amp;UPPER(C290)&amp;"' AS TIPOLOGIA_TESTE,'"&amp;D290&amp;"' AS TABELA_LT,'"&amp;E290&amp;"' AS TABELA_SIMUL,'"&amp;F290&amp;"' AS CAMPO, "&amp;"'${ref_date}' AS REF_DATE, COUNT(*) AS NUM_REG, SUM(IF((ABS(COALESCE(CAST(X."&amp;F290&amp;" AS DECIMAL(18,6)),0)-COALESCE(CAST(Y."&amp;F290&amp;"_SIMUL AS DECIMAL(18,6)),0))&gt;0.000001) OR (X."&amp;F290&amp;" IS NULL AND Y."&amp;F290&amp;"_SIMUL IS NOT NULL ) OR (X."&amp;F290&amp;" IS NOT NULL AND Y."&amp;F290&amp;"_SIMUL IS NULL),1,0)) AS NUM_REG_DIF,'"&amp;MAX('ID1&amp;5'!K:K)+1&amp;"' AS ID_EXEC, CURRENT_TIMESTAMP() AS TIME_EXEC FROM "&amp;I290&amp;" INNER JOIN "&amp;J290&amp;" "&amp;K290,"SELECT '"&amp;UPPER(B290)&amp;"' AS TABELA, '"&amp;UPPER(C290)&amp;"' AS TIPOLOGIA_TESTE,'"&amp;D290&amp;"' AS TABELA_LT,'"&amp;E290&amp;"' AS TABELA_SIMUL,'"&amp;F290&amp;"' AS CAMPO, "&amp;"'${ref_date}' AS REF_DATE, COUNT(*) AS NUM_REG, SUM(IF(COALESCE(CAST(X."&amp;F290&amp;" AS STRING),'')&lt;&gt;COALESCE(CAST(Y."&amp;F290&amp;"_SIMUL AS STRING),'') OR (X."&amp;F290&amp;" IS NULL AND Y."&amp;F290&amp;"_SIMUL IS NOT NULL ) OR (X."&amp;F290&amp;" IS NOT NULL AND Y."&amp;F290&amp;"_SIMUL IS NULL),1,0)) AS NUM_REG_DIF,'"&amp;MAX('ID1&amp;5'!L:L)+1&amp;"' AS ID_EXEC, CURRENT_TIMESTAMP() AS TIME_EXEC FROM "&amp;I290&amp;" INNER JOIN "&amp;J290&amp;" "&amp;K290),
IF(C290="Validade",+IF(G290="Code List","SELECT '"&amp;UPPER(B290)&amp;"' AS TABELA, '"&amp;UPPER(C290)&amp;"' AS TIPOLOGIA_TESTE,'"&amp;D290&amp;"' AS TABELA_LT,'N/A' AS TABELA_SIMUL,'"&amp;F290&amp;"' AS CAMPO, "&amp;"'${ref_date}' AS REF_DATE, COUNT(*) AS NUM_REG, SUM(IF(TRIM(CAST(X."&amp;F290&amp;" AS STRING))='' OR TRIM(CAST(X."&amp;F290&amp;" AS STRING)) IS NULL OR CAST(X."&amp;F290&amp;" AS STRING) NOT "&amp;H290&amp;",1,0)) AS NUM_REG_DIF,'"&amp;MAX('ID1&amp;5'!K:K)+1&amp;"' AS ID_EXEC, CURRENT_TIMESTAMP() AS TIME_EXEC FROM "&amp;I290,"SELECT '"&amp;UPPER(B290)&amp;"' AS TABELA, '"&amp;UPPER(C290)&amp;"' AS TIPOLOGIA_TESTE,'"&amp;D290&amp;"' AS TABELA_LT,'N/A' AS TABELA_SIMUL,'"&amp;F290&amp;"' AS CAMPO, "&amp;"'${ref_date}' AS REF_DATE, COUNT(*) AS NUM_REG, SUM(IF(TRIM(CAST(X."&amp;F290&amp;" AS STRING))='' OR TRIM(CAST(X."&amp;F290&amp;" AS STRING)) IS NULL,1,0)) AS NUM_REG_DIF,'"&amp;MAX('ID1&amp;5'!K:K)+1&amp;"' AS ID_EXEC, CURRENT_TIMESTAMP() AS TIME_EXEC FROM "&amp;I290),
IF(C290="Caracteres Especiais",+"SELECT '"&amp;UPPER(B290)&amp;"' AS TABELA, '"&amp;UPPER(C290)&amp;"' AS TIPOLOGIA_TESTE,'"&amp;D290&amp;"' AS TABELA_LT,'N/A' AS TABELA_SIMUL,'"&amp;F290&amp;"' AS CAMPO, "&amp;"'${ref_date}' AS REF_DATE, COUNT(*) AS NUM_REG, SUM(IF(REGEXP_REPLACE(TRIM(CAST(X."&amp;F290&amp;" AS STRING)),'[^a-zA-Z0-9_\\s]','') &lt;&gt;TRIM(CAST(X."&amp;F290&amp;" AS STRING)),1,0)) AS NUM_REG_DIF,'"&amp;MAX('ID1&amp;5'!K:K)+1&amp;"' AS ID_EXEC, CURRENT_TIMESTAMP() AS TIME_EXEC FROM "&amp;I290,
IF(C290="Missings",+"SELECT '"&amp;UPPER(B290)&amp;"' AS TABELA, '"&amp;UPPER(C290)&amp;"' AS TIPOLOGIA_TESTE,'"&amp;D290&amp;"' AS TABELA_LT,'N/A' AS TABELA_SIMUL,'"&amp;F290&amp;"' AS CAMPO, "&amp;"'${ref_date}' AS REF_DATE, COUNT(*) AS NUM_REG, SUM(IF(TRIM(CAST(X."&amp;F290&amp;" AS STRING)) IN ('0000-00-00','0001-01-01','9999-12-31','MISS','00000','99999999999','99999999999.00','99999999999.000000'),1,0)) AS NUM_REG_DIF,'"&amp;MAX('ID1&amp;5'!K:K)+1&amp;"' AS ID_EXEC, CURRENT_TIMESTAMP() AS TIME_EXEC FROM "&amp;I290,
IF(C290="Not applicable",+"SELECT '"&amp;UPPER(B290)&amp;"' AS TABELA, '"&amp;UPPER(C290)&amp;"' AS TIPOLOGIA_TESTE,'"&amp;D290&amp;"' AS TABELA_LT,'N/A' AS TABELA_SIMUL,'"&amp;F290&amp;"' AS CAMPO, "&amp;"'${ref_date}' AS REF_DATE, COUNT(*) AS NUM_REG, SUM(IF(TRIM(CAST(X."&amp;F290&amp;" AS STRING)) IN ('N/A','11111111111','11111111111.00','11111111111.000000','1111-11-11'),1,0)) AS NUM_REG_DIF,'"&amp;MAX('ID1&amp;5'!K:K)+1&amp;"' AS ID_EXEC, CURRENT_TIMESTAMP() AS TIME_EXEC FROM "&amp;I290,
IF(C290="Valores extremos",+"SELECT '"&amp;UPPER(B290)&amp;"' AS TABELA, '"&amp;UPPER(C290)&amp;"' AS TIPOLOGIA_TESTE,'"&amp;D290&amp;"' AS TABELA_LT,'N/A' AS TABELA_SIMUL,'"&amp;F290&amp;"' AS CAMPO, "&amp;"'${ref_date}' AS REF_DATE, CAST(MIN("&amp;F290&amp;") AS STRING) AS VALOR_MIN, CAST(MAX("&amp;F290&amp;") AS STRING) AS VALOR_MAX,'"&amp;MAX('ID1&amp;5'!K:K)+1&amp;"' AS ID_EXEC, CURRENT_TIMESTAMP() AS TIME_EXEC FROM "&amp;MID(I290,1,LEN(I290)-2)&amp;" AND CAST("&amp;F290&amp;"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TABELA_SIMUL,'bsnss_area_ccrr' AS CAMPO, '${ref_date}' AS REF_DATE, COUNT(*) AS NUM_REG, SUM(IF(COALESCE(CAST(X.bsnss_area_ccrr AS STRING),'')&lt;&gt;COALESCE(CAST(Y.bsnss_area_ccrr_SIMUL AS STRING),'') OR (X.bsnss_area_ccrr IS NULL AND Y.bsnss_area_ccrr_SIMUL IS NOT NULL ) OR (X.bsnss_area_ccrr IS NOT NULL AND Y.bsnss_area_ccrr_SIMUL IS NULL),1,0)) AS NUM_REG_DIF,'1' AS ID_EXEC, CURRENT_TIMESTAMP() AS TIME_EXEC FROM (SELECT instrmnt_id, bsnss_area_ccrr FROM BU_LOANTAPE_WORK.LT002_INSTRUMENT WHERE ref_date='${ref_date}' AND nome_perimetro='Individual Local' AND segmento='ESTR' AND ambito='SRB_MBDT' AND entidade='00100')X INNER JOIN (SELECT instrmnt_id AS instrmnt_id_SIMUL, bsnss_area_ccrr AS bsnss_area_ccrr_SIMUL FROM BU_LOANTAPE_WORK.SIMUL_LT002_INSTRUMENT WHERE ref_date='${ref_date}' AND nome_perimetro='Individual Local' AND segmento='ESTR' AND ambito='PILAR3' AND entidade='00100')Y ON X.INSTRMNT_ID=Y.INSTRMNT_ID_SIMUL</v>
      </c>
      <c r="M290" s="36" t="str">
        <f t="shared" si="7"/>
        <v>UNION ALL SELECT 'INSTRUMENT' AS TABELA, 'COERÊNCIA' AS TIPOLOGIA_TESTE,'BU_LOANTAPE_WORK.LT002_INSTRUMENT' AS TABELA_LT,'BU_LOANTAPE_WORK.SIMUL_LT002_INSTRUMENT' AS TABELA_SIMUL,'bsnss_area_ccrr' AS CAMPO, '${ref_date}' AS REF_DATE, COUNT(*) AS NUM_REG, SUM(IF(COALESCE(CAST(X.bsnss_area_ccrr AS STRING),'')&lt;&gt;COALESCE(CAST(Y.bsnss_area_ccrr_SIMUL AS STRING),'') OR (X.bsnss_area_ccrr IS NULL AND Y.bsnss_area_ccrr_SIMUL IS NOT NULL ) OR (X.bsnss_area_ccrr IS NOT NULL AND Y.bsnss_area_ccrr_SIMUL IS NULL),1,0)) AS NUM_REG_DIF,'1' AS ID_EXEC, CURRENT_TIMESTAMP() AS TIME_EXEC FROM (SELECT instrmnt_id, bsnss_area_ccrr FROM BU_LOANTAPE_WORK.LT002_INSTRUMENT WHERE ref_date='${ref_date}' AND nome_perimetro='Individual Local' AND segmento='ESTR' AND ambito='SRB_MBDT' AND entidade='00100')X INNER JOIN (SELECT instrmnt_id AS instrmnt_id_SIMUL, bsnss_area_ccrr AS bsnss_area_ccrr_SIMUL FROM BU_LOANTAPE_WORK.SIMUL_LT002_INSTRUMENT WHERE ref_date='${ref_date}' AND nome_perimetro='Individual Local' AND segmento='ESTR' AND ambito='PILAR3' AND entidade='00100')Y ON X.INSTRMNT_ID=Y.INSTRMNT_ID_SIMUL</v>
      </c>
      <c r="N290" s="38"/>
    </row>
    <row r="291" spans="2:14">
      <c r="B291" s="34" t="s">
        <v>117</v>
      </c>
      <c r="C291" s="34" t="s">
        <v>5</v>
      </c>
      <c r="D291" s="34" t="str">
        <f>+UPPER('0. Instruções'!$D$35&amp;"."&amp;VLOOKUP(B291,'0. Instruções'!$C$27:$D$32,2,FALSE))</f>
        <v>BU_LOANTAPE_WORK.LT002_INSTRUMENT</v>
      </c>
      <c r="E291" s="34" t="str">
        <f>+UPPER('0. Instruções'!$D$36&amp;"."&amp;VLOOKUP(B291,'0. Instruções'!$C$27:$E$32,3,FALSE))</f>
        <v>BU_LOANTAPE_WORK.SIMUL_LT002_INSTRUMENT</v>
      </c>
      <c r="F291" s="34" t="s">
        <v>1342</v>
      </c>
      <c r="G291" s="34"/>
      <c r="H291" s="34"/>
      <c r="I291" s="34" t="str">
        <f>"(SELECT "&amp;VLOOKUP(B291,'0. Instruções'!$C$27:$G$32,4,FALSE)&amp;", "&amp;F291&amp;" FROM "&amp;D291&amp;" WHERE "&amp;'0. Instruções'!$D$42&amp;")X"</f>
        <v>(SELECT instrmnt_id, grss_cmmssn_incm_off_blnc_ccrr FROM BU_LOANTAPE_WORK.LT002_INSTRUMENT WHERE ref_date='${ref_date}' AND nome_perimetro='Individual Local' AND segmento='ESTR' AND ambito='SRB_MBDT' AND entidade='00100')X</v>
      </c>
      <c r="J291" s="34" t="str">
        <f>"(SELECT "&amp;VLOOKUP(B291,'0. Instruções'!$C$27:$G$32,4,FALSE)&amp;" AS "&amp;VLOOKUP(B291,'0. Instruções'!$C$27:$G$32,4,FALSE)&amp;"_SIMUL, "&amp;F291&amp;" AS "&amp;F291&amp;"_SIMUL FROM "&amp;E291&amp;" WHERE "&amp;'0. Instruções'!$D$43&amp;")Y"</f>
        <v>(SELECT instrmnt_id AS instrmnt_id_SIMUL, grss_cmmssn_incm_off_blnc_ccrr AS grss_cmmssn_incm_off_blnc_ccrr_SIMUL FROM BU_LOANTAPE_WORK.SIMUL_LT002_INSTRUMENT WHERE ref_date='${ref_date}' AND nome_perimetro='Individual Local' AND segmento='ESTR' AND ambito='PILAR3' AND entidade='00100')Y</v>
      </c>
      <c r="K291" s="35" t="str">
        <f>+UPPER("ON X."&amp;VLOOKUP(B291,'0. Instruções'!$C$27:$G$32,4,FALSE)&amp;"=Y."&amp;VLOOKUP(B291,'0. Instruções'!$C$27:$G$32,4,FALSE)&amp;"_SIMUL")</f>
        <v>ON X.INSTRMNT_ID=Y.INSTRMNT_ID_SIMUL</v>
      </c>
      <c r="L291" s="35" t="str">
        <f>+IF(C291="Coerência", +IF(LEFT(G291,5)="FLOAT","SELECT '"&amp;UPPER(B291)&amp;"' AS TABELA, '"&amp;UPPER(C291)&amp;"' AS TIPOLOGIA_TESTE,'"&amp;D291&amp;"' AS TABELA_LT,'"&amp;E291&amp;"' AS TABELA_SIMUL,'"&amp;F291&amp;"' AS CAMPO, "&amp;"'${ref_date}' AS REF_DATE, COUNT(*) AS NUM_REG, SUM(IF((ABS(COALESCE(CAST(X."&amp;F291&amp;" AS DECIMAL(18,6)),0)-COALESCE(CAST(Y."&amp;F291&amp;"_SIMUL AS DECIMAL(18,6)),0))&gt;0.000001) OR (X."&amp;F291&amp;" IS NULL AND Y."&amp;F291&amp;"_SIMUL IS NOT NULL ) OR (X."&amp;F291&amp;" IS NOT NULL AND Y."&amp;F291&amp;"_SIMUL IS NULL),1,0)) AS NUM_REG_DIF,'"&amp;MAX('ID1&amp;5'!K:K)+1&amp;"' AS ID_EXEC, CURRENT_TIMESTAMP() AS TIME_EXEC FROM "&amp;I291&amp;" INNER JOIN "&amp;J291&amp;" "&amp;K291,"SELECT '"&amp;UPPER(B291)&amp;"' AS TABELA, '"&amp;UPPER(C291)&amp;"' AS TIPOLOGIA_TESTE,'"&amp;D291&amp;"' AS TABELA_LT,'"&amp;E291&amp;"' AS TABELA_SIMUL,'"&amp;F291&amp;"' AS CAMPO, "&amp;"'${ref_date}' AS REF_DATE, COUNT(*) AS NUM_REG, SUM(IF(COALESCE(CAST(X."&amp;F291&amp;" AS STRING),'')&lt;&gt;COALESCE(CAST(Y."&amp;F291&amp;"_SIMUL AS STRING),'') OR (X."&amp;F291&amp;" IS NULL AND Y."&amp;F291&amp;"_SIMUL IS NOT NULL ) OR (X."&amp;F291&amp;" IS NOT NULL AND Y."&amp;F291&amp;"_SIMUL IS NULL),1,0)) AS NUM_REG_DIF,'"&amp;MAX('ID1&amp;5'!L:L)+1&amp;"' AS ID_EXEC, CURRENT_TIMESTAMP() AS TIME_EXEC FROM "&amp;I291&amp;" INNER JOIN "&amp;J291&amp;" "&amp;K291),
IF(C291="Validade",+IF(G291="Code List","SELECT '"&amp;UPPER(B291)&amp;"' AS TABELA, '"&amp;UPPER(C291)&amp;"' AS TIPOLOGIA_TESTE,'"&amp;D291&amp;"' AS TABELA_LT,'N/A' AS TABELA_SIMUL,'"&amp;F291&amp;"' AS CAMPO, "&amp;"'${ref_date}' AS REF_DATE, COUNT(*) AS NUM_REG, SUM(IF(TRIM(CAST(X."&amp;F291&amp;" AS STRING))='' OR TRIM(CAST(X."&amp;F291&amp;" AS STRING)) IS NULL OR CAST(X."&amp;F291&amp;" AS STRING) NOT "&amp;H291&amp;",1,0)) AS NUM_REG_DIF,'"&amp;MAX('ID1&amp;5'!K:K)+1&amp;"' AS ID_EXEC, CURRENT_TIMESTAMP() AS TIME_EXEC FROM "&amp;I291,"SELECT '"&amp;UPPER(B291)&amp;"' AS TABELA, '"&amp;UPPER(C291)&amp;"' AS TIPOLOGIA_TESTE,'"&amp;D291&amp;"' AS TABELA_LT,'N/A' AS TABELA_SIMUL,'"&amp;F291&amp;"' AS CAMPO, "&amp;"'${ref_date}' AS REF_DATE, COUNT(*) AS NUM_REG, SUM(IF(TRIM(CAST(X."&amp;F291&amp;" AS STRING))='' OR TRIM(CAST(X."&amp;F291&amp;" AS STRING)) IS NULL,1,0)) AS NUM_REG_DIF,'"&amp;MAX('ID1&amp;5'!K:K)+1&amp;"' AS ID_EXEC, CURRENT_TIMESTAMP() AS TIME_EXEC FROM "&amp;I291),
IF(C291="Caracteres Especiais",+"SELECT '"&amp;UPPER(B291)&amp;"' AS TABELA, '"&amp;UPPER(C291)&amp;"' AS TIPOLOGIA_TESTE,'"&amp;D291&amp;"' AS TABELA_LT,'N/A' AS TABELA_SIMUL,'"&amp;F291&amp;"' AS CAMPO, "&amp;"'${ref_date}' AS REF_DATE, COUNT(*) AS NUM_REG, SUM(IF(REGEXP_REPLACE(TRIM(CAST(X."&amp;F291&amp;" AS STRING)),'[^a-zA-Z0-9_\\s]','') &lt;&gt;TRIM(CAST(X."&amp;F291&amp;" AS STRING)),1,0)) AS NUM_REG_DIF,'"&amp;MAX('ID1&amp;5'!K:K)+1&amp;"' AS ID_EXEC, CURRENT_TIMESTAMP() AS TIME_EXEC FROM "&amp;I291,
IF(C291="Missings",+"SELECT '"&amp;UPPER(B291)&amp;"' AS TABELA, '"&amp;UPPER(C291)&amp;"' AS TIPOLOGIA_TESTE,'"&amp;D291&amp;"' AS TABELA_LT,'N/A' AS TABELA_SIMUL,'"&amp;F291&amp;"' AS CAMPO, "&amp;"'${ref_date}' AS REF_DATE, COUNT(*) AS NUM_REG, SUM(IF(TRIM(CAST(X."&amp;F291&amp;" AS STRING)) IN ('0000-00-00','0001-01-01','9999-12-31','MISS','00000','99999999999','99999999999.00','99999999999.000000'),1,0)) AS NUM_REG_DIF,'"&amp;MAX('ID1&amp;5'!K:K)+1&amp;"' AS ID_EXEC, CURRENT_TIMESTAMP() AS TIME_EXEC FROM "&amp;I291,
IF(C291="Not applicable",+"SELECT '"&amp;UPPER(B291)&amp;"' AS TABELA, '"&amp;UPPER(C291)&amp;"' AS TIPOLOGIA_TESTE,'"&amp;D291&amp;"' AS TABELA_LT,'N/A' AS TABELA_SIMUL,'"&amp;F291&amp;"' AS CAMPO, "&amp;"'${ref_date}' AS REF_DATE, COUNT(*) AS NUM_REG, SUM(IF(TRIM(CAST(X."&amp;F291&amp;" AS STRING)) IN ('N/A','11111111111','11111111111.00','11111111111.000000','1111-11-11'),1,0)) AS NUM_REG_DIF,'"&amp;MAX('ID1&amp;5'!K:K)+1&amp;"' AS ID_EXEC, CURRENT_TIMESTAMP() AS TIME_EXEC FROM "&amp;I291,
IF(C291="Valores extremos",+"SELECT '"&amp;UPPER(B291)&amp;"' AS TABELA, '"&amp;UPPER(C291)&amp;"' AS TIPOLOGIA_TESTE,'"&amp;D291&amp;"' AS TABELA_LT,'N/A' AS TABELA_SIMUL,'"&amp;F291&amp;"' AS CAMPO, "&amp;"'${ref_date}' AS REF_DATE, CAST(MIN("&amp;F291&amp;") AS STRING) AS VALOR_MIN, CAST(MAX("&amp;F291&amp;") AS STRING) AS VALOR_MAX,'"&amp;MAX('ID1&amp;5'!K:K)+1&amp;"' AS ID_EXEC, CURRENT_TIMESTAMP() AS TIME_EXEC FROM "&amp;MID(I291,1,LEN(I291)-2)&amp;" AND CAST("&amp;F291&amp;"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TABELA_SIMUL,'grss_cmmssn_incm_off_blnc_ccrr' AS CAMPO, '${ref_date}' AS REF_DATE, COUNT(*) AS NUM_REG, SUM(IF(COALESCE(CAST(X.grss_cmmssn_incm_off_blnc_ccrr AS STRING),'')&lt;&gt;COALESCE(CAST(Y.grss_cmmssn_incm_off_blnc_ccrr_SIMUL AS STRING),'') OR (X.grss_cmmssn_incm_off_blnc_ccrr IS NULL AND Y.grss_cmmssn_incm_off_blnc_ccrr_SIMUL IS NOT NULL ) OR (X.grss_cmmssn_incm_off_blnc_ccrr IS NOT NULL AND Y.grss_cmmssn_incm_off_blnc_ccrr_SIMUL IS NULL),1,0)) AS NUM_REG_DIF,'1' AS ID_EXEC, CURRENT_TIMESTAMP() AS TIME_EXEC FROM (SELECT instrmnt_id, grss_cmmssn_incm_off_blnc_ccrr FROM BU_LOANTAPE_WORK.LT002_INSTRUMENT WHERE ref_date='${ref_date}' AND nome_perimetro='Individual Local' AND segmento='ESTR' AND ambito='SRB_MBDT' AND entidade='00100')X INNER JOIN (SELECT instrmnt_id AS instrmnt_id_SIMUL, grss_cmmssn_incm_off_blnc_ccrr AS grss_cmmssn_incm_off_blnc_ccrr_SIMUL FROM BU_LOANTAPE_WORK.SIMUL_LT002_INSTRUMENT WHERE ref_date='${ref_date}' AND nome_perimetro='Individual Local' AND segmento='ESTR' AND ambito='PILAR3' AND entidade='00100')Y ON X.INSTRMNT_ID=Y.INSTRMNT_ID_SIMUL</v>
      </c>
      <c r="M291" s="36" t="str">
        <f t="shared" si="7"/>
        <v>UNION ALL SELECT 'INSTRUMENT' AS TABELA, 'COERÊNCIA' AS TIPOLOGIA_TESTE,'BU_LOANTAPE_WORK.LT002_INSTRUMENT' AS TABELA_LT,'BU_LOANTAPE_WORK.SIMUL_LT002_INSTRUMENT' AS TABELA_SIMUL,'grss_cmmssn_incm_off_blnc_ccrr' AS CAMPO, '${ref_date}' AS REF_DATE, COUNT(*) AS NUM_REG, SUM(IF(COALESCE(CAST(X.grss_cmmssn_incm_off_blnc_ccrr AS STRING),'')&lt;&gt;COALESCE(CAST(Y.grss_cmmssn_incm_off_blnc_ccrr_SIMUL AS STRING),'') OR (X.grss_cmmssn_incm_off_blnc_ccrr IS NULL AND Y.grss_cmmssn_incm_off_blnc_ccrr_SIMUL IS NOT NULL ) OR (X.grss_cmmssn_incm_off_blnc_ccrr IS NOT NULL AND Y.grss_cmmssn_incm_off_blnc_ccrr_SIMUL IS NULL),1,0)) AS NUM_REG_DIF,'1' AS ID_EXEC, CURRENT_TIMESTAMP() AS TIME_EXEC FROM (SELECT instrmnt_id, grss_cmmssn_incm_off_blnc_ccrr FROM BU_LOANTAPE_WORK.LT002_INSTRUMENT WHERE ref_date='${ref_date}' AND nome_perimetro='Individual Local' AND segmento='ESTR' AND ambito='SRB_MBDT' AND entidade='00100')X INNER JOIN (SELECT instrmnt_id AS instrmnt_id_SIMUL, grss_cmmssn_incm_off_blnc_ccrr AS grss_cmmssn_incm_off_blnc_ccrr_SIMUL FROM BU_LOANTAPE_WORK.SIMUL_LT002_INSTRUMENT WHERE ref_date='${ref_date}' AND nome_perimetro='Individual Local' AND segmento='ESTR' AND ambito='PILAR3' AND entidade='00100')Y ON X.INSTRMNT_ID=Y.INSTRMNT_ID_SIMUL</v>
      </c>
      <c r="N291" s="38"/>
    </row>
    <row r="292" spans="2:14">
      <c r="B292" s="34" t="s">
        <v>117</v>
      </c>
      <c r="C292" s="34" t="s">
        <v>5</v>
      </c>
      <c r="D292" s="34" t="str">
        <f>+UPPER('0. Instruções'!$D$35&amp;"."&amp;VLOOKUP(B292,'0. Instruções'!$C$27:$D$32,2,FALSE))</f>
        <v>BU_LOANTAPE_WORK.LT002_INSTRUMENT</v>
      </c>
      <c r="E292" s="34" t="str">
        <f>+UPPER('0. Instruções'!$D$36&amp;"."&amp;VLOOKUP(B292,'0. Instruções'!$C$27:$E$32,3,FALSE))</f>
        <v>BU_LOANTAPE_WORK.SIMUL_LT002_INSTRUMENT</v>
      </c>
      <c r="F292" s="34" t="s">
        <v>1343</v>
      </c>
      <c r="G292" s="34"/>
      <c r="H292" s="34"/>
      <c r="I292" s="34" t="str">
        <f>"(SELECT "&amp;VLOOKUP(B292,'0. Instruções'!$C$27:$G$32,4,FALSE)&amp;", "&amp;F292&amp;" FROM "&amp;D292&amp;" WHERE "&amp;'0. Instruções'!$D$42&amp;")X"</f>
        <v>(SELECT instrmnt_id, grss_cmmssn_expns_off_blnc_ccrr FROM BU_LOANTAPE_WORK.LT002_INSTRUMENT WHERE ref_date='${ref_date}' AND nome_perimetro='Individual Local' AND segmento='ESTR' AND ambito='SRB_MBDT' AND entidade='00100')X</v>
      </c>
      <c r="J292" s="34" t="str">
        <f>"(SELECT "&amp;VLOOKUP(B292,'0. Instruções'!$C$27:$G$32,4,FALSE)&amp;" AS "&amp;VLOOKUP(B292,'0. Instruções'!$C$27:$G$32,4,FALSE)&amp;"_SIMUL, "&amp;F292&amp;" AS "&amp;F292&amp;"_SIMUL FROM "&amp;E292&amp;" WHERE "&amp;'0. Instruções'!$D$43&amp;")Y"</f>
        <v>(SELECT instrmnt_id AS instrmnt_id_SIMUL, grss_cmmssn_expns_off_blnc_ccrr AS grss_cmmssn_expns_off_blnc_ccrr_SIMUL FROM BU_LOANTAPE_WORK.SIMUL_LT002_INSTRUMENT WHERE ref_date='${ref_date}' AND nome_perimetro='Individual Local' AND segmento='ESTR' AND ambito='PILAR3' AND entidade='00100')Y</v>
      </c>
      <c r="K292" s="35" t="str">
        <f>+UPPER("ON X."&amp;VLOOKUP(B292,'0. Instruções'!$C$27:$G$32,4,FALSE)&amp;"=Y."&amp;VLOOKUP(B292,'0. Instruções'!$C$27:$G$32,4,FALSE)&amp;"_SIMUL")</f>
        <v>ON X.INSTRMNT_ID=Y.INSTRMNT_ID_SIMUL</v>
      </c>
      <c r="L292" s="35" t="str">
        <f>+IF(C292="Coerência", +IF(LEFT(G292,5)="FLOAT","SELECT '"&amp;UPPER(B292)&amp;"' AS TABELA, '"&amp;UPPER(C292)&amp;"' AS TIPOLOGIA_TESTE,'"&amp;D292&amp;"' AS TABELA_LT,'"&amp;E292&amp;"' AS TABELA_SIMUL,'"&amp;F292&amp;"' AS CAMPO, "&amp;"'${ref_date}' AS REF_DATE, COUNT(*) AS NUM_REG, SUM(IF((ABS(COALESCE(CAST(X."&amp;F292&amp;" AS DECIMAL(18,6)),0)-COALESCE(CAST(Y."&amp;F292&amp;"_SIMUL AS DECIMAL(18,6)),0))&gt;0.000001) OR (X."&amp;F292&amp;" IS NULL AND Y."&amp;F292&amp;"_SIMUL IS NOT NULL ) OR (X."&amp;F292&amp;" IS NOT NULL AND Y."&amp;F292&amp;"_SIMUL IS NULL),1,0)) AS NUM_REG_DIF,'"&amp;MAX('ID1&amp;5'!K:K)+1&amp;"' AS ID_EXEC, CURRENT_TIMESTAMP() AS TIME_EXEC FROM "&amp;I292&amp;" INNER JOIN "&amp;J292&amp;" "&amp;K292,"SELECT '"&amp;UPPER(B292)&amp;"' AS TABELA, '"&amp;UPPER(C292)&amp;"' AS TIPOLOGIA_TESTE,'"&amp;D292&amp;"' AS TABELA_LT,'"&amp;E292&amp;"' AS TABELA_SIMUL,'"&amp;F292&amp;"' AS CAMPO, "&amp;"'${ref_date}' AS REF_DATE, COUNT(*) AS NUM_REG, SUM(IF(COALESCE(CAST(X."&amp;F292&amp;" AS STRING),'')&lt;&gt;COALESCE(CAST(Y."&amp;F292&amp;"_SIMUL AS STRING),'') OR (X."&amp;F292&amp;" IS NULL AND Y."&amp;F292&amp;"_SIMUL IS NOT NULL ) OR (X."&amp;F292&amp;" IS NOT NULL AND Y."&amp;F292&amp;"_SIMUL IS NULL),1,0)) AS NUM_REG_DIF,'"&amp;MAX('ID1&amp;5'!L:L)+1&amp;"' AS ID_EXEC, CURRENT_TIMESTAMP() AS TIME_EXEC FROM "&amp;I292&amp;" INNER JOIN "&amp;J292&amp;" "&amp;K292),
IF(C292="Validade",+IF(G292="Code List","SELECT '"&amp;UPPER(B292)&amp;"' AS TABELA, '"&amp;UPPER(C292)&amp;"' AS TIPOLOGIA_TESTE,'"&amp;D292&amp;"' AS TABELA_LT,'N/A' AS TABELA_SIMUL,'"&amp;F292&amp;"' AS CAMPO, "&amp;"'${ref_date}' AS REF_DATE, COUNT(*) AS NUM_REG, SUM(IF(TRIM(CAST(X."&amp;F292&amp;" AS STRING))='' OR TRIM(CAST(X."&amp;F292&amp;" AS STRING)) IS NULL OR CAST(X."&amp;F292&amp;" AS STRING) NOT "&amp;H292&amp;",1,0)) AS NUM_REG_DIF,'"&amp;MAX('ID1&amp;5'!K:K)+1&amp;"' AS ID_EXEC, CURRENT_TIMESTAMP() AS TIME_EXEC FROM "&amp;I292,"SELECT '"&amp;UPPER(B292)&amp;"' AS TABELA, '"&amp;UPPER(C292)&amp;"' AS TIPOLOGIA_TESTE,'"&amp;D292&amp;"' AS TABELA_LT,'N/A' AS TABELA_SIMUL,'"&amp;F292&amp;"' AS CAMPO, "&amp;"'${ref_date}' AS REF_DATE, COUNT(*) AS NUM_REG, SUM(IF(TRIM(CAST(X."&amp;F292&amp;" AS STRING))='' OR TRIM(CAST(X."&amp;F292&amp;" AS STRING)) IS NULL,1,0)) AS NUM_REG_DIF,'"&amp;MAX('ID1&amp;5'!K:K)+1&amp;"' AS ID_EXEC, CURRENT_TIMESTAMP() AS TIME_EXEC FROM "&amp;I292),
IF(C292="Caracteres Especiais",+"SELECT '"&amp;UPPER(B292)&amp;"' AS TABELA, '"&amp;UPPER(C292)&amp;"' AS TIPOLOGIA_TESTE,'"&amp;D292&amp;"' AS TABELA_LT,'N/A' AS TABELA_SIMUL,'"&amp;F292&amp;"' AS CAMPO, "&amp;"'${ref_date}' AS REF_DATE, COUNT(*) AS NUM_REG, SUM(IF(REGEXP_REPLACE(TRIM(CAST(X."&amp;F292&amp;" AS STRING)),'[^a-zA-Z0-9_\\s]','') &lt;&gt;TRIM(CAST(X."&amp;F292&amp;" AS STRING)),1,0)) AS NUM_REG_DIF,'"&amp;MAX('ID1&amp;5'!K:K)+1&amp;"' AS ID_EXEC, CURRENT_TIMESTAMP() AS TIME_EXEC FROM "&amp;I292,
IF(C292="Missings",+"SELECT '"&amp;UPPER(B292)&amp;"' AS TABELA, '"&amp;UPPER(C292)&amp;"' AS TIPOLOGIA_TESTE,'"&amp;D292&amp;"' AS TABELA_LT,'N/A' AS TABELA_SIMUL,'"&amp;F292&amp;"' AS CAMPO, "&amp;"'${ref_date}' AS REF_DATE, COUNT(*) AS NUM_REG, SUM(IF(TRIM(CAST(X."&amp;F292&amp;" AS STRING)) IN ('0000-00-00','0001-01-01','9999-12-31','MISS','00000','99999999999','99999999999.00','99999999999.000000'),1,0)) AS NUM_REG_DIF,'"&amp;MAX('ID1&amp;5'!K:K)+1&amp;"' AS ID_EXEC, CURRENT_TIMESTAMP() AS TIME_EXEC FROM "&amp;I292,
IF(C292="Not applicable",+"SELECT '"&amp;UPPER(B292)&amp;"' AS TABELA, '"&amp;UPPER(C292)&amp;"' AS TIPOLOGIA_TESTE,'"&amp;D292&amp;"' AS TABELA_LT,'N/A' AS TABELA_SIMUL,'"&amp;F292&amp;"' AS CAMPO, "&amp;"'${ref_date}' AS REF_DATE, COUNT(*) AS NUM_REG, SUM(IF(TRIM(CAST(X."&amp;F292&amp;" AS STRING)) IN ('N/A','11111111111','11111111111.00','11111111111.000000','1111-11-11'),1,0)) AS NUM_REG_DIF,'"&amp;MAX('ID1&amp;5'!K:K)+1&amp;"' AS ID_EXEC, CURRENT_TIMESTAMP() AS TIME_EXEC FROM "&amp;I292,
IF(C292="Valores extremos",+"SELECT '"&amp;UPPER(B292)&amp;"' AS TABELA, '"&amp;UPPER(C292)&amp;"' AS TIPOLOGIA_TESTE,'"&amp;D292&amp;"' AS TABELA_LT,'N/A' AS TABELA_SIMUL,'"&amp;F292&amp;"' AS CAMPO, "&amp;"'${ref_date}' AS REF_DATE, CAST(MIN("&amp;F292&amp;") AS STRING) AS VALOR_MIN, CAST(MAX("&amp;F292&amp;") AS STRING) AS VALOR_MAX,'"&amp;MAX('ID1&amp;5'!K:K)+1&amp;"' AS ID_EXEC, CURRENT_TIMESTAMP() AS TIME_EXEC FROM "&amp;MID(I292,1,LEN(I292)-2)&amp;" AND CAST("&amp;F292&amp;"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TABELA_SIMUL,'grss_cmmssn_expns_off_blnc_ccrr' AS CAMPO, '${ref_date}' AS REF_DATE, COUNT(*) AS NUM_REG, SUM(IF(COALESCE(CAST(X.grss_cmmssn_expns_off_blnc_ccrr AS STRING),'')&lt;&gt;COALESCE(CAST(Y.grss_cmmssn_expns_off_blnc_ccrr_SIMUL AS STRING),'') OR (X.grss_cmmssn_expns_off_blnc_ccrr IS NULL AND Y.grss_cmmssn_expns_off_blnc_ccrr_SIMUL IS NOT NULL ) OR (X.grss_cmmssn_expns_off_blnc_ccrr IS NOT NULL AND Y.grss_cmmssn_expns_off_blnc_ccrr_SIMUL IS NULL),1,0)) AS NUM_REG_DIF,'1' AS ID_EXEC, CURRENT_TIMESTAMP() AS TIME_EXEC FROM (SELECT instrmnt_id, grss_cmmssn_expns_off_blnc_ccrr FROM BU_LOANTAPE_WORK.LT002_INSTRUMENT WHERE ref_date='${ref_date}' AND nome_perimetro='Individual Local' AND segmento='ESTR' AND ambito='SRB_MBDT' AND entidade='00100')X INNER JOIN (SELECT instrmnt_id AS instrmnt_id_SIMUL, grss_cmmssn_expns_off_blnc_ccrr AS grss_cmmssn_expns_off_blnc_ccrr_SIMUL FROM BU_LOANTAPE_WORK.SIMUL_LT002_INSTRUMENT WHERE ref_date='${ref_date}' AND nome_perimetro='Individual Local' AND segmento='ESTR' AND ambito='PILAR3' AND entidade='00100')Y ON X.INSTRMNT_ID=Y.INSTRMNT_ID_SIMUL</v>
      </c>
      <c r="M292" s="36" t="str">
        <f t="shared" si="7"/>
        <v>UNION ALL SELECT 'INSTRUMENT' AS TABELA, 'COERÊNCIA' AS TIPOLOGIA_TESTE,'BU_LOANTAPE_WORK.LT002_INSTRUMENT' AS TABELA_LT,'BU_LOANTAPE_WORK.SIMUL_LT002_INSTRUMENT' AS TABELA_SIMUL,'grss_cmmssn_expns_off_blnc_ccrr' AS CAMPO, '${ref_date}' AS REF_DATE, COUNT(*) AS NUM_REG, SUM(IF(COALESCE(CAST(X.grss_cmmssn_expns_off_blnc_ccrr AS STRING),'')&lt;&gt;COALESCE(CAST(Y.grss_cmmssn_expns_off_blnc_ccrr_SIMUL AS STRING),'') OR (X.grss_cmmssn_expns_off_blnc_ccrr IS NULL AND Y.grss_cmmssn_expns_off_blnc_ccrr_SIMUL IS NOT NULL ) OR (X.grss_cmmssn_expns_off_blnc_ccrr IS NOT NULL AND Y.grss_cmmssn_expns_off_blnc_ccrr_SIMUL IS NULL),1,0)) AS NUM_REG_DIF,'1' AS ID_EXEC, CURRENT_TIMESTAMP() AS TIME_EXEC FROM (SELECT instrmnt_id, grss_cmmssn_expns_off_blnc_ccrr FROM BU_LOANTAPE_WORK.LT002_INSTRUMENT WHERE ref_date='${ref_date}' AND nome_perimetro='Individual Local' AND segmento='ESTR' AND ambito='SRB_MBDT' AND entidade='00100')X INNER JOIN (SELECT instrmnt_id AS instrmnt_id_SIMUL, grss_cmmssn_expns_off_blnc_ccrr AS grss_cmmssn_expns_off_blnc_ccrr_SIMUL FROM BU_LOANTAPE_WORK.SIMUL_LT002_INSTRUMENT WHERE ref_date='${ref_date}' AND nome_perimetro='Individual Local' AND segmento='ESTR' AND ambito='PILAR3' AND entidade='00100')Y ON X.INSTRMNT_ID=Y.INSTRMNT_ID_SIMUL</v>
      </c>
      <c r="N292" s="38"/>
    </row>
    <row r="293" spans="2:14">
      <c r="B293" s="34" t="s">
        <v>117</v>
      </c>
      <c r="C293" s="34" t="s">
        <v>5</v>
      </c>
      <c r="D293" s="34" t="str">
        <f>+UPPER('0. Instruções'!$D$35&amp;"."&amp;VLOOKUP(B293,'0. Instruções'!$C$27:$D$32,2,FALSE))</f>
        <v>BU_LOANTAPE_WORK.LT002_INSTRUMENT</v>
      </c>
      <c r="E293" s="34" t="str">
        <f>+UPPER('0. Instruções'!$D$36&amp;"."&amp;VLOOKUP(B293,'0. Instruções'!$C$27:$E$32,3,FALSE))</f>
        <v>BU_LOANTAPE_WORK.SIMUL_LT002_INSTRUMENT</v>
      </c>
      <c r="F293" s="34" t="s">
        <v>657</v>
      </c>
      <c r="G293" s="34"/>
      <c r="H293" s="34"/>
      <c r="I293" s="34" t="str">
        <f>"(SELECT "&amp;VLOOKUP(B293,'0. Instruções'!$C$27:$G$32,4,FALSE)&amp;", "&amp;F293&amp;" FROM "&amp;D293&amp;" WHERE "&amp;'0. Instruções'!$D$42&amp;")X"</f>
        <v>(SELECT instrmnt_id, lcl_instmrnt_id FROM BU_LOANTAPE_WORK.LT002_INSTRUMENT WHERE ref_date='${ref_date}' AND nome_perimetro='Individual Local' AND segmento='ESTR' AND ambito='SRB_MBDT' AND entidade='00100')X</v>
      </c>
      <c r="J293" s="34" t="str">
        <f>"(SELECT "&amp;VLOOKUP(B293,'0. Instruções'!$C$27:$G$32,4,FALSE)&amp;" AS "&amp;VLOOKUP(B293,'0. Instruções'!$C$27:$G$32,4,FALSE)&amp;"_SIMUL, "&amp;F293&amp;" AS "&amp;F293&amp;"_SIMUL FROM "&amp;E293&amp;" WHERE "&amp;'0. Instruções'!$D$43&amp;")Y"</f>
        <v>(SELECT instrmnt_id AS instrmnt_id_SIMUL, lcl_instmrnt_id AS lcl_instmrnt_id_SIMUL FROM BU_LOANTAPE_WORK.SIMUL_LT002_INSTRUMENT WHERE ref_date='${ref_date}' AND nome_perimetro='Individual Local' AND segmento='ESTR' AND ambito='PILAR3' AND entidade='00100')Y</v>
      </c>
      <c r="K293" s="35" t="str">
        <f>+UPPER("ON X."&amp;VLOOKUP(B293,'0. Instruções'!$C$27:$G$32,4,FALSE)&amp;"=Y."&amp;VLOOKUP(B293,'0. Instruções'!$C$27:$G$32,4,FALSE)&amp;"_SIMUL")</f>
        <v>ON X.INSTRMNT_ID=Y.INSTRMNT_ID_SIMUL</v>
      </c>
      <c r="L293" s="35" t="str">
        <f>+IF(C293="Coerência", +IF(LEFT(G293,5)="FLOAT","SELECT '"&amp;UPPER(B293)&amp;"' AS TABELA, '"&amp;UPPER(C293)&amp;"' AS TIPOLOGIA_TESTE,'"&amp;D293&amp;"' AS TABELA_LT,'"&amp;E293&amp;"' AS TABELA_SIMUL,'"&amp;F293&amp;"' AS CAMPO, "&amp;"'${ref_date}' AS REF_DATE, COUNT(*) AS NUM_REG, SUM(IF((ABS(COALESCE(CAST(X."&amp;F293&amp;" AS DECIMAL(18,6)),0)-COALESCE(CAST(Y."&amp;F293&amp;"_SIMUL AS DECIMAL(18,6)),0))&gt;0.000001) OR (X."&amp;F293&amp;" IS NULL AND Y."&amp;F293&amp;"_SIMUL IS NOT NULL ) OR (X."&amp;F293&amp;" IS NOT NULL AND Y."&amp;F293&amp;"_SIMUL IS NULL),1,0)) AS NUM_REG_DIF,'"&amp;MAX('ID1&amp;5'!K:K)+1&amp;"' AS ID_EXEC, CURRENT_TIMESTAMP() AS TIME_EXEC FROM "&amp;I293&amp;" INNER JOIN "&amp;J293&amp;" "&amp;K293,"SELECT '"&amp;UPPER(B293)&amp;"' AS TABELA, '"&amp;UPPER(C293)&amp;"' AS TIPOLOGIA_TESTE,'"&amp;D293&amp;"' AS TABELA_LT,'"&amp;E293&amp;"' AS TABELA_SIMUL,'"&amp;F293&amp;"' AS CAMPO, "&amp;"'${ref_date}' AS REF_DATE, COUNT(*) AS NUM_REG, SUM(IF(COALESCE(CAST(X."&amp;F293&amp;" AS STRING),'')&lt;&gt;COALESCE(CAST(Y."&amp;F293&amp;"_SIMUL AS STRING),'') OR (X."&amp;F293&amp;" IS NULL AND Y."&amp;F293&amp;"_SIMUL IS NOT NULL ) OR (X."&amp;F293&amp;" IS NOT NULL AND Y."&amp;F293&amp;"_SIMUL IS NULL),1,0)) AS NUM_REG_DIF,'"&amp;MAX('ID1&amp;5'!L:L)+1&amp;"' AS ID_EXEC, CURRENT_TIMESTAMP() AS TIME_EXEC FROM "&amp;I293&amp;" INNER JOIN "&amp;J293&amp;" "&amp;K293),
IF(C293="Validade",+IF(G293="Code List","SELECT '"&amp;UPPER(B293)&amp;"' AS TABELA, '"&amp;UPPER(C293)&amp;"' AS TIPOLOGIA_TESTE,'"&amp;D293&amp;"' AS TABELA_LT,'N/A' AS TABELA_SIMUL,'"&amp;F293&amp;"' AS CAMPO, "&amp;"'${ref_date}' AS REF_DATE, COUNT(*) AS NUM_REG, SUM(IF(TRIM(CAST(X."&amp;F293&amp;" AS STRING))='' OR TRIM(CAST(X."&amp;F293&amp;" AS STRING)) IS NULL OR CAST(X."&amp;F293&amp;" AS STRING) NOT "&amp;H293&amp;",1,0)) AS NUM_REG_DIF,'"&amp;MAX('ID1&amp;5'!K:K)+1&amp;"' AS ID_EXEC, CURRENT_TIMESTAMP() AS TIME_EXEC FROM "&amp;I293,"SELECT '"&amp;UPPER(B293)&amp;"' AS TABELA, '"&amp;UPPER(C293)&amp;"' AS TIPOLOGIA_TESTE,'"&amp;D293&amp;"' AS TABELA_LT,'N/A' AS TABELA_SIMUL,'"&amp;F293&amp;"' AS CAMPO, "&amp;"'${ref_date}' AS REF_DATE, COUNT(*) AS NUM_REG, SUM(IF(TRIM(CAST(X."&amp;F293&amp;" AS STRING))='' OR TRIM(CAST(X."&amp;F293&amp;" AS STRING)) IS NULL,1,0)) AS NUM_REG_DIF,'"&amp;MAX('ID1&amp;5'!K:K)+1&amp;"' AS ID_EXEC, CURRENT_TIMESTAMP() AS TIME_EXEC FROM "&amp;I293),
IF(C293="Caracteres Especiais",+"SELECT '"&amp;UPPER(B293)&amp;"' AS TABELA, '"&amp;UPPER(C293)&amp;"' AS TIPOLOGIA_TESTE,'"&amp;D293&amp;"' AS TABELA_LT,'N/A' AS TABELA_SIMUL,'"&amp;F293&amp;"' AS CAMPO, "&amp;"'${ref_date}' AS REF_DATE, COUNT(*) AS NUM_REG, SUM(IF(REGEXP_REPLACE(TRIM(CAST(X."&amp;F293&amp;" AS STRING)),'[^a-zA-Z0-9_\\s]','') &lt;&gt;TRIM(CAST(X."&amp;F293&amp;" AS STRING)),1,0)) AS NUM_REG_DIF,'"&amp;MAX('ID1&amp;5'!K:K)+1&amp;"' AS ID_EXEC, CURRENT_TIMESTAMP() AS TIME_EXEC FROM "&amp;I293,
IF(C293="Missings",+"SELECT '"&amp;UPPER(B293)&amp;"' AS TABELA, '"&amp;UPPER(C293)&amp;"' AS TIPOLOGIA_TESTE,'"&amp;D293&amp;"' AS TABELA_LT,'N/A' AS TABELA_SIMUL,'"&amp;F293&amp;"' AS CAMPO, "&amp;"'${ref_date}' AS REF_DATE, COUNT(*) AS NUM_REG, SUM(IF(TRIM(CAST(X."&amp;F293&amp;" AS STRING)) IN ('0000-00-00','0001-01-01','9999-12-31','MISS','00000','99999999999','99999999999.00','99999999999.000000'),1,0)) AS NUM_REG_DIF,'"&amp;MAX('ID1&amp;5'!K:K)+1&amp;"' AS ID_EXEC, CURRENT_TIMESTAMP() AS TIME_EXEC FROM "&amp;I293,
IF(C293="Not applicable",+"SELECT '"&amp;UPPER(B293)&amp;"' AS TABELA, '"&amp;UPPER(C293)&amp;"' AS TIPOLOGIA_TESTE,'"&amp;D293&amp;"' AS TABELA_LT,'N/A' AS TABELA_SIMUL,'"&amp;F293&amp;"' AS CAMPO, "&amp;"'${ref_date}' AS REF_DATE, COUNT(*) AS NUM_REG, SUM(IF(TRIM(CAST(X."&amp;F293&amp;" AS STRING)) IN ('N/A','11111111111','11111111111.00','11111111111.000000','1111-11-11'),1,0)) AS NUM_REG_DIF,'"&amp;MAX('ID1&amp;5'!K:K)+1&amp;"' AS ID_EXEC, CURRENT_TIMESTAMP() AS TIME_EXEC FROM "&amp;I293,
IF(C293="Valores extremos",+"SELECT '"&amp;UPPER(B293)&amp;"' AS TABELA, '"&amp;UPPER(C293)&amp;"' AS TIPOLOGIA_TESTE,'"&amp;D293&amp;"' AS TABELA_LT,'N/A' AS TABELA_SIMUL,'"&amp;F293&amp;"' AS CAMPO, "&amp;"'${ref_date}' AS REF_DATE, CAST(MIN("&amp;F293&amp;") AS STRING) AS VALOR_MIN, CAST(MAX("&amp;F293&amp;") AS STRING) AS VALOR_MAX,'"&amp;MAX('ID1&amp;5'!K:K)+1&amp;"' AS ID_EXEC, CURRENT_TIMESTAMP() AS TIME_EXEC FROM "&amp;MID(I293,1,LEN(I293)-2)&amp;" AND CAST("&amp;F293&amp;"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TABELA_SIMUL,'lcl_instmrnt_id' AS CAMPO, '${ref_date}' AS REF_DATE, COUNT(*) AS NUM_REG, SUM(IF(COALESCE(CAST(X.lcl_instmrnt_id AS STRING),'')&lt;&gt;COALESCE(CAST(Y.lcl_instmrnt_id_SIMUL AS STRING),'') OR (X.lcl_instmrnt_id IS NULL AND Y.lcl_instmrnt_id_SIMUL IS NOT NULL ) OR (X.lcl_instmrnt_id IS NOT NULL AND Y.lcl_instmrnt_id_SIMUL IS NULL),1,0)) AS NUM_REG_DIF,'1' AS ID_EXEC, CURRENT_TIMESTAMP() AS TIME_EXEC FROM (SELECT instrmnt_id, lcl_instmrnt_id FROM BU_LOANTAPE_WORK.LT002_INSTRUMENT WHERE ref_date='${ref_date}' AND nome_perimetro='Individual Local' AND segmento='ESTR' AND ambito='SRB_MBDT' AND entidade='00100')X INNER JOIN (SELECT instrmnt_id AS instrmnt_id_SIMUL, lcl_instmrnt_id AS lcl_instmrnt_id_SIMUL FROM BU_LOANTAPE_WORK.SIMUL_LT002_INSTRUMENT WHERE ref_date='${ref_date}' AND nome_perimetro='Individual Local' AND segmento='ESTR' AND ambito='PILAR3' AND entidade='00100')Y ON X.INSTRMNT_ID=Y.INSTRMNT_ID_SIMUL</v>
      </c>
      <c r="M293" s="36" t="str">
        <f t="shared" si="7"/>
        <v>UNION ALL SELECT 'INSTRUMENT' AS TABELA, 'COERÊNCIA' AS TIPOLOGIA_TESTE,'BU_LOANTAPE_WORK.LT002_INSTRUMENT' AS TABELA_LT,'BU_LOANTAPE_WORK.SIMUL_LT002_INSTRUMENT' AS TABELA_SIMUL,'lcl_instmrnt_id' AS CAMPO, '${ref_date}' AS REF_DATE, COUNT(*) AS NUM_REG, SUM(IF(COALESCE(CAST(X.lcl_instmrnt_id AS STRING),'')&lt;&gt;COALESCE(CAST(Y.lcl_instmrnt_id_SIMUL AS STRING),'') OR (X.lcl_instmrnt_id IS NULL AND Y.lcl_instmrnt_id_SIMUL IS NOT NULL ) OR (X.lcl_instmrnt_id IS NOT NULL AND Y.lcl_instmrnt_id_SIMUL IS NULL),1,0)) AS NUM_REG_DIF,'1' AS ID_EXEC, CURRENT_TIMESTAMP() AS TIME_EXEC FROM (SELECT instrmnt_id, lcl_instmrnt_id FROM BU_LOANTAPE_WORK.LT002_INSTRUMENT WHERE ref_date='${ref_date}' AND nome_perimetro='Individual Local' AND segmento='ESTR' AND ambito='SRB_MBDT' AND entidade='00100')X INNER JOIN (SELECT instrmnt_id AS instrmnt_id_SIMUL, lcl_instmrnt_id AS lcl_instmrnt_id_SIMUL FROM BU_LOANTAPE_WORK.SIMUL_LT002_INSTRUMENT WHERE ref_date='${ref_date}' AND nome_perimetro='Individual Local' AND segmento='ESTR' AND ambito='PILAR3' AND entidade='00100')Y ON X.INSTRMNT_ID=Y.INSTRMNT_ID_SIMUL</v>
      </c>
      <c r="N293" s="38"/>
    </row>
    <row r="294" spans="2:14">
      <c r="B294" s="34" t="s">
        <v>117</v>
      </c>
      <c r="C294" s="34" t="s">
        <v>5</v>
      </c>
      <c r="D294" s="34" t="str">
        <f>+UPPER('0. Instruções'!$D$35&amp;"."&amp;VLOOKUP(B294,'0. Instruções'!$C$27:$D$32,2,FALSE))</f>
        <v>BU_LOANTAPE_WORK.LT002_INSTRUMENT</v>
      </c>
      <c r="E294" s="34" t="str">
        <f>+UPPER('0. Instruções'!$D$36&amp;"."&amp;VLOOKUP(B294,'0. Instruções'!$C$27:$E$32,3,FALSE))</f>
        <v>BU_LOANTAPE_WORK.SIMUL_LT002_INSTRUMENT</v>
      </c>
      <c r="F294" s="34" t="s">
        <v>1344</v>
      </c>
      <c r="G294" s="34"/>
      <c r="H294" s="34"/>
      <c r="I294" s="34" t="str">
        <f>"(SELECT "&amp;VLOOKUP(B294,'0. Instruções'!$C$27:$G$32,4,FALSE)&amp;", "&amp;F294&amp;" FROM "&amp;D294&amp;" WHERE "&amp;'0. Instruções'!$D$42&amp;")X"</f>
        <v>(SELECT instrmnt_id, cnclld_instrmnt_stts FROM BU_LOANTAPE_WORK.LT002_INSTRUMENT WHERE ref_date='${ref_date}' AND nome_perimetro='Individual Local' AND segmento='ESTR' AND ambito='SRB_MBDT' AND entidade='00100')X</v>
      </c>
      <c r="J294" s="34" t="str">
        <f>"(SELECT "&amp;VLOOKUP(B294,'0. Instruções'!$C$27:$G$32,4,FALSE)&amp;" AS "&amp;VLOOKUP(B294,'0. Instruções'!$C$27:$G$32,4,FALSE)&amp;"_SIMUL, "&amp;F294&amp;" AS "&amp;F294&amp;"_SIMUL FROM "&amp;E294&amp;" WHERE "&amp;'0. Instruções'!$D$43&amp;")Y"</f>
        <v>(SELECT instrmnt_id AS instrmnt_id_SIMUL, cnclld_instrmnt_stts AS cnclld_instrmnt_stts_SIMUL FROM BU_LOANTAPE_WORK.SIMUL_LT002_INSTRUMENT WHERE ref_date='${ref_date}' AND nome_perimetro='Individual Local' AND segmento='ESTR' AND ambito='PILAR3' AND entidade='00100')Y</v>
      </c>
      <c r="K294" s="35" t="str">
        <f>+UPPER("ON X."&amp;VLOOKUP(B294,'0. Instruções'!$C$27:$G$32,4,FALSE)&amp;"=Y."&amp;VLOOKUP(B294,'0. Instruções'!$C$27:$G$32,4,FALSE)&amp;"_SIMUL")</f>
        <v>ON X.INSTRMNT_ID=Y.INSTRMNT_ID_SIMUL</v>
      </c>
      <c r="L294" s="35" t="str">
        <f>+IF(C294="Coerência", +IF(LEFT(G294,5)="FLOAT","SELECT '"&amp;UPPER(B294)&amp;"' AS TABELA, '"&amp;UPPER(C294)&amp;"' AS TIPOLOGIA_TESTE,'"&amp;D294&amp;"' AS TABELA_LT,'"&amp;E294&amp;"' AS TABELA_SIMUL,'"&amp;F294&amp;"' AS CAMPO, "&amp;"'${ref_date}' AS REF_DATE, COUNT(*) AS NUM_REG, SUM(IF((ABS(COALESCE(CAST(X."&amp;F294&amp;" AS DECIMAL(18,6)),0)-COALESCE(CAST(Y."&amp;F294&amp;"_SIMUL AS DECIMAL(18,6)),0))&gt;0.000001) OR (X."&amp;F294&amp;" IS NULL AND Y."&amp;F294&amp;"_SIMUL IS NOT NULL ) OR (X."&amp;F294&amp;" IS NOT NULL AND Y."&amp;F294&amp;"_SIMUL IS NULL),1,0)) AS NUM_REG_DIF,'"&amp;MAX('ID1&amp;5'!K:K)+1&amp;"' AS ID_EXEC, CURRENT_TIMESTAMP() AS TIME_EXEC FROM "&amp;I294&amp;" INNER JOIN "&amp;J294&amp;" "&amp;K294,"SELECT '"&amp;UPPER(B294)&amp;"' AS TABELA, '"&amp;UPPER(C294)&amp;"' AS TIPOLOGIA_TESTE,'"&amp;D294&amp;"' AS TABELA_LT,'"&amp;E294&amp;"' AS TABELA_SIMUL,'"&amp;F294&amp;"' AS CAMPO, "&amp;"'${ref_date}' AS REF_DATE, COUNT(*) AS NUM_REG, SUM(IF(COALESCE(CAST(X."&amp;F294&amp;" AS STRING),'')&lt;&gt;COALESCE(CAST(Y."&amp;F294&amp;"_SIMUL AS STRING),'') OR (X."&amp;F294&amp;" IS NULL AND Y."&amp;F294&amp;"_SIMUL IS NOT NULL ) OR (X."&amp;F294&amp;" IS NOT NULL AND Y."&amp;F294&amp;"_SIMUL IS NULL),1,0)) AS NUM_REG_DIF,'"&amp;MAX('ID1&amp;5'!L:L)+1&amp;"' AS ID_EXEC, CURRENT_TIMESTAMP() AS TIME_EXEC FROM "&amp;I294&amp;" INNER JOIN "&amp;J294&amp;" "&amp;K294),
IF(C294="Validade",+IF(G294="Code List","SELECT '"&amp;UPPER(B294)&amp;"' AS TABELA, '"&amp;UPPER(C294)&amp;"' AS TIPOLOGIA_TESTE,'"&amp;D294&amp;"' AS TABELA_LT,'N/A' AS TABELA_SIMUL,'"&amp;F294&amp;"' AS CAMPO, "&amp;"'${ref_date}' AS REF_DATE, COUNT(*) AS NUM_REG, SUM(IF(TRIM(CAST(X."&amp;F294&amp;" AS STRING))='' OR TRIM(CAST(X."&amp;F294&amp;" AS STRING)) IS NULL OR CAST(X."&amp;F294&amp;" AS STRING) NOT "&amp;H294&amp;",1,0)) AS NUM_REG_DIF,'"&amp;MAX('ID1&amp;5'!K:K)+1&amp;"' AS ID_EXEC, CURRENT_TIMESTAMP() AS TIME_EXEC FROM "&amp;I294,"SELECT '"&amp;UPPER(B294)&amp;"' AS TABELA, '"&amp;UPPER(C294)&amp;"' AS TIPOLOGIA_TESTE,'"&amp;D294&amp;"' AS TABELA_LT,'N/A' AS TABELA_SIMUL,'"&amp;F294&amp;"' AS CAMPO, "&amp;"'${ref_date}' AS REF_DATE, COUNT(*) AS NUM_REG, SUM(IF(TRIM(CAST(X."&amp;F294&amp;" AS STRING))='' OR TRIM(CAST(X."&amp;F294&amp;" AS STRING)) IS NULL,1,0)) AS NUM_REG_DIF,'"&amp;MAX('ID1&amp;5'!K:K)+1&amp;"' AS ID_EXEC, CURRENT_TIMESTAMP() AS TIME_EXEC FROM "&amp;I294),
IF(C294="Caracteres Especiais",+"SELECT '"&amp;UPPER(B294)&amp;"' AS TABELA, '"&amp;UPPER(C294)&amp;"' AS TIPOLOGIA_TESTE,'"&amp;D294&amp;"' AS TABELA_LT,'N/A' AS TABELA_SIMUL,'"&amp;F294&amp;"' AS CAMPO, "&amp;"'${ref_date}' AS REF_DATE, COUNT(*) AS NUM_REG, SUM(IF(REGEXP_REPLACE(TRIM(CAST(X."&amp;F294&amp;" AS STRING)),'[^a-zA-Z0-9_\\s]','') &lt;&gt;TRIM(CAST(X."&amp;F294&amp;" AS STRING)),1,0)) AS NUM_REG_DIF,'"&amp;MAX('ID1&amp;5'!K:K)+1&amp;"' AS ID_EXEC, CURRENT_TIMESTAMP() AS TIME_EXEC FROM "&amp;I294,
IF(C294="Missings",+"SELECT '"&amp;UPPER(B294)&amp;"' AS TABELA, '"&amp;UPPER(C294)&amp;"' AS TIPOLOGIA_TESTE,'"&amp;D294&amp;"' AS TABELA_LT,'N/A' AS TABELA_SIMUL,'"&amp;F294&amp;"' AS CAMPO, "&amp;"'${ref_date}' AS REF_DATE, COUNT(*) AS NUM_REG, SUM(IF(TRIM(CAST(X."&amp;F294&amp;" AS STRING)) IN ('0000-00-00','0001-01-01','9999-12-31','MISS','00000','99999999999','99999999999.00','99999999999.000000'),1,0)) AS NUM_REG_DIF,'"&amp;MAX('ID1&amp;5'!K:K)+1&amp;"' AS ID_EXEC, CURRENT_TIMESTAMP() AS TIME_EXEC FROM "&amp;I294,
IF(C294="Not applicable",+"SELECT '"&amp;UPPER(B294)&amp;"' AS TABELA, '"&amp;UPPER(C294)&amp;"' AS TIPOLOGIA_TESTE,'"&amp;D294&amp;"' AS TABELA_LT,'N/A' AS TABELA_SIMUL,'"&amp;F294&amp;"' AS CAMPO, "&amp;"'${ref_date}' AS REF_DATE, COUNT(*) AS NUM_REG, SUM(IF(TRIM(CAST(X."&amp;F294&amp;" AS STRING)) IN ('N/A','11111111111','11111111111.00','11111111111.000000','1111-11-11'),1,0)) AS NUM_REG_DIF,'"&amp;MAX('ID1&amp;5'!K:K)+1&amp;"' AS ID_EXEC, CURRENT_TIMESTAMP() AS TIME_EXEC FROM "&amp;I294,
IF(C294="Valores extremos",+"SELECT '"&amp;UPPER(B294)&amp;"' AS TABELA, '"&amp;UPPER(C294)&amp;"' AS TIPOLOGIA_TESTE,'"&amp;D294&amp;"' AS TABELA_LT,'N/A' AS TABELA_SIMUL,'"&amp;F294&amp;"' AS CAMPO, "&amp;"'${ref_date}' AS REF_DATE, CAST(MIN("&amp;F294&amp;") AS STRING) AS VALOR_MIN, CAST(MAX("&amp;F294&amp;") AS STRING) AS VALOR_MAX,'"&amp;MAX('ID1&amp;5'!K:K)+1&amp;"' AS ID_EXEC, CURRENT_TIMESTAMP() AS TIME_EXEC FROM "&amp;MID(I294,1,LEN(I294)-2)&amp;" AND CAST("&amp;F294&amp;"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TABELA_SIMUL,'cnclld_instrmnt_stts' AS CAMPO, '${ref_date}' AS REF_DATE, COUNT(*) AS NUM_REG, SUM(IF(COALESCE(CAST(X.cnclld_instrmnt_stts AS STRING),'')&lt;&gt;COALESCE(CAST(Y.cnclld_instrmnt_stts_SIMUL AS STRING),'') OR (X.cnclld_instrmnt_stts IS NULL AND Y.cnclld_instrmnt_stts_SIMUL IS NOT NULL ) OR (X.cnclld_instrmnt_stts IS NOT NULL AND Y.cnclld_instrmnt_stts_SIMUL IS NULL),1,0)) AS NUM_REG_DIF,'1' AS ID_EXEC, CURRENT_TIMESTAMP() AS TIME_EXEC FROM (SELECT instrmnt_id, cnclld_instrmnt_stts FROM BU_LOANTAPE_WORK.LT002_INSTRUMENT WHERE ref_date='${ref_date}' AND nome_perimetro='Individual Local' AND segmento='ESTR' AND ambito='SRB_MBDT' AND entidade='00100')X INNER JOIN (SELECT instrmnt_id AS instrmnt_id_SIMUL, cnclld_instrmnt_stts AS cnclld_instrmnt_stts_SIMUL FROM BU_LOANTAPE_WORK.SIMUL_LT002_INSTRUMENT WHERE ref_date='${ref_date}' AND nome_perimetro='Individual Local' AND segmento='ESTR' AND ambito='PILAR3' AND entidade='00100')Y ON X.INSTRMNT_ID=Y.INSTRMNT_ID_SIMUL</v>
      </c>
      <c r="M294" s="36" t="str">
        <f t="shared" si="7"/>
        <v>UNION ALL SELECT 'INSTRUMENT' AS TABELA, 'COERÊNCIA' AS TIPOLOGIA_TESTE,'BU_LOANTAPE_WORK.LT002_INSTRUMENT' AS TABELA_LT,'BU_LOANTAPE_WORK.SIMUL_LT002_INSTRUMENT' AS TABELA_SIMUL,'cnclld_instrmnt_stts' AS CAMPO, '${ref_date}' AS REF_DATE, COUNT(*) AS NUM_REG, SUM(IF(COALESCE(CAST(X.cnclld_instrmnt_stts AS STRING),'')&lt;&gt;COALESCE(CAST(Y.cnclld_instrmnt_stts_SIMUL AS STRING),'') OR (X.cnclld_instrmnt_stts IS NULL AND Y.cnclld_instrmnt_stts_SIMUL IS NOT NULL ) OR (X.cnclld_instrmnt_stts IS NOT NULL AND Y.cnclld_instrmnt_stts_SIMUL IS NULL),1,0)) AS NUM_REG_DIF,'1' AS ID_EXEC, CURRENT_TIMESTAMP() AS TIME_EXEC FROM (SELECT instrmnt_id, cnclld_instrmnt_stts FROM BU_LOANTAPE_WORK.LT002_INSTRUMENT WHERE ref_date='${ref_date}' AND nome_perimetro='Individual Local' AND segmento='ESTR' AND ambito='SRB_MBDT' AND entidade='00100')X INNER JOIN (SELECT instrmnt_id AS instrmnt_id_SIMUL, cnclld_instrmnt_stts AS cnclld_instrmnt_stts_SIMUL FROM BU_LOANTAPE_WORK.SIMUL_LT002_INSTRUMENT WHERE ref_date='${ref_date}' AND nome_perimetro='Individual Local' AND segmento='ESTR' AND ambito='PILAR3' AND entidade='00100')Y ON X.INSTRMNT_ID=Y.INSTRMNT_ID_SIMUL</v>
      </c>
      <c r="N294" s="38"/>
    </row>
    <row r="295" spans="2:14">
      <c r="B295" s="34" t="s">
        <v>117</v>
      </c>
      <c r="C295" s="34" t="s">
        <v>5</v>
      </c>
      <c r="D295" s="34" t="str">
        <f>+UPPER('0. Instruções'!$D$35&amp;"."&amp;VLOOKUP(B295,'0. Instruções'!$C$27:$D$32,2,FALSE))</f>
        <v>BU_LOANTAPE_WORK.LT002_INSTRUMENT</v>
      </c>
      <c r="E295" s="34" t="str">
        <f>+UPPER('0. Instruções'!$D$36&amp;"."&amp;VLOOKUP(B295,'0. Instruções'!$C$27:$E$32,3,FALSE))</f>
        <v>BU_LOANTAPE_WORK.SIMUL_LT002_INSTRUMENT</v>
      </c>
      <c r="F295" s="34" t="s">
        <v>661</v>
      </c>
      <c r="G295" s="34"/>
      <c r="H295" s="34"/>
      <c r="I295" s="34" t="str">
        <f>"(SELECT "&amp;VLOOKUP(B295,'0. Instruções'!$C$27:$G$32,4,FALSE)&amp;", "&amp;F295&amp;" FROM "&amp;D295&amp;" WHERE "&amp;'0. Instruções'!$D$42&amp;")X"</f>
        <v>(SELECT instrmnt_id, idcmb FROM BU_LOANTAPE_WORK.LT002_INSTRUMENT WHERE ref_date='${ref_date}' AND nome_perimetro='Individual Local' AND segmento='ESTR' AND ambito='SRB_MBDT' AND entidade='00100')X</v>
      </c>
      <c r="J295" s="34" t="str">
        <f>"(SELECT "&amp;VLOOKUP(B295,'0. Instruções'!$C$27:$G$32,4,FALSE)&amp;" AS "&amp;VLOOKUP(B295,'0. Instruções'!$C$27:$G$32,4,FALSE)&amp;"_SIMUL, "&amp;F295&amp;" AS "&amp;F295&amp;"_SIMUL FROM "&amp;E295&amp;" WHERE "&amp;'0. Instruções'!$D$43&amp;")Y"</f>
        <v>(SELECT instrmnt_id AS instrmnt_id_SIMUL, idcmb AS idcmb_SIMUL FROM BU_LOANTAPE_WORK.SIMUL_LT002_INSTRUMENT WHERE ref_date='${ref_date}' AND nome_perimetro='Individual Local' AND segmento='ESTR' AND ambito='PILAR3' AND entidade='00100')Y</v>
      </c>
      <c r="K295" s="35" t="str">
        <f>+UPPER("ON X."&amp;VLOOKUP(B295,'0. Instruções'!$C$27:$G$32,4,FALSE)&amp;"=Y."&amp;VLOOKUP(B295,'0. Instruções'!$C$27:$G$32,4,FALSE)&amp;"_SIMUL")</f>
        <v>ON X.INSTRMNT_ID=Y.INSTRMNT_ID_SIMUL</v>
      </c>
      <c r="L295" s="35" t="str">
        <f>+IF(C295="Coerência", +IF(LEFT(G295,5)="FLOAT","SELECT '"&amp;UPPER(B295)&amp;"' AS TABELA, '"&amp;UPPER(C295)&amp;"' AS TIPOLOGIA_TESTE,'"&amp;D295&amp;"' AS TABELA_LT,'"&amp;E295&amp;"' AS TABELA_SIMUL,'"&amp;F295&amp;"' AS CAMPO, "&amp;"'${ref_date}' AS REF_DATE, COUNT(*) AS NUM_REG, SUM(IF((ABS(COALESCE(CAST(X."&amp;F295&amp;" AS DECIMAL(18,6)),0)-COALESCE(CAST(Y."&amp;F295&amp;"_SIMUL AS DECIMAL(18,6)),0))&gt;0.000001) OR (X."&amp;F295&amp;" IS NULL AND Y."&amp;F295&amp;"_SIMUL IS NOT NULL ) OR (X."&amp;F295&amp;" IS NOT NULL AND Y."&amp;F295&amp;"_SIMUL IS NULL),1,0)) AS NUM_REG_DIF,'"&amp;MAX('ID1&amp;5'!K:K)+1&amp;"' AS ID_EXEC, CURRENT_TIMESTAMP() AS TIME_EXEC FROM "&amp;I295&amp;" INNER JOIN "&amp;J295&amp;" "&amp;K295,"SELECT '"&amp;UPPER(B295)&amp;"' AS TABELA, '"&amp;UPPER(C295)&amp;"' AS TIPOLOGIA_TESTE,'"&amp;D295&amp;"' AS TABELA_LT,'"&amp;E295&amp;"' AS TABELA_SIMUL,'"&amp;F295&amp;"' AS CAMPO, "&amp;"'${ref_date}' AS REF_DATE, COUNT(*) AS NUM_REG, SUM(IF(COALESCE(CAST(X."&amp;F295&amp;" AS STRING),'')&lt;&gt;COALESCE(CAST(Y."&amp;F295&amp;"_SIMUL AS STRING),'') OR (X."&amp;F295&amp;" IS NULL AND Y."&amp;F295&amp;"_SIMUL IS NOT NULL ) OR (X."&amp;F295&amp;" IS NOT NULL AND Y."&amp;F295&amp;"_SIMUL IS NULL),1,0)) AS NUM_REG_DIF,'"&amp;MAX('ID1&amp;5'!L:L)+1&amp;"' AS ID_EXEC, CURRENT_TIMESTAMP() AS TIME_EXEC FROM "&amp;I295&amp;" INNER JOIN "&amp;J295&amp;" "&amp;K295),
IF(C295="Validade",+IF(G295="Code List","SELECT '"&amp;UPPER(B295)&amp;"' AS TABELA, '"&amp;UPPER(C295)&amp;"' AS TIPOLOGIA_TESTE,'"&amp;D295&amp;"' AS TABELA_LT,'N/A' AS TABELA_SIMUL,'"&amp;F295&amp;"' AS CAMPO, "&amp;"'${ref_date}' AS REF_DATE, COUNT(*) AS NUM_REG, SUM(IF(TRIM(CAST(X."&amp;F295&amp;" AS STRING))='' OR TRIM(CAST(X."&amp;F295&amp;" AS STRING)) IS NULL OR CAST(X."&amp;F295&amp;" AS STRING) NOT "&amp;H295&amp;",1,0)) AS NUM_REG_DIF,'"&amp;MAX('ID1&amp;5'!K:K)+1&amp;"' AS ID_EXEC, CURRENT_TIMESTAMP() AS TIME_EXEC FROM "&amp;I295,"SELECT '"&amp;UPPER(B295)&amp;"' AS TABELA, '"&amp;UPPER(C295)&amp;"' AS TIPOLOGIA_TESTE,'"&amp;D295&amp;"' AS TABELA_LT,'N/A' AS TABELA_SIMUL,'"&amp;F295&amp;"' AS CAMPO, "&amp;"'${ref_date}' AS REF_DATE, COUNT(*) AS NUM_REG, SUM(IF(TRIM(CAST(X."&amp;F295&amp;" AS STRING))='' OR TRIM(CAST(X."&amp;F295&amp;" AS STRING)) IS NULL,1,0)) AS NUM_REG_DIF,'"&amp;MAX('ID1&amp;5'!K:K)+1&amp;"' AS ID_EXEC, CURRENT_TIMESTAMP() AS TIME_EXEC FROM "&amp;I295),
IF(C295="Caracteres Especiais",+"SELECT '"&amp;UPPER(B295)&amp;"' AS TABELA, '"&amp;UPPER(C295)&amp;"' AS TIPOLOGIA_TESTE,'"&amp;D295&amp;"' AS TABELA_LT,'N/A' AS TABELA_SIMUL,'"&amp;F295&amp;"' AS CAMPO, "&amp;"'${ref_date}' AS REF_DATE, COUNT(*) AS NUM_REG, SUM(IF(REGEXP_REPLACE(TRIM(CAST(X."&amp;F295&amp;" AS STRING)),'[^a-zA-Z0-9_\\s]','') &lt;&gt;TRIM(CAST(X."&amp;F295&amp;" AS STRING)),1,0)) AS NUM_REG_DIF,'"&amp;MAX('ID1&amp;5'!K:K)+1&amp;"' AS ID_EXEC, CURRENT_TIMESTAMP() AS TIME_EXEC FROM "&amp;I295,
IF(C295="Missings",+"SELECT '"&amp;UPPER(B295)&amp;"' AS TABELA, '"&amp;UPPER(C295)&amp;"' AS TIPOLOGIA_TESTE,'"&amp;D295&amp;"' AS TABELA_LT,'N/A' AS TABELA_SIMUL,'"&amp;F295&amp;"' AS CAMPO, "&amp;"'${ref_date}' AS REF_DATE, COUNT(*) AS NUM_REG, SUM(IF(TRIM(CAST(X."&amp;F295&amp;" AS STRING)) IN ('0000-00-00','0001-01-01','9999-12-31','MISS','00000','99999999999','99999999999.00','99999999999.000000'),1,0)) AS NUM_REG_DIF,'"&amp;MAX('ID1&amp;5'!K:K)+1&amp;"' AS ID_EXEC, CURRENT_TIMESTAMP() AS TIME_EXEC FROM "&amp;I295,
IF(C295="Not applicable",+"SELECT '"&amp;UPPER(B295)&amp;"' AS TABELA, '"&amp;UPPER(C295)&amp;"' AS TIPOLOGIA_TESTE,'"&amp;D295&amp;"' AS TABELA_LT,'N/A' AS TABELA_SIMUL,'"&amp;F295&amp;"' AS CAMPO, "&amp;"'${ref_date}' AS REF_DATE, COUNT(*) AS NUM_REG, SUM(IF(TRIM(CAST(X."&amp;F295&amp;" AS STRING)) IN ('N/A','11111111111','11111111111.00','11111111111.000000','1111-11-11'),1,0)) AS NUM_REG_DIF,'"&amp;MAX('ID1&amp;5'!K:K)+1&amp;"' AS ID_EXEC, CURRENT_TIMESTAMP() AS TIME_EXEC FROM "&amp;I295,
IF(C295="Valores extremos",+"SELECT '"&amp;UPPER(B295)&amp;"' AS TABELA, '"&amp;UPPER(C295)&amp;"' AS TIPOLOGIA_TESTE,'"&amp;D295&amp;"' AS TABELA_LT,'N/A' AS TABELA_SIMUL,'"&amp;F295&amp;"' AS CAMPO, "&amp;"'${ref_date}' AS REF_DATE, CAST(MIN("&amp;F295&amp;") AS STRING) AS VALOR_MIN, CAST(MAX("&amp;F295&amp;") AS STRING) AS VALOR_MAX,'"&amp;MAX('ID1&amp;5'!K:K)+1&amp;"' AS ID_EXEC, CURRENT_TIMESTAMP() AS TIME_EXEC FROM "&amp;MID(I295,1,LEN(I295)-2)&amp;" AND CAST("&amp;F295&amp;"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TABELA_SIMUL,'idcmb' AS CAMPO, '${ref_date}' AS REF_DATE, COUNT(*) AS NUM_REG, SUM(IF(COALESCE(CAST(X.idcmb AS STRING),'')&lt;&gt;COALESCE(CAST(Y.idcmb_SIMUL AS STRING),'') OR (X.idcmb IS NULL AND Y.idcmb_SIMUL IS NOT NULL ) OR (X.idcmb IS NOT NULL AND Y.idcmb_SIMUL IS NULL),1,0)) AS NUM_REG_DIF,'1' AS ID_EXEC, CURRENT_TIMESTAMP() AS TIME_EXEC FROM (SELECT instrmnt_id, idcmb FROM BU_LOANTAPE_WORK.LT002_INSTRUMENT WHERE ref_date='${ref_date}' AND nome_perimetro='Individual Local' AND segmento='ESTR' AND ambito='SRB_MBDT' AND entidade='00100')X INNER JOIN (SELECT instrmnt_id AS instrmnt_id_SIMUL, idcmb AS idcmb_SIMUL FROM BU_LOANTAPE_WORK.SIMUL_LT002_INSTRUMENT WHERE ref_date='${ref_date}' AND nome_perimetro='Individual Local' AND segmento='ESTR' AND ambito='PILAR3' AND entidade='00100')Y ON X.INSTRMNT_ID=Y.INSTRMNT_ID_SIMUL</v>
      </c>
      <c r="M295" s="36" t="str">
        <f t="shared" si="7"/>
        <v>UNION ALL SELECT 'INSTRUMENT' AS TABELA, 'COERÊNCIA' AS TIPOLOGIA_TESTE,'BU_LOANTAPE_WORK.LT002_INSTRUMENT' AS TABELA_LT,'BU_LOANTAPE_WORK.SIMUL_LT002_INSTRUMENT' AS TABELA_SIMUL,'idcmb' AS CAMPO, '${ref_date}' AS REF_DATE, COUNT(*) AS NUM_REG, SUM(IF(COALESCE(CAST(X.idcmb AS STRING),'')&lt;&gt;COALESCE(CAST(Y.idcmb_SIMUL AS STRING),'') OR (X.idcmb IS NULL AND Y.idcmb_SIMUL IS NOT NULL ) OR (X.idcmb IS NOT NULL AND Y.idcmb_SIMUL IS NULL),1,0)) AS NUM_REG_DIF,'1' AS ID_EXEC, CURRENT_TIMESTAMP() AS TIME_EXEC FROM (SELECT instrmnt_id, idcmb FROM BU_LOANTAPE_WORK.LT002_INSTRUMENT WHERE ref_date='${ref_date}' AND nome_perimetro='Individual Local' AND segmento='ESTR' AND ambito='SRB_MBDT' AND entidade='00100')X INNER JOIN (SELECT instrmnt_id AS instrmnt_id_SIMUL, idcmb AS idcmb_SIMUL FROM BU_LOANTAPE_WORK.SIMUL_LT002_INSTRUMENT WHERE ref_date='${ref_date}' AND nome_perimetro='Individual Local' AND segmento='ESTR' AND ambito='PILAR3' AND entidade='00100')Y ON X.INSTRMNT_ID=Y.INSTRMNT_ID_SIMUL</v>
      </c>
      <c r="N295" s="38"/>
    </row>
    <row r="296" spans="2:14">
      <c r="B296" s="34" t="s">
        <v>117</v>
      </c>
      <c r="C296" s="34" t="s">
        <v>5</v>
      </c>
      <c r="D296" s="34" t="str">
        <f>+UPPER('0. Instruções'!$D$35&amp;"."&amp;VLOOKUP(B296,'0. Instruções'!$C$27:$D$32,2,FALSE))</f>
        <v>BU_LOANTAPE_WORK.LT002_INSTRUMENT</v>
      </c>
      <c r="E296" s="34" t="str">
        <f>+UPPER('0. Instruções'!$D$36&amp;"."&amp;VLOOKUP(B296,'0. Instruções'!$C$27:$E$32,3,FALSE))</f>
        <v>BU_LOANTAPE_WORK.SIMUL_LT002_INSTRUMENT</v>
      </c>
      <c r="F296" s="34" t="s">
        <v>1345</v>
      </c>
      <c r="G296" s="34"/>
      <c r="H296" s="34"/>
      <c r="I296" s="34" t="str">
        <f>"(SELECT "&amp;VLOOKUP(B296,'0. Instruções'!$C$27:$G$32,4,FALSE)&amp;", "&amp;F296&amp;" FROM "&amp;D296&amp;" WHERE "&amp;'0. Instruções'!$D$42&amp;")X"</f>
        <v>(SELECT instrmnt_id, cod_soc_intrgrp FROM BU_LOANTAPE_WORK.LT002_INSTRUMENT WHERE ref_date='${ref_date}' AND nome_perimetro='Individual Local' AND segmento='ESTR' AND ambito='SRB_MBDT' AND entidade='00100')X</v>
      </c>
      <c r="J296" s="34" t="str">
        <f>"(SELECT "&amp;VLOOKUP(B296,'0. Instruções'!$C$27:$G$32,4,FALSE)&amp;" AS "&amp;VLOOKUP(B296,'0. Instruções'!$C$27:$G$32,4,FALSE)&amp;"_SIMUL, "&amp;F296&amp;" AS "&amp;F296&amp;"_SIMUL FROM "&amp;E296&amp;" WHERE "&amp;'0. Instruções'!$D$43&amp;")Y"</f>
        <v>(SELECT instrmnt_id AS instrmnt_id_SIMUL, cod_soc_intrgrp AS cod_soc_intrgrp_SIMUL FROM BU_LOANTAPE_WORK.SIMUL_LT002_INSTRUMENT WHERE ref_date='${ref_date}' AND nome_perimetro='Individual Local' AND segmento='ESTR' AND ambito='PILAR3' AND entidade='00100')Y</v>
      </c>
      <c r="K296" s="35" t="str">
        <f>+UPPER("ON X."&amp;VLOOKUP(B296,'0. Instruções'!$C$27:$G$32,4,FALSE)&amp;"=Y."&amp;VLOOKUP(B296,'0. Instruções'!$C$27:$G$32,4,FALSE)&amp;"_SIMUL")</f>
        <v>ON X.INSTRMNT_ID=Y.INSTRMNT_ID_SIMUL</v>
      </c>
      <c r="L296" s="35" t="str">
        <f>+IF(C296="Coerência", +IF(LEFT(G296,5)="FLOAT","SELECT '"&amp;UPPER(B296)&amp;"' AS TABELA, '"&amp;UPPER(C296)&amp;"' AS TIPOLOGIA_TESTE,'"&amp;D296&amp;"' AS TABELA_LT,'"&amp;E296&amp;"' AS TABELA_SIMUL,'"&amp;F296&amp;"' AS CAMPO, "&amp;"'${ref_date}' AS REF_DATE, COUNT(*) AS NUM_REG, SUM(IF((ABS(COALESCE(CAST(X."&amp;F296&amp;" AS DECIMAL(18,6)),0)-COALESCE(CAST(Y."&amp;F296&amp;"_SIMUL AS DECIMAL(18,6)),0))&gt;0.000001) OR (X."&amp;F296&amp;" IS NULL AND Y."&amp;F296&amp;"_SIMUL IS NOT NULL ) OR (X."&amp;F296&amp;" IS NOT NULL AND Y."&amp;F296&amp;"_SIMUL IS NULL),1,0)) AS NUM_REG_DIF,'"&amp;MAX('ID1&amp;5'!K:K)+1&amp;"' AS ID_EXEC, CURRENT_TIMESTAMP() AS TIME_EXEC FROM "&amp;I296&amp;" INNER JOIN "&amp;J296&amp;" "&amp;K296,"SELECT '"&amp;UPPER(B296)&amp;"' AS TABELA, '"&amp;UPPER(C296)&amp;"' AS TIPOLOGIA_TESTE,'"&amp;D296&amp;"' AS TABELA_LT,'"&amp;E296&amp;"' AS TABELA_SIMUL,'"&amp;F296&amp;"' AS CAMPO, "&amp;"'${ref_date}' AS REF_DATE, COUNT(*) AS NUM_REG, SUM(IF(COALESCE(CAST(X."&amp;F296&amp;" AS STRING),'')&lt;&gt;COALESCE(CAST(Y."&amp;F296&amp;"_SIMUL AS STRING),'') OR (X."&amp;F296&amp;" IS NULL AND Y."&amp;F296&amp;"_SIMUL IS NOT NULL ) OR (X."&amp;F296&amp;" IS NOT NULL AND Y."&amp;F296&amp;"_SIMUL IS NULL),1,0)) AS NUM_REG_DIF,'"&amp;MAX('ID1&amp;5'!L:L)+1&amp;"' AS ID_EXEC, CURRENT_TIMESTAMP() AS TIME_EXEC FROM "&amp;I296&amp;" INNER JOIN "&amp;J296&amp;" "&amp;K296),
IF(C296="Validade",+IF(G296="Code List","SELECT '"&amp;UPPER(B296)&amp;"' AS TABELA, '"&amp;UPPER(C296)&amp;"' AS TIPOLOGIA_TESTE,'"&amp;D296&amp;"' AS TABELA_LT,'N/A' AS TABELA_SIMUL,'"&amp;F296&amp;"' AS CAMPO, "&amp;"'${ref_date}' AS REF_DATE, COUNT(*) AS NUM_REG, SUM(IF(TRIM(CAST(X."&amp;F296&amp;" AS STRING))='' OR TRIM(CAST(X."&amp;F296&amp;" AS STRING)) IS NULL OR CAST(X."&amp;F296&amp;" AS STRING) NOT "&amp;H296&amp;",1,0)) AS NUM_REG_DIF,'"&amp;MAX('ID1&amp;5'!K:K)+1&amp;"' AS ID_EXEC, CURRENT_TIMESTAMP() AS TIME_EXEC FROM "&amp;I296,"SELECT '"&amp;UPPER(B296)&amp;"' AS TABELA, '"&amp;UPPER(C296)&amp;"' AS TIPOLOGIA_TESTE,'"&amp;D296&amp;"' AS TABELA_LT,'N/A' AS TABELA_SIMUL,'"&amp;F296&amp;"' AS CAMPO, "&amp;"'${ref_date}' AS REF_DATE, COUNT(*) AS NUM_REG, SUM(IF(TRIM(CAST(X."&amp;F296&amp;" AS STRING))='' OR TRIM(CAST(X."&amp;F296&amp;" AS STRING)) IS NULL,1,0)) AS NUM_REG_DIF,'"&amp;MAX('ID1&amp;5'!K:K)+1&amp;"' AS ID_EXEC, CURRENT_TIMESTAMP() AS TIME_EXEC FROM "&amp;I296),
IF(C296="Caracteres Especiais",+"SELECT '"&amp;UPPER(B296)&amp;"' AS TABELA, '"&amp;UPPER(C296)&amp;"' AS TIPOLOGIA_TESTE,'"&amp;D296&amp;"' AS TABELA_LT,'N/A' AS TABELA_SIMUL,'"&amp;F296&amp;"' AS CAMPO, "&amp;"'${ref_date}' AS REF_DATE, COUNT(*) AS NUM_REG, SUM(IF(REGEXP_REPLACE(TRIM(CAST(X."&amp;F296&amp;" AS STRING)),'[^a-zA-Z0-9_\\s]','') &lt;&gt;TRIM(CAST(X."&amp;F296&amp;" AS STRING)),1,0)) AS NUM_REG_DIF,'"&amp;MAX('ID1&amp;5'!K:K)+1&amp;"' AS ID_EXEC, CURRENT_TIMESTAMP() AS TIME_EXEC FROM "&amp;I296,
IF(C296="Missings",+"SELECT '"&amp;UPPER(B296)&amp;"' AS TABELA, '"&amp;UPPER(C296)&amp;"' AS TIPOLOGIA_TESTE,'"&amp;D296&amp;"' AS TABELA_LT,'N/A' AS TABELA_SIMUL,'"&amp;F296&amp;"' AS CAMPO, "&amp;"'${ref_date}' AS REF_DATE, COUNT(*) AS NUM_REG, SUM(IF(TRIM(CAST(X."&amp;F296&amp;" AS STRING)) IN ('0000-00-00','0001-01-01','9999-12-31','MISS','00000','99999999999','99999999999.00','99999999999.000000'),1,0)) AS NUM_REG_DIF,'"&amp;MAX('ID1&amp;5'!K:K)+1&amp;"' AS ID_EXEC, CURRENT_TIMESTAMP() AS TIME_EXEC FROM "&amp;I296,
IF(C296="Not applicable",+"SELECT '"&amp;UPPER(B296)&amp;"' AS TABELA, '"&amp;UPPER(C296)&amp;"' AS TIPOLOGIA_TESTE,'"&amp;D296&amp;"' AS TABELA_LT,'N/A' AS TABELA_SIMUL,'"&amp;F296&amp;"' AS CAMPO, "&amp;"'${ref_date}' AS REF_DATE, COUNT(*) AS NUM_REG, SUM(IF(TRIM(CAST(X."&amp;F296&amp;" AS STRING)) IN ('N/A','11111111111','11111111111.00','11111111111.000000','1111-11-11'),1,0)) AS NUM_REG_DIF,'"&amp;MAX('ID1&amp;5'!K:K)+1&amp;"' AS ID_EXEC, CURRENT_TIMESTAMP() AS TIME_EXEC FROM "&amp;I296,
IF(C296="Valores extremos",+"SELECT '"&amp;UPPER(B296)&amp;"' AS TABELA, '"&amp;UPPER(C296)&amp;"' AS TIPOLOGIA_TESTE,'"&amp;D296&amp;"' AS TABELA_LT,'N/A' AS TABELA_SIMUL,'"&amp;F296&amp;"' AS CAMPO, "&amp;"'${ref_date}' AS REF_DATE, CAST(MIN("&amp;F296&amp;") AS STRING) AS VALOR_MIN, CAST(MAX("&amp;F296&amp;") AS STRING) AS VALOR_MAX,'"&amp;MAX('ID1&amp;5'!K:K)+1&amp;"' AS ID_EXEC, CURRENT_TIMESTAMP() AS TIME_EXEC FROM "&amp;MID(I296,1,LEN(I296)-2)&amp;" AND CAST("&amp;F296&amp;"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TABELA_SIMUL,'cod_soc_intrgrp' AS CAMPO, '${ref_date}' AS REF_DATE, COUNT(*) AS NUM_REG, SUM(IF(COALESCE(CAST(X.cod_soc_intrgrp AS STRING),'')&lt;&gt;COALESCE(CAST(Y.cod_soc_intrgrp_SIMUL AS STRING),'') OR (X.cod_soc_intrgrp IS NULL AND Y.cod_soc_intrgrp_SIMUL IS NOT NULL ) OR (X.cod_soc_intrgrp IS NOT NULL AND Y.cod_soc_intrgrp_SIMUL IS NULL),1,0)) AS NUM_REG_DIF,'1' AS ID_EXEC, CURRENT_TIMESTAMP() AS TIME_EXEC FROM (SELECT instrmnt_id, cod_soc_intrgrp FROM BU_LOANTAPE_WORK.LT002_INSTRUMENT WHERE ref_date='${ref_date}' AND nome_perimetro='Individual Local' AND segmento='ESTR' AND ambito='SRB_MBDT' AND entidade='00100')X INNER JOIN (SELECT instrmnt_id AS instrmnt_id_SIMUL, cod_soc_intrgrp AS cod_soc_intrgrp_SIMUL FROM BU_LOANTAPE_WORK.SIMUL_LT002_INSTRUMENT WHERE ref_date='${ref_date}' AND nome_perimetro='Individual Local' AND segmento='ESTR' AND ambito='PILAR3' AND entidade='00100')Y ON X.INSTRMNT_ID=Y.INSTRMNT_ID_SIMUL</v>
      </c>
      <c r="M296" s="36" t="str">
        <f t="shared" si="7"/>
        <v>UNION ALL SELECT 'INSTRUMENT' AS TABELA, 'COERÊNCIA' AS TIPOLOGIA_TESTE,'BU_LOANTAPE_WORK.LT002_INSTRUMENT' AS TABELA_LT,'BU_LOANTAPE_WORK.SIMUL_LT002_INSTRUMENT' AS TABELA_SIMUL,'cod_soc_intrgrp' AS CAMPO, '${ref_date}' AS REF_DATE, COUNT(*) AS NUM_REG, SUM(IF(COALESCE(CAST(X.cod_soc_intrgrp AS STRING),'')&lt;&gt;COALESCE(CAST(Y.cod_soc_intrgrp_SIMUL AS STRING),'') OR (X.cod_soc_intrgrp IS NULL AND Y.cod_soc_intrgrp_SIMUL IS NOT NULL ) OR (X.cod_soc_intrgrp IS NOT NULL AND Y.cod_soc_intrgrp_SIMUL IS NULL),1,0)) AS NUM_REG_DIF,'1' AS ID_EXEC, CURRENT_TIMESTAMP() AS TIME_EXEC FROM (SELECT instrmnt_id, cod_soc_intrgrp FROM BU_LOANTAPE_WORK.LT002_INSTRUMENT WHERE ref_date='${ref_date}' AND nome_perimetro='Individual Local' AND segmento='ESTR' AND ambito='SRB_MBDT' AND entidade='00100')X INNER JOIN (SELECT instrmnt_id AS instrmnt_id_SIMUL, cod_soc_intrgrp AS cod_soc_intrgrp_SIMUL FROM BU_LOANTAPE_WORK.SIMUL_LT002_INSTRUMENT WHERE ref_date='${ref_date}' AND nome_perimetro='Individual Local' AND segmento='ESTR' AND ambito='PILAR3' AND entidade='00100')Y ON X.INSTRMNT_ID=Y.INSTRMNT_ID_SIMUL</v>
      </c>
      <c r="N296" s="38"/>
    </row>
    <row r="297" spans="2:14">
      <c r="B297" s="34" t="s">
        <v>117</v>
      </c>
      <c r="C297" s="34" t="s">
        <v>5</v>
      </c>
      <c r="D297" s="34" t="str">
        <f>+UPPER('0. Instruções'!$D$35&amp;"."&amp;VLOOKUP(B297,'0. Instruções'!$C$27:$D$32,2,FALSE))</f>
        <v>BU_LOANTAPE_WORK.LT002_INSTRUMENT</v>
      </c>
      <c r="E297" s="34" t="str">
        <f>+UPPER('0. Instruções'!$D$36&amp;"."&amp;VLOOKUP(B297,'0. Instruções'!$C$27:$E$32,3,FALSE))</f>
        <v>BU_LOANTAPE_WORK.SIMUL_LT002_INSTRUMENT</v>
      </c>
      <c r="F297" s="34" t="s">
        <v>1346</v>
      </c>
      <c r="G297" s="34"/>
      <c r="H297" s="34"/>
      <c r="I297" s="34" t="str">
        <f>"(SELECT "&amp;VLOOKUP(B297,'0. Instruções'!$C$27:$G$32,4,FALSE)&amp;", "&amp;F297&amp;" FROM "&amp;D297&amp;" WHERE "&amp;'0. Instruções'!$D$42&amp;")X"</f>
        <v>(SELECT instrmnt_id, expctd_lss_crr FROM BU_LOANTAPE_WORK.LT002_INSTRUMENT WHERE ref_date='${ref_date}' AND nome_perimetro='Individual Local' AND segmento='ESTR' AND ambito='SRB_MBDT' AND entidade='00100')X</v>
      </c>
      <c r="J297" s="34" t="str">
        <f>"(SELECT "&amp;VLOOKUP(B297,'0. Instruções'!$C$27:$G$32,4,FALSE)&amp;" AS "&amp;VLOOKUP(B297,'0. Instruções'!$C$27:$G$32,4,FALSE)&amp;"_SIMUL, "&amp;F297&amp;" AS "&amp;F297&amp;"_SIMUL FROM "&amp;E297&amp;" WHERE "&amp;'0. Instruções'!$D$43&amp;")Y"</f>
        <v>(SELECT instrmnt_id AS instrmnt_id_SIMUL, expctd_lss_crr AS expctd_lss_crr_SIMUL FROM BU_LOANTAPE_WORK.SIMUL_LT002_INSTRUMENT WHERE ref_date='${ref_date}' AND nome_perimetro='Individual Local' AND segmento='ESTR' AND ambito='PILAR3' AND entidade='00100')Y</v>
      </c>
      <c r="K297" s="35" t="str">
        <f>+UPPER("ON X."&amp;VLOOKUP(B297,'0. Instruções'!$C$27:$G$32,4,FALSE)&amp;"=Y."&amp;VLOOKUP(B297,'0. Instruções'!$C$27:$G$32,4,FALSE)&amp;"_SIMUL")</f>
        <v>ON X.INSTRMNT_ID=Y.INSTRMNT_ID_SIMUL</v>
      </c>
      <c r="L297" s="35" t="str">
        <f>+IF(C297="Coerência", +IF(LEFT(G297,5)="FLOAT","SELECT '"&amp;UPPER(B297)&amp;"' AS TABELA, '"&amp;UPPER(C297)&amp;"' AS TIPOLOGIA_TESTE,'"&amp;D297&amp;"' AS TABELA_LT,'"&amp;E297&amp;"' AS TABELA_SIMUL,'"&amp;F297&amp;"' AS CAMPO, "&amp;"'${ref_date}' AS REF_DATE, COUNT(*) AS NUM_REG, SUM(IF((ABS(COALESCE(CAST(X."&amp;F297&amp;" AS DECIMAL(18,6)),0)-COALESCE(CAST(Y."&amp;F297&amp;"_SIMUL AS DECIMAL(18,6)),0))&gt;0.000001) OR (X."&amp;F297&amp;" IS NULL AND Y."&amp;F297&amp;"_SIMUL IS NOT NULL ) OR (X."&amp;F297&amp;" IS NOT NULL AND Y."&amp;F297&amp;"_SIMUL IS NULL),1,0)) AS NUM_REG_DIF,'"&amp;MAX('ID1&amp;5'!K:K)+1&amp;"' AS ID_EXEC, CURRENT_TIMESTAMP() AS TIME_EXEC FROM "&amp;I297&amp;" INNER JOIN "&amp;J297&amp;" "&amp;K297,"SELECT '"&amp;UPPER(B297)&amp;"' AS TABELA, '"&amp;UPPER(C297)&amp;"' AS TIPOLOGIA_TESTE,'"&amp;D297&amp;"' AS TABELA_LT,'"&amp;E297&amp;"' AS TABELA_SIMUL,'"&amp;F297&amp;"' AS CAMPO, "&amp;"'${ref_date}' AS REF_DATE, COUNT(*) AS NUM_REG, SUM(IF(COALESCE(CAST(X."&amp;F297&amp;" AS STRING),'')&lt;&gt;COALESCE(CAST(Y."&amp;F297&amp;"_SIMUL AS STRING),'') OR (X."&amp;F297&amp;" IS NULL AND Y."&amp;F297&amp;"_SIMUL IS NOT NULL ) OR (X."&amp;F297&amp;" IS NOT NULL AND Y."&amp;F297&amp;"_SIMUL IS NULL),1,0)) AS NUM_REG_DIF,'"&amp;MAX('ID1&amp;5'!L:L)+1&amp;"' AS ID_EXEC, CURRENT_TIMESTAMP() AS TIME_EXEC FROM "&amp;I297&amp;" INNER JOIN "&amp;J297&amp;" "&amp;K297),
IF(C297="Validade",+IF(G297="Code List","SELECT '"&amp;UPPER(B297)&amp;"' AS TABELA, '"&amp;UPPER(C297)&amp;"' AS TIPOLOGIA_TESTE,'"&amp;D297&amp;"' AS TABELA_LT,'N/A' AS TABELA_SIMUL,'"&amp;F297&amp;"' AS CAMPO, "&amp;"'${ref_date}' AS REF_DATE, COUNT(*) AS NUM_REG, SUM(IF(TRIM(CAST(X."&amp;F297&amp;" AS STRING))='' OR TRIM(CAST(X."&amp;F297&amp;" AS STRING)) IS NULL OR CAST(X."&amp;F297&amp;" AS STRING) NOT "&amp;H297&amp;",1,0)) AS NUM_REG_DIF,'"&amp;MAX('ID1&amp;5'!K:K)+1&amp;"' AS ID_EXEC, CURRENT_TIMESTAMP() AS TIME_EXEC FROM "&amp;I297,"SELECT '"&amp;UPPER(B297)&amp;"' AS TABELA, '"&amp;UPPER(C297)&amp;"' AS TIPOLOGIA_TESTE,'"&amp;D297&amp;"' AS TABELA_LT,'N/A' AS TABELA_SIMUL,'"&amp;F297&amp;"' AS CAMPO, "&amp;"'${ref_date}' AS REF_DATE, COUNT(*) AS NUM_REG, SUM(IF(TRIM(CAST(X."&amp;F297&amp;" AS STRING))='' OR TRIM(CAST(X."&amp;F297&amp;" AS STRING)) IS NULL,1,0)) AS NUM_REG_DIF,'"&amp;MAX('ID1&amp;5'!K:K)+1&amp;"' AS ID_EXEC, CURRENT_TIMESTAMP() AS TIME_EXEC FROM "&amp;I297),
IF(C297="Caracteres Especiais",+"SELECT '"&amp;UPPER(B297)&amp;"' AS TABELA, '"&amp;UPPER(C297)&amp;"' AS TIPOLOGIA_TESTE,'"&amp;D297&amp;"' AS TABELA_LT,'N/A' AS TABELA_SIMUL,'"&amp;F297&amp;"' AS CAMPO, "&amp;"'${ref_date}' AS REF_DATE, COUNT(*) AS NUM_REG, SUM(IF(REGEXP_REPLACE(TRIM(CAST(X."&amp;F297&amp;" AS STRING)),'[^a-zA-Z0-9_\\s]','') &lt;&gt;TRIM(CAST(X."&amp;F297&amp;" AS STRING)),1,0)) AS NUM_REG_DIF,'"&amp;MAX('ID1&amp;5'!K:K)+1&amp;"' AS ID_EXEC, CURRENT_TIMESTAMP() AS TIME_EXEC FROM "&amp;I297,
IF(C297="Missings",+"SELECT '"&amp;UPPER(B297)&amp;"' AS TABELA, '"&amp;UPPER(C297)&amp;"' AS TIPOLOGIA_TESTE,'"&amp;D297&amp;"' AS TABELA_LT,'N/A' AS TABELA_SIMUL,'"&amp;F297&amp;"' AS CAMPO, "&amp;"'${ref_date}' AS REF_DATE, COUNT(*) AS NUM_REG, SUM(IF(TRIM(CAST(X."&amp;F297&amp;" AS STRING)) IN ('0000-00-00','0001-01-01','9999-12-31','MISS','00000','99999999999','99999999999.00','99999999999.000000'),1,0)) AS NUM_REG_DIF,'"&amp;MAX('ID1&amp;5'!K:K)+1&amp;"' AS ID_EXEC, CURRENT_TIMESTAMP() AS TIME_EXEC FROM "&amp;I297,
IF(C297="Not applicable",+"SELECT '"&amp;UPPER(B297)&amp;"' AS TABELA, '"&amp;UPPER(C297)&amp;"' AS TIPOLOGIA_TESTE,'"&amp;D297&amp;"' AS TABELA_LT,'N/A' AS TABELA_SIMUL,'"&amp;F297&amp;"' AS CAMPO, "&amp;"'${ref_date}' AS REF_DATE, COUNT(*) AS NUM_REG, SUM(IF(TRIM(CAST(X."&amp;F297&amp;" AS STRING)) IN ('N/A','11111111111','11111111111.00','11111111111.000000','1111-11-11'),1,0)) AS NUM_REG_DIF,'"&amp;MAX('ID1&amp;5'!K:K)+1&amp;"' AS ID_EXEC, CURRENT_TIMESTAMP() AS TIME_EXEC FROM "&amp;I297,
IF(C297="Valores extremos",+"SELECT '"&amp;UPPER(B297)&amp;"' AS TABELA, '"&amp;UPPER(C297)&amp;"' AS TIPOLOGIA_TESTE,'"&amp;D297&amp;"' AS TABELA_LT,'N/A' AS TABELA_SIMUL,'"&amp;F297&amp;"' AS CAMPO, "&amp;"'${ref_date}' AS REF_DATE, CAST(MIN("&amp;F297&amp;") AS STRING) AS VALOR_MIN, CAST(MAX("&amp;F297&amp;") AS STRING) AS VALOR_MAX,'"&amp;MAX('ID1&amp;5'!K:K)+1&amp;"' AS ID_EXEC, CURRENT_TIMESTAMP() AS TIME_EXEC FROM "&amp;MID(I297,1,LEN(I297)-2)&amp;" AND CAST("&amp;F297&amp;"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TABELA_SIMUL,'expctd_lss_crr' AS CAMPO, '${ref_date}' AS REF_DATE, COUNT(*) AS NUM_REG, SUM(IF(COALESCE(CAST(X.expctd_lss_crr AS STRING),'')&lt;&gt;COALESCE(CAST(Y.expctd_lss_crr_SIMUL AS STRING),'') OR (X.expctd_lss_crr IS NULL AND Y.expctd_lss_crr_SIMUL IS NOT NULL ) OR (X.expctd_lss_crr IS NOT NULL AND Y.expctd_lss_crr_SIMUL IS NULL),1,0)) AS NUM_REG_DIF,'1' AS ID_EXEC, CURRENT_TIMESTAMP() AS TIME_EXEC FROM (SELECT instrmnt_id, expctd_lss_crr FROM BU_LOANTAPE_WORK.LT002_INSTRUMENT WHERE ref_date='${ref_date}' AND nome_perimetro='Individual Local' AND segmento='ESTR' AND ambito='SRB_MBDT' AND entidade='00100')X INNER JOIN (SELECT instrmnt_id AS instrmnt_id_SIMUL, expctd_lss_crr AS expctd_lss_crr_SIMUL FROM BU_LOANTAPE_WORK.SIMUL_LT002_INSTRUMENT WHERE ref_date='${ref_date}' AND nome_perimetro='Individual Local' AND segmento='ESTR' AND ambito='PILAR3' AND entidade='00100')Y ON X.INSTRMNT_ID=Y.INSTRMNT_ID_SIMUL</v>
      </c>
      <c r="M297" s="36" t="str">
        <f t="shared" si="7"/>
        <v>UNION ALL SELECT 'INSTRUMENT' AS TABELA, 'COERÊNCIA' AS TIPOLOGIA_TESTE,'BU_LOANTAPE_WORK.LT002_INSTRUMENT' AS TABELA_LT,'BU_LOANTAPE_WORK.SIMUL_LT002_INSTRUMENT' AS TABELA_SIMUL,'expctd_lss_crr' AS CAMPO, '${ref_date}' AS REF_DATE, COUNT(*) AS NUM_REG, SUM(IF(COALESCE(CAST(X.expctd_lss_crr AS STRING),'')&lt;&gt;COALESCE(CAST(Y.expctd_lss_crr_SIMUL AS STRING),'') OR (X.expctd_lss_crr IS NULL AND Y.expctd_lss_crr_SIMUL IS NOT NULL ) OR (X.expctd_lss_crr IS NOT NULL AND Y.expctd_lss_crr_SIMUL IS NULL),1,0)) AS NUM_REG_DIF,'1' AS ID_EXEC, CURRENT_TIMESTAMP() AS TIME_EXEC FROM (SELECT instrmnt_id, expctd_lss_crr FROM BU_LOANTAPE_WORK.LT002_INSTRUMENT WHERE ref_date='${ref_date}' AND nome_perimetro='Individual Local' AND segmento='ESTR' AND ambito='SRB_MBDT' AND entidade='00100')X INNER JOIN (SELECT instrmnt_id AS instrmnt_id_SIMUL, expctd_lss_crr AS expctd_lss_crr_SIMUL FROM BU_LOANTAPE_WORK.SIMUL_LT002_INSTRUMENT WHERE ref_date='${ref_date}' AND nome_perimetro='Individual Local' AND segmento='ESTR' AND ambito='PILAR3' AND entidade='00100')Y ON X.INSTRMNT_ID=Y.INSTRMNT_ID_SIMUL</v>
      </c>
      <c r="N297" s="38"/>
    </row>
    <row r="298" spans="2:14">
      <c r="B298" s="34" t="s">
        <v>117</v>
      </c>
      <c r="C298" s="34" t="s">
        <v>5</v>
      </c>
      <c r="D298" s="34" t="str">
        <f>+UPPER('0. Instruções'!$D$35&amp;"."&amp;VLOOKUP(B298,'0. Instruções'!$C$27:$D$32,2,FALSE))</f>
        <v>BU_LOANTAPE_WORK.LT002_INSTRUMENT</v>
      </c>
      <c r="E298" s="34" t="str">
        <f>+UPPER('0. Instruções'!$D$36&amp;"."&amp;VLOOKUP(B298,'0. Instruções'!$C$27:$E$32,3,FALSE))</f>
        <v>BU_LOANTAPE_WORK.SIMUL_LT002_INSTRUMENT</v>
      </c>
      <c r="F298" s="34" t="s">
        <v>1347</v>
      </c>
      <c r="G298" s="34"/>
      <c r="H298" s="34"/>
      <c r="I298" s="34" t="str">
        <f>"(SELECT "&amp;VLOOKUP(B298,'0. Instruções'!$C$27:$G$32,4,FALSE)&amp;", "&amp;F298&amp;" FROM "&amp;D298&amp;" WHERE "&amp;'0. Instruções'!$D$42&amp;")X"</f>
        <v>(SELECT instrmnt_id, lsti FROM BU_LOANTAPE_WORK.LT002_INSTRUMENT WHERE ref_date='${ref_date}' AND nome_perimetro='Individual Local' AND segmento='ESTR' AND ambito='SRB_MBDT' AND entidade='00100')X</v>
      </c>
      <c r="J298" s="34" t="str">
        <f>"(SELECT "&amp;VLOOKUP(B298,'0. Instruções'!$C$27:$G$32,4,FALSE)&amp;" AS "&amp;VLOOKUP(B298,'0. Instruções'!$C$27:$G$32,4,FALSE)&amp;"_SIMUL, "&amp;F298&amp;" AS "&amp;F298&amp;"_SIMUL FROM "&amp;E298&amp;" WHERE "&amp;'0. Instruções'!$D$43&amp;")Y"</f>
        <v>(SELECT instrmnt_id AS instrmnt_id_SIMUL, lsti AS lsti_SIMUL FROM BU_LOANTAPE_WORK.SIMUL_LT002_INSTRUMENT WHERE ref_date='${ref_date}' AND nome_perimetro='Individual Local' AND segmento='ESTR' AND ambito='PILAR3' AND entidade='00100')Y</v>
      </c>
      <c r="K298" s="35" t="str">
        <f>+UPPER("ON X."&amp;VLOOKUP(B298,'0. Instruções'!$C$27:$G$32,4,FALSE)&amp;"=Y."&amp;VLOOKUP(B298,'0. Instruções'!$C$27:$G$32,4,FALSE)&amp;"_SIMUL")</f>
        <v>ON X.INSTRMNT_ID=Y.INSTRMNT_ID_SIMUL</v>
      </c>
      <c r="L298" s="35" t="str">
        <f>+IF(C298="Coerência", +IF(LEFT(G298,5)="FLOAT","SELECT '"&amp;UPPER(B298)&amp;"' AS TABELA, '"&amp;UPPER(C298)&amp;"' AS TIPOLOGIA_TESTE,'"&amp;D298&amp;"' AS TABELA_LT,'"&amp;E298&amp;"' AS TABELA_SIMUL,'"&amp;F298&amp;"' AS CAMPO, "&amp;"'${ref_date}' AS REF_DATE, COUNT(*) AS NUM_REG, SUM(IF((ABS(COALESCE(CAST(X."&amp;F298&amp;" AS DECIMAL(18,6)),0)-COALESCE(CAST(Y."&amp;F298&amp;"_SIMUL AS DECIMAL(18,6)),0))&gt;0.000001) OR (X."&amp;F298&amp;" IS NULL AND Y."&amp;F298&amp;"_SIMUL IS NOT NULL ) OR (X."&amp;F298&amp;" IS NOT NULL AND Y."&amp;F298&amp;"_SIMUL IS NULL),1,0)) AS NUM_REG_DIF,'"&amp;MAX('ID1&amp;5'!K:K)+1&amp;"' AS ID_EXEC, CURRENT_TIMESTAMP() AS TIME_EXEC FROM "&amp;I298&amp;" INNER JOIN "&amp;J298&amp;" "&amp;K298,"SELECT '"&amp;UPPER(B298)&amp;"' AS TABELA, '"&amp;UPPER(C298)&amp;"' AS TIPOLOGIA_TESTE,'"&amp;D298&amp;"' AS TABELA_LT,'"&amp;E298&amp;"' AS TABELA_SIMUL,'"&amp;F298&amp;"' AS CAMPO, "&amp;"'${ref_date}' AS REF_DATE, COUNT(*) AS NUM_REG, SUM(IF(COALESCE(CAST(X."&amp;F298&amp;" AS STRING),'')&lt;&gt;COALESCE(CAST(Y."&amp;F298&amp;"_SIMUL AS STRING),'') OR (X."&amp;F298&amp;" IS NULL AND Y."&amp;F298&amp;"_SIMUL IS NOT NULL ) OR (X."&amp;F298&amp;" IS NOT NULL AND Y."&amp;F298&amp;"_SIMUL IS NULL),1,0)) AS NUM_REG_DIF,'"&amp;MAX('ID1&amp;5'!L:L)+1&amp;"' AS ID_EXEC, CURRENT_TIMESTAMP() AS TIME_EXEC FROM "&amp;I298&amp;" INNER JOIN "&amp;J298&amp;" "&amp;K298),
IF(C298="Validade",+IF(G298="Code List","SELECT '"&amp;UPPER(B298)&amp;"' AS TABELA, '"&amp;UPPER(C298)&amp;"' AS TIPOLOGIA_TESTE,'"&amp;D298&amp;"' AS TABELA_LT,'N/A' AS TABELA_SIMUL,'"&amp;F298&amp;"' AS CAMPO, "&amp;"'${ref_date}' AS REF_DATE, COUNT(*) AS NUM_REG, SUM(IF(TRIM(CAST(X."&amp;F298&amp;" AS STRING))='' OR TRIM(CAST(X."&amp;F298&amp;" AS STRING)) IS NULL OR CAST(X."&amp;F298&amp;" AS STRING) NOT "&amp;H298&amp;",1,0)) AS NUM_REG_DIF,'"&amp;MAX('ID1&amp;5'!K:K)+1&amp;"' AS ID_EXEC, CURRENT_TIMESTAMP() AS TIME_EXEC FROM "&amp;I298,"SELECT '"&amp;UPPER(B298)&amp;"' AS TABELA, '"&amp;UPPER(C298)&amp;"' AS TIPOLOGIA_TESTE,'"&amp;D298&amp;"' AS TABELA_LT,'N/A' AS TABELA_SIMUL,'"&amp;F298&amp;"' AS CAMPO, "&amp;"'${ref_date}' AS REF_DATE, COUNT(*) AS NUM_REG, SUM(IF(TRIM(CAST(X."&amp;F298&amp;" AS STRING))='' OR TRIM(CAST(X."&amp;F298&amp;" AS STRING)) IS NULL,1,0)) AS NUM_REG_DIF,'"&amp;MAX('ID1&amp;5'!K:K)+1&amp;"' AS ID_EXEC, CURRENT_TIMESTAMP() AS TIME_EXEC FROM "&amp;I298),
IF(C298="Caracteres Especiais",+"SELECT '"&amp;UPPER(B298)&amp;"' AS TABELA, '"&amp;UPPER(C298)&amp;"' AS TIPOLOGIA_TESTE,'"&amp;D298&amp;"' AS TABELA_LT,'N/A' AS TABELA_SIMUL,'"&amp;F298&amp;"' AS CAMPO, "&amp;"'${ref_date}' AS REF_DATE, COUNT(*) AS NUM_REG, SUM(IF(REGEXP_REPLACE(TRIM(CAST(X."&amp;F298&amp;" AS STRING)),'[^a-zA-Z0-9_\\s]','') &lt;&gt;TRIM(CAST(X."&amp;F298&amp;" AS STRING)),1,0)) AS NUM_REG_DIF,'"&amp;MAX('ID1&amp;5'!K:K)+1&amp;"' AS ID_EXEC, CURRENT_TIMESTAMP() AS TIME_EXEC FROM "&amp;I298,
IF(C298="Missings",+"SELECT '"&amp;UPPER(B298)&amp;"' AS TABELA, '"&amp;UPPER(C298)&amp;"' AS TIPOLOGIA_TESTE,'"&amp;D298&amp;"' AS TABELA_LT,'N/A' AS TABELA_SIMUL,'"&amp;F298&amp;"' AS CAMPO, "&amp;"'${ref_date}' AS REF_DATE, COUNT(*) AS NUM_REG, SUM(IF(TRIM(CAST(X."&amp;F298&amp;" AS STRING)) IN ('0000-00-00','0001-01-01','9999-12-31','MISS','00000','99999999999','99999999999.00','99999999999.000000'),1,0)) AS NUM_REG_DIF,'"&amp;MAX('ID1&amp;5'!K:K)+1&amp;"' AS ID_EXEC, CURRENT_TIMESTAMP() AS TIME_EXEC FROM "&amp;I298,
IF(C298="Not applicable",+"SELECT '"&amp;UPPER(B298)&amp;"' AS TABELA, '"&amp;UPPER(C298)&amp;"' AS TIPOLOGIA_TESTE,'"&amp;D298&amp;"' AS TABELA_LT,'N/A' AS TABELA_SIMUL,'"&amp;F298&amp;"' AS CAMPO, "&amp;"'${ref_date}' AS REF_DATE, COUNT(*) AS NUM_REG, SUM(IF(TRIM(CAST(X."&amp;F298&amp;" AS STRING)) IN ('N/A','11111111111','11111111111.00','11111111111.000000','1111-11-11'),1,0)) AS NUM_REG_DIF,'"&amp;MAX('ID1&amp;5'!K:K)+1&amp;"' AS ID_EXEC, CURRENT_TIMESTAMP() AS TIME_EXEC FROM "&amp;I298,
IF(C298="Valores extremos",+"SELECT '"&amp;UPPER(B298)&amp;"' AS TABELA, '"&amp;UPPER(C298)&amp;"' AS TIPOLOGIA_TESTE,'"&amp;D298&amp;"' AS TABELA_LT,'N/A' AS TABELA_SIMUL,'"&amp;F298&amp;"' AS CAMPO, "&amp;"'${ref_date}' AS REF_DATE, CAST(MIN("&amp;F298&amp;") AS STRING) AS VALOR_MIN, CAST(MAX("&amp;F298&amp;") AS STRING) AS VALOR_MAX,'"&amp;MAX('ID1&amp;5'!K:K)+1&amp;"' AS ID_EXEC, CURRENT_TIMESTAMP() AS TIME_EXEC FROM "&amp;MID(I298,1,LEN(I298)-2)&amp;" AND CAST("&amp;F298&amp;"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TABELA_SIMUL,'lsti' AS CAMPO, '${ref_date}' AS REF_DATE, COUNT(*) AS NUM_REG, SUM(IF(COALESCE(CAST(X.lsti AS STRING),'')&lt;&gt;COALESCE(CAST(Y.lsti_SIMUL AS STRING),'') OR (X.lsti IS NULL AND Y.lsti_SIMUL IS NOT NULL ) OR (X.lsti IS NOT NULL AND Y.lsti_SIMUL IS NULL),1,0)) AS NUM_REG_DIF,'1' AS ID_EXEC, CURRENT_TIMESTAMP() AS TIME_EXEC FROM (SELECT instrmnt_id, lsti FROM BU_LOANTAPE_WORK.LT002_INSTRUMENT WHERE ref_date='${ref_date}' AND nome_perimetro='Individual Local' AND segmento='ESTR' AND ambito='SRB_MBDT' AND entidade='00100')X INNER JOIN (SELECT instrmnt_id AS instrmnt_id_SIMUL, lsti AS lsti_SIMUL FROM BU_LOANTAPE_WORK.SIMUL_LT002_INSTRUMENT WHERE ref_date='${ref_date}' AND nome_perimetro='Individual Local' AND segmento='ESTR' AND ambito='PILAR3' AND entidade='00100')Y ON X.INSTRMNT_ID=Y.INSTRMNT_ID_SIMUL</v>
      </c>
      <c r="M298" s="36" t="str">
        <f t="shared" si="7"/>
        <v>UNION ALL SELECT 'INSTRUMENT' AS TABELA, 'COERÊNCIA' AS TIPOLOGIA_TESTE,'BU_LOANTAPE_WORK.LT002_INSTRUMENT' AS TABELA_LT,'BU_LOANTAPE_WORK.SIMUL_LT002_INSTRUMENT' AS TABELA_SIMUL,'lsti' AS CAMPO, '${ref_date}' AS REF_DATE, COUNT(*) AS NUM_REG, SUM(IF(COALESCE(CAST(X.lsti AS STRING),'')&lt;&gt;COALESCE(CAST(Y.lsti_SIMUL AS STRING),'') OR (X.lsti IS NULL AND Y.lsti_SIMUL IS NOT NULL ) OR (X.lsti IS NOT NULL AND Y.lsti_SIMUL IS NULL),1,0)) AS NUM_REG_DIF,'1' AS ID_EXEC, CURRENT_TIMESTAMP() AS TIME_EXEC FROM (SELECT instrmnt_id, lsti FROM BU_LOANTAPE_WORK.LT002_INSTRUMENT WHERE ref_date='${ref_date}' AND nome_perimetro='Individual Local' AND segmento='ESTR' AND ambito='SRB_MBDT' AND entidade='00100')X INNER JOIN (SELECT instrmnt_id AS instrmnt_id_SIMUL, lsti AS lsti_SIMUL FROM BU_LOANTAPE_WORK.SIMUL_LT002_INSTRUMENT WHERE ref_date='${ref_date}' AND nome_perimetro='Individual Local' AND segmento='ESTR' AND ambito='PILAR3' AND entidade='00100')Y ON X.INSTRMNT_ID=Y.INSTRMNT_ID_SIMUL</v>
      </c>
      <c r="N298" s="38"/>
    </row>
    <row r="299" spans="2:14">
      <c r="B299" s="34" t="s">
        <v>117</v>
      </c>
      <c r="C299" s="34" t="s">
        <v>5</v>
      </c>
      <c r="D299" s="34" t="str">
        <f>+UPPER('0. Instruções'!$D$35&amp;"."&amp;VLOOKUP(B299,'0. Instruções'!$C$27:$D$32,2,FALSE))</f>
        <v>BU_LOANTAPE_WORK.LT002_INSTRUMENT</v>
      </c>
      <c r="E299" s="34" t="str">
        <f>+UPPER('0. Instruções'!$D$36&amp;"."&amp;VLOOKUP(B299,'0. Instruções'!$C$27:$E$32,3,FALSE))</f>
        <v>BU_LOANTAPE_WORK.SIMUL_LT002_INSTRUMENT</v>
      </c>
      <c r="F299" s="34" t="s">
        <v>1348</v>
      </c>
      <c r="G299" s="34"/>
      <c r="H299" s="34"/>
      <c r="I299" s="34" t="str">
        <f>"(SELECT "&amp;VLOOKUP(B299,'0. Instruções'!$C$27:$G$32,4,FALSE)&amp;", "&amp;F299&amp;" FROM "&amp;D299&amp;" WHERE "&amp;'0. Instruções'!$D$42&amp;")X"</f>
        <v>(SELECT instrmnt_id, dsti FROM BU_LOANTAPE_WORK.LT002_INSTRUMENT WHERE ref_date='${ref_date}' AND nome_perimetro='Individual Local' AND segmento='ESTR' AND ambito='SRB_MBDT' AND entidade='00100')X</v>
      </c>
      <c r="J299" s="34" t="str">
        <f>"(SELECT "&amp;VLOOKUP(B299,'0. Instruções'!$C$27:$G$32,4,FALSE)&amp;" AS "&amp;VLOOKUP(B299,'0. Instruções'!$C$27:$G$32,4,FALSE)&amp;"_SIMUL, "&amp;F299&amp;" AS "&amp;F299&amp;"_SIMUL FROM "&amp;E299&amp;" WHERE "&amp;'0. Instruções'!$D$43&amp;")Y"</f>
        <v>(SELECT instrmnt_id AS instrmnt_id_SIMUL, dsti AS dsti_SIMUL FROM BU_LOANTAPE_WORK.SIMUL_LT002_INSTRUMENT WHERE ref_date='${ref_date}' AND nome_perimetro='Individual Local' AND segmento='ESTR' AND ambito='PILAR3' AND entidade='00100')Y</v>
      </c>
      <c r="K299" s="35" t="str">
        <f>+UPPER("ON X."&amp;VLOOKUP(B299,'0. Instruções'!$C$27:$G$32,4,FALSE)&amp;"=Y."&amp;VLOOKUP(B299,'0. Instruções'!$C$27:$G$32,4,FALSE)&amp;"_SIMUL")</f>
        <v>ON X.INSTRMNT_ID=Y.INSTRMNT_ID_SIMUL</v>
      </c>
      <c r="L299" s="35" t="str">
        <f>+IF(C299="Coerência", +IF(LEFT(G299,5)="FLOAT","SELECT '"&amp;UPPER(B299)&amp;"' AS TABELA, '"&amp;UPPER(C299)&amp;"' AS TIPOLOGIA_TESTE,'"&amp;D299&amp;"' AS TABELA_LT,'"&amp;E299&amp;"' AS TABELA_SIMUL,'"&amp;F299&amp;"' AS CAMPO, "&amp;"'${ref_date}' AS REF_DATE, COUNT(*) AS NUM_REG, SUM(IF((ABS(COALESCE(CAST(X."&amp;F299&amp;" AS DECIMAL(18,6)),0)-COALESCE(CAST(Y."&amp;F299&amp;"_SIMUL AS DECIMAL(18,6)),0))&gt;0.000001) OR (X."&amp;F299&amp;" IS NULL AND Y."&amp;F299&amp;"_SIMUL IS NOT NULL ) OR (X."&amp;F299&amp;" IS NOT NULL AND Y."&amp;F299&amp;"_SIMUL IS NULL),1,0)) AS NUM_REG_DIF,'"&amp;MAX('ID1&amp;5'!K:K)+1&amp;"' AS ID_EXEC, CURRENT_TIMESTAMP() AS TIME_EXEC FROM "&amp;I299&amp;" INNER JOIN "&amp;J299&amp;" "&amp;K299,"SELECT '"&amp;UPPER(B299)&amp;"' AS TABELA, '"&amp;UPPER(C299)&amp;"' AS TIPOLOGIA_TESTE,'"&amp;D299&amp;"' AS TABELA_LT,'"&amp;E299&amp;"' AS TABELA_SIMUL,'"&amp;F299&amp;"' AS CAMPO, "&amp;"'${ref_date}' AS REF_DATE, COUNT(*) AS NUM_REG, SUM(IF(COALESCE(CAST(X."&amp;F299&amp;" AS STRING),'')&lt;&gt;COALESCE(CAST(Y."&amp;F299&amp;"_SIMUL AS STRING),'') OR (X."&amp;F299&amp;" IS NULL AND Y."&amp;F299&amp;"_SIMUL IS NOT NULL ) OR (X."&amp;F299&amp;" IS NOT NULL AND Y."&amp;F299&amp;"_SIMUL IS NULL),1,0)) AS NUM_REG_DIF,'"&amp;MAX('ID1&amp;5'!L:L)+1&amp;"' AS ID_EXEC, CURRENT_TIMESTAMP() AS TIME_EXEC FROM "&amp;I299&amp;" INNER JOIN "&amp;J299&amp;" "&amp;K299),
IF(C299="Validade",+IF(G299="Code List","SELECT '"&amp;UPPER(B299)&amp;"' AS TABELA, '"&amp;UPPER(C299)&amp;"' AS TIPOLOGIA_TESTE,'"&amp;D299&amp;"' AS TABELA_LT,'N/A' AS TABELA_SIMUL,'"&amp;F299&amp;"' AS CAMPO, "&amp;"'${ref_date}' AS REF_DATE, COUNT(*) AS NUM_REG, SUM(IF(TRIM(CAST(X."&amp;F299&amp;" AS STRING))='' OR TRIM(CAST(X."&amp;F299&amp;" AS STRING)) IS NULL OR CAST(X."&amp;F299&amp;" AS STRING) NOT "&amp;H299&amp;",1,0)) AS NUM_REG_DIF,'"&amp;MAX('ID1&amp;5'!K:K)+1&amp;"' AS ID_EXEC, CURRENT_TIMESTAMP() AS TIME_EXEC FROM "&amp;I299,"SELECT '"&amp;UPPER(B299)&amp;"' AS TABELA, '"&amp;UPPER(C299)&amp;"' AS TIPOLOGIA_TESTE,'"&amp;D299&amp;"' AS TABELA_LT,'N/A' AS TABELA_SIMUL,'"&amp;F299&amp;"' AS CAMPO, "&amp;"'${ref_date}' AS REF_DATE, COUNT(*) AS NUM_REG, SUM(IF(TRIM(CAST(X."&amp;F299&amp;" AS STRING))='' OR TRIM(CAST(X."&amp;F299&amp;" AS STRING)) IS NULL,1,0)) AS NUM_REG_DIF,'"&amp;MAX('ID1&amp;5'!K:K)+1&amp;"' AS ID_EXEC, CURRENT_TIMESTAMP() AS TIME_EXEC FROM "&amp;I299),
IF(C299="Caracteres Especiais",+"SELECT '"&amp;UPPER(B299)&amp;"' AS TABELA, '"&amp;UPPER(C299)&amp;"' AS TIPOLOGIA_TESTE,'"&amp;D299&amp;"' AS TABELA_LT,'N/A' AS TABELA_SIMUL,'"&amp;F299&amp;"' AS CAMPO, "&amp;"'${ref_date}' AS REF_DATE, COUNT(*) AS NUM_REG, SUM(IF(REGEXP_REPLACE(TRIM(CAST(X."&amp;F299&amp;" AS STRING)),'[^a-zA-Z0-9_\\s]','') &lt;&gt;TRIM(CAST(X."&amp;F299&amp;" AS STRING)),1,0)) AS NUM_REG_DIF,'"&amp;MAX('ID1&amp;5'!K:K)+1&amp;"' AS ID_EXEC, CURRENT_TIMESTAMP() AS TIME_EXEC FROM "&amp;I299,
IF(C299="Missings",+"SELECT '"&amp;UPPER(B299)&amp;"' AS TABELA, '"&amp;UPPER(C299)&amp;"' AS TIPOLOGIA_TESTE,'"&amp;D299&amp;"' AS TABELA_LT,'N/A' AS TABELA_SIMUL,'"&amp;F299&amp;"' AS CAMPO, "&amp;"'${ref_date}' AS REF_DATE, COUNT(*) AS NUM_REG, SUM(IF(TRIM(CAST(X."&amp;F299&amp;" AS STRING)) IN ('0000-00-00','0001-01-01','9999-12-31','MISS','00000','99999999999','99999999999.00','99999999999.000000'),1,0)) AS NUM_REG_DIF,'"&amp;MAX('ID1&amp;5'!K:K)+1&amp;"' AS ID_EXEC, CURRENT_TIMESTAMP() AS TIME_EXEC FROM "&amp;I299,
IF(C299="Not applicable",+"SELECT '"&amp;UPPER(B299)&amp;"' AS TABELA, '"&amp;UPPER(C299)&amp;"' AS TIPOLOGIA_TESTE,'"&amp;D299&amp;"' AS TABELA_LT,'N/A' AS TABELA_SIMUL,'"&amp;F299&amp;"' AS CAMPO, "&amp;"'${ref_date}' AS REF_DATE, COUNT(*) AS NUM_REG, SUM(IF(TRIM(CAST(X."&amp;F299&amp;" AS STRING)) IN ('N/A','11111111111','11111111111.00','11111111111.000000','1111-11-11'),1,0)) AS NUM_REG_DIF,'"&amp;MAX('ID1&amp;5'!K:K)+1&amp;"' AS ID_EXEC, CURRENT_TIMESTAMP() AS TIME_EXEC FROM "&amp;I299,
IF(C299="Valores extremos",+"SELECT '"&amp;UPPER(B299)&amp;"' AS TABELA, '"&amp;UPPER(C299)&amp;"' AS TIPOLOGIA_TESTE,'"&amp;D299&amp;"' AS TABELA_LT,'N/A' AS TABELA_SIMUL,'"&amp;F299&amp;"' AS CAMPO, "&amp;"'${ref_date}' AS REF_DATE, CAST(MIN("&amp;F299&amp;") AS STRING) AS VALOR_MIN, CAST(MAX("&amp;F299&amp;") AS STRING) AS VALOR_MAX,'"&amp;MAX('ID1&amp;5'!K:K)+1&amp;"' AS ID_EXEC, CURRENT_TIMESTAMP() AS TIME_EXEC FROM "&amp;MID(I299,1,LEN(I299)-2)&amp;" AND CAST("&amp;F299&amp;"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TABELA_SIMUL,'dsti' AS CAMPO, '${ref_date}' AS REF_DATE, COUNT(*) AS NUM_REG, SUM(IF(COALESCE(CAST(X.dsti AS STRING),'')&lt;&gt;COALESCE(CAST(Y.dsti_SIMUL AS STRING),'') OR (X.dsti IS NULL AND Y.dsti_SIMUL IS NOT NULL ) OR (X.dsti IS NOT NULL AND Y.dsti_SIMUL IS NULL),1,0)) AS NUM_REG_DIF,'1' AS ID_EXEC, CURRENT_TIMESTAMP() AS TIME_EXEC FROM (SELECT instrmnt_id, dsti FROM BU_LOANTAPE_WORK.LT002_INSTRUMENT WHERE ref_date='${ref_date}' AND nome_perimetro='Individual Local' AND segmento='ESTR' AND ambito='SRB_MBDT' AND entidade='00100')X INNER JOIN (SELECT instrmnt_id AS instrmnt_id_SIMUL, dsti AS dsti_SIMUL FROM BU_LOANTAPE_WORK.SIMUL_LT002_INSTRUMENT WHERE ref_date='${ref_date}' AND nome_perimetro='Individual Local' AND segmento='ESTR' AND ambito='PILAR3' AND entidade='00100')Y ON X.INSTRMNT_ID=Y.INSTRMNT_ID_SIMUL</v>
      </c>
      <c r="M299" s="36" t="str">
        <f t="shared" si="7"/>
        <v>UNION ALL SELECT 'INSTRUMENT' AS TABELA, 'COERÊNCIA' AS TIPOLOGIA_TESTE,'BU_LOANTAPE_WORK.LT002_INSTRUMENT' AS TABELA_LT,'BU_LOANTAPE_WORK.SIMUL_LT002_INSTRUMENT' AS TABELA_SIMUL,'dsti' AS CAMPO, '${ref_date}' AS REF_DATE, COUNT(*) AS NUM_REG, SUM(IF(COALESCE(CAST(X.dsti AS STRING),'')&lt;&gt;COALESCE(CAST(Y.dsti_SIMUL AS STRING),'') OR (X.dsti IS NULL AND Y.dsti_SIMUL IS NOT NULL ) OR (X.dsti IS NOT NULL AND Y.dsti_SIMUL IS NULL),1,0)) AS NUM_REG_DIF,'1' AS ID_EXEC, CURRENT_TIMESTAMP() AS TIME_EXEC FROM (SELECT instrmnt_id, dsti FROM BU_LOANTAPE_WORK.LT002_INSTRUMENT WHERE ref_date='${ref_date}' AND nome_perimetro='Individual Local' AND segmento='ESTR' AND ambito='SRB_MBDT' AND entidade='00100')X INNER JOIN (SELECT instrmnt_id AS instrmnt_id_SIMUL, dsti AS dsti_SIMUL FROM BU_LOANTAPE_WORK.SIMUL_LT002_INSTRUMENT WHERE ref_date='${ref_date}' AND nome_perimetro='Individual Local' AND segmento='ESTR' AND ambito='PILAR3' AND entidade='00100')Y ON X.INSTRMNT_ID=Y.INSTRMNT_ID_SIMUL</v>
      </c>
      <c r="N299" s="38"/>
    </row>
    <row r="300" spans="2:14">
      <c r="B300" s="34" t="s">
        <v>117</v>
      </c>
      <c r="C300" s="34" t="s">
        <v>5</v>
      </c>
      <c r="D300" s="34" t="str">
        <f>+UPPER('0. Instruções'!$D$35&amp;"."&amp;VLOOKUP(B300,'0. Instruções'!$C$27:$D$32,2,FALSE))</f>
        <v>BU_LOANTAPE_WORK.LT002_INSTRUMENT</v>
      </c>
      <c r="E300" s="34" t="str">
        <f>+UPPER('0. Instruções'!$D$36&amp;"."&amp;VLOOKUP(B300,'0. Instruções'!$C$27:$E$32,3,FALSE))</f>
        <v>BU_LOANTAPE_WORK.SIMUL_LT002_INSTRUMENT</v>
      </c>
      <c r="F300" s="34" t="s">
        <v>1349</v>
      </c>
      <c r="G300" s="34"/>
      <c r="H300" s="34"/>
      <c r="I300" s="34" t="str">
        <f>"(SELECT "&amp;VLOOKUP(B300,'0. Instruções'!$C$27:$G$32,4,FALSE)&amp;", "&amp;F300&amp;" FROM "&amp;D300&amp;" WHERE "&amp;'0. Instruções'!$D$42&amp;")X"</f>
        <v>(SELECT instrmnt_id, lti_instrmnt FROM BU_LOANTAPE_WORK.LT002_INSTRUMENT WHERE ref_date='${ref_date}' AND nome_perimetro='Individual Local' AND segmento='ESTR' AND ambito='SRB_MBDT' AND entidade='00100')X</v>
      </c>
      <c r="J300" s="34" t="str">
        <f>"(SELECT "&amp;VLOOKUP(B300,'0. Instruções'!$C$27:$G$32,4,FALSE)&amp;" AS "&amp;VLOOKUP(B300,'0. Instruções'!$C$27:$G$32,4,FALSE)&amp;"_SIMUL, "&amp;F300&amp;" AS "&amp;F300&amp;"_SIMUL FROM "&amp;E300&amp;" WHERE "&amp;'0. Instruções'!$D$43&amp;")Y"</f>
        <v>(SELECT instrmnt_id AS instrmnt_id_SIMUL, lti_instrmnt AS lti_instrmnt_SIMUL FROM BU_LOANTAPE_WORK.SIMUL_LT002_INSTRUMENT WHERE ref_date='${ref_date}' AND nome_perimetro='Individual Local' AND segmento='ESTR' AND ambito='PILAR3' AND entidade='00100')Y</v>
      </c>
      <c r="K300" s="35" t="str">
        <f>+UPPER("ON X."&amp;VLOOKUP(B300,'0. Instruções'!$C$27:$G$32,4,FALSE)&amp;"=Y."&amp;VLOOKUP(B300,'0. Instruções'!$C$27:$G$32,4,FALSE)&amp;"_SIMUL")</f>
        <v>ON X.INSTRMNT_ID=Y.INSTRMNT_ID_SIMUL</v>
      </c>
      <c r="L300" s="35" t="str">
        <f>+IF(C300="Coerência", +IF(LEFT(G300,5)="FLOAT","SELECT '"&amp;UPPER(B300)&amp;"' AS TABELA, '"&amp;UPPER(C300)&amp;"' AS TIPOLOGIA_TESTE,'"&amp;D300&amp;"' AS TABELA_LT,'"&amp;E300&amp;"' AS TABELA_SIMUL,'"&amp;F300&amp;"' AS CAMPO, "&amp;"'${ref_date}' AS REF_DATE, COUNT(*) AS NUM_REG, SUM(IF((ABS(COALESCE(CAST(X."&amp;F300&amp;" AS DECIMAL(18,6)),0)-COALESCE(CAST(Y."&amp;F300&amp;"_SIMUL AS DECIMAL(18,6)),0))&gt;0.000001) OR (X."&amp;F300&amp;" IS NULL AND Y."&amp;F300&amp;"_SIMUL IS NOT NULL ) OR (X."&amp;F300&amp;" IS NOT NULL AND Y."&amp;F300&amp;"_SIMUL IS NULL),1,0)) AS NUM_REG_DIF,'"&amp;MAX('ID1&amp;5'!K:K)+1&amp;"' AS ID_EXEC, CURRENT_TIMESTAMP() AS TIME_EXEC FROM "&amp;I300&amp;" INNER JOIN "&amp;J300&amp;" "&amp;K300,"SELECT '"&amp;UPPER(B300)&amp;"' AS TABELA, '"&amp;UPPER(C300)&amp;"' AS TIPOLOGIA_TESTE,'"&amp;D300&amp;"' AS TABELA_LT,'"&amp;E300&amp;"' AS TABELA_SIMUL,'"&amp;F300&amp;"' AS CAMPO, "&amp;"'${ref_date}' AS REF_DATE, COUNT(*) AS NUM_REG, SUM(IF(COALESCE(CAST(X."&amp;F300&amp;" AS STRING),'')&lt;&gt;COALESCE(CAST(Y."&amp;F300&amp;"_SIMUL AS STRING),'') OR (X."&amp;F300&amp;" IS NULL AND Y."&amp;F300&amp;"_SIMUL IS NOT NULL ) OR (X."&amp;F300&amp;" IS NOT NULL AND Y."&amp;F300&amp;"_SIMUL IS NULL),1,0)) AS NUM_REG_DIF,'"&amp;MAX('ID1&amp;5'!L:L)+1&amp;"' AS ID_EXEC, CURRENT_TIMESTAMP() AS TIME_EXEC FROM "&amp;I300&amp;" INNER JOIN "&amp;J300&amp;" "&amp;K300),
IF(C300="Validade",+IF(G300="Code List","SELECT '"&amp;UPPER(B300)&amp;"' AS TABELA, '"&amp;UPPER(C300)&amp;"' AS TIPOLOGIA_TESTE,'"&amp;D300&amp;"' AS TABELA_LT,'N/A' AS TABELA_SIMUL,'"&amp;F300&amp;"' AS CAMPO, "&amp;"'${ref_date}' AS REF_DATE, COUNT(*) AS NUM_REG, SUM(IF(TRIM(CAST(X."&amp;F300&amp;" AS STRING))='' OR TRIM(CAST(X."&amp;F300&amp;" AS STRING)) IS NULL OR CAST(X."&amp;F300&amp;" AS STRING) NOT "&amp;H300&amp;",1,0)) AS NUM_REG_DIF,'"&amp;MAX('ID1&amp;5'!K:K)+1&amp;"' AS ID_EXEC, CURRENT_TIMESTAMP() AS TIME_EXEC FROM "&amp;I300,"SELECT '"&amp;UPPER(B300)&amp;"' AS TABELA, '"&amp;UPPER(C300)&amp;"' AS TIPOLOGIA_TESTE,'"&amp;D300&amp;"' AS TABELA_LT,'N/A' AS TABELA_SIMUL,'"&amp;F300&amp;"' AS CAMPO, "&amp;"'${ref_date}' AS REF_DATE, COUNT(*) AS NUM_REG, SUM(IF(TRIM(CAST(X."&amp;F300&amp;" AS STRING))='' OR TRIM(CAST(X."&amp;F300&amp;" AS STRING)) IS NULL,1,0)) AS NUM_REG_DIF,'"&amp;MAX('ID1&amp;5'!K:K)+1&amp;"' AS ID_EXEC, CURRENT_TIMESTAMP() AS TIME_EXEC FROM "&amp;I300),
IF(C300="Caracteres Especiais",+"SELECT '"&amp;UPPER(B300)&amp;"' AS TABELA, '"&amp;UPPER(C300)&amp;"' AS TIPOLOGIA_TESTE,'"&amp;D300&amp;"' AS TABELA_LT,'N/A' AS TABELA_SIMUL,'"&amp;F300&amp;"' AS CAMPO, "&amp;"'${ref_date}' AS REF_DATE, COUNT(*) AS NUM_REG, SUM(IF(REGEXP_REPLACE(TRIM(CAST(X."&amp;F300&amp;" AS STRING)),'[^a-zA-Z0-9_\\s]','') &lt;&gt;TRIM(CAST(X."&amp;F300&amp;" AS STRING)),1,0)) AS NUM_REG_DIF,'"&amp;MAX('ID1&amp;5'!K:K)+1&amp;"' AS ID_EXEC, CURRENT_TIMESTAMP() AS TIME_EXEC FROM "&amp;I300,
IF(C300="Missings",+"SELECT '"&amp;UPPER(B300)&amp;"' AS TABELA, '"&amp;UPPER(C300)&amp;"' AS TIPOLOGIA_TESTE,'"&amp;D300&amp;"' AS TABELA_LT,'N/A' AS TABELA_SIMUL,'"&amp;F300&amp;"' AS CAMPO, "&amp;"'${ref_date}' AS REF_DATE, COUNT(*) AS NUM_REG, SUM(IF(TRIM(CAST(X."&amp;F300&amp;" AS STRING)) IN ('0000-00-00','0001-01-01','9999-12-31','MISS','00000','99999999999','99999999999.00','99999999999.000000'),1,0)) AS NUM_REG_DIF,'"&amp;MAX('ID1&amp;5'!K:K)+1&amp;"' AS ID_EXEC, CURRENT_TIMESTAMP() AS TIME_EXEC FROM "&amp;I300,
IF(C300="Not applicable",+"SELECT '"&amp;UPPER(B300)&amp;"' AS TABELA, '"&amp;UPPER(C300)&amp;"' AS TIPOLOGIA_TESTE,'"&amp;D300&amp;"' AS TABELA_LT,'N/A' AS TABELA_SIMUL,'"&amp;F300&amp;"' AS CAMPO, "&amp;"'${ref_date}' AS REF_DATE, COUNT(*) AS NUM_REG, SUM(IF(TRIM(CAST(X."&amp;F300&amp;" AS STRING)) IN ('N/A','11111111111','11111111111.00','11111111111.000000','1111-11-11'),1,0)) AS NUM_REG_DIF,'"&amp;MAX('ID1&amp;5'!K:K)+1&amp;"' AS ID_EXEC, CURRENT_TIMESTAMP() AS TIME_EXEC FROM "&amp;I300,
IF(C300="Valores extremos",+"SELECT '"&amp;UPPER(B300)&amp;"' AS TABELA, '"&amp;UPPER(C300)&amp;"' AS TIPOLOGIA_TESTE,'"&amp;D300&amp;"' AS TABELA_LT,'N/A' AS TABELA_SIMUL,'"&amp;F300&amp;"' AS CAMPO, "&amp;"'${ref_date}' AS REF_DATE, CAST(MIN("&amp;F300&amp;") AS STRING) AS VALOR_MIN, CAST(MAX("&amp;F300&amp;") AS STRING) AS VALOR_MAX,'"&amp;MAX('ID1&amp;5'!K:K)+1&amp;"' AS ID_EXEC, CURRENT_TIMESTAMP() AS TIME_EXEC FROM "&amp;MID(I300,1,LEN(I300)-2)&amp;" AND CAST("&amp;F300&amp;"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TABELA_SIMUL,'lti_instrmnt' AS CAMPO, '${ref_date}' AS REF_DATE, COUNT(*) AS NUM_REG, SUM(IF(COALESCE(CAST(X.lti_instrmnt AS STRING),'')&lt;&gt;COALESCE(CAST(Y.lti_instrmnt_SIMUL AS STRING),'') OR (X.lti_instrmnt IS NULL AND Y.lti_instrmnt_SIMUL IS NOT NULL ) OR (X.lti_instrmnt IS NOT NULL AND Y.lti_instrmnt_SIMUL IS NULL),1,0)) AS NUM_REG_DIF,'1' AS ID_EXEC, CURRENT_TIMESTAMP() AS TIME_EXEC FROM (SELECT instrmnt_id, lti_instrmnt FROM BU_LOANTAPE_WORK.LT002_INSTRUMENT WHERE ref_date='${ref_date}' AND nome_perimetro='Individual Local' AND segmento='ESTR' AND ambito='SRB_MBDT' AND entidade='00100')X INNER JOIN (SELECT instrmnt_id AS instrmnt_id_SIMUL, lti_instrmnt AS lti_instrmnt_SIMUL FROM BU_LOANTAPE_WORK.SIMUL_LT002_INSTRUMENT WHERE ref_date='${ref_date}' AND nome_perimetro='Individual Local' AND segmento='ESTR' AND ambito='PILAR3' AND entidade='00100')Y ON X.INSTRMNT_ID=Y.INSTRMNT_ID_SIMUL</v>
      </c>
      <c r="M300" s="36" t="str">
        <f t="shared" si="7"/>
        <v>UNION ALL SELECT 'INSTRUMENT' AS TABELA, 'COERÊNCIA' AS TIPOLOGIA_TESTE,'BU_LOANTAPE_WORK.LT002_INSTRUMENT' AS TABELA_LT,'BU_LOANTAPE_WORK.SIMUL_LT002_INSTRUMENT' AS TABELA_SIMUL,'lti_instrmnt' AS CAMPO, '${ref_date}' AS REF_DATE, COUNT(*) AS NUM_REG, SUM(IF(COALESCE(CAST(X.lti_instrmnt AS STRING),'')&lt;&gt;COALESCE(CAST(Y.lti_instrmnt_SIMUL AS STRING),'') OR (X.lti_instrmnt IS NULL AND Y.lti_instrmnt_SIMUL IS NOT NULL ) OR (X.lti_instrmnt IS NOT NULL AND Y.lti_instrmnt_SIMUL IS NULL),1,0)) AS NUM_REG_DIF,'1' AS ID_EXEC, CURRENT_TIMESTAMP() AS TIME_EXEC FROM (SELECT instrmnt_id, lti_instrmnt FROM BU_LOANTAPE_WORK.LT002_INSTRUMENT WHERE ref_date='${ref_date}' AND nome_perimetro='Individual Local' AND segmento='ESTR' AND ambito='SRB_MBDT' AND entidade='00100')X INNER JOIN (SELECT instrmnt_id AS instrmnt_id_SIMUL, lti_instrmnt AS lti_instrmnt_SIMUL FROM BU_LOANTAPE_WORK.SIMUL_LT002_INSTRUMENT WHERE ref_date='${ref_date}' AND nome_perimetro='Individual Local' AND segmento='ESTR' AND ambito='PILAR3' AND entidade='00100')Y ON X.INSTRMNT_ID=Y.INSTRMNT_ID_SIMUL</v>
      </c>
      <c r="N300" s="38"/>
    </row>
    <row r="301" spans="2:14">
      <c r="B301" s="34" t="s">
        <v>117</v>
      </c>
      <c r="C301" s="34" t="s">
        <v>5</v>
      </c>
      <c r="D301" s="34" t="str">
        <f>+UPPER('0. Instruções'!$D$35&amp;"."&amp;VLOOKUP(B301,'0. Instruções'!$C$27:$D$32,2,FALSE))</f>
        <v>BU_LOANTAPE_WORK.LT002_INSTRUMENT</v>
      </c>
      <c r="E301" s="34" t="str">
        <f>+UPPER('0. Instruções'!$D$36&amp;"."&amp;VLOOKUP(B301,'0. Instruções'!$C$27:$E$32,3,FALSE))</f>
        <v>BU_LOANTAPE_WORK.SIMUL_LT002_INSTRUMENT</v>
      </c>
      <c r="F301" s="34" t="s">
        <v>631</v>
      </c>
      <c r="G301" s="34"/>
      <c r="H301" s="34"/>
      <c r="I301" s="34" t="str">
        <f>"(SELECT "&amp;VLOOKUP(B301,'0. Instruções'!$C$27:$G$32,4,FALSE)&amp;", "&amp;F301&amp;" FROM "&amp;D301&amp;" WHERE "&amp;'0. Instruções'!$D$42&amp;")X"</f>
        <v>(SELECT instrmnt_id, rsk_mtgtd_cct FROM BU_LOANTAPE_WORK.LT002_INSTRUMENT WHERE ref_date='${ref_date}' AND nome_perimetro='Individual Local' AND segmento='ESTR' AND ambito='SRB_MBDT' AND entidade='00100')X</v>
      </c>
      <c r="J301" s="34" t="str">
        <f>"(SELECT "&amp;VLOOKUP(B301,'0. Instruções'!$C$27:$G$32,4,FALSE)&amp;" AS "&amp;VLOOKUP(B301,'0. Instruções'!$C$27:$G$32,4,FALSE)&amp;"_SIMUL, "&amp;F301&amp;" AS "&amp;F301&amp;"_SIMUL FROM "&amp;E301&amp;" WHERE "&amp;'0. Instruções'!$D$43&amp;")Y"</f>
        <v>(SELECT instrmnt_id AS instrmnt_id_SIMUL, rsk_mtgtd_cct AS rsk_mtgtd_cct_SIMUL FROM BU_LOANTAPE_WORK.SIMUL_LT002_INSTRUMENT WHERE ref_date='${ref_date}' AND nome_perimetro='Individual Local' AND segmento='ESTR' AND ambito='PILAR3' AND entidade='00100')Y</v>
      </c>
      <c r="K301" s="35" t="str">
        <f>+UPPER("ON X."&amp;VLOOKUP(B301,'0. Instruções'!$C$27:$G$32,4,FALSE)&amp;"=Y."&amp;VLOOKUP(B301,'0. Instruções'!$C$27:$G$32,4,FALSE)&amp;"_SIMUL")</f>
        <v>ON X.INSTRMNT_ID=Y.INSTRMNT_ID_SIMUL</v>
      </c>
      <c r="L301" s="35" t="str">
        <f>+IF(C301="Coerência", +IF(LEFT(G301,5)="FLOAT","SELECT '"&amp;UPPER(B301)&amp;"' AS TABELA, '"&amp;UPPER(C301)&amp;"' AS TIPOLOGIA_TESTE,'"&amp;D301&amp;"' AS TABELA_LT,'"&amp;E301&amp;"' AS TABELA_SIMUL,'"&amp;F301&amp;"' AS CAMPO, "&amp;"'${ref_date}' AS REF_DATE, COUNT(*) AS NUM_REG, SUM(IF((ABS(COALESCE(CAST(X."&amp;F301&amp;" AS DECIMAL(18,6)),0)-COALESCE(CAST(Y."&amp;F301&amp;"_SIMUL AS DECIMAL(18,6)),0))&gt;0.000001) OR (X."&amp;F301&amp;" IS NULL AND Y."&amp;F301&amp;"_SIMUL IS NOT NULL ) OR (X."&amp;F301&amp;" IS NOT NULL AND Y."&amp;F301&amp;"_SIMUL IS NULL),1,0)) AS NUM_REG_DIF,'"&amp;MAX('ID1&amp;5'!K:K)+1&amp;"' AS ID_EXEC, CURRENT_TIMESTAMP() AS TIME_EXEC FROM "&amp;I301&amp;" INNER JOIN "&amp;J301&amp;" "&amp;K301,"SELECT '"&amp;UPPER(B301)&amp;"' AS TABELA, '"&amp;UPPER(C301)&amp;"' AS TIPOLOGIA_TESTE,'"&amp;D301&amp;"' AS TABELA_LT,'"&amp;E301&amp;"' AS TABELA_SIMUL,'"&amp;F301&amp;"' AS CAMPO, "&amp;"'${ref_date}' AS REF_DATE, COUNT(*) AS NUM_REG, SUM(IF(COALESCE(CAST(X."&amp;F301&amp;" AS STRING),'')&lt;&gt;COALESCE(CAST(Y."&amp;F301&amp;"_SIMUL AS STRING),'') OR (X."&amp;F301&amp;" IS NULL AND Y."&amp;F301&amp;"_SIMUL IS NOT NULL ) OR (X."&amp;F301&amp;" IS NOT NULL AND Y."&amp;F301&amp;"_SIMUL IS NULL),1,0)) AS NUM_REG_DIF,'"&amp;MAX('ID1&amp;5'!L:L)+1&amp;"' AS ID_EXEC, CURRENT_TIMESTAMP() AS TIME_EXEC FROM "&amp;I301&amp;" INNER JOIN "&amp;J301&amp;" "&amp;K301),
IF(C301="Validade",+IF(G301="Code List","SELECT '"&amp;UPPER(B301)&amp;"' AS TABELA, '"&amp;UPPER(C301)&amp;"' AS TIPOLOGIA_TESTE,'"&amp;D301&amp;"' AS TABELA_LT,'N/A' AS TABELA_SIMUL,'"&amp;F301&amp;"' AS CAMPO, "&amp;"'${ref_date}' AS REF_DATE, COUNT(*) AS NUM_REG, SUM(IF(TRIM(CAST(X."&amp;F301&amp;" AS STRING))='' OR TRIM(CAST(X."&amp;F301&amp;" AS STRING)) IS NULL OR CAST(X."&amp;F301&amp;" AS STRING) NOT "&amp;H301&amp;",1,0)) AS NUM_REG_DIF,'"&amp;MAX('ID1&amp;5'!K:K)+1&amp;"' AS ID_EXEC, CURRENT_TIMESTAMP() AS TIME_EXEC FROM "&amp;I301,"SELECT '"&amp;UPPER(B301)&amp;"' AS TABELA, '"&amp;UPPER(C301)&amp;"' AS TIPOLOGIA_TESTE,'"&amp;D301&amp;"' AS TABELA_LT,'N/A' AS TABELA_SIMUL,'"&amp;F301&amp;"' AS CAMPO, "&amp;"'${ref_date}' AS REF_DATE, COUNT(*) AS NUM_REG, SUM(IF(TRIM(CAST(X."&amp;F301&amp;" AS STRING))='' OR TRIM(CAST(X."&amp;F301&amp;" AS STRING)) IS NULL,1,0)) AS NUM_REG_DIF,'"&amp;MAX('ID1&amp;5'!K:K)+1&amp;"' AS ID_EXEC, CURRENT_TIMESTAMP() AS TIME_EXEC FROM "&amp;I301),
IF(C301="Caracteres Especiais",+"SELECT '"&amp;UPPER(B301)&amp;"' AS TABELA, '"&amp;UPPER(C301)&amp;"' AS TIPOLOGIA_TESTE,'"&amp;D301&amp;"' AS TABELA_LT,'N/A' AS TABELA_SIMUL,'"&amp;F301&amp;"' AS CAMPO, "&amp;"'${ref_date}' AS REF_DATE, COUNT(*) AS NUM_REG, SUM(IF(REGEXP_REPLACE(TRIM(CAST(X."&amp;F301&amp;" AS STRING)),'[^a-zA-Z0-9_\\s]','') &lt;&gt;TRIM(CAST(X."&amp;F301&amp;" AS STRING)),1,0)) AS NUM_REG_DIF,'"&amp;MAX('ID1&amp;5'!K:K)+1&amp;"' AS ID_EXEC, CURRENT_TIMESTAMP() AS TIME_EXEC FROM "&amp;I301,
IF(C301="Missings",+"SELECT '"&amp;UPPER(B301)&amp;"' AS TABELA, '"&amp;UPPER(C301)&amp;"' AS TIPOLOGIA_TESTE,'"&amp;D301&amp;"' AS TABELA_LT,'N/A' AS TABELA_SIMUL,'"&amp;F301&amp;"' AS CAMPO, "&amp;"'${ref_date}' AS REF_DATE, COUNT(*) AS NUM_REG, SUM(IF(TRIM(CAST(X."&amp;F301&amp;" AS STRING)) IN ('0000-00-00','0001-01-01','9999-12-31','MISS','00000','99999999999','99999999999.00','99999999999.000000'),1,0)) AS NUM_REG_DIF,'"&amp;MAX('ID1&amp;5'!K:K)+1&amp;"' AS ID_EXEC, CURRENT_TIMESTAMP() AS TIME_EXEC FROM "&amp;I301,
IF(C301="Not applicable",+"SELECT '"&amp;UPPER(B301)&amp;"' AS TABELA, '"&amp;UPPER(C301)&amp;"' AS TIPOLOGIA_TESTE,'"&amp;D301&amp;"' AS TABELA_LT,'N/A' AS TABELA_SIMUL,'"&amp;F301&amp;"' AS CAMPO, "&amp;"'${ref_date}' AS REF_DATE, COUNT(*) AS NUM_REG, SUM(IF(TRIM(CAST(X."&amp;F301&amp;" AS STRING)) IN ('N/A','11111111111','11111111111.00','11111111111.000000','1111-11-11'),1,0)) AS NUM_REG_DIF,'"&amp;MAX('ID1&amp;5'!K:K)+1&amp;"' AS ID_EXEC, CURRENT_TIMESTAMP() AS TIME_EXEC FROM "&amp;I301,
IF(C301="Valores extremos",+"SELECT '"&amp;UPPER(B301)&amp;"' AS TABELA, '"&amp;UPPER(C301)&amp;"' AS TIPOLOGIA_TESTE,'"&amp;D301&amp;"' AS TABELA_LT,'N/A' AS TABELA_SIMUL,'"&amp;F301&amp;"' AS CAMPO, "&amp;"'${ref_date}' AS REF_DATE, CAST(MIN("&amp;F301&amp;") AS STRING) AS VALOR_MIN, CAST(MAX("&amp;F301&amp;") AS STRING) AS VALOR_MAX,'"&amp;MAX('ID1&amp;5'!K:K)+1&amp;"' AS ID_EXEC, CURRENT_TIMESTAMP() AS TIME_EXEC FROM "&amp;MID(I301,1,LEN(I301)-2)&amp;" AND CAST("&amp;F301&amp;"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TABELA_SIMUL,'rsk_mtgtd_cct' AS CAMPO, '${ref_date}' AS REF_DATE, COUNT(*) AS NUM_REG, SUM(IF(COALESCE(CAST(X.rsk_mtgtd_cct AS STRING),'')&lt;&gt;COALESCE(CAST(Y.rsk_mtgtd_cct_SIMUL AS STRING),'') OR (X.rsk_mtgtd_cct IS NULL AND Y.rsk_mtgtd_cct_SIMUL IS NOT NULL ) OR (X.rsk_mtgtd_cct IS NOT NULL AND Y.rsk_mtgtd_cct_SIMUL IS NULL),1,0)) AS NUM_REG_DIF,'1' AS ID_EXEC, CURRENT_TIMESTAMP() AS TIME_EXEC FROM (SELECT instrmnt_id, rsk_mtgtd_cct FROM BU_LOANTAPE_WORK.LT002_INSTRUMENT WHERE ref_date='${ref_date}' AND nome_perimetro='Individual Local' AND segmento='ESTR' AND ambito='SRB_MBDT' AND entidade='00100')X INNER JOIN (SELECT instrmnt_id AS instrmnt_id_SIMUL, rsk_mtgtd_cct AS rsk_mtgtd_cct_SIMUL FROM BU_LOANTAPE_WORK.SIMUL_LT002_INSTRUMENT WHERE ref_date='${ref_date}' AND nome_perimetro='Individual Local' AND segmento='ESTR' AND ambito='PILAR3' AND entidade='00100')Y ON X.INSTRMNT_ID=Y.INSTRMNT_ID_SIMUL</v>
      </c>
      <c r="M301" s="36" t="str">
        <f t="shared" si="7"/>
        <v>UNION ALL SELECT 'INSTRUMENT' AS TABELA, 'COERÊNCIA' AS TIPOLOGIA_TESTE,'BU_LOANTAPE_WORK.LT002_INSTRUMENT' AS TABELA_LT,'BU_LOANTAPE_WORK.SIMUL_LT002_INSTRUMENT' AS TABELA_SIMUL,'rsk_mtgtd_cct' AS CAMPO, '${ref_date}' AS REF_DATE, COUNT(*) AS NUM_REG, SUM(IF(COALESCE(CAST(X.rsk_mtgtd_cct AS STRING),'')&lt;&gt;COALESCE(CAST(Y.rsk_mtgtd_cct_SIMUL AS STRING),'') OR (X.rsk_mtgtd_cct IS NULL AND Y.rsk_mtgtd_cct_SIMUL IS NOT NULL ) OR (X.rsk_mtgtd_cct IS NOT NULL AND Y.rsk_mtgtd_cct_SIMUL IS NULL),1,0)) AS NUM_REG_DIF,'1' AS ID_EXEC, CURRENT_TIMESTAMP() AS TIME_EXEC FROM (SELECT instrmnt_id, rsk_mtgtd_cct FROM BU_LOANTAPE_WORK.LT002_INSTRUMENT WHERE ref_date='${ref_date}' AND nome_perimetro='Individual Local' AND segmento='ESTR' AND ambito='SRB_MBDT' AND entidade='00100')X INNER JOIN (SELECT instrmnt_id AS instrmnt_id_SIMUL, rsk_mtgtd_cct AS rsk_mtgtd_cct_SIMUL FROM BU_LOANTAPE_WORK.SIMUL_LT002_INSTRUMENT WHERE ref_date='${ref_date}' AND nome_perimetro='Individual Local' AND segmento='ESTR' AND ambito='PILAR3' AND entidade='00100')Y ON X.INSTRMNT_ID=Y.INSTRMNT_ID_SIMUL</v>
      </c>
      <c r="N301" s="38"/>
    </row>
    <row r="302" spans="2:14">
      <c r="B302" s="34" t="s">
        <v>117</v>
      </c>
      <c r="C302" s="34" t="s">
        <v>5</v>
      </c>
      <c r="D302" s="34" t="str">
        <f>+UPPER('0. Instruções'!$D$35&amp;"."&amp;VLOOKUP(B302,'0. Instruções'!$C$27:$D$32,2,FALSE))</f>
        <v>BU_LOANTAPE_WORK.LT002_INSTRUMENT</v>
      </c>
      <c r="E302" s="34" t="str">
        <f>+UPPER('0. Instruções'!$D$36&amp;"."&amp;VLOOKUP(B302,'0. Instruções'!$C$27:$E$32,3,FALSE))</f>
        <v>BU_LOANTAPE_WORK.SIMUL_LT002_INSTRUMENT</v>
      </c>
      <c r="F302" s="34" t="s">
        <v>632</v>
      </c>
      <c r="G302" s="34"/>
      <c r="H302" s="34"/>
      <c r="I302" s="34" t="str">
        <f>"(SELECT "&amp;VLOOKUP(B302,'0. Instruções'!$C$27:$G$32,4,FALSE)&amp;", "&amp;F302&amp;" FROM "&amp;D302&amp;" WHERE "&amp;'0. Instruções'!$D$42&amp;")X"</f>
        <v>(SELECT instrmnt_id, rsk_mtgtd_ccp FROM BU_LOANTAPE_WORK.LT002_INSTRUMENT WHERE ref_date='${ref_date}' AND nome_perimetro='Individual Local' AND segmento='ESTR' AND ambito='SRB_MBDT' AND entidade='00100')X</v>
      </c>
      <c r="J302" s="34" t="str">
        <f>"(SELECT "&amp;VLOOKUP(B302,'0. Instruções'!$C$27:$G$32,4,FALSE)&amp;" AS "&amp;VLOOKUP(B302,'0. Instruções'!$C$27:$G$32,4,FALSE)&amp;"_SIMUL, "&amp;F302&amp;" AS "&amp;F302&amp;"_SIMUL FROM "&amp;E302&amp;" WHERE "&amp;'0. Instruções'!$D$43&amp;")Y"</f>
        <v>(SELECT instrmnt_id AS instrmnt_id_SIMUL, rsk_mtgtd_ccp AS rsk_mtgtd_ccp_SIMUL FROM BU_LOANTAPE_WORK.SIMUL_LT002_INSTRUMENT WHERE ref_date='${ref_date}' AND nome_perimetro='Individual Local' AND segmento='ESTR' AND ambito='PILAR3' AND entidade='00100')Y</v>
      </c>
      <c r="K302" s="35" t="str">
        <f>+UPPER("ON X."&amp;VLOOKUP(B302,'0. Instruções'!$C$27:$G$32,4,FALSE)&amp;"=Y."&amp;VLOOKUP(B302,'0. Instruções'!$C$27:$G$32,4,FALSE)&amp;"_SIMUL")</f>
        <v>ON X.INSTRMNT_ID=Y.INSTRMNT_ID_SIMUL</v>
      </c>
      <c r="L302" s="35" t="str">
        <f>+IF(C302="Coerência", +IF(LEFT(G302,5)="FLOAT","SELECT '"&amp;UPPER(B302)&amp;"' AS TABELA, '"&amp;UPPER(C302)&amp;"' AS TIPOLOGIA_TESTE,'"&amp;D302&amp;"' AS TABELA_LT,'"&amp;E302&amp;"' AS TABELA_SIMUL,'"&amp;F302&amp;"' AS CAMPO, "&amp;"'${ref_date}' AS REF_DATE, COUNT(*) AS NUM_REG, SUM(IF((ABS(COALESCE(CAST(X."&amp;F302&amp;" AS DECIMAL(18,6)),0)-COALESCE(CAST(Y."&amp;F302&amp;"_SIMUL AS DECIMAL(18,6)),0))&gt;0.000001) OR (X."&amp;F302&amp;" IS NULL AND Y."&amp;F302&amp;"_SIMUL IS NOT NULL ) OR (X."&amp;F302&amp;" IS NOT NULL AND Y."&amp;F302&amp;"_SIMUL IS NULL),1,0)) AS NUM_REG_DIF,'"&amp;MAX('ID1&amp;5'!K:K)+1&amp;"' AS ID_EXEC, CURRENT_TIMESTAMP() AS TIME_EXEC FROM "&amp;I302&amp;" INNER JOIN "&amp;J302&amp;" "&amp;K302,"SELECT '"&amp;UPPER(B302)&amp;"' AS TABELA, '"&amp;UPPER(C302)&amp;"' AS TIPOLOGIA_TESTE,'"&amp;D302&amp;"' AS TABELA_LT,'"&amp;E302&amp;"' AS TABELA_SIMUL,'"&amp;F302&amp;"' AS CAMPO, "&amp;"'${ref_date}' AS REF_DATE, COUNT(*) AS NUM_REG, SUM(IF(COALESCE(CAST(X."&amp;F302&amp;" AS STRING),'')&lt;&gt;COALESCE(CAST(Y."&amp;F302&amp;"_SIMUL AS STRING),'') OR (X."&amp;F302&amp;" IS NULL AND Y."&amp;F302&amp;"_SIMUL IS NOT NULL ) OR (X."&amp;F302&amp;" IS NOT NULL AND Y."&amp;F302&amp;"_SIMUL IS NULL),1,0)) AS NUM_REG_DIF,'"&amp;MAX('ID1&amp;5'!L:L)+1&amp;"' AS ID_EXEC, CURRENT_TIMESTAMP() AS TIME_EXEC FROM "&amp;I302&amp;" INNER JOIN "&amp;J302&amp;" "&amp;K302),
IF(C302="Validade",+IF(G302="Code List","SELECT '"&amp;UPPER(B302)&amp;"' AS TABELA, '"&amp;UPPER(C302)&amp;"' AS TIPOLOGIA_TESTE,'"&amp;D302&amp;"' AS TABELA_LT,'N/A' AS TABELA_SIMUL,'"&amp;F302&amp;"' AS CAMPO, "&amp;"'${ref_date}' AS REF_DATE, COUNT(*) AS NUM_REG, SUM(IF(TRIM(CAST(X."&amp;F302&amp;" AS STRING))='' OR TRIM(CAST(X."&amp;F302&amp;" AS STRING)) IS NULL OR CAST(X."&amp;F302&amp;" AS STRING) NOT "&amp;H302&amp;",1,0)) AS NUM_REG_DIF,'"&amp;MAX('ID1&amp;5'!K:K)+1&amp;"' AS ID_EXEC, CURRENT_TIMESTAMP() AS TIME_EXEC FROM "&amp;I302,"SELECT '"&amp;UPPER(B302)&amp;"' AS TABELA, '"&amp;UPPER(C302)&amp;"' AS TIPOLOGIA_TESTE,'"&amp;D302&amp;"' AS TABELA_LT,'N/A' AS TABELA_SIMUL,'"&amp;F302&amp;"' AS CAMPO, "&amp;"'${ref_date}' AS REF_DATE, COUNT(*) AS NUM_REG, SUM(IF(TRIM(CAST(X."&amp;F302&amp;" AS STRING))='' OR TRIM(CAST(X."&amp;F302&amp;" AS STRING)) IS NULL,1,0)) AS NUM_REG_DIF,'"&amp;MAX('ID1&amp;5'!K:K)+1&amp;"' AS ID_EXEC, CURRENT_TIMESTAMP() AS TIME_EXEC FROM "&amp;I302),
IF(C302="Caracteres Especiais",+"SELECT '"&amp;UPPER(B302)&amp;"' AS TABELA, '"&amp;UPPER(C302)&amp;"' AS TIPOLOGIA_TESTE,'"&amp;D302&amp;"' AS TABELA_LT,'N/A' AS TABELA_SIMUL,'"&amp;F302&amp;"' AS CAMPO, "&amp;"'${ref_date}' AS REF_DATE, COUNT(*) AS NUM_REG, SUM(IF(REGEXP_REPLACE(TRIM(CAST(X."&amp;F302&amp;" AS STRING)),'[^a-zA-Z0-9_\\s]','') &lt;&gt;TRIM(CAST(X."&amp;F302&amp;" AS STRING)),1,0)) AS NUM_REG_DIF,'"&amp;MAX('ID1&amp;5'!K:K)+1&amp;"' AS ID_EXEC, CURRENT_TIMESTAMP() AS TIME_EXEC FROM "&amp;I302,
IF(C302="Missings",+"SELECT '"&amp;UPPER(B302)&amp;"' AS TABELA, '"&amp;UPPER(C302)&amp;"' AS TIPOLOGIA_TESTE,'"&amp;D302&amp;"' AS TABELA_LT,'N/A' AS TABELA_SIMUL,'"&amp;F302&amp;"' AS CAMPO, "&amp;"'${ref_date}' AS REF_DATE, COUNT(*) AS NUM_REG, SUM(IF(TRIM(CAST(X."&amp;F302&amp;" AS STRING)) IN ('0000-00-00','0001-01-01','9999-12-31','MISS','00000','99999999999','99999999999.00','99999999999.000000'),1,0)) AS NUM_REG_DIF,'"&amp;MAX('ID1&amp;5'!K:K)+1&amp;"' AS ID_EXEC, CURRENT_TIMESTAMP() AS TIME_EXEC FROM "&amp;I302,
IF(C302="Not applicable",+"SELECT '"&amp;UPPER(B302)&amp;"' AS TABELA, '"&amp;UPPER(C302)&amp;"' AS TIPOLOGIA_TESTE,'"&amp;D302&amp;"' AS TABELA_LT,'N/A' AS TABELA_SIMUL,'"&amp;F302&amp;"' AS CAMPO, "&amp;"'${ref_date}' AS REF_DATE, COUNT(*) AS NUM_REG, SUM(IF(TRIM(CAST(X."&amp;F302&amp;" AS STRING)) IN ('N/A','11111111111','11111111111.00','11111111111.000000','1111-11-11'),1,0)) AS NUM_REG_DIF,'"&amp;MAX('ID1&amp;5'!K:K)+1&amp;"' AS ID_EXEC, CURRENT_TIMESTAMP() AS TIME_EXEC FROM "&amp;I302,
IF(C302="Valores extremos",+"SELECT '"&amp;UPPER(B302)&amp;"' AS TABELA, '"&amp;UPPER(C302)&amp;"' AS TIPOLOGIA_TESTE,'"&amp;D302&amp;"' AS TABELA_LT,'N/A' AS TABELA_SIMUL,'"&amp;F302&amp;"' AS CAMPO, "&amp;"'${ref_date}' AS REF_DATE, CAST(MIN("&amp;F302&amp;") AS STRING) AS VALOR_MIN, CAST(MAX("&amp;F302&amp;") AS STRING) AS VALOR_MAX,'"&amp;MAX('ID1&amp;5'!K:K)+1&amp;"' AS ID_EXEC, CURRENT_TIMESTAMP() AS TIME_EXEC FROM "&amp;MID(I302,1,LEN(I302)-2)&amp;" AND CAST("&amp;F302&amp;"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TABELA_SIMUL,'rsk_mtgtd_ccp' AS CAMPO, '${ref_date}' AS REF_DATE, COUNT(*) AS NUM_REG, SUM(IF(COALESCE(CAST(X.rsk_mtgtd_ccp AS STRING),'')&lt;&gt;COALESCE(CAST(Y.rsk_mtgtd_ccp_SIMUL AS STRING),'') OR (X.rsk_mtgtd_ccp IS NULL AND Y.rsk_mtgtd_ccp_SIMUL IS NOT NULL ) OR (X.rsk_mtgtd_ccp IS NOT NULL AND Y.rsk_mtgtd_ccp_SIMUL IS NULL),1,0)) AS NUM_REG_DIF,'1' AS ID_EXEC, CURRENT_TIMESTAMP() AS TIME_EXEC FROM (SELECT instrmnt_id, rsk_mtgtd_ccp FROM BU_LOANTAPE_WORK.LT002_INSTRUMENT WHERE ref_date='${ref_date}' AND nome_perimetro='Individual Local' AND segmento='ESTR' AND ambito='SRB_MBDT' AND entidade='00100')X INNER JOIN (SELECT instrmnt_id AS instrmnt_id_SIMUL, rsk_mtgtd_ccp AS rsk_mtgtd_ccp_SIMUL FROM BU_LOANTAPE_WORK.SIMUL_LT002_INSTRUMENT WHERE ref_date='${ref_date}' AND nome_perimetro='Individual Local' AND segmento='ESTR' AND ambito='PILAR3' AND entidade='00100')Y ON X.INSTRMNT_ID=Y.INSTRMNT_ID_SIMUL</v>
      </c>
      <c r="M302" s="36" t="str">
        <f t="shared" si="7"/>
        <v>UNION ALL SELECT 'INSTRUMENT' AS TABELA, 'COERÊNCIA' AS TIPOLOGIA_TESTE,'BU_LOANTAPE_WORK.LT002_INSTRUMENT' AS TABELA_LT,'BU_LOANTAPE_WORK.SIMUL_LT002_INSTRUMENT' AS TABELA_SIMUL,'rsk_mtgtd_ccp' AS CAMPO, '${ref_date}' AS REF_DATE, COUNT(*) AS NUM_REG, SUM(IF(COALESCE(CAST(X.rsk_mtgtd_ccp AS STRING),'')&lt;&gt;COALESCE(CAST(Y.rsk_mtgtd_ccp_SIMUL AS STRING),'') OR (X.rsk_mtgtd_ccp IS NULL AND Y.rsk_mtgtd_ccp_SIMUL IS NOT NULL ) OR (X.rsk_mtgtd_ccp IS NOT NULL AND Y.rsk_mtgtd_ccp_SIMUL IS NULL),1,0)) AS NUM_REG_DIF,'1' AS ID_EXEC, CURRENT_TIMESTAMP() AS TIME_EXEC FROM (SELECT instrmnt_id, rsk_mtgtd_ccp FROM BU_LOANTAPE_WORK.LT002_INSTRUMENT WHERE ref_date='${ref_date}' AND nome_perimetro='Individual Local' AND segmento='ESTR' AND ambito='SRB_MBDT' AND entidade='00100')X INNER JOIN (SELECT instrmnt_id AS instrmnt_id_SIMUL, rsk_mtgtd_ccp AS rsk_mtgtd_ccp_SIMUL FROM BU_LOANTAPE_WORK.SIMUL_LT002_INSTRUMENT WHERE ref_date='${ref_date}' AND nome_perimetro='Individual Local' AND segmento='ESTR' AND ambito='PILAR3' AND entidade='00100')Y ON X.INSTRMNT_ID=Y.INSTRMNT_ID_SIMUL</v>
      </c>
      <c r="N302" s="38"/>
    </row>
    <row r="303" spans="2:14">
      <c r="B303" s="34" t="s">
        <v>117</v>
      </c>
      <c r="C303" s="34" t="s">
        <v>5</v>
      </c>
      <c r="D303" s="34" t="str">
        <f>+UPPER('0. Instruções'!$D$35&amp;"."&amp;VLOOKUP(B303,'0. Instruções'!$C$27:$D$32,2,FALSE))</f>
        <v>BU_LOANTAPE_WORK.LT002_INSTRUMENT</v>
      </c>
      <c r="E303" s="34" t="str">
        <f>+UPPER('0. Instruções'!$D$36&amp;"."&amp;VLOOKUP(B303,'0. Instruções'!$C$27:$E$32,3,FALSE))</f>
        <v>BU_LOANTAPE_WORK.SIMUL_LT002_INSTRUMENT</v>
      </c>
      <c r="F303" s="34" t="s">
        <v>633</v>
      </c>
      <c r="G303" s="34"/>
      <c r="H303" s="34"/>
      <c r="I303" s="34" t="str">
        <f>"(SELECT "&amp;VLOOKUP(B303,'0. Instruções'!$C$27:$G$32,4,FALSE)&amp;", "&amp;F303&amp;" FROM "&amp;D303&amp;" WHERE "&amp;'0. Instruções'!$D$42&amp;")X"</f>
        <v>(SELECT instrmnt_id, envrnmntl_objctv FROM BU_LOANTAPE_WORK.LT002_INSTRUMENT WHERE ref_date='${ref_date}' AND nome_perimetro='Individual Local' AND segmento='ESTR' AND ambito='SRB_MBDT' AND entidade='00100')X</v>
      </c>
      <c r="J303" s="34" t="str">
        <f>"(SELECT "&amp;VLOOKUP(B303,'0. Instruções'!$C$27:$G$32,4,FALSE)&amp;" AS "&amp;VLOOKUP(B303,'0. Instruções'!$C$27:$G$32,4,FALSE)&amp;"_SIMUL, "&amp;F303&amp;" AS "&amp;F303&amp;"_SIMUL FROM "&amp;E303&amp;" WHERE "&amp;'0. Instruções'!$D$43&amp;")Y"</f>
        <v>(SELECT instrmnt_id AS instrmnt_id_SIMUL, envrnmntl_objctv AS envrnmntl_objctv_SIMUL FROM BU_LOANTAPE_WORK.SIMUL_LT002_INSTRUMENT WHERE ref_date='${ref_date}' AND nome_perimetro='Individual Local' AND segmento='ESTR' AND ambito='PILAR3' AND entidade='00100')Y</v>
      </c>
      <c r="K303" s="35" t="str">
        <f>+UPPER("ON X."&amp;VLOOKUP(B303,'0. Instruções'!$C$27:$G$32,4,FALSE)&amp;"=Y."&amp;VLOOKUP(B303,'0. Instruções'!$C$27:$G$32,4,FALSE)&amp;"_SIMUL")</f>
        <v>ON X.INSTRMNT_ID=Y.INSTRMNT_ID_SIMUL</v>
      </c>
      <c r="L303" s="35" t="str">
        <f>+IF(C303="Coerência", +IF(LEFT(G303,5)="FLOAT","SELECT '"&amp;UPPER(B303)&amp;"' AS TABELA, '"&amp;UPPER(C303)&amp;"' AS TIPOLOGIA_TESTE,'"&amp;D303&amp;"' AS TABELA_LT,'"&amp;E303&amp;"' AS TABELA_SIMUL,'"&amp;F303&amp;"' AS CAMPO, "&amp;"'${ref_date}' AS REF_DATE, COUNT(*) AS NUM_REG, SUM(IF((ABS(COALESCE(CAST(X."&amp;F303&amp;" AS DECIMAL(18,6)),0)-COALESCE(CAST(Y."&amp;F303&amp;"_SIMUL AS DECIMAL(18,6)),0))&gt;0.000001) OR (X."&amp;F303&amp;" IS NULL AND Y."&amp;F303&amp;"_SIMUL IS NOT NULL ) OR (X."&amp;F303&amp;" IS NOT NULL AND Y."&amp;F303&amp;"_SIMUL IS NULL),1,0)) AS NUM_REG_DIF,'"&amp;MAX('ID1&amp;5'!K:K)+1&amp;"' AS ID_EXEC, CURRENT_TIMESTAMP() AS TIME_EXEC FROM "&amp;I303&amp;" INNER JOIN "&amp;J303&amp;" "&amp;K303,"SELECT '"&amp;UPPER(B303)&amp;"' AS TABELA, '"&amp;UPPER(C303)&amp;"' AS TIPOLOGIA_TESTE,'"&amp;D303&amp;"' AS TABELA_LT,'"&amp;E303&amp;"' AS TABELA_SIMUL,'"&amp;F303&amp;"' AS CAMPO, "&amp;"'${ref_date}' AS REF_DATE, COUNT(*) AS NUM_REG, SUM(IF(COALESCE(CAST(X."&amp;F303&amp;" AS STRING),'')&lt;&gt;COALESCE(CAST(Y."&amp;F303&amp;"_SIMUL AS STRING),'') OR (X."&amp;F303&amp;" IS NULL AND Y."&amp;F303&amp;"_SIMUL IS NOT NULL ) OR (X."&amp;F303&amp;" IS NOT NULL AND Y."&amp;F303&amp;"_SIMUL IS NULL),1,0)) AS NUM_REG_DIF,'"&amp;MAX('ID1&amp;5'!L:L)+1&amp;"' AS ID_EXEC, CURRENT_TIMESTAMP() AS TIME_EXEC FROM "&amp;I303&amp;" INNER JOIN "&amp;J303&amp;" "&amp;K303),
IF(C303="Validade",+IF(G303="Code List","SELECT '"&amp;UPPER(B303)&amp;"' AS TABELA, '"&amp;UPPER(C303)&amp;"' AS TIPOLOGIA_TESTE,'"&amp;D303&amp;"' AS TABELA_LT,'N/A' AS TABELA_SIMUL,'"&amp;F303&amp;"' AS CAMPO, "&amp;"'${ref_date}' AS REF_DATE, COUNT(*) AS NUM_REG, SUM(IF(TRIM(CAST(X."&amp;F303&amp;" AS STRING))='' OR TRIM(CAST(X."&amp;F303&amp;" AS STRING)) IS NULL OR CAST(X."&amp;F303&amp;" AS STRING) NOT "&amp;H303&amp;",1,0)) AS NUM_REG_DIF,'"&amp;MAX('ID1&amp;5'!K:K)+1&amp;"' AS ID_EXEC, CURRENT_TIMESTAMP() AS TIME_EXEC FROM "&amp;I303,"SELECT '"&amp;UPPER(B303)&amp;"' AS TABELA, '"&amp;UPPER(C303)&amp;"' AS TIPOLOGIA_TESTE,'"&amp;D303&amp;"' AS TABELA_LT,'N/A' AS TABELA_SIMUL,'"&amp;F303&amp;"' AS CAMPO, "&amp;"'${ref_date}' AS REF_DATE, COUNT(*) AS NUM_REG, SUM(IF(TRIM(CAST(X."&amp;F303&amp;" AS STRING))='' OR TRIM(CAST(X."&amp;F303&amp;" AS STRING)) IS NULL,1,0)) AS NUM_REG_DIF,'"&amp;MAX('ID1&amp;5'!K:K)+1&amp;"' AS ID_EXEC, CURRENT_TIMESTAMP() AS TIME_EXEC FROM "&amp;I303),
IF(C303="Caracteres Especiais",+"SELECT '"&amp;UPPER(B303)&amp;"' AS TABELA, '"&amp;UPPER(C303)&amp;"' AS TIPOLOGIA_TESTE,'"&amp;D303&amp;"' AS TABELA_LT,'N/A' AS TABELA_SIMUL,'"&amp;F303&amp;"' AS CAMPO, "&amp;"'${ref_date}' AS REF_DATE, COUNT(*) AS NUM_REG, SUM(IF(REGEXP_REPLACE(TRIM(CAST(X."&amp;F303&amp;" AS STRING)),'[^a-zA-Z0-9_\\s]','') &lt;&gt;TRIM(CAST(X."&amp;F303&amp;" AS STRING)),1,0)) AS NUM_REG_DIF,'"&amp;MAX('ID1&amp;5'!K:K)+1&amp;"' AS ID_EXEC, CURRENT_TIMESTAMP() AS TIME_EXEC FROM "&amp;I303,
IF(C303="Missings",+"SELECT '"&amp;UPPER(B303)&amp;"' AS TABELA, '"&amp;UPPER(C303)&amp;"' AS TIPOLOGIA_TESTE,'"&amp;D303&amp;"' AS TABELA_LT,'N/A' AS TABELA_SIMUL,'"&amp;F303&amp;"' AS CAMPO, "&amp;"'${ref_date}' AS REF_DATE, COUNT(*) AS NUM_REG, SUM(IF(TRIM(CAST(X."&amp;F303&amp;" AS STRING)) IN ('0000-00-00','0001-01-01','9999-12-31','MISS','00000','99999999999','99999999999.00','99999999999.000000'),1,0)) AS NUM_REG_DIF,'"&amp;MAX('ID1&amp;5'!K:K)+1&amp;"' AS ID_EXEC, CURRENT_TIMESTAMP() AS TIME_EXEC FROM "&amp;I303,
IF(C303="Not applicable",+"SELECT '"&amp;UPPER(B303)&amp;"' AS TABELA, '"&amp;UPPER(C303)&amp;"' AS TIPOLOGIA_TESTE,'"&amp;D303&amp;"' AS TABELA_LT,'N/A' AS TABELA_SIMUL,'"&amp;F303&amp;"' AS CAMPO, "&amp;"'${ref_date}' AS REF_DATE, COUNT(*) AS NUM_REG, SUM(IF(TRIM(CAST(X."&amp;F303&amp;" AS STRING)) IN ('N/A','11111111111','11111111111.00','11111111111.000000','1111-11-11'),1,0)) AS NUM_REG_DIF,'"&amp;MAX('ID1&amp;5'!K:K)+1&amp;"' AS ID_EXEC, CURRENT_TIMESTAMP() AS TIME_EXEC FROM "&amp;I303,
IF(C303="Valores extremos",+"SELECT '"&amp;UPPER(B303)&amp;"' AS TABELA, '"&amp;UPPER(C303)&amp;"' AS TIPOLOGIA_TESTE,'"&amp;D303&amp;"' AS TABELA_LT,'N/A' AS TABELA_SIMUL,'"&amp;F303&amp;"' AS CAMPO, "&amp;"'${ref_date}' AS REF_DATE, CAST(MIN("&amp;F303&amp;") AS STRING) AS VALOR_MIN, CAST(MAX("&amp;F303&amp;") AS STRING) AS VALOR_MAX,'"&amp;MAX('ID1&amp;5'!K:K)+1&amp;"' AS ID_EXEC, CURRENT_TIMESTAMP() AS TIME_EXEC FROM "&amp;MID(I303,1,LEN(I303)-2)&amp;" AND CAST("&amp;F303&amp;"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TABELA_SIMUL,'envrnmntl_objctv' AS CAMPO, '${ref_date}' AS REF_DATE, COUNT(*) AS NUM_REG, SUM(IF(COALESCE(CAST(X.envrnmntl_objctv AS STRING),'')&lt;&gt;COALESCE(CAST(Y.envrnmntl_objctv_SIMUL AS STRING),'') OR (X.envrnmntl_objctv IS NULL AND Y.envrnmntl_objctv_SIMUL IS NOT NULL ) OR (X.envrnmntl_objctv IS NOT NULL AND Y.envrnmntl_objctv_SIMUL IS NULL),1,0)) AS NUM_REG_DIF,'1' AS ID_EXEC, CURRENT_TIMESTAMP() AS TIME_EXEC FROM (SELECT instrmnt_id, envrnmntl_objctv FROM BU_LOANTAPE_WORK.LT002_INSTRUMENT WHERE ref_date='${ref_date}' AND nome_perimetro='Individual Local' AND segmento='ESTR' AND ambito='SRB_MBDT' AND entidade='00100')X INNER JOIN (SELECT instrmnt_id AS instrmnt_id_SIMUL, envrnmntl_objctv AS envrnmntl_objctv_SIMUL FROM BU_LOANTAPE_WORK.SIMUL_LT002_INSTRUMENT WHERE ref_date='${ref_date}' AND nome_perimetro='Individual Local' AND segmento='ESTR' AND ambito='PILAR3' AND entidade='00100')Y ON X.INSTRMNT_ID=Y.INSTRMNT_ID_SIMUL</v>
      </c>
      <c r="M303" s="36" t="str">
        <f t="shared" si="7"/>
        <v>UNION ALL SELECT 'INSTRUMENT' AS TABELA, 'COERÊNCIA' AS TIPOLOGIA_TESTE,'BU_LOANTAPE_WORK.LT002_INSTRUMENT' AS TABELA_LT,'BU_LOANTAPE_WORK.SIMUL_LT002_INSTRUMENT' AS TABELA_SIMUL,'envrnmntl_objctv' AS CAMPO, '${ref_date}' AS REF_DATE, COUNT(*) AS NUM_REG, SUM(IF(COALESCE(CAST(X.envrnmntl_objctv AS STRING),'')&lt;&gt;COALESCE(CAST(Y.envrnmntl_objctv_SIMUL AS STRING),'') OR (X.envrnmntl_objctv IS NULL AND Y.envrnmntl_objctv_SIMUL IS NOT NULL ) OR (X.envrnmntl_objctv IS NOT NULL AND Y.envrnmntl_objctv_SIMUL IS NULL),1,0)) AS NUM_REG_DIF,'1' AS ID_EXEC, CURRENT_TIMESTAMP() AS TIME_EXEC FROM (SELECT instrmnt_id, envrnmntl_objctv FROM BU_LOANTAPE_WORK.LT002_INSTRUMENT WHERE ref_date='${ref_date}' AND nome_perimetro='Individual Local' AND segmento='ESTR' AND ambito='SRB_MBDT' AND entidade='00100')X INNER JOIN (SELECT instrmnt_id AS instrmnt_id_SIMUL, envrnmntl_objctv AS envrnmntl_objctv_SIMUL FROM BU_LOANTAPE_WORK.SIMUL_LT002_INSTRUMENT WHERE ref_date='${ref_date}' AND nome_perimetro='Individual Local' AND segmento='ESTR' AND ambito='PILAR3' AND entidade='00100')Y ON X.INSTRMNT_ID=Y.INSTRMNT_ID_SIMUL</v>
      </c>
      <c r="N303" s="38"/>
    </row>
    <row r="304" spans="2:14">
      <c r="B304" s="34" t="s">
        <v>117</v>
      </c>
      <c r="C304" s="34" t="s">
        <v>5</v>
      </c>
      <c r="D304" s="34" t="str">
        <f>+UPPER('0. Instruções'!$D$35&amp;"."&amp;VLOOKUP(B304,'0. Instruções'!$C$27:$D$32,2,FALSE))</f>
        <v>BU_LOANTAPE_WORK.LT002_INSTRUMENT</v>
      </c>
      <c r="E304" s="34" t="str">
        <f>+UPPER('0. Instruções'!$D$36&amp;"."&amp;VLOOKUP(B304,'0. Instruções'!$C$27:$E$32,3,FALSE))</f>
        <v>BU_LOANTAPE_WORK.SIMUL_LT002_INSTRUMENT</v>
      </c>
      <c r="F304" s="34" t="s">
        <v>634</v>
      </c>
      <c r="G304" s="34"/>
      <c r="H304" s="34"/>
      <c r="I304" s="34" t="str">
        <f>"(SELECT "&amp;VLOOKUP(B304,'0. Instruções'!$C$27:$G$32,4,FALSE)&amp;", "&amp;F304&amp;" FROM "&amp;D304&amp;" WHERE "&amp;'0. Instruções'!$D$42&amp;")X"</f>
        <v>(SELECT instrmnt_id, typ_actvty FROM BU_LOANTAPE_WORK.LT002_INSTRUMENT WHERE ref_date='${ref_date}' AND nome_perimetro='Individual Local' AND segmento='ESTR' AND ambito='SRB_MBDT' AND entidade='00100')X</v>
      </c>
      <c r="J304" s="34" t="str">
        <f>"(SELECT "&amp;VLOOKUP(B304,'0. Instruções'!$C$27:$G$32,4,FALSE)&amp;" AS "&amp;VLOOKUP(B304,'0. Instruções'!$C$27:$G$32,4,FALSE)&amp;"_SIMUL, "&amp;F304&amp;" AS "&amp;F304&amp;"_SIMUL FROM "&amp;E304&amp;" WHERE "&amp;'0. Instruções'!$D$43&amp;")Y"</f>
        <v>(SELECT instrmnt_id AS instrmnt_id_SIMUL, typ_actvty AS typ_actvty_SIMUL FROM BU_LOANTAPE_WORK.SIMUL_LT002_INSTRUMENT WHERE ref_date='${ref_date}' AND nome_perimetro='Individual Local' AND segmento='ESTR' AND ambito='PILAR3' AND entidade='00100')Y</v>
      </c>
      <c r="K304" s="35" t="str">
        <f>+UPPER("ON X."&amp;VLOOKUP(B304,'0. Instruções'!$C$27:$G$32,4,FALSE)&amp;"=Y."&amp;VLOOKUP(B304,'0. Instruções'!$C$27:$G$32,4,FALSE)&amp;"_SIMUL")</f>
        <v>ON X.INSTRMNT_ID=Y.INSTRMNT_ID_SIMUL</v>
      </c>
      <c r="L304" s="35" t="str">
        <f>+IF(C304="Coerência", +IF(LEFT(G304,5)="FLOAT","SELECT '"&amp;UPPER(B304)&amp;"' AS TABELA, '"&amp;UPPER(C304)&amp;"' AS TIPOLOGIA_TESTE,'"&amp;D304&amp;"' AS TABELA_LT,'"&amp;E304&amp;"' AS TABELA_SIMUL,'"&amp;F304&amp;"' AS CAMPO, "&amp;"'${ref_date}' AS REF_DATE, COUNT(*) AS NUM_REG, SUM(IF((ABS(COALESCE(CAST(X."&amp;F304&amp;" AS DECIMAL(18,6)),0)-COALESCE(CAST(Y."&amp;F304&amp;"_SIMUL AS DECIMAL(18,6)),0))&gt;0.000001) OR (X."&amp;F304&amp;" IS NULL AND Y."&amp;F304&amp;"_SIMUL IS NOT NULL ) OR (X."&amp;F304&amp;" IS NOT NULL AND Y."&amp;F304&amp;"_SIMUL IS NULL),1,0)) AS NUM_REG_DIF,'"&amp;MAX('ID1&amp;5'!K:K)+1&amp;"' AS ID_EXEC, CURRENT_TIMESTAMP() AS TIME_EXEC FROM "&amp;I304&amp;" INNER JOIN "&amp;J304&amp;" "&amp;K304,"SELECT '"&amp;UPPER(B304)&amp;"' AS TABELA, '"&amp;UPPER(C304)&amp;"' AS TIPOLOGIA_TESTE,'"&amp;D304&amp;"' AS TABELA_LT,'"&amp;E304&amp;"' AS TABELA_SIMUL,'"&amp;F304&amp;"' AS CAMPO, "&amp;"'${ref_date}' AS REF_DATE, COUNT(*) AS NUM_REG, SUM(IF(COALESCE(CAST(X."&amp;F304&amp;" AS STRING),'')&lt;&gt;COALESCE(CAST(Y."&amp;F304&amp;"_SIMUL AS STRING),'') OR (X."&amp;F304&amp;" IS NULL AND Y."&amp;F304&amp;"_SIMUL IS NOT NULL ) OR (X."&amp;F304&amp;" IS NOT NULL AND Y."&amp;F304&amp;"_SIMUL IS NULL),1,0)) AS NUM_REG_DIF,'"&amp;MAX('ID1&amp;5'!L:L)+1&amp;"' AS ID_EXEC, CURRENT_TIMESTAMP() AS TIME_EXEC FROM "&amp;I304&amp;" INNER JOIN "&amp;J304&amp;" "&amp;K304),
IF(C304="Validade",+IF(G304="Code List","SELECT '"&amp;UPPER(B304)&amp;"' AS TABELA, '"&amp;UPPER(C304)&amp;"' AS TIPOLOGIA_TESTE,'"&amp;D304&amp;"' AS TABELA_LT,'N/A' AS TABELA_SIMUL,'"&amp;F304&amp;"' AS CAMPO, "&amp;"'${ref_date}' AS REF_DATE, COUNT(*) AS NUM_REG, SUM(IF(TRIM(CAST(X."&amp;F304&amp;" AS STRING))='' OR TRIM(CAST(X."&amp;F304&amp;" AS STRING)) IS NULL OR CAST(X."&amp;F304&amp;" AS STRING) NOT "&amp;H304&amp;",1,0)) AS NUM_REG_DIF,'"&amp;MAX('ID1&amp;5'!K:K)+1&amp;"' AS ID_EXEC, CURRENT_TIMESTAMP() AS TIME_EXEC FROM "&amp;I304,"SELECT '"&amp;UPPER(B304)&amp;"' AS TABELA, '"&amp;UPPER(C304)&amp;"' AS TIPOLOGIA_TESTE,'"&amp;D304&amp;"' AS TABELA_LT,'N/A' AS TABELA_SIMUL,'"&amp;F304&amp;"' AS CAMPO, "&amp;"'${ref_date}' AS REF_DATE, COUNT(*) AS NUM_REG, SUM(IF(TRIM(CAST(X."&amp;F304&amp;" AS STRING))='' OR TRIM(CAST(X."&amp;F304&amp;" AS STRING)) IS NULL,1,0)) AS NUM_REG_DIF,'"&amp;MAX('ID1&amp;5'!K:K)+1&amp;"' AS ID_EXEC, CURRENT_TIMESTAMP() AS TIME_EXEC FROM "&amp;I304),
IF(C304="Caracteres Especiais",+"SELECT '"&amp;UPPER(B304)&amp;"' AS TABELA, '"&amp;UPPER(C304)&amp;"' AS TIPOLOGIA_TESTE,'"&amp;D304&amp;"' AS TABELA_LT,'N/A' AS TABELA_SIMUL,'"&amp;F304&amp;"' AS CAMPO, "&amp;"'${ref_date}' AS REF_DATE, COUNT(*) AS NUM_REG, SUM(IF(REGEXP_REPLACE(TRIM(CAST(X."&amp;F304&amp;" AS STRING)),'[^a-zA-Z0-9_\\s]','') &lt;&gt;TRIM(CAST(X."&amp;F304&amp;" AS STRING)),1,0)) AS NUM_REG_DIF,'"&amp;MAX('ID1&amp;5'!K:K)+1&amp;"' AS ID_EXEC, CURRENT_TIMESTAMP() AS TIME_EXEC FROM "&amp;I304,
IF(C304="Missings",+"SELECT '"&amp;UPPER(B304)&amp;"' AS TABELA, '"&amp;UPPER(C304)&amp;"' AS TIPOLOGIA_TESTE,'"&amp;D304&amp;"' AS TABELA_LT,'N/A' AS TABELA_SIMUL,'"&amp;F304&amp;"' AS CAMPO, "&amp;"'${ref_date}' AS REF_DATE, COUNT(*) AS NUM_REG, SUM(IF(TRIM(CAST(X."&amp;F304&amp;" AS STRING)) IN ('0000-00-00','0001-01-01','9999-12-31','MISS','00000','99999999999','99999999999.00','99999999999.000000'),1,0)) AS NUM_REG_DIF,'"&amp;MAX('ID1&amp;5'!K:K)+1&amp;"' AS ID_EXEC, CURRENT_TIMESTAMP() AS TIME_EXEC FROM "&amp;I304,
IF(C304="Not applicable",+"SELECT '"&amp;UPPER(B304)&amp;"' AS TABELA, '"&amp;UPPER(C304)&amp;"' AS TIPOLOGIA_TESTE,'"&amp;D304&amp;"' AS TABELA_LT,'N/A' AS TABELA_SIMUL,'"&amp;F304&amp;"' AS CAMPO, "&amp;"'${ref_date}' AS REF_DATE, COUNT(*) AS NUM_REG, SUM(IF(TRIM(CAST(X."&amp;F304&amp;" AS STRING)) IN ('N/A','11111111111','11111111111.00','11111111111.000000','1111-11-11'),1,0)) AS NUM_REG_DIF,'"&amp;MAX('ID1&amp;5'!K:K)+1&amp;"' AS ID_EXEC, CURRENT_TIMESTAMP() AS TIME_EXEC FROM "&amp;I304,
IF(C304="Valores extremos",+"SELECT '"&amp;UPPER(B304)&amp;"' AS TABELA, '"&amp;UPPER(C304)&amp;"' AS TIPOLOGIA_TESTE,'"&amp;D304&amp;"' AS TABELA_LT,'N/A' AS TABELA_SIMUL,'"&amp;F304&amp;"' AS CAMPO, "&amp;"'${ref_date}' AS REF_DATE, CAST(MIN("&amp;F304&amp;") AS STRING) AS VALOR_MIN, CAST(MAX("&amp;F304&amp;") AS STRING) AS VALOR_MAX,'"&amp;MAX('ID1&amp;5'!K:K)+1&amp;"' AS ID_EXEC, CURRENT_TIMESTAMP() AS TIME_EXEC FROM "&amp;MID(I304,1,LEN(I304)-2)&amp;" AND CAST("&amp;F304&amp;"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TABELA_SIMUL,'typ_actvty' AS CAMPO, '${ref_date}' AS REF_DATE, COUNT(*) AS NUM_REG, SUM(IF(COALESCE(CAST(X.typ_actvty AS STRING),'')&lt;&gt;COALESCE(CAST(Y.typ_actvty_SIMUL AS STRING),'') OR (X.typ_actvty IS NULL AND Y.typ_actvty_SIMUL IS NOT NULL ) OR (X.typ_actvty IS NOT NULL AND Y.typ_actvty_SIMUL IS NULL),1,0)) AS NUM_REG_DIF,'1' AS ID_EXEC, CURRENT_TIMESTAMP() AS TIME_EXEC FROM (SELECT instrmnt_id, typ_actvty FROM BU_LOANTAPE_WORK.LT002_INSTRUMENT WHERE ref_date='${ref_date}' AND nome_perimetro='Individual Local' AND segmento='ESTR' AND ambito='SRB_MBDT' AND entidade='00100')X INNER JOIN (SELECT instrmnt_id AS instrmnt_id_SIMUL, typ_actvty AS typ_actvty_SIMUL FROM BU_LOANTAPE_WORK.SIMUL_LT002_INSTRUMENT WHERE ref_date='${ref_date}' AND nome_perimetro='Individual Local' AND segmento='ESTR' AND ambito='PILAR3' AND entidade='00100')Y ON X.INSTRMNT_ID=Y.INSTRMNT_ID_SIMUL</v>
      </c>
      <c r="M304" s="36" t="str">
        <f t="shared" si="7"/>
        <v>UNION ALL SELECT 'INSTRUMENT' AS TABELA, 'COERÊNCIA' AS TIPOLOGIA_TESTE,'BU_LOANTAPE_WORK.LT002_INSTRUMENT' AS TABELA_LT,'BU_LOANTAPE_WORK.SIMUL_LT002_INSTRUMENT' AS TABELA_SIMUL,'typ_actvty' AS CAMPO, '${ref_date}' AS REF_DATE, COUNT(*) AS NUM_REG, SUM(IF(COALESCE(CAST(X.typ_actvty AS STRING),'')&lt;&gt;COALESCE(CAST(Y.typ_actvty_SIMUL AS STRING),'') OR (X.typ_actvty IS NULL AND Y.typ_actvty_SIMUL IS NOT NULL ) OR (X.typ_actvty IS NOT NULL AND Y.typ_actvty_SIMUL IS NULL),1,0)) AS NUM_REG_DIF,'1' AS ID_EXEC, CURRENT_TIMESTAMP() AS TIME_EXEC FROM (SELECT instrmnt_id, typ_actvty FROM BU_LOANTAPE_WORK.LT002_INSTRUMENT WHERE ref_date='${ref_date}' AND nome_perimetro='Individual Local' AND segmento='ESTR' AND ambito='SRB_MBDT' AND entidade='00100')X INNER JOIN (SELECT instrmnt_id AS instrmnt_id_SIMUL, typ_actvty AS typ_actvty_SIMUL FROM BU_LOANTAPE_WORK.SIMUL_LT002_INSTRUMENT WHERE ref_date='${ref_date}' AND nome_perimetro='Individual Local' AND segmento='ESTR' AND ambito='PILAR3' AND entidade='00100')Y ON X.INSTRMNT_ID=Y.INSTRMNT_ID_SIMUL</v>
      </c>
      <c r="N304" s="38"/>
    </row>
    <row r="305" spans="2:14">
      <c r="B305" s="34" t="s">
        <v>117</v>
      </c>
      <c r="C305" s="34" t="s">
        <v>5</v>
      </c>
      <c r="D305" s="34" t="str">
        <f>+UPPER('0. Instruções'!$D$35&amp;"."&amp;VLOOKUP(B305,'0. Instruções'!$C$27:$D$32,2,FALSE))</f>
        <v>BU_LOANTAPE_WORK.LT002_INSTRUMENT</v>
      </c>
      <c r="E305" s="34" t="str">
        <f>+UPPER('0. Instruções'!$D$36&amp;"."&amp;VLOOKUP(B305,'0. Instruções'!$C$27:$E$32,3,FALSE))</f>
        <v>BU_LOANTAPE_WORK.SIMUL_LT002_INSTRUMENT</v>
      </c>
      <c r="F305" s="34" t="s">
        <v>635</v>
      </c>
      <c r="G305" s="34"/>
      <c r="H305" s="34"/>
      <c r="I305" s="34" t="str">
        <f>"(SELECT "&amp;VLOOKUP(B305,'0. Instruções'!$C$27:$G$32,4,FALSE)&amp;", "&amp;F305&amp;" FROM "&amp;D305&amp;" WHERE "&amp;'0. Instruções'!$D$42&amp;")X"</f>
        <v>(SELECT instrmnt_id, lns_clltrlzd_clssfctn FROM BU_LOANTAPE_WORK.LT002_INSTRUMENT WHERE ref_date='${ref_date}' AND nome_perimetro='Individual Local' AND segmento='ESTR' AND ambito='SRB_MBDT' AND entidade='00100')X</v>
      </c>
      <c r="J305" s="34" t="str">
        <f>"(SELECT "&amp;VLOOKUP(B305,'0. Instruções'!$C$27:$G$32,4,FALSE)&amp;" AS "&amp;VLOOKUP(B305,'0. Instruções'!$C$27:$G$32,4,FALSE)&amp;"_SIMUL, "&amp;F305&amp;" AS "&amp;F305&amp;"_SIMUL FROM "&amp;E305&amp;" WHERE "&amp;'0. Instruções'!$D$43&amp;")Y"</f>
        <v>(SELECT instrmnt_id AS instrmnt_id_SIMUL, lns_clltrlzd_clssfctn AS lns_clltrlzd_clssfctn_SIMUL FROM BU_LOANTAPE_WORK.SIMUL_LT002_INSTRUMENT WHERE ref_date='${ref_date}' AND nome_perimetro='Individual Local' AND segmento='ESTR' AND ambito='PILAR3' AND entidade='00100')Y</v>
      </c>
      <c r="K305" s="35" t="str">
        <f>+UPPER("ON X."&amp;VLOOKUP(B305,'0. Instruções'!$C$27:$G$32,4,FALSE)&amp;"=Y."&amp;VLOOKUP(B305,'0. Instruções'!$C$27:$G$32,4,FALSE)&amp;"_SIMUL")</f>
        <v>ON X.INSTRMNT_ID=Y.INSTRMNT_ID_SIMUL</v>
      </c>
      <c r="L305" s="35" t="str">
        <f>+IF(C305="Coerência", +IF(LEFT(G305,5)="FLOAT","SELECT '"&amp;UPPER(B305)&amp;"' AS TABELA, '"&amp;UPPER(C305)&amp;"' AS TIPOLOGIA_TESTE,'"&amp;D305&amp;"' AS TABELA_LT,'"&amp;E305&amp;"' AS TABELA_SIMUL,'"&amp;F305&amp;"' AS CAMPO, "&amp;"'${ref_date}' AS REF_DATE, COUNT(*) AS NUM_REG, SUM(IF((ABS(COALESCE(CAST(X."&amp;F305&amp;" AS DECIMAL(18,6)),0)-COALESCE(CAST(Y."&amp;F305&amp;"_SIMUL AS DECIMAL(18,6)),0))&gt;0.000001) OR (X."&amp;F305&amp;" IS NULL AND Y."&amp;F305&amp;"_SIMUL IS NOT NULL ) OR (X."&amp;F305&amp;" IS NOT NULL AND Y."&amp;F305&amp;"_SIMUL IS NULL),1,0)) AS NUM_REG_DIF,'"&amp;MAX('ID1&amp;5'!K:K)+1&amp;"' AS ID_EXEC, CURRENT_TIMESTAMP() AS TIME_EXEC FROM "&amp;I305&amp;" INNER JOIN "&amp;J305&amp;" "&amp;K305,"SELECT '"&amp;UPPER(B305)&amp;"' AS TABELA, '"&amp;UPPER(C305)&amp;"' AS TIPOLOGIA_TESTE,'"&amp;D305&amp;"' AS TABELA_LT,'"&amp;E305&amp;"' AS TABELA_SIMUL,'"&amp;F305&amp;"' AS CAMPO, "&amp;"'${ref_date}' AS REF_DATE, COUNT(*) AS NUM_REG, SUM(IF(COALESCE(CAST(X."&amp;F305&amp;" AS STRING),'')&lt;&gt;COALESCE(CAST(Y."&amp;F305&amp;"_SIMUL AS STRING),'') OR (X."&amp;F305&amp;" IS NULL AND Y."&amp;F305&amp;"_SIMUL IS NOT NULL ) OR (X."&amp;F305&amp;" IS NOT NULL AND Y."&amp;F305&amp;"_SIMUL IS NULL),1,0)) AS NUM_REG_DIF,'"&amp;MAX('ID1&amp;5'!L:L)+1&amp;"' AS ID_EXEC, CURRENT_TIMESTAMP() AS TIME_EXEC FROM "&amp;I305&amp;" INNER JOIN "&amp;J305&amp;" "&amp;K305),
IF(C305="Validade",+IF(G305="Code List","SELECT '"&amp;UPPER(B305)&amp;"' AS TABELA, '"&amp;UPPER(C305)&amp;"' AS TIPOLOGIA_TESTE,'"&amp;D305&amp;"' AS TABELA_LT,'N/A' AS TABELA_SIMUL,'"&amp;F305&amp;"' AS CAMPO, "&amp;"'${ref_date}' AS REF_DATE, COUNT(*) AS NUM_REG, SUM(IF(TRIM(CAST(X."&amp;F305&amp;" AS STRING))='' OR TRIM(CAST(X."&amp;F305&amp;" AS STRING)) IS NULL OR CAST(X."&amp;F305&amp;" AS STRING) NOT "&amp;H305&amp;",1,0)) AS NUM_REG_DIF,'"&amp;MAX('ID1&amp;5'!K:K)+1&amp;"' AS ID_EXEC, CURRENT_TIMESTAMP() AS TIME_EXEC FROM "&amp;I305,"SELECT '"&amp;UPPER(B305)&amp;"' AS TABELA, '"&amp;UPPER(C305)&amp;"' AS TIPOLOGIA_TESTE,'"&amp;D305&amp;"' AS TABELA_LT,'N/A' AS TABELA_SIMUL,'"&amp;F305&amp;"' AS CAMPO, "&amp;"'${ref_date}' AS REF_DATE, COUNT(*) AS NUM_REG, SUM(IF(TRIM(CAST(X."&amp;F305&amp;" AS STRING))='' OR TRIM(CAST(X."&amp;F305&amp;" AS STRING)) IS NULL,1,0)) AS NUM_REG_DIF,'"&amp;MAX('ID1&amp;5'!K:K)+1&amp;"' AS ID_EXEC, CURRENT_TIMESTAMP() AS TIME_EXEC FROM "&amp;I305),
IF(C305="Caracteres Especiais",+"SELECT '"&amp;UPPER(B305)&amp;"' AS TABELA, '"&amp;UPPER(C305)&amp;"' AS TIPOLOGIA_TESTE,'"&amp;D305&amp;"' AS TABELA_LT,'N/A' AS TABELA_SIMUL,'"&amp;F305&amp;"' AS CAMPO, "&amp;"'${ref_date}' AS REF_DATE, COUNT(*) AS NUM_REG, SUM(IF(REGEXP_REPLACE(TRIM(CAST(X."&amp;F305&amp;" AS STRING)),'[^a-zA-Z0-9_\\s]','') &lt;&gt;TRIM(CAST(X."&amp;F305&amp;" AS STRING)),1,0)) AS NUM_REG_DIF,'"&amp;MAX('ID1&amp;5'!K:K)+1&amp;"' AS ID_EXEC, CURRENT_TIMESTAMP() AS TIME_EXEC FROM "&amp;I305,
IF(C305="Missings",+"SELECT '"&amp;UPPER(B305)&amp;"' AS TABELA, '"&amp;UPPER(C305)&amp;"' AS TIPOLOGIA_TESTE,'"&amp;D305&amp;"' AS TABELA_LT,'N/A' AS TABELA_SIMUL,'"&amp;F305&amp;"' AS CAMPO, "&amp;"'${ref_date}' AS REF_DATE, COUNT(*) AS NUM_REG, SUM(IF(TRIM(CAST(X."&amp;F305&amp;" AS STRING)) IN ('0000-00-00','0001-01-01','9999-12-31','MISS','00000','99999999999','99999999999.00','99999999999.000000'),1,0)) AS NUM_REG_DIF,'"&amp;MAX('ID1&amp;5'!K:K)+1&amp;"' AS ID_EXEC, CURRENT_TIMESTAMP() AS TIME_EXEC FROM "&amp;I305,
IF(C305="Not applicable",+"SELECT '"&amp;UPPER(B305)&amp;"' AS TABELA, '"&amp;UPPER(C305)&amp;"' AS TIPOLOGIA_TESTE,'"&amp;D305&amp;"' AS TABELA_LT,'N/A' AS TABELA_SIMUL,'"&amp;F305&amp;"' AS CAMPO, "&amp;"'${ref_date}' AS REF_DATE, COUNT(*) AS NUM_REG, SUM(IF(TRIM(CAST(X."&amp;F305&amp;" AS STRING)) IN ('N/A','11111111111','11111111111.00','11111111111.000000','1111-11-11'),1,0)) AS NUM_REG_DIF,'"&amp;MAX('ID1&amp;5'!K:K)+1&amp;"' AS ID_EXEC, CURRENT_TIMESTAMP() AS TIME_EXEC FROM "&amp;I305,
IF(C305="Valores extremos",+"SELECT '"&amp;UPPER(B305)&amp;"' AS TABELA, '"&amp;UPPER(C305)&amp;"' AS TIPOLOGIA_TESTE,'"&amp;D305&amp;"' AS TABELA_LT,'N/A' AS TABELA_SIMUL,'"&amp;F305&amp;"' AS CAMPO, "&amp;"'${ref_date}' AS REF_DATE, CAST(MIN("&amp;F305&amp;") AS STRING) AS VALOR_MIN, CAST(MAX("&amp;F305&amp;") AS STRING) AS VALOR_MAX,'"&amp;MAX('ID1&amp;5'!K:K)+1&amp;"' AS ID_EXEC, CURRENT_TIMESTAMP() AS TIME_EXEC FROM "&amp;MID(I305,1,LEN(I305)-2)&amp;" AND CAST("&amp;F305&amp;"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TABELA_SIMUL,'lns_clltrlzd_clssfctn' AS CAMPO, '${ref_date}' AS REF_DATE, COUNT(*) AS NUM_REG, SUM(IF(COALESCE(CAST(X.lns_clltrlzd_clssfctn AS STRING),'')&lt;&gt;COALESCE(CAST(Y.lns_clltrlzd_clssfctn_SIMUL AS STRING),'') OR (X.lns_clltrlzd_clssfctn IS NULL AND Y.lns_clltrlzd_clssfctn_SIMUL IS NOT NULL ) OR (X.lns_clltrlzd_clssfctn IS NOT NULL AND Y.lns_clltrlzd_clssfctn_SIMUL IS NULL),1,0)) AS NUM_REG_DIF,'1' AS ID_EXEC, CURRENT_TIMESTAMP() AS TIME_EXEC FROM (SELECT instrmnt_id, lns_clltrlzd_clssfctn FROM BU_LOANTAPE_WORK.LT002_INSTRUMENT WHERE ref_date='${ref_date}' AND nome_perimetro='Individual Local' AND segmento='ESTR' AND ambito='SRB_MBDT' AND entidade='00100')X INNER JOIN (SELECT instrmnt_id AS instrmnt_id_SIMUL, lns_clltrlzd_clssfctn AS lns_clltrlzd_clssfctn_SIMUL FROM BU_LOANTAPE_WORK.SIMUL_LT002_INSTRUMENT WHERE ref_date='${ref_date}' AND nome_perimetro='Individual Local' AND segmento='ESTR' AND ambito='PILAR3' AND entidade='00100')Y ON X.INSTRMNT_ID=Y.INSTRMNT_ID_SIMUL</v>
      </c>
      <c r="M305" s="36" t="str">
        <f t="shared" si="7"/>
        <v>UNION ALL SELECT 'INSTRUMENT' AS TABELA, 'COERÊNCIA' AS TIPOLOGIA_TESTE,'BU_LOANTAPE_WORK.LT002_INSTRUMENT' AS TABELA_LT,'BU_LOANTAPE_WORK.SIMUL_LT002_INSTRUMENT' AS TABELA_SIMUL,'lns_clltrlzd_clssfctn' AS CAMPO, '${ref_date}' AS REF_DATE, COUNT(*) AS NUM_REG, SUM(IF(COALESCE(CAST(X.lns_clltrlzd_clssfctn AS STRING),'')&lt;&gt;COALESCE(CAST(Y.lns_clltrlzd_clssfctn_SIMUL AS STRING),'') OR (X.lns_clltrlzd_clssfctn IS NULL AND Y.lns_clltrlzd_clssfctn_SIMUL IS NOT NULL ) OR (X.lns_clltrlzd_clssfctn IS NOT NULL AND Y.lns_clltrlzd_clssfctn_SIMUL IS NULL),1,0)) AS NUM_REG_DIF,'1' AS ID_EXEC, CURRENT_TIMESTAMP() AS TIME_EXEC FROM (SELECT instrmnt_id, lns_clltrlzd_clssfctn FROM BU_LOANTAPE_WORK.LT002_INSTRUMENT WHERE ref_date='${ref_date}' AND nome_perimetro='Individual Local' AND segmento='ESTR' AND ambito='SRB_MBDT' AND entidade='00100')X INNER JOIN (SELECT instrmnt_id AS instrmnt_id_SIMUL, lns_clltrlzd_clssfctn AS lns_clltrlzd_clssfctn_SIMUL FROM BU_LOANTAPE_WORK.SIMUL_LT002_INSTRUMENT WHERE ref_date='${ref_date}' AND nome_perimetro='Individual Local' AND segmento='ESTR' AND ambito='PILAR3' AND entidade='00100')Y ON X.INSTRMNT_ID=Y.INSTRMNT_ID_SIMUL</v>
      </c>
      <c r="N305" s="38"/>
    </row>
    <row r="306" spans="2:14">
      <c r="B306" s="34" t="s">
        <v>117</v>
      </c>
      <c r="C306" s="34" t="s">
        <v>5</v>
      </c>
      <c r="D306" s="34" t="str">
        <f>+UPPER('0. Instruções'!$D$35&amp;"."&amp;VLOOKUP(B306,'0. Instruções'!$C$27:$D$32,2,FALSE))</f>
        <v>BU_LOANTAPE_WORK.LT002_INSTRUMENT</v>
      </c>
      <c r="E306" s="34" t="str">
        <f>+UPPER('0. Instruções'!$D$36&amp;"."&amp;VLOOKUP(B306,'0. Instruções'!$C$27:$E$32,3,FALSE))</f>
        <v>BU_LOANTAPE_WORK.SIMUL_LT002_INSTRUMENT</v>
      </c>
      <c r="F306" s="34" t="s">
        <v>636</v>
      </c>
      <c r="G306" s="34"/>
      <c r="H306" s="34"/>
      <c r="I306" s="34" t="str">
        <f>"(SELECT "&amp;VLOOKUP(B306,'0. Instruções'!$C$27:$G$32,4,FALSE)&amp;", "&amp;F306&amp;" FROM "&amp;D306&amp;" WHERE "&amp;'0. Instruções'!$D$42&amp;")X"</f>
        <v>(SELECT instrmnt_id, mthd_usd_instrmnt_scp_1 FROM BU_LOANTAPE_WORK.LT002_INSTRUMENT WHERE ref_date='${ref_date}' AND nome_perimetro='Individual Local' AND segmento='ESTR' AND ambito='SRB_MBDT' AND entidade='00100')X</v>
      </c>
      <c r="J306" s="34" t="str">
        <f>"(SELECT "&amp;VLOOKUP(B306,'0. Instruções'!$C$27:$G$32,4,FALSE)&amp;" AS "&amp;VLOOKUP(B306,'0. Instruções'!$C$27:$G$32,4,FALSE)&amp;"_SIMUL, "&amp;F306&amp;" AS "&amp;F306&amp;"_SIMUL FROM "&amp;E306&amp;" WHERE "&amp;'0. Instruções'!$D$43&amp;")Y"</f>
        <v>(SELECT instrmnt_id AS instrmnt_id_SIMUL, mthd_usd_instrmnt_scp_1 AS mthd_usd_instrmnt_scp_1_SIMUL FROM BU_LOANTAPE_WORK.SIMUL_LT002_INSTRUMENT WHERE ref_date='${ref_date}' AND nome_perimetro='Individual Local' AND segmento='ESTR' AND ambito='PILAR3' AND entidade='00100')Y</v>
      </c>
      <c r="K306" s="35" t="str">
        <f>+UPPER("ON X."&amp;VLOOKUP(B306,'0. Instruções'!$C$27:$G$32,4,FALSE)&amp;"=Y."&amp;VLOOKUP(B306,'0. Instruções'!$C$27:$G$32,4,FALSE)&amp;"_SIMUL")</f>
        <v>ON X.INSTRMNT_ID=Y.INSTRMNT_ID_SIMUL</v>
      </c>
      <c r="L306" s="35" t="str">
        <f>+IF(C306="Coerência", +IF(LEFT(G306,5)="FLOAT","SELECT '"&amp;UPPER(B306)&amp;"' AS TABELA, '"&amp;UPPER(C306)&amp;"' AS TIPOLOGIA_TESTE,'"&amp;D306&amp;"' AS TABELA_LT,'"&amp;E306&amp;"' AS TABELA_SIMUL,'"&amp;F306&amp;"' AS CAMPO, "&amp;"'${ref_date}' AS REF_DATE, COUNT(*) AS NUM_REG, SUM(IF((ABS(COALESCE(CAST(X."&amp;F306&amp;" AS DECIMAL(18,6)),0)-COALESCE(CAST(Y."&amp;F306&amp;"_SIMUL AS DECIMAL(18,6)),0))&gt;0.000001) OR (X."&amp;F306&amp;" IS NULL AND Y."&amp;F306&amp;"_SIMUL IS NOT NULL ) OR (X."&amp;F306&amp;" IS NOT NULL AND Y."&amp;F306&amp;"_SIMUL IS NULL),1,0)) AS NUM_REG_DIF,'"&amp;MAX('ID1&amp;5'!K:K)+1&amp;"' AS ID_EXEC, CURRENT_TIMESTAMP() AS TIME_EXEC FROM "&amp;I306&amp;" INNER JOIN "&amp;J306&amp;" "&amp;K306,"SELECT '"&amp;UPPER(B306)&amp;"' AS TABELA, '"&amp;UPPER(C306)&amp;"' AS TIPOLOGIA_TESTE,'"&amp;D306&amp;"' AS TABELA_LT,'"&amp;E306&amp;"' AS TABELA_SIMUL,'"&amp;F306&amp;"' AS CAMPO, "&amp;"'${ref_date}' AS REF_DATE, COUNT(*) AS NUM_REG, SUM(IF(COALESCE(CAST(X."&amp;F306&amp;" AS STRING),'')&lt;&gt;COALESCE(CAST(Y."&amp;F306&amp;"_SIMUL AS STRING),'') OR (X."&amp;F306&amp;" IS NULL AND Y."&amp;F306&amp;"_SIMUL IS NOT NULL ) OR (X."&amp;F306&amp;" IS NOT NULL AND Y."&amp;F306&amp;"_SIMUL IS NULL),1,0)) AS NUM_REG_DIF,'"&amp;MAX('ID1&amp;5'!L:L)+1&amp;"' AS ID_EXEC, CURRENT_TIMESTAMP() AS TIME_EXEC FROM "&amp;I306&amp;" INNER JOIN "&amp;J306&amp;" "&amp;K306),
IF(C306="Validade",+IF(G306="Code List","SELECT '"&amp;UPPER(B306)&amp;"' AS TABELA, '"&amp;UPPER(C306)&amp;"' AS TIPOLOGIA_TESTE,'"&amp;D306&amp;"' AS TABELA_LT,'N/A' AS TABELA_SIMUL,'"&amp;F306&amp;"' AS CAMPO, "&amp;"'${ref_date}' AS REF_DATE, COUNT(*) AS NUM_REG, SUM(IF(TRIM(CAST(X."&amp;F306&amp;" AS STRING))='' OR TRIM(CAST(X."&amp;F306&amp;" AS STRING)) IS NULL OR CAST(X."&amp;F306&amp;" AS STRING) NOT "&amp;H306&amp;",1,0)) AS NUM_REG_DIF,'"&amp;MAX('ID1&amp;5'!K:K)+1&amp;"' AS ID_EXEC, CURRENT_TIMESTAMP() AS TIME_EXEC FROM "&amp;I306,"SELECT '"&amp;UPPER(B306)&amp;"' AS TABELA, '"&amp;UPPER(C306)&amp;"' AS TIPOLOGIA_TESTE,'"&amp;D306&amp;"' AS TABELA_LT,'N/A' AS TABELA_SIMUL,'"&amp;F306&amp;"' AS CAMPO, "&amp;"'${ref_date}' AS REF_DATE, COUNT(*) AS NUM_REG, SUM(IF(TRIM(CAST(X."&amp;F306&amp;" AS STRING))='' OR TRIM(CAST(X."&amp;F306&amp;" AS STRING)) IS NULL,1,0)) AS NUM_REG_DIF,'"&amp;MAX('ID1&amp;5'!K:K)+1&amp;"' AS ID_EXEC, CURRENT_TIMESTAMP() AS TIME_EXEC FROM "&amp;I306),
IF(C306="Caracteres Especiais",+"SELECT '"&amp;UPPER(B306)&amp;"' AS TABELA, '"&amp;UPPER(C306)&amp;"' AS TIPOLOGIA_TESTE,'"&amp;D306&amp;"' AS TABELA_LT,'N/A' AS TABELA_SIMUL,'"&amp;F306&amp;"' AS CAMPO, "&amp;"'${ref_date}' AS REF_DATE, COUNT(*) AS NUM_REG, SUM(IF(REGEXP_REPLACE(TRIM(CAST(X."&amp;F306&amp;" AS STRING)),'[^a-zA-Z0-9_\\s]','') &lt;&gt;TRIM(CAST(X."&amp;F306&amp;" AS STRING)),1,0)) AS NUM_REG_DIF,'"&amp;MAX('ID1&amp;5'!K:K)+1&amp;"' AS ID_EXEC, CURRENT_TIMESTAMP() AS TIME_EXEC FROM "&amp;I306,
IF(C306="Missings",+"SELECT '"&amp;UPPER(B306)&amp;"' AS TABELA, '"&amp;UPPER(C306)&amp;"' AS TIPOLOGIA_TESTE,'"&amp;D306&amp;"' AS TABELA_LT,'N/A' AS TABELA_SIMUL,'"&amp;F306&amp;"' AS CAMPO, "&amp;"'${ref_date}' AS REF_DATE, COUNT(*) AS NUM_REG, SUM(IF(TRIM(CAST(X."&amp;F306&amp;" AS STRING)) IN ('0000-00-00','0001-01-01','9999-12-31','MISS','00000','99999999999','99999999999.00','99999999999.000000'),1,0)) AS NUM_REG_DIF,'"&amp;MAX('ID1&amp;5'!K:K)+1&amp;"' AS ID_EXEC, CURRENT_TIMESTAMP() AS TIME_EXEC FROM "&amp;I306,
IF(C306="Not applicable",+"SELECT '"&amp;UPPER(B306)&amp;"' AS TABELA, '"&amp;UPPER(C306)&amp;"' AS TIPOLOGIA_TESTE,'"&amp;D306&amp;"' AS TABELA_LT,'N/A' AS TABELA_SIMUL,'"&amp;F306&amp;"' AS CAMPO, "&amp;"'${ref_date}' AS REF_DATE, COUNT(*) AS NUM_REG, SUM(IF(TRIM(CAST(X."&amp;F306&amp;" AS STRING)) IN ('N/A','11111111111','11111111111.00','11111111111.000000','1111-11-11'),1,0)) AS NUM_REG_DIF,'"&amp;MAX('ID1&amp;5'!K:K)+1&amp;"' AS ID_EXEC, CURRENT_TIMESTAMP() AS TIME_EXEC FROM "&amp;I306,
IF(C306="Valores extremos",+"SELECT '"&amp;UPPER(B306)&amp;"' AS TABELA, '"&amp;UPPER(C306)&amp;"' AS TIPOLOGIA_TESTE,'"&amp;D306&amp;"' AS TABELA_LT,'N/A' AS TABELA_SIMUL,'"&amp;F306&amp;"' AS CAMPO, "&amp;"'${ref_date}' AS REF_DATE, CAST(MIN("&amp;F306&amp;") AS STRING) AS VALOR_MIN, CAST(MAX("&amp;F306&amp;") AS STRING) AS VALOR_MAX,'"&amp;MAX('ID1&amp;5'!K:K)+1&amp;"' AS ID_EXEC, CURRENT_TIMESTAMP() AS TIME_EXEC FROM "&amp;MID(I306,1,LEN(I306)-2)&amp;" AND CAST("&amp;F306&amp;"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TABELA_SIMUL,'mthd_usd_instrmnt_scp_1' AS CAMPO, '${ref_date}' AS REF_DATE, COUNT(*) AS NUM_REG, SUM(IF(COALESCE(CAST(X.mthd_usd_instrmnt_scp_1 AS STRING),'')&lt;&gt;COALESCE(CAST(Y.mthd_usd_instrmnt_scp_1_SIMUL AS STRING),'') OR (X.mthd_usd_instrmnt_scp_1 IS NULL AND Y.mthd_usd_instrmnt_scp_1_SIMUL IS NOT NULL ) OR (X.mthd_usd_instrmnt_scp_1 IS NOT NULL AND Y.mthd_usd_instrmnt_scp_1_SIMUL IS NULL),1,0)) AS NUM_REG_DIF,'1' AS ID_EXEC, CURRENT_TIMESTAMP() AS TIME_EXEC FROM (SELECT instrmnt_id, mthd_usd_instrmnt_scp_1 FROM BU_LOANTAPE_WORK.LT002_INSTRUMENT WHERE ref_date='${ref_date}' AND nome_perimetro='Individual Local' AND segmento='ESTR' AND ambito='SRB_MBDT' AND entidade='00100')X INNER JOIN (SELECT instrmnt_id AS instrmnt_id_SIMUL, mthd_usd_instrmnt_scp_1 AS mthd_usd_instrmnt_scp_1_SIMUL FROM BU_LOANTAPE_WORK.SIMUL_LT002_INSTRUMENT WHERE ref_date='${ref_date}' AND nome_perimetro='Individual Local' AND segmento='ESTR' AND ambito='PILAR3' AND entidade='00100')Y ON X.INSTRMNT_ID=Y.INSTRMNT_ID_SIMUL</v>
      </c>
      <c r="M306" s="36" t="str">
        <f t="shared" si="7"/>
        <v>UNION ALL SELECT 'INSTRUMENT' AS TABELA, 'COERÊNCIA' AS TIPOLOGIA_TESTE,'BU_LOANTAPE_WORK.LT002_INSTRUMENT' AS TABELA_LT,'BU_LOANTAPE_WORK.SIMUL_LT002_INSTRUMENT' AS TABELA_SIMUL,'mthd_usd_instrmnt_scp_1' AS CAMPO, '${ref_date}' AS REF_DATE, COUNT(*) AS NUM_REG, SUM(IF(COALESCE(CAST(X.mthd_usd_instrmnt_scp_1 AS STRING),'')&lt;&gt;COALESCE(CAST(Y.mthd_usd_instrmnt_scp_1_SIMUL AS STRING),'') OR (X.mthd_usd_instrmnt_scp_1 IS NULL AND Y.mthd_usd_instrmnt_scp_1_SIMUL IS NOT NULL ) OR (X.mthd_usd_instrmnt_scp_1 IS NOT NULL AND Y.mthd_usd_instrmnt_scp_1_SIMUL IS NULL),1,0)) AS NUM_REG_DIF,'1' AS ID_EXEC, CURRENT_TIMESTAMP() AS TIME_EXEC FROM (SELECT instrmnt_id, mthd_usd_instrmnt_scp_1 FROM BU_LOANTAPE_WORK.LT002_INSTRUMENT WHERE ref_date='${ref_date}' AND nome_perimetro='Individual Local' AND segmento='ESTR' AND ambito='SRB_MBDT' AND entidade='00100')X INNER JOIN (SELECT instrmnt_id AS instrmnt_id_SIMUL, mthd_usd_instrmnt_scp_1 AS mthd_usd_instrmnt_scp_1_SIMUL FROM BU_LOANTAPE_WORK.SIMUL_LT002_INSTRUMENT WHERE ref_date='${ref_date}' AND nome_perimetro='Individual Local' AND segmento='ESTR' AND ambito='PILAR3' AND entidade='00100')Y ON X.INSTRMNT_ID=Y.INSTRMNT_ID_SIMUL</v>
      </c>
      <c r="N306" s="38"/>
    </row>
    <row r="307" spans="2:14">
      <c r="B307" s="34" t="s">
        <v>117</v>
      </c>
      <c r="C307" s="34" t="s">
        <v>5</v>
      </c>
      <c r="D307" s="34" t="str">
        <f>+UPPER('0. Instruções'!$D$35&amp;"."&amp;VLOOKUP(B307,'0. Instruções'!$C$27:$D$32,2,FALSE))</f>
        <v>BU_LOANTAPE_WORK.LT002_INSTRUMENT</v>
      </c>
      <c r="E307" s="34" t="str">
        <f>+UPPER('0. Instruções'!$D$36&amp;"."&amp;VLOOKUP(B307,'0. Instruções'!$C$27:$E$32,3,FALSE))</f>
        <v>BU_LOANTAPE_WORK.SIMUL_LT002_INSTRUMENT</v>
      </c>
      <c r="F307" s="34" t="s">
        <v>637</v>
      </c>
      <c r="G307" s="34"/>
      <c r="H307" s="34"/>
      <c r="I307" s="34" t="str">
        <f>"(SELECT "&amp;VLOOKUP(B307,'0. Instruções'!$C$27:$G$32,4,FALSE)&amp;", "&amp;F307&amp;" FROM "&amp;D307&amp;" WHERE "&amp;'0. Instruções'!$D$42&amp;")X"</f>
        <v>(SELECT instrmnt_id, mthd_usd_instrmnt_scp_2 FROM BU_LOANTAPE_WORK.LT002_INSTRUMENT WHERE ref_date='${ref_date}' AND nome_perimetro='Individual Local' AND segmento='ESTR' AND ambito='SRB_MBDT' AND entidade='00100')X</v>
      </c>
      <c r="J307" s="34" t="str">
        <f>"(SELECT "&amp;VLOOKUP(B307,'0. Instruções'!$C$27:$G$32,4,FALSE)&amp;" AS "&amp;VLOOKUP(B307,'0. Instruções'!$C$27:$G$32,4,FALSE)&amp;"_SIMUL, "&amp;F307&amp;" AS "&amp;F307&amp;"_SIMUL FROM "&amp;E307&amp;" WHERE "&amp;'0. Instruções'!$D$43&amp;")Y"</f>
        <v>(SELECT instrmnt_id AS instrmnt_id_SIMUL, mthd_usd_instrmnt_scp_2 AS mthd_usd_instrmnt_scp_2_SIMUL FROM BU_LOANTAPE_WORK.SIMUL_LT002_INSTRUMENT WHERE ref_date='${ref_date}' AND nome_perimetro='Individual Local' AND segmento='ESTR' AND ambito='PILAR3' AND entidade='00100')Y</v>
      </c>
      <c r="K307" s="35" t="str">
        <f>+UPPER("ON X."&amp;VLOOKUP(B307,'0. Instruções'!$C$27:$G$32,4,FALSE)&amp;"=Y."&amp;VLOOKUP(B307,'0. Instruções'!$C$27:$G$32,4,FALSE)&amp;"_SIMUL")</f>
        <v>ON X.INSTRMNT_ID=Y.INSTRMNT_ID_SIMUL</v>
      </c>
      <c r="L307" s="35" t="str">
        <f>+IF(C307="Coerência", +IF(LEFT(G307,5)="FLOAT","SELECT '"&amp;UPPER(B307)&amp;"' AS TABELA, '"&amp;UPPER(C307)&amp;"' AS TIPOLOGIA_TESTE,'"&amp;D307&amp;"' AS TABELA_LT,'"&amp;E307&amp;"' AS TABELA_SIMUL,'"&amp;F307&amp;"' AS CAMPO, "&amp;"'${ref_date}' AS REF_DATE, COUNT(*) AS NUM_REG, SUM(IF((ABS(COALESCE(CAST(X."&amp;F307&amp;" AS DECIMAL(18,6)),0)-COALESCE(CAST(Y."&amp;F307&amp;"_SIMUL AS DECIMAL(18,6)),0))&gt;0.000001) OR (X."&amp;F307&amp;" IS NULL AND Y."&amp;F307&amp;"_SIMUL IS NOT NULL ) OR (X."&amp;F307&amp;" IS NOT NULL AND Y."&amp;F307&amp;"_SIMUL IS NULL),1,0)) AS NUM_REG_DIF,'"&amp;MAX('ID1&amp;5'!K:K)+1&amp;"' AS ID_EXEC, CURRENT_TIMESTAMP() AS TIME_EXEC FROM "&amp;I307&amp;" INNER JOIN "&amp;J307&amp;" "&amp;K307,"SELECT '"&amp;UPPER(B307)&amp;"' AS TABELA, '"&amp;UPPER(C307)&amp;"' AS TIPOLOGIA_TESTE,'"&amp;D307&amp;"' AS TABELA_LT,'"&amp;E307&amp;"' AS TABELA_SIMUL,'"&amp;F307&amp;"' AS CAMPO, "&amp;"'${ref_date}' AS REF_DATE, COUNT(*) AS NUM_REG, SUM(IF(COALESCE(CAST(X."&amp;F307&amp;" AS STRING),'')&lt;&gt;COALESCE(CAST(Y."&amp;F307&amp;"_SIMUL AS STRING),'') OR (X."&amp;F307&amp;" IS NULL AND Y."&amp;F307&amp;"_SIMUL IS NOT NULL ) OR (X."&amp;F307&amp;" IS NOT NULL AND Y."&amp;F307&amp;"_SIMUL IS NULL),1,0)) AS NUM_REG_DIF,'"&amp;MAX('ID1&amp;5'!L:L)+1&amp;"' AS ID_EXEC, CURRENT_TIMESTAMP() AS TIME_EXEC FROM "&amp;I307&amp;" INNER JOIN "&amp;J307&amp;" "&amp;K307),
IF(C307="Validade",+IF(G307="Code List","SELECT '"&amp;UPPER(B307)&amp;"' AS TABELA, '"&amp;UPPER(C307)&amp;"' AS TIPOLOGIA_TESTE,'"&amp;D307&amp;"' AS TABELA_LT,'N/A' AS TABELA_SIMUL,'"&amp;F307&amp;"' AS CAMPO, "&amp;"'${ref_date}' AS REF_DATE, COUNT(*) AS NUM_REG, SUM(IF(TRIM(CAST(X."&amp;F307&amp;" AS STRING))='' OR TRIM(CAST(X."&amp;F307&amp;" AS STRING)) IS NULL OR CAST(X."&amp;F307&amp;" AS STRING) NOT "&amp;H307&amp;",1,0)) AS NUM_REG_DIF,'"&amp;MAX('ID1&amp;5'!K:K)+1&amp;"' AS ID_EXEC, CURRENT_TIMESTAMP() AS TIME_EXEC FROM "&amp;I307,"SELECT '"&amp;UPPER(B307)&amp;"' AS TABELA, '"&amp;UPPER(C307)&amp;"' AS TIPOLOGIA_TESTE,'"&amp;D307&amp;"' AS TABELA_LT,'N/A' AS TABELA_SIMUL,'"&amp;F307&amp;"' AS CAMPO, "&amp;"'${ref_date}' AS REF_DATE, COUNT(*) AS NUM_REG, SUM(IF(TRIM(CAST(X."&amp;F307&amp;" AS STRING))='' OR TRIM(CAST(X."&amp;F307&amp;" AS STRING)) IS NULL,1,0)) AS NUM_REG_DIF,'"&amp;MAX('ID1&amp;5'!K:K)+1&amp;"' AS ID_EXEC, CURRENT_TIMESTAMP() AS TIME_EXEC FROM "&amp;I307),
IF(C307="Caracteres Especiais",+"SELECT '"&amp;UPPER(B307)&amp;"' AS TABELA, '"&amp;UPPER(C307)&amp;"' AS TIPOLOGIA_TESTE,'"&amp;D307&amp;"' AS TABELA_LT,'N/A' AS TABELA_SIMUL,'"&amp;F307&amp;"' AS CAMPO, "&amp;"'${ref_date}' AS REF_DATE, COUNT(*) AS NUM_REG, SUM(IF(REGEXP_REPLACE(TRIM(CAST(X."&amp;F307&amp;" AS STRING)),'[^a-zA-Z0-9_\\s]','') &lt;&gt;TRIM(CAST(X."&amp;F307&amp;" AS STRING)),1,0)) AS NUM_REG_DIF,'"&amp;MAX('ID1&amp;5'!K:K)+1&amp;"' AS ID_EXEC, CURRENT_TIMESTAMP() AS TIME_EXEC FROM "&amp;I307,
IF(C307="Missings",+"SELECT '"&amp;UPPER(B307)&amp;"' AS TABELA, '"&amp;UPPER(C307)&amp;"' AS TIPOLOGIA_TESTE,'"&amp;D307&amp;"' AS TABELA_LT,'N/A' AS TABELA_SIMUL,'"&amp;F307&amp;"' AS CAMPO, "&amp;"'${ref_date}' AS REF_DATE, COUNT(*) AS NUM_REG, SUM(IF(TRIM(CAST(X."&amp;F307&amp;" AS STRING)) IN ('0000-00-00','0001-01-01','9999-12-31','MISS','00000','99999999999','99999999999.00','99999999999.000000'),1,0)) AS NUM_REG_DIF,'"&amp;MAX('ID1&amp;5'!K:K)+1&amp;"' AS ID_EXEC, CURRENT_TIMESTAMP() AS TIME_EXEC FROM "&amp;I307,
IF(C307="Not applicable",+"SELECT '"&amp;UPPER(B307)&amp;"' AS TABELA, '"&amp;UPPER(C307)&amp;"' AS TIPOLOGIA_TESTE,'"&amp;D307&amp;"' AS TABELA_LT,'N/A' AS TABELA_SIMUL,'"&amp;F307&amp;"' AS CAMPO, "&amp;"'${ref_date}' AS REF_DATE, COUNT(*) AS NUM_REG, SUM(IF(TRIM(CAST(X."&amp;F307&amp;" AS STRING)) IN ('N/A','11111111111','11111111111.00','11111111111.000000','1111-11-11'),1,0)) AS NUM_REG_DIF,'"&amp;MAX('ID1&amp;5'!K:K)+1&amp;"' AS ID_EXEC, CURRENT_TIMESTAMP() AS TIME_EXEC FROM "&amp;I307,
IF(C307="Valores extremos",+"SELECT '"&amp;UPPER(B307)&amp;"' AS TABELA, '"&amp;UPPER(C307)&amp;"' AS TIPOLOGIA_TESTE,'"&amp;D307&amp;"' AS TABELA_LT,'N/A' AS TABELA_SIMUL,'"&amp;F307&amp;"' AS CAMPO, "&amp;"'${ref_date}' AS REF_DATE, CAST(MIN("&amp;F307&amp;") AS STRING) AS VALOR_MIN, CAST(MAX("&amp;F307&amp;") AS STRING) AS VALOR_MAX,'"&amp;MAX('ID1&amp;5'!K:K)+1&amp;"' AS ID_EXEC, CURRENT_TIMESTAMP() AS TIME_EXEC FROM "&amp;MID(I307,1,LEN(I307)-2)&amp;" AND CAST("&amp;F307&amp;"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TABELA_SIMUL,'mthd_usd_instrmnt_scp_2' AS CAMPO, '${ref_date}' AS REF_DATE, COUNT(*) AS NUM_REG, SUM(IF(COALESCE(CAST(X.mthd_usd_instrmnt_scp_2 AS STRING),'')&lt;&gt;COALESCE(CAST(Y.mthd_usd_instrmnt_scp_2_SIMUL AS STRING),'') OR (X.mthd_usd_instrmnt_scp_2 IS NULL AND Y.mthd_usd_instrmnt_scp_2_SIMUL IS NOT NULL ) OR (X.mthd_usd_instrmnt_scp_2 IS NOT NULL AND Y.mthd_usd_instrmnt_scp_2_SIMUL IS NULL),1,0)) AS NUM_REG_DIF,'1' AS ID_EXEC, CURRENT_TIMESTAMP() AS TIME_EXEC FROM (SELECT instrmnt_id, mthd_usd_instrmnt_scp_2 FROM BU_LOANTAPE_WORK.LT002_INSTRUMENT WHERE ref_date='${ref_date}' AND nome_perimetro='Individual Local' AND segmento='ESTR' AND ambito='SRB_MBDT' AND entidade='00100')X INNER JOIN (SELECT instrmnt_id AS instrmnt_id_SIMUL, mthd_usd_instrmnt_scp_2 AS mthd_usd_instrmnt_scp_2_SIMUL FROM BU_LOANTAPE_WORK.SIMUL_LT002_INSTRUMENT WHERE ref_date='${ref_date}' AND nome_perimetro='Individual Local' AND segmento='ESTR' AND ambito='PILAR3' AND entidade='00100')Y ON X.INSTRMNT_ID=Y.INSTRMNT_ID_SIMUL</v>
      </c>
      <c r="M307" s="36" t="str">
        <f t="shared" si="7"/>
        <v>UNION ALL SELECT 'INSTRUMENT' AS TABELA, 'COERÊNCIA' AS TIPOLOGIA_TESTE,'BU_LOANTAPE_WORK.LT002_INSTRUMENT' AS TABELA_LT,'BU_LOANTAPE_WORK.SIMUL_LT002_INSTRUMENT' AS TABELA_SIMUL,'mthd_usd_instrmnt_scp_2' AS CAMPO, '${ref_date}' AS REF_DATE, COUNT(*) AS NUM_REG, SUM(IF(COALESCE(CAST(X.mthd_usd_instrmnt_scp_2 AS STRING),'')&lt;&gt;COALESCE(CAST(Y.mthd_usd_instrmnt_scp_2_SIMUL AS STRING),'') OR (X.mthd_usd_instrmnt_scp_2 IS NULL AND Y.mthd_usd_instrmnt_scp_2_SIMUL IS NOT NULL ) OR (X.mthd_usd_instrmnt_scp_2 IS NOT NULL AND Y.mthd_usd_instrmnt_scp_2_SIMUL IS NULL),1,0)) AS NUM_REG_DIF,'1' AS ID_EXEC, CURRENT_TIMESTAMP() AS TIME_EXEC FROM (SELECT instrmnt_id, mthd_usd_instrmnt_scp_2 FROM BU_LOANTAPE_WORK.LT002_INSTRUMENT WHERE ref_date='${ref_date}' AND nome_perimetro='Individual Local' AND segmento='ESTR' AND ambito='SRB_MBDT' AND entidade='00100')X INNER JOIN (SELECT instrmnt_id AS instrmnt_id_SIMUL, mthd_usd_instrmnt_scp_2 AS mthd_usd_instrmnt_scp_2_SIMUL FROM BU_LOANTAPE_WORK.SIMUL_LT002_INSTRUMENT WHERE ref_date='${ref_date}' AND nome_perimetro='Individual Local' AND segmento='ESTR' AND ambito='PILAR3' AND entidade='00100')Y ON X.INSTRMNT_ID=Y.INSTRMNT_ID_SIMUL</v>
      </c>
      <c r="N307" s="38"/>
    </row>
    <row r="308" spans="2:14">
      <c r="B308" s="34" t="s">
        <v>117</v>
      </c>
      <c r="C308" s="34" t="s">
        <v>5</v>
      </c>
      <c r="D308" s="34" t="str">
        <f>+UPPER('0. Instruções'!$D$35&amp;"."&amp;VLOOKUP(B308,'0. Instruções'!$C$27:$D$32,2,FALSE))</f>
        <v>BU_LOANTAPE_WORK.LT002_INSTRUMENT</v>
      </c>
      <c r="E308" s="34" t="str">
        <f>+UPPER('0. Instruções'!$D$36&amp;"."&amp;VLOOKUP(B308,'0. Instruções'!$C$27:$E$32,3,FALSE))</f>
        <v>BU_LOANTAPE_WORK.SIMUL_LT002_INSTRUMENT</v>
      </c>
      <c r="F308" s="34" t="s">
        <v>638</v>
      </c>
      <c r="G308" s="34"/>
      <c r="H308" s="34"/>
      <c r="I308" s="34" t="str">
        <f>"(SELECT "&amp;VLOOKUP(B308,'0. Instruções'!$C$27:$G$32,4,FALSE)&amp;", "&amp;F308&amp;" FROM "&amp;D308&amp;" WHERE "&amp;'0. Instruções'!$D$42&amp;")X"</f>
        <v>(SELECT instrmnt_id, mthd_usd_instrmnt_scp_3 FROM BU_LOANTAPE_WORK.LT002_INSTRUMENT WHERE ref_date='${ref_date}' AND nome_perimetro='Individual Local' AND segmento='ESTR' AND ambito='SRB_MBDT' AND entidade='00100')X</v>
      </c>
      <c r="J308" s="34" t="str">
        <f>"(SELECT "&amp;VLOOKUP(B308,'0. Instruções'!$C$27:$G$32,4,FALSE)&amp;" AS "&amp;VLOOKUP(B308,'0. Instruções'!$C$27:$G$32,4,FALSE)&amp;"_SIMUL, "&amp;F308&amp;" AS "&amp;F308&amp;"_SIMUL FROM "&amp;E308&amp;" WHERE "&amp;'0. Instruções'!$D$43&amp;")Y"</f>
        <v>(SELECT instrmnt_id AS instrmnt_id_SIMUL, mthd_usd_instrmnt_scp_3 AS mthd_usd_instrmnt_scp_3_SIMUL FROM BU_LOANTAPE_WORK.SIMUL_LT002_INSTRUMENT WHERE ref_date='${ref_date}' AND nome_perimetro='Individual Local' AND segmento='ESTR' AND ambito='PILAR3' AND entidade='00100')Y</v>
      </c>
      <c r="K308" s="35" t="str">
        <f>+UPPER("ON X."&amp;VLOOKUP(B308,'0. Instruções'!$C$27:$G$32,4,FALSE)&amp;"=Y."&amp;VLOOKUP(B308,'0. Instruções'!$C$27:$G$32,4,FALSE)&amp;"_SIMUL")</f>
        <v>ON X.INSTRMNT_ID=Y.INSTRMNT_ID_SIMUL</v>
      </c>
      <c r="L308" s="35" t="str">
        <f>+IF(C308="Coerência", +IF(LEFT(G308,5)="FLOAT","SELECT '"&amp;UPPER(B308)&amp;"' AS TABELA, '"&amp;UPPER(C308)&amp;"' AS TIPOLOGIA_TESTE,'"&amp;D308&amp;"' AS TABELA_LT,'"&amp;E308&amp;"' AS TABELA_SIMUL,'"&amp;F308&amp;"' AS CAMPO, "&amp;"'${ref_date}' AS REF_DATE, COUNT(*) AS NUM_REG, SUM(IF((ABS(COALESCE(CAST(X."&amp;F308&amp;" AS DECIMAL(18,6)),0)-COALESCE(CAST(Y."&amp;F308&amp;"_SIMUL AS DECIMAL(18,6)),0))&gt;0.000001) OR (X."&amp;F308&amp;" IS NULL AND Y."&amp;F308&amp;"_SIMUL IS NOT NULL ) OR (X."&amp;F308&amp;" IS NOT NULL AND Y."&amp;F308&amp;"_SIMUL IS NULL),1,0)) AS NUM_REG_DIF,'"&amp;MAX('ID1&amp;5'!K:K)+1&amp;"' AS ID_EXEC, CURRENT_TIMESTAMP() AS TIME_EXEC FROM "&amp;I308&amp;" INNER JOIN "&amp;J308&amp;" "&amp;K308,"SELECT '"&amp;UPPER(B308)&amp;"' AS TABELA, '"&amp;UPPER(C308)&amp;"' AS TIPOLOGIA_TESTE,'"&amp;D308&amp;"' AS TABELA_LT,'"&amp;E308&amp;"' AS TABELA_SIMUL,'"&amp;F308&amp;"' AS CAMPO, "&amp;"'${ref_date}' AS REF_DATE, COUNT(*) AS NUM_REG, SUM(IF(COALESCE(CAST(X."&amp;F308&amp;" AS STRING),'')&lt;&gt;COALESCE(CAST(Y."&amp;F308&amp;"_SIMUL AS STRING),'') OR (X."&amp;F308&amp;" IS NULL AND Y."&amp;F308&amp;"_SIMUL IS NOT NULL ) OR (X."&amp;F308&amp;" IS NOT NULL AND Y."&amp;F308&amp;"_SIMUL IS NULL),1,0)) AS NUM_REG_DIF,'"&amp;MAX('ID1&amp;5'!L:L)+1&amp;"' AS ID_EXEC, CURRENT_TIMESTAMP() AS TIME_EXEC FROM "&amp;I308&amp;" INNER JOIN "&amp;J308&amp;" "&amp;K308),
IF(C308="Validade",+IF(G308="Code List","SELECT '"&amp;UPPER(B308)&amp;"' AS TABELA, '"&amp;UPPER(C308)&amp;"' AS TIPOLOGIA_TESTE,'"&amp;D308&amp;"' AS TABELA_LT,'N/A' AS TABELA_SIMUL,'"&amp;F308&amp;"' AS CAMPO, "&amp;"'${ref_date}' AS REF_DATE, COUNT(*) AS NUM_REG, SUM(IF(TRIM(CAST(X."&amp;F308&amp;" AS STRING))='' OR TRIM(CAST(X."&amp;F308&amp;" AS STRING)) IS NULL OR CAST(X."&amp;F308&amp;" AS STRING) NOT "&amp;H308&amp;",1,0)) AS NUM_REG_DIF,'"&amp;MAX('ID1&amp;5'!K:K)+1&amp;"' AS ID_EXEC, CURRENT_TIMESTAMP() AS TIME_EXEC FROM "&amp;I308,"SELECT '"&amp;UPPER(B308)&amp;"' AS TABELA, '"&amp;UPPER(C308)&amp;"' AS TIPOLOGIA_TESTE,'"&amp;D308&amp;"' AS TABELA_LT,'N/A' AS TABELA_SIMUL,'"&amp;F308&amp;"' AS CAMPO, "&amp;"'${ref_date}' AS REF_DATE, COUNT(*) AS NUM_REG, SUM(IF(TRIM(CAST(X."&amp;F308&amp;" AS STRING))='' OR TRIM(CAST(X."&amp;F308&amp;" AS STRING)) IS NULL,1,0)) AS NUM_REG_DIF,'"&amp;MAX('ID1&amp;5'!K:K)+1&amp;"' AS ID_EXEC, CURRENT_TIMESTAMP() AS TIME_EXEC FROM "&amp;I308),
IF(C308="Caracteres Especiais",+"SELECT '"&amp;UPPER(B308)&amp;"' AS TABELA, '"&amp;UPPER(C308)&amp;"' AS TIPOLOGIA_TESTE,'"&amp;D308&amp;"' AS TABELA_LT,'N/A' AS TABELA_SIMUL,'"&amp;F308&amp;"' AS CAMPO, "&amp;"'${ref_date}' AS REF_DATE, COUNT(*) AS NUM_REG, SUM(IF(REGEXP_REPLACE(TRIM(CAST(X."&amp;F308&amp;" AS STRING)),'[^a-zA-Z0-9_\\s]','') &lt;&gt;TRIM(CAST(X."&amp;F308&amp;" AS STRING)),1,0)) AS NUM_REG_DIF,'"&amp;MAX('ID1&amp;5'!K:K)+1&amp;"' AS ID_EXEC, CURRENT_TIMESTAMP() AS TIME_EXEC FROM "&amp;I308,
IF(C308="Missings",+"SELECT '"&amp;UPPER(B308)&amp;"' AS TABELA, '"&amp;UPPER(C308)&amp;"' AS TIPOLOGIA_TESTE,'"&amp;D308&amp;"' AS TABELA_LT,'N/A' AS TABELA_SIMUL,'"&amp;F308&amp;"' AS CAMPO, "&amp;"'${ref_date}' AS REF_DATE, COUNT(*) AS NUM_REG, SUM(IF(TRIM(CAST(X."&amp;F308&amp;" AS STRING)) IN ('0000-00-00','0001-01-01','9999-12-31','MISS','00000','99999999999','99999999999.00','99999999999.000000'),1,0)) AS NUM_REG_DIF,'"&amp;MAX('ID1&amp;5'!K:K)+1&amp;"' AS ID_EXEC, CURRENT_TIMESTAMP() AS TIME_EXEC FROM "&amp;I308,
IF(C308="Not applicable",+"SELECT '"&amp;UPPER(B308)&amp;"' AS TABELA, '"&amp;UPPER(C308)&amp;"' AS TIPOLOGIA_TESTE,'"&amp;D308&amp;"' AS TABELA_LT,'N/A' AS TABELA_SIMUL,'"&amp;F308&amp;"' AS CAMPO, "&amp;"'${ref_date}' AS REF_DATE, COUNT(*) AS NUM_REG, SUM(IF(TRIM(CAST(X."&amp;F308&amp;" AS STRING)) IN ('N/A','11111111111','11111111111.00','11111111111.000000','1111-11-11'),1,0)) AS NUM_REG_DIF,'"&amp;MAX('ID1&amp;5'!K:K)+1&amp;"' AS ID_EXEC, CURRENT_TIMESTAMP() AS TIME_EXEC FROM "&amp;I308,
IF(C308="Valores extremos",+"SELECT '"&amp;UPPER(B308)&amp;"' AS TABELA, '"&amp;UPPER(C308)&amp;"' AS TIPOLOGIA_TESTE,'"&amp;D308&amp;"' AS TABELA_LT,'N/A' AS TABELA_SIMUL,'"&amp;F308&amp;"' AS CAMPO, "&amp;"'${ref_date}' AS REF_DATE, CAST(MIN("&amp;F308&amp;") AS STRING) AS VALOR_MIN, CAST(MAX("&amp;F308&amp;") AS STRING) AS VALOR_MAX,'"&amp;MAX('ID1&amp;5'!K:K)+1&amp;"' AS ID_EXEC, CURRENT_TIMESTAMP() AS TIME_EXEC FROM "&amp;MID(I308,1,LEN(I308)-2)&amp;" AND CAST("&amp;F308&amp;"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TABELA_SIMUL,'mthd_usd_instrmnt_scp_3' AS CAMPO, '${ref_date}' AS REF_DATE, COUNT(*) AS NUM_REG, SUM(IF(COALESCE(CAST(X.mthd_usd_instrmnt_scp_3 AS STRING),'')&lt;&gt;COALESCE(CAST(Y.mthd_usd_instrmnt_scp_3_SIMUL AS STRING),'') OR (X.mthd_usd_instrmnt_scp_3 IS NULL AND Y.mthd_usd_instrmnt_scp_3_SIMUL IS NOT NULL ) OR (X.mthd_usd_instrmnt_scp_3 IS NOT NULL AND Y.mthd_usd_instrmnt_scp_3_SIMUL IS NULL),1,0)) AS NUM_REG_DIF,'1' AS ID_EXEC, CURRENT_TIMESTAMP() AS TIME_EXEC FROM (SELECT instrmnt_id, mthd_usd_instrmnt_scp_3 FROM BU_LOANTAPE_WORK.LT002_INSTRUMENT WHERE ref_date='${ref_date}' AND nome_perimetro='Individual Local' AND segmento='ESTR' AND ambito='SRB_MBDT' AND entidade='00100')X INNER JOIN (SELECT instrmnt_id AS instrmnt_id_SIMUL, mthd_usd_instrmnt_scp_3 AS mthd_usd_instrmnt_scp_3_SIMUL FROM BU_LOANTAPE_WORK.SIMUL_LT002_INSTRUMENT WHERE ref_date='${ref_date}' AND nome_perimetro='Individual Local' AND segmento='ESTR' AND ambito='PILAR3' AND entidade='00100')Y ON X.INSTRMNT_ID=Y.INSTRMNT_ID_SIMUL</v>
      </c>
      <c r="M308" s="36" t="str">
        <f t="shared" si="7"/>
        <v>UNION ALL SELECT 'INSTRUMENT' AS TABELA, 'COERÊNCIA' AS TIPOLOGIA_TESTE,'BU_LOANTAPE_WORK.LT002_INSTRUMENT' AS TABELA_LT,'BU_LOANTAPE_WORK.SIMUL_LT002_INSTRUMENT' AS TABELA_SIMUL,'mthd_usd_instrmnt_scp_3' AS CAMPO, '${ref_date}' AS REF_DATE, COUNT(*) AS NUM_REG, SUM(IF(COALESCE(CAST(X.mthd_usd_instrmnt_scp_3 AS STRING),'')&lt;&gt;COALESCE(CAST(Y.mthd_usd_instrmnt_scp_3_SIMUL AS STRING),'') OR (X.mthd_usd_instrmnt_scp_3 IS NULL AND Y.mthd_usd_instrmnt_scp_3_SIMUL IS NOT NULL ) OR (X.mthd_usd_instrmnt_scp_3 IS NOT NULL AND Y.mthd_usd_instrmnt_scp_3_SIMUL IS NULL),1,0)) AS NUM_REG_DIF,'1' AS ID_EXEC, CURRENT_TIMESTAMP() AS TIME_EXEC FROM (SELECT instrmnt_id, mthd_usd_instrmnt_scp_3 FROM BU_LOANTAPE_WORK.LT002_INSTRUMENT WHERE ref_date='${ref_date}' AND nome_perimetro='Individual Local' AND segmento='ESTR' AND ambito='SRB_MBDT' AND entidade='00100')X INNER JOIN (SELECT instrmnt_id AS instrmnt_id_SIMUL, mthd_usd_instrmnt_scp_3 AS mthd_usd_instrmnt_scp_3_SIMUL FROM BU_LOANTAPE_WORK.SIMUL_LT002_INSTRUMENT WHERE ref_date='${ref_date}' AND nome_perimetro='Individual Local' AND segmento='ESTR' AND ambito='PILAR3' AND entidade='00100')Y ON X.INSTRMNT_ID=Y.INSTRMNT_ID_SIMUL</v>
      </c>
      <c r="N308" s="38"/>
    </row>
    <row r="309" spans="2:14">
      <c r="B309" s="34" t="s">
        <v>117</v>
      </c>
      <c r="C309" s="34" t="s">
        <v>5</v>
      </c>
      <c r="D309" s="34" t="str">
        <f>+UPPER('0. Instruções'!$D$35&amp;"."&amp;VLOOKUP(B309,'0. Instruções'!$C$27:$D$32,2,FALSE))</f>
        <v>BU_LOANTAPE_WORK.LT002_INSTRUMENT</v>
      </c>
      <c r="E309" s="34" t="str">
        <f>+UPPER('0. Instruções'!$D$36&amp;"."&amp;VLOOKUP(B309,'0. Instruções'!$C$27:$E$32,3,FALSE))</f>
        <v>BU_LOANTAPE_WORK.SIMUL_LT002_INSTRUMENT</v>
      </c>
      <c r="F309" s="34" t="s">
        <v>639</v>
      </c>
      <c r="G309" s="34"/>
      <c r="H309" s="34"/>
      <c r="I309" s="34" t="str">
        <f>"(SELECT "&amp;VLOOKUP(B309,'0. Instruções'!$C$27:$G$32,4,FALSE)&amp;", "&amp;F309&amp;" FROM "&amp;D309&amp;" WHERE "&amp;'0. Instruções'!$D$42&amp;")X"</f>
        <v>(SELECT instrmnt_id, sstnbl_ctgry_txnmy FROM BU_LOANTAPE_WORK.LT002_INSTRUMENT WHERE ref_date='${ref_date}' AND nome_perimetro='Individual Local' AND segmento='ESTR' AND ambito='SRB_MBDT' AND entidade='00100')X</v>
      </c>
      <c r="J309" s="34" t="str">
        <f>"(SELECT "&amp;VLOOKUP(B309,'0. Instruções'!$C$27:$G$32,4,FALSE)&amp;" AS "&amp;VLOOKUP(B309,'0. Instruções'!$C$27:$G$32,4,FALSE)&amp;"_SIMUL, "&amp;F309&amp;" AS "&amp;F309&amp;"_SIMUL FROM "&amp;E309&amp;" WHERE "&amp;'0. Instruções'!$D$43&amp;")Y"</f>
        <v>(SELECT instrmnt_id AS instrmnt_id_SIMUL, sstnbl_ctgry_txnmy AS sstnbl_ctgry_txnmy_SIMUL FROM BU_LOANTAPE_WORK.SIMUL_LT002_INSTRUMENT WHERE ref_date='${ref_date}' AND nome_perimetro='Individual Local' AND segmento='ESTR' AND ambito='PILAR3' AND entidade='00100')Y</v>
      </c>
      <c r="K309" s="35" t="str">
        <f>+UPPER("ON X."&amp;VLOOKUP(B309,'0. Instruções'!$C$27:$G$32,4,FALSE)&amp;"=Y."&amp;VLOOKUP(B309,'0. Instruções'!$C$27:$G$32,4,FALSE)&amp;"_SIMUL")</f>
        <v>ON X.INSTRMNT_ID=Y.INSTRMNT_ID_SIMUL</v>
      </c>
      <c r="L309" s="35" t="str">
        <f>+IF(C309="Coerência", +IF(LEFT(G309,5)="FLOAT","SELECT '"&amp;UPPER(B309)&amp;"' AS TABELA, '"&amp;UPPER(C309)&amp;"' AS TIPOLOGIA_TESTE,'"&amp;D309&amp;"' AS TABELA_LT,'"&amp;E309&amp;"' AS TABELA_SIMUL,'"&amp;F309&amp;"' AS CAMPO, "&amp;"'${ref_date}' AS REF_DATE, COUNT(*) AS NUM_REG, SUM(IF((ABS(COALESCE(CAST(X."&amp;F309&amp;" AS DECIMAL(18,6)),0)-COALESCE(CAST(Y."&amp;F309&amp;"_SIMUL AS DECIMAL(18,6)),0))&gt;0.000001) OR (X."&amp;F309&amp;" IS NULL AND Y."&amp;F309&amp;"_SIMUL IS NOT NULL ) OR (X."&amp;F309&amp;" IS NOT NULL AND Y."&amp;F309&amp;"_SIMUL IS NULL),1,0)) AS NUM_REG_DIF,'"&amp;MAX('ID1&amp;5'!K:K)+1&amp;"' AS ID_EXEC, CURRENT_TIMESTAMP() AS TIME_EXEC FROM "&amp;I309&amp;" INNER JOIN "&amp;J309&amp;" "&amp;K309,"SELECT '"&amp;UPPER(B309)&amp;"' AS TABELA, '"&amp;UPPER(C309)&amp;"' AS TIPOLOGIA_TESTE,'"&amp;D309&amp;"' AS TABELA_LT,'"&amp;E309&amp;"' AS TABELA_SIMUL,'"&amp;F309&amp;"' AS CAMPO, "&amp;"'${ref_date}' AS REF_DATE, COUNT(*) AS NUM_REG, SUM(IF(COALESCE(CAST(X."&amp;F309&amp;" AS STRING),'')&lt;&gt;COALESCE(CAST(Y."&amp;F309&amp;"_SIMUL AS STRING),'') OR (X."&amp;F309&amp;" IS NULL AND Y."&amp;F309&amp;"_SIMUL IS NOT NULL ) OR (X."&amp;F309&amp;" IS NOT NULL AND Y."&amp;F309&amp;"_SIMUL IS NULL),1,0)) AS NUM_REG_DIF,'"&amp;MAX('ID1&amp;5'!L:L)+1&amp;"' AS ID_EXEC, CURRENT_TIMESTAMP() AS TIME_EXEC FROM "&amp;I309&amp;" INNER JOIN "&amp;J309&amp;" "&amp;K309),
IF(C309="Validade",+IF(G309="Code List","SELECT '"&amp;UPPER(B309)&amp;"' AS TABELA, '"&amp;UPPER(C309)&amp;"' AS TIPOLOGIA_TESTE,'"&amp;D309&amp;"' AS TABELA_LT,'N/A' AS TABELA_SIMUL,'"&amp;F309&amp;"' AS CAMPO, "&amp;"'${ref_date}' AS REF_DATE, COUNT(*) AS NUM_REG, SUM(IF(TRIM(CAST(X."&amp;F309&amp;" AS STRING))='' OR TRIM(CAST(X."&amp;F309&amp;" AS STRING)) IS NULL OR CAST(X."&amp;F309&amp;" AS STRING) NOT "&amp;H309&amp;",1,0)) AS NUM_REG_DIF,'"&amp;MAX('ID1&amp;5'!K:K)+1&amp;"' AS ID_EXEC, CURRENT_TIMESTAMP() AS TIME_EXEC FROM "&amp;I309,"SELECT '"&amp;UPPER(B309)&amp;"' AS TABELA, '"&amp;UPPER(C309)&amp;"' AS TIPOLOGIA_TESTE,'"&amp;D309&amp;"' AS TABELA_LT,'N/A' AS TABELA_SIMUL,'"&amp;F309&amp;"' AS CAMPO, "&amp;"'${ref_date}' AS REF_DATE, COUNT(*) AS NUM_REG, SUM(IF(TRIM(CAST(X."&amp;F309&amp;" AS STRING))='' OR TRIM(CAST(X."&amp;F309&amp;" AS STRING)) IS NULL,1,0)) AS NUM_REG_DIF,'"&amp;MAX('ID1&amp;5'!K:K)+1&amp;"' AS ID_EXEC, CURRENT_TIMESTAMP() AS TIME_EXEC FROM "&amp;I309),
IF(C309="Caracteres Especiais",+"SELECT '"&amp;UPPER(B309)&amp;"' AS TABELA, '"&amp;UPPER(C309)&amp;"' AS TIPOLOGIA_TESTE,'"&amp;D309&amp;"' AS TABELA_LT,'N/A' AS TABELA_SIMUL,'"&amp;F309&amp;"' AS CAMPO, "&amp;"'${ref_date}' AS REF_DATE, COUNT(*) AS NUM_REG, SUM(IF(REGEXP_REPLACE(TRIM(CAST(X."&amp;F309&amp;" AS STRING)),'[^a-zA-Z0-9_\\s]','') &lt;&gt;TRIM(CAST(X."&amp;F309&amp;" AS STRING)),1,0)) AS NUM_REG_DIF,'"&amp;MAX('ID1&amp;5'!K:K)+1&amp;"' AS ID_EXEC, CURRENT_TIMESTAMP() AS TIME_EXEC FROM "&amp;I309,
IF(C309="Missings",+"SELECT '"&amp;UPPER(B309)&amp;"' AS TABELA, '"&amp;UPPER(C309)&amp;"' AS TIPOLOGIA_TESTE,'"&amp;D309&amp;"' AS TABELA_LT,'N/A' AS TABELA_SIMUL,'"&amp;F309&amp;"' AS CAMPO, "&amp;"'${ref_date}' AS REF_DATE, COUNT(*) AS NUM_REG, SUM(IF(TRIM(CAST(X."&amp;F309&amp;" AS STRING)) IN ('0000-00-00','0001-01-01','9999-12-31','MISS','00000','99999999999','99999999999.00','99999999999.000000'),1,0)) AS NUM_REG_DIF,'"&amp;MAX('ID1&amp;5'!K:K)+1&amp;"' AS ID_EXEC, CURRENT_TIMESTAMP() AS TIME_EXEC FROM "&amp;I309,
IF(C309="Not applicable",+"SELECT '"&amp;UPPER(B309)&amp;"' AS TABELA, '"&amp;UPPER(C309)&amp;"' AS TIPOLOGIA_TESTE,'"&amp;D309&amp;"' AS TABELA_LT,'N/A' AS TABELA_SIMUL,'"&amp;F309&amp;"' AS CAMPO, "&amp;"'${ref_date}' AS REF_DATE, COUNT(*) AS NUM_REG, SUM(IF(TRIM(CAST(X."&amp;F309&amp;" AS STRING)) IN ('N/A','11111111111','11111111111.00','11111111111.000000','1111-11-11'),1,0)) AS NUM_REG_DIF,'"&amp;MAX('ID1&amp;5'!K:K)+1&amp;"' AS ID_EXEC, CURRENT_TIMESTAMP() AS TIME_EXEC FROM "&amp;I309,
IF(C309="Valores extremos",+"SELECT '"&amp;UPPER(B309)&amp;"' AS TABELA, '"&amp;UPPER(C309)&amp;"' AS TIPOLOGIA_TESTE,'"&amp;D309&amp;"' AS TABELA_LT,'N/A' AS TABELA_SIMUL,'"&amp;F309&amp;"' AS CAMPO, "&amp;"'${ref_date}' AS REF_DATE, CAST(MIN("&amp;F309&amp;") AS STRING) AS VALOR_MIN, CAST(MAX("&amp;F309&amp;") AS STRING) AS VALOR_MAX,'"&amp;MAX('ID1&amp;5'!K:K)+1&amp;"' AS ID_EXEC, CURRENT_TIMESTAMP() AS TIME_EXEC FROM "&amp;MID(I309,1,LEN(I309)-2)&amp;" AND CAST("&amp;F309&amp;"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TABELA_SIMUL,'sstnbl_ctgry_txnmy' AS CAMPO, '${ref_date}' AS REF_DATE, COUNT(*) AS NUM_REG, SUM(IF(COALESCE(CAST(X.sstnbl_ctgry_txnmy AS STRING),'')&lt;&gt;COALESCE(CAST(Y.sstnbl_ctgry_txnmy_SIMUL AS STRING),'') OR (X.sstnbl_ctgry_txnmy IS NULL AND Y.sstnbl_ctgry_txnmy_SIMUL IS NOT NULL ) OR (X.sstnbl_ctgry_txnmy IS NOT NULL AND Y.sstnbl_ctgry_txnmy_SIMUL IS NULL),1,0)) AS NUM_REG_DIF,'1' AS ID_EXEC, CURRENT_TIMESTAMP() AS TIME_EXEC FROM (SELECT instrmnt_id, sstnbl_ctgry_txnmy FROM BU_LOANTAPE_WORK.LT002_INSTRUMENT WHERE ref_date='${ref_date}' AND nome_perimetro='Individual Local' AND segmento='ESTR' AND ambito='SRB_MBDT' AND entidade='00100')X INNER JOIN (SELECT instrmnt_id AS instrmnt_id_SIMUL, sstnbl_ctgry_txnmy AS sstnbl_ctgry_txnmy_SIMUL FROM BU_LOANTAPE_WORK.SIMUL_LT002_INSTRUMENT WHERE ref_date='${ref_date}' AND nome_perimetro='Individual Local' AND segmento='ESTR' AND ambito='PILAR3' AND entidade='00100')Y ON X.INSTRMNT_ID=Y.INSTRMNT_ID_SIMUL</v>
      </c>
      <c r="M309" s="36" t="str">
        <f t="shared" si="7"/>
        <v>UNION ALL SELECT 'INSTRUMENT' AS TABELA, 'COERÊNCIA' AS TIPOLOGIA_TESTE,'BU_LOANTAPE_WORK.LT002_INSTRUMENT' AS TABELA_LT,'BU_LOANTAPE_WORK.SIMUL_LT002_INSTRUMENT' AS TABELA_SIMUL,'sstnbl_ctgry_txnmy' AS CAMPO, '${ref_date}' AS REF_DATE, COUNT(*) AS NUM_REG, SUM(IF(COALESCE(CAST(X.sstnbl_ctgry_txnmy AS STRING),'')&lt;&gt;COALESCE(CAST(Y.sstnbl_ctgry_txnmy_SIMUL AS STRING),'') OR (X.sstnbl_ctgry_txnmy IS NULL AND Y.sstnbl_ctgry_txnmy_SIMUL IS NOT NULL ) OR (X.sstnbl_ctgry_txnmy IS NOT NULL AND Y.sstnbl_ctgry_txnmy_SIMUL IS NULL),1,0)) AS NUM_REG_DIF,'1' AS ID_EXEC, CURRENT_TIMESTAMP() AS TIME_EXEC FROM (SELECT instrmnt_id, sstnbl_ctgry_txnmy FROM BU_LOANTAPE_WORK.LT002_INSTRUMENT WHERE ref_date='${ref_date}' AND nome_perimetro='Individual Local' AND segmento='ESTR' AND ambito='SRB_MBDT' AND entidade='00100')X INNER JOIN (SELECT instrmnt_id AS instrmnt_id_SIMUL, sstnbl_ctgry_txnmy AS sstnbl_ctgry_txnmy_SIMUL FROM BU_LOANTAPE_WORK.SIMUL_LT002_INSTRUMENT WHERE ref_date='${ref_date}' AND nome_perimetro='Individual Local' AND segmento='ESTR' AND ambito='PILAR3' AND entidade='00100')Y ON X.INSTRMNT_ID=Y.INSTRMNT_ID_SIMUL</v>
      </c>
      <c r="N309" s="38"/>
    </row>
    <row r="310" spans="2:14">
      <c r="B310" s="34" t="s">
        <v>117</v>
      </c>
      <c r="C310" s="34" t="s">
        <v>5</v>
      </c>
      <c r="D310" s="34" t="str">
        <f>+UPPER('0. Instruções'!$D$35&amp;"."&amp;VLOOKUP(B310,'0. Instruções'!$C$27:$D$32,2,FALSE))</f>
        <v>BU_LOANTAPE_WORK.LT002_INSTRUMENT</v>
      </c>
      <c r="E310" s="34" t="str">
        <f>+UPPER('0. Instruções'!$D$36&amp;"."&amp;VLOOKUP(B310,'0. Instruções'!$C$27:$E$32,3,FALSE))</f>
        <v>BU_LOANTAPE_WORK.SIMUL_LT002_INSTRUMENT</v>
      </c>
      <c r="F310" s="34" t="s">
        <v>1350</v>
      </c>
      <c r="G310" s="34"/>
      <c r="H310" s="34"/>
      <c r="I310" s="34" t="str">
        <f>"(SELECT "&amp;VLOOKUP(B310,'0. Instruções'!$C$27:$G$32,4,FALSE)&amp;", "&amp;F310&amp;" FROM "&amp;D310&amp;" WHERE "&amp;'0. Instruções'!$D$42&amp;")X"</f>
        <v>(SELECT instrmnt_id, counterparty_id FROM BU_LOANTAPE_WORK.LT002_INSTRUMENT WHERE ref_date='${ref_date}' AND nome_perimetro='Individual Local' AND segmento='ESTR' AND ambito='SRB_MBDT' AND entidade='00100')X</v>
      </c>
      <c r="J310" s="34" t="str">
        <f>"(SELECT "&amp;VLOOKUP(B310,'0. Instruções'!$C$27:$G$32,4,FALSE)&amp;" AS "&amp;VLOOKUP(B310,'0. Instruções'!$C$27:$G$32,4,FALSE)&amp;"_SIMUL, "&amp;F310&amp;" AS "&amp;F310&amp;"_SIMUL FROM "&amp;E310&amp;" WHERE "&amp;'0. Instruções'!$D$43&amp;")Y"</f>
        <v>(SELECT instrmnt_id AS instrmnt_id_SIMUL, counterparty_id AS counterparty_id_SIMUL FROM BU_LOANTAPE_WORK.SIMUL_LT002_INSTRUMENT WHERE ref_date='${ref_date}' AND nome_perimetro='Individual Local' AND segmento='ESTR' AND ambito='PILAR3' AND entidade='00100')Y</v>
      </c>
      <c r="K310" s="35" t="str">
        <f>+UPPER("ON X."&amp;VLOOKUP(B310,'0. Instruções'!$C$27:$G$32,4,FALSE)&amp;"=Y."&amp;VLOOKUP(B310,'0. Instruções'!$C$27:$G$32,4,FALSE)&amp;"_SIMUL")</f>
        <v>ON X.INSTRMNT_ID=Y.INSTRMNT_ID_SIMUL</v>
      </c>
      <c r="L310" s="35" t="str">
        <f>+IF(C310="Coerência", +IF(LEFT(G310,5)="FLOAT","SELECT '"&amp;UPPER(B310)&amp;"' AS TABELA, '"&amp;UPPER(C310)&amp;"' AS TIPOLOGIA_TESTE,'"&amp;D310&amp;"' AS TABELA_LT,'"&amp;E310&amp;"' AS TABELA_SIMUL,'"&amp;F310&amp;"' AS CAMPO, "&amp;"'${ref_date}' AS REF_DATE, COUNT(*) AS NUM_REG, SUM(IF((ABS(COALESCE(CAST(X."&amp;F310&amp;" AS DECIMAL(18,6)),0)-COALESCE(CAST(Y."&amp;F310&amp;"_SIMUL AS DECIMAL(18,6)),0))&gt;0.000001) OR (X."&amp;F310&amp;" IS NULL AND Y."&amp;F310&amp;"_SIMUL IS NOT NULL ) OR (X."&amp;F310&amp;" IS NOT NULL AND Y."&amp;F310&amp;"_SIMUL IS NULL),1,0)) AS NUM_REG_DIF,'"&amp;MAX('ID1&amp;5'!K:K)+1&amp;"' AS ID_EXEC, CURRENT_TIMESTAMP() AS TIME_EXEC FROM "&amp;I310&amp;" INNER JOIN "&amp;J310&amp;" "&amp;K310,"SELECT '"&amp;UPPER(B310)&amp;"' AS TABELA, '"&amp;UPPER(C310)&amp;"' AS TIPOLOGIA_TESTE,'"&amp;D310&amp;"' AS TABELA_LT,'"&amp;E310&amp;"' AS TABELA_SIMUL,'"&amp;F310&amp;"' AS CAMPO, "&amp;"'${ref_date}' AS REF_DATE, COUNT(*) AS NUM_REG, SUM(IF(COALESCE(CAST(X."&amp;F310&amp;" AS STRING),'')&lt;&gt;COALESCE(CAST(Y."&amp;F310&amp;"_SIMUL AS STRING),'') OR (X."&amp;F310&amp;" IS NULL AND Y."&amp;F310&amp;"_SIMUL IS NOT NULL ) OR (X."&amp;F310&amp;" IS NOT NULL AND Y."&amp;F310&amp;"_SIMUL IS NULL),1,0)) AS NUM_REG_DIF,'"&amp;MAX('ID1&amp;5'!L:L)+1&amp;"' AS ID_EXEC, CURRENT_TIMESTAMP() AS TIME_EXEC FROM "&amp;I310&amp;" INNER JOIN "&amp;J310&amp;" "&amp;K310),
IF(C310="Validade",+IF(G310="Code List","SELECT '"&amp;UPPER(B310)&amp;"' AS TABELA, '"&amp;UPPER(C310)&amp;"' AS TIPOLOGIA_TESTE,'"&amp;D310&amp;"' AS TABELA_LT,'N/A' AS TABELA_SIMUL,'"&amp;F310&amp;"' AS CAMPO, "&amp;"'${ref_date}' AS REF_DATE, COUNT(*) AS NUM_REG, SUM(IF(TRIM(CAST(X."&amp;F310&amp;" AS STRING))='' OR TRIM(CAST(X."&amp;F310&amp;" AS STRING)) IS NULL OR CAST(X."&amp;F310&amp;" AS STRING) NOT "&amp;H310&amp;",1,0)) AS NUM_REG_DIF,'"&amp;MAX('ID1&amp;5'!K:K)+1&amp;"' AS ID_EXEC, CURRENT_TIMESTAMP() AS TIME_EXEC FROM "&amp;I310,"SELECT '"&amp;UPPER(B310)&amp;"' AS TABELA, '"&amp;UPPER(C310)&amp;"' AS TIPOLOGIA_TESTE,'"&amp;D310&amp;"' AS TABELA_LT,'N/A' AS TABELA_SIMUL,'"&amp;F310&amp;"' AS CAMPO, "&amp;"'${ref_date}' AS REF_DATE, COUNT(*) AS NUM_REG, SUM(IF(TRIM(CAST(X."&amp;F310&amp;" AS STRING))='' OR TRIM(CAST(X."&amp;F310&amp;" AS STRING)) IS NULL,1,0)) AS NUM_REG_DIF,'"&amp;MAX('ID1&amp;5'!K:K)+1&amp;"' AS ID_EXEC, CURRENT_TIMESTAMP() AS TIME_EXEC FROM "&amp;I310),
IF(C310="Caracteres Especiais",+"SELECT '"&amp;UPPER(B310)&amp;"' AS TABELA, '"&amp;UPPER(C310)&amp;"' AS TIPOLOGIA_TESTE,'"&amp;D310&amp;"' AS TABELA_LT,'N/A' AS TABELA_SIMUL,'"&amp;F310&amp;"' AS CAMPO, "&amp;"'${ref_date}' AS REF_DATE, COUNT(*) AS NUM_REG, SUM(IF(REGEXP_REPLACE(TRIM(CAST(X."&amp;F310&amp;" AS STRING)),'[^a-zA-Z0-9_\\s]','') &lt;&gt;TRIM(CAST(X."&amp;F310&amp;" AS STRING)),1,0)) AS NUM_REG_DIF,'"&amp;MAX('ID1&amp;5'!K:K)+1&amp;"' AS ID_EXEC, CURRENT_TIMESTAMP() AS TIME_EXEC FROM "&amp;I310,
IF(C310="Missings",+"SELECT '"&amp;UPPER(B310)&amp;"' AS TABELA, '"&amp;UPPER(C310)&amp;"' AS TIPOLOGIA_TESTE,'"&amp;D310&amp;"' AS TABELA_LT,'N/A' AS TABELA_SIMUL,'"&amp;F310&amp;"' AS CAMPO, "&amp;"'${ref_date}' AS REF_DATE, COUNT(*) AS NUM_REG, SUM(IF(TRIM(CAST(X."&amp;F310&amp;" AS STRING)) IN ('0000-00-00','0001-01-01','9999-12-31','MISS','00000','99999999999','99999999999.00','99999999999.000000'),1,0)) AS NUM_REG_DIF,'"&amp;MAX('ID1&amp;5'!K:K)+1&amp;"' AS ID_EXEC, CURRENT_TIMESTAMP() AS TIME_EXEC FROM "&amp;I310,
IF(C310="Not applicable",+"SELECT '"&amp;UPPER(B310)&amp;"' AS TABELA, '"&amp;UPPER(C310)&amp;"' AS TIPOLOGIA_TESTE,'"&amp;D310&amp;"' AS TABELA_LT,'N/A' AS TABELA_SIMUL,'"&amp;F310&amp;"' AS CAMPO, "&amp;"'${ref_date}' AS REF_DATE, COUNT(*) AS NUM_REG, SUM(IF(TRIM(CAST(X."&amp;F310&amp;" AS STRING)) IN ('N/A','11111111111','11111111111.00','11111111111.000000','1111-11-11'),1,0)) AS NUM_REG_DIF,'"&amp;MAX('ID1&amp;5'!K:K)+1&amp;"' AS ID_EXEC, CURRENT_TIMESTAMP() AS TIME_EXEC FROM "&amp;I310,
IF(C310="Valores extremos",+"SELECT '"&amp;UPPER(B310)&amp;"' AS TABELA, '"&amp;UPPER(C310)&amp;"' AS TIPOLOGIA_TESTE,'"&amp;D310&amp;"' AS TABELA_LT,'N/A' AS TABELA_SIMUL,'"&amp;F310&amp;"' AS CAMPO, "&amp;"'${ref_date}' AS REF_DATE, CAST(MIN("&amp;F310&amp;") AS STRING) AS VALOR_MIN, CAST(MAX("&amp;F310&amp;") AS STRING) AS VALOR_MAX,'"&amp;MAX('ID1&amp;5'!K:K)+1&amp;"' AS ID_EXEC, CURRENT_TIMESTAMP() AS TIME_EXEC FROM "&amp;MID(I310,1,LEN(I310)-2)&amp;" AND CAST("&amp;F310&amp;"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TABELA_SIMUL,'counterparty_id' AS CAMPO, '${ref_date}' AS REF_DATE, COUNT(*) AS NUM_REG, SUM(IF(COALESCE(CAST(X.counterparty_id AS STRING),'')&lt;&gt;COALESCE(CAST(Y.counterparty_id_SIMUL AS STRING),'') OR (X.counterparty_id IS NULL AND Y.counterparty_id_SIMUL IS NOT NULL ) OR (X.counterparty_id IS NOT NULL AND Y.counterparty_id_SIMUL IS NULL),1,0)) AS NUM_REG_DIF,'1' AS ID_EXEC, CURRENT_TIMESTAMP() AS TIME_EXEC FROM (SELECT instrmnt_id, counterparty_id FROM BU_LOANTAPE_WORK.LT002_INSTRUMENT WHERE ref_date='${ref_date}' AND nome_perimetro='Individual Local' AND segmento='ESTR' AND ambito='SRB_MBDT' AND entidade='00100')X INNER JOIN (SELECT instrmnt_id AS instrmnt_id_SIMUL, counterparty_id AS counterparty_id_SIMUL FROM BU_LOANTAPE_WORK.SIMUL_LT002_INSTRUMENT WHERE ref_date='${ref_date}' AND nome_perimetro='Individual Local' AND segmento='ESTR' AND ambito='PILAR3' AND entidade='00100')Y ON X.INSTRMNT_ID=Y.INSTRMNT_ID_SIMUL</v>
      </c>
      <c r="M310" s="36" t="str">
        <f t="shared" si="7"/>
        <v>UNION ALL SELECT 'INSTRUMENT' AS TABELA, 'COERÊNCIA' AS TIPOLOGIA_TESTE,'BU_LOANTAPE_WORK.LT002_INSTRUMENT' AS TABELA_LT,'BU_LOANTAPE_WORK.SIMUL_LT002_INSTRUMENT' AS TABELA_SIMUL,'counterparty_id' AS CAMPO, '${ref_date}' AS REF_DATE, COUNT(*) AS NUM_REG, SUM(IF(COALESCE(CAST(X.counterparty_id AS STRING),'')&lt;&gt;COALESCE(CAST(Y.counterparty_id_SIMUL AS STRING),'') OR (X.counterparty_id IS NULL AND Y.counterparty_id_SIMUL IS NOT NULL ) OR (X.counterparty_id IS NOT NULL AND Y.counterparty_id_SIMUL IS NULL),1,0)) AS NUM_REG_DIF,'1' AS ID_EXEC, CURRENT_TIMESTAMP() AS TIME_EXEC FROM (SELECT instrmnt_id, counterparty_id FROM BU_LOANTAPE_WORK.LT002_INSTRUMENT WHERE ref_date='${ref_date}' AND nome_perimetro='Individual Local' AND segmento='ESTR' AND ambito='SRB_MBDT' AND entidade='00100')X INNER JOIN (SELECT instrmnt_id AS instrmnt_id_SIMUL, counterparty_id AS counterparty_id_SIMUL FROM BU_LOANTAPE_WORK.SIMUL_LT002_INSTRUMENT WHERE ref_date='${ref_date}' AND nome_perimetro='Individual Local' AND segmento='ESTR' AND ambito='PILAR3' AND entidade='00100')Y ON X.INSTRMNT_ID=Y.INSTRMNT_ID_SIMUL</v>
      </c>
      <c r="N310" s="38"/>
    </row>
    <row r="311" spans="2:14">
      <c r="B311" s="34" t="s">
        <v>117</v>
      </c>
      <c r="C311" s="34" t="s">
        <v>5</v>
      </c>
      <c r="D311" s="34" t="str">
        <f>+UPPER('0. Instruções'!$D$35&amp;"."&amp;VLOOKUP(B311,'0. Instruções'!$C$27:$D$32,2,FALSE))</f>
        <v>BU_LOANTAPE_WORK.LT002_INSTRUMENT</v>
      </c>
      <c r="E311" s="34" t="str">
        <f>+UPPER('0. Instruções'!$D$36&amp;"."&amp;VLOOKUP(B311,'0. Instruções'!$C$27:$E$32,3,FALSE))</f>
        <v>BU_LOANTAPE_WORK.SIMUL_LT002_INSTRUMENT</v>
      </c>
      <c r="F311" s="34" t="s">
        <v>1351</v>
      </c>
      <c r="G311" s="34"/>
      <c r="H311" s="34"/>
      <c r="I311" s="34" t="str">
        <f>"(SELECT "&amp;VLOOKUP(B311,'0. Instruções'!$C$27:$G$32,4,FALSE)&amp;", "&amp;F311&amp;" FROM "&amp;D311&amp;" WHERE "&amp;'0. Instruções'!$D$42&amp;")X"</f>
        <v>(SELECT instrmnt_id, counterparty_type_id FROM BU_LOANTAPE_WORK.LT002_INSTRUMENT WHERE ref_date='${ref_date}' AND nome_perimetro='Individual Local' AND segmento='ESTR' AND ambito='SRB_MBDT' AND entidade='00100')X</v>
      </c>
      <c r="J311" s="34" t="str">
        <f>"(SELECT "&amp;VLOOKUP(B311,'0. Instruções'!$C$27:$G$32,4,FALSE)&amp;" AS "&amp;VLOOKUP(B311,'0. Instruções'!$C$27:$G$32,4,FALSE)&amp;"_SIMUL, "&amp;F311&amp;" AS "&amp;F311&amp;"_SIMUL FROM "&amp;E311&amp;" WHERE "&amp;'0. Instruções'!$D$43&amp;")Y"</f>
        <v>(SELECT instrmnt_id AS instrmnt_id_SIMUL, counterparty_type_id AS counterparty_type_id_SIMUL FROM BU_LOANTAPE_WORK.SIMUL_LT002_INSTRUMENT WHERE ref_date='${ref_date}' AND nome_perimetro='Individual Local' AND segmento='ESTR' AND ambito='PILAR3' AND entidade='00100')Y</v>
      </c>
      <c r="K311" s="35" t="str">
        <f>+UPPER("ON X."&amp;VLOOKUP(B311,'0. Instruções'!$C$27:$G$32,4,FALSE)&amp;"=Y."&amp;VLOOKUP(B311,'0. Instruções'!$C$27:$G$32,4,FALSE)&amp;"_SIMUL")</f>
        <v>ON X.INSTRMNT_ID=Y.INSTRMNT_ID_SIMUL</v>
      </c>
      <c r="L311" s="35" t="str">
        <f>+IF(C311="Coerência", +IF(LEFT(G311,5)="FLOAT","SELECT '"&amp;UPPER(B311)&amp;"' AS TABELA, '"&amp;UPPER(C311)&amp;"' AS TIPOLOGIA_TESTE,'"&amp;D311&amp;"' AS TABELA_LT,'"&amp;E311&amp;"' AS TABELA_SIMUL,'"&amp;F311&amp;"' AS CAMPO, "&amp;"'${ref_date}' AS REF_DATE, COUNT(*) AS NUM_REG, SUM(IF((ABS(COALESCE(CAST(X."&amp;F311&amp;" AS DECIMAL(18,6)),0)-COALESCE(CAST(Y."&amp;F311&amp;"_SIMUL AS DECIMAL(18,6)),0))&gt;0.000001) OR (X."&amp;F311&amp;" IS NULL AND Y."&amp;F311&amp;"_SIMUL IS NOT NULL ) OR (X."&amp;F311&amp;" IS NOT NULL AND Y."&amp;F311&amp;"_SIMUL IS NULL),1,0)) AS NUM_REG_DIF,'"&amp;MAX('ID1&amp;5'!K:K)+1&amp;"' AS ID_EXEC, CURRENT_TIMESTAMP() AS TIME_EXEC FROM "&amp;I311&amp;" INNER JOIN "&amp;J311&amp;" "&amp;K311,"SELECT '"&amp;UPPER(B311)&amp;"' AS TABELA, '"&amp;UPPER(C311)&amp;"' AS TIPOLOGIA_TESTE,'"&amp;D311&amp;"' AS TABELA_LT,'"&amp;E311&amp;"' AS TABELA_SIMUL,'"&amp;F311&amp;"' AS CAMPO, "&amp;"'${ref_date}' AS REF_DATE, COUNT(*) AS NUM_REG, SUM(IF(COALESCE(CAST(X."&amp;F311&amp;" AS STRING),'')&lt;&gt;COALESCE(CAST(Y."&amp;F311&amp;"_SIMUL AS STRING),'') OR (X."&amp;F311&amp;" IS NULL AND Y."&amp;F311&amp;"_SIMUL IS NOT NULL ) OR (X."&amp;F311&amp;" IS NOT NULL AND Y."&amp;F311&amp;"_SIMUL IS NULL),1,0)) AS NUM_REG_DIF,'"&amp;MAX('ID1&amp;5'!L:L)+1&amp;"' AS ID_EXEC, CURRENT_TIMESTAMP() AS TIME_EXEC FROM "&amp;I311&amp;" INNER JOIN "&amp;J311&amp;" "&amp;K311),
IF(C311="Validade",+IF(G311="Code List","SELECT '"&amp;UPPER(B311)&amp;"' AS TABELA, '"&amp;UPPER(C311)&amp;"' AS TIPOLOGIA_TESTE,'"&amp;D311&amp;"' AS TABELA_LT,'N/A' AS TABELA_SIMUL,'"&amp;F311&amp;"' AS CAMPO, "&amp;"'${ref_date}' AS REF_DATE, COUNT(*) AS NUM_REG, SUM(IF(TRIM(CAST(X."&amp;F311&amp;" AS STRING))='' OR TRIM(CAST(X."&amp;F311&amp;" AS STRING)) IS NULL OR CAST(X."&amp;F311&amp;" AS STRING) NOT "&amp;H311&amp;",1,0)) AS NUM_REG_DIF,'"&amp;MAX('ID1&amp;5'!K:K)+1&amp;"' AS ID_EXEC, CURRENT_TIMESTAMP() AS TIME_EXEC FROM "&amp;I311,"SELECT '"&amp;UPPER(B311)&amp;"' AS TABELA, '"&amp;UPPER(C311)&amp;"' AS TIPOLOGIA_TESTE,'"&amp;D311&amp;"' AS TABELA_LT,'N/A' AS TABELA_SIMUL,'"&amp;F311&amp;"' AS CAMPO, "&amp;"'${ref_date}' AS REF_DATE, COUNT(*) AS NUM_REG, SUM(IF(TRIM(CAST(X."&amp;F311&amp;" AS STRING))='' OR TRIM(CAST(X."&amp;F311&amp;" AS STRING)) IS NULL,1,0)) AS NUM_REG_DIF,'"&amp;MAX('ID1&amp;5'!K:K)+1&amp;"' AS ID_EXEC, CURRENT_TIMESTAMP() AS TIME_EXEC FROM "&amp;I311),
IF(C311="Caracteres Especiais",+"SELECT '"&amp;UPPER(B311)&amp;"' AS TABELA, '"&amp;UPPER(C311)&amp;"' AS TIPOLOGIA_TESTE,'"&amp;D311&amp;"' AS TABELA_LT,'N/A' AS TABELA_SIMUL,'"&amp;F311&amp;"' AS CAMPO, "&amp;"'${ref_date}' AS REF_DATE, COUNT(*) AS NUM_REG, SUM(IF(REGEXP_REPLACE(TRIM(CAST(X."&amp;F311&amp;" AS STRING)),'[^a-zA-Z0-9_\\s]','') &lt;&gt;TRIM(CAST(X."&amp;F311&amp;" AS STRING)),1,0)) AS NUM_REG_DIF,'"&amp;MAX('ID1&amp;5'!K:K)+1&amp;"' AS ID_EXEC, CURRENT_TIMESTAMP() AS TIME_EXEC FROM "&amp;I311,
IF(C311="Missings",+"SELECT '"&amp;UPPER(B311)&amp;"' AS TABELA, '"&amp;UPPER(C311)&amp;"' AS TIPOLOGIA_TESTE,'"&amp;D311&amp;"' AS TABELA_LT,'N/A' AS TABELA_SIMUL,'"&amp;F311&amp;"' AS CAMPO, "&amp;"'${ref_date}' AS REF_DATE, COUNT(*) AS NUM_REG, SUM(IF(TRIM(CAST(X."&amp;F311&amp;" AS STRING)) IN ('0000-00-00','0001-01-01','9999-12-31','MISS','00000','99999999999','99999999999.00','99999999999.000000'),1,0)) AS NUM_REG_DIF,'"&amp;MAX('ID1&amp;5'!K:K)+1&amp;"' AS ID_EXEC, CURRENT_TIMESTAMP() AS TIME_EXEC FROM "&amp;I311,
IF(C311="Not applicable",+"SELECT '"&amp;UPPER(B311)&amp;"' AS TABELA, '"&amp;UPPER(C311)&amp;"' AS TIPOLOGIA_TESTE,'"&amp;D311&amp;"' AS TABELA_LT,'N/A' AS TABELA_SIMUL,'"&amp;F311&amp;"' AS CAMPO, "&amp;"'${ref_date}' AS REF_DATE, COUNT(*) AS NUM_REG, SUM(IF(TRIM(CAST(X."&amp;F311&amp;" AS STRING)) IN ('N/A','11111111111','11111111111.00','11111111111.000000','1111-11-11'),1,0)) AS NUM_REG_DIF,'"&amp;MAX('ID1&amp;5'!K:K)+1&amp;"' AS ID_EXEC, CURRENT_TIMESTAMP() AS TIME_EXEC FROM "&amp;I311,
IF(C311="Valores extremos",+"SELECT '"&amp;UPPER(B311)&amp;"' AS TABELA, '"&amp;UPPER(C311)&amp;"' AS TIPOLOGIA_TESTE,'"&amp;D311&amp;"' AS TABELA_LT,'N/A' AS TABELA_SIMUL,'"&amp;F311&amp;"' AS CAMPO, "&amp;"'${ref_date}' AS REF_DATE, CAST(MIN("&amp;F311&amp;") AS STRING) AS VALOR_MIN, CAST(MAX("&amp;F311&amp;") AS STRING) AS VALOR_MAX,'"&amp;MAX('ID1&amp;5'!K:K)+1&amp;"' AS ID_EXEC, CURRENT_TIMESTAMP() AS TIME_EXEC FROM "&amp;MID(I311,1,LEN(I311)-2)&amp;" AND CAST("&amp;F311&amp;"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TABELA_SIMUL,'counterparty_type_id' AS CAMPO, '${ref_date}' AS REF_DATE, COUNT(*) AS NUM_REG, SUM(IF(COALESCE(CAST(X.counterparty_type_id AS STRING),'')&lt;&gt;COALESCE(CAST(Y.counterparty_type_id_SIMUL AS STRING),'') OR (X.counterparty_type_id IS NULL AND Y.counterparty_type_id_SIMUL IS NOT NULL ) OR (X.counterparty_type_id IS NOT NULL AND Y.counterparty_type_id_SIMUL IS NULL),1,0)) AS NUM_REG_DIF,'1' AS ID_EXEC, CURRENT_TIMESTAMP() AS TIME_EXEC FROM (SELECT instrmnt_id, counterparty_type_id FROM BU_LOANTAPE_WORK.LT002_INSTRUMENT WHERE ref_date='${ref_date}' AND nome_perimetro='Individual Local' AND segmento='ESTR' AND ambito='SRB_MBDT' AND entidade='00100')X INNER JOIN (SELECT instrmnt_id AS instrmnt_id_SIMUL, counterparty_type_id AS counterparty_type_id_SIMUL FROM BU_LOANTAPE_WORK.SIMUL_LT002_INSTRUMENT WHERE ref_date='${ref_date}' AND nome_perimetro='Individual Local' AND segmento='ESTR' AND ambito='PILAR3' AND entidade='00100')Y ON X.INSTRMNT_ID=Y.INSTRMNT_ID_SIMUL</v>
      </c>
      <c r="M311" s="36" t="str">
        <f t="shared" si="7"/>
        <v>UNION ALL SELECT 'INSTRUMENT' AS TABELA, 'COERÊNCIA' AS TIPOLOGIA_TESTE,'BU_LOANTAPE_WORK.LT002_INSTRUMENT' AS TABELA_LT,'BU_LOANTAPE_WORK.SIMUL_LT002_INSTRUMENT' AS TABELA_SIMUL,'counterparty_type_id' AS CAMPO, '${ref_date}' AS REF_DATE, COUNT(*) AS NUM_REG, SUM(IF(COALESCE(CAST(X.counterparty_type_id AS STRING),'')&lt;&gt;COALESCE(CAST(Y.counterparty_type_id_SIMUL AS STRING),'') OR (X.counterparty_type_id IS NULL AND Y.counterparty_type_id_SIMUL IS NOT NULL ) OR (X.counterparty_type_id IS NOT NULL AND Y.counterparty_type_id_SIMUL IS NULL),1,0)) AS NUM_REG_DIF,'1' AS ID_EXEC, CURRENT_TIMESTAMP() AS TIME_EXEC FROM (SELECT instrmnt_id, counterparty_type_id FROM BU_LOANTAPE_WORK.LT002_INSTRUMENT WHERE ref_date='${ref_date}' AND nome_perimetro='Individual Local' AND segmento='ESTR' AND ambito='SRB_MBDT' AND entidade='00100')X INNER JOIN (SELECT instrmnt_id AS instrmnt_id_SIMUL, counterparty_type_id AS counterparty_type_id_SIMUL FROM BU_LOANTAPE_WORK.SIMUL_LT002_INSTRUMENT WHERE ref_date='${ref_date}' AND nome_perimetro='Individual Local' AND segmento='ESTR' AND ambito='PILAR3' AND entidade='00100')Y ON X.INSTRMNT_ID=Y.INSTRMNT_ID_SIMUL</v>
      </c>
      <c r="N311" s="38"/>
    </row>
    <row r="312" spans="2:14">
      <c r="B312" s="34" t="s">
        <v>117</v>
      </c>
      <c r="C312" s="34" t="s">
        <v>5</v>
      </c>
      <c r="D312" s="34" t="str">
        <f>+UPPER('0. Instruções'!$D$35&amp;"."&amp;VLOOKUP(B312,'0. Instruções'!$C$27:$D$32,2,FALSE))</f>
        <v>BU_LOANTAPE_WORK.LT002_INSTRUMENT</v>
      </c>
      <c r="E312" s="34" t="str">
        <f>+UPPER('0. Instruções'!$D$36&amp;"."&amp;VLOOKUP(B312,'0. Instruções'!$C$27:$E$32,3,FALSE))</f>
        <v>BU_LOANTAPE_WORK.SIMUL_LT002_INSTRUMENT</v>
      </c>
      <c r="F312" s="34" t="s">
        <v>1352</v>
      </c>
      <c r="G312" s="34"/>
      <c r="H312" s="34"/>
      <c r="I312" s="34" t="str">
        <f>"(SELECT "&amp;VLOOKUP(B312,'0. Instruções'!$C$27:$G$32,4,FALSE)&amp;", "&amp;F312&amp;" FROM "&amp;D312&amp;" WHERE "&amp;'0. Instruções'!$D$42&amp;")X"</f>
        <v>(SELECT instrmnt_id, counterparty_country FROM BU_LOANTAPE_WORK.LT002_INSTRUMENT WHERE ref_date='${ref_date}' AND nome_perimetro='Individual Local' AND segmento='ESTR' AND ambito='SRB_MBDT' AND entidade='00100')X</v>
      </c>
      <c r="J312" s="34" t="str">
        <f>"(SELECT "&amp;VLOOKUP(B312,'0. Instruções'!$C$27:$G$32,4,FALSE)&amp;" AS "&amp;VLOOKUP(B312,'0. Instruções'!$C$27:$G$32,4,FALSE)&amp;"_SIMUL, "&amp;F312&amp;" AS "&amp;F312&amp;"_SIMUL FROM "&amp;E312&amp;" WHERE "&amp;'0. Instruções'!$D$43&amp;")Y"</f>
        <v>(SELECT instrmnt_id AS instrmnt_id_SIMUL, counterparty_country AS counterparty_country_SIMUL FROM BU_LOANTAPE_WORK.SIMUL_LT002_INSTRUMENT WHERE ref_date='${ref_date}' AND nome_perimetro='Individual Local' AND segmento='ESTR' AND ambito='PILAR3' AND entidade='00100')Y</v>
      </c>
      <c r="K312" s="35" t="str">
        <f>+UPPER("ON X."&amp;VLOOKUP(B312,'0. Instruções'!$C$27:$G$32,4,FALSE)&amp;"=Y."&amp;VLOOKUP(B312,'0. Instruções'!$C$27:$G$32,4,FALSE)&amp;"_SIMUL")</f>
        <v>ON X.INSTRMNT_ID=Y.INSTRMNT_ID_SIMUL</v>
      </c>
      <c r="L312" s="35" t="str">
        <f>+IF(C312="Coerência", +IF(LEFT(G312,5)="FLOAT","SELECT '"&amp;UPPER(B312)&amp;"' AS TABELA, '"&amp;UPPER(C312)&amp;"' AS TIPOLOGIA_TESTE,'"&amp;D312&amp;"' AS TABELA_LT,'"&amp;E312&amp;"' AS TABELA_SIMUL,'"&amp;F312&amp;"' AS CAMPO, "&amp;"'${ref_date}' AS REF_DATE, COUNT(*) AS NUM_REG, SUM(IF((ABS(COALESCE(CAST(X."&amp;F312&amp;" AS DECIMAL(18,6)),0)-COALESCE(CAST(Y."&amp;F312&amp;"_SIMUL AS DECIMAL(18,6)),0))&gt;0.000001) OR (X."&amp;F312&amp;" IS NULL AND Y."&amp;F312&amp;"_SIMUL IS NOT NULL ) OR (X."&amp;F312&amp;" IS NOT NULL AND Y."&amp;F312&amp;"_SIMUL IS NULL),1,0)) AS NUM_REG_DIF,'"&amp;MAX('ID1&amp;5'!K:K)+1&amp;"' AS ID_EXEC, CURRENT_TIMESTAMP() AS TIME_EXEC FROM "&amp;I312&amp;" INNER JOIN "&amp;J312&amp;" "&amp;K312,"SELECT '"&amp;UPPER(B312)&amp;"' AS TABELA, '"&amp;UPPER(C312)&amp;"' AS TIPOLOGIA_TESTE,'"&amp;D312&amp;"' AS TABELA_LT,'"&amp;E312&amp;"' AS TABELA_SIMUL,'"&amp;F312&amp;"' AS CAMPO, "&amp;"'${ref_date}' AS REF_DATE, COUNT(*) AS NUM_REG, SUM(IF(COALESCE(CAST(X."&amp;F312&amp;" AS STRING),'')&lt;&gt;COALESCE(CAST(Y."&amp;F312&amp;"_SIMUL AS STRING),'') OR (X."&amp;F312&amp;" IS NULL AND Y."&amp;F312&amp;"_SIMUL IS NOT NULL ) OR (X."&amp;F312&amp;" IS NOT NULL AND Y."&amp;F312&amp;"_SIMUL IS NULL),1,0)) AS NUM_REG_DIF,'"&amp;MAX('ID1&amp;5'!L:L)+1&amp;"' AS ID_EXEC, CURRENT_TIMESTAMP() AS TIME_EXEC FROM "&amp;I312&amp;" INNER JOIN "&amp;J312&amp;" "&amp;K312),
IF(C312="Validade",+IF(G312="Code List","SELECT '"&amp;UPPER(B312)&amp;"' AS TABELA, '"&amp;UPPER(C312)&amp;"' AS TIPOLOGIA_TESTE,'"&amp;D312&amp;"' AS TABELA_LT,'N/A' AS TABELA_SIMUL,'"&amp;F312&amp;"' AS CAMPO, "&amp;"'${ref_date}' AS REF_DATE, COUNT(*) AS NUM_REG, SUM(IF(TRIM(CAST(X."&amp;F312&amp;" AS STRING))='' OR TRIM(CAST(X."&amp;F312&amp;" AS STRING)) IS NULL OR CAST(X."&amp;F312&amp;" AS STRING) NOT "&amp;H312&amp;",1,0)) AS NUM_REG_DIF,'"&amp;MAX('ID1&amp;5'!K:K)+1&amp;"' AS ID_EXEC, CURRENT_TIMESTAMP() AS TIME_EXEC FROM "&amp;I312,"SELECT '"&amp;UPPER(B312)&amp;"' AS TABELA, '"&amp;UPPER(C312)&amp;"' AS TIPOLOGIA_TESTE,'"&amp;D312&amp;"' AS TABELA_LT,'N/A' AS TABELA_SIMUL,'"&amp;F312&amp;"' AS CAMPO, "&amp;"'${ref_date}' AS REF_DATE, COUNT(*) AS NUM_REG, SUM(IF(TRIM(CAST(X."&amp;F312&amp;" AS STRING))='' OR TRIM(CAST(X."&amp;F312&amp;" AS STRING)) IS NULL,1,0)) AS NUM_REG_DIF,'"&amp;MAX('ID1&amp;5'!K:K)+1&amp;"' AS ID_EXEC, CURRENT_TIMESTAMP() AS TIME_EXEC FROM "&amp;I312),
IF(C312="Caracteres Especiais",+"SELECT '"&amp;UPPER(B312)&amp;"' AS TABELA, '"&amp;UPPER(C312)&amp;"' AS TIPOLOGIA_TESTE,'"&amp;D312&amp;"' AS TABELA_LT,'N/A' AS TABELA_SIMUL,'"&amp;F312&amp;"' AS CAMPO, "&amp;"'${ref_date}' AS REF_DATE, COUNT(*) AS NUM_REG, SUM(IF(REGEXP_REPLACE(TRIM(CAST(X."&amp;F312&amp;" AS STRING)),'[^a-zA-Z0-9_\\s]','') &lt;&gt;TRIM(CAST(X."&amp;F312&amp;" AS STRING)),1,0)) AS NUM_REG_DIF,'"&amp;MAX('ID1&amp;5'!K:K)+1&amp;"' AS ID_EXEC, CURRENT_TIMESTAMP() AS TIME_EXEC FROM "&amp;I312,
IF(C312="Missings",+"SELECT '"&amp;UPPER(B312)&amp;"' AS TABELA, '"&amp;UPPER(C312)&amp;"' AS TIPOLOGIA_TESTE,'"&amp;D312&amp;"' AS TABELA_LT,'N/A' AS TABELA_SIMUL,'"&amp;F312&amp;"' AS CAMPO, "&amp;"'${ref_date}' AS REF_DATE, COUNT(*) AS NUM_REG, SUM(IF(TRIM(CAST(X."&amp;F312&amp;" AS STRING)) IN ('0000-00-00','0001-01-01','9999-12-31','MISS','00000','99999999999','99999999999.00','99999999999.000000'),1,0)) AS NUM_REG_DIF,'"&amp;MAX('ID1&amp;5'!K:K)+1&amp;"' AS ID_EXEC, CURRENT_TIMESTAMP() AS TIME_EXEC FROM "&amp;I312,
IF(C312="Not applicable",+"SELECT '"&amp;UPPER(B312)&amp;"' AS TABELA, '"&amp;UPPER(C312)&amp;"' AS TIPOLOGIA_TESTE,'"&amp;D312&amp;"' AS TABELA_LT,'N/A' AS TABELA_SIMUL,'"&amp;F312&amp;"' AS CAMPO, "&amp;"'${ref_date}' AS REF_DATE, COUNT(*) AS NUM_REG, SUM(IF(TRIM(CAST(X."&amp;F312&amp;" AS STRING)) IN ('N/A','11111111111','11111111111.00','11111111111.000000','1111-11-11'),1,0)) AS NUM_REG_DIF,'"&amp;MAX('ID1&amp;5'!K:K)+1&amp;"' AS ID_EXEC, CURRENT_TIMESTAMP() AS TIME_EXEC FROM "&amp;I312,
IF(C312="Valores extremos",+"SELECT '"&amp;UPPER(B312)&amp;"' AS TABELA, '"&amp;UPPER(C312)&amp;"' AS TIPOLOGIA_TESTE,'"&amp;D312&amp;"' AS TABELA_LT,'N/A' AS TABELA_SIMUL,'"&amp;F312&amp;"' AS CAMPO, "&amp;"'${ref_date}' AS REF_DATE, CAST(MIN("&amp;F312&amp;") AS STRING) AS VALOR_MIN, CAST(MAX("&amp;F312&amp;") AS STRING) AS VALOR_MAX,'"&amp;MAX('ID1&amp;5'!K:K)+1&amp;"' AS ID_EXEC, CURRENT_TIMESTAMP() AS TIME_EXEC FROM "&amp;MID(I312,1,LEN(I312)-2)&amp;" AND CAST("&amp;F312&amp;"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TABELA_SIMUL,'counterparty_country' AS CAMPO, '${ref_date}' AS REF_DATE, COUNT(*) AS NUM_REG, SUM(IF(COALESCE(CAST(X.counterparty_country AS STRING),'')&lt;&gt;COALESCE(CAST(Y.counterparty_country_SIMUL AS STRING),'') OR (X.counterparty_country IS NULL AND Y.counterparty_country_SIMUL IS NOT NULL ) OR (X.counterparty_country IS NOT NULL AND Y.counterparty_country_SIMUL IS NULL),1,0)) AS NUM_REG_DIF,'1' AS ID_EXEC, CURRENT_TIMESTAMP() AS TIME_EXEC FROM (SELECT instrmnt_id, counterparty_country FROM BU_LOANTAPE_WORK.LT002_INSTRUMENT WHERE ref_date='${ref_date}' AND nome_perimetro='Individual Local' AND segmento='ESTR' AND ambito='SRB_MBDT' AND entidade='00100')X INNER JOIN (SELECT instrmnt_id AS instrmnt_id_SIMUL, counterparty_country AS counterparty_country_SIMUL FROM BU_LOANTAPE_WORK.SIMUL_LT002_INSTRUMENT WHERE ref_date='${ref_date}' AND nome_perimetro='Individual Local' AND segmento='ESTR' AND ambito='PILAR3' AND entidade='00100')Y ON X.INSTRMNT_ID=Y.INSTRMNT_ID_SIMUL</v>
      </c>
      <c r="M312" s="36" t="str">
        <f t="shared" si="7"/>
        <v>UNION ALL SELECT 'INSTRUMENT' AS TABELA, 'COERÊNCIA' AS TIPOLOGIA_TESTE,'BU_LOANTAPE_WORK.LT002_INSTRUMENT' AS TABELA_LT,'BU_LOANTAPE_WORK.SIMUL_LT002_INSTRUMENT' AS TABELA_SIMUL,'counterparty_country' AS CAMPO, '${ref_date}' AS REF_DATE, COUNT(*) AS NUM_REG, SUM(IF(COALESCE(CAST(X.counterparty_country AS STRING),'')&lt;&gt;COALESCE(CAST(Y.counterparty_country_SIMUL AS STRING),'') OR (X.counterparty_country IS NULL AND Y.counterparty_country_SIMUL IS NOT NULL ) OR (X.counterparty_country IS NOT NULL AND Y.counterparty_country_SIMUL IS NULL),1,0)) AS NUM_REG_DIF,'1' AS ID_EXEC, CURRENT_TIMESTAMP() AS TIME_EXEC FROM (SELECT instrmnt_id, counterparty_country FROM BU_LOANTAPE_WORK.LT002_INSTRUMENT WHERE ref_date='${ref_date}' AND nome_perimetro='Individual Local' AND segmento='ESTR' AND ambito='SRB_MBDT' AND entidade='00100')X INNER JOIN (SELECT instrmnt_id AS instrmnt_id_SIMUL, counterparty_country AS counterparty_country_SIMUL FROM BU_LOANTAPE_WORK.SIMUL_LT002_INSTRUMENT WHERE ref_date='${ref_date}' AND nome_perimetro='Individual Local' AND segmento='ESTR' AND ambito='PILAR3' AND entidade='00100')Y ON X.INSTRMNT_ID=Y.INSTRMNT_ID_SIMUL</v>
      </c>
      <c r="N312" s="38"/>
    </row>
    <row r="313" spans="2:14">
      <c r="B313" s="34" t="s">
        <v>117</v>
      </c>
      <c r="C313" s="34" t="s">
        <v>5</v>
      </c>
      <c r="D313" s="34" t="str">
        <f>+UPPER('0. Instruções'!$D$35&amp;"."&amp;VLOOKUP(B313,'0. Instruções'!$C$27:$D$32,2,FALSE))</f>
        <v>BU_LOANTAPE_WORK.LT002_INSTRUMENT</v>
      </c>
      <c r="E313" s="34" t="str">
        <f>+UPPER('0. Instruções'!$D$36&amp;"."&amp;VLOOKUP(B313,'0. Instruções'!$C$27:$E$32,3,FALSE))</f>
        <v>BU_LOANTAPE_WORK.SIMUL_LT002_INSTRUMENT</v>
      </c>
      <c r="F313" s="34" t="s">
        <v>1353</v>
      </c>
      <c r="G313" s="34"/>
      <c r="H313" s="34"/>
      <c r="I313" s="34" t="str">
        <f>"(SELECT "&amp;VLOOKUP(B313,'0. Instruções'!$C$27:$G$32,4,FALSE)&amp;", "&amp;F313&amp;" FROM "&amp;D313&amp;" WHERE "&amp;'0. Instruções'!$D$42&amp;")X"</f>
        <v>(SELECT instrmnt_id, crr_exposure_class FROM BU_LOANTAPE_WORK.LT002_INSTRUMENT WHERE ref_date='${ref_date}' AND nome_perimetro='Individual Local' AND segmento='ESTR' AND ambito='SRB_MBDT' AND entidade='00100')X</v>
      </c>
      <c r="J313" s="34" t="str">
        <f>"(SELECT "&amp;VLOOKUP(B313,'0. Instruções'!$C$27:$G$32,4,FALSE)&amp;" AS "&amp;VLOOKUP(B313,'0. Instruções'!$C$27:$G$32,4,FALSE)&amp;"_SIMUL, "&amp;F313&amp;" AS "&amp;F313&amp;"_SIMUL FROM "&amp;E313&amp;" WHERE "&amp;'0. Instruções'!$D$43&amp;")Y"</f>
        <v>(SELECT instrmnt_id AS instrmnt_id_SIMUL, crr_exposure_class AS crr_exposure_class_SIMUL FROM BU_LOANTAPE_WORK.SIMUL_LT002_INSTRUMENT WHERE ref_date='${ref_date}' AND nome_perimetro='Individual Local' AND segmento='ESTR' AND ambito='PILAR3' AND entidade='00100')Y</v>
      </c>
      <c r="K313" s="35" t="str">
        <f>+UPPER("ON X."&amp;VLOOKUP(B313,'0. Instruções'!$C$27:$G$32,4,FALSE)&amp;"=Y."&amp;VLOOKUP(B313,'0. Instruções'!$C$27:$G$32,4,FALSE)&amp;"_SIMUL")</f>
        <v>ON X.INSTRMNT_ID=Y.INSTRMNT_ID_SIMUL</v>
      </c>
      <c r="L313" s="35" t="str">
        <f>+IF(C313="Coerência", +IF(LEFT(G313,5)="FLOAT","SELECT '"&amp;UPPER(B313)&amp;"' AS TABELA, '"&amp;UPPER(C313)&amp;"' AS TIPOLOGIA_TESTE,'"&amp;D313&amp;"' AS TABELA_LT,'"&amp;E313&amp;"' AS TABELA_SIMUL,'"&amp;F313&amp;"' AS CAMPO, "&amp;"'${ref_date}' AS REF_DATE, COUNT(*) AS NUM_REG, SUM(IF((ABS(COALESCE(CAST(X."&amp;F313&amp;" AS DECIMAL(18,6)),0)-COALESCE(CAST(Y."&amp;F313&amp;"_SIMUL AS DECIMAL(18,6)),0))&gt;0.000001) OR (X."&amp;F313&amp;" IS NULL AND Y."&amp;F313&amp;"_SIMUL IS NOT NULL ) OR (X."&amp;F313&amp;" IS NOT NULL AND Y."&amp;F313&amp;"_SIMUL IS NULL),1,0)) AS NUM_REG_DIF,'"&amp;MAX('ID1&amp;5'!K:K)+1&amp;"' AS ID_EXEC, CURRENT_TIMESTAMP() AS TIME_EXEC FROM "&amp;I313&amp;" INNER JOIN "&amp;J313&amp;" "&amp;K313,"SELECT '"&amp;UPPER(B313)&amp;"' AS TABELA, '"&amp;UPPER(C313)&amp;"' AS TIPOLOGIA_TESTE,'"&amp;D313&amp;"' AS TABELA_LT,'"&amp;E313&amp;"' AS TABELA_SIMUL,'"&amp;F313&amp;"' AS CAMPO, "&amp;"'${ref_date}' AS REF_DATE, COUNT(*) AS NUM_REG, SUM(IF(COALESCE(CAST(X."&amp;F313&amp;" AS STRING),'')&lt;&gt;COALESCE(CAST(Y."&amp;F313&amp;"_SIMUL AS STRING),'') OR (X."&amp;F313&amp;" IS NULL AND Y."&amp;F313&amp;"_SIMUL IS NOT NULL ) OR (X."&amp;F313&amp;" IS NOT NULL AND Y."&amp;F313&amp;"_SIMUL IS NULL),1,0)) AS NUM_REG_DIF,'"&amp;MAX('ID1&amp;5'!L:L)+1&amp;"' AS ID_EXEC, CURRENT_TIMESTAMP() AS TIME_EXEC FROM "&amp;I313&amp;" INNER JOIN "&amp;J313&amp;" "&amp;K313),
IF(C313="Validade",+IF(G313="Code List","SELECT '"&amp;UPPER(B313)&amp;"' AS TABELA, '"&amp;UPPER(C313)&amp;"' AS TIPOLOGIA_TESTE,'"&amp;D313&amp;"' AS TABELA_LT,'N/A' AS TABELA_SIMUL,'"&amp;F313&amp;"' AS CAMPO, "&amp;"'${ref_date}' AS REF_DATE, COUNT(*) AS NUM_REG, SUM(IF(TRIM(CAST(X."&amp;F313&amp;" AS STRING))='' OR TRIM(CAST(X."&amp;F313&amp;" AS STRING)) IS NULL OR CAST(X."&amp;F313&amp;" AS STRING) NOT "&amp;H313&amp;",1,0)) AS NUM_REG_DIF,'"&amp;MAX('ID1&amp;5'!K:K)+1&amp;"' AS ID_EXEC, CURRENT_TIMESTAMP() AS TIME_EXEC FROM "&amp;I313,"SELECT '"&amp;UPPER(B313)&amp;"' AS TABELA, '"&amp;UPPER(C313)&amp;"' AS TIPOLOGIA_TESTE,'"&amp;D313&amp;"' AS TABELA_LT,'N/A' AS TABELA_SIMUL,'"&amp;F313&amp;"' AS CAMPO, "&amp;"'${ref_date}' AS REF_DATE, COUNT(*) AS NUM_REG, SUM(IF(TRIM(CAST(X."&amp;F313&amp;" AS STRING))='' OR TRIM(CAST(X."&amp;F313&amp;" AS STRING)) IS NULL,1,0)) AS NUM_REG_DIF,'"&amp;MAX('ID1&amp;5'!K:K)+1&amp;"' AS ID_EXEC, CURRENT_TIMESTAMP() AS TIME_EXEC FROM "&amp;I313),
IF(C313="Caracteres Especiais",+"SELECT '"&amp;UPPER(B313)&amp;"' AS TABELA, '"&amp;UPPER(C313)&amp;"' AS TIPOLOGIA_TESTE,'"&amp;D313&amp;"' AS TABELA_LT,'N/A' AS TABELA_SIMUL,'"&amp;F313&amp;"' AS CAMPO, "&amp;"'${ref_date}' AS REF_DATE, COUNT(*) AS NUM_REG, SUM(IF(REGEXP_REPLACE(TRIM(CAST(X."&amp;F313&amp;" AS STRING)),'[^a-zA-Z0-9_\\s]','') &lt;&gt;TRIM(CAST(X."&amp;F313&amp;" AS STRING)),1,0)) AS NUM_REG_DIF,'"&amp;MAX('ID1&amp;5'!K:K)+1&amp;"' AS ID_EXEC, CURRENT_TIMESTAMP() AS TIME_EXEC FROM "&amp;I313,
IF(C313="Missings",+"SELECT '"&amp;UPPER(B313)&amp;"' AS TABELA, '"&amp;UPPER(C313)&amp;"' AS TIPOLOGIA_TESTE,'"&amp;D313&amp;"' AS TABELA_LT,'N/A' AS TABELA_SIMUL,'"&amp;F313&amp;"' AS CAMPO, "&amp;"'${ref_date}' AS REF_DATE, COUNT(*) AS NUM_REG, SUM(IF(TRIM(CAST(X."&amp;F313&amp;" AS STRING)) IN ('0000-00-00','0001-01-01','9999-12-31','MISS','00000','99999999999','99999999999.00','99999999999.000000'),1,0)) AS NUM_REG_DIF,'"&amp;MAX('ID1&amp;5'!K:K)+1&amp;"' AS ID_EXEC, CURRENT_TIMESTAMP() AS TIME_EXEC FROM "&amp;I313,
IF(C313="Not applicable",+"SELECT '"&amp;UPPER(B313)&amp;"' AS TABELA, '"&amp;UPPER(C313)&amp;"' AS TIPOLOGIA_TESTE,'"&amp;D313&amp;"' AS TABELA_LT,'N/A' AS TABELA_SIMUL,'"&amp;F313&amp;"' AS CAMPO, "&amp;"'${ref_date}' AS REF_DATE, COUNT(*) AS NUM_REG, SUM(IF(TRIM(CAST(X."&amp;F313&amp;" AS STRING)) IN ('N/A','11111111111','11111111111.00','11111111111.000000','1111-11-11'),1,0)) AS NUM_REG_DIF,'"&amp;MAX('ID1&amp;5'!K:K)+1&amp;"' AS ID_EXEC, CURRENT_TIMESTAMP() AS TIME_EXEC FROM "&amp;I313,
IF(C313="Valores extremos",+"SELECT '"&amp;UPPER(B313)&amp;"' AS TABELA, '"&amp;UPPER(C313)&amp;"' AS TIPOLOGIA_TESTE,'"&amp;D313&amp;"' AS TABELA_LT,'N/A' AS TABELA_SIMUL,'"&amp;F313&amp;"' AS CAMPO, "&amp;"'${ref_date}' AS REF_DATE, CAST(MIN("&amp;F313&amp;") AS STRING) AS VALOR_MIN, CAST(MAX("&amp;F313&amp;") AS STRING) AS VALOR_MAX,'"&amp;MAX('ID1&amp;5'!K:K)+1&amp;"' AS ID_EXEC, CURRENT_TIMESTAMP() AS TIME_EXEC FROM "&amp;MID(I313,1,LEN(I313)-2)&amp;" AND CAST("&amp;F313&amp;"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TABELA_SIMUL,'crr_exposure_class' AS CAMPO, '${ref_date}' AS REF_DATE, COUNT(*) AS NUM_REG, SUM(IF(COALESCE(CAST(X.crr_exposure_class AS STRING),'')&lt;&gt;COALESCE(CAST(Y.crr_exposure_class_SIMUL AS STRING),'') OR (X.crr_exposure_class IS NULL AND Y.crr_exposure_class_SIMUL IS NOT NULL ) OR (X.crr_exposure_class IS NOT NULL AND Y.crr_exposure_class_SIMUL IS NULL),1,0)) AS NUM_REG_DIF,'1' AS ID_EXEC, CURRENT_TIMESTAMP() AS TIME_EXEC FROM (SELECT instrmnt_id, crr_exposure_class FROM BU_LOANTAPE_WORK.LT002_INSTRUMENT WHERE ref_date='${ref_date}' AND nome_perimetro='Individual Local' AND segmento='ESTR' AND ambito='SRB_MBDT' AND entidade='00100')X INNER JOIN (SELECT instrmnt_id AS instrmnt_id_SIMUL, crr_exposure_class AS crr_exposure_class_SIMUL FROM BU_LOANTAPE_WORK.SIMUL_LT002_INSTRUMENT WHERE ref_date='${ref_date}' AND nome_perimetro='Individual Local' AND segmento='ESTR' AND ambito='PILAR3' AND entidade='00100')Y ON X.INSTRMNT_ID=Y.INSTRMNT_ID_SIMUL</v>
      </c>
      <c r="M313" s="36" t="str">
        <f t="shared" si="7"/>
        <v>UNION ALL SELECT 'INSTRUMENT' AS TABELA, 'COERÊNCIA' AS TIPOLOGIA_TESTE,'BU_LOANTAPE_WORK.LT002_INSTRUMENT' AS TABELA_LT,'BU_LOANTAPE_WORK.SIMUL_LT002_INSTRUMENT' AS TABELA_SIMUL,'crr_exposure_class' AS CAMPO, '${ref_date}' AS REF_DATE, COUNT(*) AS NUM_REG, SUM(IF(COALESCE(CAST(X.crr_exposure_class AS STRING),'')&lt;&gt;COALESCE(CAST(Y.crr_exposure_class_SIMUL AS STRING),'') OR (X.crr_exposure_class IS NULL AND Y.crr_exposure_class_SIMUL IS NOT NULL ) OR (X.crr_exposure_class IS NOT NULL AND Y.crr_exposure_class_SIMUL IS NULL),1,0)) AS NUM_REG_DIF,'1' AS ID_EXEC, CURRENT_TIMESTAMP() AS TIME_EXEC FROM (SELECT instrmnt_id, crr_exposure_class FROM BU_LOANTAPE_WORK.LT002_INSTRUMENT WHERE ref_date='${ref_date}' AND nome_perimetro='Individual Local' AND segmento='ESTR' AND ambito='SRB_MBDT' AND entidade='00100')X INNER JOIN (SELECT instrmnt_id AS instrmnt_id_SIMUL, crr_exposure_class AS crr_exposure_class_SIMUL FROM BU_LOANTAPE_WORK.SIMUL_LT002_INSTRUMENT WHERE ref_date='${ref_date}' AND nome_perimetro='Individual Local' AND segmento='ESTR' AND ambito='PILAR3' AND entidade='00100')Y ON X.INSTRMNT_ID=Y.INSTRMNT_ID_SIMUL</v>
      </c>
      <c r="N313" s="38"/>
    </row>
    <row r="314" spans="2:14">
      <c r="B314" s="34" t="s">
        <v>117</v>
      </c>
      <c r="C314" s="34" t="s">
        <v>5</v>
      </c>
      <c r="D314" s="34" t="str">
        <f>+UPPER('0. Instruções'!$D$35&amp;"."&amp;VLOOKUP(B314,'0. Instruções'!$C$27:$D$32,2,FALSE))</f>
        <v>BU_LOANTAPE_WORK.LT002_INSTRUMENT</v>
      </c>
      <c r="E314" s="34" t="str">
        <f>+UPPER('0. Instruções'!$D$36&amp;"."&amp;VLOOKUP(B314,'0. Instruções'!$C$27:$E$32,3,FALSE))</f>
        <v>BU_LOANTAPE_WORK.SIMUL_LT002_INSTRUMENT</v>
      </c>
      <c r="F314" s="34" t="s">
        <v>1354</v>
      </c>
      <c r="G314" s="34"/>
      <c r="H314" s="34"/>
      <c r="I314" s="34" t="str">
        <f>"(SELECT "&amp;VLOOKUP(B314,'0. Instruções'!$C$27:$G$32,4,FALSE)&amp;", "&amp;F314&amp;" FROM "&amp;D314&amp;" WHERE "&amp;'0. Instruções'!$D$42&amp;")X"</f>
        <v>(SELECT instrmnt_id, interest_rate_cap FROM BU_LOANTAPE_WORK.LT002_INSTRUMENT WHERE ref_date='${ref_date}' AND nome_perimetro='Individual Local' AND segmento='ESTR' AND ambito='SRB_MBDT' AND entidade='00100')X</v>
      </c>
      <c r="J314" s="34" t="str">
        <f>"(SELECT "&amp;VLOOKUP(B314,'0. Instruções'!$C$27:$G$32,4,FALSE)&amp;" AS "&amp;VLOOKUP(B314,'0. Instruções'!$C$27:$G$32,4,FALSE)&amp;"_SIMUL, "&amp;F314&amp;" AS "&amp;F314&amp;"_SIMUL FROM "&amp;E314&amp;" WHERE "&amp;'0. Instruções'!$D$43&amp;")Y"</f>
        <v>(SELECT instrmnt_id AS instrmnt_id_SIMUL, interest_rate_cap AS interest_rate_cap_SIMUL FROM BU_LOANTAPE_WORK.SIMUL_LT002_INSTRUMENT WHERE ref_date='${ref_date}' AND nome_perimetro='Individual Local' AND segmento='ESTR' AND ambito='PILAR3' AND entidade='00100')Y</v>
      </c>
      <c r="K314" s="35" t="str">
        <f>+UPPER("ON X."&amp;VLOOKUP(B314,'0. Instruções'!$C$27:$G$32,4,FALSE)&amp;"=Y."&amp;VLOOKUP(B314,'0. Instruções'!$C$27:$G$32,4,FALSE)&amp;"_SIMUL")</f>
        <v>ON X.INSTRMNT_ID=Y.INSTRMNT_ID_SIMUL</v>
      </c>
      <c r="L314" s="35" t="str">
        <f>+IF(C314="Coerência", +IF(LEFT(G314,5)="FLOAT","SELECT '"&amp;UPPER(B314)&amp;"' AS TABELA, '"&amp;UPPER(C314)&amp;"' AS TIPOLOGIA_TESTE,'"&amp;D314&amp;"' AS TABELA_LT,'"&amp;E314&amp;"' AS TABELA_SIMUL,'"&amp;F314&amp;"' AS CAMPO, "&amp;"'${ref_date}' AS REF_DATE, COUNT(*) AS NUM_REG, SUM(IF((ABS(COALESCE(CAST(X."&amp;F314&amp;" AS DECIMAL(18,6)),0)-COALESCE(CAST(Y."&amp;F314&amp;"_SIMUL AS DECIMAL(18,6)),0))&gt;0.000001) OR (X."&amp;F314&amp;" IS NULL AND Y."&amp;F314&amp;"_SIMUL IS NOT NULL ) OR (X."&amp;F314&amp;" IS NOT NULL AND Y."&amp;F314&amp;"_SIMUL IS NULL),1,0)) AS NUM_REG_DIF,'"&amp;MAX('ID1&amp;5'!K:K)+1&amp;"' AS ID_EXEC, CURRENT_TIMESTAMP() AS TIME_EXEC FROM "&amp;I314&amp;" INNER JOIN "&amp;J314&amp;" "&amp;K314,"SELECT '"&amp;UPPER(B314)&amp;"' AS TABELA, '"&amp;UPPER(C314)&amp;"' AS TIPOLOGIA_TESTE,'"&amp;D314&amp;"' AS TABELA_LT,'"&amp;E314&amp;"' AS TABELA_SIMUL,'"&amp;F314&amp;"' AS CAMPO, "&amp;"'${ref_date}' AS REF_DATE, COUNT(*) AS NUM_REG, SUM(IF(COALESCE(CAST(X."&amp;F314&amp;" AS STRING),'')&lt;&gt;COALESCE(CAST(Y."&amp;F314&amp;"_SIMUL AS STRING),'') OR (X."&amp;F314&amp;" IS NULL AND Y."&amp;F314&amp;"_SIMUL IS NOT NULL ) OR (X."&amp;F314&amp;" IS NOT NULL AND Y."&amp;F314&amp;"_SIMUL IS NULL),1,0)) AS NUM_REG_DIF,'"&amp;MAX('ID1&amp;5'!L:L)+1&amp;"' AS ID_EXEC, CURRENT_TIMESTAMP() AS TIME_EXEC FROM "&amp;I314&amp;" INNER JOIN "&amp;J314&amp;" "&amp;K314),
IF(C314="Validade",+IF(G314="Code List","SELECT '"&amp;UPPER(B314)&amp;"' AS TABELA, '"&amp;UPPER(C314)&amp;"' AS TIPOLOGIA_TESTE,'"&amp;D314&amp;"' AS TABELA_LT,'N/A' AS TABELA_SIMUL,'"&amp;F314&amp;"' AS CAMPO, "&amp;"'${ref_date}' AS REF_DATE, COUNT(*) AS NUM_REG, SUM(IF(TRIM(CAST(X."&amp;F314&amp;" AS STRING))='' OR TRIM(CAST(X."&amp;F314&amp;" AS STRING)) IS NULL OR CAST(X."&amp;F314&amp;" AS STRING) NOT "&amp;H314&amp;",1,0)) AS NUM_REG_DIF,'"&amp;MAX('ID1&amp;5'!K:K)+1&amp;"' AS ID_EXEC, CURRENT_TIMESTAMP() AS TIME_EXEC FROM "&amp;I314,"SELECT '"&amp;UPPER(B314)&amp;"' AS TABELA, '"&amp;UPPER(C314)&amp;"' AS TIPOLOGIA_TESTE,'"&amp;D314&amp;"' AS TABELA_LT,'N/A' AS TABELA_SIMUL,'"&amp;F314&amp;"' AS CAMPO, "&amp;"'${ref_date}' AS REF_DATE, COUNT(*) AS NUM_REG, SUM(IF(TRIM(CAST(X."&amp;F314&amp;" AS STRING))='' OR TRIM(CAST(X."&amp;F314&amp;" AS STRING)) IS NULL,1,0)) AS NUM_REG_DIF,'"&amp;MAX('ID1&amp;5'!K:K)+1&amp;"' AS ID_EXEC, CURRENT_TIMESTAMP() AS TIME_EXEC FROM "&amp;I314),
IF(C314="Caracteres Especiais",+"SELECT '"&amp;UPPER(B314)&amp;"' AS TABELA, '"&amp;UPPER(C314)&amp;"' AS TIPOLOGIA_TESTE,'"&amp;D314&amp;"' AS TABELA_LT,'N/A' AS TABELA_SIMUL,'"&amp;F314&amp;"' AS CAMPO, "&amp;"'${ref_date}' AS REF_DATE, COUNT(*) AS NUM_REG, SUM(IF(REGEXP_REPLACE(TRIM(CAST(X."&amp;F314&amp;" AS STRING)),'[^a-zA-Z0-9_\\s]','') &lt;&gt;TRIM(CAST(X."&amp;F314&amp;" AS STRING)),1,0)) AS NUM_REG_DIF,'"&amp;MAX('ID1&amp;5'!K:K)+1&amp;"' AS ID_EXEC, CURRENT_TIMESTAMP() AS TIME_EXEC FROM "&amp;I314,
IF(C314="Missings",+"SELECT '"&amp;UPPER(B314)&amp;"' AS TABELA, '"&amp;UPPER(C314)&amp;"' AS TIPOLOGIA_TESTE,'"&amp;D314&amp;"' AS TABELA_LT,'N/A' AS TABELA_SIMUL,'"&amp;F314&amp;"' AS CAMPO, "&amp;"'${ref_date}' AS REF_DATE, COUNT(*) AS NUM_REG, SUM(IF(TRIM(CAST(X."&amp;F314&amp;" AS STRING)) IN ('0000-00-00','0001-01-01','9999-12-31','MISS','00000','99999999999','99999999999.00','99999999999.000000'),1,0)) AS NUM_REG_DIF,'"&amp;MAX('ID1&amp;5'!K:K)+1&amp;"' AS ID_EXEC, CURRENT_TIMESTAMP() AS TIME_EXEC FROM "&amp;I314,
IF(C314="Not applicable",+"SELECT '"&amp;UPPER(B314)&amp;"' AS TABELA, '"&amp;UPPER(C314)&amp;"' AS TIPOLOGIA_TESTE,'"&amp;D314&amp;"' AS TABELA_LT,'N/A' AS TABELA_SIMUL,'"&amp;F314&amp;"' AS CAMPO, "&amp;"'${ref_date}' AS REF_DATE, COUNT(*) AS NUM_REG, SUM(IF(TRIM(CAST(X."&amp;F314&amp;" AS STRING)) IN ('N/A','11111111111','11111111111.00','11111111111.000000','1111-11-11'),1,0)) AS NUM_REG_DIF,'"&amp;MAX('ID1&amp;5'!K:K)+1&amp;"' AS ID_EXEC, CURRENT_TIMESTAMP() AS TIME_EXEC FROM "&amp;I314,
IF(C314="Valores extremos",+"SELECT '"&amp;UPPER(B314)&amp;"' AS TABELA, '"&amp;UPPER(C314)&amp;"' AS TIPOLOGIA_TESTE,'"&amp;D314&amp;"' AS TABELA_LT,'N/A' AS TABELA_SIMUL,'"&amp;F314&amp;"' AS CAMPO, "&amp;"'${ref_date}' AS REF_DATE, CAST(MIN("&amp;F314&amp;") AS STRING) AS VALOR_MIN, CAST(MAX("&amp;F314&amp;") AS STRING) AS VALOR_MAX,'"&amp;MAX('ID1&amp;5'!K:K)+1&amp;"' AS ID_EXEC, CURRENT_TIMESTAMP() AS TIME_EXEC FROM "&amp;MID(I314,1,LEN(I314)-2)&amp;" AND CAST("&amp;F314&amp;"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TABELA_SIMUL,'interest_rate_cap' AS CAMPO, '${ref_date}' AS REF_DATE, COUNT(*) AS NUM_REG, SUM(IF(COALESCE(CAST(X.interest_rate_cap AS STRING),'')&lt;&gt;COALESCE(CAST(Y.interest_rate_cap_SIMUL AS STRING),'') OR (X.interest_rate_cap IS NULL AND Y.interest_rate_cap_SIMUL IS NOT NULL ) OR (X.interest_rate_cap IS NOT NULL AND Y.interest_rate_cap_SIMUL IS NULL),1,0)) AS NUM_REG_DIF,'1' AS ID_EXEC, CURRENT_TIMESTAMP() AS TIME_EXEC FROM (SELECT instrmnt_id, interest_rate_cap FROM BU_LOANTAPE_WORK.LT002_INSTRUMENT WHERE ref_date='${ref_date}' AND nome_perimetro='Individual Local' AND segmento='ESTR' AND ambito='SRB_MBDT' AND entidade='00100')X INNER JOIN (SELECT instrmnt_id AS instrmnt_id_SIMUL, interest_rate_cap AS interest_rate_cap_SIMUL FROM BU_LOANTAPE_WORK.SIMUL_LT002_INSTRUMENT WHERE ref_date='${ref_date}' AND nome_perimetro='Individual Local' AND segmento='ESTR' AND ambito='PILAR3' AND entidade='00100')Y ON X.INSTRMNT_ID=Y.INSTRMNT_ID_SIMUL</v>
      </c>
      <c r="M314" s="36" t="str">
        <f t="shared" si="7"/>
        <v>UNION ALL SELECT 'INSTRUMENT' AS TABELA, 'COERÊNCIA' AS TIPOLOGIA_TESTE,'BU_LOANTAPE_WORK.LT002_INSTRUMENT' AS TABELA_LT,'BU_LOANTAPE_WORK.SIMUL_LT002_INSTRUMENT' AS TABELA_SIMUL,'interest_rate_cap' AS CAMPO, '${ref_date}' AS REF_DATE, COUNT(*) AS NUM_REG, SUM(IF(COALESCE(CAST(X.interest_rate_cap AS STRING),'')&lt;&gt;COALESCE(CAST(Y.interest_rate_cap_SIMUL AS STRING),'') OR (X.interest_rate_cap IS NULL AND Y.interest_rate_cap_SIMUL IS NOT NULL ) OR (X.interest_rate_cap IS NOT NULL AND Y.interest_rate_cap_SIMUL IS NULL),1,0)) AS NUM_REG_DIF,'1' AS ID_EXEC, CURRENT_TIMESTAMP() AS TIME_EXEC FROM (SELECT instrmnt_id, interest_rate_cap FROM BU_LOANTAPE_WORK.LT002_INSTRUMENT WHERE ref_date='${ref_date}' AND nome_perimetro='Individual Local' AND segmento='ESTR' AND ambito='SRB_MBDT' AND entidade='00100')X INNER JOIN (SELECT instrmnt_id AS instrmnt_id_SIMUL, interest_rate_cap AS interest_rate_cap_SIMUL FROM BU_LOANTAPE_WORK.SIMUL_LT002_INSTRUMENT WHERE ref_date='${ref_date}' AND nome_perimetro='Individual Local' AND segmento='ESTR' AND ambito='PILAR3' AND entidade='00100')Y ON X.INSTRMNT_ID=Y.INSTRMNT_ID_SIMUL</v>
      </c>
      <c r="N314" s="38"/>
    </row>
    <row r="315" spans="2:14">
      <c r="B315" s="34" t="s">
        <v>117</v>
      </c>
      <c r="C315" s="34" t="s">
        <v>5</v>
      </c>
      <c r="D315" s="34" t="str">
        <f>+UPPER('0. Instruções'!$D$35&amp;"."&amp;VLOOKUP(B315,'0. Instruções'!$C$27:$D$32,2,FALSE))</f>
        <v>BU_LOANTAPE_WORK.LT002_INSTRUMENT</v>
      </c>
      <c r="E315" s="34" t="str">
        <f>+UPPER('0. Instruções'!$D$36&amp;"."&amp;VLOOKUP(B315,'0. Instruções'!$C$27:$E$32,3,FALSE))</f>
        <v>BU_LOANTAPE_WORK.SIMUL_LT002_INSTRUMENT</v>
      </c>
      <c r="F315" s="34" t="s">
        <v>1355</v>
      </c>
      <c r="G315" s="34"/>
      <c r="H315" s="34"/>
      <c r="I315" s="34" t="str">
        <f>"(SELECT "&amp;VLOOKUP(B315,'0. Instruções'!$C$27:$G$32,4,FALSE)&amp;", "&amp;F315&amp;" FROM "&amp;D315&amp;" WHERE "&amp;'0. Instruções'!$D$42&amp;")X"</f>
        <v>(SELECT instrmnt_id, interest_rate_floor FROM BU_LOANTAPE_WORK.LT002_INSTRUMENT WHERE ref_date='${ref_date}' AND nome_perimetro='Individual Local' AND segmento='ESTR' AND ambito='SRB_MBDT' AND entidade='00100')X</v>
      </c>
      <c r="J315" s="34" t="str">
        <f>"(SELECT "&amp;VLOOKUP(B315,'0. Instruções'!$C$27:$G$32,4,FALSE)&amp;" AS "&amp;VLOOKUP(B315,'0. Instruções'!$C$27:$G$32,4,FALSE)&amp;"_SIMUL, "&amp;F315&amp;" AS "&amp;F315&amp;"_SIMUL FROM "&amp;E315&amp;" WHERE "&amp;'0. Instruções'!$D$43&amp;")Y"</f>
        <v>(SELECT instrmnt_id AS instrmnt_id_SIMUL, interest_rate_floor AS interest_rate_floor_SIMUL FROM BU_LOANTAPE_WORK.SIMUL_LT002_INSTRUMENT WHERE ref_date='${ref_date}' AND nome_perimetro='Individual Local' AND segmento='ESTR' AND ambito='PILAR3' AND entidade='00100')Y</v>
      </c>
      <c r="K315" s="35" t="str">
        <f>+UPPER("ON X."&amp;VLOOKUP(B315,'0. Instruções'!$C$27:$G$32,4,FALSE)&amp;"=Y."&amp;VLOOKUP(B315,'0. Instruções'!$C$27:$G$32,4,FALSE)&amp;"_SIMUL")</f>
        <v>ON X.INSTRMNT_ID=Y.INSTRMNT_ID_SIMUL</v>
      </c>
      <c r="L315" s="35" t="str">
        <f>+IF(C315="Coerência", +IF(LEFT(G315,5)="FLOAT","SELECT '"&amp;UPPER(B315)&amp;"' AS TABELA, '"&amp;UPPER(C315)&amp;"' AS TIPOLOGIA_TESTE,'"&amp;D315&amp;"' AS TABELA_LT,'"&amp;E315&amp;"' AS TABELA_SIMUL,'"&amp;F315&amp;"' AS CAMPO, "&amp;"'${ref_date}' AS REF_DATE, COUNT(*) AS NUM_REG, SUM(IF((ABS(COALESCE(CAST(X."&amp;F315&amp;" AS DECIMAL(18,6)),0)-COALESCE(CAST(Y."&amp;F315&amp;"_SIMUL AS DECIMAL(18,6)),0))&gt;0.000001) OR (X."&amp;F315&amp;" IS NULL AND Y."&amp;F315&amp;"_SIMUL IS NOT NULL ) OR (X."&amp;F315&amp;" IS NOT NULL AND Y."&amp;F315&amp;"_SIMUL IS NULL),1,0)) AS NUM_REG_DIF,'"&amp;MAX('ID1&amp;5'!K:K)+1&amp;"' AS ID_EXEC, CURRENT_TIMESTAMP() AS TIME_EXEC FROM "&amp;I315&amp;" INNER JOIN "&amp;J315&amp;" "&amp;K315,"SELECT '"&amp;UPPER(B315)&amp;"' AS TABELA, '"&amp;UPPER(C315)&amp;"' AS TIPOLOGIA_TESTE,'"&amp;D315&amp;"' AS TABELA_LT,'"&amp;E315&amp;"' AS TABELA_SIMUL,'"&amp;F315&amp;"' AS CAMPO, "&amp;"'${ref_date}' AS REF_DATE, COUNT(*) AS NUM_REG, SUM(IF(COALESCE(CAST(X."&amp;F315&amp;" AS STRING),'')&lt;&gt;COALESCE(CAST(Y."&amp;F315&amp;"_SIMUL AS STRING),'') OR (X."&amp;F315&amp;" IS NULL AND Y."&amp;F315&amp;"_SIMUL IS NOT NULL ) OR (X."&amp;F315&amp;" IS NOT NULL AND Y."&amp;F315&amp;"_SIMUL IS NULL),1,0)) AS NUM_REG_DIF,'"&amp;MAX('ID1&amp;5'!L:L)+1&amp;"' AS ID_EXEC, CURRENT_TIMESTAMP() AS TIME_EXEC FROM "&amp;I315&amp;" INNER JOIN "&amp;J315&amp;" "&amp;K315),
IF(C315="Validade",+IF(G315="Code List","SELECT '"&amp;UPPER(B315)&amp;"' AS TABELA, '"&amp;UPPER(C315)&amp;"' AS TIPOLOGIA_TESTE,'"&amp;D315&amp;"' AS TABELA_LT,'N/A' AS TABELA_SIMUL,'"&amp;F315&amp;"' AS CAMPO, "&amp;"'${ref_date}' AS REF_DATE, COUNT(*) AS NUM_REG, SUM(IF(TRIM(CAST(X."&amp;F315&amp;" AS STRING))='' OR TRIM(CAST(X."&amp;F315&amp;" AS STRING)) IS NULL OR CAST(X."&amp;F315&amp;" AS STRING) NOT "&amp;H315&amp;",1,0)) AS NUM_REG_DIF,'"&amp;MAX('ID1&amp;5'!K:K)+1&amp;"' AS ID_EXEC, CURRENT_TIMESTAMP() AS TIME_EXEC FROM "&amp;I315,"SELECT '"&amp;UPPER(B315)&amp;"' AS TABELA, '"&amp;UPPER(C315)&amp;"' AS TIPOLOGIA_TESTE,'"&amp;D315&amp;"' AS TABELA_LT,'N/A' AS TABELA_SIMUL,'"&amp;F315&amp;"' AS CAMPO, "&amp;"'${ref_date}' AS REF_DATE, COUNT(*) AS NUM_REG, SUM(IF(TRIM(CAST(X."&amp;F315&amp;" AS STRING))='' OR TRIM(CAST(X."&amp;F315&amp;" AS STRING)) IS NULL,1,0)) AS NUM_REG_DIF,'"&amp;MAX('ID1&amp;5'!K:K)+1&amp;"' AS ID_EXEC, CURRENT_TIMESTAMP() AS TIME_EXEC FROM "&amp;I315),
IF(C315="Caracteres Especiais",+"SELECT '"&amp;UPPER(B315)&amp;"' AS TABELA, '"&amp;UPPER(C315)&amp;"' AS TIPOLOGIA_TESTE,'"&amp;D315&amp;"' AS TABELA_LT,'N/A' AS TABELA_SIMUL,'"&amp;F315&amp;"' AS CAMPO, "&amp;"'${ref_date}' AS REF_DATE, COUNT(*) AS NUM_REG, SUM(IF(REGEXP_REPLACE(TRIM(CAST(X."&amp;F315&amp;" AS STRING)),'[^a-zA-Z0-9_\\s]','') &lt;&gt;TRIM(CAST(X."&amp;F315&amp;" AS STRING)),1,0)) AS NUM_REG_DIF,'"&amp;MAX('ID1&amp;5'!K:K)+1&amp;"' AS ID_EXEC, CURRENT_TIMESTAMP() AS TIME_EXEC FROM "&amp;I315,
IF(C315="Missings",+"SELECT '"&amp;UPPER(B315)&amp;"' AS TABELA, '"&amp;UPPER(C315)&amp;"' AS TIPOLOGIA_TESTE,'"&amp;D315&amp;"' AS TABELA_LT,'N/A' AS TABELA_SIMUL,'"&amp;F315&amp;"' AS CAMPO, "&amp;"'${ref_date}' AS REF_DATE, COUNT(*) AS NUM_REG, SUM(IF(TRIM(CAST(X."&amp;F315&amp;" AS STRING)) IN ('0000-00-00','0001-01-01','9999-12-31','MISS','00000','99999999999','99999999999.00','99999999999.000000'),1,0)) AS NUM_REG_DIF,'"&amp;MAX('ID1&amp;5'!K:K)+1&amp;"' AS ID_EXEC, CURRENT_TIMESTAMP() AS TIME_EXEC FROM "&amp;I315,
IF(C315="Not applicable",+"SELECT '"&amp;UPPER(B315)&amp;"' AS TABELA, '"&amp;UPPER(C315)&amp;"' AS TIPOLOGIA_TESTE,'"&amp;D315&amp;"' AS TABELA_LT,'N/A' AS TABELA_SIMUL,'"&amp;F315&amp;"' AS CAMPO, "&amp;"'${ref_date}' AS REF_DATE, COUNT(*) AS NUM_REG, SUM(IF(TRIM(CAST(X."&amp;F315&amp;" AS STRING)) IN ('N/A','11111111111','11111111111.00','11111111111.000000','1111-11-11'),1,0)) AS NUM_REG_DIF,'"&amp;MAX('ID1&amp;5'!K:K)+1&amp;"' AS ID_EXEC, CURRENT_TIMESTAMP() AS TIME_EXEC FROM "&amp;I315,
IF(C315="Valores extremos",+"SELECT '"&amp;UPPER(B315)&amp;"' AS TABELA, '"&amp;UPPER(C315)&amp;"' AS TIPOLOGIA_TESTE,'"&amp;D315&amp;"' AS TABELA_LT,'N/A' AS TABELA_SIMUL,'"&amp;F315&amp;"' AS CAMPO, "&amp;"'${ref_date}' AS REF_DATE, CAST(MIN("&amp;F315&amp;") AS STRING) AS VALOR_MIN, CAST(MAX("&amp;F315&amp;") AS STRING) AS VALOR_MAX,'"&amp;MAX('ID1&amp;5'!K:K)+1&amp;"' AS ID_EXEC, CURRENT_TIMESTAMP() AS TIME_EXEC FROM "&amp;MID(I315,1,LEN(I315)-2)&amp;" AND CAST("&amp;F315&amp;"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TABELA_SIMUL,'interest_rate_floor' AS CAMPO, '${ref_date}' AS REF_DATE, COUNT(*) AS NUM_REG, SUM(IF(COALESCE(CAST(X.interest_rate_floor AS STRING),'')&lt;&gt;COALESCE(CAST(Y.interest_rate_floor_SIMUL AS STRING),'') OR (X.interest_rate_floor IS NULL AND Y.interest_rate_floor_SIMUL IS NOT NULL ) OR (X.interest_rate_floor IS NOT NULL AND Y.interest_rate_floor_SIMUL IS NULL),1,0)) AS NUM_REG_DIF,'1' AS ID_EXEC, CURRENT_TIMESTAMP() AS TIME_EXEC FROM (SELECT instrmnt_id, interest_rate_floor FROM BU_LOANTAPE_WORK.LT002_INSTRUMENT WHERE ref_date='${ref_date}' AND nome_perimetro='Individual Local' AND segmento='ESTR' AND ambito='SRB_MBDT' AND entidade='00100')X INNER JOIN (SELECT instrmnt_id AS instrmnt_id_SIMUL, interest_rate_floor AS interest_rate_floor_SIMUL FROM BU_LOANTAPE_WORK.SIMUL_LT002_INSTRUMENT WHERE ref_date='${ref_date}' AND nome_perimetro='Individual Local' AND segmento='ESTR' AND ambito='PILAR3' AND entidade='00100')Y ON X.INSTRMNT_ID=Y.INSTRMNT_ID_SIMUL</v>
      </c>
      <c r="M315" s="36" t="str">
        <f t="shared" si="7"/>
        <v>UNION ALL SELECT 'INSTRUMENT' AS TABELA, 'COERÊNCIA' AS TIPOLOGIA_TESTE,'BU_LOANTAPE_WORK.LT002_INSTRUMENT' AS TABELA_LT,'BU_LOANTAPE_WORK.SIMUL_LT002_INSTRUMENT' AS TABELA_SIMUL,'interest_rate_floor' AS CAMPO, '${ref_date}' AS REF_DATE, COUNT(*) AS NUM_REG, SUM(IF(COALESCE(CAST(X.interest_rate_floor AS STRING),'')&lt;&gt;COALESCE(CAST(Y.interest_rate_floor_SIMUL AS STRING),'') OR (X.interest_rate_floor IS NULL AND Y.interest_rate_floor_SIMUL IS NOT NULL ) OR (X.interest_rate_floor IS NOT NULL AND Y.interest_rate_floor_SIMUL IS NULL),1,0)) AS NUM_REG_DIF,'1' AS ID_EXEC, CURRENT_TIMESTAMP() AS TIME_EXEC FROM (SELECT instrmnt_id, interest_rate_floor FROM BU_LOANTAPE_WORK.LT002_INSTRUMENT WHERE ref_date='${ref_date}' AND nome_perimetro='Individual Local' AND segmento='ESTR' AND ambito='SRB_MBDT' AND entidade='00100')X INNER JOIN (SELECT instrmnt_id AS instrmnt_id_SIMUL, interest_rate_floor AS interest_rate_floor_SIMUL FROM BU_LOANTAPE_WORK.SIMUL_LT002_INSTRUMENT WHERE ref_date='${ref_date}' AND nome_perimetro='Individual Local' AND segmento='ESTR' AND ambito='PILAR3' AND entidade='00100')Y ON X.INSTRMNT_ID=Y.INSTRMNT_ID_SIMUL</v>
      </c>
      <c r="N315" s="38"/>
    </row>
    <row r="316" spans="2:14">
      <c r="B316" s="34" t="s">
        <v>117</v>
      </c>
      <c r="C316" s="34" t="s">
        <v>5</v>
      </c>
      <c r="D316" s="34" t="str">
        <f>+UPPER('0. Instruções'!$D$35&amp;"."&amp;VLOOKUP(B316,'0. Instruções'!$C$27:$D$32,2,FALSE))</f>
        <v>BU_LOANTAPE_WORK.LT002_INSTRUMENT</v>
      </c>
      <c r="E316" s="34" t="str">
        <f>+UPPER('0. Instruções'!$D$36&amp;"."&amp;VLOOKUP(B316,'0. Instruções'!$C$27:$E$32,3,FALSE))</f>
        <v>BU_LOANTAPE_WORK.SIMUL_LT002_INSTRUMENT</v>
      </c>
      <c r="F316" s="34" t="s">
        <v>1356</v>
      </c>
      <c r="G316" s="34"/>
      <c r="H316" s="34"/>
      <c r="I316" s="34" t="str">
        <f>"(SELECT "&amp;VLOOKUP(B316,'0. Instruções'!$C$27:$G$32,4,FALSE)&amp;", "&amp;F316&amp;" FROM "&amp;D316&amp;" WHERE "&amp;'0. Instruções'!$D$42&amp;")X"</f>
        <v>(SELECT instrmnt_id, intrst_indxng FROM BU_LOANTAPE_WORK.LT002_INSTRUMENT WHERE ref_date='${ref_date}' AND nome_perimetro='Individual Local' AND segmento='ESTR' AND ambito='SRB_MBDT' AND entidade='00100')X</v>
      </c>
      <c r="J316" s="34" t="str">
        <f>"(SELECT "&amp;VLOOKUP(B316,'0. Instruções'!$C$27:$G$32,4,FALSE)&amp;" AS "&amp;VLOOKUP(B316,'0. Instruções'!$C$27:$G$32,4,FALSE)&amp;"_SIMUL, "&amp;F316&amp;" AS "&amp;F316&amp;"_SIMUL FROM "&amp;E316&amp;" WHERE "&amp;'0. Instruções'!$D$43&amp;")Y"</f>
        <v>(SELECT instrmnt_id AS instrmnt_id_SIMUL, intrst_indxng AS intrst_indxng_SIMUL FROM BU_LOANTAPE_WORK.SIMUL_LT002_INSTRUMENT WHERE ref_date='${ref_date}' AND nome_perimetro='Individual Local' AND segmento='ESTR' AND ambito='PILAR3' AND entidade='00100')Y</v>
      </c>
      <c r="K316" s="35" t="str">
        <f>+UPPER("ON X."&amp;VLOOKUP(B316,'0. Instruções'!$C$27:$G$32,4,FALSE)&amp;"=Y."&amp;VLOOKUP(B316,'0. Instruções'!$C$27:$G$32,4,FALSE)&amp;"_SIMUL")</f>
        <v>ON X.INSTRMNT_ID=Y.INSTRMNT_ID_SIMUL</v>
      </c>
      <c r="L316" s="35" t="str">
        <f>+IF(C316="Coerência", +IF(LEFT(G316,5)="FLOAT","SELECT '"&amp;UPPER(B316)&amp;"' AS TABELA, '"&amp;UPPER(C316)&amp;"' AS TIPOLOGIA_TESTE,'"&amp;D316&amp;"' AS TABELA_LT,'"&amp;E316&amp;"' AS TABELA_SIMUL,'"&amp;F316&amp;"' AS CAMPO, "&amp;"'${ref_date}' AS REF_DATE, COUNT(*) AS NUM_REG, SUM(IF((ABS(COALESCE(CAST(X."&amp;F316&amp;" AS DECIMAL(18,6)),0)-COALESCE(CAST(Y."&amp;F316&amp;"_SIMUL AS DECIMAL(18,6)),0))&gt;0.000001) OR (X."&amp;F316&amp;" IS NULL AND Y."&amp;F316&amp;"_SIMUL IS NOT NULL ) OR (X."&amp;F316&amp;" IS NOT NULL AND Y."&amp;F316&amp;"_SIMUL IS NULL),1,0)) AS NUM_REG_DIF,'"&amp;MAX('ID1&amp;5'!K:K)+1&amp;"' AS ID_EXEC, CURRENT_TIMESTAMP() AS TIME_EXEC FROM "&amp;I316&amp;" INNER JOIN "&amp;J316&amp;" "&amp;K316,"SELECT '"&amp;UPPER(B316)&amp;"' AS TABELA, '"&amp;UPPER(C316)&amp;"' AS TIPOLOGIA_TESTE,'"&amp;D316&amp;"' AS TABELA_LT,'"&amp;E316&amp;"' AS TABELA_SIMUL,'"&amp;F316&amp;"' AS CAMPO, "&amp;"'${ref_date}' AS REF_DATE, COUNT(*) AS NUM_REG, SUM(IF(COALESCE(CAST(X."&amp;F316&amp;" AS STRING),'')&lt;&gt;COALESCE(CAST(Y."&amp;F316&amp;"_SIMUL AS STRING),'') OR (X."&amp;F316&amp;" IS NULL AND Y."&amp;F316&amp;"_SIMUL IS NOT NULL ) OR (X."&amp;F316&amp;" IS NOT NULL AND Y."&amp;F316&amp;"_SIMUL IS NULL),1,0)) AS NUM_REG_DIF,'"&amp;MAX('ID1&amp;5'!L:L)+1&amp;"' AS ID_EXEC, CURRENT_TIMESTAMP() AS TIME_EXEC FROM "&amp;I316&amp;" INNER JOIN "&amp;J316&amp;" "&amp;K316),
IF(C316="Validade",+IF(G316="Code List","SELECT '"&amp;UPPER(B316)&amp;"' AS TABELA, '"&amp;UPPER(C316)&amp;"' AS TIPOLOGIA_TESTE,'"&amp;D316&amp;"' AS TABELA_LT,'N/A' AS TABELA_SIMUL,'"&amp;F316&amp;"' AS CAMPO, "&amp;"'${ref_date}' AS REF_DATE, COUNT(*) AS NUM_REG, SUM(IF(TRIM(CAST(X."&amp;F316&amp;" AS STRING))='' OR TRIM(CAST(X."&amp;F316&amp;" AS STRING)) IS NULL OR CAST(X."&amp;F316&amp;" AS STRING) NOT "&amp;H316&amp;",1,0)) AS NUM_REG_DIF,'"&amp;MAX('ID1&amp;5'!K:K)+1&amp;"' AS ID_EXEC, CURRENT_TIMESTAMP() AS TIME_EXEC FROM "&amp;I316,"SELECT '"&amp;UPPER(B316)&amp;"' AS TABELA, '"&amp;UPPER(C316)&amp;"' AS TIPOLOGIA_TESTE,'"&amp;D316&amp;"' AS TABELA_LT,'N/A' AS TABELA_SIMUL,'"&amp;F316&amp;"' AS CAMPO, "&amp;"'${ref_date}' AS REF_DATE, COUNT(*) AS NUM_REG, SUM(IF(TRIM(CAST(X."&amp;F316&amp;" AS STRING))='' OR TRIM(CAST(X."&amp;F316&amp;" AS STRING)) IS NULL,1,0)) AS NUM_REG_DIF,'"&amp;MAX('ID1&amp;5'!K:K)+1&amp;"' AS ID_EXEC, CURRENT_TIMESTAMP() AS TIME_EXEC FROM "&amp;I316),
IF(C316="Caracteres Especiais",+"SELECT '"&amp;UPPER(B316)&amp;"' AS TABELA, '"&amp;UPPER(C316)&amp;"' AS TIPOLOGIA_TESTE,'"&amp;D316&amp;"' AS TABELA_LT,'N/A' AS TABELA_SIMUL,'"&amp;F316&amp;"' AS CAMPO, "&amp;"'${ref_date}' AS REF_DATE, COUNT(*) AS NUM_REG, SUM(IF(REGEXP_REPLACE(TRIM(CAST(X."&amp;F316&amp;" AS STRING)),'[^a-zA-Z0-9_\\s]','') &lt;&gt;TRIM(CAST(X."&amp;F316&amp;" AS STRING)),1,0)) AS NUM_REG_DIF,'"&amp;MAX('ID1&amp;5'!K:K)+1&amp;"' AS ID_EXEC, CURRENT_TIMESTAMP() AS TIME_EXEC FROM "&amp;I316,
IF(C316="Missings",+"SELECT '"&amp;UPPER(B316)&amp;"' AS TABELA, '"&amp;UPPER(C316)&amp;"' AS TIPOLOGIA_TESTE,'"&amp;D316&amp;"' AS TABELA_LT,'N/A' AS TABELA_SIMUL,'"&amp;F316&amp;"' AS CAMPO, "&amp;"'${ref_date}' AS REF_DATE, COUNT(*) AS NUM_REG, SUM(IF(TRIM(CAST(X."&amp;F316&amp;" AS STRING)) IN ('0000-00-00','0001-01-01','9999-12-31','MISS','00000','99999999999','99999999999.00','99999999999.000000'),1,0)) AS NUM_REG_DIF,'"&amp;MAX('ID1&amp;5'!K:K)+1&amp;"' AS ID_EXEC, CURRENT_TIMESTAMP() AS TIME_EXEC FROM "&amp;I316,
IF(C316="Not applicable",+"SELECT '"&amp;UPPER(B316)&amp;"' AS TABELA, '"&amp;UPPER(C316)&amp;"' AS TIPOLOGIA_TESTE,'"&amp;D316&amp;"' AS TABELA_LT,'N/A' AS TABELA_SIMUL,'"&amp;F316&amp;"' AS CAMPO, "&amp;"'${ref_date}' AS REF_DATE, COUNT(*) AS NUM_REG, SUM(IF(TRIM(CAST(X."&amp;F316&amp;" AS STRING)) IN ('N/A','11111111111','11111111111.00','11111111111.000000','1111-11-11'),1,0)) AS NUM_REG_DIF,'"&amp;MAX('ID1&amp;5'!K:K)+1&amp;"' AS ID_EXEC, CURRENT_TIMESTAMP() AS TIME_EXEC FROM "&amp;I316,
IF(C316="Valores extremos",+"SELECT '"&amp;UPPER(B316)&amp;"' AS TABELA, '"&amp;UPPER(C316)&amp;"' AS TIPOLOGIA_TESTE,'"&amp;D316&amp;"' AS TABELA_LT,'N/A' AS TABELA_SIMUL,'"&amp;F316&amp;"' AS CAMPO, "&amp;"'${ref_date}' AS REF_DATE, CAST(MIN("&amp;F316&amp;") AS STRING) AS VALOR_MIN, CAST(MAX("&amp;F316&amp;") AS STRING) AS VALOR_MAX,'"&amp;MAX('ID1&amp;5'!K:K)+1&amp;"' AS ID_EXEC, CURRENT_TIMESTAMP() AS TIME_EXEC FROM "&amp;MID(I316,1,LEN(I316)-2)&amp;" AND CAST("&amp;F316&amp;"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TABELA_SIMUL,'intrst_indxng' AS CAMPO, '${ref_date}' AS REF_DATE, COUNT(*) AS NUM_REG, SUM(IF(COALESCE(CAST(X.intrst_indxng AS STRING),'')&lt;&gt;COALESCE(CAST(Y.intrst_indxng_SIMUL AS STRING),'') OR (X.intrst_indxng IS NULL AND Y.intrst_indxng_SIMUL IS NOT NULL ) OR (X.intrst_indxng IS NOT NULL AND Y.intrst_indxng_SIMUL IS NULL),1,0)) AS NUM_REG_DIF,'1' AS ID_EXEC, CURRENT_TIMESTAMP() AS TIME_EXEC FROM (SELECT instrmnt_id, intrst_indxng FROM BU_LOANTAPE_WORK.LT002_INSTRUMENT WHERE ref_date='${ref_date}' AND nome_perimetro='Individual Local' AND segmento='ESTR' AND ambito='SRB_MBDT' AND entidade='00100')X INNER JOIN (SELECT instrmnt_id AS instrmnt_id_SIMUL, intrst_indxng AS intrst_indxng_SIMUL FROM BU_LOANTAPE_WORK.SIMUL_LT002_INSTRUMENT WHERE ref_date='${ref_date}' AND nome_perimetro='Individual Local' AND segmento='ESTR' AND ambito='PILAR3' AND entidade='00100')Y ON X.INSTRMNT_ID=Y.INSTRMNT_ID_SIMUL</v>
      </c>
      <c r="M316" s="36" t="str">
        <f t="shared" si="7"/>
        <v>UNION ALL SELECT 'INSTRUMENT' AS TABELA, 'COERÊNCIA' AS TIPOLOGIA_TESTE,'BU_LOANTAPE_WORK.LT002_INSTRUMENT' AS TABELA_LT,'BU_LOANTAPE_WORK.SIMUL_LT002_INSTRUMENT' AS TABELA_SIMUL,'intrst_indxng' AS CAMPO, '${ref_date}' AS REF_DATE, COUNT(*) AS NUM_REG, SUM(IF(COALESCE(CAST(X.intrst_indxng AS STRING),'')&lt;&gt;COALESCE(CAST(Y.intrst_indxng_SIMUL AS STRING),'') OR (X.intrst_indxng IS NULL AND Y.intrst_indxng_SIMUL IS NOT NULL ) OR (X.intrst_indxng IS NOT NULL AND Y.intrst_indxng_SIMUL IS NULL),1,0)) AS NUM_REG_DIF,'1' AS ID_EXEC, CURRENT_TIMESTAMP() AS TIME_EXEC FROM (SELECT instrmnt_id, intrst_indxng FROM BU_LOANTAPE_WORK.LT002_INSTRUMENT WHERE ref_date='${ref_date}' AND nome_perimetro='Individual Local' AND segmento='ESTR' AND ambito='SRB_MBDT' AND entidade='00100')X INNER JOIN (SELECT instrmnt_id AS instrmnt_id_SIMUL, intrst_indxng AS intrst_indxng_SIMUL FROM BU_LOANTAPE_WORK.SIMUL_LT002_INSTRUMENT WHERE ref_date='${ref_date}' AND nome_perimetro='Individual Local' AND segmento='ESTR' AND ambito='PILAR3' AND entidade='00100')Y ON X.INSTRMNT_ID=Y.INSTRMNT_ID_SIMUL</v>
      </c>
      <c r="N316" s="38"/>
    </row>
    <row r="317" spans="2:14">
      <c r="B317" s="34" t="s">
        <v>117</v>
      </c>
      <c r="C317" s="34" t="s">
        <v>5</v>
      </c>
      <c r="D317" s="34" t="str">
        <f>+UPPER('0. Instruções'!$D$35&amp;"."&amp;VLOOKUP(B317,'0. Instruções'!$C$27:$D$32,2,FALSE))</f>
        <v>BU_LOANTAPE_WORK.LT002_INSTRUMENT</v>
      </c>
      <c r="E317" s="34" t="str">
        <f>+UPPER('0. Instruções'!$D$36&amp;"."&amp;VLOOKUP(B317,'0. Instruções'!$C$27:$E$32,3,FALSE))</f>
        <v>BU_LOANTAPE_WORK.SIMUL_LT002_INSTRUMENT</v>
      </c>
      <c r="F317" s="34" t="s">
        <v>1357</v>
      </c>
      <c r="G317" s="34"/>
      <c r="H317" s="34"/>
      <c r="I317" s="34" t="str">
        <f>"(SELECT "&amp;VLOOKUP(B317,'0. Instruções'!$C$27:$G$32,4,FALSE)&amp;", "&amp;F317&amp;" FROM "&amp;D317&amp;" WHERE "&amp;'0. Instruções'!$D$42&amp;")X"</f>
        <v>(SELECT instrmnt_id, settlement_date FROM BU_LOANTAPE_WORK.LT002_INSTRUMENT WHERE ref_date='${ref_date}' AND nome_perimetro='Individual Local' AND segmento='ESTR' AND ambito='SRB_MBDT' AND entidade='00100')X</v>
      </c>
      <c r="J317" s="34" t="str">
        <f>"(SELECT "&amp;VLOOKUP(B317,'0. Instruções'!$C$27:$G$32,4,FALSE)&amp;" AS "&amp;VLOOKUP(B317,'0. Instruções'!$C$27:$G$32,4,FALSE)&amp;"_SIMUL, "&amp;F317&amp;" AS "&amp;F317&amp;"_SIMUL FROM "&amp;E317&amp;" WHERE "&amp;'0. Instruções'!$D$43&amp;")Y"</f>
        <v>(SELECT instrmnt_id AS instrmnt_id_SIMUL, settlement_date AS settlement_date_SIMUL FROM BU_LOANTAPE_WORK.SIMUL_LT002_INSTRUMENT WHERE ref_date='${ref_date}' AND nome_perimetro='Individual Local' AND segmento='ESTR' AND ambito='PILAR3' AND entidade='00100')Y</v>
      </c>
      <c r="K317" s="35" t="str">
        <f>+UPPER("ON X."&amp;VLOOKUP(B317,'0. Instruções'!$C$27:$G$32,4,FALSE)&amp;"=Y."&amp;VLOOKUP(B317,'0. Instruções'!$C$27:$G$32,4,FALSE)&amp;"_SIMUL")</f>
        <v>ON X.INSTRMNT_ID=Y.INSTRMNT_ID_SIMUL</v>
      </c>
      <c r="L317" s="35" t="str">
        <f>+IF(C317="Coerência", +IF(LEFT(G317,5)="FLOAT","SELECT '"&amp;UPPER(B317)&amp;"' AS TABELA, '"&amp;UPPER(C317)&amp;"' AS TIPOLOGIA_TESTE,'"&amp;D317&amp;"' AS TABELA_LT,'"&amp;E317&amp;"' AS TABELA_SIMUL,'"&amp;F317&amp;"' AS CAMPO, "&amp;"'${ref_date}' AS REF_DATE, COUNT(*) AS NUM_REG, SUM(IF((ABS(COALESCE(CAST(X."&amp;F317&amp;" AS DECIMAL(18,6)),0)-COALESCE(CAST(Y."&amp;F317&amp;"_SIMUL AS DECIMAL(18,6)),0))&gt;0.000001) OR (X."&amp;F317&amp;" IS NULL AND Y."&amp;F317&amp;"_SIMUL IS NOT NULL ) OR (X."&amp;F317&amp;" IS NOT NULL AND Y."&amp;F317&amp;"_SIMUL IS NULL),1,0)) AS NUM_REG_DIF,'"&amp;MAX('ID1&amp;5'!K:K)+1&amp;"' AS ID_EXEC, CURRENT_TIMESTAMP() AS TIME_EXEC FROM "&amp;I317&amp;" INNER JOIN "&amp;J317&amp;" "&amp;K317,"SELECT '"&amp;UPPER(B317)&amp;"' AS TABELA, '"&amp;UPPER(C317)&amp;"' AS TIPOLOGIA_TESTE,'"&amp;D317&amp;"' AS TABELA_LT,'"&amp;E317&amp;"' AS TABELA_SIMUL,'"&amp;F317&amp;"' AS CAMPO, "&amp;"'${ref_date}' AS REF_DATE, COUNT(*) AS NUM_REG, SUM(IF(COALESCE(CAST(X."&amp;F317&amp;" AS STRING),'')&lt;&gt;COALESCE(CAST(Y."&amp;F317&amp;"_SIMUL AS STRING),'') OR (X."&amp;F317&amp;" IS NULL AND Y."&amp;F317&amp;"_SIMUL IS NOT NULL ) OR (X."&amp;F317&amp;" IS NOT NULL AND Y."&amp;F317&amp;"_SIMUL IS NULL),1,0)) AS NUM_REG_DIF,'"&amp;MAX('ID1&amp;5'!L:L)+1&amp;"' AS ID_EXEC, CURRENT_TIMESTAMP() AS TIME_EXEC FROM "&amp;I317&amp;" INNER JOIN "&amp;J317&amp;" "&amp;K317),
IF(C317="Validade",+IF(G317="Code List","SELECT '"&amp;UPPER(B317)&amp;"' AS TABELA, '"&amp;UPPER(C317)&amp;"' AS TIPOLOGIA_TESTE,'"&amp;D317&amp;"' AS TABELA_LT,'N/A' AS TABELA_SIMUL,'"&amp;F317&amp;"' AS CAMPO, "&amp;"'${ref_date}' AS REF_DATE, COUNT(*) AS NUM_REG, SUM(IF(TRIM(CAST(X."&amp;F317&amp;" AS STRING))='' OR TRIM(CAST(X."&amp;F317&amp;" AS STRING)) IS NULL OR CAST(X."&amp;F317&amp;" AS STRING) NOT "&amp;H317&amp;",1,0)) AS NUM_REG_DIF,'"&amp;MAX('ID1&amp;5'!K:K)+1&amp;"' AS ID_EXEC, CURRENT_TIMESTAMP() AS TIME_EXEC FROM "&amp;I317,"SELECT '"&amp;UPPER(B317)&amp;"' AS TABELA, '"&amp;UPPER(C317)&amp;"' AS TIPOLOGIA_TESTE,'"&amp;D317&amp;"' AS TABELA_LT,'N/A' AS TABELA_SIMUL,'"&amp;F317&amp;"' AS CAMPO, "&amp;"'${ref_date}' AS REF_DATE, COUNT(*) AS NUM_REG, SUM(IF(TRIM(CAST(X."&amp;F317&amp;" AS STRING))='' OR TRIM(CAST(X."&amp;F317&amp;" AS STRING)) IS NULL,1,0)) AS NUM_REG_DIF,'"&amp;MAX('ID1&amp;5'!K:K)+1&amp;"' AS ID_EXEC, CURRENT_TIMESTAMP() AS TIME_EXEC FROM "&amp;I317),
IF(C317="Caracteres Especiais",+"SELECT '"&amp;UPPER(B317)&amp;"' AS TABELA, '"&amp;UPPER(C317)&amp;"' AS TIPOLOGIA_TESTE,'"&amp;D317&amp;"' AS TABELA_LT,'N/A' AS TABELA_SIMUL,'"&amp;F317&amp;"' AS CAMPO, "&amp;"'${ref_date}' AS REF_DATE, COUNT(*) AS NUM_REG, SUM(IF(REGEXP_REPLACE(TRIM(CAST(X."&amp;F317&amp;" AS STRING)),'[^a-zA-Z0-9_\\s]','') &lt;&gt;TRIM(CAST(X."&amp;F317&amp;" AS STRING)),1,0)) AS NUM_REG_DIF,'"&amp;MAX('ID1&amp;5'!K:K)+1&amp;"' AS ID_EXEC, CURRENT_TIMESTAMP() AS TIME_EXEC FROM "&amp;I317,
IF(C317="Missings",+"SELECT '"&amp;UPPER(B317)&amp;"' AS TABELA, '"&amp;UPPER(C317)&amp;"' AS TIPOLOGIA_TESTE,'"&amp;D317&amp;"' AS TABELA_LT,'N/A' AS TABELA_SIMUL,'"&amp;F317&amp;"' AS CAMPO, "&amp;"'${ref_date}' AS REF_DATE, COUNT(*) AS NUM_REG, SUM(IF(TRIM(CAST(X."&amp;F317&amp;" AS STRING)) IN ('0000-00-00','0001-01-01','9999-12-31','MISS','00000','99999999999','99999999999.00','99999999999.000000'),1,0)) AS NUM_REG_DIF,'"&amp;MAX('ID1&amp;5'!K:K)+1&amp;"' AS ID_EXEC, CURRENT_TIMESTAMP() AS TIME_EXEC FROM "&amp;I317,
IF(C317="Not applicable",+"SELECT '"&amp;UPPER(B317)&amp;"' AS TABELA, '"&amp;UPPER(C317)&amp;"' AS TIPOLOGIA_TESTE,'"&amp;D317&amp;"' AS TABELA_LT,'N/A' AS TABELA_SIMUL,'"&amp;F317&amp;"' AS CAMPO, "&amp;"'${ref_date}' AS REF_DATE, COUNT(*) AS NUM_REG, SUM(IF(TRIM(CAST(X."&amp;F317&amp;" AS STRING)) IN ('N/A','11111111111','11111111111.00','11111111111.000000','1111-11-11'),1,0)) AS NUM_REG_DIF,'"&amp;MAX('ID1&amp;5'!K:K)+1&amp;"' AS ID_EXEC, CURRENT_TIMESTAMP() AS TIME_EXEC FROM "&amp;I317,
IF(C317="Valores extremos",+"SELECT '"&amp;UPPER(B317)&amp;"' AS TABELA, '"&amp;UPPER(C317)&amp;"' AS TIPOLOGIA_TESTE,'"&amp;D317&amp;"' AS TABELA_LT,'N/A' AS TABELA_SIMUL,'"&amp;F317&amp;"' AS CAMPO, "&amp;"'${ref_date}' AS REF_DATE, CAST(MIN("&amp;F317&amp;") AS STRING) AS VALOR_MIN, CAST(MAX("&amp;F317&amp;") AS STRING) AS VALOR_MAX,'"&amp;MAX('ID1&amp;5'!K:K)+1&amp;"' AS ID_EXEC, CURRENT_TIMESTAMP() AS TIME_EXEC FROM "&amp;MID(I317,1,LEN(I317)-2)&amp;" AND CAST("&amp;F317&amp;"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TABELA_SIMUL,'settlement_date' AS CAMPO, '${ref_date}' AS REF_DATE, COUNT(*) AS NUM_REG, SUM(IF(COALESCE(CAST(X.settlement_date AS STRING),'')&lt;&gt;COALESCE(CAST(Y.settlement_date_SIMUL AS STRING),'') OR (X.settlement_date IS NULL AND Y.settlement_date_SIMUL IS NOT NULL ) OR (X.settlement_date IS NOT NULL AND Y.settlement_date_SIMUL IS NULL),1,0)) AS NUM_REG_DIF,'1' AS ID_EXEC, CURRENT_TIMESTAMP() AS TIME_EXEC FROM (SELECT instrmnt_id, settlement_date FROM BU_LOANTAPE_WORK.LT002_INSTRUMENT WHERE ref_date='${ref_date}' AND nome_perimetro='Individual Local' AND segmento='ESTR' AND ambito='SRB_MBDT' AND entidade='00100')X INNER JOIN (SELECT instrmnt_id AS instrmnt_id_SIMUL, settlement_date AS settlement_date_SIMUL FROM BU_LOANTAPE_WORK.SIMUL_LT002_INSTRUMENT WHERE ref_date='${ref_date}' AND nome_perimetro='Individual Local' AND segmento='ESTR' AND ambito='PILAR3' AND entidade='00100')Y ON X.INSTRMNT_ID=Y.INSTRMNT_ID_SIMUL</v>
      </c>
      <c r="M317" s="36" t="str">
        <f t="shared" si="7"/>
        <v>UNION ALL SELECT 'INSTRUMENT' AS TABELA, 'COERÊNCIA' AS TIPOLOGIA_TESTE,'BU_LOANTAPE_WORK.LT002_INSTRUMENT' AS TABELA_LT,'BU_LOANTAPE_WORK.SIMUL_LT002_INSTRUMENT' AS TABELA_SIMUL,'settlement_date' AS CAMPO, '${ref_date}' AS REF_DATE, COUNT(*) AS NUM_REG, SUM(IF(COALESCE(CAST(X.settlement_date AS STRING),'')&lt;&gt;COALESCE(CAST(Y.settlement_date_SIMUL AS STRING),'') OR (X.settlement_date IS NULL AND Y.settlement_date_SIMUL IS NOT NULL ) OR (X.settlement_date IS NOT NULL AND Y.settlement_date_SIMUL IS NULL),1,0)) AS NUM_REG_DIF,'1' AS ID_EXEC, CURRENT_TIMESTAMP() AS TIME_EXEC FROM (SELECT instrmnt_id, settlement_date FROM BU_LOANTAPE_WORK.LT002_INSTRUMENT WHERE ref_date='${ref_date}' AND nome_perimetro='Individual Local' AND segmento='ESTR' AND ambito='SRB_MBDT' AND entidade='00100')X INNER JOIN (SELECT instrmnt_id AS instrmnt_id_SIMUL, settlement_date AS settlement_date_SIMUL FROM BU_LOANTAPE_WORK.SIMUL_LT002_INSTRUMENT WHERE ref_date='${ref_date}' AND nome_perimetro='Individual Local' AND segmento='ESTR' AND ambito='PILAR3' AND entidade='00100')Y ON X.INSTRMNT_ID=Y.INSTRMNT_ID_SIMUL</v>
      </c>
      <c r="N317" s="38"/>
    </row>
    <row r="318" spans="2:14">
      <c r="B318" s="34" t="s">
        <v>117</v>
      </c>
      <c r="C318" s="34" t="s">
        <v>5</v>
      </c>
      <c r="D318" s="34" t="str">
        <f>+UPPER('0. Instruções'!$D$35&amp;"."&amp;VLOOKUP(B318,'0. Instruções'!$C$27:$D$32,2,FALSE))</f>
        <v>BU_LOANTAPE_WORK.LT002_INSTRUMENT</v>
      </c>
      <c r="E318" s="34" t="str">
        <f>+UPPER('0. Instruções'!$D$36&amp;"."&amp;VLOOKUP(B318,'0. Instruções'!$C$27:$E$32,3,FALSE))</f>
        <v>BU_LOANTAPE_WORK.SIMUL_LT002_INSTRUMENT</v>
      </c>
      <c r="F318" s="34" t="s">
        <v>1358</v>
      </c>
      <c r="G318" s="34"/>
      <c r="H318" s="34"/>
      <c r="I318" s="34" t="str">
        <f>"(SELECT "&amp;VLOOKUP(B318,'0. Instruções'!$C$27:$G$32,4,FALSE)&amp;", "&amp;F318&amp;" FROM "&amp;D318&amp;" WHERE "&amp;'0. Instruções'!$D$42&amp;")X"</f>
        <v>(SELECT instrmnt_id, transferred_amount FROM BU_LOANTAPE_WORK.LT002_INSTRUMENT WHERE ref_date='${ref_date}' AND nome_perimetro='Individual Local' AND segmento='ESTR' AND ambito='SRB_MBDT' AND entidade='00100')X</v>
      </c>
      <c r="J318" s="34" t="str">
        <f>"(SELECT "&amp;VLOOKUP(B318,'0. Instruções'!$C$27:$G$32,4,FALSE)&amp;" AS "&amp;VLOOKUP(B318,'0. Instruções'!$C$27:$G$32,4,FALSE)&amp;"_SIMUL, "&amp;F318&amp;" AS "&amp;F318&amp;"_SIMUL FROM "&amp;E318&amp;" WHERE "&amp;'0. Instruções'!$D$43&amp;")Y"</f>
        <v>(SELECT instrmnt_id AS instrmnt_id_SIMUL, transferred_amount AS transferred_amount_SIMUL FROM BU_LOANTAPE_WORK.SIMUL_LT002_INSTRUMENT WHERE ref_date='${ref_date}' AND nome_perimetro='Individual Local' AND segmento='ESTR' AND ambito='PILAR3' AND entidade='00100')Y</v>
      </c>
      <c r="K318" s="35" t="str">
        <f>+UPPER("ON X."&amp;VLOOKUP(B318,'0. Instruções'!$C$27:$G$32,4,FALSE)&amp;"=Y."&amp;VLOOKUP(B318,'0. Instruções'!$C$27:$G$32,4,FALSE)&amp;"_SIMUL")</f>
        <v>ON X.INSTRMNT_ID=Y.INSTRMNT_ID_SIMUL</v>
      </c>
      <c r="L318" s="35" t="str">
        <f>+IF(C318="Coerência", +IF(LEFT(G318,5)="FLOAT","SELECT '"&amp;UPPER(B318)&amp;"' AS TABELA, '"&amp;UPPER(C318)&amp;"' AS TIPOLOGIA_TESTE,'"&amp;D318&amp;"' AS TABELA_LT,'"&amp;E318&amp;"' AS TABELA_SIMUL,'"&amp;F318&amp;"' AS CAMPO, "&amp;"'${ref_date}' AS REF_DATE, COUNT(*) AS NUM_REG, SUM(IF((ABS(COALESCE(CAST(X."&amp;F318&amp;" AS DECIMAL(18,6)),0)-COALESCE(CAST(Y."&amp;F318&amp;"_SIMUL AS DECIMAL(18,6)),0))&gt;0.000001) OR (X."&amp;F318&amp;" IS NULL AND Y."&amp;F318&amp;"_SIMUL IS NOT NULL ) OR (X."&amp;F318&amp;" IS NOT NULL AND Y."&amp;F318&amp;"_SIMUL IS NULL),1,0)) AS NUM_REG_DIF,'"&amp;MAX('ID1&amp;5'!K:K)+1&amp;"' AS ID_EXEC, CURRENT_TIMESTAMP() AS TIME_EXEC FROM "&amp;I318&amp;" INNER JOIN "&amp;J318&amp;" "&amp;K318,"SELECT '"&amp;UPPER(B318)&amp;"' AS TABELA, '"&amp;UPPER(C318)&amp;"' AS TIPOLOGIA_TESTE,'"&amp;D318&amp;"' AS TABELA_LT,'"&amp;E318&amp;"' AS TABELA_SIMUL,'"&amp;F318&amp;"' AS CAMPO, "&amp;"'${ref_date}' AS REF_DATE, COUNT(*) AS NUM_REG, SUM(IF(COALESCE(CAST(X."&amp;F318&amp;" AS STRING),'')&lt;&gt;COALESCE(CAST(Y."&amp;F318&amp;"_SIMUL AS STRING),'') OR (X."&amp;F318&amp;" IS NULL AND Y."&amp;F318&amp;"_SIMUL IS NOT NULL ) OR (X."&amp;F318&amp;" IS NOT NULL AND Y."&amp;F318&amp;"_SIMUL IS NULL),1,0)) AS NUM_REG_DIF,'"&amp;MAX('ID1&amp;5'!L:L)+1&amp;"' AS ID_EXEC, CURRENT_TIMESTAMP() AS TIME_EXEC FROM "&amp;I318&amp;" INNER JOIN "&amp;J318&amp;" "&amp;K318),
IF(C318="Validade",+IF(G318="Code List","SELECT '"&amp;UPPER(B318)&amp;"' AS TABELA, '"&amp;UPPER(C318)&amp;"' AS TIPOLOGIA_TESTE,'"&amp;D318&amp;"' AS TABELA_LT,'N/A' AS TABELA_SIMUL,'"&amp;F318&amp;"' AS CAMPO, "&amp;"'${ref_date}' AS REF_DATE, COUNT(*) AS NUM_REG, SUM(IF(TRIM(CAST(X."&amp;F318&amp;" AS STRING))='' OR TRIM(CAST(X."&amp;F318&amp;" AS STRING)) IS NULL OR CAST(X."&amp;F318&amp;" AS STRING) NOT "&amp;H318&amp;",1,0)) AS NUM_REG_DIF,'"&amp;MAX('ID1&amp;5'!K:K)+1&amp;"' AS ID_EXEC, CURRENT_TIMESTAMP() AS TIME_EXEC FROM "&amp;I318,"SELECT '"&amp;UPPER(B318)&amp;"' AS TABELA, '"&amp;UPPER(C318)&amp;"' AS TIPOLOGIA_TESTE,'"&amp;D318&amp;"' AS TABELA_LT,'N/A' AS TABELA_SIMUL,'"&amp;F318&amp;"' AS CAMPO, "&amp;"'${ref_date}' AS REF_DATE, COUNT(*) AS NUM_REG, SUM(IF(TRIM(CAST(X."&amp;F318&amp;" AS STRING))='' OR TRIM(CAST(X."&amp;F318&amp;" AS STRING)) IS NULL,1,0)) AS NUM_REG_DIF,'"&amp;MAX('ID1&amp;5'!K:K)+1&amp;"' AS ID_EXEC, CURRENT_TIMESTAMP() AS TIME_EXEC FROM "&amp;I318),
IF(C318="Caracteres Especiais",+"SELECT '"&amp;UPPER(B318)&amp;"' AS TABELA, '"&amp;UPPER(C318)&amp;"' AS TIPOLOGIA_TESTE,'"&amp;D318&amp;"' AS TABELA_LT,'N/A' AS TABELA_SIMUL,'"&amp;F318&amp;"' AS CAMPO, "&amp;"'${ref_date}' AS REF_DATE, COUNT(*) AS NUM_REG, SUM(IF(REGEXP_REPLACE(TRIM(CAST(X."&amp;F318&amp;" AS STRING)),'[^a-zA-Z0-9_\\s]','') &lt;&gt;TRIM(CAST(X."&amp;F318&amp;" AS STRING)),1,0)) AS NUM_REG_DIF,'"&amp;MAX('ID1&amp;5'!K:K)+1&amp;"' AS ID_EXEC, CURRENT_TIMESTAMP() AS TIME_EXEC FROM "&amp;I318,
IF(C318="Missings",+"SELECT '"&amp;UPPER(B318)&amp;"' AS TABELA, '"&amp;UPPER(C318)&amp;"' AS TIPOLOGIA_TESTE,'"&amp;D318&amp;"' AS TABELA_LT,'N/A' AS TABELA_SIMUL,'"&amp;F318&amp;"' AS CAMPO, "&amp;"'${ref_date}' AS REF_DATE, COUNT(*) AS NUM_REG, SUM(IF(TRIM(CAST(X."&amp;F318&amp;" AS STRING)) IN ('0000-00-00','0001-01-01','9999-12-31','MISS','00000','99999999999','99999999999.00','99999999999.000000'),1,0)) AS NUM_REG_DIF,'"&amp;MAX('ID1&amp;5'!K:K)+1&amp;"' AS ID_EXEC, CURRENT_TIMESTAMP() AS TIME_EXEC FROM "&amp;I318,
IF(C318="Not applicable",+"SELECT '"&amp;UPPER(B318)&amp;"' AS TABELA, '"&amp;UPPER(C318)&amp;"' AS TIPOLOGIA_TESTE,'"&amp;D318&amp;"' AS TABELA_LT,'N/A' AS TABELA_SIMUL,'"&amp;F318&amp;"' AS CAMPO, "&amp;"'${ref_date}' AS REF_DATE, COUNT(*) AS NUM_REG, SUM(IF(TRIM(CAST(X."&amp;F318&amp;" AS STRING)) IN ('N/A','11111111111','11111111111.00','11111111111.000000','1111-11-11'),1,0)) AS NUM_REG_DIF,'"&amp;MAX('ID1&amp;5'!K:K)+1&amp;"' AS ID_EXEC, CURRENT_TIMESTAMP() AS TIME_EXEC FROM "&amp;I318,
IF(C318="Valores extremos",+"SELECT '"&amp;UPPER(B318)&amp;"' AS TABELA, '"&amp;UPPER(C318)&amp;"' AS TIPOLOGIA_TESTE,'"&amp;D318&amp;"' AS TABELA_LT,'N/A' AS TABELA_SIMUL,'"&amp;F318&amp;"' AS CAMPO, "&amp;"'${ref_date}' AS REF_DATE, CAST(MIN("&amp;F318&amp;") AS STRING) AS VALOR_MIN, CAST(MAX("&amp;F318&amp;") AS STRING) AS VALOR_MAX,'"&amp;MAX('ID1&amp;5'!K:K)+1&amp;"' AS ID_EXEC, CURRENT_TIMESTAMP() AS TIME_EXEC FROM "&amp;MID(I318,1,LEN(I318)-2)&amp;" AND CAST("&amp;F318&amp;"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TABELA_SIMUL,'transferred_amount' AS CAMPO, '${ref_date}' AS REF_DATE, COUNT(*) AS NUM_REG, SUM(IF(COALESCE(CAST(X.transferred_amount AS STRING),'')&lt;&gt;COALESCE(CAST(Y.transferred_amount_SIMUL AS STRING),'') OR (X.transferred_amount IS NULL AND Y.transferred_amount_SIMUL IS NOT NULL ) OR (X.transferred_amount IS NOT NULL AND Y.transferred_amount_SIMUL IS NULL),1,0)) AS NUM_REG_DIF,'1' AS ID_EXEC, CURRENT_TIMESTAMP() AS TIME_EXEC FROM (SELECT instrmnt_id, transferred_amount FROM BU_LOANTAPE_WORK.LT002_INSTRUMENT WHERE ref_date='${ref_date}' AND nome_perimetro='Individual Local' AND segmento='ESTR' AND ambito='SRB_MBDT' AND entidade='00100')X INNER JOIN (SELECT instrmnt_id AS instrmnt_id_SIMUL, transferred_amount AS transferred_amount_SIMUL FROM BU_LOANTAPE_WORK.SIMUL_LT002_INSTRUMENT WHERE ref_date='${ref_date}' AND nome_perimetro='Individual Local' AND segmento='ESTR' AND ambito='PILAR3' AND entidade='00100')Y ON X.INSTRMNT_ID=Y.INSTRMNT_ID_SIMUL</v>
      </c>
      <c r="M318" s="36" t="str">
        <f t="shared" si="7"/>
        <v>UNION ALL SELECT 'INSTRUMENT' AS TABELA, 'COERÊNCIA' AS TIPOLOGIA_TESTE,'BU_LOANTAPE_WORK.LT002_INSTRUMENT' AS TABELA_LT,'BU_LOANTAPE_WORK.SIMUL_LT002_INSTRUMENT' AS TABELA_SIMUL,'transferred_amount' AS CAMPO, '${ref_date}' AS REF_DATE, COUNT(*) AS NUM_REG, SUM(IF(COALESCE(CAST(X.transferred_amount AS STRING),'')&lt;&gt;COALESCE(CAST(Y.transferred_amount_SIMUL AS STRING),'') OR (X.transferred_amount IS NULL AND Y.transferred_amount_SIMUL IS NOT NULL ) OR (X.transferred_amount IS NOT NULL AND Y.transferred_amount_SIMUL IS NULL),1,0)) AS NUM_REG_DIF,'1' AS ID_EXEC, CURRENT_TIMESTAMP() AS TIME_EXEC FROM (SELECT instrmnt_id, transferred_amount FROM BU_LOANTAPE_WORK.LT002_INSTRUMENT WHERE ref_date='${ref_date}' AND nome_perimetro='Individual Local' AND segmento='ESTR' AND ambito='SRB_MBDT' AND entidade='00100')X INNER JOIN (SELECT instrmnt_id AS instrmnt_id_SIMUL, transferred_amount AS transferred_amount_SIMUL FROM BU_LOANTAPE_WORK.SIMUL_LT002_INSTRUMENT WHERE ref_date='${ref_date}' AND nome_perimetro='Individual Local' AND segmento='ESTR' AND ambito='PILAR3' AND entidade='00100')Y ON X.INSTRMNT_ID=Y.INSTRMNT_ID_SIMUL</v>
      </c>
      <c r="N318" s="38"/>
    </row>
    <row r="319" spans="2:14">
      <c r="B319" s="34" t="s">
        <v>117</v>
      </c>
      <c r="C319" s="34" t="s">
        <v>5</v>
      </c>
      <c r="D319" s="34" t="str">
        <f>+UPPER('0. Instruções'!$D$35&amp;"."&amp;VLOOKUP(B319,'0. Instruções'!$C$27:$D$32,2,FALSE))</f>
        <v>BU_LOANTAPE_WORK.LT002_INSTRUMENT</v>
      </c>
      <c r="E319" s="34" t="str">
        <f>+UPPER('0. Instruções'!$D$36&amp;"."&amp;VLOOKUP(B319,'0. Instruções'!$C$27:$E$32,3,FALSE))</f>
        <v>BU_LOANTAPE_WORK.SIMUL_LT002_INSTRUMENT</v>
      </c>
      <c r="F319" s="34" t="s">
        <v>1359</v>
      </c>
      <c r="G319" s="34"/>
      <c r="H319" s="34"/>
      <c r="I319" s="34" t="str">
        <f>"(SELECT "&amp;VLOOKUP(B319,'0. Instruções'!$C$27:$G$32,4,FALSE)&amp;", "&amp;F319&amp;" FROM "&amp;D319&amp;" WHERE "&amp;'0. Instruções'!$D$42&amp;")X"</f>
        <v>(SELECT instrmnt_id, type_securitization FROM BU_LOANTAPE_WORK.LT002_INSTRUMENT WHERE ref_date='${ref_date}' AND nome_perimetro='Individual Local' AND segmento='ESTR' AND ambito='SRB_MBDT' AND entidade='00100')X</v>
      </c>
      <c r="J319" s="34" t="str">
        <f>"(SELECT "&amp;VLOOKUP(B319,'0. Instruções'!$C$27:$G$32,4,FALSE)&amp;" AS "&amp;VLOOKUP(B319,'0. Instruções'!$C$27:$G$32,4,FALSE)&amp;"_SIMUL, "&amp;F319&amp;" AS "&amp;F319&amp;"_SIMUL FROM "&amp;E319&amp;" WHERE "&amp;'0. Instruções'!$D$43&amp;")Y"</f>
        <v>(SELECT instrmnt_id AS instrmnt_id_SIMUL, type_securitization AS type_securitization_SIMUL FROM BU_LOANTAPE_WORK.SIMUL_LT002_INSTRUMENT WHERE ref_date='${ref_date}' AND nome_perimetro='Individual Local' AND segmento='ESTR' AND ambito='PILAR3' AND entidade='00100')Y</v>
      </c>
      <c r="K319" s="35" t="str">
        <f>+UPPER("ON X."&amp;VLOOKUP(B319,'0. Instruções'!$C$27:$G$32,4,FALSE)&amp;"=Y."&amp;VLOOKUP(B319,'0. Instruções'!$C$27:$G$32,4,FALSE)&amp;"_SIMUL")</f>
        <v>ON X.INSTRMNT_ID=Y.INSTRMNT_ID_SIMUL</v>
      </c>
      <c r="L319" s="35" t="str">
        <f>+IF(C319="Coerência", +IF(LEFT(G319,5)="FLOAT","SELECT '"&amp;UPPER(B319)&amp;"' AS TABELA, '"&amp;UPPER(C319)&amp;"' AS TIPOLOGIA_TESTE,'"&amp;D319&amp;"' AS TABELA_LT,'"&amp;E319&amp;"' AS TABELA_SIMUL,'"&amp;F319&amp;"' AS CAMPO, "&amp;"'${ref_date}' AS REF_DATE, COUNT(*) AS NUM_REG, SUM(IF((ABS(COALESCE(CAST(X."&amp;F319&amp;" AS DECIMAL(18,6)),0)-COALESCE(CAST(Y."&amp;F319&amp;"_SIMUL AS DECIMAL(18,6)),0))&gt;0.000001) OR (X."&amp;F319&amp;" IS NULL AND Y."&amp;F319&amp;"_SIMUL IS NOT NULL ) OR (X."&amp;F319&amp;" IS NOT NULL AND Y."&amp;F319&amp;"_SIMUL IS NULL),1,0)) AS NUM_REG_DIF,'"&amp;MAX('ID1&amp;5'!K:K)+1&amp;"' AS ID_EXEC, CURRENT_TIMESTAMP() AS TIME_EXEC FROM "&amp;I319&amp;" INNER JOIN "&amp;J319&amp;" "&amp;K319,"SELECT '"&amp;UPPER(B319)&amp;"' AS TABELA, '"&amp;UPPER(C319)&amp;"' AS TIPOLOGIA_TESTE,'"&amp;D319&amp;"' AS TABELA_LT,'"&amp;E319&amp;"' AS TABELA_SIMUL,'"&amp;F319&amp;"' AS CAMPO, "&amp;"'${ref_date}' AS REF_DATE, COUNT(*) AS NUM_REG, SUM(IF(COALESCE(CAST(X."&amp;F319&amp;" AS STRING),'')&lt;&gt;COALESCE(CAST(Y."&amp;F319&amp;"_SIMUL AS STRING),'') OR (X."&amp;F319&amp;" IS NULL AND Y."&amp;F319&amp;"_SIMUL IS NOT NULL ) OR (X."&amp;F319&amp;" IS NOT NULL AND Y."&amp;F319&amp;"_SIMUL IS NULL),1,0)) AS NUM_REG_DIF,'"&amp;MAX('ID1&amp;5'!L:L)+1&amp;"' AS ID_EXEC, CURRENT_TIMESTAMP() AS TIME_EXEC FROM "&amp;I319&amp;" INNER JOIN "&amp;J319&amp;" "&amp;K319),
IF(C319="Validade",+IF(G319="Code List","SELECT '"&amp;UPPER(B319)&amp;"' AS TABELA, '"&amp;UPPER(C319)&amp;"' AS TIPOLOGIA_TESTE,'"&amp;D319&amp;"' AS TABELA_LT,'N/A' AS TABELA_SIMUL,'"&amp;F319&amp;"' AS CAMPO, "&amp;"'${ref_date}' AS REF_DATE, COUNT(*) AS NUM_REG, SUM(IF(TRIM(CAST(X."&amp;F319&amp;" AS STRING))='' OR TRIM(CAST(X."&amp;F319&amp;" AS STRING)) IS NULL OR CAST(X."&amp;F319&amp;" AS STRING) NOT "&amp;H319&amp;",1,0)) AS NUM_REG_DIF,'"&amp;MAX('ID1&amp;5'!K:K)+1&amp;"' AS ID_EXEC, CURRENT_TIMESTAMP() AS TIME_EXEC FROM "&amp;I319,"SELECT '"&amp;UPPER(B319)&amp;"' AS TABELA, '"&amp;UPPER(C319)&amp;"' AS TIPOLOGIA_TESTE,'"&amp;D319&amp;"' AS TABELA_LT,'N/A' AS TABELA_SIMUL,'"&amp;F319&amp;"' AS CAMPO, "&amp;"'${ref_date}' AS REF_DATE, COUNT(*) AS NUM_REG, SUM(IF(TRIM(CAST(X."&amp;F319&amp;" AS STRING))='' OR TRIM(CAST(X."&amp;F319&amp;" AS STRING)) IS NULL,1,0)) AS NUM_REG_DIF,'"&amp;MAX('ID1&amp;5'!K:K)+1&amp;"' AS ID_EXEC, CURRENT_TIMESTAMP() AS TIME_EXEC FROM "&amp;I319),
IF(C319="Caracteres Especiais",+"SELECT '"&amp;UPPER(B319)&amp;"' AS TABELA, '"&amp;UPPER(C319)&amp;"' AS TIPOLOGIA_TESTE,'"&amp;D319&amp;"' AS TABELA_LT,'N/A' AS TABELA_SIMUL,'"&amp;F319&amp;"' AS CAMPO, "&amp;"'${ref_date}' AS REF_DATE, COUNT(*) AS NUM_REG, SUM(IF(REGEXP_REPLACE(TRIM(CAST(X."&amp;F319&amp;" AS STRING)),'[^a-zA-Z0-9_\\s]','') &lt;&gt;TRIM(CAST(X."&amp;F319&amp;" AS STRING)),1,0)) AS NUM_REG_DIF,'"&amp;MAX('ID1&amp;5'!K:K)+1&amp;"' AS ID_EXEC, CURRENT_TIMESTAMP() AS TIME_EXEC FROM "&amp;I319,
IF(C319="Missings",+"SELECT '"&amp;UPPER(B319)&amp;"' AS TABELA, '"&amp;UPPER(C319)&amp;"' AS TIPOLOGIA_TESTE,'"&amp;D319&amp;"' AS TABELA_LT,'N/A' AS TABELA_SIMUL,'"&amp;F319&amp;"' AS CAMPO, "&amp;"'${ref_date}' AS REF_DATE, COUNT(*) AS NUM_REG, SUM(IF(TRIM(CAST(X."&amp;F319&amp;" AS STRING)) IN ('0000-00-00','0001-01-01','9999-12-31','MISS','00000','99999999999','99999999999.00','99999999999.000000'),1,0)) AS NUM_REG_DIF,'"&amp;MAX('ID1&amp;5'!K:K)+1&amp;"' AS ID_EXEC, CURRENT_TIMESTAMP() AS TIME_EXEC FROM "&amp;I319,
IF(C319="Not applicable",+"SELECT '"&amp;UPPER(B319)&amp;"' AS TABELA, '"&amp;UPPER(C319)&amp;"' AS TIPOLOGIA_TESTE,'"&amp;D319&amp;"' AS TABELA_LT,'N/A' AS TABELA_SIMUL,'"&amp;F319&amp;"' AS CAMPO, "&amp;"'${ref_date}' AS REF_DATE, COUNT(*) AS NUM_REG, SUM(IF(TRIM(CAST(X."&amp;F319&amp;" AS STRING)) IN ('N/A','11111111111','11111111111.00','11111111111.000000','1111-11-11'),1,0)) AS NUM_REG_DIF,'"&amp;MAX('ID1&amp;5'!K:K)+1&amp;"' AS ID_EXEC, CURRENT_TIMESTAMP() AS TIME_EXEC FROM "&amp;I319,
IF(C319="Valores extremos",+"SELECT '"&amp;UPPER(B319)&amp;"' AS TABELA, '"&amp;UPPER(C319)&amp;"' AS TIPOLOGIA_TESTE,'"&amp;D319&amp;"' AS TABELA_LT,'N/A' AS TABELA_SIMUL,'"&amp;F319&amp;"' AS CAMPO, "&amp;"'${ref_date}' AS REF_DATE, CAST(MIN("&amp;F319&amp;") AS STRING) AS VALOR_MIN, CAST(MAX("&amp;F319&amp;") AS STRING) AS VALOR_MAX,'"&amp;MAX('ID1&amp;5'!K:K)+1&amp;"' AS ID_EXEC, CURRENT_TIMESTAMP() AS TIME_EXEC FROM "&amp;MID(I319,1,LEN(I319)-2)&amp;" AND CAST("&amp;F319&amp;"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TABELA_SIMUL,'type_securitization' AS CAMPO, '${ref_date}' AS REF_DATE, COUNT(*) AS NUM_REG, SUM(IF(COALESCE(CAST(X.type_securitization AS STRING),'')&lt;&gt;COALESCE(CAST(Y.type_securitization_SIMUL AS STRING),'') OR (X.type_securitization IS NULL AND Y.type_securitization_SIMUL IS NOT NULL ) OR (X.type_securitization IS NOT NULL AND Y.type_securitization_SIMUL IS NULL),1,0)) AS NUM_REG_DIF,'1' AS ID_EXEC, CURRENT_TIMESTAMP() AS TIME_EXEC FROM (SELECT instrmnt_id, type_securitization FROM BU_LOANTAPE_WORK.LT002_INSTRUMENT WHERE ref_date='${ref_date}' AND nome_perimetro='Individual Local' AND segmento='ESTR' AND ambito='SRB_MBDT' AND entidade='00100')X INNER JOIN (SELECT instrmnt_id AS instrmnt_id_SIMUL, type_securitization AS type_securitization_SIMUL FROM BU_LOANTAPE_WORK.SIMUL_LT002_INSTRUMENT WHERE ref_date='${ref_date}' AND nome_perimetro='Individual Local' AND segmento='ESTR' AND ambito='PILAR3' AND entidade='00100')Y ON X.INSTRMNT_ID=Y.INSTRMNT_ID_SIMUL</v>
      </c>
      <c r="M319" s="36" t="str">
        <f t="shared" ref="M319:M375" si="8">+"UNION ALL "&amp;L319</f>
        <v>UNION ALL SELECT 'INSTRUMENT' AS TABELA, 'COERÊNCIA' AS TIPOLOGIA_TESTE,'BU_LOANTAPE_WORK.LT002_INSTRUMENT' AS TABELA_LT,'BU_LOANTAPE_WORK.SIMUL_LT002_INSTRUMENT' AS TABELA_SIMUL,'type_securitization' AS CAMPO, '${ref_date}' AS REF_DATE, COUNT(*) AS NUM_REG, SUM(IF(COALESCE(CAST(X.type_securitization AS STRING),'')&lt;&gt;COALESCE(CAST(Y.type_securitization_SIMUL AS STRING),'') OR (X.type_securitization IS NULL AND Y.type_securitization_SIMUL IS NOT NULL ) OR (X.type_securitization IS NOT NULL AND Y.type_securitization_SIMUL IS NULL),1,0)) AS NUM_REG_DIF,'1' AS ID_EXEC, CURRENT_TIMESTAMP() AS TIME_EXEC FROM (SELECT instrmnt_id, type_securitization FROM BU_LOANTAPE_WORK.LT002_INSTRUMENT WHERE ref_date='${ref_date}' AND nome_perimetro='Individual Local' AND segmento='ESTR' AND ambito='SRB_MBDT' AND entidade='00100')X INNER JOIN (SELECT instrmnt_id AS instrmnt_id_SIMUL, type_securitization AS type_securitization_SIMUL FROM BU_LOANTAPE_WORK.SIMUL_LT002_INSTRUMENT WHERE ref_date='${ref_date}' AND nome_perimetro='Individual Local' AND segmento='ESTR' AND ambito='PILAR3' AND entidade='00100')Y ON X.INSTRMNT_ID=Y.INSTRMNT_ID_SIMUL</v>
      </c>
      <c r="N319" s="38"/>
    </row>
    <row r="320" spans="2:14">
      <c r="B320" s="34" t="s">
        <v>117</v>
      </c>
      <c r="C320" s="34" t="s">
        <v>5</v>
      </c>
      <c r="D320" s="34" t="str">
        <f>+UPPER('0. Instruções'!$D$35&amp;"."&amp;VLOOKUP(B320,'0. Instruções'!$C$27:$D$32,2,FALSE))</f>
        <v>BU_LOANTAPE_WORK.LT002_INSTRUMENT</v>
      </c>
      <c r="E320" s="34" t="str">
        <f>+UPPER('0. Instruções'!$D$36&amp;"."&amp;VLOOKUP(B320,'0. Instruções'!$C$27:$E$32,3,FALSE))</f>
        <v>BU_LOANTAPE_WORK.SIMUL_LT002_INSTRUMENT</v>
      </c>
      <c r="F320" s="34" t="s">
        <v>1360</v>
      </c>
      <c r="G320" s="34"/>
      <c r="H320" s="34"/>
      <c r="I320" s="34" t="str">
        <f>"(SELECT "&amp;VLOOKUP(B320,'0. Instruções'!$C$27:$G$32,4,FALSE)&amp;", "&amp;F320&amp;" FROM "&amp;D320&amp;" WHERE "&amp;'0. Instruções'!$D$42&amp;")X"</f>
        <v>(SELECT instrmnt_id, joint_liabilities_amount FROM BU_LOANTAPE_WORK.LT002_INSTRUMENT WHERE ref_date='${ref_date}' AND nome_perimetro='Individual Local' AND segmento='ESTR' AND ambito='SRB_MBDT' AND entidade='00100')X</v>
      </c>
      <c r="J320" s="34" t="str">
        <f>"(SELECT "&amp;VLOOKUP(B320,'0. Instruções'!$C$27:$G$32,4,FALSE)&amp;" AS "&amp;VLOOKUP(B320,'0. Instruções'!$C$27:$G$32,4,FALSE)&amp;"_SIMUL, "&amp;F320&amp;" AS "&amp;F320&amp;"_SIMUL FROM "&amp;E320&amp;" WHERE "&amp;'0. Instruções'!$D$43&amp;")Y"</f>
        <v>(SELECT instrmnt_id AS instrmnt_id_SIMUL, joint_liabilities_amount AS joint_liabilities_amount_SIMUL FROM BU_LOANTAPE_WORK.SIMUL_LT002_INSTRUMENT WHERE ref_date='${ref_date}' AND nome_perimetro='Individual Local' AND segmento='ESTR' AND ambito='PILAR3' AND entidade='00100')Y</v>
      </c>
      <c r="K320" s="35" t="str">
        <f>+UPPER("ON X."&amp;VLOOKUP(B320,'0. Instruções'!$C$27:$G$32,4,FALSE)&amp;"=Y."&amp;VLOOKUP(B320,'0. Instruções'!$C$27:$G$32,4,FALSE)&amp;"_SIMUL")</f>
        <v>ON X.INSTRMNT_ID=Y.INSTRMNT_ID_SIMUL</v>
      </c>
      <c r="L320" s="35" t="str">
        <f>+IF(C320="Coerência", +IF(LEFT(G320,5)="FLOAT","SELECT '"&amp;UPPER(B320)&amp;"' AS TABELA, '"&amp;UPPER(C320)&amp;"' AS TIPOLOGIA_TESTE,'"&amp;D320&amp;"' AS TABELA_LT,'"&amp;E320&amp;"' AS TABELA_SIMUL,'"&amp;F320&amp;"' AS CAMPO, "&amp;"'${ref_date}' AS REF_DATE, COUNT(*) AS NUM_REG, SUM(IF((ABS(COALESCE(CAST(X."&amp;F320&amp;" AS DECIMAL(18,6)),0)-COALESCE(CAST(Y."&amp;F320&amp;"_SIMUL AS DECIMAL(18,6)),0))&gt;0.000001) OR (X."&amp;F320&amp;" IS NULL AND Y."&amp;F320&amp;"_SIMUL IS NOT NULL ) OR (X."&amp;F320&amp;" IS NOT NULL AND Y."&amp;F320&amp;"_SIMUL IS NULL),1,0)) AS NUM_REG_DIF,'"&amp;MAX('ID1&amp;5'!K:K)+1&amp;"' AS ID_EXEC, CURRENT_TIMESTAMP() AS TIME_EXEC FROM "&amp;I320&amp;" INNER JOIN "&amp;J320&amp;" "&amp;K320,"SELECT '"&amp;UPPER(B320)&amp;"' AS TABELA, '"&amp;UPPER(C320)&amp;"' AS TIPOLOGIA_TESTE,'"&amp;D320&amp;"' AS TABELA_LT,'"&amp;E320&amp;"' AS TABELA_SIMUL,'"&amp;F320&amp;"' AS CAMPO, "&amp;"'${ref_date}' AS REF_DATE, COUNT(*) AS NUM_REG, SUM(IF(COALESCE(CAST(X."&amp;F320&amp;" AS STRING),'')&lt;&gt;COALESCE(CAST(Y."&amp;F320&amp;"_SIMUL AS STRING),'') OR (X."&amp;F320&amp;" IS NULL AND Y."&amp;F320&amp;"_SIMUL IS NOT NULL ) OR (X."&amp;F320&amp;" IS NOT NULL AND Y."&amp;F320&amp;"_SIMUL IS NULL),1,0)) AS NUM_REG_DIF,'"&amp;MAX('ID1&amp;5'!L:L)+1&amp;"' AS ID_EXEC, CURRENT_TIMESTAMP() AS TIME_EXEC FROM "&amp;I320&amp;" INNER JOIN "&amp;J320&amp;" "&amp;K320),
IF(C320="Validade",+IF(G320="Code List","SELECT '"&amp;UPPER(B320)&amp;"' AS TABELA, '"&amp;UPPER(C320)&amp;"' AS TIPOLOGIA_TESTE,'"&amp;D320&amp;"' AS TABELA_LT,'N/A' AS TABELA_SIMUL,'"&amp;F320&amp;"' AS CAMPO, "&amp;"'${ref_date}' AS REF_DATE, COUNT(*) AS NUM_REG, SUM(IF(TRIM(CAST(X."&amp;F320&amp;" AS STRING))='' OR TRIM(CAST(X."&amp;F320&amp;" AS STRING)) IS NULL OR CAST(X."&amp;F320&amp;" AS STRING) NOT "&amp;H320&amp;",1,0)) AS NUM_REG_DIF,'"&amp;MAX('ID1&amp;5'!K:K)+1&amp;"' AS ID_EXEC, CURRENT_TIMESTAMP() AS TIME_EXEC FROM "&amp;I320,"SELECT '"&amp;UPPER(B320)&amp;"' AS TABELA, '"&amp;UPPER(C320)&amp;"' AS TIPOLOGIA_TESTE,'"&amp;D320&amp;"' AS TABELA_LT,'N/A' AS TABELA_SIMUL,'"&amp;F320&amp;"' AS CAMPO, "&amp;"'${ref_date}' AS REF_DATE, COUNT(*) AS NUM_REG, SUM(IF(TRIM(CAST(X."&amp;F320&amp;" AS STRING))='' OR TRIM(CAST(X."&amp;F320&amp;" AS STRING)) IS NULL,1,0)) AS NUM_REG_DIF,'"&amp;MAX('ID1&amp;5'!K:K)+1&amp;"' AS ID_EXEC, CURRENT_TIMESTAMP() AS TIME_EXEC FROM "&amp;I320),
IF(C320="Caracteres Especiais",+"SELECT '"&amp;UPPER(B320)&amp;"' AS TABELA, '"&amp;UPPER(C320)&amp;"' AS TIPOLOGIA_TESTE,'"&amp;D320&amp;"' AS TABELA_LT,'N/A' AS TABELA_SIMUL,'"&amp;F320&amp;"' AS CAMPO, "&amp;"'${ref_date}' AS REF_DATE, COUNT(*) AS NUM_REG, SUM(IF(REGEXP_REPLACE(TRIM(CAST(X."&amp;F320&amp;" AS STRING)),'[^a-zA-Z0-9_\\s]','') &lt;&gt;TRIM(CAST(X."&amp;F320&amp;" AS STRING)),1,0)) AS NUM_REG_DIF,'"&amp;MAX('ID1&amp;5'!K:K)+1&amp;"' AS ID_EXEC, CURRENT_TIMESTAMP() AS TIME_EXEC FROM "&amp;I320,
IF(C320="Missings",+"SELECT '"&amp;UPPER(B320)&amp;"' AS TABELA, '"&amp;UPPER(C320)&amp;"' AS TIPOLOGIA_TESTE,'"&amp;D320&amp;"' AS TABELA_LT,'N/A' AS TABELA_SIMUL,'"&amp;F320&amp;"' AS CAMPO, "&amp;"'${ref_date}' AS REF_DATE, COUNT(*) AS NUM_REG, SUM(IF(TRIM(CAST(X."&amp;F320&amp;" AS STRING)) IN ('0000-00-00','0001-01-01','9999-12-31','MISS','00000','99999999999','99999999999.00','99999999999.000000'),1,0)) AS NUM_REG_DIF,'"&amp;MAX('ID1&amp;5'!K:K)+1&amp;"' AS ID_EXEC, CURRENT_TIMESTAMP() AS TIME_EXEC FROM "&amp;I320,
IF(C320="Not applicable",+"SELECT '"&amp;UPPER(B320)&amp;"' AS TABELA, '"&amp;UPPER(C320)&amp;"' AS TIPOLOGIA_TESTE,'"&amp;D320&amp;"' AS TABELA_LT,'N/A' AS TABELA_SIMUL,'"&amp;F320&amp;"' AS CAMPO, "&amp;"'${ref_date}' AS REF_DATE, COUNT(*) AS NUM_REG, SUM(IF(TRIM(CAST(X."&amp;F320&amp;" AS STRING)) IN ('N/A','11111111111','11111111111.00','11111111111.000000','1111-11-11'),1,0)) AS NUM_REG_DIF,'"&amp;MAX('ID1&amp;5'!K:K)+1&amp;"' AS ID_EXEC, CURRENT_TIMESTAMP() AS TIME_EXEC FROM "&amp;I320,
IF(C320="Valores extremos",+"SELECT '"&amp;UPPER(B320)&amp;"' AS TABELA, '"&amp;UPPER(C320)&amp;"' AS TIPOLOGIA_TESTE,'"&amp;D320&amp;"' AS TABELA_LT,'N/A' AS TABELA_SIMUL,'"&amp;F320&amp;"' AS CAMPO, "&amp;"'${ref_date}' AS REF_DATE, CAST(MIN("&amp;F320&amp;") AS STRING) AS VALOR_MIN, CAST(MAX("&amp;F320&amp;") AS STRING) AS VALOR_MAX,'"&amp;MAX('ID1&amp;5'!K:K)+1&amp;"' AS ID_EXEC, CURRENT_TIMESTAMP() AS TIME_EXEC FROM "&amp;MID(I320,1,LEN(I320)-2)&amp;" AND CAST("&amp;F320&amp;"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TABELA_SIMUL,'joint_liabilities_amount' AS CAMPO, '${ref_date}' AS REF_DATE, COUNT(*) AS NUM_REG, SUM(IF(COALESCE(CAST(X.joint_liabilities_amount AS STRING),'')&lt;&gt;COALESCE(CAST(Y.joint_liabilities_amount_SIMUL AS STRING),'') OR (X.joint_liabilities_amount IS NULL AND Y.joint_liabilities_amount_SIMUL IS NOT NULL ) OR (X.joint_liabilities_amount IS NOT NULL AND Y.joint_liabilities_amount_SIMUL IS NULL),1,0)) AS NUM_REG_DIF,'1' AS ID_EXEC, CURRENT_TIMESTAMP() AS TIME_EXEC FROM (SELECT instrmnt_id, joint_liabilities_amount FROM BU_LOANTAPE_WORK.LT002_INSTRUMENT WHERE ref_date='${ref_date}' AND nome_perimetro='Individual Local' AND segmento='ESTR' AND ambito='SRB_MBDT' AND entidade='00100')X INNER JOIN (SELECT instrmnt_id AS instrmnt_id_SIMUL, joint_liabilities_amount AS joint_liabilities_amount_SIMUL FROM BU_LOANTAPE_WORK.SIMUL_LT002_INSTRUMENT WHERE ref_date='${ref_date}' AND nome_perimetro='Individual Local' AND segmento='ESTR' AND ambito='PILAR3' AND entidade='00100')Y ON X.INSTRMNT_ID=Y.INSTRMNT_ID_SIMUL</v>
      </c>
      <c r="M320" s="36" t="str">
        <f t="shared" si="8"/>
        <v>UNION ALL SELECT 'INSTRUMENT' AS TABELA, 'COERÊNCIA' AS TIPOLOGIA_TESTE,'BU_LOANTAPE_WORK.LT002_INSTRUMENT' AS TABELA_LT,'BU_LOANTAPE_WORK.SIMUL_LT002_INSTRUMENT' AS TABELA_SIMUL,'joint_liabilities_amount' AS CAMPO, '${ref_date}' AS REF_DATE, COUNT(*) AS NUM_REG, SUM(IF(COALESCE(CAST(X.joint_liabilities_amount AS STRING),'')&lt;&gt;COALESCE(CAST(Y.joint_liabilities_amount_SIMUL AS STRING),'') OR (X.joint_liabilities_amount IS NULL AND Y.joint_liabilities_amount_SIMUL IS NOT NULL ) OR (X.joint_liabilities_amount IS NOT NULL AND Y.joint_liabilities_amount_SIMUL IS NULL),1,0)) AS NUM_REG_DIF,'1' AS ID_EXEC, CURRENT_TIMESTAMP() AS TIME_EXEC FROM (SELECT instrmnt_id, joint_liabilities_amount FROM BU_LOANTAPE_WORK.LT002_INSTRUMENT WHERE ref_date='${ref_date}' AND nome_perimetro='Individual Local' AND segmento='ESTR' AND ambito='SRB_MBDT' AND entidade='00100')X INNER JOIN (SELECT instrmnt_id AS instrmnt_id_SIMUL, joint_liabilities_amount AS joint_liabilities_amount_SIMUL FROM BU_LOANTAPE_WORK.SIMUL_LT002_INSTRUMENT WHERE ref_date='${ref_date}' AND nome_perimetro='Individual Local' AND segmento='ESTR' AND ambito='PILAR3' AND entidade='00100')Y ON X.INSTRMNT_ID=Y.INSTRMNT_ID_SIMUL</v>
      </c>
      <c r="N320" s="38"/>
    </row>
    <row r="321" spans="2:14">
      <c r="B321" s="34" t="s">
        <v>117</v>
      </c>
      <c r="C321" s="34" t="s">
        <v>5</v>
      </c>
      <c r="D321" s="34" t="str">
        <f>+UPPER('0. Instruções'!$D$35&amp;"."&amp;VLOOKUP(B321,'0. Instruções'!$C$27:$D$32,2,FALSE))</f>
        <v>BU_LOANTAPE_WORK.LT002_INSTRUMENT</v>
      </c>
      <c r="E321" s="34" t="str">
        <f>+UPPER('0. Instruções'!$D$36&amp;"."&amp;VLOOKUP(B321,'0. Instruções'!$C$27:$E$32,3,FALSE))</f>
        <v>BU_LOANTAPE_WORK.SIMUL_LT002_INSTRUMENT</v>
      </c>
      <c r="F321" s="34" t="s">
        <v>1361</v>
      </c>
      <c r="G321" s="34"/>
      <c r="H321" s="34"/>
      <c r="I321" s="34" t="str">
        <f>"(SELECT "&amp;VLOOKUP(B321,'0. Instruções'!$C$27:$G$32,4,FALSE)&amp;", "&amp;F321&amp;" FROM "&amp;D321&amp;" WHERE "&amp;'0. Instruções'!$D$42&amp;")X"</f>
        <v>(SELECT instrmnt_id, balance_sheet_recogn FROM BU_LOANTAPE_WORK.LT002_INSTRUMENT WHERE ref_date='${ref_date}' AND nome_perimetro='Individual Local' AND segmento='ESTR' AND ambito='SRB_MBDT' AND entidade='00100')X</v>
      </c>
      <c r="J321" s="34" t="str">
        <f>"(SELECT "&amp;VLOOKUP(B321,'0. Instruções'!$C$27:$G$32,4,FALSE)&amp;" AS "&amp;VLOOKUP(B321,'0. Instruções'!$C$27:$G$32,4,FALSE)&amp;"_SIMUL, "&amp;F321&amp;" AS "&amp;F321&amp;"_SIMUL FROM "&amp;E321&amp;" WHERE "&amp;'0. Instruções'!$D$43&amp;")Y"</f>
        <v>(SELECT instrmnt_id AS instrmnt_id_SIMUL, balance_sheet_recogn AS balance_sheet_recogn_SIMUL FROM BU_LOANTAPE_WORK.SIMUL_LT002_INSTRUMENT WHERE ref_date='${ref_date}' AND nome_perimetro='Individual Local' AND segmento='ESTR' AND ambito='PILAR3' AND entidade='00100')Y</v>
      </c>
      <c r="K321" s="35" t="str">
        <f>+UPPER("ON X."&amp;VLOOKUP(B321,'0. Instruções'!$C$27:$G$32,4,FALSE)&amp;"=Y."&amp;VLOOKUP(B321,'0. Instruções'!$C$27:$G$32,4,FALSE)&amp;"_SIMUL")</f>
        <v>ON X.INSTRMNT_ID=Y.INSTRMNT_ID_SIMUL</v>
      </c>
      <c r="L321" s="35" t="str">
        <f>+IF(C321="Coerência", +IF(LEFT(G321,5)="FLOAT","SELECT '"&amp;UPPER(B321)&amp;"' AS TABELA, '"&amp;UPPER(C321)&amp;"' AS TIPOLOGIA_TESTE,'"&amp;D321&amp;"' AS TABELA_LT,'"&amp;E321&amp;"' AS TABELA_SIMUL,'"&amp;F321&amp;"' AS CAMPO, "&amp;"'${ref_date}' AS REF_DATE, COUNT(*) AS NUM_REG, SUM(IF((ABS(COALESCE(CAST(X."&amp;F321&amp;" AS DECIMAL(18,6)),0)-COALESCE(CAST(Y."&amp;F321&amp;"_SIMUL AS DECIMAL(18,6)),0))&gt;0.000001) OR (X."&amp;F321&amp;" IS NULL AND Y."&amp;F321&amp;"_SIMUL IS NOT NULL ) OR (X."&amp;F321&amp;" IS NOT NULL AND Y."&amp;F321&amp;"_SIMUL IS NULL),1,0)) AS NUM_REG_DIF,'"&amp;MAX('ID1&amp;5'!K:K)+1&amp;"' AS ID_EXEC, CURRENT_TIMESTAMP() AS TIME_EXEC FROM "&amp;I321&amp;" INNER JOIN "&amp;J321&amp;" "&amp;K321,"SELECT '"&amp;UPPER(B321)&amp;"' AS TABELA, '"&amp;UPPER(C321)&amp;"' AS TIPOLOGIA_TESTE,'"&amp;D321&amp;"' AS TABELA_LT,'"&amp;E321&amp;"' AS TABELA_SIMUL,'"&amp;F321&amp;"' AS CAMPO, "&amp;"'${ref_date}' AS REF_DATE, COUNT(*) AS NUM_REG, SUM(IF(COALESCE(CAST(X."&amp;F321&amp;" AS STRING),'')&lt;&gt;COALESCE(CAST(Y."&amp;F321&amp;"_SIMUL AS STRING),'') OR (X."&amp;F321&amp;" IS NULL AND Y."&amp;F321&amp;"_SIMUL IS NOT NULL ) OR (X."&amp;F321&amp;" IS NOT NULL AND Y."&amp;F321&amp;"_SIMUL IS NULL),1,0)) AS NUM_REG_DIF,'"&amp;MAX('ID1&amp;5'!L:L)+1&amp;"' AS ID_EXEC, CURRENT_TIMESTAMP() AS TIME_EXEC FROM "&amp;I321&amp;" INNER JOIN "&amp;J321&amp;" "&amp;K321),
IF(C321="Validade",+IF(G321="Code List","SELECT '"&amp;UPPER(B321)&amp;"' AS TABELA, '"&amp;UPPER(C321)&amp;"' AS TIPOLOGIA_TESTE,'"&amp;D321&amp;"' AS TABELA_LT,'N/A' AS TABELA_SIMUL,'"&amp;F321&amp;"' AS CAMPO, "&amp;"'${ref_date}' AS REF_DATE, COUNT(*) AS NUM_REG, SUM(IF(TRIM(CAST(X."&amp;F321&amp;" AS STRING))='' OR TRIM(CAST(X."&amp;F321&amp;" AS STRING)) IS NULL OR CAST(X."&amp;F321&amp;" AS STRING) NOT "&amp;H321&amp;",1,0)) AS NUM_REG_DIF,'"&amp;MAX('ID1&amp;5'!K:K)+1&amp;"' AS ID_EXEC, CURRENT_TIMESTAMP() AS TIME_EXEC FROM "&amp;I321,"SELECT '"&amp;UPPER(B321)&amp;"' AS TABELA, '"&amp;UPPER(C321)&amp;"' AS TIPOLOGIA_TESTE,'"&amp;D321&amp;"' AS TABELA_LT,'N/A' AS TABELA_SIMUL,'"&amp;F321&amp;"' AS CAMPO, "&amp;"'${ref_date}' AS REF_DATE, COUNT(*) AS NUM_REG, SUM(IF(TRIM(CAST(X."&amp;F321&amp;" AS STRING))='' OR TRIM(CAST(X."&amp;F321&amp;" AS STRING)) IS NULL,1,0)) AS NUM_REG_DIF,'"&amp;MAX('ID1&amp;5'!K:K)+1&amp;"' AS ID_EXEC, CURRENT_TIMESTAMP() AS TIME_EXEC FROM "&amp;I321),
IF(C321="Caracteres Especiais",+"SELECT '"&amp;UPPER(B321)&amp;"' AS TABELA, '"&amp;UPPER(C321)&amp;"' AS TIPOLOGIA_TESTE,'"&amp;D321&amp;"' AS TABELA_LT,'N/A' AS TABELA_SIMUL,'"&amp;F321&amp;"' AS CAMPO, "&amp;"'${ref_date}' AS REF_DATE, COUNT(*) AS NUM_REG, SUM(IF(REGEXP_REPLACE(TRIM(CAST(X."&amp;F321&amp;" AS STRING)),'[^a-zA-Z0-9_\\s]','') &lt;&gt;TRIM(CAST(X."&amp;F321&amp;" AS STRING)),1,0)) AS NUM_REG_DIF,'"&amp;MAX('ID1&amp;5'!K:K)+1&amp;"' AS ID_EXEC, CURRENT_TIMESTAMP() AS TIME_EXEC FROM "&amp;I321,
IF(C321="Missings",+"SELECT '"&amp;UPPER(B321)&amp;"' AS TABELA, '"&amp;UPPER(C321)&amp;"' AS TIPOLOGIA_TESTE,'"&amp;D321&amp;"' AS TABELA_LT,'N/A' AS TABELA_SIMUL,'"&amp;F321&amp;"' AS CAMPO, "&amp;"'${ref_date}' AS REF_DATE, COUNT(*) AS NUM_REG, SUM(IF(TRIM(CAST(X."&amp;F321&amp;" AS STRING)) IN ('0000-00-00','0001-01-01','9999-12-31','MISS','00000','99999999999','99999999999.00','99999999999.000000'),1,0)) AS NUM_REG_DIF,'"&amp;MAX('ID1&amp;5'!K:K)+1&amp;"' AS ID_EXEC, CURRENT_TIMESTAMP() AS TIME_EXEC FROM "&amp;I321,
IF(C321="Not applicable",+"SELECT '"&amp;UPPER(B321)&amp;"' AS TABELA, '"&amp;UPPER(C321)&amp;"' AS TIPOLOGIA_TESTE,'"&amp;D321&amp;"' AS TABELA_LT,'N/A' AS TABELA_SIMUL,'"&amp;F321&amp;"' AS CAMPO, "&amp;"'${ref_date}' AS REF_DATE, COUNT(*) AS NUM_REG, SUM(IF(TRIM(CAST(X."&amp;F321&amp;" AS STRING)) IN ('N/A','11111111111','11111111111.00','11111111111.000000','1111-11-11'),1,0)) AS NUM_REG_DIF,'"&amp;MAX('ID1&amp;5'!K:K)+1&amp;"' AS ID_EXEC, CURRENT_TIMESTAMP() AS TIME_EXEC FROM "&amp;I321,
IF(C321="Valores extremos",+"SELECT '"&amp;UPPER(B321)&amp;"' AS TABELA, '"&amp;UPPER(C321)&amp;"' AS TIPOLOGIA_TESTE,'"&amp;D321&amp;"' AS TABELA_LT,'N/A' AS TABELA_SIMUL,'"&amp;F321&amp;"' AS CAMPO, "&amp;"'${ref_date}' AS REF_DATE, CAST(MIN("&amp;F321&amp;") AS STRING) AS VALOR_MIN, CAST(MAX("&amp;F321&amp;") AS STRING) AS VALOR_MAX,'"&amp;MAX('ID1&amp;5'!K:K)+1&amp;"' AS ID_EXEC, CURRENT_TIMESTAMP() AS TIME_EXEC FROM "&amp;MID(I321,1,LEN(I321)-2)&amp;" AND CAST("&amp;F321&amp;"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TABELA_SIMUL,'balance_sheet_recogn' AS CAMPO, '${ref_date}' AS REF_DATE, COUNT(*) AS NUM_REG, SUM(IF(COALESCE(CAST(X.balance_sheet_recogn AS STRING),'')&lt;&gt;COALESCE(CAST(Y.balance_sheet_recogn_SIMUL AS STRING),'') OR (X.balance_sheet_recogn IS NULL AND Y.balance_sheet_recogn_SIMUL IS NOT NULL ) OR (X.balance_sheet_recogn IS NOT NULL AND Y.balance_sheet_recogn_SIMUL IS NULL),1,0)) AS NUM_REG_DIF,'1' AS ID_EXEC, CURRENT_TIMESTAMP() AS TIME_EXEC FROM (SELECT instrmnt_id, balance_sheet_recogn FROM BU_LOANTAPE_WORK.LT002_INSTRUMENT WHERE ref_date='${ref_date}' AND nome_perimetro='Individual Local' AND segmento='ESTR' AND ambito='SRB_MBDT' AND entidade='00100')X INNER JOIN (SELECT instrmnt_id AS instrmnt_id_SIMUL, balance_sheet_recogn AS balance_sheet_recogn_SIMUL FROM BU_LOANTAPE_WORK.SIMUL_LT002_INSTRUMENT WHERE ref_date='${ref_date}' AND nome_perimetro='Individual Local' AND segmento='ESTR' AND ambito='PILAR3' AND entidade='00100')Y ON X.INSTRMNT_ID=Y.INSTRMNT_ID_SIMUL</v>
      </c>
      <c r="M321" s="36" t="str">
        <f t="shared" si="8"/>
        <v>UNION ALL SELECT 'INSTRUMENT' AS TABELA, 'COERÊNCIA' AS TIPOLOGIA_TESTE,'BU_LOANTAPE_WORK.LT002_INSTRUMENT' AS TABELA_LT,'BU_LOANTAPE_WORK.SIMUL_LT002_INSTRUMENT' AS TABELA_SIMUL,'balance_sheet_recogn' AS CAMPO, '${ref_date}' AS REF_DATE, COUNT(*) AS NUM_REG, SUM(IF(COALESCE(CAST(X.balance_sheet_recogn AS STRING),'')&lt;&gt;COALESCE(CAST(Y.balance_sheet_recogn_SIMUL AS STRING),'') OR (X.balance_sheet_recogn IS NULL AND Y.balance_sheet_recogn_SIMUL IS NOT NULL ) OR (X.balance_sheet_recogn IS NOT NULL AND Y.balance_sheet_recogn_SIMUL IS NULL),1,0)) AS NUM_REG_DIF,'1' AS ID_EXEC, CURRENT_TIMESTAMP() AS TIME_EXEC FROM (SELECT instrmnt_id, balance_sheet_recogn FROM BU_LOANTAPE_WORK.LT002_INSTRUMENT WHERE ref_date='${ref_date}' AND nome_perimetro='Individual Local' AND segmento='ESTR' AND ambito='SRB_MBDT' AND entidade='00100')X INNER JOIN (SELECT instrmnt_id AS instrmnt_id_SIMUL, balance_sheet_recogn AS balance_sheet_recogn_SIMUL FROM BU_LOANTAPE_WORK.SIMUL_LT002_INSTRUMENT WHERE ref_date='${ref_date}' AND nome_perimetro='Individual Local' AND segmento='ESTR' AND ambito='PILAR3' AND entidade='00100')Y ON X.INSTRMNT_ID=Y.INSTRMNT_ID_SIMUL</v>
      </c>
      <c r="N321" s="38"/>
    </row>
    <row r="322" spans="2:14">
      <c r="B322" s="34" t="s">
        <v>117</v>
      </c>
      <c r="C322" s="34" t="s">
        <v>5</v>
      </c>
      <c r="D322" s="34" t="str">
        <f>+UPPER('0. Instruções'!$D$35&amp;"."&amp;VLOOKUP(B322,'0. Instruções'!$C$27:$D$32,2,FALSE))</f>
        <v>BU_LOANTAPE_WORK.LT002_INSTRUMENT</v>
      </c>
      <c r="E322" s="34" t="str">
        <f>+UPPER('0. Instruções'!$D$36&amp;"."&amp;VLOOKUP(B322,'0. Instruções'!$C$27:$E$32,3,FALSE))</f>
        <v>BU_LOANTAPE_WORK.SIMUL_LT002_INSTRUMENT</v>
      </c>
      <c r="F322" s="34" t="s">
        <v>1362</v>
      </c>
      <c r="G322" s="34"/>
      <c r="H322" s="34"/>
      <c r="I322" s="34" t="str">
        <f>"(SELECT "&amp;VLOOKUP(B322,'0. Instruções'!$C$27:$G$32,4,FALSE)&amp;", "&amp;F322&amp;" FROM "&amp;D322&amp;" WHERE "&amp;'0. Instruções'!$D$42&amp;")X"</f>
        <v>(SELECT instrmnt_id, type FROM BU_LOANTAPE_WORK.LT002_INSTRUMENT WHERE ref_date='${ref_date}' AND nome_perimetro='Individual Local' AND segmento='ESTR' AND ambito='SRB_MBDT' AND entidade='00100')X</v>
      </c>
      <c r="J322" s="34" t="str">
        <f>"(SELECT "&amp;VLOOKUP(B322,'0. Instruções'!$C$27:$G$32,4,FALSE)&amp;" AS "&amp;VLOOKUP(B322,'0. Instruções'!$C$27:$G$32,4,FALSE)&amp;"_SIMUL, "&amp;F322&amp;" AS "&amp;F322&amp;"_SIMUL FROM "&amp;E322&amp;" WHERE "&amp;'0. Instruções'!$D$43&amp;")Y"</f>
        <v>(SELECT instrmnt_id AS instrmnt_id_SIMUL, type AS type_SIMUL FROM BU_LOANTAPE_WORK.SIMUL_LT002_INSTRUMENT WHERE ref_date='${ref_date}' AND nome_perimetro='Individual Local' AND segmento='ESTR' AND ambito='PILAR3' AND entidade='00100')Y</v>
      </c>
      <c r="K322" s="35" t="str">
        <f>+UPPER("ON X."&amp;VLOOKUP(B322,'0. Instruções'!$C$27:$G$32,4,FALSE)&amp;"=Y."&amp;VLOOKUP(B322,'0. Instruções'!$C$27:$G$32,4,FALSE)&amp;"_SIMUL")</f>
        <v>ON X.INSTRMNT_ID=Y.INSTRMNT_ID_SIMUL</v>
      </c>
      <c r="L322" s="35" t="str">
        <f>+IF(C322="Coerência", +IF(LEFT(G322,5)="FLOAT","SELECT '"&amp;UPPER(B322)&amp;"' AS TABELA, '"&amp;UPPER(C322)&amp;"' AS TIPOLOGIA_TESTE,'"&amp;D322&amp;"' AS TABELA_LT,'"&amp;E322&amp;"' AS TABELA_SIMUL,'"&amp;F322&amp;"' AS CAMPO, "&amp;"'${ref_date}' AS REF_DATE, COUNT(*) AS NUM_REG, SUM(IF((ABS(COALESCE(CAST(X."&amp;F322&amp;" AS DECIMAL(18,6)),0)-COALESCE(CAST(Y."&amp;F322&amp;"_SIMUL AS DECIMAL(18,6)),0))&gt;0.000001) OR (X."&amp;F322&amp;" IS NULL AND Y."&amp;F322&amp;"_SIMUL IS NOT NULL ) OR (X."&amp;F322&amp;" IS NOT NULL AND Y."&amp;F322&amp;"_SIMUL IS NULL),1,0)) AS NUM_REG_DIF,'"&amp;MAX('ID1&amp;5'!K:K)+1&amp;"' AS ID_EXEC, CURRENT_TIMESTAMP() AS TIME_EXEC FROM "&amp;I322&amp;" INNER JOIN "&amp;J322&amp;" "&amp;K322,"SELECT '"&amp;UPPER(B322)&amp;"' AS TABELA, '"&amp;UPPER(C322)&amp;"' AS TIPOLOGIA_TESTE,'"&amp;D322&amp;"' AS TABELA_LT,'"&amp;E322&amp;"' AS TABELA_SIMUL,'"&amp;F322&amp;"' AS CAMPO, "&amp;"'${ref_date}' AS REF_DATE, COUNT(*) AS NUM_REG, SUM(IF(COALESCE(CAST(X."&amp;F322&amp;" AS STRING),'')&lt;&gt;COALESCE(CAST(Y."&amp;F322&amp;"_SIMUL AS STRING),'') OR (X."&amp;F322&amp;" IS NULL AND Y."&amp;F322&amp;"_SIMUL IS NOT NULL ) OR (X."&amp;F322&amp;" IS NOT NULL AND Y."&amp;F322&amp;"_SIMUL IS NULL),1,0)) AS NUM_REG_DIF,'"&amp;MAX('ID1&amp;5'!L:L)+1&amp;"' AS ID_EXEC, CURRENT_TIMESTAMP() AS TIME_EXEC FROM "&amp;I322&amp;" INNER JOIN "&amp;J322&amp;" "&amp;K322),
IF(C322="Validade",+IF(G322="Code List","SELECT '"&amp;UPPER(B322)&amp;"' AS TABELA, '"&amp;UPPER(C322)&amp;"' AS TIPOLOGIA_TESTE,'"&amp;D322&amp;"' AS TABELA_LT,'N/A' AS TABELA_SIMUL,'"&amp;F322&amp;"' AS CAMPO, "&amp;"'${ref_date}' AS REF_DATE, COUNT(*) AS NUM_REG, SUM(IF(TRIM(CAST(X."&amp;F322&amp;" AS STRING))='' OR TRIM(CAST(X."&amp;F322&amp;" AS STRING)) IS NULL OR CAST(X."&amp;F322&amp;" AS STRING) NOT "&amp;H322&amp;",1,0)) AS NUM_REG_DIF,'"&amp;MAX('ID1&amp;5'!K:K)+1&amp;"' AS ID_EXEC, CURRENT_TIMESTAMP() AS TIME_EXEC FROM "&amp;I322,"SELECT '"&amp;UPPER(B322)&amp;"' AS TABELA, '"&amp;UPPER(C322)&amp;"' AS TIPOLOGIA_TESTE,'"&amp;D322&amp;"' AS TABELA_LT,'N/A' AS TABELA_SIMUL,'"&amp;F322&amp;"' AS CAMPO, "&amp;"'${ref_date}' AS REF_DATE, COUNT(*) AS NUM_REG, SUM(IF(TRIM(CAST(X."&amp;F322&amp;" AS STRING))='' OR TRIM(CAST(X."&amp;F322&amp;" AS STRING)) IS NULL,1,0)) AS NUM_REG_DIF,'"&amp;MAX('ID1&amp;5'!K:K)+1&amp;"' AS ID_EXEC, CURRENT_TIMESTAMP() AS TIME_EXEC FROM "&amp;I322),
IF(C322="Caracteres Especiais",+"SELECT '"&amp;UPPER(B322)&amp;"' AS TABELA, '"&amp;UPPER(C322)&amp;"' AS TIPOLOGIA_TESTE,'"&amp;D322&amp;"' AS TABELA_LT,'N/A' AS TABELA_SIMUL,'"&amp;F322&amp;"' AS CAMPO, "&amp;"'${ref_date}' AS REF_DATE, COUNT(*) AS NUM_REG, SUM(IF(REGEXP_REPLACE(TRIM(CAST(X."&amp;F322&amp;" AS STRING)),'[^a-zA-Z0-9_\\s]','') &lt;&gt;TRIM(CAST(X."&amp;F322&amp;" AS STRING)),1,0)) AS NUM_REG_DIF,'"&amp;MAX('ID1&amp;5'!K:K)+1&amp;"' AS ID_EXEC, CURRENT_TIMESTAMP() AS TIME_EXEC FROM "&amp;I322,
IF(C322="Missings",+"SELECT '"&amp;UPPER(B322)&amp;"' AS TABELA, '"&amp;UPPER(C322)&amp;"' AS TIPOLOGIA_TESTE,'"&amp;D322&amp;"' AS TABELA_LT,'N/A' AS TABELA_SIMUL,'"&amp;F322&amp;"' AS CAMPO, "&amp;"'${ref_date}' AS REF_DATE, COUNT(*) AS NUM_REG, SUM(IF(TRIM(CAST(X."&amp;F322&amp;" AS STRING)) IN ('0000-00-00','0001-01-01','9999-12-31','MISS','00000','99999999999','99999999999.00','99999999999.000000'),1,0)) AS NUM_REG_DIF,'"&amp;MAX('ID1&amp;5'!K:K)+1&amp;"' AS ID_EXEC, CURRENT_TIMESTAMP() AS TIME_EXEC FROM "&amp;I322,
IF(C322="Not applicable",+"SELECT '"&amp;UPPER(B322)&amp;"' AS TABELA, '"&amp;UPPER(C322)&amp;"' AS TIPOLOGIA_TESTE,'"&amp;D322&amp;"' AS TABELA_LT,'N/A' AS TABELA_SIMUL,'"&amp;F322&amp;"' AS CAMPO, "&amp;"'${ref_date}' AS REF_DATE, COUNT(*) AS NUM_REG, SUM(IF(TRIM(CAST(X."&amp;F322&amp;" AS STRING)) IN ('N/A','11111111111','11111111111.00','11111111111.000000','1111-11-11'),1,0)) AS NUM_REG_DIF,'"&amp;MAX('ID1&amp;5'!K:K)+1&amp;"' AS ID_EXEC, CURRENT_TIMESTAMP() AS TIME_EXEC FROM "&amp;I322,
IF(C322="Valores extremos",+"SELECT '"&amp;UPPER(B322)&amp;"' AS TABELA, '"&amp;UPPER(C322)&amp;"' AS TIPOLOGIA_TESTE,'"&amp;D322&amp;"' AS TABELA_LT,'N/A' AS TABELA_SIMUL,'"&amp;F322&amp;"' AS CAMPO, "&amp;"'${ref_date}' AS REF_DATE, CAST(MIN("&amp;F322&amp;") AS STRING) AS VALOR_MIN, CAST(MAX("&amp;F322&amp;") AS STRING) AS VALOR_MAX,'"&amp;MAX('ID1&amp;5'!K:K)+1&amp;"' AS ID_EXEC, CURRENT_TIMESTAMP() AS TIME_EXEC FROM "&amp;MID(I322,1,LEN(I322)-2)&amp;" AND CAST("&amp;F322&amp;"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TABELA_SIMUL,'type' AS CAMPO, '${ref_date}' AS REF_DATE, COUNT(*) AS NUM_REG, SUM(IF(COALESCE(CAST(X.type AS STRING),'')&lt;&gt;COALESCE(CAST(Y.type_SIMUL AS STRING),'') OR (X.type IS NULL AND Y.type_SIMUL IS NOT NULL ) OR (X.type IS NOT NULL AND Y.type_SIMUL IS NULL),1,0)) AS NUM_REG_DIF,'1' AS ID_EXEC, CURRENT_TIMESTAMP() AS TIME_EXEC FROM (SELECT instrmnt_id, type FROM BU_LOANTAPE_WORK.LT002_INSTRUMENT WHERE ref_date='${ref_date}' AND nome_perimetro='Individual Local' AND segmento='ESTR' AND ambito='SRB_MBDT' AND entidade='00100')X INNER JOIN (SELECT instrmnt_id AS instrmnt_id_SIMUL, type AS type_SIMUL FROM BU_LOANTAPE_WORK.SIMUL_LT002_INSTRUMENT WHERE ref_date='${ref_date}' AND nome_perimetro='Individual Local' AND segmento='ESTR' AND ambito='PILAR3' AND entidade='00100')Y ON X.INSTRMNT_ID=Y.INSTRMNT_ID_SIMUL</v>
      </c>
      <c r="M322" s="36" t="str">
        <f t="shared" si="8"/>
        <v>UNION ALL SELECT 'INSTRUMENT' AS TABELA, 'COERÊNCIA' AS TIPOLOGIA_TESTE,'BU_LOANTAPE_WORK.LT002_INSTRUMENT' AS TABELA_LT,'BU_LOANTAPE_WORK.SIMUL_LT002_INSTRUMENT' AS TABELA_SIMUL,'type' AS CAMPO, '${ref_date}' AS REF_DATE, COUNT(*) AS NUM_REG, SUM(IF(COALESCE(CAST(X.type AS STRING),'')&lt;&gt;COALESCE(CAST(Y.type_SIMUL AS STRING),'') OR (X.type IS NULL AND Y.type_SIMUL IS NOT NULL ) OR (X.type IS NOT NULL AND Y.type_SIMUL IS NULL),1,0)) AS NUM_REG_DIF,'1' AS ID_EXEC, CURRENT_TIMESTAMP() AS TIME_EXEC FROM (SELECT instrmnt_id, type FROM BU_LOANTAPE_WORK.LT002_INSTRUMENT WHERE ref_date='${ref_date}' AND nome_perimetro='Individual Local' AND segmento='ESTR' AND ambito='SRB_MBDT' AND entidade='00100')X INNER JOIN (SELECT instrmnt_id AS instrmnt_id_SIMUL, type AS type_SIMUL FROM BU_LOANTAPE_WORK.SIMUL_LT002_INSTRUMENT WHERE ref_date='${ref_date}' AND nome_perimetro='Individual Local' AND segmento='ESTR' AND ambito='PILAR3' AND entidade='00100')Y ON X.INSTRMNT_ID=Y.INSTRMNT_ID_SIMUL</v>
      </c>
      <c r="N322" s="38"/>
    </row>
    <row r="323" spans="2:14">
      <c r="B323" s="34" t="s">
        <v>117</v>
      </c>
      <c r="C323" s="34" t="s">
        <v>5</v>
      </c>
      <c r="D323" s="34" t="str">
        <f>+UPPER('0. Instruções'!$D$35&amp;"."&amp;VLOOKUP(B323,'0. Instruções'!$C$27:$D$32,2,FALSE))</f>
        <v>BU_LOANTAPE_WORK.LT002_INSTRUMENT</v>
      </c>
      <c r="E323" s="34" t="str">
        <f>+UPPER('0. Instruções'!$D$36&amp;"."&amp;VLOOKUP(B323,'0. Instruções'!$C$27:$E$32,3,FALSE))</f>
        <v>BU_LOANTAPE_WORK.SIMUL_LT002_INSTRUMENT</v>
      </c>
      <c r="F323" s="34" t="s">
        <v>1363</v>
      </c>
      <c r="G323" s="34"/>
      <c r="H323" s="34"/>
      <c r="I323" s="34" t="str">
        <f>"(SELECT "&amp;VLOOKUP(B323,'0. Instruções'!$C$27:$G$32,4,FALSE)&amp;", "&amp;F323&amp;" FROM "&amp;D323&amp;" WHERE "&amp;'0. Instruções'!$D$42&amp;")X"</f>
        <v>(SELECT instrmnt_id, nominal_interest_rate_fee FROM BU_LOANTAPE_WORK.LT002_INSTRUMENT WHERE ref_date='${ref_date}' AND nome_perimetro='Individual Local' AND segmento='ESTR' AND ambito='SRB_MBDT' AND entidade='00100')X</v>
      </c>
      <c r="J323" s="34" t="str">
        <f>"(SELECT "&amp;VLOOKUP(B323,'0. Instruções'!$C$27:$G$32,4,FALSE)&amp;" AS "&amp;VLOOKUP(B323,'0. Instruções'!$C$27:$G$32,4,FALSE)&amp;"_SIMUL, "&amp;F323&amp;" AS "&amp;F323&amp;"_SIMUL FROM "&amp;E323&amp;" WHERE "&amp;'0. Instruções'!$D$43&amp;")Y"</f>
        <v>(SELECT instrmnt_id AS instrmnt_id_SIMUL, nominal_interest_rate_fee AS nominal_interest_rate_fee_SIMUL FROM BU_LOANTAPE_WORK.SIMUL_LT002_INSTRUMENT WHERE ref_date='${ref_date}' AND nome_perimetro='Individual Local' AND segmento='ESTR' AND ambito='PILAR3' AND entidade='00100')Y</v>
      </c>
      <c r="K323" s="35" t="str">
        <f>+UPPER("ON X."&amp;VLOOKUP(B323,'0. Instruções'!$C$27:$G$32,4,FALSE)&amp;"=Y."&amp;VLOOKUP(B323,'0. Instruções'!$C$27:$G$32,4,FALSE)&amp;"_SIMUL")</f>
        <v>ON X.INSTRMNT_ID=Y.INSTRMNT_ID_SIMUL</v>
      </c>
      <c r="L323" s="35" t="str">
        <f>+IF(C323="Coerência", +IF(LEFT(G323,5)="FLOAT","SELECT '"&amp;UPPER(B323)&amp;"' AS TABELA, '"&amp;UPPER(C323)&amp;"' AS TIPOLOGIA_TESTE,'"&amp;D323&amp;"' AS TABELA_LT,'"&amp;E323&amp;"' AS TABELA_SIMUL,'"&amp;F323&amp;"' AS CAMPO, "&amp;"'${ref_date}' AS REF_DATE, COUNT(*) AS NUM_REG, SUM(IF((ABS(COALESCE(CAST(X."&amp;F323&amp;" AS DECIMAL(18,6)),0)-COALESCE(CAST(Y."&amp;F323&amp;"_SIMUL AS DECIMAL(18,6)),0))&gt;0.000001) OR (X."&amp;F323&amp;" IS NULL AND Y."&amp;F323&amp;"_SIMUL IS NOT NULL ) OR (X."&amp;F323&amp;" IS NOT NULL AND Y."&amp;F323&amp;"_SIMUL IS NULL),1,0)) AS NUM_REG_DIF,'"&amp;MAX('ID1&amp;5'!K:K)+1&amp;"' AS ID_EXEC, CURRENT_TIMESTAMP() AS TIME_EXEC FROM "&amp;I323&amp;" INNER JOIN "&amp;J323&amp;" "&amp;K323,"SELECT '"&amp;UPPER(B323)&amp;"' AS TABELA, '"&amp;UPPER(C323)&amp;"' AS TIPOLOGIA_TESTE,'"&amp;D323&amp;"' AS TABELA_LT,'"&amp;E323&amp;"' AS TABELA_SIMUL,'"&amp;F323&amp;"' AS CAMPO, "&amp;"'${ref_date}' AS REF_DATE, COUNT(*) AS NUM_REG, SUM(IF(COALESCE(CAST(X."&amp;F323&amp;" AS STRING),'')&lt;&gt;COALESCE(CAST(Y."&amp;F323&amp;"_SIMUL AS STRING),'') OR (X."&amp;F323&amp;" IS NULL AND Y."&amp;F323&amp;"_SIMUL IS NOT NULL ) OR (X."&amp;F323&amp;" IS NOT NULL AND Y."&amp;F323&amp;"_SIMUL IS NULL),1,0)) AS NUM_REG_DIF,'"&amp;MAX('ID1&amp;5'!L:L)+1&amp;"' AS ID_EXEC, CURRENT_TIMESTAMP() AS TIME_EXEC FROM "&amp;I323&amp;" INNER JOIN "&amp;J323&amp;" "&amp;K323),
IF(C323="Validade",+IF(G323="Code List","SELECT '"&amp;UPPER(B323)&amp;"' AS TABELA, '"&amp;UPPER(C323)&amp;"' AS TIPOLOGIA_TESTE,'"&amp;D323&amp;"' AS TABELA_LT,'N/A' AS TABELA_SIMUL,'"&amp;F323&amp;"' AS CAMPO, "&amp;"'${ref_date}' AS REF_DATE, COUNT(*) AS NUM_REG, SUM(IF(TRIM(CAST(X."&amp;F323&amp;" AS STRING))='' OR TRIM(CAST(X."&amp;F323&amp;" AS STRING)) IS NULL OR CAST(X."&amp;F323&amp;" AS STRING) NOT "&amp;H323&amp;",1,0)) AS NUM_REG_DIF,'"&amp;MAX('ID1&amp;5'!K:K)+1&amp;"' AS ID_EXEC, CURRENT_TIMESTAMP() AS TIME_EXEC FROM "&amp;I323,"SELECT '"&amp;UPPER(B323)&amp;"' AS TABELA, '"&amp;UPPER(C323)&amp;"' AS TIPOLOGIA_TESTE,'"&amp;D323&amp;"' AS TABELA_LT,'N/A' AS TABELA_SIMUL,'"&amp;F323&amp;"' AS CAMPO, "&amp;"'${ref_date}' AS REF_DATE, COUNT(*) AS NUM_REG, SUM(IF(TRIM(CAST(X."&amp;F323&amp;" AS STRING))='' OR TRIM(CAST(X."&amp;F323&amp;" AS STRING)) IS NULL,1,0)) AS NUM_REG_DIF,'"&amp;MAX('ID1&amp;5'!K:K)+1&amp;"' AS ID_EXEC, CURRENT_TIMESTAMP() AS TIME_EXEC FROM "&amp;I323),
IF(C323="Caracteres Especiais",+"SELECT '"&amp;UPPER(B323)&amp;"' AS TABELA, '"&amp;UPPER(C323)&amp;"' AS TIPOLOGIA_TESTE,'"&amp;D323&amp;"' AS TABELA_LT,'N/A' AS TABELA_SIMUL,'"&amp;F323&amp;"' AS CAMPO, "&amp;"'${ref_date}' AS REF_DATE, COUNT(*) AS NUM_REG, SUM(IF(REGEXP_REPLACE(TRIM(CAST(X."&amp;F323&amp;" AS STRING)),'[^a-zA-Z0-9_\\s]','') &lt;&gt;TRIM(CAST(X."&amp;F323&amp;" AS STRING)),1,0)) AS NUM_REG_DIF,'"&amp;MAX('ID1&amp;5'!K:K)+1&amp;"' AS ID_EXEC, CURRENT_TIMESTAMP() AS TIME_EXEC FROM "&amp;I323,
IF(C323="Missings",+"SELECT '"&amp;UPPER(B323)&amp;"' AS TABELA, '"&amp;UPPER(C323)&amp;"' AS TIPOLOGIA_TESTE,'"&amp;D323&amp;"' AS TABELA_LT,'N/A' AS TABELA_SIMUL,'"&amp;F323&amp;"' AS CAMPO, "&amp;"'${ref_date}' AS REF_DATE, COUNT(*) AS NUM_REG, SUM(IF(TRIM(CAST(X."&amp;F323&amp;" AS STRING)) IN ('0000-00-00','0001-01-01','9999-12-31','MISS','00000','99999999999','99999999999.00','99999999999.000000'),1,0)) AS NUM_REG_DIF,'"&amp;MAX('ID1&amp;5'!K:K)+1&amp;"' AS ID_EXEC, CURRENT_TIMESTAMP() AS TIME_EXEC FROM "&amp;I323,
IF(C323="Not applicable",+"SELECT '"&amp;UPPER(B323)&amp;"' AS TABELA, '"&amp;UPPER(C323)&amp;"' AS TIPOLOGIA_TESTE,'"&amp;D323&amp;"' AS TABELA_LT,'N/A' AS TABELA_SIMUL,'"&amp;F323&amp;"' AS CAMPO, "&amp;"'${ref_date}' AS REF_DATE, COUNT(*) AS NUM_REG, SUM(IF(TRIM(CAST(X."&amp;F323&amp;" AS STRING)) IN ('N/A','11111111111','11111111111.00','11111111111.000000','1111-11-11'),1,0)) AS NUM_REG_DIF,'"&amp;MAX('ID1&amp;5'!K:K)+1&amp;"' AS ID_EXEC, CURRENT_TIMESTAMP() AS TIME_EXEC FROM "&amp;I323,
IF(C323="Valores extremos",+"SELECT '"&amp;UPPER(B323)&amp;"' AS TABELA, '"&amp;UPPER(C323)&amp;"' AS TIPOLOGIA_TESTE,'"&amp;D323&amp;"' AS TABELA_LT,'N/A' AS TABELA_SIMUL,'"&amp;F323&amp;"' AS CAMPO, "&amp;"'${ref_date}' AS REF_DATE, CAST(MIN("&amp;F323&amp;") AS STRING) AS VALOR_MIN, CAST(MAX("&amp;F323&amp;") AS STRING) AS VALOR_MAX,'"&amp;MAX('ID1&amp;5'!K:K)+1&amp;"' AS ID_EXEC, CURRENT_TIMESTAMP() AS TIME_EXEC FROM "&amp;MID(I323,1,LEN(I323)-2)&amp;" AND CAST("&amp;F323&amp;"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TABELA_SIMUL,'nominal_interest_rate_fee' AS CAMPO, '${ref_date}' AS REF_DATE, COUNT(*) AS NUM_REG, SUM(IF(COALESCE(CAST(X.nominal_interest_rate_fee AS STRING),'')&lt;&gt;COALESCE(CAST(Y.nominal_interest_rate_fee_SIMUL AS STRING),'') OR (X.nominal_interest_rate_fee IS NULL AND Y.nominal_interest_rate_fee_SIMUL IS NOT NULL ) OR (X.nominal_interest_rate_fee IS NOT NULL AND Y.nominal_interest_rate_fee_SIMUL IS NULL),1,0)) AS NUM_REG_DIF,'1' AS ID_EXEC, CURRENT_TIMESTAMP() AS TIME_EXEC FROM (SELECT instrmnt_id, nominal_interest_rate_fee FROM BU_LOANTAPE_WORK.LT002_INSTRUMENT WHERE ref_date='${ref_date}' AND nome_perimetro='Individual Local' AND segmento='ESTR' AND ambito='SRB_MBDT' AND entidade='00100')X INNER JOIN (SELECT instrmnt_id AS instrmnt_id_SIMUL, nominal_interest_rate_fee AS nominal_interest_rate_fee_SIMUL FROM BU_LOANTAPE_WORK.SIMUL_LT002_INSTRUMENT WHERE ref_date='${ref_date}' AND nome_perimetro='Individual Local' AND segmento='ESTR' AND ambito='PILAR3' AND entidade='00100')Y ON X.INSTRMNT_ID=Y.INSTRMNT_ID_SIMUL</v>
      </c>
      <c r="M323" s="36" t="str">
        <f t="shared" si="8"/>
        <v>UNION ALL SELECT 'INSTRUMENT' AS TABELA, 'COERÊNCIA' AS TIPOLOGIA_TESTE,'BU_LOANTAPE_WORK.LT002_INSTRUMENT' AS TABELA_LT,'BU_LOANTAPE_WORK.SIMUL_LT002_INSTRUMENT' AS TABELA_SIMUL,'nominal_interest_rate_fee' AS CAMPO, '${ref_date}' AS REF_DATE, COUNT(*) AS NUM_REG, SUM(IF(COALESCE(CAST(X.nominal_interest_rate_fee AS STRING),'')&lt;&gt;COALESCE(CAST(Y.nominal_interest_rate_fee_SIMUL AS STRING),'') OR (X.nominal_interest_rate_fee IS NULL AND Y.nominal_interest_rate_fee_SIMUL IS NOT NULL ) OR (X.nominal_interest_rate_fee IS NOT NULL AND Y.nominal_interest_rate_fee_SIMUL IS NULL),1,0)) AS NUM_REG_DIF,'1' AS ID_EXEC, CURRENT_TIMESTAMP() AS TIME_EXEC FROM (SELECT instrmnt_id, nominal_interest_rate_fee FROM BU_LOANTAPE_WORK.LT002_INSTRUMENT WHERE ref_date='${ref_date}' AND nome_perimetro='Individual Local' AND segmento='ESTR' AND ambito='SRB_MBDT' AND entidade='00100')X INNER JOIN (SELECT instrmnt_id AS instrmnt_id_SIMUL, nominal_interest_rate_fee AS nominal_interest_rate_fee_SIMUL FROM BU_LOANTAPE_WORK.SIMUL_LT002_INSTRUMENT WHERE ref_date='${ref_date}' AND nome_perimetro='Individual Local' AND segmento='ESTR' AND ambito='PILAR3' AND entidade='00100')Y ON X.INSTRMNT_ID=Y.INSTRMNT_ID_SIMUL</v>
      </c>
      <c r="N323" s="38"/>
    </row>
    <row r="324" spans="2:14">
      <c r="B324" s="34" t="s">
        <v>117</v>
      </c>
      <c r="C324" s="34" t="s">
        <v>5</v>
      </c>
      <c r="D324" s="34" t="str">
        <f>+UPPER('0. Instruções'!$D$35&amp;"."&amp;VLOOKUP(B324,'0. Instruções'!$C$27:$D$32,2,FALSE))</f>
        <v>BU_LOANTAPE_WORK.LT002_INSTRUMENT</v>
      </c>
      <c r="E324" s="34" t="str">
        <f>+UPPER('0. Instruções'!$D$36&amp;"."&amp;VLOOKUP(B324,'0. Instruções'!$C$27:$E$32,3,FALSE))</f>
        <v>BU_LOANTAPE_WORK.SIMUL_LT002_INSTRUMENT</v>
      </c>
      <c r="F324" s="34" t="s">
        <v>1364</v>
      </c>
      <c r="G324" s="34"/>
      <c r="H324" s="34"/>
      <c r="I324" s="34" t="str">
        <f>"(SELECT "&amp;VLOOKUP(B324,'0. Instruções'!$C$27:$G$32,4,FALSE)&amp;", "&amp;F324&amp;" FROM "&amp;D324&amp;" WHERE "&amp;'0. Instruções'!$D$42&amp;")X"</f>
        <v>(SELECT instrmnt_id, unique_trade_id FROM BU_LOANTAPE_WORK.LT002_INSTRUMENT WHERE ref_date='${ref_date}' AND nome_perimetro='Individual Local' AND segmento='ESTR' AND ambito='SRB_MBDT' AND entidade='00100')X</v>
      </c>
      <c r="J324" s="34" t="str">
        <f>"(SELECT "&amp;VLOOKUP(B324,'0. Instruções'!$C$27:$G$32,4,FALSE)&amp;" AS "&amp;VLOOKUP(B324,'0. Instruções'!$C$27:$G$32,4,FALSE)&amp;"_SIMUL, "&amp;F324&amp;" AS "&amp;F324&amp;"_SIMUL FROM "&amp;E324&amp;" WHERE "&amp;'0. Instruções'!$D$43&amp;")Y"</f>
        <v>(SELECT instrmnt_id AS instrmnt_id_SIMUL, unique_trade_id AS unique_trade_id_SIMUL FROM BU_LOANTAPE_WORK.SIMUL_LT002_INSTRUMENT WHERE ref_date='${ref_date}' AND nome_perimetro='Individual Local' AND segmento='ESTR' AND ambito='PILAR3' AND entidade='00100')Y</v>
      </c>
      <c r="K324" s="35" t="str">
        <f>+UPPER("ON X."&amp;VLOOKUP(B324,'0. Instruções'!$C$27:$G$32,4,FALSE)&amp;"=Y."&amp;VLOOKUP(B324,'0. Instruções'!$C$27:$G$32,4,FALSE)&amp;"_SIMUL")</f>
        <v>ON X.INSTRMNT_ID=Y.INSTRMNT_ID_SIMUL</v>
      </c>
      <c r="L324" s="35" t="str">
        <f>+IF(C324="Coerência", +IF(LEFT(G324,5)="FLOAT","SELECT '"&amp;UPPER(B324)&amp;"' AS TABELA, '"&amp;UPPER(C324)&amp;"' AS TIPOLOGIA_TESTE,'"&amp;D324&amp;"' AS TABELA_LT,'"&amp;E324&amp;"' AS TABELA_SIMUL,'"&amp;F324&amp;"' AS CAMPO, "&amp;"'${ref_date}' AS REF_DATE, COUNT(*) AS NUM_REG, SUM(IF((ABS(COALESCE(CAST(X."&amp;F324&amp;" AS DECIMAL(18,6)),0)-COALESCE(CAST(Y."&amp;F324&amp;"_SIMUL AS DECIMAL(18,6)),0))&gt;0.000001) OR (X."&amp;F324&amp;" IS NULL AND Y."&amp;F324&amp;"_SIMUL IS NOT NULL ) OR (X."&amp;F324&amp;" IS NOT NULL AND Y."&amp;F324&amp;"_SIMUL IS NULL),1,0)) AS NUM_REG_DIF,'"&amp;MAX('ID1&amp;5'!K:K)+1&amp;"' AS ID_EXEC, CURRENT_TIMESTAMP() AS TIME_EXEC FROM "&amp;I324&amp;" INNER JOIN "&amp;J324&amp;" "&amp;K324,"SELECT '"&amp;UPPER(B324)&amp;"' AS TABELA, '"&amp;UPPER(C324)&amp;"' AS TIPOLOGIA_TESTE,'"&amp;D324&amp;"' AS TABELA_LT,'"&amp;E324&amp;"' AS TABELA_SIMUL,'"&amp;F324&amp;"' AS CAMPO, "&amp;"'${ref_date}' AS REF_DATE, COUNT(*) AS NUM_REG, SUM(IF(COALESCE(CAST(X."&amp;F324&amp;" AS STRING),'')&lt;&gt;COALESCE(CAST(Y."&amp;F324&amp;"_SIMUL AS STRING),'') OR (X."&amp;F324&amp;" IS NULL AND Y."&amp;F324&amp;"_SIMUL IS NOT NULL ) OR (X."&amp;F324&amp;" IS NOT NULL AND Y."&amp;F324&amp;"_SIMUL IS NULL),1,0)) AS NUM_REG_DIF,'"&amp;MAX('ID1&amp;5'!L:L)+1&amp;"' AS ID_EXEC, CURRENT_TIMESTAMP() AS TIME_EXEC FROM "&amp;I324&amp;" INNER JOIN "&amp;J324&amp;" "&amp;K324),
IF(C324="Validade",+IF(G324="Code List","SELECT '"&amp;UPPER(B324)&amp;"' AS TABELA, '"&amp;UPPER(C324)&amp;"' AS TIPOLOGIA_TESTE,'"&amp;D324&amp;"' AS TABELA_LT,'N/A' AS TABELA_SIMUL,'"&amp;F324&amp;"' AS CAMPO, "&amp;"'${ref_date}' AS REF_DATE, COUNT(*) AS NUM_REG, SUM(IF(TRIM(CAST(X."&amp;F324&amp;" AS STRING))='' OR TRIM(CAST(X."&amp;F324&amp;" AS STRING)) IS NULL OR CAST(X."&amp;F324&amp;" AS STRING) NOT "&amp;H324&amp;",1,0)) AS NUM_REG_DIF,'"&amp;MAX('ID1&amp;5'!K:K)+1&amp;"' AS ID_EXEC, CURRENT_TIMESTAMP() AS TIME_EXEC FROM "&amp;I324,"SELECT '"&amp;UPPER(B324)&amp;"' AS TABELA, '"&amp;UPPER(C324)&amp;"' AS TIPOLOGIA_TESTE,'"&amp;D324&amp;"' AS TABELA_LT,'N/A' AS TABELA_SIMUL,'"&amp;F324&amp;"' AS CAMPO, "&amp;"'${ref_date}' AS REF_DATE, COUNT(*) AS NUM_REG, SUM(IF(TRIM(CAST(X."&amp;F324&amp;" AS STRING))='' OR TRIM(CAST(X."&amp;F324&amp;" AS STRING)) IS NULL,1,0)) AS NUM_REG_DIF,'"&amp;MAX('ID1&amp;5'!K:K)+1&amp;"' AS ID_EXEC, CURRENT_TIMESTAMP() AS TIME_EXEC FROM "&amp;I324),
IF(C324="Caracteres Especiais",+"SELECT '"&amp;UPPER(B324)&amp;"' AS TABELA, '"&amp;UPPER(C324)&amp;"' AS TIPOLOGIA_TESTE,'"&amp;D324&amp;"' AS TABELA_LT,'N/A' AS TABELA_SIMUL,'"&amp;F324&amp;"' AS CAMPO, "&amp;"'${ref_date}' AS REF_DATE, COUNT(*) AS NUM_REG, SUM(IF(REGEXP_REPLACE(TRIM(CAST(X."&amp;F324&amp;" AS STRING)),'[^a-zA-Z0-9_\\s]','') &lt;&gt;TRIM(CAST(X."&amp;F324&amp;" AS STRING)),1,0)) AS NUM_REG_DIF,'"&amp;MAX('ID1&amp;5'!K:K)+1&amp;"' AS ID_EXEC, CURRENT_TIMESTAMP() AS TIME_EXEC FROM "&amp;I324,
IF(C324="Missings",+"SELECT '"&amp;UPPER(B324)&amp;"' AS TABELA, '"&amp;UPPER(C324)&amp;"' AS TIPOLOGIA_TESTE,'"&amp;D324&amp;"' AS TABELA_LT,'N/A' AS TABELA_SIMUL,'"&amp;F324&amp;"' AS CAMPO, "&amp;"'${ref_date}' AS REF_DATE, COUNT(*) AS NUM_REG, SUM(IF(TRIM(CAST(X."&amp;F324&amp;" AS STRING)) IN ('0000-00-00','0001-01-01','9999-12-31','MISS','00000','99999999999','99999999999.00','99999999999.000000'),1,0)) AS NUM_REG_DIF,'"&amp;MAX('ID1&amp;5'!K:K)+1&amp;"' AS ID_EXEC, CURRENT_TIMESTAMP() AS TIME_EXEC FROM "&amp;I324,
IF(C324="Not applicable",+"SELECT '"&amp;UPPER(B324)&amp;"' AS TABELA, '"&amp;UPPER(C324)&amp;"' AS TIPOLOGIA_TESTE,'"&amp;D324&amp;"' AS TABELA_LT,'N/A' AS TABELA_SIMUL,'"&amp;F324&amp;"' AS CAMPO, "&amp;"'${ref_date}' AS REF_DATE, COUNT(*) AS NUM_REG, SUM(IF(TRIM(CAST(X."&amp;F324&amp;" AS STRING)) IN ('N/A','11111111111','11111111111.00','11111111111.000000','1111-11-11'),1,0)) AS NUM_REG_DIF,'"&amp;MAX('ID1&amp;5'!K:K)+1&amp;"' AS ID_EXEC, CURRENT_TIMESTAMP() AS TIME_EXEC FROM "&amp;I324,
IF(C324="Valores extremos",+"SELECT '"&amp;UPPER(B324)&amp;"' AS TABELA, '"&amp;UPPER(C324)&amp;"' AS TIPOLOGIA_TESTE,'"&amp;D324&amp;"' AS TABELA_LT,'N/A' AS TABELA_SIMUL,'"&amp;F324&amp;"' AS CAMPO, "&amp;"'${ref_date}' AS REF_DATE, CAST(MIN("&amp;F324&amp;") AS STRING) AS VALOR_MIN, CAST(MAX("&amp;F324&amp;") AS STRING) AS VALOR_MAX,'"&amp;MAX('ID1&amp;5'!K:K)+1&amp;"' AS ID_EXEC, CURRENT_TIMESTAMP() AS TIME_EXEC FROM "&amp;MID(I324,1,LEN(I324)-2)&amp;" AND CAST("&amp;F324&amp;"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TABELA_SIMUL,'unique_trade_id' AS CAMPO, '${ref_date}' AS REF_DATE, COUNT(*) AS NUM_REG, SUM(IF(COALESCE(CAST(X.unique_trade_id AS STRING),'')&lt;&gt;COALESCE(CAST(Y.unique_trade_id_SIMUL AS STRING),'') OR (X.unique_trade_id IS NULL AND Y.unique_trade_id_SIMUL IS NOT NULL ) OR (X.unique_trade_id IS NOT NULL AND Y.unique_trade_id_SIMUL IS NULL),1,0)) AS NUM_REG_DIF,'1' AS ID_EXEC, CURRENT_TIMESTAMP() AS TIME_EXEC FROM (SELECT instrmnt_id, unique_trade_id FROM BU_LOANTAPE_WORK.LT002_INSTRUMENT WHERE ref_date='${ref_date}' AND nome_perimetro='Individual Local' AND segmento='ESTR' AND ambito='SRB_MBDT' AND entidade='00100')X INNER JOIN (SELECT instrmnt_id AS instrmnt_id_SIMUL, unique_trade_id AS unique_trade_id_SIMUL FROM BU_LOANTAPE_WORK.SIMUL_LT002_INSTRUMENT WHERE ref_date='${ref_date}' AND nome_perimetro='Individual Local' AND segmento='ESTR' AND ambito='PILAR3' AND entidade='00100')Y ON X.INSTRMNT_ID=Y.INSTRMNT_ID_SIMUL</v>
      </c>
      <c r="M324" s="36" t="str">
        <f t="shared" si="8"/>
        <v>UNION ALL SELECT 'INSTRUMENT' AS TABELA, 'COERÊNCIA' AS TIPOLOGIA_TESTE,'BU_LOANTAPE_WORK.LT002_INSTRUMENT' AS TABELA_LT,'BU_LOANTAPE_WORK.SIMUL_LT002_INSTRUMENT' AS TABELA_SIMUL,'unique_trade_id' AS CAMPO, '${ref_date}' AS REF_DATE, COUNT(*) AS NUM_REG, SUM(IF(COALESCE(CAST(X.unique_trade_id AS STRING),'')&lt;&gt;COALESCE(CAST(Y.unique_trade_id_SIMUL AS STRING),'') OR (X.unique_trade_id IS NULL AND Y.unique_trade_id_SIMUL IS NOT NULL ) OR (X.unique_trade_id IS NOT NULL AND Y.unique_trade_id_SIMUL IS NULL),1,0)) AS NUM_REG_DIF,'1' AS ID_EXEC, CURRENT_TIMESTAMP() AS TIME_EXEC FROM (SELECT instrmnt_id, unique_trade_id FROM BU_LOANTAPE_WORK.LT002_INSTRUMENT WHERE ref_date='${ref_date}' AND nome_perimetro='Individual Local' AND segmento='ESTR' AND ambito='SRB_MBDT' AND entidade='00100')X INNER JOIN (SELECT instrmnt_id AS instrmnt_id_SIMUL, unique_trade_id AS unique_trade_id_SIMUL FROM BU_LOANTAPE_WORK.SIMUL_LT002_INSTRUMENT WHERE ref_date='${ref_date}' AND nome_perimetro='Individual Local' AND segmento='ESTR' AND ambito='PILAR3' AND entidade='00100')Y ON X.INSTRMNT_ID=Y.INSTRMNT_ID_SIMUL</v>
      </c>
      <c r="N324" s="38"/>
    </row>
    <row r="325" spans="2:14">
      <c r="B325" s="34" t="s">
        <v>117</v>
      </c>
      <c r="C325" s="34" t="s">
        <v>5</v>
      </c>
      <c r="D325" s="34" t="str">
        <f>+UPPER('0. Instruções'!$D$35&amp;"."&amp;VLOOKUP(B325,'0. Instruções'!$C$27:$D$32,2,FALSE))</f>
        <v>BU_LOANTAPE_WORK.LT002_INSTRUMENT</v>
      </c>
      <c r="E325" s="34" t="str">
        <f>+UPPER('0. Instruções'!$D$36&amp;"."&amp;VLOOKUP(B325,'0. Instruções'!$C$27:$E$32,3,FALSE))</f>
        <v>BU_LOANTAPE_WORK.SIMUL_LT002_INSTRUMENT</v>
      </c>
      <c r="F325" s="34" t="s">
        <v>1365</v>
      </c>
      <c r="G325" s="34"/>
      <c r="H325" s="34"/>
      <c r="I325" s="34" t="str">
        <f>"(SELECT "&amp;VLOOKUP(B325,'0. Instruções'!$C$27:$G$32,4,FALSE)&amp;", "&amp;F325&amp;" FROM "&amp;D325&amp;" WHERE "&amp;'0. Instruções'!$D$42&amp;")X"</f>
        <v>(SELECT instrmnt_id, base_product FROM BU_LOANTAPE_WORK.LT002_INSTRUMENT WHERE ref_date='${ref_date}' AND nome_perimetro='Individual Local' AND segmento='ESTR' AND ambito='SRB_MBDT' AND entidade='00100')X</v>
      </c>
      <c r="J325" s="34" t="str">
        <f>"(SELECT "&amp;VLOOKUP(B325,'0. Instruções'!$C$27:$G$32,4,FALSE)&amp;" AS "&amp;VLOOKUP(B325,'0. Instruções'!$C$27:$G$32,4,FALSE)&amp;"_SIMUL, "&amp;F325&amp;" AS "&amp;F325&amp;"_SIMUL FROM "&amp;E325&amp;" WHERE "&amp;'0. Instruções'!$D$43&amp;")Y"</f>
        <v>(SELECT instrmnt_id AS instrmnt_id_SIMUL, base_product AS base_product_SIMUL FROM BU_LOANTAPE_WORK.SIMUL_LT002_INSTRUMENT WHERE ref_date='${ref_date}' AND nome_perimetro='Individual Local' AND segmento='ESTR' AND ambito='PILAR3' AND entidade='00100')Y</v>
      </c>
      <c r="K325" s="35" t="str">
        <f>+UPPER("ON X."&amp;VLOOKUP(B325,'0. Instruções'!$C$27:$G$32,4,FALSE)&amp;"=Y."&amp;VLOOKUP(B325,'0. Instruções'!$C$27:$G$32,4,FALSE)&amp;"_SIMUL")</f>
        <v>ON X.INSTRMNT_ID=Y.INSTRMNT_ID_SIMUL</v>
      </c>
      <c r="L325" s="35" t="str">
        <f>+IF(C325="Coerência", +IF(LEFT(G325,5)="FLOAT","SELECT '"&amp;UPPER(B325)&amp;"' AS TABELA, '"&amp;UPPER(C325)&amp;"' AS TIPOLOGIA_TESTE,'"&amp;D325&amp;"' AS TABELA_LT,'"&amp;E325&amp;"' AS TABELA_SIMUL,'"&amp;F325&amp;"' AS CAMPO, "&amp;"'${ref_date}' AS REF_DATE, COUNT(*) AS NUM_REG, SUM(IF((ABS(COALESCE(CAST(X."&amp;F325&amp;" AS DECIMAL(18,6)),0)-COALESCE(CAST(Y."&amp;F325&amp;"_SIMUL AS DECIMAL(18,6)),0))&gt;0.000001) OR (X."&amp;F325&amp;" IS NULL AND Y."&amp;F325&amp;"_SIMUL IS NOT NULL ) OR (X."&amp;F325&amp;" IS NOT NULL AND Y."&amp;F325&amp;"_SIMUL IS NULL),1,0)) AS NUM_REG_DIF,'"&amp;MAX('ID1&amp;5'!K:K)+1&amp;"' AS ID_EXEC, CURRENT_TIMESTAMP() AS TIME_EXEC FROM "&amp;I325&amp;" INNER JOIN "&amp;J325&amp;" "&amp;K325,"SELECT '"&amp;UPPER(B325)&amp;"' AS TABELA, '"&amp;UPPER(C325)&amp;"' AS TIPOLOGIA_TESTE,'"&amp;D325&amp;"' AS TABELA_LT,'"&amp;E325&amp;"' AS TABELA_SIMUL,'"&amp;F325&amp;"' AS CAMPO, "&amp;"'${ref_date}' AS REF_DATE, COUNT(*) AS NUM_REG, SUM(IF(COALESCE(CAST(X."&amp;F325&amp;" AS STRING),'')&lt;&gt;COALESCE(CAST(Y."&amp;F325&amp;"_SIMUL AS STRING),'') OR (X."&amp;F325&amp;" IS NULL AND Y."&amp;F325&amp;"_SIMUL IS NOT NULL ) OR (X."&amp;F325&amp;" IS NOT NULL AND Y."&amp;F325&amp;"_SIMUL IS NULL),1,0)) AS NUM_REG_DIF,'"&amp;MAX('ID1&amp;5'!L:L)+1&amp;"' AS ID_EXEC, CURRENT_TIMESTAMP() AS TIME_EXEC FROM "&amp;I325&amp;" INNER JOIN "&amp;J325&amp;" "&amp;K325),
IF(C325="Validade",+IF(G325="Code List","SELECT '"&amp;UPPER(B325)&amp;"' AS TABELA, '"&amp;UPPER(C325)&amp;"' AS TIPOLOGIA_TESTE,'"&amp;D325&amp;"' AS TABELA_LT,'N/A' AS TABELA_SIMUL,'"&amp;F325&amp;"' AS CAMPO, "&amp;"'${ref_date}' AS REF_DATE, COUNT(*) AS NUM_REG, SUM(IF(TRIM(CAST(X."&amp;F325&amp;" AS STRING))='' OR TRIM(CAST(X."&amp;F325&amp;" AS STRING)) IS NULL OR CAST(X."&amp;F325&amp;" AS STRING) NOT "&amp;H325&amp;",1,0)) AS NUM_REG_DIF,'"&amp;MAX('ID1&amp;5'!K:K)+1&amp;"' AS ID_EXEC, CURRENT_TIMESTAMP() AS TIME_EXEC FROM "&amp;I325,"SELECT '"&amp;UPPER(B325)&amp;"' AS TABELA, '"&amp;UPPER(C325)&amp;"' AS TIPOLOGIA_TESTE,'"&amp;D325&amp;"' AS TABELA_LT,'N/A' AS TABELA_SIMUL,'"&amp;F325&amp;"' AS CAMPO, "&amp;"'${ref_date}' AS REF_DATE, COUNT(*) AS NUM_REG, SUM(IF(TRIM(CAST(X."&amp;F325&amp;" AS STRING))='' OR TRIM(CAST(X."&amp;F325&amp;" AS STRING)) IS NULL,1,0)) AS NUM_REG_DIF,'"&amp;MAX('ID1&amp;5'!K:K)+1&amp;"' AS ID_EXEC, CURRENT_TIMESTAMP() AS TIME_EXEC FROM "&amp;I325),
IF(C325="Caracteres Especiais",+"SELECT '"&amp;UPPER(B325)&amp;"' AS TABELA, '"&amp;UPPER(C325)&amp;"' AS TIPOLOGIA_TESTE,'"&amp;D325&amp;"' AS TABELA_LT,'N/A' AS TABELA_SIMUL,'"&amp;F325&amp;"' AS CAMPO, "&amp;"'${ref_date}' AS REF_DATE, COUNT(*) AS NUM_REG, SUM(IF(REGEXP_REPLACE(TRIM(CAST(X."&amp;F325&amp;" AS STRING)),'[^a-zA-Z0-9_\\s]','') &lt;&gt;TRIM(CAST(X."&amp;F325&amp;" AS STRING)),1,0)) AS NUM_REG_DIF,'"&amp;MAX('ID1&amp;5'!K:K)+1&amp;"' AS ID_EXEC, CURRENT_TIMESTAMP() AS TIME_EXEC FROM "&amp;I325,
IF(C325="Missings",+"SELECT '"&amp;UPPER(B325)&amp;"' AS TABELA, '"&amp;UPPER(C325)&amp;"' AS TIPOLOGIA_TESTE,'"&amp;D325&amp;"' AS TABELA_LT,'N/A' AS TABELA_SIMUL,'"&amp;F325&amp;"' AS CAMPO, "&amp;"'${ref_date}' AS REF_DATE, COUNT(*) AS NUM_REG, SUM(IF(TRIM(CAST(X."&amp;F325&amp;" AS STRING)) IN ('0000-00-00','0001-01-01','9999-12-31','MISS','00000','99999999999','99999999999.00','99999999999.000000'),1,0)) AS NUM_REG_DIF,'"&amp;MAX('ID1&amp;5'!K:K)+1&amp;"' AS ID_EXEC, CURRENT_TIMESTAMP() AS TIME_EXEC FROM "&amp;I325,
IF(C325="Not applicable",+"SELECT '"&amp;UPPER(B325)&amp;"' AS TABELA, '"&amp;UPPER(C325)&amp;"' AS TIPOLOGIA_TESTE,'"&amp;D325&amp;"' AS TABELA_LT,'N/A' AS TABELA_SIMUL,'"&amp;F325&amp;"' AS CAMPO, "&amp;"'${ref_date}' AS REF_DATE, COUNT(*) AS NUM_REG, SUM(IF(TRIM(CAST(X."&amp;F325&amp;" AS STRING)) IN ('N/A','11111111111','11111111111.00','11111111111.000000','1111-11-11'),1,0)) AS NUM_REG_DIF,'"&amp;MAX('ID1&amp;5'!K:K)+1&amp;"' AS ID_EXEC, CURRENT_TIMESTAMP() AS TIME_EXEC FROM "&amp;I325,
IF(C325="Valores extremos",+"SELECT '"&amp;UPPER(B325)&amp;"' AS TABELA, '"&amp;UPPER(C325)&amp;"' AS TIPOLOGIA_TESTE,'"&amp;D325&amp;"' AS TABELA_LT,'N/A' AS TABELA_SIMUL,'"&amp;F325&amp;"' AS CAMPO, "&amp;"'${ref_date}' AS REF_DATE, CAST(MIN("&amp;F325&amp;") AS STRING) AS VALOR_MIN, CAST(MAX("&amp;F325&amp;") AS STRING) AS VALOR_MAX,'"&amp;MAX('ID1&amp;5'!K:K)+1&amp;"' AS ID_EXEC, CURRENT_TIMESTAMP() AS TIME_EXEC FROM "&amp;MID(I325,1,LEN(I325)-2)&amp;" AND CAST("&amp;F325&amp;"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TABELA_SIMUL,'base_product' AS CAMPO, '${ref_date}' AS REF_DATE, COUNT(*) AS NUM_REG, SUM(IF(COALESCE(CAST(X.base_product AS STRING),'')&lt;&gt;COALESCE(CAST(Y.base_product_SIMUL AS STRING),'') OR (X.base_product IS NULL AND Y.base_product_SIMUL IS NOT NULL ) OR (X.base_product IS NOT NULL AND Y.base_product_SIMUL IS NULL),1,0)) AS NUM_REG_DIF,'1' AS ID_EXEC, CURRENT_TIMESTAMP() AS TIME_EXEC FROM (SELECT instrmnt_id, base_product FROM BU_LOANTAPE_WORK.LT002_INSTRUMENT WHERE ref_date='${ref_date}' AND nome_perimetro='Individual Local' AND segmento='ESTR' AND ambito='SRB_MBDT' AND entidade='00100')X INNER JOIN (SELECT instrmnt_id AS instrmnt_id_SIMUL, base_product AS base_product_SIMUL FROM BU_LOANTAPE_WORK.SIMUL_LT002_INSTRUMENT WHERE ref_date='${ref_date}' AND nome_perimetro='Individual Local' AND segmento='ESTR' AND ambito='PILAR3' AND entidade='00100')Y ON X.INSTRMNT_ID=Y.INSTRMNT_ID_SIMUL</v>
      </c>
      <c r="M325" s="36" t="str">
        <f t="shared" si="8"/>
        <v>UNION ALL SELECT 'INSTRUMENT' AS TABELA, 'COERÊNCIA' AS TIPOLOGIA_TESTE,'BU_LOANTAPE_WORK.LT002_INSTRUMENT' AS TABELA_LT,'BU_LOANTAPE_WORK.SIMUL_LT002_INSTRUMENT' AS TABELA_SIMUL,'base_product' AS CAMPO, '${ref_date}' AS REF_DATE, COUNT(*) AS NUM_REG, SUM(IF(COALESCE(CAST(X.base_product AS STRING),'')&lt;&gt;COALESCE(CAST(Y.base_product_SIMUL AS STRING),'') OR (X.base_product IS NULL AND Y.base_product_SIMUL IS NOT NULL ) OR (X.base_product IS NOT NULL AND Y.base_product_SIMUL IS NULL),1,0)) AS NUM_REG_DIF,'1' AS ID_EXEC, CURRENT_TIMESTAMP() AS TIME_EXEC FROM (SELECT instrmnt_id, base_product FROM BU_LOANTAPE_WORK.LT002_INSTRUMENT WHERE ref_date='${ref_date}' AND nome_perimetro='Individual Local' AND segmento='ESTR' AND ambito='SRB_MBDT' AND entidade='00100')X INNER JOIN (SELECT instrmnt_id AS instrmnt_id_SIMUL, base_product AS base_product_SIMUL FROM BU_LOANTAPE_WORK.SIMUL_LT002_INSTRUMENT WHERE ref_date='${ref_date}' AND nome_perimetro='Individual Local' AND segmento='ESTR' AND ambito='PILAR3' AND entidade='00100')Y ON X.INSTRMNT_ID=Y.INSTRMNT_ID_SIMUL</v>
      </c>
      <c r="N325" s="38"/>
    </row>
    <row r="326" spans="2:14">
      <c r="B326" s="34" t="s">
        <v>117</v>
      </c>
      <c r="C326" s="34" t="s">
        <v>5</v>
      </c>
      <c r="D326" s="34" t="str">
        <f>+UPPER('0. Instruções'!$D$35&amp;"."&amp;VLOOKUP(B326,'0. Instruções'!$C$27:$D$32,2,FALSE))</f>
        <v>BU_LOANTAPE_WORK.LT002_INSTRUMENT</v>
      </c>
      <c r="E326" s="34" t="str">
        <f>+UPPER('0. Instruções'!$D$36&amp;"."&amp;VLOOKUP(B326,'0. Instruções'!$C$27:$E$32,3,FALSE))</f>
        <v>BU_LOANTAPE_WORK.SIMUL_LT002_INSTRUMENT</v>
      </c>
      <c r="F326" s="34" t="s">
        <v>1366</v>
      </c>
      <c r="G326" s="34"/>
      <c r="H326" s="34"/>
      <c r="I326" s="34" t="str">
        <f>"(SELECT "&amp;VLOOKUP(B326,'0. Instruções'!$C$27:$G$32,4,FALSE)&amp;", "&amp;F326&amp;" FROM "&amp;D326&amp;" WHERE "&amp;'0. Instruções'!$D$42&amp;")X"</f>
        <v>(SELECT instrmnt_id, governing_law FROM BU_LOANTAPE_WORK.LT002_INSTRUMENT WHERE ref_date='${ref_date}' AND nome_perimetro='Individual Local' AND segmento='ESTR' AND ambito='SRB_MBDT' AND entidade='00100')X</v>
      </c>
      <c r="J326" s="34" t="str">
        <f>"(SELECT "&amp;VLOOKUP(B326,'0. Instruções'!$C$27:$G$32,4,FALSE)&amp;" AS "&amp;VLOOKUP(B326,'0. Instruções'!$C$27:$G$32,4,FALSE)&amp;"_SIMUL, "&amp;F326&amp;" AS "&amp;F326&amp;"_SIMUL FROM "&amp;E326&amp;" WHERE "&amp;'0. Instruções'!$D$43&amp;")Y"</f>
        <v>(SELECT instrmnt_id AS instrmnt_id_SIMUL, governing_law AS governing_law_SIMUL FROM BU_LOANTAPE_WORK.SIMUL_LT002_INSTRUMENT WHERE ref_date='${ref_date}' AND nome_perimetro='Individual Local' AND segmento='ESTR' AND ambito='PILAR3' AND entidade='00100')Y</v>
      </c>
      <c r="K326" s="35" t="str">
        <f>+UPPER("ON X."&amp;VLOOKUP(B326,'0. Instruções'!$C$27:$G$32,4,FALSE)&amp;"=Y."&amp;VLOOKUP(B326,'0. Instruções'!$C$27:$G$32,4,FALSE)&amp;"_SIMUL")</f>
        <v>ON X.INSTRMNT_ID=Y.INSTRMNT_ID_SIMUL</v>
      </c>
      <c r="L326" s="35" t="str">
        <f>+IF(C326="Coerência", +IF(LEFT(G326,5)="FLOAT","SELECT '"&amp;UPPER(B326)&amp;"' AS TABELA, '"&amp;UPPER(C326)&amp;"' AS TIPOLOGIA_TESTE,'"&amp;D326&amp;"' AS TABELA_LT,'"&amp;E326&amp;"' AS TABELA_SIMUL,'"&amp;F326&amp;"' AS CAMPO, "&amp;"'${ref_date}' AS REF_DATE, COUNT(*) AS NUM_REG, SUM(IF((ABS(COALESCE(CAST(X."&amp;F326&amp;" AS DECIMAL(18,6)),0)-COALESCE(CAST(Y."&amp;F326&amp;"_SIMUL AS DECIMAL(18,6)),0))&gt;0.000001) OR (X."&amp;F326&amp;" IS NULL AND Y."&amp;F326&amp;"_SIMUL IS NOT NULL ) OR (X."&amp;F326&amp;" IS NOT NULL AND Y."&amp;F326&amp;"_SIMUL IS NULL),1,0)) AS NUM_REG_DIF,'"&amp;MAX('ID1&amp;5'!K:K)+1&amp;"' AS ID_EXEC, CURRENT_TIMESTAMP() AS TIME_EXEC FROM "&amp;I326&amp;" INNER JOIN "&amp;J326&amp;" "&amp;K326,"SELECT '"&amp;UPPER(B326)&amp;"' AS TABELA, '"&amp;UPPER(C326)&amp;"' AS TIPOLOGIA_TESTE,'"&amp;D326&amp;"' AS TABELA_LT,'"&amp;E326&amp;"' AS TABELA_SIMUL,'"&amp;F326&amp;"' AS CAMPO, "&amp;"'${ref_date}' AS REF_DATE, COUNT(*) AS NUM_REG, SUM(IF(COALESCE(CAST(X."&amp;F326&amp;" AS STRING),'')&lt;&gt;COALESCE(CAST(Y."&amp;F326&amp;"_SIMUL AS STRING),'') OR (X."&amp;F326&amp;" IS NULL AND Y."&amp;F326&amp;"_SIMUL IS NOT NULL ) OR (X."&amp;F326&amp;" IS NOT NULL AND Y."&amp;F326&amp;"_SIMUL IS NULL),1,0)) AS NUM_REG_DIF,'"&amp;MAX('ID1&amp;5'!L:L)+1&amp;"' AS ID_EXEC, CURRENT_TIMESTAMP() AS TIME_EXEC FROM "&amp;I326&amp;" INNER JOIN "&amp;J326&amp;" "&amp;K326),
IF(C326="Validade",+IF(G326="Code List","SELECT '"&amp;UPPER(B326)&amp;"' AS TABELA, '"&amp;UPPER(C326)&amp;"' AS TIPOLOGIA_TESTE,'"&amp;D326&amp;"' AS TABELA_LT,'N/A' AS TABELA_SIMUL,'"&amp;F326&amp;"' AS CAMPO, "&amp;"'${ref_date}' AS REF_DATE, COUNT(*) AS NUM_REG, SUM(IF(TRIM(CAST(X."&amp;F326&amp;" AS STRING))='' OR TRIM(CAST(X."&amp;F326&amp;" AS STRING)) IS NULL OR CAST(X."&amp;F326&amp;" AS STRING) NOT "&amp;H326&amp;",1,0)) AS NUM_REG_DIF,'"&amp;MAX('ID1&amp;5'!K:K)+1&amp;"' AS ID_EXEC, CURRENT_TIMESTAMP() AS TIME_EXEC FROM "&amp;I326,"SELECT '"&amp;UPPER(B326)&amp;"' AS TABELA, '"&amp;UPPER(C326)&amp;"' AS TIPOLOGIA_TESTE,'"&amp;D326&amp;"' AS TABELA_LT,'N/A' AS TABELA_SIMUL,'"&amp;F326&amp;"' AS CAMPO, "&amp;"'${ref_date}' AS REF_DATE, COUNT(*) AS NUM_REG, SUM(IF(TRIM(CAST(X."&amp;F326&amp;" AS STRING))='' OR TRIM(CAST(X."&amp;F326&amp;" AS STRING)) IS NULL,1,0)) AS NUM_REG_DIF,'"&amp;MAX('ID1&amp;5'!K:K)+1&amp;"' AS ID_EXEC, CURRENT_TIMESTAMP() AS TIME_EXEC FROM "&amp;I326),
IF(C326="Caracteres Especiais",+"SELECT '"&amp;UPPER(B326)&amp;"' AS TABELA, '"&amp;UPPER(C326)&amp;"' AS TIPOLOGIA_TESTE,'"&amp;D326&amp;"' AS TABELA_LT,'N/A' AS TABELA_SIMUL,'"&amp;F326&amp;"' AS CAMPO, "&amp;"'${ref_date}' AS REF_DATE, COUNT(*) AS NUM_REG, SUM(IF(REGEXP_REPLACE(TRIM(CAST(X."&amp;F326&amp;" AS STRING)),'[^a-zA-Z0-9_\\s]','') &lt;&gt;TRIM(CAST(X."&amp;F326&amp;" AS STRING)),1,0)) AS NUM_REG_DIF,'"&amp;MAX('ID1&amp;5'!K:K)+1&amp;"' AS ID_EXEC, CURRENT_TIMESTAMP() AS TIME_EXEC FROM "&amp;I326,
IF(C326="Missings",+"SELECT '"&amp;UPPER(B326)&amp;"' AS TABELA, '"&amp;UPPER(C326)&amp;"' AS TIPOLOGIA_TESTE,'"&amp;D326&amp;"' AS TABELA_LT,'N/A' AS TABELA_SIMUL,'"&amp;F326&amp;"' AS CAMPO, "&amp;"'${ref_date}' AS REF_DATE, COUNT(*) AS NUM_REG, SUM(IF(TRIM(CAST(X."&amp;F326&amp;" AS STRING)) IN ('0000-00-00','0001-01-01','9999-12-31','MISS','00000','99999999999','99999999999.00','99999999999.000000'),1,0)) AS NUM_REG_DIF,'"&amp;MAX('ID1&amp;5'!K:K)+1&amp;"' AS ID_EXEC, CURRENT_TIMESTAMP() AS TIME_EXEC FROM "&amp;I326,
IF(C326="Not applicable",+"SELECT '"&amp;UPPER(B326)&amp;"' AS TABELA, '"&amp;UPPER(C326)&amp;"' AS TIPOLOGIA_TESTE,'"&amp;D326&amp;"' AS TABELA_LT,'N/A' AS TABELA_SIMUL,'"&amp;F326&amp;"' AS CAMPO, "&amp;"'${ref_date}' AS REF_DATE, COUNT(*) AS NUM_REG, SUM(IF(TRIM(CAST(X."&amp;F326&amp;" AS STRING)) IN ('N/A','11111111111','11111111111.00','11111111111.000000','1111-11-11'),1,0)) AS NUM_REG_DIF,'"&amp;MAX('ID1&amp;5'!K:K)+1&amp;"' AS ID_EXEC, CURRENT_TIMESTAMP() AS TIME_EXEC FROM "&amp;I326,
IF(C326="Valores extremos",+"SELECT '"&amp;UPPER(B326)&amp;"' AS TABELA, '"&amp;UPPER(C326)&amp;"' AS TIPOLOGIA_TESTE,'"&amp;D326&amp;"' AS TABELA_LT,'N/A' AS TABELA_SIMUL,'"&amp;F326&amp;"' AS CAMPO, "&amp;"'${ref_date}' AS REF_DATE, CAST(MIN("&amp;F326&amp;") AS STRING) AS VALOR_MIN, CAST(MAX("&amp;F326&amp;") AS STRING) AS VALOR_MAX,'"&amp;MAX('ID1&amp;5'!K:K)+1&amp;"' AS ID_EXEC, CURRENT_TIMESTAMP() AS TIME_EXEC FROM "&amp;MID(I326,1,LEN(I326)-2)&amp;" AND CAST("&amp;F326&amp;"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TABELA_SIMUL,'governing_law' AS CAMPO, '${ref_date}' AS REF_DATE, COUNT(*) AS NUM_REG, SUM(IF(COALESCE(CAST(X.governing_law AS STRING),'')&lt;&gt;COALESCE(CAST(Y.governing_law_SIMUL AS STRING),'') OR (X.governing_law IS NULL AND Y.governing_law_SIMUL IS NOT NULL ) OR (X.governing_law IS NOT NULL AND Y.governing_law_SIMUL IS NULL),1,0)) AS NUM_REG_DIF,'1' AS ID_EXEC, CURRENT_TIMESTAMP() AS TIME_EXEC FROM (SELECT instrmnt_id, governing_law FROM BU_LOANTAPE_WORK.LT002_INSTRUMENT WHERE ref_date='${ref_date}' AND nome_perimetro='Individual Local' AND segmento='ESTR' AND ambito='SRB_MBDT' AND entidade='00100')X INNER JOIN (SELECT instrmnt_id AS instrmnt_id_SIMUL, governing_law AS governing_law_SIMUL FROM BU_LOANTAPE_WORK.SIMUL_LT002_INSTRUMENT WHERE ref_date='${ref_date}' AND nome_perimetro='Individual Local' AND segmento='ESTR' AND ambito='PILAR3' AND entidade='00100')Y ON X.INSTRMNT_ID=Y.INSTRMNT_ID_SIMUL</v>
      </c>
      <c r="M326" s="36" t="str">
        <f t="shared" si="8"/>
        <v>UNION ALL SELECT 'INSTRUMENT' AS TABELA, 'COERÊNCIA' AS TIPOLOGIA_TESTE,'BU_LOANTAPE_WORK.LT002_INSTRUMENT' AS TABELA_LT,'BU_LOANTAPE_WORK.SIMUL_LT002_INSTRUMENT' AS TABELA_SIMUL,'governing_law' AS CAMPO, '${ref_date}' AS REF_DATE, COUNT(*) AS NUM_REG, SUM(IF(COALESCE(CAST(X.governing_law AS STRING),'')&lt;&gt;COALESCE(CAST(Y.governing_law_SIMUL AS STRING),'') OR (X.governing_law IS NULL AND Y.governing_law_SIMUL IS NOT NULL ) OR (X.governing_law IS NOT NULL AND Y.governing_law_SIMUL IS NULL),1,0)) AS NUM_REG_DIF,'1' AS ID_EXEC, CURRENT_TIMESTAMP() AS TIME_EXEC FROM (SELECT instrmnt_id, governing_law FROM BU_LOANTAPE_WORK.LT002_INSTRUMENT WHERE ref_date='${ref_date}' AND nome_perimetro='Individual Local' AND segmento='ESTR' AND ambito='SRB_MBDT' AND entidade='00100')X INNER JOIN (SELECT instrmnt_id AS instrmnt_id_SIMUL, governing_law AS governing_law_SIMUL FROM BU_LOANTAPE_WORK.SIMUL_LT002_INSTRUMENT WHERE ref_date='${ref_date}' AND nome_perimetro='Individual Local' AND segmento='ESTR' AND ambito='PILAR3' AND entidade='00100')Y ON X.INSTRMNT_ID=Y.INSTRMNT_ID_SIMUL</v>
      </c>
      <c r="N326" s="38"/>
    </row>
    <row r="327" spans="2:14">
      <c r="B327" s="34" t="s">
        <v>117</v>
      </c>
      <c r="C327" s="34" t="s">
        <v>5</v>
      </c>
      <c r="D327" s="34" t="str">
        <f>+UPPER('0. Instruções'!$D$35&amp;"."&amp;VLOOKUP(B327,'0. Instruções'!$C$27:$D$32,2,FALSE))</f>
        <v>BU_LOANTAPE_WORK.LT002_INSTRUMENT</v>
      </c>
      <c r="E327" s="34" t="str">
        <f>+UPPER('0. Instruções'!$D$36&amp;"."&amp;VLOOKUP(B327,'0. Instruções'!$C$27:$E$32,3,FALSE))</f>
        <v>BU_LOANTAPE_WORK.SIMUL_LT002_INSTRUMENT</v>
      </c>
      <c r="F327" s="34" t="s">
        <v>1367</v>
      </c>
      <c r="G327" s="34"/>
      <c r="H327" s="34"/>
      <c r="I327" s="34" t="str">
        <f>"(SELECT "&amp;VLOOKUP(B327,'0. Instruções'!$C$27:$G$32,4,FALSE)&amp;", "&amp;F327&amp;" FROM "&amp;D327&amp;" WHERE "&amp;'0. Instruções'!$D$42&amp;")X"</f>
        <v>(SELECT instrmnt_id, contract_recogn_write_down FROM BU_LOANTAPE_WORK.LT002_INSTRUMENT WHERE ref_date='${ref_date}' AND nome_perimetro='Individual Local' AND segmento='ESTR' AND ambito='SRB_MBDT' AND entidade='00100')X</v>
      </c>
      <c r="J327" s="34" t="str">
        <f>"(SELECT "&amp;VLOOKUP(B327,'0. Instruções'!$C$27:$G$32,4,FALSE)&amp;" AS "&amp;VLOOKUP(B327,'0. Instruções'!$C$27:$G$32,4,FALSE)&amp;"_SIMUL, "&amp;F327&amp;" AS "&amp;F327&amp;"_SIMUL FROM "&amp;E327&amp;" WHERE "&amp;'0. Instruções'!$D$43&amp;")Y"</f>
        <v>(SELECT instrmnt_id AS instrmnt_id_SIMUL, contract_recogn_write_down AS contract_recogn_write_down_SIMUL FROM BU_LOANTAPE_WORK.SIMUL_LT002_INSTRUMENT WHERE ref_date='${ref_date}' AND nome_perimetro='Individual Local' AND segmento='ESTR' AND ambito='PILAR3' AND entidade='00100')Y</v>
      </c>
      <c r="K327" s="35" t="str">
        <f>+UPPER("ON X."&amp;VLOOKUP(B327,'0. Instruções'!$C$27:$G$32,4,FALSE)&amp;"=Y."&amp;VLOOKUP(B327,'0. Instruções'!$C$27:$G$32,4,FALSE)&amp;"_SIMUL")</f>
        <v>ON X.INSTRMNT_ID=Y.INSTRMNT_ID_SIMUL</v>
      </c>
      <c r="L327" s="35" t="str">
        <f>+IF(C327="Coerência", +IF(LEFT(G327,5)="FLOAT","SELECT '"&amp;UPPER(B327)&amp;"' AS TABELA, '"&amp;UPPER(C327)&amp;"' AS TIPOLOGIA_TESTE,'"&amp;D327&amp;"' AS TABELA_LT,'"&amp;E327&amp;"' AS TABELA_SIMUL,'"&amp;F327&amp;"' AS CAMPO, "&amp;"'${ref_date}' AS REF_DATE, COUNT(*) AS NUM_REG, SUM(IF((ABS(COALESCE(CAST(X."&amp;F327&amp;" AS DECIMAL(18,6)),0)-COALESCE(CAST(Y."&amp;F327&amp;"_SIMUL AS DECIMAL(18,6)),0))&gt;0.000001) OR (X."&amp;F327&amp;" IS NULL AND Y."&amp;F327&amp;"_SIMUL IS NOT NULL ) OR (X."&amp;F327&amp;" IS NOT NULL AND Y."&amp;F327&amp;"_SIMUL IS NULL),1,0)) AS NUM_REG_DIF,'"&amp;MAX('ID1&amp;5'!K:K)+1&amp;"' AS ID_EXEC, CURRENT_TIMESTAMP() AS TIME_EXEC FROM "&amp;I327&amp;" INNER JOIN "&amp;J327&amp;" "&amp;K327,"SELECT '"&amp;UPPER(B327)&amp;"' AS TABELA, '"&amp;UPPER(C327)&amp;"' AS TIPOLOGIA_TESTE,'"&amp;D327&amp;"' AS TABELA_LT,'"&amp;E327&amp;"' AS TABELA_SIMUL,'"&amp;F327&amp;"' AS CAMPO, "&amp;"'${ref_date}' AS REF_DATE, COUNT(*) AS NUM_REG, SUM(IF(COALESCE(CAST(X."&amp;F327&amp;" AS STRING),'')&lt;&gt;COALESCE(CAST(Y."&amp;F327&amp;"_SIMUL AS STRING),'') OR (X."&amp;F327&amp;" IS NULL AND Y."&amp;F327&amp;"_SIMUL IS NOT NULL ) OR (X."&amp;F327&amp;" IS NOT NULL AND Y."&amp;F327&amp;"_SIMUL IS NULL),1,0)) AS NUM_REG_DIF,'"&amp;MAX('ID1&amp;5'!L:L)+1&amp;"' AS ID_EXEC, CURRENT_TIMESTAMP() AS TIME_EXEC FROM "&amp;I327&amp;" INNER JOIN "&amp;J327&amp;" "&amp;K327),
IF(C327="Validade",+IF(G327="Code List","SELECT '"&amp;UPPER(B327)&amp;"' AS TABELA, '"&amp;UPPER(C327)&amp;"' AS TIPOLOGIA_TESTE,'"&amp;D327&amp;"' AS TABELA_LT,'N/A' AS TABELA_SIMUL,'"&amp;F327&amp;"' AS CAMPO, "&amp;"'${ref_date}' AS REF_DATE, COUNT(*) AS NUM_REG, SUM(IF(TRIM(CAST(X."&amp;F327&amp;" AS STRING))='' OR TRIM(CAST(X."&amp;F327&amp;" AS STRING)) IS NULL OR CAST(X."&amp;F327&amp;" AS STRING) NOT "&amp;H327&amp;",1,0)) AS NUM_REG_DIF,'"&amp;MAX('ID1&amp;5'!K:K)+1&amp;"' AS ID_EXEC, CURRENT_TIMESTAMP() AS TIME_EXEC FROM "&amp;I327,"SELECT '"&amp;UPPER(B327)&amp;"' AS TABELA, '"&amp;UPPER(C327)&amp;"' AS TIPOLOGIA_TESTE,'"&amp;D327&amp;"' AS TABELA_LT,'N/A' AS TABELA_SIMUL,'"&amp;F327&amp;"' AS CAMPO, "&amp;"'${ref_date}' AS REF_DATE, COUNT(*) AS NUM_REG, SUM(IF(TRIM(CAST(X."&amp;F327&amp;" AS STRING))='' OR TRIM(CAST(X."&amp;F327&amp;" AS STRING)) IS NULL,1,0)) AS NUM_REG_DIF,'"&amp;MAX('ID1&amp;5'!K:K)+1&amp;"' AS ID_EXEC, CURRENT_TIMESTAMP() AS TIME_EXEC FROM "&amp;I327),
IF(C327="Caracteres Especiais",+"SELECT '"&amp;UPPER(B327)&amp;"' AS TABELA, '"&amp;UPPER(C327)&amp;"' AS TIPOLOGIA_TESTE,'"&amp;D327&amp;"' AS TABELA_LT,'N/A' AS TABELA_SIMUL,'"&amp;F327&amp;"' AS CAMPO, "&amp;"'${ref_date}' AS REF_DATE, COUNT(*) AS NUM_REG, SUM(IF(REGEXP_REPLACE(TRIM(CAST(X."&amp;F327&amp;" AS STRING)),'[^a-zA-Z0-9_\\s]','') &lt;&gt;TRIM(CAST(X."&amp;F327&amp;" AS STRING)),1,0)) AS NUM_REG_DIF,'"&amp;MAX('ID1&amp;5'!K:K)+1&amp;"' AS ID_EXEC, CURRENT_TIMESTAMP() AS TIME_EXEC FROM "&amp;I327,
IF(C327="Missings",+"SELECT '"&amp;UPPER(B327)&amp;"' AS TABELA, '"&amp;UPPER(C327)&amp;"' AS TIPOLOGIA_TESTE,'"&amp;D327&amp;"' AS TABELA_LT,'N/A' AS TABELA_SIMUL,'"&amp;F327&amp;"' AS CAMPO, "&amp;"'${ref_date}' AS REF_DATE, COUNT(*) AS NUM_REG, SUM(IF(TRIM(CAST(X."&amp;F327&amp;" AS STRING)) IN ('0000-00-00','0001-01-01','9999-12-31','MISS','00000','99999999999','99999999999.00','99999999999.000000'),1,0)) AS NUM_REG_DIF,'"&amp;MAX('ID1&amp;5'!K:K)+1&amp;"' AS ID_EXEC, CURRENT_TIMESTAMP() AS TIME_EXEC FROM "&amp;I327,
IF(C327="Not applicable",+"SELECT '"&amp;UPPER(B327)&amp;"' AS TABELA, '"&amp;UPPER(C327)&amp;"' AS TIPOLOGIA_TESTE,'"&amp;D327&amp;"' AS TABELA_LT,'N/A' AS TABELA_SIMUL,'"&amp;F327&amp;"' AS CAMPO, "&amp;"'${ref_date}' AS REF_DATE, COUNT(*) AS NUM_REG, SUM(IF(TRIM(CAST(X."&amp;F327&amp;" AS STRING)) IN ('N/A','11111111111','11111111111.00','11111111111.000000','1111-11-11'),1,0)) AS NUM_REG_DIF,'"&amp;MAX('ID1&amp;5'!K:K)+1&amp;"' AS ID_EXEC, CURRENT_TIMESTAMP() AS TIME_EXEC FROM "&amp;I327,
IF(C327="Valores extremos",+"SELECT '"&amp;UPPER(B327)&amp;"' AS TABELA, '"&amp;UPPER(C327)&amp;"' AS TIPOLOGIA_TESTE,'"&amp;D327&amp;"' AS TABELA_LT,'N/A' AS TABELA_SIMUL,'"&amp;F327&amp;"' AS CAMPO, "&amp;"'${ref_date}' AS REF_DATE, CAST(MIN("&amp;F327&amp;") AS STRING) AS VALOR_MIN, CAST(MAX("&amp;F327&amp;") AS STRING) AS VALOR_MAX,'"&amp;MAX('ID1&amp;5'!K:K)+1&amp;"' AS ID_EXEC, CURRENT_TIMESTAMP() AS TIME_EXEC FROM "&amp;MID(I327,1,LEN(I327)-2)&amp;" AND CAST("&amp;F327&amp;"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TABELA_SIMUL,'contract_recogn_write_down' AS CAMPO, '${ref_date}' AS REF_DATE, COUNT(*) AS NUM_REG, SUM(IF(COALESCE(CAST(X.contract_recogn_write_down AS STRING),'')&lt;&gt;COALESCE(CAST(Y.contract_recogn_write_down_SIMUL AS STRING),'') OR (X.contract_recogn_write_down IS NULL AND Y.contract_recogn_write_down_SIMUL IS NOT NULL ) OR (X.contract_recogn_write_down IS NOT NULL AND Y.contract_recogn_write_down_SIMUL IS NULL),1,0)) AS NUM_REG_DIF,'1' AS ID_EXEC, CURRENT_TIMESTAMP() AS TIME_EXEC FROM (SELECT instrmnt_id, contract_recogn_write_down FROM BU_LOANTAPE_WORK.LT002_INSTRUMENT WHERE ref_date='${ref_date}' AND nome_perimetro='Individual Local' AND segmento='ESTR' AND ambito='SRB_MBDT' AND entidade='00100')X INNER JOIN (SELECT instrmnt_id AS instrmnt_id_SIMUL, contract_recogn_write_down AS contract_recogn_write_down_SIMUL FROM BU_LOANTAPE_WORK.SIMUL_LT002_INSTRUMENT WHERE ref_date='${ref_date}' AND nome_perimetro='Individual Local' AND segmento='ESTR' AND ambito='PILAR3' AND entidade='00100')Y ON X.INSTRMNT_ID=Y.INSTRMNT_ID_SIMUL</v>
      </c>
      <c r="M327" s="36" t="str">
        <f t="shared" si="8"/>
        <v>UNION ALL SELECT 'INSTRUMENT' AS TABELA, 'COERÊNCIA' AS TIPOLOGIA_TESTE,'BU_LOANTAPE_WORK.LT002_INSTRUMENT' AS TABELA_LT,'BU_LOANTAPE_WORK.SIMUL_LT002_INSTRUMENT' AS TABELA_SIMUL,'contract_recogn_write_down' AS CAMPO, '${ref_date}' AS REF_DATE, COUNT(*) AS NUM_REG, SUM(IF(COALESCE(CAST(X.contract_recogn_write_down AS STRING),'')&lt;&gt;COALESCE(CAST(Y.contract_recogn_write_down_SIMUL AS STRING),'') OR (X.contract_recogn_write_down IS NULL AND Y.contract_recogn_write_down_SIMUL IS NOT NULL ) OR (X.contract_recogn_write_down IS NOT NULL AND Y.contract_recogn_write_down_SIMUL IS NULL),1,0)) AS NUM_REG_DIF,'1' AS ID_EXEC, CURRENT_TIMESTAMP() AS TIME_EXEC FROM (SELECT instrmnt_id, contract_recogn_write_down FROM BU_LOANTAPE_WORK.LT002_INSTRUMENT WHERE ref_date='${ref_date}' AND nome_perimetro='Individual Local' AND segmento='ESTR' AND ambito='SRB_MBDT' AND entidade='00100')X INNER JOIN (SELECT instrmnt_id AS instrmnt_id_SIMUL, contract_recogn_write_down AS contract_recogn_write_down_SIMUL FROM BU_LOANTAPE_WORK.SIMUL_LT002_INSTRUMENT WHERE ref_date='${ref_date}' AND nome_perimetro='Individual Local' AND segmento='ESTR' AND ambito='PILAR3' AND entidade='00100')Y ON X.INSTRMNT_ID=Y.INSTRMNT_ID_SIMUL</v>
      </c>
      <c r="N327" s="38"/>
    </row>
    <row r="328" spans="2:14">
      <c r="B328" s="34" t="s">
        <v>117</v>
      </c>
      <c r="C328" s="34" t="s">
        <v>5</v>
      </c>
      <c r="D328" s="34" t="str">
        <f>+UPPER('0. Instruções'!$D$35&amp;"."&amp;VLOOKUP(B328,'0. Instruções'!$C$27:$D$32,2,FALSE))</f>
        <v>BU_LOANTAPE_WORK.LT002_INSTRUMENT</v>
      </c>
      <c r="E328" s="34" t="str">
        <f>+UPPER('0. Instruções'!$D$36&amp;"."&amp;VLOOKUP(B328,'0. Instruções'!$C$27:$E$32,3,FALSE))</f>
        <v>BU_LOANTAPE_WORK.SIMUL_LT002_INSTRUMENT</v>
      </c>
      <c r="F328" s="34" t="s">
        <v>1368</v>
      </c>
      <c r="G328" s="34"/>
      <c r="H328" s="34"/>
      <c r="I328" s="34" t="str">
        <f>"(SELECT "&amp;VLOOKUP(B328,'0. Instruções'!$C$27:$G$32,4,FALSE)&amp;", "&amp;F328&amp;" FROM "&amp;D328&amp;" WHERE "&amp;'0. Instruções'!$D$42&amp;")X"</f>
        <v>(SELECT instrmnt_id, contract_recogn_suspension FROM BU_LOANTAPE_WORK.LT002_INSTRUMENT WHERE ref_date='${ref_date}' AND nome_perimetro='Individual Local' AND segmento='ESTR' AND ambito='SRB_MBDT' AND entidade='00100')X</v>
      </c>
      <c r="J328" s="34" t="str">
        <f>"(SELECT "&amp;VLOOKUP(B328,'0. Instruções'!$C$27:$G$32,4,FALSE)&amp;" AS "&amp;VLOOKUP(B328,'0. Instruções'!$C$27:$G$32,4,FALSE)&amp;"_SIMUL, "&amp;F328&amp;" AS "&amp;F328&amp;"_SIMUL FROM "&amp;E328&amp;" WHERE "&amp;'0. Instruções'!$D$43&amp;")Y"</f>
        <v>(SELECT instrmnt_id AS instrmnt_id_SIMUL, contract_recogn_suspension AS contract_recogn_suspension_SIMUL FROM BU_LOANTAPE_WORK.SIMUL_LT002_INSTRUMENT WHERE ref_date='${ref_date}' AND nome_perimetro='Individual Local' AND segmento='ESTR' AND ambito='PILAR3' AND entidade='00100')Y</v>
      </c>
      <c r="K328" s="35" t="str">
        <f>+UPPER("ON X."&amp;VLOOKUP(B328,'0. Instruções'!$C$27:$G$32,4,FALSE)&amp;"=Y."&amp;VLOOKUP(B328,'0. Instruções'!$C$27:$G$32,4,FALSE)&amp;"_SIMUL")</f>
        <v>ON X.INSTRMNT_ID=Y.INSTRMNT_ID_SIMUL</v>
      </c>
      <c r="L328" s="35" t="str">
        <f>+IF(C328="Coerência", +IF(LEFT(G328,5)="FLOAT","SELECT '"&amp;UPPER(B328)&amp;"' AS TABELA, '"&amp;UPPER(C328)&amp;"' AS TIPOLOGIA_TESTE,'"&amp;D328&amp;"' AS TABELA_LT,'"&amp;E328&amp;"' AS TABELA_SIMUL,'"&amp;F328&amp;"' AS CAMPO, "&amp;"'${ref_date}' AS REF_DATE, COUNT(*) AS NUM_REG, SUM(IF((ABS(COALESCE(CAST(X."&amp;F328&amp;" AS DECIMAL(18,6)),0)-COALESCE(CAST(Y."&amp;F328&amp;"_SIMUL AS DECIMAL(18,6)),0))&gt;0.000001) OR (X."&amp;F328&amp;" IS NULL AND Y."&amp;F328&amp;"_SIMUL IS NOT NULL ) OR (X."&amp;F328&amp;" IS NOT NULL AND Y."&amp;F328&amp;"_SIMUL IS NULL),1,0)) AS NUM_REG_DIF,'"&amp;MAX('ID1&amp;5'!K:K)+1&amp;"' AS ID_EXEC, CURRENT_TIMESTAMP() AS TIME_EXEC FROM "&amp;I328&amp;" INNER JOIN "&amp;J328&amp;" "&amp;K328,"SELECT '"&amp;UPPER(B328)&amp;"' AS TABELA, '"&amp;UPPER(C328)&amp;"' AS TIPOLOGIA_TESTE,'"&amp;D328&amp;"' AS TABELA_LT,'"&amp;E328&amp;"' AS TABELA_SIMUL,'"&amp;F328&amp;"' AS CAMPO, "&amp;"'${ref_date}' AS REF_DATE, COUNT(*) AS NUM_REG, SUM(IF(COALESCE(CAST(X."&amp;F328&amp;" AS STRING),'')&lt;&gt;COALESCE(CAST(Y."&amp;F328&amp;"_SIMUL AS STRING),'') OR (X."&amp;F328&amp;" IS NULL AND Y."&amp;F328&amp;"_SIMUL IS NOT NULL ) OR (X."&amp;F328&amp;" IS NOT NULL AND Y."&amp;F328&amp;"_SIMUL IS NULL),1,0)) AS NUM_REG_DIF,'"&amp;MAX('ID1&amp;5'!L:L)+1&amp;"' AS ID_EXEC, CURRENT_TIMESTAMP() AS TIME_EXEC FROM "&amp;I328&amp;" INNER JOIN "&amp;J328&amp;" "&amp;K328),
IF(C328="Validade",+IF(G328="Code List","SELECT '"&amp;UPPER(B328)&amp;"' AS TABELA, '"&amp;UPPER(C328)&amp;"' AS TIPOLOGIA_TESTE,'"&amp;D328&amp;"' AS TABELA_LT,'N/A' AS TABELA_SIMUL,'"&amp;F328&amp;"' AS CAMPO, "&amp;"'${ref_date}' AS REF_DATE, COUNT(*) AS NUM_REG, SUM(IF(TRIM(CAST(X."&amp;F328&amp;" AS STRING))='' OR TRIM(CAST(X."&amp;F328&amp;" AS STRING)) IS NULL OR CAST(X."&amp;F328&amp;" AS STRING) NOT "&amp;H328&amp;",1,0)) AS NUM_REG_DIF,'"&amp;MAX('ID1&amp;5'!K:K)+1&amp;"' AS ID_EXEC, CURRENT_TIMESTAMP() AS TIME_EXEC FROM "&amp;I328,"SELECT '"&amp;UPPER(B328)&amp;"' AS TABELA, '"&amp;UPPER(C328)&amp;"' AS TIPOLOGIA_TESTE,'"&amp;D328&amp;"' AS TABELA_LT,'N/A' AS TABELA_SIMUL,'"&amp;F328&amp;"' AS CAMPO, "&amp;"'${ref_date}' AS REF_DATE, COUNT(*) AS NUM_REG, SUM(IF(TRIM(CAST(X."&amp;F328&amp;" AS STRING))='' OR TRIM(CAST(X."&amp;F328&amp;" AS STRING)) IS NULL,1,0)) AS NUM_REG_DIF,'"&amp;MAX('ID1&amp;5'!K:K)+1&amp;"' AS ID_EXEC, CURRENT_TIMESTAMP() AS TIME_EXEC FROM "&amp;I328),
IF(C328="Caracteres Especiais",+"SELECT '"&amp;UPPER(B328)&amp;"' AS TABELA, '"&amp;UPPER(C328)&amp;"' AS TIPOLOGIA_TESTE,'"&amp;D328&amp;"' AS TABELA_LT,'N/A' AS TABELA_SIMUL,'"&amp;F328&amp;"' AS CAMPO, "&amp;"'${ref_date}' AS REF_DATE, COUNT(*) AS NUM_REG, SUM(IF(REGEXP_REPLACE(TRIM(CAST(X."&amp;F328&amp;" AS STRING)),'[^a-zA-Z0-9_\\s]','') &lt;&gt;TRIM(CAST(X."&amp;F328&amp;" AS STRING)),1,0)) AS NUM_REG_DIF,'"&amp;MAX('ID1&amp;5'!K:K)+1&amp;"' AS ID_EXEC, CURRENT_TIMESTAMP() AS TIME_EXEC FROM "&amp;I328,
IF(C328="Missings",+"SELECT '"&amp;UPPER(B328)&amp;"' AS TABELA, '"&amp;UPPER(C328)&amp;"' AS TIPOLOGIA_TESTE,'"&amp;D328&amp;"' AS TABELA_LT,'N/A' AS TABELA_SIMUL,'"&amp;F328&amp;"' AS CAMPO, "&amp;"'${ref_date}' AS REF_DATE, COUNT(*) AS NUM_REG, SUM(IF(TRIM(CAST(X."&amp;F328&amp;" AS STRING)) IN ('0000-00-00','0001-01-01','9999-12-31','MISS','00000','99999999999','99999999999.00','99999999999.000000'),1,0)) AS NUM_REG_DIF,'"&amp;MAX('ID1&amp;5'!K:K)+1&amp;"' AS ID_EXEC, CURRENT_TIMESTAMP() AS TIME_EXEC FROM "&amp;I328,
IF(C328="Not applicable",+"SELECT '"&amp;UPPER(B328)&amp;"' AS TABELA, '"&amp;UPPER(C328)&amp;"' AS TIPOLOGIA_TESTE,'"&amp;D328&amp;"' AS TABELA_LT,'N/A' AS TABELA_SIMUL,'"&amp;F328&amp;"' AS CAMPO, "&amp;"'${ref_date}' AS REF_DATE, COUNT(*) AS NUM_REG, SUM(IF(TRIM(CAST(X."&amp;F328&amp;" AS STRING)) IN ('N/A','11111111111','11111111111.00','11111111111.000000','1111-11-11'),1,0)) AS NUM_REG_DIF,'"&amp;MAX('ID1&amp;5'!K:K)+1&amp;"' AS ID_EXEC, CURRENT_TIMESTAMP() AS TIME_EXEC FROM "&amp;I328,
IF(C328="Valores extremos",+"SELECT '"&amp;UPPER(B328)&amp;"' AS TABELA, '"&amp;UPPER(C328)&amp;"' AS TIPOLOGIA_TESTE,'"&amp;D328&amp;"' AS TABELA_LT,'N/A' AS TABELA_SIMUL,'"&amp;F328&amp;"' AS CAMPO, "&amp;"'${ref_date}' AS REF_DATE, CAST(MIN("&amp;F328&amp;") AS STRING) AS VALOR_MIN, CAST(MAX("&amp;F328&amp;") AS STRING) AS VALOR_MAX,'"&amp;MAX('ID1&amp;5'!K:K)+1&amp;"' AS ID_EXEC, CURRENT_TIMESTAMP() AS TIME_EXEC FROM "&amp;MID(I328,1,LEN(I328)-2)&amp;" AND CAST("&amp;F328&amp;"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TABELA_SIMUL,'contract_recogn_suspension' AS CAMPO, '${ref_date}' AS REF_DATE, COUNT(*) AS NUM_REG, SUM(IF(COALESCE(CAST(X.contract_recogn_suspension AS STRING),'')&lt;&gt;COALESCE(CAST(Y.contract_recogn_suspension_SIMUL AS STRING),'') OR (X.contract_recogn_suspension IS NULL AND Y.contract_recogn_suspension_SIMUL IS NOT NULL ) OR (X.contract_recogn_suspension IS NOT NULL AND Y.contract_recogn_suspension_SIMUL IS NULL),1,0)) AS NUM_REG_DIF,'1' AS ID_EXEC, CURRENT_TIMESTAMP() AS TIME_EXEC FROM (SELECT instrmnt_id, contract_recogn_suspension FROM BU_LOANTAPE_WORK.LT002_INSTRUMENT WHERE ref_date='${ref_date}' AND nome_perimetro='Individual Local' AND segmento='ESTR' AND ambito='SRB_MBDT' AND entidade='00100')X INNER JOIN (SELECT instrmnt_id AS instrmnt_id_SIMUL, contract_recogn_suspension AS contract_recogn_suspension_SIMUL FROM BU_LOANTAPE_WORK.SIMUL_LT002_INSTRUMENT WHERE ref_date='${ref_date}' AND nome_perimetro='Individual Local' AND segmento='ESTR' AND ambito='PILAR3' AND entidade='00100')Y ON X.INSTRMNT_ID=Y.INSTRMNT_ID_SIMUL</v>
      </c>
      <c r="M328" s="36" t="str">
        <f t="shared" si="8"/>
        <v>UNION ALL SELECT 'INSTRUMENT' AS TABELA, 'COERÊNCIA' AS TIPOLOGIA_TESTE,'BU_LOANTAPE_WORK.LT002_INSTRUMENT' AS TABELA_LT,'BU_LOANTAPE_WORK.SIMUL_LT002_INSTRUMENT' AS TABELA_SIMUL,'contract_recogn_suspension' AS CAMPO, '${ref_date}' AS REF_DATE, COUNT(*) AS NUM_REG, SUM(IF(COALESCE(CAST(X.contract_recogn_suspension AS STRING),'')&lt;&gt;COALESCE(CAST(Y.contract_recogn_suspension_SIMUL AS STRING),'') OR (X.contract_recogn_suspension IS NULL AND Y.contract_recogn_suspension_SIMUL IS NOT NULL ) OR (X.contract_recogn_suspension IS NOT NULL AND Y.contract_recogn_suspension_SIMUL IS NULL),1,0)) AS NUM_REG_DIF,'1' AS ID_EXEC, CURRENT_TIMESTAMP() AS TIME_EXEC FROM (SELECT instrmnt_id, contract_recogn_suspension FROM BU_LOANTAPE_WORK.LT002_INSTRUMENT WHERE ref_date='${ref_date}' AND nome_perimetro='Individual Local' AND segmento='ESTR' AND ambito='SRB_MBDT' AND entidade='00100')X INNER JOIN (SELECT instrmnt_id AS instrmnt_id_SIMUL, contract_recogn_suspension AS contract_recogn_suspension_SIMUL FROM BU_LOANTAPE_WORK.SIMUL_LT002_INSTRUMENT WHERE ref_date='${ref_date}' AND nome_perimetro='Individual Local' AND segmento='ESTR' AND ambito='PILAR3' AND entidade='00100')Y ON X.INSTRMNT_ID=Y.INSTRMNT_ID_SIMUL</v>
      </c>
      <c r="N328" s="38"/>
    </row>
    <row r="329" spans="2:14">
      <c r="B329" s="34" t="s">
        <v>117</v>
      </c>
      <c r="C329" s="34" t="s">
        <v>5</v>
      </c>
      <c r="D329" s="34" t="str">
        <f>+UPPER('0. Instruções'!$D$35&amp;"."&amp;VLOOKUP(B329,'0. Instruções'!$C$27:$D$32,2,FALSE))</f>
        <v>BU_LOANTAPE_WORK.LT002_INSTRUMENT</v>
      </c>
      <c r="E329" s="34" t="str">
        <f>+UPPER('0. Instruções'!$D$36&amp;"."&amp;VLOOKUP(B329,'0. Instruções'!$C$27:$E$32,3,FALSE))</f>
        <v>BU_LOANTAPE_WORK.SIMUL_LT002_INSTRUMENT</v>
      </c>
      <c r="F329" s="34" t="s">
        <v>1369</v>
      </c>
      <c r="G329" s="34"/>
      <c r="H329" s="34"/>
      <c r="I329" s="34" t="str">
        <f>"(SELECT "&amp;VLOOKUP(B329,'0. Instruções'!$C$27:$G$32,4,FALSE)&amp;", "&amp;F329&amp;" FROM "&amp;D329&amp;" WHERE "&amp;'0. Instruções'!$D$42&amp;")X"</f>
        <v>(SELECT instrmnt_id, contract_recogn_resolution FROM BU_LOANTAPE_WORK.LT002_INSTRUMENT WHERE ref_date='${ref_date}' AND nome_perimetro='Individual Local' AND segmento='ESTR' AND ambito='SRB_MBDT' AND entidade='00100')X</v>
      </c>
      <c r="J329" s="34" t="str">
        <f>"(SELECT "&amp;VLOOKUP(B329,'0. Instruções'!$C$27:$G$32,4,FALSE)&amp;" AS "&amp;VLOOKUP(B329,'0. Instruções'!$C$27:$G$32,4,FALSE)&amp;"_SIMUL, "&amp;F329&amp;" AS "&amp;F329&amp;"_SIMUL FROM "&amp;E329&amp;" WHERE "&amp;'0. Instruções'!$D$43&amp;")Y"</f>
        <v>(SELECT instrmnt_id AS instrmnt_id_SIMUL, contract_recogn_resolution AS contract_recogn_resolution_SIMUL FROM BU_LOANTAPE_WORK.SIMUL_LT002_INSTRUMENT WHERE ref_date='${ref_date}' AND nome_perimetro='Individual Local' AND segmento='ESTR' AND ambito='PILAR3' AND entidade='00100')Y</v>
      </c>
      <c r="K329" s="35" t="str">
        <f>+UPPER("ON X."&amp;VLOOKUP(B329,'0. Instruções'!$C$27:$G$32,4,FALSE)&amp;"=Y."&amp;VLOOKUP(B329,'0. Instruções'!$C$27:$G$32,4,FALSE)&amp;"_SIMUL")</f>
        <v>ON X.INSTRMNT_ID=Y.INSTRMNT_ID_SIMUL</v>
      </c>
      <c r="L329" s="35" t="str">
        <f>+IF(C329="Coerência", +IF(LEFT(G329,5)="FLOAT","SELECT '"&amp;UPPER(B329)&amp;"' AS TABELA, '"&amp;UPPER(C329)&amp;"' AS TIPOLOGIA_TESTE,'"&amp;D329&amp;"' AS TABELA_LT,'"&amp;E329&amp;"' AS TABELA_SIMUL,'"&amp;F329&amp;"' AS CAMPO, "&amp;"'${ref_date}' AS REF_DATE, COUNT(*) AS NUM_REG, SUM(IF((ABS(COALESCE(CAST(X."&amp;F329&amp;" AS DECIMAL(18,6)),0)-COALESCE(CAST(Y."&amp;F329&amp;"_SIMUL AS DECIMAL(18,6)),0))&gt;0.000001) OR (X."&amp;F329&amp;" IS NULL AND Y."&amp;F329&amp;"_SIMUL IS NOT NULL ) OR (X."&amp;F329&amp;" IS NOT NULL AND Y."&amp;F329&amp;"_SIMUL IS NULL),1,0)) AS NUM_REG_DIF,'"&amp;MAX('ID1&amp;5'!K:K)+1&amp;"' AS ID_EXEC, CURRENT_TIMESTAMP() AS TIME_EXEC FROM "&amp;I329&amp;" INNER JOIN "&amp;J329&amp;" "&amp;K329,"SELECT '"&amp;UPPER(B329)&amp;"' AS TABELA, '"&amp;UPPER(C329)&amp;"' AS TIPOLOGIA_TESTE,'"&amp;D329&amp;"' AS TABELA_LT,'"&amp;E329&amp;"' AS TABELA_SIMUL,'"&amp;F329&amp;"' AS CAMPO, "&amp;"'${ref_date}' AS REF_DATE, COUNT(*) AS NUM_REG, SUM(IF(COALESCE(CAST(X."&amp;F329&amp;" AS STRING),'')&lt;&gt;COALESCE(CAST(Y."&amp;F329&amp;"_SIMUL AS STRING),'') OR (X."&amp;F329&amp;" IS NULL AND Y."&amp;F329&amp;"_SIMUL IS NOT NULL ) OR (X."&amp;F329&amp;" IS NOT NULL AND Y."&amp;F329&amp;"_SIMUL IS NULL),1,0)) AS NUM_REG_DIF,'"&amp;MAX('ID1&amp;5'!L:L)+1&amp;"' AS ID_EXEC, CURRENT_TIMESTAMP() AS TIME_EXEC FROM "&amp;I329&amp;" INNER JOIN "&amp;J329&amp;" "&amp;K329),
IF(C329="Validade",+IF(G329="Code List","SELECT '"&amp;UPPER(B329)&amp;"' AS TABELA, '"&amp;UPPER(C329)&amp;"' AS TIPOLOGIA_TESTE,'"&amp;D329&amp;"' AS TABELA_LT,'N/A' AS TABELA_SIMUL,'"&amp;F329&amp;"' AS CAMPO, "&amp;"'${ref_date}' AS REF_DATE, COUNT(*) AS NUM_REG, SUM(IF(TRIM(CAST(X."&amp;F329&amp;" AS STRING))='' OR TRIM(CAST(X."&amp;F329&amp;" AS STRING)) IS NULL OR CAST(X."&amp;F329&amp;" AS STRING) NOT "&amp;H329&amp;",1,0)) AS NUM_REG_DIF,'"&amp;MAX('ID1&amp;5'!K:K)+1&amp;"' AS ID_EXEC, CURRENT_TIMESTAMP() AS TIME_EXEC FROM "&amp;I329,"SELECT '"&amp;UPPER(B329)&amp;"' AS TABELA, '"&amp;UPPER(C329)&amp;"' AS TIPOLOGIA_TESTE,'"&amp;D329&amp;"' AS TABELA_LT,'N/A' AS TABELA_SIMUL,'"&amp;F329&amp;"' AS CAMPO, "&amp;"'${ref_date}' AS REF_DATE, COUNT(*) AS NUM_REG, SUM(IF(TRIM(CAST(X."&amp;F329&amp;" AS STRING))='' OR TRIM(CAST(X."&amp;F329&amp;" AS STRING)) IS NULL,1,0)) AS NUM_REG_DIF,'"&amp;MAX('ID1&amp;5'!K:K)+1&amp;"' AS ID_EXEC, CURRENT_TIMESTAMP() AS TIME_EXEC FROM "&amp;I329),
IF(C329="Caracteres Especiais",+"SELECT '"&amp;UPPER(B329)&amp;"' AS TABELA, '"&amp;UPPER(C329)&amp;"' AS TIPOLOGIA_TESTE,'"&amp;D329&amp;"' AS TABELA_LT,'N/A' AS TABELA_SIMUL,'"&amp;F329&amp;"' AS CAMPO, "&amp;"'${ref_date}' AS REF_DATE, COUNT(*) AS NUM_REG, SUM(IF(REGEXP_REPLACE(TRIM(CAST(X."&amp;F329&amp;" AS STRING)),'[^a-zA-Z0-9_\\s]','') &lt;&gt;TRIM(CAST(X."&amp;F329&amp;" AS STRING)),1,0)) AS NUM_REG_DIF,'"&amp;MAX('ID1&amp;5'!K:K)+1&amp;"' AS ID_EXEC, CURRENT_TIMESTAMP() AS TIME_EXEC FROM "&amp;I329,
IF(C329="Missings",+"SELECT '"&amp;UPPER(B329)&amp;"' AS TABELA, '"&amp;UPPER(C329)&amp;"' AS TIPOLOGIA_TESTE,'"&amp;D329&amp;"' AS TABELA_LT,'N/A' AS TABELA_SIMUL,'"&amp;F329&amp;"' AS CAMPO, "&amp;"'${ref_date}' AS REF_DATE, COUNT(*) AS NUM_REG, SUM(IF(TRIM(CAST(X."&amp;F329&amp;" AS STRING)) IN ('0000-00-00','0001-01-01','9999-12-31','MISS','00000','99999999999','99999999999.00','99999999999.000000'),1,0)) AS NUM_REG_DIF,'"&amp;MAX('ID1&amp;5'!K:K)+1&amp;"' AS ID_EXEC, CURRENT_TIMESTAMP() AS TIME_EXEC FROM "&amp;I329,
IF(C329="Not applicable",+"SELECT '"&amp;UPPER(B329)&amp;"' AS TABELA, '"&amp;UPPER(C329)&amp;"' AS TIPOLOGIA_TESTE,'"&amp;D329&amp;"' AS TABELA_LT,'N/A' AS TABELA_SIMUL,'"&amp;F329&amp;"' AS CAMPO, "&amp;"'${ref_date}' AS REF_DATE, COUNT(*) AS NUM_REG, SUM(IF(TRIM(CAST(X."&amp;F329&amp;" AS STRING)) IN ('N/A','11111111111','11111111111.00','11111111111.000000','1111-11-11'),1,0)) AS NUM_REG_DIF,'"&amp;MAX('ID1&amp;5'!K:K)+1&amp;"' AS ID_EXEC, CURRENT_TIMESTAMP() AS TIME_EXEC FROM "&amp;I329,
IF(C329="Valores extremos",+"SELECT '"&amp;UPPER(B329)&amp;"' AS TABELA, '"&amp;UPPER(C329)&amp;"' AS TIPOLOGIA_TESTE,'"&amp;D329&amp;"' AS TABELA_LT,'N/A' AS TABELA_SIMUL,'"&amp;F329&amp;"' AS CAMPO, "&amp;"'${ref_date}' AS REF_DATE, CAST(MIN("&amp;F329&amp;") AS STRING) AS VALOR_MIN, CAST(MAX("&amp;F329&amp;") AS STRING) AS VALOR_MAX,'"&amp;MAX('ID1&amp;5'!K:K)+1&amp;"' AS ID_EXEC, CURRENT_TIMESTAMP() AS TIME_EXEC FROM "&amp;MID(I329,1,LEN(I329)-2)&amp;" AND CAST("&amp;F329&amp;"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TABELA_SIMUL,'contract_recogn_resolution' AS CAMPO, '${ref_date}' AS REF_DATE, COUNT(*) AS NUM_REG, SUM(IF(COALESCE(CAST(X.contract_recogn_resolution AS STRING),'')&lt;&gt;COALESCE(CAST(Y.contract_recogn_resolution_SIMUL AS STRING),'') OR (X.contract_recogn_resolution IS NULL AND Y.contract_recogn_resolution_SIMUL IS NOT NULL ) OR (X.contract_recogn_resolution IS NOT NULL AND Y.contract_recogn_resolution_SIMUL IS NULL),1,0)) AS NUM_REG_DIF,'1' AS ID_EXEC, CURRENT_TIMESTAMP() AS TIME_EXEC FROM (SELECT instrmnt_id, contract_recogn_resolution FROM BU_LOANTAPE_WORK.LT002_INSTRUMENT WHERE ref_date='${ref_date}' AND nome_perimetro='Individual Local' AND segmento='ESTR' AND ambito='SRB_MBDT' AND entidade='00100')X INNER JOIN (SELECT instrmnt_id AS instrmnt_id_SIMUL, contract_recogn_resolution AS contract_recogn_resolution_SIMUL FROM BU_LOANTAPE_WORK.SIMUL_LT002_INSTRUMENT WHERE ref_date='${ref_date}' AND nome_perimetro='Individual Local' AND segmento='ESTR' AND ambito='PILAR3' AND entidade='00100')Y ON X.INSTRMNT_ID=Y.INSTRMNT_ID_SIMUL</v>
      </c>
      <c r="M329" s="36" t="str">
        <f t="shared" si="8"/>
        <v>UNION ALL SELECT 'INSTRUMENT' AS TABELA, 'COERÊNCIA' AS TIPOLOGIA_TESTE,'BU_LOANTAPE_WORK.LT002_INSTRUMENT' AS TABELA_LT,'BU_LOANTAPE_WORK.SIMUL_LT002_INSTRUMENT' AS TABELA_SIMUL,'contract_recogn_resolution' AS CAMPO, '${ref_date}' AS REF_DATE, COUNT(*) AS NUM_REG, SUM(IF(COALESCE(CAST(X.contract_recogn_resolution AS STRING),'')&lt;&gt;COALESCE(CAST(Y.contract_recogn_resolution_SIMUL AS STRING),'') OR (X.contract_recogn_resolution IS NULL AND Y.contract_recogn_resolution_SIMUL IS NOT NULL ) OR (X.contract_recogn_resolution IS NOT NULL AND Y.contract_recogn_resolution_SIMUL IS NULL),1,0)) AS NUM_REG_DIF,'1' AS ID_EXEC, CURRENT_TIMESTAMP() AS TIME_EXEC FROM (SELECT instrmnt_id, contract_recogn_resolution FROM BU_LOANTAPE_WORK.LT002_INSTRUMENT WHERE ref_date='${ref_date}' AND nome_perimetro='Individual Local' AND segmento='ESTR' AND ambito='SRB_MBDT' AND entidade='00100')X INNER JOIN (SELECT instrmnt_id AS instrmnt_id_SIMUL, contract_recogn_resolution AS contract_recogn_resolution_SIMUL FROM BU_LOANTAPE_WORK.SIMUL_LT002_INSTRUMENT WHERE ref_date='${ref_date}' AND nome_perimetro='Individual Local' AND segmento='ESTR' AND ambito='PILAR3' AND entidade='00100')Y ON X.INSTRMNT_ID=Y.INSTRMNT_ID_SIMUL</v>
      </c>
      <c r="N329" s="38"/>
    </row>
    <row r="330" spans="2:14">
      <c r="B330" s="34" t="s">
        <v>117</v>
      </c>
      <c r="C330" s="34" t="s">
        <v>5</v>
      </c>
      <c r="D330" s="34" t="str">
        <f>+UPPER('0. Instruções'!$D$35&amp;"."&amp;VLOOKUP(B330,'0. Instruções'!$C$27:$D$32,2,FALSE))</f>
        <v>BU_LOANTAPE_WORK.LT002_INSTRUMENT</v>
      </c>
      <c r="E330" s="34" t="str">
        <f>+UPPER('0. Instruções'!$D$36&amp;"."&amp;VLOOKUP(B330,'0. Instruções'!$C$27:$E$32,3,FALSE))</f>
        <v>BU_LOANTAPE_WORK.SIMUL_LT002_INSTRUMENT</v>
      </c>
      <c r="F330" s="34" t="s">
        <v>1370</v>
      </c>
      <c r="G330" s="34"/>
      <c r="H330" s="34"/>
      <c r="I330" s="34" t="str">
        <f>"(SELECT "&amp;VLOOKUP(B330,'0. Instruções'!$C$27:$G$32,4,FALSE)&amp;", "&amp;F330&amp;" FROM "&amp;D330&amp;" WHERE "&amp;'0. Instruções'!$D$42&amp;")X"</f>
        <v>(SELECT instrmnt_id, collateral_portfolio FROM BU_LOANTAPE_WORK.LT002_INSTRUMENT WHERE ref_date='${ref_date}' AND nome_perimetro='Individual Local' AND segmento='ESTR' AND ambito='SRB_MBDT' AND entidade='00100')X</v>
      </c>
      <c r="J330" s="34" t="str">
        <f>"(SELECT "&amp;VLOOKUP(B330,'0. Instruções'!$C$27:$G$32,4,FALSE)&amp;" AS "&amp;VLOOKUP(B330,'0. Instruções'!$C$27:$G$32,4,FALSE)&amp;"_SIMUL, "&amp;F330&amp;" AS "&amp;F330&amp;"_SIMUL FROM "&amp;E330&amp;" WHERE "&amp;'0. Instruções'!$D$43&amp;")Y"</f>
        <v>(SELECT instrmnt_id AS instrmnt_id_SIMUL, collateral_portfolio AS collateral_portfolio_SIMUL FROM BU_LOANTAPE_WORK.SIMUL_LT002_INSTRUMENT WHERE ref_date='${ref_date}' AND nome_perimetro='Individual Local' AND segmento='ESTR' AND ambito='PILAR3' AND entidade='00100')Y</v>
      </c>
      <c r="K330" s="35" t="str">
        <f>+UPPER("ON X."&amp;VLOOKUP(B330,'0. Instruções'!$C$27:$G$32,4,FALSE)&amp;"=Y."&amp;VLOOKUP(B330,'0. Instruções'!$C$27:$G$32,4,FALSE)&amp;"_SIMUL")</f>
        <v>ON X.INSTRMNT_ID=Y.INSTRMNT_ID_SIMUL</v>
      </c>
      <c r="L330" s="35" t="str">
        <f>+IF(C330="Coerência", +IF(LEFT(G330,5)="FLOAT","SELECT '"&amp;UPPER(B330)&amp;"' AS TABELA, '"&amp;UPPER(C330)&amp;"' AS TIPOLOGIA_TESTE,'"&amp;D330&amp;"' AS TABELA_LT,'"&amp;E330&amp;"' AS TABELA_SIMUL,'"&amp;F330&amp;"' AS CAMPO, "&amp;"'${ref_date}' AS REF_DATE, COUNT(*) AS NUM_REG, SUM(IF((ABS(COALESCE(CAST(X."&amp;F330&amp;" AS DECIMAL(18,6)),0)-COALESCE(CAST(Y."&amp;F330&amp;"_SIMUL AS DECIMAL(18,6)),0))&gt;0.000001) OR (X."&amp;F330&amp;" IS NULL AND Y."&amp;F330&amp;"_SIMUL IS NOT NULL ) OR (X."&amp;F330&amp;" IS NOT NULL AND Y."&amp;F330&amp;"_SIMUL IS NULL),1,0)) AS NUM_REG_DIF,'"&amp;MAX('ID1&amp;5'!K:K)+1&amp;"' AS ID_EXEC, CURRENT_TIMESTAMP() AS TIME_EXEC FROM "&amp;I330&amp;" INNER JOIN "&amp;J330&amp;" "&amp;K330,"SELECT '"&amp;UPPER(B330)&amp;"' AS TABELA, '"&amp;UPPER(C330)&amp;"' AS TIPOLOGIA_TESTE,'"&amp;D330&amp;"' AS TABELA_LT,'"&amp;E330&amp;"' AS TABELA_SIMUL,'"&amp;F330&amp;"' AS CAMPO, "&amp;"'${ref_date}' AS REF_DATE, COUNT(*) AS NUM_REG, SUM(IF(COALESCE(CAST(X."&amp;F330&amp;" AS STRING),'')&lt;&gt;COALESCE(CAST(Y."&amp;F330&amp;"_SIMUL AS STRING),'') OR (X."&amp;F330&amp;" IS NULL AND Y."&amp;F330&amp;"_SIMUL IS NOT NULL ) OR (X."&amp;F330&amp;" IS NOT NULL AND Y."&amp;F330&amp;"_SIMUL IS NULL),1,0)) AS NUM_REG_DIF,'"&amp;MAX('ID1&amp;5'!L:L)+1&amp;"' AS ID_EXEC, CURRENT_TIMESTAMP() AS TIME_EXEC FROM "&amp;I330&amp;" INNER JOIN "&amp;J330&amp;" "&amp;K330),
IF(C330="Validade",+IF(G330="Code List","SELECT '"&amp;UPPER(B330)&amp;"' AS TABELA, '"&amp;UPPER(C330)&amp;"' AS TIPOLOGIA_TESTE,'"&amp;D330&amp;"' AS TABELA_LT,'N/A' AS TABELA_SIMUL,'"&amp;F330&amp;"' AS CAMPO, "&amp;"'${ref_date}' AS REF_DATE, COUNT(*) AS NUM_REG, SUM(IF(TRIM(CAST(X."&amp;F330&amp;" AS STRING))='' OR TRIM(CAST(X."&amp;F330&amp;" AS STRING)) IS NULL OR CAST(X."&amp;F330&amp;" AS STRING) NOT "&amp;H330&amp;",1,0)) AS NUM_REG_DIF,'"&amp;MAX('ID1&amp;5'!K:K)+1&amp;"' AS ID_EXEC, CURRENT_TIMESTAMP() AS TIME_EXEC FROM "&amp;I330,"SELECT '"&amp;UPPER(B330)&amp;"' AS TABELA, '"&amp;UPPER(C330)&amp;"' AS TIPOLOGIA_TESTE,'"&amp;D330&amp;"' AS TABELA_LT,'N/A' AS TABELA_SIMUL,'"&amp;F330&amp;"' AS CAMPO, "&amp;"'${ref_date}' AS REF_DATE, COUNT(*) AS NUM_REG, SUM(IF(TRIM(CAST(X."&amp;F330&amp;" AS STRING))='' OR TRIM(CAST(X."&amp;F330&amp;" AS STRING)) IS NULL,1,0)) AS NUM_REG_DIF,'"&amp;MAX('ID1&amp;5'!K:K)+1&amp;"' AS ID_EXEC, CURRENT_TIMESTAMP() AS TIME_EXEC FROM "&amp;I330),
IF(C330="Caracteres Especiais",+"SELECT '"&amp;UPPER(B330)&amp;"' AS TABELA, '"&amp;UPPER(C330)&amp;"' AS TIPOLOGIA_TESTE,'"&amp;D330&amp;"' AS TABELA_LT,'N/A' AS TABELA_SIMUL,'"&amp;F330&amp;"' AS CAMPO, "&amp;"'${ref_date}' AS REF_DATE, COUNT(*) AS NUM_REG, SUM(IF(REGEXP_REPLACE(TRIM(CAST(X."&amp;F330&amp;" AS STRING)),'[^a-zA-Z0-9_\\s]','') &lt;&gt;TRIM(CAST(X."&amp;F330&amp;" AS STRING)),1,0)) AS NUM_REG_DIF,'"&amp;MAX('ID1&amp;5'!K:K)+1&amp;"' AS ID_EXEC, CURRENT_TIMESTAMP() AS TIME_EXEC FROM "&amp;I330,
IF(C330="Missings",+"SELECT '"&amp;UPPER(B330)&amp;"' AS TABELA, '"&amp;UPPER(C330)&amp;"' AS TIPOLOGIA_TESTE,'"&amp;D330&amp;"' AS TABELA_LT,'N/A' AS TABELA_SIMUL,'"&amp;F330&amp;"' AS CAMPO, "&amp;"'${ref_date}' AS REF_DATE, COUNT(*) AS NUM_REG, SUM(IF(TRIM(CAST(X."&amp;F330&amp;" AS STRING)) IN ('0000-00-00','0001-01-01','9999-12-31','MISS','00000','99999999999','99999999999.00','99999999999.000000'),1,0)) AS NUM_REG_DIF,'"&amp;MAX('ID1&amp;5'!K:K)+1&amp;"' AS ID_EXEC, CURRENT_TIMESTAMP() AS TIME_EXEC FROM "&amp;I330,
IF(C330="Not applicable",+"SELECT '"&amp;UPPER(B330)&amp;"' AS TABELA, '"&amp;UPPER(C330)&amp;"' AS TIPOLOGIA_TESTE,'"&amp;D330&amp;"' AS TABELA_LT,'N/A' AS TABELA_SIMUL,'"&amp;F330&amp;"' AS CAMPO, "&amp;"'${ref_date}' AS REF_DATE, COUNT(*) AS NUM_REG, SUM(IF(TRIM(CAST(X."&amp;F330&amp;" AS STRING)) IN ('N/A','11111111111','11111111111.00','11111111111.000000','1111-11-11'),1,0)) AS NUM_REG_DIF,'"&amp;MAX('ID1&amp;5'!K:K)+1&amp;"' AS ID_EXEC, CURRENT_TIMESTAMP() AS TIME_EXEC FROM "&amp;I330,
IF(C330="Valores extremos",+"SELECT '"&amp;UPPER(B330)&amp;"' AS TABELA, '"&amp;UPPER(C330)&amp;"' AS TIPOLOGIA_TESTE,'"&amp;D330&amp;"' AS TABELA_LT,'N/A' AS TABELA_SIMUL,'"&amp;F330&amp;"' AS CAMPO, "&amp;"'${ref_date}' AS REF_DATE, CAST(MIN("&amp;F330&amp;") AS STRING) AS VALOR_MIN, CAST(MAX("&amp;F330&amp;") AS STRING) AS VALOR_MAX,'"&amp;MAX('ID1&amp;5'!K:K)+1&amp;"' AS ID_EXEC, CURRENT_TIMESTAMP() AS TIME_EXEC FROM "&amp;MID(I330,1,LEN(I330)-2)&amp;" AND CAST("&amp;F330&amp;"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TABELA_SIMUL,'collateral_portfolio' AS CAMPO, '${ref_date}' AS REF_DATE, COUNT(*) AS NUM_REG, SUM(IF(COALESCE(CAST(X.collateral_portfolio AS STRING),'')&lt;&gt;COALESCE(CAST(Y.collateral_portfolio_SIMUL AS STRING),'') OR (X.collateral_portfolio IS NULL AND Y.collateral_portfolio_SIMUL IS NOT NULL ) OR (X.collateral_portfolio IS NOT NULL AND Y.collateral_portfolio_SIMUL IS NULL),1,0)) AS NUM_REG_DIF,'1' AS ID_EXEC, CURRENT_TIMESTAMP() AS TIME_EXEC FROM (SELECT instrmnt_id, collateral_portfolio FROM BU_LOANTAPE_WORK.LT002_INSTRUMENT WHERE ref_date='${ref_date}' AND nome_perimetro='Individual Local' AND segmento='ESTR' AND ambito='SRB_MBDT' AND entidade='00100')X INNER JOIN (SELECT instrmnt_id AS instrmnt_id_SIMUL, collateral_portfolio AS collateral_portfolio_SIMUL FROM BU_LOANTAPE_WORK.SIMUL_LT002_INSTRUMENT WHERE ref_date='${ref_date}' AND nome_perimetro='Individual Local' AND segmento='ESTR' AND ambito='PILAR3' AND entidade='00100')Y ON X.INSTRMNT_ID=Y.INSTRMNT_ID_SIMUL</v>
      </c>
      <c r="M330" s="36" t="str">
        <f t="shared" si="8"/>
        <v>UNION ALL SELECT 'INSTRUMENT' AS TABELA, 'COERÊNCIA' AS TIPOLOGIA_TESTE,'BU_LOANTAPE_WORK.LT002_INSTRUMENT' AS TABELA_LT,'BU_LOANTAPE_WORK.SIMUL_LT002_INSTRUMENT' AS TABELA_SIMUL,'collateral_portfolio' AS CAMPO, '${ref_date}' AS REF_DATE, COUNT(*) AS NUM_REG, SUM(IF(COALESCE(CAST(X.collateral_portfolio AS STRING),'')&lt;&gt;COALESCE(CAST(Y.collateral_portfolio_SIMUL AS STRING),'') OR (X.collateral_portfolio IS NULL AND Y.collateral_portfolio_SIMUL IS NOT NULL ) OR (X.collateral_portfolio IS NOT NULL AND Y.collateral_portfolio_SIMUL IS NULL),1,0)) AS NUM_REG_DIF,'1' AS ID_EXEC, CURRENT_TIMESTAMP() AS TIME_EXEC FROM (SELECT instrmnt_id, collateral_portfolio FROM BU_LOANTAPE_WORK.LT002_INSTRUMENT WHERE ref_date='${ref_date}' AND nome_perimetro='Individual Local' AND segmento='ESTR' AND ambito='SRB_MBDT' AND entidade='00100')X INNER JOIN (SELECT instrmnt_id AS instrmnt_id_SIMUL, collateral_portfolio AS collateral_portfolio_SIMUL FROM BU_LOANTAPE_WORK.SIMUL_LT002_INSTRUMENT WHERE ref_date='${ref_date}' AND nome_perimetro='Individual Local' AND segmento='ESTR' AND ambito='PILAR3' AND entidade='00100')Y ON X.INSTRMNT_ID=Y.INSTRMNT_ID_SIMUL</v>
      </c>
      <c r="N330" s="38"/>
    </row>
    <row r="331" spans="2:14">
      <c r="B331" s="34" t="s">
        <v>117</v>
      </c>
      <c r="C331" s="34" t="s">
        <v>5</v>
      </c>
      <c r="D331" s="34" t="str">
        <f>+UPPER('0. Instruções'!$D$35&amp;"."&amp;VLOOKUP(B331,'0. Instruções'!$C$27:$D$32,2,FALSE))</f>
        <v>BU_LOANTAPE_WORK.LT002_INSTRUMENT</v>
      </c>
      <c r="E331" s="34" t="str">
        <f>+UPPER('0. Instruções'!$D$36&amp;"."&amp;VLOOKUP(B331,'0. Instruções'!$C$27:$E$32,3,FALSE))</f>
        <v>BU_LOANTAPE_WORK.SIMUL_LT002_INSTRUMENT</v>
      </c>
      <c r="F331" s="34" t="s">
        <v>1371</v>
      </c>
      <c r="G331" s="34"/>
      <c r="H331" s="34"/>
      <c r="I331" s="34" t="str">
        <f>"(SELECT "&amp;VLOOKUP(B331,'0. Instruções'!$C$27:$G$32,4,FALSE)&amp;", "&amp;F331&amp;" FROM "&amp;D331&amp;" WHERE "&amp;'0. Instruções'!$D$42&amp;")X"</f>
        <v>(SELECT instrmnt_id, collateral_posted FROM BU_LOANTAPE_WORK.LT002_INSTRUMENT WHERE ref_date='${ref_date}' AND nome_perimetro='Individual Local' AND segmento='ESTR' AND ambito='SRB_MBDT' AND entidade='00100')X</v>
      </c>
      <c r="J331" s="34" t="str">
        <f>"(SELECT "&amp;VLOOKUP(B331,'0. Instruções'!$C$27:$G$32,4,FALSE)&amp;" AS "&amp;VLOOKUP(B331,'0. Instruções'!$C$27:$G$32,4,FALSE)&amp;"_SIMUL, "&amp;F331&amp;" AS "&amp;F331&amp;"_SIMUL FROM "&amp;E331&amp;" WHERE "&amp;'0. Instruções'!$D$43&amp;")Y"</f>
        <v>(SELECT instrmnt_id AS instrmnt_id_SIMUL, collateral_posted AS collateral_posted_SIMUL FROM BU_LOANTAPE_WORK.SIMUL_LT002_INSTRUMENT WHERE ref_date='${ref_date}' AND nome_perimetro='Individual Local' AND segmento='ESTR' AND ambito='PILAR3' AND entidade='00100')Y</v>
      </c>
      <c r="K331" s="35" t="str">
        <f>+UPPER("ON X."&amp;VLOOKUP(B331,'0. Instruções'!$C$27:$G$32,4,FALSE)&amp;"=Y."&amp;VLOOKUP(B331,'0. Instruções'!$C$27:$G$32,4,FALSE)&amp;"_SIMUL")</f>
        <v>ON X.INSTRMNT_ID=Y.INSTRMNT_ID_SIMUL</v>
      </c>
      <c r="L331" s="35" t="str">
        <f>+IF(C331="Coerência", +IF(LEFT(G331,5)="FLOAT","SELECT '"&amp;UPPER(B331)&amp;"' AS TABELA, '"&amp;UPPER(C331)&amp;"' AS TIPOLOGIA_TESTE,'"&amp;D331&amp;"' AS TABELA_LT,'"&amp;E331&amp;"' AS TABELA_SIMUL,'"&amp;F331&amp;"' AS CAMPO, "&amp;"'${ref_date}' AS REF_DATE, COUNT(*) AS NUM_REG, SUM(IF((ABS(COALESCE(CAST(X."&amp;F331&amp;" AS DECIMAL(18,6)),0)-COALESCE(CAST(Y."&amp;F331&amp;"_SIMUL AS DECIMAL(18,6)),0))&gt;0.000001) OR (X."&amp;F331&amp;" IS NULL AND Y."&amp;F331&amp;"_SIMUL IS NOT NULL ) OR (X."&amp;F331&amp;" IS NOT NULL AND Y."&amp;F331&amp;"_SIMUL IS NULL),1,0)) AS NUM_REG_DIF,'"&amp;MAX('ID1&amp;5'!K:K)+1&amp;"' AS ID_EXEC, CURRENT_TIMESTAMP() AS TIME_EXEC FROM "&amp;I331&amp;" INNER JOIN "&amp;J331&amp;" "&amp;K331,"SELECT '"&amp;UPPER(B331)&amp;"' AS TABELA, '"&amp;UPPER(C331)&amp;"' AS TIPOLOGIA_TESTE,'"&amp;D331&amp;"' AS TABELA_LT,'"&amp;E331&amp;"' AS TABELA_SIMUL,'"&amp;F331&amp;"' AS CAMPO, "&amp;"'${ref_date}' AS REF_DATE, COUNT(*) AS NUM_REG, SUM(IF(COALESCE(CAST(X."&amp;F331&amp;" AS STRING),'')&lt;&gt;COALESCE(CAST(Y."&amp;F331&amp;"_SIMUL AS STRING),'') OR (X."&amp;F331&amp;" IS NULL AND Y."&amp;F331&amp;"_SIMUL IS NOT NULL ) OR (X."&amp;F331&amp;" IS NOT NULL AND Y."&amp;F331&amp;"_SIMUL IS NULL),1,0)) AS NUM_REG_DIF,'"&amp;MAX('ID1&amp;5'!L:L)+1&amp;"' AS ID_EXEC, CURRENT_TIMESTAMP() AS TIME_EXEC FROM "&amp;I331&amp;" INNER JOIN "&amp;J331&amp;" "&amp;K331),
IF(C331="Validade",+IF(G331="Code List","SELECT '"&amp;UPPER(B331)&amp;"' AS TABELA, '"&amp;UPPER(C331)&amp;"' AS TIPOLOGIA_TESTE,'"&amp;D331&amp;"' AS TABELA_LT,'N/A' AS TABELA_SIMUL,'"&amp;F331&amp;"' AS CAMPO, "&amp;"'${ref_date}' AS REF_DATE, COUNT(*) AS NUM_REG, SUM(IF(TRIM(CAST(X."&amp;F331&amp;" AS STRING))='' OR TRIM(CAST(X."&amp;F331&amp;" AS STRING)) IS NULL OR CAST(X."&amp;F331&amp;" AS STRING) NOT "&amp;H331&amp;",1,0)) AS NUM_REG_DIF,'"&amp;MAX('ID1&amp;5'!K:K)+1&amp;"' AS ID_EXEC, CURRENT_TIMESTAMP() AS TIME_EXEC FROM "&amp;I331,"SELECT '"&amp;UPPER(B331)&amp;"' AS TABELA, '"&amp;UPPER(C331)&amp;"' AS TIPOLOGIA_TESTE,'"&amp;D331&amp;"' AS TABELA_LT,'N/A' AS TABELA_SIMUL,'"&amp;F331&amp;"' AS CAMPO, "&amp;"'${ref_date}' AS REF_DATE, COUNT(*) AS NUM_REG, SUM(IF(TRIM(CAST(X."&amp;F331&amp;" AS STRING))='' OR TRIM(CAST(X."&amp;F331&amp;" AS STRING)) IS NULL,1,0)) AS NUM_REG_DIF,'"&amp;MAX('ID1&amp;5'!K:K)+1&amp;"' AS ID_EXEC, CURRENT_TIMESTAMP() AS TIME_EXEC FROM "&amp;I331),
IF(C331="Caracteres Especiais",+"SELECT '"&amp;UPPER(B331)&amp;"' AS TABELA, '"&amp;UPPER(C331)&amp;"' AS TIPOLOGIA_TESTE,'"&amp;D331&amp;"' AS TABELA_LT,'N/A' AS TABELA_SIMUL,'"&amp;F331&amp;"' AS CAMPO, "&amp;"'${ref_date}' AS REF_DATE, COUNT(*) AS NUM_REG, SUM(IF(REGEXP_REPLACE(TRIM(CAST(X."&amp;F331&amp;" AS STRING)),'[^a-zA-Z0-9_\\s]','') &lt;&gt;TRIM(CAST(X."&amp;F331&amp;" AS STRING)),1,0)) AS NUM_REG_DIF,'"&amp;MAX('ID1&amp;5'!K:K)+1&amp;"' AS ID_EXEC, CURRENT_TIMESTAMP() AS TIME_EXEC FROM "&amp;I331,
IF(C331="Missings",+"SELECT '"&amp;UPPER(B331)&amp;"' AS TABELA, '"&amp;UPPER(C331)&amp;"' AS TIPOLOGIA_TESTE,'"&amp;D331&amp;"' AS TABELA_LT,'N/A' AS TABELA_SIMUL,'"&amp;F331&amp;"' AS CAMPO, "&amp;"'${ref_date}' AS REF_DATE, COUNT(*) AS NUM_REG, SUM(IF(TRIM(CAST(X."&amp;F331&amp;" AS STRING)) IN ('0000-00-00','0001-01-01','9999-12-31','MISS','00000','99999999999','99999999999.00','99999999999.000000'),1,0)) AS NUM_REG_DIF,'"&amp;MAX('ID1&amp;5'!K:K)+1&amp;"' AS ID_EXEC, CURRENT_TIMESTAMP() AS TIME_EXEC FROM "&amp;I331,
IF(C331="Not applicable",+"SELECT '"&amp;UPPER(B331)&amp;"' AS TABELA, '"&amp;UPPER(C331)&amp;"' AS TIPOLOGIA_TESTE,'"&amp;D331&amp;"' AS TABELA_LT,'N/A' AS TABELA_SIMUL,'"&amp;F331&amp;"' AS CAMPO, "&amp;"'${ref_date}' AS REF_DATE, COUNT(*) AS NUM_REG, SUM(IF(TRIM(CAST(X."&amp;F331&amp;" AS STRING)) IN ('N/A','11111111111','11111111111.00','11111111111.000000','1111-11-11'),1,0)) AS NUM_REG_DIF,'"&amp;MAX('ID1&amp;5'!K:K)+1&amp;"' AS ID_EXEC, CURRENT_TIMESTAMP() AS TIME_EXEC FROM "&amp;I331,
IF(C331="Valores extremos",+"SELECT '"&amp;UPPER(B331)&amp;"' AS TABELA, '"&amp;UPPER(C331)&amp;"' AS TIPOLOGIA_TESTE,'"&amp;D331&amp;"' AS TABELA_LT,'N/A' AS TABELA_SIMUL,'"&amp;F331&amp;"' AS CAMPO, "&amp;"'${ref_date}' AS REF_DATE, CAST(MIN("&amp;F331&amp;") AS STRING) AS VALOR_MIN, CAST(MAX("&amp;F331&amp;") AS STRING) AS VALOR_MAX,'"&amp;MAX('ID1&amp;5'!K:K)+1&amp;"' AS ID_EXEC, CURRENT_TIMESTAMP() AS TIME_EXEC FROM "&amp;MID(I331,1,LEN(I331)-2)&amp;" AND CAST("&amp;F331&amp;"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TABELA_SIMUL,'collateral_posted' AS CAMPO, '${ref_date}' AS REF_DATE, COUNT(*) AS NUM_REG, SUM(IF(COALESCE(CAST(X.collateral_posted AS STRING),'')&lt;&gt;COALESCE(CAST(Y.collateral_posted_SIMUL AS STRING),'') OR (X.collateral_posted IS NULL AND Y.collateral_posted_SIMUL IS NOT NULL ) OR (X.collateral_posted IS NOT NULL AND Y.collateral_posted_SIMUL IS NULL),1,0)) AS NUM_REG_DIF,'1' AS ID_EXEC, CURRENT_TIMESTAMP() AS TIME_EXEC FROM (SELECT instrmnt_id, collateral_posted FROM BU_LOANTAPE_WORK.LT002_INSTRUMENT WHERE ref_date='${ref_date}' AND nome_perimetro='Individual Local' AND segmento='ESTR' AND ambito='SRB_MBDT' AND entidade='00100')X INNER JOIN (SELECT instrmnt_id AS instrmnt_id_SIMUL, collateral_posted AS collateral_posted_SIMUL FROM BU_LOANTAPE_WORK.SIMUL_LT002_INSTRUMENT WHERE ref_date='${ref_date}' AND nome_perimetro='Individual Local' AND segmento='ESTR' AND ambito='PILAR3' AND entidade='00100')Y ON X.INSTRMNT_ID=Y.INSTRMNT_ID_SIMUL</v>
      </c>
      <c r="M331" s="36" t="str">
        <f t="shared" si="8"/>
        <v>UNION ALL SELECT 'INSTRUMENT' AS TABELA, 'COERÊNCIA' AS TIPOLOGIA_TESTE,'BU_LOANTAPE_WORK.LT002_INSTRUMENT' AS TABELA_LT,'BU_LOANTAPE_WORK.SIMUL_LT002_INSTRUMENT' AS TABELA_SIMUL,'collateral_posted' AS CAMPO, '${ref_date}' AS REF_DATE, COUNT(*) AS NUM_REG, SUM(IF(COALESCE(CAST(X.collateral_posted AS STRING),'')&lt;&gt;COALESCE(CAST(Y.collateral_posted_SIMUL AS STRING),'') OR (X.collateral_posted IS NULL AND Y.collateral_posted_SIMUL IS NOT NULL ) OR (X.collateral_posted IS NOT NULL AND Y.collateral_posted_SIMUL IS NULL),1,0)) AS NUM_REG_DIF,'1' AS ID_EXEC, CURRENT_TIMESTAMP() AS TIME_EXEC FROM (SELECT instrmnt_id, collateral_posted FROM BU_LOANTAPE_WORK.LT002_INSTRUMENT WHERE ref_date='${ref_date}' AND nome_perimetro='Individual Local' AND segmento='ESTR' AND ambito='SRB_MBDT' AND entidade='00100')X INNER JOIN (SELECT instrmnt_id AS instrmnt_id_SIMUL, collateral_posted AS collateral_posted_SIMUL FROM BU_LOANTAPE_WORK.SIMUL_LT002_INSTRUMENT WHERE ref_date='${ref_date}' AND nome_perimetro='Individual Local' AND segmento='ESTR' AND ambito='PILAR3' AND entidade='00100')Y ON X.INSTRMNT_ID=Y.INSTRMNT_ID_SIMUL</v>
      </c>
      <c r="N331" s="38"/>
    </row>
    <row r="332" spans="2:14">
      <c r="B332" s="34" t="s">
        <v>117</v>
      </c>
      <c r="C332" s="34" t="s">
        <v>5</v>
      </c>
      <c r="D332" s="34" t="str">
        <f>+UPPER('0. Instruções'!$D$35&amp;"."&amp;VLOOKUP(B332,'0. Instruções'!$C$27:$D$32,2,FALSE))</f>
        <v>BU_LOANTAPE_WORK.LT002_INSTRUMENT</v>
      </c>
      <c r="E332" s="34" t="str">
        <f>+UPPER('0. Instruções'!$D$36&amp;"."&amp;VLOOKUP(B332,'0. Instruções'!$C$27:$E$32,3,FALSE))</f>
        <v>BU_LOANTAPE_WORK.SIMUL_LT002_INSTRUMENT</v>
      </c>
      <c r="F332" s="34" t="s">
        <v>1372</v>
      </c>
      <c r="G332" s="34"/>
      <c r="H332" s="34"/>
      <c r="I332" s="34" t="str">
        <f>"(SELECT "&amp;VLOOKUP(B332,'0. Instruções'!$C$27:$G$32,4,FALSE)&amp;", "&amp;F332&amp;" FROM "&amp;D332&amp;" WHERE "&amp;'0. Instruções'!$D$42&amp;")X"</f>
        <v>(SELECT instrmnt_id, collateral_posted_currency FROM BU_LOANTAPE_WORK.LT002_INSTRUMENT WHERE ref_date='${ref_date}' AND nome_perimetro='Individual Local' AND segmento='ESTR' AND ambito='SRB_MBDT' AND entidade='00100')X</v>
      </c>
      <c r="J332" s="34" t="str">
        <f>"(SELECT "&amp;VLOOKUP(B332,'0. Instruções'!$C$27:$G$32,4,FALSE)&amp;" AS "&amp;VLOOKUP(B332,'0. Instruções'!$C$27:$G$32,4,FALSE)&amp;"_SIMUL, "&amp;F332&amp;" AS "&amp;F332&amp;"_SIMUL FROM "&amp;E332&amp;" WHERE "&amp;'0. Instruções'!$D$43&amp;")Y"</f>
        <v>(SELECT instrmnt_id AS instrmnt_id_SIMUL, collateral_posted_currency AS collateral_posted_currency_SIMUL FROM BU_LOANTAPE_WORK.SIMUL_LT002_INSTRUMENT WHERE ref_date='${ref_date}' AND nome_perimetro='Individual Local' AND segmento='ESTR' AND ambito='PILAR3' AND entidade='00100')Y</v>
      </c>
      <c r="K332" s="35" t="str">
        <f>+UPPER("ON X."&amp;VLOOKUP(B332,'0. Instruções'!$C$27:$G$32,4,FALSE)&amp;"=Y."&amp;VLOOKUP(B332,'0. Instruções'!$C$27:$G$32,4,FALSE)&amp;"_SIMUL")</f>
        <v>ON X.INSTRMNT_ID=Y.INSTRMNT_ID_SIMUL</v>
      </c>
      <c r="L332" s="35" t="str">
        <f>+IF(C332="Coerência", +IF(LEFT(G332,5)="FLOAT","SELECT '"&amp;UPPER(B332)&amp;"' AS TABELA, '"&amp;UPPER(C332)&amp;"' AS TIPOLOGIA_TESTE,'"&amp;D332&amp;"' AS TABELA_LT,'"&amp;E332&amp;"' AS TABELA_SIMUL,'"&amp;F332&amp;"' AS CAMPO, "&amp;"'${ref_date}' AS REF_DATE, COUNT(*) AS NUM_REG, SUM(IF((ABS(COALESCE(CAST(X."&amp;F332&amp;" AS DECIMAL(18,6)),0)-COALESCE(CAST(Y."&amp;F332&amp;"_SIMUL AS DECIMAL(18,6)),0))&gt;0.000001) OR (X."&amp;F332&amp;" IS NULL AND Y."&amp;F332&amp;"_SIMUL IS NOT NULL ) OR (X."&amp;F332&amp;" IS NOT NULL AND Y."&amp;F332&amp;"_SIMUL IS NULL),1,0)) AS NUM_REG_DIF,'"&amp;MAX('ID1&amp;5'!K:K)+1&amp;"' AS ID_EXEC, CURRENT_TIMESTAMP() AS TIME_EXEC FROM "&amp;I332&amp;" INNER JOIN "&amp;J332&amp;" "&amp;K332,"SELECT '"&amp;UPPER(B332)&amp;"' AS TABELA, '"&amp;UPPER(C332)&amp;"' AS TIPOLOGIA_TESTE,'"&amp;D332&amp;"' AS TABELA_LT,'"&amp;E332&amp;"' AS TABELA_SIMUL,'"&amp;F332&amp;"' AS CAMPO, "&amp;"'${ref_date}' AS REF_DATE, COUNT(*) AS NUM_REG, SUM(IF(COALESCE(CAST(X."&amp;F332&amp;" AS STRING),'')&lt;&gt;COALESCE(CAST(Y."&amp;F332&amp;"_SIMUL AS STRING),'') OR (X."&amp;F332&amp;" IS NULL AND Y."&amp;F332&amp;"_SIMUL IS NOT NULL ) OR (X."&amp;F332&amp;" IS NOT NULL AND Y."&amp;F332&amp;"_SIMUL IS NULL),1,0)) AS NUM_REG_DIF,'"&amp;MAX('ID1&amp;5'!L:L)+1&amp;"' AS ID_EXEC, CURRENT_TIMESTAMP() AS TIME_EXEC FROM "&amp;I332&amp;" INNER JOIN "&amp;J332&amp;" "&amp;K332),
IF(C332="Validade",+IF(G332="Code List","SELECT '"&amp;UPPER(B332)&amp;"' AS TABELA, '"&amp;UPPER(C332)&amp;"' AS TIPOLOGIA_TESTE,'"&amp;D332&amp;"' AS TABELA_LT,'N/A' AS TABELA_SIMUL,'"&amp;F332&amp;"' AS CAMPO, "&amp;"'${ref_date}' AS REF_DATE, COUNT(*) AS NUM_REG, SUM(IF(TRIM(CAST(X."&amp;F332&amp;" AS STRING))='' OR TRIM(CAST(X."&amp;F332&amp;" AS STRING)) IS NULL OR CAST(X."&amp;F332&amp;" AS STRING) NOT "&amp;H332&amp;",1,0)) AS NUM_REG_DIF,'"&amp;MAX('ID1&amp;5'!K:K)+1&amp;"' AS ID_EXEC, CURRENT_TIMESTAMP() AS TIME_EXEC FROM "&amp;I332,"SELECT '"&amp;UPPER(B332)&amp;"' AS TABELA, '"&amp;UPPER(C332)&amp;"' AS TIPOLOGIA_TESTE,'"&amp;D332&amp;"' AS TABELA_LT,'N/A' AS TABELA_SIMUL,'"&amp;F332&amp;"' AS CAMPO, "&amp;"'${ref_date}' AS REF_DATE, COUNT(*) AS NUM_REG, SUM(IF(TRIM(CAST(X."&amp;F332&amp;" AS STRING))='' OR TRIM(CAST(X."&amp;F332&amp;" AS STRING)) IS NULL,1,0)) AS NUM_REG_DIF,'"&amp;MAX('ID1&amp;5'!K:K)+1&amp;"' AS ID_EXEC, CURRENT_TIMESTAMP() AS TIME_EXEC FROM "&amp;I332),
IF(C332="Caracteres Especiais",+"SELECT '"&amp;UPPER(B332)&amp;"' AS TABELA, '"&amp;UPPER(C332)&amp;"' AS TIPOLOGIA_TESTE,'"&amp;D332&amp;"' AS TABELA_LT,'N/A' AS TABELA_SIMUL,'"&amp;F332&amp;"' AS CAMPO, "&amp;"'${ref_date}' AS REF_DATE, COUNT(*) AS NUM_REG, SUM(IF(REGEXP_REPLACE(TRIM(CAST(X."&amp;F332&amp;" AS STRING)),'[^a-zA-Z0-9_\\s]','') &lt;&gt;TRIM(CAST(X."&amp;F332&amp;" AS STRING)),1,0)) AS NUM_REG_DIF,'"&amp;MAX('ID1&amp;5'!K:K)+1&amp;"' AS ID_EXEC, CURRENT_TIMESTAMP() AS TIME_EXEC FROM "&amp;I332,
IF(C332="Missings",+"SELECT '"&amp;UPPER(B332)&amp;"' AS TABELA, '"&amp;UPPER(C332)&amp;"' AS TIPOLOGIA_TESTE,'"&amp;D332&amp;"' AS TABELA_LT,'N/A' AS TABELA_SIMUL,'"&amp;F332&amp;"' AS CAMPO, "&amp;"'${ref_date}' AS REF_DATE, COUNT(*) AS NUM_REG, SUM(IF(TRIM(CAST(X."&amp;F332&amp;" AS STRING)) IN ('0000-00-00','0001-01-01','9999-12-31','MISS','00000','99999999999','99999999999.00','99999999999.000000'),1,0)) AS NUM_REG_DIF,'"&amp;MAX('ID1&amp;5'!K:K)+1&amp;"' AS ID_EXEC, CURRENT_TIMESTAMP() AS TIME_EXEC FROM "&amp;I332,
IF(C332="Not applicable",+"SELECT '"&amp;UPPER(B332)&amp;"' AS TABELA, '"&amp;UPPER(C332)&amp;"' AS TIPOLOGIA_TESTE,'"&amp;D332&amp;"' AS TABELA_LT,'N/A' AS TABELA_SIMUL,'"&amp;F332&amp;"' AS CAMPO, "&amp;"'${ref_date}' AS REF_DATE, COUNT(*) AS NUM_REG, SUM(IF(TRIM(CAST(X."&amp;F332&amp;" AS STRING)) IN ('N/A','11111111111','11111111111.00','11111111111.000000','1111-11-11'),1,0)) AS NUM_REG_DIF,'"&amp;MAX('ID1&amp;5'!K:K)+1&amp;"' AS ID_EXEC, CURRENT_TIMESTAMP() AS TIME_EXEC FROM "&amp;I332,
IF(C332="Valores extremos",+"SELECT '"&amp;UPPER(B332)&amp;"' AS TABELA, '"&amp;UPPER(C332)&amp;"' AS TIPOLOGIA_TESTE,'"&amp;D332&amp;"' AS TABELA_LT,'N/A' AS TABELA_SIMUL,'"&amp;F332&amp;"' AS CAMPO, "&amp;"'${ref_date}' AS REF_DATE, CAST(MIN("&amp;F332&amp;") AS STRING) AS VALOR_MIN, CAST(MAX("&amp;F332&amp;") AS STRING) AS VALOR_MAX,'"&amp;MAX('ID1&amp;5'!K:K)+1&amp;"' AS ID_EXEC, CURRENT_TIMESTAMP() AS TIME_EXEC FROM "&amp;MID(I332,1,LEN(I332)-2)&amp;" AND CAST("&amp;F332&amp;"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TABELA_SIMUL,'collateral_posted_currency' AS CAMPO, '${ref_date}' AS REF_DATE, COUNT(*) AS NUM_REG, SUM(IF(COALESCE(CAST(X.collateral_posted_currency AS STRING),'')&lt;&gt;COALESCE(CAST(Y.collateral_posted_currency_SIMUL AS STRING),'') OR (X.collateral_posted_currency IS NULL AND Y.collateral_posted_currency_SIMUL IS NOT NULL ) OR (X.collateral_posted_currency IS NOT NULL AND Y.collateral_posted_currency_SIMUL IS NULL),1,0)) AS NUM_REG_DIF,'1' AS ID_EXEC, CURRENT_TIMESTAMP() AS TIME_EXEC FROM (SELECT instrmnt_id, collateral_posted_currency FROM BU_LOANTAPE_WORK.LT002_INSTRUMENT WHERE ref_date='${ref_date}' AND nome_perimetro='Individual Local' AND segmento='ESTR' AND ambito='SRB_MBDT' AND entidade='00100')X INNER JOIN (SELECT instrmnt_id AS instrmnt_id_SIMUL, collateral_posted_currency AS collateral_posted_currency_SIMUL FROM BU_LOANTAPE_WORK.SIMUL_LT002_INSTRUMENT WHERE ref_date='${ref_date}' AND nome_perimetro='Individual Local' AND segmento='ESTR' AND ambito='PILAR3' AND entidade='00100')Y ON X.INSTRMNT_ID=Y.INSTRMNT_ID_SIMUL</v>
      </c>
      <c r="M332" s="36" t="str">
        <f t="shared" si="8"/>
        <v>UNION ALL SELECT 'INSTRUMENT' AS TABELA, 'COERÊNCIA' AS TIPOLOGIA_TESTE,'BU_LOANTAPE_WORK.LT002_INSTRUMENT' AS TABELA_LT,'BU_LOANTAPE_WORK.SIMUL_LT002_INSTRUMENT' AS TABELA_SIMUL,'collateral_posted_currency' AS CAMPO, '${ref_date}' AS REF_DATE, COUNT(*) AS NUM_REG, SUM(IF(COALESCE(CAST(X.collateral_posted_currency AS STRING),'')&lt;&gt;COALESCE(CAST(Y.collateral_posted_currency_SIMUL AS STRING),'') OR (X.collateral_posted_currency IS NULL AND Y.collateral_posted_currency_SIMUL IS NOT NULL ) OR (X.collateral_posted_currency IS NOT NULL AND Y.collateral_posted_currency_SIMUL IS NULL),1,0)) AS NUM_REG_DIF,'1' AS ID_EXEC, CURRENT_TIMESTAMP() AS TIME_EXEC FROM (SELECT instrmnt_id, collateral_posted_currency FROM BU_LOANTAPE_WORK.LT002_INSTRUMENT WHERE ref_date='${ref_date}' AND nome_perimetro='Individual Local' AND segmento='ESTR' AND ambito='SRB_MBDT' AND entidade='00100')X INNER JOIN (SELECT instrmnt_id AS instrmnt_id_SIMUL, collateral_posted_currency AS collateral_posted_currency_SIMUL FROM BU_LOANTAPE_WORK.SIMUL_LT002_INSTRUMENT WHERE ref_date='${ref_date}' AND nome_perimetro='Individual Local' AND segmento='ESTR' AND ambito='PILAR3' AND entidade='00100')Y ON X.INSTRMNT_ID=Y.INSTRMNT_ID_SIMUL</v>
      </c>
      <c r="N332" s="38"/>
    </row>
    <row r="333" spans="2:14">
      <c r="B333" s="34" t="s">
        <v>117</v>
      </c>
      <c r="C333" s="34" t="s">
        <v>5</v>
      </c>
      <c r="D333" s="34" t="str">
        <f>+UPPER('0. Instruções'!$D$35&amp;"."&amp;VLOOKUP(B333,'0. Instruções'!$C$27:$D$32,2,FALSE))</f>
        <v>BU_LOANTAPE_WORK.LT002_INSTRUMENT</v>
      </c>
      <c r="E333" s="34" t="str">
        <f>+UPPER('0. Instruções'!$D$36&amp;"."&amp;VLOOKUP(B333,'0. Instruções'!$C$27:$E$32,3,FALSE))</f>
        <v>BU_LOANTAPE_WORK.SIMUL_LT002_INSTRUMENT</v>
      </c>
      <c r="F333" s="34" t="s">
        <v>1373</v>
      </c>
      <c r="G333" s="34"/>
      <c r="H333" s="34"/>
      <c r="I333" s="34" t="str">
        <f>"(SELECT "&amp;VLOOKUP(B333,'0. Instruções'!$C$27:$G$32,4,FALSE)&amp;", "&amp;F333&amp;" FROM "&amp;D333&amp;" WHERE "&amp;'0. Instruções'!$D$42&amp;")X"</f>
        <v>(SELECT instrmnt_id, collateral_received FROM BU_LOANTAPE_WORK.LT002_INSTRUMENT WHERE ref_date='${ref_date}' AND nome_perimetro='Individual Local' AND segmento='ESTR' AND ambito='SRB_MBDT' AND entidade='00100')X</v>
      </c>
      <c r="J333" s="34" t="str">
        <f>"(SELECT "&amp;VLOOKUP(B333,'0. Instruções'!$C$27:$G$32,4,FALSE)&amp;" AS "&amp;VLOOKUP(B333,'0. Instruções'!$C$27:$G$32,4,FALSE)&amp;"_SIMUL, "&amp;F333&amp;" AS "&amp;F333&amp;"_SIMUL FROM "&amp;E333&amp;" WHERE "&amp;'0. Instruções'!$D$43&amp;")Y"</f>
        <v>(SELECT instrmnt_id AS instrmnt_id_SIMUL, collateral_received AS collateral_received_SIMUL FROM BU_LOANTAPE_WORK.SIMUL_LT002_INSTRUMENT WHERE ref_date='${ref_date}' AND nome_perimetro='Individual Local' AND segmento='ESTR' AND ambito='PILAR3' AND entidade='00100')Y</v>
      </c>
      <c r="K333" s="35" t="str">
        <f>+UPPER("ON X."&amp;VLOOKUP(B333,'0. Instruções'!$C$27:$G$32,4,FALSE)&amp;"=Y."&amp;VLOOKUP(B333,'0. Instruções'!$C$27:$G$32,4,FALSE)&amp;"_SIMUL")</f>
        <v>ON X.INSTRMNT_ID=Y.INSTRMNT_ID_SIMUL</v>
      </c>
      <c r="L333" s="35" t="str">
        <f>+IF(C333="Coerência", +IF(LEFT(G333,5)="FLOAT","SELECT '"&amp;UPPER(B333)&amp;"' AS TABELA, '"&amp;UPPER(C333)&amp;"' AS TIPOLOGIA_TESTE,'"&amp;D333&amp;"' AS TABELA_LT,'"&amp;E333&amp;"' AS TABELA_SIMUL,'"&amp;F333&amp;"' AS CAMPO, "&amp;"'${ref_date}' AS REF_DATE, COUNT(*) AS NUM_REG, SUM(IF((ABS(COALESCE(CAST(X."&amp;F333&amp;" AS DECIMAL(18,6)),0)-COALESCE(CAST(Y."&amp;F333&amp;"_SIMUL AS DECIMAL(18,6)),0))&gt;0.000001) OR (X."&amp;F333&amp;" IS NULL AND Y."&amp;F333&amp;"_SIMUL IS NOT NULL ) OR (X."&amp;F333&amp;" IS NOT NULL AND Y."&amp;F333&amp;"_SIMUL IS NULL),1,0)) AS NUM_REG_DIF,'"&amp;MAX('ID1&amp;5'!K:K)+1&amp;"' AS ID_EXEC, CURRENT_TIMESTAMP() AS TIME_EXEC FROM "&amp;I333&amp;" INNER JOIN "&amp;J333&amp;" "&amp;K333,"SELECT '"&amp;UPPER(B333)&amp;"' AS TABELA, '"&amp;UPPER(C333)&amp;"' AS TIPOLOGIA_TESTE,'"&amp;D333&amp;"' AS TABELA_LT,'"&amp;E333&amp;"' AS TABELA_SIMUL,'"&amp;F333&amp;"' AS CAMPO, "&amp;"'${ref_date}' AS REF_DATE, COUNT(*) AS NUM_REG, SUM(IF(COALESCE(CAST(X."&amp;F333&amp;" AS STRING),'')&lt;&gt;COALESCE(CAST(Y."&amp;F333&amp;"_SIMUL AS STRING),'') OR (X."&amp;F333&amp;" IS NULL AND Y."&amp;F333&amp;"_SIMUL IS NOT NULL ) OR (X."&amp;F333&amp;" IS NOT NULL AND Y."&amp;F333&amp;"_SIMUL IS NULL),1,0)) AS NUM_REG_DIF,'"&amp;MAX('ID1&amp;5'!L:L)+1&amp;"' AS ID_EXEC, CURRENT_TIMESTAMP() AS TIME_EXEC FROM "&amp;I333&amp;" INNER JOIN "&amp;J333&amp;" "&amp;K333),
IF(C333="Validade",+IF(G333="Code List","SELECT '"&amp;UPPER(B333)&amp;"' AS TABELA, '"&amp;UPPER(C333)&amp;"' AS TIPOLOGIA_TESTE,'"&amp;D333&amp;"' AS TABELA_LT,'N/A' AS TABELA_SIMUL,'"&amp;F333&amp;"' AS CAMPO, "&amp;"'${ref_date}' AS REF_DATE, COUNT(*) AS NUM_REG, SUM(IF(TRIM(CAST(X."&amp;F333&amp;" AS STRING))='' OR TRIM(CAST(X."&amp;F333&amp;" AS STRING)) IS NULL OR CAST(X."&amp;F333&amp;" AS STRING) NOT "&amp;H333&amp;",1,0)) AS NUM_REG_DIF,'"&amp;MAX('ID1&amp;5'!K:K)+1&amp;"' AS ID_EXEC, CURRENT_TIMESTAMP() AS TIME_EXEC FROM "&amp;I333,"SELECT '"&amp;UPPER(B333)&amp;"' AS TABELA, '"&amp;UPPER(C333)&amp;"' AS TIPOLOGIA_TESTE,'"&amp;D333&amp;"' AS TABELA_LT,'N/A' AS TABELA_SIMUL,'"&amp;F333&amp;"' AS CAMPO, "&amp;"'${ref_date}' AS REF_DATE, COUNT(*) AS NUM_REG, SUM(IF(TRIM(CAST(X."&amp;F333&amp;" AS STRING))='' OR TRIM(CAST(X."&amp;F333&amp;" AS STRING)) IS NULL,1,0)) AS NUM_REG_DIF,'"&amp;MAX('ID1&amp;5'!K:K)+1&amp;"' AS ID_EXEC, CURRENT_TIMESTAMP() AS TIME_EXEC FROM "&amp;I333),
IF(C333="Caracteres Especiais",+"SELECT '"&amp;UPPER(B333)&amp;"' AS TABELA, '"&amp;UPPER(C333)&amp;"' AS TIPOLOGIA_TESTE,'"&amp;D333&amp;"' AS TABELA_LT,'N/A' AS TABELA_SIMUL,'"&amp;F333&amp;"' AS CAMPO, "&amp;"'${ref_date}' AS REF_DATE, COUNT(*) AS NUM_REG, SUM(IF(REGEXP_REPLACE(TRIM(CAST(X."&amp;F333&amp;" AS STRING)),'[^a-zA-Z0-9_\\s]','') &lt;&gt;TRIM(CAST(X."&amp;F333&amp;" AS STRING)),1,0)) AS NUM_REG_DIF,'"&amp;MAX('ID1&amp;5'!K:K)+1&amp;"' AS ID_EXEC, CURRENT_TIMESTAMP() AS TIME_EXEC FROM "&amp;I333,
IF(C333="Missings",+"SELECT '"&amp;UPPER(B333)&amp;"' AS TABELA, '"&amp;UPPER(C333)&amp;"' AS TIPOLOGIA_TESTE,'"&amp;D333&amp;"' AS TABELA_LT,'N/A' AS TABELA_SIMUL,'"&amp;F333&amp;"' AS CAMPO, "&amp;"'${ref_date}' AS REF_DATE, COUNT(*) AS NUM_REG, SUM(IF(TRIM(CAST(X."&amp;F333&amp;" AS STRING)) IN ('0000-00-00','0001-01-01','9999-12-31','MISS','00000','99999999999','99999999999.00','99999999999.000000'),1,0)) AS NUM_REG_DIF,'"&amp;MAX('ID1&amp;5'!K:K)+1&amp;"' AS ID_EXEC, CURRENT_TIMESTAMP() AS TIME_EXEC FROM "&amp;I333,
IF(C333="Not applicable",+"SELECT '"&amp;UPPER(B333)&amp;"' AS TABELA, '"&amp;UPPER(C333)&amp;"' AS TIPOLOGIA_TESTE,'"&amp;D333&amp;"' AS TABELA_LT,'N/A' AS TABELA_SIMUL,'"&amp;F333&amp;"' AS CAMPO, "&amp;"'${ref_date}' AS REF_DATE, COUNT(*) AS NUM_REG, SUM(IF(TRIM(CAST(X."&amp;F333&amp;" AS STRING)) IN ('N/A','11111111111','11111111111.00','11111111111.000000','1111-11-11'),1,0)) AS NUM_REG_DIF,'"&amp;MAX('ID1&amp;5'!K:K)+1&amp;"' AS ID_EXEC, CURRENT_TIMESTAMP() AS TIME_EXEC FROM "&amp;I333,
IF(C333="Valores extremos",+"SELECT '"&amp;UPPER(B333)&amp;"' AS TABELA, '"&amp;UPPER(C333)&amp;"' AS TIPOLOGIA_TESTE,'"&amp;D333&amp;"' AS TABELA_LT,'N/A' AS TABELA_SIMUL,'"&amp;F333&amp;"' AS CAMPO, "&amp;"'${ref_date}' AS REF_DATE, CAST(MIN("&amp;F333&amp;") AS STRING) AS VALOR_MIN, CAST(MAX("&amp;F333&amp;") AS STRING) AS VALOR_MAX,'"&amp;MAX('ID1&amp;5'!K:K)+1&amp;"' AS ID_EXEC, CURRENT_TIMESTAMP() AS TIME_EXEC FROM "&amp;MID(I333,1,LEN(I333)-2)&amp;" AND CAST("&amp;F333&amp;"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TABELA_SIMUL,'collateral_received' AS CAMPO, '${ref_date}' AS REF_DATE, COUNT(*) AS NUM_REG, SUM(IF(COALESCE(CAST(X.collateral_received AS STRING),'')&lt;&gt;COALESCE(CAST(Y.collateral_received_SIMUL AS STRING),'') OR (X.collateral_received IS NULL AND Y.collateral_received_SIMUL IS NOT NULL ) OR (X.collateral_received IS NOT NULL AND Y.collateral_received_SIMUL IS NULL),1,0)) AS NUM_REG_DIF,'1' AS ID_EXEC, CURRENT_TIMESTAMP() AS TIME_EXEC FROM (SELECT instrmnt_id, collateral_received FROM BU_LOANTAPE_WORK.LT002_INSTRUMENT WHERE ref_date='${ref_date}' AND nome_perimetro='Individual Local' AND segmento='ESTR' AND ambito='SRB_MBDT' AND entidade='00100')X INNER JOIN (SELECT instrmnt_id AS instrmnt_id_SIMUL, collateral_received AS collateral_received_SIMUL FROM BU_LOANTAPE_WORK.SIMUL_LT002_INSTRUMENT WHERE ref_date='${ref_date}' AND nome_perimetro='Individual Local' AND segmento='ESTR' AND ambito='PILAR3' AND entidade='00100')Y ON X.INSTRMNT_ID=Y.INSTRMNT_ID_SIMUL</v>
      </c>
      <c r="M333" s="36" t="str">
        <f t="shared" si="8"/>
        <v>UNION ALL SELECT 'INSTRUMENT' AS TABELA, 'COERÊNCIA' AS TIPOLOGIA_TESTE,'BU_LOANTAPE_WORK.LT002_INSTRUMENT' AS TABELA_LT,'BU_LOANTAPE_WORK.SIMUL_LT002_INSTRUMENT' AS TABELA_SIMUL,'collateral_received' AS CAMPO, '${ref_date}' AS REF_DATE, COUNT(*) AS NUM_REG, SUM(IF(COALESCE(CAST(X.collateral_received AS STRING),'')&lt;&gt;COALESCE(CAST(Y.collateral_received_SIMUL AS STRING),'') OR (X.collateral_received IS NULL AND Y.collateral_received_SIMUL IS NOT NULL ) OR (X.collateral_received IS NOT NULL AND Y.collateral_received_SIMUL IS NULL),1,0)) AS NUM_REG_DIF,'1' AS ID_EXEC, CURRENT_TIMESTAMP() AS TIME_EXEC FROM (SELECT instrmnt_id, collateral_received FROM BU_LOANTAPE_WORK.LT002_INSTRUMENT WHERE ref_date='${ref_date}' AND nome_perimetro='Individual Local' AND segmento='ESTR' AND ambito='SRB_MBDT' AND entidade='00100')X INNER JOIN (SELECT instrmnt_id AS instrmnt_id_SIMUL, collateral_received AS collateral_received_SIMUL FROM BU_LOANTAPE_WORK.SIMUL_LT002_INSTRUMENT WHERE ref_date='${ref_date}' AND nome_perimetro='Individual Local' AND segmento='ESTR' AND ambito='PILAR3' AND entidade='00100')Y ON X.INSTRMNT_ID=Y.INSTRMNT_ID_SIMUL</v>
      </c>
      <c r="N333" s="38"/>
    </row>
    <row r="334" spans="2:14">
      <c r="B334" s="34" t="s">
        <v>117</v>
      </c>
      <c r="C334" s="34" t="s">
        <v>5</v>
      </c>
      <c r="D334" s="34" t="str">
        <f>+UPPER('0. Instruções'!$D$35&amp;"."&amp;VLOOKUP(B334,'0. Instruções'!$C$27:$D$32,2,FALSE))</f>
        <v>BU_LOANTAPE_WORK.LT002_INSTRUMENT</v>
      </c>
      <c r="E334" s="34" t="str">
        <f>+UPPER('0. Instruções'!$D$36&amp;"."&amp;VLOOKUP(B334,'0. Instruções'!$C$27:$E$32,3,FALSE))</f>
        <v>BU_LOANTAPE_WORK.SIMUL_LT002_INSTRUMENT</v>
      </c>
      <c r="F334" s="34" t="s">
        <v>1374</v>
      </c>
      <c r="G334" s="34"/>
      <c r="H334" s="34"/>
      <c r="I334" s="34" t="str">
        <f>"(SELECT "&amp;VLOOKUP(B334,'0. Instruções'!$C$27:$G$32,4,FALSE)&amp;", "&amp;F334&amp;" FROM "&amp;D334&amp;" WHERE "&amp;'0. Instruções'!$D$42&amp;")X"</f>
        <v>(SELECT instrmnt_id, collateral_received_currency FROM BU_LOANTAPE_WORK.LT002_INSTRUMENT WHERE ref_date='${ref_date}' AND nome_perimetro='Individual Local' AND segmento='ESTR' AND ambito='SRB_MBDT' AND entidade='00100')X</v>
      </c>
      <c r="J334" s="34" t="str">
        <f>"(SELECT "&amp;VLOOKUP(B334,'0. Instruções'!$C$27:$G$32,4,FALSE)&amp;" AS "&amp;VLOOKUP(B334,'0. Instruções'!$C$27:$G$32,4,FALSE)&amp;"_SIMUL, "&amp;F334&amp;" AS "&amp;F334&amp;"_SIMUL FROM "&amp;E334&amp;" WHERE "&amp;'0. Instruções'!$D$43&amp;")Y"</f>
        <v>(SELECT instrmnt_id AS instrmnt_id_SIMUL, collateral_received_currency AS collateral_received_currency_SIMUL FROM BU_LOANTAPE_WORK.SIMUL_LT002_INSTRUMENT WHERE ref_date='${ref_date}' AND nome_perimetro='Individual Local' AND segmento='ESTR' AND ambito='PILAR3' AND entidade='00100')Y</v>
      </c>
      <c r="K334" s="35" t="str">
        <f>+UPPER("ON X."&amp;VLOOKUP(B334,'0. Instruções'!$C$27:$G$32,4,FALSE)&amp;"=Y."&amp;VLOOKUP(B334,'0. Instruções'!$C$27:$G$32,4,FALSE)&amp;"_SIMUL")</f>
        <v>ON X.INSTRMNT_ID=Y.INSTRMNT_ID_SIMUL</v>
      </c>
      <c r="L334" s="35" t="str">
        <f>+IF(C334="Coerência", +IF(LEFT(G334,5)="FLOAT","SELECT '"&amp;UPPER(B334)&amp;"' AS TABELA, '"&amp;UPPER(C334)&amp;"' AS TIPOLOGIA_TESTE,'"&amp;D334&amp;"' AS TABELA_LT,'"&amp;E334&amp;"' AS TABELA_SIMUL,'"&amp;F334&amp;"' AS CAMPO, "&amp;"'${ref_date}' AS REF_DATE, COUNT(*) AS NUM_REG, SUM(IF((ABS(COALESCE(CAST(X."&amp;F334&amp;" AS DECIMAL(18,6)),0)-COALESCE(CAST(Y."&amp;F334&amp;"_SIMUL AS DECIMAL(18,6)),0))&gt;0.000001) OR (X."&amp;F334&amp;" IS NULL AND Y."&amp;F334&amp;"_SIMUL IS NOT NULL ) OR (X."&amp;F334&amp;" IS NOT NULL AND Y."&amp;F334&amp;"_SIMUL IS NULL),1,0)) AS NUM_REG_DIF,'"&amp;MAX('ID1&amp;5'!K:K)+1&amp;"' AS ID_EXEC, CURRENT_TIMESTAMP() AS TIME_EXEC FROM "&amp;I334&amp;" INNER JOIN "&amp;J334&amp;" "&amp;K334,"SELECT '"&amp;UPPER(B334)&amp;"' AS TABELA, '"&amp;UPPER(C334)&amp;"' AS TIPOLOGIA_TESTE,'"&amp;D334&amp;"' AS TABELA_LT,'"&amp;E334&amp;"' AS TABELA_SIMUL,'"&amp;F334&amp;"' AS CAMPO, "&amp;"'${ref_date}' AS REF_DATE, COUNT(*) AS NUM_REG, SUM(IF(COALESCE(CAST(X."&amp;F334&amp;" AS STRING),'')&lt;&gt;COALESCE(CAST(Y."&amp;F334&amp;"_SIMUL AS STRING),'') OR (X."&amp;F334&amp;" IS NULL AND Y."&amp;F334&amp;"_SIMUL IS NOT NULL ) OR (X."&amp;F334&amp;" IS NOT NULL AND Y."&amp;F334&amp;"_SIMUL IS NULL),1,0)) AS NUM_REG_DIF,'"&amp;MAX('ID1&amp;5'!L:L)+1&amp;"' AS ID_EXEC, CURRENT_TIMESTAMP() AS TIME_EXEC FROM "&amp;I334&amp;" INNER JOIN "&amp;J334&amp;" "&amp;K334),
IF(C334="Validade",+IF(G334="Code List","SELECT '"&amp;UPPER(B334)&amp;"' AS TABELA, '"&amp;UPPER(C334)&amp;"' AS TIPOLOGIA_TESTE,'"&amp;D334&amp;"' AS TABELA_LT,'N/A' AS TABELA_SIMUL,'"&amp;F334&amp;"' AS CAMPO, "&amp;"'${ref_date}' AS REF_DATE, COUNT(*) AS NUM_REG, SUM(IF(TRIM(CAST(X."&amp;F334&amp;" AS STRING))='' OR TRIM(CAST(X."&amp;F334&amp;" AS STRING)) IS NULL OR CAST(X."&amp;F334&amp;" AS STRING) NOT "&amp;H334&amp;",1,0)) AS NUM_REG_DIF,'"&amp;MAX('ID1&amp;5'!K:K)+1&amp;"' AS ID_EXEC, CURRENT_TIMESTAMP() AS TIME_EXEC FROM "&amp;I334,"SELECT '"&amp;UPPER(B334)&amp;"' AS TABELA, '"&amp;UPPER(C334)&amp;"' AS TIPOLOGIA_TESTE,'"&amp;D334&amp;"' AS TABELA_LT,'N/A' AS TABELA_SIMUL,'"&amp;F334&amp;"' AS CAMPO, "&amp;"'${ref_date}' AS REF_DATE, COUNT(*) AS NUM_REG, SUM(IF(TRIM(CAST(X."&amp;F334&amp;" AS STRING))='' OR TRIM(CAST(X."&amp;F334&amp;" AS STRING)) IS NULL,1,0)) AS NUM_REG_DIF,'"&amp;MAX('ID1&amp;5'!K:K)+1&amp;"' AS ID_EXEC, CURRENT_TIMESTAMP() AS TIME_EXEC FROM "&amp;I334),
IF(C334="Caracteres Especiais",+"SELECT '"&amp;UPPER(B334)&amp;"' AS TABELA, '"&amp;UPPER(C334)&amp;"' AS TIPOLOGIA_TESTE,'"&amp;D334&amp;"' AS TABELA_LT,'N/A' AS TABELA_SIMUL,'"&amp;F334&amp;"' AS CAMPO, "&amp;"'${ref_date}' AS REF_DATE, COUNT(*) AS NUM_REG, SUM(IF(REGEXP_REPLACE(TRIM(CAST(X."&amp;F334&amp;" AS STRING)),'[^a-zA-Z0-9_\\s]','') &lt;&gt;TRIM(CAST(X."&amp;F334&amp;" AS STRING)),1,0)) AS NUM_REG_DIF,'"&amp;MAX('ID1&amp;5'!K:K)+1&amp;"' AS ID_EXEC, CURRENT_TIMESTAMP() AS TIME_EXEC FROM "&amp;I334,
IF(C334="Missings",+"SELECT '"&amp;UPPER(B334)&amp;"' AS TABELA, '"&amp;UPPER(C334)&amp;"' AS TIPOLOGIA_TESTE,'"&amp;D334&amp;"' AS TABELA_LT,'N/A' AS TABELA_SIMUL,'"&amp;F334&amp;"' AS CAMPO, "&amp;"'${ref_date}' AS REF_DATE, COUNT(*) AS NUM_REG, SUM(IF(TRIM(CAST(X."&amp;F334&amp;" AS STRING)) IN ('0000-00-00','0001-01-01','9999-12-31','MISS','00000','99999999999','99999999999.00','99999999999.000000'),1,0)) AS NUM_REG_DIF,'"&amp;MAX('ID1&amp;5'!K:K)+1&amp;"' AS ID_EXEC, CURRENT_TIMESTAMP() AS TIME_EXEC FROM "&amp;I334,
IF(C334="Not applicable",+"SELECT '"&amp;UPPER(B334)&amp;"' AS TABELA, '"&amp;UPPER(C334)&amp;"' AS TIPOLOGIA_TESTE,'"&amp;D334&amp;"' AS TABELA_LT,'N/A' AS TABELA_SIMUL,'"&amp;F334&amp;"' AS CAMPO, "&amp;"'${ref_date}' AS REF_DATE, COUNT(*) AS NUM_REG, SUM(IF(TRIM(CAST(X."&amp;F334&amp;" AS STRING)) IN ('N/A','11111111111','11111111111.00','11111111111.000000','1111-11-11'),1,0)) AS NUM_REG_DIF,'"&amp;MAX('ID1&amp;5'!K:K)+1&amp;"' AS ID_EXEC, CURRENT_TIMESTAMP() AS TIME_EXEC FROM "&amp;I334,
IF(C334="Valores extremos",+"SELECT '"&amp;UPPER(B334)&amp;"' AS TABELA, '"&amp;UPPER(C334)&amp;"' AS TIPOLOGIA_TESTE,'"&amp;D334&amp;"' AS TABELA_LT,'N/A' AS TABELA_SIMUL,'"&amp;F334&amp;"' AS CAMPO, "&amp;"'${ref_date}' AS REF_DATE, CAST(MIN("&amp;F334&amp;") AS STRING) AS VALOR_MIN, CAST(MAX("&amp;F334&amp;") AS STRING) AS VALOR_MAX,'"&amp;MAX('ID1&amp;5'!K:K)+1&amp;"' AS ID_EXEC, CURRENT_TIMESTAMP() AS TIME_EXEC FROM "&amp;MID(I334,1,LEN(I334)-2)&amp;" AND CAST("&amp;F334&amp;"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TABELA_SIMUL,'collateral_received_currency' AS CAMPO, '${ref_date}' AS REF_DATE, COUNT(*) AS NUM_REG, SUM(IF(COALESCE(CAST(X.collateral_received_currency AS STRING),'')&lt;&gt;COALESCE(CAST(Y.collateral_received_currency_SIMUL AS STRING),'') OR (X.collateral_received_currency IS NULL AND Y.collateral_received_currency_SIMUL IS NOT NULL ) OR (X.collateral_received_currency IS NOT NULL AND Y.collateral_received_currency_SIMUL IS NULL),1,0)) AS NUM_REG_DIF,'1' AS ID_EXEC, CURRENT_TIMESTAMP() AS TIME_EXEC FROM (SELECT instrmnt_id, collateral_received_currency FROM BU_LOANTAPE_WORK.LT002_INSTRUMENT WHERE ref_date='${ref_date}' AND nome_perimetro='Individual Local' AND segmento='ESTR' AND ambito='SRB_MBDT' AND entidade='00100')X INNER JOIN (SELECT instrmnt_id AS instrmnt_id_SIMUL, collateral_received_currency AS collateral_received_currency_SIMUL FROM BU_LOANTAPE_WORK.SIMUL_LT002_INSTRUMENT WHERE ref_date='${ref_date}' AND nome_perimetro='Individual Local' AND segmento='ESTR' AND ambito='PILAR3' AND entidade='00100')Y ON X.INSTRMNT_ID=Y.INSTRMNT_ID_SIMUL</v>
      </c>
      <c r="M334" s="36" t="str">
        <f t="shared" si="8"/>
        <v>UNION ALL SELECT 'INSTRUMENT' AS TABELA, 'COERÊNCIA' AS TIPOLOGIA_TESTE,'BU_LOANTAPE_WORK.LT002_INSTRUMENT' AS TABELA_LT,'BU_LOANTAPE_WORK.SIMUL_LT002_INSTRUMENT' AS TABELA_SIMUL,'collateral_received_currency' AS CAMPO, '${ref_date}' AS REF_DATE, COUNT(*) AS NUM_REG, SUM(IF(COALESCE(CAST(X.collateral_received_currency AS STRING),'')&lt;&gt;COALESCE(CAST(Y.collateral_received_currency_SIMUL AS STRING),'') OR (X.collateral_received_currency IS NULL AND Y.collateral_received_currency_SIMUL IS NOT NULL ) OR (X.collateral_received_currency IS NOT NULL AND Y.collateral_received_currency_SIMUL IS NULL),1,0)) AS NUM_REG_DIF,'1' AS ID_EXEC, CURRENT_TIMESTAMP() AS TIME_EXEC FROM (SELECT instrmnt_id, collateral_received_currency FROM BU_LOANTAPE_WORK.LT002_INSTRUMENT WHERE ref_date='${ref_date}' AND nome_perimetro='Individual Local' AND segmento='ESTR' AND ambito='SRB_MBDT' AND entidade='00100')X INNER JOIN (SELECT instrmnt_id AS instrmnt_id_SIMUL, collateral_received_currency AS collateral_received_currency_SIMUL FROM BU_LOANTAPE_WORK.SIMUL_LT002_INSTRUMENT WHERE ref_date='${ref_date}' AND nome_perimetro='Individual Local' AND segmento='ESTR' AND ambito='PILAR3' AND entidade='00100')Y ON X.INSTRMNT_ID=Y.INSTRMNT_ID_SIMUL</v>
      </c>
      <c r="N334" s="38"/>
    </row>
    <row r="335" spans="2:14">
      <c r="B335" s="34" t="s">
        <v>117</v>
      </c>
      <c r="C335" s="34" t="s">
        <v>5</v>
      </c>
      <c r="D335" s="34" t="str">
        <f>+UPPER('0. Instruções'!$D$35&amp;"."&amp;VLOOKUP(B335,'0. Instruções'!$C$27:$D$32,2,FALSE))</f>
        <v>BU_LOANTAPE_WORK.LT002_INSTRUMENT</v>
      </c>
      <c r="E335" s="34" t="str">
        <f>+UPPER('0. Instruções'!$D$36&amp;"."&amp;VLOOKUP(B335,'0. Instruções'!$C$27:$E$32,3,FALSE))</f>
        <v>BU_LOANTAPE_WORK.SIMUL_LT002_INSTRUMENT</v>
      </c>
      <c r="F335" s="34" t="s">
        <v>1375</v>
      </c>
      <c r="G335" s="34"/>
      <c r="H335" s="34"/>
      <c r="I335" s="34" t="str">
        <f>"(SELECT "&amp;VLOOKUP(B335,'0. Instruções'!$C$27:$G$32,4,FALSE)&amp;", "&amp;F335&amp;" FROM "&amp;D335&amp;" WHERE "&amp;'0. Instruções'!$D$42&amp;")X"</f>
        <v>(SELECT instrmnt_id, leg_1_cash_flow FROM BU_LOANTAPE_WORK.LT002_INSTRUMENT WHERE ref_date='${ref_date}' AND nome_perimetro='Individual Local' AND segmento='ESTR' AND ambito='SRB_MBDT' AND entidade='00100')X</v>
      </c>
      <c r="J335" s="34" t="str">
        <f>"(SELECT "&amp;VLOOKUP(B335,'0. Instruções'!$C$27:$G$32,4,FALSE)&amp;" AS "&amp;VLOOKUP(B335,'0. Instruções'!$C$27:$G$32,4,FALSE)&amp;"_SIMUL, "&amp;F335&amp;" AS "&amp;F335&amp;"_SIMUL FROM "&amp;E335&amp;" WHERE "&amp;'0. Instruções'!$D$43&amp;")Y"</f>
        <v>(SELECT instrmnt_id AS instrmnt_id_SIMUL, leg_1_cash_flow AS leg_1_cash_flow_SIMUL FROM BU_LOANTAPE_WORK.SIMUL_LT002_INSTRUMENT WHERE ref_date='${ref_date}' AND nome_perimetro='Individual Local' AND segmento='ESTR' AND ambito='PILAR3' AND entidade='00100')Y</v>
      </c>
      <c r="K335" s="35" t="str">
        <f>+UPPER("ON X."&amp;VLOOKUP(B335,'0. Instruções'!$C$27:$G$32,4,FALSE)&amp;"=Y."&amp;VLOOKUP(B335,'0. Instruções'!$C$27:$G$32,4,FALSE)&amp;"_SIMUL")</f>
        <v>ON X.INSTRMNT_ID=Y.INSTRMNT_ID_SIMUL</v>
      </c>
      <c r="L335" s="35" t="str">
        <f>+IF(C335="Coerência", +IF(LEFT(G335,5)="FLOAT","SELECT '"&amp;UPPER(B335)&amp;"' AS TABELA, '"&amp;UPPER(C335)&amp;"' AS TIPOLOGIA_TESTE,'"&amp;D335&amp;"' AS TABELA_LT,'"&amp;E335&amp;"' AS TABELA_SIMUL,'"&amp;F335&amp;"' AS CAMPO, "&amp;"'${ref_date}' AS REF_DATE, COUNT(*) AS NUM_REG, SUM(IF((ABS(COALESCE(CAST(X."&amp;F335&amp;" AS DECIMAL(18,6)),0)-COALESCE(CAST(Y."&amp;F335&amp;"_SIMUL AS DECIMAL(18,6)),0))&gt;0.000001) OR (X."&amp;F335&amp;" IS NULL AND Y."&amp;F335&amp;"_SIMUL IS NOT NULL ) OR (X."&amp;F335&amp;" IS NOT NULL AND Y."&amp;F335&amp;"_SIMUL IS NULL),1,0)) AS NUM_REG_DIF,'"&amp;MAX('ID1&amp;5'!K:K)+1&amp;"' AS ID_EXEC, CURRENT_TIMESTAMP() AS TIME_EXEC FROM "&amp;I335&amp;" INNER JOIN "&amp;J335&amp;" "&amp;K335,"SELECT '"&amp;UPPER(B335)&amp;"' AS TABELA, '"&amp;UPPER(C335)&amp;"' AS TIPOLOGIA_TESTE,'"&amp;D335&amp;"' AS TABELA_LT,'"&amp;E335&amp;"' AS TABELA_SIMUL,'"&amp;F335&amp;"' AS CAMPO, "&amp;"'${ref_date}' AS REF_DATE, COUNT(*) AS NUM_REG, SUM(IF(COALESCE(CAST(X."&amp;F335&amp;" AS STRING),'')&lt;&gt;COALESCE(CAST(Y."&amp;F335&amp;"_SIMUL AS STRING),'') OR (X."&amp;F335&amp;" IS NULL AND Y."&amp;F335&amp;"_SIMUL IS NOT NULL ) OR (X."&amp;F335&amp;" IS NOT NULL AND Y."&amp;F335&amp;"_SIMUL IS NULL),1,0)) AS NUM_REG_DIF,'"&amp;MAX('ID1&amp;5'!L:L)+1&amp;"' AS ID_EXEC, CURRENT_TIMESTAMP() AS TIME_EXEC FROM "&amp;I335&amp;" INNER JOIN "&amp;J335&amp;" "&amp;K335),
IF(C335="Validade",+IF(G335="Code List","SELECT '"&amp;UPPER(B335)&amp;"' AS TABELA, '"&amp;UPPER(C335)&amp;"' AS TIPOLOGIA_TESTE,'"&amp;D335&amp;"' AS TABELA_LT,'N/A' AS TABELA_SIMUL,'"&amp;F335&amp;"' AS CAMPO, "&amp;"'${ref_date}' AS REF_DATE, COUNT(*) AS NUM_REG, SUM(IF(TRIM(CAST(X."&amp;F335&amp;" AS STRING))='' OR TRIM(CAST(X."&amp;F335&amp;" AS STRING)) IS NULL OR CAST(X."&amp;F335&amp;" AS STRING) NOT "&amp;H335&amp;",1,0)) AS NUM_REG_DIF,'"&amp;MAX('ID1&amp;5'!K:K)+1&amp;"' AS ID_EXEC, CURRENT_TIMESTAMP() AS TIME_EXEC FROM "&amp;I335,"SELECT '"&amp;UPPER(B335)&amp;"' AS TABELA, '"&amp;UPPER(C335)&amp;"' AS TIPOLOGIA_TESTE,'"&amp;D335&amp;"' AS TABELA_LT,'N/A' AS TABELA_SIMUL,'"&amp;F335&amp;"' AS CAMPO, "&amp;"'${ref_date}' AS REF_DATE, COUNT(*) AS NUM_REG, SUM(IF(TRIM(CAST(X."&amp;F335&amp;" AS STRING))='' OR TRIM(CAST(X."&amp;F335&amp;" AS STRING)) IS NULL,1,0)) AS NUM_REG_DIF,'"&amp;MAX('ID1&amp;5'!K:K)+1&amp;"' AS ID_EXEC, CURRENT_TIMESTAMP() AS TIME_EXEC FROM "&amp;I335),
IF(C335="Caracteres Especiais",+"SELECT '"&amp;UPPER(B335)&amp;"' AS TABELA, '"&amp;UPPER(C335)&amp;"' AS TIPOLOGIA_TESTE,'"&amp;D335&amp;"' AS TABELA_LT,'N/A' AS TABELA_SIMUL,'"&amp;F335&amp;"' AS CAMPO, "&amp;"'${ref_date}' AS REF_DATE, COUNT(*) AS NUM_REG, SUM(IF(REGEXP_REPLACE(TRIM(CAST(X."&amp;F335&amp;" AS STRING)),'[^a-zA-Z0-9_\\s]','') &lt;&gt;TRIM(CAST(X."&amp;F335&amp;" AS STRING)),1,0)) AS NUM_REG_DIF,'"&amp;MAX('ID1&amp;5'!K:K)+1&amp;"' AS ID_EXEC, CURRENT_TIMESTAMP() AS TIME_EXEC FROM "&amp;I335,
IF(C335="Missings",+"SELECT '"&amp;UPPER(B335)&amp;"' AS TABELA, '"&amp;UPPER(C335)&amp;"' AS TIPOLOGIA_TESTE,'"&amp;D335&amp;"' AS TABELA_LT,'N/A' AS TABELA_SIMUL,'"&amp;F335&amp;"' AS CAMPO, "&amp;"'${ref_date}' AS REF_DATE, COUNT(*) AS NUM_REG, SUM(IF(TRIM(CAST(X."&amp;F335&amp;" AS STRING)) IN ('0000-00-00','0001-01-01','9999-12-31','MISS','00000','99999999999','99999999999.00','99999999999.000000'),1,0)) AS NUM_REG_DIF,'"&amp;MAX('ID1&amp;5'!K:K)+1&amp;"' AS ID_EXEC, CURRENT_TIMESTAMP() AS TIME_EXEC FROM "&amp;I335,
IF(C335="Not applicable",+"SELECT '"&amp;UPPER(B335)&amp;"' AS TABELA, '"&amp;UPPER(C335)&amp;"' AS TIPOLOGIA_TESTE,'"&amp;D335&amp;"' AS TABELA_LT,'N/A' AS TABELA_SIMUL,'"&amp;F335&amp;"' AS CAMPO, "&amp;"'${ref_date}' AS REF_DATE, COUNT(*) AS NUM_REG, SUM(IF(TRIM(CAST(X."&amp;F335&amp;" AS STRING)) IN ('N/A','11111111111','11111111111.00','11111111111.000000','1111-11-11'),1,0)) AS NUM_REG_DIF,'"&amp;MAX('ID1&amp;5'!K:K)+1&amp;"' AS ID_EXEC, CURRENT_TIMESTAMP() AS TIME_EXEC FROM "&amp;I335,
IF(C335="Valores extremos",+"SELECT '"&amp;UPPER(B335)&amp;"' AS TABELA, '"&amp;UPPER(C335)&amp;"' AS TIPOLOGIA_TESTE,'"&amp;D335&amp;"' AS TABELA_LT,'N/A' AS TABELA_SIMUL,'"&amp;F335&amp;"' AS CAMPO, "&amp;"'${ref_date}' AS REF_DATE, CAST(MIN("&amp;F335&amp;") AS STRING) AS VALOR_MIN, CAST(MAX("&amp;F335&amp;") AS STRING) AS VALOR_MAX,'"&amp;MAX('ID1&amp;5'!K:K)+1&amp;"' AS ID_EXEC, CURRENT_TIMESTAMP() AS TIME_EXEC FROM "&amp;MID(I335,1,LEN(I335)-2)&amp;" AND CAST("&amp;F335&amp;"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TABELA_SIMUL,'leg_1_cash_flow' AS CAMPO, '${ref_date}' AS REF_DATE, COUNT(*) AS NUM_REG, SUM(IF(COALESCE(CAST(X.leg_1_cash_flow AS STRING),'')&lt;&gt;COALESCE(CAST(Y.leg_1_cash_flow_SIMUL AS STRING),'') OR (X.leg_1_cash_flow IS NULL AND Y.leg_1_cash_flow_SIMUL IS NOT NULL ) OR (X.leg_1_cash_flow IS NOT NULL AND Y.leg_1_cash_flow_SIMUL IS NULL),1,0)) AS NUM_REG_DIF,'1' AS ID_EXEC, CURRENT_TIMESTAMP() AS TIME_EXEC FROM (SELECT instrmnt_id, leg_1_cash_flow FROM BU_LOANTAPE_WORK.LT002_INSTRUMENT WHERE ref_date='${ref_date}' AND nome_perimetro='Individual Local' AND segmento='ESTR' AND ambito='SRB_MBDT' AND entidade='00100')X INNER JOIN (SELECT instrmnt_id AS instrmnt_id_SIMUL, leg_1_cash_flow AS leg_1_cash_flow_SIMUL FROM BU_LOANTAPE_WORK.SIMUL_LT002_INSTRUMENT WHERE ref_date='${ref_date}' AND nome_perimetro='Individual Local' AND segmento='ESTR' AND ambito='PILAR3' AND entidade='00100')Y ON X.INSTRMNT_ID=Y.INSTRMNT_ID_SIMUL</v>
      </c>
      <c r="M335" s="36" t="str">
        <f t="shared" si="8"/>
        <v>UNION ALL SELECT 'INSTRUMENT' AS TABELA, 'COERÊNCIA' AS TIPOLOGIA_TESTE,'BU_LOANTAPE_WORK.LT002_INSTRUMENT' AS TABELA_LT,'BU_LOANTAPE_WORK.SIMUL_LT002_INSTRUMENT' AS TABELA_SIMUL,'leg_1_cash_flow' AS CAMPO, '${ref_date}' AS REF_DATE, COUNT(*) AS NUM_REG, SUM(IF(COALESCE(CAST(X.leg_1_cash_flow AS STRING),'')&lt;&gt;COALESCE(CAST(Y.leg_1_cash_flow_SIMUL AS STRING),'') OR (X.leg_1_cash_flow IS NULL AND Y.leg_1_cash_flow_SIMUL IS NOT NULL ) OR (X.leg_1_cash_flow IS NOT NULL AND Y.leg_1_cash_flow_SIMUL IS NULL),1,0)) AS NUM_REG_DIF,'1' AS ID_EXEC, CURRENT_TIMESTAMP() AS TIME_EXEC FROM (SELECT instrmnt_id, leg_1_cash_flow FROM BU_LOANTAPE_WORK.LT002_INSTRUMENT WHERE ref_date='${ref_date}' AND nome_perimetro='Individual Local' AND segmento='ESTR' AND ambito='SRB_MBDT' AND entidade='00100')X INNER JOIN (SELECT instrmnt_id AS instrmnt_id_SIMUL, leg_1_cash_flow AS leg_1_cash_flow_SIMUL FROM BU_LOANTAPE_WORK.SIMUL_LT002_INSTRUMENT WHERE ref_date='${ref_date}' AND nome_perimetro='Individual Local' AND segmento='ESTR' AND ambito='PILAR3' AND entidade='00100')Y ON X.INSTRMNT_ID=Y.INSTRMNT_ID_SIMUL</v>
      </c>
      <c r="N335" s="38"/>
    </row>
    <row r="336" spans="2:14">
      <c r="B336" s="34" t="s">
        <v>117</v>
      </c>
      <c r="C336" s="34" t="s">
        <v>5</v>
      </c>
      <c r="D336" s="34" t="str">
        <f>+UPPER('0. Instruções'!$D$35&amp;"."&amp;VLOOKUP(B336,'0. Instruções'!$C$27:$D$32,2,FALSE))</f>
        <v>BU_LOANTAPE_WORK.LT002_INSTRUMENT</v>
      </c>
      <c r="E336" s="34" t="str">
        <f>+UPPER('0. Instruções'!$D$36&amp;"."&amp;VLOOKUP(B336,'0. Instruções'!$C$27:$E$32,3,FALSE))</f>
        <v>BU_LOANTAPE_WORK.SIMUL_LT002_INSTRUMENT</v>
      </c>
      <c r="F336" s="34" t="s">
        <v>1376</v>
      </c>
      <c r="G336" s="34"/>
      <c r="H336" s="34"/>
      <c r="I336" s="34" t="str">
        <f>"(SELECT "&amp;VLOOKUP(B336,'0. Instruções'!$C$27:$G$32,4,FALSE)&amp;", "&amp;F336&amp;" FROM "&amp;D336&amp;" WHERE "&amp;'0. Instruções'!$D$42&amp;")X"</f>
        <v>(SELECT instrmnt_id, leg_2_cash_flow FROM BU_LOANTAPE_WORK.LT002_INSTRUMENT WHERE ref_date='${ref_date}' AND nome_perimetro='Individual Local' AND segmento='ESTR' AND ambito='SRB_MBDT' AND entidade='00100')X</v>
      </c>
      <c r="J336" s="34" t="str">
        <f>"(SELECT "&amp;VLOOKUP(B336,'0. Instruções'!$C$27:$G$32,4,FALSE)&amp;" AS "&amp;VLOOKUP(B336,'0. Instruções'!$C$27:$G$32,4,FALSE)&amp;"_SIMUL, "&amp;F336&amp;" AS "&amp;F336&amp;"_SIMUL FROM "&amp;E336&amp;" WHERE "&amp;'0. Instruções'!$D$43&amp;")Y"</f>
        <v>(SELECT instrmnt_id AS instrmnt_id_SIMUL, leg_2_cash_flow AS leg_2_cash_flow_SIMUL FROM BU_LOANTAPE_WORK.SIMUL_LT002_INSTRUMENT WHERE ref_date='${ref_date}' AND nome_perimetro='Individual Local' AND segmento='ESTR' AND ambito='PILAR3' AND entidade='00100')Y</v>
      </c>
      <c r="K336" s="35" t="str">
        <f>+UPPER("ON X."&amp;VLOOKUP(B336,'0. Instruções'!$C$27:$G$32,4,FALSE)&amp;"=Y."&amp;VLOOKUP(B336,'0. Instruções'!$C$27:$G$32,4,FALSE)&amp;"_SIMUL")</f>
        <v>ON X.INSTRMNT_ID=Y.INSTRMNT_ID_SIMUL</v>
      </c>
      <c r="L336" s="35" t="str">
        <f>+IF(C336="Coerência", +IF(LEFT(G336,5)="FLOAT","SELECT '"&amp;UPPER(B336)&amp;"' AS TABELA, '"&amp;UPPER(C336)&amp;"' AS TIPOLOGIA_TESTE,'"&amp;D336&amp;"' AS TABELA_LT,'"&amp;E336&amp;"' AS TABELA_SIMUL,'"&amp;F336&amp;"' AS CAMPO, "&amp;"'${ref_date}' AS REF_DATE, COUNT(*) AS NUM_REG, SUM(IF((ABS(COALESCE(CAST(X."&amp;F336&amp;" AS DECIMAL(18,6)),0)-COALESCE(CAST(Y."&amp;F336&amp;"_SIMUL AS DECIMAL(18,6)),0))&gt;0.000001) OR (X."&amp;F336&amp;" IS NULL AND Y."&amp;F336&amp;"_SIMUL IS NOT NULL ) OR (X."&amp;F336&amp;" IS NOT NULL AND Y."&amp;F336&amp;"_SIMUL IS NULL),1,0)) AS NUM_REG_DIF,'"&amp;MAX('ID1&amp;5'!K:K)+1&amp;"' AS ID_EXEC, CURRENT_TIMESTAMP() AS TIME_EXEC FROM "&amp;I336&amp;" INNER JOIN "&amp;J336&amp;" "&amp;K336,"SELECT '"&amp;UPPER(B336)&amp;"' AS TABELA, '"&amp;UPPER(C336)&amp;"' AS TIPOLOGIA_TESTE,'"&amp;D336&amp;"' AS TABELA_LT,'"&amp;E336&amp;"' AS TABELA_SIMUL,'"&amp;F336&amp;"' AS CAMPO, "&amp;"'${ref_date}' AS REF_DATE, COUNT(*) AS NUM_REG, SUM(IF(COALESCE(CAST(X."&amp;F336&amp;" AS STRING),'')&lt;&gt;COALESCE(CAST(Y."&amp;F336&amp;"_SIMUL AS STRING),'') OR (X."&amp;F336&amp;" IS NULL AND Y."&amp;F336&amp;"_SIMUL IS NOT NULL ) OR (X."&amp;F336&amp;" IS NOT NULL AND Y."&amp;F336&amp;"_SIMUL IS NULL),1,0)) AS NUM_REG_DIF,'"&amp;MAX('ID1&amp;5'!L:L)+1&amp;"' AS ID_EXEC, CURRENT_TIMESTAMP() AS TIME_EXEC FROM "&amp;I336&amp;" INNER JOIN "&amp;J336&amp;" "&amp;K336),
IF(C336="Validade",+IF(G336="Code List","SELECT '"&amp;UPPER(B336)&amp;"' AS TABELA, '"&amp;UPPER(C336)&amp;"' AS TIPOLOGIA_TESTE,'"&amp;D336&amp;"' AS TABELA_LT,'N/A' AS TABELA_SIMUL,'"&amp;F336&amp;"' AS CAMPO, "&amp;"'${ref_date}' AS REF_DATE, COUNT(*) AS NUM_REG, SUM(IF(TRIM(CAST(X."&amp;F336&amp;" AS STRING))='' OR TRIM(CAST(X."&amp;F336&amp;" AS STRING)) IS NULL OR CAST(X."&amp;F336&amp;" AS STRING) NOT "&amp;H336&amp;",1,0)) AS NUM_REG_DIF,'"&amp;MAX('ID1&amp;5'!K:K)+1&amp;"' AS ID_EXEC, CURRENT_TIMESTAMP() AS TIME_EXEC FROM "&amp;I336,"SELECT '"&amp;UPPER(B336)&amp;"' AS TABELA, '"&amp;UPPER(C336)&amp;"' AS TIPOLOGIA_TESTE,'"&amp;D336&amp;"' AS TABELA_LT,'N/A' AS TABELA_SIMUL,'"&amp;F336&amp;"' AS CAMPO, "&amp;"'${ref_date}' AS REF_DATE, COUNT(*) AS NUM_REG, SUM(IF(TRIM(CAST(X."&amp;F336&amp;" AS STRING))='' OR TRIM(CAST(X."&amp;F336&amp;" AS STRING)) IS NULL,1,0)) AS NUM_REG_DIF,'"&amp;MAX('ID1&amp;5'!K:K)+1&amp;"' AS ID_EXEC, CURRENT_TIMESTAMP() AS TIME_EXEC FROM "&amp;I336),
IF(C336="Caracteres Especiais",+"SELECT '"&amp;UPPER(B336)&amp;"' AS TABELA, '"&amp;UPPER(C336)&amp;"' AS TIPOLOGIA_TESTE,'"&amp;D336&amp;"' AS TABELA_LT,'N/A' AS TABELA_SIMUL,'"&amp;F336&amp;"' AS CAMPO, "&amp;"'${ref_date}' AS REF_DATE, COUNT(*) AS NUM_REG, SUM(IF(REGEXP_REPLACE(TRIM(CAST(X."&amp;F336&amp;" AS STRING)),'[^a-zA-Z0-9_\\s]','') &lt;&gt;TRIM(CAST(X."&amp;F336&amp;" AS STRING)),1,0)) AS NUM_REG_DIF,'"&amp;MAX('ID1&amp;5'!K:K)+1&amp;"' AS ID_EXEC, CURRENT_TIMESTAMP() AS TIME_EXEC FROM "&amp;I336,
IF(C336="Missings",+"SELECT '"&amp;UPPER(B336)&amp;"' AS TABELA, '"&amp;UPPER(C336)&amp;"' AS TIPOLOGIA_TESTE,'"&amp;D336&amp;"' AS TABELA_LT,'N/A' AS TABELA_SIMUL,'"&amp;F336&amp;"' AS CAMPO, "&amp;"'${ref_date}' AS REF_DATE, COUNT(*) AS NUM_REG, SUM(IF(TRIM(CAST(X."&amp;F336&amp;" AS STRING)) IN ('0000-00-00','0001-01-01','9999-12-31','MISS','00000','99999999999','99999999999.00','99999999999.000000'),1,0)) AS NUM_REG_DIF,'"&amp;MAX('ID1&amp;5'!K:K)+1&amp;"' AS ID_EXEC, CURRENT_TIMESTAMP() AS TIME_EXEC FROM "&amp;I336,
IF(C336="Not applicable",+"SELECT '"&amp;UPPER(B336)&amp;"' AS TABELA, '"&amp;UPPER(C336)&amp;"' AS TIPOLOGIA_TESTE,'"&amp;D336&amp;"' AS TABELA_LT,'N/A' AS TABELA_SIMUL,'"&amp;F336&amp;"' AS CAMPO, "&amp;"'${ref_date}' AS REF_DATE, COUNT(*) AS NUM_REG, SUM(IF(TRIM(CAST(X."&amp;F336&amp;" AS STRING)) IN ('N/A','11111111111','11111111111.00','11111111111.000000','1111-11-11'),1,0)) AS NUM_REG_DIF,'"&amp;MAX('ID1&amp;5'!K:K)+1&amp;"' AS ID_EXEC, CURRENT_TIMESTAMP() AS TIME_EXEC FROM "&amp;I336,
IF(C336="Valores extremos",+"SELECT '"&amp;UPPER(B336)&amp;"' AS TABELA, '"&amp;UPPER(C336)&amp;"' AS TIPOLOGIA_TESTE,'"&amp;D336&amp;"' AS TABELA_LT,'N/A' AS TABELA_SIMUL,'"&amp;F336&amp;"' AS CAMPO, "&amp;"'${ref_date}' AS REF_DATE, CAST(MIN("&amp;F336&amp;") AS STRING) AS VALOR_MIN, CAST(MAX("&amp;F336&amp;") AS STRING) AS VALOR_MAX,'"&amp;MAX('ID1&amp;5'!K:K)+1&amp;"' AS ID_EXEC, CURRENT_TIMESTAMP() AS TIME_EXEC FROM "&amp;MID(I336,1,LEN(I336)-2)&amp;" AND CAST("&amp;F336&amp;"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TABELA_SIMUL,'leg_2_cash_flow' AS CAMPO, '${ref_date}' AS REF_DATE, COUNT(*) AS NUM_REG, SUM(IF(COALESCE(CAST(X.leg_2_cash_flow AS STRING),'')&lt;&gt;COALESCE(CAST(Y.leg_2_cash_flow_SIMUL AS STRING),'') OR (X.leg_2_cash_flow IS NULL AND Y.leg_2_cash_flow_SIMUL IS NOT NULL ) OR (X.leg_2_cash_flow IS NOT NULL AND Y.leg_2_cash_flow_SIMUL IS NULL),1,0)) AS NUM_REG_DIF,'1' AS ID_EXEC, CURRENT_TIMESTAMP() AS TIME_EXEC FROM (SELECT instrmnt_id, leg_2_cash_flow FROM BU_LOANTAPE_WORK.LT002_INSTRUMENT WHERE ref_date='${ref_date}' AND nome_perimetro='Individual Local' AND segmento='ESTR' AND ambito='SRB_MBDT' AND entidade='00100')X INNER JOIN (SELECT instrmnt_id AS instrmnt_id_SIMUL, leg_2_cash_flow AS leg_2_cash_flow_SIMUL FROM BU_LOANTAPE_WORK.SIMUL_LT002_INSTRUMENT WHERE ref_date='${ref_date}' AND nome_perimetro='Individual Local' AND segmento='ESTR' AND ambito='PILAR3' AND entidade='00100')Y ON X.INSTRMNT_ID=Y.INSTRMNT_ID_SIMUL</v>
      </c>
      <c r="M336" s="36" t="str">
        <f t="shared" si="8"/>
        <v>UNION ALL SELECT 'INSTRUMENT' AS TABELA, 'COERÊNCIA' AS TIPOLOGIA_TESTE,'BU_LOANTAPE_WORK.LT002_INSTRUMENT' AS TABELA_LT,'BU_LOANTAPE_WORK.SIMUL_LT002_INSTRUMENT' AS TABELA_SIMUL,'leg_2_cash_flow' AS CAMPO, '${ref_date}' AS REF_DATE, COUNT(*) AS NUM_REG, SUM(IF(COALESCE(CAST(X.leg_2_cash_flow AS STRING),'')&lt;&gt;COALESCE(CAST(Y.leg_2_cash_flow_SIMUL AS STRING),'') OR (X.leg_2_cash_flow IS NULL AND Y.leg_2_cash_flow_SIMUL IS NOT NULL ) OR (X.leg_2_cash_flow IS NOT NULL AND Y.leg_2_cash_flow_SIMUL IS NULL),1,0)) AS NUM_REG_DIF,'1' AS ID_EXEC, CURRENT_TIMESTAMP() AS TIME_EXEC FROM (SELECT instrmnt_id, leg_2_cash_flow FROM BU_LOANTAPE_WORK.LT002_INSTRUMENT WHERE ref_date='${ref_date}' AND nome_perimetro='Individual Local' AND segmento='ESTR' AND ambito='SRB_MBDT' AND entidade='00100')X INNER JOIN (SELECT instrmnt_id AS instrmnt_id_SIMUL, leg_2_cash_flow AS leg_2_cash_flow_SIMUL FROM BU_LOANTAPE_WORK.SIMUL_LT002_INSTRUMENT WHERE ref_date='${ref_date}' AND nome_perimetro='Individual Local' AND segmento='ESTR' AND ambito='PILAR3' AND entidade='00100')Y ON X.INSTRMNT_ID=Y.INSTRMNT_ID_SIMUL</v>
      </c>
      <c r="N336" s="38"/>
    </row>
    <row r="337" spans="2:14">
      <c r="B337" s="34" t="s">
        <v>117</v>
      </c>
      <c r="C337" s="34" t="s">
        <v>5</v>
      </c>
      <c r="D337" s="34" t="str">
        <f>+UPPER('0. Instruções'!$D$35&amp;"."&amp;VLOOKUP(B337,'0. Instruções'!$C$27:$D$32,2,FALSE))</f>
        <v>BU_LOANTAPE_WORK.LT002_INSTRUMENT</v>
      </c>
      <c r="E337" s="34" t="str">
        <f>+UPPER('0. Instruções'!$D$36&amp;"."&amp;VLOOKUP(B337,'0. Instruções'!$C$27:$E$32,3,FALSE))</f>
        <v>BU_LOANTAPE_WORK.SIMUL_LT002_INSTRUMENT</v>
      </c>
      <c r="F337" s="34" t="s">
        <v>1377</v>
      </c>
      <c r="G337" s="34"/>
      <c r="H337" s="34"/>
      <c r="I337" s="34" t="str">
        <f>"(SELECT "&amp;VLOOKUP(B337,'0. Instruções'!$C$27:$G$32,4,FALSE)&amp;", "&amp;F337&amp;" FROM "&amp;D337&amp;" WHERE "&amp;'0. Instruções'!$D$42&amp;")X"</f>
        <v>(SELECT instrmnt_id, leg_1_reference_rate FROM BU_LOANTAPE_WORK.LT002_INSTRUMENT WHERE ref_date='${ref_date}' AND nome_perimetro='Individual Local' AND segmento='ESTR' AND ambito='SRB_MBDT' AND entidade='00100')X</v>
      </c>
      <c r="J337" s="34" t="str">
        <f>"(SELECT "&amp;VLOOKUP(B337,'0. Instruções'!$C$27:$G$32,4,FALSE)&amp;" AS "&amp;VLOOKUP(B337,'0. Instruções'!$C$27:$G$32,4,FALSE)&amp;"_SIMUL, "&amp;F337&amp;" AS "&amp;F337&amp;"_SIMUL FROM "&amp;E337&amp;" WHERE "&amp;'0. Instruções'!$D$43&amp;")Y"</f>
        <v>(SELECT instrmnt_id AS instrmnt_id_SIMUL, leg_1_reference_rate AS leg_1_reference_rate_SIMUL FROM BU_LOANTAPE_WORK.SIMUL_LT002_INSTRUMENT WHERE ref_date='${ref_date}' AND nome_perimetro='Individual Local' AND segmento='ESTR' AND ambito='PILAR3' AND entidade='00100')Y</v>
      </c>
      <c r="K337" s="35" t="str">
        <f>+UPPER("ON X."&amp;VLOOKUP(B337,'0. Instruções'!$C$27:$G$32,4,FALSE)&amp;"=Y."&amp;VLOOKUP(B337,'0. Instruções'!$C$27:$G$32,4,FALSE)&amp;"_SIMUL")</f>
        <v>ON X.INSTRMNT_ID=Y.INSTRMNT_ID_SIMUL</v>
      </c>
      <c r="L337" s="35" t="str">
        <f>+IF(C337="Coerência", +IF(LEFT(G337,5)="FLOAT","SELECT '"&amp;UPPER(B337)&amp;"' AS TABELA, '"&amp;UPPER(C337)&amp;"' AS TIPOLOGIA_TESTE,'"&amp;D337&amp;"' AS TABELA_LT,'"&amp;E337&amp;"' AS TABELA_SIMUL,'"&amp;F337&amp;"' AS CAMPO, "&amp;"'${ref_date}' AS REF_DATE, COUNT(*) AS NUM_REG, SUM(IF((ABS(COALESCE(CAST(X."&amp;F337&amp;" AS DECIMAL(18,6)),0)-COALESCE(CAST(Y."&amp;F337&amp;"_SIMUL AS DECIMAL(18,6)),0))&gt;0.000001) OR (X."&amp;F337&amp;" IS NULL AND Y."&amp;F337&amp;"_SIMUL IS NOT NULL ) OR (X."&amp;F337&amp;" IS NOT NULL AND Y."&amp;F337&amp;"_SIMUL IS NULL),1,0)) AS NUM_REG_DIF,'"&amp;MAX('ID1&amp;5'!K:K)+1&amp;"' AS ID_EXEC, CURRENT_TIMESTAMP() AS TIME_EXEC FROM "&amp;I337&amp;" INNER JOIN "&amp;J337&amp;" "&amp;K337,"SELECT '"&amp;UPPER(B337)&amp;"' AS TABELA, '"&amp;UPPER(C337)&amp;"' AS TIPOLOGIA_TESTE,'"&amp;D337&amp;"' AS TABELA_LT,'"&amp;E337&amp;"' AS TABELA_SIMUL,'"&amp;F337&amp;"' AS CAMPO, "&amp;"'${ref_date}' AS REF_DATE, COUNT(*) AS NUM_REG, SUM(IF(COALESCE(CAST(X."&amp;F337&amp;" AS STRING),'')&lt;&gt;COALESCE(CAST(Y."&amp;F337&amp;"_SIMUL AS STRING),'') OR (X."&amp;F337&amp;" IS NULL AND Y."&amp;F337&amp;"_SIMUL IS NOT NULL ) OR (X."&amp;F337&amp;" IS NOT NULL AND Y."&amp;F337&amp;"_SIMUL IS NULL),1,0)) AS NUM_REG_DIF,'"&amp;MAX('ID1&amp;5'!L:L)+1&amp;"' AS ID_EXEC, CURRENT_TIMESTAMP() AS TIME_EXEC FROM "&amp;I337&amp;" INNER JOIN "&amp;J337&amp;" "&amp;K337),
IF(C337="Validade",+IF(G337="Code List","SELECT '"&amp;UPPER(B337)&amp;"' AS TABELA, '"&amp;UPPER(C337)&amp;"' AS TIPOLOGIA_TESTE,'"&amp;D337&amp;"' AS TABELA_LT,'N/A' AS TABELA_SIMUL,'"&amp;F337&amp;"' AS CAMPO, "&amp;"'${ref_date}' AS REF_DATE, COUNT(*) AS NUM_REG, SUM(IF(TRIM(CAST(X."&amp;F337&amp;" AS STRING))='' OR TRIM(CAST(X."&amp;F337&amp;" AS STRING)) IS NULL OR CAST(X."&amp;F337&amp;" AS STRING) NOT "&amp;H337&amp;",1,0)) AS NUM_REG_DIF,'"&amp;MAX('ID1&amp;5'!K:K)+1&amp;"' AS ID_EXEC, CURRENT_TIMESTAMP() AS TIME_EXEC FROM "&amp;I337,"SELECT '"&amp;UPPER(B337)&amp;"' AS TABELA, '"&amp;UPPER(C337)&amp;"' AS TIPOLOGIA_TESTE,'"&amp;D337&amp;"' AS TABELA_LT,'N/A' AS TABELA_SIMUL,'"&amp;F337&amp;"' AS CAMPO, "&amp;"'${ref_date}' AS REF_DATE, COUNT(*) AS NUM_REG, SUM(IF(TRIM(CAST(X."&amp;F337&amp;" AS STRING))='' OR TRIM(CAST(X."&amp;F337&amp;" AS STRING)) IS NULL,1,0)) AS NUM_REG_DIF,'"&amp;MAX('ID1&amp;5'!K:K)+1&amp;"' AS ID_EXEC, CURRENT_TIMESTAMP() AS TIME_EXEC FROM "&amp;I337),
IF(C337="Caracteres Especiais",+"SELECT '"&amp;UPPER(B337)&amp;"' AS TABELA, '"&amp;UPPER(C337)&amp;"' AS TIPOLOGIA_TESTE,'"&amp;D337&amp;"' AS TABELA_LT,'N/A' AS TABELA_SIMUL,'"&amp;F337&amp;"' AS CAMPO, "&amp;"'${ref_date}' AS REF_DATE, COUNT(*) AS NUM_REG, SUM(IF(REGEXP_REPLACE(TRIM(CAST(X."&amp;F337&amp;" AS STRING)),'[^a-zA-Z0-9_\\s]','') &lt;&gt;TRIM(CAST(X."&amp;F337&amp;" AS STRING)),1,0)) AS NUM_REG_DIF,'"&amp;MAX('ID1&amp;5'!K:K)+1&amp;"' AS ID_EXEC, CURRENT_TIMESTAMP() AS TIME_EXEC FROM "&amp;I337,
IF(C337="Missings",+"SELECT '"&amp;UPPER(B337)&amp;"' AS TABELA, '"&amp;UPPER(C337)&amp;"' AS TIPOLOGIA_TESTE,'"&amp;D337&amp;"' AS TABELA_LT,'N/A' AS TABELA_SIMUL,'"&amp;F337&amp;"' AS CAMPO, "&amp;"'${ref_date}' AS REF_DATE, COUNT(*) AS NUM_REG, SUM(IF(TRIM(CAST(X."&amp;F337&amp;" AS STRING)) IN ('0000-00-00','0001-01-01','9999-12-31','MISS','00000','99999999999','99999999999.00','99999999999.000000'),1,0)) AS NUM_REG_DIF,'"&amp;MAX('ID1&amp;5'!K:K)+1&amp;"' AS ID_EXEC, CURRENT_TIMESTAMP() AS TIME_EXEC FROM "&amp;I337,
IF(C337="Not applicable",+"SELECT '"&amp;UPPER(B337)&amp;"' AS TABELA, '"&amp;UPPER(C337)&amp;"' AS TIPOLOGIA_TESTE,'"&amp;D337&amp;"' AS TABELA_LT,'N/A' AS TABELA_SIMUL,'"&amp;F337&amp;"' AS CAMPO, "&amp;"'${ref_date}' AS REF_DATE, COUNT(*) AS NUM_REG, SUM(IF(TRIM(CAST(X."&amp;F337&amp;" AS STRING)) IN ('N/A','11111111111','11111111111.00','11111111111.000000','1111-11-11'),1,0)) AS NUM_REG_DIF,'"&amp;MAX('ID1&amp;5'!K:K)+1&amp;"' AS ID_EXEC, CURRENT_TIMESTAMP() AS TIME_EXEC FROM "&amp;I337,
IF(C337="Valores extremos",+"SELECT '"&amp;UPPER(B337)&amp;"' AS TABELA, '"&amp;UPPER(C337)&amp;"' AS TIPOLOGIA_TESTE,'"&amp;D337&amp;"' AS TABELA_LT,'N/A' AS TABELA_SIMUL,'"&amp;F337&amp;"' AS CAMPO, "&amp;"'${ref_date}' AS REF_DATE, CAST(MIN("&amp;F337&amp;") AS STRING) AS VALOR_MIN, CAST(MAX("&amp;F337&amp;") AS STRING) AS VALOR_MAX,'"&amp;MAX('ID1&amp;5'!K:K)+1&amp;"' AS ID_EXEC, CURRENT_TIMESTAMP() AS TIME_EXEC FROM "&amp;MID(I337,1,LEN(I337)-2)&amp;" AND CAST("&amp;F337&amp;"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TABELA_SIMUL,'leg_1_reference_rate' AS CAMPO, '${ref_date}' AS REF_DATE, COUNT(*) AS NUM_REG, SUM(IF(COALESCE(CAST(X.leg_1_reference_rate AS STRING),'')&lt;&gt;COALESCE(CAST(Y.leg_1_reference_rate_SIMUL AS STRING),'') OR (X.leg_1_reference_rate IS NULL AND Y.leg_1_reference_rate_SIMUL IS NOT NULL ) OR (X.leg_1_reference_rate IS NOT NULL AND Y.leg_1_reference_rate_SIMUL IS NULL),1,0)) AS NUM_REG_DIF,'1' AS ID_EXEC, CURRENT_TIMESTAMP() AS TIME_EXEC FROM (SELECT instrmnt_id, leg_1_reference_rate FROM BU_LOANTAPE_WORK.LT002_INSTRUMENT WHERE ref_date='${ref_date}' AND nome_perimetro='Individual Local' AND segmento='ESTR' AND ambito='SRB_MBDT' AND entidade='00100')X INNER JOIN (SELECT instrmnt_id AS instrmnt_id_SIMUL, leg_1_reference_rate AS leg_1_reference_rate_SIMUL FROM BU_LOANTAPE_WORK.SIMUL_LT002_INSTRUMENT WHERE ref_date='${ref_date}' AND nome_perimetro='Individual Local' AND segmento='ESTR' AND ambito='PILAR3' AND entidade='00100')Y ON X.INSTRMNT_ID=Y.INSTRMNT_ID_SIMUL</v>
      </c>
      <c r="M337" s="36" t="str">
        <f t="shared" si="8"/>
        <v>UNION ALL SELECT 'INSTRUMENT' AS TABELA, 'COERÊNCIA' AS TIPOLOGIA_TESTE,'BU_LOANTAPE_WORK.LT002_INSTRUMENT' AS TABELA_LT,'BU_LOANTAPE_WORK.SIMUL_LT002_INSTRUMENT' AS TABELA_SIMUL,'leg_1_reference_rate' AS CAMPO, '${ref_date}' AS REF_DATE, COUNT(*) AS NUM_REG, SUM(IF(COALESCE(CAST(X.leg_1_reference_rate AS STRING),'')&lt;&gt;COALESCE(CAST(Y.leg_1_reference_rate_SIMUL AS STRING),'') OR (X.leg_1_reference_rate IS NULL AND Y.leg_1_reference_rate_SIMUL IS NOT NULL ) OR (X.leg_1_reference_rate IS NOT NULL AND Y.leg_1_reference_rate_SIMUL IS NULL),1,0)) AS NUM_REG_DIF,'1' AS ID_EXEC, CURRENT_TIMESTAMP() AS TIME_EXEC FROM (SELECT instrmnt_id, leg_1_reference_rate FROM BU_LOANTAPE_WORK.LT002_INSTRUMENT WHERE ref_date='${ref_date}' AND nome_perimetro='Individual Local' AND segmento='ESTR' AND ambito='SRB_MBDT' AND entidade='00100')X INNER JOIN (SELECT instrmnt_id AS instrmnt_id_SIMUL, leg_1_reference_rate AS leg_1_reference_rate_SIMUL FROM BU_LOANTAPE_WORK.SIMUL_LT002_INSTRUMENT WHERE ref_date='${ref_date}' AND nome_perimetro='Individual Local' AND segmento='ESTR' AND ambito='PILAR3' AND entidade='00100')Y ON X.INSTRMNT_ID=Y.INSTRMNT_ID_SIMUL</v>
      </c>
      <c r="N337" s="38"/>
    </row>
    <row r="338" spans="2:14">
      <c r="B338" s="34" t="s">
        <v>117</v>
      </c>
      <c r="C338" s="34" t="s">
        <v>5</v>
      </c>
      <c r="D338" s="34" t="str">
        <f>+UPPER('0. Instruções'!$D$35&amp;"."&amp;VLOOKUP(B338,'0. Instruções'!$C$27:$D$32,2,FALSE))</f>
        <v>BU_LOANTAPE_WORK.LT002_INSTRUMENT</v>
      </c>
      <c r="E338" s="34" t="str">
        <f>+UPPER('0. Instruções'!$D$36&amp;"."&amp;VLOOKUP(B338,'0. Instruções'!$C$27:$E$32,3,FALSE))</f>
        <v>BU_LOANTAPE_WORK.SIMUL_LT002_INSTRUMENT</v>
      </c>
      <c r="F338" s="34" t="s">
        <v>1378</v>
      </c>
      <c r="G338" s="34"/>
      <c r="H338" s="34"/>
      <c r="I338" s="34" t="str">
        <f>"(SELECT "&amp;VLOOKUP(B338,'0. Instruções'!$C$27:$G$32,4,FALSE)&amp;", "&amp;F338&amp;" FROM "&amp;D338&amp;" WHERE "&amp;'0. Instruções'!$D$42&amp;")X"</f>
        <v>(SELECT instrmnt_id, leg_2_reference_rate FROM BU_LOANTAPE_WORK.LT002_INSTRUMENT WHERE ref_date='${ref_date}' AND nome_perimetro='Individual Local' AND segmento='ESTR' AND ambito='SRB_MBDT' AND entidade='00100')X</v>
      </c>
      <c r="J338" s="34" t="str">
        <f>"(SELECT "&amp;VLOOKUP(B338,'0. Instruções'!$C$27:$G$32,4,FALSE)&amp;" AS "&amp;VLOOKUP(B338,'0. Instruções'!$C$27:$G$32,4,FALSE)&amp;"_SIMUL, "&amp;F338&amp;" AS "&amp;F338&amp;"_SIMUL FROM "&amp;E338&amp;" WHERE "&amp;'0. Instruções'!$D$43&amp;")Y"</f>
        <v>(SELECT instrmnt_id AS instrmnt_id_SIMUL, leg_2_reference_rate AS leg_2_reference_rate_SIMUL FROM BU_LOANTAPE_WORK.SIMUL_LT002_INSTRUMENT WHERE ref_date='${ref_date}' AND nome_perimetro='Individual Local' AND segmento='ESTR' AND ambito='PILAR3' AND entidade='00100')Y</v>
      </c>
      <c r="K338" s="35" t="str">
        <f>+UPPER("ON X."&amp;VLOOKUP(B338,'0. Instruções'!$C$27:$G$32,4,FALSE)&amp;"=Y."&amp;VLOOKUP(B338,'0. Instruções'!$C$27:$G$32,4,FALSE)&amp;"_SIMUL")</f>
        <v>ON X.INSTRMNT_ID=Y.INSTRMNT_ID_SIMUL</v>
      </c>
      <c r="L338" s="35" t="str">
        <f>+IF(C338="Coerência", +IF(LEFT(G338,5)="FLOAT","SELECT '"&amp;UPPER(B338)&amp;"' AS TABELA, '"&amp;UPPER(C338)&amp;"' AS TIPOLOGIA_TESTE,'"&amp;D338&amp;"' AS TABELA_LT,'"&amp;E338&amp;"' AS TABELA_SIMUL,'"&amp;F338&amp;"' AS CAMPO, "&amp;"'${ref_date}' AS REF_DATE, COUNT(*) AS NUM_REG, SUM(IF((ABS(COALESCE(CAST(X."&amp;F338&amp;" AS DECIMAL(18,6)),0)-COALESCE(CAST(Y."&amp;F338&amp;"_SIMUL AS DECIMAL(18,6)),0))&gt;0.000001) OR (X."&amp;F338&amp;" IS NULL AND Y."&amp;F338&amp;"_SIMUL IS NOT NULL ) OR (X."&amp;F338&amp;" IS NOT NULL AND Y."&amp;F338&amp;"_SIMUL IS NULL),1,0)) AS NUM_REG_DIF,'"&amp;MAX('ID1&amp;5'!K:K)+1&amp;"' AS ID_EXEC, CURRENT_TIMESTAMP() AS TIME_EXEC FROM "&amp;I338&amp;" INNER JOIN "&amp;J338&amp;" "&amp;K338,"SELECT '"&amp;UPPER(B338)&amp;"' AS TABELA, '"&amp;UPPER(C338)&amp;"' AS TIPOLOGIA_TESTE,'"&amp;D338&amp;"' AS TABELA_LT,'"&amp;E338&amp;"' AS TABELA_SIMUL,'"&amp;F338&amp;"' AS CAMPO, "&amp;"'${ref_date}' AS REF_DATE, COUNT(*) AS NUM_REG, SUM(IF(COALESCE(CAST(X."&amp;F338&amp;" AS STRING),'')&lt;&gt;COALESCE(CAST(Y."&amp;F338&amp;"_SIMUL AS STRING),'') OR (X."&amp;F338&amp;" IS NULL AND Y."&amp;F338&amp;"_SIMUL IS NOT NULL ) OR (X."&amp;F338&amp;" IS NOT NULL AND Y."&amp;F338&amp;"_SIMUL IS NULL),1,0)) AS NUM_REG_DIF,'"&amp;MAX('ID1&amp;5'!L:L)+1&amp;"' AS ID_EXEC, CURRENT_TIMESTAMP() AS TIME_EXEC FROM "&amp;I338&amp;" INNER JOIN "&amp;J338&amp;" "&amp;K338),
IF(C338="Validade",+IF(G338="Code List","SELECT '"&amp;UPPER(B338)&amp;"' AS TABELA, '"&amp;UPPER(C338)&amp;"' AS TIPOLOGIA_TESTE,'"&amp;D338&amp;"' AS TABELA_LT,'N/A' AS TABELA_SIMUL,'"&amp;F338&amp;"' AS CAMPO, "&amp;"'${ref_date}' AS REF_DATE, COUNT(*) AS NUM_REG, SUM(IF(TRIM(CAST(X."&amp;F338&amp;" AS STRING))='' OR TRIM(CAST(X."&amp;F338&amp;" AS STRING)) IS NULL OR CAST(X."&amp;F338&amp;" AS STRING) NOT "&amp;H338&amp;",1,0)) AS NUM_REG_DIF,'"&amp;MAX('ID1&amp;5'!K:K)+1&amp;"' AS ID_EXEC, CURRENT_TIMESTAMP() AS TIME_EXEC FROM "&amp;I338,"SELECT '"&amp;UPPER(B338)&amp;"' AS TABELA, '"&amp;UPPER(C338)&amp;"' AS TIPOLOGIA_TESTE,'"&amp;D338&amp;"' AS TABELA_LT,'N/A' AS TABELA_SIMUL,'"&amp;F338&amp;"' AS CAMPO, "&amp;"'${ref_date}' AS REF_DATE, COUNT(*) AS NUM_REG, SUM(IF(TRIM(CAST(X."&amp;F338&amp;" AS STRING))='' OR TRIM(CAST(X."&amp;F338&amp;" AS STRING)) IS NULL,1,0)) AS NUM_REG_DIF,'"&amp;MAX('ID1&amp;5'!K:K)+1&amp;"' AS ID_EXEC, CURRENT_TIMESTAMP() AS TIME_EXEC FROM "&amp;I338),
IF(C338="Caracteres Especiais",+"SELECT '"&amp;UPPER(B338)&amp;"' AS TABELA, '"&amp;UPPER(C338)&amp;"' AS TIPOLOGIA_TESTE,'"&amp;D338&amp;"' AS TABELA_LT,'N/A' AS TABELA_SIMUL,'"&amp;F338&amp;"' AS CAMPO, "&amp;"'${ref_date}' AS REF_DATE, COUNT(*) AS NUM_REG, SUM(IF(REGEXP_REPLACE(TRIM(CAST(X."&amp;F338&amp;" AS STRING)),'[^a-zA-Z0-9_\\s]','') &lt;&gt;TRIM(CAST(X."&amp;F338&amp;" AS STRING)),1,0)) AS NUM_REG_DIF,'"&amp;MAX('ID1&amp;5'!K:K)+1&amp;"' AS ID_EXEC, CURRENT_TIMESTAMP() AS TIME_EXEC FROM "&amp;I338,
IF(C338="Missings",+"SELECT '"&amp;UPPER(B338)&amp;"' AS TABELA, '"&amp;UPPER(C338)&amp;"' AS TIPOLOGIA_TESTE,'"&amp;D338&amp;"' AS TABELA_LT,'N/A' AS TABELA_SIMUL,'"&amp;F338&amp;"' AS CAMPO, "&amp;"'${ref_date}' AS REF_DATE, COUNT(*) AS NUM_REG, SUM(IF(TRIM(CAST(X."&amp;F338&amp;" AS STRING)) IN ('0000-00-00','0001-01-01','9999-12-31','MISS','00000','99999999999','99999999999.00','99999999999.000000'),1,0)) AS NUM_REG_DIF,'"&amp;MAX('ID1&amp;5'!K:K)+1&amp;"' AS ID_EXEC, CURRENT_TIMESTAMP() AS TIME_EXEC FROM "&amp;I338,
IF(C338="Not applicable",+"SELECT '"&amp;UPPER(B338)&amp;"' AS TABELA, '"&amp;UPPER(C338)&amp;"' AS TIPOLOGIA_TESTE,'"&amp;D338&amp;"' AS TABELA_LT,'N/A' AS TABELA_SIMUL,'"&amp;F338&amp;"' AS CAMPO, "&amp;"'${ref_date}' AS REF_DATE, COUNT(*) AS NUM_REG, SUM(IF(TRIM(CAST(X."&amp;F338&amp;" AS STRING)) IN ('N/A','11111111111','11111111111.00','11111111111.000000','1111-11-11'),1,0)) AS NUM_REG_DIF,'"&amp;MAX('ID1&amp;5'!K:K)+1&amp;"' AS ID_EXEC, CURRENT_TIMESTAMP() AS TIME_EXEC FROM "&amp;I338,
IF(C338="Valores extremos",+"SELECT '"&amp;UPPER(B338)&amp;"' AS TABELA, '"&amp;UPPER(C338)&amp;"' AS TIPOLOGIA_TESTE,'"&amp;D338&amp;"' AS TABELA_LT,'N/A' AS TABELA_SIMUL,'"&amp;F338&amp;"' AS CAMPO, "&amp;"'${ref_date}' AS REF_DATE, CAST(MIN("&amp;F338&amp;") AS STRING) AS VALOR_MIN, CAST(MAX("&amp;F338&amp;") AS STRING) AS VALOR_MAX,'"&amp;MAX('ID1&amp;5'!K:K)+1&amp;"' AS ID_EXEC, CURRENT_TIMESTAMP() AS TIME_EXEC FROM "&amp;MID(I338,1,LEN(I338)-2)&amp;" AND CAST("&amp;F338&amp;"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TABELA_SIMUL,'leg_2_reference_rate' AS CAMPO, '${ref_date}' AS REF_DATE, COUNT(*) AS NUM_REG, SUM(IF(COALESCE(CAST(X.leg_2_reference_rate AS STRING),'')&lt;&gt;COALESCE(CAST(Y.leg_2_reference_rate_SIMUL AS STRING),'') OR (X.leg_2_reference_rate IS NULL AND Y.leg_2_reference_rate_SIMUL IS NOT NULL ) OR (X.leg_2_reference_rate IS NOT NULL AND Y.leg_2_reference_rate_SIMUL IS NULL),1,0)) AS NUM_REG_DIF,'1' AS ID_EXEC, CURRENT_TIMESTAMP() AS TIME_EXEC FROM (SELECT instrmnt_id, leg_2_reference_rate FROM BU_LOANTAPE_WORK.LT002_INSTRUMENT WHERE ref_date='${ref_date}' AND nome_perimetro='Individual Local' AND segmento='ESTR' AND ambito='SRB_MBDT' AND entidade='00100')X INNER JOIN (SELECT instrmnt_id AS instrmnt_id_SIMUL, leg_2_reference_rate AS leg_2_reference_rate_SIMUL FROM BU_LOANTAPE_WORK.SIMUL_LT002_INSTRUMENT WHERE ref_date='${ref_date}' AND nome_perimetro='Individual Local' AND segmento='ESTR' AND ambito='PILAR3' AND entidade='00100')Y ON X.INSTRMNT_ID=Y.INSTRMNT_ID_SIMUL</v>
      </c>
      <c r="M338" s="36" t="str">
        <f t="shared" si="8"/>
        <v>UNION ALL SELECT 'INSTRUMENT' AS TABELA, 'COERÊNCIA' AS TIPOLOGIA_TESTE,'BU_LOANTAPE_WORK.LT002_INSTRUMENT' AS TABELA_LT,'BU_LOANTAPE_WORK.SIMUL_LT002_INSTRUMENT' AS TABELA_SIMUL,'leg_2_reference_rate' AS CAMPO, '${ref_date}' AS REF_DATE, COUNT(*) AS NUM_REG, SUM(IF(COALESCE(CAST(X.leg_2_reference_rate AS STRING),'')&lt;&gt;COALESCE(CAST(Y.leg_2_reference_rate_SIMUL AS STRING),'') OR (X.leg_2_reference_rate IS NULL AND Y.leg_2_reference_rate_SIMUL IS NOT NULL ) OR (X.leg_2_reference_rate IS NOT NULL AND Y.leg_2_reference_rate_SIMUL IS NULL),1,0)) AS NUM_REG_DIF,'1' AS ID_EXEC, CURRENT_TIMESTAMP() AS TIME_EXEC FROM (SELECT instrmnt_id, leg_2_reference_rate FROM BU_LOANTAPE_WORK.LT002_INSTRUMENT WHERE ref_date='${ref_date}' AND nome_perimetro='Individual Local' AND segmento='ESTR' AND ambito='SRB_MBDT' AND entidade='00100')X INNER JOIN (SELECT instrmnt_id AS instrmnt_id_SIMUL, leg_2_reference_rate AS leg_2_reference_rate_SIMUL FROM BU_LOANTAPE_WORK.SIMUL_LT002_INSTRUMENT WHERE ref_date='${ref_date}' AND nome_perimetro='Individual Local' AND segmento='ESTR' AND ambito='PILAR3' AND entidade='00100')Y ON X.INSTRMNT_ID=Y.INSTRMNT_ID_SIMUL</v>
      </c>
      <c r="N338" s="38"/>
    </row>
    <row r="339" spans="2:14">
      <c r="B339" s="34" t="s">
        <v>117</v>
      </c>
      <c r="C339" s="34" t="s">
        <v>5</v>
      </c>
      <c r="D339" s="34" t="str">
        <f>+UPPER('0. Instruções'!$D$35&amp;"."&amp;VLOOKUP(B339,'0. Instruções'!$C$27:$D$32,2,FALSE))</f>
        <v>BU_LOANTAPE_WORK.LT002_INSTRUMENT</v>
      </c>
      <c r="E339" s="34" t="str">
        <f>+UPPER('0. Instruções'!$D$36&amp;"."&amp;VLOOKUP(B339,'0. Instruções'!$C$27:$E$32,3,FALSE))</f>
        <v>BU_LOANTAPE_WORK.SIMUL_LT002_INSTRUMENT</v>
      </c>
      <c r="F339" s="34" t="s">
        <v>1379</v>
      </c>
      <c r="G339" s="34"/>
      <c r="H339" s="34"/>
      <c r="I339" s="34" t="str">
        <f>"(SELECT "&amp;VLOOKUP(B339,'0. Instruções'!$C$27:$G$32,4,FALSE)&amp;", "&amp;F339&amp;" FROM "&amp;D339&amp;" WHERE "&amp;'0. Instruções'!$D$42&amp;")X"</f>
        <v>(SELECT instrmnt_id, leg_1_reference_period FROM BU_LOANTAPE_WORK.LT002_INSTRUMENT WHERE ref_date='${ref_date}' AND nome_perimetro='Individual Local' AND segmento='ESTR' AND ambito='SRB_MBDT' AND entidade='00100')X</v>
      </c>
      <c r="J339" s="34" t="str">
        <f>"(SELECT "&amp;VLOOKUP(B339,'0. Instruções'!$C$27:$G$32,4,FALSE)&amp;" AS "&amp;VLOOKUP(B339,'0. Instruções'!$C$27:$G$32,4,FALSE)&amp;"_SIMUL, "&amp;F339&amp;" AS "&amp;F339&amp;"_SIMUL FROM "&amp;E339&amp;" WHERE "&amp;'0. Instruções'!$D$43&amp;")Y"</f>
        <v>(SELECT instrmnt_id AS instrmnt_id_SIMUL, leg_1_reference_period AS leg_1_reference_period_SIMUL FROM BU_LOANTAPE_WORK.SIMUL_LT002_INSTRUMENT WHERE ref_date='${ref_date}' AND nome_perimetro='Individual Local' AND segmento='ESTR' AND ambito='PILAR3' AND entidade='00100')Y</v>
      </c>
      <c r="K339" s="35" t="str">
        <f>+UPPER("ON X."&amp;VLOOKUP(B339,'0. Instruções'!$C$27:$G$32,4,FALSE)&amp;"=Y."&amp;VLOOKUP(B339,'0. Instruções'!$C$27:$G$32,4,FALSE)&amp;"_SIMUL")</f>
        <v>ON X.INSTRMNT_ID=Y.INSTRMNT_ID_SIMUL</v>
      </c>
      <c r="L339" s="35" t="str">
        <f>+IF(C339="Coerência", +IF(LEFT(G339,5)="FLOAT","SELECT '"&amp;UPPER(B339)&amp;"' AS TABELA, '"&amp;UPPER(C339)&amp;"' AS TIPOLOGIA_TESTE,'"&amp;D339&amp;"' AS TABELA_LT,'"&amp;E339&amp;"' AS TABELA_SIMUL,'"&amp;F339&amp;"' AS CAMPO, "&amp;"'${ref_date}' AS REF_DATE, COUNT(*) AS NUM_REG, SUM(IF((ABS(COALESCE(CAST(X."&amp;F339&amp;" AS DECIMAL(18,6)),0)-COALESCE(CAST(Y."&amp;F339&amp;"_SIMUL AS DECIMAL(18,6)),0))&gt;0.000001) OR (X."&amp;F339&amp;" IS NULL AND Y."&amp;F339&amp;"_SIMUL IS NOT NULL ) OR (X."&amp;F339&amp;" IS NOT NULL AND Y."&amp;F339&amp;"_SIMUL IS NULL),1,0)) AS NUM_REG_DIF,'"&amp;MAX('ID1&amp;5'!K:K)+1&amp;"' AS ID_EXEC, CURRENT_TIMESTAMP() AS TIME_EXEC FROM "&amp;I339&amp;" INNER JOIN "&amp;J339&amp;" "&amp;K339,"SELECT '"&amp;UPPER(B339)&amp;"' AS TABELA, '"&amp;UPPER(C339)&amp;"' AS TIPOLOGIA_TESTE,'"&amp;D339&amp;"' AS TABELA_LT,'"&amp;E339&amp;"' AS TABELA_SIMUL,'"&amp;F339&amp;"' AS CAMPO, "&amp;"'${ref_date}' AS REF_DATE, COUNT(*) AS NUM_REG, SUM(IF(COALESCE(CAST(X."&amp;F339&amp;" AS STRING),'')&lt;&gt;COALESCE(CAST(Y."&amp;F339&amp;"_SIMUL AS STRING),'') OR (X."&amp;F339&amp;" IS NULL AND Y."&amp;F339&amp;"_SIMUL IS NOT NULL ) OR (X."&amp;F339&amp;" IS NOT NULL AND Y."&amp;F339&amp;"_SIMUL IS NULL),1,0)) AS NUM_REG_DIF,'"&amp;MAX('ID1&amp;5'!L:L)+1&amp;"' AS ID_EXEC, CURRENT_TIMESTAMP() AS TIME_EXEC FROM "&amp;I339&amp;" INNER JOIN "&amp;J339&amp;" "&amp;K339),
IF(C339="Validade",+IF(G339="Code List","SELECT '"&amp;UPPER(B339)&amp;"' AS TABELA, '"&amp;UPPER(C339)&amp;"' AS TIPOLOGIA_TESTE,'"&amp;D339&amp;"' AS TABELA_LT,'N/A' AS TABELA_SIMUL,'"&amp;F339&amp;"' AS CAMPO, "&amp;"'${ref_date}' AS REF_DATE, COUNT(*) AS NUM_REG, SUM(IF(TRIM(CAST(X."&amp;F339&amp;" AS STRING))='' OR TRIM(CAST(X."&amp;F339&amp;" AS STRING)) IS NULL OR CAST(X."&amp;F339&amp;" AS STRING) NOT "&amp;H339&amp;",1,0)) AS NUM_REG_DIF,'"&amp;MAX('ID1&amp;5'!K:K)+1&amp;"' AS ID_EXEC, CURRENT_TIMESTAMP() AS TIME_EXEC FROM "&amp;I339,"SELECT '"&amp;UPPER(B339)&amp;"' AS TABELA, '"&amp;UPPER(C339)&amp;"' AS TIPOLOGIA_TESTE,'"&amp;D339&amp;"' AS TABELA_LT,'N/A' AS TABELA_SIMUL,'"&amp;F339&amp;"' AS CAMPO, "&amp;"'${ref_date}' AS REF_DATE, COUNT(*) AS NUM_REG, SUM(IF(TRIM(CAST(X."&amp;F339&amp;" AS STRING))='' OR TRIM(CAST(X."&amp;F339&amp;" AS STRING)) IS NULL,1,0)) AS NUM_REG_DIF,'"&amp;MAX('ID1&amp;5'!K:K)+1&amp;"' AS ID_EXEC, CURRENT_TIMESTAMP() AS TIME_EXEC FROM "&amp;I339),
IF(C339="Caracteres Especiais",+"SELECT '"&amp;UPPER(B339)&amp;"' AS TABELA, '"&amp;UPPER(C339)&amp;"' AS TIPOLOGIA_TESTE,'"&amp;D339&amp;"' AS TABELA_LT,'N/A' AS TABELA_SIMUL,'"&amp;F339&amp;"' AS CAMPO, "&amp;"'${ref_date}' AS REF_DATE, COUNT(*) AS NUM_REG, SUM(IF(REGEXP_REPLACE(TRIM(CAST(X."&amp;F339&amp;" AS STRING)),'[^a-zA-Z0-9_\\s]','') &lt;&gt;TRIM(CAST(X."&amp;F339&amp;" AS STRING)),1,0)) AS NUM_REG_DIF,'"&amp;MAX('ID1&amp;5'!K:K)+1&amp;"' AS ID_EXEC, CURRENT_TIMESTAMP() AS TIME_EXEC FROM "&amp;I339,
IF(C339="Missings",+"SELECT '"&amp;UPPER(B339)&amp;"' AS TABELA, '"&amp;UPPER(C339)&amp;"' AS TIPOLOGIA_TESTE,'"&amp;D339&amp;"' AS TABELA_LT,'N/A' AS TABELA_SIMUL,'"&amp;F339&amp;"' AS CAMPO, "&amp;"'${ref_date}' AS REF_DATE, COUNT(*) AS NUM_REG, SUM(IF(TRIM(CAST(X."&amp;F339&amp;" AS STRING)) IN ('0000-00-00','0001-01-01','9999-12-31','MISS','00000','99999999999','99999999999.00','99999999999.000000'),1,0)) AS NUM_REG_DIF,'"&amp;MAX('ID1&amp;5'!K:K)+1&amp;"' AS ID_EXEC, CURRENT_TIMESTAMP() AS TIME_EXEC FROM "&amp;I339,
IF(C339="Not applicable",+"SELECT '"&amp;UPPER(B339)&amp;"' AS TABELA, '"&amp;UPPER(C339)&amp;"' AS TIPOLOGIA_TESTE,'"&amp;D339&amp;"' AS TABELA_LT,'N/A' AS TABELA_SIMUL,'"&amp;F339&amp;"' AS CAMPO, "&amp;"'${ref_date}' AS REF_DATE, COUNT(*) AS NUM_REG, SUM(IF(TRIM(CAST(X."&amp;F339&amp;" AS STRING)) IN ('N/A','11111111111','11111111111.00','11111111111.000000','1111-11-11'),1,0)) AS NUM_REG_DIF,'"&amp;MAX('ID1&amp;5'!K:K)+1&amp;"' AS ID_EXEC, CURRENT_TIMESTAMP() AS TIME_EXEC FROM "&amp;I339,
IF(C339="Valores extremos",+"SELECT '"&amp;UPPER(B339)&amp;"' AS TABELA, '"&amp;UPPER(C339)&amp;"' AS TIPOLOGIA_TESTE,'"&amp;D339&amp;"' AS TABELA_LT,'N/A' AS TABELA_SIMUL,'"&amp;F339&amp;"' AS CAMPO, "&amp;"'${ref_date}' AS REF_DATE, CAST(MIN("&amp;F339&amp;") AS STRING) AS VALOR_MIN, CAST(MAX("&amp;F339&amp;") AS STRING) AS VALOR_MAX,'"&amp;MAX('ID1&amp;5'!K:K)+1&amp;"' AS ID_EXEC, CURRENT_TIMESTAMP() AS TIME_EXEC FROM "&amp;MID(I339,1,LEN(I339)-2)&amp;" AND CAST("&amp;F339&amp;"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TABELA_SIMUL,'leg_1_reference_period' AS CAMPO, '${ref_date}' AS REF_DATE, COUNT(*) AS NUM_REG, SUM(IF(COALESCE(CAST(X.leg_1_reference_period AS STRING),'')&lt;&gt;COALESCE(CAST(Y.leg_1_reference_period_SIMUL AS STRING),'') OR (X.leg_1_reference_period IS NULL AND Y.leg_1_reference_period_SIMUL IS NOT NULL ) OR (X.leg_1_reference_period IS NOT NULL AND Y.leg_1_reference_period_SIMUL IS NULL),1,0)) AS NUM_REG_DIF,'1' AS ID_EXEC, CURRENT_TIMESTAMP() AS TIME_EXEC FROM (SELECT instrmnt_id, leg_1_reference_period FROM BU_LOANTAPE_WORK.LT002_INSTRUMENT WHERE ref_date='${ref_date}' AND nome_perimetro='Individual Local' AND segmento='ESTR' AND ambito='SRB_MBDT' AND entidade='00100')X INNER JOIN (SELECT instrmnt_id AS instrmnt_id_SIMUL, leg_1_reference_period AS leg_1_reference_period_SIMUL FROM BU_LOANTAPE_WORK.SIMUL_LT002_INSTRUMENT WHERE ref_date='${ref_date}' AND nome_perimetro='Individual Local' AND segmento='ESTR' AND ambito='PILAR3' AND entidade='00100')Y ON X.INSTRMNT_ID=Y.INSTRMNT_ID_SIMUL</v>
      </c>
      <c r="M339" s="36" t="str">
        <f t="shared" si="8"/>
        <v>UNION ALL SELECT 'INSTRUMENT' AS TABELA, 'COERÊNCIA' AS TIPOLOGIA_TESTE,'BU_LOANTAPE_WORK.LT002_INSTRUMENT' AS TABELA_LT,'BU_LOANTAPE_WORK.SIMUL_LT002_INSTRUMENT' AS TABELA_SIMUL,'leg_1_reference_period' AS CAMPO, '${ref_date}' AS REF_DATE, COUNT(*) AS NUM_REG, SUM(IF(COALESCE(CAST(X.leg_1_reference_period AS STRING),'')&lt;&gt;COALESCE(CAST(Y.leg_1_reference_period_SIMUL AS STRING),'') OR (X.leg_1_reference_period IS NULL AND Y.leg_1_reference_period_SIMUL IS NOT NULL ) OR (X.leg_1_reference_period IS NOT NULL AND Y.leg_1_reference_period_SIMUL IS NULL),1,0)) AS NUM_REG_DIF,'1' AS ID_EXEC, CURRENT_TIMESTAMP() AS TIME_EXEC FROM (SELECT instrmnt_id, leg_1_reference_period FROM BU_LOANTAPE_WORK.LT002_INSTRUMENT WHERE ref_date='${ref_date}' AND nome_perimetro='Individual Local' AND segmento='ESTR' AND ambito='SRB_MBDT' AND entidade='00100')X INNER JOIN (SELECT instrmnt_id AS instrmnt_id_SIMUL, leg_1_reference_period AS leg_1_reference_period_SIMUL FROM BU_LOANTAPE_WORK.SIMUL_LT002_INSTRUMENT WHERE ref_date='${ref_date}' AND nome_perimetro='Individual Local' AND segmento='ESTR' AND ambito='PILAR3' AND entidade='00100')Y ON X.INSTRMNT_ID=Y.INSTRMNT_ID_SIMUL</v>
      </c>
      <c r="N339" s="38"/>
    </row>
    <row r="340" spans="2:14">
      <c r="B340" s="34" t="s">
        <v>117</v>
      </c>
      <c r="C340" s="34" t="s">
        <v>5</v>
      </c>
      <c r="D340" s="34" t="str">
        <f>+UPPER('0. Instruções'!$D$35&amp;"."&amp;VLOOKUP(B340,'0. Instruções'!$C$27:$D$32,2,FALSE))</f>
        <v>BU_LOANTAPE_WORK.LT002_INSTRUMENT</v>
      </c>
      <c r="E340" s="34" t="str">
        <f>+UPPER('0. Instruções'!$D$36&amp;"."&amp;VLOOKUP(B340,'0. Instruções'!$C$27:$E$32,3,FALSE))</f>
        <v>BU_LOANTAPE_WORK.SIMUL_LT002_INSTRUMENT</v>
      </c>
      <c r="F340" s="34" t="s">
        <v>1380</v>
      </c>
      <c r="G340" s="34"/>
      <c r="H340" s="34"/>
      <c r="I340" s="34" t="str">
        <f>"(SELECT "&amp;VLOOKUP(B340,'0. Instruções'!$C$27:$G$32,4,FALSE)&amp;", "&amp;F340&amp;" FROM "&amp;D340&amp;" WHERE "&amp;'0. Instruções'!$D$42&amp;")X"</f>
        <v>(SELECT instrmnt_id, leg_2_reference_period FROM BU_LOANTAPE_WORK.LT002_INSTRUMENT WHERE ref_date='${ref_date}' AND nome_perimetro='Individual Local' AND segmento='ESTR' AND ambito='SRB_MBDT' AND entidade='00100')X</v>
      </c>
      <c r="J340" s="34" t="str">
        <f>"(SELECT "&amp;VLOOKUP(B340,'0. Instruções'!$C$27:$G$32,4,FALSE)&amp;" AS "&amp;VLOOKUP(B340,'0. Instruções'!$C$27:$G$32,4,FALSE)&amp;"_SIMUL, "&amp;F340&amp;" AS "&amp;F340&amp;"_SIMUL FROM "&amp;E340&amp;" WHERE "&amp;'0. Instruções'!$D$43&amp;")Y"</f>
        <v>(SELECT instrmnt_id AS instrmnt_id_SIMUL, leg_2_reference_period AS leg_2_reference_period_SIMUL FROM BU_LOANTAPE_WORK.SIMUL_LT002_INSTRUMENT WHERE ref_date='${ref_date}' AND nome_perimetro='Individual Local' AND segmento='ESTR' AND ambito='PILAR3' AND entidade='00100')Y</v>
      </c>
      <c r="K340" s="35" t="str">
        <f>+UPPER("ON X."&amp;VLOOKUP(B340,'0. Instruções'!$C$27:$G$32,4,FALSE)&amp;"=Y."&amp;VLOOKUP(B340,'0. Instruções'!$C$27:$G$32,4,FALSE)&amp;"_SIMUL")</f>
        <v>ON X.INSTRMNT_ID=Y.INSTRMNT_ID_SIMUL</v>
      </c>
      <c r="L340" s="35" t="str">
        <f>+IF(C340="Coerência", +IF(LEFT(G340,5)="FLOAT","SELECT '"&amp;UPPER(B340)&amp;"' AS TABELA, '"&amp;UPPER(C340)&amp;"' AS TIPOLOGIA_TESTE,'"&amp;D340&amp;"' AS TABELA_LT,'"&amp;E340&amp;"' AS TABELA_SIMUL,'"&amp;F340&amp;"' AS CAMPO, "&amp;"'${ref_date}' AS REF_DATE, COUNT(*) AS NUM_REG, SUM(IF((ABS(COALESCE(CAST(X."&amp;F340&amp;" AS DECIMAL(18,6)),0)-COALESCE(CAST(Y."&amp;F340&amp;"_SIMUL AS DECIMAL(18,6)),0))&gt;0.000001) OR (X."&amp;F340&amp;" IS NULL AND Y."&amp;F340&amp;"_SIMUL IS NOT NULL ) OR (X."&amp;F340&amp;" IS NOT NULL AND Y."&amp;F340&amp;"_SIMUL IS NULL),1,0)) AS NUM_REG_DIF,'"&amp;MAX('ID1&amp;5'!K:K)+1&amp;"' AS ID_EXEC, CURRENT_TIMESTAMP() AS TIME_EXEC FROM "&amp;I340&amp;" INNER JOIN "&amp;J340&amp;" "&amp;K340,"SELECT '"&amp;UPPER(B340)&amp;"' AS TABELA, '"&amp;UPPER(C340)&amp;"' AS TIPOLOGIA_TESTE,'"&amp;D340&amp;"' AS TABELA_LT,'"&amp;E340&amp;"' AS TABELA_SIMUL,'"&amp;F340&amp;"' AS CAMPO, "&amp;"'${ref_date}' AS REF_DATE, COUNT(*) AS NUM_REG, SUM(IF(COALESCE(CAST(X."&amp;F340&amp;" AS STRING),'')&lt;&gt;COALESCE(CAST(Y."&amp;F340&amp;"_SIMUL AS STRING),'') OR (X."&amp;F340&amp;" IS NULL AND Y."&amp;F340&amp;"_SIMUL IS NOT NULL ) OR (X."&amp;F340&amp;" IS NOT NULL AND Y."&amp;F340&amp;"_SIMUL IS NULL),1,0)) AS NUM_REG_DIF,'"&amp;MAX('ID1&amp;5'!L:L)+1&amp;"' AS ID_EXEC, CURRENT_TIMESTAMP() AS TIME_EXEC FROM "&amp;I340&amp;" INNER JOIN "&amp;J340&amp;" "&amp;K340),
IF(C340="Validade",+IF(G340="Code List","SELECT '"&amp;UPPER(B340)&amp;"' AS TABELA, '"&amp;UPPER(C340)&amp;"' AS TIPOLOGIA_TESTE,'"&amp;D340&amp;"' AS TABELA_LT,'N/A' AS TABELA_SIMUL,'"&amp;F340&amp;"' AS CAMPO, "&amp;"'${ref_date}' AS REF_DATE, COUNT(*) AS NUM_REG, SUM(IF(TRIM(CAST(X."&amp;F340&amp;" AS STRING))='' OR TRIM(CAST(X."&amp;F340&amp;" AS STRING)) IS NULL OR CAST(X."&amp;F340&amp;" AS STRING) NOT "&amp;H340&amp;",1,0)) AS NUM_REG_DIF,'"&amp;MAX('ID1&amp;5'!K:K)+1&amp;"' AS ID_EXEC, CURRENT_TIMESTAMP() AS TIME_EXEC FROM "&amp;I340,"SELECT '"&amp;UPPER(B340)&amp;"' AS TABELA, '"&amp;UPPER(C340)&amp;"' AS TIPOLOGIA_TESTE,'"&amp;D340&amp;"' AS TABELA_LT,'N/A' AS TABELA_SIMUL,'"&amp;F340&amp;"' AS CAMPO, "&amp;"'${ref_date}' AS REF_DATE, COUNT(*) AS NUM_REG, SUM(IF(TRIM(CAST(X."&amp;F340&amp;" AS STRING))='' OR TRIM(CAST(X."&amp;F340&amp;" AS STRING)) IS NULL,1,0)) AS NUM_REG_DIF,'"&amp;MAX('ID1&amp;5'!K:K)+1&amp;"' AS ID_EXEC, CURRENT_TIMESTAMP() AS TIME_EXEC FROM "&amp;I340),
IF(C340="Caracteres Especiais",+"SELECT '"&amp;UPPER(B340)&amp;"' AS TABELA, '"&amp;UPPER(C340)&amp;"' AS TIPOLOGIA_TESTE,'"&amp;D340&amp;"' AS TABELA_LT,'N/A' AS TABELA_SIMUL,'"&amp;F340&amp;"' AS CAMPO, "&amp;"'${ref_date}' AS REF_DATE, COUNT(*) AS NUM_REG, SUM(IF(REGEXP_REPLACE(TRIM(CAST(X."&amp;F340&amp;" AS STRING)),'[^a-zA-Z0-9_\\s]','') &lt;&gt;TRIM(CAST(X."&amp;F340&amp;" AS STRING)),1,0)) AS NUM_REG_DIF,'"&amp;MAX('ID1&amp;5'!K:K)+1&amp;"' AS ID_EXEC, CURRENT_TIMESTAMP() AS TIME_EXEC FROM "&amp;I340,
IF(C340="Missings",+"SELECT '"&amp;UPPER(B340)&amp;"' AS TABELA, '"&amp;UPPER(C340)&amp;"' AS TIPOLOGIA_TESTE,'"&amp;D340&amp;"' AS TABELA_LT,'N/A' AS TABELA_SIMUL,'"&amp;F340&amp;"' AS CAMPO, "&amp;"'${ref_date}' AS REF_DATE, COUNT(*) AS NUM_REG, SUM(IF(TRIM(CAST(X."&amp;F340&amp;" AS STRING)) IN ('0000-00-00','0001-01-01','9999-12-31','MISS','00000','99999999999','99999999999.00','99999999999.000000'),1,0)) AS NUM_REG_DIF,'"&amp;MAX('ID1&amp;5'!K:K)+1&amp;"' AS ID_EXEC, CURRENT_TIMESTAMP() AS TIME_EXEC FROM "&amp;I340,
IF(C340="Not applicable",+"SELECT '"&amp;UPPER(B340)&amp;"' AS TABELA, '"&amp;UPPER(C340)&amp;"' AS TIPOLOGIA_TESTE,'"&amp;D340&amp;"' AS TABELA_LT,'N/A' AS TABELA_SIMUL,'"&amp;F340&amp;"' AS CAMPO, "&amp;"'${ref_date}' AS REF_DATE, COUNT(*) AS NUM_REG, SUM(IF(TRIM(CAST(X."&amp;F340&amp;" AS STRING)) IN ('N/A','11111111111','11111111111.00','11111111111.000000','1111-11-11'),1,0)) AS NUM_REG_DIF,'"&amp;MAX('ID1&amp;5'!K:K)+1&amp;"' AS ID_EXEC, CURRENT_TIMESTAMP() AS TIME_EXEC FROM "&amp;I340,
IF(C340="Valores extremos",+"SELECT '"&amp;UPPER(B340)&amp;"' AS TABELA, '"&amp;UPPER(C340)&amp;"' AS TIPOLOGIA_TESTE,'"&amp;D340&amp;"' AS TABELA_LT,'N/A' AS TABELA_SIMUL,'"&amp;F340&amp;"' AS CAMPO, "&amp;"'${ref_date}' AS REF_DATE, CAST(MIN("&amp;F340&amp;") AS STRING) AS VALOR_MIN, CAST(MAX("&amp;F340&amp;") AS STRING) AS VALOR_MAX,'"&amp;MAX('ID1&amp;5'!K:K)+1&amp;"' AS ID_EXEC, CURRENT_TIMESTAMP() AS TIME_EXEC FROM "&amp;MID(I340,1,LEN(I340)-2)&amp;" AND CAST("&amp;F340&amp;"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TABELA_SIMUL,'leg_2_reference_period' AS CAMPO, '${ref_date}' AS REF_DATE, COUNT(*) AS NUM_REG, SUM(IF(COALESCE(CAST(X.leg_2_reference_period AS STRING),'')&lt;&gt;COALESCE(CAST(Y.leg_2_reference_period_SIMUL AS STRING),'') OR (X.leg_2_reference_period IS NULL AND Y.leg_2_reference_period_SIMUL IS NOT NULL ) OR (X.leg_2_reference_period IS NOT NULL AND Y.leg_2_reference_period_SIMUL IS NULL),1,0)) AS NUM_REG_DIF,'1' AS ID_EXEC, CURRENT_TIMESTAMP() AS TIME_EXEC FROM (SELECT instrmnt_id, leg_2_reference_period FROM BU_LOANTAPE_WORK.LT002_INSTRUMENT WHERE ref_date='${ref_date}' AND nome_perimetro='Individual Local' AND segmento='ESTR' AND ambito='SRB_MBDT' AND entidade='00100')X INNER JOIN (SELECT instrmnt_id AS instrmnt_id_SIMUL, leg_2_reference_period AS leg_2_reference_period_SIMUL FROM BU_LOANTAPE_WORK.SIMUL_LT002_INSTRUMENT WHERE ref_date='${ref_date}' AND nome_perimetro='Individual Local' AND segmento='ESTR' AND ambito='PILAR3' AND entidade='00100')Y ON X.INSTRMNT_ID=Y.INSTRMNT_ID_SIMUL</v>
      </c>
      <c r="M340" s="36" t="str">
        <f t="shared" si="8"/>
        <v>UNION ALL SELECT 'INSTRUMENT' AS TABELA, 'COERÊNCIA' AS TIPOLOGIA_TESTE,'BU_LOANTAPE_WORK.LT002_INSTRUMENT' AS TABELA_LT,'BU_LOANTAPE_WORK.SIMUL_LT002_INSTRUMENT' AS TABELA_SIMUL,'leg_2_reference_period' AS CAMPO, '${ref_date}' AS REF_DATE, COUNT(*) AS NUM_REG, SUM(IF(COALESCE(CAST(X.leg_2_reference_period AS STRING),'')&lt;&gt;COALESCE(CAST(Y.leg_2_reference_period_SIMUL AS STRING),'') OR (X.leg_2_reference_period IS NULL AND Y.leg_2_reference_period_SIMUL IS NOT NULL ) OR (X.leg_2_reference_period IS NOT NULL AND Y.leg_2_reference_period_SIMUL IS NULL),1,0)) AS NUM_REG_DIF,'1' AS ID_EXEC, CURRENT_TIMESTAMP() AS TIME_EXEC FROM (SELECT instrmnt_id, leg_2_reference_period FROM BU_LOANTAPE_WORK.LT002_INSTRUMENT WHERE ref_date='${ref_date}' AND nome_perimetro='Individual Local' AND segmento='ESTR' AND ambito='SRB_MBDT' AND entidade='00100')X INNER JOIN (SELECT instrmnt_id AS instrmnt_id_SIMUL, leg_2_reference_period AS leg_2_reference_period_SIMUL FROM BU_LOANTAPE_WORK.SIMUL_LT002_INSTRUMENT WHERE ref_date='${ref_date}' AND nome_perimetro='Individual Local' AND segmento='ESTR' AND ambito='PILAR3' AND entidade='00100')Y ON X.INSTRMNT_ID=Y.INSTRMNT_ID_SIMUL</v>
      </c>
      <c r="N340" s="38"/>
    </row>
    <row r="341" spans="2:14">
      <c r="B341" s="34" t="s">
        <v>117</v>
      </c>
      <c r="C341" s="34" t="s">
        <v>5</v>
      </c>
      <c r="D341" s="34" t="str">
        <f>+UPPER('0. Instruções'!$D$35&amp;"."&amp;VLOOKUP(B341,'0. Instruções'!$C$27:$D$32,2,FALSE))</f>
        <v>BU_LOANTAPE_WORK.LT002_INSTRUMENT</v>
      </c>
      <c r="E341" s="34" t="str">
        <f>+UPPER('0. Instruções'!$D$36&amp;"."&amp;VLOOKUP(B341,'0. Instruções'!$C$27:$E$32,3,FALSE))</f>
        <v>BU_LOANTAPE_WORK.SIMUL_LT002_INSTRUMENT</v>
      </c>
      <c r="F341" s="34" t="s">
        <v>1381</v>
      </c>
      <c r="G341" s="34"/>
      <c r="H341" s="34"/>
      <c r="I341" s="34" t="str">
        <f>"(SELECT "&amp;VLOOKUP(B341,'0. Instruções'!$C$27:$G$32,4,FALSE)&amp;", "&amp;F341&amp;" FROM "&amp;D341&amp;" WHERE "&amp;'0. Instruções'!$D$42&amp;")X"</f>
        <v>(SELECT instrmnt_id, premium FROM BU_LOANTAPE_WORK.LT002_INSTRUMENT WHERE ref_date='${ref_date}' AND nome_perimetro='Individual Local' AND segmento='ESTR' AND ambito='SRB_MBDT' AND entidade='00100')X</v>
      </c>
      <c r="J341" s="34" t="str">
        <f>"(SELECT "&amp;VLOOKUP(B341,'0. Instruções'!$C$27:$G$32,4,FALSE)&amp;" AS "&amp;VLOOKUP(B341,'0. Instruções'!$C$27:$G$32,4,FALSE)&amp;"_SIMUL, "&amp;F341&amp;" AS "&amp;F341&amp;"_SIMUL FROM "&amp;E341&amp;" WHERE "&amp;'0. Instruções'!$D$43&amp;")Y"</f>
        <v>(SELECT instrmnt_id AS instrmnt_id_SIMUL, premium AS premium_SIMUL FROM BU_LOANTAPE_WORK.SIMUL_LT002_INSTRUMENT WHERE ref_date='${ref_date}' AND nome_perimetro='Individual Local' AND segmento='ESTR' AND ambito='PILAR3' AND entidade='00100')Y</v>
      </c>
      <c r="K341" s="35" t="str">
        <f>+UPPER("ON X."&amp;VLOOKUP(B341,'0. Instruções'!$C$27:$G$32,4,FALSE)&amp;"=Y."&amp;VLOOKUP(B341,'0. Instruções'!$C$27:$G$32,4,FALSE)&amp;"_SIMUL")</f>
        <v>ON X.INSTRMNT_ID=Y.INSTRMNT_ID_SIMUL</v>
      </c>
      <c r="L341" s="35" t="str">
        <f>+IF(C341="Coerência", +IF(LEFT(G341,5)="FLOAT","SELECT '"&amp;UPPER(B341)&amp;"' AS TABELA, '"&amp;UPPER(C341)&amp;"' AS TIPOLOGIA_TESTE,'"&amp;D341&amp;"' AS TABELA_LT,'"&amp;E341&amp;"' AS TABELA_SIMUL,'"&amp;F341&amp;"' AS CAMPO, "&amp;"'${ref_date}' AS REF_DATE, COUNT(*) AS NUM_REG, SUM(IF((ABS(COALESCE(CAST(X."&amp;F341&amp;" AS DECIMAL(18,6)),0)-COALESCE(CAST(Y."&amp;F341&amp;"_SIMUL AS DECIMAL(18,6)),0))&gt;0.000001) OR (X."&amp;F341&amp;" IS NULL AND Y."&amp;F341&amp;"_SIMUL IS NOT NULL ) OR (X."&amp;F341&amp;" IS NOT NULL AND Y."&amp;F341&amp;"_SIMUL IS NULL),1,0)) AS NUM_REG_DIF,'"&amp;MAX('ID1&amp;5'!K:K)+1&amp;"' AS ID_EXEC, CURRENT_TIMESTAMP() AS TIME_EXEC FROM "&amp;I341&amp;" INNER JOIN "&amp;J341&amp;" "&amp;K341,"SELECT '"&amp;UPPER(B341)&amp;"' AS TABELA, '"&amp;UPPER(C341)&amp;"' AS TIPOLOGIA_TESTE,'"&amp;D341&amp;"' AS TABELA_LT,'"&amp;E341&amp;"' AS TABELA_SIMUL,'"&amp;F341&amp;"' AS CAMPO, "&amp;"'${ref_date}' AS REF_DATE, COUNT(*) AS NUM_REG, SUM(IF(COALESCE(CAST(X."&amp;F341&amp;" AS STRING),'')&lt;&gt;COALESCE(CAST(Y."&amp;F341&amp;"_SIMUL AS STRING),'') OR (X."&amp;F341&amp;" IS NULL AND Y."&amp;F341&amp;"_SIMUL IS NOT NULL ) OR (X."&amp;F341&amp;" IS NOT NULL AND Y."&amp;F341&amp;"_SIMUL IS NULL),1,0)) AS NUM_REG_DIF,'"&amp;MAX('ID1&amp;5'!L:L)+1&amp;"' AS ID_EXEC, CURRENT_TIMESTAMP() AS TIME_EXEC FROM "&amp;I341&amp;" INNER JOIN "&amp;J341&amp;" "&amp;K341),
IF(C341="Validade",+IF(G341="Code List","SELECT '"&amp;UPPER(B341)&amp;"' AS TABELA, '"&amp;UPPER(C341)&amp;"' AS TIPOLOGIA_TESTE,'"&amp;D341&amp;"' AS TABELA_LT,'N/A' AS TABELA_SIMUL,'"&amp;F341&amp;"' AS CAMPO, "&amp;"'${ref_date}' AS REF_DATE, COUNT(*) AS NUM_REG, SUM(IF(TRIM(CAST(X."&amp;F341&amp;" AS STRING))='' OR TRIM(CAST(X."&amp;F341&amp;" AS STRING)) IS NULL OR CAST(X."&amp;F341&amp;" AS STRING) NOT "&amp;H341&amp;",1,0)) AS NUM_REG_DIF,'"&amp;MAX('ID1&amp;5'!K:K)+1&amp;"' AS ID_EXEC, CURRENT_TIMESTAMP() AS TIME_EXEC FROM "&amp;I341,"SELECT '"&amp;UPPER(B341)&amp;"' AS TABELA, '"&amp;UPPER(C341)&amp;"' AS TIPOLOGIA_TESTE,'"&amp;D341&amp;"' AS TABELA_LT,'N/A' AS TABELA_SIMUL,'"&amp;F341&amp;"' AS CAMPO, "&amp;"'${ref_date}' AS REF_DATE, COUNT(*) AS NUM_REG, SUM(IF(TRIM(CAST(X."&amp;F341&amp;" AS STRING))='' OR TRIM(CAST(X."&amp;F341&amp;" AS STRING)) IS NULL,1,0)) AS NUM_REG_DIF,'"&amp;MAX('ID1&amp;5'!K:K)+1&amp;"' AS ID_EXEC, CURRENT_TIMESTAMP() AS TIME_EXEC FROM "&amp;I341),
IF(C341="Caracteres Especiais",+"SELECT '"&amp;UPPER(B341)&amp;"' AS TABELA, '"&amp;UPPER(C341)&amp;"' AS TIPOLOGIA_TESTE,'"&amp;D341&amp;"' AS TABELA_LT,'N/A' AS TABELA_SIMUL,'"&amp;F341&amp;"' AS CAMPO, "&amp;"'${ref_date}' AS REF_DATE, COUNT(*) AS NUM_REG, SUM(IF(REGEXP_REPLACE(TRIM(CAST(X."&amp;F341&amp;" AS STRING)),'[^a-zA-Z0-9_\\s]','') &lt;&gt;TRIM(CAST(X."&amp;F341&amp;" AS STRING)),1,0)) AS NUM_REG_DIF,'"&amp;MAX('ID1&amp;5'!K:K)+1&amp;"' AS ID_EXEC, CURRENT_TIMESTAMP() AS TIME_EXEC FROM "&amp;I341,
IF(C341="Missings",+"SELECT '"&amp;UPPER(B341)&amp;"' AS TABELA, '"&amp;UPPER(C341)&amp;"' AS TIPOLOGIA_TESTE,'"&amp;D341&amp;"' AS TABELA_LT,'N/A' AS TABELA_SIMUL,'"&amp;F341&amp;"' AS CAMPO, "&amp;"'${ref_date}' AS REF_DATE, COUNT(*) AS NUM_REG, SUM(IF(TRIM(CAST(X."&amp;F341&amp;" AS STRING)) IN ('0000-00-00','0001-01-01','9999-12-31','MISS','00000','99999999999','99999999999.00','99999999999.000000'),1,0)) AS NUM_REG_DIF,'"&amp;MAX('ID1&amp;5'!K:K)+1&amp;"' AS ID_EXEC, CURRENT_TIMESTAMP() AS TIME_EXEC FROM "&amp;I341,
IF(C341="Not applicable",+"SELECT '"&amp;UPPER(B341)&amp;"' AS TABELA, '"&amp;UPPER(C341)&amp;"' AS TIPOLOGIA_TESTE,'"&amp;D341&amp;"' AS TABELA_LT,'N/A' AS TABELA_SIMUL,'"&amp;F341&amp;"' AS CAMPO, "&amp;"'${ref_date}' AS REF_DATE, COUNT(*) AS NUM_REG, SUM(IF(TRIM(CAST(X."&amp;F341&amp;" AS STRING)) IN ('N/A','11111111111','11111111111.00','11111111111.000000','1111-11-11'),1,0)) AS NUM_REG_DIF,'"&amp;MAX('ID1&amp;5'!K:K)+1&amp;"' AS ID_EXEC, CURRENT_TIMESTAMP() AS TIME_EXEC FROM "&amp;I341,
IF(C341="Valores extremos",+"SELECT '"&amp;UPPER(B341)&amp;"' AS TABELA, '"&amp;UPPER(C341)&amp;"' AS TIPOLOGIA_TESTE,'"&amp;D341&amp;"' AS TABELA_LT,'N/A' AS TABELA_SIMUL,'"&amp;F341&amp;"' AS CAMPO, "&amp;"'${ref_date}' AS REF_DATE, CAST(MIN("&amp;F341&amp;") AS STRING) AS VALOR_MIN, CAST(MAX("&amp;F341&amp;") AS STRING) AS VALOR_MAX,'"&amp;MAX('ID1&amp;5'!K:K)+1&amp;"' AS ID_EXEC, CURRENT_TIMESTAMP() AS TIME_EXEC FROM "&amp;MID(I341,1,LEN(I341)-2)&amp;" AND CAST("&amp;F341&amp;"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TABELA_SIMUL,'premium' AS CAMPO, '${ref_date}' AS REF_DATE, COUNT(*) AS NUM_REG, SUM(IF(COALESCE(CAST(X.premium AS STRING),'')&lt;&gt;COALESCE(CAST(Y.premium_SIMUL AS STRING),'') OR (X.premium IS NULL AND Y.premium_SIMUL IS NOT NULL ) OR (X.premium IS NOT NULL AND Y.premium_SIMUL IS NULL),1,0)) AS NUM_REG_DIF,'1' AS ID_EXEC, CURRENT_TIMESTAMP() AS TIME_EXEC FROM (SELECT instrmnt_id, premium FROM BU_LOANTAPE_WORK.LT002_INSTRUMENT WHERE ref_date='${ref_date}' AND nome_perimetro='Individual Local' AND segmento='ESTR' AND ambito='SRB_MBDT' AND entidade='00100')X INNER JOIN (SELECT instrmnt_id AS instrmnt_id_SIMUL, premium AS premium_SIMUL FROM BU_LOANTAPE_WORK.SIMUL_LT002_INSTRUMENT WHERE ref_date='${ref_date}' AND nome_perimetro='Individual Local' AND segmento='ESTR' AND ambito='PILAR3' AND entidade='00100')Y ON X.INSTRMNT_ID=Y.INSTRMNT_ID_SIMUL</v>
      </c>
      <c r="M341" s="36" t="str">
        <f t="shared" si="8"/>
        <v>UNION ALL SELECT 'INSTRUMENT' AS TABELA, 'COERÊNCIA' AS TIPOLOGIA_TESTE,'BU_LOANTAPE_WORK.LT002_INSTRUMENT' AS TABELA_LT,'BU_LOANTAPE_WORK.SIMUL_LT002_INSTRUMENT' AS TABELA_SIMUL,'premium' AS CAMPO, '${ref_date}' AS REF_DATE, COUNT(*) AS NUM_REG, SUM(IF(COALESCE(CAST(X.premium AS STRING),'')&lt;&gt;COALESCE(CAST(Y.premium_SIMUL AS STRING),'') OR (X.premium IS NULL AND Y.premium_SIMUL IS NOT NULL ) OR (X.premium IS NOT NULL AND Y.premium_SIMUL IS NULL),1,0)) AS NUM_REG_DIF,'1' AS ID_EXEC, CURRENT_TIMESTAMP() AS TIME_EXEC FROM (SELECT instrmnt_id, premium FROM BU_LOANTAPE_WORK.LT002_INSTRUMENT WHERE ref_date='${ref_date}' AND nome_perimetro='Individual Local' AND segmento='ESTR' AND ambito='SRB_MBDT' AND entidade='00100')X INNER JOIN (SELECT instrmnt_id AS instrmnt_id_SIMUL, premium AS premium_SIMUL FROM BU_LOANTAPE_WORK.SIMUL_LT002_INSTRUMENT WHERE ref_date='${ref_date}' AND nome_perimetro='Individual Local' AND segmento='ESTR' AND ambito='PILAR3' AND entidade='00100')Y ON X.INSTRMNT_ID=Y.INSTRMNT_ID_SIMUL</v>
      </c>
      <c r="N341" s="38"/>
    </row>
    <row r="342" spans="2:14">
      <c r="B342" s="34" t="s">
        <v>117</v>
      </c>
      <c r="C342" s="34" t="s">
        <v>5</v>
      </c>
      <c r="D342" s="34" t="str">
        <f>+UPPER('0. Instruções'!$D$35&amp;"."&amp;VLOOKUP(B342,'0. Instruções'!$C$27:$D$32,2,FALSE))</f>
        <v>BU_LOANTAPE_WORK.LT002_INSTRUMENT</v>
      </c>
      <c r="E342" s="34" t="str">
        <f>+UPPER('0. Instruções'!$D$36&amp;"."&amp;VLOOKUP(B342,'0. Instruções'!$C$27:$E$32,3,FALSE))</f>
        <v>BU_LOANTAPE_WORK.SIMUL_LT002_INSTRUMENT</v>
      </c>
      <c r="F342" s="34" t="s">
        <v>1382</v>
      </c>
      <c r="G342" s="34"/>
      <c r="H342" s="34"/>
      <c r="I342" s="34" t="str">
        <f>"(SELECT "&amp;VLOOKUP(B342,'0. Instruções'!$C$27:$G$32,4,FALSE)&amp;", "&amp;F342&amp;" FROM "&amp;D342&amp;" WHERE "&amp;'0. Instruções'!$D$42&amp;")X"</f>
        <v>(SELECT instrmnt_id, netting_agreement FROM BU_LOANTAPE_WORK.LT002_INSTRUMENT WHERE ref_date='${ref_date}' AND nome_perimetro='Individual Local' AND segmento='ESTR' AND ambito='SRB_MBDT' AND entidade='00100')X</v>
      </c>
      <c r="J342" s="34" t="str">
        <f>"(SELECT "&amp;VLOOKUP(B342,'0. Instruções'!$C$27:$G$32,4,FALSE)&amp;" AS "&amp;VLOOKUP(B342,'0. Instruções'!$C$27:$G$32,4,FALSE)&amp;"_SIMUL, "&amp;F342&amp;" AS "&amp;F342&amp;"_SIMUL FROM "&amp;E342&amp;" WHERE "&amp;'0. Instruções'!$D$43&amp;")Y"</f>
        <v>(SELECT instrmnt_id AS instrmnt_id_SIMUL, netting_agreement AS netting_agreement_SIMUL FROM BU_LOANTAPE_WORK.SIMUL_LT002_INSTRUMENT WHERE ref_date='${ref_date}' AND nome_perimetro='Individual Local' AND segmento='ESTR' AND ambito='PILAR3' AND entidade='00100')Y</v>
      </c>
      <c r="K342" s="35" t="str">
        <f>+UPPER("ON X."&amp;VLOOKUP(B342,'0. Instruções'!$C$27:$G$32,4,FALSE)&amp;"=Y."&amp;VLOOKUP(B342,'0. Instruções'!$C$27:$G$32,4,FALSE)&amp;"_SIMUL")</f>
        <v>ON X.INSTRMNT_ID=Y.INSTRMNT_ID_SIMUL</v>
      </c>
      <c r="L342" s="35" t="str">
        <f>+IF(C342="Coerência", +IF(LEFT(G342,5)="FLOAT","SELECT '"&amp;UPPER(B342)&amp;"' AS TABELA, '"&amp;UPPER(C342)&amp;"' AS TIPOLOGIA_TESTE,'"&amp;D342&amp;"' AS TABELA_LT,'"&amp;E342&amp;"' AS TABELA_SIMUL,'"&amp;F342&amp;"' AS CAMPO, "&amp;"'${ref_date}' AS REF_DATE, COUNT(*) AS NUM_REG, SUM(IF((ABS(COALESCE(CAST(X."&amp;F342&amp;" AS DECIMAL(18,6)),0)-COALESCE(CAST(Y."&amp;F342&amp;"_SIMUL AS DECIMAL(18,6)),0))&gt;0.000001) OR (X."&amp;F342&amp;" IS NULL AND Y."&amp;F342&amp;"_SIMUL IS NOT NULL ) OR (X."&amp;F342&amp;" IS NOT NULL AND Y."&amp;F342&amp;"_SIMUL IS NULL),1,0)) AS NUM_REG_DIF,'"&amp;MAX('ID1&amp;5'!K:K)+1&amp;"' AS ID_EXEC, CURRENT_TIMESTAMP() AS TIME_EXEC FROM "&amp;I342&amp;" INNER JOIN "&amp;J342&amp;" "&amp;K342,"SELECT '"&amp;UPPER(B342)&amp;"' AS TABELA, '"&amp;UPPER(C342)&amp;"' AS TIPOLOGIA_TESTE,'"&amp;D342&amp;"' AS TABELA_LT,'"&amp;E342&amp;"' AS TABELA_SIMUL,'"&amp;F342&amp;"' AS CAMPO, "&amp;"'${ref_date}' AS REF_DATE, COUNT(*) AS NUM_REG, SUM(IF(COALESCE(CAST(X."&amp;F342&amp;" AS STRING),'')&lt;&gt;COALESCE(CAST(Y."&amp;F342&amp;"_SIMUL AS STRING),'') OR (X."&amp;F342&amp;" IS NULL AND Y."&amp;F342&amp;"_SIMUL IS NOT NULL ) OR (X."&amp;F342&amp;" IS NOT NULL AND Y."&amp;F342&amp;"_SIMUL IS NULL),1,0)) AS NUM_REG_DIF,'"&amp;MAX('ID1&amp;5'!L:L)+1&amp;"' AS ID_EXEC, CURRENT_TIMESTAMP() AS TIME_EXEC FROM "&amp;I342&amp;" INNER JOIN "&amp;J342&amp;" "&amp;K342),
IF(C342="Validade",+IF(G342="Code List","SELECT '"&amp;UPPER(B342)&amp;"' AS TABELA, '"&amp;UPPER(C342)&amp;"' AS TIPOLOGIA_TESTE,'"&amp;D342&amp;"' AS TABELA_LT,'N/A' AS TABELA_SIMUL,'"&amp;F342&amp;"' AS CAMPO, "&amp;"'${ref_date}' AS REF_DATE, COUNT(*) AS NUM_REG, SUM(IF(TRIM(CAST(X."&amp;F342&amp;" AS STRING))='' OR TRIM(CAST(X."&amp;F342&amp;" AS STRING)) IS NULL OR CAST(X."&amp;F342&amp;" AS STRING) NOT "&amp;H342&amp;",1,0)) AS NUM_REG_DIF,'"&amp;MAX('ID1&amp;5'!K:K)+1&amp;"' AS ID_EXEC, CURRENT_TIMESTAMP() AS TIME_EXEC FROM "&amp;I342,"SELECT '"&amp;UPPER(B342)&amp;"' AS TABELA, '"&amp;UPPER(C342)&amp;"' AS TIPOLOGIA_TESTE,'"&amp;D342&amp;"' AS TABELA_LT,'N/A' AS TABELA_SIMUL,'"&amp;F342&amp;"' AS CAMPO, "&amp;"'${ref_date}' AS REF_DATE, COUNT(*) AS NUM_REG, SUM(IF(TRIM(CAST(X."&amp;F342&amp;" AS STRING))='' OR TRIM(CAST(X."&amp;F342&amp;" AS STRING)) IS NULL,1,0)) AS NUM_REG_DIF,'"&amp;MAX('ID1&amp;5'!K:K)+1&amp;"' AS ID_EXEC, CURRENT_TIMESTAMP() AS TIME_EXEC FROM "&amp;I342),
IF(C342="Caracteres Especiais",+"SELECT '"&amp;UPPER(B342)&amp;"' AS TABELA, '"&amp;UPPER(C342)&amp;"' AS TIPOLOGIA_TESTE,'"&amp;D342&amp;"' AS TABELA_LT,'N/A' AS TABELA_SIMUL,'"&amp;F342&amp;"' AS CAMPO, "&amp;"'${ref_date}' AS REF_DATE, COUNT(*) AS NUM_REG, SUM(IF(REGEXP_REPLACE(TRIM(CAST(X."&amp;F342&amp;" AS STRING)),'[^a-zA-Z0-9_\\s]','') &lt;&gt;TRIM(CAST(X."&amp;F342&amp;" AS STRING)),1,0)) AS NUM_REG_DIF,'"&amp;MAX('ID1&amp;5'!K:K)+1&amp;"' AS ID_EXEC, CURRENT_TIMESTAMP() AS TIME_EXEC FROM "&amp;I342,
IF(C342="Missings",+"SELECT '"&amp;UPPER(B342)&amp;"' AS TABELA, '"&amp;UPPER(C342)&amp;"' AS TIPOLOGIA_TESTE,'"&amp;D342&amp;"' AS TABELA_LT,'N/A' AS TABELA_SIMUL,'"&amp;F342&amp;"' AS CAMPO, "&amp;"'${ref_date}' AS REF_DATE, COUNT(*) AS NUM_REG, SUM(IF(TRIM(CAST(X."&amp;F342&amp;" AS STRING)) IN ('0000-00-00','0001-01-01','9999-12-31','MISS','00000','99999999999','99999999999.00','99999999999.000000'),1,0)) AS NUM_REG_DIF,'"&amp;MAX('ID1&amp;5'!K:K)+1&amp;"' AS ID_EXEC, CURRENT_TIMESTAMP() AS TIME_EXEC FROM "&amp;I342,
IF(C342="Not applicable",+"SELECT '"&amp;UPPER(B342)&amp;"' AS TABELA, '"&amp;UPPER(C342)&amp;"' AS TIPOLOGIA_TESTE,'"&amp;D342&amp;"' AS TABELA_LT,'N/A' AS TABELA_SIMUL,'"&amp;F342&amp;"' AS CAMPO, "&amp;"'${ref_date}' AS REF_DATE, COUNT(*) AS NUM_REG, SUM(IF(TRIM(CAST(X."&amp;F342&amp;" AS STRING)) IN ('N/A','11111111111','11111111111.00','11111111111.000000','1111-11-11'),1,0)) AS NUM_REG_DIF,'"&amp;MAX('ID1&amp;5'!K:K)+1&amp;"' AS ID_EXEC, CURRENT_TIMESTAMP() AS TIME_EXEC FROM "&amp;I342,
IF(C342="Valores extremos",+"SELECT '"&amp;UPPER(B342)&amp;"' AS TABELA, '"&amp;UPPER(C342)&amp;"' AS TIPOLOGIA_TESTE,'"&amp;D342&amp;"' AS TABELA_LT,'N/A' AS TABELA_SIMUL,'"&amp;F342&amp;"' AS CAMPO, "&amp;"'${ref_date}' AS REF_DATE, CAST(MIN("&amp;F342&amp;") AS STRING) AS VALOR_MIN, CAST(MAX("&amp;F342&amp;") AS STRING) AS VALOR_MAX,'"&amp;MAX('ID1&amp;5'!K:K)+1&amp;"' AS ID_EXEC, CURRENT_TIMESTAMP() AS TIME_EXEC FROM "&amp;MID(I342,1,LEN(I342)-2)&amp;" AND CAST("&amp;F342&amp;"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TABELA_SIMUL,'netting_agreement' AS CAMPO, '${ref_date}' AS REF_DATE, COUNT(*) AS NUM_REG, SUM(IF(COALESCE(CAST(X.netting_agreement AS STRING),'')&lt;&gt;COALESCE(CAST(Y.netting_agreement_SIMUL AS STRING),'') OR (X.netting_agreement IS NULL AND Y.netting_agreement_SIMUL IS NOT NULL ) OR (X.netting_agreement IS NOT NULL AND Y.netting_agreement_SIMUL IS NULL),1,0)) AS NUM_REG_DIF,'1' AS ID_EXEC, CURRENT_TIMESTAMP() AS TIME_EXEC FROM (SELECT instrmnt_id, netting_agreement FROM BU_LOANTAPE_WORK.LT002_INSTRUMENT WHERE ref_date='${ref_date}' AND nome_perimetro='Individual Local' AND segmento='ESTR' AND ambito='SRB_MBDT' AND entidade='00100')X INNER JOIN (SELECT instrmnt_id AS instrmnt_id_SIMUL, netting_agreement AS netting_agreement_SIMUL FROM BU_LOANTAPE_WORK.SIMUL_LT002_INSTRUMENT WHERE ref_date='${ref_date}' AND nome_perimetro='Individual Local' AND segmento='ESTR' AND ambito='PILAR3' AND entidade='00100')Y ON X.INSTRMNT_ID=Y.INSTRMNT_ID_SIMUL</v>
      </c>
      <c r="M342" s="36" t="str">
        <f t="shared" si="8"/>
        <v>UNION ALL SELECT 'INSTRUMENT' AS TABELA, 'COERÊNCIA' AS TIPOLOGIA_TESTE,'BU_LOANTAPE_WORK.LT002_INSTRUMENT' AS TABELA_LT,'BU_LOANTAPE_WORK.SIMUL_LT002_INSTRUMENT' AS TABELA_SIMUL,'netting_agreement' AS CAMPO, '${ref_date}' AS REF_DATE, COUNT(*) AS NUM_REG, SUM(IF(COALESCE(CAST(X.netting_agreement AS STRING),'')&lt;&gt;COALESCE(CAST(Y.netting_agreement_SIMUL AS STRING),'') OR (X.netting_agreement IS NULL AND Y.netting_agreement_SIMUL IS NOT NULL ) OR (X.netting_agreement IS NOT NULL AND Y.netting_agreement_SIMUL IS NULL),1,0)) AS NUM_REG_DIF,'1' AS ID_EXEC, CURRENT_TIMESTAMP() AS TIME_EXEC FROM (SELECT instrmnt_id, netting_agreement FROM BU_LOANTAPE_WORK.LT002_INSTRUMENT WHERE ref_date='${ref_date}' AND nome_perimetro='Individual Local' AND segmento='ESTR' AND ambito='SRB_MBDT' AND entidade='00100')X INNER JOIN (SELECT instrmnt_id AS instrmnt_id_SIMUL, netting_agreement AS netting_agreement_SIMUL FROM BU_LOANTAPE_WORK.SIMUL_LT002_INSTRUMENT WHERE ref_date='${ref_date}' AND nome_perimetro='Individual Local' AND segmento='ESTR' AND ambito='PILAR3' AND entidade='00100')Y ON X.INSTRMNT_ID=Y.INSTRMNT_ID_SIMUL</v>
      </c>
      <c r="N342" s="38"/>
    </row>
    <row r="343" spans="2:14">
      <c r="B343" s="34" t="s">
        <v>117</v>
      </c>
      <c r="C343" s="34" t="s">
        <v>5</v>
      </c>
      <c r="D343" s="34" t="str">
        <f>+UPPER('0. Instruções'!$D$35&amp;"."&amp;VLOOKUP(B343,'0. Instruções'!$C$27:$D$32,2,FALSE))</f>
        <v>BU_LOANTAPE_WORK.LT002_INSTRUMENT</v>
      </c>
      <c r="E343" s="34" t="str">
        <f>+UPPER('0. Instruções'!$D$36&amp;"."&amp;VLOOKUP(B343,'0. Instruções'!$C$27:$E$32,3,FALSE))</f>
        <v>BU_LOANTAPE_WORK.SIMUL_LT002_INSTRUMENT</v>
      </c>
      <c r="F343" s="34" t="s">
        <v>1383</v>
      </c>
      <c r="G343" s="34"/>
      <c r="H343" s="34"/>
      <c r="I343" s="34" t="str">
        <f>"(SELECT "&amp;VLOOKUP(B343,'0. Instruções'!$C$27:$G$32,4,FALSE)&amp;", "&amp;F343&amp;" FROM "&amp;D343&amp;" WHERE "&amp;'0. Instruções'!$D$42&amp;")X"</f>
        <v>(SELECT instrmnt_id, hierarchy FROM BU_LOANTAPE_WORK.LT002_INSTRUMENT WHERE ref_date='${ref_date}' AND nome_perimetro='Individual Local' AND segmento='ESTR' AND ambito='SRB_MBDT' AND entidade='00100')X</v>
      </c>
      <c r="J343" s="34" t="str">
        <f>"(SELECT "&amp;VLOOKUP(B343,'0. Instruções'!$C$27:$G$32,4,FALSE)&amp;" AS "&amp;VLOOKUP(B343,'0. Instruções'!$C$27:$G$32,4,FALSE)&amp;"_SIMUL, "&amp;F343&amp;" AS "&amp;F343&amp;"_SIMUL FROM "&amp;E343&amp;" WHERE "&amp;'0. Instruções'!$D$43&amp;")Y"</f>
        <v>(SELECT instrmnt_id AS instrmnt_id_SIMUL, hierarchy AS hierarchy_SIMUL FROM BU_LOANTAPE_WORK.SIMUL_LT002_INSTRUMENT WHERE ref_date='${ref_date}' AND nome_perimetro='Individual Local' AND segmento='ESTR' AND ambito='PILAR3' AND entidade='00100')Y</v>
      </c>
      <c r="K343" s="35" t="str">
        <f>+UPPER("ON X."&amp;VLOOKUP(B343,'0. Instruções'!$C$27:$G$32,4,FALSE)&amp;"=Y."&amp;VLOOKUP(B343,'0. Instruções'!$C$27:$G$32,4,FALSE)&amp;"_SIMUL")</f>
        <v>ON X.INSTRMNT_ID=Y.INSTRMNT_ID_SIMUL</v>
      </c>
      <c r="L343" s="35" t="str">
        <f>+IF(C343="Coerência", +IF(LEFT(G343,5)="FLOAT","SELECT '"&amp;UPPER(B343)&amp;"' AS TABELA, '"&amp;UPPER(C343)&amp;"' AS TIPOLOGIA_TESTE,'"&amp;D343&amp;"' AS TABELA_LT,'"&amp;E343&amp;"' AS TABELA_SIMUL,'"&amp;F343&amp;"' AS CAMPO, "&amp;"'${ref_date}' AS REF_DATE, COUNT(*) AS NUM_REG, SUM(IF((ABS(COALESCE(CAST(X."&amp;F343&amp;" AS DECIMAL(18,6)),0)-COALESCE(CAST(Y."&amp;F343&amp;"_SIMUL AS DECIMAL(18,6)),0))&gt;0.000001) OR (X."&amp;F343&amp;" IS NULL AND Y."&amp;F343&amp;"_SIMUL IS NOT NULL ) OR (X."&amp;F343&amp;" IS NOT NULL AND Y."&amp;F343&amp;"_SIMUL IS NULL),1,0)) AS NUM_REG_DIF,'"&amp;MAX('ID1&amp;5'!K:K)+1&amp;"' AS ID_EXEC, CURRENT_TIMESTAMP() AS TIME_EXEC FROM "&amp;I343&amp;" INNER JOIN "&amp;J343&amp;" "&amp;K343,"SELECT '"&amp;UPPER(B343)&amp;"' AS TABELA, '"&amp;UPPER(C343)&amp;"' AS TIPOLOGIA_TESTE,'"&amp;D343&amp;"' AS TABELA_LT,'"&amp;E343&amp;"' AS TABELA_SIMUL,'"&amp;F343&amp;"' AS CAMPO, "&amp;"'${ref_date}' AS REF_DATE, COUNT(*) AS NUM_REG, SUM(IF(COALESCE(CAST(X."&amp;F343&amp;" AS STRING),'')&lt;&gt;COALESCE(CAST(Y."&amp;F343&amp;"_SIMUL AS STRING),'') OR (X."&amp;F343&amp;" IS NULL AND Y."&amp;F343&amp;"_SIMUL IS NOT NULL ) OR (X."&amp;F343&amp;" IS NOT NULL AND Y."&amp;F343&amp;"_SIMUL IS NULL),1,0)) AS NUM_REG_DIF,'"&amp;MAX('ID1&amp;5'!L:L)+1&amp;"' AS ID_EXEC, CURRENT_TIMESTAMP() AS TIME_EXEC FROM "&amp;I343&amp;" INNER JOIN "&amp;J343&amp;" "&amp;K343),
IF(C343="Validade",+IF(G343="Code List","SELECT '"&amp;UPPER(B343)&amp;"' AS TABELA, '"&amp;UPPER(C343)&amp;"' AS TIPOLOGIA_TESTE,'"&amp;D343&amp;"' AS TABELA_LT,'N/A' AS TABELA_SIMUL,'"&amp;F343&amp;"' AS CAMPO, "&amp;"'${ref_date}' AS REF_DATE, COUNT(*) AS NUM_REG, SUM(IF(TRIM(CAST(X."&amp;F343&amp;" AS STRING))='' OR TRIM(CAST(X."&amp;F343&amp;" AS STRING)) IS NULL OR CAST(X."&amp;F343&amp;" AS STRING) NOT "&amp;H343&amp;",1,0)) AS NUM_REG_DIF,'"&amp;MAX('ID1&amp;5'!K:K)+1&amp;"' AS ID_EXEC, CURRENT_TIMESTAMP() AS TIME_EXEC FROM "&amp;I343,"SELECT '"&amp;UPPER(B343)&amp;"' AS TABELA, '"&amp;UPPER(C343)&amp;"' AS TIPOLOGIA_TESTE,'"&amp;D343&amp;"' AS TABELA_LT,'N/A' AS TABELA_SIMUL,'"&amp;F343&amp;"' AS CAMPO, "&amp;"'${ref_date}' AS REF_DATE, COUNT(*) AS NUM_REG, SUM(IF(TRIM(CAST(X."&amp;F343&amp;" AS STRING))='' OR TRIM(CAST(X."&amp;F343&amp;" AS STRING)) IS NULL,1,0)) AS NUM_REG_DIF,'"&amp;MAX('ID1&amp;5'!K:K)+1&amp;"' AS ID_EXEC, CURRENT_TIMESTAMP() AS TIME_EXEC FROM "&amp;I343),
IF(C343="Caracteres Especiais",+"SELECT '"&amp;UPPER(B343)&amp;"' AS TABELA, '"&amp;UPPER(C343)&amp;"' AS TIPOLOGIA_TESTE,'"&amp;D343&amp;"' AS TABELA_LT,'N/A' AS TABELA_SIMUL,'"&amp;F343&amp;"' AS CAMPO, "&amp;"'${ref_date}' AS REF_DATE, COUNT(*) AS NUM_REG, SUM(IF(REGEXP_REPLACE(TRIM(CAST(X."&amp;F343&amp;" AS STRING)),'[^a-zA-Z0-9_\\s]','') &lt;&gt;TRIM(CAST(X."&amp;F343&amp;" AS STRING)),1,0)) AS NUM_REG_DIF,'"&amp;MAX('ID1&amp;5'!K:K)+1&amp;"' AS ID_EXEC, CURRENT_TIMESTAMP() AS TIME_EXEC FROM "&amp;I343,
IF(C343="Missings",+"SELECT '"&amp;UPPER(B343)&amp;"' AS TABELA, '"&amp;UPPER(C343)&amp;"' AS TIPOLOGIA_TESTE,'"&amp;D343&amp;"' AS TABELA_LT,'N/A' AS TABELA_SIMUL,'"&amp;F343&amp;"' AS CAMPO, "&amp;"'${ref_date}' AS REF_DATE, COUNT(*) AS NUM_REG, SUM(IF(TRIM(CAST(X."&amp;F343&amp;" AS STRING)) IN ('0000-00-00','0001-01-01','9999-12-31','MISS','00000','99999999999','99999999999.00','99999999999.000000'),1,0)) AS NUM_REG_DIF,'"&amp;MAX('ID1&amp;5'!K:K)+1&amp;"' AS ID_EXEC, CURRENT_TIMESTAMP() AS TIME_EXEC FROM "&amp;I343,
IF(C343="Not applicable",+"SELECT '"&amp;UPPER(B343)&amp;"' AS TABELA, '"&amp;UPPER(C343)&amp;"' AS TIPOLOGIA_TESTE,'"&amp;D343&amp;"' AS TABELA_LT,'N/A' AS TABELA_SIMUL,'"&amp;F343&amp;"' AS CAMPO, "&amp;"'${ref_date}' AS REF_DATE, COUNT(*) AS NUM_REG, SUM(IF(TRIM(CAST(X."&amp;F343&amp;" AS STRING)) IN ('N/A','11111111111','11111111111.00','11111111111.000000','1111-11-11'),1,0)) AS NUM_REG_DIF,'"&amp;MAX('ID1&amp;5'!K:K)+1&amp;"' AS ID_EXEC, CURRENT_TIMESTAMP() AS TIME_EXEC FROM "&amp;I343,
IF(C343="Valores extremos",+"SELECT '"&amp;UPPER(B343)&amp;"' AS TABELA, '"&amp;UPPER(C343)&amp;"' AS TIPOLOGIA_TESTE,'"&amp;D343&amp;"' AS TABELA_LT,'N/A' AS TABELA_SIMUL,'"&amp;F343&amp;"' AS CAMPO, "&amp;"'${ref_date}' AS REF_DATE, CAST(MIN("&amp;F343&amp;") AS STRING) AS VALOR_MIN, CAST(MAX("&amp;F343&amp;") AS STRING) AS VALOR_MAX,'"&amp;MAX('ID1&amp;5'!K:K)+1&amp;"' AS ID_EXEC, CURRENT_TIMESTAMP() AS TIME_EXEC FROM "&amp;MID(I343,1,LEN(I343)-2)&amp;" AND CAST("&amp;F343&amp;"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TABELA_SIMUL,'hierarchy' AS CAMPO, '${ref_date}' AS REF_DATE, COUNT(*) AS NUM_REG, SUM(IF(COALESCE(CAST(X.hierarchy AS STRING),'')&lt;&gt;COALESCE(CAST(Y.hierarchy_SIMUL AS STRING),'') OR (X.hierarchy IS NULL AND Y.hierarchy_SIMUL IS NOT NULL ) OR (X.hierarchy IS NOT NULL AND Y.hierarchy_SIMUL IS NULL),1,0)) AS NUM_REG_DIF,'1' AS ID_EXEC, CURRENT_TIMESTAMP() AS TIME_EXEC FROM (SELECT instrmnt_id, hierarchy FROM BU_LOANTAPE_WORK.LT002_INSTRUMENT WHERE ref_date='${ref_date}' AND nome_perimetro='Individual Local' AND segmento='ESTR' AND ambito='SRB_MBDT' AND entidade='00100')X INNER JOIN (SELECT instrmnt_id AS instrmnt_id_SIMUL, hierarchy AS hierarchy_SIMUL FROM BU_LOANTAPE_WORK.SIMUL_LT002_INSTRUMENT WHERE ref_date='${ref_date}' AND nome_perimetro='Individual Local' AND segmento='ESTR' AND ambito='PILAR3' AND entidade='00100')Y ON X.INSTRMNT_ID=Y.INSTRMNT_ID_SIMUL</v>
      </c>
      <c r="M343" s="36" t="str">
        <f t="shared" si="8"/>
        <v>UNION ALL SELECT 'INSTRUMENT' AS TABELA, 'COERÊNCIA' AS TIPOLOGIA_TESTE,'BU_LOANTAPE_WORK.LT002_INSTRUMENT' AS TABELA_LT,'BU_LOANTAPE_WORK.SIMUL_LT002_INSTRUMENT' AS TABELA_SIMUL,'hierarchy' AS CAMPO, '${ref_date}' AS REF_DATE, COUNT(*) AS NUM_REG, SUM(IF(COALESCE(CAST(X.hierarchy AS STRING),'')&lt;&gt;COALESCE(CAST(Y.hierarchy_SIMUL AS STRING),'') OR (X.hierarchy IS NULL AND Y.hierarchy_SIMUL IS NOT NULL ) OR (X.hierarchy IS NOT NULL AND Y.hierarchy_SIMUL IS NULL),1,0)) AS NUM_REG_DIF,'1' AS ID_EXEC, CURRENT_TIMESTAMP() AS TIME_EXEC FROM (SELECT instrmnt_id, hierarchy FROM BU_LOANTAPE_WORK.LT002_INSTRUMENT WHERE ref_date='${ref_date}' AND nome_perimetro='Individual Local' AND segmento='ESTR' AND ambito='SRB_MBDT' AND entidade='00100')X INNER JOIN (SELECT instrmnt_id AS instrmnt_id_SIMUL, hierarchy AS hierarchy_SIMUL FROM BU_LOANTAPE_WORK.SIMUL_LT002_INSTRUMENT WHERE ref_date='${ref_date}' AND nome_perimetro='Individual Local' AND segmento='ESTR' AND ambito='PILAR3' AND entidade='00100')Y ON X.INSTRMNT_ID=Y.INSTRMNT_ID_SIMUL</v>
      </c>
      <c r="N343" s="38"/>
    </row>
    <row r="344" spans="2:14">
      <c r="B344" s="34" t="s">
        <v>117</v>
      </c>
      <c r="C344" s="34" t="s">
        <v>5</v>
      </c>
      <c r="D344" s="34" t="str">
        <f>+UPPER('0. Instruções'!$D$35&amp;"."&amp;VLOOKUP(B344,'0. Instruções'!$C$27:$D$32,2,FALSE))</f>
        <v>BU_LOANTAPE_WORK.LT002_INSTRUMENT</v>
      </c>
      <c r="E344" s="34" t="str">
        <f>+UPPER('0. Instruções'!$D$36&amp;"."&amp;VLOOKUP(B344,'0. Instruções'!$C$27:$E$32,3,FALSE))</f>
        <v>BU_LOANTAPE_WORK.SIMUL_LT002_INSTRUMENT</v>
      </c>
      <c r="F344" s="34" t="s">
        <v>1384</v>
      </c>
      <c r="G344" s="34"/>
      <c r="H344" s="34"/>
      <c r="I344" s="34" t="str">
        <f>"(SELECT "&amp;VLOOKUP(B344,'0. Instruções'!$C$27:$G$32,4,FALSE)&amp;", "&amp;F344&amp;" FROM "&amp;D344&amp;" WHERE "&amp;'0. Instruções'!$D$42&amp;")X"</f>
        <v>(SELECT instrmnt_id, security_rating FROM BU_LOANTAPE_WORK.LT002_INSTRUMENT WHERE ref_date='${ref_date}' AND nome_perimetro='Individual Local' AND segmento='ESTR' AND ambito='SRB_MBDT' AND entidade='00100')X</v>
      </c>
      <c r="J344" s="34" t="str">
        <f>"(SELECT "&amp;VLOOKUP(B344,'0. Instruções'!$C$27:$G$32,4,FALSE)&amp;" AS "&amp;VLOOKUP(B344,'0. Instruções'!$C$27:$G$32,4,FALSE)&amp;"_SIMUL, "&amp;F344&amp;" AS "&amp;F344&amp;"_SIMUL FROM "&amp;E344&amp;" WHERE "&amp;'0. Instruções'!$D$43&amp;")Y"</f>
        <v>(SELECT instrmnt_id AS instrmnt_id_SIMUL, security_rating AS security_rating_SIMUL FROM BU_LOANTAPE_WORK.SIMUL_LT002_INSTRUMENT WHERE ref_date='${ref_date}' AND nome_perimetro='Individual Local' AND segmento='ESTR' AND ambito='PILAR3' AND entidade='00100')Y</v>
      </c>
      <c r="K344" s="35" t="str">
        <f>+UPPER("ON X."&amp;VLOOKUP(B344,'0. Instruções'!$C$27:$G$32,4,FALSE)&amp;"=Y."&amp;VLOOKUP(B344,'0. Instruções'!$C$27:$G$32,4,FALSE)&amp;"_SIMUL")</f>
        <v>ON X.INSTRMNT_ID=Y.INSTRMNT_ID_SIMUL</v>
      </c>
      <c r="L344" s="35" t="str">
        <f>+IF(C344="Coerência", +IF(LEFT(G344,5)="FLOAT","SELECT '"&amp;UPPER(B344)&amp;"' AS TABELA, '"&amp;UPPER(C344)&amp;"' AS TIPOLOGIA_TESTE,'"&amp;D344&amp;"' AS TABELA_LT,'"&amp;E344&amp;"' AS TABELA_SIMUL,'"&amp;F344&amp;"' AS CAMPO, "&amp;"'${ref_date}' AS REF_DATE, COUNT(*) AS NUM_REG, SUM(IF((ABS(COALESCE(CAST(X."&amp;F344&amp;" AS DECIMAL(18,6)),0)-COALESCE(CAST(Y."&amp;F344&amp;"_SIMUL AS DECIMAL(18,6)),0))&gt;0.000001) OR (X."&amp;F344&amp;" IS NULL AND Y."&amp;F344&amp;"_SIMUL IS NOT NULL ) OR (X."&amp;F344&amp;" IS NOT NULL AND Y."&amp;F344&amp;"_SIMUL IS NULL),1,0)) AS NUM_REG_DIF,'"&amp;MAX('ID1&amp;5'!K:K)+1&amp;"' AS ID_EXEC, CURRENT_TIMESTAMP() AS TIME_EXEC FROM "&amp;I344&amp;" INNER JOIN "&amp;J344&amp;" "&amp;K344,"SELECT '"&amp;UPPER(B344)&amp;"' AS TABELA, '"&amp;UPPER(C344)&amp;"' AS TIPOLOGIA_TESTE,'"&amp;D344&amp;"' AS TABELA_LT,'"&amp;E344&amp;"' AS TABELA_SIMUL,'"&amp;F344&amp;"' AS CAMPO, "&amp;"'${ref_date}' AS REF_DATE, COUNT(*) AS NUM_REG, SUM(IF(COALESCE(CAST(X."&amp;F344&amp;" AS STRING),'')&lt;&gt;COALESCE(CAST(Y."&amp;F344&amp;"_SIMUL AS STRING),'') OR (X."&amp;F344&amp;" IS NULL AND Y."&amp;F344&amp;"_SIMUL IS NOT NULL ) OR (X."&amp;F344&amp;" IS NOT NULL AND Y."&amp;F344&amp;"_SIMUL IS NULL),1,0)) AS NUM_REG_DIF,'"&amp;MAX('ID1&amp;5'!L:L)+1&amp;"' AS ID_EXEC, CURRENT_TIMESTAMP() AS TIME_EXEC FROM "&amp;I344&amp;" INNER JOIN "&amp;J344&amp;" "&amp;K344),
IF(C344="Validade",+IF(G344="Code List","SELECT '"&amp;UPPER(B344)&amp;"' AS TABELA, '"&amp;UPPER(C344)&amp;"' AS TIPOLOGIA_TESTE,'"&amp;D344&amp;"' AS TABELA_LT,'N/A' AS TABELA_SIMUL,'"&amp;F344&amp;"' AS CAMPO, "&amp;"'${ref_date}' AS REF_DATE, COUNT(*) AS NUM_REG, SUM(IF(TRIM(CAST(X."&amp;F344&amp;" AS STRING))='' OR TRIM(CAST(X."&amp;F344&amp;" AS STRING)) IS NULL OR CAST(X."&amp;F344&amp;" AS STRING) NOT "&amp;H344&amp;",1,0)) AS NUM_REG_DIF,'"&amp;MAX('ID1&amp;5'!K:K)+1&amp;"' AS ID_EXEC, CURRENT_TIMESTAMP() AS TIME_EXEC FROM "&amp;I344,"SELECT '"&amp;UPPER(B344)&amp;"' AS TABELA, '"&amp;UPPER(C344)&amp;"' AS TIPOLOGIA_TESTE,'"&amp;D344&amp;"' AS TABELA_LT,'N/A' AS TABELA_SIMUL,'"&amp;F344&amp;"' AS CAMPO, "&amp;"'${ref_date}' AS REF_DATE, COUNT(*) AS NUM_REG, SUM(IF(TRIM(CAST(X."&amp;F344&amp;" AS STRING))='' OR TRIM(CAST(X."&amp;F344&amp;" AS STRING)) IS NULL,1,0)) AS NUM_REG_DIF,'"&amp;MAX('ID1&amp;5'!K:K)+1&amp;"' AS ID_EXEC, CURRENT_TIMESTAMP() AS TIME_EXEC FROM "&amp;I344),
IF(C344="Caracteres Especiais",+"SELECT '"&amp;UPPER(B344)&amp;"' AS TABELA, '"&amp;UPPER(C344)&amp;"' AS TIPOLOGIA_TESTE,'"&amp;D344&amp;"' AS TABELA_LT,'N/A' AS TABELA_SIMUL,'"&amp;F344&amp;"' AS CAMPO, "&amp;"'${ref_date}' AS REF_DATE, COUNT(*) AS NUM_REG, SUM(IF(REGEXP_REPLACE(TRIM(CAST(X."&amp;F344&amp;" AS STRING)),'[^a-zA-Z0-9_\\s]','') &lt;&gt;TRIM(CAST(X."&amp;F344&amp;" AS STRING)),1,0)) AS NUM_REG_DIF,'"&amp;MAX('ID1&amp;5'!K:K)+1&amp;"' AS ID_EXEC, CURRENT_TIMESTAMP() AS TIME_EXEC FROM "&amp;I344,
IF(C344="Missings",+"SELECT '"&amp;UPPER(B344)&amp;"' AS TABELA, '"&amp;UPPER(C344)&amp;"' AS TIPOLOGIA_TESTE,'"&amp;D344&amp;"' AS TABELA_LT,'N/A' AS TABELA_SIMUL,'"&amp;F344&amp;"' AS CAMPO, "&amp;"'${ref_date}' AS REF_DATE, COUNT(*) AS NUM_REG, SUM(IF(TRIM(CAST(X."&amp;F344&amp;" AS STRING)) IN ('0000-00-00','0001-01-01','9999-12-31','MISS','00000','99999999999','99999999999.00','99999999999.000000'),1,0)) AS NUM_REG_DIF,'"&amp;MAX('ID1&amp;5'!K:K)+1&amp;"' AS ID_EXEC, CURRENT_TIMESTAMP() AS TIME_EXEC FROM "&amp;I344,
IF(C344="Not applicable",+"SELECT '"&amp;UPPER(B344)&amp;"' AS TABELA, '"&amp;UPPER(C344)&amp;"' AS TIPOLOGIA_TESTE,'"&amp;D344&amp;"' AS TABELA_LT,'N/A' AS TABELA_SIMUL,'"&amp;F344&amp;"' AS CAMPO, "&amp;"'${ref_date}' AS REF_DATE, COUNT(*) AS NUM_REG, SUM(IF(TRIM(CAST(X."&amp;F344&amp;" AS STRING)) IN ('N/A','11111111111','11111111111.00','11111111111.000000','1111-11-11'),1,0)) AS NUM_REG_DIF,'"&amp;MAX('ID1&amp;5'!K:K)+1&amp;"' AS ID_EXEC, CURRENT_TIMESTAMP() AS TIME_EXEC FROM "&amp;I344,
IF(C344="Valores extremos",+"SELECT '"&amp;UPPER(B344)&amp;"' AS TABELA, '"&amp;UPPER(C344)&amp;"' AS TIPOLOGIA_TESTE,'"&amp;D344&amp;"' AS TABELA_LT,'N/A' AS TABELA_SIMUL,'"&amp;F344&amp;"' AS CAMPO, "&amp;"'${ref_date}' AS REF_DATE, CAST(MIN("&amp;F344&amp;") AS STRING) AS VALOR_MIN, CAST(MAX("&amp;F344&amp;") AS STRING) AS VALOR_MAX,'"&amp;MAX('ID1&amp;5'!K:K)+1&amp;"' AS ID_EXEC, CURRENT_TIMESTAMP() AS TIME_EXEC FROM "&amp;MID(I344,1,LEN(I344)-2)&amp;" AND CAST("&amp;F344&amp;"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TABELA_SIMUL,'security_rating' AS CAMPO, '${ref_date}' AS REF_DATE, COUNT(*) AS NUM_REG, SUM(IF(COALESCE(CAST(X.security_rating AS STRING),'')&lt;&gt;COALESCE(CAST(Y.security_rating_SIMUL AS STRING),'') OR (X.security_rating IS NULL AND Y.security_rating_SIMUL IS NOT NULL ) OR (X.security_rating IS NOT NULL AND Y.security_rating_SIMUL IS NULL),1,0)) AS NUM_REG_DIF,'1' AS ID_EXEC, CURRENT_TIMESTAMP() AS TIME_EXEC FROM (SELECT instrmnt_id, security_rating FROM BU_LOANTAPE_WORK.LT002_INSTRUMENT WHERE ref_date='${ref_date}' AND nome_perimetro='Individual Local' AND segmento='ESTR' AND ambito='SRB_MBDT' AND entidade='00100')X INNER JOIN (SELECT instrmnt_id AS instrmnt_id_SIMUL, security_rating AS security_rating_SIMUL FROM BU_LOANTAPE_WORK.SIMUL_LT002_INSTRUMENT WHERE ref_date='${ref_date}' AND nome_perimetro='Individual Local' AND segmento='ESTR' AND ambito='PILAR3' AND entidade='00100')Y ON X.INSTRMNT_ID=Y.INSTRMNT_ID_SIMUL</v>
      </c>
      <c r="M344" s="36" t="str">
        <f t="shared" si="8"/>
        <v>UNION ALL SELECT 'INSTRUMENT' AS TABELA, 'COERÊNCIA' AS TIPOLOGIA_TESTE,'BU_LOANTAPE_WORK.LT002_INSTRUMENT' AS TABELA_LT,'BU_LOANTAPE_WORK.SIMUL_LT002_INSTRUMENT' AS TABELA_SIMUL,'security_rating' AS CAMPO, '${ref_date}' AS REF_DATE, COUNT(*) AS NUM_REG, SUM(IF(COALESCE(CAST(X.security_rating AS STRING),'')&lt;&gt;COALESCE(CAST(Y.security_rating_SIMUL AS STRING),'') OR (X.security_rating IS NULL AND Y.security_rating_SIMUL IS NOT NULL ) OR (X.security_rating IS NOT NULL AND Y.security_rating_SIMUL IS NULL),1,0)) AS NUM_REG_DIF,'1' AS ID_EXEC, CURRENT_TIMESTAMP() AS TIME_EXEC FROM (SELECT instrmnt_id, security_rating FROM BU_LOANTAPE_WORK.LT002_INSTRUMENT WHERE ref_date='${ref_date}' AND nome_perimetro='Individual Local' AND segmento='ESTR' AND ambito='SRB_MBDT' AND entidade='00100')X INNER JOIN (SELECT instrmnt_id AS instrmnt_id_SIMUL, security_rating AS security_rating_SIMUL FROM BU_LOANTAPE_WORK.SIMUL_LT002_INSTRUMENT WHERE ref_date='${ref_date}' AND nome_perimetro='Individual Local' AND segmento='ESTR' AND ambito='PILAR3' AND entidade='00100')Y ON X.INSTRMNT_ID=Y.INSTRMNT_ID_SIMUL</v>
      </c>
      <c r="N344" s="38"/>
    </row>
    <row r="345" spans="2:14">
      <c r="B345" s="34" t="s">
        <v>117</v>
      </c>
      <c r="C345" s="34" t="s">
        <v>5</v>
      </c>
      <c r="D345" s="34" t="str">
        <f>+UPPER('0. Instruções'!$D$35&amp;"."&amp;VLOOKUP(B345,'0. Instruções'!$C$27:$D$32,2,FALSE))</f>
        <v>BU_LOANTAPE_WORK.LT002_INSTRUMENT</v>
      </c>
      <c r="E345" s="34" t="str">
        <f>+UPPER('0. Instruções'!$D$36&amp;"."&amp;VLOOKUP(B345,'0. Instruções'!$C$27:$E$32,3,FALSE))</f>
        <v>BU_LOANTAPE_WORK.SIMUL_LT002_INSTRUMENT</v>
      </c>
      <c r="F345" s="34" t="s">
        <v>1385</v>
      </c>
      <c r="G345" s="34"/>
      <c r="H345" s="34"/>
      <c r="I345" s="34" t="str">
        <f>"(SELECT "&amp;VLOOKUP(B345,'0. Instruções'!$C$27:$G$32,4,FALSE)&amp;", "&amp;F345&amp;" FROM "&amp;D345&amp;" WHERE "&amp;'0. Instruções'!$D$42&amp;")X"</f>
        <v>(SELECT instrmnt_id, dividend_yield FROM BU_LOANTAPE_WORK.LT002_INSTRUMENT WHERE ref_date='${ref_date}' AND nome_perimetro='Individual Local' AND segmento='ESTR' AND ambito='SRB_MBDT' AND entidade='00100')X</v>
      </c>
      <c r="J345" s="34" t="str">
        <f>"(SELECT "&amp;VLOOKUP(B345,'0. Instruções'!$C$27:$G$32,4,FALSE)&amp;" AS "&amp;VLOOKUP(B345,'0. Instruções'!$C$27:$G$32,4,FALSE)&amp;"_SIMUL, "&amp;F345&amp;" AS "&amp;F345&amp;"_SIMUL FROM "&amp;E345&amp;" WHERE "&amp;'0. Instruções'!$D$43&amp;")Y"</f>
        <v>(SELECT instrmnt_id AS instrmnt_id_SIMUL, dividend_yield AS dividend_yield_SIMUL FROM BU_LOANTAPE_WORK.SIMUL_LT002_INSTRUMENT WHERE ref_date='${ref_date}' AND nome_perimetro='Individual Local' AND segmento='ESTR' AND ambito='PILAR3' AND entidade='00100')Y</v>
      </c>
      <c r="K345" s="35" t="str">
        <f>+UPPER("ON X."&amp;VLOOKUP(B345,'0. Instruções'!$C$27:$G$32,4,FALSE)&amp;"=Y."&amp;VLOOKUP(B345,'0. Instruções'!$C$27:$G$32,4,FALSE)&amp;"_SIMUL")</f>
        <v>ON X.INSTRMNT_ID=Y.INSTRMNT_ID_SIMUL</v>
      </c>
      <c r="L345" s="35" t="str">
        <f>+IF(C345="Coerência", +IF(LEFT(G345,5)="FLOAT","SELECT '"&amp;UPPER(B345)&amp;"' AS TABELA, '"&amp;UPPER(C345)&amp;"' AS TIPOLOGIA_TESTE,'"&amp;D345&amp;"' AS TABELA_LT,'"&amp;E345&amp;"' AS TABELA_SIMUL,'"&amp;F345&amp;"' AS CAMPO, "&amp;"'${ref_date}' AS REF_DATE, COUNT(*) AS NUM_REG, SUM(IF((ABS(COALESCE(CAST(X."&amp;F345&amp;" AS DECIMAL(18,6)),0)-COALESCE(CAST(Y."&amp;F345&amp;"_SIMUL AS DECIMAL(18,6)),0))&gt;0.000001) OR (X."&amp;F345&amp;" IS NULL AND Y."&amp;F345&amp;"_SIMUL IS NOT NULL ) OR (X."&amp;F345&amp;" IS NOT NULL AND Y."&amp;F345&amp;"_SIMUL IS NULL),1,0)) AS NUM_REG_DIF,'"&amp;MAX('ID1&amp;5'!K:K)+1&amp;"' AS ID_EXEC, CURRENT_TIMESTAMP() AS TIME_EXEC FROM "&amp;I345&amp;" INNER JOIN "&amp;J345&amp;" "&amp;K345,"SELECT '"&amp;UPPER(B345)&amp;"' AS TABELA, '"&amp;UPPER(C345)&amp;"' AS TIPOLOGIA_TESTE,'"&amp;D345&amp;"' AS TABELA_LT,'"&amp;E345&amp;"' AS TABELA_SIMUL,'"&amp;F345&amp;"' AS CAMPO, "&amp;"'${ref_date}' AS REF_DATE, COUNT(*) AS NUM_REG, SUM(IF(COALESCE(CAST(X."&amp;F345&amp;" AS STRING),'')&lt;&gt;COALESCE(CAST(Y."&amp;F345&amp;"_SIMUL AS STRING),'') OR (X."&amp;F345&amp;" IS NULL AND Y."&amp;F345&amp;"_SIMUL IS NOT NULL ) OR (X."&amp;F345&amp;" IS NOT NULL AND Y."&amp;F345&amp;"_SIMUL IS NULL),1,0)) AS NUM_REG_DIF,'"&amp;MAX('ID1&amp;5'!L:L)+1&amp;"' AS ID_EXEC, CURRENT_TIMESTAMP() AS TIME_EXEC FROM "&amp;I345&amp;" INNER JOIN "&amp;J345&amp;" "&amp;K345),
IF(C345="Validade",+IF(G345="Code List","SELECT '"&amp;UPPER(B345)&amp;"' AS TABELA, '"&amp;UPPER(C345)&amp;"' AS TIPOLOGIA_TESTE,'"&amp;D345&amp;"' AS TABELA_LT,'N/A' AS TABELA_SIMUL,'"&amp;F345&amp;"' AS CAMPO, "&amp;"'${ref_date}' AS REF_DATE, COUNT(*) AS NUM_REG, SUM(IF(TRIM(CAST(X."&amp;F345&amp;" AS STRING))='' OR TRIM(CAST(X."&amp;F345&amp;" AS STRING)) IS NULL OR CAST(X."&amp;F345&amp;" AS STRING) NOT "&amp;H345&amp;",1,0)) AS NUM_REG_DIF,'"&amp;MAX('ID1&amp;5'!K:K)+1&amp;"' AS ID_EXEC, CURRENT_TIMESTAMP() AS TIME_EXEC FROM "&amp;I345,"SELECT '"&amp;UPPER(B345)&amp;"' AS TABELA, '"&amp;UPPER(C345)&amp;"' AS TIPOLOGIA_TESTE,'"&amp;D345&amp;"' AS TABELA_LT,'N/A' AS TABELA_SIMUL,'"&amp;F345&amp;"' AS CAMPO, "&amp;"'${ref_date}' AS REF_DATE, COUNT(*) AS NUM_REG, SUM(IF(TRIM(CAST(X."&amp;F345&amp;" AS STRING))='' OR TRIM(CAST(X."&amp;F345&amp;" AS STRING)) IS NULL,1,0)) AS NUM_REG_DIF,'"&amp;MAX('ID1&amp;5'!K:K)+1&amp;"' AS ID_EXEC, CURRENT_TIMESTAMP() AS TIME_EXEC FROM "&amp;I345),
IF(C345="Caracteres Especiais",+"SELECT '"&amp;UPPER(B345)&amp;"' AS TABELA, '"&amp;UPPER(C345)&amp;"' AS TIPOLOGIA_TESTE,'"&amp;D345&amp;"' AS TABELA_LT,'N/A' AS TABELA_SIMUL,'"&amp;F345&amp;"' AS CAMPO, "&amp;"'${ref_date}' AS REF_DATE, COUNT(*) AS NUM_REG, SUM(IF(REGEXP_REPLACE(TRIM(CAST(X."&amp;F345&amp;" AS STRING)),'[^a-zA-Z0-9_\\s]','') &lt;&gt;TRIM(CAST(X."&amp;F345&amp;" AS STRING)),1,0)) AS NUM_REG_DIF,'"&amp;MAX('ID1&amp;5'!K:K)+1&amp;"' AS ID_EXEC, CURRENT_TIMESTAMP() AS TIME_EXEC FROM "&amp;I345,
IF(C345="Missings",+"SELECT '"&amp;UPPER(B345)&amp;"' AS TABELA, '"&amp;UPPER(C345)&amp;"' AS TIPOLOGIA_TESTE,'"&amp;D345&amp;"' AS TABELA_LT,'N/A' AS TABELA_SIMUL,'"&amp;F345&amp;"' AS CAMPO, "&amp;"'${ref_date}' AS REF_DATE, COUNT(*) AS NUM_REG, SUM(IF(TRIM(CAST(X."&amp;F345&amp;" AS STRING)) IN ('0000-00-00','0001-01-01','9999-12-31','MISS','00000','99999999999','99999999999.00','99999999999.000000'),1,0)) AS NUM_REG_DIF,'"&amp;MAX('ID1&amp;5'!K:K)+1&amp;"' AS ID_EXEC, CURRENT_TIMESTAMP() AS TIME_EXEC FROM "&amp;I345,
IF(C345="Not applicable",+"SELECT '"&amp;UPPER(B345)&amp;"' AS TABELA, '"&amp;UPPER(C345)&amp;"' AS TIPOLOGIA_TESTE,'"&amp;D345&amp;"' AS TABELA_LT,'N/A' AS TABELA_SIMUL,'"&amp;F345&amp;"' AS CAMPO, "&amp;"'${ref_date}' AS REF_DATE, COUNT(*) AS NUM_REG, SUM(IF(TRIM(CAST(X."&amp;F345&amp;" AS STRING)) IN ('N/A','11111111111','11111111111.00','11111111111.000000','1111-11-11'),1,0)) AS NUM_REG_DIF,'"&amp;MAX('ID1&amp;5'!K:K)+1&amp;"' AS ID_EXEC, CURRENT_TIMESTAMP() AS TIME_EXEC FROM "&amp;I345,
IF(C345="Valores extremos",+"SELECT '"&amp;UPPER(B345)&amp;"' AS TABELA, '"&amp;UPPER(C345)&amp;"' AS TIPOLOGIA_TESTE,'"&amp;D345&amp;"' AS TABELA_LT,'N/A' AS TABELA_SIMUL,'"&amp;F345&amp;"' AS CAMPO, "&amp;"'${ref_date}' AS REF_DATE, CAST(MIN("&amp;F345&amp;") AS STRING) AS VALOR_MIN, CAST(MAX("&amp;F345&amp;") AS STRING) AS VALOR_MAX,'"&amp;MAX('ID1&amp;5'!K:K)+1&amp;"' AS ID_EXEC, CURRENT_TIMESTAMP() AS TIME_EXEC FROM "&amp;MID(I345,1,LEN(I345)-2)&amp;" AND CAST("&amp;F345&amp;"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TABELA_SIMUL,'dividend_yield' AS CAMPO, '${ref_date}' AS REF_DATE, COUNT(*) AS NUM_REG, SUM(IF(COALESCE(CAST(X.dividend_yield AS STRING),'')&lt;&gt;COALESCE(CAST(Y.dividend_yield_SIMUL AS STRING),'') OR (X.dividend_yield IS NULL AND Y.dividend_yield_SIMUL IS NOT NULL ) OR (X.dividend_yield IS NOT NULL AND Y.dividend_yield_SIMUL IS NULL),1,0)) AS NUM_REG_DIF,'1' AS ID_EXEC, CURRENT_TIMESTAMP() AS TIME_EXEC FROM (SELECT instrmnt_id, dividend_yield FROM BU_LOANTAPE_WORK.LT002_INSTRUMENT WHERE ref_date='${ref_date}' AND nome_perimetro='Individual Local' AND segmento='ESTR' AND ambito='SRB_MBDT' AND entidade='00100')X INNER JOIN (SELECT instrmnt_id AS instrmnt_id_SIMUL, dividend_yield AS dividend_yield_SIMUL FROM BU_LOANTAPE_WORK.SIMUL_LT002_INSTRUMENT WHERE ref_date='${ref_date}' AND nome_perimetro='Individual Local' AND segmento='ESTR' AND ambito='PILAR3' AND entidade='00100')Y ON X.INSTRMNT_ID=Y.INSTRMNT_ID_SIMUL</v>
      </c>
      <c r="M345" s="36" t="str">
        <f t="shared" si="8"/>
        <v>UNION ALL SELECT 'INSTRUMENT' AS TABELA, 'COERÊNCIA' AS TIPOLOGIA_TESTE,'BU_LOANTAPE_WORK.LT002_INSTRUMENT' AS TABELA_LT,'BU_LOANTAPE_WORK.SIMUL_LT002_INSTRUMENT' AS TABELA_SIMUL,'dividend_yield' AS CAMPO, '${ref_date}' AS REF_DATE, COUNT(*) AS NUM_REG, SUM(IF(COALESCE(CAST(X.dividend_yield AS STRING),'')&lt;&gt;COALESCE(CAST(Y.dividend_yield_SIMUL AS STRING),'') OR (X.dividend_yield IS NULL AND Y.dividend_yield_SIMUL IS NOT NULL ) OR (X.dividend_yield IS NOT NULL AND Y.dividend_yield_SIMUL IS NULL),1,0)) AS NUM_REG_DIF,'1' AS ID_EXEC, CURRENT_TIMESTAMP() AS TIME_EXEC FROM (SELECT instrmnt_id, dividend_yield FROM BU_LOANTAPE_WORK.LT002_INSTRUMENT WHERE ref_date='${ref_date}' AND nome_perimetro='Individual Local' AND segmento='ESTR' AND ambito='SRB_MBDT' AND entidade='00100')X INNER JOIN (SELECT instrmnt_id AS instrmnt_id_SIMUL, dividend_yield AS dividend_yield_SIMUL FROM BU_LOANTAPE_WORK.SIMUL_LT002_INSTRUMENT WHERE ref_date='${ref_date}' AND nome_perimetro='Individual Local' AND segmento='ESTR' AND ambito='PILAR3' AND entidade='00100')Y ON X.INSTRMNT_ID=Y.INSTRMNT_ID_SIMUL</v>
      </c>
      <c r="N345" s="38"/>
    </row>
    <row r="346" spans="2:14">
      <c r="B346" s="34" t="s">
        <v>117</v>
      </c>
      <c r="C346" s="34" t="s">
        <v>5</v>
      </c>
      <c r="D346" s="34" t="str">
        <f>+UPPER('0. Instruções'!$D$35&amp;"."&amp;VLOOKUP(B346,'0. Instruções'!$C$27:$D$32,2,FALSE))</f>
        <v>BU_LOANTAPE_WORK.LT002_INSTRUMENT</v>
      </c>
      <c r="E346" s="34" t="str">
        <f>+UPPER('0. Instruções'!$D$36&amp;"."&amp;VLOOKUP(B346,'0. Instruções'!$C$27:$E$32,3,FALSE))</f>
        <v>BU_LOANTAPE_WORK.SIMUL_LT002_INSTRUMENT</v>
      </c>
      <c r="F346" s="34" t="s">
        <v>1386</v>
      </c>
      <c r="G346" s="34"/>
      <c r="H346" s="34"/>
      <c r="I346" s="34" t="str">
        <f>"(SELECT "&amp;VLOOKUP(B346,'0. Instruções'!$C$27:$G$32,4,FALSE)&amp;", "&amp;F346&amp;" FROM "&amp;D346&amp;" WHERE "&amp;'0. Instruções'!$D$42&amp;")X"</f>
        <v>(SELECT instrmnt_id, flg_mnmm_sfgrds FROM BU_LOANTAPE_WORK.LT002_INSTRUMENT WHERE ref_date='${ref_date}' AND nome_perimetro='Individual Local' AND segmento='ESTR' AND ambito='SRB_MBDT' AND entidade='00100')X</v>
      </c>
      <c r="J346" s="34" t="str">
        <f>"(SELECT "&amp;VLOOKUP(B346,'0. Instruções'!$C$27:$G$32,4,FALSE)&amp;" AS "&amp;VLOOKUP(B346,'0. Instruções'!$C$27:$G$32,4,FALSE)&amp;"_SIMUL, "&amp;F346&amp;" AS "&amp;F346&amp;"_SIMUL FROM "&amp;E346&amp;" WHERE "&amp;'0. Instruções'!$D$43&amp;")Y"</f>
        <v>(SELECT instrmnt_id AS instrmnt_id_SIMUL, flg_mnmm_sfgrds AS flg_mnmm_sfgrds_SIMUL FROM BU_LOANTAPE_WORK.SIMUL_LT002_INSTRUMENT WHERE ref_date='${ref_date}' AND nome_perimetro='Individual Local' AND segmento='ESTR' AND ambito='PILAR3' AND entidade='00100')Y</v>
      </c>
      <c r="K346" s="35" t="str">
        <f>+UPPER("ON X."&amp;VLOOKUP(B346,'0. Instruções'!$C$27:$G$32,4,FALSE)&amp;"=Y."&amp;VLOOKUP(B346,'0. Instruções'!$C$27:$G$32,4,FALSE)&amp;"_SIMUL")</f>
        <v>ON X.INSTRMNT_ID=Y.INSTRMNT_ID_SIMUL</v>
      </c>
      <c r="L346" s="35" t="str">
        <f>+IF(C346="Coerência", +IF(LEFT(G346,5)="FLOAT","SELECT '"&amp;UPPER(B346)&amp;"' AS TABELA, '"&amp;UPPER(C346)&amp;"' AS TIPOLOGIA_TESTE,'"&amp;D346&amp;"' AS TABELA_LT,'"&amp;E346&amp;"' AS TABELA_SIMUL,'"&amp;F346&amp;"' AS CAMPO, "&amp;"'${ref_date}' AS REF_DATE, COUNT(*) AS NUM_REG, SUM(IF((ABS(COALESCE(CAST(X."&amp;F346&amp;" AS DECIMAL(18,6)),0)-COALESCE(CAST(Y."&amp;F346&amp;"_SIMUL AS DECIMAL(18,6)),0))&gt;0.000001) OR (X."&amp;F346&amp;" IS NULL AND Y."&amp;F346&amp;"_SIMUL IS NOT NULL ) OR (X."&amp;F346&amp;" IS NOT NULL AND Y."&amp;F346&amp;"_SIMUL IS NULL),1,0)) AS NUM_REG_DIF,'"&amp;MAX('ID1&amp;5'!K:K)+1&amp;"' AS ID_EXEC, CURRENT_TIMESTAMP() AS TIME_EXEC FROM "&amp;I346&amp;" INNER JOIN "&amp;J346&amp;" "&amp;K346,"SELECT '"&amp;UPPER(B346)&amp;"' AS TABELA, '"&amp;UPPER(C346)&amp;"' AS TIPOLOGIA_TESTE,'"&amp;D346&amp;"' AS TABELA_LT,'"&amp;E346&amp;"' AS TABELA_SIMUL,'"&amp;F346&amp;"' AS CAMPO, "&amp;"'${ref_date}' AS REF_DATE, COUNT(*) AS NUM_REG, SUM(IF(COALESCE(CAST(X."&amp;F346&amp;" AS STRING),'')&lt;&gt;COALESCE(CAST(Y."&amp;F346&amp;"_SIMUL AS STRING),'') OR (X."&amp;F346&amp;" IS NULL AND Y."&amp;F346&amp;"_SIMUL IS NOT NULL ) OR (X."&amp;F346&amp;" IS NOT NULL AND Y."&amp;F346&amp;"_SIMUL IS NULL),1,0)) AS NUM_REG_DIF,'"&amp;MAX('ID1&amp;5'!L:L)+1&amp;"' AS ID_EXEC, CURRENT_TIMESTAMP() AS TIME_EXEC FROM "&amp;I346&amp;" INNER JOIN "&amp;J346&amp;" "&amp;K346),
IF(C346="Validade",+IF(G346="Code List","SELECT '"&amp;UPPER(B346)&amp;"' AS TABELA, '"&amp;UPPER(C346)&amp;"' AS TIPOLOGIA_TESTE,'"&amp;D346&amp;"' AS TABELA_LT,'N/A' AS TABELA_SIMUL,'"&amp;F346&amp;"' AS CAMPO, "&amp;"'${ref_date}' AS REF_DATE, COUNT(*) AS NUM_REG, SUM(IF(TRIM(CAST(X."&amp;F346&amp;" AS STRING))='' OR TRIM(CAST(X."&amp;F346&amp;" AS STRING)) IS NULL OR CAST(X."&amp;F346&amp;" AS STRING) NOT "&amp;H346&amp;",1,0)) AS NUM_REG_DIF,'"&amp;MAX('ID1&amp;5'!K:K)+1&amp;"' AS ID_EXEC, CURRENT_TIMESTAMP() AS TIME_EXEC FROM "&amp;I346,"SELECT '"&amp;UPPER(B346)&amp;"' AS TABELA, '"&amp;UPPER(C346)&amp;"' AS TIPOLOGIA_TESTE,'"&amp;D346&amp;"' AS TABELA_LT,'N/A' AS TABELA_SIMUL,'"&amp;F346&amp;"' AS CAMPO, "&amp;"'${ref_date}' AS REF_DATE, COUNT(*) AS NUM_REG, SUM(IF(TRIM(CAST(X."&amp;F346&amp;" AS STRING))='' OR TRIM(CAST(X."&amp;F346&amp;" AS STRING)) IS NULL,1,0)) AS NUM_REG_DIF,'"&amp;MAX('ID1&amp;5'!K:K)+1&amp;"' AS ID_EXEC, CURRENT_TIMESTAMP() AS TIME_EXEC FROM "&amp;I346),
IF(C346="Caracteres Especiais",+"SELECT '"&amp;UPPER(B346)&amp;"' AS TABELA, '"&amp;UPPER(C346)&amp;"' AS TIPOLOGIA_TESTE,'"&amp;D346&amp;"' AS TABELA_LT,'N/A' AS TABELA_SIMUL,'"&amp;F346&amp;"' AS CAMPO, "&amp;"'${ref_date}' AS REF_DATE, COUNT(*) AS NUM_REG, SUM(IF(REGEXP_REPLACE(TRIM(CAST(X."&amp;F346&amp;" AS STRING)),'[^a-zA-Z0-9_\\s]','') &lt;&gt;TRIM(CAST(X."&amp;F346&amp;" AS STRING)),1,0)) AS NUM_REG_DIF,'"&amp;MAX('ID1&amp;5'!K:K)+1&amp;"' AS ID_EXEC, CURRENT_TIMESTAMP() AS TIME_EXEC FROM "&amp;I346,
IF(C346="Missings",+"SELECT '"&amp;UPPER(B346)&amp;"' AS TABELA, '"&amp;UPPER(C346)&amp;"' AS TIPOLOGIA_TESTE,'"&amp;D346&amp;"' AS TABELA_LT,'N/A' AS TABELA_SIMUL,'"&amp;F346&amp;"' AS CAMPO, "&amp;"'${ref_date}' AS REF_DATE, COUNT(*) AS NUM_REG, SUM(IF(TRIM(CAST(X."&amp;F346&amp;" AS STRING)) IN ('0000-00-00','0001-01-01','9999-12-31','MISS','00000','99999999999','99999999999.00','99999999999.000000'),1,0)) AS NUM_REG_DIF,'"&amp;MAX('ID1&amp;5'!K:K)+1&amp;"' AS ID_EXEC, CURRENT_TIMESTAMP() AS TIME_EXEC FROM "&amp;I346,
IF(C346="Not applicable",+"SELECT '"&amp;UPPER(B346)&amp;"' AS TABELA, '"&amp;UPPER(C346)&amp;"' AS TIPOLOGIA_TESTE,'"&amp;D346&amp;"' AS TABELA_LT,'N/A' AS TABELA_SIMUL,'"&amp;F346&amp;"' AS CAMPO, "&amp;"'${ref_date}' AS REF_DATE, COUNT(*) AS NUM_REG, SUM(IF(TRIM(CAST(X."&amp;F346&amp;" AS STRING)) IN ('N/A','11111111111','11111111111.00','11111111111.000000','1111-11-11'),1,0)) AS NUM_REG_DIF,'"&amp;MAX('ID1&amp;5'!K:K)+1&amp;"' AS ID_EXEC, CURRENT_TIMESTAMP() AS TIME_EXEC FROM "&amp;I346,
IF(C346="Valores extremos",+"SELECT '"&amp;UPPER(B346)&amp;"' AS TABELA, '"&amp;UPPER(C346)&amp;"' AS TIPOLOGIA_TESTE,'"&amp;D346&amp;"' AS TABELA_LT,'N/A' AS TABELA_SIMUL,'"&amp;F346&amp;"' AS CAMPO, "&amp;"'${ref_date}' AS REF_DATE, CAST(MIN("&amp;F346&amp;") AS STRING) AS VALOR_MIN, CAST(MAX("&amp;F346&amp;") AS STRING) AS VALOR_MAX,'"&amp;MAX('ID1&amp;5'!K:K)+1&amp;"' AS ID_EXEC, CURRENT_TIMESTAMP() AS TIME_EXEC FROM "&amp;MID(I346,1,LEN(I346)-2)&amp;" AND CAST("&amp;F346&amp;"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TABELA_SIMUL,'flg_mnmm_sfgrds' AS CAMPO, '${ref_date}' AS REF_DATE, COUNT(*) AS NUM_REG, SUM(IF(COALESCE(CAST(X.flg_mnmm_sfgrds AS STRING),'')&lt;&gt;COALESCE(CAST(Y.flg_mnmm_sfgrds_SIMUL AS STRING),'') OR (X.flg_mnmm_sfgrds IS NULL AND Y.flg_mnmm_sfgrds_SIMUL IS NOT NULL ) OR (X.flg_mnmm_sfgrds IS NOT NULL AND Y.flg_mnmm_sfgrds_SIMUL IS NULL),1,0)) AS NUM_REG_DIF,'1' AS ID_EXEC, CURRENT_TIMESTAMP() AS TIME_EXEC FROM (SELECT instrmnt_id, flg_mnmm_sfgrds FROM BU_LOANTAPE_WORK.LT002_INSTRUMENT WHERE ref_date='${ref_date}' AND nome_perimetro='Individual Local' AND segmento='ESTR' AND ambito='SRB_MBDT' AND entidade='00100')X INNER JOIN (SELECT instrmnt_id AS instrmnt_id_SIMUL, flg_mnmm_sfgrds AS flg_mnmm_sfgrds_SIMUL FROM BU_LOANTAPE_WORK.SIMUL_LT002_INSTRUMENT WHERE ref_date='${ref_date}' AND nome_perimetro='Individual Local' AND segmento='ESTR' AND ambito='PILAR3' AND entidade='00100')Y ON X.INSTRMNT_ID=Y.INSTRMNT_ID_SIMUL</v>
      </c>
      <c r="M346" s="36" t="str">
        <f t="shared" si="8"/>
        <v>UNION ALL SELECT 'INSTRUMENT' AS TABELA, 'COERÊNCIA' AS TIPOLOGIA_TESTE,'BU_LOANTAPE_WORK.LT002_INSTRUMENT' AS TABELA_LT,'BU_LOANTAPE_WORK.SIMUL_LT002_INSTRUMENT' AS TABELA_SIMUL,'flg_mnmm_sfgrds' AS CAMPO, '${ref_date}' AS REF_DATE, COUNT(*) AS NUM_REG, SUM(IF(COALESCE(CAST(X.flg_mnmm_sfgrds AS STRING),'')&lt;&gt;COALESCE(CAST(Y.flg_mnmm_sfgrds_SIMUL AS STRING),'') OR (X.flg_mnmm_sfgrds IS NULL AND Y.flg_mnmm_sfgrds_SIMUL IS NOT NULL ) OR (X.flg_mnmm_sfgrds IS NOT NULL AND Y.flg_mnmm_sfgrds_SIMUL IS NULL),1,0)) AS NUM_REG_DIF,'1' AS ID_EXEC, CURRENT_TIMESTAMP() AS TIME_EXEC FROM (SELECT instrmnt_id, flg_mnmm_sfgrds FROM BU_LOANTAPE_WORK.LT002_INSTRUMENT WHERE ref_date='${ref_date}' AND nome_perimetro='Individual Local' AND segmento='ESTR' AND ambito='SRB_MBDT' AND entidade='00100')X INNER JOIN (SELECT instrmnt_id AS instrmnt_id_SIMUL, flg_mnmm_sfgrds AS flg_mnmm_sfgrds_SIMUL FROM BU_LOANTAPE_WORK.SIMUL_LT002_INSTRUMENT WHERE ref_date='${ref_date}' AND nome_perimetro='Individual Local' AND segmento='ESTR' AND ambito='PILAR3' AND entidade='00100')Y ON X.INSTRMNT_ID=Y.INSTRMNT_ID_SIMUL</v>
      </c>
      <c r="N346" s="38"/>
    </row>
    <row r="347" spans="2:14">
      <c r="B347" s="34" t="s">
        <v>117</v>
      </c>
      <c r="C347" s="34" t="s">
        <v>5</v>
      </c>
      <c r="D347" s="34" t="str">
        <f>+UPPER('0. Instruções'!$D$35&amp;"."&amp;VLOOKUP(B347,'0. Instruções'!$C$27:$D$32,2,FALSE))</f>
        <v>BU_LOANTAPE_WORK.LT002_INSTRUMENT</v>
      </c>
      <c r="E347" s="34" t="str">
        <f>+UPPER('0. Instruções'!$D$36&amp;"."&amp;VLOOKUP(B347,'0. Instruções'!$C$27:$E$32,3,FALSE))</f>
        <v>BU_LOANTAPE_WORK.SIMUL_LT002_INSTRUMENT</v>
      </c>
      <c r="F347" s="34" t="s">
        <v>1387</v>
      </c>
      <c r="G347" s="34"/>
      <c r="H347" s="34"/>
      <c r="I347" s="34" t="str">
        <f>"(SELECT "&amp;VLOOKUP(B347,'0. Instruções'!$C$27:$G$32,4,FALSE)&amp;", "&amp;F347&amp;" FROM "&amp;D347&amp;" WHERE "&amp;'0. Instruções'!$D$42&amp;")X"</f>
        <v>(SELECT instrmnt_id, typ_off_blnc_prdct FROM BU_LOANTAPE_WORK.LT002_INSTRUMENT WHERE ref_date='${ref_date}' AND nome_perimetro='Individual Local' AND segmento='ESTR' AND ambito='SRB_MBDT' AND entidade='00100')X</v>
      </c>
      <c r="J347" s="34" t="str">
        <f>"(SELECT "&amp;VLOOKUP(B347,'0. Instruções'!$C$27:$G$32,4,FALSE)&amp;" AS "&amp;VLOOKUP(B347,'0. Instruções'!$C$27:$G$32,4,FALSE)&amp;"_SIMUL, "&amp;F347&amp;" AS "&amp;F347&amp;"_SIMUL FROM "&amp;E347&amp;" WHERE "&amp;'0. Instruções'!$D$43&amp;")Y"</f>
        <v>(SELECT instrmnt_id AS instrmnt_id_SIMUL, typ_off_blnc_prdct AS typ_off_blnc_prdct_SIMUL FROM BU_LOANTAPE_WORK.SIMUL_LT002_INSTRUMENT WHERE ref_date='${ref_date}' AND nome_perimetro='Individual Local' AND segmento='ESTR' AND ambito='PILAR3' AND entidade='00100')Y</v>
      </c>
      <c r="K347" s="35" t="str">
        <f>+UPPER("ON X."&amp;VLOOKUP(B347,'0. Instruções'!$C$27:$G$32,4,FALSE)&amp;"=Y."&amp;VLOOKUP(B347,'0. Instruções'!$C$27:$G$32,4,FALSE)&amp;"_SIMUL")</f>
        <v>ON X.INSTRMNT_ID=Y.INSTRMNT_ID_SIMUL</v>
      </c>
      <c r="L347" s="35" t="str">
        <f>+IF(C347="Coerência", +IF(LEFT(G347,5)="FLOAT","SELECT '"&amp;UPPER(B347)&amp;"' AS TABELA, '"&amp;UPPER(C347)&amp;"' AS TIPOLOGIA_TESTE,'"&amp;D347&amp;"' AS TABELA_LT,'"&amp;E347&amp;"' AS TABELA_SIMUL,'"&amp;F347&amp;"' AS CAMPO, "&amp;"'${ref_date}' AS REF_DATE, COUNT(*) AS NUM_REG, SUM(IF((ABS(COALESCE(CAST(X."&amp;F347&amp;" AS DECIMAL(18,6)),0)-COALESCE(CAST(Y."&amp;F347&amp;"_SIMUL AS DECIMAL(18,6)),0))&gt;0.000001) OR (X."&amp;F347&amp;" IS NULL AND Y."&amp;F347&amp;"_SIMUL IS NOT NULL ) OR (X."&amp;F347&amp;" IS NOT NULL AND Y."&amp;F347&amp;"_SIMUL IS NULL),1,0)) AS NUM_REG_DIF,'"&amp;MAX('ID1&amp;5'!K:K)+1&amp;"' AS ID_EXEC, CURRENT_TIMESTAMP() AS TIME_EXEC FROM "&amp;I347&amp;" INNER JOIN "&amp;J347&amp;" "&amp;K347,"SELECT '"&amp;UPPER(B347)&amp;"' AS TABELA, '"&amp;UPPER(C347)&amp;"' AS TIPOLOGIA_TESTE,'"&amp;D347&amp;"' AS TABELA_LT,'"&amp;E347&amp;"' AS TABELA_SIMUL,'"&amp;F347&amp;"' AS CAMPO, "&amp;"'${ref_date}' AS REF_DATE, COUNT(*) AS NUM_REG, SUM(IF(COALESCE(CAST(X."&amp;F347&amp;" AS STRING),'')&lt;&gt;COALESCE(CAST(Y."&amp;F347&amp;"_SIMUL AS STRING),'') OR (X."&amp;F347&amp;" IS NULL AND Y."&amp;F347&amp;"_SIMUL IS NOT NULL ) OR (X."&amp;F347&amp;" IS NOT NULL AND Y."&amp;F347&amp;"_SIMUL IS NULL),1,0)) AS NUM_REG_DIF,'"&amp;MAX('ID1&amp;5'!L:L)+1&amp;"' AS ID_EXEC, CURRENT_TIMESTAMP() AS TIME_EXEC FROM "&amp;I347&amp;" INNER JOIN "&amp;J347&amp;" "&amp;K347),
IF(C347="Validade",+IF(G347="Code List","SELECT '"&amp;UPPER(B347)&amp;"' AS TABELA, '"&amp;UPPER(C347)&amp;"' AS TIPOLOGIA_TESTE,'"&amp;D347&amp;"' AS TABELA_LT,'N/A' AS TABELA_SIMUL,'"&amp;F347&amp;"' AS CAMPO, "&amp;"'${ref_date}' AS REF_DATE, COUNT(*) AS NUM_REG, SUM(IF(TRIM(CAST(X."&amp;F347&amp;" AS STRING))='' OR TRIM(CAST(X."&amp;F347&amp;" AS STRING)) IS NULL OR CAST(X."&amp;F347&amp;" AS STRING) NOT "&amp;H347&amp;",1,0)) AS NUM_REG_DIF,'"&amp;MAX('ID1&amp;5'!K:K)+1&amp;"' AS ID_EXEC, CURRENT_TIMESTAMP() AS TIME_EXEC FROM "&amp;I347,"SELECT '"&amp;UPPER(B347)&amp;"' AS TABELA, '"&amp;UPPER(C347)&amp;"' AS TIPOLOGIA_TESTE,'"&amp;D347&amp;"' AS TABELA_LT,'N/A' AS TABELA_SIMUL,'"&amp;F347&amp;"' AS CAMPO, "&amp;"'${ref_date}' AS REF_DATE, COUNT(*) AS NUM_REG, SUM(IF(TRIM(CAST(X."&amp;F347&amp;" AS STRING))='' OR TRIM(CAST(X."&amp;F347&amp;" AS STRING)) IS NULL,1,0)) AS NUM_REG_DIF,'"&amp;MAX('ID1&amp;5'!K:K)+1&amp;"' AS ID_EXEC, CURRENT_TIMESTAMP() AS TIME_EXEC FROM "&amp;I347),
IF(C347="Caracteres Especiais",+"SELECT '"&amp;UPPER(B347)&amp;"' AS TABELA, '"&amp;UPPER(C347)&amp;"' AS TIPOLOGIA_TESTE,'"&amp;D347&amp;"' AS TABELA_LT,'N/A' AS TABELA_SIMUL,'"&amp;F347&amp;"' AS CAMPO, "&amp;"'${ref_date}' AS REF_DATE, COUNT(*) AS NUM_REG, SUM(IF(REGEXP_REPLACE(TRIM(CAST(X."&amp;F347&amp;" AS STRING)),'[^a-zA-Z0-9_\\s]','') &lt;&gt;TRIM(CAST(X."&amp;F347&amp;" AS STRING)),1,0)) AS NUM_REG_DIF,'"&amp;MAX('ID1&amp;5'!K:K)+1&amp;"' AS ID_EXEC, CURRENT_TIMESTAMP() AS TIME_EXEC FROM "&amp;I347,
IF(C347="Missings",+"SELECT '"&amp;UPPER(B347)&amp;"' AS TABELA, '"&amp;UPPER(C347)&amp;"' AS TIPOLOGIA_TESTE,'"&amp;D347&amp;"' AS TABELA_LT,'N/A' AS TABELA_SIMUL,'"&amp;F347&amp;"' AS CAMPO, "&amp;"'${ref_date}' AS REF_DATE, COUNT(*) AS NUM_REG, SUM(IF(TRIM(CAST(X."&amp;F347&amp;" AS STRING)) IN ('0000-00-00','0001-01-01','9999-12-31','MISS','00000','99999999999','99999999999.00','99999999999.000000'),1,0)) AS NUM_REG_DIF,'"&amp;MAX('ID1&amp;5'!K:K)+1&amp;"' AS ID_EXEC, CURRENT_TIMESTAMP() AS TIME_EXEC FROM "&amp;I347,
IF(C347="Not applicable",+"SELECT '"&amp;UPPER(B347)&amp;"' AS TABELA, '"&amp;UPPER(C347)&amp;"' AS TIPOLOGIA_TESTE,'"&amp;D347&amp;"' AS TABELA_LT,'N/A' AS TABELA_SIMUL,'"&amp;F347&amp;"' AS CAMPO, "&amp;"'${ref_date}' AS REF_DATE, COUNT(*) AS NUM_REG, SUM(IF(TRIM(CAST(X."&amp;F347&amp;" AS STRING)) IN ('N/A','11111111111','11111111111.00','11111111111.000000','1111-11-11'),1,0)) AS NUM_REG_DIF,'"&amp;MAX('ID1&amp;5'!K:K)+1&amp;"' AS ID_EXEC, CURRENT_TIMESTAMP() AS TIME_EXEC FROM "&amp;I347,
IF(C347="Valores extremos",+"SELECT '"&amp;UPPER(B347)&amp;"' AS TABELA, '"&amp;UPPER(C347)&amp;"' AS TIPOLOGIA_TESTE,'"&amp;D347&amp;"' AS TABELA_LT,'N/A' AS TABELA_SIMUL,'"&amp;F347&amp;"' AS CAMPO, "&amp;"'${ref_date}' AS REF_DATE, CAST(MIN("&amp;F347&amp;") AS STRING) AS VALOR_MIN, CAST(MAX("&amp;F347&amp;") AS STRING) AS VALOR_MAX,'"&amp;MAX('ID1&amp;5'!K:K)+1&amp;"' AS ID_EXEC, CURRENT_TIMESTAMP() AS TIME_EXEC FROM "&amp;MID(I347,1,LEN(I347)-2)&amp;" AND CAST("&amp;F347&amp;"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TABELA_SIMUL,'typ_off_blnc_prdct' AS CAMPO, '${ref_date}' AS REF_DATE, COUNT(*) AS NUM_REG, SUM(IF(COALESCE(CAST(X.typ_off_blnc_prdct AS STRING),'')&lt;&gt;COALESCE(CAST(Y.typ_off_blnc_prdct_SIMUL AS STRING),'') OR (X.typ_off_blnc_prdct IS NULL AND Y.typ_off_blnc_prdct_SIMUL IS NOT NULL ) OR (X.typ_off_blnc_prdct IS NOT NULL AND Y.typ_off_blnc_prdct_SIMUL IS NULL),1,0)) AS NUM_REG_DIF,'1' AS ID_EXEC, CURRENT_TIMESTAMP() AS TIME_EXEC FROM (SELECT instrmnt_id, typ_off_blnc_prdct FROM BU_LOANTAPE_WORK.LT002_INSTRUMENT WHERE ref_date='${ref_date}' AND nome_perimetro='Individual Local' AND segmento='ESTR' AND ambito='SRB_MBDT' AND entidade='00100')X INNER JOIN (SELECT instrmnt_id AS instrmnt_id_SIMUL, typ_off_blnc_prdct AS typ_off_blnc_prdct_SIMUL FROM BU_LOANTAPE_WORK.SIMUL_LT002_INSTRUMENT WHERE ref_date='${ref_date}' AND nome_perimetro='Individual Local' AND segmento='ESTR' AND ambito='PILAR3' AND entidade='00100')Y ON X.INSTRMNT_ID=Y.INSTRMNT_ID_SIMUL</v>
      </c>
      <c r="M347" s="36" t="str">
        <f t="shared" si="8"/>
        <v>UNION ALL SELECT 'INSTRUMENT' AS TABELA, 'COERÊNCIA' AS TIPOLOGIA_TESTE,'BU_LOANTAPE_WORK.LT002_INSTRUMENT' AS TABELA_LT,'BU_LOANTAPE_WORK.SIMUL_LT002_INSTRUMENT' AS TABELA_SIMUL,'typ_off_blnc_prdct' AS CAMPO, '${ref_date}' AS REF_DATE, COUNT(*) AS NUM_REG, SUM(IF(COALESCE(CAST(X.typ_off_blnc_prdct AS STRING),'')&lt;&gt;COALESCE(CAST(Y.typ_off_blnc_prdct_SIMUL AS STRING),'') OR (X.typ_off_blnc_prdct IS NULL AND Y.typ_off_blnc_prdct_SIMUL IS NOT NULL ) OR (X.typ_off_blnc_prdct IS NOT NULL AND Y.typ_off_blnc_prdct_SIMUL IS NULL),1,0)) AS NUM_REG_DIF,'1' AS ID_EXEC, CURRENT_TIMESTAMP() AS TIME_EXEC FROM (SELECT instrmnt_id, typ_off_blnc_prdct FROM BU_LOANTAPE_WORK.LT002_INSTRUMENT WHERE ref_date='${ref_date}' AND nome_perimetro='Individual Local' AND segmento='ESTR' AND ambito='SRB_MBDT' AND entidade='00100')X INNER JOIN (SELECT instrmnt_id AS instrmnt_id_SIMUL, typ_off_blnc_prdct AS typ_off_blnc_prdct_SIMUL FROM BU_LOANTAPE_WORK.SIMUL_LT002_INSTRUMENT WHERE ref_date='${ref_date}' AND nome_perimetro='Individual Local' AND segmento='ESTR' AND ambito='PILAR3' AND entidade='00100')Y ON X.INSTRMNT_ID=Y.INSTRMNT_ID_SIMUL</v>
      </c>
      <c r="N347" s="38"/>
    </row>
    <row r="348" spans="2:14">
      <c r="B348" s="34" t="s">
        <v>117</v>
      </c>
      <c r="C348" s="34" t="s">
        <v>5</v>
      </c>
      <c r="D348" s="34" t="str">
        <f>+UPPER('0. Instruções'!$D$35&amp;"."&amp;VLOOKUP(B348,'0. Instruções'!$C$27:$D$32,2,FALSE))</f>
        <v>BU_LOANTAPE_WORK.LT002_INSTRUMENT</v>
      </c>
      <c r="E348" s="34" t="str">
        <f>+UPPER('0. Instruções'!$D$36&amp;"."&amp;VLOOKUP(B348,'0. Instruções'!$C$27:$E$32,3,FALSE))</f>
        <v>BU_LOANTAPE_WORK.SIMUL_LT002_INSTRUMENT</v>
      </c>
      <c r="F348" s="34" t="s">
        <v>1388</v>
      </c>
      <c r="G348" s="34"/>
      <c r="H348" s="34"/>
      <c r="I348" s="34" t="str">
        <f>"(SELECT "&amp;VLOOKUP(B348,'0. Instruções'!$C$27:$G$32,4,FALSE)&amp;", "&amp;F348&amp;" FROM "&amp;D348&amp;" WHERE "&amp;'0. Instruções'!$D$42&amp;")X"</f>
        <v>(SELECT instrmnt_id, dstntn_fnds FROM BU_LOANTAPE_WORK.LT002_INSTRUMENT WHERE ref_date='${ref_date}' AND nome_perimetro='Individual Local' AND segmento='ESTR' AND ambito='SRB_MBDT' AND entidade='00100')X</v>
      </c>
      <c r="J348" s="34" t="str">
        <f>"(SELECT "&amp;VLOOKUP(B348,'0. Instruções'!$C$27:$G$32,4,FALSE)&amp;" AS "&amp;VLOOKUP(B348,'0. Instruções'!$C$27:$G$32,4,FALSE)&amp;"_SIMUL, "&amp;F348&amp;" AS "&amp;F348&amp;"_SIMUL FROM "&amp;E348&amp;" WHERE "&amp;'0. Instruções'!$D$43&amp;")Y"</f>
        <v>(SELECT instrmnt_id AS instrmnt_id_SIMUL, dstntn_fnds AS dstntn_fnds_SIMUL FROM BU_LOANTAPE_WORK.SIMUL_LT002_INSTRUMENT WHERE ref_date='${ref_date}' AND nome_perimetro='Individual Local' AND segmento='ESTR' AND ambito='PILAR3' AND entidade='00100')Y</v>
      </c>
      <c r="K348" s="35" t="str">
        <f>+UPPER("ON X."&amp;VLOOKUP(B348,'0. Instruções'!$C$27:$G$32,4,FALSE)&amp;"=Y."&amp;VLOOKUP(B348,'0. Instruções'!$C$27:$G$32,4,FALSE)&amp;"_SIMUL")</f>
        <v>ON X.INSTRMNT_ID=Y.INSTRMNT_ID_SIMUL</v>
      </c>
      <c r="L348" s="35" t="str">
        <f>+IF(C348="Coerência", +IF(LEFT(G348,5)="FLOAT","SELECT '"&amp;UPPER(B348)&amp;"' AS TABELA, '"&amp;UPPER(C348)&amp;"' AS TIPOLOGIA_TESTE,'"&amp;D348&amp;"' AS TABELA_LT,'"&amp;E348&amp;"' AS TABELA_SIMUL,'"&amp;F348&amp;"' AS CAMPO, "&amp;"'${ref_date}' AS REF_DATE, COUNT(*) AS NUM_REG, SUM(IF((ABS(COALESCE(CAST(X."&amp;F348&amp;" AS DECIMAL(18,6)),0)-COALESCE(CAST(Y."&amp;F348&amp;"_SIMUL AS DECIMAL(18,6)),0))&gt;0.000001) OR (X."&amp;F348&amp;" IS NULL AND Y."&amp;F348&amp;"_SIMUL IS NOT NULL ) OR (X."&amp;F348&amp;" IS NOT NULL AND Y."&amp;F348&amp;"_SIMUL IS NULL),1,0)) AS NUM_REG_DIF,'"&amp;MAX('ID1&amp;5'!K:K)+1&amp;"' AS ID_EXEC, CURRENT_TIMESTAMP() AS TIME_EXEC FROM "&amp;I348&amp;" INNER JOIN "&amp;J348&amp;" "&amp;K348,"SELECT '"&amp;UPPER(B348)&amp;"' AS TABELA, '"&amp;UPPER(C348)&amp;"' AS TIPOLOGIA_TESTE,'"&amp;D348&amp;"' AS TABELA_LT,'"&amp;E348&amp;"' AS TABELA_SIMUL,'"&amp;F348&amp;"' AS CAMPO, "&amp;"'${ref_date}' AS REF_DATE, COUNT(*) AS NUM_REG, SUM(IF(COALESCE(CAST(X."&amp;F348&amp;" AS STRING),'')&lt;&gt;COALESCE(CAST(Y."&amp;F348&amp;"_SIMUL AS STRING),'') OR (X."&amp;F348&amp;" IS NULL AND Y."&amp;F348&amp;"_SIMUL IS NOT NULL ) OR (X."&amp;F348&amp;" IS NOT NULL AND Y."&amp;F348&amp;"_SIMUL IS NULL),1,0)) AS NUM_REG_DIF,'"&amp;MAX('ID1&amp;5'!L:L)+1&amp;"' AS ID_EXEC, CURRENT_TIMESTAMP() AS TIME_EXEC FROM "&amp;I348&amp;" INNER JOIN "&amp;J348&amp;" "&amp;K348),
IF(C348="Validade",+IF(G348="Code List","SELECT '"&amp;UPPER(B348)&amp;"' AS TABELA, '"&amp;UPPER(C348)&amp;"' AS TIPOLOGIA_TESTE,'"&amp;D348&amp;"' AS TABELA_LT,'N/A' AS TABELA_SIMUL,'"&amp;F348&amp;"' AS CAMPO, "&amp;"'${ref_date}' AS REF_DATE, COUNT(*) AS NUM_REG, SUM(IF(TRIM(CAST(X."&amp;F348&amp;" AS STRING))='' OR TRIM(CAST(X."&amp;F348&amp;" AS STRING)) IS NULL OR CAST(X."&amp;F348&amp;" AS STRING) NOT "&amp;H348&amp;",1,0)) AS NUM_REG_DIF,'"&amp;MAX('ID1&amp;5'!K:K)+1&amp;"' AS ID_EXEC, CURRENT_TIMESTAMP() AS TIME_EXEC FROM "&amp;I348,"SELECT '"&amp;UPPER(B348)&amp;"' AS TABELA, '"&amp;UPPER(C348)&amp;"' AS TIPOLOGIA_TESTE,'"&amp;D348&amp;"' AS TABELA_LT,'N/A' AS TABELA_SIMUL,'"&amp;F348&amp;"' AS CAMPO, "&amp;"'${ref_date}' AS REF_DATE, COUNT(*) AS NUM_REG, SUM(IF(TRIM(CAST(X."&amp;F348&amp;" AS STRING))='' OR TRIM(CAST(X."&amp;F348&amp;" AS STRING)) IS NULL,1,0)) AS NUM_REG_DIF,'"&amp;MAX('ID1&amp;5'!K:K)+1&amp;"' AS ID_EXEC, CURRENT_TIMESTAMP() AS TIME_EXEC FROM "&amp;I348),
IF(C348="Caracteres Especiais",+"SELECT '"&amp;UPPER(B348)&amp;"' AS TABELA, '"&amp;UPPER(C348)&amp;"' AS TIPOLOGIA_TESTE,'"&amp;D348&amp;"' AS TABELA_LT,'N/A' AS TABELA_SIMUL,'"&amp;F348&amp;"' AS CAMPO, "&amp;"'${ref_date}' AS REF_DATE, COUNT(*) AS NUM_REG, SUM(IF(REGEXP_REPLACE(TRIM(CAST(X."&amp;F348&amp;" AS STRING)),'[^a-zA-Z0-9_\\s]','') &lt;&gt;TRIM(CAST(X."&amp;F348&amp;" AS STRING)),1,0)) AS NUM_REG_DIF,'"&amp;MAX('ID1&amp;5'!K:K)+1&amp;"' AS ID_EXEC, CURRENT_TIMESTAMP() AS TIME_EXEC FROM "&amp;I348,
IF(C348="Missings",+"SELECT '"&amp;UPPER(B348)&amp;"' AS TABELA, '"&amp;UPPER(C348)&amp;"' AS TIPOLOGIA_TESTE,'"&amp;D348&amp;"' AS TABELA_LT,'N/A' AS TABELA_SIMUL,'"&amp;F348&amp;"' AS CAMPO, "&amp;"'${ref_date}' AS REF_DATE, COUNT(*) AS NUM_REG, SUM(IF(TRIM(CAST(X."&amp;F348&amp;" AS STRING)) IN ('0000-00-00','0001-01-01','9999-12-31','MISS','00000','99999999999','99999999999.00','99999999999.000000'),1,0)) AS NUM_REG_DIF,'"&amp;MAX('ID1&amp;5'!K:K)+1&amp;"' AS ID_EXEC, CURRENT_TIMESTAMP() AS TIME_EXEC FROM "&amp;I348,
IF(C348="Not applicable",+"SELECT '"&amp;UPPER(B348)&amp;"' AS TABELA, '"&amp;UPPER(C348)&amp;"' AS TIPOLOGIA_TESTE,'"&amp;D348&amp;"' AS TABELA_LT,'N/A' AS TABELA_SIMUL,'"&amp;F348&amp;"' AS CAMPO, "&amp;"'${ref_date}' AS REF_DATE, COUNT(*) AS NUM_REG, SUM(IF(TRIM(CAST(X."&amp;F348&amp;" AS STRING)) IN ('N/A','11111111111','11111111111.00','11111111111.000000','1111-11-11'),1,0)) AS NUM_REG_DIF,'"&amp;MAX('ID1&amp;5'!K:K)+1&amp;"' AS ID_EXEC, CURRENT_TIMESTAMP() AS TIME_EXEC FROM "&amp;I348,
IF(C348="Valores extremos",+"SELECT '"&amp;UPPER(B348)&amp;"' AS TABELA, '"&amp;UPPER(C348)&amp;"' AS TIPOLOGIA_TESTE,'"&amp;D348&amp;"' AS TABELA_LT,'N/A' AS TABELA_SIMUL,'"&amp;F348&amp;"' AS CAMPO, "&amp;"'${ref_date}' AS REF_DATE, CAST(MIN("&amp;F348&amp;") AS STRING) AS VALOR_MIN, CAST(MAX("&amp;F348&amp;") AS STRING) AS VALOR_MAX,'"&amp;MAX('ID1&amp;5'!K:K)+1&amp;"' AS ID_EXEC, CURRENT_TIMESTAMP() AS TIME_EXEC FROM "&amp;MID(I348,1,LEN(I348)-2)&amp;" AND CAST("&amp;F348&amp;"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TABELA_SIMUL,'dstntn_fnds' AS CAMPO, '${ref_date}' AS REF_DATE, COUNT(*) AS NUM_REG, SUM(IF(COALESCE(CAST(X.dstntn_fnds AS STRING),'')&lt;&gt;COALESCE(CAST(Y.dstntn_fnds_SIMUL AS STRING),'') OR (X.dstntn_fnds IS NULL AND Y.dstntn_fnds_SIMUL IS NOT NULL ) OR (X.dstntn_fnds IS NOT NULL AND Y.dstntn_fnds_SIMUL IS NULL),1,0)) AS NUM_REG_DIF,'1' AS ID_EXEC, CURRENT_TIMESTAMP() AS TIME_EXEC FROM (SELECT instrmnt_id, dstntn_fnds FROM BU_LOANTAPE_WORK.LT002_INSTRUMENT WHERE ref_date='${ref_date}' AND nome_perimetro='Individual Local' AND segmento='ESTR' AND ambito='SRB_MBDT' AND entidade='00100')X INNER JOIN (SELECT instrmnt_id AS instrmnt_id_SIMUL, dstntn_fnds AS dstntn_fnds_SIMUL FROM BU_LOANTAPE_WORK.SIMUL_LT002_INSTRUMENT WHERE ref_date='${ref_date}' AND nome_perimetro='Individual Local' AND segmento='ESTR' AND ambito='PILAR3' AND entidade='00100')Y ON X.INSTRMNT_ID=Y.INSTRMNT_ID_SIMUL</v>
      </c>
      <c r="M348" s="36" t="str">
        <f t="shared" si="8"/>
        <v>UNION ALL SELECT 'INSTRUMENT' AS TABELA, 'COERÊNCIA' AS TIPOLOGIA_TESTE,'BU_LOANTAPE_WORK.LT002_INSTRUMENT' AS TABELA_LT,'BU_LOANTAPE_WORK.SIMUL_LT002_INSTRUMENT' AS TABELA_SIMUL,'dstntn_fnds' AS CAMPO, '${ref_date}' AS REF_DATE, COUNT(*) AS NUM_REG, SUM(IF(COALESCE(CAST(X.dstntn_fnds AS STRING),'')&lt;&gt;COALESCE(CAST(Y.dstntn_fnds_SIMUL AS STRING),'') OR (X.dstntn_fnds IS NULL AND Y.dstntn_fnds_SIMUL IS NOT NULL ) OR (X.dstntn_fnds IS NOT NULL AND Y.dstntn_fnds_SIMUL IS NULL),1,0)) AS NUM_REG_DIF,'1' AS ID_EXEC, CURRENT_TIMESTAMP() AS TIME_EXEC FROM (SELECT instrmnt_id, dstntn_fnds FROM BU_LOANTAPE_WORK.LT002_INSTRUMENT WHERE ref_date='${ref_date}' AND nome_perimetro='Individual Local' AND segmento='ESTR' AND ambito='SRB_MBDT' AND entidade='00100')X INNER JOIN (SELECT instrmnt_id AS instrmnt_id_SIMUL, dstntn_fnds AS dstntn_fnds_SIMUL FROM BU_LOANTAPE_WORK.SIMUL_LT002_INSTRUMENT WHERE ref_date='${ref_date}' AND nome_perimetro='Individual Local' AND segmento='ESTR' AND ambito='PILAR3' AND entidade='00100')Y ON X.INSTRMNT_ID=Y.INSTRMNT_ID_SIMUL</v>
      </c>
      <c r="N348" s="38"/>
    </row>
    <row r="349" spans="2:14">
      <c r="B349" s="34" t="s">
        <v>117</v>
      </c>
      <c r="C349" s="34" t="s">
        <v>5</v>
      </c>
      <c r="D349" s="34" t="str">
        <f>+UPPER('0. Instruções'!$D$35&amp;"."&amp;VLOOKUP(B349,'0. Instruções'!$C$27:$D$32,2,FALSE))</f>
        <v>BU_LOANTAPE_WORK.LT002_INSTRUMENT</v>
      </c>
      <c r="E349" s="34" t="str">
        <f>+UPPER('0. Instruções'!$D$36&amp;"."&amp;VLOOKUP(B349,'0. Instruções'!$C$27:$E$32,3,FALSE))</f>
        <v>BU_LOANTAPE_WORK.SIMUL_LT002_INSTRUMENT</v>
      </c>
      <c r="F349" s="34" t="s">
        <v>1389</v>
      </c>
      <c r="G349" s="34"/>
      <c r="H349" s="34"/>
      <c r="I349" s="34" t="str">
        <f>"(SELECT "&amp;VLOOKUP(B349,'0. Instruções'!$C$27:$G$32,4,FALSE)&amp;", "&amp;F349&amp;" FROM "&amp;D349&amp;" WHERE "&amp;'0. Instruções'!$D$42&amp;")X"</f>
        <v>(SELECT instrmnt_id, dt_mdfctn FROM BU_LOANTAPE_WORK.LT002_INSTRUMENT WHERE ref_date='${ref_date}' AND nome_perimetro='Individual Local' AND segmento='ESTR' AND ambito='SRB_MBDT' AND entidade='00100')X</v>
      </c>
      <c r="J349" s="34" t="str">
        <f>"(SELECT "&amp;VLOOKUP(B349,'0. Instruções'!$C$27:$G$32,4,FALSE)&amp;" AS "&amp;VLOOKUP(B349,'0. Instruções'!$C$27:$G$32,4,FALSE)&amp;"_SIMUL, "&amp;F349&amp;" AS "&amp;F349&amp;"_SIMUL FROM "&amp;E349&amp;" WHERE "&amp;'0. Instruções'!$D$43&amp;")Y"</f>
        <v>(SELECT instrmnt_id AS instrmnt_id_SIMUL, dt_mdfctn AS dt_mdfctn_SIMUL FROM BU_LOANTAPE_WORK.SIMUL_LT002_INSTRUMENT WHERE ref_date='${ref_date}' AND nome_perimetro='Individual Local' AND segmento='ESTR' AND ambito='PILAR3' AND entidade='00100')Y</v>
      </c>
      <c r="K349" s="35" t="str">
        <f>+UPPER("ON X."&amp;VLOOKUP(B349,'0. Instruções'!$C$27:$G$32,4,FALSE)&amp;"=Y."&amp;VLOOKUP(B349,'0. Instruções'!$C$27:$G$32,4,FALSE)&amp;"_SIMUL")</f>
        <v>ON X.INSTRMNT_ID=Y.INSTRMNT_ID_SIMUL</v>
      </c>
      <c r="L349" s="35" t="str">
        <f>+IF(C349="Coerência", +IF(LEFT(G349,5)="FLOAT","SELECT '"&amp;UPPER(B349)&amp;"' AS TABELA, '"&amp;UPPER(C349)&amp;"' AS TIPOLOGIA_TESTE,'"&amp;D349&amp;"' AS TABELA_LT,'"&amp;E349&amp;"' AS TABELA_SIMUL,'"&amp;F349&amp;"' AS CAMPO, "&amp;"'${ref_date}' AS REF_DATE, COUNT(*) AS NUM_REG, SUM(IF((ABS(COALESCE(CAST(X."&amp;F349&amp;" AS DECIMAL(18,6)),0)-COALESCE(CAST(Y."&amp;F349&amp;"_SIMUL AS DECIMAL(18,6)),0))&gt;0.000001) OR (X."&amp;F349&amp;" IS NULL AND Y."&amp;F349&amp;"_SIMUL IS NOT NULL ) OR (X."&amp;F349&amp;" IS NOT NULL AND Y."&amp;F349&amp;"_SIMUL IS NULL),1,0)) AS NUM_REG_DIF,'"&amp;MAX('ID1&amp;5'!K:K)+1&amp;"' AS ID_EXEC, CURRENT_TIMESTAMP() AS TIME_EXEC FROM "&amp;I349&amp;" INNER JOIN "&amp;J349&amp;" "&amp;K349,"SELECT '"&amp;UPPER(B349)&amp;"' AS TABELA, '"&amp;UPPER(C349)&amp;"' AS TIPOLOGIA_TESTE,'"&amp;D349&amp;"' AS TABELA_LT,'"&amp;E349&amp;"' AS TABELA_SIMUL,'"&amp;F349&amp;"' AS CAMPO, "&amp;"'${ref_date}' AS REF_DATE, COUNT(*) AS NUM_REG, SUM(IF(COALESCE(CAST(X."&amp;F349&amp;" AS STRING),'')&lt;&gt;COALESCE(CAST(Y."&amp;F349&amp;"_SIMUL AS STRING),'') OR (X."&amp;F349&amp;" IS NULL AND Y."&amp;F349&amp;"_SIMUL IS NOT NULL ) OR (X."&amp;F349&amp;" IS NOT NULL AND Y."&amp;F349&amp;"_SIMUL IS NULL),1,0)) AS NUM_REG_DIF,'"&amp;MAX('ID1&amp;5'!L:L)+1&amp;"' AS ID_EXEC, CURRENT_TIMESTAMP() AS TIME_EXEC FROM "&amp;I349&amp;" INNER JOIN "&amp;J349&amp;" "&amp;K349),
IF(C349="Validade",+IF(G349="Code List","SELECT '"&amp;UPPER(B349)&amp;"' AS TABELA, '"&amp;UPPER(C349)&amp;"' AS TIPOLOGIA_TESTE,'"&amp;D349&amp;"' AS TABELA_LT,'N/A' AS TABELA_SIMUL,'"&amp;F349&amp;"' AS CAMPO, "&amp;"'${ref_date}' AS REF_DATE, COUNT(*) AS NUM_REG, SUM(IF(TRIM(CAST(X."&amp;F349&amp;" AS STRING))='' OR TRIM(CAST(X."&amp;F349&amp;" AS STRING)) IS NULL OR CAST(X."&amp;F349&amp;" AS STRING) NOT "&amp;H349&amp;",1,0)) AS NUM_REG_DIF,'"&amp;MAX('ID1&amp;5'!K:K)+1&amp;"' AS ID_EXEC, CURRENT_TIMESTAMP() AS TIME_EXEC FROM "&amp;I349,"SELECT '"&amp;UPPER(B349)&amp;"' AS TABELA, '"&amp;UPPER(C349)&amp;"' AS TIPOLOGIA_TESTE,'"&amp;D349&amp;"' AS TABELA_LT,'N/A' AS TABELA_SIMUL,'"&amp;F349&amp;"' AS CAMPO, "&amp;"'${ref_date}' AS REF_DATE, COUNT(*) AS NUM_REG, SUM(IF(TRIM(CAST(X."&amp;F349&amp;" AS STRING))='' OR TRIM(CAST(X."&amp;F349&amp;" AS STRING)) IS NULL,1,0)) AS NUM_REG_DIF,'"&amp;MAX('ID1&amp;5'!K:K)+1&amp;"' AS ID_EXEC, CURRENT_TIMESTAMP() AS TIME_EXEC FROM "&amp;I349),
IF(C349="Caracteres Especiais",+"SELECT '"&amp;UPPER(B349)&amp;"' AS TABELA, '"&amp;UPPER(C349)&amp;"' AS TIPOLOGIA_TESTE,'"&amp;D349&amp;"' AS TABELA_LT,'N/A' AS TABELA_SIMUL,'"&amp;F349&amp;"' AS CAMPO, "&amp;"'${ref_date}' AS REF_DATE, COUNT(*) AS NUM_REG, SUM(IF(REGEXP_REPLACE(TRIM(CAST(X."&amp;F349&amp;" AS STRING)),'[^a-zA-Z0-9_\\s]','') &lt;&gt;TRIM(CAST(X."&amp;F349&amp;" AS STRING)),1,0)) AS NUM_REG_DIF,'"&amp;MAX('ID1&amp;5'!K:K)+1&amp;"' AS ID_EXEC, CURRENT_TIMESTAMP() AS TIME_EXEC FROM "&amp;I349,
IF(C349="Missings",+"SELECT '"&amp;UPPER(B349)&amp;"' AS TABELA, '"&amp;UPPER(C349)&amp;"' AS TIPOLOGIA_TESTE,'"&amp;D349&amp;"' AS TABELA_LT,'N/A' AS TABELA_SIMUL,'"&amp;F349&amp;"' AS CAMPO, "&amp;"'${ref_date}' AS REF_DATE, COUNT(*) AS NUM_REG, SUM(IF(TRIM(CAST(X."&amp;F349&amp;" AS STRING)) IN ('0000-00-00','0001-01-01','9999-12-31','MISS','00000','99999999999','99999999999.00','99999999999.000000'),1,0)) AS NUM_REG_DIF,'"&amp;MAX('ID1&amp;5'!K:K)+1&amp;"' AS ID_EXEC, CURRENT_TIMESTAMP() AS TIME_EXEC FROM "&amp;I349,
IF(C349="Not applicable",+"SELECT '"&amp;UPPER(B349)&amp;"' AS TABELA, '"&amp;UPPER(C349)&amp;"' AS TIPOLOGIA_TESTE,'"&amp;D349&amp;"' AS TABELA_LT,'N/A' AS TABELA_SIMUL,'"&amp;F349&amp;"' AS CAMPO, "&amp;"'${ref_date}' AS REF_DATE, COUNT(*) AS NUM_REG, SUM(IF(TRIM(CAST(X."&amp;F349&amp;" AS STRING)) IN ('N/A','11111111111','11111111111.00','11111111111.000000','1111-11-11'),1,0)) AS NUM_REG_DIF,'"&amp;MAX('ID1&amp;5'!K:K)+1&amp;"' AS ID_EXEC, CURRENT_TIMESTAMP() AS TIME_EXEC FROM "&amp;I349,
IF(C349="Valores extremos",+"SELECT '"&amp;UPPER(B349)&amp;"' AS TABELA, '"&amp;UPPER(C349)&amp;"' AS TIPOLOGIA_TESTE,'"&amp;D349&amp;"' AS TABELA_LT,'N/A' AS TABELA_SIMUL,'"&amp;F349&amp;"' AS CAMPO, "&amp;"'${ref_date}' AS REF_DATE, CAST(MIN("&amp;F349&amp;") AS STRING) AS VALOR_MIN, CAST(MAX("&amp;F349&amp;") AS STRING) AS VALOR_MAX,'"&amp;MAX('ID1&amp;5'!K:K)+1&amp;"' AS ID_EXEC, CURRENT_TIMESTAMP() AS TIME_EXEC FROM "&amp;MID(I349,1,LEN(I349)-2)&amp;" AND CAST("&amp;F349&amp;"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TABELA_SIMUL,'dt_mdfctn' AS CAMPO, '${ref_date}' AS REF_DATE, COUNT(*) AS NUM_REG, SUM(IF(COALESCE(CAST(X.dt_mdfctn AS STRING),'')&lt;&gt;COALESCE(CAST(Y.dt_mdfctn_SIMUL AS STRING),'') OR (X.dt_mdfctn IS NULL AND Y.dt_mdfctn_SIMUL IS NOT NULL ) OR (X.dt_mdfctn IS NOT NULL AND Y.dt_mdfctn_SIMUL IS NULL),1,0)) AS NUM_REG_DIF,'1' AS ID_EXEC, CURRENT_TIMESTAMP() AS TIME_EXEC FROM (SELECT instrmnt_id, dt_mdfctn FROM BU_LOANTAPE_WORK.LT002_INSTRUMENT WHERE ref_date='${ref_date}' AND nome_perimetro='Individual Local' AND segmento='ESTR' AND ambito='SRB_MBDT' AND entidade='00100')X INNER JOIN (SELECT instrmnt_id AS instrmnt_id_SIMUL, dt_mdfctn AS dt_mdfctn_SIMUL FROM BU_LOANTAPE_WORK.SIMUL_LT002_INSTRUMENT WHERE ref_date='${ref_date}' AND nome_perimetro='Individual Local' AND segmento='ESTR' AND ambito='PILAR3' AND entidade='00100')Y ON X.INSTRMNT_ID=Y.INSTRMNT_ID_SIMUL</v>
      </c>
      <c r="M349" s="36" t="str">
        <f t="shared" si="8"/>
        <v>UNION ALL SELECT 'INSTRUMENT' AS TABELA, 'COERÊNCIA' AS TIPOLOGIA_TESTE,'BU_LOANTAPE_WORK.LT002_INSTRUMENT' AS TABELA_LT,'BU_LOANTAPE_WORK.SIMUL_LT002_INSTRUMENT' AS TABELA_SIMUL,'dt_mdfctn' AS CAMPO, '${ref_date}' AS REF_DATE, COUNT(*) AS NUM_REG, SUM(IF(COALESCE(CAST(X.dt_mdfctn AS STRING),'')&lt;&gt;COALESCE(CAST(Y.dt_mdfctn_SIMUL AS STRING),'') OR (X.dt_mdfctn IS NULL AND Y.dt_mdfctn_SIMUL IS NOT NULL ) OR (X.dt_mdfctn IS NOT NULL AND Y.dt_mdfctn_SIMUL IS NULL),1,0)) AS NUM_REG_DIF,'1' AS ID_EXEC, CURRENT_TIMESTAMP() AS TIME_EXEC FROM (SELECT instrmnt_id, dt_mdfctn FROM BU_LOANTAPE_WORK.LT002_INSTRUMENT WHERE ref_date='${ref_date}' AND nome_perimetro='Individual Local' AND segmento='ESTR' AND ambito='SRB_MBDT' AND entidade='00100')X INNER JOIN (SELECT instrmnt_id AS instrmnt_id_SIMUL, dt_mdfctn AS dt_mdfctn_SIMUL FROM BU_LOANTAPE_WORK.SIMUL_LT002_INSTRUMENT WHERE ref_date='${ref_date}' AND nome_perimetro='Individual Local' AND segmento='ESTR' AND ambito='PILAR3' AND entidade='00100')Y ON X.INSTRMNT_ID=Y.INSTRMNT_ID_SIMUL</v>
      </c>
      <c r="N349" s="38"/>
    </row>
    <row r="350" spans="2:14">
      <c r="B350" s="34" t="s">
        <v>117</v>
      </c>
      <c r="C350" s="34" t="s">
        <v>5</v>
      </c>
      <c r="D350" s="34" t="str">
        <f>+UPPER('0. Instruções'!$D$35&amp;"."&amp;VLOOKUP(B350,'0. Instruções'!$C$27:$D$32,2,FALSE))</f>
        <v>BU_LOANTAPE_WORK.LT002_INSTRUMENT</v>
      </c>
      <c r="E350" s="34" t="str">
        <f>+UPPER('0. Instruções'!$D$36&amp;"."&amp;VLOOKUP(B350,'0. Instruções'!$C$27:$E$32,3,FALSE))</f>
        <v>BU_LOANTAPE_WORK.SIMUL_LT002_INSTRUMENT</v>
      </c>
      <c r="F350" s="34" t="s">
        <v>1390</v>
      </c>
      <c r="G350" s="34"/>
      <c r="H350" s="34"/>
      <c r="I350" s="34" t="str">
        <f>"(SELECT "&amp;VLOOKUP(B350,'0. Instruções'!$C$27:$G$32,4,FALSE)&amp;", "&amp;F350&amp;" FROM "&amp;D350&amp;" WHERE "&amp;'0. Instruções'!$D$42&amp;")X"</f>
        <v>(SELECT instrmnt_id, excldd_lf FROM BU_LOANTAPE_WORK.LT002_INSTRUMENT WHERE ref_date='${ref_date}' AND nome_perimetro='Individual Local' AND segmento='ESTR' AND ambito='SRB_MBDT' AND entidade='00100')X</v>
      </c>
      <c r="J350" s="34" t="str">
        <f>"(SELECT "&amp;VLOOKUP(B350,'0. Instruções'!$C$27:$G$32,4,FALSE)&amp;" AS "&amp;VLOOKUP(B350,'0. Instruções'!$C$27:$G$32,4,FALSE)&amp;"_SIMUL, "&amp;F350&amp;" AS "&amp;F350&amp;"_SIMUL FROM "&amp;E350&amp;" WHERE "&amp;'0. Instruções'!$D$43&amp;")Y"</f>
        <v>(SELECT instrmnt_id AS instrmnt_id_SIMUL, excldd_lf AS excldd_lf_SIMUL FROM BU_LOANTAPE_WORK.SIMUL_LT002_INSTRUMENT WHERE ref_date='${ref_date}' AND nome_perimetro='Individual Local' AND segmento='ESTR' AND ambito='PILAR3' AND entidade='00100')Y</v>
      </c>
      <c r="K350" s="35" t="str">
        <f>+UPPER("ON X."&amp;VLOOKUP(B350,'0. Instruções'!$C$27:$G$32,4,FALSE)&amp;"=Y."&amp;VLOOKUP(B350,'0. Instruções'!$C$27:$G$32,4,FALSE)&amp;"_SIMUL")</f>
        <v>ON X.INSTRMNT_ID=Y.INSTRMNT_ID_SIMUL</v>
      </c>
      <c r="L350" s="35" t="str">
        <f>+IF(C350="Coerência", +IF(LEFT(G350,5)="FLOAT","SELECT '"&amp;UPPER(B350)&amp;"' AS TABELA, '"&amp;UPPER(C350)&amp;"' AS TIPOLOGIA_TESTE,'"&amp;D350&amp;"' AS TABELA_LT,'"&amp;E350&amp;"' AS TABELA_SIMUL,'"&amp;F350&amp;"' AS CAMPO, "&amp;"'${ref_date}' AS REF_DATE, COUNT(*) AS NUM_REG, SUM(IF((ABS(COALESCE(CAST(X."&amp;F350&amp;" AS DECIMAL(18,6)),0)-COALESCE(CAST(Y."&amp;F350&amp;"_SIMUL AS DECIMAL(18,6)),0))&gt;0.000001) OR (X."&amp;F350&amp;" IS NULL AND Y."&amp;F350&amp;"_SIMUL IS NOT NULL ) OR (X."&amp;F350&amp;" IS NOT NULL AND Y."&amp;F350&amp;"_SIMUL IS NULL),1,0)) AS NUM_REG_DIF,'"&amp;MAX('ID1&amp;5'!K:K)+1&amp;"' AS ID_EXEC, CURRENT_TIMESTAMP() AS TIME_EXEC FROM "&amp;I350&amp;" INNER JOIN "&amp;J350&amp;" "&amp;K350,"SELECT '"&amp;UPPER(B350)&amp;"' AS TABELA, '"&amp;UPPER(C350)&amp;"' AS TIPOLOGIA_TESTE,'"&amp;D350&amp;"' AS TABELA_LT,'"&amp;E350&amp;"' AS TABELA_SIMUL,'"&amp;F350&amp;"' AS CAMPO, "&amp;"'${ref_date}' AS REF_DATE, COUNT(*) AS NUM_REG, SUM(IF(COALESCE(CAST(X."&amp;F350&amp;" AS STRING),'')&lt;&gt;COALESCE(CAST(Y."&amp;F350&amp;"_SIMUL AS STRING),'') OR (X."&amp;F350&amp;" IS NULL AND Y."&amp;F350&amp;"_SIMUL IS NOT NULL ) OR (X."&amp;F350&amp;" IS NOT NULL AND Y."&amp;F350&amp;"_SIMUL IS NULL),1,0)) AS NUM_REG_DIF,'"&amp;MAX('ID1&amp;5'!L:L)+1&amp;"' AS ID_EXEC, CURRENT_TIMESTAMP() AS TIME_EXEC FROM "&amp;I350&amp;" INNER JOIN "&amp;J350&amp;" "&amp;K350),
IF(C350="Validade",+IF(G350="Code List","SELECT '"&amp;UPPER(B350)&amp;"' AS TABELA, '"&amp;UPPER(C350)&amp;"' AS TIPOLOGIA_TESTE,'"&amp;D350&amp;"' AS TABELA_LT,'N/A' AS TABELA_SIMUL,'"&amp;F350&amp;"' AS CAMPO, "&amp;"'${ref_date}' AS REF_DATE, COUNT(*) AS NUM_REG, SUM(IF(TRIM(CAST(X."&amp;F350&amp;" AS STRING))='' OR TRIM(CAST(X."&amp;F350&amp;" AS STRING)) IS NULL OR CAST(X."&amp;F350&amp;" AS STRING) NOT "&amp;H350&amp;",1,0)) AS NUM_REG_DIF,'"&amp;MAX('ID1&amp;5'!K:K)+1&amp;"' AS ID_EXEC, CURRENT_TIMESTAMP() AS TIME_EXEC FROM "&amp;I350,"SELECT '"&amp;UPPER(B350)&amp;"' AS TABELA, '"&amp;UPPER(C350)&amp;"' AS TIPOLOGIA_TESTE,'"&amp;D350&amp;"' AS TABELA_LT,'N/A' AS TABELA_SIMUL,'"&amp;F350&amp;"' AS CAMPO, "&amp;"'${ref_date}' AS REF_DATE, COUNT(*) AS NUM_REG, SUM(IF(TRIM(CAST(X."&amp;F350&amp;" AS STRING))='' OR TRIM(CAST(X."&amp;F350&amp;" AS STRING)) IS NULL,1,0)) AS NUM_REG_DIF,'"&amp;MAX('ID1&amp;5'!K:K)+1&amp;"' AS ID_EXEC, CURRENT_TIMESTAMP() AS TIME_EXEC FROM "&amp;I350),
IF(C350="Caracteres Especiais",+"SELECT '"&amp;UPPER(B350)&amp;"' AS TABELA, '"&amp;UPPER(C350)&amp;"' AS TIPOLOGIA_TESTE,'"&amp;D350&amp;"' AS TABELA_LT,'N/A' AS TABELA_SIMUL,'"&amp;F350&amp;"' AS CAMPO, "&amp;"'${ref_date}' AS REF_DATE, COUNT(*) AS NUM_REG, SUM(IF(REGEXP_REPLACE(TRIM(CAST(X."&amp;F350&amp;" AS STRING)),'[^a-zA-Z0-9_\\s]','') &lt;&gt;TRIM(CAST(X."&amp;F350&amp;" AS STRING)),1,0)) AS NUM_REG_DIF,'"&amp;MAX('ID1&amp;5'!K:K)+1&amp;"' AS ID_EXEC, CURRENT_TIMESTAMP() AS TIME_EXEC FROM "&amp;I350,
IF(C350="Missings",+"SELECT '"&amp;UPPER(B350)&amp;"' AS TABELA, '"&amp;UPPER(C350)&amp;"' AS TIPOLOGIA_TESTE,'"&amp;D350&amp;"' AS TABELA_LT,'N/A' AS TABELA_SIMUL,'"&amp;F350&amp;"' AS CAMPO, "&amp;"'${ref_date}' AS REF_DATE, COUNT(*) AS NUM_REG, SUM(IF(TRIM(CAST(X."&amp;F350&amp;" AS STRING)) IN ('0000-00-00','0001-01-01','9999-12-31','MISS','00000','99999999999','99999999999.00','99999999999.000000'),1,0)) AS NUM_REG_DIF,'"&amp;MAX('ID1&amp;5'!K:K)+1&amp;"' AS ID_EXEC, CURRENT_TIMESTAMP() AS TIME_EXEC FROM "&amp;I350,
IF(C350="Not applicable",+"SELECT '"&amp;UPPER(B350)&amp;"' AS TABELA, '"&amp;UPPER(C350)&amp;"' AS TIPOLOGIA_TESTE,'"&amp;D350&amp;"' AS TABELA_LT,'N/A' AS TABELA_SIMUL,'"&amp;F350&amp;"' AS CAMPO, "&amp;"'${ref_date}' AS REF_DATE, COUNT(*) AS NUM_REG, SUM(IF(TRIM(CAST(X."&amp;F350&amp;" AS STRING)) IN ('N/A','11111111111','11111111111.00','11111111111.000000','1111-11-11'),1,0)) AS NUM_REG_DIF,'"&amp;MAX('ID1&amp;5'!K:K)+1&amp;"' AS ID_EXEC, CURRENT_TIMESTAMP() AS TIME_EXEC FROM "&amp;I350,
IF(C350="Valores extremos",+"SELECT '"&amp;UPPER(B350)&amp;"' AS TABELA, '"&amp;UPPER(C350)&amp;"' AS TIPOLOGIA_TESTE,'"&amp;D350&amp;"' AS TABELA_LT,'N/A' AS TABELA_SIMUL,'"&amp;F350&amp;"' AS CAMPO, "&amp;"'${ref_date}' AS REF_DATE, CAST(MIN("&amp;F350&amp;") AS STRING) AS VALOR_MIN, CAST(MAX("&amp;F350&amp;") AS STRING) AS VALOR_MAX,'"&amp;MAX('ID1&amp;5'!K:K)+1&amp;"' AS ID_EXEC, CURRENT_TIMESTAMP() AS TIME_EXEC FROM "&amp;MID(I350,1,LEN(I350)-2)&amp;" AND CAST("&amp;F350&amp;"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TABELA_SIMUL,'excldd_lf' AS CAMPO, '${ref_date}' AS REF_DATE, COUNT(*) AS NUM_REG, SUM(IF(COALESCE(CAST(X.excldd_lf AS STRING),'')&lt;&gt;COALESCE(CAST(Y.excldd_lf_SIMUL AS STRING),'') OR (X.excldd_lf IS NULL AND Y.excldd_lf_SIMUL IS NOT NULL ) OR (X.excldd_lf IS NOT NULL AND Y.excldd_lf_SIMUL IS NULL),1,0)) AS NUM_REG_DIF,'1' AS ID_EXEC, CURRENT_TIMESTAMP() AS TIME_EXEC FROM (SELECT instrmnt_id, excldd_lf FROM BU_LOANTAPE_WORK.LT002_INSTRUMENT WHERE ref_date='${ref_date}' AND nome_perimetro='Individual Local' AND segmento='ESTR' AND ambito='SRB_MBDT' AND entidade='00100')X INNER JOIN (SELECT instrmnt_id AS instrmnt_id_SIMUL, excldd_lf AS excldd_lf_SIMUL FROM BU_LOANTAPE_WORK.SIMUL_LT002_INSTRUMENT WHERE ref_date='${ref_date}' AND nome_perimetro='Individual Local' AND segmento='ESTR' AND ambito='PILAR3' AND entidade='00100')Y ON X.INSTRMNT_ID=Y.INSTRMNT_ID_SIMUL</v>
      </c>
      <c r="M350" s="36" t="str">
        <f t="shared" si="8"/>
        <v>UNION ALL SELECT 'INSTRUMENT' AS TABELA, 'COERÊNCIA' AS TIPOLOGIA_TESTE,'BU_LOANTAPE_WORK.LT002_INSTRUMENT' AS TABELA_LT,'BU_LOANTAPE_WORK.SIMUL_LT002_INSTRUMENT' AS TABELA_SIMUL,'excldd_lf' AS CAMPO, '${ref_date}' AS REF_DATE, COUNT(*) AS NUM_REG, SUM(IF(COALESCE(CAST(X.excldd_lf AS STRING),'')&lt;&gt;COALESCE(CAST(Y.excldd_lf_SIMUL AS STRING),'') OR (X.excldd_lf IS NULL AND Y.excldd_lf_SIMUL IS NOT NULL ) OR (X.excldd_lf IS NOT NULL AND Y.excldd_lf_SIMUL IS NULL),1,0)) AS NUM_REG_DIF,'1' AS ID_EXEC, CURRENT_TIMESTAMP() AS TIME_EXEC FROM (SELECT instrmnt_id, excldd_lf FROM BU_LOANTAPE_WORK.LT002_INSTRUMENT WHERE ref_date='${ref_date}' AND nome_perimetro='Individual Local' AND segmento='ESTR' AND ambito='SRB_MBDT' AND entidade='00100')X INNER JOIN (SELECT instrmnt_id AS instrmnt_id_SIMUL, excldd_lf AS excldd_lf_SIMUL FROM BU_LOANTAPE_WORK.SIMUL_LT002_INSTRUMENT WHERE ref_date='${ref_date}' AND nome_perimetro='Individual Local' AND segmento='ESTR' AND ambito='PILAR3' AND entidade='00100')Y ON X.INSTRMNT_ID=Y.INSTRMNT_ID_SIMUL</v>
      </c>
      <c r="N350" s="38"/>
    </row>
    <row r="351" spans="2:14">
      <c r="B351" s="34" t="s">
        <v>117</v>
      </c>
      <c r="C351" s="34" t="s">
        <v>5</v>
      </c>
      <c r="D351" s="34" t="str">
        <f>+UPPER('0. Instruções'!$D$35&amp;"."&amp;VLOOKUP(B351,'0. Instruções'!$C$27:$D$32,2,FALSE))</f>
        <v>BU_LOANTAPE_WORK.LT002_INSTRUMENT</v>
      </c>
      <c r="E351" s="34" t="str">
        <f>+UPPER('0. Instruções'!$D$36&amp;"."&amp;VLOOKUP(B351,'0. Instruções'!$C$27:$E$32,3,FALSE))</f>
        <v>BU_LOANTAPE_WORK.SIMUL_LT002_INSTRUMENT</v>
      </c>
      <c r="F351" s="34" t="s">
        <v>1391</v>
      </c>
      <c r="G351" s="34"/>
      <c r="H351" s="34"/>
      <c r="I351" s="34" t="str">
        <f>"(SELECT "&amp;VLOOKUP(B351,'0. Instruções'!$C$27:$G$32,4,FALSE)&amp;", "&amp;F351&amp;" FROM "&amp;D351&amp;" WHERE "&amp;'0. Instruções'!$D$42&amp;")X"</f>
        <v>(SELECT instrmnt_id, pd_ec_incptn FROM BU_LOANTAPE_WORK.LT002_INSTRUMENT WHERE ref_date='${ref_date}' AND nome_perimetro='Individual Local' AND segmento='ESTR' AND ambito='SRB_MBDT' AND entidade='00100')X</v>
      </c>
      <c r="J351" s="34" t="str">
        <f>"(SELECT "&amp;VLOOKUP(B351,'0. Instruções'!$C$27:$G$32,4,FALSE)&amp;" AS "&amp;VLOOKUP(B351,'0. Instruções'!$C$27:$G$32,4,FALSE)&amp;"_SIMUL, "&amp;F351&amp;" AS "&amp;F351&amp;"_SIMUL FROM "&amp;E351&amp;" WHERE "&amp;'0. Instruções'!$D$43&amp;")Y"</f>
        <v>(SELECT instrmnt_id AS instrmnt_id_SIMUL, pd_ec_incptn AS pd_ec_incptn_SIMUL FROM BU_LOANTAPE_WORK.SIMUL_LT002_INSTRUMENT WHERE ref_date='${ref_date}' AND nome_perimetro='Individual Local' AND segmento='ESTR' AND ambito='PILAR3' AND entidade='00100')Y</v>
      </c>
      <c r="K351" s="35" t="str">
        <f>+UPPER("ON X."&amp;VLOOKUP(B351,'0. Instruções'!$C$27:$G$32,4,FALSE)&amp;"=Y."&amp;VLOOKUP(B351,'0. Instruções'!$C$27:$G$32,4,FALSE)&amp;"_SIMUL")</f>
        <v>ON X.INSTRMNT_ID=Y.INSTRMNT_ID_SIMUL</v>
      </c>
      <c r="L351" s="35" t="str">
        <f>+IF(C351="Coerência", +IF(LEFT(G351,5)="FLOAT","SELECT '"&amp;UPPER(B351)&amp;"' AS TABELA, '"&amp;UPPER(C351)&amp;"' AS TIPOLOGIA_TESTE,'"&amp;D351&amp;"' AS TABELA_LT,'"&amp;E351&amp;"' AS TABELA_SIMUL,'"&amp;F351&amp;"' AS CAMPO, "&amp;"'${ref_date}' AS REF_DATE, COUNT(*) AS NUM_REG, SUM(IF((ABS(COALESCE(CAST(X."&amp;F351&amp;" AS DECIMAL(18,6)),0)-COALESCE(CAST(Y."&amp;F351&amp;"_SIMUL AS DECIMAL(18,6)),0))&gt;0.000001) OR (X."&amp;F351&amp;" IS NULL AND Y."&amp;F351&amp;"_SIMUL IS NOT NULL ) OR (X."&amp;F351&amp;" IS NOT NULL AND Y."&amp;F351&amp;"_SIMUL IS NULL),1,0)) AS NUM_REG_DIF,'"&amp;MAX('ID1&amp;5'!K:K)+1&amp;"' AS ID_EXEC, CURRENT_TIMESTAMP() AS TIME_EXEC FROM "&amp;I351&amp;" INNER JOIN "&amp;J351&amp;" "&amp;K351,"SELECT '"&amp;UPPER(B351)&amp;"' AS TABELA, '"&amp;UPPER(C351)&amp;"' AS TIPOLOGIA_TESTE,'"&amp;D351&amp;"' AS TABELA_LT,'"&amp;E351&amp;"' AS TABELA_SIMUL,'"&amp;F351&amp;"' AS CAMPO, "&amp;"'${ref_date}' AS REF_DATE, COUNT(*) AS NUM_REG, SUM(IF(COALESCE(CAST(X."&amp;F351&amp;" AS STRING),'')&lt;&gt;COALESCE(CAST(Y."&amp;F351&amp;"_SIMUL AS STRING),'') OR (X."&amp;F351&amp;" IS NULL AND Y."&amp;F351&amp;"_SIMUL IS NOT NULL ) OR (X."&amp;F351&amp;" IS NOT NULL AND Y."&amp;F351&amp;"_SIMUL IS NULL),1,0)) AS NUM_REG_DIF,'"&amp;MAX('ID1&amp;5'!L:L)+1&amp;"' AS ID_EXEC, CURRENT_TIMESTAMP() AS TIME_EXEC FROM "&amp;I351&amp;" INNER JOIN "&amp;J351&amp;" "&amp;K351),
IF(C351="Validade",+IF(G351="Code List","SELECT '"&amp;UPPER(B351)&amp;"' AS TABELA, '"&amp;UPPER(C351)&amp;"' AS TIPOLOGIA_TESTE,'"&amp;D351&amp;"' AS TABELA_LT,'N/A' AS TABELA_SIMUL,'"&amp;F351&amp;"' AS CAMPO, "&amp;"'${ref_date}' AS REF_DATE, COUNT(*) AS NUM_REG, SUM(IF(TRIM(CAST(X."&amp;F351&amp;" AS STRING))='' OR TRIM(CAST(X."&amp;F351&amp;" AS STRING)) IS NULL OR CAST(X."&amp;F351&amp;" AS STRING) NOT "&amp;H351&amp;",1,0)) AS NUM_REG_DIF,'"&amp;MAX('ID1&amp;5'!K:K)+1&amp;"' AS ID_EXEC, CURRENT_TIMESTAMP() AS TIME_EXEC FROM "&amp;I351,"SELECT '"&amp;UPPER(B351)&amp;"' AS TABELA, '"&amp;UPPER(C351)&amp;"' AS TIPOLOGIA_TESTE,'"&amp;D351&amp;"' AS TABELA_LT,'N/A' AS TABELA_SIMUL,'"&amp;F351&amp;"' AS CAMPO, "&amp;"'${ref_date}' AS REF_DATE, COUNT(*) AS NUM_REG, SUM(IF(TRIM(CAST(X."&amp;F351&amp;" AS STRING))='' OR TRIM(CAST(X."&amp;F351&amp;" AS STRING)) IS NULL,1,0)) AS NUM_REG_DIF,'"&amp;MAX('ID1&amp;5'!K:K)+1&amp;"' AS ID_EXEC, CURRENT_TIMESTAMP() AS TIME_EXEC FROM "&amp;I351),
IF(C351="Caracteres Especiais",+"SELECT '"&amp;UPPER(B351)&amp;"' AS TABELA, '"&amp;UPPER(C351)&amp;"' AS TIPOLOGIA_TESTE,'"&amp;D351&amp;"' AS TABELA_LT,'N/A' AS TABELA_SIMUL,'"&amp;F351&amp;"' AS CAMPO, "&amp;"'${ref_date}' AS REF_DATE, COUNT(*) AS NUM_REG, SUM(IF(REGEXP_REPLACE(TRIM(CAST(X."&amp;F351&amp;" AS STRING)),'[^a-zA-Z0-9_\\s]','') &lt;&gt;TRIM(CAST(X."&amp;F351&amp;" AS STRING)),1,0)) AS NUM_REG_DIF,'"&amp;MAX('ID1&amp;5'!K:K)+1&amp;"' AS ID_EXEC, CURRENT_TIMESTAMP() AS TIME_EXEC FROM "&amp;I351,
IF(C351="Missings",+"SELECT '"&amp;UPPER(B351)&amp;"' AS TABELA, '"&amp;UPPER(C351)&amp;"' AS TIPOLOGIA_TESTE,'"&amp;D351&amp;"' AS TABELA_LT,'N/A' AS TABELA_SIMUL,'"&amp;F351&amp;"' AS CAMPO, "&amp;"'${ref_date}' AS REF_DATE, COUNT(*) AS NUM_REG, SUM(IF(TRIM(CAST(X."&amp;F351&amp;" AS STRING)) IN ('0000-00-00','0001-01-01','9999-12-31','MISS','00000','99999999999','99999999999.00','99999999999.000000'),1,0)) AS NUM_REG_DIF,'"&amp;MAX('ID1&amp;5'!K:K)+1&amp;"' AS ID_EXEC, CURRENT_TIMESTAMP() AS TIME_EXEC FROM "&amp;I351,
IF(C351="Not applicable",+"SELECT '"&amp;UPPER(B351)&amp;"' AS TABELA, '"&amp;UPPER(C351)&amp;"' AS TIPOLOGIA_TESTE,'"&amp;D351&amp;"' AS TABELA_LT,'N/A' AS TABELA_SIMUL,'"&amp;F351&amp;"' AS CAMPO, "&amp;"'${ref_date}' AS REF_DATE, COUNT(*) AS NUM_REG, SUM(IF(TRIM(CAST(X."&amp;F351&amp;" AS STRING)) IN ('N/A','11111111111','11111111111.00','11111111111.000000','1111-11-11'),1,0)) AS NUM_REG_DIF,'"&amp;MAX('ID1&amp;5'!K:K)+1&amp;"' AS ID_EXEC, CURRENT_TIMESTAMP() AS TIME_EXEC FROM "&amp;I351,
IF(C351="Valores extremos",+"SELECT '"&amp;UPPER(B351)&amp;"' AS TABELA, '"&amp;UPPER(C351)&amp;"' AS TIPOLOGIA_TESTE,'"&amp;D351&amp;"' AS TABELA_LT,'N/A' AS TABELA_SIMUL,'"&amp;F351&amp;"' AS CAMPO, "&amp;"'${ref_date}' AS REF_DATE, CAST(MIN("&amp;F351&amp;") AS STRING) AS VALOR_MIN, CAST(MAX("&amp;F351&amp;") AS STRING) AS VALOR_MAX,'"&amp;MAX('ID1&amp;5'!K:K)+1&amp;"' AS ID_EXEC, CURRENT_TIMESTAMP() AS TIME_EXEC FROM "&amp;MID(I351,1,LEN(I351)-2)&amp;" AND CAST("&amp;F351&amp;"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TABELA_SIMUL,'pd_ec_incptn' AS CAMPO, '${ref_date}' AS REF_DATE, COUNT(*) AS NUM_REG, SUM(IF(COALESCE(CAST(X.pd_ec_incptn AS STRING),'')&lt;&gt;COALESCE(CAST(Y.pd_ec_incptn_SIMUL AS STRING),'') OR (X.pd_ec_incptn IS NULL AND Y.pd_ec_incptn_SIMUL IS NOT NULL ) OR (X.pd_ec_incptn IS NOT NULL AND Y.pd_ec_incptn_SIMUL IS NULL),1,0)) AS NUM_REG_DIF,'1' AS ID_EXEC, CURRENT_TIMESTAMP() AS TIME_EXEC FROM (SELECT instrmnt_id, pd_ec_incptn FROM BU_LOANTAPE_WORK.LT002_INSTRUMENT WHERE ref_date='${ref_date}' AND nome_perimetro='Individual Local' AND segmento='ESTR' AND ambito='SRB_MBDT' AND entidade='00100')X INNER JOIN (SELECT instrmnt_id AS instrmnt_id_SIMUL, pd_ec_incptn AS pd_ec_incptn_SIMUL FROM BU_LOANTAPE_WORK.SIMUL_LT002_INSTRUMENT WHERE ref_date='${ref_date}' AND nome_perimetro='Individual Local' AND segmento='ESTR' AND ambito='PILAR3' AND entidade='00100')Y ON X.INSTRMNT_ID=Y.INSTRMNT_ID_SIMUL</v>
      </c>
      <c r="M351" s="36" t="str">
        <f t="shared" si="8"/>
        <v>UNION ALL SELECT 'INSTRUMENT' AS TABELA, 'COERÊNCIA' AS TIPOLOGIA_TESTE,'BU_LOANTAPE_WORK.LT002_INSTRUMENT' AS TABELA_LT,'BU_LOANTAPE_WORK.SIMUL_LT002_INSTRUMENT' AS TABELA_SIMUL,'pd_ec_incptn' AS CAMPO, '${ref_date}' AS REF_DATE, COUNT(*) AS NUM_REG, SUM(IF(COALESCE(CAST(X.pd_ec_incptn AS STRING),'')&lt;&gt;COALESCE(CAST(Y.pd_ec_incptn_SIMUL AS STRING),'') OR (X.pd_ec_incptn IS NULL AND Y.pd_ec_incptn_SIMUL IS NOT NULL ) OR (X.pd_ec_incptn IS NOT NULL AND Y.pd_ec_incptn_SIMUL IS NULL),1,0)) AS NUM_REG_DIF,'1' AS ID_EXEC, CURRENT_TIMESTAMP() AS TIME_EXEC FROM (SELECT instrmnt_id, pd_ec_incptn FROM BU_LOANTAPE_WORK.LT002_INSTRUMENT WHERE ref_date='${ref_date}' AND nome_perimetro='Individual Local' AND segmento='ESTR' AND ambito='SRB_MBDT' AND entidade='00100')X INNER JOIN (SELECT instrmnt_id AS instrmnt_id_SIMUL, pd_ec_incptn AS pd_ec_incptn_SIMUL FROM BU_LOANTAPE_WORK.SIMUL_LT002_INSTRUMENT WHERE ref_date='${ref_date}' AND nome_perimetro='Individual Local' AND segmento='ESTR' AND ambito='PILAR3' AND entidade='00100')Y ON X.INSTRMNT_ID=Y.INSTRMNT_ID_SIMUL</v>
      </c>
      <c r="N351" s="38"/>
    </row>
    <row r="352" spans="2:14">
      <c r="B352" s="34" t="s">
        <v>117</v>
      </c>
      <c r="C352" s="34" t="s">
        <v>5</v>
      </c>
      <c r="D352" s="34" t="str">
        <f>+UPPER('0. Instruções'!$D$35&amp;"."&amp;VLOOKUP(B352,'0. Instruções'!$C$27:$D$32,2,FALSE))</f>
        <v>BU_LOANTAPE_WORK.LT002_INSTRUMENT</v>
      </c>
      <c r="E352" s="34" t="str">
        <f>+UPPER('0. Instruções'!$D$36&amp;"."&amp;VLOOKUP(B352,'0. Instruções'!$C$27:$E$32,3,FALSE))</f>
        <v>BU_LOANTAPE_WORK.SIMUL_LT002_INSTRUMENT</v>
      </c>
      <c r="F352" s="34" t="s">
        <v>1392</v>
      </c>
      <c r="G352" s="34"/>
      <c r="H352" s="34"/>
      <c r="I352" s="34" t="str">
        <f>"(SELECT "&amp;VLOOKUP(B352,'0. Instruções'!$C$27:$G$32,4,FALSE)&amp;", "&amp;F352&amp;" FROM "&amp;D352&amp;" WHERE "&amp;'0. Instruções'!$D$42&amp;")X"</f>
        <v>(SELECT instrmnt_id, pd_ec_rd FROM BU_LOANTAPE_WORK.LT002_INSTRUMENT WHERE ref_date='${ref_date}' AND nome_perimetro='Individual Local' AND segmento='ESTR' AND ambito='SRB_MBDT' AND entidade='00100')X</v>
      </c>
      <c r="J352" s="34" t="str">
        <f>"(SELECT "&amp;VLOOKUP(B352,'0. Instruções'!$C$27:$G$32,4,FALSE)&amp;" AS "&amp;VLOOKUP(B352,'0. Instruções'!$C$27:$G$32,4,FALSE)&amp;"_SIMUL, "&amp;F352&amp;" AS "&amp;F352&amp;"_SIMUL FROM "&amp;E352&amp;" WHERE "&amp;'0. Instruções'!$D$43&amp;")Y"</f>
        <v>(SELECT instrmnt_id AS instrmnt_id_SIMUL, pd_ec_rd AS pd_ec_rd_SIMUL FROM BU_LOANTAPE_WORK.SIMUL_LT002_INSTRUMENT WHERE ref_date='${ref_date}' AND nome_perimetro='Individual Local' AND segmento='ESTR' AND ambito='PILAR3' AND entidade='00100')Y</v>
      </c>
      <c r="K352" s="35" t="str">
        <f>+UPPER("ON X."&amp;VLOOKUP(B352,'0. Instruções'!$C$27:$G$32,4,FALSE)&amp;"=Y."&amp;VLOOKUP(B352,'0. Instruções'!$C$27:$G$32,4,FALSE)&amp;"_SIMUL")</f>
        <v>ON X.INSTRMNT_ID=Y.INSTRMNT_ID_SIMUL</v>
      </c>
      <c r="L352" s="35" t="str">
        <f>+IF(C352="Coerência", +IF(LEFT(G352,5)="FLOAT","SELECT '"&amp;UPPER(B352)&amp;"' AS TABELA, '"&amp;UPPER(C352)&amp;"' AS TIPOLOGIA_TESTE,'"&amp;D352&amp;"' AS TABELA_LT,'"&amp;E352&amp;"' AS TABELA_SIMUL,'"&amp;F352&amp;"' AS CAMPO, "&amp;"'${ref_date}' AS REF_DATE, COUNT(*) AS NUM_REG, SUM(IF((ABS(COALESCE(CAST(X."&amp;F352&amp;" AS DECIMAL(18,6)),0)-COALESCE(CAST(Y."&amp;F352&amp;"_SIMUL AS DECIMAL(18,6)),0))&gt;0.000001) OR (X."&amp;F352&amp;" IS NULL AND Y."&amp;F352&amp;"_SIMUL IS NOT NULL ) OR (X."&amp;F352&amp;" IS NOT NULL AND Y."&amp;F352&amp;"_SIMUL IS NULL),1,0)) AS NUM_REG_DIF,'"&amp;MAX('ID1&amp;5'!K:K)+1&amp;"' AS ID_EXEC, CURRENT_TIMESTAMP() AS TIME_EXEC FROM "&amp;I352&amp;" INNER JOIN "&amp;J352&amp;" "&amp;K352,"SELECT '"&amp;UPPER(B352)&amp;"' AS TABELA, '"&amp;UPPER(C352)&amp;"' AS TIPOLOGIA_TESTE,'"&amp;D352&amp;"' AS TABELA_LT,'"&amp;E352&amp;"' AS TABELA_SIMUL,'"&amp;F352&amp;"' AS CAMPO, "&amp;"'${ref_date}' AS REF_DATE, COUNT(*) AS NUM_REG, SUM(IF(COALESCE(CAST(X."&amp;F352&amp;" AS STRING),'')&lt;&gt;COALESCE(CAST(Y."&amp;F352&amp;"_SIMUL AS STRING),'') OR (X."&amp;F352&amp;" IS NULL AND Y."&amp;F352&amp;"_SIMUL IS NOT NULL ) OR (X."&amp;F352&amp;" IS NOT NULL AND Y."&amp;F352&amp;"_SIMUL IS NULL),1,0)) AS NUM_REG_DIF,'"&amp;MAX('ID1&amp;5'!L:L)+1&amp;"' AS ID_EXEC, CURRENT_TIMESTAMP() AS TIME_EXEC FROM "&amp;I352&amp;" INNER JOIN "&amp;J352&amp;" "&amp;K352),
IF(C352="Validade",+IF(G352="Code List","SELECT '"&amp;UPPER(B352)&amp;"' AS TABELA, '"&amp;UPPER(C352)&amp;"' AS TIPOLOGIA_TESTE,'"&amp;D352&amp;"' AS TABELA_LT,'N/A' AS TABELA_SIMUL,'"&amp;F352&amp;"' AS CAMPO, "&amp;"'${ref_date}' AS REF_DATE, COUNT(*) AS NUM_REG, SUM(IF(TRIM(CAST(X."&amp;F352&amp;" AS STRING))='' OR TRIM(CAST(X."&amp;F352&amp;" AS STRING)) IS NULL OR CAST(X."&amp;F352&amp;" AS STRING) NOT "&amp;H352&amp;",1,0)) AS NUM_REG_DIF,'"&amp;MAX('ID1&amp;5'!K:K)+1&amp;"' AS ID_EXEC, CURRENT_TIMESTAMP() AS TIME_EXEC FROM "&amp;I352,"SELECT '"&amp;UPPER(B352)&amp;"' AS TABELA, '"&amp;UPPER(C352)&amp;"' AS TIPOLOGIA_TESTE,'"&amp;D352&amp;"' AS TABELA_LT,'N/A' AS TABELA_SIMUL,'"&amp;F352&amp;"' AS CAMPO, "&amp;"'${ref_date}' AS REF_DATE, COUNT(*) AS NUM_REG, SUM(IF(TRIM(CAST(X."&amp;F352&amp;" AS STRING))='' OR TRIM(CAST(X."&amp;F352&amp;" AS STRING)) IS NULL,1,0)) AS NUM_REG_DIF,'"&amp;MAX('ID1&amp;5'!K:K)+1&amp;"' AS ID_EXEC, CURRENT_TIMESTAMP() AS TIME_EXEC FROM "&amp;I352),
IF(C352="Caracteres Especiais",+"SELECT '"&amp;UPPER(B352)&amp;"' AS TABELA, '"&amp;UPPER(C352)&amp;"' AS TIPOLOGIA_TESTE,'"&amp;D352&amp;"' AS TABELA_LT,'N/A' AS TABELA_SIMUL,'"&amp;F352&amp;"' AS CAMPO, "&amp;"'${ref_date}' AS REF_DATE, COUNT(*) AS NUM_REG, SUM(IF(REGEXP_REPLACE(TRIM(CAST(X."&amp;F352&amp;" AS STRING)),'[^a-zA-Z0-9_\\s]','') &lt;&gt;TRIM(CAST(X."&amp;F352&amp;" AS STRING)),1,0)) AS NUM_REG_DIF,'"&amp;MAX('ID1&amp;5'!K:K)+1&amp;"' AS ID_EXEC, CURRENT_TIMESTAMP() AS TIME_EXEC FROM "&amp;I352,
IF(C352="Missings",+"SELECT '"&amp;UPPER(B352)&amp;"' AS TABELA, '"&amp;UPPER(C352)&amp;"' AS TIPOLOGIA_TESTE,'"&amp;D352&amp;"' AS TABELA_LT,'N/A' AS TABELA_SIMUL,'"&amp;F352&amp;"' AS CAMPO, "&amp;"'${ref_date}' AS REF_DATE, COUNT(*) AS NUM_REG, SUM(IF(TRIM(CAST(X."&amp;F352&amp;" AS STRING)) IN ('0000-00-00','0001-01-01','9999-12-31','MISS','00000','99999999999','99999999999.00','99999999999.000000'),1,0)) AS NUM_REG_DIF,'"&amp;MAX('ID1&amp;5'!K:K)+1&amp;"' AS ID_EXEC, CURRENT_TIMESTAMP() AS TIME_EXEC FROM "&amp;I352,
IF(C352="Not applicable",+"SELECT '"&amp;UPPER(B352)&amp;"' AS TABELA, '"&amp;UPPER(C352)&amp;"' AS TIPOLOGIA_TESTE,'"&amp;D352&amp;"' AS TABELA_LT,'N/A' AS TABELA_SIMUL,'"&amp;F352&amp;"' AS CAMPO, "&amp;"'${ref_date}' AS REF_DATE, COUNT(*) AS NUM_REG, SUM(IF(TRIM(CAST(X."&amp;F352&amp;" AS STRING)) IN ('N/A','11111111111','11111111111.00','11111111111.000000','1111-11-11'),1,0)) AS NUM_REG_DIF,'"&amp;MAX('ID1&amp;5'!K:K)+1&amp;"' AS ID_EXEC, CURRENT_TIMESTAMP() AS TIME_EXEC FROM "&amp;I352,
IF(C352="Valores extremos",+"SELECT '"&amp;UPPER(B352)&amp;"' AS TABELA, '"&amp;UPPER(C352)&amp;"' AS TIPOLOGIA_TESTE,'"&amp;D352&amp;"' AS TABELA_LT,'N/A' AS TABELA_SIMUL,'"&amp;F352&amp;"' AS CAMPO, "&amp;"'${ref_date}' AS REF_DATE, CAST(MIN("&amp;F352&amp;") AS STRING) AS VALOR_MIN, CAST(MAX("&amp;F352&amp;") AS STRING) AS VALOR_MAX,'"&amp;MAX('ID1&amp;5'!K:K)+1&amp;"' AS ID_EXEC, CURRENT_TIMESTAMP() AS TIME_EXEC FROM "&amp;MID(I352,1,LEN(I352)-2)&amp;" AND CAST("&amp;F352&amp;"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TABELA_SIMUL,'pd_ec_rd' AS CAMPO, '${ref_date}' AS REF_DATE, COUNT(*) AS NUM_REG, SUM(IF(COALESCE(CAST(X.pd_ec_rd AS STRING),'')&lt;&gt;COALESCE(CAST(Y.pd_ec_rd_SIMUL AS STRING),'') OR (X.pd_ec_rd IS NULL AND Y.pd_ec_rd_SIMUL IS NOT NULL ) OR (X.pd_ec_rd IS NOT NULL AND Y.pd_ec_rd_SIMUL IS NULL),1,0)) AS NUM_REG_DIF,'1' AS ID_EXEC, CURRENT_TIMESTAMP() AS TIME_EXEC FROM (SELECT instrmnt_id, pd_ec_rd FROM BU_LOANTAPE_WORK.LT002_INSTRUMENT WHERE ref_date='${ref_date}' AND nome_perimetro='Individual Local' AND segmento='ESTR' AND ambito='SRB_MBDT' AND entidade='00100')X INNER JOIN (SELECT instrmnt_id AS instrmnt_id_SIMUL, pd_ec_rd AS pd_ec_rd_SIMUL FROM BU_LOANTAPE_WORK.SIMUL_LT002_INSTRUMENT WHERE ref_date='${ref_date}' AND nome_perimetro='Individual Local' AND segmento='ESTR' AND ambito='PILAR3' AND entidade='00100')Y ON X.INSTRMNT_ID=Y.INSTRMNT_ID_SIMUL</v>
      </c>
      <c r="M352" s="36" t="str">
        <f t="shared" si="8"/>
        <v>UNION ALL SELECT 'INSTRUMENT' AS TABELA, 'COERÊNCIA' AS TIPOLOGIA_TESTE,'BU_LOANTAPE_WORK.LT002_INSTRUMENT' AS TABELA_LT,'BU_LOANTAPE_WORK.SIMUL_LT002_INSTRUMENT' AS TABELA_SIMUL,'pd_ec_rd' AS CAMPO, '${ref_date}' AS REF_DATE, COUNT(*) AS NUM_REG, SUM(IF(COALESCE(CAST(X.pd_ec_rd AS STRING),'')&lt;&gt;COALESCE(CAST(Y.pd_ec_rd_SIMUL AS STRING),'') OR (X.pd_ec_rd IS NULL AND Y.pd_ec_rd_SIMUL IS NOT NULL ) OR (X.pd_ec_rd IS NOT NULL AND Y.pd_ec_rd_SIMUL IS NULL),1,0)) AS NUM_REG_DIF,'1' AS ID_EXEC, CURRENT_TIMESTAMP() AS TIME_EXEC FROM (SELECT instrmnt_id, pd_ec_rd FROM BU_LOANTAPE_WORK.LT002_INSTRUMENT WHERE ref_date='${ref_date}' AND nome_perimetro='Individual Local' AND segmento='ESTR' AND ambito='SRB_MBDT' AND entidade='00100')X INNER JOIN (SELECT instrmnt_id AS instrmnt_id_SIMUL, pd_ec_rd AS pd_ec_rd_SIMUL FROM BU_LOANTAPE_WORK.SIMUL_LT002_INSTRUMENT WHERE ref_date='${ref_date}' AND nome_perimetro='Individual Local' AND segmento='ESTR' AND ambito='PILAR3' AND entidade='00100')Y ON X.INSTRMNT_ID=Y.INSTRMNT_ID_SIMUL</v>
      </c>
      <c r="N352" s="38"/>
    </row>
    <row r="353" spans="2:14">
      <c r="B353" s="34" t="s">
        <v>117</v>
      </c>
      <c r="C353" s="34" t="s">
        <v>5</v>
      </c>
      <c r="D353" s="34" t="str">
        <f>+UPPER('0. Instruções'!$D$35&amp;"."&amp;VLOOKUP(B353,'0. Instruções'!$C$27:$D$32,2,FALSE))</f>
        <v>BU_LOANTAPE_WORK.LT002_INSTRUMENT</v>
      </c>
      <c r="E353" s="34" t="str">
        <f>+UPPER('0. Instruções'!$D$36&amp;"."&amp;VLOOKUP(B353,'0. Instruções'!$C$27:$E$32,3,FALSE))</f>
        <v>BU_LOANTAPE_WORK.SIMUL_LT002_INSTRUMENT</v>
      </c>
      <c r="F353" s="34" t="s">
        <v>1393</v>
      </c>
      <c r="G353" s="34"/>
      <c r="H353" s="34"/>
      <c r="I353" s="34" t="str">
        <f>"(SELECT "&amp;VLOOKUP(B353,'0. Instruções'!$C$27:$G$32,4,FALSE)&amp;", "&amp;F353&amp;" FROM "&amp;D353&amp;" WHERE "&amp;'0. Instruções'!$D$42&amp;")X"</f>
        <v>(SELECT instrmnt_id, rorac FROM BU_LOANTAPE_WORK.LT002_INSTRUMENT WHERE ref_date='${ref_date}' AND nome_perimetro='Individual Local' AND segmento='ESTR' AND ambito='SRB_MBDT' AND entidade='00100')X</v>
      </c>
      <c r="J353" s="34" t="str">
        <f>"(SELECT "&amp;VLOOKUP(B353,'0. Instruções'!$C$27:$G$32,4,FALSE)&amp;" AS "&amp;VLOOKUP(B353,'0. Instruções'!$C$27:$G$32,4,FALSE)&amp;"_SIMUL, "&amp;F353&amp;" AS "&amp;F353&amp;"_SIMUL FROM "&amp;E353&amp;" WHERE "&amp;'0. Instruções'!$D$43&amp;")Y"</f>
        <v>(SELECT instrmnt_id AS instrmnt_id_SIMUL, rorac AS rorac_SIMUL FROM BU_LOANTAPE_WORK.SIMUL_LT002_INSTRUMENT WHERE ref_date='${ref_date}' AND nome_perimetro='Individual Local' AND segmento='ESTR' AND ambito='PILAR3' AND entidade='00100')Y</v>
      </c>
      <c r="K353" s="35" t="str">
        <f>+UPPER("ON X."&amp;VLOOKUP(B353,'0. Instruções'!$C$27:$G$32,4,FALSE)&amp;"=Y."&amp;VLOOKUP(B353,'0. Instruções'!$C$27:$G$32,4,FALSE)&amp;"_SIMUL")</f>
        <v>ON X.INSTRMNT_ID=Y.INSTRMNT_ID_SIMUL</v>
      </c>
      <c r="L353" s="35" t="str">
        <f>+IF(C353="Coerência", +IF(LEFT(G353,5)="FLOAT","SELECT '"&amp;UPPER(B353)&amp;"' AS TABELA, '"&amp;UPPER(C353)&amp;"' AS TIPOLOGIA_TESTE,'"&amp;D353&amp;"' AS TABELA_LT,'"&amp;E353&amp;"' AS TABELA_SIMUL,'"&amp;F353&amp;"' AS CAMPO, "&amp;"'${ref_date}' AS REF_DATE, COUNT(*) AS NUM_REG, SUM(IF((ABS(COALESCE(CAST(X."&amp;F353&amp;" AS DECIMAL(18,6)),0)-COALESCE(CAST(Y."&amp;F353&amp;"_SIMUL AS DECIMAL(18,6)),0))&gt;0.000001) OR (X."&amp;F353&amp;" IS NULL AND Y."&amp;F353&amp;"_SIMUL IS NOT NULL ) OR (X."&amp;F353&amp;" IS NOT NULL AND Y."&amp;F353&amp;"_SIMUL IS NULL),1,0)) AS NUM_REG_DIF,'"&amp;MAX('ID1&amp;5'!K:K)+1&amp;"' AS ID_EXEC, CURRENT_TIMESTAMP() AS TIME_EXEC FROM "&amp;I353&amp;" INNER JOIN "&amp;J353&amp;" "&amp;K353,"SELECT '"&amp;UPPER(B353)&amp;"' AS TABELA, '"&amp;UPPER(C353)&amp;"' AS TIPOLOGIA_TESTE,'"&amp;D353&amp;"' AS TABELA_LT,'"&amp;E353&amp;"' AS TABELA_SIMUL,'"&amp;F353&amp;"' AS CAMPO, "&amp;"'${ref_date}' AS REF_DATE, COUNT(*) AS NUM_REG, SUM(IF(COALESCE(CAST(X."&amp;F353&amp;" AS STRING),'')&lt;&gt;COALESCE(CAST(Y."&amp;F353&amp;"_SIMUL AS STRING),'') OR (X."&amp;F353&amp;" IS NULL AND Y."&amp;F353&amp;"_SIMUL IS NOT NULL ) OR (X."&amp;F353&amp;" IS NOT NULL AND Y."&amp;F353&amp;"_SIMUL IS NULL),1,0)) AS NUM_REG_DIF,'"&amp;MAX('ID1&amp;5'!L:L)+1&amp;"' AS ID_EXEC, CURRENT_TIMESTAMP() AS TIME_EXEC FROM "&amp;I353&amp;" INNER JOIN "&amp;J353&amp;" "&amp;K353),
IF(C353="Validade",+IF(G353="Code List","SELECT '"&amp;UPPER(B353)&amp;"' AS TABELA, '"&amp;UPPER(C353)&amp;"' AS TIPOLOGIA_TESTE,'"&amp;D353&amp;"' AS TABELA_LT,'N/A' AS TABELA_SIMUL,'"&amp;F353&amp;"' AS CAMPO, "&amp;"'${ref_date}' AS REF_DATE, COUNT(*) AS NUM_REG, SUM(IF(TRIM(CAST(X."&amp;F353&amp;" AS STRING))='' OR TRIM(CAST(X."&amp;F353&amp;" AS STRING)) IS NULL OR CAST(X."&amp;F353&amp;" AS STRING) NOT "&amp;H353&amp;",1,0)) AS NUM_REG_DIF,'"&amp;MAX('ID1&amp;5'!K:K)+1&amp;"' AS ID_EXEC, CURRENT_TIMESTAMP() AS TIME_EXEC FROM "&amp;I353,"SELECT '"&amp;UPPER(B353)&amp;"' AS TABELA, '"&amp;UPPER(C353)&amp;"' AS TIPOLOGIA_TESTE,'"&amp;D353&amp;"' AS TABELA_LT,'N/A' AS TABELA_SIMUL,'"&amp;F353&amp;"' AS CAMPO, "&amp;"'${ref_date}' AS REF_DATE, COUNT(*) AS NUM_REG, SUM(IF(TRIM(CAST(X."&amp;F353&amp;" AS STRING))='' OR TRIM(CAST(X."&amp;F353&amp;" AS STRING)) IS NULL,1,0)) AS NUM_REG_DIF,'"&amp;MAX('ID1&amp;5'!K:K)+1&amp;"' AS ID_EXEC, CURRENT_TIMESTAMP() AS TIME_EXEC FROM "&amp;I353),
IF(C353="Caracteres Especiais",+"SELECT '"&amp;UPPER(B353)&amp;"' AS TABELA, '"&amp;UPPER(C353)&amp;"' AS TIPOLOGIA_TESTE,'"&amp;D353&amp;"' AS TABELA_LT,'N/A' AS TABELA_SIMUL,'"&amp;F353&amp;"' AS CAMPO, "&amp;"'${ref_date}' AS REF_DATE, COUNT(*) AS NUM_REG, SUM(IF(REGEXP_REPLACE(TRIM(CAST(X."&amp;F353&amp;" AS STRING)),'[^a-zA-Z0-9_\\s]','') &lt;&gt;TRIM(CAST(X."&amp;F353&amp;" AS STRING)),1,0)) AS NUM_REG_DIF,'"&amp;MAX('ID1&amp;5'!K:K)+1&amp;"' AS ID_EXEC, CURRENT_TIMESTAMP() AS TIME_EXEC FROM "&amp;I353,
IF(C353="Missings",+"SELECT '"&amp;UPPER(B353)&amp;"' AS TABELA, '"&amp;UPPER(C353)&amp;"' AS TIPOLOGIA_TESTE,'"&amp;D353&amp;"' AS TABELA_LT,'N/A' AS TABELA_SIMUL,'"&amp;F353&amp;"' AS CAMPO, "&amp;"'${ref_date}' AS REF_DATE, COUNT(*) AS NUM_REG, SUM(IF(TRIM(CAST(X."&amp;F353&amp;" AS STRING)) IN ('0000-00-00','0001-01-01','9999-12-31','MISS','00000','99999999999','99999999999.00','99999999999.000000'),1,0)) AS NUM_REG_DIF,'"&amp;MAX('ID1&amp;5'!K:K)+1&amp;"' AS ID_EXEC, CURRENT_TIMESTAMP() AS TIME_EXEC FROM "&amp;I353,
IF(C353="Not applicable",+"SELECT '"&amp;UPPER(B353)&amp;"' AS TABELA, '"&amp;UPPER(C353)&amp;"' AS TIPOLOGIA_TESTE,'"&amp;D353&amp;"' AS TABELA_LT,'N/A' AS TABELA_SIMUL,'"&amp;F353&amp;"' AS CAMPO, "&amp;"'${ref_date}' AS REF_DATE, COUNT(*) AS NUM_REG, SUM(IF(TRIM(CAST(X."&amp;F353&amp;" AS STRING)) IN ('N/A','11111111111','11111111111.00','11111111111.000000','1111-11-11'),1,0)) AS NUM_REG_DIF,'"&amp;MAX('ID1&amp;5'!K:K)+1&amp;"' AS ID_EXEC, CURRENT_TIMESTAMP() AS TIME_EXEC FROM "&amp;I353,
IF(C353="Valores extremos",+"SELECT '"&amp;UPPER(B353)&amp;"' AS TABELA, '"&amp;UPPER(C353)&amp;"' AS TIPOLOGIA_TESTE,'"&amp;D353&amp;"' AS TABELA_LT,'N/A' AS TABELA_SIMUL,'"&amp;F353&amp;"' AS CAMPO, "&amp;"'${ref_date}' AS REF_DATE, CAST(MIN("&amp;F353&amp;") AS STRING) AS VALOR_MIN, CAST(MAX("&amp;F353&amp;") AS STRING) AS VALOR_MAX,'"&amp;MAX('ID1&amp;5'!K:K)+1&amp;"' AS ID_EXEC, CURRENT_TIMESTAMP() AS TIME_EXEC FROM "&amp;MID(I353,1,LEN(I353)-2)&amp;" AND CAST("&amp;F353&amp;"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TABELA_SIMUL,'rorac' AS CAMPO, '${ref_date}' AS REF_DATE, COUNT(*) AS NUM_REG, SUM(IF(COALESCE(CAST(X.rorac AS STRING),'')&lt;&gt;COALESCE(CAST(Y.rorac_SIMUL AS STRING),'') OR (X.rorac IS NULL AND Y.rorac_SIMUL IS NOT NULL ) OR (X.rorac IS NOT NULL AND Y.rorac_SIMUL IS NULL),1,0)) AS NUM_REG_DIF,'1' AS ID_EXEC, CURRENT_TIMESTAMP() AS TIME_EXEC FROM (SELECT instrmnt_id, rorac FROM BU_LOANTAPE_WORK.LT002_INSTRUMENT WHERE ref_date='${ref_date}' AND nome_perimetro='Individual Local' AND segmento='ESTR' AND ambito='SRB_MBDT' AND entidade='00100')X INNER JOIN (SELECT instrmnt_id AS instrmnt_id_SIMUL, rorac AS rorac_SIMUL FROM BU_LOANTAPE_WORK.SIMUL_LT002_INSTRUMENT WHERE ref_date='${ref_date}' AND nome_perimetro='Individual Local' AND segmento='ESTR' AND ambito='PILAR3' AND entidade='00100')Y ON X.INSTRMNT_ID=Y.INSTRMNT_ID_SIMUL</v>
      </c>
      <c r="M353" s="36" t="str">
        <f t="shared" si="8"/>
        <v>UNION ALL SELECT 'INSTRUMENT' AS TABELA, 'COERÊNCIA' AS TIPOLOGIA_TESTE,'BU_LOANTAPE_WORK.LT002_INSTRUMENT' AS TABELA_LT,'BU_LOANTAPE_WORK.SIMUL_LT002_INSTRUMENT' AS TABELA_SIMUL,'rorac' AS CAMPO, '${ref_date}' AS REF_DATE, COUNT(*) AS NUM_REG, SUM(IF(COALESCE(CAST(X.rorac AS STRING),'')&lt;&gt;COALESCE(CAST(Y.rorac_SIMUL AS STRING),'') OR (X.rorac IS NULL AND Y.rorac_SIMUL IS NOT NULL ) OR (X.rorac IS NOT NULL AND Y.rorac_SIMUL IS NULL),1,0)) AS NUM_REG_DIF,'1' AS ID_EXEC, CURRENT_TIMESTAMP() AS TIME_EXEC FROM (SELECT instrmnt_id, rorac FROM BU_LOANTAPE_WORK.LT002_INSTRUMENT WHERE ref_date='${ref_date}' AND nome_perimetro='Individual Local' AND segmento='ESTR' AND ambito='SRB_MBDT' AND entidade='00100')X INNER JOIN (SELECT instrmnt_id AS instrmnt_id_SIMUL, rorac AS rorac_SIMUL FROM BU_LOANTAPE_WORK.SIMUL_LT002_INSTRUMENT WHERE ref_date='${ref_date}' AND nome_perimetro='Individual Local' AND segmento='ESTR' AND ambito='PILAR3' AND entidade='00100')Y ON X.INSTRMNT_ID=Y.INSTRMNT_ID_SIMUL</v>
      </c>
      <c r="N353" s="38"/>
    </row>
    <row r="354" spans="2:14">
      <c r="B354" s="34" t="s">
        <v>117</v>
      </c>
      <c r="C354" s="34" t="s">
        <v>5</v>
      </c>
      <c r="D354" s="34" t="str">
        <f>+UPPER('0. Instruções'!$D$35&amp;"."&amp;VLOOKUP(B354,'0. Instruções'!$C$27:$D$32,2,FALSE))</f>
        <v>BU_LOANTAPE_WORK.LT002_INSTRUMENT</v>
      </c>
      <c r="E354" s="34" t="str">
        <f>+UPPER('0. Instruções'!$D$36&amp;"."&amp;VLOOKUP(B354,'0. Instruções'!$C$27:$E$32,3,FALSE))</f>
        <v>BU_LOANTAPE_WORK.SIMUL_LT002_INSTRUMENT</v>
      </c>
      <c r="F354" s="34" t="s">
        <v>1394</v>
      </c>
      <c r="G354" s="34"/>
      <c r="H354" s="34"/>
      <c r="I354" s="34" t="str">
        <f>"(SELECT "&amp;VLOOKUP(B354,'0. Instruções'!$C$27:$G$32,4,FALSE)&amp;", "&amp;F354&amp;" FROM "&amp;D354&amp;" WHERE "&amp;'0. Instruções'!$D$42&amp;")X"</f>
        <v>(SELECT instrmnt_id, rorwa FROM BU_LOANTAPE_WORK.LT002_INSTRUMENT WHERE ref_date='${ref_date}' AND nome_perimetro='Individual Local' AND segmento='ESTR' AND ambito='SRB_MBDT' AND entidade='00100')X</v>
      </c>
      <c r="J354" s="34" t="str">
        <f>"(SELECT "&amp;VLOOKUP(B354,'0. Instruções'!$C$27:$G$32,4,FALSE)&amp;" AS "&amp;VLOOKUP(B354,'0. Instruções'!$C$27:$G$32,4,FALSE)&amp;"_SIMUL, "&amp;F354&amp;" AS "&amp;F354&amp;"_SIMUL FROM "&amp;E354&amp;" WHERE "&amp;'0. Instruções'!$D$43&amp;")Y"</f>
        <v>(SELECT instrmnt_id AS instrmnt_id_SIMUL, rorwa AS rorwa_SIMUL FROM BU_LOANTAPE_WORK.SIMUL_LT002_INSTRUMENT WHERE ref_date='${ref_date}' AND nome_perimetro='Individual Local' AND segmento='ESTR' AND ambito='PILAR3' AND entidade='00100')Y</v>
      </c>
      <c r="K354" s="35" t="str">
        <f>+UPPER("ON X."&amp;VLOOKUP(B354,'0. Instruções'!$C$27:$G$32,4,FALSE)&amp;"=Y."&amp;VLOOKUP(B354,'0. Instruções'!$C$27:$G$32,4,FALSE)&amp;"_SIMUL")</f>
        <v>ON X.INSTRMNT_ID=Y.INSTRMNT_ID_SIMUL</v>
      </c>
      <c r="L354" s="35" t="str">
        <f>+IF(C354="Coerência", +IF(LEFT(G354,5)="FLOAT","SELECT '"&amp;UPPER(B354)&amp;"' AS TABELA, '"&amp;UPPER(C354)&amp;"' AS TIPOLOGIA_TESTE,'"&amp;D354&amp;"' AS TABELA_LT,'"&amp;E354&amp;"' AS TABELA_SIMUL,'"&amp;F354&amp;"' AS CAMPO, "&amp;"'${ref_date}' AS REF_DATE, COUNT(*) AS NUM_REG, SUM(IF((ABS(COALESCE(CAST(X."&amp;F354&amp;" AS DECIMAL(18,6)),0)-COALESCE(CAST(Y."&amp;F354&amp;"_SIMUL AS DECIMAL(18,6)),0))&gt;0.000001) OR (X."&amp;F354&amp;" IS NULL AND Y."&amp;F354&amp;"_SIMUL IS NOT NULL ) OR (X."&amp;F354&amp;" IS NOT NULL AND Y."&amp;F354&amp;"_SIMUL IS NULL),1,0)) AS NUM_REG_DIF,'"&amp;MAX('ID1&amp;5'!K:K)+1&amp;"' AS ID_EXEC, CURRENT_TIMESTAMP() AS TIME_EXEC FROM "&amp;I354&amp;" INNER JOIN "&amp;J354&amp;" "&amp;K354,"SELECT '"&amp;UPPER(B354)&amp;"' AS TABELA, '"&amp;UPPER(C354)&amp;"' AS TIPOLOGIA_TESTE,'"&amp;D354&amp;"' AS TABELA_LT,'"&amp;E354&amp;"' AS TABELA_SIMUL,'"&amp;F354&amp;"' AS CAMPO, "&amp;"'${ref_date}' AS REF_DATE, COUNT(*) AS NUM_REG, SUM(IF(COALESCE(CAST(X."&amp;F354&amp;" AS STRING),'')&lt;&gt;COALESCE(CAST(Y."&amp;F354&amp;"_SIMUL AS STRING),'') OR (X."&amp;F354&amp;" IS NULL AND Y."&amp;F354&amp;"_SIMUL IS NOT NULL ) OR (X."&amp;F354&amp;" IS NOT NULL AND Y."&amp;F354&amp;"_SIMUL IS NULL),1,0)) AS NUM_REG_DIF,'"&amp;MAX('ID1&amp;5'!L:L)+1&amp;"' AS ID_EXEC, CURRENT_TIMESTAMP() AS TIME_EXEC FROM "&amp;I354&amp;" INNER JOIN "&amp;J354&amp;" "&amp;K354),
IF(C354="Validade",+IF(G354="Code List","SELECT '"&amp;UPPER(B354)&amp;"' AS TABELA, '"&amp;UPPER(C354)&amp;"' AS TIPOLOGIA_TESTE,'"&amp;D354&amp;"' AS TABELA_LT,'N/A' AS TABELA_SIMUL,'"&amp;F354&amp;"' AS CAMPO, "&amp;"'${ref_date}' AS REF_DATE, COUNT(*) AS NUM_REG, SUM(IF(TRIM(CAST(X."&amp;F354&amp;" AS STRING))='' OR TRIM(CAST(X."&amp;F354&amp;" AS STRING)) IS NULL OR CAST(X."&amp;F354&amp;" AS STRING) NOT "&amp;H354&amp;",1,0)) AS NUM_REG_DIF,'"&amp;MAX('ID1&amp;5'!K:K)+1&amp;"' AS ID_EXEC, CURRENT_TIMESTAMP() AS TIME_EXEC FROM "&amp;I354,"SELECT '"&amp;UPPER(B354)&amp;"' AS TABELA, '"&amp;UPPER(C354)&amp;"' AS TIPOLOGIA_TESTE,'"&amp;D354&amp;"' AS TABELA_LT,'N/A' AS TABELA_SIMUL,'"&amp;F354&amp;"' AS CAMPO, "&amp;"'${ref_date}' AS REF_DATE, COUNT(*) AS NUM_REG, SUM(IF(TRIM(CAST(X."&amp;F354&amp;" AS STRING))='' OR TRIM(CAST(X."&amp;F354&amp;" AS STRING)) IS NULL,1,0)) AS NUM_REG_DIF,'"&amp;MAX('ID1&amp;5'!K:K)+1&amp;"' AS ID_EXEC, CURRENT_TIMESTAMP() AS TIME_EXEC FROM "&amp;I354),
IF(C354="Caracteres Especiais",+"SELECT '"&amp;UPPER(B354)&amp;"' AS TABELA, '"&amp;UPPER(C354)&amp;"' AS TIPOLOGIA_TESTE,'"&amp;D354&amp;"' AS TABELA_LT,'N/A' AS TABELA_SIMUL,'"&amp;F354&amp;"' AS CAMPO, "&amp;"'${ref_date}' AS REF_DATE, COUNT(*) AS NUM_REG, SUM(IF(REGEXP_REPLACE(TRIM(CAST(X."&amp;F354&amp;" AS STRING)),'[^a-zA-Z0-9_\\s]','') &lt;&gt;TRIM(CAST(X."&amp;F354&amp;" AS STRING)),1,0)) AS NUM_REG_DIF,'"&amp;MAX('ID1&amp;5'!K:K)+1&amp;"' AS ID_EXEC, CURRENT_TIMESTAMP() AS TIME_EXEC FROM "&amp;I354,
IF(C354="Missings",+"SELECT '"&amp;UPPER(B354)&amp;"' AS TABELA, '"&amp;UPPER(C354)&amp;"' AS TIPOLOGIA_TESTE,'"&amp;D354&amp;"' AS TABELA_LT,'N/A' AS TABELA_SIMUL,'"&amp;F354&amp;"' AS CAMPO, "&amp;"'${ref_date}' AS REF_DATE, COUNT(*) AS NUM_REG, SUM(IF(TRIM(CAST(X."&amp;F354&amp;" AS STRING)) IN ('0000-00-00','0001-01-01','9999-12-31','MISS','00000','99999999999','99999999999.00','99999999999.000000'),1,0)) AS NUM_REG_DIF,'"&amp;MAX('ID1&amp;5'!K:K)+1&amp;"' AS ID_EXEC, CURRENT_TIMESTAMP() AS TIME_EXEC FROM "&amp;I354,
IF(C354="Not applicable",+"SELECT '"&amp;UPPER(B354)&amp;"' AS TABELA, '"&amp;UPPER(C354)&amp;"' AS TIPOLOGIA_TESTE,'"&amp;D354&amp;"' AS TABELA_LT,'N/A' AS TABELA_SIMUL,'"&amp;F354&amp;"' AS CAMPO, "&amp;"'${ref_date}' AS REF_DATE, COUNT(*) AS NUM_REG, SUM(IF(TRIM(CAST(X."&amp;F354&amp;" AS STRING)) IN ('N/A','11111111111','11111111111.00','11111111111.000000','1111-11-11'),1,0)) AS NUM_REG_DIF,'"&amp;MAX('ID1&amp;5'!K:K)+1&amp;"' AS ID_EXEC, CURRENT_TIMESTAMP() AS TIME_EXEC FROM "&amp;I354,
IF(C354="Valores extremos",+"SELECT '"&amp;UPPER(B354)&amp;"' AS TABELA, '"&amp;UPPER(C354)&amp;"' AS TIPOLOGIA_TESTE,'"&amp;D354&amp;"' AS TABELA_LT,'N/A' AS TABELA_SIMUL,'"&amp;F354&amp;"' AS CAMPO, "&amp;"'${ref_date}' AS REF_DATE, CAST(MIN("&amp;F354&amp;") AS STRING) AS VALOR_MIN, CAST(MAX("&amp;F354&amp;") AS STRING) AS VALOR_MAX,'"&amp;MAX('ID1&amp;5'!K:K)+1&amp;"' AS ID_EXEC, CURRENT_TIMESTAMP() AS TIME_EXEC FROM "&amp;MID(I354,1,LEN(I354)-2)&amp;" AND CAST("&amp;F354&amp;"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TABELA_SIMUL,'rorwa' AS CAMPO, '${ref_date}' AS REF_DATE, COUNT(*) AS NUM_REG, SUM(IF(COALESCE(CAST(X.rorwa AS STRING),'')&lt;&gt;COALESCE(CAST(Y.rorwa_SIMUL AS STRING),'') OR (X.rorwa IS NULL AND Y.rorwa_SIMUL IS NOT NULL ) OR (X.rorwa IS NOT NULL AND Y.rorwa_SIMUL IS NULL),1,0)) AS NUM_REG_DIF,'1' AS ID_EXEC, CURRENT_TIMESTAMP() AS TIME_EXEC FROM (SELECT instrmnt_id, rorwa FROM BU_LOANTAPE_WORK.LT002_INSTRUMENT WHERE ref_date='${ref_date}' AND nome_perimetro='Individual Local' AND segmento='ESTR' AND ambito='SRB_MBDT' AND entidade='00100')X INNER JOIN (SELECT instrmnt_id AS instrmnt_id_SIMUL, rorwa AS rorwa_SIMUL FROM BU_LOANTAPE_WORK.SIMUL_LT002_INSTRUMENT WHERE ref_date='${ref_date}' AND nome_perimetro='Individual Local' AND segmento='ESTR' AND ambito='PILAR3' AND entidade='00100')Y ON X.INSTRMNT_ID=Y.INSTRMNT_ID_SIMUL</v>
      </c>
      <c r="M354" s="36" t="str">
        <f t="shared" si="8"/>
        <v>UNION ALL SELECT 'INSTRUMENT' AS TABELA, 'COERÊNCIA' AS TIPOLOGIA_TESTE,'BU_LOANTAPE_WORK.LT002_INSTRUMENT' AS TABELA_LT,'BU_LOANTAPE_WORK.SIMUL_LT002_INSTRUMENT' AS TABELA_SIMUL,'rorwa' AS CAMPO, '${ref_date}' AS REF_DATE, COUNT(*) AS NUM_REG, SUM(IF(COALESCE(CAST(X.rorwa AS STRING),'')&lt;&gt;COALESCE(CAST(Y.rorwa_SIMUL AS STRING),'') OR (X.rorwa IS NULL AND Y.rorwa_SIMUL IS NOT NULL ) OR (X.rorwa IS NOT NULL AND Y.rorwa_SIMUL IS NULL),1,0)) AS NUM_REG_DIF,'1' AS ID_EXEC, CURRENT_TIMESTAMP() AS TIME_EXEC FROM (SELECT instrmnt_id, rorwa FROM BU_LOANTAPE_WORK.LT002_INSTRUMENT WHERE ref_date='${ref_date}' AND nome_perimetro='Individual Local' AND segmento='ESTR' AND ambito='SRB_MBDT' AND entidade='00100')X INNER JOIN (SELECT instrmnt_id AS instrmnt_id_SIMUL, rorwa AS rorwa_SIMUL FROM BU_LOANTAPE_WORK.SIMUL_LT002_INSTRUMENT WHERE ref_date='${ref_date}' AND nome_perimetro='Individual Local' AND segmento='ESTR' AND ambito='PILAR3' AND entidade='00100')Y ON X.INSTRMNT_ID=Y.INSTRMNT_ID_SIMUL</v>
      </c>
      <c r="N354" s="38"/>
    </row>
    <row r="355" spans="2:14">
      <c r="B355" s="34" t="s">
        <v>117</v>
      </c>
      <c r="C355" s="34" t="s">
        <v>5</v>
      </c>
      <c r="D355" s="34" t="str">
        <f>+UPPER('0. Instruções'!$D$35&amp;"."&amp;VLOOKUP(B355,'0. Instruções'!$C$27:$D$32,2,FALSE))</f>
        <v>BU_LOANTAPE_WORK.LT002_INSTRUMENT</v>
      </c>
      <c r="E355" s="34" t="str">
        <f>+UPPER('0. Instruções'!$D$36&amp;"."&amp;VLOOKUP(B355,'0. Instruções'!$C$27:$E$32,3,FALSE))</f>
        <v>BU_LOANTAPE_WORK.SIMUL_LT002_INSTRUMENT</v>
      </c>
      <c r="F355" s="34" t="s">
        <v>1395</v>
      </c>
      <c r="G355" s="34"/>
      <c r="H355" s="34"/>
      <c r="I355" s="34" t="str">
        <f>"(SELECT "&amp;VLOOKUP(B355,'0. Instruções'!$C$27:$G$32,4,FALSE)&amp;", "&amp;F355&amp;" FROM "&amp;D355&amp;" WHERE "&amp;'0. Instruções'!$D$42&amp;")X"</f>
        <v>(SELECT instrmnt_id, rwa_mtgtn FROM BU_LOANTAPE_WORK.LT002_INSTRUMENT WHERE ref_date='${ref_date}' AND nome_perimetro='Individual Local' AND segmento='ESTR' AND ambito='SRB_MBDT' AND entidade='00100')X</v>
      </c>
      <c r="J355" s="34" t="str">
        <f>"(SELECT "&amp;VLOOKUP(B355,'0. Instruções'!$C$27:$G$32,4,FALSE)&amp;" AS "&amp;VLOOKUP(B355,'0. Instruções'!$C$27:$G$32,4,FALSE)&amp;"_SIMUL, "&amp;F355&amp;" AS "&amp;F355&amp;"_SIMUL FROM "&amp;E355&amp;" WHERE "&amp;'0. Instruções'!$D$43&amp;")Y"</f>
        <v>(SELECT instrmnt_id AS instrmnt_id_SIMUL, rwa_mtgtn AS rwa_mtgtn_SIMUL FROM BU_LOANTAPE_WORK.SIMUL_LT002_INSTRUMENT WHERE ref_date='${ref_date}' AND nome_perimetro='Individual Local' AND segmento='ESTR' AND ambito='PILAR3' AND entidade='00100')Y</v>
      </c>
      <c r="K355" s="35" t="str">
        <f>+UPPER("ON X."&amp;VLOOKUP(B355,'0. Instruções'!$C$27:$G$32,4,FALSE)&amp;"=Y."&amp;VLOOKUP(B355,'0. Instruções'!$C$27:$G$32,4,FALSE)&amp;"_SIMUL")</f>
        <v>ON X.INSTRMNT_ID=Y.INSTRMNT_ID_SIMUL</v>
      </c>
      <c r="L355" s="35" t="str">
        <f>+IF(C355="Coerência", +IF(LEFT(G355,5)="FLOAT","SELECT '"&amp;UPPER(B355)&amp;"' AS TABELA, '"&amp;UPPER(C355)&amp;"' AS TIPOLOGIA_TESTE,'"&amp;D355&amp;"' AS TABELA_LT,'"&amp;E355&amp;"' AS TABELA_SIMUL,'"&amp;F355&amp;"' AS CAMPO, "&amp;"'${ref_date}' AS REF_DATE, COUNT(*) AS NUM_REG, SUM(IF((ABS(COALESCE(CAST(X."&amp;F355&amp;" AS DECIMAL(18,6)),0)-COALESCE(CAST(Y."&amp;F355&amp;"_SIMUL AS DECIMAL(18,6)),0))&gt;0.000001) OR (X."&amp;F355&amp;" IS NULL AND Y."&amp;F355&amp;"_SIMUL IS NOT NULL ) OR (X."&amp;F355&amp;" IS NOT NULL AND Y."&amp;F355&amp;"_SIMUL IS NULL),1,0)) AS NUM_REG_DIF,'"&amp;MAX('ID1&amp;5'!K:K)+1&amp;"' AS ID_EXEC, CURRENT_TIMESTAMP() AS TIME_EXEC FROM "&amp;I355&amp;" INNER JOIN "&amp;J355&amp;" "&amp;K355,"SELECT '"&amp;UPPER(B355)&amp;"' AS TABELA, '"&amp;UPPER(C355)&amp;"' AS TIPOLOGIA_TESTE,'"&amp;D355&amp;"' AS TABELA_LT,'"&amp;E355&amp;"' AS TABELA_SIMUL,'"&amp;F355&amp;"' AS CAMPO, "&amp;"'${ref_date}' AS REF_DATE, COUNT(*) AS NUM_REG, SUM(IF(COALESCE(CAST(X."&amp;F355&amp;" AS STRING),'')&lt;&gt;COALESCE(CAST(Y."&amp;F355&amp;"_SIMUL AS STRING),'') OR (X."&amp;F355&amp;" IS NULL AND Y."&amp;F355&amp;"_SIMUL IS NOT NULL ) OR (X."&amp;F355&amp;" IS NOT NULL AND Y."&amp;F355&amp;"_SIMUL IS NULL),1,0)) AS NUM_REG_DIF,'"&amp;MAX('ID1&amp;5'!L:L)+1&amp;"' AS ID_EXEC, CURRENT_TIMESTAMP() AS TIME_EXEC FROM "&amp;I355&amp;" INNER JOIN "&amp;J355&amp;" "&amp;K355),
IF(C355="Validade",+IF(G355="Code List","SELECT '"&amp;UPPER(B355)&amp;"' AS TABELA, '"&amp;UPPER(C355)&amp;"' AS TIPOLOGIA_TESTE,'"&amp;D355&amp;"' AS TABELA_LT,'N/A' AS TABELA_SIMUL,'"&amp;F355&amp;"' AS CAMPO, "&amp;"'${ref_date}' AS REF_DATE, COUNT(*) AS NUM_REG, SUM(IF(TRIM(CAST(X."&amp;F355&amp;" AS STRING))='' OR TRIM(CAST(X."&amp;F355&amp;" AS STRING)) IS NULL OR CAST(X."&amp;F355&amp;" AS STRING) NOT "&amp;H355&amp;",1,0)) AS NUM_REG_DIF,'"&amp;MAX('ID1&amp;5'!K:K)+1&amp;"' AS ID_EXEC, CURRENT_TIMESTAMP() AS TIME_EXEC FROM "&amp;I355,"SELECT '"&amp;UPPER(B355)&amp;"' AS TABELA, '"&amp;UPPER(C355)&amp;"' AS TIPOLOGIA_TESTE,'"&amp;D355&amp;"' AS TABELA_LT,'N/A' AS TABELA_SIMUL,'"&amp;F355&amp;"' AS CAMPO, "&amp;"'${ref_date}' AS REF_DATE, COUNT(*) AS NUM_REG, SUM(IF(TRIM(CAST(X."&amp;F355&amp;" AS STRING))='' OR TRIM(CAST(X."&amp;F355&amp;" AS STRING)) IS NULL,1,0)) AS NUM_REG_DIF,'"&amp;MAX('ID1&amp;5'!K:K)+1&amp;"' AS ID_EXEC, CURRENT_TIMESTAMP() AS TIME_EXEC FROM "&amp;I355),
IF(C355="Caracteres Especiais",+"SELECT '"&amp;UPPER(B355)&amp;"' AS TABELA, '"&amp;UPPER(C355)&amp;"' AS TIPOLOGIA_TESTE,'"&amp;D355&amp;"' AS TABELA_LT,'N/A' AS TABELA_SIMUL,'"&amp;F355&amp;"' AS CAMPO, "&amp;"'${ref_date}' AS REF_DATE, COUNT(*) AS NUM_REG, SUM(IF(REGEXP_REPLACE(TRIM(CAST(X."&amp;F355&amp;" AS STRING)),'[^a-zA-Z0-9_\\s]','') &lt;&gt;TRIM(CAST(X."&amp;F355&amp;" AS STRING)),1,0)) AS NUM_REG_DIF,'"&amp;MAX('ID1&amp;5'!K:K)+1&amp;"' AS ID_EXEC, CURRENT_TIMESTAMP() AS TIME_EXEC FROM "&amp;I355,
IF(C355="Missings",+"SELECT '"&amp;UPPER(B355)&amp;"' AS TABELA, '"&amp;UPPER(C355)&amp;"' AS TIPOLOGIA_TESTE,'"&amp;D355&amp;"' AS TABELA_LT,'N/A' AS TABELA_SIMUL,'"&amp;F355&amp;"' AS CAMPO, "&amp;"'${ref_date}' AS REF_DATE, COUNT(*) AS NUM_REG, SUM(IF(TRIM(CAST(X."&amp;F355&amp;" AS STRING)) IN ('0000-00-00','0001-01-01','9999-12-31','MISS','00000','99999999999','99999999999.00','99999999999.000000'),1,0)) AS NUM_REG_DIF,'"&amp;MAX('ID1&amp;5'!K:K)+1&amp;"' AS ID_EXEC, CURRENT_TIMESTAMP() AS TIME_EXEC FROM "&amp;I355,
IF(C355="Not applicable",+"SELECT '"&amp;UPPER(B355)&amp;"' AS TABELA, '"&amp;UPPER(C355)&amp;"' AS TIPOLOGIA_TESTE,'"&amp;D355&amp;"' AS TABELA_LT,'N/A' AS TABELA_SIMUL,'"&amp;F355&amp;"' AS CAMPO, "&amp;"'${ref_date}' AS REF_DATE, COUNT(*) AS NUM_REG, SUM(IF(TRIM(CAST(X."&amp;F355&amp;" AS STRING)) IN ('N/A','11111111111','11111111111.00','11111111111.000000','1111-11-11'),1,0)) AS NUM_REG_DIF,'"&amp;MAX('ID1&amp;5'!K:K)+1&amp;"' AS ID_EXEC, CURRENT_TIMESTAMP() AS TIME_EXEC FROM "&amp;I355,
IF(C355="Valores extremos",+"SELECT '"&amp;UPPER(B355)&amp;"' AS TABELA, '"&amp;UPPER(C355)&amp;"' AS TIPOLOGIA_TESTE,'"&amp;D355&amp;"' AS TABELA_LT,'N/A' AS TABELA_SIMUL,'"&amp;F355&amp;"' AS CAMPO, "&amp;"'${ref_date}' AS REF_DATE, CAST(MIN("&amp;F355&amp;") AS STRING) AS VALOR_MIN, CAST(MAX("&amp;F355&amp;") AS STRING) AS VALOR_MAX,'"&amp;MAX('ID1&amp;5'!K:K)+1&amp;"' AS ID_EXEC, CURRENT_TIMESTAMP() AS TIME_EXEC FROM "&amp;MID(I355,1,LEN(I355)-2)&amp;" AND CAST("&amp;F355&amp;"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TABELA_SIMUL,'rwa_mtgtn' AS CAMPO, '${ref_date}' AS REF_DATE, COUNT(*) AS NUM_REG, SUM(IF(COALESCE(CAST(X.rwa_mtgtn AS STRING),'')&lt;&gt;COALESCE(CAST(Y.rwa_mtgtn_SIMUL AS STRING),'') OR (X.rwa_mtgtn IS NULL AND Y.rwa_mtgtn_SIMUL IS NOT NULL ) OR (X.rwa_mtgtn IS NOT NULL AND Y.rwa_mtgtn_SIMUL IS NULL),1,0)) AS NUM_REG_DIF,'1' AS ID_EXEC, CURRENT_TIMESTAMP() AS TIME_EXEC FROM (SELECT instrmnt_id, rwa_mtgtn FROM BU_LOANTAPE_WORK.LT002_INSTRUMENT WHERE ref_date='${ref_date}' AND nome_perimetro='Individual Local' AND segmento='ESTR' AND ambito='SRB_MBDT' AND entidade='00100')X INNER JOIN (SELECT instrmnt_id AS instrmnt_id_SIMUL, rwa_mtgtn AS rwa_mtgtn_SIMUL FROM BU_LOANTAPE_WORK.SIMUL_LT002_INSTRUMENT WHERE ref_date='${ref_date}' AND nome_perimetro='Individual Local' AND segmento='ESTR' AND ambito='PILAR3' AND entidade='00100')Y ON X.INSTRMNT_ID=Y.INSTRMNT_ID_SIMUL</v>
      </c>
      <c r="M355" s="36" t="str">
        <f t="shared" si="8"/>
        <v>UNION ALL SELECT 'INSTRUMENT' AS TABELA, 'COERÊNCIA' AS TIPOLOGIA_TESTE,'BU_LOANTAPE_WORK.LT002_INSTRUMENT' AS TABELA_LT,'BU_LOANTAPE_WORK.SIMUL_LT002_INSTRUMENT' AS TABELA_SIMUL,'rwa_mtgtn' AS CAMPO, '${ref_date}' AS REF_DATE, COUNT(*) AS NUM_REG, SUM(IF(COALESCE(CAST(X.rwa_mtgtn AS STRING),'')&lt;&gt;COALESCE(CAST(Y.rwa_mtgtn_SIMUL AS STRING),'') OR (X.rwa_mtgtn IS NULL AND Y.rwa_mtgtn_SIMUL IS NOT NULL ) OR (X.rwa_mtgtn IS NOT NULL AND Y.rwa_mtgtn_SIMUL IS NULL),1,0)) AS NUM_REG_DIF,'1' AS ID_EXEC, CURRENT_TIMESTAMP() AS TIME_EXEC FROM (SELECT instrmnt_id, rwa_mtgtn FROM BU_LOANTAPE_WORK.LT002_INSTRUMENT WHERE ref_date='${ref_date}' AND nome_perimetro='Individual Local' AND segmento='ESTR' AND ambito='SRB_MBDT' AND entidade='00100')X INNER JOIN (SELECT instrmnt_id AS instrmnt_id_SIMUL, rwa_mtgtn AS rwa_mtgtn_SIMUL FROM BU_LOANTAPE_WORK.SIMUL_LT002_INSTRUMENT WHERE ref_date='${ref_date}' AND nome_perimetro='Individual Local' AND segmento='ESTR' AND ambito='PILAR3' AND entidade='00100')Y ON X.INSTRMNT_ID=Y.INSTRMNT_ID_SIMUL</v>
      </c>
      <c r="N355" s="38"/>
    </row>
    <row r="356" spans="2:14">
      <c r="B356" s="34" t="s">
        <v>117</v>
      </c>
      <c r="C356" s="34" t="s">
        <v>5</v>
      </c>
      <c r="D356" s="34" t="str">
        <f>+UPPER('0. Instruções'!$D$35&amp;"."&amp;VLOOKUP(B356,'0. Instruções'!$C$27:$D$32,2,FALSE))</f>
        <v>BU_LOANTAPE_WORK.LT002_INSTRUMENT</v>
      </c>
      <c r="E356" s="34" t="str">
        <f>+UPPER('0. Instruções'!$D$36&amp;"."&amp;VLOOKUP(B356,'0. Instruções'!$C$27:$E$32,3,FALSE))</f>
        <v>BU_LOANTAPE_WORK.SIMUL_LT002_INSTRUMENT</v>
      </c>
      <c r="F356" s="34" t="s">
        <v>1396</v>
      </c>
      <c r="G356" s="34"/>
      <c r="H356" s="34"/>
      <c r="I356" s="34" t="str">
        <f>"(SELECT "&amp;VLOOKUP(B356,'0. Instruções'!$C$27:$G$32,4,FALSE)&amp;", "&amp;F356&amp;" FROM "&amp;D356&amp;" WHERE "&amp;'0. Instruções'!$D$42&amp;")X"</f>
        <v>(SELECT instrmnt_id, rwa_prmtgtn FROM BU_LOANTAPE_WORK.LT002_INSTRUMENT WHERE ref_date='${ref_date}' AND nome_perimetro='Individual Local' AND segmento='ESTR' AND ambito='SRB_MBDT' AND entidade='00100')X</v>
      </c>
      <c r="J356" s="34" t="str">
        <f>"(SELECT "&amp;VLOOKUP(B356,'0. Instruções'!$C$27:$G$32,4,FALSE)&amp;" AS "&amp;VLOOKUP(B356,'0. Instruções'!$C$27:$G$32,4,FALSE)&amp;"_SIMUL, "&amp;F356&amp;" AS "&amp;F356&amp;"_SIMUL FROM "&amp;E356&amp;" WHERE "&amp;'0. Instruções'!$D$43&amp;")Y"</f>
        <v>(SELECT instrmnt_id AS instrmnt_id_SIMUL, rwa_prmtgtn AS rwa_prmtgtn_SIMUL FROM BU_LOANTAPE_WORK.SIMUL_LT002_INSTRUMENT WHERE ref_date='${ref_date}' AND nome_perimetro='Individual Local' AND segmento='ESTR' AND ambito='PILAR3' AND entidade='00100')Y</v>
      </c>
      <c r="K356" s="35" t="str">
        <f>+UPPER("ON X."&amp;VLOOKUP(B356,'0. Instruções'!$C$27:$G$32,4,FALSE)&amp;"=Y."&amp;VLOOKUP(B356,'0. Instruções'!$C$27:$G$32,4,FALSE)&amp;"_SIMUL")</f>
        <v>ON X.INSTRMNT_ID=Y.INSTRMNT_ID_SIMUL</v>
      </c>
      <c r="L356" s="35" t="str">
        <f>+IF(C356="Coerência", +IF(LEFT(G356,5)="FLOAT","SELECT '"&amp;UPPER(B356)&amp;"' AS TABELA, '"&amp;UPPER(C356)&amp;"' AS TIPOLOGIA_TESTE,'"&amp;D356&amp;"' AS TABELA_LT,'"&amp;E356&amp;"' AS TABELA_SIMUL,'"&amp;F356&amp;"' AS CAMPO, "&amp;"'${ref_date}' AS REF_DATE, COUNT(*) AS NUM_REG, SUM(IF((ABS(COALESCE(CAST(X."&amp;F356&amp;" AS DECIMAL(18,6)),0)-COALESCE(CAST(Y."&amp;F356&amp;"_SIMUL AS DECIMAL(18,6)),0))&gt;0.000001) OR (X."&amp;F356&amp;" IS NULL AND Y."&amp;F356&amp;"_SIMUL IS NOT NULL ) OR (X."&amp;F356&amp;" IS NOT NULL AND Y."&amp;F356&amp;"_SIMUL IS NULL),1,0)) AS NUM_REG_DIF,'"&amp;MAX('ID1&amp;5'!K:K)+1&amp;"' AS ID_EXEC, CURRENT_TIMESTAMP() AS TIME_EXEC FROM "&amp;I356&amp;" INNER JOIN "&amp;J356&amp;" "&amp;K356,"SELECT '"&amp;UPPER(B356)&amp;"' AS TABELA, '"&amp;UPPER(C356)&amp;"' AS TIPOLOGIA_TESTE,'"&amp;D356&amp;"' AS TABELA_LT,'"&amp;E356&amp;"' AS TABELA_SIMUL,'"&amp;F356&amp;"' AS CAMPO, "&amp;"'${ref_date}' AS REF_DATE, COUNT(*) AS NUM_REG, SUM(IF(COALESCE(CAST(X."&amp;F356&amp;" AS STRING),'')&lt;&gt;COALESCE(CAST(Y."&amp;F356&amp;"_SIMUL AS STRING),'') OR (X."&amp;F356&amp;" IS NULL AND Y."&amp;F356&amp;"_SIMUL IS NOT NULL ) OR (X."&amp;F356&amp;" IS NOT NULL AND Y."&amp;F356&amp;"_SIMUL IS NULL),1,0)) AS NUM_REG_DIF,'"&amp;MAX('ID1&amp;5'!L:L)+1&amp;"' AS ID_EXEC, CURRENT_TIMESTAMP() AS TIME_EXEC FROM "&amp;I356&amp;" INNER JOIN "&amp;J356&amp;" "&amp;K356),
IF(C356="Validade",+IF(G356="Code List","SELECT '"&amp;UPPER(B356)&amp;"' AS TABELA, '"&amp;UPPER(C356)&amp;"' AS TIPOLOGIA_TESTE,'"&amp;D356&amp;"' AS TABELA_LT,'N/A' AS TABELA_SIMUL,'"&amp;F356&amp;"' AS CAMPO, "&amp;"'${ref_date}' AS REF_DATE, COUNT(*) AS NUM_REG, SUM(IF(TRIM(CAST(X."&amp;F356&amp;" AS STRING))='' OR TRIM(CAST(X."&amp;F356&amp;" AS STRING)) IS NULL OR CAST(X."&amp;F356&amp;" AS STRING) NOT "&amp;H356&amp;",1,0)) AS NUM_REG_DIF,'"&amp;MAX('ID1&amp;5'!K:K)+1&amp;"' AS ID_EXEC, CURRENT_TIMESTAMP() AS TIME_EXEC FROM "&amp;I356,"SELECT '"&amp;UPPER(B356)&amp;"' AS TABELA, '"&amp;UPPER(C356)&amp;"' AS TIPOLOGIA_TESTE,'"&amp;D356&amp;"' AS TABELA_LT,'N/A' AS TABELA_SIMUL,'"&amp;F356&amp;"' AS CAMPO, "&amp;"'${ref_date}' AS REF_DATE, COUNT(*) AS NUM_REG, SUM(IF(TRIM(CAST(X."&amp;F356&amp;" AS STRING))='' OR TRIM(CAST(X."&amp;F356&amp;" AS STRING)) IS NULL,1,0)) AS NUM_REG_DIF,'"&amp;MAX('ID1&amp;5'!K:K)+1&amp;"' AS ID_EXEC, CURRENT_TIMESTAMP() AS TIME_EXEC FROM "&amp;I356),
IF(C356="Caracteres Especiais",+"SELECT '"&amp;UPPER(B356)&amp;"' AS TABELA, '"&amp;UPPER(C356)&amp;"' AS TIPOLOGIA_TESTE,'"&amp;D356&amp;"' AS TABELA_LT,'N/A' AS TABELA_SIMUL,'"&amp;F356&amp;"' AS CAMPO, "&amp;"'${ref_date}' AS REF_DATE, COUNT(*) AS NUM_REG, SUM(IF(REGEXP_REPLACE(TRIM(CAST(X."&amp;F356&amp;" AS STRING)),'[^a-zA-Z0-9_\\s]','') &lt;&gt;TRIM(CAST(X."&amp;F356&amp;" AS STRING)),1,0)) AS NUM_REG_DIF,'"&amp;MAX('ID1&amp;5'!K:K)+1&amp;"' AS ID_EXEC, CURRENT_TIMESTAMP() AS TIME_EXEC FROM "&amp;I356,
IF(C356="Missings",+"SELECT '"&amp;UPPER(B356)&amp;"' AS TABELA, '"&amp;UPPER(C356)&amp;"' AS TIPOLOGIA_TESTE,'"&amp;D356&amp;"' AS TABELA_LT,'N/A' AS TABELA_SIMUL,'"&amp;F356&amp;"' AS CAMPO, "&amp;"'${ref_date}' AS REF_DATE, COUNT(*) AS NUM_REG, SUM(IF(TRIM(CAST(X."&amp;F356&amp;" AS STRING)) IN ('0000-00-00','0001-01-01','9999-12-31','MISS','00000','99999999999','99999999999.00','99999999999.000000'),1,0)) AS NUM_REG_DIF,'"&amp;MAX('ID1&amp;5'!K:K)+1&amp;"' AS ID_EXEC, CURRENT_TIMESTAMP() AS TIME_EXEC FROM "&amp;I356,
IF(C356="Not applicable",+"SELECT '"&amp;UPPER(B356)&amp;"' AS TABELA, '"&amp;UPPER(C356)&amp;"' AS TIPOLOGIA_TESTE,'"&amp;D356&amp;"' AS TABELA_LT,'N/A' AS TABELA_SIMUL,'"&amp;F356&amp;"' AS CAMPO, "&amp;"'${ref_date}' AS REF_DATE, COUNT(*) AS NUM_REG, SUM(IF(TRIM(CAST(X."&amp;F356&amp;" AS STRING)) IN ('N/A','11111111111','11111111111.00','11111111111.000000','1111-11-11'),1,0)) AS NUM_REG_DIF,'"&amp;MAX('ID1&amp;5'!K:K)+1&amp;"' AS ID_EXEC, CURRENT_TIMESTAMP() AS TIME_EXEC FROM "&amp;I356,
IF(C356="Valores extremos",+"SELECT '"&amp;UPPER(B356)&amp;"' AS TABELA, '"&amp;UPPER(C356)&amp;"' AS TIPOLOGIA_TESTE,'"&amp;D356&amp;"' AS TABELA_LT,'N/A' AS TABELA_SIMUL,'"&amp;F356&amp;"' AS CAMPO, "&amp;"'${ref_date}' AS REF_DATE, CAST(MIN("&amp;F356&amp;") AS STRING) AS VALOR_MIN, CAST(MAX("&amp;F356&amp;") AS STRING) AS VALOR_MAX,'"&amp;MAX('ID1&amp;5'!K:K)+1&amp;"' AS ID_EXEC, CURRENT_TIMESTAMP() AS TIME_EXEC FROM "&amp;MID(I356,1,LEN(I356)-2)&amp;" AND CAST("&amp;F356&amp;"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TABELA_SIMUL,'rwa_prmtgtn' AS CAMPO, '${ref_date}' AS REF_DATE, COUNT(*) AS NUM_REG, SUM(IF(COALESCE(CAST(X.rwa_prmtgtn AS STRING),'')&lt;&gt;COALESCE(CAST(Y.rwa_prmtgtn_SIMUL AS STRING),'') OR (X.rwa_prmtgtn IS NULL AND Y.rwa_prmtgtn_SIMUL IS NOT NULL ) OR (X.rwa_prmtgtn IS NOT NULL AND Y.rwa_prmtgtn_SIMUL IS NULL),1,0)) AS NUM_REG_DIF,'1' AS ID_EXEC, CURRENT_TIMESTAMP() AS TIME_EXEC FROM (SELECT instrmnt_id, rwa_prmtgtn FROM BU_LOANTAPE_WORK.LT002_INSTRUMENT WHERE ref_date='${ref_date}' AND nome_perimetro='Individual Local' AND segmento='ESTR' AND ambito='SRB_MBDT' AND entidade='00100')X INNER JOIN (SELECT instrmnt_id AS instrmnt_id_SIMUL, rwa_prmtgtn AS rwa_prmtgtn_SIMUL FROM BU_LOANTAPE_WORK.SIMUL_LT002_INSTRUMENT WHERE ref_date='${ref_date}' AND nome_perimetro='Individual Local' AND segmento='ESTR' AND ambito='PILAR3' AND entidade='00100')Y ON X.INSTRMNT_ID=Y.INSTRMNT_ID_SIMUL</v>
      </c>
      <c r="M356" s="36" t="str">
        <f t="shared" si="8"/>
        <v>UNION ALL SELECT 'INSTRUMENT' AS TABELA, 'COERÊNCIA' AS TIPOLOGIA_TESTE,'BU_LOANTAPE_WORK.LT002_INSTRUMENT' AS TABELA_LT,'BU_LOANTAPE_WORK.SIMUL_LT002_INSTRUMENT' AS TABELA_SIMUL,'rwa_prmtgtn' AS CAMPO, '${ref_date}' AS REF_DATE, COUNT(*) AS NUM_REG, SUM(IF(COALESCE(CAST(X.rwa_prmtgtn AS STRING),'')&lt;&gt;COALESCE(CAST(Y.rwa_prmtgtn_SIMUL AS STRING),'') OR (X.rwa_prmtgtn IS NULL AND Y.rwa_prmtgtn_SIMUL IS NOT NULL ) OR (X.rwa_prmtgtn IS NOT NULL AND Y.rwa_prmtgtn_SIMUL IS NULL),1,0)) AS NUM_REG_DIF,'1' AS ID_EXEC, CURRENT_TIMESTAMP() AS TIME_EXEC FROM (SELECT instrmnt_id, rwa_prmtgtn FROM BU_LOANTAPE_WORK.LT002_INSTRUMENT WHERE ref_date='${ref_date}' AND nome_perimetro='Individual Local' AND segmento='ESTR' AND ambito='SRB_MBDT' AND entidade='00100')X INNER JOIN (SELECT instrmnt_id AS instrmnt_id_SIMUL, rwa_prmtgtn AS rwa_prmtgtn_SIMUL FROM BU_LOANTAPE_WORK.SIMUL_LT002_INSTRUMENT WHERE ref_date='${ref_date}' AND nome_perimetro='Individual Local' AND segmento='ESTR' AND ambito='PILAR3' AND entidade='00100')Y ON X.INSTRMNT_ID=Y.INSTRMNT_ID_SIMUL</v>
      </c>
      <c r="N356" s="38"/>
    </row>
    <row r="357" spans="2:14">
      <c r="B357" s="34" t="s">
        <v>117</v>
      </c>
      <c r="C357" s="34" t="s">
        <v>5</v>
      </c>
      <c r="D357" s="34" t="str">
        <f>+UPPER('0. Instruções'!$D$35&amp;"."&amp;VLOOKUP(B357,'0. Instruções'!$C$27:$D$32,2,FALSE))</f>
        <v>BU_LOANTAPE_WORK.LT002_INSTRUMENT</v>
      </c>
      <c r="E357" s="34" t="str">
        <f>+UPPER('0. Instruções'!$D$36&amp;"."&amp;VLOOKUP(B357,'0. Instruções'!$C$27:$E$32,3,FALSE))</f>
        <v>BU_LOANTAPE_WORK.SIMUL_LT002_INSTRUMENT</v>
      </c>
      <c r="F357" s="34" t="s">
        <v>1397</v>
      </c>
      <c r="G357" s="34"/>
      <c r="H357" s="34"/>
      <c r="I357" s="34" t="str">
        <f>"(SELECT "&amp;VLOOKUP(B357,'0. Instruções'!$C$27:$G$32,4,FALSE)&amp;", "&amp;F357&amp;" FROM "&amp;D357&amp;" WHERE "&amp;'0. Instruções'!$D$42&amp;")X"</f>
        <v>(SELECT instrmnt_id, ttl_lvrg_rt_incptn FROM BU_LOANTAPE_WORK.LT002_INSTRUMENT WHERE ref_date='${ref_date}' AND nome_perimetro='Individual Local' AND segmento='ESTR' AND ambito='SRB_MBDT' AND entidade='00100')X</v>
      </c>
      <c r="J357" s="34" t="str">
        <f>"(SELECT "&amp;VLOOKUP(B357,'0. Instruções'!$C$27:$G$32,4,FALSE)&amp;" AS "&amp;VLOOKUP(B357,'0. Instruções'!$C$27:$G$32,4,FALSE)&amp;"_SIMUL, "&amp;F357&amp;" AS "&amp;F357&amp;"_SIMUL FROM "&amp;E357&amp;" WHERE "&amp;'0. Instruções'!$D$43&amp;")Y"</f>
        <v>(SELECT instrmnt_id AS instrmnt_id_SIMUL, ttl_lvrg_rt_incptn AS ttl_lvrg_rt_incptn_SIMUL FROM BU_LOANTAPE_WORK.SIMUL_LT002_INSTRUMENT WHERE ref_date='${ref_date}' AND nome_perimetro='Individual Local' AND segmento='ESTR' AND ambito='PILAR3' AND entidade='00100')Y</v>
      </c>
      <c r="K357" s="35" t="str">
        <f>+UPPER("ON X."&amp;VLOOKUP(B357,'0. Instruções'!$C$27:$G$32,4,FALSE)&amp;"=Y."&amp;VLOOKUP(B357,'0. Instruções'!$C$27:$G$32,4,FALSE)&amp;"_SIMUL")</f>
        <v>ON X.INSTRMNT_ID=Y.INSTRMNT_ID_SIMUL</v>
      </c>
      <c r="L357" s="35" t="str">
        <f>+IF(C357="Coerência", +IF(LEFT(G357,5)="FLOAT","SELECT '"&amp;UPPER(B357)&amp;"' AS TABELA, '"&amp;UPPER(C357)&amp;"' AS TIPOLOGIA_TESTE,'"&amp;D357&amp;"' AS TABELA_LT,'"&amp;E357&amp;"' AS TABELA_SIMUL,'"&amp;F357&amp;"' AS CAMPO, "&amp;"'${ref_date}' AS REF_DATE, COUNT(*) AS NUM_REG, SUM(IF((ABS(COALESCE(CAST(X."&amp;F357&amp;" AS DECIMAL(18,6)),0)-COALESCE(CAST(Y."&amp;F357&amp;"_SIMUL AS DECIMAL(18,6)),0))&gt;0.000001) OR (X."&amp;F357&amp;" IS NULL AND Y."&amp;F357&amp;"_SIMUL IS NOT NULL ) OR (X."&amp;F357&amp;" IS NOT NULL AND Y."&amp;F357&amp;"_SIMUL IS NULL),1,0)) AS NUM_REG_DIF,'"&amp;MAX('ID1&amp;5'!K:K)+1&amp;"' AS ID_EXEC, CURRENT_TIMESTAMP() AS TIME_EXEC FROM "&amp;I357&amp;" INNER JOIN "&amp;J357&amp;" "&amp;K357,"SELECT '"&amp;UPPER(B357)&amp;"' AS TABELA, '"&amp;UPPER(C357)&amp;"' AS TIPOLOGIA_TESTE,'"&amp;D357&amp;"' AS TABELA_LT,'"&amp;E357&amp;"' AS TABELA_SIMUL,'"&amp;F357&amp;"' AS CAMPO, "&amp;"'${ref_date}' AS REF_DATE, COUNT(*) AS NUM_REG, SUM(IF(COALESCE(CAST(X."&amp;F357&amp;" AS STRING),'')&lt;&gt;COALESCE(CAST(Y."&amp;F357&amp;"_SIMUL AS STRING),'') OR (X."&amp;F357&amp;" IS NULL AND Y."&amp;F357&amp;"_SIMUL IS NOT NULL ) OR (X."&amp;F357&amp;" IS NOT NULL AND Y."&amp;F357&amp;"_SIMUL IS NULL),1,0)) AS NUM_REG_DIF,'"&amp;MAX('ID1&amp;5'!L:L)+1&amp;"' AS ID_EXEC, CURRENT_TIMESTAMP() AS TIME_EXEC FROM "&amp;I357&amp;" INNER JOIN "&amp;J357&amp;" "&amp;K357),
IF(C357="Validade",+IF(G357="Code List","SELECT '"&amp;UPPER(B357)&amp;"' AS TABELA, '"&amp;UPPER(C357)&amp;"' AS TIPOLOGIA_TESTE,'"&amp;D357&amp;"' AS TABELA_LT,'N/A' AS TABELA_SIMUL,'"&amp;F357&amp;"' AS CAMPO, "&amp;"'${ref_date}' AS REF_DATE, COUNT(*) AS NUM_REG, SUM(IF(TRIM(CAST(X."&amp;F357&amp;" AS STRING))='' OR TRIM(CAST(X."&amp;F357&amp;" AS STRING)) IS NULL OR CAST(X."&amp;F357&amp;" AS STRING) NOT "&amp;H357&amp;",1,0)) AS NUM_REG_DIF,'"&amp;MAX('ID1&amp;5'!K:K)+1&amp;"' AS ID_EXEC, CURRENT_TIMESTAMP() AS TIME_EXEC FROM "&amp;I357,"SELECT '"&amp;UPPER(B357)&amp;"' AS TABELA, '"&amp;UPPER(C357)&amp;"' AS TIPOLOGIA_TESTE,'"&amp;D357&amp;"' AS TABELA_LT,'N/A' AS TABELA_SIMUL,'"&amp;F357&amp;"' AS CAMPO, "&amp;"'${ref_date}' AS REF_DATE, COUNT(*) AS NUM_REG, SUM(IF(TRIM(CAST(X."&amp;F357&amp;" AS STRING))='' OR TRIM(CAST(X."&amp;F357&amp;" AS STRING)) IS NULL,1,0)) AS NUM_REG_DIF,'"&amp;MAX('ID1&amp;5'!K:K)+1&amp;"' AS ID_EXEC, CURRENT_TIMESTAMP() AS TIME_EXEC FROM "&amp;I357),
IF(C357="Caracteres Especiais",+"SELECT '"&amp;UPPER(B357)&amp;"' AS TABELA, '"&amp;UPPER(C357)&amp;"' AS TIPOLOGIA_TESTE,'"&amp;D357&amp;"' AS TABELA_LT,'N/A' AS TABELA_SIMUL,'"&amp;F357&amp;"' AS CAMPO, "&amp;"'${ref_date}' AS REF_DATE, COUNT(*) AS NUM_REG, SUM(IF(REGEXP_REPLACE(TRIM(CAST(X."&amp;F357&amp;" AS STRING)),'[^a-zA-Z0-9_\\s]','') &lt;&gt;TRIM(CAST(X."&amp;F357&amp;" AS STRING)),1,0)) AS NUM_REG_DIF,'"&amp;MAX('ID1&amp;5'!K:K)+1&amp;"' AS ID_EXEC, CURRENT_TIMESTAMP() AS TIME_EXEC FROM "&amp;I357,
IF(C357="Missings",+"SELECT '"&amp;UPPER(B357)&amp;"' AS TABELA, '"&amp;UPPER(C357)&amp;"' AS TIPOLOGIA_TESTE,'"&amp;D357&amp;"' AS TABELA_LT,'N/A' AS TABELA_SIMUL,'"&amp;F357&amp;"' AS CAMPO, "&amp;"'${ref_date}' AS REF_DATE, COUNT(*) AS NUM_REG, SUM(IF(TRIM(CAST(X."&amp;F357&amp;" AS STRING)) IN ('0000-00-00','0001-01-01','9999-12-31','MISS','00000','99999999999','99999999999.00','99999999999.000000'),1,0)) AS NUM_REG_DIF,'"&amp;MAX('ID1&amp;5'!K:K)+1&amp;"' AS ID_EXEC, CURRENT_TIMESTAMP() AS TIME_EXEC FROM "&amp;I357,
IF(C357="Not applicable",+"SELECT '"&amp;UPPER(B357)&amp;"' AS TABELA, '"&amp;UPPER(C357)&amp;"' AS TIPOLOGIA_TESTE,'"&amp;D357&amp;"' AS TABELA_LT,'N/A' AS TABELA_SIMUL,'"&amp;F357&amp;"' AS CAMPO, "&amp;"'${ref_date}' AS REF_DATE, COUNT(*) AS NUM_REG, SUM(IF(TRIM(CAST(X."&amp;F357&amp;" AS STRING)) IN ('N/A','11111111111','11111111111.00','11111111111.000000','1111-11-11'),1,0)) AS NUM_REG_DIF,'"&amp;MAX('ID1&amp;5'!K:K)+1&amp;"' AS ID_EXEC, CURRENT_TIMESTAMP() AS TIME_EXEC FROM "&amp;I357,
IF(C357="Valores extremos",+"SELECT '"&amp;UPPER(B357)&amp;"' AS TABELA, '"&amp;UPPER(C357)&amp;"' AS TIPOLOGIA_TESTE,'"&amp;D357&amp;"' AS TABELA_LT,'N/A' AS TABELA_SIMUL,'"&amp;F357&amp;"' AS CAMPO, "&amp;"'${ref_date}' AS REF_DATE, CAST(MIN("&amp;F357&amp;") AS STRING) AS VALOR_MIN, CAST(MAX("&amp;F357&amp;") AS STRING) AS VALOR_MAX,'"&amp;MAX('ID1&amp;5'!K:K)+1&amp;"' AS ID_EXEC, CURRENT_TIMESTAMP() AS TIME_EXEC FROM "&amp;MID(I357,1,LEN(I357)-2)&amp;" AND CAST("&amp;F357&amp;"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TABELA_SIMUL,'ttl_lvrg_rt_incptn' AS CAMPO, '${ref_date}' AS REF_DATE, COUNT(*) AS NUM_REG, SUM(IF(COALESCE(CAST(X.ttl_lvrg_rt_incptn AS STRING),'')&lt;&gt;COALESCE(CAST(Y.ttl_lvrg_rt_incptn_SIMUL AS STRING),'') OR (X.ttl_lvrg_rt_incptn IS NULL AND Y.ttl_lvrg_rt_incptn_SIMUL IS NOT NULL ) OR (X.ttl_lvrg_rt_incptn IS NOT NULL AND Y.ttl_lvrg_rt_incptn_SIMUL IS NULL),1,0)) AS NUM_REG_DIF,'1' AS ID_EXEC, CURRENT_TIMESTAMP() AS TIME_EXEC FROM (SELECT instrmnt_id, ttl_lvrg_rt_incptn FROM BU_LOANTAPE_WORK.LT002_INSTRUMENT WHERE ref_date='${ref_date}' AND nome_perimetro='Individual Local' AND segmento='ESTR' AND ambito='SRB_MBDT' AND entidade='00100')X INNER JOIN (SELECT instrmnt_id AS instrmnt_id_SIMUL, ttl_lvrg_rt_incptn AS ttl_lvrg_rt_incptn_SIMUL FROM BU_LOANTAPE_WORK.SIMUL_LT002_INSTRUMENT WHERE ref_date='${ref_date}' AND nome_perimetro='Individual Local' AND segmento='ESTR' AND ambito='PILAR3' AND entidade='00100')Y ON X.INSTRMNT_ID=Y.INSTRMNT_ID_SIMUL</v>
      </c>
      <c r="M357" s="36" t="str">
        <f t="shared" si="8"/>
        <v>UNION ALL SELECT 'INSTRUMENT' AS TABELA, 'COERÊNCIA' AS TIPOLOGIA_TESTE,'BU_LOANTAPE_WORK.LT002_INSTRUMENT' AS TABELA_LT,'BU_LOANTAPE_WORK.SIMUL_LT002_INSTRUMENT' AS TABELA_SIMUL,'ttl_lvrg_rt_incptn' AS CAMPO, '${ref_date}' AS REF_DATE, COUNT(*) AS NUM_REG, SUM(IF(COALESCE(CAST(X.ttl_lvrg_rt_incptn AS STRING),'')&lt;&gt;COALESCE(CAST(Y.ttl_lvrg_rt_incptn_SIMUL AS STRING),'') OR (X.ttl_lvrg_rt_incptn IS NULL AND Y.ttl_lvrg_rt_incptn_SIMUL IS NOT NULL ) OR (X.ttl_lvrg_rt_incptn IS NOT NULL AND Y.ttl_lvrg_rt_incptn_SIMUL IS NULL),1,0)) AS NUM_REG_DIF,'1' AS ID_EXEC, CURRENT_TIMESTAMP() AS TIME_EXEC FROM (SELECT instrmnt_id, ttl_lvrg_rt_incptn FROM BU_LOANTAPE_WORK.LT002_INSTRUMENT WHERE ref_date='${ref_date}' AND nome_perimetro='Individual Local' AND segmento='ESTR' AND ambito='SRB_MBDT' AND entidade='00100')X INNER JOIN (SELECT instrmnt_id AS instrmnt_id_SIMUL, ttl_lvrg_rt_incptn AS ttl_lvrg_rt_incptn_SIMUL FROM BU_LOANTAPE_WORK.SIMUL_LT002_INSTRUMENT WHERE ref_date='${ref_date}' AND nome_perimetro='Individual Local' AND segmento='ESTR' AND ambito='PILAR3' AND entidade='00100')Y ON X.INSTRMNT_ID=Y.INSTRMNT_ID_SIMUL</v>
      </c>
      <c r="N357" s="38"/>
    </row>
    <row r="358" spans="2:14">
      <c r="B358" s="34" t="s">
        <v>117</v>
      </c>
      <c r="C358" s="34" t="s">
        <v>5</v>
      </c>
      <c r="D358" s="34" t="str">
        <f>+UPPER('0. Instruções'!$D$35&amp;"."&amp;VLOOKUP(B358,'0. Instruções'!$C$27:$D$32,2,FALSE))</f>
        <v>BU_LOANTAPE_WORK.LT002_INSTRUMENT</v>
      </c>
      <c r="E358" s="34" t="str">
        <f>+UPPER('0. Instruções'!$D$36&amp;"."&amp;VLOOKUP(B358,'0. Instruções'!$C$27:$E$32,3,FALSE))</f>
        <v>BU_LOANTAPE_WORK.SIMUL_LT002_INSTRUMENT</v>
      </c>
      <c r="F358" s="34" t="s">
        <v>1398</v>
      </c>
      <c r="G358" s="34"/>
      <c r="H358" s="34"/>
      <c r="I358" s="34" t="str">
        <f>"(SELECT "&amp;VLOOKUP(B358,'0. Instruções'!$C$27:$G$32,4,FALSE)&amp;", "&amp;F358&amp;" FROM "&amp;D358&amp;" WHERE "&amp;'0. Instruções'!$D$42&amp;")X"</f>
        <v>(SELECT instrmnt_id, ttl_lvrg_rt_incptn_hlt FROM BU_LOANTAPE_WORK.LT002_INSTRUMENT WHERE ref_date='${ref_date}' AND nome_perimetro='Individual Local' AND segmento='ESTR' AND ambito='SRB_MBDT' AND entidade='00100')X</v>
      </c>
      <c r="J358" s="34" t="str">
        <f>"(SELECT "&amp;VLOOKUP(B358,'0. Instruções'!$C$27:$G$32,4,FALSE)&amp;" AS "&amp;VLOOKUP(B358,'0. Instruções'!$C$27:$G$32,4,FALSE)&amp;"_SIMUL, "&amp;F358&amp;" AS "&amp;F358&amp;"_SIMUL FROM "&amp;E358&amp;" WHERE "&amp;'0. Instruções'!$D$43&amp;")Y"</f>
        <v>(SELECT instrmnt_id AS instrmnt_id_SIMUL, ttl_lvrg_rt_incptn_hlt AS ttl_lvrg_rt_incptn_hlt_SIMUL FROM BU_LOANTAPE_WORK.SIMUL_LT002_INSTRUMENT WHERE ref_date='${ref_date}' AND nome_perimetro='Individual Local' AND segmento='ESTR' AND ambito='PILAR3' AND entidade='00100')Y</v>
      </c>
      <c r="K358" s="35" t="str">
        <f>+UPPER("ON X."&amp;VLOOKUP(B358,'0. Instruções'!$C$27:$G$32,4,FALSE)&amp;"=Y."&amp;VLOOKUP(B358,'0. Instruções'!$C$27:$G$32,4,FALSE)&amp;"_SIMUL")</f>
        <v>ON X.INSTRMNT_ID=Y.INSTRMNT_ID_SIMUL</v>
      </c>
      <c r="L358" s="35" t="str">
        <f>+IF(C358="Coerência", +IF(LEFT(G358,5)="FLOAT","SELECT '"&amp;UPPER(B358)&amp;"' AS TABELA, '"&amp;UPPER(C358)&amp;"' AS TIPOLOGIA_TESTE,'"&amp;D358&amp;"' AS TABELA_LT,'"&amp;E358&amp;"' AS TABELA_SIMUL,'"&amp;F358&amp;"' AS CAMPO, "&amp;"'${ref_date}' AS REF_DATE, COUNT(*) AS NUM_REG, SUM(IF((ABS(COALESCE(CAST(X."&amp;F358&amp;" AS DECIMAL(18,6)),0)-COALESCE(CAST(Y."&amp;F358&amp;"_SIMUL AS DECIMAL(18,6)),0))&gt;0.000001) OR (X."&amp;F358&amp;" IS NULL AND Y."&amp;F358&amp;"_SIMUL IS NOT NULL ) OR (X."&amp;F358&amp;" IS NOT NULL AND Y."&amp;F358&amp;"_SIMUL IS NULL),1,0)) AS NUM_REG_DIF,'"&amp;MAX('ID1&amp;5'!K:K)+1&amp;"' AS ID_EXEC, CURRENT_TIMESTAMP() AS TIME_EXEC FROM "&amp;I358&amp;" INNER JOIN "&amp;J358&amp;" "&amp;K358,"SELECT '"&amp;UPPER(B358)&amp;"' AS TABELA, '"&amp;UPPER(C358)&amp;"' AS TIPOLOGIA_TESTE,'"&amp;D358&amp;"' AS TABELA_LT,'"&amp;E358&amp;"' AS TABELA_SIMUL,'"&amp;F358&amp;"' AS CAMPO, "&amp;"'${ref_date}' AS REF_DATE, COUNT(*) AS NUM_REG, SUM(IF(COALESCE(CAST(X."&amp;F358&amp;" AS STRING),'')&lt;&gt;COALESCE(CAST(Y."&amp;F358&amp;"_SIMUL AS STRING),'') OR (X."&amp;F358&amp;" IS NULL AND Y."&amp;F358&amp;"_SIMUL IS NOT NULL ) OR (X."&amp;F358&amp;" IS NOT NULL AND Y."&amp;F358&amp;"_SIMUL IS NULL),1,0)) AS NUM_REG_DIF,'"&amp;MAX('ID1&amp;5'!L:L)+1&amp;"' AS ID_EXEC, CURRENT_TIMESTAMP() AS TIME_EXEC FROM "&amp;I358&amp;" INNER JOIN "&amp;J358&amp;" "&amp;K358),
IF(C358="Validade",+IF(G358="Code List","SELECT '"&amp;UPPER(B358)&amp;"' AS TABELA, '"&amp;UPPER(C358)&amp;"' AS TIPOLOGIA_TESTE,'"&amp;D358&amp;"' AS TABELA_LT,'N/A' AS TABELA_SIMUL,'"&amp;F358&amp;"' AS CAMPO, "&amp;"'${ref_date}' AS REF_DATE, COUNT(*) AS NUM_REG, SUM(IF(TRIM(CAST(X."&amp;F358&amp;" AS STRING))='' OR TRIM(CAST(X."&amp;F358&amp;" AS STRING)) IS NULL OR CAST(X."&amp;F358&amp;" AS STRING) NOT "&amp;H358&amp;",1,0)) AS NUM_REG_DIF,'"&amp;MAX('ID1&amp;5'!K:K)+1&amp;"' AS ID_EXEC, CURRENT_TIMESTAMP() AS TIME_EXEC FROM "&amp;I358,"SELECT '"&amp;UPPER(B358)&amp;"' AS TABELA, '"&amp;UPPER(C358)&amp;"' AS TIPOLOGIA_TESTE,'"&amp;D358&amp;"' AS TABELA_LT,'N/A' AS TABELA_SIMUL,'"&amp;F358&amp;"' AS CAMPO, "&amp;"'${ref_date}' AS REF_DATE, COUNT(*) AS NUM_REG, SUM(IF(TRIM(CAST(X."&amp;F358&amp;" AS STRING))='' OR TRIM(CAST(X."&amp;F358&amp;" AS STRING)) IS NULL,1,0)) AS NUM_REG_DIF,'"&amp;MAX('ID1&amp;5'!K:K)+1&amp;"' AS ID_EXEC, CURRENT_TIMESTAMP() AS TIME_EXEC FROM "&amp;I358),
IF(C358="Caracteres Especiais",+"SELECT '"&amp;UPPER(B358)&amp;"' AS TABELA, '"&amp;UPPER(C358)&amp;"' AS TIPOLOGIA_TESTE,'"&amp;D358&amp;"' AS TABELA_LT,'N/A' AS TABELA_SIMUL,'"&amp;F358&amp;"' AS CAMPO, "&amp;"'${ref_date}' AS REF_DATE, COUNT(*) AS NUM_REG, SUM(IF(REGEXP_REPLACE(TRIM(CAST(X."&amp;F358&amp;" AS STRING)),'[^a-zA-Z0-9_\\s]','') &lt;&gt;TRIM(CAST(X."&amp;F358&amp;" AS STRING)),1,0)) AS NUM_REG_DIF,'"&amp;MAX('ID1&amp;5'!K:K)+1&amp;"' AS ID_EXEC, CURRENT_TIMESTAMP() AS TIME_EXEC FROM "&amp;I358,
IF(C358="Missings",+"SELECT '"&amp;UPPER(B358)&amp;"' AS TABELA, '"&amp;UPPER(C358)&amp;"' AS TIPOLOGIA_TESTE,'"&amp;D358&amp;"' AS TABELA_LT,'N/A' AS TABELA_SIMUL,'"&amp;F358&amp;"' AS CAMPO, "&amp;"'${ref_date}' AS REF_DATE, COUNT(*) AS NUM_REG, SUM(IF(TRIM(CAST(X."&amp;F358&amp;" AS STRING)) IN ('0000-00-00','0001-01-01','9999-12-31','MISS','00000','99999999999','99999999999.00','99999999999.000000'),1,0)) AS NUM_REG_DIF,'"&amp;MAX('ID1&amp;5'!K:K)+1&amp;"' AS ID_EXEC, CURRENT_TIMESTAMP() AS TIME_EXEC FROM "&amp;I358,
IF(C358="Not applicable",+"SELECT '"&amp;UPPER(B358)&amp;"' AS TABELA, '"&amp;UPPER(C358)&amp;"' AS TIPOLOGIA_TESTE,'"&amp;D358&amp;"' AS TABELA_LT,'N/A' AS TABELA_SIMUL,'"&amp;F358&amp;"' AS CAMPO, "&amp;"'${ref_date}' AS REF_DATE, COUNT(*) AS NUM_REG, SUM(IF(TRIM(CAST(X."&amp;F358&amp;" AS STRING)) IN ('N/A','11111111111','11111111111.00','11111111111.000000','1111-11-11'),1,0)) AS NUM_REG_DIF,'"&amp;MAX('ID1&amp;5'!K:K)+1&amp;"' AS ID_EXEC, CURRENT_TIMESTAMP() AS TIME_EXEC FROM "&amp;I358,
IF(C358="Valores extremos",+"SELECT '"&amp;UPPER(B358)&amp;"' AS TABELA, '"&amp;UPPER(C358)&amp;"' AS TIPOLOGIA_TESTE,'"&amp;D358&amp;"' AS TABELA_LT,'N/A' AS TABELA_SIMUL,'"&amp;F358&amp;"' AS CAMPO, "&amp;"'${ref_date}' AS REF_DATE, CAST(MIN("&amp;F358&amp;") AS STRING) AS VALOR_MIN, CAST(MAX("&amp;F358&amp;") AS STRING) AS VALOR_MAX,'"&amp;MAX('ID1&amp;5'!K:K)+1&amp;"' AS ID_EXEC, CURRENT_TIMESTAMP() AS TIME_EXEC FROM "&amp;MID(I358,1,LEN(I358)-2)&amp;" AND CAST("&amp;F358&amp;"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TABELA_SIMUL,'ttl_lvrg_rt_incptn_hlt' AS CAMPO, '${ref_date}' AS REF_DATE, COUNT(*) AS NUM_REG, SUM(IF(COALESCE(CAST(X.ttl_lvrg_rt_incptn_hlt AS STRING),'')&lt;&gt;COALESCE(CAST(Y.ttl_lvrg_rt_incptn_hlt_SIMUL AS STRING),'') OR (X.ttl_lvrg_rt_incptn_hlt IS NULL AND Y.ttl_lvrg_rt_incptn_hlt_SIMUL IS NOT NULL ) OR (X.ttl_lvrg_rt_incptn_hlt IS NOT NULL AND Y.ttl_lvrg_rt_incptn_hlt_SIMUL IS NULL),1,0)) AS NUM_REG_DIF,'1' AS ID_EXEC, CURRENT_TIMESTAMP() AS TIME_EXEC FROM (SELECT instrmnt_id, ttl_lvrg_rt_incptn_hlt FROM BU_LOANTAPE_WORK.LT002_INSTRUMENT WHERE ref_date='${ref_date}' AND nome_perimetro='Individual Local' AND segmento='ESTR' AND ambito='SRB_MBDT' AND entidade='00100')X INNER JOIN (SELECT instrmnt_id AS instrmnt_id_SIMUL, ttl_lvrg_rt_incptn_hlt AS ttl_lvrg_rt_incptn_hlt_SIMUL FROM BU_LOANTAPE_WORK.SIMUL_LT002_INSTRUMENT WHERE ref_date='${ref_date}' AND nome_perimetro='Individual Local' AND segmento='ESTR' AND ambito='PILAR3' AND entidade='00100')Y ON X.INSTRMNT_ID=Y.INSTRMNT_ID_SIMUL</v>
      </c>
      <c r="M358" s="36" t="str">
        <f t="shared" si="8"/>
        <v>UNION ALL SELECT 'INSTRUMENT' AS TABELA, 'COERÊNCIA' AS TIPOLOGIA_TESTE,'BU_LOANTAPE_WORK.LT002_INSTRUMENT' AS TABELA_LT,'BU_LOANTAPE_WORK.SIMUL_LT002_INSTRUMENT' AS TABELA_SIMUL,'ttl_lvrg_rt_incptn_hlt' AS CAMPO, '${ref_date}' AS REF_DATE, COUNT(*) AS NUM_REG, SUM(IF(COALESCE(CAST(X.ttl_lvrg_rt_incptn_hlt AS STRING),'')&lt;&gt;COALESCE(CAST(Y.ttl_lvrg_rt_incptn_hlt_SIMUL AS STRING),'') OR (X.ttl_lvrg_rt_incptn_hlt IS NULL AND Y.ttl_lvrg_rt_incptn_hlt_SIMUL IS NOT NULL ) OR (X.ttl_lvrg_rt_incptn_hlt IS NOT NULL AND Y.ttl_lvrg_rt_incptn_hlt_SIMUL IS NULL),1,0)) AS NUM_REG_DIF,'1' AS ID_EXEC, CURRENT_TIMESTAMP() AS TIME_EXEC FROM (SELECT instrmnt_id, ttl_lvrg_rt_incptn_hlt FROM BU_LOANTAPE_WORK.LT002_INSTRUMENT WHERE ref_date='${ref_date}' AND nome_perimetro='Individual Local' AND segmento='ESTR' AND ambito='SRB_MBDT' AND entidade='00100')X INNER JOIN (SELECT instrmnt_id AS instrmnt_id_SIMUL, ttl_lvrg_rt_incptn_hlt AS ttl_lvrg_rt_incptn_hlt_SIMUL FROM BU_LOANTAPE_WORK.SIMUL_LT002_INSTRUMENT WHERE ref_date='${ref_date}' AND nome_perimetro='Individual Local' AND segmento='ESTR' AND ambito='PILAR3' AND entidade='00100')Y ON X.INSTRMNT_ID=Y.INSTRMNT_ID_SIMUL</v>
      </c>
      <c r="N358" s="38"/>
    </row>
    <row r="359" spans="2:14">
      <c r="B359" s="34" t="s">
        <v>117</v>
      </c>
      <c r="C359" s="34" t="s">
        <v>5</v>
      </c>
      <c r="D359" s="34" t="str">
        <f>+UPPER('0. Instruções'!$D$35&amp;"."&amp;VLOOKUP(B359,'0. Instruções'!$C$27:$D$32,2,FALSE))</f>
        <v>BU_LOANTAPE_WORK.LT002_INSTRUMENT</v>
      </c>
      <c r="E359" s="34" t="str">
        <f>+UPPER('0. Instruções'!$D$36&amp;"."&amp;VLOOKUP(B359,'0. Instruções'!$C$27:$E$32,3,FALSE))</f>
        <v>BU_LOANTAPE_WORK.SIMUL_LT002_INSTRUMENT</v>
      </c>
      <c r="F359" s="34" t="s">
        <v>1399</v>
      </c>
      <c r="G359" s="34"/>
      <c r="H359" s="34"/>
      <c r="I359" s="34" t="str">
        <f>"(SELECT "&amp;VLOOKUP(B359,'0. Instruções'!$C$27:$G$32,4,FALSE)&amp;", "&amp;F359&amp;" FROM "&amp;D359&amp;" WHERE "&amp;'0. Instruções'!$D$42&amp;")X"</f>
        <v>(SELECT instrmnt_id, typ_cl FROM BU_LOANTAPE_WORK.LT002_INSTRUMENT WHERE ref_date='${ref_date}' AND nome_perimetro='Individual Local' AND segmento='ESTR' AND ambito='SRB_MBDT' AND entidade='00100')X</v>
      </c>
      <c r="J359" s="34" t="str">
        <f>"(SELECT "&amp;VLOOKUP(B359,'0. Instruções'!$C$27:$G$32,4,FALSE)&amp;" AS "&amp;VLOOKUP(B359,'0. Instruções'!$C$27:$G$32,4,FALSE)&amp;"_SIMUL, "&amp;F359&amp;" AS "&amp;F359&amp;"_SIMUL FROM "&amp;E359&amp;" WHERE "&amp;'0. Instruções'!$D$43&amp;")Y"</f>
        <v>(SELECT instrmnt_id AS instrmnt_id_SIMUL, typ_cl AS typ_cl_SIMUL FROM BU_LOANTAPE_WORK.SIMUL_LT002_INSTRUMENT WHERE ref_date='${ref_date}' AND nome_perimetro='Individual Local' AND segmento='ESTR' AND ambito='PILAR3' AND entidade='00100')Y</v>
      </c>
      <c r="K359" s="35" t="str">
        <f>+UPPER("ON X."&amp;VLOOKUP(B359,'0. Instruções'!$C$27:$G$32,4,FALSE)&amp;"=Y."&amp;VLOOKUP(B359,'0. Instruções'!$C$27:$G$32,4,FALSE)&amp;"_SIMUL")</f>
        <v>ON X.INSTRMNT_ID=Y.INSTRMNT_ID_SIMUL</v>
      </c>
      <c r="L359" s="35" t="str">
        <f>+IF(C359="Coerência", +IF(LEFT(G359,5)="FLOAT","SELECT '"&amp;UPPER(B359)&amp;"' AS TABELA, '"&amp;UPPER(C359)&amp;"' AS TIPOLOGIA_TESTE,'"&amp;D359&amp;"' AS TABELA_LT,'"&amp;E359&amp;"' AS TABELA_SIMUL,'"&amp;F359&amp;"' AS CAMPO, "&amp;"'${ref_date}' AS REF_DATE, COUNT(*) AS NUM_REG, SUM(IF((ABS(COALESCE(CAST(X."&amp;F359&amp;" AS DECIMAL(18,6)),0)-COALESCE(CAST(Y."&amp;F359&amp;"_SIMUL AS DECIMAL(18,6)),0))&gt;0.000001) OR (X."&amp;F359&amp;" IS NULL AND Y."&amp;F359&amp;"_SIMUL IS NOT NULL ) OR (X."&amp;F359&amp;" IS NOT NULL AND Y."&amp;F359&amp;"_SIMUL IS NULL),1,0)) AS NUM_REG_DIF,'"&amp;MAX('ID1&amp;5'!K:K)+1&amp;"' AS ID_EXEC, CURRENT_TIMESTAMP() AS TIME_EXEC FROM "&amp;I359&amp;" INNER JOIN "&amp;J359&amp;" "&amp;K359,"SELECT '"&amp;UPPER(B359)&amp;"' AS TABELA, '"&amp;UPPER(C359)&amp;"' AS TIPOLOGIA_TESTE,'"&amp;D359&amp;"' AS TABELA_LT,'"&amp;E359&amp;"' AS TABELA_SIMUL,'"&amp;F359&amp;"' AS CAMPO, "&amp;"'${ref_date}' AS REF_DATE, COUNT(*) AS NUM_REG, SUM(IF(COALESCE(CAST(X."&amp;F359&amp;" AS STRING),'')&lt;&gt;COALESCE(CAST(Y."&amp;F359&amp;"_SIMUL AS STRING),'') OR (X."&amp;F359&amp;" IS NULL AND Y."&amp;F359&amp;"_SIMUL IS NOT NULL ) OR (X."&amp;F359&amp;" IS NOT NULL AND Y."&amp;F359&amp;"_SIMUL IS NULL),1,0)) AS NUM_REG_DIF,'"&amp;MAX('ID1&amp;5'!L:L)+1&amp;"' AS ID_EXEC, CURRENT_TIMESTAMP() AS TIME_EXEC FROM "&amp;I359&amp;" INNER JOIN "&amp;J359&amp;" "&amp;K359),
IF(C359="Validade",+IF(G359="Code List","SELECT '"&amp;UPPER(B359)&amp;"' AS TABELA, '"&amp;UPPER(C359)&amp;"' AS TIPOLOGIA_TESTE,'"&amp;D359&amp;"' AS TABELA_LT,'N/A' AS TABELA_SIMUL,'"&amp;F359&amp;"' AS CAMPO, "&amp;"'${ref_date}' AS REF_DATE, COUNT(*) AS NUM_REG, SUM(IF(TRIM(CAST(X."&amp;F359&amp;" AS STRING))='' OR TRIM(CAST(X."&amp;F359&amp;" AS STRING)) IS NULL OR CAST(X."&amp;F359&amp;" AS STRING) NOT "&amp;H359&amp;",1,0)) AS NUM_REG_DIF,'"&amp;MAX('ID1&amp;5'!K:K)+1&amp;"' AS ID_EXEC, CURRENT_TIMESTAMP() AS TIME_EXEC FROM "&amp;I359,"SELECT '"&amp;UPPER(B359)&amp;"' AS TABELA, '"&amp;UPPER(C359)&amp;"' AS TIPOLOGIA_TESTE,'"&amp;D359&amp;"' AS TABELA_LT,'N/A' AS TABELA_SIMUL,'"&amp;F359&amp;"' AS CAMPO, "&amp;"'${ref_date}' AS REF_DATE, COUNT(*) AS NUM_REG, SUM(IF(TRIM(CAST(X."&amp;F359&amp;" AS STRING))='' OR TRIM(CAST(X."&amp;F359&amp;" AS STRING)) IS NULL,1,0)) AS NUM_REG_DIF,'"&amp;MAX('ID1&amp;5'!K:K)+1&amp;"' AS ID_EXEC, CURRENT_TIMESTAMP() AS TIME_EXEC FROM "&amp;I359),
IF(C359="Caracteres Especiais",+"SELECT '"&amp;UPPER(B359)&amp;"' AS TABELA, '"&amp;UPPER(C359)&amp;"' AS TIPOLOGIA_TESTE,'"&amp;D359&amp;"' AS TABELA_LT,'N/A' AS TABELA_SIMUL,'"&amp;F359&amp;"' AS CAMPO, "&amp;"'${ref_date}' AS REF_DATE, COUNT(*) AS NUM_REG, SUM(IF(REGEXP_REPLACE(TRIM(CAST(X."&amp;F359&amp;" AS STRING)),'[^a-zA-Z0-9_\\s]','') &lt;&gt;TRIM(CAST(X."&amp;F359&amp;" AS STRING)),1,0)) AS NUM_REG_DIF,'"&amp;MAX('ID1&amp;5'!K:K)+1&amp;"' AS ID_EXEC, CURRENT_TIMESTAMP() AS TIME_EXEC FROM "&amp;I359,
IF(C359="Missings",+"SELECT '"&amp;UPPER(B359)&amp;"' AS TABELA, '"&amp;UPPER(C359)&amp;"' AS TIPOLOGIA_TESTE,'"&amp;D359&amp;"' AS TABELA_LT,'N/A' AS TABELA_SIMUL,'"&amp;F359&amp;"' AS CAMPO, "&amp;"'${ref_date}' AS REF_DATE, COUNT(*) AS NUM_REG, SUM(IF(TRIM(CAST(X."&amp;F359&amp;" AS STRING)) IN ('0000-00-00','0001-01-01','9999-12-31','MISS','00000','99999999999','99999999999.00','99999999999.000000'),1,0)) AS NUM_REG_DIF,'"&amp;MAX('ID1&amp;5'!K:K)+1&amp;"' AS ID_EXEC, CURRENT_TIMESTAMP() AS TIME_EXEC FROM "&amp;I359,
IF(C359="Not applicable",+"SELECT '"&amp;UPPER(B359)&amp;"' AS TABELA, '"&amp;UPPER(C359)&amp;"' AS TIPOLOGIA_TESTE,'"&amp;D359&amp;"' AS TABELA_LT,'N/A' AS TABELA_SIMUL,'"&amp;F359&amp;"' AS CAMPO, "&amp;"'${ref_date}' AS REF_DATE, COUNT(*) AS NUM_REG, SUM(IF(TRIM(CAST(X."&amp;F359&amp;" AS STRING)) IN ('N/A','11111111111','11111111111.00','11111111111.000000','1111-11-11'),1,0)) AS NUM_REG_DIF,'"&amp;MAX('ID1&amp;5'!K:K)+1&amp;"' AS ID_EXEC, CURRENT_TIMESTAMP() AS TIME_EXEC FROM "&amp;I359,
IF(C359="Valores extremos",+"SELECT '"&amp;UPPER(B359)&amp;"' AS TABELA, '"&amp;UPPER(C359)&amp;"' AS TIPOLOGIA_TESTE,'"&amp;D359&amp;"' AS TABELA_LT,'N/A' AS TABELA_SIMUL,'"&amp;F359&amp;"' AS CAMPO, "&amp;"'${ref_date}' AS REF_DATE, CAST(MIN("&amp;F359&amp;") AS STRING) AS VALOR_MIN, CAST(MAX("&amp;F359&amp;") AS STRING) AS VALOR_MAX,'"&amp;MAX('ID1&amp;5'!K:K)+1&amp;"' AS ID_EXEC, CURRENT_TIMESTAMP() AS TIME_EXEC FROM "&amp;MID(I359,1,LEN(I359)-2)&amp;" AND CAST("&amp;F359&amp;"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TABELA_SIMUL,'typ_cl' AS CAMPO, '${ref_date}' AS REF_DATE, COUNT(*) AS NUM_REG, SUM(IF(COALESCE(CAST(X.typ_cl AS STRING),'')&lt;&gt;COALESCE(CAST(Y.typ_cl_SIMUL AS STRING),'') OR (X.typ_cl IS NULL AND Y.typ_cl_SIMUL IS NOT NULL ) OR (X.typ_cl IS NOT NULL AND Y.typ_cl_SIMUL IS NULL),1,0)) AS NUM_REG_DIF,'1' AS ID_EXEC, CURRENT_TIMESTAMP() AS TIME_EXEC FROM (SELECT instrmnt_id, typ_cl FROM BU_LOANTAPE_WORK.LT002_INSTRUMENT WHERE ref_date='${ref_date}' AND nome_perimetro='Individual Local' AND segmento='ESTR' AND ambito='SRB_MBDT' AND entidade='00100')X INNER JOIN (SELECT instrmnt_id AS instrmnt_id_SIMUL, typ_cl AS typ_cl_SIMUL FROM BU_LOANTAPE_WORK.SIMUL_LT002_INSTRUMENT WHERE ref_date='${ref_date}' AND nome_perimetro='Individual Local' AND segmento='ESTR' AND ambito='PILAR3' AND entidade='00100')Y ON X.INSTRMNT_ID=Y.INSTRMNT_ID_SIMUL</v>
      </c>
      <c r="M359" s="36" t="str">
        <f t="shared" si="8"/>
        <v>UNION ALL SELECT 'INSTRUMENT' AS TABELA, 'COERÊNCIA' AS TIPOLOGIA_TESTE,'BU_LOANTAPE_WORK.LT002_INSTRUMENT' AS TABELA_LT,'BU_LOANTAPE_WORK.SIMUL_LT002_INSTRUMENT' AS TABELA_SIMUL,'typ_cl' AS CAMPO, '${ref_date}' AS REF_DATE, COUNT(*) AS NUM_REG, SUM(IF(COALESCE(CAST(X.typ_cl AS STRING),'')&lt;&gt;COALESCE(CAST(Y.typ_cl_SIMUL AS STRING),'') OR (X.typ_cl IS NULL AND Y.typ_cl_SIMUL IS NOT NULL ) OR (X.typ_cl IS NOT NULL AND Y.typ_cl_SIMUL IS NULL),1,0)) AS NUM_REG_DIF,'1' AS ID_EXEC, CURRENT_TIMESTAMP() AS TIME_EXEC FROM (SELECT instrmnt_id, typ_cl FROM BU_LOANTAPE_WORK.LT002_INSTRUMENT WHERE ref_date='${ref_date}' AND nome_perimetro='Individual Local' AND segmento='ESTR' AND ambito='SRB_MBDT' AND entidade='00100')X INNER JOIN (SELECT instrmnt_id AS instrmnt_id_SIMUL, typ_cl AS typ_cl_SIMUL FROM BU_LOANTAPE_WORK.SIMUL_LT002_INSTRUMENT WHERE ref_date='${ref_date}' AND nome_perimetro='Individual Local' AND segmento='ESTR' AND ambito='PILAR3' AND entidade='00100')Y ON X.INSTRMNT_ID=Y.INSTRMNT_ID_SIMUL</v>
      </c>
      <c r="N359" s="38"/>
    </row>
    <row r="360" spans="2:14">
      <c r="B360" s="34" t="s">
        <v>117</v>
      </c>
      <c r="C360" s="34" t="s">
        <v>5</v>
      </c>
      <c r="D360" s="34" t="str">
        <f>+UPPER('0. Instruções'!$D$35&amp;"."&amp;VLOOKUP(B360,'0. Instruções'!$C$27:$D$32,2,FALSE))</f>
        <v>BU_LOANTAPE_WORK.LT002_INSTRUMENT</v>
      </c>
      <c r="E360" s="34" t="str">
        <f>+UPPER('0. Instruções'!$D$36&amp;"."&amp;VLOOKUP(B360,'0. Instruções'!$C$27:$E$32,3,FALSE))</f>
        <v>BU_LOANTAPE_WORK.SIMUL_LT002_INSTRUMENT</v>
      </c>
      <c r="F360" s="34" t="s">
        <v>1400</v>
      </c>
      <c r="G360" s="34"/>
      <c r="H360" s="34"/>
      <c r="I360" s="34" t="str">
        <f>"(SELECT "&amp;VLOOKUP(B360,'0. Instruções'!$C$27:$G$32,4,FALSE)&amp;", "&amp;F360&amp;" FROM "&amp;D360&amp;" WHERE "&amp;'0. Instruções'!$D$42&amp;")X"</f>
        <v>(SELECT instrmnt_id, typ_dl FROM BU_LOANTAPE_WORK.LT002_INSTRUMENT WHERE ref_date='${ref_date}' AND nome_perimetro='Individual Local' AND segmento='ESTR' AND ambito='SRB_MBDT' AND entidade='00100')X</v>
      </c>
      <c r="J360" s="34" t="str">
        <f>"(SELECT "&amp;VLOOKUP(B360,'0. Instruções'!$C$27:$G$32,4,FALSE)&amp;" AS "&amp;VLOOKUP(B360,'0. Instruções'!$C$27:$G$32,4,FALSE)&amp;"_SIMUL, "&amp;F360&amp;" AS "&amp;F360&amp;"_SIMUL FROM "&amp;E360&amp;" WHERE "&amp;'0. Instruções'!$D$43&amp;")Y"</f>
        <v>(SELECT instrmnt_id AS instrmnt_id_SIMUL, typ_dl AS typ_dl_SIMUL FROM BU_LOANTAPE_WORK.SIMUL_LT002_INSTRUMENT WHERE ref_date='${ref_date}' AND nome_perimetro='Individual Local' AND segmento='ESTR' AND ambito='PILAR3' AND entidade='00100')Y</v>
      </c>
      <c r="K360" s="35" t="str">
        <f>+UPPER("ON X."&amp;VLOOKUP(B360,'0. Instruções'!$C$27:$G$32,4,FALSE)&amp;"=Y."&amp;VLOOKUP(B360,'0. Instruções'!$C$27:$G$32,4,FALSE)&amp;"_SIMUL")</f>
        <v>ON X.INSTRMNT_ID=Y.INSTRMNT_ID_SIMUL</v>
      </c>
      <c r="L360" s="35" t="str">
        <f>+IF(C360="Coerência", +IF(LEFT(G360,5)="FLOAT","SELECT '"&amp;UPPER(B360)&amp;"' AS TABELA, '"&amp;UPPER(C360)&amp;"' AS TIPOLOGIA_TESTE,'"&amp;D360&amp;"' AS TABELA_LT,'"&amp;E360&amp;"' AS TABELA_SIMUL,'"&amp;F360&amp;"' AS CAMPO, "&amp;"'${ref_date}' AS REF_DATE, COUNT(*) AS NUM_REG, SUM(IF((ABS(COALESCE(CAST(X."&amp;F360&amp;" AS DECIMAL(18,6)),0)-COALESCE(CAST(Y."&amp;F360&amp;"_SIMUL AS DECIMAL(18,6)),0))&gt;0.000001) OR (X."&amp;F360&amp;" IS NULL AND Y."&amp;F360&amp;"_SIMUL IS NOT NULL ) OR (X."&amp;F360&amp;" IS NOT NULL AND Y."&amp;F360&amp;"_SIMUL IS NULL),1,0)) AS NUM_REG_DIF,'"&amp;MAX('ID1&amp;5'!K:K)+1&amp;"' AS ID_EXEC, CURRENT_TIMESTAMP() AS TIME_EXEC FROM "&amp;I360&amp;" INNER JOIN "&amp;J360&amp;" "&amp;K360,"SELECT '"&amp;UPPER(B360)&amp;"' AS TABELA, '"&amp;UPPER(C360)&amp;"' AS TIPOLOGIA_TESTE,'"&amp;D360&amp;"' AS TABELA_LT,'"&amp;E360&amp;"' AS TABELA_SIMUL,'"&amp;F360&amp;"' AS CAMPO, "&amp;"'${ref_date}' AS REF_DATE, COUNT(*) AS NUM_REG, SUM(IF(COALESCE(CAST(X."&amp;F360&amp;" AS STRING),'')&lt;&gt;COALESCE(CAST(Y."&amp;F360&amp;"_SIMUL AS STRING),'') OR (X."&amp;F360&amp;" IS NULL AND Y."&amp;F360&amp;"_SIMUL IS NOT NULL ) OR (X."&amp;F360&amp;" IS NOT NULL AND Y."&amp;F360&amp;"_SIMUL IS NULL),1,0)) AS NUM_REG_DIF,'"&amp;MAX('ID1&amp;5'!L:L)+1&amp;"' AS ID_EXEC, CURRENT_TIMESTAMP() AS TIME_EXEC FROM "&amp;I360&amp;" INNER JOIN "&amp;J360&amp;" "&amp;K360),
IF(C360="Validade",+IF(G360="Code List","SELECT '"&amp;UPPER(B360)&amp;"' AS TABELA, '"&amp;UPPER(C360)&amp;"' AS TIPOLOGIA_TESTE,'"&amp;D360&amp;"' AS TABELA_LT,'N/A' AS TABELA_SIMUL,'"&amp;F360&amp;"' AS CAMPO, "&amp;"'${ref_date}' AS REF_DATE, COUNT(*) AS NUM_REG, SUM(IF(TRIM(CAST(X."&amp;F360&amp;" AS STRING))='' OR TRIM(CAST(X."&amp;F360&amp;" AS STRING)) IS NULL OR CAST(X."&amp;F360&amp;" AS STRING) NOT "&amp;H360&amp;",1,0)) AS NUM_REG_DIF,'"&amp;MAX('ID1&amp;5'!K:K)+1&amp;"' AS ID_EXEC, CURRENT_TIMESTAMP() AS TIME_EXEC FROM "&amp;I360,"SELECT '"&amp;UPPER(B360)&amp;"' AS TABELA, '"&amp;UPPER(C360)&amp;"' AS TIPOLOGIA_TESTE,'"&amp;D360&amp;"' AS TABELA_LT,'N/A' AS TABELA_SIMUL,'"&amp;F360&amp;"' AS CAMPO, "&amp;"'${ref_date}' AS REF_DATE, COUNT(*) AS NUM_REG, SUM(IF(TRIM(CAST(X."&amp;F360&amp;" AS STRING))='' OR TRIM(CAST(X."&amp;F360&amp;" AS STRING)) IS NULL,1,0)) AS NUM_REG_DIF,'"&amp;MAX('ID1&amp;5'!K:K)+1&amp;"' AS ID_EXEC, CURRENT_TIMESTAMP() AS TIME_EXEC FROM "&amp;I360),
IF(C360="Caracteres Especiais",+"SELECT '"&amp;UPPER(B360)&amp;"' AS TABELA, '"&amp;UPPER(C360)&amp;"' AS TIPOLOGIA_TESTE,'"&amp;D360&amp;"' AS TABELA_LT,'N/A' AS TABELA_SIMUL,'"&amp;F360&amp;"' AS CAMPO, "&amp;"'${ref_date}' AS REF_DATE, COUNT(*) AS NUM_REG, SUM(IF(REGEXP_REPLACE(TRIM(CAST(X."&amp;F360&amp;" AS STRING)),'[^a-zA-Z0-9_\\s]','') &lt;&gt;TRIM(CAST(X."&amp;F360&amp;" AS STRING)),1,0)) AS NUM_REG_DIF,'"&amp;MAX('ID1&amp;5'!K:K)+1&amp;"' AS ID_EXEC, CURRENT_TIMESTAMP() AS TIME_EXEC FROM "&amp;I360,
IF(C360="Missings",+"SELECT '"&amp;UPPER(B360)&amp;"' AS TABELA, '"&amp;UPPER(C360)&amp;"' AS TIPOLOGIA_TESTE,'"&amp;D360&amp;"' AS TABELA_LT,'N/A' AS TABELA_SIMUL,'"&amp;F360&amp;"' AS CAMPO, "&amp;"'${ref_date}' AS REF_DATE, COUNT(*) AS NUM_REG, SUM(IF(TRIM(CAST(X."&amp;F360&amp;" AS STRING)) IN ('0000-00-00','0001-01-01','9999-12-31','MISS','00000','99999999999','99999999999.00','99999999999.000000'),1,0)) AS NUM_REG_DIF,'"&amp;MAX('ID1&amp;5'!K:K)+1&amp;"' AS ID_EXEC, CURRENT_TIMESTAMP() AS TIME_EXEC FROM "&amp;I360,
IF(C360="Not applicable",+"SELECT '"&amp;UPPER(B360)&amp;"' AS TABELA, '"&amp;UPPER(C360)&amp;"' AS TIPOLOGIA_TESTE,'"&amp;D360&amp;"' AS TABELA_LT,'N/A' AS TABELA_SIMUL,'"&amp;F360&amp;"' AS CAMPO, "&amp;"'${ref_date}' AS REF_DATE, COUNT(*) AS NUM_REG, SUM(IF(TRIM(CAST(X."&amp;F360&amp;" AS STRING)) IN ('N/A','11111111111','11111111111.00','11111111111.000000','1111-11-11'),1,0)) AS NUM_REG_DIF,'"&amp;MAX('ID1&amp;5'!K:K)+1&amp;"' AS ID_EXEC, CURRENT_TIMESTAMP() AS TIME_EXEC FROM "&amp;I360,
IF(C360="Valores extremos",+"SELECT '"&amp;UPPER(B360)&amp;"' AS TABELA, '"&amp;UPPER(C360)&amp;"' AS TIPOLOGIA_TESTE,'"&amp;D360&amp;"' AS TABELA_LT,'N/A' AS TABELA_SIMUL,'"&amp;F360&amp;"' AS CAMPO, "&amp;"'${ref_date}' AS REF_DATE, CAST(MIN("&amp;F360&amp;") AS STRING) AS VALOR_MIN, CAST(MAX("&amp;F360&amp;") AS STRING) AS VALOR_MAX,'"&amp;MAX('ID1&amp;5'!K:K)+1&amp;"' AS ID_EXEC, CURRENT_TIMESTAMP() AS TIME_EXEC FROM "&amp;MID(I360,1,LEN(I360)-2)&amp;" AND CAST("&amp;F360&amp;"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TABELA_SIMUL,'typ_dl' AS CAMPO, '${ref_date}' AS REF_DATE, COUNT(*) AS NUM_REG, SUM(IF(COALESCE(CAST(X.typ_dl AS STRING),'')&lt;&gt;COALESCE(CAST(Y.typ_dl_SIMUL AS STRING),'') OR (X.typ_dl IS NULL AND Y.typ_dl_SIMUL IS NOT NULL ) OR (X.typ_dl IS NOT NULL AND Y.typ_dl_SIMUL IS NULL),1,0)) AS NUM_REG_DIF,'1' AS ID_EXEC, CURRENT_TIMESTAMP() AS TIME_EXEC FROM (SELECT instrmnt_id, typ_dl FROM BU_LOANTAPE_WORK.LT002_INSTRUMENT WHERE ref_date='${ref_date}' AND nome_perimetro='Individual Local' AND segmento='ESTR' AND ambito='SRB_MBDT' AND entidade='00100')X INNER JOIN (SELECT instrmnt_id AS instrmnt_id_SIMUL, typ_dl AS typ_dl_SIMUL FROM BU_LOANTAPE_WORK.SIMUL_LT002_INSTRUMENT WHERE ref_date='${ref_date}' AND nome_perimetro='Individual Local' AND segmento='ESTR' AND ambito='PILAR3' AND entidade='00100')Y ON X.INSTRMNT_ID=Y.INSTRMNT_ID_SIMUL</v>
      </c>
      <c r="M360" s="36" t="str">
        <f t="shared" si="8"/>
        <v>UNION ALL SELECT 'INSTRUMENT' AS TABELA, 'COERÊNCIA' AS TIPOLOGIA_TESTE,'BU_LOANTAPE_WORK.LT002_INSTRUMENT' AS TABELA_LT,'BU_LOANTAPE_WORK.SIMUL_LT002_INSTRUMENT' AS TABELA_SIMUL,'typ_dl' AS CAMPO, '${ref_date}' AS REF_DATE, COUNT(*) AS NUM_REG, SUM(IF(COALESCE(CAST(X.typ_dl AS STRING),'')&lt;&gt;COALESCE(CAST(Y.typ_dl_SIMUL AS STRING),'') OR (X.typ_dl IS NULL AND Y.typ_dl_SIMUL IS NOT NULL ) OR (X.typ_dl IS NOT NULL AND Y.typ_dl_SIMUL IS NULL),1,0)) AS NUM_REG_DIF,'1' AS ID_EXEC, CURRENT_TIMESTAMP() AS TIME_EXEC FROM (SELECT instrmnt_id, typ_dl FROM BU_LOANTAPE_WORK.LT002_INSTRUMENT WHERE ref_date='${ref_date}' AND nome_perimetro='Individual Local' AND segmento='ESTR' AND ambito='SRB_MBDT' AND entidade='00100')X INNER JOIN (SELECT instrmnt_id AS instrmnt_id_SIMUL, typ_dl AS typ_dl_SIMUL FROM BU_LOANTAPE_WORK.SIMUL_LT002_INSTRUMENT WHERE ref_date='${ref_date}' AND nome_perimetro='Individual Local' AND segmento='ESTR' AND ambito='PILAR3' AND entidade='00100')Y ON X.INSTRMNT_ID=Y.INSTRMNT_ID_SIMUL</v>
      </c>
      <c r="N360" s="38"/>
    </row>
    <row r="361" spans="2:14">
      <c r="B361" s="34" t="s">
        <v>117</v>
      </c>
      <c r="C361" s="34" t="s">
        <v>5</v>
      </c>
      <c r="D361" s="34" t="str">
        <f>+UPPER('0. Instruções'!$D$35&amp;"."&amp;VLOOKUP(B361,'0. Instruções'!$C$27:$D$32,2,FALSE))</f>
        <v>BU_LOANTAPE_WORK.LT002_INSTRUMENT</v>
      </c>
      <c r="E361" s="34" t="str">
        <f>+UPPER('0. Instruções'!$D$36&amp;"."&amp;VLOOKUP(B361,'0. Instruções'!$C$27:$E$32,3,FALSE))</f>
        <v>BU_LOANTAPE_WORK.SIMUL_LT002_INSTRUMENT</v>
      </c>
      <c r="F361" s="34" t="s">
        <v>1401</v>
      </c>
      <c r="G361" s="34"/>
      <c r="H361" s="34"/>
      <c r="I361" s="34" t="str">
        <f>"(SELECT "&amp;VLOOKUP(B361,'0. Instruções'!$C$27:$G$32,4,FALSE)&amp;", "&amp;F361&amp;" FROM "&amp;D361&amp;" WHERE "&amp;'0. Instruções'!$D$42&amp;")X"</f>
        <v>(SELECT instrmnt_id, typ_fclty FROM BU_LOANTAPE_WORK.LT002_INSTRUMENT WHERE ref_date='${ref_date}' AND nome_perimetro='Individual Local' AND segmento='ESTR' AND ambito='SRB_MBDT' AND entidade='00100')X</v>
      </c>
      <c r="J361" s="34" t="str">
        <f>"(SELECT "&amp;VLOOKUP(B361,'0. Instruções'!$C$27:$G$32,4,FALSE)&amp;" AS "&amp;VLOOKUP(B361,'0. Instruções'!$C$27:$G$32,4,FALSE)&amp;"_SIMUL, "&amp;F361&amp;" AS "&amp;F361&amp;"_SIMUL FROM "&amp;E361&amp;" WHERE "&amp;'0. Instruções'!$D$43&amp;")Y"</f>
        <v>(SELECT instrmnt_id AS instrmnt_id_SIMUL, typ_fclty AS typ_fclty_SIMUL FROM BU_LOANTAPE_WORK.SIMUL_LT002_INSTRUMENT WHERE ref_date='${ref_date}' AND nome_perimetro='Individual Local' AND segmento='ESTR' AND ambito='PILAR3' AND entidade='00100')Y</v>
      </c>
      <c r="K361" s="35" t="str">
        <f>+UPPER("ON X."&amp;VLOOKUP(B361,'0. Instruções'!$C$27:$G$32,4,FALSE)&amp;"=Y."&amp;VLOOKUP(B361,'0. Instruções'!$C$27:$G$32,4,FALSE)&amp;"_SIMUL")</f>
        <v>ON X.INSTRMNT_ID=Y.INSTRMNT_ID_SIMUL</v>
      </c>
      <c r="L361" s="35" t="str">
        <f>+IF(C361="Coerência", +IF(LEFT(G361,5)="FLOAT","SELECT '"&amp;UPPER(B361)&amp;"' AS TABELA, '"&amp;UPPER(C361)&amp;"' AS TIPOLOGIA_TESTE,'"&amp;D361&amp;"' AS TABELA_LT,'"&amp;E361&amp;"' AS TABELA_SIMUL,'"&amp;F361&amp;"' AS CAMPO, "&amp;"'${ref_date}' AS REF_DATE, COUNT(*) AS NUM_REG, SUM(IF((ABS(COALESCE(CAST(X."&amp;F361&amp;" AS DECIMAL(18,6)),0)-COALESCE(CAST(Y."&amp;F361&amp;"_SIMUL AS DECIMAL(18,6)),0))&gt;0.000001) OR (X."&amp;F361&amp;" IS NULL AND Y."&amp;F361&amp;"_SIMUL IS NOT NULL ) OR (X."&amp;F361&amp;" IS NOT NULL AND Y."&amp;F361&amp;"_SIMUL IS NULL),1,0)) AS NUM_REG_DIF,'"&amp;MAX('ID1&amp;5'!K:K)+1&amp;"' AS ID_EXEC, CURRENT_TIMESTAMP() AS TIME_EXEC FROM "&amp;I361&amp;" INNER JOIN "&amp;J361&amp;" "&amp;K361,"SELECT '"&amp;UPPER(B361)&amp;"' AS TABELA, '"&amp;UPPER(C361)&amp;"' AS TIPOLOGIA_TESTE,'"&amp;D361&amp;"' AS TABELA_LT,'"&amp;E361&amp;"' AS TABELA_SIMUL,'"&amp;F361&amp;"' AS CAMPO, "&amp;"'${ref_date}' AS REF_DATE, COUNT(*) AS NUM_REG, SUM(IF(COALESCE(CAST(X."&amp;F361&amp;" AS STRING),'')&lt;&gt;COALESCE(CAST(Y."&amp;F361&amp;"_SIMUL AS STRING),'') OR (X."&amp;F361&amp;" IS NULL AND Y."&amp;F361&amp;"_SIMUL IS NOT NULL ) OR (X."&amp;F361&amp;" IS NOT NULL AND Y."&amp;F361&amp;"_SIMUL IS NULL),1,0)) AS NUM_REG_DIF,'"&amp;MAX('ID1&amp;5'!L:L)+1&amp;"' AS ID_EXEC, CURRENT_TIMESTAMP() AS TIME_EXEC FROM "&amp;I361&amp;" INNER JOIN "&amp;J361&amp;" "&amp;K361),
IF(C361="Validade",+IF(G361="Code List","SELECT '"&amp;UPPER(B361)&amp;"' AS TABELA, '"&amp;UPPER(C361)&amp;"' AS TIPOLOGIA_TESTE,'"&amp;D361&amp;"' AS TABELA_LT,'N/A' AS TABELA_SIMUL,'"&amp;F361&amp;"' AS CAMPO, "&amp;"'${ref_date}' AS REF_DATE, COUNT(*) AS NUM_REG, SUM(IF(TRIM(CAST(X."&amp;F361&amp;" AS STRING))='' OR TRIM(CAST(X."&amp;F361&amp;" AS STRING)) IS NULL OR CAST(X."&amp;F361&amp;" AS STRING) NOT "&amp;H361&amp;",1,0)) AS NUM_REG_DIF,'"&amp;MAX('ID1&amp;5'!K:K)+1&amp;"' AS ID_EXEC, CURRENT_TIMESTAMP() AS TIME_EXEC FROM "&amp;I361,"SELECT '"&amp;UPPER(B361)&amp;"' AS TABELA, '"&amp;UPPER(C361)&amp;"' AS TIPOLOGIA_TESTE,'"&amp;D361&amp;"' AS TABELA_LT,'N/A' AS TABELA_SIMUL,'"&amp;F361&amp;"' AS CAMPO, "&amp;"'${ref_date}' AS REF_DATE, COUNT(*) AS NUM_REG, SUM(IF(TRIM(CAST(X."&amp;F361&amp;" AS STRING))='' OR TRIM(CAST(X."&amp;F361&amp;" AS STRING)) IS NULL,1,0)) AS NUM_REG_DIF,'"&amp;MAX('ID1&amp;5'!K:K)+1&amp;"' AS ID_EXEC, CURRENT_TIMESTAMP() AS TIME_EXEC FROM "&amp;I361),
IF(C361="Caracteres Especiais",+"SELECT '"&amp;UPPER(B361)&amp;"' AS TABELA, '"&amp;UPPER(C361)&amp;"' AS TIPOLOGIA_TESTE,'"&amp;D361&amp;"' AS TABELA_LT,'N/A' AS TABELA_SIMUL,'"&amp;F361&amp;"' AS CAMPO, "&amp;"'${ref_date}' AS REF_DATE, COUNT(*) AS NUM_REG, SUM(IF(REGEXP_REPLACE(TRIM(CAST(X."&amp;F361&amp;" AS STRING)),'[^a-zA-Z0-9_\\s]','') &lt;&gt;TRIM(CAST(X."&amp;F361&amp;" AS STRING)),1,0)) AS NUM_REG_DIF,'"&amp;MAX('ID1&amp;5'!K:K)+1&amp;"' AS ID_EXEC, CURRENT_TIMESTAMP() AS TIME_EXEC FROM "&amp;I361,
IF(C361="Missings",+"SELECT '"&amp;UPPER(B361)&amp;"' AS TABELA, '"&amp;UPPER(C361)&amp;"' AS TIPOLOGIA_TESTE,'"&amp;D361&amp;"' AS TABELA_LT,'N/A' AS TABELA_SIMUL,'"&amp;F361&amp;"' AS CAMPO, "&amp;"'${ref_date}' AS REF_DATE, COUNT(*) AS NUM_REG, SUM(IF(TRIM(CAST(X."&amp;F361&amp;" AS STRING)) IN ('0000-00-00','0001-01-01','9999-12-31','MISS','00000','99999999999','99999999999.00','99999999999.000000'),1,0)) AS NUM_REG_DIF,'"&amp;MAX('ID1&amp;5'!K:K)+1&amp;"' AS ID_EXEC, CURRENT_TIMESTAMP() AS TIME_EXEC FROM "&amp;I361,
IF(C361="Not applicable",+"SELECT '"&amp;UPPER(B361)&amp;"' AS TABELA, '"&amp;UPPER(C361)&amp;"' AS TIPOLOGIA_TESTE,'"&amp;D361&amp;"' AS TABELA_LT,'N/A' AS TABELA_SIMUL,'"&amp;F361&amp;"' AS CAMPO, "&amp;"'${ref_date}' AS REF_DATE, COUNT(*) AS NUM_REG, SUM(IF(TRIM(CAST(X."&amp;F361&amp;" AS STRING)) IN ('N/A','11111111111','11111111111.00','11111111111.000000','1111-11-11'),1,0)) AS NUM_REG_DIF,'"&amp;MAX('ID1&amp;5'!K:K)+1&amp;"' AS ID_EXEC, CURRENT_TIMESTAMP() AS TIME_EXEC FROM "&amp;I361,
IF(C361="Valores extremos",+"SELECT '"&amp;UPPER(B361)&amp;"' AS TABELA, '"&amp;UPPER(C361)&amp;"' AS TIPOLOGIA_TESTE,'"&amp;D361&amp;"' AS TABELA_LT,'N/A' AS TABELA_SIMUL,'"&amp;F361&amp;"' AS CAMPO, "&amp;"'${ref_date}' AS REF_DATE, CAST(MIN("&amp;F361&amp;") AS STRING) AS VALOR_MIN, CAST(MAX("&amp;F361&amp;") AS STRING) AS VALOR_MAX,'"&amp;MAX('ID1&amp;5'!K:K)+1&amp;"' AS ID_EXEC, CURRENT_TIMESTAMP() AS TIME_EXEC FROM "&amp;MID(I361,1,LEN(I361)-2)&amp;" AND CAST("&amp;F361&amp;"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TABELA_SIMUL,'typ_fclty' AS CAMPO, '${ref_date}' AS REF_DATE, COUNT(*) AS NUM_REG, SUM(IF(COALESCE(CAST(X.typ_fclty AS STRING),'')&lt;&gt;COALESCE(CAST(Y.typ_fclty_SIMUL AS STRING),'') OR (X.typ_fclty IS NULL AND Y.typ_fclty_SIMUL IS NOT NULL ) OR (X.typ_fclty IS NOT NULL AND Y.typ_fclty_SIMUL IS NULL),1,0)) AS NUM_REG_DIF,'1' AS ID_EXEC, CURRENT_TIMESTAMP() AS TIME_EXEC FROM (SELECT instrmnt_id, typ_fclty FROM BU_LOANTAPE_WORK.LT002_INSTRUMENT WHERE ref_date='${ref_date}' AND nome_perimetro='Individual Local' AND segmento='ESTR' AND ambito='SRB_MBDT' AND entidade='00100')X INNER JOIN (SELECT instrmnt_id AS instrmnt_id_SIMUL, typ_fclty AS typ_fclty_SIMUL FROM BU_LOANTAPE_WORK.SIMUL_LT002_INSTRUMENT WHERE ref_date='${ref_date}' AND nome_perimetro='Individual Local' AND segmento='ESTR' AND ambito='PILAR3' AND entidade='00100')Y ON X.INSTRMNT_ID=Y.INSTRMNT_ID_SIMUL</v>
      </c>
      <c r="M361" s="36" t="str">
        <f t="shared" si="8"/>
        <v>UNION ALL SELECT 'INSTRUMENT' AS TABELA, 'COERÊNCIA' AS TIPOLOGIA_TESTE,'BU_LOANTAPE_WORK.LT002_INSTRUMENT' AS TABELA_LT,'BU_LOANTAPE_WORK.SIMUL_LT002_INSTRUMENT' AS TABELA_SIMUL,'typ_fclty' AS CAMPO, '${ref_date}' AS REF_DATE, COUNT(*) AS NUM_REG, SUM(IF(COALESCE(CAST(X.typ_fclty AS STRING),'')&lt;&gt;COALESCE(CAST(Y.typ_fclty_SIMUL AS STRING),'') OR (X.typ_fclty IS NULL AND Y.typ_fclty_SIMUL IS NOT NULL ) OR (X.typ_fclty IS NOT NULL AND Y.typ_fclty_SIMUL IS NULL),1,0)) AS NUM_REG_DIF,'1' AS ID_EXEC, CURRENT_TIMESTAMP() AS TIME_EXEC FROM (SELECT instrmnt_id, typ_fclty FROM BU_LOANTAPE_WORK.LT002_INSTRUMENT WHERE ref_date='${ref_date}' AND nome_perimetro='Individual Local' AND segmento='ESTR' AND ambito='SRB_MBDT' AND entidade='00100')X INNER JOIN (SELECT instrmnt_id AS instrmnt_id_SIMUL, typ_fclty AS typ_fclty_SIMUL FROM BU_LOANTAPE_WORK.SIMUL_LT002_INSTRUMENT WHERE ref_date='${ref_date}' AND nome_perimetro='Individual Local' AND segmento='ESTR' AND ambito='PILAR3' AND entidade='00100')Y ON X.INSTRMNT_ID=Y.INSTRMNT_ID_SIMUL</v>
      </c>
      <c r="N361" s="38"/>
    </row>
    <row r="362" spans="2:14">
      <c r="B362" s="34" t="s">
        <v>117</v>
      </c>
      <c r="C362" s="34" t="s">
        <v>5</v>
      </c>
      <c r="D362" s="34" t="str">
        <f>+UPPER('0. Instruções'!$D$35&amp;"."&amp;VLOOKUP(B362,'0. Instruções'!$C$27:$D$32,2,FALSE))</f>
        <v>BU_LOANTAPE_WORK.LT002_INSTRUMENT</v>
      </c>
      <c r="E362" s="34" t="str">
        <f>+UPPER('0. Instruções'!$D$36&amp;"."&amp;VLOOKUP(B362,'0. Instruções'!$C$27:$E$32,3,FALSE))</f>
        <v>BU_LOANTAPE_WORK.SIMUL_LT002_INSTRUMENT</v>
      </c>
      <c r="F362" s="34" t="s">
        <v>1402</v>
      </c>
      <c r="G362" s="34"/>
      <c r="H362" s="34"/>
      <c r="I362" s="34" t="str">
        <f>"(SELECT "&amp;VLOOKUP(B362,'0. Instruções'!$C$27:$G$32,4,FALSE)&amp;", "&amp;F362&amp;" FROM "&amp;D362&amp;" WHERE "&amp;'0. Instruções'!$D$42&amp;")X"</f>
        <v>(SELECT instrmnt_id, us_prcds FROM BU_LOANTAPE_WORK.LT002_INSTRUMENT WHERE ref_date='${ref_date}' AND nome_perimetro='Individual Local' AND segmento='ESTR' AND ambito='SRB_MBDT' AND entidade='00100')X</v>
      </c>
      <c r="J362" s="34" t="str">
        <f>"(SELECT "&amp;VLOOKUP(B362,'0. Instruções'!$C$27:$G$32,4,FALSE)&amp;" AS "&amp;VLOOKUP(B362,'0. Instruções'!$C$27:$G$32,4,FALSE)&amp;"_SIMUL, "&amp;F362&amp;" AS "&amp;F362&amp;"_SIMUL FROM "&amp;E362&amp;" WHERE "&amp;'0. Instruções'!$D$43&amp;")Y"</f>
        <v>(SELECT instrmnt_id AS instrmnt_id_SIMUL, us_prcds AS us_prcds_SIMUL FROM BU_LOANTAPE_WORK.SIMUL_LT002_INSTRUMENT WHERE ref_date='${ref_date}' AND nome_perimetro='Individual Local' AND segmento='ESTR' AND ambito='PILAR3' AND entidade='00100')Y</v>
      </c>
      <c r="K362" s="35" t="str">
        <f>+UPPER("ON X."&amp;VLOOKUP(B362,'0. Instruções'!$C$27:$G$32,4,FALSE)&amp;"=Y."&amp;VLOOKUP(B362,'0. Instruções'!$C$27:$G$32,4,FALSE)&amp;"_SIMUL")</f>
        <v>ON X.INSTRMNT_ID=Y.INSTRMNT_ID_SIMUL</v>
      </c>
      <c r="L362" s="35" t="str">
        <f>+IF(C362="Coerência", +IF(LEFT(G362,5)="FLOAT","SELECT '"&amp;UPPER(B362)&amp;"' AS TABELA, '"&amp;UPPER(C362)&amp;"' AS TIPOLOGIA_TESTE,'"&amp;D362&amp;"' AS TABELA_LT,'"&amp;E362&amp;"' AS TABELA_SIMUL,'"&amp;F362&amp;"' AS CAMPO, "&amp;"'${ref_date}' AS REF_DATE, COUNT(*) AS NUM_REG, SUM(IF((ABS(COALESCE(CAST(X."&amp;F362&amp;" AS DECIMAL(18,6)),0)-COALESCE(CAST(Y."&amp;F362&amp;"_SIMUL AS DECIMAL(18,6)),0))&gt;0.000001) OR (X."&amp;F362&amp;" IS NULL AND Y."&amp;F362&amp;"_SIMUL IS NOT NULL ) OR (X."&amp;F362&amp;" IS NOT NULL AND Y."&amp;F362&amp;"_SIMUL IS NULL),1,0)) AS NUM_REG_DIF,'"&amp;MAX('ID1&amp;5'!K:K)+1&amp;"' AS ID_EXEC, CURRENT_TIMESTAMP() AS TIME_EXEC FROM "&amp;I362&amp;" INNER JOIN "&amp;J362&amp;" "&amp;K362,"SELECT '"&amp;UPPER(B362)&amp;"' AS TABELA, '"&amp;UPPER(C362)&amp;"' AS TIPOLOGIA_TESTE,'"&amp;D362&amp;"' AS TABELA_LT,'"&amp;E362&amp;"' AS TABELA_SIMUL,'"&amp;F362&amp;"' AS CAMPO, "&amp;"'${ref_date}' AS REF_DATE, COUNT(*) AS NUM_REG, SUM(IF(COALESCE(CAST(X."&amp;F362&amp;" AS STRING),'')&lt;&gt;COALESCE(CAST(Y."&amp;F362&amp;"_SIMUL AS STRING),'') OR (X."&amp;F362&amp;" IS NULL AND Y."&amp;F362&amp;"_SIMUL IS NOT NULL ) OR (X."&amp;F362&amp;" IS NOT NULL AND Y."&amp;F362&amp;"_SIMUL IS NULL),1,0)) AS NUM_REG_DIF,'"&amp;MAX('ID1&amp;5'!L:L)+1&amp;"' AS ID_EXEC, CURRENT_TIMESTAMP() AS TIME_EXEC FROM "&amp;I362&amp;" INNER JOIN "&amp;J362&amp;" "&amp;K362),
IF(C362="Validade",+IF(G362="Code List","SELECT '"&amp;UPPER(B362)&amp;"' AS TABELA, '"&amp;UPPER(C362)&amp;"' AS TIPOLOGIA_TESTE,'"&amp;D362&amp;"' AS TABELA_LT,'N/A' AS TABELA_SIMUL,'"&amp;F362&amp;"' AS CAMPO, "&amp;"'${ref_date}' AS REF_DATE, COUNT(*) AS NUM_REG, SUM(IF(TRIM(CAST(X."&amp;F362&amp;" AS STRING))='' OR TRIM(CAST(X."&amp;F362&amp;" AS STRING)) IS NULL OR CAST(X."&amp;F362&amp;" AS STRING) NOT "&amp;H362&amp;",1,0)) AS NUM_REG_DIF,'"&amp;MAX('ID1&amp;5'!K:K)+1&amp;"' AS ID_EXEC, CURRENT_TIMESTAMP() AS TIME_EXEC FROM "&amp;I362,"SELECT '"&amp;UPPER(B362)&amp;"' AS TABELA, '"&amp;UPPER(C362)&amp;"' AS TIPOLOGIA_TESTE,'"&amp;D362&amp;"' AS TABELA_LT,'N/A' AS TABELA_SIMUL,'"&amp;F362&amp;"' AS CAMPO, "&amp;"'${ref_date}' AS REF_DATE, COUNT(*) AS NUM_REG, SUM(IF(TRIM(CAST(X."&amp;F362&amp;" AS STRING))='' OR TRIM(CAST(X."&amp;F362&amp;" AS STRING)) IS NULL,1,0)) AS NUM_REG_DIF,'"&amp;MAX('ID1&amp;5'!K:K)+1&amp;"' AS ID_EXEC, CURRENT_TIMESTAMP() AS TIME_EXEC FROM "&amp;I362),
IF(C362="Caracteres Especiais",+"SELECT '"&amp;UPPER(B362)&amp;"' AS TABELA, '"&amp;UPPER(C362)&amp;"' AS TIPOLOGIA_TESTE,'"&amp;D362&amp;"' AS TABELA_LT,'N/A' AS TABELA_SIMUL,'"&amp;F362&amp;"' AS CAMPO, "&amp;"'${ref_date}' AS REF_DATE, COUNT(*) AS NUM_REG, SUM(IF(REGEXP_REPLACE(TRIM(CAST(X."&amp;F362&amp;" AS STRING)),'[^a-zA-Z0-9_\\s]','') &lt;&gt;TRIM(CAST(X."&amp;F362&amp;" AS STRING)),1,0)) AS NUM_REG_DIF,'"&amp;MAX('ID1&amp;5'!K:K)+1&amp;"' AS ID_EXEC, CURRENT_TIMESTAMP() AS TIME_EXEC FROM "&amp;I362,
IF(C362="Missings",+"SELECT '"&amp;UPPER(B362)&amp;"' AS TABELA, '"&amp;UPPER(C362)&amp;"' AS TIPOLOGIA_TESTE,'"&amp;D362&amp;"' AS TABELA_LT,'N/A' AS TABELA_SIMUL,'"&amp;F362&amp;"' AS CAMPO, "&amp;"'${ref_date}' AS REF_DATE, COUNT(*) AS NUM_REG, SUM(IF(TRIM(CAST(X."&amp;F362&amp;" AS STRING)) IN ('0000-00-00','0001-01-01','9999-12-31','MISS','00000','99999999999','99999999999.00','99999999999.000000'),1,0)) AS NUM_REG_DIF,'"&amp;MAX('ID1&amp;5'!K:K)+1&amp;"' AS ID_EXEC, CURRENT_TIMESTAMP() AS TIME_EXEC FROM "&amp;I362,
IF(C362="Not applicable",+"SELECT '"&amp;UPPER(B362)&amp;"' AS TABELA, '"&amp;UPPER(C362)&amp;"' AS TIPOLOGIA_TESTE,'"&amp;D362&amp;"' AS TABELA_LT,'N/A' AS TABELA_SIMUL,'"&amp;F362&amp;"' AS CAMPO, "&amp;"'${ref_date}' AS REF_DATE, COUNT(*) AS NUM_REG, SUM(IF(TRIM(CAST(X."&amp;F362&amp;" AS STRING)) IN ('N/A','11111111111','11111111111.00','11111111111.000000','1111-11-11'),1,0)) AS NUM_REG_DIF,'"&amp;MAX('ID1&amp;5'!K:K)+1&amp;"' AS ID_EXEC, CURRENT_TIMESTAMP() AS TIME_EXEC FROM "&amp;I362,
IF(C362="Valores extremos",+"SELECT '"&amp;UPPER(B362)&amp;"' AS TABELA, '"&amp;UPPER(C362)&amp;"' AS TIPOLOGIA_TESTE,'"&amp;D362&amp;"' AS TABELA_LT,'N/A' AS TABELA_SIMUL,'"&amp;F362&amp;"' AS CAMPO, "&amp;"'${ref_date}' AS REF_DATE, CAST(MIN("&amp;F362&amp;") AS STRING) AS VALOR_MIN, CAST(MAX("&amp;F362&amp;") AS STRING) AS VALOR_MAX,'"&amp;MAX('ID1&amp;5'!K:K)+1&amp;"' AS ID_EXEC, CURRENT_TIMESTAMP() AS TIME_EXEC FROM "&amp;MID(I362,1,LEN(I362)-2)&amp;" AND CAST("&amp;F362&amp;"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TABELA_SIMUL,'us_prcds' AS CAMPO, '${ref_date}' AS REF_DATE, COUNT(*) AS NUM_REG, SUM(IF(COALESCE(CAST(X.us_prcds AS STRING),'')&lt;&gt;COALESCE(CAST(Y.us_prcds_SIMUL AS STRING),'') OR (X.us_prcds IS NULL AND Y.us_prcds_SIMUL IS NOT NULL ) OR (X.us_prcds IS NOT NULL AND Y.us_prcds_SIMUL IS NULL),1,0)) AS NUM_REG_DIF,'1' AS ID_EXEC, CURRENT_TIMESTAMP() AS TIME_EXEC FROM (SELECT instrmnt_id, us_prcds FROM BU_LOANTAPE_WORK.LT002_INSTRUMENT WHERE ref_date='${ref_date}' AND nome_perimetro='Individual Local' AND segmento='ESTR' AND ambito='SRB_MBDT' AND entidade='00100')X INNER JOIN (SELECT instrmnt_id AS instrmnt_id_SIMUL, us_prcds AS us_prcds_SIMUL FROM BU_LOANTAPE_WORK.SIMUL_LT002_INSTRUMENT WHERE ref_date='${ref_date}' AND nome_perimetro='Individual Local' AND segmento='ESTR' AND ambito='PILAR3' AND entidade='00100')Y ON X.INSTRMNT_ID=Y.INSTRMNT_ID_SIMUL</v>
      </c>
      <c r="M362" s="36" t="str">
        <f t="shared" si="8"/>
        <v>UNION ALL SELECT 'INSTRUMENT' AS TABELA, 'COERÊNCIA' AS TIPOLOGIA_TESTE,'BU_LOANTAPE_WORK.LT002_INSTRUMENT' AS TABELA_LT,'BU_LOANTAPE_WORK.SIMUL_LT002_INSTRUMENT' AS TABELA_SIMUL,'us_prcds' AS CAMPO, '${ref_date}' AS REF_DATE, COUNT(*) AS NUM_REG, SUM(IF(COALESCE(CAST(X.us_prcds AS STRING),'')&lt;&gt;COALESCE(CAST(Y.us_prcds_SIMUL AS STRING),'') OR (X.us_prcds IS NULL AND Y.us_prcds_SIMUL IS NOT NULL ) OR (X.us_prcds IS NOT NULL AND Y.us_prcds_SIMUL IS NULL),1,0)) AS NUM_REG_DIF,'1' AS ID_EXEC, CURRENT_TIMESTAMP() AS TIME_EXEC FROM (SELECT instrmnt_id, us_prcds FROM BU_LOANTAPE_WORK.LT002_INSTRUMENT WHERE ref_date='${ref_date}' AND nome_perimetro='Individual Local' AND segmento='ESTR' AND ambito='SRB_MBDT' AND entidade='00100')X INNER JOIN (SELECT instrmnt_id AS instrmnt_id_SIMUL, us_prcds AS us_prcds_SIMUL FROM BU_LOANTAPE_WORK.SIMUL_LT002_INSTRUMENT WHERE ref_date='${ref_date}' AND nome_perimetro='Individual Local' AND segmento='ESTR' AND ambito='PILAR3' AND entidade='00100')Y ON X.INSTRMNT_ID=Y.INSTRMNT_ID_SIMUL</v>
      </c>
      <c r="N362" s="38"/>
    </row>
    <row r="363" spans="2:14">
      <c r="B363" s="34" t="s">
        <v>117</v>
      </c>
      <c r="C363" s="34" t="s">
        <v>5</v>
      </c>
      <c r="D363" s="34" t="str">
        <f>+UPPER('0. Instruções'!$D$35&amp;"."&amp;VLOOKUP(B363,'0. Instruções'!$C$27:$D$32,2,FALSE))</f>
        <v>BU_LOANTAPE_WORK.LT002_INSTRUMENT</v>
      </c>
      <c r="E363" s="34" t="str">
        <f>+UPPER('0. Instruções'!$D$36&amp;"."&amp;VLOOKUP(B363,'0. Instruções'!$C$27:$E$32,3,FALSE))</f>
        <v>BU_LOANTAPE_WORK.SIMUL_LT002_INSTRUMENT</v>
      </c>
      <c r="F363" s="34" t="s">
        <v>1403</v>
      </c>
      <c r="G363" s="34"/>
      <c r="H363" s="34"/>
      <c r="I363" s="34" t="str">
        <f>"(SELECT "&amp;VLOOKUP(B363,'0. Instruções'!$C$27:$G$32,4,FALSE)&amp;", "&amp;F363&amp;" FROM "&amp;D363&amp;" WHERE "&amp;'0. Instruções'!$D$42&amp;")X"</f>
        <v>(SELECT instrmnt_id, orgnl_amnt_eur FROM BU_LOANTAPE_WORK.LT002_INSTRUMENT WHERE ref_date='${ref_date}' AND nome_perimetro='Individual Local' AND segmento='ESTR' AND ambito='SRB_MBDT' AND entidade='00100')X</v>
      </c>
      <c r="J363" s="34" t="str">
        <f>"(SELECT "&amp;VLOOKUP(B363,'0. Instruções'!$C$27:$G$32,4,FALSE)&amp;" AS "&amp;VLOOKUP(B363,'0. Instruções'!$C$27:$G$32,4,FALSE)&amp;"_SIMUL, "&amp;F363&amp;" AS "&amp;F363&amp;"_SIMUL FROM "&amp;E363&amp;" WHERE "&amp;'0. Instruções'!$D$43&amp;")Y"</f>
        <v>(SELECT instrmnt_id AS instrmnt_id_SIMUL, orgnl_amnt_eur AS orgnl_amnt_eur_SIMUL FROM BU_LOANTAPE_WORK.SIMUL_LT002_INSTRUMENT WHERE ref_date='${ref_date}' AND nome_perimetro='Individual Local' AND segmento='ESTR' AND ambito='PILAR3' AND entidade='00100')Y</v>
      </c>
      <c r="K363" s="35" t="str">
        <f>+UPPER("ON X."&amp;VLOOKUP(B363,'0. Instruções'!$C$27:$G$32,4,FALSE)&amp;"=Y."&amp;VLOOKUP(B363,'0. Instruções'!$C$27:$G$32,4,FALSE)&amp;"_SIMUL")</f>
        <v>ON X.INSTRMNT_ID=Y.INSTRMNT_ID_SIMUL</v>
      </c>
      <c r="L363" s="35" t="str">
        <f>+IF(C363="Coerência", +IF(LEFT(G363,5)="FLOAT","SELECT '"&amp;UPPER(B363)&amp;"' AS TABELA, '"&amp;UPPER(C363)&amp;"' AS TIPOLOGIA_TESTE,'"&amp;D363&amp;"' AS TABELA_LT,'"&amp;E363&amp;"' AS TABELA_SIMUL,'"&amp;F363&amp;"' AS CAMPO, "&amp;"'${ref_date}' AS REF_DATE, COUNT(*) AS NUM_REG, SUM(IF((ABS(COALESCE(CAST(X."&amp;F363&amp;" AS DECIMAL(18,6)),0)-COALESCE(CAST(Y."&amp;F363&amp;"_SIMUL AS DECIMAL(18,6)),0))&gt;0.000001) OR (X."&amp;F363&amp;" IS NULL AND Y."&amp;F363&amp;"_SIMUL IS NOT NULL ) OR (X."&amp;F363&amp;" IS NOT NULL AND Y."&amp;F363&amp;"_SIMUL IS NULL),1,0)) AS NUM_REG_DIF,'"&amp;MAX('ID1&amp;5'!K:K)+1&amp;"' AS ID_EXEC, CURRENT_TIMESTAMP() AS TIME_EXEC FROM "&amp;I363&amp;" INNER JOIN "&amp;J363&amp;" "&amp;K363,"SELECT '"&amp;UPPER(B363)&amp;"' AS TABELA, '"&amp;UPPER(C363)&amp;"' AS TIPOLOGIA_TESTE,'"&amp;D363&amp;"' AS TABELA_LT,'"&amp;E363&amp;"' AS TABELA_SIMUL,'"&amp;F363&amp;"' AS CAMPO, "&amp;"'${ref_date}' AS REF_DATE, COUNT(*) AS NUM_REG, SUM(IF(COALESCE(CAST(X."&amp;F363&amp;" AS STRING),'')&lt;&gt;COALESCE(CAST(Y."&amp;F363&amp;"_SIMUL AS STRING),'') OR (X."&amp;F363&amp;" IS NULL AND Y."&amp;F363&amp;"_SIMUL IS NOT NULL ) OR (X."&amp;F363&amp;" IS NOT NULL AND Y."&amp;F363&amp;"_SIMUL IS NULL),1,0)) AS NUM_REG_DIF,'"&amp;MAX('ID1&amp;5'!L:L)+1&amp;"' AS ID_EXEC, CURRENT_TIMESTAMP() AS TIME_EXEC FROM "&amp;I363&amp;" INNER JOIN "&amp;J363&amp;" "&amp;K363),
IF(C363="Validade",+IF(G363="Code List","SELECT '"&amp;UPPER(B363)&amp;"' AS TABELA, '"&amp;UPPER(C363)&amp;"' AS TIPOLOGIA_TESTE,'"&amp;D363&amp;"' AS TABELA_LT,'N/A' AS TABELA_SIMUL,'"&amp;F363&amp;"' AS CAMPO, "&amp;"'${ref_date}' AS REF_DATE, COUNT(*) AS NUM_REG, SUM(IF(TRIM(CAST(X."&amp;F363&amp;" AS STRING))='' OR TRIM(CAST(X."&amp;F363&amp;" AS STRING)) IS NULL OR CAST(X."&amp;F363&amp;" AS STRING) NOT "&amp;H363&amp;",1,0)) AS NUM_REG_DIF,'"&amp;MAX('ID1&amp;5'!K:K)+1&amp;"' AS ID_EXEC, CURRENT_TIMESTAMP() AS TIME_EXEC FROM "&amp;I363,"SELECT '"&amp;UPPER(B363)&amp;"' AS TABELA, '"&amp;UPPER(C363)&amp;"' AS TIPOLOGIA_TESTE,'"&amp;D363&amp;"' AS TABELA_LT,'N/A' AS TABELA_SIMUL,'"&amp;F363&amp;"' AS CAMPO, "&amp;"'${ref_date}' AS REF_DATE, COUNT(*) AS NUM_REG, SUM(IF(TRIM(CAST(X."&amp;F363&amp;" AS STRING))='' OR TRIM(CAST(X."&amp;F363&amp;" AS STRING)) IS NULL,1,0)) AS NUM_REG_DIF,'"&amp;MAX('ID1&amp;5'!K:K)+1&amp;"' AS ID_EXEC, CURRENT_TIMESTAMP() AS TIME_EXEC FROM "&amp;I363),
IF(C363="Caracteres Especiais",+"SELECT '"&amp;UPPER(B363)&amp;"' AS TABELA, '"&amp;UPPER(C363)&amp;"' AS TIPOLOGIA_TESTE,'"&amp;D363&amp;"' AS TABELA_LT,'N/A' AS TABELA_SIMUL,'"&amp;F363&amp;"' AS CAMPO, "&amp;"'${ref_date}' AS REF_DATE, COUNT(*) AS NUM_REG, SUM(IF(REGEXP_REPLACE(TRIM(CAST(X."&amp;F363&amp;" AS STRING)),'[^a-zA-Z0-9_\\s]','') &lt;&gt;TRIM(CAST(X."&amp;F363&amp;" AS STRING)),1,0)) AS NUM_REG_DIF,'"&amp;MAX('ID1&amp;5'!K:K)+1&amp;"' AS ID_EXEC, CURRENT_TIMESTAMP() AS TIME_EXEC FROM "&amp;I363,
IF(C363="Missings",+"SELECT '"&amp;UPPER(B363)&amp;"' AS TABELA, '"&amp;UPPER(C363)&amp;"' AS TIPOLOGIA_TESTE,'"&amp;D363&amp;"' AS TABELA_LT,'N/A' AS TABELA_SIMUL,'"&amp;F363&amp;"' AS CAMPO, "&amp;"'${ref_date}' AS REF_DATE, COUNT(*) AS NUM_REG, SUM(IF(TRIM(CAST(X."&amp;F363&amp;" AS STRING)) IN ('0000-00-00','0001-01-01','9999-12-31','MISS','00000','99999999999','99999999999.00','99999999999.000000'),1,0)) AS NUM_REG_DIF,'"&amp;MAX('ID1&amp;5'!K:K)+1&amp;"' AS ID_EXEC, CURRENT_TIMESTAMP() AS TIME_EXEC FROM "&amp;I363,
IF(C363="Not applicable",+"SELECT '"&amp;UPPER(B363)&amp;"' AS TABELA, '"&amp;UPPER(C363)&amp;"' AS TIPOLOGIA_TESTE,'"&amp;D363&amp;"' AS TABELA_LT,'N/A' AS TABELA_SIMUL,'"&amp;F363&amp;"' AS CAMPO, "&amp;"'${ref_date}' AS REF_DATE, COUNT(*) AS NUM_REG, SUM(IF(TRIM(CAST(X."&amp;F363&amp;" AS STRING)) IN ('N/A','11111111111','11111111111.00','11111111111.000000','1111-11-11'),1,0)) AS NUM_REG_DIF,'"&amp;MAX('ID1&amp;5'!K:K)+1&amp;"' AS ID_EXEC, CURRENT_TIMESTAMP() AS TIME_EXEC FROM "&amp;I363,
IF(C363="Valores extremos",+"SELECT '"&amp;UPPER(B363)&amp;"' AS TABELA, '"&amp;UPPER(C363)&amp;"' AS TIPOLOGIA_TESTE,'"&amp;D363&amp;"' AS TABELA_LT,'N/A' AS TABELA_SIMUL,'"&amp;F363&amp;"' AS CAMPO, "&amp;"'${ref_date}' AS REF_DATE, CAST(MIN("&amp;F363&amp;") AS STRING) AS VALOR_MIN, CAST(MAX("&amp;F363&amp;") AS STRING) AS VALOR_MAX,'"&amp;MAX('ID1&amp;5'!K:K)+1&amp;"' AS ID_EXEC, CURRENT_TIMESTAMP() AS TIME_EXEC FROM "&amp;MID(I363,1,LEN(I363)-2)&amp;" AND CAST("&amp;F363&amp;"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TABELA_SIMUL,'orgnl_amnt_eur' AS CAMPO, '${ref_date}' AS REF_DATE, COUNT(*) AS NUM_REG, SUM(IF(COALESCE(CAST(X.orgnl_amnt_eur AS STRING),'')&lt;&gt;COALESCE(CAST(Y.orgnl_amnt_eur_SIMUL AS STRING),'') OR (X.orgnl_amnt_eur IS NULL AND Y.orgnl_amnt_eur_SIMUL IS NOT NULL ) OR (X.orgnl_amnt_eur IS NOT NULL AND Y.orgnl_amnt_eur_SIMUL IS NULL),1,0)) AS NUM_REG_DIF,'1' AS ID_EXEC, CURRENT_TIMESTAMP() AS TIME_EXEC FROM (SELECT instrmnt_id, orgnl_amnt_eur FROM BU_LOANTAPE_WORK.LT002_INSTRUMENT WHERE ref_date='${ref_date}' AND nome_perimetro='Individual Local' AND segmento='ESTR' AND ambito='SRB_MBDT' AND entidade='00100')X INNER JOIN (SELECT instrmnt_id AS instrmnt_id_SIMUL, orgnl_amnt_eur AS orgnl_amnt_eur_SIMUL FROM BU_LOANTAPE_WORK.SIMUL_LT002_INSTRUMENT WHERE ref_date='${ref_date}' AND nome_perimetro='Individual Local' AND segmento='ESTR' AND ambito='PILAR3' AND entidade='00100')Y ON X.INSTRMNT_ID=Y.INSTRMNT_ID_SIMUL</v>
      </c>
      <c r="M363" s="36" t="str">
        <f t="shared" si="8"/>
        <v>UNION ALL SELECT 'INSTRUMENT' AS TABELA, 'COERÊNCIA' AS TIPOLOGIA_TESTE,'BU_LOANTAPE_WORK.LT002_INSTRUMENT' AS TABELA_LT,'BU_LOANTAPE_WORK.SIMUL_LT002_INSTRUMENT' AS TABELA_SIMUL,'orgnl_amnt_eur' AS CAMPO, '${ref_date}' AS REF_DATE, COUNT(*) AS NUM_REG, SUM(IF(COALESCE(CAST(X.orgnl_amnt_eur AS STRING),'')&lt;&gt;COALESCE(CAST(Y.orgnl_amnt_eur_SIMUL AS STRING),'') OR (X.orgnl_amnt_eur IS NULL AND Y.orgnl_amnt_eur_SIMUL IS NOT NULL ) OR (X.orgnl_amnt_eur IS NOT NULL AND Y.orgnl_amnt_eur_SIMUL IS NULL),1,0)) AS NUM_REG_DIF,'1' AS ID_EXEC, CURRENT_TIMESTAMP() AS TIME_EXEC FROM (SELECT instrmnt_id, orgnl_amnt_eur FROM BU_LOANTAPE_WORK.LT002_INSTRUMENT WHERE ref_date='${ref_date}' AND nome_perimetro='Individual Local' AND segmento='ESTR' AND ambito='SRB_MBDT' AND entidade='00100')X INNER JOIN (SELECT instrmnt_id AS instrmnt_id_SIMUL, orgnl_amnt_eur AS orgnl_amnt_eur_SIMUL FROM BU_LOANTAPE_WORK.SIMUL_LT002_INSTRUMENT WHERE ref_date='${ref_date}' AND nome_perimetro='Individual Local' AND segmento='ESTR' AND ambito='PILAR3' AND entidade='00100')Y ON X.INSTRMNT_ID=Y.INSTRMNT_ID_SIMUL</v>
      </c>
      <c r="N363" s="38"/>
    </row>
    <row r="364" spans="2:14">
      <c r="B364" s="34" t="s">
        <v>117</v>
      </c>
      <c r="C364" s="34" t="s">
        <v>5</v>
      </c>
      <c r="D364" s="34" t="str">
        <f>+UPPER('0. Instruções'!$D$35&amp;"."&amp;VLOOKUP(B364,'0. Instruções'!$C$27:$D$32,2,FALSE))</f>
        <v>BU_LOANTAPE_WORK.LT002_INSTRUMENT</v>
      </c>
      <c r="E364" s="34" t="str">
        <f>+UPPER('0. Instruções'!$D$36&amp;"."&amp;VLOOKUP(B364,'0. Instruções'!$C$27:$E$32,3,FALSE))</f>
        <v>BU_LOANTAPE_WORK.SIMUL_LT002_INSTRUMENT</v>
      </c>
      <c r="F364" s="34" t="s">
        <v>1404</v>
      </c>
      <c r="G364" s="34"/>
      <c r="H364" s="34"/>
      <c r="I364" s="34" t="str">
        <f>"(SELECT "&amp;VLOOKUP(B364,'0. Instruções'!$C$27:$G$32,4,FALSE)&amp;", "&amp;F364&amp;" FROM "&amp;D364&amp;" WHERE "&amp;'0. Instruções'!$D$42&amp;")X"</f>
        <v>(SELECT instrmnt_id, orgnl_amnt_fx FROM BU_LOANTAPE_WORK.LT002_INSTRUMENT WHERE ref_date='${ref_date}' AND nome_perimetro='Individual Local' AND segmento='ESTR' AND ambito='SRB_MBDT' AND entidade='00100')X</v>
      </c>
      <c r="J364" s="34" t="str">
        <f>"(SELECT "&amp;VLOOKUP(B364,'0. Instruções'!$C$27:$G$32,4,FALSE)&amp;" AS "&amp;VLOOKUP(B364,'0. Instruções'!$C$27:$G$32,4,FALSE)&amp;"_SIMUL, "&amp;F364&amp;" AS "&amp;F364&amp;"_SIMUL FROM "&amp;E364&amp;" WHERE "&amp;'0. Instruções'!$D$43&amp;")Y"</f>
        <v>(SELECT instrmnt_id AS instrmnt_id_SIMUL, orgnl_amnt_fx AS orgnl_amnt_fx_SIMUL FROM BU_LOANTAPE_WORK.SIMUL_LT002_INSTRUMENT WHERE ref_date='${ref_date}' AND nome_perimetro='Individual Local' AND segmento='ESTR' AND ambito='PILAR3' AND entidade='00100')Y</v>
      </c>
      <c r="K364" s="35" t="str">
        <f>+UPPER("ON X."&amp;VLOOKUP(B364,'0. Instruções'!$C$27:$G$32,4,FALSE)&amp;"=Y."&amp;VLOOKUP(B364,'0. Instruções'!$C$27:$G$32,4,FALSE)&amp;"_SIMUL")</f>
        <v>ON X.INSTRMNT_ID=Y.INSTRMNT_ID_SIMUL</v>
      </c>
      <c r="L364" s="35" t="str">
        <f>+IF(C364="Coerência", +IF(LEFT(G364,5)="FLOAT","SELECT '"&amp;UPPER(B364)&amp;"' AS TABELA, '"&amp;UPPER(C364)&amp;"' AS TIPOLOGIA_TESTE,'"&amp;D364&amp;"' AS TABELA_LT,'"&amp;E364&amp;"' AS TABELA_SIMUL,'"&amp;F364&amp;"' AS CAMPO, "&amp;"'${ref_date}' AS REF_DATE, COUNT(*) AS NUM_REG, SUM(IF((ABS(COALESCE(CAST(X."&amp;F364&amp;" AS DECIMAL(18,6)),0)-COALESCE(CAST(Y."&amp;F364&amp;"_SIMUL AS DECIMAL(18,6)),0))&gt;0.000001) OR (X."&amp;F364&amp;" IS NULL AND Y."&amp;F364&amp;"_SIMUL IS NOT NULL ) OR (X."&amp;F364&amp;" IS NOT NULL AND Y."&amp;F364&amp;"_SIMUL IS NULL),1,0)) AS NUM_REG_DIF,'"&amp;MAX('ID1&amp;5'!K:K)+1&amp;"' AS ID_EXEC, CURRENT_TIMESTAMP() AS TIME_EXEC FROM "&amp;I364&amp;" INNER JOIN "&amp;J364&amp;" "&amp;K364,"SELECT '"&amp;UPPER(B364)&amp;"' AS TABELA, '"&amp;UPPER(C364)&amp;"' AS TIPOLOGIA_TESTE,'"&amp;D364&amp;"' AS TABELA_LT,'"&amp;E364&amp;"' AS TABELA_SIMUL,'"&amp;F364&amp;"' AS CAMPO, "&amp;"'${ref_date}' AS REF_DATE, COUNT(*) AS NUM_REG, SUM(IF(COALESCE(CAST(X."&amp;F364&amp;" AS STRING),'')&lt;&gt;COALESCE(CAST(Y."&amp;F364&amp;"_SIMUL AS STRING),'') OR (X."&amp;F364&amp;" IS NULL AND Y."&amp;F364&amp;"_SIMUL IS NOT NULL ) OR (X."&amp;F364&amp;" IS NOT NULL AND Y."&amp;F364&amp;"_SIMUL IS NULL),1,0)) AS NUM_REG_DIF,'"&amp;MAX('ID1&amp;5'!L:L)+1&amp;"' AS ID_EXEC, CURRENT_TIMESTAMP() AS TIME_EXEC FROM "&amp;I364&amp;" INNER JOIN "&amp;J364&amp;" "&amp;K364),
IF(C364="Validade",+IF(G364="Code List","SELECT '"&amp;UPPER(B364)&amp;"' AS TABELA, '"&amp;UPPER(C364)&amp;"' AS TIPOLOGIA_TESTE,'"&amp;D364&amp;"' AS TABELA_LT,'N/A' AS TABELA_SIMUL,'"&amp;F364&amp;"' AS CAMPO, "&amp;"'${ref_date}' AS REF_DATE, COUNT(*) AS NUM_REG, SUM(IF(TRIM(CAST(X."&amp;F364&amp;" AS STRING))='' OR TRIM(CAST(X."&amp;F364&amp;" AS STRING)) IS NULL OR CAST(X."&amp;F364&amp;" AS STRING) NOT "&amp;H364&amp;",1,0)) AS NUM_REG_DIF,'"&amp;MAX('ID1&amp;5'!K:K)+1&amp;"' AS ID_EXEC, CURRENT_TIMESTAMP() AS TIME_EXEC FROM "&amp;I364,"SELECT '"&amp;UPPER(B364)&amp;"' AS TABELA, '"&amp;UPPER(C364)&amp;"' AS TIPOLOGIA_TESTE,'"&amp;D364&amp;"' AS TABELA_LT,'N/A' AS TABELA_SIMUL,'"&amp;F364&amp;"' AS CAMPO, "&amp;"'${ref_date}' AS REF_DATE, COUNT(*) AS NUM_REG, SUM(IF(TRIM(CAST(X."&amp;F364&amp;" AS STRING))='' OR TRIM(CAST(X."&amp;F364&amp;" AS STRING)) IS NULL,1,0)) AS NUM_REG_DIF,'"&amp;MAX('ID1&amp;5'!K:K)+1&amp;"' AS ID_EXEC, CURRENT_TIMESTAMP() AS TIME_EXEC FROM "&amp;I364),
IF(C364="Caracteres Especiais",+"SELECT '"&amp;UPPER(B364)&amp;"' AS TABELA, '"&amp;UPPER(C364)&amp;"' AS TIPOLOGIA_TESTE,'"&amp;D364&amp;"' AS TABELA_LT,'N/A' AS TABELA_SIMUL,'"&amp;F364&amp;"' AS CAMPO, "&amp;"'${ref_date}' AS REF_DATE, COUNT(*) AS NUM_REG, SUM(IF(REGEXP_REPLACE(TRIM(CAST(X."&amp;F364&amp;" AS STRING)),'[^a-zA-Z0-9_\\s]','') &lt;&gt;TRIM(CAST(X."&amp;F364&amp;" AS STRING)),1,0)) AS NUM_REG_DIF,'"&amp;MAX('ID1&amp;5'!K:K)+1&amp;"' AS ID_EXEC, CURRENT_TIMESTAMP() AS TIME_EXEC FROM "&amp;I364,
IF(C364="Missings",+"SELECT '"&amp;UPPER(B364)&amp;"' AS TABELA, '"&amp;UPPER(C364)&amp;"' AS TIPOLOGIA_TESTE,'"&amp;D364&amp;"' AS TABELA_LT,'N/A' AS TABELA_SIMUL,'"&amp;F364&amp;"' AS CAMPO, "&amp;"'${ref_date}' AS REF_DATE, COUNT(*) AS NUM_REG, SUM(IF(TRIM(CAST(X."&amp;F364&amp;" AS STRING)) IN ('0000-00-00','0001-01-01','9999-12-31','MISS','00000','99999999999','99999999999.00','99999999999.000000'),1,0)) AS NUM_REG_DIF,'"&amp;MAX('ID1&amp;5'!K:K)+1&amp;"' AS ID_EXEC, CURRENT_TIMESTAMP() AS TIME_EXEC FROM "&amp;I364,
IF(C364="Not applicable",+"SELECT '"&amp;UPPER(B364)&amp;"' AS TABELA, '"&amp;UPPER(C364)&amp;"' AS TIPOLOGIA_TESTE,'"&amp;D364&amp;"' AS TABELA_LT,'N/A' AS TABELA_SIMUL,'"&amp;F364&amp;"' AS CAMPO, "&amp;"'${ref_date}' AS REF_DATE, COUNT(*) AS NUM_REG, SUM(IF(TRIM(CAST(X."&amp;F364&amp;" AS STRING)) IN ('N/A','11111111111','11111111111.00','11111111111.000000','1111-11-11'),1,0)) AS NUM_REG_DIF,'"&amp;MAX('ID1&amp;5'!K:K)+1&amp;"' AS ID_EXEC, CURRENT_TIMESTAMP() AS TIME_EXEC FROM "&amp;I364,
IF(C364="Valores extremos",+"SELECT '"&amp;UPPER(B364)&amp;"' AS TABELA, '"&amp;UPPER(C364)&amp;"' AS TIPOLOGIA_TESTE,'"&amp;D364&amp;"' AS TABELA_LT,'N/A' AS TABELA_SIMUL,'"&amp;F364&amp;"' AS CAMPO, "&amp;"'${ref_date}' AS REF_DATE, CAST(MIN("&amp;F364&amp;") AS STRING) AS VALOR_MIN, CAST(MAX("&amp;F364&amp;") AS STRING) AS VALOR_MAX,'"&amp;MAX('ID1&amp;5'!K:K)+1&amp;"' AS ID_EXEC, CURRENT_TIMESTAMP() AS TIME_EXEC FROM "&amp;MID(I364,1,LEN(I364)-2)&amp;" AND CAST("&amp;F364&amp;"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TABELA_SIMUL,'orgnl_amnt_fx' AS CAMPO, '${ref_date}' AS REF_DATE, COUNT(*) AS NUM_REG, SUM(IF(COALESCE(CAST(X.orgnl_amnt_fx AS STRING),'')&lt;&gt;COALESCE(CAST(Y.orgnl_amnt_fx_SIMUL AS STRING),'') OR (X.orgnl_amnt_fx IS NULL AND Y.orgnl_amnt_fx_SIMUL IS NOT NULL ) OR (X.orgnl_amnt_fx IS NOT NULL AND Y.orgnl_amnt_fx_SIMUL IS NULL),1,0)) AS NUM_REG_DIF,'1' AS ID_EXEC, CURRENT_TIMESTAMP() AS TIME_EXEC FROM (SELECT instrmnt_id, orgnl_amnt_fx FROM BU_LOANTAPE_WORK.LT002_INSTRUMENT WHERE ref_date='${ref_date}' AND nome_perimetro='Individual Local' AND segmento='ESTR' AND ambito='SRB_MBDT' AND entidade='00100')X INNER JOIN (SELECT instrmnt_id AS instrmnt_id_SIMUL, orgnl_amnt_fx AS orgnl_amnt_fx_SIMUL FROM BU_LOANTAPE_WORK.SIMUL_LT002_INSTRUMENT WHERE ref_date='${ref_date}' AND nome_perimetro='Individual Local' AND segmento='ESTR' AND ambito='PILAR3' AND entidade='00100')Y ON X.INSTRMNT_ID=Y.INSTRMNT_ID_SIMUL</v>
      </c>
      <c r="M364" s="36" t="str">
        <f t="shared" si="8"/>
        <v>UNION ALL SELECT 'INSTRUMENT' AS TABELA, 'COERÊNCIA' AS TIPOLOGIA_TESTE,'BU_LOANTAPE_WORK.LT002_INSTRUMENT' AS TABELA_LT,'BU_LOANTAPE_WORK.SIMUL_LT002_INSTRUMENT' AS TABELA_SIMUL,'orgnl_amnt_fx' AS CAMPO, '${ref_date}' AS REF_DATE, COUNT(*) AS NUM_REG, SUM(IF(COALESCE(CAST(X.orgnl_amnt_fx AS STRING),'')&lt;&gt;COALESCE(CAST(Y.orgnl_amnt_fx_SIMUL AS STRING),'') OR (X.orgnl_amnt_fx IS NULL AND Y.orgnl_amnt_fx_SIMUL IS NOT NULL ) OR (X.orgnl_amnt_fx IS NOT NULL AND Y.orgnl_amnt_fx_SIMUL IS NULL),1,0)) AS NUM_REG_DIF,'1' AS ID_EXEC, CURRENT_TIMESTAMP() AS TIME_EXEC FROM (SELECT instrmnt_id, orgnl_amnt_fx FROM BU_LOANTAPE_WORK.LT002_INSTRUMENT WHERE ref_date='${ref_date}' AND nome_perimetro='Individual Local' AND segmento='ESTR' AND ambito='SRB_MBDT' AND entidade='00100')X INNER JOIN (SELECT instrmnt_id AS instrmnt_id_SIMUL, orgnl_amnt_fx AS orgnl_amnt_fx_SIMUL FROM BU_LOANTAPE_WORK.SIMUL_LT002_INSTRUMENT WHERE ref_date='${ref_date}' AND nome_perimetro='Individual Local' AND segmento='ESTR' AND ambito='PILAR3' AND entidade='00100')Y ON X.INSTRMNT_ID=Y.INSTRMNT_ID_SIMUL</v>
      </c>
      <c r="N364" s="38"/>
    </row>
    <row r="365" spans="2:14">
      <c r="B365" s="34" t="s">
        <v>117</v>
      </c>
      <c r="C365" s="34" t="s">
        <v>5</v>
      </c>
      <c r="D365" s="34" t="str">
        <f>+UPPER('0. Instruções'!$D$35&amp;"."&amp;VLOOKUP(B365,'0. Instruções'!$C$27:$D$32,2,FALSE))</f>
        <v>BU_LOANTAPE_WORK.LT002_INSTRUMENT</v>
      </c>
      <c r="E365" s="34" t="str">
        <f>+UPPER('0. Instruções'!$D$36&amp;"."&amp;VLOOKUP(B365,'0. Instruções'!$C$27:$E$32,3,FALSE))</f>
        <v>BU_LOANTAPE_WORK.SIMUL_LT002_INSTRUMENT</v>
      </c>
      <c r="F365" s="34" t="s">
        <v>1146</v>
      </c>
      <c r="G365" s="34"/>
      <c r="H365" s="34"/>
      <c r="I365" s="34" t="str">
        <f>"(SELECT "&amp;VLOOKUP(B365,'0. Instruções'!$C$27:$G$32,4,FALSE)&amp;", "&amp;F365&amp;" FROM "&amp;D365&amp;" WHERE "&amp;'0. Instruções'!$D$42&amp;")X"</f>
        <v>(SELECT instrmnt_id, rank_insolv FROM BU_LOANTAPE_WORK.LT002_INSTRUMENT WHERE ref_date='${ref_date}' AND nome_perimetro='Individual Local' AND segmento='ESTR' AND ambito='SRB_MBDT' AND entidade='00100')X</v>
      </c>
      <c r="J365" s="34" t="str">
        <f>"(SELECT "&amp;VLOOKUP(B365,'0. Instruções'!$C$27:$G$32,4,FALSE)&amp;" AS "&amp;VLOOKUP(B365,'0. Instruções'!$C$27:$G$32,4,FALSE)&amp;"_SIMUL, "&amp;F365&amp;" AS "&amp;F365&amp;"_SIMUL FROM "&amp;E365&amp;" WHERE "&amp;'0. Instruções'!$D$43&amp;")Y"</f>
        <v>(SELECT instrmnt_id AS instrmnt_id_SIMUL, rank_insolv AS rank_insolv_SIMUL FROM BU_LOANTAPE_WORK.SIMUL_LT002_INSTRUMENT WHERE ref_date='${ref_date}' AND nome_perimetro='Individual Local' AND segmento='ESTR' AND ambito='PILAR3' AND entidade='00100')Y</v>
      </c>
      <c r="K365" s="35" t="str">
        <f>+UPPER("ON X."&amp;VLOOKUP(B365,'0. Instruções'!$C$27:$G$32,4,FALSE)&amp;"=Y."&amp;VLOOKUP(B365,'0. Instruções'!$C$27:$G$32,4,FALSE)&amp;"_SIMUL")</f>
        <v>ON X.INSTRMNT_ID=Y.INSTRMNT_ID_SIMUL</v>
      </c>
      <c r="L365" s="35" t="str">
        <f>+IF(C365="Coerência", +IF(LEFT(G365,5)="FLOAT","SELECT '"&amp;UPPER(B365)&amp;"' AS TABELA, '"&amp;UPPER(C365)&amp;"' AS TIPOLOGIA_TESTE,'"&amp;D365&amp;"' AS TABELA_LT,'"&amp;E365&amp;"' AS TABELA_SIMUL,'"&amp;F365&amp;"' AS CAMPO, "&amp;"'${ref_date}' AS REF_DATE, COUNT(*) AS NUM_REG, SUM(IF((ABS(COALESCE(CAST(X."&amp;F365&amp;" AS DECIMAL(18,6)),0)-COALESCE(CAST(Y."&amp;F365&amp;"_SIMUL AS DECIMAL(18,6)),0))&gt;0.000001) OR (X."&amp;F365&amp;" IS NULL AND Y."&amp;F365&amp;"_SIMUL IS NOT NULL ) OR (X."&amp;F365&amp;" IS NOT NULL AND Y."&amp;F365&amp;"_SIMUL IS NULL),1,0)) AS NUM_REG_DIF,'"&amp;MAX('ID1&amp;5'!K:K)+1&amp;"' AS ID_EXEC, CURRENT_TIMESTAMP() AS TIME_EXEC FROM "&amp;I365&amp;" INNER JOIN "&amp;J365&amp;" "&amp;K365,"SELECT '"&amp;UPPER(B365)&amp;"' AS TABELA, '"&amp;UPPER(C365)&amp;"' AS TIPOLOGIA_TESTE,'"&amp;D365&amp;"' AS TABELA_LT,'"&amp;E365&amp;"' AS TABELA_SIMUL,'"&amp;F365&amp;"' AS CAMPO, "&amp;"'${ref_date}' AS REF_DATE, COUNT(*) AS NUM_REG, SUM(IF(COALESCE(CAST(X."&amp;F365&amp;" AS STRING),'')&lt;&gt;COALESCE(CAST(Y."&amp;F365&amp;"_SIMUL AS STRING),'') OR (X."&amp;F365&amp;" IS NULL AND Y."&amp;F365&amp;"_SIMUL IS NOT NULL ) OR (X."&amp;F365&amp;" IS NOT NULL AND Y."&amp;F365&amp;"_SIMUL IS NULL),1,0)) AS NUM_REG_DIF,'"&amp;MAX('ID1&amp;5'!L:L)+1&amp;"' AS ID_EXEC, CURRENT_TIMESTAMP() AS TIME_EXEC FROM "&amp;I365&amp;" INNER JOIN "&amp;J365&amp;" "&amp;K365),
IF(C365="Validade",+IF(G365="Code List","SELECT '"&amp;UPPER(B365)&amp;"' AS TABELA, '"&amp;UPPER(C365)&amp;"' AS TIPOLOGIA_TESTE,'"&amp;D365&amp;"' AS TABELA_LT,'N/A' AS TABELA_SIMUL,'"&amp;F365&amp;"' AS CAMPO, "&amp;"'${ref_date}' AS REF_DATE, COUNT(*) AS NUM_REG, SUM(IF(TRIM(CAST(X."&amp;F365&amp;" AS STRING))='' OR TRIM(CAST(X."&amp;F365&amp;" AS STRING)) IS NULL OR CAST(X."&amp;F365&amp;" AS STRING) NOT "&amp;H365&amp;",1,0)) AS NUM_REG_DIF,'"&amp;MAX('ID1&amp;5'!K:K)+1&amp;"' AS ID_EXEC, CURRENT_TIMESTAMP() AS TIME_EXEC FROM "&amp;I365,"SELECT '"&amp;UPPER(B365)&amp;"' AS TABELA, '"&amp;UPPER(C365)&amp;"' AS TIPOLOGIA_TESTE,'"&amp;D365&amp;"' AS TABELA_LT,'N/A' AS TABELA_SIMUL,'"&amp;F365&amp;"' AS CAMPO, "&amp;"'${ref_date}' AS REF_DATE, COUNT(*) AS NUM_REG, SUM(IF(TRIM(CAST(X."&amp;F365&amp;" AS STRING))='' OR TRIM(CAST(X."&amp;F365&amp;" AS STRING)) IS NULL,1,0)) AS NUM_REG_DIF,'"&amp;MAX('ID1&amp;5'!K:K)+1&amp;"' AS ID_EXEC, CURRENT_TIMESTAMP() AS TIME_EXEC FROM "&amp;I365),
IF(C365="Caracteres Especiais",+"SELECT '"&amp;UPPER(B365)&amp;"' AS TABELA, '"&amp;UPPER(C365)&amp;"' AS TIPOLOGIA_TESTE,'"&amp;D365&amp;"' AS TABELA_LT,'N/A' AS TABELA_SIMUL,'"&amp;F365&amp;"' AS CAMPO, "&amp;"'${ref_date}' AS REF_DATE, COUNT(*) AS NUM_REG, SUM(IF(REGEXP_REPLACE(TRIM(CAST(X."&amp;F365&amp;" AS STRING)),'[^a-zA-Z0-9_\\s]','') &lt;&gt;TRIM(CAST(X."&amp;F365&amp;" AS STRING)),1,0)) AS NUM_REG_DIF,'"&amp;MAX('ID1&amp;5'!K:K)+1&amp;"' AS ID_EXEC, CURRENT_TIMESTAMP() AS TIME_EXEC FROM "&amp;I365,
IF(C365="Missings",+"SELECT '"&amp;UPPER(B365)&amp;"' AS TABELA, '"&amp;UPPER(C365)&amp;"' AS TIPOLOGIA_TESTE,'"&amp;D365&amp;"' AS TABELA_LT,'N/A' AS TABELA_SIMUL,'"&amp;F365&amp;"' AS CAMPO, "&amp;"'${ref_date}' AS REF_DATE, COUNT(*) AS NUM_REG, SUM(IF(TRIM(CAST(X."&amp;F365&amp;" AS STRING)) IN ('0000-00-00','0001-01-01','9999-12-31','MISS','00000','99999999999','99999999999.00','99999999999.000000'),1,0)) AS NUM_REG_DIF,'"&amp;MAX('ID1&amp;5'!K:K)+1&amp;"' AS ID_EXEC, CURRENT_TIMESTAMP() AS TIME_EXEC FROM "&amp;I365,
IF(C365="Not applicable",+"SELECT '"&amp;UPPER(B365)&amp;"' AS TABELA, '"&amp;UPPER(C365)&amp;"' AS TIPOLOGIA_TESTE,'"&amp;D365&amp;"' AS TABELA_LT,'N/A' AS TABELA_SIMUL,'"&amp;F365&amp;"' AS CAMPO, "&amp;"'${ref_date}' AS REF_DATE, COUNT(*) AS NUM_REG, SUM(IF(TRIM(CAST(X."&amp;F365&amp;" AS STRING)) IN ('N/A','11111111111','11111111111.00','11111111111.000000','1111-11-11'),1,0)) AS NUM_REG_DIF,'"&amp;MAX('ID1&amp;5'!K:K)+1&amp;"' AS ID_EXEC, CURRENT_TIMESTAMP() AS TIME_EXEC FROM "&amp;I365,
IF(C365="Valores extremos",+"SELECT '"&amp;UPPER(B365)&amp;"' AS TABELA, '"&amp;UPPER(C365)&amp;"' AS TIPOLOGIA_TESTE,'"&amp;D365&amp;"' AS TABELA_LT,'N/A' AS TABELA_SIMUL,'"&amp;F365&amp;"' AS CAMPO, "&amp;"'${ref_date}' AS REF_DATE, CAST(MIN("&amp;F365&amp;") AS STRING) AS VALOR_MIN, CAST(MAX("&amp;F365&amp;") AS STRING) AS VALOR_MAX,'"&amp;MAX('ID1&amp;5'!K:K)+1&amp;"' AS ID_EXEC, CURRENT_TIMESTAMP() AS TIME_EXEC FROM "&amp;MID(I365,1,LEN(I365)-2)&amp;" AND CAST("&amp;F365&amp;"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TABELA_SIMUL,'rank_insolv' AS CAMPO, '${ref_date}' AS REF_DATE, COUNT(*) AS NUM_REG, SUM(IF(COALESCE(CAST(X.rank_insolv AS STRING),'')&lt;&gt;COALESCE(CAST(Y.rank_insolv_SIMUL AS STRING),'') OR (X.rank_insolv IS NULL AND Y.rank_insolv_SIMUL IS NOT NULL ) OR (X.rank_insolv IS NOT NULL AND Y.rank_insolv_SIMUL IS NULL),1,0)) AS NUM_REG_DIF,'1' AS ID_EXEC, CURRENT_TIMESTAMP() AS TIME_EXEC FROM (SELECT instrmnt_id, rank_insolv FROM BU_LOANTAPE_WORK.LT002_INSTRUMENT WHERE ref_date='${ref_date}' AND nome_perimetro='Individual Local' AND segmento='ESTR' AND ambito='SRB_MBDT' AND entidade='00100')X INNER JOIN (SELECT instrmnt_id AS instrmnt_id_SIMUL, rank_insolv AS rank_insolv_SIMUL FROM BU_LOANTAPE_WORK.SIMUL_LT002_INSTRUMENT WHERE ref_date='${ref_date}' AND nome_perimetro='Individual Local' AND segmento='ESTR' AND ambito='PILAR3' AND entidade='00100')Y ON X.INSTRMNT_ID=Y.INSTRMNT_ID_SIMUL</v>
      </c>
      <c r="M365" s="36" t="str">
        <f t="shared" si="8"/>
        <v>UNION ALL SELECT 'INSTRUMENT' AS TABELA, 'COERÊNCIA' AS TIPOLOGIA_TESTE,'BU_LOANTAPE_WORK.LT002_INSTRUMENT' AS TABELA_LT,'BU_LOANTAPE_WORK.SIMUL_LT002_INSTRUMENT' AS TABELA_SIMUL,'rank_insolv' AS CAMPO, '${ref_date}' AS REF_DATE, COUNT(*) AS NUM_REG, SUM(IF(COALESCE(CAST(X.rank_insolv AS STRING),'')&lt;&gt;COALESCE(CAST(Y.rank_insolv_SIMUL AS STRING),'') OR (X.rank_insolv IS NULL AND Y.rank_insolv_SIMUL IS NOT NULL ) OR (X.rank_insolv IS NOT NULL AND Y.rank_insolv_SIMUL IS NULL),1,0)) AS NUM_REG_DIF,'1' AS ID_EXEC, CURRENT_TIMESTAMP() AS TIME_EXEC FROM (SELECT instrmnt_id, rank_insolv FROM BU_LOANTAPE_WORK.LT002_INSTRUMENT WHERE ref_date='${ref_date}' AND nome_perimetro='Individual Local' AND segmento='ESTR' AND ambito='SRB_MBDT' AND entidade='00100')X INNER JOIN (SELECT instrmnt_id AS instrmnt_id_SIMUL, rank_insolv AS rank_insolv_SIMUL FROM BU_LOANTAPE_WORK.SIMUL_LT002_INSTRUMENT WHERE ref_date='${ref_date}' AND nome_perimetro='Individual Local' AND segmento='ESTR' AND ambito='PILAR3' AND entidade='00100')Y ON X.INSTRMNT_ID=Y.INSTRMNT_ID_SIMUL</v>
      </c>
      <c r="N365" s="38"/>
    </row>
    <row r="366" spans="2:14">
      <c r="B366" s="34" t="s">
        <v>117</v>
      </c>
      <c r="C366" s="34" t="s">
        <v>5</v>
      </c>
      <c r="D366" s="34" t="str">
        <f>+UPPER('0. Instruções'!$D$35&amp;"."&amp;VLOOKUP(B366,'0. Instruções'!$C$27:$D$32,2,FALSE))</f>
        <v>BU_LOANTAPE_WORK.LT002_INSTRUMENT</v>
      </c>
      <c r="E366" s="34" t="str">
        <f>+UPPER('0. Instruções'!$D$36&amp;"."&amp;VLOOKUP(B366,'0. Instruções'!$C$27:$E$32,3,FALSE))</f>
        <v>BU_LOANTAPE_WORK.SIMUL_LT002_INSTRUMENT</v>
      </c>
      <c r="F366" s="34" t="s">
        <v>1405</v>
      </c>
      <c r="G366" s="34"/>
      <c r="H366" s="34"/>
      <c r="I366" s="34" t="str">
        <f>"(SELECT "&amp;VLOOKUP(B366,'0. Instruções'!$C$27:$G$32,4,FALSE)&amp;", "&amp;F366&amp;" FROM "&amp;D366&amp;" WHERE "&amp;'0. Instruções'!$D$42&amp;")X"</f>
        <v>(SELECT instrmnt_id, dt_nxt_intrst_pymnt FROM BU_LOANTAPE_WORK.LT002_INSTRUMENT WHERE ref_date='${ref_date}' AND nome_perimetro='Individual Local' AND segmento='ESTR' AND ambito='SRB_MBDT' AND entidade='00100')X</v>
      </c>
      <c r="J366" s="34" t="str">
        <f>"(SELECT "&amp;VLOOKUP(B366,'0. Instruções'!$C$27:$G$32,4,FALSE)&amp;" AS "&amp;VLOOKUP(B366,'0. Instruções'!$C$27:$G$32,4,FALSE)&amp;"_SIMUL, "&amp;F366&amp;" AS "&amp;F366&amp;"_SIMUL FROM "&amp;E366&amp;" WHERE "&amp;'0. Instruções'!$D$43&amp;")Y"</f>
        <v>(SELECT instrmnt_id AS instrmnt_id_SIMUL, dt_nxt_intrst_pymnt AS dt_nxt_intrst_pymnt_SIMUL FROM BU_LOANTAPE_WORK.SIMUL_LT002_INSTRUMENT WHERE ref_date='${ref_date}' AND nome_perimetro='Individual Local' AND segmento='ESTR' AND ambito='PILAR3' AND entidade='00100')Y</v>
      </c>
      <c r="K366" s="35" t="str">
        <f>+UPPER("ON X."&amp;VLOOKUP(B366,'0. Instruções'!$C$27:$G$32,4,FALSE)&amp;"=Y."&amp;VLOOKUP(B366,'0. Instruções'!$C$27:$G$32,4,FALSE)&amp;"_SIMUL")</f>
        <v>ON X.INSTRMNT_ID=Y.INSTRMNT_ID_SIMUL</v>
      </c>
      <c r="L366" s="35" t="str">
        <f>+IF(C366="Coerência", +IF(LEFT(G366,5)="FLOAT","SELECT '"&amp;UPPER(B366)&amp;"' AS TABELA, '"&amp;UPPER(C366)&amp;"' AS TIPOLOGIA_TESTE,'"&amp;D366&amp;"' AS TABELA_LT,'"&amp;E366&amp;"' AS TABELA_SIMUL,'"&amp;F366&amp;"' AS CAMPO, "&amp;"'${ref_date}' AS REF_DATE, COUNT(*) AS NUM_REG, SUM(IF((ABS(COALESCE(CAST(X."&amp;F366&amp;" AS DECIMAL(18,6)),0)-COALESCE(CAST(Y."&amp;F366&amp;"_SIMUL AS DECIMAL(18,6)),0))&gt;0.000001) OR (X."&amp;F366&amp;" IS NULL AND Y."&amp;F366&amp;"_SIMUL IS NOT NULL ) OR (X."&amp;F366&amp;" IS NOT NULL AND Y."&amp;F366&amp;"_SIMUL IS NULL),1,0)) AS NUM_REG_DIF,'"&amp;MAX('ID1&amp;5'!K:K)+1&amp;"' AS ID_EXEC, CURRENT_TIMESTAMP() AS TIME_EXEC FROM "&amp;I366&amp;" INNER JOIN "&amp;J366&amp;" "&amp;K366,"SELECT '"&amp;UPPER(B366)&amp;"' AS TABELA, '"&amp;UPPER(C366)&amp;"' AS TIPOLOGIA_TESTE,'"&amp;D366&amp;"' AS TABELA_LT,'"&amp;E366&amp;"' AS TABELA_SIMUL,'"&amp;F366&amp;"' AS CAMPO, "&amp;"'${ref_date}' AS REF_DATE, COUNT(*) AS NUM_REG, SUM(IF(COALESCE(CAST(X."&amp;F366&amp;" AS STRING),'')&lt;&gt;COALESCE(CAST(Y."&amp;F366&amp;"_SIMUL AS STRING),'') OR (X."&amp;F366&amp;" IS NULL AND Y."&amp;F366&amp;"_SIMUL IS NOT NULL ) OR (X."&amp;F366&amp;" IS NOT NULL AND Y."&amp;F366&amp;"_SIMUL IS NULL),1,0)) AS NUM_REG_DIF,'"&amp;MAX('ID1&amp;5'!L:L)+1&amp;"' AS ID_EXEC, CURRENT_TIMESTAMP() AS TIME_EXEC FROM "&amp;I366&amp;" INNER JOIN "&amp;J366&amp;" "&amp;K366),
IF(C366="Validade",+IF(G366="Code List","SELECT '"&amp;UPPER(B366)&amp;"' AS TABELA, '"&amp;UPPER(C366)&amp;"' AS TIPOLOGIA_TESTE,'"&amp;D366&amp;"' AS TABELA_LT,'N/A' AS TABELA_SIMUL,'"&amp;F366&amp;"' AS CAMPO, "&amp;"'${ref_date}' AS REF_DATE, COUNT(*) AS NUM_REG, SUM(IF(TRIM(CAST(X."&amp;F366&amp;" AS STRING))='' OR TRIM(CAST(X."&amp;F366&amp;" AS STRING)) IS NULL OR CAST(X."&amp;F366&amp;" AS STRING) NOT "&amp;H366&amp;",1,0)) AS NUM_REG_DIF,'"&amp;MAX('ID1&amp;5'!K:K)+1&amp;"' AS ID_EXEC, CURRENT_TIMESTAMP() AS TIME_EXEC FROM "&amp;I366,"SELECT '"&amp;UPPER(B366)&amp;"' AS TABELA, '"&amp;UPPER(C366)&amp;"' AS TIPOLOGIA_TESTE,'"&amp;D366&amp;"' AS TABELA_LT,'N/A' AS TABELA_SIMUL,'"&amp;F366&amp;"' AS CAMPO, "&amp;"'${ref_date}' AS REF_DATE, COUNT(*) AS NUM_REG, SUM(IF(TRIM(CAST(X."&amp;F366&amp;" AS STRING))='' OR TRIM(CAST(X."&amp;F366&amp;" AS STRING)) IS NULL,1,0)) AS NUM_REG_DIF,'"&amp;MAX('ID1&amp;5'!K:K)+1&amp;"' AS ID_EXEC, CURRENT_TIMESTAMP() AS TIME_EXEC FROM "&amp;I366),
IF(C366="Caracteres Especiais",+"SELECT '"&amp;UPPER(B366)&amp;"' AS TABELA, '"&amp;UPPER(C366)&amp;"' AS TIPOLOGIA_TESTE,'"&amp;D366&amp;"' AS TABELA_LT,'N/A' AS TABELA_SIMUL,'"&amp;F366&amp;"' AS CAMPO, "&amp;"'${ref_date}' AS REF_DATE, COUNT(*) AS NUM_REG, SUM(IF(REGEXP_REPLACE(TRIM(CAST(X."&amp;F366&amp;" AS STRING)),'[^a-zA-Z0-9_\\s]','') &lt;&gt;TRIM(CAST(X."&amp;F366&amp;" AS STRING)),1,0)) AS NUM_REG_DIF,'"&amp;MAX('ID1&amp;5'!K:K)+1&amp;"' AS ID_EXEC, CURRENT_TIMESTAMP() AS TIME_EXEC FROM "&amp;I366,
IF(C366="Missings",+"SELECT '"&amp;UPPER(B366)&amp;"' AS TABELA, '"&amp;UPPER(C366)&amp;"' AS TIPOLOGIA_TESTE,'"&amp;D366&amp;"' AS TABELA_LT,'N/A' AS TABELA_SIMUL,'"&amp;F366&amp;"' AS CAMPO, "&amp;"'${ref_date}' AS REF_DATE, COUNT(*) AS NUM_REG, SUM(IF(TRIM(CAST(X."&amp;F366&amp;" AS STRING)) IN ('0000-00-00','0001-01-01','9999-12-31','MISS','00000','99999999999','99999999999.00','99999999999.000000'),1,0)) AS NUM_REG_DIF,'"&amp;MAX('ID1&amp;5'!K:K)+1&amp;"' AS ID_EXEC, CURRENT_TIMESTAMP() AS TIME_EXEC FROM "&amp;I366,
IF(C366="Not applicable",+"SELECT '"&amp;UPPER(B366)&amp;"' AS TABELA, '"&amp;UPPER(C366)&amp;"' AS TIPOLOGIA_TESTE,'"&amp;D366&amp;"' AS TABELA_LT,'N/A' AS TABELA_SIMUL,'"&amp;F366&amp;"' AS CAMPO, "&amp;"'${ref_date}' AS REF_DATE, COUNT(*) AS NUM_REG, SUM(IF(TRIM(CAST(X."&amp;F366&amp;" AS STRING)) IN ('N/A','11111111111','11111111111.00','11111111111.000000','1111-11-11'),1,0)) AS NUM_REG_DIF,'"&amp;MAX('ID1&amp;5'!K:K)+1&amp;"' AS ID_EXEC, CURRENT_TIMESTAMP() AS TIME_EXEC FROM "&amp;I366,
IF(C366="Valores extremos",+"SELECT '"&amp;UPPER(B366)&amp;"' AS TABELA, '"&amp;UPPER(C366)&amp;"' AS TIPOLOGIA_TESTE,'"&amp;D366&amp;"' AS TABELA_LT,'N/A' AS TABELA_SIMUL,'"&amp;F366&amp;"' AS CAMPO, "&amp;"'${ref_date}' AS REF_DATE, CAST(MIN("&amp;F366&amp;") AS STRING) AS VALOR_MIN, CAST(MAX("&amp;F366&amp;") AS STRING) AS VALOR_MAX,'"&amp;MAX('ID1&amp;5'!K:K)+1&amp;"' AS ID_EXEC, CURRENT_TIMESTAMP() AS TIME_EXEC FROM "&amp;MID(I366,1,LEN(I366)-2)&amp;" AND CAST("&amp;F366&amp;"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TABELA_SIMUL,'dt_nxt_intrst_pymnt' AS CAMPO, '${ref_date}' AS REF_DATE, COUNT(*) AS NUM_REG, SUM(IF(COALESCE(CAST(X.dt_nxt_intrst_pymnt AS STRING),'')&lt;&gt;COALESCE(CAST(Y.dt_nxt_intrst_pymnt_SIMUL AS STRING),'') OR (X.dt_nxt_intrst_pymnt IS NULL AND Y.dt_nxt_intrst_pymnt_SIMUL IS NOT NULL ) OR (X.dt_nxt_intrst_pymnt IS NOT NULL AND Y.dt_nxt_intrst_pymnt_SIMUL IS NULL),1,0)) AS NUM_REG_DIF,'1' AS ID_EXEC, CURRENT_TIMESTAMP() AS TIME_EXEC FROM (SELECT instrmnt_id, dt_nxt_intrst_pymnt FROM BU_LOANTAPE_WORK.LT002_INSTRUMENT WHERE ref_date='${ref_date}' AND nome_perimetro='Individual Local' AND segmento='ESTR' AND ambito='SRB_MBDT' AND entidade='00100')X INNER JOIN (SELECT instrmnt_id AS instrmnt_id_SIMUL, dt_nxt_intrst_pymnt AS dt_nxt_intrst_pymnt_SIMUL FROM BU_LOANTAPE_WORK.SIMUL_LT002_INSTRUMENT WHERE ref_date='${ref_date}' AND nome_perimetro='Individual Local' AND segmento='ESTR' AND ambito='PILAR3' AND entidade='00100')Y ON X.INSTRMNT_ID=Y.INSTRMNT_ID_SIMUL</v>
      </c>
      <c r="M366" s="36" t="str">
        <f t="shared" si="8"/>
        <v>UNION ALL SELECT 'INSTRUMENT' AS TABELA, 'COERÊNCIA' AS TIPOLOGIA_TESTE,'BU_LOANTAPE_WORK.LT002_INSTRUMENT' AS TABELA_LT,'BU_LOANTAPE_WORK.SIMUL_LT002_INSTRUMENT' AS TABELA_SIMUL,'dt_nxt_intrst_pymnt' AS CAMPO, '${ref_date}' AS REF_DATE, COUNT(*) AS NUM_REG, SUM(IF(COALESCE(CAST(X.dt_nxt_intrst_pymnt AS STRING),'')&lt;&gt;COALESCE(CAST(Y.dt_nxt_intrst_pymnt_SIMUL AS STRING),'') OR (X.dt_nxt_intrst_pymnt IS NULL AND Y.dt_nxt_intrst_pymnt_SIMUL IS NOT NULL ) OR (X.dt_nxt_intrst_pymnt IS NOT NULL AND Y.dt_nxt_intrst_pymnt_SIMUL IS NULL),1,0)) AS NUM_REG_DIF,'1' AS ID_EXEC, CURRENT_TIMESTAMP() AS TIME_EXEC FROM (SELECT instrmnt_id, dt_nxt_intrst_pymnt FROM BU_LOANTAPE_WORK.LT002_INSTRUMENT WHERE ref_date='${ref_date}' AND nome_perimetro='Individual Local' AND segmento='ESTR' AND ambito='SRB_MBDT' AND entidade='00100')X INNER JOIN (SELECT instrmnt_id AS instrmnt_id_SIMUL, dt_nxt_intrst_pymnt AS dt_nxt_intrst_pymnt_SIMUL FROM BU_LOANTAPE_WORK.SIMUL_LT002_INSTRUMENT WHERE ref_date='${ref_date}' AND nome_perimetro='Individual Local' AND segmento='ESTR' AND ambito='PILAR3' AND entidade='00100')Y ON X.INSTRMNT_ID=Y.INSTRMNT_ID_SIMUL</v>
      </c>
      <c r="N366" s="38"/>
    </row>
    <row r="367" spans="2:14">
      <c r="B367" s="34" t="s">
        <v>117</v>
      </c>
      <c r="C367" s="34" t="s">
        <v>5</v>
      </c>
      <c r="D367" s="34" t="str">
        <f>+UPPER('0. Instruções'!$D$35&amp;"."&amp;VLOOKUP(B367,'0. Instruções'!$C$27:$D$32,2,FALSE))</f>
        <v>BU_LOANTAPE_WORK.LT002_INSTRUMENT</v>
      </c>
      <c r="E367" s="34" t="str">
        <f>+UPPER('0. Instruções'!$D$36&amp;"."&amp;VLOOKUP(B367,'0. Instruções'!$C$27:$E$32,3,FALSE))</f>
        <v>BU_LOANTAPE_WORK.SIMUL_LT002_INSTRUMENT</v>
      </c>
      <c r="F367" s="34" t="s">
        <v>1406</v>
      </c>
      <c r="G367" s="34"/>
      <c r="H367" s="34"/>
      <c r="I367" s="34" t="str">
        <f>"(SELECT "&amp;VLOOKUP(B367,'0. Instruções'!$C$27:$G$32,4,FALSE)&amp;", "&amp;F367&amp;" FROM "&amp;D367&amp;" WHERE "&amp;'0. Instruções'!$D$42&amp;")X"</f>
        <v>(SELECT instrmnt_id, amnt_scrty_eur FROM BU_LOANTAPE_WORK.LT002_INSTRUMENT WHERE ref_date='${ref_date}' AND nome_perimetro='Individual Local' AND segmento='ESTR' AND ambito='SRB_MBDT' AND entidade='00100')X</v>
      </c>
      <c r="J367" s="34" t="str">
        <f>"(SELECT "&amp;VLOOKUP(B367,'0. Instruções'!$C$27:$G$32,4,FALSE)&amp;" AS "&amp;VLOOKUP(B367,'0. Instruções'!$C$27:$G$32,4,FALSE)&amp;"_SIMUL, "&amp;F367&amp;" AS "&amp;F367&amp;"_SIMUL FROM "&amp;E367&amp;" WHERE "&amp;'0. Instruções'!$D$43&amp;")Y"</f>
        <v>(SELECT instrmnt_id AS instrmnt_id_SIMUL, amnt_scrty_eur AS amnt_scrty_eur_SIMUL FROM BU_LOANTAPE_WORK.SIMUL_LT002_INSTRUMENT WHERE ref_date='${ref_date}' AND nome_perimetro='Individual Local' AND segmento='ESTR' AND ambito='PILAR3' AND entidade='00100')Y</v>
      </c>
      <c r="K367" s="35" t="str">
        <f>+UPPER("ON X."&amp;VLOOKUP(B367,'0. Instruções'!$C$27:$G$32,4,FALSE)&amp;"=Y."&amp;VLOOKUP(B367,'0. Instruções'!$C$27:$G$32,4,FALSE)&amp;"_SIMUL")</f>
        <v>ON X.INSTRMNT_ID=Y.INSTRMNT_ID_SIMUL</v>
      </c>
      <c r="L367" s="35" t="str">
        <f>+IF(C367="Coerência", +IF(LEFT(G367,5)="FLOAT","SELECT '"&amp;UPPER(B367)&amp;"' AS TABELA, '"&amp;UPPER(C367)&amp;"' AS TIPOLOGIA_TESTE,'"&amp;D367&amp;"' AS TABELA_LT,'"&amp;E367&amp;"' AS TABELA_SIMUL,'"&amp;F367&amp;"' AS CAMPO, "&amp;"'${ref_date}' AS REF_DATE, COUNT(*) AS NUM_REG, SUM(IF((ABS(COALESCE(CAST(X."&amp;F367&amp;" AS DECIMAL(18,6)),0)-COALESCE(CAST(Y."&amp;F367&amp;"_SIMUL AS DECIMAL(18,6)),0))&gt;0.000001) OR (X."&amp;F367&amp;" IS NULL AND Y."&amp;F367&amp;"_SIMUL IS NOT NULL ) OR (X."&amp;F367&amp;" IS NOT NULL AND Y."&amp;F367&amp;"_SIMUL IS NULL),1,0)) AS NUM_REG_DIF,'"&amp;MAX('ID1&amp;5'!K:K)+1&amp;"' AS ID_EXEC, CURRENT_TIMESTAMP() AS TIME_EXEC FROM "&amp;I367&amp;" INNER JOIN "&amp;J367&amp;" "&amp;K367,"SELECT '"&amp;UPPER(B367)&amp;"' AS TABELA, '"&amp;UPPER(C367)&amp;"' AS TIPOLOGIA_TESTE,'"&amp;D367&amp;"' AS TABELA_LT,'"&amp;E367&amp;"' AS TABELA_SIMUL,'"&amp;F367&amp;"' AS CAMPO, "&amp;"'${ref_date}' AS REF_DATE, COUNT(*) AS NUM_REG, SUM(IF(COALESCE(CAST(X."&amp;F367&amp;" AS STRING),'')&lt;&gt;COALESCE(CAST(Y."&amp;F367&amp;"_SIMUL AS STRING),'') OR (X."&amp;F367&amp;" IS NULL AND Y."&amp;F367&amp;"_SIMUL IS NOT NULL ) OR (X."&amp;F367&amp;" IS NOT NULL AND Y."&amp;F367&amp;"_SIMUL IS NULL),1,0)) AS NUM_REG_DIF,'"&amp;MAX('ID1&amp;5'!L:L)+1&amp;"' AS ID_EXEC, CURRENT_TIMESTAMP() AS TIME_EXEC FROM "&amp;I367&amp;" INNER JOIN "&amp;J367&amp;" "&amp;K367),
IF(C367="Validade",+IF(G367="Code List","SELECT '"&amp;UPPER(B367)&amp;"' AS TABELA, '"&amp;UPPER(C367)&amp;"' AS TIPOLOGIA_TESTE,'"&amp;D367&amp;"' AS TABELA_LT,'N/A' AS TABELA_SIMUL,'"&amp;F367&amp;"' AS CAMPO, "&amp;"'${ref_date}' AS REF_DATE, COUNT(*) AS NUM_REG, SUM(IF(TRIM(CAST(X."&amp;F367&amp;" AS STRING))='' OR TRIM(CAST(X."&amp;F367&amp;" AS STRING)) IS NULL OR CAST(X."&amp;F367&amp;" AS STRING) NOT "&amp;H367&amp;",1,0)) AS NUM_REG_DIF,'"&amp;MAX('ID1&amp;5'!K:K)+1&amp;"' AS ID_EXEC, CURRENT_TIMESTAMP() AS TIME_EXEC FROM "&amp;I367,"SELECT '"&amp;UPPER(B367)&amp;"' AS TABELA, '"&amp;UPPER(C367)&amp;"' AS TIPOLOGIA_TESTE,'"&amp;D367&amp;"' AS TABELA_LT,'N/A' AS TABELA_SIMUL,'"&amp;F367&amp;"' AS CAMPO, "&amp;"'${ref_date}' AS REF_DATE, COUNT(*) AS NUM_REG, SUM(IF(TRIM(CAST(X."&amp;F367&amp;" AS STRING))='' OR TRIM(CAST(X."&amp;F367&amp;" AS STRING)) IS NULL,1,0)) AS NUM_REG_DIF,'"&amp;MAX('ID1&amp;5'!K:K)+1&amp;"' AS ID_EXEC, CURRENT_TIMESTAMP() AS TIME_EXEC FROM "&amp;I367),
IF(C367="Caracteres Especiais",+"SELECT '"&amp;UPPER(B367)&amp;"' AS TABELA, '"&amp;UPPER(C367)&amp;"' AS TIPOLOGIA_TESTE,'"&amp;D367&amp;"' AS TABELA_LT,'N/A' AS TABELA_SIMUL,'"&amp;F367&amp;"' AS CAMPO, "&amp;"'${ref_date}' AS REF_DATE, COUNT(*) AS NUM_REG, SUM(IF(REGEXP_REPLACE(TRIM(CAST(X."&amp;F367&amp;" AS STRING)),'[^a-zA-Z0-9_\\s]','') &lt;&gt;TRIM(CAST(X."&amp;F367&amp;" AS STRING)),1,0)) AS NUM_REG_DIF,'"&amp;MAX('ID1&amp;5'!K:K)+1&amp;"' AS ID_EXEC, CURRENT_TIMESTAMP() AS TIME_EXEC FROM "&amp;I367,
IF(C367="Missings",+"SELECT '"&amp;UPPER(B367)&amp;"' AS TABELA, '"&amp;UPPER(C367)&amp;"' AS TIPOLOGIA_TESTE,'"&amp;D367&amp;"' AS TABELA_LT,'N/A' AS TABELA_SIMUL,'"&amp;F367&amp;"' AS CAMPO, "&amp;"'${ref_date}' AS REF_DATE, COUNT(*) AS NUM_REG, SUM(IF(TRIM(CAST(X."&amp;F367&amp;" AS STRING)) IN ('0000-00-00','0001-01-01','9999-12-31','MISS','00000','99999999999','99999999999.00','99999999999.000000'),1,0)) AS NUM_REG_DIF,'"&amp;MAX('ID1&amp;5'!K:K)+1&amp;"' AS ID_EXEC, CURRENT_TIMESTAMP() AS TIME_EXEC FROM "&amp;I367,
IF(C367="Not applicable",+"SELECT '"&amp;UPPER(B367)&amp;"' AS TABELA, '"&amp;UPPER(C367)&amp;"' AS TIPOLOGIA_TESTE,'"&amp;D367&amp;"' AS TABELA_LT,'N/A' AS TABELA_SIMUL,'"&amp;F367&amp;"' AS CAMPO, "&amp;"'${ref_date}' AS REF_DATE, COUNT(*) AS NUM_REG, SUM(IF(TRIM(CAST(X."&amp;F367&amp;" AS STRING)) IN ('N/A','11111111111','11111111111.00','11111111111.000000','1111-11-11'),1,0)) AS NUM_REG_DIF,'"&amp;MAX('ID1&amp;5'!K:K)+1&amp;"' AS ID_EXEC, CURRENT_TIMESTAMP() AS TIME_EXEC FROM "&amp;I367,
IF(C367="Valores extremos",+"SELECT '"&amp;UPPER(B367)&amp;"' AS TABELA, '"&amp;UPPER(C367)&amp;"' AS TIPOLOGIA_TESTE,'"&amp;D367&amp;"' AS TABELA_LT,'N/A' AS TABELA_SIMUL,'"&amp;F367&amp;"' AS CAMPO, "&amp;"'${ref_date}' AS REF_DATE, CAST(MIN("&amp;F367&amp;") AS STRING) AS VALOR_MIN, CAST(MAX("&amp;F367&amp;") AS STRING) AS VALOR_MAX,'"&amp;MAX('ID1&amp;5'!K:K)+1&amp;"' AS ID_EXEC, CURRENT_TIMESTAMP() AS TIME_EXEC FROM "&amp;MID(I367,1,LEN(I367)-2)&amp;" AND CAST("&amp;F367&amp;"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TABELA_SIMUL,'amnt_scrty_eur' AS CAMPO, '${ref_date}' AS REF_DATE, COUNT(*) AS NUM_REG, SUM(IF(COALESCE(CAST(X.amnt_scrty_eur AS STRING),'')&lt;&gt;COALESCE(CAST(Y.amnt_scrty_eur_SIMUL AS STRING),'') OR (X.amnt_scrty_eur IS NULL AND Y.amnt_scrty_eur_SIMUL IS NOT NULL ) OR (X.amnt_scrty_eur IS NOT NULL AND Y.amnt_scrty_eur_SIMUL IS NULL),1,0)) AS NUM_REG_DIF,'1' AS ID_EXEC, CURRENT_TIMESTAMP() AS TIME_EXEC FROM (SELECT instrmnt_id, amnt_scrty_eur FROM BU_LOANTAPE_WORK.LT002_INSTRUMENT WHERE ref_date='${ref_date}' AND nome_perimetro='Individual Local' AND segmento='ESTR' AND ambito='SRB_MBDT' AND entidade='00100')X INNER JOIN (SELECT instrmnt_id AS instrmnt_id_SIMUL, amnt_scrty_eur AS amnt_scrty_eur_SIMUL FROM BU_LOANTAPE_WORK.SIMUL_LT002_INSTRUMENT WHERE ref_date='${ref_date}' AND nome_perimetro='Individual Local' AND segmento='ESTR' AND ambito='PILAR3' AND entidade='00100')Y ON X.INSTRMNT_ID=Y.INSTRMNT_ID_SIMUL</v>
      </c>
      <c r="M367" s="36" t="str">
        <f t="shared" si="8"/>
        <v>UNION ALL SELECT 'INSTRUMENT' AS TABELA, 'COERÊNCIA' AS TIPOLOGIA_TESTE,'BU_LOANTAPE_WORK.LT002_INSTRUMENT' AS TABELA_LT,'BU_LOANTAPE_WORK.SIMUL_LT002_INSTRUMENT' AS TABELA_SIMUL,'amnt_scrty_eur' AS CAMPO, '${ref_date}' AS REF_DATE, COUNT(*) AS NUM_REG, SUM(IF(COALESCE(CAST(X.amnt_scrty_eur AS STRING),'')&lt;&gt;COALESCE(CAST(Y.amnt_scrty_eur_SIMUL AS STRING),'') OR (X.amnt_scrty_eur IS NULL AND Y.amnt_scrty_eur_SIMUL IS NOT NULL ) OR (X.amnt_scrty_eur IS NOT NULL AND Y.amnt_scrty_eur_SIMUL IS NULL),1,0)) AS NUM_REG_DIF,'1' AS ID_EXEC, CURRENT_TIMESTAMP() AS TIME_EXEC FROM (SELECT instrmnt_id, amnt_scrty_eur FROM BU_LOANTAPE_WORK.LT002_INSTRUMENT WHERE ref_date='${ref_date}' AND nome_perimetro='Individual Local' AND segmento='ESTR' AND ambito='SRB_MBDT' AND entidade='00100')X INNER JOIN (SELECT instrmnt_id AS instrmnt_id_SIMUL, amnt_scrty_eur AS amnt_scrty_eur_SIMUL FROM BU_LOANTAPE_WORK.SIMUL_LT002_INSTRUMENT WHERE ref_date='${ref_date}' AND nome_perimetro='Individual Local' AND segmento='ESTR' AND ambito='PILAR3' AND entidade='00100')Y ON X.INSTRMNT_ID=Y.INSTRMNT_ID_SIMUL</v>
      </c>
      <c r="N367" s="38"/>
    </row>
    <row r="368" spans="2:14">
      <c r="B368" s="34" t="s">
        <v>117</v>
      </c>
      <c r="C368" s="34" t="s">
        <v>5</v>
      </c>
      <c r="D368" s="34" t="str">
        <f>+UPPER('0. Instruções'!$D$35&amp;"."&amp;VLOOKUP(B368,'0. Instruções'!$C$27:$D$32,2,FALSE))</f>
        <v>BU_LOANTAPE_WORK.LT002_INSTRUMENT</v>
      </c>
      <c r="E368" s="34" t="str">
        <f>+UPPER('0. Instruções'!$D$36&amp;"."&amp;VLOOKUP(B368,'0. Instruções'!$C$27:$E$32,3,FALSE))</f>
        <v>BU_LOANTAPE_WORK.SIMUL_LT002_INSTRUMENT</v>
      </c>
      <c r="F368" s="34" t="s">
        <v>1407</v>
      </c>
      <c r="G368" s="34"/>
      <c r="H368" s="34"/>
      <c r="I368" s="34" t="str">
        <f>"(SELECT "&amp;VLOOKUP(B368,'0. Instruções'!$C$27:$G$32,4,FALSE)&amp;", "&amp;F368&amp;" FROM "&amp;D368&amp;" WHERE "&amp;'0. Instruções'!$D$42&amp;")X"</f>
        <v>(SELECT instrmnt_id, amnt_scrty_fx FROM BU_LOANTAPE_WORK.LT002_INSTRUMENT WHERE ref_date='${ref_date}' AND nome_perimetro='Individual Local' AND segmento='ESTR' AND ambito='SRB_MBDT' AND entidade='00100')X</v>
      </c>
      <c r="J368" s="34" t="str">
        <f>"(SELECT "&amp;VLOOKUP(B368,'0. Instruções'!$C$27:$G$32,4,FALSE)&amp;" AS "&amp;VLOOKUP(B368,'0. Instruções'!$C$27:$G$32,4,FALSE)&amp;"_SIMUL, "&amp;F368&amp;" AS "&amp;F368&amp;"_SIMUL FROM "&amp;E368&amp;" WHERE "&amp;'0. Instruções'!$D$43&amp;")Y"</f>
        <v>(SELECT instrmnt_id AS instrmnt_id_SIMUL, amnt_scrty_fx AS amnt_scrty_fx_SIMUL FROM BU_LOANTAPE_WORK.SIMUL_LT002_INSTRUMENT WHERE ref_date='${ref_date}' AND nome_perimetro='Individual Local' AND segmento='ESTR' AND ambito='PILAR3' AND entidade='00100')Y</v>
      </c>
      <c r="K368" s="35" t="str">
        <f>+UPPER("ON X."&amp;VLOOKUP(B368,'0. Instruções'!$C$27:$G$32,4,FALSE)&amp;"=Y."&amp;VLOOKUP(B368,'0. Instruções'!$C$27:$G$32,4,FALSE)&amp;"_SIMUL")</f>
        <v>ON X.INSTRMNT_ID=Y.INSTRMNT_ID_SIMUL</v>
      </c>
      <c r="L368" s="35" t="str">
        <f>+IF(C368="Coerência", +IF(LEFT(G368,5)="FLOAT","SELECT '"&amp;UPPER(B368)&amp;"' AS TABELA, '"&amp;UPPER(C368)&amp;"' AS TIPOLOGIA_TESTE,'"&amp;D368&amp;"' AS TABELA_LT,'"&amp;E368&amp;"' AS TABELA_SIMUL,'"&amp;F368&amp;"' AS CAMPO, "&amp;"'${ref_date}' AS REF_DATE, COUNT(*) AS NUM_REG, SUM(IF((ABS(COALESCE(CAST(X."&amp;F368&amp;" AS DECIMAL(18,6)),0)-COALESCE(CAST(Y."&amp;F368&amp;"_SIMUL AS DECIMAL(18,6)),0))&gt;0.000001) OR (X."&amp;F368&amp;" IS NULL AND Y."&amp;F368&amp;"_SIMUL IS NOT NULL ) OR (X."&amp;F368&amp;" IS NOT NULL AND Y."&amp;F368&amp;"_SIMUL IS NULL),1,0)) AS NUM_REG_DIF,'"&amp;MAX('ID1&amp;5'!K:K)+1&amp;"' AS ID_EXEC, CURRENT_TIMESTAMP() AS TIME_EXEC FROM "&amp;I368&amp;" INNER JOIN "&amp;J368&amp;" "&amp;K368,"SELECT '"&amp;UPPER(B368)&amp;"' AS TABELA, '"&amp;UPPER(C368)&amp;"' AS TIPOLOGIA_TESTE,'"&amp;D368&amp;"' AS TABELA_LT,'"&amp;E368&amp;"' AS TABELA_SIMUL,'"&amp;F368&amp;"' AS CAMPO, "&amp;"'${ref_date}' AS REF_DATE, COUNT(*) AS NUM_REG, SUM(IF(COALESCE(CAST(X."&amp;F368&amp;" AS STRING),'')&lt;&gt;COALESCE(CAST(Y."&amp;F368&amp;"_SIMUL AS STRING),'') OR (X."&amp;F368&amp;" IS NULL AND Y."&amp;F368&amp;"_SIMUL IS NOT NULL ) OR (X."&amp;F368&amp;" IS NOT NULL AND Y."&amp;F368&amp;"_SIMUL IS NULL),1,0)) AS NUM_REG_DIF,'"&amp;MAX('ID1&amp;5'!L:L)+1&amp;"' AS ID_EXEC, CURRENT_TIMESTAMP() AS TIME_EXEC FROM "&amp;I368&amp;" INNER JOIN "&amp;J368&amp;" "&amp;K368),
IF(C368="Validade",+IF(G368="Code List","SELECT '"&amp;UPPER(B368)&amp;"' AS TABELA, '"&amp;UPPER(C368)&amp;"' AS TIPOLOGIA_TESTE,'"&amp;D368&amp;"' AS TABELA_LT,'N/A' AS TABELA_SIMUL,'"&amp;F368&amp;"' AS CAMPO, "&amp;"'${ref_date}' AS REF_DATE, COUNT(*) AS NUM_REG, SUM(IF(TRIM(CAST(X."&amp;F368&amp;" AS STRING))='' OR TRIM(CAST(X."&amp;F368&amp;" AS STRING)) IS NULL OR CAST(X."&amp;F368&amp;" AS STRING) NOT "&amp;H368&amp;",1,0)) AS NUM_REG_DIF,'"&amp;MAX('ID1&amp;5'!K:K)+1&amp;"' AS ID_EXEC, CURRENT_TIMESTAMP() AS TIME_EXEC FROM "&amp;I368,"SELECT '"&amp;UPPER(B368)&amp;"' AS TABELA, '"&amp;UPPER(C368)&amp;"' AS TIPOLOGIA_TESTE,'"&amp;D368&amp;"' AS TABELA_LT,'N/A' AS TABELA_SIMUL,'"&amp;F368&amp;"' AS CAMPO, "&amp;"'${ref_date}' AS REF_DATE, COUNT(*) AS NUM_REG, SUM(IF(TRIM(CAST(X."&amp;F368&amp;" AS STRING))='' OR TRIM(CAST(X."&amp;F368&amp;" AS STRING)) IS NULL,1,0)) AS NUM_REG_DIF,'"&amp;MAX('ID1&amp;5'!K:K)+1&amp;"' AS ID_EXEC, CURRENT_TIMESTAMP() AS TIME_EXEC FROM "&amp;I368),
IF(C368="Caracteres Especiais",+"SELECT '"&amp;UPPER(B368)&amp;"' AS TABELA, '"&amp;UPPER(C368)&amp;"' AS TIPOLOGIA_TESTE,'"&amp;D368&amp;"' AS TABELA_LT,'N/A' AS TABELA_SIMUL,'"&amp;F368&amp;"' AS CAMPO, "&amp;"'${ref_date}' AS REF_DATE, COUNT(*) AS NUM_REG, SUM(IF(REGEXP_REPLACE(TRIM(CAST(X."&amp;F368&amp;" AS STRING)),'[^a-zA-Z0-9_\\s]','') &lt;&gt;TRIM(CAST(X."&amp;F368&amp;" AS STRING)),1,0)) AS NUM_REG_DIF,'"&amp;MAX('ID1&amp;5'!K:K)+1&amp;"' AS ID_EXEC, CURRENT_TIMESTAMP() AS TIME_EXEC FROM "&amp;I368,
IF(C368="Missings",+"SELECT '"&amp;UPPER(B368)&amp;"' AS TABELA, '"&amp;UPPER(C368)&amp;"' AS TIPOLOGIA_TESTE,'"&amp;D368&amp;"' AS TABELA_LT,'N/A' AS TABELA_SIMUL,'"&amp;F368&amp;"' AS CAMPO, "&amp;"'${ref_date}' AS REF_DATE, COUNT(*) AS NUM_REG, SUM(IF(TRIM(CAST(X."&amp;F368&amp;" AS STRING)) IN ('0000-00-00','0001-01-01','9999-12-31','MISS','00000','99999999999','99999999999.00','99999999999.000000'),1,0)) AS NUM_REG_DIF,'"&amp;MAX('ID1&amp;5'!K:K)+1&amp;"' AS ID_EXEC, CURRENT_TIMESTAMP() AS TIME_EXEC FROM "&amp;I368,
IF(C368="Not applicable",+"SELECT '"&amp;UPPER(B368)&amp;"' AS TABELA, '"&amp;UPPER(C368)&amp;"' AS TIPOLOGIA_TESTE,'"&amp;D368&amp;"' AS TABELA_LT,'N/A' AS TABELA_SIMUL,'"&amp;F368&amp;"' AS CAMPO, "&amp;"'${ref_date}' AS REF_DATE, COUNT(*) AS NUM_REG, SUM(IF(TRIM(CAST(X."&amp;F368&amp;" AS STRING)) IN ('N/A','11111111111','11111111111.00','11111111111.000000','1111-11-11'),1,0)) AS NUM_REG_DIF,'"&amp;MAX('ID1&amp;5'!K:K)+1&amp;"' AS ID_EXEC, CURRENT_TIMESTAMP() AS TIME_EXEC FROM "&amp;I368,
IF(C368="Valores extremos",+"SELECT '"&amp;UPPER(B368)&amp;"' AS TABELA, '"&amp;UPPER(C368)&amp;"' AS TIPOLOGIA_TESTE,'"&amp;D368&amp;"' AS TABELA_LT,'N/A' AS TABELA_SIMUL,'"&amp;F368&amp;"' AS CAMPO, "&amp;"'${ref_date}' AS REF_DATE, CAST(MIN("&amp;F368&amp;") AS STRING) AS VALOR_MIN, CAST(MAX("&amp;F368&amp;") AS STRING) AS VALOR_MAX,'"&amp;MAX('ID1&amp;5'!K:K)+1&amp;"' AS ID_EXEC, CURRENT_TIMESTAMP() AS TIME_EXEC FROM "&amp;MID(I368,1,LEN(I368)-2)&amp;" AND CAST("&amp;F368&amp;"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TABELA_SIMUL,'amnt_scrty_fx' AS CAMPO, '${ref_date}' AS REF_DATE, COUNT(*) AS NUM_REG, SUM(IF(COALESCE(CAST(X.amnt_scrty_fx AS STRING),'')&lt;&gt;COALESCE(CAST(Y.amnt_scrty_fx_SIMUL AS STRING),'') OR (X.amnt_scrty_fx IS NULL AND Y.amnt_scrty_fx_SIMUL IS NOT NULL ) OR (X.amnt_scrty_fx IS NOT NULL AND Y.amnt_scrty_fx_SIMUL IS NULL),1,0)) AS NUM_REG_DIF,'1' AS ID_EXEC, CURRENT_TIMESTAMP() AS TIME_EXEC FROM (SELECT instrmnt_id, amnt_scrty_fx FROM BU_LOANTAPE_WORK.LT002_INSTRUMENT WHERE ref_date='${ref_date}' AND nome_perimetro='Individual Local' AND segmento='ESTR' AND ambito='SRB_MBDT' AND entidade='00100')X INNER JOIN (SELECT instrmnt_id AS instrmnt_id_SIMUL, amnt_scrty_fx AS amnt_scrty_fx_SIMUL FROM BU_LOANTAPE_WORK.SIMUL_LT002_INSTRUMENT WHERE ref_date='${ref_date}' AND nome_perimetro='Individual Local' AND segmento='ESTR' AND ambito='PILAR3' AND entidade='00100')Y ON X.INSTRMNT_ID=Y.INSTRMNT_ID_SIMUL</v>
      </c>
      <c r="M368" s="36" t="str">
        <f t="shared" si="8"/>
        <v>UNION ALL SELECT 'INSTRUMENT' AS TABELA, 'COERÊNCIA' AS TIPOLOGIA_TESTE,'BU_LOANTAPE_WORK.LT002_INSTRUMENT' AS TABELA_LT,'BU_LOANTAPE_WORK.SIMUL_LT002_INSTRUMENT' AS TABELA_SIMUL,'amnt_scrty_fx' AS CAMPO, '${ref_date}' AS REF_DATE, COUNT(*) AS NUM_REG, SUM(IF(COALESCE(CAST(X.amnt_scrty_fx AS STRING),'')&lt;&gt;COALESCE(CAST(Y.amnt_scrty_fx_SIMUL AS STRING),'') OR (X.amnt_scrty_fx IS NULL AND Y.amnt_scrty_fx_SIMUL IS NOT NULL ) OR (X.amnt_scrty_fx IS NOT NULL AND Y.amnt_scrty_fx_SIMUL IS NULL),1,0)) AS NUM_REG_DIF,'1' AS ID_EXEC, CURRENT_TIMESTAMP() AS TIME_EXEC FROM (SELECT instrmnt_id, amnt_scrty_fx FROM BU_LOANTAPE_WORK.LT002_INSTRUMENT WHERE ref_date='${ref_date}' AND nome_perimetro='Individual Local' AND segmento='ESTR' AND ambito='SRB_MBDT' AND entidade='00100')X INNER JOIN (SELECT instrmnt_id AS instrmnt_id_SIMUL, amnt_scrty_fx AS amnt_scrty_fx_SIMUL FROM BU_LOANTAPE_WORK.SIMUL_LT002_INSTRUMENT WHERE ref_date='${ref_date}' AND nome_perimetro='Individual Local' AND segmento='ESTR' AND ambito='PILAR3' AND entidade='00100')Y ON X.INSTRMNT_ID=Y.INSTRMNT_ID_SIMUL</v>
      </c>
      <c r="N368" s="38"/>
    </row>
    <row r="369" spans="2:14">
      <c r="B369" s="34" t="s">
        <v>117</v>
      </c>
      <c r="C369" s="34" t="s">
        <v>5</v>
      </c>
      <c r="D369" s="34" t="str">
        <f>+UPPER('0. Instruções'!$D$35&amp;"."&amp;VLOOKUP(B369,'0. Instruções'!$C$27:$D$32,2,FALSE))</f>
        <v>BU_LOANTAPE_WORK.LT002_INSTRUMENT</v>
      </c>
      <c r="E369" s="34" t="str">
        <f>+UPPER('0. Instruções'!$D$36&amp;"."&amp;VLOOKUP(B369,'0. Instruções'!$C$27:$E$32,3,FALSE))</f>
        <v>BU_LOANTAPE_WORK.SIMUL_LT002_INSTRUMENT</v>
      </c>
      <c r="F369" s="34" t="s">
        <v>1408</v>
      </c>
      <c r="G369" s="34"/>
      <c r="H369" s="34"/>
      <c r="I369" s="34" t="str">
        <f>"(SELECT "&amp;VLOOKUP(B369,'0. Instruções'!$C$27:$G$32,4,FALSE)&amp;", "&amp;F369&amp;" FROM "&amp;D369&amp;" WHERE "&amp;'0. Instruções'!$D$42&amp;")X"</f>
        <v>(SELECT instrmnt_id, csd FROM BU_LOANTAPE_WORK.LT002_INSTRUMENT WHERE ref_date='${ref_date}' AND nome_perimetro='Individual Local' AND segmento='ESTR' AND ambito='SRB_MBDT' AND entidade='00100')X</v>
      </c>
      <c r="J369" s="34" t="str">
        <f>"(SELECT "&amp;VLOOKUP(B369,'0. Instruções'!$C$27:$G$32,4,FALSE)&amp;" AS "&amp;VLOOKUP(B369,'0. Instruções'!$C$27:$G$32,4,FALSE)&amp;"_SIMUL, "&amp;F369&amp;" AS "&amp;F369&amp;"_SIMUL FROM "&amp;E369&amp;" WHERE "&amp;'0. Instruções'!$D$43&amp;")Y"</f>
        <v>(SELECT instrmnt_id AS instrmnt_id_SIMUL, csd AS csd_SIMUL FROM BU_LOANTAPE_WORK.SIMUL_LT002_INSTRUMENT WHERE ref_date='${ref_date}' AND nome_perimetro='Individual Local' AND segmento='ESTR' AND ambito='PILAR3' AND entidade='00100')Y</v>
      </c>
      <c r="K369" s="35" t="str">
        <f>+UPPER("ON X."&amp;VLOOKUP(B369,'0. Instruções'!$C$27:$G$32,4,FALSE)&amp;"=Y."&amp;VLOOKUP(B369,'0. Instruções'!$C$27:$G$32,4,FALSE)&amp;"_SIMUL")</f>
        <v>ON X.INSTRMNT_ID=Y.INSTRMNT_ID_SIMUL</v>
      </c>
      <c r="L369" s="35" t="str">
        <f>+IF(C369="Coerência", +IF(LEFT(G369,5)="FLOAT","SELECT '"&amp;UPPER(B369)&amp;"' AS TABELA, '"&amp;UPPER(C369)&amp;"' AS TIPOLOGIA_TESTE,'"&amp;D369&amp;"' AS TABELA_LT,'"&amp;E369&amp;"' AS TABELA_SIMUL,'"&amp;F369&amp;"' AS CAMPO, "&amp;"'${ref_date}' AS REF_DATE, COUNT(*) AS NUM_REG, SUM(IF((ABS(COALESCE(CAST(X."&amp;F369&amp;" AS DECIMAL(18,6)),0)-COALESCE(CAST(Y."&amp;F369&amp;"_SIMUL AS DECIMAL(18,6)),0))&gt;0.000001) OR (X."&amp;F369&amp;" IS NULL AND Y."&amp;F369&amp;"_SIMUL IS NOT NULL ) OR (X."&amp;F369&amp;" IS NOT NULL AND Y."&amp;F369&amp;"_SIMUL IS NULL),1,0)) AS NUM_REG_DIF,'"&amp;MAX('ID1&amp;5'!K:K)+1&amp;"' AS ID_EXEC, CURRENT_TIMESTAMP() AS TIME_EXEC FROM "&amp;I369&amp;" INNER JOIN "&amp;J369&amp;" "&amp;K369,"SELECT '"&amp;UPPER(B369)&amp;"' AS TABELA, '"&amp;UPPER(C369)&amp;"' AS TIPOLOGIA_TESTE,'"&amp;D369&amp;"' AS TABELA_LT,'"&amp;E369&amp;"' AS TABELA_SIMUL,'"&amp;F369&amp;"' AS CAMPO, "&amp;"'${ref_date}' AS REF_DATE, COUNT(*) AS NUM_REG, SUM(IF(COALESCE(CAST(X."&amp;F369&amp;" AS STRING),'')&lt;&gt;COALESCE(CAST(Y."&amp;F369&amp;"_SIMUL AS STRING),'') OR (X."&amp;F369&amp;" IS NULL AND Y."&amp;F369&amp;"_SIMUL IS NOT NULL ) OR (X."&amp;F369&amp;" IS NOT NULL AND Y."&amp;F369&amp;"_SIMUL IS NULL),1,0)) AS NUM_REG_DIF,'"&amp;MAX('ID1&amp;5'!L:L)+1&amp;"' AS ID_EXEC, CURRENT_TIMESTAMP() AS TIME_EXEC FROM "&amp;I369&amp;" INNER JOIN "&amp;J369&amp;" "&amp;K369),
IF(C369="Validade",+IF(G369="Code List","SELECT '"&amp;UPPER(B369)&amp;"' AS TABELA, '"&amp;UPPER(C369)&amp;"' AS TIPOLOGIA_TESTE,'"&amp;D369&amp;"' AS TABELA_LT,'N/A' AS TABELA_SIMUL,'"&amp;F369&amp;"' AS CAMPO, "&amp;"'${ref_date}' AS REF_DATE, COUNT(*) AS NUM_REG, SUM(IF(TRIM(CAST(X."&amp;F369&amp;" AS STRING))='' OR TRIM(CAST(X."&amp;F369&amp;" AS STRING)) IS NULL OR CAST(X."&amp;F369&amp;" AS STRING) NOT "&amp;H369&amp;",1,0)) AS NUM_REG_DIF,'"&amp;MAX('ID1&amp;5'!K:K)+1&amp;"' AS ID_EXEC, CURRENT_TIMESTAMP() AS TIME_EXEC FROM "&amp;I369,"SELECT '"&amp;UPPER(B369)&amp;"' AS TABELA, '"&amp;UPPER(C369)&amp;"' AS TIPOLOGIA_TESTE,'"&amp;D369&amp;"' AS TABELA_LT,'N/A' AS TABELA_SIMUL,'"&amp;F369&amp;"' AS CAMPO, "&amp;"'${ref_date}' AS REF_DATE, COUNT(*) AS NUM_REG, SUM(IF(TRIM(CAST(X."&amp;F369&amp;" AS STRING))='' OR TRIM(CAST(X."&amp;F369&amp;" AS STRING)) IS NULL,1,0)) AS NUM_REG_DIF,'"&amp;MAX('ID1&amp;5'!K:K)+1&amp;"' AS ID_EXEC, CURRENT_TIMESTAMP() AS TIME_EXEC FROM "&amp;I369),
IF(C369="Caracteres Especiais",+"SELECT '"&amp;UPPER(B369)&amp;"' AS TABELA, '"&amp;UPPER(C369)&amp;"' AS TIPOLOGIA_TESTE,'"&amp;D369&amp;"' AS TABELA_LT,'N/A' AS TABELA_SIMUL,'"&amp;F369&amp;"' AS CAMPO, "&amp;"'${ref_date}' AS REF_DATE, COUNT(*) AS NUM_REG, SUM(IF(REGEXP_REPLACE(TRIM(CAST(X."&amp;F369&amp;" AS STRING)),'[^a-zA-Z0-9_\\s]','') &lt;&gt;TRIM(CAST(X."&amp;F369&amp;" AS STRING)),1,0)) AS NUM_REG_DIF,'"&amp;MAX('ID1&amp;5'!K:K)+1&amp;"' AS ID_EXEC, CURRENT_TIMESTAMP() AS TIME_EXEC FROM "&amp;I369,
IF(C369="Missings",+"SELECT '"&amp;UPPER(B369)&amp;"' AS TABELA, '"&amp;UPPER(C369)&amp;"' AS TIPOLOGIA_TESTE,'"&amp;D369&amp;"' AS TABELA_LT,'N/A' AS TABELA_SIMUL,'"&amp;F369&amp;"' AS CAMPO, "&amp;"'${ref_date}' AS REF_DATE, COUNT(*) AS NUM_REG, SUM(IF(TRIM(CAST(X."&amp;F369&amp;" AS STRING)) IN ('0000-00-00','0001-01-01','9999-12-31','MISS','00000','99999999999','99999999999.00','99999999999.000000'),1,0)) AS NUM_REG_DIF,'"&amp;MAX('ID1&amp;5'!K:K)+1&amp;"' AS ID_EXEC, CURRENT_TIMESTAMP() AS TIME_EXEC FROM "&amp;I369,
IF(C369="Not applicable",+"SELECT '"&amp;UPPER(B369)&amp;"' AS TABELA, '"&amp;UPPER(C369)&amp;"' AS TIPOLOGIA_TESTE,'"&amp;D369&amp;"' AS TABELA_LT,'N/A' AS TABELA_SIMUL,'"&amp;F369&amp;"' AS CAMPO, "&amp;"'${ref_date}' AS REF_DATE, COUNT(*) AS NUM_REG, SUM(IF(TRIM(CAST(X."&amp;F369&amp;" AS STRING)) IN ('N/A','11111111111','11111111111.00','11111111111.000000','1111-11-11'),1,0)) AS NUM_REG_DIF,'"&amp;MAX('ID1&amp;5'!K:K)+1&amp;"' AS ID_EXEC, CURRENT_TIMESTAMP() AS TIME_EXEC FROM "&amp;I369,
IF(C369="Valores extremos",+"SELECT '"&amp;UPPER(B369)&amp;"' AS TABELA, '"&amp;UPPER(C369)&amp;"' AS TIPOLOGIA_TESTE,'"&amp;D369&amp;"' AS TABELA_LT,'N/A' AS TABELA_SIMUL,'"&amp;F369&amp;"' AS CAMPO, "&amp;"'${ref_date}' AS REF_DATE, CAST(MIN("&amp;F369&amp;") AS STRING) AS VALOR_MIN, CAST(MAX("&amp;F369&amp;") AS STRING) AS VALOR_MAX,'"&amp;MAX('ID1&amp;5'!K:K)+1&amp;"' AS ID_EXEC, CURRENT_TIMESTAMP() AS TIME_EXEC FROM "&amp;MID(I369,1,LEN(I369)-2)&amp;" AND CAST("&amp;F369&amp;"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TABELA_SIMUL,'csd' AS CAMPO, '${ref_date}' AS REF_DATE, COUNT(*) AS NUM_REG, SUM(IF(COALESCE(CAST(X.csd AS STRING),'')&lt;&gt;COALESCE(CAST(Y.csd_SIMUL AS STRING),'') OR (X.csd IS NULL AND Y.csd_SIMUL IS NOT NULL ) OR (X.csd IS NOT NULL AND Y.csd_SIMUL IS NULL),1,0)) AS NUM_REG_DIF,'1' AS ID_EXEC, CURRENT_TIMESTAMP() AS TIME_EXEC FROM (SELECT instrmnt_id, csd FROM BU_LOANTAPE_WORK.LT002_INSTRUMENT WHERE ref_date='${ref_date}' AND nome_perimetro='Individual Local' AND segmento='ESTR' AND ambito='SRB_MBDT' AND entidade='00100')X INNER JOIN (SELECT instrmnt_id AS instrmnt_id_SIMUL, csd AS csd_SIMUL FROM BU_LOANTAPE_WORK.SIMUL_LT002_INSTRUMENT WHERE ref_date='${ref_date}' AND nome_perimetro='Individual Local' AND segmento='ESTR' AND ambito='PILAR3' AND entidade='00100')Y ON X.INSTRMNT_ID=Y.INSTRMNT_ID_SIMUL</v>
      </c>
      <c r="M369" s="36" t="str">
        <f t="shared" si="8"/>
        <v>UNION ALL SELECT 'INSTRUMENT' AS TABELA, 'COERÊNCIA' AS TIPOLOGIA_TESTE,'BU_LOANTAPE_WORK.LT002_INSTRUMENT' AS TABELA_LT,'BU_LOANTAPE_WORK.SIMUL_LT002_INSTRUMENT' AS TABELA_SIMUL,'csd' AS CAMPO, '${ref_date}' AS REF_DATE, COUNT(*) AS NUM_REG, SUM(IF(COALESCE(CAST(X.csd AS STRING),'')&lt;&gt;COALESCE(CAST(Y.csd_SIMUL AS STRING),'') OR (X.csd IS NULL AND Y.csd_SIMUL IS NOT NULL ) OR (X.csd IS NOT NULL AND Y.csd_SIMUL IS NULL),1,0)) AS NUM_REG_DIF,'1' AS ID_EXEC, CURRENT_TIMESTAMP() AS TIME_EXEC FROM (SELECT instrmnt_id, csd FROM BU_LOANTAPE_WORK.LT002_INSTRUMENT WHERE ref_date='${ref_date}' AND nome_perimetro='Individual Local' AND segmento='ESTR' AND ambito='SRB_MBDT' AND entidade='00100')X INNER JOIN (SELECT instrmnt_id AS instrmnt_id_SIMUL, csd AS csd_SIMUL FROM BU_LOANTAPE_WORK.SIMUL_LT002_INSTRUMENT WHERE ref_date='${ref_date}' AND nome_perimetro='Individual Local' AND segmento='ESTR' AND ambito='PILAR3' AND entidade='00100')Y ON X.INSTRMNT_ID=Y.INSTRMNT_ID_SIMUL</v>
      </c>
      <c r="N369" s="38"/>
    </row>
    <row r="370" spans="2:14">
      <c r="B370" s="34" t="s">
        <v>117</v>
      </c>
      <c r="C370" s="34" t="s">
        <v>5</v>
      </c>
      <c r="D370" s="34" t="str">
        <f>+UPPER('0. Instruções'!$D$35&amp;"."&amp;VLOOKUP(B370,'0. Instruções'!$C$27:$D$32,2,FALSE))</f>
        <v>BU_LOANTAPE_WORK.LT002_INSTRUMENT</v>
      </c>
      <c r="E370" s="34" t="str">
        <f>+UPPER('0. Instruções'!$D$36&amp;"."&amp;VLOOKUP(B370,'0. Instruções'!$C$27:$E$32,3,FALSE))</f>
        <v>BU_LOANTAPE_WORK.SIMUL_LT002_INSTRUMENT</v>
      </c>
      <c r="F370" s="34" t="s">
        <v>1409</v>
      </c>
      <c r="G370" s="34"/>
      <c r="H370" s="34"/>
      <c r="I370" s="34" t="str">
        <f>"(SELECT "&amp;VLOOKUP(B370,'0. Instruções'!$C$27:$G$32,4,FALSE)&amp;", "&amp;F370&amp;" FROM "&amp;D370&amp;" WHERE "&amp;'0. Instruções'!$D$42&amp;")X"</f>
        <v>(SELECT instrmnt_id, csd_lei FROM BU_LOANTAPE_WORK.LT002_INSTRUMENT WHERE ref_date='${ref_date}' AND nome_perimetro='Individual Local' AND segmento='ESTR' AND ambito='SRB_MBDT' AND entidade='00100')X</v>
      </c>
      <c r="J370" s="34" t="str">
        <f>"(SELECT "&amp;VLOOKUP(B370,'0. Instruções'!$C$27:$G$32,4,FALSE)&amp;" AS "&amp;VLOOKUP(B370,'0. Instruções'!$C$27:$G$32,4,FALSE)&amp;"_SIMUL, "&amp;F370&amp;" AS "&amp;F370&amp;"_SIMUL FROM "&amp;E370&amp;" WHERE "&amp;'0. Instruções'!$D$43&amp;")Y"</f>
        <v>(SELECT instrmnt_id AS instrmnt_id_SIMUL, csd_lei AS csd_lei_SIMUL FROM BU_LOANTAPE_WORK.SIMUL_LT002_INSTRUMENT WHERE ref_date='${ref_date}' AND nome_perimetro='Individual Local' AND segmento='ESTR' AND ambito='PILAR3' AND entidade='00100')Y</v>
      </c>
      <c r="K370" s="35" t="str">
        <f>+UPPER("ON X."&amp;VLOOKUP(B370,'0. Instruções'!$C$27:$G$32,4,FALSE)&amp;"=Y."&amp;VLOOKUP(B370,'0. Instruções'!$C$27:$G$32,4,FALSE)&amp;"_SIMUL")</f>
        <v>ON X.INSTRMNT_ID=Y.INSTRMNT_ID_SIMUL</v>
      </c>
      <c r="L370" s="35" t="str">
        <f>+IF(C370="Coerência", +IF(LEFT(G370,5)="FLOAT","SELECT '"&amp;UPPER(B370)&amp;"' AS TABELA, '"&amp;UPPER(C370)&amp;"' AS TIPOLOGIA_TESTE,'"&amp;D370&amp;"' AS TABELA_LT,'"&amp;E370&amp;"' AS TABELA_SIMUL,'"&amp;F370&amp;"' AS CAMPO, "&amp;"'${ref_date}' AS REF_DATE, COUNT(*) AS NUM_REG, SUM(IF((ABS(COALESCE(CAST(X."&amp;F370&amp;" AS DECIMAL(18,6)),0)-COALESCE(CAST(Y."&amp;F370&amp;"_SIMUL AS DECIMAL(18,6)),0))&gt;0.000001) OR (X."&amp;F370&amp;" IS NULL AND Y."&amp;F370&amp;"_SIMUL IS NOT NULL ) OR (X."&amp;F370&amp;" IS NOT NULL AND Y."&amp;F370&amp;"_SIMUL IS NULL),1,0)) AS NUM_REG_DIF,'"&amp;MAX('ID1&amp;5'!K:K)+1&amp;"' AS ID_EXEC, CURRENT_TIMESTAMP() AS TIME_EXEC FROM "&amp;I370&amp;" INNER JOIN "&amp;J370&amp;" "&amp;K370,"SELECT '"&amp;UPPER(B370)&amp;"' AS TABELA, '"&amp;UPPER(C370)&amp;"' AS TIPOLOGIA_TESTE,'"&amp;D370&amp;"' AS TABELA_LT,'"&amp;E370&amp;"' AS TABELA_SIMUL,'"&amp;F370&amp;"' AS CAMPO, "&amp;"'${ref_date}' AS REF_DATE, COUNT(*) AS NUM_REG, SUM(IF(COALESCE(CAST(X."&amp;F370&amp;" AS STRING),'')&lt;&gt;COALESCE(CAST(Y."&amp;F370&amp;"_SIMUL AS STRING),'') OR (X."&amp;F370&amp;" IS NULL AND Y."&amp;F370&amp;"_SIMUL IS NOT NULL ) OR (X."&amp;F370&amp;" IS NOT NULL AND Y."&amp;F370&amp;"_SIMUL IS NULL),1,0)) AS NUM_REG_DIF,'"&amp;MAX('ID1&amp;5'!L:L)+1&amp;"' AS ID_EXEC, CURRENT_TIMESTAMP() AS TIME_EXEC FROM "&amp;I370&amp;" INNER JOIN "&amp;J370&amp;" "&amp;K370),
IF(C370="Validade",+IF(G370="Code List","SELECT '"&amp;UPPER(B370)&amp;"' AS TABELA, '"&amp;UPPER(C370)&amp;"' AS TIPOLOGIA_TESTE,'"&amp;D370&amp;"' AS TABELA_LT,'N/A' AS TABELA_SIMUL,'"&amp;F370&amp;"' AS CAMPO, "&amp;"'${ref_date}' AS REF_DATE, COUNT(*) AS NUM_REG, SUM(IF(TRIM(CAST(X."&amp;F370&amp;" AS STRING))='' OR TRIM(CAST(X."&amp;F370&amp;" AS STRING)) IS NULL OR CAST(X."&amp;F370&amp;" AS STRING) NOT "&amp;H370&amp;",1,0)) AS NUM_REG_DIF,'"&amp;MAX('ID1&amp;5'!K:K)+1&amp;"' AS ID_EXEC, CURRENT_TIMESTAMP() AS TIME_EXEC FROM "&amp;I370,"SELECT '"&amp;UPPER(B370)&amp;"' AS TABELA, '"&amp;UPPER(C370)&amp;"' AS TIPOLOGIA_TESTE,'"&amp;D370&amp;"' AS TABELA_LT,'N/A' AS TABELA_SIMUL,'"&amp;F370&amp;"' AS CAMPO, "&amp;"'${ref_date}' AS REF_DATE, COUNT(*) AS NUM_REG, SUM(IF(TRIM(CAST(X."&amp;F370&amp;" AS STRING))='' OR TRIM(CAST(X."&amp;F370&amp;" AS STRING)) IS NULL,1,0)) AS NUM_REG_DIF,'"&amp;MAX('ID1&amp;5'!K:K)+1&amp;"' AS ID_EXEC, CURRENT_TIMESTAMP() AS TIME_EXEC FROM "&amp;I370),
IF(C370="Caracteres Especiais",+"SELECT '"&amp;UPPER(B370)&amp;"' AS TABELA, '"&amp;UPPER(C370)&amp;"' AS TIPOLOGIA_TESTE,'"&amp;D370&amp;"' AS TABELA_LT,'N/A' AS TABELA_SIMUL,'"&amp;F370&amp;"' AS CAMPO, "&amp;"'${ref_date}' AS REF_DATE, COUNT(*) AS NUM_REG, SUM(IF(REGEXP_REPLACE(TRIM(CAST(X."&amp;F370&amp;" AS STRING)),'[^a-zA-Z0-9_\\s]','') &lt;&gt;TRIM(CAST(X."&amp;F370&amp;" AS STRING)),1,0)) AS NUM_REG_DIF,'"&amp;MAX('ID1&amp;5'!K:K)+1&amp;"' AS ID_EXEC, CURRENT_TIMESTAMP() AS TIME_EXEC FROM "&amp;I370,
IF(C370="Missings",+"SELECT '"&amp;UPPER(B370)&amp;"' AS TABELA, '"&amp;UPPER(C370)&amp;"' AS TIPOLOGIA_TESTE,'"&amp;D370&amp;"' AS TABELA_LT,'N/A' AS TABELA_SIMUL,'"&amp;F370&amp;"' AS CAMPO, "&amp;"'${ref_date}' AS REF_DATE, COUNT(*) AS NUM_REG, SUM(IF(TRIM(CAST(X."&amp;F370&amp;" AS STRING)) IN ('0000-00-00','0001-01-01','9999-12-31','MISS','00000','99999999999','99999999999.00','99999999999.000000'),1,0)) AS NUM_REG_DIF,'"&amp;MAX('ID1&amp;5'!K:K)+1&amp;"' AS ID_EXEC, CURRENT_TIMESTAMP() AS TIME_EXEC FROM "&amp;I370,
IF(C370="Not applicable",+"SELECT '"&amp;UPPER(B370)&amp;"' AS TABELA, '"&amp;UPPER(C370)&amp;"' AS TIPOLOGIA_TESTE,'"&amp;D370&amp;"' AS TABELA_LT,'N/A' AS TABELA_SIMUL,'"&amp;F370&amp;"' AS CAMPO, "&amp;"'${ref_date}' AS REF_DATE, COUNT(*) AS NUM_REG, SUM(IF(TRIM(CAST(X."&amp;F370&amp;" AS STRING)) IN ('N/A','11111111111','11111111111.00','11111111111.000000','1111-11-11'),1,0)) AS NUM_REG_DIF,'"&amp;MAX('ID1&amp;5'!K:K)+1&amp;"' AS ID_EXEC, CURRENT_TIMESTAMP() AS TIME_EXEC FROM "&amp;I370,
IF(C370="Valores extremos",+"SELECT '"&amp;UPPER(B370)&amp;"' AS TABELA, '"&amp;UPPER(C370)&amp;"' AS TIPOLOGIA_TESTE,'"&amp;D370&amp;"' AS TABELA_LT,'N/A' AS TABELA_SIMUL,'"&amp;F370&amp;"' AS CAMPO, "&amp;"'${ref_date}' AS REF_DATE, CAST(MIN("&amp;F370&amp;") AS STRING) AS VALOR_MIN, CAST(MAX("&amp;F370&amp;") AS STRING) AS VALOR_MAX,'"&amp;MAX('ID1&amp;5'!K:K)+1&amp;"' AS ID_EXEC, CURRENT_TIMESTAMP() AS TIME_EXEC FROM "&amp;MID(I370,1,LEN(I370)-2)&amp;" AND CAST("&amp;F370&amp;"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TABELA_SIMUL,'csd_lei' AS CAMPO, '${ref_date}' AS REF_DATE, COUNT(*) AS NUM_REG, SUM(IF(COALESCE(CAST(X.csd_lei AS STRING),'')&lt;&gt;COALESCE(CAST(Y.csd_lei_SIMUL AS STRING),'') OR (X.csd_lei IS NULL AND Y.csd_lei_SIMUL IS NOT NULL ) OR (X.csd_lei IS NOT NULL AND Y.csd_lei_SIMUL IS NULL),1,0)) AS NUM_REG_DIF,'1' AS ID_EXEC, CURRENT_TIMESTAMP() AS TIME_EXEC FROM (SELECT instrmnt_id, csd_lei FROM BU_LOANTAPE_WORK.LT002_INSTRUMENT WHERE ref_date='${ref_date}' AND nome_perimetro='Individual Local' AND segmento='ESTR' AND ambito='SRB_MBDT' AND entidade='00100')X INNER JOIN (SELECT instrmnt_id AS instrmnt_id_SIMUL, csd_lei AS csd_lei_SIMUL FROM BU_LOANTAPE_WORK.SIMUL_LT002_INSTRUMENT WHERE ref_date='${ref_date}' AND nome_perimetro='Individual Local' AND segmento='ESTR' AND ambito='PILAR3' AND entidade='00100')Y ON X.INSTRMNT_ID=Y.INSTRMNT_ID_SIMUL</v>
      </c>
      <c r="M370" s="36" t="str">
        <f t="shared" si="8"/>
        <v>UNION ALL SELECT 'INSTRUMENT' AS TABELA, 'COERÊNCIA' AS TIPOLOGIA_TESTE,'BU_LOANTAPE_WORK.LT002_INSTRUMENT' AS TABELA_LT,'BU_LOANTAPE_WORK.SIMUL_LT002_INSTRUMENT' AS TABELA_SIMUL,'csd_lei' AS CAMPO, '${ref_date}' AS REF_DATE, COUNT(*) AS NUM_REG, SUM(IF(COALESCE(CAST(X.csd_lei AS STRING),'')&lt;&gt;COALESCE(CAST(Y.csd_lei_SIMUL AS STRING),'') OR (X.csd_lei IS NULL AND Y.csd_lei_SIMUL IS NOT NULL ) OR (X.csd_lei IS NOT NULL AND Y.csd_lei_SIMUL IS NULL),1,0)) AS NUM_REG_DIF,'1' AS ID_EXEC, CURRENT_TIMESTAMP() AS TIME_EXEC FROM (SELECT instrmnt_id, csd_lei FROM BU_LOANTAPE_WORK.LT002_INSTRUMENT WHERE ref_date='${ref_date}' AND nome_perimetro='Individual Local' AND segmento='ESTR' AND ambito='SRB_MBDT' AND entidade='00100')X INNER JOIN (SELECT instrmnt_id AS instrmnt_id_SIMUL, csd_lei AS csd_lei_SIMUL FROM BU_LOANTAPE_WORK.SIMUL_LT002_INSTRUMENT WHERE ref_date='${ref_date}' AND nome_perimetro='Individual Local' AND segmento='ESTR' AND ambito='PILAR3' AND entidade='00100')Y ON X.INSTRMNT_ID=Y.INSTRMNT_ID_SIMUL</v>
      </c>
      <c r="N370" s="38"/>
    </row>
    <row r="371" spans="2:14">
      <c r="B371" s="34" t="s">
        <v>117</v>
      </c>
      <c r="C371" s="34" t="s">
        <v>5</v>
      </c>
      <c r="D371" s="34" t="str">
        <f>+UPPER('0. Instruções'!$D$35&amp;"."&amp;VLOOKUP(B371,'0. Instruções'!$C$27:$D$32,2,FALSE))</f>
        <v>BU_LOANTAPE_WORK.LT002_INSTRUMENT</v>
      </c>
      <c r="E371" s="34" t="str">
        <f>+UPPER('0. Instruções'!$D$36&amp;"."&amp;VLOOKUP(B371,'0. Instruções'!$C$27:$E$32,3,FALSE))</f>
        <v>BU_LOANTAPE_WORK.SIMUL_LT002_INSTRUMENT</v>
      </c>
      <c r="F371" s="34" t="s">
        <v>1410</v>
      </c>
      <c r="G371" s="34"/>
      <c r="H371" s="34"/>
      <c r="I371" s="34" t="str">
        <f>"(SELECT "&amp;VLOOKUP(B371,'0. Instruções'!$C$27:$G$32,4,FALSE)&amp;", "&amp;F371&amp;" FROM "&amp;D371&amp;" WHERE "&amp;'0. Instruções'!$D$42&amp;")X"</f>
        <v>(SELECT instrmnt_id, pyng_agnt FROM BU_LOANTAPE_WORK.LT002_INSTRUMENT WHERE ref_date='${ref_date}' AND nome_perimetro='Individual Local' AND segmento='ESTR' AND ambito='SRB_MBDT' AND entidade='00100')X</v>
      </c>
      <c r="J371" s="34" t="str">
        <f>"(SELECT "&amp;VLOOKUP(B371,'0. Instruções'!$C$27:$G$32,4,FALSE)&amp;" AS "&amp;VLOOKUP(B371,'0. Instruções'!$C$27:$G$32,4,FALSE)&amp;"_SIMUL, "&amp;F371&amp;" AS "&amp;F371&amp;"_SIMUL FROM "&amp;E371&amp;" WHERE "&amp;'0. Instruções'!$D$43&amp;")Y"</f>
        <v>(SELECT instrmnt_id AS instrmnt_id_SIMUL, pyng_agnt AS pyng_agnt_SIMUL FROM BU_LOANTAPE_WORK.SIMUL_LT002_INSTRUMENT WHERE ref_date='${ref_date}' AND nome_perimetro='Individual Local' AND segmento='ESTR' AND ambito='PILAR3' AND entidade='00100')Y</v>
      </c>
      <c r="K371" s="35" t="str">
        <f>+UPPER("ON X."&amp;VLOOKUP(B371,'0. Instruções'!$C$27:$G$32,4,FALSE)&amp;"=Y."&amp;VLOOKUP(B371,'0. Instruções'!$C$27:$G$32,4,FALSE)&amp;"_SIMUL")</f>
        <v>ON X.INSTRMNT_ID=Y.INSTRMNT_ID_SIMUL</v>
      </c>
      <c r="L371" s="35" t="str">
        <f>+IF(C371="Coerência", +IF(LEFT(G371,5)="FLOAT","SELECT '"&amp;UPPER(B371)&amp;"' AS TABELA, '"&amp;UPPER(C371)&amp;"' AS TIPOLOGIA_TESTE,'"&amp;D371&amp;"' AS TABELA_LT,'"&amp;E371&amp;"' AS TABELA_SIMUL,'"&amp;F371&amp;"' AS CAMPO, "&amp;"'${ref_date}' AS REF_DATE, COUNT(*) AS NUM_REG, SUM(IF((ABS(COALESCE(CAST(X."&amp;F371&amp;" AS DECIMAL(18,6)),0)-COALESCE(CAST(Y."&amp;F371&amp;"_SIMUL AS DECIMAL(18,6)),0))&gt;0.000001) OR (X."&amp;F371&amp;" IS NULL AND Y."&amp;F371&amp;"_SIMUL IS NOT NULL ) OR (X."&amp;F371&amp;" IS NOT NULL AND Y."&amp;F371&amp;"_SIMUL IS NULL),1,0)) AS NUM_REG_DIF,'"&amp;MAX('ID1&amp;5'!K:K)+1&amp;"' AS ID_EXEC, CURRENT_TIMESTAMP() AS TIME_EXEC FROM "&amp;I371&amp;" INNER JOIN "&amp;J371&amp;" "&amp;K371,"SELECT '"&amp;UPPER(B371)&amp;"' AS TABELA, '"&amp;UPPER(C371)&amp;"' AS TIPOLOGIA_TESTE,'"&amp;D371&amp;"' AS TABELA_LT,'"&amp;E371&amp;"' AS TABELA_SIMUL,'"&amp;F371&amp;"' AS CAMPO, "&amp;"'${ref_date}' AS REF_DATE, COUNT(*) AS NUM_REG, SUM(IF(COALESCE(CAST(X."&amp;F371&amp;" AS STRING),'')&lt;&gt;COALESCE(CAST(Y."&amp;F371&amp;"_SIMUL AS STRING),'') OR (X."&amp;F371&amp;" IS NULL AND Y."&amp;F371&amp;"_SIMUL IS NOT NULL ) OR (X."&amp;F371&amp;" IS NOT NULL AND Y."&amp;F371&amp;"_SIMUL IS NULL),1,0)) AS NUM_REG_DIF,'"&amp;MAX('ID1&amp;5'!L:L)+1&amp;"' AS ID_EXEC, CURRENT_TIMESTAMP() AS TIME_EXEC FROM "&amp;I371&amp;" INNER JOIN "&amp;J371&amp;" "&amp;K371),
IF(C371="Validade",+IF(G371="Code List","SELECT '"&amp;UPPER(B371)&amp;"' AS TABELA, '"&amp;UPPER(C371)&amp;"' AS TIPOLOGIA_TESTE,'"&amp;D371&amp;"' AS TABELA_LT,'N/A' AS TABELA_SIMUL,'"&amp;F371&amp;"' AS CAMPO, "&amp;"'${ref_date}' AS REF_DATE, COUNT(*) AS NUM_REG, SUM(IF(TRIM(CAST(X."&amp;F371&amp;" AS STRING))='' OR TRIM(CAST(X."&amp;F371&amp;" AS STRING)) IS NULL OR CAST(X."&amp;F371&amp;" AS STRING) NOT "&amp;H371&amp;",1,0)) AS NUM_REG_DIF,'"&amp;MAX('ID1&amp;5'!K:K)+1&amp;"' AS ID_EXEC, CURRENT_TIMESTAMP() AS TIME_EXEC FROM "&amp;I371,"SELECT '"&amp;UPPER(B371)&amp;"' AS TABELA, '"&amp;UPPER(C371)&amp;"' AS TIPOLOGIA_TESTE,'"&amp;D371&amp;"' AS TABELA_LT,'N/A' AS TABELA_SIMUL,'"&amp;F371&amp;"' AS CAMPO, "&amp;"'${ref_date}' AS REF_DATE, COUNT(*) AS NUM_REG, SUM(IF(TRIM(CAST(X."&amp;F371&amp;" AS STRING))='' OR TRIM(CAST(X."&amp;F371&amp;" AS STRING)) IS NULL,1,0)) AS NUM_REG_DIF,'"&amp;MAX('ID1&amp;5'!K:K)+1&amp;"' AS ID_EXEC, CURRENT_TIMESTAMP() AS TIME_EXEC FROM "&amp;I371),
IF(C371="Caracteres Especiais",+"SELECT '"&amp;UPPER(B371)&amp;"' AS TABELA, '"&amp;UPPER(C371)&amp;"' AS TIPOLOGIA_TESTE,'"&amp;D371&amp;"' AS TABELA_LT,'N/A' AS TABELA_SIMUL,'"&amp;F371&amp;"' AS CAMPO, "&amp;"'${ref_date}' AS REF_DATE, COUNT(*) AS NUM_REG, SUM(IF(REGEXP_REPLACE(TRIM(CAST(X."&amp;F371&amp;" AS STRING)),'[^a-zA-Z0-9_\\s]','') &lt;&gt;TRIM(CAST(X."&amp;F371&amp;" AS STRING)),1,0)) AS NUM_REG_DIF,'"&amp;MAX('ID1&amp;5'!K:K)+1&amp;"' AS ID_EXEC, CURRENT_TIMESTAMP() AS TIME_EXEC FROM "&amp;I371,
IF(C371="Missings",+"SELECT '"&amp;UPPER(B371)&amp;"' AS TABELA, '"&amp;UPPER(C371)&amp;"' AS TIPOLOGIA_TESTE,'"&amp;D371&amp;"' AS TABELA_LT,'N/A' AS TABELA_SIMUL,'"&amp;F371&amp;"' AS CAMPO, "&amp;"'${ref_date}' AS REF_DATE, COUNT(*) AS NUM_REG, SUM(IF(TRIM(CAST(X."&amp;F371&amp;" AS STRING)) IN ('0000-00-00','0001-01-01','9999-12-31','MISS','00000','99999999999','99999999999.00','99999999999.000000'),1,0)) AS NUM_REG_DIF,'"&amp;MAX('ID1&amp;5'!K:K)+1&amp;"' AS ID_EXEC, CURRENT_TIMESTAMP() AS TIME_EXEC FROM "&amp;I371,
IF(C371="Not applicable",+"SELECT '"&amp;UPPER(B371)&amp;"' AS TABELA, '"&amp;UPPER(C371)&amp;"' AS TIPOLOGIA_TESTE,'"&amp;D371&amp;"' AS TABELA_LT,'N/A' AS TABELA_SIMUL,'"&amp;F371&amp;"' AS CAMPO, "&amp;"'${ref_date}' AS REF_DATE, COUNT(*) AS NUM_REG, SUM(IF(TRIM(CAST(X."&amp;F371&amp;" AS STRING)) IN ('N/A','11111111111','11111111111.00','11111111111.000000','1111-11-11'),1,0)) AS NUM_REG_DIF,'"&amp;MAX('ID1&amp;5'!K:K)+1&amp;"' AS ID_EXEC, CURRENT_TIMESTAMP() AS TIME_EXEC FROM "&amp;I371,
IF(C371="Valores extremos",+"SELECT '"&amp;UPPER(B371)&amp;"' AS TABELA, '"&amp;UPPER(C371)&amp;"' AS TIPOLOGIA_TESTE,'"&amp;D371&amp;"' AS TABELA_LT,'N/A' AS TABELA_SIMUL,'"&amp;F371&amp;"' AS CAMPO, "&amp;"'${ref_date}' AS REF_DATE, CAST(MIN("&amp;F371&amp;") AS STRING) AS VALOR_MIN, CAST(MAX("&amp;F371&amp;") AS STRING) AS VALOR_MAX,'"&amp;MAX('ID1&amp;5'!K:K)+1&amp;"' AS ID_EXEC, CURRENT_TIMESTAMP() AS TIME_EXEC FROM "&amp;MID(I371,1,LEN(I371)-2)&amp;" AND CAST("&amp;F371&amp;"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TABELA_SIMUL,'pyng_agnt' AS CAMPO, '${ref_date}' AS REF_DATE, COUNT(*) AS NUM_REG, SUM(IF(COALESCE(CAST(X.pyng_agnt AS STRING),'')&lt;&gt;COALESCE(CAST(Y.pyng_agnt_SIMUL AS STRING),'') OR (X.pyng_agnt IS NULL AND Y.pyng_agnt_SIMUL IS NOT NULL ) OR (X.pyng_agnt IS NOT NULL AND Y.pyng_agnt_SIMUL IS NULL),1,0)) AS NUM_REG_DIF,'1' AS ID_EXEC, CURRENT_TIMESTAMP() AS TIME_EXEC FROM (SELECT instrmnt_id, pyng_agnt FROM BU_LOANTAPE_WORK.LT002_INSTRUMENT WHERE ref_date='${ref_date}' AND nome_perimetro='Individual Local' AND segmento='ESTR' AND ambito='SRB_MBDT' AND entidade='00100')X INNER JOIN (SELECT instrmnt_id AS instrmnt_id_SIMUL, pyng_agnt AS pyng_agnt_SIMUL FROM BU_LOANTAPE_WORK.SIMUL_LT002_INSTRUMENT WHERE ref_date='${ref_date}' AND nome_perimetro='Individual Local' AND segmento='ESTR' AND ambito='PILAR3' AND entidade='00100')Y ON X.INSTRMNT_ID=Y.INSTRMNT_ID_SIMUL</v>
      </c>
      <c r="M371" s="36" t="str">
        <f t="shared" si="8"/>
        <v>UNION ALL SELECT 'INSTRUMENT' AS TABELA, 'COERÊNCIA' AS TIPOLOGIA_TESTE,'BU_LOANTAPE_WORK.LT002_INSTRUMENT' AS TABELA_LT,'BU_LOANTAPE_WORK.SIMUL_LT002_INSTRUMENT' AS TABELA_SIMUL,'pyng_agnt' AS CAMPO, '${ref_date}' AS REF_DATE, COUNT(*) AS NUM_REG, SUM(IF(COALESCE(CAST(X.pyng_agnt AS STRING),'')&lt;&gt;COALESCE(CAST(Y.pyng_agnt_SIMUL AS STRING),'') OR (X.pyng_agnt IS NULL AND Y.pyng_agnt_SIMUL IS NOT NULL ) OR (X.pyng_agnt IS NOT NULL AND Y.pyng_agnt_SIMUL IS NULL),1,0)) AS NUM_REG_DIF,'1' AS ID_EXEC, CURRENT_TIMESTAMP() AS TIME_EXEC FROM (SELECT instrmnt_id, pyng_agnt FROM BU_LOANTAPE_WORK.LT002_INSTRUMENT WHERE ref_date='${ref_date}' AND nome_perimetro='Individual Local' AND segmento='ESTR' AND ambito='SRB_MBDT' AND entidade='00100')X INNER JOIN (SELECT instrmnt_id AS instrmnt_id_SIMUL, pyng_agnt AS pyng_agnt_SIMUL FROM BU_LOANTAPE_WORK.SIMUL_LT002_INSTRUMENT WHERE ref_date='${ref_date}' AND nome_perimetro='Individual Local' AND segmento='ESTR' AND ambito='PILAR3' AND entidade='00100')Y ON X.INSTRMNT_ID=Y.INSTRMNT_ID_SIMUL</v>
      </c>
      <c r="N371" s="38"/>
    </row>
    <row r="372" spans="2:14">
      <c r="B372" s="34" t="s">
        <v>117</v>
      </c>
      <c r="C372" s="34" t="s">
        <v>5</v>
      </c>
      <c r="D372" s="34" t="str">
        <f>+UPPER('0. Instruções'!$D$35&amp;"."&amp;VLOOKUP(B372,'0. Instruções'!$C$27:$D$32,2,FALSE))</f>
        <v>BU_LOANTAPE_WORK.LT002_INSTRUMENT</v>
      </c>
      <c r="E372" s="34" t="str">
        <f>+UPPER('0. Instruções'!$D$36&amp;"."&amp;VLOOKUP(B372,'0. Instruções'!$C$27:$E$32,3,FALSE))</f>
        <v>BU_LOANTAPE_WORK.SIMUL_LT002_INSTRUMENT</v>
      </c>
      <c r="F372" s="34" t="s">
        <v>1411</v>
      </c>
      <c r="G372" s="34"/>
      <c r="H372" s="34"/>
      <c r="I372" s="34" t="str">
        <f>"(SELECT "&amp;VLOOKUP(B372,'0. Instruções'!$C$27:$G$32,4,FALSE)&amp;", "&amp;F372&amp;" FROM "&amp;D372&amp;" WHERE "&amp;'0. Instruções'!$D$42&amp;")X"</f>
        <v>(SELECT instrmnt_id, pyng_agnt_lei FROM BU_LOANTAPE_WORK.LT002_INSTRUMENT WHERE ref_date='${ref_date}' AND nome_perimetro='Individual Local' AND segmento='ESTR' AND ambito='SRB_MBDT' AND entidade='00100')X</v>
      </c>
      <c r="J372" s="34" t="str">
        <f>"(SELECT "&amp;VLOOKUP(B372,'0. Instruções'!$C$27:$G$32,4,FALSE)&amp;" AS "&amp;VLOOKUP(B372,'0. Instruções'!$C$27:$G$32,4,FALSE)&amp;"_SIMUL, "&amp;F372&amp;" AS "&amp;F372&amp;"_SIMUL FROM "&amp;E372&amp;" WHERE "&amp;'0. Instruções'!$D$43&amp;")Y"</f>
        <v>(SELECT instrmnt_id AS instrmnt_id_SIMUL, pyng_agnt_lei AS pyng_agnt_lei_SIMUL FROM BU_LOANTAPE_WORK.SIMUL_LT002_INSTRUMENT WHERE ref_date='${ref_date}' AND nome_perimetro='Individual Local' AND segmento='ESTR' AND ambito='PILAR3' AND entidade='00100')Y</v>
      </c>
      <c r="K372" s="35" t="str">
        <f>+UPPER("ON X."&amp;VLOOKUP(B372,'0. Instruções'!$C$27:$G$32,4,FALSE)&amp;"=Y."&amp;VLOOKUP(B372,'0. Instruções'!$C$27:$G$32,4,FALSE)&amp;"_SIMUL")</f>
        <v>ON X.INSTRMNT_ID=Y.INSTRMNT_ID_SIMUL</v>
      </c>
      <c r="L372" s="35" t="str">
        <f>+IF(C372="Coerência", +IF(LEFT(G372,5)="FLOAT","SELECT '"&amp;UPPER(B372)&amp;"' AS TABELA, '"&amp;UPPER(C372)&amp;"' AS TIPOLOGIA_TESTE,'"&amp;D372&amp;"' AS TABELA_LT,'"&amp;E372&amp;"' AS TABELA_SIMUL,'"&amp;F372&amp;"' AS CAMPO, "&amp;"'${ref_date}' AS REF_DATE, COUNT(*) AS NUM_REG, SUM(IF((ABS(COALESCE(CAST(X."&amp;F372&amp;" AS DECIMAL(18,6)),0)-COALESCE(CAST(Y."&amp;F372&amp;"_SIMUL AS DECIMAL(18,6)),0))&gt;0.000001) OR (X."&amp;F372&amp;" IS NULL AND Y."&amp;F372&amp;"_SIMUL IS NOT NULL ) OR (X."&amp;F372&amp;" IS NOT NULL AND Y."&amp;F372&amp;"_SIMUL IS NULL),1,0)) AS NUM_REG_DIF,'"&amp;MAX('ID1&amp;5'!K:K)+1&amp;"' AS ID_EXEC, CURRENT_TIMESTAMP() AS TIME_EXEC FROM "&amp;I372&amp;" INNER JOIN "&amp;J372&amp;" "&amp;K372,"SELECT '"&amp;UPPER(B372)&amp;"' AS TABELA, '"&amp;UPPER(C372)&amp;"' AS TIPOLOGIA_TESTE,'"&amp;D372&amp;"' AS TABELA_LT,'"&amp;E372&amp;"' AS TABELA_SIMUL,'"&amp;F372&amp;"' AS CAMPO, "&amp;"'${ref_date}' AS REF_DATE, COUNT(*) AS NUM_REG, SUM(IF(COALESCE(CAST(X."&amp;F372&amp;" AS STRING),'')&lt;&gt;COALESCE(CAST(Y."&amp;F372&amp;"_SIMUL AS STRING),'') OR (X."&amp;F372&amp;" IS NULL AND Y."&amp;F372&amp;"_SIMUL IS NOT NULL ) OR (X."&amp;F372&amp;" IS NOT NULL AND Y."&amp;F372&amp;"_SIMUL IS NULL),1,0)) AS NUM_REG_DIF,'"&amp;MAX('ID1&amp;5'!L:L)+1&amp;"' AS ID_EXEC, CURRENT_TIMESTAMP() AS TIME_EXEC FROM "&amp;I372&amp;" INNER JOIN "&amp;J372&amp;" "&amp;K372),
IF(C372="Validade",+IF(G372="Code List","SELECT '"&amp;UPPER(B372)&amp;"' AS TABELA, '"&amp;UPPER(C372)&amp;"' AS TIPOLOGIA_TESTE,'"&amp;D372&amp;"' AS TABELA_LT,'N/A' AS TABELA_SIMUL,'"&amp;F372&amp;"' AS CAMPO, "&amp;"'${ref_date}' AS REF_DATE, COUNT(*) AS NUM_REG, SUM(IF(TRIM(CAST(X."&amp;F372&amp;" AS STRING))='' OR TRIM(CAST(X."&amp;F372&amp;" AS STRING)) IS NULL OR CAST(X."&amp;F372&amp;" AS STRING) NOT "&amp;H372&amp;",1,0)) AS NUM_REG_DIF,'"&amp;MAX('ID1&amp;5'!K:K)+1&amp;"' AS ID_EXEC, CURRENT_TIMESTAMP() AS TIME_EXEC FROM "&amp;I372,"SELECT '"&amp;UPPER(B372)&amp;"' AS TABELA, '"&amp;UPPER(C372)&amp;"' AS TIPOLOGIA_TESTE,'"&amp;D372&amp;"' AS TABELA_LT,'N/A' AS TABELA_SIMUL,'"&amp;F372&amp;"' AS CAMPO, "&amp;"'${ref_date}' AS REF_DATE, COUNT(*) AS NUM_REG, SUM(IF(TRIM(CAST(X."&amp;F372&amp;" AS STRING))='' OR TRIM(CAST(X."&amp;F372&amp;" AS STRING)) IS NULL,1,0)) AS NUM_REG_DIF,'"&amp;MAX('ID1&amp;5'!K:K)+1&amp;"' AS ID_EXEC, CURRENT_TIMESTAMP() AS TIME_EXEC FROM "&amp;I372),
IF(C372="Caracteres Especiais",+"SELECT '"&amp;UPPER(B372)&amp;"' AS TABELA, '"&amp;UPPER(C372)&amp;"' AS TIPOLOGIA_TESTE,'"&amp;D372&amp;"' AS TABELA_LT,'N/A' AS TABELA_SIMUL,'"&amp;F372&amp;"' AS CAMPO, "&amp;"'${ref_date}' AS REF_DATE, COUNT(*) AS NUM_REG, SUM(IF(REGEXP_REPLACE(TRIM(CAST(X."&amp;F372&amp;" AS STRING)),'[^a-zA-Z0-9_\\s]','') &lt;&gt;TRIM(CAST(X."&amp;F372&amp;" AS STRING)),1,0)) AS NUM_REG_DIF,'"&amp;MAX('ID1&amp;5'!K:K)+1&amp;"' AS ID_EXEC, CURRENT_TIMESTAMP() AS TIME_EXEC FROM "&amp;I372,
IF(C372="Missings",+"SELECT '"&amp;UPPER(B372)&amp;"' AS TABELA, '"&amp;UPPER(C372)&amp;"' AS TIPOLOGIA_TESTE,'"&amp;D372&amp;"' AS TABELA_LT,'N/A' AS TABELA_SIMUL,'"&amp;F372&amp;"' AS CAMPO, "&amp;"'${ref_date}' AS REF_DATE, COUNT(*) AS NUM_REG, SUM(IF(TRIM(CAST(X."&amp;F372&amp;" AS STRING)) IN ('0000-00-00','0001-01-01','9999-12-31','MISS','00000','99999999999','99999999999.00','99999999999.000000'),1,0)) AS NUM_REG_DIF,'"&amp;MAX('ID1&amp;5'!K:K)+1&amp;"' AS ID_EXEC, CURRENT_TIMESTAMP() AS TIME_EXEC FROM "&amp;I372,
IF(C372="Not applicable",+"SELECT '"&amp;UPPER(B372)&amp;"' AS TABELA, '"&amp;UPPER(C372)&amp;"' AS TIPOLOGIA_TESTE,'"&amp;D372&amp;"' AS TABELA_LT,'N/A' AS TABELA_SIMUL,'"&amp;F372&amp;"' AS CAMPO, "&amp;"'${ref_date}' AS REF_DATE, COUNT(*) AS NUM_REG, SUM(IF(TRIM(CAST(X."&amp;F372&amp;" AS STRING)) IN ('N/A','11111111111','11111111111.00','11111111111.000000','1111-11-11'),1,0)) AS NUM_REG_DIF,'"&amp;MAX('ID1&amp;5'!K:K)+1&amp;"' AS ID_EXEC, CURRENT_TIMESTAMP() AS TIME_EXEC FROM "&amp;I372,
IF(C372="Valores extremos",+"SELECT '"&amp;UPPER(B372)&amp;"' AS TABELA, '"&amp;UPPER(C372)&amp;"' AS TIPOLOGIA_TESTE,'"&amp;D372&amp;"' AS TABELA_LT,'N/A' AS TABELA_SIMUL,'"&amp;F372&amp;"' AS CAMPO, "&amp;"'${ref_date}' AS REF_DATE, CAST(MIN("&amp;F372&amp;") AS STRING) AS VALOR_MIN, CAST(MAX("&amp;F372&amp;") AS STRING) AS VALOR_MAX,'"&amp;MAX('ID1&amp;5'!K:K)+1&amp;"' AS ID_EXEC, CURRENT_TIMESTAMP() AS TIME_EXEC FROM "&amp;MID(I372,1,LEN(I372)-2)&amp;" AND CAST("&amp;F372&amp;"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TABELA_SIMUL,'pyng_agnt_lei' AS CAMPO, '${ref_date}' AS REF_DATE, COUNT(*) AS NUM_REG, SUM(IF(COALESCE(CAST(X.pyng_agnt_lei AS STRING),'')&lt;&gt;COALESCE(CAST(Y.pyng_agnt_lei_SIMUL AS STRING),'') OR (X.pyng_agnt_lei IS NULL AND Y.pyng_agnt_lei_SIMUL IS NOT NULL ) OR (X.pyng_agnt_lei IS NOT NULL AND Y.pyng_agnt_lei_SIMUL IS NULL),1,0)) AS NUM_REG_DIF,'1' AS ID_EXEC, CURRENT_TIMESTAMP() AS TIME_EXEC FROM (SELECT instrmnt_id, pyng_agnt_lei FROM BU_LOANTAPE_WORK.LT002_INSTRUMENT WHERE ref_date='${ref_date}' AND nome_perimetro='Individual Local' AND segmento='ESTR' AND ambito='SRB_MBDT' AND entidade='00100')X INNER JOIN (SELECT instrmnt_id AS instrmnt_id_SIMUL, pyng_agnt_lei AS pyng_agnt_lei_SIMUL FROM BU_LOANTAPE_WORK.SIMUL_LT002_INSTRUMENT WHERE ref_date='${ref_date}' AND nome_perimetro='Individual Local' AND segmento='ESTR' AND ambito='PILAR3' AND entidade='00100')Y ON X.INSTRMNT_ID=Y.INSTRMNT_ID_SIMUL</v>
      </c>
      <c r="M372" s="36" t="str">
        <f t="shared" si="8"/>
        <v>UNION ALL SELECT 'INSTRUMENT' AS TABELA, 'COERÊNCIA' AS TIPOLOGIA_TESTE,'BU_LOANTAPE_WORK.LT002_INSTRUMENT' AS TABELA_LT,'BU_LOANTAPE_WORK.SIMUL_LT002_INSTRUMENT' AS TABELA_SIMUL,'pyng_agnt_lei' AS CAMPO, '${ref_date}' AS REF_DATE, COUNT(*) AS NUM_REG, SUM(IF(COALESCE(CAST(X.pyng_agnt_lei AS STRING),'')&lt;&gt;COALESCE(CAST(Y.pyng_agnt_lei_SIMUL AS STRING),'') OR (X.pyng_agnt_lei IS NULL AND Y.pyng_agnt_lei_SIMUL IS NOT NULL ) OR (X.pyng_agnt_lei IS NOT NULL AND Y.pyng_agnt_lei_SIMUL IS NULL),1,0)) AS NUM_REG_DIF,'1' AS ID_EXEC, CURRENT_TIMESTAMP() AS TIME_EXEC FROM (SELECT instrmnt_id, pyng_agnt_lei FROM BU_LOANTAPE_WORK.LT002_INSTRUMENT WHERE ref_date='${ref_date}' AND nome_perimetro='Individual Local' AND segmento='ESTR' AND ambito='SRB_MBDT' AND entidade='00100')X INNER JOIN (SELECT instrmnt_id AS instrmnt_id_SIMUL, pyng_agnt_lei AS pyng_agnt_lei_SIMUL FROM BU_LOANTAPE_WORK.SIMUL_LT002_INSTRUMENT WHERE ref_date='${ref_date}' AND nome_perimetro='Individual Local' AND segmento='ESTR' AND ambito='PILAR3' AND entidade='00100')Y ON X.INSTRMNT_ID=Y.INSTRMNT_ID_SIMUL</v>
      </c>
      <c r="N372" s="38"/>
    </row>
    <row r="373" spans="2:14">
      <c r="B373" s="34" t="s">
        <v>117</v>
      </c>
      <c r="C373" s="34" t="s">
        <v>5</v>
      </c>
      <c r="D373" s="34" t="str">
        <f>+UPPER('0. Instruções'!$D$35&amp;"."&amp;VLOOKUP(B373,'0. Instruções'!$C$27:$D$32,2,FALSE))</f>
        <v>BU_LOANTAPE_WORK.LT002_INSTRUMENT</v>
      </c>
      <c r="E373" s="34" t="str">
        <f>+UPPER('0. Instruções'!$D$36&amp;"."&amp;VLOOKUP(B373,'0. Instruções'!$C$27:$E$32,3,FALSE))</f>
        <v>BU_LOANTAPE_WORK.SIMUL_LT002_INSTRUMENT</v>
      </c>
      <c r="F373" s="34" t="s">
        <v>1412</v>
      </c>
      <c r="G373" s="34"/>
      <c r="H373" s="34"/>
      <c r="I373" s="34" t="str">
        <f>"(SELECT "&amp;VLOOKUP(B373,'0. Instruções'!$C$27:$G$32,4,FALSE)&amp;", "&amp;F373&amp;" FROM "&amp;D373&amp;" WHERE "&amp;'0. Instruções'!$D$42&amp;")X"</f>
        <v>(SELECT instrmnt_id, typ_own_fnds_indvdl_lvl FROM BU_LOANTAPE_WORK.LT002_INSTRUMENT WHERE ref_date='${ref_date}' AND nome_perimetro='Individual Local' AND segmento='ESTR' AND ambito='SRB_MBDT' AND entidade='00100')X</v>
      </c>
      <c r="J373" s="34" t="str">
        <f>"(SELECT "&amp;VLOOKUP(B373,'0. Instruções'!$C$27:$G$32,4,FALSE)&amp;" AS "&amp;VLOOKUP(B373,'0. Instruções'!$C$27:$G$32,4,FALSE)&amp;"_SIMUL, "&amp;F373&amp;" AS "&amp;F373&amp;"_SIMUL FROM "&amp;E373&amp;" WHERE "&amp;'0. Instruções'!$D$43&amp;")Y"</f>
        <v>(SELECT instrmnt_id AS instrmnt_id_SIMUL, typ_own_fnds_indvdl_lvl AS typ_own_fnds_indvdl_lvl_SIMUL FROM BU_LOANTAPE_WORK.SIMUL_LT002_INSTRUMENT WHERE ref_date='${ref_date}' AND nome_perimetro='Individual Local' AND segmento='ESTR' AND ambito='PILAR3' AND entidade='00100')Y</v>
      </c>
      <c r="K373" s="35" t="str">
        <f>+UPPER("ON X."&amp;VLOOKUP(B373,'0. Instruções'!$C$27:$G$32,4,FALSE)&amp;"=Y."&amp;VLOOKUP(B373,'0. Instruções'!$C$27:$G$32,4,FALSE)&amp;"_SIMUL")</f>
        <v>ON X.INSTRMNT_ID=Y.INSTRMNT_ID_SIMUL</v>
      </c>
      <c r="L373" s="35" t="str">
        <f>+IF(C373="Coerência", +IF(LEFT(G373,5)="FLOAT","SELECT '"&amp;UPPER(B373)&amp;"' AS TABELA, '"&amp;UPPER(C373)&amp;"' AS TIPOLOGIA_TESTE,'"&amp;D373&amp;"' AS TABELA_LT,'"&amp;E373&amp;"' AS TABELA_SIMUL,'"&amp;F373&amp;"' AS CAMPO, "&amp;"'${ref_date}' AS REF_DATE, COUNT(*) AS NUM_REG, SUM(IF((ABS(COALESCE(CAST(X."&amp;F373&amp;" AS DECIMAL(18,6)),0)-COALESCE(CAST(Y."&amp;F373&amp;"_SIMUL AS DECIMAL(18,6)),0))&gt;0.000001) OR (X."&amp;F373&amp;" IS NULL AND Y."&amp;F373&amp;"_SIMUL IS NOT NULL ) OR (X."&amp;F373&amp;" IS NOT NULL AND Y."&amp;F373&amp;"_SIMUL IS NULL),1,0)) AS NUM_REG_DIF,'"&amp;MAX('ID1&amp;5'!K:K)+1&amp;"' AS ID_EXEC, CURRENT_TIMESTAMP() AS TIME_EXEC FROM "&amp;I373&amp;" INNER JOIN "&amp;J373&amp;" "&amp;K373,"SELECT '"&amp;UPPER(B373)&amp;"' AS TABELA, '"&amp;UPPER(C373)&amp;"' AS TIPOLOGIA_TESTE,'"&amp;D373&amp;"' AS TABELA_LT,'"&amp;E373&amp;"' AS TABELA_SIMUL,'"&amp;F373&amp;"' AS CAMPO, "&amp;"'${ref_date}' AS REF_DATE, COUNT(*) AS NUM_REG, SUM(IF(COALESCE(CAST(X."&amp;F373&amp;" AS STRING),'')&lt;&gt;COALESCE(CAST(Y."&amp;F373&amp;"_SIMUL AS STRING),'') OR (X."&amp;F373&amp;" IS NULL AND Y."&amp;F373&amp;"_SIMUL IS NOT NULL ) OR (X."&amp;F373&amp;" IS NOT NULL AND Y."&amp;F373&amp;"_SIMUL IS NULL),1,0)) AS NUM_REG_DIF,'"&amp;MAX('ID1&amp;5'!L:L)+1&amp;"' AS ID_EXEC, CURRENT_TIMESTAMP() AS TIME_EXEC FROM "&amp;I373&amp;" INNER JOIN "&amp;J373&amp;" "&amp;K373),
IF(C373="Validade",+IF(G373="Code List","SELECT '"&amp;UPPER(B373)&amp;"' AS TABELA, '"&amp;UPPER(C373)&amp;"' AS TIPOLOGIA_TESTE,'"&amp;D373&amp;"' AS TABELA_LT,'N/A' AS TABELA_SIMUL,'"&amp;F373&amp;"' AS CAMPO, "&amp;"'${ref_date}' AS REF_DATE, COUNT(*) AS NUM_REG, SUM(IF(TRIM(CAST(X."&amp;F373&amp;" AS STRING))='' OR TRIM(CAST(X."&amp;F373&amp;" AS STRING)) IS NULL OR CAST(X."&amp;F373&amp;" AS STRING) NOT "&amp;H373&amp;",1,0)) AS NUM_REG_DIF,'"&amp;MAX('ID1&amp;5'!K:K)+1&amp;"' AS ID_EXEC, CURRENT_TIMESTAMP() AS TIME_EXEC FROM "&amp;I373,"SELECT '"&amp;UPPER(B373)&amp;"' AS TABELA, '"&amp;UPPER(C373)&amp;"' AS TIPOLOGIA_TESTE,'"&amp;D373&amp;"' AS TABELA_LT,'N/A' AS TABELA_SIMUL,'"&amp;F373&amp;"' AS CAMPO, "&amp;"'${ref_date}' AS REF_DATE, COUNT(*) AS NUM_REG, SUM(IF(TRIM(CAST(X."&amp;F373&amp;" AS STRING))='' OR TRIM(CAST(X."&amp;F373&amp;" AS STRING)) IS NULL,1,0)) AS NUM_REG_DIF,'"&amp;MAX('ID1&amp;5'!K:K)+1&amp;"' AS ID_EXEC, CURRENT_TIMESTAMP() AS TIME_EXEC FROM "&amp;I373),
IF(C373="Caracteres Especiais",+"SELECT '"&amp;UPPER(B373)&amp;"' AS TABELA, '"&amp;UPPER(C373)&amp;"' AS TIPOLOGIA_TESTE,'"&amp;D373&amp;"' AS TABELA_LT,'N/A' AS TABELA_SIMUL,'"&amp;F373&amp;"' AS CAMPO, "&amp;"'${ref_date}' AS REF_DATE, COUNT(*) AS NUM_REG, SUM(IF(REGEXP_REPLACE(TRIM(CAST(X."&amp;F373&amp;" AS STRING)),'[^a-zA-Z0-9_\\s]','') &lt;&gt;TRIM(CAST(X."&amp;F373&amp;" AS STRING)),1,0)) AS NUM_REG_DIF,'"&amp;MAX('ID1&amp;5'!K:K)+1&amp;"' AS ID_EXEC, CURRENT_TIMESTAMP() AS TIME_EXEC FROM "&amp;I373,
IF(C373="Missings",+"SELECT '"&amp;UPPER(B373)&amp;"' AS TABELA, '"&amp;UPPER(C373)&amp;"' AS TIPOLOGIA_TESTE,'"&amp;D373&amp;"' AS TABELA_LT,'N/A' AS TABELA_SIMUL,'"&amp;F373&amp;"' AS CAMPO, "&amp;"'${ref_date}' AS REF_DATE, COUNT(*) AS NUM_REG, SUM(IF(TRIM(CAST(X."&amp;F373&amp;" AS STRING)) IN ('0000-00-00','0001-01-01','9999-12-31','MISS','00000','99999999999','99999999999.00','99999999999.000000'),1,0)) AS NUM_REG_DIF,'"&amp;MAX('ID1&amp;5'!K:K)+1&amp;"' AS ID_EXEC, CURRENT_TIMESTAMP() AS TIME_EXEC FROM "&amp;I373,
IF(C373="Not applicable",+"SELECT '"&amp;UPPER(B373)&amp;"' AS TABELA, '"&amp;UPPER(C373)&amp;"' AS TIPOLOGIA_TESTE,'"&amp;D373&amp;"' AS TABELA_LT,'N/A' AS TABELA_SIMUL,'"&amp;F373&amp;"' AS CAMPO, "&amp;"'${ref_date}' AS REF_DATE, COUNT(*) AS NUM_REG, SUM(IF(TRIM(CAST(X."&amp;F373&amp;" AS STRING)) IN ('N/A','11111111111','11111111111.00','11111111111.000000','1111-11-11'),1,0)) AS NUM_REG_DIF,'"&amp;MAX('ID1&amp;5'!K:K)+1&amp;"' AS ID_EXEC, CURRENT_TIMESTAMP() AS TIME_EXEC FROM "&amp;I373,
IF(C373="Valores extremos",+"SELECT '"&amp;UPPER(B373)&amp;"' AS TABELA, '"&amp;UPPER(C373)&amp;"' AS TIPOLOGIA_TESTE,'"&amp;D373&amp;"' AS TABELA_LT,'N/A' AS TABELA_SIMUL,'"&amp;F373&amp;"' AS CAMPO, "&amp;"'${ref_date}' AS REF_DATE, CAST(MIN("&amp;F373&amp;") AS STRING) AS VALOR_MIN, CAST(MAX("&amp;F373&amp;") AS STRING) AS VALOR_MAX,'"&amp;MAX('ID1&amp;5'!K:K)+1&amp;"' AS ID_EXEC, CURRENT_TIMESTAMP() AS TIME_EXEC FROM "&amp;MID(I373,1,LEN(I373)-2)&amp;" AND CAST("&amp;F373&amp;"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TABELA_SIMUL,'typ_own_fnds_indvdl_lvl' AS CAMPO, '${ref_date}' AS REF_DATE, COUNT(*) AS NUM_REG, SUM(IF(COALESCE(CAST(X.typ_own_fnds_indvdl_lvl AS STRING),'')&lt;&gt;COALESCE(CAST(Y.typ_own_fnds_indvdl_lvl_SIMUL AS STRING),'') OR (X.typ_own_fnds_indvdl_lvl IS NULL AND Y.typ_own_fnds_indvdl_lvl_SIMUL IS NOT NULL ) OR (X.typ_own_fnds_indvdl_lvl IS NOT NULL AND Y.typ_own_fnds_indvdl_lvl_SIMUL IS NULL),1,0)) AS NUM_REG_DIF,'1' AS ID_EXEC, CURRENT_TIMESTAMP() AS TIME_EXEC FROM (SELECT instrmnt_id, typ_own_fnds_indvdl_lvl FROM BU_LOANTAPE_WORK.LT002_INSTRUMENT WHERE ref_date='${ref_date}' AND nome_perimetro='Individual Local' AND segmento='ESTR' AND ambito='SRB_MBDT' AND entidade='00100')X INNER JOIN (SELECT instrmnt_id AS instrmnt_id_SIMUL, typ_own_fnds_indvdl_lvl AS typ_own_fnds_indvdl_lvl_SIMUL FROM BU_LOANTAPE_WORK.SIMUL_LT002_INSTRUMENT WHERE ref_date='${ref_date}' AND nome_perimetro='Individual Local' AND segmento='ESTR' AND ambito='PILAR3' AND entidade='00100')Y ON X.INSTRMNT_ID=Y.INSTRMNT_ID_SIMUL</v>
      </c>
      <c r="M373" s="36" t="str">
        <f t="shared" si="8"/>
        <v>UNION ALL SELECT 'INSTRUMENT' AS TABELA, 'COERÊNCIA' AS TIPOLOGIA_TESTE,'BU_LOANTAPE_WORK.LT002_INSTRUMENT' AS TABELA_LT,'BU_LOANTAPE_WORK.SIMUL_LT002_INSTRUMENT' AS TABELA_SIMUL,'typ_own_fnds_indvdl_lvl' AS CAMPO, '${ref_date}' AS REF_DATE, COUNT(*) AS NUM_REG, SUM(IF(COALESCE(CAST(X.typ_own_fnds_indvdl_lvl AS STRING),'')&lt;&gt;COALESCE(CAST(Y.typ_own_fnds_indvdl_lvl_SIMUL AS STRING),'') OR (X.typ_own_fnds_indvdl_lvl IS NULL AND Y.typ_own_fnds_indvdl_lvl_SIMUL IS NOT NULL ) OR (X.typ_own_fnds_indvdl_lvl IS NOT NULL AND Y.typ_own_fnds_indvdl_lvl_SIMUL IS NULL),1,0)) AS NUM_REG_DIF,'1' AS ID_EXEC, CURRENT_TIMESTAMP() AS TIME_EXEC FROM (SELECT instrmnt_id, typ_own_fnds_indvdl_lvl FROM BU_LOANTAPE_WORK.LT002_INSTRUMENT WHERE ref_date='${ref_date}' AND nome_perimetro='Individual Local' AND segmento='ESTR' AND ambito='SRB_MBDT' AND entidade='00100')X INNER JOIN (SELECT instrmnt_id AS instrmnt_id_SIMUL, typ_own_fnds_indvdl_lvl AS typ_own_fnds_indvdl_lvl_SIMUL FROM BU_LOANTAPE_WORK.SIMUL_LT002_INSTRUMENT WHERE ref_date='${ref_date}' AND nome_perimetro='Individual Local' AND segmento='ESTR' AND ambito='PILAR3' AND entidade='00100')Y ON X.INSTRMNT_ID=Y.INSTRMNT_ID_SIMUL</v>
      </c>
      <c r="N373" s="38"/>
    </row>
    <row r="374" spans="2:14">
      <c r="B374" s="34" t="s">
        <v>117</v>
      </c>
      <c r="C374" s="34" t="s">
        <v>5</v>
      </c>
      <c r="D374" s="34" t="str">
        <f>+UPPER('0. Instruções'!$D$35&amp;"."&amp;VLOOKUP(B374,'0. Instruções'!$C$27:$D$32,2,FALSE))</f>
        <v>BU_LOANTAPE_WORK.LT002_INSTRUMENT</v>
      </c>
      <c r="E374" s="34" t="str">
        <f>+UPPER('0. Instruções'!$D$36&amp;"."&amp;VLOOKUP(B374,'0. Instruções'!$C$27:$E$32,3,FALSE))</f>
        <v>BU_LOANTAPE_WORK.SIMUL_LT002_INSTRUMENT</v>
      </c>
      <c r="F374" s="34" t="s">
        <v>1413</v>
      </c>
      <c r="G374" s="34"/>
      <c r="H374" s="34"/>
      <c r="I374" s="34" t="str">
        <f>"(SELECT "&amp;VLOOKUP(B374,'0. Instruções'!$C$27:$G$32,4,FALSE)&amp;", "&amp;F374&amp;" FROM "&amp;D374&amp;" WHERE "&amp;'0. Instruções'!$D$42&amp;")X"</f>
        <v>(SELECT instrmnt_id, elgbl_amnt_own_fnds_indvdl_lvl FROM BU_LOANTAPE_WORK.LT002_INSTRUMENT WHERE ref_date='${ref_date}' AND nome_perimetro='Individual Local' AND segmento='ESTR' AND ambito='SRB_MBDT' AND entidade='00100')X</v>
      </c>
      <c r="J374" s="34" t="str">
        <f>"(SELECT "&amp;VLOOKUP(B374,'0. Instruções'!$C$27:$G$32,4,FALSE)&amp;" AS "&amp;VLOOKUP(B374,'0. Instruções'!$C$27:$G$32,4,FALSE)&amp;"_SIMUL, "&amp;F374&amp;" AS "&amp;F374&amp;"_SIMUL FROM "&amp;E374&amp;" WHERE "&amp;'0. Instruções'!$D$43&amp;")Y"</f>
        <v>(SELECT instrmnt_id AS instrmnt_id_SIMUL, elgbl_amnt_own_fnds_indvdl_lvl AS elgbl_amnt_own_fnds_indvdl_lvl_SIMUL FROM BU_LOANTAPE_WORK.SIMUL_LT002_INSTRUMENT WHERE ref_date='${ref_date}' AND nome_perimetro='Individual Local' AND segmento='ESTR' AND ambito='PILAR3' AND entidade='00100')Y</v>
      </c>
      <c r="K374" s="35" t="str">
        <f>+UPPER("ON X."&amp;VLOOKUP(B374,'0. Instruções'!$C$27:$G$32,4,FALSE)&amp;"=Y."&amp;VLOOKUP(B374,'0. Instruções'!$C$27:$G$32,4,FALSE)&amp;"_SIMUL")</f>
        <v>ON X.INSTRMNT_ID=Y.INSTRMNT_ID_SIMUL</v>
      </c>
      <c r="L374" s="35" t="str">
        <f>+IF(C374="Coerência", +IF(LEFT(G374,5)="FLOAT","SELECT '"&amp;UPPER(B374)&amp;"' AS TABELA, '"&amp;UPPER(C374)&amp;"' AS TIPOLOGIA_TESTE,'"&amp;D374&amp;"' AS TABELA_LT,'"&amp;E374&amp;"' AS TABELA_SIMUL,'"&amp;F374&amp;"' AS CAMPO, "&amp;"'${ref_date}' AS REF_DATE, COUNT(*) AS NUM_REG, SUM(IF((ABS(COALESCE(CAST(X."&amp;F374&amp;" AS DECIMAL(18,6)),0)-COALESCE(CAST(Y."&amp;F374&amp;"_SIMUL AS DECIMAL(18,6)),0))&gt;0.000001) OR (X."&amp;F374&amp;" IS NULL AND Y."&amp;F374&amp;"_SIMUL IS NOT NULL ) OR (X."&amp;F374&amp;" IS NOT NULL AND Y."&amp;F374&amp;"_SIMUL IS NULL),1,0)) AS NUM_REG_DIF,'"&amp;MAX('ID1&amp;5'!K:K)+1&amp;"' AS ID_EXEC, CURRENT_TIMESTAMP() AS TIME_EXEC FROM "&amp;I374&amp;" INNER JOIN "&amp;J374&amp;" "&amp;K374,"SELECT '"&amp;UPPER(B374)&amp;"' AS TABELA, '"&amp;UPPER(C374)&amp;"' AS TIPOLOGIA_TESTE,'"&amp;D374&amp;"' AS TABELA_LT,'"&amp;E374&amp;"' AS TABELA_SIMUL,'"&amp;F374&amp;"' AS CAMPO, "&amp;"'${ref_date}' AS REF_DATE, COUNT(*) AS NUM_REG, SUM(IF(COALESCE(CAST(X."&amp;F374&amp;" AS STRING),'')&lt;&gt;COALESCE(CAST(Y."&amp;F374&amp;"_SIMUL AS STRING),'') OR (X."&amp;F374&amp;" IS NULL AND Y."&amp;F374&amp;"_SIMUL IS NOT NULL ) OR (X."&amp;F374&amp;" IS NOT NULL AND Y."&amp;F374&amp;"_SIMUL IS NULL),1,0)) AS NUM_REG_DIF,'"&amp;MAX('ID1&amp;5'!L:L)+1&amp;"' AS ID_EXEC, CURRENT_TIMESTAMP() AS TIME_EXEC FROM "&amp;I374&amp;" INNER JOIN "&amp;J374&amp;" "&amp;K374),
IF(C374="Validade",+IF(G374="Code List","SELECT '"&amp;UPPER(B374)&amp;"' AS TABELA, '"&amp;UPPER(C374)&amp;"' AS TIPOLOGIA_TESTE,'"&amp;D374&amp;"' AS TABELA_LT,'N/A' AS TABELA_SIMUL,'"&amp;F374&amp;"' AS CAMPO, "&amp;"'${ref_date}' AS REF_DATE, COUNT(*) AS NUM_REG, SUM(IF(TRIM(CAST(X."&amp;F374&amp;" AS STRING))='' OR TRIM(CAST(X."&amp;F374&amp;" AS STRING)) IS NULL OR CAST(X."&amp;F374&amp;" AS STRING) NOT "&amp;H374&amp;",1,0)) AS NUM_REG_DIF,'"&amp;MAX('ID1&amp;5'!K:K)+1&amp;"' AS ID_EXEC, CURRENT_TIMESTAMP() AS TIME_EXEC FROM "&amp;I374,"SELECT '"&amp;UPPER(B374)&amp;"' AS TABELA, '"&amp;UPPER(C374)&amp;"' AS TIPOLOGIA_TESTE,'"&amp;D374&amp;"' AS TABELA_LT,'N/A' AS TABELA_SIMUL,'"&amp;F374&amp;"' AS CAMPO, "&amp;"'${ref_date}' AS REF_DATE, COUNT(*) AS NUM_REG, SUM(IF(TRIM(CAST(X."&amp;F374&amp;" AS STRING))='' OR TRIM(CAST(X."&amp;F374&amp;" AS STRING)) IS NULL,1,0)) AS NUM_REG_DIF,'"&amp;MAX('ID1&amp;5'!K:K)+1&amp;"' AS ID_EXEC, CURRENT_TIMESTAMP() AS TIME_EXEC FROM "&amp;I374),
IF(C374="Caracteres Especiais",+"SELECT '"&amp;UPPER(B374)&amp;"' AS TABELA, '"&amp;UPPER(C374)&amp;"' AS TIPOLOGIA_TESTE,'"&amp;D374&amp;"' AS TABELA_LT,'N/A' AS TABELA_SIMUL,'"&amp;F374&amp;"' AS CAMPO, "&amp;"'${ref_date}' AS REF_DATE, COUNT(*) AS NUM_REG, SUM(IF(REGEXP_REPLACE(TRIM(CAST(X."&amp;F374&amp;" AS STRING)),'[^a-zA-Z0-9_\\s]','') &lt;&gt;TRIM(CAST(X."&amp;F374&amp;" AS STRING)),1,0)) AS NUM_REG_DIF,'"&amp;MAX('ID1&amp;5'!K:K)+1&amp;"' AS ID_EXEC, CURRENT_TIMESTAMP() AS TIME_EXEC FROM "&amp;I374,
IF(C374="Missings",+"SELECT '"&amp;UPPER(B374)&amp;"' AS TABELA, '"&amp;UPPER(C374)&amp;"' AS TIPOLOGIA_TESTE,'"&amp;D374&amp;"' AS TABELA_LT,'N/A' AS TABELA_SIMUL,'"&amp;F374&amp;"' AS CAMPO, "&amp;"'${ref_date}' AS REF_DATE, COUNT(*) AS NUM_REG, SUM(IF(TRIM(CAST(X."&amp;F374&amp;" AS STRING)) IN ('0000-00-00','0001-01-01','9999-12-31','MISS','00000','99999999999','99999999999.00','99999999999.000000'),1,0)) AS NUM_REG_DIF,'"&amp;MAX('ID1&amp;5'!K:K)+1&amp;"' AS ID_EXEC, CURRENT_TIMESTAMP() AS TIME_EXEC FROM "&amp;I374,
IF(C374="Not applicable",+"SELECT '"&amp;UPPER(B374)&amp;"' AS TABELA, '"&amp;UPPER(C374)&amp;"' AS TIPOLOGIA_TESTE,'"&amp;D374&amp;"' AS TABELA_LT,'N/A' AS TABELA_SIMUL,'"&amp;F374&amp;"' AS CAMPO, "&amp;"'${ref_date}' AS REF_DATE, COUNT(*) AS NUM_REG, SUM(IF(TRIM(CAST(X."&amp;F374&amp;" AS STRING)) IN ('N/A','11111111111','11111111111.00','11111111111.000000','1111-11-11'),1,0)) AS NUM_REG_DIF,'"&amp;MAX('ID1&amp;5'!K:K)+1&amp;"' AS ID_EXEC, CURRENT_TIMESTAMP() AS TIME_EXEC FROM "&amp;I374,
IF(C374="Valores extremos",+"SELECT '"&amp;UPPER(B374)&amp;"' AS TABELA, '"&amp;UPPER(C374)&amp;"' AS TIPOLOGIA_TESTE,'"&amp;D374&amp;"' AS TABELA_LT,'N/A' AS TABELA_SIMUL,'"&amp;F374&amp;"' AS CAMPO, "&amp;"'${ref_date}' AS REF_DATE, CAST(MIN("&amp;F374&amp;") AS STRING) AS VALOR_MIN, CAST(MAX("&amp;F374&amp;") AS STRING) AS VALOR_MAX,'"&amp;MAX('ID1&amp;5'!K:K)+1&amp;"' AS ID_EXEC, CURRENT_TIMESTAMP() AS TIME_EXEC FROM "&amp;MID(I374,1,LEN(I374)-2)&amp;" AND CAST("&amp;F374&amp;"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TABELA_SIMUL,'elgbl_amnt_own_fnds_indvdl_lvl' AS CAMPO, '${ref_date}' AS REF_DATE, COUNT(*) AS NUM_REG, SUM(IF(COALESCE(CAST(X.elgbl_amnt_own_fnds_indvdl_lvl AS STRING),'')&lt;&gt;COALESCE(CAST(Y.elgbl_amnt_own_fnds_indvdl_lvl_SIMUL AS STRING),'') OR (X.elgbl_amnt_own_fnds_indvdl_lvl IS NULL AND Y.elgbl_amnt_own_fnds_indvdl_lvl_SIMUL IS NOT NULL ) OR (X.elgbl_amnt_own_fnds_indvdl_lvl IS NOT NULL AND Y.elgbl_amnt_own_fnds_indvdl_lvl_SIMUL IS NULL),1,0)) AS NUM_REG_DIF,'1' AS ID_EXEC, CURRENT_TIMESTAMP() AS TIME_EXEC FROM (SELECT instrmnt_id, elgbl_amnt_own_fnds_indvdl_lvl FROM BU_LOANTAPE_WORK.LT002_INSTRUMENT WHERE ref_date='${ref_date}' AND nome_perimetro='Individual Local' AND segmento='ESTR' AND ambito='SRB_MBDT' AND entidade='00100')X INNER JOIN (SELECT instrmnt_id AS instrmnt_id_SIMUL, elgbl_amnt_own_fnds_indvdl_lvl AS elgbl_amnt_own_fnds_indvdl_lvl_SIMUL FROM BU_LOANTAPE_WORK.SIMUL_LT002_INSTRUMENT WHERE ref_date='${ref_date}' AND nome_perimetro='Individual Local' AND segmento='ESTR' AND ambito='PILAR3' AND entidade='00100')Y ON X.INSTRMNT_ID=Y.INSTRMNT_ID_SIMUL</v>
      </c>
      <c r="M374" s="36" t="str">
        <f t="shared" si="8"/>
        <v>UNION ALL SELECT 'INSTRUMENT' AS TABELA, 'COERÊNCIA' AS TIPOLOGIA_TESTE,'BU_LOANTAPE_WORK.LT002_INSTRUMENT' AS TABELA_LT,'BU_LOANTAPE_WORK.SIMUL_LT002_INSTRUMENT' AS TABELA_SIMUL,'elgbl_amnt_own_fnds_indvdl_lvl' AS CAMPO, '${ref_date}' AS REF_DATE, COUNT(*) AS NUM_REG, SUM(IF(COALESCE(CAST(X.elgbl_amnt_own_fnds_indvdl_lvl AS STRING),'')&lt;&gt;COALESCE(CAST(Y.elgbl_amnt_own_fnds_indvdl_lvl_SIMUL AS STRING),'') OR (X.elgbl_amnt_own_fnds_indvdl_lvl IS NULL AND Y.elgbl_amnt_own_fnds_indvdl_lvl_SIMUL IS NOT NULL ) OR (X.elgbl_amnt_own_fnds_indvdl_lvl IS NOT NULL AND Y.elgbl_amnt_own_fnds_indvdl_lvl_SIMUL IS NULL),1,0)) AS NUM_REG_DIF,'1' AS ID_EXEC, CURRENT_TIMESTAMP() AS TIME_EXEC FROM (SELECT instrmnt_id, elgbl_amnt_own_fnds_indvdl_lvl FROM BU_LOANTAPE_WORK.LT002_INSTRUMENT WHERE ref_date='${ref_date}' AND nome_perimetro='Individual Local' AND segmento='ESTR' AND ambito='SRB_MBDT' AND entidade='00100')X INNER JOIN (SELECT instrmnt_id AS instrmnt_id_SIMUL, elgbl_amnt_own_fnds_indvdl_lvl AS elgbl_amnt_own_fnds_indvdl_lvl_SIMUL FROM BU_LOANTAPE_WORK.SIMUL_LT002_INSTRUMENT WHERE ref_date='${ref_date}' AND nome_perimetro='Individual Local' AND segmento='ESTR' AND ambito='PILAR3' AND entidade='00100')Y ON X.INSTRMNT_ID=Y.INSTRMNT_ID_SIMUL</v>
      </c>
      <c r="N374" s="38"/>
    </row>
    <row r="375" spans="2:14">
      <c r="B375" s="34" t="s">
        <v>117</v>
      </c>
      <c r="C375" s="34" t="s">
        <v>5</v>
      </c>
      <c r="D375" s="34" t="str">
        <f>+UPPER('0. Instruções'!$D$35&amp;"."&amp;VLOOKUP(B375,'0. Instruções'!$C$27:$D$32,2,FALSE))</f>
        <v>BU_LOANTAPE_WORK.LT002_INSTRUMENT</v>
      </c>
      <c r="E375" s="34" t="str">
        <f>+UPPER('0. Instruções'!$D$36&amp;"."&amp;VLOOKUP(B375,'0. Instruções'!$C$27:$E$32,3,FALSE))</f>
        <v>BU_LOANTAPE_WORK.SIMUL_LT002_INSTRUMENT</v>
      </c>
      <c r="F375" s="34" t="s">
        <v>1414</v>
      </c>
      <c r="G375" s="34"/>
      <c r="H375" s="34"/>
      <c r="I375" s="34" t="str">
        <f>"(SELECT "&amp;VLOOKUP(B375,'0. Instruções'!$C$27:$G$32,4,FALSE)&amp;", "&amp;F375&amp;" FROM "&amp;D375&amp;" WHERE "&amp;'0. Instruções'!$D$42&amp;")X"</f>
        <v>(SELECT instrmnt_id, trdng_mthd FROM BU_LOANTAPE_WORK.LT002_INSTRUMENT WHERE ref_date='${ref_date}' AND nome_perimetro='Individual Local' AND segmento='ESTR' AND ambito='SRB_MBDT' AND entidade='00100')X</v>
      </c>
      <c r="J375" s="34" t="str">
        <f>"(SELECT "&amp;VLOOKUP(B375,'0. Instruções'!$C$27:$G$32,4,FALSE)&amp;" AS "&amp;VLOOKUP(B375,'0. Instruções'!$C$27:$G$32,4,FALSE)&amp;"_SIMUL, "&amp;F375&amp;" AS "&amp;F375&amp;"_SIMUL FROM "&amp;E375&amp;" WHERE "&amp;'0. Instruções'!$D$43&amp;")Y"</f>
        <v>(SELECT instrmnt_id AS instrmnt_id_SIMUL, trdng_mthd AS trdng_mthd_SIMUL FROM BU_LOANTAPE_WORK.SIMUL_LT002_INSTRUMENT WHERE ref_date='${ref_date}' AND nome_perimetro='Individual Local' AND segmento='ESTR' AND ambito='PILAR3' AND entidade='00100')Y</v>
      </c>
      <c r="K375" s="35" t="str">
        <f>+UPPER("ON X."&amp;VLOOKUP(B375,'0. Instruções'!$C$27:$G$32,4,FALSE)&amp;"=Y."&amp;VLOOKUP(B375,'0. Instruções'!$C$27:$G$32,4,FALSE)&amp;"_SIMUL")</f>
        <v>ON X.INSTRMNT_ID=Y.INSTRMNT_ID_SIMUL</v>
      </c>
      <c r="L375" s="35" t="str">
        <f>+IF(C375="Coerência", +IF(LEFT(G375,5)="FLOAT","SELECT '"&amp;UPPER(B375)&amp;"' AS TABELA, '"&amp;UPPER(C375)&amp;"' AS TIPOLOGIA_TESTE,'"&amp;D375&amp;"' AS TABELA_LT,'"&amp;E375&amp;"' AS TABELA_SIMUL,'"&amp;F375&amp;"' AS CAMPO, "&amp;"'${ref_date}' AS REF_DATE, COUNT(*) AS NUM_REG, SUM(IF((ABS(COALESCE(CAST(X."&amp;F375&amp;" AS DECIMAL(18,6)),0)-COALESCE(CAST(Y."&amp;F375&amp;"_SIMUL AS DECIMAL(18,6)),0))&gt;0.000001) OR (X."&amp;F375&amp;" IS NULL AND Y."&amp;F375&amp;"_SIMUL IS NOT NULL ) OR (X."&amp;F375&amp;" IS NOT NULL AND Y."&amp;F375&amp;"_SIMUL IS NULL),1,0)) AS NUM_REG_DIF,'"&amp;MAX('ID1&amp;5'!K:K)+1&amp;"' AS ID_EXEC, CURRENT_TIMESTAMP() AS TIME_EXEC FROM "&amp;I375&amp;" INNER JOIN "&amp;J375&amp;" "&amp;K375,"SELECT '"&amp;UPPER(B375)&amp;"' AS TABELA, '"&amp;UPPER(C375)&amp;"' AS TIPOLOGIA_TESTE,'"&amp;D375&amp;"' AS TABELA_LT,'"&amp;E375&amp;"' AS TABELA_SIMUL,'"&amp;F375&amp;"' AS CAMPO, "&amp;"'${ref_date}' AS REF_DATE, COUNT(*) AS NUM_REG, SUM(IF(COALESCE(CAST(X."&amp;F375&amp;" AS STRING),'')&lt;&gt;COALESCE(CAST(Y."&amp;F375&amp;"_SIMUL AS STRING),'') OR (X."&amp;F375&amp;" IS NULL AND Y."&amp;F375&amp;"_SIMUL IS NOT NULL ) OR (X."&amp;F375&amp;" IS NOT NULL AND Y."&amp;F375&amp;"_SIMUL IS NULL),1,0)) AS NUM_REG_DIF,'"&amp;MAX('ID1&amp;5'!L:L)+1&amp;"' AS ID_EXEC, CURRENT_TIMESTAMP() AS TIME_EXEC FROM "&amp;I375&amp;" INNER JOIN "&amp;J375&amp;" "&amp;K375),
IF(C375="Validade",+IF(G375="Code List","SELECT '"&amp;UPPER(B375)&amp;"' AS TABELA, '"&amp;UPPER(C375)&amp;"' AS TIPOLOGIA_TESTE,'"&amp;D375&amp;"' AS TABELA_LT,'N/A' AS TABELA_SIMUL,'"&amp;F375&amp;"' AS CAMPO, "&amp;"'${ref_date}' AS REF_DATE, COUNT(*) AS NUM_REG, SUM(IF(TRIM(CAST(X."&amp;F375&amp;" AS STRING))='' OR TRIM(CAST(X."&amp;F375&amp;" AS STRING)) IS NULL OR CAST(X."&amp;F375&amp;" AS STRING) NOT "&amp;H375&amp;",1,0)) AS NUM_REG_DIF,'"&amp;MAX('ID1&amp;5'!K:K)+1&amp;"' AS ID_EXEC, CURRENT_TIMESTAMP() AS TIME_EXEC FROM "&amp;I375,"SELECT '"&amp;UPPER(B375)&amp;"' AS TABELA, '"&amp;UPPER(C375)&amp;"' AS TIPOLOGIA_TESTE,'"&amp;D375&amp;"' AS TABELA_LT,'N/A' AS TABELA_SIMUL,'"&amp;F375&amp;"' AS CAMPO, "&amp;"'${ref_date}' AS REF_DATE, COUNT(*) AS NUM_REG, SUM(IF(TRIM(CAST(X."&amp;F375&amp;" AS STRING))='' OR TRIM(CAST(X."&amp;F375&amp;" AS STRING)) IS NULL,1,0)) AS NUM_REG_DIF,'"&amp;MAX('ID1&amp;5'!K:K)+1&amp;"' AS ID_EXEC, CURRENT_TIMESTAMP() AS TIME_EXEC FROM "&amp;I375),
IF(C375="Caracteres Especiais",+"SELECT '"&amp;UPPER(B375)&amp;"' AS TABELA, '"&amp;UPPER(C375)&amp;"' AS TIPOLOGIA_TESTE,'"&amp;D375&amp;"' AS TABELA_LT,'N/A' AS TABELA_SIMUL,'"&amp;F375&amp;"' AS CAMPO, "&amp;"'${ref_date}' AS REF_DATE, COUNT(*) AS NUM_REG, SUM(IF(REGEXP_REPLACE(TRIM(CAST(X."&amp;F375&amp;" AS STRING)),'[^a-zA-Z0-9_\\s]','') &lt;&gt;TRIM(CAST(X."&amp;F375&amp;" AS STRING)),1,0)) AS NUM_REG_DIF,'"&amp;MAX('ID1&amp;5'!K:K)+1&amp;"' AS ID_EXEC, CURRENT_TIMESTAMP() AS TIME_EXEC FROM "&amp;I375,
IF(C375="Missings",+"SELECT '"&amp;UPPER(B375)&amp;"' AS TABELA, '"&amp;UPPER(C375)&amp;"' AS TIPOLOGIA_TESTE,'"&amp;D375&amp;"' AS TABELA_LT,'N/A' AS TABELA_SIMUL,'"&amp;F375&amp;"' AS CAMPO, "&amp;"'${ref_date}' AS REF_DATE, COUNT(*) AS NUM_REG, SUM(IF(TRIM(CAST(X."&amp;F375&amp;" AS STRING)) IN ('0000-00-00','0001-01-01','9999-12-31','MISS','00000','99999999999','99999999999.00','99999999999.000000'),1,0)) AS NUM_REG_DIF,'"&amp;MAX('ID1&amp;5'!K:K)+1&amp;"' AS ID_EXEC, CURRENT_TIMESTAMP() AS TIME_EXEC FROM "&amp;I375,
IF(C375="Not applicable",+"SELECT '"&amp;UPPER(B375)&amp;"' AS TABELA, '"&amp;UPPER(C375)&amp;"' AS TIPOLOGIA_TESTE,'"&amp;D375&amp;"' AS TABELA_LT,'N/A' AS TABELA_SIMUL,'"&amp;F375&amp;"' AS CAMPO, "&amp;"'${ref_date}' AS REF_DATE, COUNT(*) AS NUM_REG, SUM(IF(TRIM(CAST(X."&amp;F375&amp;" AS STRING)) IN ('N/A','11111111111','11111111111.00','11111111111.000000','1111-11-11'),1,0)) AS NUM_REG_DIF,'"&amp;MAX('ID1&amp;5'!K:K)+1&amp;"' AS ID_EXEC, CURRENT_TIMESTAMP() AS TIME_EXEC FROM "&amp;I375,
IF(C375="Valores extremos",+"SELECT '"&amp;UPPER(B375)&amp;"' AS TABELA, '"&amp;UPPER(C375)&amp;"' AS TIPOLOGIA_TESTE,'"&amp;D375&amp;"' AS TABELA_LT,'N/A' AS TABELA_SIMUL,'"&amp;F375&amp;"' AS CAMPO, "&amp;"'${ref_date}' AS REF_DATE, CAST(MIN("&amp;F375&amp;") AS STRING) AS VALOR_MIN, CAST(MAX("&amp;F375&amp;") AS STRING) AS VALOR_MAX,'"&amp;MAX('ID1&amp;5'!K:K)+1&amp;"' AS ID_EXEC, CURRENT_TIMESTAMP() AS TIME_EXEC FROM "&amp;MID(I375,1,LEN(I375)-2)&amp;" AND CAST("&amp;F375&amp;"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TABELA_LT,'BU_LOANTAPE_WORK.SIMUL_LT002_INSTRUMENT' AS TABELA_SIMUL,'trdng_mthd' AS CAMPO, '${ref_date}' AS REF_DATE, COUNT(*) AS NUM_REG, SUM(IF(COALESCE(CAST(X.trdng_mthd AS STRING),'')&lt;&gt;COALESCE(CAST(Y.trdng_mthd_SIMUL AS STRING),'') OR (X.trdng_mthd IS NULL AND Y.trdng_mthd_SIMUL IS NOT NULL ) OR (X.trdng_mthd IS NOT NULL AND Y.trdng_mthd_SIMUL IS NULL),1,0)) AS NUM_REG_DIF,'1' AS ID_EXEC, CURRENT_TIMESTAMP() AS TIME_EXEC FROM (SELECT instrmnt_id, trdng_mthd FROM BU_LOANTAPE_WORK.LT002_INSTRUMENT WHERE ref_date='${ref_date}' AND nome_perimetro='Individual Local' AND segmento='ESTR' AND ambito='SRB_MBDT' AND entidade='00100')X INNER JOIN (SELECT instrmnt_id AS instrmnt_id_SIMUL, trdng_mthd AS trdng_mthd_SIMUL FROM BU_LOANTAPE_WORK.SIMUL_LT002_INSTRUMENT WHERE ref_date='${ref_date}' AND nome_perimetro='Individual Local' AND segmento='ESTR' AND ambito='PILAR3' AND entidade='00100')Y ON X.INSTRMNT_ID=Y.INSTRMNT_ID_SIMUL</v>
      </c>
      <c r="M375" s="36" t="str">
        <f t="shared" si="8"/>
        <v>UNION ALL SELECT 'INSTRUMENT' AS TABELA, 'COERÊNCIA' AS TIPOLOGIA_TESTE,'BU_LOANTAPE_WORK.LT002_INSTRUMENT' AS TABELA_LT,'BU_LOANTAPE_WORK.SIMUL_LT002_INSTRUMENT' AS TABELA_SIMUL,'trdng_mthd' AS CAMPO, '${ref_date}' AS REF_DATE, COUNT(*) AS NUM_REG, SUM(IF(COALESCE(CAST(X.trdng_mthd AS STRING),'')&lt;&gt;COALESCE(CAST(Y.trdng_mthd_SIMUL AS STRING),'') OR (X.trdng_mthd IS NULL AND Y.trdng_mthd_SIMUL IS NOT NULL ) OR (X.trdng_mthd IS NOT NULL AND Y.trdng_mthd_SIMUL IS NULL),1,0)) AS NUM_REG_DIF,'1' AS ID_EXEC, CURRENT_TIMESTAMP() AS TIME_EXEC FROM (SELECT instrmnt_id, trdng_mthd FROM BU_LOANTAPE_WORK.LT002_INSTRUMENT WHERE ref_date='${ref_date}' AND nome_perimetro='Individual Local' AND segmento='ESTR' AND ambito='SRB_MBDT' AND entidade='00100')X INNER JOIN (SELECT instrmnt_id AS instrmnt_id_SIMUL, trdng_mthd AS trdng_mthd_SIMUL FROM BU_LOANTAPE_WORK.SIMUL_LT002_INSTRUMENT WHERE ref_date='${ref_date}' AND nome_perimetro='Individual Local' AND segmento='ESTR' AND ambito='PILAR3' AND entidade='00100')Y ON X.INSTRMNT_ID=Y.INSTRMNT_ID_SIMUL</v>
      </c>
      <c r="N375" s="38"/>
    </row>
    <row r="376" spans="2:14">
      <c r="B376" s="34" t="s">
        <v>118</v>
      </c>
      <c r="C376" s="34" t="s">
        <v>5</v>
      </c>
      <c r="D376" s="34" t="str">
        <f>+UPPER('0. Instruções'!$D$35&amp;"."&amp;VLOOKUP(B376,'0. Instruções'!$C$27:$D$32,2,FALSE))</f>
        <v>BU_LOANTAPE_WORK.LT003_ENTITY</v>
      </c>
      <c r="E376" s="34" t="str">
        <f>+UPPER('0. Instruções'!$D$36&amp;"."&amp;VLOOKUP(B376,'0. Instruções'!$C$27:$E$32,3,FALSE))</f>
        <v>BU_LOANTAPE_WORK.SIMUL_LT003_ENTITY</v>
      </c>
      <c r="F376" s="34" t="s">
        <v>662</v>
      </c>
      <c r="G376" s="34"/>
      <c r="H376" s="34"/>
      <c r="I376" s="34" t="str">
        <f>"(SELECT "&amp;VLOOKUP(B376,'0. Instruções'!$C$27:$G$32,4,FALSE)&amp;", "&amp;F376&amp;" FROM "&amp;D376&amp;" WHERE "&amp;'0. Instruções'!$D$42&amp;")X"</f>
        <v>(SELECT entty_id, cntry FROM BU_LOANTAPE_WORK.LT003_ENTITY WHERE ref_date='${ref_date}' AND nome_perimetro='Individual Local' AND segmento='ESTR' AND ambito='SRB_MBDT' AND entidade='00100')X</v>
      </c>
      <c r="J376" s="34" t="str">
        <f>"(SELECT "&amp;VLOOKUP(B376,'0. Instruções'!$C$27:$G$32,4,FALSE)&amp;" AS "&amp;VLOOKUP(B376,'0. Instruções'!$C$27:$G$32,4,FALSE)&amp;"_SIMUL, "&amp;F376&amp;" AS "&amp;F376&amp;"_SIMUL FROM "&amp;E376&amp;" WHERE "&amp;'0. Instruções'!$D$43&amp;")Y"</f>
        <v>(SELECT entty_id AS entty_id_SIMUL, cntry AS cntry_SIMUL FROM BU_LOANTAPE_WORK.SIMUL_LT003_ENTITY WHERE ref_date='${ref_date}' AND nome_perimetro='Individual Local' AND segmento='ESTR' AND ambito='PILAR3' AND entidade='00100')Y</v>
      </c>
      <c r="K376" s="35" t="str">
        <f>+UPPER("ON X."&amp;VLOOKUP(B376,'0. Instruções'!$C$27:$G$32,4,FALSE)&amp;"=Y."&amp;VLOOKUP(B376,'0. Instruções'!$C$27:$G$32,4,FALSE)&amp;"_SIMUL")</f>
        <v>ON X.ENTTY_ID=Y.ENTTY_ID_SIMUL</v>
      </c>
      <c r="L376" s="35" t="str">
        <f>+IF(C376="Coerência", +IF(LEFT(G376,5)="FLOAT","SELECT '"&amp;UPPER(B376)&amp;"' AS TABELA, '"&amp;UPPER(C376)&amp;"' AS TIPOLOGIA_TESTE,'"&amp;D376&amp;"' AS TABELA_LT,'"&amp;E376&amp;"' AS TABELA_SIMUL,'"&amp;F376&amp;"' AS CAMPO, "&amp;"'${ref_date}' AS REF_DATE, COUNT(*) AS NUM_REG, SUM(IF((ABS(COALESCE(CAST(X."&amp;F376&amp;" AS DECIMAL(18,6)),0)-COALESCE(CAST(Y."&amp;F376&amp;"_SIMUL AS DECIMAL(18,6)),0))&gt;0.000001) OR (X."&amp;F376&amp;" IS NULL AND Y."&amp;F376&amp;"_SIMUL IS NOT NULL ) OR (X."&amp;F376&amp;" IS NOT NULL AND Y."&amp;F376&amp;"_SIMUL IS NULL),1,0)) AS NUM_REG_DIF,'"&amp;MAX('ID1&amp;5'!K:K)+1&amp;"' AS ID_EXEC, CURRENT_TIMESTAMP() AS TIME_EXEC FROM "&amp;I376&amp;" INNER JOIN "&amp;J376&amp;" "&amp;K376,"SELECT '"&amp;UPPER(B376)&amp;"' AS TABELA, '"&amp;UPPER(C376)&amp;"' AS TIPOLOGIA_TESTE,'"&amp;D376&amp;"' AS TABELA_LT,'"&amp;E376&amp;"' AS TABELA_SIMUL,'"&amp;F376&amp;"' AS CAMPO, "&amp;"'${ref_date}' AS REF_DATE, COUNT(*) AS NUM_REG, SUM(IF(COALESCE(CAST(X."&amp;F376&amp;" AS STRING),'')&lt;&gt;COALESCE(CAST(Y."&amp;F376&amp;"_SIMUL AS STRING),'') OR (X."&amp;F376&amp;" IS NULL AND Y."&amp;F376&amp;"_SIMUL IS NOT NULL ) OR (X."&amp;F376&amp;" IS NOT NULL AND Y."&amp;F376&amp;"_SIMUL IS NULL),1,0)) AS NUM_REG_DIF,'"&amp;MAX('ID1&amp;5'!L:L)+1&amp;"' AS ID_EXEC, CURRENT_TIMESTAMP() AS TIME_EXEC FROM "&amp;I376&amp;" INNER JOIN "&amp;J376&amp;" "&amp;K376),
IF(C376="Validade",+IF(G376="Code List","SELECT '"&amp;UPPER(B376)&amp;"' AS TABELA, '"&amp;UPPER(C376)&amp;"' AS TIPOLOGIA_TESTE,'"&amp;D376&amp;"' AS TABELA_LT,'N/A' AS TABELA_SIMUL,'"&amp;F376&amp;"' AS CAMPO, "&amp;"'${ref_date}' AS REF_DATE, COUNT(*) AS NUM_REG, SUM(IF(TRIM(CAST(X."&amp;F376&amp;" AS STRING))='' OR TRIM(CAST(X."&amp;F376&amp;" AS STRING)) IS NULL OR CAST(X."&amp;F376&amp;" AS STRING) NOT "&amp;H376&amp;",1,0)) AS NUM_REG_DIF,'"&amp;MAX('ID1&amp;5'!K:K)+1&amp;"' AS ID_EXEC, CURRENT_TIMESTAMP() AS TIME_EXEC FROM "&amp;I376,"SELECT '"&amp;UPPER(B376)&amp;"' AS TABELA, '"&amp;UPPER(C376)&amp;"' AS TIPOLOGIA_TESTE,'"&amp;D376&amp;"' AS TABELA_LT,'N/A' AS TABELA_SIMUL,'"&amp;F376&amp;"' AS CAMPO, "&amp;"'${ref_date}' AS REF_DATE, COUNT(*) AS NUM_REG, SUM(IF(TRIM(CAST(X."&amp;F376&amp;" AS STRING))='' OR TRIM(CAST(X."&amp;F376&amp;" AS STRING)) IS NULL,1,0)) AS NUM_REG_DIF,'"&amp;MAX('ID1&amp;5'!K:K)+1&amp;"' AS ID_EXEC, CURRENT_TIMESTAMP() AS TIME_EXEC FROM "&amp;I376),
IF(C376="Caracteres Especiais",+"SELECT '"&amp;UPPER(B376)&amp;"' AS TABELA, '"&amp;UPPER(C376)&amp;"' AS TIPOLOGIA_TESTE,'"&amp;D376&amp;"' AS TABELA_LT,'N/A' AS TABELA_SIMUL,'"&amp;F376&amp;"' AS CAMPO, "&amp;"'${ref_date}' AS REF_DATE, COUNT(*) AS NUM_REG, SUM(IF(REGEXP_REPLACE(TRIM(CAST(X."&amp;F376&amp;" AS STRING)),'[^a-zA-Z0-9_\\s]','') &lt;&gt;TRIM(CAST(X."&amp;F376&amp;" AS STRING)),1,0)) AS NUM_REG_DIF,'"&amp;MAX('ID1&amp;5'!K:K)+1&amp;"' AS ID_EXEC, CURRENT_TIMESTAMP() AS TIME_EXEC FROM "&amp;I376,
IF(C376="Missings",+"SELECT '"&amp;UPPER(B376)&amp;"' AS TABELA, '"&amp;UPPER(C376)&amp;"' AS TIPOLOGIA_TESTE,'"&amp;D376&amp;"' AS TABELA_LT,'N/A' AS TABELA_SIMUL,'"&amp;F376&amp;"' AS CAMPO, "&amp;"'${ref_date}' AS REF_DATE, COUNT(*) AS NUM_REG, SUM(IF(TRIM(CAST(X."&amp;F376&amp;" AS STRING)) IN ('0000-00-00','0001-01-01','9999-12-31','MISS','00000','99999999999','99999999999.00','99999999999.000000'),1,0)) AS NUM_REG_DIF,'"&amp;MAX('ID1&amp;5'!K:K)+1&amp;"' AS ID_EXEC, CURRENT_TIMESTAMP() AS TIME_EXEC FROM "&amp;I376,
IF(C376="Not applicable",+"SELECT '"&amp;UPPER(B376)&amp;"' AS TABELA, '"&amp;UPPER(C376)&amp;"' AS TIPOLOGIA_TESTE,'"&amp;D376&amp;"' AS TABELA_LT,'N/A' AS TABELA_SIMUL,'"&amp;F376&amp;"' AS CAMPO, "&amp;"'${ref_date}' AS REF_DATE, COUNT(*) AS NUM_REG, SUM(IF(TRIM(CAST(X."&amp;F376&amp;" AS STRING)) IN ('N/A','11111111111','11111111111.00','11111111111.000000','1111-11-11'),1,0)) AS NUM_REG_DIF,'"&amp;MAX('ID1&amp;5'!K:K)+1&amp;"' AS ID_EXEC, CURRENT_TIMESTAMP() AS TIME_EXEC FROM "&amp;I376,
IF(C376="Valores extremos",+"SELECT '"&amp;UPPER(B376)&amp;"' AS TABELA, '"&amp;UPPER(C376)&amp;"' AS TIPOLOGIA_TESTE,'"&amp;D376&amp;"' AS TABELA_LT,'N/A' AS TABELA_SIMUL,'"&amp;F376&amp;"' AS CAMPO, "&amp;"'${ref_date}' AS REF_DATE, CAST(MIN("&amp;F376&amp;") AS STRING) AS VALOR_MIN, CAST(MAX("&amp;F376&amp;") AS STRING) AS VALOR_MAX,'"&amp;MAX('ID1&amp;5'!K:K)+1&amp;"' AS ID_EXEC, CURRENT_TIMESTAMP() AS TIME_EXEC FROM "&amp;MID(I376,1,LEN(I376)-2)&amp;" AND CAST("&amp;F376&amp;"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TABELA_SIMUL,'cntry' AS CAMPO, '${ref_date}' AS REF_DATE, COUNT(*) AS NUM_REG, SUM(IF(COALESCE(CAST(X.cntry AS STRING),'')&lt;&gt;COALESCE(CAST(Y.cntry_SIMUL AS STRING),'') OR (X.cntry IS NULL AND Y.cntry_SIMUL IS NOT NULL ) OR (X.cntry IS NOT NULL AND Y.cntry_SIMUL IS NULL),1,0)) AS NUM_REG_DIF,'1' AS ID_EXEC, CURRENT_TIMESTAMP() AS TIME_EXEC FROM (SELECT entty_id, cntry FROM BU_LOANTAPE_WORK.LT003_ENTITY WHERE ref_date='${ref_date}' AND nome_perimetro='Individual Local' AND segmento='ESTR' AND ambito='SRB_MBDT' AND entidade='00100')X INNER JOIN (SELECT entty_id AS entty_id_SIMUL, cntry AS cntry_SIMUL FROM BU_LOANTAPE_WORK.SIMUL_LT003_ENTITY WHERE ref_date='${ref_date}' AND nome_perimetro='Individual Local' AND segmento='ESTR' AND ambito='PILAR3' AND entidade='00100')Y ON X.ENTTY_ID=Y.ENTTY_ID_SIMUL</v>
      </c>
      <c r="M376" s="36" t="str">
        <f t="shared" ref="M376:M439" si="9">+"UNION ALL "&amp;L376</f>
        <v>UNION ALL SELECT 'ENTITY' AS TABELA, 'COERÊNCIA' AS TIPOLOGIA_TESTE,'BU_LOANTAPE_WORK.LT003_ENTITY' AS TABELA_LT,'BU_LOANTAPE_WORK.SIMUL_LT003_ENTITY' AS TABELA_SIMUL,'cntry' AS CAMPO, '${ref_date}' AS REF_DATE, COUNT(*) AS NUM_REG, SUM(IF(COALESCE(CAST(X.cntry AS STRING),'')&lt;&gt;COALESCE(CAST(Y.cntry_SIMUL AS STRING),'') OR (X.cntry IS NULL AND Y.cntry_SIMUL IS NOT NULL ) OR (X.cntry IS NOT NULL AND Y.cntry_SIMUL IS NULL),1,0)) AS NUM_REG_DIF,'1' AS ID_EXEC, CURRENT_TIMESTAMP() AS TIME_EXEC FROM (SELECT entty_id, cntry FROM BU_LOANTAPE_WORK.LT003_ENTITY WHERE ref_date='${ref_date}' AND nome_perimetro='Individual Local' AND segmento='ESTR' AND ambito='SRB_MBDT' AND entidade='00100')X INNER JOIN (SELECT entty_id AS entty_id_SIMUL, cntry AS cntry_SIMUL FROM BU_LOANTAPE_WORK.SIMUL_LT003_ENTITY WHERE ref_date='${ref_date}' AND nome_perimetro='Individual Local' AND segmento='ESTR' AND ambito='PILAR3' AND entidade='00100')Y ON X.ENTTY_ID=Y.ENTTY_ID_SIMUL</v>
      </c>
    </row>
    <row r="377" spans="2:14">
      <c r="B377" s="34" t="s">
        <v>118</v>
      </c>
      <c r="C377" s="34" t="s">
        <v>5</v>
      </c>
      <c r="D377" s="34" t="str">
        <f>+UPPER('0. Instruções'!$D$35&amp;"."&amp;VLOOKUP(B377,'0. Instruções'!$C$27:$D$32,2,FALSE))</f>
        <v>BU_LOANTAPE_WORK.LT003_ENTITY</v>
      </c>
      <c r="E377" s="34" t="str">
        <f>+UPPER('0. Instruções'!$D$36&amp;"."&amp;VLOOKUP(B377,'0. Instruções'!$C$27:$E$32,3,FALSE))</f>
        <v>BU_LOANTAPE_WORK.SIMUL_LT003_ENTITY</v>
      </c>
      <c r="F377" s="34" t="s">
        <v>1415</v>
      </c>
      <c r="G377" s="34"/>
      <c r="H377" s="34"/>
      <c r="I377" s="34" t="str">
        <f>"(SELECT "&amp;VLOOKUP(B377,'0. Instruções'!$C$27:$G$32,4,FALSE)&amp;", "&amp;F377&amp;" FROM "&amp;D377&amp;" WHERE "&amp;'0. Instruções'!$D$42&amp;")X"</f>
        <v>(SELECT entty_id, dt_brth FROM BU_LOANTAPE_WORK.LT003_ENTITY WHERE ref_date='${ref_date}' AND nome_perimetro='Individual Local' AND segmento='ESTR' AND ambito='SRB_MBDT' AND entidade='00100')X</v>
      </c>
      <c r="J377" s="34" t="str">
        <f>"(SELECT "&amp;VLOOKUP(B377,'0. Instruções'!$C$27:$G$32,4,FALSE)&amp;" AS "&amp;VLOOKUP(B377,'0. Instruções'!$C$27:$G$32,4,FALSE)&amp;"_SIMUL, "&amp;F377&amp;" AS "&amp;F377&amp;"_SIMUL FROM "&amp;E377&amp;" WHERE "&amp;'0. Instruções'!$D$43&amp;")Y"</f>
        <v>(SELECT entty_id AS entty_id_SIMUL, dt_brth AS dt_brth_SIMUL FROM BU_LOANTAPE_WORK.SIMUL_LT003_ENTITY WHERE ref_date='${ref_date}' AND nome_perimetro='Individual Local' AND segmento='ESTR' AND ambito='PILAR3' AND entidade='00100')Y</v>
      </c>
      <c r="K377" s="35" t="str">
        <f>+UPPER("ON X."&amp;VLOOKUP(B377,'0. Instruções'!$C$27:$G$32,4,FALSE)&amp;"=Y."&amp;VLOOKUP(B377,'0. Instruções'!$C$27:$G$32,4,FALSE)&amp;"_SIMUL")</f>
        <v>ON X.ENTTY_ID=Y.ENTTY_ID_SIMUL</v>
      </c>
      <c r="L377" s="35" t="str">
        <f>+IF(C377="Coerência", +IF(LEFT(G377,5)="FLOAT","SELECT '"&amp;UPPER(B377)&amp;"' AS TABELA, '"&amp;UPPER(C377)&amp;"' AS TIPOLOGIA_TESTE,'"&amp;D377&amp;"' AS TABELA_LT,'"&amp;E377&amp;"' AS TABELA_SIMUL,'"&amp;F377&amp;"' AS CAMPO, "&amp;"'${ref_date}' AS REF_DATE, COUNT(*) AS NUM_REG, SUM(IF((ABS(COALESCE(CAST(X."&amp;F377&amp;" AS DECIMAL(18,6)),0)-COALESCE(CAST(Y."&amp;F377&amp;"_SIMUL AS DECIMAL(18,6)),0))&gt;0.000001) OR (X."&amp;F377&amp;" IS NULL AND Y."&amp;F377&amp;"_SIMUL IS NOT NULL ) OR (X."&amp;F377&amp;" IS NOT NULL AND Y."&amp;F377&amp;"_SIMUL IS NULL),1,0)) AS NUM_REG_DIF,'"&amp;MAX('ID1&amp;5'!K:K)+1&amp;"' AS ID_EXEC, CURRENT_TIMESTAMP() AS TIME_EXEC FROM "&amp;I377&amp;" INNER JOIN "&amp;J377&amp;" "&amp;K377,"SELECT '"&amp;UPPER(B377)&amp;"' AS TABELA, '"&amp;UPPER(C377)&amp;"' AS TIPOLOGIA_TESTE,'"&amp;D377&amp;"' AS TABELA_LT,'"&amp;E377&amp;"' AS TABELA_SIMUL,'"&amp;F377&amp;"' AS CAMPO, "&amp;"'${ref_date}' AS REF_DATE, COUNT(*) AS NUM_REG, SUM(IF(COALESCE(CAST(X."&amp;F377&amp;" AS STRING),'')&lt;&gt;COALESCE(CAST(Y."&amp;F377&amp;"_SIMUL AS STRING),'') OR (X."&amp;F377&amp;" IS NULL AND Y."&amp;F377&amp;"_SIMUL IS NOT NULL ) OR (X."&amp;F377&amp;" IS NOT NULL AND Y."&amp;F377&amp;"_SIMUL IS NULL),1,0)) AS NUM_REG_DIF,'"&amp;MAX('ID1&amp;5'!L:L)+1&amp;"' AS ID_EXEC, CURRENT_TIMESTAMP() AS TIME_EXEC FROM "&amp;I377&amp;" INNER JOIN "&amp;J377&amp;" "&amp;K377),
IF(C377="Validade",+IF(G377="Code List","SELECT '"&amp;UPPER(B377)&amp;"' AS TABELA, '"&amp;UPPER(C377)&amp;"' AS TIPOLOGIA_TESTE,'"&amp;D377&amp;"' AS TABELA_LT,'N/A' AS TABELA_SIMUL,'"&amp;F377&amp;"' AS CAMPO, "&amp;"'${ref_date}' AS REF_DATE, COUNT(*) AS NUM_REG, SUM(IF(TRIM(CAST(X."&amp;F377&amp;" AS STRING))='' OR TRIM(CAST(X."&amp;F377&amp;" AS STRING)) IS NULL OR CAST(X."&amp;F377&amp;" AS STRING) NOT "&amp;H377&amp;",1,0)) AS NUM_REG_DIF,'"&amp;MAX('ID1&amp;5'!K:K)+1&amp;"' AS ID_EXEC, CURRENT_TIMESTAMP() AS TIME_EXEC FROM "&amp;I377,"SELECT '"&amp;UPPER(B377)&amp;"' AS TABELA, '"&amp;UPPER(C377)&amp;"' AS TIPOLOGIA_TESTE,'"&amp;D377&amp;"' AS TABELA_LT,'N/A' AS TABELA_SIMUL,'"&amp;F377&amp;"' AS CAMPO, "&amp;"'${ref_date}' AS REF_DATE, COUNT(*) AS NUM_REG, SUM(IF(TRIM(CAST(X."&amp;F377&amp;" AS STRING))='' OR TRIM(CAST(X."&amp;F377&amp;" AS STRING)) IS NULL,1,0)) AS NUM_REG_DIF,'"&amp;MAX('ID1&amp;5'!K:K)+1&amp;"' AS ID_EXEC, CURRENT_TIMESTAMP() AS TIME_EXEC FROM "&amp;I377),
IF(C377="Caracteres Especiais",+"SELECT '"&amp;UPPER(B377)&amp;"' AS TABELA, '"&amp;UPPER(C377)&amp;"' AS TIPOLOGIA_TESTE,'"&amp;D377&amp;"' AS TABELA_LT,'N/A' AS TABELA_SIMUL,'"&amp;F377&amp;"' AS CAMPO, "&amp;"'${ref_date}' AS REF_DATE, COUNT(*) AS NUM_REG, SUM(IF(REGEXP_REPLACE(TRIM(CAST(X."&amp;F377&amp;" AS STRING)),'[^a-zA-Z0-9_\\s]','') &lt;&gt;TRIM(CAST(X."&amp;F377&amp;" AS STRING)),1,0)) AS NUM_REG_DIF,'"&amp;MAX('ID1&amp;5'!K:K)+1&amp;"' AS ID_EXEC, CURRENT_TIMESTAMP() AS TIME_EXEC FROM "&amp;I377,
IF(C377="Missings",+"SELECT '"&amp;UPPER(B377)&amp;"' AS TABELA, '"&amp;UPPER(C377)&amp;"' AS TIPOLOGIA_TESTE,'"&amp;D377&amp;"' AS TABELA_LT,'N/A' AS TABELA_SIMUL,'"&amp;F377&amp;"' AS CAMPO, "&amp;"'${ref_date}' AS REF_DATE, COUNT(*) AS NUM_REG, SUM(IF(TRIM(CAST(X."&amp;F377&amp;" AS STRING)) IN ('0000-00-00','0001-01-01','9999-12-31','MISS','00000','99999999999','99999999999.00','99999999999.000000'),1,0)) AS NUM_REG_DIF,'"&amp;MAX('ID1&amp;5'!K:K)+1&amp;"' AS ID_EXEC, CURRENT_TIMESTAMP() AS TIME_EXEC FROM "&amp;I377,
IF(C377="Not applicable",+"SELECT '"&amp;UPPER(B377)&amp;"' AS TABELA, '"&amp;UPPER(C377)&amp;"' AS TIPOLOGIA_TESTE,'"&amp;D377&amp;"' AS TABELA_LT,'N/A' AS TABELA_SIMUL,'"&amp;F377&amp;"' AS CAMPO, "&amp;"'${ref_date}' AS REF_DATE, COUNT(*) AS NUM_REG, SUM(IF(TRIM(CAST(X."&amp;F377&amp;" AS STRING)) IN ('N/A','11111111111','11111111111.00','11111111111.000000','1111-11-11'),1,0)) AS NUM_REG_DIF,'"&amp;MAX('ID1&amp;5'!K:K)+1&amp;"' AS ID_EXEC, CURRENT_TIMESTAMP() AS TIME_EXEC FROM "&amp;I377,
IF(C377="Valores extremos",+"SELECT '"&amp;UPPER(B377)&amp;"' AS TABELA, '"&amp;UPPER(C377)&amp;"' AS TIPOLOGIA_TESTE,'"&amp;D377&amp;"' AS TABELA_LT,'N/A' AS TABELA_SIMUL,'"&amp;F377&amp;"' AS CAMPO, "&amp;"'${ref_date}' AS REF_DATE, CAST(MIN("&amp;F377&amp;") AS STRING) AS VALOR_MIN, CAST(MAX("&amp;F377&amp;") AS STRING) AS VALOR_MAX,'"&amp;MAX('ID1&amp;5'!K:K)+1&amp;"' AS ID_EXEC, CURRENT_TIMESTAMP() AS TIME_EXEC FROM "&amp;MID(I377,1,LEN(I377)-2)&amp;" AND CAST("&amp;F377&amp;"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TABELA_SIMUL,'dt_brth' AS CAMPO, '${ref_date}' AS REF_DATE, COUNT(*) AS NUM_REG, SUM(IF(COALESCE(CAST(X.dt_brth AS STRING),'')&lt;&gt;COALESCE(CAST(Y.dt_brth_SIMUL AS STRING),'') OR (X.dt_brth IS NULL AND Y.dt_brth_SIMUL IS NOT NULL ) OR (X.dt_brth IS NOT NULL AND Y.dt_brth_SIMUL IS NULL),1,0)) AS NUM_REG_DIF,'1' AS ID_EXEC, CURRENT_TIMESTAMP() AS TIME_EXEC FROM (SELECT entty_id, dt_brth FROM BU_LOANTAPE_WORK.LT003_ENTITY WHERE ref_date='${ref_date}' AND nome_perimetro='Individual Local' AND segmento='ESTR' AND ambito='SRB_MBDT' AND entidade='00100')X INNER JOIN (SELECT entty_id AS entty_id_SIMUL, dt_brth AS dt_brth_SIMUL FROM BU_LOANTAPE_WORK.SIMUL_LT003_ENTITY WHERE ref_date='${ref_date}' AND nome_perimetro='Individual Local' AND segmento='ESTR' AND ambito='PILAR3' AND entidade='00100')Y ON X.ENTTY_ID=Y.ENTTY_ID_SIMUL</v>
      </c>
      <c r="M377" s="36" t="str">
        <f t="shared" si="9"/>
        <v>UNION ALL SELECT 'ENTITY' AS TABELA, 'COERÊNCIA' AS TIPOLOGIA_TESTE,'BU_LOANTAPE_WORK.LT003_ENTITY' AS TABELA_LT,'BU_LOANTAPE_WORK.SIMUL_LT003_ENTITY' AS TABELA_SIMUL,'dt_brth' AS CAMPO, '${ref_date}' AS REF_DATE, COUNT(*) AS NUM_REG, SUM(IF(COALESCE(CAST(X.dt_brth AS STRING),'')&lt;&gt;COALESCE(CAST(Y.dt_brth_SIMUL AS STRING),'') OR (X.dt_brth IS NULL AND Y.dt_brth_SIMUL IS NOT NULL ) OR (X.dt_brth IS NOT NULL AND Y.dt_brth_SIMUL IS NULL),1,0)) AS NUM_REG_DIF,'1' AS ID_EXEC, CURRENT_TIMESTAMP() AS TIME_EXEC FROM (SELECT entty_id, dt_brth FROM BU_LOANTAPE_WORK.LT003_ENTITY WHERE ref_date='${ref_date}' AND nome_perimetro='Individual Local' AND segmento='ESTR' AND ambito='SRB_MBDT' AND entidade='00100')X INNER JOIN (SELECT entty_id AS entty_id_SIMUL, dt_brth AS dt_brth_SIMUL FROM BU_LOANTAPE_WORK.SIMUL_LT003_ENTITY WHERE ref_date='${ref_date}' AND nome_perimetro='Individual Local' AND segmento='ESTR' AND ambito='PILAR3' AND entidade='00100')Y ON X.ENTTY_ID=Y.ENTTY_ID_SIMUL</v>
      </c>
    </row>
    <row r="378" spans="2:14">
      <c r="B378" s="34" t="s">
        <v>118</v>
      </c>
      <c r="C378" s="34" t="s">
        <v>5</v>
      </c>
      <c r="D378" s="34" t="str">
        <f>+UPPER('0. Instruções'!$D$35&amp;"."&amp;VLOOKUP(B378,'0. Instruções'!$C$27:$D$32,2,FALSE))</f>
        <v>BU_LOANTAPE_WORK.LT003_ENTITY</v>
      </c>
      <c r="E378" s="34" t="str">
        <f>+UPPER('0. Instruções'!$D$36&amp;"."&amp;VLOOKUP(B378,'0. Instruções'!$C$27:$E$32,3,FALSE))</f>
        <v>BU_LOANTAPE_WORK.SIMUL_LT003_ENTITY</v>
      </c>
      <c r="F378" s="34" t="s">
        <v>1416</v>
      </c>
      <c r="G378" s="34"/>
      <c r="H378" s="34"/>
      <c r="I378" s="34" t="str">
        <f>"(SELECT "&amp;VLOOKUP(B378,'0. Instruções'!$C$27:$G$32,4,FALSE)&amp;", "&amp;F378&amp;" FROM "&amp;D378&amp;" WHERE "&amp;'0. Instruções'!$D$42&amp;")X"</f>
        <v>(SELECT entty_id, dt_dflt_stts FROM BU_LOANTAPE_WORK.LT003_ENTITY WHERE ref_date='${ref_date}' AND nome_perimetro='Individual Local' AND segmento='ESTR' AND ambito='SRB_MBDT' AND entidade='00100')X</v>
      </c>
      <c r="J378" s="34" t="str">
        <f>"(SELECT "&amp;VLOOKUP(B378,'0. Instruções'!$C$27:$G$32,4,FALSE)&amp;" AS "&amp;VLOOKUP(B378,'0. Instruções'!$C$27:$G$32,4,FALSE)&amp;"_SIMUL, "&amp;F378&amp;" AS "&amp;F378&amp;"_SIMUL FROM "&amp;E378&amp;" WHERE "&amp;'0. Instruções'!$D$43&amp;")Y"</f>
        <v>(SELECT entty_id AS entty_id_SIMUL, dt_dflt_stts AS dt_dflt_stts_SIMUL FROM BU_LOANTAPE_WORK.SIMUL_LT003_ENTITY WHERE ref_date='${ref_date}' AND nome_perimetro='Individual Local' AND segmento='ESTR' AND ambito='PILAR3' AND entidade='00100')Y</v>
      </c>
      <c r="K378" s="35" t="str">
        <f>+UPPER("ON X."&amp;VLOOKUP(B378,'0. Instruções'!$C$27:$G$32,4,FALSE)&amp;"=Y."&amp;VLOOKUP(B378,'0. Instruções'!$C$27:$G$32,4,FALSE)&amp;"_SIMUL")</f>
        <v>ON X.ENTTY_ID=Y.ENTTY_ID_SIMUL</v>
      </c>
      <c r="L378" s="35" t="str">
        <f>+IF(C378="Coerência", +IF(LEFT(G378,5)="FLOAT","SELECT '"&amp;UPPER(B378)&amp;"' AS TABELA, '"&amp;UPPER(C378)&amp;"' AS TIPOLOGIA_TESTE,'"&amp;D378&amp;"' AS TABELA_LT,'"&amp;E378&amp;"' AS TABELA_SIMUL,'"&amp;F378&amp;"' AS CAMPO, "&amp;"'${ref_date}' AS REF_DATE, COUNT(*) AS NUM_REG, SUM(IF((ABS(COALESCE(CAST(X."&amp;F378&amp;" AS DECIMAL(18,6)),0)-COALESCE(CAST(Y."&amp;F378&amp;"_SIMUL AS DECIMAL(18,6)),0))&gt;0.000001) OR (X."&amp;F378&amp;" IS NULL AND Y."&amp;F378&amp;"_SIMUL IS NOT NULL ) OR (X."&amp;F378&amp;" IS NOT NULL AND Y."&amp;F378&amp;"_SIMUL IS NULL),1,0)) AS NUM_REG_DIF,'"&amp;MAX('ID1&amp;5'!K:K)+1&amp;"' AS ID_EXEC, CURRENT_TIMESTAMP() AS TIME_EXEC FROM "&amp;I378&amp;" INNER JOIN "&amp;J378&amp;" "&amp;K378,"SELECT '"&amp;UPPER(B378)&amp;"' AS TABELA, '"&amp;UPPER(C378)&amp;"' AS TIPOLOGIA_TESTE,'"&amp;D378&amp;"' AS TABELA_LT,'"&amp;E378&amp;"' AS TABELA_SIMUL,'"&amp;F378&amp;"' AS CAMPO, "&amp;"'${ref_date}' AS REF_DATE, COUNT(*) AS NUM_REG, SUM(IF(COALESCE(CAST(X."&amp;F378&amp;" AS STRING),'')&lt;&gt;COALESCE(CAST(Y."&amp;F378&amp;"_SIMUL AS STRING),'') OR (X."&amp;F378&amp;" IS NULL AND Y."&amp;F378&amp;"_SIMUL IS NOT NULL ) OR (X."&amp;F378&amp;" IS NOT NULL AND Y."&amp;F378&amp;"_SIMUL IS NULL),1,0)) AS NUM_REG_DIF,'"&amp;MAX('ID1&amp;5'!L:L)+1&amp;"' AS ID_EXEC, CURRENT_TIMESTAMP() AS TIME_EXEC FROM "&amp;I378&amp;" INNER JOIN "&amp;J378&amp;" "&amp;K378),
IF(C378="Validade",+IF(G378="Code List","SELECT '"&amp;UPPER(B378)&amp;"' AS TABELA, '"&amp;UPPER(C378)&amp;"' AS TIPOLOGIA_TESTE,'"&amp;D378&amp;"' AS TABELA_LT,'N/A' AS TABELA_SIMUL,'"&amp;F378&amp;"' AS CAMPO, "&amp;"'${ref_date}' AS REF_DATE, COUNT(*) AS NUM_REG, SUM(IF(TRIM(CAST(X."&amp;F378&amp;" AS STRING))='' OR TRIM(CAST(X."&amp;F378&amp;" AS STRING)) IS NULL OR CAST(X."&amp;F378&amp;" AS STRING) NOT "&amp;H378&amp;",1,0)) AS NUM_REG_DIF,'"&amp;MAX('ID1&amp;5'!K:K)+1&amp;"' AS ID_EXEC, CURRENT_TIMESTAMP() AS TIME_EXEC FROM "&amp;I378,"SELECT '"&amp;UPPER(B378)&amp;"' AS TABELA, '"&amp;UPPER(C378)&amp;"' AS TIPOLOGIA_TESTE,'"&amp;D378&amp;"' AS TABELA_LT,'N/A' AS TABELA_SIMUL,'"&amp;F378&amp;"' AS CAMPO, "&amp;"'${ref_date}' AS REF_DATE, COUNT(*) AS NUM_REG, SUM(IF(TRIM(CAST(X."&amp;F378&amp;" AS STRING))='' OR TRIM(CAST(X."&amp;F378&amp;" AS STRING)) IS NULL,1,0)) AS NUM_REG_DIF,'"&amp;MAX('ID1&amp;5'!K:K)+1&amp;"' AS ID_EXEC, CURRENT_TIMESTAMP() AS TIME_EXEC FROM "&amp;I378),
IF(C378="Caracteres Especiais",+"SELECT '"&amp;UPPER(B378)&amp;"' AS TABELA, '"&amp;UPPER(C378)&amp;"' AS TIPOLOGIA_TESTE,'"&amp;D378&amp;"' AS TABELA_LT,'N/A' AS TABELA_SIMUL,'"&amp;F378&amp;"' AS CAMPO, "&amp;"'${ref_date}' AS REF_DATE, COUNT(*) AS NUM_REG, SUM(IF(REGEXP_REPLACE(TRIM(CAST(X."&amp;F378&amp;" AS STRING)),'[^a-zA-Z0-9_\\s]','') &lt;&gt;TRIM(CAST(X."&amp;F378&amp;" AS STRING)),1,0)) AS NUM_REG_DIF,'"&amp;MAX('ID1&amp;5'!K:K)+1&amp;"' AS ID_EXEC, CURRENT_TIMESTAMP() AS TIME_EXEC FROM "&amp;I378,
IF(C378="Missings",+"SELECT '"&amp;UPPER(B378)&amp;"' AS TABELA, '"&amp;UPPER(C378)&amp;"' AS TIPOLOGIA_TESTE,'"&amp;D378&amp;"' AS TABELA_LT,'N/A' AS TABELA_SIMUL,'"&amp;F378&amp;"' AS CAMPO, "&amp;"'${ref_date}' AS REF_DATE, COUNT(*) AS NUM_REG, SUM(IF(TRIM(CAST(X."&amp;F378&amp;" AS STRING)) IN ('0000-00-00','0001-01-01','9999-12-31','MISS','00000','99999999999','99999999999.00','99999999999.000000'),1,0)) AS NUM_REG_DIF,'"&amp;MAX('ID1&amp;5'!K:K)+1&amp;"' AS ID_EXEC, CURRENT_TIMESTAMP() AS TIME_EXEC FROM "&amp;I378,
IF(C378="Not applicable",+"SELECT '"&amp;UPPER(B378)&amp;"' AS TABELA, '"&amp;UPPER(C378)&amp;"' AS TIPOLOGIA_TESTE,'"&amp;D378&amp;"' AS TABELA_LT,'N/A' AS TABELA_SIMUL,'"&amp;F378&amp;"' AS CAMPO, "&amp;"'${ref_date}' AS REF_DATE, COUNT(*) AS NUM_REG, SUM(IF(TRIM(CAST(X."&amp;F378&amp;" AS STRING)) IN ('N/A','11111111111','11111111111.00','11111111111.000000','1111-11-11'),1,0)) AS NUM_REG_DIF,'"&amp;MAX('ID1&amp;5'!K:K)+1&amp;"' AS ID_EXEC, CURRENT_TIMESTAMP() AS TIME_EXEC FROM "&amp;I378,
IF(C378="Valores extremos",+"SELECT '"&amp;UPPER(B378)&amp;"' AS TABELA, '"&amp;UPPER(C378)&amp;"' AS TIPOLOGIA_TESTE,'"&amp;D378&amp;"' AS TABELA_LT,'N/A' AS TABELA_SIMUL,'"&amp;F378&amp;"' AS CAMPO, "&amp;"'${ref_date}' AS REF_DATE, CAST(MIN("&amp;F378&amp;") AS STRING) AS VALOR_MIN, CAST(MAX("&amp;F378&amp;") AS STRING) AS VALOR_MAX,'"&amp;MAX('ID1&amp;5'!K:K)+1&amp;"' AS ID_EXEC, CURRENT_TIMESTAMP() AS TIME_EXEC FROM "&amp;MID(I378,1,LEN(I378)-2)&amp;" AND CAST("&amp;F378&amp;"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TABELA_SIMUL,'dt_dflt_stts' AS CAMPO, '${ref_date}' AS REF_DATE, COUNT(*) AS NUM_REG, SUM(IF(COALESCE(CAST(X.dt_dflt_stts AS STRING),'')&lt;&gt;COALESCE(CAST(Y.dt_dflt_stts_SIMUL AS STRING),'') OR (X.dt_dflt_stts IS NULL AND Y.dt_dflt_stts_SIMUL IS NOT NULL ) OR (X.dt_dflt_stts IS NOT NULL AND Y.dt_dflt_stts_SIMUL IS NULL),1,0)) AS NUM_REG_DIF,'1' AS ID_EXEC, CURRENT_TIMESTAMP() AS TIME_EXEC FROM (SELECT entty_id, dt_dflt_stts FROM BU_LOANTAPE_WORK.LT003_ENTITY WHERE ref_date='${ref_date}' AND nome_perimetro='Individual Local' AND segmento='ESTR' AND ambito='SRB_MBDT' AND entidade='00100')X INNER JOIN (SELECT entty_id AS entty_id_SIMUL, dt_dflt_stts AS dt_dflt_stts_SIMUL FROM BU_LOANTAPE_WORK.SIMUL_LT003_ENTITY WHERE ref_date='${ref_date}' AND nome_perimetro='Individual Local' AND segmento='ESTR' AND ambito='PILAR3' AND entidade='00100')Y ON X.ENTTY_ID=Y.ENTTY_ID_SIMUL</v>
      </c>
      <c r="M378" s="36" t="str">
        <f t="shared" si="9"/>
        <v>UNION ALL SELECT 'ENTITY' AS TABELA, 'COERÊNCIA' AS TIPOLOGIA_TESTE,'BU_LOANTAPE_WORK.LT003_ENTITY' AS TABELA_LT,'BU_LOANTAPE_WORK.SIMUL_LT003_ENTITY' AS TABELA_SIMUL,'dt_dflt_stts' AS CAMPO, '${ref_date}' AS REF_DATE, COUNT(*) AS NUM_REG, SUM(IF(COALESCE(CAST(X.dt_dflt_stts AS STRING),'')&lt;&gt;COALESCE(CAST(Y.dt_dflt_stts_SIMUL AS STRING),'') OR (X.dt_dflt_stts IS NULL AND Y.dt_dflt_stts_SIMUL IS NOT NULL ) OR (X.dt_dflt_stts IS NOT NULL AND Y.dt_dflt_stts_SIMUL IS NULL),1,0)) AS NUM_REG_DIF,'1' AS ID_EXEC, CURRENT_TIMESTAMP() AS TIME_EXEC FROM (SELECT entty_id, dt_dflt_stts FROM BU_LOANTAPE_WORK.LT003_ENTITY WHERE ref_date='${ref_date}' AND nome_perimetro='Individual Local' AND segmento='ESTR' AND ambito='SRB_MBDT' AND entidade='00100')X INNER JOIN (SELECT entty_id AS entty_id_SIMUL, dt_dflt_stts AS dt_dflt_stts_SIMUL FROM BU_LOANTAPE_WORK.SIMUL_LT003_ENTITY WHERE ref_date='${ref_date}' AND nome_perimetro='Individual Local' AND segmento='ESTR' AND ambito='PILAR3' AND entidade='00100')Y ON X.ENTTY_ID=Y.ENTTY_ID_SIMUL</v>
      </c>
    </row>
    <row r="379" spans="2:14">
      <c r="B379" s="34" t="s">
        <v>118</v>
      </c>
      <c r="C379" s="34" t="s">
        <v>5</v>
      </c>
      <c r="D379" s="34" t="str">
        <f>+UPPER('0. Instruções'!$D$35&amp;"."&amp;VLOOKUP(B379,'0. Instruções'!$C$27:$D$32,2,FALSE))</f>
        <v>BU_LOANTAPE_WORK.LT003_ENTITY</v>
      </c>
      <c r="E379" s="34" t="str">
        <f>+UPPER('0. Instruções'!$D$36&amp;"."&amp;VLOOKUP(B379,'0. Instruções'!$C$27:$E$32,3,FALSE))</f>
        <v>BU_LOANTAPE_WORK.SIMUL_LT003_ENTITY</v>
      </c>
      <c r="F379" s="34" t="s">
        <v>1417</v>
      </c>
      <c r="G379" s="34"/>
      <c r="H379" s="34"/>
      <c r="I379" s="34" t="str">
        <f>"(SELECT "&amp;VLOOKUP(B379,'0. Instruções'!$C$27:$G$32,4,FALSE)&amp;", "&amp;F379&amp;" FROM "&amp;D379&amp;" WHERE "&amp;'0. Instruções'!$D$42&amp;")X"</f>
        <v>(SELECT entty_id, dt_fnncl_sttmts FROM BU_LOANTAPE_WORK.LT003_ENTITY WHERE ref_date='${ref_date}' AND nome_perimetro='Individual Local' AND segmento='ESTR' AND ambito='SRB_MBDT' AND entidade='00100')X</v>
      </c>
      <c r="J379" s="34" t="str">
        <f>"(SELECT "&amp;VLOOKUP(B379,'0. Instruções'!$C$27:$G$32,4,FALSE)&amp;" AS "&amp;VLOOKUP(B379,'0. Instruções'!$C$27:$G$32,4,FALSE)&amp;"_SIMUL, "&amp;F379&amp;" AS "&amp;F379&amp;"_SIMUL FROM "&amp;E379&amp;" WHERE "&amp;'0. Instruções'!$D$43&amp;")Y"</f>
        <v>(SELECT entty_id AS entty_id_SIMUL, dt_fnncl_sttmts AS dt_fnncl_sttmts_SIMUL FROM BU_LOANTAPE_WORK.SIMUL_LT003_ENTITY WHERE ref_date='${ref_date}' AND nome_perimetro='Individual Local' AND segmento='ESTR' AND ambito='PILAR3' AND entidade='00100')Y</v>
      </c>
      <c r="K379" s="35" t="str">
        <f>+UPPER("ON X."&amp;VLOOKUP(B379,'0. Instruções'!$C$27:$G$32,4,FALSE)&amp;"=Y."&amp;VLOOKUP(B379,'0. Instruções'!$C$27:$G$32,4,FALSE)&amp;"_SIMUL")</f>
        <v>ON X.ENTTY_ID=Y.ENTTY_ID_SIMUL</v>
      </c>
      <c r="L379" s="35" t="str">
        <f>+IF(C379="Coerência", +IF(LEFT(G379,5)="FLOAT","SELECT '"&amp;UPPER(B379)&amp;"' AS TABELA, '"&amp;UPPER(C379)&amp;"' AS TIPOLOGIA_TESTE,'"&amp;D379&amp;"' AS TABELA_LT,'"&amp;E379&amp;"' AS TABELA_SIMUL,'"&amp;F379&amp;"' AS CAMPO, "&amp;"'${ref_date}' AS REF_DATE, COUNT(*) AS NUM_REG, SUM(IF((ABS(COALESCE(CAST(X."&amp;F379&amp;" AS DECIMAL(18,6)),0)-COALESCE(CAST(Y."&amp;F379&amp;"_SIMUL AS DECIMAL(18,6)),0))&gt;0.000001) OR (X."&amp;F379&amp;" IS NULL AND Y."&amp;F379&amp;"_SIMUL IS NOT NULL ) OR (X."&amp;F379&amp;" IS NOT NULL AND Y."&amp;F379&amp;"_SIMUL IS NULL),1,0)) AS NUM_REG_DIF,'"&amp;MAX('ID1&amp;5'!K:K)+1&amp;"' AS ID_EXEC, CURRENT_TIMESTAMP() AS TIME_EXEC FROM "&amp;I379&amp;" INNER JOIN "&amp;J379&amp;" "&amp;K379,"SELECT '"&amp;UPPER(B379)&amp;"' AS TABELA, '"&amp;UPPER(C379)&amp;"' AS TIPOLOGIA_TESTE,'"&amp;D379&amp;"' AS TABELA_LT,'"&amp;E379&amp;"' AS TABELA_SIMUL,'"&amp;F379&amp;"' AS CAMPO, "&amp;"'${ref_date}' AS REF_DATE, COUNT(*) AS NUM_REG, SUM(IF(COALESCE(CAST(X."&amp;F379&amp;" AS STRING),'')&lt;&gt;COALESCE(CAST(Y."&amp;F379&amp;"_SIMUL AS STRING),'') OR (X."&amp;F379&amp;" IS NULL AND Y."&amp;F379&amp;"_SIMUL IS NOT NULL ) OR (X."&amp;F379&amp;" IS NOT NULL AND Y."&amp;F379&amp;"_SIMUL IS NULL),1,0)) AS NUM_REG_DIF,'"&amp;MAX('ID1&amp;5'!L:L)+1&amp;"' AS ID_EXEC, CURRENT_TIMESTAMP() AS TIME_EXEC FROM "&amp;I379&amp;" INNER JOIN "&amp;J379&amp;" "&amp;K379),
IF(C379="Validade",+IF(G379="Code List","SELECT '"&amp;UPPER(B379)&amp;"' AS TABELA, '"&amp;UPPER(C379)&amp;"' AS TIPOLOGIA_TESTE,'"&amp;D379&amp;"' AS TABELA_LT,'N/A' AS TABELA_SIMUL,'"&amp;F379&amp;"' AS CAMPO, "&amp;"'${ref_date}' AS REF_DATE, COUNT(*) AS NUM_REG, SUM(IF(TRIM(CAST(X."&amp;F379&amp;" AS STRING))='' OR TRIM(CAST(X."&amp;F379&amp;" AS STRING)) IS NULL OR CAST(X."&amp;F379&amp;" AS STRING) NOT "&amp;H379&amp;",1,0)) AS NUM_REG_DIF,'"&amp;MAX('ID1&amp;5'!K:K)+1&amp;"' AS ID_EXEC, CURRENT_TIMESTAMP() AS TIME_EXEC FROM "&amp;I379,"SELECT '"&amp;UPPER(B379)&amp;"' AS TABELA, '"&amp;UPPER(C379)&amp;"' AS TIPOLOGIA_TESTE,'"&amp;D379&amp;"' AS TABELA_LT,'N/A' AS TABELA_SIMUL,'"&amp;F379&amp;"' AS CAMPO, "&amp;"'${ref_date}' AS REF_DATE, COUNT(*) AS NUM_REG, SUM(IF(TRIM(CAST(X."&amp;F379&amp;" AS STRING))='' OR TRIM(CAST(X."&amp;F379&amp;" AS STRING)) IS NULL,1,0)) AS NUM_REG_DIF,'"&amp;MAX('ID1&amp;5'!K:K)+1&amp;"' AS ID_EXEC, CURRENT_TIMESTAMP() AS TIME_EXEC FROM "&amp;I379),
IF(C379="Caracteres Especiais",+"SELECT '"&amp;UPPER(B379)&amp;"' AS TABELA, '"&amp;UPPER(C379)&amp;"' AS TIPOLOGIA_TESTE,'"&amp;D379&amp;"' AS TABELA_LT,'N/A' AS TABELA_SIMUL,'"&amp;F379&amp;"' AS CAMPO, "&amp;"'${ref_date}' AS REF_DATE, COUNT(*) AS NUM_REG, SUM(IF(REGEXP_REPLACE(TRIM(CAST(X."&amp;F379&amp;" AS STRING)),'[^a-zA-Z0-9_\\s]','') &lt;&gt;TRIM(CAST(X."&amp;F379&amp;" AS STRING)),1,0)) AS NUM_REG_DIF,'"&amp;MAX('ID1&amp;5'!K:K)+1&amp;"' AS ID_EXEC, CURRENT_TIMESTAMP() AS TIME_EXEC FROM "&amp;I379,
IF(C379="Missings",+"SELECT '"&amp;UPPER(B379)&amp;"' AS TABELA, '"&amp;UPPER(C379)&amp;"' AS TIPOLOGIA_TESTE,'"&amp;D379&amp;"' AS TABELA_LT,'N/A' AS TABELA_SIMUL,'"&amp;F379&amp;"' AS CAMPO, "&amp;"'${ref_date}' AS REF_DATE, COUNT(*) AS NUM_REG, SUM(IF(TRIM(CAST(X."&amp;F379&amp;" AS STRING)) IN ('0000-00-00','0001-01-01','9999-12-31','MISS','00000','99999999999','99999999999.00','99999999999.000000'),1,0)) AS NUM_REG_DIF,'"&amp;MAX('ID1&amp;5'!K:K)+1&amp;"' AS ID_EXEC, CURRENT_TIMESTAMP() AS TIME_EXEC FROM "&amp;I379,
IF(C379="Not applicable",+"SELECT '"&amp;UPPER(B379)&amp;"' AS TABELA, '"&amp;UPPER(C379)&amp;"' AS TIPOLOGIA_TESTE,'"&amp;D379&amp;"' AS TABELA_LT,'N/A' AS TABELA_SIMUL,'"&amp;F379&amp;"' AS CAMPO, "&amp;"'${ref_date}' AS REF_DATE, COUNT(*) AS NUM_REG, SUM(IF(TRIM(CAST(X."&amp;F379&amp;" AS STRING)) IN ('N/A','11111111111','11111111111.00','11111111111.000000','1111-11-11'),1,0)) AS NUM_REG_DIF,'"&amp;MAX('ID1&amp;5'!K:K)+1&amp;"' AS ID_EXEC, CURRENT_TIMESTAMP() AS TIME_EXEC FROM "&amp;I379,
IF(C379="Valores extremos",+"SELECT '"&amp;UPPER(B379)&amp;"' AS TABELA, '"&amp;UPPER(C379)&amp;"' AS TIPOLOGIA_TESTE,'"&amp;D379&amp;"' AS TABELA_LT,'N/A' AS TABELA_SIMUL,'"&amp;F379&amp;"' AS CAMPO, "&amp;"'${ref_date}' AS REF_DATE, CAST(MIN("&amp;F379&amp;") AS STRING) AS VALOR_MIN, CAST(MAX("&amp;F379&amp;") AS STRING) AS VALOR_MAX,'"&amp;MAX('ID1&amp;5'!K:K)+1&amp;"' AS ID_EXEC, CURRENT_TIMESTAMP() AS TIME_EXEC FROM "&amp;MID(I379,1,LEN(I379)-2)&amp;" AND CAST("&amp;F379&amp;"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TABELA_SIMUL,'dt_fnncl_sttmts' AS CAMPO, '${ref_date}' AS REF_DATE, COUNT(*) AS NUM_REG, SUM(IF(COALESCE(CAST(X.dt_fnncl_sttmts AS STRING),'')&lt;&gt;COALESCE(CAST(Y.dt_fnncl_sttmts_SIMUL AS STRING),'') OR (X.dt_fnncl_sttmts IS NULL AND Y.dt_fnncl_sttmts_SIMUL IS NOT NULL ) OR (X.dt_fnncl_sttmts IS NOT NULL AND Y.dt_fnncl_sttmts_SIMUL IS NULL),1,0)) AS NUM_REG_DIF,'1' AS ID_EXEC, CURRENT_TIMESTAMP() AS TIME_EXEC FROM (SELECT entty_id, dt_fnncl_sttmts FROM BU_LOANTAPE_WORK.LT003_ENTITY WHERE ref_date='${ref_date}' AND nome_perimetro='Individual Local' AND segmento='ESTR' AND ambito='SRB_MBDT' AND entidade='00100')X INNER JOIN (SELECT entty_id AS entty_id_SIMUL, dt_fnncl_sttmts AS dt_fnncl_sttmts_SIMUL FROM BU_LOANTAPE_WORK.SIMUL_LT003_ENTITY WHERE ref_date='${ref_date}' AND nome_perimetro='Individual Local' AND segmento='ESTR' AND ambito='PILAR3' AND entidade='00100')Y ON X.ENTTY_ID=Y.ENTTY_ID_SIMUL</v>
      </c>
      <c r="M379" s="36" t="str">
        <f t="shared" si="9"/>
        <v>UNION ALL SELECT 'ENTITY' AS TABELA, 'COERÊNCIA' AS TIPOLOGIA_TESTE,'BU_LOANTAPE_WORK.LT003_ENTITY' AS TABELA_LT,'BU_LOANTAPE_WORK.SIMUL_LT003_ENTITY' AS TABELA_SIMUL,'dt_fnncl_sttmts' AS CAMPO, '${ref_date}' AS REF_DATE, COUNT(*) AS NUM_REG, SUM(IF(COALESCE(CAST(X.dt_fnncl_sttmts AS STRING),'')&lt;&gt;COALESCE(CAST(Y.dt_fnncl_sttmts_SIMUL AS STRING),'') OR (X.dt_fnncl_sttmts IS NULL AND Y.dt_fnncl_sttmts_SIMUL IS NOT NULL ) OR (X.dt_fnncl_sttmts IS NOT NULL AND Y.dt_fnncl_sttmts_SIMUL IS NULL),1,0)) AS NUM_REG_DIF,'1' AS ID_EXEC, CURRENT_TIMESTAMP() AS TIME_EXEC FROM (SELECT entty_id, dt_fnncl_sttmts FROM BU_LOANTAPE_WORK.LT003_ENTITY WHERE ref_date='${ref_date}' AND nome_perimetro='Individual Local' AND segmento='ESTR' AND ambito='SRB_MBDT' AND entidade='00100')X INNER JOIN (SELECT entty_id AS entty_id_SIMUL, dt_fnncl_sttmts AS dt_fnncl_sttmts_SIMUL FROM BU_LOANTAPE_WORK.SIMUL_LT003_ENTITY WHERE ref_date='${ref_date}' AND nome_perimetro='Individual Local' AND segmento='ESTR' AND ambito='PILAR3' AND entidade='00100')Y ON X.ENTTY_ID=Y.ENTTY_ID_SIMUL</v>
      </c>
    </row>
    <row r="380" spans="2:14">
      <c r="B380" s="34" t="s">
        <v>118</v>
      </c>
      <c r="C380" s="34" t="s">
        <v>5</v>
      </c>
      <c r="D380" s="34" t="str">
        <f>+UPPER('0. Instruções'!$D$35&amp;"."&amp;VLOOKUP(B380,'0. Instruções'!$C$27:$D$32,2,FALSE))</f>
        <v>BU_LOANTAPE_WORK.LT003_ENTITY</v>
      </c>
      <c r="E380" s="34" t="str">
        <f>+UPPER('0. Instruções'!$D$36&amp;"."&amp;VLOOKUP(B380,'0. Instruções'!$C$27:$E$32,3,FALSE))</f>
        <v>BU_LOANTAPE_WORK.SIMUL_LT003_ENTITY</v>
      </c>
      <c r="F380" s="34" t="s">
        <v>1418</v>
      </c>
      <c r="G380" s="34"/>
      <c r="H380" s="34"/>
      <c r="I380" s="34" t="str">
        <f>"(SELECT "&amp;VLOOKUP(B380,'0. Instruções'!$C$27:$G$32,4,FALSE)&amp;", "&amp;F380&amp;" FROM "&amp;D380&amp;" WHERE "&amp;'0. Instruções'!$D$42&amp;")X"</f>
        <v>(SELECT entty_id, dt_fnncl_sttmts_prvs FROM BU_LOANTAPE_WORK.LT003_ENTITY WHERE ref_date='${ref_date}' AND nome_perimetro='Individual Local' AND segmento='ESTR' AND ambito='SRB_MBDT' AND entidade='00100')X</v>
      </c>
      <c r="J380" s="34" t="str">
        <f>"(SELECT "&amp;VLOOKUP(B380,'0. Instruções'!$C$27:$G$32,4,FALSE)&amp;" AS "&amp;VLOOKUP(B380,'0. Instruções'!$C$27:$G$32,4,FALSE)&amp;"_SIMUL, "&amp;F380&amp;" AS "&amp;F380&amp;"_SIMUL FROM "&amp;E380&amp;" WHERE "&amp;'0. Instruções'!$D$43&amp;")Y"</f>
        <v>(SELECT entty_id AS entty_id_SIMUL, dt_fnncl_sttmts_prvs AS dt_fnncl_sttmts_prvs_SIMUL FROM BU_LOANTAPE_WORK.SIMUL_LT003_ENTITY WHERE ref_date='${ref_date}' AND nome_perimetro='Individual Local' AND segmento='ESTR' AND ambito='PILAR3' AND entidade='00100')Y</v>
      </c>
      <c r="K380" s="35" t="str">
        <f>+UPPER("ON X."&amp;VLOOKUP(B380,'0. Instruções'!$C$27:$G$32,4,FALSE)&amp;"=Y."&amp;VLOOKUP(B380,'0. Instruções'!$C$27:$G$32,4,FALSE)&amp;"_SIMUL")</f>
        <v>ON X.ENTTY_ID=Y.ENTTY_ID_SIMUL</v>
      </c>
      <c r="L380" s="35" t="str">
        <f>+IF(C380="Coerência", +IF(LEFT(G380,5)="FLOAT","SELECT '"&amp;UPPER(B380)&amp;"' AS TABELA, '"&amp;UPPER(C380)&amp;"' AS TIPOLOGIA_TESTE,'"&amp;D380&amp;"' AS TABELA_LT,'"&amp;E380&amp;"' AS TABELA_SIMUL,'"&amp;F380&amp;"' AS CAMPO, "&amp;"'${ref_date}' AS REF_DATE, COUNT(*) AS NUM_REG, SUM(IF((ABS(COALESCE(CAST(X."&amp;F380&amp;" AS DECIMAL(18,6)),0)-COALESCE(CAST(Y."&amp;F380&amp;"_SIMUL AS DECIMAL(18,6)),0))&gt;0.000001) OR (X."&amp;F380&amp;" IS NULL AND Y."&amp;F380&amp;"_SIMUL IS NOT NULL ) OR (X."&amp;F380&amp;" IS NOT NULL AND Y."&amp;F380&amp;"_SIMUL IS NULL),1,0)) AS NUM_REG_DIF,'"&amp;MAX('ID1&amp;5'!K:K)+1&amp;"' AS ID_EXEC, CURRENT_TIMESTAMP() AS TIME_EXEC FROM "&amp;I380&amp;" INNER JOIN "&amp;J380&amp;" "&amp;K380,"SELECT '"&amp;UPPER(B380)&amp;"' AS TABELA, '"&amp;UPPER(C380)&amp;"' AS TIPOLOGIA_TESTE,'"&amp;D380&amp;"' AS TABELA_LT,'"&amp;E380&amp;"' AS TABELA_SIMUL,'"&amp;F380&amp;"' AS CAMPO, "&amp;"'${ref_date}' AS REF_DATE, COUNT(*) AS NUM_REG, SUM(IF(COALESCE(CAST(X."&amp;F380&amp;" AS STRING),'')&lt;&gt;COALESCE(CAST(Y."&amp;F380&amp;"_SIMUL AS STRING),'') OR (X."&amp;F380&amp;" IS NULL AND Y."&amp;F380&amp;"_SIMUL IS NOT NULL ) OR (X."&amp;F380&amp;" IS NOT NULL AND Y."&amp;F380&amp;"_SIMUL IS NULL),1,0)) AS NUM_REG_DIF,'"&amp;MAX('ID1&amp;5'!L:L)+1&amp;"' AS ID_EXEC, CURRENT_TIMESTAMP() AS TIME_EXEC FROM "&amp;I380&amp;" INNER JOIN "&amp;J380&amp;" "&amp;K380),
IF(C380="Validade",+IF(G380="Code List","SELECT '"&amp;UPPER(B380)&amp;"' AS TABELA, '"&amp;UPPER(C380)&amp;"' AS TIPOLOGIA_TESTE,'"&amp;D380&amp;"' AS TABELA_LT,'N/A' AS TABELA_SIMUL,'"&amp;F380&amp;"' AS CAMPO, "&amp;"'${ref_date}' AS REF_DATE, COUNT(*) AS NUM_REG, SUM(IF(TRIM(CAST(X."&amp;F380&amp;" AS STRING))='' OR TRIM(CAST(X."&amp;F380&amp;" AS STRING)) IS NULL OR CAST(X."&amp;F380&amp;" AS STRING) NOT "&amp;H380&amp;",1,0)) AS NUM_REG_DIF,'"&amp;MAX('ID1&amp;5'!K:K)+1&amp;"' AS ID_EXEC, CURRENT_TIMESTAMP() AS TIME_EXEC FROM "&amp;I380,"SELECT '"&amp;UPPER(B380)&amp;"' AS TABELA, '"&amp;UPPER(C380)&amp;"' AS TIPOLOGIA_TESTE,'"&amp;D380&amp;"' AS TABELA_LT,'N/A' AS TABELA_SIMUL,'"&amp;F380&amp;"' AS CAMPO, "&amp;"'${ref_date}' AS REF_DATE, COUNT(*) AS NUM_REG, SUM(IF(TRIM(CAST(X."&amp;F380&amp;" AS STRING))='' OR TRIM(CAST(X."&amp;F380&amp;" AS STRING)) IS NULL,1,0)) AS NUM_REG_DIF,'"&amp;MAX('ID1&amp;5'!K:K)+1&amp;"' AS ID_EXEC, CURRENT_TIMESTAMP() AS TIME_EXEC FROM "&amp;I380),
IF(C380="Caracteres Especiais",+"SELECT '"&amp;UPPER(B380)&amp;"' AS TABELA, '"&amp;UPPER(C380)&amp;"' AS TIPOLOGIA_TESTE,'"&amp;D380&amp;"' AS TABELA_LT,'N/A' AS TABELA_SIMUL,'"&amp;F380&amp;"' AS CAMPO, "&amp;"'${ref_date}' AS REF_DATE, COUNT(*) AS NUM_REG, SUM(IF(REGEXP_REPLACE(TRIM(CAST(X."&amp;F380&amp;" AS STRING)),'[^a-zA-Z0-9_\\s]','') &lt;&gt;TRIM(CAST(X."&amp;F380&amp;" AS STRING)),1,0)) AS NUM_REG_DIF,'"&amp;MAX('ID1&amp;5'!K:K)+1&amp;"' AS ID_EXEC, CURRENT_TIMESTAMP() AS TIME_EXEC FROM "&amp;I380,
IF(C380="Missings",+"SELECT '"&amp;UPPER(B380)&amp;"' AS TABELA, '"&amp;UPPER(C380)&amp;"' AS TIPOLOGIA_TESTE,'"&amp;D380&amp;"' AS TABELA_LT,'N/A' AS TABELA_SIMUL,'"&amp;F380&amp;"' AS CAMPO, "&amp;"'${ref_date}' AS REF_DATE, COUNT(*) AS NUM_REG, SUM(IF(TRIM(CAST(X."&amp;F380&amp;" AS STRING)) IN ('0000-00-00','0001-01-01','9999-12-31','MISS','00000','99999999999','99999999999.00','99999999999.000000'),1,0)) AS NUM_REG_DIF,'"&amp;MAX('ID1&amp;5'!K:K)+1&amp;"' AS ID_EXEC, CURRENT_TIMESTAMP() AS TIME_EXEC FROM "&amp;I380,
IF(C380="Not applicable",+"SELECT '"&amp;UPPER(B380)&amp;"' AS TABELA, '"&amp;UPPER(C380)&amp;"' AS TIPOLOGIA_TESTE,'"&amp;D380&amp;"' AS TABELA_LT,'N/A' AS TABELA_SIMUL,'"&amp;F380&amp;"' AS CAMPO, "&amp;"'${ref_date}' AS REF_DATE, COUNT(*) AS NUM_REG, SUM(IF(TRIM(CAST(X."&amp;F380&amp;" AS STRING)) IN ('N/A','11111111111','11111111111.00','11111111111.000000','1111-11-11'),1,0)) AS NUM_REG_DIF,'"&amp;MAX('ID1&amp;5'!K:K)+1&amp;"' AS ID_EXEC, CURRENT_TIMESTAMP() AS TIME_EXEC FROM "&amp;I380,
IF(C380="Valores extremos",+"SELECT '"&amp;UPPER(B380)&amp;"' AS TABELA, '"&amp;UPPER(C380)&amp;"' AS TIPOLOGIA_TESTE,'"&amp;D380&amp;"' AS TABELA_LT,'N/A' AS TABELA_SIMUL,'"&amp;F380&amp;"' AS CAMPO, "&amp;"'${ref_date}' AS REF_DATE, CAST(MIN("&amp;F380&amp;") AS STRING) AS VALOR_MIN, CAST(MAX("&amp;F380&amp;") AS STRING) AS VALOR_MAX,'"&amp;MAX('ID1&amp;5'!K:K)+1&amp;"' AS ID_EXEC, CURRENT_TIMESTAMP() AS TIME_EXEC FROM "&amp;MID(I380,1,LEN(I380)-2)&amp;" AND CAST("&amp;F380&amp;"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TABELA_SIMUL,'dt_fnncl_sttmts_prvs' AS CAMPO, '${ref_date}' AS REF_DATE, COUNT(*) AS NUM_REG, SUM(IF(COALESCE(CAST(X.dt_fnncl_sttmts_prvs AS STRING),'')&lt;&gt;COALESCE(CAST(Y.dt_fnncl_sttmts_prvs_SIMUL AS STRING),'') OR (X.dt_fnncl_sttmts_prvs IS NULL AND Y.dt_fnncl_sttmts_prvs_SIMUL IS NOT NULL ) OR (X.dt_fnncl_sttmts_prvs IS NOT NULL AND Y.dt_fnncl_sttmts_prvs_SIMUL IS NULL),1,0)) AS NUM_REG_DIF,'1' AS ID_EXEC, CURRENT_TIMESTAMP() AS TIME_EXEC FROM (SELECT entty_id, dt_fnncl_sttmts_prvs FROM BU_LOANTAPE_WORK.LT003_ENTITY WHERE ref_date='${ref_date}' AND nome_perimetro='Individual Local' AND segmento='ESTR' AND ambito='SRB_MBDT' AND entidade='00100')X INNER JOIN (SELECT entty_id AS entty_id_SIMUL, dt_fnncl_sttmts_prvs AS dt_fnncl_sttmts_prvs_SIMUL FROM BU_LOANTAPE_WORK.SIMUL_LT003_ENTITY WHERE ref_date='${ref_date}' AND nome_perimetro='Individual Local' AND segmento='ESTR' AND ambito='PILAR3' AND entidade='00100')Y ON X.ENTTY_ID=Y.ENTTY_ID_SIMUL</v>
      </c>
      <c r="M380" s="36" t="str">
        <f t="shared" si="9"/>
        <v>UNION ALL SELECT 'ENTITY' AS TABELA, 'COERÊNCIA' AS TIPOLOGIA_TESTE,'BU_LOANTAPE_WORK.LT003_ENTITY' AS TABELA_LT,'BU_LOANTAPE_WORK.SIMUL_LT003_ENTITY' AS TABELA_SIMUL,'dt_fnncl_sttmts_prvs' AS CAMPO, '${ref_date}' AS REF_DATE, COUNT(*) AS NUM_REG, SUM(IF(COALESCE(CAST(X.dt_fnncl_sttmts_prvs AS STRING),'')&lt;&gt;COALESCE(CAST(Y.dt_fnncl_sttmts_prvs_SIMUL AS STRING),'') OR (X.dt_fnncl_sttmts_prvs IS NULL AND Y.dt_fnncl_sttmts_prvs_SIMUL IS NOT NULL ) OR (X.dt_fnncl_sttmts_prvs IS NOT NULL AND Y.dt_fnncl_sttmts_prvs_SIMUL IS NULL),1,0)) AS NUM_REG_DIF,'1' AS ID_EXEC, CURRENT_TIMESTAMP() AS TIME_EXEC FROM (SELECT entty_id, dt_fnncl_sttmts_prvs FROM BU_LOANTAPE_WORK.LT003_ENTITY WHERE ref_date='${ref_date}' AND nome_perimetro='Individual Local' AND segmento='ESTR' AND ambito='SRB_MBDT' AND entidade='00100')X INNER JOIN (SELECT entty_id AS entty_id_SIMUL, dt_fnncl_sttmts_prvs AS dt_fnncl_sttmts_prvs_SIMUL FROM BU_LOANTAPE_WORK.SIMUL_LT003_ENTITY WHERE ref_date='${ref_date}' AND nome_perimetro='Individual Local' AND segmento='ESTR' AND ambito='PILAR3' AND entidade='00100')Y ON X.ENTTY_ID=Y.ENTTY_ID_SIMUL</v>
      </c>
    </row>
    <row r="381" spans="2:14">
      <c r="B381" s="34" t="s">
        <v>118</v>
      </c>
      <c r="C381" s="34" t="s">
        <v>5</v>
      </c>
      <c r="D381" s="34" t="str">
        <f>+UPPER('0. Instruções'!$D$35&amp;"."&amp;VLOOKUP(B381,'0. Instruções'!$C$27:$D$32,2,FALSE))</f>
        <v>BU_LOANTAPE_WORK.LT003_ENTITY</v>
      </c>
      <c r="E381" s="34" t="str">
        <f>+UPPER('0. Instruções'!$D$36&amp;"."&amp;VLOOKUP(B381,'0. Instruções'!$C$27:$E$32,3,FALSE))</f>
        <v>BU_LOANTAPE_WORK.SIMUL_LT003_ENTITY</v>
      </c>
      <c r="F381" s="34" t="s">
        <v>1419</v>
      </c>
      <c r="G381" s="34"/>
      <c r="H381" s="34"/>
      <c r="I381" s="34" t="str">
        <f>"(SELECT "&amp;VLOOKUP(B381,'0. Instruções'!$C$27:$G$32,4,FALSE)&amp;", "&amp;F381&amp;" FROM "&amp;D381&amp;" WHERE "&amp;'0. Instruções'!$D$42&amp;")X"</f>
        <v>(SELECT entty_id, dt_inttn_lgl_prcdngs_le FROM BU_LOANTAPE_WORK.LT003_ENTITY WHERE ref_date='${ref_date}' AND nome_perimetro='Individual Local' AND segmento='ESTR' AND ambito='SRB_MBDT' AND entidade='00100')X</v>
      </c>
      <c r="J381" s="34" t="str">
        <f>"(SELECT "&amp;VLOOKUP(B381,'0. Instruções'!$C$27:$G$32,4,FALSE)&amp;" AS "&amp;VLOOKUP(B381,'0. Instruções'!$C$27:$G$32,4,FALSE)&amp;"_SIMUL, "&amp;F381&amp;" AS "&amp;F381&amp;"_SIMUL FROM "&amp;E381&amp;" WHERE "&amp;'0. Instruções'!$D$43&amp;")Y"</f>
        <v>(SELECT entty_id AS entty_id_SIMUL, dt_inttn_lgl_prcdngs_le AS dt_inttn_lgl_prcdngs_le_SIMUL FROM BU_LOANTAPE_WORK.SIMUL_LT003_ENTITY WHERE ref_date='${ref_date}' AND nome_perimetro='Individual Local' AND segmento='ESTR' AND ambito='PILAR3' AND entidade='00100')Y</v>
      </c>
      <c r="K381" s="35" t="str">
        <f>+UPPER("ON X."&amp;VLOOKUP(B381,'0. Instruções'!$C$27:$G$32,4,FALSE)&amp;"=Y."&amp;VLOOKUP(B381,'0. Instruções'!$C$27:$G$32,4,FALSE)&amp;"_SIMUL")</f>
        <v>ON X.ENTTY_ID=Y.ENTTY_ID_SIMUL</v>
      </c>
      <c r="L381" s="35" t="str">
        <f>+IF(C381="Coerência", +IF(LEFT(G381,5)="FLOAT","SELECT '"&amp;UPPER(B381)&amp;"' AS TABELA, '"&amp;UPPER(C381)&amp;"' AS TIPOLOGIA_TESTE,'"&amp;D381&amp;"' AS TABELA_LT,'"&amp;E381&amp;"' AS TABELA_SIMUL,'"&amp;F381&amp;"' AS CAMPO, "&amp;"'${ref_date}' AS REF_DATE, COUNT(*) AS NUM_REG, SUM(IF((ABS(COALESCE(CAST(X."&amp;F381&amp;" AS DECIMAL(18,6)),0)-COALESCE(CAST(Y."&amp;F381&amp;"_SIMUL AS DECIMAL(18,6)),0))&gt;0.000001) OR (X."&amp;F381&amp;" IS NULL AND Y."&amp;F381&amp;"_SIMUL IS NOT NULL ) OR (X."&amp;F381&amp;" IS NOT NULL AND Y."&amp;F381&amp;"_SIMUL IS NULL),1,0)) AS NUM_REG_DIF,'"&amp;MAX('ID1&amp;5'!K:K)+1&amp;"' AS ID_EXEC, CURRENT_TIMESTAMP() AS TIME_EXEC FROM "&amp;I381&amp;" INNER JOIN "&amp;J381&amp;" "&amp;K381,"SELECT '"&amp;UPPER(B381)&amp;"' AS TABELA, '"&amp;UPPER(C381)&amp;"' AS TIPOLOGIA_TESTE,'"&amp;D381&amp;"' AS TABELA_LT,'"&amp;E381&amp;"' AS TABELA_SIMUL,'"&amp;F381&amp;"' AS CAMPO, "&amp;"'${ref_date}' AS REF_DATE, COUNT(*) AS NUM_REG, SUM(IF(COALESCE(CAST(X."&amp;F381&amp;" AS STRING),'')&lt;&gt;COALESCE(CAST(Y."&amp;F381&amp;"_SIMUL AS STRING),'') OR (X."&amp;F381&amp;" IS NULL AND Y."&amp;F381&amp;"_SIMUL IS NOT NULL ) OR (X."&amp;F381&amp;" IS NOT NULL AND Y."&amp;F381&amp;"_SIMUL IS NULL),1,0)) AS NUM_REG_DIF,'"&amp;MAX('ID1&amp;5'!L:L)+1&amp;"' AS ID_EXEC, CURRENT_TIMESTAMP() AS TIME_EXEC FROM "&amp;I381&amp;" INNER JOIN "&amp;J381&amp;" "&amp;K381),
IF(C381="Validade",+IF(G381="Code List","SELECT '"&amp;UPPER(B381)&amp;"' AS TABELA, '"&amp;UPPER(C381)&amp;"' AS TIPOLOGIA_TESTE,'"&amp;D381&amp;"' AS TABELA_LT,'N/A' AS TABELA_SIMUL,'"&amp;F381&amp;"' AS CAMPO, "&amp;"'${ref_date}' AS REF_DATE, COUNT(*) AS NUM_REG, SUM(IF(TRIM(CAST(X."&amp;F381&amp;" AS STRING))='' OR TRIM(CAST(X."&amp;F381&amp;" AS STRING)) IS NULL OR CAST(X."&amp;F381&amp;" AS STRING) NOT "&amp;H381&amp;",1,0)) AS NUM_REG_DIF,'"&amp;MAX('ID1&amp;5'!K:K)+1&amp;"' AS ID_EXEC, CURRENT_TIMESTAMP() AS TIME_EXEC FROM "&amp;I381,"SELECT '"&amp;UPPER(B381)&amp;"' AS TABELA, '"&amp;UPPER(C381)&amp;"' AS TIPOLOGIA_TESTE,'"&amp;D381&amp;"' AS TABELA_LT,'N/A' AS TABELA_SIMUL,'"&amp;F381&amp;"' AS CAMPO, "&amp;"'${ref_date}' AS REF_DATE, COUNT(*) AS NUM_REG, SUM(IF(TRIM(CAST(X."&amp;F381&amp;" AS STRING))='' OR TRIM(CAST(X."&amp;F381&amp;" AS STRING)) IS NULL,1,0)) AS NUM_REG_DIF,'"&amp;MAX('ID1&amp;5'!K:K)+1&amp;"' AS ID_EXEC, CURRENT_TIMESTAMP() AS TIME_EXEC FROM "&amp;I381),
IF(C381="Caracteres Especiais",+"SELECT '"&amp;UPPER(B381)&amp;"' AS TABELA, '"&amp;UPPER(C381)&amp;"' AS TIPOLOGIA_TESTE,'"&amp;D381&amp;"' AS TABELA_LT,'N/A' AS TABELA_SIMUL,'"&amp;F381&amp;"' AS CAMPO, "&amp;"'${ref_date}' AS REF_DATE, COUNT(*) AS NUM_REG, SUM(IF(REGEXP_REPLACE(TRIM(CAST(X."&amp;F381&amp;" AS STRING)),'[^a-zA-Z0-9_\\s]','') &lt;&gt;TRIM(CAST(X."&amp;F381&amp;" AS STRING)),1,0)) AS NUM_REG_DIF,'"&amp;MAX('ID1&amp;5'!K:K)+1&amp;"' AS ID_EXEC, CURRENT_TIMESTAMP() AS TIME_EXEC FROM "&amp;I381,
IF(C381="Missings",+"SELECT '"&amp;UPPER(B381)&amp;"' AS TABELA, '"&amp;UPPER(C381)&amp;"' AS TIPOLOGIA_TESTE,'"&amp;D381&amp;"' AS TABELA_LT,'N/A' AS TABELA_SIMUL,'"&amp;F381&amp;"' AS CAMPO, "&amp;"'${ref_date}' AS REF_DATE, COUNT(*) AS NUM_REG, SUM(IF(TRIM(CAST(X."&amp;F381&amp;" AS STRING)) IN ('0000-00-00','0001-01-01','9999-12-31','MISS','00000','99999999999','99999999999.00','99999999999.000000'),1,0)) AS NUM_REG_DIF,'"&amp;MAX('ID1&amp;5'!K:K)+1&amp;"' AS ID_EXEC, CURRENT_TIMESTAMP() AS TIME_EXEC FROM "&amp;I381,
IF(C381="Not applicable",+"SELECT '"&amp;UPPER(B381)&amp;"' AS TABELA, '"&amp;UPPER(C381)&amp;"' AS TIPOLOGIA_TESTE,'"&amp;D381&amp;"' AS TABELA_LT,'N/A' AS TABELA_SIMUL,'"&amp;F381&amp;"' AS CAMPO, "&amp;"'${ref_date}' AS REF_DATE, COUNT(*) AS NUM_REG, SUM(IF(TRIM(CAST(X."&amp;F381&amp;" AS STRING)) IN ('N/A','11111111111','11111111111.00','11111111111.000000','1111-11-11'),1,0)) AS NUM_REG_DIF,'"&amp;MAX('ID1&amp;5'!K:K)+1&amp;"' AS ID_EXEC, CURRENT_TIMESTAMP() AS TIME_EXEC FROM "&amp;I381,
IF(C381="Valores extremos",+"SELECT '"&amp;UPPER(B381)&amp;"' AS TABELA, '"&amp;UPPER(C381)&amp;"' AS TIPOLOGIA_TESTE,'"&amp;D381&amp;"' AS TABELA_LT,'N/A' AS TABELA_SIMUL,'"&amp;F381&amp;"' AS CAMPO, "&amp;"'${ref_date}' AS REF_DATE, CAST(MIN("&amp;F381&amp;") AS STRING) AS VALOR_MIN, CAST(MAX("&amp;F381&amp;") AS STRING) AS VALOR_MAX,'"&amp;MAX('ID1&amp;5'!K:K)+1&amp;"' AS ID_EXEC, CURRENT_TIMESTAMP() AS TIME_EXEC FROM "&amp;MID(I381,1,LEN(I381)-2)&amp;" AND CAST("&amp;F381&amp;"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TABELA_SIMUL,'dt_inttn_lgl_prcdngs_le' AS CAMPO, '${ref_date}' AS REF_DATE, COUNT(*) AS NUM_REG, SUM(IF(COALESCE(CAST(X.dt_inttn_lgl_prcdngs_le AS STRING),'')&lt;&gt;COALESCE(CAST(Y.dt_inttn_lgl_prcdngs_le_SIMUL AS STRING),'') OR (X.dt_inttn_lgl_prcdngs_le IS NULL AND Y.dt_inttn_lgl_prcdngs_le_SIMUL IS NOT NULL ) OR (X.dt_inttn_lgl_prcdngs_le IS NOT NULL AND Y.dt_inttn_lgl_prcdngs_le_SIMUL IS NULL),1,0)) AS NUM_REG_DIF,'1' AS ID_EXEC, CURRENT_TIMESTAMP() AS TIME_EXEC FROM (SELECT entty_id, dt_inttn_lgl_prcdngs_le FROM BU_LOANTAPE_WORK.LT003_ENTITY WHERE ref_date='${ref_date}' AND nome_perimetro='Individual Local' AND segmento='ESTR' AND ambito='SRB_MBDT' AND entidade='00100')X INNER JOIN (SELECT entty_id AS entty_id_SIMUL, dt_inttn_lgl_prcdngs_le AS dt_inttn_lgl_prcdngs_le_SIMUL FROM BU_LOANTAPE_WORK.SIMUL_LT003_ENTITY WHERE ref_date='${ref_date}' AND nome_perimetro='Individual Local' AND segmento='ESTR' AND ambito='PILAR3' AND entidade='00100')Y ON X.ENTTY_ID=Y.ENTTY_ID_SIMUL</v>
      </c>
      <c r="M381" s="36" t="str">
        <f t="shared" si="9"/>
        <v>UNION ALL SELECT 'ENTITY' AS TABELA, 'COERÊNCIA' AS TIPOLOGIA_TESTE,'BU_LOANTAPE_WORK.LT003_ENTITY' AS TABELA_LT,'BU_LOANTAPE_WORK.SIMUL_LT003_ENTITY' AS TABELA_SIMUL,'dt_inttn_lgl_prcdngs_le' AS CAMPO, '${ref_date}' AS REF_DATE, COUNT(*) AS NUM_REG, SUM(IF(COALESCE(CAST(X.dt_inttn_lgl_prcdngs_le AS STRING),'')&lt;&gt;COALESCE(CAST(Y.dt_inttn_lgl_prcdngs_le_SIMUL AS STRING),'') OR (X.dt_inttn_lgl_prcdngs_le IS NULL AND Y.dt_inttn_lgl_prcdngs_le_SIMUL IS NOT NULL ) OR (X.dt_inttn_lgl_prcdngs_le IS NOT NULL AND Y.dt_inttn_lgl_prcdngs_le_SIMUL IS NULL),1,0)) AS NUM_REG_DIF,'1' AS ID_EXEC, CURRENT_TIMESTAMP() AS TIME_EXEC FROM (SELECT entty_id, dt_inttn_lgl_prcdngs_le FROM BU_LOANTAPE_WORK.LT003_ENTITY WHERE ref_date='${ref_date}' AND nome_perimetro='Individual Local' AND segmento='ESTR' AND ambito='SRB_MBDT' AND entidade='00100')X INNER JOIN (SELECT entty_id AS entty_id_SIMUL, dt_inttn_lgl_prcdngs_le AS dt_inttn_lgl_prcdngs_le_SIMUL FROM BU_LOANTAPE_WORK.SIMUL_LT003_ENTITY WHERE ref_date='${ref_date}' AND nome_perimetro='Individual Local' AND segmento='ESTR' AND ambito='PILAR3' AND entidade='00100')Y ON X.ENTTY_ID=Y.ENTTY_ID_SIMUL</v>
      </c>
    </row>
    <row r="382" spans="2:14">
      <c r="B382" s="34" t="s">
        <v>118</v>
      </c>
      <c r="C382" s="34" t="s">
        <v>5</v>
      </c>
      <c r="D382" s="34" t="str">
        <f>+UPPER('0. Instruções'!$D$35&amp;"."&amp;VLOOKUP(B382,'0. Instruções'!$C$27:$D$32,2,FALSE))</f>
        <v>BU_LOANTAPE_WORK.LT003_ENTITY</v>
      </c>
      <c r="E382" s="34" t="str">
        <f>+UPPER('0. Instruções'!$D$36&amp;"."&amp;VLOOKUP(B382,'0. Instruções'!$C$27:$E$32,3,FALSE))</f>
        <v>BU_LOANTAPE_WORK.SIMUL_LT003_ENTITY</v>
      </c>
      <c r="F382" s="34" t="s">
        <v>287</v>
      </c>
      <c r="G382" s="34"/>
      <c r="H382" s="34"/>
      <c r="I382" s="34" t="str">
        <f>"(SELECT "&amp;VLOOKUP(B382,'0. Instruções'!$C$27:$G$32,4,FALSE)&amp;", "&amp;F382&amp;" FROM "&amp;D382&amp;" WHERE "&amp;'0. Instruções'!$D$42&amp;")X"</f>
        <v>(SELECT entty_id, dt_prfrmng_stts_le FROM BU_LOANTAPE_WORK.LT003_ENTITY WHERE ref_date='${ref_date}' AND nome_perimetro='Individual Local' AND segmento='ESTR' AND ambito='SRB_MBDT' AND entidade='00100')X</v>
      </c>
      <c r="J382" s="34" t="str">
        <f>"(SELECT "&amp;VLOOKUP(B382,'0. Instruções'!$C$27:$G$32,4,FALSE)&amp;" AS "&amp;VLOOKUP(B382,'0. Instruções'!$C$27:$G$32,4,FALSE)&amp;"_SIMUL, "&amp;F382&amp;" AS "&amp;F382&amp;"_SIMUL FROM "&amp;E382&amp;" WHERE "&amp;'0. Instruções'!$D$43&amp;")Y"</f>
        <v>(SELECT entty_id AS entty_id_SIMUL, dt_prfrmng_stts_le AS dt_prfrmng_stts_le_SIMUL FROM BU_LOANTAPE_WORK.SIMUL_LT003_ENTITY WHERE ref_date='${ref_date}' AND nome_perimetro='Individual Local' AND segmento='ESTR' AND ambito='PILAR3' AND entidade='00100')Y</v>
      </c>
      <c r="K382" s="35" t="str">
        <f>+UPPER("ON X."&amp;VLOOKUP(B382,'0. Instruções'!$C$27:$G$32,4,FALSE)&amp;"=Y."&amp;VLOOKUP(B382,'0. Instruções'!$C$27:$G$32,4,FALSE)&amp;"_SIMUL")</f>
        <v>ON X.ENTTY_ID=Y.ENTTY_ID_SIMUL</v>
      </c>
      <c r="L382" s="35" t="str">
        <f>+IF(C382="Coerência", +IF(LEFT(G382,5)="FLOAT","SELECT '"&amp;UPPER(B382)&amp;"' AS TABELA, '"&amp;UPPER(C382)&amp;"' AS TIPOLOGIA_TESTE,'"&amp;D382&amp;"' AS TABELA_LT,'"&amp;E382&amp;"' AS TABELA_SIMUL,'"&amp;F382&amp;"' AS CAMPO, "&amp;"'${ref_date}' AS REF_DATE, COUNT(*) AS NUM_REG, SUM(IF((ABS(COALESCE(CAST(X."&amp;F382&amp;" AS DECIMAL(18,6)),0)-COALESCE(CAST(Y."&amp;F382&amp;"_SIMUL AS DECIMAL(18,6)),0))&gt;0.000001) OR (X."&amp;F382&amp;" IS NULL AND Y."&amp;F382&amp;"_SIMUL IS NOT NULL ) OR (X."&amp;F382&amp;" IS NOT NULL AND Y."&amp;F382&amp;"_SIMUL IS NULL),1,0)) AS NUM_REG_DIF,'"&amp;MAX('ID1&amp;5'!K:K)+1&amp;"' AS ID_EXEC, CURRENT_TIMESTAMP() AS TIME_EXEC FROM "&amp;I382&amp;" INNER JOIN "&amp;J382&amp;" "&amp;K382,"SELECT '"&amp;UPPER(B382)&amp;"' AS TABELA, '"&amp;UPPER(C382)&amp;"' AS TIPOLOGIA_TESTE,'"&amp;D382&amp;"' AS TABELA_LT,'"&amp;E382&amp;"' AS TABELA_SIMUL,'"&amp;F382&amp;"' AS CAMPO, "&amp;"'${ref_date}' AS REF_DATE, COUNT(*) AS NUM_REG, SUM(IF(COALESCE(CAST(X."&amp;F382&amp;" AS STRING),'')&lt;&gt;COALESCE(CAST(Y."&amp;F382&amp;"_SIMUL AS STRING),'') OR (X."&amp;F382&amp;" IS NULL AND Y."&amp;F382&amp;"_SIMUL IS NOT NULL ) OR (X."&amp;F382&amp;" IS NOT NULL AND Y."&amp;F382&amp;"_SIMUL IS NULL),1,0)) AS NUM_REG_DIF,'"&amp;MAX('ID1&amp;5'!L:L)+1&amp;"' AS ID_EXEC, CURRENT_TIMESTAMP() AS TIME_EXEC FROM "&amp;I382&amp;" INNER JOIN "&amp;J382&amp;" "&amp;K382),
IF(C382="Validade",+IF(G382="Code List","SELECT '"&amp;UPPER(B382)&amp;"' AS TABELA, '"&amp;UPPER(C382)&amp;"' AS TIPOLOGIA_TESTE,'"&amp;D382&amp;"' AS TABELA_LT,'N/A' AS TABELA_SIMUL,'"&amp;F382&amp;"' AS CAMPO, "&amp;"'${ref_date}' AS REF_DATE, COUNT(*) AS NUM_REG, SUM(IF(TRIM(CAST(X."&amp;F382&amp;" AS STRING))='' OR TRIM(CAST(X."&amp;F382&amp;" AS STRING)) IS NULL OR CAST(X."&amp;F382&amp;" AS STRING) NOT "&amp;H382&amp;",1,0)) AS NUM_REG_DIF,'"&amp;MAX('ID1&amp;5'!K:K)+1&amp;"' AS ID_EXEC, CURRENT_TIMESTAMP() AS TIME_EXEC FROM "&amp;I382,"SELECT '"&amp;UPPER(B382)&amp;"' AS TABELA, '"&amp;UPPER(C382)&amp;"' AS TIPOLOGIA_TESTE,'"&amp;D382&amp;"' AS TABELA_LT,'N/A' AS TABELA_SIMUL,'"&amp;F382&amp;"' AS CAMPO, "&amp;"'${ref_date}' AS REF_DATE, COUNT(*) AS NUM_REG, SUM(IF(TRIM(CAST(X."&amp;F382&amp;" AS STRING))='' OR TRIM(CAST(X."&amp;F382&amp;" AS STRING)) IS NULL,1,0)) AS NUM_REG_DIF,'"&amp;MAX('ID1&amp;5'!K:K)+1&amp;"' AS ID_EXEC, CURRENT_TIMESTAMP() AS TIME_EXEC FROM "&amp;I382),
IF(C382="Caracteres Especiais",+"SELECT '"&amp;UPPER(B382)&amp;"' AS TABELA, '"&amp;UPPER(C382)&amp;"' AS TIPOLOGIA_TESTE,'"&amp;D382&amp;"' AS TABELA_LT,'N/A' AS TABELA_SIMUL,'"&amp;F382&amp;"' AS CAMPO, "&amp;"'${ref_date}' AS REF_DATE, COUNT(*) AS NUM_REG, SUM(IF(REGEXP_REPLACE(TRIM(CAST(X."&amp;F382&amp;" AS STRING)),'[^a-zA-Z0-9_\\s]','') &lt;&gt;TRIM(CAST(X."&amp;F382&amp;" AS STRING)),1,0)) AS NUM_REG_DIF,'"&amp;MAX('ID1&amp;5'!K:K)+1&amp;"' AS ID_EXEC, CURRENT_TIMESTAMP() AS TIME_EXEC FROM "&amp;I382,
IF(C382="Missings",+"SELECT '"&amp;UPPER(B382)&amp;"' AS TABELA, '"&amp;UPPER(C382)&amp;"' AS TIPOLOGIA_TESTE,'"&amp;D382&amp;"' AS TABELA_LT,'N/A' AS TABELA_SIMUL,'"&amp;F382&amp;"' AS CAMPO, "&amp;"'${ref_date}' AS REF_DATE, COUNT(*) AS NUM_REG, SUM(IF(TRIM(CAST(X."&amp;F382&amp;" AS STRING)) IN ('0000-00-00','0001-01-01','9999-12-31','MISS','00000','99999999999','99999999999.00','99999999999.000000'),1,0)) AS NUM_REG_DIF,'"&amp;MAX('ID1&amp;5'!K:K)+1&amp;"' AS ID_EXEC, CURRENT_TIMESTAMP() AS TIME_EXEC FROM "&amp;I382,
IF(C382="Not applicable",+"SELECT '"&amp;UPPER(B382)&amp;"' AS TABELA, '"&amp;UPPER(C382)&amp;"' AS TIPOLOGIA_TESTE,'"&amp;D382&amp;"' AS TABELA_LT,'N/A' AS TABELA_SIMUL,'"&amp;F382&amp;"' AS CAMPO, "&amp;"'${ref_date}' AS REF_DATE, COUNT(*) AS NUM_REG, SUM(IF(TRIM(CAST(X."&amp;F382&amp;" AS STRING)) IN ('N/A','11111111111','11111111111.00','11111111111.000000','1111-11-11'),1,0)) AS NUM_REG_DIF,'"&amp;MAX('ID1&amp;5'!K:K)+1&amp;"' AS ID_EXEC, CURRENT_TIMESTAMP() AS TIME_EXEC FROM "&amp;I382,
IF(C382="Valores extremos",+"SELECT '"&amp;UPPER(B382)&amp;"' AS TABELA, '"&amp;UPPER(C382)&amp;"' AS TIPOLOGIA_TESTE,'"&amp;D382&amp;"' AS TABELA_LT,'N/A' AS TABELA_SIMUL,'"&amp;F382&amp;"' AS CAMPO, "&amp;"'${ref_date}' AS REF_DATE, CAST(MIN("&amp;F382&amp;") AS STRING) AS VALOR_MIN, CAST(MAX("&amp;F382&amp;") AS STRING) AS VALOR_MAX,'"&amp;MAX('ID1&amp;5'!K:K)+1&amp;"' AS ID_EXEC, CURRENT_TIMESTAMP() AS TIME_EXEC FROM "&amp;MID(I382,1,LEN(I382)-2)&amp;" AND CAST("&amp;F382&amp;"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TABELA_SIMUL,'dt_prfrmng_stts_le' AS CAMPO, '${ref_date}' AS REF_DATE, COUNT(*) AS NUM_REG, SUM(IF(COALESCE(CAST(X.dt_prfrmng_stts_le AS STRING),'')&lt;&gt;COALESCE(CAST(Y.dt_prfrmng_stts_le_SIMUL AS STRING),'') OR (X.dt_prfrmng_stts_le IS NULL AND Y.dt_prfrmng_stts_le_SIMUL IS NOT NULL ) OR (X.dt_prfrmng_stts_le IS NOT NULL AND Y.dt_prfrmng_stts_le_SIMUL IS NULL),1,0)) AS NUM_REG_DIF,'1' AS ID_EXEC, CURRENT_TIMESTAMP() AS TIME_EXEC FROM (SELECT entty_id, dt_prfrmng_stts_le FROM BU_LOANTAPE_WORK.LT003_ENTITY WHERE ref_date='${ref_date}' AND nome_perimetro='Individual Local' AND segmento='ESTR' AND ambito='SRB_MBDT' AND entidade='00100')X INNER JOIN (SELECT entty_id AS entty_id_SIMUL, dt_prfrmng_stts_le AS dt_prfrmng_stts_le_SIMUL FROM BU_LOANTAPE_WORK.SIMUL_LT003_ENTITY WHERE ref_date='${ref_date}' AND nome_perimetro='Individual Local' AND segmento='ESTR' AND ambito='PILAR3' AND entidade='00100')Y ON X.ENTTY_ID=Y.ENTTY_ID_SIMUL</v>
      </c>
      <c r="M382" s="36" t="str">
        <f t="shared" si="9"/>
        <v>UNION ALL SELECT 'ENTITY' AS TABELA, 'COERÊNCIA' AS TIPOLOGIA_TESTE,'BU_LOANTAPE_WORK.LT003_ENTITY' AS TABELA_LT,'BU_LOANTAPE_WORK.SIMUL_LT003_ENTITY' AS TABELA_SIMUL,'dt_prfrmng_stts_le' AS CAMPO, '${ref_date}' AS REF_DATE, COUNT(*) AS NUM_REG, SUM(IF(COALESCE(CAST(X.dt_prfrmng_stts_le AS STRING),'')&lt;&gt;COALESCE(CAST(Y.dt_prfrmng_stts_le_SIMUL AS STRING),'') OR (X.dt_prfrmng_stts_le IS NULL AND Y.dt_prfrmng_stts_le_SIMUL IS NOT NULL ) OR (X.dt_prfrmng_stts_le IS NOT NULL AND Y.dt_prfrmng_stts_le_SIMUL IS NULL),1,0)) AS NUM_REG_DIF,'1' AS ID_EXEC, CURRENT_TIMESTAMP() AS TIME_EXEC FROM (SELECT entty_id, dt_prfrmng_stts_le FROM BU_LOANTAPE_WORK.LT003_ENTITY WHERE ref_date='${ref_date}' AND nome_perimetro='Individual Local' AND segmento='ESTR' AND ambito='SRB_MBDT' AND entidade='00100')X INNER JOIN (SELECT entty_id AS entty_id_SIMUL, dt_prfrmng_stts_le AS dt_prfrmng_stts_le_SIMUL FROM BU_LOANTAPE_WORK.SIMUL_LT003_ENTITY WHERE ref_date='${ref_date}' AND nome_perimetro='Individual Local' AND segmento='ESTR' AND ambito='PILAR3' AND entidade='00100')Y ON X.ENTTY_ID=Y.ENTTY_ID_SIMUL</v>
      </c>
    </row>
    <row r="383" spans="2:14">
      <c r="B383" s="34" t="s">
        <v>118</v>
      </c>
      <c r="C383" s="34" t="s">
        <v>5</v>
      </c>
      <c r="D383" s="34" t="str">
        <f>+UPPER('0. Instruções'!$D$35&amp;"."&amp;VLOOKUP(B383,'0. Instruções'!$C$27:$D$32,2,FALSE))</f>
        <v>BU_LOANTAPE_WORK.LT003_ENTITY</v>
      </c>
      <c r="E383" s="34" t="str">
        <f>+UPPER('0. Instruções'!$D$36&amp;"."&amp;VLOOKUP(B383,'0. Instruções'!$C$27:$E$32,3,FALSE))</f>
        <v>BU_LOANTAPE_WORK.SIMUL_LT003_ENTITY</v>
      </c>
      <c r="F383" s="34" t="s">
        <v>25</v>
      </c>
      <c r="G383" s="34"/>
      <c r="H383" s="34"/>
      <c r="I383" s="34" t="str">
        <f>"(SELECT "&amp;VLOOKUP(B383,'0. Instruções'!$C$27:$G$32,4,FALSE)&amp;", "&amp;F383&amp;" FROM "&amp;D383&amp;" WHERE "&amp;'0. Instruções'!$D$42&amp;")X"</f>
        <v>(SELECT entty_id, entty_id FROM BU_LOANTAPE_WORK.LT003_ENTITY WHERE ref_date='${ref_date}' AND nome_perimetro='Individual Local' AND segmento='ESTR' AND ambito='SRB_MBDT' AND entidade='00100')X</v>
      </c>
      <c r="J383" s="34" t="str">
        <f>"(SELECT "&amp;VLOOKUP(B383,'0. Instruções'!$C$27:$G$32,4,FALSE)&amp;" AS "&amp;VLOOKUP(B383,'0. Instruções'!$C$27:$G$32,4,FALSE)&amp;"_SIMUL, "&amp;F383&amp;" AS "&amp;F383&amp;"_SIMUL FROM "&amp;E383&amp;" WHERE "&amp;'0. Instruções'!$D$43&amp;")Y"</f>
        <v>(SELECT entty_id AS entty_id_SIMUL, entty_id AS entty_id_SIMUL FROM BU_LOANTAPE_WORK.SIMUL_LT003_ENTITY WHERE ref_date='${ref_date}' AND nome_perimetro='Individual Local' AND segmento='ESTR' AND ambito='PILAR3' AND entidade='00100')Y</v>
      </c>
      <c r="K383" s="35" t="str">
        <f>+UPPER("ON X."&amp;VLOOKUP(B383,'0. Instruções'!$C$27:$G$32,4,FALSE)&amp;"=Y."&amp;VLOOKUP(B383,'0. Instruções'!$C$27:$G$32,4,FALSE)&amp;"_SIMUL")</f>
        <v>ON X.ENTTY_ID=Y.ENTTY_ID_SIMUL</v>
      </c>
      <c r="L383" s="35" t="str">
        <f>+IF(C383="Coerência", +IF(LEFT(G383,5)="FLOAT","SELECT '"&amp;UPPER(B383)&amp;"' AS TABELA, '"&amp;UPPER(C383)&amp;"' AS TIPOLOGIA_TESTE,'"&amp;D383&amp;"' AS TABELA_LT,'"&amp;E383&amp;"' AS TABELA_SIMUL,'"&amp;F383&amp;"' AS CAMPO, "&amp;"'${ref_date}' AS REF_DATE, COUNT(*) AS NUM_REG, SUM(IF((ABS(COALESCE(CAST(X."&amp;F383&amp;" AS DECIMAL(18,6)),0)-COALESCE(CAST(Y."&amp;F383&amp;"_SIMUL AS DECIMAL(18,6)),0))&gt;0.000001) OR (X."&amp;F383&amp;" IS NULL AND Y."&amp;F383&amp;"_SIMUL IS NOT NULL ) OR (X."&amp;F383&amp;" IS NOT NULL AND Y."&amp;F383&amp;"_SIMUL IS NULL),1,0)) AS NUM_REG_DIF,'"&amp;MAX('ID1&amp;5'!K:K)+1&amp;"' AS ID_EXEC, CURRENT_TIMESTAMP() AS TIME_EXEC FROM "&amp;I383&amp;" INNER JOIN "&amp;J383&amp;" "&amp;K383,"SELECT '"&amp;UPPER(B383)&amp;"' AS TABELA, '"&amp;UPPER(C383)&amp;"' AS TIPOLOGIA_TESTE,'"&amp;D383&amp;"' AS TABELA_LT,'"&amp;E383&amp;"' AS TABELA_SIMUL,'"&amp;F383&amp;"' AS CAMPO, "&amp;"'${ref_date}' AS REF_DATE, COUNT(*) AS NUM_REG, SUM(IF(COALESCE(CAST(X."&amp;F383&amp;" AS STRING),'')&lt;&gt;COALESCE(CAST(Y."&amp;F383&amp;"_SIMUL AS STRING),'') OR (X."&amp;F383&amp;" IS NULL AND Y."&amp;F383&amp;"_SIMUL IS NOT NULL ) OR (X."&amp;F383&amp;" IS NOT NULL AND Y."&amp;F383&amp;"_SIMUL IS NULL),1,0)) AS NUM_REG_DIF,'"&amp;MAX('ID1&amp;5'!L:L)+1&amp;"' AS ID_EXEC, CURRENT_TIMESTAMP() AS TIME_EXEC FROM "&amp;I383&amp;" INNER JOIN "&amp;J383&amp;" "&amp;K383),
IF(C383="Validade",+IF(G383="Code List","SELECT '"&amp;UPPER(B383)&amp;"' AS TABELA, '"&amp;UPPER(C383)&amp;"' AS TIPOLOGIA_TESTE,'"&amp;D383&amp;"' AS TABELA_LT,'N/A' AS TABELA_SIMUL,'"&amp;F383&amp;"' AS CAMPO, "&amp;"'${ref_date}' AS REF_DATE, COUNT(*) AS NUM_REG, SUM(IF(TRIM(CAST(X."&amp;F383&amp;" AS STRING))='' OR TRIM(CAST(X."&amp;F383&amp;" AS STRING)) IS NULL OR CAST(X."&amp;F383&amp;" AS STRING) NOT "&amp;H383&amp;",1,0)) AS NUM_REG_DIF,'"&amp;MAX('ID1&amp;5'!K:K)+1&amp;"' AS ID_EXEC, CURRENT_TIMESTAMP() AS TIME_EXEC FROM "&amp;I383,"SELECT '"&amp;UPPER(B383)&amp;"' AS TABELA, '"&amp;UPPER(C383)&amp;"' AS TIPOLOGIA_TESTE,'"&amp;D383&amp;"' AS TABELA_LT,'N/A' AS TABELA_SIMUL,'"&amp;F383&amp;"' AS CAMPO, "&amp;"'${ref_date}' AS REF_DATE, COUNT(*) AS NUM_REG, SUM(IF(TRIM(CAST(X."&amp;F383&amp;" AS STRING))='' OR TRIM(CAST(X."&amp;F383&amp;" AS STRING)) IS NULL,1,0)) AS NUM_REG_DIF,'"&amp;MAX('ID1&amp;5'!K:K)+1&amp;"' AS ID_EXEC, CURRENT_TIMESTAMP() AS TIME_EXEC FROM "&amp;I383),
IF(C383="Caracteres Especiais",+"SELECT '"&amp;UPPER(B383)&amp;"' AS TABELA, '"&amp;UPPER(C383)&amp;"' AS TIPOLOGIA_TESTE,'"&amp;D383&amp;"' AS TABELA_LT,'N/A' AS TABELA_SIMUL,'"&amp;F383&amp;"' AS CAMPO, "&amp;"'${ref_date}' AS REF_DATE, COUNT(*) AS NUM_REG, SUM(IF(REGEXP_REPLACE(TRIM(CAST(X."&amp;F383&amp;" AS STRING)),'[^a-zA-Z0-9_\\s]','') &lt;&gt;TRIM(CAST(X."&amp;F383&amp;" AS STRING)),1,0)) AS NUM_REG_DIF,'"&amp;MAX('ID1&amp;5'!K:K)+1&amp;"' AS ID_EXEC, CURRENT_TIMESTAMP() AS TIME_EXEC FROM "&amp;I383,
IF(C383="Missings",+"SELECT '"&amp;UPPER(B383)&amp;"' AS TABELA, '"&amp;UPPER(C383)&amp;"' AS TIPOLOGIA_TESTE,'"&amp;D383&amp;"' AS TABELA_LT,'N/A' AS TABELA_SIMUL,'"&amp;F383&amp;"' AS CAMPO, "&amp;"'${ref_date}' AS REF_DATE, COUNT(*) AS NUM_REG, SUM(IF(TRIM(CAST(X."&amp;F383&amp;" AS STRING)) IN ('0000-00-00','0001-01-01','9999-12-31','MISS','00000','99999999999','99999999999.00','99999999999.000000'),1,0)) AS NUM_REG_DIF,'"&amp;MAX('ID1&amp;5'!K:K)+1&amp;"' AS ID_EXEC, CURRENT_TIMESTAMP() AS TIME_EXEC FROM "&amp;I383,
IF(C383="Not applicable",+"SELECT '"&amp;UPPER(B383)&amp;"' AS TABELA, '"&amp;UPPER(C383)&amp;"' AS TIPOLOGIA_TESTE,'"&amp;D383&amp;"' AS TABELA_LT,'N/A' AS TABELA_SIMUL,'"&amp;F383&amp;"' AS CAMPO, "&amp;"'${ref_date}' AS REF_DATE, COUNT(*) AS NUM_REG, SUM(IF(TRIM(CAST(X."&amp;F383&amp;" AS STRING)) IN ('N/A','11111111111','11111111111.00','11111111111.000000','1111-11-11'),1,0)) AS NUM_REG_DIF,'"&amp;MAX('ID1&amp;5'!K:K)+1&amp;"' AS ID_EXEC, CURRENT_TIMESTAMP() AS TIME_EXEC FROM "&amp;I383,
IF(C383="Valores extremos",+"SELECT '"&amp;UPPER(B383)&amp;"' AS TABELA, '"&amp;UPPER(C383)&amp;"' AS TIPOLOGIA_TESTE,'"&amp;D383&amp;"' AS TABELA_LT,'N/A' AS TABELA_SIMUL,'"&amp;F383&amp;"' AS CAMPO, "&amp;"'${ref_date}' AS REF_DATE, CAST(MIN("&amp;F383&amp;") AS STRING) AS VALOR_MIN, CAST(MAX("&amp;F383&amp;") AS STRING) AS VALOR_MAX,'"&amp;MAX('ID1&amp;5'!K:K)+1&amp;"' AS ID_EXEC, CURRENT_TIMESTAMP() AS TIME_EXEC FROM "&amp;MID(I383,1,LEN(I383)-2)&amp;" AND CAST("&amp;F383&amp;"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TABELA_SIMUL,'entty_id' AS CAMPO, '${ref_date}' AS REF_DATE, COUNT(*) AS NUM_REG, SUM(IF(COALESCE(CAST(X.entty_id AS STRING),'')&lt;&gt;COALESCE(CAST(Y.entty_id_SIMUL AS STRING),'') OR (X.entty_id IS NULL AND Y.entty_id_SIMUL IS NOT NULL ) OR (X.entty_id IS NOT NULL AND Y.entty_id_SIMUL IS NULL),1,0)) AS NUM_REG_DIF,'1' AS ID_EXEC, CURRENT_TIMESTAMP() AS TIME_EXEC FROM (SELECT entty_id, entty_id FROM BU_LOANTAPE_WORK.LT003_ENTITY WHERE ref_date='${ref_date}' AND nome_perimetro='Individual Local' AND segmento='ESTR' AND ambito='SRB_MBDT' AND entidade='00100')X INNER JOIN (SELECT entty_id AS entty_id_SIMUL, entty_id AS entty_id_SIMUL FROM BU_LOANTAPE_WORK.SIMUL_LT003_ENTITY WHERE ref_date='${ref_date}' AND nome_perimetro='Individual Local' AND segmento='ESTR' AND ambito='PILAR3' AND entidade='00100')Y ON X.ENTTY_ID=Y.ENTTY_ID_SIMUL</v>
      </c>
      <c r="M383" s="36" t="str">
        <f t="shared" si="9"/>
        <v>UNION ALL SELECT 'ENTITY' AS TABELA, 'COERÊNCIA' AS TIPOLOGIA_TESTE,'BU_LOANTAPE_WORK.LT003_ENTITY' AS TABELA_LT,'BU_LOANTAPE_WORK.SIMUL_LT003_ENTITY' AS TABELA_SIMUL,'entty_id' AS CAMPO, '${ref_date}' AS REF_DATE, COUNT(*) AS NUM_REG, SUM(IF(COALESCE(CAST(X.entty_id AS STRING),'')&lt;&gt;COALESCE(CAST(Y.entty_id_SIMUL AS STRING),'') OR (X.entty_id IS NULL AND Y.entty_id_SIMUL IS NOT NULL ) OR (X.entty_id IS NOT NULL AND Y.entty_id_SIMUL IS NULL),1,0)) AS NUM_REG_DIF,'1' AS ID_EXEC, CURRENT_TIMESTAMP() AS TIME_EXEC FROM (SELECT entty_id, entty_id FROM BU_LOANTAPE_WORK.LT003_ENTITY WHERE ref_date='${ref_date}' AND nome_perimetro='Individual Local' AND segmento='ESTR' AND ambito='SRB_MBDT' AND entidade='00100')X INNER JOIN (SELECT entty_id AS entty_id_SIMUL, entty_id AS entty_id_SIMUL FROM BU_LOANTAPE_WORK.SIMUL_LT003_ENTITY WHERE ref_date='${ref_date}' AND nome_perimetro='Individual Local' AND segmento='ESTR' AND ambito='PILAR3' AND entidade='00100')Y ON X.ENTTY_ID=Y.ENTTY_ID_SIMUL</v>
      </c>
    </row>
    <row r="384" spans="2:14">
      <c r="B384" s="34" t="s">
        <v>118</v>
      </c>
      <c r="C384" s="34" t="s">
        <v>5</v>
      </c>
      <c r="D384" s="34" t="str">
        <f>+UPPER('0. Instruções'!$D$35&amp;"."&amp;VLOOKUP(B384,'0. Instruções'!$C$27:$D$32,2,FALSE))</f>
        <v>BU_LOANTAPE_WORK.LT003_ENTITY</v>
      </c>
      <c r="E384" s="34" t="str">
        <f>+UPPER('0. Instruções'!$D$36&amp;"."&amp;VLOOKUP(B384,'0. Instruções'!$C$27:$E$32,3,FALSE))</f>
        <v>BU_LOANTAPE_WORK.SIMUL_LT003_ENTITY</v>
      </c>
      <c r="F384" s="34" t="s">
        <v>1420</v>
      </c>
      <c r="G384" s="34"/>
      <c r="H384" s="34"/>
      <c r="I384" s="34" t="str">
        <f>"(SELECT "&amp;VLOOKUP(B384,'0. Instruções'!$C$27:$G$32,4,FALSE)&amp;", "&amp;F384&amp;" FROM "&amp;D384&amp;" WHERE "&amp;'0. Instruções'!$D$42&amp;")X"</f>
        <v>(SELECT entty_id, gcc_prnt_id FROM BU_LOANTAPE_WORK.LT003_ENTITY WHERE ref_date='${ref_date}' AND nome_perimetro='Individual Local' AND segmento='ESTR' AND ambito='SRB_MBDT' AND entidade='00100')X</v>
      </c>
      <c r="J384" s="34" t="str">
        <f>"(SELECT "&amp;VLOOKUP(B384,'0. Instruções'!$C$27:$G$32,4,FALSE)&amp;" AS "&amp;VLOOKUP(B384,'0. Instruções'!$C$27:$G$32,4,FALSE)&amp;"_SIMUL, "&amp;F384&amp;" AS "&amp;F384&amp;"_SIMUL FROM "&amp;E384&amp;" WHERE "&amp;'0. Instruções'!$D$43&amp;")Y"</f>
        <v>(SELECT entty_id AS entty_id_SIMUL, gcc_prnt_id AS gcc_prnt_id_SIMUL FROM BU_LOANTAPE_WORK.SIMUL_LT003_ENTITY WHERE ref_date='${ref_date}' AND nome_perimetro='Individual Local' AND segmento='ESTR' AND ambito='PILAR3' AND entidade='00100')Y</v>
      </c>
      <c r="K384" s="35" t="str">
        <f>+UPPER("ON X."&amp;VLOOKUP(B384,'0. Instruções'!$C$27:$G$32,4,FALSE)&amp;"=Y."&amp;VLOOKUP(B384,'0. Instruções'!$C$27:$G$32,4,FALSE)&amp;"_SIMUL")</f>
        <v>ON X.ENTTY_ID=Y.ENTTY_ID_SIMUL</v>
      </c>
      <c r="L384" s="35" t="str">
        <f>+IF(C384="Coerência", +IF(LEFT(G384,5)="FLOAT","SELECT '"&amp;UPPER(B384)&amp;"' AS TABELA, '"&amp;UPPER(C384)&amp;"' AS TIPOLOGIA_TESTE,'"&amp;D384&amp;"' AS TABELA_LT,'"&amp;E384&amp;"' AS TABELA_SIMUL,'"&amp;F384&amp;"' AS CAMPO, "&amp;"'${ref_date}' AS REF_DATE, COUNT(*) AS NUM_REG, SUM(IF((ABS(COALESCE(CAST(X."&amp;F384&amp;" AS DECIMAL(18,6)),0)-COALESCE(CAST(Y."&amp;F384&amp;"_SIMUL AS DECIMAL(18,6)),0))&gt;0.000001) OR (X."&amp;F384&amp;" IS NULL AND Y."&amp;F384&amp;"_SIMUL IS NOT NULL ) OR (X."&amp;F384&amp;" IS NOT NULL AND Y."&amp;F384&amp;"_SIMUL IS NULL),1,0)) AS NUM_REG_DIF,'"&amp;MAX('ID1&amp;5'!K:K)+1&amp;"' AS ID_EXEC, CURRENT_TIMESTAMP() AS TIME_EXEC FROM "&amp;I384&amp;" INNER JOIN "&amp;J384&amp;" "&amp;K384,"SELECT '"&amp;UPPER(B384)&amp;"' AS TABELA, '"&amp;UPPER(C384)&amp;"' AS TIPOLOGIA_TESTE,'"&amp;D384&amp;"' AS TABELA_LT,'"&amp;E384&amp;"' AS TABELA_SIMUL,'"&amp;F384&amp;"' AS CAMPO, "&amp;"'${ref_date}' AS REF_DATE, COUNT(*) AS NUM_REG, SUM(IF(COALESCE(CAST(X."&amp;F384&amp;" AS STRING),'')&lt;&gt;COALESCE(CAST(Y."&amp;F384&amp;"_SIMUL AS STRING),'') OR (X."&amp;F384&amp;" IS NULL AND Y."&amp;F384&amp;"_SIMUL IS NOT NULL ) OR (X."&amp;F384&amp;" IS NOT NULL AND Y."&amp;F384&amp;"_SIMUL IS NULL),1,0)) AS NUM_REG_DIF,'"&amp;MAX('ID1&amp;5'!L:L)+1&amp;"' AS ID_EXEC, CURRENT_TIMESTAMP() AS TIME_EXEC FROM "&amp;I384&amp;" INNER JOIN "&amp;J384&amp;" "&amp;K384),
IF(C384="Validade",+IF(G384="Code List","SELECT '"&amp;UPPER(B384)&amp;"' AS TABELA, '"&amp;UPPER(C384)&amp;"' AS TIPOLOGIA_TESTE,'"&amp;D384&amp;"' AS TABELA_LT,'N/A' AS TABELA_SIMUL,'"&amp;F384&amp;"' AS CAMPO, "&amp;"'${ref_date}' AS REF_DATE, COUNT(*) AS NUM_REG, SUM(IF(TRIM(CAST(X."&amp;F384&amp;" AS STRING))='' OR TRIM(CAST(X."&amp;F384&amp;" AS STRING)) IS NULL OR CAST(X."&amp;F384&amp;" AS STRING) NOT "&amp;H384&amp;",1,0)) AS NUM_REG_DIF,'"&amp;MAX('ID1&amp;5'!K:K)+1&amp;"' AS ID_EXEC, CURRENT_TIMESTAMP() AS TIME_EXEC FROM "&amp;I384,"SELECT '"&amp;UPPER(B384)&amp;"' AS TABELA, '"&amp;UPPER(C384)&amp;"' AS TIPOLOGIA_TESTE,'"&amp;D384&amp;"' AS TABELA_LT,'N/A' AS TABELA_SIMUL,'"&amp;F384&amp;"' AS CAMPO, "&amp;"'${ref_date}' AS REF_DATE, COUNT(*) AS NUM_REG, SUM(IF(TRIM(CAST(X."&amp;F384&amp;" AS STRING))='' OR TRIM(CAST(X."&amp;F384&amp;" AS STRING)) IS NULL,1,0)) AS NUM_REG_DIF,'"&amp;MAX('ID1&amp;5'!K:K)+1&amp;"' AS ID_EXEC, CURRENT_TIMESTAMP() AS TIME_EXEC FROM "&amp;I384),
IF(C384="Caracteres Especiais",+"SELECT '"&amp;UPPER(B384)&amp;"' AS TABELA, '"&amp;UPPER(C384)&amp;"' AS TIPOLOGIA_TESTE,'"&amp;D384&amp;"' AS TABELA_LT,'N/A' AS TABELA_SIMUL,'"&amp;F384&amp;"' AS CAMPO, "&amp;"'${ref_date}' AS REF_DATE, COUNT(*) AS NUM_REG, SUM(IF(REGEXP_REPLACE(TRIM(CAST(X."&amp;F384&amp;" AS STRING)),'[^a-zA-Z0-9_\\s]','') &lt;&gt;TRIM(CAST(X."&amp;F384&amp;" AS STRING)),1,0)) AS NUM_REG_DIF,'"&amp;MAX('ID1&amp;5'!K:K)+1&amp;"' AS ID_EXEC, CURRENT_TIMESTAMP() AS TIME_EXEC FROM "&amp;I384,
IF(C384="Missings",+"SELECT '"&amp;UPPER(B384)&amp;"' AS TABELA, '"&amp;UPPER(C384)&amp;"' AS TIPOLOGIA_TESTE,'"&amp;D384&amp;"' AS TABELA_LT,'N/A' AS TABELA_SIMUL,'"&amp;F384&amp;"' AS CAMPO, "&amp;"'${ref_date}' AS REF_DATE, COUNT(*) AS NUM_REG, SUM(IF(TRIM(CAST(X."&amp;F384&amp;" AS STRING)) IN ('0000-00-00','0001-01-01','9999-12-31','MISS','00000','99999999999','99999999999.00','99999999999.000000'),1,0)) AS NUM_REG_DIF,'"&amp;MAX('ID1&amp;5'!K:K)+1&amp;"' AS ID_EXEC, CURRENT_TIMESTAMP() AS TIME_EXEC FROM "&amp;I384,
IF(C384="Not applicable",+"SELECT '"&amp;UPPER(B384)&amp;"' AS TABELA, '"&amp;UPPER(C384)&amp;"' AS TIPOLOGIA_TESTE,'"&amp;D384&amp;"' AS TABELA_LT,'N/A' AS TABELA_SIMUL,'"&amp;F384&amp;"' AS CAMPO, "&amp;"'${ref_date}' AS REF_DATE, COUNT(*) AS NUM_REG, SUM(IF(TRIM(CAST(X."&amp;F384&amp;" AS STRING)) IN ('N/A','11111111111','11111111111.00','11111111111.000000','1111-11-11'),1,0)) AS NUM_REG_DIF,'"&amp;MAX('ID1&amp;5'!K:K)+1&amp;"' AS ID_EXEC, CURRENT_TIMESTAMP() AS TIME_EXEC FROM "&amp;I384,
IF(C384="Valores extremos",+"SELECT '"&amp;UPPER(B384)&amp;"' AS TABELA, '"&amp;UPPER(C384)&amp;"' AS TIPOLOGIA_TESTE,'"&amp;D384&amp;"' AS TABELA_LT,'N/A' AS TABELA_SIMUL,'"&amp;F384&amp;"' AS CAMPO, "&amp;"'${ref_date}' AS REF_DATE, CAST(MIN("&amp;F384&amp;") AS STRING) AS VALOR_MIN, CAST(MAX("&amp;F384&amp;") AS STRING) AS VALOR_MAX,'"&amp;MAX('ID1&amp;5'!K:K)+1&amp;"' AS ID_EXEC, CURRENT_TIMESTAMP() AS TIME_EXEC FROM "&amp;MID(I384,1,LEN(I384)-2)&amp;" AND CAST("&amp;F384&amp;"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TABELA_SIMUL,'gcc_prnt_id' AS CAMPO, '${ref_date}' AS REF_DATE, COUNT(*) AS NUM_REG, SUM(IF(COALESCE(CAST(X.gcc_prnt_id AS STRING),'')&lt;&gt;COALESCE(CAST(Y.gcc_prnt_id_SIMUL AS STRING),'') OR (X.gcc_prnt_id IS NULL AND Y.gcc_prnt_id_SIMUL IS NOT NULL ) OR (X.gcc_prnt_id IS NOT NULL AND Y.gcc_prnt_id_SIMUL IS NULL),1,0)) AS NUM_REG_DIF,'1' AS ID_EXEC, CURRENT_TIMESTAMP() AS TIME_EXEC FROM (SELECT entty_id, gcc_prnt_id FROM BU_LOANTAPE_WORK.LT003_ENTITY WHERE ref_date='${ref_date}' AND nome_perimetro='Individual Local' AND segmento='ESTR' AND ambito='SRB_MBDT' AND entidade='00100')X INNER JOIN (SELECT entty_id AS entty_id_SIMUL, gcc_prnt_id AS gcc_prnt_id_SIMUL FROM BU_LOANTAPE_WORK.SIMUL_LT003_ENTITY WHERE ref_date='${ref_date}' AND nome_perimetro='Individual Local' AND segmento='ESTR' AND ambito='PILAR3' AND entidade='00100')Y ON X.ENTTY_ID=Y.ENTTY_ID_SIMUL</v>
      </c>
      <c r="M384" s="36" t="str">
        <f t="shared" si="9"/>
        <v>UNION ALL SELECT 'ENTITY' AS TABELA, 'COERÊNCIA' AS TIPOLOGIA_TESTE,'BU_LOANTAPE_WORK.LT003_ENTITY' AS TABELA_LT,'BU_LOANTAPE_WORK.SIMUL_LT003_ENTITY' AS TABELA_SIMUL,'gcc_prnt_id' AS CAMPO, '${ref_date}' AS REF_DATE, COUNT(*) AS NUM_REG, SUM(IF(COALESCE(CAST(X.gcc_prnt_id AS STRING),'')&lt;&gt;COALESCE(CAST(Y.gcc_prnt_id_SIMUL AS STRING),'') OR (X.gcc_prnt_id IS NULL AND Y.gcc_prnt_id_SIMUL IS NOT NULL ) OR (X.gcc_prnt_id IS NOT NULL AND Y.gcc_prnt_id_SIMUL IS NULL),1,0)) AS NUM_REG_DIF,'1' AS ID_EXEC, CURRENT_TIMESTAMP() AS TIME_EXEC FROM (SELECT entty_id, gcc_prnt_id FROM BU_LOANTAPE_WORK.LT003_ENTITY WHERE ref_date='${ref_date}' AND nome_perimetro='Individual Local' AND segmento='ESTR' AND ambito='SRB_MBDT' AND entidade='00100')X INNER JOIN (SELECT entty_id AS entty_id_SIMUL, gcc_prnt_id AS gcc_prnt_id_SIMUL FROM BU_LOANTAPE_WORK.SIMUL_LT003_ENTITY WHERE ref_date='${ref_date}' AND nome_perimetro='Individual Local' AND segmento='ESTR' AND ambito='PILAR3' AND entidade='00100')Y ON X.ENTTY_ID=Y.ENTTY_ID_SIMUL</v>
      </c>
    </row>
    <row r="385" spans="2:13">
      <c r="B385" s="34" t="s">
        <v>118</v>
      </c>
      <c r="C385" s="34" t="s">
        <v>5</v>
      </c>
      <c r="D385" s="34" t="str">
        <f>+UPPER('0. Instruções'!$D$35&amp;"."&amp;VLOOKUP(B385,'0. Instruções'!$C$27:$D$32,2,FALSE))</f>
        <v>BU_LOANTAPE_WORK.LT003_ENTITY</v>
      </c>
      <c r="E385" s="34" t="str">
        <f>+UPPER('0. Instruções'!$D$36&amp;"."&amp;VLOOKUP(B385,'0. Instruções'!$C$27:$E$32,3,FALSE))</f>
        <v>BU_LOANTAPE_WORK.SIMUL_LT003_ENTITY</v>
      </c>
      <c r="F385" s="34" t="s">
        <v>1421</v>
      </c>
      <c r="G385" s="34"/>
      <c r="H385" s="34"/>
      <c r="I385" s="34" t="str">
        <f>"(SELECT "&amp;VLOOKUP(B385,'0. Instruções'!$C$27:$G$32,4,FALSE)&amp;", "&amp;F385&amp;" FROM "&amp;D385&amp;" WHERE "&amp;'0. Instruções'!$D$42&amp;")X"</f>
        <v>(SELECT entty_id, gcc_prnt_nm FROM BU_LOANTAPE_WORK.LT003_ENTITY WHERE ref_date='${ref_date}' AND nome_perimetro='Individual Local' AND segmento='ESTR' AND ambito='SRB_MBDT' AND entidade='00100')X</v>
      </c>
      <c r="J385" s="34" t="str">
        <f>"(SELECT "&amp;VLOOKUP(B385,'0. Instruções'!$C$27:$G$32,4,FALSE)&amp;" AS "&amp;VLOOKUP(B385,'0. Instruções'!$C$27:$G$32,4,FALSE)&amp;"_SIMUL, "&amp;F385&amp;" AS "&amp;F385&amp;"_SIMUL FROM "&amp;E385&amp;" WHERE "&amp;'0. Instruções'!$D$43&amp;")Y"</f>
        <v>(SELECT entty_id AS entty_id_SIMUL, gcc_prnt_nm AS gcc_prnt_nm_SIMUL FROM BU_LOANTAPE_WORK.SIMUL_LT003_ENTITY WHERE ref_date='${ref_date}' AND nome_perimetro='Individual Local' AND segmento='ESTR' AND ambito='PILAR3' AND entidade='00100')Y</v>
      </c>
      <c r="K385" s="35" t="str">
        <f>+UPPER("ON X."&amp;VLOOKUP(B385,'0. Instruções'!$C$27:$G$32,4,FALSE)&amp;"=Y."&amp;VLOOKUP(B385,'0. Instruções'!$C$27:$G$32,4,FALSE)&amp;"_SIMUL")</f>
        <v>ON X.ENTTY_ID=Y.ENTTY_ID_SIMUL</v>
      </c>
      <c r="L385" s="35" t="str">
        <f>+IF(C385="Coerência", +IF(LEFT(G385,5)="FLOAT","SELECT '"&amp;UPPER(B385)&amp;"' AS TABELA, '"&amp;UPPER(C385)&amp;"' AS TIPOLOGIA_TESTE,'"&amp;D385&amp;"' AS TABELA_LT,'"&amp;E385&amp;"' AS TABELA_SIMUL,'"&amp;F385&amp;"' AS CAMPO, "&amp;"'${ref_date}' AS REF_DATE, COUNT(*) AS NUM_REG, SUM(IF((ABS(COALESCE(CAST(X."&amp;F385&amp;" AS DECIMAL(18,6)),0)-COALESCE(CAST(Y."&amp;F385&amp;"_SIMUL AS DECIMAL(18,6)),0))&gt;0.000001) OR (X."&amp;F385&amp;" IS NULL AND Y."&amp;F385&amp;"_SIMUL IS NOT NULL ) OR (X."&amp;F385&amp;" IS NOT NULL AND Y."&amp;F385&amp;"_SIMUL IS NULL),1,0)) AS NUM_REG_DIF,'"&amp;MAX('ID1&amp;5'!K:K)+1&amp;"' AS ID_EXEC, CURRENT_TIMESTAMP() AS TIME_EXEC FROM "&amp;I385&amp;" INNER JOIN "&amp;J385&amp;" "&amp;K385,"SELECT '"&amp;UPPER(B385)&amp;"' AS TABELA, '"&amp;UPPER(C385)&amp;"' AS TIPOLOGIA_TESTE,'"&amp;D385&amp;"' AS TABELA_LT,'"&amp;E385&amp;"' AS TABELA_SIMUL,'"&amp;F385&amp;"' AS CAMPO, "&amp;"'${ref_date}' AS REF_DATE, COUNT(*) AS NUM_REG, SUM(IF(COALESCE(CAST(X."&amp;F385&amp;" AS STRING),'')&lt;&gt;COALESCE(CAST(Y."&amp;F385&amp;"_SIMUL AS STRING),'') OR (X."&amp;F385&amp;" IS NULL AND Y."&amp;F385&amp;"_SIMUL IS NOT NULL ) OR (X."&amp;F385&amp;" IS NOT NULL AND Y."&amp;F385&amp;"_SIMUL IS NULL),1,0)) AS NUM_REG_DIF,'"&amp;MAX('ID1&amp;5'!L:L)+1&amp;"' AS ID_EXEC, CURRENT_TIMESTAMP() AS TIME_EXEC FROM "&amp;I385&amp;" INNER JOIN "&amp;J385&amp;" "&amp;K385),
IF(C385="Validade",+IF(G385="Code List","SELECT '"&amp;UPPER(B385)&amp;"' AS TABELA, '"&amp;UPPER(C385)&amp;"' AS TIPOLOGIA_TESTE,'"&amp;D385&amp;"' AS TABELA_LT,'N/A' AS TABELA_SIMUL,'"&amp;F385&amp;"' AS CAMPO, "&amp;"'${ref_date}' AS REF_DATE, COUNT(*) AS NUM_REG, SUM(IF(TRIM(CAST(X."&amp;F385&amp;" AS STRING))='' OR TRIM(CAST(X."&amp;F385&amp;" AS STRING)) IS NULL OR CAST(X."&amp;F385&amp;" AS STRING) NOT "&amp;H385&amp;",1,0)) AS NUM_REG_DIF,'"&amp;MAX('ID1&amp;5'!K:K)+1&amp;"' AS ID_EXEC, CURRENT_TIMESTAMP() AS TIME_EXEC FROM "&amp;I385,"SELECT '"&amp;UPPER(B385)&amp;"' AS TABELA, '"&amp;UPPER(C385)&amp;"' AS TIPOLOGIA_TESTE,'"&amp;D385&amp;"' AS TABELA_LT,'N/A' AS TABELA_SIMUL,'"&amp;F385&amp;"' AS CAMPO, "&amp;"'${ref_date}' AS REF_DATE, COUNT(*) AS NUM_REG, SUM(IF(TRIM(CAST(X."&amp;F385&amp;" AS STRING))='' OR TRIM(CAST(X."&amp;F385&amp;" AS STRING)) IS NULL,1,0)) AS NUM_REG_DIF,'"&amp;MAX('ID1&amp;5'!K:K)+1&amp;"' AS ID_EXEC, CURRENT_TIMESTAMP() AS TIME_EXEC FROM "&amp;I385),
IF(C385="Caracteres Especiais",+"SELECT '"&amp;UPPER(B385)&amp;"' AS TABELA, '"&amp;UPPER(C385)&amp;"' AS TIPOLOGIA_TESTE,'"&amp;D385&amp;"' AS TABELA_LT,'N/A' AS TABELA_SIMUL,'"&amp;F385&amp;"' AS CAMPO, "&amp;"'${ref_date}' AS REF_DATE, COUNT(*) AS NUM_REG, SUM(IF(REGEXP_REPLACE(TRIM(CAST(X."&amp;F385&amp;" AS STRING)),'[^a-zA-Z0-9_\\s]','') &lt;&gt;TRIM(CAST(X."&amp;F385&amp;" AS STRING)),1,0)) AS NUM_REG_DIF,'"&amp;MAX('ID1&amp;5'!K:K)+1&amp;"' AS ID_EXEC, CURRENT_TIMESTAMP() AS TIME_EXEC FROM "&amp;I385,
IF(C385="Missings",+"SELECT '"&amp;UPPER(B385)&amp;"' AS TABELA, '"&amp;UPPER(C385)&amp;"' AS TIPOLOGIA_TESTE,'"&amp;D385&amp;"' AS TABELA_LT,'N/A' AS TABELA_SIMUL,'"&amp;F385&amp;"' AS CAMPO, "&amp;"'${ref_date}' AS REF_DATE, COUNT(*) AS NUM_REG, SUM(IF(TRIM(CAST(X."&amp;F385&amp;" AS STRING)) IN ('0000-00-00','0001-01-01','9999-12-31','MISS','00000','99999999999','99999999999.00','99999999999.000000'),1,0)) AS NUM_REG_DIF,'"&amp;MAX('ID1&amp;5'!K:K)+1&amp;"' AS ID_EXEC, CURRENT_TIMESTAMP() AS TIME_EXEC FROM "&amp;I385,
IF(C385="Not applicable",+"SELECT '"&amp;UPPER(B385)&amp;"' AS TABELA, '"&amp;UPPER(C385)&amp;"' AS TIPOLOGIA_TESTE,'"&amp;D385&amp;"' AS TABELA_LT,'N/A' AS TABELA_SIMUL,'"&amp;F385&amp;"' AS CAMPO, "&amp;"'${ref_date}' AS REF_DATE, COUNT(*) AS NUM_REG, SUM(IF(TRIM(CAST(X."&amp;F385&amp;" AS STRING)) IN ('N/A','11111111111','11111111111.00','11111111111.000000','1111-11-11'),1,0)) AS NUM_REG_DIF,'"&amp;MAX('ID1&amp;5'!K:K)+1&amp;"' AS ID_EXEC, CURRENT_TIMESTAMP() AS TIME_EXEC FROM "&amp;I385,
IF(C385="Valores extremos",+"SELECT '"&amp;UPPER(B385)&amp;"' AS TABELA, '"&amp;UPPER(C385)&amp;"' AS TIPOLOGIA_TESTE,'"&amp;D385&amp;"' AS TABELA_LT,'N/A' AS TABELA_SIMUL,'"&amp;F385&amp;"' AS CAMPO, "&amp;"'${ref_date}' AS REF_DATE, CAST(MIN("&amp;F385&amp;") AS STRING) AS VALOR_MIN, CAST(MAX("&amp;F385&amp;") AS STRING) AS VALOR_MAX,'"&amp;MAX('ID1&amp;5'!K:K)+1&amp;"' AS ID_EXEC, CURRENT_TIMESTAMP() AS TIME_EXEC FROM "&amp;MID(I385,1,LEN(I385)-2)&amp;" AND CAST("&amp;F385&amp;"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TABELA_SIMUL,'gcc_prnt_nm' AS CAMPO, '${ref_date}' AS REF_DATE, COUNT(*) AS NUM_REG, SUM(IF(COALESCE(CAST(X.gcc_prnt_nm AS STRING),'')&lt;&gt;COALESCE(CAST(Y.gcc_prnt_nm_SIMUL AS STRING),'') OR (X.gcc_prnt_nm IS NULL AND Y.gcc_prnt_nm_SIMUL IS NOT NULL ) OR (X.gcc_prnt_nm IS NOT NULL AND Y.gcc_prnt_nm_SIMUL IS NULL),1,0)) AS NUM_REG_DIF,'1' AS ID_EXEC, CURRENT_TIMESTAMP() AS TIME_EXEC FROM (SELECT entty_id, gcc_prnt_nm FROM BU_LOANTAPE_WORK.LT003_ENTITY WHERE ref_date='${ref_date}' AND nome_perimetro='Individual Local' AND segmento='ESTR' AND ambito='SRB_MBDT' AND entidade='00100')X INNER JOIN (SELECT entty_id AS entty_id_SIMUL, gcc_prnt_nm AS gcc_prnt_nm_SIMUL FROM BU_LOANTAPE_WORK.SIMUL_LT003_ENTITY WHERE ref_date='${ref_date}' AND nome_perimetro='Individual Local' AND segmento='ESTR' AND ambito='PILAR3' AND entidade='00100')Y ON X.ENTTY_ID=Y.ENTTY_ID_SIMUL</v>
      </c>
      <c r="M385" s="36" t="str">
        <f t="shared" si="9"/>
        <v>UNION ALL SELECT 'ENTITY' AS TABELA, 'COERÊNCIA' AS TIPOLOGIA_TESTE,'BU_LOANTAPE_WORK.LT003_ENTITY' AS TABELA_LT,'BU_LOANTAPE_WORK.SIMUL_LT003_ENTITY' AS TABELA_SIMUL,'gcc_prnt_nm' AS CAMPO, '${ref_date}' AS REF_DATE, COUNT(*) AS NUM_REG, SUM(IF(COALESCE(CAST(X.gcc_prnt_nm AS STRING),'')&lt;&gt;COALESCE(CAST(Y.gcc_prnt_nm_SIMUL AS STRING),'') OR (X.gcc_prnt_nm IS NULL AND Y.gcc_prnt_nm_SIMUL IS NOT NULL ) OR (X.gcc_prnt_nm IS NOT NULL AND Y.gcc_prnt_nm_SIMUL IS NULL),1,0)) AS NUM_REG_DIF,'1' AS ID_EXEC, CURRENT_TIMESTAMP() AS TIME_EXEC FROM (SELECT entty_id, gcc_prnt_nm FROM BU_LOANTAPE_WORK.LT003_ENTITY WHERE ref_date='${ref_date}' AND nome_perimetro='Individual Local' AND segmento='ESTR' AND ambito='SRB_MBDT' AND entidade='00100')X INNER JOIN (SELECT entty_id AS entty_id_SIMUL, gcc_prnt_nm AS gcc_prnt_nm_SIMUL FROM BU_LOANTAPE_WORK.SIMUL_LT003_ENTITY WHERE ref_date='${ref_date}' AND nome_perimetro='Individual Local' AND segmento='ESTR' AND ambito='PILAR3' AND entidade='00100')Y ON X.ENTTY_ID=Y.ENTTY_ID_SIMUL</v>
      </c>
    </row>
    <row r="386" spans="2:13">
      <c r="B386" s="34" t="s">
        <v>118</v>
      </c>
      <c r="C386" s="34" t="s">
        <v>5</v>
      </c>
      <c r="D386" s="34" t="str">
        <f>+UPPER('0. Instruções'!$D$35&amp;"."&amp;VLOOKUP(B386,'0. Instruções'!$C$27:$D$32,2,FALSE))</f>
        <v>BU_LOANTAPE_WORK.LT003_ENTITY</v>
      </c>
      <c r="E386" s="34" t="str">
        <f>+UPPER('0. Instruções'!$D$36&amp;"."&amp;VLOOKUP(B386,'0. Instruções'!$C$27:$E$32,3,FALSE))</f>
        <v>BU_LOANTAPE_WORK.SIMUL_LT003_ENTITY</v>
      </c>
      <c r="F386" s="34" t="s">
        <v>1171</v>
      </c>
      <c r="G386" s="34"/>
      <c r="H386" s="34"/>
      <c r="I386" s="34" t="str">
        <f>"(SELECT "&amp;VLOOKUP(B386,'0. Instruções'!$C$27:$G$32,4,FALSE)&amp;", "&amp;F386&amp;" FROM "&amp;D386&amp;" WHERE "&amp;'0. Instruções'!$D$42&amp;")X"</f>
        <v>(SELECT entty_id, intrnl_sgmnt FROM BU_LOANTAPE_WORK.LT003_ENTITY WHERE ref_date='${ref_date}' AND nome_perimetro='Individual Local' AND segmento='ESTR' AND ambito='SRB_MBDT' AND entidade='00100')X</v>
      </c>
      <c r="J386" s="34" t="str">
        <f>"(SELECT "&amp;VLOOKUP(B386,'0. Instruções'!$C$27:$G$32,4,FALSE)&amp;" AS "&amp;VLOOKUP(B386,'0. Instruções'!$C$27:$G$32,4,FALSE)&amp;"_SIMUL, "&amp;F386&amp;" AS "&amp;F386&amp;"_SIMUL FROM "&amp;E386&amp;" WHERE "&amp;'0. Instruções'!$D$43&amp;")Y"</f>
        <v>(SELECT entty_id AS entty_id_SIMUL, intrnl_sgmnt AS intrnl_sgmnt_SIMUL FROM BU_LOANTAPE_WORK.SIMUL_LT003_ENTITY WHERE ref_date='${ref_date}' AND nome_perimetro='Individual Local' AND segmento='ESTR' AND ambito='PILAR3' AND entidade='00100')Y</v>
      </c>
      <c r="K386" s="35" t="str">
        <f>+UPPER("ON X."&amp;VLOOKUP(B386,'0. Instruções'!$C$27:$G$32,4,FALSE)&amp;"=Y."&amp;VLOOKUP(B386,'0. Instruções'!$C$27:$G$32,4,FALSE)&amp;"_SIMUL")</f>
        <v>ON X.ENTTY_ID=Y.ENTTY_ID_SIMUL</v>
      </c>
      <c r="L386" s="35" t="str">
        <f>+IF(C386="Coerência", +IF(LEFT(G386,5)="FLOAT","SELECT '"&amp;UPPER(B386)&amp;"' AS TABELA, '"&amp;UPPER(C386)&amp;"' AS TIPOLOGIA_TESTE,'"&amp;D386&amp;"' AS TABELA_LT,'"&amp;E386&amp;"' AS TABELA_SIMUL,'"&amp;F386&amp;"' AS CAMPO, "&amp;"'${ref_date}' AS REF_DATE, COUNT(*) AS NUM_REG, SUM(IF((ABS(COALESCE(CAST(X."&amp;F386&amp;" AS DECIMAL(18,6)),0)-COALESCE(CAST(Y."&amp;F386&amp;"_SIMUL AS DECIMAL(18,6)),0))&gt;0.000001) OR (X."&amp;F386&amp;" IS NULL AND Y."&amp;F386&amp;"_SIMUL IS NOT NULL ) OR (X."&amp;F386&amp;" IS NOT NULL AND Y."&amp;F386&amp;"_SIMUL IS NULL),1,0)) AS NUM_REG_DIF,'"&amp;MAX('ID1&amp;5'!K:K)+1&amp;"' AS ID_EXEC, CURRENT_TIMESTAMP() AS TIME_EXEC FROM "&amp;I386&amp;" INNER JOIN "&amp;J386&amp;" "&amp;K386,"SELECT '"&amp;UPPER(B386)&amp;"' AS TABELA, '"&amp;UPPER(C386)&amp;"' AS TIPOLOGIA_TESTE,'"&amp;D386&amp;"' AS TABELA_LT,'"&amp;E386&amp;"' AS TABELA_SIMUL,'"&amp;F386&amp;"' AS CAMPO, "&amp;"'${ref_date}' AS REF_DATE, COUNT(*) AS NUM_REG, SUM(IF(COALESCE(CAST(X."&amp;F386&amp;" AS STRING),'')&lt;&gt;COALESCE(CAST(Y."&amp;F386&amp;"_SIMUL AS STRING),'') OR (X."&amp;F386&amp;" IS NULL AND Y."&amp;F386&amp;"_SIMUL IS NOT NULL ) OR (X."&amp;F386&amp;" IS NOT NULL AND Y."&amp;F386&amp;"_SIMUL IS NULL),1,0)) AS NUM_REG_DIF,'"&amp;MAX('ID1&amp;5'!L:L)+1&amp;"' AS ID_EXEC, CURRENT_TIMESTAMP() AS TIME_EXEC FROM "&amp;I386&amp;" INNER JOIN "&amp;J386&amp;" "&amp;K386),
IF(C386="Validade",+IF(G386="Code List","SELECT '"&amp;UPPER(B386)&amp;"' AS TABELA, '"&amp;UPPER(C386)&amp;"' AS TIPOLOGIA_TESTE,'"&amp;D386&amp;"' AS TABELA_LT,'N/A' AS TABELA_SIMUL,'"&amp;F386&amp;"' AS CAMPO, "&amp;"'${ref_date}' AS REF_DATE, COUNT(*) AS NUM_REG, SUM(IF(TRIM(CAST(X."&amp;F386&amp;" AS STRING))='' OR TRIM(CAST(X."&amp;F386&amp;" AS STRING)) IS NULL OR CAST(X."&amp;F386&amp;" AS STRING) NOT "&amp;H386&amp;",1,0)) AS NUM_REG_DIF,'"&amp;MAX('ID1&amp;5'!K:K)+1&amp;"' AS ID_EXEC, CURRENT_TIMESTAMP() AS TIME_EXEC FROM "&amp;I386,"SELECT '"&amp;UPPER(B386)&amp;"' AS TABELA, '"&amp;UPPER(C386)&amp;"' AS TIPOLOGIA_TESTE,'"&amp;D386&amp;"' AS TABELA_LT,'N/A' AS TABELA_SIMUL,'"&amp;F386&amp;"' AS CAMPO, "&amp;"'${ref_date}' AS REF_DATE, COUNT(*) AS NUM_REG, SUM(IF(TRIM(CAST(X."&amp;F386&amp;" AS STRING))='' OR TRIM(CAST(X."&amp;F386&amp;" AS STRING)) IS NULL,1,0)) AS NUM_REG_DIF,'"&amp;MAX('ID1&amp;5'!K:K)+1&amp;"' AS ID_EXEC, CURRENT_TIMESTAMP() AS TIME_EXEC FROM "&amp;I386),
IF(C386="Caracteres Especiais",+"SELECT '"&amp;UPPER(B386)&amp;"' AS TABELA, '"&amp;UPPER(C386)&amp;"' AS TIPOLOGIA_TESTE,'"&amp;D386&amp;"' AS TABELA_LT,'N/A' AS TABELA_SIMUL,'"&amp;F386&amp;"' AS CAMPO, "&amp;"'${ref_date}' AS REF_DATE, COUNT(*) AS NUM_REG, SUM(IF(REGEXP_REPLACE(TRIM(CAST(X."&amp;F386&amp;" AS STRING)),'[^a-zA-Z0-9_\\s]','') &lt;&gt;TRIM(CAST(X."&amp;F386&amp;" AS STRING)),1,0)) AS NUM_REG_DIF,'"&amp;MAX('ID1&amp;5'!K:K)+1&amp;"' AS ID_EXEC, CURRENT_TIMESTAMP() AS TIME_EXEC FROM "&amp;I386,
IF(C386="Missings",+"SELECT '"&amp;UPPER(B386)&amp;"' AS TABELA, '"&amp;UPPER(C386)&amp;"' AS TIPOLOGIA_TESTE,'"&amp;D386&amp;"' AS TABELA_LT,'N/A' AS TABELA_SIMUL,'"&amp;F386&amp;"' AS CAMPO, "&amp;"'${ref_date}' AS REF_DATE, COUNT(*) AS NUM_REG, SUM(IF(TRIM(CAST(X."&amp;F386&amp;" AS STRING)) IN ('0000-00-00','0001-01-01','9999-12-31','MISS','00000','99999999999','99999999999.00','99999999999.000000'),1,0)) AS NUM_REG_DIF,'"&amp;MAX('ID1&amp;5'!K:K)+1&amp;"' AS ID_EXEC, CURRENT_TIMESTAMP() AS TIME_EXEC FROM "&amp;I386,
IF(C386="Not applicable",+"SELECT '"&amp;UPPER(B386)&amp;"' AS TABELA, '"&amp;UPPER(C386)&amp;"' AS TIPOLOGIA_TESTE,'"&amp;D386&amp;"' AS TABELA_LT,'N/A' AS TABELA_SIMUL,'"&amp;F386&amp;"' AS CAMPO, "&amp;"'${ref_date}' AS REF_DATE, COUNT(*) AS NUM_REG, SUM(IF(TRIM(CAST(X."&amp;F386&amp;" AS STRING)) IN ('N/A','11111111111','11111111111.00','11111111111.000000','1111-11-11'),1,0)) AS NUM_REG_DIF,'"&amp;MAX('ID1&amp;5'!K:K)+1&amp;"' AS ID_EXEC, CURRENT_TIMESTAMP() AS TIME_EXEC FROM "&amp;I386,
IF(C386="Valores extremos",+"SELECT '"&amp;UPPER(B386)&amp;"' AS TABELA, '"&amp;UPPER(C386)&amp;"' AS TIPOLOGIA_TESTE,'"&amp;D386&amp;"' AS TABELA_LT,'N/A' AS TABELA_SIMUL,'"&amp;F386&amp;"' AS CAMPO, "&amp;"'${ref_date}' AS REF_DATE, CAST(MIN("&amp;F386&amp;") AS STRING) AS VALOR_MIN, CAST(MAX("&amp;F386&amp;") AS STRING) AS VALOR_MAX,'"&amp;MAX('ID1&amp;5'!K:K)+1&amp;"' AS ID_EXEC, CURRENT_TIMESTAMP() AS TIME_EXEC FROM "&amp;MID(I386,1,LEN(I386)-2)&amp;" AND CAST("&amp;F386&amp;"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TABELA_SIMUL,'intrnl_sgmnt' AS CAMPO, '${ref_date}' AS REF_DATE, COUNT(*) AS NUM_REG, SUM(IF(COALESCE(CAST(X.intrnl_sgmnt AS STRING),'')&lt;&gt;COALESCE(CAST(Y.intrnl_sgmnt_SIMUL AS STRING),'') OR (X.intrnl_sgmnt IS NULL AND Y.intrnl_sgmnt_SIMUL IS NOT NULL ) OR (X.intrnl_sgmnt IS NOT NULL AND Y.intrnl_sgmnt_SIMUL IS NULL),1,0)) AS NUM_REG_DIF,'1' AS ID_EXEC, CURRENT_TIMESTAMP() AS TIME_EXEC FROM (SELECT entty_id, intrnl_sgmnt FROM BU_LOANTAPE_WORK.LT003_ENTITY WHERE ref_date='${ref_date}' AND nome_perimetro='Individual Local' AND segmento='ESTR' AND ambito='SRB_MBDT' AND entidade='00100')X INNER JOIN (SELECT entty_id AS entty_id_SIMUL, intrnl_sgmnt AS intrnl_sgmnt_SIMUL FROM BU_LOANTAPE_WORK.SIMUL_LT003_ENTITY WHERE ref_date='${ref_date}' AND nome_perimetro='Individual Local' AND segmento='ESTR' AND ambito='PILAR3' AND entidade='00100')Y ON X.ENTTY_ID=Y.ENTTY_ID_SIMUL</v>
      </c>
      <c r="M386" s="36" t="str">
        <f t="shared" si="9"/>
        <v>UNION ALL SELECT 'ENTITY' AS TABELA, 'COERÊNCIA' AS TIPOLOGIA_TESTE,'BU_LOANTAPE_WORK.LT003_ENTITY' AS TABELA_LT,'BU_LOANTAPE_WORK.SIMUL_LT003_ENTITY' AS TABELA_SIMUL,'intrnl_sgmnt' AS CAMPO, '${ref_date}' AS REF_DATE, COUNT(*) AS NUM_REG, SUM(IF(COALESCE(CAST(X.intrnl_sgmnt AS STRING),'')&lt;&gt;COALESCE(CAST(Y.intrnl_sgmnt_SIMUL AS STRING),'') OR (X.intrnl_sgmnt IS NULL AND Y.intrnl_sgmnt_SIMUL IS NOT NULL ) OR (X.intrnl_sgmnt IS NOT NULL AND Y.intrnl_sgmnt_SIMUL IS NULL),1,0)) AS NUM_REG_DIF,'1' AS ID_EXEC, CURRENT_TIMESTAMP() AS TIME_EXEC FROM (SELECT entty_id, intrnl_sgmnt FROM BU_LOANTAPE_WORK.LT003_ENTITY WHERE ref_date='${ref_date}' AND nome_perimetro='Individual Local' AND segmento='ESTR' AND ambito='SRB_MBDT' AND entidade='00100')X INNER JOIN (SELECT entty_id AS entty_id_SIMUL, intrnl_sgmnt AS intrnl_sgmnt_SIMUL FROM BU_LOANTAPE_WORK.SIMUL_LT003_ENTITY WHERE ref_date='${ref_date}' AND nome_perimetro='Individual Local' AND segmento='ESTR' AND ambito='PILAR3' AND entidade='00100')Y ON X.ENTTY_ID=Y.ENTTY_ID_SIMUL</v>
      </c>
    </row>
    <row r="387" spans="2:13">
      <c r="B387" s="34" t="s">
        <v>118</v>
      </c>
      <c r="C387" s="34" t="s">
        <v>5</v>
      </c>
      <c r="D387" s="34" t="str">
        <f>+UPPER('0. Instruções'!$D$35&amp;"."&amp;VLOOKUP(B387,'0. Instruções'!$C$27:$D$32,2,FALSE))</f>
        <v>BU_LOANTAPE_WORK.LT003_ENTITY</v>
      </c>
      <c r="E387" s="34" t="str">
        <f>+UPPER('0. Instruções'!$D$36&amp;"."&amp;VLOOKUP(B387,'0. Instruções'!$C$27:$E$32,3,FALSE))</f>
        <v>BU_LOANTAPE_WORK.SIMUL_LT003_ENTITY</v>
      </c>
      <c r="F387" s="34" t="s">
        <v>1172</v>
      </c>
      <c r="G387" s="34"/>
      <c r="H387" s="34"/>
      <c r="I387" s="34" t="str">
        <f>"(SELECT "&amp;VLOOKUP(B387,'0. Instruções'!$C$27:$G$32,4,FALSE)&amp;", "&amp;F387&amp;" FROM "&amp;D387&amp;" WHERE "&amp;'0. Instruções'!$D$42&amp;")X"</f>
        <v>(SELECT entty_id, intrnl_unt FROM BU_LOANTAPE_WORK.LT003_ENTITY WHERE ref_date='${ref_date}' AND nome_perimetro='Individual Local' AND segmento='ESTR' AND ambito='SRB_MBDT' AND entidade='00100')X</v>
      </c>
      <c r="J387" s="34" t="str">
        <f>"(SELECT "&amp;VLOOKUP(B387,'0. Instruções'!$C$27:$G$32,4,FALSE)&amp;" AS "&amp;VLOOKUP(B387,'0. Instruções'!$C$27:$G$32,4,FALSE)&amp;"_SIMUL, "&amp;F387&amp;" AS "&amp;F387&amp;"_SIMUL FROM "&amp;E387&amp;" WHERE "&amp;'0. Instruções'!$D$43&amp;")Y"</f>
        <v>(SELECT entty_id AS entty_id_SIMUL, intrnl_unt AS intrnl_unt_SIMUL FROM BU_LOANTAPE_WORK.SIMUL_LT003_ENTITY WHERE ref_date='${ref_date}' AND nome_perimetro='Individual Local' AND segmento='ESTR' AND ambito='PILAR3' AND entidade='00100')Y</v>
      </c>
      <c r="K387" s="35" t="str">
        <f>+UPPER("ON X."&amp;VLOOKUP(B387,'0. Instruções'!$C$27:$G$32,4,FALSE)&amp;"=Y."&amp;VLOOKUP(B387,'0. Instruções'!$C$27:$G$32,4,FALSE)&amp;"_SIMUL")</f>
        <v>ON X.ENTTY_ID=Y.ENTTY_ID_SIMUL</v>
      </c>
      <c r="L387" s="35" t="str">
        <f>+IF(C387="Coerência", +IF(LEFT(G387,5)="FLOAT","SELECT '"&amp;UPPER(B387)&amp;"' AS TABELA, '"&amp;UPPER(C387)&amp;"' AS TIPOLOGIA_TESTE,'"&amp;D387&amp;"' AS TABELA_LT,'"&amp;E387&amp;"' AS TABELA_SIMUL,'"&amp;F387&amp;"' AS CAMPO, "&amp;"'${ref_date}' AS REF_DATE, COUNT(*) AS NUM_REG, SUM(IF((ABS(COALESCE(CAST(X."&amp;F387&amp;" AS DECIMAL(18,6)),0)-COALESCE(CAST(Y."&amp;F387&amp;"_SIMUL AS DECIMAL(18,6)),0))&gt;0.000001) OR (X."&amp;F387&amp;" IS NULL AND Y."&amp;F387&amp;"_SIMUL IS NOT NULL ) OR (X."&amp;F387&amp;" IS NOT NULL AND Y."&amp;F387&amp;"_SIMUL IS NULL),1,0)) AS NUM_REG_DIF,'"&amp;MAX('ID1&amp;5'!K:K)+1&amp;"' AS ID_EXEC, CURRENT_TIMESTAMP() AS TIME_EXEC FROM "&amp;I387&amp;" INNER JOIN "&amp;J387&amp;" "&amp;K387,"SELECT '"&amp;UPPER(B387)&amp;"' AS TABELA, '"&amp;UPPER(C387)&amp;"' AS TIPOLOGIA_TESTE,'"&amp;D387&amp;"' AS TABELA_LT,'"&amp;E387&amp;"' AS TABELA_SIMUL,'"&amp;F387&amp;"' AS CAMPO, "&amp;"'${ref_date}' AS REF_DATE, COUNT(*) AS NUM_REG, SUM(IF(COALESCE(CAST(X."&amp;F387&amp;" AS STRING),'')&lt;&gt;COALESCE(CAST(Y."&amp;F387&amp;"_SIMUL AS STRING),'') OR (X."&amp;F387&amp;" IS NULL AND Y."&amp;F387&amp;"_SIMUL IS NOT NULL ) OR (X."&amp;F387&amp;" IS NOT NULL AND Y."&amp;F387&amp;"_SIMUL IS NULL),1,0)) AS NUM_REG_DIF,'"&amp;MAX('ID1&amp;5'!L:L)+1&amp;"' AS ID_EXEC, CURRENT_TIMESTAMP() AS TIME_EXEC FROM "&amp;I387&amp;" INNER JOIN "&amp;J387&amp;" "&amp;K387),
IF(C387="Validade",+IF(G387="Code List","SELECT '"&amp;UPPER(B387)&amp;"' AS TABELA, '"&amp;UPPER(C387)&amp;"' AS TIPOLOGIA_TESTE,'"&amp;D387&amp;"' AS TABELA_LT,'N/A' AS TABELA_SIMUL,'"&amp;F387&amp;"' AS CAMPO, "&amp;"'${ref_date}' AS REF_DATE, COUNT(*) AS NUM_REG, SUM(IF(TRIM(CAST(X."&amp;F387&amp;" AS STRING))='' OR TRIM(CAST(X."&amp;F387&amp;" AS STRING)) IS NULL OR CAST(X."&amp;F387&amp;" AS STRING) NOT "&amp;H387&amp;",1,0)) AS NUM_REG_DIF,'"&amp;MAX('ID1&amp;5'!K:K)+1&amp;"' AS ID_EXEC, CURRENT_TIMESTAMP() AS TIME_EXEC FROM "&amp;I387,"SELECT '"&amp;UPPER(B387)&amp;"' AS TABELA, '"&amp;UPPER(C387)&amp;"' AS TIPOLOGIA_TESTE,'"&amp;D387&amp;"' AS TABELA_LT,'N/A' AS TABELA_SIMUL,'"&amp;F387&amp;"' AS CAMPO, "&amp;"'${ref_date}' AS REF_DATE, COUNT(*) AS NUM_REG, SUM(IF(TRIM(CAST(X."&amp;F387&amp;" AS STRING))='' OR TRIM(CAST(X."&amp;F387&amp;" AS STRING)) IS NULL,1,0)) AS NUM_REG_DIF,'"&amp;MAX('ID1&amp;5'!K:K)+1&amp;"' AS ID_EXEC, CURRENT_TIMESTAMP() AS TIME_EXEC FROM "&amp;I387),
IF(C387="Caracteres Especiais",+"SELECT '"&amp;UPPER(B387)&amp;"' AS TABELA, '"&amp;UPPER(C387)&amp;"' AS TIPOLOGIA_TESTE,'"&amp;D387&amp;"' AS TABELA_LT,'N/A' AS TABELA_SIMUL,'"&amp;F387&amp;"' AS CAMPO, "&amp;"'${ref_date}' AS REF_DATE, COUNT(*) AS NUM_REG, SUM(IF(REGEXP_REPLACE(TRIM(CAST(X."&amp;F387&amp;" AS STRING)),'[^a-zA-Z0-9_\\s]','') &lt;&gt;TRIM(CAST(X."&amp;F387&amp;" AS STRING)),1,0)) AS NUM_REG_DIF,'"&amp;MAX('ID1&amp;5'!K:K)+1&amp;"' AS ID_EXEC, CURRENT_TIMESTAMP() AS TIME_EXEC FROM "&amp;I387,
IF(C387="Missings",+"SELECT '"&amp;UPPER(B387)&amp;"' AS TABELA, '"&amp;UPPER(C387)&amp;"' AS TIPOLOGIA_TESTE,'"&amp;D387&amp;"' AS TABELA_LT,'N/A' AS TABELA_SIMUL,'"&amp;F387&amp;"' AS CAMPO, "&amp;"'${ref_date}' AS REF_DATE, COUNT(*) AS NUM_REG, SUM(IF(TRIM(CAST(X."&amp;F387&amp;" AS STRING)) IN ('0000-00-00','0001-01-01','9999-12-31','MISS','00000','99999999999','99999999999.00','99999999999.000000'),1,0)) AS NUM_REG_DIF,'"&amp;MAX('ID1&amp;5'!K:K)+1&amp;"' AS ID_EXEC, CURRENT_TIMESTAMP() AS TIME_EXEC FROM "&amp;I387,
IF(C387="Not applicable",+"SELECT '"&amp;UPPER(B387)&amp;"' AS TABELA, '"&amp;UPPER(C387)&amp;"' AS TIPOLOGIA_TESTE,'"&amp;D387&amp;"' AS TABELA_LT,'N/A' AS TABELA_SIMUL,'"&amp;F387&amp;"' AS CAMPO, "&amp;"'${ref_date}' AS REF_DATE, COUNT(*) AS NUM_REG, SUM(IF(TRIM(CAST(X."&amp;F387&amp;" AS STRING)) IN ('N/A','11111111111','11111111111.00','11111111111.000000','1111-11-11'),1,0)) AS NUM_REG_DIF,'"&amp;MAX('ID1&amp;5'!K:K)+1&amp;"' AS ID_EXEC, CURRENT_TIMESTAMP() AS TIME_EXEC FROM "&amp;I387,
IF(C387="Valores extremos",+"SELECT '"&amp;UPPER(B387)&amp;"' AS TABELA, '"&amp;UPPER(C387)&amp;"' AS TIPOLOGIA_TESTE,'"&amp;D387&amp;"' AS TABELA_LT,'N/A' AS TABELA_SIMUL,'"&amp;F387&amp;"' AS CAMPO, "&amp;"'${ref_date}' AS REF_DATE, CAST(MIN("&amp;F387&amp;") AS STRING) AS VALOR_MIN, CAST(MAX("&amp;F387&amp;") AS STRING) AS VALOR_MAX,'"&amp;MAX('ID1&amp;5'!K:K)+1&amp;"' AS ID_EXEC, CURRENT_TIMESTAMP() AS TIME_EXEC FROM "&amp;MID(I387,1,LEN(I387)-2)&amp;" AND CAST("&amp;F387&amp;"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TABELA_SIMUL,'intrnl_unt' AS CAMPO, '${ref_date}' AS REF_DATE, COUNT(*) AS NUM_REG, SUM(IF(COALESCE(CAST(X.intrnl_unt AS STRING),'')&lt;&gt;COALESCE(CAST(Y.intrnl_unt_SIMUL AS STRING),'') OR (X.intrnl_unt IS NULL AND Y.intrnl_unt_SIMUL IS NOT NULL ) OR (X.intrnl_unt IS NOT NULL AND Y.intrnl_unt_SIMUL IS NULL),1,0)) AS NUM_REG_DIF,'1' AS ID_EXEC, CURRENT_TIMESTAMP() AS TIME_EXEC FROM (SELECT entty_id, intrnl_unt FROM BU_LOANTAPE_WORK.LT003_ENTITY WHERE ref_date='${ref_date}' AND nome_perimetro='Individual Local' AND segmento='ESTR' AND ambito='SRB_MBDT' AND entidade='00100')X INNER JOIN (SELECT entty_id AS entty_id_SIMUL, intrnl_unt AS intrnl_unt_SIMUL FROM BU_LOANTAPE_WORK.SIMUL_LT003_ENTITY WHERE ref_date='${ref_date}' AND nome_perimetro='Individual Local' AND segmento='ESTR' AND ambito='PILAR3' AND entidade='00100')Y ON X.ENTTY_ID=Y.ENTTY_ID_SIMUL</v>
      </c>
      <c r="M387" s="36" t="str">
        <f t="shared" si="9"/>
        <v>UNION ALL SELECT 'ENTITY' AS TABELA, 'COERÊNCIA' AS TIPOLOGIA_TESTE,'BU_LOANTAPE_WORK.LT003_ENTITY' AS TABELA_LT,'BU_LOANTAPE_WORK.SIMUL_LT003_ENTITY' AS TABELA_SIMUL,'intrnl_unt' AS CAMPO, '${ref_date}' AS REF_DATE, COUNT(*) AS NUM_REG, SUM(IF(COALESCE(CAST(X.intrnl_unt AS STRING),'')&lt;&gt;COALESCE(CAST(Y.intrnl_unt_SIMUL AS STRING),'') OR (X.intrnl_unt IS NULL AND Y.intrnl_unt_SIMUL IS NOT NULL ) OR (X.intrnl_unt IS NOT NULL AND Y.intrnl_unt_SIMUL IS NULL),1,0)) AS NUM_REG_DIF,'1' AS ID_EXEC, CURRENT_TIMESTAMP() AS TIME_EXEC FROM (SELECT entty_id, intrnl_unt FROM BU_LOANTAPE_WORK.LT003_ENTITY WHERE ref_date='${ref_date}' AND nome_perimetro='Individual Local' AND segmento='ESTR' AND ambito='SRB_MBDT' AND entidade='00100')X INNER JOIN (SELECT entty_id AS entty_id_SIMUL, intrnl_unt AS intrnl_unt_SIMUL FROM BU_LOANTAPE_WORK.SIMUL_LT003_ENTITY WHERE ref_date='${ref_date}' AND nome_perimetro='Individual Local' AND segmento='ESTR' AND ambito='PILAR3' AND entidade='00100')Y ON X.ENTTY_ID=Y.ENTTY_ID_SIMUL</v>
      </c>
    </row>
    <row r="388" spans="2:13">
      <c r="B388" s="34" t="s">
        <v>118</v>
      </c>
      <c r="C388" s="34" t="s">
        <v>5</v>
      </c>
      <c r="D388" s="34" t="str">
        <f>+UPPER('0. Instruções'!$D$35&amp;"."&amp;VLOOKUP(B388,'0. Instruções'!$C$27:$D$32,2,FALSE))</f>
        <v>BU_LOANTAPE_WORK.LT003_ENTITY</v>
      </c>
      <c r="E388" s="34" t="str">
        <f>+UPPER('0. Instruções'!$D$36&amp;"."&amp;VLOOKUP(B388,'0. Instruções'!$C$27:$E$32,3,FALSE))</f>
        <v>BU_LOANTAPE_WORK.SIMUL_LT003_ENTITY</v>
      </c>
      <c r="F388" s="34" t="s">
        <v>663</v>
      </c>
      <c r="G388" s="34"/>
      <c r="H388" s="34"/>
      <c r="I388" s="34" t="str">
        <f>"(SELECT "&amp;VLOOKUP(B388,'0. Instruções'!$C$27:$G$32,4,FALSE)&amp;", "&amp;F388&amp;" FROM "&amp;D388&amp;" WHERE "&amp;'0. Instruções'!$D$42&amp;")X"</f>
        <v>(SELECT entty_id, lei FROM BU_LOANTAPE_WORK.LT003_ENTITY WHERE ref_date='${ref_date}' AND nome_perimetro='Individual Local' AND segmento='ESTR' AND ambito='SRB_MBDT' AND entidade='00100')X</v>
      </c>
      <c r="J388" s="34" t="str">
        <f>"(SELECT "&amp;VLOOKUP(B388,'0. Instruções'!$C$27:$G$32,4,FALSE)&amp;" AS "&amp;VLOOKUP(B388,'0. Instruções'!$C$27:$G$32,4,FALSE)&amp;"_SIMUL, "&amp;F388&amp;" AS "&amp;F388&amp;"_SIMUL FROM "&amp;E388&amp;" WHERE "&amp;'0. Instruções'!$D$43&amp;")Y"</f>
        <v>(SELECT entty_id AS entty_id_SIMUL, lei AS lei_SIMUL FROM BU_LOANTAPE_WORK.SIMUL_LT003_ENTITY WHERE ref_date='${ref_date}' AND nome_perimetro='Individual Local' AND segmento='ESTR' AND ambito='PILAR3' AND entidade='00100')Y</v>
      </c>
      <c r="K388" s="35" t="str">
        <f>+UPPER("ON X."&amp;VLOOKUP(B388,'0. Instruções'!$C$27:$G$32,4,FALSE)&amp;"=Y."&amp;VLOOKUP(B388,'0. Instruções'!$C$27:$G$32,4,FALSE)&amp;"_SIMUL")</f>
        <v>ON X.ENTTY_ID=Y.ENTTY_ID_SIMUL</v>
      </c>
      <c r="L388" s="35" t="str">
        <f>+IF(C388="Coerência", +IF(LEFT(G388,5)="FLOAT","SELECT '"&amp;UPPER(B388)&amp;"' AS TABELA, '"&amp;UPPER(C388)&amp;"' AS TIPOLOGIA_TESTE,'"&amp;D388&amp;"' AS TABELA_LT,'"&amp;E388&amp;"' AS TABELA_SIMUL,'"&amp;F388&amp;"' AS CAMPO, "&amp;"'${ref_date}' AS REF_DATE, COUNT(*) AS NUM_REG, SUM(IF((ABS(COALESCE(CAST(X."&amp;F388&amp;" AS DECIMAL(18,6)),0)-COALESCE(CAST(Y."&amp;F388&amp;"_SIMUL AS DECIMAL(18,6)),0))&gt;0.000001) OR (X."&amp;F388&amp;" IS NULL AND Y."&amp;F388&amp;"_SIMUL IS NOT NULL ) OR (X."&amp;F388&amp;" IS NOT NULL AND Y."&amp;F388&amp;"_SIMUL IS NULL),1,0)) AS NUM_REG_DIF,'"&amp;MAX('ID1&amp;5'!K:K)+1&amp;"' AS ID_EXEC, CURRENT_TIMESTAMP() AS TIME_EXEC FROM "&amp;I388&amp;" INNER JOIN "&amp;J388&amp;" "&amp;K388,"SELECT '"&amp;UPPER(B388)&amp;"' AS TABELA, '"&amp;UPPER(C388)&amp;"' AS TIPOLOGIA_TESTE,'"&amp;D388&amp;"' AS TABELA_LT,'"&amp;E388&amp;"' AS TABELA_SIMUL,'"&amp;F388&amp;"' AS CAMPO, "&amp;"'${ref_date}' AS REF_DATE, COUNT(*) AS NUM_REG, SUM(IF(COALESCE(CAST(X."&amp;F388&amp;" AS STRING),'')&lt;&gt;COALESCE(CAST(Y."&amp;F388&amp;"_SIMUL AS STRING),'') OR (X."&amp;F388&amp;" IS NULL AND Y."&amp;F388&amp;"_SIMUL IS NOT NULL ) OR (X."&amp;F388&amp;" IS NOT NULL AND Y."&amp;F388&amp;"_SIMUL IS NULL),1,0)) AS NUM_REG_DIF,'"&amp;MAX('ID1&amp;5'!L:L)+1&amp;"' AS ID_EXEC, CURRENT_TIMESTAMP() AS TIME_EXEC FROM "&amp;I388&amp;" INNER JOIN "&amp;J388&amp;" "&amp;K388),
IF(C388="Validade",+IF(G388="Code List","SELECT '"&amp;UPPER(B388)&amp;"' AS TABELA, '"&amp;UPPER(C388)&amp;"' AS TIPOLOGIA_TESTE,'"&amp;D388&amp;"' AS TABELA_LT,'N/A' AS TABELA_SIMUL,'"&amp;F388&amp;"' AS CAMPO, "&amp;"'${ref_date}' AS REF_DATE, COUNT(*) AS NUM_REG, SUM(IF(TRIM(CAST(X."&amp;F388&amp;" AS STRING))='' OR TRIM(CAST(X."&amp;F388&amp;" AS STRING)) IS NULL OR CAST(X."&amp;F388&amp;" AS STRING) NOT "&amp;H388&amp;",1,0)) AS NUM_REG_DIF,'"&amp;MAX('ID1&amp;5'!K:K)+1&amp;"' AS ID_EXEC, CURRENT_TIMESTAMP() AS TIME_EXEC FROM "&amp;I388,"SELECT '"&amp;UPPER(B388)&amp;"' AS TABELA, '"&amp;UPPER(C388)&amp;"' AS TIPOLOGIA_TESTE,'"&amp;D388&amp;"' AS TABELA_LT,'N/A' AS TABELA_SIMUL,'"&amp;F388&amp;"' AS CAMPO, "&amp;"'${ref_date}' AS REF_DATE, COUNT(*) AS NUM_REG, SUM(IF(TRIM(CAST(X."&amp;F388&amp;" AS STRING))='' OR TRIM(CAST(X."&amp;F388&amp;" AS STRING)) IS NULL,1,0)) AS NUM_REG_DIF,'"&amp;MAX('ID1&amp;5'!K:K)+1&amp;"' AS ID_EXEC, CURRENT_TIMESTAMP() AS TIME_EXEC FROM "&amp;I388),
IF(C388="Caracteres Especiais",+"SELECT '"&amp;UPPER(B388)&amp;"' AS TABELA, '"&amp;UPPER(C388)&amp;"' AS TIPOLOGIA_TESTE,'"&amp;D388&amp;"' AS TABELA_LT,'N/A' AS TABELA_SIMUL,'"&amp;F388&amp;"' AS CAMPO, "&amp;"'${ref_date}' AS REF_DATE, COUNT(*) AS NUM_REG, SUM(IF(REGEXP_REPLACE(TRIM(CAST(X."&amp;F388&amp;" AS STRING)),'[^a-zA-Z0-9_\\s]','') &lt;&gt;TRIM(CAST(X."&amp;F388&amp;" AS STRING)),1,0)) AS NUM_REG_DIF,'"&amp;MAX('ID1&amp;5'!K:K)+1&amp;"' AS ID_EXEC, CURRENT_TIMESTAMP() AS TIME_EXEC FROM "&amp;I388,
IF(C388="Missings",+"SELECT '"&amp;UPPER(B388)&amp;"' AS TABELA, '"&amp;UPPER(C388)&amp;"' AS TIPOLOGIA_TESTE,'"&amp;D388&amp;"' AS TABELA_LT,'N/A' AS TABELA_SIMUL,'"&amp;F388&amp;"' AS CAMPO, "&amp;"'${ref_date}' AS REF_DATE, COUNT(*) AS NUM_REG, SUM(IF(TRIM(CAST(X."&amp;F388&amp;" AS STRING)) IN ('0000-00-00','0001-01-01','9999-12-31','MISS','00000','99999999999','99999999999.00','99999999999.000000'),1,0)) AS NUM_REG_DIF,'"&amp;MAX('ID1&amp;5'!K:K)+1&amp;"' AS ID_EXEC, CURRENT_TIMESTAMP() AS TIME_EXEC FROM "&amp;I388,
IF(C388="Not applicable",+"SELECT '"&amp;UPPER(B388)&amp;"' AS TABELA, '"&amp;UPPER(C388)&amp;"' AS TIPOLOGIA_TESTE,'"&amp;D388&amp;"' AS TABELA_LT,'N/A' AS TABELA_SIMUL,'"&amp;F388&amp;"' AS CAMPO, "&amp;"'${ref_date}' AS REF_DATE, COUNT(*) AS NUM_REG, SUM(IF(TRIM(CAST(X."&amp;F388&amp;" AS STRING)) IN ('N/A','11111111111','11111111111.00','11111111111.000000','1111-11-11'),1,0)) AS NUM_REG_DIF,'"&amp;MAX('ID1&amp;5'!K:K)+1&amp;"' AS ID_EXEC, CURRENT_TIMESTAMP() AS TIME_EXEC FROM "&amp;I388,
IF(C388="Valores extremos",+"SELECT '"&amp;UPPER(B388)&amp;"' AS TABELA, '"&amp;UPPER(C388)&amp;"' AS TIPOLOGIA_TESTE,'"&amp;D388&amp;"' AS TABELA_LT,'N/A' AS TABELA_SIMUL,'"&amp;F388&amp;"' AS CAMPO, "&amp;"'${ref_date}' AS REF_DATE, CAST(MIN("&amp;F388&amp;") AS STRING) AS VALOR_MIN, CAST(MAX("&amp;F388&amp;") AS STRING) AS VALOR_MAX,'"&amp;MAX('ID1&amp;5'!K:K)+1&amp;"' AS ID_EXEC, CURRENT_TIMESTAMP() AS TIME_EXEC FROM "&amp;MID(I388,1,LEN(I388)-2)&amp;" AND CAST("&amp;F388&amp;"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TABELA_SIMUL,'lei' AS CAMPO, '${ref_date}' AS REF_DATE, COUNT(*) AS NUM_REG, SUM(IF(COALESCE(CAST(X.lei AS STRING),'')&lt;&gt;COALESCE(CAST(Y.lei_SIMUL AS STRING),'') OR (X.lei IS NULL AND Y.lei_SIMUL IS NOT NULL ) OR (X.lei IS NOT NULL AND Y.lei_SIMUL IS NULL),1,0)) AS NUM_REG_DIF,'1' AS ID_EXEC, CURRENT_TIMESTAMP() AS TIME_EXEC FROM (SELECT entty_id, lei FROM BU_LOANTAPE_WORK.LT003_ENTITY WHERE ref_date='${ref_date}' AND nome_perimetro='Individual Local' AND segmento='ESTR' AND ambito='SRB_MBDT' AND entidade='00100')X INNER JOIN (SELECT entty_id AS entty_id_SIMUL, lei AS lei_SIMUL FROM BU_LOANTAPE_WORK.SIMUL_LT003_ENTITY WHERE ref_date='${ref_date}' AND nome_perimetro='Individual Local' AND segmento='ESTR' AND ambito='PILAR3' AND entidade='00100')Y ON X.ENTTY_ID=Y.ENTTY_ID_SIMUL</v>
      </c>
      <c r="M388" s="36" t="str">
        <f t="shared" si="9"/>
        <v>UNION ALL SELECT 'ENTITY' AS TABELA, 'COERÊNCIA' AS TIPOLOGIA_TESTE,'BU_LOANTAPE_WORK.LT003_ENTITY' AS TABELA_LT,'BU_LOANTAPE_WORK.SIMUL_LT003_ENTITY' AS TABELA_SIMUL,'lei' AS CAMPO, '${ref_date}' AS REF_DATE, COUNT(*) AS NUM_REG, SUM(IF(COALESCE(CAST(X.lei AS STRING),'')&lt;&gt;COALESCE(CAST(Y.lei_SIMUL AS STRING),'') OR (X.lei IS NULL AND Y.lei_SIMUL IS NOT NULL ) OR (X.lei IS NOT NULL AND Y.lei_SIMUL IS NULL),1,0)) AS NUM_REG_DIF,'1' AS ID_EXEC, CURRENT_TIMESTAMP() AS TIME_EXEC FROM (SELECT entty_id, lei FROM BU_LOANTAPE_WORK.LT003_ENTITY WHERE ref_date='${ref_date}' AND nome_perimetro='Individual Local' AND segmento='ESTR' AND ambito='SRB_MBDT' AND entidade='00100')X INNER JOIN (SELECT entty_id AS entty_id_SIMUL, lei AS lei_SIMUL FROM BU_LOANTAPE_WORK.SIMUL_LT003_ENTITY WHERE ref_date='${ref_date}' AND nome_perimetro='Individual Local' AND segmento='ESTR' AND ambito='PILAR3' AND entidade='00100')Y ON X.ENTTY_ID=Y.ENTTY_ID_SIMUL</v>
      </c>
    </row>
    <row r="389" spans="2:13">
      <c r="B389" s="34" t="s">
        <v>118</v>
      </c>
      <c r="C389" s="34" t="s">
        <v>5</v>
      </c>
      <c r="D389" s="34" t="str">
        <f>+UPPER('0. Instruções'!$D$35&amp;"."&amp;VLOOKUP(B389,'0. Instruções'!$C$27:$D$32,2,FALSE))</f>
        <v>BU_LOANTAPE_WORK.LT003_ENTITY</v>
      </c>
      <c r="E389" s="34" t="str">
        <f>+UPPER('0. Instruções'!$D$36&amp;"."&amp;VLOOKUP(B389,'0. Instruções'!$C$27:$E$32,3,FALSE))</f>
        <v>BU_LOANTAPE_WORK.SIMUL_LT003_ENTITY</v>
      </c>
      <c r="F389" s="34" t="s">
        <v>702</v>
      </c>
      <c r="G389" s="34"/>
      <c r="H389" s="34"/>
      <c r="I389" s="34" t="str">
        <f>"(SELECT "&amp;VLOOKUP(B389,'0. Instruções'!$C$27:$G$32,4,FALSE)&amp;", "&amp;F389&amp;" FROM "&amp;D389&amp;" WHERE "&amp;'0. Instruções'!$D$42&amp;")X"</f>
        <v>(SELECT entty_id, entty_nm FROM BU_LOANTAPE_WORK.LT003_ENTITY WHERE ref_date='${ref_date}' AND nome_perimetro='Individual Local' AND segmento='ESTR' AND ambito='SRB_MBDT' AND entidade='00100')X</v>
      </c>
      <c r="J389" s="34" t="str">
        <f>"(SELECT "&amp;VLOOKUP(B389,'0. Instruções'!$C$27:$G$32,4,FALSE)&amp;" AS "&amp;VLOOKUP(B389,'0. Instruções'!$C$27:$G$32,4,FALSE)&amp;"_SIMUL, "&amp;F389&amp;" AS "&amp;F389&amp;"_SIMUL FROM "&amp;E389&amp;" WHERE "&amp;'0. Instruções'!$D$43&amp;")Y"</f>
        <v>(SELECT entty_id AS entty_id_SIMUL, entty_nm AS entty_nm_SIMUL FROM BU_LOANTAPE_WORK.SIMUL_LT003_ENTITY WHERE ref_date='${ref_date}' AND nome_perimetro='Individual Local' AND segmento='ESTR' AND ambito='PILAR3' AND entidade='00100')Y</v>
      </c>
      <c r="K389" s="35" t="str">
        <f>+UPPER("ON X."&amp;VLOOKUP(B389,'0. Instruções'!$C$27:$G$32,4,FALSE)&amp;"=Y."&amp;VLOOKUP(B389,'0. Instruções'!$C$27:$G$32,4,FALSE)&amp;"_SIMUL")</f>
        <v>ON X.ENTTY_ID=Y.ENTTY_ID_SIMUL</v>
      </c>
      <c r="L389" s="35" t="str">
        <f>+IF(C389="Coerência", +IF(LEFT(G389,5)="FLOAT","SELECT '"&amp;UPPER(B389)&amp;"' AS TABELA, '"&amp;UPPER(C389)&amp;"' AS TIPOLOGIA_TESTE,'"&amp;D389&amp;"' AS TABELA_LT,'"&amp;E389&amp;"' AS TABELA_SIMUL,'"&amp;F389&amp;"' AS CAMPO, "&amp;"'${ref_date}' AS REF_DATE, COUNT(*) AS NUM_REG, SUM(IF((ABS(COALESCE(CAST(X."&amp;F389&amp;" AS DECIMAL(18,6)),0)-COALESCE(CAST(Y."&amp;F389&amp;"_SIMUL AS DECIMAL(18,6)),0))&gt;0.000001) OR (X."&amp;F389&amp;" IS NULL AND Y."&amp;F389&amp;"_SIMUL IS NOT NULL ) OR (X."&amp;F389&amp;" IS NOT NULL AND Y."&amp;F389&amp;"_SIMUL IS NULL),1,0)) AS NUM_REG_DIF,'"&amp;MAX('ID1&amp;5'!K:K)+1&amp;"' AS ID_EXEC, CURRENT_TIMESTAMP() AS TIME_EXEC FROM "&amp;I389&amp;" INNER JOIN "&amp;J389&amp;" "&amp;K389,"SELECT '"&amp;UPPER(B389)&amp;"' AS TABELA, '"&amp;UPPER(C389)&amp;"' AS TIPOLOGIA_TESTE,'"&amp;D389&amp;"' AS TABELA_LT,'"&amp;E389&amp;"' AS TABELA_SIMUL,'"&amp;F389&amp;"' AS CAMPO, "&amp;"'${ref_date}' AS REF_DATE, COUNT(*) AS NUM_REG, SUM(IF(COALESCE(CAST(X."&amp;F389&amp;" AS STRING),'')&lt;&gt;COALESCE(CAST(Y."&amp;F389&amp;"_SIMUL AS STRING),'') OR (X."&amp;F389&amp;" IS NULL AND Y."&amp;F389&amp;"_SIMUL IS NOT NULL ) OR (X."&amp;F389&amp;" IS NOT NULL AND Y."&amp;F389&amp;"_SIMUL IS NULL),1,0)) AS NUM_REG_DIF,'"&amp;MAX('ID1&amp;5'!L:L)+1&amp;"' AS ID_EXEC, CURRENT_TIMESTAMP() AS TIME_EXEC FROM "&amp;I389&amp;" INNER JOIN "&amp;J389&amp;" "&amp;K389),
IF(C389="Validade",+IF(G389="Code List","SELECT '"&amp;UPPER(B389)&amp;"' AS TABELA, '"&amp;UPPER(C389)&amp;"' AS TIPOLOGIA_TESTE,'"&amp;D389&amp;"' AS TABELA_LT,'N/A' AS TABELA_SIMUL,'"&amp;F389&amp;"' AS CAMPO, "&amp;"'${ref_date}' AS REF_DATE, COUNT(*) AS NUM_REG, SUM(IF(TRIM(CAST(X."&amp;F389&amp;" AS STRING))='' OR TRIM(CAST(X."&amp;F389&amp;" AS STRING)) IS NULL OR CAST(X."&amp;F389&amp;" AS STRING) NOT "&amp;H389&amp;",1,0)) AS NUM_REG_DIF,'"&amp;MAX('ID1&amp;5'!K:K)+1&amp;"' AS ID_EXEC, CURRENT_TIMESTAMP() AS TIME_EXEC FROM "&amp;I389,"SELECT '"&amp;UPPER(B389)&amp;"' AS TABELA, '"&amp;UPPER(C389)&amp;"' AS TIPOLOGIA_TESTE,'"&amp;D389&amp;"' AS TABELA_LT,'N/A' AS TABELA_SIMUL,'"&amp;F389&amp;"' AS CAMPO, "&amp;"'${ref_date}' AS REF_DATE, COUNT(*) AS NUM_REG, SUM(IF(TRIM(CAST(X."&amp;F389&amp;" AS STRING))='' OR TRIM(CAST(X."&amp;F389&amp;" AS STRING)) IS NULL,1,0)) AS NUM_REG_DIF,'"&amp;MAX('ID1&amp;5'!K:K)+1&amp;"' AS ID_EXEC, CURRENT_TIMESTAMP() AS TIME_EXEC FROM "&amp;I389),
IF(C389="Caracteres Especiais",+"SELECT '"&amp;UPPER(B389)&amp;"' AS TABELA, '"&amp;UPPER(C389)&amp;"' AS TIPOLOGIA_TESTE,'"&amp;D389&amp;"' AS TABELA_LT,'N/A' AS TABELA_SIMUL,'"&amp;F389&amp;"' AS CAMPO, "&amp;"'${ref_date}' AS REF_DATE, COUNT(*) AS NUM_REG, SUM(IF(REGEXP_REPLACE(TRIM(CAST(X."&amp;F389&amp;" AS STRING)),'[^a-zA-Z0-9_\\s]','') &lt;&gt;TRIM(CAST(X."&amp;F389&amp;" AS STRING)),1,0)) AS NUM_REG_DIF,'"&amp;MAX('ID1&amp;5'!K:K)+1&amp;"' AS ID_EXEC, CURRENT_TIMESTAMP() AS TIME_EXEC FROM "&amp;I389,
IF(C389="Missings",+"SELECT '"&amp;UPPER(B389)&amp;"' AS TABELA, '"&amp;UPPER(C389)&amp;"' AS TIPOLOGIA_TESTE,'"&amp;D389&amp;"' AS TABELA_LT,'N/A' AS TABELA_SIMUL,'"&amp;F389&amp;"' AS CAMPO, "&amp;"'${ref_date}' AS REF_DATE, COUNT(*) AS NUM_REG, SUM(IF(TRIM(CAST(X."&amp;F389&amp;" AS STRING)) IN ('0000-00-00','0001-01-01','9999-12-31','MISS','00000','99999999999','99999999999.00','99999999999.000000'),1,0)) AS NUM_REG_DIF,'"&amp;MAX('ID1&amp;5'!K:K)+1&amp;"' AS ID_EXEC, CURRENT_TIMESTAMP() AS TIME_EXEC FROM "&amp;I389,
IF(C389="Not applicable",+"SELECT '"&amp;UPPER(B389)&amp;"' AS TABELA, '"&amp;UPPER(C389)&amp;"' AS TIPOLOGIA_TESTE,'"&amp;D389&amp;"' AS TABELA_LT,'N/A' AS TABELA_SIMUL,'"&amp;F389&amp;"' AS CAMPO, "&amp;"'${ref_date}' AS REF_DATE, COUNT(*) AS NUM_REG, SUM(IF(TRIM(CAST(X."&amp;F389&amp;" AS STRING)) IN ('N/A','11111111111','11111111111.00','11111111111.000000','1111-11-11'),1,0)) AS NUM_REG_DIF,'"&amp;MAX('ID1&amp;5'!K:K)+1&amp;"' AS ID_EXEC, CURRENT_TIMESTAMP() AS TIME_EXEC FROM "&amp;I389,
IF(C389="Valores extremos",+"SELECT '"&amp;UPPER(B389)&amp;"' AS TABELA, '"&amp;UPPER(C389)&amp;"' AS TIPOLOGIA_TESTE,'"&amp;D389&amp;"' AS TABELA_LT,'N/A' AS TABELA_SIMUL,'"&amp;F389&amp;"' AS CAMPO, "&amp;"'${ref_date}' AS REF_DATE, CAST(MIN("&amp;F389&amp;") AS STRING) AS VALOR_MIN, CAST(MAX("&amp;F389&amp;") AS STRING) AS VALOR_MAX,'"&amp;MAX('ID1&amp;5'!K:K)+1&amp;"' AS ID_EXEC, CURRENT_TIMESTAMP() AS TIME_EXEC FROM "&amp;MID(I389,1,LEN(I389)-2)&amp;" AND CAST("&amp;F389&amp;"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TABELA_SIMUL,'entty_nm' AS CAMPO, '${ref_date}' AS REF_DATE, COUNT(*) AS NUM_REG, SUM(IF(COALESCE(CAST(X.entty_nm AS STRING),'')&lt;&gt;COALESCE(CAST(Y.entty_nm_SIMUL AS STRING),'') OR (X.entty_nm IS NULL AND Y.entty_nm_SIMUL IS NOT NULL ) OR (X.entty_nm IS NOT NULL AND Y.entty_nm_SIMUL IS NULL),1,0)) AS NUM_REG_DIF,'1' AS ID_EXEC, CURRENT_TIMESTAMP() AS TIME_EXEC FROM (SELECT entty_id, entty_nm FROM BU_LOANTAPE_WORK.LT003_ENTITY WHERE ref_date='${ref_date}' AND nome_perimetro='Individual Local' AND segmento='ESTR' AND ambito='SRB_MBDT' AND entidade='00100')X INNER JOIN (SELECT entty_id AS entty_id_SIMUL, entty_nm AS entty_nm_SIMUL FROM BU_LOANTAPE_WORK.SIMUL_LT003_ENTITY WHERE ref_date='${ref_date}' AND nome_perimetro='Individual Local' AND segmento='ESTR' AND ambito='PILAR3' AND entidade='00100')Y ON X.ENTTY_ID=Y.ENTTY_ID_SIMUL</v>
      </c>
      <c r="M389" s="36" t="str">
        <f t="shared" si="9"/>
        <v>UNION ALL SELECT 'ENTITY' AS TABELA, 'COERÊNCIA' AS TIPOLOGIA_TESTE,'BU_LOANTAPE_WORK.LT003_ENTITY' AS TABELA_LT,'BU_LOANTAPE_WORK.SIMUL_LT003_ENTITY' AS TABELA_SIMUL,'entty_nm' AS CAMPO, '${ref_date}' AS REF_DATE, COUNT(*) AS NUM_REG, SUM(IF(COALESCE(CAST(X.entty_nm AS STRING),'')&lt;&gt;COALESCE(CAST(Y.entty_nm_SIMUL AS STRING),'') OR (X.entty_nm IS NULL AND Y.entty_nm_SIMUL IS NOT NULL ) OR (X.entty_nm IS NOT NULL AND Y.entty_nm_SIMUL IS NULL),1,0)) AS NUM_REG_DIF,'1' AS ID_EXEC, CURRENT_TIMESTAMP() AS TIME_EXEC FROM (SELECT entty_id, entty_nm FROM BU_LOANTAPE_WORK.LT003_ENTITY WHERE ref_date='${ref_date}' AND nome_perimetro='Individual Local' AND segmento='ESTR' AND ambito='SRB_MBDT' AND entidade='00100')X INNER JOIN (SELECT entty_id AS entty_id_SIMUL, entty_nm AS entty_nm_SIMUL FROM BU_LOANTAPE_WORK.SIMUL_LT003_ENTITY WHERE ref_date='${ref_date}' AND nome_perimetro='Individual Local' AND segmento='ESTR' AND ambito='PILAR3' AND entidade='00100')Y ON X.ENTTY_ID=Y.ENTTY_ID_SIMUL</v>
      </c>
    </row>
    <row r="390" spans="2:13">
      <c r="B390" s="34" t="s">
        <v>118</v>
      </c>
      <c r="C390" s="34" t="s">
        <v>5</v>
      </c>
      <c r="D390" s="34" t="str">
        <f>+UPPER('0. Instruções'!$D$35&amp;"."&amp;VLOOKUP(B390,'0. Instruções'!$C$27:$D$32,2,FALSE))</f>
        <v>BU_LOANTAPE_WORK.LT003_ENTITY</v>
      </c>
      <c r="E390" s="34" t="str">
        <f>+UPPER('0. Instruções'!$D$36&amp;"."&amp;VLOOKUP(B390,'0. Instruções'!$C$27:$E$32,3,FALSE))</f>
        <v>BU_LOANTAPE_WORK.SIMUL_LT003_ENTITY</v>
      </c>
      <c r="F390" s="34" t="s">
        <v>1422</v>
      </c>
      <c r="G390" s="34"/>
      <c r="H390" s="34"/>
      <c r="I390" s="34" t="str">
        <f>"(SELECT "&amp;VLOOKUP(B390,'0. Instruções'!$C$27:$G$32,4,FALSE)&amp;", "&amp;F390&amp;" FROM "&amp;D390&amp;" WHERE "&amp;'0. Instruções'!$D$42&amp;")X"</f>
        <v>(SELECT entty_id, extrnl_rtng_nm FROM BU_LOANTAPE_WORK.LT003_ENTITY WHERE ref_date='${ref_date}' AND nome_perimetro='Individual Local' AND segmento='ESTR' AND ambito='SRB_MBDT' AND entidade='00100')X</v>
      </c>
      <c r="J390" s="34" t="str">
        <f>"(SELECT "&amp;VLOOKUP(B390,'0. Instruções'!$C$27:$G$32,4,FALSE)&amp;" AS "&amp;VLOOKUP(B390,'0. Instruções'!$C$27:$G$32,4,FALSE)&amp;"_SIMUL, "&amp;F390&amp;" AS "&amp;F390&amp;"_SIMUL FROM "&amp;E390&amp;" WHERE "&amp;'0. Instruções'!$D$43&amp;")Y"</f>
        <v>(SELECT entty_id AS entty_id_SIMUL, extrnl_rtng_nm AS extrnl_rtng_nm_SIMUL FROM BU_LOANTAPE_WORK.SIMUL_LT003_ENTITY WHERE ref_date='${ref_date}' AND nome_perimetro='Individual Local' AND segmento='ESTR' AND ambito='PILAR3' AND entidade='00100')Y</v>
      </c>
      <c r="K390" s="35" t="str">
        <f>+UPPER("ON X."&amp;VLOOKUP(B390,'0. Instruções'!$C$27:$G$32,4,FALSE)&amp;"=Y."&amp;VLOOKUP(B390,'0. Instruções'!$C$27:$G$32,4,FALSE)&amp;"_SIMUL")</f>
        <v>ON X.ENTTY_ID=Y.ENTTY_ID_SIMUL</v>
      </c>
      <c r="L390" s="35" t="str">
        <f>+IF(C390="Coerência", +IF(LEFT(G390,5)="FLOAT","SELECT '"&amp;UPPER(B390)&amp;"' AS TABELA, '"&amp;UPPER(C390)&amp;"' AS TIPOLOGIA_TESTE,'"&amp;D390&amp;"' AS TABELA_LT,'"&amp;E390&amp;"' AS TABELA_SIMUL,'"&amp;F390&amp;"' AS CAMPO, "&amp;"'${ref_date}' AS REF_DATE, COUNT(*) AS NUM_REG, SUM(IF((ABS(COALESCE(CAST(X."&amp;F390&amp;" AS DECIMAL(18,6)),0)-COALESCE(CAST(Y."&amp;F390&amp;"_SIMUL AS DECIMAL(18,6)),0))&gt;0.000001) OR (X."&amp;F390&amp;" IS NULL AND Y."&amp;F390&amp;"_SIMUL IS NOT NULL ) OR (X."&amp;F390&amp;" IS NOT NULL AND Y."&amp;F390&amp;"_SIMUL IS NULL),1,0)) AS NUM_REG_DIF,'"&amp;MAX('ID1&amp;5'!K:K)+1&amp;"' AS ID_EXEC, CURRENT_TIMESTAMP() AS TIME_EXEC FROM "&amp;I390&amp;" INNER JOIN "&amp;J390&amp;" "&amp;K390,"SELECT '"&amp;UPPER(B390)&amp;"' AS TABELA, '"&amp;UPPER(C390)&amp;"' AS TIPOLOGIA_TESTE,'"&amp;D390&amp;"' AS TABELA_LT,'"&amp;E390&amp;"' AS TABELA_SIMUL,'"&amp;F390&amp;"' AS CAMPO, "&amp;"'${ref_date}' AS REF_DATE, COUNT(*) AS NUM_REG, SUM(IF(COALESCE(CAST(X."&amp;F390&amp;" AS STRING),'')&lt;&gt;COALESCE(CAST(Y."&amp;F390&amp;"_SIMUL AS STRING),'') OR (X."&amp;F390&amp;" IS NULL AND Y."&amp;F390&amp;"_SIMUL IS NOT NULL ) OR (X."&amp;F390&amp;" IS NOT NULL AND Y."&amp;F390&amp;"_SIMUL IS NULL),1,0)) AS NUM_REG_DIF,'"&amp;MAX('ID1&amp;5'!L:L)+1&amp;"' AS ID_EXEC, CURRENT_TIMESTAMP() AS TIME_EXEC FROM "&amp;I390&amp;" INNER JOIN "&amp;J390&amp;" "&amp;K390),
IF(C390="Validade",+IF(G390="Code List","SELECT '"&amp;UPPER(B390)&amp;"' AS TABELA, '"&amp;UPPER(C390)&amp;"' AS TIPOLOGIA_TESTE,'"&amp;D390&amp;"' AS TABELA_LT,'N/A' AS TABELA_SIMUL,'"&amp;F390&amp;"' AS CAMPO, "&amp;"'${ref_date}' AS REF_DATE, COUNT(*) AS NUM_REG, SUM(IF(TRIM(CAST(X."&amp;F390&amp;" AS STRING))='' OR TRIM(CAST(X."&amp;F390&amp;" AS STRING)) IS NULL OR CAST(X."&amp;F390&amp;" AS STRING) NOT "&amp;H390&amp;",1,0)) AS NUM_REG_DIF,'"&amp;MAX('ID1&amp;5'!K:K)+1&amp;"' AS ID_EXEC, CURRENT_TIMESTAMP() AS TIME_EXEC FROM "&amp;I390,"SELECT '"&amp;UPPER(B390)&amp;"' AS TABELA, '"&amp;UPPER(C390)&amp;"' AS TIPOLOGIA_TESTE,'"&amp;D390&amp;"' AS TABELA_LT,'N/A' AS TABELA_SIMUL,'"&amp;F390&amp;"' AS CAMPO, "&amp;"'${ref_date}' AS REF_DATE, COUNT(*) AS NUM_REG, SUM(IF(TRIM(CAST(X."&amp;F390&amp;" AS STRING))='' OR TRIM(CAST(X."&amp;F390&amp;" AS STRING)) IS NULL,1,0)) AS NUM_REG_DIF,'"&amp;MAX('ID1&amp;5'!K:K)+1&amp;"' AS ID_EXEC, CURRENT_TIMESTAMP() AS TIME_EXEC FROM "&amp;I390),
IF(C390="Caracteres Especiais",+"SELECT '"&amp;UPPER(B390)&amp;"' AS TABELA, '"&amp;UPPER(C390)&amp;"' AS TIPOLOGIA_TESTE,'"&amp;D390&amp;"' AS TABELA_LT,'N/A' AS TABELA_SIMUL,'"&amp;F390&amp;"' AS CAMPO, "&amp;"'${ref_date}' AS REF_DATE, COUNT(*) AS NUM_REG, SUM(IF(REGEXP_REPLACE(TRIM(CAST(X."&amp;F390&amp;" AS STRING)),'[^a-zA-Z0-9_\\s]','') &lt;&gt;TRIM(CAST(X."&amp;F390&amp;" AS STRING)),1,0)) AS NUM_REG_DIF,'"&amp;MAX('ID1&amp;5'!K:K)+1&amp;"' AS ID_EXEC, CURRENT_TIMESTAMP() AS TIME_EXEC FROM "&amp;I390,
IF(C390="Missings",+"SELECT '"&amp;UPPER(B390)&amp;"' AS TABELA, '"&amp;UPPER(C390)&amp;"' AS TIPOLOGIA_TESTE,'"&amp;D390&amp;"' AS TABELA_LT,'N/A' AS TABELA_SIMUL,'"&amp;F390&amp;"' AS CAMPO, "&amp;"'${ref_date}' AS REF_DATE, COUNT(*) AS NUM_REG, SUM(IF(TRIM(CAST(X."&amp;F390&amp;" AS STRING)) IN ('0000-00-00','0001-01-01','9999-12-31','MISS','00000','99999999999','99999999999.00','99999999999.000000'),1,0)) AS NUM_REG_DIF,'"&amp;MAX('ID1&amp;5'!K:K)+1&amp;"' AS ID_EXEC, CURRENT_TIMESTAMP() AS TIME_EXEC FROM "&amp;I390,
IF(C390="Not applicable",+"SELECT '"&amp;UPPER(B390)&amp;"' AS TABELA, '"&amp;UPPER(C390)&amp;"' AS TIPOLOGIA_TESTE,'"&amp;D390&amp;"' AS TABELA_LT,'N/A' AS TABELA_SIMUL,'"&amp;F390&amp;"' AS CAMPO, "&amp;"'${ref_date}' AS REF_DATE, COUNT(*) AS NUM_REG, SUM(IF(TRIM(CAST(X."&amp;F390&amp;" AS STRING)) IN ('N/A','11111111111','11111111111.00','11111111111.000000','1111-11-11'),1,0)) AS NUM_REG_DIF,'"&amp;MAX('ID1&amp;5'!K:K)+1&amp;"' AS ID_EXEC, CURRENT_TIMESTAMP() AS TIME_EXEC FROM "&amp;I390,
IF(C390="Valores extremos",+"SELECT '"&amp;UPPER(B390)&amp;"' AS TABELA, '"&amp;UPPER(C390)&amp;"' AS TIPOLOGIA_TESTE,'"&amp;D390&amp;"' AS TABELA_LT,'N/A' AS TABELA_SIMUL,'"&amp;F390&amp;"' AS CAMPO, "&amp;"'${ref_date}' AS REF_DATE, CAST(MIN("&amp;F390&amp;") AS STRING) AS VALOR_MIN, CAST(MAX("&amp;F390&amp;") AS STRING) AS VALOR_MAX,'"&amp;MAX('ID1&amp;5'!K:K)+1&amp;"' AS ID_EXEC, CURRENT_TIMESTAMP() AS TIME_EXEC FROM "&amp;MID(I390,1,LEN(I390)-2)&amp;" AND CAST("&amp;F390&amp;"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TABELA_SIMUL,'extrnl_rtng_nm' AS CAMPO, '${ref_date}' AS REF_DATE, COUNT(*) AS NUM_REG, SUM(IF(COALESCE(CAST(X.extrnl_rtng_nm AS STRING),'')&lt;&gt;COALESCE(CAST(Y.extrnl_rtng_nm_SIMUL AS STRING),'') OR (X.extrnl_rtng_nm IS NULL AND Y.extrnl_rtng_nm_SIMUL IS NOT NULL ) OR (X.extrnl_rtng_nm IS NOT NULL AND Y.extrnl_rtng_nm_SIMUL IS NULL),1,0)) AS NUM_REG_DIF,'1' AS ID_EXEC, CURRENT_TIMESTAMP() AS TIME_EXEC FROM (SELECT entty_id, extrnl_rtng_nm FROM BU_LOANTAPE_WORK.LT003_ENTITY WHERE ref_date='${ref_date}' AND nome_perimetro='Individual Local' AND segmento='ESTR' AND ambito='SRB_MBDT' AND entidade='00100')X INNER JOIN (SELECT entty_id AS entty_id_SIMUL, extrnl_rtng_nm AS extrnl_rtng_nm_SIMUL FROM BU_LOANTAPE_WORK.SIMUL_LT003_ENTITY WHERE ref_date='${ref_date}' AND nome_perimetro='Individual Local' AND segmento='ESTR' AND ambito='PILAR3' AND entidade='00100')Y ON X.ENTTY_ID=Y.ENTTY_ID_SIMUL</v>
      </c>
      <c r="M390" s="36" t="str">
        <f t="shared" si="9"/>
        <v>UNION ALL SELECT 'ENTITY' AS TABELA, 'COERÊNCIA' AS TIPOLOGIA_TESTE,'BU_LOANTAPE_WORK.LT003_ENTITY' AS TABELA_LT,'BU_LOANTAPE_WORK.SIMUL_LT003_ENTITY' AS TABELA_SIMUL,'extrnl_rtng_nm' AS CAMPO, '${ref_date}' AS REF_DATE, COUNT(*) AS NUM_REG, SUM(IF(COALESCE(CAST(X.extrnl_rtng_nm AS STRING),'')&lt;&gt;COALESCE(CAST(Y.extrnl_rtng_nm_SIMUL AS STRING),'') OR (X.extrnl_rtng_nm IS NULL AND Y.extrnl_rtng_nm_SIMUL IS NOT NULL ) OR (X.extrnl_rtng_nm IS NOT NULL AND Y.extrnl_rtng_nm_SIMUL IS NULL),1,0)) AS NUM_REG_DIF,'1' AS ID_EXEC, CURRENT_TIMESTAMP() AS TIME_EXEC FROM (SELECT entty_id, extrnl_rtng_nm FROM BU_LOANTAPE_WORK.LT003_ENTITY WHERE ref_date='${ref_date}' AND nome_perimetro='Individual Local' AND segmento='ESTR' AND ambito='SRB_MBDT' AND entidade='00100')X INNER JOIN (SELECT entty_id AS entty_id_SIMUL, extrnl_rtng_nm AS extrnl_rtng_nm_SIMUL FROM BU_LOANTAPE_WORK.SIMUL_LT003_ENTITY WHERE ref_date='${ref_date}' AND nome_perimetro='Individual Local' AND segmento='ESTR' AND ambito='PILAR3' AND entidade='00100')Y ON X.ENTTY_ID=Y.ENTTY_ID_SIMUL</v>
      </c>
    </row>
    <row r="391" spans="2:13">
      <c r="B391" s="34" t="s">
        <v>118</v>
      </c>
      <c r="C391" s="34" t="s">
        <v>5</v>
      </c>
      <c r="D391" s="34" t="str">
        <f>+UPPER('0. Instruções'!$D$35&amp;"."&amp;VLOOKUP(B391,'0. Instruções'!$C$27:$D$32,2,FALSE))</f>
        <v>BU_LOANTAPE_WORK.LT003_ENTITY</v>
      </c>
      <c r="E391" s="34" t="str">
        <f>+UPPER('0. Instruções'!$D$36&amp;"."&amp;VLOOKUP(B391,'0. Instruções'!$C$27:$E$32,3,FALSE))</f>
        <v>BU_LOANTAPE_WORK.SIMUL_LT003_ENTITY</v>
      </c>
      <c r="F391" s="34" t="s">
        <v>1423</v>
      </c>
      <c r="G391" s="34"/>
      <c r="H391" s="34"/>
      <c r="I391" s="34" t="str">
        <f>"(SELECT "&amp;VLOOKUP(B391,'0. Instruções'!$C$27:$G$32,4,FALSE)&amp;", "&amp;F391&amp;" FROM "&amp;D391&amp;" WHERE "&amp;'0. Instruções'!$D$42&amp;")X"</f>
        <v>(SELECT entty_id, accntng_frmwrk_sl FROM BU_LOANTAPE_WORK.LT003_ENTITY WHERE ref_date='${ref_date}' AND nome_perimetro='Individual Local' AND segmento='ESTR' AND ambito='SRB_MBDT' AND entidade='00100')X</v>
      </c>
      <c r="J391" s="34" t="str">
        <f>"(SELECT "&amp;VLOOKUP(B391,'0. Instruções'!$C$27:$G$32,4,FALSE)&amp;" AS "&amp;VLOOKUP(B391,'0. Instruções'!$C$27:$G$32,4,FALSE)&amp;"_SIMUL, "&amp;F391&amp;" AS "&amp;F391&amp;"_SIMUL FROM "&amp;E391&amp;" WHERE "&amp;'0. Instruções'!$D$43&amp;")Y"</f>
        <v>(SELECT entty_id AS entty_id_SIMUL, accntng_frmwrk_sl AS accntng_frmwrk_sl_SIMUL FROM BU_LOANTAPE_WORK.SIMUL_LT003_ENTITY WHERE ref_date='${ref_date}' AND nome_perimetro='Individual Local' AND segmento='ESTR' AND ambito='PILAR3' AND entidade='00100')Y</v>
      </c>
      <c r="K391" s="35" t="str">
        <f>+UPPER("ON X."&amp;VLOOKUP(B391,'0. Instruções'!$C$27:$G$32,4,FALSE)&amp;"=Y."&amp;VLOOKUP(B391,'0. Instruções'!$C$27:$G$32,4,FALSE)&amp;"_SIMUL")</f>
        <v>ON X.ENTTY_ID=Y.ENTTY_ID_SIMUL</v>
      </c>
      <c r="L391" s="35" t="str">
        <f>+IF(C391="Coerência", +IF(LEFT(G391,5)="FLOAT","SELECT '"&amp;UPPER(B391)&amp;"' AS TABELA, '"&amp;UPPER(C391)&amp;"' AS TIPOLOGIA_TESTE,'"&amp;D391&amp;"' AS TABELA_LT,'"&amp;E391&amp;"' AS TABELA_SIMUL,'"&amp;F391&amp;"' AS CAMPO, "&amp;"'${ref_date}' AS REF_DATE, COUNT(*) AS NUM_REG, SUM(IF((ABS(COALESCE(CAST(X."&amp;F391&amp;" AS DECIMAL(18,6)),0)-COALESCE(CAST(Y."&amp;F391&amp;"_SIMUL AS DECIMAL(18,6)),0))&gt;0.000001) OR (X."&amp;F391&amp;" IS NULL AND Y."&amp;F391&amp;"_SIMUL IS NOT NULL ) OR (X."&amp;F391&amp;" IS NOT NULL AND Y."&amp;F391&amp;"_SIMUL IS NULL),1,0)) AS NUM_REG_DIF,'"&amp;MAX('ID1&amp;5'!K:K)+1&amp;"' AS ID_EXEC, CURRENT_TIMESTAMP() AS TIME_EXEC FROM "&amp;I391&amp;" INNER JOIN "&amp;J391&amp;" "&amp;K391,"SELECT '"&amp;UPPER(B391)&amp;"' AS TABELA, '"&amp;UPPER(C391)&amp;"' AS TIPOLOGIA_TESTE,'"&amp;D391&amp;"' AS TABELA_LT,'"&amp;E391&amp;"' AS TABELA_SIMUL,'"&amp;F391&amp;"' AS CAMPO, "&amp;"'${ref_date}' AS REF_DATE, COUNT(*) AS NUM_REG, SUM(IF(COALESCE(CAST(X."&amp;F391&amp;" AS STRING),'')&lt;&gt;COALESCE(CAST(Y."&amp;F391&amp;"_SIMUL AS STRING),'') OR (X."&amp;F391&amp;" IS NULL AND Y."&amp;F391&amp;"_SIMUL IS NOT NULL ) OR (X."&amp;F391&amp;" IS NOT NULL AND Y."&amp;F391&amp;"_SIMUL IS NULL),1,0)) AS NUM_REG_DIF,'"&amp;MAX('ID1&amp;5'!L:L)+1&amp;"' AS ID_EXEC, CURRENT_TIMESTAMP() AS TIME_EXEC FROM "&amp;I391&amp;" INNER JOIN "&amp;J391&amp;" "&amp;K391),
IF(C391="Validade",+IF(G391="Code List","SELECT '"&amp;UPPER(B391)&amp;"' AS TABELA, '"&amp;UPPER(C391)&amp;"' AS TIPOLOGIA_TESTE,'"&amp;D391&amp;"' AS TABELA_LT,'N/A' AS TABELA_SIMUL,'"&amp;F391&amp;"' AS CAMPO, "&amp;"'${ref_date}' AS REF_DATE, COUNT(*) AS NUM_REG, SUM(IF(TRIM(CAST(X."&amp;F391&amp;" AS STRING))='' OR TRIM(CAST(X."&amp;F391&amp;" AS STRING)) IS NULL OR CAST(X."&amp;F391&amp;" AS STRING) NOT "&amp;H391&amp;",1,0)) AS NUM_REG_DIF,'"&amp;MAX('ID1&amp;5'!K:K)+1&amp;"' AS ID_EXEC, CURRENT_TIMESTAMP() AS TIME_EXEC FROM "&amp;I391,"SELECT '"&amp;UPPER(B391)&amp;"' AS TABELA, '"&amp;UPPER(C391)&amp;"' AS TIPOLOGIA_TESTE,'"&amp;D391&amp;"' AS TABELA_LT,'N/A' AS TABELA_SIMUL,'"&amp;F391&amp;"' AS CAMPO, "&amp;"'${ref_date}' AS REF_DATE, COUNT(*) AS NUM_REG, SUM(IF(TRIM(CAST(X."&amp;F391&amp;" AS STRING))='' OR TRIM(CAST(X."&amp;F391&amp;" AS STRING)) IS NULL,1,0)) AS NUM_REG_DIF,'"&amp;MAX('ID1&amp;5'!K:K)+1&amp;"' AS ID_EXEC, CURRENT_TIMESTAMP() AS TIME_EXEC FROM "&amp;I391),
IF(C391="Caracteres Especiais",+"SELECT '"&amp;UPPER(B391)&amp;"' AS TABELA, '"&amp;UPPER(C391)&amp;"' AS TIPOLOGIA_TESTE,'"&amp;D391&amp;"' AS TABELA_LT,'N/A' AS TABELA_SIMUL,'"&amp;F391&amp;"' AS CAMPO, "&amp;"'${ref_date}' AS REF_DATE, COUNT(*) AS NUM_REG, SUM(IF(REGEXP_REPLACE(TRIM(CAST(X."&amp;F391&amp;" AS STRING)),'[^a-zA-Z0-9_\\s]','') &lt;&gt;TRIM(CAST(X."&amp;F391&amp;" AS STRING)),1,0)) AS NUM_REG_DIF,'"&amp;MAX('ID1&amp;5'!K:K)+1&amp;"' AS ID_EXEC, CURRENT_TIMESTAMP() AS TIME_EXEC FROM "&amp;I391,
IF(C391="Missings",+"SELECT '"&amp;UPPER(B391)&amp;"' AS TABELA, '"&amp;UPPER(C391)&amp;"' AS TIPOLOGIA_TESTE,'"&amp;D391&amp;"' AS TABELA_LT,'N/A' AS TABELA_SIMUL,'"&amp;F391&amp;"' AS CAMPO, "&amp;"'${ref_date}' AS REF_DATE, COUNT(*) AS NUM_REG, SUM(IF(TRIM(CAST(X."&amp;F391&amp;" AS STRING)) IN ('0000-00-00','0001-01-01','9999-12-31','MISS','00000','99999999999','99999999999.00','99999999999.000000'),1,0)) AS NUM_REG_DIF,'"&amp;MAX('ID1&amp;5'!K:K)+1&amp;"' AS ID_EXEC, CURRENT_TIMESTAMP() AS TIME_EXEC FROM "&amp;I391,
IF(C391="Not applicable",+"SELECT '"&amp;UPPER(B391)&amp;"' AS TABELA, '"&amp;UPPER(C391)&amp;"' AS TIPOLOGIA_TESTE,'"&amp;D391&amp;"' AS TABELA_LT,'N/A' AS TABELA_SIMUL,'"&amp;F391&amp;"' AS CAMPO, "&amp;"'${ref_date}' AS REF_DATE, COUNT(*) AS NUM_REG, SUM(IF(TRIM(CAST(X."&amp;F391&amp;" AS STRING)) IN ('N/A','11111111111','11111111111.00','11111111111.000000','1111-11-11'),1,0)) AS NUM_REG_DIF,'"&amp;MAX('ID1&amp;5'!K:K)+1&amp;"' AS ID_EXEC, CURRENT_TIMESTAMP() AS TIME_EXEC FROM "&amp;I391,
IF(C391="Valores extremos",+"SELECT '"&amp;UPPER(B391)&amp;"' AS TABELA, '"&amp;UPPER(C391)&amp;"' AS TIPOLOGIA_TESTE,'"&amp;D391&amp;"' AS TABELA_LT,'N/A' AS TABELA_SIMUL,'"&amp;F391&amp;"' AS CAMPO, "&amp;"'${ref_date}' AS REF_DATE, CAST(MIN("&amp;F391&amp;") AS STRING) AS VALOR_MIN, CAST(MAX("&amp;F391&amp;") AS STRING) AS VALOR_MAX,'"&amp;MAX('ID1&amp;5'!K:K)+1&amp;"' AS ID_EXEC, CURRENT_TIMESTAMP() AS TIME_EXEC FROM "&amp;MID(I391,1,LEN(I391)-2)&amp;" AND CAST("&amp;F391&amp;"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TABELA_SIMUL,'accntng_frmwrk_sl' AS CAMPO, '${ref_date}' AS REF_DATE, COUNT(*) AS NUM_REG, SUM(IF(COALESCE(CAST(X.accntng_frmwrk_sl AS STRING),'')&lt;&gt;COALESCE(CAST(Y.accntng_frmwrk_sl_SIMUL AS STRING),'') OR (X.accntng_frmwrk_sl IS NULL AND Y.accntng_frmwrk_sl_SIMUL IS NOT NULL ) OR (X.accntng_frmwrk_sl IS NOT NULL AND Y.accntng_frmwrk_sl_SIMUL IS NULL),1,0)) AS NUM_REG_DIF,'1' AS ID_EXEC, CURRENT_TIMESTAMP() AS TIME_EXEC FROM (SELECT entty_id, accntng_frmwrk_sl FROM BU_LOANTAPE_WORK.LT003_ENTITY WHERE ref_date='${ref_date}' AND nome_perimetro='Individual Local' AND segmento='ESTR' AND ambito='SRB_MBDT' AND entidade='00100')X INNER JOIN (SELECT entty_id AS entty_id_SIMUL, accntng_frmwrk_sl AS accntng_frmwrk_sl_SIMUL FROM BU_LOANTAPE_WORK.SIMUL_LT003_ENTITY WHERE ref_date='${ref_date}' AND nome_perimetro='Individual Local' AND segmento='ESTR' AND ambito='PILAR3' AND entidade='00100')Y ON X.ENTTY_ID=Y.ENTTY_ID_SIMUL</v>
      </c>
      <c r="M391" s="36" t="str">
        <f t="shared" si="9"/>
        <v>UNION ALL SELECT 'ENTITY' AS TABELA, 'COERÊNCIA' AS TIPOLOGIA_TESTE,'BU_LOANTAPE_WORK.LT003_ENTITY' AS TABELA_LT,'BU_LOANTAPE_WORK.SIMUL_LT003_ENTITY' AS TABELA_SIMUL,'accntng_frmwrk_sl' AS CAMPO, '${ref_date}' AS REF_DATE, COUNT(*) AS NUM_REG, SUM(IF(COALESCE(CAST(X.accntng_frmwrk_sl AS STRING),'')&lt;&gt;COALESCE(CAST(Y.accntng_frmwrk_sl_SIMUL AS STRING),'') OR (X.accntng_frmwrk_sl IS NULL AND Y.accntng_frmwrk_sl_SIMUL IS NOT NULL ) OR (X.accntng_frmwrk_sl IS NOT NULL AND Y.accntng_frmwrk_sl_SIMUL IS NULL),1,0)) AS NUM_REG_DIF,'1' AS ID_EXEC, CURRENT_TIMESTAMP() AS TIME_EXEC FROM (SELECT entty_id, accntng_frmwrk_sl FROM BU_LOANTAPE_WORK.LT003_ENTITY WHERE ref_date='${ref_date}' AND nome_perimetro='Individual Local' AND segmento='ESTR' AND ambito='SRB_MBDT' AND entidade='00100')X INNER JOIN (SELECT entty_id AS entty_id_SIMUL, accntng_frmwrk_sl AS accntng_frmwrk_sl_SIMUL FROM BU_LOANTAPE_WORK.SIMUL_LT003_ENTITY WHERE ref_date='${ref_date}' AND nome_perimetro='Individual Local' AND segmento='ESTR' AND ambito='PILAR3' AND entidade='00100')Y ON X.ENTTY_ID=Y.ENTTY_ID_SIMUL</v>
      </c>
    </row>
    <row r="392" spans="2:13">
      <c r="B392" s="34" t="s">
        <v>118</v>
      </c>
      <c r="C392" s="34" t="s">
        <v>5</v>
      </c>
      <c r="D392" s="34" t="str">
        <f>+UPPER('0. Instruções'!$D$35&amp;"."&amp;VLOOKUP(B392,'0. Instruções'!$C$27:$D$32,2,FALSE))</f>
        <v>BU_LOANTAPE_WORK.LT003_ENTITY</v>
      </c>
      <c r="E392" s="34" t="str">
        <f>+UPPER('0. Instruções'!$D$36&amp;"."&amp;VLOOKUP(B392,'0. Instruções'!$C$27:$E$32,3,FALSE))</f>
        <v>BU_LOANTAPE_WORK.SIMUL_LT003_ENTITY</v>
      </c>
      <c r="F392" s="34" t="s">
        <v>285</v>
      </c>
      <c r="G392" s="34"/>
      <c r="H392" s="34"/>
      <c r="I392" s="34" t="str">
        <f>"(SELECT "&amp;VLOOKUP(B392,'0. Instruções'!$C$27:$G$32,4,FALSE)&amp;", "&amp;F392&amp;" FROM "&amp;D392&amp;" WHERE "&amp;'0. Instruções'!$D$42&amp;")X"</f>
        <v>(SELECT entty_id, cr_flg FROM BU_LOANTAPE_WORK.LT003_ENTITY WHERE ref_date='${ref_date}' AND nome_perimetro='Individual Local' AND segmento='ESTR' AND ambito='SRB_MBDT' AND entidade='00100')X</v>
      </c>
      <c r="J392" s="34" t="str">
        <f>"(SELECT "&amp;VLOOKUP(B392,'0. Instruções'!$C$27:$G$32,4,FALSE)&amp;" AS "&amp;VLOOKUP(B392,'0. Instruções'!$C$27:$G$32,4,FALSE)&amp;"_SIMUL, "&amp;F392&amp;" AS "&amp;F392&amp;"_SIMUL FROM "&amp;E392&amp;" WHERE "&amp;'0. Instruções'!$D$43&amp;")Y"</f>
        <v>(SELECT entty_id AS entty_id_SIMUL, cr_flg AS cr_flg_SIMUL FROM BU_LOANTAPE_WORK.SIMUL_LT003_ENTITY WHERE ref_date='${ref_date}' AND nome_perimetro='Individual Local' AND segmento='ESTR' AND ambito='PILAR3' AND entidade='00100')Y</v>
      </c>
      <c r="K392" s="35" t="str">
        <f>+UPPER("ON X."&amp;VLOOKUP(B392,'0. Instruções'!$C$27:$G$32,4,FALSE)&amp;"=Y."&amp;VLOOKUP(B392,'0. Instruções'!$C$27:$G$32,4,FALSE)&amp;"_SIMUL")</f>
        <v>ON X.ENTTY_ID=Y.ENTTY_ID_SIMUL</v>
      </c>
      <c r="L392" s="35" t="str">
        <f>+IF(C392="Coerência", +IF(LEFT(G392,5)="FLOAT","SELECT '"&amp;UPPER(B392)&amp;"' AS TABELA, '"&amp;UPPER(C392)&amp;"' AS TIPOLOGIA_TESTE,'"&amp;D392&amp;"' AS TABELA_LT,'"&amp;E392&amp;"' AS TABELA_SIMUL,'"&amp;F392&amp;"' AS CAMPO, "&amp;"'${ref_date}' AS REF_DATE, COUNT(*) AS NUM_REG, SUM(IF((ABS(COALESCE(CAST(X."&amp;F392&amp;" AS DECIMAL(18,6)),0)-COALESCE(CAST(Y."&amp;F392&amp;"_SIMUL AS DECIMAL(18,6)),0))&gt;0.000001) OR (X."&amp;F392&amp;" IS NULL AND Y."&amp;F392&amp;"_SIMUL IS NOT NULL ) OR (X."&amp;F392&amp;" IS NOT NULL AND Y."&amp;F392&amp;"_SIMUL IS NULL),1,0)) AS NUM_REG_DIF,'"&amp;MAX('ID1&amp;5'!K:K)+1&amp;"' AS ID_EXEC, CURRENT_TIMESTAMP() AS TIME_EXEC FROM "&amp;I392&amp;" INNER JOIN "&amp;J392&amp;" "&amp;K392,"SELECT '"&amp;UPPER(B392)&amp;"' AS TABELA, '"&amp;UPPER(C392)&amp;"' AS TIPOLOGIA_TESTE,'"&amp;D392&amp;"' AS TABELA_LT,'"&amp;E392&amp;"' AS TABELA_SIMUL,'"&amp;F392&amp;"' AS CAMPO, "&amp;"'${ref_date}' AS REF_DATE, COUNT(*) AS NUM_REG, SUM(IF(COALESCE(CAST(X."&amp;F392&amp;" AS STRING),'')&lt;&gt;COALESCE(CAST(Y."&amp;F392&amp;"_SIMUL AS STRING),'') OR (X."&amp;F392&amp;" IS NULL AND Y."&amp;F392&amp;"_SIMUL IS NOT NULL ) OR (X."&amp;F392&amp;" IS NOT NULL AND Y."&amp;F392&amp;"_SIMUL IS NULL),1,0)) AS NUM_REG_DIF,'"&amp;MAX('ID1&amp;5'!L:L)+1&amp;"' AS ID_EXEC, CURRENT_TIMESTAMP() AS TIME_EXEC FROM "&amp;I392&amp;" INNER JOIN "&amp;J392&amp;" "&amp;K392),
IF(C392="Validade",+IF(G392="Code List","SELECT '"&amp;UPPER(B392)&amp;"' AS TABELA, '"&amp;UPPER(C392)&amp;"' AS TIPOLOGIA_TESTE,'"&amp;D392&amp;"' AS TABELA_LT,'N/A' AS TABELA_SIMUL,'"&amp;F392&amp;"' AS CAMPO, "&amp;"'${ref_date}' AS REF_DATE, COUNT(*) AS NUM_REG, SUM(IF(TRIM(CAST(X."&amp;F392&amp;" AS STRING))='' OR TRIM(CAST(X."&amp;F392&amp;" AS STRING)) IS NULL OR CAST(X."&amp;F392&amp;" AS STRING) NOT "&amp;H392&amp;",1,0)) AS NUM_REG_DIF,'"&amp;MAX('ID1&amp;5'!K:K)+1&amp;"' AS ID_EXEC, CURRENT_TIMESTAMP() AS TIME_EXEC FROM "&amp;I392,"SELECT '"&amp;UPPER(B392)&amp;"' AS TABELA, '"&amp;UPPER(C392)&amp;"' AS TIPOLOGIA_TESTE,'"&amp;D392&amp;"' AS TABELA_LT,'N/A' AS TABELA_SIMUL,'"&amp;F392&amp;"' AS CAMPO, "&amp;"'${ref_date}' AS REF_DATE, COUNT(*) AS NUM_REG, SUM(IF(TRIM(CAST(X."&amp;F392&amp;" AS STRING))='' OR TRIM(CAST(X."&amp;F392&amp;" AS STRING)) IS NULL,1,0)) AS NUM_REG_DIF,'"&amp;MAX('ID1&amp;5'!K:K)+1&amp;"' AS ID_EXEC, CURRENT_TIMESTAMP() AS TIME_EXEC FROM "&amp;I392),
IF(C392="Caracteres Especiais",+"SELECT '"&amp;UPPER(B392)&amp;"' AS TABELA, '"&amp;UPPER(C392)&amp;"' AS TIPOLOGIA_TESTE,'"&amp;D392&amp;"' AS TABELA_LT,'N/A' AS TABELA_SIMUL,'"&amp;F392&amp;"' AS CAMPO, "&amp;"'${ref_date}' AS REF_DATE, COUNT(*) AS NUM_REG, SUM(IF(REGEXP_REPLACE(TRIM(CAST(X."&amp;F392&amp;" AS STRING)),'[^a-zA-Z0-9_\\s]','') &lt;&gt;TRIM(CAST(X."&amp;F392&amp;" AS STRING)),1,0)) AS NUM_REG_DIF,'"&amp;MAX('ID1&amp;5'!K:K)+1&amp;"' AS ID_EXEC, CURRENT_TIMESTAMP() AS TIME_EXEC FROM "&amp;I392,
IF(C392="Missings",+"SELECT '"&amp;UPPER(B392)&amp;"' AS TABELA, '"&amp;UPPER(C392)&amp;"' AS TIPOLOGIA_TESTE,'"&amp;D392&amp;"' AS TABELA_LT,'N/A' AS TABELA_SIMUL,'"&amp;F392&amp;"' AS CAMPO, "&amp;"'${ref_date}' AS REF_DATE, COUNT(*) AS NUM_REG, SUM(IF(TRIM(CAST(X."&amp;F392&amp;" AS STRING)) IN ('0000-00-00','0001-01-01','9999-12-31','MISS','00000','99999999999','99999999999.00','99999999999.000000'),1,0)) AS NUM_REG_DIF,'"&amp;MAX('ID1&amp;5'!K:K)+1&amp;"' AS ID_EXEC, CURRENT_TIMESTAMP() AS TIME_EXEC FROM "&amp;I392,
IF(C392="Not applicable",+"SELECT '"&amp;UPPER(B392)&amp;"' AS TABELA, '"&amp;UPPER(C392)&amp;"' AS TIPOLOGIA_TESTE,'"&amp;D392&amp;"' AS TABELA_LT,'N/A' AS TABELA_SIMUL,'"&amp;F392&amp;"' AS CAMPO, "&amp;"'${ref_date}' AS REF_DATE, COUNT(*) AS NUM_REG, SUM(IF(TRIM(CAST(X."&amp;F392&amp;" AS STRING)) IN ('N/A','11111111111','11111111111.00','11111111111.000000','1111-11-11'),1,0)) AS NUM_REG_DIF,'"&amp;MAX('ID1&amp;5'!K:K)+1&amp;"' AS ID_EXEC, CURRENT_TIMESTAMP() AS TIME_EXEC FROM "&amp;I392,
IF(C392="Valores extremos",+"SELECT '"&amp;UPPER(B392)&amp;"' AS TABELA, '"&amp;UPPER(C392)&amp;"' AS TIPOLOGIA_TESTE,'"&amp;D392&amp;"' AS TABELA_LT,'N/A' AS TABELA_SIMUL,'"&amp;F392&amp;"' AS CAMPO, "&amp;"'${ref_date}' AS REF_DATE, CAST(MIN("&amp;F392&amp;") AS STRING) AS VALOR_MIN, CAST(MAX("&amp;F392&amp;") AS STRING) AS VALOR_MAX,'"&amp;MAX('ID1&amp;5'!K:K)+1&amp;"' AS ID_EXEC, CURRENT_TIMESTAMP() AS TIME_EXEC FROM "&amp;MID(I392,1,LEN(I392)-2)&amp;" AND CAST("&amp;F392&amp;"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TABELA_SIMUL,'cr_flg' AS CAMPO, '${ref_date}' AS REF_DATE, COUNT(*) AS NUM_REG, SUM(IF(COALESCE(CAST(X.cr_flg AS STRING),'')&lt;&gt;COALESCE(CAST(Y.cr_flg_SIMUL AS STRING),'') OR (X.cr_flg IS NULL AND Y.cr_flg_SIMUL IS NOT NULL ) OR (X.cr_flg IS NOT NULL AND Y.cr_flg_SIMUL IS NULL),1,0)) AS NUM_REG_DIF,'1' AS ID_EXEC, CURRENT_TIMESTAMP() AS TIME_EXEC FROM (SELECT entty_id, cr_flg FROM BU_LOANTAPE_WORK.LT003_ENTITY WHERE ref_date='${ref_date}' AND nome_perimetro='Individual Local' AND segmento='ESTR' AND ambito='SRB_MBDT' AND entidade='00100')X INNER JOIN (SELECT entty_id AS entty_id_SIMUL, cr_flg AS cr_flg_SIMUL FROM BU_LOANTAPE_WORK.SIMUL_LT003_ENTITY WHERE ref_date='${ref_date}' AND nome_perimetro='Individual Local' AND segmento='ESTR' AND ambito='PILAR3' AND entidade='00100')Y ON X.ENTTY_ID=Y.ENTTY_ID_SIMUL</v>
      </c>
      <c r="M392" s="36" t="str">
        <f t="shared" si="9"/>
        <v>UNION ALL SELECT 'ENTITY' AS TABELA, 'COERÊNCIA' AS TIPOLOGIA_TESTE,'BU_LOANTAPE_WORK.LT003_ENTITY' AS TABELA_LT,'BU_LOANTAPE_WORK.SIMUL_LT003_ENTITY' AS TABELA_SIMUL,'cr_flg' AS CAMPO, '${ref_date}' AS REF_DATE, COUNT(*) AS NUM_REG, SUM(IF(COALESCE(CAST(X.cr_flg AS STRING),'')&lt;&gt;COALESCE(CAST(Y.cr_flg_SIMUL AS STRING),'') OR (X.cr_flg IS NULL AND Y.cr_flg_SIMUL IS NOT NULL ) OR (X.cr_flg IS NOT NULL AND Y.cr_flg_SIMUL IS NULL),1,0)) AS NUM_REG_DIF,'1' AS ID_EXEC, CURRENT_TIMESTAMP() AS TIME_EXEC FROM (SELECT entty_id, cr_flg FROM BU_LOANTAPE_WORK.LT003_ENTITY WHERE ref_date='${ref_date}' AND nome_perimetro='Individual Local' AND segmento='ESTR' AND ambito='SRB_MBDT' AND entidade='00100')X INNER JOIN (SELECT entty_id AS entty_id_SIMUL, cr_flg AS cr_flg_SIMUL FROM BU_LOANTAPE_WORK.SIMUL_LT003_ENTITY WHERE ref_date='${ref_date}' AND nome_perimetro='Individual Local' AND segmento='ESTR' AND ambito='PILAR3' AND entidade='00100')Y ON X.ENTTY_ID=Y.ENTTY_ID_SIMUL</v>
      </c>
    </row>
    <row r="393" spans="2:13">
      <c r="B393" s="34" t="s">
        <v>118</v>
      </c>
      <c r="C393" s="34" t="s">
        <v>5</v>
      </c>
      <c r="D393" s="34" t="str">
        <f>+UPPER('0. Instruções'!$D$35&amp;"."&amp;VLOOKUP(B393,'0. Instruções'!$C$27:$D$32,2,FALSE))</f>
        <v>BU_LOANTAPE_WORK.LT003_ENTITY</v>
      </c>
      <c r="E393" s="34" t="str">
        <f>+UPPER('0. Instruções'!$D$36&amp;"."&amp;VLOOKUP(B393,'0. Instruções'!$C$27:$E$32,3,FALSE))</f>
        <v>BU_LOANTAPE_WORK.SIMUL_LT003_ENTITY</v>
      </c>
      <c r="F393" s="34" t="s">
        <v>1424</v>
      </c>
      <c r="G393" s="34"/>
      <c r="H393" s="34"/>
      <c r="I393" s="34" t="str">
        <f>"(SELECT "&amp;VLOOKUP(B393,'0. Instruções'!$C$27:$G$32,4,FALSE)&amp;", "&amp;F393&amp;" FROM "&amp;D393&amp;" WHERE "&amp;'0. Instruções'!$D$42&amp;")X"</f>
        <v>(SELECT entty_id, dcsd FROM BU_LOANTAPE_WORK.LT003_ENTITY WHERE ref_date='${ref_date}' AND nome_perimetro='Individual Local' AND segmento='ESTR' AND ambito='SRB_MBDT' AND entidade='00100')X</v>
      </c>
      <c r="J393" s="34" t="str">
        <f>"(SELECT "&amp;VLOOKUP(B393,'0. Instruções'!$C$27:$G$32,4,FALSE)&amp;" AS "&amp;VLOOKUP(B393,'0. Instruções'!$C$27:$G$32,4,FALSE)&amp;"_SIMUL, "&amp;F393&amp;" AS "&amp;F393&amp;"_SIMUL FROM "&amp;E393&amp;" WHERE "&amp;'0. Instruções'!$D$43&amp;")Y"</f>
        <v>(SELECT entty_id AS entty_id_SIMUL, dcsd AS dcsd_SIMUL FROM BU_LOANTAPE_WORK.SIMUL_LT003_ENTITY WHERE ref_date='${ref_date}' AND nome_perimetro='Individual Local' AND segmento='ESTR' AND ambito='PILAR3' AND entidade='00100')Y</v>
      </c>
      <c r="K393" s="35" t="str">
        <f>+UPPER("ON X."&amp;VLOOKUP(B393,'0. Instruções'!$C$27:$G$32,4,FALSE)&amp;"=Y."&amp;VLOOKUP(B393,'0. Instruções'!$C$27:$G$32,4,FALSE)&amp;"_SIMUL")</f>
        <v>ON X.ENTTY_ID=Y.ENTTY_ID_SIMUL</v>
      </c>
      <c r="L393" s="35" t="str">
        <f>+IF(C393="Coerência", +IF(LEFT(G393,5)="FLOAT","SELECT '"&amp;UPPER(B393)&amp;"' AS TABELA, '"&amp;UPPER(C393)&amp;"' AS TIPOLOGIA_TESTE,'"&amp;D393&amp;"' AS TABELA_LT,'"&amp;E393&amp;"' AS TABELA_SIMUL,'"&amp;F393&amp;"' AS CAMPO, "&amp;"'${ref_date}' AS REF_DATE, COUNT(*) AS NUM_REG, SUM(IF((ABS(COALESCE(CAST(X."&amp;F393&amp;" AS DECIMAL(18,6)),0)-COALESCE(CAST(Y."&amp;F393&amp;"_SIMUL AS DECIMAL(18,6)),0))&gt;0.000001) OR (X."&amp;F393&amp;" IS NULL AND Y."&amp;F393&amp;"_SIMUL IS NOT NULL ) OR (X."&amp;F393&amp;" IS NOT NULL AND Y."&amp;F393&amp;"_SIMUL IS NULL),1,0)) AS NUM_REG_DIF,'"&amp;MAX('ID1&amp;5'!K:K)+1&amp;"' AS ID_EXEC, CURRENT_TIMESTAMP() AS TIME_EXEC FROM "&amp;I393&amp;" INNER JOIN "&amp;J393&amp;" "&amp;K393,"SELECT '"&amp;UPPER(B393)&amp;"' AS TABELA, '"&amp;UPPER(C393)&amp;"' AS TIPOLOGIA_TESTE,'"&amp;D393&amp;"' AS TABELA_LT,'"&amp;E393&amp;"' AS TABELA_SIMUL,'"&amp;F393&amp;"' AS CAMPO, "&amp;"'${ref_date}' AS REF_DATE, COUNT(*) AS NUM_REG, SUM(IF(COALESCE(CAST(X."&amp;F393&amp;" AS STRING),'')&lt;&gt;COALESCE(CAST(Y."&amp;F393&amp;"_SIMUL AS STRING),'') OR (X."&amp;F393&amp;" IS NULL AND Y."&amp;F393&amp;"_SIMUL IS NOT NULL ) OR (X."&amp;F393&amp;" IS NOT NULL AND Y."&amp;F393&amp;"_SIMUL IS NULL),1,0)) AS NUM_REG_DIF,'"&amp;MAX('ID1&amp;5'!L:L)+1&amp;"' AS ID_EXEC, CURRENT_TIMESTAMP() AS TIME_EXEC FROM "&amp;I393&amp;" INNER JOIN "&amp;J393&amp;" "&amp;K393),
IF(C393="Validade",+IF(G393="Code List","SELECT '"&amp;UPPER(B393)&amp;"' AS TABELA, '"&amp;UPPER(C393)&amp;"' AS TIPOLOGIA_TESTE,'"&amp;D393&amp;"' AS TABELA_LT,'N/A' AS TABELA_SIMUL,'"&amp;F393&amp;"' AS CAMPO, "&amp;"'${ref_date}' AS REF_DATE, COUNT(*) AS NUM_REG, SUM(IF(TRIM(CAST(X."&amp;F393&amp;" AS STRING))='' OR TRIM(CAST(X."&amp;F393&amp;" AS STRING)) IS NULL OR CAST(X."&amp;F393&amp;" AS STRING) NOT "&amp;H393&amp;",1,0)) AS NUM_REG_DIF,'"&amp;MAX('ID1&amp;5'!K:K)+1&amp;"' AS ID_EXEC, CURRENT_TIMESTAMP() AS TIME_EXEC FROM "&amp;I393,"SELECT '"&amp;UPPER(B393)&amp;"' AS TABELA, '"&amp;UPPER(C393)&amp;"' AS TIPOLOGIA_TESTE,'"&amp;D393&amp;"' AS TABELA_LT,'N/A' AS TABELA_SIMUL,'"&amp;F393&amp;"' AS CAMPO, "&amp;"'${ref_date}' AS REF_DATE, COUNT(*) AS NUM_REG, SUM(IF(TRIM(CAST(X."&amp;F393&amp;" AS STRING))='' OR TRIM(CAST(X."&amp;F393&amp;" AS STRING)) IS NULL,1,0)) AS NUM_REG_DIF,'"&amp;MAX('ID1&amp;5'!K:K)+1&amp;"' AS ID_EXEC, CURRENT_TIMESTAMP() AS TIME_EXEC FROM "&amp;I393),
IF(C393="Caracteres Especiais",+"SELECT '"&amp;UPPER(B393)&amp;"' AS TABELA, '"&amp;UPPER(C393)&amp;"' AS TIPOLOGIA_TESTE,'"&amp;D393&amp;"' AS TABELA_LT,'N/A' AS TABELA_SIMUL,'"&amp;F393&amp;"' AS CAMPO, "&amp;"'${ref_date}' AS REF_DATE, COUNT(*) AS NUM_REG, SUM(IF(REGEXP_REPLACE(TRIM(CAST(X."&amp;F393&amp;" AS STRING)),'[^a-zA-Z0-9_\\s]','') &lt;&gt;TRIM(CAST(X."&amp;F393&amp;" AS STRING)),1,0)) AS NUM_REG_DIF,'"&amp;MAX('ID1&amp;5'!K:K)+1&amp;"' AS ID_EXEC, CURRENT_TIMESTAMP() AS TIME_EXEC FROM "&amp;I393,
IF(C393="Missings",+"SELECT '"&amp;UPPER(B393)&amp;"' AS TABELA, '"&amp;UPPER(C393)&amp;"' AS TIPOLOGIA_TESTE,'"&amp;D393&amp;"' AS TABELA_LT,'N/A' AS TABELA_SIMUL,'"&amp;F393&amp;"' AS CAMPO, "&amp;"'${ref_date}' AS REF_DATE, COUNT(*) AS NUM_REG, SUM(IF(TRIM(CAST(X."&amp;F393&amp;" AS STRING)) IN ('0000-00-00','0001-01-01','9999-12-31','MISS','00000','99999999999','99999999999.00','99999999999.000000'),1,0)) AS NUM_REG_DIF,'"&amp;MAX('ID1&amp;5'!K:K)+1&amp;"' AS ID_EXEC, CURRENT_TIMESTAMP() AS TIME_EXEC FROM "&amp;I393,
IF(C393="Not applicable",+"SELECT '"&amp;UPPER(B393)&amp;"' AS TABELA, '"&amp;UPPER(C393)&amp;"' AS TIPOLOGIA_TESTE,'"&amp;D393&amp;"' AS TABELA_LT,'N/A' AS TABELA_SIMUL,'"&amp;F393&amp;"' AS CAMPO, "&amp;"'${ref_date}' AS REF_DATE, COUNT(*) AS NUM_REG, SUM(IF(TRIM(CAST(X."&amp;F393&amp;" AS STRING)) IN ('N/A','11111111111','11111111111.00','11111111111.000000','1111-11-11'),1,0)) AS NUM_REG_DIF,'"&amp;MAX('ID1&amp;5'!K:K)+1&amp;"' AS ID_EXEC, CURRENT_TIMESTAMP() AS TIME_EXEC FROM "&amp;I393,
IF(C393="Valores extremos",+"SELECT '"&amp;UPPER(B393)&amp;"' AS TABELA, '"&amp;UPPER(C393)&amp;"' AS TIPOLOGIA_TESTE,'"&amp;D393&amp;"' AS TABELA_LT,'N/A' AS TABELA_SIMUL,'"&amp;F393&amp;"' AS CAMPO, "&amp;"'${ref_date}' AS REF_DATE, CAST(MIN("&amp;F393&amp;") AS STRING) AS VALOR_MIN, CAST(MAX("&amp;F393&amp;") AS STRING) AS VALOR_MAX,'"&amp;MAX('ID1&amp;5'!K:K)+1&amp;"' AS ID_EXEC, CURRENT_TIMESTAMP() AS TIME_EXEC FROM "&amp;MID(I393,1,LEN(I393)-2)&amp;" AND CAST("&amp;F393&amp;"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TABELA_SIMUL,'dcsd' AS CAMPO, '${ref_date}' AS REF_DATE, COUNT(*) AS NUM_REG, SUM(IF(COALESCE(CAST(X.dcsd AS STRING),'')&lt;&gt;COALESCE(CAST(Y.dcsd_SIMUL AS STRING),'') OR (X.dcsd IS NULL AND Y.dcsd_SIMUL IS NOT NULL ) OR (X.dcsd IS NOT NULL AND Y.dcsd_SIMUL IS NULL),1,0)) AS NUM_REG_DIF,'1' AS ID_EXEC, CURRENT_TIMESTAMP() AS TIME_EXEC FROM (SELECT entty_id, dcsd FROM BU_LOANTAPE_WORK.LT003_ENTITY WHERE ref_date='${ref_date}' AND nome_perimetro='Individual Local' AND segmento='ESTR' AND ambito='SRB_MBDT' AND entidade='00100')X INNER JOIN (SELECT entty_id AS entty_id_SIMUL, dcsd AS dcsd_SIMUL FROM BU_LOANTAPE_WORK.SIMUL_LT003_ENTITY WHERE ref_date='${ref_date}' AND nome_perimetro='Individual Local' AND segmento='ESTR' AND ambito='PILAR3' AND entidade='00100')Y ON X.ENTTY_ID=Y.ENTTY_ID_SIMUL</v>
      </c>
      <c r="M393" s="36" t="str">
        <f t="shared" si="9"/>
        <v>UNION ALL SELECT 'ENTITY' AS TABELA, 'COERÊNCIA' AS TIPOLOGIA_TESTE,'BU_LOANTAPE_WORK.LT003_ENTITY' AS TABELA_LT,'BU_LOANTAPE_WORK.SIMUL_LT003_ENTITY' AS TABELA_SIMUL,'dcsd' AS CAMPO, '${ref_date}' AS REF_DATE, COUNT(*) AS NUM_REG, SUM(IF(COALESCE(CAST(X.dcsd AS STRING),'')&lt;&gt;COALESCE(CAST(Y.dcsd_SIMUL AS STRING),'') OR (X.dcsd IS NULL AND Y.dcsd_SIMUL IS NOT NULL ) OR (X.dcsd IS NOT NULL AND Y.dcsd_SIMUL IS NULL),1,0)) AS NUM_REG_DIF,'1' AS ID_EXEC, CURRENT_TIMESTAMP() AS TIME_EXEC FROM (SELECT entty_id, dcsd FROM BU_LOANTAPE_WORK.LT003_ENTITY WHERE ref_date='${ref_date}' AND nome_perimetro='Individual Local' AND segmento='ESTR' AND ambito='SRB_MBDT' AND entidade='00100')X INNER JOIN (SELECT entty_id AS entty_id_SIMUL, dcsd AS dcsd_SIMUL FROM BU_LOANTAPE_WORK.SIMUL_LT003_ENTITY WHERE ref_date='${ref_date}' AND nome_perimetro='Individual Local' AND segmento='ESTR' AND ambito='PILAR3' AND entidade='00100')Y ON X.ENTTY_ID=Y.ENTTY_ID_SIMUL</v>
      </c>
    </row>
    <row r="394" spans="2:13">
      <c r="B394" s="34" t="s">
        <v>118</v>
      </c>
      <c r="C394" s="34" t="s">
        <v>5</v>
      </c>
      <c r="D394" s="34" t="str">
        <f>+UPPER('0. Instruções'!$D$35&amp;"."&amp;VLOOKUP(B394,'0. Instruções'!$C$27:$D$32,2,FALSE))</f>
        <v>BU_LOANTAPE_WORK.LT003_ENTITY</v>
      </c>
      <c r="E394" s="34" t="str">
        <f>+UPPER('0. Instruções'!$D$36&amp;"."&amp;VLOOKUP(B394,'0. Instruções'!$C$27:$E$32,3,FALSE))</f>
        <v>BU_LOANTAPE_WORK.SIMUL_LT003_ENTITY</v>
      </c>
      <c r="F394" s="34" t="s">
        <v>1425</v>
      </c>
      <c r="G394" s="34"/>
      <c r="H394" s="34"/>
      <c r="I394" s="34" t="str">
        <f>"(SELECT "&amp;VLOOKUP(B394,'0. Instruções'!$C$27:$G$32,4,FALSE)&amp;", "&amp;F394&amp;" FROM "&amp;D394&amp;" WHERE "&amp;'0. Instruções'!$D$42&amp;")X"</f>
        <v>(SELECT entty_id, dflt_stts FROM BU_LOANTAPE_WORK.LT003_ENTITY WHERE ref_date='${ref_date}' AND nome_perimetro='Individual Local' AND segmento='ESTR' AND ambito='SRB_MBDT' AND entidade='00100')X</v>
      </c>
      <c r="J394" s="34" t="str">
        <f>"(SELECT "&amp;VLOOKUP(B394,'0. Instruções'!$C$27:$G$32,4,FALSE)&amp;" AS "&amp;VLOOKUP(B394,'0. Instruções'!$C$27:$G$32,4,FALSE)&amp;"_SIMUL, "&amp;F394&amp;" AS "&amp;F394&amp;"_SIMUL FROM "&amp;E394&amp;" WHERE "&amp;'0. Instruções'!$D$43&amp;")Y"</f>
        <v>(SELECT entty_id AS entty_id_SIMUL, dflt_stts AS dflt_stts_SIMUL FROM BU_LOANTAPE_WORK.SIMUL_LT003_ENTITY WHERE ref_date='${ref_date}' AND nome_perimetro='Individual Local' AND segmento='ESTR' AND ambito='PILAR3' AND entidade='00100')Y</v>
      </c>
      <c r="K394" s="35" t="str">
        <f>+UPPER("ON X."&amp;VLOOKUP(B394,'0. Instruções'!$C$27:$G$32,4,FALSE)&amp;"=Y."&amp;VLOOKUP(B394,'0. Instruções'!$C$27:$G$32,4,FALSE)&amp;"_SIMUL")</f>
        <v>ON X.ENTTY_ID=Y.ENTTY_ID_SIMUL</v>
      </c>
      <c r="L394" s="35" t="str">
        <f>+IF(C394="Coerência", +IF(LEFT(G394,5)="FLOAT","SELECT '"&amp;UPPER(B394)&amp;"' AS TABELA, '"&amp;UPPER(C394)&amp;"' AS TIPOLOGIA_TESTE,'"&amp;D394&amp;"' AS TABELA_LT,'"&amp;E394&amp;"' AS TABELA_SIMUL,'"&amp;F394&amp;"' AS CAMPO, "&amp;"'${ref_date}' AS REF_DATE, COUNT(*) AS NUM_REG, SUM(IF((ABS(COALESCE(CAST(X."&amp;F394&amp;" AS DECIMAL(18,6)),0)-COALESCE(CAST(Y."&amp;F394&amp;"_SIMUL AS DECIMAL(18,6)),0))&gt;0.000001) OR (X."&amp;F394&amp;" IS NULL AND Y."&amp;F394&amp;"_SIMUL IS NOT NULL ) OR (X."&amp;F394&amp;" IS NOT NULL AND Y."&amp;F394&amp;"_SIMUL IS NULL),1,0)) AS NUM_REG_DIF,'"&amp;MAX('ID1&amp;5'!K:K)+1&amp;"' AS ID_EXEC, CURRENT_TIMESTAMP() AS TIME_EXEC FROM "&amp;I394&amp;" INNER JOIN "&amp;J394&amp;" "&amp;K394,"SELECT '"&amp;UPPER(B394)&amp;"' AS TABELA, '"&amp;UPPER(C394)&amp;"' AS TIPOLOGIA_TESTE,'"&amp;D394&amp;"' AS TABELA_LT,'"&amp;E394&amp;"' AS TABELA_SIMUL,'"&amp;F394&amp;"' AS CAMPO, "&amp;"'${ref_date}' AS REF_DATE, COUNT(*) AS NUM_REG, SUM(IF(COALESCE(CAST(X."&amp;F394&amp;" AS STRING),'')&lt;&gt;COALESCE(CAST(Y."&amp;F394&amp;"_SIMUL AS STRING),'') OR (X."&amp;F394&amp;" IS NULL AND Y."&amp;F394&amp;"_SIMUL IS NOT NULL ) OR (X."&amp;F394&amp;" IS NOT NULL AND Y."&amp;F394&amp;"_SIMUL IS NULL),1,0)) AS NUM_REG_DIF,'"&amp;MAX('ID1&amp;5'!L:L)+1&amp;"' AS ID_EXEC, CURRENT_TIMESTAMP() AS TIME_EXEC FROM "&amp;I394&amp;" INNER JOIN "&amp;J394&amp;" "&amp;K394),
IF(C394="Validade",+IF(G394="Code List","SELECT '"&amp;UPPER(B394)&amp;"' AS TABELA, '"&amp;UPPER(C394)&amp;"' AS TIPOLOGIA_TESTE,'"&amp;D394&amp;"' AS TABELA_LT,'N/A' AS TABELA_SIMUL,'"&amp;F394&amp;"' AS CAMPO, "&amp;"'${ref_date}' AS REF_DATE, COUNT(*) AS NUM_REG, SUM(IF(TRIM(CAST(X."&amp;F394&amp;" AS STRING))='' OR TRIM(CAST(X."&amp;F394&amp;" AS STRING)) IS NULL OR CAST(X."&amp;F394&amp;" AS STRING) NOT "&amp;H394&amp;",1,0)) AS NUM_REG_DIF,'"&amp;MAX('ID1&amp;5'!K:K)+1&amp;"' AS ID_EXEC, CURRENT_TIMESTAMP() AS TIME_EXEC FROM "&amp;I394,"SELECT '"&amp;UPPER(B394)&amp;"' AS TABELA, '"&amp;UPPER(C394)&amp;"' AS TIPOLOGIA_TESTE,'"&amp;D394&amp;"' AS TABELA_LT,'N/A' AS TABELA_SIMUL,'"&amp;F394&amp;"' AS CAMPO, "&amp;"'${ref_date}' AS REF_DATE, COUNT(*) AS NUM_REG, SUM(IF(TRIM(CAST(X."&amp;F394&amp;" AS STRING))='' OR TRIM(CAST(X."&amp;F394&amp;" AS STRING)) IS NULL,1,0)) AS NUM_REG_DIF,'"&amp;MAX('ID1&amp;5'!K:K)+1&amp;"' AS ID_EXEC, CURRENT_TIMESTAMP() AS TIME_EXEC FROM "&amp;I394),
IF(C394="Caracteres Especiais",+"SELECT '"&amp;UPPER(B394)&amp;"' AS TABELA, '"&amp;UPPER(C394)&amp;"' AS TIPOLOGIA_TESTE,'"&amp;D394&amp;"' AS TABELA_LT,'N/A' AS TABELA_SIMUL,'"&amp;F394&amp;"' AS CAMPO, "&amp;"'${ref_date}' AS REF_DATE, COUNT(*) AS NUM_REG, SUM(IF(REGEXP_REPLACE(TRIM(CAST(X."&amp;F394&amp;" AS STRING)),'[^a-zA-Z0-9_\\s]','') &lt;&gt;TRIM(CAST(X."&amp;F394&amp;" AS STRING)),1,0)) AS NUM_REG_DIF,'"&amp;MAX('ID1&amp;5'!K:K)+1&amp;"' AS ID_EXEC, CURRENT_TIMESTAMP() AS TIME_EXEC FROM "&amp;I394,
IF(C394="Missings",+"SELECT '"&amp;UPPER(B394)&amp;"' AS TABELA, '"&amp;UPPER(C394)&amp;"' AS TIPOLOGIA_TESTE,'"&amp;D394&amp;"' AS TABELA_LT,'N/A' AS TABELA_SIMUL,'"&amp;F394&amp;"' AS CAMPO, "&amp;"'${ref_date}' AS REF_DATE, COUNT(*) AS NUM_REG, SUM(IF(TRIM(CAST(X."&amp;F394&amp;" AS STRING)) IN ('0000-00-00','0001-01-01','9999-12-31','MISS','00000','99999999999','99999999999.00','99999999999.000000'),1,0)) AS NUM_REG_DIF,'"&amp;MAX('ID1&amp;5'!K:K)+1&amp;"' AS ID_EXEC, CURRENT_TIMESTAMP() AS TIME_EXEC FROM "&amp;I394,
IF(C394="Not applicable",+"SELECT '"&amp;UPPER(B394)&amp;"' AS TABELA, '"&amp;UPPER(C394)&amp;"' AS TIPOLOGIA_TESTE,'"&amp;D394&amp;"' AS TABELA_LT,'N/A' AS TABELA_SIMUL,'"&amp;F394&amp;"' AS CAMPO, "&amp;"'${ref_date}' AS REF_DATE, COUNT(*) AS NUM_REG, SUM(IF(TRIM(CAST(X."&amp;F394&amp;" AS STRING)) IN ('N/A','11111111111','11111111111.00','11111111111.000000','1111-11-11'),1,0)) AS NUM_REG_DIF,'"&amp;MAX('ID1&amp;5'!K:K)+1&amp;"' AS ID_EXEC, CURRENT_TIMESTAMP() AS TIME_EXEC FROM "&amp;I394,
IF(C394="Valores extremos",+"SELECT '"&amp;UPPER(B394)&amp;"' AS TABELA, '"&amp;UPPER(C394)&amp;"' AS TIPOLOGIA_TESTE,'"&amp;D394&amp;"' AS TABELA_LT,'N/A' AS TABELA_SIMUL,'"&amp;F394&amp;"' AS CAMPO, "&amp;"'${ref_date}' AS REF_DATE, CAST(MIN("&amp;F394&amp;") AS STRING) AS VALOR_MIN, CAST(MAX("&amp;F394&amp;") AS STRING) AS VALOR_MAX,'"&amp;MAX('ID1&amp;5'!K:K)+1&amp;"' AS ID_EXEC, CURRENT_TIMESTAMP() AS TIME_EXEC FROM "&amp;MID(I394,1,LEN(I394)-2)&amp;" AND CAST("&amp;F394&amp;"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TABELA_SIMUL,'dflt_stts' AS CAMPO, '${ref_date}' AS REF_DATE, COUNT(*) AS NUM_REG, SUM(IF(COALESCE(CAST(X.dflt_stts AS STRING),'')&lt;&gt;COALESCE(CAST(Y.dflt_stts_SIMUL AS STRING),'') OR (X.dflt_stts IS NULL AND Y.dflt_stts_SIMUL IS NOT NULL ) OR (X.dflt_stts IS NOT NULL AND Y.dflt_stts_SIMUL IS NULL),1,0)) AS NUM_REG_DIF,'1' AS ID_EXEC, CURRENT_TIMESTAMP() AS TIME_EXEC FROM (SELECT entty_id, dflt_stts FROM BU_LOANTAPE_WORK.LT003_ENTITY WHERE ref_date='${ref_date}' AND nome_perimetro='Individual Local' AND segmento='ESTR' AND ambito='SRB_MBDT' AND entidade='00100')X INNER JOIN (SELECT entty_id AS entty_id_SIMUL, dflt_stts AS dflt_stts_SIMUL FROM BU_LOANTAPE_WORK.SIMUL_LT003_ENTITY WHERE ref_date='${ref_date}' AND nome_perimetro='Individual Local' AND segmento='ESTR' AND ambito='PILAR3' AND entidade='00100')Y ON X.ENTTY_ID=Y.ENTTY_ID_SIMUL</v>
      </c>
      <c r="M394" s="36" t="str">
        <f t="shared" si="9"/>
        <v>UNION ALL SELECT 'ENTITY' AS TABELA, 'COERÊNCIA' AS TIPOLOGIA_TESTE,'BU_LOANTAPE_WORK.LT003_ENTITY' AS TABELA_LT,'BU_LOANTAPE_WORK.SIMUL_LT003_ENTITY' AS TABELA_SIMUL,'dflt_stts' AS CAMPO, '${ref_date}' AS REF_DATE, COUNT(*) AS NUM_REG, SUM(IF(COALESCE(CAST(X.dflt_stts AS STRING),'')&lt;&gt;COALESCE(CAST(Y.dflt_stts_SIMUL AS STRING),'') OR (X.dflt_stts IS NULL AND Y.dflt_stts_SIMUL IS NOT NULL ) OR (X.dflt_stts IS NOT NULL AND Y.dflt_stts_SIMUL IS NULL),1,0)) AS NUM_REG_DIF,'1' AS ID_EXEC, CURRENT_TIMESTAMP() AS TIME_EXEC FROM (SELECT entty_id, dflt_stts FROM BU_LOANTAPE_WORK.LT003_ENTITY WHERE ref_date='${ref_date}' AND nome_perimetro='Individual Local' AND segmento='ESTR' AND ambito='SRB_MBDT' AND entidade='00100')X INNER JOIN (SELECT entty_id AS entty_id_SIMUL, dflt_stts AS dflt_stts_SIMUL FROM BU_LOANTAPE_WORK.SIMUL_LT003_ENTITY WHERE ref_date='${ref_date}' AND nome_perimetro='Individual Local' AND segmento='ESTR' AND ambito='PILAR3' AND entidade='00100')Y ON X.ENTTY_ID=Y.ENTTY_ID_SIMUL</v>
      </c>
    </row>
    <row r="395" spans="2:13">
      <c r="B395" s="34" t="s">
        <v>118</v>
      </c>
      <c r="C395" s="34" t="s">
        <v>5</v>
      </c>
      <c r="D395" s="34" t="str">
        <f>+UPPER('0. Instruções'!$D$35&amp;"."&amp;VLOOKUP(B395,'0. Instruções'!$C$27:$D$32,2,FALSE))</f>
        <v>BU_LOANTAPE_WORK.LT003_ENTITY</v>
      </c>
      <c r="E395" s="34" t="str">
        <f>+UPPER('0. Instruções'!$D$36&amp;"."&amp;VLOOKUP(B395,'0. Instruções'!$C$27:$E$32,3,FALSE))</f>
        <v>BU_LOANTAPE_WORK.SIMUL_LT003_ENTITY</v>
      </c>
      <c r="F395" s="34" t="s">
        <v>1426</v>
      </c>
      <c r="G395" s="34"/>
      <c r="H395" s="34"/>
      <c r="I395" s="34" t="str">
        <f>"(SELECT "&amp;VLOOKUP(B395,'0. Instruções'!$C$27:$G$32,4,FALSE)&amp;", "&amp;F395&amp;" FROM "&amp;D395&amp;" WHERE "&amp;'0. Instruções'!$D$42&amp;")X"</f>
        <v>(SELECT entty_id, dt_extrnl_rtng FROM BU_LOANTAPE_WORK.LT003_ENTITY WHERE ref_date='${ref_date}' AND nome_perimetro='Individual Local' AND segmento='ESTR' AND ambito='SRB_MBDT' AND entidade='00100')X</v>
      </c>
      <c r="J395" s="34" t="str">
        <f>"(SELECT "&amp;VLOOKUP(B395,'0. Instruções'!$C$27:$G$32,4,FALSE)&amp;" AS "&amp;VLOOKUP(B395,'0. Instruções'!$C$27:$G$32,4,FALSE)&amp;"_SIMUL, "&amp;F395&amp;" AS "&amp;F395&amp;"_SIMUL FROM "&amp;E395&amp;" WHERE "&amp;'0. Instruções'!$D$43&amp;")Y"</f>
        <v>(SELECT entty_id AS entty_id_SIMUL, dt_extrnl_rtng AS dt_extrnl_rtng_SIMUL FROM BU_LOANTAPE_WORK.SIMUL_LT003_ENTITY WHERE ref_date='${ref_date}' AND nome_perimetro='Individual Local' AND segmento='ESTR' AND ambito='PILAR3' AND entidade='00100')Y</v>
      </c>
      <c r="K395" s="35" t="str">
        <f>+UPPER("ON X."&amp;VLOOKUP(B395,'0. Instruções'!$C$27:$G$32,4,FALSE)&amp;"=Y."&amp;VLOOKUP(B395,'0. Instruções'!$C$27:$G$32,4,FALSE)&amp;"_SIMUL")</f>
        <v>ON X.ENTTY_ID=Y.ENTTY_ID_SIMUL</v>
      </c>
      <c r="L395" s="35" t="str">
        <f>+IF(C395="Coerência", +IF(LEFT(G395,5)="FLOAT","SELECT '"&amp;UPPER(B395)&amp;"' AS TABELA, '"&amp;UPPER(C395)&amp;"' AS TIPOLOGIA_TESTE,'"&amp;D395&amp;"' AS TABELA_LT,'"&amp;E395&amp;"' AS TABELA_SIMUL,'"&amp;F395&amp;"' AS CAMPO, "&amp;"'${ref_date}' AS REF_DATE, COUNT(*) AS NUM_REG, SUM(IF((ABS(COALESCE(CAST(X."&amp;F395&amp;" AS DECIMAL(18,6)),0)-COALESCE(CAST(Y."&amp;F395&amp;"_SIMUL AS DECIMAL(18,6)),0))&gt;0.000001) OR (X."&amp;F395&amp;" IS NULL AND Y."&amp;F395&amp;"_SIMUL IS NOT NULL ) OR (X."&amp;F395&amp;" IS NOT NULL AND Y."&amp;F395&amp;"_SIMUL IS NULL),1,0)) AS NUM_REG_DIF,'"&amp;MAX('ID1&amp;5'!K:K)+1&amp;"' AS ID_EXEC, CURRENT_TIMESTAMP() AS TIME_EXEC FROM "&amp;I395&amp;" INNER JOIN "&amp;J395&amp;" "&amp;K395,"SELECT '"&amp;UPPER(B395)&amp;"' AS TABELA, '"&amp;UPPER(C395)&amp;"' AS TIPOLOGIA_TESTE,'"&amp;D395&amp;"' AS TABELA_LT,'"&amp;E395&amp;"' AS TABELA_SIMUL,'"&amp;F395&amp;"' AS CAMPO, "&amp;"'${ref_date}' AS REF_DATE, COUNT(*) AS NUM_REG, SUM(IF(COALESCE(CAST(X."&amp;F395&amp;" AS STRING),'')&lt;&gt;COALESCE(CAST(Y."&amp;F395&amp;"_SIMUL AS STRING),'') OR (X."&amp;F395&amp;" IS NULL AND Y."&amp;F395&amp;"_SIMUL IS NOT NULL ) OR (X."&amp;F395&amp;" IS NOT NULL AND Y."&amp;F395&amp;"_SIMUL IS NULL),1,0)) AS NUM_REG_DIF,'"&amp;MAX('ID1&amp;5'!L:L)+1&amp;"' AS ID_EXEC, CURRENT_TIMESTAMP() AS TIME_EXEC FROM "&amp;I395&amp;" INNER JOIN "&amp;J395&amp;" "&amp;K395),
IF(C395="Validade",+IF(G395="Code List","SELECT '"&amp;UPPER(B395)&amp;"' AS TABELA, '"&amp;UPPER(C395)&amp;"' AS TIPOLOGIA_TESTE,'"&amp;D395&amp;"' AS TABELA_LT,'N/A' AS TABELA_SIMUL,'"&amp;F395&amp;"' AS CAMPO, "&amp;"'${ref_date}' AS REF_DATE, COUNT(*) AS NUM_REG, SUM(IF(TRIM(CAST(X."&amp;F395&amp;" AS STRING))='' OR TRIM(CAST(X."&amp;F395&amp;" AS STRING)) IS NULL OR CAST(X."&amp;F395&amp;" AS STRING) NOT "&amp;H395&amp;",1,0)) AS NUM_REG_DIF,'"&amp;MAX('ID1&amp;5'!K:K)+1&amp;"' AS ID_EXEC, CURRENT_TIMESTAMP() AS TIME_EXEC FROM "&amp;I395,"SELECT '"&amp;UPPER(B395)&amp;"' AS TABELA, '"&amp;UPPER(C395)&amp;"' AS TIPOLOGIA_TESTE,'"&amp;D395&amp;"' AS TABELA_LT,'N/A' AS TABELA_SIMUL,'"&amp;F395&amp;"' AS CAMPO, "&amp;"'${ref_date}' AS REF_DATE, COUNT(*) AS NUM_REG, SUM(IF(TRIM(CAST(X."&amp;F395&amp;" AS STRING))='' OR TRIM(CAST(X."&amp;F395&amp;" AS STRING)) IS NULL,1,0)) AS NUM_REG_DIF,'"&amp;MAX('ID1&amp;5'!K:K)+1&amp;"' AS ID_EXEC, CURRENT_TIMESTAMP() AS TIME_EXEC FROM "&amp;I395),
IF(C395="Caracteres Especiais",+"SELECT '"&amp;UPPER(B395)&amp;"' AS TABELA, '"&amp;UPPER(C395)&amp;"' AS TIPOLOGIA_TESTE,'"&amp;D395&amp;"' AS TABELA_LT,'N/A' AS TABELA_SIMUL,'"&amp;F395&amp;"' AS CAMPO, "&amp;"'${ref_date}' AS REF_DATE, COUNT(*) AS NUM_REG, SUM(IF(REGEXP_REPLACE(TRIM(CAST(X."&amp;F395&amp;" AS STRING)),'[^a-zA-Z0-9_\\s]','') &lt;&gt;TRIM(CAST(X."&amp;F395&amp;" AS STRING)),1,0)) AS NUM_REG_DIF,'"&amp;MAX('ID1&amp;5'!K:K)+1&amp;"' AS ID_EXEC, CURRENT_TIMESTAMP() AS TIME_EXEC FROM "&amp;I395,
IF(C395="Missings",+"SELECT '"&amp;UPPER(B395)&amp;"' AS TABELA, '"&amp;UPPER(C395)&amp;"' AS TIPOLOGIA_TESTE,'"&amp;D395&amp;"' AS TABELA_LT,'N/A' AS TABELA_SIMUL,'"&amp;F395&amp;"' AS CAMPO, "&amp;"'${ref_date}' AS REF_DATE, COUNT(*) AS NUM_REG, SUM(IF(TRIM(CAST(X."&amp;F395&amp;" AS STRING)) IN ('0000-00-00','0001-01-01','9999-12-31','MISS','00000','99999999999','99999999999.00','99999999999.000000'),1,0)) AS NUM_REG_DIF,'"&amp;MAX('ID1&amp;5'!K:K)+1&amp;"' AS ID_EXEC, CURRENT_TIMESTAMP() AS TIME_EXEC FROM "&amp;I395,
IF(C395="Not applicable",+"SELECT '"&amp;UPPER(B395)&amp;"' AS TABELA, '"&amp;UPPER(C395)&amp;"' AS TIPOLOGIA_TESTE,'"&amp;D395&amp;"' AS TABELA_LT,'N/A' AS TABELA_SIMUL,'"&amp;F395&amp;"' AS CAMPO, "&amp;"'${ref_date}' AS REF_DATE, COUNT(*) AS NUM_REG, SUM(IF(TRIM(CAST(X."&amp;F395&amp;" AS STRING)) IN ('N/A','11111111111','11111111111.00','11111111111.000000','1111-11-11'),1,0)) AS NUM_REG_DIF,'"&amp;MAX('ID1&amp;5'!K:K)+1&amp;"' AS ID_EXEC, CURRENT_TIMESTAMP() AS TIME_EXEC FROM "&amp;I395,
IF(C395="Valores extremos",+"SELECT '"&amp;UPPER(B395)&amp;"' AS TABELA, '"&amp;UPPER(C395)&amp;"' AS TIPOLOGIA_TESTE,'"&amp;D395&amp;"' AS TABELA_LT,'N/A' AS TABELA_SIMUL,'"&amp;F395&amp;"' AS CAMPO, "&amp;"'${ref_date}' AS REF_DATE, CAST(MIN("&amp;F395&amp;") AS STRING) AS VALOR_MIN, CAST(MAX("&amp;F395&amp;") AS STRING) AS VALOR_MAX,'"&amp;MAX('ID1&amp;5'!K:K)+1&amp;"' AS ID_EXEC, CURRENT_TIMESTAMP() AS TIME_EXEC FROM "&amp;MID(I395,1,LEN(I395)-2)&amp;" AND CAST("&amp;F395&amp;"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TABELA_SIMUL,'dt_extrnl_rtng' AS CAMPO, '${ref_date}' AS REF_DATE, COUNT(*) AS NUM_REG, SUM(IF(COALESCE(CAST(X.dt_extrnl_rtng AS STRING),'')&lt;&gt;COALESCE(CAST(Y.dt_extrnl_rtng_SIMUL AS STRING),'') OR (X.dt_extrnl_rtng IS NULL AND Y.dt_extrnl_rtng_SIMUL IS NOT NULL ) OR (X.dt_extrnl_rtng IS NOT NULL AND Y.dt_extrnl_rtng_SIMUL IS NULL),1,0)) AS NUM_REG_DIF,'1' AS ID_EXEC, CURRENT_TIMESTAMP() AS TIME_EXEC FROM (SELECT entty_id, dt_extrnl_rtng FROM BU_LOANTAPE_WORK.LT003_ENTITY WHERE ref_date='${ref_date}' AND nome_perimetro='Individual Local' AND segmento='ESTR' AND ambito='SRB_MBDT' AND entidade='00100')X INNER JOIN (SELECT entty_id AS entty_id_SIMUL, dt_extrnl_rtng AS dt_extrnl_rtng_SIMUL FROM BU_LOANTAPE_WORK.SIMUL_LT003_ENTITY WHERE ref_date='${ref_date}' AND nome_perimetro='Individual Local' AND segmento='ESTR' AND ambito='PILAR3' AND entidade='00100')Y ON X.ENTTY_ID=Y.ENTTY_ID_SIMUL</v>
      </c>
      <c r="M395" s="36" t="str">
        <f t="shared" si="9"/>
        <v>UNION ALL SELECT 'ENTITY' AS TABELA, 'COERÊNCIA' AS TIPOLOGIA_TESTE,'BU_LOANTAPE_WORK.LT003_ENTITY' AS TABELA_LT,'BU_LOANTAPE_WORK.SIMUL_LT003_ENTITY' AS TABELA_SIMUL,'dt_extrnl_rtng' AS CAMPO, '${ref_date}' AS REF_DATE, COUNT(*) AS NUM_REG, SUM(IF(COALESCE(CAST(X.dt_extrnl_rtng AS STRING),'')&lt;&gt;COALESCE(CAST(Y.dt_extrnl_rtng_SIMUL AS STRING),'') OR (X.dt_extrnl_rtng IS NULL AND Y.dt_extrnl_rtng_SIMUL IS NOT NULL ) OR (X.dt_extrnl_rtng IS NOT NULL AND Y.dt_extrnl_rtng_SIMUL IS NULL),1,0)) AS NUM_REG_DIF,'1' AS ID_EXEC, CURRENT_TIMESTAMP() AS TIME_EXEC FROM (SELECT entty_id, dt_extrnl_rtng FROM BU_LOANTAPE_WORK.LT003_ENTITY WHERE ref_date='${ref_date}' AND nome_perimetro='Individual Local' AND segmento='ESTR' AND ambito='SRB_MBDT' AND entidade='00100')X INNER JOIN (SELECT entty_id AS entty_id_SIMUL, dt_extrnl_rtng AS dt_extrnl_rtng_SIMUL FROM BU_LOANTAPE_WORK.SIMUL_LT003_ENTITY WHERE ref_date='${ref_date}' AND nome_perimetro='Individual Local' AND segmento='ESTR' AND ambito='PILAR3' AND entidade='00100')Y ON X.ENTTY_ID=Y.ENTTY_ID_SIMUL</v>
      </c>
    </row>
    <row r="396" spans="2:13">
      <c r="B396" s="34" t="s">
        <v>118</v>
      </c>
      <c r="C396" s="34" t="s">
        <v>5</v>
      </c>
      <c r="D396" s="34" t="str">
        <f>+UPPER('0. Instruções'!$D$35&amp;"."&amp;VLOOKUP(B396,'0. Instruções'!$C$27:$D$32,2,FALSE))</f>
        <v>BU_LOANTAPE_WORK.LT003_ENTITY</v>
      </c>
      <c r="E396" s="34" t="str">
        <f>+UPPER('0. Instruções'!$D$36&amp;"."&amp;VLOOKUP(B396,'0. Instruções'!$C$27:$E$32,3,FALSE))</f>
        <v>BU_LOANTAPE_WORK.SIMUL_LT003_ENTITY</v>
      </c>
      <c r="F396" s="34" t="s">
        <v>1164</v>
      </c>
      <c r="G396" s="34"/>
      <c r="H396" s="34"/>
      <c r="I396" s="34" t="str">
        <f>"(SELECT "&amp;VLOOKUP(B396,'0. Instruções'!$C$27:$G$32,4,FALSE)&amp;", "&amp;F396&amp;" FROM "&amp;D396&amp;" WHERE "&amp;'0. Instruções'!$D$42&amp;")X"</f>
        <v>(SELECT entty_id, dt_intrnl_rtng FROM BU_LOANTAPE_WORK.LT003_ENTITY WHERE ref_date='${ref_date}' AND nome_perimetro='Individual Local' AND segmento='ESTR' AND ambito='SRB_MBDT' AND entidade='00100')X</v>
      </c>
      <c r="J396" s="34" t="str">
        <f>"(SELECT "&amp;VLOOKUP(B396,'0. Instruções'!$C$27:$G$32,4,FALSE)&amp;" AS "&amp;VLOOKUP(B396,'0. Instruções'!$C$27:$G$32,4,FALSE)&amp;"_SIMUL, "&amp;F396&amp;" AS "&amp;F396&amp;"_SIMUL FROM "&amp;E396&amp;" WHERE "&amp;'0. Instruções'!$D$43&amp;")Y"</f>
        <v>(SELECT entty_id AS entty_id_SIMUL, dt_intrnl_rtng AS dt_intrnl_rtng_SIMUL FROM BU_LOANTAPE_WORK.SIMUL_LT003_ENTITY WHERE ref_date='${ref_date}' AND nome_perimetro='Individual Local' AND segmento='ESTR' AND ambito='PILAR3' AND entidade='00100')Y</v>
      </c>
      <c r="K396" s="35" t="str">
        <f>+UPPER("ON X."&amp;VLOOKUP(B396,'0. Instruções'!$C$27:$G$32,4,FALSE)&amp;"=Y."&amp;VLOOKUP(B396,'0. Instruções'!$C$27:$G$32,4,FALSE)&amp;"_SIMUL")</f>
        <v>ON X.ENTTY_ID=Y.ENTTY_ID_SIMUL</v>
      </c>
      <c r="L396" s="35" t="str">
        <f>+IF(C396="Coerência", +IF(LEFT(G396,5)="FLOAT","SELECT '"&amp;UPPER(B396)&amp;"' AS TABELA, '"&amp;UPPER(C396)&amp;"' AS TIPOLOGIA_TESTE,'"&amp;D396&amp;"' AS TABELA_LT,'"&amp;E396&amp;"' AS TABELA_SIMUL,'"&amp;F396&amp;"' AS CAMPO, "&amp;"'${ref_date}' AS REF_DATE, COUNT(*) AS NUM_REG, SUM(IF((ABS(COALESCE(CAST(X."&amp;F396&amp;" AS DECIMAL(18,6)),0)-COALESCE(CAST(Y."&amp;F396&amp;"_SIMUL AS DECIMAL(18,6)),0))&gt;0.000001) OR (X."&amp;F396&amp;" IS NULL AND Y."&amp;F396&amp;"_SIMUL IS NOT NULL ) OR (X."&amp;F396&amp;" IS NOT NULL AND Y."&amp;F396&amp;"_SIMUL IS NULL),1,0)) AS NUM_REG_DIF,'"&amp;MAX('ID1&amp;5'!K:K)+1&amp;"' AS ID_EXEC, CURRENT_TIMESTAMP() AS TIME_EXEC FROM "&amp;I396&amp;" INNER JOIN "&amp;J396&amp;" "&amp;K396,"SELECT '"&amp;UPPER(B396)&amp;"' AS TABELA, '"&amp;UPPER(C396)&amp;"' AS TIPOLOGIA_TESTE,'"&amp;D396&amp;"' AS TABELA_LT,'"&amp;E396&amp;"' AS TABELA_SIMUL,'"&amp;F396&amp;"' AS CAMPO, "&amp;"'${ref_date}' AS REF_DATE, COUNT(*) AS NUM_REG, SUM(IF(COALESCE(CAST(X."&amp;F396&amp;" AS STRING),'')&lt;&gt;COALESCE(CAST(Y."&amp;F396&amp;"_SIMUL AS STRING),'') OR (X."&amp;F396&amp;" IS NULL AND Y."&amp;F396&amp;"_SIMUL IS NOT NULL ) OR (X."&amp;F396&amp;" IS NOT NULL AND Y."&amp;F396&amp;"_SIMUL IS NULL),1,0)) AS NUM_REG_DIF,'"&amp;MAX('ID1&amp;5'!L:L)+1&amp;"' AS ID_EXEC, CURRENT_TIMESTAMP() AS TIME_EXEC FROM "&amp;I396&amp;" INNER JOIN "&amp;J396&amp;" "&amp;K396),
IF(C396="Validade",+IF(G396="Code List","SELECT '"&amp;UPPER(B396)&amp;"' AS TABELA, '"&amp;UPPER(C396)&amp;"' AS TIPOLOGIA_TESTE,'"&amp;D396&amp;"' AS TABELA_LT,'N/A' AS TABELA_SIMUL,'"&amp;F396&amp;"' AS CAMPO, "&amp;"'${ref_date}' AS REF_DATE, COUNT(*) AS NUM_REG, SUM(IF(TRIM(CAST(X."&amp;F396&amp;" AS STRING))='' OR TRIM(CAST(X."&amp;F396&amp;" AS STRING)) IS NULL OR CAST(X."&amp;F396&amp;" AS STRING) NOT "&amp;H396&amp;",1,0)) AS NUM_REG_DIF,'"&amp;MAX('ID1&amp;5'!K:K)+1&amp;"' AS ID_EXEC, CURRENT_TIMESTAMP() AS TIME_EXEC FROM "&amp;I396,"SELECT '"&amp;UPPER(B396)&amp;"' AS TABELA, '"&amp;UPPER(C396)&amp;"' AS TIPOLOGIA_TESTE,'"&amp;D396&amp;"' AS TABELA_LT,'N/A' AS TABELA_SIMUL,'"&amp;F396&amp;"' AS CAMPO, "&amp;"'${ref_date}' AS REF_DATE, COUNT(*) AS NUM_REG, SUM(IF(TRIM(CAST(X."&amp;F396&amp;" AS STRING))='' OR TRIM(CAST(X."&amp;F396&amp;" AS STRING)) IS NULL,1,0)) AS NUM_REG_DIF,'"&amp;MAX('ID1&amp;5'!K:K)+1&amp;"' AS ID_EXEC, CURRENT_TIMESTAMP() AS TIME_EXEC FROM "&amp;I396),
IF(C396="Caracteres Especiais",+"SELECT '"&amp;UPPER(B396)&amp;"' AS TABELA, '"&amp;UPPER(C396)&amp;"' AS TIPOLOGIA_TESTE,'"&amp;D396&amp;"' AS TABELA_LT,'N/A' AS TABELA_SIMUL,'"&amp;F396&amp;"' AS CAMPO, "&amp;"'${ref_date}' AS REF_DATE, COUNT(*) AS NUM_REG, SUM(IF(REGEXP_REPLACE(TRIM(CAST(X."&amp;F396&amp;" AS STRING)),'[^a-zA-Z0-9_\\s]','') &lt;&gt;TRIM(CAST(X."&amp;F396&amp;" AS STRING)),1,0)) AS NUM_REG_DIF,'"&amp;MAX('ID1&amp;5'!K:K)+1&amp;"' AS ID_EXEC, CURRENT_TIMESTAMP() AS TIME_EXEC FROM "&amp;I396,
IF(C396="Missings",+"SELECT '"&amp;UPPER(B396)&amp;"' AS TABELA, '"&amp;UPPER(C396)&amp;"' AS TIPOLOGIA_TESTE,'"&amp;D396&amp;"' AS TABELA_LT,'N/A' AS TABELA_SIMUL,'"&amp;F396&amp;"' AS CAMPO, "&amp;"'${ref_date}' AS REF_DATE, COUNT(*) AS NUM_REG, SUM(IF(TRIM(CAST(X."&amp;F396&amp;" AS STRING)) IN ('0000-00-00','0001-01-01','9999-12-31','MISS','00000','99999999999','99999999999.00','99999999999.000000'),1,0)) AS NUM_REG_DIF,'"&amp;MAX('ID1&amp;5'!K:K)+1&amp;"' AS ID_EXEC, CURRENT_TIMESTAMP() AS TIME_EXEC FROM "&amp;I396,
IF(C396="Not applicable",+"SELECT '"&amp;UPPER(B396)&amp;"' AS TABELA, '"&amp;UPPER(C396)&amp;"' AS TIPOLOGIA_TESTE,'"&amp;D396&amp;"' AS TABELA_LT,'N/A' AS TABELA_SIMUL,'"&amp;F396&amp;"' AS CAMPO, "&amp;"'${ref_date}' AS REF_DATE, COUNT(*) AS NUM_REG, SUM(IF(TRIM(CAST(X."&amp;F396&amp;" AS STRING)) IN ('N/A','11111111111','11111111111.00','11111111111.000000','1111-11-11'),1,0)) AS NUM_REG_DIF,'"&amp;MAX('ID1&amp;5'!K:K)+1&amp;"' AS ID_EXEC, CURRENT_TIMESTAMP() AS TIME_EXEC FROM "&amp;I396,
IF(C396="Valores extremos",+"SELECT '"&amp;UPPER(B396)&amp;"' AS TABELA, '"&amp;UPPER(C396)&amp;"' AS TIPOLOGIA_TESTE,'"&amp;D396&amp;"' AS TABELA_LT,'N/A' AS TABELA_SIMUL,'"&amp;F396&amp;"' AS CAMPO, "&amp;"'${ref_date}' AS REF_DATE, CAST(MIN("&amp;F396&amp;") AS STRING) AS VALOR_MIN, CAST(MAX("&amp;F396&amp;") AS STRING) AS VALOR_MAX,'"&amp;MAX('ID1&amp;5'!K:K)+1&amp;"' AS ID_EXEC, CURRENT_TIMESTAMP() AS TIME_EXEC FROM "&amp;MID(I396,1,LEN(I396)-2)&amp;" AND CAST("&amp;F396&amp;"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TABELA_SIMUL,'dt_intrnl_rtng' AS CAMPO, '${ref_date}' AS REF_DATE, COUNT(*) AS NUM_REG, SUM(IF(COALESCE(CAST(X.dt_intrnl_rtng AS STRING),'')&lt;&gt;COALESCE(CAST(Y.dt_intrnl_rtng_SIMUL AS STRING),'') OR (X.dt_intrnl_rtng IS NULL AND Y.dt_intrnl_rtng_SIMUL IS NOT NULL ) OR (X.dt_intrnl_rtng IS NOT NULL AND Y.dt_intrnl_rtng_SIMUL IS NULL),1,0)) AS NUM_REG_DIF,'1' AS ID_EXEC, CURRENT_TIMESTAMP() AS TIME_EXEC FROM (SELECT entty_id, dt_intrnl_rtng FROM BU_LOANTAPE_WORK.LT003_ENTITY WHERE ref_date='${ref_date}' AND nome_perimetro='Individual Local' AND segmento='ESTR' AND ambito='SRB_MBDT' AND entidade='00100')X INNER JOIN (SELECT entty_id AS entty_id_SIMUL, dt_intrnl_rtng AS dt_intrnl_rtng_SIMUL FROM BU_LOANTAPE_WORK.SIMUL_LT003_ENTITY WHERE ref_date='${ref_date}' AND nome_perimetro='Individual Local' AND segmento='ESTR' AND ambito='PILAR3' AND entidade='00100')Y ON X.ENTTY_ID=Y.ENTTY_ID_SIMUL</v>
      </c>
      <c r="M396" s="36" t="str">
        <f t="shared" si="9"/>
        <v>UNION ALL SELECT 'ENTITY' AS TABELA, 'COERÊNCIA' AS TIPOLOGIA_TESTE,'BU_LOANTAPE_WORK.LT003_ENTITY' AS TABELA_LT,'BU_LOANTAPE_WORK.SIMUL_LT003_ENTITY' AS TABELA_SIMUL,'dt_intrnl_rtng' AS CAMPO, '${ref_date}' AS REF_DATE, COUNT(*) AS NUM_REG, SUM(IF(COALESCE(CAST(X.dt_intrnl_rtng AS STRING),'')&lt;&gt;COALESCE(CAST(Y.dt_intrnl_rtng_SIMUL AS STRING),'') OR (X.dt_intrnl_rtng IS NULL AND Y.dt_intrnl_rtng_SIMUL IS NOT NULL ) OR (X.dt_intrnl_rtng IS NOT NULL AND Y.dt_intrnl_rtng_SIMUL IS NULL),1,0)) AS NUM_REG_DIF,'1' AS ID_EXEC, CURRENT_TIMESTAMP() AS TIME_EXEC FROM (SELECT entty_id, dt_intrnl_rtng FROM BU_LOANTAPE_WORK.LT003_ENTITY WHERE ref_date='${ref_date}' AND nome_perimetro='Individual Local' AND segmento='ESTR' AND ambito='SRB_MBDT' AND entidade='00100')X INNER JOIN (SELECT entty_id AS entty_id_SIMUL, dt_intrnl_rtng AS dt_intrnl_rtng_SIMUL FROM BU_LOANTAPE_WORK.SIMUL_LT003_ENTITY WHERE ref_date='${ref_date}' AND nome_perimetro='Individual Local' AND segmento='ESTR' AND ambito='PILAR3' AND entidade='00100')Y ON X.ENTTY_ID=Y.ENTTY_ID_SIMUL</v>
      </c>
    </row>
    <row r="397" spans="2:13">
      <c r="B397" s="34" t="s">
        <v>118</v>
      </c>
      <c r="C397" s="34" t="s">
        <v>5</v>
      </c>
      <c r="D397" s="34" t="str">
        <f>+UPPER('0. Instruções'!$D$35&amp;"."&amp;VLOOKUP(B397,'0. Instruções'!$C$27:$D$32,2,FALSE))</f>
        <v>BU_LOANTAPE_WORK.LT003_ENTITY</v>
      </c>
      <c r="E397" s="34" t="str">
        <f>+UPPER('0. Instruções'!$D$36&amp;"."&amp;VLOOKUP(B397,'0. Instruções'!$C$27:$E$32,3,FALSE))</f>
        <v>BU_LOANTAPE_WORK.SIMUL_LT003_ENTITY</v>
      </c>
      <c r="F397" s="34" t="s">
        <v>664</v>
      </c>
      <c r="G397" s="34"/>
      <c r="H397" s="34"/>
      <c r="I397" s="34" t="str">
        <f>"(SELECT "&amp;VLOOKUP(B397,'0. Instruções'!$C$27:$G$32,4,FALSE)&amp;", "&amp;F397&amp;" FROM "&amp;D397&amp;" WHERE "&amp;'0. Instruções'!$D$42&amp;")X"</f>
        <v>(SELECT entty_id, ecnmc_actvty FROM BU_LOANTAPE_WORK.LT003_ENTITY WHERE ref_date='${ref_date}' AND nome_perimetro='Individual Local' AND segmento='ESTR' AND ambito='SRB_MBDT' AND entidade='00100')X</v>
      </c>
      <c r="J397" s="34" t="str">
        <f>"(SELECT "&amp;VLOOKUP(B397,'0. Instruções'!$C$27:$G$32,4,FALSE)&amp;" AS "&amp;VLOOKUP(B397,'0. Instruções'!$C$27:$G$32,4,FALSE)&amp;"_SIMUL, "&amp;F397&amp;" AS "&amp;F397&amp;"_SIMUL FROM "&amp;E397&amp;" WHERE "&amp;'0. Instruções'!$D$43&amp;")Y"</f>
        <v>(SELECT entty_id AS entty_id_SIMUL, ecnmc_actvty AS ecnmc_actvty_SIMUL FROM BU_LOANTAPE_WORK.SIMUL_LT003_ENTITY WHERE ref_date='${ref_date}' AND nome_perimetro='Individual Local' AND segmento='ESTR' AND ambito='PILAR3' AND entidade='00100')Y</v>
      </c>
      <c r="K397" s="35" t="str">
        <f>+UPPER("ON X."&amp;VLOOKUP(B397,'0. Instruções'!$C$27:$G$32,4,FALSE)&amp;"=Y."&amp;VLOOKUP(B397,'0. Instruções'!$C$27:$G$32,4,FALSE)&amp;"_SIMUL")</f>
        <v>ON X.ENTTY_ID=Y.ENTTY_ID_SIMUL</v>
      </c>
      <c r="L397" s="35" t="str">
        <f>+IF(C397="Coerência", +IF(LEFT(G397,5)="FLOAT","SELECT '"&amp;UPPER(B397)&amp;"' AS TABELA, '"&amp;UPPER(C397)&amp;"' AS TIPOLOGIA_TESTE,'"&amp;D397&amp;"' AS TABELA_LT,'"&amp;E397&amp;"' AS TABELA_SIMUL,'"&amp;F397&amp;"' AS CAMPO, "&amp;"'${ref_date}' AS REF_DATE, COUNT(*) AS NUM_REG, SUM(IF((ABS(COALESCE(CAST(X."&amp;F397&amp;" AS DECIMAL(18,6)),0)-COALESCE(CAST(Y."&amp;F397&amp;"_SIMUL AS DECIMAL(18,6)),0))&gt;0.000001) OR (X."&amp;F397&amp;" IS NULL AND Y."&amp;F397&amp;"_SIMUL IS NOT NULL ) OR (X."&amp;F397&amp;" IS NOT NULL AND Y."&amp;F397&amp;"_SIMUL IS NULL),1,0)) AS NUM_REG_DIF,'"&amp;MAX('ID1&amp;5'!K:K)+1&amp;"' AS ID_EXEC, CURRENT_TIMESTAMP() AS TIME_EXEC FROM "&amp;I397&amp;" INNER JOIN "&amp;J397&amp;" "&amp;K397,"SELECT '"&amp;UPPER(B397)&amp;"' AS TABELA, '"&amp;UPPER(C397)&amp;"' AS TIPOLOGIA_TESTE,'"&amp;D397&amp;"' AS TABELA_LT,'"&amp;E397&amp;"' AS TABELA_SIMUL,'"&amp;F397&amp;"' AS CAMPO, "&amp;"'${ref_date}' AS REF_DATE, COUNT(*) AS NUM_REG, SUM(IF(COALESCE(CAST(X."&amp;F397&amp;" AS STRING),'')&lt;&gt;COALESCE(CAST(Y."&amp;F397&amp;"_SIMUL AS STRING),'') OR (X."&amp;F397&amp;" IS NULL AND Y."&amp;F397&amp;"_SIMUL IS NOT NULL ) OR (X."&amp;F397&amp;" IS NOT NULL AND Y."&amp;F397&amp;"_SIMUL IS NULL),1,0)) AS NUM_REG_DIF,'"&amp;MAX('ID1&amp;5'!L:L)+1&amp;"' AS ID_EXEC, CURRENT_TIMESTAMP() AS TIME_EXEC FROM "&amp;I397&amp;" INNER JOIN "&amp;J397&amp;" "&amp;K397),
IF(C397="Validade",+IF(G397="Code List","SELECT '"&amp;UPPER(B397)&amp;"' AS TABELA, '"&amp;UPPER(C397)&amp;"' AS TIPOLOGIA_TESTE,'"&amp;D397&amp;"' AS TABELA_LT,'N/A' AS TABELA_SIMUL,'"&amp;F397&amp;"' AS CAMPO, "&amp;"'${ref_date}' AS REF_DATE, COUNT(*) AS NUM_REG, SUM(IF(TRIM(CAST(X."&amp;F397&amp;" AS STRING))='' OR TRIM(CAST(X."&amp;F397&amp;" AS STRING)) IS NULL OR CAST(X."&amp;F397&amp;" AS STRING) NOT "&amp;H397&amp;",1,0)) AS NUM_REG_DIF,'"&amp;MAX('ID1&amp;5'!K:K)+1&amp;"' AS ID_EXEC, CURRENT_TIMESTAMP() AS TIME_EXEC FROM "&amp;I397,"SELECT '"&amp;UPPER(B397)&amp;"' AS TABELA, '"&amp;UPPER(C397)&amp;"' AS TIPOLOGIA_TESTE,'"&amp;D397&amp;"' AS TABELA_LT,'N/A' AS TABELA_SIMUL,'"&amp;F397&amp;"' AS CAMPO, "&amp;"'${ref_date}' AS REF_DATE, COUNT(*) AS NUM_REG, SUM(IF(TRIM(CAST(X."&amp;F397&amp;" AS STRING))='' OR TRIM(CAST(X."&amp;F397&amp;" AS STRING)) IS NULL,1,0)) AS NUM_REG_DIF,'"&amp;MAX('ID1&amp;5'!K:K)+1&amp;"' AS ID_EXEC, CURRENT_TIMESTAMP() AS TIME_EXEC FROM "&amp;I397),
IF(C397="Caracteres Especiais",+"SELECT '"&amp;UPPER(B397)&amp;"' AS TABELA, '"&amp;UPPER(C397)&amp;"' AS TIPOLOGIA_TESTE,'"&amp;D397&amp;"' AS TABELA_LT,'N/A' AS TABELA_SIMUL,'"&amp;F397&amp;"' AS CAMPO, "&amp;"'${ref_date}' AS REF_DATE, COUNT(*) AS NUM_REG, SUM(IF(REGEXP_REPLACE(TRIM(CAST(X."&amp;F397&amp;" AS STRING)),'[^a-zA-Z0-9_\\s]','') &lt;&gt;TRIM(CAST(X."&amp;F397&amp;" AS STRING)),1,0)) AS NUM_REG_DIF,'"&amp;MAX('ID1&amp;5'!K:K)+1&amp;"' AS ID_EXEC, CURRENT_TIMESTAMP() AS TIME_EXEC FROM "&amp;I397,
IF(C397="Missings",+"SELECT '"&amp;UPPER(B397)&amp;"' AS TABELA, '"&amp;UPPER(C397)&amp;"' AS TIPOLOGIA_TESTE,'"&amp;D397&amp;"' AS TABELA_LT,'N/A' AS TABELA_SIMUL,'"&amp;F397&amp;"' AS CAMPO, "&amp;"'${ref_date}' AS REF_DATE, COUNT(*) AS NUM_REG, SUM(IF(TRIM(CAST(X."&amp;F397&amp;" AS STRING)) IN ('0000-00-00','0001-01-01','9999-12-31','MISS','00000','99999999999','99999999999.00','99999999999.000000'),1,0)) AS NUM_REG_DIF,'"&amp;MAX('ID1&amp;5'!K:K)+1&amp;"' AS ID_EXEC, CURRENT_TIMESTAMP() AS TIME_EXEC FROM "&amp;I397,
IF(C397="Not applicable",+"SELECT '"&amp;UPPER(B397)&amp;"' AS TABELA, '"&amp;UPPER(C397)&amp;"' AS TIPOLOGIA_TESTE,'"&amp;D397&amp;"' AS TABELA_LT,'N/A' AS TABELA_SIMUL,'"&amp;F397&amp;"' AS CAMPO, "&amp;"'${ref_date}' AS REF_DATE, COUNT(*) AS NUM_REG, SUM(IF(TRIM(CAST(X."&amp;F397&amp;" AS STRING)) IN ('N/A','11111111111','11111111111.00','11111111111.000000','1111-11-11'),1,0)) AS NUM_REG_DIF,'"&amp;MAX('ID1&amp;5'!K:K)+1&amp;"' AS ID_EXEC, CURRENT_TIMESTAMP() AS TIME_EXEC FROM "&amp;I397,
IF(C397="Valores extremos",+"SELECT '"&amp;UPPER(B397)&amp;"' AS TABELA, '"&amp;UPPER(C397)&amp;"' AS TIPOLOGIA_TESTE,'"&amp;D397&amp;"' AS TABELA_LT,'N/A' AS TABELA_SIMUL,'"&amp;F397&amp;"' AS CAMPO, "&amp;"'${ref_date}' AS REF_DATE, CAST(MIN("&amp;F397&amp;") AS STRING) AS VALOR_MIN, CAST(MAX("&amp;F397&amp;") AS STRING) AS VALOR_MAX,'"&amp;MAX('ID1&amp;5'!K:K)+1&amp;"' AS ID_EXEC, CURRENT_TIMESTAMP() AS TIME_EXEC FROM "&amp;MID(I397,1,LEN(I397)-2)&amp;" AND CAST("&amp;F397&amp;"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TABELA_SIMUL,'ecnmc_actvty' AS CAMPO, '${ref_date}' AS REF_DATE, COUNT(*) AS NUM_REG, SUM(IF(COALESCE(CAST(X.ecnmc_actvty AS STRING),'')&lt;&gt;COALESCE(CAST(Y.ecnmc_actvty_SIMUL AS STRING),'') OR (X.ecnmc_actvty IS NULL AND Y.ecnmc_actvty_SIMUL IS NOT NULL ) OR (X.ecnmc_actvty IS NOT NULL AND Y.ecnmc_actvty_SIMUL IS NULL),1,0)) AS NUM_REG_DIF,'1' AS ID_EXEC, CURRENT_TIMESTAMP() AS TIME_EXEC FROM (SELECT entty_id, ecnmc_actvty FROM BU_LOANTAPE_WORK.LT003_ENTITY WHERE ref_date='${ref_date}' AND nome_perimetro='Individual Local' AND segmento='ESTR' AND ambito='SRB_MBDT' AND entidade='00100')X INNER JOIN (SELECT entty_id AS entty_id_SIMUL, ecnmc_actvty AS ecnmc_actvty_SIMUL FROM BU_LOANTAPE_WORK.SIMUL_LT003_ENTITY WHERE ref_date='${ref_date}' AND nome_perimetro='Individual Local' AND segmento='ESTR' AND ambito='PILAR3' AND entidade='00100')Y ON X.ENTTY_ID=Y.ENTTY_ID_SIMUL</v>
      </c>
      <c r="M397" s="36" t="str">
        <f t="shared" si="9"/>
        <v>UNION ALL SELECT 'ENTITY' AS TABELA, 'COERÊNCIA' AS TIPOLOGIA_TESTE,'BU_LOANTAPE_WORK.LT003_ENTITY' AS TABELA_LT,'BU_LOANTAPE_WORK.SIMUL_LT003_ENTITY' AS TABELA_SIMUL,'ecnmc_actvty' AS CAMPO, '${ref_date}' AS REF_DATE, COUNT(*) AS NUM_REG, SUM(IF(COALESCE(CAST(X.ecnmc_actvty AS STRING),'')&lt;&gt;COALESCE(CAST(Y.ecnmc_actvty_SIMUL AS STRING),'') OR (X.ecnmc_actvty IS NULL AND Y.ecnmc_actvty_SIMUL IS NOT NULL ) OR (X.ecnmc_actvty IS NOT NULL AND Y.ecnmc_actvty_SIMUL IS NULL),1,0)) AS NUM_REG_DIF,'1' AS ID_EXEC, CURRENT_TIMESTAMP() AS TIME_EXEC FROM (SELECT entty_id, ecnmc_actvty FROM BU_LOANTAPE_WORK.LT003_ENTITY WHERE ref_date='${ref_date}' AND nome_perimetro='Individual Local' AND segmento='ESTR' AND ambito='SRB_MBDT' AND entidade='00100')X INNER JOIN (SELECT entty_id AS entty_id_SIMUL, ecnmc_actvty AS ecnmc_actvty_SIMUL FROM BU_LOANTAPE_WORK.SIMUL_LT003_ENTITY WHERE ref_date='${ref_date}' AND nome_perimetro='Individual Local' AND segmento='ESTR' AND ambito='PILAR3' AND entidade='00100')Y ON X.ENTTY_ID=Y.ENTTY_ID_SIMUL</v>
      </c>
    </row>
    <row r="398" spans="2:13">
      <c r="B398" s="34" t="s">
        <v>118</v>
      </c>
      <c r="C398" s="34" t="s">
        <v>5</v>
      </c>
      <c r="D398" s="34" t="str">
        <f>+UPPER('0. Instruções'!$D$35&amp;"."&amp;VLOOKUP(B398,'0. Instruções'!$C$27:$D$32,2,FALSE))</f>
        <v>BU_LOANTAPE_WORK.LT003_ENTITY</v>
      </c>
      <c r="E398" s="34" t="str">
        <f>+UPPER('0. Instruções'!$D$36&amp;"."&amp;VLOOKUP(B398,'0. Instruções'!$C$27:$E$32,3,FALSE))</f>
        <v>BU_LOANTAPE_WORK.SIMUL_LT003_ENTITY</v>
      </c>
      <c r="F398" s="34" t="s">
        <v>1427</v>
      </c>
      <c r="G398" s="34"/>
      <c r="H398" s="34"/>
      <c r="I398" s="34" t="str">
        <f>"(SELECT "&amp;VLOOKUP(B398,'0. Instruções'!$C$27:$G$32,4,FALSE)&amp;", "&amp;F398&amp;" FROM "&amp;D398&amp;" WHERE "&amp;'0. Instruções'!$D$42&amp;")X"</f>
        <v>(SELECT entty_id, emplymnt_stts_intrnl FROM BU_LOANTAPE_WORK.LT003_ENTITY WHERE ref_date='${ref_date}' AND nome_perimetro='Individual Local' AND segmento='ESTR' AND ambito='SRB_MBDT' AND entidade='00100')X</v>
      </c>
      <c r="J398" s="34" t="str">
        <f>"(SELECT "&amp;VLOOKUP(B398,'0. Instruções'!$C$27:$G$32,4,FALSE)&amp;" AS "&amp;VLOOKUP(B398,'0. Instruções'!$C$27:$G$32,4,FALSE)&amp;"_SIMUL, "&amp;F398&amp;" AS "&amp;F398&amp;"_SIMUL FROM "&amp;E398&amp;" WHERE "&amp;'0. Instruções'!$D$43&amp;")Y"</f>
        <v>(SELECT entty_id AS entty_id_SIMUL, emplymnt_stts_intrnl AS emplymnt_stts_intrnl_SIMUL FROM BU_LOANTAPE_WORK.SIMUL_LT003_ENTITY WHERE ref_date='${ref_date}' AND nome_perimetro='Individual Local' AND segmento='ESTR' AND ambito='PILAR3' AND entidade='00100')Y</v>
      </c>
      <c r="K398" s="35" t="str">
        <f>+UPPER("ON X."&amp;VLOOKUP(B398,'0. Instruções'!$C$27:$G$32,4,FALSE)&amp;"=Y."&amp;VLOOKUP(B398,'0. Instruções'!$C$27:$G$32,4,FALSE)&amp;"_SIMUL")</f>
        <v>ON X.ENTTY_ID=Y.ENTTY_ID_SIMUL</v>
      </c>
      <c r="L398" s="35" t="str">
        <f>+IF(C398="Coerência", +IF(LEFT(G398,5)="FLOAT","SELECT '"&amp;UPPER(B398)&amp;"' AS TABELA, '"&amp;UPPER(C398)&amp;"' AS TIPOLOGIA_TESTE,'"&amp;D398&amp;"' AS TABELA_LT,'"&amp;E398&amp;"' AS TABELA_SIMUL,'"&amp;F398&amp;"' AS CAMPO, "&amp;"'${ref_date}' AS REF_DATE, COUNT(*) AS NUM_REG, SUM(IF((ABS(COALESCE(CAST(X."&amp;F398&amp;" AS DECIMAL(18,6)),0)-COALESCE(CAST(Y."&amp;F398&amp;"_SIMUL AS DECIMAL(18,6)),0))&gt;0.000001) OR (X."&amp;F398&amp;" IS NULL AND Y."&amp;F398&amp;"_SIMUL IS NOT NULL ) OR (X."&amp;F398&amp;" IS NOT NULL AND Y."&amp;F398&amp;"_SIMUL IS NULL),1,0)) AS NUM_REG_DIF,'"&amp;MAX('ID1&amp;5'!K:K)+1&amp;"' AS ID_EXEC, CURRENT_TIMESTAMP() AS TIME_EXEC FROM "&amp;I398&amp;" INNER JOIN "&amp;J398&amp;" "&amp;K398,"SELECT '"&amp;UPPER(B398)&amp;"' AS TABELA, '"&amp;UPPER(C398)&amp;"' AS TIPOLOGIA_TESTE,'"&amp;D398&amp;"' AS TABELA_LT,'"&amp;E398&amp;"' AS TABELA_SIMUL,'"&amp;F398&amp;"' AS CAMPO, "&amp;"'${ref_date}' AS REF_DATE, COUNT(*) AS NUM_REG, SUM(IF(COALESCE(CAST(X."&amp;F398&amp;" AS STRING),'')&lt;&gt;COALESCE(CAST(Y."&amp;F398&amp;"_SIMUL AS STRING),'') OR (X."&amp;F398&amp;" IS NULL AND Y."&amp;F398&amp;"_SIMUL IS NOT NULL ) OR (X."&amp;F398&amp;" IS NOT NULL AND Y."&amp;F398&amp;"_SIMUL IS NULL),1,0)) AS NUM_REG_DIF,'"&amp;MAX('ID1&amp;5'!L:L)+1&amp;"' AS ID_EXEC, CURRENT_TIMESTAMP() AS TIME_EXEC FROM "&amp;I398&amp;" INNER JOIN "&amp;J398&amp;" "&amp;K398),
IF(C398="Validade",+IF(G398="Code List","SELECT '"&amp;UPPER(B398)&amp;"' AS TABELA, '"&amp;UPPER(C398)&amp;"' AS TIPOLOGIA_TESTE,'"&amp;D398&amp;"' AS TABELA_LT,'N/A' AS TABELA_SIMUL,'"&amp;F398&amp;"' AS CAMPO, "&amp;"'${ref_date}' AS REF_DATE, COUNT(*) AS NUM_REG, SUM(IF(TRIM(CAST(X."&amp;F398&amp;" AS STRING))='' OR TRIM(CAST(X."&amp;F398&amp;" AS STRING)) IS NULL OR CAST(X."&amp;F398&amp;" AS STRING) NOT "&amp;H398&amp;",1,0)) AS NUM_REG_DIF,'"&amp;MAX('ID1&amp;5'!K:K)+1&amp;"' AS ID_EXEC, CURRENT_TIMESTAMP() AS TIME_EXEC FROM "&amp;I398,"SELECT '"&amp;UPPER(B398)&amp;"' AS TABELA, '"&amp;UPPER(C398)&amp;"' AS TIPOLOGIA_TESTE,'"&amp;D398&amp;"' AS TABELA_LT,'N/A' AS TABELA_SIMUL,'"&amp;F398&amp;"' AS CAMPO, "&amp;"'${ref_date}' AS REF_DATE, COUNT(*) AS NUM_REG, SUM(IF(TRIM(CAST(X."&amp;F398&amp;" AS STRING))='' OR TRIM(CAST(X."&amp;F398&amp;" AS STRING)) IS NULL,1,0)) AS NUM_REG_DIF,'"&amp;MAX('ID1&amp;5'!K:K)+1&amp;"' AS ID_EXEC, CURRENT_TIMESTAMP() AS TIME_EXEC FROM "&amp;I398),
IF(C398="Caracteres Especiais",+"SELECT '"&amp;UPPER(B398)&amp;"' AS TABELA, '"&amp;UPPER(C398)&amp;"' AS TIPOLOGIA_TESTE,'"&amp;D398&amp;"' AS TABELA_LT,'N/A' AS TABELA_SIMUL,'"&amp;F398&amp;"' AS CAMPO, "&amp;"'${ref_date}' AS REF_DATE, COUNT(*) AS NUM_REG, SUM(IF(REGEXP_REPLACE(TRIM(CAST(X."&amp;F398&amp;" AS STRING)),'[^a-zA-Z0-9_\\s]','') &lt;&gt;TRIM(CAST(X."&amp;F398&amp;" AS STRING)),1,0)) AS NUM_REG_DIF,'"&amp;MAX('ID1&amp;5'!K:K)+1&amp;"' AS ID_EXEC, CURRENT_TIMESTAMP() AS TIME_EXEC FROM "&amp;I398,
IF(C398="Missings",+"SELECT '"&amp;UPPER(B398)&amp;"' AS TABELA, '"&amp;UPPER(C398)&amp;"' AS TIPOLOGIA_TESTE,'"&amp;D398&amp;"' AS TABELA_LT,'N/A' AS TABELA_SIMUL,'"&amp;F398&amp;"' AS CAMPO, "&amp;"'${ref_date}' AS REF_DATE, COUNT(*) AS NUM_REG, SUM(IF(TRIM(CAST(X."&amp;F398&amp;" AS STRING)) IN ('0000-00-00','0001-01-01','9999-12-31','MISS','00000','99999999999','99999999999.00','99999999999.000000'),1,0)) AS NUM_REG_DIF,'"&amp;MAX('ID1&amp;5'!K:K)+1&amp;"' AS ID_EXEC, CURRENT_TIMESTAMP() AS TIME_EXEC FROM "&amp;I398,
IF(C398="Not applicable",+"SELECT '"&amp;UPPER(B398)&amp;"' AS TABELA, '"&amp;UPPER(C398)&amp;"' AS TIPOLOGIA_TESTE,'"&amp;D398&amp;"' AS TABELA_LT,'N/A' AS TABELA_SIMUL,'"&amp;F398&amp;"' AS CAMPO, "&amp;"'${ref_date}' AS REF_DATE, COUNT(*) AS NUM_REG, SUM(IF(TRIM(CAST(X."&amp;F398&amp;" AS STRING)) IN ('N/A','11111111111','11111111111.00','11111111111.000000','1111-11-11'),1,0)) AS NUM_REG_DIF,'"&amp;MAX('ID1&amp;5'!K:K)+1&amp;"' AS ID_EXEC, CURRENT_TIMESTAMP() AS TIME_EXEC FROM "&amp;I398,
IF(C398="Valores extremos",+"SELECT '"&amp;UPPER(B398)&amp;"' AS TABELA, '"&amp;UPPER(C398)&amp;"' AS TIPOLOGIA_TESTE,'"&amp;D398&amp;"' AS TABELA_LT,'N/A' AS TABELA_SIMUL,'"&amp;F398&amp;"' AS CAMPO, "&amp;"'${ref_date}' AS REF_DATE, CAST(MIN("&amp;F398&amp;") AS STRING) AS VALOR_MIN, CAST(MAX("&amp;F398&amp;") AS STRING) AS VALOR_MAX,'"&amp;MAX('ID1&amp;5'!K:K)+1&amp;"' AS ID_EXEC, CURRENT_TIMESTAMP() AS TIME_EXEC FROM "&amp;MID(I398,1,LEN(I398)-2)&amp;" AND CAST("&amp;F398&amp;"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TABELA_SIMUL,'emplymnt_stts_intrnl' AS CAMPO, '${ref_date}' AS REF_DATE, COUNT(*) AS NUM_REG, SUM(IF(COALESCE(CAST(X.emplymnt_stts_intrnl AS STRING),'')&lt;&gt;COALESCE(CAST(Y.emplymnt_stts_intrnl_SIMUL AS STRING),'') OR (X.emplymnt_stts_intrnl IS NULL AND Y.emplymnt_stts_intrnl_SIMUL IS NOT NULL ) OR (X.emplymnt_stts_intrnl IS NOT NULL AND Y.emplymnt_stts_intrnl_SIMUL IS NULL),1,0)) AS NUM_REG_DIF,'1' AS ID_EXEC, CURRENT_TIMESTAMP() AS TIME_EXEC FROM (SELECT entty_id, emplymnt_stts_intrnl FROM BU_LOANTAPE_WORK.LT003_ENTITY WHERE ref_date='${ref_date}' AND nome_perimetro='Individual Local' AND segmento='ESTR' AND ambito='SRB_MBDT' AND entidade='00100')X INNER JOIN (SELECT entty_id AS entty_id_SIMUL, emplymnt_stts_intrnl AS emplymnt_stts_intrnl_SIMUL FROM BU_LOANTAPE_WORK.SIMUL_LT003_ENTITY WHERE ref_date='${ref_date}' AND nome_perimetro='Individual Local' AND segmento='ESTR' AND ambito='PILAR3' AND entidade='00100')Y ON X.ENTTY_ID=Y.ENTTY_ID_SIMUL</v>
      </c>
      <c r="M398" s="36" t="str">
        <f t="shared" si="9"/>
        <v>UNION ALL SELECT 'ENTITY' AS TABELA, 'COERÊNCIA' AS TIPOLOGIA_TESTE,'BU_LOANTAPE_WORK.LT003_ENTITY' AS TABELA_LT,'BU_LOANTAPE_WORK.SIMUL_LT003_ENTITY' AS TABELA_SIMUL,'emplymnt_stts_intrnl' AS CAMPO, '${ref_date}' AS REF_DATE, COUNT(*) AS NUM_REG, SUM(IF(COALESCE(CAST(X.emplymnt_stts_intrnl AS STRING),'')&lt;&gt;COALESCE(CAST(Y.emplymnt_stts_intrnl_SIMUL AS STRING),'') OR (X.emplymnt_stts_intrnl IS NULL AND Y.emplymnt_stts_intrnl_SIMUL IS NOT NULL ) OR (X.emplymnt_stts_intrnl IS NOT NULL AND Y.emplymnt_stts_intrnl_SIMUL IS NULL),1,0)) AS NUM_REG_DIF,'1' AS ID_EXEC, CURRENT_TIMESTAMP() AS TIME_EXEC FROM (SELECT entty_id, emplymnt_stts_intrnl FROM BU_LOANTAPE_WORK.LT003_ENTITY WHERE ref_date='${ref_date}' AND nome_perimetro='Individual Local' AND segmento='ESTR' AND ambito='SRB_MBDT' AND entidade='00100')X INNER JOIN (SELECT entty_id AS entty_id_SIMUL, emplymnt_stts_intrnl AS emplymnt_stts_intrnl_SIMUL FROM BU_LOANTAPE_WORK.SIMUL_LT003_ENTITY WHERE ref_date='${ref_date}' AND nome_perimetro='Individual Local' AND segmento='ESTR' AND ambito='PILAR3' AND entidade='00100')Y ON X.ENTTY_ID=Y.ENTTY_ID_SIMUL</v>
      </c>
    </row>
    <row r="399" spans="2:13">
      <c r="B399" s="34" t="s">
        <v>118</v>
      </c>
      <c r="C399" s="34" t="s">
        <v>5</v>
      </c>
      <c r="D399" s="34" t="str">
        <f>+UPPER('0. Instruções'!$D$35&amp;"."&amp;VLOOKUP(B399,'0. Instruções'!$C$27:$D$32,2,FALSE))</f>
        <v>BU_LOANTAPE_WORK.LT003_ENTITY</v>
      </c>
      <c r="E399" s="34" t="str">
        <f>+UPPER('0. Instruções'!$D$36&amp;"."&amp;VLOOKUP(B399,'0. Instruções'!$C$27:$E$32,3,FALSE))</f>
        <v>BU_LOANTAPE_WORK.SIMUL_LT003_ENTITY</v>
      </c>
      <c r="F399" s="34" t="s">
        <v>1428</v>
      </c>
      <c r="G399" s="34"/>
      <c r="H399" s="34"/>
      <c r="I399" s="34" t="str">
        <f>"(SELECT "&amp;VLOOKUP(B399,'0. Instruções'!$C$27:$G$32,4,FALSE)&amp;", "&amp;F399&amp;" FROM "&amp;D399&amp;" WHERE "&amp;'0. Instruções'!$D$42&amp;")X"</f>
        <v>(SELECT entty_id, emplymnt_stts FROM BU_LOANTAPE_WORK.LT003_ENTITY WHERE ref_date='${ref_date}' AND nome_perimetro='Individual Local' AND segmento='ESTR' AND ambito='SRB_MBDT' AND entidade='00100')X</v>
      </c>
      <c r="J399" s="34" t="str">
        <f>"(SELECT "&amp;VLOOKUP(B399,'0. Instruções'!$C$27:$G$32,4,FALSE)&amp;" AS "&amp;VLOOKUP(B399,'0. Instruções'!$C$27:$G$32,4,FALSE)&amp;"_SIMUL, "&amp;F399&amp;" AS "&amp;F399&amp;"_SIMUL FROM "&amp;E399&amp;" WHERE "&amp;'0. Instruções'!$D$43&amp;")Y"</f>
        <v>(SELECT entty_id AS entty_id_SIMUL, emplymnt_stts AS emplymnt_stts_SIMUL FROM BU_LOANTAPE_WORK.SIMUL_LT003_ENTITY WHERE ref_date='${ref_date}' AND nome_perimetro='Individual Local' AND segmento='ESTR' AND ambito='PILAR3' AND entidade='00100')Y</v>
      </c>
      <c r="K399" s="35" t="str">
        <f>+UPPER("ON X."&amp;VLOOKUP(B399,'0. Instruções'!$C$27:$G$32,4,FALSE)&amp;"=Y."&amp;VLOOKUP(B399,'0. Instruções'!$C$27:$G$32,4,FALSE)&amp;"_SIMUL")</f>
        <v>ON X.ENTTY_ID=Y.ENTTY_ID_SIMUL</v>
      </c>
      <c r="L399" s="35" t="str">
        <f>+IF(C399="Coerência", +IF(LEFT(G399,5)="FLOAT","SELECT '"&amp;UPPER(B399)&amp;"' AS TABELA, '"&amp;UPPER(C399)&amp;"' AS TIPOLOGIA_TESTE,'"&amp;D399&amp;"' AS TABELA_LT,'"&amp;E399&amp;"' AS TABELA_SIMUL,'"&amp;F399&amp;"' AS CAMPO, "&amp;"'${ref_date}' AS REF_DATE, COUNT(*) AS NUM_REG, SUM(IF((ABS(COALESCE(CAST(X."&amp;F399&amp;" AS DECIMAL(18,6)),0)-COALESCE(CAST(Y."&amp;F399&amp;"_SIMUL AS DECIMAL(18,6)),0))&gt;0.000001) OR (X."&amp;F399&amp;" IS NULL AND Y."&amp;F399&amp;"_SIMUL IS NOT NULL ) OR (X."&amp;F399&amp;" IS NOT NULL AND Y."&amp;F399&amp;"_SIMUL IS NULL),1,0)) AS NUM_REG_DIF,'"&amp;MAX('ID1&amp;5'!K:K)+1&amp;"' AS ID_EXEC, CURRENT_TIMESTAMP() AS TIME_EXEC FROM "&amp;I399&amp;" INNER JOIN "&amp;J399&amp;" "&amp;K399,"SELECT '"&amp;UPPER(B399)&amp;"' AS TABELA, '"&amp;UPPER(C399)&amp;"' AS TIPOLOGIA_TESTE,'"&amp;D399&amp;"' AS TABELA_LT,'"&amp;E399&amp;"' AS TABELA_SIMUL,'"&amp;F399&amp;"' AS CAMPO, "&amp;"'${ref_date}' AS REF_DATE, COUNT(*) AS NUM_REG, SUM(IF(COALESCE(CAST(X."&amp;F399&amp;" AS STRING),'')&lt;&gt;COALESCE(CAST(Y."&amp;F399&amp;"_SIMUL AS STRING),'') OR (X."&amp;F399&amp;" IS NULL AND Y."&amp;F399&amp;"_SIMUL IS NOT NULL ) OR (X."&amp;F399&amp;" IS NOT NULL AND Y."&amp;F399&amp;"_SIMUL IS NULL),1,0)) AS NUM_REG_DIF,'"&amp;MAX('ID1&amp;5'!L:L)+1&amp;"' AS ID_EXEC, CURRENT_TIMESTAMP() AS TIME_EXEC FROM "&amp;I399&amp;" INNER JOIN "&amp;J399&amp;" "&amp;K399),
IF(C399="Validade",+IF(G399="Code List","SELECT '"&amp;UPPER(B399)&amp;"' AS TABELA, '"&amp;UPPER(C399)&amp;"' AS TIPOLOGIA_TESTE,'"&amp;D399&amp;"' AS TABELA_LT,'N/A' AS TABELA_SIMUL,'"&amp;F399&amp;"' AS CAMPO, "&amp;"'${ref_date}' AS REF_DATE, COUNT(*) AS NUM_REG, SUM(IF(TRIM(CAST(X."&amp;F399&amp;" AS STRING))='' OR TRIM(CAST(X."&amp;F399&amp;" AS STRING)) IS NULL OR CAST(X."&amp;F399&amp;" AS STRING) NOT "&amp;H399&amp;",1,0)) AS NUM_REG_DIF,'"&amp;MAX('ID1&amp;5'!K:K)+1&amp;"' AS ID_EXEC, CURRENT_TIMESTAMP() AS TIME_EXEC FROM "&amp;I399,"SELECT '"&amp;UPPER(B399)&amp;"' AS TABELA, '"&amp;UPPER(C399)&amp;"' AS TIPOLOGIA_TESTE,'"&amp;D399&amp;"' AS TABELA_LT,'N/A' AS TABELA_SIMUL,'"&amp;F399&amp;"' AS CAMPO, "&amp;"'${ref_date}' AS REF_DATE, COUNT(*) AS NUM_REG, SUM(IF(TRIM(CAST(X."&amp;F399&amp;" AS STRING))='' OR TRIM(CAST(X."&amp;F399&amp;" AS STRING)) IS NULL,1,0)) AS NUM_REG_DIF,'"&amp;MAX('ID1&amp;5'!K:K)+1&amp;"' AS ID_EXEC, CURRENT_TIMESTAMP() AS TIME_EXEC FROM "&amp;I399),
IF(C399="Caracteres Especiais",+"SELECT '"&amp;UPPER(B399)&amp;"' AS TABELA, '"&amp;UPPER(C399)&amp;"' AS TIPOLOGIA_TESTE,'"&amp;D399&amp;"' AS TABELA_LT,'N/A' AS TABELA_SIMUL,'"&amp;F399&amp;"' AS CAMPO, "&amp;"'${ref_date}' AS REF_DATE, COUNT(*) AS NUM_REG, SUM(IF(REGEXP_REPLACE(TRIM(CAST(X."&amp;F399&amp;" AS STRING)),'[^a-zA-Z0-9_\\s]','') &lt;&gt;TRIM(CAST(X."&amp;F399&amp;" AS STRING)),1,0)) AS NUM_REG_DIF,'"&amp;MAX('ID1&amp;5'!K:K)+1&amp;"' AS ID_EXEC, CURRENT_TIMESTAMP() AS TIME_EXEC FROM "&amp;I399,
IF(C399="Missings",+"SELECT '"&amp;UPPER(B399)&amp;"' AS TABELA, '"&amp;UPPER(C399)&amp;"' AS TIPOLOGIA_TESTE,'"&amp;D399&amp;"' AS TABELA_LT,'N/A' AS TABELA_SIMUL,'"&amp;F399&amp;"' AS CAMPO, "&amp;"'${ref_date}' AS REF_DATE, COUNT(*) AS NUM_REG, SUM(IF(TRIM(CAST(X."&amp;F399&amp;" AS STRING)) IN ('0000-00-00','0001-01-01','9999-12-31','MISS','00000','99999999999','99999999999.00','99999999999.000000'),1,0)) AS NUM_REG_DIF,'"&amp;MAX('ID1&amp;5'!K:K)+1&amp;"' AS ID_EXEC, CURRENT_TIMESTAMP() AS TIME_EXEC FROM "&amp;I399,
IF(C399="Not applicable",+"SELECT '"&amp;UPPER(B399)&amp;"' AS TABELA, '"&amp;UPPER(C399)&amp;"' AS TIPOLOGIA_TESTE,'"&amp;D399&amp;"' AS TABELA_LT,'N/A' AS TABELA_SIMUL,'"&amp;F399&amp;"' AS CAMPO, "&amp;"'${ref_date}' AS REF_DATE, COUNT(*) AS NUM_REG, SUM(IF(TRIM(CAST(X."&amp;F399&amp;" AS STRING)) IN ('N/A','11111111111','11111111111.00','11111111111.000000','1111-11-11'),1,0)) AS NUM_REG_DIF,'"&amp;MAX('ID1&amp;5'!K:K)+1&amp;"' AS ID_EXEC, CURRENT_TIMESTAMP() AS TIME_EXEC FROM "&amp;I399,
IF(C399="Valores extremos",+"SELECT '"&amp;UPPER(B399)&amp;"' AS TABELA, '"&amp;UPPER(C399)&amp;"' AS TIPOLOGIA_TESTE,'"&amp;D399&amp;"' AS TABELA_LT,'N/A' AS TABELA_SIMUL,'"&amp;F399&amp;"' AS CAMPO, "&amp;"'${ref_date}' AS REF_DATE, CAST(MIN("&amp;F399&amp;") AS STRING) AS VALOR_MIN, CAST(MAX("&amp;F399&amp;") AS STRING) AS VALOR_MAX,'"&amp;MAX('ID1&amp;5'!K:K)+1&amp;"' AS ID_EXEC, CURRENT_TIMESTAMP() AS TIME_EXEC FROM "&amp;MID(I399,1,LEN(I399)-2)&amp;" AND CAST("&amp;F399&amp;"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TABELA_SIMUL,'emplymnt_stts' AS CAMPO, '${ref_date}' AS REF_DATE, COUNT(*) AS NUM_REG, SUM(IF(COALESCE(CAST(X.emplymnt_stts AS STRING),'')&lt;&gt;COALESCE(CAST(Y.emplymnt_stts_SIMUL AS STRING),'') OR (X.emplymnt_stts IS NULL AND Y.emplymnt_stts_SIMUL IS NOT NULL ) OR (X.emplymnt_stts IS NOT NULL AND Y.emplymnt_stts_SIMUL IS NULL),1,0)) AS NUM_REG_DIF,'1' AS ID_EXEC, CURRENT_TIMESTAMP() AS TIME_EXEC FROM (SELECT entty_id, emplymnt_stts FROM BU_LOANTAPE_WORK.LT003_ENTITY WHERE ref_date='${ref_date}' AND nome_perimetro='Individual Local' AND segmento='ESTR' AND ambito='SRB_MBDT' AND entidade='00100')X INNER JOIN (SELECT entty_id AS entty_id_SIMUL, emplymnt_stts AS emplymnt_stts_SIMUL FROM BU_LOANTAPE_WORK.SIMUL_LT003_ENTITY WHERE ref_date='${ref_date}' AND nome_perimetro='Individual Local' AND segmento='ESTR' AND ambito='PILAR3' AND entidade='00100')Y ON X.ENTTY_ID=Y.ENTTY_ID_SIMUL</v>
      </c>
      <c r="M399" s="36" t="str">
        <f t="shared" si="9"/>
        <v>UNION ALL SELECT 'ENTITY' AS TABELA, 'COERÊNCIA' AS TIPOLOGIA_TESTE,'BU_LOANTAPE_WORK.LT003_ENTITY' AS TABELA_LT,'BU_LOANTAPE_WORK.SIMUL_LT003_ENTITY' AS TABELA_SIMUL,'emplymnt_stts' AS CAMPO, '${ref_date}' AS REF_DATE, COUNT(*) AS NUM_REG, SUM(IF(COALESCE(CAST(X.emplymnt_stts AS STRING),'')&lt;&gt;COALESCE(CAST(Y.emplymnt_stts_SIMUL AS STRING),'') OR (X.emplymnt_stts IS NULL AND Y.emplymnt_stts_SIMUL IS NOT NULL ) OR (X.emplymnt_stts IS NOT NULL AND Y.emplymnt_stts_SIMUL IS NULL),1,0)) AS NUM_REG_DIF,'1' AS ID_EXEC, CURRENT_TIMESTAMP() AS TIME_EXEC FROM (SELECT entty_id, emplymnt_stts FROM BU_LOANTAPE_WORK.LT003_ENTITY WHERE ref_date='${ref_date}' AND nome_perimetro='Individual Local' AND segmento='ESTR' AND ambito='SRB_MBDT' AND entidade='00100')X INNER JOIN (SELECT entty_id AS entty_id_SIMUL, emplymnt_stts AS emplymnt_stts_SIMUL FROM BU_LOANTAPE_WORK.SIMUL_LT003_ENTITY WHERE ref_date='${ref_date}' AND nome_perimetro='Individual Local' AND segmento='ESTR' AND ambito='PILAR3' AND entidade='00100')Y ON X.ENTTY_ID=Y.ENTTY_ID_SIMUL</v>
      </c>
    </row>
    <row r="400" spans="2:13">
      <c r="B400" s="34" t="s">
        <v>118</v>
      </c>
      <c r="C400" s="34" t="s">
        <v>5</v>
      </c>
      <c r="D400" s="34" t="str">
        <f>+UPPER('0. Instruções'!$D$35&amp;"."&amp;VLOOKUP(B400,'0. Instruções'!$C$27:$D$32,2,FALSE))</f>
        <v>BU_LOANTAPE_WORK.LT003_ENTITY</v>
      </c>
      <c r="E400" s="34" t="str">
        <f>+UPPER('0. Instruções'!$D$36&amp;"."&amp;VLOOKUP(B400,'0. Instruções'!$C$27:$E$32,3,FALSE))</f>
        <v>BU_LOANTAPE_WORK.SIMUL_LT003_ENTITY</v>
      </c>
      <c r="F400" s="34" t="s">
        <v>1429</v>
      </c>
      <c r="G400" s="34"/>
      <c r="H400" s="34"/>
      <c r="I400" s="34" t="str">
        <f>"(SELECT "&amp;VLOOKUP(B400,'0. Instruções'!$C$27:$G$32,4,FALSE)&amp;", "&amp;F400&amp;" FROM "&amp;D400&amp;" WHERE "&amp;'0. Instruções'!$D$42&amp;")X"</f>
        <v>(SELECT entty_id, entrprs_sz_le FROM BU_LOANTAPE_WORK.LT003_ENTITY WHERE ref_date='${ref_date}' AND nome_perimetro='Individual Local' AND segmento='ESTR' AND ambito='SRB_MBDT' AND entidade='00100')X</v>
      </c>
      <c r="J400" s="34" t="str">
        <f>"(SELECT "&amp;VLOOKUP(B400,'0. Instruções'!$C$27:$G$32,4,FALSE)&amp;" AS "&amp;VLOOKUP(B400,'0. Instruções'!$C$27:$G$32,4,FALSE)&amp;"_SIMUL, "&amp;F400&amp;" AS "&amp;F400&amp;"_SIMUL FROM "&amp;E400&amp;" WHERE "&amp;'0. Instruções'!$D$43&amp;")Y"</f>
        <v>(SELECT entty_id AS entty_id_SIMUL, entrprs_sz_le AS entrprs_sz_le_SIMUL FROM BU_LOANTAPE_WORK.SIMUL_LT003_ENTITY WHERE ref_date='${ref_date}' AND nome_perimetro='Individual Local' AND segmento='ESTR' AND ambito='PILAR3' AND entidade='00100')Y</v>
      </c>
      <c r="K400" s="35" t="str">
        <f>+UPPER("ON X."&amp;VLOOKUP(B400,'0. Instruções'!$C$27:$G$32,4,FALSE)&amp;"=Y."&amp;VLOOKUP(B400,'0. Instruções'!$C$27:$G$32,4,FALSE)&amp;"_SIMUL")</f>
        <v>ON X.ENTTY_ID=Y.ENTTY_ID_SIMUL</v>
      </c>
      <c r="L400" s="35" t="str">
        <f>+IF(C400="Coerência", +IF(LEFT(G400,5)="FLOAT","SELECT '"&amp;UPPER(B400)&amp;"' AS TABELA, '"&amp;UPPER(C400)&amp;"' AS TIPOLOGIA_TESTE,'"&amp;D400&amp;"' AS TABELA_LT,'"&amp;E400&amp;"' AS TABELA_SIMUL,'"&amp;F400&amp;"' AS CAMPO, "&amp;"'${ref_date}' AS REF_DATE, COUNT(*) AS NUM_REG, SUM(IF((ABS(COALESCE(CAST(X."&amp;F400&amp;" AS DECIMAL(18,6)),0)-COALESCE(CAST(Y."&amp;F400&amp;"_SIMUL AS DECIMAL(18,6)),0))&gt;0.000001) OR (X."&amp;F400&amp;" IS NULL AND Y."&amp;F400&amp;"_SIMUL IS NOT NULL ) OR (X."&amp;F400&amp;" IS NOT NULL AND Y."&amp;F400&amp;"_SIMUL IS NULL),1,0)) AS NUM_REG_DIF,'"&amp;MAX('ID1&amp;5'!K:K)+1&amp;"' AS ID_EXEC, CURRENT_TIMESTAMP() AS TIME_EXEC FROM "&amp;I400&amp;" INNER JOIN "&amp;J400&amp;" "&amp;K400,"SELECT '"&amp;UPPER(B400)&amp;"' AS TABELA, '"&amp;UPPER(C400)&amp;"' AS TIPOLOGIA_TESTE,'"&amp;D400&amp;"' AS TABELA_LT,'"&amp;E400&amp;"' AS TABELA_SIMUL,'"&amp;F400&amp;"' AS CAMPO, "&amp;"'${ref_date}' AS REF_DATE, COUNT(*) AS NUM_REG, SUM(IF(COALESCE(CAST(X."&amp;F400&amp;" AS STRING),'')&lt;&gt;COALESCE(CAST(Y."&amp;F400&amp;"_SIMUL AS STRING),'') OR (X."&amp;F400&amp;" IS NULL AND Y."&amp;F400&amp;"_SIMUL IS NOT NULL ) OR (X."&amp;F400&amp;" IS NOT NULL AND Y."&amp;F400&amp;"_SIMUL IS NULL),1,0)) AS NUM_REG_DIF,'"&amp;MAX('ID1&amp;5'!L:L)+1&amp;"' AS ID_EXEC, CURRENT_TIMESTAMP() AS TIME_EXEC FROM "&amp;I400&amp;" INNER JOIN "&amp;J400&amp;" "&amp;K400),
IF(C400="Validade",+IF(G400="Code List","SELECT '"&amp;UPPER(B400)&amp;"' AS TABELA, '"&amp;UPPER(C400)&amp;"' AS TIPOLOGIA_TESTE,'"&amp;D400&amp;"' AS TABELA_LT,'N/A' AS TABELA_SIMUL,'"&amp;F400&amp;"' AS CAMPO, "&amp;"'${ref_date}' AS REF_DATE, COUNT(*) AS NUM_REG, SUM(IF(TRIM(CAST(X."&amp;F400&amp;" AS STRING))='' OR TRIM(CAST(X."&amp;F400&amp;" AS STRING)) IS NULL OR CAST(X."&amp;F400&amp;" AS STRING) NOT "&amp;H400&amp;",1,0)) AS NUM_REG_DIF,'"&amp;MAX('ID1&amp;5'!K:K)+1&amp;"' AS ID_EXEC, CURRENT_TIMESTAMP() AS TIME_EXEC FROM "&amp;I400,"SELECT '"&amp;UPPER(B400)&amp;"' AS TABELA, '"&amp;UPPER(C400)&amp;"' AS TIPOLOGIA_TESTE,'"&amp;D400&amp;"' AS TABELA_LT,'N/A' AS TABELA_SIMUL,'"&amp;F400&amp;"' AS CAMPO, "&amp;"'${ref_date}' AS REF_DATE, COUNT(*) AS NUM_REG, SUM(IF(TRIM(CAST(X."&amp;F400&amp;" AS STRING))='' OR TRIM(CAST(X."&amp;F400&amp;" AS STRING)) IS NULL,1,0)) AS NUM_REG_DIF,'"&amp;MAX('ID1&amp;5'!K:K)+1&amp;"' AS ID_EXEC, CURRENT_TIMESTAMP() AS TIME_EXEC FROM "&amp;I400),
IF(C400="Caracteres Especiais",+"SELECT '"&amp;UPPER(B400)&amp;"' AS TABELA, '"&amp;UPPER(C400)&amp;"' AS TIPOLOGIA_TESTE,'"&amp;D400&amp;"' AS TABELA_LT,'N/A' AS TABELA_SIMUL,'"&amp;F400&amp;"' AS CAMPO, "&amp;"'${ref_date}' AS REF_DATE, COUNT(*) AS NUM_REG, SUM(IF(REGEXP_REPLACE(TRIM(CAST(X."&amp;F400&amp;" AS STRING)),'[^a-zA-Z0-9_\\s]','') &lt;&gt;TRIM(CAST(X."&amp;F400&amp;" AS STRING)),1,0)) AS NUM_REG_DIF,'"&amp;MAX('ID1&amp;5'!K:K)+1&amp;"' AS ID_EXEC, CURRENT_TIMESTAMP() AS TIME_EXEC FROM "&amp;I400,
IF(C400="Missings",+"SELECT '"&amp;UPPER(B400)&amp;"' AS TABELA, '"&amp;UPPER(C400)&amp;"' AS TIPOLOGIA_TESTE,'"&amp;D400&amp;"' AS TABELA_LT,'N/A' AS TABELA_SIMUL,'"&amp;F400&amp;"' AS CAMPO, "&amp;"'${ref_date}' AS REF_DATE, COUNT(*) AS NUM_REG, SUM(IF(TRIM(CAST(X."&amp;F400&amp;" AS STRING)) IN ('0000-00-00','0001-01-01','9999-12-31','MISS','00000','99999999999','99999999999.00','99999999999.000000'),1,0)) AS NUM_REG_DIF,'"&amp;MAX('ID1&amp;5'!K:K)+1&amp;"' AS ID_EXEC, CURRENT_TIMESTAMP() AS TIME_EXEC FROM "&amp;I400,
IF(C400="Not applicable",+"SELECT '"&amp;UPPER(B400)&amp;"' AS TABELA, '"&amp;UPPER(C400)&amp;"' AS TIPOLOGIA_TESTE,'"&amp;D400&amp;"' AS TABELA_LT,'N/A' AS TABELA_SIMUL,'"&amp;F400&amp;"' AS CAMPO, "&amp;"'${ref_date}' AS REF_DATE, COUNT(*) AS NUM_REG, SUM(IF(TRIM(CAST(X."&amp;F400&amp;" AS STRING)) IN ('N/A','11111111111','11111111111.00','11111111111.000000','1111-11-11'),1,0)) AS NUM_REG_DIF,'"&amp;MAX('ID1&amp;5'!K:K)+1&amp;"' AS ID_EXEC, CURRENT_TIMESTAMP() AS TIME_EXEC FROM "&amp;I400,
IF(C400="Valores extremos",+"SELECT '"&amp;UPPER(B400)&amp;"' AS TABELA, '"&amp;UPPER(C400)&amp;"' AS TIPOLOGIA_TESTE,'"&amp;D400&amp;"' AS TABELA_LT,'N/A' AS TABELA_SIMUL,'"&amp;F400&amp;"' AS CAMPO, "&amp;"'${ref_date}' AS REF_DATE, CAST(MIN("&amp;F400&amp;") AS STRING) AS VALOR_MIN, CAST(MAX("&amp;F400&amp;") AS STRING) AS VALOR_MAX,'"&amp;MAX('ID1&amp;5'!K:K)+1&amp;"' AS ID_EXEC, CURRENT_TIMESTAMP() AS TIME_EXEC FROM "&amp;MID(I400,1,LEN(I400)-2)&amp;" AND CAST("&amp;F400&amp;"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TABELA_SIMUL,'entrprs_sz_le' AS CAMPO, '${ref_date}' AS REF_DATE, COUNT(*) AS NUM_REG, SUM(IF(COALESCE(CAST(X.entrprs_sz_le AS STRING),'')&lt;&gt;COALESCE(CAST(Y.entrprs_sz_le_SIMUL AS STRING),'') OR (X.entrprs_sz_le IS NULL AND Y.entrprs_sz_le_SIMUL IS NOT NULL ) OR (X.entrprs_sz_le IS NOT NULL AND Y.entrprs_sz_le_SIMUL IS NULL),1,0)) AS NUM_REG_DIF,'1' AS ID_EXEC, CURRENT_TIMESTAMP() AS TIME_EXEC FROM (SELECT entty_id, entrprs_sz_le FROM BU_LOANTAPE_WORK.LT003_ENTITY WHERE ref_date='${ref_date}' AND nome_perimetro='Individual Local' AND segmento='ESTR' AND ambito='SRB_MBDT' AND entidade='00100')X INNER JOIN (SELECT entty_id AS entty_id_SIMUL, entrprs_sz_le AS entrprs_sz_le_SIMUL FROM BU_LOANTAPE_WORK.SIMUL_LT003_ENTITY WHERE ref_date='${ref_date}' AND nome_perimetro='Individual Local' AND segmento='ESTR' AND ambito='PILAR3' AND entidade='00100')Y ON X.ENTTY_ID=Y.ENTTY_ID_SIMUL</v>
      </c>
      <c r="M400" s="36" t="str">
        <f t="shared" si="9"/>
        <v>UNION ALL SELECT 'ENTITY' AS TABELA, 'COERÊNCIA' AS TIPOLOGIA_TESTE,'BU_LOANTAPE_WORK.LT003_ENTITY' AS TABELA_LT,'BU_LOANTAPE_WORK.SIMUL_LT003_ENTITY' AS TABELA_SIMUL,'entrprs_sz_le' AS CAMPO, '${ref_date}' AS REF_DATE, COUNT(*) AS NUM_REG, SUM(IF(COALESCE(CAST(X.entrprs_sz_le AS STRING),'')&lt;&gt;COALESCE(CAST(Y.entrprs_sz_le_SIMUL AS STRING),'') OR (X.entrprs_sz_le IS NULL AND Y.entrprs_sz_le_SIMUL IS NOT NULL ) OR (X.entrprs_sz_le IS NOT NULL AND Y.entrprs_sz_le_SIMUL IS NULL),1,0)) AS NUM_REG_DIF,'1' AS ID_EXEC, CURRENT_TIMESTAMP() AS TIME_EXEC FROM (SELECT entty_id, entrprs_sz_le FROM BU_LOANTAPE_WORK.LT003_ENTITY WHERE ref_date='${ref_date}' AND nome_perimetro='Individual Local' AND segmento='ESTR' AND ambito='SRB_MBDT' AND entidade='00100')X INNER JOIN (SELECT entty_id AS entty_id_SIMUL, entrprs_sz_le AS entrprs_sz_le_SIMUL FROM BU_LOANTAPE_WORK.SIMUL_LT003_ENTITY WHERE ref_date='${ref_date}' AND nome_perimetro='Individual Local' AND segmento='ESTR' AND ambito='PILAR3' AND entidade='00100')Y ON X.ENTTY_ID=Y.ENTTY_ID_SIMUL</v>
      </c>
    </row>
    <row r="401" spans="2:13">
      <c r="B401" s="34" t="s">
        <v>118</v>
      </c>
      <c r="C401" s="34" t="s">
        <v>5</v>
      </c>
      <c r="D401" s="34" t="str">
        <f>+UPPER('0. Instruções'!$D$35&amp;"."&amp;VLOOKUP(B401,'0. Instruções'!$C$27:$D$32,2,FALSE))</f>
        <v>BU_LOANTAPE_WORK.LT003_ENTITY</v>
      </c>
      <c r="E401" s="34" t="str">
        <f>+UPPER('0. Instruções'!$D$36&amp;"."&amp;VLOOKUP(B401,'0. Instruções'!$C$27:$E$32,3,FALSE))</f>
        <v>BU_LOANTAPE_WORK.SIMUL_LT003_ENTITY</v>
      </c>
      <c r="F401" s="34" t="s">
        <v>1430</v>
      </c>
      <c r="G401" s="34"/>
      <c r="H401" s="34"/>
      <c r="I401" s="34" t="str">
        <f>"(SELECT "&amp;VLOOKUP(B401,'0. Instruções'!$C$27:$G$32,4,FALSE)&amp;", "&amp;F401&amp;" FROM "&amp;D401&amp;" WHERE "&amp;'0. Instruções'!$D$42&amp;")X"</f>
        <v>(SELECT entty_id, extrnl_rtng FROM BU_LOANTAPE_WORK.LT003_ENTITY WHERE ref_date='${ref_date}' AND nome_perimetro='Individual Local' AND segmento='ESTR' AND ambito='SRB_MBDT' AND entidade='00100')X</v>
      </c>
      <c r="J401" s="34" t="str">
        <f>"(SELECT "&amp;VLOOKUP(B401,'0. Instruções'!$C$27:$G$32,4,FALSE)&amp;" AS "&amp;VLOOKUP(B401,'0. Instruções'!$C$27:$G$32,4,FALSE)&amp;"_SIMUL, "&amp;F401&amp;" AS "&amp;F401&amp;"_SIMUL FROM "&amp;E401&amp;" WHERE "&amp;'0. Instruções'!$D$43&amp;")Y"</f>
        <v>(SELECT entty_id AS entty_id_SIMUL, extrnl_rtng AS extrnl_rtng_SIMUL FROM BU_LOANTAPE_WORK.SIMUL_LT003_ENTITY WHERE ref_date='${ref_date}' AND nome_perimetro='Individual Local' AND segmento='ESTR' AND ambito='PILAR3' AND entidade='00100')Y</v>
      </c>
      <c r="K401" s="35" t="str">
        <f>+UPPER("ON X."&amp;VLOOKUP(B401,'0. Instruções'!$C$27:$G$32,4,FALSE)&amp;"=Y."&amp;VLOOKUP(B401,'0. Instruções'!$C$27:$G$32,4,FALSE)&amp;"_SIMUL")</f>
        <v>ON X.ENTTY_ID=Y.ENTTY_ID_SIMUL</v>
      </c>
      <c r="L401" s="35" t="str">
        <f>+IF(C401="Coerência", +IF(LEFT(G401,5)="FLOAT","SELECT '"&amp;UPPER(B401)&amp;"' AS TABELA, '"&amp;UPPER(C401)&amp;"' AS TIPOLOGIA_TESTE,'"&amp;D401&amp;"' AS TABELA_LT,'"&amp;E401&amp;"' AS TABELA_SIMUL,'"&amp;F401&amp;"' AS CAMPO, "&amp;"'${ref_date}' AS REF_DATE, COUNT(*) AS NUM_REG, SUM(IF((ABS(COALESCE(CAST(X."&amp;F401&amp;" AS DECIMAL(18,6)),0)-COALESCE(CAST(Y."&amp;F401&amp;"_SIMUL AS DECIMAL(18,6)),0))&gt;0.000001) OR (X."&amp;F401&amp;" IS NULL AND Y."&amp;F401&amp;"_SIMUL IS NOT NULL ) OR (X."&amp;F401&amp;" IS NOT NULL AND Y."&amp;F401&amp;"_SIMUL IS NULL),1,0)) AS NUM_REG_DIF,'"&amp;MAX('ID1&amp;5'!K:K)+1&amp;"' AS ID_EXEC, CURRENT_TIMESTAMP() AS TIME_EXEC FROM "&amp;I401&amp;" INNER JOIN "&amp;J401&amp;" "&amp;K401,"SELECT '"&amp;UPPER(B401)&amp;"' AS TABELA, '"&amp;UPPER(C401)&amp;"' AS TIPOLOGIA_TESTE,'"&amp;D401&amp;"' AS TABELA_LT,'"&amp;E401&amp;"' AS TABELA_SIMUL,'"&amp;F401&amp;"' AS CAMPO, "&amp;"'${ref_date}' AS REF_DATE, COUNT(*) AS NUM_REG, SUM(IF(COALESCE(CAST(X."&amp;F401&amp;" AS STRING),'')&lt;&gt;COALESCE(CAST(Y."&amp;F401&amp;"_SIMUL AS STRING),'') OR (X."&amp;F401&amp;" IS NULL AND Y."&amp;F401&amp;"_SIMUL IS NOT NULL ) OR (X."&amp;F401&amp;" IS NOT NULL AND Y."&amp;F401&amp;"_SIMUL IS NULL),1,0)) AS NUM_REG_DIF,'"&amp;MAX('ID1&amp;5'!L:L)+1&amp;"' AS ID_EXEC, CURRENT_TIMESTAMP() AS TIME_EXEC FROM "&amp;I401&amp;" INNER JOIN "&amp;J401&amp;" "&amp;K401),
IF(C401="Validade",+IF(G401="Code List","SELECT '"&amp;UPPER(B401)&amp;"' AS TABELA, '"&amp;UPPER(C401)&amp;"' AS TIPOLOGIA_TESTE,'"&amp;D401&amp;"' AS TABELA_LT,'N/A' AS TABELA_SIMUL,'"&amp;F401&amp;"' AS CAMPO, "&amp;"'${ref_date}' AS REF_DATE, COUNT(*) AS NUM_REG, SUM(IF(TRIM(CAST(X."&amp;F401&amp;" AS STRING))='' OR TRIM(CAST(X."&amp;F401&amp;" AS STRING)) IS NULL OR CAST(X."&amp;F401&amp;" AS STRING) NOT "&amp;H401&amp;",1,0)) AS NUM_REG_DIF,'"&amp;MAX('ID1&amp;5'!K:K)+1&amp;"' AS ID_EXEC, CURRENT_TIMESTAMP() AS TIME_EXEC FROM "&amp;I401,"SELECT '"&amp;UPPER(B401)&amp;"' AS TABELA, '"&amp;UPPER(C401)&amp;"' AS TIPOLOGIA_TESTE,'"&amp;D401&amp;"' AS TABELA_LT,'N/A' AS TABELA_SIMUL,'"&amp;F401&amp;"' AS CAMPO, "&amp;"'${ref_date}' AS REF_DATE, COUNT(*) AS NUM_REG, SUM(IF(TRIM(CAST(X."&amp;F401&amp;" AS STRING))='' OR TRIM(CAST(X."&amp;F401&amp;" AS STRING)) IS NULL,1,0)) AS NUM_REG_DIF,'"&amp;MAX('ID1&amp;5'!K:K)+1&amp;"' AS ID_EXEC, CURRENT_TIMESTAMP() AS TIME_EXEC FROM "&amp;I401),
IF(C401="Caracteres Especiais",+"SELECT '"&amp;UPPER(B401)&amp;"' AS TABELA, '"&amp;UPPER(C401)&amp;"' AS TIPOLOGIA_TESTE,'"&amp;D401&amp;"' AS TABELA_LT,'N/A' AS TABELA_SIMUL,'"&amp;F401&amp;"' AS CAMPO, "&amp;"'${ref_date}' AS REF_DATE, COUNT(*) AS NUM_REG, SUM(IF(REGEXP_REPLACE(TRIM(CAST(X."&amp;F401&amp;" AS STRING)),'[^a-zA-Z0-9_\\s]','') &lt;&gt;TRIM(CAST(X."&amp;F401&amp;" AS STRING)),1,0)) AS NUM_REG_DIF,'"&amp;MAX('ID1&amp;5'!K:K)+1&amp;"' AS ID_EXEC, CURRENT_TIMESTAMP() AS TIME_EXEC FROM "&amp;I401,
IF(C401="Missings",+"SELECT '"&amp;UPPER(B401)&amp;"' AS TABELA, '"&amp;UPPER(C401)&amp;"' AS TIPOLOGIA_TESTE,'"&amp;D401&amp;"' AS TABELA_LT,'N/A' AS TABELA_SIMUL,'"&amp;F401&amp;"' AS CAMPO, "&amp;"'${ref_date}' AS REF_DATE, COUNT(*) AS NUM_REG, SUM(IF(TRIM(CAST(X."&amp;F401&amp;" AS STRING)) IN ('0000-00-00','0001-01-01','9999-12-31','MISS','00000','99999999999','99999999999.00','99999999999.000000'),1,0)) AS NUM_REG_DIF,'"&amp;MAX('ID1&amp;5'!K:K)+1&amp;"' AS ID_EXEC, CURRENT_TIMESTAMP() AS TIME_EXEC FROM "&amp;I401,
IF(C401="Not applicable",+"SELECT '"&amp;UPPER(B401)&amp;"' AS TABELA, '"&amp;UPPER(C401)&amp;"' AS TIPOLOGIA_TESTE,'"&amp;D401&amp;"' AS TABELA_LT,'N/A' AS TABELA_SIMUL,'"&amp;F401&amp;"' AS CAMPO, "&amp;"'${ref_date}' AS REF_DATE, COUNT(*) AS NUM_REG, SUM(IF(TRIM(CAST(X."&amp;F401&amp;" AS STRING)) IN ('N/A','11111111111','11111111111.00','11111111111.000000','1111-11-11'),1,0)) AS NUM_REG_DIF,'"&amp;MAX('ID1&amp;5'!K:K)+1&amp;"' AS ID_EXEC, CURRENT_TIMESTAMP() AS TIME_EXEC FROM "&amp;I401,
IF(C401="Valores extremos",+"SELECT '"&amp;UPPER(B401)&amp;"' AS TABELA, '"&amp;UPPER(C401)&amp;"' AS TIPOLOGIA_TESTE,'"&amp;D401&amp;"' AS TABELA_LT,'N/A' AS TABELA_SIMUL,'"&amp;F401&amp;"' AS CAMPO, "&amp;"'${ref_date}' AS REF_DATE, CAST(MIN("&amp;F401&amp;") AS STRING) AS VALOR_MIN, CAST(MAX("&amp;F401&amp;") AS STRING) AS VALOR_MAX,'"&amp;MAX('ID1&amp;5'!K:K)+1&amp;"' AS ID_EXEC, CURRENT_TIMESTAMP() AS TIME_EXEC FROM "&amp;MID(I401,1,LEN(I401)-2)&amp;" AND CAST("&amp;F401&amp;"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TABELA_SIMUL,'extrnl_rtng' AS CAMPO, '${ref_date}' AS REF_DATE, COUNT(*) AS NUM_REG, SUM(IF(COALESCE(CAST(X.extrnl_rtng AS STRING),'')&lt;&gt;COALESCE(CAST(Y.extrnl_rtng_SIMUL AS STRING),'') OR (X.extrnl_rtng IS NULL AND Y.extrnl_rtng_SIMUL IS NOT NULL ) OR (X.extrnl_rtng IS NOT NULL AND Y.extrnl_rtng_SIMUL IS NULL),1,0)) AS NUM_REG_DIF,'1' AS ID_EXEC, CURRENT_TIMESTAMP() AS TIME_EXEC FROM (SELECT entty_id, extrnl_rtng FROM BU_LOANTAPE_WORK.LT003_ENTITY WHERE ref_date='${ref_date}' AND nome_perimetro='Individual Local' AND segmento='ESTR' AND ambito='SRB_MBDT' AND entidade='00100')X INNER JOIN (SELECT entty_id AS entty_id_SIMUL, extrnl_rtng AS extrnl_rtng_SIMUL FROM BU_LOANTAPE_WORK.SIMUL_LT003_ENTITY WHERE ref_date='${ref_date}' AND nome_perimetro='Individual Local' AND segmento='ESTR' AND ambito='PILAR3' AND entidade='00100')Y ON X.ENTTY_ID=Y.ENTTY_ID_SIMUL</v>
      </c>
      <c r="M401" s="36" t="str">
        <f t="shared" si="9"/>
        <v>UNION ALL SELECT 'ENTITY' AS TABELA, 'COERÊNCIA' AS TIPOLOGIA_TESTE,'BU_LOANTAPE_WORK.LT003_ENTITY' AS TABELA_LT,'BU_LOANTAPE_WORK.SIMUL_LT003_ENTITY' AS TABELA_SIMUL,'extrnl_rtng' AS CAMPO, '${ref_date}' AS REF_DATE, COUNT(*) AS NUM_REG, SUM(IF(COALESCE(CAST(X.extrnl_rtng AS STRING),'')&lt;&gt;COALESCE(CAST(Y.extrnl_rtng_SIMUL AS STRING),'') OR (X.extrnl_rtng IS NULL AND Y.extrnl_rtng_SIMUL IS NOT NULL ) OR (X.extrnl_rtng IS NOT NULL AND Y.extrnl_rtng_SIMUL IS NULL),1,0)) AS NUM_REG_DIF,'1' AS ID_EXEC, CURRENT_TIMESTAMP() AS TIME_EXEC FROM (SELECT entty_id, extrnl_rtng FROM BU_LOANTAPE_WORK.LT003_ENTITY WHERE ref_date='${ref_date}' AND nome_perimetro='Individual Local' AND segmento='ESTR' AND ambito='SRB_MBDT' AND entidade='00100')X INNER JOIN (SELECT entty_id AS entty_id_SIMUL, extrnl_rtng AS extrnl_rtng_SIMUL FROM BU_LOANTAPE_WORK.SIMUL_LT003_ENTITY WHERE ref_date='${ref_date}' AND nome_perimetro='Individual Local' AND segmento='ESTR' AND ambito='PILAR3' AND entidade='00100')Y ON X.ENTTY_ID=Y.ENTTY_ID_SIMUL</v>
      </c>
    </row>
    <row r="402" spans="2:13">
      <c r="B402" s="34" t="s">
        <v>118</v>
      </c>
      <c r="C402" s="34" t="s">
        <v>5</v>
      </c>
      <c r="D402" s="34" t="str">
        <f>+UPPER('0. Instruções'!$D$35&amp;"."&amp;VLOOKUP(B402,'0. Instruções'!$C$27:$D$32,2,FALSE))</f>
        <v>BU_LOANTAPE_WORK.LT003_ENTITY</v>
      </c>
      <c r="E402" s="34" t="str">
        <f>+UPPER('0. Instruções'!$D$36&amp;"."&amp;VLOOKUP(B402,'0. Instruções'!$C$27:$E$32,3,FALSE))</f>
        <v>BU_LOANTAPE_WORK.SIMUL_LT003_ENTITY</v>
      </c>
      <c r="F402" s="34" t="s">
        <v>1431</v>
      </c>
      <c r="G402" s="34"/>
      <c r="H402" s="34"/>
      <c r="I402" s="34" t="str">
        <f>"(SELECT "&amp;VLOOKUP(B402,'0. Instruções'!$C$27:$G$32,4,FALSE)&amp;", "&amp;F402&amp;" FROM "&amp;D402&amp;" WHERE "&amp;'0. Instruções'!$D$42&amp;")X"</f>
        <v>(SELECT entty_id, extrnl_rtng_prvs FROM BU_LOANTAPE_WORK.LT003_ENTITY WHERE ref_date='${ref_date}' AND nome_perimetro='Individual Local' AND segmento='ESTR' AND ambito='SRB_MBDT' AND entidade='00100')X</v>
      </c>
      <c r="J402" s="34" t="str">
        <f>"(SELECT "&amp;VLOOKUP(B402,'0. Instruções'!$C$27:$G$32,4,FALSE)&amp;" AS "&amp;VLOOKUP(B402,'0. Instruções'!$C$27:$G$32,4,FALSE)&amp;"_SIMUL, "&amp;F402&amp;" AS "&amp;F402&amp;"_SIMUL FROM "&amp;E402&amp;" WHERE "&amp;'0. Instruções'!$D$43&amp;")Y"</f>
        <v>(SELECT entty_id AS entty_id_SIMUL, extrnl_rtng_prvs AS extrnl_rtng_prvs_SIMUL FROM BU_LOANTAPE_WORK.SIMUL_LT003_ENTITY WHERE ref_date='${ref_date}' AND nome_perimetro='Individual Local' AND segmento='ESTR' AND ambito='PILAR3' AND entidade='00100')Y</v>
      </c>
      <c r="K402" s="35" t="str">
        <f>+UPPER("ON X."&amp;VLOOKUP(B402,'0. Instruções'!$C$27:$G$32,4,FALSE)&amp;"=Y."&amp;VLOOKUP(B402,'0. Instruções'!$C$27:$G$32,4,FALSE)&amp;"_SIMUL")</f>
        <v>ON X.ENTTY_ID=Y.ENTTY_ID_SIMUL</v>
      </c>
      <c r="L402" s="35" t="str">
        <f>+IF(C402="Coerência", +IF(LEFT(G402,5)="FLOAT","SELECT '"&amp;UPPER(B402)&amp;"' AS TABELA, '"&amp;UPPER(C402)&amp;"' AS TIPOLOGIA_TESTE,'"&amp;D402&amp;"' AS TABELA_LT,'"&amp;E402&amp;"' AS TABELA_SIMUL,'"&amp;F402&amp;"' AS CAMPO, "&amp;"'${ref_date}' AS REF_DATE, COUNT(*) AS NUM_REG, SUM(IF((ABS(COALESCE(CAST(X."&amp;F402&amp;" AS DECIMAL(18,6)),0)-COALESCE(CAST(Y."&amp;F402&amp;"_SIMUL AS DECIMAL(18,6)),0))&gt;0.000001) OR (X."&amp;F402&amp;" IS NULL AND Y."&amp;F402&amp;"_SIMUL IS NOT NULL ) OR (X."&amp;F402&amp;" IS NOT NULL AND Y."&amp;F402&amp;"_SIMUL IS NULL),1,0)) AS NUM_REG_DIF,'"&amp;MAX('ID1&amp;5'!K:K)+1&amp;"' AS ID_EXEC, CURRENT_TIMESTAMP() AS TIME_EXEC FROM "&amp;I402&amp;" INNER JOIN "&amp;J402&amp;" "&amp;K402,"SELECT '"&amp;UPPER(B402)&amp;"' AS TABELA, '"&amp;UPPER(C402)&amp;"' AS TIPOLOGIA_TESTE,'"&amp;D402&amp;"' AS TABELA_LT,'"&amp;E402&amp;"' AS TABELA_SIMUL,'"&amp;F402&amp;"' AS CAMPO, "&amp;"'${ref_date}' AS REF_DATE, COUNT(*) AS NUM_REG, SUM(IF(COALESCE(CAST(X."&amp;F402&amp;" AS STRING),'')&lt;&gt;COALESCE(CAST(Y."&amp;F402&amp;"_SIMUL AS STRING),'') OR (X."&amp;F402&amp;" IS NULL AND Y."&amp;F402&amp;"_SIMUL IS NOT NULL ) OR (X."&amp;F402&amp;" IS NOT NULL AND Y."&amp;F402&amp;"_SIMUL IS NULL),1,0)) AS NUM_REG_DIF,'"&amp;MAX('ID1&amp;5'!L:L)+1&amp;"' AS ID_EXEC, CURRENT_TIMESTAMP() AS TIME_EXEC FROM "&amp;I402&amp;" INNER JOIN "&amp;J402&amp;" "&amp;K402),
IF(C402="Validade",+IF(G402="Code List","SELECT '"&amp;UPPER(B402)&amp;"' AS TABELA, '"&amp;UPPER(C402)&amp;"' AS TIPOLOGIA_TESTE,'"&amp;D402&amp;"' AS TABELA_LT,'N/A' AS TABELA_SIMUL,'"&amp;F402&amp;"' AS CAMPO, "&amp;"'${ref_date}' AS REF_DATE, COUNT(*) AS NUM_REG, SUM(IF(TRIM(CAST(X."&amp;F402&amp;" AS STRING))='' OR TRIM(CAST(X."&amp;F402&amp;" AS STRING)) IS NULL OR CAST(X."&amp;F402&amp;" AS STRING) NOT "&amp;H402&amp;",1,0)) AS NUM_REG_DIF,'"&amp;MAX('ID1&amp;5'!K:K)+1&amp;"' AS ID_EXEC, CURRENT_TIMESTAMP() AS TIME_EXEC FROM "&amp;I402,"SELECT '"&amp;UPPER(B402)&amp;"' AS TABELA, '"&amp;UPPER(C402)&amp;"' AS TIPOLOGIA_TESTE,'"&amp;D402&amp;"' AS TABELA_LT,'N/A' AS TABELA_SIMUL,'"&amp;F402&amp;"' AS CAMPO, "&amp;"'${ref_date}' AS REF_DATE, COUNT(*) AS NUM_REG, SUM(IF(TRIM(CAST(X."&amp;F402&amp;" AS STRING))='' OR TRIM(CAST(X."&amp;F402&amp;" AS STRING)) IS NULL,1,0)) AS NUM_REG_DIF,'"&amp;MAX('ID1&amp;5'!K:K)+1&amp;"' AS ID_EXEC, CURRENT_TIMESTAMP() AS TIME_EXEC FROM "&amp;I402),
IF(C402="Caracteres Especiais",+"SELECT '"&amp;UPPER(B402)&amp;"' AS TABELA, '"&amp;UPPER(C402)&amp;"' AS TIPOLOGIA_TESTE,'"&amp;D402&amp;"' AS TABELA_LT,'N/A' AS TABELA_SIMUL,'"&amp;F402&amp;"' AS CAMPO, "&amp;"'${ref_date}' AS REF_DATE, COUNT(*) AS NUM_REG, SUM(IF(REGEXP_REPLACE(TRIM(CAST(X."&amp;F402&amp;" AS STRING)),'[^a-zA-Z0-9_\\s]','') &lt;&gt;TRIM(CAST(X."&amp;F402&amp;" AS STRING)),1,0)) AS NUM_REG_DIF,'"&amp;MAX('ID1&amp;5'!K:K)+1&amp;"' AS ID_EXEC, CURRENT_TIMESTAMP() AS TIME_EXEC FROM "&amp;I402,
IF(C402="Missings",+"SELECT '"&amp;UPPER(B402)&amp;"' AS TABELA, '"&amp;UPPER(C402)&amp;"' AS TIPOLOGIA_TESTE,'"&amp;D402&amp;"' AS TABELA_LT,'N/A' AS TABELA_SIMUL,'"&amp;F402&amp;"' AS CAMPO, "&amp;"'${ref_date}' AS REF_DATE, COUNT(*) AS NUM_REG, SUM(IF(TRIM(CAST(X."&amp;F402&amp;" AS STRING)) IN ('0000-00-00','0001-01-01','9999-12-31','MISS','00000','99999999999','99999999999.00','99999999999.000000'),1,0)) AS NUM_REG_DIF,'"&amp;MAX('ID1&amp;5'!K:K)+1&amp;"' AS ID_EXEC, CURRENT_TIMESTAMP() AS TIME_EXEC FROM "&amp;I402,
IF(C402="Not applicable",+"SELECT '"&amp;UPPER(B402)&amp;"' AS TABELA, '"&amp;UPPER(C402)&amp;"' AS TIPOLOGIA_TESTE,'"&amp;D402&amp;"' AS TABELA_LT,'N/A' AS TABELA_SIMUL,'"&amp;F402&amp;"' AS CAMPO, "&amp;"'${ref_date}' AS REF_DATE, COUNT(*) AS NUM_REG, SUM(IF(TRIM(CAST(X."&amp;F402&amp;" AS STRING)) IN ('N/A','11111111111','11111111111.00','11111111111.000000','1111-11-11'),1,0)) AS NUM_REG_DIF,'"&amp;MAX('ID1&amp;5'!K:K)+1&amp;"' AS ID_EXEC, CURRENT_TIMESTAMP() AS TIME_EXEC FROM "&amp;I402,
IF(C402="Valores extremos",+"SELECT '"&amp;UPPER(B402)&amp;"' AS TABELA, '"&amp;UPPER(C402)&amp;"' AS TIPOLOGIA_TESTE,'"&amp;D402&amp;"' AS TABELA_LT,'N/A' AS TABELA_SIMUL,'"&amp;F402&amp;"' AS CAMPO, "&amp;"'${ref_date}' AS REF_DATE, CAST(MIN("&amp;F402&amp;") AS STRING) AS VALOR_MIN, CAST(MAX("&amp;F402&amp;") AS STRING) AS VALOR_MAX,'"&amp;MAX('ID1&amp;5'!K:K)+1&amp;"' AS ID_EXEC, CURRENT_TIMESTAMP() AS TIME_EXEC FROM "&amp;MID(I402,1,LEN(I402)-2)&amp;" AND CAST("&amp;F402&amp;"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TABELA_SIMUL,'extrnl_rtng_prvs' AS CAMPO, '${ref_date}' AS REF_DATE, COUNT(*) AS NUM_REG, SUM(IF(COALESCE(CAST(X.extrnl_rtng_prvs AS STRING),'')&lt;&gt;COALESCE(CAST(Y.extrnl_rtng_prvs_SIMUL AS STRING),'') OR (X.extrnl_rtng_prvs IS NULL AND Y.extrnl_rtng_prvs_SIMUL IS NOT NULL ) OR (X.extrnl_rtng_prvs IS NOT NULL AND Y.extrnl_rtng_prvs_SIMUL IS NULL),1,0)) AS NUM_REG_DIF,'1' AS ID_EXEC, CURRENT_TIMESTAMP() AS TIME_EXEC FROM (SELECT entty_id, extrnl_rtng_prvs FROM BU_LOANTAPE_WORK.LT003_ENTITY WHERE ref_date='${ref_date}' AND nome_perimetro='Individual Local' AND segmento='ESTR' AND ambito='SRB_MBDT' AND entidade='00100')X INNER JOIN (SELECT entty_id AS entty_id_SIMUL, extrnl_rtng_prvs AS extrnl_rtng_prvs_SIMUL FROM BU_LOANTAPE_WORK.SIMUL_LT003_ENTITY WHERE ref_date='${ref_date}' AND nome_perimetro='Individual Local' AND segmento='ESTR' AND ambito='PILAR3' AND entidade='00100')Y ON X.ENTTY_ID=Y.ENTTY_ID_SIMUL</v>
      </c>
      <c r="M402" s="36" t="str">
        <f t="shared" si="9"/>
        <v>UNION ALL SELECT 'ENTITY' AS TABELA, 'COERÊNCIA' AS TIPOLOGIA_TESTE,'BU_LOANTAPE_WORK.LT003_ENTITY' AS TABELA_LT,'BU_LOANTAPE_WORK.SIMUL_LT003_ENTITY' AS TABELA_SIMUL,'extrnl_rtng_prvs' AS CAMPO, '${ref_date}' AS REF_DATE, COUNT(*) AS NUM_REG, SUM(IF(COALESCE(CAST(X.extrnl_rtng_prvs AS STRING),'')&lt;&gt;COALESCE(CAST(Y.extrnl_rtng_prvs_SIMUL AS STRING),'') OR (X.extrnl_rtng_prvs IS NULL AND Y.extrnl_rtng_prvs_SIMUL IS NOT NULL ) OR (X.extrnl_rtng_prvs IS NOT NULL AND Y.extrnl_rtng_prvs_SIMUL IS NULL),1,0)) AS NUM_REG_DIF,'1' AS ID_EXEC, CURRENT_TIMESTAMP() AS TIME_EXEC FROM (SELECT entty_id, extrnl_rtng_prvs FROM BU_LOANTAPE_WORK.LT003_ENTITY WHERE ref_date='${ref_date}' AND nome_perimetro='Individual Local' AND segmento='ESTR' AND ambito='SRB_MBDT' AND entidade='00100')X INNER JOIN (SELECT entty_id AS entty_id_SIMUL, extrnl_rtng_prvs AS extrnl_rtng_prvs_SIMUL FROM BU_LOANTAPE_WORK.SIMUL_LT003_ENTITY WHERE ref_date='${ref_date}' AND nome_perimetro='Individual Local' AND segmento='ESTR' AND ambito='PILAR3' AND entidade='00100')Y ON X.ENTTY_ID=Y.ENTTY_ID_SIMUL</v>
      </c>
    </row>
    <row r="403" spans="2:13">
      <c r="B403" s="34" t="s">
        <v>118</v>
      </c>
      <c r="C403" s="34" t="s">
        <v>5</v>
      </c>
      <c r="D403" s="34" t="str">
        <f>+UPPER('0. Instruções'!$D$35&amp;"."&amp;VLOOKUP(B403,'0. Instruções'!$C$27:$D$32,2,FALSE))</f>
        <v>BU_LOANTAPE_WORK.LT003_ENTITY</v>
      </c>
      <c r="E403" s="34" t="str">
        <f>+UPPER('0. Instruções'!$D$36&amp;"."&amp;VLOOKUP(B403,'0. Instruções'!$C$27:$E$32,3,FALSE))</f>
        <v>BU_LOANTAPE_WORK.SIMUL_LT003_ENTITY</v>
      </c>
      <c r="F403" s="34" t="s">
        <v>1432</v>
      </c>
      <c r="G403" s="34"/>
      <c r="H403" s="34"/>
      <c r="I403" s="34" t="str">
        <f>"(SELECT "&amp;VLOOKUP(B403,'0. Instruções'!$C$27:$G$32,4,FALSE)&amp;", "&amp;F403&amp;" FROM "&amp;D403&amp;" WHERE "&amp;'0. Instruções'!$D$42&amp;")X"</f>
        <v>(SELECT entty_id, flg_bnkrptcy_in_grp FROM BU_LOANTAPE_WORK.LT003_ENTITY WHERE ref_date='${ref_date}' AND nome_perimetro='Individual Local' AND segmento='ESTR' AND ambito='SRB_MBDT' AND entidade='00100')X</v>
      </c>
      <c r="J403" s="34" t="str">
        <f>"(SELECT "&amp;VLOOKUP(B403,'0. Instruções'!$C$27:$G$32,4,FALSE)&amp;" AS "&amp;VLOOKUP(B403,'0. Instruções'!$C$27:$G$32,4,FALSE)&amp;"_SIMUL, "&amp;F403&amp;" AS "&amp;F403&amp;"_SIMUL FROM "&amp;E403&amp;" WHERE "&amp;'0. Instruções'!$D$43&amp;")Y"</f>
        <v>(SELECT entty_id AS entty_id_SIMUL, flg_bnkrptcy_in_grp AS flg_bnkrptcy_in_grp_SIMUL FROM BU_LOANTAPE_WORK.SIMUL_LT003_ENTITY WHERE ref_date='${ref_date}' AND nome_perimetro='Individual Local' AND segmento='ESTR' AND ambito='PILAR3' AND entidade='00100')Y</v>
      </c>
      <c r="K403" s="35" t="str">
        <f>+UPPER("ON X."&amp;VLOOKUP(B403,'0. Instruções'!$C$27:$G$32,4,FALSE)&amp;"=Y."&amp;VLOOKUP(B403,'0. Instruções'!$C$27:$G$32,4,FALSE)&amp;"_SIMUL")</f>
        <v>ON X.ENTTY_ID=Y.ENTTY_ID_SIMUL</v>
      </c>
      <c r="L403" s="35" t="str">
        <f>+IF(C403="Coerência", +IF(LEFT(G403,5)="FLOAT","SELECT '"&amp;UPPER(B403)&amp;"' AS TABELA, '"&amp;UPPER(C403)&amp;"' AS TIPOLOGIA_TESTE,'"&amp;D403&amp;"' AS TABELA_LT,'"&amp;E403&amp;"' AS TABELA_SIMUL,'"&amp;F403&amp;"' AS CAMPO, "&amp;"'${ref_date}' AS REF_DATE, COUNT(*) AS NUM_REG, SUM(IF((ABS(COALESCE(CAST(X."&amp;F403&amp;" AS DECIMAL(18,6)),0)-COALESCE(CAST(Y."&amp;F403&amp;"_SIMUL AS DECIMAL(18,6)),0))&gt;0.000001) OR (X."&amp;F403&amp;" IS NULL AND Y."&amp;F403&amp;"_SIMUL IS NOT NULL ) OR (X."&amp;F403&amp;" IS NOT NULL AND Y."&amp;F403&amp;"_SIMUL IS NULL),1,0)) AS NUM_REG_DIF,'"&amp;MAX('ID1&amp;5'!K:K)+1&amp;"' AS ID_EXEC, CURRENT_TIMESTAMP() AS TIME_EXEC FROM "&amp;I403&amp;" INNER JOIN "&amp;J403&amp;" "&amp;K403,"SELECT '"&amp;UPPER(B403)&amp;"' AS TABELA, '"&amp;UPPER(C403)&amp;"' AS TIPOLOGIA_TESTE,'"&amp;D403&amp;"' AS TABELA_LT,'"&amp;E403&amp;"' AS TABELA_SIMUL,'"&amp;F403&amp;"' AS CAMPO, "&amp;"'${ref_date}' AS REF_DATE, COUNT(*) AS NUM_REG, SUM(IF(COALESCE(CAST(X."&amp;F403&amp;" AS STRING),'')&lt;&gt;COALESCE(CAST(Y."&amp;F403&amp;"_SIMUL AS STRING),'') OR (X."&amp;F403&amp;" IS NULL AND Y."&amp;F403&amp;"_SIMUL IS NOT NULL ) OR (X."&amp;F403&amp;" IS NOT NULL AND Y."&amp;F403&amp;"_SIMUL IS NULL),1,0)) AS NUM_REG_DIF,'"&amp;MAX('ID1&amp;5'!L:L)+1&amp;"' AS ID_EXEC, CURRENT_TIMESTAMP() AS TIME_EXEC FROM "&amp;I403&amp;" INNER JOIN "&amp;J403&amp;" "&amp;K403),
IF(C403="Validade",+IF(G403="Code List","SELECT '"&amp;UPPER(B403)&amp;"' AS TABELA, '"&amp;UPPER(C403)&amp;"' AS TIPOLOGIA_TESTE,'"&amp;D403&amp;"' AS TABELA_LT,'N/A' AS TABELA_SIMUL,'"&amp;F403&amp;"' AS CAMPO, "&amp;"'${ref_date}' AS REF_DATE, COUNT(*) AS NUM_REG, SUM(IF(TRIM(CAST(X."&amp;F403&amp;" AS STRING))='' OR TRIM(CAST(X."&amp;F403&amp;" AS STRING)) IS NULL OR CAST(X."&amp;F403&amp;" AS STRING) NOT "&amp;H403&amp;",1,0)) AS NUM_REG_DIF,'"&amp;MAX('ID1&amp;5'!K:K)+1&amp;"' AS ID_EXEC, CURRENT_TIMESTAMP() AS TIME_EXEC FROM "&amp;I403,"SELECT '"&amp;UPPER(B403)&amp;"' AS TABELA, '"&amp;UPPER(C403)&amp;"' AS TIPOLOGIA_TESTE,'"&amp;D403&amp;"' AS TABELA_LT,'N/A' AS TABELA_SIMUL,'"&amp;F403&amp;"' AS CAMPO, "&amp;"'${ref_date}' AS REF_DATE, COUNT(*) AS NUM_REG, SUM(IF(TRIM(CAST(X."&amp;F403&amp;" AS STRING))='' OR TRIM(CAST(X."&amp;F403&amp;" AS STRING)) IS NULL,1,0)) AS NUM_REG_DIF,'"&amp;MAX('ID1&amp;5'!K:K)+1&amp;"' AS ID_EXEC, CURRENT_TIMESTAMP() AS TIME_EXEC FROM "&amp;I403),
IF(C403="Caracteres Especiais",+"SELECT '"&amp;UPPER(B403)&amp;"' AS TABELA, '"&amp;UPPER(C403)&amp;"' AS TIPOLOGIA_TESTE,'"&amp;D403&amp;"' AS TABELA_LT,'N/A' AS TABELA_SIMUL,'"&amp;F403&amp;"' AS CAMPO, "&amp;"'${ref_date}' AS REF_DATE, COUNT(*) AS NUM_REG, SUM(IF(REGEXP_REPLACE(TRIM(CAST(X."&amp;F403&amp;" AS STRING)),'[^a-zA-Z0-9_\\s]','') &lt;&gt;TRIM(CAST(X."&amp;F403&amp;" AS STRING)),1,0)) AS NUM_REG_DIF,'"&amp;MAX('ID1&amp;5'!K:K)+1&amp;"' AS ID_EXEC, CURRENT_TIMESTAMP() AS TIME_EXEC FROM "&amp;I403,
IF(C403="Missings",+"SELECT '"&amp;UPPER(B403)&amp;"' AS TABELA, '"&amp;UPPER(C403)&amp;"' AS TIPOLOGIA_TESTE,'"&amp;D403&amp;"' AS TABELA_LT,'N/A' AS TABELA_SIMUL,'"&amp;F403&amp;"' AS CAMPO, "&amp;"'${ref_date}' AS REF_DATE, COUNT(*) AS NUM_REG, SUM(IF(TRIM(CAST(X."&amp;F403&amp;" AS STRING)) IN ('0000-00-00','0001-01-01','9999-12-31','MISS','00000','99999999999','99999999999.00','99999999999.000000'),1,0)) AS NUM_REG_DIF,'"&amp;MAX('ID1&amp;5'!K:K)+1&amp;"' AS ID_EXEC, CURRENT_TIMESTAMP() AS TIME_EXEC FROM "&amp;I403,
IF(C403="Not applicable",+"SELECT '"&amp;UPPER(B403)&amp;"' AS TABELA, '"&amp;UPPER(C403)&amp;"' AS TIPOLOGIA_TESTE,'"&amp;D403&amp;"' AS TABELA_LT,'N/A' AS TABELA_SIMUL,'"&amp;F403&amp;"' AS CAMPO, "&amp;"'${ref_date}' AS REF_DATE, COUNT(*) AS NUM_REG, SUM(IF(TRIM(CAST(X."&amp;F403&amp;" AS STRING)) IN ('N/A','11111111111','11111111111.00','11111111111.000000','1111-11-11'),1,0)) AS NUM_REG_DIF,'"&amp;MAX('ID1&amp;5'!K:K)+1&amp;"' AS ID_EXEC, CURRENT_TIMESTAMP() AS TIME_EXEC FROM "&amp;I403,
IF(C403="Valores extremos",+"SELECT '"&amp;UPPER(B403)&amp;"' AS TABELA, '"&amp;UPPER(C403)&amp;"' AS TIPOLOGIA_TESTE,'"&amp;D403&amp;"' AS TABELA_LT,'N/A' AS TABELA_SIMUL,'"&amp;F403&amp;"' AS CAMPO, "&amp;"'${ref_date}' AS REF_DATE, CAST(MIN("&amp;F403&amp;") AS STRING) AS VALOR_MIN, CAST(MAX("&amp;F403&amp;") AS STRING) AS VALOR_MAX,'"&amp;MAX('ID1&amp;5'!K:K)+1&amp;"' AS ID_EXEC, CURRENT_TIMESTAMP() AS TIME_EXEC FROM "&amp;MID(I403,1,LEN(I403)-2)&amp;" AND CAST("&amp;F403&amp;"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TABELA_SIMUL,'flg_bnkrptcy_in_grp' AS CAMPO, '${ref_date}' AS REF_DATE, COUNT(*) AS NUM_REG, SUM(IF(COALESCE(CAST(X.flg_bnkrptcy_in_grp AS STRING),'')&lt;&gt;COALESCE(CAST(Y.flg_bnkrptcy_in_grp_SIMUL AS STRING),'') OR (X.flg_bnkrptcy_in_grp IS NULL AND Y.flg_bnkrptcy_in_grp_SIMUL IS NOT NULL ) OR (X.flg_bnkrptcy_in_grp IS NOT NULL AND Y.flg_bnkrptcy_in_grp_SIMUL IS NULL),1,0)) AS NUM_REG_DIF,'1' AS ID_EXEC, CURRENT_TIMESTAMP() AS TIME_EXEC FROM (SELECT entty_id, flg_bnkrptcy_in_grp FROM BU_LOANTAPE_WORK.LT003_ENTITY WHERE ref_date='${ref_date}' AND nome_perimetro='Individual Local' AND segmento='ESTR' AND ambito='SRB_MBDT' AND entidade='00100')X INNER JOIN (SELECT entty_id AS entty_id_SIMUL, flg_bnkrptcy_in_grp AS flg_bnkrptcy_in_grp_SIMUL FROM BU_LOANTAPE_WORK.SIMUL_LT003_ENTITY WHERE ref_date='${ref_date}' AND nome_perimetro='Individual Local' AND segmento='ESTR' AND ambito='PILAR3' AND entidade='00100')Y ON X.ENTTY_ID=Y.ENTTY_ID_SIMUL</v>
      </c>
      <c r="M403" s="36" t="str">
        <f t="shared" si="9"/>
        <v>UNION ALL SELECT 'ENTITY' AS TABELA, 'COERÊNCIA' AS TIPOLOGIA_TESTE,'BU_LOANTAPE_WORK.LT003_ENTITY' AS TABELA_LT,'BU_LOANTAPE_WORK.SIMUL_LT003_ENTITY' AS TABELA_SIMUL,'flg_bnkrptcy_in_grp' AS CAMPO, '${ref_date}' AS REF_DATE, COUNT(*) AS NUM_REG, SUM(IF(COALESCE(CAST(X.flg_bnkrptcy_in_grp AS STRING),'')&lt;&gt;COALESCE(CAST(Y.flg_bnkrptcy_in_grp_SIMUL AS STRING),'') OR (X.flg_bnkrptcy_in_grp IS NULL AND Y.flg_bnkrptcy_in_grp_SIMUL IS NOT NULL ) OR (X.flg_bnkrptcy_in_grp IS NOT NULL AND Y.flg_bnkrptcy_in_grp_SIMUL IS NULL),1,0)) AS NUM_REG_DIF,'1' AS ID_EXEC, CURRENT_TIMESTAMP() AS TIME_EXEC FROM (SELECT entty_id, flg_bnkrptcy_in_grp FROM BU_LOANTAPE_WORK.LT003_ENTITY WHERE ref_date='${ref_date}' AND nome_perimetro='Individual Local' AND segmento='ESTR' AND ambito='SRB_MBDT' AND entidade='00100')X INNER JOIN (SELECT entty_id AS entty_id_SIMUL, flg_bnkrptcy_in_grp AS flg_bnkrptcy_in_grp_SIMUL FROM BU_LOANTAPE_WORK.SIMUL_LT003_ENTITY WHERE ref_date='${ref_date}' AND nome_perimetro='Individual Local' AND segmento='ESTR' AND ambito='PILAR3' AND entidade='00100')Y ON X.ENTTY_ID=Y.ENTTY_ID_SIMUL</v>
      </c>
    </row>
    <row r="404" spans="2:13">
      <c r="B404" s="34" t="s">
        <v>118</v>
      </c>
      <c r="C404" s="34" t="s">
        <v>5</v>
      </c>
      <c r="D404" s="34" t="str">
        <f>+UPPER('0. Instruções'!$D$35&amp;"."&amp;VLOOKUP(B404,'0. Instruções'!$C$27:$D$32,2,FALSE))</f>
        <v>BU_LOANTAPE_WORK.LT003_ENTITY</v>
      </c>
      <c r="E404" s="34" t="str">
        <f>+UPPER('0. Instruções'!$D$36&amp;"."&amp;VLOOKUP(B404,'0. Instruções'!$C$27:$E$32,3,FALSE))</f>
        <v>BU_LOANTAPE_WORK.SIMUL_LT003_ENTITY</v>
      </c>
      <c r="F404" s="34" t="s">
        <v>1433</v>
      </c>
      <c r="G404" s="34"/>
      <c r="H404" s="34"/>
      <c r="I404" s="34" t="str">
        <f>"(SELECT "&amp;VLOOKUP(B404,'0. Instruções'!$C$27:$G$32,4,FALSE)&amp;", "&amp;F404&amp;" FROM "&amp;D404&amp;" WHERE "&amp;'0. Instruções'!$D$42&amp;")X"</f>
        <v>(SELECT entty_id, flg_hgh_cds FROM BU_LOANTAPE_WORK.LT003_ENTITY WHERE ref_date='${ref_date}' AND nome_perimetro='Individual Local' AND segmento='ESTR' AND ambito='SRB_MBDT' AND entidade='00100')X</v>
      </c>
      <c r="J404" s="34" t="str">
        <f>"(SELECT "&amp;VLOOKUP(B404,'0. Instruções'!$C$27:$G$32,4,FALSE)&amp;" AS "&amp;VLOOKUP(B404,'0. Instruções'!$C$27:$G$32,4,FALSE)&amp;"_SIMUL, "&amp;F404&amp;" AS "&amp;F404&amp;"_SIMUL FROM "&amp;E404&amp;" WHERE "&amp;'0. Instruções'!$D$43&amp;")Y"</f>
        <v>(SELECT entty_id AS entty_id_SIMUL, flg_hgh_cds AS flg_hgh_cds_SIMUL FROM BU_LOANTAPE_WORK.SIMUL_LT003_ENTITY WHERE ref_date='${ref_date}' AND nome_perimetro='Individual Local' AND segmento='ESTR' AND ambito='PILAR3' AND entidade='00100')Y</v>
      </c>
      <c r="K404" s="35" t="str">
        <f>+UPPER("ON X."&amp;VLOOKUP(B404,'0. Instruções'!$C$27:$G$32,4,FALSE)&amp;"=Y."&amp;VLOOKUP(B404,'0. Instruções'!$C$27:$G$32,4,FALSE)&amp;"_SIMUL")</f>
        <v>ON X.ENTTY_ID=Y.ENTTY_ID_SIMUL</v>
      </c>
      <c r="L404" s="35" t="str">
        <f>+IF(C404="Coerência", +IF(LEFT(G404,5)="FLOAT","SELECT '"&amp;UPPER(B404)&amp;"' AS TABELA, '"&amp;UPPER(C404)&amp;"' AS TIPOLOGIA_TESTE,'"&amp;D404&amp;"' AS TABELA_LT,'"&amp;E404&amp;"' AS TABELA_SIMUL,'"&amp;F404&amp;"' AS CAMPO, "&amp;"'${ref_date}' AS REF_DATE, COUNT(*) AS NUM_REG, SUM(IF((ABS(COALESCE(CAST(X."&amp;F404&amp;" AS DECIMAL(18,6)),0)-COALESCE(CAST(Y."&amp;F404&amp;"_SIMUL AS DECIMAL(18,6)),0))&gt;0.000001) OR (X."&amp;F404&amp;" IS NULL AND Y."&amp;F404&amp;"_SIMUL IS NOT NULL ) OR (X."&amp;F404&amp;" IS NOT NULL AND Y."&amp;F404&amp;"_SIMUL IS NULL),1,0)) AS NUM_REG_DIF,'"&amp;MAX('ID1&amp;5'!K:K)+1&amp;"' AS ID_EXEC, CURRENT_TIMESTAMP() AS TIME_EXEC FROM "&amp;I404&amp;" INNER JOIN "&amp;J404&amp;" "&amp;K404,"SELECT '"&amp;UPPER(B404)&amp;"' AS TABELA, '"&amp;UPPER(C404)&amp;"' AS TIPOLOGIA_TESTE,'"&amp;D404&amp;"' AS TABELA_LT,'"&amp;E404&amp;"' AS TABELA_SIMUL,'"&amp;F404&amp;"' AS CAMPO, "&amp;"'${ref_date}' AS REF_DATE, COUNT(*) AS NUM_REG, SUM(IF(COALESCE(CAST(X."&amp;F404&amp;" AS STRING),'')&lt;&gt;COALESCE(CAST(Y."&amp;F404&amp;"_SIMUL AS STRING),'') OR (X."&amp;F404&amp;" IS NULL AND Y."&amp;F404&amp;"_SIMUL IS NOT NULL ) OR (X."&amp;F404&amp;" IS NOT NULL AND Y."&amp;F404&amp;"_SIMUL IS NULL),1,0)) AS NUM_REG_DIF,'"&amp;MAX('ID1&amp;5'!L:L)+1&amp;"' AS ID_EXEC, CURRENT_TIMESTAMP() AS TIME_EXEC FROM "&amp;I404&amp;" INNER JOIN "&amp;J404&amp;" "&amp;K404),
IF(C404="Validade",+IF(G404="Code List","SELECT '"&amp;UPPER(B404)&amp;"' AS TABELA, '"&amp;UPPER(C404)&amp;"' AS TIPOLOGIA_TESTE,'"&amp;D404&amp;"' AS TABELA_LT,'N/A' AS TABELA_SIMUL,'"&amp;F404&amp;"' AS CAMPO, "&amp;"'${ref_date}' AS REF_DATE, COUNT(*) AS NUM_REG, SUM(IF(TRIM(CAST(X."&amp;F404&amp;" AS STRING))='' OR TRIM(CAST(X."&amp;F404&amp;" AS STRING)) IS NULL OR CAST(X."&amp;F404&amp;" AS STRING) NOT "&amp;H404&amp;",1,0)) AS NUM_REG_DIF,'"&amp;MAX('ID1&amp;5'!K:K)+1&amp;"' AS ID_EXEC, CURRENT_TIMESTAMP() AS TIME_EXEC FROM "&amp;I404,"SELECT '"&amp;UPPER(B404)&amp;"' AS TABELA, '"&amp;UPPER(C404)&amp;"' AS TIPOLOGIA_TESTE,'"&amp;D404&amp;"' AS TABELA_LT,'N/A' AS TABELA_SIMUL,'"&amp;F404&amp;"' AS CAMPO, "&amp;"'${ref_date}' AS REF_DATE, COUNT(*) AS NUM_REG, SUM(IF(TRIM(CAST(X."&amp;F404&amp;" AS STRING))='' OR TRIM(CAST(X."&amp;F404&amp;" AS STRING)) IS NULL,1,0)) AS NUM_REG_DIF,'"&amp;MAX('ID1&amp;5'!K:K)+1&amp;"' AS ID_EXEC, CURRENT_TIMESTAMP() AS TIME_EXEC FROM "&amp;I404),
IF(C404="Caracteres Especiais",+"SELECT '"&amp;UPPER(B404)&amp;"' AS TABELA, '"&amp;UPPER(C404)&amp;"' AS TIPOLOGIA_TESTE,'"&amp;D404&amp;"' AS TABELA_LT,'N/A' AS TABELA_SIMUL,'"&amp;F404&amp;"' AS CAMPO, "&amp;"'${ref_date}' AS REF_DATE, COUNT(*) AS NUM_REG, SUM(IF(REGEXP_REPLACE(TRIM(CAST(X."&amp;F404&amp;" AS STRING)),'[^a-zA-Z0-9_\\s]','') &lt;&gt;TRIM(CAST(X."&amp;F404&amp;" AS STRING)),1,0)) AS NUM_REG_DIF,'"&amp;MAX('ID1&amp;5'!K:K)+1&amp;"' AS ID_EXEC, CURRENT_TIMESTAMP() AS TIME_EXEC FROM "&amp;I404,
IF(C404="Missings",+"SELECT '"&amp;UPPER(B404)&amp;"' AS TABELA, '"&amp;UPPER(C404)&amp;"' AS TIPOLOGIA_TESTE,'"&amp;D404&amp;"' AS TABELA_LT,'N/A' AS TABELA_SIMUL,'"&amp;F404&amp;"' AS CAMPO, "&amp;"'${ref_date}' AS REF_DATE, COUNT(*) AS NUM_REG, SUM(IF(TRIM(CAST(X."&amp;F404&amp;" AS STRING)) IN ('0000-00-00','0001-01-01','9999-12-31','MISS','00000','99999999999','99999999999.00','99999999999.000000'),1,0)) AS NUM_REG_DIF,'"&amp;MAX('ID1&amp;5'!K:K)+1&amp;"' AS ID_EXEC, CURRENT_TIMESTAMP() AS TIME_EXEC FROM "&amp;I404,
IF(C404="Not applicable",+"SELECT '"&amp;UPPER(B404)&amp;"' AS TABELA, '"&amp;UPPER(C404)&amp;"' AS TIPOLOGIA_TESTE,'"&amp;D404&amp;"' AS TABELA_LT,'N/A' AS TABELA_SIMUL,'"&amp;F404&amp;"' AS CAMPO, "&amp;"'${ref_date}' AS REF_DATE, COUNT(*) AS NUM_REG, SUM(IF(TRIM(CAST(X."&amp;F404&amp;" AS STRING)) IN ('N/A','11111111111','11111111111.00','11111111111.000000','1111-11-11'),1,0)) AS NUM_REG_DIF,'"&amp;MAX('ID1&amp;5'!K:K)+1&amp;"' AS ID_EXEC, CURRENT_TIMESTAMP() AS TIME_EXEC FROM "&amp;I404,
IF(C404="Valores extremos",+"SELECT '"&amp;UPPER(B404)&amp;"' AS TABELA, '"&amp;UPPER(C404)&amp;"' AS TIPOLOGIA_TESTE,'"&amp;D404&amp;"' AS TABELA_LT,'N/A' AS TABELA_SIMUL,'"&amp;F404&amp;"' AS CAMPO, "&amp;"'${ref_date}' AS REF_DATE, CAST(MIN("&amp;F404&amp;") AS STRING) AS VALOR_MIN, CAST(MAX("&amp;F404&amp;") AS STRING) AS VALOR_MAX,'"&amp;MAX('ID1&amp;5'!K:K)+1&amp;"' AS ID_EXEC, CURRENT_TIMESTAMP() AS TIME_EXEC FROM "&amp;MID(I404,1,LEN(I404)-2)&amp;" AND CAST("&amp;F404&amp;"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TABELA_SIMUL,'flg_hgh_cds' AS CAMPO, '${ref_date}' AS REF_DATE, COUNT(*) AS NUM_REG, SUM(IF(COALESCE(CAST(X.flg_hgh_cds AS STRING),'')&lt;&gt;COALESCE(CAST(Y.flg_hgh_cds_SIMUL AS STRING),'') OR (X.flg_hgh_cds IS NULL AND Y.flg_hgh_cds_SIMUL IS NOT NULL ) OR (X.flg_hgh_cds IS NOT NULL AND Y.flg_hgh_cds_SIMUL IS NULL),1,0)) AS NUM_REG_DIF,'1' AS ID_EXEC, CURRENT_TIMESTAMP() AS TIME_EXEC FROM (SELECT entty_id, flg_hgh_cds FROM BU_LOANTAPE_WORK.LT003_ENTITY WHERE ref_date='${ref_date}' AND nome_perimetro='Individual Local' AND segmento='ESTR' AND ambito='SRB_MBDT' AND entidade='00100')X INNER JOIN (SELECT entty_id AS entty_id_SIMUL, flg_hgh_cds AS flg_hgh_cds_SIMUL FROM BU_LOANTAPE_WORK.SIMUL_LT003_ENTITY WHERE ref_date='${ref_date}' AND nome_perimetro='Individual Local' AND segmento='ESTR' AND ambito='PILAR3' AND entidade='00100')Y ON X.ENTTY_ID=Y.ENTTY_ID_SIMUL</v>
      </c>
      <c r="M404" s="36" t="str">
        <f t="shared" si="9"/>
        <v>UNION ALL SELECT 'ENTITY' AS TABELA, 'COERÊNCIA' AS TIPOLOGIA_TESTE,'BU_LOANTAPE_WORK.LT003_ENTITY' AS TABELA_LT,'BU_LOANTAPE_WORK.SIMUL_LT003_ENTITY' AS TABELA_SIMUL,'flg_hgh_cds' AS CAMPO, '${ref_date}' AS REF_DATE, COUNT(*) AS NUM_REG, SUM(IF(COALESCE(CAST(X.flg_hgh_cds AS STRING),'')&lt;&gt;COALESCE(CAST(Y.flg_hgh_cds_SIMUL AS STRING),'') OR (X.flg_hgh_cds IS NULL AND Y.flg_hgh_cds_SIMUL IS NOT NULL ) OR (X.flg_hgh_cds IS NOT NULL AND Y.flg_hgh_cds_SIMUL IS NULL),1,0)) AS NUM_REG_DIF,'1' AS ID_EXEC, CURRENT_TIMESTAMP() AS TIME_EXEC FROM (SELECT entty_id, flg_hgh_cds FROM BU_LOANTAPE_WORK.LT003_ENTITY WHERE ref_date='${ref_date}' AND nome_perimetro='Individual Local' AND segmento='ESTR' AND ambito='SRB_MBDT' AND entidade='00100')X INNER JOIN (SELECT entty_id AS entty_id_SIMUL, flg_hgh_cds AS flg_hgh_cds_SIMUL FROM BU_LOANTAPE_WORK.SIMUL_LT003_ENTITY WHERE ref_date='${ref_date}' AND nome_perimetro='Individual Local' AND segmento='ESTR' AND ambito='PILAR3' AND entidade='00100')Y ON X.ENTTY_ID=Y.ENTTY_ID_SIMUL</v>
      </c>
    </row>
    <row r="405" spans="2:13">
      <c r="B405" s="34" t="s">
        <v>118</v>
      </c>
      <c r="C405" s="34" t="s">
        <v>5</v>
      </c>
      <c r="D405" s="34" t="str">
        <f>+UPPER('0. Instruções'!$D$35&amp;"."&amp;VLOOKUP(B405,'0. Instruções'!$C$27:$D$32,2,FALSE))</f>
        <v>BU_LOANTAPE_WORK.LT003_ENTITY</v>
      </c>
      <c r="E405" s="34" t="str">
        <f>+UPPER('0. Instruções'!$D$36&amp;"."&amp;VLOOKUP(B405,'0. Instruções'!$C$27:$E$32,3,FALSE))</f>
        <v>BU_LOANTAPE_WORK.SIMUL_LT003_ENTITY</v>
      </c>
      <c r="F405" s="34" t="s">
        <v>1434</v>
      </c>
      <c r="G405" s="34"/>
      <c r="H405" s="34"/>
      <c r="I405" s="34" t="str">
        <f>"(SELECT "&amp;VLOOKUP(B405,'0. Instruções'!$C$27:$G$32,4,FALSE)&amp;", "&amp;F405&amp;" FROM "&amp;D405&amp;" WHERE "&amp;'0. Instruções'!$D$42&amp;")X"</f>
        <v>(SELECT entty_id, flg_isda_crdt_evnt FROM BU_LOANTAPE_WORK.LT003_ENTITY WHERE ref_date='${ref_date}' AND nome_perimetro='Individual Local' AND segmento='ESTR' AND ambito='SRB_MBDT' AND entidade='00100')X</v>
      </c>
      <c r="J405" s="34" t="str">
        <f>"(SELECT "&amp;VLOOKUP(B405,'0. Instruções'!$C$27:$G$32,4,FALSE)&amp;" AS "&amp;VLOOKUP(B405,'0. Instruções'!$C$27:$G$32,4,FALSE)&amp;"_SIMUL, "&amp;F405&amp;" AS "&amp;F405&amp;"_SIMUL FROM "&amp;E405&amp;" WHERE "&amp;'0. Instruções'!$D$43&amp;")Y"</f>
        <v>(SELECT entty_id AS entty_id_SIMUL, flg_isda_crdt_evnt AS flg_isda_crdt_evnt_SIMUL FROM BU_LOANTAPE_WORK.SIMUL_LT003_ENTITY WHERE ref_date='${ref_date}' AND nome_perimetro='Individual Local' AND segmento='ESTR' AND ambito='PILAR3' AND entidade='00100')Y</v>
      </c>
      <c r="K405" s="35" t="str">
        <f>+UPPER("ON X."&amp;VLOOKUP(B405,'0. Instruções'!$C$27:$G$32,4,FALSE)&amp;"=Y."&amp;VLOOKUP(B405,'0. Instruções'!$C$27:$G$32,4,FALSE)&amp;"_SIMUL")</f>
        <v>ON X.ENTTY_ID=Y.ENTTY_ID_SIMUL</v>
      </c>
      <c r="L405" s="35" t="str">
        <f>+IF(C405="Coerência", +IF(LEFT(G405,5)="FLOAT","SELECT '"&amp;UPPER(B405)&amp;"' AS TABELA, '"&amp;UPPER(C405)&amp;"' AS TIPOLOGIA_TESTE,'"&amp;D405&amp;"' AS TABELA_LT,'"&amp;E405&amp;"' AS TABELA_SIMUL,'"&amp;F405&amp;"' AS CAMPO, "&amp;"'${ref_date}' AS REF_DATE, COUNT(*) AS NUM_REG, SUM(IF((ABS(COALESCE(CAST(X."&amp;F405&amp;" AS DECIMAL(18,6)),0)-COALESCE(CAST(Y."&amp;F405&amp;"_SIMUL AS DECIMAL(18,6)),0))&gt;0.000001) OR (X."&amp;F405&amp;" IS NULL AND Y."&amp;F405&amp;"_SIMUL IS NOT NULL ) OR (X."&amp;F405&amp;" IS NOT NULL AND Y."&amp;F405&amp;"_SIMUL IS NULL),1,0)) AS NUM_REG_DIF,'"&amp;MAX('ID1&amp;5'!K:K)+1&amp;"' AS ID_EXEC, CURRENT_TIMESTAMP() AS TIME_EXEC FROM "&amp;I405&amp;" INNER JOIN "&amp;J405&amp;" "&amp;K405,"SELECT '"&amp;UPPER(B405)&amp;"' AS TABELA, '"&amp;UPPER(C405)&amp;"' AS TIPOLOGIA_TESTE,'"&amp;D405&amp;"' AS TABELA_LT,'"&amp;E405&amp;"' AS TABELA_SIMUL,'"&amp;F405&amp;"' AS CAMPO, "&amp;"'${ref_date}' AS REF_DATE, COUNT(*) AS NUM_REG, SUM(IF(COALESCE(CAST(X."&amp;F405&amp;" AS STRING),'')&lt;&gt;COALESCE(CAST(Y."&amp;F405&amp;"_SIMUL AS STRING),'') OR (X."&amp;F405&amp;" IS NULL AND Y."&amp;F405&amp;"_SIMUL IS NOT NULL ) OR (X."&amp;F405&amp;" IS NOT NULL AND Y."&amp;F405&amp;"_SIMUL IS NULL),1,0)) AS NUM_REG_DIF,'"&amp;MAX('ID1&amp;5'!L:L)+1&amp;"' AS ID_EXEC, CURRENT_TIMESTAMP() AS TIME_EXEC FROM "&amp;I405&amp;" INNER JOIN "&amp;J405&amp;" "&amp;K405),
IF(C405="Validade",+IF(G405="Code List","SELECT '"&amp;UPPER(B405)&amp;"' AS TABELA, '"&amp;UPPER(C405)&amp;"' AS TIPOLOGIA_TESTE,'"&amp;D405&amp;"' AS TABELA_LT,'N/A' AS TABELA_SIMUL,'"&amp;F405&amp;"' AS CAMPO, "&amp;"'${ref_date}' AS REF_DATE, COUNT(*) AS NUM_REG, SUM(IF(TRIM(CAST(X."&amp;F405&amp;" AS STRING))='' OR TRIM(CAST(X."&amp;F405&amp;" AS STRING)) IS NULL OR CAST(X."&amp;F405&amp;" AS STRING) NOT "&amp;H405&amp;",1,0)) AS NUM_REG_DIF,'"&amp;MAX('ID1&amp;5'!K:K)+1&amp;"' AS ID_EXEC, CURRENT_TIMESTAMP() AS TIME_EXEC FROM "&amp;I405,"SELECT '"&amp;UPPER(B405)&amp;"' AS TABELA, '"&amp;UPPER(C405)&amp;"' AS TIPOLOGIA_TESTE,'"&amp;D405&amp;"' AS TABELA_LT,'N/A' AS TABELA_SIMUL,'"&amp;F405&amp;"' AS CAMPO, "&amp;"'${ref_date}' AS REF_DATE, COUNT(*) AS NUM_REG, SUM(IF(TRIM(CAST(X."&amp;F405&amp;" AS STRING))='' OR TRIM(CAST(X."&amp;F405&amp;" AS STRING)) IS NULL,1,0)) AS NUM_REG_DIF,'"&amp;MAX('ID1&amp;5'!K:K)+1&amp;"' AS ID_EXEC, CURRENT_TIMESTAMP() AS TIME_EXEC FROM "&amp;I405),
IF(C405="Caracteres Especiais",+"SELECT '"&amp;UPPER(B405)&amp;"' AS TABELA, '"&amp;UPPER(C405)&amp;"' AS TIPOLOGIA_TESTE,'"&amp;D405&amp;"' AS TABELA_LT,'N/A' AS TABELA_SIMUL,'"&amp;F405&amp;"' AS CAMPO, "&amp;"'${ref_date}' AS REF_DATE, COUNT(*) AS NUM_REG, SUM(IF(REGEXP_REPLACE(TRIM(CAST(X."&amp;F405&amp;" AS STRING)),'[^a-zA-Z0-9_\\s]','') &lt;&gt;TRIM(CAST(X."&amp;F405&amp;" AS STRING)),1,0)) AS NUM_REG_DIF,'"&amp;MAX('ID1&amp;5'!K:K)+1&amp;"' AS ID_EXEC, CURRENT_TIMESTAMP() AS TIME_EXEC FROM "&amp;I405,
IF(C405="Missings",+"SELECT '"&amp;UPPER(B405)&amp;"' AS TABELA, '"&amp;UPPER(C405)&amp;"' AS TIPOLOGIA_TESTE,'"&amp;D405&amp;"' AS TABELA_LT,'N/A' AS TABELA_SIMUL,'"&amp;F405&amp;"' AS CAMPO, "&amp;"'${ref_date}' AS REF_DATE, COUNT(*) AS NUM_REG, SUM(IF(TRIM(CAST(X."&amp;F405&amp;" AS STRING)) IN ('0000-00-00','0001-01-01','9999-12-31','MISS','00000','99999999999','99999999999.00','99999999999.000000'),1,0)) AS NUM_REG_DIF,'"&amp;MAX('ID1&amp;5'!K:K)+1&amp;"' AS ID_EXEC, CURRENT_TIMESTAMP() AS TIME_EXEC FROM "&amp;I405,
IF(C405="Not applicable",+"SELECT '"&amp;UPPER(B405)&amp;"' AS TABELA, '"&amp;UPPER(C405)&amp;"' AS TIPOLOGIA_TESTE,'"&amp;D405&amp;"' AS TABELA_LT,'N/A' AS TABELA_SIMUL,'"&amp;F405&amp;"' AS CAMPO, "&amp;"'${ref_date}' AS REF_DATE, COUNT(*) AS NUM_REG, SUM(IF(TRIM(CAST(X."&amp;F405&amp;" AS STRING)) IN ('N/A','11111111111','11111111111.00','11111111111.000000','1111-11-11'),1,0)) AS NUM_REG_DIF,'"&amp;MAX('ID1&amp;5'!K:K)+1&amp;"' AS ID_EXEC, CURRENT_TIMESTAMP() AS TIME_EXEC FROM "&amp;I405,
IF(C405="Valores extremos",+"SELECT '"&amp;UPPER(B405)&amp;"' AS TABELA, '"&amp;UPPER(C405)&amp;"' AS TIPOLOGIA_TESTE,'"&amp;D405&amp;"' AS TABELA_LT,'N/A' AS TABELA_SIMUL,'"&amp;F405&amp;"' AS CAMPO, "&amp;"'${ref_date}' AS REF_DATE, CAST(MIN("&amp;F405&amp;") AS STRING) AS VALOR_MIN, CAST(MAX("&amp;F405&amp;") AS STRING) AS VALOR_MAX,'"&amp;MAX('ID1&amp;5'!K:K)+1&amp;"' AS ID_EXEC, CURRENT_TIMESTAMP() AS TIME_EXEC FROM "&amp;MID(I405,1,LEN(I405)-2)&amp;" AND CAST("&amp;F405&amp;"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TABELA_SIMUL,'flg_isda_crdt_evnt' AS CAMPO, '${ref_date}' AS REF_DATE, COUNT(*) AS NUM_REG, SUM(IF(COALESCE(CAST(X.flg_isda_crdt_evnt AS STRING),'')&lt;&gt;COALESCE(CAST(Y.flg_isda_crdt_evnt_SIMUL AS STRING),'') OR (X.flg_isda_crdt_evnt IS NULL AND Y.flg_isda_crdt_evnt_SIMUL IS NOT NULL ) OR (X.flg_isda_crdt_evnt IS NOT NULL AND Y.flg_isda_crdt_evnt_SIMUL IS NULL),1,0)) AS NUM_REG_DIF,'1' AS ID_EXEC, CURRENT_TIMESTAMP() AS TIME_EXEC FROM (SELECT entty_id, flg_isda_crdt_evnt FROM BU_LOANTAPE_WORK.LT003_ENTITY WHERE ref_date='${ref_date}' AND nome_perimetro='Individual Local' AND segmento='ESTR' AND ambito='SRB_MBDT' AND entidade='00100')X INNER JOIN (SELECT entty_id AS entty_id_SIMUL, flg_isda_crdt_evnt AS flg_isda_crdt_evnt_SIMUL FROM BU_LOANTAPE_WORK.SIMUL_LT003_ENTITY WHERE ref_date='${ref_date}' AND nome_perimetro='Individual Local' AND segmento='ESTR' AND ambito='PILAR3' AND entidade='00100')Y ON X.ENTTY_ID=Y.ENTTY_ID_SIMUL</v>
      </c>
      <c r="M405" s="36" t="str">
        <f t="shared" si="9"/>
        <v>UNION ALL SELECT 'ENTITY' AS TABELA, 'COERÊNCIA' AS TIPOLOGIA_TESTE,'BU_LOANTAPE_WORK.LT003_ENTITY' AS TABELA_LT,'BU_LOANTAPE_WORK.SIMUL_LT003_ENTITY' AS TABELA_SIMUL,'flg_isda_crdt_evnt' AS CAMPO, '${ref_date}' AS REF_DATE, COUNT(*) AS NUM_REG, SUM(IF(COALESCE(CAST(X.flg_isda_crdt_evnt AS STRING),'')&lt;&gt;COALESCE(CAST(Y.flg_isda_crdt_evnt_SIMUL AS STRING),'') OR (X.flg_isda_crdt_evnt IS NULL AND Y.flg_isda_crdt_evnt_SIMUL IS NOT NULL ) OR (X.flg_isda_crdt_evnt IS NOT NULL AND Y.flg_isda_crdt_evnt_SIMUL IS NULL),1,0)) AS NUM_REG_DIF,'1' AS ID_EXEC, CURRENT_TIMESTAMP() AS TIME_EXEC FROM (SELECT entty_id, flg_isda_crdt_evnt FROM BU_LOANTAPE_WORK.LT003_ENTITY WHERE ref_date='${ref_date}' AND nome_perimetro='Individual Local' AND segmento='ESTR' AND ambito='SRB_MBDT' AND entidade='00100')X INNER JOIN (SELECT entty_id AS entty_id_SIMUL, flg_isda_crdt_evnt AS flg_isda_crdt_evnt_SIMUL FROM BU_LOANTAPE_WORK.SIMUL_LT003_ENTITY WHERE ref_date='${ref_date}' AND nome_perimetro='Individual Local' AND segmento='ESTR' AND ambito='PILAR3' AND entidade='00100')Y ON X.ENTTY_ID=Y.ENTTY_ID_SIMUL</v>
      </c>
    </row>
    <row r="406" spans="2:13">
      <c r="B406" s="34" t="s">
        <v>118</v>
      </c>
      <c r="C406" s="34" t="s">
        <v>5</v>
      </c>
      <c r="D406" s="34" t="str">
        <f>+UPPER('0. Instruções'!$D$35&amp;"."&amp;VLOOKUP(B406,'0. Instruções'!$C$27:$D$32,2,FALSE))</f>
        <v>BU_LOANTAPE_WORK.LT003_ENTITY</v>
      </c>
      <c r="E406" s="34" t="str">
        <f>+UPPER('0. Instruções'!$D$36&amp;"."&amp;VLOOKUP(B406,'0. Instruções'!$C$27:$E$32,3,FALSE))</f>
        <v>BU_LOANTAPE_WORK.SIMUL_LT003_ENTITY</v>
      </c>
      <c r="F406" s="34" t="s">
        <v>1435</v>
      </c>
      <c r="G406" s="34"/>
      <c r="H406" s="34"/>
      <c r="I406" s="34" t="str">
        <f>"(SELECT "&amp;VLOOKUP(B406,'0. Instruções'!$C$27:$G$32,4,FALSE)&amp;", "&amp;F406&amp;" FROM "&amp;D406&amp;" WHERE "&amp;'0. Instruções'!$D$42&amp;")X"</f>
        <v>(SELECT entty_id, flg_rqst_bnkrptcy FROM BU_LOANTAPE_WORK.LT003_ENTITY WHERE ref_date='${ref_date}' AND nome_perimetro='Individual Local' AND segmento='ESTR' AND ambito='SRB_MBDT' AND entidade='00100')X</v>
      </c>
      <c r="J406" s="34" t="str">
        <f>"(SELECT "&amp;VLOOKUP(B406,'0. Instruções'!$C$27:$G$32,4,FALSE)&amp;" AS "&amp;VLOOKUP(B406,'0. Instruções'!$C$27:$G$32,4,FALSE)&amp;"_SIMUL, "&amp;F406&amp;" AS "&amp;F406&amp;"_SIMUL FROM "&amp;E406&amp;" WHERE "&amp;'0. Instruções'!$D$43&amp;")Y"</f>
        <v>(SELECT entty_id AS entty_id_SIMUL, flg_rqst_bnkrptcy AS flg_rqst_bnkrptcy_SIMUL FROM BU_LOANTAPE_WORK.SIMUL_LT003_ENTITY WHERE ref_date='${ref_date}' AND nome_perimetro='Individual Local' AND segmento='ESTR' AND ambito='PILAR3' AND entidade='00100')Y</v>
      </c>
      <c r="K406" s="35" t="str">
        <f>+UPPER("ON X."&amp;VLOOKUP(B406,'0. Instruções'!$C$27:$G$32,4,FALSE)&amp;"=Y."&amp;VLOOKUP(B406,'0. Instruções'!$C$27:$G$32,4,FALSE)&amp;"_SIMUL")</f>
        <v>ON X.ENTTY_ID=Y.ENTTY_ID_SIMUL</v>
      </c>
      <c r="L406" s="35" t="str">
        <f>+IF(C406="Coerência", +IF(LEFT(G406,5)="FLOAT","SELECT '"&amp;UPPER(B406)&amp;"' AS TABELA, '"&amp;UPPER(C406)&amp;"' AS TIPOLOGIA_TESTE,'"&amp;D406&amp;"' AS TABELA_LT,'"&amp;E406&amp;"' AS TABELA_SIMUL,'"&amp;F406&amp;"' AS CAMPO, "&amp;"'${ref_date}' AS REF_DATE, COUNT(*) AS NUM_REG, SUM(IF((ABS(COALESCE(CAST(X."&amp;F406&amp;" AS DECIMAL(18,6)),0)-COALESCE(CAST(Y."&amp;F406&amp;"_SIMUL AS DECIMAL(18,6)),0))&gt;0.000001) OR (X."&amp;F406&amp;" IS NULL AND Y."&amp;F406&amp;"_SIMUL IS NOT NULL ) OR (X."&amp;F406&amp;" IS NOT NULL AND Y."&amp;F406&amp;"_SIMUL IS NULL),1,0)) AS NUM_REG_DIF,'"&amp;MAX('ID1&amp;5'!K:K)+1&amp;"' AS ID_EXEC, CURRENT_TIMESTAMP() AS TIME_EXEC FROM "&amp;I406&amp;" INNER JOIN "&amp;J406&amp;" "&amp;K406,"SELECT '"&amp;UPPER(B406)&amp;"' AS TABELA, '"&amp;UPPER(C406)&amp;"' AS TIPOLOGIA_TESTE,'"&amp;D406&amp;"' AS TABELA_LT,'"&amp;E406&amp;"' AS TABELA_SIMUL,'"&amp;F406&amp;"' AS CAMPO, "&amp;"'${ref_date}' AS REF_DATE, COUNT(*) AS NUM_REG, SUM(IF(COALESCE(CAST(X."&amp;F406&amp;" AS STRING),'')&lt;&gt;COALESCE(CAST(Y."&amp;F406&amp;"_SIMUL AS STRING),'') OR (X."&amp;F406&amp;" IS NULL AND Y."&amp;F406&amp;"_SIMUL IS NOT NULL ) OR (X."&amp;F406&amp;" IS NOT NULL AND Y."&amp;F406&amp;"_SIMUL IS NULL),1,0)) AS NUM_REG_DIF,'"&amp;MAX('ID1&amp;5'!L:L)+1&amp;"' AS ID_EXEC, CURRENT_TIMESTAMP() AS TIME_EXEC FROM "&amp;I406&amp;" INNER JOIN "&amp;J406&amp;" "&amp;K406),
IF(C406="Validade",+IF(G406="Code List","SELECT '"&amp;UPPER(B406)&amp;"' AS TABELA, '"&amp;UPPER(C406)&amp;"' AS TIPOLOGIA_TESTE,'"&amp;D406&amp;"' AS TABELA_LT,'N/A' AS TABELA_SIMUL,'"&amp;F406&amp;"' AS CAMPO, "&amp;"'${ref_date}' AS REF_DATE, COUNT(*) AS NUM_REG, SUM(IF(TRIM(CAST(X."&amp;F406&amp;" AS STRING))='' OR TRIM(CAST(X."&amp;F406&amp;" AS STRING)) IS NULL OR CAST(X."&amp;F406&amp;" AS STRING) NOT "&amp;H406&amp;",1,0)) AS NUM_REG_DIF,'"&amp;MAX('ID1&amp;5'!K:K)+1&amp;"' AS ID_EXEC, CURRENT_TIMESTAMP() AS TIME_EXEC FROM "&amp;I406,"SELECT '"&amp;UPPER(B406)&amp;"' AS TABELA, '"&amp;UPPER(C406)&amp;"' AS TIPOLOGIA_TESTE,'"&amp;D406&amp;"' AS TABELA_LT,'N/A' AS TABELA_SIMUL,'"&amp;F406&amp;"' AS CAMPO, "&amp;"'${ref_date}' AS REF_DATE, COUNT(*) AS NUM_REG, SUM(IF(TRIM(CAST(X."&amp;F406&amp;" AS STRING))='' OR TRIM(CAST(X."&amp;F406&amp;" AS STRING)) IS NULL,1,0)) AS NUM_REG_DIF,'"&amp;MAX('ID1&amp;5'!K:K)+1&amp;"' AS ID_EXEC, CURRENT_TIMESTAMP() AS TIME_EXEC FROM "&amp;I406),
IF(C406="Caracteres Especiais",+"SELECT '"&amp;UPPER(B406)&amp;"' AS TABELA, '"&amp;UPPER(C406)&amp;"' AS TIPOLOGIA_TESTE,'"&amp;D406&amp;"' AS TABELA_LT,'N/A' AS TABELA_SIMUL,'"&amp;F406&amp;"' AS CAMPO, "&amp;"'${ref_date}' AS REF_DATE, COUNT(*) AS NUM_REG, SUM(IF(REGEXP_REPLACE(TRIM(CAST(X."&amp;F406&amp;" AS STRING)),'[^a-zA-Z0-9_\\s]','') &lt;&gt;TRIM(CAST(X."&amp;F406&amp;" AS STRING)),1,0)) AS NUM_REG_DIF,'"&amp;MAX('ID1&amp;5'!K:K)+1&amp;"' AS ID_EXEC, CURRENT_TIMESTAMP() AS TIME_EXEC FROM "&amp;I406,
IF(C406="Missings",+"SELECT '"&amp;UPPER(B406)&amp;"' AS TABELA, '"&amp;UPPER(C406)&amp;"' AS TIPOLOGIA_TESTE,'"&amp;D406&amp;"' AS TABELA_LT,'N/A' AS TABELA_SIMUL,'"&amp;F406&amp;"' AS CAMPO, "&amp;"'${ref_date}' AS REF_DATE, COUNT(*) AS NUM_REG, SUM(IF(TRIM(CAST(X."&amp;F406&amp;" AS STRING)) IN ('0000-00-00','0001-01-01','9999-12-31','MISS','00000','99999999999','99999999999.00','99999999999.000000'),1,0)) AS NUM_REG_DIF,'"&amp;MAX('ID1&amp;5'!K:K)+1&amp;"' AS ID_EXEC, CURRENT_TIMESTAMP() AS TIME_EXEC FROM "&amp;I406,
IF(C406="Not applicable",+"SELECT '"&amp;UPPER(B406)&amp;"' AS TABELA, '"&amp;UPPER(C406)&amp;"' AS TIPOLOGIA_TESTE,'"&amp;D406&amp;"' AS TABELA_LT,'N/A' AS TABELA_SIMUL,'"&amp;F406&amp;"' AS CAMPO, "&amp;"'${ref_date}' AS REF_DATE, COUNT(*) AS NUM_REG, SUM(IF(TRIM(CAST(X."&amp;F406&amp;" AS STRING)) IN ('N/A','11111111111','11111111111.00','11111111111.000000','1111-11-11'),1,0)) AS NUM_REG_DIF,'"&amp;MAX('ID1&amp;5'!K:K)+1&amp;"' AS ID_EXEC, CURRENT_TIMESTAMP() AS TIME_EXEC FROM "&amp;I406,
IF(C406="Valores extremos",+"SELECT '"&amp;UPPER(B406)&amp;"' AS TABELA, '"&amp;UPPER(C406)&amp;"' AS TIPOLOGIA_TESTE,'"&amp;D406&amp;"' AS TABELA_LT,'N/A' AS TABELA_SIMUL,'"&amp;F406&amp;"' AS CAMPO, "&amp;"'${ref_date}' AS REF_DATE, CAST(MIN("&amp;F406&amp;") AS STRING) AS VALOR_MIN, CAST(MAX("&amp;F406&amp;") AS STRING) AS VALOR_MAX,'"&amp;MAX('ID1&amp;5'!K:K)+1&amp;"' AS ID_EXEC, CURRENT_TIMESTAMP() AS TIME_EXEC FROM "&amp;MID(I406,1,LEN(I406)-2)&amp;" AND CAST("&amp;F406&amp;"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TABELA_SIMUL,'flg_rqst_bnkrptcy' AS CAMPO, '${ref_date}' AS REF_DATE, COUNT(*) AS NUM_REG, SUM(IF(COALESCE(CAST(X.flg_rqst_bnkrptcy AS STRING),'')&lt;&gt;COALESCE(CAST(Y.flg_rqst_bnkrptcy_SIMUL AS STRING),'') OR (X.flg_rqst_bnkrptcy IS NULL AND Y.flg_rqst_bnkrptcy_SIMUL IS NOT NULL ) OR (X.flg_rqst_bnkrptcy IS NOT NULL AND Y.flg_rqst_bnkrptcy_SIMUL IS NULL),1,0)) AS NUM_REG_DIF,'1' AS ID_EXEC, CURRENT_TIMESTAMP() AS TIME_EXEC FROM (SELECT entty_id, flg_rqst_bnkrptcy FROM BU_LOANTAPE_WORK.LT003_ENTITY WHERE ref_date='${ref_date}' AND nome_perimetro='Individual Local' AND segmento='ESTR' AND ambito='SRB_MBDT' AND entidade='00100')X INNER JOIN (SELECT entty_id AS entty_id_SIMUL, flg_rqst_bnkrptcy AS flg_rqst_bnkrptcy_SIMUL FROM BU_LOANTAPE_WORK.SIMUL_LT003_ENTITY WHERE ref_date='${ref_date}' AND nome_perimetro='Individual Local' AND segmento='ESTR' AND ambito='PILAR3' AND entidade='00100')Y ON X.ENTTY_ID=Y.ENTTY_ID_SIMUL</v>
      </c>
      <c r="M406" s="36" t="str">
        <f t="shared" si="9"/>
        <v>UNION ALL SELECT 'ENTITY' AS TABELA, 'COERÊNCIA' AS TIPOLOGIA_TESTE,'BU_LOANTAPE_WORK.LT003_ENTITY' AS TABELA_LT,'BU_LOANTAPE_WORK.SIMUL_LT003_ENTITY' AS TABELA_SIMUL,'flg_rqst_bnkrptcy' AS CAMPO, '${ref_date}' AS REF_DATE, COUNT(*) AS NUM_REG, SUM(IF(COALESCE(CAST(X.flg_rqst_bnkrptcy AS STRING),'')&lt;&gt;COALESCE(CAST(Y.flg_rqst_bnkrptcy_SIMUL AS STRING),'') OR (X.flg_rqst_bnkrptcy IS NULL AND Y.flg_rqst_bnkrptcy_SIMUL IS NOT NULL ) OR (X.flg_rqst_bnkrptcy IS NOT NULL AND Y.flg_rqst_bnkrptcy_SIMUL IS NULL),1,0)) AS NUM_REG_DIF,'1' AS ID_EXEC, CURRENT_TIMESTAMP() AS TIME_EXEC FROM (SELECT entty_id, flg_rqst_bnkrptcy FROM BU_LOANTAPE_WORK.LT003_ENTITY WHERE ref_date='${ref_date}' AND nome_perimetro='Individual Local' AND segmento='ESTR' AND ambito='SRB_MBDT' AND entidade='00100')X INNER JOIN (SELECT entty_id AS entty_id_SIMUL, flg_rqst_bnkrptcy AS flg_rqst_bnkrptcy_SIMUL FROM BU_LOANTAPE_WORK.SIMUL_LT003_ENTITY WHERE ref_date='${ref_date}' AND nome_perimetro='Individual Local' AND segmento='ESTR' AND ambito='PILAR3' AND entidade='00100')Y ON X.ENTTY_ID=Y.ENTTY_ID_SIMUL</v>
      </c>
    </row>
    <row r="407" spans="2:13">
      <c r="B407" s="34" t="s">
        <v>118</v>
      </c>
      <c r="C407" s="34" t="s">
        <v>5</v>
      </c>
      <c r="D407" s="34" t="str">
        <f>+UPPER('0. Instruções'!$D$35&amp;"."&amp;VLOOKUP(B407,'0. Instruções'!$C$27:$D$32,2,FALSE))</f>
        <v>BU_LOANTAPE_WORK.LT003_ENTITY</v>
      </c>
      <c r="E407" s="34" t="str">
        <f>+UPPER('0. Instruções'!$D$36&amp;"."&amp;VLOOKUP(B407,'0. Instruções'!$C$27:$E$32,3,FALSE))</f>
        <v>BU_LOANTAPE_WORK.SIMUL_LT003_ENTITY</v>
      </c>
      <c r="F407" s="34" t="s">
        <v>1436</v>
      </c>
      <c r="G407" s="34"/>
      <c r="H407" s="34"/>
      <c r="I407" s="34" t="str">
        <f>"(SELECT "&amp;VLOOKUP(B407,'0. Instruções'!$C$27:$G$32,4,FALSE)&amp;", "&amp;F407&amp;" FROM "&amp;D407&amp;" WHERE "&amp;'0. Instruções'!$D$42&amp;")X"</f>
        <v>(SELECT entty_id, flg_rqst_dstrssd_rstrctrng FROM BU_LOANTAPE_WORK.LT003_ENTITY WHERE ref_date='${ref_date}' AND nome_perimetro='Individual Local' AND segmento='ESTR' AND ambito='SRB_MBDT' AND entidade='00100')X</v>
      </c>
      <c r="J407" s="34" t="str">
        <f>"(SELECT "&amp;VLOOKUP(B407,'0. Instruções'!$C$27:$G$32,4,FALSE)&amp;" AS "&amp;VLOOKUP(B407,'0. Instruções'!$C$27:$G$32,4,FALSE)&amp;"_SIMUL, "&amp;F407&amp;" AS "&amp;F407&amp;"_SIMUL FROM "&amp;E407&amp;" WHERE "&amp;'0. Instruções'!$D$43&amp;")Y"</f>
        <v>(SELECT entty_id AS entty_id_SIMUL, flg_rqst_dstrssd_rstrctrng AS flg_rqst_dstrssd_rstrctrng_SIMUL FROM BU_LOANTAPE_WORK.SIMUL_LT003_ENTITY WHERE ref_date='${ref_date}' AND nome_perimetro='Individual Local' AND segmento='ESTR' AND ambito='PILAR3' AND entidade='00100')Y</v>
      </c>
      <c r="K407" s="35" t="str">
        <f>+UPPER("ON X."&amp;VLOOKUP(B407,'0. Instruções'!$C$27:$G$32,4,FALSE)&amp;"=Y."&amp;VLOOKUP(B407,'0. Instruções'!$C$27:$G$32,4,FALSE)&amp;"_SIMUL")</f>
        <v>ON X.ENTTY_ID=Y.ENTTY_ID_SIMUL</v>
      </c>
      <c r="L407" s="35" t="str">
        <f>+IF(C407="Coerência", +IF(LEFT(G407,5)="FLOAT","SELECT '"&amp;UPPER(B407)&amp;"' AS TABELA, '"&amp;UPPER(C407)&amp;"' AS TIPOLOGIA_TESTE,'"&amp;D407&amp;"' AS TABELA_LT,'"&amp;E407&amp;"' AS TABELA_SIMUL,'"&amp;F407&amp;"' AS CAMPO, "&amp;"'${ref_date}' AS REF_DATE, COUNT(*) AS NUM_REG, SUM(IF((ABS(COALESCE(CAST(X."&amp;F407&amp;" AS DECIMAL(18,6)),0)-COALESCE(CAST(Y."&amp;F407&amp;"_SIMUL AS DECIMAL(18,6)),0))&gt;0.000001) OR (X."&amp;F407&amp;" IS NULL AND Y."&amp;F407&amp;"_SIMUL IS NOT NULL ) OR (X."&amp;F407&amp;" IS NOT NULL AND Y."&amp;F407&amp;"_SIMUL IS NULL),1,0)) AS NUM_REG_DIF,'"&amp;MAX('ID1&amp;5'!K:K)+1&amp;"' AS ID_EXEC, CURRENT_TIMESTAMP() AS TIME_EXEC FROM "&amp;I407&amp;" INNER JOIN "&amp;J407&amp;" "&amp;K407,"SELECT '"&amp;UPPER(B407)&amp;"' AS TABELA, '"&amp;UPPER(C407)&amp;"' AS TIPOLOGIA_TESTE,'"&amp;D407&amp;"' AS TABELA_LT,'"&amp;E407&amp;"' AS TABELA_SIMUL,'"&amp;F407&amp;"' AS CAMPO, "&amp;"'${ref_date}' AS REF_DATE, COUNT(*) AS NUM_REG, SUM(IF(COALESCE(CAST(X."&amp;F407&amp;" AS STRING),'')&lt;&gt;COALESCE(CAST(Y."&amp;F407&amp;"_SIMUL AS STRING),'') OR (X."&amp;F407&amp;" IS NULL AND Y."&amp;F407&amp;"_SIMUL IS NOT NULL ) OR (X."&amp;F407&amp;" IS NOT NULL AND Y."&amp;F407&amp;"_SIMUL IS NULL),1,0)) AS NUM_REG_DIF,'"&amp;MAX('ID1&amp;5'!L:L)+1&amp;"' AS ID_EXEC, CURRENT_TIMESTAMP() AS TIME_EXEC FROM "&amp;I407&amp;" INNER JOIN "&amp;J407&amp;" "&amp;K407),
IF(C407="Validade",+IF(G407="Code List","SELECT '"&amp;UPPER(B407)&amp;"' AS TABELA, '"&amp;UPPER(C407)&amp;"' AS TIPOLOGIA_TESTE,'"&amp;D407&amp;"' AS TABELA_LT,'N/A' AS TABELA_SIMUL,'"&amp;F407&amp;"' AS CAMPO, "&amp;"'${ref_date}' AS REF_DATE, COUNT(*) AS NUM_REG, SUM(IF(TRIM(CAST(X."&amp;F407&amp;" AS STRING))='' OR TRIM(CAST(X."&amp;F407&amp;" AS STRING)) IS NULL OR CAST(X."&amp;F407&amp;" AS STRING) NOT "&amp;H407&amp;",1,0)) AS NUM_REG_DIF,'"&amp;MAX('ID1&amp;5'!K:K)+1&amp;"' AS ID_EXEC, CURRENT_TIMESTAMP() AS TIME_EXEC FROM "&amp;I407,"SELECT '"&amp;UPPER(B407)&amp;"' AS TABELA, '"&amp;UPPER(C407)&amp;"' AS TIPOLOGIA_TESTE,'"&amp;D407&amp;"' AS TABELA_LT,'N/A' AS TABELA_SIMUL,'"&amp;F407&amp;"' AS CAMPO, "&amp;"'${ref_date}' AS REF_DATE, COUNT(*) AS NUM_REG, SUM(IF(TRIM(CAST(X."&amp;F407&amp;" AS STRING))='' OR TRIM(CAST(X."&amp;F407&amp;" AS STRING)) IS NULL,1,0)) AS NUM_REG_DIF,'"&amp;MAX('ID1&amp;5'!K:K)+1&amp;"' AS ID_EXEC, CURRENT_TIMESTAMP() AS TIME_EXEC FROM "&amp;I407),
IF(C407="Caracteres Especiais",+"SELECT '"&amp;UPPER(B407)&amp;"' AS TABELA, '"&amp;UPPER(C407)&amp;"' AS TIPOLOGIA_TESTE,'"&amp;D407&amp;"' AS TABELA_LT,'N/A' AS TABELA_SIMUL,'"&amp;F407&amp;"' AS CAMPO, "&amp;"'${ref_date}' AS REF_DATE, COUNT(*) AS NUM_REG, SUM(IF(REGEXP_REPLACE(TRIM(CAST(X."&amp;F407&amp;" AS STRING)),'[^a-zA-Z0-9_\\s]','') &lt;&gt;TRIM(CAST(X."&amp;F407&amp;" AS STRING)),1,0)) AS NUM_REG_DIF,'"&amp;MAX('ID1&amp;5'!K:K)+1&amp;"' AS ID_EXEC, CURRENT_TIMESTAMP() AS TIME_EXEC FROM "&amp;I407,
IF(C407="Missings",+"SELECT '"&amp;UPPER(B407)&amp;"' AS TABELA, '"&amp;UPPER(C407)&amp;"' AS TIPOLOGIA_TESTE,'"&amp;D407&amp;"' AS TABELA_LT,'N/A' AS TABELA_SIMUL,'"&amp;F407&amp;"' AS CAMPO, "&amp;"'${ref_date}' AS REF_DATE, COUNT(*) AS NUM_REG, SUM(IF(TRIM(CAST(X."&amp;F407&amp;" AS STRING)) IN ('0000-00-00','0001-01-01','9999-12-31','MISS','00000','99999999999','99999999999.00','99999999999.000000'),1,0)) AS NUM_REG_DIF,'"&amp;MAX('ID1&amp;5'!K:K)+1&amp;"' AS ID_EXEC, CURRENT_TIMESTAMP() AS TIME_EXEC FROM "&amp;I407,
IF(C407="Not applicable",+"SELECT '"&amp;UPPER(B407)&amp;"' AS TABELA, '"&amp;UPPER(C407)&amp;"' AS TIPOLOGIA_TESTE,'"&amp;D407&amp;"' AS TABELA_LT,'N/A' AS TABELA_SIMUL,'"&amp;F407&amp;"' AS CAMPO, "&amp;"'${ref_date}' AS REF_DATE, COUNT(*) AS NUM_REG, SUM(IF(TRIM(CAST(X."&amp;F407&amp;" AS STRING)) IN ('N/A','11111111111','11111111111.00','11111111111.000000','1111-11-11'),1,0)) AS NUM_REG_DIF,'"&amp;MAX('ID1&amp;5'!K:K)+1&amp;"' AS ID_EXEC, CURRENT_TIMESTAMP() AS TIME_EXEC FROM "&amp;I407,
IF(C407="Valores extremos",+"SELECT '"&amp;UPPER(B407)&amp;"' AS TABELA, '"&amp;UPPER(C407)&amp;"' AS TIPOLOGIA_TESTE,'"&amp;D407&amp;"' AS TABELA_LT,'N/A' AS TABELA_SIMUL,'"&amp;F407&amp;"' AS CAMPO, "&amp;"'${ref_date}' AS REF_DATE, CAST(MIN("&amp;F407&amp;") AS STRING) AS VALOR_MIN, CAST(MAX("&amp;F407&amp;") AS STRING) AS VALOR_MAX,'"&amp;MAX('ID1&amp;5'!K:K)+1&amp;"' AS ID_EXEC, CURRENT_TIMESTAMP() AS TIME_EXEC FROM "&amp;MID(I407,1,LEN(I407)-2)&amp;" AND CAST("&amp;F407&amp;"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TABELA_SIMUL,'flg_rqst_dstrssd_rstrctrng' AS CAMPO, '${ref_date}' AS REF_DATE, COUNT(*) AS NUM_REG, SUM(IF(COALESCE(CAST(X.flg_rqst_dstrssd_rstrctrng AS STRING),'')&lt;&gt;COALESCE(CAST(Y.flg_rqst_dstrssd_rstrctrng_SIMUL AS STRING),'') OR (X.flg_rqst_dstrssd_rstrctrng IS NULL AND Y.flg_rqst_dstrssd_rstrctrng_SIMUL IS NOT NULL ) OR (X.flg_rqst_dstrssd_rstrctrng IS NOT NULL AND Y.flg_rqst_dstrssd_rstrctrng_SIMUL IS NULL),1,0)) AS NUM_REG_DIF,'1' AS ID_EXEC, CURRENT_TIMESTAMP() AS TIME_EXEC FROM (SELECT entty_id, flg_rqst_dstrssd_rstrctrng FROM BU_LOANTAPE_WORK.LT003_ENTITY WHERE ref_date='${ref_date}' AND nome_perimetro='Individual Local' AND segmento='ESTR' AND ambito='SRB_MBDT' AND entidade='00100')X INNER JOIN (SELECT entty_id AS entty_id_SIMUL, flg_rqst_dstrssd_rstrctrng AS flg_rqst_dstrssd_rstrctrng_SIMUL FROM BU_LOANTAPE_WORK.SIMUL_LT003_ENTITY WHERE ref_date='${ref_date}' AND nome_perimetro='Individual Local' AND segmento='ESTR' AND ambito='PILAR3' AND entidade='00100')Y ON X.ENTTY_ID=Y.ENTTY_ID_SIMUL</v>
      </c>
      <c r="M407" s="36" t="str">
        <f t="shared" si="9"/>
        <v>UNION ALL SELECT 'ENTITY' AS TABELA, 'COERÊNCIA' AS TIPOLOGIA_TESTE,'BU_LOANTAPE_WORK.LT003_ENTITY' AS TABELA_LT,'BU_LOANTAPE_WORK.SIMUL_LT003_ENTITY' AS TABELA_SIMUL,'flg_rqst_dstrssd_rstrctrng' AS CAMPO, '${ref_date}' AS REF_DATE, COUNT(*) AS NUM_REG, SUM(IF(COALESCE(CAST(X.flg_rqst_dstrssd_rstrctrng AS STRING),'')&lt;&gt;COALESCE(CAST(Y.flg_rqst_dstrssd_rstrctrng_SIMUL AS STRING),'') OR (X.flg_rqst_dstrssd_rstrctrng IS NULL AND Y.flg_rqst_dstrssd_rstrctrng_SIMUL IS NOT NULL ) OR (X.flg_rqst_dstrssd_rstrctrng IS NOT NULL AND Y.flg_rqst_dstrssd_rstrctrng_SIMUL IS NULL),1,0)) AS NUM_REG_DIF,'1' AS ID_EXEC, CURRENT_TIMESTAMP() AS TIME_EXEC FROM (SELECT entty_id, flg_rqst_dstrssd_rstrctrng FROM BU_LOANTAPE_WORK.LT003_ENTITY WHERE ref_date='${ref_date}' AND nome_perimetro='Individual Local' AND segmento='ESTR' AND ambito='SRB_MBDT' AND entidade='00100')X INNER JOIN (SELECT entty_id AS entty_id_SIMUL, flg_rqst_dstrssd_rstrctrng AS flg_rqst_dstrssd_rstrctrng_SIMUL FROM BU_LOANTAPE_WORK.SIMUL_LT003_ENTITY WHERE ref_date='${ref_date}' AND nome_perimetro='Individual Local' AND segmento='ESTR' AND ambito='PILAR3' AND entidade='00100')Y ON X.ENTTY_ID=Y.ENTTY_ID_SIMUL</v>
      </c>
    </row>
    <row r="408" spans="2:13">
      <c r="B408" s="34" t="s">
        <v>118</v>
      </c>
      <c r="C408" s="34" t="s">
        <v>5</v>
      </c>
      <c r="D408" s="34" t="str">
        <f>+UPPER('0. Instruções'!$D$35&amp;"."&amp;VLOOKUP(B408,'0. Instruções'!$C$27:$D$32,2,FALSE))</f>
        <v>BU_LOANTAPE_WORK.LT003_ENTITY</v>
      </c>
      <c r="E408" s="34" t="str">
        <f>+UPPER('0. Instruções'!$D$36&amp;"."&amp;VLOOKUP(B408,'0. Instruções'!$C$27:$E$32,3,FALSE))</f>
        <v>BU_LOANTAPE_WORK.SIMUL_LT003_ENTITY</v>
      </c>
      <c r="F408" s="34" t="s">
        <v>1437</v>
      </c>
      <c r="G408" s="34"/>
      <c r="H408" s="34"/>
      <c r="I408" s="34" t="str">
        <f>"(SELECT "&amp;VLOOKUP(B408,'0. Instruções'!$C$27:$G$32,4,FALSE)&amp;", "&amp;F408&amp;" FROM "&amp;D408&amp;" WHERE "&amp;'0. Instruções'!$D$42&amp;")X"</f>
        <v>(SELECT entty_id, flg_rqst_emrgncy_fndng FROM BU_LOANTAPE_WORK.LT003_ENTITY WHERE ref_date='${ref_date}' AND nome_perimetro='Individual Local' AND segmento='ESTR' AND ambito='SRB_MBDT' AND entidade='00100')X</v>
      </c>
      <c r="J408" s="34" t="str">
        <f>"(SELECT "&amp;VLOOKUP(B408,'0. Instruções'!$C$27:$G$32,4,FALSE)&amp;" AS "&amp;VLOOKUP(B408,'0. Instruções'!$C$27:$G$32,4,FALSE)&amp;"_SIMUL, "&amp;F408&amp;" AS "&amp;F408&amp;"_SIMUL FROM "&amp;E408&amp;" WHERE "&amp;'0. Instruções'!$D$43&amp;")Y"</f>
        <v>(SELECT entty_id AS entty_id_SIMUL, flg_rqst_emrgncy_fndng AS flg_rqst_emrgncy_fndng_SIMUL FROM BU_LOANTAPE_WORK.SIMUL_LT003_ENTITY WHERE ref_date='${ref_date}' AND nome_perimetro='Individual Local' AND segmento='ESTR' AND ambito='PILAR3' AND entidade='00100')Y</v>
      </c>
      <c r="K408" s="35" t="str">
        <f>+UPPER("ON X."&amp;VLOOKUP(B408,'0. Instruções'!$C$27:$G$32,4,FALSE)&amp;"=Y."&amp;VLOOKUP(B408,'0. Instruções'!$C$27:$G$32,4,FALSE)&amp;"_SIMUL")</f>
        <v>ON X.ENTTY_ID=Y.ENTTY_ID_SIMUL</v>
      </c>
      <c r="L408" s="35" t="str">
        <f>+IF(C408="Coerência", +IF(LEFT(G408,5)="FLOAT","SELECT '"&amp;UPPER(B408)&amp;"' AS TABELA, '"&amp;UPPER(C408)&amp;"' AS TIPOLOGIA_TESTE,'"&amp;D408&amp;"' AS TABELA_LT,'"&amp;E408&amp;"' AS TABELA_SIMUL,'"&amp;F408&amp;"' AS CAMPO, "&amp;"'${ref_date}' AS REF_DATE, COUNT(*) AS NUM_REG, SUM(IF((ABS(COALESCE(CAST(X."&amp;F408&amp;" AS DECIMAL(18,6)),0)-COALESCE(CAST(Y."&amp;F408&amp;"_SIMUL AS DECIMAL(18,6)),0))&gt;0.000001) OR (X."&amp;F408&amp;" IS NULL AND Y."&amp;F408&amp;"_SIMUL IS NOT NULL ) OR (X."&amp;F408&amp;" IS NOT NULL AND Y."&amp;F408&amp;"_SIMUL IS NULL),1,0)) AS NUM_REG_DIF,'"&amp;MAX('ID1&amp;5'!K:K)+1&amp;"' AS ID_EXEC, CURRENT_TIMESTAMP() AS TIME_EXEC FROM "&amp;I408&amp;" INNER JOIN "&amp;J408&amp;" "&amp;K408,"SELECT '"&amp;UPPER(B408)&amp;"' AS TABELA, '"&amp;UPPER(C408)&amp;"' AS TIPOLOGIA_TESTE,'"&amp;D408&amp;"' AS TABELA_LT,'"&amp;E408&amp;"' AS TABELA_SIMUL,'"&amp;F408&amp;"' AS CAMPO, "&amp;"'${ref_date}' AS REF_DATE, COUNT(*) AS NUM_REG, SUM(IF(COALESCE(CAST(X."&amp;F408&amp;" AS STRING),'')&lt;&gt;COALESCE(CAST(Y."&amp;F408&amp;"_SIMUL AS STRING),'') OR (X."&amp;F408&amp;" IS NULL AND Y."&amp;F408&amp;"_SIMUL IS NOT NULL ) OR (X."&amp;F408&amp;" IS NOT NULL AND Y."&amp;F408&amp;"_SIMUL IS NULL),1,0)) AS NUM_REG_DIF,'"&amp;MAX('ID1&amp;5'!L:L)+1&amp;"' AS ID_EXEC, CURRENT_TIMESTAMP() AS TIME_EXEC FROM "&amp;I408&amp;" INNER JOIN "&amp;J408&amp;" "&amp;K408),
IF(C408="Validade",+IF(G408="Code List","SELECT '"&amp;UPPER(B408)&amp;"' AS TABELA, '"&amp;UPPER(C408)&amp;"' AS TIPOLOGIA_TESTE,'"&amp;D408&amp;"' AS TABELA_LT,'N/A' AS TABELA_SIMUL,'"&amp;F408&amp;"' AS CAMPO, "&amp;"'${ref_date}' AS REF_DATE, COUNT(*) AS NUM_REG, SUM(IF(TRIM(CAST(X."&amp;F408&amp;" AS STRING))='' OR TRIM(CAST(X."&amp;F408&amp;" AS STRING)) IS NULL OR CAST(X."&amp;F408&amp;" AS STRING) NOT "&amp;H408&amp;",1,0)) AS NUM_REG_DIF,'"&amp;MAX('ID1&amp;5'!K:K)+1&amp;"' AS ID_EXEC, CURRENT_TIMESTAMP() AS TIME_EXEC FROM "&amp;I408,"SELECT '"&amp;UPPER(B408)&amp;"' AS TABELA, '"&amp;UPPER(C408)&amp;"' AS TIPOLOGIA_TESTE,'"&amp;D408&amp;"' AS TABELA_LT,'N/A' AS TABELA_SIMUL,'"&amp;F408&amp;"' AS CAMPO, "&amp;"'${ref_date}' AS REF_DATE, COUNT(*) AS NUM_REG, SUM(IF(TRIM(CAST(X."&amp;F408&amp;" AS STRING))='' OR TRIM(CAST(X."&amp;F408&amp;" AS STRING)) IS NULL,1,0)) AS NUM_REG_DIF,'"&amp;MAX('ID1&amp;5'!K:K)+1&amp;"' AS ID_EXEC, CURRENT_TIMESTAMP() AS TIME_EXEC FROM "&amp;I408),
IF(C408="Caracteres Especiais",+"SELECT '"&amp;UPPER(B408)&amp;"' AS TABELA, '"&amp;UPPER(C408)&amp;"' AS TIPOLOGIA_TESTE,'"&amp;D408&amp;"' AS TABELA_LT,'N/A' AS TABELA_SIMUL,'"&amp;F408&amp;"' AS CAMPO, "&amp;"'${ref_date}' AS REF_DATE, COUNT(*) AS NUM_REG, SUM(IF(REGEXP_REPLACE(TRIM(CAST(X."&amp;F408&amp;" AS STRING)),'[^a-zA-Z0-9_\\s]','') &lt;&gt;TRIM(CAST(X."&amp;F408&amp;" AS STRING)),1,0)) AS NUM_REG_DIF,'"&amp;MAX('ID1&amp;5'!K:K)+1&amp;"' AS ID_EXEC, CURRENT_TIMESTAMP() AS TIME_EXEC FROM "&amp;I408,
IF(C408="Missings",+"SELECT '"&amp;UPPER(B408)&amp;"' AS TABELA, '"&amp;UPPER(C408)&amp;"' AS TIPOLOGIA_TESTE,'"&amp;D408&amp;"' AS TABELA_LT,'N/A' AS TABELA_SIMUL,'"&amp;F408&amp;"' AS CAMPO, "&amp;"'${ref_date}' AS REF_DATE, COUNT(*) AS NUM_REG, SUM(IF(TRIM(CAST(X."&amp;F408&amp;" AS STRING)) IN ('0000-00-00','0001-01-01','9999-12-31','MISS','00000','99999999999','99999999999.00','99999999999.000000'),1,0)) AS NUM_REG_DIF,'"&amp;MAX('ID1&amp;5'!K:K)+1&amp;"' AS ID_EXEC, CURRENT_TIMESTAMP() AS TIME_EXEC FROM "&amp;I408,
IF(C408="Not applicable",+"SELECT '"&amp;UPPER(B408)&amp;"' AS TABELA, '"&amp;UPPER(C408)&amp;"' AS TIPOLOGIA_TESTE,'"&amp;D408&amp;"' AS TABELA_LT,'N/A' AS TABELA_SIMUL,'"&amp;F408&amp;"' AS CAMPO, "&amp;"'${ref_date}' AS REF_DATE, COUNT(*) AS NUM_REG, SUM(IF(TRIM(CAST(X."&amp;F408&amp;" AS STRING)) IN ('N/A','11111111111','11111111111.00','11111111111.000000','1111-11-11'),1,0)) AS NUM_REG_DIF,'"&amp;MAX('ID1&amp;5'!K:K)+1&amp;"' AS ID_EXEC, CURRENT_TIMESTAMP() AS TIME_EXEC FROM "&amp;I408,
IF(C408="Valores extremos",+"SELECT '"&amp;UPPER(B408)&amp;"' AS TABELA, '"&amp;UPPER(C408)&amp;"' AS TIPOLOGIA_TESTE,'"&amp;D408&amp;"' AS TABELA_LT,'N/A' AS TABELA_SIMUL,'"&amp;F408&amp;"' AS CAMPO, "&amp;"'${ref_date}' AS REF_DATE, CAST(MIN("&amp;F408&amp;") AS STRING) AS VALOR_MIN, CAST(MAX("&amp;F408&amp;") AS STRING) AS VALOR_MAX,'"&amp;MAX('ID1&amp;5'!K:K)+1&amp;"' AS ID_EXEC, CURRENT_TIMESTAMP() AS TIME_EXEC FROM "&amp;MID(I408,1,LEN(I408)-2)&amp;" AND CAST("&amp;F408&amp;"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TABELA_SIMUL,'flg_rqst_emrgncy_fndng' AS CAMPO, '${ref_date}' AS REF_DATE, COUNT(*) AS NUM_REG, SUM(IF(COALESCE(CAST(X.flg_rqst_emrgncy_fndng AS STRING),'')&lt;&gt;COALESCE(CAST(Y.flg_rqst_emrgncy_fndng_SIMUL AS STRING),'') OR (X.flg_rqst_emrgncy_fndng IS NULL AND Y.flg_rqst_emrgncy_fndng_SIMUL IS NOT NULL ) OR (X.flg_rqst_emrgncy_fndng IS NOT NULL AND Y.flg_rqst_emrgncy_fndng_SIMUL IS NULL),1,0)) AS NUM_REG_DIF,'1' AS ID_EXEC, CURRENT_TIMESTAMP() AS TIME_EXEC FROM (SELECT entty_id, flg_rqst_emrgncy_fndng FROM BU_LOANTAPE_WORK.LT003_ENTITY WHERE ref_date='${ref_date}' AND nome_perimetro='Individual Local' AND segmento='ESTR' AND ambito='SRB_MBDT' AND entidade='00100')X INNER JOIN (SELECT entty_id AS entty_id_SIMUL, flg_rqst_emrgncy_fndng AS flg_rqst_emrgncy_fndng_SIMUL FROM BU_LOANTAPE_WORK.SIMUL_LT003_ENTITY WHERE ref_date='${ref_date}' AND nome_perimetro='Individual Local' AND segmento='ESTR' AND ambito='PILAR3' AND entidade='00100')Y ON X.ENTTY_ID=Y.ENTTY_ID_SIMUL</v>
      </c>
      <c r="M408" s="36" t="str">
        <f t="shared" si="9"/>
        <v>UNION ALL SELECT 'ENTITY' AS TABELA, 'COERÊNCIA' AS TIPOLOGIA_TESTE,'BU_LOANTAPE_WORK.LT003_ENTITY' AS TABELA_LT,'BU_LOANTAPE_WORK.SIMUL_LT003_ENTITY' AS TABELA_SIMUL,'flg_rqst_emrgncy_fndng' AS CAMPO, '${ref_date}' AS REF_DATE, COUNT(*) AS NUM_REG, SUM(IF(COALESCE(CAST(X.flg_rqst_emrgncy_fndng AS STRING),'')&lt;&gt;COALESCE(CAST(Y.flg_rqst_emrgncy_fndng_SIMUL AS STRING),'') OR (X.flg_rqst_emrgncy_fndng IS NULL AND Y.flg_rqst_emrgncy_fndng_SIMUL IS NOT NULL ) OR (X.flg_rqst_emrgncy_fndng IS NOT NULL AND Y.flg_rqst_emrgncy_fndng_SIMUL IS NULL),1,0)) AS NUM_REG_DIF,'1' AS ID_EXEC, CURRENT_TIMESTAMP() AS TIME_EXEC FROM (SELECT entty_id, flg_rqst_emrgncy_fndng FROM BU_LOANTAPE_WORK.LT003_ENTITY WHERE ref_date='${ref_date}' AND nome_perimetro='Individual Local' AND segmento='ESTR' AND ambito='SRB_MBDT' AND entidade='00100')X INNER JOIN (SELECT entty_id AS entty_id_SIMUL, flg_rqst_emrgncy_fndng AS flg_rqst_emrgncy_fndng_SIMUL FROM BU_LOANTAPE_WORK.SIMUL_LT003_ENTITY WHERE ref_date='${ref_date}' AND nome_perimetro='Individual Local' AND segmento='ESTR' AND ambito='PILAR3' AND entidade='00100')Y ON X.ENTTY_ID=Y.ENTTY_ID_SIMUL</v>
      </c>
    </row>
    <row r="409" spans="2:13">
      <c r="B409" s="34" t="s">
        <v>118</v>
      </c>
      <c r="C409" s="34" t="s">
        <v>5</v>
      </c>
      <c r="D409" s="34" t="str">
        <f>+UPPER('0. Instruções'!$D$35&amp;"."&amp;VLOOKUP(B409,'0. Instruções'!$C$27:$D$32,2,FALSE))</f>
        <v>BU_LOANTAPE_WORK.LT003_ENTITY</v>
      </c>
      <c r="E409" s="34" t="str">
        <f>+UPPER('0. Instruções'!$D$36&amp;"."&amp;VLOOKUP(B409,'0. Instruções'!$C$27:$E$32,3,FALSE))</f>
        <v>BU_LOANTAPE_WORK.SIMUL_LT003_ENTITY</v>
      </c>
      <c r="F409" s="34" t="s">
        <v>1438</v>
      </c>
      <c r="G409" s="34"/>
      <c r="H409" s="34"/>
      <c r="I409" s="34" t="str">
        <f>"(SELECT "&amp;VLOOKUP(B409,'0. Instruções'!$C$27:$G$32,4,FALSE)&amp;", "&amp;F409&amp;" FROM "&amp;D409&amp;" WHERE "&amp;'0. Instruções'!$D$42&amp;")X"</f>
        <v>(SELECT entty_id, flg_sll_wth_lss FROM BU_LOANTAPE_WORK.LT003_ENTITY WHERE ref_date='${ref_date}' AND nome_perimetro='Individual Local' AND segmento='ESTR' AND ambito='SRB_MBDT' AND entidade='00100')X</v>
      </c>
      <c r="J409" s="34" t="str">
        <f>"(SELECT "&amp;VLOOKUP(B409,'0. Instruções'!$C$27:$G$32,4,FALSE)&amp;" AS "&amp;VLOOKUP(B409,'0. Instruções'!$C$27:$G$32,4,FALSE)&amp;"_SIMUL, "&amp;F409&amp;" AS "&amp;F409&amp;"_SIMUL FROM "&amp;E409&amp;" WHERE "&amp;'0. Instruções'!$D$43&amp;")Y"</f>
        <v>(SELECT entty_id AS entty_id_SIMUL, flg_sll_wth_lss AS flg_sll_wth_lss_SIMUL FROM BU_LOANTAPE_WORK.SIMUL_LT003_ENTITY WHERE ref_date='${ref_date}' AND nome_perimetro='Individual Local' AND segmento='ESTR' AND ambito='PILAR3' AND entidade='00100')Y</v>
      </c>
      <c r="K409" s="35" t="str">
        <f>+UPPER("ON X."&amp;VLOOKUP(B409,'0. Instruções'!$C$27:$G$32,4,FALSE)&amp;"=Y."&amp;VLOOKUP(B409,'0. Instruções'!$C$27:$G$32,4,FALSE)&amp;"_SIMUL")</f>
        <v>ON X.ENTTY_ID=Y.ENTTY_ID_SIMUL</v>
      </c>
      <c r="L409" s="35" t="str">
        <f>+IF(C409="Coerência", +IF(LEFT(G409,5)="FLOAT","SELECT '"&amp;UPPER(B409)&amp;"' AS TABELA, '"&amp;UPPER(C409)&amp;"' AS TIPOLOGIA_TESTE,'"&amp;D409&amp;"' AS TABELA_LT,'"&amp;E409&amp;"' AS TABELA_SIMUL,'"&amp;F409&amp;"' AS CAMPO, "&amp;"'${ref_date}' AS REF_DATE, COUNT(*) AS NUM_REG, SUM(IF((ABS(COALESCE(CAST(X."&amp;F409&amp;" AS DECIMAL(18,6)),0)-COALESCE(CAST(Y."&amp;F409&amp;"_SIMUL AS DECIMAL(18,6)),0))&gt;0.000001) OR (X."&amp;F409&amp;" IS NULL AND Y."&amp;F409&amp;"_SIMUL IS NOT NULL ) OR (X."&amp;F409&amp;" IS NOT NULL AND Y."&amp;F409&amp;"_SIMUL IS NULL),1,0)) AS NUM_REG_DIF,'"&amp;MAX('ID1&amp;5'!K:K)+1&amp;"' AS ID_EXEC, CURRENT_TIMESTAMP() AS TIME_EXEC FROM "&amp;I409&amp;" INNER JOIN "&amp;J409&amp;" "&amp;K409,"SELECT '"&amp;UPPER(B409)&amp;"' AS TABELA, '"&amp;UPPER(C409)&amp;"' AS TIPOLOGIA_TESTE,'"&amp;D409&amp;"' AS TABELA_LT,'"&amp;E409&amp;"' AS TABELA_SIMUL,'"&amp;F409&amp;"' AS CAMPO, "&amp;"'${ref_date}' AS REF_DATE, COUNT(*) AS NUM_REG, SUM(IF(COALESCE(CAST(X."&amp;F409&amp;" AS STRING),'')&lt;&gt;COALESCE(CAST(Y."&amp;F409&amp;"_SIMUL AS STRING),'') OR (X."&amp;F409&amp;" IS NULL AND Y."&amp;F409&amp;"_SIMUL IS NOT NULL ) OR (X."&amp;F409&amp;" IS NOT NULL AND Y."&amp;F409&amp;"_SIMUL IS NULL),1,0)) AS NUM_REG_DIF,'"&amp;MAX('ID1&amp;5'!L:L)+1&amp;"' AS ID_EXEC, CURRENT_TIMESTAMP() AS TIME_EXEC FROM "&amp;I409&amp;" INNER JOIN "&amp;J409&amp;" "&amp;K409),
IF(C409="Validade",+IF(G409="Code List","SELECT '"&amp;UPPER(B409)&amp;"' AS TABELA, '"&amp;UPPER(C409)&amp;"' AS TIPOLOGIA_TESTE,'"&amp;D409&amp;"' AS TABELA_LT,'N/A' AS TABELA_SIMUL,'"&amp;F409&amp;"' AS CAMPO, "&amp;"'${ref_date}' AS REF_DATE, COUNT(*) AS NUM_REG, SUM(IF(TRIM(CAST(X."&amp;F409&amp;" AS STRING))='' OR TRIM(CAST(X."&amp;F409&amp;" AS STRING)) IS NULL OR CAST(X."&amp;F409&amp;" AS STRING) NOT "&amp;H409&amp;",1,0)) AS NUM_REG_DIF,'"&amp;MAX('ID1&amp;5'!K:K)+1&amp;"' AS ID_EXEC, CURRENT_TIMESTAMP() AS TIME_EXEC FROM "&amp;I409,"SELECT '"&amp;UPPER(B409)&amp;"' AS TABELA, '"&amp;UPPER(C409)&amp;"' AS TIPOLOGIA_TESTE,'"&amp;D409&amp;"' AS TABELA_LT,'N/A' AS TABELA_SIMUL,'"&amp;F409&amp;"' AS CAMPO, "&amp;"'${ref_date}' AS REF_DATE, COUNT(*) AS NUM_REG, SUM(IF(TRIM(CAST(X."&amp;F409&amp;" AS STRING))='' OR TRIM(CAST(X."&amp;F409&amp;" AS STRING)) IS NULL,1,0)) AS NUM_REG_DIF,'"&amp;MAX('ID1&amp;5'!K:K)+1&amp;"' AS ID_EXEC, CURRENT_TIMESTAMP() AS TIME_EXEC FROM "&amp;I409),
IF(C409="Caracteres Especiais",+"SELECT '"&amp;UPPER(B409)&amp;"' AS TABELA, '"&amp;UPPER(C409)&amp;"' AS TIPOLOGIA_TESTE,'"&amp;D409&amp;"' AS TABELA_LT,'N/A' AS TABELA_SIMUL,'"&amp;F409&amp;"' AS CAMPO, "&amp;"'${ref_date}' AS REF_DATE, COUNT(*) AS NUM_REG, SUM(IF(REGEXP_REPLACE(TRIM(CAST(X."&amp;F409&amp;" AS STRING)),'[^a-zA-Z0-9_\\s]','') &lt;&gt;TRIM(CAST(X."&amp;F409&amp;" AS STRING)),1,0)) AS NUM_REG_DIF,'"&amp;MAX('ID1&amp;5'!K:K)+1&amp;"' AS ID_EXEC, CURRENT_TIMESTAMP() AS TIME_EXEC FROM "&amp;I409,
IF(C409="Missings",+"SELECT '"&amp;UPPER(B409)&amp;"' AS TABELA, '"&amp;UPPER(C409)&amp;"' AS TIPOLOGIA_TESTE,'"&amp;D409&amp;"' AS TABELA_LT,'N/A' AS TABELA_SIMUL,'"&amp;F409&amp;"' AS CAMPO, "&amp;"'${ref_date}' AS REF_DATE, COUNT(*) AS NUM_REG, SUM(IF(TRIM(CAST(X."&amp;F409&amp;" AS STRING)) IN ('0000-00-00','0001-01-01','9999-12-31','MISS','00000','99999999999','99999999999.00','99999999999.000000'),1,0)) AS NUM_REG_DIF,'"&amp;MAX('ID1&amp;5'!K:K)+1&amp;"' AS ID_EXEC, CURRENT_TIMESTAMP() AS TIME_EXEC FROM "&amp;I409,
IF(C409="Not applicable",+"SELECT '"&amp;UPPER(B409)&amp;"' AS TABELA, '"&amp;UPPER(C409)&amp;"' AS TIPOLOGIA_TESTE,'"&amp;D409&amp;"' AS TABELA_LT,'N/A' AS TABELA_SIMUL,'"&amp;F409&amp;"' AS CAMPO, "&amp;"'${ref_date}' AS REF_DATE, COUNT(*) AS NUM_REG, SUM(IF(TRIM(CAST(X."&amp;F409&amp;" AS STRING)) IN ('N/A','11111111111','11111111111.00','11111111111.000000','1111-11-11'),1,0)) AS NUM_REG_DIF,'"&amp;MAX('ID1&amp;5'!K:K)+1&amp;"' AS ID_EXEC, CURRENT_TIMESTAMP() AS TIME_EXEC FROM "&amp;I409,
IF(C409="Valores extremos",+"SELECT '"&amp;UPPER(B409)&amp;"' AS TABELA, '"&amp;UPPER(C409)&amp;"' AS TIPOLOGIA_TESTE,'"&amp;D409&amp;"' AS TABELA_LT,'N/A' AS TABELA_SIMUL,'"&amp;F409&amp;"' AS CAMPO, "&amp;"'${ref_date}' AS REF_DATE, CAST(MIN("&amp;F409&amp;") AS STRING) AS VALOR_MIN, CAST(MAX("&amp;F409&amp;") AS STRING) AS VALOR_MAX,'"&amp;MAX('ID1&amp;5'!K:K)+1&amp;"' AS ID_EXEC, CURRENT_TIMESTAMP() AS TIME_EXEC FROM "&amp;MID(I409,1,LEN(I409)-2)&amp;" AND CAST("&amp;F409&amp;"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TABELA_SIMUL,'flg_sll_wth_lss' AS CAMPO, '${ref_date}' AS REF_DATE, COUNT(*) AS NUM_REG, SUM(IF(COALESCE(CAST(X.flg_sll_wth_lss AS STRING),'')&lt;&gt;COALESCE(CAST(Y.flg_sll_wth_lss_SIMUL AS STRING),'') OR (X.flg_sll_wth_lss IS NULL AND Y.flg_sll_wth_lss_SIMUL IS NOT NULL ) OR (X.flg_sll_wth_lss IS NOT NULL AND Y.flg_sll_wth_lss_SIMUL IS NULL),1,0)) AS NUM_REG_DIF,'1' AS ID_EXEC, CURRENT_TIMESTAMP() AS TIME_EXEC FROM (SELECT entty_id, flg_sll_wth_lss FROM BU_LOANTAPE_WORK.LT003_ENTITY WHERE ref_date='${ref_date}' AND nome_perimetro='Individual Local' AND segmento='ESTR' AND ambito='SRB_MBDT' AND entidade='00100')X INNER JOIN (SELECT entty_id AS entty_id_SIMUL, flg_sll_wth_lss AS flg_sll_wth_lss_SIMUL FROM BU_LOANTAPE_WORK.SIMUL_LT003_ENTITY WHERE ref_date='${ref_date}' AND nome_perimetro='Individual Local' AND segmento='ESTR' AND ambito='PILAR3' AND entidade='00100')Y ON X.ENTTY_ID=Y.ENTTY_ID_SIMUL</v>
      </c>
      <c r="M409" s="36" t="str">
        <f t="shared" si="9"/>
        <v>UNION ALL SELECT 'ENTITY' AS TABELA, 'COERÊNCIA' AS TIPOLOGIA_TESTE,'BU_LOANTAPE_WORK.LT003_ENTITY' AS TABELA_LT,'BU_LOANTAPE_WORK.SIMUL_LT003_ENTITY' AS TABELA_SIMUL,'flg_sll_wth_lss' AS CAMPO, '${ref_date}' AS REF_DATE, COUNT(*) AS NUM_REG, SUM(IF(COALESCE(CAST(X.flg_sll_wth_lss AS STRING),'')&lt;&gt;COALESCE(CAST(Y.flg_sll_wth_lss_SIMUL AS STRING),'') OR (X.flg_sll_wth_lss IS NULL AND Y.flg_sll_wth_lss_SIMUL IS NOT NULL ) OR (X.flg_sll_wth_lss IS NOT NULL AND Y.flg_sll_wth_lss_SIMUL IS NULL),1,0)) AS NUM_REG_DIF,'1' AS ID_EXEC, CURRENT_TIMESTAMP() AS TIME_EXEC FROM (SELECT entty_id, flg_sll_wth_lss FROM BU_LOANTAPE_WORK.LT003_ENTITY WHERE ref_date='${ref_date}' AND nome_perimetro='Individual Local' AND segmento='ESTR' AND ambito='SRB_MBDT' AND entidade='00100')X INNER JOIN (SELECT entty_id AS entty_id_SIMUL, flg_sll_wth_lss AS flg_sll_wth_lss_SIMUL FROM BU_LOANTAPE_WORK.SIMUL_LT003_ENTITY WHERE ref_date='${ref_date}' AND nome_perimetro='Individual Local' AND segmento='ESTR' AND ambito='PILAR3' AND entidade='00100')Y ON X.ENTTY_ID=Y.ENTTY_ID_SIMUL</v>
      </c>
    </row>
    <row r="410" spans="2:13">
      <c r="B410" s="34" t="s">
        <v>118</v>
      </c>
      <c r="C410" s="34" t="s">
        <v>5</v>
      </c>
      <c r="D410" s="34" t="str">
        <f>+UPPER('0. Instruções'!$D$35&amp;"."&amp;VLOOKUP(B410,'0. Instruções'!$C$27:$D$32,2,FALSE))</f>
        <v>BU_LOANTAPE_WORK.LT003_ENTITY</v>
      </c>
      <c r="E410" s="34" t="str">
        <f>+UPPER('0. Instruções'!$D$36&amp;"."&amp;VLOOKUP(B410,'0. Instruções'!$C$27:$E$32,3,FALSE))</f>
        <v>BU_LOANTAPE_WORK.SIMUL_LT003_ENTITY</v>
      </c>
      <c r="F410" s="34" t="s">
        <v>1439</v>
      </c>
      <c r="G410" s="34"/>
      <c r="H410" s="34"/>
      <c r="I410" s="34" t="str">
        <f>"(SELECT "&amp;VLOOKUP(B410,'0. Instruções'!$C$27:$G$32,4,FALSE)&amp;", "&amp;F410&amp;" FROM "&amp;D410&amp;" WHERE "&amp;'0. Instruções'!$D$42&amp;")X"</f>
        <v>(SELECT entty_id, incm_sc FROM BU_LOANTAPE_WORK.LT003_ENTITY WHERE ref_date='${ref_date}' AND nome_perimetro='Individual Local' AND segmento='ESTR' AND ambito='SRB_MBDT' AND entidade='00100')X</v>
      </c>
      <c r="J410" s="34" t="str">
        <f>"(SELECT "&amp;VLOOKUP(B410,'0. Instruções'!$C$27:$G$32,4,FALSE)&amp;" AS "&amp;VLOOKUP(B410,'0. Instruções'!$C$27:$G$32,4,FALSE)&amp;"_SIMUL, "&amp;F410&amp;" AS "&amp;F410&amp;"_SIMUL FROM "&amp;E410&amp;" WHERE "&amp;'0. Instruções'!$D$43&amp;")Y"</f>
        <v>(SELECT entty_id AS entty_id_SIMUL, incm_sc AS incm_sc_SIMUL FROM BU_LOANTAPE_WORK.SIMUL_LT003_ENTITY WHERE ref_date='${ref_date}' AND nome_perimetro='Individual Local' AND segmento='ESTR' AND ambito='PILAR3' AND entidade='00100')Y</v>
      </c>
      <c r="K410" s="35" t="str">
        <f>+UPPER("ON X."&amp;VLOOKUP(B410,'0. Instruções'!$C$27:$G$32,4,FALSE)&amp;"=Y."&amp;VLOOKUP(B410,'0. Instruções'!$C$27:$G$32,4,FALSE)&amp;"_SIMUL")</f>
        <v>ON X.ENTTY_ID=Y.ENTTY_ID_SIMUL</v>
      </c>
      <c r="L410" s="35" t="str">
        <f>+IF(C410="Coerência", +IF(LEFT(G410,5)="FLOAT","SELECT '"&amp;UPPER(B410)&amp;"' AS TABELA, '"&amp;UPPER(C410)&amp;"' AS TIPOLOGIA_TESTE,'"&amp;D410&amp;"' AS TABELA_LT,'"&amp;E410&amp;"' AS TABELA_SIMUL,'"&amp;F410&amp;"' AS CAMPO, "&amp;"'${ref_date}' AS REF_DATE, COUNT(*) AS NUM_REG, SUM(IF((ABS(COALESCE(CAST(X."&amp;F410&amp;" AS DECIMAL(18,6)),0)-COALESCE(CAST(Y."&amp;F410&amp;"_SIMUL AS DECIMAL(18,6)),0))&gt;0.000001) OR (X."&amp;F410&amp;" IS NULL AND Y."&amp;F410&amp;"_SIMUL IS NOT NULL ) OR (X."&amp;F410&amp;" IS NOT NULL AND Y."&amp;F410&amp;"_SIMUL IS NULL),1,0)) AS NUM_REG_DIF,'"&amp;MAX('ID1&amp;5'!K:K)+1&amp;"' AS ID_EXEC, CURRENT_TIMESTAMP() AS TIME_EXEC FROM "&amp;I410&amp;" INNER JOIN "&amp;J410&amp;" "&amp;K410,"SELECT '"&amp;UPPER(B410)&amp;"' AS TABELA, '"&amp;UPPER(C410)&amp;"' AS TIPOLOGIA_TESTE,'"&amp;D410&amp;"' AS TABELA_LT,'"&amp;E410&amp;"' AS TABELA_SIMUL,'"&amp;F410&amp;"' AS CAMPO, "&amp;"'${ref_date}' AS REF_DATE, COUNT(*) AS NUM_REG, SUM(IF(COALESCE(CAST(X."&amp;F410&amp;" AS STRING),'')&lt;&gt;COALESCE(CAST(Y."&amp;F410&amp;"_SIMUL AS STRING),'') OR (X."&amp;F410&amp;" IS NULL AND Y."&amp;F410&amp;"_SIMUL IS NOT NULL ) OR (X."&amp;F410&amp;" IS NOT NULL AND Y."&amp;F410&amp;"_SIMUL IS NULL),1,0)) AS NUM_REG_DIF,'"&amp;MAX('ID1&amp;5'!L:L)+1&amp;"' AS ID_EXEC, CURRENT_TIMESTAMP() AS TIME_EXEC FROM "&amp;I410&amp;" INNER JOIN "&amp;J410&amp;" "&amp;K410),
IF(C410="Validade",+IF(G410="Code List","SELECT '"&amp;UPPER(B410)&amp;"' AS TABELA, '"&amp;UPPER(C410)&amp;"' AS TIPOLOGIA_TESTE,'"&amp;D410&amp;"' AS TABELA_LT,'N/A' AS TABELA_SIMUL,'"&amp;F410&amp;"' AS CAMPO, "&amp;"'${ref_date}' AS REF_DATE, COUNT(*) AS NUM_REG, SUM(IF(TRIM(CAST(X."&amp;F410&amp;" AS STRING))='' OR TRIM(CAST(X."&amp;F410&amp;" AS STRING)) IS NULL OR CAST(X."&amp;F410&amp;" AS STRING) NOT "&amp;H410&amp;",1,0)) AS NUM_REG_DIF,'"&amp;MAX('ID1&amp;5'!K:K)+1&amp;"' AS ID_EXEC, CURRENT_TIMESTAMP() AS TIME_EXEC FROM "&amp;I410,"SELECT '"&amp;UPPER(B410)&amp;"' AS TABELA, '"&amp;UPPER(C410)&amp;"' AS TIPOLOGIA_TESTE,'"&amp;D410&amp;"' AS TABELA_LT,'N/A' AS TABELA_SIMUL,'"&amp;F410&amp;"' AS CAMPO, "&amp;"'${ref_date}' AS REF_DATE, COUNT(*) AS NUM_REG, SUM(IF(TRIM(CAST(X."&amp;F410&amp;" AS STRING))='' OR TRIM(CAST(X."&amp;F410&amp;" AS STRING)) IS NULL,1,0)) AS NUM_REG_DIF,'"&amp;MAX('ID1&amp;5'!K:K)+1&amp;"' AS ID_EXEC, CURRENT_TIMESTAMP() AS TIME_EXEC FROM "&amp;I410),
IF(C410="Caracteres Especiais",+"SELECT '"&amp;UPPER(B410)&amp;"' AS TABELA, '"&amp;UPPER(C410)&amp;"' AS TIPOLOGIA_TESTE,'"&amp;D410&amp;"' AS TABELA_LT,'N/A' AS TABELA_SIMUL,'"&amp;F410&amp;"' AS CAMPO, "&amp;"'${ref_date}' AS REF_DATE, COUNT(*) AS NUM_REG, SUM(IF(REGEXP_REPLACE(TRIM(CAST(X."&amp;F410&amp;" AS STRING)),'[^a-zA-Z0-9_\\s]','') &lt;&gt;TRIM(CAST(X."&amp;F410&amp;" AS STRING)),1,0)) AS NUM_REG_DIF,'"&amp;MAX('ID1&amp;5'!K:K)+1&amp;"' AS ID_EXEC, CURRENT_TIMESTAMP() AS TIME_EXEC FROM "&amp;I410,
IF(C410="Missings",+"SELECT '"&amp;UPPER(B410)&amp;"' AS TABELA, '"&amp;UPPER(C410)&amp;"' AS TIPOLOGIA_TESTE,'"&amp;D410&amp;"' AS TABELA_LT,'N/A' AS TABELA_SIMUL,'"&amp;F410&amp;"' AS CAMPO, "&amp;"'${ref_date}' AS REF_DATE, COUNT(*) AS NUM_REG, SUM(IF(TRIM(CAST(X."&amp;F410&amp;" AS STRING)) IN ('0000-00-00','0001-01-01','9999-12-31','MISS','00000','99999999999','99999999999.00','99999999999.000000'),1,0)) AS NUM_REG_DIF,'"&amp;MAX('ID1&amp;5'!K:K)+1&amp;"' AS ID_EXEC, CURRENT_TIMESTAMP() AS TIME_EXEC FROM "&amp;I410,
IF(C410="Not applicable",+"SELECT '"&amp;UPPER(B410)&amp;"' AS TABELA, '"&amp;UPPER(C410)&amp;"' AS TIPOLOGIA_TESTE,'"&amp;D410&amp;"' AS TABELA_LT,'N/A' AS TABELA_SIMUL,'"&amp;F410&amp;"' AS CAMPO, "&amp;"'${ref_date}' AS REF_DATE, COUNT(*) AS NUM_REG, SUM(IF(TRIM(CAST(X."&amp;F410&amp;" AS STRING)) IN ('N/A','11111111111','11111111111.00','11111111111.000000','1111-11-11'),1,0)) AS NUM_REG_DIF,'"&amp;MAX('ID1&amp;5'!K:K)+1&amp;"' AS ID_EXEC, CURRENT_TIMESTAMP() AS TIME_EXEC FROM "&amp;I410,
IF(C410="Valores extremos",+"SELECT '"&amp;UPPER(B410)&amp;"' AS TABELA, '"&amp;UPPER(C410)&amp;"' AS TIPOLOGIA_TESTE,'"&amp;D410&amp;"' AS TABELA_LT,'N/A' AS TABELA_SIMUL,'"&amp;F410&amp;"' AS CAMPO, "&amp;"'${ref_date}' AS REF_DATE, CAST(MIN("&amp;F410&amp;") AS STRING) AS VALOR_MIN, CAST(MAX("&amp;F410&amp;") AS STRING) AS VALOR_MAX,'"&amp;MAX('ID1&amp;5'!K:K)+1&amp;"' AS ID_EXEC, CURRENT_TIMESTAMP() AS TIME_EXEC FROM "&amp;MID(I410,1,LEN(I410)-2)&amp;" AND CAST("&amp;F410&amp;"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TABELA_SIMUL,'incm_sc' AS CAMPO, '${ref_date}' AS REF_DATE, COUNT(*) AS NUM_REG, SUM(IF(COALESCE(CAST(X.incm_sc AS STRING),'')&lt;&gt;COALESCE(CAST(Y.incm_sc_SIMUL AS STRING),'') OR (X.incm_sc IS NULL AND Y.incm_sc_SIMUL IS NOT NULL ) OR (X.incm_sc IS NOT NULL AND Y.incm_sc_SIMUL IS NULL),1,0)) AS NUM_REG_DIF,'1' AS ID_EXEC, CURRENT_TIMESTAMP() AS TIME_EXEC FROM (SELECT entty_id, incm_sc FROM BU_LOANTAPE_WORK.LT003_ENTITY WHERE ref_date='${ref_date}' AND nome_perimetro='Individual Local' AND segmento='ESTR' AND ambito='SRB_MBDT' AND entidade='00100')X INNER JOIN (SELECT entty_id AS entty_id_SIMUL, incm_sc AS incm_sc_SIMUL FROM BU_LOANTAPE_WORK.SIMUL_LT003_ENTITY WHERE ref_date='${ref_date}' AND nome_perimetro='Individual Local' AND segmento='ESTR' AND ambito='PILAR3' AND entidade='00100')Y ON X.ENTTY_ID=Y.ENTTY_ID_SIMUL</v>
      </c>
      <c r="M410" s="36" t="str">
        <f t="shared" si="9"/>
        <v>UNION ALL SELECT 'ENTITY' AS TABELA, 'COERÊNCIA' AS TIPOLOGIA_TESTE,'BU_LOANTAPE_WORK.LT003_ENTITY' AS TABELA_LT,'BU_LOANTAPE_WORK.SIMUL_LT003_ENTITY' AS TABELA_SIMUL,'incm_sc' AS CAMPO, '${ref_date}' AS REF_DATE, COUNT(*) AS NUM_REG, SUM(IF(COALESCE(CAST(X.incm_sc AS STRING),'')&lt;&gt;COALESCE(CAST(Y.incm_sc_SIMUL AS STRING),'') OR (X.incm_sc IS NULL AND Y.incm_sc_SIMUL IS NOT NULL ) OR (X.incm_sc IS NOT NULL AND Y.incm_sc_SIMUL IS NULL),1,0)) AS NUM_REG_DIF,'1' AS ID_EXEC, CURRENT_TIMESTAMP() AS TIME_EXEC FROM (SELECT entty_id, incm_sc FROM BU_LOANTAPE_WORK.LT003_ENTITY WHERE ref_date='${ref_date}' AND nome_perimetro='Individual Local' AND segmento='ESTR' AND ambito='SRB_MBDT' AND entidade='00100')X INNER JOIN (SELECT entty_id AS entty_id_SIMUL, incm_sc AS incm_sc_SIMUL FROM BU_LOANTAPE_WORK.SIMUL_LT003_ENTITY WHERE ref_date='${ref_date}' AND nome_perimetro='Individual Local' AND segmento='ESTR' AND ambito='PILAR3' AND entidade='00100')Y ON X.ENTTY_ID=Y.ENTTY_ID_SIMUL</v>
      </c>
    </row>
    <row r="411" spans="2:13">
      <c r="B411" s="34" t="s">
        <v>118</v>
      </c>
      <c r="C411" s="34" t="s">
        <v>5</v>
      </c>
      <c r="D411" s="34" t="str">
        <f>+UPPER('0. Instruções'!$D$35&amp;"."&amp;VLOOKUP(B411,'0. Instruções'!$C$27:$D$32,2,FALSE))</f>
        <v>BU_LOANTAPE_WORK.LT003_ENTITY</v>
      </c>
      <c r="E411" s="34" t="str">
        <f>+UPPER('0. Instruções'!$D$36&amp;"."&amp;VLOOKUP(B411,'0. Instruções'!$C$27:$E$32,3,FALSE))</f>
        <v>BU_LOANTAPE_WORK.SIMUL_LT003_ENTITY</v>
      </c>
      <c r="F411" s="34" t="s">
        <v>1169</v>
      </c>
      <c r="G411" s="34"/>
      <c r="H411" s="34"/>
      <c r="I411" s="34" t="str">
        <f>"(SELECT "&amp;VLOOKUP(B411,'0. Instruções'!$C$27:$G$32,4,FALSE)&amp;", "&amp;F411&amp;" FROM "&amp;D411&amp;" WHERE "&amp;'0. Instruções'!$D$42&amp;")X"</f>
        <v>(SELECT entty_id, intrnl_rtng FROM BU_LOANTAPE_WORK.LT003_ENTITY WHERE ref_date='${ref_date}' AND nome_perimetro='Individual Local' AND segmento='ESTR' AND ambito='SRB_MBDT' AND entidade='00100')X</v>
      </c>
      <c r="J411" s="34" t="str">
        <f>"(SELECT "&amp;VLOOKUP(B411,'0. Instruções'!$C$27:$G$32,4,FALSE)&amp;" AS "&amp;VLOOKUP(B411,'0. Instruções'!$C$27:$G$32,4,FALSE)&amp;"_SIMUL, "&amp;F411&amp;" AS "&amp;F411&amp;"_SIMUL FROM "&amp;E411&amp;" WHERE "&amp;'0. Instruções'!$D$43&amp;")Y"</f>
        <v>(SELECT entty_id AS entty_id_SIMUL, intrnl_rtng AS intrnl_rtng_SIMUL FROM BU_LOANTAPE_WORK.SIMUL_LT003_ENTITY WHERE ref_date='${ref_date}' AND nome_perimetro='Individual Local' AND segmento='ESTR' AND ambito='PILAR3' AND entidade='00100')Y</v>
      </c>
      <c r="K411" s="35" t="str">
        <f>+UPPER("ON X."&amp;VLOOKUP(B411,'0. Instruções'!$C$27:$G$32,4,FALSE)&amp;"=Y."&amp;VLOOKUP(B411,'0. Instruções'!$C$27:$G$32,4,FALSE)&amp;"_SIMUL")</f>
        <v>ON X.ENTTY_ID=Y.ENTTY_ID_SIMUL</v>
      </c>
      <c r="L411" s="35" t="str">
        <f>+IF(C411="Coerência", +IF(LEFT(G411,5)="FLOAT","SELECT '"&amp;UPPER(B411)&amp;"' AS TABELA, '"&amp;UPPER(C411)&amp;"' AS TIPOLOGIA_TESTE,'"&amp;D411&amp;"' AS TABELA_LT,'"&amp;E411&amp;"' AS TABELA_SIMUL,'"&amp;F411&amp;"' AS CAMPO, "&amp;"'${ref_date}' AS REF_DATE, COUNT(*) AS NUM_REG, SUM(IF((ABS(COALESCE(CAST(X."&amp;F411&amp;" AS DECIMAL(18,6)),0)-COALESCE(CAST(Y."&amp;F411&amp;"_SIMUL AS DECIMAL(18,6)),0))&gt;0.000001) OR (X."&amp;F411&amp;" IS NULL AND Y."&amp;F411&amp;"_SIMUL IS NOT NULL ) OR (X."&amp;F411&amp;" IS NOT NULL AND Y."&amp;F411&amp;"_SIMUL IS NULL),1,0)) AS NUM_REG_DIF,'"&amp;MAX('ID1&amp;5'!K:K)+1&amp;"' AS ID_EXEC, CURRENT_TIMESTAMP() AS TIME_EXEC FROM "&amp;I411&amp;" INNER JOIN "&amp;J411&amp;" "&amp;K411,"SELECT '"&amp;UPPER(B411)&amp;"' AS TABELA, '"&amp;UPPER(C411)&amp;"' AS TIPOLOGIA_TESTE,'"&amp;D411&amp;"' AS TABELA_LT,'"&amp;E411&amp;"' AS TABELA_SIMUL,'"&amp;F411&amp;"' AS CAMPO, "&amp;"'${ref_date}' AS REF_DATE, COUNT(*) AS NUM_REG, SUM(IF(COALESCE(CAST(X."&amp;F411&amp;" AS STRING),'')&lt;&gt;COALESCE(CAST(Y."&amp;F411&amp;"_SIMUL AS STRING),'') OR (X."&amp;F411&amp;" IS NULL AND Y."&amp;F411&amp;"_SIMUL IS NOT NULL ) OR (X."&amp;F411&amp;" IS NOT NULL AND Y."&amp;F411&amp;"_SIMUL IS NULL),1,0)) AS NUM_REG_DIF,'"&amp;MAX('ID1&amp;5'!L:L)+1&amp;"' AS ID_EXEC, CURRENT_TIMESTAMP() AS TIME_EXEC FROM "&amp;I411&amp;" INNER JOIN "&amp;J411&amp;" "&amp;K411),
IF(C411="Validade",+IF(G411="Code List","SELECT '"&amp;UPPER(B411)&amp;"' AS TABELA, '"&amp;UPPER(C411)&amp;"' AS TIPOLOGIA_TESTE,'"&amp;D411&amp;"' AS TABELA_LT,'N/A' AS TABELA_SIMUL,'"&amp;F411&amp;"' AS CAMPO, "&amp;"'${ref_date}' AS REF_DATE, COUNT(*) AS NUM_REG, SUM(IF(TRIM(CAST(X."&amp;F411&amp;" AS STRING))='' OR TRIM(CAST(X."&amp;F411&amp;" AS STRING)) IS NULL OR CAST(X."&amp;F411&amp;" AS STRING) NOT "&amp;H411&amp;",1,0)) AS NUM_REG_DIF,'"&amp;MAX('ID1&amp;5'!K:K)+1&amp;"' AS ID_EXEC, CURRENT_TIMESTAMP() AS TIME_EXEC FROM "&amp;I411,"SELECT '"&amp;UPPER(B411)&amp;"' AS TABELA, '"&amp;UPPER(C411)&amp;"' AS TIPOLOGIA_TESTE,'"&amp;D411&amp;"' AS TABELA_LT,'N/A' AS TABELA_SIMUL,'"&amp;F411&amp;"' AS CAMPO, "&amp;"'${ref_date}' AS REF_DATE, COUNT(*) AS NUM_REG, SUM(IF(TRIM(CAST(X."&amp;F411&amp;" AS STRING))='' OR TRIM(CAST(X."&amp;F411&amp;" AS STRING)) IS NULL,1,0)) AS NUM_REG_DIF,'"&amp;MAX('ID1&amp;5'!K:K)+1&amp;"' AS ID_EXEC, CURRENT_TIMESTAMP() AS TIME_EXEC FROM "&amp;I411),
IF(C411="Caracteres Especiais",+"SELECT '"&amp;UPPER(B411)&amp;"' AS TABELA, '"&amp;UPPER(C411)&amp;"' AS TIPOLOGIA_TESTE,'"&amp;D411&amp;"' AS TABELA_LT,'N/A' AS TABELA_SIMUL,'"&amp;F411&amp;"' AS CAMPO, "&amp;"'${ref_date}' AS REF_DATE, COUNT(*) AS NUM_REG, SUM(IF(REGEXP_REPLACE(TRIM(CAST(X."&amp;F411&amp;" AS STRING)),'[^a-zA-Z0-9_\\s]','') &lt;&gt;TRIM(CAST(X."&amp;F411&amp;" AS STRING)),1,0)) AS NUM_REG_DIF,'"&amp;MAX('ID1&amp;5'!K:K)+1&amp;"' AS ID_EXEC, CURRENT_TIMESTAMP() AS TIME_EXEC FROM "&amp;I411,
IF(C411="Missings",+"SELECT '"&amp;UPPER(B411)&amp;"' AS TABELA, '"&amp;UPPER(C411)&amp;"' AS TIPOLOGIA_TESTE,'"&amp;D411&amp;"' AS TABELA_LT,'N/A' AS TABELA_SIMUL,'"&amp;F411&amp;"' AS CAMPO, "&amp;"'${ref_date}' AS REF_DATE, COUNT(*) AS NUM_REG, SUM(IF(TRIM(CAST(X."&amp;F411&amp;" AS STRING)) IN ('0000-00-00','0001-01-01','9999-12-31','MISS','00000','99999999999','99999999999.00','99999999999.000000'),1,0)) AS NUM_REG_DIF,'"&amp;MAX('ID1&amp;5'!K:K)+1&amp;"' AS ID_EXEC, CURRENT_TIMESTAMP() AS TIME_EXEC FROM "&amp;I411,
IF(C411="Not applicable",+"SELECT '"&amp;UPPER(B411)&amp;"' AS TABELA, '"&amp;UPPER(C411)&amp;"' AS TIPOLOGIA_TESTE,'"&amp;D411&amp;"' AS TABELA_LT,'N/A' AS TABELA_SIMUL,'"&amp;F411&amp;"' AS CAMPO, "&amp;"'${ref_date}' AS REF_DATE, COUNT(*) AS NUM_REG, SUM(IF(TRIM(CAST(X."&amp;F411&amp;" AS STRING)) IN ('N/A','11111111111','11111111111.00','11111111111.000000','1111-11-11'),1,0)) AS NUM_REG_DIF,'"&amp;MAX('ID1&amp;5'!K:K)+1&amp;"' AS ID_EXEC, CURRENT_TIMESTAMP() AS TIME_EXEC FROM "&amp;I411,
IF(C411="Valores extremos",+"SELECT '"&amp;UPPER(B411)&amp;"' AS TABELA, '"&amp;UPPER(C411)&amp;"' AS TIPOLOGIA_TESTE,'"&amp;D411&amp;"' AS TABELA_LT,'N/A' AS TABELA_SIMUL,'"&amp;F411&amp;"' AS CAMPO, "&amp;"'${ref_date}' AS REF_DATE, CAST(MIN("&amp;F411&amp;") AS STRING) AS VALOR_MIN, CAST(MAX("&amp;F411&amp;") AS STRING) AS VALOR_MAX,'"&amp;MAX('ID1&amp;5'!K:K)+1&amp;"' AS ID_EXEC, CURRENT_TIMESTAMP() AS TIME_EXEC FROM "&amp;MID(I411,1,LEN(I411)-2)&amp;" AND CAST("&amp;F411&amp;"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TABELA_SIMUL,'intrnl_rtng' AS CAMPO, '${ref_date}' AS REF_DATE, COUNT(*) AS NUM_REG, SUM(IF(COALESCE(CAST(X.intrnl_rtng AS STRING),'')&lt;&gt;COALESCE(CAST(Y.intrnl_rtng_SIMUL AS STRING),'') OR (X.intrnl_rtng IS NULL AND Y.intrnl_rtng_SIMUL IS NOT NULL ) OR (X.intrnl_rtng IS NOT NULL AND Y.intrnl_rtng_SIMUL IS NULL),1,0)) AS NUM_REG_DIF,'1' AS ID_EXEC, CURRENT_TIMESTAMP() AS TIME_EXEC FROM (SELECT entty_id, intrnl_rtng FROM BU_LOANTAPE_WORK.LT003_ENTITY WHERE ref_date='${ref_date}' AND nome_perimetro='Individual Local' AND segmento='ESTR' AND ambito='SRB_MBDT' AND entidade='00100')X INNER JOIN (SELECT entty_id AS entty_id_SIMUL, intrnl_rtng AS intrnl_rtng_SIMUL FROM BU_LOANTAPE_WORK.SIMUL_LT003_ENTITY WHERE ref_date='${ref_date}' AND nome_perimetro='Individual Local' AND segmento='ESTR' AND ambito='PILAR3' AND entidade='00100')Y ON X.ENTTY_ID=Y.ENTTY_ID_SIMUL</v>
      </c>
      <c r="M411" s="36" t="str">
        <f t="shared" si="9"/>
        <v>UNION ALL SELECT 'ENTITY' AS TABELA, 'COERÊNCIA' AS TIPOLOGIA_TESTE,'BU_LOANTAPE_WORK.LT003_ENTITY' AS TABELA_LT,'BU_LOANTAPE_WORK.SIMUL_LT003_ENTITY' AS TABELA_SIMUL,'intrnl_rtng' AS CAMPO, '${ref_date}' AS REF_DATE, COUNT(*) AS NUM_REG, SUM(IF(COALESCE(CAST(X.intrnl_rtng AS STRING),'')&lt;&gt;COALESCE(CAST(Y.intrnl_rtng_SIMUL AS STRING),'') OR (X.intrnl_rtng IS NULL AND Y.intrnl_rtng_SIMUL IS NOT NULL ) OR (X.intrnl_rtng IS NOT NULL AND Y.intrnl_rtng_SIMUL IS NULL),1,0)) AS NUM_REG_DIF,'1' AS ID_EXEC, CURRENT_TIMESTAMP() AS TIME_EXEC FROM (SELECT entty_id, intrnl_rtng FROM BU_LOANTAPE_WORK.LT003_ENTITY WHERE ref_date='${ref_date}' AND nome_perimetro='Individual Local' AND segmento='ESTR' AND ambito='SRB_MBDT' AND entidade='00100')X INNER JOIN (SELECT entty_id AS entty_id_SIMUL, intrnl_rtng AS intrnl_rtng_SIMUL FROM BU_LOANTAPE_WORK.SIMUL_LT003_ENTITY WHERE ref_date='${ref_date}' AND nome_perimetro='Individual Local' AND segmento='ESTR' AND ambito='PILAR3' AND entidade='00100')Y ON X.ENTTY_ID=Y.ENTTY_ID_SIMUL</v>
      </c>
    </row>
    <row r="412" spans="2:13">
      <c r="B412" s="34" t="s">
        <v>118</v>
      </c>
      <c r="C412" s="34" t="s">
        <v>5</v>
      </c>
      <c r="D412" s="34" t="str">
        <f>+UPPER('0. Instruções'!$D$35&amp;"."&amp;VLOOKUP(B412,'0. Instruções'!$C$27:$D$32,2,FALSE))</f>
        <v>BU_LOANTAPE_WORK.LT003_ENTITY</v>
      </c>
      <c r="E412" s="34" t="str">
        <f>+UPPER('0. Instruções'!$D$36&amp;"."&amp;VLOOKUP(B412,'0. Instruções'!$C$27:$E$32,3,FALSE))</f>
        <v>BU_LOANTAPE_WORK.SIMUL_LT003_ENTITY</v>
      </c>
      <c r="F412" s="34" t="s">
        <v>1440</v>
      </c>
      <c r="G412" s="34"/>
      <c r="H412" s="34"/>
      <c r="I412" s="34" t="str">
        <f>"(SELECT "&amp;VLOOKUP(B412,'0. Instruções'!$C$27:$G$32,4,FALSE)&amp;", "&amp;F412&amp;" FROM "&amp;D412&amp;" WHERE "&amp;'0. Instruções'!$D$42&amp;")X"</f>
        <v>(SELECT entty_id, intrnl_rtng_prvs FROM BU_LOANTAPE_WORK.LT003_ENTITY WHERE ref_date='${ref_date}' AND nome_perimetro='Individual Local' AND segmento='ESTR' AND ambito='SRB_MBDT' AND entidade='00100')X</v>
      </c>
      <c r="J412" s="34" t="str">
        <f>"(SELECT "&amp;VLOOKUP(B412,'0. Instruções'!$C$27:$G$32,4,FALSE)&amp;" AS "&amp;VLOOKUP(B412,'0. Instruções'!$C$27:$G$32,4,FALSE)&amp;"_SIMUL, "&amp;F412&amp;" AS "&amp;F412&amp;"_SIMUL FROM "&amp;E412&amp;" WHERE "&amp;'0. Instruções'!$D$43&amp;")Y"</f>
        <v>(SELECT entty_id AS entty_id_SIMUL, intrnl_rtng_prvs AS intrnl_rtng_prvs_SIMUL FROM BU_LOANTAPE_WORK.SIMUL_LT003_ENTITY WHERE ref_date='${ref_date}' AND nome_perimetro='Individual Local' AND segmento='ESTR' AND ambito='PILAR3' AND entidade='00100')Y</v>
      </c>
      <c r="K412" s="35" t="str">
        <f>+UPPER("ON X."&amp;VLOOKUP(B412,'0. Instruções'!$C$27:$G$32,4,FALSE)&amp;"=Y."&amp;VLOOKUP(B412,'0. Instruções'!$C$27:$G$32,4,FALSE)&amp;"_SIMUL")</f>
        <v>ON X.ENTTY_ID=Y.ENTTY_ID_SIMUL</v>
      </c>
      <c r="L412" s="35" t="str">
        <f>+IF(C412="Coerência", +IF(LEFT(G412,5)="FLOAT","SELECT '"&amp;UPPER(B412)&amp;"' AS TABELA, '"&amp;UPPER(C412)&amp;"' AS TIPOLOGIA_TESTE,'"&amp;D412&amp;"' AS TABELA_LT,'"&amp;E412&amp;"' AS TABELA_SIMUL,'"&amp;F412&amp;"' AS CAMPO, "&amp;"'${ref_date}' AS REF_DATE, COUNT(*) AS NUM_REG, SUM(IF((ABS(COALESCE(CAST(X."&amp;F412&amp;" AS DECIMAL(18,6)),0)-COALESCE(CAST(Y."&amp;F412&amp;"_SIMUL AS DECIMAL(18,6)),0))&gt;0.000001) OR (X."&amp;F412&amp;" IS NULL AND Y."&amp;F412&amp;"_SIMUL IS NOT NULL ) OR (X."&amp;F412&amp;" IS NOT NULL AND Y."&amp;F412&amp;"_SIMUL IS NULL),1,0)) AS NUM_REG_DIF,'"&amp;MAX('ID1&amp;5'!K:K)+1&amp;"' AS ID_EXEC, CURRENT_TIMESTAMP() AS TIME_EXEC FROM "&amp;I412&amp;" INNER JOIN "&amp;J412&amp;" "&amp;K412,"SELECT '"&amp;UPPER(B412)&amp;"' AS TABELA, '"&amp;UPPER(C412)&amp;"' AS TIPOLOGIA_TESTE,'"&amp;D412&amp;"' AS TABELA_LT,'"&amp;E412&amp;"' AS TABELA_SIMUL,'"&amp;F412&amp;"' AS CAMPO, "&amp;"'${ref_date}' AS REF_DATE, COUNT(*) AS NUM_REG, SUM(IF(COALESCE(CAST(X."&amp;F412&amp;" AS STRING),'')&lt;&gt;COALESCE(CAST(Y."&amp;F412&amp;"_SIMUL AS STRING),'') OR (X."&amp;F412&amp;" IS NULL AND Y."&amp;F412&amp;"_SIMUL IS NOT NULL ) OR (X."&amp;F412&amp;" IS NOT NULL AND Y."&amp;F412&amp;"_SIMUL IS NULL),1,0)) AS NUM_REG_DIF,'"&amp;MAX('ID1&amp;5'!L:L)+1&amp;"' AS ID_EXEC, CURRENT_TIMESTAMP() AS TIME_EXEC FROM "&amp;I412&amp;" INNER JOIN "&amp;J412&amp;" "&amp;K412),
IF(C412="Validade",+IF(G412="Code List","SELECT '"&amp;UPPER(B412)&amp;"' AS TABELA, '"&amp;UPPER(C412)&amp;"' AS TIPOLOGIA_TESTE,'"&amp;D412&amp;"' AS TABELA_LT,'N/A' AS TABELA_SIMUL,'"&amp;F412&amp;"' AS CAMPO, "&amp;"'${ref_date}' AS REF_DATE, COUNT(*) AS NUM_REG, SUM(IF(TRIM(CAST(X."&amp;F412&amp;" AS STRING))='' OR TRIM(CAST(X."&amp;F412&amp;" AS STRING)) IS NULL OR CAST(X."&amp;F412&amp;" AS STRING) NOT "&amp;H412&amp;",1,0)) AS NUM_REG_DIF,'"&amp;MAX('ID1&amp;5'!K:K)+1&amp;"' AS ID_EXEC, CURRENT_TIMESTAMP() AS TIME_EXEC FROM "&amp;I412,"SELECT '"&amp;UPPER(B412)&amp;"' AS TABELA, '"&amp;UPPER(C412)&amp;"' AS TIPOLOGIA_TESTE,'"&amp;D412&amp;"' AS TABELA_LT,'N/A' AS TABELA_SIMUL,'"&amp;F412&amp;"' AS CAMPO, "&amp;"'${ref_date}' AS REF_DATE, COUNT(*) AS NUM_REG, SUM(IF(TRIM(CAST(X."&amp;F412&amp;" AS STRING))='' OR TRIM(CAST(X."&amp;F412&amp;" AS STRING)) IS NULL,1,0)) AS NUM_REG_DIF,'"&amp;MAX('ID1&amp;5'!K:K)+1&amp;"' AS ID_EXEC, CURRENT_TIMESTAMP() AS TIME_EXEC FROM "&amp;I412),
IF(C412="Caracteres Especiais",+"SELECT '"&amp;UPPER(B412)&amp;"' AS TABELA, '"&amp;UPPER(C412)&amp;"' AS TIPOLOGIA_TESTE,'"&amp;D412&amp;"' AS TABELA_LT,'N/A' AS TABELA_SIMUL,'"&amp;F412&amp;"' AS CAMPO, "&amp;"'${ref_date}' AS REF_DATE, COUNT(*) AS NUM_REG, SUM(IF(REGEXP_REPLACE(TRIM(CAST(X."&amp;F412&amp;" AS STRING)),'[^a-zA-Z0-9_\\s]','') &lt;&gt;TRIM(CAST(X."&amp;F412&amp;" AS STRING)),1,0)) AS NUM_REG_DIF,'"&amp;MAX('ID1&amp;5'!K:K)+1&amp;"' AS ID_EXEC, CURRENT_TIMESTAMP() AS TIME_EXEC FROM "&amp;I412,
IF(C412="Missings",+"SELECT '"&amp;UPPER(B412)&amp;"' AS TABELA, '"&amp;UPPER(C412)&amp;"' AS TIPOLOGIA_TESTE,'"&amp;D412&amp;"' AS TABELA_LT,'N/A' AS TABELA_SIMUL,'"&amp;F412&amp;"' AS CAMPO, "&amp;"'${ref_date}' AS REF_DATE, COUNT(*) AS NUM_REG, SUM(IF(TRIM(CAST(X."&amp;F412&amp;" AS STRING)) IN ('0000-00-00','0001-01-01','9999-12-31','MISS','00000','99999999999','99999999999.00','99999999999.000000'),1,0)) AS NUM_REG_DIF,'"&amp;MAX('ID1&amp;5'!K:K)+1&amp;"' AS ID_EXEC, CURRENT_TIMESTAMP() AS TIME_EXEC FROM "&amp;I412,
IF(C412="Not applicable",+"SELECT '"&amp;UPPER(B412)&amp;"' AS TABELA, '"&amp;UPPER(C412)&amp;"' AS TIPOLOGIA_TESTE,'"&amp;D412&amp;"' AS TABELA_LT,'N/A' AS TABELA_SIMUL,'"&amp;F412&amp;"' AS CAMPO, "&amp;"'${ref_date}' AS REF_DATE, COUNT(*) AS NUM_REG, SUM(IF(TRIM(CAST(X."&amp;F412&amp;" AS STRING)) IN ('N/A','11111111111','11111111111.00','11111111111.000000','1111-11-11'),1,0)) AS NUM_REG_DIF,'"&amp;MAX('ID1&amp;5'!K:K)+1&amp;"' AS ID_EXEC, CURRENT_TIMESTAMP() AS TIME_EXEC FROM "&amp;I412,
IF(C412="Valores extremos",+"SELECT '"&amp;UPPER(B412)&amp;"' AS TABELA, '"&amp;UPPER(C412)&amp;"' AS TIPOLOGIA_TESTE,'"&amp;D412&amp;"' AS TABELA_LT,'N/A' AS TABELA_SIMUL,'"&amp;F412&amp;"' AS CAMPO, "&amp;"'${ref_date}' AS REF_DATE, CAST(MIN("&amp;F412&amp;") AS STRING) AS VALOR_MIN, CAST(MAX("&amp;F412&amp;") AS STRING) AS VALOR_MAX,'"&amp;MAX('ID1&amp;5'!K:K)+1&amp;"' AS ID_EXEC, CURRENT_TIMESTAMP() AS TIME_EXEC FROM "&amp;MID(I412,1,LEN(I412)-2)&amp;" AND CAST("&amp;F412&amp;"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TABELA_SIMUL,'intrnl_rtng_prvs' AS CAMPO, '${ref_date}' AS REF_DATE, COUNT(*) AS NUM_REG, SUM(IF(COALESCE(CAST(X.intrnl_rtng_prvs AS STRING),'')&lt;&gt;COALESCE(CAST(Y.intrnl_rtng_prvs_SIMUL AS STRING),'') OR (X.intrnl_rtng_prvs IS NULL AND Y.intrnl_rtng_prvs_SIMUL IS NOT NULL ) OR (X.intrnl_rtng_prvs IS NOT NULL AND Y.intrnl_rtng_prvs_SIMUL IS NULL),1,0)) AS NUM_REG_DIF,'1' AS ID_EXEC, CURRENT_TIMESTAMP() AS TIME_EXEC FROM (SELECT entty_id, intrnl_rtng_prvs FROM BU_LOANTAPE_WORK.LT003_ENTITY WHERE ref_date='${ref_date}' AND nome_perimetro='Individual Local' AND segmento='ESTR' AND ambito='SRB_MBDT' AND entidade='00100')X INNER JOIN (SELECT entty_id AS entty_id_SIMUL, intrnl_rtng_prvs AS intrnl_rtng_prvs_SIMUL FROM BU_LOANTAPE_WORK.SIMUL_LT003_ENTITY WHERE ref_date='${ref_date}' AND nome_perimetro='Individual Local' AND segmento='ESTR' AND ambito='PILAR3' AND entidade='00100')Y ON X.ENTTY_ID=Y.ENTTY_ID_SIMUL</v>
      </c>
      <c r="M412" s="36" t="str">
        <f t="shared" si="9"/>
        <v>UNION ALL SELECT 'ENTITY' AS TABELA, 'COERÊNCIA' AS TIPOLOGIA_TESTE,'BU_LOANTAPE_WORK.LT003_ENTITY' AS TABELA_LT,'BU_LOANTAPE_WORK.SIMUL_LT003_ENTITY' AS TABELA_SIMUL,'intrnl_rtng_prvs' AS CAMPO, '${ref_date}' AS REF_DATE, COUNT(*) AS NUM_REG, SUM(IF(COALESCE(CAST(X.intrnl_rtng_prvs AS STRING),'')&lt;&gt;COALESCE(CAST(Y.intrnl_rtng_prvs_SIMUL AS STRING),'') OR (X.intrnl_rtng_prvs IS NULL AND Y.intrnl_rtng_prvs_SIMUL IS NOT NULL ) OR (X.intrnl_rtng_prvs IS NOT NULL AND Y.intrnl_rtng_prvs_SIMUL IS NULL),1,0)) AS NUM_REG_DIF,'1' AS ID_EXEC, CURRENT_TIMESTAMP() AS TIME_EXEC FROM (SELECT entty_id, intrnl_rtng_prvs FROM BU_LOANTAPE_WORK.LT003_ENTITY WHERE ref_date='${ref_date}' AND nome_perimetro='Individual Local' AND segmento='ESTR' AND ambito='SRB_MBDT' AND entidade='00100')X INNER JOIN (SELECT entty_id AS entty_id_SIMUL, intrnl_rtng_prvs AS intrnl_rtng_prvs_SIMUL FROM BU_LOANTAPE_WORK.SIMUL_LT003_ENTITY WHERE ref_date='${ref_date}' AND nome_perimetro='Individual Local' AND segmento='ESTR' AND ambito='PILAR3' AND entidade='00100')Y ON X.ENTTY_ID=Y.ENTTY_ID_SIMUL</v>
      </c>
    </row>
    <row r="413" spans="2:13">
      <c r="B413" s="34" t="s">
        <v>118</v>
      </c>
      <c r="C413" s="34" t="s">
        <v>5</v>
      </c>
      <c r="D413" s="34" t="str">
        <f>+UPPER('0. Instruções'!$D$35&amp;"."&amp;VLOOKUP(B413,'0. Instruções'!$C$27:$D$32,2,FALSE))</f>
        <v>BU_LOANTAPE_WORK.LT003_ENTITY</v>
      </c>
      <c r="E413" s="34" t="str">
        <f>+UPPER('0. Instruções'!$D$36&amp;"."&amp;VLOOKUP(B413,'0. Instruções'!$C$27:$E$32,3,FALSE))</f>
        <v>BU_LOANTAPE_WORK.SIMUL_LT003_ENTITY</v>
      </c>
      <c r="F413" s="34" t="s">
        <v>1441</v>
      </c>
      <c r="G413" s="34"/>
      <c r="H413" s="34"/>
      <c r="I413" s="34" t="str">
        <f>"(SELECT "&amp;VLOOKUP(B413,'0. Instruções'!$C$27:$G$32,4,FALSE)&amp;", "&amp;F413&amp;" FROM "&amp;D413&amp;" WHERE "&amp;'0. Instruções'!$D$42&amp;")X"</f>
        <v>(SELECT entty_id, lgl_prcdng_stts_le FROM BU_LOANTAPE_WORK.LT003_ENTITY WHERE ref_date='${ref_date}' AND nome_perimetro='Individual Local' AND segmento='ESTR' AND ambito='SRB_MBDT' AND entidade='00100')X</v>
      </c>
      <c r="J413" s="34" t="str">
        <f>"(SELECT "&amp;VLOOKUP(B413,'0. Instruções'!$C$27:$G$32,4,FALSE)&amp;" AS "&amp;VLOOKUP(B413,'0. Instruções'!$C$27:$G$32,4,FALSE)&amp;"_SIMUL, "&amp;F413&amp;" AS "&amp;F413&amp;"_SIMUL FROM "&amp;E413&amp;" WHERE "&amp;'0. Instruções'!$D$43&amp;")Y"</f>
        <v>(SELECT entty_id AS entty_id_SIMUL, lgl_prcdng_stts_le AS lgl_prcdng_stts_le_SIMUL FROM BU_LOANTAPE_WORK.SIMUL_LT003_ENTITY WHERE ref_date='${ref_date}' AND nome_perimetro='Individual Local' AND segmento='ESTR' AND ambito='PILAR3' AND entidade='00100')Y</v>
      </c>
      <c r="K413" s="35" t="str">
        <f>+UPPER("ON X."&amp;VLOOKUP(B413,'0. Instruções'!$C$27:$G$32,4,FALSE)&amp;"=Y."&amp;VLOOKUP(B413,'0. Instruções'!$C$27:$G$32,4,FALSE)&amp;"_SIMUL")</f>
        <v>ON X.ENTTY_ID=Y.ENTTY_ID_SIMUL</v>
      </c>
      <c r="L413" s="35" t="str">
        <f>+IF(C413="Coerência", +IF(LEFT(G413,5)="FLOAT","SELECT '"&amp;UPPER(B413)&amp;"' AS TABELA, '"&amp;UPPER(C413)&amp;"' AS TIPOLOGIA_TESTE,'"&amp;D413&amp;"' AS TABELA_LT,'"&amp;E413&amp;"' AS TABELA_SIMUL,'"&amp;F413&amp;"' AS CAMPO, "&amp;"'${ref_date}' AS REF_DATE, COUNT(*) AS NUM_REG, SUM(IF((ABS(COALESCE(CAST(X."&amp;F413&amp;" AS DECIMAL(18,6)),0)-COALESCE(CAST(Y."&amp;F413&amp;"_SIMUL AS DECIMAL(18,6)),0))&gt;0.000001) OR (X."&amp;F413&amp;" IS NULL AND Y."&amp;F413&amp;"_SIMUL IS NOT NULL ) OR (X."&amp;F413&amp;" IS NOT NULL AND Y."&amp;F413&amp;"_SIMUL IS NULL),1,0)) AS NUM_REG_DIF,'"&amp;MAX('ID1&amp;5'!K:K)+1&amp;"' AS ID_EXEC, CURRENT_TIMESTAMP() AS TIME_EXEC FROM "&amp;I413&amp;" INNER JOIN "&amp;J413&amp;" "&amp;K413,"SELECT '"&amp;UPPER(B413)&amp;"' AS TABELA, '"&amp;UPPER(C413)&amp;"' AS TIPOLOGIA_TESTE,'"&amp;D413&amp;"' AS TABELA_LT,'"&amp;E413&amp;"' AS TABELA_SIMUL,'"&amp;F413&amp;"' AS CAMPO, "&amp;"'${ref_date}' AS REF_DATE, COUNT(*) AS NUM_REG, SUM(IF(COALESCE(CAST(X."&amp;F413&amp;" AS STRING),'')&lt;&gt;COALESCE(CAST(Y."&amp;F413&amp;"_SIMUL AS STRING),'') OR (X."&amp;F413&amp;" IS NULL AND Y."&amp;F413&amp;"_SIMUL IS NOT NULL ) OR (X."&amp;F413&amp;" IS NOT NULL AND Y."&amp;F413&amp;"_SIMUL IS NULL),1,0)) AS NUM_REG_DIF,'"&amp;MAX('ID1&amp;5'!L:L)+1&amp;"' AS ID_EXEC, CURRENT_TIMESTAMP() AS TIME_EXEC FROM "&amp;I413&amp;" INNER JOIN "&amp;J413&amp;" "&amp;K413),
IF(C413="Validade",+IF(G413="Code List","SELECT '"&amp;UPPER(B413)&amp;"' AS TABELA, '"&amp;UPPER(C413)&amp;"' AS TIPOLOGIA_TESTE,'"&amp;D413&amp;"' AS TABELA_LT,'N/A' AS TABELA_SIMUL,'"&amp;F413&amp;"' AS CAMPO, "&amp;"'${ref_date}' AS REF_DATE, COUNT(*) AS NUM_REG, SUM(IF(TRIM(CAST(X."&amp;F413&amp;" AS STRING))='' OR TRIM(CAST(X."&amp;F413&amp;" AS STRING)) IS NULL OR CAST(X."&amp;F413&amp;" AS STRING) NOT "&amp;H413&amp;",1,0)) AS NUM_REG_DIF,'"&amp;MAX('ID1&amp;5'!K:K)+1&amp;"' AS ID_EXEC, CURRENT_TIMESTAMP() AS TIME_EXEC FROM "&amp;I413,"SELECT '"&amp;UPPER(B413)&amp;"' AS TABELA, '"&amp;UPPER(C413)&amp;"' AS TIPOLOGIA_TESTE,'"&amp;D413&amp;"' AS TABELA_LT,'N/A' AS TABELA_SIMUL,'"&amp;F413&amp;"' AS CAMPO, "&amp;"'${ref_date}' AS REF_DATE, COUNT(*) AS NUM_REG, SUM(IF(TRIM(CAST(X."&amp;F413&amp;" AS STRING))='' OR TRIM(CAST(X."&amp;F413&amp;" AS STRING)) IS NULL,1,0)) AS NUM_REG_DIF,'"&amp;MAX('ID1&amp;5'!K:K)+1&amp;"' AS ID_EXEC, CURRENT_TIMESTAMP() AS TIME_EXEC FROM "&amp;I413),
IF(C413="Caracteres Especiais",+"SELECT '"&amp;UPPER(B413)&amp;"' AS TABELA, '"&amp;UPPER(C413)&amp;"' AS TIPOLOGIA_TESTE,'"&amp;D413&amp;"' AS TABELA_LT,'N/A' AS TABELA_SIMUL,'"&amp;F413&amp;"' AS CAMPO, "&amp;"'${ref_date}' AS REF_DATE, COUNT(*) AS NUM_REG, SUM(IF(REGEXP_REPLACE(TRIM(CAST(X."&amp;F413&amp;" AS STRING)),'[^a-zA-Z0-9_\\s]','') &lt;&gt;TRIM(CAST(X."&amp;F413&amp;" AS STRING)),1,0)) AS NUM_REG_DIF,'"&amp;MAX('ID1&amp;5'!K:K)+1&amp;"' AS ID_EXEC, CURRENT_TIMESTAMP() AS TIME_EXEC FROM "&amp;I413,
IF(C413="Missings",+"SELECT '"&amp;UPPER(B413)&amp;"' AS TABELA, '"&amp;UPPER(C413)&amp;"' AS TIPOLOGIA_TESTE,'"&amp;D413&amp;"' AS TABELA_LT,'N/A' AS TABELA_SIMUL,'"&amp;F413&amp;"' AS CAMPO, "&amp;"'${ref_date}' AS REF_DATE, COUNT(*) AS NUM_REG, SUM(IF(TRIM(CAST(X."&amp;F413&amp;" AS STRING)) IN ('0000-00-00','0001-01-01','9999-12-31','MISS','00000','99999999999','99999999999.00','99999999999.000000'),1,0)) AS NUM_REG_DIF,'"&amp;MAX('ID1&amp;5'!K:K)+1&amp;"' AS ID_EXEC, CURRENT_TIMESTAMP() AS TIME_EXEC FROM "&amp;I413,
IF(C413="Not applicable",+"SELECT '"&amp;UPPER(B413)&amp;"' AS TABELA, '"&amp;UPPER(C413)&amp;"' AS TIPOLOGIA_TESTE,'"&amp;D413&amp;"' AS TABELA_LT,'N/A' AS TABELA_SIMUL,'"&amp;F413&amp;"' AS CAMPO, "&amp;"'${ref_date}' AS REF_DATE, COUNT(*) AS NUM_REG, SUM(IF(TRIM(CAST(X."&amp;F413&amp;" AS STRING)) IN ('N/A','11111111111','11111111111.00','11111111111.000000','1111-11-11'),1,0)) AS NUM_REG_DIF,'"&amp;MAX('ID1&amp;5'!K:K)+1&amp;"' AS ID_EXEC, CURRENT_TIMESTAMP() AS TIME_EXEC FROM "&amp;I413,
IF(C413="Valores extremos",+"SELECT '"&amp;UPPER(B413)&amp;"' AS TABELA, '"&amp;UPPER(C413)&amp;"' AS TIPOLOGIA_TESTE,'"&amp;D413&amp;"' AS TABELA_LT,'N/A' AS TABELA_SIMUL,'"&amp;F413&amp;"' AS CAMPO, "&amp;"'${ref_date}' AS REF_DATE, CAST(MIN("&amp;F413&amp;") AS STRING) AS VALOR_MIN, CAST(MAX("&amp;F413&amp;") AS STRING) AS VALOR_MAX,'"&amp;MAX('ID1&amp;5'!K:K)+1&amp;"' AS ID_EXEC, CURRENT_TIMESTAMP() AS TIME_EXEC FROM "&amp;MID(I413,1,LEN(I413)-2)&amp;" AND CAST("&amp;F413&amp;"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TABELA_SIMUL,'lgl_prcdng_stts_le' AS CAMPO, '${ref_date}' AS REF_DATE, COUNT(*) AS NUM_REG, SUM(IF(COALESCE(CAST(X.lgl_prcdng_stts_le AS STRING),'')&lt;&gt;COALESCE(CAST(Y.lgl_prcdng_stts_le_SIMUL AS STRING),'') OR (X.lgl_prcdng_stts_le IS NULL AND Y.lgl_prcdng_stts_le_SIMUL IS NOT NULL ) OR (X.lgl_prcdng_stts_le IS NOT NULL AND Y.lgl_prcdng_stts_le_SIMUL IS NULL),1,0)) AS NUM_REG_DIF,'1' AS ID_EXEC, CURRENT_TIMESTAMP() AS TIME_EXEC FROM (SELECT entty_id, lgl_prcdng_stts_le FROM BU_LOANTAPE_WORK.LT003_ENTITY WHERE ref_date='${ref_date}' AND nome_perimetro='Individual Local' AND segmento='ESTR' AND ambito='SRB_MBDT' AND entidade='00100')X INNER JOIN (SELECT entty_id AS entty_id_SIMUL, lgl_prcdng_stts_le AS lgl_prcdng_stts_le_SIMUL FROM BU_LOANTAPE_WORK.SIMUL_LT003_ENTITY WHERE ref_date='${ref_date}' AND nome_perimetro='Individual Local' AND segmento='ESTR' AND ambito='PILAR3' AND entidade='00100')Y ON X.ENTTY_ID=Y.ENTTY_ID_SIMUL</v>
      </c>
      <c r="M413" s="36" t="str">
        <f t="shared" si="9"/>
        <v>UNION ALL SELECT 'ENTITY' AS TABELA, 'COERÊNCIA' AS TIPOLOGIA_TESTE,'BU_LOANTAPE_WORK.LT003_ENTITY' AS TABELA_LT,'BU_LOANTAPE_WORK.SIMUL_LT003_ENTITY' AS TABELA_SIMUL,'lgl_prcdng_stts_le' AS CAMPO, '${ref_date}' AS REF_DATE, COUNT(*) AS NUM_REG, SUM(IF(COALESCE(CAST(X.lgl_prcdng_stts_le AS STRING),'')&lt;&gt;COALESCE(CAST(Y.lgl_prcdng_stts_le_SIMUL AS STRING),'') OR (X.lgl_prcdng_stts_le IS NULL AND Y.lgl_prcdng_stts_le_SIMUL IS NOT NULL ) OR (X.lgl_prcdng_stts_le IS NOT NULL AND Y.lgl_prcdng_stts_le_SIMUL IS NULL),1,0)) AS NUM_REG_DIF,'1' AS ID_EXEC, CURRENT_TIMESTAMP() AS TIME_EXEC FROM (SELECT entty_id, lgl_prcdng_stts_le FROM BU_LOANTAPE_WORK.LT003_ENTITY WHERE ref_date='${ref_date}' AND nome_perimetro='Individual Local' AND segmento='ESTR' AND ambito='SRB_MBDT' AND entidade='00100')X INNER JOIN (SELECT entty_id AS entty_id_SIMUL, lgl_prcdng_stts_le AS lgl_prcdng_stts_le_SIMUL FROM BU_LOANTAPE_WORK.SIMUL_LT003_ENTITY WHERE ref_date='${ref_date}' AND nome_perimetro='Individual Local' AND segmento='ESTR' AND ambito='PILAR3' AND entidade='00100')Y ON X.ENTTY_ID=Y.ENTTY_ID_SIMUL</v>
      </c>
    </row>
    <row r="414" spans="2:13">
      <c r="B414" s="34" t="s">
        <v>118</v>
      </c>
      <c r="C414" s="34" t="s">
        <v>5</v>
      </c>
      <c r="D414" s="34" t="str">
        <f>+UPPER('0. Instruções'!$D$35&amp;"."&amp;VLOOKUP(B414,'0. Instruções'!$C$27:$D$32,2,FALSE))</f>
        <v>BU_LOANTAPE_WORK.LT003_ENTITY</v>
      </c>
      <c r="E414" s="34" t="str">
        <f>+UPPER('0. Instruções'!$D$36&amp;"."&amp;VLOOKUP(B414,'0. Instruções'!$C$27:$E$32,3,FALSE))</f>
        <v>BU_LOANTAPE_WORK.SIMUL_LT003_ENTITY</v>
      </c>
      <c r="F414" s="34" t="s">
        <v>1442</v>
      </c>
      <c r="G414" s="34"/>
      <c r="H414" s="34"/>
      <c r="I414" s="34" t="str">
        <f>"(SELECT "&amp;VLOOKUP(B414,'0. Instruções'!$C$27:$G$32,4,FALSE)&amp;", "&amp;F414&amp;" FROM "&amp;D414&amp;" WHERE "&amp;'0. Instruções'!$D$42&amp;")X"</f>
        <v>(SELECT entty_id, ownd_by_spnsr FROM BU_LOANTAPE_WORK.LT003_ENTITY WHERE ref_date='${ref_date}' AND nome_perimetro='Individual Local' AND segmento='ESTR' AND ambito='SRB_MBDT' AND entidade='00100')X</v>
      </c>
      <c r="J414" s="34" t="str">
        <f>"(SELECT "&amp;VLOOKUP(B414,'0. Instruções'!$C$27:$G$32,4,FALSE)&amp;" AS "&amp;VLOOKUP(B414,'0. Instruções'!$C$27:$G$32,4,FALSE)&amp;"_SIMUL, "&amp;F414&amp;" AS "&amp;F414&amp;"_SIMUL FROM "&amp;E414&amp;" WHERE "&amp;'0. Instruções'!$D$43&amp;")Y"</f>
        <v>(SELECT entty_id AS entty_id_SIMUL, ownd_by_spnsr AS ownd_by_spnsr_SIMUL FROM BU_LOANTAPE_WORK.SIMUL_LT003_ENTITY WHERE ref_date='${ref_date}' AND nome_perimetro='Individual Local' AND segmento='ESTR' AND ambito='PILAR3' AND entidade='00100')Y</v>
      </c>
      <c r="K414" s="35" t="str">
        <f>+UPPER("ON X."&amp;VLOOKUP(B414,'0. Instruções'!$C$27:$G$32,4,FALSE)&amp;"=Y."&amp;VLOOKUP(B414,'0. Instruções'!$C$27:$G$32,4,FALSE)&amp;"_SIMUL")</f>
        <v>ON X.ENTTY_ID=Y.ENTTY_ID_SIMUL</v>
      </c>
      <c r="L414" s="35" t="str">
        <f>+IF(C414="Coerência", +IF(LEFT(G414,5)="FLOAT","SELECT '"&amp;UPPER(B414)&amp;"' AS TABELA, '"&amp;UPPER(C414)&amp;"' AS TIPOLOGIA_TESTE,'"&amp;D414&amp;"' AS TABELA_LT,'"&amp;E414&amp;"' AS TABELA_SIMUL,'"&amp;F414&amp;"' AS CAMPO, "&amp;"'${ref_date}' AS REF_DATE, COUNT(*) AS NUM_REG, SUM(IF((ABS(COALESCE(CAST(X."&amp;F414&amp;" AS DECIMAL(18,6)),0)-COALESCE(CAST(Y."&amp;F414&amp;"_SIMUL AS DECIMAL(18,6)),0))&gt;0.000001) OR (X."&amp;F414&amp;" IS NULL AND Y."&amp;F414&amp;"_SIMUL IS NOT NULL ) OR (X."&amp;F414&amp;" IS NOT NULL AND Y."&amp;F414&amp;"_SIMUL IS NULL),1,0)) AS NUM_REG_DIF,'"&amp;MAX('ID1&amp;5'!K:K)+1&amp;"' AS ID_EXEC, CURRENT_TIMESTAMP() AS TIME_EXEC FROM "&amp;I414&amp;" INNER JOIN "&amp;J414&amp;" "&amp;K414,"SELECT '"&amp;UPPER(B414)&amp;"' AS TABELA, '"&amp;UPPER(C414)&amp;"' AS TIPOLOGIA_TESTE,'"&amp;D414&amp;"' AS TABELA_LT,'"&amp;E414&amp;"' AS TABELA_SIMUL,'"&amp;F414&amp;"' AS CAMPO, "&amp;"'${ref_date}' AS REF_DATE, COUNT(*) AS NUM_REG, SUM(IF(COALESCE(CAST(X."&amp;F414&amp;" AS STRING),'')&lt;&gt;COALESCE(CAST(Y."&amp;F414&amp;"_SIMUL AS STRING),'') OR (X."&amp;F414&amp;" IS NULL AND Y."&amp;F414&amp;"_SIMUL IS NOT NULL ) OR (X."&amp;F414&amp;" IS NOT NULL AND Y."&amp;F414&amp;"_SIMUL IS NULL),1,0)) AS NUM_REG_DIF,'"&amp;MAX('ID1&amp;5'!L:L)+1&amp;"' AS ID_EXEC, CURRENT_TIMESTAMP() AS TIME_EXEC FROM "&amp;I414&amp;" INNER JOIN "&amp;J414&amp;" "&amp;K414),
IF(C414="Validade",+IF(G414="Code List","SELECT '"&amp;UPPER(B414)&amp;"' AS TABELA, '"&amp;UPPER(C414)&amp;"' AS TIPOLOGIA_TESTE,'"&amp;D414&amp;"' AS TABELA_LT,'N/A' AS TABELA_SIMUL,'"&amp;F414&amp;"' AS CAMPO, "&amp;"'${ref_date}' AS REF_DATE, COUNT(*) AS NUM_REG, SUM(IF(TRIM(CAST(X."&amp;F414&amp;" AS STRING))='' OR TRIM(CAST(X."&amp;F414&amp;" AS STRING)) IS NULL OR CAST(X."&amp;F414&amp;" AS STRING) NOT "&amp;H414&amp;",1,0)) AS NUM_REG_DIF,'"&amp;MAX('ID1&amp;5'!K:K)+1&amp;"' AS ID_EXEC, CURRENT_TIMESTAMP() AS TIME_EXEC FROM "&amp;I414,"SELECT '"&amp;UPPER(B414)&amp;"' AS TABELA, '"&amp;UPPER(C414)&amp;"' AS TIPOLOGIA_TESTE,'"&amp;D414&amp;"' AS TABELA_LT,'N/A' AS TABELA_SIMUL,'"&amp;F414&amp;"' AS CAMPO, "&amp;"'${ref_date}' AS REF_DATE, COUNT(*) AS NUM_REG, SUM(IF(TRIM(CAST(X."&amp;F414&amp;" AS STRING))='' OR TRIM(CAST(X."&amp;F414&amp;" AS STRING)) IS NULL,1,0)) AS NUM_REG_DIF,'"&amp;MAX('ID1&amp;5'!K:K)+1&amp;"' AS ID_EXEC, CURRENT_TIMESTAMP() AS TIME_EXEC FROM "&amp;I414),
IF(C414="Caracteres Especiais",+"SELECT '"&amp;UPPER(B414)&amp;"' AS TABELA, '"&amp;UPPER(C414)&amp;"' AS TIPOLOGIA_TESTE,'"&amp;D414&amp;"' AS TABELA_LT,'N/A' AS TABELA_SIMUL,'"&amp;F414&amp;"' AS CAMPO, "&amp;"'${ref_date}' AS REF_DATE, COUNT(*) AS NUM_REG, SUM(IF(REGEXP_REPLACE(TRIM(CAST(X."&amp;F414&amp;" AS STRING)),'[^a-zA-Z0-9_\\s]','') &lt;&gt;TRIM(CAST(X."&amp;F414&amp;" AS STRING)),1,0)) AS NUM_REG_DIF,'"&amp;MAX('ID1&amp;5'!K:K)+1&amp;"' AS ID_EXEC, CURRENT_TIMESTAMP() AS TIME_EXEC FROM "&amp;I414,
IF(C414="Missings",+"SELECT '"&amp;UPPER(B414)&amp;"' AS TABELA, '"&amp;UPPER(C414)&amp;"' AS TIPOLOGIA_TESTE,'"&amp;D414&amp;"' AS TABELA_LT,'N/A' AS TABELA_SIMUL,'"&amp;F414&amp;"' AS CAMPO, "&amp;"'${ref_date}' AS REF_DATE, COUNT(*) AS NUM_REG, SUM(IF(TRIM(CAST(X."&amp;F414&amp;" AS STRING)) IN ('0000-00-00','0001-01-01','9999-12-31','MISS','00000','99999999999','99999999999.00','99999999999.000000'),1,0)) AS NUM_REG_DIF,'"&amp;MAX('ID1&amp;5'!K:K)+1&amp;"' AS ID_EXEC, CURRENT_TIMESTAMP() AS TIME_EXEC FROM "&amp;I414,
IF(C414="Not applicable",+"SELECT '"&amp;UPPER(B414)&amp;"' AS TABELA, '"&amp;UPPER(C414)&amp;"' AS TIPOLOGIA_TESTE,'"&amp;D414&amp;"' AS TABELA_LT,'N/A' AS TABELA_SIMUL,'"&amp;F414&amp;"' AS CAMPO, "&amp;"'${ref_date}' AS REF_DATE, COUNT(*) AS NUM_REG, SUM(IF(TRIM(CAST(X."&amp;F414&amp;" AS STRING)) IN ('N/A','11111111111','11111111111.00','11111111111.000000','1111-11-11'),1,0)) AS NUM_REG_DIF,'"&amp;MAX('ID1&amp;5'!K:K)+1&amp;"' AS ID_EXEC, CURRENT_TIMESTAMP() AS TIME_EXEC FROM "&amp;I414,
IF(C414="Valores extremos",+"SELECT '"&amp;UPPER(B414)&amp;"' AS TABELA, '"&amp;UPPER(C414)&amp;"' AS TIPOLOGIA_TESTE,'"&amp;D414&amp;"' AS TABELA_LT,'N/A' AS TABELA_SIMUL,'"&amp;F414&amp;"' AS CAMPO, "&amp;"'${ref_date}' AS REF_DATE, CAST(MIN("&amp;F414&amp;") AS STRING) AS VALOR_MIN, CAST(MAX("&amp;F414&amp;") AS STRING) AS VALOR_MAX,'"&amp;MAX('ID1&amp;5'!K:K)+1&amp;"' AS ID_EXEC, CURRENT_TIMESTAMP() AS TIME_EXEC FROM "&amp;MID(I414,1,LEN(I414)-2)&amp;" AND CAST("&amp;F414&amp;"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TABELA_SIMUL,'ownd_by_spnsr' AS CAMPO, '${ref_date}' AS REF_DATE, COUNT(*) AS NUM_REG, SUM(IF(COALESCE(CAST(X.ownd_by_spnsr AS STRING),'')&lt;&gt;COALESCE(CAST(Y.ownd_by_spnsr_SIMUL AS STRING),'') OR (X.ownd_by_spnsr IS NULL AND Y.ownd_by_spnsr_SIMUL IS NOT NULL ) OR (X.ownd_by_spnsr IS NOT NULL AND Y.ownd_by_spnsr_SIMUL IS NULL),1,0)) AS NUM_REG_DIF,'1' AS ID_EXEC, CURRENT_TIMESTAMP() AS TIME_EXEC FROM (SELECT entty_id, ownd_by_spnsr FROM BU_LOANTAPE_WORK.LT003_ENTITY WHERE ref_date='${ref_date}' AND nome_perimetro='Individual Local' AND segmento='ESTR' AND ambito='SRB_MBDT' AND entidade='00100')X INNER JOIN (SELECT entty_id AS entty_id_SIMUL, ownd_by_spnsr AS ownd_by_spnsr_SIMUL FROM BU_LOANTAPE_WORK.SIMUL_LT003_ENTITY WHERE ref_date='${ref_date}' AND nome_perimetro='Individual Local' AND segmento='ESTR' AND ambito='PILAR3' AND entidade='00100')Y ON X.ENTTY_ID=Y.ENTTY_ID_SIMUL</v>
      </c>
      <c r="M414" s="36" t="str">
        <f t="shared" si="9"/>
        <v>UNION ALL SELECT 'ENTITY' AS TABELA, 'COERÊNCIA' AS TIPOLOGIA_TESTE,'BU_LOANTAPE_WORK.LT003_ENTITY' AS TABELA_LT,'BU_LOANTAPE_WORK.SIMUL_LT003_ENTITY' AS TABELA_SIMUL,'ownd_by_spnsr' AS CAMPO, '${ref_date}' AS REF_DATE, COUNT(*) AS NUM_REG, SUM(IF(COALESCE(CAST(X.ownd_by_spnsr AS STRING),'')&lt;&gt;COALESCE(CAST(Y.ownd_by_spnsr_SIMUL AS STRING),'') OR (X.ownd_by_spnsr IS NULL AND Y.ownd_by_spnsr_SIMUL IS NOT NULL ) OR (X.ownd_by_spnsr IS NOT NULL AND Y.ownd_by_spnsr_SIMUL IS NULL),1,0)) AS NUM_REG_DIF,'1' AS ID_EXEC, CURRENT_TIMESTAMP() AS TIME_EXEC FROM (SELECT entty_id, ownd_by_spnsr FROM BU_LOANTAPE_WORK.LT003_ENTITY WHERE ref_date='${ref_date}' AND nome_perimetro='Individual Local' AND segmento='ESTR' AND ambito='SRB_MBDT' AND entidade='00100')X INNER JOIN (SELECT entty_id AS entty_id_SIMUL, ownd_by_spnsr AS ownd_by_spnsr_SIMUL FROM BU_LOANTAPE_WORK.SIMUL_LT003_ENTITY WHERE ref_date='${ref_date}' AND nome_perimetro='Individual Local' AND segmento='ESTR' AND ambito='PILAR3' AND entidade='00100')Y ON X.ENTTY_ID=Y.ENTTY_ID_SIMUL</v>
      </c>
    </row>
    <row r="415" spans="2:13">
      <c r="B415" s="34" t="s">
        <v>118</v>
      </c>
      <c r="C415" s="34" t="s">
        <v>5</v>
      </c>
      <c r="D415" s="34" t="str">
        <f>+UPPER('0. Instruções'!$D$35&amp;"."&amp;VLOOKUP(B415,'0. Instruções'!$C$27:$D$32,2,FALSE))</f>
        <v>BU_LOANTAPE_WORK.LT003_ENTITY</v>
      </c>
      <c r="E415" s="34" t="str">
        <f>+UPPER('0. Instruções'!$D$36&amp;"."&amp;VLOOKUP(B415,'0. Instruções'!$C$27:$E$32,3,FALSE))</f>
        <v>BU_LOANTAPE_WORK.SIMUL_LT003_ENTITY</v>
      </c>
      <c r="F415" s="34" t="s">
        <v>1443</v>
      </c>
      <c r="G415" s="34"/>
      <c r="H415" s="34"/>
      <c r="I415" s="34" t="str">
        <f>"(SELECT "&amp;VLOOKUP(B415,'0. Instruções'!$C$27:$G$32,4,FALSE)&amp;", "&amp;F415&amp;" FROM "&amp;D415&amp;" WHERE "&amp;'0. Instruções'!$D$42&amp;")X"</f>
        <v>(SELECT entty_id, prfrmng_stts_le FROM BU_LOANTAPE_WORK.LT003_ENTITY WHERE ref_date='${ref_date}' AND nome_perimetro='Individual Local' AND segmento='ESTR' AND ambito='SRB_MBDT' AND entidade='00100')X</v>
      </c>
      <c r="J415" s="34" t="str">
        <f>"(SELECT "&amp;VLOOKUP(B415,'0. Instruções'!$C$27:$G$32,4,FALSE)&amp;" AS "&amp;VLOOKUP(B415,'0. Instruções'!$C$27:$G$32,4,FALSE)&amp;"_SIMUL, "&amp;F415&amp;" AS "&amp;F415&amp;"_SIMUL FROM "&amp;E415&amp;" WHERE "&amp;'0. Instruções'!$D$43&amp;")Y"</f>
        <v>(SELECT entty_id AS entty_id_SIMUL, prfrmng_stts_le AS prfrmng_stts_le_SIMUL FROM BU_LOANTAPE_WORK.SIMUL_LT003_ENTITY WHERE ref_date='${ref_date}' AND nome_perimetro='Individual Local' AND segmento='ESTR' AND ambito='PILAR3' AND entidade='00100')Y</v>
      </c>
      <c r="K415" s="35" t="str">
        <f>+UPPER("ON X."&amp;VLOOKUP(B415,'0. Instruções'!$C$27:$G$32,4,FALSE)&amp;"=Y."&amp;VLOOKUP(B415,'0. Instruções'!$C$27:$G$32,4,FALSE)&amp;"_SIMUL")</f>
        <v>ON X.ENTTY_ID=Y.ENTTY_ID_SIMUL</v>
      </c>
      <c r="L415" s="35" t="str">
        <f>+IF(C415="Coerência", +IF(LEFT(G415,5)="FLOAT","SELECT '"&amp;UPPER(B415)&amp;"' AS TABELA, '"&amp;UPPER(C415)&amp;"' AS TIPOLOGIA_TESTE,'"&amp;D415&amp;"' AS TABELA_LT,'"&amp;E415&amp;"' AS TABELA_SIMUL,'"&amp;F415&amp;"' AS CAMPO, "&amp;"'${ref_date}' AS REF_DATE, COUNT(*) AS NUM_REG, SUM(IF((ABS(COALESCE(CAST(X."&amp;F415&amp;" AS DECIMAL(18,6)),0)-COALESCE(CAST(Y."&amp;F415&amp;"_SIMUL AS DECIMAL(18,6)),0))&gt;0.000001) OR (X."&amp;F415&amp;" IS NULL AND Y."&amp;F415&amp;"_SIMUL IS NOT NULL ) OR (X."&amp;F415&amp;" IS NOT NULL AND Y."&amp;F415&amp;"_SIMUL IS NULL),1,0)) AS NUM_REG_DIF,'"&amp;MAX('ID1&amp;5'!K:K)+1&amp;"' AS ID_EXEC, CURRENT_TIMESTAMP() AS TIME_EXEC FROM "&amp;I415&amp;" INNER JOIN "&amp;J415&amp;" "&amp;K415,"SELECT '"&amp;UPPER(B415)&amp;"' AS TABELA, '"&amp;UPPER(C415)&amp;"' AS TIPOLOGIA_TESTE,'"&amp;D415&amp;"' AS TABELA_LT,'"&amp;E415&amp;"' AS TABELA_SIMUL,'"&amp;F415&amp;"' AS CAMPO, "&amp;"'${ref_date}' AS REF_DATE, COUNT(*) AS NUM_REG, SUM(IF(COALESCE(CAST(X."&amp;F415&amp;" AS STRING),'')&lt;&gt;COALESCE(CAST(Y."&amp;F415&amp;"_SIMUL AS STRING),'') OR (X."&amp;F415&amp;" IS NULL AND Y."&amp;F415&amp;"_SIMUL IS NOT NULL ) OR (X."&amp;F415&amp;" IS NOT NULL AND Y."&amp;F415&amp;"_SIMUL IS NULL),1,0)) AS NUM_REG_DIF,'"&amp;MAX('ID1&amp;5'!L:L)+1&amp;"' AS ID_EXEC, CURRENT_TIMESTAMP() AS TIME_EXEC FROM "&amp;I415&amp;" INNER JOIN "&amp;J415&amp;" "&amp;K415),
IF(C415="Validade",+IF(G415="Code List","SELECT '"&amp;UPPER(B415)&amp;"' AS TABELA, '"&amp;UPPER(C415)&amp;"' AS TIPOLOGIA_TESTE,'"&amp;D415&amp;"' AS TABELA_LT,'N/A' AS TABELA_SIMUL,'"&amp;F415&amp;"' AS CAMPO, "&amp;"'${ref_date}' AS REF_DATE, COUNT(*) AS NUM_REG, SUM(IF(TRIM(CAST(X."&amp;F415&amp;" AS STRING))='' OR TRIM(CAST(X."&amp;F415&amp;" AS STRING)) IS NULL OR CAST(X."&amp;F415&amp;" AS STRING) NOT "&amp;H415&amp;",1,0)) AS NUM_REG_DIF,'"&amp;MAX('ID1&amp;5'!K:K)+1&amp;"' AS ID_EXEC, CURRENT_TIMESTAMP() AS TIME_EXEC FROM "&amp;I415,"SELECT '"&amp;UPPER(B415)&amp;"' AS TABELA, '"&amp;UPPER(C415)&amp;"' AS TIPOLOGIA_TESTE,'"&amp;D415&amp;"' AS TABELA_LT,'N/A' AS TABELA_SIMUL,'"&amp;F415&amp;"' AS CAMPO, "&amp;"'${ref_date}' AS REF_DATE, COUNT(*) AS NUM_REG, SUM(IF(TRIM(CAST(X."&amp;F415&amp;" AS STRING))='' OR TRIM(CAST(X."&amp;F415&amp;" AS STRING)) IS NULL,1,0)) AS NUM_REG_DIF,'"&amp;MAX('ID1&amp;5'!K:K)+1&amp;"' AS ID_EXEC, CURRENT_TIMESTAMP() AS TIME_EXEC FROM "&amp;I415),
IF(C415="Caracteres Especiais",+"SELECT '"&amp;UPPER(B415)&amp;"' AS TABELA, '"&amp;UPPER(C415)&amp;"' AS TIPOLOGIA_TESTE,'"&amp;D415&amp;"' AS TABELA_LT,'N/A' AS TABELA_SIMUL,'"&amp;F415&amp;"' AS CAMPO, "&amp;"'${ref_date}' AS REF_DATE, COUNT(*) AS NUM_REG, SUM(IF(REGEXP_REPLACE(TRIM(CAST(X."&amp;F415&amp;" AS STRING)),'[^a-zA-Z0-9_\\s]','') &lt;&gt;TRIM(CAST(X."&amp;F415&amp;" AS STRING)),1,0)) AS NUM_REG_DIF,'"&amp;MAX('ID1&amp;5'!K:K)+1&amp;"' AS ID_EXEC, CURRENT_TIMESTAMP() AS TIME_EXEC FROM "&amp;I415,
IF(C415="Missings",+"SELECT '"&amp;UPPER(B415)&amp;"' AS TABELA, '"&amp;UPPER(C415)&amp;"' AS TIPOLOGIA_TESTE,'"&amp;D415&amp;"' AS TABELA_LT,'N/A' AS TABELA_SIMUL,'"&amp;F415&amp;"' AS CAMPO, "&amp;"'${ref_date}' AS REF_DATE, COUNT(*) AS NUM_REG, SUM(IF(TRIM(CAST(X."&amp;F415&amp;" AS STRING)) IN ('0000-00-00','0001-01-01','9999-12-31','MISS','00000','99999999999','99999999999.00','99999999999.000000'),1,0)) AS NUM_REG_DIF,'"&amp;MAX('ID1&amp;5'!K:K)+1&amp;"' AS ID_EXEC, CURRENT_TIMESTAMP() AS TIME_EXEC FROM "&amp;I415,
IF(C415="Not applicable",+"SELECT '"&amp;UPPER(B415)&amp;"' AS TABELA, '"&amp;UPPER(C415)&amp;"' AS TIPOLOGIA_TESTE,'"&amp;D415&amp;"' AS TABELA_LT,'N/A' AS TABELA_SIMUL,'"&amp;F415&amp;"' AS CAMPO, "&amp;"'${ref_date}' AS REF_DATE, COUNT(*) AS NUM_REG, SUM(IF(TRIM(CAST(X."&amp;F415&amp;" AS STRING)) IN ('N/A','11111111111','11111111111.00','11111111111.000000','1111-11-11'),1,0)) AS NUM_REG_DIF,'"&amp;MAX('ID1&amp;5'!K:K)+1&amp;"' AS ID_EXEC, CURRENT_TIMESTAMP() AS TIME_EXEC FROM "&amp;I415,
IF(C415="Valores extremos",+"SELECT '"&amp;UPPER(B415)&amp;"' AS TABELA, '"&amp;UPPER(C415)&amp;"' AS TIPOLOGIA_TESTE,'"&amp;D415&amp;"' AS TABELA_LT,'N/A' AS TABELA_SIMUL,'"&amp;F415&amp;"' AS CAMPO, "&amp;"'${ref_date}' AS REF_DATE, CAST(MIN("&amp;F415&amp;") AS STRING) AS VALOR_MIN, CAST(MAX("&amp;F415&amp;") AS STRING) AS VALOR_MAX,'"&amp;MAX('ID1&amp;5'!K:K)+1&amp;"' AS ID_EXEC, CURRENT_TIMESTAMP() AS TIME_EXEC FROM "&amp;MID(I415,1,LEN(I415)-2)&amp;" AND CAST("&amp;F415&amp;"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TABELA_SIMUL,'prfrmng_stts_le' AS CAMPO, '${ref_date}' AS REF_DATE, COUNT(*) AS NUM_REG, SUM(IF(COALESCE(CAST(X.prfrmng_stts_le AS STRING),'')&lt;&gt;COALESCE(CAST(Y.prfrmng_stts_le_SIMUL AS STRING),'') OR (X.prfrmng_stts_le IS NULL AND Y.prfrmng_stts_le_SIMUL IS NOT NULL ) OR (X.prfrmng_stts_le IS NOT NULL AND Y.prfrmng_stts_le_SIMUL IS NULL),1,0)) AS NUM_REG_DIF,'1' AS ID_EXEC, CURRENT_TIMESTAMP() AS TIME_EXEC FROM (SELECT entty_id, prfrmng_stts_le FROM BU_LOANTAPE_WORK.LT003_ENTITY WHERE ref_date='${ref_date}' AND nome_perimetro='Individual Local' AND segmento='ESTR' AND ambito='SRB_MBDT' AND entidade='00100')X INNER JOIN (SELECT entty_id AS entty_id_SIMUL, prfrmng_stts_le AS prfrmng_stts_le_SIMUL FROM BU_LOANTAPE_WORK.SIMUL_LT003_ENTITY WHERE ref_date='${ref_date}' AND nome_perimetro='Individual Local' AND segmento='ESTR' AND ambito='PILAR3' AND entidade='00100')Y ON X.ENTTY_ID=Y.ENTTY_ID_SIMUL</v>
      </c>
      <c r="M415" s="36" t="str">
        <f t="shared" si="9"/>
        <v>UNION ALL SELECT 'ENTITY' AS TABELA, 'COERÊNCIA' AS TIPOLOGIA_TESTE,'BU_LOANTAPE_WORK.LT003_ENTITY' AS TABELA_LT,'BU_LOANTAPE_WORK.SIMUL_LT003_ENTITY' AS TABELA_SIMUL,'prfrmng_stts_le' AS CAMPO, '${ref_date}' AS REF_DATE, COUNT(*) AS NUM_REG, SUM(IF(COALESCE(CAST(X.prfrmng_stts_le AS STRING),'')&lt;&gt;COALESCE(CAST(Y.prfrmng_stts_le_SIMUL AS STRING),'') OR (X.prfrmng_stts_le IS NULL AND Y.prfrmng_stts_le_SIMUL IS NOT NULL ) OR (X.prfrmng_stts_le IS NOT NULL AND Y.prfrmng_stts_le_SIMUL IS NULL),1,0)) AS NUM_REG_DIF,'1' AS ID_EXEC, CURRENT_TIMESTAMP() AS TIME_EXEC FROM (SELECT entty_id, prfrmng_stts_le FROM BU_LOANTAPE_WORK.LT003_ENTITY WHERE ref_date='${ref_date}' AND nome_perimetro='Individual Local' AND segmento='ESTR' AND ambito='SRB_MBDT' AND entidade='00100')X INNER JOIN (SELECT entty_id AS entty_id_SIMUL, prfrmng_stts_le AS prfrmng_stts_le_SIMUL FROM BU_LOANTAPE_WORK.SIMUL_LT003_ENTITY WHERE ref_date='${ref_date}' AND nome_perimetro='Individual Local' AND segmento='ESTR' AND ambito='PILAR3' AND entidade='00100')Y ON X.ENTTY_ID=Y.ENTTY_ID_SIMUL</v>
      </c>
    </row>
    <row r="416" spans="2:13">
      <c r="B416" s="34" t="s">
        <v>118</v>
      </c>
      <c r="C416" s="34" t="s">
        <v>5</v>
      </c>
      <c r="D416" s="34" t="str">
        <f>+UPPER('0. Instruções'!$D$35&amp;"."&amp;VLOOKUP(B416,'0. Instruções'!$C$27:$D$32,2,FALSE))</f>
        <v>BU_LOANTAPE_WORK.LT003_ENTITY</v>
      </c>
      <c r="E416" s="34" t="str">
        <f>+UPPER('0. Instruções'!$D$36&amp;"."&amp;VLOOKUP(B416,'0. Instruções'!$C$27:$E$32,3,FALSE))</f>
        <v>BU_LOANTAPE_WORK.SIMUL_LT003_ENTITY</v>
      </c>
      <c r="F416" s="34" t="s">
        <v>1238</v>
      </c>
      <c r="G416" s="34"/>
      <c r="H416" s="34"/>
      <c r="I416" s="34" t="str">
        <f>"(SELECT "&amp;VLOOKUP(B416,'0. Instruções'!$C$27:$G$32,4,FALSE)&amp;", "&amp;F416&amp;" FROM "&amp;D416&amp;" WHERE "&amp;'0. Instruções'!$D$42&amp;")X"</f>
        <v>(SELECT entty_id, rtng_mthd FROM BU_LOANTAPE_WORK.LT003_ENTITY WHERE ref_date='${ref_date}' AND nome_perimetro='Individual Local' AND segmento='ESTR' AND ambito='SRB_MBDT' AND entidade='00100')X</v>
      </c>
      <c r="J416" s="34" t="str">
        <f>"(SELECT "&amp;VLOOKUP(B416,'0. Instruções'!$C$27:$G$32,4,FALSE)&amp;" AS "&amp;VLOOKUP(B416,'0. Instruções'!$C$27:$G$32,4,FALSE)&amp;"_SIMUL, "&amp;F416&amp;" AS "&amp;F416&amp;"_SIMUL FROM "&amp;E416&amp;" WHERE "&amp;'0. Instruções'!$D$43&amp;")Y"</f>
        <v>(SELECT entty_id AS entty_id_SIMUL, rtng_mthd AS rtng_mthd_SIMUL FROM BU_LOANTAPE_WORK.SIMUL_LT003_ENTITY WHERE ref_date='${ref_date}' AND nome_perimetro='Individual Local' AND segmento='ESTR' AND ambito='PILAR3' AND entidade='00100')Y</v>
      </c>
      <c r="K416" s="35" t="str">
        <f>+UPPER("ON X."&amp;VLOOKUP(B416,'0. Instruções'!$C$27:$G$32,4,FALSE)&amp;"=Y."&amp;VLOOKUP(B416,'0. Instruções'!$C$27:$G$32,4,FALSE)&amp;"_SIMUL")</f>
        <v>ON X.ENTTY_ID=Y.ENTTY_ID_SIMUL</v>
      </c>
      <c r="L416" s="35" t="str">
        <f>+IF(C416="Coerência", +IF(LEFT(G416,5)="FLOAT","SELECT '"&amp;UPPER(B416)&amp;"' AS TABELA, '"&amp;UPPER(C416)&amp;"' AS TIPOLOGIA_TESTE,'"&amp;D416&amp;"' AS TABELA_LT,'"&amp;E416&amp;"' AS TABELA_SIMUL,'"&amp;F416&amp;"' AS CAMPO, "&amp;"'${ref_date}' AS REF_DATE, COUNT(*) AS NUM_REG, SUM(IF((ABS(COALESCE(CAST(X."&amp;F416&amp;" AS DECIMAL(18,6)),0)-COALESCE(CAST(Y."&amp;F416&amp;"_SIMUL AS DECIMAL(18,6)),0))&gt;0.000001) OR (X."&amp;F416&amp;" IS NULL AND Y."&amp;F416&amp;"_SIMUL IS NOT NULL ) OR (X."&amp;F416&amp;" IS NOT NULL AND Y."&amp;F416&amp;"_SIMUL IS NULL),1,0)) AS NUM_REG_DIF,'"&amp;MAX('ID1&amp;5'!K:K)+1&amp;"' AS ID_EXEC, CURRENT_TIMESTAMP() AS TIME_EXEC FROM "&amp;I416&amp;" INNER JOIN "&amp;J416&amp;" "&amp;K416,"SELECT '"&amp;UPPER(B416)&amp;"' AS TABELA, '"&amp;UPPER(C416)&amp;"' AS TIPOLOGIA_TESTE,'"&amp;D416&amp;"' AS TABELA_LT,'"&amp;E416&amp;"' AS TABELA_SIMUL,'"&amp;F416&amp;"' AS CAMPO, "&amp;"'${ref_date}' AS REF_DATE, COUNT(*) AS NUM_REG, SUM(IF(COALESCE(CAST(X."&amp;F416&amp;" AS STRING),'')&lt;&gt;COALESCE(CAST(Y."&amp;F416&amp;"_SIMUL AS STRING),'') OR (X."&amp;F416&amp;" IS NULL AND Y."&amp;F416&amp;"_SIMUL IS NOT NULL ) OR (X."&amp;F416&amp;" IS NOT NULL AND Y."&amp;F416&amp;"_SIMUL IS NULL),1,0)) AS NUM_REG_DIF,'"&amp;MAX('ID1&amp;5'!L:L)+1&amp;"' AS ID_EXEC, CURRENT_TIMESTAMP() AS TIME_EXEC FROM "&amp;I416&amp;" INNER JOIN "&amp;J416&amp;" "&amp;K416),
IF(C416="Validade",+IF(G416="Code List","SELECT '"&amp;UPPER(B416)&amp;"' AS TABELA, '"&amp;UPPER(C416)&amp;"' AS TIPOLOGIA_TESTE,'"&amp;D416&amp;"' AS TABELA_LT,'N/A' AS TABELA_SIMUL,'"&amp;F416&amp;"' AS CAMPO, "&amp;"'${ref_date}' AS REF_DATE, COUNT(*) AS NUM_REG, SUM(IF(TRIM(CAST(X."&amp;F416&amp;" AS STRING))='' OR TRIM(CAST(X."&amp;F416&amp;" AS STRING)) IS NULL OR CAST(X."&amp;F416&amp;" AS STRING) NOT "&amp;H416&amp;",1,0)) AS NUM_REG_DIF,'"&amp;MAX('ID1&amp;5'!K:K)+1&amp;"' AS ID_EXEC, CURRENT_TIMESTAMP() AS TIME_EXEC FROM "&amp;I416,"SELECT '"&amp;UPPER(B416)&amp;"' AS TABELA, '"&amp;UPPER(C416)&amp;"' AS TIPOLOGIA_TESTE,'"&amp;D416&amp;"' AS TABELA_LT,'N/A' AS TABELA_SIMUL,'"&amp;F416&amp;"' AS CAMPO, "&amp;"'${ref_date}' AS REF_DATE, COUNT(*) AS NUM_REG, SUM(IF(TRIM(CAST(X."&amp;F416&amp;" AS STRING))='' OR TRIM(CAST(X."&amp;F416&amp;" AS STRING)) IS NULL,1,0)) AS NUM_REG_DIF,'"&amp;MAX('ID1&amp;5'!K:K)+1&amp;"' AS ID_EXEC, CURRENT_TIMESTAMP() AS TIME_EXEC FROM "&amp;I416),
IF(C416="Caracteres Especiais",+"SELECT '"&amp;UPPER(B416)&amp;"' AS TABELA, '"&amp;UPPER(C416)&amp;"' AS TIPOLOGIA_TESTE,'"&amp;D416&amp;"' AS TABELA_LT,'N/A' AS TABELA_SIMUL,'"&amp;F416&amp;"' AS CAMPO, "&amp;"'${ref_date}' AS REF_DATE, COUNT(*) AS NUM_REG, SUM(IF(REGEXP_REPLACE(TRIM(CAST(X."&amp;F416&amp;" AS STRING)),'[^a-zA-Z0-9_\\s]','') &lt;&gt;TRIM(CAST(X."&amp;F416&amp;" AS STRING)),1,0)) AS NUM_REG_DIF,'"&amp;MAX('ID1&amp;5'!K:K)+1&amp;"' AS ID_EXEC, CURRENT_TIMESTAMP() AS TIME_EXEC FROM "&amp;I416,
IF(C416="Missings",+"SELECT '"&amp;UPPER(B416)&amp;"' AS TABELA, '"&amp;UPPER(C416)&amp;"' AS TIPOLOGIA_TESTE,'"&amp;D416&amp;"' AS TABELA_LT,'N/A' AS TABELA_SIMUL,'"&amp;F416&amp;"' AS CAMPO, "&amp;"'${ref_date}' AS REF_DATE, COUNT(*) AS NUM_REG, SUM(IF(TRIM(CAST(X."&amp;F416&amp;" AS STRING)) IN ('0000-00-00','0001-01-01','9999-12-31','MISS','00000','99999999999','99999999999.00','99999999999.000000'),1,0)) AS NUM_REG_DIF,'"&amp;MAX('ID1&amp;5'!K:K)+1&amp;"' AS ID_EXEC, CURRENT_TIMESTAMP() AS TIME_EXEC FROM "&amp;I416,
IF(C416="Not applicable",+"SELECT '"&amp;UPPER(B416)&amp;"' AS TABELA, '"&amp;UPPER(C416)&amp;"' AS TIPOLOGIA_TESTE,'"&amp;D416&amp;"' AS TABELA_LT,'N/A' AS TABELA_SIMUL,'"&amp;F416&amp;"' AS CAMPO, "&amp;"'${ref_date}' AS REF_DATE, COUNT(*) AS NUM_REG, SUM(IF(TRIM(CAST(X."&amp;F416&amp;" AS STRING)) IN ('N/A','11111111111','11111111111.00','11111111111.000000','1111-11-11'),1,0)) AS NUM_REG_DIF,'"&amp;MAX('ID1&amp;5'!K:K)+1&amp;"' AS ID_EXEC, CURRENT_TIMESTAMP() AS TIME_EXEC FROM "&amp;I416,
IF(C416="Valores extremos",+"SELECT '"&amp;UPPER(B416)&amp;"' AS TABELA, '"&amp;UPPER(C416)&amp;"' AS TIPOLOGIA_TESTE,'"&amp;D416&amp;"' AS TABELA_LT,'N/A' AS TABELA_SIMUL,'"&amp;F416&amp;"' AS CAMPO, "&amp;"'${ref_date}' AS REF_DATE, CAST(MIN("&amp;F416&amp;") AS STRING) AS VALOR_MIN, CAST(MAX("&amp;F416&amp;") AS STRING) AS VALOR_MAX,'"&amp;MAX('ID1&amp;5'!K:K)+1&amp;"' AS ID_EXEC, CURRENT_TIMESTAMP() AS TIME_EXEC FROM "&amp;MID(I416,1,LEN(I416)-2)&amp;" AND CAST("&amp;F416&amp;"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TABELA_SIMUL,'rtng_mthd' AS CAMPO, '${ref_date}' AS REF_DATE, COUNT(*) AS NUM_REG, SUM(IF(COALESCE(CAST(X.rtng_mthd AS STRING),'')&lt;&gt;COALESCE(CAST(Y.rtng_mthd_SIMUL AS STRING),'') OR (X.rtng_mthd IS NULL AND Y.rtng_mthd_SIMUL IS NOT NULL ) OR (X.rtng_mthd IS NOT NULL AND Y.rtng_mthd_SIMUL IS NULL),1,0)) AS NUM_REG_DIF,'1' AS ID_EXEC, CURRENT_TIMESTAMP() AS TIME_EXEC FROM (SELECT entty_id, rtng_mthd FROM BU_LOANTAPE_WORK.LT003_ENTITY WHERE ref_date='${ref_date}' AND nome_perimetro='Individual Local' AND segmento='ESTR' AND ambito='SRB_MBDT' AND entidade='00100')X INNER JOIN (SELECT entty_id AS entty_id_SIMUL, rtng_mthd AS rtng_mthd_SIMUL FROM BU_LOANTAPE_WORK.SIMUL_LT003_ENTITY WHERE ref_date='${ref_date}' AND nome_perimetro='Individual Local' AND segmento='ESTR' AND ambito='PILAR3' AND entidade='00100')Y ON X.ENTTY_ID=Y.ENTTY_ID_SIMUL</v>
      </c>
      <c r="M416" s="36" t="str">
        <f t="shared" si="9"/>
        <v>UNION ALL SELECT 'ENTITY' AS TABELA, 'COERÊNCIA' AS TIPOLOGIA_TESTE,'BU_LOANTAPE_WORK.LT003_ENTITY' AS TABELA_LT,'BU_LOANTAPE_WORK.SIMUL_LT003_ENTITY' AS TABELA_SIMUL,'rtng_mthd' AS CAMPO, '${ref_date}' AS REF_DATE, COUNT(*) AS NUM_REG, SUM(IF(COALESCE(CAST(X.rtng_mthd AS STRING),'')&lt;&gt;COALESCE(CAST(Y.rtng_mthd_SIMUL AS STRING),'') OR (X.rtng_mthd IS NULL AND Y.rtng_mthd_SIMUL IS NOT NULL ) OR (X.rtng_mthd IS NOT NULL AND Y.rtng_mthd_SIMUL IS NULL),1,0)) AS NUM_REG_DIF,'1' AS ID_EXEC, CURRENT_TIMESTAMP() AS TIME_EXEC FROM (SELECT entty_id, rtng_mthd FROM BU_LOANTAPE_WORK.LT003_ENTITY WHERE ref_date='${ref_date}' AND nome_perimetro='Individual Local' AND segmento='ESTR' AND ambito='SRB_MBDT' AND entidade='00100')X INNER JOIN (SELECT entty_id AS entty_id_SIMUL, rtng_mthd AS rtng_mthd_SIMUL FROM BU_LOANTAPE_WORK.SIMUL_LT003_ENTITY WHERE ref_date='${ref_date}' AND nome_perimetro='Individual Local' AND segmento='ESTR' AND ambito='PILAR3' AND entidade='00100')Y ON X.ENTTY_ID=Y.ENTTY_ID_SIMUL</v>
      </c>
    </row>
    <row r="417" spans="2:13">
      <c r="B417" s="34" t="s">
        <v>118</v>
      </c>
      <c r="C417" s="34" t="s">
        <v>5</v>
      </c>
      <c r="D417" s="34" t="str">
        <f>+UPPER('0. Instruções'!$D$35&amp;"."&amp;VLOOKUP(B417,'0. Instruções'!$C$27:$D$32,2,FALSE))</f>
        <v>BU_LOANTAPE_WORK.LT003_ENTITY</v>
      </c>
      <c r="E417" s="34" t="str">
        <f>+UPPER('0. Instruções'!$D$36&amp;"."&amp;VLOOKUP(B417,'0. Instruções'!$C$27:$E$32,3,FALSE))</f>
        <v>BU_LOANTAPE_WORK.SIMUL_LT003_ENTITY</v>
      </c>
      <c r="F417" s="34" t="s">
        <v>1239</v>
      </c>
      <c r="G417" s="34"/>
      <c r="H417" s="34"/>
      <c r="I417" s="34" t="str">
        <f>"(SELECT "&amp;VLOOKUP(B417,'0. Instruções'!$C$27:$G$32,4,FALSE)&amp;", "&amp;F417&amp;" FROM "&amp;D417&amp;" WHERE "&amp;'0. Instruções'!$D$42&amp;")X"</f>
        <v>(SELECT entty_id, rtng_scl FROM BU_LOANTAPE_WORK.LT003_ENTITY WHERE ref_date='${ref_date}' AND nome_perimetro='Individual Local' AND segmento='ESTR' AND ambito='SRB_MBDT' AND entidade='00100')X</v>
      </c>
      <c r="J417" s="34" t="str">
        <f>"(SELECT "&amp;VLOOKUP(B417,'0. Instruções'!$C$27:$G$32,4,FALSE)&amp;" AS "&amp;VLOOKUP(B417,'0. Instruções'!$C$27:$G$32,4,FALSE)&amp;"_SIMUL, "&amp;F417&amp;" AS "&amp;F417&amp;"_SIMUL FROM "&amp;E417&amp;" WHERE "&amp;'0. Instruções'!$D$43&amp;")Y"</f>
        <v>(SELECT entty_id AS entty_id_SIMUL, rtng_scl AS rtng_scl_SIMUL FROM BU_LOANTAPE_WORK.SIMUL_LT003_ENTITY WHERE ref_date='${ref_date}' AND nome_perimetro='Individual Local' AND segmento='ESTR' AND ambito='PILAR3' AND entidade='00100')Y</v>
      </c>
      <c r="K417" s="35" t="str">
        <f>+UPPER("ON X."&amp;VLOOKUP(B417,'0. Instruções'!$C$27:$G$32,4,FALSE)&amp;"=Y."&amp;VLOOKUP(B417,'0. Instruções'!$C$27:$G$32,4,FALSE)&amp;"_SIMUL")</f>
        <v>ON X.ENTTY_ID=Y.ENTTY_ID_SIMUL</v>
      </c>
      <c r="L417" s="35" t="str">
        <f>+IF(C417="Coerência", +IF(LEFT(G417,5)="FLOAT","SELECT '"&amp;UPPER(B417)&amp;"' AS TABELA, '"&amp;UPPER(C417)&amp;"' AS TIPOLOGIA_TESTE,'"&amp;D417&amp;"' AS TABELA_LT,'"&amp;E417&amp;"' AS TABELA_SIMUL,'"&amp;F417&amp;"' AS CAMPO, "&amp;"'${ref_date}' AS REF_DATE, COUNT(*) AS NUM_REG, SUM(IF((ABS(COALESCE(CAST(X."&amp;F417&amp;" AS DECIMAL(18,6)),0)-COALESCE(CAST(Y."&amp;F417&amp;"_SIMUL AS DECIMAL(18,6)),0))&gt;0.000001) OR (X."&amp;F417&amp;" IS NULL AND Y."&amp;F417&amp;"_SIMUL IS NOT NULL ) OR (X."&amp;F417&amp;" IS NOT NULL AND Y."&amp;F417&amp;"_SIMUL IS NULL),1,0)) AS NUM_REG_DIF,'"&amp;MAX('ID1&amp;5'!K:K)+1&amp;"' AS ID_EXEC, CURRENT_TIMESTAMP() AS TIME_EXEC FROM "&amp;I417&amp;" INNER JOIN "&amp;J417&amp;" "&amp;K417,"SELECT '"&amp;UPPER(B417)&amp;"' AS TABELA, '"&amp;UPPER(C417)&amp;"' AS TIPOLOGIA_TESTE,'"&amp;D417&amp;"' AS TABELA_LT,'"&amp;E417&amp;"' AS TABELA_SIMUL,'"&amp;F417&amp;"' AS CAMPO, "&amp;"'${ref_date}' AS REF_DATE, COUNT(*) AS NUM_REG, SUM(IF(COALESCE(CAST(X."&amp;F417&amp;" AS STRING),'')&lt;&gt;COALESCE(CAST(Y."&amp;F417&amp;"_SIMUL AS STRING),'') OR (X."&amp;F417&amp;" IS NULL AND Y."&amp;F417&amp;"_SIMUL IS NOT NULL ) OR (X."&amp;F417&amp;" IS NOT NULL AND Y."&amp;F417&amp;"_SIMUL IS NULL),1,0)) AS NUM_REG_DIF,'"&amp;MAX('ID1&amp;5'!L:L)+1&amp;"' AS ID_EXEC, CURRENT_TIMESTAMP() AS TIME_EXEC FROM "&amp;I417&amp;" INNER JOIN "&amp;J417&amp;" "&amp;K417),
IF(C417="Validade",+IF(G417="Code List","SELECT '"&amp;UPPER(B417)&amp;"' AS TABELA, '"&amp;UPPER(C417)&amp;"' AS TIPOLOGIA_TESTE,'"&amp;D417&amp;"' AS TABELA_LT,'N/A' AS TABELA_SIMUL,'"&amp;F417&amp;"' AS CAMPO, "&amp;"'${ref_date}' AS REF_DATE, COUNT(*) AS NUM_REG, SUM(IF(TRIM(CAST(X."&amp;F417&amp;" AS STRING))='' OR TRIM(CAST(X."&amp;F417&amp;" AS STRING)) IS NULL OR CAST(X."&amp;F417&amp;" AS STRING) NOT "&amp;H417&amp;",1,0)) AS NUM_REG_DIF,'"&amp;MAX('ID1&amp;5'!K:K)+1&amp;"' AS ID_EXEC, CURRENT_TIMESTAMP() AS TIME_EXEC FROM "&amp;I417,"SELECT '"&amp;UPPER(B417)&amp;"' AS TABELA, '"&amp;UPPER(C417)&amp;"' AS TIPOLOGIA_TESTE,'"&amp;D417&amp;"' AS TABELA_LT,'N/A' AS TABELA_SIMUL,'"&amp;F417&amp;"' AS CAMPO, "&amp;"'${ref_date}' AS REF_DATE, COUNT(*) AS NUM_REG, SUM(IF(TRIM(CAST(X."&amp;F417&amp;" AS STRING))='' OR TRIM(CAST(X."&amp;F417&amp;" AS STRING)) IS NULL,1,0)) AS NUM_REG_DIF,'"&amp;MAX('ID1&amp;5'!K:K)+1&amp;"' AS ID_EXEC, CURRENT_TIMESTAMP() AS TIME_EXEC FROM "&amp;I417),
IF(C417="Caracteres Especiais",+"SELECT '"&amp;UPPER(B417)&amp;"' AS TABELA, '"&amp;UPPER(C417)&amp;"' AS TIPOLOGIA_TESTE,'"&amp;D417&amp;"' AS TABELA_LT,'N/A' AS TABELA_SIMUL,'"&amp;F417&amp;"' AS CAMPO, "&amp;"'${ref_date}' AS REF_DATE, COUNT(*) AS NUM_REG, SUM(IF(REGEXP_REPLACE(TRIM(CAST(X."&amp;F417&amp;" AS STRING)),'[^a-zA-Z0-9_\\s]','') &lt;&gt;TRIM(CAST(X."&amp;F417&amp;" AS STRING)),1,0)) AS NUM_REG_DIF,'"&amp;MAX('ID1&amp;5'!K:K)+1&amp;"' AS ID_EXEC, CURRENT_TIMESTAMP() AS TIME_EXEC FROM "&amp;I417,
IF(C417="Missings",+"SELECT '"&amp;UPPER(B417)&amp;"' AS TABELA, '"&amp;UPPER(C417)&amp;"' AS TIPOLOGIA_TESTE,'"&amp;D417&amp;"' AS TABELA_LT,'N/A' AS TABELA_SIMUL,'"&amp;F417&amp;"' AS CAMPO, "&amp;"'${ref_date}' AS REF_DATE, COUNT(*) AS NUM_REG, SUM(IF(TRIM(CAST(X."&amp;F417&amp;" AS STRING)) IN ('0000-00-00','0001-01-01','9999-12-31','MISS','00000','99999999999','99999999999.00','99999999999.000000'),1,0)) AS NUM_REG_DIF,'"&amp;MAX('ID1&amp;5'!K:K)+1&amp;"' AS ID_EXEC, CURRENT_TIMESTAMP() AS TIME_EXEC FROM "&amp;I417,
IF(C417="Not applicable",+"SELECT '"&amp;UPPER(B417)&amp;"' AS TABELA, '"&amp;UPPER(C417)&amp;"' AS TIPOLOGIA_TESTE,'"&amp;D417&amp;"' AS TABELA_LT,'N/A' AS TABELA_SIMUL,'"&amp;F417&amp;"' AS CAMPO, "&amp;"'${ref_date}' AS REF_DATE, COUNT(*) AS NUM_REG, SUM(IF(TRIM(CAST(X."&amp;F417&amp;" AS STRING)) IN ('N/A','11111111111','11111111111.00','11111111111.000000','1111-11-11'),1,0)) AS NUM_REG_DIF,'"&amp;MAX('ID1&amp;5'!K:K)+1&amp;"' AS ID_EXEC, CURRENT_TIMESTAMP() AS TIME_EXEC FROM "&amp;I417,
IF(C417="Valores extremos",+"SELECT '"&amp;UPPER(B417)&amp;"' AS TABELA, '"&amp;UPPER(C417)&amp;"' AS TIPOLOGIA_TESTE,'"&amp;D417&amp;"' AS TABELA_LT,'N/A' AS TABELA_SIMUL,'"&amp;F417&amp;"' AS CAMPO, "&amp;"'${ref_date}' AS REF_DATE, CAST(MIN("&amp;F417&amp;") AS STRING) AS VALOR_MIN, CAST(MAX("&amp;F417&amp;") AS STRING) AS VALOR_MAX,'"&amp;MAX('ID1&amp;5'!K:K)+1&amp;"' AS ID_EXEC, CURRENT_TIMESTAMP() AS TIME_EXEC FROM "&amp;MID(I417,1,LEN(I417)-2)&amp;" AND CAST("&amp;F417&amp;"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TABELA_SIMUL,'rtng_scl' AS CAMPO, '${ref_date}' AS REF_DATE, COUNT(*) AS NUM_REG, SUM(IF(COALESCE(CAST(X.rtng_scl AS STRING),'')&lt;&gt;COALESCE(CAST(Y.rtng_scl_SIMUL AS STRING),'') OR (X.rtng_scl IS NULL AND Y.rtng_scl_SIMUL IS NOT NULL ) OR (X.rtng_scl IS NOT NULL AND Y.rtng_scl_SIMUL IS NULL),1,0)) AS NUM_REG_DIF,'1' AS ID_EXEC, CURRENT_TIMESTAMP() AS TIME_EXEC FROM (SELECT entty_id, rtng_scl FROM BU_LOANTAPE_WORK.LT003_ENTITY WHERE ref_date='${ref_date}' AND nome_perimetro='Individual Local' AND segmento='ESTR' AND ambito='SRB_MBDT' AND entidade='00100')X INNER JOIN (SELECT entty_id AS entty_id_SIMUL, rtng_scl AS rtng_scl_SIMUL FROM BU_LOANTAPE_WORK.SIMUL_LT003_ENTITY WHERE ref_date='${ref_date}' AND nome_perimetro='Individual Local' AND segmento='ESTR' AND ambito='PILAR3' AND entidade='00100')Y ON X.ENTTY_ID=Y.ENTTY_ID_SIMUL</v>
      </c>
      <c r="M417" s="36" t="str">
        <f t="shared" si="9"/>
        <v>UNION ALL SELECT 'ENTITY' AS TABELA, 'COERÊNCIA' AS TIPOLOGIA_TESTE,'BU_LOANTAPE_WORK.LT003_ENTITY' AS TABELA_LT,'BU_LOANTAPE_WORK.SIMUL_LT003_ENTITY' AS TABELA_SIMUL,'rtng_scl' AS CAMPO, '${ref_date}' AS REF_DATE, COUNT(*) AS NUM_REG, SUM(IF(COALESCE(CAST(X.rtng_scl AS STRING),'')&lt;&gt;COALESCE(CAST(Y.rtng_scl_SIMUL AS STRING),'') OR (X.rtng_scl IS NULL AND Y.rtng_scl_SIMUL IS NOT NULL ) OR (X.rtng_scl IS NOT NULL AND Y.rtng_scl_SIMUL IS NULL),1,0)) AS NUM_REG_DIF,'1' AS ID_EXEC, CURRENT_TIMESTAMP() AS TIME_EXEC FROM (SELECT entty_id, rtng_scl FROM BU_LOANTAPE_WORK.LT003_ENTITY WHERE ref_date='${ref_date}' AND nome_perimetro='Individual Local' AND segmento='ESTR' AND ambito='SRB_MBDT' AND entidade='00100')X INNER JOIN (SELECT entty_id AS entty_id_SIMUL, rtng_scl AS rtng_scl_SIMUL FROM BU_LOANTAPE_WORK.SIMUL_LT003_ENTITY WHERE ref_date='${ref_date}' AND nome_perimetro='Individual Local' AND segmento='ESTR' AND ambito='PILAR3' AND entidade='00100')Y ON X.ENTTY_ID=Y.ENTTY_ID_SIMUL</v>
      </c>
    </row>
    <row r="418" spans="2:13">
      <c r="B418" s="34" t="s">
        <v>118</v>
      </c>
      <c r="C418" s="34" t="s">
        <v>5</v>
      </c>
      <c r="D418" s="34" t="str">
        <f>+UPPER('0. Instruções'!$D$35&amp;"."&amp;VLOOKUP(B418,'0. Instruções'!$C$27:$D$32,2,FALSE))</f>
        <v>BU_LOANTAPE_WORK.LT003_ENTITY</v>
      </c>
      <c r="E418" s="34" t="str">
        <f>+UPPER('0. Instruções'!$D$36&amp;"."&amp;VLOOKUP(B418,'0. Instruções'!$C$27:$E$32,3,FALSE))</f>
        <v>BU_LOANTAPE_WORK.SIMUL_LT003_ENTITY</v>
      </c>
      <c r="F418" s="34" t="s">
        <v>1444</v>
      </c>
      <c r="G418" s="34"/>
      <c r="H418" s="34"/>
      <c r="I418" s="34" t="str">
        <f>"(SELECT "&amp;VLOOKUP(B418,'0. Instruções'!$C$27:$G$32,4,FALSE)&amp;", "&amp;F418&amp;" FROM "&amp;D418&amp;" WHERE "&amp;'0. Instruções'!$D$42&amp;")X"</f>
        <v>(SELECT entty_id, wtch_lst FROM BU_LOANTAPE_WORK.LT003_ENTITY WHERE ref_date='${ref_date}' AND nome_perimetro='Individual Local' AND segmento='ESTR' AND ambito='SRB_MBDT' AND entidade='00100')X</v>
      </c>
      <c r="J418" s="34" t="str">
        <f>"(SELECT "&amp;VLOOKUP(B418,'0. Instruções'!$C$27:$G$32,4,FALSE)&amp;" AS "&amp;VLOOKUP(B418,'0. Instruções'!$C$27:$G$32,4,FALSE)&amp;"_SIMUL, "&amp;F418&amp;" AS "&amp;F418&amp;"_SIMUL FROM "&amp;E418&amp;" WHERE "&amp;'0. Instruções'!$D$43&amp;")Y"</f>
        <v>(SELECT entty_id AS entty_id_SIMUL, wtch_lst AS wtch_lst_SIMUL FROM BU_LOANTAPE_WORK.SIMUL_LT003_ENTITY WHERE ref_date='${ref_date}' AND nome_perimetro='Individual Local' AND segmento='ESTR' AND ambito='PILAR3' AND entidade='00100')Y</v>
      </c>
      <c r="K418" s="35" t="str">
        <f>+UPPER("ON X."&amp;VLOOKUP(B418,'0. Instruções'!$C$27:$G$32,4,FALSE)&amp;"=Y."&amp;VLOOKUP(B418,'0. Instruções'!$C$27:$G$32,4,FALSE)&amp;"_SIMUL")</f>
        <v>ON X.ENTTY_ID=Y.ENTTY_ID_SIMUL</v>
      </c>
      <c r="L418" s="35" t="str">
        <f>+IF(C418="Coerência", +IF(LEFT(G418,5)="FLOAT","SELECT '"&amp;UPPER(B418)&amp;"' AS TABELA, '"&amp;UPPER(C418)&amp;"' AS TIPOLOGIA_TESTE,'"&amp;D418&amp;"' AS TABELA_LT,'"&amp;E418&amp;"' AS TABELA_SIMUL,'"&amp;F418&amp;"' AS CAMPO, "&amp;"'${ref_date}' AS REF_DATE, COUNT(*) AS NUM_REG, SUM(IF((ABS(COALESCE(CAST(X."&amp;F418&amp;" AS DECIMAL(18,6)),0)-COALESCE(CAST(Y."&amp;F418&amp;"_SIMUL AS DECIMAL(18,6)),0))&gt;0.000001) OR (X."&amp;F418&amp;" IS NULL AND Y."&amp;F418&amp;"_SIMUL IS NOT NULL ) OR (X."&amp;F418&amp;" IS NOT NULL AND Y."&amp;F418&amp;"_SIMUL IS NULL),1,0)) AS NUM_REG_DIF,'"&amp;MAX('ID1&amp;5'!K:K)+1&amp;"' AS ID_EXEC, CURRENT_TIMESTAMP() AS TIME_EXEC FROM "&amp;I418&amp;" INNER JOIN "&amp;J418&amp;" "&amp;K418,"SELECT '"&amp;UPPER(B418)&amp;"' AS TABELA, '"&amp;UPPER(C418)&amp;"' AS TIPOLOGIA_TESTE,'"&amp;D418&amp;"' AS TABELA_LT,'"&amp;E418&amp;"' AS TABELA_SIMUL,'"&amp;F418&amp;"' AS CAMPO, "&amp;"'${ref_date}' AS REF_DATE, COUNT(*) AS NUM_REG, SUM(IF(COALESCE(CAST(X."&amp;F418&amp;" AS STRING),'')&lt;&gt;COALESCE(CAST(Y."&amp;F418&amp;"_SIMUL AS STRING),'') OR (X."&amp;F418&amp;" IS NULL AND Y."&amp;F418&amp;"_SIMUL IS NOT NULL ) OR (X."&amp;F418&amp;" IS NOT NULL AND Y."&amp;F418&amp;"_SIMUL IS NULL),1,0)) AS NUM_REG_DIF,'"&amp;MAX('ID1&amp;5'!L:L)+1&amp;"' AS ID_EXEC, CURRENT_TIMESTAMP() AS TIME_EXEC FROM "&amp;I418&amp;" INNER JOIN "&amp;J418&amp;" "&amp;K418),
IF(C418="Validade",+IF(G418="Code List","SELECT '"&amp;UPPER(B418)&amp;"' AS TABELA, '"&amp;UPPER(C418)&amp;"' AS TIPOLOGIA_TESTE,'"&amp;D418&amp;"' AS TABELA_LT,'N/A' AS TABELA_SIMUL,'"&amp;F418&amp;"' AS CAMPO, "&amp;"'${ref_date}' AS REF_DATE, COUNT(*) AS NUM_REG, SUM(IF(TRIM(CAST(X."&amp;F418&amp;" AS STRING))='' OR TRIM(CAST(X."&amp;F418&amp;" AS STRING)) IS NULL OR CAST(X."&amp;F418&amp;" AS STRING) NOT "&amp;H418&amp;",1,0)) AS NUM_REG_DIF,'"&amp;MAX('ID1&amp;5'!K:K)+1&amp;"' AS ID_EXEC, CURRENT_TIMESTAMP() AS TIME_EXEC FROM "&amp;I418,"SELECT '"&amp;UPPER(B418)&amp;"' AS TABELA, '"&amp;UPPER(C418)&amp;"' AS TIPOLOGIA_TESTE,'"&amp;D418&amp;"' AS TABELA_LT,'N/A' AS TABELA_SIMUL,'"&amp;F418&amp;"' AS CAMPO, "&amp;"'${ref_date}' AS REF_DATE, COUNT(*) AS NUM_REG, SUM(IF(TRIM(CAST(X."&amp;F418&amp;" AS STRING))='' OR TRIM(CAST(X."&amp;F418&amp;" AS STRING)) IS NULL,1,0)) AS NUM_REG_DIF,'"&amp;MAX('ID1&amp;5'!K:K)+1&amp;"' AS ID_EXEC, CURRENT_TIMESTAMP() AS TIME_EXEC FROM "&amp;I418),
IF(C418="Caracteres Especiais",+"SELECT '"&amp;UPPER(B418)&amp;"' AS TABELA, '"&amp;UPPER(C418)&amp;"' AS TIPOLOGIA_TESTE,'"&amp;D418&amp;"' AS TABELA_LT,'N/A' AS TABELA_SIMUL,'"&amp;F418&amp;"' AS CAMPO, "&amp;"'${ref_date}' AS REF_DATE, COUNT(*) AS NUM_REG, SUM(IF(REGEXP_REPLACE(TRIM(CAST(X."&amp;F418&amp;" AS STRING)),'[^a-zA-Z0-9_\\s]','') &lt;&gt;TRIM(CAST(X."&amp;F418&amp;" AS STRING)),1,0)) AS NUM_REG_DIF,'"&amp;MAX('ID1&amp;5'!K:K)+1&amp;"' AS ID_EXEC, CURRENT_TIMESTAMP() AS TIME_EXEC FROM "&amp;I418,
IF(C418="Missings",+"SELECT '"&amp;UPPER(B418)&amp;"' AS TABELA, '"&amp;UPPER(C418)&amp;"' AS TIPOLOGIA_TESTE,'"&amp;D418&amp;"' AS TABELA_LT,'N/A' AS TABELA_SIMUL,'"&amp;F418&amp;"' AS CAMPO, "&amp;"'${ref_date}' AS REF_DATE, COUNT(*) AS NUM_REG, SUM(IF(TRIM(CAST(X."&amp;F418&amp;" AS STRING)) IN ('0000-00-00','0001-01-01','9999-12-31','MISS','00000','99999999999','99999999999.00','99999999999.000000'),1,0)) AS NUM_REG_DIF,'"&amp;MAX('ID1&amp;5'!K:K)+1&amp;"' AS ID_EXEC, CURRENT_TIMESTAMP() AS TIME_EXEC FROM "&amp;I418,
IF(C418="Not applicable",+"SELECT '"&amp;UPPER(B418)&amp;"' AS TABELA, '"&amp;UPPER(C418)&amp;"' AS TIPOLOGIA_TESTE,'"&amp;D418&amp;"' AS TABELA_LT,'N/A' AS TABELA_SIMUL,'"&amp;F418&amp;"' AS CAMPO, "&amp;"'${ref_date}' AS REF_DATE, COUNT(*) AS NUM_REG, SUM(IF(TRIM(CAST(X."&amp;F418&amp;" AS STRING)) IN ('N/A','11111111111','11111111111.00','11111111111.000000','1111-11-11'),1,0)) AS NUM_REG_DIF,'"&amp;MAX('ID1&amp;5'!K:K)+1&amp;"' AS ID_EXEC, CURRENT_TIMESTAMP() AS TIME_EXEC FROM "&amp;I418,
IF(C418="Valores extremos",+"SELECT '"&amp;UPPER(B418)&amp;"' AS TABELA, '"&amp;UPPER(C418)&amp;"' AS TIPOLOGIA_TESTE,'"&amp;D418&amp;"' AS TABELA_LT,'N/A' AS TABELA_SIMUL,'"&amp;F418&amp;"' AS CAMPO, "&amp;"'${ref_date}' AS REF_DATE, CAST(MIN("&amp;F418&amp;") AS STRING) AS VALOR_MIN, CAST(MAX("&amp;F418&amp;") AS STRING) AS VALOR_MAX,'"&amp;MAX('ID1&amp;5'!K:K)+1&amp;"' AS ID_EXEC, CURRENT_TIMESTAMP() AS TIME_EXEC FROM "&amp;MID(I418,1,LEN(I418)-2)&amp;" AND CAST("&amp;F418&amp;"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TABELA_SIMUL,'wtch_lst' AS CAMPO, '${ref_date}' AS REF_DATE, COUNT(*) AS NUM_REG, SUM(IF(COALESCE(CAST(X.wtch_lst AS STRING),'')&lt;&gt;COALESCE(CAST(Y.wtch_lst_SIMUL AS STRING),'') OR (X.wtch_lst IS NULL AND Y.wtch_lst_SIMUL IS NOT NULL ) OR (X.wtch_lst IS NOT NULL AND Y.wtch_lst_SIMUL IS NULL),1,0)) AS NUM_REG_DIF,'1' AS ID_EXEC, CURRENT_TIMESTAMP() AS TIME_EXEC FROM (SELECT entty_id, wtch_lst FROM BU_LOANTAPE_WORK.LT003_ENTITY WHERE ref_date='${ref_date}' AND nome_perimetro='Individual Local' AND segmento='ESTR' AND ambito='SRB_MBDT' AND entidade='00100')X INNER JOIN (SELECT entty_id AS entty_id_SIMUL, wtch_lst AS wtch_lst_SIMUL FROM BU_LOANTAPE_WORK.SIMUL_LT003_ENTITY WHERE ref_date='${ref_date}' AND nome_perimetro='Individual Local' AND segmento='ESTR' AND ambito='PILAR3' AND entidade='00100')Y ON X.ENTTY_ID=Y.ENTTY_ID_SIMUL</v>
      </c>
      <c r="M418" s="36" t="str">
        <f t="shared" si="9"/>
        <v>UNION ALL SELECT 'ENTITY' AS TABELA, 'COERÊNCIA' AS TIPOLOGIA_TESTE,'BU_LOANTAPE_WORK.LT003_ENTITY' AS TABELA_LT,'BU_LOANTAPE_WORK.SIMUL_LT003_ENTITY' AS TABELA_SIMUL,'wtch_lst' AS CAMPO, '${ref_date}' AS REF_DATE, COUNT(*) AS NUM_REG, SUM(IF(COALESCE(CAST(X.wtch_lst AS STRING),'')&lt;&gt;COALESCE(CAST(Y.wtch_lst_SIMUL AS STRING),'') OR (X.wtch_lst IS NULL AND Y.wtch_lst_SIMUL IS NOT NULL ) OR (X.wtch_lst IS NOT NULL AND Y.wtch_lst_SIMUL IS NULL),1,0)) AS NUM_REG_DIF,'1' AS ID_EXEC, CURRENT_TIMESTAMP() AS TIME_EXEC FROM (SELECT entty_id, wtch_lst FROM BU_LOANTAPE_WORK.LT003_ENTITY WHERE ref_date='${ref_date}' AND nome_perimetro='Individual Local' AND segmento='ESTR' AND ambito='SRB_MBDT' AND entidade='00100')X INNER JOIN (SELECT entty_id AS entty_id_SIMUL, wtch_lst AS wtch_lst_SIMUL FROM BU_LOANTAPE_WORK.SIMUL_LT003_ENTITY WHERE ref_date='${ref_date}' AND nome_perimetro='Individual Local' AND segmento='ESTR' AND ambito='PILAR3' AND entidade='00100')Y ON X.ENTTY_ID=Y.ENTTY_ID_SIMUL</v>
      </c>
    </row>
    <row r="419" spans="2:13">
      <c r="B419" s="34" t="s">
        <v>118</v>
      </c>
      <c r="C419" s="34" t="s">
        <v>5</v>
      </c>
      <c r="D419" s="34" t="str">
        <f>+UPPER('0. Instruções'!$D$35&amp;"."&amp;VLOOKUP(B419,'0. Instruções'!$C$27:$D$32,2,FALSE))</f>
        <v>BU_LOANTAPE_WORK.LT003_ENTITY</v>
      </c>
      <c r="E419" s="34" t="str">
        <f>+UPPER('0. Instruções'!$D$36&amp;"."&amp;VLOOKUP(B419,'0. Instruções'!$C$27:$E$32,3,FALSE))</f>
        <v>BU_LOANTAPE_WORK.SIMUL_LT003_ENTITY</v>
      </c>
      <c r="F419" s="34" t="s">
        <v>1445</v>
      </c>
      <c r="G419" s="34"/>
      <c r="H419" s="34"/>
      <c r="I419" s="34" t="str">
        <f>"(SELECT "&amp;VLOOKUP(B419,'0. Instruções'!$C$27:$G$32,4,FALSE)&amp;", "&amp;F419&amp;" FROM "&amp;D419&amp;" WHERE "&amp;'0. Instruções'!$D$42&amp;")X"</f>
        <v>(SELECT entty_id, sngl_prps_vhcl FROM BU_LOANTAPE_WORK.LT003_ENTITY WHERE ref_date='${ref_date}' AND nome_perimetro='Individual Local' AND segmento='ESTR' AND ambito='SRB_MBDT' AND entidade='00100')X</v>
      </c>
      <c r="J419" s="34" t="str">
        <f>"(SELECT "&amp;VLOOKUP(B419,'0. Instruções'!$C$27:$G$32,4,FALSE)&amp;" AS "&amp;VLOOKUP(B419,'0. Instruções'!$C$27:$G$32,4,FALSE)&amp;"_SIMUL, "&amp;F419&amp;" AS "&amp;F419&amp;"_SIMUL FROM "&amp;E419&amp;" WHERE "&amp;'0. Instruções'!$D$43&amp;")Y"</f>
        <v>(SELECT entty_id AS entty_id_SIMUL, sngl_prps_vhcl AS sngl_prps_vhcl_SIMUL FROM BU_LOANTAPE_WORK.SIMUL_LT003_ENTITY WHERE ref_date='${ref_date}' AND nome_perimetro='Individual Local' AND segmento='ESTR' AND ambito='PILAR3' AND entidade='00100')Y</v>
      </c>
      <c r="K419" s="35" t="str">
        <f>+UPPER("ON X."&amp;VLOOKUP(B419,'0. Instruções'!$C$27:$G$32,4,FALSE)&amp;"=Y."&amp;VLOOKUP(B419,'0. Instruções'!$C$27:$G$32,4,FALSE)&amp;"_SIMUL")</f>
        <v>ON X.ENTTY_ID=Y.ENTTY_ID_SIMUL</v>
      </c>
      <c r="L419" s="35" t="str">
        <f>+IF(C419="Coerência", +IF(LEFT(G419,5)="FLOAT","SELECT '"&amp;UPPER(B419)&amp;"' AS TABELA, '"&amp;UPPER(C419)&amp;"' AS TIPOLOGIA_TESTE,'"&amp;D419&amp;"' AS TABELA_LT,'"&amp;E419&amp;"' AS TABELA_SIMUL,'"&amp;F419&amp;"' AS CAMPO, "&amp;"'${ref_date}' AS REF_DATE, COUNT(*) AS NUM_REG, SUM(IF((ABS(COALESCE(CAST(X."&amp;F419&amp;" AS DECIMAL(18,6)),0)-COALESCE(CAST(Y."&amp;F419&amp;"_SIMUL AS DECIMAL(18,6)),0))&gt;0.000001) OR (X."&amp;F419&amp;" IS NULL AND Y."&amp;F419&amp;"_SIMUL IS NOT NULL ) OR (X."&amp;F419&amp;" IS NOT NULL AND Y."&amp;F419&amp;"_SIMUL IS NULL),1,0)) AS NUM_REG_DIF,'"&amp;MAX('ID1&amp;5'!K:K)+1&amp;"' AS ID_EXEC, CURRENT_TIMESTAMP() AS TIME_EXEC FROM "&amp;I419&amp;" INNER JOIN "&amp;J419&amp;" "&amp;K419,"SELECT '"&amp;UPPER(B419)&amp;"' AS TABELA, '"&amp;UPPER(C419)&amp;"' AS TIPOLOGIA_TESTE,'"&amp;D419&amp;"' AS TABELA_LT,'"&amp;E419&amp;"' AS TABELA_SIMUL,'"&amp;F419&amp;"' AS CAMPO, "&amp;"'${ref_date}' AS REF_DATE, COUNT(*) AS NUM_REG, SUM(IF(COALESCE(CAST(X."&amp;F419&amp;" AS STRING),'')&lt;&gt;COALESCE(CAST(Y."&amp;F419&amp;"_SIMUL AS STRING),'') OR (X."&amp;F419&amp;" IS NULL AND Y."&amp;F419&amp;"_SIMUL IS NOT NULL ) OR (X."&amp;F419&amp;" IS NOT NULL AND Y."&amp;F419&amp;"_SIMUL IS NULL),1,0)) AS NUM_REG_DIF,'"&amp;MAX('ID1&amp;5'!L:L)+1&amp;"' AS ID_EXEC, CURRENT_TIMESTAMP() AS TIME_EXEC FROM "&amp;I419&amp;" INNER JOIN "&amp;J419&amp;" "&amp;K419),
IF(C419="Validade",+IF(G419="Code List","SELECT '"&amp;UPPER(B419)&amp;"' AS TABELA, '"&amp;UPPER(C419)&amp;"' AS TIPOLOGIA_TESTE,'"&amp;D419&amp;"' AS TABELA_LT,'N/A' AS TABELA_SIMUL,'"&amp;F419&amp;"' AS CAMPO, "&amp;"'${ref_date}' AS REF_DATE, COUNT(*) AS NUM_REG, SUM(IF(TRIM(CAST(X."&amp;F419&amp;" AS STRING))='' OR TRIM(CAST(X."&amp;F419&amp;" AS STRING)) IS NULL OR CAST(X."&amp;F419&amp;" AS STRING) NOT "&amp;H419&amp;",1,0)) AS NUM_REG_DIF,'"&amp;MAX('ID1&amp;5'!K:K)+1&amp;"' AS ID_EXEC, CURRENT_TIMESTAMP() AS TIME_EXEC FROM "&amp;I419,"SELECT '"&amp;UPPER(B419)&amp;"' AS TABELA, '"&amp;UPPER(C419)&amp;"' AS TIPOLOGIA_TESTE,'"&amp;D419&amp;"' AS TABELA_LT,'N/A' AS TABELA_SIMUL,'"&amp;F419&amp;"' AS CAMPO, "&amp;"'${ref_date}' AS REF_DATE, COUNT(*) AS NUM_REG, SUM(IF(TRIM(CAST(X."&amp;F419&amp;" AS STRING))='' OR TRIM(CAST(X."&amp;F419&amp;" AS STRING)) IS NULL,1,0)) AS NUM_REG_DIF,'"&amp;MAX('ID1&amp;5'!K:K)+1&amp;"' AS ID_EXEC, CURRENT_TIMESTAMP() AS TIME_EXEC FROM "&amp;I419),
IF(C419="Caracteres Especiais",+"SELECT '"&amp;UPPER(B419)&amp;"' AS TABELA, '"&amp;UPPER(C419)&amp;"' AS TIPOLOGIA_TESTE,'"&amp;D419&amp;"' AS TABELA_LT,'N/A' AS TABELA_SIMUL,'"&amp;F419&amp;"' AS CAMPO, "&amp;"'${ref_date}' AS REF_DATE, COUNT(*) AS NUM_REG, SUM(IF(REGEXP_REPLACE(TRIM(CAST(X."&amp;F419&amp;" AS STRING)),'[^a-zA-Z0-9_\\s]','') &lt;&gt;TRIM(CAST(X."&amp;F419&amp;" AS STRING)),1,0)) AS NUM_REG_DIF,'"&amp;MAX('ID1&amp;5'!K:K)+1&amp;"' AS ID_EXEC, CURRENT_TIMESTAMP() AS TIME_EXEC FROM "&amp;I419,
IF(C419="Missings",+"SELECT '"&amp;UPPER(B419)&amp;"' AS TABELA, '"&amp;UPPER(C419)&amp;"' AS TIPOLOGIA_TESTE,'"&amp;D419&amp;"' AS TABELA_LT,'N/A' AS TABELA_SIMUL,'"&amp;F419&amp;"' AS CAMPO, "&amp;"'${ref_date}' AS REF_DATE, COUNT(*) AS NUM_REG, SUM(IF(TRIM(CAST(X."&amp;F419&amp;" AS STRING)) IN ('0000-00-00','0001-01-01','9999-12-31','MISS','00000','99999999999','99999999999.00','99999999999.000000'),1,0)) AS NUM_REG_DIF,'"&amp;MAX('ID1&amp;5'!K:K)+1&amp;"' AS ID_EXEC, CURRENT_TIMESTAMP() AS TIME_EXEC FROM "&amp;I419,
IF(C419="Not applicable",+"SELECT '"&amp;UPPER(B419)&amp;"' AS TABELA, '"&amp;UPPER(C419)&amp;"' AS TIPOLOGIA_TESTE,'"&amp;D419&amp;"' AS TABELA_LT,'N/A' AS TABELA_SIMUL,'"&amp;F419&amp;"' AS CAMPO, "&amp;"'${ref_date}' AS REF_DATE, COUNT(*) AS NUM_REG, SUM(IF(TRIM(CAST(X."&amp;F419&amp;" AS STRING)) IN ('N/A','11111111111','11111111111.00','11111111111.000000','1111-11-11'),1,0)) AS NUM_REG_DIF,'"&amp;MAX('ID1&amp;5'!K:K)+1&amp;"' AS ID_EXEC, CURRENT_TIMESTAMP() AS TIME_EXEC FROM "&amp;I419,
IF(C419="Valores extremos",+"SELECT '"&amp;UPPER(B419)&amp;"' AS TABELA, '"&amp;UPPER(C419)&amp;"' AS TIPOLOGIA_TESTE,'"&amp;D419&amp;"' AS TABELA_LT,'N/A' AS TABELA_SIMUL,'"&amp;F419&amp;"' AS CAMPO, "&amp;"'${ref_date}' AS REF_DATE, CAST(MIN("&amp;F419&amp;") AS STRING) AS VALOR_MIN, CAST(MAX("&amp;F419&amp;") AS STRING) AS VALOR_MAX,'"&amp;MAX('ID1&amp;5'!K:K)+1&amp;"' AS ID_EXEC, CURRENT_TIMESTAMP() AS TIME_EXEC FROM "&amp;MID(I419,1,LEN(I419)-2)&amp;" AND CAST("&amp;F419&amp;"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TABELA_SIMUL,'sngl_prps_vhcl' AS CAMPO, '${ref_date}' AS REF_DATE, COUNT(*) AS NUM_REG, SUM(IF(COALESCE(CAST(X.sngl_prps_vhcl AS STRING),'')&lt;&gt;COALESCE(CAST(Y.sngl_prps_vhcl_SIMUL AS STRING),'') OR (X.sngl_prps_vhcl IS NULL AND Y.sngl_prps_vhcl_SIMUL IS NOT NULL ) OR (X.sngl_prps_vhcl IS NOT NULL AND Y.sngl_prps_vhcl_SIMUL IS NULL),1,0)) AS NUM_REG_DIF,'1' AS ID_EXEC, CURRENT_TIMESTAMP() AS TIME_EXEC FROM (SELECT entty_id, sngl_prps_vhcl FROM BU_LOANTAPE_WORK.LT003_ENTITY WHERE ref_date='${ref_date}' AND nome_perimetro='Individual Local' AND segmento='ESTR' AND ambito='SRB_MBDT' AND entidade='00100')X INNER JOIN (SELECT entty_id AS entty_id_SIMUL, sngl_prps_vhcl AS sngl_prps_vhcl_SIMUL FROM BU_LOANTAPE_WORK.SIMUL_LT003_ENTITY WHERE ref_date='${ref_date}' AND nome_perimetro='Individual Local' AND segmento='ESTR' AND ambito='PILAR3' AND entidade='00100')Y ON X.ENTTY_ID=Y.ENTTY_ID_SIMUL</v>
      </c>
      <c r="M419" s="36" t="str">
        <f t="shared" si="9"/>
        <v>UNION ALL SELECT 'ENTITY' AS TABELA, 'COERÊNCIA' AS TIPOLOGIA_TESTE,'BU_LOANTAPE_WORK.LT003_ENTITY' AS TABELA_LT,'BU_LOANTAPE_WORK.SIMUL_LT003_ENTITY' AS TABELA_SIMUL,'sngl_prps_vhcl' AS CAMPO, '${ref_date}' AS REF_DATE, COUNT(*) AS NUM_REG, SUM(IF(COALESCE(CAST(X.sngl_prps_vhcl AS STRING),'')&lt;&gt;COALESCE(CAST(Y.sngl_prps_vhcl_SIMUL AS STRING),'') OR (X.sngl_prps_vhcl IS NULL AND Y.sngl_prps_vhcl_SIMUL IS NOT NULL ) OR (X.sngl_prps_vhcl IS NOT NULL AND Y.sngl_prps_vhcl_SIMUL IS NULL),1,0)) AS NUM_REG_DIF,'1' AS ID_EXEC, CURRENT_TIMESTAMP() AS TIME_EXEC FROM (SELECT entty_id, sngl_prps_vhcl FROM BU_LOANTAPE_WORK.LT003_ENTITY WHERE ref_date='${ref_date}' AND nome_perimetro='Individual Local' AND segmento='ESTR' AND ambito='SRB_MBDT' AND entidade='00100')X INNER JOIN (SELECT entty_id AS entty_id_SIMUL, sngl_prps_vhcl AS sngl_prps_vhcl_SIMUL FROM BU_LOANTAPE_WORK.SIMUL_LT003_ENTITY WHERE ref_date='${ref_date}' AND nome_perimetro='Individual Local' AND segmento='ESTR' AND ambito='PILAR3' AND entidade='00100')Y ON X.ENTTY_ID=Y.ENTTY_ID_SIMUL</v>
      </c>
    </row>
    <row r="420" spans="2:13">
      <c r="B420" s="34" t="s">
        <v>118</v>
      </c>
      <c r="C420" s="34" t="s">
        <v>5</v>
      </c>
      <c r="D420" s="34" t="str">
        <f>+UPPER('0. Instruções'!$D$35&amp;"."&amp;VLOOKUP(B420,'0. Instruções'!$C$27:$D$32,2,FALSE))</f>
        <v>BU_LOANTAPE_WORK.LT003_ENTITY</v>
      </c>
      <c r="E420" s="34" t="str">
        <f>+UPPER('0. Instruções'!$D$36&amp;"."&amp;VLOOKUP(B420,'0. Instruções'!$C$27:$E$32,3,FALSE))</f>
        <v>BU_LOANTAPE_WORK.SIMUL_LT003_ENTITY</v>
      </c>
      <c r="F420" s="34" t="s">
        <v>1446</v>
      </c>
      <c r="G420" s="34"/>
      <c r="H420" s="34"/>
      <c r="I420" s="34" t="str">
        <f>"(SELECT "&amp;VLOOKUP(B420,'0. Instruções'!$C$27:$G$32,4,FALSE)&amp;", "&amp;F420&amp;" FROM "&amp;D420&amp;" WHERE "&amp;'0. Instruções'!$D$42&amp;")X"</f>
        <v>(SELECT entty_id, grp_ebitda FROM BU_LOANTAPE_WORK.LT003_ENTITY WHERE ref_date='${ref_date}' AND nome_perimetro='Individual Local' AND segmento='ESTR' AND ambito='SRB_MBDT' AND entidade='00100')X</v>
      </c>
      <c r="J420" s="34" t="str">
        <f>"(SELECT "&amp;VLOOKUP(B420,'0. Instruções'!$C$27:$G$32,4,FALSE)&amp;" AS "&amp;VLOOKUP(B420,'0. Instruções'!$C$27:$G$32,4,FALSE)&amp;"_SIMUL, "&amp;F420&amp;" AS "&amp;F420&amp;"_SIMUL FROM "&amp;E420&amp;" WHERE "&amp;'0. Instruções'!$D$43&amp;")Y"</f>
        <v>(SELECT entty_id AS entty_id_SIMUL, grp_ebitda AS grp_ebitda_SIMUL FROM BU_LOANTAPE_WORK.SIMUL_LT003_ENTITY WHERE ref_date='${ref_date}' AND nome_perimetro='Individual Local' AND segmento='ESTR' AND ambito='PILAR3' AND entidade='00100')Y</v>
      </c>
      <c r="K420" s="35" t="str">
        <f>+UPPER("ON X."&amp;VLOOKUP(B420,'0. Instruções'!$C$27:$G$32,4,FALSE)&amp;"=Y."&amp;VLOOKUP(B420,'0. Instruções'!$C$27:$G$32,4,FALSE)&amp;"_SIMUL")</f>
        <v>ON X.ENTTY_ID=Y.ENTTY_ID_SIMUL</v>
      </c>
      <c r="L420" s="35" t="str">
        <f>+IF(C420="Coerência", +IF(LEFT(G420,5)="FLOAT","SELECT '"&amp;UPPER(B420)&amp;"' AS TABELA, '"&amp;UPPER(C420)&amp;"' AS TIPOLOGIA_TESTE,'"&amp;D420&amp;"' AS TABELA_LT,'"&amp;E420&amp;"' AS TABELA_SIMUL,'"&amp;F420&amp;"' AS CAMPO, "&amp;"'${ref_date}' AS REF_DATE, COUNT(*) AS NUM_REG, SUM(IF((ABS(COALESCE(CAST(X."&amp;F420&amp;" AS DECIMAL(18,6)),0)-COALESCE(CAST(Y."&amp;F420&amp;"_SIMUL AS DECIMAL(18,6)),0))&gt;0.000001) OR (X."&amp;F420&amp;" IS NULL AND Y."&amp;F420&amp;"_SIMUL IS NOT NULL ) OR (X."&amp;F420&amp;" IS NOT NULL AND Y."&amp;F420&amp;"_SIMUL IS NULL),1,0)) AS NUM_REG_DIF,'"&amp;MAX('ID1&amp;5'!K:K)+1&amp;"' AS ID_EXEC, CURRENT_TIMESTAMP() AS TIME_EXEC FROM "&amp;I420&amp;" INNER JOIN "&amp;J420&amp;" "&amp;K420,"SELECT '"&amp;UPPER(B420)&amp;"' AS TABELA, '"&amp;UPPER(C420)&amp;"' AS TIPOLOGIA_TESTE,'"&amp;D420&amp;"' AS TABELA_LT,'"&amp;E420&amp;"' AS TABELA_SIMUL,'"&amp;F420&amp;"' AS CAMPO, "&amp;"'${ref_date}' AS REF_DATE, COUNT(*) AS NUM_REG, SUM(IF(COALESCE(CAST(X."&amp;F420&amp;" AS STRING),'')&lt;&gt;COALESCE(CAST(Y."&amp;F420&amp;"_SIMUL AS STRING),'') OR (X."&amp;F420&amp;" IS NULL AND Y."&amp;F420&amp;"_SIMUL IS NOT NULL ) OR (X."&amp;F420&amp;" IS NOT NULL AND Y."&amp;F420&amp;"_SIMUL IS NULL),1,0)) AS NUM_REG_DIF,'"&amp;MAX('ID1&amp;5'!L:L)+1&amp;"' AS ID_EXEC, CURRENT_TIMESTAMP() AS TIME_EXEC FROM "&amp;I420&amp;" INNER JOIN "&amp;J420&amp;" "&amp;K420),
IF(C420="Validade",+IF(G420="Code List","SELECT '"&amp;UPPER(B420)&amp;"' AS TABELA, '"&amp;UPPER(C420)&amp;"' AS TIPOLOGIA_TESTE,'"&amp;D420&amp;"' AS TABELA_LT,'N/A' AS TABELA_SIMUL,'"&amp;F420&amp;"' AS CAMPO, "&amp;"'${ref_date}' AS REF_DATE, COUNT(*) AS NUM_REG, SUM(IF(TRIM(CAST(X."&amp;F420&amp;" AS STRING))='' OR TRIM(CAST(X."&amp;F420&amp;" AS STRING)) IS NULL OR CAST(X."&amp;F420&amp;" AS STRING) NOT "&amp;H420&amp;",1,0)) AS NUM_REG_DIF,'"&amp;MAX('ID1&amp;5'!K:K)+1&amp;"' AS ID_EXEC, CURRENT_TIMESTAMP() AS TIME_EXEC FROM "&amp;I420,"SELECT '"&amp;UPPER(B420)&amp;"' AS TABELA, '"&amp;UPPER(C420)&amp;"' AS TIPOLOGIA_TESTE,'"&amp;D420&amp;"' AS TABELA_LT,'N/A' AS TABELA_SIMUL,'"&amp;F420&amp;"' AS CAMPO, "&amp;"'${ref_date}' AS REF_DATE, COUNT(*) AS NUM_REG, SUM(IF(TRIM(CAST(X."&amp;F420&amp;" AS STRING))='' OR TRIM(CAST(X."&amp;F420&amp;" AS STRING)) IS NULL,1,0)) AS NUM_REG_DIF,'"&amp;MAX('ID1&amp;5'!K:K)+1&amp;"' AS ID_EXEC, CURRENT_TIMESTAMP() AS TIME_EXEC FROM "&amp;I420),
IF(C420="Caracteres Especiais",+"SELECT '"&amp;UPPER(B420)&amp;"' AS TABELA, '"&amp;UPPER(C420)&amp;"' AS TIPOLOGIA_TESTE,'"&amp;D420&amp;"' AS TABELA_LT,'N/A' AS TABELA_SIMUL,'"&amp;F420&amp;"' AS CAMPO, "&amp;"'${ref_date}' AS REF_DATE, COUNT(*) AS NUM_REG, SUM(IF(REGEXP_REPLACE(TRIM(CAST(X."&amp;F420&amp;" AS STRING)),'[^a-zA-Z0-9_\\s]','') &lt;&gt;TRIM(CAST(X."&amp;F420&amp;" AS STRING)),1,0)) AS NUM_REG_DIF,'"&amp;MAX('ID1&amp;5'!K:K)+1&amp;"' AS ID_EXEC, CURRENT_TIMESTAMP() AS TIME_EXEC FROM "&amp;I420,
IF(C420="Missings",+"SELECT '"&amp;UPPER(B420)&amp;"' AS TABELA, '"&amp;UPPER(C420)&amp;"' AS TIPOLOGIA_TESTE,'"&amp;D420&amp;"' AS TABELA_LT,'N/A' AS TABELA_SIMUL,'"&amp;F420&amp;"' AS CAMPO, "&amp;"'${ref_date}' AS REF_DATE, COUNT(*) AS NUM_REG, SUM(IF(TRIM(CAST(X."&amp;F420&amp;" AS STRING)) IN ('0000-00-00','0001-01-01','9999-12-31','MISS','00000','99999999999','99999999999.00','99999999999.000000'),1,0)) AS NUM_REG_DIF,'"&amp;MAX('ID1&amp;5'!K:K)+1&amp;"' AS ID_EXEC, CURRENT_TIMESTAMP() AS TIME_EXEC FROM "&amp;I420,
IF(C420="Not applicable",+"SELECT '"&amp;UPPER(B420)&amp;"' AS TABELA, '"&amp;UPPER(C420)&amp;"' AS TIPOLOGIA_TESTE,'"&amp;D420&amp;"' AS TABELA_LT,'N/A' AS TABELA_SIMUL,'"&amp;F420&amp;"' AS CAMPO, "&amp;"'${ref_date}' AS REF_DATE, COUNT(*) AS NUM_REG, SUM(IF(TRIM(CAST(X."&amp;F420&amp;" AS STRING)) IN ('N/A','11111111111','11111111111.00','11111111111.000000','1111-11-11'),1,0)) AS NUM_REG_DIF,'"&amp;MAX('ID1&amp;5'!K:K)+1&amp;"' AS ID_EXEC, CURRENT_TIMESTAMP() AS TIME_EXEC FROM "&amp;I420,
IF(C420="Valores extremos",+"SELECT '"&amp;UPPER(B420)&amp;"' AS TABELA, '"&amp;UPPER(C420)&amp;"' AS TIPOLOGIA_TESTE,'"&amp;D420&amp;"' AS TABELA_LT,'N/A' AS TABELA_SIMUL,'"&amp;F420&amp;"' AS CAMPO, "&amp;"'${ref_date}' AS REF_DATE, CAST(MIN("&amp;F420&amp;") AS STRING) AS VALOR_MIN, CAST(MAX("&amp;F420&amp;") AS STRING) AS VALOR_MAX,'"&amp;MAX('ID1&amp;5'!K:K)+1&amp;"' AS ID_EXEC, CURRENT_TIMESTAMP() AS TIME_EXEC FROM "&amp;MID(I420,1,LEN(I420)-2)&amp;" AND CAST("&amp;F420&amp;"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TABELA_SIMUL,'grp_ebitda' AS CAMPO, '${ref_date}' AS REF_DATE, COUNT(*) AS NUM_REG, SUM(IF(COALESCE(CAST(X.grp_ebitda AS STRING),'')&lt;&gt;COALESCE(CAST(Y.grp_ebitda_SIMUL AS STRING),'') OR (X.grp_ebitda IS NULL AND Y.grp_ebitda_SIMUL IS NOT NULL ) OR (X.grp_ebitda IS NOT NULL AND Y.grp_ebitda_SIMUL IS NULL),1,0)) AS NUM_REG_DIF,'1' AS ID_EXEC, CURRENT_TIMESTAMP() AS TIME_EXEC FROM (SELECT entty_id, grp_ebitda FROM BU_LOANTAPE_WORK.LT003_ENTITY WHERE ref_date='${ref_date}' AND nome_perimetro='Individual Local' AND segmento='ESTR' AND ambito='SRB_MBDT' AND entidade='00100')X INNER JOIN (SELECT entty_id AS entty_id_SIMUL, grp_ebitda AS grp_ebitda_SIMUL FROM BU_LOANTAPE_WORK.SIMUL_LT003_ENTITY WHERE ref_date='${ref_date}' AND nome_perimetro='Individual Local' AND segmento='ESTR' AND ambito='PILAR3' AND entidade='00100')Y ON X.ENTTY_ID=Y.ENTTY_ID_SIMUL</v>
      </c>
      <c r="M420" s="36" t="str">
        <f t="shared" si="9"/>
        <v>UNION ALL SELECT 'ENTITY' AS TABELA, 'COERÊNCIA' AS TIPOLOGIA_TESTE,'BU_LOANTAPE_WORK.LT003_ENTITY' AS TABELA_LT,'BU_LOANTAPE_WORK.SIMUL_LT003_ENTITY' AS TABELA_SIMUL,'grp_ebitda' AS CAMPO, '${ref_date}' AS REF_DATE, COUNT(*) AS NUM_REG, SUM(IF(COALESCE(CAST(X.grp_ebitda AS STRING),'')&lt;&gt;COALESCE(CAST(Y.grp_ebitda_SIMUL AS STRING),'') OR (X.grp_ebitda IS NULL AND Y.grp_ebitda_SIMUL IS NOT NULL ) OR (X.grp_ebitda IS NOT NULL AND Y.grp_ebitda_SIMUL IS NULL),1,0)) AS NUM_REG_DIF,'1' AS ID_EXEC, CURRENT_TIMESTAMP() AS TIME_EXEC FROM (SELECT entty_id, grp_ebitda FROM BU_LOANTAPE_WORK.LT003_ENTITY WHERE ref_date='${ref_date}' AND nome_perimetro='Individual Local' AND segmento='ESTR' AND ambito='SRB_MBDT' AND entidade='00100')X INNER JOIN (SELECT entty_id AS entty_id_SIMUL, grp_ebitda AS grp_ebitda_SIMUL FROM BU_LOANTAPE_WORK.SIMUL_LT003_ENTITY WHERE ref_date='${ref_date}' AND nome_perimetro='Individual Local' AND segmento='ESTR' AND ambito='PILAR3' AND entidade='00100')Y ON X.ENTTY_ID=Y.ENTTY_ID_SIMUL</v>
      </c>
    </row>
    <row r="421" spans="2:13">
      <c r="B421" s="34" t="s">
        <v>118</v>
      </c>
      <c r="C421" s="34" t="s">
        <v>5</v>
      </c>
      <c r="D421" s="34" t="str">
        <f>+UPPER('0. Instruções'!$D$35&amp;"."&amp;VLOOKUP(B421,'0. Instruções'!$C$27:$D$32,2,FALSE))</f>
        <v>BU_LOANTAPE_WORK.LT003_ENTITY</v>
      </c>
      <c r="E421" s="34" t="str">
        <f>+UPPER('0. Instruções'!$D$36&amp;"."&amp;VLOOKUP(B421,'0. Instruções'!$C$27:$E$32,3,FALSE))</f>
        <v>BU_LOANTAPE_WORK.SIMUL_LT003_ENTITY</v>
      </c>
      <c r="F421" s="34" t="s">
        <v>665</v>
      </c>
      <c r="G421" s="34"/>
      <c r="H421" s="34"/>
      <c r="I421" s="34" t="str">
        <f>"(SELECT "&amp;VLOOKUP(B421,'0. Instruções'!$C$27:$G$32,4,FALSE)&amp;", "&amp;F421&amp;" FROM "&amp;D421&amp;" WHERE "&amp;'0. Instruções'!$D$42&amp;")X"</f>
        <v>(SELECT entty_id, grp_eqty FROM BU_LOANTAPE_WORK.LT003_ENTITY WHERE ref_date='${ref_date}' AND nome_perimetro='Individual Local' AND segmento='ESTR' AND ambito='SRB_MBDT' AND entidade='00100')X</v>
      </c>
      <c r="J421" s="34" t="str">
        <f>"(SELECT "&amp;VLOOKUP(B421,'0. Instruções'!$C$27:$G$32,4,FALSE)&amp;" AS "&amp;VLOOKUP(B421,'0. Instruções'!$C$27:$G$32,4,FALSE)&amp;"_SIMUL, "&amp;F421&amp;" AS "&amp;F421&amp;"_SIMUL FROM "&amp;E421&amp;" WHERE "&amp;'0. Instruções'!$D$43&amp;")Y"</f>
        <v>(SELECT entty_id AS entty_id_SIMUL, grp_eqty AS grp_eqty_SIMUL FROM BU_LOANTAPE_WORK.SIMUL_LT003_ENTITY WHERE ref_date='${ref_date}' AND nome_perimetro='Individual Local' AND segmento='ESTR' AND ambito='PILAR3' AND entidade='00100')Y</v>
      </c>
      <c r="K421" s="35" t="str">
        <f>+UPPER("ON X."&amp;VLOOKUP(B421,'0. Instruções'!$C$27:$G$32,4,FALSE)&amp;"=Y."&amp;VLOOKUP(B421,'0. Instruções'!$C$27:$G$32,4,FALSE)&amp;"_SIMUL")</f>
        <v>ON X.ENTTY_ID=Y.ENTTY_ID_SIMUL</v>
      </c>
      <c r="L421" s="35" t="str">
        <f>+IF(C421="Coerência", +IF(LEFT(G421,5)="FLOAT","SELECT '"&amp;UPPER(B421)&amp;"' AS TABELA, '"&amp;UPPER(C421)&amp;"' AS TIPOLOGIA_TESTE,'"&amp;D421&amp;"' AS TABELA_LT,'"&amp;E421&amp;"' AS TABELA_SIMUL,'"&amp;F421&amp;"' AS CAMPO, "&amp;"'${ref_date}' AS REF_DATE, COUNT(*) AS NUM_REG, SUM(IF((ABS(COALESCE(CAST(X."&amp;F421&amp;" AS DECIMAL(18,6)),0)-COALESCE(CAST(Y."&amp;F421&amp;"_SIMUL AS DECIMAL(18,6)),0))&gt;0.000001) OR (X."&amp;F421&amp;" IS NULL AND Y."&amp;F421&amp;"_SIMUL IS NOT NULL ) OR (X."&amp;F421&amp;" IS NOT NULL AND Y."&amp;F421&amp;"_SIMUL IS NULL),1,0)) AS NUM_REG_DIF,'"&amp;MAX('ID1&amp;5'!K:K)+1&amp;"' AS ID_EXEC, CURRENT_TIMESTAMP() AS TIME_EXEC FROM "&amp;I421&amp;" INNER JOIN "&amp;J421&amp;" "&amp;K421,"SELECT '"&amp;UPPER(B421)&amp;"' AS TABELA, '"&amp;UPPER(C421)&amp;"' AS TIPOLOGIA_TESTE,'"&amp;D421&amp;"' AS TABELA_LT,'"&amp;E421&amp;"' AS TABELA_SIMUL,'"&amp;F421&amp;"' AS CAMPO, "&amp;"'${ref_date}' AS REF_DATE, COUNT(*) AS NUM_REG, SUM(IF(COALESCE(CAST(X."&amp;F421&amp;" AS STRING),'')&lt;&gt;COALESCE(CAST(Y."&amp;F421&amp;"_SIMUL AS STRING),'') OR (X."&amp;F421&amp;" IS NULL AND Y."&amp;F421&amp;"_SIMUL IS NOT NULL ) OR (X."&amp;F421&amp;" IS NOT NULL AND Y."&amp;F421&amp;"_SIMUL IS NULL),1,0)) AS NUM_REG_DIF,'"&amp;MAX('ID1&amp;5'!L:L)+1&amp;"' AS ID_EXEC, CURRENT_TIMESTAMP() AS TIME_EXEC FROM "&amp;I421&amp;" INNER JOIN "&amp;J421&amp;" "&amp;K421),
IF(C421="Validade",+IF(G421="Code List","SELECT '"&amp;UPPER(B421)&amp;"' AS TABELA, '"&amp;UPPER(C421)&amp;"' AS TIPOLOGIA_TESTE,'"&amp;D421&amp;"' AS TABELA_LT,'N/A' AS TABELA_SIMUL,'"&amp;F421&amp;"' AS CAMPO, "&amp;"'${ref_date}' AS REF_DATE, COUNT(*) AS NUM_REG, SUM(IF(TRIM(CAST(X."&amp;F421&amp;" AS STRING))='' OR TRIM(CAST(X."&amp;F421&amp;" AS STRING)) IS NULL OR CAST(X."&amp;F421&amp;" AS STRING) NOT "&amp;H421&amp;",1,0)) AS NUM_REG_DIF,'"&amp;MAX('ID1&amp;5'!K:K)+1&amp;"' AS ID_EXEC, CURRENT_TIMESTAMP() AS TIME_EXEC FROM "&amp;I421,"SELECT '"&amp;UPPER(B421)&amp;"' AS TABELA, '"&amp;UPPER(C421)&amp;"' AS TIPOLOGIA_TESTE,'"&amp;D421&amp;"' AS TABELA_LT,'N/A' AS TABELA_SIMUL,'"&amp;F421&amp;"' AS CAMPO, "&amp;"'${ref_date}' AS REF_DATE, COUNT(*) AS NUM_REG, SUM(IF(TRIM(CAST(X."&amp;F421&amp;" AS STRING))='' OR TRIM(CAST(X."&amp;F421&amp;" AS STRING)) IS NULL,1,0)) AS NUM_REG_DIF,'"&amp;MAX('ID1&amp;5'!K:K)+1&amp;"' AS ID_EXEC, CURRENT_TIMESTAMP() AS TIME_EXEC FROM "&amp;I421),
IF(C421="Caracteres Especiais",+"SELECT '"&amp;UPPER(B421)&amp;"' AS TABELA, '"&amp;UPPER(C421)&amp;"' AS TIPOLOGIA_TESTE,'"&amp;D421&amp;"' AS TABELA_LT,'N/A' AS TABELA_SIMUL,'"&amp;F421&amp;"' AS CAMPO, "&amp;"'${ref_date}' AS REF_DATE, COUNT(*) AS NUM_REG, SUM(IF(REGEXP_REPLACE(TRIM(CAST(X."&amp;F421&amp;" AS STRING)),'[^a-zA-Z0-9_\\s]','') &lt;&gt;TRIM(CAST(X."&amp;F421&amp;" AS STRING)),1,0)) AS NUM_REG_DIF,'"&amp;MAX('ID1&amp;5'!K:K)+1&amp;"' AS ID_EXEC, CURRENT_TIMESTAMP() AS TIME_EXEC FROM "&amp;I421,
IF(C421="Missings",+"SELECT '"&amp;UPPER(B421)&amp;"' AS TABELA, '"&amp;UPPER(C421)&amp;"' AS TIPOLOGIA_TESTE,'"&amp;D421&amp;"' AS TABELA_LT,'N/A' AS TABELA_SIMUL,'"&amp;F421&amp;"' AS CAMPO, "&amp;"'${ref_date}' AS REF_DATE, COUNT(*) AS NUM_REG, SUM(IF(TRIM(CAST(X."&amp;F421&amp;" AS STRING)) IN ('0000-00-00','0001-01-01','9999-12-31','MISS','00000','99999999999','99999999999.00','99999999999.000000'),1,0)) AS NUM_REG_DIF,'"&amp;MAX('ID1&amp;5'!K:K)+1&amp;"' AS ID_EXEC, CURRENT_TIMESTAMP() AS TIME_EXEC FROM "&amp;I421,
IF(C421="Not applicable",+"SELECT '"&amp;UPPER(B421)&amp;"' AS TABELA, '"&amp;UPPER(C421)&amp;"' AS TIPOLOGIA_TESTE,'"&amp;D421&amp;"' AS TABELA_LT,'N/A' AS TABELA_SIMUL,'"&amp;F421&amp;"' AS CAMPO, "&amp;"'${ref_date}' AS REF_DATE, COUNT(*) AS NUM_REG, SUM(IF(TRIM(CAST(X."&amp;F421&amp;" AS STRING)) IN ('N/A','11111111111','11111111111.00','11111111111.000000','1111-11-11'),1,0)) AS NUM_REG_DIF,'"&amp;MAX('ID1&amp;5'!K:K)+1&amp;"' AS ID_EXEC, CURRENT_TIMESTAMP() AS TIME_EXEC FROM "&amp;I421,
IF(C421="Valores extremos",+"SELECT '"&amp;UPPER(B421)&amp;"' AS TABELA, '"&amp;UPPER(C421)&amp;"' AS TIPOLOGIA_TESTE,'"&amp;D421&amp;"' AS TABELA_LT,'N/A' AS TABELA_SIMUL,'"&amp;F421&amp;"' AS CAMPO, "&amp;"'${ref_date}' AS REF_DATE, CAST(MIN("&amp;F421&amp;") AS STRING) AS VALOR_MIN, CAST(MAX("&amp;F421&amp;") AS STRING) AS VALOR_MAX,'"&amp;MAX('ID1&amp;5'!K:K)+1&amp;"' AS ID_EXEC, CURRENT_TIMESTAMP() AS TIME_EXEC FROM "&amp;MID(I421,1,LEN(I421)-2)&amp;" AND CAST("&amp;F421&amp;"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TABELA_SIMUL,'grp_eqty' AS CAMPO, '${ref_date}' AS REF_DATE, COUNT(*) AS NUM_REG, SUM(IF(COALESCE(CAST(X.grp_eqty AS STRING),'')&lt;&gt;COALESCE(CAST(Y.grp_eqty_SIMUL AS STRING),'') OR (X.grp_eqty IS NULL AND Y.grp_eqty_SIMUL IS NOT NULL ) OR (X.grp_eqty IS NOT NULL AND Y.grp_eqty_SIMUL IS NULL),1,0)) AS NUM_REG_DIF,'1' AS ID_EXEC, CURRENT_TIMESTAMP() AS TIME_EXEC FROM (SELECT entty_id, grp_eqty FROM BU_LOANTAPE_WORK.LT003_ENTITY WHERE ref_date='${ref_date}' AND nome_perimetro='Individual Local' AND segmento='ESTR' AND ambito='SRB_MBDT' AND entidade='00100')X INNER JOIN (SELECT entty_id AS entty_id_SIMUL, grp_eqty AS grp_eqty_SIMUL FROM BU_LOANTAPE_WORK.SIMUL_LT003_ENTITY WHERE ref_date='${ref_date}' AND nome_perimetro='Individual Local' AND segmento='ESTR' AND ambito='PILAR3' AND entidade='00100')Y ON X.ENTTY_ID=Y.ENTTY_ID_SIMUL</v>
      </c>
      <c r="M421" s="36" t="str">
        <f t="shared" si="9"/>
        <v>UNION ALL SELECT 'ENTITY' AS TABELA, 'COERÊNCIA' AS TIPOLOGIA_TESTE,'BU_LOANTAPE_WORK.LT003_ENTITY' AS TABELA_LT,'BU_LOANTAPE_WORK.SIMUL_LT003_ENTITY' AS TABELA_SIMUL,'grp_eqty' AS CAMPO, '${ref_date}' AS REF_DATE, COUNT(*) AS NUM_REG, SUM(IF(COALESCE(CAST(X.grp_eqty AS STRING),'')&lt;&gt;COALESCE(CAST(Y.grp_eqty_SIMUL AS STRING),'') OR (X.grp_eqty IS NULL AND Y.grp_eqty_SIMUL IS NOT NULL ) OR (X.grp_eqty IS NOT NULL AND Y.grp_eqty_SIMUL IS NULL),1,0)) AS NUM_REG_DIF,'1' AS ID_EXEC, CURRENT_TIMESTAMP() AS TIME_EXEC FROM (SELECT entty_id, grp_eqty FROM BU_LOANTAPE_WORK.LT003_ENTITY WHERE ref_date='${ref_date}' AND nome_perimetro='Individual Local' AND segmento='ESTR' AND ambito='SRB_MBDT' AND entidade='00100')X INNER JOIN (SELECT entty_id AS entty_id_SIMUL, grp_eqty AS grp_eqty_SIMUL FROM BU_LOANTAPE_WORK.SIMUL_LT003_ENTITY WHERE ref_date='${ref_date}' AND nome_perimetro='Individual Local' AND segmento='ESTR' AND ambito='PILAR3' AND entidade='00100')Y ON X.ENTTY_ID=Y.ENTTY_ID_SIMUL</v>
      </c>
    </row>
    <row r="422" spans="2:13">
      <c r="B422" s="34" t="s">
        <v>118</v>
      </c>
      <c r="C422" s="34" t="s">
        <v>5</v>
      </c>
      <c r="D422" s="34" t="str">
        <f>+UPPER('0. Instruções'!$D$35&amp;"."&amp;VLOOKUP(B422,'0. Instruções'!$C$27:$D$32,2,FALSE))</f>
        <v>BU_LOANTAPE_WORK.LT003_ENTITY</v>
      </c>
      <c r="E422" s="34" t="str">
        <f>+UPPER('0. Instruções'!$D$36&amp;"."&amp;VLOOKUP(B422,'0. Instruções'!$C$27:$E$32,3,FALSE))</f>
        <v>BU_LOANTAPE_WORK.SIMUL_LT003_ENTITY</v>
      </c>
      <c r="F422" s="34" t="s">
        <v>1447</v>
      </c>
      <c r="G422" s="34"/>
      <c r="H422" s="34"/>
      <c r="I422" s="34" t="str">
        <f>"(SELECT "&amp;VLOOKUP(B422,'0. Instruções'!$C$27:$G$32,4,FALSE)&amp;", "&amp;F422&amp;" FROM "&amp;D422&amp;" WHERE "&amp;'0. Instruções'!$D$42&amp;")X"</f>
        <v>(SELECT entty_id, grp_nt_dbt FROM BU_LOANTAPE_WORK.LT003_ENTITY WHERE ref_date='${ref_date}' AND nome_perimetro='Individual Local' AND segmento='ESTR' AND ambito='SRB_MBDT' AND entidade='00100')X</v>
      </c>
      <c r="J422" s="34" t="str">
        <f>"(SELECT "&amp;VLOOKUP(B422,'0. Instruções'!$C$27:$G$32,4,FALSE)&amp;" AS "&amp;VLOOKUP(B422,'0. Instruções'!$C$27:$G$32,4,FALSE)&amp;"_SIMUL, "&amp;F422&amp;" AS "&amp;F422&amp;"_SIMUL FROM "&amp;E422&amp;" WHERE "&amp;'0. Instruções'!$D$43&amp;")Y"</f>
        <v>(SELECT entty_id AS entty_id_SIMUL, grp_nt_dbt AS grp_nt_dbt_SIMUL FROM BU_LOANTAPE_WORK.SIMUL_LT003_ENTITY WHERE ref_date='${ref_date}' AND nome_perimetro='Individual Local' AND segmento='ESTR' AND ambito='PILAR3' AND entidade='00100')Y</v>
      </c>
      <c r="K422" s="35" t="str">
        <f>+UPPER("ON X."&amp;VLOOKUP(B422,'0. Instruções'!$C$27:$G$32,4,FALSE)&amp;"=Y."&amp;VLOOKUP(B422,'0. Instruções'!$C$27:$G$32,4,FALSE)&amp;"_SIMUL")</f>
        <v>ON X.ENTTY_ID=Y.ENTTY_ID_SIMUL</v>
      </c>
      <c r="L422" s="35" t="str">
        <f>+IF(C422="Coerência", +IF(LEFT(G422,5)="FLOAT","SELECT '"&amp;UPPER(B422)&amp;"' AS TABELA, '"&amp;UPPER(C422)&amp;"' AS TIPOLOGIA_TESTE,'"&amp;D422&amp;"' AS TABELA_LT,'"&amp;E422&amp;"' AS TABELA_SIMUL,'"&amp;F422&amp;"' AS CAMPO, "&amp;"'${ref_date}' AS REF_DATE, COUNT(*) AS NUM_REG, SUM(IF((ABS(COALESCE(CAST(X."&amp;F422&amp;" AS DECIMAL(18,6)),0)-COALESCE(CAST(Y."&amp;F422&amp;"_SIMUL AS DECIMAL(18,6)),0))&gt;0.000001) OR (X."&amp;F422&amp;" IS NULL AND Y."&amp;F422&amp;"_SIMUL IS NOT NULL ) OR (X."&amp;F422&amp;" IS NOT NULL AND Y."&amp;F422&amp;"_SIMUL IS NULL),1,0)) AS NUM_REG_DIF,'"&amp;MAX('ID1&amp;5'!K:K)+1&amp;"' AS ID_EXEC, CURRENT_TIMESTAMP() AS TIME_EXEC FROM "&amp;I422&amp;" INNER JOIN "&amp;J422&amp;" "&amp;K422,"SELECT '"&amp;UPPER(B422)&amp;"' AS TABELA, '"&amp;UPPER(C422)&amp;"' AS TIPOLOGIA_TESTE,'"&amp;D422&amp;"' AS TABELA_LT,'"&amp;E422&amp;"' AS TABELA_SIMUL,'"&amp;F422&amp;"' AS CAMPO, "&amp;"'${ref_date}' AS REF_DATE, COUNT(*) AS NUM_REG, SUM(IF(COALESCE(CAST(X."&amp;F422&amp;" AS STRING),'')&lt;&gt;COALESCE(CAST(Y."&amp;F422&amp;"_SIMUL AS STRING),'') OR (X."&amp;F422&amp;" IS NULL AND Y."&amp;F422&amp;"_SIMUL IS NOT NULL ) OR (X."&amp;F422&amp;" IS NOT NULL AND Y."&amp;F422&amp;"_SIMUL IS NULL),1,0)) AS NUM_REG_DIF,'"&amp;MAX('ID1&amp;5'!L:L)+1&amp;"' AS ID_EXEC, CURRENT_TIMESTAMP() AS TIME_EXEC FROM "&amp;I422&amp;" INNER JOIN "&amp;J422&amp;" "&amp;K422),
IF(C422="Validade",+IF(G422="Code List","SELECT '"&amp;UPPER(B422)&amp;"' AS TABELA, '"&amp;UPPER(C422)&amp;"' AS TIPOLOGIA_TESTE,'"&amp;D422&amp;"' AS TABELA_LT,'N/A' AS TABELA_SIMUL,'"&amp;F422&amp;"' AS CAMPO, "&amp;"'${ref_date}' AS REF_DATE, COUNT(*) AS NUM_REG, SUM(IF(TRIM(CAST(X."&amp;F422&amp;" AS STRING))='' OR TRIM(CAST(X."&amp;F422&amp;" AS STRING)) IS NULL OR CAST(X."&amp;F422&amp;" AS STRING) NOT "&amp;H422&amp;",1,0)) AS NUM_REG_DIF,'"&amp;MAX('ID1&amp;5'!K:K)+1&amp;"' AS ID_EXEC, CURRENT_TIMESTAMP() AS TIME_EXEC FROM "&amp;I422,"SELECT '"&amp;UPPER(B422)&amp;"' AS TABELA, '"&amp;UPPER(C422)&amp;"' AS TIPOLOGIA_TESTE,'"&amp;D422&amp;"' AS TABELA_LT,'N/A' AS TABELA_SIMUL,'"&amp;F422&amp;"' AS CAMPO, "&amp;"'${ref_date}' AS REF_DATE, COUNT(*) AS NUM_REG, SUM(IF(TRIM(CAST(X."&amp;F422&amp;" AS STRING))='' OR TRIM(CAST(X."&amp;F422&amp;" AS STRING)) IS NULL,1,0)) AS NUM_REG_DIF,'"&amp;MAX('ID1&amp;5'!K:K)+1&amp;"' AS ID_EXEC, CURRENT_TIMESTAMP() AS TIME_EXEC FROM "&amp;I422),
IF(C422="Caracteres Especiais",+"SELECT '"&amp;UPPER(B422)&amp;"' AS TABELA, '"&amp;UPPER(C422)&amp;"' AS TIPOLOGIA_TESTE,'"&amp;D422&amp;"' AS TABELA_LT,'N/A' AS TABELA_SIMUL,'"&amp;F422&amp;"' AS CAMPO, "&amp;"'${ref_date}' AS REF_DATE, COUNT(*) AS NUM_REG, SUM(IF(REGEXP_REPLACE(TRIM(CAST(X."&amp;F422&amp;" AS STRING)),'[^a-zA-Z0-9_\\s]','') &lt;&gt;TRIM(CAST(X."&amp;F422&amp;" AS STRING)),1,0)) AS NUM_REG_DIF,'"&amp;MAX('ID1&amp;5'!K:K)+1&amp;"' AS ID_EXEC, CURRENT_TIMESTAMP() AS TIME_EXEC FROM "&amp;I422,
IF(C422="Missings",+"SELECT '"&amp;UPPER(B422)&amp;"' AS TABELA, '"&amp;UPPER(C422)&amp;"' AS TIPOLOGIA_TESTE,'"&amp;D422&amp;"' AS TABELA_LT,'N/A' AS TABELA_SIMUL,'"&amp;F422&amp;"' AS CAMPO, "&amp;"'${ref_date}' AS REF_DATE, COUNT(*) AS NUM_REG, SUM(IF(TRIM(CAST(X."&amp;F422&amp;" AS STRING)) IN ('0000-00-00','0001-01-01','9999-12-31','MISS','00000','99999999999','99999999999.00','99999999999.000000'),1,0)) AS NUM_REG_DIF,'"&amp;MAX('ID1&amp;5'!K:K)+1&amp;"' AS ID_EXEC, CURRENT_TIMESTAMP() AS TIME_EXEC FROM "&amp;I422,
IF(C422="Not applicable",+"SELECT '"&amp;UPPER(B422)&amp;"' AS TABELA, '"&amp;UPPER(C422)&amp;"' AS TIPOLOGIA_TESTE,'"&amp;D422&amp;"' AS TABELA_LT,'N/A' AS TABELA_SIMUL,'"&amp;F422&amp;"' AS CAMPO, "&amp;"'${ref_date}' AS REF_DATE, COUNT(*) AS NUM_REG, SUM(IF(TRIM(CAST(X."&amp;F422&amp;" AS STRING)) IN ('N/A','11111111111','11111111111.00','11111111111.000000','1111-11-11'),1,0)) AS NUM_REG_DIF,'"&amp;MAX('ID1&amp;5'!K:K)+1&amp;"' AS ID_EXEC, CURRENT_TIMESTAMP() AS TIME_EXEC FROM "&amp;I422,
IF(C422="Valores extremos",+"SELECT '"&amp;UPPER(B422)&amp;"' AS TABELA, '"&amp;UPPER(C422)&amp;"' AS TIPOLOGIA_TESTE,'"&amp;D422&amp;"' AS TABELA_LT,'N/A' AS TABELA_SIMUL,'"&amp;F422&amp;"' AS CAMPO, "&amp;"'${ref_date}' AS REF_DATE, CAST(MIN("&amp;F422&amp;") AS STRING) AS VALOR_MIN, CAST(MAX("&amp;F422&amp;") AS STRING) AS VALOR_MAX,'"&amp;MAX('ID1&amp;5'!K:K)+1&amp;"' AS ID_EXEC, CURRENT_TIMESTAMP() AS TIME_EXEC FROM "&amp;MID(I422,1,LEN(I422)-2)&amp;" AND CAST("&amp;F422&amp;"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TABELA_SIMUL,'grp_nt_dbt' AS CAMPO, '${ref_date}' AS REF_DATE, COUNT(*) AS NUM_REG, SUM(IF(COALESCE(CAST(X.grp_nt_dbt AS STRING),'')&lt;&gt;COALESCE(CAST(Y.grp_nt_dbt_SIMUL AS STRING),'') OR (X.grp_nt_dbt IS NULL AND Y.grp_nt_dbt_SIMUL IS NOT NULL ) OR (X.grp_nt_dbt IS NOT NULL AND Y.grp_nt_dbt_SIMUL IS NULL),1,0)) AS NUM_REG_DIF,'1' AS ID_EXEC, CURRENT_TIMESTAMP() AS TIME_EXEC FROM (SELECT entty_id, grp_nt_dbt FROM BU_LOANTAPE_WORK.LT003_ENTITY WHERE ref_date='${ref_date}' AND nome_perimetro='Individual Local' AND segmento='ESTR' AND ambito='SRB_MBDT' AND entidade='00100')X INNER JOIN (SELECT entty_id AS entty_id_SIMUL, grp_nt_dbt AS grp_nt_dbt_SIMUL FROM BU_LOANTAPE_WORK.SIMUL_LT003_ENTITY WHERE ref_date='${ref_date}' AND nome_perimetro='Individual Local' AND segmento='ESTR' AND ambito='PILAR3' AND entidade='00100')Y ON X.ENTTY_ID=Y.ENTTY_ID_SIMUL</v>
      </c>
      <c r="M422" s="36" t="str">
        <f t="shared" si="9"/>
        <v>UNION ALL SELECT 'ENTITY' AS TABELA, 'COERÊNCIA' AS TIPOLOGIA_TESTE,'BU_LOANTAPE_WORK.LT003_ENTITY' AS TABELA_LT,'BU_LOANTAPE_WORK.SIMUL_LT003_ENTITY' AS TABELA_SIMUL,'grp_nt_dbt' AS CAMPO, '${ref_date}' AS REF_DATE, COUNT(*) AS NUM_REG, SUM(IF(COALESCE(CAST(X.grp_nt_dbt AS STRING),'')&lt;&gt;COALESCE(CAST(Y.grp_nt_dbt_SIMUL AS STRING),'') OR (X.grp_nt_dbt IS NULL AND Y.grp_nt_dbt_SIMUL IS NOT NULL ) OR (X.grp_nt_dbt IS NOT NULL AND Y.grp_nt_dbt_SIMUL IS NULL),1,0)) AS NUM_REG_DIF,'1' AS ID_EXEC, CURRENT_TIMESTAMP() AS TIME_EXEC FROM (SELECT entty_id, grp_nt_dbt FROM BU_LOANTAPE_WORK.LT003_ENTITY WHERE ref_date='${ref_date}' AND nome_perimetro='Individual Local' AND segmento='ESTR' AND ambito='SRB_MBDT' AND entidade='00100')X INNER JOIN (SELECT entty_id AS entty_id_SIMUL, grp_nt_dbt AS grp_nt_dbt_SIMUL FROM BU_LOANTAPE_WORK.SIMUL_LT003_ENTITY WHERE ref_date='${ref_date}' AND nome_perimetro='Individual Local' AND segmento='ESTR' AND ambito='PILAR3' AND entidade='00100')Y ON X.ENTTY_ID=Y.ENTTY_ID_SIMUL</v>
      </c>
    </row>
    <row r="423" spans="2:13">
      <c r="B423" s="34" t="s">
        <v>118</v>
      </c>
      <c r="C423" s="34" t="s">
        <v>5</v>
      </c>
      <c r="D423" s="34" t="str">
        <f>+UPPER('0. Instruções'!$D$35&amp;"."&amp;VLOOKUP(B423,'0. Instruções'!$C$27:$D$32,2,FALSE))</f>
        <v>BU_LOANTAPE_WORK.LT003_ENTITY</v>
      </c>
      <c r="E423" s="34" t="str">
        <f>+UPPER('0. Instruções'!$D$36&amp;"."&amp;VLOOKUP(B423,'0. Instruções'!$C$27:$E$32,3,FALSE))</f>
        <v>BU_LOANTAPE_WORK.SIMUL_LT003_ENTITY</v>
      </c>
      <c r="F423" s="34" t="s">
        <v>666</v>
      </c>
      <c r="G423" s="34"/>
      <c r="H423" s="34"/>
      <c r="I423" s="34" t="str">
        <f>"(SELECT "&amp;VLOOKUP(B423,'0. Instruções'!$C$27:$G$32,4,FALSE)&amp;", "&amp;F423&amp;" FROM "&amp;D423&amp;" WHERE "&amp;'0. Instruções'!$D$42&amp;")X"</f>
        <v>(SELECT entty_id, annl_trnvr_le FROM BU_LOANTAPE_WORK.LT003_ENTITY WHERE ref_date='${ref_date}' AND nome_perimetro='Individual Local' AND segmento='ESTR' AND ambito='SRB_MBDT' AND entidade='00100')X</v>
      </c>
      <c r="J423" s="34" t="str">
        <f>"(SELECT "&amp;VLOOKUP(B423,'0. Instruções'!$C$27:$G$32,4,FALSE)&amp;" AS "&amp;VLOOKUP(B423,'0. Instruções'!$C$27:$G$32,4,FALSE)&amp;"_SIMUL, "&amp;F423&amp;" AS "&amp;F423&amp;"_SIMUL FROM "&amp;E423&amp;" WHERE "&amp;'0. Instruções'!$D$43&amp;")Y"</f>
        <v>(SELECT entty_id AS entty_id_SIMUL, annl_trnvr_le AS annl_trnvr_le_SIMUL FROM BU_LOANTAPE_WORK.SIMUL_LT003_ENTITY WHERE ref_date='${ref_date}' AND nome_perimetro='Individual Local' AND segmento='ESTR' AND ambito='PILAR3' AND entidade='00100')Y</v>
      </c>
      <c r="K423" s="35" t="str">
        <f>+UPPER("ON X."&amp;VLOOKUP(B423,'0. Instruções'!$C$27:$G$32,4,FALSE)&amp;"=Y."&amp;VLOOKUP(B423,'0. Instruções'!$C$27:$G$32,4,FALSE)&amp;"_SIMUL")</f>
        <v>ON X.ENTTY_ID=Y.ENTTY_ID_SIMUL</v>
      </c>
      <c r="L423" s="35" t="str">
        <f>+IF(C423="Coerência", +IF(LEFT(G423,5)="FLOAT","SELECT '"&amp;UPPER(B423)&amp;"' AS TABELA, '"&amp;UPPER(C423)&amp;"' AS TIPOLOGIA_TESTE,'"&amp;D423&amp;"' AS TABELA_LT,'"&amp;E423&amp;"' AS TABELA_SIMUL,'"&amp;F423&amp;"' AS CAMPO, "&amp;"'${ref_date}' AS REF_DATE, COUNT(*) AS NUM_REG, SUM(IF((ABS(COALESCE(CAST(X."&amp;F423&amp;" AS DECIMAL(18,6)),0)-COALESCE(CAST(Y."&amp;F423&amp;"_SIMUL AS DECIMAL(18,6)),0))&gt;0.000001) OR (X."&amp;F423&amp;" IS NULL AND Y."&amp;F423&amp;"_SIMUL IS NOT NULL ) OR (X."&amp;F423&amp;" IS NOT NULL AND Y."&amp;F423&amp;"_SIMUL IS NULL),1,0)) AS NUM_REG_DIF,'"&amp;MAX('ID1&amp;5'!K:K)+1&amp;"' AS ID_EXEC, CURRENT_TIMESTAMP() AS TIME_EXEC FROM "&amp;I423&amp;" INNER JOIN "&amp;J423&amp;" "&amp;K423,"SELECT '"&amp;UPPER(B423)&amp;"' AS TABELA, '"&amp;UPPER(C423)&amp;"' AS TIPOLOGIA_TESTE,'"&amp;D423&amp;"' AS TABELA_LT,'"&amp;E423&amp;"' AS TABELA_SIMUL,'"&amp;F423&amp;"' AS CAMPO, "&amp;"'${ref_date}' AS REF_DATE, COUNT(*) AS NUM_REG, SUM(IF(COALESCE(CAST(X."&amp;F423&amp;" AS STRING),'')&lt;&gt;COALESCE(CAST(Y."&amp;F423&amp;"_SIMUL AS STRING),'') OR (X."&amp;F423&amp;" IS NULL AND Y."&amp;F423&amp;"_SIMUL IS NOT NULL ) OR (X."&amp;F423&amp;" IS NOT NULL AND Y."&amp;F423&amp;"_SIMUL IS NULL),1,0)) AS NUM_REG_DIF,'"&amp;MAX('ID1&amp;5'!L:L)+1&amp;"' AS ID_EXEC, CURRENT_TIMESTAMP() AS TIME_EXEC FROM "&amp;I423&amp;" INNER JOIN "&amp;J423&amp;" "&amp;K423),
IF(C423="Validade",+IF(G423="Code List","SELECT '"&amp;UPPER(B423)&amp;"' AS TABELA, '"&amp;UPPER(C423)&amp;"' AS TIPOLOGIA_TESTE,'"&amp;D423&amp;"' AS TABELA_LT,'N/A' AS TABELA_SIMUL,'"&amp;F423&amp;"' AS CAMPO, "&amp;"'${ref_date}' AS REF_DATE, COUNT(*) AS NUM_REG, SUM(IF(TRIM(CAST(X."&amp;F423&amp;" AS STRING))='' OR TRIM(CAST(X."&amp;F423&amp;" AS STRING)) IS NULL OR CAST(X."&amp;F423&amp;" AS STRING) NOT "&amp;H423&amp;",1,0)) AS NUM_REG_DIF,'"&amp;MAX('ID1&amp;5'!K:K)+1&amp;"' AS ID_EXEC, CURRENT_TIMESTAMP() AS TIME_EXEC FROM "&amp;I423,"SELECT '"&amp;UPPER(B423)&amp;"' AS TABELA, '"&amp;UPPER(C423)&amp;"' AS TIPOLOGIA_TESTE,'"&amp;D423&amp;"' AS TABELA_LT,'N/A' AS TABELA_SIMUL,'"&amp;F423&amp;"' AS CAMPO, "&amp;"'${ref_date}' AS REF_DATE, COUNT(*) AS NUM_REG, SUM(IF(TRIM(CAST(X."&amp;F423&amp;" AS STRING))='' OR TRIM(CAST(X."&amp;F423&amp;" AS STRING)) IS NULL,1,0)) AS NUM_REG_DIF,'"&amp;MAX('ID1&amp;5'!K:K)+1&amp;"' AS ID_EXEC, CURRENT_TIMESTAMP() AS TIME_EXEC FROM "&amp;I423),
IF(C423="Caracteres Especiais",+"SELECT '"&amp;UPPER(B423)&amp;"' AS TABELA, '"&amp;UPPER(C423)&amp;"' AS TIPOLOGIA_TESTE,'"&amp;D423&amp;"' AS TABELA_LT,'N/A' AS TABELA_SIMUL,'"&amp;F423&amp;"' AS CAMPO, "&amp;"'${ref_date}' AS REF_DATE, COUNT(*) AS NUM_REG, SUM(IF(REGEXP_REPLACE(TRIM(CAST(X."&amp;F423&amp;" AS STRING)),'[^a-zA-Z0-9_\\s]','') &lt;&gt;TRIM(CAST(X."&amp;F423&amp;" AS STRING)),1,0)) AS NUM_REG_DIF,'"&amp;MAX('ID1&amp;5'!K:K)+1&amp;"' AS ID_EXEC, CURRENT_TIMESTAMP() AS TIME_EXEC FROM "&amp;I423,
IF(C423="Missings",+"SELECT '"&amp;UPPER(B423)&amp;"' AS TABELA, '"&amp;UPPER(C423)&amp;"' AS TIPOLOGIA_TESTE,'"&amp;D423&amp;"' AS TABELA_LT,'N/A' AS TABELA_SIMUL,'"&amp;F423&amp;"' AS CAMPO, "&amp;"'${ref_date}' AS REF_DATE, COUNT(*) AS NUM_REG, SUM(IF(TRIM(CAST(X."&amp;F423&amp;" AS STRING)) IN ('0000-00-00','0001-01-01','9999-12-31','MISS','00000','99999999999','99999999999.00','99999999999.000000'),1,0)) AS NUM_REG_DIF,'"&amp;MAX('ID1&amp;5'!K:K)+1&amp;"' AS ID_EXEC, CURRENT_TIMESTAMP() AS TIME_EXEC FROM "&amp;I423,
IF(C423="Not applicable",+"SELECT '"&amp;UPPER(B423)&amp;"' AS TABELA, '"&amp;UPPER(C423)&amp;"' AS TIPOLOGIA_TESTE,'"&amp;D423&amp;"' AS TABELA_LT,'N/A' AS TABELA_SIMUL,'"&amp;F423&amp;"' AS CAMPO, "&amp;"'${ref_date}' AS REF_DATE, COUNT(*) AS NUM_REG, SUM(IF(TRIM(CAST(X."&amp;F423&amp;" AS STRING)) IN ('N/A','11111111111','11111111111.00','11111111111.000000','1111-11-11'),1,0)) AS NUM_REG_DIF,'"&amp;MAX('ID1&amp;5'!K:K)+1&amp;"' AS ID_EXEC, CURRENT_TIMESTAMP() AS TIME_EXEC FROM "&amp;I423,
IF(C423="Valores extremos",+"SELECT '"&amp;UPPER(B423)&amp;"' AS TABELA, '"&amp;UPPER(C423)&amp;"' AS TIPOLOGIA_TESTE,'"&amp;D423&amp;"' AS TABELA_LT,'N/A' AS TABELA_SIMUL,'"&amp;F423&amp;"' AS CAMPO, "&amp;"'${ref_date}' AS REF_DATE, CAST(MIN("&amp;F423&amp;") AS STRING) AS VALOR_MIN, CAST(MAX("&amp;F423&amp;") AS STRING) AS VALOR_MAX,'"&amp;MAX('ID1&amp;5'!K:K)+1&amp;"' AS ID_EXEC, CURRENT_TIMESTAMP() AS TIME_EXEC FROM "&amp;MID(I423,1,LEN(I423)-2)&amp;" AND CAST("&amp;F423&amp;"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TABELA_SIMUL,'annl_trnvr_le' AS CAMPO, '${ref_date}' AS REF_DATE, COUNT(*) AS NUM_REG, SUM(IF(COALESCE(CAST(X.annl_trnvr_le AS STRING),'')&lt;&gt;COALESCE(CAST(Y.annl_trnvr_le_SIMUL AS STRING),'') OR (X.annl_trnvr_le IS NULL AND Y.annl_trnvr_le_SIMUL IS NOT NULL ) OR (X.annl_trnvr_le IS NOT NULL AND Y.annl_trnvr_le_SIMUL IS NULL),1,0)) AS NUM_REG_DIF,'1' AS ID_EXEC, CURRENT_TIMESTAMP() AS TIME_EXEC FROM (SELECT entty_id, annl_trnvr_le FROM BU_LOANTAPE_WORK.LT003_ENTITY WHERE ref_date='${ref_date}' AND nome_perimetro='Individual Local' AND segmento='ESTR' AND ambito='SRB_MBDT' AND entidade='00100')X INNER JOIN (SELECT entty_id AS entty_id_SIMUL, annl_trnvr_le AS annl_trnvr_le_SIMUL FROM BU_LOANTAPE_WORK.SIMUL_LT003_ENTITY WHERE ref_date='${ref_date}' AND nome_perimetro='Individual Local' AND segmento='ESTR' AND ambito='PILAR3' AND entidade='00100')Y ON X.ENTTY_ID=Y.ENTTY_ID_SIMUL</v>
      </c>
      <c r="M423" s="36" t="str">
        <f t="shared" si="9"/>
        <v>UNION ALL SELECT 'ENTITY' AS TABELA, 'COERÊNCIA' AS TIPOLOGIA_TESTE,'BU_LOANTAPE_WORK.LT003_ENTITY' AS TABELA_LT,'BU_LOANTAPE_WORK.SIMUL_LT003_ENTITY' AS TABELA_SIMUL,'annl_trnvr_le' AS CAMPO, '${ref_date}' AS REF_DATE, COUNT(*) AS NUM_REG, SUM(IF(COALESCE(CAST(X.annl_trnvr_le AS STRING),'')&lt;&gt;COALESCE(CAST(Y.annl_trnvr_le_SIMUL AS STRING),'') OR (X.annl_trnvr_le IS NULL AND Y.annl_trnvr_le_SIMUL IS NOT NULL ) OR (X.annl_trnvr_le IS NOT NULL AND Y.annl_trnvr_le_SIMUL IS NULL),1,0)) AS NUM_REG_DIF,'1' AS ID_EXEC, CURRENT_TIMESTAMP() AS TIME_EXEC FROM (SELECT entty_id, annl_trnvr_le FROM BU_LOANTAPE_WORK.LT003_ENTITY WHERE ref_date='${ref_date}' AND nome_perimetro='Individual Local' AND segmento='ESTR' AND ambito='SRB_MBDT' AND entidade='00100')X INNER JOIN (SELECT entty_id AS entty_id_SIMUL, annl_trnvr_le AS annl_trnvr_le_SIMUL FROM BU_LOANTAPE_WORK.SIMUL_LT003_ENTITY WHERE ref_date='${ref_date}' AND nome_perimetro='Individual Local' AND segmento='ESTR' AND ambito='PILAR3' AND entidade='00100')Y ON X.ENTTY_ID=Y.ENTTY_ID_SIMUL</v>
      </c>
    </row>
    <row r="424" spans="2:13">
      <c r="B424" s="34" t="s">
        <v>118</v>
      </c>
      <c r="C424" s="34" t="s">
        <v>5</v>
      </c>
      <c r="D424" s="34" t="str">
        <f>+UPPER('0. Instruções'!$D$35&amp;"."&amp;VLOOKUP(B424,'0. Instruções'!$C$27:$D$32,2,FALSE))</f>
        <v>BU_LOANTAPE_WORK.LT003_ENTITY</v>
      </c>
      <c r="E424" s="34" t="str">
        <f>+UPPER('0. Instruções'!$D$36&amp;"."&amp;VLOOKUP(B424,'0. Instruções'!$C$27:$E$32,3,FALSE))</f>
        <v>BU_LOANTAPE_WORK.SIMUL_LT003_ENTITY</v>
      </c>
      <c r="F424" s="34" t="s">
        <v>1448</v>
      </c>
      <c r="G424" s="34"/>
      <c r="H424" s="34"/>
      <c r="I424" s="34" t="str">
        <f>"(SELECT "&amp;VLOOKUP(B424,'0. Instruções'!$C$27:$G$32,4,FALSE)&amp;", "&amp;F424&amp;" FROM "&amp;D424&amp;" WHERE "&amp;'0. Instruções'!$D$42&amp;")X"</f>
        <v>(SELECT entty_id, annl_trnvr_prvs FROM BU_LOANTAPE_WORK.LT003_ENTITY WHERE ref_date='${ref_date}' AND nome_perimetro='Individual Local' AND segmento='ESTR' AND ambito='SRB_MBDT' AND entidade='00100')X</v>
      </c>
      <c r="J424" s="34" t="str">
        <f>"(SELECT "&amp;VLOOKUP(B424,'0. Instruções'!$C$27:$G$32,4,FALSE)&amp;" AS "&amp;VLOOKUP(B424,'0. Instruções'!$C$27:$G$32,4,FALSE)&amp;"_SIMUL, "&amp;F424&amp;" AS "&amp;F424&amp;"_SIMUL FROM "&amp;E424&amp;" WHERE "&amp;'0. Instruções'!$D$43&amp;")Y"</f>
        <v>(SELECT entty_id AS entty_id_SIMUL, annl_trnvr_prvs AS annl_trnvr_prvs_SIMUL FROM BU_LOANTAPE_WORK.SIMUL_LT003_ENTITY WHERE ref_date='${ref_date}' AND nome_perimetro='Individual Local' AND segmento='ESTR' AND ambito='PILAR3' AND entidade='00100')Y</v>
      </c>
      <c r="K424" s="35" t="str">
        <f>+UPPER("ON X."&amp;VLOOKUP(B424,'0. Instruções'!$C$27:$G$32,4,FALSE)&amp;"=Y."&amp;VLOOKUP(B424,'0. Instruções'!$C$27:$G$32,4,FALSE)&amp;"_SIMUL")</f>
        <v>ON X.ENTTY_ID=Y.ENTTY_ID_SIMUL</v>
      </c>
      <c r="L424" s="35" t="str">
        <f>+IF(C424="Coerência", +IF(LEFT(G424,5)="FLOAT","SELECT '"&amp;UPPER(B424)&amp;"' AS TABELA, '"&amp;UPPER(C424)&amp;"' AS TIPOLOGIA_TESTE,'"&amp;D424&amp;"' AS TABELA_LT,'"&amp;E424&amp;"' AS TABELA_SIMUL,'"&amp;F424&amp;"' AS CAMPO, "&amp;"'${ref_date}' AS REF_DATE, COUNT(*) AS NUM_REG, SUM(IF((ABS(COALESCE(CAST(X."&amp;F424&amp;" AS DECIMAL(18,6)),0)-COALESCE(CAST(Y."&amp;F424&amp;"_SIMUL AS DECIMAL(18,6)),0))&gt;0.000001) OR (X."&amp;F424&amp;" IS NULL AND Y."&amp;F424&amp;"_SIMUL IS NOT NULL ) OR (X."&amp;F424&amp;" IS NOT NULL AND Y."&amp;F424&amp;"_SIMUL IS NULL),1,0)) AS NUM_REG_DIF,'"&amp;MAX('ID1&amp;5'!K:K)+1&amp;"' AS ID_EXEC, CURRENT_TIMESTAMP() AS TIME_EXEC FROM "&amp;I424&amp;" INNER JOIN "&amp;J424&amp;" "&amp;K424,"SELECT '"&amp;UPPER(B424)&amp;"' AS TABELA, '"&amp;UPPER(C424)&amp;"' AS TIPOLOGIA_TESTE,'"&amp;D424&amp;"' AS TABELA_LT,'"&amp;E424&amp;"' AS TABELA_SIMUL,'"&amp;F424&amp;"' AS CAMPO, "&amp;"'${ref_date}' AS REF_DATE, COUNT(*) AS NUM_REG, SUM(IF(COALESCE(CAST(X."&amp;F424&amp;" AS STRING),'')&lt;&gt;COALESCE(CAST(Y."&amp;F424&amp;"_SIMUL AS STRING),'') OR (X."&amp;F424&amp;" IS NULL AND Y."&amp;F424&amp;"_SIMUL IS NOT NULL ) OR (X."&amp;F424&amp;" IS NOT NULL AND Y."&amp;F424&amp;"_SIMUL IS NULL),1,0)) AS NUM_REG_DIF,'"&amp;MAX('ID1&amp;5'!L:L)+1&amp;"' AS ID_EXEC, CURRENT_TIMESTAMP() AS TIME_EXEC FROM "&amp;I424&amp;" INNER JOIN "&amp;J424&amp;" "&amp;K424),
IF(C424="Validade",+IF(G424="Code List","SELECT '"&amp;UPPER(B424)&amp;"' AS TABELA, '"&amp;UPPER(C424)&amp;"' AS TIPOLOGIA_TESTE,'"&amp;D424&amp;"' AS TABELA_LT,'N/A' AS TABELA_SIMUL,'"&amp;F424&amp;"' AS CAMPO, "&amp;"'${ref_date}' AS REF_DATE, COUNT(*) AS NUM_REG, SUM(IF(TRIM(CAST(X."&amp;F424&amp;" AS STRING))='' OR TRIM(CAST(X."&amp;F424&amp;" AS STRING)) IS NULL OR CAST(X."&amp;F424&amp;" AS STRING) NOT "&amp;H424&amp;",1,0)) AS NUM_REG_DIF,'"&amp;MAX('ID1&amp;5'!K:K)+1&amp;"' AS ID_EXEC, CURRENT_TIMESTAMP() AS TIME_EXEC FROM "&amp;I424,"SELECT '"&amp;UPPER(B424)&amp;"' AS TABELA, '"&amp;UPPER(C424)&amp;"' AS TIPOLOGIA_TESTE,'"&amp;D424&amp;"' AS TABELA_LT,'N/A' AS TABELA_SIMUL,'"&amp;F424&amp;"' AS CAMPO, "&amp;"'${ref_date}' AS REF_DATE, COUNT(*) AS NUM_REG, SUM(IF(TRIM(CAST(X."&amp;F424&amp;" AS STRING))='' OR TRIM(CAST(X."&amp;F424&amp;" AS STRING)) IS NULL,1,0)) AS NUM_REG_DIF,'"&amp;MAX('ID1&amp;5'!K:K)+1&amp;"' AS ID_EXEC, CURRENT_TIMESTAMP() AS TIME_EXEC FROM "&amp;I424),
IF(C424="Caracteres Especiais",+"SELECT '"&amp;UPPER(B424)&amp;"' AS TABELA, '"&amp;UPPER(C424)&amp;"' AS TIPOLOGIA_TESTE,'"&amp;D424&amp;"' AS TABELA_LT,'N/A' AS TABELA_SIMUL,'"&amp;F424&amp;"' AS CAMPO, "&amp;"'${ref_date}' AS REF_DATE, COUNT(*) AS NUM_REG, SUM(IF(REGEXP_REPLACE(TRIM(CAST(X."&amp;F424&amp;" AS STRING)),'[^a-zA-Z0-9_\\s]','') &lt;&gt;TRIM(CAST(X."&amp;F424&amp;" AS STRING)),1,0)) AS NUM_REG_DIF,'"&amp;MAX('ID1&amp;5'!K:K)+1&amp;"' AS ID_EXEC, CURRENT_TIMESTAMP() AS TIME_EXEC FROM "&amp;I424,
IF(C424="Missings",+"SELECT '"&amp;UPPER(B424)&amp;"' AS TABELA, '"&amp;UPPER(C424)&amp;"' AS TIPOLOGIA_TESTE,'"&amp;D424&amp;"' AS TABELA_LT,'N/A' AS TABELA_SIMUL,'"&amp;F424&amp;"' AS CAMPO, "&amp;"'${ref_date}' AS REF_DATE, COUNT(*) AS NUM_REG, SUM(IF(TRIM(CAST(X."&amp;F424&amp;" AS STRING)) IN ('0000-00-00','0001-01-01','9999-12-31','MISS','00000','99999999999','99999999999.00','99999999999.000000'),1,0)) AS NUM_REG_DIF,'"&amp;MAX('ID1&amp;5'!K:K)+1&amp;"' AS ID_EXEC, CURRENT_TIMESTAMP() AS TIME_EXEC FROM "&amp;I424,
IF(C424="Not applicable",+"SELECT '"&amp;UPPER(B424)&amp;"' AS TABELA, '"&amp;UPPER(C424)&amp;"' AS TIPOLOGIA_TESTE,'"&amp;D424&amp;"' AS TABELA_LT,'N/A' AS TABELA_SIMUL,'"&amp;F424&amp;"' AS CAMPO, "&amp;"'${ref_date}' AS REF_DATE, COUNT(*) AS NUM_REG, SUM(IF(TRIM(CAST(X."&amp;F424&amp;" AS STRING)) IN ('N/A','11111111111','11111111111.00','11111111111.000000','1111-11-11'),1,0)) AS NUM_REG_DIF,'"&amp;MAX('ID1&amp;5'!K:K)+1&amp;"' AS ID_EXEC, CURRENT_TIMESTAMP() AS TIME_EXEC FROM "&amp;I424,
IF(C424="Valores extremos",+"SELECT '"&amp;UPPER(B424)&amp;"' AS TABELA, '"&amp;UPPER(C424)&amp;"' AS TIPOLOGIA_TESTE,'"&amp;D424&amp;"' AS TABELA_LT,'N/A' AS TABELA_SIMUL,'"&amp;F424&amp;"' AS CAMPO, "&amp;"'${ref_date}' AS REF_DATE, CAST(MIN("&amp;F424&amp;") AS STRING) AS VALOR_MIN, CAST(MAX("&amp;F424&amp;") AS STRING) AS VALOR_MAX,'"&amp;MAX('ID1&amp;5'!K:K)+1&amp;"' AS ID_EXEC, CURRENT_TIMESTAMP() AS TIME_EXEC FROM "&amp;MID(I424,1,LEN(I424)-2)&amp;" AND CAST("&amp;F424&amp;"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TABELA_SIMUL,'annl_trnvr_prvs' AS CAMPO, '${ref_date}' AS REF_DATE, COUNT(*) AS NUM_REG, SUM(IF(COALESCE(CAST(X.annl_trnvr_prvs AS STRING),'')&lt;&gt;COALESCE(CAST(Y.annl_trnvr_prvs_SIMUL AS STRING),'') OR (X.annl_trnvr_prvs IS NULL AND Y.annl_trnvr_prvs_SIMUL IS NOT NULL ) OR (X.annl_trnvr_prvs IS NOT NULL AND Y.annl_trnvr_prvs_SIMUL IS NULL),1,0)) AS NUM_REG_DIF,'1' AS ID_EXEC, CURRENT_TIMESTAMP() AS TIME_EXEC FROM (SELECT entty_id, annl_trnvr_prvs FROM BU_LOANTAPE_WORK.LT003_ENTITY WHERE ref_date='${ref_date}' AND nome_perimetro='Individual Local' AND segmento='ESTR' AND ambito='SRB_MBDT' AND entidade='00100')X INNER JOIN (SELECT entty_id AS entty_id_SIMUL, annl_trnvr_prvs AS annl_trnvr_prvs_SIMUL FROM BU_LOANTAPE_WORK.SIMUL_LT003_ENTITY WHERE ref_date='${ref_date}' AND nome_perimetro='Individual Local' AND segmento='ESTR' AND ambito='PILAR3' AND entidade='00100')Y ON X.ENTTY_ID=Y.ENTTY_ID_SIMUL</v>
      </c>
      <c r="M424" s="36" t="str">
        <f t="shared" si="9"/>
        <v>UNION ALL SELECT 'ENTITY' AS TABELA, 'COERÊNCIA' AS TIPOLOGIA_TESTE,'BU_LOANTAPE_WORK.LT003_ENTITY' AS TABELA_LT,'BU_LOANTAPE_WORK.SIMUL_LT003_ENTITY' AS TABELA_SIMUL,'annl_trnvr_prvs' AS CAMPO, '${ref_date}' AS REF_DATE, COUNT(*) AS NUM_REG, SUM(IF(COALESCE(CAST(X.annl_trnvr_prvs AS STRING),'')&lt;&gt;COALESCE(CAST(Y.annl_trnvr_prvs_SIMUL AS STRING),'') OR (X.annl_trnvr_prvs IS NULL AND Y.annl_trnvr_prvs_SIMUL IS NOT NULL ) OR (X.annl_trnvr_prvs IS NOT NULL AND Y.annl_trnvr_prvs_SIMUL IS NULL),1,0)) AS NUM_REG_DIF,'1' AS ID_EXEC, CURRENT_TIMESTAMP() AS TIME_EXEC FROM (SELECT entty_id, annl_trnvr_prvs FROM BU_LOANTAPE_WORK.LT003_ENTITY WHERE ref_date='${ref_date}' AND nome_perimetro='Individual Local' AND segmento='ESTR' AND ambito='SRB_MBDT' AND entidade='00100')X INNER JOIN (SELECT entty_id AS entty_id_SIMUL, annl_trnvr_prvs AS annl_trnvr_prvs_SIMUL FROM BU_LOANTAPE_WORK.SIMUL_LT003_ENTITY WHERE ref_date='${ref_date}' AND nome_perimetro='Individual Local' AND segmento='ESTR' AND ambito='PILAR3' AND entidade='00100')Y ON X.ENTTY_ID=Y.ENTTY_ID_SIMUL</v>
      </c>
    </row>
    <row r="425" spans="2:13">
      <c r="B425" s="34" t="s">
        <v>118</v>
      </c>
      <c r="C425" s="34" t="s">
        <v>5</v>
      </c>
      <c r="D425" s="34" t="str">
        <f>+UPPER('0. Instruções'!$D$35&amp;"."&amp;VLOOKUP(B425,'0. Instruções'!$C$27:$D$32,2,FALSE))</f>
        <v>BU_LOANTAPE_WORK.LT003_ENTITY</v>
      </c>
      <c r="E425" s="34" t="str">
        <f>+UPPER('0. Instruções'!$D$36&amp;"."&amp;VLOOKUP(B425,'0. Instruções'!$C$27:$E$32,3,FALSE))</f>
        <v>BU_LOANTAPE_WORK.SIMUL_LT003_ENTITY</v>
      </c>
      <c r="F425" s="34" t="s">
        <v>1449</v>
      </c>
      <c r="G425" s="34"/>
      <c r="H425" s="34"/>
      <c r="I425" s="34" t="str">
        <f>"(SELECT "&amp;VLOOKUP(B425,'0. Instruções'!$C$27:$G$32,4,FALSE)&amp;", "&amp;F425&amp;" FROM "&amp;D425&amp;" WHERE "&amp;'0. Instruções'!$D$42&amp;")X"</f>
        <v>(SELECT entty_id, capex FROM BU_LOANTAPE_WORK.LT003_ENTITY WHERE ref_date='${ref_date}' AND nome_perimetro='Individual Local' AND segmento='ESTR' AND ambito='SRB_MBDT' AND entidade='00100')X</v>
      </c>
      <c r="J425" s="34" t="str">
        <f>"(SELECT "&amp;VLOOKUP(B425,'0. Instruções'!$C$27:$G$32,4,FALSE)&amp;" AS "&amp;VLOOKUP(B425,'0. Instruções'!$C$27:$G$32,4,FALSE)&amp;"_SIMUL, "&amp;F425&amp;" AS "&amp;F425&amp;"_SIMUL FROM "&amp;E425&amp;" WHERE "&amp;'0. Instruções'!$D$43&amp;")Y"</f>
        <v>(SELECT entty_id AS entty_id_SIMUL, capex AS capex_SIMUL FROM BU_LOANTAPE_WORK.SIMUL_LT003_ENTITY WHERE ref_date='${ref_date}' AND nome_perimetro='Individual Local' AND segmento='ESTR' AND ambito='PILAR3' AND entidade='00100')Y</v>
      </c>
      <c r="K425" s="35" t="str">
        <f>+UPPER("ON X."&amp;VLOOKUP(B425,'0. Instruções'!$C$27:$G$32,4,FALSE)&amp;"=Y."&amp;VLOOKUP(B425,'0. Instruções'!$C$27:$G$32,4,FALSE)&amp;"_SIMUL")</f>
        <v>ON X.ENTTY_ID=Y.ENTTY_ID_SIMUL</v>
      </c>
      <c r="L425" s="35" t="str">
        <f>+IF(C425="Coerência", +IF(LEFT(G425,5)="FLOAT","SELECT '"&amp;UPPER(B425)&amp;"' AS TABELA, '"&amp;UPPER(C425)&amp;"' AS TIPOLOGIA_TESTE,'"&amp;D425&amp;"' AS TABELA_LT,'"&amp;E425&amp;"' AS TABELA_SIMUL,'"&amp;F425&amp;"' AS CAMPO, "&amp;"'${ref_date}' AS REF_DATE, COUNT(*) AS NUM_REG, SUM(IF((ABS(COALESCE(CAST(X."&amp;F425&amp;" AS DECIMAL(18,6)),0)-COALESCE(CAST(Y."&amp;F425&amp;"_SIMUL AS DECIMAL(18,6)),0))&gt;0.000001) OR (X."&amp;F425&amp;" IS NULL AND Y."&amp;F425&amp;"_SIMUL IS NOT NULL ) OR (X."&amp;F425&amp;" IS NOT NULL AND Y."&amp;F425&amp;"_SIMUL IS NULL),1,0)) AS NUM_REG_DIF,'"&amp;MAX('ID1&amp;5'!K:K)+1&amp;"' AS ID_EXEC, CURRENT_TIMESTAMP() AS TIME_EXEC FROM "&amp;I425&amp;" INNER JOIN "&amp;J425&amp;" "&amp;K425,"SELECT '"&amp;UPPER(B425)&amp;"' AS TABELA, '"&amp;UPPER(C425)&amp;"' AS TIPOLOGIA_TESTE,'"&amp;D425&amp;"' AS TABELA_LT,'"&amp;E425&amp;"' AS TABELA_SIMUL,'"&amp;F425&amp;"' AS CAMPO, "&amp;"'${ref_date}' AS REF_DATE, COUNT(*) AS NUM_REG, SUM(IF(COALESCE(CAST(X."&amp;F425&amp;" AS STRING),'')&lt;&gt;COALESCE(CAST(Y."&amp;F425&amp;"_SIMUL AS STRING),'') OR (X."&amp;F425&amp;" IS NULL AND Y."&amp;F425&amp;"_SIMUL IS NOT NULL ) OR (X."&amp;F425&amp;" IS NOT NULL AND Y."&amp;F425&amp;"_SIMUL IS NULL),1,0)) AS NUM_REG_DIF,'"&amp;MAX('ID1&amp;5'!L:L)+1&amp;"' AS ID_EXEC, CURRENT_TIMESTAMP() AS TIME_EXEC FROM "&amp;I425&amp;" INNER JOIN "&amp;J425&amp;" "&amp;K425),
IF(C425="Validade",+IF(G425="Code List","SELECT '"&amp;UPPER(B425)&amp;"' AS TABELA, '"&amp;UPPER(C425)&amp;"' AS TIPOLOGIA_TESTE,'"&amp;D425&amp;"' AS TABELA_LT,'N/A' AS TABELA_SIMUL,'"&amp;F425&amp;"' AS CAMPO, "&amp;"'${ref_date}' AS REF_DATE, COUNT(*) AS NUM_REG, SUM(IF(TRIM(CAST(X."&amp;F425&amp;" AS STRING))='' OR TRIM(CAST(X."&amp;F425&amp;" AS STRING)) IS NULL OR CAST(X."&amp;F425&amp;" AS STRING) NOT "&amp;H425&amp;",1,0)) AS NUM_REG_DIF,'"&amp;MAX('ID1&amp;5'!K:K)+1&amp;"' AS ID_EXEC, CURRENT_TIMESTAMP() AS TIME_EXEC FROM "&amp;I425,"SELECT '"&amp;UPPER(B425)&amp;"' AS TABELA, '"&amp;UPPER(C425)&amp;"' AS TIPOLOGIA_TESTE,'"&amp;D425&amp;"' AS TABELA_LT,'N/A' AS TABELA_SIMUL,'"&amp;F425&amp;"' AS CAMPO, "&amp;"'${ref_date}' AS REF_DATE, COUNT(*) AS NUM_REG, SUM(IF(TRIM(CAST(X."&amp;F425&amp;" AS STRING))='' OR TRIM(CAST(X."&amp;F425&amp;" AS STRING)) IS NULL,1,0)) AS NUM_REG_DIF,'"&amp;MAX('ID1&amp;5'!K:K)+1&amp;"' AS ID_EXEC, CURRENT_TIMESTAMP() AS TIME_EXEC FROM "&amp;I425),
IF(C425="Caracteres Especiais",+"SELECT '"&amp;UPPER(B425)&amp;"' AS TABELA, '"&amp;UPPER(C425)&amp;"' AS TIPOLOGIA_TESTE,'"&amp;D425&amp;"' AS TABELA_LT,'N/A' AS TABELA_SIMUL,'"&amp;F425&amp;"' AS CAMPO, "&amp;"'${ref_date}' AS REF_DATE, COUNT(*) AS NUM_REG, SUM(IF(REGEXP_REPLACE(TRIM(CAST(X."&amp;F425&amp;" AS STRING)),'[^a-zA-Z0-9_\\s]','') &lt;&gt;TRIM(CAST(X."&amp;F425&amp;" AS STRING)),1,0)) AS NUM_REG_DIF,'"&amp;MAX('ID1&amp;5'!K:K)+1&amp;"' AS ID_EXEC, CURRENT_TIMESTAMP() AS TIME_EXEC FROM "&amp;I425,
IF(C425="Missings",+"SELECT '"&amp;UPPER(B425)&amp;"' AS TABELA, '"&amp;UPPER(C425)&amp;"' AS TIPOLOGIA_TESTE,'"&amp;D425&amp;"' AS TABELA_LT,'N/A' AS TABELA_SIMUL,'"&amp;F425&amp;"' AS CAMPO, "&amp;"'${ref_date}' AS REF_DATE, COUNT(*) AS NUM_REG, SUM(IF(TRIM(CAST(X."&amp;F425&amp;" AS STRING)) IN ('0000-00-00','0001-01-01','9999-12-31','MISS','00000','99999999999','99999999999.00','99999999999.000000'),1,0)) AS NUM_REG_DIF,'"&amp;MAX('ID1&amp;5'!K:K)+1&amp;"' AS ID_EXEC, CURRENT_TIMESTAMP() AS TIME_EXEC FROM "&amp;I425,
IF(C425="Not applicable",+"SELECT '"&amp;UPPER(B425)&amp;"' AS TABELA, '"&amp;UPPER(C425)&amp;"' AS TIPOLOGIA_TESTE,'"&amp;D425&amp;"' AS TABELA_LT,'N/A' AS TABELA_SIMUL,'"&amp;F425&amp;"' AS CAMPO, "&amp;"'${ref_date}' AS REF_DATE, COUNT(*) AS NUM_REG, SUM(IF(TRIM(CAST(X."&amp;F425&amp;" AS STRING)) IN ('N/A','11111111111','11111111111.00','11111111111.000000','1111-11-11'),1,0)) AS NUM_REG_DIF,'"&amp;MAX('ID1&amp;5'!K:K)+1&amp;"' AS ID_EXEC, CURRENT_TIMESTAMP() AS TIME_EXEC FROM "&amp;I425,
IF(C425="Valores extremos",+"SELECT '"&amp;UPPER(B425)&amp;"' AS TABELA, '"&amp;UPPER(C425)&amp;"' AS TIPOLOGIA_TESTE,'"&amp;D425&amp;"' AS TABELA_LT,'N/A' AS TABELA_SIMUL,'"&amp;F425&amp;"' AS CAMPO, "&amp;"'${ref_date}' AS REF_DATE, CAST(MIN("&amp;F425&amp;") AS STRING) AS VALOR_MIN, CAST(MAX("&amp;F425&amp;") AS STRING) AS VALOR_MAX,'"&amp;MAX('ID1&amp;5'!K:K)+1&amp;"' AS ID_EXEC, CURRENT_TIMESTAMP() AS TIME_EXEC FROM "&amp;MID(I425,1,LEN(I425)-2)&amp;" AND CAST("&amp;F425&amp;"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TABELA_SIMUL,'capex' AS CAMPO, '${ref_date}' AS REF_DATE, COUNT(*) AS NUM_REG, SUM(IF(COALESCE(CAST(X.capex AS STRING),'')&lt;&gt;COALESCE(CAST(Y.capex_SIMUL AS STRING),'') OR (X.capex IS NULL AND Y.capex_SIMUL IS NOT NULL ) OR (X.capex IS NOT NULL AND Y.capex_SIMUL IS NULL),1,0)) AS NUM_REG_DIF,'1' AS ID_EXEC, CURRENT_TIMESTAMP() AS TIME_EXEC FROM (SELECT entty_id, capex FROM BU_LOANTAPE_WORK.LT003_ENTITY WHERE ref_date='${ref_date}' AND nome_perimetro='Individual Local' AND segmento='ESTR' AND ambito='SRB_MBDT' AND entidade='00100')X INNER JOIN (SELECT entty_id AS entty_id_SIMUL, capex AS capex_SIMUL FROM BU_LOANTAPE_WORK.SIMUL_LT003_ENTITY WHERE ref_date='${ref_date}' AND nome_perimetro='Individual Local' AND segmento='ESTR' AND ambito='PILAR3' AND entidade='00100')Y ON X.ENTTY_ID=Y.ENTTY_ID_SIMUL</v>
      </c>
      <c r="M425" s="36" t="str">
        <f t="shared" si="9"/>
        <v>UNION ALL SELECT 'ENTITY' AS TABELA, 'COERÊNCIA' AS TIPOLOGIA_TESTE,'BU_LOANTAPE_WORK.LT003_ENTITY' AS TABELA_LT,'BU_LOANTAPE_WORK.SIMUL_LT003_ENTITY' AS TABELA_SIMUL,'capex' AS CAMPO, '${ref_date}' AS REF_DATE, COUNT(*) AS NUM_REG, SUM(IF(COALESCE(CAST(X.capex AS STRING),'')&lt;&gt;COALESCE(CAST(Y.capex_SIMUL AS STRING),'') OR (X.capex IS NULL AND Y.capex_SIMUL IS NOT NULL ) OR (X.capex IS NOT NULL AND Y.capex_SIMUL IS NULL),1,0)) AS NUM_REG_DIF,'1' AS ID_EXEC, CURRENT_TIMESTAMP() AS TIME_EXEC FROM (SELECT entty_id, capex FROM BU_LOANTAPE_WORK.LT003_ENTITY WHERE ref_date='${ref_date}' AND nome_perimetro='Individual Local' AND segmento='ESTR' AND ambito='SRB_MBDT' AND entidade='00100')X INNER JOIN (SELECT entty_id AS entty_id_SIMUL, capex AS capex_SIMUL FROM BU_LOANTAPE_WORK.SIMUL_LT003_ENTITY WHERE ref_date='${ref_date}' AND nome_perimetro='Individual Local' AND segmento='ESTR' AND ambito='PILAR3' AND entidade='00100')Y ON X.ENTTY_ID=Y.ENTTY_ID_SIMUL</v>
      </c>
    </row>
    <row r="426" spans="2:13">
      <c r="B426" s="34" t="s">
        <v>118</v>
      </c>
      <c r="C426" s="34" t="s">
        <v>5</v>
      </c>
      <c r="D426" s="34" t="str">
        <f>+UPPER('0. Instruções'!$D$35&amp;"."&amp;VLOOKUP(B426,'0. Instruções'!$C$27:$D$32,2,FALSE))</f>
        <v>BU_LOANTAPE_WORK.LT003_ENTITY</v>
      </c>
      <c r="E426" s="34" t="str">
        <f>+UPPER('0. Instruções'!$D$36&amp;"."&amp;VLOOKUP(B426,'0. Instruções'!$C$27:$E$32,3,FALSE))</f>
        <v>BU_LOANTAPE_WORK.SIMUL_LT003_ENTITY</v>
      </c>
      <c r="F426" s="34" t="s">
        <v>1450</v>
      </c>
      <c r="G426" s="34"/>
      <c r="H426" s="34"/>
      <c r="I426" s="34" t="str">
        <f>"(SELECT "&amp;VLOOKUP(B426,'0. Instruções'!$C$27:$G$32,4,FALSE)&amp;", "&amp;F426&amp;" FROM "&amp;D426&amp;" WHERE "&amp;'0. Instruções'!$D$42&amp;")X"</f>
        <v>(SELECT entty_id, capex_prvs FROM BU_LOANTAPE_WORK.LT003_ENTITY WHERE ref_date='${ref_date}' AND nome_perimetro='Individual Local' AND segmento='ESTR' AND ambito='SRB_MBDT' AND entidade='00100')X</v>
      </c>
      <c r="J426" s="34" t="str">
        <f>"(SELECT "&amp;VLOOKUP(B426,'0. Instruções'!$C$27:$G$32,4,FALSE)&amp;" AS "&amp;VLOOKUP(B426,'0. Instruções'!$C$27:$G$32,4,FALSE)&amp;"_SIMUL, "&amp;F426&amp;" AS "&amp;F426&amp;"_SIMUL FROM "&amp;E426&amp;" WHERE "&amp;'0. Instruções'!$D$43&amp;")Y"</f>
        <v>(SELECT entty_id AS entty_id_SIMUL, capex_prvs AS capex_prvs_SIMUL FROM BU_LOANTAPE_WORK.SIMUL_LT003_ENTITY WHERE ref_date='${ref_date}' AND nome_perimetro='Individual Local' AND segmento='ESTR' AND ambito='PILAR3' AND entidade='00100')Y</v>
      </c>
      <c r="K426" s="35" t="str">
        <f>+UPPER("ON X."&amp;VLOOKUP(B426,'0. Instruções'!$C$27:$G$32,4,FALSE)&amp;"=Y."&amp;VLOOKUP(B426,'0. Instruções'!$C$27:$G$32,4,FALSE)&amp;"_SIMUL")</f>
        <v>ON X.ENTTY_ID=Y.ENTTY_ID_SIMUL</v>
      </c>
      <c r="L426" s="35" t="str">
        <f>+IF(C426="Coerência", +IF(LEFT(G426,5)="FLOAT","SELECT '"&amp;UPPER(B426)&amp;"' AS TABELA, '"&amp;UPPER(C426)&amp;"' AS TIPOLOGIA_TESTE,'"&amp;D426&amp;"' AS TABELA_LT,'"&amp;E426&amp;"' AS TABELA_SIMUL,'"&amp;F426&amp;"' AS CAMPO, "&amp;"'${ref_date}' AS REF_DATE, COUNT(*) AS NUM_REG, SUM(IF((ABS(COALESCE(CAST(X."&amp;F426&amp;" AS DECIMAL(18,6)),0)-COALESCE(CAST(Y."&amp;F426&amp;"_SIMUL AS DECIMAL(18,6)),0))&gt;0.000001) OR (X."&amp;F426&amp;" IS NULL AND Y."&amp;F426&amp;"_SIMUL IS NOT NULL ) OR (X."&amp;F426&amp;" IS NOT NULL AND Y."&amp;F426&amp;"_SIMUL IS NULL),1,0)) AS NUM_REG_DIF,'"&amp;MAX('ID1&amp;5'!K:K)+1&amp;"' AS ID_EXEC, CURRENT_TIMESTAMP() AS TIME_EXEC FROM "&amp;I426&amp;" INNER JOIN "&amp;J426&amp;" "&amp;K426,"SELECT '"&amp;UPPER(B426)&amp;"' AS TABELA, '"&amp;UPPER(C426)&amp;"' AS TIPOLOGIA_TESTE,'"&amp;D426&amp;"' AS TABELA_LT,'"&amp;E426&amp;"' AS TABELA_SIMUL,'"&amp;F426&amp;"' AS CAMPO, "&amp;"'${ref_date}' AS REF_DATE, COUNT(*) AS NUM_REG, SUM(IF(COALESCE(CAST(X."&amp;F426&amp;" AS STRING),'')&lt;&gt;COALESCE(CAST(Y."&amp;F426&amp;"_SIMUL AS STRING),'') OR (X."&amp;F426&amp;" IS NULL AND Y."&amp;F426&amp;"_SIMUL IS NOT NULL ) OR (X."&amp;F426&amp;" IS NOT NULL AND Y."&amp;F426&amp;"_SIMUL IS NULL),1,0)) AS NUM_REG_DIF,'"&amp;MAX('ID1&amp;5'!L:L)+1&amp;"' AS ID_EXEC, CURRENT_TIMESTAMP() AS TIME_EXEC FROM "&amp;I426&amp;" INNER JOIN "&amp;J426&amp;" "&amp;K426),
IF(C426="Validade",+IF(G426="Code List","SELECT '"&amp;UPPER(B426)&amp;"' AS TABELA, '"&amp;UPPER(C426)&amp;"' AS TIPOLOGIA_TESTE,'"&amp;D426&amp;"' AS TABELA_LT,'N/A' AS TABELA_SIMUL,'"&amp;F426&amp;"' AS CAMPO, "&amp;"'${ref_date}' AS REF_DATE, COUNT(*) AS NUM_REG, SUM(IF(TRIM(CAST(X."&amp;F426&amp;" AS STRING))='' OR TRIM(CAST(X."&amp;F426&amp;" AS STRING)) IS NULL OR CAST(X."&amp;F426&amp;" AS STRING) NOT "&amp;H426&amp;",1,0)) AS NUM_REG_DIF,'"&amp;MAX('ID1&amp;5'!K:K)+1&amp;"' AS ID_EXEC, CURRENT_TIMESTAMP() AS TIME_EXEC FROM "&amp;I426,"SELECT '"&amp;UPPER(B426)&amp;"' AS TABELA, '"&amp;UPPER(C426)&amp;"' AS TIPOLOGIA_TESTE,'"&amp;D426&amp;"' AS TABELA_LT,'N/A' AS TABELA_SIMUL,'"&amp;F426&amp;"' AS CAMPO, "&amp;"'${ref_date}' AS REF_DATE, COUNT(*) AS NUM_REG, SUM(IF(TRIM(CAST(X."&amp;F426&amp;" AS STRING))='' OR TRIM(CAST(X."&amp;F426&amp;" AS STRING)) IS NULL,1,0)) AS NUM_REG_DIF,'"&amp;MAX('ID1&amp;5'!K:K)+1&amp;"' AS ID_EXEC, CURRENT_TIMESTAMP() AS TIME_EXEC FROM "&amp;I426),
IF(C426="Caracteres Especiais",+"SELECT '"&amp;UPPER(B426)&amp;"' AS TABELA, '"&amp;UPPER(C426)&amp;"' AS TIPOLOGIA_TESTE,'"&amp;D426&amp;"' AS TABELA_LT,'N/A' AS TABELA_SIMUL,'"&amp;F426&amp;"' AS CAMPO, "&amp;"'${ref_date}' AS REF_DATE, COUNT(*) AS NUM_REG, SUM(IF(REGEXP_REPLACE(TRIM(CAST(X."&amp;F426&amp;" AS STRING)),'[^a-zA-Z0-9_\\s]','') &lt;&gt;TRIM(CAST(X."&amp;F426&amp;" AS STRING)),1,0)) AS NUM_REG_DIF,'"&amp;MAX('ID1&amp;5'!K:K)+1&amp;"' AS ID_EXEC, CURRENT_TIMESTAMP() AS TIME_EXEC FROM "&amp;I426,
IF(C426="Missings",+"SELECT '"&amp;UPPER(B426)&amp;"' AS TABELA, '"&amp;UPPER(C426)&amp;"' AS TIPOLOGIA_TESTE,'"&amp;D426&amp;"' AS TABELA_LT,'N/A' AS TABELA_SIMUL,'"&amp;F426&amp;"' AS CAMPO, "&amp;"'${ref_date}' AS REF_DATE, COUNT(*) AS NUM_REG, SUM(IF(TRIM(CAST(X."&amp;F426&amp;" AS STRING)) IN ('0000-00-00','0001-01-01','9999-12-31','MISS','00000','99999999999','99999999999.00','99999999999.000000'),1,0)) AS NUM_REG_DIF,'"&amp;MAX('ID1&amp;5'!K:K)+1&amp;"' AS ID_EXEC, CURRENT_TIMESTAMP() AS TIME_EXEC FROM "&amp;I426,
IF(C426="Not applicable",+"SELECT '"&amp;UPPER(B426)&amp;"' AS TABELA, '"&amp;UPPER(C426)&amp;"' AS TIPOLOGIA_TESTE,'"&amp;D426&amp;"' AS TABELA_LT,'N/A' AS TABELA_SIMUL,'"&amp;F426&amp;"' AS CAMPO, "&amp;"'${ref_date}' AS REF_DATE, COUNT(*) AS NUM_REG, SUM(IF(TRIM(CAST(X."&amp;F426&amp;" AS STRING)) IN ('N/A','11111111111','11111111111.00','11111111111.000000','1111-11-11'),1,0)) AS NUM_REG_DIF,'"&amp;MAX('ID1&amp;5'!K:K)+1&amp;"' AS ID_EXEC, CURRENT_TIMESTAMP() AS TIME_EXEC FROM "&amp;I426,
IF(C426="Valores extremos",+"SELECT '"&amp;UPPER(B426)&amp;"' AS TABELA, '"&amp;UPPER(C426)&amp;"' AS TIPOLOGIA_TESTE,'"&amp;D426&amp;"' AS TABELA_LT,'N/A' AS TABELA_SIMUL,'"&amp;F426&amp;"' AS CAMPO, "&amp;"'${ref_date}' AS REF_DATE, CAST(MIN("&amp;F426&amp;") AS STRING) AS VALOR_MIN, CAST(MAX("&amp;F426&amp;") AS STRING) AS VALOR_MAX,'"&amp;MAX('ID1&amp;5'!K:K)+1&amp;"' AS ID_EXEC, CURRENT_TIMESTAMP() AS TIME_EXEC FROM "&amp;MID(I426,1,LEN(I426)-2)&amp;" AND CAST("&amp;F426&amp;"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TABELA_SIMUL,'capex_prvs' AS CAMPO, '${ref_date}' AS REF_DATE, COUNT(*) AS NUM_REG, SUM(IF(COALESCE(CAST(X.capex_prvs AS STRING),'')&lt;&gt;COALESCE(CAST(Y.capex_prvs_SIMUL AS STRING),'') OR (X.capex_prvs IS NULL AND Y.capex_prvs_SIMUL IS NOT NULL ) OR (X.capex_prvs IS NOT NULL AND Y.capex_prvs_SIMUL IS NULL),1,0)) AS NUM_REG_DIF,'1' AS ID_EXEC, CURRENT_TIMESTAMP() AS TIME_EXEC FROM (SELECT entty_id, capex_prvs FROM BU_LOANTAPE_WORK.LT003_ENTITY WHERE ref_date='${ref_date}' AND nome_perimetro='Individual Local' AND segmento='ESTR' AND ambito='SRB_MBDT' AND entidade='00100')X INNER JOIN (SELECT entty_id AS entty_id_SIMUL, capex_prvs AS capex_prvs_SIMUL FROM BU_LOANTAPE_WORK.SIMUL_LT003_ENTITY WHERE ref_date='${ref_date}' AND nome_perimetro='Individual Local' AND segmento='ESTR' AND ambito='PILAR3' AND entidade='00100')Y ON X.ENTTY_ID=Y.ENTTY_ID_SIMUL</v>
      </c>
      <c r="M426" s="36" t="str">
        <f t="shared" si="9"/>
        <v>UNION ALL SELECT 'ENTITY' AS TABELA, 'COERÊNCIA' AS TIPOLOGIA_TESTE,'BU_LOANTAPE_WORK.LT003_ENTITY' AS TABELA_LT,'BU_LOANTAPE_WORK.SIMUL_LT003_ENTITY' AS TABELA_SIMUL,'capex_prvs' AS CAMPO, '${ref_date}' AS REF_DATE, COUNT(*) AS NUM_REG, SUM(IF(COALESCE(CAST(X.capex_prvs AS STRING),'')&lt;&gt;COALESCE(CAST(Y.capex_prvs_SIMUL AS STRING),'') OR (X.capex_prvs IS NULL AND Y.capex_prvs_SIMUL IS NOT NULL ) OR (X.capex_prvs IS NOT NULL AND Y.capex_prvs_SIMUL IS NULL),1,0)) AS NUM_REG_DIF,'1' AS ID_EXEC, CURRENT_TIMESTAMP() AS TIME_EXEC FROM (SELECT entty_id, capex_prvs FROM BU_LOANTAPE_WORK.LT003_ENTITY WHERE ref_date='${ref_date}' AND nome_perimetro='Individual Local' AND segmento='ESTR' AND ambito='SRB_MBDT' AND entidade='00100')X INNER JOIN (SELECT entty_id AS entty_id_SIMUL, capex_prvs AS capex_prvs_SIMUL FROM BU_LOANTAPE_WORK.SIMUL_LT003_ENTITY WHERE ref_date='${ref_date}' AND nome_perimetro='Individual Local' AND segmento='ESTR' AND ambito='PILAR3' AND entidade='00100')Y ON X.ENTTY_ID=Y.ENTTY_ID_SIMUL</v>
      </c>
    </row>
    <row r="427" spans="2:13">
      <c r="B427" s="34" t="s">
        <v>118</v>
      </c>
      <c r="C427" s="34" t="s">
        <v>5</v>
      </c>
      <c r="D427" s="34" t="str">
        <f>+UPPER('0. Instruções'!$D$35&amp;"."&amp;VLOOKUP(B427,'0. Instruções'!$C$27:$D$32,2,FALSE))</f>
        <v>BU_LOANTAPE_WORK.LT003_ENTITY</v>
      </c>
      <c r="E427" s="34" t="str">
        <f>+UPPER('0. Instruções'!$D$36&amp;"."&amp;VLOOKUP(B427,'0. Instruções'!$C$27:$E$32,3,FALSE))</f>
        <v>BU_LOANTAPE_WORK.SIMUL_LT003_ENTITY</v>
      </c>
      <c r="F427" s="34" t="s">
        <v>1451</v>
      </c>
      <c r="G427" s="34"/>
      <c r="H427" s="34"/>
      <c r="I427" s="34" t="str">
        <f>"(SELECT "&amp;VLOOKUP(B427,'0. Instruções'!$C$27:$G$32,4,FALSE)&amp;", "&amp;F427&amp;" FROM "&amp;D427&amp;" WHERE "&amp;'0. Instruções'!$D$42&amp;")X"</f>
        <v>(SELECT entty_id, cllctn_md FROM BU_LOANTAPE_WORK.LT003_ENTITY WHERE ref_date='${ref_date}' AND nome_perimetro='Individual Local' AND segmento='ESTR' AND ambito='SRB_MBDT' AND entidade='00100')X</v>
      </c>
      <c r="J427" s="34" t="str">
        <f>"(SELECT "&amp;VLOOKUP(B427,'0. Instruções'!$C$27:$G$32,4,FALSE)&amp;" AS "&amp;VLOOKUP(B427,'0. Instruções'!$C$27:$G$32,4,FALSE)&amp;"_SIMUL, "&amp;F427&amp;" AS "&amp;F427&amp;"_SIMUL FROM "&amp;E427&amp;" WHERE "&amp;'0. Instruções'!$D$43&amp;")Y"</f>
        <v>(SELECT entty_id AS entty_id_SIMUL, cllctn_md AS cllctn_md_SIMUL FROM BU_LOANTAPE_WORK.SIMUL_LT003_ENTITY WHERE ref_date='${ref_date}' AND nome_perimetro='Individual Local' AND segmento='ESTR' AND ambito='PILAR3' AND entidade='00100')Y</v>
      </c>
      <c r="K427" s="35" t="str">
        <f>+UPPER("ON X."&amp;VLOOKUP(B427,'0. Instruções'!$C$27:$G$32,4,FALSE)&amp;"=Y."&amp;VLOOKUP(B427,'0. Instruções'!$C$27:$G$32,4,FALSE)&amp;"_SIMUL")</f>
        <v>ON X.ENTTY_ID=Y.ENTTY_ID_SIMUL</v>
      </c>
      <c r="L427" s="35" t="str">
        <f>+IF(C427="Coerência", +IF(LEFT(G427,5)="FLOAT","SELECT '"&amp;UPPER(B427)&amp;"' AS TABELA, '"&amp;UPPER(C427)&amp;"' AS TIPOLOGIA_TESTE,'"&amp;D427&amp;"' AS TABELA_LT,'"&amp;E427&amp;"' AS TABELA_SIMUL,'"&amp;F427&amp;"' AS CAMPO, "&amp;"'${ref_date}' AS REF_DATE, COUNT(*) AS NUM_REG, SUM(IF((ABS(COALESCE(CAST(X."&amp;F427&amp;" AS DECIMAL(18,6)),0)-COALESCE(CAST(Y."&amp;F427&amp;"_SIMUL AS DECIMAL(18,6)),0))&gt;0.000001) OR (X."&amp;F427&amp;" IS NULL AND Y."&amp;F427&amp;"_SIMUL IS NOT NULL ) OR (X."&amp;F427&amp;" IS NOT NULL AND Y."&amp;F427&amp;"_SIMUL IS NULL),1,0)) AS NUM_REG_DIF,'"&amp;MAX('ID1&amp;5'!K:K)+1&amp;"' AS ID_EXEC, CURRENT_TIMESTAMP() AS TIME_EXEC FROM "&amp;I427&amp;" INNER JOIN "&amp;J427&amp;" "&amp;K427,"SELECT '"&amp;UPPER(B427)&amp;"' AS TABELA, '"&amp;UPPER(C427)&amp;"' AS TIPOLOGIA_TESTE,'"&amp;D427&amp;"' AS TABELA_LT,'"&amp;E427&amp;"' AS TABELA_SIMUL,'"&amp;F427&amp;"' AS CAMPO, "&amp;"'${ref_date}' AS REF_DATE, COUNT(*) AS NUM_REG, SUM(IF(COALESCE(CAST(X."&amp;F427&amp;" AS STRING),'')&lt;&gt;COALESCE(CAST(Y."&amp;F427&amp;"_SIMUL AS STRING),'') OR (X."&amp;F427&amp;" IS NULL AND Y."&amp;F427&amp;"_SIMUL IS NOT NULL ) OR (X."&amp;F427&amp;" IS NOT NULL AND Y."&amp;F427&amp;"_SIMUL IS NULL),1,0)) AS NUM_REG_DIF,'"&amp;MAX('ID1&amp;5'!L:L)+1&amp;"' AS ID_EXEC, CURRENT_TIMESTAMP() AS TIME_EXEC FROM "&amp;I427&amp;" INNER JOIN "&amp;J427&amp;" "&amp;K427),
IF(C427="Validade",+IF(G427="Code List","SELECT '"&amp;UPPER(B427)&amp;"' AS TABELA, '"&amp;UPPER(C427)&amp;"' AS TIPOLOGIA_TESTE,'"&amp;D427&amp;"' AS TABELA_LT,'N/A' AS TABELA_SIMUL,'"&amp;F427&amp;"' AS CAMPO, "&amp;"'${ref_date}' AS REF_DATE, COUNT(*) AS NUM_REG, SUM(IF(TRIM(CAST(X."&amp;F427&amp;" AS STRING))='' OR TRIM(CAST(X."&amp;F427&amp;" AS STRING)) IS NULL OR CAST(X."&amp;F427&amp;" AS STRING) NOT "&amp;H427&amp;",1,0)) AS NUM_REG_DIF,'"&amp;MAX('ID1&amp;5'!K:K)+1&amp;"' AS ID_EXEC, CURRENT_TIMESTAMP() AS TIME_EXEC FROM "&amp;I427,"SELECT '"&amp;UPPER(B427)&amp;"' AS TABELA, '"&amp;UPPER(C427)&amp;"' AS TIPOLOGIA_TESTE,'"&amp;D427&amp;"' AS TABELA_LT,'N/A' AS TABELA_SIMUL,'"&amp;F427&amp;"' AS CAMPO, "&amp;"'${ref_date}' AS REF_DATE, COUNT(*) AS NUM_REG, SUM(IF(TRIM(CAST(X."&amp;F427&amp;" AS STRING))='' OR TRIM(CAST(X."&amp;F427&amp;" AS STRING)) IS NULL,1,0)) AS NUM_REG_DIF,'"&amp;MAX('ID1&amp;5'!K:K)+1&amp;"' AS ID_EXEC, CURRENT_TIMESTAMP() AS TIME_EXEC FROM "&amp;I427),
IF(C427="Caracteres Especiais",+"SELECT '"&amp;UPPER(B427)&amp;"' AS TABELA, '"&amp;UPPER(C427)&amp;"' AS TIPOLOGIA_TESTE,'"&amp;D427&amp;"' AS TABELA_LT,'N/A' AS TABELA_SIMUL,'"&amp;F427&amp;"' AS CAMPO, "&amp;"'${ref_date}' AS REF_DATE, COUNT(*) AS NUM_REG, SUM(IF(REGEXP_REPLACE(TRIM(CAST(X."&amp;F427&amp;" AS STRING)),'[^a-zA-Z0-9_\\s]','') &lt;&gt;TRIM(CAST(X."&amp;F427&amp;" AS STRING)),1,0)) AS NUM_REG_DIF,'"&amp;MAX('ID1&amp;5'!K:K)+1&amp;"' AS ID_EXEC, CURRENT_TIMESTAMP() AS TIME_EXEC FROM "&amp;I427,
IF(C427="Missings",+"SELECT '"&amp;UPPER(B427)&amp;"' AS TABELA, '"&amp;UPPER(C427)&amp;"' AS TIPOLOGIA_TESTE,'"&amp;D427&amp;"' AS TABELA_LT,'N/A' AS TABELA_SIMUL,'"&amp;F427&amp;"' AS CAMPO, "&amp;"'${ref_date}' AS REF_DATE, COUNT(*) AS NUM_REG, SUM(IF(TRIM(CAST(X."&amp;F427&amp;" AS STRING)) IN ('0000-00-00','0001-01-01','9999-12-31','MISS','00000','99999999999','99999999999.00','99999999999.000000'),1,0)) AS NUM_REG_DIF,'"&amp;MAX('ID1&amp;5'!K:K)+1&amp;"' AS ID_EXEC, CURRENT_TIMESTAMP() AS TIME_EXEC FROM "&amp;I427,
IF(C427="Not applicable",+"SELECT '"&amp;UPPER(B427)&amp;"' AS TABELA, '"&amp;UPPER(C427)&amp;"' AS TIPOLOGIA_TESTE,'"&amp;D427&amp;"' AS TABELA_LT,'N/A' AS TABELA_SIMUL,'"&amp;F427&amp;"' AS CAMPO, "&amp;"'${ref_date}' AS REF_DATE, COUNT(*) AS NUM_REG, SUM(IF(TRIM(CAST(X."&amp;F427&amp;" AS STRING)) IN ('N/A','11111111111','11111111111.00','11111111111.000000','1111-11-11'),1,0)) AS NUM_REG_DIF,'"&amp;MAX('ID1&amp;5'!K:K)+1&amp;"' AS ID_EXEC, CURRENT_TIMESTAMP() AS TIME_EXEC FROM "&amp;I427,
IF(C427="Valores extremos",+"SELECT '"&amp;UPPER(B427)&amp;"' AS TABELA, '"&amp;UPPER(C427)&amp;"' AS TIPOLOGIA_TESTE,'"&amp;D427&amp;"' AS TABELA_LT,'N/A' AS TABELA_SIMUL,'"&amp;F427&amp;"' AS CAMPO, "&amp;"'${ref_date}' AS REF_DATE, CAST(MIN("&amp;F427&amp;") AS STRING) AS VALOR_MIN, CAST(MAX("&amp;F427&amp;") AS STRING) AS VALOR_MAX,'"&amp;MAX('ID1&amp;5'!K:K)+1&amp;"' AS ID_EXEC, CURRENT_TIMESTAMP() AS TIME_EXEC FROM "&amp;MID(I427,1,LEN(I427)-2)&amp;" AND CAST("&amp;F427&amp;"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TABELA_SIMUL,'cllctn_md' AS CAMPO, '${ref_date}' AS REF_DATE, COUNT(*) AS NUM_REG, SUM(IF(COALESCE(CAST(X.cllctn_md AS STRING),'')&lt;&gt;COALESCE(CAST(Y.cllctn_md_SIMUL AS STRING),'') OR (X.cllctn_md IS NULL AND Y.cllctn_md_SIMUL IS NOT NULL ) OR (X.cllctn_md IS NOT NULL AND Y.cllctn_md_SIMUL IS NULL),1,0)) AS NUM_REG_DIF,'1' AS ID_EXEC, CURRENT_TIMESTAMP() AS TIME_EXEC FROM (SELECT entty_id, cllctn_md FROM BU_LOANTAPE_WORK.LT003_ENTITY WHERE ref_date='${ref_date}' AND nome_perimetro='Individual Local' AND segmento='ESTR' AND ambito='SRB_MBDT' AND entidade='00100')X INNER JOIN (SELECT entty_id AS entty_id_SIMUL, cllctn_md AS cllctn_md_SIMUL FROM BU_LOANTAPE_WORK.SIMUL_LT003_ENTITY WHERE ref_date='${ref_date}' AND nome_perimetro='Individual Local' AND segmento='ESTR' AND ambito='PILAR3' AND entidade='00100')Y ON X.ENTTY_ID=Y.ENTTY_ID_SIMUL</v>
      </c>
      <c r="M427" s="36" t="str">
        <f t="shared" si="9"/>
        <v>UNION ALL SELECT 'ENTITY' AS TABELA, 'COERÊNCIA' AS TIPOLOGIA_TESTE,'BU_LOANTAPE_WORK.LT003_ENTITY' AS TABELA_LT,'BU_LOANTAPE_WORK.SIMUL_LT003_ENTITY' AS TABELA_SIMUL,'cllctn_md' AS CAMPO, '${ref_date}' AS REF_DATE, COUNT(*) AS NUM_REG, SUM(IF(COALESCE(CAST(X.cllctn_md AS STRING),'')&lt;&gt;COALESCE(CAST(Y.cllctn_md_SIMUL AS STRING),'') OR (X.cllctn_md IS NULL AND Y.cllctn_md_SIMUL IS NOT NULL ) OR (X.cllctn_md IS NOT NULL AND Y.cllctn_md_SIMUL IS NULL),1,0)) AS NUM_REG_DIF,'1' AS ID_EXEC, CURRENT_TIMESTAMP() AS TIME_EXEC FROM (SELECT entty_id, cllctn_md FROM BU_LOANTAPE_WORK.LT003_ENTITY WHERE ref_date='${ref_date}' AND nome_perimetro='Individual Local' AND segmento='ESTR' AND ambito='SRB_MBDT' AND entidade='00100')X INNER JOIN (SELECT entty_id AS entty_id_SIMUL, cllctn_md AS cllctn_md_SIMUL FROM BU_LOANTAPE_WORK.SIMUL_LT003_ENTITY WHERE ref_date='${ref_date}' AND nome_perimetro='Individual Local' AND segmento='ESTR' AND ambito='PILAR3' AND entidade='00100')Y ON X.ENTTY_ID=Y.ENTTY_ID_SIMUL</v>
      </c>
    </row>
    <row r="428" spans="2:13">
      <c r="B428" s="34" t="s">
        <v>118</v>
      </c>
      <c r="C428" s="34" t="s">
        <v>5</v>
      </c>
      <c r="D428" s="34" t="str">
        <f>+UPPER('0. Instruções'!$D$35&amp;"."&amp;VLOOKUP(B428,'0. Instruções'!$C$27:$D$32,2,FALSE))</f>
        <v>BU_LOANTAPE_WORK.LT003_ENTITY</v>
      </c>
      <c r="E428" s="34" t="str">
        <f>+UPPER('0. Instruções'!$D$36&amp;"."&amp;VLOOKUP(B428,'0. Instruções'!$C$27:$E$32,3,FALSE))</f>
        <v>BU_LOANTAPE_WORK.SIMUL_LT003_ENTITY</v>
      </c>
      <c r="F428" s="34" t="s">
        <v>1452</v>
      </c>
      <c r="G428" s="34"/>
      <c r="H428" s="34"/>
      <c r="I428" s="34" t="str">
        <f>"(SELECT "&amp;VLOOKUP(B428,'0. Instruções'!$C$27:$G$32,4,FALSE)&amp;", "&amp;F428&amp;" FROM "&amp;D428&amp;" WHERE "&amp;'0. Instruções'!$D$42&amp;")X"</f>
        <v>(SELECT entty_id, csh FROM BU_LOANTAPE_WORK.LT003_ENTITY WHERE ref_date='${ref_date}' AND nome_perimetro='Individual Local' AND segmento='ESTR' AND ambito='SRB_MBDT' AND entidade='00100')X</v>
      </c>
      <c r="J428" s="34" t="str">
        <f>"(SELECT "&amp;VLOOKUP(B428,'0. Instruções'!$C$27:$G$32,4,FALSE)&amp;" AS "&amp;VLOOKUP(B428,'0. Instruções'!$C$27:$G$32,4,FALSE)&amp;"_SIMUL, "&amp;F428&amp;" AS "&amp;F428&amp;"_SIMUL FROM "&amp;E428&amp;" WHERE "&amp;'0. Instruções'!$D$43&amp;")Y"</f>
        <v>(SELECT entty_id AS entty_id_SIMUL, csh AS csh_SIMUL FROM BU_LOANTAPE_WORK.SIMUL_LT003_ENTITY WHERE ref_date='${ref_date}' AND nome_perimetro='Individual Local' AND segmento='ESTR' AND ambito='PILAR3' AND entidade='00100')Y</v>
      </c>
      <c r="K428" s="35" t="str">
        <f>+UPPER("ON X."&amp;VLOOKUP(B428,'0. Instruções'!$C$27:$G$32,4,FALSE)&amp;"=Y."&amp;VLOOKUP(B428,'0. Instruções'!$C$27:$G$32,4,FALSE)&amp;"_SIMUL")</f>
        <v>ON X.ENTTY_ID=Y.ENTTY_ID_SIMUL</v>
      </c>
      <c r="L428" s="35" t="str">
        <f>+IF(C428="Coerência", +IF(LEFT(G428,5)="FLOAT","SELECT '"&amp;UPPER(B428)&amp;"' AS TABELA, '"&amp;UPPER(C428)&amp;"' AS TIPOLOGIA_TESTE,'"&amp;D428&amp;"' AS TABELA_LT,'"&amp;E428&amp;"' AS TABELA_SIMUL,'"&amp;F428&amp;"' AS CAMPO, "&amp;"'${ref_date}' AS REF_DATE, COUNT(*) AS NUM_REG, SUM(IF((ABS(COALESCE(CAST(X."&amp;F428&amp;" AS DECIMAL(18,6)),0)-COALESCE(CAST(Y."&amp;F428&amp;"_SIMUL AS DECIMAL(18,6)),0))&gt;0.000001) OR (X."&amp;F428&amp;" IS NULL AND Y."&amp;F428&amp;"_SIMUL IS NOT NULL ) OR (X."&amp;F428&amp;" IS NOT NULL AND Y."&amp;F428&amp;"_SIMUL IS NULL),1,0)) AS NUM_REG_DIF,'"&amp;MAX('ID1&amp;5'!K:K)+1&amp;"' AS ID_EXEC, CURRENT_TIMESTAMP() AS TIME_EXEC FROM "&amp;I428&amp;" INNER JOIN "&amp;J428&amp;" "&amp;K428,"SELECT '"&amp;UPPER(B428)&amp;"' AS TABELA, '"&amp;UPPER(C428)&amp;"' AS TIPOLOGIA_TESTE,'"&amp;D428&amp;"' AS TABELA_LT,'"&amp;E428&amp;"' AS TABELA_SIMUL,'"&amp;F428&amp;"' AS CAMPO, "&amp;"'${ref_date}' AS REF_DATE, COUNT(*) AS NUM_REG, SUM(IF(COALESCE(CAST(X."&amp;F428&amp;" AS STRING),'')&lt;&gt;COALESCE(CAST(Y."&amp;F428&amp;"_SIMUL AS STRING),'') OR (X."&amp;F428&amp;" IS NULL AND Y."&amp;F428&amp;"_SIMUL IS NOT NULL ) OR (X."&amp;F428&amp;" IS NOT NULL AND Y."&amp;F428&amp;"_SIMUL IS NULL),1,0)) AS NUM_REG_DIF,'"&amp;MAX('ID1&amp;5'!L:L)+1&amp;"' AS ID_EXEC, CURRENT_TIMESTAMP() AS TIME_EXEC FROM "&amp;I428&amp;" INNER JOIN "&amp;J428&amp;" "&amp;K428),
IF(C428="Validade",+IF(G428="Code List","SELECT '"&amp;UPPER(B428)&amp;"' AS TABELA, '"&amp;UPPER(C428)&amp;"' AS TIPOLOGIA_TESTE,'"&amp;D428&amp;"' AS TABELA_LT,'N/A' AS TABELA_SIMUL,'"&amp;F428&amp;"' AS CAMPO, "&amp;"'${ref_date}' AS REF_DATE, COUNT(*) AS NUM_REG, SUM(IF(TRIM(CAST(X."&amp;F428&amp;" AS STRING))='' OR TRIM(CAST(X."&amp;F428&amp;" AS STRING)) IS NULL OR CAST(X."&amp;F428&amp;" AS STRING) NOT "&amp;H428&amp;",1,0)) AS NUM_REG_DIF,'"&amp;MAX('ID1&amp;5'!K:K)+1&amp;"' AS ID_EXEC, CURRENT_TIMESTAMP() AS TIME_EXEC FROM "&amp;I428,"SELECT '"&amp;UPPER(B428)&amp;"' AS TABELA, '"&amp;UPPER(C428)&amp;"' AS TIPOLOGIA_TESTE,'"&amp;D428&amp;"' AS TABELA_LT,'N/A' AS TABELA_SIMUL,'"&amp;F428&amp;"' AS CAMPO, "&amp;"'${ref_date}' AS REF_DATE, COUNT(*) AS NUM_REG, SUM(IF(TRIM(CAST(X."&amp;F428&amp;" AS STRING))='' OR TRIM(CAST(X."&amp;F428&amp;" AS STRING)) IS NULL,1,0)) AS NUM_REG_DIF,'"&amp;MAX('ID1&amp;5'!K:K)+1&amp;"' AS ID_EXEC, CURRENT_TIMESTAMP() AS TIME_EXEC FROM "&amp;I428),
IF(C428="Caracteres Especiais",+"SELECT '"&amp;UPPER(B428)&amp;"' AS TABELA, '"&amp;UPPER(C428)&amp;"' AS TIPOLOGIA_TESTE,'"&amp;D428&amp;"' AS TABELA_LT,'N/A' AS TABELA_SIMUL,'"&amp;F428&amp;"' AS CAMPO, "&amp;"'${ref_date}' AS REF_DATE, COUNT(*) AS NUM_REG, SUM(IF(REGEXP_REPLACE(TRIM(CAST(X."&amp;F428&amp;" AS STRING)),'[^a-zA-Z0-9_\\s]','') &lt;&gt;TRIM(CAST(X."&amp;F428&amp;" AS STRING)),1,0)) AS NUM_REG_DIF,'"&amp;MAX('ID1&amp;5'!K:K)+1&amp;"' AS ID_EXEC, CURRENT_TIMESTAMP() AS TIME_EXEC FROM "&amp;I428,
IF(C428="Missings",+"SELECT '"&amp;UPPER(B428)&amp;"' AS TABELA, '"&amp;UPPER(C428)&amp;"' AS TIPOLOGIA_TESTE,'"&amp;D428&amp;"' AS TABELA_LT,'N/A' AS TABELA_SIMUL,'"&amp;F428&amp;"' AS CAMPO, "&amp;"'${ref_date}' AS REF_DATE, COUNT(*) AS NUM_REG, SUM(IF(TRIM(CAST(X."&amp;F428&amp;" AS STRING)) IN ('0000-00-00','0001-01-01','9999-12-31','MISS','00000','99999999999','99999999999.00','99999999999.000000'),1,0)) AS NUM_REG_DIF,'"&amp;MAX('ID1&amp;5'!K:K)+1&amp;"' AS ID_EXEC, CURRENT_TIMESTAMP() AS TIME_EXEC FROM "&amp;I428,
IF(C428="Not applicable",+"SELECT '"&amp;UPPER(B428)&amp;"' AS TABELA, '"&amp;UPPER(C428)&amp;"' AS TIPOLOGIA_TESTE,'"&amp;D428&amp;"' AS TABELA_LT,'N/A' AS TABELA_SIMUL,'"&amp;F428&amp;"' AS CAMPO, "&amp;"'${ref_date}' AS REF_DATE, COUNT(*) AS NUM_REG, SUM(IF(TRIM(CAST(X."&amp;F428&amp;" AS STRING)) IN ('N/A','11111111111','11111111111.00','11111111111.000000','1111-11-11'),1,0)) AS NUM_REG_DIF,'"&amp;MAX('ID1&amp;5'!K:K)+1&amp;"' AS ID_EXEC, CURRENT_TIMESTAMP() AS TIME_EXEC FROM "&amp;I428,
IF(C428="Valores extremos",+"SELECT '"&amp;UPPER(B428)&amp;"' AS TABELA, '"&amp;UPPER(C428)&amp;"' AS TIPOLOGIA_TESTE,'"&amp;D428&amp;"' AS TABELA_LT,'N/A' AS TABELA_SIMUL,'"&amp;F428&amp;"' AS CAMPO, "&amp;"'${ref_date}' AS REF_DATE, CAST(MIN("&amp;F428&amp;") AS STRING) AS VALOR_MIN, CAST(MAX("&amp;F428&amp;") AS STRING) AS VALOR_MAX,'"&amp;MAX('ID1&amp;5'!K:K)+1&amp;"' AS ID_EXEC, CURRENT_TIMESTAMP() AS TIME_EXEC FROM "&amp;MID(I428,1,LEN(I428)-2)&amp;" AND CAST("&amp;F428&amp;"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TABELA_SIMUL,'csh' AS CAMPO, '${ref_date}' AS REF_DATE, COUNT(*) AS NUM_REG, SUM(IF(COALESCE(CAST(X.csh AS STRING),'')&lt;&gt;COALESCE(CAST(Y.csh_SIMUL AS STRING),'') OR (X.csh IS NULL AND Y.csh_SIMUL IS NOT NULL ) OR (X.csh IS NOT NULL AND Y.csh_SIMUL IS NULL),1,0)) AS NUM_REG_DIF,'1' AS ID_EXEC, CURRENT_TIMESTAMP() AS TIME_EXEC FROM (SELECT entty_id, csh FROM BU_LOANTAPE_WORK.LT003_ENTITY WHERE ref_date='${ref_date}' AND nome_perimetro='Individual Local' AND segmento='ESTR' AND ambito='SRB_MBDT' AND entidade='00100')X INNER JOIN (SELECT entty_id AS entty_id_SIMUL, csh AS csh_SIMUL FROM BU_LOANTAPE_WORK.SIMUL_LT003_ENTITY WHERE ref_date='${ref_date}' AND nome_perimetro='Individual Local' AND segmento='ESTR' AND ambito='PILAR3' AND entidade='00100')Y ON X.ENTTY_ID=Y.ENTTY_ID_SIMUL</v>
      </c>
      <c r="M428" s="36" t="str">
        <f t="shared" si="9"/>
        <v>UNION ALL SELECT 'ENTITY' AS TABELA, 'COERÊNCIA' AS TIPOLOGIA_TESTE,'BU_LOANTAPE_WORK.LT003_ENTITY' AS TABELA_LT,'BU_LOANTAPE_WORK.SIMUL_LT003_ENTITY' AS TABELA_SIMUL,'csh' AS CAMPO, '${ref_date}' AS REF_DATE, COUNT(*) AS NUM_REG, SUM(IF(COALESCE(CAST(X.csh AS STRING),'')&lt;&gt;COALESCE(CAST(Y.csh_SIMUL AS STRING),'') OR (X.csh IS NULL AND Y.csh_SIMUL IS NOT NULL ) OR (X.csh IS NOT NULL AND Y.csh_SIMUL IS NULL),1,0)) AS NUM_REG_DIF,'1' AS ID_EXEC, CURRENT_TIMESTAMP() AS TIME_EXEC FROM (SELECT entty_id, csh FROM BU_LOANTAPE_WORK.LT003_ENTITY WHERE ref_date='${ref_date}' AND nome_perimetro='Individual Local' AND segmento='ESTR' AND ambito='SRB_MBDT' AND entidade='00100')X INNER JOIN (SELECT entty_id AS entty_id_SIMUL, csh AS csh_SIMUL FROM BU_LOANTAPE_WORK.SIMUL_LT003_ENTITY WHERE ref_date='${ref_date}' AND nome_perimetro='Individual Local' AND segmento='ESTR' AND ambito='PILAR3' AND entidade='00100')Y ON X.ENTTY_ID=Y.ENTTY_ID_SIMUL</v>
      </c>
    </row>
    <row r="429" spans="2:13">
      <c r="B429" s="34" t="s">
        <v>118</v>
      </c>
      <c r="C429" s="34" t="s">
        <v>5</v>
      </c>
      <c r="D429" s="34" t="str">
        <f>+UPPER('0. Instruções'!$D$35&amp;"."&amp;VLOOKUP(B429,'0. Instruções'!$C$27:$D$32,2,FALSE))</f>
        <v>BU_LOANTAPE_WORK.LT003_ENTITY</v>
      </c>
      <c r="E429" s="34" t="str">
        <f>+UPPER('0. Instruções'!$D$36&amp;"."&amp;VLOOKUP(B429,'0. Instruções'!$C$27:$E$32,3,FALSE))</f>
        <v>BU_LOANTAPE_WORK.SIMUL_LT003_ENTITY</v>
      </c>
      <c r="F429" s="34" t="s">
        <v>1453</v>
      </c>
      <c r="G429" s="34"/>
      <c r="H429" s="34"/>
      <c r="I429" s="34" t="str">
        <f>"(SELECT "&amp;VLOOKUP(B429,'0. Instruções'!$C$27:$G$32,4,FALSE)&amp;", "&amp;F429&amp;" FROM "&amp;D429&amp;" WHERE "&amp;'0. Instruções'!$D$42&amp;")X"</f>
        <v>(SELECT entty_id, csh_prvs FROM BU_LOANTAPE_WORK.LT003_ENTITY WHERE ref_date='${ref_date}' AND nome_perimetro='Individual Local' AND segmento='ESTR' AND ambito='SRB_MBDT' AND entidade='00100')X</v>
      </c>
      <c r="J429" s="34" t="str">
        <f>"(SELECT "&amp;VLOOKUP(B429,'0. Instruções'!$C$27:$G$32,4,FALSE)&amp;" AS "&amp;VLOOKUP(B429,'0. Instruções'!$C$27:$G$32,4,FALSE)&amp;"_SIMUL, "&amp;F429&amp;" AS "&amp;F429&amp;"_SIMUL FROM "&amp;E429&amp;" WHERE "&amp;'0. Instruções'!$D$43&amp;")Y"</f>
        <v>(SELECT entty_id AS entty_id_SIMUL, csh_prvs AS csh_prvs_SIMUL FROM BU_LOANTAPE_WORK.SIMUL_LT003_ENTITY WHERE ref_date='${ref_date}' AND nome_perimetro='Individual Local' AND segmento='ESTR' AND ambito='PILAR3' AND entidade='00100')Y</v>
      </c>
      <c r="K429" s="35" t="str">
        <f>+UPPER("ON X."&amp;VLOOKUP(B429,'0. Instruções'!$C$27:$G$32,4,FALSE)&amp;"=Y."&amp;VLOOKUP(B429,'0. Instruções'!$C$27:$G$32,4,FALSE)&amp;"_SIMUL")</f>
        <v>ON X.ENTTY_ID=Y.ENTTY_ID_SIMUL</v>
      </c>
      <c r="L429" s="35" t="str">
        <f>+IF(C429="Coerência", +IF(LEFT(G429,5)="FLOAT","SELECT '"&amp;UPPER(B429)&amp;"' AS TABELA, '"&amp;UPPER(C429)&amp;"' AS TIPOLOGIA_TESTE,'"&amp;D429&amp;"' AS TABELA_LT,'"&amp;E429&amp;"' AS TABELA_SIMUL,'"&amp;F429&amp;"' AS CAMPO, "&amp;"'${ref_date}' AS REF_DATE, COUNT(*) AS NUM_REG, SUM(IF((ABS(COALESCE(CAST(X."&amp;F429&amp;" AS DECIMAL(18,6)),0)-COALESCE(CAST(Y."&amp;F429&amp;"_SIMUL AS DECIMAL(18,6)),0))&gt;0.000001) OR (X."&amp;F429&amp;" IS NULL AND Y."&amp;F429&amp;"_SIMUL IS NOT NULL ) OR (X."&amp;F429&amp;" IS NOT NULL AND Y."&amp;F429&amp;"_SIMUL IS NULL),1,0)) AS NUM_REG_DIF,'"&amp;MAX('ID1&amp;5'!K:K)+1&amp;"' AS ID_EXEC, CURRENT_TIMESTAMP() AS TIME_EXEC FROM "&amp;I429&amp;" INNER JOIN "&amp;J429&amp;" "&amp;K429,"SELECT '"&amp;UPPER(B429)&amp;"' AS TABELA, '"&amp;UPPER(C429)&amp;"' AS TIPOLOGIA_TESTE,'"&amp;D429&amp;"' AS TABELA_LT,'"&amp;E429&amp;"' AS TABELA_SIMUL,'"&amp;F429&amp;"' AS CAMPO, "&amp;"'${ref_date}' AS REF_DATE, COUNT(*) AS NUM_REG, SUM(IF(COALESCE(CAST(X."&amp;F429&amp;" AS STRING),'')&lt;&gt;COALESCE(CAST(Y."&amp;F429&amp;"_SIMUL AS STRING),'') OR (X."&amp;F429&amp;" IS NULL AND Y."&amp;F429&amp;"_SIMUL IS NOT NULL ) OR (X."&amp;F429&amp;" IS NOT NULL AND Y."&amp;F429&amp;"_SIMUL IS NULL),1,0)) AS NUM_REG_DIF,'"&amp;MAX('ID1&amp;5'!L:L)+1&amp;"' AS ID_EXEC, CURRENT_TIMESTAMP() AS TIME_EXEC FROM "&amp;I429&amp;" INNER JOIN "&amp;J429&amp;" "&amp;K429),
IF(C429="Validade",+IF(G429="Code List","SELECT '"&amp;UPPER(B429)&amp;"' AS TABELA, '"&amp;UPPER(C429)&amp;"' AS TIPOLOGIA_TESTE,'"&amp;D429&amp;"' AS TABELA_LT,'N/A' AS TABELA_SIMUL,'"&amp;F429&amp;"' AS CAMPO, "&amp;"'${ref_date}' AS REF_DATE, COUNT(*) AS NUM_REG, SUM(IF(TRIM(CAST(X."&amp;F429&amp;" AS STRING))='' OR TRIM(CAST(X."&amp;F429&amp;" AS STRING)) IS NULL OR CAST(X."&amp;F429&amp;" AS STRING) NOT "&amp;H429&amp;",1,0)) AS NUM_REG_DIF,'"&amp;MAX('ID1&amp;5'!K:K)+1&amp;"' AS ID_EXEC, CURRENT_TIMESTAMP() AS TIME_EXEC FROM "&amp;I429,"SELECT '"&amp;UPPER(B429)&amp;"' AS TABELA, '"&amp;UPPER(C429)&amp;"' AS TIPOLOGIA_TESTE,'"&amp;D429&amp;"' AS TABELA_LT,'N/A' AS TABELA_SIMUL,'"&amp;F429&amp;"' AS CAMPO, "&amp;"'${ref_date}' AS REF_DATE, COUNT(*) AS NUM_REG, SUM(IF(TRIM(CAST(X."&amp;F429&amp;" AS STRING))='' OR TRIM(CAST(X."&amp;F429&amp;" AS STRING)) IS NULL,1,0)) AS NUM_REG_DIF,'"&amp;MAX('ID1&amp;5'!K:K)+1&amp;"' AS ID_EXEC, CURRENT_TIMESTAMP() AS TIME_EXEC FROM "&amp;I429),
IF(C429="Caracteres Especiais",+"SELECT '"&amp;UPPER(B429)&amp;"' AS TABELA, '"&amp;UPPER(C429)&amp;"' AS TIPOLOGIA_TESTE,'"&amp;D429&amp;"' AS TABELA_LT,'N/A' AS TABELA_SIMUL,'"&amp;F429&amp;"' AS CAMPO, "&amp;"'${ref_date}' AS REF_DATE, COUNT(*) AS NUM_REG, SUM(IF(REGEXP_REPLACE(TRIM(CAST(X."&amp;F429&amp;" AS STRING)),'[^a-zA-Z0-9_\\s]','') &lt;&gt;TRIM(CAST(X."&amp;F429&amp;" AS STRING)),1,0)) AS NUM_REG_DIF,'"&amp;MAX('ID1&amp;5'!K:K)+1&amp;"' AS ID_EXEC, CURRENT_TIMESTAMP() AS TIME_EXEC FROM "&amp;I429,
IF(C429="Missings",+"SELECT '"&amp;UPPER(B429)&amp;"' AS TABELA, '"&amp;UPPER(C429)&amp;"' AS TIPOLOGIA_TESTE,'"&amp;D429&amp;"' AS TABELA_LT,'N/A' AS TABELA_SIMUL,'"&amp;F429&amp;"' AS CAMPO, "&amp;"'${ref_date}' AS REF_DATE, COUNT(*) AS NUM_REG, SUM(IF(TRIM(CAST(X."&amp;F429&amp;" AS STRING)) IN ('0000-00-00','0001-01-01','9999-12-31','MISS','00000','99999999999','99999999999.00','99999999999.000000'),1,0)) AS NUM_REG_DIF,'"&amp;MAX('ID1&amp;5'!K:K)+1&amp;"' AS ID_EXEC, CURRENT_TIMESTAMP() AS TIME_EXEC FROM "&amp;I429,
IF(C429="Not applicable",+"SELECT '"&amp;UPPER(B429)&amp;"' AS TABELA, '"&amp;UPPER(C429)&amp;"' AS TIPOLOGIA_TESTE,'"&amp;D429&amp;"' AS TABELA_LT,'N/A' AS TABELA_SIMUL,'"&amp;F429&amp;"' AS CAMPO, "&amp;"'${ref_date}' AS REF_DATE, COUNT(*) AS NUM_REG, SUM(IF(TRIM(CAST(X."&amp;F429&amp;" AS STRING)) IN ('N/A','11111111111','11111111111.00','11111111111.000000','1111-11-11'),1,0)) AS NUM_REG_DIF,'"&amp;MAX('ID1&amp;5'!K:K)+1&amp;"' AS ID_EXEC, CURRENT_TIMESTAMP() AS TIME_EXEC FROM "&amp;I429,
IF(C429="Valores extremos",+"SELECT '"&amp;UPPER(B429)&amp;"' AS TABELA, '"&amp;UPPER(C429)&amp;"' AS TIPOLOGIA_TESTE,'"&amp;D429&amp;"' AS TABELA_LT,'N/A' AS TABELA_SIMUL,'"&amp;F429&amp;"' AS CAMPO, "&amp;"'${ref_date}' AS REF_DATE, CAST(MIN("&amp;F429&amp;") AS STRING) AS VALOR_MIN, CAST(MAX("&amp;F429&amp;") AS STRING) AS VALOR_MAX,'"&amp;MAX('ID1&amp;5'!K:K)+1&amp;"' AS ID_EXEC, CURRENT_TIMESTAMP() AS TIME_EXEC FROM "&amp;MID(I429,1,LEN(I429)-2)&amp;" AND CAST("&amp;F429&amp;"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TABELA_SIMUL,'csh_prvs' AS CAMPO, '${ref_date}' AS REF_DATE, COUNT(*) AS NUM_REG, SUM(IF(COALESCE(CAST(X.csh_prvs AS STRING),'')&lt;&gt;COALESCE(CAST(Y.csh_prvs_SIMUL AS STRING),'') OR (X.csh_prvs IS NULL AND Y.csh_prvs_SIMUL IS NOT NULL ) OR (X.csh_prvs IS NOT NULL AND Y.csh_prvs_SIMUL IS NULL),1,0)) AS NUM_REG_DIF,'1' AS ID_EXEC, CURRENT_TIMESTAMP() AS TIME_EXEC FROM (SELECT entty_id, csh_prvs FROM BU_LOANTAPE_WORK.LT003_ENTITY WHERE ref_date='${ref_date}' AND nome_perimetro='Individual Local' AND segmento='ESTR' AND ambito='SRB_MBDT' AND entidade='00100')X INNER JOIN (SELECT entty_id AS entty_id_SIMUL, csh_prvs AS csh_prvs_SIMUL FROM BU_LOANTAPE_WORK.SIMUL_LT003_ENTITY WHERE ref_date='${ref_date}' AND nome_perimetro='Individual Local' AND segmento='ESTR' AND ambito='PILAR3' AND entidade='00100')Y ON X.ENTTY_ID=Y.ENTTY_ID_SIMUL</v>
      </c>
      <c r="M429" s="36" t="str">
        <f t="shared" si="9"/>
        <v>UNION ALL SELECT 'ENTITY' AS TABELA, 'COERÊNCIA' AS TIPOLOGIA_TESTE,'BU_LOANTAPE_WORK.LT003_ENTITY' AS TABELA_LT,'BU_LOANTAPE_WORK.SIMUL_LT003_ENTITY' AS TABELA_SIMUL,'csh_prvs' AS CAMPO, '${ref_date}' AS REF_DATE, COUNT(*) AS NUM_REG, SUM(IF(COALESCE(CAST(X.csh_prvs AS STRING),'')&lt;&gt;COALESCE(CAST(Y.csh_prvs_SIMUL AS STRING),'') OR (X.csh_prvs IS NULL AND Y.csh_prvs_SIMUL IS NOT NULL ) OR (X.csh_prvs IS NOT NULL AND Y.csh_prvs_SIMUL IS NULL),1,0)) AS NUM_REG_DIF,'1' AS ID_EXEC, CURRENT_TIMESTAMP() AS TIME_EXEC FROM (SELECT entty_id, csh_prvs FROM BU_LOANTAPE_WORK.LT003_ENTITY WHERE ref_date='${ref_date}' AND nome_perimetro='Individual Local' AND segmento='ESTR' AND ambito='SRB_MBDT' AND entidade='00100')X INNER JOIN (SELECT entty_id AS entty_id_SIMUL, csh_prvs AS csh_prvs_SIMUL FROM BU_LOANTAPE_WORK.SIMUL_LT003_ENTITY WHERE ref_date='${ref_date}' AND nome_perimetro='Individual Local' AND segmento='ESTR' AND ambito='PILAR3' AND entidade='00100')Y ON X.ENTTY_ID=Y.ENTTY_ID_SIMUL</v>
      </c>
    </row>
    <row r="430" spans="2:13">
      <c r="B430" s="34" t="s">
        <v>118</v>
      </c>
      <c r="C430" s="34" t="s">
        <v>5</v>
      </c>
      <c r="D430" s="34" t="str">
        <f>+UPPER('0. Instruções'!$D$35&amp;"."&amp;VLOOKUP(B430,'0. Instruções'!$C$27:$D$32,2,FALSE))</f>
        <v>BU_LOANTAPE_WORK.LT003_ENTITY</v>
      </c>
      <c r="E430" s="34" t="str">
        <f>+UPPER('0. Instruções'!$D$36&amp;"."&amp;VLOOKUP(B430,'0. Instruções'!$C$27:$E$32,3,FALSE))</f>
        <v>BU_LOANTAPE_WORK.SIMUL_LT003_ENTITY</v>
      </c>
      <c r="F430" s="34" t="s">
        <v>1454</v>
      </c>
      <c r="G430" s="34"/>
      <c r="H430" s="34"/>
      <c r="I430" s="34" t="str">
        <f>"(SELECT "&amp;VLOOKUP(B430,'0. Instruções'!$C$27:$G$32,4,FALSE)&amp;", "&amp;F430&amp;" FROM "&amp;D430&amp;" WHERE "&amp;'0. Instruções'!$D$42&amp;")X"</f>
        <v>(SELECT entty_id, ebitda FROM BU_LOANTAPE_WORK.LT003_ENTITY WHERE ref_date='${ref_date}' AND nome_perimetro='Individual Local' AND segmento='ESTR' AND ambito='SRB_MBDT' AND entidade='00100')X</v>
      </c>
      <c r="J430" s="34" t="str">
        <f>"(SELECT "&amp;VLOOKUP(B430,'0. Instruções'!$C$27:$G$32,4,FALSE)&amp;" AS "&amp;VLOOKUP(B430,'0. Instruções'!$C$27:$G$32,4,FALSE)&amp;"_SIMUL, "&amp;F430&amp;" AS "&amp;F430&amp;"_SIMUL FROM "&amp;E430&amp;" WHERE "&amp;'0. Instruções'!$D$43&amp;")Y"</f>
        <v>(SELECT entty_id AS entty_id_SIMUL, ebitda AS ebitda_SIMUL FROM BU_LOANTAPE_WORK.SIMUL_LT003_ENTITY WHERE ref_date='${ref_date}' AND nome_perimetro='Individual Local' AND segmento='ESTR' AND ambito='PILAR3' AND entidade='00100')Y</v>
      </c>
      <c r="K430" s="35" t="str">
        <f>+UPPER("ON X."&amp;VLOOKUP(B430,'0. Instruções'!$C$27:$G$32,4,FALSE)&amp;"=Y."&amp;VLOOKUP(B430,'0. Instruções'!$C$27:$G$32,4,FALSE)&amp;"_SIMUL")</f>
        <v>ON X.ENTTY_ID=Y.ENTTY_ID_SIMUL</v>
      </c>
      <c r="L430" s="35" t="str">
        <f>+IF(C430="Coerência", +IF(LEFT(G430,5)="FLOAT","SELECT '"&amp;UPPER(B430)&amp;"' AS TABELA, '"&amp;UPPER(C430)&amp;"' AS TIPOLOGIA_TESTE,'"&amp;D430&amp;"' AS TABELA_LT,'"&amp;E430&amp;"' AS TABELA_SIMUL,'"&amp;F430&amp;"' AS CAMPO, "&amp;"'${ref_date}' AS REF_DATE, COUNT(*) AS NUM_REG, SUM(IF((ABS(COALESCE(CAST(X."&amp;F430&amp;" AS DECIMAL(18,6)),0)-COALESCE(CAST(Y."&amp;F430&amp;"_SIMUL AS DECIMAL(18,6)),0))&gt;0.000001) OR (X."&amp;F430&amp;" IS NULL AND Y."&amp;F430&amp;"_SIMUL IS NOT NULL ) OR (X."&amp;F430&amp;" IS NOT NULL AND Y."&amp;F430&amp;"_SIMUL IS NULL),1,0)) AS NUM_REG_DIF,'"&amp;MAX('ID1&amp;5'!K:K)+1&amp;"' AS ID_EXEC, CURRENT_TIMESTAMP() AS TIME_EXEC FROM "&amp;I430&amp;" INNER JOIN "&amp;J430&amp;" "&amp;K430,"SELECT '"&amp;UPPER(B430)&amp;"' AS TABELA, '"&amp;UPPER(C430)&amp;"' AS TIPOLOGIA_TESTE,'"&amp;D430&amp;"' AS TABELA_LT,'"&amp;E430&amp;"' AS TABELA_SIMUL,'"&amp;F430&amp;"' AS CAMPO, "&amp;"'${ref_date}' AS REF_DATE, COUNT(*) AS NUM_REG, SUM(IF(COALESCE(CAST(X."&amp;F430&amp;" AS STRING),'')&lt;&gt;COALESCE(CAST(Y."&amp;F430&amp;"_SIMUL AS STRING),'') OR (X."&amp;F430&amp;" IS NULL AND Y."&amp;F430&amp;"_SIMUL IS NOT NULL ) OR (X."&amp;F430&amp;" IS NOT NULL AND Y."&amp;F430&amp;"_SIMUL IS NULL),1,0)) AS NUM_REG_DIF,'"&amp;MAX('ID1&amp;5'!L:L)+1&amp;"' AS ID_EXEC, CURRENT_TIMESTAMP() AS TIME_EXEC FROM "&amp;I430&amp;" INNER JOIN "&amp;J430&amp;" "&amp;K430),
IF(C430="Validade",+IF(G430="Code List","SELECT '"&amp;UPPER(B430)&amp;"' AS TABELA, '"&amp;UPPER(C430)&amp;"' AS TIPOLOGIA_TESTE,'"&amp;D430&amp;"' AS TABELA_LT,'N/A' AS TABELA_SIMUL,'"&amp;F430&amp;"' AS CAMPO, "&amp;"'${ref_date}' AS REF_DATE, COUNT(*) AS NUM_REG, SUM(IF(TRIM(CAST(X."&amp;F430&amp;" AS STRING))='' OR TRIM(CAST(X."&amp;F430&amp;" AS STRING)) IS NULL OR CAST(X."&amp;F430&amp;" AS STRING) NOT "&amp;H430&amp;",1,0)) AS NUM_REG_DIF,'"&amp;MAX('ID1&amp;5'!K:K)+1&amp;"' AS ID_EXEC, CURRENT_TIMESTAMP() AS TIME_EXEC FROM "&amp;I430,"SELECT '"&amp;UPPER(B430)&amp;"' AS TABELA, '"&amp;UPPER(C430)&amp;"' AS TIPOLOGIA_TESTE,'"&amp;D430&amp;"' AS TABELA_LT,'N/A' AS TABELA_SIMUL,'"&amp;F430&amp;"' AS CAMPO, "&amp;"'${ref_date}' AS REF_DATE, COUNT(*) AS NUM_REG, SUM(IF(TRIM(CAST(X."&amp;F430&amp;" AS STRING))='' OR TRIM(CAST(X."&amp;F430&amp;" AS STRING)) IS NULL,1,0)) AS NUM_REG_DIF,'"&amp;MAX('ID1&amp;5'!K:K)+1&amp;"' AS ID_EXEC, CURRENT_TIMESTAMP() AS TIME_EXEC FROM "&amp;I430),
IF(C430="Caracteres Especiais",+"SELECT '"&amp;UPPER(B430)&amp;"' AS TABELA, '"&amp;UPPER(C430)&amp;"' AS TIPOLOGIA_TESTE,'"&amp;D430&amp;"' AS TABELA_LT,'N/A' AS TABELA_SIMUL,'"&amp;F430&amp;"' AS CAMPO, "&amp;"'${ref_date}' AS REF_DATE, COUNT(*) AS NUM_REG, SUM(IF(REGEXP_REPLACE(TRIM(CAST(X."&amp;F430&amp;" AS STRING)),'[^a-zA-Z0-9_\\s]','') &lt;&gt;TRIM(CAST(X."&amp;F430&amp;" AS STRING)),1,0)) AS NUM_REG_DIF,'"&amp;MAX('ID1&amp;5'!K:K)+1&amp;"' AS ID_EXEC, CURRENT_TIMESTAMP() AS TIME_EXEC FROM "&amp;I430,
IF(C430="Missings",+"SELECT '"&amp;UPPER(B430)&amp;"' AS TABELA, '"&amp;UPPER(C430)&amp;"' AS TIPOLOGIA_TESTE,'"&amp;D430&amp;"' AS TABELA_LT,'N/A' AS TABELA_SIMUL,'"&amp;F430&amp;"' AS CAMPO, "&amp;"'${ref_date}' AS REF_DATE, COUNT(*) AS NUM_REG, SUM(IF(TRIM(CAST(X."&amp;F430&amp;" AS STRING)) IN ('0000-00-00','0001-01-01','9999-12-31','MISS','00000','99999999999','99999999999.00','99999999999.000000'),1,0)) AS NUM_REG_DIF,'"&amp;MAX('ID1&amp;5'!K:K)+1&amp;"' AS ID_EXEC, CURRENT_TIMESTAMP() AS TIME_EXEC FROM "&amp;I430,
IF(C430="Not applicable",+"SELECT '"&amp;UPPER(B430)&amp;"' AS TABELA, '"&amp;UPPER(C430)&amp;"' AS TIPOLOGIA_TESTE,'"&amp;D430&amp;"' AS TABELA_LT,'N/A' AS TABELA_SIMUL,'"&amp;F430&amp;"' AS CAMPO, "&amp;"'${ref_date}' AS REF_DATE, COUNT(*) AS NUM_REG, SUM(IF(TRIM(CAST(X."&amp;F430&amp;" AS STRING)) IN ('N/A','11111111111','11111111111.00','11111111111.000000','1111-11-11'),1,0)) AS NUM_REG_DIF,'"&amp;MAX('ID1&amp;5'!K:K)+1&amp;"' AS ID_EXEC, CURRENT_TIMESTAMP() AS TIME_EXEC FROM "&amp;I430,
IF(C430="Valores extremos",+"SELECT '"&amp;UPPER(B430)&amp;"' AS TABELA, '"&amp;UPPER(C430)&amp;"' AS TIPOLOGIA_TESTE,'"&amp;D430&amp;"' AS TABELA_LT,'N/A' AS TABELA_SIMUL,'"&amp;F430&amp;"' AS CAMPO, "&amp;"'${ref_date}' AS REF_DATE, CAST(MIN("&amp;F430&amp;") AS STRING) AS VALOR_MIN, CAST(MAX("&amp;F430&amp;") AS STRING) AS VALOR_MAX,'"&amp;MAX('ID1&amp;5'!K:K)+1&amp;"' AS ID_EXEC, CURRENT_TIMESTAMP() AS TIME_EXEC FROM "&amp;MID(I430,1,LEN(I430)-2)&amp;" AND CAST("&amp;F430&amp;"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TABELA_SIMUL,'ebitda' AS CAMPO, '${ref_date}' AS REF_DATE, COUNT(*) AS NUM_REG, SUM(IF(COALESCE(CAST(X.ebitda AS STRING),'')&lt;&gt;COALESCE(CAST(Y.ebitda_SIMUL AS STRING),'') OR (X.ebitda IS NULL AND Y.ebitda_SIMUL IS NOT NULL ) OR (X.ebitda IS NOT NULL AND Y.ebitda_SIMUL IS NULL),1,0)) AS NUM_REG_DIF,'1' AS ID_EXEC, CURRENT_TIMESTAMP() AS TIME_EXEC FROM (SELECT entty_id, ebitda FROM BU_LOANTAPE_WORK.LT003_ENTITY WHERE ref_date='${ref_date}' AND nome_perimetro='Individual Local' AND segmento='ESTR' AND ambito='SRB_MBDT' AND entidade='00100')X INNER JOIN (SELECT entty_id AS entty_id_SIMUL, ebitda AS ebitda_SIMUL FROM BU_LOANTAPE_WORK.SIMUL_LT003_ENTITY WHERE ref_date='${ref_date}' AND nome_perimetro='Individual Local' AND segmento='ESTR' AND ambito='PILAR3' AND entidade='00100')Y ON X.ENTTY_ID=Y.ENTTY_ID_SIMUL</v>
      </c>
      <c r="M430" s="36" t="str">
        <f t="shared" si="9"/>
        <v>UNION ALL SELECT 'ENTITY' AS TABELA, 'COERÊNCIA' AS TIPOLOGIA_TESTE,'BU_LOANTAPE_WORK.LT003_ENTITY' AS TABELA_LT,'BU_LOANTAPE_WORK.SIMUL_LT003_ENTITY' AS TABELA_SIMUL,'ebitda' AS CAMPO, '${ref_date}' AS REF_DATE, COUNT(*) AS NUM_REG, SUM(IF(COALESCE(CAST(X.ebitda AS STRING),'')&lt;&gt;COALESCE(CAST(Y.ebitda_SIMUL AS STRING),'') OR (X.ebitda IS NULL AND Y.ebitda_SIMUL IS NOT NULL ) OR (X.ebitda IS NOT NULL AND Y.ebitda_SIMUL IS NULL),1,0)) AS NUM_REG_DIF,'1' AS ID_EXEC, CURRENT_TIMESTAMP() AS TIME_EXEC FROM (SELECT entty_id, ebitda FROM BU_LOANTAPE_WORK.LT003_ENTITY WHERE ref_date='${ref_date}' AND nome_perimetro='Individual Local' AND segmento='ESTR' AND ambito='SRB_MBDT' AND entidade='00100')X INNER JOIN (SELECT entty_id AS entty_id_SIMUL, ebitda AS ebitda_SIMUL FROM BU_LOANTAPE_WORK.SIMUL_LT003_ENTITY WHERE ref_date='${ref_date}' AND nome_perimetro='Individual Local' AND segmento='ESTR' AND ambito='PILAR3' AND entidade='00100')Y ON X.ENTTY_ID=Y.ENTTY_ID_SIMUL</v>
      </c>
    </row>
    <row r="431" spans="2:13">
      <c r="B431" s="34" t="s">
        <v>118</v>
      </c>
      <c r="C431" s="34" t="s">
        <v>5</v>
      </c>
      <c r="D431" s="34" t="str">
        <f>+UPPER('0. Instruções'!$D$35&amp;"."&amp;VLOOKUP(B431,'0. Instruções'!$C$27:$D$32,2,FALSE))</f>
        <v>BU_LOANTAPE_WORK.LT003_ENTITY</v>
      </c>
      <c r="E431" s="34" t="str">
        <f>+UPPER('0. Instruções'!$D$36&amp;"."&amp;VLOOKUP(B431,'0. Instruções'!$C$27:$E$32,3,FALSE))</f>
        <v>BU_LOANTAPE_WORK.SIMUL_LT003_ENTITY</v>
      </c>
      <c r="F431" s="34" t="s">
        <v>1455</v>
      </c>
      <c r="G431" s="34"/>
      <c r="H431" s="34"/>
      <c r="I431" s="34" t="str">
        <f>"(SELECT "&amp;VLOOKUP(B431,'0. Instruções'!$C$27:$G$32,4,FALSE)&amp;", "&amp;F431&amp;" FROM "&amp;D431&amp;" WHERE "&amp;'0. Instruções'!$D$42&amp;")X"</f>
        <v>(SELECT entty_id, ebitda_prvs FROM BU_LOANTAPE_WORK.LT003_ENTITY WHERE ref_date='${ref_date}' AND nome_perimetro='Individual Local' AND segmento='ESTR' AND ambito='SRB_MBDT' AND entidade='00100')X</v>
      </c>
      <c r="J431" s="34" t="str">
        <f>"(SELECT "&amp;VLOOKUP(B431,'0. Instruções'!$C$27:$G$32,4,FALSE)&amp;" AS "&amp;VLOOKUP(B431,'0. Instruções'!$C$27:$G$32,4,FALSE)&amp;"_SIMUL, "&amp;F431&amp;" AS "&amp;F431&amp;"_SIMUL FROM "&amp;E431&amp;" WHERE "&amp;'0. Instruções'!$D$43&amp;")Y"</f>
        <v>(SELECT entty_id AS entty_id_SIMUL, ebitda_prvs AS ebitda_prvs_SIMUL FROM BU_LOANTAPE_WORK.SIMUL_LT003_ENTITY WHERE ref_date='${ref_date}' AND nome_perimetro='Individual Local' AND segmento='ESTR' AND ambito='PILAR3' AND entidade='00100')Y</v>
      </c>
      <c r="K431" s="35" t="str">
        <f>+UPPER("ON X."&amp;VLOOKUP(B431,'0. Instruções'!$C$27:$G$32,4,FALSE)&amp;"=Y."&amp;VLOOKUP(B431,'0. Instruções'!$C$27:$G$32,4,FALSE)&amp;"_SIMUL")</f>
        <v>ON X.ENTTY_ID=Y.ENTTY_ID_SIMUL</v>
      </c>
      <c r="L431" s="35" t="str">
        <f>+IF(C431="Coerência", +IF(LEFT(G431,5)="FLOAT","SELECT '"&amp;UPPER(B431)&amp;"' AS TABELA, '"&amp;UPPER(C431)&amp;"' AS TIPOLOGIA_TESTE,'"&amp;D431&amp;"' AS TABELA_LT,'"&amp;E431&amp;"' AS TABELA_SIMUL,'"&amp;F431&amp;"' AS CAMPO, "&amp;"'${ref_date}' AS REF_DATE, COUNT(*) AS NUM_REG, SUM(IF((ABS(COALESCE(CAST(X."&amp;F431&amp;" AS DECIMAL(18,6)),0)-COALESCE(CAST(Y."&amp;F431&amp;"_SIMUL AS DECIMAL(18,6)),0))&gt;0.000001) OR (X."&amp;F431&amp;" IS NULL AND Y."&amp;F431&amp;"_SIMUL IS NOT NULL ) OR (X."&amp;F431&amp;" IS NOT NULL AND Y."&amp;F431&amp;"_SIMUL IS NULL),1,0)) AS NUM_REG_DIF,'"&amp;MAX('ID1&amp;5'!K:K)+1&amp;"' AS ID_EXEC, CURRENT_TIMESTAMP() AS TIME_EXEC FROM "&amp;I431&amp;" INNER JOIN "&amp;J431&amp;" "&amp;K431,"SELECT '"&amp;UPPER(B431)&amp;"' AS TABELA, '"&amp;UPPER(C431)&amp;"' AS TIPOLOGIA_TESTE,'"&amp;D431&amp;"' AS TABELA_LT,'"&amp;E431&amp;"' AS TABELA_SIMUL,'"&amp;F431&amp;"' AS CAMPO, "&amp;"'${ref_date}' AS REF_DATE, COUNT(*) AS NUM_REG, SUM(IF(COALESCE(CAST(X."&amp;F431&amp;" AS STRING),'')&lt;&gt;COALESCE(CAST(Y."&amp;F431&amp;"_SIMUL AS STRING),'') OR (X."&amp;F431&amp;" IS NULL AND Y."&amp;F431&amp;"_SIMUL IS NOT NULL ) OR (X."&amp;F431&amp;" IS NOT NULL AND Y."&amp;F431&amp;"_SIMUL IS NULL),1,0)) AS NUM_REG_DIF,'"&amp;MAX('ID1&amp;5'!L:L)+1&amp;"' AS ID_EXEC, CURRENT_TIMESTAMP() AS TIME_EXEC FROM "&amp;I431&amp;" INNER JOIN "&amp;J431&amp;" "&amp;K431),
IF(C431="Validade",+IF(G431="Code List","SELECT '"&amp;UPPER(B431)&amp;"' AS TABELA, '"&amp;UPPER(C431)&amp;"' AS TIPOLOGIA_TESTE,'"&amp;D431&amp;"' AS TABELA_LT,'N/A' AS TABELA_SIMUL,'"&amp;F431&amp;"' AS CAMPO, "&amp;"'${ref_date}' AS REF_DATE, COUNT(*) AS NUM_REG, SUM(IF(TRIM(CAST(X."&amp;F431&amp;" AS STRING))='' OR TRIM(CAST(X."&amp;F431&amp;" AS STRING)) IS NULL OR CAST(X."&amp;F431&amp;" AS STRING) NOT "&amp;H431&amp;",1,0)) AS NUM_REG_DIF,'"&amp;MAX('ID1&amp;5'!K:K)+1&amp;"' AS ID_EXEC, CURRENT_TIMESTAMP() AS TIME_EXEC FROM "&amp;I431,"SELECT '"&amp;UPPER(B431)&amp;"' AS TABELA, '"&amp;UPPER(C431)&amp;"' AS TIPOLOGIA_TESTE,'"&amp;D431&amp;"' AS TABELA_LT,'N/A' AS TABELA_SIMUL,'"&amp;F431&amp;"' AS CAMPO, "&amp;"'${ref_date}' AS REF_DATE, COUNT(*) AS NUM_REG, SUM(IF(TRIM(CAST(X."&amp;F431&amp;" AS STRING))='' OR TRIM(CAST(X."&amp;F431&amp;" AS STRING)) IS NULL,1,0)) AS NUM_REG_DIF,'"&amp;MAX('ID1&amp;5'!K:K)+1&amp;"' AS ID_EXEC, CURRENT_TIMESTAMP() AS TIME_EXEC FROM "&amp;I431),
IF(C431="Caracteres Especiais",+"SELECT '"&amp;UPPER(B431)&amp;"' AS TABELA, '"&amp;UPPER(C431)&amp;"' AS TIPOLOGIA_TESTE,'"&amp;D431&amp;"' AS TABELA_LT,'N/A' AS TABELA_SIMUL,'"&amp;F431&amp;"' AS CAMPO, "&amp;"'${ref_date}' AS REF_DATE, COUNT(*) AS NUM_REG, SUM(IF(REGEXP_REPLACE(TRIM(CAST(X."&amp;F431&amp;" AS STRING)),'[^a-zA-Z0-9_\\s]','') &lt;&gt;TRIM(CAST(X."&amp;F431&amp;" AS STRING)),1,0)) AS NUM_REG_DIF,'"&amp;MAX('ID1&amp;5'!K:K)+1&amp;"' AS ID_EXEC, CURRENT_TIMESTAMP() AS TIME_EXEC FROM "&amp;I431,
IF(C431="Missings",+"SELECT '"&amp;UPPER(B431)&amp;"' AS TABELA, '"&amp;UPPER(C431)&amp;"' AS TIPOLOGIA_TESTE,'"&amp;D431&amp;"' AS TABELA_LT,'N/A' AS TABELA_SIMUL,'"&amp;F431&amp;"' AS CAMPO, "&amp;"'${ref_date}' AS REF_DATE, COUNT(*) AS NUM_REG, SUM(IF(TRIM(CAST(X."&amp;F431&amp;" AS STRING)) IN ('0000-00-00','0001-01-01','9999-12-31','MISS','00000','99999999999','99999999999.00','99999999999.000000'),1,0)) AS NUM_REG_DIF,'"&amp;MAX('ID1&amp;5'!K:K)+1&amp;"' AS ID_EXEC, CURRENT_TIMESTAMP() AS TIME_EXEC FROM "&amp;I431,
IF(C431="Not applicable",+"SELECT '"&amp;UPPER(B431)&amp;"' AS TABELA, '"&amp;UPPER(C431)&amp;"' AS TIPOLOGIA_TESTE,'"&amp;D431&amp;"' AS TABELA_LT,'N/A' AS TABELA_SIMUL,'"&amp;F431&amp;"' AS CAMPO, "&amp;"'${ref_date}' AS REF_DATE, COUNT(*) AS NUM_REG, SUM(IF(TRIM(CAST(X."&amp;F431&amp;" AS STRING)) IN ('N/A','11111111111','11111111111.00','11111111111.000000','1111-11-11'),1,0)) AS NUM_REG_DIF,'"&amp;MAX('ID1&amp;5'!K:K)+1&amp;"' AS ID_EXEC, CURRENT_TIMESTAMP() AS TIME_EXEC FROM "&amp;I431,
IF(C431="Valores extremos",+"SELECT '"&amp;UPPER(B431)&amp;"' AS TABELA, '"&amp;UPPER(C431)&amp;"' AS TIPOLOGIA_TESTE,'"&amp;D431&amp;"' AS TABELA_LT,'N/A' AS TABELA_SIMUL,'"&amp;F431&amp;"' AS CAMPO, "&amp;"'${ref_date}' AS REF_DATE, CAST(MIN("&amp;F431&amp;") AS STRING) AS VALOR_MIN, CAST(MAX("&amp;F431&amp;") AS STRING) AS VALOR_MAX,'"&amp;MAX('ID1&amp;5'!K:K)+1&amp;"' AS ID_EXEC, CURRENT_TIMESTAMP() AS TIME_EXEC FROM "&amp;MID(I431,1,LEN(I431)-2)&amp;" AND CAST("&amp;F431&amp;"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TABELA_SIMUL,'ebitda_prvs' AS CAMPO, '${ref_date}' AS REF_DATE, COUNT(*) AS NUM_REG, SUM(IF(COALESCE(CAST(X.ebitda_prvs AS STRING),'')&lt;&gt;COALESCE(CAST(Y.ebitda_prvs_SIMUL AS STRING),'') OR (X.ebitda_prvs IS NULL AND Y.ebitda_prvs_SIMUL IS NOT NULL ) OR (X.ebitda_prvs IS NOT NULL AND Y.ebitda_prvs_SIMUL IS NULL),1,0)) AS NUM_REG_DIF,'1' AS ID_EXEC, CURRENT_TIMESTAMP() AS TIME_EXEC FROM (SELECT entty_id, ebitda_prvs FROM BU_LOANTAPE_WORK.LT003_ENTITY WHERE ref_date='${ref_date}' AND nome_perimetro='Individual Local' AND segmento='ESTR' AND ambito='SRB_MBDT' AND entidade='00100')X INNER JOIN (SELECT entty_id AS entty_id_SIMUL, ebitda_prvs AS ebitda_prvs_SIMUL FROM BU_LOANTAPE_WORK.SIMUL_LT003_ENTITY WHERE ref_date='${ref_date}' AND nome_perimetro='Individual Local' AND segmento='ESTR' AND ambito='PILAR3' AND entidade='00100')Y ON X.ENTTY_ID=Y.ENTTY_ID_SIMUL</v>
      </c>
      <c r="M431" s="36" t="str">
        <f t="shared" si="9"/>
        <v>UNION ALL SELECT 'ENTITY' AS TABELA, 'COERÊNCIA' AS TIPOLOGIA_TESTE,'BU_LOANTAPE_WORK.LT003_ENTITY' AS TABELA_LT,'BU_LOANTAPE_WORK.SIMUL_LT003_ENTITY' AS TABELA_SIMUL,'ebitda_prvs' AS CAMPO, '${ref_date}' AS REF_DATE, COUNT(*) AS NUM_REG, SUM(IF(COALESCE(CAST(X.ebitda_prvs AS STRING),'')&lt;&gt;COALESCE(CAST(Y.ebitda_prvs_SIMUL AS STRING),'') OR (X.ebitda_prvs IS NULL AND Y.ebitda_prvs_SIMUL IS NOT NULL ) OR (X.ebitda_prvs IS NOT NULL AND Y.ebitda_prvs_SIMUL IS NULL),1,0)) AS NUM_REG_DIF,'1' AS ID_EXEC, CURRENT_TIMESTAMP() AS TIME_EXEC FROM (SELECT entty_id, ebitda_prvs FROM BU_LOANTAPE_WORK.LT003_ENTITY WHERE ref_date='${ref_date}' AND nome_perimetro='Individual Local' AND segmento='ESTR' AND ambito='SRB_MBDT' AND entidade='00100')X INNER JOIN (SELECT entty_id AS entty_id_SIMUL, ebitda_prvs AS ebitda_prvs_SIMUL FROM BU_LOANTAPE_WORK.SIMUL_LT003_ENTITY WHERE ref_date='${ref_date}' AND nome_perimetro='Individual Local' AND segmento='ESTR' AND ambito='PILAR3' AND entidade='00100')Y ON X.ENTTY_ID=Y.ENTTY_ID_SIMUL</v>
      </c>
    </row>
    <row r="432" spans="2:13">
      <c r="B432" s="34" t="s">
        <v>118</v>
      </c>
      <c r="C432" s="34" t="s">
        <v>5</v>
      </c>
      <c r="D432" s="34" t="str">
        <f>+UPPER('0. Instruções'!$D$35&amp;"."&amp;VLOOKUP(B432,'0. Instruções'!$C$27:$D$32,2,FALSE))</f>
        <v>BU_LOANTAPE_WORK.LT003_ENTITY</v>
      </c>
      <c r="E432" s="34" t="str">
        <f>+UPPER('0. Instruções'!$D$36&amp;"."&amp;VLOOKUP(B432,'0. Instruções'!$C$27:$E$32,3,FALSE))</f>
        <v>BU_LOANTAPE_WORK.SIMUL_LT003_ENTITY</v>
      </c>
      <c r="F432" s="34" t="s">
        <v>667</v>
      </c>
      <c r="G432" s="34"/>
      <c r="H432" s="34"/>
      <c r="I432" s="34" t="str">
        <f>"(SELECT "&amp;VLOOKUP(B432,'0. Instruções'!$C$27:$G$32,4,FALSE)&amp;", "&amp;F432&amp;" FROM "&amp;D432&amp;" WHERE "&amp;'0. Instruções'!$D$42&amp;")X"</f>
        <v>(SELECT entty_id, eqty FROM BU_LOANTAPE_WORK.LT003_ENTITY WHERE ref_date='${ref_date}' AND nome_perimetro='Individual Local' AND segmento='ESTR' AND ambito='SRB_MBDT' AND entidade='00100')X</v>
      </c>
      <c r="J432" s="34" t="str">
        <f>"(SELECT "&amp;VLOOKUP(B432,'0. Instruções'!$C$27:$G$32,4,FALSE)&amp;" AS "&amp;VLOOKUP(B432,'0. Instruções'!$C$27:$G$32,4,FALSE)&amp;"_SIMUL, "&amp;F432&amp;" AS "&amp;F432&amp;"_SIMUL FROM "&amp;E432&amp;" WHERE "&amp;'0. Instruções'!$D$43&amp;")Y"</f>
        <v>(SELECT entty_id AS entty_id_SIMUL, eqty AS eqty_SIMUL FROM BU_LOANTAPE_WORK.SIMUL_LT003_ENTITY WHERE ref_date='${ref_date}' AND nome_perimetro='Individual Local' AND segmento='ESTR' AND ambito='PILAR3' AND entidade='00100')Y</v>
      </c>
      <c r="K432" s="35" t="str">
        <f>+UPPER("ON X."&amp;VLOOKUP(B432,'0. Instruções'!$C$27:$G$32,4,FALSE)&amp;"=Y."&amp;VLOOKUP(B432,'0. Instruções'!$C$27:$G$32,4,FALSE)&amp;"_SIMUL")</f>
        <v>ON X.ENTTY_ID=Y.ENTTY_ID_SIMUL</v>
      </c>
      <c r="L432" s="35" t="str">
        <f>+IF(C432="Coerência", +IF(LEFT(G432,5)="FLOAT","SELECT '"&amp;UPPER(B432)&amp;"' AS TABELA, '"&amp;UPPER(C432)&amp;"' AS TIPOLOGIA_TESTE,'"&amp;D432&amp;"' AS TABELA_LT,'"&amp;E432&amp;"' AS TABELA_SIMUL,'"&amp;F432&amp;"' AS CAMPO, "&amp;"'${ref_date}' AS REF_DATE, COUNT(*) AS NUM_REG, SUM(IF((ABS(COALESCE(CAST(X."&amp;F432&amp;" AS DECIMAL(18,6)),0)-COALESCE(CAST(Y."&amp;F432&amp;"_SIMUL AS DECIMAL(18,6)),0))&gt;0.000001) OR (X."&amp;F432&amp;" IS NULL AND Y."&amp;F432&amp;"_SIMUL IS NOT NULL ) OR (X."&amp;F432&amp;" IS NOT NULL AND Y."&amp;F432&amp;"_SIMUL IS NULL),1,0)) AS NUM_REG_DIF,'"&amp;MAX('ID1&amp;5'!K:K)+1&amp;"' AS ID_EXEC, CURRENT_TIMESTAMP() AS TIME_EXEC FROM "&amp;I432&amp;" INNER JOIN "&amp;J432&amp;" "&amp;K432,"SELECT '"&amp;UPPER(B432)&amp;"' AS TABELA, '"&amp;UPPER(C432)&amp;"' AS TIPOLOGIA_TESTE,'"&amp;D432&amp;"' AS TABELA_LT,'"&amp;E432&amp;"' AS TABELA_SIMUL,'"&amp;F432&amp;"' AS CAMPO, "&amp;"'${ref_date}' AS REF_DATE, COUNT(*) AS NUM_REG, SUM(IF(COALESCE(CAST(X."&amp;F432&amp;" AS STRING),'')&lt;&gt;COALESCE(CAST(Y."&amp;F432&amp;"_SIMUL AS STRING),'') OR (X."&amp;F432&amp;" IS NULL AND Y."&amp;F432&amp;"_SIMUL IS NOT NULL ) OR (X."&amp;F432&amp;" IS NOT NULL AND Y."&amp;F432&amp;"_SIMUL IS NULL),1,0)) AS NUM_REG_DIF,'"&amp;MAX('ID1&amp;5'!L:L)+1&amp;"' AS ID_EXEC, CURRENT_TIMESTAMP() AS TIME_EXEC FROM "&amp;I432&amp;" INNER JOIN "&amp;J432&amp;" "&amp;K432),
IF(C432="Validade",+IF(G432="Code List","SELECT '"&amp;UPPER(B432)&amp;"' AS TABELA, '"&amp;UPPER(C432)&amp;"' AS TIPOLOGIA_TESTE,'"&amp;D432&amp;"' AS TABELA_LT,'N/A' AS TABELA_SIMUL,'"&amp;F432&amp;"' AS CAMPO, "&amp;"'${ref_date}' AS REF_DATE, COUNT(*) AS NUM_REG, SUM(IF(TRIM(CAST(X."&amp;F432&amp;" AS STRING))='' OR TRIM(CAST(X."&amp;F432&amp;" AS STRING)) IS NULL OR CAST(X."&amp;F432&amp;" AS STRING) NOT "&amp;H432&amp;",1,0)) AS NUM_REG_DIF,'"&amp;MAX('ID1&amp;5'!K:K)+1&amp;"' AS ID_EXEC, CURRENT_TIMESTAMP() AS TIME_EXEC FROM "&amp;I432,"SELECT '"&amp;UPPER(B432)&amp;"' AS TABELA, '"&amp;UPPER(C432)&amp;"' AS TIPOLOGIA_TESTE,'"&amp;D432&amp;"' AS TABELA_LT,'N/A' AS TABELA_SIMUL,'"&amp;F432&amp;"' AS CAMPO, "&amp;"'${ref_date}' AS REF_DATE, COUNT(*) AS NUM_REG, SUM(IF(TRIM(CAST(X."&amp;F432&amp;" AS STRING))='' OR TRIM(CAST(X."&amp;F432&amp;" AS STRING)) IS NULL,1,0)) AS NUM_REG_DIF,'"&amp;MAX('ID1&amp;5'!K:K)+1&amp;"' AS ID_EXEC, CURRENT_TIMESTAMP() AS TIME_EXEC FROM "&amp;I432),
IF(C432="Caracteres Especiais",+"SELECT '"&amp;UPPER(B432)&amp;"' AS TABELA, '"&amp;UPPER(C432)&amp;"' AS TIPOLOGIA_TESTE,'"&amp;D432&amp;"' AS TABELA_LT,'N/A' AS TABELA_SIMUL,'"&amp;F432&amp;"' AS CAMPO, "&amp;"'${ref_date}' AS REF_DATE, COUNT(*) AS NUM_REG, SUM(IF(REGEXP_REPLACE(TRIM(CAST(X."&amp;F432&amp;" AS STRING)),'[^a-zA-Z0-9_\\s]','') &lt;&gt;TRIM(CAST(X."&amp;F432&amp;" AS STRING)),1,0)) AS NUM_REG_DIF,'"&amp;MAX('ID1&amp;5'!K:K)+1&amp;"' AS ID_EXEC, CURRENT_TIMESTAMP() AS TIME_EXEC FROM "&amp;I432,
IF(C432="Missings",+"SELECT '"&amp;UPPER(B432)&amp;"' AS TABELA, '"&amp;UPPER(C432)&amp;"' AS TIPOLOGIA_TESTE,'"&amp;D432&amp;"' AS TABELA_LT,'N/A' AS TABELA_SIMUL,'"&amp;F432&amp;"' AS CAMPO, "&amp;"'${ref_date}' AS REF_DATE, COUNT(*) AS NUM_REG, SUM(IF(TRIM(CAST(X."&amp;F432&amp;" AS STRING)) IN ('0000-00-00','0001-01-01','9999-12-31','MISS','00000','99999999999','99999999999.00','99999999999.000000'),1,0)) AS NUM_REG_DIF,'"&amp;MAX('ID1&amp;5'!K:K)+1&amp;"' AS ID_EXEC, CURRENT_TIMESTAMP() AS TIME_EXEC FROM "&amp;I432,
IF(C432="Not applicable",+"SELECT '"&amp;UPPER(B432)&amp;"' AS TABELA, '"&amp;UPPER(C432)&amp;"' AS TIPOLOGIA_TESTE,'"&amp;D432&amp;"' AS TABELA_LT,'N/A' AS TABELA_SIMUL,'"&amp;F432&amp;"' AS CAMPO, "&amp;"'${ref_date}' AS REF_DATE, COUNT(*) AS NUM_REG, SUM(IF(TRIM(CAST(X."&amp;F432&amp;" AS STRING)) IN ('N/A','11111111111','11111111111.00','11111111111.000000','1111-11-11'),1,0)) AS NUM_REG_DIF,'"&amp;MAX('ID1&amp;5'!K:K)+1&amp;"' AS ID_EXEC, CURRENT_TIMESTAMP() AS TIME_EXEC FROM "&amp;I432,
IF(C432="Valores extremos",+"SELECT '"&amp;UPPER(B432)&amp;"' AS TABELA, '"&amp;UPPER(C432)&amp;"' AS TIPOLOGIA_TESTE,'"&amp;D432&amp;"' AS TABELA_LT,'N/A' AS TABELA_SIMUL,'"&amp;F432&amp;"' AS CAMPO, "&amp;"'${ref_date}' AS REF_DATE, CAST(MIN("&amp;F432&amp;") AS STRING) AS VALOR_MIN, CAST(MAX("&amp;F432&amp;") AS STRING) AS VALOR_MAX,'"&amp;MAX('ID1&amp;5'!K:K)+1&amp;"' AS ID_EXEC, CURRENT_TIMESTAMP() AS TIME_EXEC FROM "&amp;MID(I432,1,LEN(I432)-2)&amp;" AND CAST("&amp;F432&amp;"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TABELA_SIMUL,'eqty' AS CAMPO, '${ref_date}' AS REF_DATE, COUNT(*) AS NUM_REG, SUM(IF(COALESCE(CAST(X.eqty AS STRING),'')&lt;&gt;COALESCE(CAST(Y.eqty_SIMUL AS STRING),'') OR (X.eqty IS NULL AND Y.eqty_SIMUL IS NOT NULL ) OR (X.eqty IS NOT NULL AND Y.eqty_SIMUL IS NULL),1,0)) AS NUM_REG_DIF,'1' AS ID_EXEC, CURRENT_TIMESTAMP() AS TIME_EXEC FROM (SELECT entty_id, eqty FROM BU_LOANTAPE_WORK.LT003_ENTITY WHERE ref_date='${ref_date}' AND nome_perimetro='Individual Local' AND segmento='ESTR' AND ambito='SRB_MBDT' AND entidade='00100')X INNER JOIN (SELECT entty_id AS entty_id_SIMUL, eqty AS eqty_SIMUL FROM BU_LOANTAPE_WORK.SIMUL_LT003_ENTITY WHERE ref_date='${ref_date}' AND nome_perimetro='Individual Local' AND segmento='ESTR' AND ambito='PILAR3' AND entidade='00100')Y ON X.ENTTY_ID=Y.ENTTY_ID_SIMUL</v>
      </c>
      <c r="M432" s="36" t="str">
        <f t="shared" si="9"/>
        <v>UNION ALL SELECT 'ENTITY' AS TABELA, 'COERÊNCIA' AS TIPOLOGIA_TESTE,'BU_LOANTAPE_WORK.LT003_ENTITY' AS TABELA_LT,'BU_LOANTAPE_WORK.SIMUL_LT003_ENTITY' AS TABELA_SIMUL,'eqty' AS CAMPO, '${ref_date}' AS REF_DATE, COUNT(*) AS NUM_REG, SUM(IF(COALESCE(CAST(X.eqty AS STRING),'')&lt;&gt;COALESCE(CAST(Y.eqty_SIMUL AS STRING),'') OR (X.eqty IS NULL AND Y.eqty_SIMUL IS NOT NULL ) OR (X.eqty IS NOT NULL AND Y.eqty_SIMUL IS NULL),1,0)) AS NUM_REG_DIF,'1' AS ID_EXEC, CURRENT_TIMESTAMP() AS TIME_EXEC FROM (SELECT entty_id, eqty FROM BU_LOANTAPE_WORK.LT003_ENTITY WHERE ref_date='${ref_date}' AND nome_perimetro='Individual Local' AND segmento='ESTR' AND ambito='SRB_MBDT' AND entidade='00100')X INNER JOIN (SELECT entty_id AS entty_id_SIMUL, eqty AS eqty_SIMUL FROM BU_LOANTAPE_WORK.SIMUL_LT003_ENTITY WHERE ref_date='${ref_date}' AND nome_perimetro='Individual Local' AND segmento='ESTR' AND ambito='PILAR3' AND entidade='00100')Y ON X.ENTTY_ID=Y.ENTTY_ID_SIMUL</v>
      </c>
    </row>
    <row r="433" spans="2:13">
      <c r="B433" s="34" t="s">
        <v>118</v>
      </c>
      <c r="C433" s="34" t="s">
        <v>5</v>
      </c>
      <c r="D433" s="34" t="str">
        <f>+UPPER('0. Instruções'!$D$35&amp;"."&amp;VLOOKUP(B433,'0. Instruções'!$C$27:$D$32,2,FALSE))</f>
        <v>BU_LOANTAPE_WORK.LT003_ENTITY</v>
      </c>
      <c r="E433" s="34" t="str">
        <f>+UPPER('0. Instruções'!$D$36&amp;"."&amp;VLOOKUP(B433,'0. Instruções'!$C$27:$E$32,3,FALSE))</f>
        <v>BU_LOANTAPE_WORK.SIMUL_LT003_ENTITY</v>
      </c>
      <c r="F433" s="34" t="s">
        <v>1456</v>
      </c>
      <c r="G433" s="34"/>
      <c r="H433" s="34"/>
      <c r="I433" s="34" t="str">
        <f>"(SELECT "&amp;VLOOKUP(B433,'0. Instruções'!$C$27:$G$32,4,FALSE)&amp;", "&amp;F433&amp;" FROM "&amp;D433&amp;" WHERE "&amp;'0. Instruções'!$D$42&amp;")X"</f>
        <v>(SELECT entty_id, eqty_prvs FROM BU_LOANTAPE_WORK.LT003_ENTITY WHERE ref_date='${ref_date}' AND nome_perimetro='Individual Local' AND segmento='ESTR' AND ambito='SRB_MBDT' AND entidade='00100')X</v>
      </c>
      <c r="J433" s="34" t="str">
        <f>"(SELECT "&amp;VLOOKUP(B433,'0. Instruções'!$C$27:$G$32,4,FALSE)&amp;" AS "&amp;VLOOKUP(B433,'0. Instruções'!$C$27:$G$32,4,FALSE)&amp;"_SIMUL, "&amp;F433&amp;" AS "&amp;F433&amp;"_SIMUL FROM "&amp;E433&amp;" WHERE "&amp;'0. Instruções'!$D$43&amp;")Y"</f>
        <v>(SELECT entty_id AS entty_id_SIMUL, eqty_prvs AS eqty_prvs_SIMUL FROM BU_LOANTAPE_WORK.SIMUL_LT003_ENTITY WHERE ref_date='${ref_date}' AND nome_perimetro='Individual Local' AND segmento='ESTR' AND ambito='PILAR3' AND entidade='00100')Y</v>
      </c>
      <c r="K433" s="35" t="str">
        <f>+UPPER("ON X."&amp;VLOOKUP(B433,'0. Instruções'!$C$27:$G$32,4,FALSE)&amp;"=Y."&amp;VLOOKUP(B433,'0. Instruções'!$C$27:$G$32,4,FALSE)&amp;"_SIMUL")</f>
        <v>ON X.ENTTY_ID=Y.ENTTY_ID_SIMUL</v>
      </c>
      <c r="L433" s="35" t="str">
        <f>+IF(C433="Coerência", +IF(LEFT(G433,5)="FLOAT","SELECT '"&amp;UPPER(B433)&amp;"' AS TABELA, '"&amp;UPPER(C433)&amp;"' AS TIPOLOGIA_TESTE,'"&amp;D433&amp;"' AS TABELA_LT,'"&amp;E433&amp;"' AS TABELA_SIMUL,'"&amp;F433&amp;"' AS CAMPO, "&amp;"'${ref_date}' AS REF_DATE, COUNT(*) AS NUM_REG, SUM(IF((ABS(COALESCE(CAST(X."&amp;F433&amp;" AS DECIMAL(18,6)),0)-COALESCE(CAST(Y."&amp;F433&amp;"_SIMUL AS DECIMAL(18,6)),0))&gt;0.000001) OR (X."&amp;F433&amp;" IS NULL AND Y."&amp;F433&amp;"_SIMUL IS NOT NULL ) OR (X."&amp;F433&amp;" IS NOT NULL AND Y."&amp;F433&amp;"_SIMUL IS NULL),1,0)) AS NUM_REG_DIF,'"&amp;MAX('ID1&amp;5'!K:K)+1&amp;"' AS ID_EXEC, CURRENT_TIMESTAMP() AS TIME_EXEC FROM "&amp;I433&amp;" INNER JOIN "&amp;J433&amp;" "&amp;K433,"SELECT '"&amp;UPPER(B433)&amp;"' AS TABELA, '"&amp;UPPER(C433)&amp;"' AS TIPOLOGIA_TESTE,'"&amp;D433&amp;"' AS TABELA_LT,'"&amp;E433&amp;"' AS TABELA_SIMUL,'"&amp;F433&amp;"' AS CAMPO, "&amp;"'${ref_date}' AS REF_DATE, COUNT(*) AS NUM_REG, SUM(IF(COALESCE(CAST(X."&amp;F433&amp;" AS STRING),'')&lt;&gt;COALESCE(CAST(Y."&amp;F433&amp;"_SIMUL AS STRING),'') OR (X."&amp;F433&amp;" IS NULL AND Y."&amp;F433&amp;"_SIMUL IS NOT NULL ) OR (X."&amp;F433&amp;" IS NOT NULL AND Y."&amp;F433&amp;"_SIMUL IS NULL),1,0)) AS NUM_REG_DIF,'"&amp;MAX('ID1&amp;5'!L:L)+1&amp;"' AS ID_EXEC, CURRENT_TIMESTAMP() AS TIME_EXEC FROM "&amp;I433&amp;" INNER JOIN "&amp;J433&amp;" "&amp;K433),
IF(C433="Validade",+IF(G433="Code List","SELECT '"&amp;UPPER(B433)&amp;"' AS TABELA, '"&amp;UPPER(C433)&amp;"' AS TIPOLOGIA_TESTE,'"&amp;D433&amp;"' AS TABELA_LT,'N/A' AS TABELA_SIMUL,'"&amp;F433&amp;"' AS CAMPO, "&amp;"'${ref_date}' AS REF_DATE, COUNT(*) AS NUM_REG, SUM(IF(TRIM(CAST(X."&amp;F433&amp;" AS STRING))='' OR TRIM(CAST(X."&amp;F433&amp;" AS STRING)) IS NULL OR CAST(X."&amp;F433&amp;" AS STRING) NOT "&amp;H433&amp;",1,0)) AS NUM_REG_DIF,'"&amp;MAX('ID1&amp;5'!K:K)+1&amp;"' AS ID_EXEC, CURRENT_TIMESTAMP() AS TIME_EXEC FROM "&amp;I433,"SELECT '"&amp;UPPER(B433)&amp;"' AS TABELA, '"&amp;UPPER(C433)&amp;"' AS TIPOLOGIA_TESTE,'"&amp;D433&amp;"' AS TABELA_LT,'N/A' AS TABELA_SIMUL,'"&amp;F433&amp;"' AS CAMPO, "&amp;"'${ref_date}' AS REF_DATE, COUNT(*) AS NUM_REG, SUM(IF(TRIM(CAST(X."&amp;F433&amp;" AS STRING))='' OR TRIM(CAST(X."&amp;F433&amp;" AS STRING)) IS NULL,1,0)) AS NUM_REG_DIF,'"&amp;MAX('ID1&amp;5'!K:K)+1&amp;"' AS ID_EXEC, CURRENT_TIMESTAMP() AS TIME_EXEC FROM "&amp;I433),
IF(C433="Caracteres Especiais",+"SELECT '"&amp;UPPER(B433)&amp;"' AS TABELA, '"&amp;UPPER(C433)&amp;"' AS TIPOLOGIA_TESTE,'"&amp;D433&amp;"' AS TABELA_LT,'N/A' AS TABELA_SIMUL,'"&amp;F433&amp;"' AS CAMPO, "&amp;"'${ref_date}' AS REF_DATE, COUNT(*) AS NUM_REG, SUM(IF(REGEXP_REPLACE(TRIM(CAST(X."&amp;F433&amp;" AS STRING)),'[^a-zA-Z0-9_\\s]','') &lt;&gt;TRIM(CAST(X."&amp;F433&amp;" AS STRING)),1,0)) AS NUM_REG_DIF,'"&amp;MAX('ID1&amp;5'!K:K)+1&amp;"' AS ID_EXEC, CURRENT_TIMESTAMP() AS TIME_EXEC FROM "&amp;I433,
IF(C433="Missings",+"SELECT '"&amp;UPPER(B433)&amp;"' AS TABELA, '"&amp;UPPER(C433)&amp;"' AS TIPOLOGIA_TESTE,'"&amp;D433&amp;"' AS TABELA_LT,'N/A' AS TABELA_SIMUL,'"&amp;F433&amp;"' AS CAMPO, "&amp;"'${ref_date}' AS REF_DATE, COUNT(*) AS NUM_REG, SUM(IF(TRIM(CAST(X."&amp;F433&amp;" AS STRING)) IN ('0000-00-00','0001-01-01','9999-12-31','MISS','00000','99999999999','99999999999.00','99999999999.000000'),1,0)) AS NUM_REG_DIF,'"&amp;MAX('ID1&amp;5'!K:K)+1&amp;"' AS ID_EXEC, CURRENT_TIMESTAMP() AS TIME_EXEC FROM "&amp;I433,
IF(C433="Not applicable",+"SELECT '"&amp;UPPER(B433)&amp;"' AS TABELA, '"&amp;UPPER(C433)&amp;"' AS TIPOLOGIA_TESTE,'"&amp;D433&amp;"' AS TABELA_LT,'N/A' AS TABELA_SIMUL,'"&amp;F433&amp;"' AS CAMPO, "&amp;"'${ref_date}' AS REF_DATE, COUNT(*) AS NUM_REG, SUM(IF(TRIM(CAST(X."&amp;F433&amp;" AS STRING)) IN ('N/A','11111111111','11111111111.00','11111111111.000000','1111-11-11'),1,0)) AS NUM_REG_DIF,'"&amp;MAX('ID1&amp;5'!K:K)+1&amp;"' AS ID_EXEC, CURRENT_TIMESTAMP() AS TIME_EXEC FROM "&amp;I433,
IF(C433="Valores extremos",+"SELECT '"&amp;UPPER(B433)&amp;"' AS TABELA, '"&amp;UPPER(C433)&amp;"' AS TIPOLOGIA_TESTE,'"&amp;D433&amp;"' AS TABELA_LT,'N/A' AS TABELA_SIMUL,'"&amp;F433&amp;"' AS CAMPO, "&amp;"'${ref_date}' AS REF_DATE, CAST(MIN("&amp;F433&amp;") AS STRING) AS VALOR_MIN, CAST(MAX("&amp;F433&amp;") AS STRING) AS VALOR_MAX,'"&amp;MAX('ID1&amp;5'!K:K)+1&amp;"' AS ID_EXEC, CURRENT_TIMESTAMP() AS TIME_EXEC FROM "&amp;MID(I433,1,LEN(I433)-2)&amp;" AND CAST("&amp;F433&amp;"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TABELA_SIMUL,'eqty_prvs' AS CAMPO, '${ref_date}' AS REF_DATE, COUNT(*) AS NUM_REG, SUM(IF(COALESCE(CAST(X.eqty_prvs AS STRING),'')&lt;&gt;COALESCE(CAST(Y.eqty_prvs_SIMUL AS STRING),'') OR (X.eqty_prvs IS NULL AND Y.eqty_prvs_SIMUL IS NOT NULL ) OR (X.eqty_prvs IS NOT NULL AND Y.eqty_prvs_SIMUL IS NULL),1,0)) AS NUM_REG_DIF,'1' AS ID_EXEC, CURRENT_TIMESTAMP() AS TIME_EXEC FROM (SELECT entty_id, eqty_prvs FROM BU_LOANTAPE_WORK.LT003_ENTITY WHERE ref_date='${ref_date}' AND nome_perimetro='Individual Local' AND segmento='ESTR' AND ambito='SRB_MBDT' AND entidade='00100')X INNER JOIN (SELECT entty_id AS entty_id_SIMUL, eqty_prvs AS eqty_prvs_SIMUL FROM BU_LOANTAPE_WORK.SIMUL_LT003_ENTITY WHERE ref_date='${ref_date}' AND nome_perimetro='Individual Local' AND segmento='ESTR' AND ambito='PILAR3' AND entidade='00100')Y ON X.ENTTY_ID=Y.ENTTY_ID_SIMUL</v>
      </c>
      <c r="M433" s="36" t="str">
        <f t="shared" si="9"/>
        <v>UNION ALL SELECT 'ENTITY' AS TABELA, 'COERÊNCIA' AS TIPOLOGIA_TESTE,'BU_LOANTAPE_WORK.LT003_ENTITY' AS TABELA_LT,'BU_LOANTAPE_WORK.SIMUL_LT003_ENTITY' AS TABELA_SIMUL,'eqty_prvs' AS CAMPO, '${ref_date}' AS REF_DATE, COUNT(*) AS NUM_REG, SUM(IF(COALESCE(CAST(X.eqty_prvs AS STRING),'')&lt;&gt;COALESCE(CAST(Y.eqty_prvs_SIMUL AS STRING),'') OR (X.eqty_prvs IS NULL AND Y.eqty_prvs_SIMUL IS NOT NULL ) OR (X.eqty_prvs IS NOT NULL AND Y.eqty_prvs_SIMUL IS NULL),1,0)) AS NUM_REG_DIF,'1' AS ID_EXEC, CURRENT_TIMESTAMP() AS TIME_EXEC FROM (SELECT entty_id, eqty_prvs FROM BU_LOANTAPE_WORK.LT003_ENTITY WHERE ref_date='${ref_date}' AND nome_perimetro='Individual Local' AND segmento='ESTR' AND ambito='SRB_MBDT' AND entidade='00100')X INNER JOIN (SELECT entty_id AS entty_id_SIMUL, eqty_prvs AS eqty_prvs_SIMUL FROM BU_LOANTAPE_WORK.SIMUL_LT003_ENTITY WHERE ref_date='${ref_date}' AND nome_perimetro='Individual Local' AND segmento='ESTR' AND ambito='PILAR3' AND entidade='00100')Y ON X.ENTTY_ID=Y.ENTTY_ID_SIMUL</v>
      </c>
    </row>
    <row r="434" spans="2:13">
      <c r="B434" s="34" t="s">
        <v>118</v>
      </c>
      <c r="C434" s="34" t="s">
        <v>5</v>
      </c>
      <c r="D434" s="34" t="str">
        <f>+UPPER('0. Instruções'!$D$35&amp;"."&amp;VLOOKUP(B434,'0. Instruções'!$C$27:$D$32,2,FALSE))</f>
        <v>BU_LOANTAPE_WORK.LT003_ENTITY</v>
      </c>
      <c r="E434" s="34" t="str">
        <f>+UPPER('0. Instruções'!$D$36&amp;"."&amp;VLOOKUP(B434,'0. Instruções'!$C$27:$E$32,3,FALSE))</f>
        <v>BU_LOANTAPE_WORK.SIMUL_LT003_ENTITY</v>
      </c>
      <c r="F434" s="34" t="s">
        <v>668</v>
      </c>
      <c r="G434" s="34"/>
      <c r="H434" s="34"/>
      <c r="I434" s="34" t="str">
        <f>"(SELECT "&amp;VLOOKUP(B434,'0. Instruções'!$C$27:$G$32,4,FALSE)&amp;", "&amp;F434&amp;" FROM "&amp;D434&amp;" WHERE "&amp;'0. Instruções'!$D$42&amp;")X"</f>
        <v>(SELECT entty_id, grp_ttl_dbt FROM BU_LOANTAPE_WORK.LT003_ENTITY WHERE ref_date='${ref_date}' AND nome_perimetro='Individual Local' AND segmento='ESTR' AND ambito='SRB_MBDT' AND entidade='00100')X</v>
      </c>
      <c r="J434" s="34" t="str">
        <f>"(SELECT "&amp;VLOOKUP(B434,'0. Instruções'!$C$27:$G$32,4,FALSE)&amp;" AS "&amp;VLOOKUP(B434,'0. Instruções'!$C$27:$G$32,4,FALSE)&amp;"_SIMUL, "&amp;F434&amp;" AS "&amp;F434&amp;"_SIMUL FROM "&amp;E434&amp;" WHERE "&amp;'0. Instruções'!$D$43&amp;")Y"</f>
        <v>(SELECT entty_id AS entty_id_SIMUL, grp_ttl_dbt AS grp_ttl_dbt_SIMUL FROM BU_LOANTAPE_WORK.SIMUL_LT003_ENTITY WHERE ref_date='${ref_date}' AND nome_perimetro='Individual Local' AND segmento='ESTR' AND ambito='PILAR3' AND entidade='00100')Y</v>
      </c>
      <c r="K434" s="35" t="str">
        <f>+UPPER("ON X."&amp;VLOOKUP(B434,'0. Instruções'!$C$27:$G$32,4,FALSE)&amp;"=Y."&amp;VLOOKUP(B434,'0. Instruções'!$C$27:$G$32,4,FALSE)&amp;"_SIMUL")</f>
        <v>ON X.ENTTY_ID=Y.ENTTY_ID_SIMUL</v>
      </c>
      <c r="L434" s="35" t="str">
        <f>+IF(C434="Coerência", +IF(LEFT(G434,5)="FLOAT","SELECT '"&amp;UPPER(B434)&amp;"' AS TABELA, '"&amp;UPPER(C434)&amp;"' AS TIPOLOGIA_TESTE,'"&amp;D434&amp;"' AS TABELA_LT,'"&amp;E434&amp;"' AS TABELA_SIMUL,'"&amp;F434&amp;"' AS CAMPO, "&amp;"'${ref_date}' AS REF_DATE, COUNT(*) AS NUM_REG, SUM(IF((ABS(COALESCE(CAST(X."&amp;F434&amp;" AS DECIMAL(18,6)),0)-COALESCE(CAST(Y."&amp;F434&amp;"_SIMUL AS DECIMAL(18,6)),0))&gt;0.000001) OR (X."&amp;F434&amp;" IS NULL AND Y."&amp;F434&amp;"_SIMUL IS NOT NULL ) OR (X."&amp;F434&amp;" IS NOT NULL AND Y."&amp;F434&amp;"_SIMUL IS NULL),1,0)) AS NUM_REG_DIF,'"&amp;MAX('ID1&amp;5'!K:K)+1&amp;"' AS ID_EXEC, CURRENT_TIMESTAMP() AS TIME_EXEC FROM "&amp;I434&amp;" INNER JOIN "&amp;J434&amp;" "&amp;K434,"SELECT '"&amp;UPPER(B434)&amp;"' AS TABELA, '"&amp;UPPER(C434)&amp;"' AS TIPOLOGIA_TESTE,'"&amp;D434&amp;"' AS TABELA_LT,'"&amp;E434&amp;"' AS TABELA_SIMUL,'"&amp;F434&amp;"' AS CAMPO, "&amp;"'${ref_date}' AS REF_DATE, COUNT(*) AS NUM_REG, SUM(IF(COALESCE(CAST(X."&amp;F434&amp;" AS STRING),'')&lt;&gt;COALESCE(CAST(Y."&amp;F434&amp;"_SIMUL AS STRING),'') OR (X."&amp;F434&amp;" IS NULL AND Y."&amp;F434&amp;"_SIMUL IS NOT NULL ) OR (X."&amp;F434&amp;" IS NOT NULL AND Y."&amp;F434&amp;"_SIMUL IS NULL),1,0)) AS NUM_REG_DIF,'"&amp;MAX('ID1&amp;5'!L:L)+1&amp;"' AS ID_EXEC, CURRENT_TIMESTAMP() AS TIME_EXEC FROM "&amp;I434&amp;" INNER JOIN "&amp;J434&amp;" "&amp;K434),
IF(C434="Validade",+IF(G434="Code List","SELECT '"&amp;UPPER(B434)&amp;"' AS TABELA, '"&amp;UPPER(C434)&amp;"' AS TIPOLOGIA_TESTE,'"&amp;D434&amp;"' AS TABELA_LT,'N/A' AS TABELA_SIMUL,'"&amp;F434&amp;"' AS CAMPO, "&amp;"'${ref_date}' AS REF_DATE, COUNT(*) AS NUM_REG, SUM(IF(TRIM(CAST(X."&amp;F434&amp;" AS STRING))='' OR TRIM(CAST(X."&amp;F434&amp;" AS STRING)) IS NULL OR CAST(X."&amp;F434&amp;" AS STRING) NOT "&amp;H434&amp;",1,0)) AS NUM_REG_DIF,'"&amp;MAX('ID1&amp;5'!K:K)+1&amp;"' AS ID_EXEC, CURRENT_TIMESTAMP() AS TIME_EXEC FROM "&amp;I434,"SELECT '"&amp;UPPER(B434)&amp;"' AS TABELA, '"&amp;UPPER(C434)&amp;"' AS TIPOLOGIA_TESTE,'"&amp;D434&amp;"' AS TABELA_LT,'N/A' AS TABELA_SIMUL,'"&amp;F434&amp;"' AS CAMPO, "&amp;"'${ref_date}' AS REF_DATE, COUNT(*) AS NUM_REG, SUM(IF(TRIM(CAST(X."&amp;F434&amp;" AS STRING))='' OR TRIM(CAST(X."&amp;F434&amp;" AS STRING)) IS NULL,1,0)) AS NUM_REG_DIF,'"&amp;MAX('ID1&amp;5'!K:K)+1&amp;"' AS ID_EXEC, CURRENT_TIMESTAMP() AS TIME_EXEC FROM "&amp;I434),
IF(C434="Caracteres Especiais",+"SELECT '"&amp;UPPER(B434)&amp;"' AS TABELA, '"&amp;UPPER(C434)&amp;"' AS TIPOLOGIA_TESTE,'"&amp;D434&amp;"' AS TABELA_LT,'N/A' AS TABELA_SIMUL,'"&amp;F434&amp;"' AS CAMPO, "&amp;"'${ref_date}' AS REF_DATE, COUNT(*) AS NUM_REG, SUM(IF(REGEXP_REPLACE(TRIM(CAST(X."&amp;F434&amp;" AS STRING)),'[^a-zA-Z0-9_\\s]','') &lt;&gt;TRIM(CAST(X."&amp;F434&amp;" AS STRING)),1,0)) AS NUM_REG_DIF,'"&amp;MAX('ID1&amp;5'!K:K)+1&amp;"' AS ID_EXEC, CURRENT_TIMESTAMP() AS TIME_EXEC FROM "&amp;I434,
IF(C434="Missings",+"SELECT '"&amp;UPPER(B434)&amp;"' AS TABELA, '"&amp;UPPER(C434)&amp;"' AS TIPOLOGIA_TESTE,'"&amp;D434&amp;"' AS TABELA_LT,'N/A' AS TABELA_SIMUL,'"&amp;F434&amp;"' AS CAMPO, "&amp;"'${ref_date}' AS REF_DATE, COUNT(*) AS NUM_REG, SUM(IF(TRIM(CAST(X."&amp;F434&amp;" AS STRING)) IN ('0000-00-00','0001-01-01','9999-12-31','MISS','00000','99999999999','99999999999.00','99999999999.000000'),1,0)) AS NUM_REG_DIF,'"&amp;MAX('ID1&amp;5'!K:K)+1&amp;"' AS ID_EXEC, CURRENT_TIMESTAMP() AS TIME_EXEC FROM "&amp;I434,
IF(C434="Not applicable",+"SELECT '"&amp;UPPER(B434)&amp;"' AS TABELA, '"&amp;UPPER(C434)&amp;"' AS TIPOLOGIA_TESTE,'"&amp;D434&amp;"' AS TABELA_LT,'N/A' AS TABELA_SIMUL,'"&amp;F434&amp;"' AS CAMPO, "&amp;"'${ref_date}' AS REF_DATE, COUNT(*) AS NUM_REG, SUM(IF(TRIM(CAST(X."&amp;F434&amp;" AS STRING)) IN ('N/A','11111111111','11111111111.00','11111111111.000000','1111-11-11'),1,0)) AS NUM_REG_DIF,'"&amp;MAX('ID1&amp;5'!K:K)+1&amp;"' AS ID_EXEC, CURRENT_TIMESTAMP() AS TIME_EXEC FROM "&amp;I434,
IF(C434="Valores extremos",+"SELECT '"&amp;UPPER(B434)&amp;"' AS TABELA, '"&amp;UPPER(C434)&amp;"' AS TIPOLOGIA_TESTE,'"&amp;D434&amp;"' AS TABELA_LT,'N/A' AS TABELA_SIMUL,'"&amp;F434&amp;"' AS CAMPO, "&amp;"'${ref_date}' AS REF_DATE, CAST(MIN("&amp;F434&amp;") AS STRING) AS VALOR_MIN, CAST(MAX("&amp;F434&amp;") AS STRING) AS VALOR_MAX,'"&amp;MAX('ID1&amp;5'!K:K)+1&amp;"' AS ID_EXEC, CURRENT_TIMESTAMP() AS TIME_EXEC FROM "&amp;MID(I434,1,LEN(I434)-2)&amp;" AND CAST("&amp;F434&amp;"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TABELA_SIMUL,'grp_ttl_dbt' AS CAMPO, '${ref_date}' AS REF_DATE, COUNT(*) AS NUM_REG, SUM(IF(COALESCE(CAST(X.grp_ttl_dbt AS STRING),'')&lt;&gt;COALESCE(CAST(Y.grp_ttl_dbt_SIMUL AS STRING),'') OR (X.grp_ttl_dbt IS NULL AND Y.grp_ttl_dbt_SIMUL IS NOT NULL ) OR (X.grp_ttl_dbt IS NOT NULL AND Y.grp_ttl_dbt_SIMUL IS NULL),1,0)) AS NUM_REG_DIF,'1' AS ID_EXEC, CURRENT_TIMESTAMP() AS TIME_EXEC FROM (SELECT entty_id, grp_ttl_dbt FROM BU_LOANTAPE_WORK.LT003_ENTITY WHERE ref_date='${ref_date}' AND nome_perimetro='Individual Local' AND segmento='ESTR' AND ambito='SRB_MBDT' AND entidade='00100')X INNER JOIN (SELECT entty_id AS entty_id_SIMUL, grp_ttl_dbt AS grp_ttl_dbt_SIMUL FROM BU_LOANTAPE_WORK.SIMUL_LT003_ENTITY WHERE ref_date='${ref_date}' AND nome_perimetro='Individual Local' AND segmento='ESTR' AND ambito='PILAR3' AND entidade='00100')Y ON X.ENTTY_ID=Y.ENTTY_ID_SIMUL</v>
      </c>
      <c r="M434" s="36" t="str">
        <f t="shared" si="9"/>
        <v>UNION ALL SELECT 'ENTITY' AS TABELA, 'COERÊNCIA' AS TIPOLOGIA_TESTE,'BU_LOANTAPE_WORK.LT003_ENTITY' AS TABELA_LT,'BU_LOANTAPE_WORK.SIMUL_LT003_ENTITY' AS TABELA_SIMUL,'grp_ttl_dbt' AS CAMPO, '${ref_date}' AS REF_DATE, COUNT(*) AS NUM_REG, SUM(IF(COALESCE(CAST(X.grp_ttl_dbt AS STRING),'')&lt;&gt;COALESCE(CAST(Y.grp_ttl_dbt_SIMUL AS STRING),'') OR (X.grp_ttl_dbt IS NULL AND Y.grp_ttl_dbt_SIMUL IS NOT NULL ) OR (X.grp_ttl_dbt IS NOT NULL AND Y.grp_ttl_dbt_SIMUL IS NULL),1,0)) AS NUM_REG_DIF,'1' AS ID_EXEC, CURRENT_TIMESTAMP() AS TIME_EXEC FROM (SELECT entty_id, grp_ttl_dbt FROM BU_LOANTAPE_WORK.LT003_ENTITY WHERE ref_date='${ref_date}' AND nome_perimetro='Individual Local' AND segmento='ESTR' AND ambito='SRB_MBDT' AND entidade='00100')X INNER JOIN (SELECT entty_id AS entty_id_SIMUL, grp_ttl_dbt AS grp_ttl_dbt_SIMUL FROM BU_LOANTAPE_WORK.SIMUL_LT003_ENTITY WHERE ref_date='${ref_date}' AND nome_perimetro='Individual Local' AND segmento='ESTR' AND ambito='PILAR3' AND entidade='00100')Y ON X.ENTTY_ID=Y.ENTTY_ID_SIMUL</v>
      </c>
    </row>
    <row r="435" spans="2:13">
      <c r="B435" s="34" t="s">
        <v>118</v>
      </c>
      <c r="C435" s="34" t="s">
        <v>5</v>
      </c>
      <c r="D435" s="34" t="str">
        <f>+UPPER('0. Instruções'!$D$35&amp;"."&amp;VLOOKUP(B435,'0. Instruções'!$C$27:$D$32,2,FALSE))</f>
        <v>BU_LOANTAPE_WORK.LT003_ENTITY</v>
      </c>
      <c r="E435" s="34" t="str">
        <f>+UPPER('0. Instruções'!$D$36&amp;"."&amp;VLOOKUP(B435,'0. Instruções'!$C$27:$E$32,3,FALSE))</f>
        <v>BU_LOANTAPE_WORK.SIMUL_LT003_ENTITY</v>
      </c>
      <c r="F435" s="34" t="s">
        <v>1457</v>
      </c>
      <c r="G435" s="34"/>
      <c r="H435" s="34"/>
      <c r="I435" s="34" t="str">
        <f>"(SELECT "&amp;VLOOKUP(B435,'0. Instruções'!$C$27:$G$32,4,FALSE)&amp;", "&amp;F435&amp;" FROM "&amp;D435&amp;" WHERE "&amp;'0. Instruções'!$D$42&amp;")X"</f>
        <v>(SELECT entty_id, gdwill FROM BU_LOANTAPE_WORK.LT003_ENTITY WHERE ref_date='${ref_date}' AND nome_perimetro='Individual Local' AND segmento='ESTR' AND ambito='SRB_MBDT' AND entidade='00100')X</v>
      </c>
      <c r="J435" s="34" t="str">
        <f>"(SELECT "&amp;VLOOKUP(B435,'0. Instruções'!$C$27:$G$32,4,FALSE)&amp;" AS "&amp;VLOOKUP(B435,'0. Instruções'!$C$27:$G$32,4,FALSE)&amp;"_SIMUL, "&amp;F435&amp;" AS "&amp;F435&amp;"_SIMUL FROM "&amp;E435&amp;" WHERE "&amp;'0. Instruções'!$D$43&amp;")Y"</f>
        <v>(SELECT entty_id AS entty_id_SIMUL, gdwill AS gdwill_SIMUL FROM BU_LOANTAPE_WORK.SIMUL_LT003_ENTITY WHERE ref_date='${ref_date}' AND nome_perimetro='Individual Local' AND segmento='ESTR' AND ambito='PILAR3' AND entidade='00100')Y</v>
      </c>
      <c r="K435" s="35" t="str">
        <f>+UPPER("ON X."&amp;VLOOKUP(B435,'0. Instruções'!$C$27:$G$32,4,FALSE)&amp;"=Y."&amp;VLOOKUP(B435,'0. Instruções'!$C$27:$G$32,4,FALSE)&amp;"_SIMUL")</f>
        <v>ON X.ENTTY_ID=Y.ENTTY_ID_SIMUL</v>
      </c>
      <c r="L435" s="35" t="str">
        <f>+IF(C435="Coerência", +IF(LEFT(G435,5)="FLOAT","SELECT '"&amp;UPPER(B435)&amp;"' AS TABELA, '"&amp;UPPER(C435)&amp;"' AS TIPOLOGIA_TESTE,'"&amp;D435&amp;"' AS TABELA_LT,'"&amp;E435&amp;"' AS TABELA_SIMUL,'"&amp;F435&amp;"' AS CAMPO, "&amp;"'${ref_date}' AS REF_DATE, COUNT(*) AS NUM_REG, SUM(IF((ABS(COALESCE(CAST(X."&amp;F435&amp;" AS DECIMAL(18,6)),0)-COALESCE(CAST(Y."&amp;F435&amp;"_SIMUL AS DECIMAL(18,6)),0))&gt;0.000001) OR (X."&amp;F435&amp;" IS NULL AND Y."&amp;F435&amp;"_SIMUL IS NOT NULL ) OR (X."&amp;F435&amp;" IS NOT NULL AND Y."&amp;F435&amp;"_SIMUL IS NULL),1,0)) AS NUM_REG_DIF,'"&amp;MAX('ID1&amp;5'!K:K)+1&amp;"' AS ID_EXEC, CURRENT_TIMESTAMP() AS TIME_EXEC FROM "&amp;I435&amp;" INNER JOIN "&amp;J435&amp;" "&amp;K435,"SELECT '"&amp;UPPER(B435)&amp;"' AS TABELA, '"&amp;UPPER(C435)&amp;"' AS TIPOLOGIA_TESTE,'"&amp;D435&amp;"' AS TABELA_LT,'"&amp;E435&amp;"' AS TABELA_SIMUL,'"&amp;F435&amp;"' AS CAMPO, "&amp;"'${ref_date}' AS REF_DATE, COUNT(*) AS NUM_REG, SUM(IF(COALESCE(CAST(X."&amp;F435&amp;" AS STRING),'')&lt;&gt;COALESCE(CAST(Y."&amp;F435&amp;"_SIMUL AS STRING),'') OR (X."&amp;F435&amp;" IS NULL AND Y."&amp;F435&amp;"_SIMUL IS NOT NULL ) OR (X."&amp;F435&amp;" IS NOT NULL AND Y."&amp;F435&amp;"_SIMUL IS NULL),1,0)) AS NUM_REG_DIF,'"&amp;MAX('ID1&amp;5'!L:L)+1&amp;"' AS ID_EXEC, CURRENT_TIMESTAMP() AS TIME_EXEC FROM "&amp;I435&amp;" INNER JOIN "&amp;J435&amp;" "&amp;K435),
IF(C435="Validade",+IF(G435="Code List","SELECT '"&amp;UPPER(B435)&amp;"' AS TABELA, '"&amp;UPPER(C435)&amp;"' AS TIPOLOGIA_TESTE,'"&amp;D435&amp;"' AS TABELA_LT,'N/A' AS TABELA_SIMUL,'"&amp;F435&amp;"' AS CAMPO, "&amp;"'${ref_date}' AS REF_DATE, COUNT(*) AS NUM_REG, SUM(IF(TRIM(CAST(X."&amp;F435&amp;" AS STRING))='' OR TRIM(CAST(X."&amp;F435&amp;" AS STRING)) IS NULL OR CAST(X."&amp;F435&amp;" AS STRING) NOT "&amp;H435&amp;",1,0)) AS NUM_REG_DIF,'"&amp;MAX('ID1&amp;5'!K:K)+1&amp;"' AS ID_EXEC, CURRENT_TIMESTAMP() AS TIME_EXEC FROM "&amp;I435,"SELECT '"&amp;UPPER(B435)&amp;"' AS TABELA, '"&amp;UPPER(C435)&amp;"' AS TIPOLOGIA_TESTE,'"&amp;D435&amp;"' AS TABELA_LT,'N/A' AS TABELA_SIMUL,'"&amp;F435&amp;"' AS CAMPO, "&amp;"'${ref_date}' AS REF_DATE, COUNT(*) AS NUM_REG, SUM(IF(TRIM(CAST(X."&amp;F435&amp;" AS STRING))='' OR TRIM(CAST(X."&amp;F435&amp;" AS STRING)) IS NULL,1,0)) AS NUM_REG_DIF,'"&amp;MAX('ID1&amp;5'!K:K)+1&amp;"' AS ID_EXEC, CURRENT_TIMESTAMP() AS TIME_EXEC FROM "&amp;I435),
IF(C435="Caracteres Especiais",+"SELECT '"&amp;UPPER(B435)&amp;"' AS TABELA, '"&amp;UPPER(C435)&amp;"' AS TIPOLOGIA_TESTE,'"&amp;D435&amp;"' AS TABELA_LT,'N/A' AS TABELA_SIMUL,'"&amp;F435&amp;"' AS CAMPO, "&amp;"'${ref_date}' AS REF_DATE, COUNT(*) AS NUM_REG, SUM(IF(REGEXP_REPLACE(TRIM(CAST(X."&amp;F435&amp;" AS STRING)),'[^a-zA-Z0-9_\\s]','') &lt;&gt;TRIM(CAST(X."&amp;F435&amp;" AS STRING)),1,0)) AS NUM_REG_DIF,'"&amp;MAX('ID1&amp;5'!K:K)+1&amp;"' AS ID_EXEC, CURRENT_TIMESTAMP() AS TIME_EXEC FROM "&amp;I435,
IF(C435="Missings",+"SELECT '"&amp;UPPER(B435)&amp;"' AS TABELA, '"&amp;UPPER(C435)&amp;"' AS TIPOLOGIA_TESTE,'"&amp;D435&amp;"' AS TABELA_LT,'N/A' AS TABELA_SIMUL,'"&amp;F435&amp;"' AS CAMPO, "&amp;"'${ref_date}' AS REF_DATE, COUNT(*) AS NUM_REG, SUM(IF(TRIM(CAST(X."&amp;F435&amp;" AS STRING)) IN ('0000-00-00','0001-01-01','9999-12-31','MISS','00000','99999999999','99999999999.00','99999999999.000000'),1,0)) AS NUM_REG_DIF,'"&amp;MAX('ID1&amp;5'!K:K)+1&amp;"' AS ID_EXEC, CURRENT_TIMESTAMP() AS TIME_EXEC FROM "&amp;I435,
IF(C435="Not applicable",+"SELECT '"&amp;UPPER(B435)&amp;"' AS TABELA, '"&amp;UPPER(C435)&amp;"' AS TIPOLOGIA_TESTE,'"&amp;D435&amp;"' AS TABELA_LT,'N/A' AS TABELA_SIMUL,'"&amp;F435&amp;"' AS CAMPO, "&amp;"'${ref_date}' AS REF_DATE, COUNT(*) AS NUM_REG, SUM(IF(TRIM(CAST(X."&amp;F435&amp;" AS STRING)) IN ('N/A','11111111111','11111111111.00','11111111111.000000','1111-11-11'),1,0)) AS NUM_REG_DIF,'"&amp;MAX('ID1&amp;5'!K:K)+1&amp;"' AS ID_EXEC, CURRENT_TIMESTAMP() AS TIME_EXEC FROM "&amp;I435,
IF(C435="Valores extremos",+"SELECT '"&amp;UPPER(B435)&amp;"' AS TABELA, '"&amp;UPPER(C435)&amp;"' AS TIPOLOGIA_TESTE,'"&amp;D435&amp;"' AS TABELA_LT,'N/A' AS TABELA_SIMUL,'"&amp;F435&amp;"' AS CAMPO, "&amp;"'${ref_date}' AS REF_DATE, CAST(MIN("&amp;F435&amp;") AS STRING) AS VALOR_MIN, CAST(MAX("&amp;F435&amp;") AS STRING) AS VALOR_MAX,'"&amp;MAX('ID1&amp;5'!K:K)+1&amp;"' AS ID_EXEC, CURRENT_TIMESTAMP() AS TIME_EXEC FROM "&amp;MID(I435,1,LEN(I435)-2)&amp;" AND CAST("&amp;F435&amp;"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TABELA_SIMUL,'gdwill' AS CAMPO, '${ref_date}' AS REF_DATE, COUNT(*) AS NUM_REG, SUM(IF(COALESCE(CAST(X.gdwill AS STRING),'')&lt;&gt;COALESCE(CAST(Y.gdwill_SIMUL AS STRING),'') OR (X.gdwill IS NULL AND Y.gdwill_SIMUL IS NOT NULL ) OR (X.gdwill IS NOT NULL AND Y.gdwill_SIMUL IS NULL),1,0)) AS NUM_REG_DIF,'1' AS ID_EXEC, CURRENT_TIMESTAMP() AS TIME_EXEC FROM (SELECT entty_id, gdwill FROM BU_LOANTAPE_WORK.LT003_ENTITY WHERE ref_date='${ref_date}' AND nome_perimetro='Individual Local' AND segmento='ESTR' AND ambito='SRB_MBDT' AND entidade='00100')X INNER JOIN (SELECT entty_id AS entty_id_SIMUL, gdwill AS gdwill_SIMUL FROM BU_LOANTAPE_WORK.SIMUL_LT003_ENTITY WHERE ref_date='${ref_date}' AND nome_perimetro='Individual Local' AND segmento='ESTR' AND ambito='PILAR3' AND entidade='00100')Y ON X.ENTTY_ID=Y.ENTTY_ID_SIMUL</v>
      </c>
      <c r="M435" s="36" t="str">
        <f t="shared" si="9"/>
        <v>UNION ALL SELECT 'ENTITY' AS TABELA, 'COERÊNCIA' AS TIPOLOGIA_TESTE,'BU_LOANTAPE_WORK.LT003_ENTITY' AS TABELA_LT,'BU_LOANTAPE_WORK.SIMUL_LT003_ENTITY' AS TABELA_SIMUL,'gdwill' AS CAMPO, '${ref_date}' AS REF_DATE, COUNT(*) AS NUM_REG, SUM(IF(COALESCE(CAST(X.gdwill AS STRING),'')&lt;&gt;COALESCE(CAST(Y.gdwill_SIMUL AS STRING),'') OR (X.gdwill IS NULL AND Y.gdwill_SIMUL IS NOT NULL ) OR (X.gdwill IS NOT NULL AND Y.gdwill_SIMUL IS NULL),1,0)) AS NUM_REG_DIF,'1' AS ID_EXEC, CURRENT_TIMESTAMP() AS TIME_EXEC FROM (SELECT entty_id, gdwill FROM BU_LOANTAPE_WORK.LT003_ENTITY WHERE ref_date='${ref_date}' AND nome_perimetro='Individual Local' AND segmento='ESTR' AND ambito='SRB_MBDT' AND entidade='00100')X INNER JOIN (SELECT entty_id AS entty_id_SIMUL, gdwill AS gdwill_SIMUL FROM BU_LOANTAPE_WORK.SIMUL_LT003_ENTITY WHERE ref_date='${ref_date}' AND nome_perimetro='Individual Local' AND segmento='ESTR' AND ambito='PILAR3' AND entidade='00100')Y ON X.ENTTY_ID=Y.ENTTY_ID_SIMUL</v>
      </c>
    </row>
    <row r="436" spans="2:13">
      <c r="B436" s="34" t="s">
        <v>118</v>
      </c>
      <c r="C436" s="34" t="s">
        <v>5</v>
      </c>
      <c r="D436" s="34" t="str">
        <f>+UPPER('0. Instruções'!$D$35&amp;"."&amp;VLOOKUP(B436,'0. Instruções'!$C$27:$D$32,2,FALSE))</f>
        <v>BU_LOANTAPE_WORK.LT003_ENTITY</v>
      </c>
      <c r="E436" s="34" t="str">
        <f>+UPPER('0. Instruções'!$D$36&amp;"."&amp;VLOOKUP(B436,'0. Instruções'!$C$27:$E$32,3,FALSE))</f>
        <v>BU_LOANTAPE_WORK.SIMUL_LT003_ENTITY</v>
      </c>
      <c r="F436" s="34" t="s">
        <v>1458</v>
      </c>
      <c r="G436" s="34"/>
      <c r="H436" s="34"/>
      <c r="I436" s="34" t="str">
        <f>"(SELECT "&amp;VLOOKUP(B436,'0. Instruções'!$C$27:$G$32,4,FALSE)&amp;", "&amp;F436&amp;" FROM "&amp;D436&amp;" WHERE "&amp;'0. Instruções'!$D$42&amp;")X"</f>
        <v>(SELECT entty_id, gdwill_prvs FROM BU_LOANTAPE_WORK.LT003_ENTITY WHERE ref_date='${ref_date}' AND nome_perimetro='Individual Local' AND segmento='ESTR' AND ambito='SRB_MBDT' AND entidade='00100')X</v>
      </c>
      <c r="J436" s="34" t="str">
        <f>"(SELECT "&amp;VLOOKUP(B436,'0. Instruções'!$C$27:$G$32,4,FALSE)&amp;" AS "&amp;VLOOKUP(B436,'0. Instruções'!$C$27:$G$32,4,FALSE)&amp;"_SIMUL, "&amp;F436&amp;" AS "&amp;F436&amp;"_SIMUL FROM "&amp;E436&amp;" WHERE "&amp;'0. Instruções'!$D$43&amp;")Y"</f>
        <v>(SELECT entty_id AS entty_id_SIMUL, gdwill_prvs AS gdwill_prvs_SIMUL FROM BU_LOANTAPE_WORK.SIMUL_LT003_ENTITY WHERE ref_date='${ref_date}' AND nome_perimetro='Individual Local' AND segmento='ESTR' AND ambito='PILAR3' AND entidade='00100')Y</v>
      </c>
      <c r="K436" s="35" t="str">
        <f>+UPPER("ON X."&amp;VLOOKUP(B436,'0. Instruções'!$C$27:$G$32,4,FALSE)&amp;"=Y."&amp;VLOOKUP(B436,'0. Instruções'!$C$27:$G$32,4,FALSE)&amp;"_SIMUL")</f>
        <v>ON X.ENTTY_ID=Y.ENTTY_ID_SIMUL</v>
      </c>
      <c r="L436" s="35" t="str">
        <f>+IF(C436="Coerência", +IF(LEFT(G436,5)="FLOAT","SELECT '"&amp;UPPER(B436)&amp;"' AS TABELA, '"&amp;UPPER(C436)&amp;"' AS TIPOLOGIA_TESTE,'"&amp;D436&amp;"' AS TABELA_LT,'"&amp;E436&amp;"' AS TABELA_SIMUL,'"&amp;F436&amp;"' AS CAMPO, "&amp;"'${ref_date}' AS REF_DATE, COUNT(*) AS NUM_REG, SUM(IF((ABS(COALESCE(CAST(X."&amp;F436&amp;" AS DECIMAL(18,6)),0)-COALESCE(CAST(Y."&amp;F436&amp;"_SIMUL AS DECIMAL(18,6)),0))&gt;0.000001) OR (X."&amp;F436&amp;" IS NULL AND Y."&amp;F436&amp;"_SIMUL IS NOT NULL ) OR (X."&amp;F436&amp;" IS NOT NULL AND Y."&amp;F436&amp;"_SIMUL IS NULL),1,0)) AS NUM_REG_DIF,'"&amp;MAX('ID1&amp;5'!K:K)+1&amp;"' AS ID_EXEC, CURRENT_TIMESTAMP() AS TIME_EXEC FROM "&amp;I436&amp;" INNER JOIN "&amp;J436&amp;" "&amp;K436,"SELECT '"&amp;UPPER(B436)&amp;"' AS TABELA, '"&amp;UPPER(C436)&amp;"' AS TIPOLOGIA_TESTE,'"&amp;D436&amp;"' AS TABELA_LT,'"&amp;E436&amp;"' AS TABELA_SIMUL,'"&amp;F436&amp;"' AS CAMPO, "&amp;"'${ref_date}' AS REF_DATE, COUNT(*) AS NUM_REG, SUM(IF(COALESCE(CAST(X."&amp;F436&amp;" AS STRING),'')&lt;&gt;COALESCE(CAST(Y."&amp;F436&amp;"_SIMUL AS STRING),'') OR (X."&amp;F436&amp;" IS NULL AND Y."&amp;F436&amp;"_SIMUL IS NOT NULL ) OR (X."&amp;F436&amp;" IS NOT NULL AND Y."&amp;F436&amp;"_SIMUL IS NULL),1,0)) AS NUM_REG_DIF,'"&amp;MAX('ID1&amp;5'!L:L)+1&amp;"' AS ID_EXEC, CURRENT_TIMESTAMP() AS TIME_EXEC FROM "&amp;I436&amp;" INNER JOIN "&amp;J436&amp;" "&amp;K436),
IF(C436="Validade",+IF(G436="Code List","SELECT '"&amp;UPPER(B436)&amp;"' AS TABELA, '"&amp;UPPER(C436)&amp;"' AS TIPOLOGIA_TESTE,'"&amp;D436&amp;"' AS TABELA_LT,'N/A' AS TABELA_SIMUL,'"&amp;F436&amp;"' AS CAMPO, "&amp;"'${ref_date}' AS REF_DATE, COUNT(*) AS NUM_REG, SUM(IF(TRIM(CAST(X."&amp;F436&amp;" AS STRING))='' OR TRIM(CAST(X."&amp;F436&amp;" AS STRING)) IS NULL OR CAST(X."&amp;F436&amp;" AS STRING) NOT "&amp;H436&amp;",1,0)) AS NUM_REG_DIF,'"&amp;MAX('ID1&amp;5'!K:K)+1&amp;"' AS ID_EXEC, CURRENT_TIMESTAMP() AS TIME_EXEC FROM "&amp;I436,"SELECT '"&amp;UPPER(B436)&amp;"' AS TABELA, '"&amp;UPPER(C436)&amp;"' AS TIPOLOGIA_TESTE,'"&amp;D436&amp;"' AS TABELA_LT,'N/A' AS TABELA_SIMUL,'"&amp;F436&amp;"' AS CAMPO, "&amp;"'${ref_date}' AS REF_DATE, COUNT(*) AS NUM_REG, SUM(IF(TRIM(CAST(X."&amp;F436&amp;" AS STRING))='' OR TRIM(CAST(X."&amp;F436&amp;" AS STRING)) IS NULL,1,0)) AS NUM_REG_DIF,'"&amp;MAX('ID1&amp;5'!K:K)+1&amp;"' AS ID_EXEC, CURRENT_TIMESTAMP() AS TIME_EXEC FROM "&amp;I436),
IF(C436="Caracteres Especiais",+"SELECT '"&amp;UPPER(B436)&amp;"' AS TABELA, '"&amp;UPPER(C436)&amp;"' AS TIPOLOGIA_TESTE,'"&amp;D436&amp;"' AS TABELA_LT,'N/A' AS TABELA_SIMUL,'"&amp;F436&amp;"' AS CAMPO, "&amp;"'${ref_date}' AS REF_DATE, COUNT(*) AS NUM_REG, SUM(IF(REGEXP_REPLACE(TRIM(CAST(X."&amp;F436&amp;" AS STRING)),'[^a-zA-Z0-9_\\s]','') &lt;&gt;TRIM(CAST(X."&amp;F436&amp;" AS STRING)),1,0)) AS NUM_REG_DIF,'"&amp;MAX('ID1&amp;5'!K:K)+1&amp;"' AS ID_EXEC, CURRENT_TIMESTAMP() AS TIME_EXEC FROM "&amp;I436,
IF(C436="Missings",+"SELECT '"&amp;UPPER(B436)&amp;"' AS TABELA, '"&amp;UPPER(C436)&amp;"' AS TIPOLOGIA_TESTE,'"&amp;D436&amp;"' AS TABELA_LT,'N/A' AS TABELA_SIMUL,'"&amp;F436&amp;"' AS CAMPO, "&amp;"'${ref_date}' AS REF_DATE, COUNT(*) AS NUM_REG, SUM(IF(TRIM(CAST(X."&amp;F436&amp;" AS STRING)) IN ('0000-00-00','0001-01-01','9999-12-31','MISS','00000','99999999999','99999999999.00','99999999999.000000'),1,0)) AS NUM_REG_DIF,'"&amp;MAX('ID1&amp;5'!K:K)+1&amp;"' AS ID_EXEC, CURRENT_TIMESTAMP() AS TIME_EXEC FROM "&amp;I436,
IF(C436="Not applicable",+"SELECT '"&amp;UPPER(B436)&amp;"' AS TABELA, '"&amp;UPPER(C436)&amp;"' AS TIPOLOGIA_TESTE,'"&amp;D436&amp;"' AS TABELA_LT,'N/A' AS TABELA_SIMUL,'"&amp;F436&amp;"' AS CAMPO, "&amp;"'${ref_date}' AS REF_DATE, COUNT(*) AS NUM_REG, SUM(IF(TRIM(CAST(X."&amp;F436&amp;" AS STRING)) IN ('N/A','11111111111','11111111111.00','11111111111.000000','1111-11-11'),1,0)) AS NUM_REG_DIF,'"&amp;MAX('ID1&amp;5'!K:K)+1&amp;"' AS ID_EXEC, CURRENT_TIMESTAMP() AS TIME_EXEC FROM "&amp;I436,
IF(C436="Valores extremos",+"SELECT '"&amp;UPPER(B436)&amp;"' AS TABELA, '"&amp;UPPER(C436)&amp;"' AS TIPOLOGIA_TESTE,'"&amp;D436&amp;"' AS TABELA_LT,'N/A' AS TABELA_SIMUL,'"&amp;F436&amp;"' AS CAMPO, "&amp;"'${ref_date}' AS REF_DATE, CAST(MIN("&amp;F436&amp;") AS STRING) AS VALOR_MIN, CAST(MAX("&amp;F436&amp;") AS STRING) AS VALOR_MAX,'"&amp;MAX('ID1&amp;5'!K:K)+1&amp;"' AS ID_EXEC, CURRENT_TIMESTAMP() AS TIME_EXEC FROM "&amp;MID(I436,1,LEN(I436)-2)&amp;" AND CAST("&amp;F436&amp;"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TABELA_SIMUL,'gdwill_prvs' AS CAMPO, '${ref_date}' AS REF_DATE, COUNT(*) AS NUM_REG, SUM(IF(COALESCE(CAST(X.gdwill_prvs AS STRING),'')&lt;&gt;COALESCE(CAST(Y.gdwill_prvs_SIMUL AS STRING),'') OR (X.gdwill_prvs IS NULL AND Y.gdwill_prvs_SIMUL IS NOT NULL ) OR (X.gdwill_prvs IS NOT NULL AND Y.gdwill_prvs_SIMUL IS NULL),1,0)) AS NUM_REG_DIF,'1' AS ID_EXEC, CURRENT_TIMESTAMP() AS TIME_EXEC FROM (SELECT entty_id, gdwill_prvs FROM BU_LOANTAPE_WORK.LT003_ENTITY WHERE ref_date='${ref_date}' AND nome_perimetro='Individual Local' AND segmento='ESTR' AND ambito='SRB_MBDT' AND entidade='00100')X INNER JOIN (SELECT entty_id AS entty_id_SIMUL, gdwill_prvs AS gdwill_prvs_SIMUL FROM BU_LOANTAPE_WORK.SIMUL_LT003_ENTITY WHERE ref_date='${ref_date}' AND nome_perimetro='Individual Local' AND segmento='ESTR' AND ambito='PILAR3' AND entidade='00100')Y ON X.ENTTY_ID=Y.ENTTY_ID_SIMUL</v>
      </c>
      <c r="M436" s="36" t="str">
        <f t="shared" si="9"/>
        <v>UNION ALL SELECT 'ENTITY' AS TABELA, 'COERÊNCIA' AS TIPOLOGIA_TESTE,'BU_LOANTAPE_WORK.LT003_ENTITY' AS TABELA_LT,'BU_LOANTAPE_WORK.SIMUL_LT003_ENTITY' AS TABELA_SIMUL,'gdwill_prvs' AS CAMPO, '${ref_date}' AS REF_DATE, COUNT(*) AS NUM_REG, SUM(IF(COALESCE(CAST(X.gdwill_prvs AS STRING),'')&lt;&gt;COALESCE(CAST(Y.gdwill_prvs_SIMUL AS STRING),'') OR (X.gdwill_prvs IS NULL AND Y.gdwill_prvs_SIMUL IS NOT NULL ) OR (X.gdwill_prvs IS NOT NULL AND Y.gdwill_prvs_SIMUL IS NULL),1,0)) AS NUM_REG_DIF,'1' AS ID_EXEC, CURRENT_TIMESTAMP() AS TIME_EXEC FROM (SELECT entty_id, gdwill_prvs FROM BU_LOANTAPE_WORK.LT003_ENTITY WHERE ref_date='${ref_date}' AND nome_perimetro='Individual Local' AND segmento='ESTR' AND ambito='SRB_MBDT' AND entidade='00100')X INNER JOIN (SELECT entty_id AS entty_id_SIMUL, gdwill_prvs AS gdwill_prvs_SIMUL FROM BU_LOANTAPE_WORK.SIMUL_LT003_ENTITY WHERE ref_date='${ref_date}' AND nome_perimetro='Individual Local' AND segmento='ESTR' AND ambito='PILAR3' AND entidade='00100')Y ON X.ENTTY_ID=Y.ENTTY_ID_SIMUL</v>
      </c>
    </row>
    <row r="437" spans="2:13">
      <c r="B437" s="34" t="s">
        <v>118</v>
      </c>
      <c r="C437" s="34" t="s">
        <v>5</v>
      </c>
      <c r="D437" s="34" t="str">
        <f>+UPPER('0. Instruções'!$D$35&amp;"."&amp;VLOOKUP(B437,'0. Instruções'!$C$27:$D$32,2,FALSE))</f>
        <v>BU_LOANTAPE_WORK.LT003_ENTITY</v>
      </c>
      <c r="E437" s="34" t="str">
        <f>+UPPER('0. Instruções'!$D$36&amp;"."&amp;VLOOKUP(B437,'0. Instruções'!$C$27:$E$32,3,FALSE))</f>
        <v>BU_LOANTAPE_WORK.SIMUL_LT003_ENTITY</v>
      </c>
      <c r="F437" s="34" t="s">
        <v>1459</v>
      </c>
      <c r="G437" s="34"/>
      <c r="H437" s="34"/>
      <c r="I437" s="34" t="str">
        <f>"(SELECT "&amp;VLOOKUP(B437,'0. Instruções'!$C$27:$G$32,4,FALSE)&amp;", "&amp;F437&amp;" FROM "&amp;D437&amp;" WHERE "&amp;'0. Instruções'!$D$42&amp;")X"</f>
        <v>(SELECT entty_id, lti FROM BU_LOANTAPE_WORK.LT003_ENTITY WHERE ref_date='${ref_date}' AND nome_perimetro='Individual Local' AND segmento='ESTR' AND ambito='SRB_MBDT' AND entidade='00100')X</v>
      </c>
      <c r="J437" s="34" t="str">
        <f>"(SELECT "&amp;VLOOKUP(B437,'0. Instruções'!$C$27:$G$32,4,FALSE)&amp;" AS "&amp;VLOOKUP(B437,'0. Instruções'!$C$27:$G$32,4,FALSE)&amp;"_SIMUL, "&amp;F437&amp;" AS "&amp;F437&amp;"_SIMUL FROM "&amp;E437&amp;" WHERE "&amp;'0. Instruções'!$D$43&amp;")Y"</f>
        <v>(SELECT entty_id AS entty_id_SIMUL, lti AS lti_SIMUL FROM BU_LOANTAPE_WORK.SIMUL_LT003_ENTITY WHERE ref_date='${ref_date}' AND nome_perimetro='Individual Local' AND segmento='ESTR' AND ambito='PILAR3' AND entidade='00100')Y</v>
      </c>
      <c r="K437" s="35" t="str">
        <f>+UPPER("ON X."&amp;VLOOKUP(B437,'0. Instruções'!$C$27:$G$32,4,FALSE)&amp;"=Y."&amp;VLOOKUP(B437,'0. Instruções'!$C$27:$G$32,4,FALSE)&amp;"_SIMUL")</f>
        <v>ON X.ENTTY_ID=Y.ENTTY_ID_SIMUL</v>
      </c>
      <c r="L437" s="35" t="str">
        <f>+IF(C437="Coerência", +IF(LEFT(G437,5)="FLOAT","SELECT '"&amp;UPPER(B437)&amp;"' AS TABELA, '"&amp;UPPER(C437)&amp;"' AS TIPOLOGIA_TESTE,'"&amp;D437&amp;"' AS TABELA_LT,'"&amp;E437&amp;"' AS TABELA_SIMUL,'"&amp;F437&amp;"' AS CAMPO, "&amp;"'${ref_date}' AS REF_DATE, COUNT(*) AS NUM_REG, SUM(IF((ABS(COALESCE(CAST(X."&amp;F437&amp;" AS DECIMAL(18,6)),0)-COALESCE(CAST(Y."&amp;F437&amp;"_SIMUL AS DECIMAL(18,6)),0))&gt;0.000001) OR (X."&amp;F437&amp;" IS NULL AND Y."&amp;F437&amp;"_SIMUL IS NOT NULL ) OR (X."&amp;F437&amp;" IS NOT NULL AND Y."&amp;F437&amp;"_SIMUL IS NULL),1,0)) AS NUM_REG_DIF,'"&amp;MAX('ID1&amp;5'!K:K)+1&amp;"' AS ID_EXEC, CURRENT_TIMESTAMP() AS TIME_EXEC FROM "&amp;I437&amp;" INNER JOIN "&amp;J437&amp;" "&amp;K437,"SELECT '"&amp;UPPER(B437)&amp;"' AS TABELA, '"&amp;UPPER(C437)&amp;"' AS TIPOLOGIA_TESTE,'"&amp;D437&amp;"' AS TABELA_LT,'"&amp;E437&amp;"' AS TABELA_SIMUL,'"&amp;F437&amp;"' AS CAMPO, "&amp;"'${ref_date}' AS REF_DATE, COUNT(*) AS NUM_REG, SUM(IF(COALESCE(CAST(X."&amp;F437&amp;" AS STRING),'')&lt;&gt;COALESCE(CAST(Y."&amp;F437&amp;"_SIMUL AS STRING),'') OR (X."&amp;F437&amp;" IS NULL AND Y."&amp;F437&amp;"_SIMUL IS NOT NULL ) OR (X."&amp;F437&amp;" IS NOT NULL AND Y."&amp;F437&amp;"_SIMUL IS NULL),1,0)) AS NUM_REG_DIF,'"&amp;MAX('ID1&amp;5'!L:L)+1&amp;"' AS ID_EXEC, CURRENT_TIMESTAMP() AS TIME_EXEC FROM "&amp;I437&amp;" INNER JOIN "&amp;J437&amp;" "&amp;K437),
IF(C437="Validade",+IF(G437="Code List","SELECT '"&amp;UPPER(B437)&amp;"' AS TABELA, '"&amp;UPPER(C437)&amp;"' AS TIPOLOGIA_TESTE,'"&amp;D437&amp;"' AS TABELA_LT,'N/A' AS TABELA_SIMUL,'"&amp;F437&amp;"' AS CAMPO, "&amp;"'${ref_date}' AS REF_DATE, COUNT(*) AS NUM_REG, SUM(IF(TRIM(CAST(X."&amp;F437&amp;" AS STRING))='' OR TRIM(CAST(X."&amp;F437&amp;" AS STRING)) IS NULL OR CAST(X."&amp;F437&amp;" AS STRING) NOT "&amp;H437&amp;",1,0)) AS NUM_REG_DIF,'"&amp;MAX('ID1&amp;5'!K:K)+1&amp;"' AS ID_EXEC, CURRENT_TIMESTAMP() AS TIME_EXEC FROM "&amp;I437,"SELECT '"&amp;UPPER(B437)&amp;"' AS TABELA, '"&amp;UPPER(C437)&amp;"' AS TIPOLOGIA_TESTE,'"&amp;D437&amp;"' AS TABELA_LT,'N/A' AS TABELA_SIMUL,'"&amp;F437&amp;"' AS CAMPO, "&amp;"'${ref_date}' AS REF_DATE, COUNT(*) AS NUM_REG, SUM(IF(TRIM(CAST(X."&amp;F437&amp;" AS STRING))='' OR TRIM(CAST(X."&amp;F437&amp;" AS STRING)) IS NULL,1,0)) AS NUM_REG_DIF,'"&amp;MAX('ID1&amp;5'!K:K)+1&amp;"' AS ID_EXEC, CURRENT_TIMESTAMP() AS TIME_EXEC FROM "&amp;I437),
IF(C437="Caracteres Especiais",+"SELECT '"&amp;UPPER(B437)&amp;"' AS TABELA, '"&amp;UPPER(C437)&amp;"' AS TIPOLOGIA_TESTE,'"&amp;D437&amp;"' AS TABELA_LT,'N/A' AS TABELA_SIMUL,'"&amp;F437&amp;"' AS CAMPO, "&amp;"'${ref_date}' AS REF_DATE, COUNT(*) AS NUM_REG, SUM(IF(REGEXP_REPLACE(TRIM(CAST(X."&amp;F437&amp;" AS STRING)),'[^a-zA-Z0-9_\\s]','') &lt;&gt;TRIM(CAST(X."&amp;F437&amp;" AS STRING)),1,0)) AS NUM_REG_DIF,'"&amp;MAX('ID1&amp;5'!K:K)+1&amp;"' AS ID_EXEC, CURRENT_TIMESTAMP() AS TIME_EXEC FROM "&amp;I437,
IF(C437="Missings",+"SELECT '"&amp;UPPER(B437)&amp;"' AS TABELA, '"&amp;UPPER(C437)&amp;"' AS TIPOLOGIA_TESTE,'"&amp;D437&amp;"' AS TABELA_LT,'N/A' AS TABELA_SIMUL,'"&amp;F437&amp;"' AS CAMPO, "&amp;"'${ref_date}' AS REF_DATE, COUNT(*) AS NUM_REG, SUM(IF(TRIM(CAST(X."&amp;F437&amp;" AS STRING)) IN ('0000-00-00','0001-01-01','9999-12-31','MISS','00000','99999999999','99999999999.00','99999999999.000000'),1,0)) AS NUM_REG_DIF,'"&amp;MAX('ID1&amp;5'!K:K)+1&amp;"' AS ID_EXEC, CURRENT_TIMESTAMP() AS TIME_EXEC FROM "&amp;I437,
IF(C437="Not applicable",+"SELECT '"&amp;UPPER(B437)&amp;"' AS TABELA, '"&amp;UPPER(C437)&amp;"' AS TIPOLOGIA_TESTE,'"&amp;D437&amp;"' AS TABELA_LT,'N/A' AS TABELA_SIMUL,'"&amp;F437&amp;"' AS CAMPO, "&amp;"'${ref_date}' AS REF_DATE, COUNT(*) AS NUM_REG, SUM(IF(TRIM(CAST(X."&amp;F437&amp;" AS STRING)) IN ('N/A','11111111111','11111111111.00','11111111111.000000','1111-11-11'),1,0)) AS NUM_REG_DIF,'"&amp;MAX('ID1&amp;5'!K:K)+1&amp;"' AS ID_EXEC, CURRENT_TIMESTAMP() AS TIME_EXEC FROM "&amp;I437,
IF(C437="Valores extremos",+"SELECT '"&amp;UPPER(B437)&amp;"' AS TABELA, '"&amp;UPPER(C437)&amp;"' AS TIPOLOGIA_TESTE,'"&amp;D437&amp;"' AS TABELA_LT,'N/A' AS TABELA_SIMUL,'"&amp;F437&amp;"' AS CAMPO, "&amp;"'${ref_date}' AS REF_DATE, CAST(MIN("&amp;F437&amp;") AS STRING) AS VALOR_MIN, CAST(MAX("&amp;F437&amp;") AS STRING) AS VALOR_MAX,'"&amp;MAX('ID1&amp;5'!K:K)+1&amp;"' AS ID_EXEC, CURRENT_TIMESTAMP() AS TIME_EXEC FROM "&amp;MID(I437,1,LEN(I437)-2)&amp;" AND CAST("&amp;F437&amp;"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TABELA_SIMUL,'lti' AS CAMPO, '${ref_date}' AS REF_DATE, COUNT(*) AS NUM_REG, SUM(IF(COALESCE(CAST(X.lti AS STRING),'')&lt;&gt;COALESCE(CAST(Y.lti_SIMUL AS STRING),'') OR (X.lti IS NULL AND Y.lti_SIMUL IS NOT NULL ) OR (X.lti IS NOT NULL AND Y.lti_SIMUL IS NULL),1,0)) AS NUM_REG_DIF,'1' AS ID_EXEC, CURRENT_TIMESTAMP() AS TIME_EXEC FROM (SELECT entty_id, lti FROM BU_LOANTAPE_WORK.LT003_ENTITY WHERE ref_date='${ref_date}' AND nome_perimetro='Individual Local' AND segmento='ESTR' AND ambito='SRB_MBDT' AND entidade='00100')X INNER JOIN (SELECT entty_id AS entty_id_SIMUL, lti AS lti_SIMUL FROM BU_LOANTAPE_WORK.SIMUL_LT003_ENTITY WHERE ref_date='${ref_date}' AND nome_perimetro='Individual Local' AND segmento='ESTR' AND ambito='PILAR3' AND entidade='00100')Y ON X.ENTTY_ID=Y.ENTTY_ID_SIMUL</v>
      </c>
      <c r="M437" s="36" t="str">
        <f t="shared" si="9"/>
        <v>UNION ALL SELECT 'ENTITY' AS TABELA, 'COERÊNCIA' AS TIPOLOGIA_TESTE,'BU_LOANTAPE_WORK.LT003_ENTITY' AS TABELA_LT,'BU_LOANTAPE_WORK.SIMUL_LT003_ENTITY' AS TABELA_SIMUL,'lti' AS CAMPO, '${ref_date}' AS REF_DATE, COUNT(*) AS NUM_REG, SUM(IF(COALESCE(CAST(X.lti AS STRING),'')&lt;&gt;COALESCE(CAST(Y.lti_SIMUL AS STRING),'') OR (X.lti IS NULL AND Y.lti_SIMUL IS NOT NULL ) OR (X.lti IS NOT NULL AND Y.lti_SIMUL IS NULL),1,0)) AS NUM_REG_DIF,'1' AS ID_EXEC, CURRENT_TIMESTAMP() AS TIME_EXEC FROM (SELECT entty_id, lti FROM BU_LOANTAPE_WORK.LT003_ENTITY WHERE ref_date='${ref_date}' AND nome_perimetro='Individual Local' AND segmento='ESTR' AND ambito='SRB_MBDT' AND entidade='00100')X INNER JOIN (SELECT entty_id AS entty_id_SIMUL, lti AS lti_SIMUL FROM BU_LOANTAPE_WORK.SIMUL_LT003_ENTITY WHERE ref_date='${ref_date}' AND nome_perimetro='Individual Local' AND segmento='ESTR' AND ambito='PILAR3' AND entidade='00100')Y ON X.ENTTY_ID=Y.ENTTY_ID_SIMUL</v>
      </c>
    </row>
    <row r="438" spans="2:13">
      <c r="B438" s="34" t="s">
        <v>118</v>
      </c>
      <c r="C438" s="34" t="s">
        <v>5</v>
      </c>
      <c r="D438" s="34" t="str">
        <f>+UPPER('0. Instruções'!$D$35&amp;"."&amp;VLOOKUP(B438,'0. Instruções'!$C$27:$D$32,2,FALSE))</f>
        <v>BU_LOANTAPE_WORK.LT003_ENTITY</v>
      </c>
      <c r="E438" s="34" t="str">
        <f>+UPPER('0. Instruções'!$D$36&amp;"."&amp;VLOOKUP(B438,'0. Instruções'!$C$27:$E$32,3,FALSE))</f>
        <v>BU_LOANTAPE_WORK.SIMUL_LT003_ENTITY</v>
      </c>
      <c r="F438" s="34" t="s">
        <v>1460</v>
      </c>
      <c r="G438" s="34"/>
      <c r="H438" s="34"/>
      <c r="I438" s="34" t="str">
        <f>"(SELECT "&amp;VLOOKUP(B438,'0. Instruções'!$C$27:$G$32,4,FALSE)&amp;", "&amp;F438&amp;" FROM "&amp;D438&amp;" WHERE "&amp;'0. Instruções'!$D$42&amp;")X"</f>
        <v>(SELECT entty_id, lvrg FROM BU_LOANTAPE_WORK.LT003_ENTITY WHERE ref_date='${ref_date}' AND nome_perimetro='Individual Local' AND segmento='ESTR' AND ambito='SRB_MBDT' AND entidade='00100')X</v>
      </c>
      <c r="J438" s="34" t="str">
        <f>"(SELECT "&amp;VLOOKUP(B438,'0. Instruções'!$C$27:$G$32,4,FALSE)&amp;" AS "&amp;VLOOKUP(B438,'0. Instruções'!$C$27:$G$32,4,FALSE)&amp;"_SIMUL, "&amp;F438&amp;" AS "&amp;F438&amp;"_SIMUL FROM "&amp;E438&amp;" WHERE "&amp;'0. Instruções'!$D$43&amp;")Y"</f>
        <v>(SELECT entty_id AS entty_id_SIMUL, lvrg AS lvrg_SIMUL FROM BU_LOANTAPE_WORK.SIMUL_LT003_ENTITY WHERE ref_date='${ref_date}' AND nome_perimetro='Individual Local' AND segmento='ESTR' AND ambito='PILAR3' AND entidade='00100')Y</v>
      </c>
      <c r="K438" s="35" t="str">
        <f>+UPPER("ON X."&amp;VLOOKUP(B438,'0. Instruções'!$C$27:$G$32,4,FALSE)&amp;"=Y."&amp;VLOOKUP(B438,'0. Instruções'!$C$27:$G$32,4,FALSE)&amp;"_SIMUL")</f>
        <v>ON X.ENTTY_ID=Y.ENTTY_ID_SIMUL</v>
      </c>
      <c r="L438" s="35" t="str">
        <f>+IF(C438="Coerência", +IF(LEFT(G438,5)="FLOAT","SELECT '"&amp;UPPER(B438)&amp;"' AS TABELA, '"&amp;UPPER(C438)&amp;"' AS TIPOLOGIA_TESTE,'"&amp;D438&amp;"' AS TABELA_LT,'"&amp;E438&amp;"' AS TABELA_SIMUL,'"&amp;F438&amp;"' AS CAMPO, "&amp;"'${ref_date}' AS REF_DATE, COUNT(*) AS NUM_REG, SUM(IF((ABS(COALESCE(CAST(X."&amp;F438&amp;" AS DECIMAL(18,6)),0)-COALESCE(CAST(Y."&amp;F438&amp;"_SIMUL AS DECIMAL(18,6)),0))&gt;0.000001) OR (X."&amp;F438&amp;" IS NULL AND Y."&amp;F438&amp;"_SIMUL IS NOT NULL ) OR (X."&amp;F438&amp;" IS NOT NULL AND Y."&amp;F438&amp;"_SIMUL IS NULL),1,0)) AS NUM_REG_DIF,'"&amp;MAX('ID1&amp;5'!K:K)+1&amp;"' AS ID_EXEC, CURRENT_TIMESTAMP() AS TIME_EXEC FROM "&amp;I438&amp;" INNER JOIN "&amp;J438&amp;" "&amp;K438,"SELECT '"&amp;UPPER(B438)&amp;"' AS TABELA, '"&amp;UPPER(C438)&amp;"' AS TIPOLOGIA_TESTE,'"&amp;D438&amp;"' AS TABELA_LT,'"&amp;E438&amp;"' AS TABELA_SIMUL,'"&amp;F438&amp;"' AS CAMPO, "&amp;"'${ref_date}' AS REF_DATE, COUNT(*) AS NUM_REG, SUM(IF(COALESCE(CAST(X."&amp;F438&amp;" AS STRING),'')&lt;&gt;COALESCE(CAST(Y."&amp;F438&amp;"_SIMUL AS STRING),'') OR (X."&amp;F438&amp;" IS NULL AND Y."&amp;F438&amp;"_SIMUL IS NOT NULL ) OR (X."&amp;F438&amp;" IS NOT NULL AND Y."&amp;F438&amp;"_SIMUL IS NULL),1,0)) AS NUM_REG_DIF,'"&amp;MAX('ID1&amp;5'!L:L)+1&amp;"' AS ID_EXEC, CURRENT_TIMESTAMP() AS TIME_EXEC FROM "&amp;I438&amp;" INNER JOIN "&amp;J438&amp;" "&amp;K438),
IF(C438="Validade",+IF(G438="Code List","SELECT '"&amp;UPPER(B438)&amp;"' AS TABELA, '"&amp;UPPER(C438)&amp;"' AS TIPOLOGIA_TESTE,'"&amp;D438&amp;"' AS TABELA_LT,'N/A' AS TABELA_SIMUL,'"&amp;F438&amp;"' AS CAMPO, "&amp;"'${ref_date}' AS REF_DATE, COUNT(*) AS NUM_REG, SUM(IF(TRIM(CAST(X."&amp;F438&amp;" AS STRING))='' OR TRIM(CAST(X."&amp;F438&amp;" AS STRING)) IS NULL OR CAST(X."&amp;F438&amp;" AS STRING) NOT "&amp;H438&amp;",1,0)) AS NUM_REG_DIF,'"&amp;MAX('ID1&amp;5'!K:K)+1&amp;"' AS ID_EXEC, CURRENT_TIMESTAMP() AS TIME_EXEC FROM "&amp;I438,"SELECT '"&amp;UPPER(B438)&amp;"' AS TABELA, '"&amp;UPPER(C438)&amp;"' AS TIPOLOGIA_TESTE,'"&amp;D438&amp;"' AS TABELA_LT,'N/A' AS TABELA_SIMUL,'"&amp;F438&amp;"' AS CAMPO, "&amp;"'${ref_date}' AS REF_DATE, COUNT(*) AS NUM_REG, SUM(IF(TRIM(CAST(X."&amp;F438&amp;" AS STRING))='' OR TRIM(CAST(X."&amp;F438&amp;" AS STRING)) IS NULL,1,0)) AS NUM_REG_DIF,'"&amp;MAX('ID1&amp;5'!K:K)+1&amp;"' AS ID_EXEC, CURRENT_TIMESTAMP() AS TIME_EXEC FROM "&amp;I438),
IF(C438="Caracteres Especiais",+"SELECT '"&amp;UPPER(B438)&amp;"' AS TABELA, '"&amp;UPPER(C438)&amp;"' AS TIPOLOGIA_TESTE,'"&amp;D438&amp;"' AS TABELA_LT,'N/A' AS TABELA_SIMUL,'"&amp;F438&amp;"' AS CAMPO, "&amp;"'${ref_date}' AS REF_DATE, COUNT(*) AS NUM_REG, SUM(IF(REGEXP_REPLACE(TRIM(CAST(X."&amp;F438&amp;" AS STRING)),'[^a-zA-Z0-9_\\s]','') &lt;&gt;TRIM(CAST(X."&amp;F438&amp;" AS STRING)),1,0)) AS NUM_REG_DIF,'"&amp;MAX('ID1&amp;5'!K:K)+1&amp;"' AS ID_EXEC, CURRENT_TIMESTAMP() AS TIME_EXEC FROM "&amp;I438,
IF(C438="Missings",+"SELECT '"&amp;UPPER(B438)&amp;"' AS TABELA, '"&amp;UPPER(C438)&amp;"' AS TIPOLOGIA_TESTE,'"&amp;D438&amp;"' AS TABELA_LT,'N/A' AS TABELA_SIMUL,'"&amp;F438&amp;"' AS CAMPO, "&amp;"'${ref_date}' AS REF_DATE, COUNT(*) AS NUM_REG, SUM(IF(TRIM(CAST(X."&amp;F438&amp;" AS STRING)) IN ('0000-00-00','0001-01-01','9999-12-31','MISS','00000','99999999999','99999999999.00','99999999999.000000'),1,0)) AS NUM_REG_DIF,'"&amp;MAX('ID1&amp;5'!K:K)+1&amp;"' AS ID_EXEC, CURRENT_TIMESTAMP() AS TIME_EXEC FROM "&amp;I438,
IF(C438="Not applicable",+"SELECT '"&amp;UPPER(B438)&amp;"' AS TABELA, '"&amp;UPPER(C438)&amp;"' AS TIPOLOGIA_TESTE,'"&amp;D438&amp;"' AS TABELA_LT,'N/A' AS TABELA_SIMUL,'"&amp;F438&amp;"' AS CAMPO, "&amp;"'${ref_date}' AS REF_DATE, COUNT(*) AS NUM_REG, SUM(IF(TRIM(CAST(X."&amp;F438&amp;" AS STRING)) IN ('N/A','11111111111','11111111111.00','11111111111.000000','1111-11-11'),1,0)) AS NUM_REG_DIF,'"&amp;MAX('ID1&amp;5'!K:K)+1&amp;"' AS ID_EXEC, CURRENT_TIMESTAMP() AS TIME_EXEC FROM "&amp;I438,
IF(C438="Valores extremos",+"SELECT '"&amp;UPPER(B438)&amp;"' AS TABELA, '"&amp;UPPER(C438)&amp;"' AS TIPOLOGIA_TESTE,'"&amp;D438&amp;"' AS TABELA_LT,'N/A' AS TABELA_SIMUL,'"&amp;F438&amp;"' AS CAMPO, "&amp;"'${ref_date}' AS REF_DATE, CAST(MIN("&amp;F438&amp;") AS STRING) AS VALOR_MIN, CAST(MAX("&amp;F438&amp;") AS STRING) AS VALOR_MAX,'"&amp;MAX('ID1&amp;5'!K:K)+1&amp;"' AS ID_EXEC, CURRENT_TIMESTAMP() AS TIME_EXEC FROM "&amp;MID(I438,1,LEN(I438)-2)&amp;" AND CAST("&amp;F438&amp;"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TABELA_SIMUL,'lvrg' AS CAMPO, '${ref_date}' AS REF_DATE, COUNT(*) AS NUM_REG, SUM(IF(COALESCE(CAST(X.lvrg AS STRING),'')&lt;&gt;COALESCE(CAST(Y.lvrg_SIMUL AS STRING),'') OR (X.lvrg IS NULL AND Y.lvrg_SIMUL IS NOT NULL ) OR (X.lvrg IS NOT NULL AND Y.lvrg_SIMUL IS NULL),1,0)) AS NUM_REG_DIF,'1' AS ID_EXEC, CURRENT_TIMESTAMP() AS TIME_EXEC FROM (SELECT entty_id, lvrg FROM BU_LOANTAPE_WORK.LT003_ENTITY WHERE ref_date='${ref_date}' AND nome_perimetro='Individual Local' AND segmento='ESTR' AND ambito='SRB_MBDT' AND entidade='00100')X INNER JOIN (SELECT entty_id AS entty_id_SIMUL, lvrg AS lvrg_SIMUL FROM BU_LOANTAPE_WORK.SIMUL_LT003_ENTITY WHERE ref_date='${ref_date}' AND nome_perimetro='Individual Local' AND segmento='ESTR' AND ambito='PILAR3' AND entidade='00100')Y ON X.ENTTY_ID=Y.ENTTY_ID_SIMUL</v>
      </c>
      <c r="M438" s="36" t="str">
        <f t="shared" si="9"/>
        <v>UNION ALL SELECT 'ENTITY' AS TABELA, 'COERÊNCIA' AS TIPOLOGIA_TESTE,'BU_LOANTAPE_WORK.LT003_ENTITY' AS TABELA_LT,'BU_LOANTAPE_WORK.SIMUL_LT003_ENTITY' AS TABELA_SIMUL,'lvrg' AS CAMPO, '${ref_date}' AS REF_DATE, COUNT(*) AS NUM_REG, SUM(IF(COALESCE(CAST(X.lvrg AS STRING),'')&lt;&gt;COALESCE(CAST(Y.lvrg_SIMUL AS STRING),'') OR (X.lvrg IS NULL AND Y.lvrg_SIMUL IS NOT NULL ) OR (X.lvrg IS NOT NULL AND Y.lvrg_SIMUL IS NULL),1,0)) AS NUM_REG_DIF,'1' AS ID_EXEC, CURRENT_TIMESTAMP() AS TIME_EXEC FROM (SELECT entty_id, lvrg FROM BU_LOANTAPE_WORK.LT003_ENTITY WHERE ref_date='${ref_date}' AND nome_perimetro='Individual Local' AND segmento='ESTR' AND ambito='SRB_MBDT' AND entidade='00100')X INNER JOIN (SELECT entty_id AS entty_id_SIMUL, lvrg AS lvrg_SIMUL FROM BU_LOANTAPE_WORK.SIMUL_LT003_ENTITY WHERE ref_date='${ref_date}' AND nome_perimetro='Individual Local' AND segmento='ESTR' AND ambito='PILAR3' AND entidade='00100')Y ON X.ENTTY_ID=Y.ENTTY_ID_SIMUL</v>
      </c>
    </row>
    <row r="439" spans="2:13">
      <c r="B439" s="34" t="s">
        <v>118</v>
      </c>
      <c r="C439" s="34" t="s">
        <v>5</v>
      </c>
      <c r="D439" s="34" t="str">
        <f>+UPPER('0. Instruções'!$D$35&amp;"."&amp;VLOOKUP(B439,'0. Instruções'!$C$27:$D$32,2,FALSE))</f>
        <v>BU_LOANTAPE_WORK.LT003_ENTITY</v>
      </c>
      <c r="E439" s="34" t="str">
        <f>+UPPER('0. Instruções'!$D$36&amp;"."&amp;VLOOKUP(B439,'0. Instruções'!$C$27:$E$32,3,FALSE))</f>
        <v>BU_LOANTAPE_WORK.SIMUL_LT003_ENTITY</v>
      </c>
      <c r="F439" s="34" t="s">
        <v>1461</v>
      </c>
      <c r="G439" s="34"/>
      <c r="H439" s="34"/>
      <c r="I439" s="34" t="str">
        <f>"(SELECT "&amp;VLOOKUP(B439,'0. Instruções'!$C$27:$G$32,4,FALSE)&amp;", "&amp;F439&amp;" FROM "&amp;D439&amp;" WHERE "&amp;'0. Instruções'!$D$42&amp;")X"</f>
        <v>(SELECT entty_id, lvrg_prvs FROM BU_LOANTAPE_WORK.LT003_ENTITY WHERE ref_date='${ref_date}' AND nome_perimetro='Individual Local' AND segmento='ESTR' AND ambito='SRB_MBDT' AND entidade='00100')X</v>
      </c>
      <c r="J439" s="34" t="str">
        <f>"(SELECT "&amp;VLOOKUP(B439,'0. Instruções'!$C$27:$G$32,4,FALSE)&amp;" AS "&amp;VLOOKUP(B439,'0. Instruções'!$C$27:$G$32,4,FALSE)&amp;"_SIMUL, "&amp;F439&amp;" AS "&amp;F439&amp;"_SIMUL FROM "&amp;E439&amp;" WHERE "&amp;'0. Instruções'!$D$43&amp;")Y"</f>
        <v>(SELECT entty_id AS entty_id_SIMUL, lvrg_prvs AS lvrg_prvs_SIMUL FROM BU_LOANTAPE_WORK.SIMUL_LT003_ENTITY WHERE ref_date='${ref_date}' AND nome_perimetro='Individual Local' AND segmento='ESTR' AND ambito='PILAR3' AND entidade='00100')Y</v>
      </c>
      <c r="K439" s="35" t="str">
        <f>+UPPER("ON X."&amp;VLOOKUP(B439,'0. Instruções'!$C$27:$G$32,4,FALSE)&amp;"=Y."&amp;VLOOKUP(B439,'0. Instruções'!$C$27:$G$32,4,FALSE)&amp;"_SIMUL")</f>
        <v>ON X.ENTTY_ID=Y.ENTTY_ID_SIMUL</v>
      </c>
      <c r="L439" s="35" t="str">
        <f>+IF(C439="Coerência", +IF(LEFT(G439,5)="FLOAT","SELECT '"&amp;UPPER(B439)&amp;"' AS TABELA, '"&amp;UPPER(C439)&amp;"' AS TIPOLOGIA_TESTE,'"&amp;D439&amp;"' AS TABELA_LT,'"&amp;E439&amp;"' AS TABELA_SIMUL,'"&amp;F439&amp;"' AS CAMPO, "&amp;"'${ref_date}' AS REF_DATE, COUNT(*) AS NUM_REG, SUM(IF((ABS(COALESCE(CAST(X."&amp;F439&amp;" AS DECIMAL(18,6)),0)-COALESCE(CAST(Y."&amp;F439&amp;"_SIMUL AS DECIMAL(18,6)),0))&gt;0.000001) OR (X."&amp;F439&amp;" IS NULL AND Y."&amp;F439&amp;"_SIMUL IS NOT NULL ) OR (X."&amp;F439&amp;" IS NOT NULL AND Y."&amp;F439&amp;"_SIMUL IS NULL),1,0)) AS NUM_REG_DIF,'"&amp;MAX('ID1&amp;5'!K:K)+1&amp;"' AS ID_EXEC, CURRENT_TIMESTAMP() AS TIME_EXEC FROM "&amp;I439&amp;" INNER JOIN "&amp;J439&amp;" "&amp;K439,"SELECT '"&amp;UPPER(B439)&amp;"' AS TABELA, '"&amp;UPPER(C439)&amp;"' AS TIPOLOGIA_TESTE,'"&amp;D439&amp;"' AS TABELA_LT,'"&amp;E439&amp;"' AS TABELA_SIMUL,'"&amp;F439&amp;"' AS CAMPO, "&amp;"'${ref_date}' AS REF_DATE, COUNT(*) AS NUM_REG, SUM(IF(COALESCE(CAST(X."&amp;F439&amp;" AS STRING),'')&lt;&gt;COALESCE(CAST(Y."&amp;F439&amp;"_SIMUL AS STRING),'') OR (X."&amp;F439&amp;" IS NULL AND Y."&amp;F439&amp;"_SIMUL IS NOT NULL ) OR (X."&amp;F439&amp;" IS NOT NULL AND Y."&amp;F439&amp;"_SIMUL IS NULL),1,0)) AS NUM_REG_DIF,'"&amp;MAX('ID1&amp;5'!L:L)+1&amp;"' AS ID_EXEC, CURRENT_TIMESTAMP() AS TIME_EXEC FROM "&amp;I439&amp;" INNER JOIN "&amp;J439&amp;" "&amp;K439),
IF(C439="Validade",+IF(G439="Code List","SELECT '"&amp;UPPER(B439)&amp;"' AS TABELA, '"&amp;UPPER(C439)&amp;"' AS TIPOLOGIA_TESTE,'"&amp;D439&amp;"' AS TABELA_LT,'N/A' AS TABELA_SIMUL,'"&amp;F439&amp;"' AS CAMPO, "&amp;"'${ref_date}' AS REF_DATE, COUNT(*) AS NUM_REG, SUM(IF(TRIM(CAST(X."&amp;F439&amp;" AS STRING))='' OR TRIM(CAST(X."&amp;F439&amp;" AS STRING)) IS NULL OR CAST(X."&amp;F439&amp;" AS STRING) NOT "&amp;H439&amp;",1,0)) AS NUM_REG_DIF,'"&amp;MAX('ID1&amp;5'!K:K)+1&amp;"' AS ID_EXEC, CURRENT_TIMESTAMP() AS TIME_EXEC FROM "&amp;I439,"SELECT '"&amp;UPPER(B439)&amp;"' AS TABELA, '"&amp;UPPER(C439)&amp;"' AS TIPOLOGIA_TESTE,'"&amp;D439&amp;"' AS TABELA_LT,'N/A' AS TABELA_SIMUL,'"&amp;F439&amp;"' AS CAMPO, "&amp;"'${ref_date}' AS REF_DATE, COUNT(*) AS NUM_REG, SUM(IF(TRIM(CAST(X."&amp;F439&amp;" AS STRING))='' OR TRIM(CAST(X."&amp;F439&amp;" AS STRING)) IS NULL,1,0)) AS NUM_REG_DIF,'"&amp;MAX('ID1&amp;5'!K:K)+1&amp;"' AS ID_EXEC, CURRENT_TIMESTAMP() AS TIME_EXEC FROM "&amp;I439),
IF(C439="Caracteres Especiais",+"SELECT '"&amp;UPPER(B439)&amp;"' AS TABELA, '"&amp;UPPER(C439)&amp;"' AS TIPOLOGIA_TESTE,'"&amp;D439&amp;"' AS TABELA_LT,'N/A' AS TABELA_SIMUL,'"&amp;F439&amp;"' AS CAMPO, "&amp;"'${ref_date}' AS REF_DATE, COUNT(*) AS NUM_REG, SUM(IF(REGEXP_REPLACE(TRIM(CAST(X."&amp;F439&amp;" AS STRING)),'[^a-zA-Z0-9_\\s]','') &lt;&gt;TRIM(CAST(X."&amp;F439&amp;" AS STRING)),1,0)) AS NUM_REG_DIF,'"&amp;MAX('ID1&amp;5'!K:K)+1&amp;"' AS ID_EXEC, CURRENT_TIMESTAMP() AS TIME_EXEC FROM "&amp;I439,
IF(C439="Missings",+"SELECT '"&amp;UPPER(B439)&amp;"' AS TABELA, '"&amp;UPPER(C439)&amp;"' AS TIPOLOGIA_TESTE,'"&amp;D439&amp;"' AS TABELA_LT,'N/A' AS TABELA_SIMUL,'"&amp;F439&amp;"' AS CAMPO, "&amp;"'${ref_date}' AS REF_DATE, COUNT(*) AS NUM_REG, SUM(IF(TRIM(CAST(X."&amp;F439&amp;" AS STRING)) IN ('0000-00-00','0001-01-01','9999-12-31','MISS','00000','99999999999','99999999999.00','99999999999.000000'),1,0)) AS NUM_REG_DIF,'"&amp;MAX('ID1&amp;5'!K:K)+1&amp;"' AS ID_EXEC, CURRENT_TIMESTAMP() AS TIME_EXEC FROM "&amp;I439,
IF(C439="Not applicable",+"SELECT '"&amp;UPPER(B439)&amp;"' AS TABELA, '"&amp;UPPER(C439)&amp;"' AS TIPOLOGIA_TESTE,'"&amp;D439&amp;"' AS TABELA_LT,'N/A' AS TABELA_SIMUL,'"&amp;F439&amp;"' AS CAMPO, "&amp;"'${ref_date}' AS REF_DATE, COUNT(*) AS NUM_REG, SUM(IF(TRIM(CAST(X."&amp;F439&amp;" AS STRING)) IN ('N/A','11111111111','11111111111.00','11111111111.000000','1111-11-11'),1,0)) AS NUM_REG_DIF,'"&amp;MAX('ID1&amp;5'!K:K)+1&amp;"' AS ID_EXEC, CURRENT_TIMESTAMP() AS TIME_EXEC FROM "&amp;I439,
IF(C439="Valores extremos",+"SELECT '"&amp;UPPER(B439)&amp;"' AS TABELA, '"&amp;UPPER(C439)&amp;"' AS TIPOLOGIA_TESTE,'"&amp;D439&amp;"' AS TABELA_LT,'N/A' AS TABELA_SIMUL,'"&amp;F439&amp;"' AS CAMPO, "&amp;"'${ref_date}' AS REF_DATE, CAST(MIN("&amp;F439&amp;") AS STRING) AS VALOR_MIN, CAST(MAX("&amp;F439&amp;") AS STRING) AS VALOR_MAX,'"&amp;MAX('ID1&amp;5'!K:K)+1&amp;"' AS ID_EXEC, CURRENT_TIMESTAMP() AS TIME_EXEC FROM "&amp;MID(I439,1,LEN(I439)-2)&amp;" AND CAST("&amp;F439&amp;"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TABELA_SIMUL,'lvrg_prvs' AS CAMPO, '${ref_date}' AS REF_DATE, COUNT(*) AS NUM_REG, SUM(IF(COALESCE(CAST(X.lvrg_prvs AS STRING),'')&lt;&gt;COALESCE(CAST(Y.lvrg_prvs_SIMUL AS STRING),'') OR (X.lvrg_prvs IS NULL AND Y.lvrg_prvs_SIMUL IS NOT NULL ) OR (X.lvrg_prvs IS NOT NULL AND Y.lvrg_prvs_SIMUL IS NULL),1,0)) AS NUM_REG_DIF,'1' AS ID_EXEC, CURRENT_TIMESTAMP() AS TIME_EXEC FROM (SELECT entty_id, lvrg_prvs FROM BU_LOANTAPE_WORK.LT003_ENTITY WHERE ref_date='${ref_date}' AND nome_perimetro='Individual Local' AND segmento='ESTR' AND ambito='SRB_MBDT' AND entidade='00100')X INNER JOIN (SELECT entty_id AS entty_id_SIMUL, lvrg_prvs AS lvrg_prvs_SIMUL FROM BU_LOANTAPE_WORK.SIMUL_LT003_ENTITY WHERE ref_date='${ref_date}' AND nome_perimetro='Individual Local' AND segmento='ESTR' AND ambito='PILAR3' AND entidade='00100')Y ON X.ENTTY_ID=Y.ENTTY_ID_SIMUL</v>
      </c>
      <c r="M439" s="36" t="str">
        <f t="shared" si="9"/>
        <v>UNION ALL SELECT 'ENTITY' AS TABELA, 'COERÊNCIA' AS TIPOLOGIA_TESTE,'BU_LOANTAPE_WORK.LT003_ENTITY' AS TABELA_LT,'BU_LOANTAPE_WORK.SIMUL_LT003_ENTITY' AS TABELA_SIMUL,'lvrg_prvs' AS CAMPO, '${ref_date}' AS REF_DATE, COUNT(*) AS NUM_REG, SUM(IF(COALESCE(CAST(X.lvrg_prvs AS STRING),'')&lt;&gt;COALESCE(CAST(Y.lvrg_prvs_SIMUL AS STRING),'') OR (X.lvrg_prvs IS NULL AND Y.lvrg_prvs_SIMUL IS NOT NULL ) OR (X.lvrg_prvs IS NOT NULL AND Y.lvrg_prvs_SIMUL IS NULL),1,0)) AS NUM_REG_DIF,'1' AS ID_EXEC, CURRENT_TIMESTAMP() AS TIME_EXEC FROM (SELECT entty_id, lvrg_prvs FROM BU_LOANTAPE_WORK.LT003_ENTITY WHERE ref_date='${ref_date}' AND nome_perimetro='Individual Local' AND segmento='ESTR' AND ambito='SRB_MBDT' AND entidade='00100')X INNER JOIN (SELECT entty_id AS entty_id_SIMUL, lvrg_prvs AS lvrg_prvs_SIMUL FROM BU_LOANTAPE_WORK.SIMUL_LT003_ENTITY WHERE ref_date='${ref_date}' AND nome_perimetro='Individual Local' AND segmento='ESTR' AND ambito='PILAR3' AND entidade='00100')Y ON X.ENTTY_ID=Y.ENTTY_ID_SIMUL</v>
      </c>
    </row>
    <row r="440" spans="2:13">
      <c r="B440" s="34" t="s">
        <v>118</v>
      </c>
      <c r="C440" s="34" t="s">
        <v>5</v>
      </c>
      <c r="D440" s="34" t="str">
        <f>+UPPER('0. Instruções'!$D$35&amp;"."&amp;VLOOKUP(B440,'0. Instruções'!$C$27:$D$32,2,FALSE))</f>
        <v>BU_LOANTAPE_WORK.LT003_ENTITY</v>
      </c>
      <c r="E440" s="34" t="str">
        <f>+UPPER('0. Instruções'!$D$36&amp;"."&amp;VLOOKUP(B440,'0. Instruções'!$C$27:$E$32,3,FALSE))</f>
        <v>BU_LOANTAPE_WORK.SIMUL_LT003_ENTITY</v>
      </c>
      <c r="F440" s="34" t="s">
        <v>1462</v>
      </c>
      <c r="G440" s="34"/>
      <c r="H440" s="34"/>
      <c r="I440" s="34" t="str">
        <f>"(SELECT "&amp;VLOOKUP(B440,'0. Instruções'!$C$27:$G$32,4,FALSE)&amp;", "&amp;F440&amp;" FROM "&amp;D440&amp;" WHERE "&amp;'0. Instruções'!$D$42&amp;")X"</f>
        <v>(SELECT entty_id, mnthl_incm FROM BU_LOANTAPE_WORK.LT003_ENTITY WHERE ref_date='${ref_date}' AND nome_perimetro='Individual Local' AND segmento='ESTR' AND ambito='SRB_MBDT' AND entidade='00100')X</v>
      </c>
      <c r="J440" s="34" t="str">
        <f>"(SELECT "&amp;VLOOKUP(B440,'0. Instruções'!$C$27:$G$32,4,FALSE)&amp;" AS "&amp;VLOOKUP(B440,'0. Instruções'!$C$27:$G$32,4,FALSE)&amp;"_SIMUL, "&amp;F440&amp;" AS "&amp;F440&amp;"_SIMUL FROM "&amp;E440&amp;" WHERE "&amp;'0. Instruções'!$D$43&amp;")Y"</f>
        <v>(SELECT entty_id AS entty_id_SIMUL, mnthl_incm AS mnthl_incm_SIMUL FROM BU_LOANTAPE_WORK.SIMUL_LT003_ENTITY WHERE ref_date='${ref_date}' AND nome_perimetro='Individual Local' AND segmento='ESTR' AND ambito='PILAR3' AND entidade='00100')Y</v>
      </c>
      <c r="K440" s="35" t="str">
        <f>+UPPER("ON X."&amp;VLOOKUP(B440,'0. Instruções'!$C$27:$G$32,4,FALSE)&amp;"=Y."&amp;VLOOKUP(B440,'0. Instruções'!$C$27:$G$32,4,FALSE)&amp;"_SIMUL")</f>
        <v>ON X.ENTTY_ID=Y.ENTTY_ID_SIMUL</v>
      </c>
      <c r="L440" s="35" t="str">
        <f>+IF(C440="Coerência", +IF(LEFT(G440,5)="FLOAT","SELECT '"&amp;UPPER(B440)&amp;"' AS TABELA, '"&amp;UPPER(C440)&amp;"' AS TIPOLOGIA_TESTE,'"&amp;D440&amp;"' AS TABELA_LT,'"&amp;E440&amp;"' AS TABELA_SIMUL,'"&amp;F440&amp;"' AS CAMPO, "&amp;"'${ref_date}' AS REF_DATE, COUNT(*) AS NUM_REG, SUM(IF((ABS(COALESCE(CAST(X."&amp;F440&amp;" AS DECIMAL(18,6)),0)-COALESCE(CAST(Y."&amp;F440&amp;"_SIMUL AS DECIMAL(18,6)),0))&gt;0.000001) OR (X."&amp;F440&amp;" IS NULL AND Y."&amp;F440&amp;"_SIMUL IS NOT NULL ) OR (X."&amp;F440&amp;" IS NOT NULL AND Y."&amp;F440&amp;"_SIMUL IS NULL),1,0)) AS NUM_REG_DIF,'"&amp;MAX('ID1&amp;5'!K:K)+1&amp;"' AS ID_EXEC, CURRENT_TIMESTAMP() AS TIME_EXEC FROM "&amp;I440&amp;" INNER JOIN "&amp;J440&amp;" "&amp;K440,"SELECT '"&amp;UPPER(B440)&amp;"' AS TABELA, '"&amp;UPPER(C440)&amp;"' AS TIPOLOGIA_TESTE,'"&amp;D440&amp;"' AS TABELA_LT,'"&amp;E440&amp;"' AS TABELA_SIMUL,'"&amp;F440&amp;"' AS CAMPO, "&amp;"'${ref_date}' AS REF_DATE, COUNT(*) AS NUM_REG, SUM(IF(COALESCE(CAST(X."&amp;F440&amp;" AS STRING),'')&lt;&gt;COALESCE(CAST(Y."&amp;F440&amp;"_SIMUL AS STRING),'') OR (X."&amp;F440&amp;" IS NULL AND Y."&amp;F440&amp;"_SIMUL IS NOT NULL ) OR (X."&amp;F440&amp;" IS NOT NULL AND Y."&amp;F440&amp;"_SIMUL IS NULL),1,0)) AS NUM_REG_DIF,'"&amp;MAX('ID1&amp;5'!L:L)+1&amp;"' AS ID_EXEC, CURRENT_TIMESTAMP() AS TIME_EXEC FROM "&amp;I440&amp;" INNER JOIN "&amp;J440&amp;" "&amp;K440),
IF(C440="Validade",+IF(G440="Code List","SELECT '"&amp;UPPER(B440)&amp;"' AS TABELA, '"&amp;UPPER(C440)&amp;"' AS TIPOLOGIA_TESTE,'"&amp;D440&amp;"' AS TABELA_LT,'N/A' AS TABELA_SIMUL,'"&amp;F440&amp;"' AS CAMPO, "&amp;"'${ref_date}' AS REF_DATE, COUNT(*) AS NUM_REG, SUM(IF(TRIM(CAST(X."&amp;F440&amp;" AS STRING))='' OR TRIM(CAST(X."&amp;F440&amp;" AS STRING)) IS NULL OR CAST(X."&amp;F440&amp;" AS STRING) NOT "&amp;H440&amp;",1,0)) AS NUM_REG_DIF,'"&amp;MAX('ID1&amp;5'!K:K)+1&amp;"' AS ID_EXEC, CURRENT_TIMESTAMP() AS TIME_EXEC FROM "&amp;I440,"SELECT '"&amp;UPPER(B440)&amp;"' AS TABELA, '"&amp;UPPER(C440)&amp;"' AS TIPOLOGIA_TESTE,'"&amp;D440&amp;"' AS TABELA_LT,'N/A' AS TABELA_SIMUL,'"&amp;F440&amp;"' AS CAMPO, "&amp;"'${ref_date}' AS REF_DATE, COUNT(*) AS NUM_REG, SUM(IF(TRIM(CAST(X."&amp;F440&amp;" AS STRING))='' OR TRIM(CAST(X."&amp;F440&amp;" AS STRING)) IS NULL,1,0)) AS NUM_REG_DIF,'"&amp;MAX('ID1&amp;5'!K:K)+1&amp;"' AS ID_EXEC, CURRENT_TIMESTAMP() AS TIME_EXEC FROM "&amp;I440),
IF(C440="Caracteres Especiais",+"SELECT '"&amp;UPPER(B440)&amp;"' AS TABELA, '"&amp;UPPER(C440)&amp;"' AS TIPOLOGIA_TESTE,'"&amp;D440&amp;"' AS TABELA_LT,'N/A' AS TABELA_SIMUL,'"&amp;F440&amp;"' AS CAMPO, "&amp;"'${ref_date}' AS REF_DATE, COUNT(*) AS NUM_REG, SUM(IF(REGEXP_REPLACE(TRIM(CAST(X."&amp;F440&amp;" AS STRING)),'[^a-zA-Z0-9_\\s]','') &lt;&gt;TRIM(CAST(X."&amp;F440&amp;" AS STRING)),1,0)) AS NUM_REG_DIF,'"&amp;MAX('ID1&amp;5'!K:K)+1&amp;"' AS ID_EXEC, CURRENT_TIMESTAMP() AS TIME_EXEC FROM "&amp;I440,
IF(C440="Missings",+"SELECT '"&amp;UPPER(B440)&amp;"' AS TABELA, '"&amp;UPPER(C440)&amp;"' AS TIPOLOGIA_TESTE,'"&amp;D440&amp;"' AS TABELA_LT,'N/A' AS TABELA_SIMUL,'"&amp;F440&amp;"' AS CAMPO, "&amp;"'${ref_date}' AS REF_DATE, COUNT(*) AS NUM_REG, SUM(IF(TRIM(CAST(X."&amp;F440&amp;" AS STRING)) IN ('0000-00-00','0001-01-01','9999-12-31','MISS','00000','99999999999','99999999999.00','99999999999.000000'),1,0)) AS NUM_REG_DIF,'"&amp;MAX('ID1&amp;5'!K:K)+1&amp;"' AS ID_EXEC, CURRENT_TIMESTAMP() AS TIME_EXEC FROM "&amp;I440,
IF(C440="Not applicable",+"SELECT '"&amp;UPPER(B440)&amp;"' AS TABELA, '"&amp;UPPER(C440)&amp;"' AS TIPOLOGIA_TESTE,'"&amp;D440&amp;"' AS TABELA_LT,'N/A' AS TABELA_SIMUL,'"&amp;F440&amp;"' AS CAMPO, "&amp;"'${ref_date}' AS REF_DATE, COUNT(*) AS NUM_REG, SUM(IF(TRIM(CAST(X."&amp;F440&amp;" AS STRING)) IN ('N/A','11111111111','11111111111.00','11111111111.000000','1111-11-11'),1,0)) AS NUM_REG_DIF,'"&amp;MAX('ID1&amp;5'!K:K)+1&amp;"' AS ID_EXEC, CURRENT_TIMESTAMP() AS TIME_EXEC FROM "&amp;I440,
IF(C440="Valores extremos",+"SELECT '"&amp;UPPER(B440)&amp;"' AS TABELA, '"&amp;UPPER(C440)&amp;"' AS TIPOLOGIA_TESTE,'"&amp;D440&amp;"' AS TABELA_LT,'N/A' AS TABELA_SIMUL,'"&amp;F440&amp;"' AS CAMPO, "&amp;"'${ref_date}' AS REF_DATE, CAST(MIN("&amp;F440&amp;") AS STRING) AS VALOR_MIN, CAST(MAX("&amp;F440&amp;") AS STRING) AS VALOR_MAX,'"&amp;MAX('ID1&amp;5'!K:K)+1&amp;"' AS ID_EXEC, CURRENT_TIMESTAMP() AS TIME_EXEC FROM "&amp;MID(I440,1,LEN(I440)-2)&amp;" AND CAST("&amp;F440&amp;"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TABELA_SIMUL,'mnthl_incm' AS CAMPO, '${ref_date}' AS REF_DATE, COUNT(*) AS NUM_REG, SUM(IF(COALESCE(CAST(X.mnthl_incm AS STRING),'')&lt;&gt;COALESCE(CAST(Y.mnthl_incm_SIMUL AS STRING),'') OR (X.mnthl_incm IS NULL AND Y.mnthl_incm_SIMUL IS NOT NULL ) OR (X.mnthl_incm IS NOT NULL AND Y.mnthl_incm_SIMUL IS NULL),1,0)) AS NUM_REG_DIF,'1' AS ID_EXEC, CURRENT_TIMESTAMP() AS TIME_EXEC FROM (SELECT entty_id, mnthl_incm FROM BU_LOANTAPE_WORK.LT003_ENTITY WHERE ref_date='${ref_date}' AND nome_perimetro='Individual Local' AND segmento='ESTR' AND ambito='SRB_MBDT' AND entidade='00100')X INNER JOIN (SELECT entty_id AS entty_id_SIMUL, mnthl_incm AS mnthl_incm_SIMUL FROM BU_LOANTAPE_WORK.SIMUL_LT003_ENTITY WHERE ref_date='${ref_date}' AND nome_perimetro='Individual Local' AND segmento='ESTR' AND ambito='PILAR3' AND entidade='00100')Y ON X.ENTTY_ID=Y.ENTTY_ID_SIMUL</v>
      </c>
      <c r="M440" s="36" t="str">
        <f t="shared" ref="M440:M503" si="10">+"UNION ALL "&amp;L440</f>
        <v>UNION ALL SELECT 'ENTITY' AS TABELA, 'COERÊNCIA' AS TIPOLOGIA_TESTE,'BU_LOANTAPE_WORK.LT003_ENTITY' AS TABELA_LT,'BU_LOANTAPE_WORK.SIMUL_LT003_ENTITY' AS TABELA_SIMUL,'mnthl_incm' AS CAMPO, '${ref_date}' AS REF_DATE, COUNT(*) AS NUM_REG, SUM(IF(COALESCE(CAST(X.mnthl_incm AS STRING),'')&lt;&gt;COALESCE(CAST(Y.mnthl_incm_SIMUL AS STRING),'') OR (X.mnthl_incm IS NULL AND Y.mnthl_incm_SIMUL IS NOT NULL ) OR (X.mnthl_incm IS NOT NULL AND Y.mnthl_incm_SIMUL IS NULL),1,0)) AS NUM_REG_DIF,'1' AS ID_EXEC, CURRENT_TIMESTAMP() AS TIME_EXEC FROM (SELECT entty_id, mnthl_incm FROM BU_LOANTAPE_WORK.LT003_ENTITY WHERE ref_date='${ref_date}' AND nome_perimetro='Individual Local' AND segmento='ESTR' AND ambito='SRB_MBDT' AND entidade='00100')X INNER JOIN (SELECT entty_id AS entty_id_SIMUL, mnthl_incm AS mnthl_incm_SIMUL FROM BU_LOANTAPE_WORK.SIMUL_LT003_ENTITY WHERE ref_date='${ref_date}' AND nome_perimetro='Individual Local' AND segmento='ESTR' AND ambito='PILAR3' AND entidade='00100')Y ON X.ENTTY_ID=Y.ENTTY_ID_SIMUL</v>
      </c>
    </row>
    <row r="441" spans="2:13">
      <c r="B441" s="34" t="s">
        <v>118</v>
      </c>
      <c r="C441" s="34" t="s">
        <v>5</v>
      </c>
      <c r="D441" s="34" t="str">
        <f>+UPPER('0. Instruções'!$D$35&amp;"."&amp;VLOOKUP(B441,'0. Instruções'!$C$27:$D$32,2,FALSE))</f>
        <v>BU_LOANTAPE_WORK.LT003_ENTITY</v>
      </c>
      <c r="E441" s="34" t="str">
        <f>+UPPER('0. Instruções'!$D$36&amp;"."&amp;VLOOKUP(B441,'0. Instruções'!$C$27:$E$32,3,FALSE))</f>
        <v>BU_LOANTAPE_WORK.SIMUL_LT003_ENTITY</v>
      </c>
      <c r="F441" s="34" t="s">
        <v>1463</v>
      </c>
      <c r="G441" s="34"/>
      <c r="H441" s="34"/>
      <c r="I441" s="34" t="str">
        <f>"(SELECT "&amp;VLOOKUP(B441,'0. Instruções'!$C$27:$G$32,4,FALSE)&amp;", "&amp;F441&amp;" FROM "&amp;D441&amp;" WHERE "&amp;'0. Instruções'!$D$42&amp;")X"</f>
        <v>(SELECT entty_id, mnthl_incm_slr FROM BU_LOANTAPE_WORK.LT003_ENTITY WHERE ref_date='${ref_date}' AND nome_perimetro='Individual Local' AND segmento='ESTR' AND ambito='SRB_MBDT' AND entidade='00100')X</v>
      </c>
      <c r="J441" s="34" t="str">
        <f>"(SELECT "&amp;VLOOKUP(B441,'0. Instruções'!$C$27:$G$32,4,FALSE)&amp;" AS "&amp;VLOOKUP(B441,'0. Instruções'!$C$27:$G$32,4,FALSE)&amp;"_SIMUL, "&amp;F441&amp;" AS "&amp;F441&amp;"_SIMUL FROM "&amp;E441&amp;" WHERE "&amp;'0. Instruções'!$D$43&amp;")Y"</f>
        <v>(SELECT entty_id AS entty_id_SIMUL, mnthl_incm_slr AS mnthl_incm_slr_SIMUL FROM BU_LOANTAPE_WORK.SIMUL_LT003_ENTITY WHERE ref_date='${ref_date}' AND nome_perimetro='Individual Local' AND segmento='ESTR' AND ambito='PILAR3' AND entidade='00100')Y</v>
      </c>
      <c r="K441" s="35" t="str">
        <f>+UPPER("ON X."&amp;VLOOKUP(B441,'0. Instruções'!$C$27:$G$32,4,FALSE)&amp;"=Y."&amp;VLOOKUP(B441,'0. Instruções'!$C$27:$G$32,4,FALSE)&amp;"_SIMUL")</f>
        <v>ON X.ENTTY_ID=Y.ENTTY_ID_SIMUL</v>
      </c>
      <c r="L441" s="35" t="str">
        <f>+IF(C441="Coerência", +IF(LEFT(G441,5)="FLOAT","SELECT '"&amp;UPPER(B441)&amp;"' AS TABELA, '"&amp;UPPER(C441)&amp;"' AS TIPOLOGIA_TESTE,'"&amp;D441&amp;"' AS TABELA_LT,'"&amp;E441&amp;"' AS TABELA_SIMUL,'"&amp;F441&amp;"' AS CAMPO, "&amp;"'${ref_date}' AS REF_DATE, COUNT(*) AS NUM_REG, SUM(IF((ABS(COALESCE(CAST(X."&amp;F441&amp;" AS DECIMAL(18,6)),0)-COALESCE(CAST(Y."&amp;F441&amp;"_SIMUL AS DECIMAL(18,6)),0))&gt;0.000001) OR (X."&amp;F441&amp;" IS NULL AND Y."&amp;F441&amp;"_SIMUL IS NOT NULL ) OR (X."&amp;F441&amp;" IS NOT NULL AND Y."&amp;F441&amp;"_SIMUL IS NULL),1,0)) AS NUM_REG_DIF,'"&amp;MAX('ID1&amp;5'!K:K)+1&amp;"' AS ID_EXEC, CURRENT_TIMESTAMP() AS TIME_EXEC FROM "&amp;I441&amp;" INNER JOIN "&amp;J441&amp;" "&amp;K441,"SELECT '"&amp;UPPER(B441)&amp;"' AS TABELA, '"&amp;UPPER(C441)&amp;"' AS TIPOLOGIA_TESTE,'"&amp;D441&amp;"' AS TABELA_LT,'"&amp;E441&amp;"' AS TABELA_SIMUL,'"&amp;F441&amp;"' AS CAMPO, "&amp;"'${ref_date}' AS REF_DATE, COUNT(*) AS NUM_REG, SUM(IF(COALESCE(CAST(X."&amp;F441&amp;" AS STRING),'')&lt;&gt;COALESCE(CAST(Y."&amp;F441&amp;"_SIMUL AS STRING),'') OR (X."&amp;F441&amp;" IS NULL AND Y."&amp;F441&amp;"_SIMUL IS NOT NULL ) OR (X."&amp;F441&amp;" IS NOT NULL AND Y."&amp;F441&amp;"_SIMUL IS NULL),1,0)) AS NUM_REG_DIF,'"&amp;MAX('ID1&amp;5'!L:L)+1&amp;"' AS ID_EXEC, CURRENT_TIMESTAMP() AS TIME_EXEC FROM "&amp;I441&amp;" INNER JOIN "&amp;J441&amp;" "&amp;K441),
IF(C441="Validade",+IF(G441="Code List","SELECT '"&amp;UPPER(B441)&amp;"' AS TABELA, '"&amp;UPPER(C441)&amp;"' AS TIPOLOGIA_TESTE,'"&amp;D441&amp;"' AS TABELA_LT,'N/A' AS TABELA_SIMUL,'"&amp;F441&amp;"' AS CAMPO, "&amp;"'${ref_date}' AS REF_DATE, COUNT(*) AS NUM_REG, SUM(IF(TRIM(CAST(X."&amp;F441&amp;" AS STRING))='' OR TRIM(CAST(X."&amp;F441&amp;" AS STRING)) IS NULL OR CAST(X."&amp;F441&amp;" AS STRING) NOT "&amp;H441&amp;",1,0)) AS NUM_REG_DIF,'"&amp;MAX('ID1&amp;5'!K:K)+1&amp;"' AS ID_EXEC, CURRENT_TIMESTAMP() AS TIME_EXEC FROM "&amp;I441,"SELECT '"&amp;UPPER(B441)&amp;"' AS TABELA, '"&amp;UPPER(C441)&amp;"' AS TIPOLOGIA_TESTE,'"&amp;D441&amp;"' AS TABELA_LT,'N/A' AS TABELA_SIMUL,'"&amp;F441&amp;"' AS CAMPO, "&amp;"'${ref_date}' AS REF_DATE, COUNT(*) AS NUM_REG, SUM(IF(TRIM(CAST(X."&amp;F441&amp;" AS STRING))='' OR TRIM(CAST(X."&amp;F441&amp;" AS STRING)) IS NULL,1,0)) AS NUM_REG_DIF,'"&amp;MAX('ID1&amp;5'!K:K)+1&amp;"' AS ID_EXEC, CURRENT_TIMESTAMP() AS TIME_EXEC FROM "&amp;I441),
IF(C441="Caracteres Especiais",+"SELECT '"&amp;UPPER(B441)&amp;"' AS TABELA, '"&amp;UPPER(C441)&amp;"' AS TIPOLOGIA_TESTE,'"&amp;D441&amp;"' AS TABELA_LT,'N/A' AS TABELA_SIMUL,'"&amp;F441&amp;"' AS CAMPO, "&amp;"'${ref_date}' AS REF_DATE, COUNT(*) AS NUM_REG, SUM(IF(REGEXP_REPLACE(TRIM(CAST(X."&amp;F441&amp;" AS STRING)),'[^a-zA-Z0-9_\\s]','') &lt;&gt;TRIM(CAST(X."&amp;F441&amp;" AS STRING)),1,0)) AS NUM_REG_DIF,'"&amp;MAX('ID1&amp;5'!K:K)+1&amp;"' AS ID_EXEC, CURRENT_TIMESTAMP() AS TIME_EXEC FROM "&amp;I441,
IF(C441="Missings",+"SELECT '"&amp;UPPER(B441)&amp;"' AS TABELA, '"&amp;UPPER(C441)&amp;"' AS TIPOLOGIA_TESTE,'"&amp;D441&amp;"' AS TABELA_LT,'N/A' AS TABELA_SIMUL,'"&amp;F441&amp;"' AS CAMPO, "&amp;"'${ref_date}' AS REF_DATE, COUNT(*) AS NUM_REG, SUM(IF(TRIM(CAST(X."&amp;F441&amp;" AS STRING)) IN ('0000-00-00','0001-01-01','9999-12-31','MISS','00000','99999999999','99999999999.00','99999999999.000000'),1,0)) AS NUM_REG_DIF,'"&amp;MAX('ID1&amp;5'!K:K)+1&amp;"' AS ID_EXEC, CURRENT_TIMESTAMP() AS TIME_EXEC FROM "&amp;I441,
IF(C441="Not applicable",+"SELECT '"&amp;UPPER(B441)&amp;"' AS TABELA, '"&amp;UPPER(C441)&amp;"' AS TIPOLOGIA_TESTE,'"&amp;D441&amp;"' AS TABELA_LT,'N/A' AS TABELA_SIMUL,'"&amp;F441&amp;"' AS CAMPO, "&amp;"'${ref_date}' AS REF_DATE, COUNT(*) AS NUM_REG, SUM(IF(TRIM(CAST(X."&amp;F441&amp;" AS STRING)) IN ('N/A','11111111111','11111111111.00','11111111111.000000','1111-11-11'),1,0)) AS NUM_REG_DIF,'"&amp;MAX('ID1&amp;5'!K:K)+1&amp;"' AS ID_EXEC, CURRENT_TIMESTAMP() AS TIME_EXEC FROM "&amp;I441,
IF(C441="Valores extremos",+"SELECT '"&amp;UPPER(B441)&amp;"' AS TABELA, '"&amp;UPPER(C441)&amp;"' AS TIPOLOGIA_TESTE,'"&amp;D441&amp;"' AS TABELA_LT,'N/A' AS TABELA_SIMUL,'"&amp;F441&amp;"' AS CAMPO, "&amp;"'${ref_date}' AS REF_DATE, CAST(MIN("&amp;F441&amp;") AS STRING) AS VALOR_MIN, CAST(MAX("&amp;F441&amp;") AS STRING) AS VALOR_MAX,'"&amp;MAX('ID1&amp;5'!K:K)+1&amp;"' AS ID_EXEC, CURRENT_TIMESTAMP() AS TIME_EXEC FROM "&amp;MID(I441,1,LEN(I441)-2)&amp;" AND CAST("&amp;F441&amp;"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TABELA_SIMUL,'mnthl_incm_slr' AS CAMPO, '${ref_date}' AS REF_DATE, COUNT(*) AS NUM_REG, SUM(IF(COALESCE(CAST(X.mnthl_incm_slr AS STRING),'')&lt;&gt;COALESCE(CAST(Y.mnthl_incm_slr_SIMUL AS STRING),'') OR (X.mnthl_incm_slr IS NULL AND Y.mnthl_incm_slr_SIMUL IS NOT NULL ) OR (X.mnthl_incm_slr IS NOT NULL AND Y.mnthl_incm_slr_SIMUL IS NULL),1,0)) AS NUM_REG_DIF,'1' AS ID_EXEC, CURRENT_TIMESTAMP() AS TIME_EXEC FROM (SELECT entty_id, mnthl_incm_slr FROM BU_LOANTAPE_WORK.LT003_ENTITY WHERE ref_date='${ref_date}' AND nome_perimetro='Individual Local' AND segmento='ESTR' AND ambito='SRB_MBDT' AND entidade='00100')X INNER JOIN (SELECT entty_id AS entty_id_SIMUL, mnthl_incm_slr AS mnthl_incm_slr_SIMUL FROM BU_LOANTAPE_WORK.SIMUL_LT003_ENTITY WHERE ref_date='${ref_date}' AND nome_perimetro='Individual Local' AND segmento='ESTR' AND ambito='PILAR3' AND entidade='00100')Y ON X.ENTTY_ID=Y.ENTTY_ID_SIMUL</v>
      </c>
      <c r="M441" s="36" t="str">
        <f t="shared" si="10"/>
        <v>UNION ALL SELECT 'ENTITY' AS TABELA, 'COERÊNCIA' AS TIPOLOGIA_TESTE,'BU_LOANTAPE_WORK.LT003_ENTITY' AS TABELA_LT,'BU_LOANTAPE_WORK.SIMUL_LT003_ENTITY' AS TABELA_SIMUL,'mnthl_incm_slr' AS CAMPO, '${ref_date}' AS REF_DATE, COUNT(*) AS NUM_REG, SUM(IF(COALESCE(CAST(X.mnthl_incm_slr AS STRING),'')&lt;&gt;COALESCE(CAST(Y.mnthl_incm_slr_SIMUL AS STRING),'') OR (X.mnthl_incm_slr IS NULL AND Y.mnthl_incm_slr_SIMUL IS NOT NULL ) OR (X.mnthl_incm_slr IS NOT NULL AND Y.mnthl_incm_slr_SIMUL IS NULL),1,0)) AS NUM_REG_DIF,'1' AS ID_EXEC, CURRENT_TIMESTAMP() AS TIME_EXEC FROM (SELECT entty_id, mnthl_incm_slr FROM BU_LOANTAPE_WORK.LT003_ENTITY WHERE ref_date='${ref_date}' AND nome_perimetro='Individual Local' AND segmento='ESTR' AND ambito='SRB_MBDT' AND entidade='00100')X INNER JOIN (SELECT entty_id AS entty_id_SIMUL, mnthl_incm_slr AS mnthl_incm_slr_SIMUL FROM BU_LOANTAPE_WORK.SIMUL_LT003_ENTITY WHERE ref_date='${ref_date}' AND nome_perimetro='Individual Local' AND segmento='ESTR' AND ambito='PILAR3' AND entidade='00100')Y ON X.ENTTY_ID=Y.ENTTY_ID_SIMUL</v>
      </c>
    </row>
    <row r="442" spans="2:13">
      <c r="B442" s="34" t="s">
        <v>118</v>
      </c>
      <c r="C442" s="34" t="s">
        <v>5</v>
      </c>
      <c r="D442" s="34" t="str">
        <f>+UPPER('0. Instruções'!$D$35&amp;"."&amp;VLOOKUP(B442,'0. Instruções'!$C$27:$D$32,2,FALSE))</f>
        <v>BU_LOANTAPE_WORK.LT003_ENTITY</v>
      </c>
      <c r="E442" s="34" t="str">
        <f>+UPPER('0. Instruções'!$D$36&amp;"."&amp;VLOOKUP(B442,'0. Instruções'!$C$27:$E$32,3,FALSE))</f>
        <v>BU_LOANTAPE_WORK.SIMUL_LT003_ENTITY</v>
      </c>
      <c r="F442" s="34" t="s">
        <v>1464</v>
      </c>
      <c r="G442" s="34"/>
      <c r="H442" s="34"/>
      <c r="I442" s="34" t="str">
        <f>"(SELECT "&amp;VLOOKUP(B442,'0. Instruções'!$C$27:$G$32,4,FALSE)&amp;", "&amp;F442&amp;" FROM "&amp;D442&amp;" WHERE "&amp;'0. Instruções'!$D$42&amp;")X"</f>
        <v>(SELECT entty_id, mnthl_trnvr FROM BU_LOANTAPE_WORK.LT003_ENTITY WHERE ref_date='${ref_date}' AND nome_perimetro='Individual Local' AND segmento='ESTR' AND ambito='SRB_MBDT' AND entidade='00100')X</v>
      </c>
      <c r="J442" s="34" t="str">
        <f>"(SELECT "&amp;VLOOKUP(B442,'0. Instruções'!$C$27:$G$32,4,FALSE)&amp;" AS "&amp;VLOOKUP(B442,'0. Instruções'!$C$27:$G$32,4,FALSE)&amp;"_SIMUL, "&amp;F442&amp;" AS "&amp;F442&amp;"_SIMUL FROM "&amp;E442&amp;" WHERE "&amp;'0. Instruções'!$D$43&amp;")Y"</f>
        <v>(SELECT entty_id AS entty_id_SIMUL, mnthl_trnvr AS mnthl_trnvr_SIMUL FROM BU_LOANTAPE_WORK.SIMUL_LT003_ENTITY WHERE ref_date='${ref_date}' AND nome_perimetro='Individual Local' AND segmento='ESTR' AND ambito='PILAR3' AND entidade='00100')Y</v>
      </c>
      <c r="K442" s="35" t="str">
        <f>+UPPER("ON X."&amp;VLOOKUP(B442,'0. Instruções'!$C$27:$G$32,4,FALSE)&amp;"=Y."&amp;VLOOKUP(B442,'0. Instruções'!$C$27:$G$32,4,FALSE)&amp;"_SIMUL")</f>
        <v>ON X.ENTTY_ID=Y.ENTTY_ID_SIMUL</v>
      </c>
      <c r="L442" s="35" t="str">
        <f>+IF(C442="Coerência", +IF(LEFT(G442,5)="FLOAT","SELECT '"&amp;UPPER(B442)&amp;"' AS TABELA, '"&amp;UPPER(C442)&amp;"' AS TIPOLOGIA_TESTE,'"&amp;D442&amp;"' AS TABELA_LT,'"&amp;E442&amp;"' AS TABELA_SIMUL,'"&amp;F442&amp;"' AS CAMPO, "&amp;"'${ref_date}' AS REF_DATE, COUNT(*) AS NUM_REG, SUM(IF((ABS(COALESCE(CAST(X."&amp;F442&amp;" AS DECIMAL(18,6)),0)-COALESCE(CAST(Y."&amp;F442&amp;"_SIMUL AS DECIMAL(18,6)),0))&gt;0.000001) OR (X."&amp;F442&amp;" IS NULL AND Y."&amp;F442&amp;"_SIMUL IS NOT NULL ) OR (X."&amp;F442&amp;" IS NOT NULL AND Y."&amp;F442&amp;"_SIMUL IS NULL),1,0)) AS NUM_REG_DIF,'"&amp;MAX('ID1&amp;5'!K:K)+1&amp;"' AS ID_EXEC, CURRENT_TIMESTAMP() AS TIME_EXEC FROM "&amp;I442&amp;" INNER JOIN "&amp;J442&amp;" "&amp;K442,"SELECT '"&amp;UPPER(B442)&amp;"' AS TABELA, '"&amp;UPPER(C442)&amp;"' AS TIPOLOGIA_TESTE,'"&amp;D442&amp;"' AS TABELA_LT,'"&amp;E442&amp;"' AS TABELA_SIMUL,'"&amp;F442&amp;"' AS CAMPO, "&amp;"'${ref_date}' AS REF_DATE, COUNT(*) AS NUM_REG, SUM(IF(COALESCE(CAST(X."&amp;F442&amp;" AS STRING),'')&lt;&gt;COALESCE(CAST(Y."&amp;F442&amp;"_SIMUL AS STRING),'') OR (X."&amp;F442&amp;" IS NULL AND Y."&amp;F442&amp;"_SIMUL IS NOT NULL ) OR (X."&amp;F442&amp;" IS NOT NULL AND Y."&amp;F442&amp;"_SIMUL IS NULL),1,0)) AS NUM_REG_DIF,'"&amp;MAX('ID1&amp;5'!L:L)+1&amp;"' AS ID_EXEC, CURRENT_TIMESTAMP() AS TIME_EXEC FROM "&amp;I442&amp;" INNER JOIN "&amp;J442&amp;" "&amp;K442),
IF(C442="Validade",+IF(G442="Code List","SELECT '"&amp;UPPER(B442)&amp;"' AS TABELA, '"&amp;UPPER(C442)&amp;"' AS TIPOLOGIA_TESTE,'"&amp;D442&amp;"' AS TABELA_LT,'N/A' AS TABELA_SIMUL,'"&amp;F442&amp;"' AS CAMPO, "&amp;"'${ref_date}' AS REF_DATE, COUNT(*) AS NUM_REG, SUM(IF(TRIM(CAST(X."&amp;F442&amp;" AS STRING))='' OR TRIM(CAST(X."&amp;F442&amp;" AS STRING)) IS NULL OR CAST(X."&amp;F442&amp;" AS STRING) NOT "&amp;H442&amp;",1,0)) AS NUM_REG_DIF,'"&amp;MAX('ID1&amp;5'!K:K)+1&amp;"' AS ID_EXEC, CURRENT_TIMESTAMP() AS TIME_EXEC FROM "&amp;I442,"SELECT '"&amp;UPPER(B442)&amp;"' AS TABELA, '"&amp;UPPER(C442)&amp;"' AS TIPOLOGIA_TESTE,'"&amp;D442&amp;"' AS TABELA_LT,'N/A' AS TABELA_SIMUL,'"&amp;F442&amp;"' AS CAMPO, "&amp;"'${ref_date}' AS REF_DATE, COUNT(*) AS NUM_REG, SUM(IF(TRIM(CAST(X."&amp;F442&amp;" AS STRING))='' OR TRIM(CAST(X."&amp;F442&amp;" AS STRING)) IS NULL,1,0)) AS NUM_REG_DIF,'"&amp;MAX('ID1&amp;5'!K:K)+1&amp;"' AS ID_EXEC, CURRENT_TIMESTAMP() AS TIME_EXEC FROM "&amp;I442),
IF(C442="Caracteres Especiais",+"SELECT '"&amp;UPPER(B442)&amp;"' AS TABELA, '"&amp;UPPER(C442)&amp;"' AS TIPOLOGIA_TESTE,'"&amp;D442&amp;"' AS TABELA_LT,'N/A' AS TABELA_SIMUL,'"&amp;F442&amp;"' AS CAMPO, "&amp;"'${ref_date}' AS REF_DATE, COUNT(*) AS NUM_REG, SUM(IF(REGEXP_REPLACE(TRIM(CAST(X."&amp;F442&amp;" AS STRING)),'[^a-zA-Z0-9_\\s]','') &lt;&gt;TRIM(CAST(X."&amp;F442&amp;" AS STRING)),1,0)) AS NUM_REG_DIF,'"&amp;MAX('ID1&amp;5'!K:K)+1&amp;"' AS ID_EXEC, CURRENT_TIMESTAMP() AS TIME_EXEC FROM "&amp;I442,
IF(C442="Missings",+"SELECT '"&amp;UPPER(B442)&amp;"' AS TABELA, '"&amp;UPPER(C442)&amp;"' AS TIPOLOGIA_TESTE,'"&amp;D442&amp;"' AS TABELA_LT,'N/A' AS TABELA_SIMUL,'"&amp;F442&amp;"' AS CAMPO, "&amp;"'${ref_date}' AS REF_DATE, COUNT(*) AS NUM_REG, SUM(IF(TRIM(CAST(X."&amp;F442&amp;" AS STRING)) IN ('0000-00-00','0001-01-01','9999-12-31','MISS','00000','99999999999','99999999999.00','99999999999.000000'),1,0)) AS NUM_REG_DIF,'"&amp;MAX('ID1&amp;5'!K:K)+1&amp;"' AS ID_EXEC, CURRENT_TIMESTAMP() AS TIME_EXEC FROM "&amp;I442,
IF(C442="Not applicable",+"SELECT '"&amp;UPPER(B442)&amp;"' AS TABELA, '"&amp;UPPER(C442)&amp;"' AS TIPOLOGIA_TESTE,'"&amp;D442&amp;"' AS TABELA_LT,'N/A' AS TABELA_SIMUL,'"&amp;F442&amp;"' AS CAMPO, "&amp;"'${ref_date}' AS REF_DATE, COUNT(*) AS NUM_REG, SUM(IF(TRIM(CAST(X."&amp;F442&amp;" AS STRING)) IN ('N/A','11111111111','11111111111.00','11111111111.000000','1111-11-11'),1,0)) AS NUM_REG_DIF,'"&amp;MAX('ID1&amp;5'!K:K)+1&amp;"' AS ID_EXEC, CURRENT_TIMESTAMP() AS TIME_EXEC FROM "&amp;I442,
IF(C442="Valores extremos",+"SELECT '"&amp;UPPER(B442)&amp;"' AS TABELA, '"&amp;UPPER(C442)&amp;"' AS TIPOLOGIA_TESTE,'"&amp;D442&amp;"' AS TABELA_LT,'N/A' AS TABELA_SIMUL,'"&amp;F442&amp;"' AS CAMPO, "&amp;"'${ref_date}' AS REF_DATE, CAST(MIN("&amp;F442&amp;") AS STRING) AS VALOR_MIN, CAST(MAX("&amp;F442&amp;") AS STRING) AS VALOR_MAX,'"&amp;MAX('ID1&amp;5'!K:K)+1&amp;"' AS ID_EXEC, CURRENT_TIMESTAMP() AS TIME_EXEC FROM "&amp;MID(I442,1,LEN(I442)-2)&amp;" AND CAST("&amp;F442&amp;"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TABELA_SIMUL,'mnthl_trnvr' AS CAMPO, '${ref_date}' AS REF_DATE, COUNT(*) AS NUM_REG, SUM(IF(COALESCE(CAST(X.mnthl_trnvr AS STRING),'')&lt;&gt;COALESCE(CAST(Y.mnthl_trnvr_SIMUL AS STRING),'') OR (X.mnthl_trnvr IS NULL AND Y.mnthl_trnvr_SIMUL IS NOT NULL ) OR (X.mnthl_trnvr IS NOT NULL AND Y.mnthl_trnvr_SIMUL IS NULL),1,0)) AS NUM_REG_DIF,'1' AS ID_EXEC, CURRENT_TIMESTAMP() AS TIME_EXEC FROM (SELECT entty_id, mnthl_trnvr FROM BU_LOANTAPE_WORK.LT003_ENTITY WHERE ref_date='${ref_date}' AND nome_perimetro='Individual Local' AND segmento='ESTR' AND ambito='SRB_MBDT' AND entidade='00100')X INNER JOIN (SELECT entty_id AS entty_id_SIMUL, mnthl_trnvr AS mnthl_trnvr_SIMUL FROM BU_LOANTAPE_WORK.SIMUL_LT003_ENTITY WHERE ref_date='${ref_date}' AND nome_perimetro='Individual Local' AND segmento='ESTR' AND ambito='PILAR3' AND entidade='00100')Y ON X.ENTTY_ID=Y.ENTTY_ID_SIMUL</v>
      </c>
      <c r="M442" s="36" t="str">
        <f t="shared" si="10"/>
        <v>UNION ALL SELECT 'ENTITY' AS TABELA, 'COERÊNCIA' AS TIPOLOGIA_TESTE,'BU_LOANTAPE_WORK.LT003_ENTITY' AS TABELA_LT,'BU_LOANTAPE_WORK.SIMUL_LT003_ENTITY' AS TABELA_SIMUL,'mnthl_trnvr' AS CAMPO, '${ref_date}' AS REF_DATE, COUNT(*) AS NUM_REG, SUM(IF(COALESCE(CAST(X.mnthl_trnvr AS STRING),'')&lt;&gt;COALESCE(CAST(Y.mnthl_trnvr_SIMUL AS STRING),'') OR (X.mnthl_trnvr IS NULL AND Y.mnthl_trnvr_SIMUL IS NOT NULL ) OR (X.mnthl_trnvr IS NOT NULL AND Y.mnthl_trnvr_SIMUL IS NULL),1,0)) AS NUM_REG_DIF,'1' AS ID_EXEC, CURRENT_TIMESTAMP() AS TIME_EXEC FROM (SELECT entty_id, mnthl_trnvr FROM BU_LOANTAPE_WORK.LT003_ENTITY WHERE ref_date='${ref_date}' AND nome_perimetro='Individual Local' AND segmento='ESTR' AND ambito='SRB_MBDT' AND entidade='00100')X INNER JOIN (SELECT entty_id AS entty_id_SIMUL, mnthl_trnvr AS mnthl_trnvr_SIMUL FROM BU_LOANTAPE_WORK.SIMUL_LT003_ENTITY WHERE ref_date='${ref_date}' AND nome_perimetro='Individual Local' AND segmento='ESTR' AND ambito='PILAR3' AND entidade='00100')Y ON X.ENTTY_ID=Y.ENTTY_ID_SIMUL</v>
      </c>
    </row>
    <row r="443" spans="2:13">
      <c r="B443" s="34" t="s">
        <v>118</v>
      </c>
      <c r="C443" s="34" t="s">
        <v>5</v>
      </c>
      <c r="D443" s="34" t="str">
        <f>+UPPER('0. Instruções'!$D$35&amp;"."&amp;VLOOKUP(B443,'0. Instruções'!$C$27:$D$32,2,FALSE))</f>
        <v>BU_LOANTAPE_WORK.LT003_ENTITY</v>
      </c>
      <c r="E443" s="34" t="str">
        <f>+UPPER('0. Instruções'!$D$36&amp;"."&amp;VLOOKUP(B443,'0. Instruções'!$C$27:$E$32,3,FALSE))</f>
        <v>BU_LOANTAPE_WORK.SIMUL_LT003_ENTITY</v>
      </c>
      <c r="F443" s="34" t="s">
        <v>1465</v>
      </c>
      <c r="G443" s="34"/>
      <c r="H443" s="34"/>
      <c r="I443" s="34" t="str">
        <f>"(SELECT "&amp;VLOOKUP(B443,'0. Instruções'!$C$27:$G$32,4,FALSE)&amp;", "&amp;F443&amp;" FROM "&amp;D443&amp;" WHERE "&amp;'0. Instruções'!$D$42&amp;")X"</f>
        <v>(SELECT entty_id, nt_incm FROM BU_LOANTAPE_WORK.LT003_ENTITY WHERE ref_date='${ref_date}' AND nome_perimetro='Individual Local' AND segmento='ESTR' AND ambito='SRB_MBDT' AND entidade='00100')X</v>
      </c>
      <c r="J443" s="34" t="str">
        <f>"(SELECT "&amp;VLOOKUP(B443,'0. Instruções'!$C$27:$G$32,4,FALSE)&amp;" AS "&amp;VLOOKUP(B443,'0. Instruções'!$C$27:$G$32,4,FALSE)&amp;"_SIMUL, "&amp;F443&amp;" AS "&amp;F443&amp;"_SIMUL FROM "&amp;E443&amp;" WHERE "&amp;'0. Instruções'!$D$43&amp;")Y"</f>
        <v>(SELECT entty_id AS entty_id_SIMUL, nt_incm AS nt_incm_SIMUL FROM BU_LOANTAPE_WORK.SIMUL_LT003_ENTITY WHERE ref_date='${ref_date}' AND nome_perimetro='Individual Local' AND segmento='ESTR' AND ambito='PILAR3' AND entidade='00100')Y</v>
      </c>
      <c r="K443" s="35" t="str">
        <f>+UPPER("ON X."&amp;VLOOKUP(B443,'0. Instruções'!$C$27:$G$32,4,FALSE)&amp;"=Y."&amp;VLOOKUP(B443,'0. Instruções'!$C$27:$G$32,4,FALSE)&amp;"_SIMUL")</f>
        <v>ON X.ENTTY_ID=Y.ENTTY_ID_SIMUL</v>
      </c>
      <c r="L443" s="35" t="str">
        <f>+IF(C443="Coerência", +IF(LEFT(G443,5)="FLOAT","SELECT '"&amp;UPPER(B443)&amp;"' AS TABELA, '"&amp;UPPER(C443)&amp;"' AS TIPOLOGIA_TESTE,'"&amp;D443&amp;"' AS TABELA_LT,'"&amp;E443&amp;"' AS TABELA_SIMUL,'"&amp;F443&amp;"' AS CAMPO, "&amp;"'${ref_date}' AS REF_DATE, COUNT(*) AS NUM_REG, SUM(IF((ABS(COALESCE(CAST(X."&amp;F443&amp;" AS DECIMAL(18,6)),0)-COALESCE(CAST(Y."&amp;F443&amp;"_SIMUL AS DECIMAL(18,6)),0))&gt;0.000001) OR (X."&amp;F443&amp;" IS NULL AND Y."&amp;F443&amp;"_SIMUL IS NOT NULL ) OR (X."&amp;F443&amp;" IS NOT NULL AND Y."&amp;F443&amp;"_SIMUL IS NULL),1,0)) AS NUM_REG_DIF,'"&amp;MAX('ID1&amp;5'!K:K)+1&amp;"' AS ID_EXEC, CURRENT_TIMESTAMP() AS TIME_EXEC FROM "&amp;I443&amp;" INNER JOIN "&amp;J443&amp;" "&amp;K443,"SELECT '"&amp;UPPER(B443)&amp;"' AS TABELA, '"&amp;UPPER(C443)&amp;"' AS TIPOLOGIA_TESTE,'"&amp;D443&amp;"' AS TABELA_LT,'"&amp;E443&amp;"' AS TABELA_SIMUL,'"&amp;F443&amp;"' AS CAMPO, "&amp;"'${ref_date}' AS REF_DATE, COUNT(*) AS NUM_REG, SUM(IF(COALESCE(CAST(X."&amp;F443&amp;" AS STRING),'')&lt;&gt;COALESCE(CAST(Y."&amp;F443&amp;"_SIMUL AS STRING),'') OR (X."&amp;F443&amp;" IS NULL AND Y."&amp;F443&amp;"_SIMUL IS NOT NULL ) OR (X."&amp;F443&amp;" IS NOT NULL AND Y."&amp;F443&amp;"_SIMUL IS NULL),1,0)) AS NUM_REG_DIF,'"&amp;MAX('ID1&amp;5'!L:L)+1&amp;"' AS ID_EXEC, CURRENT_TIMESTAMP() AS TIME_EXEC FROM "&amp;I443&amp;" INNER JOIN "&amp;J443&amp;" "&amp;K443),
IF(C443="Validade",+IF(G443="Code List","SELECT '"&amp;UPPER(B443)&amp;"' AS TABELA, '"&amp;UPPER(C443)&amp;"' AS TIPOLOGIA_TESTE,'"&amp;D443&amp;"' AS TABELA_LT,'N/A' AS TABELA_SIMUL,'"&amp;F443&amp;"' AS CAMPO, "&amp;"'${ref_date}' AS REF_DATE, COUNT(*) AS NUM_REG, SUM(IF(TRIM(CAST(X."&amp;F443&amp;" AS STRING))='' OR TRIM(CAST(X."&amp;F443&amp;" AS STRING)) IS NULL OR CAST(X."&amp;F443&amp;" AS STRING) NOT "&amp;H443&amp;",1,0)) AS NUM_REG_DIF,'"&amp;MAX('ID1&amp;5'!K:K)+1&amp;"' AS ID_EXEC, CURRENT_TIMESTAMP() AS TIME_EXEC FROM "&amp;I443,"SELECT '"&amp;UPPER(B443)&amp;"' AS TABELA, '"&amp;UPPER(C443)&amp;"' AS TIPOLOGIA_TESTE,'"&amp;D443&amp;"' AS TABELA_LT,'N/A' AS TABELA_SIMUL,'"&amp;F443&amp;"' AS CAMPO, "&amp;"'${ref_date}' AS REF_DATE, COUNT(*) AS NUM_REG, SUM(IF(TRIM(CAST(X."&amp;F443&amp;" AS STRING))='' OR TRIM(CAST(X."&amp;F443&amp;" AS STRING)) IS NULL,1,0)) AS NUM_REG_DIF,'"&amp;MAX('ID1&amp;5'!K:K)+1&amp;"' AS ID_EXEC, CURRENT_TIMESTAMP() AS TIME_EXEC FROM "&amp;I443),
IF(C443="Caracteres Especiais",+"SELECT '"&amp;UPPER(B443)&amp;"' AS TABELA, '"&amp;UPPER(C443)&amp;"' AS TIPOLOGIA_TESTE,'"&amp;D443&amp;"' AS TABELA_LT,'N/A' AS TABELA_SIMUL,'"&amp;F443&amp;"' AS CAMPO, "&amp;"'${ref_date}' AS REF_DATE, COUNT(*) AS NUM_REG, SUM(IF(REGEXP_REPLACE(TRIM(CAST(X."&amp;F443&amp;" AS STRING)),'[^a-zA-Z0-9_\\s]','') &lt;&gt;TRIM(CAST(X."&amp;F443&amp;" AS STRING)),1,0)) AS NUM_REG_DIF,'"&amp;MAX('ID1&amp;5'!K:K)+1&amp;"' AS ID_EXEC, CURRENT_TIMESTAMP() AS TIME_EXEC FROM "&amp;I443,
IF(C443="Missings",+"SELECT '"&amp;UPPER(B443)&amp;"' AS TABELA, '"&amp;UPPER(C443)&amp;"' AS TIPOLOGIA_TESTE,'"&amp;D443&amp;"' AS TABELA_LT,'N/A' AS TABELA_SIMUL,'"&amp;F443&amp;"' AS CAMPO, "&amp;"'${ref_date}' AS REF_DATE, COUNT(*) AS NUM_REG, SUM(IF(TRIM(CAST(X."&amp;F443&amp;" AS STRING)) IN ('0000-00-00','0001-01-01','9999-12-31','MISS','00000','99999999999','99999999999.00','99999999999.000000'),1,0)) AS NUM_REG_DIF,'"&amp;MAX('ID1&amp;5'!K:K)+1&amp;"' AS ID_EXEC, CURRENT_TIMESTAMP() AS TIME_EXEC FROM "&amp;I443,
IF(C443="Not applicable",+"SELECT '"&amp;UPPER(B443)&amp;"' AS TABELA, '"&amp;UPPER(C443)&amp;"' AS TIPOLOGIA_TESTE,'"&amp;D443&amp;"' AS TABELA_LT,'N/A' AS TABELA_SIMUL,'"&amp;F443&amp;"' AS CAMPO, "&amp;"'${ref_date}' AS REF_DATE, COUNT(*) AS NUM_REG, SUM(IF(TRIM(CAST(X."&amp;F443&amp;" AS STRING)) IN ('N/A','11111111111','11111111111.00','11111111111.000000','1111-11-11'),1,0)) AS NUM_REG_DIF,'"&amp;MAX('ID1&amp;5'!K:K)+1&amp;"' AS ID_EXEC, CURRENT_TIMESTAMP() AS TIME_EXEC FROM "&amp;I443,
IF(C443="Valores extremos",+"SELECT '"&amp;UPPER(B443)&amp;"' AS TABELA, '"&amp;UPPER(C443)&amp;"' AS TIPOLOGIA_TESTE,'"&amp;D443&amp;"' AS TABELA_LT,'N/A' AS TABELA_SIMUL,'"&amp;F443&amp;"' AS CAMPO, "&amp;"'${ref_date}' AS REF_DATE, CAST(MIN("&amp;F443&amp;") AS STRING) AS VALOR_MIN, CAST(MAX("&amp;F443&amp;") AS STRING) AS VALOR_MAX,'"&amp;MAX('ID1&amp;5'!K:K)+1&amp;"' AS ID_EXEC, CURRENT_TIMESTAMP() AS TIME_EXEC FROM "&amp;MID(I443,1,LEN(I443)-2)&amp;" AND CAST("&amp;F443&amp;"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TABELA_SIMUL,'nt_incm' AS CAMPO, '${ref_date}' AS REF_DATE, COUNT(*) AS NUM_REG, SUM(IF(COALESCE(CAST(X.nt_incm AS STRING),'')&lt;&gt;COALESCE(CAST(Y.nt_incm_SIMUL AS STRING),'') OR (X.nt_incm IS NULL AND Y.nt_incm_SIMUL IS NOT NULL ) OR (X.nt_incm IS NOT NULL AND Y.nt_incm_SIMUL IS NULL),1,0)) AS NUM_REG_DIF,'1' AS ID_EXEC, CURRENT_TIMESTAMP() AS TIME_EXEC FROM (SELECT entty_id, nt_incm FROM BU_LOANTAPE_WORK.LT003_ENTITY WHERE ref_date='${ref_date}' AND nome_perimetro='Individual Local' AND segmento='ESTR' AND ambito='SRB_MBDT' AND entidade='00100')X INNER JOIN (SELECT entty_id AS entty_id_SIMUL, nt_incm AS nt_incm_SIMUL FROM BU_LOANTAPE_WORK.SIMUL_LT003_ENTITY WHERE ref_date='${ref_date}' AND nome_perimetro='Individual Local' AND segmento='ESTR' AND ambito='PILAR3' AND entidade='00100')Y ON X.ENTTY_ID=Y.ENTTY_ID_SIMUL</v>
      </c>
      <c r="M443" s="36" t="str">
        <f t="shared" si="10"/>
        <v>UNION ALL SELECT 'ENTITY' AS TABELA, 'COERÊNCIA' AS TIPOLOGIA_TESTE,'BU_LOANTAPE_WORK.LT003_ENTITY' AS TABELA_LT,'BU_LOANTAPE_WORK.SIMUL_LT003_ENTITY' AS TABELA_SIMUL,'nt_incm' AS CAMPO, '${ref_date}' AS REF_DATE, COUNT(*) AS NUM_REG, SUM(IF(COALESCE(CAST(X.nt_incm AS STRING),'')&lt;&gt;COALESCE(CAST(Y.nt_incm_SIMUL AS STRING),'') OR (X.nt_incm IS NULL AND Y.nt_incm_SIMUL IS NOT NULL ) OR (X.nt_incm IS NOT NULL AND Y.nt_incm_SIMUL IS NULL),1,0)) AS NUM_REG_DIF,'1' AS ID_EXEC, CURRENT_TIMESTAMP() AS TIME_EXEC FROM (SELECT entty_id, nt_incm FROM BU_LOANTAPE_WORK.LT003_ENTITY WHERE ref_date='${ref_date}' AND nome_perimetro='Individual Local' AND segmento='ESTR' AND ambito='SRB_MBDT' AND entidade='00100')X INNER JOIN (SELECT entty_id AS entty_id_SIMUL, nt_incm AS nt_incm_SIMUL FROM BU_LOANTAPE_WORK.SIMUL_LT003_ENTITY WHERE ref_date='${ref_date}' AND nome_perimetro='Individual Local' AND segmento='ESTR' AND ambito='PILAR3' AND entidade='00100')Y ON X.ENTTY_ID=Y.ENTTY_ID_SIMUL</v>
      </c>
    </row>
    <row r="444" spans="2:13">
      <c r="B444" s="34" t="s">
        <v>118</v>
      </c>
      <c r="C444" s="34" t="s">
        <v>5</v>
      </c>
      <c r="D444" s="34" t="str">
        <f>+UPPER('0. Instruções'!$D$35&amp;"."&amp;VLOOKUP(B444,'0. Instruções'!$C$27:$D$32,2,FALSE))</f>
        <v>BU_LOANTAPE_WORK.LT003_ENTITY</v>
      </c>
      <c r="E444" s="34" t="str">
        <f>+UPPER('0. Instruções'!$D$36&amp;"."&amp;VLOOKUP(B444,'0. Instruções'!$C$27:$E$32,3,FALSE))</f>
        <v>BU_LOANTAPE_WORK.SIMUL_LT003_ENTITY</v>
      </c>
      <c r="F444" s="34" t="s">
        <v>1466</v>
      </c>
      <c r="G444" s="34"/>
      <c r="H444" s="34"/>
      <c r="I444" s="34" t="str">
        <f>"(SELECT "&amp;VLOOKUP(B444,'0. Instruções'!$C$27:$G$32,4,FALSE)&amp;", "&amp;F444&amp;" FROM "&amp;D444&amp;" WHERE "&amp;'0. Instruções'!$D$42&amp;")X"</f>
        <v>(SELECT entty_id, nt_incm_prvs FROM BU_LOANTAPE_WORK.LT003_ENTITY WHERE ref_date='${ref_date}' AND nome_perimetro='Individual Local' AND segmento='ESTR' AND ambito='SRB_MBDT' AND entidade='00100')X</v>
      </c>
      <c r="J444" s="34" t="str">
        <f>"(SELECT "&amp;VLOOKUP(B444,'0. Instruções'!$C$27:$G$32,4,FALSE)&amp;" AS "&amp;VLOOKUP(B444,'0. Instruções'!$C$27:$G$32,4,FALSE)&amp;"_SIMUL, "&amp;F444&amp;" AS "&amp;F444&amp;"_SIMUL FROM "&amp;E444&amp;" WHERE "&amp;'0. Instruções'!$D$43&amp;")Y"</f>
        <v>(SELECT entty_id AS entty_id_SIMUL, nt_incm_prvs AS nt_incm_prvs_SIMUL FROM BU_LOANTAPE_WORK.SIMUL_LT003_ENTITY WHERE ref_date='${ref_date}' AND nome_perimetro='Individual Local' AND segmento='ESTR' AND ambito='PILAR3' AND entidade='00100')Y</v>
      </c>
      <c r="K444" s="35" t="str">
        <f>+UPPER("ON X."&amp;VLOOKUP(B444,'0. Instruções'!$C$27:$G$32,4,FALSE)&amp;"=Y."&amp;VLOOKUP(B444,'0. Instruções'!$C$27:$G$32,4,FALSE)&amp;"_SIMUL")</f>
        <v>ON X.ENTTY_ID=Y.ENTTY_ID_SIMUL</v>
      </c>
      <c r="L444" s="35" t="str">
        <f>+IF(C444="Coerência", +IF(LEFT(G444,5)="FLOAT","SELECT '"&amp;UPPER(B444)&amp;"' AS TABELA, '"&amp;UPPER(C444)&amp;"' AS TIPOLOGIA_TESTE,'"&amp;D444&amp;"' AS TABELA_LT,'"&amp;E444&amp;"' AS TABELA_SIMUL,'"&amp;F444&amp;"' AS CAMPO, "&amp;"'${ref_date}' AS REF_DATE, COUNT(*) AS NUM_REG, SUM(IF((ABS(COALESCE(CAST(X."&amp;F444&amp;" AS DECIMAL(18,6)),0)-COALESCE(CAST(Y."&amp;F444&amp;"_SIMUL AS DECIMAL(18,6)),0))&gt;0.000001) OR (X."&amp;F444&amp;" IS NULL AND Y."&amp;F444&amp;"_SIMUL IS NOT NULL ) OR (X."&amp;F444&amp;" IS NOT NULL AND Y."&amp;F444&amp;"_SIMUL IS NULL),1,0)) AS NUM_REG_DIF,'"&amp;MAX('ID1&amp;5'!K:K)+1&amp;"' AS ID_EXEC, CURRENT_TIMESTAMP() AS TIME_EXEC FROM "&amp;I444&amp;" INNER JOIN "&amp;J444&amp;" "&amp;K444,"SELECT '"&amp;UPPER(B444)&amp;"' AS TABELA, '"&amp;UPPER(C444)&amp;"' AS TIPOLOGIA_TESTE,'"&amp;D444&amp;"' AS TABELA_LT,'"&amp;E444&amp;"' AS TABELA_SIMUL,'"&amp;F444&amp;"' AS CAMPO, "&amp;"'${ref_date}' AS REF_DATE, COUNT(*) AS NUM_REG, SUM(IF(COALESCE(CAST(X."&amp;F444&amp;" AS STRING),'')&lt;&gt;COALESCE(CAST(Y."&amp;F444&amp;"_SIMUL AS STRING),'') OR (X."&amp;F444&amp;" IS NULL AND Y."&amp;F444&amp;"_SIMUL IS NOT NULL ) OR (X."&amp;F444&amp;" IS NOT NULL AND Y."&amp;F444&amp;"_SIMUL IS NULL),1,0)) AS NUM_REG_DIF,'"&amp;MAX('ID1&amp;5'!L:L)+1&amp;"' AS ID_EXEC, CURRENT_TIMESTAMP() AS TIME_EXEC FROM "&amp;I444&amp;" INNER JOIN "&amp;J444&amp;" "&amp;K444),
IF(C444="Validade",+IF(G444="Code List","SELECT '"&amp;UPPER(B444)&amp;"' AS TABELA, '"&amp;UPPER(C444)&amp;"' AS TIPOLOGIA_TESTE,'"&amp;D444&amp;"' AS TABELA_LT,'N/A' AS TABELA_SIMUL,'"&amp;F444&amp;"' AS CAMPO, "&amp;"'${ref_date}' AS REF_DATE, COUNT(*) AS NUM_REG, SUM(IF(TRIM(CAST(X."&amp;F444&amp;" AS STRING))='' OR TRIM(CAST(X."&amp;F444&amp;" AS STRING)) IS NULL OR CAST(X."&amp;F444&amp;" AS STRING) NOT "&amp;H444&amp;",1,0)) AS NUM_REG_DIF,'"&amp;MAX('ID1&amp;5'!K:K)+1&amp;"' AS ID_EXEC, CURRENT_TIMESTAMP() AS TIME_EXEC FROM "&amp;I444,"SELECT '"&amp;UPPER(B444)&amp;"' AS TABELA, '"&amp;UPPER(C444)&amp;"' AS TIPOLOGIA_TESTE,'"&amp;D444&amp;"' AS TABELA_LT,'N/A' AS TABELA_SIMUL,'"&amp;F444&amp;"' AS CAMPO, "&amp;"'${ref_date}' AS REF_DATE, COUNT(*) AS NUM_REG, SUM(IF(TRIM(CAST(X."&amp;F444&amp;" AS STRING))='' OR TRIM(CAST(X."&amp;F444&amp;" AS STRING)) IS NULL,1,0)) AS NUM_REG_DIF,'"&amp;MAX('ID1&amp;5'!K:K)+1&amp;"' AS ID_EXEC, CURRENT_TIMESTAMP() AS TIME_EXEC FROM "&amp;I444),
IF(C444="Caracteres Especiais",+"SELECT '"&amp;UPPER(B444)&amp;"' AS TABELA, '"&amp;UPPER(C444)&amp;"' AS TIPOLOGIA_TESTE,'"&amp;D444&amp;"' AS TABELA_LT,'N/A' AS TABELA_SIMUL,'"&amp;F444&amp;"' AS CAMPO, "&amp;"'${ref_date}' AS REF_DATE, COUNT(*) AS NUM_REG, SUM(IF(REGEXP_REPLACE(TRIM(CAST(X."&amp;F444&amp;" AS STRING)),'[^a-zA-Z0-9_\\s]','') &lt;&gt;TRIM(CAST(X."&amp;F444&amp;" AS STRING)),1,0)) AS NUM_REG_DIF,'"&amp;MAX('ID1&amp;5'!K:K)+1&amp;"' AS ID_EXEC, CURRENT_TIMESTAMP() AS TIME_EXEC FROM "&amp;I444,
IF(C444="Missings",+"SELECT '"&amp;UPPER(B444)&amp;"' AS TABELA, '"&amp;UPPER(C444)&amp;"' AS TIPOLOGIA_TESTE,'"&amp;D444&amp;"' AS TABELA_LT,'N/A' AS TABELA_SIMUL,'"&amp;F444&amp;"' AS CAMPO, "&amp;"'${ref_date}' AS REF_DATE, COUNT(*) AS NUM_REG, SUM(IF(TRIM(CAST(X."&amp;F444&amp;" AS STRING)) IN ('0000-00-00','0001-01-01','9999-12-31','MISS','00000','99999999999','99999999999.00','99999999999.000000'),1,0)) AS NUM_REG_DIF,'"&amp;MAX('ID1&amp;5'!K:K)+1&amp;"' AS ID_EXEC, CURRENT_TIMESTAMP() AS TIME_EXEC FROM "&amp;I444,
IF(C444="Not applicable",+"SELECT '"&amp;UPPER(B444)&amp;"' AS TABELA, '"&amp;UPPER(C444)&amp;"' AS TIPOLOGIA_TESTE,'"&amp;D444&amp;"' AS TABELA_LT,'N/A' AS TABELA_SIMUL,'"&amp;F444&amp;"' AS CAMPO, "&amp;"'${ref_date}' AS REF_DATE, COUNT(*) AS NUM_REG, SUM(IF(TRIM(CAST(X."&amp;F444&amp;" AS STRING)) IN ('N/A','11111111111','11111111111.00','11111111111.000000','1111-11-11'),1,0)) AS NUM_REG_DIF,'"&amp;MAX('ID1&amp;5'!K:K)+1&amp;"' AS ID_EXEC, CURRENT_TIMESTAMP() AS TIME_EXEC FROM "&amp;I444,
IF(C444="Valores extremos",+"SELECT '"&amp;UPPER(B444)&amp;"' AS TABELA, '"&amp;UPPER(C444)&amp;"' AS TIPOLOGIA_TESTE,'"&amp;D444&amp;"' AS TABELA_LT,'N/A' AS TABELA_SIMUL,'"&amp;F444&amp;"' AS CAMPO, "&amp;"'${ref_date}' AS REF_DATE, CAST(MIN("&amp;F444&amp;") AS STRING) AS VALOR_MIN, CAST(MAX("&amp;F444&amp;") AS STRING) AS VALOR_MAX,'"&amp;MAX('ID1&amp;5'!K:K)+1&amp;"' AS ID_EXEC, CURRENT_TIMESTAMP() AS TIME_EXEC FROM "&amp;MID(I444,1,LEN(I444)-2)&amp;" AND CAST("&amp;F444&amp;"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TABELA_SIMUL,'nt_incm_prvs' AS CAMPO, '${ref_date}' AS REF_DATE, COUNT(*) AS NUM_REG, SUM(IF(COALESCE(CAST(X.nt_incm_prvs AS STRING),'')&lt;&gt;COALESCE(CAST(Y.nt_incm_prvs_SIMUL AS STRING),'') OR (X.nt_incm_prvs IS NULL AND Y.nt_incm_prvs_SIMUL IS NOT NULL ) OR (X.nt_incm_prvs IS NOT NULL AND Y.nt_incm_prvs_SIMUL IS NULL),1,0)) AS NUM_REG_DIF,'1' AS ID_EXEC, CURRENT_TIMESTAMP() AS TIME_EXEC FROM (SELECT entty_id, nt_incm_prvs FROM BU_LOANTAPE_WORK.LT003_ENTITY WHERE ref_date='${ref_date}' AND nome_perimetro='Individual Local' AND segmento='ESTR' AND ambito='SRB_MBDT' AND entidade='00100')X INNER JOIN (SELECT entty_id AS entty_id_SIMUL, nt_incm_prvs AS nt_incm_prvs_SIMUL FROM BU_LOANTAPE_WORK.SIMUL_LT003_ENTITY WHERE ref_date='${ref_date}' AND nome_perimetro='Individual Local' AND segmento='ESTR' AND ambito='PILAR3' AND entidade='00100')Y ON X.ENTTY_ID=Y.ENTTY_ID_SIMUL</v>
      </c>
      <c r="M444" s="36" t="str">
        <f t="shared" si="10"/>
        <v>UNION ALL SELECT 'ENTITY' AS TABELA, 'COERÊNCIA' AS TIPOLOGIA_TESTE,'BU_LOANTAPE_WORK.LT003_ENTITY' AS TABELA_LT,'BU_LOANTAPE_WORK.SIMUL_LT003_ENTITY' AS TABELA_SIMUL,'nt_incm_prvs' AS CAMPO, '${ref_date}' AS REF_DATE, COUNT(*) AS NUM_REG, SUM(IF(COALESCE(CAST(X.nt_incm_prvs AS STRING),'')&lt;&gt;COALESCE(CAST(Y.nt_incm_prvs_SIMUL AS STRING),'') OR (X.nt_incm_prvs IS NULL AND Y.nt_incm_prvs_SIMUL IS NOT NULL ) OR (X.nt_incm_prvs IS NOT NULL AND Y.nt_incm_prvs_SIMUL IS NULL),1,0)) AS NUM_REG_DIF,'1' AS ID_EXEC, CURRENT_TIMESTAMP() AS TIME_EXEC FROM (SELECT entty_id, nt_incm_prvs FROM BU_LOANTAPE_WORK.LT003_ENTITY WHERE ref_date='${ref_date}' AND nome_perimetro='Individual Local' AND segmento='ESTR' AND ambito='SRB_MBDT' AND entidade='00100')X INNER JOIN (SELECT entty_id AS entty_id_SIMUL, nt_incm_prvs AS nt_incm_prvs_SIMUL FROM BU_LOANTAPE_WORK.SIMUL_LT003_ENTITY WHERE ref_date='${ref_date}' AND nome_perimetro='Individual Local' AND segmento='ESTR' AND ambito='PILAR3' AND entidade='00100')Y ON X.ENTTY_ID=Y.ENTTY_ID_SIMUL</v>
      </c>
    </row>
    <row r="445" spans="2:13">
      <c r="B445" s="34" t="s">
        <v>118</v>
      </c>
      <c r="C445" s="34" t="s">
        <v>5</v>
      </c>
      <c r="D445" s="34" t="str">
        <f>+UPPER('0. Instruções'!$D$35&amp;"."&amp;VLOOKUP(B445,'0. Instruções'!$C$27:$D$32,2,FALSE))</f>
        <v>BU_LOANTAPE_WORK.LT003_ENTITY</v>
      </c>
      <c r="E445" s="34" t="str">
        <f>+UPPER('0. Instruções'!$D$36&amp;"."&amp;VLOOKUP(B445,'0. Instruções'!$C$27:$E$32,3,FALSE))</f>
        <v>BU_LOANTAPE_WORK.SIMUL_LT003_ENTITY</v>
      </c>
      <c r="F445" s="34" t="s">
        <v>669</v>
      </c>
      <c r="G445" s="34"/>
      <c r="H445" s="34"/>
      <c r="I445" s="34" t="str">
        <f>"(SELECT "&amp;VLOOKUP(B445,'0. Instruções'!$C$27:$G$32,4,FALSE)&amp;", "&amp;F445&amp;" FROM "&amp;D445&amp;" WHERE "&amp;'0. Instruções'!$D$42&amp;")X"</f>
        <v>(SELECT entty_id, ttl_dbt FROM BU_LOANTAPE_WORK.LT003_ENTITY WHERE ref_date='${ref_date}' AND nome_perimetro='Individual Local' AND segmento='ESTR' AND ambito='SRB_MBDT' AND entidade='00100')X</v>
      </c>
      <c r="J445" s="34" t="str">
        <f>"(SELECT "&amp;VLOOKUP(B445,'0. Instruções'!$C$27:$G$32,4,FALSE)&amp;" AS "&amp;VLOOKUP(B445,'0. Instruções'!$C$27:$G$32,4,FALSE)&amp;"_SIMUL, "&amp;F445&amp;" AS "&amp;F445&amp;"_SIMUL FROM "&amp;E445&amp;" WHERE "&amp;'0. Instruções'!$D$43&amp;")Y"</f>
        <v>(SELECT entty_id AS entty_id_SIMUL, ttl_dbt AS ttl_dbt_SIMUL FROM BU_LOANTAPE_WORK.SIMUL_LT003_ENTITY WHERE ref_date='${ref_date}' AND nome_perimetro='Individual Local' AND segmento='ESTR' AND ambito='PILAR3' AND entidade='00100')Y</v>
      </c>
      <c r="K445" s="35" t="str">
        <f>+UPPER("ON X."&amp;VLOOKUP(B445,'0. Instruções'!$C$27:$G$32,4,FALSE)&amp;"=Y."&amp;VLOOKUP(B445,'0. Instruções'!$C$27:$G$32,4,FALSE)&amp;"_SIMUL")</f>
        <v>ON X.ENTTY_ID=Y.ENTTY_ID_SIMUL</v>
      </c>
      <c r="L445" s="35" t="str">
        <f>+IF(C445="Coerência", +IF(LEFT(G445,5)="FLOAT","SELECT '"&amp;UPPER(B445)&amp;"' AS TABELA, '"&amp;UPPER(C445)&amp;"' AS TIPOLOGIA_TESTE,'"&amp;D445&amp;"' AS TABELA_LT,'"&amp;E445&amp;"' AS TABELA_SIMUL,'"&amp;F445&amp;"' AS CAMPO, "&amp;"'${ref_date}' AS REF_DATE, COUNT(*) AS NUM_REG, SUM(IF((ABS(COALESCE(CAST(X."&amp;F445&amp;" AS DECIMAL(18,6)),0)-COALESCE(CAST(Y."&amp;F445&amp;"_SIMUL AS DECIMAL(18,6)),0))&gt;0.000001) OR (X."&amp;F445&amp;" IS NULL AND Y."&amp;F445&amp;"_SIMUL IS NOT NULL ) OR (X."&amp;F445&amp;" IS NOT NULL AND Y."&amp;F445&amp;"_SIMUL IS NULL),1,0)) AS NUM_REG_DIF,'"&amp;MAX('ID1&amp;5'!K:K)+1&amp;"' AS ID_EXEC, CURRENT_TIMESTAMP() AS TIME_EXEC FROM "&amp;I445&amp;" INNER JOIN "&amp;J445&amp;" "&amp;K445,"SELECT '"&amp;UPPER(B445)&amp;"' AS TABELA, '"&amp;UPPER(C445)&amp;"' AS TIPOLOGIA_TESTE,'"&amp;D445&amp;"' AS TABELA_LT,'"&amp;E445&amp;"' AS TABELA_SIMUL,'"&amp;F445&amp;"' AS CAMPO, "&amp;"'${ref_date}' AS REF_DATE, COUNT(*) AS NUM_REG, SUM(IF(COALESCE(CAST(X."&amp;F445&amp;" AS STRING),'')&lt;&gt;COALESCE(CAST(Y."&amp;F445&amp;"_SIMUL AS STRING),'') OR (X."&amp;F445&amp;" IS NULL AND Y."&amp;F445&amp;"_SIMUL IS NOT NULL ) OR (X."&amp;F445&amp;" IS NOT NULL AND Y."&amp;F445&amp;"_SIMUL IS NULL),1,0)) AS NUM_REG_DIF,'"&amp;MAX('ID1&amp;5'!L:L)+1&amp;"' AS ID_EXEC, CURRENT_TIMESTAMP() AS TIME_EXEC FROM "&amp;I445&amp;" INNER JOIN "&amp;J445&amp;" "&amp;K445),
IF(C445="Validade",+IF(G445="Code List","SELECT '"&amp;UPPER(B445)&amp;"' AS TABELA, '"&amp;UPPER(C445)&amp;"' AS TIPOLOGIA_TESTE,'"&amp;D445&amp;"' AS TABELA_LT,'N/A' AS TABELA_SIMUL,'"&amp;F445&amp;"' AS CAMPO, "&amp;"'${ref_date}' AS REF_DATE, COUNT(*) AS NUM_REG, SUM(IF(TRIM(CAST(X."&amp;F445&amp;" AS STRING))='' OR TRIM(CAST(X."&amp;F445&amp;" AS STRING)) IS NULL OR CAST(X."&amp;F445&amp;" AS STRING) NOT "&amp;H445&amp;",1,0)) AS NUM_REG_DIF,'"&amp;MAX('ID1&amp;5'!K:K)+1&amp;"' AS ID_EXEC, CURRENT_TIMESTAMP() AS TIME_EXEC FROM "&amp;I445,"SELECT '"&amp;UPPER(B445)&amp;"' AS TABELA, '"&amp;UPPER(C445)&amp;"' AS TIPOLOGIA_TESTE,'"&amp;D445&amp;"' AS TABELA_LT,'N/A' AS TABELA_SIMUL,'"&amp;F445&amp;"' AS CAMPO, "&amp;"'${ref_date}' AS REF_DATE, COUNT(*) AS NUM_REG, SUM(IF(TRIM(CAST(X."&amp;F445&amp;" AS STRING))='' OR TRIM(CAST(X."&amp;F445&amp;" AS STRING)) IS NULL,1,0)) AS NUM_REG_DIF,'"&amp;MAX('ID1&amp;5'!K:K)+1&amp;"' AS ID_EXEC, CURRENT_TIMESTAMP() AS TIME_EXEC FROM "&amp;I445),
IF(C445="Caracteres Especiais",+"SELECT '"&amp;UPPER(B445)&amp;"' AS TABELA, '"&amp;UPPER(C445)&amp;"' AS TIPOLOGIA_TESTE,'"&amp;D445&amp;"' AS TABELA_LT,'N/A' AS TABELA_SIMUL,'"&amp;F445&amp;"' AS CAMPO, "&amp;"'${ref_date}' AS REF_DATE, COUNT(*) AS NUM_REG, SUM(IF(REGEXP_REPLACE(TRIM(CAST(X."&amp;F445&amp;" AS STRING)),'[^a-zA-Z0-9_\\s]','') &lt;&gt;TRIM(CAST(X."&amp;F445&amp;" AS STRING)),1,0)) AS NUM_REG_DIF,'"&amp;MAX('ID1&amp;5'!K:K)+1&amp;"' AS ID_EXEC, CURRENT_TIMESTAMP() AS TIME_EXEC FROM "&amp;I445,
IF(C445="Missings",+"SELECT '"&amp;UPPER(B445)&amp;"' AS TABELA, '"&amp;UPPER(C445)&amp;"' AS TIPOLOGIA_TESTE,'"&amp;D445&amp;"' AS TABELA_LT,'N/A' AS TABELA_SIMUL,'"&amp;F445&amp;"' AS CAMPO, "&amp;"'${ref_date}' AS REF_DATE, COUNT(*) AS NUM_REG, SUM(IF(TRIM(CAST(X."&amp;F445&amp;" AS STRING)) IN ('0000-00-00','0001-01-01','9999-12-31','MISS','00000','99999999999','99999999999.00','99999999999.000000'),1,0)) AS NUM_REG_DIF,'"&amp;MAX('ID1&amp;5'!K:K)+1&amp;"' AS ID_EXEC, CURRENT_TIMESTAMP() AS TIME_EXEC FROM "&amp;I445,
IF(C445="Not applicable",+"SELECT '"&amp;UPPER(B445)&amp;"' AS TABELA, '"&amp;UPPER(C445)&amp;"' AS TIPOLOGIA_TESTE,'"&amp;D445&amp;"' AS TABELA_LT,'N/A' AS TABELA_SIMUL,'"&amp;F445&amp;"' AS CAMPO, "&amp;"'${ref_date}' AS REF_DATE, COUNT(*) AS NUM_REG, SUM(IF(TRIM(CAST(X."&amp;F445&amp;" AS STRING)) IN ('N/A','11111111111','11111111111.00','11111111111.000000','1111-11-11'),1,0)) AS NUM_REG_DIF,'"&amp;MAX('ID1&amp;5'!K:K)+1&amp;"' AS ID_EXEC, CURRENT_TIMESTAMP() AS TIME_EXEC FROM "&amp;I445,
IF(C445="Valores extremos",+"SELECT '"&amp;UPPER(B445)&amp;"' AS TABELA, '"&amp;UPPER(C445)&amp;"' AS TIPOLOGIA_TESTE,'"&amp;D445&amp;"' AS TABELA_LT,'N/A' AS TABELA_SIMUL,'"&amp;F445&amp;"' AS CAMPO, "&amp;"'${ref_date}' AS REF_DATE, CAST(MIN("&amp;F445&amp;") AS STRING) AS VALOR_MIN, CAST(MAX("&amp;F445&amp;") AS STRING) AS VALOR_MAX,'"&amp;MAX('ID1&amp;5'!K:K)+1&amp;"' AS ID_EXEC, CURRENT_TIMESTAMP() AS TIME_EXEC FROM "&amp;MID(I445,1,LEN(I445)-2)&amp;" AND CAST("&amp;F445&amp;"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TABELA_SIMUL,'ttl_dbt' AS CAMPO, '${ref_date}' AS REF_DATE, COUNT(*) AS NUM_REG, SUM(IF(COALESCE(CAST(X.ttl_dbt AS STRING),'')&lt;&gt;COALESCE(CAST(Y.ttl_dbt_SIMUL AS STRING),'') OR (X.ttl_dbt IS NULL AND Y.ttl_dbt_SIMUL IS NOT NULL ) OR (X.ttl_dbt IS NOT NULL AND Y.ttl_dbt_SIMUL IS NULL),1,0)) AS NUM_REG_DIF,'1' AS ID_EXEC, CURRENT_TIMESTAMP() AS TIME_EXEC FROM (SELECT entty_id, ttl_dbt FROM BU_LOANTAPE_WORK.LT003_ENTITY WHERE ref_date='${ref_date}' AND nome_perimetro='Individual Local' AND segmento='ESTR' AND ambito='SRB_MBDT' AND entidade='00100')X INNER JOIN (SELECT entty_id AS entty_id_SIMUL, ttl_dbt AS ttl_dbt_SIMUL FROM BU_LOANTAPE_WORK.SIMUL_LT003_ENTITY WHERE ref_date='${ref_date}' AND nome_perimetro='Individual Local' AND segmento='ESTR' AND ambito='PILAR3' AND entidade='00100')Y ON X.ENTTY_ID=Y.ENTTY_ID_SIMUL</v>
      </c>
      <c r="M445" s="36" t="str">
        <f t="shared" si="10"/>
        <v>UNION ALL SELECT 'ENTITY' AS TABELA, 'COERÊNCIA' AS TIPOLOGIA_TESTE,'BU_LOANTAPE_WORK.LT003_ENTITY' AS TABELA_LT,'BU_LOANTAPE_WORK.SIMUL_LT003_ENTITY' AS TABELA_SIMUL,'ttl_dbt' AS CAMPO, '${ref_date}' AS REF_DATE, COUNT(*) AS NUM_REG, SUM(IF(COALESCE(CAST(X.ttl_dbt AS STRING),'')&lt;&gt;COALESCE(CAST(Y.ttl_dbt_SIMUL AS STRING),'') OR (X.ttl_dbt IS NULL AND Y.ttl_dbt_SIMUL IS NOT NULL ) OR (X.ttl_dbt IS NOT NULL AND Y.ttl_dbt_SIMUL IS NULL),1,0)) AS NUM_REG_DIF,'1' AS ID_EXEC, CURRENT_TIMESTAMP() AS TIME_EXEC FROM (SELECT entty_id, ttl_dbt FROM BU_LOANTAPE_WORK.LT003_ENTITY WHERE ref_date='${ref_date}' AND nome_perimetro='Individual Local' AND segmento='ESTR' AND ambito='SRB_MBDT' AND entidade='00100')X INNER JOIN (SELECT entty_id AS entty_id_SIMUL, ttl_dbt AS ttl_dbt_SIMUL FROM BU_LOANTAPE_WORK.SIMUL_LT003_ENTITY WHERE ref_date='${ref_date}' AND nome_perimetro='Individual Local' AND segmento='ESTR' AND ambito='PILAR3' AND entidade='00100')Y ON X.ENTTY_ID=Y.ENTTY_ID_SIMUL</v>
      </c>
    </row>
    <row r="446" spans="2:13">
      <c r="B446" s="34" t="s">
        <v>118</v>
      </c>
      <c r="C446" s="34" t="s">
        <v>5</v>
      </c>
      <c r="D446" s="34" t="str">
        <f>+UPPER('0. Instruções'!$D$35&amp;"."&amp;VLOOKUP(B446,'0. Instruções'!$C$27:$D$32,2,FALSE))</f>
        <v>BU_LOANTAPE_WORK.LT003_ENTITY</v>
      </c>
      <c r="E446" s="34" t="str">
        <f>+UPPER('0. Instruções'!$D$36&amp;"."&amp;VLOOKUP(B446,'0. Instruções'!$C$27:$E$32,3,FALSE))</f>
        <v>BU_LOANTAPE_WORK.SIMUL_LT003_ENTITY</v>
      </c>
      <c r="F446" s="34" t="s">
        <v>1467</v>
      </c>
      <c r="G446" s="34"/>
      <c r="H446" s="34"/>
      <c r="I446" s="34" t="str">
        <f>"(SELECT "&amp;VLOOKUP(B446,'0. Instruções'!$C$27:$G$32,4,FALSE)&amp;", "&amp;F446&amp;" FROM "&amp;D446&amp;" WHERE "&amp;'0. Instruções'!$D$42&amp;")X"</f>
        <v>(SELECT entty_id, ttl_dbt_prvs FROM BU_LOANTAPE_WORK.LT003_ENTITY WHERE ref_date='${ref_date}' AND nome_perimetro='Individual Local' AND segmento='ESTR' AND ambito='SRB_MBDT' AND entidade='00100')X</v>
      </c>
      <c r="J446" s="34" t="str">
        <f>"(SELECT "&amp;VLOOKUP(B446,'0. Instruções'!$C$27:$G$32,4,FALSE)&amp;" AS "&amp;VLOOKUP(B446,'0. Instruções'!$C$27:$G$32,4,FALSE)&amp;"_SIMUL, "&amp;F446&amp;" AS "&amp;F446&amp;"_SIMUL FROM "&amp;E446&amp;" WHERE "&amp;'0. Instruções'!$D$43&amp;")Y"</f>
        <v>(SELECT entty_id AS entty_id_SIMUL, ttl_dbt_prvs AS ttl_dbt_prvs_SIMUL FROM BU_LOANTAPE_WORK.SIMUL_LT003_ENTITY WHERE ref_date='${ref_date}' AND nome_perimetro='Individual Local' AND segmento='ESTR' AND ambito='PILAR3' AND entidade='00100')Y</v>
      </c>
      <c r="K446" s="35" t="str">
        <f>+UPPER("ON X."&amp;VLOOKUP(B446,'0. Instruções'!$C$27:$G$32,4,FALSE)&amp;"=Y."&amp;VLOOKUP(B446,'0. Instruções'!$C$27:$G$32,4,FALSE)&amp;"_SIMUL")</f>
        <v>ON X.ENTTY_ID=Y.ENTTY_ID_SIMUL</v>
      </c>
      <c r="L446" s="35" t="str">
        <f>+IF(C446="Coerência", +IF(LEFT(G446,5)="FLOAT","SELECT '"&amp;UPPER(B446)&amp;"' AS TABELA, '"&amp;UPPER(C446)&amp;"' AS TIPOLOGIA_TESTE,'"&amp;D446&amp;"' AS TABELA_LT,'"&amp;E446&amp;"' AS TABELA_SIMUL,'"&amp;F446&amp;"' AS CAMPO, "&amp;"'${ref_date}' AS REF_DATE, COUNT(*) AS NUM_REG, SUM(IF((ABS(COALESCE(CAST(X."&amp;F446&amp;" AS DECIMAL(18,6)),0)-COALESCE(CAST(Y."&amp;F446&amp;"_SIMUL AS DECIMAL(18,6)),0))&gt;0.000001) OR (X."&amp;F446&amp;" IS NULL AND Y."&amp;F446&amp;"_SIMUL IS NOT NULL ) OR (X."&amp;F446&amp;" IS NOT NULL AND Y."&amp;F446&amp;"_SIMUL IS NULL),1,0)) AS NUM_REG_DIF,'"&amp;MAX('ID1&amp;5'!K:K)+1&amp;"' AS ID_EXEC, CURRENT_TIMESTAMP() AS TIME_EXEC FROM "&amp;I446&amp;" INNER JOIN "&amp;J446&amp;" "&amp;K446,"SELECT '"&amp;UPPER(B446)&amp;"' AS TABELA, '"&amp;UPPER(C446)&amp;"' AS TIPOLOGIA_TESTE,'"&amp;D446&amp;"' AS TABELA_LT,'"&amp;E446&amp;"' AS TABELA_SIMUL,'"&amp;F446&amp;"' AS CAMPO, "&amp;"'${ref_date}' AS REF_DATE, COUNT(*) AS NUM_REG, SUM(IF(COALESCE(CAST(X."&amp;F446&amp;" AS STRING),'')&lt;&gt;COALESCE(CAST(Y."&amp;F446&amp;"_SIMUL AS STRING),'') OR (X."&amp;F446&amp;" IS NULL AND Y."&amp;F446&amp;"_SIMUL IS NOT NULL ) OR (X."&amp;F446&amp;" IS NOT NULL AND Y."&amp;F446&amp;"_SIMUL IS NULL),1,0)) AS NUM_REG_DIF,'"&amp;MAX('ID1&amp;5'!L:L)+1&amp;"' AS ID_EXEC, CURRENT_TIMESTAMP() AS TIME_EXEC FROM "&amp;I446&amp;" INNER JOIN "&amp;J446&amp;" "&amp;K446),
IF(C446="Validade",+IF(G446="Code List","SELECT '"&amp;UPPER(B446)&amp;"' AS TABELA, '"&amp;UPPER(C446)&amp;"' AS TIPOLOGIA_TESTE,'"&amp;D446&amp;"' AS TABELA_LT,'N/A' AS TABELA_SIMUL,'"&amp;F446&amp;"' AS CAMPO, "&amp;"'${ref_date}' AS REF_DATE, COUNT(*) AS NUM_REG, SUM(IF(TRIM(CAST(X."&amp;F446&amp;" AS STRING))='' OR TRIM(CAST(X."&amp;F446&amp;" AS STRING)) IS NULL OR CAST(X."&amp;F446&amp;" AS STRING) NOT "&amp;H446&amp;",1,0)) AS NUM_REG_DIF,'"&amp;MAX('ID1&amp;5'!K:K)+1&amp;"' AS ID_EXEC, CURRENT_TIMESTAMP() AS TIME_EXEC FROM "&amp;I446,"SELECT '"&amp;UPPER(B446)&amp;"' AS TABELA, '"&amp;UPPER(C446)&amp;"' AS TIPOLOGIA_TESTE,'"&amp;D446&amp;"' AS TABELA_LT,'N/A' AS TABELA_SIMUL,'"&amp;F446&amp;"' AS CAMPO, "&amp;"'${ref_date}' AS REF_DATE, COUNT(*) AS NUM_REG, SUM(IF(TRIM(CAST(X."&amp;F446&amp;" AS STRING))='' OR TRIM(CAST(X."&amp;F446&amp;" AS STRING)) IS NULL,1,0)) AS NUM_REG_DIF,'"&amp;MAX('ID1&amp;5'!K:K)+1&amp;"' AS ID_EXEC, CURRENT_TIMESTAMP() AS TIME_EXEC FROM "&amp;I446),
IF(C446="Caracteres Especiais",+"SELECT '"&amp;UPPER(B446)&amp;"' AS TABELA, '"&amp;UPPER(C446)&amp;"' AS TIPOLOGIA_TESTE,'"&amp;D446&amp;"' AS TABELA_LT,'N/A' AS TABELA_SIMUL,'"&amp;F446&amp;"' AS CAMPO, "&amp;"'${ref_date}' AS REF_DATE, COUNT(*) AS NUM_REG, SUM(IF(REGEXP_REPLACE(TRIM(CAST(X."&amp;F446&amp;" AS STRING)),'[^a-zA-Z0-9_\\s]','') &lt;&gt;TRIM(CAST(X."&amp;F446&amp;" AS STRING)),1,0)) AS NUM_REG_DIF,'"&amp;MAX('ID1&amp;5'!K:K)+1&amp;"' AS ID_EXEC, CURRENT_TIMESTAMP() AS TIME_EXEC FROM "&amp;I446,
IF(C446="Missings",+"SELECT '"&amp;UPPER(B446)&amp;"' AS TABELA, '"&amp;UPPER(C446)&amp;"' AS TIPOLOGIA_TESTE,'"&amp;D446&amp;"' AS TABELA_LT,'N/A' AS TABELA_SIMUL,'"&amp;F446&amp;"' AS CAMPO, "&amp;"'${ref_date}' AS REF_DATE, COUNT(*) AS NUM_REG, SUM(IF(TRIM(CAST(X."&amp;F446&amp;" AS STRING)) IN ('0000-00-00','0001-01-01','9999-12-31','MISS','00000','99999999999','99999999999.00','99999999999.000000'),1,0)) AS NUM_REG_DIF,'"&amp;MAX('ID1&amp;5'!K:K)+1&amp;"' AS ID_EXEC, CURRENT_TIMESTAMP() AS TIME_EXEC FROM "&amp;I446,
IF(C446="Not applicable",+"SELECT '"&amp;UPPER(B446)&amp;"' AS TABELA, '"&amp;UPPER(C446)&amp;"' AS TIPOLOGIA_TESTE,'"&amp;D446&amp;"' AS TABELA_LT,'N/A' AS TABELA_SIMUL,'"&amp;F446&amp;"' AS CAMPO, "&amp;"'${ref_date}' AS REF_DATE, COUNT(*) AS NUM_REG, SUM(IF(TRIM(CAST(X."&amp;F446&amp;" AS STRING)) IN ('N/A','11111111111','11111111111.00','11111111111.000000','1111-11-11'),1,0)) AS NUM_REG_DIF,'"&amp;MAX('ID1&amp;5'!K:K)+1&amp;"' AS ID_EXEC, CURRENT_TIMESTAMP() AS TIME_EXEC FROM "&amp;I446,
IF(C446="Valores extremos",+"SELECT '"&amp;UPPER(B446)&amp;"' AS TABELA, '"&amp;UPPER(C446)&amp;"' AS TIPOLOGIA_TESTE,'"&amp;D446&amp;"' AS TABELA_LT,'N/A' AS TABELA_SIMUL,'"&amp;F446&amp;"' AS CAMPO, "&amp;"'${ref_date}' AS REF_DATE, CAST(MIN("&amp;F446&amp;") AS STRING) AS VALOR_MIN, CAST(MAX("&amp;F446&amp;") AS STRING) AS VALOR_MAX,'"&amp;MAX('ID1&amp;5'!K:K)+1&amp;"' AS ID_EXEC, CURRENT_TIMESTAMP() AS TIME_EXEC FROM "&amp;MID(I446,1,LEN(I446)-2)&amp;" AND CAST("&amp;F446&amp;"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TABELA_SIMUL,'ttl_dbt_prvs' AS CAMPO, '${ref_date}' AS REF_DATE, COUNT(*) AS NUM_REG, SUM(IF(COALESCE(CAST(X.ttl_dbt_prvs AS STRING),'')&lt;&gt;COALESCE(CAST(Y.ttl_dbt_prvs_SIMUL AS STRING),'') OR (X.ttl_dbt_prvs IS NULL AND Y.ttl_dbt_prvs_SIMUL IS NOT NULL ) OR (X.ttl_dbt_prvs IS NOT NULL AND Y.ttl_dbt_prvs_SIMUL IS NULL),1,0)) AS NUM_REG_DIF,'1' AS ID_EXEC, CURRENT_TIMESTAMP() AS TIME_EXEC FROM (SELECT entty_id, ttl_dbt_prvs FROM BU_LOANTAPE_WORK.LT003_ENTITY WHERE ref_date='${ref_date}' AND nome_perimetro='Individual Local' AND segmento='ESTR' AND ambito='SRB_MBDT' AND entidade='00100')X INNER JOIN (SELECT entty_id AS entty_id_SIMUL, ttl_dbt_prvs AS ttl_dbt_prvs_SIMUL FROM BU_LOANTAPE_WORK.SIMUL_LT003_ENTITY WHERE ref_date='${ref_date}' AND nome_perimetro='Individual Local' AND segmento='ESTR' AND ambito='PILAR3' AND entidade='00100')Y ON X.ENTTY_ID=Y.ENTTY_ID_SIMUL</v>
      </c>
      <c r="M446" s="36" t="str">
        <f t="shared" si="10"/>
        <v>UNION ALL SELECT 'ENTITY' AS TABELA, 'COERÊNCIA' AS TIPOLOGIA_TESTE,'BU_LOANTAPE_WORK.LT003_ENTITY' AS TABELA_LT,'BU_LOANTAPE_WORK.SIMUL_LT003_ENTITY' AS TABELA_SIMUL,'ttl_dbt_prvs' AS CAMPO, '${ref_date}' AS REF_DATE, COUNT(*) AS NUM_REG, SUM(IF(COALESCE(CAST(X.ttl_dbt_prvs AS STRING),'')&lt;&gt;COALESCE(CAST(Y.ttl_dbt_prvs_SIMUL AS STRING),'') OR (X.ttl_dbt_prvs IS NULL AND Y.ttl_dbt_prvs_SIMUL IS NOT NULL ) OR (X.ttl_dbt_prvs IS NOT NULL AND Y.ttl_dbt_prvs_SIMUL IS NULL),1,0)) AS NUM_REG_DIF,'1' AS ID_EXEC, CURRENT_TIMESTAMP() AS TIME_EXEC FROM (SELECT entty_id, ttl_dbt_prvs FROM BU_LOANTAPE_WORK.LT003_ENTITY WHERE ref_date='${ref_date}' AND nome_perimetro='Individual Local' AND segmento='ESTR' AND ambito='SRB_MBDT' AND entidade='00100')X INNER JOIN (SELECT entty_id AS entty_id_SIMUL, ttl_dbt_prvs AS ttl_dbt_prvs_SIMUL FROM BU_LOANTAPE_WORK.SIMUL_LT003_ENTITY WHERE ref_date='${ref_date}' AND nome_perimetro='Individual Local' AND segmento='ESTR' AND ambito='PILAR3' AND entidade='00100')Y ON X.ENTTY_ID=Y.ENTTY_ID_SIMUL</v>
      </c>
    </row>
    <row r="447" spans="2:13">
      <c r="B447" s="34" t="s">
        <v>118</v>
      </c>
      <c r="C447" s="34" t="s">
        <v>5</v>
      </c>
      <c r="D447" s="34" t="str">
        <f>+UPPER('0. Instruções'!$D$35&amp;"."&amp;VLOOKUP(B447,'0. Instruções'!$C$27:$D$32,2,FALSE))</f>
        <v>BU_LOANTAPE_WORK.LT003_ENTITY</v>
      </c>
      <c r="E447" s="34" t="str">
        <f>+UPPER('0. Instruções'!$D$36&amp;"."&amp;VLOOKUP(B447,'0. Instruções'!$C$27:$E$32,3,FALSE))</f>
        <v>BU_LOANTAPE_WORK.SIMUL_LT003_ENTITY</v>
      </c>
      <c r="F447" s="34" t="s">
        <v>1468</v>
      </c>
      <c r="G447" s="34"/>
      <c r="H447" s="34"/>
      <c r="I447" s="34" t="str">
        <f>"(SELECT "&amp;VLOOKUP(B447,'0. Instruções'!$C$27:$G$32,4,FALSE)&amp;", "&amp;F447&amp;" FROM "&amp;D447&amp;" WHERE "&amp;'0. Instruções'!$D$42&amp;")X"</f>
        <v>(SELECT entty_id, ttl_intrst_pd FROM BU_LOANTAPE_WORK.LT003_ENTITY WHERE ref_date='${ref_date}' AND nome_perimetro='Individual Local' AND segmento='ESTR' AND ambito='SRB_MBDT' AND entidade='00100')X</v>
      </c>
      <c r="J447" s="34" t="str">
        <f>"(SELECT "&amp;VLOOKUP(B447,'0. Instruções'!$C$27:$G$32,4,FALSE)&amp;" AS "&amp;VLOOKUP(B447,'0. Instruções'!$C$27:$G$32,4,FALSE)&amp;"_SIMUL, "&amp;F447&amp;" AS "&amp;F447&amp;"_SIMUL FROM "&amp;E447&amp;" WHERE "&amp;'0. Instruções'!$D$43&amp;")Y"</f>
        <v>(SELECT entty_id AS entty_id_SIMUL, ttl_intrst_pd AS ttl_intrst_pd_SIMUL FROM BU_LOANTAPE_WORK.SIMUL_LT003_ENTITY WHERE ref_date='${ref_date}' AND nome_perimetro='Individual Local' AND segmento='ESTR' AND ambito='PILAR3' AND entidade='00100')Y</v>
      </c>
      <c r="K447" s="35" t="str">
        <f>+UPPER("ON X."&amp;VLOOKUP(B447,'0. Instruções'!$C$27:$G$32,4,FALSE)&amp;"=Y."&amp;VLOOKUP(B447,'0. Instruções'!$C$27:$G$32,4,FALSE)&amp;"_SIMUL")</f>
        <v>ON X.ENTTY_ID=Y.ENTTY_ID_SIMUL</v>
      </c>
      <c r="L447" s="35" t="str">
        <f>+IF(C447="Coerência", +IF(LEFT(G447,5)="FLOAT","SELECT '"&amp;UPPER(B447)&amp;"' AS TABELA, '"&amp;UPPER(C447)&amp;"' AS TIPOLOGIA_TESTE,'"&amp;D447&amp;"' AS TABELA_LT,'"&amp;E447&amp;"' AS TABELA_SIMUL,'"&amp;F447&amp;"' AS CAMPO, "&amp;"'${ref_date}' AS REF_DATE, COUNT(*) AS NUM_REG, SUM(IF((ABS(COALESCE(CAST(X."&amp;F447&amp;" AS DECIMAL(18,6)),0)-COALESCE(CAST(Y."&amp;F447&amp;"_SIMUL AS DECIMAL(18,6)),0))&gt;0.000001) OR (X."&amp;F447&amp;" IS NULL AND Y."&amp;F447&amp;"_SIMUL IS NOT NULL ) OR (X."&amp;F447&amp;" IS NOT NULL AND Y."&amp;F447&amp;"_SIMUL IS NULL),1,0)) AS NUM_REG_DIF,'"&amp;MAX('ID1&amp;5'!K:K)+1&amp;"' AS ID_EXEC, CURRENT_TIMESTAMP() AS TIME_EXEC FROM "&amp;I447&amp;" INNER JOIN "&amp;J447&amp;" "&amp;K447,"SELECT '"&amp;UPPER(B447)&amp;"' AS TABELA, '"&amp;UPPER(C447)&amp;"' AS TIPOLOGIA_TESTE,'"&amp;D447&amp;"' AS TABELA_LT,'"&amp;E447&amp;"' AS TABELA_SIMUL,'"&amp;F447&amp;"' AS CAMPO, "&amp;"'${ref_date}' AS REF_DATE, COUNT(*) AS NUM_REG, SUM(IF(COALESCE(CAST(X."&amp;F447&amp;" AS STRING),'')&lt;&gt;COALESCE(CAST(Y."&amp;F447&amp;"_SIMUL AS STRING),'') OR (X."&amp;F447&amp;" IS NULL AND Y."&amp;F447&amp;"_SIMUL IS NOT NULL ) OR (X."&amp;F447&amp;" IS NOT NULL AND Y."&amp;F447&amp;"_SIMUL IS NULL),1,0)) AS NUM_REG_DIF,'"&amp;MAX('ID1&amp;5'!L:L)+1&amp;"' AS ID_EXEC, CURRENT_TIMESTAMP() AS TIME_EXEC FROM "&amp;I447&amp;" INNER JOIN "&amp;J447&amp;" "&amp;K447),
IF(C447="Validade",+IF(G447="Code List","SELECT '"&amp;UPPER(B447)&amp;"' AS TABELA, '"&amp;UPPER(C447)&amp;"' AS TIPOLOGIA_TESTE,'"&amp;D447&amp;"' AS TABELA_LT,'N/A' AS TABELA_SIMUL,'"&amp;F447&amp;"' AS CAMPO, "&amp;"'${ref_date}' AS REF_DATE, COUNT(*) AS NUM_REG, SUM(IF(TRIM(CAST(X."&amp;F447&amp;" AS STRING))='' OR TRIM(CAST(X."&amp;F447&amp;" AS STRING)) IS NULL OR CAST(X."&amp;F447&amp;" AS STRING) NOT "&amp;H447&amp;",1,0)) AS NUM_REG_DIF,'"&amp;MAX('ID1&amp;5'!K:K)+1&amp;"' AS ID_EXEC, CURRENT_TIMESTAMP() AS TIME_EXEC FROM "&amp;I447,"SELECT '"&amp;UPPER(B447)&amp;"' AS TABELA, '"&amp;UPPER(C447)&amp;"' AS TIPOLOGIA_TESTE,'"&amp;D447&amp;"' AS TABELA_LT,'N/A' AS TABELA_SIMUL,'"&amp;F447&amp;"' AS CAMPO, "&amp;"'${ref_date}' AS REF_DATE, COUNT(*) AS NUM_REG, SUM(IF(TRIM(CAST(X."&amp;F447&amp;" AS STRING))='' OR TRIM(CAST(X."&amp;F447&amp;" AS STRING)) IS NULL,1,0)) AS NUM_REG_DIF,'"&amp;MAX('ID1&amp;5'!K:K)+1&amp;"' AS ID_EXEC, CURRENT_TIMESTAMP() AS TIME_EXEC FROM "&amp;I447),
IF(C447="Caracteres Especiais",+"SELECT '"&amp;UPPER(B447)&amp;"' AS TABELA, '"&amp;UPPER(C447)&amp;"' AS TIPOLOGIA_TESTE,'"&amp;D447&amp;"' AS TABELA_LT,'N/A' AS TABELA_SIMUL,'"&amp;F447&amp;"' AS CAMPO, "&amp;"'${ref_date}' AS REF_DATE, COUNT(*) AS NUM_REG, SUM(IF(REGEXP_REPLACE(TRIM(CAST(X."&amp;F447&amp;" AS STRING)),'[^a-zA-Z0-9_\\s]','') &lt;&gt;TRIM(CAST(X."&amp;F447&amp;" AS STRING)),1,0)) AS NUM_REG_DIF,'"&amp;MAX('ID1&amp;5'!K:K)+1&amp;"' AS ID_EXEC, CURRENT_TIMESTAMP() AS TIME_EXEC FROM "&amp;I447,
IF(C447="Missings",+"SELECT '"&amp;UPPER(B447)&amp;"' AS TABELA, '"&amp;UPPER(C447)&amp;"' AS TIPOLOGIA_TESTE,'"&amp;D447&amp;"' AS TABELA_LT,'N/A' AS TABELA_SIMUL,'"&amp;F447&amp;"' AS CAMPO, "&amp;"'${ref_date}' AS REF_DATE, COUNT(*) AS NUM_REG, SUM(IF(TRIM(CAST(X."&amp;F447&amp;" AS STRING)) IN ('0000-00-00','0001-01-01','9999-12-31','MISS','00000','99999999999','99999999999.00','99999999999.000000'),1,0)) AS NUM_REG_DIF,'"&amp;MAX('ID1&amp;5'!K:K)+1&amp;"' AS ID_EXEC, CURRENT_TIMESTAMP() AS TIME_EXEC FROM "&amp;I447,
IF(C447="Not applicable",+"SELECT '"&amp;UPPER(B447)&amp;"' AS TABELA, '"&amp;UPPER(C447)&amp;"' AS TIPOLOGIA_TESTE,'"&amp;D447&amp;"' AS TABELA_LT,'N/A' AS TABELA_SIMUL,'"&amp;F447&amp;"' AS CAMPO, "&amp;"'${ref_date}' AS REF_DATE, COUNT(*) AS NUM_REG, SUM(IF(TRIM(CAST(X."&amp;F447&amp;" AS STRING)) IN ('N/A','11111111111','11111111111.00','11111111111.000000','1111-11-11'),1,0)) AS NUM_REG_DIF,'"&amp;MAX('ID1&amp;5'!K:K)+1&amp;"' AS ID_EXEC, CURRENT_TIMESTAMP() AS TIME_EXEC FROM "&amp;I447,
IF(C447="Valores extremos",+"SELECT '"&amp;UPPER(B447)&amp;"' AS TABELA, '"&amp;UPPER(C447)&amp;"' AS TIPOLOGIA_TESTE,'"&amp;D447&amp;"' AS TABELA_LT,'N/A' AS TABELA_SIMUL,'"&amp;F447&amp;"' AS CAMPO, "&amp;"'${ref_date}' AS REF_DATE, CAST(MIN("&amp;F447&amp;") AS STRING) AS VALOR_MIN, CAST(MAX("&amp;F447&amp;") AS STRING) AS VALOR_MAX,'"&amp;MAX('ID1&amp;5'!K:K)+1&amp;"' AS ID_EXEC, CURRENT_TIMESTAMP() AS TIME_EXEC FROM "&amp;MID(I447,1,LEN(I447)-2)&amp;" AND CAST("&amp;F447&amp;"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TABELA_SIMUL,'ttl_intrst_pd' AS CAMPO, '${ref_date}' AS REF_DATE, COUNT(*) AS NUM_REG, SUM(IF(COALESCE(CAST(X.ttl_intrst_pd AS STRING),'')&lt;&gt;COALESCE(CAST(Y.ttl_intrst_pd_SIMUL AS STRING),'') OR (X.ttl_intrst_pd IS NULL AND Y.ttl_intrst_pd_SIMUL IS NOT NULL ) OR (X.ttl_intrst_pd IS NOT NULL AND Y.ttl_intrst_pd_SIMUL IS NULL),1,0)) AS NUM_REG_DIF,'1' AS ID_EXEC, CURRENT_TIMESTAMP() AS TIME_EXEC FROM (SELECT entty_id, ttl_intrst_pd FROM BU_LOANTAPE_WORK.LT003_ENTITY WHERE ref_date='${ref_date}' AND nome_perimetro='Individual Local' AND segmento='ESTR' AND ambito='SRB_MBDT' AND entidade='00100')X INNER JOIN (SELECT entty_id AS entty_id_SIMUL, ttl_intrst_pd AS ttl_intrst_pd_SIMUL FROM BU_LOANTAPE_WORK.SIMUL_LT003_ENTITY WHERE ref_date='${ref_date}' AND nome_perimetro='Individual Local' AND segmento='ESTR' AND ambito='PILAR3' AND entidade='00100')Y ON X.ENTTY_ID=Y.ENTTY_ID_SIMUL</v>
      </c>
      <c r="M447" s="36" t="str">
        <f t="shared" si="10"/>
        <v>UNION ALL SELECT 'ENTITY' AS TABELA, 'COERÊNCIA' AS TIPOLOGIA_TESTE,'BU_LOANTAPE_WORK.LT003_ENTITY' AS TABELA_LT,'BU_LOANTAPE_WORK.SIMUL_LT003_ENTITY' AS TABELA_SIMUL,'ttl_intrst_pd' AS CAMPO, '${ref_date}' AS REF_DATE, COUNT(*) AS NUM_REG, SUM(IF(COALESCE(CAST(X.ttl_intrst_pd AS STRING),'')&lt;&gt;COALESCE(CAST(Y.ttl_intrst_pd_SIMUL AS STRING),'') OR (X.ttl_intrst_pd IS NULL AND Y.ttl_intrst_pd_SIMUL IS NOT NULL ) OR (X.ttl_intrst_pd IS NOT NULL AND Y.ttl_intrst_pd_SIMUL IS NULL),1,0)) AS NUM_REG_DIF,'1' AS ID_EXEC, CURRENT_TIMESTAMP() AS TIME_EXEC FROM (SELECT entty_id, ttl_intrst_pd FROM BU_LOANTAPE_WORK.LT003_ENTITY WHERE ref_date='${ref_date}' AND nome_perimetro='Individual Local' AND segmento='ESTR' AND ambito='SRB_MBDT' AND entidade='00100')X INNER JOIN (SELECT entty_id AS entty_id_SIMUL, ttl_intrst_pd AS ttl_intrst_pd_SIMUL FROM BU_LOANTAPE_WORK.SIMUL_LT003_ENTITY WHERE ref_date='${ref_date}' AND nome_perimetro='Individual Local' AND segmento='ESTR' AND ambito='PILAR3' AND entidade='00100')Y ON X.ENTTY_ID=Y.ENTTY_ID_SIMUL</v>
      </c>
    </row>
    <row r="448" spans="2:13">
      <c r="B448" s="34" t="s">
        <v>118</v>
      </c>
      <c r="C448" s="34" t="s">
        <v>5</v>
      </c>
      <c r="D448" s="34" t="str">
        <f>+UPPER('0. Instruções'!$D$35&amp;"."&amp;VLOOKUP(B448,'0. Instruções'!$C$27:$D$32,2,FALSE))</f>
        <v>BU_LOANTAPE_WORK.LT003_ENTITY</v>
      </c>
      <c r="E448" s="34" t="str">
        <f>+UPPER('0. Instruções'!$D$36&amp;"."&amp;VLOOKUP(B448,'0. Instruções'!$C$27:$E$32,3,FALSE))</f>
        <v>BU_LOANTAPE_WORK.SIMUL_LT003_ENTITY</v>
      </c>
      <c r="F448" s="34" t="s">
        <v>1469</v>
      </c>
      <c r="G448" s="34"/>
      <c r="H448" s="34"/>
      <c r="I448" s="34" t="str">
        <f>"(SELECT "&amp;VLOOKUP(B448,'0. Instruções'!$C$27:$G$32,4,FALSE)&amp;", "&amp;F448&amp;" FROM "&amp;D448&amp;" WHERE "&amp;'0. Instruções'!$D$42&amp;")X"</f>
        <v>(SELECT entty_id, ttl_lvrg_rt FROM BU_LOANTAPE_WORK.LT003_ENTITY WHERE ref_date='${ref_date}' AND nome_perimetro='Individual Local' AND segmento='ESTR' AND ambito='SRB_MBDT' AND entidade='00100')X</v>
      </c>
      <c r="J448" s="34" t="str">
        <f>"(SELECT "&amp;VLOOKUP(B448,'0. Instruções'!$C$27:$G$32,4,FALSE)&amp;" AS "&amp;VLOOKUP(B448,'0. Instruções'!$C$27:$G$32,4,FALSE)&amp;"_SIMUL, "&amp;F448&amp;" AS "&amp;F448&amp;"_SIMUL FROM "&amp;E448&amp;" WHERE "&amp;'0. Instruções'!$D$43&amp;")Y"</f>
        <v>(SELECT entty_id AS entty_id_SIMUL, ttl_lvrg_rt AS ttl_lvrg_rt_SIMUL FROM BU_LOANTAPE_WORK.SIMUL_LT003_ENTITY WHERE ref_date='${ref_date}' AND nome_perimetro='Individual Local' AND segmento='ESTR' AND ambito='PILAR3' AND entidade='00100')Y</v>
      </c>
      <c r="K448" s="35" t="str">
        <f>+UPPER("ON X."&amp;VLOOKUP(B448,'0. Instruções'!$C$27:$G$32,4,FALSE)&amp;"=Y."&amp;VLOOKUP(B448,'0. Instruções'!$C$27:$G$32,4,FALSE)&amp;"_SIMUL")</f>
        <v>ON X.ENTTY_ID=Y.ENTTY_ID_SIMUL</v>
      </c>
      <c r="L448" s="35" t="str">
        <f>+IF(C448="Coerência", +IF(LEFT(G448,5)="FLOAT","SELECT '"&amp;UPPER(B448)&amp;"' AS TABELA, '"&amp;UPPER(C448)&amp;"' AS TIPOLOGIA_TESTE,'"&amp;D448&amp;"' AS TABELA_LT,'"&amp;E448&amp;"' AS TABELA_SIMUL,'"&amp;F448&amp;"' AS CAMPO, "&amp;"'${ref_date}' AS REF_DATE, COUNT(*) AS NUM_REG, SUM(IF((ABS(COALESCE(CAST(X."&amp;F448&amp;" AS DECIMAL(18,6)),0)-COALESCE(CAST(Y."&amp;F448&amp;"_SIMUL AS DECIMAL(18,6)),0))&gt;0.000001) OR (X."&amp;F448&amp;" IS NULL AND Y."&amp;F448&amp;"_SIMUL IS NOT NULL ) OR (X."&amp;F448&amp;" IS NOT NULL AND Y."&amp;F448&amp;"_SIMUL IS NULL),1,0)) AS NUM_REG_DIF,'"&amp;MAX('ID1&amp;5'!K:K)+1&amp;"' AS ID_EXEC, CURRENT_TIMESTAMP() AS TIME_EXEC FROM "&amp;I448&amp;" INNER JOIN "&amp;J448&amp;" "&amp;K448,"SELECT '"&amp;UPPER(B448)&amp;"' AS TABELA, '"&amp;UPPER(C448)&amp;"' AS TIPOLOGIA_TESTE,'"&amp;D448&amp;"' AS TABELA_LT,'"&amp;E448&amp;"' AS TABELA_SIMUL,'"&amp;F448&amp;"' AS CAMPO, "&amp;"'${ref_date}' AS REF_DATE, COUNT(*) AS NUM_REG, SUM(IF(COALESCE(CAST(X."&amp;F448&amp;" AS STRING),'')&lt;&gt;COALESCE(CAST(Y."&amp;F448&amp;"_SIMUL AS STRING),'') OR (X."&amp;F448&amp;" IS NULL AND Y."&amp;F448&amp;"_SIMUL IS NOT NULL ) OR (X."&amp;F448&amp;" IS NOT NULL AND Y."&amp;F448&amp;"_SIMUL IS NULL),1,0)) AS NUM_REG_DIF,'"&amp;MAX('ID1&amp;5'!L:L)+1&amp;"' AS ID_EXEC, CURRENT_TIMESTAMP() AS TIME_EXEC FROM "&amp;I448&amp;" INNER JOIN "&amp;J448&amp;" "&amp;K448),
IF(C448="Validade",+IF(G448="Code List","SELECT '"&amp;UPPER(B448)&amp;"' AS TABELA, '"&amp;UPPER(C448)&amp;"' AS TIPOLOGIA_TESTE,'"&amp;D448&amp;"' AS TABELA_LT,'N/A' AS TABELA_SIMUL,'"&amp;F448&amp;"' AS CAMPO, "&amp;"'${ref_date}' AS REF_DATE, COUNT(*) AS NUM_REG, SUM(IF(TRIM(CAST(X."&amp;F448&amp;" AS STRING))='' OR TRIM(CAST(X."&amp;F448&amp;" AS STRING)) IS NULL OR CAST(X."&amp;F448&amp;" AS STRING) NOT "&amp;H448&amp;",1,0)) AS NUM_REG_DIF,'"&amp;MAX('ID1&amp;5'!K:K)+1&amp;"' AS ID_EXEC, CURRENT_TIMESTAMP() AS TIME_EXEC FROM "&amp;I448,"SELECT '"&amp;UPPER(B448)&amp;"' AS TABELA, '"&amp;UPPER(C448)&amp;"' AS TIPOLOGIA_TESTE,'"&amp;D448&amp;"' AS TABELA_LT,'N/A' AS TABELA_SIMUL,'"&amp;F448&amp;"' AS CAMPO, "&amp;"'${ref_date}' AS REF_DATE, COUNT(*) AS NUM_REG, SUM(IF(TRIM(CAST(X."&amp;F448&amp;" AS STRING))='' OR TRIM(CAST(X."&amp;F448&amp;" AS STRING)) IS NULL,1,0)) AS NUM_REG_DIF,'"&amp;MAX('ID1&amp;5'!K:K)+1&amp;"' AS ID_EXEC, CURRENT_TIMESTAMP() AS TIME_EXEC FROM "&amp;I448),
IF(C448="Caracteres Especiais",+"SELECT '"&amp;UPPER(B448)&amp;"' AS TABELA, '"&amp;UPPER(C448)&amp;"' AS TIPOLOGIA_TESTE,'"&amp;D448&amp;"' AS TABELA_LT,'N/A' AS TABELA_SIMUL,'"&amp;F448&amp;"' AS CAMPO, "&amp;"'${ref_date}' AS REF_DATE, COUNT(*) AS NUM_REG, SUM(IF(REGEXP_REPLACE(TRIM(CAST(X."&amp;F448&amp;" AS STRING)),'[^a-zA-Z0-9_\\s]','') &lt;&gt;TRIM(CAST(X."&amp;F448&amp;" AS STRING)),1,0)) AS NUM_REG_DIF,'"&amp;MAX('ID1&amp;5'!K:K)+1&amp;"' AS ID_EXEC, CURRENT_TIMESTAMP() AS TIME_EXEC FROM "&amp;I448,
IF(C448="Missings",+"SELECT '"&amp;UPPER(B448)&amp;"' AS TABELA, '"&amp;UPPER(C448)&amp;"' AS TIPOLOGIA_TESTE,'"&amp;D448&amp;"' AS TABELA_LT,'N/A' AS TABELA_SIMUL,'"&amp;F448&amp;"' AS CAMPO, "&amp;"'${ref_date}' AS REF_DATE, COUNT(*) AS NUM_REG, SUM(IF(TRIM(CAST(X."&amp;F448&amp;" AS STRING)) IN ('0000-00-00','0001-01-01','9999-12-31','MISS','00000','99999999999','99999999999.00','99999999999.000000'),1,0)) AS NUM_REG_DIF,'"&amp;MAX('ID1&amp;5'!K:K)+1&amp;"' AS ID_EXEC, CURRENT_TIMESTAMP() AS TIME_EXEC FROM "&amp;I448,
IF(C448="Not applicable",+"SELECT '"&amp;UPPER(B448)&amp;"' AS TABELA, '"&amp;UPPER(C448)&amp;"' AS TIPOLOGIA_TESTE,'"&amp;D448&amp;"' AS TABELA_LT,'N/A' AS TABELA_SIMUL,'"&amp;F448&amp;"' AS CAMPO, "&amp;"'${ref_date}' AS REF_DATE, COUNT(*) AS NUM_REG, SUM(IF(TRIM(CAST(X."&amp;F448&amp;" AS STRING)) IN ('N/A','11111111111','11111111111.00','11111111111.000000','1111-11-11'),1,0)) AS NUM_REG_DIF,'"&amp;MAX('ID1&amp;5'!K:K)+1&amp;"' AS ID_EXEC, CURRENT_TIMESTAMP() AS TIME_EXEC FROM "&amp;I448,
IF(C448="Valores extremos",+"SELECT '"&amp;UPPER(B448)&amp;"' AS TABELA, '"&amp;UPPER(C448)&amp;"' AS TIPOLOGIA_TESTE,'"&amp;D448&amp;"' AS TABELA_LT,'N/A' AS TABELA_SIMUL,'"&amp;F448&amp;"' AS CAMPO, "&amp;"'${ref_date}' AS REF_DATE, CAST(MIN("&amp;F448&amp;") AS STRING) AS VALOR_MIN, CAST(MAX("&amp;F448&amp;") AS STRING) AS VALOR_MAX,'"&amp;MAX('ID1&amp;5'!K:K)+1&amp;"' AS ID_EXEC, CURRENT_TIMESTAMP() AS TIME_EXEC FROM "&amp;MID(I448,1,LEN(I448)-2)&amp;" AND CAST("&amp;F448&amp;"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TABELA_SIMUL,'ttl_lvrg_rt' AS CAMPO, '${ref_date}' AS REF_DATE, COUNT(*) AS NUM_REG, SUM(IF(COALESCE(CAST(X.ttl_lvrg_rt AS STRING),'')&lt;&gt;COALESCE(CAST(Y.ttl_lvrg_rt_SIMUL AS STRING),'') OR (X.ttl_lvrg_rt IS NULL AND Y.ttl_lvrg_rt_SIMUL IS NOT NULL ) OR (X.ttl_lvrg_rt IS NOT NULL AND Y.ttl_lvrg_rt_SIMUL IS NULL),1,0)) AS NUM_REG_DIF,'1' AS ID_EXEC, CURRENT_TIMESTAMP() AS TIME_EXEC FROM (SELECT entty_id, ttl_lvrg_rt FROM BU_LOANTAPE_WORK.LT003_ENTITY WHERE ref_date='${ref_date}' AND nome_perimetro='Individual Local' AND segmento='ESTR' AND ambito='SRB_MBDT' AND entidade='00100')X INNER JOIN (SELECT entty_id AS entty_id_SIMUL, ttl_lvrg_rt AS ttl_lvrg_rt_SIMUL FROM BU_LOANTAPE_WORK.SIMUL_LT003_ENTITY WHERE ref_date='${ref_date}' AND nome_perimetro='Individual Local' AND segmento='ESTR' AND ambito='PILAR3' AND entidade='00100')Y ON X.ENTTY_ID=Y.ENTTY_ID_SIMUL</v>
      </c>
      <c r="M448" s="36" t="str">
        <f t="shared" si="10"/>
        <v>UNION ALL SELECT 'ENTITY' AS TABELA, 'COERÊNCIA' AS TIPOLOGIA_TESTE,'BU_LOANTAPE_WORK.LT003_ENTITY' AS TABELA_LT,'BU_LOANTAPE_WORK.SIMUL_LT003_ENTITY' AS TABELA_SIMUL,'ttl_lvrg_rt' AS CAMPO, '${ref_date}' AS REF_DATE, COUNT(*) AS NUM_REG, SUM(IF(COALESCE(CAST(X.ttl_lvrg_rt AS STRING),'')&lt;&gt;COALESCE(CAST(Y.ttl_lvrg_rt_SIMUL AS STRING),'') OR (X.ttl_lvrg_rt IS NULL AND Y.ttl_lvrg_rt_SIMUL IS NOT NULL ) OR (X.ttl_lvrg_rt IS NOT NULL AND Y.ttl_lvrg_rt_SIMUL IS NULL),1,0)) AS NUM_REG_DIF,'1' AS ID_EXEC, CURRENT_TIMESTAMP() AS TIME_EXEC FROM (SELECT entty_id, ttl_lvrg_rt FROM BU_LOANTAPE_WORK.LT003_ENTITY WHERE ref_date='${ref_date}' AND nome_perimetro='Individual Local' AND segmento='ESTR' AND ambito='SRB_MBDT' AND entidade='00100')X INNER JOIN (SELECT entty_id AS entty_id_SIMUL, ttl_lvrg_rt AS ttl_lvrg_rt_SIMUL FROM BU_LOANTAPE_WORK.SIMUL_LT003_ENTITY WHERE ref_date='${ref_date}' AND nome_perimetro='Individual Local' AND segmento='ESTR' AND ambito='PILAR3' AND entidade='00100')Y ON X.ENTTY_ID=Y.ENTTY_ID_SIMUL</v>
      </c>
    </row>
    <row r="449" spans="2:13">
      <c r="B449" s="34" t="s">
        <v>118</v>
      </c>
      <c r="C449" s="34" t="s">
        <v>5</v>
      </c>
      <c r="D449" s="34" t="str">
        <f>+UPPER('0. Instruções'!$D$35&amp;"."&amp;VLOOKUP(B449,'0. Instruções'!$C$27:$D$32,2,FALSE))</f>
        <v>BU_LOANTAPE_WORK.LT003_ENTITY</v>
      </c>
      <c r="E449" s="34" t="str">
        <f>+UPPER('0. Instruções'!$D$36&amp;"."&amp;VLOOKUP(B449,'0. Instruções'!$C$27:$E$32,3,FALSE))</f>
        <v>BU_LOANTAPE_WORK.SIMUL_LT003_ENTITY</v>
      </c>
      <c r="F449" s="34" t="s">
        <v>1470</v>
      </c>
      <c r="G449" s="34"/>
      <c r="H449" s="34"/>
      <c r="I449" s="34" t="str">
        <f>"(SELECT "&amp;VLOOKUP(B449,'0. Instruções'!$C$27:$G$32,4,FALSE)&amp;", "&amp;F449&amp;" FROM "&amp;D449&amp;" WHERE "&amp;'0. Instruções'!$D$42&amp;")X"</f>
        <v>(SELECT entty_id, ttl_lvrg_rt_prvs FROM BU_LOANTAPE_WORK.LT003_ENTITY WHERE ref_date='${ref_date}' AND nome_perimetro='Individual Local' AND segmento='ESTR' AND ambito='SRB_MBDT' AND entidade='00100')X</v>
      </c>
      <c r="J449" s="34" t="str">
        <f>"(SELECT "&amp;VLOOKUP(B449,'0. Instruções'!$C$27:$G$32,4,FALSE)&amp;" AS "&amp;VLOOKUP(B449,'0. Instruções'!$C$27:$G$32,4,FALSE)&amp;"_SIMUL, "&amp;F449&amp;" AS "&amp;F449&amp;"_SIMUL FROM "&amp;E449&amp;" WHERE "&amp;'0. Instruções'!$D$43&amp;")Y"</f>
        <v>(SELECT entty_id AS entty_id_SIMUL, ttl_lvrg_rt_prvs AS ttl_lvrg_rt_prvs_SIMUL FROM BU_LOANTAPE_WORK.SIMUL_LT003_ENTITY WHERE ref_date='${ref_date}' AND nome_perimetro='Individual Local' AND segmento='ESTR' AND ambito='PILAR3' AND entidade='00100')Y</v>
      </c>
      <c r="K449" s="35" t="str">
        <f>+UPPER("ON X."&amp;VLOOKUP(B449,'0. Instruções'!$C$27:$G$32,4,FALSE)&amp;"=Y."&amp;VLOOKUP(B449,'0. Instruções'!$C$27:$G$32,4,FALSE)&amp;"_SIMUL")</f>
        <v>ON X.ENTTY_ID=Y.ENTTY_ID_SIMUL</v>
      </c>
      <c r="L449" s="35" t="str">
        <f>+IF(C449="Coerência", +IF(LEFT(G449,5)="FLOAT","SELECT '"&amp;UPPER(B449)&amp;"' AS TABELA, '"&amp;UPPER(C449)&amp;"' AS TIPOLOGIA_TESTE,'"&amp;D449&amp;"' AS TABELA_LT,'"&amp;E449&amp;"' AS TABELA_SIMUL,'"&amp;F449&amp;"' AS CAMPO, "&amp;"'${ref_date}' AS REF_DATE, COUNT(*) AS NUM_REG, SUM(IF((ABS(COALESCE(CAST(X."&amp;F449&amp;" AS DECIMAL(18,6)),0)-COALESCE(CAST(Y."&amp;F449&amp;"_SIMUL AS DECIMAL(18,6)),0))&gt;0.000001) OR (X."&amp;F449&amp;" IS NULL AND Y."&amp;F449&amp;"_SIMUL IS NOT NULL ) OR (X."&amp;F449&amp;" IS NOT NULL AND Y."&amp;F449&amp;"_SIMUL IS NULL),1,0)) AS NUM_REG_DIF,'"&amp;MAX('ID1&amp;5'!K:K)+1&amp;"' AS ID_EXEC, CURRENT_TIMESTAMP() AS TIME_EXEC FROM "&amp;I449&amp;" INNER JOIN "&amp;J449&amp;" "&amp;K449,"SELECT '"&amp;UPPER(B449)&amp;"' AS TABELA, '"&amp;UPPER(C449)&amp;"' AS TIPOLOGIA_TESTE,'"&amp;D449&amp;"' AS TABELA_LT,'"&amp;E449&amp;"' AS TABELA_SIMUL,'"&amp;F449&amp;"' AS CAMPO, "&amp;"'${ref_date}' AS REF_DATE, COUNT(*) AS NUM_REG, SUM(IF(COALESCE(CAST(X."&amp;F449&amp;" AS STRING),'')&lt;&gt;COALESCE(CAST(Y."&amp;F449&amp;"_SIMUL AS STRING),'') OR (X."&amp;F449&amp;" IS NULL AND Y."&amp;F449&amp;"_SIMUL IS NOT NULL ) OR (X."&amp;F449&amp;" IS NOT NULL AND Y."&amp;F449&amp;"_SIMUL IS NULL),1,0)) AS NUM_REG_DIF,'"&amp;MAX('ID1&amp;5'!L:L)+1&amp;"' AS ID_EXEC, CURRENT_TIMESTAMP() AS TIME_EXEC FROM "&amp;I449&amp;" INNER JOIN "&amp;J449&amp;" "&amp;K449),
IF(C449="Validade",+IF(G449="Code List","SELECT '"&amp;UPPER(B449)&amp;"' AS TABELA, '"&amp;UPPER(C449)&amp;"' AS TIPOLOGIA_TESTE,'"&amp;D449&amp;"' AS TABELA_LT,'N/A' AS TABELA_SIMUL,'"&amp;F449&amp;"' AS CAMPO, "&amp;"'${ref_date}' AS REF_DATE, COUNT(*) AS NUM_REG, SUM(IF(TRIM(CAST(X."&amp;F449&amp;" AS STRING))='' OR TRIM(CAST(X."&amp;F449&amp;" AS STRING)) IS NULL OR CAST(X."&amp;F449&amp;" AS STRING) NOT "&amp;H449&amp;",1,0)) AS NUM_REG_DIF,'"&amp;MAX('ID1&amp;5'!K:K)+1&amp;"' AS ID_EXEC, CURRENT_TIMESTAMP() AS TIME_EXEC FROM "&amp;I449,"SELECT '"&amp;UPPER(B449)&amp;"' AS TABELA, '"&amp;UPPER(C449)&amp;"' AS TIPOLOGIA_TESTE,'"&amp;D449&amp;"' AS TABELA_LT,'N/A' AS TABELA_SIMUL,'"&amp;F449&amp;"' AS CAMPO, "&amp;"'${ref_date}' AS REF_DATE, COUNT(*) AS NUM_REG, SUM(IF(TRIM(CAST(X."&amp;F449&amp;" AS STRING))='' OR TRIM(CAST(X."&amp;F449&amp;" AS STRING)) IS NULL,1,0)) AS NUM_REG_DIF,'"&amp;MAX('ID1&amp;5'!K:K)+1&amp;"' AS ID_EXEC, CURRENT_TIMESTAMP() AS TIME_EXEC FROM "&amp;I449),
IF(C449="Caracteres Especiais",+"SELECT '"&amp;UPPER(B449)&amp;"' AS TABELA, '"&amp;UPPER(C449)&amp;"' AS TIPOLOGIA_TESTE,'"&amp;D449&amp;"' AS TABELA_LT,'N/A' AS TABELA_SIMUL,'"&amp;F449&amp;"' AS CAMPO, "&amp;"'${ref_date}' AS REF_DATE, COUNT(*) AS NUM_REG, SUM(IF(REGEXP_REPLACE(TRIM(CAST(X."&amp;F449&amp;" AS STRING)),'[^a-zA-Z0-9_\\s]','') &lt;&gt;TRIM(CAST(X."&amp;F449&amp;" AS STRING)),1,0)) AS NUM_REG_DIF,'"&amp;MAX('ID1&amp;5'!K:K)+1&amp;"' AS ID_EXEC, CURRENT_TIMESTAMP() AS TIME_EXEC FROM "&amp;I449,
IF(C449="Missings",+"SELECT '"&amp;UPPER(B449)&amp;"' AS TABELA, '"&amp;UPPER(C449)&amp;"' AS TIPOLOGIA_TESTE,'"&amp;D449&amp;"' AS TABELA_LT,'N/A' AS TABELA_SIMUL,'"&amp;F449&amp;"' AS CAMPO, "&amp;"'${ref_date}' AS REF_DATE, COUNT(*) AS NUM_REG, SUM(IF(TRIM(CAST(X."&amp;F449&amp;" AS STRING)) IN ('0000-00-00','0001-01-01','9999-12-31','MISS','00000','99999999999','99999999999.00','99999999999.000000'),1,0)) AS NUM_REG_DIF,'"&amp;MAX('ID1&amp;5'!K:K)+1&amp;"' AS ID_EXEC, CURRENT_TIMESTAMP() AS TIME_EXEC FROM "&amp;I449,
IF(C449="Not applicable",+"SELECT '"&amp;UPPER(B449)&amp;"' AS TABELA, '"&amp;UPPER(C449)&amp;"' AS TIPOLOGIA_TESTE,'"&amp;D449&amp;"' AS TABELA_LT,'N/A' AS TABELA_SIMUL,'"&amp;F449&amp;"' AS CAMPO, "&amp;"'${ref_date}' AS REF_DATE, COUNT(*) AS NUM_REG, SUM(IF(TRIM(CAST(X."&amp;F449&amp;" AS STRING)) IN ('N/A','11111111111','11111111111.00','11111111111.000000','1111-11-11'),1,0)) AS NUM_REG_DIF,'"&amp;MAX('ID1&amp;5'!K:K)+1&amp;"' AS ID_EXEC, CURRENT_TIMESTAMP() AS TIME_EXEC FROM "&amp;I449,
IF(C449="Valores extremos",+"SELECT '"&amp;UPPER(B449)&amp;"' AS TABELA, '"&amp;UPPER(C449)&amp;"' AS TIPOLOGIA_TESTE,'"&amp;D449&amp;"' AS TABELA_LT,'N/A' AS TABELA_SIMUL,'"&amp;F449&amp;"' AS CAMPO, "&amp;"'${ref_date}' AS REF_DATE, CAST(MIN("&amp;F449&amp;") AS STRING) AS VALOR_MIN, CAST(MAX("&amp;F449&amp;") AS STRING) AS VALOR_MAX,'"&amp;MAX('ID1&amp;5'!K:K)+1&amp;"' AS ID_EXEC, CURRENT_TIMESTAMP() AS TIME_EXEC FROM "&amp;MID(I449,1,LEN(I449)-2)&amp;" AND CAST("&amp;F449&amp;"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TABELA_SIMUL,'ttl_lvrg_rt_prvs' AS CAMPO, '${ref_date}' AS REF_DATE, COUNT(*) AS NUM_REG, SUM(IF(COALESCE(CAST(X.ttl_lvrg_rt_prvs AS STRING),'')&lt;&gt;COALESCE(CAST(Y.ttl_lvrg_rt_prvs_SIMUL AS STRING),'') OR (X.ttl_lvrg_rt_prvs IS NULL AND Y.ttl_lvrg_rt_prvs_SIMUL IS NOT NULL ) OR (X.ttl_lvrg_rt_prvs IS NOT NULL AND Y.ttl_lvrg_rt_prvs_SIMUL IS NULL),1,0)) AS NUM_REG_DIF,'1' AS ID_EXEC, CURRENT_TIMESTAMP() AS TIME_EXEC FROM (SELECT entty_id, ttl_lvrg_rt_prvs FROM BU_LOANTAPE_WORK.LT003_ENTITY WHERE ref_date='${ref_date}' AND nome_perimetro='Individual Local' AND segmento='ESTR' AND ambito='SRB_MBDT' AND entidade='00100')X INNER JOIN (SELECT entty_id AS entty_id_SIMUL, ttl_lvrg_rt_prvs AS ttl_lvrg_rt_prvs_SIMUL FROM BU_LOANTAPE_WORK.SIMUL_LT003_ENTITY WHERE ref_date='${ref_date}' AND nome_perimetro='Individual Local' AND segmento='ESTR' AND ambito='PILAR3' AND entidade='00100')Y ON X.ENTTY_ID=Y.ENTTY_ID_SIMUL</v>
      </c>
      <c r="M449" s="36" t="str">
        <f t="shared" si="10"/>
        <v>UNION ALL SELECT 'ENTITY' AS TABELA, 'COERÊNCIA' AS TIPOLOGIA_TESTE,'BU_LOANTAPE_WORK.LT003_ENTITY' AS TABELA_LT,'BU_LOANTAPE_WORK.SIMUL_LT003_ENTITY' AS TABELA_SIMUL,'ttl_lvrg_rt_prvs' AS CAMPO, '${ref_date}' AS REF_DATE, COUNT(*) AS NUM_REG, SUM(IF(COALESCE(CAST(X.ttl_lvrg_rt_prvs AS STRING),'')&lt;&gt;COALESCE(CAST(Y.ttl_lvrg_rt_prvs_SIMUL AS STRING),'') OR (X.ttl_lvrg_rt_prvs IS NULL AND Y.ttl_lvrg_rt_prvs_SIMUL IS NOT NULL ) OR (X.ttl_lvrg_rt_prvs IS NOT NULL AND Y.ttl_lvrg_rt_prvs_SIMUL IS NULL),1,0)) AS NUM_REG_DIF,'1' AS ID_EXEC, CURRENT_TIMESTAMP() AS TIME_EXEC FROM (SELECT entty_id, ttl_lvrg_rt_prvs FROM BU_LOANTAPE_WORK.LT003_ENTITY WHERE ref_date='${ref_date}' AND nome_perimetro='Individual Local' AND segmento='ESTR' AND ambito='SRB_MBDT' AND entidade='00100')X INNER JOIN (SELECT entty_id AS entty_id_SIMUL, ttl_lvrg_rt_prvs AS ttl_lvrg_rt_prvs_SIMUL FROM BU_LOANTAPE_WORK.SIMUL_LT003_ENTITY WHERE ref_date='${ref_date}' AND nome_perimetro='Individual Local' AND segmento='ESTR' AND ambito='PILAR3' AND entidade='00100')Y ON X.ENTTY_ID=Y.ENTTY_ID_SIMUL</v>
      </c>
    </row>
    <row r="450" spans="2:13">
      <c r="B450" s="34" t="s">
        <v>118</v>
      </c>
      <c r="C450" s="34" t="s">
        <v>5</v>
      </c>
      <c r="D450" s="34" t="str">
        <f>+UPPER('0. Instruções'!$D$35&amp;"."&amp;VLOOKUP(B450,'0. Instruções'!$C$27:$D$32,2,FALSE))</f>
        <v>BU_LOANTAPE_WORK.LT003_ENTITY</v>
      </c>
      <c r="E450" s="34" t="str">
        <f>+UPPER('0. Instruções'!$D$36&amp;"."&amp;VLOOKUP(B450,'0. Instruções'!$C$27:$E$32,3,FALSE))</f>
        <v>BU_LOANTAPE_WORK.SIMUL_LT003_ENTITY</v>
      </c>
      <c r="F450" s="34" t="s">
        <v>1471</v>
      </c>
      <c r="G450" s="34"/>
      <c r="H450" s="34"/>
      <c r="I450" s="34" t="str">
        <f>"(SELECT "&amp;VLOOKUP(B450,'0. Instruções'!$C$27:$G$32,4,FALSE)&amp;", "&amp;F450&amp;" FROM "&amp;D450&amp;" WHERE "&amp;'0. Instruções'!$D$42&amp;")X"</f>
        <v>(SELECT entty_id, dbt_rpymnt_cpcty_snr_dbt FROM BU_LOANTAPE_WORK.LT003_ENTITY WHERE ref_date='${ref_date}' AND nome_perimetro='Individual Local' AND segmento='ESTR' AND ambito='SRB_MBDT' AND entidade='00100')X</v>
      </c>
      <c r="J450" s="34" t="str">
        <f>"(SELECT "&amp;VLOOKUP(B450,'0. Instruções'!$C$27:$G$32,4,FALSE)&amp;" AS "&amp;VLOOKUP(B450,'0. Instruções'!$C$27:$G$32,4,FALSE)&amp;"_SIMUL, "&amp;F450&amp;" AS "&amp;F450&amp;"_SIMUL FROM "&amp;E450&amp;" WHERE "&amp;'0. Instruções'!$D$43&amp;")Y"</f>
        <v>(SELECT entty_id AS entty_id_SIMUL, dbt_rpymnt_cpcty_snr_dbt AS dbt_rpymnt_cpcty_snr_dbt_SIMUL FROM BU_LOANTAPE_WORK.SIMUL_LT003_ENTITY WHERE ref_date='${ref_date}' AND nome_perimetro='Individual Local' AND segmento='ESTR' AND ambito='PILAR3' AND entidade='00100')Y</v>
      </c>
      <c r="K450" s="35" t="str">
        <f>+UPPER("ON X."&amp;VLOOKUP(B450,'0. Instruções'!$C$27:$G$32,4,FALSE)&amp;"=Y."&amp;VLOOKUP(B450,'0. Instruções'!$C$27:$G$32,4,FALSE)&amp;"_SIMUL")</f>
        <v>ON X.ENTTY_ID=Y.ENTTY_ID_SIMUL</v>
      </c>
      <c r="L450" s="35" t="str">
        <f>+IF(C450="Coerência", +IF(LEFT(G450,5)="FLOAT","SELECT '"&amp;UPPER(B450)&amp;"' AS TABELA, '"&amp;UPPER(C450)&amp;"' AS TIPOLOGIA_TESTE,'"&amp;D450&amp;"' AS TABELA_LT,'"&amp;E450&amp;"' AS TABELA_SIMUL,'"&amp;F450&amp;"' AS CAMPO, "&amp;"'${ref_date}' AS REF_DATE, COUNT(*) AS NUM_REG, SUM(IF((ABS(COALESCE(CAST(X."&amp;F450&amp;" AS DECIMAL(18,6)),0)-COALESCE(CAST(Y."&amp;F450&amp;"_SIMUL AS DECIMAL(18,6)),0))&gt;0.000001) OR (X."&amp;F450&amp;" IS NULL AND Y."&amp;F450&amp;"_SIMUL IS NOT NULL ) OR (X."&amp;F450&amp;" IS NOT NULL AND Y."&amp;F450&amp;"_SIMUL IS NULL),1,0)) AS NUM_REG_DIF,'"&amp;MAX('ID1&amp;5'!K:K)+1&amp;"' AS ID_EXEC, CURRENT_TIMESTAMP() AS TIME_EXEC FROM "&amp;I450&amp;" INNER JOIN "&amp;J450&amp;" "&amp;K450,"SELECT '"&amp;UPPER(B450)&amp;"' AS TABELA, '"&amp;UPPER(C450)&amp;"' AS TIPOLOGIA_TESTE,'"&amp;D450&amp;"' AS TABELA_LT,'"&amp;E450&amp;"' AS TABELA_SIMUL,'"&amp;F450&amp;"' AS CAMPO, "&amp;"'${ref_date}' AS REF_DATE, COUNT(*) AS NUM_REG, SUM(IF(COALESCE(CAST(X."&amp;F450&amp;" AS STRING),'')&lt;&gt;COALESCE(CAST(Y."&amp;F450&amp;"_SIMUL AS STRING),'') OR (X."&amp;F450&amp;" IS NULL AND Y."&amp;F450&amp;"_SIMUL IS NOT NULL ) OR (X."&amp;F450&amp;" IS NOT NULL AND Y."&amp;F450&amp;"_SIMUL IS NULL),1,0)) AS NUM_REG_DIF,'"&amp;MAX('ID1&amp;5'!L:L)+1&amp;"' AS ID_EXEC, CURRENT_TIMESTAMP() AS TIME_EXEC FROM "&amp;I450&amp;" INNER JOIN "&amp;J450&amp;" "&amp;K450),
IF(C450="Validade",+IF(G450="Code List","SELECT '"&amp;UPPER(B450)&amp;"' AS TABELA, '"&amp;UPPER(C450)&amp;"' AS TIPOLOGIA_TESTE,'"&amp;D450&amp;"' AS TABELA_LT,'N/A' AS TABELA_SIMUL,'"&amp;F450&amp;"' AS CAMPO, "&amp;"'${ref_date}' AS REF_DATE, COUNT(*) AS NUM_REG, SUM(IF(TRIM(CAST(X."&amp;F450&amp;" AS STRING))='' OR TRIM(CAST(X."&amp;F450&amp;" AS STRING)) IS NULL OR CAST(X."&amp;F450&amp;" AS STRING) NOT "&amp;H450&amp;",1,0)) AS NUM_REG_DIF,'"&amp;MAX('ID1&amp;5'!K:K)+1&amp;"' AS ID_EXEC, CURRENT_TIMESTAMP() AS TIME_EXEC FROM "&amp;I450,"SELECT '"&amp;UPPER(B450)&amp;"' AS TABELA, '"&amp;UPPER(C450)&amp;"' AS TIPOLOGIA_TESTE,'"&amp;D450&amp;"' AS TABELA_LT,'N/A' AS TABELA_SIMUL,'"&amp;F450&amp;"' AS CAMPO, "&amp;"'${ref_date}' AS REF_DATE, COUNT(*) AS NUM_REG, SUM(IF(TRIM(CAST(X."&amp;F450&amp;" AS STRING))='' OR TRIM(CAST(X."&amp;F450&amp;" AS STRING)) IS NULL,1,0)) AS NUM_REG_DIF,'"&amp;MAX('ID1&amp;5'!K:K)+1&amp;"' AS ID_EXEC, CURRENT_TIMESTAMP() AS TIME_EXEC FROM "&amp;I450),
IF(C450="Caracteres Especiais",+"SELECT '"&amp;UPPER(B450)&amp;"' AS TABELA, '"&amp;UPPER(C450)&amp;"' AS TIPOLOGIA_TESTE,'"&amp;D450&amp;"' AS TABELA_LT,'N/A' AS TABELA_SIMUL,'"&amp;F450&amp;"' AS CAMPO, "&amp;"'${ref_date}' AS REF_DATE, COUNT(*) AS NUM_REG, SUM(IF(REGEXP_REPLACE(TRIM(CAST(X."&amp;F450&amp;" AS STRING)),'[^a-zA-Z0-9_\\s]','') &lt;&gt;TRIM(CAST(X."&amp;F450&amp;" AS STRING)),1,0)) AS NUM_REG_DIF,'"&amp;MAX('ID1&amp;5'!K:K)+1&amp;"' AS ID_EXEC, CURRENT_TIMESTAMP() AS TIME_EXEC FROM "&amp;I450,
IF(C450="Missings",+"SELECT '"&amp;UPPER(B450)&amp;"' AS TABELA, '"&amp;UPPER(C450)&amp;"' AS TIPOLOGIA_TESTE,'"&amp;D450&amp;"' AS TABELA_LT,'N/A' AS TABELA_SIMUL,'"&amp;F450&amp;"' AS CAMPO, "&amp;"'${ref_date}' AS REF_DATE, COUNT(*) AS NUM_REG, SUM(IF(TRIM(CAST(X."&amp;F450&amp;" AS STRING)) IN ('0000-00-00','0001-01-01','9999-12-31','MISS','00000','99999999999','99999999999.00','99999999999.000000'),1,0)) AS NUM_REG_DIF,'"&amp;MAX('ID1&amp;5'!K:K)+1&amp;"' AS ID_EXEC, CURRENT_TIMESTAMP() AS TIME_EXEC FROM "&amp;I450,
IF(C450="Not applicable",+"SELECT '"&amp;UPPER(B450)&amp;"' AS TABELA, '"&amp;UPPER(C450)&amp;"' AS TIPOLOGIA_TESTE,'"&amp;D450&amp;"' AS TABELA_LT,'N/A' AS TABELA_SIMUL,'"&amp;F450&amp;"' AS CAMPO, "&amp;"'${ref_date}' AS REF_DATE, COUNT(*) AS NUM_REG, SUM(IF(TRIM(CAST(X."&amp;F450&amp;" AS STRING)) IN ('N/A','11111111111','11111111111.00','11111111111.000000','1111-11-11'),1,0)) AS NUM_REG_DIF,'"&amp;MAX('ID1&amp;5'!K:K)+1&amp;"' AS ID_EXEC, CURRENT_TIMESTAMP() AS TIME_EXEC FROM "&amp;I450,
IF(C450="Valores extremos",+"SELECT '"&amp;UPPER(B450)&amp;"' AS TABELA, '"&amp;UPPER(C450)&amp;"' AS TIPOLOGIA_TESTE,'"&amp;D450&amp;"' AS TABELA_LT,'N/A' AS TABELA_SIMUL,'"&amp;F450&amp;"' AS CAMPO, "&amp;"'${ref_date}' AS REF_DATE, CAST(MIN("&amp;F450&amp;") AS STRING) AS VALOR_MIN, CAST(MAX("&amp;F450&amp;") AS STRING) AS VALOR_MAX,'"&amp;MAX('ID1&amp;5'!K:K)+1&amp;"' AS ID_EXEC, CURRENT_TIMESTAMP() AS TIME_EXEC FROM "&amp;MID(I450,1,LEN(I450)-2)&amp;" AND CAST("&amp;F450&amp;"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TABELA_SIMUL,'dbt_rpymnt_cpcty_snr_dbt' AS CAMPO, '${ref_date}' AS REF_DATE, COUNT(*) AS NUM_REG, SUM(IF(COALESCE(CAST(X.dbt_rpymnt_cpcty_snr_dbt AS STRING),'')&lt;&gt;COALESCE(CAST(Y.dbt_rpymnt_cpcty_snr_dbt_SIMUL AS STRING),'') OR (X.dbt_rpymnt_cpcty_snr_dbt IS NULL AND Y.dbt_rpymnt_cpcty_snr_dbt_SIMUL IS NOT NULL ) OR (X.dbt_rpymnt_cpcty_snr_dbt IS NOT NULL AND Y.dbt_rpymnt_cpcty_snr_dbt_SIMUL IS NULL),1,0)) AS NUM_REG_DIF,'1' AS ID_EXEC, CURRENT_TIMESTAMP() AS TIME_EXEC FROM (SELECT entty_id, dbt_rpymnt_cpcty_snr_dbt FROM BU_LOANTAPE_WORK.LT003_ENTITY WHERE ref_date='${ref_date}' AND nome_perimetro='Individual Local' AND segmento='ESTR' AND ambito='SRB_MBDT' AND entidade='00100')X INNER JOIN (SELECT entty_id AS entty_id_SIMUL, dbt_rpymnt_cpcty_snr_dbt AS dbt_rpymnt_cpcty_snr_dbt_SIMUL FROM BU_LOANTAPE_WORK.SIMUL_LT003_ENTITY WHERE ref_date='${ref_date}' AND nome_perimetro='Individual Local' AND segmento='ESTR' AND ambito='PILAR3' AND entidade='00100')Y ON X.ENTTY_ID=Y.ENTTY_ID_SIMUL</v>
      </c>
      <c r="M450" s="36" t="str">
        <f t="shared" si="10"/>
        <v>UNION ALL SELECT 'ENTITY' AS TABELA, 'COERÊNCIA' AS TIPOLOGIA_TESTE,'BU_LOANTAPE_WORK.LT003_ENTITY' AS TABELA_LT,'BU_LOANTAPE_WORK.SIMUL_LT003_ENTITY' AS TABELA_SIMUL,'dbt_rpymnt_cpcty_snr_dbt' AS CAMPO, '${ref_date}' AS REF_DATE, COUNT(*) AS NUM_REG, SUM(IF(COALESCE(CAST(X.dbt_rpymnt_cpcty_snr_dbt AS STRING),'')&lt;&gt;COALESCE(CAST(Y.dbt_rpymnt_cpcty_snr_dbt_SIMUL AS STRING),'') OR (X.dbt_rpymnt_cpcty_snr_dbt IS NULL AND Y.dbt_rpymnt_cpcty_snr_dbt_SIMUL IS NOT NULL ) OR (X.dbt_rpymnt_cpcty_snr_dbt IS NOT NULL AND Y.dbt_rpymnt_cpcty_snr_dbt_SIMUL IS NULL),1,0)) AS NUM_REG_DIF,'1' AS ID_EXEC, CURRENT_TIMESTAMP() AS TIME_EXEC FROM (SELECT entty_id, dbt_rpymnt_cpcty_snr_dbt FROM BU_LOANTAPE_WORK.LT003_ENTITY WHERE ref_date='${ref_date}' AND nome_perimetro='Individual Local' AND segmento='ESTR' AND ambito='SRB_MBDT' AND entidade='00100')X INNER JOIN (SELECT entty_id AS entty_id_SIMUL, dbt_rpymnt_cpcty_snr_dbt AS dbt_rpymnt_cpcty_snr_dbt_SIMUL FROM BU_LOANTAPE_WORK.SIMUL_LT003_ENTITY WHERE ref_date='${ref_date}' AND nome_perimetro='Individual Local' AND segmento='ESTR' AND ambito='PILAR3' AND entidade='00100')Y ON X.ENTTY_ID=Y.ENTTY_ID_SIMUL</v>
      </c>
    </row>
    <row r="451" spans="2:13">
      <c r="B451" s="34" t="s">
        <v>118</v>
      </c>
      <c r="C451" s="34" t="s">
        <v>5</v>
      </c>
      <c r="D451" s="34" t="str">
        <f>+UPPER('0. Instruções'!$D$35&amp;"."&amp;VLOOKUP(B451,'0. Instruções'!$C$27:$D$32,2,FALSE))</f>
        <v>BU_LOANTAPE_WORK.LT003_ENTITY</v>
      </c>
      <c r="E451" s="34" t="str">
        <f>+UPPER('0. Instruções'!$D$36&amp;"."&amp;VLOOKUP(B451,'0. Instruções'!$C$27:$E$32,3,FALSE))</f>
        <v>BU_LOANTAPE_WORK.SIMUL_LT003_ENTITY</v>
      </c>
      <c r="F451" s="34" t="s">
        <v>1472</v>
      </c>
      <c r="G451" s="34"/>
      <c r="H451" s="34"/>
      <c r="I451" s="34" t="str">
        <f>"(SELECT "&amp;VLOOKUP(B451,'0. Instruções'!$C$27:$G$32,4,FALSE)&amp;", "&amp;F451&amp;" FROM "&amp;D451&amp;" WHERE "&amp;'0. Instruções'!$D$42&amp;")X"</f>
        <v>(SELECT entty_id, dbt_rpymnt_cpcty_ttl FROM BU_LOANTAPE_WORK.LT003_ENTITY WHERE ref_date='${ref_date}' AND nome_perimetro='Individual Local' AND segmento='ESTR' AND ambito='SRB_MBDT' AND entidade='00100')X</v>
      </c>
      <c r="J451" s="34" t="str">
        <f>"(SELECT "&amp;VLOOKUP(B451,'0. Instruções'!$C$27:$G$32,4,FALSE)&amp;" AS "&amp;VLOOKUP(B451,'0. Instruções'!$C$27:$G$32,4,FALSE)&amp;"_SIMUL, "&amp;F451&amp;" AS "&amp;F451&amp;"_SIMUL FROM "&amp;E451&amp;" WHERE "&amp;'0. Instruções'!$D$43&amp;")Y"</f>
        <v>(SELECT entty_id AS entty_id_SIMUL, dbt_rpymnt_cpcty_ttl AS dbt_rpymnt_cpcty_ttl_SIMUL FROM BU_LOANTAPE_WORK.SIMUL_LT003_ENTITY WHERE ref_date='${ref_date}' AND nome_perimetro='Individual Local' AND segmento='ESTR' AND ambito='PILAR3' AND entidade='00100')Y</v>
      </c>
      <c r="K451" s="35" t="str">
        <f>+UPPER("ON X."&amp;VLOOKUP(B451,'0. Instruções'!$C$27:$G$32,4,FALSE)&amp;"=Y."&amp;VLOOKUP(B451,'0. Instruções'!$C$27:$G$32,4,FALSE)&amp;"_SIMUL")</f>
        <v>ON X.ENTTY_ID=Y.ENTTY_ID_SIMUL</v>
      </c>
      <c r="L451" s="35" t="str">
        <f>+IF(C451="Coerência", +IF(LEFT(G451,5)="FLOAT","SELECT '"&amp;UPPER(B451)&amp;"' AS TABELA, '"&amp;UPPER(C451)&amp;"' AS TIPOLOGIA_TESTE,'"&amp;D451&amp;"' AS TABELA_LT,'"&amp;E451&amp;"' AS TABELA_SIMUL,'"&amp;F451&amp;"' AS CAMPO, "&amp;"'${ref_date}' AS REF_DATE, COUNT(*) AS NUM_REG, SUM(IF((ABS(COALESCE(CAST(X."&amp;F451&amp;" AS DECIMAL(18,6)),0)-COALESCE(CAST(Y."&amp;F451&amp;"_SIMUL AS DECIMAL(18,6)),0))&gt;0.000001) OR (X."&amp;F451&amp;" IS NULL AND Y."&amp;F451&amp;"_SIMUL IS NOT NULL ) OR (X."&amp;F451&amp;" IS NOT NULL AND Y."&amp;F451&amp;"_SIMUL IS NULL),1,0)) AS NUM_REG_DIF,'"&amp;MAX('ID1&amp;5'!K:K)+1&amp;"' AS ID_EXEC, CURRENT_TIMESTAMP() AS TIME_EXEC FROM "&amp;I451&amp;" INNER JOIN "&amp;J451&amp;" "&amp;K451,"SELECT '"&amp;UPPER(B451)&amp;"' AS TABELA, '"&amp;UPPER(C451)&amp;"' AS TIPOLOGIA_TESTE,'"&amp;D451&amp;"' AS TABELA_LT,'"&amp;E451&amp;"' AS TABELA_SIMUL,'"&amp;F451&amp;"' AS CAMPO, "&amp;"'${ref_date}' AS REF_DATE, COUNT(*) AS NUM_REG, SUM(IF(COALESCE(CAST(X."&amp;F451&amp;" AS STRING),'')&lt;&gt;COALESCE(CAST(Y."&amp;F451&amp;"_SIMUL AS STRING),'') OR (X."&amp;F451&amp;" IS NULL AND Y."&amp;F451&amp;"_SIMUL IS NOT NULL ) OR (X."&amp;F451&amp;" IS NOT NULL AND Y."&amp;F451&amp;"_SIMUL IS NULL),1,0)) AS NUM_REG_DIF,'"&amp;MAX('ID1&amp;5'!L:L)+1&amp;"' AS ID_EXEC, CURRENT_TIMESTAMP() AS TIME_EXEC FROM "&amp;I451&amp;" INNER JOIN "&amp;J451&amp;" "&amp;K451),
IF(C451="Validade",+IF(G451="Code List","SELECT '"&amp;UPPER(B451)&amp;"' AS TABELA, '"&amp;UPPER(C451)&amp;"' AS TIPOLOGIA_TESTE,'"&amp;D451&amp;"' AS TABELA_LT,'N/A' AS TABELA_SIMUL,'"&amp;F451&amp;"' AS CAMPO, "&amp;"'${ref_date}' AS REF_DATE, COUNT(*) AS NUM_REG, SUM(IF(TRIM(CAST(X."&amp;F451&amp;" AS STRING))='' OR TRIM(CAST(X."&amp;F451&amp;" AS STRING)) IS NULL OR CAST(X."&amp;F451&amp;" AS STRING) NOT "&amp;H451&amp;",1,0)) AS NUM_REG_DIF,'"&amp;MAX('ID1&amp;5'!K:K)+1&amp;"' AS ID_EXEC, CURRENT_TIMESTAMP() AS TIME_EXEC FROM "&amp;I451,"SELECT '"&amp;UPPER(B451)&amp;"' AS TABELA, '"&amp;UPPER(C451)&amp;"' AS TIPOLOGIA_TESTE,'"&amp;D451&amp;"' AS TABELA_LT,'N/A' AS TABELA_SIMUL,'"&amp;F451&amp;"' AS CAMPO, "&amp;"'${ref_date}' AS REF_DATE, COUNT(*) AS NUM_REG, SUM(IF(TRIM(CAST(X."&amp;F451&amp;" AS STRING))='' OR TRIM(CAST(X."&amp;F451&amp;" AS STRING)) IS NULL,1,0)) AS NUM_REG_DIF,'"&amp;MAX('ID1&amp;5'!K:K)+1&amp;"' AS ID_EXEC, CURRENT_TIMESTAMP() AS TIME_EXEC FROM "&amp;I451),
IF(C451="Caracteres Especiais",+"SELECT '"&amp;UPPER(B451)&amp;"' AS TABELA, '"&amp;UPPER(C451)&amp;"' AS TIPOLOGIA_TESTE,'"&amp;D451&amp;"' AS TABELA_LT,'N/A' AS TABELA_SIMUL,'"&amp;F451&amp;"' AS CAMPO, "&amp;"'${ref_date}' AS REF_DATE, COUNT(*) AS NUM_REG, SUM(IF(REGEXP_REPLACE(TRIM(CAST(X."&amp;F451&amp;" AS STRING)),'[^a-zA-Z0-9_\\s]','') &lt;&gt;TRIM(CAST(X."&amp;F451&amp;" AS STRING)),1,0)) AS NUM_REG_DIF,'"&amp;MAX('ID1&amp;5'!K:K)+1&amp;"' AS ID_EXEC, CURRENT_TIMESTAMP() AS TIME_EXEC FROM "&amp;I451,
IF(C451="Missings",+"SELECT '"&amp;UPPER(B451)&amp;"' AS TABELA, '"&amp;UPPER(C451)&amp;"' AS TIPOLOGIA_TESTE,'"&amp;D451&amp;"' AS TABELA_LT,'N/A' AS TABELA_SIMUL,'"&amp;F451&amp;"' AS CAMPO, "&amp;"'${ref_date}' AS REF_DATE, COUNT(*) AS NUM_REG, SUM(IF(TRIM(CAST(X."&amp;F451&amp;" AS STRING)) IN ('0000-00-00','0001-01-01','9999-12-31','MISS','00000','99999999999','99999999999.00','99999999999.000000'),1,0)) AS NUM_REG_DIF,'"&amp;MAX('ID1&amp;5'!K:K)+1&amp;"' AS ID_EXEC, CURRENT_TIMESTAMP() AS TIME_EXEC FROM "&amp;I451,
IF(C451="Not applicable",+"SELECT '"&amp;UPPER(B451)&amp;"' AS TABELA, '"&amp;UPPER(C451)&amp;"' AS TIPOLOGIA_TESTE,'"&amp;D451&amp;"' AS TABELA_LT,'N/A' AS TABELA_SIMUL,'"&amp;F451&amp;"' AS CAMPO, "&amp;"'${ref_date}' AS REF_DATE, COUNT(*) AS NUM_REG, SUM(IF(TRIM(CAST(X."&amp;F451&amp;" AS STRING)) IN ('N/A','11111111111','11111111111.00','11111111111.000000','1111-11-11'),1,0)) AS NUM_REG_DIF,'"&amp;MAX('ID1&amp;5'!K:K)+1&amp;"' AS ID_EXEC, CURRENT_TIMESTAMP() AS TIME_EXEC FROM "&amp;I451,
IF(C451="Valores extremos",+"SELECT '"&amp;UPPER(B451)&amp;"' AS TABELA, '"&amp;UPPER(C451)&amp;"' AS TIPOLOGIA_TESTE,'"&amp;D451&amp;"' AS TABELA_LT,'N/A' AS TABELA_SIMUL,'"&amp;F451&amp;"' AS CAMPO, "&amp;"'${ref_date}' AS REF_DATE, CAST(MIN("&amp;F451&amp;") AS STRING) AS VALOR_MIN, CAST(MAX("&amp;F451&amp;") AS STRING) AS VALOR_MAX,'"&amp;MAX('ID1&amp;5'!K:K)+1&amp;"' AS ID_EXEC, CURRENT_TIMESTAMP() AS TIME_EXEC FROM "&amp;MID(I451,1,LEN(I451)-2)&amp;" AND CAST("&amp;F451&amp;"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TABELA_SIMUL,'dbt_rpymnt_cpcty_ttl' AS CAMPO, '${ref_date}' AS REF_DATE, COUNT(*) AS NUM_REG, SUM(IF(COALESCE(CAST(X.dbt_rpymnt_cpcty_ttl AS STRING),'')&lt;&gt;COALESCE(CAST(Y.dbt_rpymnt_cpcty_ttl_SIMUL AS STRING),'') OR (X.dbt_rpymnt_cpcty_ttl IS NULL AND Y.dbt_rpymnt_cpcty_ttl_SIMUL IS NOT NULL ) OR (X.dbt_rpymnt_cpcty_ttl IS NOT NULL AND Y.dbt_rpymnt_cpcty_ttl_SIMUL IS NULL),1,0)) AS NUM_REG_DIF,'1' AS ID_EXEC, CURRENT_TIMESTAMP() AS TIME_EXEC FROM (SELECT entty_id, dbt_rpymnt_cpcty_ttl FROM BU_LOANTAPE_WORK.LT003_ENTITY WHERE ref_date='${ref_date}' AND nome_perimetro='Individual Local' AND segmento='ESTR' AND ambito='SRB_MBDT' AND entidade='00100')X INNER JOIN (SELECT entty_id AS entty_id_SIMUL, dbt_rpymnt_cpcty_ttl AS dbt_rpymnt_cpcty_ttl_SIMUL FROM BU_LOANTAPE_WORK.SIMUL_LT003_ENTITY WHERE ref_date='${ref_date}' AND nome_perimetro='Individual Local' AND segmento='ESTR' AND ambito='PILAR3' AND entidade='00100')Y ON X.ENTTY_ID=Y.ENTTY_ID_SIMUL</v>
      </c>
      <c r="M451" s="36" t="str">
        <f t="shared" si="10"/>
        <v>UNION ALL SELECT 'ENTITY' AS TABELA, 'COERÊNCIA' AS TIPOLOGIA_TESTE,'BU_LOANTAPE_WORK.LT003_ENTITY' AS TABELA_LT,'BU_LOANTAPE_WORK.SIMUL_LT003_ENTITY' AS TABELA_SIMUL,'dbt_rpymnt_cpcty_ttl' AS CAMPO, '${ref_date}' AS REF_DATE, COUNT(*) AS NUM_REG, SUM(IF(COALESCE(CAST(X.dbt_rpymnt_cpcty_ttl AS STRING),'')&lt;&gt;COALESCE(CAST(Y.dbt_rpymnt_cpcty_ttl_SIMUL AS STRING),'') OR (X.dbt_rpymnt_cpcty_ttl IS NULL AND Y.dbt_rpymnt_cpcty_ttl_SIMUL IS NOT NULL ) OR (X.dbt_rpymnt_cpcty_ttl IS NOT NULL AND Y.dbt_rpymnt_cpcty_ttl_SIMUL IS NULL),1,0)) AS NUM_REG_DIF,'1' AS ID_EXEC, CURRENT_TIMESTAMP() AS TIME_EXEC FROM (SELECT entty_id, dbt_rpymnt_cpcty_ttl FROM BU_LOANTAPE_WORK.LT003_ENTITY WHERE ref_date='${ref_date}' AND nome_perimetro='Individual Local' AND segmento='ESTR' AND ambito='SRB_MBDT' AND entidade='00100')X INNER JOIN (SELECT entty_id AS entty_id_SIMUL, dbt_rpymnt_cpcty_ttl AS dbt_rpymnt_cpcty_ttl_SIMUL FROM BU_LOANTAPE_WORK.SIMUL_LT003_ENTITY WHERE ref_date='${ref_date}' AND nome_perimetro='Individual Local' AND segmento='ESTR' AND ambito='PILAR3' AND entidade='00100')Y ON X.ENTTY_ID=Y.ENTTY_ID_SIMUL</v>
      </c>
    </row>
    <row r="452" spans="2:13">
      <c r="B452" s="34" t="s">
        <v>118</v>
      </c>
      <c r="C452" s="34" t="s">
        <v>5</v>
      </c>
      <c r="D452" s="34" t="str">
        <f>+UPPER('0. Instruções'!$D$35&amp;"."&amp;VLOOKUP(B452,'0. Instruções'!$C$27:$D$32,2,FALSE))</f>
        <v>BU_LOANTAPE_WORK.LT003_ENTITY</v>
      </c>
      <c r="E452" s="34" t="str">
        <f>+UPPER('0. Instruções'!$D$36&amp;"."&amp;VLOOKUP(B452,'0. Instruções'!$C$27:$E$32,3,FALSE))</f>
        <v>BU_LOANTAPE_WORK.SIMUL_LT003_ENTITY</v>
      </c>
      <c r="F452" s="34" t="s">
        <v>1473</v>
      </c>
      <c r="G452" s="34"/>
      <c r="H452" s="34"/>
      <c r="I452" s="34" t="str">
        <f>"(SELECT "&amp;VLOOKUP(B452,'0. Instruções'!$C$27:$G$32,4,FALSE)&amp;", "&amp;F452&amp;" FROM "&amp;D452&amp;" WHERE "&amp;'0. Instruções'!$D$42&amp;")X"</f>
        <v>(SELECT entty_id, dbt_srvc_rt FROM BU_LOANTAPE_WORK.LT003_ENTITY WHERE ref_date='${ref_date}' AND nome_perimetro='Individual Local' AND segmento='ESTR' AND ambito='SRB_MBDT' AND entidade='00100')X</v>
      </c>
      <c r="J452" s="34" t="str">
        <f>"(SELECT "&amp;VLOOKUP(B452,'0. Instruções'!$C$27:$G$32,4,FALSE)&amp;" AS "&amp;VLOOKUP(B452,'0. Instruções'!$C$27:$G$32,4,FALSE)&amp;"_SIMUL, "&amp;F452&amp;" AS "&amp;F452&amp;"_SIMUL FROM "&amp;E452&amp;" WHERE "&amp;'0. Instruções'!$D$43&amp;")Y"</f>
        <v>(SELECT entty_id AS entty_id_SIMUL, dbt_srvc_rt AS dbt_srvc_rt_SIMUL FROM BU_LOANTAPE_WORK.SIMUL_LT003_ENTITY WHERE ref_date='${ref_date}' AND nome_perimetro='Individual Local' AND segmento='ESTR' AND ambito='PILAR3' AND entidade='00100')Y</v>
      </c>
      <c r="K452" s="35" t="str">
        <f>+UPPER("ON X."&amp;VLOOKUP(B452,'0. Instruções'!$C$27:$G$32,4,FALSE)&amp;"=Y."&amp;VLOOKUP(B452,'0. Instruções'!$C$27:$G$32,4,FALSE)&amp;"_SIMUL")</f>
        <v>ON X.ENTTY_ID=Y.ENTTY_ID_SIMUL</v>
      </c>
      <c r="L452" s="35" t="str">
        <f>+IF(C452="Coerência", +IF(LEFT(G452,5)="FLOAT","SELECT '"&amp;UPPER(B452)&amp;"' AS TABELA, '"&amp;UPPER(C452)&amp;"' AS TIPOLOGIA_TESTE,'"&amp;D452&amp;"' AS TABELA_LT,'"&amp;E452&amp;"' AS TABELA_SIMUL,'"&amp;F452&amp;"' AS CAMPO, "&amp;"'${ref_date}' AS REF_DATE, COUNT(*) AS NUM_REG, SUM(IF((ABS(COALESCE(CAST(X."&amp;F452&amp;" AS DECIMAL(18,6)),0)-COALESCE(CAST(Y."&amp;F452&amp;"_SIMUL AS DECIMAL(18,6)),0))&gt;0.000001) OR (X."&amp;F452&amp;" IS NULL AND Y."&amp;F452&amp;"_SIMUL IS NOT NULL ) OR (X."&amp;F452&amp;" IS NOT NULL AND Y."&amp;F452&amp;"_SIMUL IS NULL),1,0)) AS NUM_REG_DIF,'"&amp;MAX('ID1&amp;5'!K:K)+1&amp;"' AS ID_EXEC, CURRENT_TIMESTAMP() AS TIME_EXEC FROM "&amp;I452&amp;" INNER JOIN "&amp;J452&amp;" "&amp;K452,"SELECT '"&amp;UPPER(B452)&amp;"' AS TABELA, '"&amp;UPPER(C452)&amp;"' AS TIPOLOGIA_TESTE,'"&amp;D452&amp;"' AS TABELA_LT,'"&amp;E452&amp;"' AS TABELA_SIMUL,'"&amp;F452&amp;"' AS CAMPO, "&amp;"'${ref_date}' AS REF_DATE, COUNT(*) AS NUM_REG, SUM(IF(COALESCE(CAST(X."&amp;F452&amp;" AS STRING),'')&lt;&gt;COALESCE(CAST(Y."&amp;F452&amp;"_SIMUL AS STRING),'') OR (X."&amp;F452&amp;" IS NULL AND Y."&amp;F452&amp;"_SIMUL IS NOT NULL ) OR (X."&amp;F452&amp;" IS NOT NULL AND Y."&amp;F452&amp;"_SIMUL IS NULL),1,0)) AS NUM_REG_DIF,'"&amp;MAX('ID1&amp;5'!L:L)+1&amp;"' AS ID_EXEC, CURRENT_TIMESTAMP() AS TIME_EXEC FROM "&amp;I452&amp;" INNER JOIN "&amp;J452&amp;" "&amp;K452),
IF(C452="Validade",+IF(G452="Code List","SELECT '"&amp;UPPER(B452)&amp;"' AS TABELA, '"&amp;UPPER(C452)&amp;"' AS TIPOLOGIA_TESTE,'"&amp;D452&amp;"' AS TABELA_LT,'N/A' AS TABELA_SIMUL,'"&amp;F452&amp;"' AS CAMPO, "&amp;"'${ref_date}' AS REF_DATE, COUNT(*) AS NUM_REG, SUM(IF(TRIM(CAST(X."&amp;F452&amp;" AS STRING))='' OR TRIM(CAST(X."&amp;F452&amp;" AS STRING)) IS NULL OR CAST(X."&amp;F452&amp;" AS STRING) NOT "&amp;H452&amp;",1,0)) AS NUM_REG_DIF,'"&amp;MAX('ID1&amp;5'!K:K)+1&amp;"' AS ID_EXEC, CURRENT_TIMESTAMP() AS TIME_EXEC FROM "&amp;I452,"SELECT '"&amp;UPPER(B452)&amp;"' AS TABELA, '"&amp;UPPER(C452)&amp;"' AS TIPOLOGIA_TESTE,'"&amp;D452&amp;"' AS TABELA_LT,'N/A' AS TABELA_SIMUL,'"&amp;F452&amp;"' AS CAMPO, "&amp;"'${ref_date}' AS REF_DATE, COUNT(*) AS NUM_REG, SUM(IF(TRIM(CAST(X."&amp;F452&amp;" AS STRING))='' OR TRIM(CAST(X."&amp;F452&amp;" AS STRING)) IS NULL,1,0)) AS NUM_REG_DIF,'"&amp;MAX('ID1&amp;5'!K:K)+1&amp;"' AS ID_EXEC, CURRENT_TIMESTAMP() AS TIME_EXEC FROM "&amp;I452),
IF(C452="Caracteres Especiais",+"SELECT '"&amp;UPPER(B452)&amp;"' AS TABELA, '"&amp;UPPER(C452)&amp;"' AS TIPOLOGIA_TESTE,'"&amp;D452&amp;"' AS TABELA_LT,'N/A' AS TABELA_SIMUL,'"&amp;F452&amp;"' AS CAMPO, "&amp;"'${ref_date}' AS REF_DATE, COUNT(*) AS NUM_REG, SUM(IF(REGEXP_REPLACE(TRIM(CAST(X."&amp;F452&amp;" AS STRING)),'[^a-zA-Z0-9_\\s]','') &lt;&gt;TRIM(CAST(X."&amp;F452&amp;" AS STRING)),1,0)) AS NUM_REG_DIF,'"&amp;MAX('ID1&amp;5'!K:K)+1&amp;"' AS ID_EXEC, CURRENT_TIMESTAMP() AS TIME_EXEC FROM "&amp;I452,
IF(C452="Missings",+"SELECT '"&amp;UPPER(B452)&amp;"' AS TABELA, '"&amp;UPPER(C452)&amp;"' AS TIPOLOGIA_TESTE,'"&amp;D452&amp;"' AS TABELA_LT,'N/A' AS TABELA_SIMUL,'"&amp;F452&amp;"' AS CAMPO, "&amp;"'${ref_date}' AS REF_DATE, COUNT(*) AS NUM_REG, SUM(IF(TRIM(CAST(X."&amp;F452&amp;" AS STRING)) IN ('0000-00-00','0001-01-01','9999-12-31','MISS','00000','99999999999','99999999999.00','99999999999.000000'),1,0)) AS NUM_REG_DIF,'"&amp;MAX('ID1&amp;5'!K:K)+1&amp;"' AS ID_EXEC, CURRENT_TIMESTAMP() AS TIME_EXEC FROM "&amp;I452,
IF(C452="Not applicable",+"SELECT '"&amp;UPPER(B452)&amp;"' AS TABELA, '"&amp;UPPER(C452)&amp;"' AS TIPOLOGIA_TESTE,'"&amp;D452&amp;"' AS TABELA_LT,'N/A' AS TABELA_SIMUL,'"&amp;F452&amp;"' AS CAMPO, "&amp;"'${ref_date}' AS REF_DATE, COUNT(*) AS NUM_REG, SUM(IF(TRIM(CAST(X."&amp;F452&amp;" AS STRING)) IN ('N/A','11111111111','11111111111.00','11111111111.000000','1111-11-11'),1,0)) AS NUM_REG_DIF,'"&amp;MAX('ID1&amp;5'!K:K)+1&amp;"' AS ID_EXEC, CURRENT_TIMESTAMP() AS TIME_EXEC FROM "&amp;I452,
IF(C452="Valores extremos",+"SELECT '"&amp;UPPER(B452)&amp;"' AS TABELA, '"&amp;UPPER(C452)&amp;"' AS TIPOLOGIA_TESTE,'"&amp;D452&amp;"' AS TABELA_LT,'N/A' AS TABELA_SIMUL,'"&amp;F452&amp;"' AS CAMPO, "&amp;"'${ref_date}' AS REF_DATE, CAST(MIN("&amp;F452&amp;") AS STRING) AS VALOR_MIN, CAST(MAX("&amp;F452&amp;") AS STRING) AS VALOR_MAX,'"&amp;MAX('ID1&amp;5'!K:K)+1&amp;"' AS ID_EXEC, CURRENT_TIMESTAMP() AS TIME_EXEC FROM "&amp;MID(I452,1,LEN(I452)-2)&amp;" AND CAST("&amp;F452&amp;"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TABELA_SIMUL,'dbt_srvc_rt' AS CAMPO, '${ref_date}' AS REF_DATE, COUNT(*) AS NUM_REG, SUM(IF(COALESCE(CAST(X.dbt_srvc_rt AS STRING),'')&lt;&gt;COALESCE(CAST(Y.dbt_srvc_rt_SIMUL AS STRING),'') OR (X.dbt_srvc_rt IS NULL AND Y.dbt_srvc_rt_SIMUL IS NOT NULL ) OR (X.dbt_srvc_rt IS NOT NULL AND Y.dbt_srvc_rt_SIMUL IS NULL),1,0)) AS NUM_REG_DIF,'1' AS ID_EXEC, CURRENT_TIMESTAMP() AS TIME_EXEC FROM (SELECT entty_id, dbt_srvc_rt FROM BU_LOANTAPE_WORK.LT003_ENTITY WHERE ref_date='${ref_date}' AND nome_perimetro='Individual Local' AND segmento='ESTR' AND ambito='SRB_MBDT' AND entidade='00100')X INNER JOIN (SELECT entty_id AS entty_id_SIMUL, dbt_srvc_rt AS dbt_srvc_rt_SIMUL FROM BU_LOANTAPE_WORK.SIMUL_LT003_ENTITY WHERE ref_date='${ref_date}' AND nome_perimetro='Individual Local' AND segmento='ESTR' AND ambito='PILAR3' AND entidade='00100')Y ON X.ENTTY_ID=Y.ENTTY_ID_SIMUL</v>
      </c>
      <c r="M452" s="36" t="str">
        <f t="shared" si="10"/>
        <v>UNION ALL SELECT 'ENTITY' AS TABELA, 'COERÊNCIA' AS TIPOLOGIA_TESTE,'BU_LOANTAPE_WORK.LT003_ENTITY' AS TABELA_LT,'BU_LOANTAPE_WORK.SIMUL_LT003_ENTITY' AS TABELA_SIMUL,'dbt_srvc_rt' AS CAMPO, '${ref_date}' AS REF_DATE, COUNT(*) AS NUM_REG, SUM(IF(COALESCE(CAST(X.dbt_srvc_rt AS STRING),'')&lt;&gt;COALESCE(CAST(Y.dbt_srvc_rt_SIMUL AS STRING),'') OR (X.dbt_srvc_rt IS NULL AND Y.dbt_srvc_rt_SIMUL IS NOT NULL ) OR (X.dbt_srvc_rt IS NOT NULL AND Y.dbt_srvc_rt_SIMUL IS NULL),1,0)) AS NUM_REG_DIF,'1' AS ID_EXEC, CURRENT_TIMESTAMP() AS TIME_EXEC FROM (SELECT entty_id, dbt_srvc_rt FROM BU_LOANTAPE_WORK.LT003_ENTITY WHERE ref_date='${ref_date}' AND nome_perimetro='Individual Local' AND segmento='ESTR' AND ambito='SRB_MBDT' AND entidade='00100')X INNER JOIN (SELECT entty_id AS entty_id_SIMUL, dbt_srvc_rt AS dbt_srvc_rt_SIMUL FROM BU_LOANTAPE_WORK.SIMUL_LT003_ENTITY WHERE ref_date='${ref_date}' AND nome_perimetro='Individual Local' AND segmento='ESTR' AND ambito='PILAR3' AND entidade='00100')Y ON X.ENTTY_ID=Y.ENTTY_ID_SIMUL</v>
      </c>
    </row>
    <row r="453" spans="2:13">
      <c r="B453" s="34" t="s">
        <v>118</v>
      </c>
      <c r="C453" s="34" t="s">
        <v>5</v>
      </c>
      <c r="D453" s="34" t="str">
        <f>+UPPER('0. Instruções'!$D$35&amp;"."&amp;VLOOKUP(B453,'0. Instruções'!$C$27:$D$32,2,FALSE))</f>
        <v>BU_LOANTAPE_WORK.LT003_ENTITY</v>
      </c>
      <c r="E453" s="34" t="str">
        <f>+UPPER('0. Instruções'!$D$36&amp;"."&amp;VLOOKUP(B453,'0. Instruções'!$C$27:$E$32,3,FALSE))</f>
        <v>BU_LOANTAPE_WORK.SIMUL_LT003_ENTITY</v>
      </c>
      <c r="F453" s="34" t="s">
        <v>1474</v>
      </c>
      <c r="G453" s="34"/>
      <c r="H453" s="34"/>
      <c r="I453" s="34" t="str">
        <f>"(SELECT "&amp;VLOOKUP(B453,'0. Instruções'!$C$27:$G$32,4,FALSE)&amp;", "&amp;F453&amp;" FROM "&amp;D453&amp;" WHERE "&amp;'0. Instruções'!$D$42&amp;")X"</f>
        <v>(SELECT entty_id, dbt_srvc_rt_12m FROM BU_LOANTAPE_WORK.LT003_ENTITY WHERE ref_date='${ref_date}' AND nome_perimetro='Individual Local' AND segmento='ESTR' AND ambito='SRB_MBDT' AND entidade='00100')X</v>
      </c>
      <c r="J453" s="34" t="str">
        <f>"(SELECT "&amp;VLOOKUP(B453,'0. Instruções'!$C$27:$G$32,4,FALSE)&amp;" AS "&amp;VLOOKUP(B453,'0. Instruções'!$C$27:$G$32,4,FALSE)&amp;"_SIMUL, "&amp;F453&amp;" AS "&amp;F453&amp;"_SIMUL FROM "&amp;E453&amp;" WHERE "&amp;'0. Instruções'!$D$43&amp;")Y"</f>
        <v>(SELECT entty_id AS entty_id_SIMUL, dbt_srvc_rt_12m AS dbt_srvc_rt_12m_SIMUL FROM BU_LOANTAPE_WORK.SIMUL_LT003_ENTITY WHERE ref_date='${ref_date}' AND nome_perimetro='Individual Local' AND segmento='ESTR' AND ambito='PILAR3' AND entidade='00100')Y</v>
      </c>
      <c r="K453" s="35" t="str">
        <f>+UPPER("ON X."&amp;VLOOKUP(B453,'0. Instruções'!$C$27:$G$32,4,FALSE)&amp;"=Y."&amp;VLOOKUP(B453,'0. Instruções'!$C$27:$G$32,4,FALSE)&amp;"_SIMUL")</f>
        <v>ON X.ENTTY_ID=Y.ENTTY_ID_SIMUL</v>
      </c>
      <c r="L453" s="35" t="str">
        <f>+IF(C453="Coerência", +IF(LEFT(G453,5)="FLOAT","SELECT '"&amp;UPPER(B453)&amp;"' AS TABELA, '"&amp;UPPER(C453)&amp;"' AS TIPOLOGIA_TESTE,'"&amp;D453&amp;"' AS TABELA_LT,'"&amp;E453&amp;"' AS TABELA_SIMUL,'"&amp;F453&amp;"' AS CAMPO, "&amp;"'${ref_date}' AS REF_DATE, COUNT(*) AS NUM_REG, SUM(IF((ABS(COALESCE(CAST(X."&amp;F453&amp;" AS DECIMAL(18,6)),0)-COALESCE(CAST(Y."&amp;F453&amp;"_SIMUL AS DECIMAL(18,6)),0))&gt;0.000001) OR (X."&amp;F453&amp;" IS NULL AND Y."&amp;F453&amp;"_SIMUL IS NOT NULL ) OR (X."&amp;F453&amp;" IS NOT NULL AND Y."&amp;F453&amp;"_SIMUL IS NULL),1,0)) AS NUM_REG_DIF,'"&amp;MAX('ID1&amp;5'!K:K)+1&amp;"' AS ID_EXEC, CURRENT_TIMESTAMP() AS TIME_EXEC FROM "&amp;I453&amp;" INNER JOIN "&amp;J453&amp;" "&amp;K453,"SELECT '"&amp;UPPER(B453)&amp;"' AS TABELA, '"&amp;UPPER(C453)&amp;"' AS TIPOLOGIA_TESTE,'"&amp;D453&amp;"' AS TABELA_LT,'"&amp;E453&amp;"' AS TABELA_SIMUL,'"&amp;F453&amp;"' AS CAMPO, "&amp;"'${ref_date}' AS REF_DATE, COUNT(*) AS NUM_REG, SUM(IF(COALESCE(CAST(X."&amp;F453&amp;" AS STRING),'')&lt;&gt;COALESCE(CAST(Y."&amp;F453&amp;"_SIMUL AS STRING),'') OR (X."&amp;F453&amp;" IS NULL AND Y."&amp;F453&amp;"_SIMUL IS NOT NULL ) OR (X."&amp;F453&amp;" IS NOT NULL AND Y."&amp;F453&amp;"_SIMUL IS NULL),1,0)) AS NUM_REG_DIF,'"&amp;MAX('ID1&amp;5'!L:L)+1&amp;"' AS ID_EXEC, CURRENT_TIMESTAMP() AS TIME_EXEC FROM "&amp;I453&amp;" INNER JOIN "&amp;J453&amp;" "&amp;K453),
IF(C453="Validade",+IF(G453="Code List","SELECT '"&amp;UPPER(B453)&amp;"' AS TABELA, '"&amp;UPPER(C453)&amp;"' AS TIPOLOGIA_TESTE,'"&amp;D453&amp;"' AS TABELA_LT,'N/A' AS TABELA_SIMUL,'"&amp;F453&amp;"' AS CAMPO, "&amp;"'${ref_date}' AS REF_DATE, COUNT(*) AS NUM_REG, SUM(IF(TRIM(CAST(X."&amp;F453&amp;" AS STRING))='' OR TRIM(CAST(X."&amp;F453&amp;" AS STRING)) IS NULL OR CAST(X."&amp;F453&amp;" AS STRING) NOT "&amp;H453&amp;",1,0)) AS NUM_REG_DIF,'"&amp;MAX('ID1&amp;5'!K:K)+1&amp;"' AS ID_EXEC, CURRENT_TIMESTAMP() AS TIME_EXEC FROM "&amp;I453,"SELECT '"&amp;UPPER(B453)&amp;"' AS TABELA, '"&amp;UPPER(C453)&amp;"' AS TIPOLOGIA_TESTE,'"&amp;D453&amp;"' AS TABELA_LT,'N/A' AS TABELA_SIMUL,'"&amp;F453&amp;"' AS CAMPO, "&amp;"'${ref_date}' AS REF_DATE, COUNT(*) AS NUM_REG, SUM(IF(TRIM(CAST(X."&amp;F453&amp;" AS STRING))='' OR TRIM(CAST(X."&amp;F453&amp;" AS STRING)) IS NULL,1,0)) AS NUM_REG_DIF,'"&amp;MAX('ID1&amp;5'!K:K)+1&amp;"' AS ID_EXEC, CURRENT_TIMESTAMP() AS TIME_EXEC FROM "&amp;I453),
IF(C453="Caracteres Especiais",+"SELECT '"&amp;UPPER(B453)&amp;"' AS TABELA, '"&amp;UPPER(C453)&amp;"' AS TIPOLOGIA_TESTE,'"&amp;D453&amp;"' AS TABELA_LT,'N/A' AS TABELA_SIMUL,'"&amp;F453&amp;"' AS CAMPO, "&amp;"'${ref_date}' AS REF_DATE, COUNT(*) AS NUM_REG, SUM(IF(REGEXP_REPLACE(TRIM(CAST(X."&amp;F453&amp;" AS STRING)),'[^a-zA-Z0-9_\\s]','') &lt;&gt;TRIM(CAST(X."&amp;F453&amp;" AS STRING)),1,0)) AS NUM_REG_DIF,'"&amp;MAX('ID1&amp;5'!K:K)+1&amp;"' AS ID_EXEC, CURRENT_TIMESTAMP() AS TIME_EXEC FROM "&amp;I453,
IF(C453="Missings",+"SELECT '"&amp;UPPER(B453)&amp;"' AS TABELA, '"&amp;UPPER(C453)&amp;"' AS TIPOLOGIA_TESTE,'"&amp;D453&amp;"' AS TABELA_LT,'N/A' AS TABELA_SIMUL,'"&amp;F453&amp;"' AS CAMPO, "&amp;"'${ref_date}' AS REF_DATE, COUNT(*) AS NUM_REG, SUM(IF(TRIM(CAST(X."&amp;F453&amp;" AS STRING)) IN ('0000-00-00','0001-01-01','9999-12-31','MISS','00000','99999999999','99999999999.00','99999999999.000000'),1,0)) AS NUM_REG_DIF,'"&amp;MAX('ID1&amp;5'!K:K)+1&amp;"' AS ID_EXEC, CURRENT_TIMESTAMP() AS TIME_EXEC FROM "&amp;I453,
IF(C453="Not applicable",+"SELECT '"&amp;UPPER(B453)&amp;"' AS TABELA, '"&amp;UPPER(C453)&amp;"' AS TIPOLOGIA_TESTE,'"&amp;D453&amp;"' AS TABELA_LT,'N/A' AS TABELA_SIMUL,'"&amp;F453&amp;"' AS CAMPO, "&amp;"'${ref_date}' AS REF_DATE, COUNT(*) AS NUM_REG, SUM(IF(TRIM(CAST(X."&amp;F453&amp;" AS STRING)) IN ('N/A','11111111111','11111111111.00','11111111111.000000','1111-11-11'),1,0)) AS NUM_REG_DIF,'"&amp;MAX('ID1&amp;5'!K:K)+1&amp;"' AS ID_EXEC, CURRENT_TIMESTAMP() AS TIME_EXEC FROM "&amp;I453,
IF(C453="Valores extremos",+"SELECT '"&amp;UPPER(B453)&amp;"' AS TABELA, '"&amp;UPPER(C453)&amp;"' AS TIPOLOGIA_TESTE,'"&amp;D453&amp;"' AS TABELA_LT,'N/A' AS TABELA_SIMUL,'"&amp;F453&amp;"' AS CAMPO, "&amp;"'${ref_date}' AS REF_DATE, CAST(MIN("&amp;F453&amp;") AS STRING) AS VALOR_MIN, CAST(MAX("&amp;F453&amp;") AS STRING) AS VALOR_MAX,'"&amp;MAX('ID1&amp;5'!K:K)+1&amp;"' AS ID_EXEC, CURRENT_TIMESTAMP() AS TIME_EXEC FROM "&amp;MID(I453,1,LEN(I453)-2)&amp;" AND CAST("&amp;F453&amp;"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TABELA_SIMUL,'dbt_srvc_rt_12m' AS CAMPO, '${ref_date}' AS REF_DATE, COUNT(*) AS NUM_REG, SUM(IF(COALESCE(CAST(X.dbt_srvc_rt_12m AS STRING),'')&lt;&gt;COALESCE(CAST(Y.dbt_srvc_rt_12m_SIMUL AS STRING),'') OR (X.dbt_srvc_rt_12m IS NULL AND Y.dbt_srvc_rt_12m_SIMUL IS NOT NULL ) OR (X.dbt_srvc_rt_12m IS NOT NULL AND Y.dbt_srvc_rt_12m_SIMUL IS NULL),1,0)) AS NUM_REG_DIF,'1' AS ID_EXEC, CURRENT_TIMESTAMP() AS TIME_EXEC FROM (SELECT entty_id, dbt_srvc_rt_12m FROM BU_LOANTAPE_WORK.LT003_ENTITY WHERE ref_date='${ref_date}' AND nome_perimetro='Individual Local' AND segmento='ESTR' AND ambito='SRB_MBDT' AND entidade='00100')X INNER JOIN (SELECT entty_id AS entty_id_SIMUL, dbt_srvc_rt_12m AS dbt_srvc_rt_12m_SIMUL FROM BU_LOANTAPE_WORK.SIMUL_LT003_ENTITY WHERE ref_date='${ref_date}' AND nome_perimetro='Individual Local' AND segmento='ESTR' AND ambito='PILAR3' AND entidade='00100')Y ON X.ENTTY_ID=Y.ENTTY_ID_SIMUL</v>
      </c>
      <c r="M453" s="36" t="str">
        <f t="shared" si="10"/>
        <v>UNION ALL SELECT 'ENTITY' AS TABELA, 'COERÊNCIA' AS TIPOLOGIA_TESTE,'BU_LOANTAPE_WORK.LT003_ENTITY' AS TABELA_LT,'BU_LOANTAPE_WORK.SIMUL_LT003_ENTITY' AS TABELA_SIMUL,'dbt_srvc_rt_12m' AS CAMPO, '${ref_date}' AS REF_DATE, COUNT(*) AS NUM_REG, SUM(IF(COALESCE(CAST(X.dbt_srvc_rt_12m AS STRING),'')&lt;&gt;COALESCE(CAST(Y.dbt_srvc_rt_12m_SIMUL AS STRING),'') OR (X.dbt_srvc_rt_12m IS NULL AND Y.dbt_srvc_rt_12m_SIMUL IS NOT NULL ) OR (X.dbt_srvc_rt_12m IS NOT NULL AND Y.dbt_srvc_rt_12m_SIMUL IS NULL),1,0)) AS NUM_REG_DIF,'1' AS ID_EXEC, CURRENT_TIMESTAMP() AS TIME_EXEC FROM (SELECT entty_id, dbt_srvc_rt_12m FROM BU_LOANTAPE_WORK.LT003_ENTITY WHERE ref_date='${ref_date}' AND nome_perimetro='Individual Local' AND segmento='ESTR' AND ambito='SRB_MBDT' AND entidade='00100')X INNER JOIN (SELECT entty_id AS entty_id_SIMUL, dbt_srvc_rt_12m AS dbt_srvc_rt_12m_SIMUL FROM BU_LOANTAPE_WORK.SIMUL_LT003_ENTITY WHERE ref_date='${ref_date}' AND nome_perimetro='Individual Local' AND segmento='ESTR' AND ambito='PILAR3' AND entidade='00100')Y ON X.ENTTY_ID=Y.ENTTY_ID_SIMUL</v>
      </c>
    </row>
    <row r="454" spans="2:13">
      <c r="B454" s="34" t="s">
        <v>118</v>
      </c>
      <c r="C454" s="34" t="s">
        <v>5</v>
      </c>
      <c r="D454" s="34" t="str">
        <f>+UPPER('0. Instruções'!$D$35&amp;"."&amp;VLOOKUP(B454,'0. Instruções'!$C$27:$D$32,2,FALSE))</f>
        <v>BU_LOANTAPE_WORK.LT003_ENTITY</v>
      </c>
      <c r="E454" s="34" t="str">
        <f>+UPPER('0. Instruções'!$D$36&amp;"."&amp;VLOOKUP(B454,'0. Instruções'!$C$27:$E$32,3,FALSE))</f>
        <v>BU_LOANTAPE_WORK.SIMUL_LT003_ENTITY</v>
      </c>
      <c r="F454" s="34" t="s">
        <v>1230</v>
      </c>
      <c r="G454" s="34"/>
      <c r="H454" s="34"/>
      <c r="I454" s="34" t="str">
        <f>"(SELECT "&amp;VLOOKUP(B454,'0. Instruções'!$C$27:$G$32,4,FALSE)&amp;", "&amp;F454&amp;" FROM "&amp;D454&amp;" WHERE "&amp;'0. Instruções'!$D$42&amp;")X"</f>
        <v>(SELECT entty_id, pd_crr_rd FROM BU_LOANTAPE_WORK.LT003_ENTITY WHERE ref_date='${ref_date}' AND nome_perimetro='Individual Local' AND segmento='ESTR' AND ambito='SRB_MBDT' AND entidade='00100')X</v>
      </c>
      <c r="J454" s="34" t="str">
        <f>"(SELECT "&amp;VLOOKUP(B454,'0. Instruções'!$C$27:$G$32,4,FALSE)&amp;" AS "&amp;VLOOKUP(B454,'0. Instruções'!$C$27:$G$32,4,FALSE)&amp;"_SIMUL, "&amp;F454&amp;" AS "&amp;F454&amp;"_SIMUL FROM "&amp;E454&amp;" WHERE "&amp;'0. Instruções'!$D$43&amp;")Y"</f>
        <v>(SELECT entty_id AS entty_id_SIMUL, pd_crr_rd AS pd_crr_rd_SIMUL FROM BU_LOANTAPE_WORK.SIMUL_LT003_ENTITY WHERE ref_date='${ref_date}' AND nome_perimetro='Individual Local' AND segmento='ESTR' AND ambito='PILAR3' AND entidade='00100')Y</v>
      </c>
      <c r="K454" s="35" t="str">
        <f>+UPPER("ON X."&amp;VLOOKUP(B454,'0. Instruções'!$C$27:$G$32,4,FALSE)&amp;"=Y."&amp;VLOOKUP(B454,'0. Instruções'!$C$27:$G$32,4,FALSE)&amp;"_SIMUL")</f>
        <v>ON X.ENTTY_ID=Y.ENTTY_ID_SIMUL</v>
      </c>
      <c r="L454" s="35" t="str">
        <f>+IF(C454="Coerência", +IF(LEFT(G454,5)="FLOAT","SELECT '"&amp;UPPER(B454)&amp;"' AS TABELA, '"&amp;UPPER(C454)&amp;"' AS TIPOLOGIA_TESTE,'"&amp;D454&amp;"' AS TABELA_LT,'"&amp;E454&amp;"' AS TABELA_SIMUL,'"&amp;F454&amp;"' AS CAMPO, "&amp;"'${ref_date}' AS REF_DATE, COUNT(*) AS NUM_REG, SUM(IF((ABS(COALESCE(CAST(X."&amp;F454&amp;" AS DECIMAL(18,6)),0)-COALESCE(CAST(Y."&amp;F454&amp;"_SIMUL AS DECIMAL(18,6)),0))&gt;0.000001) OR (X."&amp;F454&amp;" IS NULL AND Y."&amp;F454&amp;"_SIMUL IS NOT NULL ) OR (X."&amp;F454&amp;" IS NOT NULL AND Y."&amp;F454&amp;"_SIMUL IS NULL),1,0)) AS NUM_REG_DIF,'"&amp;MAX('ID1&amp;5'!K:K)+1&amp;"' AS ID_EXEC, CURRENT_TIMESTAMP() AS TIME_EXEC FROM "&amp;I454&amp;" INNER JOIN "&amp;J454&amp;" "&amp;K454,"SELECT '"&amp;UPPER(B454)&amp;"' AS TABELA, '"&amp;UPPER(C454)&amp;"' AS TIPOLOGIA_TESTE,'"&amp;D454&amp;"' AS TABELA_LT,'"&amp;E454&amp;"' AS TABELA_SIMUL,'"&amp;F454&amp;"' AS CAMPO, "&amp;"'${ref_date}' AS REF_DATE, COUNT(*) AS NUM_REG, SUM(IF(COALESCE(CAST(X."&amp;F454&amp;" AS STRING),'')&lt;&gt;COALESCE(CAST(Y."&amp;F454&amp;"_SIMUL AS STRING),'') OR (X."&amp;F454&amp;" IS NULL AND Y."&amp;F454&amp;"_SIMUL IS NOT NULL ) OR (X."&amp;F454&amp;" IS NOT NULL AND Y."&amp;F454&amp;"_SIMUL IS NULL),1,0)) AS NUM_REG_DIF,'"&amp;MAX('ID1&amp;5'!L:L)+1&amp;"' AS ID_EXEC, CURRENT_TIMESTAMP() AS TIME_EXEC FROM "&amp;I454&amp;" INNER JOIN "&amp;J454&amp;" "&amp;K454),
IF(C454="Validade",+IF(G454="Code List","SELECT '"&amp;UPPER(B454)&amp;"' AS TABELA, '"&amp;UPPER(C454)&amp;"' AS TIPOLOGIA_TESTE,'"&amp;D454&amp;"' AS TABELA_LT,'N/A' AS TABELA_SIMUL,'"&amp;F454&amp;"' AS CAMPO, "&amp;"'${ref_date}' AS REF_DATE, COUNT(*) AS NUM_REG, SUM(IF(TRIM(CAST(X."&amp;F454&amp;" AS STRING))='' OR TRIM(CAST(X."&amp;F454&amp;" AS STRING)) IS NULL OR CAST(X."&amp;F454&amp;" AS STRING) NOT "&amp;H454&amp;",1,0)) AS NUM_REG_DIF,'"&amp;MAX('ID1&amp;5'!K:K)+1&amp;"' AS ID_EXEC, CURRENT_TIMESTAMP() AS TIME_EXEC FROM "&amp;I454,"SELECT '"&amp;UPPER(B454)&amp;"' AS TABELA, '"&amp;UPPER(C454)&amp;"' AS TIPOLOGIA_TESTE,'"&amp;D454&amp;"' AS TABELA_LT,'N/A' AS TABELA_SIMUL,'"&amp;F454&amp;"' AS CAMPO, "&amp;"'${ref_date}' AS REF_DATE, COUNT(*) AS NUM_REG, SUM(IF(TRIM(CAST(X."&amp;F454&amp;" AS STRING))='' OR TRIM(CAST(X."&amp;F454&amp;" AS STRING)) IS NULL,1,0)) AS NUM_REG_DIF,'"&amp;MAX('ID1&amp;5'!K:K)+1&amp;"' AS ID_EXEC, CURRENT_TIMESTAMP() AS TIME_EXEC FROM "&amp;I454),
IF(C454="Caracteres Especiais",+"SELECT '"&amp;UPPER(B454)&amp;"' AS TABELA, '"&amp;UPPER(C454)&amp;"' AS TIPOLOGIA_TESTE,'"&amp;D454&amp;"' AS TABELA_LT,'N/A' AS TABELA_SIMUL,'"&amp;F454&amp;"' AS CAMPO, "&amp;"'${ref_date}' AS REF_DATE, COUNT(*) AS NUM_REG, SUM(IF(REGEXP_REPLACE(TRIM(CAST(X."&amp;F454&amp;" AS STRING)),'[^a-zA-Z0-9_\\s]','') &lt;&gt;TRIM(CAST(X."&amp;F454&amp;" AS STRING)),1,0)) AS NUM_REG_DIF,'"&amp;MAX('ID1&amp;5'!K:K)+1&amp;"' AS ID_EXEC, CURRENT_TIMESTAMP() AS TIME_EXEC FROM "&amp;I454,
IF(C454="Missings",+"SELECT '"&amp;UPPER(B454)&amp;"' AS TABELA, '"&amp;UPPER(C454)&amp;"' AS TIPOLOGIA_TESTE,'"&amp;D454&amp;"' AS TABELA_LT,'N/A' AS TABELA_SIMUL,'"&amp;F454&amp;"' AS CAMPO, "&amp;"'${ref_date}' AS REF_DATE, COUNT(*) AS NUM_REG, SUM(IF(TRIM(CAST(X."&amp;F454&amp;" AS STRING)) IN ('0000-00-00','0001-01-01','9999-12-31','MISS','00000','99999999999','99999999999.00','99999999999.000000'),1,0)) AS NUM_REG_DIF,'"&amp;MAX('ID1&amp;5'!K:K)+1&amp;"' AS ID_EXEC, CURRENT_TIMESTAMP() AS TIME_EXEC FROM "&amp;I454,
IF(C454="Not applicable",+"SELECT '"&amp;UPPER(B454)&amp;"' AS TABELA, '"&amp;UPPER(C454)&amp;"' AS TIPOLOGIA_TESTE,'"&amp;D454&amp;"' AS TABELA_LT,'N/A' AS TABELA_SIMUL,'"&amp;F454&amp;"' AS CAMPO, "&amp;"'${ref_date}' AS REF_DATE, COUNT(*) AS NUM_REG, SUM(IF(TRIM(CAST(X."&amp;F454&amp;" AS STRING)) IN ('N/A','11111111111','11111111111.00','11111111111.000000','1111-11-11'),1,0)) AS NUM_REG_DIF,'"&amp;MAX('ID1&amp;5'!K:K)+1&amp;"' AS ID_EXEC, CURRENT_TIMESTAMP() AS TIME_EXEC FROM "&amp;I454,
IF(C454="Valores extremos",+"SELECT '"&amp;UPPER(B454)&amp;"' AS TABELA, '"&amp;UPPER(C454)&amp;"' AS TIPOLOGIA_TESTE,'"&amp;D454&amp;"' AS TABELA_LT,'N/A' AS TABELA_SIMUL,'"&amp;F454&amp;"' AS CAMPO, "&amp;"'${ref_date}' AS REF_DATE, CAST(MIN("&amp;F454&amp;") AS STRING) AS VALOR_MIN, CAST(MAX("&amp;F454&amp;") AS STRING) AS VALOR_MAX,'"&amp;MAX('ID1&amp;5'!K:K)+1&amp;"' AS ID_EXEC, CURRENT_TIMESTAMP() AS TIME_EXEC FROM "&amp;MID(I454,1,LEN(I454)-2)&amp;" AND CAST("&amp;F454&amp;"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TABELA_SIMUL,'pd_crr_rd' AS CAMPO, '${ref_date}' AS REF_DATE, COUNT(*) AS NUM_REG, SUM(IF(COALESCE(CAST(X.pd_crr_rd AS STRING),'')&lt;&gt;COALESCE(CAST(Y.pd_crr_rd_SIMUL AS STRING),'') OR (X.pd_crr_rd IS NULL AND Y.pd_crr_rd_SIMUL IS NOT NULL ) OR (X.pd_crr_rd IS NOT NULL AND Y.pd_crr_rd_SIMUL IS NULL),1,0)) AS NUM_REG_DIF,'1' AS ID_EXEC, CURRENT_TIMESTAMP() AS TIME_EXEC FROM (SELECT entty_id, pd_crr_rd FROM BU_LOANTAPE_WORK.LT003_ENTITY WHERE ref_date='${ref_date}' AND nome_perimetro='Individual Local' AND segmento='ESTR' AND ambito='SRB_MBDT' AND entidade='00100')X INNER JOIN (SELECT entty_id AS entty_id_SIMUL, pd_crr_rd AS pd_crr_rd_SIMUL FROM BU_LOANTAPE_WORK.SIMUL_LT003_ENTITY WHERE ref_date='${ref_date}' AND nome_perimetro='Individual Local' AND segmento='ESTR' AND ambito='PILAR3' AND entidade='00100')Y ON X.ENTTY_ID=Y.ENTTY_ID_SIMUL</v>
      </c>
      <c r="M454" s="36" t="str">
        <f t="shared" si="10"/>
        <v>UNION ALL SELECT 'ENTITY' AS TABELA, 'COERÊNCIA' AS TIPOLOGIA_TESTE,'BU_LOANTAPE_WORK.LT003_ENTITY' AS TABELA_LT,'BU_LOANTAPE_WORK.SIMUL_LT003_ENTITY' AS TABELA_SIMUL,'pd_crr_rd' AS CAMPO, '${ref_date}' AS REF_DATE, COUNT(*) AS NUM_REG, SUM(IF(COALESCE(CAST(X.pd_crr_rd AS STRING),'')&lt;&gt;COALESCE(CAST(Y.pd_crr_rd_SIMUL AS STRING),'') OR (X.pd_crr_rd IS NULL AND Y.pd_crr_rd_SIMUL IS NOT NULL ) OR (X.pd_crr_rd IS NOT NULL AND Y.pd_crr_rd_SIMUL IS NULL),1,0)) AS NUM_REG_DIF,'1' AS ID_EXEC, CURRENT_TIMESTAMP() AS TIME_EXEC FROM (SELECT entty_id, pd_crr_rd FROM BU_LOANTAPE_WORK.LT003_ENTITY WHERE ref_date='${ref_date}' AND nome_perimetro='Individual Local' AND segmento='ESTR' AND ambito='SRB_MBDT' AND entidade='00100')X INNER JOIN (SELECT entty_id AS entty_id_SIMUL, pd_crr_rd AS pd_crr_rd_SIMUL FROM BU_LOANTAPE_WORK.SIMUL_LT003_ENTITY WHERE ref_date='${ref_date}' AND nome_perimetro='Individual Local' AND segmento='ESTR' AND ambito='PILAR3' AND entidade='00100')Y ON X.ENTTY_ID=Y.ENTTY_ID_SIMUL</v>
      </c>
    </row>
    <row r="455" spans="2:13">
      <c r="B455" s="34" t="s">
        <v>118</v>
      </c>
      <c r="C455" s="34" t="s">
        <v>5</v>
      </c>
      <c r="D455" s="34" t="str">
        <f>+UPPER('0. Instruções'!$D$35&amp;"."&amp;VLOOKUP(B455,'0. Instruções'!$C$27:$D$32,2,FALSE))</f>
        <v>BU_LOANTAPE_WORK.LT003_ENTITY</v>
      </c>
      <c r="E455" s="34" t="str">
        <f>+UPPER('0. Instruções'!$D$36&amp;"."&amp;VLOOKUP(B455,'0. Instruções'!$C$27:$E$32,3,FALSE))</f>
        <v>BU_LOANTAPE_WORK.SIMUL_LT003_ENTITY</v>
      </c>
      <c r="F455" s="34" t="s">
        <v>1233</v>
      </c>
      <c r="G455" s="34"/>
      <c r="H455" s="34"/>
      <c r="I455" s="34" t="str">
        <f>"(SELECT "&amp;VLOOKUP(B455,'0. Instruções'!$C$27:$G$32,4,FALSE)&amp;", "&amp;F455&amp;" FROM "&amp;D455&amp;" WHERE "&amp;'0. Instruções'!$D$42&amp;")X"</f>
        <v>(SELECT entty_id, pd_ifrs9_12m_rd FROM BU_LOANTAPE_WORK.LT003_ENTITY WHERE ref_date='${ref_date}' AND nome_perimetro='Individual Local' AND segmento='ESTR' AND ambito='SRB_MBDT' AND entidade='00100')X</v>
      </c>
      <c r="J455" s="34" t="str">
        <f>"(SELECT "&amp;VLOOKUP(B455,'0. Instruções'!$C$27:$G$32,4,FALSE)&amp;" AS "&amp;VLOOKUP(B455,'0. Instruções'!$C$27:$G$32,4,FALSE)&amp;"_SIMUL, "&amp;F455&amp;" AS "&amp;F455&amp;"_SIMUL FROM "&amp;E455&amp;" WHERE "&amp;'0. Instruções'!$D$43&amp;")Y"</f>
        <v>(SELECT entty_id AS entty_id_SIMUL, pd_ifrs9_12m_rd AS pd_ifrs9_12m_rd_SIMUL FROM BU_LOANTAPE_WORK.SIMUL_LT003_ENTITY WHERE ref_date='${ref_date}' AND nome_perimetro='Individual Local' AND segmento='ESTR' AND ambito='PILAR3' AND entidade='00100')Y</v>
      </c>
      <c r="K455" s="35" t="str">
        <f>+UPPER("ON X."&amp;VLOOKUP(B455,'0. Instruções'!$C$27:$G$32,4,FALSE)&amp;"=Y."&amp;VLOOKUP(B455,'0. Instruções'!$C$27:$G$32,4,FALSE)&amp;"_SIMUL")</f>
        <v>ON X.ENTTY_ID=Y.ENTTY_ID_SIMUL</v>
      </c>
      <c r="L455" s="35" t="str">
        <f>+IF(C455="Coerência", +IF(LEFT(G455,5)="FLOAT","SELECT '"&amp;UPPER(B455)&amp;"' AS TABELA, '"&amp;UPPER(C455)&amp;"' AS TIPOLOGIA_TESTE,'"&amp;D455&amp;"' AS TABELA_LT,'"&amp;E455&amp;"' AS TABELA_SIMUL,'"&amp;F455&amp;"' AS CAMPO, "&amp;"'${ref_date}' AS REF_DATE, COUNT(*) AS NUM_REG, SUM(IF((ABS(COALESCE(CAST(X."&amp;F455&amp;" AS DECIMAL(18,6)),0)-COALESCE(CAST(Y."&amp;F455&amp;"_SIMUL AS DECIMAL(18,6)),0))&gt;0.000001) OR (X."&amp;F455&amp;" IS NULL AND Y."&amp;F455&amp;"_SIMUL IS NOT NULL ) OR (X."&amp;F455&amp;" IS NOT NULL AND Y."&amp;F455&amp;"_SIMUL IS NULL),1,0)) AS NUM_REG_DIF,'"&amp;MAX('ID1&amp;5'!K:K)+1&amp;"' AS ID_EXEC, CURRENT_TIMESTAMP() AS TIME_EXEC FROM "&amp;I455&amp;" INNER JOIN "&amp;J455&amp;" "&amp;K455,"SELECT '"&amp;UPPER(B455)&amp;"' AS TABELA, '"&amp;UPPER(C455)&amp;"' AS TIPOLOGIA_TESTE,'"&amp;D455&amp;"' AS TABELA_LT,'"&amp;E455&amp;"' AS TABELA_SIMUL,'"&amp;F455&amp;"' AS CAMPO, "&amp;"'${ref_date}' AS REF_DATE, COUNT(*) AS NUM_REG, SUM(IF(COALESCE(CAST(X."&amp;F455&amp;" AS STRING),'')&lt;&gt;COALESCE(CAST(Y."&amp;F455&amp;"_SIMUL AS STRING),'') OR (X."&amp;F455&amp;" IS NULL AND Y."&amp;F455&amp;"_SIMUL IS NOT NULL ) OR (X."&amp;F455&amp;" IS NOT NULL AND Y."&amp;F455&amp;"_SIMUL IS NULL),1,0)) AS NUM_REG_DIF,'"&amp;MAX('ID1&amp;5'!L:L)+1&amp;"' AS ID_EXEC, CURRENT_TIMESTAMP() AS TIME_EXEC FROM "&amp;I455&amp;" INNER JOIN "&amp;J455&amp;" "&amp;K455),
IF(C455="Validade",+IF(G455="Code List","SELECT '"&amp;UPPER(B455)&amp;"' AS TABELA, '"&amp;UPPER(C455)&amp;"' AS TIPOLOGIA_TESTE,'"&amp;D455&amp;"' AS TABELA_LT,'N/A' AS TABELA_SIMUL,'"&amp;F455&amp;"' AS CAMPO, "&amp;"'${ref_date}' AS REF_DATE, COUNT(*) AS NUM_REG, SUM(IF(TRIM(CAST(X."&amp;F455&amp;" AS STRING))='' OR TRIM(CAST(X."&amp;F455&amp;" AS STRING)) IS NULL OR CAST(X."&amp;F455&amp;" AS STRING) NOT "&amp;H455&amp;",1,0)) AS NUM_REG_DIF,'"&amp;MAX('ID1&amp;5'!K:K)+1&amp;"' AS ID_EXEC, CURRENT_TIMESTAMP() AS TIME_EXEC FROM "&amp;I455,"SELECT '"&amp;UPPER(B455)&amp;"' AS TABELA, '"&amp;UPPER(C455)&amp;"' AS TIPOLOGIA_TESTE,'"&amp;D455&amp;"' AS TABELA_LT,'N/A' AS TABELA_SIMUL,'"&amp;F455&amp;"' AS CAMPO, "&amp;"'${ref_date}' AS REF_DATE, COUNT(*) AS NUM_REG, SUM(IF(TRIM(CAST(X."&amp;F455&amp;" AS STRING))='' OR TRIM(CAST(X."&amp;F455&amp;" AS STRING)) IS NULL,1,0)) AS NUM_REG_DIF,'"&amp;MAX('ID1&amp;5'!K:K)+1&amp;"' AS ID_EXEC, CURRENT_TIMESTAMP() AS TIME_EXEC FROM "&amp;I455),
IF(C455="Caracteres Especiais",+"SELECT '"&amp;UPPER(B455)&amp;"' AS TABELA, '"&amp;UPPER(C455)&amp;"' AS TIPOLOGIA_TESTE,'"&amp;D455&amp;"' AS TABELA_LT,'N/A' AS TABELA_SIMUL,'"&amp;F455&amp;"' AS CAMPO, "&amp;"'${ref_date}' AS REF_DATE, COUNT(*) AS NUM_REG, SUM(IF(REGEXP_REPLACE(TRIM(CAST(X."&amp;F455&amp;" AS STRING)),'[^a-zA-Z0-9_\\s]','') &lt;&gt;TRIM(CAST(X."&amp;F455&amp;" AS STRING)),1,0)) AS NUM_REG_DIF,'"&amp;MAX('ID1&amp;5'!K:K)+1&amp;"' AS ID_EXEC, CURRENT_TIMESTAMP() AS TIME_EXEC FROM "&amp;I455,
IF(C455="Missings",+"SELECT '"&amp;UPPER(B455)&amp;"' AS TABELA, '"&amp;UPPER(C455)&amp;"' AS TIPOLOGIA_TESTE,'"&amp;D455&amp;"' AS TABELA_LT,'N/A' AS TABELA_SIMUL,'"&amp;F455&amp;"' AS CAMPO, "&amp;"'${ref_date}' AS REF_DATE, COUNT(*) AS NUM_REG, SUM(IF(TRIM(CAST(X."&amp;F455&amp;" AS STRING)) IN ('0000-00-00','0001-01-01','9999-12-31','MISS','00000','99999999999','99999999999.00','99999999999.000000'),1,0)) AS NUM_REG_DIF,'"&amp;MAX('ID1&amp;5'!K:K)+1&amp;"' AS ID_EXEC, CURRENT_TIMESTAMP() AS TIME_EXEC FROM "&amp;I455,
IF(C455="Not applicable",+"SELECT '"&amp;UPPER(B455)&amp;"' AS TABELA, '"&amp;UPPER(C455)&amp;"' AS TIPOLOGIA_TESTE,'"&amp;D455&amp;"' AS TABELA_LT,'N/A' AS TABELA_SIMUL,'"&amp;F455&amp;"' AS CAMPO, "&amp;"'${ref_date}' AS REF_DATE, COUNT(*) AS NUM_REG, SUM(IF(TRIM(CAST(X."&amp;F455&amp;" AS STRING)) IN ('N/A','11111111111','11111111111.00','11111111111.000000','1111-11-11'),1,0)) AS NUM_REG_DIF,'"&amp;MAX('ID1&amp;5'!K:K)+1&amp;"' AS ID_EXEC, CURRENT_TIMESTAMP() AS TIME_EXEC FROM "&amp;I455,
IF(C455="Valores extremos",+"SELECT '"&amp;UPPER(B455)&amp;"' AS TABELA, '"&amp;UPPER(C455)&amp;"' AS TIPOLOGIA_TESTE,'"&amp;D455&amp;"' AS TABELA_LT,'N/A' AS TABELA_SIMUL,'"&amp;F455&amp;"' AS CAMPO, "&amp;"'${ref_date}' AS REF_DATE, CAST(MIN("&amp;F455&amp;") AS STRING) AS VALOR_MIN, CAST(MAX("&amp;F455&amp;") AS STRING) AS VALOR_MAX,'"&amp;MAX('ID1&amp;5'!K:K)+1&amp;"' AS ID_EXEC, CURRENT_TIMESTAMP() AS TIME_EXEC FROM "&amp;MID(I455,1,LEN(I455)-2)&amp;" AND CAST("&amp;F455&amp;"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TABELA_SIMUL,'pd_ifrs9_12m_rd' AS CAMPO, '${ref_date}' AS REF_DATE, COUNT(*) AS NUM_REG, SUM(IF(COALESCE(CAST(X.pd_ifrs9_12m_rd AS STRING),'')&lt;&gt;COALESCE(CAST(Y.pd_ifrs9_12m_rd_SIMUL AS STRING),'') OR (X.pd_ifrs9_12m_rd IS NULL AND Y.pd_ifrs9_12m_rd_SIMUL IS NOT NULL ) OR (X.pd_ifrs9_12m_rd IS NOT NULL AND Y.pd_ifrs9_12m_rd_SIMUL IS NULL),1,0)) AS NUM_REG_DIF,'1' AS ID_EXEC, CURRENT_TIMESTAMP() AS TIME_EXEC FROM (SELECT entty_id, pd_ifrs9_12m_rd FROM BU_LOANTAPE_WORK.LT003_ENTITY WHERE ref_date='${ref_date}' AND nome_perimetro='Individual Local' AND segmento='ESTR' AND ambito='SRB_MBDT' AND entidade='00100')X INNER JOIN (SELECT entty_id AS entty_id_SIMUL, pd_ifrs9_12m_rd AS pd_ifrs9_12m_rd_SIMUL FROM BU_LOANTAPE_WORK.SIMUL_LT003_ENTITY WHERE ref_date='${ref_date}' AND nome_perimetro='Individual Local' AND segmento='ESTR' AND ambito='PILAR3' AND entidade='00100')Y ON X.ENTTY_ID=Y.ENTTY_ID_SIMUL</v>
      </c>
      <c r="M455" s="36" t="str">
        <f t="shared" si="10"/>
        <v>UNION ALL SELECT 'ENTITY' AS TABELA, 'COERÊNCIA' AS TIPOLOGIA_TESTE,'BU_LOANTAPE_WORK.LT003_ENTITY' AS TABELA_LT,'BU_LOANTAPE_WORK.SIMUL_LT003_ENTITY' AS TABELA_SIMUL,'pd_ifrs9_12m_rd' AS CAMPO, '${ref_date}' AS REF_DATE, COUNT(*) AS NUM_REG, SUM(IF(COALESCE(CAST(X.pd_ifrs9_12m_rd AS STRING),'')&lt;&gt;COALESCE(CAST(Y.pd_ifrs9_12m_rd_SIMUL AS STRING),'') OR (X.pd_ifrs9_12m_rd IS NULL AND Y.pd_ifrs9_12m_rd_SIMUL IS NOT NULL ) OR (X.pd_ifrs9_12m_rd IS NOT NULL AND Y.pd_ifrs9_12m_rd_SIMUL IS NULL),1,0)) AS NUM_REG_DIF,'1' AS ID_EXEC, CURRENT_TIMESTAMP() AS TIME_EXEC FROM (SELECT entty_id, pd_ifrs9_12m_rd FROM BU_LOANTAPE_WORK.LT003_ENTITY WHERE ref_date='${ref_date}' AND nome_perimetro='Individual Local' AND segmento='ESTR' AND ambito='SRB_MBDT' AND entidade='00100')X INNER JOIN (SELECT entty_id AS entty_id_SIMUL, pd_ifrs9_12m_rd AS pd_ifrs9_12m_rd_SIMUL FROM BU_LOANTAPE_WORK.SIMUL_LT003_ENTITY WHERE ref_date='${ref_date}' AND nome_perimetro='Individual Local' AND segmento='ESTR' AND ambito='PILAR3' AND entidade='00100')Y ON X.ENTTY_ID=Y.ENTTY_ID_SIMUL</v>
      </c>
    </row>
    <row r="456" spans="2:13">
      <c r="B456" s="34" t="s">
        <v>118</v>
      </c>
      <c r="C456" s="34" t="s">
        <v>5</v>
      </c>
      <c r="D456" s="34" t="str">
        <f>+UPPER('0. Instruções'!$D$35&amp;"."&amp;VLOOKUP(B456,'0. Instruções'!$C$27:$D$32,2,FALSE))</f>
        <v>BU_LOANTAPE_WORK.LT003_ENTITY</v>
      </c>
      <c r="E456" s="34" t="str">
        <f>+UPPER('0. Instruções'!$D$36&amp;"."&amp;VLOOKUP(B456,'0. Instruções'!$C$27:$E$32,3,FALSE))</f>
        <v>BU_LOANTAPE_WORK.SIMUL_LT003_ENTITY</v>
      </c>
      <c r="F456" s="34" t="s">
        <v>1234</v>
      </c>
      <c r="G456" s="34"/>
      <c r="H456" s="34"/>
      <c r="I456" s="34" t="str">
        <f>"(SELECT "&amp;VLOOKUP(B456,'0. Instruções'!$C$27:$G$32,4,FALSE)&amp;", "&amp;F456&amp;" FROM "&amp;D456&amp;" WHERE "&amp;'0. Instruções'!$D$42&amp;")X"</f>
        <v>(SELECT entty_id, pd_ifrs9_12m_rd_t1 FROM BU_LOANTAPE_WORK.LT003_ENTITY WHERE ref_date='${ref_date}' AND nome_perimetro='Individual Local' AND segmento='ESTR' AND ambito='SRB_MBDT' AND entidade='00100')X</v>
      </c>
      <c r="J456" s="34" t="str">
        <f>"(SELECT "&amp;VLOOKUP(B456,'0. Instruções'!$C$27:$G$32,4,FALSE)&amp;" AS "&amp;VLOOKUP(B456,'0. Instruções'!$C$27:$G$32,4,FALSE)&amp;"_SIMUL, "&amp;F456&amp;" AS "&amp;F456&amp;"_SIMUL FROM "&amp;E456&amp;" WHERE "&amp;'0. Instruções'!$D$43&amp;")Y"</f>
        <v>(SELECT entty_id AS entty_id_SIMUL, pd_ifrs9_12m_rd_t1 AS pd_ifrs9_12m_rd_t1_SIMUL FROM BU_LOANTAPE_WORK.SIMUL_LT003_ENTITY WHERE ref_date='${ref_date}' AND nome_perimetro='Individual Local' AND segmento='ESTR' AND ambito='PILAR3' AND entidade='00100')Y</v>
      </c>
      <c r="K456" s="35" t="str">
        <f>+UPPER("ON X."&amp;VLOOKUP(B456,'0. Instruções'!$C$27:$G$32,4,FALSE)&amp;"=Y."&amp;VLOOKUP(B456,'0. Instruções'!$C$27:$G$32,4,FALSE)&amp;"_SIMUL")</f>
        <v>ON X.ENTTY_ID=Y.ENTTY_ID_SIMUL</v>
      </c>
      <c r="L456" s="35" t="str">
        <f>+IF(C456="Coerência", +IF(LEFT(G456,5)="FLOAT","SELECT '"&amp;UPPER(B456)&amp;"' AS TABELA, '"&amp;UPPER(C456)&amp;"' AS TIPOLOGIA_TESTE,'"&amp;D456&amp;"' AS TABELA_LT,'"&amp;E456&amp;"' AS TABELA_SIMUL,'"&amp;F456&amp;"' AS CAMPO, "&amp;"'${ref_date}' AS REF_DATE, COUNT(*) AS NUM_REG, SUM(IF((ABS(COALESCE(CAST(X."&amp;F456&amp;" AS DECIMAL(18,6)),0)-COALESCE(CAST(Y."&amp;F456&amp;"_SIMUL AS DECIMAL(18,6)),0))&gt;0.000001) OR (X."&amp;F456&amp;" IS NULL AND Y."&amp;F456&amp;"_SIMUL IS NOT NULL ) OR (X."&amp;F456&amp;" IS NOT NULL AND Y."&amp;F456&amp;"_SIMUL IS NULL),1,0)) AS NUM_REG_DIF,'"&amp;MAX('ID1&amp;5'!K:K)+1&amp;"' AS ID_EXEC, CURRENT_TIMESTAMP() AS TIME_EXEC FROM "&amp;I456&amp;" INNER JOIN "&amp;J456&amp;" "&amp;K456,"SELECT '"&amp;UPPER(B456)&amp;"' AS TABELA, '"&amp;UPPER(C456)&amp;"' AS TIPOLOGIA_TESTE,'"&amp;D456&amp;"' AS TABELA_LT,'"&amp;E456&amp;"' AS TABELA_SIMUL,'"&amp;F456&amp;"' AS CAMPO, "&amp;"'${ref_date}' AS REF_DATE, COUNT(*) AS NUM_REG, SUM(IF(COALESCE(CAST(X."&amp;F456&amp;" AS STRING),'')&lt;&gt;COALESCE(CAST(Y."&amp;F456&amp;"_SIMUL AS STRING),'') OR (X."&amp;F456&amp;" IS NULL AND Y."&amp;F456&amp;"_SIMUL IS NOT NULL ) OR (X."&amp;F456&amp;" IS NOT NULL AND Y."&amp;F456&amp;"_SIMUL IS NULL),1,0)) AS NUM_REG_DIF,'"&amp;MAX('ID1&amp;5'!L:L)+1&amp;"' AS ID_EXEC, CURRENT_TIMESTAMP() AS TIME_EXEC FROM "&amp;I456&amp;" INNER JOIN "&amp;J456&amp;" "&amp;K456),
IF(C456="Validade",+IF(G456="Code List","SELECT '"&amp;UPPER(B456)&amp;"' AS TABELA, '"&amp;UPPER(C456)&amp;"' AS TIPOLOGIA_TESTE,'"&amp;D456&amp;"' AS TABELA_LT,'N/A' AS TABELA_SIMUL,'"&amp;F456&amp;"' AS CAMPO, "&amp;"'${ref_date}' AS REF_DATE, COUNT(*) AS NUM_REG, SUM(IF(TRIM(CAST(X."&amp;F456&amp;" AS STRING))='' OR TRIM(CAST(X."&amp;F456&amp;" AS STRING)) IS NULL OR CAST(X."&amp;F456&amp;" AS STRING) NOT "&amp;H456&amp;",1,0)) AS NUM_REG_DIF,'"&amp;MAX('ID1&amp;5'!K:K)+1&amp;"' AS ID_EXEC, CURRENT_TIMESTAMP() AS TIME_EXEC FROM "&amp;I456,"SELECT '"&amp;UPPER(B456)&amp;"' AS TABELA, '"&amp;UPPER(C456)&amp;"' AS TIPOLOGIA_TESTE,'"&amp;D456&amp;"' AS TABELA_LT,'N/A' AS TABELA_SIMUL,'"&amp;F456&amp;"' AS CAMPO, "&amp;"'${ref_date}' AS REF_DATE, COUNT(*) AS NUM_REG, SUM(IF(TRIM(CAST(X."&amp;F456&amp;" AS STRING))='' OR TRIM(CAST(X."&amp;F456&amp;" AS STRING)) IS NULL,1,0)) AS NUM_REG_DIF,'"&amp;MAX('ID1&amp;5'!K:K)+1&amp;"' AS ID_EXEC, CURRENT_TIMESTAMP() AS TIME_EXEC FROM "&amp;I456),
IF(C456="Caracteres Especiais",+"SELECT '"&amp;UPPER(B456)&amp;"' AS TABELA, '"&amp;UPPER(C456)&amp;"' AS TIPOLOGIA_TESTE,'"&amp;D456&amp;"' AS TABELA_LT,'N/A' AS TABELA_SIMUL,'"&amp;F456&amp;"' AS CAMPO, "&amp;"'${ref_date}' AS REF_DATE, COUNT(*) AS NUM_REG, SUM(IF(REGEXP_REPLACE(TRIM(CAST(X."&amp;F456&amp;" AS STRING)),'[^a-zA-Z0-9_\\s]','') &lt;&gt;TRIM(CAST(X."&amp;F456&amp;" AS STRING)),1,0)) AS NUM_REG_DIF,'"&amp;MAX('ID1&amp;5'!K:K)+1&amp;"' AS ID_EXEC, CURRENT_TIMESTAMP() AS TIME_EXEC FROM "&amp;I456,
IF(C456="Missings",+"SELECT '"&amp;UPPER(B456)&amp;"' AS TABELA, '"&amp;UPPER(C456)&amp;"' AS TIPOLOGIA_TESTE,'"&amp;D456&amp;"' AS TABELA_LT,'N/A' AS TABELA_SIMUL,'"&amp;F456&amp;"' AS CAMPO, "&amp;"'${ref_date}' AS REF_DATE, COUNT(*) AS NUM_REG, SUM(IF(TRIM(CAST(X."&amp;F456&amp;" AS STRING)) IN ('0000-00-00','0001-01-01','9999-12-31','MISS','00000','99999999999','99999999999.00','99999999999.000000'),1,0)) AS NUM_REG_DIF,'"&amp;MAX('ID1&amp;5'!K:K)+1&amp;"' AS ID_EXEC, CURRENT_TIMESTAMP() AS TIME_EXEC FROM "&amp;I456,
IF(C456="Not applicable",+"SELECT '"&amp;UPPER(B456)&amp;"' AS TABELA, '"&amp;UPPER(C456)&amp;"' AS TIPOLOGIA_TESTE,'"&amp;D456&amp;"' AS TABELA_LT,'N/A' AS TABELA_SIMUL,'"&amp;F456&amp;"' AS CAMPO, "&amp;"'${ref_date}' AS REF_DATE, COUNT(*) AS NUM_REG, SUM(IF(TRIM(CAST(X."&amp;F456&amp;" AS STRING)) IN ('N/A','11111111111','11111111111.00','11111111111.000000','1111-11-11'),1,0)) AS NUM_REG_DIF,'"&amp;MAX('ID1&amp;5'!K:K)+1&amp;"' AS ID_EXEC, CURRENT_TIMESTAMP() AS TIME_EXEC FROM "&amp;I456,
IF(C456="Valores extremos",+"SELECT '"&amp;UPPER(B456)&amp;"' AS TABELA, '"&amp;UPPER(C456)&amp;"' AS TIPOLOGIA_TESTE,'"&amp;D456&amp;"' AS TABELA_LT,'N/A' AS TABELA_SIMUL,'"&amp;F456&amp;"' AS CAMPO, "&amp;"'${ref_date}' AS REF_DATE, CAST(MIN("&amp;F456&amp;") AS STRING) AS VALOR_MIN, CAST(MAX("&amp;F456&amp;") AS STRING) AS VALOR_MAX,'"&amp;MAX('ID1&amp;5'!K:K)+1&amp;"' AS ID_EXEC, CURRENT_TIMESTAMP() AS TIME_EXEC FROM "&amp;MID(I456,1,LEN(I456)-2)&amp;" AND CAST("&amp;F456&amp;"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TABELA_SIMUL,'pd_ifrs9_12m_rd_t1' AS CAMPO, '${ref_date}' AS REF_DATE, COUNT(*) AS NUM_REG, SUM(IF(COALESCE(CAST(X.pd_ifrs9_12m_rd_t1 AS STRING),'')&lt;&gt;COALESCE(CAST(Y.pd_ifrs9_12m_rd_t1_SIMUL AS STRING),'') OR (X.pd_ifrs9_12m_rd_t1 IS NULL AND Y.pd_ifrs9_12m_rd_t1_SIMUL IS NOT NULL ) OR (X.pd_ifrs9_12m_rd_t1 IS NOT NULL AND Y.pd_ifrs9_12m_rd_t1_SIMUL IS NULL),1,0)) AS NUM_REG_DIF,'1' AS ID_EXEC, CURRENT_TIMESTAMP() AS TIME_EXEC FROM (SELECT entty_id, pd_ifrs9_12m_rd_t1 FROM BU_LOANTAPE_WORK.LT003_ENTITY WHERE ref_date='${ref_date}' AND nome_perimetro='Individual Local' AND segmento='ESTR' AND ambito='SRB_MBDT' AND entidade='00100')X INNER JOIN (SELECT entty_id AS entty_id_SIMUL, pd_ifrs9_12m_rd_t1 AS pd_ifrs9_12m_rd_t1_SIMUL FROM BU_LOANTAPE_WORK.SIMUL_LT003_ENTITY WHERE ref_date='${ref_date}' AND nome_perimetro='Individual Local' AND segmento='ESTR' AND ambito='PILAR3' AND entidade='00100')Y ON X.ENTTY_ID=Y.ENTTY_ID_SIMUL</v>
      </c>
      <c r="M456" s="36" t="str">
        <f t="shared" si="10"/>
        <v>UNION ALL SELECT 'ENTITY' AS TABELA, 'COERÊNCIA' AS TIPOLOGIA_TESTE,'BU_LOANTAPE_WORK.LT003_ENTITY' AS TABELA_LT,'BU_LOANTAPE_WORK.SIMUL_LT003_ENTITY' AS TABELA_SIMUL,'pd_ifrs9_12m_rd_t1' AS CAMPO, '${ref_date}' AS REF_DATE, COUNT(*) AS NUM_REG, SUM(IF(COALESCE(CAST(X.pd_ifrs9_12m_rd_t1 AS STRING),'')&lt;&gt;COALESCE(CAST(Y.pd_ifrs9_12m_rd_t1_SIMUL AS STRING),'') OR (X.pd_ifrs9_12m_rd_t1 IS NULL AND Y.pd_ifrs9_12m_rd_t1_SIMUL IS NOT NULL ) OR (X.pd_ifrs9_12m_rd_t1 IS NOT NULL AND Y.pd_ifrs9_12m_rd_t1_SIMUL IS NULL),1,0)) AS NUM_REG_DIF,'1' AS ID_EXEC, CURRENT_TIMESTAMP() AS TIME_EXEC FROM (SELECT entty_id, pd_ifrs9_12m_rd_t1 FROM BU_LOANTAPE_WORK.LT003_ENTITY WHERE ref_date='${ref_date}' AND nome_perimetro='Individual Local' AND segmento='ESTR' AND ambito='SRB_MBDT' AND entidade='00100')X INNER JOIN (SELECT entty_id AS entty_id_SIMUL, pd_ifrs9_12m_rd_t1 AS pd_ifrs9_12m_rd_t1_SIMUL FROM BU_LOANTAPE_WORK.SIMUL_LT003_ENTITY WHERE ref_date='${ref_date}' AND nome_perimetro='Individual Local' AND segmento='ESTR' AND ambito='PILAR3' AND entidade='00100')Y ON X.ENTTY_ID=Y.ENTTY_ID_SIMUL</v>
      </c>
    </row>
    <row r="457" spans="2:13">
      <c r="B457" s="34" t="s">
        <v>118</v>
      </c>
      <c r="C457" s="34" t="s">
        <v>5</v>
      </c>
      <c r="D457" s="34" t="str">
        <f>+UPPER('0. Instruções'!$D$35&amp;"."&amp;VLOOKUP(B457,'0. Instruções'!$C$27:$D$32,2,FALSE))</f>
        <v>BU_LOANTAPE_WORK.LT003_ENTITY</v>
      </c>
      <c r="E457" s="34" t="str">
        <f>+UPPER('0. Instruções'!$D$36&amp;"."&amp;VLOOKUP(B457,'0. Instruções'!$C$27:$E$32,3,FALSE))</f>
        <v>BU_LOANTAPE_WORK.SIMUL_LT003_ENTITY</v>
      </c>
      <c r="F457" s="34" t="s">
        <v>1245</v>
      </c>
      <c r="G457" s="34"/>
      <c r="H457" s="34"/>
      <c r="I457" s="34" t="str">
        <f>"(SELECT "&amp;VLOOKUP(B457,'0. Instruções'!$C$27:$G$32,4,FALSE)&amp;", "&amp;F457&amp;" FROM "&amp;D457&amp;" WHERE "&amp;'0. Instruções'!$D$42&amp;")X"</f>
        <v>(SELECT entty_id, add_fld01 FROM BU_LOANTAPE_WORK.LT003_ENTITY WHERE ref_date='${ref_date}' AND nome_perimetro='Individual Local' AND segmento='ESTR' AND ambito='SRB_MBDT' AND entidade='00100')X</v>
      </c>
      <c r="J457" s="34" t="str">
        <f>"(SELECT "&amp;VLOOKUP(B457,'0. Instruções'!$C$27:$G$32,4,FALSE)&amp;" AS "&amp;VLOOKUP(B457,'0. Instruções'!$C$27:$G$32,4,FALSE)&amp;"_SIMUL, "&amp;F457&amp;" AS "&amp;F457&amp;"_SIMUL FROM "&amp;E457&amp;" WHERE "&amp;'0. Instruções'!$D$43&amp;")Y"</f>
        <v>(SELECT entty_id AS entty_id_SIMUL, add_fld01 AS add_fld01_SIMUL FROM BU_LOANTAPE_WORK.SIMUL_LT003_ENTITY WHERE ref_date='${ref_date}' AND nome_perimetro='Individual Local' AND segmento='ESTR' AND ambito='PILAR3' AND entidade='00100')Y</v>
      </c>
      <c r="K457" s="35" t="str">
        <f>+UPPER("ON X."&amp;VLOOKUP(B457,'0. Instruções'!$C$27:$G$32,4,FALSE)&amp;"=Y."&amp;VLOOKUP(B457,'0. Instruções'!$C$27:$G$32,4,FALSE)&amp;"_SIMUL")</f>
        <v>ON X.ENTTY_ID=Y.ENTTY_ID_SIMUL</v>
      </c>
      <c r="L457" s="35" t="str">
        <f>+IF(C457="Coerência", +IF(LEFT(G457,5)="FLOAT","SELECT '"&amp;UPPER(B457)&amp;"' AS TABELA, '"&amp;UPPER(C457)&amp;"' AS TIPOLOGIA_TESTE,'"&amp;D457&amp;"' AS TABELA_LT,'"&amp;E457&amp;"' AS TABELA_SIMUL,'"&amp;F457&amp;"' AS CAMPO, "&amp;"'${ref_date}' AS REF_DATE, COUNT(*) AS NUM_REG, SUM(IF((ABS(COALESCE(CAST(X."&amp;F457&amp;" AS DECIMAL(18,6)),0)-COALESCE(CAST(Y."&amp;F457&amp;"_SIMUL AS DECIMAL(18,6)),0))&gt;0.000001) OR (X."&amp;F457&amp;" IS NULL AND Y."&amp;F457&amp;"_SIMUL IS NOT NULL ) OR (X."&amp;F457&amp;" IS NOT NULL AND Y."&amp;F457&amp;"_SIMUL IS NULL),1,0)) AS NUM_REG_DIF,'"&amp;MAX('ID1&amp;5'!K:K)+1&amp;"' AS ID_EXEC, CURRENT_TIMESTAMP() AS TIME_EXEC FROM "&amp;I457&amp;" INNER JOIN "&amp;J457&amp;" "&amp;K457,"SELECT '"&amp;UPPER(B457)&amp;"' AS TABELA, '"&amp;UPPER(C457)&amp;"' AS TIPOLOGIA_TESTE,'"&amp;D457&amp;"' AS TABELA_LT,'"&amp;E457&amp;"' AS TABELA_SIMUL,'"&amp;F457&amp;"' AS CAMPO, "&amp;"'${ref_date}' AS REF_DATE, COUNT(*) AS NUM_REG, SUM(IF(COALESCE(CAST(X."&amp;F457&amp;" AS STRING),'')&lt;&gt;COALESCE(CAST(Y."&amp;F457&amp;"_SIMUL AS STRING),'') OR (X."&amp;F457&amp;" IS NULL AND Y."&amp;F457&amp;"_SIMUL IS NOT NULL ) OR (X."&amp;F457&amp;" IS NOT NULL AND Y."&amp;F457&amp;"_SIMUL IS NULL),1,0)) AS NUM_REG_DIF,'"&amp;MAX('ID1&amp;5'!L:L)+1&amp;"' AS ID_EXEC, CURRENT_TIMESTAMP() AS TIME_EXEC FROM "&amp;I457&amp;" INNER JOIN "&amp;J457&amp;" "&amp;K457),
IF(C457="Validade",+IF(G457="Code List","SELECT '"&amp;UPPER(B457)&amp;"' AS TABELA, '"&amp;UPPER(C457)&amp;"' AS TIPOLOGIA_TESTE,'"&amp;D457&amp;"' AS TABELA_LT,'N/A' AS TABELA_SIMUL,'"&amp;F457&amp;"' AS CAMPO, "&amp;"'${ref_date}' AS REF_DATE, COUNT(*) AS NUM_REG, SUM(IF(TRIM(CAST(X."&amp;F457&amp;" AS STRING))='' OR TRIM(CAST(X."&amp;F457&amp;" AS STRING)) IS NULL OR CAST(X."&amp;F457&amp;" AS STRING) NOT "&amp;H457&amp;",1,0)) AS NUM_REG_DIF,'"&amp;MAX('ID1&amp;5'!K:K)+1&amp;"' AS ID_EXEC, CURRENT_TIMESTAMP() AS TIME_EXEC FROM "&amp;I457,"SELECT '"&amp;UPPER(B457)&amp;"' AS TABELA, '"&amp;UPPER(C457)&amp;"' AS TIPOLOGIA_TESTE,'"&amp;D457&amp;"' AS TABELA_LT,'N/A' AS TABELA_SIMUL,'"&amp;F457&amp;"' AS CAMPO, "&amp;"'${ref_date}' AS REF_DATE, COUNT(*) AS NUM_REG, SUM(IF(TRIM(CAST(X."&amp;F457&amp;" AS STRING))='' OR TRIM(CAST(X."&amp;F457&amp;" AS STRING)) IS NULL,1,0)) AS NUM_REG_DIF,'"&amp;MAX('ID1&amp;5'!K:K)+1&amp;"' AS ID_EXEC, CURRENT_TIMESTAMP() AS TIME_EXEC FROM "&amp;I457),
IF(C457="Caracteres Especiais",+"SELECT '"&amp;UPPER(B457)&amp;"' AS TABELA, '"&amp;UPPER(C457)&amp;"' AS TIPOLOGIA_TESTE,'"&amp;D457&amp;"' AS TABELA_LT,'N/A' AS TABELA_SIMUL,'"&amp;F457&amp;"' AS CAMPO, "&amp;"'${ref_date}' AS REF_DATE, COUNT(*) AS NUM_REG, SUM(IF(REGEXP_REPLACE(TRIM(CAST(X."&amp;F457&amp;" AS STRING)),'[^a-zA-Z0-9_\\s]','') &lt;&gt;TRIM(CAST(X."&amp;F457&amp;" AS STRING)),1,0)) AS NUM_REG_DIF,'"&amp;MAX('ID1&amp;5'!K:K)+1&amp;"' AS ID_EXEC, CURRENT_TIMESTAMP() AS TIME_EXEC FROM "&amp;I457,
IF(C457="Missings",+"SELECT '"&amp;UPPER(B457)&amp;"' AS TABELA, '"&amp;UPPER(C457)&amp;"' AS TIPOLOGIA_TESTE,'"&amp;D457&amp;"' AS TABELA_LT,'N/A' AS TABELA_SIMUL,'"&amp;F457&amp;"' AS CAMPO, "&amp;"'${ref_date}' AS REF_DATE, COUNT(*) AS NUM_REG, SUM(IF(TRIM(CAST(X."&amp;F457&amp;" AS STRING)) IN ('0000-00-00','0001-01-01','9999-12-31','MISS','00000','99999999999','99999999999.00','99999999999.000000'),1,0)) AS NUM_REG_DIF,'"&amp;MAX('ID1&amp;5'!K:K)+1&amp;"' AS ID_EXEC, CURRENT_TIMESTAMP() AS TIME_EXEC FROM "&amp;I457,
IF(C457="Not applicable",+"SELECT '"&amp;UPPER(B457)&amp;"' AS TABELA, '"&amp;UPPER(C457)&amp;"' AS TIPOLOGIA_TESTE,'"&amp;D457&amp;"' AS TABELA_LT,'N/A' AS TABELA_SIMUL,'"&amp;F457&amp;"' AS CAMPO, "&amp;"'${ref_date}' AS REF_DATE, COUNT(*) AS NUM_REG, SUM(IF(TRIM(CAST(X."&amp;F457&amp;" AS STRING)) IN ('N/A','11111111111','11111111111.00','11111111111.000000','1111-11-11'),1,0)) AS NUM_REG_DIF,'"&amp;MAX('ID1&amp;5'!K:K)+1&amp;"' AS ID_EXEC, CURRENT_TIMESTAMP() AS TIME_EXEC FROM "&amp;I457,
IF(C457="Valores extremos",+"SELECT '"&amp;UPPER(B457)&amp;"' AS TABELA, '"&amp;UPPER(C457)&amp;"' AS TIPOLOGIA_TESTE,'"&amp;D457&amp;"' AS TABELA_LT,'N/A' AS TABELA_SIMUL,'"&amp;F457&amp;"' AS CAMPO, "&amp;"'${ref_date}' AS REF_DATE, CAST(MIN("&amp;F457&amp;") AS STRING) AS VALOR_MIN, CAST(MAX("&amp;F457&amp;") AS STRING) AS VALOR_MAX,'"&amp;MAX('ID1&amp;5'!K:K)+1&amp;"' AS ID_EXEC, CURRENT_TIMESTAMP() AS TIME_EXEC FROM "&amp;MID(I457,1,LEN(I457)-2)&amp;" AND CAST("&amp;F457&amp;"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TABELA_SIMUL,'add_fld01' AS CAMPO, '${ref_date}' AS REF_DATE, COUNT(*) AS NUM_REG, SUM(IF(COALESCE(CAST(X.add_fld01 AS STRING),'')&lt;&gt;COALESCE(CAST(Y.add_fld01_SIMUL AS STRING),'') OR (X.add_fld01 IS NULL AND Y.add_fld01_SIMUL IS NOT NULL ) OR (X.add_fld01 IS NOT NULL AND Y.add_fld01_SIMUL IS NULL),1,0)) AS NUM_REG_DIF,'1' AS ID_EXEC, CURRENT_TIMESTAMP() AS TIME_EXEC FROM (SELECT entty_id, add_fld01 FROM BU_LOANTAPE_WORK.LT003_ENTITY WHERE ref_date='${ref_date}' AND nome_perimetro='Individual Local' AND segmento='ESTR' AND ambito='SRB_MBDT' AND entidade='00100')X INNER JOIN (SELECT entty_id AS entty_id_SIMUL, add_fld01 AS add_fld01_SIMUL FROM BU_LOANTAPE_WORK.SIMUL_LT003_ENTITY WHERE ref_date='${ref_date}' AND nome_perimetro='Individual Local' AND segmento='ESTR' AND ambito='PILAR3' AND entidade='00100')Y ON X.ENTTY_ID=Y.ENTTY_ID_SIMUL</v>
      </c>
      <c r="M457" s="36" t="str">
        <f t="shared" si="10"/>
        <v>UNION ALL SELECT 'ENTITY' AS TABELA, 'COERÊNCIA' AS TIPOLOGIA_TESTE,'BU_LOANTAPE_WORK.LT003_ENTITY' AS TABELA_LT,'BU_LOANTAPE_WORK.SIMUL_LT003_ENTITY' AS TABELA_SIMUL,'add_fld01' AS CAMPO, '${ref_date}' AS REF_DATE, COUNT(*) AS NUM_REG, SUM(IF(COALESCE(CAST(X.add_fld01 AS STRING),'')&lt;&gt;COALESCE(CAST(Y.add_fld01_SIMUL AS STRING),'') OR (X.add_fld01 IS NULL AND Y.add_fld01_SIMUL IS NOT NULL ) OR (X.add_fld01 IS NOT NULL AND Y.add_fld01_SIMUL IS NULL),1,0)) AS NUM_REG_DIF,'1' AS ID_EXEC, CURRENT_TIMESTAMP() AS TIME_EXEC FROM (SELECT entty_id, add_fld01 FROM BU_LOANTAPE_WORK.LT003_ENTITY WHERE ref_date='${ref_date}' AND nome_perimetro='Individual Local' AND segmento='ESTR' AND ambito='SRB_MBDT' AND entidade='00100')X INNER JOIN (SELECT entty_id AS entty_id_SIMUL, add_fld01 AS add_fld01_SIMUL FROM BU_LOANTAPE_WORK.SIMUL_LT003_ENTITY WHERE ref_date='${ref_date}' AND nome_perimetro='Individual Local' AND segmento='ESTR' AND ambito='PILAR3' AND entidade='00100')Y ON X.ENTTY_ID=Y.ENTTY_ID_SIMUL</v>
      </c>
    </row>
    <row r="458" spans="2:13">
      <c r="B458" s="34" t="s">
        <v>118</v>
      </c>
      <c r="C458" s="34" t="s">
        <v>5</v>
      </c>
      <c r="D458" s="34" t="str">
        <f>+UPPER('0. Instruções'!$D$35&amp;"."&amp;VLOOKUP(B458,'0. Instruções'!$C$27:$D$32,2,FALSE))</f>
        <v>BU_LOANTAPE_WORK.LT003_ENTITY</v>
      </c>
      <c r="E458" s="34" t="str">
        <f>+UPPER('0. Instruções'!$D$36&amp;"."&amp;VLOOKUP(B458,'0. Instruções'!$C$27:$E$32,3,FALSE))</f>
        <v>BU_LOANTAPE_WORK.SIMUL_LT003_ENTITY</v>
      </c>
      <c r="F458" s="34" t="s">
        <v>1246</v>
      </c>
      <c r="G458" s="34"/>
      <c r="H458" s="34"/>
      <c r="I458" s="34" t="str">
        <f>"(SELECT "&amp;VLOOKUP(B458,'0. Instruções'!$C$27:$G$32,4,FALSE)&amp;", "&amp;F458&amp;" FROM "&amp;D458&amp;" WHERE "&amp;'0. Instruções'!$D$42&amp;")X"</f>
        <v>(SELECT entty_id, add_fld02 FROM BU_LOANTAPE_WORK.LT003_ENTITY WHERE ref_date='${ref_date}' AND nome_perimetro='Individual Local' AND segmento='ESTR' AND ambito='SRB_MBDT' AND entidade='00100')X</v>
      </c>
      <c r="J458" s="34" t="str">
        <f>"(SELECT "&amp;VLOOKUP(B458,'0. Instruções'!$C$27:$G$32,4,FALSE)&amp;" AS "&amp;VLOOKUP(B458,'0. Instruções'!$C$27:$G$32,4,FALSE)&amp;"_SIMUL, "&amp;F458&amp;" AS "&amp;F458&amp;"_SIMUL FROM "&amp;E458&amp;" WHERE "&amp;'0. Instruções'!$D$43&amp;")Y"</f>
        <v>(SELECT entty_id AS entty_id_SIMUL, add_fld02 AS add_fld02_SIMUL FROM BU_LOANTAPE_WORK.SIMUL_LT003_ENTITY WHERE ref_date='${ref_date}' AND nome_perimetro='Individual Local' AND segmento='ESTR' AND ambito='PILAR3' AND entidade='00100')Y</v>
      </c>
      <c r="K458" s="35" t="str">
        <f>+UPPER("ON X."&amp;VLOOKUP(B458,'0. Instruções'!$C$27:$G$32,4,FALSE)&amp;"=Y."&amp;VLOOKUP(B458,'0. Instruções'!$C$27:$G$32,4,FALSE)&amp;"_SIMUL")</f>
        <v>ON X.ENTTY_ID=Y.ENTTY_ID_SIMUL</v>
      </c>
      <c r="L458" s="35" t="str">
        <f>+IF(C458="Coerência", +IF(LEFT(G458,5)="FLOAT","SELECT '"&amp;UPPER(B458)&amp;"' AS TABELA, '"&amp;UPPER(C458)&amp;"' AS TIPOLOGIA_TESTE,'"&amp;D458&amp;"' AS TABELA_LT,'"&amp;E458&amp;"' AS TABELA_SIMUL,'"&amp;F458&amp;"' AS CAMPO, "&amp;"'${ref_date}' AS REF_DATE, COUNT(*) AS NUM_REG, SUM(IF((ABS(COALESCE(CAST(X."&amp;F458&amp;" AS DECIMAL(18,6)),0)-COALESCE(CAST(Y."&amp;F458&amp;"_SIMUL AS DECIMAL(18,6)),0))&gt;0.000001) OR (X."&amp;F458&amp;" IS NULL AND Y."&amp;F458&amp;"_SIMUL IS NOT NULL ) OR (X."&amp;F458&amp;" IS NOT NULL AND Y."&amp;F458&amp;"_SIMUL IS NULL),1,0)) AS NUM_REG_DIF,'"&amp;MAX('ID1&amp;5'!K:K)+1&amp;"' AS ID_EXEC, CURRENT_TIMESTAMP() AS TIME_EXEC FROM "&amp;I458&amp;" INNER JOIN "&amp;J458&amp;" "&amp;K458,"SELECT '"&amp;UPPER(B458)&amp;"' AS TABELA, '"&amp;UPPER(C458)&amp;"' AS TIPOLOGIA_TESTE,'"&amp;D458&amp;"' AS TABELA_LT,'"&amp;E458&amp;"' AS TABELA_SIMUL,'"&amp;F458&amp;"' AS CAMPO, "&amp;"'${ref_date}' AS REF_DATE, COUNT(*) AS NUM_REG, SUM(IF(COALESCE(CAST(X."&amp;F458&amp;" AS STRING),'')&lt;&gt;COALESCE(CAST(Y."&amp;F458&amp;"_SIMUL AS STRING),'') OR (X."&amp;F458&amp;" IS NULL AND Y."&amp;F458&amp;"_SIMUL IS NOT NULL ) OR (X."&amp;F458&amp;" IS NOT NULL AND Y."&amp;F458&amp;"_SIMUL IS NULL),1,0)) AS NUM_REG_DIF,'"&amp;MAX('ID1&amp;5'!L:L)+1&amp;"' AS ID_EXEC, CURRENT_TIMESTAMP() AS TIME_EXEC FROM "&amp;I458&amp;" INNER JOIN "&amp;J458&amp;" "&amp;K458),
IF(C458="Validade",+IF(G458="Code List","SELECT '"&amp;UPPER(B458)&amp;"' AS TABELA, '"&amp;UPPER(C458)&amp;"' AS TIPOLOGIA_TESTE,'"&amp;D458&amp;"' AS TABELA_LT,'N/A' AS TABELA_SIMUL,'"&amp;F458&amp;"' AS CAMPO, "&amp;"'${ref_date}' AS REF_DATE, COUNT(*) AS NUM_REG, SUM(IF(TRIM(CAST(X."&amp;F458&amp;" AS STRING))='' OR TRIM(CAST(X."&amp;F458&amp;" AS STRING)) IS NULL OR CAST(X."&amp;F458&amp;" AS STRING) NOT "&amp;H458&amp;",1,0)) AS NUM_REG_DIF,'"&amp;MAX('ID1&amp;5'!K:K)+1&amp;"' AS ID_EXEC, CURRENT_TIMESTAMP() AS TIME_EXEC FROM "&amp;I458,"SELECT '"&amp;UPPER(B458)&amp;"' AS TABELA, '"&amp;UPPER(C458)&amp;"' AS TIPOLOGIA_TESTE,'"&amp;D458&amp;"' AS TABELA_LT,'N/A' AS TABELA_SIMUL,'"&amp;F458&amp;"' AS CAMPO, "&amp;"'${ref_date}' AS REF_DATE, COUNT(*) AS NUM_REG, SUM(IF(TRIM(CAST(X."&amp;F458&amp;" AS STRING))='' OR TRIM(CAST(X."&amp;F458&amp;" AS STRING)) IS NULL,1,0)) AS NUM_REG_DIF,'"&amp;MAX('ID1&amp;5'!K:K)+1&amp;"' AS ID_EXEC, CURRENT_TIMESTAMP() AS TIME_EXEC FROM "&amp;I458),
IF(C458="Caracteres Especiais",+"SELECT '"&amp;UPPER(B458)&amp;"' AS TABELA, '"&amp;UPPER(C458)&amp;"' AS TIPOLOGIA_TESTE,'"&amp;D458&amp;"' AS TABELA_LT,'N/A' AS TABELA_SIMUL,'"&amp;F458&amp;"' AS CAMPO, "&amp;"'${ref_date}' AS REF_DATE, COUNT(*) AS NUM_REG, SUM(IF(REGEXP_REPLACE(TRIM(CAST(X."&amp;F458&amp;" AS STRING)),'[^a-zA-Z0-9_\\s]','') &lt;&gt;TRIM(CAST(X."&amp;F458&amp;" AS STRING)),1,0)) AS NUM_REG_DIF,'"&amp;MAX('ID1&amp;5'!K:K)+1&amp;"' AS ID_EXEC, CURRENT_TIMESTAMP() AS TIME_EXEC FROM "&amp;I458,
IF(C458="Missings",+"SELECT '"&amp;UPPER(B458)&amp;"' AS TABELA, '"&amp;UPPER(C458)&amp;"' AS TIPOLOGIA_TESTE,'"&amp;D458&amp;"' AS TABELA_LT,'N/A' AS TABELA_SIMUL,'"&amp;F458&amp;"' AS CAMPO, "&amp;"'${ref_date}' AS REF_DATE, COUNT(*) AS NUM_REG, SUM(IF(TRIM(CAST(X."&amp;F458&amp;" AS STRING)) IN ('0000-00-00','0001-01-01','9999-12-31','MISS','00000','99999999999','99999999999.00','99999999999.000000'),1,0)) AS NUM_REG_DIF,'"&amp;MAX('ID1&amp;5'!K:K)+1&amp;"' AS ID_EXEC, CURRENT_TIMESTAMP() AS TIME_EXEC FROM "&amp;I458,
IF(C458="Not applicable",+"SELECT '"&amp;UPPER(B458)&amp;"' AS TABELA, '"&amp;UPPER(C458)&amp;"' AS TIPOLOGIA_TESTE,'"&amp;D458&amp;"' AS TABELA_LT,'N/A' AS TABELA_SIMUL,'"&amp;F458&amp;"' AS CAMPO, "&amp;"'${ref_date}' AS REF_DATE, COUNT(*) AS NUM_REG, SUM(IF(TRIM(CAST(X."&amp;F458&amp;" AS STRING)) IN ('N/A','11111111111','11111111111.00','11111111111.000000','1111-11-11'),1,0)) AS NUM_REG_DIF,'"&amp;MAX('ID1&amp;5'!K:K)+1&amp;"' AS ID_EXEC, CURRENT_TIMESTAMP() AS TIME_EXEC FROM "&amp;I458,
IF(C458="Valores extremos",+"SELECT '"&amp;UPPER(B458)&amp;"' AS TABELA, '"&amp;UPPER(C458)&amp;"' AS TIPOLOGIA_TESTE,'"&amp;D458&amp;"' AS TABELA_LT,'N/A' AS TABELA_SIMUL,'"&amp;F458&amp;"' AS CAMPO, "&amp;"'${ref_date}' AS REF_DATE, CAST(MIN("&amp;F458&amp;") AS STRING) AS VALOR_MIN, CAST(MAX("&amp;F458&amp;") AS STRING) AS VALOR_MAX,'"&amp;MAX('ID1&amp;5'!K:K)+1&amp;"' AS ID_EXEC, CURRENT_TIMESTAMP() AS TIME_EXEC FROM "&amp;MID(I458,1,LEN(I458)-2)&amp;" AND CAST("&amp;F458&amp;"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TABELA_SIMUL,'add_fld02' AS CAMPO, '${ref_date}' AS REF_DATE, COUNT(*) AS NUM_REG, SUM(IF(COALESCE(CAST(X.add_fld02 AS STRING),'')&lt;&gt;COALESCE(CAST(Y.add_fld02_SIMUL AS STRING),'') OR (X.add_fld02 IS NULL AND Y.add_fld02_SIMUL IS NOT NULL ) OR (X.add_fld02 IS NOT NULL AND Y.add_fld02_SIMUL IS NULL),1,0)) AS NUM_REG_DIF,'1' AS ID_EXEC, CURRENT_TIMESTAMP() AS TIME_EXEC FROM (SELECT entty_id, add_fld02 FROM BU_LOANTAPE_WORK.LT003_ENTITY WHERE ref_date='${ref_date}' AND nome_perimetro='Individual Local' AND segmento='ESTR' AND ambito='SRB_MBDT' AND entidade='00100')X INNER JOIN (SELECT entty_id AS entty_id_SIMUL, add_fld02 AS add_fld02_SIMUL FROM BU_LOANTAPE_WORK.SIMUL_LT003_ENTITY WHERE ref_date='${ref_date}' AND nome_perimetro='Individual Local' AND segmento='ESTR' AND ambito='PILAR3' AND entidade='00100')Y ON X.ENTTY_ID=Y.ENTTY_ID_SIMUL</v>
      </c>
      <c r="M458" s="36" t="str">
        <f t="shared" si="10"/>
        <v>UNION ALL SELECT 'ENTITY' AS TABELA, 'COERÊNCIA' AS TIPOLOGIA_TESTE,'BU_LOANTAPE_WORK.LT003_ENTITY' AS TABELA_LT,'BU_LOANTAPE_WORK.SIMUL_LT003_ENTITY' AS TABELA_SIMUL,'add_fld02' AS CAMPO, '${ref_date}' AS REF_DATE, COUNT(*) AS NUM_REG, SUM(IF(COALESCE(CAST(X.add_fld02 AS STRING),'')&lt;&gt;COALESCE(CAST(Y.add_fld02_SIMUL AS STRING),'') OR (X.add_fld02 IS NULL AND Y.add_fld02_SIMUL IS NOT NULL ) OR (X.add_fld02 IS NOT NULL AND Y.add_fld02_SIMUL IS NULL),1,0)) AS NUM_REG_DIF,'1' AS ID_EXEC, CURRENT_TIMESTAMP() AS TIME_EXEC FROM (SELECT entty_id, add_fld02 FROM BU_LOANTAPE_WORK.LT003_ENTITY WHERE ref_date='${ref_date}' AND nome_perimetro='Individual Local' AND segmento='ESTR' AND ambito='SRB_MBDT' AND entidade='00100')X INNER JOIN (SELECT entty_id AS entty_id_SIMUL, add_fld02 AS add_fld02_SIMUL FROM BU_LOANTAPE_WORK.SIMUL_LT003_ENTITY WHERE ref_date='${ref_date}' AND nome_perimetro='Individual Local' AND segmento='ESTR' AND ambito='PILAR3' AND entidade='00100')Y ON X.ENTTY_ID=Y.ENTTY_ID_SIMUL</v>
      </c>
    </row>
    <row r="459" spans="2:13">
      <c r="B459" s="34" t="s">
        <v>118</v>
      </c>
      <c r="C459" s="34" t="s">
        <v>5</v>
      </c>
      <c r="D459" s="34" t="str">
        <f>+UPPER('0. Instruções'!$D$35&amp;"."&amp;VLOOKUP(B459,'0. Instruções'!$C$27:$D$32,2,FALSE))</f>
        <v>BU_LOANTAPE_WORK.LT003_ENTITY</v>
      </c>
      <c r="E459" s="34" t="str">
        <f>+UPPER('0. Instruções'!$D$36&amp;"."&amp;VLOOKUP(B459,'0. Instruções'!$C$27:$E$32,3,FALSE))</f>
        <v>BU_LOANTAPE_WORK.SIMUL_LT003_ENTITY</v>
      </c>
      <c r="F459" s="34" t="s">
        <v>1247</v>
      </c>
      <c r="G459" s="34"/>
      <c r="H459" s="34"/>
      <c r="I459" s="34" t="str">
        <f>"(SELECT "&amp;VLOOKUP(B459,'0. Instruções'!$C$27:$G$32,4,FALSE)&amp;", "&amp;F459&amp;" FROM "&amp;D459&amp;" WHERE "&amp;'0. Instruções'!$D$42&amp;")X"</f>
        <v>(SELECT entty_id, add_fld03 FROM BU_LOANTAPE_WORK.LT003_ENTITY WHERE ref_date='${ref_date}' AND nome_perimetro='Individual Local' AND segmento='ESTR' AND ambito='SRB_MBDT' AND entidade='00100')X</v>
      </c>
      <c r="J459" s="34" t="str">
        <f>"(SELECT "&amp;VLOOKUP(B459,'0. Instruções'!$C$27:$G$32,4,FALSE)&amp;" AS "&amp;VLOOKUP(B459,'0. Instruções'!$C$27:$G$32,4,FALSE)&amp;"_SIMUL, "&amp;F459&amp;" AS "&amp;F459&amp;"_SIMUL FROM "&amp;E459&amp;" WHERE "&amp;'0. Instruções'!$D$43&amp;")Y"</f>
        <v>(SELECT entty_id AS entty_id_SIMUL, add_fld03 AS add_fld03_SIMUL FROM BU_LOANTAPE_WORK.SIMUL_LT003_ENTITY WHERE ref_date='${ref_date}' AND nome_perimetro='Individual Local' AND segmento='ESTR' AND ambito='PILAR3' AND entidade='00100')Y</v>
      </c>
      <c r="K459" s="35" t="str">
        <f>+UPPER("ON X."&amp;VLOOKUP(B459,'0. Instruções'!$C$27:$G$32,4,FALSE)&amp;"=Y."&amp;VLOOKUP(B459,'0. Instruções'!$C$27:$G$32,4,FALSE)&amp;"_SIMUL")</f>
        <v>ON X.ENTTY_ID=Y.ENTTY_ID_SIMUL</v>
      </c>
      <c r="L459" s="35" t="str">
        <f>+IF(C459="Coerência", +IF(LEFT(G459,5)="FLOAT","SELECT '"&amp;UPPER(B459)&amp;"' AS TABELA, '"&amp;UPPER(C459)&amp;"' AS TIPOLOGIA_TESTE,'"&amp;D459&amp;"' AS TABELA_LT,'"&amp;E459&amp;"' AS TABELA_SIMUL,'"&amp;F459&amp;"' AS CAMPO, "&amp;"'${ref_date}' AS REF_DATE, COUNT(*) AS NUM_REG, SUM(IF((ABS(COALESCE(CAST(X."&amp;F459&amp;" AS DECIMAL(18,6)),0)-COALESCE(CAST(Y."&amp;F459&amp;"_SIMUL AS DECIMAL(18,6)),0))&gt;0.000001) OR (X."&amp;F459&amp;" IS NULL AND Y."&amp;F459&amp;"_SIMUL IS NOT NULL ) OR (X."&amp;F459&amp;" IS NOT NULL AND Y."&amp;F459&amp;"_SIMUL IS NULL),1,0)) AS NUM_REG_DIF,'"&amp;MAX('ID1&amp;5'!K:K)+1&amp;"' AS ID_EXEC, CURRENT_TIMESTAMP() AS TIME_EXEC FROM "&amp;I459&amp;" INNER JOIN "&amp;J459&amp;" "&amp;K459,"SELECT '"&amp;UPPER(B459)&amp;"' AS TABELA, '"&amp;UPPER(C459)&amp;"' AS TIPOLOGIA_TESTE,'"&amp;D459&amp;"' AS TABELA_LT,'"&amp;E459&amp;"' AS TABELA_SIMUL,'"&amp;F459&amp;"' AS CAMPO, "&amp;"'${ref_date}' AS REF_DATE, COUNT(*) AS NUM_REG, SUM(IF(COALESCE(CAST(X."&amp;F459&amp;" AS STRING),'')&lt;&gt;COALESCE(CAST(Y."&amp;F459&amp;"_SIMUL AS STRING),'') OR (X."&amp;F459&amp;" IS NULL AND Y."&amp;F459&amp;"_SIMUL IS NOT NULL ) OR (X."&amp;F459&amp;" IS NOT NULL AND Y."&amp;F459&amp;"_SIMUL IS NULL),1,0)) AS NUM_REG_DIF,'"&amp;MAX('ID1&amp;5'!L:L)+1&amp;"' AS ID_EXEC, CURRENT_TIMESTAMP() AS TIME_EXEC FROM "&amp;I459&amp;" INNER JOIN "&amp;J459&amp;" "&amp;K459),
IF(C459="Validade",+IF(G459="Code List","SELECT '"&amp;UPPER(B459)&amp;"' AS TABELA, '"&amp;UPPER(C459)&amp;"' AS TIPOLOGIA_TESTE,'"&amp;D459&amp;"' AS TABELA_LT,'N/A' AS TABELA_SIMUL,'"&amp;F459&amp;"' AS CAMPO, "&amp;"'${ref_date}' AS REF_DATE, COUNT(*) AS NUM_REG, SUM(IF(TRIM(CAST(X."&amp;F459&amp;" AS STRING))='' OR TRIM(CAST(X."&amp;F459&amp;" AS STRING)) IS NULL OR CAST(X."&amp;F459&amp;" AS STRING) NOT "&amp;H459&amp;",1,0)) AS NUM_REG_DIF,'"&amp;MAX('ID1&amp;5'!K:K)+1&amp;"' AS ID_EXEC, CURRENT_TIMESTAMP() AS TIME_EXEC FROM "&amp;I459,"SELECT '"&amp;UPPER(B459)&amp;"' AS TABELA, '"&amp;UPPER(C459)&amp;"' AS TIPOLOGIA_TESTE,'"&amp;D459&amp;"' AS TABELA_LT,'N/A' AS TABELA_SIMUL,'"&amp;F459&amp;"' AS CAMPO, "&amp;"'${ref_date}' AS REF_DATE, COUNT(*) AS NUM_REG, SUM(IF(TRIM(CAST(X."&amp;F459&amp;" AS STRING))='' OR TRIM(CAST(X."&amp;F459&amp;" AS STRING)) IS NULL,1,0)) AS NUM_REG_DIF,'"&amp;MAX('ID1&amp;5'!K:K)+1&amp;"' AS ID_EXEC, CURRENT_TIMESTAMP() AS TIME_EXEC FROM "&amp;I459),
IF(C459="Caracteres Especiais",+"SELECT '"&amp;UPPER(B459)&amp;"' AS TABELA, '"&amp;UPPER(C459)&amp;"' AS TIPOLOGIA_TESTE,'"&amp;D459&amp;"' AS TABELA_LT,'N/A' AS TABELA_SIMUL,'"&amp;F459&amp;"' AS CAMPO, "&amp;"'${ref_date}' AS REF_DATE, COUNT(*) AS NUM_REG, SUM(IF(REGEXP_REPLACE(TRIM(CAST(X."&amp;F459&amp;" AS STRING)),'[^a-zA-Z0-9_\\s]','') &lt;&gt;TRIM(CAST(X."&amp;F459&amp;" AS STRING)),1,0)) AS NUM_REG_DIF,'"&amp;MAX('ID1&amp;5'!K:K)+1&amp;"' AS ID_EXEC, CURRENT_TIMESTAMP() AS TIME_EXEC FROM "&amp;I459,
IF(C459="Missings",+"SELECT '"&amp;UPPER(B459)&amp;"' AS TABELA, '"&amp;UPPER(C459)&amp;"' AS TIPOLOGIA_TESTE,'"&amp;D459&amp;"' AS TABELA_LT,'N/A' AS TABELA_SIMUL,'"&amp;F459&amp;"' AS CAMPO, "&amp;"'${ref_date}' AS REF_DATE, COUNT(*) AS NUM_REG, SUM(IF(TRIM(CAST(X."&amp;F459&amp;" AS STRING)) IN ('0000-00-00','0001-01-01','9999-12-31','MISS','00000','99999999999','99999999999.00','99999999999.000000'),1,0)) AS NUM_REG_DIF,'"&amp;MAX('ID1&amp;5'!K:K)+1&amp;"' AS ID_EXEC, CURRENT_TIMESTAMP() AS TIME_EXEC FROM "&amp;I459,
IF(C459="Not applicable",+"SELECT '"&amp;UPPER(B459)&amp;"' AS TABELA, '"&amp;UPPER(C459)&amp;"' AS TIPOLOGIA_TESTE,'"&amp;D459&amp;"' AS TABELA_LT,'N/A' AS TABELA_SIMUL,'"&amp;F459&amp;"' AS CAMPO, "&amp;"'${ref_date}' AS REF_DATE, COUNT(*) AS NUM_REG, SUM(IF(TRIM(CAST(X."&amp;F459&amp;" AS STRING)) IN ('N/A','11111111111','11111111111.00','11111111111.000000','1111-11-11'),1,0)) AS NUM_REG_DIF,'"&amp;MAX('ID1&amp;5'!K:K)+1&amp;"' AS ID_EXEC, CURRENT_TIMESTAMP() AS TIME_EXEC FROM "&amp;I459,
IF(C459="Valores extremos",+"SELECT '"&amp;UPPER(B459)&amp;"' AS TABELA, '"&amp;UPPER(C459)&amp;"' AS TIPOLOGIA_TESTE,'"&amp;D459&amp;"' AS TABELA_LT,'N/A' AS TABELA_SIMUL,'"&amp;F459&amp;"' AS CAMPO, "&amp;"'${ref_date}' AS REF_DATE, CAST(MIN("&amp;F459&amp;") AS STRING) AS VALOR_MIN, CAST(MAX("&amp;F459&amp;") AS STRING) AS VALOR_MAX,'"&amp;MAX('ID1&amp;5'!K:K)+1&amp;"' AS ID_EXEC, CURRENT_TIMESTAMP() AS TIME_EXEC FROM "&amp;MID(I459,1,LEN(I459)-2)&amp;" AND CAST("&amp;F459&amp;"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TABELA_SIMUL,'add_fld03' AS CAMPO, '${ref_date}' AS REF_DATE, COUNT(*) AS NUM_REG, SUM(IF(COALESCE(CAST(X.add_fld03 AS STRING),'')&lt;&gt;COALESCE(CAST(Y.add_fld03_SIMUL AS STRING),'') OR (X.add_fld03 IS NULL AND Y.add_fld03_SIMUL IS NOT NULL ) OR (X.add_fld03 IS NOT NULL AND Y.add_fld03_SIMUL IS NULL),1,0)) AS NUM_REG_DIF,'1' AS ID_EXEC, CURRENT_TIMESTAMP() AS TIME_EXEC FROM (SELECT entty_id, add_fld03 FROM BU_LOANTAPE_WORK.LT003_ENTITY WHERE ref_date='${ref_date}' AND nome_perimetro='Individual Local' AND segmento='ESTR' AND ambito='SRB_MBDT' AND entidade='00100')X INNER JOIN (SELECT entty_id AS entty_id_SIMUL, add_fld03 AS add_fld03_SIMUL FROM BU_LOANTAPE_WORK.SIMUL_LT003_ENTITY WHERE ref_date='${ref_date}' AND nome_perimetro='Individual Local' AND segmento='ESTR' AND ambito='PILAR3' AND entidade='00100')Y ON X.ENTTY_ID=Y.ENTTY_ID_SIMUL</v>
      </c>
      <c r="M459" s="36" t="str">
        <f t="shared" si="10"/>
        <v>UNION ALL SELECT 'ENTITY' AS TABELA, 'COERÊNCIA' AS TIPOLOGIA_TESTE,'BU_LOANTAPE_WORK.LT003_ENTITY' AS TABELA_LT,'BU_LOANTAPE_WORK.SIMUL_LT003_ENTITY' AS TABELA_SIMUL,'add_fld03' AS CAMPO, '${ref_date}' AS REF_DATE, COUNT(*) AS NUM_REG, SUM(IF(COALESCE(CAST(X.add_fld03 AS STRING),'')&lt;&gt;COALESCE(CAST(Y.add_fld03_SIMUL AS STRING),'') OR (X.add_fld03 IS NULL AND Y.add_fld03_SIMUL IS NOT NULL ) OR (X.add_fld03 IS NOT NULL AND Y.add_fld03_SIMUL IS NULL),1,0)) AS NUM_REG_DIF,'1' AS ID_EXEC, CURRENT_TIMESTAMP() AS TIME_EXEC FROM (SELECT entty_id, add_fld03 FROM BU_LOANTAPE_WORK.LT003_ENTITY WHERE ref_date='${ref_date}' AND nome_perimetro='Individual Local' AND segmento='ESTR' AND ambito='SRB_MBDT' AND entidade='00100')X INNER JOIN (SELECT entty_id AS entty_id_SIMUL, add_fld03 AS add_fld03_SIMUL FROM BU_LOANTAPE_WORK.SIMUL_LT003_ENTITY WHERE ref_date='${ref_date}' AND nome_perimetro='Individual Local' AND segmento='ESTR' AND ambito='PILAR3' AND entidade='00100')Y ON X.ENTTY_ID=Y.ENTTY_ID_SIMUL</v>
      </c>
    </row>
    <row r="460" spans="2:13">
      <c r="B460" s="34" t="s">
        <v>118</v>
      </c>
      <c r="C460" s="34" t="s">
        <v>5</v>
      </c>
      <c r="D460" s="34" t="str">
        <f>+UPPER('0. Instruções'!$D$35&amp;"."&amp;VLOOKUP(B460,'0. Instruções'!$C$27:$D$32,2,FALSE))</f>
        <v>BU_LOANTAPE_WORK.LT003_ENTITY</v>
      </c>
      <c r="E460" s="34" t="str">
        <f>+UPPER('0. Instruções'!$D$36&amp;"."&amp;VLOOKUP(B460,'0. Instruções'!$C$27:$E$32,3,FALSE))</f>
        <v>BU_LOANTAPE_WORK.SIMUL_LT003_ENTITY</v>
      </c>
      <c r="F460" s="34" t="s">
        <v>1248</v>
      </c>
      <c r="G460" s="34"/>
      <c r="H460" s="34"/>
      <c r="I460" s="34" t="str">
        <f>"(SELECT "&amp;VLOOKUP(B460,'0. Instruções'!$C$27:$G$32,4,FALSE)&amp;", "&amp;F460&amp;" FROM "&amp;D460&amp;" WHERE "&amp;'0. Instruções'!$D$42&amp;")X"</f>
        <v>(SELECT entty_id, add_fld04 FROM BU_LOANTAPE_WORK.LT003_ENTITY WHERE ref_date='${ref_date}' AND nome_perimetro='Individual Local' AND segmento='ESTR' AND ambito='SRB_MBDT' AND entidade='00100')X</v>
      </c>
      <c r="J460" s="34" t="str">
        <f>"(SELECT "&amp;VLOOKUP(B460,'0. Instruções'!$C$27:$G$32,4,FALSE)&amp;" AS "&amp;VLOOKUP(B460,'0. Instruções'!$C$27:$G$32,4,FALSE)&amp;"_SIMUL, "&amp;F460&amp;" AS "&amp;F460&amp;"_SIMUL FROM "&amp;E460&amp;" WHERE "&amp;'0. Instruções'!$D$43&amp;")Y"</f>
        <v>(SELECT entty_id AS entty_id_SIMUL, add_fld04 AS add_fld04_SIMUL FROM BU_LOANTAPE_WORK.SIMUL_LT003_ENTITY WHERE ref_date='${ref_date}' AND nome_perimetro='Individual Local' AND segmento='ESTR' AND ambito='PILAR3' AND entidade='00100')Y</v>
      </c>
      <c r="K460" s="35" t="str">
        <f>+UPPER("ON X."&amp;VLOOKUP(B460,'0. Instruções'!$C$27:$G$32,4,FALSE)&amp;"=Y."&amp;VLOOKUP(B460,'0. Instruções'!$C$27:$G$32,4,FALSE)&amp;"_SIMUL")</f>
        <v>ON X.ENTTY_ID=Y.ENTTY_ID_SIMUL</v>
      </c>
      <c r="L460" s="35" t="str">
        <f>+IF(C460="Coerência", +IF(LEFT(G460,5)="FLOAT","SELECT '"&amp;UPPER(B460)&amp;"' AS TABELA, '"&amp;UPPER(C460)&amp;"' AS TIPOLOGIA_TESTE,'"&amp;D460&amp;"' AS TABELA_LT,'"&amp;E460&amp;"' AS TABELA_SIMUL,'"&amp;F460&amp;"' AS CAMPO, "&amp;"'${ref_date}' AS REF_DATE, COUNT(*) AS NUM_REG, SUM(IF((ABS(COALESCE(CAST(X."&amp;F460&amp;" AS DECIMAL(18,6)),0)-COALESCE(CAST(Y."&amp;F460&amp;"_SIMUL AS DECIMAL(18,6)),0))&gt;0.000001) OR (X."&amp;F460&amp;" IS NULL AND Y."&amp;F460&amp;"_SIMUL IS NOT NULL ) OR (X."&amp;F460&amp;" IS NOT NULL AND Y."&amp;F460&amp;"_SIMUL IS NULL),1,0)) AS NUM_REG_DIF,'"&amp;MAX('ID1&amp;5'!K:K)+1&amp;"' AS ID_EXEC, CURRENT_TIMESTAMP() AS TIME_EXEC FROM "&amp;I460&amp;" INNER JOIN "&amp;J460&amp;" "&amp;K460,"SELECT '"&amp;UPPER(B460)&amp;"' AS TABELA, '"&amp;UPPER(C460)&amp;"' AS TIPOLOGIA_TESTE,'"&amp;D460&amp;"' AS TABELA_LT,'"&amp;E460&amp;"' AS TABELA_SIMUL,'"&amp;F460&amp;"' AS CAMPO, "&amp;"'${ref_date}' AS REF_DATE, COUNT(*) AS NUM_REG, SUM(IF(COALESCE(CAST(X."&amp;F460&amp;" AS STRING),'')&lt;&gt;COALESCE(CAST(Y."&amp;F460&amp;"_SIMUL AS STRING),'') OR (X."&amp;F460&amp;" IS NULL AND Y."&amp;F460&amp;"_SIMUL IS NOT NULL ) OR (X."&amp;F460&amp;" IS NOT NULL AND Y."&amp;F460&amp;"_SIMUL IS NULL),1,0)) AS NUM_REG_DIF,'"&amp;MAX('ID1&amp;5'!L:L)+1&amp;"' AS ID_EXEC, CURRENT_TIMESTAMP() AS TIME_EXEC FROM "&amp;I460&amp;" INNER JOIN "&amp;J460&amp;" "&amp;K460),
IF(C460="Validade",+IF(G460="Code List","SELECT '"&amp;UPPER(B460)&amp;"' AS TABELA, '"&amp;UPPER(C460)&amp;"' AS TIPOLOGIA_TESTE,'"&amp;D460&amp;"' AS TABELA_LT,'N/A' AS TABELA_SIMUL,'"&amp;F460&amp;"' AS CAMPO, "&amp;"'${ref_date}' AS REF_DATE, COUNT(*) AS NUM_REG, SUM(IF(TRIM(CAST(X."&amp;F460&amp;" AS STRING))='' OR TRIM(CAST(X."&amp;F460&amp;" AS STRING)) IS NULL OR CAST(X."&amp;F460&amp;" AS STRING) NOT "&amp;H460&amp;",1,0)) AS NUM_REG_DIF,'"&amp;MAX('ID1&amp;5'!K:K)+1&amp;"' AS ID_EXEC, CURRENT_TIMESTAMP() AS TIME_EXEC FROM "&amp;I460,"SELECT '"&amp;UPPER(B460)&amp;"' AS TABELA, '"&amp;UPPER(C460)&amp;"' AS TIPOLOGIA_TESTE,'"&amp;D460&amp;"' AS TABELA_LT,'N/A' AS TABELA_SIMUL,'"&amp;F460&amp;"' AS CAMPO, "&amp;"'${ref_date}' AS REF_DATE, COUNT(*) AS NUM_REG, SUM(IF(TRIM(CAST(X."&amp;F460&amp;" AS STRING))='' OR TRIM(CAST(X."&amp;F460&amp;" AS STRING)) IS NULL,1,0)) AS NUM_REG_DIF,'"&amp;MAX('ID1&amp;5'!K:K)+1&amp;"' AS ID_EXEC, CURRENT_TIMESTAMP() AS TIME_EXEC FROM "&amp;I460),
IF(C460="Caracteres Especiais",+"SELECT '"&amp;UPPER(B460)&amp;"' AS TABELA, '"&amp;UPPER(C460)&amp;"' AS TIPOLOGIA_TESTE,'"&amp;D460&amp;"' AS TABELA_LT,'N/A' AS TABELA_SIMUL,'"&amp;F460&amp;"' AS CAMPO, "&amp;"'${ref_date}' AS REF_DATE, COUNT(*) AS NUM_REG, SUM(IF(REGEXP_REPLACE(TRIM(CAST(X."&amp;F460&amp;" AS STRING)),'[^a-zA-Z0-9_\\s]','') &lt;&gt;TRIM(CAST(X."&amp;F460&amp;" AS STRING)),1,0)) AS NUM_REG_DIF,'"&amp;MAX('ID1&amp;5'!K:K)+1&amp;"' AS ID_EXEC, CURRENT_TIMESTAMP() AS TIME_EXEC FROM "&amp;I460,
IF(C460="Missings",+"SELECT '"&amp;UPPER(B460)&amp;"' AS TABELA, '"&amp;UPPER(C460)&amp;"' AS TIPOLOGIA_TESTE,'"&amp;D460&amp;"' AS TABELA_LT,'N/A' AS TABELA_SIMUL,'"&amp;F460&amp;"' AS CAMPO, "&amp;"'${ref_date}' AS REF_DATE, COUNT(*) AS NUM_REG, SUM(IF(TRIM(CAST(X."&amp;F460&amp;" AS STRING)) IN ('0000-00-00','0001-01-01','9999-12-31','MISS','00000','99999999999','99999999999.00','99999999999.000000'),1,0)) AS NUM_REG_DIF,'"&amp;MAX('ID1&amp;5'!K:K)+1&amp;"' AS ID_EXEC, CURRENT_TIMESTAMP() AS TIME_EXEC FROM "&amp;I460,
IF(C460="Not applicable",+"SELECT '"&amp;UPPER(B460)&amp;"' AS TABELA, '"&amp;UPPER(C460)&amp;"' AS TIPOLOGIA_TESTE,'"&amp;D460&amp;"' AS TABELA_LT,'N/A' AS TABELA_SIMUL,'"&amp;F460&amp;"' AS CAMPO, "&amp;"'${ref_date}' AS REF_DATE, COUNT(*) AS NUM_REG, SUM(IF(TRIM(CAST(X."&amp;F460&amp;" AS STRING)) IN ('N/A','11111111111','11111111111.00','11111111111.000000','1111-11-11'),1,0)) AS NUM_REG_DIF,'"&amp;MAX('ID1&amp;5'!K:K)+1&amp;"' AS ID_EXEC, CURRENT_TIMESTAMP() AS TIME_EXEC FROM "&amp;I460,
IF(C460="Valores extremos",+"SELECT '"&amp;UPPER(B460)&amp;"' AS TABELA, '"&amp;UPPER(C460)&amp;"' AS TIPOLOGIA_TESTE,'"&amp;D460&amp;"' AS TABELA_LT,'N/A' AS TABELA_SIMUL,'"&amp;F460&amp;"' AS CAMPO, "&amp;"'${ref_date}' AS REF_DATE, CAST(MIN("&amp;F460&amp;") AS STRING) AS VALOR_MIN, CAST(MAX("&amp;F460&amp;") AS STRING) AS VALOR_MAX,'"&amp;MAX('ID1&amp;5'!K:K)+1&amp;"' AS ID_EXEC, CURRENT_TIMESTAMP() AS TIME_EXEC FROM "&amp;MID(I460,1,LEN(I460)-2)&amp;" AND CAST("&amp;F460&amp;"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TABELA_SIMUL,'add_fld04' AS CAMPO, '${ref_date}' AS REF_DATE, COUNT(*) AS NUM_REG, SUM(IF(COALESCE(CAST(X.add_fld04 AS STRING),'')&lt;&gt;COALESCE(CAST(Y.add_fld04_SIMUL AS STRING),'') OR (X.add_fld04 IS NULL AND Y.add_fld04_SIMUL IS NOT NULL ) OR (X.add_fld04 IS NOT NULL AND Y.add_fld04_SIMUL IS NULL),1,0)) AS NUM_REG_DIF,'1' AS ID_EXEC, CURRENT_TIMESTAMP() AS TIME_EXEC FROM (SELECT entty_id, add_fld04 FROM BU_LOANTAPE_WORK.LT003_ENTITY WHERE ref_date='${ref_date}' AND nome_perimetro='Individual Local' AND segmento='ESTR' AND ambito='SRB_MBDT' AND entidade='00100')X INNER JOIN (SELECT entty_id AS entty_id_SIMUL, add_fld04 AS add_fld04_SIMUL FROM BU_LOANTAPE_WORK.SIMUL_LT003_ENTITY WHERE ref_date='${ref_date}' AND nome_perimetro='Individual Local' AND segmento='ESTR' AND ambito='PILAR3' AND entidade='00100')Y ON X.ENTTY_ID=Y.ENTTY_ID_SIMUL</v>
      </c>
      <c r="M460" s="36" t="str">
        <f t="shared" si="10"/>
        <v>UNION ALL SELECT 'ENTITY' AS TABELA, 'COERÊNCIA' AS TIPOLOGIA_TESTE,'BU_LOANTAPE_WORK.LT003_ENTITY' AS TABELA_LT,'BU_LOANTAPE_WORK.SIMUL_LT003_ENTITY' AS TABELA_SIMUL,'add_fld04' AS CAMPO, '${ref_date}' AS REF_DATE, COUNT(*) AS NUM_REG, SUM(IF(COALESCE(CAST(X.add_fld04 AS STRING),'')&lt;&gt;COALESCE(CAST(Y.add_fld04_SIMUL AS STRING),'') OR (X.add_fld04 IS NULL AND Y.add_fld04_SIMUL IS NOT NULL ) OR (X.add_fld04 IS NOT NULL AND Y.add_fld04_SIMUL IS NULL),1,0)) AS NUM_REG_DIF,'1' AS ID_EXEC, CURRENT_TIMESTAMP() AS TIME_EXEC FROM (SELECT entty_id, add_fld04 FROM BU_LOANTAPE_WORK.LT003_ENTITY WHERE ref_date='${ref_date}' AND nome_perimetro='Individual Local' AND segmento='ESTR' AND ambito='SRB_MBDT' AND entidade='00100')X INNER JOIN (SELECT entty_id AS entty_id_SIMUL, add_fld04 AS add_fld04_SIMUL FROM BU_LOANTAPE_WORK.SIMUL_LT003_ENTITY WHERE ref_date='${ref_date}' AND nome_perimetro='Individual Local' AND segmento='ESTR' AND ambito='PILAR3' AND entidade='00100')Y ON X.ENTTY_ID=Y.ENTTY_ID_SIMUL</v>
      </c>
    </row>
    <row r="461" spans="2:13">
      <c r="B461" s="34" t="s">
        <v>118</v>
      </c>
      <c r="C461" s="34" t="s">
        <v>5</v>
      </c>
      <c r="D461" s="34" t="str">
        <f>+UPPER('0. Instruções'!$D$35&amp;"."&amp;VLOOKUP(B461,'0. Instruções'!$C$27:$D$32,2,FALSE))</f>
        <v>BU_LOANTAPE_WORK.LT003_ENTITY</v>
      </c>
      <c r="E461" s="34" t="str">
        <f>+UPPER('0. Instruções'!$D$36&amp;"."&amp;VLOOKUP(B461,'0. Instruções'!$C$27:$E$32,3,FALSE))</f>
        <v>BU_LOANTAPE_WORK.SIMUL_LT003_ENTITY</v>
      </c>
      <c r="F461" s="34" t="s">
        <v>1249</v>
      </c>
      <c r="G461" s="34"/>
      <c r="H461" s="34"/>
      <c r="I461" s="34" t="str">
        <f>"(SELECT "&amp;VLOOKUP(B461,'0. Instruções'!$C$27:$G$32,4,FALSE)&amp;", "&amp;F461&amp;" FROM "&amp;D461&amp;" WHERE "&amp;'0. Instruções'!$D$42&amp;")X"</f>
        <v>(SELECT entty_id, add_fld05 FROM BU_LOANTAPE_WORK.LT003_ENTITY WHERE ref_date='${ref_date}' AND nome_perimetro='Individual Local' AND segmento='ESTR' AND ambito='SRB_MBDT' AND entidade='00100')X</v>
      </c>
      <c r="J461" s="34" t="str">
        <f>"(SELECT "&amp;VLOOKUP(B461,'0. Instruções'!$C$27:$G$32,4,FALSE)&amp;" AS "&amp;VLOOKUP(B461,'0. Instruções'!$C$27:$G$32,4,FALSE)&amp;"_SIMUL, "&amp;F461&amp;" AS "&amp;F461&amp;"_SIMUL FROM "&amp;E461&amp;" WHERE "&amp;'0. Instruções'!$D$43&amp;")Y"</f>
        <v>(SELECT entty_id AS entty_id_SIMUL, add_fld05 AS add_fld05_SIMUL FROM BU_LOANTAPE_WORK.SIMUL_LT003_ENTITY WHERE ref_date='${ref_date}' AND nome_perimetro='Individual Local' AND segmento='ESTR' AND ambito='PILAR3' AND entidade='00100')Y</v>
      </c>
      <c r="K461" s="35" t="str">
        <f>+UPPER("ON X."&amp;VLOOKUP(B461,'0. Instruções'!$C$27:$G$32,4,FALSE)&amp;"=Y."&amp;VLOOKUP(B461,'0. Instruções'!$C$27:$G$32,4,FALSE)&amp;"_SIMUL")</f>
        <v>ON X.ENTTY_ID=Y.ENTTY_ID_SIMUL</v>
      </c>
      <c r="L461" s="35" t="str">
        <f>+IF(C461="Coerência", +IF(LEFT(G461,5)="FLOAT","SELECT '"&amp;UPPER(B461)&amp;"' AS TABELA, '"&amp;UPPER(C461)&amp;"' AS TIPOLOGIA_TESTE,'"&amp;D461&amp;"' AS TABELA_LT,'"&amp;E461&amp;"' AS TABELA_SIMUL,'"&amp;F461&amp;"' AS CAMPO, "&amp;"'${ref_date}' AS REF_DATE, COUNT(*) AS NUM_REG, SUM(IF((ABS(COALESCE(CAST(X."&amp;F461&amp;" AS DECIMAL(18,6)),0)-COALESCE(CAST(Y."&amp;F461&amp;"_SIMUL AS DECIMAL(18,6)),0))&gt;0.000001) OR (X."&amp;F461&amp;" IS NULL AND Y."&amp;F461&amp;"_SIMUL IS NOT NULL ) OR (X."&amp;F461&amp;" IS NOT NULL AND Y."&amp;F461&amp;"_SIMUL IS NULL),1,0)) AS NUM_REG_DIF,'"&amp;MAX('ID1&amp;5'!K:K)+1&amp;"' AS ID_EXEC, CURRENT_TIMESTAMP() AS TIME_EXEC FROM "&amp;I461&amp;" INNER JOIN "&amp;J461&amp;" "&amp;K461,"SELECT '"&amp;UPPER(B461)&amp;"' AS TABELA, '"&amp;UPPER(C461)&amp;"' AS TIPOLOGIA_TESTE,'"&amp;D461&amp;"' AS TABELA_LT,'"&amp;E461&amp;"' AS TABELA_SIMUL,'"&amp;F461&amp;"' AS CAMPO, "&amp;"'${ref_date}' AS REF_DATE, COUNT(*) AS NUM_REG, SUM(IF(COALESCE(CAST(X."&amp;F461&amp;" AS STRING),'')&lt;&gt;COALESCE(CAST(Y."&amp;F461&amp;"_SIMUL AS STRING),'') OR (X."&amp;F461&amp;" IS NULL AND Y."&amp;F461&amp;"_SIMUL IS NOT NULL ) OR (X."&amp;F461&amp;" IS NOT NULL AND Y."&amp;F461&amp;"_SIMUL IS NULL),1,0)) AS NUM_REG_DIF,'"&amp;MAX('ID1&amp;5'!L:L)+1&amp;"' AS ID_EXEC, CURRENT_TIMESTAMP() AS TIME_EXEC FROM "&amp;I461&amp;" INNER JOIN "&amp;J461&amp;" "&amp;K461),
IF(C461="Validade",+IF(G461="Code List","SELECT '"&amp;UPPER(B461)&amp;"' AS TABELA, '"&amp;UPPER(C461)&amp;"' AS TIPOLOGIA_TESTE,'"&amp;D461&amp;"' AS TABELA_LT,'N/A' AS TABELA_SIMUL,'"&amp;F461&amp;"' AS CAMPO, "&amp;"'${ref_date}' AS REF_DATE, COUNT(*) AS NUM_REG, SUM(IF(TRIM(CAST(X."&amp;F461&amp;" AS STRING))='' OR TRIM(CAST(X."&amp;F461&amp;" AS STRING)) IS NULL OR CAST(X."&amp;F461&amp;" AS STRING) NOT "&amp;H461&amp;",1,0)) AS NUM_REG_DIF,'"&amp;MAX('ID1&amp;5'!K:K)+1&amp;"' AS ID_EXEC, CURRENT_TIMESTAMP() AS TIME_EXEC FROM "&amp;I461,"SELECT '"&amp;UPPER(B461)&amp;"' AS TABELA, '"&amp;UPPER(C461)&amp;"' AS TIPOLOGIA_TESTE,'"&amp;D461&amp;"' AS TABELA_LT,'N/A' AS TABELA_SIMUL,'"&amp;F461&amp;"' AS CAMPO, "&amp;"'${ref_date}' AS REF_DATE, COUNT(*) AS NUM_REG, SUM(IF(TRIM(CAST(X."&amp;F461&amp;" AS STRING))='' OR TRIM(CAST(X."&amp;F461&amp;" AS STRING)) IS NULL,1,0)) AS NUM_REG_DIF,'"&amp;MAX('ID1&amp;5'!K:K)+1&amp;"' AS ID_EXEC, CURRENT_TIMESTAMP() AS TIME_EXEC FROM "&amp;I461),
IF(C461="Caracteres Especiais",+"SELECT '"&amp;UPPER(B461)&amp;"' AS TABELA, '"&amp;UPPER(C461)&amp;"' AS TIPOLOGIA_TESTE,'"&amp;D461&amp;"' AS TABELA_LT,'N/A' AS TABELA_SIMUL,'"&amp;F461&amp;"' AS CAMPO, "&amp;"'${ref_date}' AS REF_DATE, COUNT(*) AS NUM_REG, SUM(IF(REGEXP_REPLACE(TRIM(CAST(X."&amp;F461&amp;" AS STRING)),'[^a-zA-Z0-9_\\s]','') &lt;&gt;TRIM(CAST(X."&amp;F461&amp;" AS STRING)),1,0)) AS NUM_REG_DIF,'"&amp;MAX('ID1&amp;5'!K:K)+1&amp;"' AS ID_EXEC, CURRENT_TIMESTAMP() AS TIME_EXEC FROM "&amp;I461,
IF(C461="Missings",+"SELECT '"&amp;UPPER(B461)&amp;"' AS TABELA, '"&amp;UPPER(C461)&amp;"' AS TIPOLOGIA_TESTE,'"&amp;D461&amp;"' AS TABELA_LT,'N/A' AS TABELA_SIMUL,'"&amp;F461&amp;"' AS CAMPO, "&amp;"'${ref_date}' AS REF_DATE, COUNT(*) AS NUM_REG, SUM(IF(TRIM(CAST(X."&amp;F461&amp;" AS STRING)) IN ('0000-00-00','0001-01-01','9999-12-31','MISS','00000','99999999999','99999999999.00','99999999999.000000'),1,0)) AS NUM_REG_DIF,'"&amp;MAX('ID1&amp;5'!K:K)+1&amp;"' AS ID_EXEC, CURRENT_TIMESTAMP() AS TIME_EXEC FROM "&amp;I461,
IF(C461="Not applicable",+"SELECT '"&amp;UPPER(B461)&amp;"' AS TABELA, '"&amp;UPPER(C461)&amp;"' AS TIPOLOGIA_TESTE,'"&amp;D461&amp;"' AS TABELA_LT,'N/A' AS TABELA_SIMUL,'"&amp;F461&amp;"' AS CAMPO, "&amp;"'${ref_date}' AS REF_DATE, COUNT(*) AS NUM_REG, SUM(IF(TRIM(CAST(X."&amp;F461&amp;" AS STRING)) IN ('N/A','11111111111','11111111111.00','11111111111.000000','1111-11-11'),1,0)) AS NUM_REG_DIF,'"&amp;MAX('ID1&amp;5'!K:K)+1&amp;"' AS ID_EXEC, CURRENT_TIMESTAMP() AS TIME_EXEC FROM "&amp;I461,
IF(C461="Valores extremos",+"SELECT '"&amp;UPPER(B461)&amp;"' AS TABELA, '"&amp;UPPER(C461)&amp;"' AS TIPOLOGIA_TESTE,'"&amp;D461&amp;"' AS TABELA_LT,'N/A' AS TABELA_SIMUL,'"&amp;F461&amp;"' AS CAMPO, "&amp;"'${ref_date}' AS REF_DATE, CAST(MIN("&amp;F461&amp;") AS STRING) AS VALOR_MIN, CAST(MAX("&amp;F461&amp;") AS STRING) AS VALOR_MAX,'"&amp;MAX('ID1&amp;5'!K:K)+1&amp;"' AS ID_EXEC, CURRENT_TIMESTAMP() AS TIME_EXEC FROM "&amp;MID(I461,1,LEN(I461)-2)&amp;" AND CAST("&amp;F461&amp;"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TABELA_SIMUL,'add_fld05' AS CAMPO, '${ref_date}' AS REF_DATE, COUNT(*) AS NUM_REG, SUM(IF(COALESCE(CAST(X.add_fld05 AS STRING),'')&lt;&gt;COALESCE(CAST(Y.add_fld05_SIMUL AS STRING),'') OR (X.add_fld05 IS NULL AND Y.add_fld05_SIMUL IS NOT NULL ) OR (X.add_fld05 IS NOT NULL AND Y.add_fld05_SIMUL IS NULL),1,0)) AS NUM_REG_DIF,'1' AS ID_EXEC, CURRENT_TIMESTAMP() AS TIME_EXEC FROM (SELECT entty_id, add_fld05 FROM BU_LOANTAPE_WORK.LT003_ENTITY WHERE ref_date='${ref_date}' AND nome_perimetro='Individual Local' AND segmento='ESTR' AND ambito='SRB_MBDT' AND entidade='00100')X INNER JOIN (SELECT entty_id AS entty_id_SIMUL, add_fld05 AS add_fld05_SIMUL FROM BU_LOANTAPE_WORK.SIMUL_LT003_ENTITY WHERE ref_date='${ref_date}' AND nome_perimetro='Individual Local' AND segmento='ESTR' AND ambito='PILAR3' AND entidade='00100')Y ON X.ENTTY_ID=Y.ENTTY_ID_SIMUL</v>
      </c>
      <c r="M461" s="36" t="str">
        <f t="shared" si="10"/>
        <v>UNION ALL SELECT 'ENTITY' AS TABELA, 'COERÊNCIA' AS TIPOLOGIA_TESTE,'BU_LOANTAPE_WORK.LT003_ENTITY' AS TABELA_LT,'BU_LOANTAPE_WORK.SIMUL_LT003_ENTITY' AS TABELA_SIMUL,'add_fld05' AS CAMPO, '${ref_date}' AS REF_DATE, COUNT(*) AS NUM_REG, SUM(IF(COALESCE(CAST(X.add_fld05 AS STRING),'')&lt;&gt;COALESCE(CAST(Y.add_fld05_SIMUL AS STRING),'') OR (X.add_fld05 IS NULL AND Y.add_fld05_SIMUL IS NOT NULL ) OR (X.add_fld05 IS NOT NULL AND Y.add_fld05_SIMUL IS NULL),1,0)) AS NUM_REG_DIF,'1' AS ID_EXEC, CURRENT_TIMESTAMP() AS TIME_EXEC FROM (SELECT entty_id, add_fld05 FROM BU_LOANTAPE_WORK.LT003_ENTITY WHERE ref_date='${ref_date}' AND nome_perimetro='Individual Local' AND segmento='ESTR' AND ambito='SRB_MBDT' AND entidade='00100')X INNER JOIN (SELECT entty_id AS entty_id_SIMUL, add_fld05 AS add_fld05_SIMUL FROM BU_LOANTAPE_WORK.SIMUL_LT003_ENTITY WHERE ref_date='${ref_date}' AND nome_perimetro='Individual Local' AND segmento='ESTR' AND ambito='PILAR3' AND entidade='00100')Y ON X.ENTTY_ID=Y.ENTTY_ID_SIMUL</v>
      </c>
    </row>
    <row r="462" spans="2:13">
      <c r="B462" s="34" t="s">
        <v>118</v>
      </c>
      <c r="C462" s="34" t="s">
        <v>5</v>
      </c>
      <c r="D462" s="34" t="str">
        <f>+UPPER('0. Instruções'!$D$35&amp;"."&amp;VLOOKUP(B462,'0. Instruções'!$C$27:$D$32,2,FALSE))</f>
        <v>BU_LOANTAPE_WORK.LT003_ENTITY</v>
      </c>
      <c r="E462" s="34" t="str">
        <f>+UPPER('0. Instruções'!$D$36&amp;"."&amp;VLOOKUP(B462,'0. Instruções'!$C$27:$E$32,3,FALSE))</f>
        <v>BU_LOANTAPE_WORK.SIMUL_LT003_ENTITY</v>
      </c>
      <c r="F462" s="34" t="s">
        <v>1250</v>
      </c>
      <c r="G462" s="34"/>
      <c r="H462" s="34"/>
      <c r="I462" s="34" t="str">
        <f>"(SELECT "&amp;VLOOKUP(B462,'0. Instruções'!$C$27:$G$32,4,FALSE)&amp;", "&amp;F462&amp;" FROM "&amp;D462&amp;" WHERE "&amp;'0. Instruções'!$D$42&amp;")X"</f>
        <v>(SELECT entty_id, add_fld06 FROM BU_LOANTAPE_WORK.LT003_ENTITY WHERE ref_date='${ref_date}' AND nome_perimetro='Individual Local' AND segmento='ESTR' AND ambito='SRB_MBDT' AND entidade='00100')X</v>
      </c>
      <c r="J462" s="34" t="str">
        <f>"(SELECT "&amp;VLOOKUP(B462,'0. Instruções'!$C$27:$G$32,4,FALSE)&amp;" AS "&amp;VLOOKUP(B462,'0. Instruções'!$C$27:$G$32,4,FALSE)&amp;"_SIMUL, "&amp;F462&amp;" AS "&amp;F462&amp;"_SIMUL FROM "&amp;E462&amp;" WHERE "&amp;'0. Instruções'!$D$43&amp;")Y"</f>
        <v>(SELECT entty_id AS entty_id_SIMUL, add_fld06 AS add_fld06_SIMUL FROM BU_LOANTAPE_WORK.SIMUL_LT003_ENTITY WHERE ref_date='${ref_date}' AND nome_perimetro='Individual Local' AND segmento='ESTR' AND ambito='PILAR3' AND entidade='00100')Y</v>
      </c>
      <c r="K462" s="35" t="str">
        <f>+UPPER("ON X."&amp;VLOOKUP(B462,'0. Instruções'!$C$27:$G$32,4,FALSE)&amp;"=Y."&amp;VLOOKUP(B462,'0. Instruções'!$C$27:$G$32,4,FALSE)&amp;"_SIMUL")</f>
        <v>ON X.ENTTY_ID=Y.ENTTY_ID_SIMUL</v>
      </c>
      <c r="L462" s="35" t="str">
        <f>+IF(C462="Coerência", +IF(LEFT(G462,5)="FLOAT","SELECT '"&amp;UPPER(B462)&amp;"' AS TABELA, '"&amp;UPPER(C462)&amp;"' AS TIPOLOGIA_TESTE,'"&amp;D462&amp;"' AS TABELA_LT,'"&amp;E462&amp;"' AS TABELA_SIMUL,'"&amp;F462&amp;"' AS CAMPO, "&amp;"'${ref_date}' AS REF_DATE, COUNT(*) AS NUM_REG, SUM(IF((ABS(COALESCE(CAST(X."&amp;F462&amp;" AS DECIMAL(18,6)),0)-COALESCE(CAST(Y."&amp;F462&amp;"_SIMUL AS DECIMAL(18,6)),0))&gt;0.000001) OR (X."&amp;F462&amp;" IS NULL AND Y."&amp;F462&amp;"_SIMUL IS NOT NULL ) OR (X."&amp;F462&amp;" IS NOT NULL AND Y."&amp;F462&amp;"_SIMUL IS NULL),1,0)) AS NUM_REG_DIF,'"&amp;MAX('ID1&amp;5'!K:K)+1&amp;"' AS ID_EXEC, CURRENT_TIMESTAMP() AS TIME_EXEC FROM "&amp;I462&amp;" INNER JOIN "&amp;J462&amp;" "&amp;K462,"SELECT '"&amp;UPPER(B462)&amp;"' AS TABELA, '"&amp;UPPER(C462)&amp;"' AS TIPOLOGIA_TESTE,'"&amp;D462&amp;"' AS TABELA_LT,'"&amp;E462&amp;"' AS TABELA_SIMUL,'"&amp;F462&amp;"' AS CAMPO, "&amp;"'${ref_date}' AS REF_DATE, COUNT(*) AS NUM_REG, SUM(IF(COALESCE(CAST(X."&amp;F462&amp;" AS STRING),'')&lt;&gt;COALESCE(CAST(Y."&amp;F462&amp;"_SIMUL AS STRING),'') OR (X."&amp;F462&amp;" IS NULL AND Y."&amp;F462&amp;"_SIMUL IS NOT NULL ) OR (X."&amp;F462&amp;" IS NOT NULL AND Y."&amp;F462&amp;"_SIMUL IS NULL),1,0)) AS NUM_REG_DIF,'"&amp;MAX('ID1&amp;5'!L:L)+1&amp;"' AS ID_EXEC, CURRENT_TIMESTAMP() AS TIME_EXEC FROM "&amp;I462&amp;" INNER JOIN "&amp;J462&amp;" "&amp;K462),
IF(C462="Validade",+IF(G462="Code List","SELECT '"&amp;UPPER(B462)&amp;"' AS TABELA, '"&amp;UPPER(C462)&amp;"' AS TIPOLOGIA_TESTE,'"&amp;D462&amp;"' AS TABELA_LT,'N/A' AS TABELA_SIMUL,'"&amp;F462&amp;"' AS CAMPO, "&amp;"'${ref_date}' AS REF_DATE, COUNT(*) AS NUM_REG, SUM(IF(TRIM(CAST(X."&amp;F462&amp;" AS STRING))='' OR TRIM(CAST(X."&amp;F462&amp;" AS STRING)) IS NULL OR CAST(X."&amp;F462&amp;" AS STRING) NOT "&amp;H462&amp;",1,0)) AS NUM_REG_DIF,'"&amp;MAX('ID1&amp;5'!K:K)+1&amp;"' AS ID_EXEC, CURRENT_TIMESTAMP() AS TIME_EXEC FROM "&amp;I462,"SELECT '"&amp;UPPER(B462)&amp;"' AS TABELA, '"&amp;UPPER(C462)&amp;"' AS TIPOLOGIA_TESTE,'"&amp;D462&amp;"' AS TABELA_LT,'N/A' AS TABELA_SIMUL,'"&amp;F462&amp;"' AS CAMPO, "&amp;"'${ref_date}' AS REF_DATE, COUNT(*) AS NUM_REG, SUM(IF(TRIM(CAST(X."&amp;F462&amp;" AS STRING))='' OR TRIM(CAST(X."&amp;F462&amp;" AS STRING)) IS NULL,1,0)) AS NUM_REG_DIF,'"&amp;MAX('ID1&amp;5'!K:K)+1&amp;"' AS ID_EXEC, CURRENT_TIMESTAMP() AS TIME_EXEC FROM "&amp;I462),
IF(C462="Caracteres Especiais",+"SELECT '"&amp;UPPER(B462)&amp;"' AS TABELA, '"&amp;UPPER(C462)&amp;"' AS TIPOLOGIA_TESTE,'"&amp;D462&amp;"' AS TABELA_LT,'N/A' AS TABELA_SIMUL,'"&amp;F462&amp;"' AS CAMPO, "&amp;"'${ref_date}' AS REF_DATE, COUNT(*) AS NUM_REG, SUM(IF(REGEXP_REPLACE(TRIM(CAST(X."&amp;F462&amp;" AS STRING)),'[^a-zA-Z0-9_\\s]','') &lt;&gt;TRIM(CAST(X."&amp;F462&amp;" AS STRING)),1,0)) AS NUM_REG_DIF,'"&amp;MAX('ID1&amp;5'!K:K)+1&amp;"' AS ID_EXEC, CURRENT_TIMESTAMP() AS TIME_EXEC FROM "&amp;I462,
IF(C462="Missings",+"SELECT '"&amp;UPPER(B462)&amp;"' AS TABELA, '"&amp;UPPER(C462)&amp;"' AS TIPOLOGIA_TESTE,'"&amp;D462&amp;"' AS TABELA_LT,'N/A' AS TABELA_SIMUL,'"&amp;F462&amp;"' AS CAMPO, "&amp;"'${ref_date}' AS REF_DATE, COUNT(*) AS NUM_REG, SUM(IF(TRIM(CAST(X."&amp;F462&amp;" AS STRING)) IN ('0000-00-00','0001-01-01','9999-12-31','MISS','00000','99999999999','99999999999.00','99999999999.000000'),1,0)) AS NUM_REG_DIF,'"&amp;MAX('ID1&amp;5'!K:K)+1&amp;"' AS ID_EXEC, CURRENT_TIMESTAMP() AS TIME_EXEC FROM "&amp;I462,
IF(C462="Not applicable",+"SELECT '"&amp;UPPER(B462)&amp;"' AS TABELA, '"&amp;UPPER(C462)&amp;"' AS TIPOLOGIA_TESTE,'"&amp;D462&amp;"' AS TABELA_LT,'N/A' AS TABELA_SIMUL,'"&amp;F462&amp;"' AS CAMPO, "&amp;"'${ref_date}' AS REF_DATE, COUNT(*) AS NUM_REG, SUM(IF(TRIM(CAST(X."&amp;F462&amp;" AS STRING)) IN ('N/A','11111111111','11111111111.00','11111111111.000000','1111-11-11'),1,0)) AS NUM_REG_DIF,'"&amp;MAX('ID1&amp;5'!K:K)+1&amp;"' AS ID_EXEC, CURRENT_TIMESTAMP() AS TIME_EXEC FROM "&amp;I462,
IF(C462="Valores extremos",+"SELECT '"&amp;UPPER(B462)&amp;"' AS TABELA, '"&amp;UPPER(C462)&amp;"' AS TIPOLOGIA_TESTE,'"&amp;D462&amp;"' AS TABELA_LT,'N/A' AS TABELA_SIMUL,'"&amp;F462&amp;"' AS CAMPO, "&amp;"'${ref_date}' AS REF_DATE, CAST(MIN("&amp;F462&amp;") AS STRING) AS VALOR_MIN, CAST(MAX("&amp;F462&amp;") AS STRING) AS VALOR_MAX,'"&amp;MAX('ID1&amp;5'!K:K)+1&amp;"' AS ID_EXEC, CURRENT_TIMESTAMP() AS TIME_EXEC FROM "&amp;MID(I462,1,LEN(I462)-2)&amp;" AND CAST("&amp;F462&amp;"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TABELA_SIMUL,'add_fld06' AS CAMPO, '${ref_date}' AS REF_DATE, COUNT(*) AS NUM_REG, SUM(IF(COALESCE(CAST(X.add_fld06 AS STRING),'')&lt;&gt;COALESCE(CAST(Y.add_fld06_SIMUL AS STRING),'') OR (X.add_fld06 IS NULL AND Y.add_fld06_SIMUL IS NOT NULL ) OR (X.add_fld06 IS NOT NULL AND Y.add_fld06_SIMUL IS NULL),1,0)) AS NUM_REG_DIF,'1' AS ID_EXEC, CURRENT_TIMESTAMP() AS TIME_EXEC FROM (SELECT entty_id, add_fld06 FROM BU_LOANTAPE_WORK.LT003_ENTITY WHERE ref_date='${ref_date}' AND nome_perimetro='Individual Local' AND segmento='ESTR' AND ambito='SRB_MBDT' AND entidade='00100')X INNER JOIN (SELECT entty_id AS entty_id_SIMUL, add_fld06 AS add_fld06_SIMUL FROM BU_LOANTAPE_WORK.SIMUL_LT003_ENTITY WHERE ref_date='${ref_date}' AND nome_perimetro='Individual Local' AND segmento='ESTR' AND ambito='PILAR3' AND entidade='00100')Y ON X.ENTTY_ID=Y.ENTTY_ID_SIMUL</v>
      </c>
      <c r="M462" s="36" t="str">
        <f t="shared" si="10"/>
        <v>UNION ALL SELECT 'ENTITY' AS TABELA, 'COERÊNCIA' AS TIPOLOGIA_TESTE,'BU_LOANTAPE_WORK.LT003_ENTITY' AS TABELA_LT,'BU_LOANTAPE_WORK.SIMUL_LT003_ENTITY' AS TABELA_SIMUL,'add_fld06' AS CAMPO, '${ref_date}' AS REF_DATE, COUNT(*) AS NUM_REG, SUM(IF(COALESCE(CAST(X.add_fld06 AS STRING),'')&lt;&gt;COALESCE(CAST(Y.add_fld06_SIMUL AS STRING),'') OR (X.add_fld06 IS NULL AND Y.add_fld06_SIMUL IS NOT NULL ) OR (X.add_fld06 IS NOT NULL AND Y.add_fld06_SIMUL IS NULL),1,0)) AS NUM_REG_DIF,'1' AS ID_EXEC, CURRENT_TIMESTAMP() AS TIME_EXEC FROM (SELECT entty_id, add_fld06 FROM BU_LOANTAPE_WORK.LT003_ENTITY WHERE ref_date='${ref_date}' AND nome_perimetro='Individual Local' AND segmento='ESTR' AND ambito='SRB_MBDT' AND entidade='00100')X INNER JOIN (SELECT entty_id AS entty_id_SIMUL, add_fld06 AS add_fld06_SIMUL FROM BU_LOANTAPE_WORK.SIMUL_LT003_ENTITY WHERE ref_date='${ref_date}' AND nome_perimetro='Individual Local' AND segmento='ESTR' AND ambito='PILAR3' AND entidade='00100')Y ON X.ENTTY_ID=Y.ENTTY_ID_SIMUL</v>
      </c>
    </row>
    <row r="463" spans="2:13">
      <c r="B463" s="34" t="s">
        <v>118</v>
      </c>
      <c r="C463" s="34" t="s">
        <v>5</v>
      </c>
      <c r="D463" s="34" t="str">
        <f>+UPPER('0. Instruções'!$D$35&amp;"."&amp;VLOOKUP(B463,'0. Instruções'!$C$27:$D$32,2,FALSE))</f>
        <v>BU_LOANTAPE_WORK.LT003_ENTITY</v>
      </c>
      <c r="E463" s="34" t="str">
        <f>+UPPER('0. Instruções'!$D$36&amp;"."&amp;VLOOKUP(B463,'0. Instruções'!$C$27:$E$32,3,FALSE))</f>
        <v>BU_LOANTAPE_WORK.SIMUL_LT003_ENTITY</v>
      </c>
      <c r="F463" s="34" t="s">
        <v>1251</v>
      </c>
      <c r="G463" s="34"/>
      <c r="H463" s="34"/>
      <c r="I463" s="34" t="str">
        <f>"(SELECT "&amp;VLOOKUP(B463,'0. Instruções'!$C$27:$G$32,4,FALSE)&amp;", "&amp;F463&amp;" FROM "&amp;D463&amp;" WHERE "&amp;'0. Instruções'!$D$42&amp;")X"</f>
        <v>(SELECT entty_id, add_fld07 FROM BU_LOANTAPE_WORK.LT003_ENTITY WHERE ref_date='${ref_date}' AND nome_perimetro='Individual Local' AND segmento='ESTR' AND ambito='SRB_MBDT' AND entidade='00100')X</v>
      </c>
      <c r="J463" s="34" t="str">
        <f>"(SELECT "&amp;VLOOKUP(B463,'0. Instruções'!$C$27:$G$32,4,FALSE)&amp;" AS "&amp;VLOOKUP(B463,'0. Instruções'!$C$27:$G$32,4,FALSE)&amp;"_SIMUL, "&amp;F463&amp;" AS "&amp;F463&amp;"_SIMUL FROM "&amp;E463&amp;" WHERE "&amp;'0. Instruções'!$D$43&amp;")Y"</f>
        <v>(SELECT entty_id AS entty_id_SIMUL, add_fld07 AS add_fld07_SIMUL FROM BU_LOANTAPE_WORK.SIMUL_LT003_ENTITY WHERE ref_date='${ref_date}' AND nome_perimetro='Individual Local' AND segmento='ESTR' AND ambito='PILAR3' AND entidade='00100')Y</v>
      </c>
      <c r="K463" s="35" t="str">
        <f>+UPPER("ON X."&amp;VLOOKUP(B463,'0. Instruções'!$C$27:$G$32,4,FALSE)&amp;"=Y."&amp;VLOOKUP(B463,'0. Instruções'!$C$27:$G$32,4,FALSE)&amp;"_SIMUL")</f>
        <v>ON X.ENTTY_ID=Y.ENTTY_ID_SIMUL</v>
      </c>
      <c r="L463" s="35" t="str">
        <f>+IF(C463="Coerência", +IF(LEFT(G463,5)="FLOAT","SELECT '"&amp;UPPER(B463)&amp;"' AS TABELA, '"&amp;UPPER(C463)&amp;"' AS TIPOLOGIA_TESTE,'"&amp;D463&amp;"' AS TABELA_LT,'"&amp;E463&amp;"' AS TABELA_SIMUL,'"&amp;F463&amp;"' AS CAMPO, "&amp;"'${ref_date}' AS REF_DATE, COUNT(*) AS NUM_REG, SUM(IF((ABS(COALESCE(CAST(X."&amp;F463&amp;" AS DECIMAL(18,6)),0)-COALESCE(CAST(Y."&amp;F463&amp;"_SIMUL AS DECIMAL(18,6)),0))&gt;0.000001) OR (X."&amp;F463&amp;" IS NULL AND Y."&amp;F463&amp;"_SIMUL IS NOT NULL ) OR (X."&amp;F463&amp;" IS NOT NULL AND Y."&amp;F463&amp;"_SIMUL IS NULL),1,0)) AS NUM_REG_DIF,'"&amp;MAX('ID1&amp;5'!K:K)+1&amp;"' AS ID_EXEC, CURRENT_TIMESTAMP() AS TIME_EXEC FROM "&amp;I463&amp;" INNER JOIN "&amp;J463&amp;" "&amp;K463,"SELECT '"&amp;UPPER(B463)&amp;"' AS TABELA, '"&amp;UPPER(C463)&amp;"' AS TIPOLOGIA_TESTE,'"&amp;D463&amp;"' AS TABELA_LT,'"&amp;E463&amp;"' AS TABELA_SIMUL,'"&amp;F463&amp;"' AS CAMPO, "&amp;"'${ref_date}' AS REF_DATE, COUNT(*) AS NUM_REG, SUM(IF(COALESCE(CAST(X."&amp;F463&amp;" AS STRING),'')&lt;&gt;COALESCE(CAST(Y."&amp;F463&amp;"_SIMUL AS STRING),'') OR (X."&amp;F463&amp;" IS NULL AND Y."&amp;F463&amp;"_SIMUL IS NOT NULL ) OR (X."&amp;F463&amp;" IS NOT NULL AND Y."&amp;F463&amp;"_SIMUL IS NULL),1,0)) AS NUM_REG_DIF,'"&amp;MAX('ID1&amp;5'!L:L)+1&amp;"' AS ID_EXEC, CURRENT_TIMESTAMP() AS TIME_EXEC FROM "&amp;I463&amp;" INNER JOIN "&amp;J463&amp;" "&amp;K463),
IF(C463="Validade",+IF(G463="Code List","SELECT '"&amp;UPPER(B463)&amp;"' AS TABELA, '"&amp;UPPER(C463)&amp;"' AS TIPOLOGIA_TESTE,'"&amp;D463&amp;"' AS TABELA_LT,'N/A' AS TABELA_SIMUL,'"&amp;F463&amp;"' AS CAMPO, "&amp;"'${ref_date}' AS REF_DATE, COUNT(*) AS NUM_REG, SUM(IF(TRIM(CAST(X."&amp;F463&amp;" AS STRING))='' OR TRIM(CAST(X."&amp;F463&amp;" AS STRING)) IS NULL OR CAST(X."&amp;F463&amp;" AS STRING) NOT "&amp;H463&amp;",1,0)) AS NUM_REG_DIF,'"&amp;MAX('ID1&amp;5'!K:K)+1&amp;"' AS ID_EXEC, CURRENT_TIMESTAMP() AS TIME_EXEC FROM "&amp;I463,"SELECT '"&amp;UPPER(B463)&amp;"' AS TABELA, '"&amp;UPPER(C463)&amp;"' AS TIPOLOGIA_TESTE,'"&amp;D463&amp;"' AS TABELA_LT,'N/A' AS TABELA_SIMUL,'"&amp;F463&amp;"' AS CAMPO, "&amp;"'${ref_date}' AS REF_DATE, COUNT(*) AS NUM_REG, SUM(IF(TRIM(CAST(X."&amp;F463&amp;" AS STRING))='' OR TRIM(CAST(X."&amp;F463&amp;" AS STRING)) IS NULL,1,0)) AS NUM_REG_DIF,'"&amp;MAX('ID1&amp;5'!K:K)+1&amp;"' AS ID_EXEC, CURRENT_TIMESTAMP() AS TIME_EXEC FROM "&amp;I463),
IF(C463="Caracteres Especiais",+"SELECT '"&amp;UPPER(B463)&amp;"' AS TABELA, '"&amp;UPPER(C463)&amp;"' AS TIPOLOGIA_TESTE,'"&amp;D463&amp;"' AS TABELA_LT,'N/A' AS TABELA_SIMUL,'"&amp;F463&amp;"' AS CAMPO, "&amp;"'${ref_date}' AS REF_DATE, COUNT(*) AS NUM_REG, SUM(IF(REGEXP_REPLACE(TRIM(CAST(X."&amp;F463&amp;" AS STRING)),'[^a-zA-Z0-9_\\s]','') &lt;&gt;TRIM(CAST(X."&amp;F463&amp;" AS STRING)),1,0)) AS NUM_REG_DIF,'"&amp;MAX('ID1&amp;5'!K:K)+1&amp;"' AS ID_EXEC, CURRENT_TIMESTAMP() AS TIME_EXEC FROM "&amp;I463,
IF(C463="Missings",+"SELECT '"&amp;UPPER(B463)&amp;"' AS TABELA, '"&amp;UPPER(C463)&amp;"' AS TIPOLOGIA_TESTE,'"&amp;D463&amp;"' AS TABELA_LT,'N/A' AS TABELA_SIMUL,'"&amp;F463&amp;"' AS CAMPO, "&amp;"'${ref_date}' AS REF_DATE, COUNT(*) AS NUM_REG, SUM(IF(TRIM(CAST(X."&amp;F463&amp;" AS STRING)) IN ('0000-00-00','0001-01-01','9999-12-31','MISS','00000','99999999999','99999999999.00','99999999999.000000'),1,0)) AS NUM_REG_DIF,'"&amp;MAX('ID1&amp;5'!K:K)+1&amp;"' AS ID_EXEC, CURRENT_TIMESTAMP() AS TIME_EXEC FROM "&amp;I463,
IF(C463="Not applicable",+"SELECT '"&amp;UPPER(B463)&amp;"' AS TABELA, '"&amp;UPPER(C463)&amp;"' AS TIPOLOGIA_TESTE,'"&amp;D463&amp;"' AS TABELA_LT,'N/A' AS TABELA_SIMUL,'"&amp;F463&amp;"' AS CAMPO, "&amp;"'${ref_date}' AS REF_DATE, COUNT(*) AS NUM_REG, SUM(IF(TRIM(CAST(X."&amp;F463&amp;" AS STRING)) IN ('N/A','11111111111','11111111111.00','11111111111.000000','1111-11-11'),1,0)) AS NUM_REG_DIF,'"&amp;MAX('ID1&amp;5'!K:K)+1&amp;"' AS ID_EXEC, CURRENT_TIMESTAMP() AS TIME_EXEC FROM "&amp;I463,
IF(C463="Valores extremos",+"SELECT '"&amp;UPPER(B463)&amp;"' AS TABELA, '"&amp;UPPER(C463)&amp;"' AS TIPOLOGIA_TESTE,'"&amp;D463&amp;"' AS TABELA_LT,'N/A' AS TABELA_SIMUL,'"&amp;F463&amp;"' AS CAMPO, "&amp;"'${ref_date}' AS REF_DATE, CAST(MIN("&amp;F463&amp;") AS STRING) AS VALOR_MIN, CAST(MAX("&amp;F463&amp;") AS STRING) AS VALOR_MAX,'"&amp;MAX('ID1&amp;5'!K:K)+1&amp;"' AS ID_EXEC, CURRENT_TIMESTAMP() AS TIME_EXEC FROM "&amp;MID(I463,1,LEN(I463)-2)&amp;" AND CAST("&amp;F463&amp;"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TABELA_SIMUL,'add_fld07' AS CAMPO, '${ref_date}' AS REF_DATE, COUNT(*) AS NUM_REG, SUM(IF(COALESCE(CAST(X.add_fld07 AS STRING),'')&lt;&gt;COALESCE(CAST(Y.add_fld07_SIMUL AS STRING),'') OR (X.add_fld07 IS NULL AND Y.add_fld07_SIMUL IS NOT NULL ) OR (X.add_fld07 IS NOT NULL AND Y.add_fld07_SIMUL IS NULL),1,0)) AS NUM_REG_DIF,'1' AS ID_EXEC, CURRENT_TIMESTAMP() AS TIME_EXEC FROM (SELECT entty_id, add_fld07 FROM BU_LOANTAPE_WORK.LT003_ENTITY WHERE ref_date='${ref_date}' AND nome_perimetro='Individual Local' AND segmento='ESTR' AND ambito='SRB_MBDT' AND entidade='00100')X INNER JOIN (SELECT entty_id AS entty_id_SIMUL, add_fld07 AS add_fld07_SIMUL FROM BU_LOANTAPE_WORK.SIMUL_LT003_ENTITY WHERE ref_date='${ref_date}' AND nome_perimetro='Individual Local' AND segmento='ESTR' AND ambito='PILAR3' AND entidade='00100')Y ON X.ENTTY_ID=Y.ENTTY_ID_SIMUL</v>
      </c>
      <c r="M463" s="36" t="str">
        <f t="shared" si="10"/>
        <v>UNION ALL SELECT 'ENTITY' AS TABELA, 'COERÊNCIA' AS TIPOLOGIA_TESTE,'BU_LOANTAPE_WORK.LT003_ENTITY' AS TABELA_LT,'BU_LOANTAPE_WORK.SIMUL_LT003_ENTITY' AS TABELA_SIMUL,'add_fld07' AS CAMPO, '${ref_date}' AS REF_DATE, COUNT(*) AS NUM_REG, SUM(IF(COALESCE(CAST(X.add_fld07 AS STRING),'')&lt;&gt;COALESCE(CAST(Y.add_fld07_SIMUL AS STRING),'') OR (X.add_fld07 IS NULL AND Y.add_fld07_SIMUL IS NOT NULL ) OR (X.add_fld07 IS NOT NULL AND Y.add_fld07_SIMUL IS NULL),1,0)) AS NUM_REG_DIF,'1' AS ID_EXEC, CURRENT_TIMESTAMP() AS TIME_EXEC FROM (SELECT entty_id, add_fld07 FROM BU_LOANTAPE_WORK.LT003_ENTITY WHERE ref_date='${ref_date}' AND nome_perimetro='Individual Local' AND segmento='ESTR' AND ambito='SRB_MBDT' AND entidade='00100')X INNER JOIN (SELECT entty_id AS entty_id_SIMUL, add_fld07 AS add_fld07_SIMUL FROM BU_LOANTAPE_WORK.SIMUL_LT003_ENTITY WHERE ref_date='${ref_date}' AND nome_perimetro='Individual Local' AND segmento='ESTR' AND ambito='PILAR3' AND entidade='00100')Y ON X.ENTTY_ID=Y.ENTTY_ID_SIMUL</v>
      </c>
    </row>
    <row r="464" spans="2:13">
      <c r="B464" s="34" t="s">
        <v>118</v>
      </c>
      <c r="C464" s="34" t="s">
        <v>5</v>
      </c>
      <c r="D464" s="34" t="str">
        <f>+UPPER('0. Instruções'!$D$35&amp;"."&amp;VLOOKUP(B464,'0. Instruções'!$C$27:$D$32,2,FALSE))</f>
        <v>BU_LOANTAPE_WORK.LT003_ENTITY</v>
      </c>
      <c r="E464" s="34" t="str">
        <f>+UPPER('0. Instruções'!$D$36&amp;"."&amp;VLOOKUP(B464,'0. Instruções'!$C$27:$E$32,3,FALSE))</f>
        <v>BU_LOANTAPE_WORK.SIMUL_LT003_ENTITY</v>
      </c>
      <c r="F464" s="34" t="s">
        <v>1252</v>
      </c>
      <c r="G464" s="34"/>
      <c r="H464" s="34"/>
      <c r="I464" s="34" t="str">
        <f>"(SELECT "&amp;VLOOKUP(B464,'0. Instruções'!$C$27:$G$32,4,FALSE)&amp;", "&amp;F464&amp;" FROM "&amp;D464&amp;" WHERE "&amp;'0. Instruções'!$D$42&amp;")X"</f>
        <v>(SELECT entty_id, add_fld08 FROM BU_LOANTAPE_WORK.LT003_ENTITY WHERE ref_date='${ref_date}' AND nome_perimetro='Individual Local' AND segmento='ESTR' AND ambito='SRB_MBDT' AND entidade='00100')X</v>
      </c>
      <c r="J464" s="34" t="str">
        <f>"(SELECT "&amp;VLOOKUP(B464,'0. Instruções'!$C$27:$G$32,4,FALSE)&amp;" AS "&amp;VLOOKUP(B464,'0. Instruções'!$C$27:$G$32,4,FALSE)&amp;"_SIMUL, "&amp;F464&amp;" AS "&amp;F464&amp;"_SIMUL FROM "&amp;E464&amp;" WHERE "&amp;'0. Instruções'!$D$43&amp;")Y"</f>
        <v>(SELECT entty_id AS entty_id_SIMUL, add_fld08 AS add_fld08_SIMUL FROM BU_LOANTAPE_WORK.SIMUL_LT003_ENTITY WHERE ref_date='${ref_date}' AND nome_perimetro='Individual Local' AND segmento='ESTR' AND ambito='PILAR3' AND entidade='00100')Y</v>
      </c>
      <c r="K464" s="35" t="str">
        <f>+UPPER("ON X."&amp;VLOOKUP(B464,'0. Instruções'!$C$27:$G$32,4,FALSE)&amp;"=Y."&amp;VLOOKUP(B464,'0. Instruções'!$C$27:$G$32,4,FALSE)&amp;"_SIMUL")</f>
        <v>ON X.ENTTY_ID=Y.ENTTY_ID_SIMUL</v>
      </c>
      <c r="L464" s="35" t="str">
        <f>+IF(C464="Coerência", +IF(LEFT(G464,5)="FLOAT","SELECT '"&amp;UPPER(B464)&amp;"' AS TABELA, '"&amp;UPPER(C464)&amp;"' AS TIPOLOGIA_TESTE,'"&amp;D464&amp;"' AS TABELA_LT,'"&amp;E464&amp;"' AS TABELA_SIMUL,'"&amp;F464&amp;"' AS CAMPO, "&amp;"'${ref_date}' AS REF_DATE, COUNT(*) AS NUM_REG, SUM(IF((ABS(COALESCE(CAST(X."&amp;F464&amp;" AS DECIMAL(18,6)),0)-COALESCE(CAST(Y."&amp;F464&amp;"_SIMUL AS DECIMAL(18,6)),0))&gt;0.000001) OR (X."&amp;F464&amp;" IS NULL AND Y."&amp;F464&amp;"_SIMUL IS NOT NULL ) OR (X."&amp;F464&amp;" IS NOT NULL AND Y."&amp;F464&amp;"_SIMUL IS NULL),1,0)) AS NUM_REG_DIF,'"&amp;MAX('ID1&amp;5'!K:K)+1&amp;"' AS ID_EXEC, CURRENT_TIMESTAMP() AS TIME_EXEC FROM "&amp;I464&amp;" INNER JOIN "&amp;J464&amp;" "&amp;K464,"SELECT '"&amp;UPPER(B464)&amp;"' AS TABELA, '"&amp;UPPER(C464)&amp;"' AS TIPOLOGIA_TESTE,'"&amp;D464&amp;"' AS TABELA_LT,'"&amp;E464&amp;"' AS TABELA_SIMUL,'"&amp;F464&amp;"' AS CAMPO, "&amp;"'${ref_date}' AS REF_DATE, COUNT(*) AS NUM_REG, SUM(IF(COALESCE(CAST(X."&amp;F464&amp;" AS STRING),'')&lt;&gt;COALESCE(CAST(Y."&amp;F464&amp;"_SIMUL AS STRING),'') OR (X."&amp;F464&amp;" IS NULL AND Y."&amp;F464&amp;"_SIMUL IS NOT NULL ) OR (X."&amp;F464&amp;" IS NOT NULL AND Y."&amp;F464&amp;"_SIMUL IS NULL),1,0)) AS NUM_REG_DIF,'"&amp;MAX('ID1&amp;5'!L:L)+1&amp;"' AS ID_EXEC, CURRENT_TIMESTAMP() AS TIME_EXEC FROM "&amp;I464&amp;" INNER JOIN "&amp;J464&amp;" "&amp;K464),
IF(C464="Validade",+IF(G464="Code List","SELECT '"&amp;UPPER(B464)&amp;"' AS TABELA, '"&amp;UPPER(C464)&amp;"' AS TIPOLOGIA_TESTE,'"&amp;D464&amp;"' AS TABELA_LT,'N/A' AS TABELA_SIMUL,'"&amp;F464&amp;"' AS CAMPO, "&amp;"'${ref_date}' AS REF_DATE, COUNT(*) AS NUM_REG, SUM(IF(TRIM(CAST(X."&amp;F464&amp;" AS STRING))='' OR TRIM(CAST(X."&amp;F464&amp;" AS STRING)) IS NULL OR CAST(X."&amp;F464&amp;" AS STRING) NOT "&amp;H464&amp;",1,0)) AS NUM_REG_DIF,'"&amp;MAX('ID1&amp;5'!K:K)+1&amp;"' AS ID_EXEC, CURRENT_TIMESTAMP() AS TIME_EXEC FROM "&amp;I464,"SELECT '"&amp;UPPER(B464)&amp;"' AS TABELA, '"&amp;UPPER(C464)&amp;"' AS TIPOLOGIA_TESTE,'"&amp;D464&amp;"' AS TABELA_LT,'N/A' AS TABELA_SIMUL,'"&amp;F464&amp;"' AS CAMPO, "&amp;"'${ref_date}' AS REF_DATE, COUNT(*) AS NUM_REG, SUM(IF(TRIM(CAST(X."&amp;F464&amp;" AS STRING))='' OR TRIM(CAST(X."&amp;F464&amp;" AS STRING)) IS NULL,1,0)) AS NUM_REG_DIF,'"&amp;MAX('ID1&amp;5'!K:K)+1&amp;"' AS ID_EXEC, CURRENT_TIMESTAMP() AS TIME_EXEC FROM "&amp;I464),
IF(C464="Caracteres Especiais",+"SELECT '"&amp;UPPER(B464)&amp;"' AS TABELA, '"&amp;UPPER(C464)&amp;"' AS TIPOLOGIA_TESTE,'"&amp;D464&amp;"' AS TABELA_LT,'N/A' AS TABELA_SIMUL,'"&amp;F464&amp;"' AS CAMPO, "&amp;"'${ref_date}' AS REF_DATE, COUNT(*) AS NUM_REG, SUM(IF(REGEXP_REPLACE(TRIM(CAST(X."&amp;F464&amp;" AS STRING)),'[^a-zA-Z0-9_\\s]','') &lt;&gt;TRIM(CAST(X."&amp;F464&amp;" AS STRING)),1,0)) AS NUM_REG_DIF,'"&amp;MAX('ID1&amp;5'!K:K)+1&amp;"' AS ID_EXEC, CURRENT_TIMESTAMP() AS TIME_EXEC FROM "&amp;I464,
IF(C464="Missings",+"SELECT '"&amp;UPPER(B464)&amp;"' AS TABELA, '"&amp;UPPER(C464)&amp;"' AS TIPOLOGIA_TESTE,'"&amp;D464&amp;"' AS TABELA_LT,'N/A' AS TABELA_SIMUL,'"&amp;F464&amp;"' AS CAMPO, "&amp;"'${ref_date}' AS REF_DATE, COUNT(*) AS NUM_REG, SUM(IF(TRIM(CAST(X."&amp;F464&amp;" AS STRING)) IN ('0000-00-00','0001-01-01','9999-12-31','MISS','00000','99999999999','99999999999.00','99999999999.000000'),1,0)) AS NUM_REG_DIF,'"&amp;MAX('ID1&amp;5'!K:K)+1&amp;"' AS ID_EXEC, CURRENT_TIMESTAMP() AS TIME_EXEC FROM "&amp;I464,
IF(C464="Not applicable",+"SELECT '"&amp;UPPER(B464)&amp;"' AS TABELA, '"&amp;UPPER(C464)&amp;"' AS TIPOLOGIA_TESTE,'"&amp;D464&amp;"' AS TABELA_LT,'N/A' AS TABELA_SIMUL,'"&amp;F464&amp;"' AS CAMPO, "&amp;"'${ref_date}' AS REF_DATE, COUNT(*) AS NUM_REG, SUM(IF(TRIM(CAST(X."&amp;F464&amp;" AS STRING)) IN ('N/A','11111111111','11111111111.00','11111111111.000000','1111-11-11'),1,0)) AS NUM_REG_DIF,'"&amp;MAX('ID1&amp;5'!K:K)+1&amp;"' AS ID_EXEC, CURRENT_TIMESTAMP() AS TIME_EXEC FROM "&amp;I464,
IF(C464="Valores extremos",+"SELECT '"&amp;UPPER(B464)&amp;"' AS TABELA, '"&amp;UPPER(C464)&amp;"' AS TIPOLOGIA_TESTE,'"&amp;D464&amp;"' AS TABELA_LT,'N/A' AS TABELA_SIMUL,'"&amp;F464&amp;"' AS CAMPO, "&amp;"'${ref_date}' AS REF_DATE, CAST(MIN("&amp;F464&amp;") AS STRING) AS VALOR_MIN, CAST(MAX("&amp;F464&amp;") AS STRING) AS VALOR_MAX,'"&amp;MAX('ID1&amp;5'!K:K)+1&amp;"' AS ID_EXEC, CURRENT_TIMESTAMP() AS TIME_EXEC FROM "&amp;MID(I464,1,LEN(I464)-2)&amp;" AND CAST("&amp;F464&amp;"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TABELA_SIMUL,'add_fld08' AS CAMPO, '${ref_date}' AS REF_DATE, COUNT(*) AS NUM_REG, SUM(IF(COALESCE(CAST(X.add_fld08 AS STRING),'')&lt;&gt;COALESCE(CAST(Y.add_fld08_SIMUL AS STRING),'') OR (X.add_fld08 IS NULL AND Y.add_fld08_SIMUL IS NOT NULL ) OR (X.add_fld08 IS NOT NULL AND Y.add_fld08_SIMUL IS NULL),1,0)) AS NUM_REG_DIF,'1' AS ID_EXEC, CURRENT_TIMESTAMP() AS TIME_EXEC FROM (SELECT entty_id, add_fld08 FROM BU_LOANTAPE_WORK.LT003_ENTITY WHERE ref_date='${ref_date}' AND nome_perimetro='Individual Local' AND segmento='ESTR' AND ambito='SRB_MBDT' AND entidade='00100')X INNER JOIN (SELECT entty_id AS entty_id_SIMUL, add_fld08 AS add_fld08_SIMUL FROM BU_LOANTAPE_WORK.SIMUL_LT003_ENTITY WHERE ref_date='${ref_date}' AND nome_perimetro='Individual Local' AND segmento='ESTR' AND ambito='PILAR3' AND entidade='00100')Y ON X.ENTTY_ID=Y.ENTTY_ID_SIMUL</v>
      </c>
      <c r="M464" s="36" t="str">
        <f t="shared" si="10"/>
        <v>UNION ALL SELECT 'ENTITY' AS TABELA, 'COERÊNCIA' AS TIPOLOGIA_TESTE,'BU_LOANTAPE_WORK.LT003_ENTITY' AS TABELA_LT,'BU_LOANTAPE_WORK.SIMUL_LT003_ENTITY' AS TABELA_SIMUL,'add_fld08' AS CAMPO, '${ref_date}' AS REF_DATE, COUNT(*) AS NUM_REG, SUM(IF(COALESCE(CAST(X.add_fld08 AS STRING),'')&lt;&gt;COALESCE(CAST(Y.add_fld08_SIMUL AS STRING),'') OR (X.add_fld08 IS NULL AND Y.add_fld08_SIMUL IS NOT NULL ) OR (X.add_fld08 IS NOT NULL AND Y.add_fld08_SIMUL IS NULL),1,0)) AS NUM_REG_DIF,'1' AS ID_EXEC, CURRENT_TIMESTAMP() AS TIME_EXEC FROM (SELECT entty_id, add_fld08 FROM BU_LOANTAPE_WORK.LT003_ENTITY WHERE ref_date='${ref_date}' AND nome_perimetro='Individual Local' AND segmento='ESTR' AND ambito='SRB_MBDT' AND entidade='00100')X INNER JOIN (SELECT entty_id AS entty_id_SIMUL, add_fld08 AS add_fld08_SIMUL FROM BU_LOANTAPE_WORK.SIMUL_LT003_ENTITY WHERE ref_date='${ref_date}' AND nome_perimetro='Individual Local' AND segmento='ESTR' AND ambito='PILAR3' AND entidade='00100')Y ON X.ENTTY_ID=Y.ENTTY_ID_SIMUL</v>
      </c>
    </row>
    <row r="465" spans="2:13">
      <c r="B465" s="34" t="s">
        <v>118</v>
      </c>
      <c r="C465" s="34" t="s">
        <v>5</v>
      </c>
      <c r="D465" s="34" t="str">
        <f>+UPPER('0. Instruções'!$D$35&amp;"."&amp;VLOOKUP(B465,'0. Instruções'!$C$27:$D$32,2,FALSE))</f>
        <v>BU_LOANTAPE_WORK.LT003_ENTITY</v>
      </c>
      <c r="E465" s="34" t="str">
        <f>+UPPER('0. Instruções'!$D$36&amp;"."&amp;VLOOKUP(B465,'0. Instruções'!$C$27:$E$32,3,FALSE))</f>
        <v>BU_LOANTAPE_WORK.SIMUL_LT003_ENTITY</v>
      </c>
      <c r="F465" s="34" t="s">
        <v>1253</v>
      </c>
      <c r="G465" s="34"/>
      <c r="H465" s="34"/>
      <c r="I465" s="34" t="str">
        <f>"(SELECT "&amp;VLOOKUP(B465,'0. Instruções'!$C$27:$G$32,4,FALSE)&amp;", "&amp;F465&amp;" FROM "&amp;D465&amp;" WHERE "&amp;'0. Instruções'!$D$42&amp;")X"</f>
        <v>(SELECT entty_id, add_fld09 FROM BU_LOANTAPE_WORK.LT003_ENTITY WHERE ref_date='${ref_date}' AND nome_perimetro='Individual Local' AND segmento='ESTR' AND ambito='SRB_MBDT' AND entidade='00100')X</v>
      </c>
      <c r="J465" s="34" t="str">
        <f>"(SELECT "&amp;VLOOKUP(B465,'0. Instruções'!$C$27:$G$32,4,FALSE)&amp;" AS "&amp;VLOOKUP(B465,'0. Instruções'!$C$27:$G$32,4,FALSE)&amp;"_SIMUL, "&amp;F465&amp;" AS "&amp;F465&amp;"_SIMUL FROM "&amp;E465&amp;" WHERE "&amp;'0. Instruções'!$D$43&amp;")Y"</f>
        <v>(SELECT entty_id AS entty_id_SIMUL, add_fld09 AS add_fld09_SIMUL FROM BU_LOANTAPE_WORK.SIMUL_LT003_ENTITY WHERE ref_date='${ref_date}' AND nome_perimetro='Individual Local' AND segmento='ESTR' AND ambito='PILAR3' AND entidade='00100')Y</v>
      </c>
      <c r="K465" s="35" t="str">
        <f>+UPPER("ON X."&amp;VLOOKUP(B465,'0. Instruções'!$C$27:$G$32,4,FALSE)&amp;"=Y."&amp;VLOOKUP(B465,'0. Instruções'!$C$27:$G$32,4,FALSE)&amp;"_SIMUL")</f>
        <v>ON X.ENTTY_ID=Y.ENTTY_ID_SIMUL</v>
      </c>
      <c r="L465" s="35" t="str">
        <f>+IF(C465="Coerência", +IF(LEFT(G465,5)="FLOAT","SELECT '"&amp;UPPER(B465)&amp;"' AS TABELA, '"&amp;UPPER(C465)&amp;"' AS TIPOLOGIA_TESTE,'"&amp;D465&amp;"' AS TABELA_LT,'"&amp;E465&amp;"' AS TABELA_SIMUL,'"&amp;F465&amp;"' AS CAMPO, "&amp;"'${ref_date}' AS REF_DATE, COUNT(*) AS NUM_REG, SUM(IF((ABS(COALESCE(CAST(X."&amp;F465&amp;" AS DECIMAL(18,6)),0)-COALESCE(CAST(Y."&amp;F465&amp;"_SIMUL AS DECIMAL(18,6)),0))&gt;0.000001) OR (X."&amp;F465&amp;" IS NULL AND Y."&amp;F465&amp;"_SIMUL IS NOT NULL ) OR (X."&amp;F465&amp;" IS NOT NULL AND Y."&amp;F465&amp;"_SIMUL IS NULL),1,0)) AS NUM_REG_DIF,'"&amp;MAX('ID1&amp;5'!K:K)+1&amp;"' AS ID_EXEC, CURRENT_TIMESTAMP() AS TIME_EXEC FROM "&amp;I465&amp;" INNER JOIN "&amp;J465&amp;" "&amp;K465,"SELECT '"&amp;UPPER(B465)&amp;"' AS TABELA, '"&amp;UPPER(C465)&amp;"' AS TIPOLOGIA_TESTE,'"&amp;D465&amp;"' AS TABELA_LT,'"&amp;E465&amp;"' AS TABELA_SIMUL,'"&amp;F465&amp;"' AS CAMPO, "&amp;"'${ref_date}' AS REF_DATE, COUNT(*) AS NUM_REG, SUM(IF(COALESCE(CAST(X."&amp;F465&amp;" AS STRING),'')&lt;&gt;COALESCE(CAST(Y."&amp;F465&amp;"_SIMUL AS STRING),'') OR (X."&amp;F465&amp;" IS NULL AND Y."&amp;F465&amp;"_SIMUL IS NOT NULL ) OR (X."&amp;F465&amp;" IS NOT NULL AND Y."&amp;F465&amp;"_SIMUL IS NULL),1,0)) AS NUM_REG_DIF,'"&amp;MAX('ID1&amp;5'!L:L)+1&amp;"' AS ID_EXEC, CURRENT_TIMESTAMP() AS TIME_EXEC FROM "&amp;I465&amp;" INNER JOIN "&amp;J465&amp;" "&amp;K465),
IF(C465="Validade",+IF(G465="Code List","SELECT '"&amp;UPPER(B465)&amp;"' AS TABELA, '"&amp;UPPER(C465)&amp;"' AS TIPOLOGIA_TESTE,'"&amp;D465&amp;"' AS TABELA_LT,'N/A' AS TABELA_SIMUL,'"&amp;F465&amp;"' AS CAMPO, "&amp;"'${ref_date}' AS REF_DATE, COUNT(*) AS NUM_REG, SUM(IF(TRIM(CAST(X."&amp;F465&amp;" AS STRING))='' OR TRIM(CAST(X."&amp;F465&amp;" AS STRING)) IS NULL OR CAST(X."&amp;F465&amp;" AS STRING) NOT "&amp;H465&amp;",1,0)) AS NUM_REG_DIF,'"&amp;MAX('ID1&amp;5'!K:K)+1&amp;"' AS ID_EXEC, CURRENT_TIMESTAMP() AS TIME_EXEC FROM "&amp;I465,"SELECT '"&amp;UPPER(B465)&amp;"' AS TABELA, '"&amp;UPPER(C465)&amp;"' AS TIPOLOGIA_TESTE,'"&amp;D465&amp;"' AS TABELA_LT,'N/A' AS TABELA_SIMUL,'"&amp;F465&amp;"' AS CAMPO, "&amp;"'${ref_date}' AS REF_DATE, COUNT(*) AS NUM_REG, SUM(IF(TRIM(CAST(X."&amp;F465&amp;" AS STRING))='' OR TRIM(CAST(X."&amp;F465&amp;" AS STRING)) IS NULL,1,0)) AS NUM_REG_DIF,'"&amp;MAX('ID1&amp;5'!K:K)+1&amp;"' AS ID_EXEC, CURRENT_TIMESTAMP() AS TIME_EXEC FROM "&amp;I465),
IF(C465="Caracteres Especiais",+"SELECT '"&amp;UPPER(B465)&amp;"' AS TABELA, '"&amp;UPPER(C465)&amp;"' AS TIPOLOGIA_TESTE,'"&amp;D465&amp;"' AS TABELA_LT,'N/A' AS TABELA_SIMUL,'"&amp;F465&amp;"' AS CAMPO, "&amp;"'${ref_date}' AS REF_DATE, COUNT(*) AS NUM_REG, SUM(IF(REGEXP_REPLACE(TRIM(CAST(X."&amp;F465&amp;" AS STRING)),'[^a-zA-Z0-9_\\s]','') &lt;&gt;TRIM(CAST(X."&amp;F465&amp;" AS STRING)),1,0)) AS NUM_REG_DIF,'"&amp;MAX('ID1&amp;5'!K:K)+1&amp;"' AS ID_EXEC, CURRENT_TIMESTAMP() AS TIME_EXEC FROM "&amp;I465,
IF(C465="Missings",+"SELECT '"&amp;UPPER(B465)&amp;"' AS TABELA, '"&amp;UPPER(C465)&amp;"' AS TIPOLOGIA_TESTE,'"&amp;D465&amp;"' AS TABELA_LT,'N/A' AS TABELA_SIMUL,'"&amp;F465&amp;"' AS CAMPO, "&amp;"'${ref_date}' AS REF_DATE, COUNT(*) AS NUM_REG, SUM(IF(TRIM(CAST(X."&amp;F465&amp;" AS STRING)) IN ('0000-00-00','0001-01-01','9999-12-31','MISS','00000','99999999999','99999999999.00','99999999999.000000'),1,0)) AS NUM_REG_DIF,'"&amp;MAX('ID1&amp;5'!K:K)+1&amp;"' AS ID_EXEC, CURRENT_TIMESTAMP() AS TIME_EXEC FROM "&amp;I465,
IF(C465="Not applicable",+"SELECT '"&amp;UPPER(B465)&amp;"' AS TABELA, '"&amp;UPPER(C465)&amp;"' AS TIPOLOGIA_TESTE,'"&amp;D465&amp;"' AS TABELA_LT,'N/A' AS TABELA_SIMUL,'"&amp;F465&amp;"' AS CAMPO, "&amp;"'${ref_date}' AS REF_DATE, COUNT(*) AS NUM_REG, SUM(IF(TRIM(CAST(X."&amp;F465&amp;" AS STRING)) IN ('N/A','11111111111','11111111111.00','11111111111.000000','1111-11-11'),1,0)) AS NUM_REG_DIF,'"&amp;MAX('ID1&amp;5'!K:K)+1&amp;"' AS ID_EXEC, CURRENT_TIMESTAMP() AS TIME_EXEC FROM "&amp;I465,
IF(C465="Valores extremos",+"SELECT '"&amp;UPPER(B465)&amp;"' AS TABELA, '"&amp;UPPER(C465)&amp;"' AS TIPOLOGIA_TESTE,'"&amp;D465&amp;"' AS TABELA_LT,'N/A' AS TABELA_SIMUL,'"&amp;F465&amp;"' AS CAMPO, "&amp;"'${ref_date}' AS REF_DATE, CAST(MIN("&amp;F465&amp;") AS STRING) AS VALOR_MIN, CAST(MAX("&amp;F465&amp;") AS STRING) AS VALOR_MAX,'"&amp;MAX('ID1&amp;5'!K:K)+1&amp;"' AS ID_EXEC, CURRENT_TIMESTAMP() AS TIME_EXEC FROM "&amp;MID(I465,1,LEN(I465)-2)&amp;" AND CAST("&amp;F465&amp;"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TABELA_SIMUL,'add_fld09' AS CAMPO, '${ref_date}' AS REF_DATE, COUNT(*) AS NUM_REG, SUM(IF(COALESCE(CAST(X.add_fld09 AS STRING),'')&lt;&gt;COALESCE(CAST(Y.add_fld09_SIMUL AS STRING),'') OR (X.add_fld09 IS NULL AND Y.add_fld09_SIMUL IS NOT NULL ) OR (X.add_fld09 IS NOT NULL AND Y.add_fld09_SIMUL IS NULL),1,0)) AS NUM_REG_DIF,'1' AS ID_EXEC, CURRENT_TIMESTAMP() AS TIME_EXEC FROM (SELECT entty_id, add_fld09 FROM BU_LOANTAPE_WORK.LT003_ENTITY WHERE ref_date='${ref_date}' AND nome_perimetro='Individual Local' AND segmento='ESTR' AND ambito='SRB_MBDT' AND entidade='00100')X INNER JOIN (SELECT entty_id AS entty_id_SIMUL, add_fld09 AS add_fld09_SIMUL FROM BU_LOANTAPE_WORK.SIMUL_LT003_ENTITY WHERE ref_date='${ref_date}' AND nome_perimetro='Individual Local' AND segmento='ESTR' AND ambito='PILAR3' AND entidade='00100')Y ON X.ENTTY_ID=Y.ENTTY_ID_SIMUL</v>
      </c>
      <c r="M465" s="36" t="str">
        <f t="shared" si="10"/>
        <v>UNION ALL SELECT 'ENTITY' AS TABELA, 'COERÊNCIA' AS TIPOLOGIA_TESTE,'BU_LOANTAPE_WORK.LT003_ENTITY' AS TABELA_LT,'BU_LOANTAPE_WORK.SIMUL_LT003_ENTITY' AS TABELA_SIMUL,'add_fld09' AS CAMPO, '${ref_date}' AS REF_DATE, COUNT(*) AS NUM_REG, SUM(IF(COALESCE(CAST(X.add_fld09 AS STRING),'')&lt;&gt;COALESCE(CAST(Y.add_fld09_SIMUL AS STRING),'') OR (X.add_fld09 IS NULL AND Y.add_fld09_SIMUL IS NOT NULL ) OR (X.add_fld09 IS NOT NULL AND Y.add_fld09_SIMUL IS NULL),1,0)) AS NUM_REG_DIF,'1' AS ID_EXEC, CURRENT_TIMESTAMP() AS TIME_EXEC FROM (SELECT entty_id, add_fld09 FROM BU_LOANTAPE_WORK.LT003_ENTITY WHERE ref_date='${ref_date}' AND nome_perimetro='Individual Local' AND segmento='ESTR' AND ambito='SRB_MBDT' AND entidade='00100')X INNER JOIN (SELECT entty_id AS entty_id_SIMUL, add_fld09 AS add_fld09_SIMUL FROM BU_LOANTAPE_WORK.SIMUL_LT003_ENTITY WHERE ref_date='${ref_date}' AND nome_perimetro='Individual Local' AND segmento='ESTR' AND ambito='PILAR3' AND entidade='00100')Y ON X.ENTTY_ID=Y.ENTTY_ID_SIMUL</v>
      </c>
    </row>
    <row r="466" spans="2:13">
      <c r="B466" s="34" t="s">
        <v>118</v>
      </c>
      <c r="C466" s="34" t="s">
        <v>5</v>
      </c>
      <c r="D466" s="34" t="str">
        <f>+UPPER('0. Instruções'!$D$35&amp;"."&amp;VLOOKUP(B466,'0. Instruções'!$C$27:$D$32,2,FALSE))</f>
        <v>BU_LOANTAPE_WORK.LT003_ENTITY</v>
      </c>
      <c r="E466" s="34" t="str">
        <f>+UPPER('0. Instruções'!$D$36&amp;"."&amp;VLOOKUP(B466,'0. Instruções'!$C$27:$E$32,3,FALSE))</f>
        <v>BU_LOANTAPE_WORK.SIMUL_LT003_ENTITY</v>
      </c>
      <c r="F466" s="34" t="s">
        <v>1254</v>
      </c>
      <c r="G466" s="34"/>
      <c r="H466" s="34"/>
      <c r="I466" s="34" t="str">
        <f>"(SELECT "&amp;VLOOKUP(B466,'0. Instruções'!$C$27:$G$32,4,FALSE)&amp;", "&amp;F466&amp;" FROM "&amp;D466&amp;" WHERE "&amp;'0. Instruções'!$D$42&amp;")X"</f>
        <v>(SELECT entty_id, add_fld10 FROM BU_LOANTAPE_WORK.LT003_ENTITY WHERE ref_date='${ref_date}' AND nome_perimetro='Individual Local' AND segmento='ESTR' AND ambito='SRB_MBDT' AND entidade='00100')X</v>
      </c>
      <c r="J466" s="34" t="str">
        <f>"(SELECT "&amp;VLOOKUP(B466,'0. Instruções'!$C$27:$G$32,4,FALSE)&amp;" AS "&amp;VLOOKUP(B466,'0. Instruções'!$C$27:$G$32,4,FALSE)&amp;"_SIMUL, "&amp;F466&amp;" AS "&amp;F466&amp;"_SIMUL FROM "&amp;E466&amp;" WHERE "&amp;'0. Instruções'!$D$43&amp;")Y"</f>
        <v>(SELECT entty_id AS entty_id_SIMUL, add_fld10 AS add_fld10_SIMUL FROM BU_LOANTAPE_WORK.SIMUL_LT003_ENTITY WHERE ref_date='${ref_date}' AND nome_perimetro='Individual Local' AND segmento='ESTR' AND ambito='PILAR3' AND entidade='00100')Y</v>
      </c>
      <c r="K466" s="35" t="str">
        <f>+UPPER("ON X."&amp;VLOOKUP(B466,'0. Instruções'!$C$27:$G$32,4,FALSE)&amp;"=Y."&amp;VLOOKUP(B466,'0. Instruções'!$C$27:$G$32,4,FALSE)&amp;"_SIMUL")</f>
        <v>ON X.ENTTY_ID=Y.ENTTY_ID_SIMUL</v>
      </c>
      <c r="L466" s="35" t="str">
        <f>+IF(C466="Coerência", +IF(LEFT(G466,5)="FLOAT","SELECT '"&amp;UPPER(B466)&amp;"' AS TABELA, '"&amp;UPPER(C466)&amp;"' AS TIPOLOGIA_TESTE,'"&amp;D466&amp;"' AS TABELA_LT,'"&amp;E466&amp;"' AS TABELA_SIMUL,'"&amp;F466&amp;"' AS CAMPO, "&amp;"'${ref_date}' AS REF_DATE, COUNT(*) AS NUM_REG, SUM(IF((ABS(COALESCE(CAST(X."&amp;F466&amp;" AS DECIMAL(18,6)),0)-COALESCE(CAST(Y."&amp;F466&amp;"_SIMUL AS DECIMAL(18,6)),0))&gt;0.000001) OR (X."&amp;F466&amp;" IS NULL AND Y."&amp;F466&amp;"_SIMUL IS NOT NULL ) OR (X."&amp;F466&amp;" IS NOT NULL AND Y."&amp;F466&amp;"_SIMUL IS NULL),1,0)) AS NUM_REG_DIF,'"&amp;MAX('ID1&amp;5'!K:K)+1&amp;"' AS ID_EXEC, CURRENT_TIMESTAMP() AS TIME_EXEC FROM "&amp;I466&amp;" INNER JOIN "&amp;J466&amp;" "&amp;K466,"SELECT '"&amp;UPPER(B466)&amp;"' AS TABELA, '"&amp;UPPER(C466)&amp;"' AS TIPOLOGIA_TESTE,'"&amp;D466&amp;"' AS TABELA_LT,'"&amp;E466&amp;"' AS TABELA_SIMUL,'"&amp;F466&amp;"' AS CAMPO, "&amp;"'${ref_date}' AS REF_DATE, COUNT(*) AS NUM_REG, SUM(IF(COALESCE(CAST(X."&amp;F466&amp;" AS STRING),'')&lt;&gt;COALESCE(CAST(Y."&amp;F466&amp;"_SIMUL AS STRING),'') OR (X."&amp;F466&amp;" IS NULL AND Y."&amp;F466&amp;"_SIMUL IS NOT NULL ) OR (X."&amp;F466&amp;" IS NOT NULL AND Y."&amp;F466&amp;"_SIMUL IS NULL),1,0)) AS NUM_REG_DIF,'"&amp;MAX('ID1&amp;5'!L:L)+1&amp;"' AS ID_EXEC, CURRENT_TIMESTAMP() AS TIME_EXEC FROM "&amp;I466&amp;" INNER JOIN "&amp;J466&amp;" "&amp;K466),
IF(C466="Validade",+IF(G466="Code List","SELECT '"&amp;UPPER(B466)&amp;"' AS TABELA, '"&amp;UPPER(C466)&amp;"' AS TIPOLOGIA_TESTE,'"&amp;D466&amp;"' AS TABELA_LT,'N/A' AS TABELA_SIMUL,'"&amp;F466&amp;"' AS CAMPO, "&amp;"'${ref_date}' AS REF_DATE, COUNT(*) AS NUM_REG, SUM(IF(TRIM(CAST(X."&amp;F466&amp;" AS STRING))='' OR TRIM(CAST(X."&amp;F466&amp;" AS STRING)) IS NULL OR CAST(X."&amp;F466&amp;" AS STRING) NOT "&amp;H466&amp;",1,0)) AS NUM_REG_DIF,'"&amp;MAX('ID1&amp;5'!K:K)+1&amp;"' AS ID_EXEC, CURRENT_TIMESTAMP() AS TIME_EXEC FROM "&amp;I466,"SELECT '"&amp;UPPER(B466)&amp;"' AS TABELA, '"&amp;UPPER(C466)&amp;"' AS TIPOLOGIA_TESTE,'"&amp;D466&amp;"' AS TABELA_LT,'N/A' AS TABELA_SIMUL,'"&amp;F466&amp;"' AS CAMPO, "&amp;"'${ref_date}' AS REF_DATE, COUNT(*) AS NUM_REG, SUM(IF(TRIM(CAST(X."&amp;F466&amp;" AS STRING))='' OR TRIM(CAST(X."&amp;F466&amp;" AS STRING)) IS NULL,1,0)) AS NUM_REG_DIF,'"&amp;MAX('ID1&amp;5'!K:K)+1&amp;"' AS ID_EXEC, CURRENT_TIMESTAMP() AS TIME_EXEC FROM "&amp;I466),
IF(C466="Caracteres Especiais",+"SELECT '"&amp;UPPER(B466)&amp;"' AS TABELA, '"&amp;UPPER(C466)&amp;"' AS TIPOLOGIA_TESTE,'"&amp;D466&amp;"' AS TABELA_LT,'N/A' AS TABELA_SIMUL,'"&amp;F466&amp;"' AS CAMPO, "&amp;"'${ref_date}' AS REF_DATE, COUNT(*) AS NUM_REG, SUM(IF(REGEXP_REPLACE(TRIM(CAST(X."&amp;F466&amp;" AS STRING)),'[^a-zA-Z0-9_\\s]','') &lt;&gt;TRIM(CAST(X."&amp;F466&amp;" AS STRING)),1,0)) AS NUM_REG_DIF,'"&amp;MAX('ID1&amp;5'!K:K)+1&amp;"' AS ID_EXEC, CURRENT_TIMESTAMP() AS TIME_EXEC FROM "&amp;I466,
IF(C466="Missings",+"SELECT '"&amp;UPPER(B466)&amp;"' AS TABELA, '"&amp;UPPER(C466)&amp;"' AS TIPOLOGIA_TESTE,'"&amp;D466&amp;"' AS TABELA_LT,'N/A' AS TABELA_SIMUL,'"&amp;F466&amp;"' AS CAMPO, "&amp;"'${ref_date}' AS REF_DATE, COUNT(*) AS NUM_REG, SUM(IF(TRIM(CAST(X."&amp;F466&amp;" AS STRING)) IN ('0000-00-00','0001-01-01','9999-12-31','MISS','00000','99999999999','99999999999.00','99999999999.000000'),1,0)) AS NUM_REG_DIF,'"&amp;MAX('ID1&amp;5'!K:K)+1&amp;"' AS ID_EXEC, CURRENT_TIMESTAMP() AS TIME_EXEC FROM "&amp;I466,
IF(C466="Not applicable",+"SELECT '"&amp;UPPER(B466)&amp;"' AS TABELA, '"&amp;UPPER(C466)&amp;"' AS TIPOLOGIA_TESTE,'"&amp;D466&amp;"' AS TABELA_LT,'N/A' AS TABELA_SIMUL,'"&amp;F466&amp;"' AS CAMPO, "&amp;"'${ref_date}' AS REF_DATE, COUNT(*) AS NUM_REG, SUM(IF(TRIM(CAST(X."&amp;F466&amp;" AS STRING)) IN ('N/A','11111111111','11111111111.00','11111111111.000000','1111-11-11'),1,0)) AS NUM_REG_DIF,'"&amp;MAX('ID1&amp;5'!K:K)+1&amp;"' AS ID_EXEC, CURRENT_TIMESTAMP() AS TIME_EXEC FROM "&amp;I466,
IF(C466="Valores extremos",+"SELECT '"&amp;UPPER(B466)&amp;"' AS TABELA, '"&amp;UPPER(C466)&amp;"' AS TIPOLOGIA_TESTE,'"&amp;D466&amp;"' AS TABELA_LT,'N/A' AS TABELA_SIMUL,'"&amp;F466&amp;"' AS CAMPO, "&amp;"'${ref_date}' AS REF_DATE, CAST(MIN("&amp;F466&amp;") AS STRING) AS VALOR_MIN, CAST(MAX("&amp;F466&amp;") AS STRING) AS VALOR_MAX,'"&amp;MAX('ID1&amp;5'!K:K)+1&amp;"' AS ID_EXEC, CURRENT_TIMESTAMP() AS TIME_EXEC FROM "&amp;MID(I466,1,LEN(I466)-2)&amp;" AND CAST("&amp;F466&amp;"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TABELA_SIMUL,'add_fld10' AS CAMPO, '${ref_date}' AS REF_DATE, COUNT(*) AS NUM_REG, SUM(IF(COALESCE(CAST(X.add_fld10 AS STRING),'')&lt;&gt;COALESCE(CAST(Y.add_fld10_SIMUL AS STRING),'') OR (X.add_fld10 IS NULL AND Y.add_fld10_SIMUL IS NOT NULL ) OR (X.add_fld10 IS NOT NULL AND Y.add_fld10_SIMUL IS NULL),1,0)) AS NUM_REG_DIF,'1' AS ID_EXEC, CURRENT_TIMESTAMP() AS TIME_EXEC FROM (SELECT entty_id, add_fld10 FROM BU_LOANTAPE_WORK.LT003_ENTITY WHERE ref_date='${ref_date}' AND nome_perimetro='Individual Local' AND segmento='ESTR' AND ambito='SRB_MBDT' AND entidade='00100')X INNER JOIN (SELECT entty_id AS entty_id_SIMUL, add_fld10 AS add_fld10_SIMUL FROM BU_LOANTAPE_WORK.SIMUL_LT003_ENTITY WHERE ref_date='${ref_date}' AND nome_perimetro='Individual Local' AND segmento='ESTR' AND ambito='PILAR3' AND entidade='00100')Y ON X.ENTTY_ID=Y.ENTTY_ID_SIMUL</v>
      </c>
      <c r="M466" s="36" t="str">
        <f t="shared" si="10"/>
        <v>UNION ALL SELECT 'ENTITY' AS TABELA, 'COERÊNCIA' AS TIPOLOGIA_TESTE,'BU_LOANTAPE_WORK.LT003_ENTITY' AS TABELA_LT,'BU_LOANTAPE_WORK.SIMUL_LT003_ENTITY' AS TABELA_SIMUL,'add_fld10' AS CAMPO, '${ref_date}' AS REF_DATE, COUNT(*) AS NUM_REG, SUM(IF(COALESCE(CAST(X.add_fld10 AS STRING),'')&lt;&gt;COALESCE(CAST(Y.add_fld10_SIMUL AS STRING),'') OR (X.add_fld10 IS NULL AND Y.add_fld10_SIMUL IS NOT NULL ) OR (X.add_fld10 IS NOT NULL AND Y.add_fld10_SIMUL IS NULL),1,0)) AS NUM_REG_DIF,'1' AS ID_EXEC, CURRENT_TIMESTAMP() AS TIME_EXEC FROM (SELECT entty_id, add_fld10 FROM BU_LOANTAPE_WORK.LT003_ENTITY WHERE ref_date='${ref_date}' AND nome_perimetro='Individual Local' AND segmento='ESTR' AND ambito='SRB_MBDT' AND entidade='00100')X INNER JOIN (SELECT entty_id AS entty_id_SIMUL, add_fld10 AS add_fld10_SIMUL FROM BU_LOANTAPE_WORK.SIMUL_LT003_ENTITY WHERE ref_date='${ref_date}' AND nome_perimetro='Individual Local' AND segmento='ESTR' AND ambito='PILAR3' AND entidade='00100')Y ON X.ENTTY_ID=Y.ENTTY_ID_SIMUL</v>
      </c>
    </row>
    <row r="467" spans="2:13">
      <c r="B467" s="34" t="s">
        <v>118</v>
      </c>
      <c r="C467" s="34" t="s">
        <v>5</v>
      </c>
      <c r="D467" s="34" t="str">
        <f>+UPPER('0. Instruções'!$D$35&amp;"."&amp;VLOOKUP(B467,'0. Instruções'!$C$27:$D$32,2,FALSE))</f>
        <v>BU_LOANTAPE_WORK.LT003_ENTITY</v>
      </c>
      <c r="E467" s="34" t="str">
        <f>+UPPER('0. Instruções'!$D$36&amp;"."&amp;VLOOKUP(B467,'0. Instruções'!$C$27:$E$32,3,FALSE))</f>
        <v>BU_LOANTAPE_WORK.SIMUL_LT003_ENTITY</v>
      </c>
      <c r="F467" s="34" t="s">
        <v>1475</v>
      </c>
      <c r="G467" s="34"/>
      <c r="H467" s="34"/>
      <c r="I467" s="34" t="str">
        <f>"(SELECT "&amp;VLOOKUP(B467,'0. Instruções'!$C$27:$G$32,4,FALSE)&amp;", "&amp;F467&amp;" FROM "&amp;D467&amp;" WHERE "&amp;'0. Instruções'!$D$42&amp;")X"</f>
        <v>(SELECT entty_id, flg_nn_accrl FROM BU_LOANTAPE_WORK.LT003_ENTITY WHERE ref_date='${ref_date}' AND nome_perimetro='Individual Local' AND segmento='ESTR' AND ambito='SRB_MBDT' AND entidade='00100')X</v>
      </c>
      <c r="J467" s="34" t="str">
        <f>"(SELECT "&amp;VLOOKUP(B467,'0. Instruções'!$C$27:$G$32,4,FALSE)&amp;" AS "&amp;VLOOKUP(B467,'0. Instruções'!$C$27:$G$32,4,FALSE)&amp;"_SIMUL, "&amp;F467&amp;" AS "&amp;F467&amp;"_SIMUL FROM "&amp;E467&amp;" WHERE "&amp;'0. Instruções'!$D$43&amp;")Y"</f>
        <v>(SELECT entty_id AS entty_id_SIMUL, flg_nn_accrl AS flg_nn_accrl_SIMUL FROM BU_LOANTAPE_WORK.SIMUL_LT003_ENTITY WHERE ref_date='${ref_date}' AND nome_perimetro='Individual Local' AND segmento='ESTR' AND ambito='PILAR3' AND entidade='00100')Y</v>
      </c>
      <c r="K467" s="35" t="str">
        <f>+UPPER("ON X."&amp;VLOOKUP(B467,'0. Instruções'!$C$27:$G$32,4,FALSE)&amp;"=Y."&amp;VLOOKUP(B467,'0. Instruções'!$C$27:$G$32,4,FALSE)&amp;"_SIMUL")</f>
        <v>ON X.ENTTY_ID=Y.ENTTY_ID_SIMUL</v>
      </c>
      <c r="L467" s="35" t="str">
        <f>+IF(C467="Coerência", +IF(LEFT(G467,5)="FLOAT","SELECT '"&amp;UPPER(B467)&amp;"' AS TABELA, '"&amp;UPPER(C467)&amp;"' AS TIPOLOGIA_TESTE,'"&amp;D467&amp;"' AS TABELA_LT,'"&amp;E467&amp;"' AS TABELA_SIMUL,'"&amp;F467&amp;"' AS CAMPO, "&amp;"'${ref_date}' AS REF_DATE, COUNT(*) AS NUM_REG, SUM(IF((ABS(COALESCE(CAST(X."&amp;F467&amp;" AS DECIMAL(18,6)),0)-COALESCE(CAST(Y."&amp;F467&amp;"_SIMUL AS DECIMAL(18,6)),0))&gt;0.000001) OR (X."&amp;F467&amp;" IS NULL AND Y."&amp;F467&amp;"_SIMUL IS NOT NULL ) OR (X."&amp;F467&amp;" IS NOT NULL AND Y."&amp;F467&amp;"_SIMUL IS NULL),1,0)) AS NUM_REG_DIF,'"&amp;MAX('ID1&amp;5'!K:K)+1&amp;"' AS ID_EXEC, CURRENT_TIMESTAMP() AS TIME_EXEC FROM "&amp;I467&amp;" INNER JOIN "&amp;J467&amp;" "&amp;K467,"SELECT '"&amp;UPPER(B467)&amp;"' AS TABELA, '"&amp;UPPER(C467)&amp;"' AS TIPOLOGIA_TESTE,'"&amp;D467&amp;"' AS TABELA_LT,'"&amp;E467&amp;"' AS TABELA_SIMUL,'"&amp;F467&amp;"' AS CAMPO, "&amp;"'${ref_date}' AS REF_DATE, COUNT(*) AS NUM_REG, SUM(IF(COALESCE(CAST(X."&amp;F467&amp;" AS STRING),'')&lt;&gt;COALESCE(CAST(Y."&amp;F467&amp;"_SIMUL AS STRING),'') OR (X."&amp;F467&amp;" IS NULL AND Y."&amp;F467&amp;"_SIMUL IS NOT NULL ) OR (X."&amp;F467&amp;" IS NOT NULL AND Y."&amp;F467&amp;"_SIMUL IS NULL),1,0)) AS NUM_REG_DIF,'"&amp;MAX('ID1&amp;5'!L:L)+1&amp;"' AS ID_EXEC, CURRENT_TIMESTAMP() AS TIME_EXEC FROM "&amp;I467&amp;" INNER JOIN "&amp;J467&amp;" "&amp;K467),
IF(C467="Validade",+IF(G467="Code List","SELECT '"&amp;UPPER(B467)&amp;"' AS TABELA, '"&amp;UPPER(C467)&amp;"' AS TIPOLOGIA_TESTE,'"&amp;D467&amp;"' AS TABELA_LT,'N/A' AS TABELA_SIMUL,'"&amp;F467&amp;"' AS CAMPO, "&amp;"'${ref_date}' AS REF_DATE, COUNT(*) AS NUM_REG, SUM(IF(TRIM(CAST(X."&amp;F467&amp;" AS STRING))='' OR TRIM(CAST(X."&amp;F467&amp;" AS STRING)) IS NULL OR CAST(X."&amp;F467&amp;" AS STRING) NOT "&amp;H467&amp;",1,0)) AS NUM_REG_DIF,'"&amp;MAX('ID1&amp;5'!K:K)+1&amp;"' AS ID_EXEC, CURRENT_TIMESTAMP() AS TIME_EXEC FROM "&amp;I467,"SELECT '"&amp;UPPER(B467)&amp;"' AS TABELA, '"&amp;UPPER(C467)&amp;"' AS TIPOLOGIA_TESTE,'"&amp;D467&amp;"' AS TABELA_LT,'N/A' AS TABELA_SIMUL,'"&amp;F467&amp;"' AS CAMPO, "&amp;"'${ref_date}' AS REF_DATE, COUNT(*) AS NUM_REG, SUM(IF(TRIM(CAST(X."&amp;F467&amp;" AS STRING))='' OR TRIM(CAST(X."&amp;F467&amp;" AS STRING)) IS NULL,1,0)) AS NUM_REG_DIF,'"&amp;MAX('ID1&amp;5'!K:K)+1&amp;"' AS ID_EXEC, CURRENT_TIMESTAMP() AS TIME_EXEC FROM "&amp;I467),
IF(C467="Caracteres Especiais",+"SELECT '"&amp;UPPER(B467)&amp;"' AS TABELA, '"&amp;UPPER(C467)&amp;"' AS TIPOLOGIA_TESTE,'"&amp;D467&amp;"' AS TABELA_LT,'N/A' AS TABELA_SIMUL,'"&amp;F467&amp;"' AS CAMPO, "&amp;"'${ref_date}' AS REF_DATE, COUNT(*) AS NUM_REG, SUM(IF(REGEXP_REPLACE(TRIM(CAST(X."&amp;F467&amp;" AS STRING)),'[^a-zA-Z0-9_\\s]','') &lt;&gt;TRIM(CAST(X."&amp;F467&amp;" AS STRING)),1,0)) AS NUM_REG_DIF,'"&amp;MAX('ID1&amp;5'!K:K)+1&amp;"' AS ID_EXEC, CURRENT_TIMESTAMP() AS TIME_EXEC FROM "&amp;I467,
IF(C467="Missings",+"SELECT '"&amp;UPPER(B467)&amp;"' AS TABELA, '"&amp;UPPER(C467)&amp;"' AS TIPOLOGIA_TESTE,'"&amp;D467&amp;"' AS TABELA_LT,'N/A' AS TABELA_SIMUL,'"&amp;F467&amp;"' AS CAMPO, "&amp;"'${ref_date}' AS REF_DATE, COUNT(*) AS NUM_REG, SUM(IF(TRIM(CAST(X."&amp;F467&amp;" AS STRING)) IN ('0000-00-00','0001-01-01','9999-12-31','MISS','00000','99999999999','99999999999.00','99999999999.000000'),1,0)) AS NUM_REG_DIF,'"&amp;MAX('ID1&amp;5'!K:K)+1&amp;"' AS ID_EXEC, CURRENT_TIMESTAMP() AS TIME_EXEC FROM "&amp;I467,
IF(C467="Not applicable",+"SELECT '"&amp;UPPER(B467)&amp;"' AS TABELA, '"&amp;UPPER(C467)&amp;"' AS TIPOLOGIA_TESTE,'"&amp;D467&amp;"' AS TABELA_LT,'N/A' AS TABELA_SIMUL,'"&amp;F467&amp;"' AS CAMPO, "&amp;"'${ref_date}' AS REF_DATE, COUNT(*) AS NUM_REG, SUM(IF(TRIM(CAST(X."&amp;F467&amp;" AS STRING)) IN ('N/A','11111111111','11111111111.00','11111111111.000000','1111-11-11'),1,0)) AS NUM_REG_DIF,'"&amp;MAX('ID1&amp;5'!K:K)+1&amp;"' AS ID_EXEC, CURRENT_TIMESTAMP() AS TIME_EXEC FROM "&amp;I467,
IF(C467="Valores extremos",+"SELECT '"&amp;UPPER(B467)&amp;"' AS TABELA, '"&amp;UPPER(C467)&amp;"' AS TIPOLOGIA_TESTE,'"&amp;D467&amp;"' AS TABELA_LT,'N/A' AS TABELA_SIMUL,'"&amp;F467&amp;"' AS CAMPO, "&amp;"'${ref_date}' AS REF_DATE, CAST(MIN("&amp;F467&amp;") AS STRING) AS VALOR_MIN, CAST(MAX("&amp;F467&amp;") AS STRING) AS VALOR_MAX,'"&amp;MAX('ID1&amp;5'!K:K)+1&amp;"' AS ID_EXEC, CURRENT_TIMESTAMP() AS TIME_EXEC FROM "&amp;MID(I467,1,LEN(I467)-2)&amp;" AND CAST("&amp;F467&amp;"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TABELA_SIMUL,'flg_nn_accrl' AS CAMPO, '${ref_date}' AS REF_DATE, COUNT(*) AS NUM_REG, SUM(IF(COALESCE(CAST(X.flg_nn_accrl AS STRING),'')&lt;&gt;COALESCE(CAST(Y.flg_nn_accrl_SIMUL AS STRING),'') OR (X.flg_nn_accrl IS NULL AND Y.flg_nn_accrl_SIMUL IS NOT NULL ) OR (X.flg_nn_accrl IS NOT NULL AND Y.flg_nn_accrl_SIMUL IS NULL),1,0)) AS NUM_REG_DIF,'1' AS ID_EXEC, CURRENT_TIMESTAMP() AS TIME_EXEC FROM (SELECT entty_id, flg_nn_accrl FROM BU_LOANTAPE_WORK.LT003_ENTITY WHERE ref_date='${ref_date}' AND nome_perimetro='Individual Local' AND segmento='ESTR' AND ambito='SRB_MBDT' AND entidade='00100')X INNER JOIN (SELECT entty_id AS entty_id_SIMUL, flg_nn_accrl AS flg_nn_accrl_SIMUL FROM BU_LOANTAPE_WORK.SIMUL_LT003_ENTITY WHERE ref_date='${ref_date}' AND nome_perimetro='Individual Local' AND segmento='ESTR' AND ambito='PILAR3' AND entidade='00100')Y ON X.ENTTY_ID=Y.ENTTY_ID_SIMUL</v>
      </c>
      <c r="M467" s="36" t="str">
        <f t="shared" si="10"/>
        <v>UNION ALL SELECT 'ENTITY' AS TABELA, 'COERÊNCIA' AS TIPOLOGIA_TESTE,'BU_LOANTAPE_WORK.LT003_ENTITY' AS TABELA_LT,'BU_LOANTAPE_WORK.SIMUL_LT003_ENTITY' AS TABELA_SIMUL,'flg_nn_accrl' AS CAMPO, '${ref_date}' AS REF_DATE, COUNT(*) AS NUM_REG, SUM(IF(COALESCE(CAST(X.flg_nn_accrl AS STRING),'')&lt;&gt;COALESCE(CAST(Y.flg_nn_accrl_SIMUL AS STRING),'') OR (X.flg_nn_accrl IS NULL AND Y.flg_nn_accrl_SIMUL IS NOT NULL ) OR (X.flg_nn_accrl IS NOT NULL AND Y.flg_nn_accrl_SIMUL IS NULL),1,0)) AS NUM_REG_DIF,'1' AS ID_EXEC, CURRENT_TIMESTAMP() AS TIME_EXEC FROM (SELECT entty_id, flg_nn_accrl FROM BU_LOANTAPE_WORK.LT003_ENTITY WHERE ref_date='${ref_date}' AND nome_perimetro='Individual Local' AND segmento='ESTR' AND ambito='SRB_MBDT' AND entidade='00100')X INNER JOIN (SELECT entty_id AS entty_id_SIMUL, flg_nn_accrl AS flg_nn_accrl_SIMUL FROM BU_LOANTAPE_WORK.SIMUL_LT003_ENTITY WHERE ref_date='${ref_date}' AND nome_perimetro='Individual Local' AND segmento='ESTR' AND ambito='PILAR3' AND entidade='00100')Y ON X.ENTTY_ID=Y.ENTTY_ID_SIMUL</v>
      </c>
    </row>
    <row r="468" spans="2:13">
      <c r="B468" s="34" t="s">
        <v>118</v>
      </c>
      <c r="C468" s="34" t="s">
        <v>5</v>
      </c>
      <c r="D468" s="34" t="str">
        <f>+UPPER('0. Instruções'!$D$35&amp;"."&amp;VLOOKUP(B468,'0. Instruções'!$C$27:$D$32,2,FALSE))</f>
        <v>BU_LOANTAPE_WORK.LT003_ENTITY</v>
      </c>
      <c r="E468" s="34" t="str">
        <f>+UPPER('0. Instruções'!$D$36&amp;"."&amp;VLOOKUP(B468,'0. Instruções'!$C$27:$E$32,3,FALSE))</f>
        <v>BU_LOANTAPE_WORK.SIMUL_LT003_ENTITY</v>
      </c>
      <c r="F468" s="34" t="s">
        <v>1476</v>
      </c>
      <c r="G468" s="34"/>
      <c r="H468" s="34"/>
      <c r="I468" s="34" t="str">
        <f>"(SELECT "&amp;VLOOKUP(B468,'0. Instruções'!$C$27:$G$32,4,FALSE)&amp;", "&amp;F468&amp;" FROM "&amp;D468&amp;" WHERE "&amp;'0. Instruções'!$D$42&amp;")X"</f>
        <v>(SELECT entty_id, tax_id FROM BU_LOANTAPE_WORK.LT003_ENTITY WHERE ref_date='${ref_date}' AND nome_perimetro='Individual Local' AND segmento='ESTR' AND ambito='SRB_MBDT' AND entidade='00100')X</v>
      </c>
      <c r="J468" s="34" t="str">
        <f>"(SELECT "&amp;VLOOKUP(B468,'0. Instruções'!$C$27:$G$32,4,FALSE)&amp;" AS "&amp;VLOOKUP(B468,'0. Instruções'!$C$27:$G$32,4,FALSE)&amp;"_SIMUL, "&amp;F468&amp;" AS "&amp;F468&amp;"_SIMUL FROM "&amp;E468&amp;" WHERE "&amp;'0. Instruções'!$D$43&amp;")Y"</f>
        <v>(SELECT entty_id AS entty_id_SIMUL, tax_id AS tax_id_SIMUL FROM BU_LOANTAPE_WORK.SIMUL_LT003_ENTITY WHERE ref_date='${ref_date}' AND nome_perimetro='Individual Local' AND segmento='ESTR' AND ambito='PILAR3' AND entidade='00100')Y</v>
      </c>
      <c r="K468" s="35" t="str">
        <f>+UPPER("ON X."&amp;VLOOKUP(B468,'0. Instruções'!$C$27:$G$32,4,FALSE)&amp;"=Y."&amp;VLOOKUP(B468,'0. Instruções'!$C$27:$G$32,4,FALSE)&amp;"_SIMUL")</f>
        <v>ON X.ENTTY_ID=Y.ENTTY_ID_SIMUL</v>
      </c>
      <c r="L468" s="35" t="str">
        <f>+IF(C468="Coerência", +IF(LEFT(G468,5)="FLOAT","SELECT '"&amp;UPPER(B468)&amp;"' AS TABELA, '"&amp;UPPER(C468)&amp;"' AS TIPOLOGIA_TESTE,'"&amp;D468&amp;"' AS TABELA_LT,'"&amp;E468&amp;"' AS TABELA_SIMUL,'"&amp;F468&amp;"' AS CAMPO, "&amp;"'${ref_date}' AS REF_DATE, COUNT(*) AS NUM_REG, SUM(IF((ABS(COALESCE(CAST(X."&amp;F468&amp;" AS DECIMAL(18,6)),0)-COALESCE(CAST(Y."&amp;F468&amp;"_SIMUL AS DECIMAL(18,6)),0))&gt;0.000001) OR (X."&amp;F468&amp;" IS NULL AND Y."&amp;F468&amp;"_SIMUL IS NOT NULL ) OR (X."&amp;F468&amp;" IS NOT NULL AND Y."&amp;F468&amp;"_SIMUL IS NULL),1,0)) AS NUM_REG_DIF,'"&amp;MAX('ID1&amp;5'!K:K)+1&amp;"' AS ID_EXEC, CURRENT_TIMESTAMP() AS TIME_EXEC FROM "&amp;I468&amp;" INNER JOIN "&amp;J468&amp;" "&amp;K468,"SELECT '"&amp;UPPER(B468)&amp;"' AS TABELA, '"&amp;UPPER(C468)&amp;"' AS TIPOLOGIA_TESTE,'"&amp;D468&amp;"' AS TABELA_LT,'"&amp;E468&amp;"' AS TABELA_SIMUL,'"&amp;F468&amp;"' AS CAMPO, "&amp;"'${ref_date}' AS REF_DATE, COUNT(*) AS NUM_REG, SUM(IF(COALESCE(CAST(X."&amp;F468&amp;" AS STRING),'')&lt;&gt;COALESCE(CAST(Y."&amp;F468&amp;"_SIMUL AS STRING),'') OR (X."&amp;F468&amp;" IS NULL AND Y."&amp;F468&amp;"_SIMUL IS NOT NULL ) OR (X."&amp;F468&amp;" IS NOT NULL AND Y."&amp;F468&amp;"_SIMUL IS NULL),1,0)) AS NUM_REG_DIF,'"&amp;MAX('ID1&amp;5'!L:L)+1&amp;"' AS ID_EXEC, CURRENT_TIMESTAMP() AS TIME_EXEC FROM "&amp;I468&amp;" INNER JOIN "&amp;J468&amp;" "&amp;K468),
IF(C468="Validade",+IF(G468="Code List","SELECT '"&amp;UPPER(B468)&amp;"' AS TABELA, '"&amp;UPPER(C468)&amp;"' AS TIPOLOGIA_TESTE,'"&amp;D468&amp;"' AS TABELA_LT,'N/A' AS TABELA_SIMUL,'"&amp;F468&amp;"' AS CAMPO, "&amp;"'${ref_date}' AS REF_DATE, COUNT(*) AS NUM_REG, SUM(IF(TRIM(CAST(X."&amp;F468&amp;" AS STRING))='' OR TRIM(CAST(X."&amp;F468&amp;" AS STRING)) IS NULL OR CAST(X."&amp;F468&amp;" AS STRING) NOT "&amp;H468&amp;",1,0)) AS NUM_REG_DIF,'"&amp;MAX('ID1&amp;5'!K:K)+1&amp;"' AS ID_EXEC, CURRENT_TIMESTAMP() AS TIME_EXEC FROM "&amp;I468,"SELECT '"&amp;UPPER(B468)&amp;"' AS TABELA, '"&amp;UPPER(C468)&amp;"' AS TIPOLOGIA_TESTE,'"&amp;D468&amp;"' AS TABELA_LT,'N/A' AS TABELA_SIMUL,'"&amp;F468&amp;"' AS CAMPO, "&amp;"'${ref_date}' AS REF_DATE, COUNT(*) AS NUM_REG, SUM(IF(TRIM(CAST(X."&amp;F468&amp;" AS STRING))='' OR TRIM(CAST(X."&amp;F468&amp;" AS STRING)) IS NULL,1,0)) AS NUM_REG_DIF,'"&amp;MAX('ID1&amp;5'!K:K)+1&amp;"' AS ID_EXEC, CURRENT_TIMESTAMP() AS TIME_EXEC FROM "&amp;I468),
IF(C468="Caracteres Especiais",+"SELECT '"&amp;UPPER(B468)&amp;"' AS TABELA, '"&amp;UPPER(C468)&amp;"' AS TIPOLOGIA_TESTE,'"&amp;D468&amp;"' AS TABELA_LT,'N/A' AS TABELA_SIMUL,'"&amp;F468&amp;"' AS CAMPO, "&amp;"'${ref_date}' AS REF_DATE, COUNT(*) AS NUM_REG, SUM(IF(REGEXP_REPLACE(TRIM(CAST(X."&amp;F468&amp;" AS STRING)),'[^a-zA-Z0-9_\\s]','') &lt;&gt;TRIM(CAST(X."&amp;F468&amp;" AS STRING)),1,0)) AS NUM_REG_DIF,'"&amp;MAX('ID1&amp;5'!K:K)+1&amp;"' AS ID_EXEC, CURRENT_TIMESTAMP() AS TIME_EXEC FROM "&amp;I468,
IF(C468="Missings",+"SELECT '"&amp;UPPER(B468)&amp;"' AS TABELA, '"&amp;UPPER(C468)&amp;"' AS TIPOLOGIA_TESTE,'"&amp;D468&amp;"' AS TABELA_LT,'N/A' AS TABELA_SIMUL,'"&amp;F468&amp;"' AS CAMPO, "&amp;"'${ref_date}' AS REF_DATE, COUNT(*) AS NUM_REG, SUM(IF(TRIM(CAST(X."&amp;F468&amp;" AS STRING)) IN ('0000-00-00','0001-01-01','9999-12-31','MISS','00000','99999999999','99999999999.00','99999999999.000000'),1,0)) AS NUM_REG_DIF,'"&amp;MAX('ID1&amp;5'!K:K)+1&amp;"' AS ID_EXEC, CURRENT_TIMESTAMP() AS TIME_EXEC FROM "&amp;I468,
IF(C468="Not applicable",+"SELECT '"&amp;UPPER(B468)&amp;"' AS TABELA, '"&amp;UPPER(C468)&amp;"' AS TIPOLOGIA_TESTE,'"&amp;D468&amp;"' AS TABELA_LT,'N/A' AS TABELA_SIMUL,'"&amp;F468&amp;"' AS CAMPO, "&amp;"'${ref_date}' AS REF_DATE, COUNT(*) AS NUM_REG, SUM(IF(TRIM(CAST(X."&amp;F468&amp;" AS STRING)) IN ('N/A','11111111111','11111111111.00','11111111111.000000','1111-11-11'),1,0)) AS NUM_REG_DIF,'"&amp;MAX('ID1&amp;5'!K:K)+1&amp;"' AS ID_EXEC, CURRENT_TIMESTAMP() AS TIME_EXEC FROM "&amp;I468,
IF(C468="Valores extremos",+"SELECT '"&amp;UPPER(B468)&amp;"' AS TABELA, '"&amp;UPPER(C468)&amp;"' AS TIPOLOGIA_TESTE,'"&amp;D468&amp;"' AS TABELA_LT,'N/A' AS TABELA_SIMUL,'"&amp;F468&amp;"' AS CAMPO, "&amp;"'${ref_date}' AS REF_DATE, CAST(MIN("&amp;F468&amp;") AS STRING) AS VALOR_MIN, CAST(MAX("&amp;F468&amp;") AS STRING) AS VALOR_MAX,'"&amp;MAX('ID1&amp;5'!K:K)+1&amp;"' AS ID_EXEC, CURRENT_TIMESTAMP() AS TIME_EXEC FROM "&amp;MID(I468,1,LEN(I468)-2)&amp;" AND CAST("&amp;F468&amp;"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TABELA_SIMUL,'tax_id' AS CAMPO, '${ref_date}' AS REF_DATE, COUNT(*) AS NUM_REG, SUM(IF(COALESCE(CAST(X.tax_id AS STRING),'')&lt;&gt;COALESCE(CAST(Y.tax_id_SIMUL AS STRING),'') OR (X.tax_id IS NULL AND Y.tax_id_SIMUL IS NOT NULL ) OR (X.tax_id IS NOT NULL AND Y.tax_id_SIMUL IS NULL),1,0)) AS NUM_REG_DIF,'1' AS ID_EXEC, CURRENT_TIMESTAMP() AS TIME_EXEC FROM (SELECT entty_id, tax_id FROM BU_LOANTAPE_WORK.LT003_ENTITY WHERE ref_date='${ref_date}' AND nome_perimetro='Individual Local' AND segmento='ESTR' AND ambito='SRB_MBDT' AND entidade='00100')X INNER JOIN (SELECT entty_id AS entty_id_SIMUL, tax_id AS tax_id_SIMUL FROM BU_LOANTAPE_WORK.SIMUL_LT003_ENTITY WHERE ref_date='${ref_date}' AND nome_perimetro='Individual Local' AND segmento='ESTR' AND ambito='PILAR3' AND entidade='00100')Y ON X.ENTTY_ID=Y.ENTTY_ID_SIMUL</v>
      </c>
      <c r="M468" s="36" t="str">
        <f t="shared" si="10"/>
        <v>UNION ALL SELECT 'ENTITY' AS TABELA, 'COERÊNCIA' AS TIPOLOGIA_TESTE,'BU_LOANTAPE_WORK.LT003_ENTITY' AS TABELA_LT,'BU_LOANTAPE_WORK.SIMUL_LT003_ENTITY' AS TABELA_SIMUL,'tax_id' AS CAMPO, '${ref_date}' AS REF_DATE, COUNT(*) AS NUM_REG, SUM(IF(COALESCE(CAST(X.tax_id AS STRING),'')&lt;&gt;COALESCE(CAST(Y.tax_id_SIMUL AS STRING),'') OR (X.tax_id IS NULL AND Y.tax_id_SIMUL IS NOT NULL ) OR (X.tax_id IS NOT NULL AND Y.tax_id_SIMUL IS NULL),1,0)) AS NUM_REG_DIF,'1' AS ID_EXEC, CURRENT_TIMESTAMP() AS TIME_EXEC FROM (SELECT entty_id, tax_id FROM BU_LOANTAPE_WORK.LT003_ENTITY WHERE ref_date='${ref_date}' AND nome_perimetro='Individual Local' AND segmento='ESTR' AND ambito='SRB_MBDT' AND entidade='00100')X INNER JOIN (SELECT entty_id AS entty_id_SIMUL, tax_id AS tax_id_SIMUL FROM BU_LOANTAPE_WORK.SIMUL_LT003_ENTITY WHERE ref_date='${ref_date}' AND nome_perimetro='Individual Local' AND segmento='ESTR' AND ambito='PILAR3' AND entidade='00100')Y ON X.ENTTY_ID=Y.ENTTY_ID_SIMUL</v>
      </c>
    </row>
    <row r="469" spans="2:13">
      <c r="B469" s="34" t="s">
        <v>118</v>
      </c>
      <c r="C469" s="34" t="s">
        <v>5</v>
      </c>
      <c r="D469" s="34" t="str">
        <f>+UPPER('0. Instruções'!$D$35&amp;"."&amp;VLOOKUP(B469,'0. Instruções'!$C$27:$D$32,2,FALSE))</f>
        <v>BU_LOANTAPE_WORK.LT003_ENTITY</v>
      </c>
      <c r="E469" s="34" t="str">
        <f>+UPPER('0. Instruções'!$D$36&amp;"."&amp;VLOOKUP(B469,'0. Instruções'!$C$27:$E$32,3,FALSE))</f>
        <v>BU_LOANTAPE_WORK.SIMUL_LT003_ENTITY</v>
      </c>
      <c r="F469" s="34" t="s">
        <v>656</v>
      </c>
      <c r="G469" s="34"/>
      <c r="H469" s="34"/>
      <c r="I469" s="34" t="str">
        <f>"(SELECT "&amp;VLOOKUP(B469,'0. Instruções'!$C$27:$G$32,4,FALSE)&amp;", "&amp;F469&amp;" FROM "&amp;D469&amp;" WHERE "&amp;'0. Instruções'!$D$42&amp;")X"</f>
        <v>(SELECT entty_id, cod_soc FROM BU_LOANTAPE_WORK.LT003_ENTITY WHERE ref_date='${ref_date}' AND nome_perimetro='Individual Local' AND segmento='ESTR' AND ambito='SRB_MBDT' AND entidade='00100')X</v>
      </c>
      <c r="J469" s="34" t="str">
        <f>"(SELECT "&amp;VLOOKUP(B469,'0. Instruções'!$C$27:$G$32,4,FALSE)&amp;" AS "&amp;VLOOKUP(B469,'0. Instruções'!$C$27:$G$32,4,FALSE)&amp;"_SIMUL, "&amp;F469&amp;" AS "&amp;F469&amp;"_SIMUL FROM "&amp;E469&amp;" WHERE "&amp;'0. Instruções'!$D$43&amp;")Y"</f>
        <v>(SELECT entty_id AS entty_id_SIMUL, cod_soc AS cod_soc_SIMUL FROM BU_LOANTAPE_WORK.SIMUL_LT003_ENTITY WHERE ref_date='${ref_date}' AND nome_perimetro='Individual Local' AND segmento='ESTR' AND ambito='PILAR3' AND entidade='00100')Y</v>
      </c>
      <c r="K469" s="35" t="str">
        <f>+UPPER("ON X."&amp;VLOOKUP(B469,'0. Instruções'!$C$27:$G$32,4,FALSE)&amp;"=Y."&amp;VLOOKUP(B469,'0. Instruções'!$C$27:$G$32,4,FALSE)&amp;"_SIMUL")</f>
        <v>ON X.ENTTY_ID=Y.ENTTY_ID_SIMUL</v>
      </c>
      <c r="L469" s="35" t="str">
        <f>+IF(C469="Coerência", +IF(LEFT(G469,5)="FLOAT","SELECT '"&amp;UPPER(B469)&amp;"' AS TABELA, '"&amp;UPPER(C469)&amp;"' AS TIPOLOGIA_TESTE,'"&amp;D469&amp;"' AS TABELA_LT,'"&amp;E469&amp;"' AS TABELA_SIMUL,'"&amp;F469&amp;"' AS CAMPO, "&amp;"'${ref_date}' AS REF_DATE, COUNT(*) AS NUM_REG, SUM(IF((ABS(COALESCE(CAST(X."&amp;F469&amp;" AS DECIMAL(18,6)),0)-COALESCE(CAST(Y."&amp;F469&amp;"_SIMUL AS DECIMAL(18,6)),0))&gt;0.000001) OR (X."&amp;F469&amp;" IS NULL AND Y."&amp;F469&amp;"_SIMUL IS NOT NULL ) OR (X."&amp;F469&amp;" IS NOT NULL AND Y."&amp;F469&amp;"_SIMUL IS NULL),1,0)) AS NUM_REG_DIF,'"&amp;MAX('ID1&amp;5'!K:K)+1&amp;"' AS ID_EXEC, CURRENT_TIMESTAMP() AS TIME_EXEC FROM "&amp;I469&amp;" INNER JOIN "&amp;J469&amp;" "&amp;K469,"SELECT '"&amp;UPPER(B469)&amp;"' AS TABELA, '"&amp;UPPER(C469)&amp;"' AS TIPOLOGIA_TESTE,'"&amp;D469&amp;"' AS TABELA_LT,'"&amp;E469&amp;"' AS TABELA_SIMUL,'"&amp;F469&amp;"' AS CAMPO, "&amp;"'${ref_date}' AS REF_DATE, COUNT(*) AS NUM_REG, SUM(IF(COALESCE(CAST(X."&amp;F469&amp;" AS STRING),'')&lt;&gt;COALESCE(CAST(Y."&amp;F469&amp;"_SIMUL AS STRING),'') OR (X."&amp;F469&amp;" IS NULL AND Y."&amp;F469&amp;"_SIMUL IS NOT NULL ) OR (X."&amp;F469&amp;" IS NOT NULL AND Y."&amp;F469&amp;"_SIMUL IS NULL),1,0)) AS NUM_REG_DIF,'"&amp;MAX('ID1&amp;5'!L:L)+1&amp;"' AS ID_EXEC, CURRENT_TIMESTAMP() AS TIME_EXEC FROM "&amp;I469&amp;" INNER JOIN "&amp;J469&amp;" "&amp;K469),
IF(C469="Validade",+IF(G469="Code List","SELECT '"&amp;UPPER(B469)&amp;"' AS TABELA, '"&amp;UPPER(C469)&amp;"' AS TIPOLOGIA_TESTE,'"&amp;D469&amp;"' AS TABELA_LT,'N/A' AS TABELA_SIMUL,'"&amp;F469&amp;"' AS CAMPO, "&amp;"'${ref_date}' AS REF_DATE, COUNT(*) AS NUM_REG, SUM(IF(TRIM(CAST(X."&amp;F469&amp;" AS STRING))='' OR TRIM(CAST(X."&amp;F469&amp;" AS STRING)) IS NULL OR CAST(X."&amp;F469&amp;" AS STRING) NOT "&amp;H469&amp;",1,0)) AS NUM_REG_DIF,'"&amp;MAX('ID1&amp;5'!K:K)+1&amp;"' AS ID_EXEC, CURRENT_TIMESTAMP() AS TIME_EXEC FROM "&amp;I469,"SELECT '"&amp;UPPER(B469)&amp;"' AS TABELA, '"&amp;UPPER(C469)&amp;"' AS TIPOLOGIA_TESTE,'"&amp;D469&amp;"' AS TABELA_LT,'N/A' AS TABELA_SIMUL,'"&amp;F469&amp;"' AS CAMPO, "&amp;"'${ref_date}' AS REF_DATE, COUNT(*) AS NUM_REG, SUM(IF(TRIM(CAST(X."&amp;F469&amp;" AS STRING))='' OR TRIM(CAST(X."&amp;F469&amp;" AS STRING)) IS NULL,1,0)) AS NUM_REG_DIF,'"&amp;MAX('ID1&amp;5'!K:K)+1&amp;"' AS ID_EXEC, CURRENT_TIMESTAMP() AS TIME_EXEC FROM "&amp;I469),
IF(C469="Caracteres Especiais",+"SELECT '"&amp;UPPER(B469)&amp;"' AS TABELA, '"&amp;UPPER(C469)&amp;"' AS TIPOLOGIA_TESTE,'"&amp;D469&amp;"' AS TABELA_LT,'N/A' AS TABELA_SIMUL,'"&amp;F469&amp;"' AS CAMPO, "&amp;"'${ref_date}' AS REF_DATE, COUNT(*) AS NUM_REG, SUM(IF(REGEXP_REPLACE(TRIM(CAST(X."&amp;F469&amp;" AS STRING)),'[^a-zA-Z0-9_\\s]','') &lt;&gt;TRIM(CAST(X."&amp;F469&amp;" AS STRING)),1,0)) AS NUM_REG_DIF,'"&amp;MAX('ID1&amp;5'!K:K)+1&amp;"' AS ID_EXEC, CURRENT_TIMESTAMP() AS TIME_EXEC FROM "&amp;I469,
IF(C469="Missings",+"SELECT '"&amp;UPPER(B469)&amp;"' AS TABELA, '"&amp;UPPER(C469)&amp;"' AS TIPOLOGIA_TESTE,'"&amp;D469&amp;"' AS TABELA_LT,'N/A' AS TABELA_SIMUL,'"&amp;F469&amp;"' AS CAMPO, "&amp;"'${ref_date}' AS REF_DATE, COUNT(*) AS NUM_REG, SUM(IF(TRIM(CAST(X."&amp;F469&amp;" AS STRING)) IN ('0000-00-00','0001-01-01','9999-12-31','MISS','00000','99999999999','99999999999.00','99999999999.000000'),1,0)) AS NUM_REG_DIF,'"&amp;MAX('ID1&amp;5'!K:K)+1&amp;"' AS ID_EXEC, CURRENT_TIMESTAMP() AS TIME_EXEC FROM "&amp;I469,
IF(C469="Not applicable",+"SELECT '"&amp;UPPER(B469)&amp;"' AS TABELA, '"&amp;UPPER(C469)&amp;"' AS TIPOLOGIA_TESTE,'"&amp;D469&amp;"' AS TABELA_LT,'N/A' AS TABELA_SIMUL,'"&amp;F469&amp;"' AS CAMPO, "&amp;"'${ref_date}' AS REF_DATE, COUNT(*) AS NUM_REG, SUM(IF(TRIM(CAST(X."&amp;F469&amp;" AS STRING)) IN ('N/A','11111111111','11111111111.00','11111111111.000000','1111-11-11'),1,0)) AS NUM_REG_DIF,'"&amp;MAX('ID1&amp;5'!K:K)+1&amp;"' AS ID_EXEC, CURRENT_TIMESTAMP() AS TIME_EXEC FROM "&amp;I469,
IF(C469="Valores extremos",+"SELECT '"&amp;UPPER(B469)&amp;"' AS TABELA, '"&amp;UPPER(C469)&amp;"' AS TIPOLOGIA_TESTE,'"&amp;D469&amp;"' AS TABELA_LT,'N/A' AS TABELA_SIMUL,'"&amp;F469&amp;"' AS CAMPO, "&amp;"'${ref_date}' AS REF_DATE, CAST(MIN("&amp;F469&amp;") AS STRING) AS VALOR_MIN, CAST(MAX("&amp;F469&amp;") AS STRING) AS VALOR_MAX,'"&amp;MAX('ID1&amp;5'!K:K)+1&amp;"' AS ID_EXEC, CURRENT_TIMESTAMP() AS TIME_EXEC FROM "&amp;MID(I469,1,LEN(I469)-2)&amp;" AND CAST("&amp;F469&amp;"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entty_id, cod_soc FROM BU_LOANTAPE_WORK.LT003_ENTITY WHERE ref_date='${ref_date}' AND nome_perimetro='Individual Local' AND segmento='ESTR' AND ambito='SRB_MBDT' AND entidade='00100')X INNER JOIN (SELECT entty_id AS entty_id_SIMUL, cod_soc AS cod_soc_SIMUL FROM BU_LOANTAPE_WORK.SIMUL_LT003_ENTITY WHERE ref_date='${ref_date}' AND nome_perimetro='Individual Local' AND segmento='ESTR' AND ambito='PILAR3' AND entidade='00100')Y ON X.ENTTY_ID=Y.ENTTY_ID_SIMUL</v>
      </c>
      <c r="M469" s="36" t="str">
        <f t="shared" si="10"/>
        <v>UNION ALL SELECT 'ENTITY' AS TABELA, 'COERÊNCIA' AS TIPOLOGIA_TESTE,'BU_LOANTAPE_WORK.LT003_ENTITY' AS TABELA_LT,'BU_LOANTAPE_WORK.SIMUL_LT003_ENTITY'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entty_id, cod_soc FROM BU_LOANTAPE_WORK.LT003_ENTITY WHERE ref_date='${ref_date}' AND nome_perimetro='Individual Local' AND segmento='ESTR' AND ambito='SRB_MBDT' AND entidade='00100')X INNER JOIN (SELECT entty_id AS entty_id_SIMUL, cod_soc AS cod_soc_SIMUL FROM BU_LOANTAPE_WORK.SIMUL_LT003_ENTITY WHERE ref_date='${ref_date}' AND nome_perimetro='Individual Local' AND segmento='ESTR' AND ambito='PILAR3' AND entidade='00100')Y ON X.ENTTY_ID=Y.ENTTY_ID_SIMUL</v>
      </c>
    </row>
    <row r="470" spans="2:13">
      <c r="B470" s="34" t="s">
        <v>118</v>
      </c>
      <c r="C470" s="34" t="s">
        <v>5</v>
      </c>
      <c r="D470" s="34" t="str">
        <f>+UPPER('0. Instruções'!$D$35&amp;"."&amp;VLOOKUP(B470,'0. Instruções'!$C$27:$D$32,2,FALSE))</f>
        <v>BU_LOANTAPE_WORK.LT003_ENTITY</v>
      </c>
      <c r="E470" s="34" t="str">
        <f>+UPPER('0. Instruções'!$D$36&amp;"."&amp;VLOOKUP(B470,'0. Instruções'!$C$27:$E$32,3,FALSE))</f>
        <v>BU_LOANTAPE_WORK.SIMUL_LT003_ENTITY</v>
      </c>
      <c r="F470" s="34" t="s">
        <v>1477</v>
      </c>
      <c r="G470" s="34"/>
      <c r="H470" s="34"/>
      <c r="I470" s="34" t="str">
        <f>"(SELECT "&amp;VLOOKUP(B470,'0. Instruções'!$C$27:$G$32,4,FALSE)&amp;", "&amp;F470&amp;" FROM "&amp;D470&amp;" WHERE "&amp;'0. Instruções'!$D$42&amp;")X"</f>
        <v>(SELECT entty_id, annl_trnvr_le_bdr FROM BU_LOANTAPE_WORK.LT003_ENTITY WHERE ref_date='${ref_date}' AND nome_perimetro='Individual Local' AND segmento='ESTR' AND ambito='SRB_MBDT' AND entidade='00100')X</v>
      </c>
      <c r="J470" s="34" t="str">
        <f>"(SELECT "&amp;VLOOKUP(B470,'0. Instruções'!$C$27:$G$32,4,FALSE)&amp;" AS "&amp;VLOOKUP(B470,'0. Instruções'!$C$27:$G$32,4,FALSE)&amp;"_SIMUL, "&amp;F470&amp;" AS "&amp;F470&amp;"_SIMUL FROM "&amp;E470&amp;" WHERE "&amp;'0. Instruções'!$D$43&amp;")Y"</f>
        <v>(SELECT entty_id AS entty_id_SIMUL, annl_trnvr_le_bdr AS annl_trnvr_le_bdr_SIMUL FROM BU_LOANTAPE_WORK.SIMUL_LT003_ENTITY WHERE ref_date='${ref_date}' AND nome_perimetro='Individual Local' AND segmento='ESTR' AND ambito='PILAR3' AND entidade='00100')Y</v>
      </c>
      <c r="K470" s="35" t="str">
        <f>+UPPER("ON X."&amp;VLOOKUP(B470,'0. Instruções'!$C$27:$G$32,4,FALSE)&amp;"=Y."&amp;VLOOKUP(B470,'0. Instruções'!$C$27:$G$32,4,FALSE)&amp;"_SIMUL")</f>
        <v>ON X.ENTTY_ID=Y.ENTTY_ID_SIMUL</v>
      </c>
      <c r="L470" s="35" t="str">
        <f>+IF(C470="Coerência", +IF(LEFT(G470,5)="FLOAT","SELECT '"&amp;UPPER(B470)&amp;"' AS TABELA, '"&amp;UPPER(C470)&amp;"' AS TIPOLOGIA_TESTE,'"&amp;D470&amp;"' AS TABELA_LT,'"&amp;E470&amp;"' AS TABELA_SIMUL,'"&amp;F470&amp;"' AS CAMPO, "&amp;"'${ref_date}' AS REF_DATE, COUNT(*) AS NUM_REG, SUM(IF((ABS(COALESCE(CAST(X."&amp;F470&amp;" AS DECIMAL(18,6)),0)-COALESCE(CAST(Y."&amp;F470&amp;"_SIMUL AS DECIMAL(18,6)),0))&gt;0.000001) OR (X."&amp;F470&amp;" IS NULL AND Y."&amp;F470&amp;"_SIMUL IS NOT NULL ) OR (X."&amp;F470&amp;" IS NOT NULL AND Y."&amp;F470&amp;"_SIMUL IS NULL),1,0)) AS NUM_REG_DIF,'"&amp;MAX('ID1&amp;5'!K:K)+1&amp;"' AS ID_EXEC, CURRENT_TIMESTAMP() AS TIME_EXEC FROM "&amp;I470&amp;" INNER JOIN "&amp;J470&amp;" "&amp;K470,"SELECT '"&amp;UPPER(B470)&amp;"' AS TABELA, '"&amp;UPPER(C470)&amp;"' AS TIPOLOGIA_TESTE,'"&amp;D470&amp;"' AS TABELA_LT,'"&amp;E470&amp;"' AS TABELA_SIMUL,'"&amp;F470&amp;"' AS CAMPO, "&amp;"'${ref_date}' AS REF_DATE, COUNT(*) AS NUM_REG, SUM(IF(COALESCE(CAST(X."&amp;F470&amp;" AS STRING),'')&lt;&gt;COALESCE(CAST(Y."&amp;F470&amp;"_SIMUL AS STRING),'') OR (X."&amp;F470&amp;" IS NULL AND Y."&amp;F470&amp;"_SIMUL IS NOT NULL ) OR (X."&amp;F470&amp;" IS NOT NULL AND Y."&amp;F470&amp;"_SIMUL IS NULL),1,0)) AS NUM_REG_DIF,'"&amp;MAX('ID1&amp;5'!L:L)+1&amp;"' AS ID_EXEC, CURRENT_TIMESTAMP() AS TIME_EXEC FROM "&amp;I470&amp;" INNER JOIN "&amp;J470&amp;" "&amp;K470),
IF(C470="Validade",+IF(G470="Code List","SELECT '"&amp;UPPER(B470)&amp;"' AS TABELA, '"&amp;UPPER(C470)&amp;"' AS TIPOLOGIA_TESTE,'"&amp;D470&amp;"' AS TABELA_LT,'N/A' AS TABELA_SIMUL,'"&amp;F470&amp;"' AS CAMPO, "&amp;"'${ref_date}' AS REF_DATE, COUNT(*) AS NUM_REG, SUM(IF(TRIM(CAST(X."&amp;F470&amp;" AS STRING))='' OR TRIM(CAST(X."&amp;F470&amp;" AS STRING)) IS NULL OR CAST(X."&amp;F470&amp;" AS STRING) NOT "&amp;H470&amp;",1,0)) AS NUM_REG_DIF,'"&amp;MAX('ID1&amp;5'!K:K)+1&amp;"' AS ID_EXEC, CURRENT_TIMESTAMP() AS TIME_EXEC FROM "&amp;I470,"SELECT '"&amp;UPPER(B470)&amp;"' AS TABELA, '"&amp;UPPER(C470)&amp;"' AS TIPOLOGIA_TESTE,'"&amp;D470&amp;"' AS TABELA_LT,'N/A' AS TABELA_SIMUL,'"&amp;F470&amp;"' AS CAMPO, "&amp;"'${ref_date}' AS REF_DATE, COUNT(*) AS NUM_REG, SUM(IF(TRIM(CAST(X."&amp;F470&amp;" AS STRING))='' OR TRIM(CAST(X."&amp;F470&amp;" AS STRING)) IS NULL,1,0)) AS NUM_REG_DIF,'"&amp;MAX('ID1&amp;5'!K:K)+1&amp;"' AS ID_EXEC, CURRENT_TIMESTAMP() AS TIME_EXEC FROM "&amp;I470),
IF(C470="Caracteres Especiais",+"SELECT '"&amp;UPPER(B470)&amp;"' AS TABELA, '"&amp;UPPER(C470)&amp;"' AS TIPOLOGIA_TESTE,'"&amp;D470&amp;"' AS TABELA_LT,'N/A' AS TABELA_SIMUL,'"&amp;F470&amp;"' AS CAMPO, "&amp;"'${ref_date}' AS REF_DATE, COUNT(*) AS NUM_REG, SUM(IF(REGEXP_REPLACE(TRIM(CAST(X."&amp;F470&amp;" AS STRING)),'[^a-zA-Z0-9_\\s]','') &lt;&gt;TRIM(CAST(X."&amp;F470&amp;" AS STRING)),1,0)) AS NUM_REG_DIF,'"&amp;MAX('ID1&amp;5'!K:K)+1&amp;"' AS ID_EXEC, CURRENT_TIMESTAMP() AS TIME_EXEC FROM "&amp;I470,
IF(C470="Missings",+"SELECT '"&amp;UPPER(B470)&amp;"' AS TABELA, '"&amp;UPPER(C470)&amp;"' AS TIPOLOGIA_TESTE,'"&amp;D470&amp;"' AS TABELA_LT,'N/A' AS TABELA_SIMUL,'"&amp;F470&amp;"' AS CAMPO, "&amp;"'${ref_date}' AS REF_DATE, COUNT(*) AS NUM_REG, SUM(IF(TRIM(CAST(X."&amp;F470&amp;" AS STRING)) IN ('0000-00-00','0001-01-01','9999-12-31','MISS','00000','99999999999','99999999999.00','99999999999.000000'),1,0)) AS NUM_REG_DIF,'"&amp;MAX('ID1&amp;5'!K:K)+1&amp;"' AS ID_EXEC, CURRENT_TIMESTAMP() AS TIME_EXEC FROM "&amp;I470,
IF(C470="Not applicable",+"SELECT '"&amp;UPPER(B470)&amp;"' AS TABELA, '"&amp;UPPER(C470)&amp;"' AS TIPOLOGIA_TESTE,'"&amp;D470&amp;"' AS TABELA_LT,'N/A' AS TABELA_SIMUL,'"&amp;F470&amp;"' AS CAMPO, "&amp;"'${ref_date}' AS REF_DATE, COUNT(*) AS NUM_REG, SUM(IF(TRIM(CAST(X."&amp;F470&amp;" AS STRING)) IN ('N/A','11111111111','11111111111.00','11111111111.000000','1111-11-11'),1,0)) AS NUM_REG_DIF,'"&amp;MAX('ID1&amp;5'!K:K)+1&amp;"' AS ID_EXEC, CURRENT_TIMESTAMP() AS TIME_EXEC FROM "&amp;I470,
IF(C470="Valores extremos",+"SELECT '"&amp;UPPER(B470)&amp;"' AS TABELA, '"&amp;UPPER(C470)&amp;"' AS TIPOLOGIA_TESTE,'"&amp;D470&amp;"' AS TABELA_LT,'N/A' AS TABELA_SIMUL,'"&amp;F470&amp;"' AS CAMPO, "&amp;"'${ref_date}' AS REF_DATE, CAST(MIN("&amp;F470&amp;") AS STRING) AS VALOR_MIN, CAST(MAX("&amp;F470&amp;") AS STRING) AS VALOR_MAX,'"&amp;MAX('ID1&amp;5'!K:K)+1&amp;"' AS ID_EXEC, CURRENT_TIMESTAMP() AS TIME_EXEC FROM "&amp;MID(I470,1,LEN(I470)-2)&amp;" AND CAST("&amp;F470&amp;"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TABELA_SIMUL,'annl_trnvr_le_bdr' AS CAMPO, '${ref_date}' AS REF_DATE, COUNT(*) AS NUM_REG, SUM(IF(COALESCE(CAST(X.annl_trnvr_le_bdr AS STRING),'')&lt;&gt;COALESCE(CAST(Y.annl_trnvr_le_bdr_SIMUL AS STRING),'') OR (X.annl_trnvr_le_bdr IS NULL AND Y.annl_trnvr_le_bdr_SIMUL IS NOT NULL ) OR (X.annl_trnvr_le_bdr IS NOT NULL AND Y.annl_trnvr_le_bdr_SIMUL IS NULL),1,0)) AS NUM_REG_DIF,'1' AS ID_EXEC, CURRENT_TIMESTAMP() AS TIME_EXEC FROM (SELECT entty_id, annl_trnvr_le_bdr FROM BU_LOANTAPE_WORK.LT003_ENTITY WHERE ref_date='${ref_date}' AND nome_perimetro='Individual Local' AND segmento='ESTR' AND ambito='SRB_MBDT' AND entidade='00100')X INNER JOIN (SELECT entty_id AS entty_id_SIMUL, annl_trnvr_le_bdr AS annl_trnvr_le_bdr_SIMUL FROM BU_LOANTAPE_WORK.SIMUL_LT003_ENTITY WHERE ref_date='${ref_date}' AND nome_perimetro='Individual Local' AND segmento='ESTR' AND ambito='PILAR3' AND entidade='00100')Y ON X.ENTTY_ID=Y.ENTTY_ID_SIMUL</v>
      </c>
      <c r="M470" s="36" t="str">
        <f t="shared" si="10"/>
        <v>UNION ALL SELECT 'ENTITY' AS TABELA, 'COERÊNCIA' AS TIPOLOGIA_TESTE,'BU_LOANTAPE_WORK.LT003_ENTITY' AS TABELA_LT,'BU_LOANTAPE_WORK.SIMUL_LT003_ENTITY' AS TABELA_SIMUL,'annl_trnvr_le_bdr' AS CAMPO, '${ref_date}' AS REF_DATE, COUNT(*) AS NUM_REG, SUM(IF(COALESCE(CAST(X.annl_trnvr_le_bdr AS STRING),'')&lt;&gt;COALESCE(CAST(Y.annl_trnvr_le_bdr_SIMUL AS STRING),'') OR (X.annl_trnvr_le_bdr IS NULL AND Y.annl_trnvr_le_bdr_SIMUL IS NOT NULL ) OR (X.annl_trnvr_le_bdr IS NOT NULL AND Y.annl_trnvr_le_bdr_SIMUL IS NULL),1,0)) AS NUM_REG_DIF,'1' AS ID_EXEC, CURRENT_TIMESTAMP() AS TIME_EXEC FROM (SELECT entty_id, annl_trnvr_le_bdr FROM BU_LOANTAPE_WORK.LT003_ENTITY WHERE ref_date='${ref_date}' AND nome_perimetro='Individual Local' AND segmento='ESTR' AND ambito='SRB_MBDT' AND entidade='00100')X INNER JOIN (SELECT entty_id AS entty_id_SIMUL, annl_trnvr_le_bdr AS annl_trnvr_le_bdr_SIMUL FROM BU_LOANTAPE_WORK.SIMUL_LT003_ENTITY WHERE ref_date='${ref_date}' AND nome_perimetro='Individual Local' AND segmento='ESTR' AND ambito='PILAR3' AND entidade='00100')Y ON X.ENTTY_ID=Y.ENTTY_ID_SIMUL</v>
      </c>
    </row>
    <row r="471" spans="2:13">
      <c r="B471" s="34" t="s">
        <v>118</v>
      </c>
      <c r="C471" s="34" t="s">
        <v>5</v>
      </c>
      <c r="D471" s="34" t="str">
        <f>+UPPER('0. Instruções'!$D$35&amp;"."&amp;VLOOKUP(B471,'0. Instruções'!$C$27:$D$32,2,FALSE))</f>
        <v>BU_LOANTAPE_WORK.LT003_ENTITY</v>
      </c>
      <c r="E471" s="34" t="str">
        <f>+UPPER('0. Instruções'!$D$36&amp;"."&amp;VLOOKUP(B471,'0. Instruções'!$C$27:$E$32,3,FALSE))</f>
        <v>BU_LOANTAPE_WORK.SIMUL_LT003_ENTITY</v>
      </c>
      <c r="F471" s="34" t="s">
        <v>1478</v>
      </c>
      <c r="G471" s="34"/>
      <c r="H471" s="34"/>
      <c r="I471" s="34" t="str">
        <f>"(SELECT "&amp;VLOOKUP(B471,'0. Instruções'!$C$27:$G$32,4,FALSE)&amp;", "&amp;F471&amp;" FROM "&amp;D471&amp;" WHERE "&amp;'0. Instruções'!$D$42&amp;")X"</f>
        <v>(SELECT entty_id, annl_trnvr_prvs_bdr FROM BU_LOANTAPE_WORK.LT003_ENTITY WHERE ref_date='${ref_date}' AND nome_perimetro='Individual Local' AND segmento='ESTR' AND ambito='SRB_MBDT' AND entidade='00100')X</v>
      </c>
      <c r="J471" s="34" t="str">
        <f>"(SELECT "&amp;VLOOKUP(B471,'0. Instruções'!$C$27:$G$32,4,FALSE)&amp;" AS "&amp;VLOOKUP(B471,'0. Instruções'!$C$27:$G$32,4,FALSE)&amp;"_SIMUL, "&amp;F471&amp;" AS "&amp;F471&amp;"_SIMUL FROM "&amp;E471&amp;" WHERE "&amp;'0. Instruções'!$D$43&amp;")Y"</f>
        <v>(SELECT entty_id AS entty_id_SIMUL, annl_trnvr_prvs_bdr AS annl_trnvr_prvs_bdr_SIMUL FROM BU_LOANTAPE_WORK.SIMUL_LT003_ENTITY WHERE ref_date='${ref_date}' AND nome_perimetro='Individual Local' AND segmento='ESTR' AND ambito='PILAR3' AND entidade='00100')Y</v>
      </c>
      <c r="K471" s="35" t="str">
        <f>+UPPER("ON X."&amp;VLOOKUP(B471,'0. Instruções'!$C$27:$G$32,4,FALSE)&amp;"=Y."&amp;VLOOKUP(B471,'0. Instruções'!$C$27:$G$32,4,FALSE)&amp;"_SIMUL")</f>
        <v>ON X.ENTTY_ID=Y.ENTTY_ID_SIMUL</v>
      </c>
      <c r="L471" s="35" t="str">
        <f>+IF(C471="Coerência", +IF(LEFT(G471,5)="FLOAT","SELECT '"&amp;UPPER(B471)&amp;"' AS TABELA, '"&amp;UPPER(C471)&amp;"' AS TIPOLOGIA_TESTE,'"&amp;D471&amp;"' AS TABELA_LT,'"&amp;E471&amp;"' AS TABELA_SIMUL,'"&amp;F471&amp;"' AS CAMPO, "&amp;"'${ref_date}' AS REF_DATE, COUNT(*) AS NUM_REG, SUM(IF((ABS(COALESCE(CAST(X."&amp;F471&amp;" AS DECIMAL(18,6)),0)-COALESCE(CAST(Y."&amp;F471&amp;"_SIMUL AS DECIMAL(18,6)),0))&gt;0.000001) OR (X."&amp;F471&amp;" IS NULL AND Y."&amp;F471&amp;"_SIMUL IS NOT NULL ) OR (X."&amp;F471&amp;" IS NOT NULL AND Y."&amp;F471&amp;"_SIMUL IS NULL),1,0)) AS NUM_REG_DIF,'"&amp;MAX('ID1&amp;5'!K:K)+1&amp;"' AS ID_EXEC, CURRENT_TIMESTAMP() AS TIME_EXEC FROM "&amp;I471&amp;" INNER JOIN "&amp;J471&amp;" "&amp;K471,"SELECT '"&amp;UPPER(B471)&amp;"' AS TABELA, '"&amp;UPPER(C471)&amp;"' AS TIPOLOGIA_TESTE,'"&amp;D471&amp;"' AS TABELA_LT,'"&amp;E471&amp;"' AS TABELA_SIMUL,'"&amp;F471&amp;"' AS CAMPO, "&amp;"'${ref_date}' AS REF_DATE, COUNT(*) AS NUM_REG, SUM(IF(COALESCE(CAST(X."&amp;F471&amp;" AS STRING),'')&lt;&gt;COALESCE(CAST(Y."&amp;F471&amp;"_SIMUL AS STRING),'') OR (X."&amp;F471&amp;" IS NULL AND Y."&amp;F471&amp;"_SIMUL IS NOT NULL ) OR (X."&amp;F471&amp;" IS NOT NULL AND Y."&amp;F471&amp;"_SIMUL IS NULL),1,0)) AS NUM_REG_DIF,'"&amp;MAX('ID1&amp;5'!L:L)+1&amp;"' AS ID_EXEC, CURRENT_TIMESTAMP() AS TIME_EXEC FROM "&amp;I471&amp;" INNER JOIN "&amp;J471&amp;" "&amp;K471),
IF(C471="Validade",+IF(G471="Code List","SELECT '"&amp;UPPER(B471)&amp;"' AS TABELA, '"&amp;UPPER(C471)&amp;"' AS TIPOLOGIA_TESTE,'"&amp;D471&amp;"' AS TABELA_LT,'N/A' AS TABELA_SIMUL,'"&amp;F471&amp;"' AS CAMPO, "&amp;"'${ref_date}' AS REF_DATE, COUNT(*) AS NUM_REG, SUM(IF(TRIM(CAST(X."&amp;F471&amp;" AS STRING))='' OR TRIM(CAST(X."&amp;F471&amp;" AS STRING)) IS NULL OR CAST(X."&amp;F471&amp;" AS STRING) NOT "&amp;H471&amp;",1,0)) AS NUM_REG_DIF,'"&amp;MAX('ID1&amp;5'!K:K)+1&amp;"' AS ID_EXEC, CURRENT_TIMESTAMP() AS TIME_EXEC FROM "&amp;I471,"SELECT '"&amp;UPPER(B471)&amp;"' AS TABELA, '"&amp;UPPER(C471)&amp;"' AS TIPOLOGIA_TESTE,'"&amp;D471&amp;"' AS TABELA_LT,'N/A' AS TABELA_SIMUL,'"&amp;F471&amp;"' AS CAMPO, "&amp;"'${ref_date}' AS REF_DATE, COUNT(*) AS NUM_REG, SUM(IF(TRIM(CAST(X."&amp;F471&amp;" AS STRING))='' OR TRIM(CAST(X."&amp;F471&amp;" AS STRING)) IS NULL,1,0)) AS NUM_REG_DIF,'"&amp;MAX('ID1&amp;5'!K:K)+1&amp;"' AS ID_EXEC, CURRENT_TIMESTAMP() AS TIME_EXEC FROM "&amp;I471),
IF(C471="Caracteres Especiais",+"SELECT '"&amp;UPPER(B471)&amp;"' AS TABELA, '"&amp;UPPER(C471)&amp;"' AS TIPOLOGIA_TESTE,'"&amp;D471&amp;"' AS TABELA_LT,'N/A' AS TABELA_SIMUL,'"&amp;F471&amp;"' AS CAMPO, "&amp;"'${ref_date}' AS REF_DATE, COUNT(*) AS NUM_REG, SUM(IF(REGEXP_REPLACE(TRIM(CAST(X."&amp;F471&amp;" AS STRING)),'[^a-zA-Z0-9_\\s]','') &lt;&gt;TRIM(CAST(X."&amp;F471&amp;" AS STRING)),1,0)) AS NUM_REG_DIF,'"&amp;MAX('ID1&amp;5'!K:K)+1&amp;"' AS ID_EXEC, CURRENT_TIMESTAMP() AS TIME_EXEC FROM "&amp;I471,
IF(C471="Missings",+"SELECT '"&amp;UPPER(B471)&amp;"' AS TABELA, '"&amp;UPPER(C471)&amp;"' AS TIPOLOGIA_TESTE,'"&amp;D471&amp;"' AS TABELA_LT,'N/A' AS TABELA_SIMUL,'"&amp;F471&amp;"' AS CAMPO, "&amp;"'${ref_date}' AS REF_DATE, COUNT(*) AS NUM_REG, SUM(IF(TRIM(CAST(X."&amp;F471&amp;" AS STRING)) IN ('0000-00-00','0001-01-01','9999-12-31','MISS','00000','99999999999','99999999999.00','99999999999.000000'),1,0)) AS NUM_REG_DIF,'"&amp;MAX('ID1&amp;5'!K:K)+1&amp;"' AS ID_EXEC, CURRENT_TIMESTAMP() AS TIME_EXEC FROM "&amp;I471,
IF(C471="Not applicable",+"SELECT '"&amp;UPPER(B471)&amp;"' AS TABELA, '"&amp;UPPER(C471)&amp;"' AS TIPOLOGIA_TESTE,'"&amp;D471&amp;"' AS TABELA_LT,'N/A' AS TABELA_SIMUL,'"&amp;F471&amp;"' AS CAMPO, "&amp;"'${ref_date}' AS REF_DATE, COUNT(*) AS NUM_REG, SUM(IF(TRIM(CAST(X."&amp;F471&amp;" AS STRING)) IN ('N/A','11111111111','11111111111.00','11111111111.000000','1111-11-11'),1,0)) AS NUM_REG_DIF,'"&amp;MAX('ID1&amp;5'!K:K)+1&amp;"' AS ID_EXEC, CURRENT_TIMESTAMP() AS TIME_EXEC FROM "&amp;I471,
IF(C471="Valores extremos",+"SELECT '"&amp;UPPER(B471)&amp;"' AS TABELA, '"&amp;UPPER(C471)&amp;"' AS TIPOLOGIA_TESTE,'"&amp;D471&amp;"' AS TABELA_LT,'N/A' AS TABELA_SIMUL,'"&amp;F471&amp;"' AS CAMPO, "&amp;"'${ref_date}' AS REF_DATE, CAST(MIN("&amp;F471&amp;") AS STRING) AS VALOR_MIN, CAST(MAX("&amp;F471&amp;") AS STRING) AS VALOR_MAX,'"&amp;MAX('ID1&amp;5'!K:K)+1&amp;"' AS ID_EXEC, CURRENT_TIMESTAMP() AS TIME_EXEC FROM "&amp;MID(I471,1,LEN(I471)-2)&amp;" AND CAST("&amp;F471&amp;"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TABELA_SIMUL,'annl_trnvr_prvs_bdr' AS CAMPO, '${ref_date}' AS REF_DATE, COUNT(*) AS NUM_REG, SUM(IF(COALESCE(CAST(X.annl_trnvr_prvs_bdr AS STRING),'')&lt;&gt;COALESCE(CAST(Y.annl_trnvr_prvs_bdr_SIMUL AS STRING),'') OR (X.annl_trnvr_prvs_bdr IS NULL AND Y.annl_trnvr_prvs_bdr_SIMUL IS NOT NULL ) OR (X.annl_trnvr_prvs_bdr IS NOT NULL AND Y.annl_trnvr_prvs_bdr_SIMUL IS NULL),1,0)) AS NUM_REG_DIF,'1' AS ID_EXEC, CURRENT_TIMESTAMP() AS TIME_EXEC FROM (SELECT entty_id, annl_trnvr_prvs_bdr FROM BU_LOANTAPE_WORK.LT003_ENTITY WHERE ref_date='${ref_date}' AND nome_perimetro='Individual Local' AND segmento='ESTR' AND ambito='SRB_MBDT' AND entidade='00100')X INNER JOIN (SELECT entty_id AS entty_id_SIMUL, annl_trnvr_prvs_bdr AS annl_trnvr_prvs_bdr_SIMUL FROM BU_LOANTAPE_WORK.SIMUL_LT003_ENTITY WHERE ref_date='${ref_date}' AND nome_perimetro='Individual Local' AND segmento='ESTR' AND ambito='PILAR3' AND entidade='00100')Y ON X.ENTTY_ID=Y.ENTTY_ID_SIMUL</v>
      </c>
      <c r="M471" s="36" t="str">
        <f t="shared" si="10"/>
        <v>UNION ALL SELECT 'ENTITY' AS TABELA, 'COERÊNCIA' AS TIPOLOGIA_TESTE,'BU_LOANTAPE_WORK.LT003_ENTITY' AS TABELA_LT,'BU_LOANTAPE_WORK.SIMUL_LT003_ENTITY' AS TABELA_SIMUL,'annl_trnvr_prvs_bdr' AS CAMPO, '${ref_date}' AS REF_DATE, COUNT(*) AS NUM_REG, SUM(IF(COALESCE(CAST(X.annl_trnvr_prvs_bdr AS STRING),'')&lt;&gt;COALESCE(CAST(Y.annl_trnvr_prvs_bdr_SIMUL AS STRING),'') OR (X.annl_trnvr_prvs_bdr IS NULL AND Y.annl_trnvr_prvs_bdr_SIMUL IS NOT NULL ) OR (X.annl_trnvr_prvs_bdr IS NOT NULL AND Y.annl_trnvr_prvs_bdr_SIMUL IS NULL),1,0)) AS NUM_REG_DIF,'1' AS ID_EXEC, CURRENT_TIMESTAMP() AS TIME_EXEC FROM (SELECT entty_id, annl_trnvr_prvs_bdr FROM BU_LOANTAPE_WORK.LT003_ENTITY WHERE ref_date='${ref_date}' AND nome_perimetro='Individual Local' AND segmento='ESTR' AND ambito='SRB_MBDT' AND entidade='00100')X INNER JOIN (SELECT entty_id AS entty_id_SIMUL, annl_trnvr_prvs_bdr AS annl_trnvr_prvs_bdr_SIMUL FROM BU_LOANTAPE_WORK.SIMUL_LT003_ENTITY WHERE ref_date='${ref_date}' AND nome_perimetro='Individual Local' AND segmento='ESTR' AND ambito='PILAR3' AND entidade='00100')Y ON X.ENTTY_ID=Y.ENTTY_ID_SIMUL</v>
      </c>
    </row>
    <row r="472" spans="2:13">
      <c r="B472" s="34" t="s">
        <v>118</v>
      </c>
      <c r="C472" s="34" t="s">
        <v>5</v>
      </c>
      <c r="D472" s="34" t="str">
        <f>+UPPER('0. Instruções'!$D$35&amp;"."&amp;VLOOKUP(B472,'0. Instruções'!$C$27:$D$32,2,FALSE))</f>
        <v>BU_LOANTAPE_WORK.LT003_ENTITY</v>
      </c>
      <c r="E472" s="34" t="str">
        <f>+UPPER('0. Instruções'!$D$36&amp;"."&amp;VLOOKUP(B472,'0. Instruções'!$C$27:$E$32,3,FALSE))</f>
        <v>BU_LOANTAPE_WORK.SIMUL_LT003_ENTITY</v>
      </c>
      <c r="F472" s="34" t="s">
        <v>1479</v>
      </c>
      <c r="G472" s="34"/>
      <c r="H472" s="34"/>
      <c r="I472" s="34" t="str">
        <f>"(SELECT "&amp;VLOOKUP(B472,'0. Instruções'!$C$27:$G$32,4,FALSE)&amp;", "&amp;F472&amp;" FROM "&amp;D472&amp;" WHERE "&amp;'0. Instruções'!$D$42&amp;")X"</f>
        <v>(SELECT entty_id, osi_id FROM BU_LOANTAPE_WORK.LT003_ENTITY WHERE ref_date='${ref_date}' AND nome_perimetro='Individual Local' AND segmento='ESTR' AND ambito='SRB_MBDT' AND entidade='00100')X</v>
      </c>
      <c r="J472" s="34" t="str">
        <f>"(SELECT "&amp;VLOOKUP(B472,'0. Instruções'!$C$27:$G$32,4,FALSE)&amp;" AS "&amp;VLOOKUP(B472,'0. Instruções'!$C$27:$G$32,4,FALSE)&amp;"_SIMUL, "&amp;F472&amp;" AS "&amp;F472&amp;"_SIMUL FROM "&amp;E472&amp;" WHERE "&amp;'0. Instruções'!$D$43&amp;")Y"</f>
        <v>(SELECT entty_id AS entty_id_SIMUL, osi_id AS osi_id_SIMUL FROM BU_LOANTAPE_WORK.SIMUL_LT003_ENTITY WHERE ref_date='${ref_date}' AND nome_perimetro='Individual Local' AND segmento='ESTR' AND ambito='PILAR3' AND entidade='00100')Y</v>
      </c>
      <c r="K472" s="35" t="str">
        <f>+UPPER("ON X."&amp;VLOOKUP(B472,'0. Instruções'!$C$27:$G$32,4,FALSE)&amp;"=Y."&amp;VLOOKUP(B472,'0. Instruções'!$C$27:$G$32,4,FALSE)&amp;"_SIMUL")</f>
        <v>ON X.ENTTY_ID=Y.ENTTY_ID_SIMUL</v>
      </c>
      <c r="L472" s="35" t="str">
        <f>+IF(C472="Coerência", +IF(LEFT(G472,5)="FLOAT","SELECT '"&amp;UPPER(B472)&amp;"' AS TABELA, '"&amp;UPPER(C472)&amp;"' AS TIPOLOGIA_TESTE,'"&amp;D472&amp;"' AS TABELA_LT,'"&amp;E472&amp;"' AS TABELA_SIMUL,'"&amp;F472&amp;"' AS CAMPO, "&amp;"'${ref_date}' AS REF_DATE, COUNT(*) AS NUM_REG, SUM(IF((ABS(COALESCE(CAST(X."&amp;F472&amp;" AS DECIMAL(18,6)),0)-COALESCE(CAST(Y."&amp;F472&amp;"_SIMUL AS DECIMAL(18,6)),0))&gt;0.000001) OR (X."&amp;F472&amp;" IS NULL AND Y."&amp;F472&amp;"_SIMUL IS NOT NULL ) OR (X."&amp;F472&amp;" IS NOT NULL AND Y."&amp;F472&amp;"_SIMUL IS NULL),1,0)) AS NUM_REG_DIF,'"&amp;MAX('ID1&amp;5'!K:K)+1&amp;"' AS ID_EXEC, CURRENT_TIMESTAMP() AS TIME_EXEC FROM "&amp;I472&amp;" INNER JOIN "&amp;J472&amp;" "&amp;K472,"SELECT '"&amp;UPPER(B472)&amp;"' AS TABELA, '"&amp;UPPER(C472)&amp;"' AS TIPOLOGIA_TESTE,'"&amp;D472&amp;"' AS TABELA_LT,'"&amp;E472&amp;"' AS TABELA_SIMUL,'"&amp;F472&amp;"' AS CAMPO, "&amp;"'${ref_date}' AS REF_DATE, COUNT(*) AS NUM_REG, SUM(IF(COALESCE(CAST(X."&amp;F472&amp;" AS STRING),'')&lt;&gt;COALESCE(CAST(Y."&amp;F472&amp;"_SIMUL AS STRING),'') OR (X."&amp;F472&amp;" IS NULL AND Y."&amp;F472&amp;"_SIMUL IS NOT NULL ) OR (X."&amp;F472&amp;" IS NOT NULL AND Y."&amp;F472&amp;"_SIMUL IS NULL),1,0)) AS NUM_REG_DIF,'"&amp;MAX('ID1&amp;5'!L:L)+1&amp;"' AS ID_EXEC, CURRENT_TIMESTAMP() AS TIME_EXEC FROM "&amp;I472&amp;" INNER JOIN "&amp;J472&amp;" "&amp;K472),
IF(C472="Validade",+IF(G472="Code List","SELECT '"&amp;UPPER(B472)&amp;"' AS TABELA, '"&amp;UPPER(C472)&amp;"' AS TIPOLOGIA_TESTE,'"&amp;D472&amp;"' AS TABELA_LT,'N/A' AS TABELA_SIMUL,'"&amp;F472&amp;"' AS CAMPO, "&amp;"'${ref_date}' AS REF_DATE, COUNT(*) AS NUM_REG, SUM(IF(TRIM(CAST(X."&amp;F472&amp;" AS STRING))='' OR TRIM(CAST(X."&amp;F472&amp;" AS STRING)) IS NULL OR CAST(X."&amp;F472&amp;" AS STRING) NOT "&amp;H472&amp;",1,0)) AS NUM_REG_DIF,'"&amp;MAX('ID1&amp;5'!K:K)+1&amp;"' AS ID_EXEC, CURRENT_TIMESTAMP() AS TIME_EXEC FROM "&amp;I472,"SELECT '"&amp;UPPER(B472)&amp;"' AS TABELA, '"&amp;UPPER(C472)&amp;"' AS TIPOLOGIA_TESTE,'"&amp;D472&amp;"' AS TABELA_LT,'N/A' AS TABELA_SIMUL,'"&amp;F472&amp;"' AS CAMPO, "&amp;"'${ref_date}' AS REF_DATE, COUNT(*) AS NUM_REG, SUM(IF(TRIM(CAST(X."&amp;F472&amp;" AS STRING))='' OR TRIM(CAST(X."&amp;F472&amp;" AS STRING)) IS NULL,1,0)) AS NUM_REG_DIF,'"&amp;MAX('ID1&amp;5'!K:K)+1&amp;"' AS ID_EXEC, CURRENT_TIMESTAMP() AS TIME_EXEC FROM "&amp;I472),
IF(C472="Caracteres Especiais",+"SELECT '"&amp;UPPER(B472)&amp;"' AS TABELA, '"&amp;UPPER(C472)&amp;"' AS TIPOLOGIA_TESTE,'"&amp;D472&amp;"' AS TABELA_LT,'N/A' AS TABELA_SIMUL,'"&amp;F472&amp;"' AS CAMPO, "&amp;"'${ref_date}' AS REF_DATE, COUNT(*) AS NUM_REG, SUM(IF(REGEXP_REPLACE(TRIM(CAST(X."&amp;F472&amp;" AS STRING)),'[^a-zA-Z0-9_\\s]','') &lt;&gt;TRIM(CAST(X."&amp;F472&amp;" AS STRING)),1,0)) AS NUM_REG_DIF,'"&amp;MAX('ID1&amp;5'!K:K)+1&amp;"' AS ID_EXEC, CURRENT_TIMESTAMP() AS TIME_EXEC FROM "&amp;I472,
IF(C472="Missings",+"SELECT '"&amp;UPPER(B472)&amp;"' AS TABELA, '"&amp;UPPER(C472)&amp;"' AS TIPOLOGIA_TESTE,'"&amp;D472&amp;"' AS TABELA_LT,'N/A' AS TABELA_SIMUL,'"&amp;F472&amp;"' AS CAMPO, "&amp;"'${ref_date}' AS REF_DATE, COUNT(*) AS NUM_REG, SUM(IF(TRIM(CAST(X."&amp;F472&amp;" AS STRING)) IN ('0000-00-00','0001-01-01','9999-12-31','MISS','00000','99999999999','99999999999.00','99999999999.000000'),1,0)) AS NUM_REG_DIF,'"&amp;MAX('ID1&amp;5'!K:K)+1&amp;"' AS ID_EXEC, CURRENT_TIMESTAMP() AS TIME_EXEC FROM "&amp;I472,
IF(C472="Not applicable",+"SELECT '"&amp;UPPER(B472)&amp;"' AS TABELA, '"&amp;UPPER(C472)&amp;"' AS TIPOLOGIA_TESTE,'"&amp;D472&amp;"' AS TABELA_LT,'N/A' AS TABELA_SIMUL,'"&amp;F472&amp;"' AS CAMPO, "&amp;"'${ref_date}' AS REF_DATE, COUNT(*) AS NUM_REG, SUM(IF(TRIM(CAST(X."&amp;F472&amp;" AS STRING)) IN ('N/A','11111111111','11111111111.00','11111111111.000000','1111-11-11'),1,0)) AS NUM_REG_DIF,'"&amp;MAX('ID1&amp;5'!K:K)+1&amp;"' AS ID_EXEC, CURRENT_TIMESTAMP() AS TIME_EXEC FROM "&amp;I472,
IF(C472="Valores extremos",+"SELECT '"&amp;UPPER(B472)&amp;"' AS TABELA, '"&amp;UPPER(C472)&amp;"' AS TIPOLOGIA_TESTE,'"&amp;D472&amp;"' AS TABELA_LT,'N/A' AS TABELA_SIMUL,'"&amp;F472&amp;"' AS CAMPO, "&amp;"'${ref_date}' AS REF_DATE, CAST(MIN("&amp;F472&amp;") AS STRING) AS VALOR_MIN, CAST(MAX("&amp;F472&amp;") AS STRING) AS VALOR_MAX,'"&amp;MAX('ID1&amp;5'!K:K)+1&amp;"' AS ID_EXEC, CURRENT_TIMESTAMP() AS TIME_EXEC FROM "&amp;MID(I472,1,LEN(I472)-2)&amp;" AND CAST("&amp;F472&amp;"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TABELA_SIMUL,'osi_id' AS CAMPO, '${ref_date}' AS REF_DATE, COUNT(*) AS NUM_REG, SUM(IF(COALESCE(CAST(X.osi_id AS STRING),'')&lt;&gt;COALESCE(CAST(Y.osi_id_SIMUL AS STRING),'') OR (X.osi_id IS NULL AND Y.osi_id_SIMUL IS NOT NULL ) OR (X.osi_id IS NOT NULL AND Y.osi_id_SIMUL IS NULL),1,0)) AS NUM_REG_DIF,'1' AS ID_EXEC, CURRENT_TIMESTAMP() AS TIME_EXEC FROM (SELECT entty_id, osi_id FROM BU_LOANTAPE_WORK.LT003_ENTITY WHERE ref_date='${ref_date}' AND nome_perimetro='Individual Local' AND segmento='ESTR' AND ambito='SRB_MBDT' AND entidade='00100')X INNER JOIN (SELECT entty_id AS entty_id_SIMUL, osi_id AS osi_id_SIMUL FROM BU_LOANTAPE_WORK.SIMUL_LT003_ENTITY WHERE ref_date='${ref_date}' AND nome_perimetro='Individual Local' AND segmento='ESTR' AND ambito='PILAR3' AND entidade='00100')Y ON X.ENTTY_ID=Y.ENTTY_ID_SIMUL</v>
      </c>
      <c r="M472" s="36" t="str">
        <f t="shared" si="10"/>
        <v>UNION ALL SELECT 'ENTITY' AS TABELA, 'COERÊNCIA' AS TIPOLOGIA_TESTE,'BU_LOANTAPE_WORK.LT003_ENTITY' AS TABELA_LT,'BU_LOANTAPE_WORK.SIMUL_LT003_ENTITY' AS TABELA_SIMUL,'osi_id' AS CAMPO, '${ref_date}' AS REF_DATE, COUNT(*) AS NUM_REG, SUM(IF(COALESCE(CAST(X.osi_id AS STRING),'')&lt;&gt;COALESCE(CAST(Y.osi_id_SIMUL AS STRING),'') OR (X.osi_id IS NULL AND Y.osi_id_SIMUL IS NOT NULL ) OR (X.osi_id IS NOT NULL AND Y.osi_id_SIMUL IS NULL),1,0)) AS NUM_REG_DIF,'1' AS ID_EXEC, CURRENT_TIMESTAMP() AS TIME_EXEC FROM (SELECT entty_id, osi_id FROM BU_LOANTAPE_WORK.LT003_ENTITY WHERE ref_date='${ref_date}' AND nome_perimetro='Individual Local' AND segmento='ESTR' AND ambito='SRB_MBDT' AND entidade='00100')X INNER JOIN (SELECT entty_id AS entty_id_SIMUL, osi_id AS osi_id_SIMUL FROM BU_LOANTAPE_WORK.SIMUL_LT003_ENTITY WHERE ref_date='${ref_date}' AND nome_perimetro='Individual Local' AND segmento='ESTR' AND ambito='PILAR3' AND entidade='00100')Y ON X.ENTTY_ID=Y.ENTTY_ID_SIMUL</v>
      </c>
    </row>
    <row r="473" spans="2:13">
      <c r="B473" s="34" t="s">
        <v>118</v>
      </c>
      <c r="C473" s="34" t="s">
        <v>5</v>
      </c>
      <c r="D473" s="34" t="str">
        <f>+UPPER('0. Instruções'!$D$35&amp;"."&amp;VLOOKUP(B473,'0. Instruções'!$C$27:$D$32,2,FALSE))</f>
        <v>BU_LOANTAPE_WORK.LT003_ENTITY</v>
      </c>
      <c r="E473" s="34" t="str">
        <f>+UPPER('0. Instruções'!$D$36&amp;"."&amp;VLOOKUP(B473,'0. Instruções'!$C$27:$E$32,3,FALSE))</f>
        <v>BU_LOANTAPE_WORK.SIMUL_LT003_ENTITY</v>
      </c>
      <c r="F473" s="34" t="s">
        <v>1231</v>
      </c>
      <c r="G473" s="34"/>
      <c r="H473" s="34"/>
      <c r="I473" s="34" t="str">
        <f>"(SELECT "&amp;VLOOKUP(B473,'0. Instruções'!$C$27:$G$32,4,FALSE)&amp;", "&amp;F473&amp;" FROM "&amp;D473&amp;" WHERE "&amp;'0. Instruções'!$D$42&amp;")X"</f>
        <v>(SELECT entty_id, pd_crr_rd_t1 FROM BU_LOANTAPE_WORK.LT003_ENTITY WHERE ref_date='${ref_date}' AND nome_perimetro='Individual Local' AND segmento='ESTR' AND ambito='SRB_MBDT' AND entidade='00100')X</v>
      </c>
      <c r="J473" s="34" t="str">
        <f>"(SELECT "&amp;VLOOKUP(B473,'0. Instruções'!$C$27:$G$32,4,FALSE)&amp;" AS "&amp;VLOOKUP(B473,'0. Instruções'!$C$27:$G$32,4,FALSE)&amp;"_SIMUL, "&amp;F473&amp;" AS "&amp;F473&amp;"_SIMUL FROM "&amp;E473&amp;" WHERE "&amp;'0. Instruções'!$D$43&amp;")Y"</f>
        <v>(SELECT entty_id AS entty_id_SIMUL, pd_crr_rd_t1 AS pd_crr_rd_t1_SIMUL FROM BU_LOANTAPE_WORK.SIMUL_LT003_ENTITY WHERE ref_date='${ref_date}' AND nome_perimetro='Individual Local' AND segmento='ESTR' AND ambito='PILAR3' AND entidade='00100')Y</v>
      </c>
      <c r="K473" s="35" t="str">
        <f>+UPPER("ON X."&amp;VLOOKUP(B473,'0. Instruções'!$C$27:$G$32,4,FALSE)&amp;"=Y."&amp;VLOOKUP(B473,'0. Instruções'!$C$27:$G$32,4,FALSE)&amp;"_SIMUL")</f>
        <v>ON X.ENTTY_ID=Y.ENTTY_ID_SIMUL</v>
      </c>
      <c r="L473" s="35" t="str">
        <f>+IF(C473="Coerência", +IF(LEFT(G473,5)="FLOAT","SELECT '"&amp;UPPER(B473)&amp;"' AS TABELA, '"&amp;UPPER(C473)&amp;"' AS TIPOLOGIA_TESTE,'"&amp;D473&amp;"' AS TABELA_LT,'"&amp;E473&amp;"' AS TABELA_SIMUL,'"&amp;F473&amp;"' AS CAMPO, "&amp;"'${ref_date}' AS REF_DATE, COUNT(*) AS NUM_REG, SUM(IF((ABS(COALESCE(CAST(X."&amp;F473&amp;" AS DECIMAL(18,6)),0)-COALESCE(CAST(Y."&amp;F473&amp;"_SIMUL AS DECIMAL(18,6)),0))&gt;0.000001) OR (X."&amp;F473&amp;" IS NULL AND Y."&amp;F473&amp;"_SIMUL IS NOT NULL ) OR (X."&amp;F473&amp;" IS NOT NULL AND Y."&amp;F473&amp;"_SIMUL IS NULL),1,0)) AS NUM_REG_DIF,'"&amp;MAX('ID1&amp;5'!K:K)+1&amp;"' AS ID_EXEC, CURRENT_TIMESTAMP() AS TIME_EXEC FROM "&amp;I473&amp;" INNER JOIN "&amp;J473&amp;" "&amp;K473,"SELECT '"&amp;UPPER(B473)&amp;"' AS TABELA, '"&amp;UPPER(C473)&amp;"' AS TIPOLOGIA_TESTE,'"&amp;D473&amp;"' AS TABELA_LT,'"&amp;E473&amp;"' AS TABELA_SIMUL,'"&amp;F473&amp;"' AS CAMPO, "&amp;"'${ref_date}' AS REF_DATE, COUNT(*) AS NUM_REG, SUM(IF(COALESCE(CAST(X."&amp;F473&amp;" AS STRING),'')&lt;&gt;COALESCE(CAST(Y."&amp;F473&amp;"_SIMUL AS STRING),'') OR (X."&amp;F473&amp;" IS NULL AND Y."&amp;F473&amp;"_SIMUL IS NOT NULL ) OR (X."&amp;F473&amp;" IS NOT NULL AND Y."&amp;F473&amp;"_SIMUL IS NULL),1,0)) AS NUM_REG_DIF,'"&amp;MAX('ID1&amp;5'!L:L)+1&amp;"' AS ID_EXEC, CURRENT_TIMESTAMP() AS TIME_EXEC FROM "&amp;I473&amp;" INNER JOIN "&amp;J473&amp;" "&amp;K473),
IF(C473="Validade",+IF(G473="Code List","SELECT '"&amp;UPPER(B473)&amp;"' AS TABELA, '"&amp;UPPER(C473)&amp;"' AS TIPOLOGIA_TESTE,'"&amp;D473&amp;"' AS TABELA_LT,'N/A' AS TABELA_SIMUL,'"&amp;F473&amp;"' AS CAMPO, "&amp;"'${ref_date}' AS REF_DATE, COUNT(*) AS NUM_REG, SUM(IF(TRIM(CAST(X."&amp;F473&amp;" AS STRING))='' OR TRIM(CAST(X."&amp;F473&amp;" AS STRING)) IS NULL OR CAST(X."&amp;F473&amp;" AS STRING) NOT "&amp;H473&amp;",1,0)) AS NUM_REG_DIF,'"&amp;MAX('ID1&amp;5'!K:K)+1&amp;"' AS ID_EXEC, CURRENT_TIMESTAMP() AS TIME_EXEC FROM "&amp;I473,"SELECT '"&amp;UPPER(B473)&amp;"' AS TABELA, '"&amp;UPPER(C473)&amp;"' AS TIPOLOGIA_TESTE,'"&amp;D473&amp;"' AS TABELA_LT,'N/A' AS TABELA_SIMUL,'"&amp;F473&amp;"' AS CAMPO, "&amp;"'${ref_date}' AS REF_DATE, COUNT(*) AS NUM_REG, SUM(IF(TRIM(CAST(X."&amp;F473&amp;" AS STRING))='' OR TRIM(CAST(X."&amp;F473&amp;" AS STRING)) IS NULL,1,0)) AS NUM_REG_DIF,'"&amp;MAX('ID1&amp;5'!K:K)+1&amp;"' AS ID_EXEC, CURRENT_TIMESTAMP() AS TIME_EXEC FROM "&amp;I473),
IF(C473="Caracteres Especiais",+"SELECT '"&amp;UPPER(B473)&amp;"' AS TABELA, '"&amp;UPPER(C473)&amp;"' AS TIPOLOGIA_TESTE,'"&amp;D473&amp;"' AS TABELA_LT,'N/A' AS TABELA_SIMUL,'"&amp;F473&amp;"' AS CAMPO, "&amp;"'${ref_date}' AS REF_DATE, COUNT(*) AS NUM_REG, SUM(IF(REGEXP_REPLACE(TRIM(CAST(X."&amp;F473&amp;" AS STRING)),'[^a-zA-Z0-9_\\s]','') &lt;&gt;TRIM(CAST(X."&amp;F473&amp;" AS STRING)),1,0)) AS NUM_REG_DIF,'"&amp;MAX('ID1&amp;5'!K:K)+1&amp;"' AS ID_EXEC, CURRENT_TIMESTAMP() AS TIME_EXEC FROM "&amp;I473,
IF(C473="Missings",+"SELECT '"&amp;UPPER(B473)&amp;"' AS TABELA, '"&amp;UPPER(C473)&amp;"' AS TIPOLOGIA_TESTE,'"&amp;D473&amp;"' AS TABELA_LT,'N/A' AS TABELA_SIMUL,'"&amp;F473&amp;"' AS CAMPO, "&amp;"'${ref_date}' AS REF_DATE, COUNT(*) AS NUM_REG, SUM(IF(TRIM(CAST(X."&amp;F473&amp;" AS STRING)) IN ('0000-00-00','0001-01-01','9999-12-31','MISS','00000','99999999999','99999999999.00','99999999999.000000'),1,0)) AS NUM_REG_DIF,'"&amp;MAX('ID1&amp;5'!K:K)+1&amp;"' AS ID_EXEC, CURRENT_TIMESTAMP() AS TIME_EXEC FROM "&amp;I473,
IF(C473="Not applicable",+"SELECT '"&amp;UPPER(B473)&amp;"' AS TABELA, '"&amp;UPPER(C473)&amp;"' AS TIPOLOGIA_TESTE,'"&amp;D473&amp;"' AS TABELA_LT,'N/A' AS TABELA_SIMUL,'"&amp;F473&amp;"' AS CAMPO, "&amp;"'${ref_date}' AS REF_DATE, COUNT(*) AS NUM_REG, SUM(IF(TRIM(CAST(X."&amp;F473&amp;" AS STRING)) IN ('N/A','11111111111','11111111111.00','11111111111.000000','1111-11-11'),1,0)) AS NUM_REG_DIF,'"&amp;MAX('ID1&amp;5'!K:K)+1&amp;"' AS ID_EXEC, CURRENT_TIMESTAMP() AS TIME_EXEC FROM "&amp;I473,
IF(C473="Valores extremos",+"SELECT '"&amp;UPPER(B473)&amp;"' AS TABELA, '"&amp;UPPER(C473)&amp;"' AS TIPOLOGIA_TESTE,'"&amp;D473&amp;"' AS TABELA_LT,'N/A' AS TABELA_SIMUL,'"&amp;F473&amp;"' AS CAMPO, "&amp;"'${ref_date}' AS REF_DATE, CAST(MIN("&amp;F473&amp;") AS STRING) AS VALOR_MIN, CAST(MAX("&amp;F473&amp;") AS STRING) AS VALOR_MAX,'"&amp;MAX('ID1&amp;5'!K:K)+1&amp;"' AS ID_EXEC, CURRENT_TIMESTAMP() AS TIME_EXEC FROM "&amp;MID(I473,1,LEN(I473)-2)&amp;" AND CAST("&amp;F473&amp;"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TABELA_SIMUL,'pd_crr_rd_t1' AS CAMPO, '${ref_date}' AS REF_DATE, COUNT(*) AS NUM_REG, SUM(IF(COALESCE(CAST(X.pd_crr_rd_t1 AS STRING),'')&lt;&gt;COALESCE(CAST(Y.pd_crr_rd_t1_SIMUL AS STRING),'') OR (X.pd_crr_rd_t1 IS NULL AND Y.pd_crr_rd_t1_SIMUL IS NOT NULL ) OR (X.pd_crr_rd_t1 IS NOT NULL AND Y.pd_crr_rd_t1_SIMUL IS NULL),1,0)) AS NUM_REG_DIF,'1' AS ID_EXEC, CURRENT_TIMESTAMP() AS TIME_EXEC FROM (SELECT entty_id, pd_crr_rd_t1 FROM BU_LOANTAPE_WORK.LT003_ENTITY WHERE ref_date='${ref_date}' AND nome_perimetro='Individual Local' AND segmento='ESTR' AND ambito='SRB_MBDT' AND entidade='00100')X INNER JOIN (SELECT entty_id AS entty_id_SIMUL, pd_crr_rd_t1 AS pd_crr_rd_t1_SIMUL FROM BU_LOANTAPE_WORK.SIMUL_LT003_ENTITY WHERE ref_date='${ref_date}' AND nome_perimetro='Individual Local' AND segmento='ESTR' AND ambito='PILAR3' AND entidade='00100')Y ON X.ENTTY_ID=Y.ENTTY_ID_SIMUL</v>
      </c>
      <c r="M473" s="36" t="str">
        <f t="shared" si="10"/>
        <v>UNION ALL SELECT 'ENTITY' AS TABELA, 'COERÊNCIA' AS TIPOLOGIA_TESTE,'BU_LOANTAPE_WORK.LT003_ENTITY' AS TABELA_LT,'BU_LOANTAPE_WORK.SIMUL_LT003_ENTITY' AS TABELA_SIMUL,'pd_crr_rd_t1' AS CAMPO, '${ref_date}' AS REF_DATE, COUNT(*) AS NUM_REG, SUM(IF(COALESCE(CAST(X.pd_crr_rd_t1 AS STRING),'')&lt;&gt;COALESCE(CAST(Y.pd_crr_rd_t1_SIMUL AS STRING),'') OR (X.pd_crr_rd_t1 IS NULL AND Y.pd_crr_rd_t1_SIMUL IS NOT NULL ) OR (X.pd_crr_rd_t1 IS NOT NULL AND Y.pd_crr_rd_t1_SIMUL IS NULL),1,0)) AS NUM_REG_DIF,'1' AS ID_EXEC, CURRENT_TIMESTAMP() AS TIME_EXEC FROM (SELECT entty_id, pd_crr_rd_t1 FROM BU_LOANTAPE_WORK.LT003_ENTITY WHERE ref_date='${ref_date}' AND nome_perimetro='Individual Local' AND segmento='ESTR' AND ambito='SRB_MBDT' AND entidade='00100')X INNER JOIN (SELECT entty_id AS entty_id_SIMUL, pd_crr_rd_t1 AS pd_crr_rd_t1_SIMUL FROM BU_LOANTAPE_WORK.SIMUL_LT003_ENTITY WHERE ref_date='${ref_date}' AND nome_perimetro='Individual Local' AND segmento='ESTR' AND ambito='PILAR3' AND entidade='00100')Y ON X.ENTTY_ID=Y.ENTTY_ID_SIMUL</v>
      </c>
    </row>
    <row r="474" spans="2:13">
      <c r="B474" s="34" t="s">
        <v>118</v>
      </c>
      <c r="C474" s="34" t="s">
        <v>5</v>
      </c>
      <c r="D474" s="34" t="str">
        <f>+UPPER('0. Instruções'!$D$35&amp;"."&amp;VLOOKUP(B474,'0. Instruções'!$C$27:$D$32,2,FALSE))</f>
        <v>BU_LOANTAPE_WORK.LT003_ENTITY</v>
      </c>
      <c r="E474" s="34" t="str">
        <f>+UPPER('0. Instruções'!$D$36&amp;"."&amp;VLOOKUP(B474,'0. Instruções'!$C$27:$E$32,3,FALSE))</f>
        <v>BU_LOANTAPE_WORK.SIMUL_LT003_ENTITY</v>
      </c>
      <c r="F474" s="34" t="s">
        <v>703</v>
      </c>
      <c r="G474" s="34"/>
      <c r="H474" s="34"/>
      <c r="I474" s="34" t="str">
        <f>"(SELECT "&amp;VLOOKUP(B474,'0. Instruções'!$C$27:$G$32,4,FALSE)&amp;", "&amp;F474&amp;" FROM "&amp;D474&amp;" WHERE "&amp;'0. Instruções'!$D$42&amp;")X"</f>
        <v>(SELECT entty_id, ec_grp_id FROM BU_LOANTAPE_WORK.LT003_ENTITY WHERE ref_date='${ref_date}' AND nome_perimetro='Individual Local' AND segmento='ESTR' AND ambito='SRB_MBDT' AND entidade='00100')X</v>
      </c>
      <c r="J474" s="34" t="str">
        <f>"(SELECT "&amp;VLOOKUP(B474,'0. Instruções'!$C$27:$G$32,4,FALSE)&amp;" AS "&amp;VLOOKUP(B474,'0. Instruções'!$C$27:$G$32,4,FALSE)&amp;"_SIMUL, "&amp;F474&amp;" AS "&amp;F474&amp;"_SIMUL FROM "&amp;E474&amp;" WHERE "&amp;'0. Instruções'!$D$43&amp;")Y"</f>
        <v>(SELECT entty_id AS entty_id_SIMUL, ec_grp_id AS ec_grp_id_SIMUL FROM BU_LOANTAPE_WORK.SIMUL_LT003_ENTITY WHERE ref_date='${ref_date}' AND nome_perimetro='Individual Local' AND segmento='ESTR' AND ambito='PILAR3' AND entidade='00100')Y</v>
      </c>
      <c r="K474" s="35" t="str">
        <f>+UPPER("ON X."&amp;VLOOKUP(B474,'0. Instruções'!$C$27:$G$32,4,FALSE)&amp;"=Y."&amp;VLOOKUP(B474,'0. Instruções'!$C$27:$G$32,4,FALSE)&amp;"_SIMUL")</f>
        <v>ON X.ENTTY_ID=Y.ENTTY_ID_SIMUL</v>
      </c>
      <c r="L474" s="35" t="str">
        <f>+IF(C474="Coerência", +IF(LEFT(G474,5)="FLOAT","SELECT '"&amp;UPPER(B474)&amp;"' AS TABELA, '"&amp;UPPER(C474)&amp;"' AS TIPOLOGIA_TESTE,'"&amp;D474&amp;"' AS TABELA_LT,'"&amp;E474&amp;"' AS TABELA_SIMUL,'"&amp;F474&amp;"' AS CAMPO, "&amp;"'${ref_date}' AS REF_DATE, COUNT(*) AS NUM_REG, SUM(IF((ABS(COALESCE(CAST(X."&amp;F474&amp;" AS DECIMAL(18,6)),0)-COALESCE(CAST(Y."&amp;F474&amp;"_SIMUL AS DECIMAL(18,6)),0))&gt;0.000001) OR (X."&amp;F474&amp;" IS NULL AND Y."&amp;F474&amp;"_SIMUL IS NOT NULL ) OR (X."&amp;F474&amp;" IS NOT NULL AND Y."&amp;F474&amp;"_SIMUL IS NULL),1,0)) AS NUM_REG_DIF,'"&amp;MAX('ID1&amp;5'!K:K)+1&amp;"' AS ID_EXEC, CURRENT_TIMESTAMP() AS TIME_EXEC FROM "&amp;I474&amp;" INNER JOIN "&amp;J474&amp;" "&amp;K474,"SELECT '"&amp;UPPER(B474)&amp;"' AS TABELA, '"&amp;UPPER(C474)&amp;"' AS TIPOLOGIA_TESTE,'"&amp;D474&amp;"' AS TABELA_LT,'"&amp;E474&amp;"' AS TABELA_SIMUL,'"&amp;F474&amp;"' AS CAMPO, "&amp;"'${ref_date}' AS REF_DATE, COUNT(*) AS NUM_REG, SUM(IF(COALESCE(CAST(X."&amp;F474&amp;" AS STRING),'')&lt;&gt;COALESCE(CAST(Y."&amp;F474&amp;"_SIMUL AS STRING),'') OR (X."&amp;F474&amp;" IS NULL AND Y."&amp;F474&amp;"_SIMUL IS NOT NULL ) OR (X."&amp;F474&amp;" IS NOT NULL AND Y."&amp;F474&amp;"_SIMUL IS NULL),1,0)) AS NUM_REG_DIF,'"&amp;MAX('ID1&amp;5'!L:L)+1&amp;"' AS ID_EXEC, CURRENT_TIMESTAMP() AS TIME_EXEC FROM "&amp;I474&amp;" INNER JOIN "&amp;J474&amp;" "&amp;K474),
IF(C474="Validade",+IF(G474="Code List","SELECT '"&amp;UPPER(B474)&amp;"' AS TABELA, '"&amp;UPPER(C474)&amp;"' AS TIPOLOGIA_TESTE,'"&amp;D474&amp;"' AS TABELA_LT,'N/A' AS TABELA_SIMUL,'"&amp;F474&amp;"' AS CAMPO, "&amp;"'${ref_date}' AS REF_DATE, COUNT(*) AS NUM_REG, SUM(IF(TRIM(CAST(X."&amp;F474&amp;" AS STRING))='' OR TRIM(CAST(X."&amp;F474&amp;" AS STRING)) IS NULL OR CAST(X."&amp;F474&amp;" AS STRING) NOT "&amp;H474&amp;",1,0)) AS NUM_REG_DIF,'"&amp;MAX('ID1&amp;5'!K:K)+1&amp;"' AS ID_EXEC, CURRENT_TIMESTAMP() AS TIME_EXEC FROM "&amp;I474,"SELECT '"&amp;UPPER(B474)&amp;"' AS TABELA, '"&amp;UPPER(C474)&amp;"' AS TIPOLOGIA_TESTE,'"&amp;D474&amp;"' AS TABELA_LT,'N/A' AS TABELA_SIMUL,'"&amp;F474&amp;"' AS CAMPO, "&amp;"'${ref_date}' AS REF_DATE, COUNT(*) AS NUM_REG, SUM(IF(TRIM(CAST(X."&amp;F474&amp;" AS STRING))='' OR TRIM(CAST(X."&amp;F474&amp;" AS STRING)) IS NULL,1,0)) AS NUM_REG_DIF,'"&amp;MAX('ID1&amp;5'!K:K)+1&amp;"' AS ID_EXEC, CURRENT_TIMESTAMP() AS TIME_EXEC FROM "&amp;I474),
IF(C474="Caracteres Especiais",+"SELECT '"&amp;UPPER(B474)&amp;"' AS TABELA, '"&amp;UPPER(C474)&amp;"' AS TIPOLOGIA_TESTE,'"&amp;D474&amp;"' AS TABELA_LT,'N/A' AS TABELA_SIMUL,'"&amp;F474&amp;"' AS CAMPO, "&amp;"'${ref_date}' AS REF_DATE, COUNT(*) AS NUM_REG, SUM(IF(REGEXP_REPLACE(TRIM(CAST(X."&amp;F474&amp;" AS STRING)),'[^a-zA-Z0-9_\\s]','') &lt;&gt;TRIM(CAST(X."&amp;F474&amp;" AS STRING)),1,0)) AS NUM_REG_DIF,'"&amp;MAX('ID1&amp;5'!K:K)+1&amp;"' AS ID_EXEC, CURRENT_TIMESTAMP() AS TIME_EXEC FROM "&amp;I474,
IF(C474="Missings",+"SELECT '"&amp;UPPER(B474)&amp;"' AS TABELA, '"&amp;UPPER(C474)&amp;"' AS TIPOLOGIA_TESTE,'"&amp;D474&amp;"' AS TABELA_LT,'N/A' AS TABELA_SIMUL,'"&amp;F474&amp;"' AS CAMPO, "&amp;"'${ref_date}' AS REF_DATE, COUNT(*) AS NUM_REG, SUM(IF(TRIM(CAST(X."&amp;F474&amp;" AS STRING)) IN ('0000-00-00','0001-01-01','9999-12-31','MISS','00000','99999999999','99999999999.00','99999999999.000000'),1,0)) AS NUM_REG_DIF,'"&amp;MAX('ID1&amp;5'!K:K)+1&amp;"' AS ID_EXEC, CURRENT_TIMESTAMP() AS TIME_EXEC FROM "&amp;I474,
IF(C474="Not applicable",+"SELECT '"&amp;UPPER(B474)&amp;"' AS TABELA, '"&amp;UPPER(C474)&amp;"' AS TIPOLOGIA_TESTE,'"&amp;D474&amp;"' AS TABELA_LT,'N/A' AS TABELA_SIMUL,'"&amp;F474&amp;"' AS CAMPO, "&amp;"'${ref_date}' AS REF_DATE, COUNT(*) AS NUM_REG, SUM(IF(TRIM(CAST(X."&amp;F474&amp;" AS STRING)) IN ('N/A','11111111111','11111111111.00','11111111111.000000','1111-11-11'),1,0)) AS NUM_REG_DIF,'"&amp;MAX('ID1&amp;5'!K:K)+1&amp;"' AS ID_EXEC, CURRENT_TIMESTAMP() AS TIME_EXEC FROM "&amp;I474,
IF(C474="Valores extremos",+"SELECT '"&amp;UPPER(B474)&amp;"' AS TABELA, '"&amp;UPPER(C474)&amp;"' AS TIPOLOGIA_TESTE,'"&amp;D474&amp;"' AS TABELA_LT,'N/A' AS TABELA_SIMUL,'"&amp;F474&amp;"' AS CAMPO, "&amp;"'${ref_date}' AS REF_DATE, CAST(MIN("&amp;F474&amp;") AS STRING) AS VALOR_MIN, CAST(MAX("&amp;F474&amp;") AS STRING) AS VALOR_MAX,'"&amp;MAX('ID1&amp;5'!K:K)+1&amp;"' AS ID_EXEC, CURRENT_TIMESTAMP() AS TIME_EXEC FROM "&amp;MID(I474,1,LEN(I474)-2)&amp;" AND CAST("&amp;F474&amp;"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TABELA_SIMUL,'ec_grp_id' AS CAMPO, '${ref_date}' AS REF_DATE, COUNT(*) AS NUM_REG, SUM(IF(COALESCE(CAST(X.ec_grp_id AS STRING),'')&lt;&gt;COALESCE(CAST(Y.ec_grp_id_SIMUL AS STRING),'') OR (X.ec_grp_id IS NULL AND Y.ec_grp_id_SIMUL IS NOT NULL ) OR (X.ec_grp_id IS NOT NULL AND Y.ec_grp_id_SIMUL IS NULL),1,0)) AS NUM_REG_DIF,'1' AS ID_EXEC, CURRENT_TIMESTAMP() AS TIME_EXEC FROM (SELECT entty_id, ec_grp_id FROM BU_LOANTAPE_WORK.LT003_ENTITY WHERE ref_date='${ref_date}' AND nome_perimetro='Individual Local' AND segmento='ESTR' AND ambito='SRB_MBDT' AND entidade='00100')X INNER JOIN (SELECT entty_id AS entty_id_SIMUL, ec_grp_id AS ec_grp_id_SIMUL FROM BU_LOANTAPE_WORK.SIMUL_LT003_ENTITY WHERE ref_date='${ref_date}' AND nome_perimetro='Individual Local' AND segmento='ESTR' AND ambito='PILAR3' AND entidade='00100')Y ON X.ENTTY_ID=Y.ENTTY_ID_SIMUL</v>
      </c>
      <c r="M474" s="36" t="str">
        <f t="shared" si="10"/>
        <v>UNION ALL SELECT 'ENTITY' AS TABELA, 'COERÊNCIA' AS TIPOLOGIA_TESTE,'BU_LOANTAPE_WORK.LT003_ENTITY' AS TABELA_LT,'BU_LOANTAPE_WORK.SIMUL_LT003_ENTITY' AS TABELA_SIMUL,'ec_grp_id' AS CAMPO, '${ref_date}' AS REF_DATE, COUNT(*) AS NUM_REG, SUM(IF(COALESCE(CAST(X.ec_grp_id AS STRING),'')&lt;&gt;COALESCE(CAST(Y.ec_grp_id_SIMUL AS STRING),'') OR (X.ec_grp_id IS NULL AND Y.ec_grp_id_SIMUL IS NOT NULL ) OR (X.ec_grp_id IS NOT NULL AND Y.ec_grp_id_SIMUL IS NULL),1,0)) AS NUM_REG_DIF,'1' AS ID_EXEC, CURRENT_TIMESTAMP() AS TIME_EXEC FROM (SELECT entty_id, ec_grp_id FROM BU_LOANTAPE_WORK.LT003_ENTITY WHERE ref_date='${ref_date}' AND nome_perimetro='Individual Local' AND segmento='ESTR' AND ambito='SRB_MBDT' AND entidade='00100')X INNER JOIN (SELECT entty_id AS entty_id_SIMUL, ec_grp_id AS ec_grp_id_SIMUL FROM BU_LOANTAPE_WORK.SIMUL_LT003_ENTITY WHERE ref_date='${ref_date}' AND nome_perimetro='Individual Local' AND segmento='ESTR' AND ambito='PILAR3' AND entidade='00100')Y ON X.ENTTY_ID=Y.ENTTY_ID_SIMUL</v>
      </c>
    </row>
    <row r="475" spans="2:13">
      <c r="B475" s="34" t="s">
        <v>118</v>
      </c>
      <c r="C475" s="34" t="s">
        <v>5</v>
      </c>
      <c r="D475" s="34" t="str">
        <f>+UPPER('0. Instruções'!$D$35&amp;"."&amp;VLOOKUP(B475,'0. Instruções'!$C$27:$D$32,2,FALSE))</f>
        <v>BU_LOANTAPE_WORK.LT003_ENTITY</v>
      </c>
      <c r="E475" s="34" t="str">
        <f>+UPPER('0. Instruções'!$D$36&amp;"."&amp;VLOOKUP(B475,'0. Instruções'!$C$27:$E$32,3,FALSE))</f>
        <v>BU_LOANTAPE_WORK.SIMUL_LT003_ENTITY</v>
      </c>
      <c r="F475" s="34" t="s">
        <v>704</v>
      </c>
      <c r="G475" s="34"/>
      <c r="H475" s="34"/>
      <c r="I475" s="34" t="str">
        <f>"(SELECT "&amp;VLOOKUP(B475,'0. Instruções'!$C$27:$G$32,4,FALSE)&amp;", "&amp;F475&amp;" FROM "&amp;D475&amp;" WHERE "&amp;'0. Instruções'!$D$42&amp;")X"</f>
        <v>(SELECT entty_id, ec_grp_nm FROM BU_LOANTAPE_WORK.LT003_ENTITY WHERE ref_date='${ref_date}' AND nome_perimetro='Individual Local' AND segmento='ESTR' AND ambito='SRB_MBDT' AND entidade='00100')X</v>
      </c>
      <c r="J475" s="34" t="str">
        <f>"(SELECT "&amp;VLOOKUP(B475,'0. Instruções'!$C$27:$G$32,4,FALSE)&amp;" AS "&amp;VLOOKUP(B475,'0. Instruções'!$C$27:$G$32,4,FALSE)&amp;"_SIMUL, "&amp;F475&amp;" AS "&amp;F475&amp;"_SIMUL FROM "&amp;E475&amp;" WHERE "&amp;'0. Instruções'!$D$43&amp;")Y"</f>
        <v>(SELECT entty_id AS entty_id_SIMUL, ec_grp_nm AS ec_grp_nm_SIMUL FROM BU_LOANTAPE_WORK.SIMUL_LT003_ENTITY WHERE ref_date='${ref_date}' AND nome_perimetro='Individual Local' AND segmento='ESTR' AND ambito='PILAR3' AND entidade='00100')Y</v>
      </c>
      <c r="K475" s="35" t="str">
        <f>+UPPER("ON X."&amp;VLOOKUP(B475,'0. Instruções'!$C$27:$G$32,4,FALSE)&amp;"=Y."&amp;VLOOKUP(B475,'0. Instruções'!$C$27:$G$32,4,FALSE)&amp;"_SIMUL")</f>
        <v>ON X.ENTTY_ID=Y.ENTTY_ID_SIMUL</v>
      </c>
      <c r="L475" s="35" t="str">
        <f>+IF(C475="Coerência", +IF(LEFT(G475,5)="FLOAT","SELECT '"&amp;UPPER(B475)&amp;"' AS TABELA, '"&amp;UPPER(C475)&amp;"' AS TIPOLOGIA_TESTE,'"&amp;D475&amp;"' AS TABELA_LT,'"&amp;E475&amp;"' AS TABELA_SIMUL,'"&amp;F475&amp;"' AS CAMPO, "&amp;"'${ref_date}' AS REF_DATE, COUNT(*) AS NUM_REG, SUM(IF((ABS(COALESCE(CAST(X."&amp;F475&amp;" AS DECIMAL(18,6)),0)-COALESCE(CAST(Y."&amp;F475&amp;"_SIMUL AS DECIMAL(18,6)),0))&gt;0.000001) OR (X."&amp;F475&amp;" IS NULL AND Y."&amp;F475&amp;"_SIMUL IS NOT NULL ) OR (X."&amp;F475&amp;" IS NOT NULL AND Y."&amp;F475&amp;"_SIMUL IS NULL),1,0)) AS NUM_REG_DIF,'"&amp;MAX('ID1&amp;5'!K:K)+1&amp;"' AS ID_EXEC, CURRENT_TIMESTAMP() AS TIME_EXEC FROM "&amp;I475&amp;" INNER JOIN "&amp;J475&amp;" "&amp;K475,"SELECT '"&amp;UPPER(B475)&amp;"' AS TABELA, '"&amp;UPPER(C475)&amp;"' AS TIPOLOGIA_TESTE,'"&amp;D475&amp;"' AS TABELA_LT,'"&amp;E475&amp;"' AS TABELA_SIMUL,'"&amp;F475&amp;"' AS CAMPO, "&amp;"'${ref_date}' AS REF_DATE, COUNT(*) AS NUM_REG, SUM(IF(COALESCE(CAST(X."&amp;F475&amp;" AS STRING),'')&lt;&gt;COALESCE(CAST(Y."&amp;F475&amp;"_SIMUL AS STRING),'') OR (X."&amp;F475&amp;" IS NULL AND Y."&amp;F475&amp;"_SIMUL IS NOT NULL ) OR (X."&amp;F475&amp;" IS NOT NULL AND Y."&amp;F475&amp;"_SIMUL IS NULL),1,0)) AS NUM_REG_DIF,'"&amp;MAX('ID1&amp;5'!L:L)+1&amp;"' AS ID_EXEC, CURRENT_TIMESTAMP() AS TIME_EXEC FROM "&amp;I475&amp;" INNER JOIN "&amp;J475&amp;" "&amp;K475),
IF(C475="Validade",+IF(G475="Code List","SELECT '"&amp;UPPER(B475)&amp;"' AS TABELA, '"&amp;UPPER(C475)&amp;"' AS TIPOLOGIA_TESTE,'"&amp;D475&amp;"' AS TABELA_LT,'N/A' AS TABELA_SIMUL,'"&amp;F475&amp;"' AS CAMPO, "&amp;"'${ref_date}' AS REF_DATE, COUNT(*) AS NUM_REG, SUM(IF(TRIM(CAST(X."&amp;F475&amp;" AS STRING))='' OR TRIM(CAST(X."&amp;F475&amp;" AS STRING)) IS NULL OR CAST(X."&amp;F475&amp;" AS STRING) NOT "&amp;H475&amp;",1,0)) AS NUM_REG_DIF,'"&amp;MAX('ID1&amp;5'!K:K)+1&amp;"' AS ID_EXEC, CURRENT_TIMESTAMP() AS TIME_EXEC FROM "&amp;I475,"SELECT '"&amp;UPPER(B475)&amp;"' AS TABELA, '"&amp;UPPER(C475)&amp;"' AS TIPOLOGIA_TESTE,'"&amp;D475&amp;"' AS TABELA_LT,'N/A' AS TABELA_SIMUL,'"&amp;F475&amp;"' AS CAMPO, "&amp;"'${ref_date}' AS REF_DATE, COUNT(*) AS NUM_REG, SUM(IF(TRIM(CAST(X."&amp;F475&amp;" AS STRING))='' OR TRIM(CAST(X."&amp;F475&amp;" AS STRING)) IS NULL,1,0)) AS NUM_REG_DIF,'"&amp;MAX('ID1&amp;5'!K:K)+1&amp;"' AS ID_EXEC, CURRENT_TIMESTAMP() AS TIME_EXEC FROM "&amp;I475),
IF(C475="Caracteres Especiais",+"SELECT '"&amp;UPPER(B475)&amp;"' AS TABELA, '"&amp;UPPER(C475)&amp;"' AS TIPOLOGIA_TESTE,'"&amp;D475&amp;"' AS TABELA_LT,'N/A' AS TABELA_SIMUL,'"&amp;F475&amp;"' AS CAMPO, "&amp;"'${ref_date}' AS REF_DATE, COUNT(*) AS NUM_REG, SUM(IF(REGEXP_REPLACE(TRIM(CAST(X."&amp;F475&amp;" AS STRING)),'[^a-zA-Z0-9_\\s]','') &lt;&gt;TRIM(CAST(X."&amp;F475&amp;" AS STRING)),1,0)) AS NUM_REG_DIF,'"&amp;MAX('ID1&amp;5'!K:K)+1&amp;"' AS ID_EXEC, CURRENT_TIMESTAMP() AS TIME_EXEC FROM "&amp;I475,
IF(C475="Missings",+"SELECT '"&amp;UPPER(B475)&amp;"' AS TABELA, '"&amp;UPPER(C475)&amp;"' AS TIPOLOGIA_TESTE,'"&amp;D475&amp;"' AS TABELA_LT,'N/A' AS TABELA_SIMUL,'"&amp;F475&amp;"' AS CAMPO, "&amp;"'${ref_date}' AS REF_DATE, COUNT(*) AS NUM_REG, SUM(IF(TRIM(CAST(X."&amp;F475&amp;" AS STRING)) IN ('0000-00-00','0001-01-01','9999-12-31','MISS','00000','99999999999','99999999999.00','99999999999.000000'),1,0)) AS NUM_REG_DIF,'"&amp;MAX('ID1&amp;5'!K:K)+1&amp;"' AS ID_EXEC, CURRENT_TIMESTAMP() AS TIME_EXEC FROM "&amp;I475,
IF(C475="Not applicable",+"SELECT '"&amp;UPPER(B475)&amp;"' AS TABELA, '"&amp;UPPER(C475)&amp;"' AS TIPOLOGIA_TESTE,'"&amp;D475&amp;"' AS TABELA_LT,'N/A' AS TABELA_SIMUL,'"&amp;F475&amp;"' AS CAMPO, "&amp;"'${ref_date}' AS REF_DATE, COUNT(*) AS NUM_REG, SUM(IF(TRIM(CAST(X."&amp;F475&amp;" AS STRING)) IN ('N/A','11111111111','11111111111.00','11111111111.000000','1111-11-11'),1,0)) AS NUM_REG_DIF,'"&amp;MAX('ID1&amp;5'!K:K)+1&amp;"' AS ID_EXEC, CURRENT_TIMESTAMP() AS TIME_EXEC FROM "&amp;I475,
IF(C475="Valores extremos",+"SELECT '"&amp;UPPER(B475)&amp;"' AS TABELA, '"&amp;UPPER(C475)&amp;"' AS TIPOLOGIA_TESTE,'"&amp;D475&amp;"' AS TABELA_LT,'N/A' AS TABELA_SIMUL,'"&amp;F475&amp;"' AS CAMPO, "&amp;"'${ref_date}' AS REF_DATE, CAST(MIN("&amp;F475&amp;") AS STRING) AS VALOR_MIN, CAST(MAX("&amp;F475&amp;") AS STRING) AS VALOR_MAX,'"&amp;MAX('ID1&amp;5'!K:K)+1&amp;"' AS ID_EXEC, CURRENT_TIMESTAMP() AS TIME_EXEC FROM "&amp;MID(I475,1,LEN(I475)-2)&amp;" AND CAST("&amp;F475&amp;"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TABELA_SIMUL,'ec_grp_nm' AS CAMPO, '${ref_date}' AS REF_DATE, COUNT(*) AS NUM_REG, SUM(IF(COALESCE(CAST(X.ec_grp_nm AS STRING),'')&lt;&gt;COALESCE(CAST(Y.ec_grp_nm_SIMUL AS STRING),'') OR (X.ec_grp_nm IS NULL AND Y.ec_grp_nm_SIMUL IS NOT NULL ) OR (X.ec_grp_nm IS NOT NULL AND Y.ec_grp_nm_SIMUL IS NULL),1,0)) AS NUM_REG_DIF,'1' AS ID_EXEC, CURRENT_TIMESTAMP() AS TIME_EXEC FROM (SELECT entty_id, ec_grp_nm FROM BU_LOANTAPE_WORK.LT003_ENTITY WHERE ref_date='${ref_date}' AND nome_perimetro='Individual Local' AND segmento='ESTR' AND ambito='SRB_MBDT' AND entidade='00100')X INNER JOIN (SELECT entty_id AS entty_id_SIMUL, ec_grp_nm AS ec_grp_nm_SIMUL FROM BU_LOANTAPE_WORK.SIMUL_LT003_ENTITY WHERE ref_date='${ref_date}' AND nome_perimetro='Individual Local' AND segmento='ESTR' AND ambito='PILAR3' AND entidade='00100')Y ON X.ENTTY_ID=Y.ENTTY_ID_SIMUL</v>
      </c>
      <c r="M475" s="36" t="str">
        <f t="shared" si="10"/>
        <v>UNION ALL SELECT 'ENTITY' AS TABELA, 'COERÊNCIA' AS TIPOLOGIA_TESTE,'BU_LOANTAPE_WORK.LT003_ENTITY' AS TABELA_LT,'BU_LOANTAPE_WORK.SIMUL_LT003_ENTITY' AS TABELA_SIMUL,'ec_grp_nm' AS CAMPO, '${ref_date}' AS REF_DATE, COUNT(*) AS NUM_REG, SUM(IF(COALESCE(CAST(X.ec_grp_nm AS STRING),'')&lt;&gt;COALESCE(CAST(Y.ec_grp_nm_SIMUL AS STRING),'') OR (X.ec_grp_nm IS NULL AND Y.ec_grp_nm_SIMUL IS NOT NULL ) OR (X.ec_grp_nm IS NOT NULL AND Y.ec_grp_nm_SIMUL IS NULL),1,0)) AS NUM_REG_DIF,'1' AS ID_EXEC, CURRENT_TIMESTAMP() AS TIME_EXEC FROM (SELECT entty_id, ec_grp_nm FROM BU_LOANTAPE_WORK.LT003_ENTITY WHERE ref_date='${ref_date}' AND nome_perimetro='Individual Local' AND segmento='ESTR' AND ambito='SRB_MBDT' AND entidade='00100')X INNER JOIN (SELECT entty_id AS entty_id_SIMUL, ec_grp_nm AS ec_grp_nm_SIMUL FROM BU_LOANTAPE_WORK.SIMUL_LT003_ENTITY WHERE ref_date='${ref_date}' AND nome_perimetro='Individual Local' AND segmento='ESTR' AND ambito='PILAR3' AND entidade='00100')Y ON X.ENTTY_ID=Y.ENTTY_ID_SIMUL</v>
      </c>
    </row>
    <row r="476" spans="2:13">
      <c r="B476" s="34" t="s">
        <v>118</v>
      </c>
      <c r="C476" s="34" t="s">
        <v>5</v>
      </c>
      <c r="D476" s="34" t="str">
        <f>+UPPER('0. Instruções'!$D$35&amp;"."&amp;VLOOKUP(B476,'0. Instruções'!$C$27:$D$32,2,FALSE))</f>
        <v>BU_LOANTAPE_WORK.LT003_ENTITY</v>
      </c>
      <c r="E476" s="34" t="str">
        <f>+UPPER('0. Instruções'!$D$36&amp;"."&amp;VLOOKUP(B476,'0. Instruções'!$C$27:$E$32,3,FALSE))</f>
        <v>BU_LOANTAPE_WORK.SIMUL_LT003_ENTITY</v>
      </c>
      <c r="F476" s="34" t="s">
        <v>1480</v>
      </c>
      <c r="G476" s="34"/>
      <c r="H476" s="34"/>
      <c r="I476" s="34" t="str">
        <f>"(SELECT "&amp;VLOOKUP(B476,'0. Instruções'!$C$27:$G$32,4,FALSE)&amp;", "&amp;F476&amp;" FROM "&amp;D476&amp;" WHERE "&amp;'0. Instruções'!$D$42&amp;")X"</f>
        <v>(SELECT entty_id, prsn_typ FROM BU_LOANTAPE_WORK.LT003_ENTITY WHERE ref_date='${ref_date}' AND nome_perimetro='Individual Local' AND segmento='ESTR' AND ambito='SRB_MBDT' AND entidade='00100')X</v>
      </c>
      <c r="J476" s="34" t="str">
        <f>"(SELECT "&amp;VLOOKUP(B476,'0. Instruções'!$C$27:$G$32,4,FALSE)&amp;" AS "&amp;VLOOKUP(B476,'0. Instruções'!$C$27:$G$32,4,FALSE)&amp;"_SIMUL, "&amp;F476&amp;" AS "&amp;F476&amp;"_SIMUL FROM "&amp;E476&amp;" WHERE "&amp;'0. Instruções'!$D$43&amp;")Y"</f>
        <v>(SELECT entty_id AS entty_id_SIMUL, prsn_typ AS prsn_typ_SIMUL FROM BU_LOANTAPE_WORK.SIMUL_LT003_ENTITY WHERE ref_date='${ref_date}' AND nome_perimetro='Individual Local' AND segmento='ESTR' AND ambito='PILAR3' AND entidade='00100')Y</v>
      </c>
      <c r="K476" s="35" t="str">
        <f>+UPPER("ON X."&amp;VLOOKUP(B476,'0. Instruções'!$C$27:$G$32,4,FALSE)&amp;"=Y."&amp;VLOOKUP(B476,'0. Instruções'!$C$27:$G$32,4,FALSE)&amp;"_SIMUL")</f>
        <v>ON X.ENTTY_ID=Y.ENTTY_ID_SIMUL</v>
      </c>
      <c r="L476" s="35" t="str">
        <f>+IF(C476="Coerência", +IF(LEFT(G476,5)="FLOAT","SELECT '"&amp;UPPER(B476)&amp;"' AS TABELA, '"&amp;UPPER(C476)&amp;"' AS TIPOLOGIA_TESTE,'"&amp;D476&amp;"' AS TABELA_LT,'"&amp;E476&amp;"' AS TABELA_SIMUL,'"&amp;F476&amp;"' AS CAMPO, "&amp;"'${ref_date}' AS REF_DATE, COUNT(*) AS NUM_REG, SUM(IF((ABS(COALESCE(CAST(X."&amp;F476&amp;" AS DECIMAL(18,6)),0)-COALESCE(CAST(Y."&amp;F476&amp;"_SIMUL AS DECIMAL(18,6)),0))&gt;0.000001) OR (X."&amp;F476&amp;" IS NULL AND Y."&amp;F476&amp;"_SIMUL IS NOT NULL ) OR (X."&amp;F476&amp;" IS NOT NULL AND Y."&amp;F476&amp;"_SIMUL IS NULL),1,0)) AS NUM_REG_DIF,'"&amp;MAX('ID1&amp;5'!K:K)+1&amp;"' AS ID_EXEC, CURRENT_TIMESTAMP() AS TIME_EXEC FROM "&amp;I476&amp;" INNER JOIN "&amp;J476&amp;" "&amp;K476,"SELECT '"&amp;UPPER(B476)&amp;"' AS TABELA, '"&amp;UPPER(C476)&amp;"' AS TIPOLOGIA_TESTE,'"&amp;D476&amp;"' AS TABELA_LT,'"&amp;E476&amp;"' AS TABELA_SIMUL,'"&amp;F476&amp;"' AS CAMPO, "&amp;"'${ref_date}' AS REF_DATE, COUNT(*) AS NUM_REG, SUM(IF(COALESCE(CAST(X."&amp;F476&amp;" AS STRING),'')&lt;&gt;COALESCE(CAST(Y."&amp;F476&amp;"_SIMUL AS STRING),'') OR (X."&amp;F476&amp;" IS NULL AND Y."&amp;F476&amp;"_SIMUL IS NOT NULL ) OR (X."&amp;F476&amp;" IS NOT NULL AND Y."&amp;F476&amp;"_SIMUL IS NULL),1,0)) AS NUM_REG_DIF,'"&amp;MAX('ID1&amp;5'!L:L)+1&amp;"' AS ID_EXEC, CURRENT_TIMESTAMP() AS TIME_EXEC FROM "&amp;I476&amp;" INNER JOIN "&amp;J476&amp;" "&amp;K476),
IF(C476="Validade",+IF(G476="Code List","SELECT '"&amp;UPPER(B476)&amp;"' AS TABELA, '"&amp;UPPER(C476)&amp;"' AS TIPOLOGIA_TESTE,'"&amp;D476&amp;"' AS TABELA_LT,'N/A' AS TABELA_SIMUL,'"&amp;F476&amp;"' AS CAMPO, "&amp;"'${ref_date}' AS REF_DATE, COUNT(*) AS NUM_REG, SUM(IF(TRIM(CAST(X."&amp;F476&amp;" AS STRING))='' OR TRIM(CAST(X."&amp;F476&amp;" AS STRING)) IS NULL OR CAST(X."&amp;F476&amp;" AS STRING) NOT "&amp;H476&amp;",1,0)) AS NUM_REG_DIF,'"&amp;MAX('ID1&amp;5'!K:K)+1&amp;"' AS ID_EXEC, CURRENT_TIMESTAMP() AS TIME_EXEC FROM "&amp;I476,"SELECT '"&amp;UPPER(B476)&amp;"' AS TABELA, '"&amp;UPPER(C476)&amp;"' AS TIPOLOGIA_TESTE,'"&amp;D476&amp;"' AS TABELA_LT,'N/A' AS TABELA_SIMUL,'"&amp;F476&amp;"' AS CAMPO, "&amp;"'${ref_date}' AS REF_DATE, COUNT(*) AS NUM_REG, SUM(IF(TRIM(CAST(X."&amp;F476&amp;" AS STRING))='' OR TRIM(CAST(X."&amp;F476&amp;" AS STRING)) IS NULL,1,0)) AS NUM_REG_DIF,'"&amp;MAX('ID1&amp;5'!K:K)+1&amp;"' AS ID_EXEC, CURRENT_TIMESTAMP() AS TIME_EXEC FROM "&amp;I476),
IF(C476="Caracteres Especiais",+"SELECT '"&amp;UPPER(B476)&amp;"' AS TABELA, '"&amp;UPPER(C476)&amp;"' AS TIPOLOGIA_TESTE,'"&amp;D476&amp;"' AS TABELA_LT,'N/A' AS TABELA_SIMUL,'"&amp;F476&amp;"' AS CAMPO, "&amp;"'${ref_date}' AS REF_DATE, COUNT(*) AS NUM_REG, SUM(IF(REGEXP_REPLACE(TRIM(CAST(X."&amp;F476&amp;" AS STRING)),'[^a-zA-Z0-9_\\s]','') &lt;&gt;TRIM(CAST(X."&amp;F476&amp;" AS STRING)),1,0)) AS NUM_REG_DIF,'"&amp;MAX('ID1&amp;5'!K:K)+1&amp;"' AS ID_EXEC, CURRENT_TIMESTAMP() AS TIME_EXEC FROM "&amp;I476,
IF(C476="Missings",+"SELECT '"&amp;UPPER(B476)&amp;"' AS TABELA, '"&amp;UPPER(C476)&amp;"' AS TIPOLOGIA_TESTE,'"&amp;D476&amp;"' AS TABELA_LT,'N/A' AS TABELA_SIMUL,'"&amp;F476&amp;"' AS CAMPO, "&amp;"'${ref_date}' AS REF_DATE, COUNT(*) AS NUM_REG, SUM(IF(TRIM(CAST(X."&amp;F476&amp;" AS STRING)) IN ('0000-00-00','0001-01-01','9999-12-31','MISS','00000','99999999999','99999999999.00','99999999999.000000'),1,0)) AS NUM_REG_DIF,'"&amp;MAX('ID1&amp;5'!K:K)+1&amp;"' AS ID_EXEC, CURRENT_TIMESTAMP() AS TIME_EXEC FROM "&amp;I476,
IF(C476="Not applicable",+"SELECT '"&amp;UPPER(B476)&amp;"' AS TABELA, '"&amp;UPPER(C476)&amp;"' AS TIPOLOGIA_TESTE,'"&amp;D476&amp;"' AS TABELA_LT,'N/A' AS TABELA_SIMUL,'"&amp;F476&amp;"' AS CAMPO, "&amp;"'${ref_date}' AS REF_DATE, COUNT(*) AS NUM_REG, SUM(IF(TRIM(CAST(X."&amp;F476&amp;" AS STRING)) IN ('N/A','11111111111','11111111111.00','11111111111.000000','1111-11-11'),1,0)) AS NUM_REG_DIF,'"&amp;MAX('ID1&amp;5'!K:K)+1&amp;"' AS ID_EXEC, CURRENT_TIMESTAMP() AS TIME_EXEC FROM "&amp;I476,
IF(C476="Valores extremos",+"SELECT '"&amp;UPPER(B476)&amp;"' AS TABELA, '"&amp;UPPER(C476)&amp;"' AS TIPOLOGIA_TESTE,'"&amp;D476&amp;"' AS TABELA_LT,'N/A' AS TABELA_SIMUL,'"&amp;F476&amp;"' AS CAMPO, "&amp;"'${ref_date}' AS REF_DATE, CAST(MIN("&amp;F476&amp;") AS STRING) AS VALOR_MIN, CAST(MAX("&amp;F476&amp;") AS STRING) AS VALOR_MAX,'"&amp;MAX('ID1&amp;5'!K:K)+1&amp;"' AS ID_EXEC, CURRENT_TIMESTAMP() AS TIME_EXEC FROM "&amp;MID(I476,1,LEN(I476)-2)&amp;" AND CAST("&amp;F476&amp;"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TABELA_SIMUL,'prsn_typ' AS CAMPO, '${ref_date}' AS REF_DATE, COUNT(*) AS NUM_REG, SUM(IF(COALESCE(CAST(X.prsn_typ AS STRING),'')&lt;&gt;COALESCE(CAST(Y.prsn_typ_SIMUL AS STRING),'') OR (X.prsn_typ IS NULL AND Y.prsn_typ_SIMUL IS NOT NULL ) OR (X.prsn_typ IS NOT NULL AND Y.prsn_typ_SIMUL IS NULL),1,0)) AS NUM_REG_DIF,'1' AS ID_EXEC, CURRENT_TIMESTAMP() AS TIME_EXEC FROM (SELECT entty_id, prsn_typ FROM BU_LOANTAPE_WORK.LT003_ENTITY WHERE ref_date='${ref_date}' AND nome_perimetro='Individual Local' AND segmento='ESTR' AND ambito='SRB_MBDT' AND entidade='00100')X INNER JOIN (SELECT entty_id AS entty_id_SIMUL, prsn_typ AS prsn_typ_SIMUL FROM BU_LOANTAPE_WORK.SIMUL_LT003_ENTITY WHERE ref_date='${ref_date}' AND nome_perimetro='Individual Local' AND segmento='ESTR' AND ambito='PILAR3' AND entidade='00100')Y ON X.ENTTY_ID=Y.ENTTY_ID_SIMUL</v>
      </c>
      <c r="M476" s="36" t="str">
        <f t="shared" si="10"/>
        <v>UNION ALL SELECT 'ENTITY' AS TABELA, 'COERÊNCIA' AS TIPOLOGIA_TESTE,'BU_LOANTAPE_WORK.LT003_ENTITY' AS TABELA_LT,'BU_LOANTAPE_WORK.SIMUL_LT003_ENTITY' AS TABELA_SIMUL,'prsn_typ' AS CAMPO, '${ref_date}' AS REF_DATE, COUNT(*) AS NUM_REG, SUM(IF(COALESCE(CAST(X.prsn_typ AS STRING),'')&lt;&gt;COALESCE(CAST(Y.prsn_typ_SIMUL AS STRING),'') OR (X.prsn_typ IS NULL AND Y.prsn_typ_SIMUL IS NOT NULL ) OR (X.prsn_typ IS NOT NULL AND Y.prsn_typ_SIMUL IS NULL),1,0)) AS NUM_REG_DIF,'1' AS ID_EXEC, CURRENT_TIMESTAMP() AS TIME_EXEC FROM (SELECT entty_id, prsn_typ FROM BU_LOANTAPE_WORK.LT003_ENTITY WHERE ref_date='${ref_date}' AND nome_perimetro='Individual Local' AND segmento='ESTR' AND ambito='SRB_MBDT' AND entidade='00100')X INNER JOIN (SELECT entty_id AS entty_id_SIMUL, prsn_typ AS prsn_typ_SIMUL FROM BU_LOANTAPE_WORK.SIMUL_LT003_ENTITY WHERE ref_date='${ref_date}' AND nome_perimetro='Individual Local' AND segmento='ESTR' AND ambito='PILAR3' AND entidade='00100')Y ON X.ENTTY_ID=Y.ENTTY_ID_SIMUL</v>
      </c>
    </row>
    <row r="477" spans="2:13">
      <c r="B477" s="34" t="s">
        <v>118</v>
      </c>
      <c r="C477" s="34" t="s">
        <v>5</v>
      </c>
      <c r="D477" s="34" t="str">
        <f>+UPPER('0. Instruções'!$D$35&amp;"."&amp;VLOOKUP(B477,'0. Instruções'!$C$27:$D$32,2,FALSE))</f>
        <v>BU_LOANTAPE_WORK.LT003_ENTITY</v>
      </c>
      <c r="E477" s="34" t="str">
        <f>+UPPER('0. Instruções'!$D$36&amp;"."&amp;VLOOKUP(B477,'0. Instruções'!$C$27:$E$32,3,FALSE))</f>
        <v>BU_LOANTAPE_WORK.SIMUL_LT003_ENTITY</v>
      </c>
      <c r="F477" s="34" t="s">
        <v>1481</v>
      </c>
      <c r="G477" s="34"/>
      <c r="H477" s="34"/>
      <c r="I477" s="34" t="str">
        <f>"(SELECT "&amp;VLOOKUP(B477,'0. Instruções'!$C$27:$G$32,4,FALSE)&amp;", "&amp;F477&amp;" FROM "&amp;D477&amp;" WHERE "&amp;'0. Instruções'!$D$42&amp;")X"</f>
        <v>(SELECT entty_id, fr_csh_flw FROM BU_LOANTAPE_WORK.LT003_ENTITY WHERE ref_date='${ref_date}' AND nome_perimetro='Individual Local' AND segmento='ESTR' AND ambito='SRB_MBDT' AND entidade='00100')X</v>
      </c>
      <c r="J477" s="34" t="str">
        <f>"(SELECT "&amp;VLOOKUP(B477,'0. Instruções'!$C$27:$G$32,4,FALSE)&amp;" AS "&amp;VLOOKUP(B477,'0. Instruções'!$C$27:$G$32,4,FALSE)&amp;"_SIMUL, "&amp;F477&amp;" AS "&amp;F477&amp;"_SIMUL FROM "&amp;E477&amp;" WHERE "&amp;'0. Instruções'!$D$43&amp;")Y"</f>
        <v>(SELECT entty_id AS entty_id_SIMUL, fr_csh_flw AS fr_csh_flw_SIMUL FROM BU_LOANTAPE_WORK.SIMUL_LT003_ENTITY WHERE ref_date='${ref_date}' AND nome_perimetro='Individual Local' AND segmento='ESTR' AND ambito='PILAR3' AND entidade='00100')Y</v>
      </c>
      <c r="K477" s="35" t="str">
        <f>+UPPER("ON X."&amp;VLOOKUP(B477,'0. Instruções'!$C$27:$G$32,4,FALSE)&amp;"=Y."&amp;VLOOKUP(B477,'0. Instruções'!$C$27:$G$32,4,FALSE)&amp;"_SIMUL")</f>
        <v>ON X.ENTTY_ID=Y.ENTTY_ID_SIMUL</v>
      </c>
      <c r="L477" s="35" t="str">
        <f>+IF(C477="Coerência", +IF(LEFT(G477,5)="FLOAT","SELECT '"&amp;UPPER(B477)&amp;"' AS TABELA, '"&amp;UPPER(C477)&amp;"' AS TIPOLOGIA_TESTE,'"&amp;D477&amp;"' AS TABELA_LT,'"&amp;E477&amp;"' AS TABELA_SIMUL,'"&amp;F477&amp;"' AS CAMPO, "&amp;"'${ref_date}' AS REF_DATE, COUNT(*) AS NUM_REG, SUM(IF((ABS(COALESCE(CAST(X."&amp;F477&amp;" AS DECIMAL(18,6)),0)-COALESCE(CAST(Y."&amp;F477&amp;"_SIMUL AS DECIMAL(18,6)),0))&gt;0.000001) OR (X."&amp;F477&amp;" IS NULL AND Y."&amp;F477&amp;"_SIMUL IS NOT NULL ) OR (X."&amp;F477&amp;" IS NOT NULL AND Y."&amp;F477&amp;"_SIMUL IS NULL),1,0)) AS NUM_REG_DIF,'"&amp;MAX('ID1&amp;5'!K:K)+1&amp;"' AS ID_EXEC, CURRENT_TIMESTAMP() AS TIME_EXEC FROM "&amp;I477&amp;" INNER JOIN "&amp;J477&amp;" "&amp;K477,"SELECT '"&amp;UPPER(B477)&amp;"' AS TABELA, '"&amp;UPPER(C477)&amp;"' AS TIPOLOGIA_TESTE,'"&amp;D477&amp;"' AS TABELA_LT,'"&amp;E477&amp;"' AS TABELA_SIMUL,'"&amp;F477&amp;"' AS CAMPO, "&amp;"'${ref_date}' AS REF_DATE, COUNT(*) AS NUM_REG, SUM(IF(COALESCE(CAST(X."&amp;F477&amp;" AS STRING),'')&lt;&gt;COALESCE(CAST(Y."&amp;F477&amp;"_SIMUL AS STRING),'') OR (X."&amp;F477&amp;" IS NULL AND Y."&amp;F477&amp;"_SIMUL IS NOT NULL ) OR (X."&amp;F477&amp;" IS NOT NULL AND Y."&amp;F477&amp;"_SIMUL IS NULL),1,0)) AS NUM_REG_DIF,'"&amp;MAX('ID1&amp;5'!L:L)+1&amp;"' AS ID_EXEC, CURRENT_TIMESTAMP() AS TIME_EXEC FROM "&amp;I477&amp;" INNER JOIN "&amp;J477&amp;" "&amp;K477),
IF(C477="Validade",+IF(G477="Code List","SELECT '"&amp;UPPER(B477)&amp;"' AS TABELA, '"&amp;UPPER(C477)&amp;"' AS TIPOLOGIA_TESTE,'"&amp;D477&amp;"' AS TABELA_LT,'N/A' AS TABELA_SIMUL,'"&amp;F477&amp;"' AS CAMPO, "&amp;"'${ref_date}' AS REF_DATE, COUNT(*) AS NUM_REG, SUM(IF(TRIM(CAST(X."&amp;F477&amp;" AS STRING))='' OR TRIM(CAST(X."&amp;F477&amp;" AS STRING)) IS NULL OR CAST(X."&amp;F477&amp;" AS STRING) NOT "&amp;H477&amp;",1,0)) AS NUM_REG_DIF,'"&amp;MAX('ID1&amp;5'!K:K)+1&amp;"' AS ID_EXEC, CURRENT_TIMESTAMP() AS TIME_EXEC FROM "&amp;I477,"SELECT '"&amp;UPPER(B477)&amp;"' AS TABELA, '"&amp;UPPER(C477)&amp;"' AS TIPOLOGIA_TESTE,'"&amp;D477&amp;"' AS TABELA_LT,'N/A' AS TABELA_SIMUL,'"&amp;F477&amp;"' AS CAMPO, "&amp;"'${ref_date}' AS REF_DATE, COUNT(*) AS NUM_REG, SUM(IF(TRIM(CAST(X."&amp;F477&amp;" AS STRING))='' OR TRIM(CAST(X."&amp;F477&amp;" AS STRING)) IS NULL,1,0)) AS NUM_REG_DIF,'"&amp;MAX('ID1&amp;5'!K:K)+1&amp;"' AS ID_EXEC, CURRENT_TIMESTAMP() AS TIME_EXEC FROM "&amp;I477),
IF(C477="Caracteres Especiais",+"SELECT '"&amp;UPPER(B477)&amp;"' AS TABELA, '"&amp;UPPER(C477)&amp;"' AS TIPOLOGIA_TESTE,'"&amp;D477&amp;"' AS TABELA_LT,'N/A' AS TABELA_SIMUL,'"&amp;F477&amp;"' AS CAMPO, "&amp;"'${ref_date}' AS REF_DATE, COUNT(*) AS NUM_REG, SUM(IF(REGEXP_REPLACE(TRIM(CAST(X."&amp;F477&amp;" AS STRING)),'[^a-zA-Z0-9_\\s]','') &lt;&gt;TRIM(CAST(X."&amp;F477&amp;" AS STRING)),1,0)) AS NUM_REG_DIF,'"&amp;MAX('ID1&amp;5'!K:K)+1&amp;"' AS ID_EXEC, CURRENT_TIMESTAMP() AS TIME_EXEC FROM "&amp;I477,
IF(C477="Missings",+"SELECT '"&amp;UPPER(B477)&amp;"' AS TABELA, '"&amp;UPPER(C477)&amp;"' AS TIPOLOGIA_TESTE,'"&amp;D477&amp;"' AS TABELA_LT,'N/A' AS TABELA_SIMUL,'"&amp;F477&amp;"' AS CAMPO, "&amp;"'${ref_date}' AS REF_DATE, COUNT(*) AS NUM_REG, SUM(IF(TRIM(CAST(X."&amp;F477&amp;" AS STRING)) IN ('0000-00-00','0001-01-01','9999-12-31','MISS','00000','99999999999','99999999999.00','99999999999.000000'),1,0)) AS NUM_REG_DIF,'"&amp;MAX('ID1&amp;5'!K:K)+1&amp;"' AS ID_EXEC, CURRENT_TIMESTAMP() AS TIME_EXEC FROM "&amp;I477,
IF(C477="Not applicable",+"SELECT '"&amp;UPPER(B477)&amp;"' AS TABELA, '"&amp;UPPER(C477)&amp;"' AS TIPOLOGIA_TESTE,'"&amp;D477&amp;"' AS TABELA_LT,'N/A' AS TABELA_SIMUL,'"&amp;F477&amp;"' AS CAMPO, "&amp;"'${ref_date}' AS REF_DATE, COUNT(*) AS NUM_REG, SUM(IF(TRIM(CAST(X."&amp;F477&amp;" AS STRING)) IN ('N/A','11111111111','11111111111.00','11111111111.000000','1111-11-11'),1,0)) AS NUM_REG_DIF,'"&amp;MAX('ID1&amp;5'!K:K)+1&amp;"' AS ID_EXEC, CURRENT_TIMESTAMP() AS TIME_EXEC FROM "&amp;I477,
IF(C477="Valores extremos",+"SELECT '"&amp;UPPER(B477)&amp;"' AS TABELA, '"&amp;UPPER(C477)&amp;"' AS TIPOLOGIA_TESTE,'"&amp;D477&amp;"' AS TABELA_LT,'N/A' AS TABELA_SIMUL,'"&amp;F477&amp;"' AS CAMPO, "&amp;"'${ref_date}' AS REF_DATE, CAST(MIN("&amp;F477&amp;") AS STRING) AS VALOR_MIN, CAST(MAX("&amp;F477&amp;") AS STRING) AS VALOR_MAX,'"&amp;MAX('ID1&amp;5'!K:K)+1&amp;"' AS ID_EXEC, CURRENT_TIMESTAMP() AS TIME_EXEC FROM "&amp;MID(I477,1,LEN(I477)-2)&amp;" AND CAST("&amp;F477&amp;"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TABELA_SIMUL,'fr_csh_flw' AS CAMPO, '${ref_date}' AS REF_DATE, COUNT(*) AS NUM_REG, SUM(IF(COALESCE(CAST(X.fr_csh_flw AS STRING),'')&lt;&gt;COALESCE(CAST(Y.fr_csh_flw_SIMUL AS STRING),'') OR (X.fr_csh_flw IS NULL AND Y.fr_csh_flw_SIMUL IS NOT NULL ) OR (X.fr_csh_flw IS NOT NULL AND Y.fr_csh_flw_SIMUL IS NULL),1,0)) AS NUM_REG_DIF,'1' AS ID_EXEC, CURRENT_TIMESTAMP() AS TIME_EXEC FROM (SELECT entty_id, fr_csh_flw FROM BU_LOANTAPE_WORK.LT003_ENTITY WHERE ref_date='${ref_date}' AND nome_perimetro='Individual Local' AND segmento='ESTR' AND ambito='SRB_MBDT' AND entidade='00100')X INNER JOIN (SELECT entty_id AS entty_id_SIMUL, fr_csh_flw AS fr_csh_flw_SIMUL FROM BU_LOANTAPE_WORK.SIMUL_LT003_ENTITY WHERE ref_date='${ref_date}' AND nome_perimetro='Individual Local' AND segmento='ESTR' AND ambito='PILAR3' AND entidade='00100')Y ON X.ENTTY_ID=Y.ENTTY_ID_SIMUL</v>
      </c>
      <c r="M477" s="36" t="str">
        <f t="shared" si="10"/>
        <v>UNION ALL SELECT 'ENTITY' AS TABELA, 'COERÊNCIA' AS TIPOLOGIA_TESTE,'BU_LOANTAPE_WORK.LT003_ENTITY' AS TABELA_LT,'BU_LOANTAPE_WORK.SIMUL_LT003_ENTITY' AS TABELA_SIMUL,'fr_csh_flw' AS CAMPO, '${ref_date}' AS REF_DATE, COUNT(*) AS NUM_REG, SUM(IF(COALESCE(CAST(X.fr_csh_flw AS STRING),'')&lt;&gt;COALESCE(CAST(Y.fr_csh_flw_SIMUL AS STRING),'') OR (X.fr_csh_flw IS NULL AND Y.fr_csh_flw_SIMUL IS NOT NULL ) OR (X.fr_csh_flw IS NOT NULL AND Y.fr_csh_flw_SIMUL IS NULL),1,0)) AS NUM_REG_DIF,'1' AS ID_EXEC, CURRENT_TIMESTAMP() AS TIME_EXEC FROM (SELECT entty_id, fr_csh_flw FROM BU_LOANTAPE_WORK.LT003_ENTITY WHERE ref_date='${ref_date}' AND nome_perimetro='Individual Local' AND segmento='ESTR' AND ambito='SRB_MBDT' AND entidade='00100')X INNER JOIN (SELECT entty_id AS entty_id_SIMUL, fr_csh_flw AS fr_csh_flw_SIMUL FROM BU_LOANTAPE_WORK.SIMUL_LT003_ENTITY WHERE ref_date='${ref_date}' AND nome_perimetro='Individual Local' AND segmento='ESTR' AND ambito='PILAR3' AND entidade='00100')Y ON X.ENTTY_ID=Y.ENTTY_ID_SIMUL</v>
      </c>
    </row>
    <row r="478" spans="2:13">
      <c r="B478" s="34" t="s">
        <v>118</v>
      </c>
      <c r="C478" s="34" t="s">
        <v>5</v>
      </c>
      <c r="D478" s="34" t="str">
        <f>+UPPER('0. Instruções'!$D$35&amp;"."&amp;VLOOKUP(B478,'0. Instruções'!$C$27:$D$32,2,FALSE))</f>
        <v>BU_LOANTAPE_WORK.LT003_ENTITY</v>
      </c>
      <c r="E478" s="34" t="str">
        <f>+UPPER('0. Instruções'!$D$36&amp;"."&amp;VLOOKUP(B478,'0. Instruções'!$C$27:$E$32,3,FALSE))</f>
        <v>BU_LOANTAPE_WORK.SIMUL_LT003_ENTITY</v>
      </c>
      <c r="F478" s="34" t="s">
        <v>1482</v>
      </c>
      <c r="G478" s="34"/>
      <c r="H478" s="34"/>
      <c r="I478" s="34" t="str">
        <f>"(SELECT "&amp;VLOOKUP(B478,'0. Instruções'!$C$27:$G$32,4,FALSE)&amp;", "&amp;F478&amp;" FROM "&amp;D478&amp;" WHERE "&amp;'0. Instruções'!$D$42&amp;")X"</f>
        <v>(SELECT entty_id, fr_csh_flw_t1 FROM BU_LOANTAPE_WORK.LT003_ENTITY WHERE ref_date='${ref_date}' AND nome_perimetro='Individual Local' AND segmento='ESTR' AND ambito='SRB_MBDT' AND entidade='00100')X</v>
      </c>
      <c r="J478" s="34" t="str">
        <f>"(SELECT "&amp;VLOOKUP(B478,'0. Instruções'!$C$27:$G$32,4,FALSE)&amp;" AS "&amp;VLOOKUP(B478,'0. Instruções'!$C$27:$G$32,4,FALSE)&amp;"_SIMUL, "&amp;F478&amp;" AS "&amp;F478&amp;"_SIMUL FROM "&amp;E478&amp;" WHERE "&amp;'0. Instruções'!$D$43&amp;")Y"</f>
        <v>(SELECT entty_id AS entty_id_SIMUL, fr_csh_flw_t1 AS fr_csh_flw_t1_SIMUL FROM BU_LOANTAPE_WORK.SIMUL_LT003_ENTITY WHERE ref_date='${ref_date}' AND nome_perimetro='Individual Local' AND segmento='ESTR' AND ambito='PILAR3' AND entidade='00100')Y</v>
      </c>
      <c r="K478" s="35" t="str">
        <f>+UPPER("ON X."&amp;VLOOKUP(B478,'0. Instruções'!$C$27:$G$32,4,FALSE)&amp;"=Y."&amp;VLOOKUP(B478,'0. Instruções'!$C$27:$G$32,4,FALSE)&amp;"_SIMUL")</f>
        <v>ON X.ENTTY_ID=Y.ENTTY_ID_SIMUL</v>
      </c>
      <c r="L478" s="35" t="str">
        <f>+IF(C478="Coerência", +IF(LEFT(G478,5)="FLOAT","SELECT '"&amp;UPPER(B478)&amp;"' AS TABELA, '"&amp;UPPER(C478)&amp;"' AS TIPOLOGIA_TESTE,'"&amp;D478&amp;"' AS TABELA_LT,'"&amp;E478&amp;"' AS TABELA_SIMUL,'"&amp;F478&amp;"' AS CAMPO, "&amp;"'${ref_date}' AS REF_DATE, COUNT(*) AS NUM_REG, SUM(IF((ABS(COALESCE(CAST(X."&amp;F478&amp;" AS DECIMAL(18,6)),0)-COALESCE(CAST(Y."&amp;F478&amp;"_SIMUL AS DECIMAL(18,6)),0))&gt;0.000001) OR (X."&amp;F478&amp;" IS NULL AND Y."&amp;F478&amp;"_SIMUL IS NOT NULL ) OR (X."&amp;F478&amp;" IS NOT NULL AND Y."&amp;F478&amp;"_SIMUL IS NULL),1,0)) AS NUM_REG_DIF,'"&amp;MAX('ID1&amp;5'!K:K)+1&amp;"' AS ID_EXEC, CURRENT_TIMESTAMP() AS TIME_EXEC FROM "&amp;I478&amp;" INNER JOIN "&amp;J478&amp;" "&amp;K478,"SELECT '"&amp;UPPER(B478)&amp;"' AS TABELA, '"&amp;UPPER(C478)&amp;"' AS TIPOLOGIA_TESTE,'"&amp;D478&amp;"' AS TABELA_LT,'"&amp;E478&amp;"' AS TABELA_SIMUL,'"&amp;F478&amp;"' AS CAMPO, "&amp;"'${ref_date}' AS REF_DATE, COUNT(*) AS NUM_REG, SUM(IF(COALESCE(CAST(X."&amp;F478&amp;" AS STRING),'')&lt;&gt;COALESCE(CAST(Y."&amp;F478&amp;"_SIMUL AS STRING),'') OR (X."&amp;F478&amp;" IS NULL AND Y."&amp;F478&amp;"_SIMUL IS NOT NULL ) OR (X."&amp;F478&amp;" IS NOT NULL AND Y."&amp;F478&amp;"_SIMUL IS NULL),1,0)) AS NUM_REG_DIF,'"&amp;MAX('ID1&amp;5'!L:L)+1&amp;"' AS ID_EXEC, CURRENT_TIMESTAMP() AS TIME_EXEC FROM "&amp;I478&amp;" INNER JOIN "&amp;J478&amp;" "&amp;K478),
IF(C478="Validade",+IF(G478="Code List","SELECT '"&amp;UPPER(B478)&amp;"' AS TABELA, '"&amp;UPPER(C478)&amp;"' AS TIPOLOGIA_TESTE,'"&amp;D478&amp;"' AS TABELA_LT,'N/A' AS TABELA_SIMUL,'"&amp;F478&amp;"' AS CAMPO, "&amp;"'${ref_date}' AS REF_DATE, COUNT(*) AS NUM_REG, SUM(IF(TRIM(CAST(X."&amp;F478&amp;" AS STRING))='' OR TRIM(CAST(X."&amp;F478&amp;" AS STRING)) IS NULL OR CAST(X."&amp;F478&amp;" AS STRING) NOT "&amp;H478&amp;",1,0)) AS NUM_REG_DIF,'"&amp;MAX('ID1&amp;5'!K:K)+1&amp;"' AS ID_EXEC, CURRENT_TIMESTAMP() AS TIME_EXEC FROM "&amp;I478,"SELECT '"&amp;UPPER(B478)&amp;"' AS TABELA, '"&amp;UPPER(C478)&amp;"' AS TIPOLOGIA_TESTE,'"&amp;D478&amp;"' AS TABELA_LT,'N/A' AS TABELA_SIMUL,'"&amp;F478&amp;"' AS CAMPO, "&amp;"'${ref_date}' AS REF_DATE, COUNT(*) AS NUM_REG, SUM(IF(TRIM(CAST(X."&amp;F478&amp;" AS STRING))='' OR TRIM(CAST(X."&amp;F478&amp;" AS STRING)) IS NULL,1,0)) AS NUM_REG_DIF,'"&amp;MAX('ID1&amp;5'!K:K)+1&amp;"' AS ID_EXEC, CURRENT_TIMESTAMP() AS TIME_EXEC FROM "&amp;I478),
IF(C478="Caracteres Especiais",+"SELECT '"&amp;UPPER(B478)&amp;"' AS TABELA, '"&amp;UPPER(C478)&amp;"' AS TIPOLOGIA_TESTE,'"&amp;D478&amp;"' AS TABELA_LT,'N/A' AS TABELA_SIMUL,'"&amp;F478&amp;"' AS CAMPO, "&amp;"'${ref_date}' AS REF_DATE, COUNT(*) AS NUM_REG, SUM(IF(REGEXP_REPLACE(TRIM(CAST(X."&amp;F478&amp;" AS STRING)),'[^a-zA-Z0-9_\\s]','') &lt;&gt;TRIM(CAST(X."&amp;F478&amp;" AS STRING)),1,0)) AS NUM_REG_DIF,'"&amp;MAX('ID1&amp;5'!K:K)+1&amp;"' AS ID_EXEC, CURRENT_TIMESTAMP() AS TIME_EXEC FROM "&amp;I478,
IF(C478="Missings",+"SELECT '"&amp;UPPER(B478)&amp;"' AS TABELA, '"&amp;UPPER(C478)&amp;"' AS TIPOLOGIA_TESTE,'"&amp;D478&amp;"' AS TABELA_LT,'N/A' AS TABELA_SIMUL,'"&amp;F478&amp;"' AS CAMPO, "&amp;"'${ref_date}' AS REF_DATE, COUNT(*) AS NUM_REG, SUM(IF(TRIM(CAST(X."&amp;F478&amp;" AS STRING)) IN ('0000-00-00','0001-01-01','9999-12-31','MISS','00000','99999999999','99999999999.00','99999999999.000000'),1,0)) AS NUM_REG_DIF,'"&amp;MAX('ID1&amp;5'!K:K)+1&amp;"' AS ID_EXEC, CURRENT_TIMESTAMP() AS TIME_EXEC FROM "&amp;I478,
IF(C478="Not applicable",+"SELECT '"&amp;UPPER(B478)&amp;"' AS TABELA, '"&amp;UPPER(C478)&amp;"' AS TIPOLOGIA_TESTE,'"&amp;D478&amp;"' AS TABELA_LT,'N/A' AS TABELA_SIMUL,'"&amp;F478&amp;"' AS CAMPO, "&amp;"'${ref_date}' AS REF_DATE, COUNT(*) AS NUM_REG, SUM(IF(TRIM(CAST(X."&amp;F478&amp;" AS STRING)) IN ('N/A','11111111111','11111111111.00','11111111111.000000','1111-11-11'),1,0)) AS NUM_REG_DIF,'"&amp;MAX('ID1&amp;5'!K:K)+1&amp;"' AS ID_EXEC, CURRENT_TIMESTAMP() AS TIME_EXEC FROM "&amp;I478,
IF(C478="Valores extremos",+"SELECT '"&amp;UPPER(B478)&amp;"' AS TABELA, '"&amp;UPPER(C478)&amp;"' AS TIPOLOGIA_TESTE,'"&amp;D478&amp;"' AS TABELA_LT,'N/A' AS TABELA_SIMUL,'"&amp;F478&amp;"' AS CAMPO, "&amp;"'${ref_date}' AS REF_DATE, CAST(MIN("&amp;F478&amp;") AS STRING) AS VALOR_MIN, CAST(MAX("&amp;F478&amp;") AS STRING) AS VALOR_MAX,'"&amp;MAX('ID1&amp;5'!K:K)+1&amp;"' AS ID_EXEC, CURRENT_TIMESTAMP() AS TIME_EXEC FROM "&amp;MID(I478,1,LEN(I478)-2)&amp;" AND CAST("&amp;F478&amp;"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TABELA_SIMUL,'fr_csh_flw_t1' AS CAMPO, '${ref_date}' AS REF_DATE, COUNT(*) AS NUM_REG, SUM(IF(COALESCE(CAST(X.fr_csh_flw_t1 AS STRING),'')&lt;&gt;COALESCE(CAST(Y.fr_csh_flw_t1_SIMUL AS STRING),'') OR (X.fr_csh_flw_t1 IS NULL AND Y.fr_csh_flw_t1_SIMUL IS NOT NULL ) OR (X.fr_csh_flw_t1 IS NOT NULL AND Y.fr_csh_flw_t1_SIMUL IS NULL),1,0)) AS NUM_REG_DIF,'1' AS ID_EXEC, CURRENT_TIMESTAMP() AS TIME_EXEC FROM (SELECT entty_id, fr_csh_flw_t1 FROM BU_LOANTAPE_WORK.LT003_ENTITY WHERE ref_date='${ref_date}' AND nome_perimetro='Individual Local' AND segmento='ESTR' AND ambito='SRB_MBDT' AND entidade='00100')X INNER JOIN (SELECT entty_id AS entty_id_SIMUL, fr_csh_flw_t1 AS fr_csh_flw_t1_SIMUL FROM BU_LOANTAPE_WORK.SIMUL_LT003_ENTITY WHERE ref_date='${ref_date}' AND nome_perimetro='Individual Local' AND segmento='ESTR' AND ambito='PILAR3' AND entidade='00100')Y ON X.ENTTY_ID=Y.ENTTY_ID_SIMUL</v>
      </c>
      <c r="M478" s="36" t="str">
        <f t="shared" si="10"/>
        <v>UNION ALL SELECT 'ENTITY' AS TABELA, 'COERÊNCIA' AS TIPOLOGIA_TESTE,'BU_LOANTAPE_WORK.LT003_ENTITY' AS TABELA_LT,'BU_LOANTAPE_WORK.SIMUL_LT003_ENTITY' AS TABELA_SIMUL,'fr_csh_flw_t1' AS CAMPO, '${ref_date}' AS REF_DATE, COUNT(*) AS NUM_REG, SUM(IF(COALESCE(CAST(X.fr_csh_flw_t1 AS STRING),'')&lt;&gt;COALESCE(CAST(Y.fr_csh_flw_t1_SIMUL AS STRING),'') OR (X.fr_csh_flw_t1 IS NULL AND Y.fr_csh_flw_t1_SIMUL IS NOT NULL ) OR (X.fr_csh_flw_t1 IS NOT NULL AND Y.fr_csh_flw_t1_SIMUL IS NULL),1,0)) AS NUM_REG_DIF,'1' AS ID_EXEC, CURRENT_TIMESTAMP() AS TIME_EXEC FROM (SELECT entty_id, fr_csh_flw_t1 FROM BU_LOANTAPE_WORK.LT003_ENTITY WHERE ref_date='${ref_date}' AND nome_perimetro='Individual Local' AND segmento='ESTR' AND ambito='SRB_MBDT' AND entidade='00100')X INNER JOIN (SELECT entty_id AS entty_id_SIMUL, fr_csh_flw_t1 AS fr_csh_flw_t1_SIMUL FROM BU_LOANTAPE_WORK.SIMUL_LT003_ENTITY WHERE ref_date='${ref_date}' AND nome_perimetro='Individual Local' AND segmento='ESTR' AND ambito='PILAR3' AND entidade='00100')Y ON X.ENTTY_ID=Y.ENTTY_ID_SIMUL</v>
      </c>
    </row>
    <row r="479" spans="2:13">
      <c r="B479" s="34" t="s">
        <v>118</v>
      </c>
      <c r="C479" s="34" t="s">
        <v>5</v>
      </c>
      <c r="D479" s="34" t="str">
        <f>+UPPER('0. Instruções'!$D$35&amp;"."&amp;VLOOKUP(B479,'0. Instruções'!$C$27:$D$32,2,FALSE))</f>
        <v>BU_LOANTAPE_WORK.LT003_ENTITY</v>
      </c>
      <c r="E479" s="34" t="str">
        <f>+UPPER('0. Instruções'!$D$36&amp;"."&amp;VLOOKUP(B479,'0. Instruções'!$C$27:$E$32,3,FALSE))</f>
        <v>BU_LOANTAPE_WORK.SIMUL_LT003_ENTITY</v>
      </c>
      <c r="F479" s="34" t="s">
        <v>1483</v>
      </c>
      <c r="G479" s="34"/>
      <c r="H479" s="34"/>
      <c r="I479" s="34" t="str">
        <f>"(SELECT "&amp;VLOOKUP(B479,'0. Instruções'!$C$27:$G$32,4,FALSE)&amp;", "&amp;F479&amp;" FROM "&amp;D479&amp;" WHERE "&amp;'0. Instruções'!$D$42&amp;")X"</f>
        <v>(SELECT entty_id, fr_csh_flw_t2 FROM BU_LOANTAPE_WORK.LT003_ENTITY WHERE ref_date='${ref_date}' AND nome_perimetro='Individual Local' AND segmento='ESTR' AND ambito='SRB_MBDT' AND entidade='00100')X</v>
      </c>
      <c r="J479" s="34" t="str">
        <f>"(SELECT "&amp;VLOOKUP(B479,'0. Instruções'!$C$27:$G$32,4,FALSE)&amp;" AS "&amp;VLOOKUP(B479,'0. Instruções'!$C$27:$G$32,4,FALSE)&amp;"_SIMUL, "&amp;F479&amp;" AS "&amp;F479&amp;"_SIMUL FROM "&amp;E479&amp;" WHERE "&amp;'0. Instruções'!$D$43&amp;")Y"</f>
        <v>(SELECT entty_id AS entty_id_SIMUL, fr_csh_flw_t2 AS fr_csh_flw_t2_SIMUL FROM BU_LOANTAPE_WORK.SIMUL_LT003_ENTITY WHERE ref_date='${ref_date}' AND nome_perimetro='Individual Local' AND segmento='ESTR' AND ambito='PILAR3' AND entidade='00100')Y</v>
      </c>
      <c r="K479" s="35" t="str">
        <f>+UPPER("ON X."&amp;VLOOKUP(B479,'0. Instruções'!$C$27:$G$32,4,FALSE)&amp;"=Y."&amp;VLOOKUP(B479,'0. Instruções'!$C$27:$G$32,4,FALSE)&amp;"_SIMUL")</f>
        <v>ON X.ENTTY_ID=Y.ENTTY_ID_SIMUL</v>
      </c>
      <c r="L479" s="35" t="str">
        <f>+IF(C479="Coerência", +IF(LEFT(G479,5)="FLOAT","SELECT '"&amp;UPPER(B479)&amp;"' AS TABELA, '"&amp;UPPER(C479)&amp;"' AS TIPOLOGIA_TESTE,'"&amp;D479&amp;"' AS TABELA_LT,'"&amp;E479&amp;"' AS TABELA_SIMUL,'"&amp;F479&amp;"' AS CAMPO, "&amp;"'${ref_date}' AS REF_DATE, COUNT(*) AS NUM_REG, SUM(IF((ABS(COALESCE(CAST(X."&amp;F479&amp;" AS DECIMAL(18,6)),0)-COALESCE(CAST(Y."&amp;F479&amp;"_SIMUL AS DECIMAL(18,6)),0))&gt;0.000001) OR (X."&amp;F479&amp;" IS NULL AND Y."&amp;F479&amp;"_SIMUL IS NOT NULL ) OR (X."&amp;F479&amp;" IS NOT NULL AND Y."&amp;F479&amp;"_SIMUL IS NULL),1,0)) AS NUM_REG_DIF,'"&amp;MAX('ID1&amp;5'!K:K)+1&amp;"' AS ID_EXEC, CURRENT_TIMESTAMP() AS TIME_EXEC FROM "&amp;I479&amp;" INNER JOIN "&amp;J479&amp;" "&amp;K479,"SELECT '"&amp;UPPER(B479)&amp;"' AS TABELA, '"&amp;UPPER(C479)&amp;"' AS TIPOLOGIA_TESTE,'"&amp;D479&amp;"' AS TABELA_LT,'"&amp;E479&amp;"' AS TABELA_SIMUL,'"&amp;F479&amp;"' AS CAMPO, "&amp;"'${ref_date}' AS REF_DATE, COUNT(*) AS NUM_REG, SUM(IF(COALESCE(CAST(X."&amp;F479&amp;" AS STRING),'')&lt;&gt;COALESCE(CAST(Y."&amp;F479&amp;"_SIMUL AS STRING),'') OR (X."&amp;F479&amp;" IS NULL AND Y."&amp;F479&amp;"_SIMUL IS NOT NULL ) OR (X."&amp;F479&amp;" IS NOT NULL AND Y."&amp;F479&amp;"_SIMUL IS NULL),1,0)) AS NUM_REG_DIF,'"&amp;MAX('ID1&amp;5'!L:L)+1&amp;"' AS ID_EXEC, CURRENT_TIMESTAMP() AS TIME_EXEC FROM "&amp;I479&amp;" INNER JOIN "&amp;J479&amp;" "&amp;K479),
IF(C479="Validade",+IF(G479="Code List","SELECT '"&amp;UPPER(B479)&amp;"' AS TABELA, '"&amp;UPPER(C479)&amp;"' AS TIPOLOGIA_TESTE,'"&amp;D479&amp;"' AS TABELA_LT,'N/A' AS TABELA_SIMUL,'"&amp;F479&amp;"' AS CAMPO, "&amp;"'${ref_date}' AS REF_DATE, COUNT(*) AS NUM_REG, SUM(IF(TRIM(CAST(X."&amp;F479&amp;" AS STRING))='' OR TRIM(CAST(X."&amp;F479&amp;" AS STRING)) IS NULL OR CAST(X."&amp;F479&amp;" AS STRING) NOT "&amp;H479&amp;",1,0)) AS NUM_REG_DIF,'"&amp;MAX('ID1&amp;5'!K:K)+1&amp;"' AS ID_EXEC, CURRENT_TIMESTAMP() AS TIME_EXEC FROM "&amp;I479,"SELECT '"&amp;UPPER(B479)&amp;"' AS TABELA, '"&amp;UPPER(C479)&amp;"' AS TIPOLOGIA_TESTE,'"&amp;D479&amp;"' AS TABELA_LT,'N/A' AS TABELA_SIMUL,'"&amp;F479&amp;"' AS CAMPO, "&amp;"'${ref_date}' AS REF_DATE, COUNT(*) AS NUM_REG, SUM(IF(TRIM(CAST(X."&amp;F479&amp;" AS STRING))='' OR TRIM(CAST(X."&amp;F479&amp;" AS STRING)) IS NULL,1,0)) AS NUM_REG_DIF,'"&amp;MAX('ID1&amp;5'!K:K)+1&amp;"' AS ID_EXEC, CURRENT_TIMESTAMP() AS TIME_EXEC FROM "&amp;I479),
IF(C479="Caracteres Especiais",+"SELECT '"&amp;UPPER(B479)&amp;"' AS TABELA, '"&amp;UPPER(C479)&amp;"' AS TIPOLOGIA_TESTE,'"&amp;D479&amp;"' AS TABELA_LT,'N/A' AS TABELA_SIMUL,'"&amp;F479&amp;"' AS CAMPO, "&amp;"'${ref_date}' AS REF_DATE, COUNT(*) AS NUM_REG, SUM(IF(REGEXP_REPLACE(TRIM(CAST(X."&amp;F479&amp;" AS STRING)),'[^a-zA-Z0-9_\\s]','') &lt;&gt;TRIM(CAST(X."&amp;F479&amp;" AS STRING)),1,0)) AS NUM_REG_DIF,'"&amp;MAX('ID1&amp;5'!K:K)+1&amp;"' AS ID_EXEC, CURRENT_TIMESTAMP() AS TIME_EXEC FROM "&amp;I479,
IF(C479="Missings",+"SELECT '"&amp;UPPER(B479)&amp;"' AS TABELA, '"&amp;UPPER(C479)&amp;"' AS TIPOLOGIA_TESTE,'"&amp;D479&amp;"' AS TABELA_LT,'N/A' AS TABELA_SIMUL,'"&amp;F479&amp;"' AS CAMPO, "&amp;"'${ref_date}' AS REF_DATE, COUNT(*) AS NUM_REG, SUM(IF(TRIM(CAST(X."&amp;F479&amp;" AS STRING)) IN ('0000-00-00','0001-01-01','9999-12-31','MISS','00000','99999999999','99999999999.00','99999999999.000000'),1,0)) AS NUM_REG_DIF,'"&amp;MAX('ID1&amp;5'!K:K)+1&amp;"' AS ID_EXEC, CURRENT_TIMESTAMP() AS TIME_EXEC FROM "&amp;I479,
IF(C479="Not applicable",+"SELECT '"&amp;UPPER(B479)&amp;"' AS TABELA, '"&amp;UPPER(C479)&amp;"' AS TIPOLOGIA_TESTE,'"&amp;D479&amp;"' AS TABELA_LT,'N/A' AS TABELA_SIMUL,'"&amp;F479&amp;"' AS CAMPO, "&amp;"'${ref_date}' AS REF_DATE, COUNT(*) AS NUM_REG, SUM(IF(TRIM(CAST(X."&amp;F479&amp;" AS STRING)) IN ('N/A','11111111111','11111111111.00','11111111111.000000','1111-11-11'),1,0)) AS NUM_REG_DIF,'"&amp;MAX('ID1&amp;5'!K:K)+1&amp;"' AS ID_EXEC, CURRENT_TIMESTAMP() AS TIME_EXEC FROM "&amp;I479,
IF(C479="Valores extremos",+"SELECT '"&amp;UPPER(B479)&amp;"' AS TABELA, '"&amp;UPPER(C479)&amp;"' AS TIPOLOGIA_TESTE,'"&amp;D479&amp;"' AS TABELA_LT,'N/A' AS TABELA_SIMUL,'"&amp;F479&amp;"' AS CAMPO, "&amp;"'${ref_date}' AS REF_DATE, CAST(MIN("&amp;F479&amp;") AS STRING) AS VALOR_MIN, CAST(MAX("&amp;F479&amp;") AS STRING) AS VALOR_MAX,'"&amp;MAX('ID1&amp;5'!K:K)+1&amp;"' AS ID_EXEC, CURRENT_TIMESTAMP() AS TIME_EXEC FROM "&amp;MID(I479,1,LEN(I479)-2)&amp;" AND CAST("&amp;F479&amp;"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TABELA_SIMUL,'fr_csh_flw_t2' AS CAMPO, '${ref_date}' AS REF_DATE, COUNT(*) AS NUM_REG, SUM(IF(COALESCE(CAST(X.fr_csh_flw_t2 AS STRING),'')&lt;&gt;COALESCE(CAST(Y.fr_csh_flw_t2_SIMUL AS STRING),'') OR (X.fr_csh_flw_t2 IS NULL AND Y.fr_csh_flw_t2_SIMUL IS NOT NULL ) OR (X.fr_csh_flw_t2 IS NOT NULL AND Y.fr_csh_flw_t2_SIMUL IS NULL),1,0)) AS NUM_REG_DIF,'1' AS ID_EXEC, CURRENT_TIMESTAMP() AS TIME_EXEC FROM (SELECT entty_id, fr_csh_flw_t2 FROM BU_LOANTAPE_WORK.LT003_ENTITY WHERE ref_date='${ref_date}' AND nome_perimetro='Individual Local' AND segmento='ESTR' AND ambito='SRB_MBDT' AND entidade='00100')X INNER JOIN (SELECT entty_id AS entty_id_SIMUL, fr_csh_flw_t2 AS fr_csh_flw_t2_SIMUL FROM BU_LOANTAPE_WORK.SIMUL_LT003_ENTITY WHERE ref_date='${ref_date}' AND nome_perimetro='Individual Local' AND segmento='ESTR' AND ambito='PILAR3' AND entidade='00100')Y ON X.ENTTY_ID=Y.ENTTY_ID_SIMUL</v>
      </c>
      <c r="M479" s="36" t="str">
        <f t="shared" si="10"/>
        <v>UNION ALL SELECT 'ENTITY' AS TABELA, 'COERÊNCIA' AS TIPOLOGIA_TESTE,'BU_LOANTAPE_WORK.LT003_ENTITY' AS TABELA_LT,'BU_LOANTAPE_WORK.SIMUL_LT003_ENTITY' AS TABELA_SIMUL,'fr_csh_flw_t2' AS CAMPO, '${ref_date}' AS REF_DATE, COUNT(*) AS NUM_REG, SUM(IF(COALESCE(CAST(X.fr_csh_flw_t2 AS STRING),'')&lt;&gt;COALESCE(CAST(Y.fr_csh_flw_t2_SIMUL AS STRING),'') OR (X.fr_csh_flw_t2 IS NULL AND Y.fr_csh_flw_t2_SIMUL IS NOT NULL ) OR (X.fr_csh_flw_t2 IS NOT NULL AND Y.fr_csh_flw_t2_SIMUL IS NULL),1,0)) AS NUM_REG_DIF,'1' AS ID_EXEC, CURRENT_TIMESTAMP() AS TIME_EXEC FROM (SELECT entty_id, fr_csh_flw_t2 FROM BU_LOANTAPE_WORK.LT003_ENTITY WHERE ref_date='${ref_date}' AND nome_perimetro='Individual Local' AND segmento='ESTR' AND ambito='SRB_MBDT' AND entidade='00100')X INNER JOIN (SELECT entty_id AS entty_id_SIMUL, fr_csh_flw_t2 AS fr_csh_flw_t2_SIMUL FROM BU_LOANTAPE_WORK.SIMUL_LT003_ENTITY WHERE ref_date='${ref_date}' AND nome_perimetro='Individual Local' AND segmento='ESTR' AND ambito='PILAR3' AND entidade='00100')Y ON X.ENTTY_ID=Y.ENTTY_ID_SIMUL</v>
      </c>
    </row>
    <row r="480" spans="2:13">
      <c r="B480" s="34" t="s">
        <v>118</v>
      </c>
      <c r="C480" s="34" t="s">
        <v>5</v>
      </c>
      <c r="D480" s="34" t="str">
        <f>+UPPER('0. Instruções'!$D$35&amp;"."&amp;VLOOKUP(B480,'0. Instruções'!$C$27:$D$32,2,FALSE))</f>
        <v>BU_LOANTAPE_WORK.LT003_ENTITY</v>
      </c>
      <c r="E480" s="34" t="str">
        <f>+UPPER('0. Instruções'!$D$36&amp;"."&amp;VLOOKUP(B480,'0. Instruções'!$C$27:$E$32,3,FALSE))</f>
        <v>BU_LOANTAPE_WORK.SIMUL_LT003_ENTITY</v>
      </c>
      <c r="F480" s="34" t="s">
        <v>1484</v>
      </c>
      <c r="G480" s="34"/>
      <c r="H480" s="34"/>
      <c r="I480" s="34" t="str">
        <f>"(SELECT "&amp;VLOOKUP(B480,'0. Instruções'!$C$27:$G$32,4,FALSE)&amp;", "&amp;F480&amp;" FROM "&amp;D480&amp;" WHERE "&amp;'0. Instruções'!$D$42&amp;")X"</f>
        <v>(SELECT entty_id, fr_csh_flw_t3 FROM BU_LOANTAPE_WORK.LT003_ENTITY WHERE ref_date='${ref_date}' AND nome_perimetro='Individual Local' AND segmento='ESTR' AND ambito='SRB_MBDT' AND entidade='00100')X</v>
      </c>
      <c r="J480" s="34" t="str">
        <f>"(SELECT "&amp;VLOOKUP(B480,'0. Instruções'!$C$27:$G$32,4,FALSE)&amp;" AS "&amp;VLOOKUP(B480,'0. Instruções'!$C$27:$G$32,4,FALSE)&amp;"_SIMUL, "&amp;F480&amp;" AS "&amp;F480&amp;"_SIMUL FROM "&amp;E480&amp;" WHERE "&amp;'0. Instruções'!$D$43&amp;")Y"</f>
        <v>(SELECT entty_id AS entty_id_SIMUL, fr_csh_flw_t3 AS fr_csh_flw_t3_SIMUL FROM BU_LOANTAPE_WORK.SIMUL_LT003_ENTITY WHERE ref_date='${ref_date}' AND nome_perimetro='Individual Local' AND segmento='ESTR' AND ambito='PILAR3' AND entidade='00100')Y</v>
      </c>
      <c r="K480" s="35" t="str">
        <f>+UPPER("ON X."&amp;VLOOKUP(B480,'0. Instruções'!$C$27:$G$32,4,FALSE)&amp;"=Y."&amp;VLOOKUP(B480,'0. Instruções'!$C$27:$G$32,4,FALSE)&amp;"_SIMUL")</f>
        <v>ON X.ENTTY_ID=Y.ENTTY_ID_SIMUL</v>
      </c>
      <c r="L480" s="35" t="str">
        <f>+IF(C480="Coerência", +IF(LEFT(G480,5)="FLOAT","SELECT '"&amp;UPPER(B480)&amp;"' AS TABELA, '"&amp;UPPER(C480)&amp;"' AS TIPOLOGIA_TESTE,'"&amp;D480&amp;"' AS TABELA_LT,'"&amp;E480&amp;"' AS TABELA_SIMUL,'"&amp;F480&amp;"' AS CAMPO, "&amp;"'${ref_date}' AS REF_DATE, COUNT(*) AS NUM_REG, SUM(IF((ABS(COALESCE(CAST(X."&amp;F480&amp;" AS DECIMAL(18,6)),0)-COALESCE(CAST(Y."&amp;F480&amp;"_SIMUL AS DECIMAL(18,6)),0))&gt;0.000001) OR (X."&amp;F480&amp;" IS NULL AND Y."&amp;F480&amp;"_SIMUL IS NOT NULL ) OR (X."&amp;F480&amp;" IS NOT NULL AND Y."&amp;F480&amp;"_SIMUL IS NULL),1,0)) AS NUM_REG_DIF,'"&amp;MAX('ID1&amp;5'!K:K)+1&amp;"' AS ID_EXEC, CURRENT_TIMESTAMP() AS TIME_EXEC FROM "&amp;I480&amp;" INNER JOIN "&amp;J480&amp;" "&amp;K480,"SELECT '"&amp;UPPER(B480)&amp;"' AS TABELA, '"&amp;UPPER(C480)&amp;"' AS TIPOLOGIA_TESTE,'"&amp;D480&amp;"' AS TABELA_LT,'"&amp;E480&amp;"' AS TABELA_SIMUL,'"&amp;F480&amp;"' AS CAMPO, "&amp;"'${ref_date}' AS REF_DATE, COUNT(*) AS NUM_REG, SUM(IF(COALESCE(CAST(X."&amp;F480&amp;" AS STRING),'')&lt;&gt;COALESCE(CAST(Y."&amp;F480&amp;"_SIMUL AS STRING),'') OR (X."&amp;F480&amp;" IS NULL AND Y."&amp;F480&amp;"_SIMUL IS NOT NULL ) OR (X."&amp;F480&amp;" IS NOT NULL AND Y."&amp;F480&amp;"_SIMUL IS NULL),1,0)) AS NUM_REG_DIF,'"&amp;MAX('ID1&amp;5'!L:L)+1&amp;"' AS ID_EXEC, CURRENT_TIMESTAMP() AS TIME_EXEC FROM "&amp;I480&amp;" INNER JOIN "&amp;J480&amp;" "&amp;K480),
IF(C480="Validade",+IF(G480="Code List","SELECT '"&amp;UPPER(B480)&amp;"' AS TABELA, '"&amp;UPPER(C480)&amp;"' AS TIPOLOGIA_TESTE,'"&amp;D480&amp;"' AS TABELA_LT,'N/A' AS TABELA_SIMUL,'"&amp;F480&amp;"' AS CAMPO, "&amp;"'${ref_date}' AS REF_DATE, COUNT(*) AS NUM_REG, SUM(IF(TRIM(CAST(X."&amp;F480&amp;" AS STRING))='' OR TRIM(CAST(X."&amp;F480&amp;" AS STRING)) IS NULL OR CAST(X."&amp;F480&amp;" AS STRING) NOT "&amp;H480&amp;",1,0)) AS NUM_REG_DIF,'"&amp;MAX('ID1&amp;5'!K:K)+1&amp;"' AS ID_EXEC, CURRENT_TIMESTAMP() AS TIME_EXEC FROM "&amp;I480,"SELECT '"&amp;UPPER(B480)&amp;"' AS TABELA, '"&amp;UPPER(C480)&amp;"' AS TIPOLOGIA_TESTE,'"&amp;D480&amp;"' AS TABELA_LT,'N/A' AS TABELA_SIMUL,'"&amp;F480&amp;"' AS CAMPO, "&amp;"'${ref_date}' AS REF_DATE, COUNT(*) AS NUM_REG, SUM(IF(TRIM(CAST(X."&amp;F480&amp;" AS STRING))='' OR TRIM(CAST(X."&amp;F480&amp;" AS STRING)) IS NULL,1,0)) AS NUM_REG_DIF,'"&amp;MAX('ID1&amp;5'!K:K)+1&amp;"' AS ID_EXEC, CURRENT_TIMESTAMP() AS TIME_EXEC FROM "&amp;I480),
IF(C480="Caracteres Especiais",+"SELECT '"&amp;UPPER(B480)&amp;"' AS TABELA, '"&amp;UPPER(C480)&amp;"' AS TIPOLOGIA_TESTE,'"&amp;D480&amp;"' AS TABELA_LT,'N/A' AS TABELA_SIMUL,'"&amp;F480&amp;"' AS CAMPO, "&amp;"'${ref_date}' AS REF_DATE, COUNT(*) AS NUM_REG, SUM(IF(REGEXP_REPLACE(TRIM(CAST(X."&amp;F480&amp;" AS STRING)),'[^a-zA-Z0-9_\\s]','') &lt;&gt;TRIM(CAST(X."&amp;F480&amp;" AS STRING)),1,0)) AS NUM_REG_DIF,'"&amp;MAX('ID1&amp;5'!K:K)+1&amp;"' AS ID_EXEC, CURRENT_TIMESTAMP() AS TIME_EXEC FROM "&amp;I480,
IF(C480="Missings",+"SELECT '"&amp;UPPER(B480)&amp;"' AS TABELA, '"&amp;UPPER(C480)&amp;"' AS TIPOLOGIA_TESTE,'"&amp;D480&amp;"' AS TABELA_LT,'N/A' AS TABELA_SIMUL,'"&amp;F480&amp;"' AS CAMPO, "&amp;"'${ref_date}' AS REF_DATE, COUNT(*) AS NUM_REG, SUM(IF(TRIM(CAST(X."&amp;F480&amp;" AS STRING)) IN ('0000-00-00','0001-01-01','9999-12-31','MISS','00000','99999999999','99999999999.00','99999999999.000000'),1,0)) AS NUM_REG_DIF,'"&amp;MAX('ID1&amp;5'!K:K)+1&amp;"' AS ID_EXEC, CURRENT_TIMESTAMP() AS TIME_EXEC FROM "&amp;I480,
IF(C480="Not applicable",+"SELECT '"&amp;UPPER(B480)&amp;"' AS TABELA, '"&amp;UPPER(C480)&amp;"' AS TIPOLOGIA_TESTE,'"&amp;D480&amp;"' AS TABELA_LT,'N/A' AS TABELA_SIMUL,'"&amp;F480&amp;"' AS CAMPO, "&amp;"'${ref_date}' AS REF_DATE, COUNT(*) AS NUM_REG, SUM(IF(TRIM(CAST(X."&amp;F480&amp;" AS STRING)) IN ('N/A','11111111111','11111111111.00','11111111111.000000','1111-11-11'),1,0)) AS NUM_REG_DIF,'"&amp;MAX('ID1&amp;5'!K:K)+1&amp;"' AS ID_EXEC, CURRENT_TIMESTAMP() AS TIME_EXEC FROM "&amp;I480,
IF(C480="Valores extremos",+"SELECT '"&amp;UPPER(B480)&amp;"' AS TABELA, '"&amp;UPPER(C480)&amp;"' AS TIPOLOGIA_TESTE,'"&amp;D480&amp;"' AS TABELA_LT,'N/A' AS TABELA_SIMUL,'"&amp;F480&amp;"' AS CAMPO, "&amp;"'${ref_date}' AS REF_DATE, CAST(MIN("&amp;F480&amp;") AS STRING) AS VALOR_MIN, CAST(MAX("&amp;F480&amp;") AS STRING) AS VALOR_MAX,'"&amp;MAX('ID1&amp;5'!K:K)+1&amp;"' AS ID_EXEC, CURRENT_TIMESTAMP() AS TIME_EXEC FROM "&amp;MID(I480,1,LEN(I480)-2)&amp;" AND CAST("&amp;F480&amp;"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TABELA_SIMUL,'fr_csh_flw_t3' AS CAMPO, '${ref_date}' AS REF_DATE, COUNT(*) AS NUM_REG, SUM(IF(COALESCE(CAST(X.fr_csh_flw_t3 AS STRING),'')&lt;&gt;COALESCE(CAST(Y.fr_csh_flw_t3_SIMUL AS STRING),'') OR (X.fr_csh_flw_t3 IS NULL AND Y.fr_csh_flw_t3_SIMUL IS NOT NULL ) OR (X.fr_csh_flw_t3 IS NOT NULL AND Y.fr_csh_flw_t3_SIMUL IS NULL),1,0)) AS NUM_REG_DIF,'1' AS ID_EXEC, CURRENT_TIMESTAMP() AS TIME_EXEC FROM (SELECT entty_id, fr_csh_flw_t3 FROM BU_LOANTAPE_WORK.LT003_ENTITY WHERE ref_date='${ref_date}' AND nome_perimetro='Individual Local' AND segmento='ESTR' AND ambito='SRB_MBDT' AND entidade='00100')X INNER JOIN (SELECT entty_id AS entty_id_SIMUL, fr_csh_flw_t3 AS fr_csh_flw_t3_SIMUL FROM BU_LOANTAPE_WORK.SIMUL_LT003_ENTITY WHERE ref_date='${ref_date}' AND nome_perimetro='Individual Local' AND segmento='ESTR' AND ambito='PILAR3' AND entidade='00100')Y ON X.ENTTY_ID=Y.ENTTY_ID_SIMUL</v>
      </c>
      <c r="M480" s="36" t="str">
        <f t="shared" si="10"/>
        <v>UNION ALL SELECT 'ENTITY' AS TABELA, 'COERÊNCIA' AS TIPOLOGIA_TESTE,'BU_LOANTAPE_WORK.LT003_ENTITY' AS TABELA_LT,'BU_LOANTAPE_WORK.SIMUL_LT003_ENTITY' AS TABELA_SIMUL,'fr_csh_flw_t3' AS CAMPO, '${ref_date}' AS REF_DATE, COUNT(*) AS NUM_REG, SUM(IF(COALESCE(CAST(X.fr_csh_flw_t3 AS STRING),'')&lt;&gt;COALESCE(CAST(Y.fr_csh_flw_t3_SIMUL AS STRING),'') OR (X.fr_csh_flw_t3 IS NULL AND Y.fr_csh_flw_t3_SIMUL IS NOT NULL ) OR (X.fr_csh_flw_t3 IS NOT NULL AND Y.fr_csh_flw_t3_SIMUL IS NULL),1,0)) AS NUM_REG_DIF,'1' AS ID_EXEC, CURRENT_TIMESTAMP() AS TIME_EXEC FROM (SELECT entty_id, fr_csh_flw_t3 FROM BU_LOANTAPE_WORK.LT003_ENTITY WHERE ref_date='${ref_date}' AND nome_perimetro='Individual Local' AND segmento='ESTR' AND ambito='SRB_MBDT' AND entidade='00100')X INNER JOIN (SELECT entty_id AS entty_id_SIMUL, fr_csh_flw_t3 AS fr_csh_flw_t3_SIMUL FROM BU_LOANTAPE_WORK.SIMUL_LT003_ENTITY WHERE ref_date='${ref_date}' AND nome_perimetro='Individual Local' AND segmento='ESTR' AND ambito='PILAR3' AND entidade='00100')Y ON X.ENTTY_ID=Y.ENTTY_ID_SIMUL</v>
      </c>
    </row>
    <row r="481" spans="2:13">
      <c r="B481" s="34" t="s">
        <v>118</v>
      </c>
      <c r="C481" s="34" t="s">
        <v>5</v>
      </c>
      <c r="D481" s="34" t="str">
        <f>+UPPER('0. Instruções'!$D$35&amp;"."&amp;VLOOKUP(B481,'0. Instruções'!$C$27:$D$32,2,FALSE))</f>
        <v>BU_LOANTAPE_WORK.LT003_ENTITY</v>
      </c>
      <c r="E481" s="34" t="str">
        <f>+UPPER('0. Instruções'!$D$36&amp;"."&amp;VLOOKUP(B481,'0. Instruções'!$C$27:$E$32,3,FALSE))</f>
        <v>BU_LOANTAPE_WORK.SIMUL_LT003_ENTITY</v>
      </c>
      <c r="F481" s="34" t="s">
        <v>590</v>
      </c>
      <c r="G481" s="34"/>
      <c r="H481" s="34"/>
      <c r="I481" s="34" t="str">
        <f>"(SELECT "&amp;VLOOKUP(B481,'0. Instruções'!$C$27:$G$32,4,FALSE)&amp;", "&amp;F481&amp;" FROM "&amp;D481&amp;" WHERE "&amp;'0. Instruções'!$D$42&amp;")X"</f>
        <v>(SELECT entty_id, nace_esg FROM BU_LOANTAPE_WORK.LT003_ENTITY WHERE ref_date='${ref_date}' AND nome_perimetro='Individual Local' AND segmento='ESTR' AND ambito='SRB_MBDT' AND entidade='00100')X</v>
      </c>
      <c r="J481" s="34" t="str">
        <f>"(SELECT "&amp;VLOOKUP(B481,'0. Instruções'!$C$27:$G$32,4,FALSE)&amp;" AS "&amp;VLOOKUP(B481,'0. Instruções'!$C$27:$G$32,4,FALSE)&amp;"_SIMUL, "&amp;F481&amp;" AS "&amp;F481&amp;"_SIMUL FROM "&amp;E481&amp;" WHERE "&amp;'0. Instruções'!$D$43&amp;")Y"</f>
        <v>(SELECT entty_id AS entty_id_SIMUL, nace_esg AS nace_esg_SIMUL FROM BU_LOANTAPE_WORK.SIMUL_LT003_ENTITY WHERE ref_date='${ref_date}' AND nome_perimetro='Individual Local' AND segmento='ESTR' AND ambito='PILAR3' AND entidade='00100')Y</v>
      </c>
      <c r="K481" s="35" t="str">
        <f>+UPPER("ON X."&amp;VLOOKUP(B481,'0. Instruções'!$C$27:$G$32,4,FALSE)&amp;"=Y."&amp;VLOOKUP(B481,'0. Instruções'!$C$27:$G$32,4,FALSE)&amp;"_SIMUL")</f>
        <v>ON X.ENTTY_ID=Y.ENTTY_ID_SIMUL</v>
      </c>
      <c r="L481" s="35" t="str">
        <f>+IF(C481="Coerência", +IF(LEFT(G481,5)="FLOAT","SELECT '"&amp;UPPER(B481)&amp;"' AS TABELA, '"&amp;UPPER(C481)&amp;"' AS TIPOLOGIA_TESTE,'"&amp;D481&amp;"' AS TABELA_LT,'"&amp;E481&amp;"' AS TABELA_SIMUL,'"&amp;F481&amp;"' AS CAMPO, "&amp;"'${ref_date}' AS REF_DATE, COUNT(*) AS NUM_REG, SUM(IF((ABS(COALESCE(CAST(X."&amp;F481&amp;" AS DECIMAL(18,6)),0)-COALESCE(CAST(Y."&amp;F481&amp;"_SIMUL AS DECIMAL(18,6)),0))&gt;0.000001) OR (X."&amp;F481&amp;" IS NULL AND Y."&amp;F481&amp;"_SIMUL IS NOT NULL ) OR (X."&amp;F481&amp;" IS NOT NULL AND Y."&amp;F481&amp;"_SIMUL IS NULL),1,0)) AS NUM_REG_DIF,'"&amp;MAX('ID1&amp;5'!K:K)+1&amp;"' AS ID_EXEC, CURRENT_TIMESTAMP() AS TIME_EXEC FROM "&amp;I481&amp;" INNER JOIN "&amp;J481&amp;" "&amp;K481,"SELECT '"&amp;UPPER(B481)&amp;"' AS TABELA, '"&amp;UPPER(C481)&amp;"' AS TIPOLOGIA_TESTE,'"&amp;D481&amp;"' AS TABELA_LT,'"&amp;E481&amp;"' AS TABELA_SIMUL,'"&amp;F481&amp;"' AS CAMPO, "&amp;"'${ref_date}' AS REF_DATE, COUNT(*) AS NUM_REG, SUM(IF(COALESCE(CAST(X."&amp;F481&amp;" AS STRING),'')&lt;&gt;COALESCE(CAST(Y."&amp;F481&amp;"_SIMUL AS STRING),'') OR (X."&amp;F481&amp;" IS NULL AND Y."&amp;F481&amp;"_SIMUL IS NOT NULL ) OR (X."&amp;F481&amp;" IS NOT NULL AND Y."&amp;F481&amp;"_SIMUL IS NULL),1,0)) AS NUM_REG_DIF,'"&amp;MAX('ID1&amp;5'!L:L)+1&amp;"' AS ID_EXEC, CURRENT_TIMESTAMP() AS TIME_EXEC FROM "&amp;I481&amp;" INNER JOIN "&amp;J481&amp;" "&amp;K481),
IF(C481="Validade",+IF(G481="Code List","SELECT '"&amp;UPPER(B481)&amp;"' AS TABELA, '"&amp;UPPER(C481)&amp;"' AS TIPOLOGIA_TESTE,'"&amp;D481&amp;"' AS TABELA_LT,'N/A' AS TABELA_SIMUL,'"&amp;F481&amp;"' AS CAMPO, "&amp;"'${ref_date}' AS REF_DATE, COUNT(*) AS NUM_REG, SUM(IF(TRIM(CAST(X."&amp;F481&amp;" AS STRING))='' OR TRIM(CAST(X."&amp;F481&amp;" AS STRING)) IS NULL OR CAST(X."&amp;F481&amp;" AS STRING) NOT "&amp;H481&amp;",1,0)) AS NUM_REG_DIF,'"&amp;MAX('ID1&amp;5'!K:K)+1&amp;"' AS ID_EXEC, CURRENT_TIMESTAMP() AS TIME_EXEC FROM "&amp;I481,"SELECT '"&amp;UPPER(B481)&amp;"' AS TABELA, '"&amp;UPPER(C481)&amp;"' AS TIPOLOGIA_TESTE,'"&amp;D481&amp;"' AS TABELA_LT,'N/A' AS TABELA_SIMUL,'"&amp;F481&amp;"' AS CAMPO, "&amp;"'${ref_date}' AS REF_DATE, COUNT(*) AS NUM_REG, SUM(IF(TRIM(CAST(X."&amp;F481&amp;" AS STRING))='' OR TRIM(CAST(X."&amp;F481&amp;" AS STRING)) IS NULL,1,0)) AS NUM_REG_DIF,'"&amp;MAX('ID1&amp;5'!K:K)+1&amp;"' AS ID_EXEC, CURRENT_TIMESTAMP() AS TIME_EXEC FROM "&amp;I481),
IF(C481="Caracteres Especiais",+"SELECT '"&amp;UPPER(B481)&amp;"' AS TABELA, '"&amp;UPPER(C481)&amp;"' AS TIPOLOGIA_TESTE,'"&amp;D481&amp;"' AS TABELA_LT,'N/A' AS TABELA_SIMUL,'"&amp;F481&amp;"' AS CAMPO, "&amp;"'${ref_date}' AS REF_DATE, COUNT(*) AS NUM_REG, SUM(IF(REGEXP_REPLACE(TRIM(CAST(X."&amp;F481&amp;" AS STRING)),'[^a-zA-Z0-9_\\s]','') &lt;&gt;TRIM(CAST(X."&amp;F481&amp;" AS STRING)),1,0)) AS NUM_REG_DIF,'"&amp;MAX('ID1&amp;5'!K:K)+1&amp;"' AS ID_EXEC, CURRENT_TIMESTAMP() AS TIME_EXEC FROM "&amp;I481,
IF(C481="Missings",+"SELECT '"&amp;UPPER(B481)&amp;"' AS TABELA, '"&amp;UPPER(C481)&amp;"' AS TIPOLOGIA_TESTE,'"&amp;D481&amp;"' AS TABELA_LT,'N/A' AS TABELA_SIMUL,'"&amp;F481&amp;"' AS CAMPO, "&amp;"'${ref_date}' AS REF_DATE, COUNT(*) AS NUM_REG, SUM(IF(TRIM(CAST(X."&amp;F481&amp;" AS STRING)) IN ('0000-00-00','0001-01-01','9999-12-31','MISS','00000','99999999999','99999999999.00','99999999999.000000'),1,0)) AS NUM_REG_DIF,'"&amp;MAX('ID1&amp;5'!K:K)+1&amp;"' AS ID_EXEC, CURRENT_TIMESTAMP() AS TIME_EXEC FROM "&amp;I481,
IF(C481="Not applicable",+"SELECT '"&amp;UPPER(B481)&amp;"' AS TABELA, '"&amp;UPPER(C481)&amp;"' AS TIPOLOGIA_TESTE,'"&amp;D481&amp;"' AS TABELA_LT,'N/A' AS TABELA_SIMUL,'"&amp;F481&amp;"' AS CAMPO, "&amp;"'${ref_date}' AS REF_DATE, COUNT(*) AS NUM_REG, SUM(IF(TRIM(CAST(X."&amp;F481&amp;" AS STRING)) IN ('N/A','11111111111','11111111111.00','11111111111.000000','1111-11-11'),1,0)) AS NUM_REG_DIF,'"&amp;MAX('ID1&amp;5'!K:K)+1&amp;"' AS ID_EXEC, CURRENT_TIMESTAMP() AS TIME_EXEC FROM "&amp;I481,
IF(C481="Valores extremos",+"SELECT '"&amp;UPPER(B481)&amp;"' AS TABELA, '"&amp;UPPER(C481)&amp;"' AS TIPOLOGIA_TESTE,'"&amp;D481&amp;"' AS TABELA_LT,'N/A' AS TABELA_SIMUL,'"&amp;F481&amp;"' AS CAMPO, "&amp;"'${ref_date}' AS REF_DATE, CAST(MIN("&amp;F481&amp;") AS STRING) AS VALOR_MIN, CAST(MAX("&amp;F481&amp;") AS STRING) AS VALOR_MAX,'"&amp;MAX('ID1&amp;5'!K:K)+1&amp;"' AS ID_EXEC, CURRENT_TIMESTAMP() AS TIME_EXEC FROM "&amp;MID(I481,1,LEN(I481)-2)&amp;" AND CAST("&amp;F481&amp;"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TABELA_SIMUL,'nace_esg' AS CAMPO, '${ref_date}' AS REF_DATE, COUNT(*) AS NUM_REG, SUM(IF(COALESCE(CAST(X.nace_esg AS STRING),'')&lt;&gt;COALESCE(CAST(Y.nace_esg_SIMUL AS STRING),'') OR (X.nace_esg IS NULL AND Y.nace_esg_SIMUL IS NOT NULL ) OR (X.nace_esg IS NOT NULL AND Y.nace_esg_SIMUL IS NULL),1,0)) AS NUM_REG_DIF,'1' AS ID_EXEC, CURRENT_TIMESTAMP() AS TIME_EXEC FROM (SELECT entty_id, nace_esg FROM BU_LOANTAPE_WORK.LT003_ENTITY WHERE ref_date='${ref_date}' AND nome_perimetro='Individual Local' AND segmento='ESTR' AND ambito='SRB_MBDT' AND entidade='00100')X INNER JOIN (SELECT entty_id AS entty_id_SIMUL, nace_esg AS nace_esg_SIMUL FROM BU_LOANTAPE_WORK.SIMUL_LT003_ENTITY WHERE ref_date='${ref_date}' AND nome_perimetro='Individual Local' AND segmento='ESTR' AND ambito='PILAR3' AND entidade='00100')Y ON X.ENTTY_ID=Y.ENTTY_ID_SIMUL</v>
      </c>
      <c r="M481" s="36" t="str">
        <f t="shared" si="10"/>
        <v>UNION ALL SELECT 'ENTITY' AS TABELA, 'COERÊNCIA' AS TIPOLOGIA_TESTE,'BU_LOANTAPE_WORK.LT003_ENTITY' AS TABELA_LT,'BU_LOANTAPE_WORK.SIMUL_LT003_ENTITY' AS TABELA_SIMUL,'nace_esg' AS CAMPO, '${ref_date}' AS REF_DATE, COUNT(*) AS NUM_REG, SUM(IF(COALESCE(CAST(X.nace_esg AS STRING),'')&lt;&gt;COALESCE(CAST(Y.nace_esg_SIMUL AS STRING),'') OR (X.nace_esg IS NULL AND Y.nace_esg_SIMUL IS NOT NULL ) OR (X.nace_esg IS NOT NULL AND Y.nace_esg_SIMUL IS NULL),1,0)) AS NUM_REG_DIF,'1' AS ID_EXEC, CURRENT_TIMESTAMP() AS TIME_EXEC FROM (SELECT entty_id, nace_esg FROM BU_LOANTAPE_WORK.LT003_ENTITY WHERE ref_date='${ref_date}' AND nome_perimetro='Individual Local' AND segmento='ESTR' AND ambito='SRB_MBDT' AND entidade='00100')X INNER JOIN (SELECT entty_id AS entty_id_SIMUL, nace_esg AS nace_esg_SIMUL FROM BU_LOANTAPE_WORK.SIMUL_LT003_ENTITY WHERE ref_date='${ref_date}' AND nome_perimetro='Individual Local' AND segmento='ESTR' AND ambito='PILAR3' AND entidade='00100')Y ON X.ENTTY_ID=Y.ENTTY_ID_SIMUL</v>
      </c>
    </row>
    <row r="482" spans="2:13">
      <c r="B482" s="34" t="s">
        <v>118</v>
      </c>
      <c r="C482" s="34" t="s">
        <v>5</v>
      </c>
      <c r="D482" s="34" t="str">
        <f>+UPPER('0. Instruções'!$D$35&amp;"."&amp;VLOOKUP(B482,'0. Instruções'!$C$27:$D$32,2,FALSE))</f>
        <v>BU_LOANTAPE_WORK.LT003_ENTITY</v>
      </c>
      <c r="E482" s="34" t="str">
        <f>+UPPER('0. Instruções'!$D$36&amp;"."&amp;VLOOKUP(B482,'0. Instruções'!$C$27:$E$32,3,FALSE))</f>
        <v>BU_LOANTAPE_WORK.SIMUL_LT003_ENTITY</v>
      </c>
      <c r="F482" s="34" t="s">
        <v>591</v>
      </c>
      <c r="G482" s="34"/>
      <c r="H482" s="34"/>
      <c r="I482" s="34" t="str">
        <f>"(SELECT "&amp;VLOOKUP(B482,'0. Instruções'!$C$27:$G$32,4,FALSE)&amp;", "&amp;F482&amp;" FROM "&amp;D482&amp;" WHERE "&amp;'0. Instruções'!$D$42&amp;")X"</f>
        <v>(SELECT entty_id, txnmy_elgbl_capex_ccm FROM BU_LOANTAPE_WORK.LT003_ENTITY WHERE ref_date='${ref_date}' AND nome_perimetro='Individual Local' AND segmento='ESTR' AND ambito='SRB_MBDT' AND entidade='00100')X</v>
      </c>
      <c r="J482" s="34" t="str">
        <f>"(SELECT "&amp;VLOOKUP(B482,'0. Instruções'!$C$27:$G$32,4,FALSE)&amp;" AS "&amp;VLOOKUP(B482,'0. Instruções'!$C$27:$G$32,4,FALSE)&amp;"_SIMUL, "&amp;F482&amp;" AS "&amp;F482&amp;"_SIMUL FROM "&amp;E482&amp;" WHERE "&amp;'0. Instruções'!$D$43&amp;")Y"</f>
        <v>(SELECT entty_id AS entty_id_SIMUL, txnmy_elgbl_capex_ccm AS txnmy_elgbl_capex_ccm_SIMUL FROM BU_LOANTAPE_WORK.SIMUL_LT003_ENTITY WHERE ref_date='${ref_date}' AND nome_perimetro='Individual Local' AND segmento='ESTR' AND ambito='PILAR3' AND entidade='00100')Y</v>
      </c>
      <c r="K482" s="35" t="str">
        <f>+UPPER("ON X."&amp;VLOOKUP(B482,'0. Instruções'!$C$27:$G$32,4,FALSE)&amp;"=Y."&amp;VLOOKUP(B482,'0. Instruções'!$C$27:$G$32,4,FALSE)&amp;"_SIMUL")</f>
        <v>ON X.ENTTY_ID=Y.ENTTY_ID_SIMUL</v>
      </c>
      <c r="L482" s="35" t="str">
        <f>+IF(C482="Coerência", +IF(LEFT(G482,5)="FLOAT","SELECT '"&amp;UPPER(B482)&amp;"' AS TABELA, '"&amp;UPPER(C482)&amp;"' AS TIPOLOGIA_TESTE,'"&amp;D482&amp;"' AS TABELA_LT,'"&amp;E482&amp;"' AS TABELA_SIMUL,'"&amp;F482&amp;"' AS CAMPO, "&amp;"'${ref_date}' AS REF_DATE, COUNT(*) AS NUM_REG, SUM(IF((ABS(COALESCE(CAST(X."&amp;F482&amp;" AS DECIMAL(18,6)),0)-COALESCE(CAST(Y."&amp;F482&amp;"_SIMUL AS DECIMAL(18,6)),0))&gt;0.000001) OR (X."&amp;F482&amp;" IS NULL AND Y."&amp;F482&amp;"_SIMUL IS NOT NULL ) OR (X."&amp;F482&amp;" IS NOT NULL AND Y."&amp;F482&amp;"_SIMUL IS NULL),1,0)) AS NUM_REG_DIF,'"&amp;MAX('ID1&amp;5'!K:K)+1&amp;"' AS ID_EXEC, CURRENT_TIMESTAMP() AS TIME_EXEC FROM "&amp;I482&amp;" INNER JOIN "&amp;J482&amp;" "&amp;K482,"SELECT '"&amp;UPPER(B482)&amp;"' AS TABELA, '"&amp;UPPER(C482)&amp;"' AS TIPOLOGIA_TESTE,'"&amp;D482&amp;"' AS TABELA_LT,'"&amp;E482&amp;"' AS TABELA_SIMUL,'"&amp;F482&amp;"' AS CAMPO, "&amp;"'${ref_date}' AS REF_DATE, COUNT(*) AS NUM_REG, SUM(IF(COALESCE(CAST(X."&amp;F482&amp;" AS STRING),'')&lt;&gt;COALESCE(CAST(Y."&amp;F482&amp;"_SIMUL AS STRING),'') OR (X."&amp;F482&amp;" IS NULL AND Y."&amp;F482&amp;"_SIMUL IS NOT NULL ) OR (X."&amp;F482&amp;" IS NOT NULL AND Y."&amp;F482&amp;"_SIMUL IS NULL),1,0)) AS NUM_REG_DIF,'"&amp;MAX('ID1&amp;5'!L:L)+1&amp;"' AS ID_EXEC, CURRENT_TIMESTAMP() AS TIME_EXEC FROM "&amp;I482&amp;" INNER JOIN "&amp;J482&amp;" "&amp;K482),
IF(C482="Validade",+IF(G482="Code List","SELECT '"&amp;UPPER(B482)&amp;"' AS TABELA, '"&amp;UPPER(C482)&amp;"' AS TIPOLOGIA_TESTE,'"&amp;D482&amp;"' AS TABELA_LT,'N/A' AS TABELA_SIMUL,'"&amp;F482&amp;"' AS CAMPO, "&amp;"'${ref_date}' AS REF_DATE, COUNT(*) AS NUM_REG, SUM(IF(TRIM(CAST(X."&amp;F482&amp;" AS STRING))='' OR TRIM(CAST(X."&amp;F482&amp;" AS STRING)) IS NULL OR CAST(X."&amp;F482&amp;" AS STRING) NOT "&amp;H482&amp;",1,0)) AS NUM_REG_DIF,'"&amp;MAX('ID1&amp;5'!K:K)+1&amp;"' AS ID_EXEC, CURRENT_TIMESTAMP() AS TIME_EXEC FROM "&amp;I482,"SELECT '"&amp;UPPER(B482)&amp;"' AS TABELA, '"&amp;UPPER(C482)&amp;"' AS TIPOLOGIA_TESTE,'"&amp;D482&amp;"' AS TABELA_LT,'N/A' AS TABELA_SIMUL,'"&amp;F482&amp;"' AS CAMPO, "&amp;"'${ref_date}' AS REF_DATE, COUNT(*) AS NUM_REG, SUM(IF(TRIM(CAST(X."&amp;F482&amp;" AS STRING))='' OR TRIM(CAST(X."&amp;F482&amp;" AS STRING)) IS NULL,1,0)) AS NUM_REG_DIF,'"&amp;MAX('ID1&amp;5'!K:K)+1&amp;"' AS ID_EXEC, CURRENT_TIMESTAMP() AS TIME_EXEC FROM "&amp;I482),
IF(C482="Caracteres Especiais",+"SELECT '"&amp;UPPER(B482)&amp;"' AS TABELA, '"&amp;UPPER(C482)&amp;"' AS TIPOLOGIA_TESTE,'"&amp;D482&amp;"' AS TABELA_LT,'N/A' AS TABELA_SIMUL,'"&amp;F482&amp;"' AS CAMPO, "&amp;"'${ref_date}' AS REF_DATE, COUNT(*) AS NUM_REG, SUM(IF(REGEXP_REPLACE(TRIM(CAST(X."&amp;F482&amp;" AS STRING)),'[^a-zA-Z0-9_\\s]','') &lt;&gt;TRIM(CAST(X."&amp;F482&amp;" AS STRING)),1,0)) AS NUM_REG_DIF,'"&amp;MAX('ID1&amp;5'!K:K)+1&amp;"' AS ID_EXEC, CURRENT_TIMESTAMP() AS TIME_EXEC FROM "&amp;I482,
IF(C482="Missings",+"SELECT '"&amp;UPPER(B482)&amp;"' AS TABELA, '"&amp;UPPER(C482)&amp;"' AS TIPOLOGIA_TESTE,'"&amp;D482&amp;"' AS TABELA_LT,'N/A' AS TABELA_SIMUL,'"&amp;F482&amp;"' AS CAMPO, "&amp;"'${ref_date}' AS REF_DATE, COUNT(*) AS NUM_REG, SUM(IF(TRIM(CAST(X."&amp;F482&amp;" AS STRING)) IN ('0000-00-00','0001-01-01','9999-12-31','MISS','00000','99999999999','99999999999.00','99999999999.000000'),1,0)) AS NUM_REG_DIF,'"&amp;MAX('ID1&amp;5'!K:K)+1&amp;"' AS ID_EXEC, CURRENT_TIMESTAMP() AS TIME_EXEC FROM "&amp;I482,
IF(C482="Not applicable",+"SELECT '"&amp;UPPER(B482)&amp;"' AS TABELA, '"&amp;UPPER(C482)&amp;"' AS TIPOLOGIA_TESTE,'"&amp;D482&amp;"' AS TABELA_LT,'N/A' AS TABELA_SIMUL,'"&amp;F482&amp;"' AS CAMPO, "&amp;"'${ref_date}' AS REF_DATE, COUNT(*) AS NUM_REG, SUM(IF(TRIM(CAST(X."&amp;F482&amp;" AS STRING)) IN ('N/A','11111111111','11111111111.00','11111111111.000000','1111-11-11'),1,0)) AS NUM_REG_DIF,'"&amp;MAX('ID1&amp;5'!K:K)+1&amp;"' AS ID_EXEC, CURRENT_TIMESTAMP() AS TIME_EXEC FROM "&amp;I482,
IF(C482="Valores extremos",+"SELECT '"&amp;UPPER(B482)&amp;"' AS TABELA, '"&amp;UPPER(C482)&amp;"' AS TIPOLOGIA_TESTE,'"&amp;D482&amp;"' AS TABELA_LT,'N/A' AS TABELA_SIMUL,'"&amp;F482&amp;"' AS CAMPO, "&amp;"'${ref_date}' AS REF_DATE, CAST(MIN("&amp;F482&amp;") AS STRING) AS VALOR_MIN, CAST(MAX("&amp;F482&amp;") AS STRING) AS VALOR_MAX,'"&amp;MAX('ID1&amp;5'!K:K)+1&amp;"' AS ID_EXEC, CURRENT_TIMESTAMP() AS TIME_EXEC FROM "&amp;MID(I482,1,LEN(I482)-2)&amp;" AND CAST("&amp;F482&amp;"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TABELA_SIMUL,'txnmy_elgbl_capex_ccm' AS CAMPO, '${ref_date}' AS REF_DATE, COUNT(*) AS NUM_REG, SUM(IF(COALESCE(CAST(X.txnmy_elgbl_capex_ccm AS STRING),'')&lt;&gt;COALESCE(CAST(Y.txnmy_elgbl_capex_ccm_SIMUL AS STRING),'') OR (X.txnmy_elgbl_capex_ccm IS NULL AND Y.txnmy_elgbl_capex_ccm_SIMUL IS NOT NULL ) OR (X.txnmy_elgbl_capex_ccm IS NOT NULL AND Y.txnmy_elgbl_capex_ccm_SIMUL IS NULL),1,0)) AS NUM_REG_DIF,'1' AS ID_EXEC, CURRENT_TIMESTAMP() AS TIME_EXEC FROM (SELECT entty_id, txnmy_elgbl_capex_ccm FROM BU_LOANTAPE_WORK.LT003_ENTITY WHERE ref_date='${ref_date}' AND nome_perimetro='Individual Local' AND segmento='ESTR' AND ambito='SRB_MBDT' AND entidade='00100')X INNER JOIN (SELECT entty_id AS entty_id_SIMUL, txnmy_elgbl_capex_ccm AS txnmy_elgbl_capex_ccm_SIMUL FROM BU_LOANTAPE_WORK.SIMUL_LT003_ENTITY WHERE ref_date='${ref_date}' AND nome_perimetro='Individual Local' AND segmento='ESTR' AND ambito='PILAR3' AND entidade='00100')Y ON X.ENTTY_ID=Y.ENTTY_ID_SIMUL</v>
      </c>
      <c r="M482" s="36" t="str">
        <f t="shared" si="10"/>
        <v>UNION ALL SELECT 'ENTITY' AS TABELA, 'COERÊNCIA' AS TIPOLOGIA_TESTE,'BU_LOANTAPE_WORK.LT003_ENTITY' AS TABELA_LT,'BU_LOANTAPE_WORK.SIMUL_LT003_ENTITY' AS TABELA_SIMUL,'txnmy_elgbl_capex_ccm' AS CAMPO, '${ref_date}' AS REF_DATE, COUNT(*) AS NUM_REG, SUM(IF(COALESCE(CAST(X.txnmy_elgbl_capex_ccm AS STRING),'')&lt;&gt;COALESCE(CAST(Y.txnmy_elgbl_capex_ccm_SIMUL AS STRING),'') OR (X.txnmy_elgbl_capex_ccm IS NULL AND Y.txnmy_elgbl_capex_ccm_SIMUL IS NOT NULL ) OR (X.txnmy_elgbl_capex_ccm IS NOT NULL AND Y.txnmy_elgbl_capex_ccm_SIMUL IS NULL),1,0)) AS NUM_REG_DIF,'1' AS ID_EXEC, CURRENT_TIMESTAMP() AS TIME_EXEC FROM (SELECT entty_id, txnmy_elgbl_capex_ccm FROM BU_LOANTAPE_WORK.LT003_ENTITY WHERE ref_date='${ref_date}' AND nome_perimetro='Individual Local' AND segmento='ESTR' AND ambito='SRB_MBDT' AND entidade='00100')X INNER JOIN (SELECT entty_id AS entty_id_SIMUL, txnmy_elgbl_capex_ccm AS txnmy_elgbl_capex_ccm_SIMUL FROM BU_LOANTAPE_WORK.SIMUL_LT003_ENTITY WHERE ref_date='${ref_date}' AND nome_perimetro='Individual Local' AND segmento='ESTR' AND ambito='PILAR3' AND entidade='00100')Y ON X.ENTTY_ID=Y.ENTTY_ID_SIMUL</v>
      </c>
    </row>
    <row r="483" spans="2:13">
      <c r="B483" s="34" t="s">
        <v>118</v>
      </c>
      <c r="C483" s="34" t="s">
        <v>5</v>
      </c>
      <c r="D483" s="34" t="str">
        <f>+UPPER('0. Instruções'!$D$35&amp;"."&amp;VLOOKUP(B483,'0. Instruções'!$C$27:$D$32,2,FALSE))</f>
        <v>BU_LOANTAPE_WORK.LT003_ENTITY</v>
      </c>
      <c r="E483" s="34" t="str">
        <f>+UPPER('0. Instruções'!$D$36&amp;"."&amp;VLOOKUP(B483,'0. Instruções'!$C$27:$E$32,3,FALSE))</f>
        <v>BU_LOANTAPE_WORK.SIMUL_LT003_ENTITY</v>
      </c>
      <c r="F483" s="34" t="s">
        <v>592</v>
      </c>
      <c r="G483" s="34"/>
      <c r="H483" s="34"/>
      <c r="I483" s="34" t="str">
        <f>"(SELECT "&amp;VLOOKUP(B483,'0. Instruções'!$C$27:$G$32,4,FALSE)&amp;", "&amp;F483&amp;" FROM "&amp;D483&amp;" WHERE "&amp;'0. Instruções'!$D$42&amp;")X"</f>
        <v>(SELECT entty_id, txnmy_elgbl_trnvr_ccm FROM BU_LOANTAPE_WORK.LT003_ENTITY WHERE ref_date='${ref_date}' AND nome_perimetro='Individual Local' AND segmento='ESTR' AND ambito='SRB_MBDT' AND entidade='00100')X</v>
      </c>
      <c r="J483" s="34" t="str">
        <f>"(SELECT "&amp;VLOOKUP(B483,'0. Instruções'!$C$27:$G$32,4,FALSE)&amp;" AS "&amp;VLOOKUP(B483,'0. Instruções'!$C$27:$G$32,4,FALSE)&amp;"_SIMUL, "&amp;F483&amp;" AS "&amp;F483&amp;"_SIMUL FROM "&amp;E483&amp;" WHERE "&amp;'0. Instruções'!$D$43&amp;")Y"</f>
        <v>(SELECT entty_id AS entty_id_SIMUL, txnmy_elgbl_trnvr_ccm AS txnmy_elgbl_trnvr_ccm_SIMUL FROM BU_LOANTAPE_WORK.SIMUL_LT003_ENTITY WHERE ref_date='${ref_date}' AND nome_perimetro='Individual Local' AND segmento='ESTR' AND ambito='PILAR3' AND entidade='00100')Y</v>
      </c>
      <c r="K483" s="35" t="str">
        <f>+UPPER("ON X."&amp;VLOOKUP(B483,'0. Instruções'!$C$27:$G$32,4,FALSE)&amp;"=Y."&amp;VLOOKUP(B483,'0. Instruções'!$C$27:$G$32,4,FALSE)&amp;"_SIMUL")</f>
        <v>ON X.ENTTY_ID=Y.ENTTY_ID_SIMUL</v>
      </c>
      <c r="L483" s="35" t="str">
        <f>+IF(C483="Coerência", +IF(LEFT(G483,5)="FLOAT","SELECT '"&amp;UPPER(B483)&amp;"' AS TABELA, '"&amp;UPPER(C483)&amp;"' AS TIPOLOGIA_TESTE,'"&amp;D483&amp;"' AS TABELA_LT,'"&amp;E483&amp;"' AS TABELA_SIMUL,'"&amp;F483&amp;"' AS CAMPO, "&amp;"'${ref_date}' AS REF_DATE, COUNT(*) AS NUM_REG, SUM(IF((ABS(COALESCE(CAST(X."&amp;F483&amp;" AS DECIMAL(18,6)),0)-COALESCE(CAST(Y."&amp;F483&amp;"_SIMUL AS DECIMAL(18,6)),0))&gt;0.000001) OR (X."&amp;F483&amp;" IS NULL AND Y."&amp;F483&amp;"_SIMUL IS NOT NULL ) OR (X."&amp;F483&amp;" IS NOT NULL AND Y."&amp;F483&amp;"_SIMUL IS NULL),1,0)) AS NUM_REG_DIF,'"&amp;MAX('ID1&amp;5'!K:K)+1&amp;"' AS ID_EXEC, CURRENT_TIMESTAMP() AS TIME_EXEC FROM "&amp;I483&amp;" INNER JOIN "&amp;J483&amp;" "&amp;K483,"SELECT '"&amp;UPPER(B483)&amp;"' AS TABELA, '"&amp;UPPER(C483)&amp;"' AS TIPOLOGIA_TESTE,'"&amp;D483&amp;"' AS TABELA_LT,'"&amp;E483&amp;"' AS TABELA_SIMUL,'"&amp;F483&amp;"' AS CAMPO, "&amp;"'${ref_date}' AS REF_DATE, COUNT(*) AS NUM_REG, SUM(IF(COALESCE(CAST(X."&amp;F483&amp;" AS STRING),'')&lt;&gt;COALESCE(CAST(Y."&amp;F483&amp;"_SIMUL AS STRING),'') OR (X."&amp;F483&amp;" IS NULL AND Y."&amp;F483&amp;"_SIMUL IS NOT NULL ) OR (X."&amp;F483&amp;" IS NOT NULL AND Y."&amp;F483&amp;"_SIMUL IS NULL),1,0)) AS NUM_REG_DIF,'"&amp;MAX('ID1&amp;5'!L:L)+1&amp;"' AS ID_EXEC, CURRENT_TIMESTAMP() AS TIME_EXEC FROM "&amp;I483&amp;" INNER JOIN "&amp;J483&amp;" "&amp;K483),
IF(C483="Validade",+IF(G483="Code List","SELECT '"&amp;UPPER(B483)&amp;"' AS TABELA, '"&amp;UPPER(C483)&amp;"' AS TIPOLOGIA_TESTE,'"&amp;D483&amp;"' AS TABELA_LT,'N/A' AS TABELA_SIMUL,'"&amp;F483&amp;"' AS CAMPO, "&amp;"'${ref_date}' AS REF_DATE, COUNT(*) AS NUM_REG, SUM(IF(TRIM(CAST(X."&amp;F483&amp;" AS STRING))='' OR TRIM(CAST(X."&amp;F483&amp;" AS STRING)) IS NULL OR CAST(X."&amp;F483&amp;" AS STRING) NOT "&amp;H483&amp;",1,0)) AS NUM_REG_DIF,'"&amp;MAX('ID1&amp;5'!K:K)+1&amp;"' AS ID_EXEC, CURRENT_TIMESTAMP() AS TIME_EXEC FROM "&amp;I483,"SELECT '"&amp;UPPER(B483)&amp;"' AS TABELA, '"&amp;UPPER(C483)&amp;"' AS TIPOLOGIA_TESTE,'"&amp;D483&amp;"' AS TABELA_LT,'N/A' AS TABELA_SIMUL,'"&amp;F483&amp;"' AS CAMPO, "&amp;"'${ref_date}' AS REF_DATE, COUNT(*) AS NUM_REG, SUM(IF(TRIM(CAST(X."&amp;F483&amp;" AS STRING))='' OR TRIM(CAST(X."&amp;F483&amp;" AS STRING)) IS NULL,1,0)) AS NUM_REG_DIF,'"&amp;MAX('ID1&amp;5'!K:K)+1&amp;"' AS ID_EXEC, CURRENT_TIMESTAMP() AS TIME_EXEC FROM "&amp;I483),
IF(C483="Caracteres Especiais",+"SELECT '"&amp;UPPER(B483)&amp;"' AS TABELA, '"&amp;UPPER(C483)&amp;"' AS TIPOLOGIA_TESTE,'"&amp;D483&amp;"' AS TABELA_LT,'N/A' AS TABELA_SIMUL,'"&amp;F483&amp;"' AS CAMPO, "&amp;"'${ref_date}' AS REF_DATE, COUNT(*) AS NUM_REG, SUM(IF(REGEXP_REPLACE(TRIM(CAST(X."&amp;F483&amp;" AS STRING)),'[^a-zA-Z0-9_\\s]','') &lt;&gt;TRIM(CAST(X."&amp;F483&amp;" AS STRING)),1,0)) AS NUM_REG_DIF,'"&amp;MAX('ID1&amp;5'!K:K)+1&amp;"' AS ID_EXEC, CURRENT_TIMESTAMP() AS TIME_EXEC FROM "&amp;I483,
IF(C483="Missings",+"SELECT '"&amp;UPPER(B483)&amp;"' AS TABELA, '"&amp;UPPER(C483)&amp;"' AS TIPOLOGIA_TESTE,'"&amp;D483&amp;"' AS TABELA_LT,'N/A' AS TABELA_SIMUL,'"&amp;F483&amp;"' AS CAMPO, "&amp;"'${ref_date}' AS REF_DATE, COUNT(*) AS NUM_REG, SUM(IF(TRIM(CAST(X."&amp;F483&amp;" AS STRING)) IN ('0000-00-00','0001-01-01','9999-12-31','MISS','00000','99999999999','99999999999.00','99999999999.000000'),1,0)) AS NUM_REG_DIF,'"&amp;MAX('ID1&amp;5'!K:K)+1&amp;"' AS ID_EXEC, CURRENT_TIMESTAMP() AS TIME_EXEC FROM "&amp;I483,
IF(C483="Not applicable",+"SELECT '"&amp;UPPER(B483)&amp;"' AS TABELA, '"&amp;UPPER(C483)&amp;"' AS TIPOLOGIA_TESTE,'"&amp;D483&amp;"' AS TABELA_LT,'N/A' AS TABELA_SIMUL,'"&amp;F483&amp;"' AS CAMPO, "&amp;"'${ref_date}' AS REF_DATE, COUNT(*) AS NUM_REG, SUM(IF(TRIM(CAST(X."&amp;F483&amp;" AS STRING)) IN ('N/A','11111111111','11111111111.00','11111111111.000000','1111-11-11'),1,0)) AS NUM_REG_DIF,'"&amp;MAX('ID1&amp;5'!K:K)+1&amp;"' AS ID_EXEC, CURRENT_TIMESTAMP() AS TIME_EXEC FROM "&amp;I483,
IF(C483="Valores extremos",+"SELECT '"&amp;UPPER(B483)&amp;"' AS TABELA, '"&amp;UPPER(C483)&amp;"' AS TIPOLOGIA_TESTE,'"&amp;D483&amp;"' AS TABELA_LT,'N/A' AS TABELA_SIMUL,'"&amp;F483&amp;"' AS CAMPO, "&amp;"'${ref_date}' AS REF_DATE, CAST(MIN("&amp;F483&amp;") AS STRING) AS VALOR_MIN, CAST(MAX("&amp;F483&amp;") AS STRING) AS VALOR_MAX,'"&amp;MAX('ID1&amp;5'!K:K)+1&amp;"' AS ID_EXEC, CURRENT_TIMESTAMP() AS TIME_EXEC FROM "&amp;MID(I483,1,LEN(I483)-2)&amp;" AND CAST("&amp;F483&amp;"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TABELA_SIMUL,'txnmy_elgbl_trnvr_ccm' AS CAMPO, '${ref_date}' AS REF_DATE, COUNT(*) AS NUM_REG, SUM(IF(COALESCE(CAST(X.txnmy_elgbl_trnvr_ccm AS STRING),'')&lt;&gt;COALESCE(CAST(Y.txnmy_elgbl_trnvr_ccm_SIMUL AS STRING),'') OR (X.txnmy_elgbl_trnvr_ccm IS NULL AND Y.txnmy_elgbl_trnvr_ccm_SIMUL IS NOT NULL ) OR (X.txnmy_elgbl_trnvr_ccm IS NOT NULL AND Y.txnmy_elgbl_trnvr_ccm_SIMUL IS NULL),1,0)) AS NUM_REG_DIF,'1' AS ID_EXEC, CURRENT_TIMESTAMP() AS TIME_EXEC FROM (SELECT entty_id, txnmy_elgbl_trnvr_ccm FROM BU_LOANTAPE_WORK.LT003_ENTITY WHERE ref_date='${ref_date}' AND nome_perimetro='Individual Local' AND segmento='ESTR' AND ambito='SRB_MBDT' AND entidade='00100')X INNER JOIN (SELECT entty_id AS entty_id_SIMUL, txnmy_elgbl_trnvr_ccm AS txnmy_elgbl_trnvr_ccm_SIMUL FROM BU_LOANTAPE_WORK.SIMUL_LT003_ENTITY WHERE ref_date='${ref_date}' AND nome_perimetro='Individual Local' AND segmento='ESTR' AND ambito='PILAR3' AND entidade='00100')Y ON X.ENTTY_ID=Y.ENTTY_ID_SIMUL</v>
      </c>
      <c r="M483" s="36" t="str">
        <f t="shared" si="10"/>
        <v>UNION ALL SELECT 'ENTITY' AS TABELA, 'COERÊNCIA' AS TIPOLOGIA_TESTE,'BU_LOANTAPE_WORK.LT003_ENTITY' AS TABELA_LT,'BU_LOANTAPE_WORK.SIMUL_LT003_ENTITY' AS TABELA_SIMUL,'txnmy_elgbl_trnvr_ccm' AS CAMPO, '${ref_date}' AS REF_DATE, COUNT(*) AS NUM_REG, SUM(IF(COALESCE(CAST(X.txnmy_elgbl_trnvr_ccm AS STRING),'')&lt;&gt;COALESCE(CAST(Y.txnmy_elgbl_trnvr_ccm_SIMUL AS STRING),'') OR (X.txnmy_elgbl_trnvr_ccm IS NULL AND Y.txnmy_elgbl_trnvr_ccm_SIMUL IS NOT NULL ) OR (X.txnmy_elgbl_trnvr_ccm IS NOT NULL AND Y.txnmy_elgbl_trnvr_ccm_SIMUL IS NULL),1,0)) AS NUM_REG_DIF,'1' AS ID_EXEC, CURRENT_TIMESTAMP() AS TIME_EXEC FROM (SELECT entty_id, txnmy_elgbl_trnvr_ccm FROM BU_LOANTAPE_WORK.LT003_ENTITY WHERE ref_date='${ref_date}' AND nome_perimetro='Individual Local' AND segmento='ESTR' AND ambito='SRB_MBDT' AND entidade='00100')X INNER JOIN (SELECT entty_id AS entty_id_SIMUL, txnmy_elgbl_trnvr_ccm AS txnmy_elgbl_trnvr_ccm_SIMUL FROM BU_LOANTAPE_WORK.SIMUL_LT003_ENTITY WHERE ref_date='${ref_date}' AND nome_perimetro='Individual Local' AND segmento='ESTR' AND ambito='PILAR3' AND entidade='00100')Y ON X.ENTTY_ID=Y.ENTTY_ID_SIMUL</v>
      </c>
    </row>
    <row r="484" spans="2:13">
      <c r="B484" s="34" t="s">
        <v>118</v>
      </c>
      <c r="C484" s="34" t="s">
        <v>5</v>
      </c>
      <c r="D484" s="34" t="str">
        <f>+UPPER('0. Instruções'!$D$35&amp;"."&amp;VLOOKUP(B484,'0. Instruções'!$C$27:$D$32,2,FALSE))</f>
        <v>BU_LOANTAPE_WORK.LT003_ENTITY</v>
      </c>
      <c r="E484" s="34" t="str">
        <f>+UPPER('0. Instruções'!$D$36&amp;"."&amp;VLOOKUP(B484,'0. Instruções'!$C$27:$E$32,3,FALSE))</f>
        <v>BU_LOANTAPE_WORK.SIMUL_LT003_ENTITY</v>
      </c>
      <c r="F484" s="34" t="s">
        <v>593</v>
      </c>
      <c r="G484" s="34"/>
      <c r="H484" s="34"/>
      <c r="I484" s="34" t="str">
        <f>"(SELECT "&amp;VLOOKUP(B484,'0. Instruções'!$C$27:$G$32,4,FALSE)&amp;", "&amp;F484&amp;" FROM "&amp;D484&amp;" WHERE "&amp;'0. Instruções'!$D$42&amp;")X"</f>
        <v>(SELECT entty_id, txnmy_elgbl_capex_cca FROM BU_LOANTAPE_WORK.LT003_ENTITY WHERE ref_date='${ref_date}' AND nome_perimetro='Individual Local' AND segmento='ESTR' AND ambito='SRB_MBDT' AND entidade='00100')X</v>
      </c>
      <c r="J484" s="34" t="str">
        <f>"(SELECT "&amp;VLOOKUP(B484,'0. Instruções'!$C$27:$G$32,4,FALSE)&amp;" AS "&amp;VLOOKUP(B484,'0. Instruções'!$C$27:$G$32,4,FALSE)&amp;"_SIMUL, "&amp;F484&amp;" AS "&amp;F484&amp;"_SIMUL FROM "&amp;E484&amp;" WHERE "&amp;'0. Instruções'!$D$43&amp;")Y"</f>
        <v>(SELECT entty_id AS entty_id_SIMUL, txnmy_elgbl_capex_cca AS txnmy_elgbl_capex_cca_SIMUL FROM BU_LOANTAPE_WORK.SIMUL_LT003_ENTITY WHERE ref_date='${ref_date}' AND nome_perimetro='Individual Local' AND segmento='ESTR' AND ambito='PILAR3' AND entidade='00100')Y</v>
      </c>
      <c r="K484" s="35" t="str">
        <f>+UPPER("ON X."&amp;VLOOKUP(B484,'0. Instruções'!$C$27:$G$32,4,FALSE)&amp;"=Y."&amp;VLOOKUP(B484,'0. Instruções'!$C$27:$G$32,4,FALSE)&amp;"_SIMUL")</f>
        <v>ON X.ENTTY_ID=Y.ENTTY_ID_SIMUL</v>
      </c>
      <c r="L484" s="35" t="str">
        <f>+IF(C484="Coerência", +IF(LEFT(G484,5)="FLOAT","SELECT '"&amp;UPPER(B484)&amp;"' AS TABELA, '"&amp;UPPER(C484)&amp;"' AS TIPOLOGIA_TESTE,'"&amp;D484&amp;"' AS TABELA_LT,'"&amp;E484&amp;"' AS TABELA_SIMUL,'"&amp;F484&amp;"' AS CAMPO, "&amp;"'${ref_date}' AS REF_DATE, COUNT(*) AS NUM_REG, SUM(IF((ABS(COALESCE(CAST(X."&amp;F484&amp;" AS DECIMAL(18,6)),0)-COALESCE(CAST(Y."&amp;F484&amp;"_SIMUL AS DECIMAL(18,6)),0))&gt;0.000001) OR (X."&amp;F484&amp;" IS NULL AND Y."&amp;F484&amp;"_SIMUL IS NOT NULL ) OR (X."&amp;F484&amp;" IS NOT NULL AND Y."&amp;F484&amp;"_SIMUL IS NULL),1,0)) AS NUM_REG_DIF,'"&amp;MAX('ID1&amp;5'!K:K)+1&amp;"' AS ID_EXEC, CURRENT_TIMESTAMP() AS TIME_EXEC FROM "&amp;I484&amp;" INNER JOIN "&amp;J484&amp;" "&amp;K484,"SELECT '"&amp;UPPER(B484)&amp;"' AS TABELA, '"&amp;UPPER(C484)&amp;"' AS TIPOLOGIA_TESTE,'"&amp;D484&amp;"' AS TABELA_LT,'"&amp;E484&amp;"' AS TABELA_SIMUL,'"&amp;F484&amp;"' AS CAMPO, "&amp;"'${ref_date}' AS REF_DATE, COUNT(*) AS NUM_REG, SUM(IF(COALESCE(CAST(X."&amp;F484&amp;" AS STRING),'')&lt;&gt;COALESCE(CAST(Y."&amp;F484&amp;"_SIMUL AS STRING),'') OR (X."&amp;F484&amp;" IS NULL AND Y."&amp;F484&amp;"_SIMUL IS NOT NULL ) OR (X."&amp;F484&amp;" IS NOT NULL AND Y."&amp;F484&amp;"_SIMUL IS NULL),1,0)) AS NUM_REG_DIF,'"&amp;MAX('ID1&amp;5'!L:L)+1&amp;"' AS ID_EXEC, CURRENT_TIMESTAMP() AS TIME_EXEC FROM "&amp;I484&amp;" INNER JOIN "&amp;J484&amp;" "&amp;K484),
IF(C484="Validade",+IF(G484="Code List","SELECT '"&amp;UPPER(B484)&amp;"' AS TABELA, '"&amp;UPPER(C484)&amp;"' AS TIPOLOGIA_TESTE,'"&amp;D484&amp;"' AS TABELA_LT,'N/A' AS TABELA_SIMUL,'"&amp;F484&amp;"' AS CAMPO, "&amp;"'${ref_date}' AS REF_DATE, COUNT(*) AS NUM_REG, SUM(IF(TRIM(CAST(X."&amp;F484&amp;" AS STRING))='' OR TRIM(CAST(X."&amp;F484&amp;" AS STRING)) IS NULL OR CAST(X."&amp;F484&amp;" AS STRING) NOT "&amp;H484&amp;",1,0)) AS NUM_REG_DIF,'"&amp;MAX('ID1&amp;5'!K:K)+1&amp;"' AS ID_EXEC, CURRENT_TIMESTAMP() AS TIME_EXEC FROM "&amp;I484,"SELECT '"&amp;UPPER(B484)&amp;"' AS TABELA, '"&amp;UPPER(C484)&amp;"' AS TIPOLOGIA_TESTE,'"&amp;D484&amp;"' AS TABELA_LT,'N/A' AS TABELA_SIMUL,'"&amp;F484&amp;"' AS CAMPO, "&amp;"'${ref_date}' AS REF_DATE, COUNT(*) AS NUM_REG, SUM(IF(TRIM(CAST(X."&amp;F484&amp;" AS STRING))='' OR TRIM(CAST(X."&amp;F484&amp;" AS STRING)) IS NULL,1,0)) AS NUM_REG_DIF,'"&amp;MAX('ID1&amp;5'!K:K)+1&amp;"' AS ID_EXEC, CURRENT_TIMESTAMP() AS TIME_EXEC FROM "&amp;I484),
IF(C484="Caracteres Especiais",+"SELECT '"&amp;UPPER(B484)&amp;"' AS TABELA, '"&amp;UPPER(C484)&amp;"' AS TIPOLOGIA_TESTE,'"&amp;D484&amp;"' AS TABELA_LT,'N/A' AS TABELA_SIMUL,'"&amp;F484&amp;"' AS CAMPO, "&amp;"'${ref_date}' AS REF_DATE, COUNT(*) AS NUM_REG, SUM(IF(REGEXP_REPLACE(TRIM(CAST(X."&amp;F484&amp;" AS STRING)),'[^a-zA-Z0-9_\\s]','') &lt;&gt;TRIM(CAST(X."&amp;F484&amp;" AS STRING)),1,0)) AS NUM_REG_DIF,'"&amp;MAX('ID1&amp;5'!K:K)+1&amp;"' AS ID_EXEC, CURRENT_TIMESTAMP() AS TIME_EXEC FROM "&amp;I484,
IF(C484="Missings",+"SELECT '"&amp;UPPER(B484)&amp;"' AS TABELA, '"&amp;UPPER(C484)&amp;"' AS TIPOLOGIA_TESTE,'"&amp;D484&amp;"' AS TABELA_LT,'N/A' AS TABELA_SIMUL,'"&amp;F484&amp;"' AS CAMPO, "&amp;"'${ref_date}' AS REF_DATE, COUNT(*) AS NUM_REG, SUM(IF(TRIM(CAST(X."&amp;F484&amp;" AS STRING)) IN ('0000-00-00','0001-01-01','9999-12-31','MISS','00000','99999999999','99999999999.00','99999999999.000000'),1,0)) AS NUM_REG_DIF,'"&amp;MAX('ID1&amp;5'!K:K)+1&amp;"' AS ID_EXEC, CURRENT_TIMESTAMP() AS TIME_EXEC FROM "&amp;I484,
IF(C484="Not applicable",+"SELECT '"&amp;UPPER(B484)&amp;"' AS TABELA, '"&amp;UPPER(C484)&amp;"' AS TIPOLOGIA_TESTE,'"&amp;D484&amp;"' AS TABELA_LT,'N/A' AS TABELA_SIMUL,'"&amp;F484&amp;"' AS CAMPO, "&amp;"'${ref_date}' AS REF_DATE, COUNT(*) AS NUM_REG, SUM(IF(TRIM(CAST(X."&amp;F484&amp;" AS STRING)) IN ('N/A','11111111111','11111111111.00','11111111111.000000','1111-11-11'),1,0)) AS NUM_REG_DIF,'"&amp;MAX('ID1&amp;5'!K:K)+1&amp;"' AS ID_EXEC, CURRENT_TIMESTAMP() AS TIME_EXEC FROM "&amp;I484,
IF(C484="Valores extremos",+"SELECT '"&amp;UPPER(B484)&amp;"' AS TABELA, '"&amp;UPPER(C484)&amp;"' AS TIPOLOGIA_TESTE,'"&amp;D484&amp;"' AS TABELA_LT,'N/A' AS TABELA_SIMUL,'"&amp;F484&amp;"' AS CAMPO, "&amp;"'${ref_date}' AS REF_DATE, CAST(MIN("&amp;F484&amp;") AS STRING) AS VALOR_MIN, CAST(MAX("&amp;F484&amp;") AS STRING) AS VALOR_MAX,'"&amp;MAX('ID1&amp;5'!K:K)+1&amp;"' AS ID_EXEC, CURRENT_TIMESTAMP() AS TIME_EXEC FROM "&amp;MID(I484,1,LEN(I484)-2)&amp;" AND CAST("&amp;F484&amp;"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TABELA_SIMUL,'txnmy_elgbl_capex_cca' AS CAMPO, '${ref_date}' AS REF_DATE, COUNT(*) AS NUM_REG, SUM(IF(COALESCE(CAST(X.txnmy_elgbl_capex_cca AS STRING),'')&lt;&gt;COALESCE(CAST(Y.txnmy_elgbl_capex_cca_SIMUL AS STRING),'') OR (X.txnmy_elgbl_capex_cca IS NULL AND Y.txnmy_elgbl_capex_cca_SIMUL IS NOT NULL ) OR (X.txnmy_elgbl_capex_cca IS NOT NULL AND Y.txnmy_elgbl_capex_cca_SIMUL IS NULL),1,0)) AS NUM_REG_DIF,'1' AS ID_EXEC, CURRENT_TIMESTAMP() AS TIME_EXEC FROM (SELECT entty_id, txnmy_elgbl_capex_cca FROM BU_LOANTAPE_WORK.LT003_ENTITY WHERE ref_date='${ref_date}' AND nome_perimetro='Individual Local' AND segmento='ESTR' AND ambito='SRB_MBDT' AND entidade='00100')X INNER JOIN (SELECT entty_id AS entty_id_SIMUL, txnmy_elgbl_capex_cca AS txnmy_elgbl_capex_cca_SIMUL FROM BU_LOANTAPE_WORK.SIMUL_LT003_ENTITY WHERE ref_date='${ref_date}' AND nome_perimetro='Individual Local' AND segmento='ESTR' AND ambito='PILAR3' AND entidade='00100')Y ON X.ENTTY_ID=Y.ENTTY_ID_SIMUL</v>
      </c>
      <c r="M484" s="36" t="str">
        <f t="shared" si="10"/>
        <v>UNION ALL SELECT 'ENTITY' AS TABELA, 'COERÊNCIA' AS TIPOLOGIA_TESTE,'BU_LOANTAPE_WORK.LT003_ENTITY' AS TABELA_LT,'BU_LOANTAPE_WORK.SIMUL_LT003_ENTITY' AS TABELA_SIMUL,'txnmy_elgbl_capex_cca' AS CAMPO, '${ref_date}' AS REF_DATE, COUNT(*) AS NUM_REG, SUM(IF(COALESCE(CAST(X.txnmy_elgbl_capex_cca AS STRING),'')&lt;&gt;COALESCE(CAST(Y.txnmy_elgbl_capex_cca_SIMUL AS STRING),'') OR (X.txnmy_elgbl_capex_cca IS NULL AND Y.txnmy_elgbl_capex_cca_SIMUL IS NOT NULL ) OR (X.txnmy_elgbl_capex_cca IS NOT NULL AND Y.txnmy_elgbl_capex_cca_SIMUL IS NULL),1,0)) AS NUM_REG_DIF,'1' AS ID_EXEC, CURRENT_TIMESTAMP() AS TIME_EXEC FROM (SELECT entty_id, txnmy_elgbl_capex_cca FROM BU_LOANTAPE_WORK.LT003_ENTITY WHERE ref_date='${ref_date}' AND nome_perimetro='Individual Local' AND segmento='ESTR' AND ambito='SRB_MBDT' AND entidade='00100')X INNER JOIN (SELECT entty_id AS entty_id_SIMUL, txnmy_elgbl_capex_cca AS txnmy_elgbl_capex_cca_SIMUL FROM BU_LOANTAPE_WORK.SIMUL_LT003_ENTITY WHERE ref_date='${ref_date}' AND nome_perimetro='Individual Local' AND segmento='ESTR' AND ambito='PILAR3' AND entidade='00100')Y ON X.ENTTY_ID=Y.ENTTY_ID_SIMUL</v>
      </c>
    </row>
    <row r="485" spans="2:13">
      <c r="B485" s="34" t="s">
        <v>118</v>
      </c>
      <c r="C485" s="34" t="s">
        <v>5</v>
      </c>
      <c r="D485" s="34" t="str">
        <f>+UPPER('0. Instruções'!$D$35&amp;"."&amp;VLOOKUP(B485,'0. Instruções'!$C$27:$D$32,2,FALSE))</f>
        <v>BU_LOANTAPE_WORK.LT003_ENTITY</v>
      </c>
      <c r="E485" s="34" t="str">
        <f>+UPPER('0. Instruções'!$D$36&amp;"."&amp;VLOOKUP(B485,'0. Instruções'!$C$27:$E$32,3,FALSE))</f>
        <v>BU_LOANTAPE_WORK.SIMUL_LT003_ENTITY</v>
      </c>
      <c r="F485" s="34" t="s">
        <v>594</v>
      </c>
      <c r="G485" s="34"/>
      <c r="H485" s="34"/>
      <c r="I485" s="34" t="str">
        <f>"(SELECT "&amp;VLOOKUP(B485,'0. Instruções'!$C$27:$G$32,4,FALSE)&amp;", "&amp;F485&amp;" FROM "&amp;D485&amp;" WHERE "&amp;'0. Instruções'!$D$42&amp;")X"</f>
        <v>(SELECT entty_id, txnmy_elgbl_trnvr_cca FROM BU_LOANTAPE_WORK.LT003_ENTITY WHERE ref_date='${ref_date}' AND nome_perimetro='Individual Local' AND segmento='ESTR' AND ambito='SRB_MBDT' AND entidade='00100')X</v>
      </c>
      <c r="J485" s="34" t="str">
        <f>"(SELECT "&amp;VLOOKUP(B485,'0. Instruções'!$C$27:$G$32,4,FALSE)&amp;" AS "&amp;VLOOKUP(B485,'0. Instruções'!$C$27:$G$32,4,FALSE)&amp;"_SIMUL, "&amp;F485&amp;" AS "&amp;F485&amp;"_SIMUL FROM "&amp;E485&amp;" WHERE "&amp;'0. Instruções'!$D$43&amp;")Y"</f>
        <v>(SELECT entty_id AS entty_id_SIMUL, txnmy_elgbl_trnvr_cca AS txnmy_elgbl_trnvr_cca_SIMUL FROM BU_LOANTAPE_WORK.SIMUL_LT003_ENTITY WHERE ref_date='${ref_date}' AND nome_perimetro='Individual Local' AND segmento='ESTR' AND ambito='PILAR3' AND entidade='00100')Y</v>
      </c>
      <c r="K485" s="35" t="str">
        <f>+UPPER("ON X."&amp;VLOOKUP(B485,'0. Instruções'!$C$27:$G$32,4,FALSE)&amp;"=Y."&amp;VLOOKUP(B485,'0. Instruções'!$C$27:$G$32,4,FALSE)&amp;"_SIMUL")</f>
        <v>ON X.ENTTY_ID=Y.ENTTY_ID_SIMUL</v>
      </c>
      <c r="L485" s="35" t="str">
        <f>+IF(C485="Coerência", +IF(LEFT(G485,5)="FLOAT","SELECT '"&amp;UPPER(B485)&amp;"' AS TABELA, '"&amp;UPPER(C485)&amp;"' AS TIPOLOGIA_TESTE,'"&amp;D485&amp;"' AS TABELA_LT,'"&amp;E485&amp;"' AS TABELA_SIMUL,'"&amp;F485&amp;"' AS CAMPO, "&amp;"'${ref_date}' AS REF_DATE, COUNT(*) AS NUM_REG, SUM(IF((ABS(COALESCE(CAST(X."&amp;F485&amp;" AS DECIMAL(18,6)),0)-COALESCE(CAST(Y."&amp;F485&amp;"_SIMUL AS DECIMAL(18,6)),0))&gt;0.000001) OR (X."&amp;F485&amp;" IS NULL AND Y."&amp;F485&amp;"_SIMUL IS NOT NULL ) OR (X."&amp;F485&amp;" IS NOT NULL AND Y."&amp;F485&amp;"_SIMUL IS NULL),1,0)) AS NUM_REG_DIF,'"&amp;MAX('ID1&amp;5'!K:K)+1&amp;"' AS ID_EXEC, CURRENT_TIMESTAMP() AS TIME_EXEC FROM "&amp;I485&amp;" INNER JOIN "&amp;J485&amp;" "&amp;K485,"SELECT '"&amp;UPPER(B485)&amp;"' AS TABELA, '"&amp;UPPER(C485)&amp;"' AS TIPOLOGIA_TESTE,'"&amp;D485&amp;"' AS TABELA_LT,'"&amp;E485&amp;"' AS TABELA_SIMUL,'"&amp;F485&amp;"' AS CAMPO, "&amp;"'${ref_date}' AS REF_DATE, COUNT(*) AS NUM_REG, SUM(IF(COALESCE(CAST(X."&amp;F485&amp;" AS STRING),'')&lt;&gt;COALESCE(CAST(Y."&amp;F485&amp;"_SIMUL AS STRING),'') OR (X."&amp;F485&amp;" IS NULL AND Y."&amp;F485&amp;"_SIMUL IS NOT NULL ) OR (X."&amp;F485&amp;" IS NOT NULL AND Y."&amp;F485&amp;"_SIMUL IS NULL),1,0)) AS NUM_REG_DIF,'"&amp;MAX('ID1&amp;5'!L:L)+1&amp;"' AS ID_EXEC, CURRENT_TIMESTAMP() AS TIME_EXEC FROM "&amp;I485&amp;" INNER JOIN "&amp;J485&amp;" "&amp;K485),
IF(C485="Validade",+IF(G485="Code List","SELECT '"&amp;UPPER(B485)&amp;"' AS TABELA, '"&amp;UPPER(C485)&amp;"' AS TIPOLOGIA_TESTE,'"&amp;D485&amp;"' AS TABELA_LT,'N/A' AS TABELA_SIMUL,'"&amp;F485&amp;"' AS CAMPO, "&amp;"'${ref_date}' AS REF_DATE, COUNT(*) AS NUM_REG, SUM(IF(TRIM(CAST(X."&amp;F485&amp;" AS STRING))='' OR TRIM(CAST(X."&amp;F485&amp;" AS STRING)) IS NULL OR CAST(X."&amp;F485&amp;" AS STRING) NOT "&amp;H485&amp;",1,0)) AS NUM_REG_DIF,'"&amp;MAX('ID1&amp;5'!K:K)+1&amp;"' AS ID_EXEC, CURRENT_TIMESTAMP() AS TIME_EXEC FROM "&amp;I485,"SELECT '"&amp;UPPER(B485)&amp;"' AS TABELA, '"&amp;UPPER(C485)&amp;"' AS TIPOLOGIA_TESTE,'"&amp;D485&amp;"' AS TABELA_LT,'N/A' AS TABELA_SIMUL,'"&amp;F485&amp;"' AS CAMPO, "&amp;"'${ref_date}' AS REF_DATE, COUNT(*) AS NUM_REG, SUM(IF(TRIM(CAST(X."&amp;F485&amp;" AS STRING))='' OR TRIM(CAST(X."&amp;F485&amp;" AS STRING)) IS NULL,1,0)) AS NUM_REG_DIF,'"&amp;MAX('ID1&amp;5'!K:K)+1&amp;"' AS ID_EXEC, CURRENT_TIMESTAMP() AS TIME_EXEC FROM "&amp;I485),
IF(C485="Caracteres Especiais",+"SELECT '"&amp;UPPER(B485)&amp;"' AS TABELA, '"&amp;UPPER(C485)&amp;"' AS TIPOLOGIA_TESTE,'"&amp;D485&amp;"' AS TABELA_LT,'N/A' AS TABELA_SIMUL,'"&amp;F485&amp;"' AS CAMPO, "&amp;"'${ref_date}' AS REF_DATE, COUNT(*) AS NUM_REG, SUM(IF(REGEXP_REPLACE(TRIM(CAST(X."&amp;F485&amp;" AS STRING)),'[^a-zA-Z0-9_\\s]','') &lt;&gt;TRIM(CAST(X."&amp;F485&amp;" AS STRING)),1,0)) AS NUM_REG_DIF,'"&amp;MAX('ID1&amp;5'!K:K)+1&amp;"' AS ID_EXEC, CURRENT_TIMESTAMP() AS TIME_EXEC FROM "&amp;I485,
IF(C485="Missings",+"SELECT '"&amp;UPPER(B485)&amp;"' AS TABELA, '"&amp;UPPER(C485)&amp;"' AS TIPOLOGIA_TESTE,'"&amp;D485&amp;"' AS TABELA_LT,'N/A' AS TABELA_SIMUL,'"&amp;F485&amp;"' AS CAMPO, "&amp;"'${ref_date}' AS REF_DATE, COUNT(*) AS NUM_REG, SUM(IF(TRIM(CAST(X."&amp;F485&amp;" AS STRING)) IN ('0000-00-00','0001-01-01','9999-12-31','MISS','00000','99999999999','99999999999.00','99999999999.000000'),1,0)) AS NUM_REG_DIF,'"&amp;MAX('ID1&amp;5'!K:K)+1&amp;"' AS ID_EXEC, CURRENT_TIMESTAMP() AS TIME_EXEC FROM "&amp;I485,
IF(C485="Not applicable",+"SELECT '"&amp;UPPER(B485)&amp;"' AS TABELA, '"&amp;UPPER(C485)&amp;"' AS TIPOLOGIA_TESTE,'"&amp;D485&amp;"' AS TABELA_LT,'N/A' AS TABELA_SIMUL,'"&amp;F485&amp;"' AS CAMPO, "&amp;"'${ref_date}' AS REF_DATE, COUNT(*) AS NUM_REG, SUM(IF(TRIM(CAST(X."&amp;F485&amp;" AS STRING)) IN ('N/A','11111111111','11111111111.00','11111111111.000000','1111-11-11'),1,0)) AS NUM_REG_DIF,'"&amp;MAX('ID1&amp;5'!K:K)+1&amp;"' AS ID_EXEC, CURRENT_TIMESTAMP() AS TIME_EXEC FROM "&amp;I485,
IF(C485="Valores extremos",+"SELECT '"&amp;UPPER(B485)&amp;"' AS TABELA, '"&amp;UPPER(C485)&amp;"' AS TIPOLOGIA_TESTE,'"&amp;D485&amp;"' AS TABELA_LT,'N/A' AS TABELA_SIMUL,'"&amp;F485&amp;"' AS CAMPO, "&amp;"'${ref_date}' AS REF_DATE, CAST(MIN("&amp;F485&amp;") AS STRING) AS VALOR_MIN, CAST(MAX("&amp;F485&amp;") AS STRING) AS VALOR_MAX,'"&amp;MAX('ID1&amp;5'!K:K)+1&amp;"' AS ID_EXEC, CURRENT_TIMESTAMP() AS TIME_EXEC FROM "&amp;MID(I485,1,LEN(I485)-2)&amp;" AND CAST("&amp;F485&amp;"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TABELA_SIMUL,'txnmy_elgbl_trnvr_cca' AS CAMPO, '${ref_date}' AS REF_DATE, COUNT(*) AS NUM_REG, SUM(IF(COALESCE(CAST(X.txnmy_elgbl_trnvr_cca AS STRING),'')&lt;&gt;COALESCE(CAST(Y.txnmy_elgbl_trnvr_cca_SIMUL AS STRING),'') OR (X.txnmy_elgbl_trnvr_cca IS NULL AND Y.txnmy_elgbl_trnvr_cca_SIMUL IS NOT NULL ) OR (X.txnmy_elgbl_trnvr_cca IS NOT NULL AND Y.txnmy_elgbl_trnvr_cca_SIMUL IS NULL),1,0)) AS NUM_REG_DIF,'1' AS ID_EXEC, CURRENT_TIMESTAMP() AS TIME_EXEC FROM (SELECT entty_id, txnmy_elgbl_trnvr_cca FROM BU_LOANTAPE_WORK.LT003_ENTITY WHERE ref_date='${ref_date}' AND nome_perimetro='Individual Local' AND segmento='ESTR' AND ambito='SRB_MBDT' AND entidade='00100')X INNER JOIN (SELECT entty_id AS entty_id_SIMUL, txnmy_elgbl_trnvr_cca AS txnmy_elgbl_trnvr_cca_SIMUL FROM BU_LOANTAPE_WORK.SIMUL_LT003_ENTITY WHERE ref_date='${ref_date}' AND nome_perimetro='Individual Local' AND segmento='ESTR' AND ambito='PILAR3' AND entidade='00100')Y ON X.ENTTY_ID=Y.ENTTY_ID_SIMUL</v>
      </c>
      <c r="M485" s="36" t="str">
        <f t="shared" si="10"/>
        <v>UNION ALL SELECT 'ENTITY' AS TABELA, 'COERÊNCIA' AS TIPOLOGIA_TESTE,'BU_LOANTAPE_WORK.LT003_ENTITY' AS TABELA_LT,'BU_LOANTAPE_WORK.SIMUL_LT003_ENTITY' AS TABELA_SIMUL,'txnmy_elgbl_trnvr_cca' AS CAMPO, '${ref_date}' AS REF_DATE, COUNT(*) AS NUM_REG, SUM(IF(COALESCE(CAST(X.txnmy_elgbl_trnvr_cca AS STRING),'')&lt;&gt;COALESCE(CAST(Y.txnmy_elgbl_trnvr_cca_SIMUL AS STRING),'') OR (X.txnmy_elgbl_trnvr_cca IS NULL AND Y.txnmy_elgbl_trnvr_cca_SIMUL IS NOT NULL ) OR (X.txnmy_elgbl_trnvr_cca IS NOT NULL AND Y.txnmy_elgbl_trnvr_cca_SIMUL IS NULL),1,0)) AS NUM_REG_DIF,'1' AS ID_EXEC, CURRENT_TIMESTAMP() AS TIME_EXEC FROM (SELECT entty_id, txnmy_elgbl_trnvr_cca FROM BU_LOANTAPE_WORK.LT003_ENTITY WHERE ref_date='${ref_date}' AND nome_perimetro='Individual Local' AND segmento='ESTR' AND ambito='SRB_MBDT' AND entidade='00100')X INNER JOIN (SELECT entty_id AS entty_id_SIMUL, txnmy_elgbl_trnvr_cca AS txnmy_elgbl_trnvr_cca_SIMUL FROM BU_LOANTAPE_WORK.SIMUL_LT003_ENTITY WHERE ref_date='${ref_date}' AND nome_perimetro='Individual Local' AND segmento='ESTR' AND ambito='PILAR3' AND entidade='00100')Y ON X.ENTTY_ID=Y.ENTTY_ID_SIMUL</v>
      </c>
    </row>
    <row r="486" spans="2:13">
      <c r="B486" s="34" t="s">
        <v>118</v>
      </c>
      <c r="C486" s="34" t="s">
        <v>5</v>
      </c>
      <c r="D486" s="34" t="str">
        <f>+UPPER('0. Instruções'!$D$35&amp;"."&amp;VLOOKUP(B486,'0. Instruções'!$C$27:$D$32,2,FALSE))</f>
        <v>BU_LOANTAPE_WORK.LT003_ENTITY</v>
      </c>
      <c r="E486" s="34" t="str">
        <f>+UPPER('0. Instruções'!$D$36&amp;"."&amp;VLOOKUP(B486,'0. Instruções'!$C$27:$E$32,3,FALSE))</f>
        <v>BU_LOANTAPE_WORK.SIMUL_LT003_ENTITY</v>
      </c>
      <c r="F486" s="34" t="s">
        <v>595</v>
      </c>
      <c r="G486" s="34"/>
      <c r="H486" s="34"/>
      <c r="I486" s="34" t="str">
        <f>"(SELECT "&amp;VLOOKUP(B486,'0. Instruções'!$C$27:$G$32,4,FALSE)&amp;", "&amp;F486&amp;" FROM "&amp;D486&amp;" WHERE "&amp;'0. Instruções'!$D$42&amp;")X"</f>
        <v>(SELECT entty_id, enblng_capex_ccm FROM BU_LOANTAPE_WORK.LT003_ENTITY WHERE ref_date='${ref_date}' AND nome_perimetro='Individual Local' AND segmento='ESTR' AND ambito='SRB_MBDT' AND entidade='00100')X</v>
      </c>
      <c r="J486" s="34" t="str">
        <f>"(SELECT "&amp;VLOOKUP(B486,'0. Instruções'!$C$27:$G$32,4,FALSE)&amp;" AS "&amp;VLOOKUP(B486,'0. Instruções'!$C$27:$G$32,4,FALSE)&amp;"_SIMUL, "&amp;F486&amp;" AS "&amp;F486&amp;"_SIMUL FROM "&amp;E486&amp;" WHERE "&amp;'0. Instruções'!$D$43&amp;")Y"</f>
        <v>(SELECT entty_id AS entty_id_SIMUL, enblng_capex_ccm AS enblng_capex_ccm_SIMUL FROM BU_LOANTAPE_WORK.SIMUL_LT003_ENTITY WHERE ref_date='${ref_date}' AND nome_perimetro='Individual Local' AND segmento='ESTR' AND ambito='PILAR3' AND entidade='00100')Y</v>
      </c>
      <c r="K486" s="35" t="str">
        <f>+UPPER("ON X."&amp;VLOOKUP(B486,'0. Instruções'!$C$27:$G$32,4,FALSE)&amp;"=Y."&amp;VLOOKUP(B486,'0. Instruções'!$C$27:$G$32,4,FALSE)&amp;"_SIMUL")</f>
        <v>ON X.ENTTY_ID=Y.ENTTY_ID_SIMUL</v>
      </c>
      <c r="L486" s="35" t="str">
        <f>+IF(C486="Coerência", +IF(LEFT(G486,5)="FLOAT","SELECT '"&amp;UPPER(B486)&amp;"' AS TABELA, '"&amp;UPPER(C486)&amp;"' AS TIPOLOGIA_TESTE,'"&amp;D486&amp;"' AS TABELA_LT,'"&amp;E486&amp;"' AS TABELA_SIMUL,'"&amp;F486&amp;"' AS CAMPO, "&amp;"'${ref_date}' AS REF_DATE, COUNT(*) AS NUM_REG, SUM(IF((ABS(COALESCE(CAST(X."&amp;F486&amp;" AS DECIMAL(18,6)),0)-COALESCE(CAST(Y."&amp;F486&amp;"_SIMUL AS DECIMAL(18,6)),0))&gt;0.000001) OR (X."&amp;F486&amp;" IS NULL AND Y."&amp;F486&amp;"_SIMUL IS NOT NULL ) OR (X."&amp;F486&amp;" IS NOT NULL AND Y."&amp;F486&amp;"_SIMUL IS NULL),1,0)) AS NUM_REG_DIF,'"&amp;MAX('ID1&amp;5'!K:K)+1&amp;"' AS ID_EXEC, CURRENT_TIMESTAMP() AS TIME_EXEC FROM "&amp;I486&amp;" INNER JOIN "&amp;J486&amp;" "&amp;K486,"SELECT '"&amp;UPPER(B486)&amp;"' AS TABELA, '"&amp;UPPER(C486)&amp;"' AS TIPOLOGIA_TESTE,'"&amp;D486&amp;"' AS TABELA_LT,'"&amp;E486&amp;"' AS TABELA_SIMUL,'"&amp;F486&amp;"' AS CAMPO, "&amp;"'${ref_date}' AS REF_DATE, COUNT(*) AS NUM_REG, SUM(IF(COALESCE(CAST(X."&amp;F486&amp;" AS STRING),'')&lt;&gt;COALESCE(CAST(Y."&amp;F486&amp;"_SIMUL AS STRING),'') OR (X."&amp;F486&amp;" IS NULL AND Y."&amp;F486&amp;"_SIMUL IS NOT NULL ) OR (X."&amp;F486&amp;" IS NOT NULL AND Y."&amp;F486&amp;"_SIMUL IS NULL),1,0)) AS NUM_REG_DIF,'"&amp;MAX('ID1&amp;5'!L:L)+1&amp;"' AS ID_EXEC, CURRENT_TIMESTAMP() AS TIME_EXEC FROM "&amp;I486&amp;" INNER JOIN "&amp;J486&amp;" "&amp;K486),
IF(C486="Validade",+IF(G486="Code List","SELECT '"&amp;UPPER(B486)&amp;"' AS TABELA, '"&amp;UPPER(C486)&amp;"' AS TIPOLOGIA_TESTE,'"&amp;D486&amp;"' AS TABELA_LT,'N/A' AS TABELA_SIMUL,'"&amp;F486&amp;"' AS CAMPO, "&amp;"'${ref_date}' AS REF_DATE, COUNT(*) AS NUM_REG, SUM(IF(TRIM(CAST(X."&amp;F486&amp;" AS STRING))='' OR TRIM(CAST(X."&amp;F486&amp;" AS STRING)) IS NULL OR CAST(X."&amp;F486&amp;" AS STRING) NOT "&amp;H486&amp;",1,0)) AS NUM_REG_DIF,'"&amp;MAX('ID1&amp;5'!K:K)+1&amp;"' AS ID_EXEC, CURRENT_TIMESTAMP() AS TIME_EXEC FROM "&amp;I486,"SELECT '"&amp;UPPER(B486)&amp;"' AS TABELA, '"&amp;UPPER(C486)&amp;"' AS TIPOLOGIA_TESTE,'"&amp;D486&amp;"' AS TABELA_LT,'N/A' AS TABELA_SIMUL,'"&amp;F486&amp;"' AS CAMPO, "&amp;"'${ref_date}' AS REF_DATE, COUNT(*) AS NUM_REG, SUM(IF(TRIM(CAST(X."&amp;F486&amp;" AS STRING))='' OR TRIM(CAST(X."&amp;F486&amp;" AS STRING)) IS NULL,1,0)) AS NUM_REG_DIF,'"&amp;MAX('ID1&amp;5'!K:K)+1&amp;"' AS ID_EXEC, CURRENT_TIMESTAMP() AS TIME_EXEC FROM "&amp;I486),
IF(C486="Caracteres Especiais",+"SELECT '"&amp;UPPER(B486)&amp;"' AS TABELA, '"&amp;UPPER(C486)&amp;"' AS TIPOLOGIA_TESTE,'"&amp;D486&amp;"' AS TABELA_LT,'N/A' AS TABELA_SIMUL,'"&amp;F486&amp;"' AS CAMPO, "&amp;"'${ref_date}' AS REF_DATE, COUNT(*) AS NUM_REG, SUM(IF(REGEXP_REPLACE(TRIM(CAST(X."&amp;F486&amp;" AS STRING)),'[^a-zA-Z0-9_\\s]','') &lt;&gt;TRIM(CAST(X."&amp;F486&amp;" AS STRING)),1,0)) AS NUM_REG_DIF,'"&amp;MAX('ID1&amp;5'!K:K)+1&amp;"' AS ID_EXEC, CURRENT_TIMESTAMP() AS TIME_EXEC FROM "&amp;I486,
IF(C486="Missings",+"SELECT '"&amp;UPPER(B486)&amp;"' AS TABELA, '"&amp;UPPER(C486)&amp;"' AS TIPOLOGIA_TESTE,'"&amp;D486&amp;"' AS TABELA_LT,'N/A' AS TABELA_SIMUL,'"&amp;F486&amp;"' AS CAMPO, "&amp;"'${ref_date}' AS REF_DATE, COUNT(*) AS NUM_REG, SUM(IF(TRIM(CAST(X."&amp;F486&amp;" AS STRING)) IN ('0000-00-00','0001-01-01','9999-12-31','MISS','00000','99999999999','99999999999.00','99999999999.000000'),1,0)) AS NUM_REG_DIF,'"&amp;MAX('ID1&amp;5'!K:K)+1&amp;"' AS ID_EXEC, CURRENT_TIMESTAMP() AS TIME_EXEC FROM "&amp;I486,
IF(C486="Not applicable",+"SELECT '"&amp;UPPER(B486)&amp;"' AS TABELA, '"&amp;UPPER(C486)&amp;"' AS TIPOLOGIA_TESTE,'"&amp;D486&amp;"' AS TABELA_LT,'N/A' AS TABELA_SIMUL,'"&amp;F486&amp;"' AS CAMPO, "&amp;"'${ref_date}' AS REF_DATE, COUNT(*) AS NUM_REG, SUM(IF(TRIM(CAST(X."&amp;F486&amp;" AS STRING)) IN ('N/A','11111111111','11111111111.00','11111111111.000000','1111-11-11'),1,0)) AS NUM_REG_DIF,'"&amp;MAX('ID1&amp;5'!K:K)+1&amp;"' AS ID_EXEC, CURRENT_TIMESTAMP() AS TIME_EXEC FROM "&amp;I486,
IF(C486="Valores extremos",+"SELECT '"&amp;UPPER(B486)&amp;"' AS TABELA, '"&amp;UPPER(C486)&amp;"' AS TIPOLOGIA_TESTE,'"&amp;D486&amp;"' AS TABELA_LT,'N/A' AS TABELA_SIMUL,'"&amp;F486&amp;"' AS CAMPO, "&amp;"'${ref_date}' AS REF_DATE, CAST(MIN("&amp;F486&amp;") AS STRING) AS VALOR_MIN, CAST(MAX("&amp;F486&amp;") AS STRING) AS VALOR_MAX,'"&amp;MAX('ID1&amp;5'!K:K)+1&amp;"' AS ID_EXEC, CURRENT_TIMESTAMP() AS TIME_EXEC FROM "&amp;MID(I486,1,LEN(I486)-2)&amp;" AND CAST("&amp;F486&amp;"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TABELA_SIMUL,'enblng_capex_ccm' AS CAMPO, '${ref_date}' AS REF_DATE, COUNT(*) AS NUM_REG, SUM(IF(COALESCE(CAST(X.enblng_capex_ccm AS STRING),'')&lt;&gt;COALESCE(CAST(Y.enblng_capex_ccm_SIMUL AS STRING),'') OR (X.enblng_capex_ccm IS NULL AND Y.enblng_capex_ccm_SIMUL IS NOT NULL ) OR (X.enblng_capex_ccm IS NOT NULL AND Y.enblng_capex_ccm_SIMUL IS NULL),1,0)) AS NUM_REG_DIF,'1' AS ID_EXEC, CURRENT_TIMESTAMP() AS TIME_EXEC FROM (SELECT entty_id, enblng_capex_ccm FROM BU_LOANTAPE_WORK.LT003_ENTITY WHERE ref_date='${ref_date}' AND nome_perimetro='Individual Local' AND segmento='ESTR' AND ambito='SRB_MBDT' AND entidade='00100')X INNER JOIN (SELECT entty_id AS entty_id_SIMUL, enblng_capex_ccm AS enblng_capex_ccm_SIMUL FROM BU_LOANTAPE_WORK.SIMUL_LT003_ENTITY WHERE ref_date='${ref_date}' AND nome_perimetro='Individual Local' AND segmento='ESTR' AND ambito='PILAR3' AND entidade='00100')Y ON X.ENTTY_ID=Y.ENTTY_ID_SIMUL</v>
      </c>
      <c r="M486" s="36" t="str">
        <f t="shared" si="10"/>
        <v>UNION ALL SELECT 'ENTITY' AS TABELA, 'COERÊNCIA' AS TIPOLOGIA_TESTE,'BU_LOANTAPE_WORK.LT003_ENTITY' AS TABELA_LT,'BU_LOANTAPE_WORK.SIMUL_LT003_ENTITY' AS TABELA_SIMUL,'enblng_capex_ccm' AS CAMPO, '${ref_date}' AS REF_DATE, COUNT(*) AS NUM_REG, SUM(IF(COALESCE(CAST(X.enblng_capex_ccm AS STRING),'')&lt;&gt;COALESCE(CAST(Y.enblng_capex_ccm_SIMUL AS STRING),'') OR (X.enblng_capex_ccm IS NULL AND Y.enblng_capex_ccm_SIMUL IS NOT NULL ) OR (X.enblng_capex_ccm IS NOT NULL AND Y.enblng_capex_ccm_SIMUL IS NULL),1,0)) AS NUM_REG_DIF,'1' AS ID_EXEC, CURRENT_TIMESTAMP() AS TIME_EXEC FROM (SELECT entty_id, enblng_capex_ccm FROM BU_LOANTAPE_WORK.LT003_ENTITY WHERE ref_date='${ref_date}' AND nome_perimetro='Individual Local' AND segmento='ESTR' AND ambito='SRB_MBDT' AND entidade='00100')X INNER JOIN (SELECT entty_id AS entty_id_SIMUL, enblng_capex_ccm AS enblng_capex_ccm_SIMUL FROM BU_LOANTAPE_WORK.SIMUL_LT003_ENTITY WHERE ref_date='${ref_date}' AND nome_perimetro='Individual Local' AND segmento='ESTR' AND ambito='PILAR3' AND entidade='00100')Y ON X.ENTTY_ID=Y.ENTTY_ID_SIMUL</v>
      </c>
    </row>
    <row r="487" spans="2:13">
      <c r="B487" s="34" t="s">
        <v>118</v>
      </c>
      <c r="C487" s="34" t="s">
        <v>5</v>
      </c>
      <c r="D487" s="34" t="str">
        <f>+UPPER('0. Instruções'!$D$35&amp;"."&amp;VLOOKUP(B487,'0. Instruções'!$C$27:$D$32,2,FALSE))</f>
        <v>BU_LOANTAPE_WORK.LT003_ENTITY</v>
      </c>
      <c r="E487" s="34" t="str">
        <f>+UPPER('0. Instruções'!$D$36&amp;"."&amp;VLOOKUP(B487,'0. Instruções'!$C$27:$E$32,3,FALSE))</f>
        <v>BU_LOANTAPE_WORK.SIMUL_LT003_ENTITY</v>
      </c>
      <c r="F487" s="34" t="s">
        <v>596</v>
      </c>
      <c r="G487" s="34"/>
      <c r="H487" s="34"/>
      <c r="I487" s="34" t="str">
        <f>"(SELECT "&amp;VLOOKUP(B487,'0. Instruções'!$C$27:$G$32,4,FALSE)&amp;", "&amp;F487&amp;" FROM "&amp;D487&amp;" WHERE "&amp;'0. Instruções'!$D$42&amp;")X"</f>
        <v>(SELECT entty_id, enblng_capex_cca FROM BU_LOANTAPE_WORK.LT003_ENTITY WHERE ref_date='${ref_date}' AND nome_perimetro='Individual Local' AND segmento='ESTR' AND ambito='SRB_MBDT' AND entidade='00100')X</v>
      </c>
      <c r="J487" s="34" t="str">
        <f>"(SELECT "&amp;VLOOKUP(B487,'0. Instruções'!$C$27:$G$32,4,FALSE)&amp;" AS "&amp;VLOOKUP(B487,'0. Instruções'!$C$27:$G$32,4,FALSE)&amp;"_SIMUL, "&amp;F487&amp;" AS "&amp;F487&amp;"_SIMUL FROM "&amp;E487&amp;" WHERE "&amp;'0. Instruções'!$D$43&amp;")Y"</f>
        <v>(SELECT entty_id AS entty_id_SIMUL, enblng_capex_cca AS enblng_capex_cca_SIMUL FROM BU_LOANTAPE_WORK.SIMUL_LT003_ENTITY WHERE ref_date='${ref_date}' AND nome_perimetro='Individual Local' AND segmento='ESTR' AND ambito='PILAR3' AND entidade='00100')Y</v>
      </c>
      <c r="K487" s="35" t="str">
        <f>+UPPER("ON X."&amp;VLOOKUP(B487,'0. Instruções'!$C$27:$G$32,4,FALSE)&amp;"=Y."&amp;VLOOKUP(B487,'0. Instruções'!$C$27:$G$32,4,FALSE)&amp;"_SIMUL")</f>
        <v>ON X.ENTTY_ID=Y.ENTTY_ID_SIMUL</v>
      </c>
      <c r="L487" s="35" t="str">
        <f>+IF(C487="Coerência", +IF(LEFT(G487,5)="FLOAT","SELECT '"&amp;UPPER(B487)&amp;"' AS TABELA, '"&amp;UPPER(C487)&amp;"' AS TIPOLOGIA_TESTE,'"&amp;D487&amp;"' AS TABELA_LT,'"&amp;E487&amp;"' AS TABELA_SIMUL,'"&amp;F487&amp;"' AS CAMPO, "&amp;"'${ref_date}' AS REF_DATE, COUNT(*) AS NUM_REG, SUM(IF((ABS(COALESCE(CAST(X."&amp;F487&amp;" AS DECIMAL(18,6)),0)-COALESCE(CAST(Y."&amp;F487&amp;"_SIMUL AS DECIMAL(18,6)),0))&gt;0.000001) OR (X."&amp;F487&amp;" IS NULL AND Y."&amp;F487&amp;"_SIMUL IS NOT NULL ) OR (X."&amp;F487&amp;" IS NOT NULL AND Y."&amp;F487&amp;"_SIMUL IS NULL),1,0)) AS NUM_REG_DIF,'"&amp;MAX('ID1&amp;5'!K:K)+1&amp;"' AS ID_EXEC, CURRENT_TIMESTAMP() AS TIME_EXEC FROM "&amp;I487&amp;" INNER JOIN "&amp;J487&amp;" "&amp;K487,"SELECT '"&amp;UPPER(B487)&amp;"' AS TABELA, '"&amp;UPPER(C487)&amp;"' AS TIPOLOGIA_TESTE,'"&amp;D487&amp;"' AS TABELA_LT,'"&amp;E487&amp;"' AS TABELA_SIMUL,'"&amp;F487&amp;"' AS CAMPO, "&amp;"'${ref_date}' AS REF_DATE, COUNT(*) AS NUM_REG, SUM(IF(COALESCE(CAST(X."&amp;F487&amp;" AS STRING),'')&lt;&gt;COALESCE(CAST(Y."&amp;F487&amp;"_SIMUL AS STRING),'') OR (X."&amp;F487&amp;" IS NULL AND Y."&amp;F487&amp;"_SIMUL IS NOT NULL ) OR (X."&amp;F487&amp;" IS NOT NULL AND Y."&amp;F487&amp;"_SIMUL IS NULL),1,0)) AS NUM_REG_DIF,'"&amp;MAX('ID1&amp;5'!L:L)+1&amp;"' AS ID_EXEC, CURRENT_TIMESTAMP() AS TIME_EXEC FROM "&amp;I487&amp;" INNER JOIN "&amp;J487&amp;" "&amp;K487),
IF(C487="Validade",+IF(G487="Code List","SELECT '"&amp;UPPER(B487)&amp;"' AS TABELA, '"&amp;UPPER(C487)&amp;"' AS TIPOLOGIA_TESTE,'"&amp;D487&amp;"' AS TABELA_LT,'N/A' AS TABELA_SIMUL,'"&amp;F487&amp;"' AS CAMPO, "&amp;"'${ref_date}' AS REF_DATE, COUNT(*) AS NUM_REG, SUM(IF(TRIM(CAST(X."&amp;F487&amp;" AS STRING))='' OR TRIM(CAST(X."&amp;F487&amp;" AS STRING)) IS NULL OR CAST(X."&amp;F487&amp;" AS STRING) NOT "&amp;H487&amp;",1,0)) AS NUM_REG_DIF,'"&amp;MAX('ID1&amp;5'!K:K)+1&amp;"' AS ID_EXEC, CURRENT_TIMESTAMP() AS TIME_EXEC FROM "&amp;I487,"SELECT '"&amp;UPPER(B487)&amp;"' AS TABELA, '"&amp;UPPER(C487)&amp;"' AS TIPOLOGIA_TESTE,'"&amp;D487&amp;"' AS TABELA_LT,'N/A' AS TABELA_SIMUL,'"&amp;F487&amp;"' AS CAMPO, "&amp;"'${ref_date}' AS REF_DATE, COUNT(*) AS NUM_REG, SUM(IF(TRIM(CAST(X."&amp;F487&amp;" AS STRING))='' OR TRIM(CAST(X."&amp;F487&amp;" AS STRING)) IS NULL,1,0)) AS NUM_REG_DIF,'"&amp;MAX('ID1&amp;5'!K:K)+1&amp;"' AS ID_EXEC, CURRENT_TIMESTAMP() AS TIME_EXEC FROM "&amp;I487),
IF(C487="Caracteres Especiais",+"SELECT '"&amp;UPPER(B487)&amp;"' AS TABELA, '"&amp;UPPER(C487)&amp;"' AS TIPOLOGIA_TESTE,'"&amp;D487&amp;"' AS TABELA_LT,'N/A' AS TABELA_SIMUL,'"&amp;F487&amp;"' AS CAMPO, "&amp;"'${ref_date}' AS REF_DATE, COUNT(*) AS NUM_REG, SUM(IF(REGEXP_REPLACE(TRIM(CAST(X."&amp;F487&amp;" AS STRING)),'[^a-zA-Z0-9_\\s]','') &lt;&gt;TRIM(CAST(X."&amp;F487&amp;" AS STRING)),1,0)) AS NUM_REG_DIF,'"&amp;MAX('ID1&amp;5'!K:K)+1&amp;"' AS ID_EXEC, CURRENT_TIMESTAMP() AS TIME_EXEC FROM "&amp;I487,
IF(C487="Missings",+"SELECT '"&amp;UPPER(B487)&amp;"' AS TABELA, '"&amp;UPPER(C487)&amp;"' AS TIPOLOGIA_TESTE,'"&amp;D487&amp;"' AS TABELA_LT,'N/A' AS TABELA_SIMUL,'"&amp;F487&amp;"' AS CAMPO, "&amp;"'${ref_date}' AS REF_DATE, COUNT(*) AS NUM_REG, SUM(IF(TRIM(CAST(X."&amp;F487&amp;" AS STRING)) IN ('0000-00-00','0001-01-01','9999-12-31','MISS','00000','99999999999','99999999999.00','99999999999.000000'),1,0)) AS NUM_REG_DIF,'"&amp;MAX('ID1&amp;5'!K:K)+1&amp;"' AS ID_EXEC, CURRENT_TIMESTAMP() AS TIME_EXEC FROM "&amp;I487,
IF(C487="Not applicable",+"SELECT '"&amp;UPPER(B487)&amp;"' AS TABELA, '"&amp;UPPER(C487)&amp;"' AS TIPOLOGIA_TESTE,'"&amp;D487&amp;"' AS TABELA_LT,'N/A' AS TABELA_SIMUL,'"&amp;F487&amp;"' AS CAMPO, "&amp;"'${ref_date}' AS REF_DATE, COUNT(*) AS NUM_REG, SUM(IF(TRIM(CAST(X."&amp;F487&amp;" AS STRING)) IN ('N/A','11111111111','11111111111.00','11111111111.000000','1111-11-11'),1,0)) AS NUM_REG_DIF,'"&amp;MAX('ID1&amp;5'!K:K)+1&amp;"' AS ID_EXEC, CURRENT_TIMESTAMP() AS TIME_EXEC FROM "&amp;I487,
IF(C487="Valores extremos",+"SELECT '"&amp;UPPER(B487)&amp;"' AS TABELA, '"&amp;UPPER(C487)&amp;"' AS TIPOLOGIA_TESTE,'"&amp;D487&amp;"' AS TABELA_LT,'N/A' AS TABELA_SIMUL,'"&amp;F487&amp;"' AS CAMPO, "&amp;"'${ref_date}' AS REF_DATE, CAST(MIN("&amp;F487&amp;") AS STRING) AS VALOR_MIN, CAST(MAX("&amp;F487&amp;") AS STRING) AS VALOR_MAX,'"&amp;MAX('ID1&amp;5'!K:K)+1&amp;"' AS ID_EXEC, CURRENT_TIMESTAMP() AS TIME_EXEC FROM "&amp;MID(I487,1,LEN(I487)-2)&amp;" AND CAST("&amp;F487&amp;"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TABELA_SIMUL,'enblng_capex_cca' AS CAMPO, '${ref_date}' AS REF_DATE, COUNT(*) AS NUM_REG, SUM(IF(COALESCE(CAST(X.enblng_capex_cca AS STRING),'')&lt;&gt;COALESCE(CAST(Y.enblng_capex_cca_SIMUL AS STRING),'') OR (X.enblng_capex_cca IS NULL AND Y.enblng_capex_cca_SIMUL IS NOT NULL ) OR (X.enblng_capex_cca IS NOT NULL AND Y.enblng_capex_cca_SIMUL IS NULL),1,0)) AS NUM_REG_DIF,'1' AS ID_EXEC, CURRENT_TIMESTAMP() AS TIME_EXEC FROM (SELECT entty_id, enblng_capex_cca FROM BU_LOANTAPE_WORK.LT003_ENTITY WHERE ref_date='${ref_date}' AND nome_perimetro='Individual Local' AND segmento='ESTR' AND ambito='SRB_MBDT' AND entidade='00100')X INNER JOIN (SELECT entty_id AS entty_id_SIMUL, enblng_capex_cca AS enblng_capex_cca_SIMUL FROM BU_LOANTAPE_WORK.SIMUL_LT003_ENTITY WHERE ref_date='${ref_date}' AND nome_perimetro='Individual Local' AND segmento='ESTR' AND ambito='PILAR3' AND entidade='00100')Y ON X.ENTTY_ID=Y.ENTTY_ID_SIMUL</v>
      </c>
      <c r="M487" s="36" t="str">
        <f t="shared" si="10"/>
        <v>UNION ALL SELECT 'ENTITY' AS TABELA, 'COERÊNCIA' AS TIPOLOGIA_TESTE,'BU_LOANTAPE_WORK.LT003_ENTITY' AS TABELA_LT,'BU_LOANTAPE_WORK.SIMUL_LT003_ENTITY' AS TABELA_SIMUL,'enblng_capex_cca' AS CAMPO, '${ref_date}' AS REF_DATE, COUNT(*) AS NUM_REG, SUM(IF(COALESCE(CAST(X.enblng_capex_cca AS STRING),'')&lt;&gt;COALESCE(CAST(Y.enblng_capex_cca_SIMUL AS STRING),'') OR (X.enblng_capex_cca IS NULL AND Y.enblng_capex_cca_SIMUL IS NOT NULL ) OR (X.enblng_capex_cca IS NOT NULL AND Y.enblng_capex_cca_SIMUL IS NULL),1,0)) AS NUM_REG_DIF,'1' AS ID_EXEC, CURRENT_TIMESTAMP() AS TIME_EXEC FROM (SELECT entty_id, enblng_capex_cca FROM BU_LOANTAPE_WORK.LT003_ENTITY WHERE ref_date='${ref_date}' AND nome_perimetro='Individual Local' AND segmento='ESTR' AND ambito='SRB_MBDT' AND entidade='00100')X INNER JOIN (SELECT entty_id AS entty_id_SIMUL, enblng_capex_cca AS enblng_capex_cca_SIMUL FROM BU_LOANTAPE_WORK.SIMUL_LT003_ENTITY WHERE ref_date='${ref_date}' AND nome_perimetro='Individual Local' AND segmento='ESTR' AND ambito='PILAR3' AND entidade='00100')Y ON X.ENTTY_ID=Y.ENTTY_ID_SIMUL</v>
      </c>
    </row>
    <row r="488" spans="2:13">
      <c r="B488" s="34" t="s">
        <v>118</v>
      </c>
      <c r="C488" s="34" t="s">
        <v>5</v>
      </c>
      <c r="D488" s="34" t="str">
        <f>+UPPER('0. Instruções'!$D$35&amp;"."&amp;VLOOKUP(B488,'0. Instruções'!$C$27:$D$32,2,FALSE))</f>
        <v>BU_LOANTAPE_WORK.LT003_ENTITY</v>
      </c>
      <c r="E488" s="34" t="str">
        <f>+UPPER('0. Instruções'!$D$36&amp;"."&amp;VLOOKUP(B488,'0. Instruções'!$C$27:$E$32,3,FALSE))</f>
        <v>BU_LOANTAPE_WORK.SIMUL_LT003_ENTITY</v>
      </c>
      <c r="F488" s="34" t="s">
        <v>597</v>
      </c>
      <c r="G488" s="34"/>
      <c r="H488" s="34"/>
      <c r="I488" s="34" t="str">
        <f>"(SELECT "&amp;VLOOKUP(B488,'0. Instruções'!$C$27:$G$32,4,FALSE)&amp;", "&amp;F488&amp;" FROM "&amp;D488&amp;" WHERE "&amp;'0. Instruções'!$D$42&amp;")X"</f>
        <v>(SELECT entty_id, trnstnl_capex FROM BU_LOANTAPE_WORK.LT003_ENTITY WHERE ref_date='${ref_date}' AND nome_perimetro='Individual Local' AND segmento='ESTR' AND ambito='SRB_MBDT' AND entidade='00100')X</v>
      </c>
      <c r="J488" s="34" t="str">
        <f>"(SELECT "&amp;VLOOKUP(B488,'0. Instruções'!$C$27:$G$32,4,FALSE)&amp;" AS "&amp;VLOOKUP(B488,'0. Instruções'!$C$27:$G$32,4,FALSE)&amp;"_SIMUL, "&amp;F488&amp;" AS "&amp;F488&amp;"_SIMUL FROM "&amp;E488&amp;" WHERE "&amp;'0. Instruções'!$D$43&amp;")Y"</f>
        <v>(SELECT entty_id AS entty_id_SIMUL, trnstnl_capex AS trnstnl_capex_SIMUL FROM BU_LOANTAPE_WORK.SIMUL_LT003_ENTITY WHERE ref_date='${ref_date}' AND nome_perimetro='Individual Local' AND segmento='ESTR' AND ambito='PILAR3' AND entidade='00100')Y</v>
      </c>
      <c r="K488" s="35" t="str">
        <f>+UPPER("ON X."&amp;VLOOKUP(B488,'0. Instruções'!$C$27:$G$32,4,FALSE)&amp;"=Y."&amp;VLOOKUP(B488,'0. Instruções'!$C$27:$G$32,4,FALSE)&amp;"_SIMUL")</f>
        <v>ON X.ENTTY_ID=Y.ENTTY_ID_SIMUL</v>
      </c>
      <c r="L488" s="35" t="str">
        <f>+IF(C488="Coerência", +IF(LEFT(G488,5)="FLOAT","SELECT '"&amp;UPPER(B488)&amp;"' AS TABELA, '"&amp;UPPER(C488)&amp;"' AS TIPOLOGIA_TESTE,'"&amp;D488&amp;"' AS TABELA_LT,'"&amp;E488&amp;"' AS TABELA_SIMUL,'"&amp;F488&amp;"' AS CAMPO, "&amp;"'${ref_date}' AS REF_DATE, COUNT(*) AS NUM_REG, SUM(IF((ABS(COALESCE(CAST(X."&amp;F488&amp;" AS DECIMAL(18,6)),0)-COALESCE(CAST(Y."&amp;F488&amp;"_SIMUL AS DECIMAL(18,6)),0))&gt;0.000001) OR (X."&amp;F488&amp;" IS NULL AND Y."&amp;F488&amp;"_SIMUL IS NOT NULL ) OR (X."&amp;F488&amp;" IS NOT NULL AND Y."&amp;F488&amp;"_SIMUL IS NULL),1,0)) AS NUM_REG_DIF,'"&amp;MAX('ID1&amp;5'!K:K)+1&amp;"' AS ID_EXEC, CURRENT_TIMESTAMP() AS TIME_EXEC FROM "&amp;I488&amp;" INNER JOIN "&amp;J488&amp;" "&amp;K488,"SELECT '"&amp;UPPER(B488)&amp;"' AS TABELA, '"&amp;UPPER(C488)&amp;"' AS TIPOLOGIA_TESTE,'"&amp;D488&amp;"' AS TABELA_LT,'"&amp;E488&amp;"' AS TABELA_SIMUL,'"&amp;F488&amp;"' AS CAMPO, "&amp;"'${ref_date}' AS REF_DATE, COUNT(*) AS NUM_REG, SUM(IF(COALESCE(CAST(X."&amp;F488&amp;" AS STRING),'')&lt;&gt;COALESCE(CAST(Y."&amp;F488&amp;"_SIMUL AS STRING),'') OR (X."&amp;F488&amp;" IS NULL AND Y."&amp;F488&amp;"_SIMUL IS NOT NULL ) OR (X."&amp;F488&amp;" IS NOT NULL AND Y."&amp;F488&amp;"_SIMUL IS NULL),1,0)) AS NUM_REG_DIF,'"&amp;MAX('ID1&amp;5'!L:L)+1&amp;"' AS ID_EXEC, CURRENT_TIMESTAMP() AS TIME_EXEC FROM "&amp;I488&amp;" INNER JOIN "&amp;J488&amp;" "&amp;K488),
IF(C488="Validade",+IF(G488="Code List","SELECT '"&amp;UPPER(B488)&amp;"' AS TABELA, '"&amp;UPPER(C488)&amp;"' AS TIPOLOGIA_TESTE,'"&amp;D488&amp;"' AS TABELA_LT,'N/A' AS TABELA_SIMUL,'"&amp;F488&amp;"' AS CAMPO, "&amp;"'${ref_date}' AS REF_DATE, COUNT(*) AS NUM_REG, SUM(IF(TRIM(CAST(X."&amp;F488&amp;" AS STRING))='' OR TRIM(CAST(X."&amp;F488&amp;" AS STRING)) IS NULL OR CAST(X."&amp;F488&amp;" AS STRING) NOT "&amp;H488&amp;",1,0)) AS NUM_REG_DIF,'"&amp;MAX('ID1&amp;5'!K:K)+1&amp;"' AS ID_EXEC, CURRENT_TIMESTAMP() AS TIME_EXEC FROM "&amp;I488,"SELECT '"&amp;UPPER(B488)&amp;"' AS TABELA, '"&amp;UPPER(C488)&amp;"' AS TIPOLOGIA_TESTE,'"&amp;D488&amp;"' AS TABELA_LT,'N/A' AS TABELA_SIMUL,'"&amp;F488&amp;"' AS CAMPO, "&amp;"'${ref_date}' AS REF_DATE, COUNT(*) AS NUM_REG, SUM(IF(TRIM(CAST(X."&amp;F488&amp;" AS STRING))='' OR TRIM(CAST(X."&amp;F488&amp;" AS STRING)) IS NULL,1,0)) AS NUM_REG_DIF,'"&amp;MAX('ID1&amp;5'!K:K)+1&amp;"' AS ID_EXEC, CURRENT_TIMESTAMP() AS TIME_EXEC FROM "&amp;I488),
IF(C488="Caracteres Especiais",+"SELECT '"&amp;UPPER(B488)&amp;"' AS TABELA, '"&amp;UPPER(C488)&amp;"' AS TIPOLOGIA_TESTE,'"&amp;D488&amp;"' AS TABELA_LT,'N/A' AS TABELA_SIMUL,'"&amp;F488&amp;"' AS CAMPO, "&amp;"'${ref_date}' AS REF_DATE, COUNT(*) AS NUM_REG, SUM(IF(REGEXP_REPLACE(TRIM(CAST(X."&amp;F488&amp;" AS STRING)),'[^a-zA-Z0-9_\\s]','') &lt;&gt;TRIM(CAST(X."&amp;F488&amp;" AS STRING)),1,0)) AS NUM_REG_DIF,'"&amp;MAX('ID1&amp;5'!K:K)+1&amp;"' AS ID_EXEC, CURRENT_TIMESTAMP() AS TIME_EXEC FROM "&amp;I488,
IF(C488="Missings",+"SELECT '"&amp;UPPER(B488)&amp;"' AS TABELA, '"&amp;UPPER(C488)&amp;"' AS TIPOLOGIA_TESTE,'"&amp;D488&amp;"' AS TABELA_LT,'N/A' AS TABELA_SIMUL,'"&amp;F488&amp;"' AS CAMPO, "&amp;"'${ref_date}' AS REF_DATE, COUNT(*) AS NUM_REG, SUM(IF(TRIM(CAST(X."&amp;F488&amp;" AS STRING)) IN ('0000-00-00','0001-01-01','9999-12-31','MISS','00000','99999999999','99999999999.00','99999999999.000000'),1,0)) AS NUM_REG_DIF,'"&amp;MAX('ID1&amp;5'!K:K)+1&amp;"' AS ID_EXEC, CURRENT_TIMESTAMP() AS TIME_EXEC FROM "&amp;I488,
IF(C488="Not applicable",+"SELECT '"&amp;UPPER(B488)&amp;"' AS TABELA, '"&amp;UPPER(C488)&amp;"' AS TIPOLOGIA_TESTE,'"&amp;D488&amp;"' AS TABELA_LT,'N/A' AS TABELA_SIMUL,'"&amp;F488&amp;"' AS CAMPO, "&amp;"'${ref_date}' AS REF_DATE, COUNT(*) AS NUM_REG, SUM(IF(TRIM(CAST(X."&amp;F488&amp;" AS STRING)) IN ('N/A','11111111111','11111111111.00','11111111111.000000','1111-11-11'),1,0)) AS NUM_REG_DIF,'"&amp;MAX('ID1&amp;5'!K:K)+1&amp;"' AS ID_EXEC, CURRENT_TIMESTAMP() AS TIME_EXEC FROM "&amp;I488,
IF(C488="Valores extremos",+"SELECT '"&amp;UPPER(B488)&amp;"' AS TABELA, '"&amp;UPPER(C488)&amp;"' AS TIPOLOGIA_TESTE,'"&amp;D488&amp;"' AS TABELA_LT,'N/A' AS TABELA_SIMUL,'"&amp;F488&amp;"' AS CAMPO, "&amp;"'${ref_date}' AS REF_DATE, CAST(MIN("&amp;F488&amp;") AS STRING) AS VALOR_MIN, CAST(MAX("&amp;F488&amp;") AS STRING) AS VALOR_MAX,'"&amp;MAX('ID1&amp;5'!K:K)+1&amp;"' AS ID_EXEC, CURRENT_TIMESTAMP() AS TIME_EXEC FROM "&amp;MID(I488,1,LEN(I488)-2)&amp;" AND CAST("&amp;F488&amp;"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TABELA_SIMUL,'trnstnl_capex' AS CAMPO, '${ref_date}' AS REF_DATE, COUNT(*) AS NUM_REG, SUM(IF(COALESCE(CAST(X.trnstnl_capex AS STRING),'')&lt;&gt;COALESCE(CAST(Y.trnstnl_capex_SIMUL AS STRING),'') OR (X.trnstnl_capex IS NULL AND Y.trnstnl_capex_SIMUL IS NOT NULL ) OR (X.trnstnl_capex IS NOT NULL AND Y.trnstnl_capex_SIMUL IS NULL),1,0)) AS NUM_REG_DIF,'1' AS ID_EXEC, CURRENT_TIMESTAMP() AS TIME_EXEC FROM (SELECT entty_id, trnstnl_capex FROM BU_LOANTAPE_WORK.LT003_ENTITY WHERE ref_date='${ref_date}' AND nome_perimetro='Individual Local' AND segmento='ESTR' AND ambito='SRB_MBDT' AND entidade='00100')X INNER JOIN (SELECT entty_id AS entty_id_SIMUL, trnstnl_capex AS trnstnl_capex_SIMUL FROM BU_LOANTAPE_WORK.SIMUL_LT003_ENTITY WHERE ref_date='${ref_date}' AND nome_perimetro='Individual Local' AND segmento='ESTR' AND ambito='PILAR3' AND entidade='00100')Y ON X.ENTTY_ID=Y.ENTTY_ID_SIMUL</v>
      </c>
      <c r="M488" s="36" t="str">
        <f t="shared" si="10"/>
        <v>UNION ALL SELECT 'ENTITY' AS TABELA, 'COERÊNCIA' AS TIPOLOGIA_TESTE,'BU_LOANTAPE_WORK.LT003_ENTITY' AS TABELA_LT,'BU_LOANTAPE_WORK.SIMUL_LT003_ENTITY' AS TABELA_SIMUL,'trnstnl_capex' AS CAMPO, '${ref_date}' AS REF_DATE, COUNT(*) AS NUM_REG, SUM(IF(COALESCE(CAST(X.trnstnl_capex AS STRING),'')&lt;&gt;COALESCE(CAST(Y.trnstnl_capex_SIMUL AS STRING),'') OR (X.trnstnl_capex IS NULL AND Y.trnstnl_capex_SIMUL IS NOT NULL ) OR (X.trnstnl_capex IS NOT NULL AND Y.trnstnl_capex_SIMUL IS NULL),1,0)) AS NUM_REG_DIF,'1' AS ID_EXEC, CURRENT_TIMESTAMP() AS TIME_EXEC FROM (SELECT entty_id, trnstnl_capex FROM BU_LOANTAPE_WORK.LT003_ENTITY WHERE ref_date='${ref_date}' AND nome_perimetro='Individual Local' AND segmento='ESTR' AND ambito='SRB_MBDT' AND entidade='00100')X INNER JOIN (SELECT entty_id AS entty_id_SIMUL, trnstnl_capex AS trnstnl_capex_SIMUL FROM BU_LOANTAPE_WORK.SIMUL_LT003_ENTITY WHERE ref_date='${ref_date}' AND nome_perimetro='Individual Local' AND segmento='ESTR' AND ambito='PILAR3' AND entidade='00100')Y ON X.ENTTY_ID=Y.ENTTY_ID_SIMUL</v>
      </c>
    </row>
    <row r="489" spans="2:13">
      <c r="B489" s="34" t="s">
        <v>118</v>
      </c>
      <c r="C489" s="34" t="s">
        <v>5</v>
      </c>
      <c r="D489" s="34" t="str">
        <f>+UPPER('0. Instruções'!$D$35&amp;"."&amp;VLOOKUP(B489,'0. Instruções'!$C$27:$D$32,2,FALSE))</f>
        <v>BU_LOANTAPE_WORK.LT003_ENTITY</v>
      </c>
      <c r="E489" s="34" t="str">
        <f>+UPPER('0. Instruções'!$D$36&amp;"."&amp;VLOOKUP(B489,'0. Instruções'!$C$27:$E$32,3,FALSE))</f>
        <v>BU_LOANTAPE_WORK.SIMUL_LT003_ENTITY</v>
      </c>
      <c r="F489" s="34" t="s">
        <v>598</v>
      </c>
      <c r="G489" s="34"/>
      <c r="H489" s="34"/>
      <c r="I489" s="34" t="str">
        <f>"(SELECT "&amp;VLOOKUP(B489,'0. Instruções'!$C$27:$G$32,4,FALSE)&amp;", "&amp;F489&amp;" FROM "&amp;D489&amp;" WHERE "&amp;'0. Instruções'!$D$42&amp;")X"</f>
        <v>(SELECT entty_id, pure_capex_ccm FROM BU_LOANTAPE_WORK.LT003_ENTITY WHERE ref_date='${ref_date}' AND nome_perimetro='Individual Local' AND segmento='ESTR' AND ambito='SRB_MBDT' AND entidade='00100')X</v>
      </c>
      <c r="J489" s="34" t="str">
        <f>"(SELECT "&amp;VLOOKUP(B489,'0. Instruções'!$C$27:$G$32,4,FALSE)&amp;" AS "&amp;VLOOKUP(B489,'0. Instruções'!$C$27:$G$32,4,FALSE)&amp;"_SIMUL, "&amp;F489&amp;" AS "&amp;F489&amp;"_SIMUL FROM "&amp;E489&amp;" WHERE "&amp;'0. Instruções'!$D$43&amp;")Y"</f>
        <v>(SELECT entty_id AS entty_id_SIMUL, pure_capex_ccm AS pure_capex_ccm_SIMUL FROM BU_LOANTAPE_WORK.SIMUL_LT003_ENTITY WHERE ref_date='${ref_date}' AND nome_perimetro='Individual Local' AND segmento='ESTR' AND ambito='PILAR3' AND entidade='00100')Y</v>
      </c>
      <c r="K489" s="35" t="str">
        <f>+UPPER("ON X."&amp;VLOOKUP(B489,'0. Instruções'!$C$27:$G$32,4,FALSE)&amp;"=Y."&amp;VLOOKUP(B489,'0. Instruções'!$C$27:$G$32,4,FALSE)&amp;"_SIMUL")</f>
        <v>ON X.ENTTY_ID=Y.ENTTY_ID_SIMUL</v>
      </c>
      <c r="L489" s="35" t="str">
        <f>+IF(C489="Coerência", +IF(LEFT(G489,5)="FLOAT","SELECT '"&amp;UPPER(B489)&amp;"' AS TABELA, '"&amp;UPPER(C489)&amp;"' AS TIPOLOGIA_TESTE,'"&amp;D489&amp;"' AS TABELA_LT,'"&amp;E489&amp;"' AS TABELA_SIMUL,'"&amp;F489&amp;"' AS CAMPO, "&amp;"'${ref_date}' AS REF_DATE, COUNT(*) AS NUM_REG, SUM(IF((ABS(COALESCE(CAST(X."&amp;F489&amp;" AS DECIMAL(18,6)),0)-COALESCE(CAST(Y."&amp;F489&amp;"_SIMUL AS DECIMAL(18,6)),0))&gt;0.000001) OR (X."&amp;F489&amp;" IS NULL AND Y."&amp;F489&amp;"_SIMUL IS NOT NULL ) OR (X."&amp;F489&amp;" IS NOT NULL AND Y."&amp;F489&amp;"_SIMUL IS NULL),1,0)) AS NUM_REG_DIF,'"&amp;MAX('ID1&amp;5'!K:K)+1&amp;"' AS ID_EXEC, CURRENT_TIMESTAMP() AS TIME_EXEC FROM "&amp;I489&amp;" INNER JOIN "&amp;J489&amp;" "&amp;K489,"SELECT '"&amp;UPPER(B489)&amp;"' AS TABELA, '"&amp;UPPER(C489)&amp;"' AS TIPOLOGIA_TESTE,'"&amp;D489&amp;"' AS TABELA_LT,'"&amp;E489&amp;"' AS TABELA_SIMUL,'"&amp;F489&amp;"' AS CAMPO, "&amp;"'${ref_date}' AS REF_DATE, COUNT(*) AS NUM_REG, SUM(IF(COALESCE(CAST(X."&amp;F489&amp;" AS STRING),'')&lt;&gt;COALESCE(CAST(Y."&amp;F489&amp;"_SIMUL AS STRING),'') OR (X."&amp;F489&amp;" IS NULL AND Y."&amp;F489&amp;"_SIMUL IS NOT NULL ) OR (X."&amp;F489&amp;" IS NOT NULL AND Y."&amp;F489&amp;"_SIMUL IS NULL),1,0)) AS NUM_REG_DIF,'"&amp;MAX('ID1&amp;5'!L:L)+1&amp;"' AS ID_EXEC, CURRENT_TIMESTAMP() AS TIME_EXEC FROM "&amp;I489&amp;" INNER JOIN "&amp;J489&amp;" "&amp;K489),
IF(C489="Validade",+IF(G489="Code List","SELECT '"&amp;UPPER(B489)&amp;"' AS TABELA, '"&amp;UPPER(C489)&amp;"' AS TIPOLOGIA_TESTE,'"&amp;D489&amp;"' AS TABELA_LT,'N/A' AS TABELA_SIMUL,'"&amp;F489&amp;"' AS CAMPO, "&amp;"'${ref_date}' AS REF_DATE, COUNT(*) AS NUM_REG, SUM(IF(TRIM(CAST(X."&amp;F489&amp;" AS STRING))='' OR TRIM(CAST(X."&amp;F489&amp;" AS STRING)) IS NULL OR CAST(X."&amp;F489&amp;" AS STRING) NOT "&amp;H489&amp;",1,0)) AS NUM_REG_DIF,'"&amp;MAX('ID1&amp;5'!K:K)+1&amp;"' AS ID_EXEC, CURRENT_TIMESTAMP() AS TIME_EXEC FROM "&amp;I489,"SELECT '"&amp;UPPER(B489)&amp;"' AS TABELA, '"&amp;UPPER(C489)&amp;"' AS TIPOLOGIA_TESTE,'"&amp;D489&amp;"' AS TABELA_LT,'N/A' AS TABELA_SIMUL,'"&amp;F489&amp;"' AS CAMPO, "&amp;"'${ref_date}' AS REF_DATE, COUNT(*) AS NUM_REG, SUM(IF(TRIM(CAST(X."&amp;F489&amp;" AS STRING))='' OR TRIM(CAST(X."&amp;F489&amp;" AS STRING)) IS NULL,1,0)) AS NUM_REG_DIF,'"&amp;MAX('ID1&amp;5'!K:K)+1&amp;"' AS ID_EXEC, CURRENT_TIMESTAMP() AS TIME_EXEC FROM "&amp;I489),
IF(C489="Caracteres Especiais",+"SELECT '"&amp;UPPER(B489)&amp;"' AS TABELA, '"&amp;UPPER(C489)&amp;"' AS TIPOLOGIA_TESTE,'"&amp;D489&amp;"' AS TABELA_LT,'N/A' AS TABELA_SIMUL,'"&amp;F489&amp;"' AS CAMPO, "&amp;"'${ref_date}' AS REF_DATE, COUNT(*) AS NUM_REG, SUM(IF(REGEXP_REPLACE(TRIM(CAST(X."&amp;F489&amp;" AS STRING)),'[^a-zA-Z0-9_\\s]','') &lt;&gt;TRIM(CAST(X."&amp;F489&amp;" AS STRING)),1,0)) AS NUM_REG_DIF,'"&amp;MAX('ID1&amp;5'!K:K)+1&amp;"' AS ID_EXEC, CURRENT_TIMESTAMP() AS TIME_EXEC FROM "&amp;I489,
IF(C489="Missings",+"SELECT '"&amp;UPPER(B489)&amp;"' AS TABELA, '"&amp;UPPER(C489)&amp;"' AS TIPOLOGIA_TESTE,'"&amp;D489&amp;"' AS TABELA_LT,'N/A' AS TABELA_SIMUL,'"&amp;F489&amp;"' AS CAMPO, "&amp;"'${ref_date}' AS REF_DATE, COUNT(*) AS NUM_REG, SUM(IF(TRIM(CAST(X."&amp;F489&amp;" AS STRING)) IN ('0000-00-00','0001-01-01','9999-12-31','MISS','00000','99999999999','99999999999.00','99999999999.000000'),1,0)) AS NUM_REG_DIF,'"&amp;MAX('ID1&amp;5'!K:K)+1&amp;"' AS ID_EXEC, CURRENT_TIMESTAMP() AS TIME_EXEC FROM "&amp;I489,
IF(C489="Not applicable",+"SELECT '"&amp;UPPER(B489)&amp;"' AS TABELA, '"&amp;UPPER(C489)&amp;"' AS TIPOLOGIA_TESTE,'"&amp;D489&amp;"' AS TABELA_LT,'N/A' AS TABELA_SIMUL,'"&amp;F489&amp;"' AS CAMPO, "&amp;"'${ref_date}' AS REF_DATE, COUNT(*) AS NUM_REG, SUM(IF(TRIM(CAST(X."&amp;F489&amp;" AS STRING)) IN ('N/A','11111111111','11111111111.00','11111111111.000000','1111-11-11'),1,0)) AS NUM_REG_DIF,'"&amp;MAX('ID1&amp;5'!K:K)+1&amp;"' AS ID_EXEC, CURRENT_TIMESTAMP() AS TIME_EXEC FROM "&amp;I489,
IF(C489="Valores extremos",+"SELECT '"&amp;UPPER(B489)&amp;"' AS TABELA, '"&amp;UPPER(C489)&amp;"' AS TIPOLOGIA_TESTE,'"&amp;D489&amp;"' AS TABELA_LT,'N/A' AS TABELA_SIMUL,'"&amp;F489&amp;"' AS CAMPO, "&amp;"'${ref_date}' AS REF_DATE, CAST(MIN("&amp;F489&amp;") AS STRING) AS VALOR_MIN, CAST(MAX("&amp;F489&amp;") AS STRING) AS VALOR_MAX,'"&amp;MAX('ID1&amp;5'!K:K)+1&amp;"' AS ID_EXEC, CURRENT_TIMESTAMP() AS TIME_EXEC FROM "&amp;MID(I489,1,LEN(I489)-2)&amp;" AND CAST("&amp;F489&amp;"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TABELA_SIMUL,'pure_capex_ccm' AS CAMPO, '${ref_date}' AS REF_DATE, COUNT(*) AS NUM_REG, SUM(IF(COALESCE(CAST(X.pure_capex_ccm AS STRING),'')&lt;&gt;COALESCE(CAST(Y.pure_capex_ccm_SIMUL AS STRING),'') OR (X.pure_capex_ccm IS NULL AND Y.pure_capex_ccm_SIMUL IS NOT NULL ) OR (X.pure_capex_ccm IS NOT NULL AND Y.pure_capex_ccm_SIMUL IS NULL),1,0)) AS NUM_REG_DIF,'1' AS ID_EXEC, CURRENT_TIMESTAMP() AS TIME_EXEC FROM (SELECT entty_id, pure_capex_ccm FROM BU_LOANTAPE_WORK.LT003_ENTITY WHERE ref_date='${ref_date}' AND nome_perimetro='Individual Local' AND segmento='ESTR' AND ambito='SRB_MBDT' AND entidade='00100')X INNER JOIN (SELECT entty_id AS entty_id_SIMUL, pure_capex_ccm AS pure_capex_ccm_SIMUL FROM BU_LOANTAPE_WORK.SIMUL_LT003_ENTITY WHERE ref_date='${ref_date}' AND nome_perimetro='Individual Local' AND segmento='ESTR' AND ambito='PILAR3' AND entidade='00100')Y ON X.ENTTY_ID=Y.ENTTY_ID_SIMUL</v>
      </c>
      <c r="M489" s="36" t="str">
        <f t="shared" si="10"/>
        <v>UNION ALL SELECT 'ENTITY' AS TABELA, 'COERÊNCIA' AS TIPOLOGIA_TESTE,'BU_LOANTAPE_WORK.LT003_ENTITY' AS TABELA_LT,'BU_LOANTAPE_WORK.SIMUL_LT003_ENTITY' AS TABELA_SIMUL,'pure_capex_ccm' AS CAMPO, '${ref_date}' AS REF_DATE, COUNT(*) AS NUM_REG, SUM(IF(COALESCE(CAST(X.pure_capex_ccm AS STRING),'')&lt;&gt;COALESCE(CAST(Y.pure_capex_ccm_SIMUL AS STRING),'') OR (X.pure_capex_ccm IS NULL AND Y.pure_capex_ccm_SIMUL IS NOT NULL ) OR (X.pure_capex_ccm IS NOT NULL AND Y.pure_capex_ccm_SIMUL IS NULL),1,0)) AS NUM_REG_DIF,'1' AS ID_EXEC, CURRENT_TIMESTAMP() AS TIME_EXEC FROM (SELECT entty_id, pure_capex_ccm FROM BU_LOANTAPE_WORK.LT003_ENTITY WHERE ref_date='${ref_date}' AND nome_perimetro='Individual Local' AND segmento='ESTR' AND ambito='SRB_MBDT' AND entidade='00100')X INNER JOIN (SELECT entty_id AS entty_id_SIMUL, pure_capex_ccm AS pure_capex_ccm_SIMUL FROM BU_LOANTAPE_WORK.SIMUL_LT003_ENTITY WHERE ref_date='${ref_date}' AND nome_perimetro='Individual Local' AND segmento='ESTR' AND ambito='PILAR3' AND entidade='00100')Y ON X.ENTTY_ID=Y.ENTTY_ID_SIMUL</v>
      </c>
    </row>
    <row r="490" spans="2:13">
      <c r="B490" s="34" t="s">
        <v>118</v>
      </c>
      <c r="C490" s="34" t="s">
        <v>5</v>
      </c>
      <c r="D490" s="34" t="str">
        <f>+UPPER('0. Instruções'!$D$35&amp;"."&amp;VLOOKUP(B490,'0. Instruções'!$C$27:$D$32,2,FALSE))</f>
        <v>BU_LOANTAPE_WORK.LT003_ENTITY</v>
      </c>
      <c r="E490" s="34" t="str">
        <f>+UPPER('0. Instruções'!$D$36&amp;"."&amp;VLOOKUP(B490,'0. Instruções'!$C$27:$E$32,3,FALSE))</f>
        <v>BU_LOANTAPE_WORK.SIMUL_LT003_ENTITY</v>
      </c>
      <c r="F490" s="34" t="s">
        <v>599</v>
      </c>
      <c r="G490" s="34"/>
      <c r="H490" s="34"/>
      <c r="I490" s="34" t="str">
        <f>"(SELECT "&amp;VLOOKUP(B490,'0. Instruções'!$C$27:$G$32,4,FALSE)&amp;", "&amp;F490&amp;" FROM "&amp;D490&amp;" WHERE "&amp;'0. Instruções'!$D$42&amp;")X"</f>
        <v>(SELECT entty_id, pure_capex_cca FROM BU_LOANTAPE_WORK.LT003_ENTITY WHERE ref_date='${ref_date}' AND nome_perimetro='Individual Local' AND segmento='ESTR' AND ambito='SRB_MBDT' AND entidade='00100')X</v>
      </c>
      <c r="J490" s="34" t="str">
        <f>"(SELECT "&amp;VLOOKUP(B490,'0. Instruções'!$C$27:$G$32,4,FALSE)&amp;" AS "&amp;VLOOKUP(B490,'0. Instruções'!$C$27:$G$32,4,FALSE)&amp;"_SIMUL, "&amp;F490&amp;" AS "&amp;F490&amp;"_SIMUL FROM "&amp;E490&amp;" WHERE "&amp;'0. Instruções'!$D$43&amp;")Y"</f>
        <v>(SELECT entty_id AS entty_id_SIMUL, pure_capex_cca AS pure_capex_cca_SIMUL FROM BU_LOANTAPE_WORK.SIMUL_LT003_ENTITY WHERE ref_date='${ref_date}' AND nome_perimetro='Individual Local' AND segmento='ESTR' AND ambito='PILAR3' AND entidade='00100')Y</v>
      </c>
      <c r="K490" s="35" t="str">
        <f>+UPPER("ON X."&amp;VLOOKUP(B490,'0. Instruções'!$C$27:$G$32,4,FALSE)&amp;"=Y."&amp;VLOOKUP(B490,'0. Instruções'!$C$27:$G$32,4,FALSE)&amp;"_SIMUL")</f>
        <v>ON X.ENTTY_ID=Y.ENTTY_ID_SIMUL</v>
      </c>
      <c r="L490" s="35" t="str">
        <f>+IF(C490="Coerência", +IF(LEFT(G490,5)="FLOAT","SELECT '"&amp;UPPER(B490)&amp;"' AS TABELA, '"&amp;UPPER(C490)&amp;"' AS TIPOLOGIA_TESTE,'"&amp;D490&amp;"' AS TABELA_LT,'"&amp;E490&amp;"' AS TABELA_SIMUL,'"&amp;F490&amp;"' AS CAMPO, "&amp;"'${ref_date}' AS REF_DATE, COUNT(*) AS NUM_REG, SUM(IF((ABS(COALESCE(CAST(X."&amp;F490&amp;" AS DECIMAL(18,6)),0)-COALESCE(CAST(Y."&amp;F490&amp;"_SIMUL AS DECIMAL(18,6)),0))&gt;0.000001) OR (X."&amp;F490&amp;" IS NULL AND Y."&amp;F490&amp;"_SIMUL IS NOT NULL ) OR (X."&amp;F490&amp;" IS NOT NULL AND Y."&amp;F490&amp;"_SIMUL IS NULL),1,0)) AS NUM_REG_DIF,'"&amp;MAX('ID1&amp;5'!K:K)+1&amp;"' AS ID_EXEC, CURRENT_TIMESTAMP() AS TIME_EXEC FROM "&amp;I490&amp;" INNER JOIN "&amp;J490&amp;" "&amp;K490,"SELECT '"&amp;UPPER(B490)&amp;"' AS TABELA, '"&amp;UPPER(C490)&amp;"' AS TIPOLOGIA_TESTE,'"&amp;D490&amp;"' AS TABELA_LT,'"&amp;E490&amp;"' AS TABELA_SIMUL,'"&amp;F490&amp;"' AS CAMPO, "&amp;"'${ref_date}' AS REF_DATE, COUNT(*) AS NUM_REG, SUM(IF(COALESCE(CAST(X."&amp;F490&amp;" AS STRING),'')&lt;&gt;COALESCE(CAST(Y."&amp;F490&amp;"_SIMUL AS STRING),'') OR (X."&amp;F490&amp;" IS NULL AND Y."&amp;F490&amp;"_SIMUL IS NOT NULL ) OR (X."&amp;F490&amp;" IS NOT NULL AND Y."&amp;F490&amp;"_SIMUL IS NULL),1,0)) AS NUM_REG_DIF,'"&amp;MAX('ID1&amp;5'!L:L)+1&amp;"' AS ID_EXEC, CURRENT_TIMESTAMP() AS TIME_EXEC FROM "&amp;I490&amp;" INNER JOIN "&amp;J490&amp;" "&amp;K490),
IF(C490="Validade",+IF(G490="Code List","SELECT '"&amp;UPPER(B490)&amp;"' AS TABELA, '"&amp;UPPER(C490)&amp;"' AS TIPOLOGIA_TESTE,'"&amp;D490&amp;"' AS TABELA_LT,'N/A' AS TABELA_SIMUL,'"&amp;F490&amp;"' AS CAMPO, "&amp;"'${ref_date}' AS REF_DATE, COUNT(*) AS NUM_REG, SUM(IF(TRIM(CAST(X."&amp;F490&amp;" AS STRING))='' OR TRIM(CAST(X."&amp;F490&amp;" AS STRING)) IS NULL OR CAST(X."&amp;F490&amp;" AS STRING) NOT "&amp;H490&amp;",1,0)) AS NUM_REG_DIF,'"&amp;MAX('ID1&amp;5'!K:K)+1&amp;"' AS ID_EXEC, CURRENT_TIMESTAMP() AS TIME_EXEC FROM "&amp;I490,"SELECT '"&amp;UPPER(B490)&amp;"' AS TABELA, '"&amp;UPPER(C490)&amp;"' AS TIPOLOGIA_TESTE,'"&amp;D490&amp;"' AS TABELA_LT,'N/A' AS TABELA_SIMUL,'"&amp;F490&amp;"' AS CAMPO, "&amp;"'${ref_date}' AS REF_DATE, COUNT(*) AS NUM_REG, SUM(IF(TRIM(CAST(X."&amp;F490&amp;" AS STRING))='' OR TRIM(CAST(X."&amp;F490&amp;" AS STRING)) IS NULL,1,0)) AS NUM_REG_DIF,'"&amp;MAX('ID1&amp;5'!K:K)+1&amp;"' AS ID_EXEC, CURRENT_TIMESTAMP() AS TIME_EXEC FROM "&amp;I490),
IF(C490="Caracteres Especiais",+"SELECT '"&amp;UPPER(B490)&amp;"' AS TABELA, '"&amp;UPPER(C490)&amp;"' AS TIPOLOGIA_TESTE,'"&amp;D490&amp;"' AS TABELA_LT,'N/A' AS TABELA_SIMUL,'"&amp;F490&amp;"' AS CAMPO, "&amp;"'${ref_date}' AS REF_DATE, COUNT(*) AS NUM_REG, SUM(IF(REGEXP_REPLACE(TRIM(CAST(X."&amp;F490&amp;" AS STRING)),'[^a-zA-Z0-9_\\s]','') &lt;&gt;TRIM(CAST(X."&amp;F490&amp;" AS STRING)),1,0)) AS NUM_REG_DIF,'"&amp;MAX('ID1&amp;5'!K:K)+1&amp;"' AS ID_EXEC, CURRENT_TIMESTAMP() AS TIME_EXEC FROM "&amp;I490,
IF(C490="Missings",+"SELECT '"&amp;UPPER(B490)&amp;"' AS TABELA, '"&amp;UPPER(C490)&amp;"' AS TIPOLOGIA_TESTE,'"&amp;D490&amp;"' AS TABELA_LT,'N/A' AS TABELA_SIMUL,'"&amp;F490&amp;"' AS CAMPO, "&amp;"'${ref_date}' AS REF_DATE, COUNT(*) AS NUM_REG, SUM(IF(TRIM(CAST(X."&amp;F490&amp;" AS STRING)) IN ('0000-00-00','0001-01-01','9999-12-31','MISS','00000','99999999999','99999999999.00','99999999999.000000'),1,0)) AS NUM_REG_DIF,'"&amp;MAX('ID1&amp;5'!K:K)+1&amp;"' AS ID_EXEC, CURRENT_TIMESTAMP() AS TIME_EXEC FROM "&amp;I490,
IF(C490="Not applicable",+"SELECT '"&amp;UPPER(B490)&amp;"' AS TABELA, '"&amp;UPPER(C490)&amp;"' AS TIPOLOGIA_TESTE,'"&amp;D490&amp;"' AS TABELA_LT,'N/A' AS TABELA_SIMUL,'"&amp;F490&amp;"' AS CAMPO, "&amp;"'${ref_date}' AS REF_DATE, COUNT(*) AS NUM_REG, SUM(IF(TRIM(CAST(X."&amp;F490&amp;" AS STRING)) IN ('N/A','11111111111','11111111111.00','11111111111.000000','1111-11-11'),1,0)) AS NUM_REG_DIF,'"&amp;MAX('ID1&amp;5'!K:K)+1&amp;"' AS ID_EXEC, CURRENT_TIMESTAMP() AS TIME_EXEC FROM "&amp;I490,
IF(C490="Valores extremos",+"SELECT '"&amp;UPPER(B490)&amp;"' AS TABELA, '"&amp;UPPER(C490)&amp;"' AS TIPOLOGIA_TESTE,'"&amp;D490&amp;"' AS TABELA_LT,'N/A' AS TABELA_SIMUL,'"&amp;F490&amp;"' AS CAMPO, "&amp;"'${ref_date}' AS REF_DATE, CAST(MIN("&amp;F490&amp;") AS STRING) AS VALOR_MIN, CAST(MAX("&amp;F490&amp;") AS STRING) AS VALOR_MAX,'"&amp;MAX('ID1&amp;5'!K:K)+1&amp;"' AS ID_EXEC, CURRENT_TIMESTAMP() AS TIME_EXEC FROM "&amp;MID(I490,1,LEN(I490)-2)&amp;" AND CAST("&amp;F490&amp;"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TABELA_SIMUL,'pure_capex_cca' AS CAMPO, '${ref_date}' AS REF_DATE, COUNT(*) AS NUM_REG, SUM(IF(COALESCE(CAST(X.pure_capex_cca AS STRING),'')&lt;&gt;COALESCE(CAST(Y.pure_capex_cca_SIMUL AS STRING),'') OR (X.pure_capex_cca IS NULL AND Y.pure_capex_cca_SIMUL IS NOT NULL ) OR (X.pure_capex_cca IS NOT NULL AND Y.pure_capex_cca_SIMUL IS NULL),1,0)) AS NUM_REG_DIF,'1' AS ID_EXEC, CURRENT_TIMESTAMP() AS TIME_EXEC FROM (SELECT entty_id, pure_capex_cca FROM BU_LOANTAPE_WORK.LT003_ENTITY WHERE ref_date='${ref_date}' AND nome_perimetro='Individual Local' AND segmento='ESTR' AND ambito='SRB_MBDT' AND entidade='00100')X INNER JOIN (SELECT entty_id AS entty_id_SIMUL, pure_capex_cca AS pure_capex_cca_SIMUL FROM BU_LOANTAPE_WORK.SIMUL_LT003_ENTITY WHERE ref_date='${ref_date}' AND nome_perimetro='Individual Local' AND segmento='ESTR' AND ambito='PILAR3' AND entidade='00100')Y ON X.ENTTY_ID=Y.ENTTY_ID_SIMUL</v>
      </c>
      <c r="M490" s="36" t="str">
        <f t="shared" si="10"/>
        <v>UNION ALL SELECT 'ENTITY' AS TABELA, 'COERÊNCIA' AS TIPOLOGIA_TESTE,'BU_LOANTAPE_WORK.LT003_ENTITY' AS TABELA_LT,'BU_LOANTAPE_WORK.SIMUL_LT003_ENTITY' AS TABELA_SIMUL,'pure_capex_cca' AS CAMPO, '${ref_date}' AS REF_DATE, COUNT(*) AS NUM_REG, SUM(IF(COALESCE(CAST(X.pure_capex_cca AS STRING),'')&lt;&gt;COALESCE(CAST(Y.pure_capex_cca_SIMUL AS STRING),'') OR (X.pure_capex_cca IS NULL AND Y.pure_capex_cca_SIMUL IS NOT NULL ) OR (X.pure_capex_cca IS NOT NULL AND Y.pure_capex_cca_SIMUL IS NULL),1,0)) AS NUM_REG_DIF,'1' AS ID_EXEC, CURRENT_TIMESTAMP() AS TIME_EXEC FROM (SELECT entty_id, pure_capex_cca FROM BU_LOANTAPE_WORK.LT003_ENTITY WHERE ref_date='${ref_date}' AND nome_perimetro='Individual Local' AND segmento='ESTR' AND ambito='SRB_MBDT' AND entidade='00100')X INNER JOIN (SELECT entty_id AS entty_id_SIMUL, pure_capex_cca AS pure_capex_cca_SIMUL FROM BU_LOANTAPE_WORK.SIMUL_LT003_ENTITY WHERE ref_date='${ref_date}' AND nome_perimetro='Individual Local' AND segmento='ESTR' AND ambito='PILAR3' AND entidade='00100')Y ON X.ENTTY_ID=Y.ENTTY_ID_SIMUL</v>
      </c>
    </row>
    <row r="491" spans="2:13">
      <c r="B491" s="34" t="s">
        <v>118</v>
      </c>
      <c r="C491" s="34" t="s">
        <v>5</v>
      </c>
      <c r="D491" s="34" t="str">
        <f>+UPPER('0. Instruções'!$D$35&amp;"."&amp;VLOOKUP(B491,'0. Instruções'!$C$27:$D$32,2,FALSE))</f>
        <v>BU_LOANTAPE_WORK.LT003_ENTITY</v>
      </c>
      <c r="E491" s="34" t="str">
        <f>+UPPER('0. Instruções'!$D$36&amp;"."&amp;VLOOKUP(B491,'0. Instruções'!$C$27:$E$32,3,FALSE))</f>
        <v>BU_LOANTAPE_WORK.SIMUL_LT003_ENTITY</v>
      </c>
      <c r="F491" s="34" t="s">
        <v>600</v>
      </c>
      <c r="G491" s="34"/>
      <c r="H491" s="34"/>
      <c r="I491" s="34" t="str">
        <f>"(SELECT "&amp;VLOOKUP(B491,'0. Instruções'!$C$27:$G$32,4,FALSE)&amp;", "&amp;F491&amp;" FROM "&amp;D491&amp;" WHERE "&amp;'0. Instruções'!$D$42&amp;")X"</f>
        <v>(SELECT entty_id, enblng_trnvr_ccm FROM BU_LOANTAPE_WORK.LT003_ENTITY WHERE ref_date='${ref_date}' AND nome_perimetro='Individual Local' AND segmento='ESTR' AND ambito='SRB_MBDT' AND entidade='00100')X</v>
      </c>
      <c r="J491" s="34" t="str">
        <f>"(SELECT "&amp;VLOOKUP(B491,'0. Instruções'!$C$27:$G$32,4,FALSE)&amp;" AS "&amp;VLOOKUP(B491,'0. Instruções'!$C$27:$G$32,4,FALSE)&amp;"_SIMUL, "&amp;F491&amp;" AS "&amp;F491&amp;"_SIMUL FROM "&amp;E491&amp;" WHERE "&amp;'0. Instruções'!$D$43&amp;")Y"</f>
        <v>(SELECT entty_id AS entty_id_SIMUL, enblng_trnvr_ccm AS enblng_trnvr_ccm_SIMUL FROM BU_LOANTAPE_WORK.SIMUL_LT003_ENTITY WHERE ref_date='${ref_date}' AND nome_perimetro='Individual Local' AND segmento='ESTR' AND ambito='PILAR3' AND entidade='00100')Y</v>
      </c>
      <c r="K491" s="35" t="str">
        <f>+UPPER("ON X."&amp;VLOOKUP(B491,'0. Instruções'!$C$27:$G$32,4,FALSE)&amp;"=Y."&amp;VLOOKUP(B491,'0. Instruções'!$C$27:$G$32,4,FALSE)&amp;"_SIMUL")</f>
        <v>ON X.ENTTY_ID=Y.ENTTY_ID_SIMUL</v>
      </c>
      <c r="L491" s="35" t="str">
        <f>+IF(C491="Coerência", +IF(LEFT(G491,5)="FLOAT","SELECT '"&amp;UPPER(B491)&amp;"' AS TABELA, '"&amp;UPPER(C491)&amp;"' AS TIPOLOGIA_TESTE,'"&amp;D491&amp;"' AS TABELA_LT,'"&amp;E491&amp;"' AS TABELA_SIMUL,'"&amp;F491&amp;"' AS CAMPO, "&amp;"'${ref_date}' AS REF_DATE, COUNT(*) AS NUM_REG, SUM(IF((ABS(COALESCE(CAST(X."&amp;F491&amp;" AS DECIMAL(18,6)),0)-COALESCE(CAST(Y."&amp;F491&amp;"_SIMUL AS DECIMAL(18,6)),0))&gt;0.000001) OR (X."&amp;F491&amp;" IS NULL AND Y."&amp;F491&amp;"_SIMUL IS NOT NULL ) OR (X."&amp;F491&amp;" IS NOT NULL AND Y."&amp;F491&amp;"_SIMUL IS NULL),1,0)) AS NUM_REG_DIF,'"&amp;MAX('ID1&amp;5'!K:K)+1&amp;"' AS ID_EXEC, CURRENT_TIMESTAMP() AS TIME_EXEC FROM "&amp;I491&amp;" INNER JOIN "&amp;J491&amp;" "&amp;K491,"SELECT '"&amp;UPPER(B491)&amp;"' AS TABELA, '"&amp;UPPER(C491)&amp;"' AS TIPOLOGIA_TESTE,'"&amp;D491&amp;"' AS TABELA_LT,'"&amp;E491&amp;"' AS TABELA_SIMUL,'"&amp;F491&amp;"' AS CAMPO, "&amp;"'${ref_date}' AS REF_DATE, COUNT(*) AS NUM_REG, SUM(IF(COALESCE(CAST(X."&amp;F491&amp;" AS STRING),'')&lt;&gt;COALESCE(CAST(Y."&amp;F491&amp;"_SIMUL AS STRING),'') OR (X."&amp;F491&amp;" IS NULL AND Y."&amp;F491&amp;"_SIMUL IS NOT NULL ) OR (X."&amp;F491&amp;" IS NOT NULL AND Y."&amp;F491&amp;"_SIMUL IS NULL),1,0)) AS NUM_REG_DIF,'"&amp;MAX('ID1&amp;5'!L:L)+1&amp;"' AS ID_EXEC, CURRENT_TIMESTAMP() AS TIME_EXEC FROM "&amp;I491&amp;" INNER JOIN "&amp;J491&amp;" "&amp;K491),
IF(C491="Validade",+IF(G491="Code List","SELECT '"&amp;UPPER(B491)&amp;"' AS TABELA, '"&amp;UPPER(C491)&amp;"' AS TIPOLOGIA_TESTE,'"&amp;D491&amp;"' AS TABELA_LT,'N/A' AS TABELA_SIMUL,'"&amp;F491&amp;"' AS CAMPO, "&amp;"'${ref_date}' AS REF_DATE, COUNT(*) AS NUM_REG, SUM(IF(TRIM(CAST(X."&amp;F491&amp;" AS STRING))='' OR TRIM(CAST(X."&amp;F491&amp;" AS STRING)) IS NULL OR CAST(X."&amp;F491&amp;" AS STRING) NOT "&amp;H491&amp;",1,0)) AS NUM_REG_DIF,'"&amp;MAX('ID1&amp;5'!K:K)+1&amp;"' AS ID_EXEC, CURRENT_TIMESTAMP() AS TIME_EXEC FROM "&amp;I491,"SELECT '"&amp;UPPER(B491)&amp;"' AS TABELA, '"&amp;UPPER(C491)&amp;"' AS TIPOLOGIA_TESTE,'"&amp;D491&amp;"' AS TABELA_LT,'N/A' AS TABELA_SIMUL,'"&amp;F491&amp;"' AS CAMPO, "&amp;"'${ref_date}' AS REF_DATE, COUNT(*) AS NUM_REG, SUM(IF(TRIM(CAST(X."&amp;F491&amp;" AS STRING))='' OR TRIM(CAST(X."&amp;F491&amp;" AS STRING)) IS NULL,1,0)) AS NUM_REG_DIF,'"&amp;MAX('ID1&amp;5'!K:K)+1&amp;"' AS ID_EXEC, CURRENT_TIMESTAMP() AS TIME_EXEC FROM "&amp;I491),
IF(C491="Caracteres Especiais",+"SELECT '"&amp;UPPER(B491)&amp;"' AS TABELA, '"&amp;UPPER(C491)&amp;"' AS TIPOLOGIA_TESTE,'"&amp;D491&amp;"' AS TABELA_LT,'N/A' AS TABELA_SIMUL,'"&amp;F491&amp;"' AS CAMPO, "&amp;"'${ref_date}' AS REF_DATE, COUNT(*) AS NUM_REG, SUM(IF(REGEXP_REPLACE(TRIM(CAST(X."&amp;F491&amp;" AS STRING)),'[^a-zA-Z0-9_\\s]','') &lt;&gt;TRIM(CAST(X."&amp;F491&amp;" AS STRING)),1,0)) AS NUM_REG_DIF,'"&amp;MAX('ID1&amp;5'!K:K)+1&amp;"' AS ID_EXEC, CURRENT_TIMESTAMP() AS TIME_EXEC FROM "&amp;I491,
IF(C491="Missings",+"SELECT '"&amp;UPPER(B491)&amp;"' AS TABELA, '"&amp;UPPER(C491)&amp;"' AS TIPOLOGIA_TESTE,'"&amp;D491&amp;"' AS TABELA_LT,'N/A' AS TABELA_SIMUL,'"&amp;F491&amp;"' AS CAMPO, "&amp;"'${ref_date}' AS REF_DATE, COUNT(*) AS NUM_REG, SUM(IF(TRIM(CAST(X."&amp;F491&amp;" AS STRING)) IN ('0000-00-00','0001-01-01','9999-12-31','MISS','00000','99999999999','99999999999.00','99999999999.000000'),1,0)) AS NUM_REG_DIF,'"&amp;MAX('ID1&amp;5'!K:K)+1&amp;"' AS ID_EXEC, CURRENT_TIMESTAMP() AS TIME_EXEC FROM "&amp;I491,
IF(C491="Not applicable",+"SELECT '"&amp;UPPER(B491)&amp;"' AS TABELA, '"&amp;UPPER(C491)&amp;"' AS TIPOLOGIA_TESTE,'"&amp;D491&amp;"' AS TABELA_LT,'N/A' AS TABELA_SIMUL,'"&amp;F491&amp;"' AS CAMPO, "&amp;"'${ref_date}' AS REF_DATE, COUNT(*) AS NUM_REG, SUM(IF(TRIM(CAST(X."&amp;F491&amp;" AS STRING)) IN ('N/A','11111111111','11111111111.00','11111111111.000000','1111-11-11'),1,0)) AS NUM_REG_DIF,'"&amp;MAX('ID1&amp;5'!K:K)+1&amp;"' AS ID_EXEC, CURRENT_TIMESTAMP() AS TIME_EXEC FROM "&amp;I491,
IF(C491="Valores extremos",+"SELECT '"&amp;UPPER(B491)&amp;"' AS TABELA, '"&amp;UPPER(C491)&amp;"' AS TIPOLOGIA_TESTE,'"&amp;D491&amp;"' AS TABELA_LT,'N/A' AS TABELA_SIMUL,'"&amp;F491&amp;"' AS CAMPO, "&amp;"'${ref_date}' AS REF_DATE, CAST(MIN("&amp;F491&amp;") AS STRING) AS VALOR_MIN, CAST(MAX("&amp;F491&amp;") AS STRING) AS VALOR_MAX,'"&amp;MAX('ID1&amp;5'!K:K)+1&amp;"' AS ID_EXEC, CURRENT_TIMESTAMP() AS TIME_EXEC FROM "&amp;MID(I491,1,LEN(I491)-2)&amp;" AND CAST("&amp;F491&amp;"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TABELA_SIMUL,'enblng_trnvr_ccm' AS CAMPO, '${ref_date}' AS REF_DATE, COUNT(*) AS NUM_REG, SUM(IF(COALESCE(CAST(X.enblng_trnvr_ccm AS STRING),'')&lt;&gt;COALESCE(CAST(Y.enblng_trnvr_ccm_SIMUL AS STRING),'') OR (X.enblng_trnvr_ccm IS NULL AND Y.enblng_trnvr_ccm_SIMUL IS NOT NULL ) OR (X.enblng_trnvr_ccm IS NOT NULL AND Y.enblng_trnvr_ccm_SIMUL IS NULL),1,0)) AS NUM_REG_DIF,'1' AS ID_EXEC, CURRENT_TIMESTAMP() AS TIME_EXEC FROM (SELECT entty_id, enblng_trnvr_ccm FROM BU_LOANTAPE_WORK.LT003_ENTITY WHERE ref_date='${ref_date}' AND nome_perimetro='Individual Local' AND segmento='ESTR' AND ambito='SRB_MBDT' AND entidade='00100')X INNER JOIN (SELECT entty_id AS entty_id_SIMUL, enblng_trnvr_ccm AS enblng_trnvr_ccm_SIMUL FROM BU_LOANTAPE_WORK.SIMUL_LT003_ENTITY WHERE ref_date='${ref_date}' AND nome_perimetro='Individual Local' AND segmento='ESTR' AND ambito='PILAR3' AND entidade='00100')Y ON X.ENTTY_ID=Y.ENTTY_ID_SIMUL</v>
      </c>
      <c r="M491" s="36" t="str">
        <f t="shared" si="10"/>
        <v>UNION ALL SELECT 'ENTITY' AS TABELA, 'COERÊNCIA' AS TIPOLOGIA_TESTE,'BU_LOANTAPE_WORK.LT003_ENTITY' AS TABELA_LT,'BU_LOANTAPE_WORK.SIMUL_LT003_ENTITY' AS TABELA_SIMUL,'enblng_trnvr_ccm' AS CAMPO, '${ref_date}' AS REF_DATE, COUNT(*) AS NUM_REG, SUM(IF(COALESCE(CAST(X.enblng_trnvr_ccm AS STRING),'')&lt;&gt;COALESCE(CAST(Y.enblng_trnvr_ccm_SIMUL AS STRING),'') OR (X.enblng_trnvr_ccm IS NULL AND Y.enblng_trnvr_ccm_SIMUL IS NOT NULL ) OR (X.enblng_trnvr_ccm IS NOT NULL AND Y.enblng_trnvr_ccm_SIMUL IS NULL),1,0)) AS NUM_REG_DIF,'1' AS ID_EXEC, CURRENT_TIMESTAMP() AS TIME_EXEC FROM (SELECT entty_id, enblng_trnvr_ccm FROM BU_LOANTAPE_WORK.LT003_ENTITY WHERE ref_date='${ref_date}' AND nome_perimetro='Individual Local' AND segmento='ESTR' AND ambito='SRB_MBDT' AND entidade='00100')X INNER JOIN (SELECT entty_id AS entty_id_SIMUL, enblng_trnvr_ccm AS enblng_trnvr_ccm_SIMUL FROM BU_LOANTAPE_WORK.SIMUL_LT003_ENTITY WHERE ref_date='${ref_date}' AND nome_perimetro='Individual Local' AND segmento='ESTR' AND ambito='PILAR3' AND entidade='00100')Y ON X.ENTTY_ID=Y.ENTTY_ID_SIMUL</v>
      </c>
    </row>
    <row r="492" spans="2:13">
      <c r="B492" s="34" t="s">
        <v>118</v>
      </c>
      <c r="C492" s="34" t="s">
        <v>5</v>
      </c>
      <c r="D492" s="34" t="str">
        <f>+UPPER('0. Instruções'!$D$35&amp;"."&amp;VLOOKUP(B492,'0. Instruções'!$C$27:$D$32,2,FALSE))</f>
        <v>BU_LOANTAPE_WORK.LT003_ENTITY</v>
      </c>
      <c r="E492" s="34" t="str">
        <f>+UPPER('0. Instruções'!$D$36&amp;"."&amp;VLOOKUP(B492,'0. Instruções'!$C$27:$E$32,3,FALSE))</f>
        <v>BU_LOANTAPE_WORK.SIMUL_LT003_ENTITY</v>
      </c>
      <c r="F492" s="34" t="s">
        <v>601</v>
      </c>
      <c r="G492" s="34"/>
      <c r="H492" s="34"/>
      <c r="I492" s="34" t="str">
        <f>"(SELECT "&amp;VLOOKUP(B492,'0. Instruções'!$C$27:$G$32,4,FALSE)&amp;", "&amp;F492&amp;" FROM "&amp;D492&amp;" WHERE "&amp;'0. Instruções'!$D$42&amp;")X"</f>
        <v>(SELECT entty_id, enblng_trnvr_cca FROM BU_LOANTAPE_WORK.LT003_ENTITY WHERE ref_date='${ref_date}' AND nome_perimetro='Individual Local' AND segmento='ESTR' AND ambito='SRB_MBDT' AND entidade='00100')X</v>
      </c>
      <c r="J492" s="34" t="str">
        <f>"(SELECT "&amp;VLOOKUP(B492,'0. Instruções'!$C$27:$G$32,4,FALSE)&amp;" AS "&amp;VLOOKUP(B492,'0. Instruções'!$C$27:$G$32,4,FALSE)&amp;"_SIMUL, "&amp;F492&amp;" AS "&amp;F492&amp;"_SIMUL FROM "&amp;E492&amp;" WHERE "&amp;'0. Instruções'!$D$43&amp;")Y"</f>
        <v>(SELECT entty_id AS entty_id_SIMUL, enblng_trnvr_cca AS enblng_trnvr_cca_SIMUL FROM BU_LOANTAPE_WORK.SIMUL_LT003_ENTITY WHERE ref_date='${ref_date}' AND nome_perimetro='Individual Local' AND segmento='ESTR' AND ambito='PILAR3' AND entidade='00100')Y</v>
      </c>
      <c r="K492" s="35" t="str">
        <f>+UPPER("ON X."&amp;VLOOKUP(B492,'0. Instruções'!$C$27:$G$32,4,FALSE)&amp;"=Y."&amp;VLOOKUP(B492,'0. Instruções'!$C$27:$G$32,4,FALSE)&amp;"_SIMUL")</f>
        <v>ON X.ENTTY_ID=Y.ENTTY_ID_SIMUL</v>
      </c>
      <c r="L492" s="35" t="str">
        <f>+IF(C492="Coerência", +IF(LEFT(G492,5)="FLOAT","SELECT '"&amp;UPPER(B492)&amp;"' AS TABELA, '"&amp;UPPER(C492)&amp;"' AS TIPOLOGIA_TESTE,'"&amp;D492&amp;"' AS TABELA_LT,'"&amp;E492&amp;"' AS TABELA_SIMUL,'"&amp;F492&amp;"' AS CAMPO, "&amp;"'${ref_date}' AS REF_DATE, COUNT(*) AS NUM_REG, SUM(IF((ABS(COALESCE(CAST(X."&amp;F492&amp;" AS DECIMAL(18,6)),0)-COALESCE(CAST(Y."&amp;F492&amp;"_SIMUL AS DECIMAL(18,6)),0))&gt;0.000001) OR (X."&amp;F492&amp;" IS NULL AND Y."&amp;F492&amp;"_SIMUL IS NOT NULL ) OR (X."&amp;F492&amp;" IS NOT NULL AND Y."&amp;F492&amp;"_SIMUL IS NULL),1,0)) AS NUM_REG_DIF,'"&amp;MAX('ID1&amp;5'!K:K)+1&amp;"' AS ID_EXEC, CURRENT_TIMESTAMP() AS TIME_EXEC FROM "&amp;I492&amp;" INNER JOIN "&amp;J492&amp;" "&amp;K492,"SELECT '"&amp;UPPER(B492)&amp;"' AS TABELA, '"&amp;UPPER(C492)&amp;"' AS TIPOLOGIA_TESTE,'"&amp;D492&amp;"' AS TABELA_LT,'"&amp;E492&amp;"' AS TABELA_SIMUL,'"&amp;F492&amp;"' AS CAMPO, "&amp;"'${ref_date}' AS REF_DATE, COUNT(*) AS NUM_REG, SUM(IF(COALESCE(CAST(X."&amp;F492&amp;" AS STRING),'')&lt;&gt;COALESCE(CAST(Y."&amp;F492&amp;"_SIMUL AS STRING),'') OR (X."&amp;F492&amp;" IS NULL AND Y."&amp;F492&amp;"_SIMUL IS NOT NULL ) OR (X."&amp;F492&amp;" IS NOT NULL AND Y."&amp;F492&amp;"_SIMUL IS NULL),1,0)) AS NUM_REG_DIF,'"&amp;MAX('ID1&amp;5'!L:L)+1&amp;"' AS ID_EXEC, CURRENT_TIMESTAMP() AS TIME_EXEC FROM "&amp;I492&amp;" INNER JOIN "&amp;J492&amp;" "&amp;K492),
IF(C492="Validade",+IF(G492="Code List","SELECT '"&amp;UPPER(B492)&amp;"' AS TABELA, '"&amp;UPPER(C492)&amp;"' AS TIPOLOGIA_TESTE,'"&amp;D492&amp;"' AS TABELA_LT,'N/A' AS TABELA_SIMUL,'"&amp;F492&amp;"' AS CAMPO, "&amp;"'${ref_date}' AS REF_DATE, COUNT(*) AS NUM_REG, SUM(IF(TRIM(CAST(X."&amp;F492&amp;" AS STRING))='' OR TRIM(CAST(X."&amp;F492&amp;" AS STRING)) IS NULL OR CAST(X."&amp;F492&amp;" AS STRING) NOT "&amp;H492&amp;",1,0)) AS NUM_REG_DIF,'"&amp;MAX('ID1&amp;5'!K:K)+1&amp;"' AS ID_EXEC, CURRENT_TIMESTAMP() AS TIME_EXEC FROM "&amp;I492,"SELECT '"&amp;UPPER(B492)&amp;"' AS TABELA, '"&amp;UPPER(C492)&amp;"' AS TIPOLOGIA_TESTE,'"&amp;D492&amp;"' AS TABELA_LT,'N/A' AS TABELA_SIMUL,'"&amp;F492&amp;"' AS CAMPO, "&amp;"'${ref_date}' AS REF_DATE, COUNT(*) AS NUM_REG, SUM(IF(TRIM(CAST(X."&amp;F492&amp;" AS STRING))='' OR TRIM(CAST(X."&amp;F492&amp;" AS STRING)) IS NULL,1,0)) AS NUM_REG_DIF,'"&amp;MAX('ID1&amp;5'!K:K)+1&amp;"' AS ID_EXEC, CURRENT_TIMESTAMP() AS TIME_EXEC FROM "&amp;I492),
IF(C492="Caracteres Especiais",+"SELECT '"&amp;UPPER(B492)&amp;"' AS TABELA, '"&amp;UPPER(C492)&amp;"' AS TIPOLOGIA_TESTE,'"&amp;D492&amp;"' AS TABELA_LT,'N/A' AS TABELA_SIMUL,'"&amp;F492&amp;"' AS CAMPO, "&amp;"'${ref_date}' AS REF_DATE, COUNT(*) AS NUM_REG, SUM(IF(REGEXP_REPLACE(TRIM(CAST(X."&amp;F492&amp;" AS STRING)),'[^a-zA-Z0-9_\\s]','') &lt;&gt;TRIM(CAST(X."&amp;F492&amp;" AS STRING)),1,0)) AS NUM_REG_DIF,'"&amp;MAX('ID1&amp;5'!K:K)+1&amp;"' AS ID_EXEC, CURRENT_TIMESTAMP() AS TIME_EXEC FROM "&amp;I492,
IF(C492="Missings",+"SELECT '"&amp;UPPER(B492)&amp;"' AS TABELA, '"&amp;UPPER(C492)&amp;"' AS TIPOLOGIA_TESTE,'"&amp;D492&amp;"' AS TABELA_LT,'N/A' AS TABELA_SIMUL,'"&amp;F492&amp;"' AS CAMPO, "&amp;"'${ref_date}' AS REF_DATE, COUNT(*) AS NUM_REG, SUM(IF(TRIM(CAST(X."&amp;F492&amp;" AS STRING)) IN ('0000-00-00','0001-01-01','9999-12-31','MISS','00000','99999999999','99999999999.00','99999999999.000000'),1,0)) AS NUM_REG_DIF,'"&amp;MAX('ID1&amp;5'!K:K)+1&amp;"' AS ID_EXEC, CURRENT_TIMESTAMP() AS TIME_EXEC FROM "&amp;I492,
IF(C492="Not applicable",+"SELECT '"&amp;UPPER(B492)&amp;"' AS TABELA, '"&amp;UPPER(C492)&amp;"' AS TIPOLOGIA_TESTE,'"&amp;D492&amp;"' AS TABELA_LT,'N/A' AS TABELA_SIMUL,'"&amp;F492&amp;"' AS CAMPO, "&amp;"'${ref_date}' AS REF_DATE, COUNT(*) AS NUM_REG, SUM(IF(TRIM(CAST(X."&amp;F492&amp;" AS STRING)) IN ('N/A','11111111111','11111111111.00','11111111111.000000','1111-11-11'),1,0)) AS NUM_REG_DIF,'"&amp;MAX('ID1&amp;5'!K:K)+1&amp;"' AS ID_EXEC, CURRENT_TIMESTAMP() AS TIME_EXEC FROM "&amp;I492,
IF(C492="Valores extremos",+"SELECT '"&amp;UPPER(B492)&amp;"' AS TABELA, '"&amp;UPPER(C492)&amp;"' AS TIPOLOGIA_TESTE,'"&amp;D492&amp;"' AS TABELA_LT,'N/A' AS TABELA_SIMUL,'"&amp;F492&amp;"' AS CAMPO, "&amp;"'${ref_date}' AS REF_DATE, CAST(MIN("&amp;F492&amp;") AS STRING) AS VALOR_MIN, CAST(MAX("&amp;F492&amp;") AS STRING) AS VALOR_MAX,'"&amp;MAX('ID1&amp;5'!K:K)+1&amp;"' AS ID_EXEC, CURRENT_TIMESTAMP() AS TIME_EXEC FROM "&amp;MID(I492,1,LEN(I492)-2)&amp;" AND CAST("&amp;F492&amp;"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TABELA_SIMUL,'enblng_trnvr_cca' AS CAMPO, '${ref_date}' AS REF_DATE, COUNT(*) AS NUM_REG, SUM(IF(COALESCE(CAST(X.enblng_trnvr_cca AS STRING),'')&lt;&gt;COALESCE(CAST(Y.enblng_trnvr_cca_SIMUL AS STRING),'') OR (X.enblng_trnvr_cca IS NULL AND Y.enblng_trnvr_cca_SIMUL IS NOT NULL ) OR (X.enblng_trnvr_cca IS NOT NULL AND Y.enblng_trnvr_cca_SIMUL IS NULL),1,0)) AS NUM_REG_DIF,'1' AS ID_EXEC, CURRENT_TIMESTAMP() AS TIME_EXEC FROM (SELECT entty_id, enblng_trnvr_cca FROM BU_LOANTAPE_WORK.LT003_ENTITY WHERE ref_date='${ref_date}' AND nome_perimetro='Individual Local' AND segmento='ESTR' AND ambito='SRB_MBDT' AND entidade='00100')X INNER JOIN (SELECT entty_id AS entty_id_SIMUL, enblng_trnvr_cca AS enblng_trnvr_cca_SIMUL FROM BU_LOANTAPE_WORK.SIMUL_LT003_ENTITY WHERE ref_date='${ref_date}' AND nome_perimetro='Individual Local' AND segmento='ESTR' AND ambito='PILAR3' AND entidade='00100')Y ON X.ENTTY_ID=Y.ENTTY_ID_SIMUL</v>
      </c>
      <c r="M492" s="36" t="str">
        <f t="shared" si="10"/>
        <v>UNION ALL SELECT 'ENTITY' AS TABELA, 'COERÊNCIA' AS TIPOLOGIA_TESTE,'BU_LOANTAPE_WORK.LT003_ENTITY' AS TABELA_LT,'BU_LOANTAPE_WORK.SIMUL_LT003_ENTITY' AS TABELA_SIMUL,'enblng_trnvr_cca' AS CAMPO, '${ref_date}' AS REF_DATE, COUNT(*) AS NUM_REG, SUM(IF(COALESCE(CAST(X.enblng_trnvr_cca AS STRING),'')&lt;&gt;COALESCE(CAST(Y.enblng_trnvr_cca_SIMUL AS STRING),'') OR (X.enblng_trnvr_cca IS NULL AND Y.enblng_trnvr_cca_SIMUL IS NOT NULL ) OR (X.enblng_trnvr_cca IS NOT NULL AND Y.enblng_trnvr_cca_SIMUL IS NULL),1,0)) AS NUM_REG_DIF,'1' AS ID_EXEC, CURRENT_TIMESTAMP() AS TIME_EXEC FROM (SELECT entty_id, enblng_trnvr_cca FROM BU_LOANTAPE_WORK.LT003_ENTITY WHERE ref_date='${ref_date}' AND nome_perimetro='Individual Local' AND segmento='ESTR' AND ambito='SRB_MBDT' AND entidade='00100')X INNER JOIN (SELECT entty_id AS entty_id_SIMUL, enblng_trnvr_cca AS enblng_trnvr_cca_SIMUL FROM BU_LOANTAPE_WORK.SIMUL_LT003_ENTITY WHERE ref_date='${ref_date}' AND nome_perimetro='Individual Local' AND segmento='ESTR' AND ambito='PILAR3' AND entidade='00100')Y ON X.ENTTY_ID=Y.ENTTY_ID_SIMUL</v>
      </c>
    </row>
    <row r="493" spans="2:13">
      <c r="B493" s="34" t="s">
        <v>118</v>
      </c>
      <c r="C493" s="34" t="s">
        <v>5</v>
      </c>
      <c r="D493" s="34" t="str">
        <f>+UPPER('0. Instruções'!$D$35&amp;"."&amp;VLOOKUP(B493,'0. Instruções'!$C$27:$D$32,2,FALSE))</f>
        <v>BU_LOANTAPE_WORK.LT003_ENTITY</v>
      </c>
      <c r="E493" s="34" t="str">
        <f>+UPPER('0. Instruções'!$D$36&amp;"."&amp;VLOOKUP(B493,'0. Instruções'!$C$27:$E$32,3,FALSE))</f>
        <v>BU_LOANTAPE_WORK.SIMUL_LT003_ENTITY</v>
      </c>
      <c r="F493" s="34" t="s">
        <v>602</v>
      </c>
      <c r="G493" s="34"/>
      <c r="H493" s="34"/>
      <c r="I493" s="34" t="str">
        <f>"(SELECT "&amp;VLOOKUP(B493,'0. Instruções'!$C$27:$G$32,4,FALSE)&amp;", "&amp;F493&amp;" FROM "&amp;D493&amp;" WHERE "&amp;'0. Instruções'!$D$42&amp;")X"</f>
        <v>(SELECT entty_id, trnstnl_trnvr FROM BU_LOANTAPE_WORK.LT003_ENTITY WHERE ref_date='${ref_date}' AND nome_perimetro='Individual Local' AND segmento='ESTR' AND ambito='SRB_MBDT' AND entidade='00100')X</v>
      </c>
      <c r="J493" s="34" t="str">
        <f>"(SELECT "&amp;VLOOKUP(B493,'0. Instruções'!$C$27:$G$32,4,FALSE)&amp;" AS "&amp;VLOOKUP(B493,'0. Instruções'!$C$27:$G$32,4,FALSE)&amp;"_SIMUL, "&amp;F493&amp;" AS "&amp;F493&amp;"_SIMUL FROM "&amp;E493&amp;" WHERE "&amp;'0. Instruções'!$D$43&amp;")Y"</f>
        <v>(SELECT entty_id AS entty_id_SIMUL, trnstnl_trnvr AS trnstnl_trnvr_SIMUL FROM BU_LOANTAPE_WORK.SIMUL_LT003_ENTITY WHERE ref_date='${ref_date}' AND nome_perimetro='Individual Local' AND segmento='ESTR' AND ambito='PILAR3' AND entidade='00100')Y</v>
      </c>
      <c r="K493" s="35" t="str">
        <f>+UPPER("ON X."&amp;VLOOKUP(B493,'0. Instruções'!$C$27:$G$32,4,FALSE)&amp;"=Y."&amp;VLOOKUP(B493,'0. Instruções'!$C$27:$G$32,4,FALSE)&amp;"_SIMUL")</f>
        <v>ON X.ENTTY_ID=Y.ENTTY_ID_SIMUL</v>
      </c>
      <c r="L493" s="35" t="str">
        <f>+IF(C493="Coerência", +IF(LEFT(G493,5)="FLOAT","SELECT '"&amp;UPPER(B493)&amp;"' AS TABELA, '"&amp;UPPER(C493)&amp;"' AS TIPOLOGIA_TESTE,'"&amp;D493&amp;"' AS TABELA_LT,'"&amp;E493&amp;"' AS TABELA_SIMUL,'"&amp;F493&amp;"' AS CAMPO, "&amp;"'${ref_date}' AS REF_DATE, COUNT(*) AS NUM_REG, SUM(IF((ABS(COALESCE(CAST(X."&amp;F493&amp;" AS DECIMAL(18,6)),0)-COALESCE(CAST(Y."&amp;F493&amp;"_SIMUL AS DECIMAL(18,6)),0))&gt;0.000001) OR (X."&amp;F493&amp;" IS NULL AND Y."&amp;F493&amp;"_SIMUL IS NOT NULL ) OR (X."&amp;F493&amp;" IS NOT NULL AND Y."&amp;F493&amp;"_SIMUL IS NULL),1,0)) AS NUM_REG_DIF,'"&amp;MAX('ID1&amp;5'!K:K)+1&amp;"' AS ID_EXEC, CURRENT_TIMESTAMP() AS TIME_EXEC FROM "&amp;I493&amp;" INNER JOIN "&amp;J493&amp;" "&amp;K493,"SELECT '"&amp;UPPER(B493)&amp;"' AS TABELA, '"&amp;UPPER(C493)&amp;"' AS TIPOLOGIA_TESTE,'"&amp;D493&amp;"' AS TABELA_LT,'"&amp;E493&amp;"' AS TABELA_SIMUL,'"&amp;F493&amp;"' AS CAMPO, "&amp;"'${ref_date}' AS REF_DATE, COUNT(*) AS NUM_REG, SUM(IF(COALESCE(CAST(X."&amp;F493&amp;" AS STRING),'')&lt;&gt;COALESCE(CAST(Y."&amp;F493&amp;"_SIMUL AS STRING),'') OR (X."&amp;F493&amp;" IS NULL AND Y."&amp;F493&amp;"_SIMUL IS NOT NULL ) OR (X."&amp;F493&amp;" IS NOT NULL AND Y."&amp;F493&amp;"_SIMUL IS NULL),1,0)) AS NUM_REG_DIF,'"&amp;MAX('ID1&amp;5'!L:L)+1&amp;"' AS ID_EXEC, CURRENT_TIMESTAMP() AS TIME_EXEC FROM "&amp;I493&amp;" INNER JOIN "&amp;J493&amp;" "&amp;K493),
IF(C493="Validade",+IF(G493="Code List","SELECT '"&amp;UPPER(B493)&amp;"' AS TABELA, '"&amp;UPPER(C493)&amp;"' AS TIPOLOGIA_TESTE,'"&amp;D493&amp;"' AS TABELA_LT,'N/A' AS TABELA_SIMUL,'"&amp;F493&amp;"' AS CAMPO, "&amp;"'${ref_date}' AS REF_DATE, COUNT(*) AS NUM_REG, SUM(IF(TRIM(CAST(X."&amp;F493&amp;" AS STRING))='' OR TRIM(CAST(X."&amp;F493&amp;" AS STRING)) IS NULL OR CAST(X."&amp;F493&amp;" AS STRING) NOT "&amp;H493&amp;",1,0)) AS NUM_REG_DIF,'"&amp;MAX('ID1&amp;5'!K:K)+1&amp;"' AS ID_EXEC, CURRENT_TIMESTAMP() AS TIME_EXEC FROM "&amp;I493,"SELECT '"&amp;UPPER(B493)&amp;"' AS TABELA, '"&amp;UPPER(C493)&amp;"' AS TIPOLOGIA_TESTE,'"&amp;D493&amp;"' AS TABELA_LT,'N/A' AS TABELA_SIMUL,'"&amp;F493&amp;"' AS CAMPO, "&amp;"'${ref_date}' AS REF_DATE, COUNT(*) AS NUM_REG, SUM(IF(TRIM(CAST(X."&amp;F493&amp;" AS STRING))='' OR TRIM(CAST(X."&amp;F493&amp;" AS STRING)) IS NULL,1,0)) AS NUM_REG_DIF,'"&amp;MAX('ID1&amp;5'!K:K)+1&amp;"' AS ID_EXEC, CURRENT_TIMESTAMP() AS TIME_EXEC FROM "&amp;I493),
IF(C493="Caracteres Especiais",+"SELECT '"&amp;UPPER(B493)&amp;"' AS TABELA, '"&amp;UPPER(C493)&amp;"' AS TIPOLOGIA_TESTE,'"&amp;D493&amp;"' AS TABELA_LT,'N/A' AS TABELA_SIMUL,'"&amp;F493&amp;"' AS CAMPO, "&amp;"'${ref_date}' AS REF_DATE, COUNT(*) AS NUM_REG, SUM(IF(REGEXP_REPLACE(TRIM(CAST(X."&amp;F493&amp;" AS STRING)),'[^a-zA-Z0-9_\\s]','') &lt;&gt;TRIM(CAST(X."&amp;F493&amp;" AS STRING)),1,0)) AS NUM_REG_DIF,'"&amp;MAX('ID1&amp;5'!K:K)+1&amp;"' AS ID_EXEC, CURRENT_TIMESTAMP() AS TIME_EXEC FROM "&amp;I493,
IF(C493="Missings",+"SELECT '"&amp;UPPER(B493)&amp;"' AS TABELA, '"&amp;UPPER(C493)&amp;"' AS TIPOLOGIA_TESTE,'"&amp;D493&amp;"' AS TABELA_LT,'N/A' AS TABELA_SIMUL,'"&amp;F493&amp;"' AS CAMPO, "&amp;"'${ref_date}' AS REF_DATE, COUNT(*) AS NUM_REG, SUM(IF(TRIM(CAST(X."&amp;F493&amp;" AS STRING)) IN ('0000-00-00','0001-01-01','9999-12-31','MISS','00000','99999999999','99999999999.00','99999999999.000000'),1,0)) AS NUM_REG_DIF,'"&amp;MAX('ID1&amp;5'!K:K)+1&amp;"' AS ID_EXEC, CURRENT_TIMESTAMP() AS TIME_EXEC FROM "&amp;I493,
IF(C493="Not applicable",+"SELECT '"&amp;UPPER(B493)&amp;"' AS TABELA, '"&amp;UPPER(C493)&amp;"' AS TIPOLOGIA_TESTE,'"&amp;D493&amp;"' AS TABELA_LT,'N/A' AS TABELA_SIMUL,'"&amp;F493&amp;"' AS CAMPO, "&amp;"'${ref_date}' AS REF_DATE, COUNT(*) AS NUM_REG, SUM(IF(TRIM(CAST(X."&amp;F493&amp;" AS STRING)) IN ('N/A','11111111111','11111111111.00','11111111111.000000','1111-11-11'),1,0)) AS NUM_REG_DIF,'"&amp;MAX('ID1&amp;5'!K:K)+1&amp;"' AS ID_EXEC, CURRENT_TIMESTAMP() AS TIME_EXEC FROM "&amp;I493,
IF(C493="Valores extremos",+"SELECT '"&amp;UPPER(B493)&amp;"' AS TABELA, '"&amp;UPPER(C493)&amp;"' AS TIPOLOGIA_TESTE,'"&amp;D493&amp;"' AS TABELA_LT,'N/A' AS TABELA_SIMUL,'"&amp;F493&amp;"' AS CAMPO, "&amp;"'${ref_date}' AS REF_DATE, CAST(MIN("&amp;F493&amp;") AS STRING) AS VALOR_MIN, CAST(MAX("&amp;F493&amp;") AS STRING) AS VALOR_MAX,'"&amp;MAX('ID1&amp;5'!K:K)+1&amp;"' AS ID_EXEC, CURRENT_TIMESTAMP() AS TIME_EXEC FROM "&amp;MID(I493,1,LEN(I493)-2)&amp;" AND CAST("&amp;F493&amp;"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TABELA_SIMUL,'trnstnl_trnvr' AS CAMPO, '${ref_date}' AS REF_DATE, COUNT(*) AS NUM_REG, SUM(IF(COALESCE(CAST(X.trnstnl_trnvr AS STRING),'')&lt;&gt;COALESCE(CAST(Y.trnstnl_trnvr_SIMUL AS STRING),'') OR (X.trnstnl_trnvr IS NULL AND Y.trnstnl_trnvr_SIMUL IS NOT NULL ) OR (X.trnstnl_trnvr IS NOT NULL AND Y.trnstnl_trnvr_SIMUL IS NULL),1,0)) AS NUM_REG_DIF,'1' AS ID_EXEC, CURRENT_TIMESTAMP() AS TIME_EXEC FROM (SELECT entty_id, trnstnl_trnvr FROM BU_LOANTAPE_WORK.LT003_ENTITY WHERE ref_date='${ref_date}' AND nome_perimetro='Individual Local' AND segmento='ESTR' AND ambito='SRB_MBDT' AND entidade='00100')X INNER JOIN (SELECT entty_id AS entty_id_SIMUL, trnstnl_trnvr AS trnstnl_trnvr_SIMUL FROM BU_LOANTAPE_WORK.SIMUL_LT003_ENTITY WHERE ref_date='${ref_date}' AND nome_perimetro='Individual Local' AND segmento='ESTR' AND ambito='PILAR3' AND entidade='00100')Y ON X.ENTTY_ID=Y.ENTTY_ID_SIMUL</v>
      </c>
      <c r="M493" s="36" t="str">
        <f t="shared" si="10"/>
        <v>UNION ALL SELECT 'ENTITY' AS TABELA, 'COERÊNCIA' AS TIPOLOGIA_TESTE,'BU_LOANTAPE_WORK.LT003_ENTITY' AS TABELA_LT,'BU_LOANTAPE_WORK.SIMUL_LT003_ENTITY' AS TABELA_SIMUL,'trnstnl_trnvr' AS CAMPO, '${ref_date}' AS REF_DATE, COUNT(*) AS NUM_REG, SUM(IF(COALESCE(CAST(X.trnstnl_trnvr AS STRING),'')&lt;&gt;COALESCE(CAST(Y.trnstnl_trnvr_SIMUL AS STRING),'') OR (X.trnstnl_trnvr IS NULL AND Y.trnstnl_trnvr_SIMUL IS NOT NULL ) OR (X.trnstnl_trnvr IS NOT NULL AND Y.trnstnl_trnvr_SIMUL IS NULL),1,0)) AS NUM_REG_DIF,'1' AS ID_EXEC, CURRENT_TIMESTAMP() AS TIME_EXEC FROM (SELECT entty_id, trnstnl_trnvr FROM BU_LOANTAPE_WORK.LT003_ENTITY WHERE ref_date='${ref_date}' AND nome_perimetro='Individual Local' AND segmento='ESTR' AND ambito='SRB_MBDT' AND entidade='00100')X INNER JOIN (SELECT entty_id AS entty_id_SIMUL, trnstnl_trnvr AS trnstnl_trnvr_SIMUL FROM BU_LOANTAPE_WORK.SIMUL_LT003_ENTITY WHERE ref_date='${ref_date}' AND nome_perimetro='Individual Local' AND segmento='ESTR' AND ambito='PILAR3' AND entidade='00100')Y ON X.ENTTY_ID=Y.ENTTY_ID_SIMUL</v>
      </c>
    </row>
    <row r="494" spans="2:13">
      <c r="B494" s="34" t="s">
        <v>118</v>
      </c>
      <c r="C494" s="34" t="s">
        <v>5</v>
      </c>
      <c r="D494" s="34" t="str">
        <f>+UPPER('0. Instruções'!$D$35&amp;"."&amp;VLOOKUP(B494,'0. Instruções'!$C$27:$D$32,2,FALSE))</f>
        <v>BU_LOANTAPE_WORK.LT003_ENTITY</v>
      </c>
      <c r="E494" s="34" t="str">
        <f>+UPPER('0. Instruções'!$D$36&amp;"."&amp;VLOOKUP(B494,'0. Instruções'!$C$27:$E$32,3,FALSE))</f>
        <v>BU_LOANTAPE_WORK.SIMUL_LT003_ENTITY</v>
      </c>
      <c r="F494" s="34" t="s">
        <v>603</v>
      </c>
      <c r="G494" s="34"/>
      <c r="H494" s="34"/>
      <c r="I494" s="34" t="str">
        <f>"(SELECT "&amp;VLOOKUP(B494,'0. Instruções'!$C$27:$G$32,4,FALSE)&amp;", "&amp;F494&amp;" FROM "&amp;D494&amp;" WHERE "&amp;'0. Instruções'!$D$42&amp;")X"</f>
        <v>(SELECT entty_id, pure_trnvr_ccm FROM BU_LOANTAPE_WORK.LT003_ENTITY WHERE ref_date='${ref_date}' AND nome_perimetro='Individual Local' AND segmento='ESTR' AND ambito='SRB_MBDT' AND entidade='00100')X</v>
      </c>
      <c r="J494" s="34" t="str">
        <f>"(SELECT "&amp;VLOOKUP(B494,'0. Instruções'!$C$27:$G$32,4,FALSE)&amp;" AS "&amp;VLOOKUP(B494,'0. Instruções'!$C$27:$G$32,4,FALSE)&amp;"_SIMUL, "&amp;F494&amp;" AS "&amp;F494&amp;"_SIMUL FROM "&amp;E494&amp;" WHERE "&amp;'0. Instruções'!$D$43&amp;")Y"</f>
        <v>(SELECT entty_id AS entty_id_SIMUL, pure_trnvr_ccm AS pure_trnvr_ccm_SIMUL FROM BU_LOANTAPE_WORK.SIMUL_LT003_ENTITY WHERE ref_date='${ref_date}' AND nome_perimetro='Individual Local' AND segmento='ESTR' AND ambito='PILAR3' AND entidade='00100')Y</v>
      </c>
      <c r="K494" s="35" t="str">
        <f>+UPPER("ON X."&amp;VLOOKUP(B494,'0. Instruções'!$C$27:$G$32,4,FALSE)&amp;"=Y."&amp;VLOOKUP(B494,'0. Instruções'!$C$27:$G$32,4,FALSE)&amp;"_SIMUL")</f>
        <v>ON X.ENTTY_ID=Y.ENTTY_ID_SIMUL</v>
      </c>
      <c r="L494" s="35" t="str">
        <f>+IF(C494="Coerência", +IF(LEFT(G494,5)="FLOAT","SELECT '"&amp;UPPER(B494)&amp;"' AS TABELA, '"&amp;UPPER(C494)&amp;"' AS TIPOLOGIA_TESTE,'"&amp;D494&amp;"' AS TABELA_LT,'"&amp;E494&amp;"' AS TABELA_SIMUL,'"&amp;F494&amp;"' AS CAMPO, "&amp;"'${ref_date}' AS REF_DATE, COUNT(*) AS NUM_REG, SUM(IF((ABS(COALESCE(CAST(X."&amp;F494&amp;" AS DECIMAL(18,6)),0)-COALESCE(CAST(Y."&amp;F494&amp;"_SIMUL AS DECIMAL(18,6)),0))&gt;0.000001) OR (X."&amp;F494&amp;" IS NULL AND Y."&amp;F494&amp;"_SIMUL IS NOT NULL ) OR (X."&amp;F494&amp;" IS NOT NULL AND Y."&amp;F494&amp;"_SIMUL IS NULL),1,0)) AS NUM_REG_DIF,'"&amp;MAX('ID1&amp;5'!K:K)+1&amp;"' AS ID_EXEC, CURRENT_TIMESTAMP() AS TIME_EXEC FROM "&amp;I494&amp;" INNER JOIN "&amp;J494&amp;" "&amp;K494,"SELECT '"&amp;UPPER(B494)&amp;"' AS TABELA, '"&amp;UPPER(C494)&amp;"' AS TIPOLOGIA_TESTE,'"&amp;D494&amp;"' AS TABELA_LT,'"&amp;E494&amp;"' AS TABELA_SIMUL,'"&amp;F494&amp;"' AS CAMPO, "&amp;"'${ref_date}' AS REF_DATE, COUNT(*) AS NUM_REG, SUM(IF(COALESCE(CAST(X."&amp;F494&amp;" AS STRING),'')&lt;&gt;COALESCE(CAST(Y."&amp;F494&amp;"_SIMUL AS STRING),'') OR (X."&amp;F494&amp;" IS NULL AND Y."&amp;F494&amp;"_SIMUL IS NOT NULL ) OR (X."&amp;F494&amp;" IS NOT NULL AND Y."&amp;F494&amp;"_SIMUL IS NULL),1,0)) AS NUM_REG_DIF,'"&amp;MAX('ID1&amp;5'!L:L)+1&amp;"' AS ID_EXEC, CURRENT_TIMESTAMP() AS TIME_EXEC FROM "&amp;I494&amp;" INNER JOIN "&amp;J494&amp;" "&amp;K494),
IF(C494="Validade",+IF(G494="Code List","SELECT '"&amp;UPPER(B494)&amp;"' AS TABELA, '"&amp;UPPER(C494)&amp;"' AS TIPOLOGIA_TESTE,'"&amp;D494&amp;"' AS TABELA_LT,'N/A' AS TABELA_SIMUL,'"&amp;F494&amp;"' AS CAMPO, "&amp;"'${ref_date}' AS REF_DATE, COUNT(*) AS NUM_REG, SUM(IF(TRIM(CAST(X."&amp;F494&amp;" AS STRING))='' OR TRIM(CAST(X."&amp;F494&amp;" AS STRING)) IS NULL OR CAST(X."&amp;F494&amp;" AS STRING) NOT "&amp;H494&amp;",1,0)) AS NUM_REG_DIF,'"&amp;MAX('ID1&amp;5'!K:K)+1&amp;"' AS ID_EXEC, CURRENT_TIMESTAMP() AS TIME_EXEC FROM "&amp;I494,"SELECT '"&amp;UPPER(B494)&amp;"' AS TABELA, '"&amp;UPPER(C494)&amp;"' AS TIPOLOGIA_TESTE,'"&amp;D494&amp;"' AS TABELA_LT,'N/A' AS TABELA_SIMUL,'"&amp;F494&amp;"' AS CAMPO, "&amp;"'${ref_date}' AS REF_DATE, COUNT(*) AS NUM_REG, SUM(IF(TRIM(CAST(X."&amp;F494&amp;" AS STRING))='' OR TRIM(CAST(X."&amp;F494&amp;" AS STRING)) IS NULL,1,0)) AS NUM_REG_DIF,'"&amp;MAX('ID1&amp;5'!K:K)+1&amp;"' AS ID_EXEC, CURRENT_TIMESTAMP() AS TIME_EXEC FROM "&amp;I494),
IF(C494="Caracteres Especiais",+"SELECT '"&amp;UPPER(B494)&amp;"' AS TABELA, '"&amp;UPPER(C494)&amp;"' AS TIPOLOGIA_TESTE,'"&amp;D494&amp;"' AS TABELA_LT,'N/A' AS TABELA_SIMUL,'"&amp;F494&amp;"' AS CAMPO, "&amp;"'${ref_date}' AS REF_DATE, COUNT(*) AS NUM_REG, SUM(IF(REGEXP_REPLACE(TRIM(CAST(X."&amp;F494&amp;" AS STRING)),'[^a-zA-Z0-9_\\s]','') &lt;&gt;TRIM(CAST(X."&amp;F494&amp;" AS STRING)),1,0)) AS NUM_REG_DIF,'"&amp;MAX('ID1&amp;5'!K:K)+1&amp;"' AS ID_EXEC, CURRENT_TIMESTAMP() AS TIME_EXEC FROM "&amp;I494,
IF(C494="Missings",+"SELECT '"&amp;UPPER(B494)&amp;"' AS TABELA, '"&amp;UPPER(C494)&amp;"' AS TIPOLOGIA_TESTE,'"&amp;D494&amp;"' AS TABELA_LT,'N/A' AS TABELA_SIMUL,'"&amp;F494&amp;"' AS CAMPO, "&amp;"'${ref_date}' AS REF_DATE, COUNT(*) AS NUM_REG, SUM(IF(TRIM(CAST(X."&amp;F494&amp;" AS STRING)) IN ('0000-00-00','0001-01-01','9999-12-31','MISS','00000','99999999999','99999999999.00','99999999999.000000'),1,0)) AS NUM_REG_DIF,'"&amp;MAX('ID1&amp;5'!K:K)+1&amp;"' AS ID_EXEC, CURRENT_TIMESTAMP() AS TIME_EXEC FROM "&amp;I494,
IF(C494="Not applicable",+"SELECT '"&amp;UPPER(B494)&amp;"' AS TABELA, '"&amp;UPPER(C494)&amp;"' AS TIPOLOGIA_TESTE,'"&amp;D494&amp;"' AS TABELA_LT,'N/A' AS TABELA_SIMUL,'"&amp;F494&amp;"' AS CAMPO, "&amp;"'${ref_date}' AS REF_DATE, COUNT(*) AS NUM_REG, SUM(IF(TRIM(CAST(X."&amp;F494&amp;" AS STRING)) IN ('N/A','11111111111','11111111111.00','11111111111.000000','1111-11-11'),1,0)) AS NUM_REG_DIF,'"&amp;MAX('ID1&amp;5'!K:K)+1&amp;"' AS ID_EXEC, CURRENT_TIMESTAMP() AS TIME_EXEC FROM "&amp;I494,
IF(C494="Valores extremos",+"SELECT '"&amp;UPPER(B494)&amp;"' AS TABELA, '"&amp;UPPER(C494)&amp;"' AS TIPOLOGIA_TESTE,'"&amp;D494&amp;"' AS TABELA_LT,'N/A' AS TABELA_SIMUL,'"&amp;F494&amp;"' AS CAMPO, "&amp;"'${ref_date}' AS REF_DATE, CAST(MIN("&amp;F494&amp;") AS STRING) AS VALOR_MIN, CAST(MAX("&amp;F494&amp;") AS STRING) AS VALOR_MAX,'"&amp;MAX('ID1&amp;5'!K:K)+1&amp;"' AS ID_EXEC, CURRENT_TIMESTAMP() AS TIME_EXEC FROM "&amp;MID(I494,1,LEN(I494)-2)&amp;" AND CAST("&amp;F494&amp;"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TABELA_SIMUL,'pure_trnvr_ccm' AS CAMPO, '${ref_date}' AS REF_DATE, COUNT(*) AS NUM_REG, SUM(IF(COALESCE(CAST(X.pure_trnvr_ccm AS STRING),'')&lt;&gt;COALESCE(CAST(Y.pure_trnvr_ccm_SIMUL AS STRING),'') OR (X.pure_trnvr_ccm IS NULL AND Y.pure_trnvr_ccm_SIMUL IS NOT NULL ) OR (X.pure_trnvr_ccm IS NOT NULL AND Y.pure_trnvr_ccm_SIMUL IS NULL),1,0)) AS NUM_REG_DIF,'1' AS ID_EXEC, CURRENT_TIMESTAMP() AS TIME_EXEC FROM (SELECT entty_id, pure_trnvr_ccm FROM BU_LOANTAPE_WORK.LT003_ENTITY WHERE ref_date='${ref_date}' AND nome_perimetro='Individual Local' AND segmento='ESTR' AND ambito='SRB_MBDT' AND entidade='00100')X INNER JOIN (SELECT entty_id AS entty_id_SIMUL, pure_trnvr_ccm AS pure_trnvr_ccm_SIMUL FROM BU_LOANTAPE_WORK.SIMUL_LT003_ENTITY WHERE ref_date='${ref_date}' AND nome_perimetro='Individual Local' AND segmento='ESTR' AND ambito='PILAR3' AND entidade='00100')Y ON X.ENTTY_ID=Y.ENTTY_ID_SIMUL</v>
      </c>
      <c r="M494" s="36" t="str">
        <f t="shared" si="10"/>
        <v>UNION ALL SELECT 'ENTITY' AS TABELA, 'COERÊNCIA' AS TIPOLOGIA_TESTE,'BU_LOANTAPE_WORK.LT003_ENTITY' AS TABELA_LT,'BU_LOANTAPE_WORK.SIMUL_LT003_ENTITY' AS TABELA_SIMUL,'pure_trnvr_ccm' AS CAMPO, '${ref_date}' AS REF_DATE, COUNT(*) AS NUM_REG, SUM(IF(COALESCE(CAST(X.pure_trnvr_ccm AS STRING),'')&lt;&gt;COALESCE(CAST(Y.pure_trnvr_ccm_SIMUL AS STRING),'') OR (X.pure_trnvr_ccm IS NULL AND Y.pure_trnvr_ccm_SIMUL IS NOT NULL ) OR (X.pure_trnvr_ccm IS NOT NULL AND Y.pure_trnvr_ccm_SIMUL IS NULL),1,0)) AS NUM_REG_DIF,'1' AS ID_EXEC, CURRENT_TIMESTAMP() AS TIME_EXEC FROM (SELECT entty_id, pure_trnvr_ccm FROM BU_LOANTAPE_WORK.LT003_ENTITY WHERE ref_date='${ref_date}' AND nome_perimetro='Individual Local' AND segmento='ESTR' AND ambito='SRB_MBDT' AND entidade='00100')X INNER JOIN (SELECT entty_id AS entty_id_SIMUL, pure_trnvr_ccm AS pure_trnvr_ccm_SIMUL FROM BU_LOANTAPE_WORK.SIMUL_LT003_ENTITY WHERE ref_date='${ref_date}' AND nome_perimetro='Individual Local' AND segmento='ESTR' AND ambito='PILAR3' AND entidade='00100')Y ON X.ENTTY_ID=Y.ENTTY_ID_SIMUL</v>
      </c>
    </row>
    <row r="495" spans="2:13">
      <c r="B495" s="34" t="s">
        <v>118</v>
      </c>
      <c r="C495" s="34" t="s">
        <v>5</v>
      </c>
      <c r="D495" s="34" t="str">
        <f>+UPPER('0. Instruções'!$D$35&amp;"."&amp;VLOOKUP(B495,'0. Instruções'!$C$27:$D$32,2,FALSE))</f>
        <v>BU_LOANTAPE_WORK.LT003_ENTITY</v>
      </c>
      <c r="E495" s="34" t="str">
        <f>+UPPER('0. Instruções'!$D$36&amp;"."&amp;VLOOKUP(B495,'0. Instruções'!$C$27:$E$32,3,FALSE))</f>
        <v>BU_LOANTAPE_WORK.SIMUL_LT003_ENTITY</v>
      </c>
      <c r="F495" s="34" t="s">
        <v>604</v>
      </c>
      <c r="G495" s="34"/>
      <c r="H495" s="34"/>
      <c r="I495" s="34" t="str">
        <f>"(SELECT "&amp;VLOOKUP(B495,'0. Instruções'!$C$27:$G$32,4,FALSE)&amp;", "&amp;F495&amp;" FROM "&amp;D495&amp;" WHERE "&amp;'0. Instruções'!$D$42&amp;")X"</f>
        <v>(SELECT entty_id, pure_trnvr_cca FROM BU_LOANTAPE_WORK.LT003_ENTITY WHERE ref_date='${ref_date}' AND nome_perimetro='Individual Local' AND segmento='ESTR' AND ambito='SRB_MBDT' AND entidade='00100')X</v>
      </c>
      <c r="J495" s="34" t="str">
        <f>"(SELECT "&amp;VLOOKUP(B495,'0. Instruções'!$C$27:$G$32,4,FALSE)&amp;" AS "&amp;VLOOKUP(B495,'0. Instruções'!$C$27:$G$32,4,FALSE)&amp;"_SIMUL, "&amp;F495&amp;" AS "&amp;F495&amp;"_SIMUL FROM "&amp;E495&amp;" WHERE "&amp;'0. Instruções'!$D$43&amp;")Y"</f>
        <v>(SELECT entty_id AS entty_id_SIMUL, pure_trnvr_cca AS pure_trnvr_cca_SIMUL FROM BU_LOANTAPE_WORK.SIMUL_LT003_ENTITY WHERE ref_date='${ref_date}' AND nome_perimetro='Individual Local' AND segmento='ESTR' AND ambito='PILAR3' AND entidade='00100')Y</v>
      </c>
      <c r="K495" s="35" t="str">
        <f>+UPPER("ON X."&amp;VLOOKUP(B495,'0. Instruções'!$C$27:$G$32,4,FALSE)&amp;"=Y."&amp;VLOOKUP(B495,'0. Instruções'!$C$27:$G$32,4,FALSE)&amp;"_SIMUL")</f>
        <v>ON X.ENTTY_ID=Y.ENTTY_ID_SIMUL</v>
      </c>
      <c r="L495" s="35" t="str">
        <f>+IF(C495="Coerência", +IF(LEFT(G495,5)="FLOAT","SELECT '"&amp;UPPER(B495)&amp;"' AS TABELA, '"&amp;UPPER(C495)&amp;"' AS TIPOLOGIA_TESTE,'"&amp;D495&amp;"' AS TABELA_LT,'"&amp;E495&amp;"' AS TABELA_SIMUL,'"&amp;F495&amp;"' AS CAMPO, "&amp;"'${ref_date}' AS REF_DATE, COUNT(*) AS NUM_REG, SUM(IF((ABS(COALESCE(CAST(X."&amp;F495&amp;" AS DECIMAL(18,6)),0)-COALESCE(CAST(Y."&amp;F495&amp;"_SIMUL AS DECIMAL(18,6)),0))&gt;0.000001) OR (X."&amp;F495&amp;" IS NULL AND Y."&amp;F495&amp;"_SIMUL IS NOT NULL ) OR (X."&amp;F495&amp;" IS NOT NULL AND Y."&amp;F495&amp;"_SIMUL IS NULL),1,0)) AS NUM_REG_DIF,'"&amp;MAX('ID1&amp;5'!K:K)+1&amp;"' AS ID_EXEC, CURRENT_TIMESTAMP() AS TIME_EXEC FROM "&amp;I495&amp;" INNER JOIN "&amp;J495&amp;" "&amp;K495,"SELECT '"&amp;UPPER(B495)&amp;"' AS TABELA, '"&amp;UPPER(C495)&amp;"' AS TIPOLOGIA_TESTE,'"&amp;D495&amp;"' AS TABELA_LT,'"&amp;E495&amp;"' AS TABELA_SIMUL,'"&amp;F495&amp;"' AS CAMPO, "&amp;"'${ref_date}' AS REF_DATE, COUNT(*) AS NUM_REG, SUM(IF(COALESCE(CAST(X."&amp;F495&amp;" AS STRING),'')&lt;&gt;COALESCE(CAST(Y."&amp;F495&amp;"_SIMUL AS STRING),'') OR (X."&amp;F495&amp;" IS NULL AND Y."&amp;F495&amp;"_SIMUL IS NOT NULL ) OR (X."&amp;F495&amp;" IS NOT NULL AND Y."&amp;F495&amp;"_SIMUL IS NULL),1,0)) AS NUM_REG_DIF,'"&amp;MAX('ID1&amp;5'!L:L)+1&amp;"' AS ID_EXEC, CURRENT_TIMESTAMP() AS TIME_EXEC FROM "&amp;I495&amp;" INNER JOIN "&amp;J495&amp;" "&amp;K495),
IF(C495="Validade",+IF(G495="Code List","SELECT '"&amp;UPPER(B495)&amp;"' AS TABELA, '"&amp;UPPER(C495)&amp;"' AS TIPOLOGIA_TESTE,'"&amp;D495&amp;"' AS TABELA_LT,'N/A' AS TABELA_SIMUL,'"&amp;F495&amp;"' AS CAMPO, "&amp;"'${ref_date}' AS REF_DATE, COUNT(*) AS NUM_REG, SUM(IF(TRIM(CAST(X."&amp;F495&amp;" AS STRING))='' OR TRIM(CAST(X."&amp;F495&amp;" AS STRING)) IS NULL OR CAST(X."&amp;F495&amp;" AS STRING) NOT "&amp;H495&amp;",1,0)) AS NUM_REG_DIF,'"&amp;MAX('ID1&amp;5'!K:K)+1&amp;"' AS ID_EXEC, CURRENT_TIMESTAMP() AS TIME_EXEC FROM "&amp;I495,"SELECT '"&amp;UPPER(B495)&amp;"' AS TABELA, '"&amp;UPPER(C495)&amp;"' AS TIPOLOGIA_TESTE,'"&amp;D495&amp;"' AS TABELA_LT,'N/A' AS TABELA_SIMUL,'"&amp;F495&amp;"' AS CAMPO, "&amp;"'${ref_date}' AS REF_DATE, COUNT(*) AS NUM_REG, SUM(IF(TRIM(CAST(X."&amp;F495&amp;" AS STRING))='' OR TRIM(CAST(X."&amp;F495&amp;" AS STRING)) IS NULL,1,0)) AS NUM_REG_DIF,'"&amp;MAX('ID1&amp;5'!K:K)+1&amp;"' AS ID_EXEC, CURRENT_TIMESTAMP() AS TIME_EXEC FROM "&amp;I495),
IF(C495="Caracteres Especiais",+"SELECT '"&amp;UPPER(B495)&amp;"' AS TABELA, '"&amp;UPPER(C495)&amp;"' AS TIPOLOGIA_TESTE,'"&amp;D495&amp;"' AS TABELA_LT,'N/A' AS TABELA_SIMUL,'"&amp;F495&amp;"' AS CAMPO, "&amp;"'${ref_date}' AS REF_DATE, COUNT(*) AS NUM_REG, SUM(IF(REGEXP_REPLACE(TRIM(CAST(X."&amp;F495&amp;" AS STRING)),'[^a-zA-Z0-9_\\s]','') &lt;&gt;TRIM(CAST(X."&amp;F495&amp;" AS STRING)),1,0)) AS NUM_REG_DIF,'"&amp;MAX('ID1&amp;5'!K:K)+1&amp;"' AS ID_EXEC, CURRENT_TIMESTAMP() AS TIME_EXEC FROM "&amp;I495,
IF(C495="Missings",+"SELECT '"&amp;UPPER(B495)&amp;"' AS TABELA, '"&amp;UPPER(C495)&amp;"' AS TIPOLOGIA_TESTE,'"&amp;D495&amp;"' AS TABELA_LT,'N/A' AS TABELA_SIMUL,'"&amp;F495&amp;"' AS CAMPO, "&amp;"'${ref_date}' AS REF_DATE, COUNT(*) AS NUM_REG, SUM(IF(TRIM(CAST(X."&amp;F495&amp;" AS STRING)) IN ('0000-00-00','0001-01-01','9999-12-31','MISS','00000','99999999999','99999999999.00','99999999999.000000'),1,0)) AS NUM_REG_DIF,'"&amp;MAX('ID1&amp;5'!K:K)+1&amp;"' AS ID_EXEC, CURRENT_TIMESTAMP() AS TIME_EXEC FROM "&amp;I495,
IF(C495="Not applicable",+"SELECT '"&amp;UPPER(B495)&amp;"' AS TABELA, '"&amp;UPPER(C495)&amp;"' AS TIPOLOGIA_TESTE,'"&amp;D495&amp;"' AS TABELA_LT,'N/A' AS TABELA_SIMUL,'"&amp;F495&amp;"' AS CAMPO, "&amp;"'${ref_date}' AS REF_DATE, COUNT(*) AS NUM_REG, SUM(IF(TRIM(CAST(X."&amp;F495&amp;" AS STRING)) IN ('N/A','11111111111','11111111111.00','11111111111.000000','1111-11-11'),1,0)) AS NUM_REG_DIF,'"&amp;MAX('ID1&amp;5'!K:K)+1&amp;"' AS ID_EXEC, CURRENT_TIMESTAMP() AS TIME_EXEC FROM "&amp;I495,
IF(C495="Valores extremos",+"SELECT '"&amp;UPPER(B495)&amp;"' AS TABELA, '"&amp;UPPER(C495)&amp;"' AS TIPOLOGIA_TESTE,'"&amp;D495&amp;"' AS TABELA_LT,'N/A' AS TABELA_SIMUL,'"&amp;F495&amp;"' AS CAMPO, "&amp;"'${ref_date}' AS REF_DATE, CAST(MIN("&amp;F495&amp;") AS STRING) AS VALOR_MIN, CAST(MAX("&amp;F495&amp;") AS STRING) AS VALOR_MAX,'"&amp;MAX('ID1&amp;5'!K:K)+1&amp;"' AS ID_EXEC, CURRENT_TIMESTAMP() AS TIME_EXEC FROM "&amp;MID(I495,1,LEN(I495)-2)&amp;" AND CAST("&amp;F495&amp;"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TABELA_SIMUL,'pure_trnvr_cca' AS CAMPO, '${ref_date}' AS REF_DATE, COUNT(*) AS NUM_REG, SUM(IF(COALESCE(CAST(X.pure_trnvr_cca AS STRING),'')&lt;&gt;COALESCE(CAST(Y.pure_trnvr_cca_SIMUL AS STRING),'') OR (X.pure_trnvr_cca IS NULL AND Y.pure_trnvr_cca_SIMUL IS NOT NULL ) OR (X.pure_trnvr_cca IS NOT NULL AND Y.pure_trnvr_cca_SIMUL IS NULL),1,0)) AS NUM_REG_DIF,'1' AS ID_EXEC, CURRENT_TIMESTAMP() AS TIME_EXEC FROM (SELECT entty_id, pure_trnvr_cca FROM BU_LOANTAPE_WORK.LT003_ENTITY WHERE ref_date='${ref_date}' AND nome_perimetro='Individual Local' AND segmento='ESTR' AND ambito='SRB_MBDT' AND entidade='00100')X INNER JOIN (SELECT entty_id AS entty_id_SIMUL, pure_trnvr_cca AS pure_trnvr_cca_SIMUL FROM BU_LOANTAPE_WORK.SIMUL_LT003_ENTITY WHERE ref_date='${ref_date}' AND nome_perimetro='Individual Local' AND segmento='ESTR' AND ambito='PILAR3' AND entidade='00100')Y ON X.ENTTY_ID=Y.ENTTY_ID_SIMUL</v>
      </c>
      <c r="M495" s="36" t="str">
        <f t="shared" si="10"/>
        <v>UNION ALL SELECT 'ENTITY' AS TABELA, 'COERÊNCIA' AS TIPOLOGIA_TESTE,'BU_LOANTAPE_WORK.LT003_ENTITY' AS TABELA_LT,'BU_LOANTAPE_WORK.SIMUL_LT003_ENTITY' AS TABELA_SIMUL,'pure_trnvr_cca' AS CAMPO, '${ref_date}' AS REF_DATE, COUNT(*) AS NUM_REG, SUM(IF(COALESCE(CAST(X.pure_trnvr_cca AS STRING),'')&lt;&gt;COALESCE(CAST(Y.pure_trnvr_cca_SIMUL AS STRING),'') OR (X.pure_trnvr_cca IS NULL AND Y.pure_trnvr_cca_SIMUL IS NOT NULL ) OR (X.pure_trnvr_cca IS NOT NULL AND Y.pure_trnvr_cca_SIMUL IS NULL),1,0)) AS NUM_REG_DIF,'1' AS ID_EXEC, CURRENT_TIMESTAMP() AS TIME_EXEC FROM (SELECT entty_id, pure_trnvr_cca FROM BU_LOANTAPE_WORK.LT003_ENTITY WHERE ref_date='${ref_date}' AND nome_perimetro='Individual Local' AND segmento='ESTR' AND ambito='SRB_MBDT' AND entidade='00100')X INNER JOIN (SELECT entty_id AS entty_id_SIMUL, pure_trnvr_cca AS pure_trnvr_cca_SIMUL FROM BU_LOANTAPE_WORK.SIMUL_LT003_ENTITY WHERE ref_date='${ref_date}' AND nome_perimetro='Individual Local' AND segmento='ESTR' AND ambito='PILAR3' AND entidade='00100')Y ON X.ENTTY_ID=Y.ENTTY_ID_SIMUL</v>
      </c>
    </row>
    <row r="496" spans="2:13">
      <c r="B496" s="34" t="s">
        <v>118</v>
      </c>
      <c r="C496" s="34" t="s">
        <v>5</v>
      </c>
      <c r="D496" s="34" t="str">
        <f>+UPPER('0. Instruções'!$D$35&amp;"."&amp;VLOOKUP(B496,'0. Instruções'!$C$27:$D$32,2,FALSE))</f>
        <v>BU_LOANTAPE_WORK.LT003_ENTITY</v>
      </c>
      <c r="E496" s="34" t="str">
        <f>+UPPER('0. Instruções'!$D$36&amp;"."&amp;VLOOKUP(B496,'0. Instruções'!$C$27:$E$32,3,FALSE))</f>
        <v>BU_LOANTAPE_WORK.SIMUL_LT003_ENTITY</v>
      </c>
      <c r="F496" s="34" t="s">
        <v>1485</v>
      </c>
      <c r="G496" s="34"/>
      <c r="H496" s="34"/>
      <c r="I496" s="34" t="str">
        <f>"(SELECT "&amp;VLOOKUP(B496,'0. Instruções'!$C$27:$G$32,4,FALSE)&amp;", "&amp;F496&amp;" FROM "&amp;D496&amp;" WHERE "&amp;'0. Instruções'!$D$42&amp;")X"</f>
        <v>(SELECT entty_id, flg_csrd_applcblty FROM BU_LOANTAPE_WORK.LT003_ENTITY WHERE ref_date='${ref_date}' AND nome_perimetro='Individual Local' AND segmento='ESTR' AND ambito='SRB_MBDT' AND entidade='00100')X</v>
      </c>
      <c r="J496" s="34" t="str">
        <f>"(SELECT "&amp;VLOOKUP(B496,'0. Instruções'!$C$27:$G$32,4,FALSE)&amp;" AS "&amp;VLOOKUP(B496,'0. Instruções'!$C$27:$G$32,4,FALSE)&amp;"_SIMUL, "&amp;F496&amp;" AS "&amp;F496&amp;"_SIMUL FROM "&amp;E496&amp;" WHERE "&amp;'0. Instruções'!$D$43&amp;")Y"</f>
        <v>(SELECT entty_id AS entty_id_SIMUL, flg_csrd_applcblty AS flg_csrd_applcblty_SIMUL FROM BU_LOANTAPE_WORK.SIMUL_LT003_ENTITY WHERE ref_date='${ref_date}' AND nome_perimetro='Individual Local' AND segmento='ESTR' AND ambito='PILAR3' AND entidade='00100')Y</v>
      </c>
      <c r="K496" s="35" t="str">
        <f>+UPPER("ON X."&amp;VLOOKUP(B496,'0. Instruções'!$C$27:$G$32,4,FALSE)&amp;"=Y."&amp;VLOOKUP(B496,'0. Instruções'!$C$27:$G$32,4,FALSE)&amp;"_SIMUL")</f>
        <v>ON X.ENTTY_ID=Y.ENTTY_ID_SIMUL</v>
      </c>
      <c r="L496" s="35" t="str">
        <f>+IF(C496="Coerência", +IF(LEFT(G496,5)="FLOAT","SELECT '"&amp;UPPER(B496)&amp;"' AS TABELA, '"&amp;UPPER(C496)&amp;"' AS TIPOLOGIA_TESTE,'"&amp;D496&amp;"' AS TABELA_LT,'"&amp;E496&amp;"' AS TABELA_SIMUL,'"&amp;F496&amp;"' AS CAMPO, "&amp;"'${ref_date}' AS REF_DATE, COUNT(*) AS NUM_REG, SUM(IF((ABS(COALESCE(CAST(X."&amp;F496&amp;" AS DECIMAL(18,6)),0)-COALESCE(CAST(Y."&amp;F496&amp;"_SIMUL AS DECIMAL(18,6)),0))&gt;0.000001) OR (X."&amp;F496&amp;" IS NULL AND Y."&amp;F496&amp;"_SIMUL IS NOT NULL ) OR (X."&amp;F496&amp;" IS NOT NULL AND Y."&amp;F496&amp;"_SIMUL IS NULL),1,0)) AS NUM_REG_DIF,'"&amp;MAX('ID1&amp;5'!K:K)+1&amp;"' AS ID_EXEC, CURRENT_TIMESTAMP() AS TIME_EXEC FROM "&amp;I496&amp;" INNER JOIN "&amp;J496&amp;" "&amp;K496,"SELECT '"&amp;UPPER(B496)&amp;"' AS TABELA, '"&amp;UPPER(C496)&amp;"' AS TIPOLOGIA_TESTE,'"&amp;D496&amp;"' AS TABELA_LT,'"&amp;E496&amp;"' AS TABELA_SIMUL,'"&amp;F496&amp;"' AS CAMPO, "&amp;"'${ref_date}' AS REF_DATE, COUNT(*) AS NUM_REG, SUM(IF(COALESCE(CAST(X."&amp;F496&amp;" AS STRING),'')&lt;&gt;COALESCE(CAST(Y."&amp;F496&amp;"_SIMUL AS STRING),'') OR (X."&amp;F496&amp;" IS NULL AND Y."&amp;F496&amp;"_SIMUL IS NOT NULL ) OR (X."&amp;F496&amp;" IS NOT NULL AND Y."&amp;F496&amp;"_SIMUL IS NULL),1,0)) AS NUM_REG_DIF,'"&amp;MAX('ID1&amp;5'!L:L)+1&amp;"' AS ID_EXEC, CURRENT_TIMESTAMP() AS TIME_EXEC FROM "&amp;I496&amp;" INNER JOIN "&amp;J496&amp;" "&amp;K496),
IF(C496="Validade",+IF(G496="Code List","SELECT '"&amp;UPPER(B496)&amp;"' AS TABELA, '"&amp;UPPER(C496)&amp;"' AS TIPOLOGIA_TESTE,'"&amp;D496&amp;"' AS TABELA_LT,'N/A' AS TABELA_SIMUL,'"&amp;F496&amp;"' AS CAMPO, "&amp;"'${ref_date}' AS REF_DATE, COUNT(*) AS NUM_REG, SUM(IF(TRIM(CAST(X."&amp;F496&amp;" AS STRING))='' OR TRIM(CAST(X."&amp;F496&amp;" AS STRING)) IS NULL OR CAST(X."&amp;F496&amp;" AS STRING) NOT "&amp;H496&amp;",1,0)) AS NUM_REG_DIF,'"&amp;MAX('ID1&amp;5'!K:K)+1&amp;"' AS ID_EXEC, CURRENT_TIMESTAMP() AS TIME_EXEC FROM "&amp;I496,"SELECT '"&amp;UPPER(B496)&amp;"' AS TABELA, '"&amp;UPPER(C496)&amp;"' AS TIPOLOGIA_TESTE,'"&amp;D496&amp;"' AS TABELA_LT,'N/A' AS TABELA_SIMUL,'"&amp;F496&amp;"' AS CAMPO, "&amp;"'${ref_date}' AS REF_DATE, COUNT(*) AS NUM_REG, SUM(IF(TRIM(CAST(X."&amp;F496&amp;" AS STRING))='' OR TRIM(CAST(X."&amp;F496&amp;" AS STRING)) IS NULL,1,0)) AS NUM_REG_DIF,'"&amp;MAX('ID1&amp;5'!K:K)+1&amp;"' AS ID_EXEC, CURRENT_TIMESTAMP() AS TIME_EXEC FROM "&amp;I496),
IF(C496="Caracteres Especiais",+"SELECT '"&amp;UPPER(B496)&amp;"' AS TABELA, '"&amp;UPPER(C496)&amp;"' AS TIPOLOGIA_TESTE,'"&amp;D496&amp;"' AS TABELA_LT,'N/A' AS TABELA_SIMUL,'"&amp;F496&amp;"' AS CAMPO, "&amp;"'${ref_date}' AS REF_DATE, COUNT(*) AS NUM_REG, SUM(IF(REGEXP_REPLACE(TRIM(CAST(X."&amp;F496&amp;" AS STRING)),'[^a-zA-Z0-9_\\s]','') &lt;&gt;TRIM(CAST(X."&amp;F496&amp;" AS STRING)),1,0)) AS NUM_REG_DIF,'"&amp;MAX('ID1&amp;5'!K:K)+1&amp;"' AS ID_EXEC, CURRENT_TIMESTAMP() AS TIME_EXEC FROM "&amp;I496,
IF(C496="Missings",+"SELECT '"&amp;UPPER(B496)&amp;"' AS TABELA, '"&amp;UPPER(C496)&amp;"' AS TIPOLOGIA_TESTE,'"&amp;D496&amp;"' AS TABELA_LT,'N/A' AS TABELA_SIMUL,'"&amp;F496&amp;"' AS CAMPO, "&amp;"'${ref_date}' AS REF_DATE, COUNT(*) AS NUM_REG, SUM(IF(TRIM(CAST(X."&amp;F496&amp;" AS STRING)) IN ('0000-00-00','0001-01-01','9999-12-31','MISS','00000','99999999999','99999999999.00','99999999999.000000'),1,0)) AS NUM_REG_DIF,'"&amp;MAX('ID1&amp;5'!K:K)+1&amp;"' AS ID_EXEC, CURRENT_TIMESTAMP() AS TIME_EXEC FROM "&amp;I496,
IF(C496="Not applicable",+"SELECT '"&amp;UPPER(B496)&amp;"' AS TABELA, '"&amp;UPPER(C496)&amp;"' AS TIPOLOGIA_TESTE,'"&amp;D496&amp;"' AS TABELA_LT,'N/A' AS TABELA_SIMUL,'"&amp;F496&amp;"' AS CAMPO, "&amp;"'${ref_date}' AS REF_DATE, COUNT(*) AS NUM_REG, SUM(IF(TRIM(CAST(X."&amp;F496&amp;" AS STRING)) IN ('N/A','11111111111','11111111111.00','11111111111.000000','1111-11-11'),1,0)) AS NUM_REG_DIF,'"&amp;MAX('ID1&amp;5'!K:K)+1&amp;"' AS ID_EXEC, CURRENT_TIMESTAMP() AS TIME_EXEC FROM "&amp;I496,
IF(C496="Valores extremos",+"SELECT '"&amp;UPPER(B496)&amp;"' AS TABELA, '"&amp;UPPER(C496)&amp;"' AS TIPOLOGIA_TESTE,'"&amp;D496&amp;"' AS TABELA_LT,'N/A' AS TABELA_SIMUL,'"&amp;F496&amp;"' AS CAMPO, "&amp;"'${ref_date}' AS REF_DATE, CAST(MIN("&amp;F496&amp;") AS STRING) AS VALOR_MIN, CAST(MAX("&amp;F496&amp;") AS STRING) AS VALOR_MAX,'"&amp;MAX('ID1&amp;5'!K:K)+1&amp;"' AS ID_EXEC, CURRENT_TIMESTAMP() AS TIME_EXEC FROM "&amp;MID(I496,1,LEN(I496)-2)&amp;" AND CAST("&amp;F496&amp;"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TABELA_SIMUL,'flg_csrd_applcblty' AS CAMPO, '${ref_date}' AS REF_DATE, COUNT(*) AS NUM_REG, SUM(IF(COALESCE(CAST(X.flg_csrd_applcblty AS STRING),'')&lt;&gt;COALESCE(CAST(Y.flg_csrd_applcblty_SIMUL AS STRING),'') OR (X.flg_csrd_applcblty IS NULL AND Y.flg_csrd_applcblty_SIMUL IS NOT NULL ) OR (X.flg_csrd_applcblty IS NOT NULL AND Y.flg_csrd_applcblty_SIMUL IS NULL),1,0)) AS NUM_REG_DIF,'1' AS ID_EXEC, CURRENT_TIMESTAMP() AS TIME_EXEC FROM (SELECT entty_id, flg_csrd_applcblty FROM BU_LOANTAPE_WORK.LT003_ENTITY WHERE ref_date='${ref_date}' AND nome_perimetro='Individual Local' AND segmento='ESTR' AND ambito='SRB_MBDT' AND entidade='00100')X INNER JOIN (SELECT entty_id AS entty_id_SIMUL, flg_csrd_applcblty AS flg_csrd_applcblty_SIMUL FROM BU_LOANTAPE_WORK.SIMUL_LT003_ENTITY WHERE ref_date='${ref_date}' AND nome_perimetro='Individual Local' AND segmento='ESTR' AND ambito='PILAR3' AND entidade='00100')Y ON X.ENTTY_ID=Y.ENTTY_ID_SIMUL</v>
      </c>
      <c r="M496" s="36" t="str">
        <f t="shared" si="10"/>
        <v>UNION ALL SELECT 'ENTITY' AS TABELA, 'COERÊNCIA' AS TIPOLOGIA_TESTE,'BU_LOANTAPE_WORK.LT003_ENTITY' AS TABELA_LT,'BU_LOANTAPE_WORK.SIMUL_LT003_ENTITY' AS TABELA_SIMUL,'flg_csrd_applcblty' AS CAMPO, '${ref_date}' AS REF_DATE, COUNT(*) AS NUM_REG, SUM(IF(COALESCE(CAST(X.flg_csrd_applcblty AS STRING),'')&lt;&gt;COALESCE(CAST(Y.flg_csrd_applcblty_SIMUL AS STRING),'') OR (X.flg_csrd_applcblty IS NULL AND Y.flg_csrd_applcblty_SIMUL IS NOT NULL ) OR (X.flg_csrd_applcblty IS NOT NULL AND Y.flg_csrd_applcblty_SIMUL IS NULL),1,0)) AS NUM_REG_DIF,'1' AS ID_EXEC, CURRENT_TIMESTAMP() AS TIME_EXEC FROM (SELECT entty_id, flg_csrd_applcblty FROM BU_LOANTAPE_WORK.LT003_ENTITY WHERE ref_date='${ref_date}' AND nome_perimetro='Individual Local' AND segmento='ESTR' AND ambito='SRB_MBDT' AND entidade='00100')X INNER JOIN (SELECT entty_id AS entty_id_SIMUL, flg_csrd_applcblty AS flg_csrd_applcblty_SIMUL FROM BU_LOANTAPE_WORK.SIMUL_LT003_ENTITY WHERE ref_date='${ref_date}' AND nome_perimetro='Individual Local' AND segmento='ESTR' AND ambito='PILAR3' AND entidade='00100')Y ON X.ENTTY_ID=Y.ENTTY_ID_SIMUL</v>
      </c>
    </row>
    <row r="497" spans="2:13">
      <c r="B497" s="34" t="s">
        <v>118</v>
      </c>
      <c r="C497" s="34" t="s">
        <v>5</v>
      </c>
      <c r="D497" s="34" t="str">
        <f>+UPPER('0. Instruções'!$D$35&amp;"."&amp;VLOOKUP(B497,'0. Instruções'!$C$27:$D$32,2,FALSE))</f>
        <v>BU_LOANTAPE_WORK.LT003_ENTITY</v>
      </c>
      <c r="E497" s="34" t="str">
        <f>+UPPER('0. Instruções'!$D$36&amp;"."&amp;VLOOKUP(B497,'0. Instruções'!$C$27:$E$32,3,FALSE))</f>
        <v>BU_LOANTAPE_WORK.SIMUL_LT003_ENTITY</v>
      </c>
      <c r="F497" s="34" t="s">
        <v>606</v>
      </c>
      <c r="G497" s="34"/>
      <c r="H497" s="34"/>
      <c r="I497" s="34" t="str">
        <f>"(SELECT "&amp;VLOOKUP(B497,'0. Instruções'!$C$27:$G$32,4,FALSE)&amp;", "&amp;F497&amp;" FROM "&amp;D497&amp;" WHERE "&amp;'0. Instruções'!$D$42&amp;")X"</f>
        <v>(SELECT entty_id, cntrprty_emssns_scp1 FROM BU_LOANTAPE_WORK.LT003_ENTITY WHERE ref_date='${ref_date}' AND nome_perimetro='Individual Local' AND segmento='ESTR' AND ambito='SRB_MBDT' AND entidade='00100')X</v>
      </c>
      <c r="J497" s="34" t="str">
        <f>"(SELECT "&amp;VLOOKUP(B497,'0. Instruções'!$C$27:$G$32,4,FALSE)&amp;" AS "&amp;VLOOKUP(B497,'0. Instruções'!$C$27:$G$32,4,FALSE)&amp;"_SIMUL, "&amp;F497&amp;" AS "&amp;F497&amp;"_SIMUL FROM "&amp;E497&amp;" WHERE "&amp;'0. Instruções'!$D$43&amp;")Y"</f>
        <v>(SELECT entty_id AS entty_id_SIMUL, cntrprty_emssns_scp1 AS cntrprty_emssns_scp1_SIMUL FROM BU_LOANTAPE_WORK.SIMUL_LT003_ENTITY WHERE ref_date='${ref_date}' AND nome_perimetro='Individual Local' AND segmento='ESTR' AND ambito='PILAR3' AND entidade='00100')Y</v>
      </c>
      <c r="K497" s="35" t="str">
        <f>+UPPER("ON X."&amp;VLOOKUP(B497,'0. Instruções'!$C$27:$G$32,4,FALSE)&amp;"=Y."&amp;VLOOKUP(B497,'0. Instruções'!$C$27:$G$32,4,FALSE)&amp;"_SIMUL")</f>
        <v>ON X.ENTTY_ID=Y.ENTTY_ID_SIMUL</v>
      </c>
      <c r="L497" s="35" t="str">
        <f>+IF(C497="Coerência", +IF(LEFT(G497,5)="FLOAT","SELECT '"&amp;UPPER(B497)&amp;"' AS TABELA, '"&amp;UPPER(C497)&amp;"' AS TIPOLOGIA_TESTE,'"&amp;D497&amp;"' AS TABELA_LT,'"&amp;E497&amp;"' AS TABELA_SIMUL,'"&amp;F497&amp;"' AS CAMPO, "&amp;"'${ref_date}' AS REF_DATE, COUNT(*) AS NUM_REG, SUM(IF((ABS(COALESCE(CAST(X."&amp;F497&amp;" AS DECIMAL(18,6)),0)-COALESCE(CAST(Y."&amp;F497&amp;"_SIMUL AS DECIMAL(18,6)),0))&gt;0.000001) OR (X."&amp;F497&amp;" IS NULL AND Y."&amp;F497&amp;"_SIMUL IS NOT NULL ) OR (X."&amp;F497&amp;" IS NOT NULL AND Y."&amp;F497&amp;"_SIMUL IS NULL),1,0)) AS NUM_REG_DIF,'"&amp;MAX('ID1&amp;5'!K:K)+1&amp;"' AS ID_EXEC, CURRENT_TIMESTAMP() AS TIME_EXEC FROM "&amp;I497&amp;" INNER JOIN "&amp;J497&amp;" "&amp;K497,"SELECT '"&amp;UPPER(B497)&amp;"' AS TABELA, '"&amp;UPPER(C497)&amp;"' AS TIPOLOGIA_TESTE,'"&amp;D497&amp;"' AS TABELA_LT,'"&amp;E497&amp;"' AS TABELA_SIMUL,'"&amp;F497&amp;"' AS CAMPO, "&amp;"'${ref_date}' AS REF_DATE, COUNT(*) AS NUM_REG, SUM(IF(COALESCE(CAST(X."&amp;F497&amp;" AS STRING),'')&lt;&gt;COALESCE(CAST(Y."&amp;F497&amp;"_SIMUL AS STRING),'') OR (X."&amp;F497&amp;" IS NULL AND Y."&amp;F497&amp;"_SIMUL IS NOT NULL ) OR (X."&amp;F497&amp;" IS NOT NULL AND Y."&amp;F497&amp;"_SIMUL IS NULL),1,0)) AS NUM_REG_DIF,'"&amp;MAX('ID1&amp;5'!L:L)+1&amp;"' AS ID_EXEC, CURRENT_TIMESTAMP() AS TIME_EXEC FROM "&amp;I497&amp;" INNER JOIN "&amp;J497&amp;" "&amp;K497),
IF(C497="Validade",+IF(G497="Code List","SELECT '"&amp;UPPER(B497)&amp;"' AS TABELA, '"&amp;UPPER(C497)&amp;"' AS TIPOLOGIA_TESTE,'"&amp;D497&amp;"' AS TABELA_LT,'N/A' AS TABELA_SIMUL,'"&amp;F497&amp;"' AS CAMPO, "&amp;"'${ref_date}' AS REF_DATE, COUNT(*) AS NUM_REG, SUM(IF(TRIM(CAST(X."&amp;F497&amp;" AS STRING))='' OR TRIM(CAST(X."&amp;F497&amp;" AS STRING)) IS NULL OR CAST(X."&amp;F497&amp;" AS STRING) NOT "&amp;H497&amp;",1,0)) AS NUM_REG_DIF,'"&amp;MAX('ID1&amp;5'!K:K)+1&amp;"' AS ID_EXEC, CURRENT_TIMESTAMP() AS TIME_EXEC FROM "&amp;I497,"SELECT '"&amp;UPPER(B497)&amp;"' AS TABELA, '"&amp;UPPER(C497)&amp;"' AS TIPOLOGIA_TESTE,'"&amp;D497&amp;"' AS TABELA_LT,'N/A' AS TABELA_SIMUL,'"&amp;F497&amp;"' AS CAMPO, "&amp;"'${ref_date}' AS REF_DATE, COUNT(*) AS NUM_REG, SUM(IF(TRIM(CAST(X."&amp;F497&amp;" AS STRING))='' OR TRIM(CAST(X."&amp;F497&amp;" AS STRING)) IS NULL,1,0)) AS NUM_REG_DIF,'"&amp;MAX('ID1&amp;5'!K:K)+1&amp;"' AS ID_EXEC, CURRENT_TIMESTAMP() AS TIME_EXEC FROM "&amp;I497),
IF(C497="Caracteres Especiais",+"SELECT '"&amp;UPPER(B497)&amp;"' AS TABELA, '"&amp;UPPER(C497)&amp;"' AS TIPOLOGIA_TESTE,'"&amp;D497&amp;"' AS TABELA_LT,'N/A' AS TABELA_SIMUL,'"&amp;F497&amp;"' AS CAMPO, "&amp;"'${ref_date}' AS REF_DATE, COUNT(*) AS NUM_REG, SUM(IF(REGEXP_REPLACE(TRIM(CAST(X."&amp;F497&amp;" AS STRING)),'[^a-zA-Z0-9_\\s]','') &lt;&gt;TRIM(CAST(X."&amp;F497&amp;" AS STRING)),1,0)) AS NUM_REG_DIF,'"&amp;MAX('ID1&amp;5'!K:K)+1&amp;"' AS ID_EXEC, CURRENT_TIMESTAMP() AS TIME_EXEC FROM "&amp;I497,
IF(C497="Missings",+"SELECT '"&amp;UPPER(B497)&amp;"' AS TABELA, '"&amp;UPPER(C497)&amp;"' AS TIPOLOGIA_TESTE,'"&amp;D497&amp;"' AS TABELA_LT,'N/A' AS TABELA_SIMUL,'"&amp;F497&amp;"' AS CAMPO, "&amp;"'${ref_date}' AS REF_DATE, COUNT(*) AS NUM_REG, SUM(IF(TRIM(CAST(X."&amp;F497&amp;" AS STRING)) IN ('0000-00-00','0001-01-01','9999-12-31','MISS','00000','99999999999','99999999999.00','99999999999.000000'),1,0)) AS NUM_REG_DIF,'"&amp;MAX('ID1&amp;5'!K:K)+1&amp;"' AS ID_EXEC, CURRENT_TIMESTAMP() AS TIME_EXEC FROM "&amp;I497,
IF(C497="Not applicable",+"SELECT '"&amp;UPPER(B497)&amp;"' AS TABELA, '"&amp;UPPER(C497)&amp;"' AS TIPOLOGIA_TESTE,'"&amp;D497&amp;"' AS TABELA_LT,'N/A' AS TABELA_SIMUL,'"&amp;F497&amp;"' AS CAMPO, "&amp;"'${ref_date}' AS REF_DATE, COUNT(*) AS NUM_REG, SUM(IF(TRIM(CAST(X."&amp;F497&amp;" AS STRING)) IN ('N/A','11111111111','11111111111.00','11111111111.000000','1111-11-11'),1,0)) AS NUM_REG_DIF,'"&amp;MAX('ID1&amp;5'!K:K)+1&amp;"' AS ID_EXEC, CURRENT_TIMESTAMP() AS TIME_EXEC FROM "&amp;I497,
IF(C497="Valores extremos",+"SELECT '"&amp;UPPER(B497)&amp;"' AS TABELA, '"&amp;UPPER(C497)&amp;"' AS TIPOLOGIA_TESTE,'"&amp;D497&amp;"' AS TABELA_LT,'N/A' AS TABELA_SIMUL,'"&amp;F497&amp;"' AS CAMPO, "&amp;"'${ref_date}' AS REF_DATE, CAST(MIN("&amp;F497&amp;") AS STRING) AS VALOR_MIN, CAST(MAX("&amp;F497&amp;") AS STRING) AS VALOR_MAX,'"&amp;MAX('ID1&amp;5'!K:K)+1&amp;"' AS ID_EXEC, CURRENT_TIMESTAMP() AS TIME_EXEC FROM "&amp;MID(I497,1,LEN(I497)-2)&amp;" AND CAST("&amp;F497&amp;"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TABELA_SIMUL,'cntrprty_emssns_scp1' AS CAMPO, '${ref_date}' AS REF_DATE, COUNT(*) AS NUM_REG, SUM(IF(COALESCE(CAST(X.cntrprty_emssns_scp1 AS STRING),'')&lt;&gt;COALESCE(CAST(Y.cntrprty_emssns_scp1_SIMUL AS STRING),'') OR (X.cntrprty_emssns_scp1 IS NULL AND Y.cntrprty_emssns_scp1_SIMUL IS NOT NULL ) OR (X.cntrprty_emssns_scp1 IS NOT NULL AND Y.cntrprty_emssns_scp1_SIMUL IS NULL),1,0)) AS NUM_REG_DIF,'1' AS ID_EXEC, CURRENT_TIMESTAMP() AS TIME_EXEC FROM (SELECT entty_id, cntrprty_emssns_scp1 FROM BU_LOANTAPE_WORK.LT003_ENTITY WHERE ref_date='${ref_date}' AND nome_perimetro='Individual Local' AND segmento='ESTR' AND ambito='SRB_MBDT' AND entidade='00100')X INNER JOIN (SELECT entty_id AS entty_id_SIMUL, cntrprty_emssns_scp1 AS cntrprty_emssns_scp1_SIMUL FROM BU_LOANTAPE_WORK.SIMUL_LT003_ENTITY WHERE ref_date='${ref_date}' AND nome_perimetro='Individual Local' AND segmento='ESTR' AND ambito='PILAR3' AND entidade='00100')Y ON X.ENTTY_ID=Y.ENTTY_ID_SIMUL</v>
      </c>
      <c r="M497" s="36" t="str">
        <f t="shared" si="10"/>
        <v>UNION ALL SELECT 'ENTITY' AS TABELA, 'COERÊNCIA' AS TIPOLOGIA_TESTE,'BU_LOANTAPE_WORK.LT003_ENTITY' AS TABELA_LT,'BU_LOANTAPE_WORK.SIMUL_LT003_ENTITY' AS TABELA_SIMUL,'cntrprty_emssns_scp1' AS CAMPO, '${ref_date}' AS REF_DATE, COUNT(*) AS NUM_REG, SUM(IF(COALESCE(CAST(X.cntrprty_emssns_scp1 AS STRING),'')&lt;&gt;COALESCE(CAST(Y.cntrprty_emssns_scp1_SIMUL AS STRING),'') OR (X.cntrprty_emssns_scp1 IS NULL AND Y.cntrprty_emssns_scp1_SIMUL IS NOT NULL ) OR (X.cntrprty_emssns_scp1 IS NOT NULL AND Y.cntrprty_emssns_scp1_SIMUL IS NULL),1,0)) AS NUM_REG_DIF,'1' AS ID_EXEC, CURRENT_TIMESTAMP() AS TIME_EXEC FROM (SELECT entty_id, cntrprty_emssns_scp1 FROM BU_LOANTAPE_WORK.LT003_ENTITY WHERE ref_date='${ref_date}' AND nome_perimetro='Individual Local' AND segmento='ESTR' AND ambito='SRB_MBDT' AND entidade='00100')X INNER JOIN (SELECT entty_id AS entty_id_SIMUL, cntrprty_emssns_scp1 AS cntrprty_emssns_scp1_SIMUL FROM BU_LOANTAPE_WORK.SIMUL_LT003_ENTITY WHERE ref_date='${ref_date}' AND nome_perimetro='Individual Local' AND segmento='ESTR' AND ambito='PILAR3' AND entidade='00100')Y ON X.ENTTY_ID=Y.ENTTY_ID_SIMUL</v>
      </c>
    </row>
    <row r="498" spans="2:13">
      <c r="B498" s="34" t="s">
        <v>118</v>
      </c>
      <c r="C498" s="34" t="s">
        <v>5</v>
      </c>
      <c r="D498" s="34" t="str">
        <f>+UPPER('0. Instruções'!$D$35&amp;"."&amp;VLOOKUP(B498,'0. Instruções'!$C$27:$D$32,2,FALSE))</f>
        <v>BU_LOANTAPE_WORK.LT003_ENTITY</v>
      </c>
      <c r="E498" s="34" t="str">
        <f>+UPPER('0. Instruções'!$D$36&amp;"."&amp;VLOOKUP(B498,'0. Instruções'!$C$27:$E$32,3,FALSE))</f>
        <v>BU_LOANTAPE_WORK.SIMUL_LT003_ENTITY</v>
      </c>
      <c r="F498" s="34" t="s">
        <v>607</v>
      </c>
      <c r="G498" s="34"/>
      <c r="H498" s="34"/>
      <c r="I498" s="34" t="str">
        <f>"(SELECT "&amp;VLOOKUP(B498,'0. Instruções'!$C$27:$G$32,4,FALSE)&amp;", "&amp;F498&amp;" FROM "&amp;D498&amp;" WHERE "&amp;'0. Instruções'!$D$42&amp;")X"</f>
        <v>(SELECT entty_id, cntrprty_emssns_scp2 FROM BU_LOANTAPE_WORK.LT003_ENTITY WHERE ref_date='${ref_date}' AND nome_perimetro='Individual Local' AND segmento='ESTR' AND ambito='SRB_MBDT' AND entidade='00100')X</v>
      </c>
      <c r="J498" s="34" t="str">
        <f>"(SELECT "&amp;VLOOKUP(B498,'0. Instruções'!$C$27:$G$32,4,FALSE)&amp;" AS "&amp;VLOOKUP(B498,'0. Instruções'!$C$27:$G$32,4,FALSE)&amp;"_SIMUL, "&amp;F498&amp;" AS "&amp;F498&amp;"_SIMUL FROM "&amp;E498&amp;" WHERE "&amp;'0. Instruções'!$D$43&amp;")Y"</f>
        <v>(SELECT entty_id AS entty_id_SIMUL, cntrprty_emssns_scp2 AS cntrprty_emssns_scp2_SIMUL FROM BU_LOANTAPE_WORK.SIMUL_LT003_ENTITY WHERE ref_date='${ref_date}' AND nome_perimetro='Individual Local' AND segmento='ESTR' AND ambito='PILAR3' AND entidade='00100')Y</v>
      </c>
      <c r="K498" s="35" t="str">
        <f>+UPPER("ON X."&amp;VLOOKUP(B498,'0. Instruções'!$C$27:$G$32,4,FALSE)&amp;"=Y."&amp;VLOOKUP(B498,'0. Instruções'!$C$27:$G$32,4,FALSE)&amp;"_SIMUL")</f>
        <v>ON X.ENTTY_ID=Y.ENTTY_ID_SIMUL</v>
      </c>
      <c r="L498" s="35" t="str">
        <f>+IF(C498="Coerência", +IF(LEFT(G498,5)="FLOAT","SELECT '"&amp;UPPER(B498)&amp;"' AS TABELA, '"&amp;UPPER(C498)&amp;"' AS TIPOLOGIA_TESTE,'"&amp;D498&amp;"' AS TABELA_LT,'"&amp;E498&amp;"' AS TABELA_SIMUL,'"&amp;F498&amp;"' AS CAMPO, "&amp;"'${ref_date}' AS REF_DATE, COUNT(*) AS NUM_REG, SUM(IF((ABS(COALESCE(CAST(X."&amp;F498&amp;" AS DECIMAL(18,6)),0)-COALESCE(CAST(Y."&amp;F498&amp;"_SIMUL AS DECIMAL(18,6)),0))&gt;0.000001) OR (X."&amp;F498&amp;" IS NULL AND Y."&amp;F498&amp;"_SIMUL IS NOT NULL ) OR (X."&amp;F498&amp;" IS NOT NULL AND Y."&amp;F498&amp;"_SIMUL IS NULL),1,0)) AS NUM_REG_DIF,'"&amp;MAX('ID1&amp;5'!K:K)+1&amp;"' AS ID_EXEC, CURRENT_TIMESTAMP() AS TIME_EXEC FROM "&amp;I498&amp;" INNER JOIN "&amp;J498&amp;" "&amp;K498,"SELECT '"&amp;UPPER(B498)&amp;"' AS TABELA, '"&amp;UPPER(C498)&amp;"' AS TIPOLOGIA_TESTE,'"&amp;D498&amp;"' AS TABELA_LT,'"&amp;E498&amp;"' AS TABELA_SIMUL,'"&amp;F498&amp;"' AS CAMPO, "&amp;"'${ref_date}' AS REF_DATE, COUNT(*) AS NUM_REG, SUM(IF(COALESCE(CAST(X."&amp;F498&amp;" AS STRING),'')&lt;&gt;COALESCE(CAST(Y."&amp;F498&amp;"_SIMUL AS STRING),'') OR (X."&amp;F498&amp;" IS NULL AND Y."&amp;F498&amp;"_SIMUL IS NOT NULL ) OR (X."&amp;F498&amp;" IS NOT NULL AND Y."&amp;F498&amp;"_SIMUL IS NULL),1,0)) AS NUM_REG_DIF,'"&amp;MAX('ID1&amp;5'!L:L)+1&amp;"' AS ID_EXEC, CURRENT_TIMESTAMP() AS TIME_EXEC FROM "&amp;I498&amp;" INNER JOIN "&amp;J498&amp;" "&amp;K498),
IF(C498="Validade",+IF(G498="Code List","SELECT '"&amp;UPPER(B498)&amp;"' AS TABELA, '"&amp;UPPER(C498)&amp;"' AS TIPOLOGIA_TESTE,'"&amp;D498&amp;"' AS TABELA_LT,'N/A' AS TABELA_SIMUL,'"&amp;F498&amp;"' AS CAMPO, "&amp;"'${ref_date}' AS REF_DATE, COUNT(*) AS NUM_REG, SUM(IF(TRIM(CAST(X."&amp;F498&amp;" AS STRING))='' OR TRIM(CAST(X."&amp;F498&amp;" AS STRING)) IS NULL OR CAST(X."&amp;F498&amp;" AS STRING) NOT "&amp;H498&amp;",1,0)) AS NUM_REG_DIF,'"&amp;MAX('ID1&amp;5'!K:K)+1&amp;"' AS ID_EXEC, CURRENT_TIMESTAMP() AS TIME_EXEC FROM "&amp;I498,"SELECT '"&amp;UPPER(B498)&amp;"' AS TABELA, '"&amp;UPPER(C498)&amp;"' AS TIPOLOGIA_TESTE,'"&amp;D498&amp;"' AS TABELA_LT,'N/A' AS TABELA_SIMUL,'"&amp;F498&amp;"' AS CAMPO, "&amp;"'${ref_date}' AS REF_DATE, COUNT(*) AS NUM_REG, SUM(IF(TRIM(CAST(X."&amp;F498&amp;" AS STRING))='' OR TRIM(CAST(X."&amp;F498&amp;" AS STRING)) IS NULL,1,0)) AS NUM_REG_DIF,'"&amp;MAX('ID1&amp;5'!K:K)+1&amp;"' AS ID_EXEC, CURRENT_TIMESTAMP() AS TIME_EXEC FROM "&amp;I498),
IF(C498="Caracteres Especiais",+"SELECT '"&amp;UPPER(B498)&amp;"' AS TABELA, '"&amp;UPPER(C498)&amp;"' AS TIPOLOGIA_TESTE,'"&amp;D498&amp;"' AS TABELA_LT,'N/A' AS TABELA_SIMUL,'"&amp;F498&amp;"' AS CAMPO, "&amp;"'${ref_date}' AS REF_DATE, COUNT(*) AS NUM_REG, SUM(IF(REGEXP_REPLACE(TRIM(CAST(X."&amp;F498&amp;" AS STRING)),'[^a-zA-Z0-9_\\s]','') &lt;&gt;TRIM(CAST(X."&amp;F498&amp;" AS STRING)),1,0)) AS NUM_REG_DIF,'"&amp;MAX('ID1&amp;5'!K:K)+1&amp;"' AS ID_EXEC, CURRENT_TIMESTAMP() AS TIME_EXEC FROM "&amp;I498,
IF(C498="Missings",+"SELECT '"&amp;UPPER(B498)&amp;"' AS TABELA, '"&amp;UPPER(C498)&amp;"' AS TIPOLOGIA_TESTE,'"&amp;D498&amp;"' AS TABELA_LT,'N/A' AS TABELA_SIMUL,'"&amp;F498&amp;"' AS CAMPO, "&amp;"'${ref_date}' AS REF_DATE, COUNT(*) AS NUM_REG, SUM(IF(TRIM(CAST(X."&amp;F498&amp;" AS STRING)) IN ('0000-00-00','0001-01-01','9999-12-31','MISS','00000','99999999999','99999999999.00','99999999999.000000'),1,0)) AS NUM_REG_DIF,'"&amp;MAX('ID1&amp;5'!K:K)+1&amp;"' AS ID_EXEC, CURRENT_TIMESTAMP() AS TIME_EXEC FROM "&amp;I498,
IF(C498="Not applicable",+"SELECT '"&amp;UPPER(B498)&amp;"' AS TABELA, '"&amp;UPPER(C498)&amp;"' AS TIPOLOGIA_TESTE,'"&amp;D498&amp;"' AS TABELA_LT,'N/A' AS TABELA_SIMUL,'"&amp;F498&amp;"' AS CAMPO, "&amp;"'${ref_date}' AS REF_DATE, COUNT(*) AS NUM_REG, SUM(IF(TRIM(CAST(X."&amp;F498&amp;" AS STRING)) IN ('N/A','11111111111','11111111111.00','11111111111.000000','1111-11-11'),1,0)) AS NUM_REG_DIF,'"&amp;MAX('ID1&amp;5'!K:K)+1&amp;"' AS ID_EXEC, CURRENT_TIMESTAMP() AS TIME_EXEC FROM "&amp;I498,
IF(C498="Valores extremos",+"SELECT '"&amp;UPPER(B498)&amp;"' AS TABELA, '"&amp;UPPER(C498)&amp;"' AS TIPOLOGIA_TESTE,'"&amp;D498&amp;"' AS TABELA_LT,'N/A' AS TABELA_SIMUL,'"&amp;F498&amp;"' AS CAMPO, "&amp;"'${ref_date}' AS REF_DATE, CAST(MIN("&amp;F498&amp;") AS STRING) AS VALOR_MIN, CAST(MAX("&amp;F498&amp;") AS STRING) AS VALOR_MAX,'"&amp;MAX('ID1&amp;5'!K:K)+1&amp;"' AS ID_EXEC, CURRENT_TIMESTAMP() AS TIME_EXEC FROM "&amp;MID(I498,1,LEN(I498)-2)&amp;" AND CAST("&amp;F498&amp;"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TABELA_SIMUL,'cntrprty_emssns_scp2' AS CAMPO, '${ref_date}' AS REF_DATE, COUNT(*) AS NUM_REG, SUM(IF(COALESCE(CAST(X.cntrprty_emssns_scp2 AS STRING),'')&lt;&gt;COALESCE(CAST(Y.cntrprty_emssns_scp2_SIMUL AS STRING),'') OR (X.cntrprty_emssns_scp2 IS NULL AND Y.cntrprty_emssns_scp2_SIMUL IS NOT NULL ) OR (X.cntrprty_emssns_scp2 IS NOT NULL AND Y.cntrprty_emssns_scp2_SIMUL IS NULL),1,0)) AS NUM_REG_DIF,'1' AS ID_EXEC, CURRENT_TIMESTAMP() AS TIME_EXEC FROM (SELECT entty_id, cntrprty_emssns_scp2 FROM BU_LOANTAPE_WORK.LT003_ENTITY WHERE ref_date='${ref_date}' AND nome_perimetro='Individual Local' AND segmento='ESTR' AND ambito='SRB_MBDT' AND entidade='00100')X INNER JOIN (SELECT entty_id AS entty_id_SIMUL, cntrprty_emssns_scp2 AS cntrprty_emssns_scp2_SIMUL FROM BU_LOANTAPE_WORK.SIMUL_LT003_ENTITY WHERE ref_date='${ref_date}' AND nome_perimetro='Individual Local' AND segmento='ESTR' AND ambito='PILAR3' AND entidade='00100')Y ON X.ENTTY_ID=Y.ENTTY_ID_SIMUL</v>
      </c>
      <c r="M498" s="36" t="str">
        <f t="shared" si="10"/>
        <v>UNION ALL SELECT 'ENTITY' AS TABELA, 'COERÊNCIA' AS TIPOLOGIA_TESTE,'BU_LOANTAPE_WORK.LT003_ENTITY' AS TABELA_LT,'BU_LOANTAPE_WORK.SIMUL_LT003_ENTITY' AS TABELA_SIMUL,'cntrprty_emssns_scp2' AS CAMPO, '${ref_date}' AS REF_DATE, COUNT(*) AS NUM_REG, SUM(IF(COALESCE(CAST(X.cntrprty_emssns_scp2 AS STRING),'')&lt;&gt;COALESCE(CAST(Y.cntrprty_emssns_scp2_SIMUL AS STRING),'') OR (X.cntrprty_emssns_scp2 IS NULL AND Y.cntrprty_emssns_scp2_SIMUL IS NOT NULL ) OR (X.cntrprty_emssns_scp2 IS NOT NULL AND Y.cntrprty_emssns_scp2_SIMUL IS NULL),1,0)) AS NUM_REG_DIF,'1' AS ID_EXEC, CURRENT_TIMESTAMP() AS TIME_EXEC FROM (SELECT entty_id, cntrprty_emssns_scp2 FROM BU_LOANTAPE_WORK.LT003_ENTITY WHERE ref_date='${ref_date}' AND nome_perimetro='Individual Local' AND segmento='ESTR' AND ambito='SRB_MBDT' AND entidade='00100')X INNER JOIN (SELECT entty_id AS entty_id_SIMUL, cntrprty_emssns_scp2 AS cntrprty_emssns_scp2_SIMUL FROM BU_LOANTAPE_WORK.SIMUL_LT003_ENTITY WHERE ref_date='${ref_date}' AND nome_perimetro='Individual Local' AND segmento='ESTR' AND ambito='PILAR3' AND entidade='00100')Y ON X.ENTTY_ID=Y.ENTTY_ID_SIMUL</v>
      </c>
    </row>
    <row r="499" spans="2:13">
      <c r="B499" s="34" t="s">
        <v>118</v>
      </c>
      <c r="C499" s="34" t="s">
        <v>5</v>
      </c>
      <c r="D499" s="34" t="str">
        <f>+UPPER('0. Instruções'!$D$35&amp;"."&amp;VLOOKUP(B499,'0. Instruções'!$C$27:$D$32,2,FALSE))</f>
        <v>BU_LOANTAPE_WORK.LT003_ENTITY</v>
      </c>
      <c r="E499" s="34" t="str">
        <f>+UPPER('0. Instruções'!$D$36&amp;"."&amp;VLOOKUP(B499,'0. Instruções'!$C$27:$E$32,3,FALSE))</f>
        <v>BU_LOANTAPE_WORK.SIMUL_LT003_ENTITY</v>
      </c>
      <c r="F499" s="34" t="s">
        <v>608</v>
      </c>
      <c r="G499" s="34"/>
      <c r="H499" s="34"/>
      <c r="I499" s="34" t="str">
        <f>"(SELECT "&amp;VLOOKUP(B499,'0. Instruções'!$C$27:$G$32,4,FALSE)&amp;", "&amp;F499&amp;" FROM "&amp;D499&amp;" WHERE "&amp;'0. Instruções'!$D$42&amp;")X"</f>
        <v>(SELECT entty_id, cntrprty_emssns_scp3 FROM BU_LOANTAPE_WORK.LT003_ENTITY WHERE ref_date='${ref_date}' AND nome_perimetro='Individual Local' AND segmento='ESTR' AND ambito='SRB_MBDT' AND entidade='00100')X</v>
      </c>
      <c r="J499" s="34" t="str">
        <f>"(SELECT "&amp;VLOOKUP(B499,'0. Instruções'!$C$27:$G$32,4,FALSE)&amp;" AS "&amp;VLOOKUP(B499,'0. Instruções'!$C$27:$G$32,4,FALSE)&amp;"_SIMUL, "&amp;F499&amp;" AS "&amp;F499&amp;"_SIMUL FROM "&amp;E499&amp;" WHERE "&amp;'0. Instruções'!$D$43&amp;")Y"</f>
        <v>(SELECT entty_id AS entty_id_SIMUL, cntrprty_emssns_scp3 AS cntrprty_emssns_scp3_SIMUL FROM BU_LOANTAPE_WORK.SIMUL_LT003_ENTITY WHERE ref_date='${ref_date}' AND nome_perimetro='Individual Local' AND segmento='ESTR' AND ambito='PILAR3' AND entidade='00100')Y</v>
      </c>
      <c r="K499" s="35" t="str">
        <f>+UPPER("ON X."&amp;VLOOKUP(B499,'0. Instruções'!$C$27:$G$32,4,FALSE)&amp;"=Y."&amp;VLOOKUP(B499,'0. Instruções'!$C$27:$G$32,4,FALSE)&amp;"_SIMUL")</f>
        <v>ON X.ENTTY_ID=Y.ENTTY_ID_SIMUL</v>
      </c>
      <c r="L499" s="35" t="str">
        <f>+IF(C499="Coerência", +IF(LEFT(G499,5)="FLOAT","SELECT '"&amp;UPPER(B499)&amp;"' AS TABELA, '"&amp;UPPER(C499)&amp;"' AS TIPOLOGIA_TESTE,'"&amp;D499&amp;"' AS TABELA_LT,'"&amp;E499&amp;"' AS TABELA_SIMUL,'"&amp;F499&amp;"' AS CAMPO, "&amp;"'${ref_date}' AS REF_DATE, COUNT(*) AS NUM_REG, SUM(IF((ABS(COALESCE(CAST(X."&amp;F499&amp;" AS DECIMAL(18,6)),0)-COALESCE(CAST(Y."&amp;F499&amp;"_SIMUL AS DECIMAL(18,6)),0))&gt;0.000001) OR (X."&amp;F499&amp;" IS NULL AND Y."&amp;F499&amp;"_SIMUL IS NOT NULL ) OR (X."&amp;F499&amp;" IS NOT NULL AND Y."&amp;F499&amp;"_SIMUL IS NULL),1,0)) AS NUM_REG_DIF,'"&amp;MAX('ID1&amp;5'!K:K)+1&amp;"' AS ID_EXEC, CURRENT_TIMESTAMP() AS TIME_EXEC FROM "&amp;I499&amp;" INNER JOIN "&amp;J499&amp;" "&amp;K499,"SELECT '"&amp;UPPER(B499)&amp;"' AS TABELA, '"&amp;UPPER(C499)&amp;"' AS TIPOLOGIA_TESTE,'"&amp;D499&amp;"' AS TABELA_LT,'"&amp;E499&amp;"' AS TABELA_SIMUL,'"&amp;F499&amp;"' AS CAMPO, "&amp;"'${ref_date}' AS REF_DATE, COUNT(*) AS NUM_REG, SUM(IF(COALESCE(CAST(X."&amp;F499&amp;" AS STRING),'')&lt;&gt;COALESCE(CAST(Y."&amp;F499&amp;"_SIMUL AS STRING),'') OR (X."&amp;F499&amp;" IS NULL AND Y."&amp;F499&amp;"_SIMUL IS NOT NULL ) OR (X."&amp;F499&amp;" IS NOT NULL AND Y."&amp;F499&amp;"_SIMUL IS NULL),1,0)) AS NUM_REG_DIF,'"&amp;MAX('ID1&amp;5'!L:L)+1&amp;"' AS ID_EXEC, CURRENT_TIMESTAMP() AS TIME_EXEC FROM "&amp;I499&amp;" INNER JOIN "&amp;J499&amp;" "&amp;K499),
IF(C499="Validade",+IF(G499="Code List","SELECT '"&amp;UPPER(B499)&amp;"' AS TABELA, '"&amp;UPPER(C499)&amp;"' AS TIPOLOGIA_TESTE,'"&amp;D499&amp;"' AS TABELA_LT,'N/A' AS TABELA_SIMUL,'"&amp;F499&amp;"' AS CAMPO, "&amp;"'${ref_date}' AS REF_DATE, COUNT(*) AS NUM_REG, SUM(IF(TRIM(CAST(X."&amp;F499&amp;" AS STRING))='' OR TRIM(CAST(X."&amp;F499&amp;" AS STRING)) IS NULL OR CAST(X."&amp;F499&amp;" AS STRING) NOT "&amp;H499&amp;",1,0)) AS NUM_REG_DIF,'"&amp;MAX('ID1&amp;5'!K:K)+1&amp;"' AS ID_EXEC, CURRENT_TIMESTAMP() AS TIME_EXEC FROM "&amp;I499,"SELECT '"&amp;UPPER(B499)&amp;"' AS TABELA, '"&amp;UPPER(C499)&amp;"' AS TIPOLOGIA_TESTE,'"&amp;D499&amp;"' AS TABELA_LT,'N/A' AS TABELA_SIMUL,'"&amp;F499&amp;"' AS CAMPO, "&amp;"'${ref_date}' AS REF_DATE, COUNT(*) AS NUM_REG, SUM(IF(TRIM(CAST(X."&amp;F499&amp;" AS STRING))='' OR TRIM(CAST(X."&amp;F499&amp;" AS STRING)) IS NULL,1,0)) AS NUM_REG_DIF,'"&amp;MAX('ID1&amp;5'!K:K)+1&amp;"' AS ID_EXEC, CURRENT_TIMESTAMP() AS TIME_EXEC FROM "&amp;I499),
IF(C499="Caracteres Especiais",+"SELECT '"&amp;UPPER(B499)&amp;"' AS TABELA, '"&amp;UPPER(C499)&amp;"' AS TIPOLOGIA_TESTE,'"&amp;D499&amp;"' AS TABELA_LT,'N/A' AS TABELA_SIMUL,'"&amp;F499&amp;"' AS CAMPO, "&amp;"'${ref_date}' AS REF_DATE, COUNT(*) AS NUM_REG, SUM(IF(REGEXP_REPLACE(TRIM(CAST(X."&amp;F499&amp;" AS STRING)),'[^a-zA-Z0-9_\\s]','') &lt;&gt;TRIM(CAST(X."&amp;F499&amp;" AS STRING)),1,0)) AS NUM_REG_DIF,'"&amp;MAX('ID1&amp;5'!K:K)+1&amp;"' AS ID_EXEC, CURRENT_TIMESTAMP() AS TIME_EXEC FROM "&amp;I499,
IF(C499="Missings",+"SELECT '"&amp;UPPER(B499)&amp;"' AS TABELA, '"&amp;UPPER(C499)&amp;"' AS TIPOLOGIA_TESTE,'"&amp;D499&amp;"' AS TABELA_LT,'N/A' AS TABELA_SIMUL,'"&amp;F499&amp;"' AS CAMPO, "&amp;"'${ref_date}' AS REF_DATE, COUNT(*) AS NUM_REG, SUM(IF(TRIM(CAST(X."&amp;F499&amp;" AS STRING)) IN ('0000-00-00','0001-01-01','9999-12-31','MISS','00000','99999999999','99999999999.00','99999999999.000000'),1,0)) AS NUM_REG_DIF,'"&amp;MAX('ID1&amp;5'!K:K)+1&amp;"' AS ID_EXEC, CURRENT_TIMESTAMP() AS TIME_EXEC FROM "&amp;I499,
IF(C499="Not applicable",+"SELECT '"&amp;UPPER(B499)&amp;"' AS TABELA, '"&amp;UPPER(C499)&amp;"' AS TIPOLOGIA_TESTE,'"&amp;D499&amp;"' AS TABELA_LT,'N/A' AS TABELA_SIMUL,'"&amp;F499&amp;"' AS CAMPO, "&amp;"'${ref_date}' AS REF_DATE, COUNT(*) AS NUM_REG, SUM(IF(TRIM(CAST(X."&amp;F499&amp;" AS STRING)) IN ('N/A','11111111111','11111111111.00','11111111111.000000','1111-11-11'),1,0)) AS NUM_REG_DIF,'"&amp;MAX('ID1&amp;5'!K:K)+1&amp;"' AS ID_EXEC, CURRENT_TIMESTAMP() AS TIME_EXEC FROM "&amp;I499,
IF(C499="Valores extremos",+"SELECT '"&amp;UPPER(B499)&amp;"' AS TABELA, '"&amp;UPPER(C499)&amp;"' AS TIPOLOGIA_TESTE,'"&amp;D499&amp;"' AS TABELA_LT,'N/A' AS TABELA_SIMUL,'"&amp;F499&amp;"' AS CAMPO, "&amp;"'${ref_date}' AS REF_DATE, CAST(MIN("&amp;F499&amp;") AS STRING) AS VALOR_MIN, CAST(MAX("&amp;F499&amp;") AS STRING) AS VALOR_MAX,'"&amp;MAX('ID1&amp;5'!K:K)+1&amp;"' AS ID_EXEC, CURRENT_TIMESTAMP() AS TIME_EXEC FROM "&amp;MID(I499,1,LEN(I499)-2)&amp;" AND CAST("&amp;F499&amp;"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TABELA_SIMUL,'cntrprty_emssns_scp3' AS CAMPO, '${ref_date}' AS REF_DATE, COUNT(*) AS NUM_REG, SUM(IF(COALESCE(CAST(X.cntrprty_emssns_scp3 AS STRING),'')&lt;&gt;COALESCE(CAST(Y.cntrprty_emssns_scp3_SIMUL AS STRING),'') OR (X.cntrprty_emssns_scp3 IS NULL AND Y.cntrprty_emssns_scp3_SIMUL IS NOT NULL ) OR (X.cntrprty_emssns_scp3 IS NOT NULL AND Y.cntrprty_emssns_scp3_SIMUL IS NULL),1,0)) AS NUM_REG_DIF,'1' AS ID_EXEC, CURRENT_TIMESTAMP() AS TIME_EXEC FROM (SELECT entty_id, cntrprty_emssns_scp3 FROM BU_LOANTAPE_WORK.LT003_ENTITY WHERE ref_date='${ref_date}' AND nome_perimetro='Individual Local' AND segmento='ESTR' AND ambito='SRB_MBDT' AND entidade='00100')X INNER JOIN (SELECT entty_id AS entty_id_SIMUL, cntrprty_emssns_scp3 AS cntrprty_emssns_scp3_SIMUL FROM BU_LOANTAPE_WORK.SIMUL_LT003_ENTITY WHERE ref_date='${ref_date}' AND nome_perimetro='Individual Local' AND segmento='ESTR' AND ambito='PILAR3' AND entidade='00100')Y ON X.ENTTY_ID=Y.ENTTY_ID_SIMUL</v>
      </c>
      <c r="M499" s="36" t="str">
        <f t="shared" si="10"/>
        <v>UNION ALL SELECT 'ENTITY' AS TABELA, 'COERÊNCIA' AS TIPOLOGIA_TESTE,'BU_LOANTAPE_WORK.LT003_ENTITY' AS TABELA_LT,'BU_LOANTAPE_WORK.SIMUL_LT003_ENTITY' AS TABELA_SIMUL,'cntrprty_emssns_scp3' AS CAMPO, '${ref_date}' AS REF_DATE, COUNT(*) AS NUM_REG, SUM(IF(COALESCE(CAST(X.cntrprty_emssns_scp3 AS STRING),'')&lt;&gt;COALESCE(CAST(Y.cntrprty_emssns_scp3_SIMUL AS STRING),'') OR (X.cntrprty_emssns_scp3 IS NULL AND Y.cntrprty_emssns_scp3_SIMUL IS NOT NULL ) OR (X.cntrprty_emssns_scp3 IS NOT NULL AND Y.cntrprty_emssns_scp3_SIMUL IS NULL),1,0)) AS NUM_REG_DIF,'1' AS ID_EXEC, CURRENT_TIMESTAMP() AS TIME_EXEC FROM (SELECT entty_id, cntrprty_emssns_scp3 FROM BU_LOANTAPE_WORK.LT003_ENTITY WHERE ref_date='${ref_date}' AND nome_perimetro='Individual Local' AND segmento='ESTR' AND ambito='SRB_MBDT' AND entidade='00100')X INNER JOIN (SELECT entty_id AS entty_id_SIMUL, cntrprty_emssns_scp3 AS cntrprty_emssns_scp3_SIMUL FROM BU_LOANTAPE_WORK.SIMUL_LT003_ENTITY WHERE ref_date='${ref_date}' AND nome_perimetro='Individual Local' AND segmento='ESTR' AND ambito='PILAR3' AND entidade='00100')Y ON X.ENTTY_ID=Y.ENTTY_ID_SIMUL</v>
      </c>
    </row>
    <row r="500" spans="2:13">
      <c r="B500" s="34" t="s">
        <v>118</v>
      </c>
      <c r="C500" s="34" t="s">
        <v>5</v>
      </c>
      <c r="D500" s="34" t="str">
        <f>+UPPER('0. Instruções'!$D$35&amp;"."&amp;VLOOKUP(B500,'0. Instruções'!$C$27:$D$32,2,FALSE))</f>
        <v>BU_LOANTAPE_WORK.LT003_ENTITY</v>
      </c>
      <c r="E500" s="34" t="str">
        <f>+UPPER('0. Instruções'!$D$36&amp;"."&amp;VLOOKUP(B500,'0. Instruções'!$C$27:$E$32,3,FALSE))</f>
        <v>BU_LOANTAPE_WORK.SIMUL_LT003_ENTITY</v>
      </c>
      <c r="F500" s="34" t="s">
        <v>609</v>
      </c>
      <c r="G500" s="34"/>
      <c r="H500" s="34"/>
      <c r="I500" s="34" t="str">
        <f>"(SELECT "&amp;VLOOKUP(B500,'0. Instruções'!$C$27:$G$32,4,FALSE)&amp;", "&amp;F500&amp;" FROM "&amp;D500&amp;" WHERE "&amp;'0. Instruções'!$D$42&amp;")X"</f>
        <v>(SELECT entty_id, flg_excldd_eu_prs_algnd_bnchmrk FROM BU_LOANTAPE_WORK.LT003_ENTITY WHERE ref_date='${ref_date}' AND nome_perimetro='Individual Local' AND segmento='ESTR' AND ambito='SRB_MBDT' AND entidade='00100')X</v>
      </c>
      <c r="J500" s="34" t="str">
        <f>"(SELECT "&amp;VLOOKUP(B500,'0. Instruções'!$C$27:$G$32,4,FALSE)&amp;" AS "&amp;VLOOKUP(B500,'0. Instruções'!$C$27:$G$32,4,FALSE)&amp;"_SIMUL, "&amp;F500&amp;" AS "&amp;F500&amp;"_SIMUL FROM "&amp;E500&amp;" WHERE "&amp;'0. Instruções'!$D$43&amp;")Y"</f>
        <v>(SELECT entty_id AS entty_id_SIMUL, flg_excldd_eu_prs_algnd_bnchmrk AS flg_excldd_eu_prs_algnd_bnchmrk_SIMUL FROM BU_LOANTAPE_WORK.SIMUL_LT003_ENTITY WHERE ref_date='${ref_date}' AND nome_perimetro='Individual Local' AND segmento='ESTR' AND ambito='PILAR3' AND entidade='00100')Y</v>
      </c>
      <c r="K500" s="35" t="str">
        <f>+UPPER("ON X."&amp;VLOOKUP(B500,'0. Instruções'!$C$27:$G$32,4,FALSE)&amp;"=Y."&amp;VLOOKUP(B500,'0. Instruções'!$C$27:$G$32,4,FALSE)&amp;"_SIMUL")</f>
        <v>ON X.ENTTY_ID=Y.ENTTY_ID_SIMUL</v>
      </c>
      <c r="L500" s="35" t="str">
        <f>+IF(C500="Coerência", +IF(LEFT(G500,5)="FLOAT","SELECT '"&amp;UPPER(B500)&amp;"' AS TABELA, '"&amp;UPPER(C500)&amp;"' AS TIPOLOGIA_TESTE,'"&amp;D500&amp;"' AS TABELA_LT,'"&amp;E500&amp;"' AS TABELA_SIMUL,'"&amp;F500&amp;"' AS CAMPO, "&amp;"'${ref_date}' AS REF_DATE, COUNT(*) AS NUM_REG, SUM(IF((ABS(COALESCE(CAST(X."&amp;F500&amp;" AS DECIMAL(18,6)),0)-COALESCE(CAST(Y."&amp;F500&amp;"_SIMUL AS DECIMAL(18,6)),0))&gt;0.000001) OR (X."&amp;F500&amp;" IS NULL AND Y."&amp;F500&amp;"_SIMUL IS NOT NULL ) OR (X."&amp;F500&amp;" IS NOT NULL AND Y."&amp;F500&amp;"_SIMUL IS NULL),1,0)) AS NUM_REG_DIF,'"&amp;MAX('ID1&amp;5'!K:K)+1&amp;"' AS ID_EXEC, CURRENT_TIMESTAMP() AS TIME_EXEC FROM "&amp;I500&amp;" INNER JOIN "&amp;J500&amp;" "&amp;K500,"SELECT '"&amp;UPPER(B500)&amp;"' AS TABELA, '"&amp;UPPER(C500)&amp;"' AS TIPOLOGIA_TESTE,'"&amp;D500&amp;"' AS TABELA_LT,'"&amp;E500&amp;"' AS TABELA_SIMUL,'"&amp;F500&amp;"' AS CAMPO, "&amp;"'${ref_date}' AS REF_DATE, COUNT(*) AS NUM_REG, SUM(IF(COALESCE(CAST(X."&amp;F500&amp;" AS STRING),'')&lt;&gt;COALESCE(CAST(Y."&amp;F500&amp;"_SIMUL AS STRING),'') OR (X."&amp;F500&amp;" IS NULL AND Y."&amp;F500&amp;"_SIMUL IS NOT NULL ) OR (X."&amp;F500&amp;" IS NOT NULL AND Y."&amp;F500&amp;"_SIMUL IS NULL),1,0)) AS NUM_REG_DIF,'"&amp;MAX('ID1&amp;5'!L:L)+1&amp;"' AS ID_EXEC, CURRENT_TIMESTAMP() AS TIME_EXEC FROM "&amp;I500&amp;" INNER JOIN "&amp;J500&amp;" "&amp;K500),
IF(C500="Validade",+IF(G500="Code List","SELECT '"&amp;UPPER(B500)&amp;"' AS TABELA, '"&amp;UPPER(C500)&amp;"' AS TIPOLOGIA_TESTE,'"&amp;D500&amp;"' AS TABELA_LT,'N/A' AS TABELA_SIMUL,'"&amp;F500&amp;"' AS CAMPO, "&amp;"'${ref_date}' AS REF_DATE, COUNT(*) AS NUM_REG, SUM(IF(TRIM(CAST(X."&amp;F500&amp;" AS STRING))='' OR TRIM(CAST(X."&amp;F500&amp;" AS STRING)) IS NULL OR CAST(X."&amp;F500&amp;" AS STRING) NOT "&amp;H500&amp;",1,0)) AS NUM_REG_DIF,'"&amp;MAX('ID1&amp;5'!K:K)+1&amp;"' AS ID_EXEC, CURRENT_TIMESTAMP() AS TIME_EXEC FROM "&amp;I500,"SELECT '"&amp;UPPER(B500)&amp;"' AS TABELA, '"&amp;UPPER(C500)&amp;"' AS TIPOLOGIA_TESTE,'"&amp;D500&amp;"' AS TABELA_LT,'N/A' AS TABELA_SIMUL,'"&amp;F500&amp;"' AS CAMPO, "&amp;"'${ref_date}' AS REF_DATE, COUNT(*) AS NUM_REG, SUM(IF(TRIM(CAST(X."&amp;F500&amp;" AS STRING))='' OR TRIM(CAST(X."&amp;F500&amp;" AS STRING)) IS NULL,1,0)) AS NUM_REG_DIF,'"&amp;MAX('ID1&amp;5'!K:K)+1&amp;"' AS ID_EXEC, CURRENT_TIMESTAMP() AS TIME_EXEC FROM "&amp;I500),
IF(C500="Caracteres Especiais",+"SELECT '"&amp;UPPER(B500)&amp;"' AS TABELA, '"&amp;UPPER(C500)&amp;"' AS TIPOLOGIA_TESTE,'"&amp;D500&amp;"' AS TABELA_LT,'N/A' AS TABELA_SIMUL,'"&amp;F500&amp;"' AS CAMPO, "&amp;"'${ref_date}' AS REF_DATE, COUNT(*) AS NUM_REG, SUM(IF(REGEXP_REPLACE(TRIM(CAST(X."&amp;F500&amp;" AS STRING)),'[^a-zA-Z0-9_\\s]','') &lt;&gt;TRIM(CAST(X."&amp;F500&amp;" AS STRING)),1,0)) AS NUM_REG_DIF,'"&amp;MAX('ID1&amp;5'!K:K)+1&amp;"' AS ID_EXEC, CURRENT_TIMESTAMP() AS TIME_EXEC FROM "&amp;I500,
IF(C500="Missings",+"SELECT '"&amp;UPPER(B500)&amp;"' AS TABELA, '"&amp;UPPER(C500)&amp;"' AS TIPOLOGIA_TESTE,'"&amp;D500&amp;"' AS TABELA_LT,'N/A' AS TABELA_SIMUL,'"&amp;F500&amp;"' AS CAMPO, "&amp;"'${ref_date}' AS REF_DATE, COUNT(*) AS NUM_REG, SUM(IF(TRIM(CAST(X."&amp;F500&amp;" AS STRING)) IN ('0000-00-00','0001-01-01','9999-12-31','MISS','00000','99999999999','99999999999.00','99999999999.000000'),1,0)) AS NUM_REG_DIF,'"&amp;MAX('ID1&amp;5'!K:K)+1&amp;"' AS ID_EXEC, CURRENT_TIMESTAMP() AS TIME_EXEC FROM "&amp;I500,
IF(C500="Not applicable",+"SELECT '"&amp;UPPER(B500)&amp;"' AS TABELA, '"&amp;UPPER(C500)&amp;"' AS TIPOLOGIA_TESTE,'"&amp;D500&amp;"' AS TABELA_LT,'N/A' AS TABELA_SIMUL,'"&amp;F500&amp;"' AS CAMPO, "&amp;"'${ref_date}' AS REF_DATE, COUNT(*) AS NUM_REG, SUM(IF(TRIM(CAST(X."&amp;F500&amp;" AS STRING)) IN ('N/A','11111111111','11111111111.00','11111111111.000000','1111-11-11'),1,0)) AS NUM_REG_DIF,'"&amp;MAX('ID1&amp;5'!K:K)+1&amp;"' AS ID_EXEC, CURRENT_TIMESTAMP() AS TIME_EXEC FROM "&amp;I500,
IF(C500="Valores extremos",+"SELECT '"&amp;UPPER(B500)&amp;"' AS TABELA, '"&amp;UPPER(C500)&amp;"' AS TIPOLOGIA_TESTE,'"&amp;D500&amp;"' AS TABELA_LT,'N/A' AS TABELA_SIMUL,'"&amp;F500&amp;"' AS CAMPO, "&amp;"'${ref_date}' AS REF_DATE, CAST(MIN("&amp;F500&amp;") AS STRING) AS VALOR_MIN, CAST(MAX("&amp;F500&amp;") AS STRING) AS VALOR_MAX,'"&amp;MAX('ID1&amp;5'!K:K)+1&amp;"' AS ID_EXEC, CURRENT_TIMESTAMP() AS TIME_EXEC FROM "&amp;MID(I500,1,LEN(I500)-2)&amp;" AND CAST("&amp;F500&amp;"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TABELA_SIMUL,'flg_excldd_eu_prs_algnd_bnchmrk' AS CAMPO, '${ref_date}' AS REF_DATE, COUNT(*) AS NUM_REG, SUM(IF(COALESCE(CAST(X.flg_excldd_eu_prs_algnd_bnchmrk AS STRING),'')&lt;&gt;COALESCE(CAST(Y.flg_excldd_eu_prs_algnd_bnchmrk_SIMUL AS STRING),'') OR (X.flg_excldd_eu_prs_algnd_bnchmrk IS NULL AND Y.flg_excldd_eu_prs_algnd_bnchmrk_SIMUL IS NOT NULL ) OR (X.flg_excldd_eu_prs_algnd_bnchmrk IS NOT NULL AND Y.flg_excldd_eu_prs_algnd_bnchmrk_SIMUL IS NULL),1,0)) AS NUM_REG_DIF,'1' AS ID_EXEC, CURRENT_TIMESTAMP() AS TIME_EXEC FROM (SELECT entty_id, flg_excldd_eu_prs_algnd_bnchmrk FROM BU_LOANTAPE_WORK.LT003_ENTITY WHERE ref_date='${ref_date}' AND nome_perimetro='Individual Local' AND segmento='ESTR' AND ambito='SRB_MBDT' AND entidade='00100')X INNER JOIN (SELECT entty_id AS entty_id_SIMUL, flg_excldd_eu_prs_algnd_bnchmrk AS flg_excldd_eu_prs_algnd_bnchmrk_SIMUL FROM BU_LOANTAPE_WORK.SIMUL_LT003_ENTITY WHERE ref_date='${ref_date}' AND nome_perimetro='Individual Local' AND segmento='ESTR' AND ambito='PILAR3' AND entidade='00100')Y ON X.ENTTY_ID=Y.ENTTY_ID_SIMUL</v>
      </c>
      <c r="M500" s="36" t="str">
        <f t="shared" si="10"/>
        <v>UNION ALL SELECT 'ENTITY' AS TABELA, 'COERÊNCIA' AS TIPOLOGIA_TESTE,'BU_LOANTAPE_WORK.LT003_ENTITY' AS TABELA_LT,'BU_LOANTAPE_WORK.SIMUL_LT003_ENTITY' AS TABELA_SIMUL,'flg_excldd_eu_prs_algnd_bnchmrk' AS CAMPO, '${ref_date}' AS REF_DATE, COUNT(*) AS NUM_REG, SUM(IF(COALESCE(CAST(X.flg_excldd_eu_prs_algnd_bnchmrk AS STRING),'')&lt;&gt;COALESCE(CAST(Y.flg_excldd_eu_prs_algnd_bnchmrk_SIMUL AS STRING),'') OR (X.flg_excldd_eu_prs_algnd_bnchmrk IS NULL AND Y.flg_excldd_eu_prs_algnd_bnchmrk_SIMUL IS NOT NULL ) OR (X.flg_excldd_eu_prs_algnd_bnchmrk IS NOT NULL AND Y.flg_excldd_eu_prs_algnd_bnchmrk_SIMUL IS NULL),1,0)) AS NUM_REG_DIF,'1' AS ID_EXEC, CURRENT_TIMESTAMP() AS TIME_EXEC FROM (SELECT entty_id, flg_excldd_eu_prs_algnd_bnchmrk FROM BU_LOANTAPE_WORK.LT003_ENTITY WHERE ref_date='${ref_date}' AND nome_perimetro='Individual Local' AND segmento='ESTR' AND ambito='SRB_MBDT' AND entidade='00100')X INNER JOIN (SELECT entty_id AS entty_id_SIMUL, flg_excldd_eu_prs_algnd_bnchmrk AS flg_excldd_eu_prs_algnd_bnchmrk_SIMUL FROM BU_LOANTAPE_WORK.SIMUL_LT003_ENTITY WHERE ref_date='${ref_date}' AND nome_perimetro='Individual Local' AND segmento='ESTR' AND ambito='PILAR3' AND entidade='00100')Y ON X.ENTTY_ID=Y.ENTTY_ID_SIMUL</v>
      </c>
    </row>
    <row r="501" spans="2:13">
      <c r="B501" s="34" t="s">
        <v>118</v>
      </c>
      <c r="C501" s="34" t="s">
        <v>5</v>
      </c>
      <c r="D501" s="34" t="str">
        <f>+UPPER('0. Instruções'!$D$35&amp;"."&amp;VLOOKUP(B501,'0. Instruções'!$C$27:$D$32,2,FALSE))</f>
        <v>BU_LOANTAPE_WORK.LT003_ENTITY</v>
      </c>
      <c r="E501" s="34" t="str">
        <f>+UPPER('0. Instruções'!$D$36&amp;"."&amp;VLOOKUP(B501,'0. Instruções'!$C$27:$E$32,3,FALSE))</f>
        <v>BU_LOANTAPE_WORK.SIMUL_LT003_ENTITY</v>
      </c>
      <c r="F501" s="34" t="s">
        <v>610</v>
      </c>
      <c r="G501" s="34"/>
      <c r="H501" s="34"/>
      <c r="I501" s="34" t="str">
        <f>"(SELECT "&amp;VLOOKUP(B501,'0. Instruções'!$C$27:$G$32,4,FALSE)&amp;", "&amp;F501&amp;" FROM "&amp;D501&amp;" WHERE "&amp;'0. Instruções'!$D$42&amp;")X"</f>
        <v>(SELECT entty_id, flg_act_physcl_rsk FROM BU_LOANTAPE_WORK.LT003_ENTITY WHERE ref_date='${ref_date}' AND nome_perimetro='Individual Local' AND segmento='ESTR' AND ambito='SRB_MBDT' AND entidade='00100')X</v>
      </c>
      <c r="J501" s="34" t="str">
        <f>"(SELECT "&amp;VLOOKUP(B501,'0. Instruções'!$C$27:$G$32,4,FALSE)&amp;" AS "&amp;VLOOKUP(B501,'0. Instruções'!$C$27:$G$32,4,FALSE)&amp;"_SIMUL, "&amp;F501&amp;" AS "&amp;F501&amp;"_SIMUL FROM "&amp;E501&amp;" WHERE "&amp;'0. Instruções'!$D$43&amp;")Y"</f>
        <v>(SELECT entty_id AS entty_id_SIMUL, flg_act_physcl_rsk AS flg_act_physcl_rsk_SIMUL FROM BU_LOANTAPE_WORK.SIMUL_LT003_ENTITY WHERE ref_date='${ref_date}' AND nome_perimetro='Individual Local' AND segmento='ESTR' AND ambito='PILAR3' AND entidade='00100')Y</v>
      </c>
      <c r="K501" s="35" t="str">
        <f>+UPPER("ON X."&amp;VLOOKUP(B501,'0. Instruções'!$C$27:$G$32,4,FALSE)&amp;"=Y."&amp;VLOOKUP(B501,'0. Instruções'!$C$27:$G$32,4,FALSE)&amp;"_SIMUL")</f>
        <v>ON X.ENTTY_ID=Y.ENTTY_ID_SIMUL</v>
      </c>
      <c r="L501" s="35" t="str">
        <f>+IF(C501="Coerência", +IF(LEFT(G501,5)="FLOAT","SELECT '"&amp;UPPER(B501)&amp;"' AS TABELA, '"&amp;UPPER(C501)&amp;"' AS TIPOLOGIA_TESTE,'"&amp;D501&amp;"' AS TABELA_LT,'"&amp;E501&amp;"' AS TABELA_SIMUL,'"&amp;F501&amp;"' AS CAMPO, "&amp;"'${ref_date}' AS REF_DATE, COUNT(*) AS NUM_REG, SUM(IF((ABS(COALESCE(CAST(X."&amp;F501&amp;" AS DECIMAL(18,6)),0)-COALESCE(CAST(Y."&amp;F501&amp;"_SIMUL AS DECIMAL(18,6)),0))&gt;0.000001) OR (X."&amp;F501&amp;" IS NULL AND Y."&amp;F501&amp;"_SIMUL IS NOT NULL ) OR (X."&amp;F501&amp;" IS NOT NULL AND Y."&amp;F501&amp;"_SIMUL IS NULL),1,0)) AS NUM_REG_DIF,'"&amp;MAX('ID1&amp;5'!K:K)+1&amp;"' AS ID_EXEC, CURRENT_TIMESTAMP() AS TIME_EXEC FROM "&amp;I501&amp;" INNER JOIN "&amp;J501&amp;" "&amp;K501,"SELECT '"&amp;UPPER(B501)&amp;"' AS TABELA, '"&amp;UPPER(C501)&amp;"' AS TIPOLOGIA_TESTE,'"&amp;D501&amp;"' AS TABELA_LT,'"&amp;E501&amp;"' AS TABELA_SIMUL,'"&amp;F501&amp;"' AS CAMPO, "&amp;"'${ref_date}' AS REF_DATE, COUNT(*) AS NUM_REG, SUM(IF(COALESCE(CAST(X."&amp;F501&amp;" AS STRING),'')&lt;&gt;COALESCE(CAST(Y."&amp;F501&amp;"_SIMUL AS STRING),'') OR (X."&amp;F501&amp;" IS NULL AND Y."&amp;F501&amp;"_SIMUL IS NOT NULL ) OR (X."&amp;F501&amp;" IS NOT NULL AND Y."&amp;F501&amp;"_SIMUL IS NULL),1,0)) AS NUM_REG_DIF,'"&amp;MAX('ID1&amp;5'!L:L)+1&amp;"' AS ID_EXEC, CURRENT_TIMESTAMP() AS TIME_EXEC FROM "&amp;I501&amp;" INNER JOIN "&amp;J501&amp;" "&amp;K501),
IF(C501="Validade",+IF(G501="Code List","SELECT '"&amp;UPPER(B501)&amp;"' AS TABELA, '"&amp;UPPER(C501)&amp;"' AS TIPOLOGIA_TESTE,'"&amp;D501&amp;"' AS TABELA_LT,'N/A' AS TABELA_SIMUL,'"&amp;F501&amp;"' AS CAMPO, "&amp;"'${ref_date}' AS REF_DATE, COUNT(*) AS NUM_REG, SUM(IF(TRIM(CAST(X."&amp;F501&amp;" AS STRING))='' OR TRIM(CAST(X."&amp;F501&amp;" AS STRING)) IS NULL OR CAST(X."&amp;F501&amp;" AS STRING) NOT "&amp;H501&amp;",1,0)) AS NUM_REG_DIF,'"&amp;MAX('ID1&amp;5'!K:K)+1&amp;"' AS ID_EXEC, CURRENT_TIMESTAMP() AS TIME_EXEC FROM "&amp;I501,"SELECT '"&amp;UPPER(B501)&amp;"' AS TABELA, '"&amp;UPPER(C501)&amp;"' AS TIPOLOGIA_TESTE,'"&amp;D501&amp;"' AS TABELA_LT,'N/A' AS TABELA_SIMUL,'"&amp;F501&amp;"' AS CAMPO, "&amp;"'${ref_date}' AS REF_DATE, COUNT(*) AS NUM_REG, SUM(IF(TRIM(CAST(X."&amp;F501&amp;" AS STRING))='' OR TRIM(CAST(X."&amp;F501&amp;" AS STRING)) IS NULL,1,0)) AS NUM_REG_DIF,'"&amp;MAX('ID1&amp;5'!K:K)+1&amp;"' AS ID_EXEC, CURRENT_TIMESTAMP() AS TIME_EXEC FROM "&amp;I501),
IF(C501="Caracteres Especiais",+"SELECT '"&amp;UPPER(B501)&amp;"' AS TABELA, '"&amp;UPPER(C501)&amp;"' AS TIPOLOGIA_TESTE,'"&amp;D501&amp;"' AS TABELA_LT,'N/A' AS TABELA_SIMUL,'"&amp;F501&amp;"' AS CAMPO, "&amp;"'${ref_date}' AS REF_DATE, COUNT(*) AS NUM_REG, SUM(IF(REGEXP_REPLACE(TRIM(CAST(X."&amp;F501&amp;" AS STRING)),'[^a-zA-Z0-9_\\s]','') &lt;&gt;TRIM(CAST(X."&amp;F501&amp;" AS STRING)),1,0)) AS NUM_REG_DIF,'"&amp;MAX('ID1&amp;5'!K:K)+1&amp;"' AS ID_EXEC, CURRENT_TIMESTAMP() AS TIME_EXEC FROM "&amp;I501,
IF(C501="Missings",+"SELECT '"&amp;UPPER(B501)&amp;"' AS TABELA, '"&amp;UPPER(C501)&amp;"' AS TIPOLOGIA_TESTE,'"&amp;D501&amp;"' AS TABELA_LT,'N/A' AS TABELA_SIMUL,'"&amp;F501&amp;"' AS CAMPO, "&amp;"'${ref_date}' AS REF_DATE, COUNT(*) AS NUM_REG, SUM(IF(TRIM(CAST(X."&amp;F501&amp;" AS STRING)) IN ('0000-00-00','0001-01-01','9999-12-31','MISS','00000','99999999999','99999999999.00','99999999999.000000'),1,0)) AS NUM_REG_DIF,'"&amp;MAX('ID1&amp;5'!K:K)+1&amp;"' AS ID_EXEC, CURRENT_TIMESTAMP() AS TIME_EXEC FROM "&amp;I501,
IF(C501="Not applicable",+"SELECT '"&amp;UPPER(B501)&amp;"' AS TABELA, '"&amp;UPPER(C501)&amp;"' AS TIPOLOGIA_TESTE,'"&amp;D501&amp;"' AS TABELA_LT,'N/A' AS TABELA_SIMUL,'"&amp;F501&amp;"' AS CAMPO, "&amp;"'${ref_date}' AS REF_DATE, COUNT(*) AS NUM_REG, SUM(IF(TRIM(CAST(X."&amp;F501&amp;" AS STRING)) IN ('N/A','11111111111','11111111111.00','11111111111.000000','1111-11-11'),1,0)) AS NUM_REG_DIF,'"&amp;MAX('ID1&amp;5'!K:K)+1&amp;"' AS ID_EXEC, CURRENT_TIMESTAMP() AS TIME_EXEC FROM "&amp;I501,
IF(C501="Valores extremos",+"SELECT '"&amp;UPPER(B501)&amp;"' AS TABELA, '"&amp;UPPER(C501)&amp;"' AS TIPOLOGIA_TESTE,'"&amp;D501&amp;"' AS TABELA_LT,'N/A' AS TABELA_SIMUL,'"&amp;F501&amp;"' AS CAMPO, "&amp;"'${ref_date}' AS REF_DATE, CAST(MIN("&amp;F501&amp;") AS STRING) AS VALOR_MIN, CAST(MAX("&amp;F501&amp;") AS STRING) AS VALOR_MAX,'"&amp;MAX('ID1&amp;5'!K:K)+1&amp;"' AS ID_EXEC, CURRENT_TIMESTAMP() AS TIME_EXEC FROM "&amp;MID(I501,1,LEN(I501)-2)&amp;" AND CAST("&amp;F501&amp;"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TABELA_SIMUL,'flg_act_physcl_rsk' AS CAMPO, '${ref_date}' AS REF_DATE, COUNT(*) AS NUM_REG, SUM(IF(COALESCE(CAST(X.flg_act_physcl_rsk AS STRING),'')&lt;&gt;COALESCE(CAST(Y.flg_act_physcl_rsk_SIMUL AS STRING),'') OR (X.flg_act_physcl_rsk IS NULL AND Y.flg_act_physcl_rsk_SIMUL IS NOT NULL ) OR (X.flg_act_physcl_rsk IS NOT NULL AND Y.flg_act_physcl_rsk_SIMUL IS NULL),1,0)) AS NUM_REG_DIF,'1' AS ID_EXEC, CURRENT_TIMESTAMP() AS TIME_EXEC FROM (SELECT entty_id, flg_act_physcl_rsk FROM BU_LOANTAPE_WORK.LT003_ENTITY WHERE ref_date='${ref_date}' AND nome_perimetro='Individual Local' AND segmento='ESTR' AND ambito='SRB_MBDT' AND entidade='00100')X INNER JOIN (SELECT entty_id AS entty_id_SIMUL, flg_act_physcl_rsk AS flg_act_physcl_rsk_SIMUL FROM BU_LOANTAPE_WORK.SIMUL_LT003_ENTITY WHERE ref_date='${ref_date}' AND nome_perimetro='Individual Local' AND segmento='ESTR' AND ambito='PILAR3' AND entidade='00100')Y ON X.ENTTY_ID=Y.ENTTY_ID_SIMUL</v>
      </c>
      <c r="M501" s="36" t="str">
        <f t="shared" si="10"/>
        <v>UNION ALL SELECT 'ENTITY' AS TABELA, 'COERÊNCIA' AS TIPOLOGIA_TESTE,'BU_LOANTAPE_WORK.LT003_ENTITY' AS TABELA_LT,'BU_LOANTAPE_WORK.SIMUL_LT003_ENTITY' AS TABELA_SIMUL,'flg_act_physcl_rsk' AS CAMPO, '${ref_date}' AS REF_DATE, COUNT(*) AS NUM_REG, SUM(IF(COALESCE(CAST(X.flg_act_physcl_rsk AS STRING),'')&lt;&gt;COALESCE(CAST(Y.flg_act_physcl_rsk_SIMUL AS STRING),'') OR (X.flg_act_physcl_rsk IS NULL AND Y.flg_act_physcl_rsk_SIMUL IS NOT NULL ) OR (X.flg_act_physcl_rsk IS NOT NULL AND Y.flg_act_physcl_rsk_SIMUL IS NULL),1,0)) AS NUM_REG_DIF,'1' AS ID_EXEC, CURRENT_TIMESTAMP() AS TIME_EXEC FROM (SELECT entty_id, flg_act_physcl_rsk FROM BU_LOANTAPE_WORK.LT003_ENTITY WHERE ref_date='${ref_date}' AND nome_perimetro='Individual Local' AND segmento='ESTR' AND ambito='SRB_MBDT' AND entidade='00100')X INNER JOIN (SELECT entty_id AS entty_id_SIMUL, flg_act_physcl_rsk AS flg_act_physcl_rsk_SIMUL FROM BU_LOANTAPE_WORK.SIMUL_LT003_ENTITY WHERE ref_date='${ref_date}' AND nome_perimetro='Individual Local' AND segmento='ESTR' AND ambito='PILAR3' AND entidade='00100')Y ON X.ENTTY_ID=Y.ENTTY_ID_SIMUL</v>
      </c>
    </row>
    <row r="502" spans="2:13">
      <c r="B502" s="34" t="s">
        <v>118</v>
      </c>
      <c r="C502" s="34" t="s">
        <v>5</v>
      </c>
      <c r="D502" s="34" t="str">
        <f>+UPPER('0. Instruções'!$D$35&amp;"."&amp;VLOOKUP(B502,'0. Instruções'!$C$27:$D$32,2,FALSE))</f>
        <v>BU_LOANTAPE_WORK.LT003_ENTITY</v>
      </c>
      <c r="E502" s="34" t="str">
        <f>+UPPER('0. Instruções'!$D$36&amp;"."&amp;VLOOKUP(B502,'0. Instruções'!$C$27:$E$32,3,FALSE))</f>
        <v>BU_LOANTAPE_WORK.SIMUL_LT003_ENTITY</v>
      </c>
      <c r="F502" s="34" t="s">
        <v>611</v>
      </c>
      <c r="G502" s="34"/>
      <c r="H502" s="34"/>
      <c r="I502" s="34" t="str">
        <f>"(SELECT "&amp;VLOOKUP(B502,'0. Instruções'!$C$27:$G$32,4,FALSE)&amp;", "&amp;F502&amp;" FROM "&amp;D502&amp;" WHERE "&amp;'0. Instruções'!$D$42&amp;")X"</f>
        <v>(SELECT entty_id, flg_chrnc_physcl_rsk FROM BU_LOANTAPE_WORK.LT003_ENTITY WHERE ref_date='${ref_date}' AND nome_perimetro='Individual Local' AND segmento='ESTR' AND ambito='SRB_MBDT' AND entidade='00100')X</v>
      </c>
      <c r="J502" s="34" t="str">
        <f>"(SELECT "&amp;VLOOKUP(B502,'0. Instruções'!$C$27:$G$32,4,FALSE)&amp;" AS "&amp;VLOOKUP(B502,'0. Instruções'!$C$27:$G$32,4,FALSE)&amp;"_SIMUL, "&amp;F502&amp;" AS "&amp;F502&amp;"_SIMUL FROM "&amp;E502&amp;" WHERE "&amp;'0. Instruções'!$D$43&amp;")Y"</f>
        <v>(SELECT entty_id AS entty_id_SIMUL, flg_chrnc_physcl_rsk AS flg_chrnc_physcl_rsk_SIMUL FROM BU_LOANTAPE_WORK.SIMUL_LT003_ENTITY WHERE ref_date='${ref_date}' AND nome_perimetro='Individual Local' AND segmento='ESTR' AND ambito='PILAR3' AND entidade='00100')Y</v>
      </c>
      <c r="K502" s="35" t="str">
        <f>+UPPER("ON X."&amp;VLOOKUP(B502,'0. Instruções'!$C$27:$G$32,4,FALSE)&amp;"=Y."&amp;VLOOKUP(B502,'0. Instruções'!$C$27:$G$32,4,FALSE)&amp;"_SIMUL")</f>
        <v>ON X.ENTTY_ID=Y.ENTTY_ID_SIMUL</v>
      </c>
      <c r="L502" s="35" t="str">
        <f>+IF(C502="Coerência", +IF(LEFT(G502,5)="FLOAT","SELECT '"&amp;UPPER(B502)&amp;"' AS TABELA, '"&amp;UPPER(C502)&amp;"' AS TIPOLOGIA_TESTE,'"&amp;D502&amp;"' AS TABELA_LT,'"&amp;E502&amp;"' AS TABELA_SIMUL,'"&amp;F502&amp;"' AS CAMPO, "&amp;"'${ref_date}' AS REF_DATE, COUNT(*) AS NUM_REG, SUM(IF((ABS(COALESCE(CAST(X."&amp;F502&amp;" AS DECIMAL(18,6)),0)-COALESCE(CAST(Y."&amp;F502&amp;"_SIMUL AS DECIMAL(18,6)),0))&gt;0.000001) OR (X."&amp;F502&amp;" IS NULL AND Y."&amp;F502&amp;"_SIMUL IS NOT NULL ) OR (X."&amp;F502&amp;" IS NOT NULL AND Y."&amp;F502&amp;"_SIMUL IS NULL),1,0)) AS NUM_REG_DIF,'"&amp;MAX('ID1&amp;5'!K:K)+1&amp;"' AS ID_EXEC, CURRENT_TIMESTAMP() AS TIME_EXEC FROM "&amp;I502&amp;" INNER JOIN "&amp;J502&amp;" "&amp;K502,"SELECT '"&amp;UPPER(B502)&amp;"' AS TABELA, '"&amp;UPPER(C502)&amp;"' AS TIPOLOGIA_TESTE,'"&amp;D502&amp;"' AS TABELA_LT,'"&amp;E502&amp;"' AS TABELA_SIMUL,'"&amp;F502&amp;"' AS CAMPO, "&amp;"'${ref_date}' AS REF_DATE, COUNT(*) AS NUM_REG, SUM(IF(COALESCE(CAST(X."&amp;F502&amp;" AS STRING),'')&lt;&gt;COALESCE(CAST(Y."&amp;F502&amp;"_SIMUL AS STRING),'') OR (X."&amp;F502&amp;" IS NULL AND Y."&amp;F502&amp;"_SIMUL IS NOT NULL ) OR (X."&amp;F502&amp;" IS NOT NULL AND Y."&amp;F502&amp;"_SIMUL IS NULL),1,0)) AS NUM_REG_DIF,'"&amp;MAX('ID1&amp;5'!L:L)+1&amp;"' AS ID_EXEC, CURRENT_TIMESTAMP() AS TIME_EXEC FROM "&amp;I502&amp;" INNER JOIN "&amp;J502&amp;" "&amp;K502),
IF(C502="Validade",+IF(G502="Code List","SELECT '"&amp;UPPER(B502)&amp;"' AS TABELA, '"&amp;UPPER(C502)&amp;"' AS TIPOLOGIA_TESTE,'"&amp;D502&amp;"' AS TABELA_LT,'N/A' AS TABELA_SIMUL,'"&amp;F502&amp;"' AS CAMPO, "&amp;"'${ref_date}' AS REF_DATE, COUNT(*) AS NUM_REG, SUM(IF(TRIM(CAST(X."&amp;F502&amp;" AS STRING))='' OR TRIM(CAST(X."&amp;F502&amp;" AS STRING)) IS NULL OR CAST(X."&amp;F502&amp;" AS STRING) NOT "&amp;H502&amp;",1,0)) AS NUM_REG_DIF,'"&amp;MAX('ID1&amp;5'!K:K)+1&amp;"' AS ID_EXEC, CURRENT_TIMESTAMP() AS TIME_EXEC FROM "&amp;I502,"SELECT '"&amp;UPPER(B502)&amp;"' AS TABELA, '"&amp;UPPER(C502)&amp;"' AS TIPOLOGIA_TESTE,'"&amp;D502&amp;"' AS TABELA_LT,'N/A' AS TABELA_SIMUL,'"&amp;F502&amp;"' AS CAMPO, "&amp;"'${ref_date}' AS REF_DATE, COUNT(*) AS NUM_REG, SUM(IF(TRIM(CAST(X."&amp;F502&amp;" AS STRING))='' OR TRIM(CAST(X."&amp;F502&amp;" AS STRING)) IS NULL,1,0)) AS NUM_REG_DIF,'"&amp;MAX('ID1&amp;5'!K:K)+1&amp;"' AS ID_EXEC, CURRENT_TIMESTAMP() AS TIME_EXEC FROM "&amp;I502),
IF(C502="Caracteres Especiais",+"SELECT '"&amp;UPPER(B502)&amp;"' AS TABELA, '"&amp;UPPER(C502)&amp;"' AS TIPOLOGIA_TESTE,'"&amp;D502&amp;"' AS TABELA_LT,'N/A' AS TABELA_SIMUL,'"&amp;F502&amp;"' AS CAMPO, "&amp;"'${ref_date}' AS REF_DATE, COUNT(*) AS NUM_REG, SUM(IF(REGEXP_REPLACE(TRIM(CAST(X."&amp;F502&amp;" AS STRING)),'[^a-zA-Z0-9_\\s]','') &lt;&gt;TRIM(CAST(X."&amp;F502&amp;" AS STRING)),1,0)) AS NUM_REG_DIF,'"&amp;MAX('ID1&amp;5'!K:K)+1&amp;"' AS ID_EXEC, CURRENT_TIMESTAMP() AS TIME_EXEC FROM "&amp;I502,
IF(C502="Missings",+"SELECT '"&amp;UPPER(B502)&amp;"' AS TABELA, '"&amp;UPPER(C502)&amp;"' AS TIPOLOGIA_TESTE,'"&amp;D502&amp;"' AS TABELA_LT,'N/A' AS TABELA_SIMUL,'"&amp;F502&amp;"' AS CAMPO, "&amp;"'${ref_date}' AS REF_DATE, COUNT(*) AS NUM_REG, SUM(IF(TRIM(CAST(X."&amp;F502&amp;" AS STRING)) IN ('0000-00-00','0001-01-01','9999-12-31','MISS','00000','99999999999','99999999999.00','99999999999.000000'),1,0)) AS NUM_REG_DIF,'"&amp;MAX('ID1&amp;5'!K:K)+1&amp;"' AS ID_EXEC, CURRENT_TIMESTAMP() AS TIME_EXEC FROM "&amp;I502,
IF(C502="Not applicable",+"SELECT '"&amp;UPPER(B502)&amp;"' AS TABELA, '"&amp;UPPER(C502)&amp;"' AS TIPOLOGIA_TESTE,'"&amp;D502&amp;"' AS TABELA_LT,'N/A' AS TABELA_SIMUL,'"&amp;F502&amp;"' AS CAMPO, "&amp;"'${ref_date}' AS REF_DATE, COUNT(*) AS NUM_REG, SUM(IF(TRIM(CAST(X."&amp;F502&amp;" AS STRING)) IN ('N/A','11111111111','11111111111.00','11111111111.000000','1111-11-11'),1,0)) AS NUM_REG_DIF,'"&amp;MAX('ID1&amp;5'!K:K)+1&amp;"' AS ID_EXEC, CURRENT_TIMESTAMP() AS TIME_EXEC FROM "&amp;I502,
IF(C502="Valores extremos",+"SELECT '"&amp;UPPER(B502)&amp;"' AS TABELA, '"&amp;UPPER(C502)&amp;"' AS TIPOLOGIA_TESTE,'"&amp;D502&amp;"' AS TABELA_LT,'N/A' AS TABELA_SIMUL,'"&amp;F502&amp;"' AS CAMPO, "&amp;"'${ref_date}' AS REF_DATE, CAST(MIN("&amp;F502&amp;") AS STRING) AS VALOR_MIN, CAST(MAX("&amp;F502&amp;") AS STRING) AS VALOR_MAX,'"&amp;MAX('ID1&amp;5'!K:K)+1&amp;"' AS ID_EXEC, CURRENT_TIMESTAMP() AS TIME_EXEC FROM "&amp;MID(I502,1,LEN(I502)-2)&amp;" AND CAST("&amp;F502&amp;"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TABELA_SIMUL,'flg_chrnc_physcl_rsk' AS CAMPO, '${ref_date}' AS REF_DATE, COUNT(*) AS NUM_REG, SUM(IF(COALESCE(CAST(X.flg_chrnc_physcl_rsk AS STRING),'')&lt;&gt;COALESCE(CAST(Y.flg_chrnc_physcl_rsk_SIMUL AS STRING),'') OR (X.flg_chrnc_physcl_rsk IS NULL AND Y.flg_chrnc_physcl_rsk_SIMUL IS NOT NULL ) OR (X.flg_chrnc_physcl_rsk IS NOT NULL AND Y.flg_chrnc_physcl_rsk_SIMUL IS NULL),1,0)) AS NUM_REG_DIF,'1' AS ID_EXEC, CURRENT_TIMESTAMP() AS TIME_EXEC FROM (SELECT entty_id, flg_chrnc_physcl_rsk FROM BU_LOANTAPE_WORK.LT003_ENTITY WHERE ref_date='${ref_date}' AND nome_perimetro='Individual Local' AND segmento='ESTR' AND ambito='SRB_MBDT' AND entidade='00100')X INNER JOIN (SELECT entty_id AS entty_id_SIMUL, flg_chrnc_physcl_rsk AS flg_chrnc_physcl_rsk_SIMUL FROM BU_LOANTAPE_WORK.SIMUL_LT003_ENTITY WHERE ref_date='${ref_date}' AND nome_perimetro='Individual Local' AND segmento='ESTR' AND ambito='PILAR3' AND entidade='00100')Y ON X.ENTTY_ID=Y.ENTTY_ID_SIMUL</v>
      </c>
      <c r="M502" s="36" t="str">
        <f t="shared" si="10"/>
        <v>UNION ALL SELECT 'ENTITY' AS TABELA, 'COERÊNCIA' AS TIPOLOGIA_TESTE,'BU_LOANTAPE_WORK.LT003_ENTITY' AS TABELA_LT,'BU_LOANTAPE_WORK.SIMUL_LT003_ENTITY' AS TABELA_SIMUL,'flg_chrnc_physcl_rsk' AS CAMPO, '${ref_date}' AS REF_DATE, COUNT(*) AS NUM_REG, SUM(IF(COALESCE(CAST(X.flg_chrnc_physcl_rsk AS STRING),'')&lt;&gt;COALESCE(CAST(Y.flg_chrnc_physcl_rsk_SIMUL AS STRING),'') OR (X.flg_chrnc_physcl_rsk IS NULL AND Y.flg_chrnc_physcl_rsk_SIMUL IS NOT NULL ) OR (X.flg_chrnc_physcl_rsk IS NOT NULL AND Y.flg_chrnc_physcl_rsk_SIMUL IS NULL),1,0)) AS NUM_REG_DIF,'1' AS ID_EXEC, CURRENT_TIMESTAMP() AS TIME_EXEC FROM (SELECT entty_id, flg_chrnc_physcl_rsk FROM BU_LOANTAPE_WORK.LT003_ENTITY WHERE ref_date='${ref_date}' AND nome_perimetro='Individual Local' AND segmento='ESTR' AND ambito='SRB_MBDT' AND entidade='00100')X INNER JOIN (SELECT entty_id AS entty_id_SIMUL, flg_chrnc_physcl_rsk AS flg_chrnc_physcl_rsk_SIMUL FROM BU_LOANTAPE_WORK.SIMUL_LT003_ENTITY WHERE ref_date='${ref_date}' AND nome_perimetro='Individual Local' AND segmento='ESTR' AND ambito='PILAR3' AND entidade='00100')Y ON X.ENTTY_ID=Y.ENTTY_ID_SIMUL</v>
      </c>
    </row>
    <row r="503" spans="2:13">
      <c r="B503" s="34" t="s">
        <v>118</v>
      </c>
      <c r="C503" s="34" t="s">
        <v>5</v>
      </c>
      <c r="D503" s="34" t="str">
        <f>+UPPER('0. Instruções'!$D$35&amp;"."&amp;VLOOKUP(B503,'0. Instruções'!$C$27:$D$32,2,FALSE))</f>
        <v>BU_LOANTAPE_WORK.LT003_ENTITY</v>
      </c>
      <c r="E503" s="34" t="str">
        <f>+UPPER('0. Instruções'!$D$36&amp;"."&amp;VLOOKUP(B503,'0. Instruções'!$C$27:$E$32,3,FALSE))</f>
        <v>BU_LOANTAPE_WORK.SIMUL_LT003_ENTITY</v>
      </c>
      <c r="F503" s="34" t="s">
        <v>612</v>
      </c>
      <c r="G503" s="34"/>
      <c r="H503" s="34"/>
      <c r="I503" s="34" t="str">
        <f>"(SELECT "&amp;VLOOKUP(B503,'0. Instruções'!$C$27:$G$32,4,FALSE)&amp;", "&amp;F503&amp;" FROM "&amp;D503&amp;" WHERE "&amp;'0. Instruções'!$D$42&amp;")X"</f>
        <v>(SELECT entty_id, pst_cd FROM BU_LOANTAPE_WORK.LT003_ENTITY WHERE ref_date='${ref_date}' AND nome_perimetro='Individual Local' AND segmento='ESTR' AND ambito='SRB_MBDT' AND entidade='00100')X</v>
      </c>
      <c r="J503" s="34" t="str">
        <f>"(SELECT "&amp;VLOOKUP(B503,'0. Instruções'!$C$27:$G$32,4,FALSE)&amp;" AS "&amp;VLOOKUP(B503,'0. Instruções'!$C$27:$G$32,4,FALSE)&amp;"_SIMUL, "&amp;F503&amp;" AS "&amp;F503&amp;"_SIMUL FROM "&amp;E503&amp;" WHERE "&amp;'0. Instruções'!$D$43&amp;")Y"</f>
        <v>(SELECT entty_id AS entty_id_SIMUL, pst_cd AS pst_cd_SIMUL FROM BU_LOANTAPE_WORK.SIMUL_LT003_ENTITY WHERE ref_date='${ref_date}' AND nome_perimetro='Individual Local' AND segmento='ESTR' AND ambito='PILAR3' AND entidade='00100')Y</v>
      </c>
      <c r="K503" s="35" t="str">
        <f>+UPPER("ON X."&amp;VLOOKUP(B503,'0. Instruções'!$C$27:$G$32,4,FALSE)&amp;"=Y."&amp;VLOOKUP(B503,'0. Instruções'!$C$27:$G$32,4,FALSE)&amp;"_SIMUL")</f>
        <v>ON X.ENTTY_ID=Y.ENTTY_ID_SIMUL</v>
      </c>
      <c r="L503" s="35" t="str">
        <f>+IF(C503="Coerência", +IF(LEFT(G503,5)="FLOAT","SELECT '"&amp;UPPER(B503)&amp;"' AS TABELA, '"&amp;UPPER(C503)&amp;"' AS TIPOLOGIA_TESTE,'"&amp;D503&amp;"' AS TABELA_LT,'"&amp;E503&amp;"' AS TABELA_SIMUL,'"&amp;F503&amp;"' AS CAMPO, "&amp;"'${ref_date}' AS REF_DATE, COUNT(*) AS NUM_REG, SUM(IF((ABS(COALESCE(CAST(X."&amp;F503&amp;" AS DECIMAL(18,6)),0)-COALESCE(CAST(Y."&amp;F503&amp;"_SIMUL AS DECIMAL(18,6)),0))&gt;0.000001) OR (X."&amp;F503&amp;" IS NULL AND Y."&amp;F503&amp;"_SIMUL IS NOT NULL ) OR (X."&amp;F503&amp;" IS NOT NULL AND Y."&amp;F503&amp;"_SIMUL IS NULL),1,0)) AS NUM_REG_DIF,'"&amp;MAX('ID1&amp;5'!K:K)+1&amp;"' AS ID_EXEC, CURRENT_TIMESTAMP() AS TIME_EXEC FROM "&amp;I503&amp;" INNER JOIN "&amp;J503&amp;" "&amp;K503,"SELECT '"&amp;UPPER(B503)&amp;"' AS TABELA, '"&amp;UPPER(C503)&amp;"' AS TIPOLOGIA_TESTE,'"&amp;D503&amp;"' AS TABELA_LT,'"&amp;E503&amp;"' AS TABELA_SIMUL,'"&amp;F503&amp;"' AS CAMPO, "&amp;"'${ref_date}' AS REF_DATE, COUNT(*) AS NUM_REG, SUM(IF(COALESCE(CAST(X."&amp;F503&amp;" AS STRING),'')&lt;&gt;COALESCE(CAST(Y."&amp;F503&amp;"_SIMUL AS STRING),'') OR (X."&amp;F503&amp;" IS NULL AND Y."&amp;F503&amp;"_SIMUL IS NOT NULL ) OR (X."&amp;F503&amp;" IS NOT NULL AND Y."&amp;F503&amp;"_SIMUL IS NULL),1,0)) AS NUM_REG_DIF,'"&amp;MAX('ID1&amp;5'!L:L)+1&amp;"' AS ID_EXEC, CURRENT_TIMESTAMP() AS TIME_EXEC FROM "&amp;I503&amp;" INNER JOIN "&amp;J503&amp;" "&amp;K503),
IF(C503="Validade",+IF(G503="Code List","SELECT '"&amp;UPPER(B503)&amp;"' AS TABELA, '"&amp;UPPER(C503)&amp;"' AS TIPOLOGIA_TESTE,'"&amp;D503&amp;"' AS TABELA_LT,'N/A' AS TABELA_SIMUL,'"&amp;F503&amp;"' AS CAMPO, "&amp;"'${ref_date}' AS REF_DATE, COUNT(*) AS NUM_REG, SUM(IF(TRIM(CAST(X."&amp;F503&amp;" AS STRING))='' OR TRIM(CAST(X."&amp;F503&amp;" AS STRING)) IS NULL OR CAST(X."&amp;F503&amp;" AS STRING) NOT "&amp;H503&amp;",1,0)) AS NUM_REG_DIF,'"&amp;MAX('ID1&amp;5'!K:K)+1&amp;"' AS ID_EXEC, CURRENT_TIMESTAMP() AS TIME_EXEC FROM "&amp;I503,"SELECT '"&amp;UPPER(B503)&amp;"' AS TABELA, '"&amp;UPPER(C503)&amp;"' AS TIPOLOGIA_TESTE,'"&amp;D503&amp;"' AS TABELA_LT,'N/A' AS TABELA_SIMUL,'"&amp;F503&amp;"' AS CAMPO, "&amp;"'${ref_date}' AS REF_DATE, COUNT(*) AS NUM_REG, SUM(IF(TRIM(CAST(X."&amp;F503&amp;" AS STRING))='' OR TRIM(CAST(X."&amp;F503&amp;" AS STRING)) IS NULL,1,0)) AS NUM_REG_DIF,'"&amp;MAX('ID1&amp;5'!K:K)+1&amp;"' AS ID_EXEC, CURRENT_TIMESTAMP() AS TIME_EXEC FROM "&amp;I503),
IF(C503="Caracteres Especiais",+"SELECT '"&amp;UPPER(B503)&amp;"' AS TABELA, '"&amp;UPPER(C503)&amp;"' AS TIPOLOGIA_TESTE,'"&amp;D503&amp;"' AS TABELA_LT,'N/A' AS TABELA_SIMUL,'"&amp;F503&amp;"' AS CAMPO, "&amp;"'${ref_date}' AS REF_DATE, COUNT(*) AS NUM_REG, SUM(IF(REGEXP_REPLACE(TRIM(CAST(X."&amp;F503&amp;" AS STRING)),'[^a-zA-Z0-9_\\s]','') &lt;&gt;TRIM(CAST(X."&amp;F503&amp;" AS STRING)),1,0)) AS NUM_REG_DIF,'"&amp;MAX('ID1&amp;5'!K:K)+1&amp;"' AS ID_EXEC, CURRENT_TIMESTAMP() AS TIME_EXEC FROM "&amp;I503,
IF(C503="Missings",+"SELECT '"&amp;UPPER(B503)&amp;"' AS TABELA, '"&amp;UPPER(C503)&amp;"' AS TIPOLOGIA_TESTE,'"&amp;D503&amp;"' AS TABELA_LT,'N/A' AS TABELA_SIMUL,'"&amp;F503&amp;"' AS CAMPO, "&amp;"'${ref_date}' AS REF_DATE, COUNT(*) AS NUM_REG, SUM(IF(TRIM(CAST(X."&amp;F503&amp;" AS STRING)) IN ('0000-00-00','0001-01-01','9999-12-31','MISS','00000','99999999999','99999999999.00','99999999999.000000'),1,0)) AS NUM_REG_DIF,'"&amp;MAX('ID1&amp;5'!K:K)+1&amp;"' AS ID_EXEC, CURRENT_TIMESTAMP() AS TIME_EXEC FROM "&amp;I503,
IF(C503="Not applicable",+"SELECT '"&amp;UPPER(B503)&amp;"' AS TABELA, '"&amp;UPPER(C503)&amp;"' AS TIPOLOGIA_TESTE,'"&amp;D503&amp;"' AS TABELA_LT,'N/A' AS TABELA_SIMUL,'"&amp;F503&amp;"' AS CAMPO, "&amp;"'${ref_date}' AS REF_DATE, COUNT(*) AS NUM_REG, SUM(IF(TRIM(CAST(X."&amp;F503&amp;" AS STRING)) IN ('N/A','11111111111','11111111111.00','11111111111.000000','1111-11-11'),1,0)) AS NUM_REG_DIF,'"&amp;MAX('ID1&amp;5'!K:K)+1&amp;"' AS ID_EXEC, CURRENT_TIMESTAMP() AS TIME_EXEC FROM "&amp;I503,
IF(C503="Valores extremos",+"SELECT '"&amp;UPPER(B503)&amp;"' AS TABELA, '"&amp;UPPER(C503)&amp;"' AS TIPOLOGIA_TESTE,'"&amp;D503&amp;"' AS TABELA_LT,'N/A' AS TABELA_SIMUL,'"&amp;F503&amp;"' AS CAMPO, "&amp;"'${ref_date}' AS REF_DATE, CAST(MIN("&amp;F503&amp;") AS STRING) AS VALOR_MIN, CAST(MAX("&amp;F503&amp;") AS STRING) AS VALOR_MAX,'"&amp;MAX('ID1&amp;5'!K:K)+1&amp;"' AS ID_EXEC, CURRENT_TIMESTAMP() AS TIME_EXEC FROM "&amp;MID(I503,1,LEN(I503)-2)&amp;" AND CAST("&amp;F503&amp;"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TABELA_SIMUL,'pst_cd' AS CAMPO, '${ref_date}' AS REF_DATE, COUNT(*) AS NUM_REG, SUM(IF(COALESCE(CAST(X.pst_cd AS STRING),'')&lt;&gt;COALESCE(CAST(Y.pst_cd_SIMUL AS STRING),'') OR (X.pst_cd IS NULL AND Y.pst_cd_SIMUL IS NOT NULL ) OR (X.pst_cd IS NOT NULL AND Y.pst_cd_SIMUL IS NULL),1,0)) AS NUM_REG_DIF,'1' AS ID_EXEC, CURRENT_TIMESTAMP() AS TIME_EXEC FROM (SELECT entty_id, pst_cd FROM BU_LOANTAPE_WORK.LT003_ENTITY WHERE ref_date='${ref_date}' AND nome_perimetro='Individual Local' AND segmento='ESTR' AND ambito='SRB_MBDT' AND entidade='00100')X INNER JOIN (SELECT entty_id AS entty_id_SIMUL, pst_cd AS pst_cd_SIMUL FROM BU_LOANTAPE_WORK.SIMUL_LT003_ENTITY WHERE ref_date='${ref_date}' AND nome_perimetro='Individual Local' AND segmento='ESTR' AND ambito='PILAR3' AND entidade='00100')Y ON X.ENTTY_ID=Y.ENTTY_ID_SIMUL</v>
      </c>
      <c r="M503" s="36" t="str">
        <f t="shared" si="10"/>
        <v>UNION ALL SELECT 'ENTITY' AS TABELA, 'COERÊNCIA' AS TIPOLOGIA_TESTE,'BU_LOANTAPE_WORK.LT003_ENTITY' AS TABELA_LT,'BU_LOANTAPE_WORK.SIMUL_LT003_ENTITY' AS TABELA_SIMUL,'pst_cd' AS CAMPO, '${ref_date}' AS REF_DATE, COUNT(*) AS NUM_REG, SUM(IF(COALESCE(CAST(X.pst_cd AS STRING),'')&lt;&gt;COALESCE(CAST(Y.pst_cd_SIMUL AS STRING),'') OR (X.pst_cd IS NULL AND Y.pst_cd_SIMUL IS NOT NULL ) OR (X.pst_cd IS NOT NULL AND Y.pst_cd_SIMUL IS NULL),1,0)) AS NUM_REG_DIF,'1' AS ID_EXEC, CURRENT_TIMESTAMP() AS TIME_EXEC FROM (SELECT entty_id, pst_cd FROM BU_LOANTAPE_WORK.LT003_ENTITY WHERE ref_date='${ref_date}' AND nome_perimetro='Individual Local' AND segmento='ESTR' AND ambito='SRB_MBDT' AND entidade='00100')X INNER JOIN (SELECT entty_id AS entty_id_SIMUL, pst_cd AS pst_cd_SIMUL FROM BU_LOANTAPE_WORK.SIMUL_LT003_ENTITY WHERE ref_date='${ref_date}' AND nome_perimetro='Individual Local' AND segmento='ESTR' AND ambito='PILAR3' AND entidade='00100')Y ON X.ENTTY_ID=Y.ENTTY_ID_SIMUL</v>
      </c>
    </row>
    <row r="504" spans="2:13">
      <c r="B504" s="34" t="s">
        <v>118</v>
      </c>
      <c r="C504" s="34" t="s">
        <v>5</v>
      </c>
      <c r="D504" s="34" t="str">
        <f>+UPPER('0. Instruções'!$D$35&amp;"."&amp;VLOOKUP(B504,'0. Instruções'!$C$27:$D$32,2,FALSE))</f>
        <v>BU_LOANTAPE_WORK.LT003_ENTITY</v>
      </c>
      <c r="E504" s="34" t="str">
        <f>+UPPER('0. Instruções'!$D$36&amp;"."&amp;VLOOKUP(B504,'0. Instruções'!$C$27:$E$32,3,FALSE))</f>
        <v>BU_LOANTAPE_WORK.SIMUL_LT003_ENTITY</v>
      </c>
      <c r="F504" s="34" t="s">
        <v>684</v>
      </c>
      <c r="G504" s="34"/>
      <c r="H504" s="34"/>
      <c r="I504" s="34" t="str">
        <f>"(SELECT "&amp;VLOOKUP(B504,'0. Instruções'!$C$27:$G$32,4,FALSE)&amp;", "&amp;F504&amp;" FROM "&amp;D504&amp;" WHERE "&amp;'0. Instruções'!$D$42&amp;")X"</f>
        <v>(SELECT entty_id, esg_sbsctr FROM BU_LOANTAPE_WORK.LT003_ENTITY WHERE ref_date='${ref_date}' AND nome_perimetro='Individual Local' AND segmento='ESTR' AND ambito='SRB_MBDT' AND entidade='00100')X</v>
      </c>
      <c r="J504" s="34" t="str">
        <f>"(SELECT "&amp;VLOOKUP(B504,'0. Instruções'!$C$27:$G$32,4,FALSE)&amp;" AS "&amp;VLOOKUP(B504,'0. Instruções'!$C$27:$G$32,4,FALSE)&amp;"_SIMUL, "&amp;F504&amp;" AS "&amp;F504&amp;"_SIMUL FROM "&amp;E504&amp;" WHERE "&amp;'0. Instruções'!$D$43&amp;")Y"</f>
        <v>(SELECT entty_id AS entty_id_SIMUL, esg_sbsctr AS esg_sbsctr_SIMUL FROM BU_LOANTAPE_WORK.SIMUL_LT003_ENTITY WHERE ref_date='${ref_date}' AND nome_perimetro='Individual Local' AND segmento='ESTR' AND ambito='PILAR3' AND entidade='00100')Y</v>
      </c>
      <c r="K504" s="35" t="str">
        <f>+UPPER("ON X."&amp;VLOOKUP(B504,'0. Instruções'!$C$27:$G$32,4,FALSE)&amp;"=Y."&amp;VLOOKUP(B504,'0. Instruções'!$C$27:$G$32,4,FALSE)&amp;"_SIMUL")</f>
        <v>ON X.ENTTY_ID=Y.ENTTY_ID_SIMUL</v>
      </c>
      <c r="L504" s="35" t="str">
        <f>+IF(C504="Coerência", +IF(LEFT(G504,5)="FLOAT","SELECT '"&amp;UPPER(B504)&amp;"' AS TABELA, '"&amp;UPPER(C504)&amp;"' AS TIPOLOGIA_TESTE,'"&amp;D504&amp;"' AS TABELA_LT,'"&amp;E504&amp;"' AS TABELA_SIMUL,'"&amp;F504&amp;"' AS CAMPO, "&amp;"'${ref_date}' AS REF_DATE, COUNT(*) AS NUM_REG, SUM(IF((ABS(COALESCE(CAST(X."&amp;F504&amp;" AS DECIMAL(18,6)),0)-COALESCE(CAST(Y."&amp;F504&amp;"_SIMUL AS DECIMAL(18,6)),0))&gt;0.000001) OR (X."&amp;F504&amp;" IS NULL AND Y."&amp;F504&amp;"_SIMUL IS NOT NULL ) OR (X."&amp;F504&amp;" IS NOT NULL AND Y."&amp;F504&amp;"_SIMUL IS NULL),1,0)) AS NUM_REG_DIF,'"&amp;MAX('ID1&amp;5'!K:K)+1&amp;"' AS ID_EXEC, CURRENT_TIMESTAMP() AS TIME_EXEC FROM "&amp;I504&amp;" INNER JOIN "&amp;J504&amp;" "&amp;K504,"SELECT '"&amp;UPPER(B504)&amp;"' AS TABELA, '"&amp;UPPER(C504)&amp;"' AS TIPOLOGIA_TESTE,'"&amp;D504&amp;"' AS TABELA_LT,'"&amp;E504&amp;"' AS TABELA_SIMUL,'"&amp;F504&amp;"' AS CAMPO, "&amp;"'${ref_date}' AS REF_DATE, COUNT(*) AS NUM_REG, SUM(IF(COALESCE(CAST(X."&amp;F504&amp;" AS STRING),'')&lt;&gt;COALESCE(CAST(Y."&amp;F504&amp;"_SIMUL AS STRING),'') OR (X."&amp;F504&amp;" IS NULL AND Y."&amp;F504&amp;"_SIMUL IS NOT NULL ) OR (X."&amp;F504&amp;" IS NOT NULL AND Y."&amp;F504&amp;"_SIMUL IS NULL),1,0)) AS NUM_REG_DIF,'"&amp;MAX('ID1&amp;5'!L:L)+1&amp;"' AS ID_EXEC, CURRENT_TIMESTAMP() AS TIME_EXEC FROM "&amp;I504&amp;" INNER JOIN "&amp;J504&amp;" "&amp;K504),
IF(C504="Validade",+IF(G504="Code List","SELECT '"&amp;UPPER(B504)&amp;"' AS TABELA, '"&amp;UPPER(C504)&amp;"' AS TIPOLOGIA_TESTE,'"&amp;D504&amp;"' AS TABELA_LT,'N/A' AS TABELA_SIMUL,'"&amp;F504&amp;"' AS CAMPO, "&amp;"'${ref_date}' AS REF_DATE, COUNT(*) AS NUM_REG, SUM(IF(TRIM(CAST(X."&amp;F504&amp;" AS STRING))='' OR TRIM(CAST(X."&amp;F504&amp;" AS STRING)) IS NULL OR CAST(X."&amp;F504&amp;" AS STRING) NOT "&amp;H504&amp;",1,0)) AS NUM_REG_DIF,'"&amp;MAX('ID1&amp;5'!K:K)+1&amp;"' AS ID_EXEC, CURRENT_TIMESTAMP() AS TIME_EXEC FROM "&amp;I504,"SELECT '"&amp;UPPER(B504)&amp;"' AS TABELA, '"&amp;UPPER(C504)&amp;"' AS TIPOLOGIA_TESTE,'"&amp;D504&amp;"' AS TABELA_LT,'N/A' AS TABELA_SIMUL,'"&amp;F504&amp;"' AS CAMPO, "&amp;"'${ref_date}' AS REF_DATE, COUNT(*) AS NUM_REG, SUM(IF(TRIM(CAST(X."&amp;F504&amp;" AS STRING))='' OR TRIM(CAST(X."&amp;F504&amp;" AS STRING)) IS NULL,1,0)) AS NUM_REG_DIF,'"&amp;MAX('ID1&amp;5'!K:K)+1&amp;"' AS ID_EXEC, CURRENT_TIMESTAMP() AS TIME_EXEC FROM "&amp;I504),
IF(C504="Caracteres Especiais",+"SELECT '"&amp;UPPER(B504)&amp;"' AS TABELA, '"&amp;UPPER(C504)&amp;"' AS TIPOLOGIA_TESTE,'"&amp;D504&amp;"' AS TABELA_LT,'N/A' AS TABELA_SIMUL,'"&amp;F504&amp;"' AS CAMPO, "&amp;"'${ref_date}' AS REF_DATE, COUNT(*) AS NUM_REG, SUM(IF(REGEXP_REPLACE(TRIM(CAST(X."&amp;F504&amp;" AS STRING)),'[^a-zA-Z0-9_\\s]','') &lt;&gt;TRIM(CAST(X."&amp;F504&amp;" AS STRING)),1,0)) AS NUM_REG_DIF,'"&amp;MAX('ID1&amp;5'!K:K)+1&amp;"' AS ID_EXEC, CURRENT_TIMESTAMP() AS TIME_EXEC FROM "&amp;I504,
IF(C504="Missings",+"SELECT '"&amp;UPPER(B504)&amp;"' AS TABELA, '"&amp;UPPER(C504)&amp;"' AS TIPOLOGIA_TESTE,'"&amp;D504&amp;"' AS TABELA_LT,'N/A' AS TABELA_SIMUL,'"&amp;F504&amp;"' AS CAMPO, "&amp;"'${ref_date}' AS REF_DATE, COUNT(*) AS NUM_REG, SUM(IF(TRIM(CAST(X."&amp;F504&amp;" AS STRING)) IN ('0000-00-00','0001-01-01','9999-12-31','MISS','00000','99999999999','99999999999.00','99999999999.000000'),1,0)) AS NUM_REG_DIF,'"&amp;MAX('ID1&amp;5'!K:K)+1&amp;"' AS ID_EXEC, CURRENT_TIMESTAMP() AS TIME_EXEC FROM "&amp;I504,
IF(C504="Not applicable",+"SELECT '"&amp;UPPER(B504)&amp;"' AS TABELA, '"&amp;UPPER(C504)&amp;"' AS TIPOLOGIA_TESTE,'"&amp;D504&amp;"' AS TABELA_LT,'N/A' AS TABELA_SIMUL,'"&amp;F504&amp;"' AS CAMPO, "&amp;"'${ref_date}' AS REF_DATE, COUNT(*) AS NUM_REG, SUM(IF(TRIM(CAST(X."&amp;F504&amp;" AS STRING)) IN ('N/A','11111111111','11111111111.00','11111111111.000000','1111-11-11'),1,0)) AS NUM_REG_DIF,'"&amp;MAX('ID1&amp;5'!K:K)+1&amp;"' AS ID_EXEC, CURRENT_TIMESTAMP() AS TIME_EXEC FROM "&amp;I504,
IF(C504="Valores extremos",+"SELECT '"&amp;UPPER(B504)&amp;"' AS TABELA, '"&amp;UPPER(C504)&amp;"' AS TIPOLOGIA_TESTE,'"&amp;D504&amp;"' AS TABELA_LT,'N/A' AS TABELA_SIMUL,'"&amp;F504&amp;"' AS CAMPO, "&amp;"'${ref_date}' AS REF_DATE, CAST(MIN("&amp;F504&amp;") AS STRING) AS VALOR_MIN, CAST(MAX("&amp;F504&amp;") AS STRING) AS VALOR_MAX,'"&amp;MAX('ID1&amp;5'!K:K)+1&amp;"' AS ID_EXEC, CURRENT_TIMESTAMP() AS TIME_EXEC FROM "&amp;MID(I504,1,LEN(I504)-2)&amp;" AND CAST("&amp;F504&amp;"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TABELA_SIMUL,'esg_sbsctr' AS CAMPO, '${ref_date}' AS REF_DATE, COUNT(*) AS NUM_REG, SUM(IF(COALESCE(CAST(X.esg_sbsctr AS STRING),'')&lt;&gt;COALESCE(CAST(Y.esg_sbsctr_SIMUL AS STRING),'') OR (X.esg_sbsctr IS NULL AND Y.esg_sbsctr_SIMUL IS NOT NULL ) OR (X.esg_sbsctr IS NOT NULL AND Y.esg_sbsctr_SIMUL IS NULL),1,0)) AS NUM_REG_DIF,'1' AS ID_EXEC, CURRENT_TIMESTAMP() AS TIME_EXEC FROM (SELECT entty_id, esg_sbsctr FROM BU_LOANTAPE_WORK.LT003_ENTITY WHERE ref_date='${ref_date}' AND nome_perimetro='Individual Local' AND segmento='ESTR' AND ambito='SRB_MBDT' AND entidade='00100')X INNER JOIN (SELECT entty_id AS entty_id_SIMUL, esg_sbsctr AS esg_sbsctr_SIMUL FROM BU_LOANTAPE_WORK.SIMUL_LT003_ENTITY WHERE ref_date='${ref_date}' AND nome_perimetro='Individual Local' AND segmento='ESTR' AND ambito='PILAR3' AND entidade='00100')Y ON X.ENTTY_ID=Y.ENTTY_ID_SIMUL</v>
      </c>
      <c r="M504" s="36" t="str">
        <f t="shared" ref="M504:M558" si="11">+"UNION ALL "&amp;L504</f>
        <v>UNION ALL SELECT 'ENTITY' AS TABELA, 'COERÊNCIA' AS TIPOLOGIA_TESTE,'BU_LOANTAPE_WORK.LT003_ENTITY' AS TABELA_LT,'BU_LOANTAPE_WORK.SIMUL_LT003_ENTITY' AS TABELA_SIMUL,'esg_sbsctr' AS CAMPO, '${ref_date}' AS REF_DATE, COUNT(*) AS NUM_REG, SUM(IF(COALESCE(CAST(X.esg_sbsctr AS STRING),'')&lt;&gt;COALESCE(CAST(Y.esg_sbsctr_SIMUL AS STRING),'') OR (X.esg_sbsctr IS NULL AND Y.esg_sbsctr_SIMUL IS NOT NULL ) OR (X.esg_sbsctr IS NOT NULL AND Y.esg_sbsctr_SIMUL IS NULL),1,0)) AS NUM_REG_DIF,'1' AS ID_EXEC, CURRENT_TIMESTAMP() AS TIME_EXEC FROM (SELECT entty_id, esg_sbsctr FROM BU_LOANTAPE_WORK.LT003_ENTITY WHERE ref_date='${ref_date}' AND nome_perimetro='Individual Local' AND segmento='ESTR' AND ambito='SRB_MBDT' AND entidade='00100')X INNER JOIN (SELECT entty_id AS entty_id_SIMUL, esg_sbsctr AS esg_sbsctr_SIMUL FROM BU_LOANTAPE_WORK.SIMUL_LT003_ENTITY WHERE ref_date='${ref_date}' AND nome_perimetro='Individual Local' AND segmento='ESTR' AND ambito='PILAR3' AND entidade='00100')Y ON X.ENTTY_ID=Y.ENTTY_ID_SIMUL</v>
      </c>
    </row>
    <row r="505" spans="2:13">
      <c r="B505" s="34" t="s">
        <v>118</v>
      </c>
      <c r="C505" s="34" t="s">
        <v>5</v>
      </c>
      <c r="D505" s="34" t="str">
        <f>+UPPER('0. Instruções'!$D$35&amp;"."&amp;VLOOKUP(B505,'0. Instruções'!$C$27:$D$32,2,FALSE))</f>
        <v>BU_LOANTAPE_WORK.LT003_ENTITY</v>
      </c>
      <c r="E505" s="34" t="str">
        <f>+UPPER('0. Instruções'!$D$36&amp;"."&amp;VLOOKUP(B505,'0. Instruções'!$C$27:$E$32,3,FALSE))</f>
        <v>BU_LOANTAPE_WORK.SIMUL_LT003_ENTITY</v>
      </c>
      <c r="F505" s="34" t="s">
        <v>613</v>
      </c>
      <c r="G505" s="34"/>
      <c r="H505" s="34"/>
      <c r="I505" s="34" t="str">
        <f>"(SELECT "&amp;VLOOKUP(B505,'0. Instruções'!$C$27:$G$32,4,FALSE)&amp;", "&amp;F505&amp;" FROM "&amp;D505&amp;" WHERE "&amp;'0. Instruções'!$D$42&amp;")X"</f>
        <v>(SELECT entty_id, ttl_lblty FROM BU_LOANTAPE_WORK.LT003_ENTITY WHERE ref_date='${ref_date}' AND nome_perimetro='Individual Local' AND segmento='ESTR' AND ambito='SRB_MBDT' AND entidade='00100')X</v>
      </c>
      <c r="J505" s="34" t="str">
        <f>"(SELECT "&amp;VLOOKUP(B505,'0. Instruções'!$C$27:$G$32,4,FALSE)&amp;" AS "&amp;VLOOKUP(B505,'0. Instruções'!$C$27:$G$32,4,FALSE)&amp;"_SIMUL, "&amp;F505&amp;" AS "&amp;F505&amp;"_SIMUL FROM "&amp;E505&amp;" WHERE "&amp;'0. Instruções'!$D$43&amp;")Y"</f>
        <v>(SELECT entty_id AS entty_id_SIMUL, ttl_lblty AS ttl_lblty_SIMUL FROM BU_LOANTAPE_WORK.SIMUL_LT003_ENTITY WHERE ref_date='${ref_date}' AND nome_perimetro='Individual Local' AND segmento='ESTR' AND ambito='PILAR3' AND entidade='00100')Y</v>
      </c>
      <c r="K505" s="35" t="str">
        <f>+UPPER("ON X."&amp;VLOOKUP(B505,'0. Instruções'!$C$27:$G$32,4,FALSE)&amp;"=Y."&amp;VLOOKUP(B505,'0. Instruções'!$C$27:$G$32,4,FALSE)&amp;"_SIMUL")</f>
        <v>ON X.ENTTY_ID=Y.ENTTY_ID_SIMUL</v>
      </c>
      <c r="L505" s="35" t="str">
        <f>+IF(C505="Coerência", +IF(LEFT(G505,5)="FLOAT","SELECT '"&amp;UPPER(B505)&amp;"' AS TABELA, '"&amp;UPPER(C505)&amp;"' AS TIPOLOGIA_TESTE,'"&amp;D505&amp;"' AS TABELA_LT,'"&amp;E505&amp;"' AS TABELA_SIMUL,'"&amp;F505&amp;"' AS CAMPO, "&amp;"'${ref_date}' AS REF_DATE, COUNT(*) AS NUM_REG, SUM(IF((ABS(COALESCE(CAST(X."&amp;F505&amp;" AS DECIMAL(18,6)),0)-COALESCE(CAST(Y."&amp;F505&amp;"_SIMUL AS DECIMAL(18,6)),0))&gt;0.000001) OR (X."&amp;F505&amp;" IS NULL AND Y."&amp;F505&amp;"_SIMUL IS NOT NULL ) OR (X."&amp;F505&amp;" IS NOT NULL AND Y."&amp;F505&amp;"_SIMUL IS NULL),1,0)) AS NUM_REG_DIF,'"&amp;MAX('ID1&amp;5'!K:K)+1&amp;"' AS ID_EXEC, CURRENT_TIMESTAMP() AS TIME_EXEC FROM "&amp;I505&amp;" INNER JOIN "&amp;J505&amp;" "&amp;K505,"SELECT '"&amp;UPPER(B505)&amp;"' AS TABELA, '"&amp;UPPER(C505)&amp;"' AS TIPOLOGIA_TESTE,'"&amp;D505&amp;"' AS TABELA_LT,'"&amp;E505&amp;"' AS TABELA_SIMUL,'"&amp;F505&amp;"' AS CAMPO, "&amp;"'${ref_date}' AS REF_DATE, COUNT(*) AS NUM_REG, SUM(IF(COALESCE(CAST(X."&amp;F505&amp;" AS STRING),'')&lt;&gt;COALESCE(CAST(Y."&amp;F505&amp;"_SIMUL AS STRING),'') OR (X."&amp;F505&amp;" IS NULL AND Y."&amp;F505&amp;"_SIMUL IS NOT NULL ) OR (X."&amp;F505&amp;" IS NOT NULL AND Y."&amp;F505&amp;"_SIMUL IS NULL),1,0)) AS NUM_REG_DIF,'"&amp;MAX('ID1&amp;5'!L:L)+1&amp;"' AS ID_EXEC, CURRENT_TIMESTAMP() AS TIME_EXEC FROM "&amp;I505&amp;" INNER JOIN "&amp;J505&amp;" "&amp;K505),
IF(C505="Validade",+IF(G505="Code List","SELECT '"&amp;UPPER(B505)&amp;"' AS TABELA, '"&amp;UPPER(C505)&amp;"' AS TIPOLOGIA_TESTE,'"&amp;D505&amp;"' AS TABELA_LT,'N/A' AS TABELA_SIMUL,'"&amp;F505&amp;"' AS CAMPO, "&amp;"'${ref_date}' AS REF_DATE, COUNT(*) AS NUM_REG, SUM(IF(TRIM(CAST(X."&amp;F505&amp;" AS STRING))='' OR TRIM(CAST(X."&amp;F505&amp;" AS STRING)) IS NULL OR CAST(X."&amp;F505&amp;" AS STRING) NOT "&amp;H505&amp;",1,0)) AS NUM_REG_DIF,'"&amp;MAX('ID1&amp;5'!K:K)+1&amp;"' AS ID_EXEC, CURRENT_TIMESTAMP() AS TIME_EXEC FROM "&amp;I505,"SELECT '"&amp;UPPER(B505)&amp;"' AS TABELA, '"&amp;UPPER(C505)&amp;"' AS TIPOLOGIA_TESTE,'"&amp;D505&amp;"' AS TABELA_LT,'N/A' AS TABELA_SIMUL,'"&amp;F505&amp;"' AS CAMPO, "&amp;"'${ref_date}' AS REF_DATE, COUNT(*) AS NUM_REG, SUM(IF(TRIM(CAST(X."&amp;F505&amp;" AS STRING))='' OR TRIM(CAST(X."&amp;F505&amp;" AS STRING)) IS NULL,1,0)) AS NUM_REG_DIF,'"&amp;MAX('ID1&amp;5'!K:K)+1&amp;"' AS ID_EXEC, CURRENT_TIMESTAMP() AS TIME_EXEC FROM "&amp;I505),
IF(C505="Caracteres Especiais",+"SELECT '"&amp;UPPER(B505)&amp;"' AS TABELA, '"&amp;UPPER(C505)&amp;"' AS TIPOLOGIA_TESTE,'"&amp;D505&amp;"' AS TABELA_LT,'N/A' AS TABELA_SIMUL,'"&amp;F505&amp;"' AS CAMPO, "&amp;"'${ref_date}' AS REF_DATE, COUNT(*) AS NUM_REG, SUM(IF(REGEXP_REPLACE(TRIM(CAST(X."&amp;F505&amp;" AS STRING)),'[^a-zA-Z0-9_\\s]','') &lt;&gt;TRIM(CAST(X."&amp;F505&amp;" AS STRING)),1,0)) AS NUM_REG_DIF,'"&amp;MAX('ID1&amp;5'!K:K)+1&amp;"' AS ID_EXEC, CURRENT_TIMESTAMP() AS TIME_EXEC FROM "&amp;I505,
IF(C505="Missings",+"SELECT '"&amp;UPPER(B505)&amp;"' AS TABELA, '"&amp;UPPER(C505)&amp;"' AS TIPOLOGIA_TESTE,'"&amp;D505&amp;"' AS TABELA_LT,'N/A' AS TABELA_SIMUL,'"&amp;F505&amp;"' AS CAMPO, "&amp;"'${ref_date}' AS REF_DATE, COUNT(*) AS NUM_REG, SUM(IF(TRIM(CAST(X."&amp;F505&amp;" AS STRING)) IN ('0000-00-00','0001-01-01','9999-12-31','MISS','00000','99999999999','99999999999.00','99999999999.000000'),1,0)) AS NUM_REG_DIF,'"&amp;MAX('ID1&amp;5'!K:K)+1&amp;"' AS ID_EXEC, CURRENT_TIMESTAMP() AS TIME_EXEC FROM "&amp;I505,
IF(C505="Not applicable",+"SELECT '"&amp;UPPER(B505)&amp;"' AS TABELA, '"&amp;UPPER(C505)&amp;"' AS TIPOLOGIA_TESTE,'"&amp;D505&amp;"' AS TABELA_LT,'N/A' AS TABELA_SIMUL,'"&amp;F505&amp;"' AS CAMPO, "&amp;"'${ref_date}' AS REF_DATE, COUNT(*) AS NUM_REG, SUM(IF(TRIM(CAST(X."&amp;F505&amp;" AS STRING)) IN ('N/A','11111111111','11111111111.00','11111111111.000000','1111-11-11'),1,0)) AS NUM_REG_DIF,'"&amp;MAX('ID1&amp;5'!K:K)+1&amp;"' AS ID_EXEC, CURRENT_TIMESTAMP() AS TIME_EXEC FROM "&amp;I505,
IF(C505="Valores extremos",+"SELECT '"&amp;UPPER(B505)&amp;"' AS TABELA, '"&amp;UPPER(C505)&amp;"' AS TIPOLOGIA_TESTE,'"&amp;D505&amp;"' AS TABELA_LT,'N/A' AS TABELA_SIMUL,'"&amp;F505&amp;"' AS CAMPO, "&amp;"'${ref_date}' AS REF_DATE, CAST(MIN("&amp;F505&amp;") AS STRING) AS VALOR_MIN, CAST(MAX("&amp;F505&amp;") AS STRING) AS VALOR_MAX,'"&amp;MAX('ID1&amp;5'!K:K)+1&amp;"' AS ID_EXEC, CURRENT_TIMESTAMP() AS TIME_EXEC FROM "&amp;MID(I505,1,LEN(I505)-2)&amp;" AND CAST("&amp;F505&amp;"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TABELA_SIMUL,'ttl_lblty' AS CAMPO, '${ref_date}' AS REF_DATE, COUNT(*) AS NUM_REG, SUM(IF(COALESCE(CAST(X.ttl_lblty AS STRING),'')&lt;&gt;COALESCE(CAST(Y.ttl_lblty_SIMUL AS STRING),'') OR (X.ttl_lblty IS NULL AND Y.ttl_lblty_SIMUL IS NOT NULL ) OR (X.ttl_lblty IS NOT NULL AND Y.ttl_lblty_SIMUL IS NULL),1,0)) AS NUM_REG_DIF,'1' AS ID_EXEC, CURRENT_TIMESTAMP() AS TIME_EXEC FROM (SELECT entty_id, ttl_lblty FROM BU_LOANTAPE_WORK.LT003_ENTITY WHERE ref_date='${ref_date}' AND nome_perimetro='Individual Local' AND segmento='ESTR' AND ambito='SRB_MBDT' AND entidade='00100')X INNER JOIN (SELECT entty_id AS entty_id_SIMUL, ttl_lblty AS ttl_lblty_SIMUL FROM BU_LOANTAPE_WORK.SIMUL_LT003_ENTITY WHERE ref_date='${ref_date}' AND nome_perimetro='Individual Local' AND segmento='ESTR' AND ambito='PILAR3' AND entidade='00100')Y ON X.ENTTY_ID=Y.ENTTY_ID_SIMUL</v>
      </c>
      <c r="M505" s="36" t="str">
        <f t="shared" si="11"/>
        <v>UNION ALL SELECT 'ENTITY' AS TABELA, 'COERÊNCIA' AS TIPOLOGIA_TESTE,'BU_LOANTAPE_WORK.LT003_ENTITY' AS TABELA_LT,'BU_LOANTAPE_WORK.SIMUL_LT003_ENTITY' AS TABELA_SIMUL,'ttl_lblty' AS CAMPO, '${ref_date}' AS REF_DATE, COUNT(*) AS NUM_REG, SUM(IF(COALESCE(CAST(X.ttl_lblty AS STRING),'')&lt;&gt;COALESCE(CAST(Y.ttl_lblty_SIMUL AS STRING),'') OR (X.ttl_lblty IS NULL AND Y.ttl_lblty_SIMUL IS NOT NULL ) OR (X.ttl_lblty IS NOT NULL AND Y.ttl_lblty_SIMUL IS NULL),1,0)) AS NUM_REG_DIF,'1' AS ID_EXEC, CURRENT_TIMESTAMP() AS TIME_EXEC FROM (SELECT entty_id, ttl_lblty FROM BU_LOANTAPE_WORK.LT003_ENTITY WHERE ref_date='${ref_date}' AND nome_perimetro='Individual Local' AND segmento='ESTR' AND ambito='SRB_MBDT' AND entidade='00100')X INNER JOIN (SELECT entty_id AS entty_id_SIMUL, ttl_lblty AS ttl_lblty_SIMUL FROM BU_LOANTAPE_WORK.SIMUL_LT003_ENTITY WHERE ref_date='${ref_date}' AND nome_perimetro='Individual Local' AND segmento='ESTR' AND ambito='PILAR3' AND entidade='00100')Y ON X.ENTTY_ID=Y.ENTTY_ID_SIMUL</v>
      </c>
    </row>
    <row r="506" spans="2:13">
      <c r="B506" s="34" t="s">
        <v>118</v>
      </c>
      <c r="C506" s="34" t="s">
        <v>5</v>
      </c>
      <c r="D506" s="34" t="str">
        <f>+UPPER('0. Instruções'!$D$35&amp;"."&amp;VLOOKUP(B506,'0. Instruções'!$C$27:$D$32,2,FALSE))</f>
        <v>BU_LOANTAPE_WORK.LT003_ENTITY</v>
      </c>
      <c r="E506" s="34" t="str">
        <f>+UPPER('0. Instruções'!$D$36&amp;"."&amp;VLOOKUP(B506,'0. Instruções'!$C$27:$E$32,3,FALSE))</f>
        <v>BU_LOANTAPE_WORK.SIMUL_LT003_ENTITY</v>
      </c>
      <c r="F506" s="34" t="s">
        <v>614</v>
      </c>
      <c r="G506" s="34"/>
      <c r="H506" s="34"/>
      <c r="I506" s="34" t="str">
        <f>"(SELECT "&amp;VLOOKUP(B506,'0. Instruções'!$C$27:$G$32,4,FALSE)&amp;", "&amp;F506&amp;" FROM "&amp;D506&amp;" WHERE "&amp;'0. Instruções'!$D$42&amp;")X"</f>
        <v>(SELECT entty_id, isin FROM BU_LOANTAPE_WORK.LT003_ENTITY WHERE ref_date='${ref_date}' AND nome_perimetro='Individual Local' AND segmento='ESTR' AND ambito='SRB_MBDT' AND entidade='00100')X</v>
      </c>
      <c r="J506" s="34" t="str">
        <f>"(SELECT "&amp;VLOOKUP(B506,'0. Instruções'!$C$27:$G$32,4,FALSE)&amp;" AS "&amp;VLOOKUP(B506,'0. Instruções'!$C$27:$G$32,4,FALSE)&amp;"_SIMUL, "&amp;F506&amp;" AS "&amp;F506&amp;"_SIMUL FROM "&amp;E506&amp;" WHERE "&amp;'0. Instruções'!$D$43&amp;")Y"</f>
        <v>(SELECT entty_id AS entty_id_SIMUL, isin AS isin_SIMUL FROM BU_LOANTAPE_WORK.SIMUL_LT003_ENTITY WHERE ref_date='${ref_date}' AND nome_perimetro='Individual Local' AND segmento='ESTR' AND ambito='PILAR3' AND entidade='00100')Y</v>
      </c>
      <c r="K506" s="35" t="str">
        <f>+UPPER("ON X."&amp;VLOOKUP(B506,'0. Instruções'!$C$27:$G$32,4,FALSE)&amp;"=Y."&amp;VLOOKUP(B506,'0. Instruções'!$C$27:$G$32,4,FALSE)&amp;"_SIMUL")</f>
        <v>ON X.ENTTY_ID=Y.ENTTY_ID_SIMUL</v>
      </c>
      <c r="L506" s="35" t="str">
        <f>+IF(C506="Coerência", +IF(LEFT(G506,5)="FLOAT","SELECT '"&amp;UPPER(B506)&amp;"' AS TABELA, '"&amp;UPPER(C506)&amp;"' AS TIPOLOGIA_TESTE,'"&amp;D506&amp;"' AS TABELA_LT,'"&amp;E506&amp;"' AS TABELA_SIMUL,'"&amp;F506&amp;"' AS CAMPO, "&amp;"'${ref_date}' AS REF_DATE, COUNT(*) AS NUM_REG, SUM(IF((ABS(COALESCE(CAST(X."&amp;F506&amp;" AS DECIMAL(18,6)),0)-COALESCE(CAST(Y."&amp;F506&amp;"_SIMUL AS DECIMAL(18,6)),0))&gt;0.000001) OR (X."&amp;F506&amp;" IS NULL AND Y."&amp;F506&amp;"_SIMUL IS NOT NULL ) OR (X."&amp;F506&amp;" IS NOT NULL AND Y."&amp;F506&amp;"_SIMUL IS NULL),1,0)) AS NUM_REG_DIF,'"&amp;MAX('ID1&amp;5'!K:K)+1&amp;"' AS ID_EXEC, CURRENT_TIMESTAMP() AS TIME_EXEC FROM "&amp;I506&amp;" INNER JOIN "&amp;J506&amp;" "&amp;K506,"SELECT '"&amp;UPPER(B506)&amp;"' AS TABELA, '"&amp;UPPER(C506)&amp;"' AS TIPOLOGIA_TESTE,'"&amp;D506&amp;"' AS TABELA_LT,'"&amp;E506&amp;"' AS TABELA_SIMUL,'"&amp;F506&amp;"' AS CAMPO, "&amp;"'${ref_date}' AS REF_DATE, COUNT(*) AS NUM_REG, SUM(IF(COALESCE(CAST(X."&amp;F506&amp;" AS STRING),'')&lt;&gt;COALESCE(CAST(Y."&amp;F506&amp;"_SIMUL AS STRING),'') OR (X."&amp;F506&amp;" IS NULL AND Y."&amp;F506&amp;"_SIMUL IS NOT NULL ) OR (X."&amp;F506&amp;" IS NOT NULL AND Y."&amp;F506&amp;"_SIMUL IS NULL),1,0)) AS NUM_REG_DIF,'"&amp;MAX('ID1&amp;5'!L:L)+1&amp;"' AS ID_EXEC, CURRENT_TIMESTAMP() AS TIME_EXEC FROM "&amp;I506&amp;" INNER JOIN "&amp;J506&amp;" "&amp;K506),
IF(C506="Validade",+IF(G506="Code List","SELECT '"&amp;UPPER(B506)&amp;"' AS TABELA, '"&amp;UPPER(C506)&amp;"' AS TIPOLOGIA_TESTE,'"&amp;D506&amp;"' AS TABELA_LT,'N/A' AS TABELA_SIMUL,'"&amp;F506&amp;"' AS CAMPO, "&amp;"'${ref_date}' AS REF_DATE, COUNT(*) AS NUM_REG, SUM(IF(TRIM(CAST(X."&amp;F506&amp;" AS STRING))='' OR TRIM(CAST(X."&amp;F506&amp;" AS STRING)) IS NULL OR CAST(X."&amp;F506&amp;" AS STRING) NOT "&amp;H506&amp;",1,0)) AS NUM_REG_DIF,'"&amp;MAX('ID1&amp;5'!K:K)+1&amp;"' AS ID_EXEC, CURRENT_TIMESTAMP() AS TIME_EXEC FROM "&amp;I506,"SELECT '"&amp;UPPER(B506)&amp;"' AS TABELA, '"&amp;UPPER(C506)&amp;"' AS TIPOLOGIA_TESTE,'"&amp;D506&amp;"' AS TABELA_LT,'N/A' AS TABELA_SIMUL,'"&amp;F506&amp;"' AS CAMPO, "&amp;"'${ref_date}' AS REF_DATE, COUNT(*) AS NUM_REG, SUM(IF(TRIM(CAST(X."&amp;F506&amp;" AS STRING))='' OR TRIM(CAST(X."&amp;F506&amp;" AS STRING)) IS NULL,1,0)) AS NUM_REG_DIF,'"&amp;MAX('ID1&amp;5'!K:K)+1&amp;"' AS ID_EXEC, CURRENT_TIMESTAMP() AS TIME_EXEC FROM "&amp;I506),
IF(C506="Caracteres Especiais",+"SELECT '"&amp;UPPER(B506)&amp;"' AS TABELA, '"&amp;UPPER(C506)&amp;"' AS TIPOLOGIA_TESTE,'"&amp;D506&amp;"' AS TABELA_LT,'N/A' AS TABELA_SIMUL,'"&amp;F506&amp;"' AS CAMPO, "&amp;"'${ref_date}' AS REF_DATE, COUNT(*) AS NUM_REG, SUM(IF(REGEXP_REPLACE(TRIM(CAST(X."&amp;F506&amp;" AS STRING)),'[^a-zA-Z0-9_\\s]','') &lt;&gt;TRIM(CAST(X."&amp;F506&amp;" AS STRING)),1,0)) AS NUM_REG_DIF,'"&amp;MAX('ID1&amp;5'!K:K)+1&amp;"' AS ID_EXEC, CURRENT_TIMESTAMP() AS TIME_EXEC FROM "&amp;I506,
IF(C506="Missings",+"SELECT '"&amp;UPPER(B506)&amp;"' AS TABELA, '"&amp;UPPER(C506)&amp;"' AS TIPOLOGIA_TESTE,'"&amp;D506&amp;"' AS TABELA_LT,'N/A' AS TABELA_SIMUL,'"&amp;F506&amp;"' AS CAMPO, "&amp;"'${ref_date}' AS REF_DATE, COUNT(*) AS NUM_REG, SUM(IF(TRIM(CAST(X."&amp;F506&amp;" AS STRING)) IN ('0000-00-00','0001-01-01','9999-12-31','MISS','00000','99999999999','99999999999.00','99999999999.000000'),1,0)) AS NUM_REG_DIF,'"&amp;MAX('ID1&amp;5'!K:K)+1&amp;"' AS ID_EXEC, CURRENT_TIMESTAMP() AS TIME_EXEC FROM "&amp;I506,
IF(C506="Not applicable",+"SELECT '"&amp;UPPER(B506)&amp;"' AS TABELA, '"&amp;UPPER(C506)&amp;"' AS TIPOLOGIA_TESTE,'"&amp;D506&amp;"' AS TABELA_LT,'N/A' AS TABELA_SIMUL,'"&amp;F506&amp;"' AS CAMPO, "&amp;"'${ref_date}' AS REF_DATE, COUNT(*) AS NUM_REG, SUM(IF(TRIM(CAST(X."&amp;F506&amp;" AS STRING)) IN ('N/A','11111111111','11111111111.00','11111111111.000000','1111-11-11'),1,0)) AS NUM_REG_DIF,'"&amp;MAX('ID1&amp;5'!K:K)+1&amp;"' AS ID_EXEC, CURRENT_TIMESTAMP() AS TIME_EXEC FROM "&amp;I506,
IF(C506="Valores extremos",+"SELECT '"&amp;UPPER(B506)&amp;"' AS TABELA, '"&amp;UPPER(C506)&amp;"' AS TIPOLOGIA_TESTE,'"&amp;D506&amp;"' AS TABELA_LT,'N/A' AS TABELA_SIMUL,'"&amp;F506&amp;"' AS CAMPO, "&amp;"'${ref_date}' AS REF_DATE, CAST(MIN("&amp;F506&amp;") AS STRING) AS VALOR_MIN, CAST(MAX("&amp;F506&amp;") AS STRING) AS VALOR_MAX,'"&amp;MAX('ID1&amp;5'!K:K)+1&amp;"' AS ID_EXEC, CURRENT_TIMESTAMP() AS TIME_EXEC FROM "&amp;MID(I506,1,LEN(I506)-2)&amp;" AND CAST("&amp;F506&amp;"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TABELA_SIMUL,'isin' AS CAMPO, '${ref_date}' AS REF_DATE, COUNT(*) AS NUM_REG, SUM(IF(COALESCE(CAST(X.isin AS STRING),'')&lt;&gt;COALESCE(CAST(Y.isin_SIMUL AS STRING),'') OR (X.isin IS NULL AND Y.isin_SIMUL IS NOT NULL ) OR (X.isin IS NOT NULL AND Y.isin_SIMUL IS NULL),1,0)) AS NUM_REG_DIF,'1' AS ID_EXEC, CURRENT_TIMESTAMP() AS TIME_EXEC FROM (SELECT entty_id, isin FROM BU_LOANTAPE_WORK.LT003_ENTITY WHERE ref_date='${ref_date}' AND nome_perimetro='Individual Local' AND segmento='ESTR' AND ambito='SRB_MBDT' AND entidade='00100')X INNER JOIN (SELECT entty_id AS entty_id_SIMUL, isin AS isin_SIMUL FROM BU_LOANTAPE_WORK.SIMUL_LT003_ENTITY WHERE ref_date='${ref_date}' AND nome_perimetro='Individual Local' AND segmento='ESTR' AND ambito='PILAR3' AND entidade='00100')Y ON X.ENTTY_ID=Y.ENTTY_ID_SIMUL</v>
      </c>
      <c r="M506" s="36" t="str">
        <f t="shared" si="11"/>
        <v>UNION ALL SELECT 'ENTITY' AS TABELA, 'COERÊNCIA' AS TIPOLOGIA_TESTE,'BU_LOANTAPE_WORK.LT003_ENTITY' AS TABELA_LT,'BU_LOANTAPE_WORK.SIMUL_LT003_ENTITY' AS TABELA_SIMUL,'isin' AS CAMPO, '${ref_date}' AS REF_DATE, COUNT(*) AS NUM_REG, SUM(IF(COALESCE(CAST(X.isin AS STRING),'')&lt;&gt;COALESCE(CAST(Y.isin_SIMUL AS STRING),'') OR (X.isin IS NULL AND Y.isin_SIMUL IS NOT NULL ) OR (X.isin IS NOT NULL AND Y.isin_SIMUL IS NULL),1,0)) AS NUM_REG_DIF,'1' AS ID_EXEC, CURRENT_TIMESTAMP() AS TIME_EXEC FROM (SELECT entty_id, isin FROM BU_LOANTAPE_WORK.LT003_ENTITY WHERE ref_date='${ref_date}' AND nome_perimetro='Individual Local' AND segmento='ESTR' AND ambito='SRB_MBDT' AND entidade='00100')X INNER JOIN (SELECT entty_id AS entty_id_SIMUL, isin AS isin_SIMUL FROM BU_LOANTAPE_WORK.SIMUL_LT003_ENTITY WHERE ref_date='${ref_date}' AND nome_perimetro='Individual Local' AND segmento='ESTR' AND ambito='PILAR3' AND entidade='00100')Y ON X.ENTTY_ID=Y.ENTTY_ID_SIMUL</v>
      </c>
    </row>
    <row r="507" spans="2:13">
      <c r="B507" s="34" t="s">
        <v>118</v>
      </c>
      <c r="C507" s="34" t="s">
        <v>5</v>
      </c>
      <c r="D507" s="34" t="str">
        <f>+UPPER('0. Instruções'!$D$35&amp;"."&amp;VLOOKUP(B507,'0. Instruções'!$C$27:$D$32,2,FALSE))</f>
        <v>BU_LOANTAPE_WORK.LT003_ENTITY</v>
      </c>
      <c r="E507" s="34" t="str">
        <f>+UPPER('0. Instruções'!$D$36&amp;"."&amp;VLOOKUP(B507,'0. Instruções'!$C$27:$E$32,3,FALSE))</f>
        <v>BU_LOANTAPE_WORK.SIMUL_LT003_ENTITY</v>
      </c>
      <c r="F507" s="34" t="s">
        <v>615</v>
      </c>
      <c r="G507" s="34"/>
      <c r="H507" s="34"/>
      <c r="I507" s="34" t="str">
        <f>"(SELECT "&amp;VLOOKUP(B507,'0. Instruções'!$C$27:$G$32,4,FALSE)&amp;", "&amp;F507&amp;" FROM "&amp;D507&amp;" WHERE "&amp;'0. Instruções'!$D$42&amp;")X"</f>
        <v>(SELECT entty_id, grp_annl_trnvr_le FROM BU_LOANTAPE_WORK.LT003_ENTITY WHERE ref_date='${ref_date}' AND nome_perimetro='Individual Local' AND segmento='ESTR' AND ambito='SRB_MBDT' AND entidade='00100')X</v>
      </c>
      <c r="J507" s="34" t="str">
        <f>"(SELECT "&amp;VLOOKUP(B507,'0. Instruções'!$C$27:$G$32,4,FALSE)&amp;" AS "&amp;VLOOKUP(B507,'0. Instruções'!$C$27:$G$32,4,FALSE)&amp;"_SIMUL, "&amp;F507&amp;" AS "&amp;F507&amp;"_SIMUL FROM "&amp;E507&amp;" WHERE "&amp;'0. Instruções'!$D$43&amp;")Y"</f>
        <v>(SELECT entty_id AS entty_id_SIMUL, grp_annl_trnvr_le AS grp_annl_trnvr_le_SIMUL FROM BU_LOANTAPE_WORK.SIMUL_LT003_ENTITY WHERE ref_date='${ref_date}' AND nome_perimetro='Individual Local' AND segmento='ESTR' AND ambito='PILAR3' AND entidade='00100')Y</v>
      </c>
      <c r="K507" s="35" t="str">
        <f>+UPPER("ON X."&amp;VLOOKUP(B507,'0. Instruções'!$C$27:$G$32,4,FALSE)&amp;"=Y."&amp;VLOOKUP(B507,'0. Instruções'!$C$27:$G$32,4,FALSE)&amp;"_SIMUL")</f>
        <v>ON X.ENTTY_ID=Y.ENTTY_ID_SIMUL</v>
      </c>
      <c r="L507" s="35" t="str">
        <f>+IF(C507="Coerência", +IF(LEFT(G507,5)="FLOAT","SELECT '"&amp;UPPER(B507)&amp;"' AS TABELA, '"&amp;UPPER(C507)&amp;"' AS TIPOLOGIA_TESTE,'"&amp;D507&amp;"' AS TABELA_LT,'"&amp;E507&amp;"' AS TABELA_SIMUL,'"&amp;F507&amp;"' AS CAMPO, "&amp;"'${ref_date}' AS REF_DATE, COUNT(*) AS NUM_REG, SUM(IF((ABS(COALESCE(CAST(X."&amp;F507&amp;" AS DECIMAL(18,6)),0)-COALESCE(CAST(Y."&amp;F507&amp;"_SIMUL AS DECIMAL(18,6)),0))&gt;0.000001) OR (X."&amp;F507&amp;" IS NULL AND Y."&amp;F507&amp;"_SIMUL IS NOT NULL ) OR (X."&amp;F507&amp;" IS NOT NULL AND Y."&amp;F507&amp;"_SIMUL IS NULL),1,0)) AS NUM_REG_DIF,'"&amp;MAX('ID1&amp;5'!K:K)+1&amp;"' AS ID_EXEC, CURRENT_TIMESTAMP() AS TIME_EXEC FROM "&amp;I507&amp;" INNER JOIN "&amp;J507&amp;" "&amp;K507,"SELECT '"&amp;UPPER(B507)&amp;"' AS TABELA, '"&amp;UPPER(C507)&amp;"' AS TIPOLOGIA_TESTE,'"&amp;D507&amp;"' AS TABELA_LT,'"&amp;E507&amp;"' AS TABELA_SIMUL,'"&amp;F507&amp;"' AS CAMPO, "&amp;"'${ref_date}' AS REF_DATE, COUNT(*) AS NUM_REG, SUM(IF(COALESCE(CAST(X."&amp;F507&amp;" AS STRING),'')&lt;&gt;COALESCE(CAST(Y."&amp;F507&amp;"_SIMUL AS STRING),'') OR (X."&amp;F507&amp;" IS NULL AND Y."&amp;F507&amp;"_SIMUL IS NOT NULL ) OR (X."&amp;F507&amp;" IS NOT NULL AND Y."&amp;F507&amp;"_SIMUL IS NULL),1,0)) AS NUM_REG_DIF,'"&amp;MAX('ID1&amp;5'!L:L)+1&amp;"' AS ID_EXEC, CURRENT_TIMESTAMP() AS TIME_EXEC FROM "&amp;I507&amp;" INNER JOIN "&amp;J507&amp;" "&amp;K507),
IF(C507="Validade",+IF(G507="Code List","SELECT '"&amp;UPPER(B507)&amp;"' AS TABELA, '"&amp;UPPER(C507)&amp;"' AS TIPOLOGIA_TESTE,'"&amp;D507&amp;"' AS TABELA_LT,'N/A' AS TABELA_SIMUL,'"&amp;F507&amp;"' AS CAMPO, "&amp;"'${ref_date}' AS REF_DATE, COUNT(*) AS NUM_REG, SUM(IF(TRIM(CAST(X."&amp;F507&amp;" AS STRING))='' OR TRIM(CAST(X."&amp;F507&amp;" AS STRING)) IS NULL OR CAST(X."&amp;F507&amp;" AS STRING) NOT "&amp;H507&amp;",1,0)) AS NUM_REG_DIF,'"&amp;MAX('ID1&amp;5'!K:K)+1&amp;"' AS ID_EXEC, CURRENT_TIMESTAMP() AS TIME_EXEC FROM "&amp;I507,"SELECT '"&amp;UPPER(B507)&amp;"' AS TABELA, '"&amp;UPPER(C507)&amp;"' AS TIPOLOGIA_TESTE,'"&amp;D507&amp;"' AS TABELA_LT,'N/A' AS TABELA_SIMUL,'"&amp;F507&amp;"' AS CAMPO, "&amp;"'${ref_date}' AS REF_DATE, COUNT(*) AS NUM_REG, SUM(IF(TRIM(CAST(X."&amp;F507&amp;" AS STRING))='' OR TRIM(CAST(X."&amp;F507&amp;" AS STRING)) IS NULL,1,0)) AS NUM_REG_DIF,'"&amp;MAX('ID1&amp;5'!K:K)+1&amp;"' AS ID_EXEC, CURRENT_TIMESTAMP() AS TIME_EXEC FROM "&amp;I507),
IF(C507="Caracteres Especiais",+"SELECT '"&amp;UPPER(B507)&amp;"' AS TABELA, '"&amp;UPPER(C507)&amp;"' AS TIPOLOGIA_TESTE,'"&amp;D507&amp;"' AS TABELA_LT,'N/A' AS TABELA_SIMUL,'"&amp;F507&amp;"' AS CAMPO, "&amp;"'${ref_date}' AS REF_DATE, COUNT(*) AS NUM_REG, SUM(IF(REGEXP_REPLACE(TRIM(CAST(X."&amp;F507&amp;" AS STRING)),'[^a-zA-Z0-9_\\s]','') &lt;&gt;TRIM(CAST(X."&amp;F507&amp;" AS STRING)),1,0)) AS NUM_REG_DIF,'"&amp;MAX('ID1&amp;5'!K:K)+1&amp;"' AS ID_EXEC, CURRENT_TIMESTAMP() AS TIME_EXEC FROM "&amp;I507,
IF(C507="Missings",+"SELECT '"&amp;UPPER(B507)&amp;"' AS TABELA, '"&amp;UPPER(C507)&amp;"' AS TIPOLOGIA_TESTE,'"&amp;D507&amp;"' AS TABELA_LT,'N/A' AS TABELA_SIMUL,'"&amp;F507&amp;"' AS CAMPO, "&amp;"'${ref_date}' AS REF_DATE, COUNT(*) AS NUM_REG, SUM(IF(TRIM(CAST(X."&amp;F507&amp;" AS STRING)) IN ('0000-00-00','0001-01-01','9999-12-31','MISS','00000','99999999999','99999999999.00','99999999999.000000'),1,0)) AS NUM_REG_DIF,'"&amp;MAX('ID1&amp;5'!K:K)+1&amp;"' AS ID_EXEC, CURRENT_TIMESTAMP() AS TIME_EXEC FROM "&amp;I507,
IF(C507="Not applicable",+"SELECT '"&amp;UPPER(B507)&amp;"' AS TABELA, '"&amp;UPPER(C507)&amp;"' AS TIPOLOGIA_TESTE,'"&amp;D507&amp;"' AS TABELA_LT,'N/A' AS TABELA_SIMUL,'"&amp;F507&amp;"' AS CAMPO, "&amp;"'${ref_date}' AS REF_DATE, COUNT(*) AS NUM_REG, SUM(IF(TRIM(CAST(X."&amp;F507&amp;" AS STRING)) IN ('N/A','11111111111','11111111111.00','11111111111.000000','1111-11-11'),1,0)) AS NUM_REG_DIF,'"&amp;MAX('ID1&amp;5'!K:K)+1&amp;"' AS ID_EXEC, CURRENT_TIMESTAMP() AS TIME_EXEC FROM "&amp;I507,
IF(C507="Valores extremos",+"SELECT '"&amp;UPPER(B507)&amp;"' AS TABELA, '"&amp;UPPER(C507)&amp;"' AS TIPOLOGIA_TESTE,'"&amp;D507&amp;"' AS TABELA_LT,'N/A' AS TABELA_SIMUL,'"&amp;F507&amp;"' AS CAMPO, "&amp;"'${ref_date}' AS REF_DATE, CAST(MIN("&amp;F507&amp;") AS STRING) AS VALOR_MIN, CAST(MAX("&amp;F507&amp;") AS STRING) AS VALOR_MAX,'"&amp;MAX('ID1&amp;5'!K:K)+1&amp;"' AS ID_EXEC, CURRENT_TIMESTAMP() AS TIME_EXEC FROM "&amp;MID(I507,1,LEN(I507)-2)&amp;" AND CAST("&amp;F507&amp;"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TABELA_SIMUL,'grp_annl_trnvr_le' AS CAMPO, '${ref_date}' AS REF_DATE, COUNT(*) AS NUM_REG, SUM(IF(COALESCE(CAST(X.grp_annl_trnvr_le AS STRING),'')&lt;&gt;COALESCE(CAST(Y.grp_annl_trnvr_le_SIMUL AS STRING),'') OR (X.grp_annl_trnvr_le IS NULL AND Y.grp_annl_trnvr_le_SIMUL IS NOT NULL ) OR (X.grp_annl_trnvr_le IS NOT NULL AND Y.grp_annl_trnvr_le_SIMUL IS NULL),1,0)) AS NUM_REG_DIF,'1' AS ID_EXEC, CURRENT_TIMESTAMP() AS TIME_EXEC FROM (SELECT entty_id, grp_annl_trnvr_le FROM BU_LOANTAPE_WORK.LT003_ENTITY WHERE ref_date='${ref_date}' AND nome_perimetro='Individual Local' AND segmento='ESTR' AND ambito='SRB_MBDT' AND entidade='00100')X INNER JOIN (SELECT entty_id AS entty_id_SIMUL, grp_annl_trnvr_le AS grp_annl_trnvr_le_SIMUL FROM BU_LOANTAPE_WORK.SIMUL_LT003_ENTITY WHERE ref_date='${ref_date}' AND nome_perimetro='Individual Local' AND segmento='ESTR' AND ambito='PILAR3' AND entidade='00100')Y ON X.ENTTY_ID=Y.ENTTY_ID_SIMUL</v>
      </c>
      <c r="M507" s="36" t="str">
        <f t="shared" si="11"/>
        <v>UNION ALL SELECT 'ENTITY' AS TABELA, 'COERÊNCIA' AS TIPOLOGIA_TESTE,'BU_LOANTAPE_WORK.LT003_ENTITY' AS TABELA_LT,'BU_LOANTAPE_WORK.SIMUL_LT003_ENTITY' AS TABELA_SIMUL,'grp_annl_trnvr_le' AS CAMPO, '${ref_date}' AS REF_DATE, COUNT(*) AS NUM_REG, SUM(IF(COALESCE(CAST(X.grp_annl_trnvr_le AS STRING),'')&lt;&gt;COALESCE(CAST(Y.grp_annl_trnvr_le_SIMUL AS STRING),'') OR (X.grp_annl_trnvr_le IS NULL AND Y.grp_annl_trnvr_le_SIMUL IS NOT NULL ) OR (X.grp_annl_trnvr_le IS NOT NULL AND Y.grp_annl_trnvr_le_SIMUL IS NULL),1,0)) AS NUM_REG_DIF,'1' AS ID_EXEC, CURRENT_TIMESTAMP() AS TIME_EXEC FROM (SELECT entty_id, grp_annl_trnvr_le FROM BU_LOANTAPE_WORK.LT003_ENTITY WHERE ref_date='${ref_date}' AND nome_perimetro='Individual Local' AND segmento='ESTR' AND ambito='SRB_MBDT' AND entidade='00100')X INNER JOIN (SELECT entty_id AS entty_id_SIMUL, grp_annl_trnvr_le AS grp_annl_trnvr_le_SIMUL FROM BU_LOANTAPE_WORK.SIMUL_LT003_ENTITY WHERE ref_date='${ref_date}' AND nome_perimetro='Individual Local' AND segmento='ESTR' AND ambito='PILAR3' AND entidade='00100')Y ON X.ENTTY_ID=Y.ENTTY_ID_SIMUL</v>
      </c>
    </row>
    <row r="508" spans="2:13">
      <c r="B508" s="34" t="s">
        <v>118</v>
      </c>
      <c r="C508" s="34" t="s">
        <v>5</v>
      </c>
      <c r="D508" s="34" t="str">
        <f>+UPPER('0. Instruções'!$D$35&amp;"."&amp;VLOOKUP(B508,'0. Instruções'!$C$27:$D$32,2,FALSE))</f>
        <v>BU_LOANTAPE_WORK.LT003_ENTITY</v>
      </c>
      <c r="E508" s="34" t="str">
        <f>+UPPER('0. Instruções'!$D$36&amp;"."&amp;VLOOKUP(B508,'0. Instruções'!$C$27:$E$32,3,FALSE))</f>
        <v>BU_LOANTAPE_WORK.SIMUL_LT003_ENTITY</v>
      </c>
      <c r="F508" s="34" t="s">
        <v>616</v>
      </c>
      <c r="G508" s="34"/>
      <c r="H508" s="34"/>
      <c r="I508" s="34" t="str">
        <f>"(SELECT "&amp;VLOOKUP(B508,'0. Instruções'!$C$27:$G$32,4,FALSE)&amp;", "&amp;F508&amp;" FROM "&amp;D508&amp;" WHERE "&amp;'0. Instruções'!$D$42&amp;")X"</f>
        <v>(SELECT entty_id, grp_ttl_lblty FROM BU_LOANTAPE_WORK.LT003_ENTITY WHERE ref_date='${ref_date}' AND nome_perimetro='Individual Local' AND segmento='ESTR' AND ambito='SRB_MBDT' AND entidade='00100')X</v>
      </c>
      <c r="J508" s="34" t="str">
        <f>"(SELECT "&amp;VLOOKUP(B508,'0. Instruções'!$C$27:$G$32,4,FALSE)&amp;" AS "&amp;VLOOKUP(B508,'0. Instruções'!$C$27:$G$32,4,FALSE)&amp;"_SIMUL, "&amp;F508&amp;" AS "&amp;F508&amp;"_SIMUL FROM "&amp;E508&amp;" WHERE "&amp;'0. Instruções'!$D$43&amp;")Y"</f>
        <v>(SELECT entty_id AS entty_id_SIMUL, grp_ttl_lblty AS grp_ttl_lblty_SIMUL FROM BU_LOANTAPE_WORK.SIMUL_LT003_ENTITY WHERE ref_date='${ref_date}' AND nome_perimetro='Individual Local' AND segmento='ESTR' AND ambito='PILAR3' AND entidade='00100')Y</v>
      </c>
      <c r="K508" s="35" t="str">
        <f>+UPPER("ON X."&amp;VLOOKUP(B508,'0. Instruções'!$C$27:$G$32,4,FALSE)&amp;"=Y."&amp;VLOOKUP(B508,'0. Instruções'!$C$27:$G$32,4,FALSE)&amp;"_SIMUL")</f>
        <v>ON X.ENTTY_ID=Y.ENTTY_ID_SIMUL</v>
      </c>
      <c r="L508" s="35" t="str">
        <f>+IF(C508="Coerência", +IF(LEFT(G508,5)="FLOAT","SELECT '"&amp;UPPER(B508)&amp;"' AS TABELA, '"&amp;UPPER(C508)&amp;"' AS TIPOLOGIA_TESTE,'"&amp;D508&amp;"' AS TABELA_LT,'"&amp;E508&amp;"' AS TABELA_SIMUL,'"&amp;F508&amp;"' AS CAMPO, "&amp;"'${ref_date}' AS REF_DATE, COUNT(*) AS NUM_REG, SUM(IF((ABS(COALESCE(CAST(X."&amp;F508&amp;" AS DECIMAL(18,6)),0)-COALESCE(CAST(Y."&amp;F508&amp;"_SIMUL AS DECIMAL(18,6)),0))&gt;0.000001) OR (X."&amp;F508&amp;" IS NULL AND Y."&amp;F508&amp;"_SIMUL IS NOT NULL ) OR (X."&amp;F508&amp;" IS NOT NULL AND Y."&amp;F508&amp;"_SIMUL IS NULL),1,0)) AS NUM_REG_DIF,'"&amp;MAX('ID1&amp;5'!K:K)+1&amp;"' AS ID_EXEC, CURRENT_TIMESTAMP() AS TIME_EXEC FROM "&amp;I508&amp;" INNER JOIN "&amp;J508&amp;" "&amp;K508,"SELECT '"&amp;UPPER(B508)&amp;"' AS TABELA, '"&amp;UPPER(C508)&amp;"' AS TIPOLOGIA_TESTE,'"&amp;D508&amp;"' AS TABELA_LT,'"&amp;E508&amp;"' AS TABELA_SIMUL,'"&amp;F508&amp;"' AS CAMPO, "&amp;"'${ref_date}' AS REF_DATE, COUNT(*) AS NUM_REG, SUM(IF(COALESCE(CAST(X."&amp;F508&amp;" AS STRING),'')&lt;&gt;COALESCE(CAST(Y."&amp;F508&amp;"_SIMUL AS STRING),'') OR (X."&amp;F508&amp;" IS NULL AND Y."&amp;F508&amp;"_SIMUL IS NOT NULL ) OR (X."&amp;F508&amp;" IS NOT NULL AND Y."&amp;F508&amp;"_SIMUL IS NULL),1,0)) AS NUM_REG_DIF,'"&amp;MAX('ID1&amp;5'!L:L)+1&amp;"' AS ID_EXEC, CURRENT_TIMESTAMP() AS TIME_EXEC FROM "&amp;I508&amp;" INNER JOIN "&amp;J508&amp;" "&amp;K508),
IF(C508="Validade",+IF(G508="Code List","SELECT '"&amp;UPPER(B508)&amp;"' AS TABELA, '"&amp;UPPER(C508)&amp;"' AS TIPOLOGIA_TESTE,'"&amp;D508&amp;"' AS TABELA_LT,'N/A' AS TABELA_SIMUL,'"&amp;F508&amp;"' AS CAMPO, "&amp;"'${ref_date}' AS REF_DATE, COUNT(*) AS NUM_REG, SUM(IF(TRIM(CAST(X."&amp;F508&amp;" AS STRING))='' OR TRIM(CAST(X."&amp;F508&amp;" AS STRING)) IS NULL OR CAST(X."&amp;F508&amp;" AS STRING) NOT "&amp;H508&amp;",1,0)) AS NUM_REG_DIF,'"&amp;MAX('ID1&amp;5'!K:K)+1&amp;"' AS ID_EXEC, CURRENT_TIMESTAMP() AS TIME_EXEC FROM "&amp;I508,"SELECT '"&amp;UPPER(B508)&amp;"' AS TABELA, '"&amp;UPPER(C508)&amp;"' AS TIPOLOGIA_TESTE,'"&amp;D508&amp;"' AS TABELA_LT,'N/A' AS TABELA_SIMUL,'"&amp;F508&amp;"' AS CAMPO, "&amp;"'${ref_date}' AS REF_DATE, COUNT(*) AS NUM_REG, SUM(IF(TRIM(CAST(X."&amp;F508&amp;" AS STRING))='' OR TRIM(CAST(X."&amp;F508&amp;" AS STRING)) IS NULL,1,0)) AS NUM_REG_DIF,'"&amp;MAX('ID1&amp;5'!K:K)+1&amp;"' AS ID_EXEC, CURRENT_TIMESTAMP() AS TIME_EXEC FROM "&amp;I508),
IF(C508="Caracteres Especiais",+"SELECT '"&amp;UPPER(B508)&amp;"' AS TABELA, '"&amp;UPPER(C508)&amp;"' AS TIPOLOGIA_TESTE,'"&amp;D508&amp;"' AS TABELA_LT,'N/A' AS TABELA_SIMUL,'"&amp;F508&amp;"' AS CAMPO, "&amp;"'${ref_date}' AS REF_DATE, COUNT(*) AS NUM_REG, SUM(IF(REGEXP_REPLACE(TRIM(CAST(X."&amp;F508&amp;" AS STRING)),'[^a-zA-Z0-9_\\s]','') &lt;&gt;TRIM(CAST(X."&amp;F508&amp;" AS STRING)),1,0)) AS NUM_REG_DIF,'"&amp;MAX('ID1&amp;5'!K:K)+1&amp;"' AS ID_EXEC, CURRENT_TIMESTAMP() AS TIME_EXEC FROM "&amp;I508,
IF(C508="Missings",+"SELECT '"&amp;UPPER(B508)&amp;"' AS TABELA, '"&amp;UPPER(C508)&amp;"' AS TIPOLOGIA_TESTE,'"&amp;D508&amp;"' AS TABELA_LT,'N/A' AS TABELA_SIMUL,'"&amp;F508&amp;"' AS CAMPO, "&amp;"'${ref_date}' AS REF_DATE, COUNT(*) AS NUM_REG, SUM(IF(TRIM(CAST(X."&amp;F508&amp;" AS STRING)) IN ('0000-00-00','0001-01-01','9999-12-31','MISS','00000','99999999999','99999999999.00','99999999999.000000'),1,0)) AS NUM_REG_DIF,'"&amp;MAX('ID1&amp;5'!K:K)+1&amp;"' AS ID_EXEC, CURRENT_TIMESTAMP() AS TIME_EXEC FROM "&amp;I508,
IF(C508="Not applicable",+"SELECT '"&amp;UPPER(B508)&amp;"' AS TABELA, '"&amp;UPPER(C508)&amp;"' AS TIPOLOGIA_TESTE,'"&amp;D508&amp;"' AS TABELA_LT,'N/A' AS TABELA_SIMUL,'"&amp;F508&amp;"' AS CAMPO, "&amp;"'${ref_date}' AS REF_DATE, COUNT(*) AS NUM_REG, SUM(IF(TRIM(CAST(X."&amp;F508&amp;" AS STRING)) IN ('N/A','11111111111','11111111111.00','11111111111.000000','1111-11-11'),1,0)) AS NUM_REG_DIF,'"&amp;MAX('ID1&amp;5'!K:K)+1&amp;"' AS ID_EXEC, CURRENT_TIMESTAMP() AS TIME_EXEC FROM "&amp;I508,
IF(C508="Valores extremos",+"SELECT '"&amp;UPPER(B508)&amp;"' AS TABELA, '"&amp;UPPER(C508)&amp;"' AS TIPOLOGIA_TESTE,'"&amp;D508&amp;"' AS TABELA_LT,'N/A' AS TABELA_SIMUL,'"&amp;F508&amp;"' AS CAMPO, "&amp;"'${ref_date}' AS REF_DATE, CAST(MIN("&amp;F508&amp;") AS STRING) AS VALOR_MIN, CAST(MAX("&amp;F508&amp;") AS STRING) AS VALOR_MAX,'"&amp;MAX('ID1&amp;5'!K:K)+1&amp;"' AS ID_EXEC, CURRENT_TIMESTAMP() AS TIME_EXEC FROM "&amp;MID(I508,1,LEN(I508)-2)&amp;" AND CAST("&amp;F508&amp;"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TABELA_SIMUL,'grp_ttl_lblty' AS CAMPO, '${ref_date}' AS REF_DATE, COUNT(*) AS NUM_REG, SUM(IF(COALESCE(CAST(X.grp_ttl_lblty AS STRING),'')&lt;&gt;COALESCE(CAST(Y.grp_ttl_lblty_SIMUL AS STRING),'') OR (X.grp_ttl_lblty IS NULL AND Y.grp_ttl_lblty_SIMUL IS NOT NULL ) OR (X.grp_ttl_lblty IS NOT NULL AND Y.grp_ttl_lblty_SIMUL IS NULL),1,0)) AS NUM_REG_DIF,'1' AS ID_EXEC, CURRENT_TIMESTAMP() AS TIME_EXEC FROM (SELECT entty_id, grp_ttl_lblty FROM BU_LOANTAPE_WORK.LT003_ENTITY WHERE ref_date='${ref_date}' AND nome_perimetro='Individual Local' AND segmento='ESTR' AND ambito='SRB_MBDT' AND entidade='00100')X INNER JOIN (SELECT entty_id AS entty_id_SIMUL, grp_ttl_lblty AS grp_ttl_lblty_SIMUL FROM BU_LOANTAPE_WORK.SIMUL_LT003_ENTITY WHERE ref_date='${ref_date}' AND nome_perimetro='Individual Local' AND segmento='ESTR' AND ambito='PILAR3' AND entidade='00100')Y ON X.ENTTY_ID=Y.ENTTY_ID_SIMUL</v>
      </c>
      <c r="M508" s="36" t="str">
        <f t="shared" si="11"/>
        <v>UNION ALL SELECT 'ENTITY' AS TABELA, 'COERÊNCIA' AS TIPOLOGIA_TESTE,'BU_LOANTAPE_WORK.LT003_ENTITY' AS TABELA_LT,'BU_LOANTAPE_WORK.SIMUL_LT003_ENTITY' AS TABELA_SIMUL,'grp_ttl_lblty' AS CAMPO, '${ref_date}' AS REF_DATE, COUNT(*) AS NUM_REG, SUM(IF(COALESCE(CAST(X.grp_ttl_lblty AS STRING),'')&lt;&gt;COALESCE(CAST(Y.grp_ttl_lblty_SIMUL AS STRING),'') OR (X.grp_ttl_lblty IS NULL AND Y.grp_ttl_lblty_SIMUL IS NOT NULL ) OR (X.grp_ttl_lblty IS NOT NULL AND Y.grp_ttl_lblty_SIMUL IS NULL),1,0)) AS NUM_REG_DIF,'1' AS ID_EXEC, CURRENT_TIMESTAMP() AS TIME_EXEC FROM (SELECT entty_id, grp_ttl_lblty FROM BU_LOANTAPE_WORK.LT003_ENTITY WHERE ref_date='${ref_date}' AND nome_perimetro='Individual Local' AND segmento='ESTR' AND ambito='SRB_MBDT' AND entidade='00100')X INNER JOIN (SELECT entty_id AS entty_id_SIMUL, grp_ttl_lblty AS grp_ttl_lblty_SIMUL FROM BU_LOANTAPE_WORK.SIMUL_LT003_ENTITY WHERE ref_date='${ref_date}' AND nome_perimetro='Individual Local' AND segmento='ESTR' AND ambito='PILAR3' AND entidade='00100')Y ON X.ENTTY_ID=Y.ENTTY_ID_SIMUL</v>
      </c>
    </row>
    <row r="509" spans="2:13">
      <c r="B509" s="34" t="s">
        <v>118</v>
      </c>
      <c r="C509" s="34" t="s">
        <v>5</v>
      </c>
      <c r="D509" s="34" t="str">
        <f>+UPPER('0. Instruções'!$D$35&amp;"."&amp;VLOOKUP(B509,'0. Instruções'!$C$27:$D$32,2,FALSE))</f>
        <v>BU_LOANTAPE_WORK.LT003_ENTITY</v>
      </c>
      <c r="E509" s="34" t="str">
        <f>+UPPER('0. Instruções'!$D$36&amp;"."&amp;VLOOKUP(B509,'0. Instruções'!$C$27:$E$32,3,FALSE))</f>
        <v>BU_LOANTAPE_WORK.SIMUL_LT003_ENTITY</v>
      </c>
      <c r="F509" s="34" t="s">
        <v>1486</v>
      </c>
      <c r="G509" s="34"/>
      <c r="H509" s="34"/>
      <c r="I509" s="34" t="str">
        <f>"(SELECT "&amp;VLOOKUP(B509,'0. Instruções'!$C$27:$G$32,4,FALSE)&amp;", "&amp;F509&amp;" FROM "&amp;D509&amp;" WHERE "&amp;'0. Instruções'!$D$42&amp;")X"</f>
        <v>(SELECT entty_id, flg_grp_csrd_applcblty FROM BU_LOANTAPE_WORK.LT003_ENTITY WHERE ref_date='${ref_date}' AND nome_perimetro='Individual Local' AND segmento='ESTR' AND ambito='SRB_MBDT' AND entidade='00100')X</v>
      </c>
      <c r="J509" s="34" t="str">
        <f>"(SELECT "&amp;VLOOKUP(B509,'0. Instruções'!$C$27:$G$32,4,FALSE)&amp;" AS "&amp;VLOOKUP(B509,'0. Instruções'!$C$27:$G$32,4,FALSE)&amp;"_SIMUL, "&amp;F509&amp;" AS "&amp;F509&amp;"_SIMUL FROM "&amp;E509&amp;" WHERE "&amp;'0. Instruções'!$D$43&amp;")Y"</f>
        <v>(SELECT entty_id AS entty_id_SIMUL, flg_grp_csrd_applcblty AS flg_grp_csrd_applcblty_SIMUL FROM BU_LOANTAPE_WORK.SIMUL_LT003_ENTITY WHERE ref_date='${ref_date}' AND nome_perimetro='Individual Local' AND segmento='ESTR' AND ambito='PILAR3' AND entidade='00100')Y</v>
      </c>
      <c r="K509" s="35" t="str">
        <f>+UPPER("ON X."&amp;VLOOKUP(B509,'0. Instruções'!$C$27:$G$32,4,FALSE)&amp;"=Y."&amp;VLOOKUP(B509,'0. Instruções'!$C$27:$G$32,4,FALSE)&amp;"_SIMUL")</f>
        <v>ON X.ENTTY_ID=Y.ENTTY_ID_SIMUL</v>
      </c>
      <c r="L509" s="35" t="str">
        <f>+IF(C509="Coerência", +IF(LEFT(G509,5)="FLOAT","SELECT '"&amp;UPPER(B509)&amp;"' AS TABELA, '"&amp;UPPER(C509)&amp;"' AS TIPOLOGIA_TESTE,'"&amp;D509&amp;"' AS TABELA_LT,'"&amp;E509&amp;"' AS TABELA_SIMUL,'"&amp;F509&amp;"' AS CAMPO, "&amp;"'${ref_date}' AS REF_DATE, COUNT(*) AS NUM_REG, SUM(IF((ABS(COALESCE(CAST(X."&amp;F509&amp;" AS DECIMAL(18,6)),0)-COALESCE(CAST(Y."&amp;F509&amp;"_SIMUL AS DECIMAL(18,6)),0))&gt;0.000001) OR (X."&amp;F509&amp;" IS NULL AND Y."&amp;F509&amp;"_SIMUL IS NOT NULL ) OR (X."&amp;F509&amp;" IS NOT NULL AND Y."&amp;F509&amp;"_SIMUL IS NULL),1,0)) AS NUM_REG_DIF,'"&amp;MAX('ID1&amp;5'!K:K)+1&amp;"' AS ID_EXEC, CURRENT_TIMESTAMP() AS TIME_EXEC FROM "&amp;I509&amp;" INNER JOIN "&amp;J509&amp;" "&amp;K509,"SELECT '"&amp;UPPER(B509)&amp;"' AS TABELA, '"&amp;UPPER(C509)&amp;"' AS TIPOLOGIA_TESTE,'"&amp;D509&amp;"' AS TABELA_LT,'"&amp;E509&amp;"' AS TABELA_SIMUL,'"&amp;F509&amp;"' AS CAMPO, "&amp;"'${ref_date}' AS REF_DATE, COUNT(*) AS NUM_REG, SUM(IF(COALESCE(CAST(X."&amp;F509&amp;" AS STRING),'')&lt;&gt;COALESCE(CAST(Y."&amp;F509&amp;"_SIMUL AS STRING),'') OR (X."&amp;F509&amp;" IS NULL AND Y."&amp;F509&amp;"_SIMUL IS NOT NULL ) OR (X."&amp;F509&amp;" IS NOT NULL AND Y."&amp;F509&amp;"_SIMUL IS NULL),1,0)) AS NUM_REG_DIF,'"&amp;MAX('ID1&amp;5'!L:L)+1&amp;"' AS ID_EXEC, CURRENT_TIMESTAMP() AS TIME_EXEC FROM "&amp;I509&amp;" INNER JOIN "&amp;J509&amp;" "&amp;K509),
IF(C509="Validade",+IF(G509="Code List","SELECT '"&amp;UPPER(B509)&amp;"' AS TABELA, '"&amp;UPPER(C509)&amp;"' AS TIPOLOGIA_TESTE,'"&amp;D509&amp;"' AS TABELA_LT,'N/A' AS TABELA_SIMUL,'"&amp;F509&amp;"' AS CAMPO, "&amp;"'${ref_date}' AS REF_DATE, COUNT(*) AS NUM_REG, SUM(IF(TRIM(CAST(X."&amp;F509&amp;" AS STRING))='' OR TRIM(CAST(X."&amp;F509&amp;" AS STRING)) IS NULL OR CAST(X."&amp;F509&amp;" AS STRING) NOT "&amp;H509&amp;",1,0)) AS NUM_REG_DIF,'"&amp;MAX('ID1&amp;5'!K:K)+1&amp;"' AS ID_EXEC, CURRENT_TIMESTAMP() AS TIME_EXEC FROM "&amp;I509,"SELECT '"&amp;UPPER(B509)&amp;"' AS TABELA, '"&amp;UPPER(C509)&amp;"' AS TIPOLOGIA_TESTE,'"&amp;D509&amp;"' AS TABELA_LT,'N/A' AS TABELA_SIMUL,'"&amp;F509&amp;"' AS CAMPO, "&amp;"'${ref_date}' AS REF_DATE, COUNT(*) AS NUM_REG, SUM(IF(TRIM(CAST(X."&amp;F509&amp;" AS STRING))='' OR TRIM(CAST(X."&amp;F509&amp;" AS STRING)) IS NULL,1,0)) AS NUM_REG_DIF,'"&amp;MAX('ID1&amp;5'!K:K)+1&amp;"' AS ID_EXEC, CURRENT_TIMESTAMP() AS TIME_EXEC FROM "&amp;I509),
IF(C509="Caracteres Especiais",+"SELECT '"&amp;UPPER(B509)&amp;"' AS TABELA, '"&amp;UPPER(C509)&amp;"' AS TIPOLOGIA_TESTE,'"&amp;D509&amp;"' AS TABELA_LT,'N/A' AS TABELA_SIMUL,'"&amp;F509&amp;"' AS CAMPO, "&amp;"'${ref_date}' AS REF_DATE, COUNT(*) AS NUM_REG, SUM(IF(REGEXP_REPLACE(TRIM(CAST(X."&amp;F509&amp;" AS STRING)),'[^a-zA-Z0-9_\\s]','') &lt;&gt;TRIM(CAST(X."&amp;F509&amp;" AS STRING)),1,0)) AS NUM_REG_DIF,'"&amp;MAX('ID1&amp;5'!K:K)+1&amp;"' AS ID_EXEC, CURRENT_TIMESTAMP() AS TIME_EXEC FROM "&amp;I509,
IF(C509="Missings",+"SELECT '"&amp;UPPER(B509)&amp;"' AS TABELA, '"&amp;UPPER(C509)&amp;"' AS TIPOLOGIA_TESTE,'"&amp;D509&amp;"' AS TABELA_LT,'N/A' AS TABELA_SIMUL,'"&amp;F509&amp;"' AS CAMPO, "&amp;"'${ref_date}' AS REF_DATE, COUNT(*) AS NUM_REG, SUM(IF(TRIM(CAST(X."&amp;F509&amp;" AS STRING)) IN ('0000-00-00','0001-01-01','9999-12-31','MISS','00000','99999999999','99999999999.00','99999999999.000000'),1,0)) AS NUM_REG_DIF,'"&amp;MAX('ID1&amp;5'!K:K)+1&amp;"' AS ID_EXEC, CURRENT_TIMESTAMP() AS TIME_EXEC FROM "&amp;I509,
IF(C509="Not applicable",+"SELECT '"&amp;UPPER(B509)&amp;"' AS TABELA, '"&amp;UPPER(C509)&amp;"' AS TIPOLOGIA_TESTE,'"&amp;D509&amp;"' AS TABELA_LT,'N/A' AS TABELA_SIMUL,'"&amp;F509&amp;"' AS CAMPO, "&amp;"'${ref_date}' AS REF_DATE, COUNT(*) AS NUM_REG, SUM(IF(TRIM(CAST(X."&amp;F509&amp;" AS STRING)) IN ('N/A','11111111111','11111111111.00','11111111111.000000','1111-11-11'),1,0)) AS NUM_REG_DIF,'"&amp;MAX('ID1&amp;5'!K:K)+1&amp;"' AS ID_EXEC, CURRENT_TIMESTAMP() AS TIME_EXEC FROM "&amp;I509,
IF(C509="Valores extremos",+"SELECT '"&amp;UPPER(B509)&amp;"' AS TABELA, '"&amp;UPPER(C509)&amp;"' AS TIPOLOGIA_TESTE,'"&amp;D509&amp;"' AS TABELA_LT,'N/A' AS TABELA_SIMUL,'"&amp;F509&amp;"' AS CAMPO, "&amp;"'${ref_date}' AS REF_DATE, CAST(MIN("&amp;F509&amp;") AS STRING) AS VALOR_MIN, CAST(MAX("&amp;F509&amp;") AS STRING) AS VALOR_MAX,'"&amp;MAX('ID1&amp;5'!K:K)+1&amp;"' AS ID_EXEC, CURRENT_TIMESTAMP() AS TIME_EXEC FROM "&amp;MID(I509,1,LEN(I509)-2)&amp;" AND CAST("&amp;F509&amp;"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TABELA_SIMUL,'flg_grp_csrd_applcblty' AS CAMPO, '${ref_date}' AS REF_DATE, COUNT(*) AS NUM_REG, SUM(IF(COALESCE(CAST(X.flg_grp_csrd_applcblty AS STRING),'')&lt;&gt;COALESCE(CAST(Y.flg_grp_csrd_applcblty_SIMUL AS STRING),'') OR (X.flg_grp_csrd_applcblty IS NULL AND Y.flg_grp_csrd_applcblty_SIMUL IS NOT NULL ) OR (X.flg_grp_csrd_applcblty IS NOT NULL AND Y.flg_grp_csrd_applcblty_SIMUL IS NULL),1,0)) AS NUM_REG_DIF,'1' AS ID_EXEC, CURRENT_TIMESTAMP() AS TIME_EXEC FROM (SELECT entty_id, flg_grp_csrd_applcblty FROM BU_LOANTAPE_WORK.LT003_ENTITY WHERE ref_date='${ref_date}' AND nome_perimetro='Individual Local' AND segmento='ESTR' AND ambito='SRB_MBDT' AND entidade='00100')X INNER JOIN (SELECT entty_id AS entty_id_SIMUL, flg_grp_csrd_applcblty AS flg_grp_csrd_applcblty_SIMUL FROM BU_LOANTAPE_WORK.SIMUL_LT003_ENTITY WHERE ref_date='${ref_date}' AND nome_perimetro='Individual Local' AND segmento='ESTR' AND ambito='PILAR3' AND entidade='00100')Y ON X.ENTTY_ID=Y.ENTTY_ID_SIMUL</v>
      </c>
      <c r="M509" s="36" t="str">
        <f t="shared" si="11"/>
        <v>UNION ALL SELECT 'ENTITY' AS TABELA, 'COERÊNCIA' AS TIPOLOGIA_TESTE,'BU_LOANTAPE_WORK.LT003_ENTITY' AS TABELA_LT,'BU_LOANTAPE_WORK.SIMUL_LT003_ENTITY' AS TABELA_SIMUL,'flg_grp_csrd_applcblty' AS CAMPO, '${ref_date}' AS REF_DATE, COUNT(*) AS NUM_REG, SUM(IF(COALESCE(CAST(X.flg_grp_csrd_applcblty AS STRING),'')&lt;&gt;COALESCE(CAST(Y.flg_grp_csrd_applcblty_SIMUL AS STRING),'') OR (X.flg_grp_csrd_applcblty IS NULL AND Y.flg_grp_csrd_applcblty_SIMUL IS NOT NULL ) OR (X.flg_grp_csrd_applcblty IS NOT NULL AND Y.flg_grp_csrd_applcblty_SIMUL IS NULL),1,0)) AS NUM_REG_DIF,'1' AS ID_EXEC, CURRENT_TIMESTAMP() AS TIME_EXEC FROM (SELECT entty_id, flg_grp_csrd_applcblty FROM BU_LOANTAPE_WORK.LT003_ENTITY WHERE ref_date='${ref_date}' AND nome_perimetro='Individual Local' AND segmento='ESTR' AND ambito='SRB_MBDT' AND entidade='00100')X INNER JOIN (SELECT entty_id AS entty_id_SIMUL, flg_grp_csrd_applcblty AS flg_grp_csrd_applcblty_SIMUL FROM BU_LOANTAPE_WORK.SIMUL_LT003_ENTITY WHERE ref_date='${ref_date}' AND nome_perimetro='Individual Local' AND segmento='ESTR' AND ambito='PILAR3' AND entidade='00100')Y ON X.ENTTY_ID=Y.ENTTY_ID_SIMUL</v>
      </c>
    </row>
    <row r="510" spans="2:13">
      <c r="B510" s="34" t="s">
        <v>118</v>
      </c>
      <c r="C510" s="34" t="s">
        <v>5</v>
      </c>
      <c r="D510" s="34" t="str">
        <f>+UPPER('0. Instruções'!$D$35&amp;"."&amp;VLOOKUP(B510,'0. Instruções'!$C$27:$D$32,2,FALSE))</f>
        <v>BU_LOANTAPE_WORK.LT003_ENTITY</v>
      </c>
      <c r="E510" s="34" t="str">
        <f>+UPPER('0. Instruções'!$D$36&amp;"."&amp;VLOOKUP(B510,'0. Instruções'!$C$27:$E$32,3,FALSE))</f>
        <v>BU_LOANTAPE_WORK.SIMUL_LT003_ENTITY</v>
      </c>
      <c r="F510" s="34" t="s">
        <v>618</v>
      </c>
      <c r="G510" s="34"/>
      <c r="H510" s="34"/>
      <c r="I510" s="34" t="str">
        <f>"(SELECT "&amp;VLOOKUP(B510,'0. Instruções'!$C$27:$G$32,4,FALSE)&amp;", "&amp;F510&amp;" FROM "&amp;D510&amp;" WHERE "&amp;'0. Instruções'!$D$42&amp;")X"</f>
        <v>(SELECT entty_id, grp_emssns_scp1 FROM BU_LOANTAPE_WORK.LT003_ENTITY WHERE ref_date='${ref_date}' AND nome_perimetro='Individual Local' AND segmento='ESTR' AND ambito='SRB_MBDT' AND entidade='00100')X</v>
      </c>
      <c r="J510" s="34" t="str">
        <f>"(SELECT "&amp;VLOOKUP(B510,'0. Instruções'!$C$27:$G$32,4,FALSE)&amp;" AS "&amp;VLOOKUP(B510,'0. Instruções'!$C$27:$G$32,4,FALSE)&amp;"_SIMUL, "&amp;F510&amp;" AS "&amp;F510&amp;"_SIMUL FROM "&amp;E510&amp;" WHERE "&amp;'0. Instruções'!$D$43&amp;")Y"</f>
        <v>(SELECT entty_id AS entty_id_SIMUL, grp_emssns_scp1 AS grp_emssns_scp1_SIMUL FROM BU_LOANTAPE_WORK.SIMUL_LT003_ENTITY WHERE ref_date='${ref_date}' AND nome_perimetro='Individual Local' AND segmento='ESTR' AND ambito='PILAR3' AND entidade='00100')Y</v>
      </c>
      <c r="K510" s="35" t="str">
        <f>+UPPER("ON X."&amp;VLOOKUP(B510,'0. Instruções'!$C$27:$G$32,4,FALSE)&amp;"=Y."&amp;VLOOKUP(B510,'0. Instruções'!$C$27:$G$32,4,FALSE)&amp;"_SIMUL")</f>
        <v>ON X.ENTTY_ID=Y.ENTTY_ID_SIMUL</v>
      </c>
      <c r="L510" s="35" t="str">
        <f>+IF(C510="Coerência", +IF(LEFT(G510,5)="FLOAT","SELECT '"&amp;UPPER(B510)&amp;"' AS TABELA, '"&amp;UPPER(C510)&amp;"' AS TIPOLOGIA_TESTE,'"&amp;D510&amp;"' AS TABELA_LT,'"&amp;E510&amp;"' AS TABELA_SIMUL,'"&amp;F510&amp;"' AS CAMPO, "&amp;"'${ref_date}' AS REF_DATE, COUNT(*) AS NUM_REG, SUM(IF((ABS(COALESCE(CAST(X."&amp;F510&amp;" AS DECIMAL(18,6)),0)-COALESCE(CAST(Y."&amp;F510&amp;"_SIMUL AS DECIMAL(18,6)),0))&gt;0.000001) OR (X."&amp;F510&amp;" IS NULL AND Y."&amp;F510&amp;"_SIMUL IS NOT NULL ) OR (X."&amp;F510&amp;" IS NOT NULL AND Y."&amp;F510&amp;"_SIMUL IS NULL),1,0)) AS NUM_REG_DIF,'"&amp;MAX('ID1&amp;5'!K:K)+1&amp;"' AS ID_EXEC, CURRENT_TIMESTAMP() AS TIME_EXEC FROM "&amp;I510&amp;" INNER JOIN "&amp;J510&amp;" "&amp;K510,"SELECT '"&amp;UPPER(B510)&amp;"' AS TABELA, '"&amp;UPPER(C510)&amp;"' AS TIPOLOGIA_TESTE,'"&amp;D510&amp;"' AS TABELA_LT,'"&amp;E510&amp;"' AS TABELA_SIMUL,'"&amp;F510&amp;"' AS CAMPO, "&amp;"'${ref_date}' AS REF_DATE, COUNT(*) AS NUM_REG, SUM(IF(COALESCE(CAST(X."&amp;F510&amp;" AS STRING),'')&lt;&gt;COALESCE(CAST(Y."&amp;F510&amp;"_SIMUL AS STRING),'') OR (X."&amp;F510&amp;" IS NULL AND Y."&amp;F510&amp;"_SIMUL IS NOT NULL ) OR (X."&amp;F510&amp;" IS NOT NULL AND Y."&amp;F510&amp;"_SIMUL IS NULL),1,0)) AS NUM_REG_DIF,'"&amp;MAX('ID1&amp;5'!L:L)+1&amp;"' AS ID_EXEC, CURRENT_TIMESTAMP() AS TIME_EXEC FROM "&amp;I510&amp;" INNER JOIN "&amp;J510&amp;" "&amp;K510),
IF(C510="Validade",+IF(G510="Code List","SELECT '"&amp;UPPER(B510)&amp;"' AS TABELA, '"&amp;UPPER(C510)&amp;"' AS TIPOLOGIA_TESTE,'"&amp;D510&amp;"' AS TABELA_LT,'N/A' AS TABELA_SIMUL,'"&amp;F510&amp;"' AS CAMPO, "&amp;"'${ref_date}' AS REF_DATE, COUNT(*) AS NUM_REG, SUM(IF(TRIM(CAST(X."&amp;F510&amp;" AS STRING))='' OR TRIM(CAST(X."&amp;F510&amp;" AS STRING)) IS NULL OR CAST(X."&amp;F510&amp;" AS STRING) NOT "&amp;H510&amp;",1,0)) AS NUM_REG_DIF,'"&amp;MAX('ID1&amp;5'!K:K)+1&amp;"' AS ID_EXEC, CURRENT_TIMESTAMP() AS TIME_EXEC FROM "&amp;I510,"SELECT '"&amp;UPPER(B510)&amp;"' AS TABELA, '"&amp;UPPER(C510)&amp;"' AS TIPOLOGIA_TESTE,'"&amp;D510&amp;"' AS TABELA_LT,'N/A' AS TABELA_SIMUL,'"&amp;F510&amp;"' AS CAMPO, "&amp;"'${ref_date}' AS REF_DATE, COUNT(*) AS NUM_REG, SUM(IF(TRIM(CAST(X."&amp;F510&amp;" AS STRING))='' OR TRIM(CAST(X."&amp;F510&amp;" AS STRING)) IS NULL,1,0)) AS NUM_REG_DIF,'"&amp;MAX('ID1&amp;5'!K:K)+1&amp;"' AS ID_EXEC, CURRENT_TIMESTAMP() AS TIME_EXEC FROM "&amp;I510),
IF(C510="Caracteres Especiais",+"SELECT '"&amp;UPPER(B510)&amp;"' AS TABELA, '"&amp;UPPER(C510)&amp;"' AS TIPOLOGIA_TESTE,'"&amp;D510&amp;"' AS TABELA_LT,'N/A' AS TABELA_SIMUL,'"&amp;F510&amp;"' AS CAMPO, "&amp;"'${ref_date}' AS REF_DATE, COUNT(*) AS NUM_REG, SUM(IF(REGEXP_REPLACE(TRIM(CAST(X."&amp;F510&amp;" AS STRING)),'[^a-zA-Z0-9_\\s]','') &lt;&gt;TRIM(CAST(X."&amp;F510&amp;" AS STRING)),1,0)) AS NUM_REG_DIF,'"&amp;MAX('ID1&amp;5'!K:K)+1&amp;"' AS ID_EXEC, CURRENT_TIMESTAMP() AS TIME_EXEC FROM "&amp;I510,
IF(C510="Missings",+"SELECT '"&amp;UPPER(B510)&amp;"' AS TABELA, '"&amp;UPPER(C510)&amp;"' AS TIPOLOGIA_TESTE,'"&amp;D510&amp;"' AS TABELA_LT,'N/A' AS TABELA_SIMUL,'"&amp;F510&amp;"' AS CAMPO, "&amp;"'${ref_date}' AS REF_DATE, COUNT(*) AS NUM_REG, SUM(IF(TRIM(CAST(X."&amp;F510&amp;" AS STRING)) IN ('0000-00-00','0001-01-01','9999-12-31','MISS','00000','99999999999','99999999999.00','99999999999.000000'),1,0)) AS NUM_REG_DIF,'"&amp;MAX('ID1&amp;5'!K:K)+1&amp;"' AS ID_EXEC, CURRENT_TIMESTAMP() AS TIME_EXEC FROM "&amp;I510,
IF(C510="Not applicable",+"SELECT '"&amp;UPPER(B510)&amp;"' AS TABELA, '"&amp;UPPER(C510)&amp;"' AS TIPOLOGIA_TESTE,'"&amp;D510&amp;"' AS TABELA_LT,'N/A' AS TABELA_SIMUL,'"&amp;F510&amp;"' AS CAMPO, "&amp;"'${ref_date}' AS REF_DATE, COUNT(*) AS NUM_REG, SUM(IF(TRIM(CAST(X."&amp;F510&amp;" AS STRING)) IN ('N/A','11111111111','11111111111.00','11111111111.000000','1111-11-11'),1,0)) AS NUM_REG_DIF,'"&amp;MAX('ID1&amp;5'!K:K)+1&amp;"' AS ID_EXEC, CURRENT_TIMESTAMP() AS TIME_EXEC FROM "&amp;I510,
IF(C510="Valores extremos",+"SELECT '"&amp;UPPER(B510)&amp;"' AS TABELA, '"&amp;UPPER(C510)&amp;"' AS TIPOLOGIA_TESTE,'"&amp;D510&amp;"' AS TABELA_LT,'N/A' AS TABELA_SIMUL,'"&amp;F510&amp;"' AS CAMPO, "&amp;"'${ref_date}' AS REF_DATE, CAST(MIN("&amp;F510&amp;") AS STRING) AS VALOR_MIN, CAST(MAX("&amp;F510&amp;") AS STRING) AS VALOR_MAX,'"&amp;MAX('ID1&amp;5'!K:K)+1&amp;"' AS ID_EXEC, CURRENT_TIMESTAMP() AS TIME_EXEC FROM "&amp;MID(I510,1,LEN(I510)-2)&amp;" AND CAST("&amp;F510&amp;"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TABELA_SIMUL,'grp_emssns_scp1' AS CAMPO, '${ref_date}' AS REF_DATE, COUNT(*) AS NUM_REG, SUM(IF(COALESCE(CAST(X.grp_emssns_scp1 AS STRING),'')&lt;&gt;COALESCE(CAST(Y.grp_emssns_scp1_SIMUL AS STRING),'') OR (X.grp_emssns_scp1 IS NULL AND Y.grp_emssns_scp1_SIMUL IS NOT NULL ) OR (X.grp_emssns_scp1 IS NOT NULL AND Y.grp_emssns_scp1_SIMUL IS NULL),1,0)) AS NUM_REG_DIF,'1' AS ID_EXEC, CURRENT_TIMESTAMP() AS TIME_EXEC FROM (SELECT entty_id, grp_emssns_scp1 FROM BU_LOANTAPE_WORK.LT003_ENTITY WHERE ref_date='${ref_date}' AND nome_perimetro='Individual Local' AND segmento='ESTR' AND ambito='SRB_MBDT' AND entidade='00100')X INNER JOIN (SELECT entty_id AS entty_id_SIMUL, grp_emssns_scp1 AS grp_emssns_scp1_SIMUL FROM BU_LOANTAPE_WORK.SIMUL_LT003_ENTITY WHERE ref_date='${ref_date}' AND nome_perimetro='Individual Local' AND segmento='ESTR' AND ambito='PILAR3' AND entidade='00100')Y ON X.ENTTY_ID=Y.ENTTY_ID_SIMUL</v>
      </c>
      <c r="M510" s="36" t="str">
        <f t="shared" si="11"/>
        <v>UNION ALL SELECT 'ENTITY' AS TABELA, 'COERÊNCIA' AS TIPOLOGIA_TESTE,'BU_LOANTAPE_WORK.LT003_ENTITY' AS TABELA_LT,'BU_LOANTAPE_WORK.SIMUL_LT003_ENTITY' AS TABELA_SIMUL,'grp_emssns_scp1' AS CAMPO, '${ref_date}' AS REF_DATE, COUNT(*) AS NUM_REG, SUM(IF(COALESCE(CAST(X.grp_emssns_scp1 AS STRING),'')&lt;&gt;COALESCE(CAST(Y.grp_emssns_scp1_SIMUL AS STRING),'') OR (X.grp_emssns_scp1 IS NULL AND Y.grp_emssns_scp1_SIMUL IS NOT NULL ) OR (X.grp_emssns_scp1 IS NOT NULL AND Y.grp_emssns_scp1_SIMUL IS NULL),1,0)) AS NUM_REG_DIF,'1' AS ID_EXEC, CURRENT_TIMESTAMP() AS TIME_EXEC FROM (SELECT entty_id, grp_emssns_scp1 FROM BU_LOANTAPE_WORK.LT003_ENTITY WHERE ref_date='${ref_date}' AND nome_perimetro='Individual Local' AND segmento='ESTR' AND ambito='SRB_MBDT' AND entidade='00100')X INNER JOIN (SELECT entty_id AS entty_id_SIMUL, grp_emssns_scp1 AS grp_emssns_scp1_SIMUL FROM BU_LOANTAPE_WORK.SIMUL_LT003_ENTITY WHERE ref_date='${ref_date}' AND nome_perimetro='Individual Local' AND segmento='ESTR' AND ambito='PILAR3' AND entidade='00100')Y ON X.ENTTY_ID=Y.ENTTY_ID_SIMUL</v>
      </c>
    </row>
    <row r="511" spans="2:13">
      <c r="B511" s="34" t="s">
        <v>118</v>
      </c>
      <c r="C511" s="34" t="s">
        <v>5</v>
      </c>
      <c r="D511" s="34" t="str">
        <f>+UPPER('0. Instruções'!$D$35&amp;"."&amp;VLOOKUP(B511,'0. Instruções'!$C$27:$D$32,2,FALSE))</f>
        <v>BU_LOANTAPE_WORK.LT003_ENTITY</v>
      </c>
      <c r="E511" s="34" t="str">
        <f>+UPPER('0. Instruções'!$D$36&amp;"."&amp;VLOOKUP(B511,'0. Instruções'!$C$27:$E$32,3,FALSE))</f>
        <v>BU_LOANTAPE_WORK.SIMUL_LT003_ENTITY</v>
      </c>
      <c r="F511" s="34" t="s">
        <v>619</v>
      </c>
      <c r="G511" s="34"/>
      <c r="H511" s="34"/>
      <c r="I511" s="34" t="str">
        <f>"(SELECT "&amp;VLOOKUP(B511,'0. Instruções'!$C$27:$G$32,4,FALSE)&amp;", "&amp;F511&amp;" FROM "&amp;D511&amp;" WHERE "&amp;'0. Instruções'!$D$42&amp;")X"</f>
        <v>(SELECT entty_id, grp_emssns_scp2 FROM BU_LOANTAPE_WORK.LT003_ENTITY WHERE ref_date='${ref_date}' AND nome_perimetro='Individual Local' AND segmento='ESTR' AND ambito='SRB_MBDT' AND entidade='00100')X</v>
      </c>
      <c r="J511" s="34" t="str">
        <f>"(SELECT "&amp;VLOOKUP(B511,'0. Instruções'!$C$27:$G$32,4,FALSE)&amp;" AS "&amp;VLOOKUP(B511,'0. Instruções'!$C$27:$G$32,4,FALSE)&amp;"_SIMUL, "&amp;F511&amp;" AS "&amp;F511&amp;"_SIMUL FROM "&amp;E511&amp;" WHERE "&amp;'0. Instruções'!$D$43&amp;")Y"</f>
        <v>(SELECT entty_id AS entty_id_SIMUL, grp_emssns_scp2 AS grp_emssns_scp2_SIMUL FROM BU_LOANTAPE_WORK.SIMUL_LT003_ENTITY WHERE ref_date='${ref_date}' AND nome_perimetro='Individual Local' AND segmento='ESTR' AND ambito='PILAR3' AND entidade='00100')Y</v>
      </c>
      <c r="K511" s="35" t="str">
        <f>+UPPER("ON X."&amp;VLOOKUP(B511,'0. Instruções'!$C$27:$G$32,4,FALSE)&amp;"=Y."&amp;VLOOKUP(B511,'0. Instruções'!$C$27:$G$32,4,FALSE)&amp;"_SIMUL")</f>
        <v>ON X.ENTTY_ID=Y.ENTTY_ID_SIMUL</v>
      </c>
      <c r="L511" s="35" t="str">
        <f>+IF(C511="Coerência", +IF(LEFT(G511,5)="FLOAT","SELECT '"&amp;UPPER(B511)&amp;"' AS TABELA, '"&amp;UPPER(C511)&amp;"' AS TIPOLOGIA_TESTE,'"&amp;D511&amp;"' AS TABELA_LT,'"&amp;E511&amp;"' AS TABELA_SIMUL,'"&amp;F511&amp;"' AS CAMPO, "&amp;"'${ref_date}' AS REF_DATE, COUNT(*) AS NUM_REG, SUM(IF((ABS(COALESCE(CAST(X."&amp;F511&amp;" AS DECIMAL(18,6)),0)-COALESCE(CAST(Y."&amp;F511&amp;"_SIMUL AS DECIMAL(18,6)),0))&gt;0.000001) OR (X."&amp;F511&amp;" IS NULL AND Y."&amp;F511&amp;"_SIMUL IS NOT NULL ) OR (X."&amp;F511&amp;" IS NOT NULL AND Y."&amp;F511&amp;"_SIMUL IS NULL),1,0)) AS NUM_REG_DIF,'"&amp;MAX('ID1&amp;5'!K:K)+1&amp;"' AS ID_EXEC, CURRENT_TIMESTAMP() AS TIME_EXEC FROM "&amp;I511&amp;" INNER JOIN "&amp;J511&amp;" "&amp;K511,"SELECT '"&amp;UPPER(B511)&amp;"' AS TABELA, '"&amp;UPPER(C511)&amp;"' AS TIPOLOGIA_TESTE,'"&amp;D511&amp;"' AS TABELA_LT,'"&amp;E511&amp;"' AS TABELA_SIMUL,'"&amp;F511&amp;"' AS CAMPO, "&amp;"'${ref_date}' AS REF_DATE, COUNT(*) AS NUM_REG, SUM(IF(COALESCE(CAST(X."&amp;F511&amp;" AS STRING),'')&lt;&gt;COALESCE(CAST(Y."&amp;F511&amp;"_SIMUL AS STRING),'') OR (X."&amp;F511&amp;" IS NULL AND Y."&amp;F511&amp;"_SIMUL IS NOT NULL ) OR (X."&amp;F511&amp;" IS NOT NULL AND Y."&amp;F511&amp;"_SIMUL IS NULL),1,0)) AS NUM_REG_DIF,'"&amp;MAX('ID1&amp;5'!L:L)+1&amp;"' AS ID_EXEC, CURRENT_TIMESTAMP() AS TIME_EXEC FROM "&amp;I511&amp;" INNER JOIN "&amp;J511&amp;" "&amp;K511),
IF(C511="Validade",+IF(G511="Code List","SELECT '"&amp;UPPER(B511)&amp;"' AS TABELA, '"&amp;UPPER(C511)&amp;"' AS TIPOLOGIA_TESTE,'"&amp;D511&amp;"' AS TABELA_LT,'N/A' AS TABELA_SIMUL,'"&amp;F511&amp;"' AS CAMPO, "&amp;"'${ref_date}' AS REF_DATE, COUNT(*) AS NUM_REG, SUM(IF(TRIM(CAST(X."&amp;F511&amp;" AS STRING))='' OR TRIM(CAST(X."&amp;F511&amp;" AS STRING)) IS NULL OR CAST(X."&amp;F511&amp;" AS STRING) NOT "&amp;H511&amp;",1,0)) AS NUM_REG_DIF,'"&amp;MAX('ID1&amp;5'!K:K)+1&amp;"' AS ID_EXEC, CURRENT_TIMESTAMP() AS TIME_EXEC FROM "&amp;I511,"SELECT '"&amp;UPPER(B511)&amp;"' AS TABELA, '"&amp;UPPER(C511)&amp;"' AS TIPOLOGIA_TESTE,'"&amp;D511&amp;"' AS TABELA_LT,'N/A' AS TABELA_SIMUL,'"&amp;F511&amp;"' AS CAMPO, "&amp;"'${ref_date}' AS REF_DATE, COUNT(*) AS NUM_REG, SUM(IF(TRIM(CAST(X."&amp;F511&amp;" AS STRING))='' OR TRIM(CAST(X."&amp;F511&amp;" AS STRING)) IS NULL,1,0)) AS NUM_REG_DIF,'"&amp;MAX('ID1&amp;5'!K:K)+1&amp;"' AS ID_EXEC, CURRENT_TIMESTAMP() AS TIME_EXEC FROM "&amp;I511),
IF(C511="Caracteres Especiais",+"SELECT '"&amp;UPPER(B511)&amp;"' AS TABELA, '"&amp;UPPER(C511)&amp;"' AS TIPOLOGIA_TESTE,'"&amp;D511&amp;"' AS TABELA_LT,'N/A' AS TABELA_SIMUL,'"&amp;F511&amp;"' AS CAMPO, "&amp;"'${ref_date}' AS REF_DATE, COUNT(*) AS NUM_REG, SUM(IF(REGEXP_REPLACE(TRIM(CAST(X."&amp;F511&amp;" AS STRING)),'[^a-zA-Z0-9_\\s]','') &lt;&gt;TRIM(CAST(X."&amp;F511&amp;" AS STRING)),1,0)) AS NUM_REG_DIF,'"&amp;MAX('ID1&amp;5'!K:K)+1&amp;"' AS ID_EXEC, CURRENT_TIMESTAMP() AS TIME_EXEC FROM "&amp;I511,
IF(C511="Missings",+"SELECT '"&amp;UPPER(B511)&amp;"' AS TABELA, '"&amp;UPPER(C511)&amp;"' AS TIPOLOGIA_TESTE,'"&amp;D511&amp;"' AS TABELA_LT,'N/A' AS TABELA_SIMUL,'"&amp;F511&amp;"' AS CAMPO, "&amp;"'${ref_date}' AS REF_DATE, COUNT(*) AS NUM_REG, SUM(IF(TRIM(CAST(X."&amp;F511&amp;" AS STRING)) IN ('0000-00-00','0001-01-01','9999-12-31','MISS','00000','99999999999','99999999999.00','99999999999.000000'),1,0)) AS NUM_REG_DIF,'"&amp;MAX('ID1&amp;5'!K:K)+1&amp;"' AS ID_EXEC, CURRENT_TIMESTAMP() AS TIME_EXEC FROM "&amp;I511,
IF(C511="Not applicable",+"SELECT '"&amp;UPPER(B511)&amp;"' AS TABELA, '"&amp;UPPER(C511)&amp;"' AS TIPOLOGIA_TESTE,'"&amp;D511&amp;"' AS TABELA_LT,'N/A' AS TABELA_SIMUL,'"&amp;F511&amp;"' AS CAMPO, "&amp;"'${ref_date}' AS REF_DATE, COUNT(*) AS NUM_REG, SUM(IF(TRIM(CAST(X."&amp;F511&amp;" AS STRING)) IN ('N/A','11111111111','11111111111.00','11111111111.000000','1111-11-11'),1,0)) AS NUM_REG_DIF,'"&amp;MAX('ID1&amp;5'!K:K)+1&amp;"' AS ID_EXEC, CURRENT_TIMESTAMP() AS TIME_EXEC FROM "&amp;I511,
IF(C511="Valores extremos",+"SELECT '"&amp;UPPER(B511)&amp;"' AS TABELA, '"&amp;UPPER(C511)&amp;"' AS TIPOLOGIA_TESTE,'"&amp;D511&amp;"' AS TABELA_LT,'N/A' AS TABELA_SIMUL,'"&amp;F511&amp;"' AS CAMPO, "&amp;"'${ref_date}' AS REF_DATE, CAST(MIN("&amp;F511&amp;") AS STRING) AS VALOR_MIN, CAST(MAX("&amp;F511&amp;") AS STRING) AS VALOR_MAX,'"&amp;MAX('ID1&amp;5'!K:K)+1&amp;"' AS ID_EXEC, CURRENT_TIMESTAMP() AS TIME_EXEC FROM "&amp;MID(I511,1,LEN(I511)-2)&amp;" AND CAST("&amp;F511&amp;"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TABELA_SIMUL,'grp_emssns_scp2' AS CAMPO, '${ref_date}' AS REF_DATE, COUNT(*) AS NUM_REG, SUM(IF(COALESCE(CAST(X.grp_emssns_scp2 AS STRING),'')&lt;&gt;COALESCE(CAST(Y.grp_emssns_scp2_SIMUL AS STRING),'') OR (X.grp_emssns_scp2 IS NULL AND Y.grp_emssns_scp2_SIMUL IS NOT NULL ) OR (X.grp_emssns_scp2 IS NOT NULL AND Y.grp_emssns_scp2_SIMUL IS NULL),1,0)) AS NUM_REG_DIF,'1' AS ID_EXEC, CURRENT_TIMESTAMP() AS TIME_EXEC FROM (SELECT entty_id, grp_emssns_scp2 FROM BU_LOANTAPE_WORK.LT003_ENTITY WHERE ref_date='${ref_date}' AND nome_perimetro='Individual Local' AND segmento='ESTR' AND ambito='SRB_MBDT' AND entidade='00100')X INNER JOIN (SELECT entty_id AS entty_id_SIMUL, grp_emssns_scp2 AS grp_emssns_scp2_SIMUL FROM BU_LOANTAPE_WORK.SIMUL_LT003_ENTITY WHERE ref_date='${ref_date}' AND nome_perimetro='Individual Local' AND segmento='ESTR' AND ambito='PILAR3' AND entidade='00100')Y ON X.ENTTY_ID=Y.ENTTY_ID_SIMUL</v>
      </c>
      <c r="M511" s="36" t="str">
        <f t="shared" si="11"/>
        <v>UNION ALL SELECT 'ENTITY' AS TABELA, 'COERÊNCIA' AS TIPOLOGIA_TESTE,'BU_LOANTAPE_WORK.LT003_ENTITY' AS TABELA_LT,'BU_LOANTAPE_WORK.SIMUL_LT003_ENTITY' AS TABELA_SIMUL,'grp_emssns_scp2' AS CAMPO, '${ref_date}' AS REF_DATE, COUNT(*) AS NUM_REG, SUM(IF(COALESCE(CAST(X.grp_emssns_scp2 AS STRING),'')&lt;&gt;COALESCE(CAST(Y.grp_emssns_scp2_SIMUL AS STRING),'') OR (X.grp_emssns_scp2 IS NULL AND Y.grp_emssns_scp2_SIMUL IS NOT NULL ) OR (X.grp_emssns_scp2 IS NOT NULL AND Y.grp_emssns_scp2_SIMUL IS NULL),1,0)) AS NUM_REG_DIF,'1' AS ID_EXEC, CURRENT_TIMESTAMP() AS TIME_EXEC FROM (SELECT entty_id, grp_emssns_scp2 FROM BU_LOANTAPE_WORK.LT003_ENTITY WHERE ref_date='${ref_date}' AND nome_perimetro='Individual Local' AND segmento='ESTR' AND ambito='SRB_MBDT' AND entidade='00100')X INNER JOIN (SELECT entty_id AS entty_id_SIMUL, grp_emssns_scp2 AS grp_emssns_scp2_SIMUL FROM BU_LOANTAPE_WORK.SIMUL_LT003_ENTITY WHERE ref_date='${ref_date}' AND nome_perimetro='Individual Local' AND segmento='ESTR' AND ambito='PILAR3' AND entidade='00100')Y ON X.ENTTY_ID=Y.ENTTY_ID_SIMUL</v>
      </c>
    </row>
    <row r="512" spans="2:13">
      <c r="B512" s="34" t="s">
        <v>118</v>
      </c>
      <c r="C512" s="34" t="s">
        <v>5</v>
      </c>
      <c r="D512" s="34" t="str">
        <f>+UPPER('0. Instruções'!$D$35&amp;"."&amp;VLOOKUP(B512,'0. Instruções'!$C$27:$D$32,2,FALSE))</f>
        <v>BU_LOANTAPE_WORK.LT003_ENTITY</v>
      </c>
      <c r="E512" s="34" t="str">
        <f>+UPPER('0. Instruções'!$D$36&amp;"."&amp;VLOOKUP(B512,'0. Instruções'!$C$27:$E$32,3,FALSE))</f>
        <v>BU_LOANTAPE_WORK.SIMUL_LT003_ENTITY</v>
      </c>
      <c r="F512" s="34" t="s">
        <v>620</v>
      </c>
      <c r="G512" s="34"/>
      <c r="H512" s="34"/>
      <c r="I512" s="34" t="str">
        <f>"(SELECT "&amp;VLOOKUP(B512,'0. Instruções'!$C$27:$G$32,4,FALSE)&amp;", "&amp;F512&amp;" FROM "&amp;D512&amp;" WHERE "&amp;'0. Instruções'!$D$42&amp;")X"</f>
        <v>(SELECT entty_id, grp_emssns_scp3 FROM BU_LOANTAPE_WORK.LT003_ENTITY WHERE ref_date='${ref_date}' AND nome_perimetro='Individual Local' AND segmento='ESTR' AND ambito='SRB_MBDT' AND entidade='00100')X</v>
      </c>
      <c r="J512" s="34" t="str">
        <f>"(SELECT "&amp;VLOOKUP(B512,'0. Instruções'!$C$27:$G$32,4,FALSE)&amp;" AS "&amp;VLOOKUP(B512,'0. Instruções'!$C$27:$G$32,4,FALSE)&amp;"_SIMUL, "&amp;F512&amp;" AS "&amp;F512&amp;"_SIMUL FROM "&amp;E512&amp;" WHERE "&amp;'0. Instruções'!$D$43&amp;")Y"</f>
        <v>(SELECT entty_id AS entty_id_SIMUL, grp_emssns_scp3 AS grp_emssns_scp3_SIMUL FROM BU_LOANTAPE_WORK.SIMUL_LT003_ENTITY WHERE ref_date='${ref_date}' AND nome_perimetro='Individual Local' AND segmento='ESTR' AND ambito='PILAR3' AND entidade='00100')Y</v>
      </c>
      <c r="K512" s="35" t="str">
        <f>+UPPER("ON X."&amp;VLOOKUP(B512,'0. Instruções'!$C$27:$G$32,4,FALSE)&amp;"=Y."&amp;VLOOKUP(B512,'0. Instruções'!$C$27:$G$32,4,FALSE)&amp;"_SIMUL")</f>
        <v>ON X.ENTTY_ID=Y.ENTTY_ID_SIMUL</v>
      </c>
      <c r="L512" s="35" t="str">
        <f>+IF(C512="Coerência", +IF(LEFT(G512,5)="FLOAT","SELECT '"&amp;UPPER(B512)&amp;"' AS TABELA, '"&amp;UPPER(C512)&amp;"' AS TIPOLOGIA_TESTE,'"&amp;D512&amp;"' AS TABELA_LT,'"&amp;E512&amp;"' AS TABELA_SIMUL,'"&amp;F512&amp;"' AS CAMPO, "&amp;"'${ref_date}' AS REF_DATE, COUNT(*) AS NUM_REG, SUM(IF((ABS(COALESCE(CAST(X."&amp;F512&amp;" AS DECIMAL(18,6)),0)-COALESCE(CAST(Y."&amp;F512&amp;"_SIMUL AS DECIMAL(18,6)),0))&gt;0.000001) OR (X."&amp;F512&amp;" IS NULL AND Y."&amp;F512&amp;"_SIMUL IS NOT NULL ) OR (X."&amp;F512&amp;" IS NOT NULL AND Y."&amp;F512&amp;"_SIMUL IS NULL),1,0)) AS NUM_REG_DIF,'"&amp;MAX('ID1&amp;5'!K:K)+1&amp;"' AS ID_EXEC, CURRENT_TIMESTAMP() AS TIME_EXEC FROM "&amp;I512&amp;" INNER JOIN "&amp;J512&amp;" "&amp;K512,"SELECT '"&amp;UPPER(B512)&amp;"' AS TABELA, '"&amp;UPPER(C512)&amp;"' AS TIPOLOGIA_TESTE,'"&amp;D512&amp;"' AS TABELA_LT,'"&amp;E512&amp;"' AS TABELA_SIMUL,'"&amp;F512&amp;"' AS CAMPO, "&amp;"'${ref_date}' AS REF_DATE, COUNT(*) AS NUM_REG, SUM(IF(COALESCE(CAST(X."&amp;F512&amp;" AS STRING),'')&lt;&gt;COALESCE(CAST(Y."&amp;F512&amp;"_SIMUL AS STRING),'') OR (X."&amp;F512&amp;" IS NULL AND Y."&amp;F512&amp;"_SIMUL IS NOT NULL ) OR (X."&amp;F512&amp;" IS NOT NULL AND Y."&amp;F512&amp;"_SIMUL IS NULL),1,0)) AS NUM_REG_DIF,'"&amp;MAX('ID1&amp;5'!L:L)+1&amp;"' AS ID_EXEC, CURRENT_TIMESTAMP() AS TIME_EXEC FROM "&amp;I512&amp;" INNER JOIN "&amp;J512&amp;" "&amp;K512),
IF(C512="Validade",+IF(G512="Code List","SELECT '"&amp;UPPER(B512)&amp;"' AS TABELA, '"&amp;UPPER(C512)&amp;"' AS TIPOLOGIA_TESTE,'"&amp;D512&amp;"' AS TABELA_LT,'N/A' AS TABELA_SIMUL,'"&amp;F512&amp;"' AS CAMPO, "&amp;"'${ref_date}' AS REF_DATE, COUNT(*) AS NUM_REG, SUM(IF(TRIM(CAST(X."&amp;F512&amp;" AS STRING))='' OR TRIM(CAST(X."&amp;F512&amp;" AS STRING)) IS NULL OR CAST(X."&amp;F512&amp;" AS STRING) NOT "&amp;H512&amp;",1,0)) AS NUM_REG_DIF,'"&amp;MAX('ID1&amp;5'!K:K)+1&amp;"' AS ID_EXEC, CURRENT_TIMESTAMP() AS TIME_EXEC FROM "&amp;I512,"SELECT '"&amp;UPPER(B512)&amp;"' AS TABELA, '"&amp;UPPER(C512)&amp;"' AS TIPOLOGIA_TESTE,'"&amp;D512&amp;"' AS TABELA_LT,'N/A' AS TABELA_SIMUL,'"&amp;F512&amp;"' AS CAMPO, "&amp;"'${ref_date}' AS REF_DATE, COUNT(*) AS NUM_REG, SUM(IF(TRIM(CAST(X."&amp;F512&amp;" AS STRING))='' OR TRIM(CAST(X."&amp;F512&amp;" AS STRING)) IS NULL,1,0)) AS NUM_REG_DIF,'"&amp;MAX('ID1&amp;5'!K:K)+1&amp;"' AS ID_EXEC, CURRENT_TIMESTAMP() AS TIME_EXEC FROM "&amp;I512),
IF(C512="Caracteres Especiais",+"SELECT '"&amp;UPPER(B512)&amp;"' AS TABELA, '"&amp;UPPER(C512)&amp;"' AS TIPOLOGIA_TESTE,'"&amp;D512&amp;"' AS TABELA_LT,'N/A' AS TABELA_SIMUL,'"&amp;F512&amp;"' AS CAMPO, "&amp;"'${ref_date}' AS REF_DATE, COUNT(*) AS NUM_REG, SUM(IF(REGEXP_REPLACE(TRIM(CAST(X."&amp;F512&amp;" AS STRING)),'[^a-zA-Z0-9_\\s]','') &lt;&gt;TRIM(CAST(X."&amp;F512&amp;" AS STRING)),1,0)) AS NUM_REG_DIF,'"&amp;MAX('ID1&amp;5'!K:K)+1&amp;"' AS ID_EXEC, CURRENT_TIMESTAMP() AS TIME_EXEC FROM "&amp;I512,
IF(C512="Missings",+"SELECT '"&amp;UPPER(B512)&amp;"' AS TABELA, '"&amp;UPPER(C512)&amp;"' AS TIPOLOGIA_TESTE,'"&amp;D512&amp;"' AS TABELA_LT,'N/A' AS TABELA_SIMUL,'"&amp;F512&amp;"' AS CAMPO, "&amp;"'${ref_date}' AS REF_DATE, COUNT(*) AS NUM_REG, SUM(IF(TRIM(CAST(X."&amp;F512&amp;" AS STRING)) IN ('0000-00-00','0001-01-01','9999-12-31','MISS','00000','99999999999','99999999999.00','99999999999.000000'),1,0)) AS NUM_REG_DIF,'"&amp;MAX('ID1&amp;5'!K:K)+1&amp;"' AS ID_EXEC, CURRENT_TIMESTAMP() AS TIME_EXEC FROM "&amp;I512,
IF(C512="Not applicable",+"SELECT '"&amp;UPPER(B512)&amp;"' AS TABELA, '"&amp;UPPER(C512)&amp;"' AS TIPOLOGIA_TESTE,'"&amp;D512&amp;"' AS TABELA_LT,'N/A' AS TABELA_SIMUL,'"&amp;F512&amp;"' AS CAMPO, "&amp;"'${ref_date}' AS REF_DATE, COUNT(*) AS NUM_REG, SUM(IF(TRIM(CAST(X."&amp;F512&amp;" AS STRING)) IN ('N/A','11111111111','11111111111.00','11111111111.000000','1111-11-11'),1,0)) AS NUM_REG_DIF,'"&amp;MAX('ID1&amp;5'!K:K)+1&amp;"' AS ID_EXEC, CURRENT_TIMESTAMP() AS TIME_EXEC FROM "&amp;I512,
IF(C512="Valores extremos",+"SELECT '"&amp;UPPER(B512)&amp;"' AS TABELA, '"&amp;UPPER(C512)&amp;"' AS TIPOLOGIA_TESTE,'"&amp;D512&amp;"' AS TABELA_LT,'N/A' AS TABELA_SIMUL,'"&amp;F512&amp;"' AS CAMPO, "&amp;"'${ref_date}' AS REF_DATE, CAST(MIN("&amp;F512&amp;") AS STRING) AS VALOR_MIN, CAST(MAX("&amp;F512&amp;") AS STRING) AS VALOR_MAX,'"&amp;MAX('ID1&amp;5'!K:K)+1&amp;"' AS ID_EXEC, CURRENT_TIMESTAMP() AS TIME_EXEC FROM "&amp;MID(I512,1,LEN(I512)-2)&amp;" AND CAST("&amp;F512&amp;"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TABELA_SIMUL,'grp_emssns_scp3' AS CAMPO, '${ref_date}' AS REF_DATE, COUNT(*) AS NUM_REG, SUM(IF(COALESCE(CAST(X.grp_emssns_scp3 AS STRING),'')&lt;&gt;COALESCE(CAST(Y.grp_emssns_scp3_SIMUL AS STRING),'') OR (X.grp_emssns_scp3 IS NULL AND Y.grp_emssns_scp3_SIMUL IS NOT NULL ) OR (X.grp_emssns_scp3 IS NOT NULL AND Y.grp_emssns_scp3_SIMUL IS NULL),1,0)) AS NUM_REG_DIF,'1' AS ID_EXEC, CURRENT_TIMESTAMP() AS TIME_EXEC FROM (SELECT entty_id, grp_emssns_scp3 FROM BU_LOANTAPE_WORK.LT003_ENTITY WHERE ref_date='${ref_date}' AND nome_perimetro='Individual Local' AND segmento='ESTR' AND ambito='SRB_MBDT' AND entidade='00100')X INNER JOIN (SELECT entty_id AS entty_id_SIMUL, grp_emssns_scp3 AS grp_emssns_scp3_SIMUL FROM BU_LOANTAPE_WORK.SIMUL_LT003_ENTITY WHERE ref_date='${ref_date}' AND nome_perimetro='Individual Local' AND segmento='ESTR' AND ambito='PILAR3' AND entidade='00100')Y ON X.ENTTY_ID=Y.ENTTY_ID_SIMUL</v>
      </c>
      <c r="M512" s="36" t="str">
        <f t="shared" si="11"/>
        <v>UNION ALL SELECT 'ENTITY' AS TABELA, 'COERÊNCIA' AS TIPOLOGIA_TESTE,'BU_LOANTAPE_WORK.LT003_ENTITY' AS TABELA_LT,'BU_LOANTAPE_WORK.SIMUL_LT003_ENTITY' AS TABELA_SIMUL,'grp_emssns_scp3' AS CAMPO, '${ref_date}' AS REF_DATE, COUNT(*) AS NUM_REG, SUM(IF(COALESCE(CAST(X.grp_emssns_scp3 AS STRING),'')&lt;&gt;COALESCE(CAST(Y.grp_emssns_scp3_SIMUL AS STRING),'') OR (X.grp_emssns_scp3 IS NULL AND Y.grp_emssns_scp3_SIMUL IS NOT NULL ) OR (X.grp_emssns_scp3 IS NOT NULL AND Y.grp_emssns_scp3_SIMUL IS NULL),1,0)) AS NUM_REG_DIF,'1' AS ID_EXEC, CURRENT_TIMESTAMP() AS TIME_EXEC FROM (SELECT entty_id, grp_emssns_scp3 FROM BU_LOANTAPE_WORK.LT003_ENTITY WHERE ref_date='${ref_date}' AND nome_perimetro='Individual Local' AND segmento='ESTR' AND ambito='SRB_MBDT' AND entidade='00100')X INNER JOIN (SELECT entty_id AS entty_id_SIMUL, grp_emssns_scp3 AS grp_emssns_scp3_SIMUL FROM BU_LOANTAPE_WORK.SIMUL_LT003_ENTITY WHERE ref_date='${ref_date}' AND nome_perimetro='Individual Local' AND segmento='ESTR' AND ambito='PILAR3' AND entidade='00100')Y ON X.ENTTY_ID=Y.ENTTY_ID_SIMUL</v>
      </c>
    </row>
    <row r="513" spans="2:13">
      <c r="B513" s="34" t="s">
        <v>118</v>
      </c>
      <c r="C513" s="34" t="s">
        <v>5</v>
      </c>
      <c r="D513" s="34" t="str">
        <f>+UPPER('0. Instruções'!$D$35&amp;"."&amp;VLOOKUP(B513,'0. Instruções'!$C$27:$D$32,2,FALSE))</f>
        <v>BU_LOANTAPE_WORK.LT003_ENTITY</v>
      </c>
      <c r="E513" s="34" t="str">
        <f>+UPPER('0. Instruções'!$D$36&amp;"."&amp;VLOOKUP(B513,'0. Instruções'!$C$27:$E$32,3,FALSE))</f>
        <v>BU_LOANTAPE_WORK.SIMUL_LT003_ENTITY</v>
      </c>
      <c r="F513" s="34" t="s">
        <v>1487</v>
      </c>
      <c r="G513" s="34"/>
      <c r="H513" s="34"/>
      <c r="I513" s="34" t="str">
        <f>"(SELECT "&amp;VLOOKUP(B513,'0. Instruções'!$C$27:$G$32,4,FALSE)&amp;", "&amp;F513&amp;" FROM "&amp;D513&amp;" WHERE "&amp;'0. Instruções'!$D$42&amp;")X"</f>
        <v>(SELECT entty_id, pd_ifrs9_12m_lftm_rd FROM BU_LOANTAPE_WORK.LT003_ENTITY WHERE ref_date='${ref_date}' AND nome_perimetro='Individual Local' AND segmento='ESTR' AND ambito='SRB_MBDT' AND entidade='00100')X</v>
      </c>
      <c r="J513" s="34" t="str">
        <f>"(SELECT "&amp;VLOOKUP(B513,'0. Instruções'!$C$27:$G$32,4,FALSE)&amp;" AS "&amp;VLOOKUP(B513,'0. Instruções'!$C$27:$G$32,4,FALSE)&amp;"_SIMUL, "&amp;F513&amp;" AS "&amp;F513&amp;"_SIMUL FROM "&amp;E513&amp;" WHERE "&amp;'0. Instruções'!$D$43&amp;")Y"</f>
        <v>(SELECT entty_id AS entty_id_SIMUL, pd_ifrs9_12m_lftm_rd AS pd_ifrs9_12m_lftm_rd_SIMUL FROM BU_LOANTAPE_WORK.SIMUL_LT003_ENTITY WHERE ref_date='${ref_date}' AND nome_perimetro='Individual Local' AND segmento='ESTR' AND ambito='PILAR3' AND entidade='00100')Y</v>
      </c>
      <c r="K513" s="35" t="str">
        <f>+UPPER("ON X."&amp;VLOOKUP(B513,'0. Instruções'!$C$27:$G$32,4,FALSE)&amp;"=Y."&amp;VLOOKUP(B513,'0. Instruções'!$C$27:$G$32,4,FALSE)&amp;"_SIMUL")</f>
        <v>ON X.ENTTY_ID=Y.ENTTY_ID_SIMUL</v>
      </c>
      <c r="L513" s="35" t="str">
        <f>+IF(C513="Coerência", +IF(LEFT(G513,5)="FLOAT","SELECT '"&amp;UPPER(B513)&amp;"' AS TABELA, '"&amp;UPPER(C513)&amp;"' AS TIPOLOGIA_TESTE,'"&amp;D513&amp;"' AS TABELA_LT,'"&amp;E513&amp;"' AS TABELA_SIMUL,'"&amp;F513&amp;"' AS CAMPO, "&amp;"'${ref_date}' AS REF_DATE, COUNT(*) AS NUM_REG, SUM(IF((ABS(COALESCE(CAST(X."&amp;F513&amp;" AS DECIMAL(18,6)),0)-COALESCE(CAST(Y."&amp;F513&amp;"_SIMUL AS DECIMAL(18,6)),0))&gt;0.000001) OR (X."&amp;F513&amp;" IS NULL AND Y."&amp;F513&amp;"_SIMUL IS NOT NULL ) OR (X."&amp;F513&amp;" IS NOT NULL AND Y."&amp;F513&amp;"_SIMUL IS NULL),1,0)) AS NUM_REG_DIF,'"&amp;MAX('ID1&amp;5'!K:K)+1&amp;"' AS ID_EXEC, CURRENT_TIMESTAMP() AS TIME_EXEC FROM "&amp;I513&amp;" INNER JOIN "&amp;J513&amp;" "&amp;K513,"SELECT '"&amp;UPPER(B513)&amp;"' AS TABELA, '"&amp;UPPER(C513)&amp;"' AS TIPOLOGIA_TESTE,'"&amp;D513&amp;"' AS TABELA_LT,'"&amp;E513&amp;"' AS TABELA_SIMUL,'"&amp;F513&amp;"' AS CAMPO, "&amp;"'${ref_date}' AS REF_DATE, COUNT(*) AS NUM_REG, SUM(IF(COALESCE(CAST(X."&amp;F513&amp;" AS STRING),'')&lt;&gt;COALESCE(CAST(Y."&amp;F513&amp;"_SIMUL AS STRING),'') OR (X."&amp;F513&amp;" IS NULL AND Y."&amp;F513&amp;"_SIMUL IS NOT NULL ) OR (X."&amp;F513&amp;" IS NOT NULL AND Y."&amp;F513&amp;"_SIMUL IS NULL),1,0)) AS NUM_REG_DIF,'"&amp;MAX('ID1&amp;5'!L:L)+1&amp;"' AS ID_EXEC, CURRENT_TIMESTAMP() AS TIME_EXEC FROM "&amp;I513&amp;" INNER JOIN "&amp;J513&amp;" "&amp;K513),
IF(C513="Validade",+IF(G513="Code List","SELECT '"&amp;UPPER(B513)&amp;"' AS TABELA, '"&amp;UPPER(C513)&amp;"' AS TIPOLOGIA_TESTE,'"&amp;D513&amp;"' AS TABELA_LT,'N/A' AS TABELA_SIMUL,'"&amp;F513&amp;"' AS CAMPO, "&amp;"'${ref_date}' AS REF_DATE, COUNT(*) AS NUM_REG, SUM(IF(TRIM(CAST(X."&amp;F513&amp;" AS STRING))='' OR TRIM(CAST(X."&amp;F513&amp;" AS STRING)) IS NULL OR CAST(X."&amp;F513&amp;" AS STRING) NOT "&amp;H513&amp;",1,0)) AS NUM_REG_DIF,'"&amp;MAX('ID1&amp;5'!K:K)+1&amp;"' AS ID_EXEC, CURRENT_TIMESTAMP() AS TIME_EXEC FROM "&amp;I513,"SELECT '"&amp;UPPER(B513)&amp;"' AS TABELA, '"&amp;UPPER(C513)&amp;"' AS TIPOLOGIA_TESTE,'"&amp;D513&amp;"' AS TABELA_LT,'N/A' AS TABELA_SIMUL,'"&amp;F513&amp;"' AS CAMPO, "&amp;"'${ref_date}' AS REF_DATE, COUNT(*) AS NUM_REG, SUM(IF(TRIM(CAST(X."&amp;F513&amp;" AS STRING))='' OR TRIM(CAST(X."&amp;F513&amp;" AS STRING)) IS NULL,1,0)) AS NUM_REG_DIF,'"&amp;MAX('ID1&amp;5'!K:K)+1&amp;"' AS ID_EXEC, CURRENT_TIMESTAMP() AS TIME_EXEC FROM "&amp;I513),
IF(C513="Caracteres Especiais",+"SELECT '"&amp;UPPER(B513)&amp;"' AS TABELA, '"&amp;UPPER(C513)&amp;"' AS TIPOLOGIA_TESTE,'"&amp;D513&amp;"' AS TABELA_LT,'N/A' AS TABELA_SIMUL,'"&amp;F513&amp;"' AS CAMPO, "&amp;"'${ref_date}' AS REF_DATE, COUNT(*) AS NUM_REG, SUM(IF(REGEXP_REPLACE(TRIM(CAST(X."&amp;F513&amp;" AS STRING)),'[^a-zA-Z0-9_\\s]','') &lt;&gt;TRIM(CAST(X."&amp;F513&amp;" AS STRING)),1,0)) AS NUM_REG_DIF,'"&amp;MAX('ID1&amp;5'!K:K)+1&amp;"' AS ID_EXEC, CURRENT_TIMESTAMP() AS TIME_EXEC FROM "&amp;I513,
IF(C513="Missings",+"SELECT '"&amp;UPPER(B513)&amp;"' AS TABELA, '"&amp;UPPER(C513)&amp;"' AS TIPOLOGIA_TESTE,'"&amp;D513&amp;"' AS TABELA_LT,'N/A' AS TABELA_SIMUL,'"&amp;F513&amp;"' AS CAMPO, "&amp;"'${ref_date}' AS REF_DATE, COUNT(*) AS NUM_REG, SUM(IF(TRIM(CAST(X."&amp;F513&amp;" AS STRING)) IN ('0000-00-00','0001-01-01','9999-12-31','MISS','00000','99999999999','99999999999.00','99999999999.000000'),1,0)) AS NUM_REG_DIF,'"&amp;MAX('ID1&amp;5'!K:K)+1&amp;"' AS ID_EXEC, CURRENT_TIMESTAMP() AS TIME_EXEC FROM "&amp;I513,
IF(C513="Not applicable",+"SELECT '"&amp;UPPER(B513)&amp;"' AS TABELA, '"&amp;UPPER(C513)&amp;"' AS TIPOLOGIA_TESTE,'"&amp;D513&amp;"' AS TABELA_LT,'N/A' AS TABELA_SIMUL,'"&amp;F513&amp;"' AS CAMPO, "&amp;"'${ref_date}' AS REF_DATE, COUNT(*) AS NUM_REG, SUM(IF(TRIM(CAST(X."&amp;F513&amp;" AS STRING)) IN ('N/A','11111111111','11111111111.00','11111111111.000000','1111-11-11'),1,0)) AS NUM_REG_DIF,'"&amp;MAX('ID1&amp;5'!K:K)+1&amp;"' AS ID_EXEC, CURRENT_TIMESTAMP() AS TIME_EXEC FROM "&amp;I513,
IF(C513="Valores extremos",+"SELECT '"&amp;UPPER(B513)&amp;"' AS TABELA, '"&amp;UPPER(C513)&amp;"' AS TIPOLOGIA_TESTE,'"&amp;D513&amp;"' AS TABELA_LT,'N/A' AS TABELA_SIMUL,'"&amp;F513&amp;"' AS CAMPO, "&amp;"'${ref_date}' AS REF_DATE, CAST(MIN("&amp;F513&amp;") AS STRING) AS VALOR_MIN, CAST(MAX("&amp;F513&amp;") AS STRING) AS VALOR_MAX,'"&amp;MAX('ID1&amp;5'!K:K)+1&amp;"' AS ID_EXEC, CURRENT_TIMESTAMP() AS TIME_EXEC FROM "&amp;MID(I513,1,LEN(I513)-2)&amp;" AND CAST("&amp;F513&amp;"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TABELA_SIMUL,'pd_ifrs9_12m_lftm_rd' AS CAMPO, '${ref_date}' AS REF_DATE, COUNT(*) AS NUM_REG, SUM(IF(COALESCE(CAST(X.pd_ifrs9_12m_lftm_rd AS STRING),'')&lt;&gt;COALESCE(CAST(Y.pd_ifrs9_12m_lftm_rd_SIMUL AS STRING),'') OR (X.pd_ifrs9_12m_lftm_rd IS NULL AND Y.pd_ifrs9_12m_lftm_rd_SIMUL IS NOT NULL ) OR (X.pd_ifrs9_12m_lftm_rd IS NOT NULL AND Y.pd_ifrs9_12m_lftm_rd_SIMUL IS NULL),1,0)) AS NUM_REG_DIF,'1' AS ID_EXEC, CURRENT_TIMESTAMP() AS TIME_EXEC FROM (SELECT entty_id, pd_ifrs9_12m_lftm_rd FROM BU_LOANTAPE_WORK.LT003_ENTITY WHERE ref_date='${ref_date}' AND nome_perimetro='Individual Local' AND segmento='ESTR' AND ambito='SRB_MBDT' AND entidade='00100')X INNER JOIN (SELECT entty_id AS entty_id_SIMUL, pd_ifrs9_12m_lftm_rd AS pd_ifrs9_12m_lftm_rd_SIMUL FROM BU_LOANTAPE_WORK.SIMUL_LT003_ENTITY WHERE ref_date='${ref_date}' AND nome_perimetro='Individual Local' AND segmento='ESTR' AND ambito='PILAR3' AND entidade='00100')Y ON X.ENTTY_ID=Y.ENTTY_ID_SIMUL</v>
      </c>
      <c r="M513" s="36" t="str">
        <f t="shared" si="11"/>
        <v>UNION ALL SELECT 'ENTITY' AS TABELA, 'COERÊNCIA' AS TIPOLOGIA_TESTE,'BU_LOANTAPE_WORK.LT003_ENTITY' AS TABELA_LT,'BU_LOANTAPE_WORK.SIMUL_LT003_ENTITY' AS TABELA_SIMUL,'pd_ifrs9_12m_lftm_rd' AS CAMPO, '${ref_date}' AS REF_DATE, COUNT(*) AS NUM_REG, SUM(IF(COALESCE(CAST(X.pd_ifrs9_12m_lftm_rd AS STRING),'')&lt;&gt;COALESCE(CAST(Y.pd_ifrs9_12m_lftm_rd_SIMUL AS STRING),'') OR (X.pd_ifrs9_12m_lftm_rd IS NULL AND Y.pd_ifrs9_12m_lftm_rd_SIMUL IS NOT NULL ) OR (X.pd_ifrs9_12m_lftm_rd IS NOT NULL AND Y.pd_ifrs9_12m_lftm_rd_SIMUL IS NULL),1,0)) AS NUM_REG_DIF,'1' AS ID_EXEC, CURRENT_TIMESTAMP() AS TIME_EXEC FROM (SELECT entty_id, pd_ifrs9_12m_lftm_rd FROM BU_LOANTAPE_WORK.LT003_ENTITY WHERE ref_date='${ref_date}' AND nome_perimetro='Individual Local' AND segmento='ESTR' AND ambito='SRB_MBDT' AND entidade='00100')X INNER JOIN (SELECT entty_id AS entty_id_SIMUL, pd_ifrs9_12m_lftm_rd AS pd_ifrs9_12m_lftm_rd_SIMUL FROM BU_LOANTAPE_WORK.SIMUL_LT003_ENTITY WHERE ref_date='${ref_date}' AND nome_perimetro='Individual Local' AND segmento='ESTR' AND ambito='PILAR3' AND entidade='00100')Y ON X.ENTTY_ID=Y.ENTTY_ID_SIMUL</v>
      </c>
    </row>
    <row r="514" spans="2:13">
      <c r="B514" s="34" t="s">
        <v>118</v>
      </c>
      <c r="C514" s="34" t="s">
        <v>5</v>
      </c>
      <c r="D514" s="34" t="str">
        <f>+UPPER('0. Instruções'!$D$35&amp;"."&amp;VLOOKUP(B514,'0. Instruções'!$C$27:$D$32,2,FALSE))</f>
        <v>BU_LOANTAPE_WORK.LT003_ENTITY</v>
      </c>
      <c r="E514" s="34" t="str">
        <f>+UPPER('0. Instruções'!$D$36&amp;"."&amp;VLOOKUP(B514,'0. Instruções'!$C$27:$E$32,3,FALSE))</f>
        <v>BU_LOANTAPE_WORK.SIMUL_LT003_ENTITY</v>
      </c>
      <c r="F514" s="34" t="s">
        <v>1488</v>
      </c>
      <c r="G514" s="34"/>
      <c r="H514" s="34"/>
      <c r="I514" s="34" t="str">
        <f>"(SELECT "&amp;VLOOKUP(B514,'0. Instruções'!$C$27:$G$32,4,FALSE)&amp;", "&amp;F514&amp;" FROM "&amp;D514&amp;" WHERE "&amp;'0. Instruções'!$D$42&amp;")X"</f>
        <v>(SELECT entty_id, probability_default_others FROM BU_LOANTAPE_WORK.LT003_ENTITY WHERE ref_date='${ref_date}' AND nome_perimetro='Individual Local' AND segmento='ESTR' AND ambito='SRB_MBDT' AND entidade='00100')X</v>
      </c>
      <c r="J514" s="34" t="str">
        <f>"(SELECT "&amp;VLOOKUP(B514,'0. Instruções'!$C$27:$G$32,4,FALSE)&amp;" AS "&amp;VLOOKUP(B514,'0. Instruções'!$C$27:$G$32,4,FALSE)&amp;"_SIMUL, "&amp;F514&amp;" AS "&amp;F514&amp;"_SIMUL FROM "&amp;E514&amp;" WHERE "&amp;'0. Instruções'!$D$43&amp;")Y"</f>
        <v>(SELECT entty_id AS entty_id_SIMUL, probability_default_others AS probability_default_others_SIMUL FROM BU_LOANTAPE_WORK.SIMUL_LT003_ENTITY WHERE ref_date='${ref_date}' AND nome_perimetro='Individual Local' AND segmento='ESTR' AND ambito='PILAR3' AND entidade='00100')Y</v>
      </c>
      <c r="K514" s="35" t="str">
        <f>+UPPER("ON X."&amp;VLOOKUP(B514,'0. Instruções'!$C$27:$G$32,4,FALSE)&amp;"=Y."&amp;VLOOKUP(B514,'0. Instruções'!$C$27:$G$32,4,FALSE)&amp;"_SIMUL")</f>
        <v>ON X.ENTTY_ID=Y.ENTTY_ID_SIMUL</v>
      </c>
      <c r="L514" s="35" t="str">
        <f>+IF(C514="Coerência", +IF(LEFT(G514,5)="FLOAT","SELECT '"&amp;UPPER(B514)&amp;"' AS TABELA, '"&amp;UPPER(C514)&amp;"' AS TIPOLOGIA_TESTE,'"&amp;D514&amp;"' AS TABELA_LT,'"&amp;E514&amp;"' AS TABELA_SIMUL,'"&amp;F514&amp;"' AS CAMPO, "&amp;"'${ref_date}' AS REF_DATE, COUNT(*) AS NUM_REG, SUM(IF((ABS(COALESCE(CAST(X."&amp;F514&amp;" AS DECIMAL(18,6)),0)-COALESCE(CAST(Y."&amp;F514&amp;"_SIMUL AS DECIMAL(18,6)),0))&gt;0.000001) OR (X."&amp;F514&amp;" IS NULL AND Y."&amp;F514&amp;"_SIMUL IS NOT NULL ) OR (X."&amp;F514&amp;" IS NOT NULL AND Y."&amp;F514&amp;"_SIMUL IS NULL),1,0)) AS NUM_REG_DIF,'"&amp;MAX('ID1&amp;5'!K:K)+1&amp;"' AS ID_EXEC, CURRENT_TIMESTAMP() AS TIME_EXEC FROM "&amp;I514&amp;" INNER JOIN "&amp;J514&amp;" "&amp;K514,"SELECT '"&amp;UPPER(B514)&amp;"' AS TABELA, '"&amp;UPPER(C514)&amp;"' AS TIPOLOGIA_TESTE,'"&amp;D514&amp;"' AS TABELA_LT,'"&amp;E514&amp;"' AS TABELA_SIMUL,'"&amp;F514&amp;"' AS CAMPO, "&amp;"'${ref_date}' AS REF_DATE, COUNT(*) AS NUM_REG, SUM(IF(COALESCE(CAST(X."&amp;F514&amp;" AS STRING),'')&lt;&gt;COALESCE(CAST(Y."&amp;F514&amp;"_SIMUL AS STRING),'') OR (X."&amp;F514&amp;" IS NULL AND Y."&amp;F514&amp;"_SIMUL IS NOT NULL ) OR (X."&amp;F514&amp;" IS NOT NULL AND Y."&amp;F514&amp;"_SIMUL IS NULL),1,0)) AS NUM_REG_DIF,'"&amp;MAX('ID1&amp;5'!L:L)+1&amp;"' AS ID_EXEC, CURRENT_TIMESTAMP() AS TIME_EXEC FROM "&amp;I514&amp;" INNER JOIN "&amp;J514&amp;" "&amp;K514),
IF(C514="Validade",+IF(G514="Code List","SELECT '"&amp;UPPER(B514)&amp;"' AS TABELA, '"&amp;UPPER(C514)&amp;"' AS TIPOLOGIA_TESTE,'"&amp;D514&amp;"' AS TABELA_LT,'N/A' AS TABELA_SIMUL,'"&amp;F514&amp;"' AS CAMPO, "&amp;"'${ref_date}' AS REF_DATE, COUNT(*) AS NUM_REG, SUM(IF(TRIM(CAST(X."&amp;F514&amp;" AS STRING))='' OR TRIM(CAST(X."&amp;F514&amp;" AS STRING)) IS NULL OR CAST(X."&amp;F514&amp;" AS STRING) NOT "&amp;H514&amp;",1,0)) AS NUM_REG_DIF,'"&amp;MAX('ID1&amp;5'!K:K)+1&amp;"' AS ID_EXEC, CURRENT_TIMESTAMP() AS TIME_EXEC FROM "&amp;I514,"SELECT '"&amp;UPPER(B514)&amp;"' AS TABELA, '"&amp;UPPER(C514)&amp;"' AS TIPOLOGIA_TESTE,'"&amp;D514&amp;"' AS TABELA_LT,'N/A' AS TABELA_SIMUL,'"&amp;F514&amp;"' AS CAMPO, "&amp;"'${ref_date}' AS REF_DATE, COUNT(*) AS NUM_REG, SUM(IF(TRIM(CAST(X."&amp;F514&amp;" AS STRING))='' OR TRIM(CAST(X."&amp;F514&amp;" AS STRING)) IS NULL,1,0)) AS NUM_REG_DIF,'"&amp;MAX('ID1&amp;5'!K:K)+1&amp;"' AS ID_EXEC, CURRENT_TIMESTAMP() AS TIME_EXEC FROM "&amp;I514),
IF(C514="Caracteres Especiais",+"SELECT '"&amp;UPPER(B514)&amp;"' AS TABELA, '"&amp;UPPER(C514)&amp;"' AS TIPOLOGIA_TESTE,'"&amp;D514&amp;"' AS TABELA_LT,'N/A' AS TABELA_SIMUL,'"&amp;F514&amp;"' AS CAMPO, "&amp;"'${ref_date}' AS REF_DATE, COUNT(*) AS NUM_REG, SUM(IF(REGEXP_REPLACE(TRIM(CAST(X."&amp;F514&amp;" AS STRING)),'[^a-zA-Z0-9_\\s]','') &lt;&gt;TRIM(CAST(X."&amp;F514&amp;" AS STRING)),1,0)) AS NUM_REG_DIF,'"&amp;MAX('ID1&amp;5'!K:K)+1&amp;"' AS ID_EXEC, CURRENT_TIMESTAMP() AS TIME_EXEC FROM "&amp;I514,
IF(C514="Missings",+"SELECT '"&amp;UPPER(B514)&amp;"' AS TABELA, '"&amp;UPPER(C514)&amp;"' AS TIPOLOGIA_TESTE,'"&amp;D514&amp;"' AS TABELA_LT,'N/A' AS TABELA_SIMUL,'"&amp;F514&amp;"' AS CAMPO, "&amp;"'${ref_date}' AS REF_DATE, COUNT(*) AS NUM_REG, SUM(IF(TRIM(CAST(X."&amp;F514&amp;" AS STRING)) IN ('0000-00-00','0001-01-01','9999-12-31','MISS','00000','99999999999','99999999999.00','99999999999.000000'),1,0)) AS NUM_REG_DIF,'"&amp;MAX('ID1&amp;5'!K:K)+1&amp;"' AS ID_EXEC, CURRENT_TIMESTAMP() AS TIME_EXEC FROM "&amp;I514,
IF(C514="Not applicable",+"SELECT '"&amp;UPPER(B514)&amp;"' AS TABELA, '"&amp;UPPER(C514)&amp;"' AS TIPOLOGIA_TESTE,'"&amp;D514&amp;"' AS TABELA_LT,'N/A' AS TABELA_SIMUL,'"&amp;F514&amp;"' AS CAMPO, "&amp;"'${ref_date}' AS REF_DATE, COUNT(*) AS NUM_REG, SUM(IF(TRIM(CAST(X."&amp;F514&amp;" AS STRING)) IN ('N/A','11111111111','11111111111.00','11111111111.000000','1111-11-11'),1,0)) AS NUM_REG_DIF,'"&amp;MAX('ID1&amp;5'!K:K)+1&amp;"' AS ID_EXEC, CURRENT_TIMESTAMP() AS TIME_EXEC FROM "&amp;I514,
IF(C514="Valores extremos",+"SELECT '"&amp;UPPER(B514)&amp;"' AS TABELA, '"&amp;UPPER(C514)&amp;"' AS TIPOLOGIA_TESTE,'"&amp;D514&amp;"' AS TABELA_LT,'N/A' AS TABELA_SIMUL,'"&amp;F514&amp;"' AS CAMPO, "&amp;"'${ref_date}' AS REF_DATE, CAST(MIN("&amp;F514&amp;") AS STRING) AS VALOR_MIN, CAST(MAX("&amp;F514&amp;") AS STRING) AS VALOR_MAX,'"&amp;MAX('ID1&amp;5'!K:K)+1&amp;"' AS ID_EXEC, CURRENT_TIMESTAMP() AS TIME_EXEC FROM "&amp;MID(I514,1,LEN(I514)-2)&amp;" AND CAST("&amp;F514&amp;"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TABELA_SIMUL,'probability_default_others' AS CAMPO, '${ref_date}' AS REF_DATE, COUNT(*) AS NUM_REG, SUM(IF(COALESCE(CAST(X.probability_default_others AS STRING),'')&lt;&gt;COALESCE(CAST(Y.probability_default_others_SIMUL AS STRING),'') OR (X.probability_default_others IS NULL AND Y.probability_default_others_SIMUL IS NOT NULL ) OR (X.probability_default_others IS NOT NULL AND Y.probability_default_others_SIMUL IS NULL),1,0)) AS NUM_REG_DIF,'1' AS ID_EXEC, CURRENT_TIMESTAMP() AS TIME_EXEC FROM (SELECT entty_id, probability_default_others FROM BU_LOANTAPE_WORK.LT003_ENTITY WHERE ref_date='${ref_date}' AND nome_perimetro='Individual Local' AND segmento='ESTR' AND ambito='SRB_MBDT' AND entidade='00100')X INNER JOIN (SELECT entty_id AS entty_id_SIMUL, probability_default_others AS probability_default_others_SIMUL FROM BU_LOANTAPE_WORK.SIMUL_LT003_ENTITY WHERE ref_date='${ref_date}' AND nome_perimetro='Individual Local' AND segmento='ESTR' AND ambito='PILAR3' AND entidade='00100')Y ON X.ENTTY_ID=Y.ENTTY_ID_SIMUL</v>
      </c>
      <c r="M514" s="36" t="str">
        <f t="shared" si="11"/>
        <v>UNION ALL SELECT 'ENTITY' AS TABELA, 'COERÊNCIA' AS TIPOLOGIA_TESTE,'BU_LOANTAPE_WORK.LT003_ENTITY' AS TABELA_LT,'BU_LOANTAPE_WORK.SIMUL_LT003_ENTITY' AS TABELA_SIMUL,'probability_default_others' AS CAMPO, '${ref_date}' AS REF_DATE, COUNT(*) AS NUM_REG, SUM(IF(COALESCE(CAST(X.probability_default_others AS STRING),'')&lt;&gt;COALESCE(CAST(Y.probability_default_others_SIMUL AS STRING),'') OR (X.probability_default_others IS NULL AND Y.probability_default_others_SIMUL IS NOT NULL ) OR (X.probability_default_others IS NOT NULL AND Y.probability_default_others_SIMUL IS NULL),1,0)) AS NUM_REG_DIF,'1' AS ID_EXEC, CURRENT_TIMESTAMP() AS TIME_EXEC FROM (SELECT entty_id, probability_default_others FROM BU_LOANTAPE_WORK.LT003_ENTITY WHERE ref_date='${ref_date}' AND nome_perimetro='Individual Local' AND segmento='ESTR' AND ambito='SRB_MBDT' AND entidade='00100')X INNER JOIN (SELECT entty_id AS entty_id_SIMUL, probability_default_others AS probability_default_others_SIMUL FROM BU_LOANTAPE_WORK.SIMUL_LT003_ENTITY WHERE ref_date='${ref_date}' AND nome_perimetro='Individual Local' AND segmento='ESTR' AND ambito='PILAR3' AND entidade='00100')Y ON X.ENTTY_ID=Y.ENTTY_ID_SIMUL</v>
      </c>
    </row>
    <row r="515" spans="2:13">
      <c r="B515" s="34" t="s">
        <v>118</v>
      </c>
      <c r="C515" s="34" t="s">
        <v>5</v>
      </c>
      <c r="D515" s="34" t="str">
        <f>+UPPER('0. Instruções'!$D$35&amp;"."&amp;VLOOKUP(B515,'0. Instruções'!$C$27:$D$32,2,FALSE))</f>
        <v>BU_LOANTAPE_WORK.LT003_ENTITY</v>
      </c>
      <c r="E515" s="34" t="str">
        <f>+UPPER('0. Instruções'!$D$36&amp;"."&amp;VLOOKUP(B515,'0. Instruções'!$C$27:$E$32,3,FALSE))</f>
        <v>BU_LOANTAPE_WORK.SIMUL_LT003_ENTITY</v>
      </c>
      <c r="F515" s="34" t="s">
        <v>1489</v>
      </c>
      <c r="G515" s="34"/>
      <c r="H515" s="34"/>
      <c r="I515" s="34" t="str">
        <f>"(SELECT "&amp;VLOOKUP(B515,'0. Instruções'!$C$27:$G$32,4,FALSE)&amp;", "&amp;F515&amp;" FROM "&amp;D515&amp;" WHERE "&amp;'0. Instruções'!$D$42&amp;")X"</f>
        <v>(SELECT entty_id, counterparty_role FROM BU_LOANTAPE_WORK.LT003_ENTITY WHERE ref_date='${ref_date}' AND nome_perimetro='Individual Local' AND segmento='ESTR' AND ambito='SRB_MBDT' AND entidade='00100')X</v>
      </c>
      <c r="J515" s="34" t="str">
        <f>"(SELECT "&amp;VLOOKUP(B515,'0. Instruções'!$C$27:$G$32,4,FALSE)&amp;" AS "&amp;VLOOKUP(B515,'0. Instruções'!$C$27:$G$32,4,FALSE)&amp;"_SIMUL, "&amp;F515&amp;" AS "&amp;F515&amp;"_SIMUL FROM "&amp;E515&amp;" WHERE "&amp;'0. Instruções'!$D$43&amp;")Y"</f>
        <v>(SELECT entty_id AS entty_id_SIMUL, counterparty_role AS counterparty_role_SIMUL FROM BU_LOANTAPE_WORK.SIMUL_LT003_ENTITY WHERE ref_date='${ref_date}' AND nome_perimetro='Individual Local' AND segmento='ESTR' AND ambito='PILAR3' AND entidade='00100')Y</v>
      </c>
      <c r="K515" s="35" t="str">
        <f>+UPPER("ON X."&amp;VLOOKUP(B515,'0. Instruções'!$C$27:$G$32,4,FALSE)&amp;"=Y."&amp;VLOOKUP(B515,'0. Instruções'!$C$27:$G$32,4,FALSE)&amp;"_SIMUL")</f>
        <v>ON X.ENTTY_ID=Y.ENTTY_ID_SIMUL</v>
      </c>
      <c r="L515" s="35" t="str">
        <f>+IF(C515="Coerência", +IF(LEFT(G515,5)="FLOAT","SELECT '"&amp;UPPER(B515)&amp;"' AS TABELA, '"&amp;UPPER(C515)&amp;"' AS TIPOLOGIA_TESTE,'"&amp;D515&amp;"' AS TABELA_LT,'"&amp;E515&amp;"' AS TABELA_SIMUL,'"&amp;F515&amp;"' AS CAMPO, "&amp;"'${ref_date}' AS REF_DATE, COUNT(*) AS NUM_REG, SUM(IF((ABS(COALESCE(CAST(X."&amp;F515&amp;" AS DECIMAL(18,6)),0)-COALESCE(CAST(Y."&amp;F515&amp;"_SIMUL AS DECIMAL(18,6)),0))&gt;0.000001) OR (X."&amp;F515&amp;" IS NULL AND Y."&amp;F515&amp;"_SIMUL IS NOT NULL ) OR (X."&amp;F515&amp;" IS NOT NULL AND Y."&amp;F515&amp;"_SIMUL IS NULL),1,0)) AS NUM_REG_DIF,'"&amp;MAX('ID1&amp;5'!K:K)+1&amp;"' AS ID_EXEC, CURRENT_TIMESTAMP() AS TIME_EXEC FROM "&amp;I515&amp;" INNER JOIN "&amp;J515&amp;" "&amp;K515,"SELECT '"&amp;UPPER(B515)&amp;"' AS TABELA, '"&amp;UPPER(C515)&amp;"' AS TIPOLOGIA_TESTE,'"&amp;D515&amp;"' AS TABELA_LT,'"&amp;E515&amp;"' AS TABELA_SIMUL,'"&amp;F515&amp;"' AS CAMPO, "&amp;"'${ref_date}' AS REF_DATE, COUNT(*) AS NUM_REG, SUM(IF(COALESCE(CAST(X."&amp;F515&amp;" AS STRING),'')&lt;&gt;COALESCE(CAST(Y."&amp;F515&amp;"_SIMUL AS STRING),'') OR (X."&amp;F515&amp;" IS NULL AND Y."&amp;F515&amp;"_SIMUL IS NOT NULL ) OR (X."&amp;F515&amp;" IS NOT NULL AND Y."&amp;F515&amp;"_SIMUL IS NULL),1,0)) AS NUM_REG_DIF,'"&amp;MAX('ID1&amp;5'!L:L)+1&amp;"' AS ID_EXEC, CURRENT_TIMESTAMP() AS TIME_EXEC FROM "&amp;I515&amp;" INNER JOIN "&amp;J515&amp;" "&amp;K515),
IF(C515="Validade",+IF(G515="Code List","SELECT '"&amp;UPPER(B515)&amp;"' AS TABELA, '"&amp;UPPER(C515)&amp;"' AS TIPOLOGIA_TESTE,'"&amp;D515&amp;"' AS TABELA_LT,'N/A' AS TABELA_SIMUL,'"&amp;F515&amp;"' AS CAMPO, "&amp;"'${ref_date}' AS REF_DATE, COUNT(*) AS NUM_REG, SUM(IF(TRIM(CAST(X."&amp;F515&amp;" AS STRING))='' OR TRIM(CAST(X."&amp;F515&amp;" AS STRING)) IS NULL OR CAST(X."&amp;F515&amp;" AS STRING) NOT "&amp;H515&amp;",1,0)) AS NUM_REG_DIF,'"&amp;MAX('ID1&amp;5'!K:K)+1&amp;"' AS ID_EXEC, CURRENT_TIMESTAMP() AS TIME_EXEC FROM "&amp;I515,"SELECT '"&amp;UPPER(B515)&amp;"' AS TABELA, '"&amp;UPPER(C515)&amp;"' AS TIPOLOGIA_TESTE,'"&amp;D515&amp;"' AS TABELA_LT,'N/A' AS TABELA_SIMUL,'"&amp;F515&amp;"' AS CAMPO, "&amp;"'${ref_date}' AS REF_DATE, COUNT(*) AS NUM_REG, SUM(IF(TRIM(CAST(X."&amp;F515&amp;" AS STRING))='' OR TRIM(CAST(X."&amp;F515&amp;" AS STRING)) IS NULL,1,0)) AS NUM_REG_DIF,'"&amp;MAX('ID1&amp;5'!K:K)+1&amp;"' AS ID_EXEC, CURRENT_TIMESTAMP() AS TIME_EXEC FROM "&amp;I515),
IF(C515="Caracteres Especiais",+"SELECT '"&amp;UPPER(B515)&amp;"' AS TABELA, '"&amp;UPPER(C515)&amp;"' AS TIPOLOGIA_TESTE,'"&amp;D515&amp;"' AS TABELA_LT,'N/A' AS TABELA_SIMUL,'"&amp;F515&amp;"' AS CAMPO, "&amp;"'${ref_date}' AS REF_DATE, COUNT(*) AS NUM_REG, SUM(IF(REGEXP_REPLACE(TRIM(CAST(X."&amp;F515&amp;" AS STRING)),'[^a-zA-Z0-9_\\s]','') &lt;&gt;TRIM(CAST(X."&amp;F515&amp;" AS STRING)),1,0)) AS NUM_REG_DIF,'"&amp;MAX('ID1&amp;5'!K:K)+1&amp;"' AS ID_EXEC, CURRENT_TIMESTAMP() AS TIME_EXEC FROM "&amp;I515,
IF(C515="Missings",+"SELECT '"&amp;UPPER(B515)&amp;"' AS TABELA, '"&amp;UPPER(C515)&amp;"' AS TIPOLOGIA_TESTE,'"&amp;D515&amp;"' AS TABELA_LT,'N/A' AS TABELA_SIMUL,'"&amp;F515&amp;"' AS CAMPO, "&amp;"'${ref_date}' AS REF_DATE, COUNT(*) AS NUM_REG, SUM(IF(TRIM(CAST(X."&amp;F515&amp;" AS STRING)) IN ('0000-00-00','0001-01-01','9999-12-31','MISS','00000','99999999999','99999999999.00','99999999999.000000'),1,0)) AS NUM_REG_DIF,'"&amp;MAX('ID1&amp;5'!K:K)+1&amp;"' AS ID_EXEC, CURRENT_TIMESTAMP() AS TIME_EXEC FROM "&amp;I515,
IF(C515="Not applicable",+"SELECT '"&amp;UPPER(B515)&amp;"' AS TABELA, '"&amp;UPPER(C515)&amp;"' AS TIPOLOGIA_TESTE,'"&amp;D515&amp;"' AS TABELA_LT,'N/A' AS TABELA_SIMUL,'"&amp;F515&amp;"' AS CAMPO, "&amp;"'${ref_date}' AS REF_DATE, COUNT(*) AS NUM_REG, SUM(IF(TRIM(CAST(X."&amp;F515&amp;" AS STRING)) IN ('N/A','11111111111','11111111111.00','11111111111.000000','1111-11-11'),1,0)) AS NUM_REG_DIF,'"&amp;MAX('ID1&amp;5'!K:K)+1&amp;"' AS ID_EXEC, CURRENT_TIMESTAMP() AS TIME_EXEC FROM "&amp;I515,
IF(C515="Valores extremos",+"SELECT '"&amp;UPPER(B515)&amp;"' AS TABELA, '"&amp;UPPER(C515)&amp;"' AS TIPOLOGIA_TESTE,'"&amp;D515&amp;"' AS TABELA_LT,'N/A' AS TABELA_SIMUL,'"&amp;F515&amp;"' AS CAMPO, "&amp;"'${ref_date}' AS REF_DATE, CAST(MIN("&amp;F515&amp;") AS STRING) AS VALOR_MIN, CAST(MAX("&amp;F515&amp;") AS STRING) AS VALOR_MAX,'"&amp;MAX('ID1&amp;5'!K:K)+1&amp;"' AS ID_EXEC, CURRENT_TIMESTAMP() AS TIME_EXEC FROM "&amp;MID(I515,1,LEN(I515)-2)&amp;" AND CAST("&amp;F515&amp;"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TABELA_SIMUL,'counterparty_role' AS CAMPO, '${ref_date}' AS REF_DATE, COUNT(*) AS NUM_REG, SUM(IF(COALESCE(CAST(X.counterparty_role AS STRING),'')&lt;&gt;COALESCE(CAST(Y.counterparty_role_SIMUL AS STRING),'') OR (X.counterparty_role IS NULL AND Y.counterparty_role_SIMUL IS NOT NULL ) OR (X.counterparty_role IS NOT NULL AND Y.counterparty_role_SIMUL IS NULL),1,0)) AS NUM_REG_DIF,'1' AS ID_EXEC, CURRENT_TIMESTAMP() AS TIME_EXEC FROM (SELECT entty_id, counterparty_role FROM BU_LOANTAPE_WORK.LT003_ENTITY WHERE ref_date='${ref_date}' AND nome_perimetro='Individual Local' AND segmento='ESTR' AND ambito='SRB_MBDT' AND entidade='00100')X INNER JOIN (SELECT entty_id AS entty_id_SIMUL, counterparty_role AS counterparty_role_SIMUL FROM BU_LOANTAPE_WORK.SIMUL_LT003_ENTITY WHERE ref_date='${ref_date}' AND nome_perimetro='Individual Local' AND segmento='ESTR' AND ambito='PILAR3' AND entidade='00100')Y ON X.ENTTY_ID=Y.ENTTY_ID_SIMUL</v>
      </c>
      <c r="M515" s="36" t="str">
        <f t="shared" si="11"/>
        <v>UNION ALL SELECT 'ENTITY' AS TABELA, 'COERÊNCIA' AS TIPOLOGIA_TESTE,'BU_LOANTAPE_WORK.LT003_ENTITY' AS TABELA_LT,'BU_LOANTAPE_WORK.SIMUL_LT003_ENTITY' AS TABELA_SIMUL,'counterparty_role' AS CAMPO, '${ref_date}' AS REF_DATE, COUNT(*) AS NUM_REG, SUM(IF(COALESCE(CAST(X.counterparty_role AS STRING),'')&lt;&gt;COALESCE(CAST(Y.counterparty_role_SIMUL AS STRING),'') OR (X.counterparty_role IS NULL AND Y.counterparty_role_SIMUL IS NOT NULL ) OR (X.counterparty_role IS NOT NULL AND Y.counterparty_role_SIMUL IS NULL),1,0)) AS NUM_REG_DIF,'1' AS ID_EXEC, CURRENT_TIMESTAMP() AS TIME_EXEC FROM (SELECT entty_id, counterparty_role FROM BU_LOANTAPE_WORK.LT003_ENTITY WHERE ref_date='${ref_date}' AND nome_perimetro='Individual Local' AND segmento='ESTR' AND ambito='SRB_MBDT' AND entidade='00100')X INNER JOIN (SELECT entty_id AS entty_id_SIMUL, counterparty_role AS counterparty_role_SIMUL FROM BU_LOANTAPE_WORK.SIMUL_LT003_ENTITY WHERE ref_date='${ref_date}' AND nome_perimetro='Individual Local' AND segmento='ESTR' AND ambito='PILAR3' AND entidade='00100')Y ON X.ENTTY_ID=Y.ENTTY_ID_SIMUL</v>
      </c>
    </row>
    <row r="516" spans="2:13">
      <c r="B516" s="34" t="s">
        <v>118</v>
      </c>
      <c r="C516" s="34" t="s">
        <v>5</v>
      </c>
      <c r="D516" s="34" t="str">
        <f>+UPPER('0. Instruções'!$D$35&amp;"."&amp;VLOOKUP(B516,'0. Instruções'!$C$27:$D$32,2,FALSE))</f>
        <v>BU_LOANTAPE_WORK.LT003_ENTITY</v>
      </c>
      <c r="E516" s="34" t="str">
        <f>+UPPER('0. Instruções'!$D$36&amp;"."&amp;VLOOKUP(B516,'0. Instruções'!$C$27:$E$32,3,FALSE))</f>
        <v>BU_LOANTAPE_WORK.SIMUL_LT003_ENTITY</v>
      </c>
      <c r="F516" s="34" t="s">
        <v>1490</v>
      </c>
      <c r="G516" s="34"/>
      <c r="H516" s="34"/>
      <c r="I516" s="34" t="str">
        <f>"(SELECT "&amp;VLOOKUP(B516,'0. Instruções'!$C$27:$G$32,4,FALSE)&amp;", "&amp;F516&amp;" FROM "&amp;D516&amp;" WHERE "&amp;'0. Instruções'!$D$42&amp;")X"</f>
        <v>(SELECT entty_id, head_office_undertaking_id FROM BU_LOANTAPE_WORK.LT003_ENTITY WHERE ref_date='${ref_date}' AND nome_perimetro='Individual Local' AND segmento='ESTR' AND ambito='SRB_MBDT' AND entidade='00100')X</v>
      </c>
      <c r="J516" s="34" t="str">
        <f>"(SELECT "&amp;VLOOKUP(B516,'0. Instruções'!$C$27:$G$32,4,FALSE)&amp;" AS "&amp;VLOOKUP(B516,'0. Instruções'!$C$27:$G$32,4,FALSE)&amp;"_SIMUL, "&amp;F516&amp;" AS "&amp;F516&amp;"_SIMUL FROM "&amp;E516&amp;" WHERE "&amp;'0. Instruções'!$D$43&amp;")Y"</f>
        <v>(SELECT entty_id AS entty_id_SIMUL, head_office_undertaking_id AS head_office_undertaking_id_SIMUL FROM BU_LOANTAPE_WORK.SIMUL_LT003_ENTITY WHERE ref_date='${ref_date}' AND nome_perimetro='Individual Local' AND segmento='ESTR' AND ambito='PILAR3' AND entidade='00100')Y</v>
      </c>
      <c r="K516" s="35" t="str">
        <f>+UPPER("ON X."&amp;VLOOKUP(B516,'0. Instruções'!$C$27:$G$32,4,FALSE)&amp;"=Y."&amp;VLOOKUP(B516,'0. Instruções'!$C$27:$G$32,4,FALSE)&amp;"_SIMUL")</f>
        <v>ON X.ENTTY_ID=Y.ENTTY_ID_SIMUL</v>
      </c>
      <c r="L516" s="35" t="str">
        <f>+IF(C516="Coerência", +IF(LEFT(G516,5)="FLOAT","SELECT '"&amp;UPPER(B516)&amp;"' AS TABELA, '"&amp;UPPER(C516)&amp;"' AS TIPOLOGIA_TESTE,'"&amp;D516&amp;"' AS TABELA_LT,'"&amp;E516&amp;"' AS TABELA_SIMUL,'"&amp;F516&amp;"' AS CAMPO, "&amp;"'${ref_date}' AS REF_DATE, COUNT(*) AS NUM_REG, SUM(IF((ABS(COALESCE(CAST(X."&amp;F516&amp;" AS DECIMAL(18,6)),0)-COALESCE(CAST(Y."&amp;F516&amp;"_SIMUL AS DECIMAL(18,6)),0))&gt;0.000001) OR (X."&amp;F516&amp;" IS NULL AND Y."&amp;F516&amp;"_SIMUL IS NOT NULL ) OR (X."&amp;F516&amp;" IS NOT NULL AND Y."&amp;F516&amp;"_SIMUL IS NULL),1,0)) AS NUM_REG_DIF,'"&amp;MAX('ID1&amp;5'!K:K)+1&amp;"' AS ID_EXEC, CURRENT_TIMESTAMP() AS TIME_EXEC FROM "&amp;I516&amp;" INNER JOIN "&amp;J516&amp;" "&amp;K516,"SELECT '"&amp;UPPER(B516)&amp;"' AS TABELA, '"&amp;UPPER(C516)&amp;"' AS TIPOLOGIA_TESTE,'"&amp;D516&amp;"' AS TABELA_LT,'"&amp;E516&amp;"' AS TABELA_SIMUL,'"&amp;F516&amp;"' AS CAMPO, "&amp;"'${ref_date}' AS REF_DATE, COUNT(*) AS NUM_REG, SUM(IF(COALESCE(CAST(X."&amp;F516&amp;" AS STRING),'')&lt;&gt;COALESCE(CAST(Y."&amp;F516&amp;"_SIMUL AS STRING),'') OR (X."&amp;F516&amp;" IS NULL AND Y."&amp;F516&amp;"_SIMUL IS NOT NULL ) OR (X."&amp;F516&amp;" IS NOT NULL AND Y."&amp;F516&amp;"_SIMUL IS NULL),1,0)) AS NUM_REG_DIF,'"&amp;MAX('ID1&amp;5'!L:L)+1&amp;"' AS ID_EXEC, CURRENT_TIMESTAMP() AS TIME_EXEC FROM "&amp;I516&amp;" INNER JOIN "&amp;J516&amp;" "&amp;K516),
IF(C516="Validade",+IF(G516="Code List","SELECT '"&amp;UPPER(B516)&amp;"' AS TABELA, '"&amp;UPPER(C516)&amp;"' AS TIPOLOGIA_TESTE,'"&amp;D516&amp;"' AS TABELA_LT,'N/A' AS TABELA_SIMUL,'"&amp;F516&amp;"' AS CAMPO, "&amp;"'${ref_date}' AS REF_DATE, COUNT(*) AS NUM_REG, SUM(IF(TRIM(CAST(X."&amp;F516&amp;" AS STRING))='' OR TRIM(CAST(X."&amp;F516&amp;" AS STRING)) IS NULL OR CAST(X."&amp;F516&amp;" AS STRING) NOT "&amp;H516&amp;",1,0)) AS NUM_REG_DIF,'"&amp;MAX('ID1&amp;5'!K:K)+1&amp;"' AS ID_EXEC, CURRENT_TIMESTAMP() AS TIME_EXEC FROM "&amp;I516,"SELECT '"&amp;UPPER(B516)&amp;"' AS TABELA, '"&amp;UPPER(C516)&amp;"' AS TIPOLOGIA_TESTE,'"&amp;D516&amp;"' AS TABELA_LT,'N/A' AS TABELA_SIMUL,'"&amp;F516&amp;"' AS CAMPO, "&amp;"'${ref_date}' AS REF_DATE, COUNT(*) AS NUM_REG, SUM(IF(TRIM(CAST(X."&amp;F516&amp;" AS STRING))='' OR TRIM(CAST(X."&amp;F516&amp;" AS STRING)) IS NULL,1,0)) AS NUM_REG_DIF,'"&amp;MAX('ID1&amp;5'!K:K)+1&amp;"' AS ID_EXEC, CURRENT_TIMESTAMP() AS TIME_EXEC FROM "&amp;I516),
IF(C516="Caracteres Especiais",+"SELECT '"&amp;UPPER(B516)&amp;"' AS TABELA, '"&amp;UPPER(C516)&amp;"' AS TIPOLOGIA_TESTE,'"&amp;D516&amp;"' AS TABELA_LT,'N/A' AS TABELA_SIMUL,'"&amp;F516&amp;"' AS CAMPO, "&amp;"'${ref_date}' AS REF_DATE, COUNT(*) AS NUM_REG, SUM(IF(REGEXP_REPLACE(TRIM(CAST(X."&amp;F516&amp;" AS STRING)),'[^a-zA-Z0-9_\\s]','') &lt;&gt;TRIM(CAST(X."&amp;F516&amp;" AS STRING)),1,0)) AS NUM_REG_DIF,'"&amp;MAX('ID1&amp;5'!K:K)+1&amp;"' AS ID_EXEC, CURRENT_TIMESTAMP() AS TIME_EXEC FROM "&amp;I516,
IF(C516="Missings",+"SELECT '"&amp;UPPER(B516)&amp;"' AS TABELA, '"&amp;UPPER(C516)&amp;"' AS TIPOLOGIA_TESTE,'"&amp;D516&amp;"' AS TABELA_LT,'N/A' AS TABELA_SIMUL,'"&amp;F516&amp;"' AS CAMPO, "&amp;"'${ref_date}' AS REF_DATE, COUNT(*) AS NUM_REG, SUM(IF(TRIM(CAST(X."&amp;F516&amp;" AS STRING)) IN ('0000-00-00','0001-01-01','9999-12-31','MISS','00000','99999999999','99999999999.00','99999999999.000000'),1,0)) AS NUM_REG_DIF,'"&amp;MAX('ID1&amp;5'!K:K)+1&amp;"' AS ID_EXEC, CURRENT_TIMESTAMP() AS TIME_EXEC FROM "&amp;I516,
IF(C516="Not applicable",+"SELECT '"&amp;UPPER(B516)&amp;"' AS TABELA, '"&amp;UPPER(C516)&amp;"' AS TIPOLOGIA_TESTE,'"&amp;D516&amp;"' AS TABELA_LT,'N/A' AS TABELA_SIMUL,'"&amp;F516&amp;"' AS CAMPO, "&amp;"'${ref_date}' AS REF_DATE, COUNT(*) AS NUM_REG, SUM(IF(TRIM(CAST(X."&amp;F516&amp;" AS STRING)) IN ('N/A','11111111111','11111111111.00','11111111111.000000','1111-11-11'),1,0)) AS NUM_REG_DIF,'"&amp;MAX('ID1&amp;5'!K:K)+1&amp;"' AS ID_EXEC, CURRENT_TIMESTAMP() AS TIME_EXEC FROM "&amp;I516,
IF(C516="Valores extremos",+"SELECT '"&amp;UPPER(B516)&amp;"' AS TABELA, '"&amp;UPPER(C516)&amp;"' AS TIPOLOGIA_TESTE,'"&amp;D516&amp;"' AS TABELA_LT,'N/A' AS TABELA_SIMUL,'"&amp;F516&amp;"' AS CAMPO, "&amp;"'${ref_date}' AS REF_DATE, CAST(MIN("&amp;F516&amp;") AS STRING) AS VALOR_MIN, CAST(MAX("&amp;F516&amp;") AS STRING) AS VALOR_MAX,'"&amp;MAX('ID1&amp;5'!K:K)+1&amp;"' AS ID_EXEC, CURRENT_TIMESTAMP() AS TIME_EXEC FROM "&amp;MID(I516,1,LEN(I516)-2)&amp;" AND CAST("&amp;F516&amp;"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TABELA_SIMUL,'head_office_undertaking_id' AS CAMPO, '${ref_date}' AS REF_DATE, COUNT(*) AS NUM_REG, SUM(IF(COALESCE(CAST(X.head_office_undertaking_id AS STRING),'')&lt;&gt;COALESCE(CAST(Y.head_office_undertaking_id_SIMUL AS STRING),'') OR (X.head_office_undertaking_id IS NULL AND Y.head_office_undertaking_id_SIMUL IS NOT NULL ) OR (X.head_office_undertaking_id IS NOT NULL AND Y.head_office_undertaking_id_SIMUL IS NULL),1,0)) AS NUM_REG_DIF,'1' AS ID_EXEC, CURRENT_TIMESTAMP() AS TIME_EXEC FROM (SELECT entty_id, head_office_undertaking_id FROM BU_LOANTAPE_WORK.LT003_ENTITY WHERE ref_date='${ref_date}' AND nome_perimetro='Individual Local' AND segmento='ESTR' AND ambito='SRB_MBDT' AND entidade='00100')X INNER JOIN (SELECT entty_id AS entty_id_SIMUL, head_office_undertaking_id AS head_office_undertaking_id_SIMUL FROM BU_LOANTAPE_WORK.SIMUL_LT003_ENTITY WHERE ref_date='${ref_date}' AND nome_perimetro='Individual Local' AND segmento='ESTR' AND ambito='PILAR3' AND entidade='00100')Y ON X.ENTTY_ID=Y.ENTTY_ID_SIMUL</v>
      </c>
      <c r="M516" s="36" t="str">
        <f t="shared" si="11"/>
        <v>UNION ALL SELECT 'ENTITY' AS TABELA, 'COERÊNCIA' AS TIPOLOGIA_TESTE,'BU_LOANTAPE_WORK.LT003_ENTITY' AS TABELA_LT,'BU_LOANTAPE_WORK.SIMUL_LT003_ENTITY' AS TABELA_SIMUL,'head_office_undertaking_id' AS CAMPO, '${ref_date}' AS REF_DATE, COUNT(*) AS NUM_REG, SUM(IF(COALESCE(CAST(X.head_office_undertaking_id AS STRING),'')&lt;&gt;COALESCE(CAST(Y.head_office_undertaking_id_SIMUL AS STRING),'') OR (X.head_office_undertaking_id IS NULL AND Y.head_office_undertaking_id_SIMUL IS NOT NULL ) OR (X.head_office_undertaking_id IS NOT NULL AND Y.head_office_undertaking_id_SIMUL IS NULL),1,0)) AS NUM_REG_DIF,'1' AS ID_EXEC, CURRENT_TIMESTAMP() AS TIME_EXEC FROM (SELECT entty_id, head_office_undertaking_id FROM BU_LOANTAPE_WORK.LT003_ENTITY WHERE ref_date='${ref_date}' AND nome_perimetro='Individual Local' AND segmento='ESTR' AND ambito='SRB_MBDT' AND entidade='00100')X INNER JOIN (SELECT entty_id AS entty_id_SIMUL, head_office_undertaking_id AS head_office_undertaking_id_SIMUL FROM BU_LOANTAPE_WORK.SIMUL_LT003_ENTITY WHERE ref_date='${ref_date}' AND nome_perimetro='Individual Local' AND segmento='ESTR' AND ambito='PILAR3' AND entidade='00100')Y ON X.ENTTY_ID=Y.ENTTY_ID_SIMUL</v>
      </c>
    </row>
    <row r="517" spans="2:13">
      <c r="B517" s="34" t="s">
        <v>118</v>
      </c>
      <c r="C517" s="34" t="s">
        <v>5</v>
      </c>
      <c r="D517" s="34" t="str">
        <f>+UPPER('0. Instruções'!$D$35&amp;"."&amp;VLOOKUP(B517,'0. Instruções'!$C$27:$D$32,2,FALSE))</f>
        <v>BU_LOANTAPE_WORK.LT003_ENTITY</v>
      </c>
      <c r="E517" s="34" t="str">
        <f>+UPPER('0. Instruções'!$D$36&amp;"."&amp;VLOOKUP(B517,'0. Instruções'!$C$27:$E$32,3,FALSE))</f>
        <v>BU_LOANTAPE_WORK.SIMUL_LT003_ENTITY</v>
      </c>
      <c r="F517" s="34" t="s">
        <v>1491</v>
      </c>
      <c r="G517" s="34"/>
      <c r="H517" s="34"/>
      <c r="I517" s="34" t="str">
        <f>"(SELECT "&amp;VLOOKUP(B517,'0. Instruções'!$C$27:$G$32,4,FALSE)&amp;", "&amp;F517&amp;" FROM "&amp;D517&amp;" WHERE "&amp;'0. Instruções'!$D$42&amp;")X"</f>
        <v>(SELECT entty_id, immediate_parent_undertaking_id FROM BU_LOANTAPE_WORK.LT003_ENTITY WHERE ref_date='${ref_date}' AND nome_perimetro='Individual Local' AND segmento='ESTR' AND ambito='SRB_MBDT' AND entidade='00100')X</v>
      </c>
      <c r="J517" s="34" t="str">
        <f>"(SELECT "&amp;VLOOKUP(B517,'0. Instruções'!$C$27:$G$32,4,FALSE)&amp;" AS "&amp;VLOOKUP(B517,'0. Instruções'!$C$27:$G$32,4,FALSE)&amp;"_SIMUL, "&amp;F517&amp;" AS "&amp;F517&amp;"_SIMUL FROM "&amp;E517&amp;" WHERE "&amp;'0. Instruções'!$D$43&amp;")Y"</f>
        <v>(SELECT entty_id AS entty_id_SIMUL, immediate_parent_undertaking_id AS immediate_parent_undertaking_id_SIMUL FROM BU_LOANTAPE_WORK.SIMUL_LT003_ENTITY WHERE ref_date='${ref_date}' AND nome_perimetro='Individual Local' AND segmento='ESTR' AND ambito='PILAR3' AND entidade='00100')Y</v>
      </c>
      <c r="K517" s="35" t="str">
        <f>+UPPER("ON X."&amp;VLOOKUP(B517,'0. Instruções'!$C$27:$G$32,4,FALSE)&amp;"=Y."&amp;VLOOKUP(B517,'0. Instruções'!$C$27:$G$32,4,FALSE)&amp;"_SIMUL")</f>
        <v>ON X.ENTTY_ID=Y.ENTTY_ID_SIMUL</v>
      </c>
      <c r="L517" s="35" t="str">
        <f>+IF(C517="Coerência", +IF(LEFT(G517,5)="FLOAT","SELECT '"&amp;UPPER(B517)&amp;"' AS TABELA, '"&amp;UPPER(C517)&amp;"' AS TIPOLOGIA_TESTE,'"&amp;D517&amp;"' AS TABELA_LT,'"&amp;E517&amp;"' AS TABELA_SIMUL,'"&amp;F517&amp;"' AS CAMPO, "&amp;"'${ref_date}' AS REF_DATE, COUNT(*) AS NUM_REG, SUM(IF((ABS(COALESCE(CAST(X."&amp;F517&amp;" AS DECIMAL(18,6)),0)-COALESCE(CAST(Y."&amp;F517&amp;"_SIMUL AS DECIMAL(18,6)),0))&gt;0.000001) OR (X."&amp;F517&amp;" IS NULL AND Y."&amp;F517&amp;"_SIMUL IS NOT NULL ) OR (X."&amp;F517&amp;" IS NOT NULL AND Y."&amp;F517&amp;"_SIMUL IS NULL),1,0)) AS NUM_REG_DIF,'"&amp;MAX('ID1&amp;5'!K:K)+1&amp;"' AS ID_EXEC, CURRENT_TIMESTAMP() AS TIME_EXEC FROM "&amp;I517&amp;" INNER JOIN "&amp;J517&amp;" "&amp;K517,"SELECT '"&amp;UPPER(B517)&amp;"' AS TABELA, '"&amp;UPPER(C517)&amp;"' AS TIPOLOGIA_TESTE,'"&amp;D517&amp;"' AS TABELA_LT,'"&amp;E517&amp;"' AS TABELA_SIMUL,'"&amp;F517&amp;"' AS CAMPO, "&amp;"'${ref_date}' AS REF_DATE, COUNT(*) AS NUM_REG, SUM(IF(COALESCE(CAST(X."&amp;F517&amp;" AS STRING),'')&lt;&gt;COALESCE(CAST(Y."&amp;F517&amp;"_SIMUL AS STRING),'') OR (X."&amp;F517&amp;" IS NULL AND Y."&amp;F517&amp;"_SIMUL IS NOT NULL ) OR (X."&amp;F517&amp;" IS NOT NULL AND Y."&amp;F517&amp;"_SIMUL IS NULL),1,0)) AS NUM_REG_DIF,'"&amp;MAX('ID1&amp;5'!L:L)+1&amp;"' AS ID_EXEC, CURRENT_TIMESTAMP() AS TIME_EXEC FROM "&amp;I517&amp;" INNER JOIN "&amp;J517&amp;" "&amp;K517),
IF(C517="Validade",+IF(G517="Code List","SELECT '"&amp;UPPER(B517)&amp;"' AS TABELA, '"&amp;UPPER(C517)&amp;"' AS TIPOLOGIA_TESTE,'"&amp;D517&amp;"' AS TABELA_LT,'N/A' AS TABELA_SIMUL,'"&amp;F517&amp;"' AS CAMPO, "&amp;"'${ref_date}' AS REF_DATE, COUNT(*) AS NUM_REG, SUM(IF(TRIM(CAST(X."&amp;F517&amp;" AS STRING))='' OR TRIM(CAST(X."&amp;F517&amp;" AS STRING)) IS NULL OR CAST(X."&amp;F517&amp;" AS STRING) NOT "&amp;H517&amp;",1,0)) AS NUM_REG_DIF,'"&amp;MAX('ID1&amp;5'!K:K)+1&amp;"' AS ID_EXEC, CURRENT_TIMESTAMP() AS TIME_EXEC FROM "&amp;I517,"SELECT '"&amp;UPPER(B517)&amp;"' AS TABELA, '"&amp;UPPER(C517)&amp;"' AS TIPOLOGIA_TESTE,'"&amp;D517&amp;"' AS TABELA_LT,'N/A' AS TABELA_SIMUL,'"&amp;F517&amp;"' AS CAMPO, "&amp;"'${ref_date}' AS REF_DATE, COUNT(*) AS NUM_REG, SUM(IF(TRIM(CAST(X."&amp;F517&amp;" AS STRING))='' OR TRIM(CAST(X."&amp;F517&amp;" AS STRING)) IS NULL,1,0)) AS NUM_REG_DIF,'"&amp;MAX('ID1&amp;5'!K:K)+1&amp;"' AS ID_EXEC, CURRENT_TIMESTAMP() AS TIME_EXEC FROM "&amp;I517),
IF(C517="Caracteres Especiais",+"SELECT '"&amp;UPPER(B517)&amp;"' AS TABELA, '"&amp;UPPER(C517)&amp;"' AS TIPOLOGIA_TESTE,'"&amp;D517&amp;"' AS TABELA_LT,'N/A' AS TABELA_SIMUL,'"&amp;F517&amp;"' AS CAMPO, "&amp;"'${ref_date}' AS REF_DATE, COUNT(*) AS NUM_REG, SUM(IF(REGEXP_REPLACE(TRIM(CAST(X."&amp;F517&amp;" AS STRING)),'[^a-zA-Z0-9_\\s]','') &lt;&gt;TRIM(CAST(X."&amp;F517&amp;" AS STRING)),1,0)) AS NUM_REG_DIF,'"&amp;MAX('ID1&amp;5'!K:K)+1&amp;"' AS ID_EXEC, CURRENT_TIMESTAMP() AS TIME_EXEC FROM "&amp;I517,
IF(C517="Missings",+"SELECT '"&amp;UPPER(B517)&amp;"' AS TABELA, '"&amp;UPPER(C517)&amp;"' AS TIPOLOGIA_TESTE,'"&amp;D517&amp;"' AS TABELA_LT,'N/A' AS TABELA_SIMUL,'"&amp;F517&amp;"' AS CAMPO, "&amp;"'${ref_date}' AS REF_DATE, COUNT(*) AS NUM_REG, SUM(IF(TRIM(CAST(X."&amp;F517&amp;" AS STRING)) IN ('0000-00-00','0001-01-01','9999-12-31','MISS','00000','99999999999','99999999999.00','99999999999.000000'),1,0)) AS NUM_REG_DIF,'"&amp;MAX('ID1&amp;5'!K:K)+1&amp;"' AS ID_EXEC, CURRENT_TIMESTAMP() AS TIME_EXEC FROM "&amp;I517,
IF(C517="Not applicable",+"SELECT '"&amp;UPPER(B517)&amp;"' AS TABELA, '"&amp;UPPER(C517)&amp;"' AS TIPOLOGIA_TESTE,'"&amp;D517&amp;"' AS TABELA_LT,'N/A' AS TABELA_SIMUL,'"&amp;F517&amp;"' AS CAMPO, "&amp;"'${ref_date}' AS REF_DATE, COUNT(*) AS NUM_REG, SUM(IF(TRIM(CAST(X."&amp;F517&amp;" AS STRING)) IN ('N/A','11111111111','11111111111.00','11111111111.000000','1111-11-11'),1,0)) AS NUM_REG_DIF,'"&amp;MAX('ID1&amp;5'!K:K)+1&amp;"' AS ID_EXEC, CURRENT_TIMESTAMP() AS TIME_EXEC FROM "&amp;I517,
IF(C517="Valores extremos",+"SELECT '"&amp;UPPER(B517)&amp;"' AS TABELA, '"&amp;UPPER(C517)&amp;"' AS TIPOLOGIA_TESTE,'"&amp;D517&amp;"' AS TABELA_LT,'N/A' AS TABELA_SIMUL,'"&amp;F517&amp;"' AS CAMPO, "&amp;"'${ref_date}' AS REF_DATE, CAST(MIN("&amp;F517&amp;") AS STRING) AS VALOR_MIN, CAST(MAX("&amp;F517&amp;") AS STRING) AS VALOR_MAX,'"&amp;MAX('ID1&amp;5'!K:K)+1&amp;"' AS ID_EXEC, CURRENT_TIMESTAMP() AS TIME_EXEC FROM "&amp;MID(I517,1,LEN(I517)-2)&amp;" AND CAST("&amp;F517&amp;"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TABELA_SIMUL,'immediate_parent_undertaking_id' AS CAMPO, '${ref_date}' AS REF_DATE, COUNT(*) AS NUM_REG, SUM(IF(COALESCE(CAST(X.immediate_parent_undertaking_id AS STRING),'')&lt;&gt;COALESCE(CAST(Y.immediate_parent_undertaking_id_SIMUL AS STRING),'') OR (X.immediate_parent_undertaking_id IS NULL AND Y.immediate_parent_undertaking_id_SIMUL IS NOT NULL ) OR (X.immediate_parent_undertaking_id IS NOT NULL AND Y.immediate_parent_undertaking_id_SIMUL IS NULL),1,0)) AS NUM_REG_DIF,'1' AS ID_EXEC, CURRENT_TIMESTAMP() AS TIME_EXEC FROM (SELECT entty_id, immediate_parent_undertaking_id FROM BU_LOANTAPE_WORK.LT003_ENTITY WHERE ref_date='${ref_date}' AND nome_perimetro='Individual Local' AND segmento='ESTR' AND ambito='SRB_MBDT' AND entidade='00100')X INNER JOIN (SELECT entty_id AS entty_id_SIMUL, immediate_parent_undertaking_id AS immediate_parent_undertaking_id_SIMUL FROM BU_LOANTAPE_WORK.SIMUL_LT003_ENTITY WHERE ref_date='${ref_date}' AND nome_perimetro='Individual Local' AND segmento='ESTR' AND ambito='PILAR3' AND entidade='00100')Y ON X.ENTTY_ID=Y.ENTTY_ID_SIMUL</v>
      </c>
      <c r="M517" s="36" t="str">
        <f t="shared" si="11"/>
        <v>UNION ALL SELECT 'ENTITY' AS TABELA, 'COERÊNCIA' AS TIPOLOGIA_TESTE,'BU_LOANTAPE_WORK.LT003_ENTITY' AS TABELA_LT,'BU_LOANTAPE_WORK.SIMUL_LT003_ENTITY' AS TABELA_SIMUL,'immediate_parent_undertaking_id' AS CAMPO, '${ref_date}' AS REF_DATE, COUNT(*) AS NUM_REG, SUM(IF(COALESCE(CAST(X.immediate_parent_undertaking_id AS STRING),'')&lt;&gt;COALESCE(CAST(Y.immediate_parent_undertaking_id_SIMUL AS STRING),'') OR (X.immediate_parent_undertaking_id IS NULL AND Y.immediate_parent_undertaking_id_SIMUL IS NOT NULL ) OR (X.immediate_parent_undertaking_id IS NOT NULL AND Y.immediate_parent_undertaking_id_SIMUL IS NULL),1,0)) AS NUM_REG_DIF,'1' AS ID_EXEC, CURRENT_TIMESTAMP() AS TIME_EXEC FROM (SELECT entty_id, immediate_parent_undertaking_id FROM BU_LOANTAPE_WORK.LT003_ENTITY WHERE ref_date='${ref_date}' AND nome_perimetro='Individual Local' AND segmento='ESTR' AND ambito='SRB_MBDT' AND entidade='00100')X INNER JOIN (SELECT entty_id AS entty_id_SIMUL, immediate_parent_undertaking_id AS immediate_parent_undertaking_id_SIMUL FROM BU_LOANTAPE_WORK.SIMUL_LT003_ENTITY WHERE ref_date='${ref_date}' AND nome_perimetro='Individual Local' AND segmento='ESTR' AND ambito='PILAR3' AND entidade='00100')Y ON X.ENTTY_ID=Y.ENTTY_ID_SIMUL</v>
      </c>
    </row>
    <row r="518" spans="2:13">
      <c r="B518" s="34" t="s">
        <v>118</v>
      </c>
      <c r="C518" s="34" t="s">
        <v>5</v>
      </c>
      <c r="D518" s="34" t="str">
        <f>+UPPER('0. Instruções'!$D$35&amp;"."&amp;VLOOKUP(B518,'0. Instruções'!$C$27:$D$32,2,FALSE))</f>
        <v>BU_LOANTAPE_WORK.LT003_ENTITY</v>
      </c>
      <c r="E518" s="34" t="str">
        <f>+UPPER('0. Instruções'!$D$36&amp;"."&amp;VLOOKUP(B518,'0. Instruções'!$C$27:$E$32,3,FALSE))</f>
        <v>BU_LOANTAPE_WORK.SIMUL_LT003_ENTITY</v>
      </c>
      <c r="F518" s="34" t="s">
        <v>1492</v>
      </c>
      <c r="G518" s="34"/>
      <c r="H518" s="34"/>
      <c r="I518" s="34" t="str">
        <f>"(SELECT "&amp;VLOOKUP(B518,'0. Instruções'!$C$27:$G$32,4,FALSE)&amp;", "&amp;F518&amp;" FROM "&amp;D518&amp;" WHERE "&amp;'0. Instruções'!$D$42&amp;")X"</f>
        <v>(SELECT entty_id, ultimate_parent_undertaking_id FROM BU_LOANTAPE_WORK.LT003_ENTITY WHERE ref_date='${ref_date}' AND nome_perimetro='Individual Local' AND segmento='ESTR' AND ambito='SRB_MBDT' AND entidade='00100')X</v>
      </c>
      <c r="J518" s="34" t="str">
        <f>"(SELECT "&amp;VLOOKUP(B518,'0. Instruções'!$C$27:$G$32,4,FALSE)&amp;" AS "&amp;VLOOKUP(B518,'0. Instruções'!$C$27:$G$32,4,FALSE)&amp;"_SIMUL, "&amp;F518&amp;" AS "&amp;F518&amp;"_SIMUL FROM "&amp;E518&amp;" WHERE "&amp;'0. Instruções'!$D$43&amp;")Y"</f>
        <v>(SELECT entty_id AS entty_id_SIMUL, ultimate_parent_undertaking_id AS ultimate_parent_undertaking_id_SIMUL FROM BU_LOANTAPE_WORK.SIMUL_LT003_ENTITY WHERE ref_date='${ref_date}' AND nome_perimetro='Individual Local' AND segmento='ESTR' AND ambito='PILAR3' AND entidade='00100')Y</v>
      </c>
      <c r="K518" s="35" t="str">
        <f>+UPPER("ON X."&amp;VLOOKUP(B518,'0. Instruções'!$C$27:$G$32,4,FALSE)&amp;"=Y."&amp;VLOOKUP(B518,'0. Instruções'!$C$27:$G$32,4,FALSE)&amp;"_SIMUL")</f>
        <v>ON X.ENTTY_ID=Y.ENTTY_ID_SIMUL</v>
      </c>
      <c r="L518" s="35" t="str">
        <f>+IF(C518="Coerência", +IF(LEFT(G518,5)="FLOAT","SELECT '"&amp;UPPER(B518)&amp;"' AS TABELA, '"&amp;UPPER(C518)&amp;"' AS TIPOLOGIA_TESTE,'"&amp;D518&amp;"' AS TABELA_LT,'"&amp;E518&amp;"' AS TABELA_SIMUL,'"&amp;F518&amp;"' AS CAMPO, "&amp;"'${ref_date}' AS REF_DATE, COUNT(*) AS NUM_REG, SUM(IF((ABS(COALESCE(CAST(X."&amp;F518&amp;" AS DECIMAL(18,6)),0)-COALESCE(CAST(Y."&amp;F518&amp;"_SIMUL AS DECIMAL(18,6)),0))&gt;0.000001) OR (X."&amp;F518&amp;" IS NULL AND Y."&amp;F518&amp;"_SIMUL IS NOT NULL ) OR (X."&amp;F518&amp;" IS NOT NULL AND Y."&amp;F518&amp;"_SIMUL IS NULL),1,0)) AS NUM_REG_DIF,'"&amp;MAX('ID1&amp;5'!K:K)+1&amp;"' AS ID_EXEC, CURRENT_TIMESTAMP() AS TIME_EXEC FROM "&amp;I518&amp;" INNER JOIN "&amp;J518&amp;" "&amp;K518,"SELECT '"&amp;UPPER(B518)&amp;"' AS TABELA, '"&amp;UPPER(C518)&amp;"' AS TIPOLOGIA_TESTE,'"&amp;D518&amp;"' AS TABELA_LT,'"&amp;E518&amp;"' AS TABELA_SIMUL,'"&amp;F518&amp;"' AS CAMPO, "&amp;"'${ref_date}' AS REF_DATE, COUNT(*) AS NUM_REG, SUM(IF(COALESCE(CAST(X."&amp;F518&amp;" AS STRING),'')&lt;&gt;COALESCE(CAST(Y."&amp;F518&amp;"_SIMUL AS STRING),'') OR (X."&amp;F518&amp;" IS NULL AND Y."&amp;F518&amp;"_SIMUL IS NOT NULL ) OR (X."&amp;F518&amp;" IS NOT NULL AND Y."&amp;F518&amp;"_SIMUL IS NULL),1,0)) AS NUM_REG_DIF,'"&amp;MAX('ID1&amp;5'!L:L)+1&amp;"' AS ID_EXEC, CURRENT_TIMESTAMP() AS TIME_EXEC FROM "&amp;I518&amp;" INNER JOIN "&amp;J518&amp;" "&amp;K518),
IF(C518="Validade",+IF(G518="Code List","SELECT '"&amp;UPPER(B518)&amp;"' AS TABELA, '"&amp;UPPER(C518)&amp;"' AS TIPOLOGIA_TESTE,'"&amp;D518&amp;"' AS TABELA_LT,'N/A' AS TABELA_SIMUL,'"&amp;F518&amp;"' AS CAMPO, "&amp;"'${ref_date}' AS REF_DATE, COUNT(*) AS NUM_REG, SUM(IF(TRIM(CAST(X."&amp;F518&amp;" AS STRING))='' OR TRIM(CAST(X."&amp;F518&amp;" AS STRING)) IS NULL OR CAST(X."&amp;F518&amp;" AS STRING) NOT "&amp;H518&amp;",1,0)) AS NUM_REG_DIF,'"&amp;MAX('ID1&amp;5'!K:K)+1&amp;"' AS ID_EXEC, CURRENT_TIMESTAMP() AS TIME_EXEC FROM "&amp;I518,"SELECT '"&amp;UPPER(B518)&amp;"' AS TABELA, '"&amp;UPPER(C518)&amp;"' AS TIPOLOGIA_TESTE,'"&amp;D518&amp;"' AS TABELA_LT,'N/A' AS TABELA_SIMUL,'"&amp;F518&amp;"' AS CAMPO, "&amp;"'${ref_date}' AS REF_DATE, COUNT(*) AS NUM_REG, SUM(IF(TRIM(CAST(X."&amp;F518&amp;" AS STRING))='' OR TRIM(CAST(X."&amp;F518&amp;" AS STRING)) IS NULL,1,0)) AS NUM_REG_DIF,'"&amp;MAX('ID1&amp;5'!K:K)+1&amp;"' AS ID_EXEC, CURRENT_TIMESTAMP() AS TIME_EXEC FROM "&amp;I518),
IF(C518="Caracteres Especiais",+"SELECT '"&amp;UPPER(B518)&amp;"' AS TABELA, '"&amp;UPPER(C518)&amp;"' AS TIPOLOGIA_TESTE,'"&amp;D518&amp;"' AS TABELA_LT,'N/A' AS TABELA_SIMUL,'"&amp;F518&amp;"' AS CAMPO, "&amp;"'${ref_date}' AS REF_DATE, COUNT(*) AS NUM_REG, SUM(IF(REGEXP_REPLACE(TRIM(CAST(X."&amp;F518&amp;" AS STRING)),'[^a-zA-Z0-9_\\s]','') &lt;&gt;TRIM(CAST(X."&amp;F518&amp;" AS STRING)),1,0)) AS NUM_REG_DIF,'"&amp;MAX('ID1&amp;5'!K:K)+1&amp;"' AS ID_EXEC, CURRENT_TIMESTAMP() AS TIME_EXEC FROM "&amp;I518,
IF(C518="Missings",+"SELECT '"&amp;UPPER(B518)&amp;"' AS TABELA, '"&amp;UPPER(C518)&amp;"' AS TIPOLOGIA_TESTE,'"&amp;D518&amp;"' AS TABELA_LT,'N/A' AS TABELA_SIMUL,'"&amp;F518&amp;"' AS CAMPO, "&amp;"'${ref_date}' AS REF_DATE, COUNT(*) AS NUM_REG, SUM(IF(TRIM(CAST(X."&amp;F518&amp;" AS STRING)) IN ('0000-00-00','0001-01-01','9999-12-31','MISS','00000','99999999999','99999999999.00','99999999999.000000'),1,0)) AS NUM_REG_DIF,'"&amp;MAX('ID1&amp;5'!K:K)+1&amp;"' AS ID_EXEC, CURRENT_TIMESTAMP() AS TIME_EXEC FROM "&amp;I518,
IF(C518="Not applicable",+"SELECT '"&amp;UPPER(B518)&amp;"' AS TABELA, '"&amp;UPPER(C518)&amp;"' AS TIPOLOGIA_TESTE,'"&amp;D518&amp;"' AS TABELA_LT,'N/A' AS TABELA_SIMUL,'"&amp;F518&amp;"' AS CAMPO, "&amp;"'${ref_date}' AS REF_DATE, COUNT(*) AS NUM_REG, SUM(IF(TRIM(CAST(X."&amp;F518&amp;" AS STRING)) IN ('N/A','11111111111','11111111111.00','11111111111.000000','1111-11-11'),1,0)) AS NUM_REG_DIF,'"&amp;MAX('ID1&amp;5'!K:K)+1&amp;"' AS ID_EXEC, CURRENT_TIMESTAMP() AS TIME_EXEC FROM "&amp;I518,
IF(C518="Valores extremos",+"SELECT '"&amp;UPPER(B518)&amp;"' AS TABELA, '"&amp;UPPER(C518)&amp;"' AS TIPOLOGIA_TESTE,'"&amp;D518&amp;"' AS TABELA_LT,'N/A' AS TABELA_SIMUL,'"&amp;F518&amp;"' AS CAMPO, "&amp;"'${ref_date}' AS REF_DATE, CAST(MIN("&amp;F518&amp;") AS STRING) AS VALOR_MIN, CAST(MAX("&amp;F518&amp;") AS STRING) AS VALOR_MAX,'"&amp;MAX('ID1&amp;5'!K:K)+1&amp;"' AS ID_EXEC, CURRENT_TIMESTAMP() AS TIME_EXEC FROM "&amp;MID(I518,1,LEN(I518)-2)&amp;" AND CAST("&amp;F518&amp;"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TABELA_SIMUL,'ultimate_parent_undertaking_id' AS CAMPO, '${ref_date}' AS REF_DATE, COUNT(*) AS NUM_REG, SUM(IF(COALESCE(CAST(X.ultimate_parent_undertaking_id AS STRING),'')&lt;&gt;COALESCE(CAST(Y.ultimate_parent_undertaking_id_SIMUL AS STRING),'') OR (X.ultimate_parent_undertaking_id IS NULL AND Y.ultimate_parent_undertaking_id_SIMUL IS NOT NULL ) OR (X.ultimate_parent_undertaking_id IS NOT NULL AND Y.ultimate_parent_undertaking_id_SIMUL IS NULL),1,0)) AS NUM_REG_DIF,'1' AS ID_EXEC, CURRENT_TIMESTAMP() AS TIME_EXEC FROM (SELECT entty_id, ultimate_parent_undertaking_id FROM BU_LOANTAPE_WORK.LT003_ENTITY WHERE ref_date='${ref_date}' AND nome_perimetro='Individual Local' AND segmento='ESTR' AND ambito='SRB_MBDT' AND entidade='00100')X INNER JOIN (SELECT entty_id AS entty_id_SIMUL, ultimate_parent_undertaking_id AS ultimate_parent_undertaking_id_SIMUL FROM BU_LOANTAPE_WORK.SIMUL_LT003_ENTITY WHERE ref_date='${ref_date}' AND nome_perimetro='Individual Local' AND segmento='ESTR' AND ambito='PILAR3' AND entidade='00100')Y ON X.ENTTY_ID=Y.ENTTY_ID_SIMUL</v>
      </c>
      <c r="M518" s="36" t="str">
        <f t="shared" si="11"/>
        <v>UNION ALL SELECT 'ENTITY' AS TABELA, 'COERÊNCIA' AS TIPOLOGIA_TESTE,'BU_LOANTAPE_WORK.LT003_ENTITY' AS TABELA_LT,'BU_LOANTAPE_WORK.SIMUL_LT003_ENTITY' AS TABELA_SIMUL,'ultimate_parent_undertaking_id' AS CAMPO, '${ref_date}' AS REF_DATE, COUNT(*) AS NUM_REG, SUM(IF(COALESCE(CAST(X.ultimate_parent_undertaking_id AS STRING),'')&lt;&gt;COALESCE(CAST(Y.ultimate_parent_undertaking_id_SIMUL AS STRING),'') OR (X.ultimate_parent_undertaking_id IS NULL AND Y.ultimate_parent_undertaking_id_SIMUL IS NOT NULL ) OR (X.ultimate_parent_undertaking_id IS NOT NULL AND Y.ultimate_parent_undertaking_id_SIMUL IS NULL),1,0)) AS NUM_REG_DIF,'1' AS ID_EXEC, CURRENT_TIMESTAMP() AS TIME_EXEC FROM (SELECT entty_id, ultimate_parent_undertaking_id FROM BU_LOANTAPE_WORK.LT003_ENTITY WHERE ref_date='${ref_date}' AND nome_perimetro='Individual Local' AND segmento='ESTR' AND ambito='SRB_MBDT' AND entidade='00100')X INNER JOIN (SELECT entty_id AS entty_id_SIMUL, ultimate_parent_undertaking_id AS ultimate_parent_undertaking_id_SIMUL FROM BU_LOANTAPE_WORK.SIMUL_LT003_ENTITY WHERE ref_date='${ref_date}' AND nome_perimetro='Individual Local' AND segmento='ESTR' AND ambito='PILAR3' AND entidade='00100')Y ON X.ENTTY_ID=Y.ENTTY_ID_SIMUL</v>
      </c>
    </row>
    <row r="519" spans="2:13">
      <c r="B519" s="34" t="s">
        <v>118</v>
      </c>
      <c r="C519" s="34" t="s">
        <v>5</v>
      </c>
      <c r="D519" s="34" t="str">
        <f>+UPPER('0. Instruções'!$D$35&amp;"."&amp;VLOOKUP(B519,'0. Instruções'!$C$27:$D$32,2,FALSE))</f>
        <v>BU_LOANTAPE_WORK.LT003_ENTITY</v>
      </c>
      <c r="E519" s="34" t="str">
        <f>+UPPER('0. Instruções'!$D$36&amp;"."&amp;VLOOKUP(B519,'0. Instruções'!$C$27:$E$32,3,FALSE))</f>
        <v>BU_LOANTAPE_WORK.SIMUL_LT003_ENTITY</v>
      </c>
      <c r="F519" s="34" t="s">
        <v>1493</v>
      </c>
      <c r="G519" s="34"/>
      <c r="H519" s="34"/>
      <c r="I519" s="34" t="str">
        <f>"(SELECT "&amp;VLOOKUP(B519,'0. Instruções'!$C$27:$G$32,4,FALSE)&amp;", "&amp;F519&amp;" FROM "&amp;D519&amp;" WHERE "&amp;'0. Instruções'!$D$42&amp;")X"</f>
        <v>(SELECT entty_id, address_street FROM BU_LOANTAPE_WORK.LT003_ENTITY WHERE ref_date='${ref_date}' AND nome_perimetro='Individual Local' AND segmento='ESTR' AND ambito='SRB_MBDT' AND entidade='00100')X</v>
      </c>
      <c r="J519" s="34" t="str">
        <f>"(SELECT "&amp;VLOOKUP(B519,'0. Instruções'!$C$27:$G$32,4,FALSE)&amp;" AS "&amp;VLOOKUP(B519,'0. Instruções'!$C$27:$G$32,4,FALSE)&amp;"_SIMUL, "&amp;F519&amp;" AS "&amp;F519&amp;"_SIMUL FROM "&amp;E519&amp;" WHERE "&amp;'0. Instruções'!$D$43&amp;")Y"</f>
        <v>(SELECT entty_id AS entty_id_SIMUL, address_street AS address_street_SIMUL FROM BU_LOANTAPE_WORK.SIMUL_LT003_ENTITY WHERE ref_date='${ref_date}' AND nome_perimetro='Individual Local' AND segmento='ESTR' AND ambito='PILAR3' AND entidade='00100')Y</v>
      </c>
      <c r="K519" s="35" t="str">
        <f>+UPPER("ON X."&amp;VLOOKUP(B519,'0. Instruções'!$C$27:$G$32,4,FALSE)&amp;"=Y."&amp;VLOOKUP(B519,'0. Instruções'!$C$27:$G$32,4,FALSE)&amp;"_SIMUL")</f>
        <v>ON X.ENTTY_ID=Y.ENTTY_ID_SIMUL</v>
      </c>
      <c r="L519" s="35" t="str">
        <f>+IF(C519="Coerência", +IF(LEFT(G519,5)="FLOAT","SELECT '"&amp;UPPER(B519)&amp;"' AS TABELA, '"&amp;UPPER(C519)&amp;"' AS TIPOLOGIA_TESTE,'"&amp;D519&amp;"' AS TABELA_LT,'"&amp;E519&amp;"' AS TABELA_SIMUL,'"&amp;F519&amp;"' AS CAMPO, "&amp;"'${ref_date}' AS REF_DATE, COUNT(*) AS NUM_REG, SUM(IF((ABS(COALESCE(CAST(X."&amp;F519&amp;" AS DECIMAL(18,6)),0)-COALESCE(CAST(Y."&amp;F519&amp;"_SIMUL AS DECIMAL(18,6)),0))&gt;0.000001) OR (X."&amp;F519&amp;" IS NULL AND Y."&amp;F519&amp;"_SIMUL IS NOT NULL ) OR (X."&amp;F519&amp;" IS NOT NULL AND Y."&amp;F519&amp;"_SIMUL IS NULL),1,0)) AS NUM_REG_DIF,'"&amp;MAX('ID1&amp;5'!K:K)+1&amp;"' AS ID_EXEC, CURRENT_TIMESTAMP() AS TIME_EXEC FROM "&amp;I519&amp;" INNER JOIN "&amp;J519&amp;" "&amp;K519,"SELECT '"&amp;UPPER(B519)&amp;"' AS TABELA, '"&amp;UPPER(C519)&amp;"' AS TIPOLOGIA_TESTE,'"&amp;D519&amp;"' AS TABELA_LT,'"&amp;E519&amp;"' AS TABELA_SIMUL,'"&amp;F519&amp;"' AS CAMPO, "&amp;"'${ref_date}' AS REF_DATE, COUNT(*) AS NUM_REG, SUM(IF(COALESCE(CAST(X."&amp;F519&amp;" AS STRING),'')&lt;&gt;COALESCE(CAST(Y."&amp;F519&amp;"_SIMUL AS STRING),'') OR (X."&amp;F519&amp;" IS NULL AND Y."&amp;F519&amp;"_SIMUL IS NOT NULL ) OR (X."&amp;F519&amp;" IS NOT NULL AND Y."&amp;F519&amp;"_SIMUL IS NULL),1,0)) AS NUM_REG_DIF,'"&amp;MAX('ID1&amp;5'!L:L)+1&amp;"' AS ID_EXEC, CURRENT_TIMESTAMP() AS TIME_EXEC FROM "&amp;I519&amp;" INNER JOIN "&amp;J519&amp;" "&amp;K519),
IF(C519="Validade",+IF(G519="Code List","SELECT '"&amp;UPPER(B519)&amp;"' AS TABELA, '"&amp;UPPER(C519)&amp;"' AS TIPOLOGIA_TESTE,'"&amp;D519&amp;"' AS TABELA_LT,'N/A' AS TABELA_SIMUL,'"&amp;F519&amp;"' AS CAMPO, "&amp;"'${ref_date}' AS REF_DATE, COUNT(*) AS NUM_REG, SUM(IF(TRIM(CAST(X."&amp;F519&amp;" AS STRING))='' OR TRIM(CAST(X."&amp;F519&amp;" AS STRING)) IS NULL OR CAST(X."&amp;F519&amp;" AS STRING) NOT "&amp;H519&amp;",1,0)) AS NUM_REG_DIF,'"&amp;MAX('ID1&amp;5'!K:K)+1&amp;"' AS ID_EXEC, CURRENT_TIMESTAMP() AS TIME_EXEC FROM "&amp;I519,"SELECT '"&amp;UPPER(B519)&amp;"' AS TABELA, '"&amp;UPPER(C519)&amp;"' AS TIPOLOGIA_TESTE,'"&amp;D519&amp;"' AS TABELA_LT,'N/A' AS TABELA_SIMUL,'"&amp;F519&amp;"' AS CAMPO, "&amp;"'${ref_date}' AS REF_DATE, COUNT(*) AS NUM_REG, SUM(IF(TRIM(CAST(X."&amp;F519&amp;" AS STRING))='' OR TRIM(CAST(X."&amp;F519&amp;" AS STRING)) IS NULL,1,0)) AS NUM_REG_DIF,'"&amp;MAX('ID1&amp;5'!K:K)+1&amp;"' AS ID_EXEC, CURRENT_TIMESTAMP() AS TIME_EXEC FROM "&amp;I519),
IF(C519="Caracteres Especiais",+"SELECT '"&amp;UPPER(B519)&amp;"' AS TABELA, '"&amp;UPPER(C519)&amp;"' AS TIPOLOGIA_TESTE,'"&amp;D519&amp;"' AS TABELA_LT,'N/A' AS TABELA_SIMUL,'"&amp;F519&amp;"' AS CAMPO, "&amp;"'${ref_date}' AS REF_DATE, COUNT(*) AS NUM_REG, SUM(IF(REGEXP_REPLACE(TRIM(CAST(X."&amp;F519&amp;" AS STRING)),'[^a-zA-Z0-9_\\s]','') &lt;&gt;TRIM(CAST(X."&amp;F519&amp;" AS STRING)),1,0)) AS NUM_REG_DIF,'"&amp;MAX('ID1&amp;5'!K:K)+1&amp;"' AS ID_EXEC, CURRENT_TIMESTAMP() AS TIME_EXEC FROM "&amp;I519,
IF(C519="Missings",+"SELECT '"&amp;UPPER(B519)&amp;"' AS TABELA, '"&amp;UPPER(C519)&amp;"' AS TIPOLOGIA_TESTE,'"&amp;D519&amp;"' AS TABELA_LT,'N/A' AS TABELA_SIMUL,'"&amp;F519&amp;"' AS CAMPO, "&amp;"'${ref_date}' AS REF_DATE, COUNT(*) AS NUM_REG, SUM(IF(TRIM(CAST(X."&amp;F519&amp;" AS STRING)) IN ('0000-00-00','0001-01-01','9999-12-31','MISS','00000','99999999999','99999999999.00','99999999999.000000'),1,0)) AS NUM_REG_DIF,'"&amp;MAX('ID1&amp;5'!K:K)+1&amp;"' AS ID_EXEC, CURRENT_TIMESTAMP() AS TIME_EXEC FROM "&amp;I519,
IF(C519="Not applicable",+"SELECT '"&amp;UPPER(B519)&amp;"' AS TABELA, '"&amp;UPPER(C519)&amp;"' AS TIPOLOGIA_TESTE,'"&amp;D519&amp;"' AS TABELA_LT,'N/A' AS TABELA_SIMUL,'"&amp;F519&amp;"' AS CAMPO, "&amp;"'${ref_date}' AS REF_DATE, COUNT(*) AS NUM_REG, SUM(IF(TRIM(CAST(X."&amp;F519&amp;" AS STRING)) IN ('N/A','11111111111','11111111111.00','11111111111.000000','1111-11-11'),1,0)) AS NUM_REG_DIF,'"&amp;MAX('ID1&amp;5'!K:K)+1&amp;"' AS ID_EXEC, CURRENT_TIMESTAMP() AS TIME_EXEC FROM "&amp;I519,
IF(C519="Valores extremos",+"SELECT '"&amp;UPPER(B519)&amp;"' AS TABELA, '"&amp;UPPER(C519)&amp;"' AS TIPOLOGIA_TESTE,'"&amp;D519&amp;"' AS TABELA_LT,'N/A' AS TABELA_SIMUL,'"&amp;F519&amp;"' AS CAMPO, "&amp;"'${ref_date}' AS REF_DATE, CAST(MIN("&amp;F519&amp;") AS STRING) AS VALOR_MIN, CAST(MAX("&amp;F519&amp;") AS STRING) AS VALOR_MAX,'"&amp;MAX('ID1&amp;5'!K:K)+1&amp;"' AS ID_EXEC, CURRENT_TIMESTAMP() AS TIME_EXEC FROM "&amp;MID(I519,1,LEN(I519)-2)&amp;" AND CAST("&amp;F519&amp;"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TABELA_SIMUL,'address_street' AS CAMPO, '${ref_date}' AS REF_DATE, COUNT(*) AS NUM_REG, SUM(IF(COALESCE(CAST(X.address_street AS STRING),'')&lt;&gt;COALESCE(CAST(Y.address_street_SIMUL AS STRING),'') OR (X.address_street IS NULL AND Y.address_street_SIMUL IS NOT NULL ) OR (X.address_street IS NOT NULL AND Y.address_street_SIMUL IS NULL),1,0)) AS NUM_REG_DIF,'1' AS ID_EXEC, CURRENT_TIMESTAMP() AS TIME_EXEC FROM (SELECT entty_id, address_street FROM BU_LOANTAPE_WORK.LT003_ENTITY WHERE ref_date='${ref_date}' AND nome_perimetro='Individual Local' AND segmento='ESTR' AND ambito='SRB_MBDT' AND entidade='00100')X INNER JOIN (SELECT entty_id AS entty_id_SIMUL, address_street AS address_street_SIMUL FROM BU_LOANTAPE_WORK.SIMUL_LT003_ENTITY WHERE ref_date='${ref_date}' AND nome_perimetro='Individual Local' AND segmento='ESTR' AND ambito='PILAR3' AND entidade='00100')Y ON X.ENTTY_ID=Y.ENTTY_ID_SIMUL</v>
      </c>
      <c r="M519" s="36" t="str">
        <f t="shared" si="11"/>
        <v>UNION ALL SELECT 'ENTITY' AS TABELA, 'COERÊNCIA' AS TIPOLOGIA_TESTE,'BU_LOANTAPE_WORK.LT003_ENTITY' AS TABELA_LT,'BU_LOANTAPE_WORK.SIMUL_LT003_ENTITY' AS TABELA_SIMUL,'address_street' AS CAMPO, '${ref_date}' AS REF_DATE, COUNT(*) AS NUM_REG, SUM(IF(COALESCE(CAST(X.address_street AS STRING),'')&lt;&gt;COALESCE(CAST(Y.address_street_SIMUL AS STRING),'') OR (X.address_street IS NULL AND Y.address_street_SIMUL IS NOT NULL ) OR (X.address_street IS NOT NULL AND Y.address_street_SIMUL IS NULL),1,0)) AS NUM_REG_DIF,'1' AS ID_EXEC, CURRENT_TIMESTAMP() AS TIME_EXEC FROM (SELECT entty_id, address_street FROM BU_LOANTAPE_WORK.LT003_ENTITY WHERE ref_date='${ref_date}' AND nome_perimetro='Individual Local' AND segmento='ESTR' AND ambito='SRB_MBDT' AND entidade='00100')X INNER JOIN (SELECT entty_id AS entty_id_SIMUL, address_street AS address_street_SIMUL FROM BU_LOANTAPE_WORK.SIMUL_LT003_ENTITY WHERE ref_date='${ref_date}' AND nome_perimetro='Individual Local' AND segmento='ESTR' AND ambito='PILAR3' AND entidade='00100')Y ON X.ENTTY_ID=Y.ENTTY_ID_SIMUL</v>
      </c>
    </row>
    <row r="520" spans="2:13">
      <c r="B520" s="34" t="s">
        <v>118</v>
      </c>
      <c r="C520" s="34" t="s">
        <v>5</v>
      </c>
      <c r="D520" s="34" t="str">
        <f>+UPPER('0. Instruções'!$D$35&amp;"."&amp;VLOOKUP(B520,'0. Instruções'!$C$27:$D$32,2,FALSE))</f>
        <v>BU_LOANTAPE_WORK.LT003_ENTITY</v>
      </c>
      <c r="E520" s="34" t="str">
        <f>+UPPER('0. Instruções'!$D$36&amp;"."&amp;VLOOKUP(B520,'0. Instruções'!$C$27:$E$32,3,FALSE))</f>
        <v>BU_LOANTAPE_WORK.SIMUL_LT003_ENTITY</v>
      </c>
      <c r="F520" s="34" t="s">
        <v>1494</v>
      </c>
      <c r="G520" s="34"/>
      <c r="H520" s="34"/>
      <c r="I520" s="34" t="str">
        <f>"(SELECT "&amp;VLOOKUP(B520,'0. Instruções'!$C$27:$G$32,4,FALSE)&amp;", "&amp;F520&amp;" FROM "&amp;D520&amp;" WHERE "&amp;'0. Instruções'!$D$42&amp;")X"</f>
        <v>(SELECT entty_id, address_city_town_village FROM BU_LOANTAPE_WORK.LT003_ENTITY WHERE ref_date='${ref_date}' AND nome_perimetro='Individual Local' AND segmento='ESTR' AND ambito='SRB_MBDT' AND entidade='00100')X</v>
      </c>
      <c r="J520" s="34" t="str">
        <f>"(SELECT "&amp;VLOOKUP(B520,'0. Instruções'!$C$27:$G$32,4,FALSE)&amp;" AS "&amp;VLOOKUP(B520,'0. Instruções'!$C$27:$G$32,4,FALSE)&amp;"_SIMUL, "&amp;F520&amp;" AS "&amp;F520&amp;"_SIMUL FROM "&amp;E520&amp;" WHERE "&amp;'0. Instruções'!$D$43&amp;")Y"</f>
        <v>(SELECT entty_id AS entty_id_SIMUL, address_city_town_village AS address_city_town_village_SIMUL FROM BU_LOANTAPE_WORK.SIMUL_LT003_ENTITY WHERE ref_date='${ref_date}' AND nome_perimetro='Individual Local' AND segmento='ESTR' AND ambito='PILAR3' AND entidade='00100')Y</v>
      </c>
      <c r="K520" s="35" t="str">
        <f>+UPPER("ON X."&amp;VLOOKUP(B520,'0. Instruções'!$C$27:$G$32,4,FALSE)&amp;"=Y."&amp;VLOOKUP(B520,'0. Instruções'!$C$27:$G$32,4,FALSE)&amp;"_SIMUL")</f>
        <v>ON X.ENTTY_ID=Y.ENTTY_ID_SIMUL</v>
      </c>
      <c r="L520" s="35" t="str">
        <f>+IF(C520="Coerência", +IF(LEFT(G520,5)="FLOAT","SELECT '"&amp;UPPER(B520)&amp;"' AS TABELA, '"&amp;UPPER(C520)&amp;"' AS TIPOLOGIA_TESTE,'"&amp;D520&amp;"' AS TABELA_LT,'"&amp;E520&amp;"' AS TABELA_SIMUL,'"&amp;F520&amp;"' AS CAMPO, "&amp;"'${ref_date}' AS REF_DATE, COUNT(*) AS NUM_REG, SUM(IF((ABS(COALESCE(CAST(X."&amp;F520&amp;" AS DECIMAL(18,6)),0)-COALESCE(CAST(Y."&amp;F520&amp;"_SIMUL AS DECIMAL(18,6)),0))&gt;0.000001) OR (X."&amp;F520&amp;" IS NULL AND Y."&amp;F520&amp;"_SIMUL IS NOT NULL ) OR (X."&amp;F520&amp;" IS NOT NULL AND Y."&amp;F520&amp;"_SIMUL IS NULL),1,0)) AS NUM_REG_DIF,'"&amp;MAX('ID1&amp;5'!K:K)+1&amp;"' AS ID_EXEC, CURRENT_TIMESTAMP() AS TIME_EXEC FROM "&amp;I520&amp;" INNER JOIN "&amp;J520&amp;" "&amp;K520,"SELECT '"&amp;UPPER(B520)&amp;"' AS TABELA, '"&amp;UPPER(C520)&amp;"' AS TIPOLOGIA_TESTE,'"&amp;D520&amp;"' AS TABELA_LT,'"&amp;E520&amp;"' AS TABELA_SIMUL,'"&amp;F520&amp;"' AS CAMPO, "&amp;"'${ref_date}' AS REF_DATE, COUNT(*) AS NUM_REG, SUM(IF(COALESCE(CAST(X."&amp;F520&amp;" AS STRING),'')&lt;&gt;COALESCE(CAST(Y."&amp;F520&amp;"_SIMUL AS STRING),'') OR (X."&amp;F520&amp;" IS NULL AND Y."&amp;F520&amp;"_SIMUL IS NOT NULL ) OR (X."&amp;F520&amp;" IS NOT NULL AND Y."&amp;F520&amp;"_SIMUL IS NULL),1,0)) AS NUM_REG_DIF,'"&amp;MAX('ID1&amp;5'!L:L)+1&amp;"' AS ID_EXEC, CURRENT_TIMESTAMP() AS TIME_EXEC FROM "&amp;I520&amp;" INNER JOIN "&amp;J520&amp;" "&amp;K520),
IF(C520="Validade",+IF(G520="Code List","SELECT '"&amp;UPPER(B520)&amp;"' AS TABELA, '"&amp;UPPER(C520)&amp;"' AS TIPOLOGIA_TESTE,'"&amp;D520&amp;"' AS TABELA_LT,'N/A' AS TABELA_SIMUL,'"&amp;F520&amp;"' AS CAMPO, "&amp;"'${ref_date}' AS REF_DATE, COUNT(*) AS NUM_REG, SUM(IF(TRIM(CAST(X."&amp;F520&amp;" AS STRING))='' OR TRIM(CAST(X."&amp;F520&amp;" AS STRING)) IS NULL OR CAST(X."&amp;F520&amp;" AS STRING) NOT "&amp;H520&amp;",1,0)) AS NUM_REG_DIF,'"&amp;MAX('ID1&amp;5'!K:K)+1&amp;"' AS ID_EXEC, CURRENT_TIMESTAMP() AS TIME_EXEC FROM "&amp;I520,"SELECT '"&amp;UPPER(B520)&amp;"' AS TABELA, '"&amp;UPPER(C520)&amp;"' AS TIPOLOGIA_TESTE,'"&amp;D520&amp;"' AS TABELA_LT,'N/A' AS TABELA_SIMUL,'"&amp;F520&amp;"' AS CAMPO, "&amp;"'${ref_date}' AS REF_DATE, COUNT(*) AS NUM_REG, SUM(IF(TRIM(CAST(X."&amp;F520&amp;" AS STRING))='' OR TRIM(CAST(X."&amp;F520&amp;" AS STRING)) IS NULL,1,0)) AS NUM_REG_DIF,'"&amp;MAX('ID1&amp;5'!K:K)+1&amp;"' AS ID_EXEC, CURRENT_TIMESTAMP() AS TIME_EXEC FROM "&amp;I520),
IF(C520="Caracteres Especiais",+"SELECT '"&amp;UPPER(B520)&amp;"' AS TABELA, '"&amp;UPPER(C520)&amp;"' AS TIPOLOGIA_TESTE,'"&amp;D520&amp;"' AS TABELA_LT,'N/A' AS TABELA_SIMUL,'"&amp;F520&amp;"' AS CAMPO, "&amp;"'${ref_date}' AS REF_DATE, COUNT(*) AS NUM_REG, SUM(IF(REGEXP_REPLACE(TRIM(CAST(X."&amp;F520&amp;" AS STRING)),'[^a-zA-Z0-9_\\s]','') &lt;&gt;TRIM(CAST(X."&amp;F520&amp;" AS STRING)),1,0)) AS NUM_REG_DIF,'"&amp;MAX('ID1&amp;5'!K:K)+1&amp;"' AS ID_EXEC, CURRENT_TIMESTAMP() AS TIME_EXEC FROM "&amp;I520,
IF(C520="Missings",+"SELECT '"&amp;UPPER(B520)&amp;"' AS TABELA, '"&amp;UPPER(C520)&amp;"' AS TIPOLOGIA_TESTE,'"&amp;D520&amp;"' AS TABELA_LT,'N/A' AS TABELA_SIMUL,'"&amp;F520&amp;"' AS CAMPO, "&amp;"'${ref_date}' AS REF_DATE, COUNT(*) AS NUM_REG, SUM(IF(TRIM(CAST(X."&amp;F520&amp;" AS STRING)) IN ('0000-00-00','0001-01-01','9999-12-31','MISS','00000','99999999999','99999999999.00','99999999999.000000'),1,0)) AS NUM_REG_DIF,'"&amp;MAX('ID1&amp;5'!K:K)+1&amp;"' AS ID_EXEC, CURRENT_TIMESTAMP() AS TIME_EXEC FROM "&amp;I520,
IF(C520="Not applicable",+"SELECT '"&amp;UPPER(B520)&amp;"' AS TABELA, '"&amp;UPPER(C520)&amp;"' AS TIPOLOGIA_TESTE,'"&amp;D520&amp;"' AS TABELA_LT,'N/A' AS TABELA_SIMUL,'"&amp;F520&amp;"' AS CAMPO, "&amp;"'${ref_date}' AS REF_DATE, COUNT(*) AS NUM_REG, SUM(IF(TRIM(CAST(X."&amp;F520&amp;" AS STRING)) IN ('N/A','11111111111','11111111111.00','11111111111.000000','1111-11-11'),1,0)) AS NUM_REG_DIF,'"&amp;MAX('ID1&amp;5'!K:K)+1&amp;"' AS ID_EXEC, CURRENT_TIMESTAMP() AS TIME_EXEC FROM "&amp;I520,
IF(C520="Valores extremos",+"SELECT '"&amp;UPPER(B520)&amp;"' AS TABELA, '"&amp;UPPER(C520)&amp;"' AS TIPOLOGIA_TESTE,'"&amp;D520&amp;"' AS TABELA_LT,'N/A' AS TABELA_SIMUL,'"&amp;F520&amp;"' AS CAMPO, "&amp;"'${ref_date}' AS REF_DATE, CAST(MIN("&amp;F520&amp;") AS STRING) AS VALOR_MIN, CAST(MAX("&amp;F520&amp;") AS STRING) AS VALOR_MAX,'"&amp;MAX('ID1&amp;5'!K:K)+1&amp;"' AS ID_EXEC, CURRENT_TIMESTAMP() AS TIME_EXEC FROM "&amp;MID(I520,1,LEN(I520)-2)&amp;" AND CAST("&amp;F520&amp;"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TABELA_SIMUL,'address_city_town_village' AS CAMPO, '${ref_date}' AS REF_DATE, COUNT(*) AS NUM_REG, SUM(IF(COALESCE(CAST(X.address_city_town_village AS STRING),'')&lt;&gt;COALESCE(CAST(Y.address_city_town_village_SIMUL AS STRING),'') OR (X.address_city_town_village IS NULL AND Y.address_city_town_village_SIMUL IS NOT NULL ) OR (X.address_city_town_village IS NOT NULL AND Y.address_city_town_village_SIMUL IS NULL),1,0)) AS NUM_REG_DIF,'1' AS ID_EXEC, CURRENT_TIMESTAMP() AS TIME_EXEC FROM (SELECT entty_id, address_city_town_village FROM BU_LOANTAPE_WORK.LT003_ENTITY WHERE ref_date='${ref_date}' AND nome_perimetro='Individual Local' AND segmento='ESTR' AND ambito='SRB_MBDT' AND entidade='00100')X INNER JOIN (SELECT entty_id AS entty_id_SIMUL, address_city_town_village AS address_city_town_village_SIMUL FROM BU_LOANTAPE_WORK.SIMUL_LT003_ENTITY WHERE ref_date='${ref_date}' AND nome_perimetro='Individual Local' AND segmento='ESTR' AND ambito='PILAR3' AND entidade='00100')Y ON X.ENTTY_ID=Y.ENTTY_ID_SIMUL</v>
      </c>
      <c r="M520" s="36" t="str">
        <f t="shared" si="11"/>
        <v>UNION ALL SELECT 'ENTITY' AS TABELA, 'COERÊNCIA' AS TIPOLOGIA_TESTE,'BU_LOANTAPE_WORK.LT003_ENTITY' AS TABELA_LT,'BU_LOANTAPE_WORK.SIMUL_LT003_ENTITY' AS TABELA_SIMUL,'address_city_town_village' AS CAMPO, '${ref_date}' AS REF_DATE, COUNT(*) AS NUM_REG, SUM(IF(COALESCE(CAST(X.address_city_town_village AS STRING),'')&lt;&gt;COALESCE(CAST(Y.address_city_town_village_SIMUL AS STRING),'') OR (X.address_city_town_village IS NULL AND Y.address_city_town_village_SIMUL IS NOT NULL ) OR (X.address_city_town_village IS NOT NULL AND Y.address_city_town_village_SIMUL IS NULL),1,0)) AS NUM_REG_DIF,'1' AS ID_EXEC, CURRENT_TIMESTAMP() AS TIME_EXEC FROM (SELECT entty_id, address_city_town_village FROM BU_LOANTAPE_WORK.LT003_ENTITY WHERE ref_date='${ref_date}' AND nome_perimetro='Individual Local' AND segmento='ESTR' AND ambito='SRB_MBDT' AND entidade='00100')X INNER JOIN (SELECT entty_id AS entty_id_SIMUL, address_city_town_village AS address_city_town_village_SIMUL FROM BU_LOANTAPE_WORK.SIMUL_LT003_ENTITY WHERE ref_date='${ref_date}' AND nome_perimetro='Individual Local' AND segmento='ESTR' AND ambito='PILAR3' AND entidade='00100')Y ON X.ENTTY_ID=Y.ENTTY_ID_SIMUL</v>
      </c>
    </row>
    <row r="521" spans="2:13">
      <c r="B521" s="34" t="s">
        <v>118</v>
      </c>
      <c r="C521" s="34" t="s">
        <v>5</v>
      </c>
      <c r="D521" s="34" t="str">
        <f>+UPPER('0. Instruções'!$D$35&amp;"."&amp;VLOOKUP(B521,'0. Instruções'!$C$27:$D$32,2,FALSE))</f>
        <v>BU_LOANTAPE_WORK.LT003_ENTITY</v>
      </c>
      <c r="E521" s="34" t="str">
        <f>+UPPER('0. Instruções'!$D$36&amp;"."&amp;VLOOKUP(B521,'0. Instruções'!$C$27:$E$32,3,FALSE))</f>
        <v>BU_LOANTAPE_WORK.SIMUL_LT003_ENTITY</v>
      </c>
      <c r="F521" s="34" t="s">
        <v>1495</v>
      </c>
      <c r="G521" s="34"/>
      <c r="H521" s="34"/>
      <c r="I521" s="34" t="str">
        <f>"(SELECT "&amp;VLOOKUP(B521,'0. Instruções'!$C$27:$G$32,4,FALSE)&amp;", "&amp;F521&amp;" FROM "&amp;D521&amp;" WHERE "&amp;'0. Instruções'!$D$42&amp;")X"</f>
        <v>(SELECT entty_id, address_county_adm_div FROM BU_LOANTAPE_WORK.LT003_ENTITY WHERE ref_date='${ref_date}' AND nome_perimetro='Individual Local' AND segmento='ESTR' AND ambito='SRB_MBDT' AND entidade='00100')X</v>
      </c>
      <c r="J521" s="34" t="str">
        <f>"(SELECT "&amp;VLOOKUP(B521,'0. Instruções'!$C$27:$G$32,4,FALSE)&amp;" AS "&amp;VLOOKUP(B521,'0. Instruções'!$C$27:$G$32,4,FALSE)&amp;"_SIMUL, "&amp;F521&amp;" AS "&amp;F521&amp;"_SIMUL FROM "&amp;E521&amp;" WHERE "&amp;'0. Instruções'!$D$43&amp;")Y"</f>
        <v>(SELECT entty_id AS entty_id_SIMUL, address_county_adm_div AS address_county_adm_div_SIMUL FROM BU_LOANTAPE_WORK.SIMUL_LT003_ENTITY WHERE ref_date='${ref_date}' AND nome_perimetro='Individual Local' AND segmento='ESTR' AND ambito='PILAR3' AND entidade='00100')Y</v>
      </c>
      <c r="K521" s="35" t="str">
        <f>+UPPER("ON X."&amp;VLOOKUP(B521,'0. Instruções'!$C$27:$G$32,4,FALSE)&amp;"=Y."&amp;VLOOKUP(B521,'0. Instruções'!$C$27:$G$32,4,FALSE)&amp;"_SIMUL")</f>
        <v>ON X.ENTTY_ID=Y.ENTTY_ID_SIMUL</v>
      </c>
      <c r="L521" s="35" t="str">
        <f>+IF(C521="Coerência", +IF(LEFT(G521,5)="FLOAT","SELECT '"&amp;UPPER(B521)&amp;"' AS TABELA, '"&amp;UPPER(C521)&amp;"' AS TIPOLOGIA_TESTE,'"&amp;D521&amp;"' AS TABELA_LT,'"&amp;E521&amp;"' AS TABELA_SIMUL,'"&amp;F521&amp;"' AS CAMPO, "&amp;"'${ref_date}' AS REF_DATE, COUNT(*) AS NUM_REG, SUM(IF((ABS(COALESCE(CAST(X."&amp;F521&amp;" AS DECIMAL(18,6)),0)-COALESCE(CAST(Y."&amp;F521&amp;"_SIMUL AS DECIMAL(18,6)),0))&gt;0.000001) OR (X."&amp;F521&amp;" IS NULL AND Y."&amp;F521&amp;"_SIMUL IS NOT NULL ) OR (X."&amp;F521&amp;" IS NOT NULL AND Y."&amp;F521&amp;"_SIMUL IS NULL),1,0)) AS NUM_REG_DIF,'"&amp;MAX('ID1&amp;5'!K:K)+1&amp;"' AS ID_EXEC, CURRENT_TIMESTAMP() AS TIME_EXEC FROM "&amp;I521&amp;" INNER JOIN "&amp;J521&amp;" "&amp;K521,"SELECT '"&amp;UPPER(B521)&amp;"' AS TABELA, '"&amp;UPPER(C521)&amp;"' AS TIPOLOGIA_TESTE,'"&amp;D521&amp;"' AS TABELA_LT,'"&amp;E521&amp;"' AS TABELA_SIMUL,'"&amp;F521&amp;"' AS CAMPO, "&amp;"'${ref_date}' AS REF_DATE, COUNT(*) AS NUM_REG, SUM(IF(COALESCE(CAST(X."&amp;F521&amp;" AS STRING),'')&lt;&gt;COALESCE(CAST(Y."&amp;F521&amp;"_SIMUL AS STRING),'') OR (X."&amp;F521&amp;" IS NULL AND Y."&amp;F521&amp;"_SIMUL IS NOT NULL ) OR (X."&amp;F521&amp;" IS NOT NULL AND Y."&amp;F521&amp;"_SIMUL IS NULL),1,0)) AS NUM_REG_DIF,'"&amp;MAX('ID1&amp;5'!L:L)+1&amp;"' AS ID_EXEC, CURRENT_TIMESTAMP() AS TIME_EXEC FROM "&amp;I521&amp;" INNER JOIN "&amp;J521&amp;" "&amp;K521),
IF(C521="Validade",+IF(G521="Code List","SELECT '"&amp;UPPER(B521)&amp;"' AS TABELA, '"&amp;UPPER(C521)&amp;"' AS TIPOLOGIA_TESTE,'"&amp;D521&amp;"' AS TABELA_LT,'N/A' AS TABELA_SIMUL,'"&amp;F521&amp;"' AS CAMPO, "&amp;"'${ref_date}' AS REF_DATE, COUNT(*) AS NUM_REG, SUM(IF(TRIM(CAST(X."&amp;F521&amp;" AS STRING))='' OR TRIM(CAST(X."&amp;F521&amp;" AS STRING)) IS NULL OR CAST(X."&amp;F521&amp;" AS STRING) NOT "&amp;H521&amp;",1,0)) AS NUM_REG_DIF,'"&amp;MAX('ID1&amp;5'!K:K)+1&amp;"' AS ID_EXEC, CURRENT_TIMESTAMP() AS TIME_EXEC FROM "&amp;I521,"SELECT '"&amp;UPPER(B521)&amp;"' AS TABELA, '"&amp;UPPER(C521)&amp;"' AS TIPOLOGIA_TESTE,'"&amp;D521&amp;"' AS TABELA_LT,'N/A' AS TABELA_SIMUL,'"&amp;F521&amp;"' AS CAMPO, "&amp;"'${ref_date}' AS REF_DATE, COUNT(*) AS NUM_REG, SUM(IF(TRIM(CAST(X."&amp;F521&amp;" AS STRING))='' OR TRIM(CAST(X."&amp;F521&amp;" AS STRING)) IS NULL,1,0)) AS NUM_REG_DIF,'"&amp;MAX('ID1&amp;5'!K:K)+1&amp;"' AS ID_EXEC, CURRENT_TIMESTAMP() AS TIME_EXEC FROM "&amp;I521),
IF(C521="Caracteres Especiais",+"SELECT '"&amp;UPPER(B521)&amp;"' AS TABELA, '"&amp;UPPER(C521)&amp;"' AS TIPOLOGIA_TESTE,'"&amp;D521&amp;"' AS TABELA_LT,'N/A' AS TABELA_SIMUL,'"&amp;F521&amp;"' AS CAMPO, "&amp;"'${ref_date}' AS REF_DATE, COUNT(*) AS NUM_REG, SUM(IF(REGEXP_REPLACE(TRIM(CAST(X."&amp;F521&amp;" AS STRING)),'[^a-zA-Z0-9_\\s]','') &lt;&gt;TRIM(CAST(X."&amp;F521&amp;" AS STRING)),1,0)) AS NUM_REG_DIF,'"&amp;MAX('ID1&amp;5'!K:K)+1&amp;"' AS ID_EXEC, CURRENT_TIMESTAMP() AS TIME_EXEC FROM "&amp;I521,
IF(C521="Missings",+"SELECT '"&amp;UPPER(B521)&amp;"' AS TABELA, '"&amp;UPPER(C521)&amp;"' AS TIPOLOGIA_TESTE,'"&amp;D521&amp;"' AS TABELA_LT,'N/A' AS TABELA_SIMUL,'"&amp;F521&amp;"' AS CAMPO, "&amp;"'${ref_date}' AS REF_DATE, COUNT(*) AS NUM_REG, SUM(IF(TRIM(CAST(X."&amp;F521&amp;" AS STRING)) IN ('0000-00-00','0001-01-01','9999-12-31','MISS','00000','99999999999','99999999999.00','99999999999.000000'),1,0)) AS NUM_REG_DIF,'"&amp;MAX('ID1&amp;5'!K:K)+1&amp;"' AS ID_EXEC, CURRENT_TIMESTAMP() AS TIME_EXEC FROM "&amp;I521,
IF(C521="Not applicable",+"SELECT '"&amp;UPPER(B521)&amp;"' AS TABELA, '"&amp;UPPER(C521)&amp;"' AS TIPOLOGIA_TESTE,'"&amp;D521&amp;"' AS TABELA_LT,'N/A' AS TABELA_SIMUL,'"&amp;F521&amp;"' AS CAMPO, "&amp;"'${ref_date}' AS REF_DATE, COUNT(*) AS NUM_REG, SUM(IF(TRIM(CAST(X."&amp;F521&amp;" AS STRING)) IN ('N/A','11111111111','11111111111.00','11111111111.000000','1111-11-11'),1,0)) AS NUM_REG_DIF,'"&amp;MAX('ID1&amp;5'!K:K)+1&amp;"' AS ID_EXEC, CURRENT_TIMESTAMP() AS TIME_EXEC FROM "&amp;I521,
IF(C521="Valores extremos",+"SELECT '"&amp;UPPER(B521)&amp;"' AS TABELA, '"&amp;UPPER(C521)&amp;"' AS TIPOLOGIA_TESTE,'"&amp;D521&amp;"' AS TABELA_LT,'N/A' AS TABELA_SIMUL,'"&amp;F521&amp;"' AS CAMPO, "&amp;"'${ref_date}' AS REF_DATE, CAST(MIN("&amp;F521&amp;") AS STRING) AS VALOR_MIN, CAST(MAX("&amp;F521&amp;") AS STRING) AS VALOR_MAX,'"&amp;MAX('ID1&amp;5'!K:K)+1&amp;"' AS ID_EXEC, CURRENT_TIMESTAMP() AS TIME_EXEC FROM "&amp;MID(I521,1,LEN(I521)-2)&amp;" AND CAST("&amp;F521&amp;"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TABELA_SIMUL,'address_county_adm_div' AS CAMPO, '${ref_date}' AS REF_DATE, COUNT(*) AS NUM_REG, SUM(IF(COALESCE(CAST(X.address_county_adm_div AS STRING),'')&lt;&gt;COALESCE(CAST(Y.address_county_adm_div_SIMUL AS STRING),'') OR (X.address_county_adm_div IS NULL AND Y.address_county_adm_div_SIMUL IS NOT NULL ) OR (X.address_county_adm_div IS NOT NULL AND Y.address_county_adm_div_SIMUL IS NULL),1,0)) AS NUM_REG_DIF,'1' AS ID_EXEC, CURRENT_TIMESTAMP() AS TIME_EXEC FROM (SELECT entty_id, address_county_adm_div FROM BU_LOANTAPE_WORK.LT003_ENTITY WHERE ref_date='${ref_date}' AND nome_perimetro='Individual Local' AND segmento='ESTR' AND ambito='SRB_MBDT' AND entidade='00100')X INNER JOIN (SELECT entty_id AS entty_id_SIMUL, address_county_adm_div AS address_county_adm_div_SIMUL FROM BU_LOANTAPE_WORK.SIMUL_LT003_ENTITY WHERE ref_date='${ref_date}' AND nome_perimetro='Individual Local' AND segmento='ESTR' AND ambito='PILAR3' AND entidade='00100')Y ON X.ENTTY_ID=Y.ENTTY_ID_SIMUL</v>
      </c>
      <c r="M521" s="36" t="str">
        <f t="shared" si="11"/>
        <v>UNION ALL SELECT 'ENTITY' AS TABELA, 'COERÊNCIA' AS TIPOLOGIA_TESTE,'BU_LOANTAPE_WORK.LT003_ENTITY' AS TABELA_LT,'BU_LOANTAPE_WORK.SIMUL_LT003_ENTITY' AS TABELA_SIMUL,'address_county_adm_div' AS CAMPO, '${ref_date}' AS REF_DATE, COUNT(*) AS NUM_REG, SUM(IF(COALESCE(CAST(X.address_county_adm_div AS STRING),'')&lt;&gt;COALESCE(CAST(Y.address_county_adm_div_SIMUL AS STRING),'') OR (X.address_county_adm_div IS NULL AND Y.address_county_adm_div_SIMUL IS NOT NULL ) OR (X.address_county_adm_div IS NOT NULL AND Y.address_county_adm_div_SIMUL IS NULL),1,0)) AS NUM_REG_DIF,'1' AS ID_EXEC, CURRENT_TIMESTAMP() AS TIME_EXEC FROM (SELECT entty_id, address_county_adm_div FROM BU_LOANTAPE_WORK.LT003_ENTITY WHERE ref_date='${ref_date}' AND nome_perimetro='Individual Local' AND segmento='ESTR' AND ambito='SRB_MBDT' AND entidade='00100')X INNER JOIN (SELECT entty_id AS entty_id_SIMUL, address_county_adm_div AS address_county_adm_div_SIMUL FROM BU_LOANTAPE_WORK.SIMUL_LT003_ENTITY WHERE ref_date='${ref_date}' AND nome_perimetro='Individual Local' AND segmento='ESTR' AND ambito='PILAR3' AND entidade='00100')Y ON X.ENTTY_ID=Y.ENTTY_ID_SIMUL</v>
      </c>
    </row>
    <row r="522" spans="2:13">
      <c r="B522" s="34" t="s">
        <v>118</v>
      </c>
      <c r="C522" s="34" t="s">
        <v>5</v>
      </c>
      <c r="D522" s="34" t="str">
        <f>+UPPER('0. Instruções'!$D$35&amp;"."&amp;VLOOKUP(B522,'0. Instruções'!$C$27:$D$32,2,FALSE))</f>
        <v>BU_LOANTAPE_WORK.LT003_ENTITY</v>
      </c>
      <c r="E522" s="34" t="str">
        <f>+UPPER('0. Instruções'!$D$36&amp;"."&amp;VLOOKUP(B522,'0. Instruções'!$C$27:$E$32,3,FALSE))</f>
        <v>BU_LOANTAPE_WORK.SIMUL_LT003_ENTITY</v>
      </c>
      <c r="F522" s="34" t="s">
        <v>1496</v>
      </c>
      <c r="G522" s="34"/>
      <c r="H522" s="34"/>
      <c r="I522" s="34" t="str">
        <f>"(SELECT "&amp;VLOOKUP(B522,'0. Instruções'!$C$27:$G$32,4,FALSE)&amp;", "&amp;F522&amp;" FROM "&amp;D522&amp;" WHERE "&amp;'0. Instruções'!$D$42&amp;")X"</f>
        <v>(SELECT entty_id, legal_form FROM BU_LOANTAPE_WORK.LT003_ENTITY WHERE ref_date='${ref_date}' AND nome_perimetro='Individual Local' AND segmento='ESTR' AND ambito='SRB_MBDT' AND entidade='00100')X</v>
      </c>
      <c r="J522" s="34" t="str">
        <f>"(SELECT "&amp;VLOOKUP(B522,'0. Instruções'!$C$27:$G$32,4,FALSE)&amp;" AS "&amp;VLOOKUP(B522,'0. Instruções'!$C$27:$G$32,4,FALSE)&amp;"_SIMUL, "&amp;F522&amp;" AS "&amp;F522&amp;"_SIMUL FROM "&amp;E522&amp;" WHERE "&amp;'0. Instruções'!$D$43&amp;")Y"</f>
        <v>(SELECT entty_id AS entty_id_SIMUL, legal_form AS legal_form_SIMUL FROM BU_LOANTAPE_WORK.SIMUL_LT003_ENTITY WHERE ref_date='${ref_date}' AND nome_perimetro='Individual Local' AND segmento='ESTR' AND ambito='PILAR3' AND entidade='00100')Y</v>
      </c>
      <c r="K522" s="35" t="str">
        <f>+UPPER("ON X."&amp;VLOOKUP(B522,'0. Instruções'!$C$27:$G$32,4,FALSE)&amp;"=Y."&amp;VLOOKUP(B522,'0. Instruções'!$C$27:$G$32,4,FALSE)&amp;"_SIMUL")</f>
        <v>ON X.ENTTY_ID=Y.ENTTY_ID_SIMUL</v>
      </c>
      <c r="L522" s="35" t="str">
        <f>+IF(C522="Coerência", +IF(LEFT(G522,5)="FLOAT","SELECT '"&amp;UPPER(B522)&amp;"' AS TABELA, '"&amp;UPPER(C522)&amp;"' AS TIPOLOGIA_TESTE,'"&amp;D522&amp;"' AS TABELA_LT,'"&amp;E522&amp;"' AS TABELA_SIMUL,'"&amp;F522&amp;"' AS CAMPO, "&amp;"'${ref_date}' AS REF_DATE, COUNT(*) AS NUM_REG, SUM(IF((ABS(COALESCE(CAST(X."&amp;F522&amp;" AS DECIMAL(18,6)),0)-COALESCE(CAST(Y."&amp;F522&amp;"_SIMUL AS DECIMAL(18,6)),0))&gt;0.000001) OR (X."&amp;F522&amp;" IS NULL AND Y."&amp;F522&amp;"_SIMUL IS NOT NULL ) OR (X."&amp;F522&amp;" IS NOT NULL AND Y."&amp;F522&amp;"_SIMUL IS NULL),1,0)) AS NUM_REG_DIF,'"&amp;MAX('ID1&amp;5'!K:K)+1&amp;"' AS ID_EXEC, CURRENT_TIMESTAMP() AS TIME_EXEC FROM "&amp;I522&amp;" INNER JOIN "&amp;J522&amp;" "&amp;K522,"SELECT '"&amp;UPPER(B522)&amp;"' AS TABELA, '"&amp;UPPER(C522)&amp;"' AS TIPOLOGIA_TESTE,'"&amp;D522&amp;"' AS TABELA_LT,'"&amp;E522&amp;"' AS TABELA_SIMUL,'"&amp;F522&amp;"' AS CAMPO, "&amp;"'${ref_date}' AS REF_DATE, COUNT(*) AS NUM_REG, SUM(IF(COALESCE(CAST(X."&amp;F522&amp;" AS STRING),'')&lt;&gt;COALESCE(CAST(Y."&amp;F522&amp;"_SIMUL AS STRING),'') OR (X."&amp;F522&amp;" IS NULL AND Y."&amp;F522&amp;"_SIMUL IS NOT NULL ) OR (X."&amp;F522&amp;" IS NOT NULL AND Y."&amp;F522&amp;"_SIMUL IS NULL),1,0)) AS NUM_REG_DIF,'"&amp;MAX('ID1&amp;5'!L:L)+1&amp;"' AS ID_EXEC, CURRENT_TIMESTAMP() AS TIME_EXEC FROM "&amp;I522&amp;" INNER JOIN "&amp;J522&amp;" "&amp;K522),
IF(C522="Validade",+IF(G522="Code List","SELECT '"&amp;UPPER(B522)&amp;"' AS TABELA, '"&amp;UPPER(C522)&amp;"' AS TIPOLOGIA_TESTE,'"&amp;D522&amp;"' AS TABELA_LT,'N/A' AS TABELA_SIMUL,'"&amp;F522&amp;"' AS CAMPO, "&amp;"'${ref_date}' AS REF_DATE, COUNT(*) AS NUM_REG, SUM(IF(TRIM(CAST(X."&amp;F522&amp;" AS STRING))='' OR TRIM(CAST(X."&amp;F522&amp;" AS STRING)) IS NULL OR CAST(X."&amp;F522&amp;" AS STRING) NOT "&amp;H522&amp;",1,0)) AS NUM_REG_DIF,'"&amp;MAX('ID1&amp;5'!K:K)+1&amp;"' AS ID_EXEC, CURRENT_TIMESTAMP() AS TIME_EXEC FROM "&amp;I522,"SELECT '"&amp;UPPER(B522)&amp;"' AS TABELA, '"&amp;UPPER(C522)&amp;"' AS TIPOLOGIA_TESTE,'"&amp;D522&amp;"' AS TABELA_LT,'N/A' AS TABELA_SIMUL,'"&amp;F522&amp;"' AS CAMPO, "&amp;"'${ref_date}' AS REF_DATE, COUNT(*) AS NUM_REG, SUM(IF(TRIM(CAST(X."&amp;F522&amp;" AS STRING))='' OR TRIM(CAST(X."&amp;F522&amp;" AS STRING)) IS NULL,1,0)) AS NUM_REG_DIF,'"&amp;MAX('ID1&amp;5'!K:K)+1&amp;"' AS ID_EXEC, CURRENT_TIMESTAMP() AS TIME_EXEC FROM "&amp;I522),
IF(C522="Caracteres Especiais",+"SELECT '"&amp;UPPER(B522)&amp;"' AS TABELA, '"&amp;UPPER(C522)&amp;"' AS TIPOLOGIA_TESTE,'"&amp;D522&amp;"' AS TABELA_LT,'N/A' AS TABELA_SIMUL,'"&amp;F522&amp;"' AS CAMPO, "&amp;"'${ref_date}' AS REF_DATE, COUNT(*) AS NUM_REG, SUM(IF(REGEXP_REPLACE(TRIM(CAST(X."&amp;F522&amp;" AS STRING)),'[^a-zA-Z0-9_\\s]','') &lt;&gt;TRIM(CAST(X."&amp;F522&amp;" AS STRING)),1,0)) AS NUM_REG_DIF,'"&amp;MAX('ID1&amp;5'!K:K)+1&amp;"' AS ID_EXEC, CURRENT_TIMESTAMP() AS TIME_EXEC FROM "&amp;I522,
IF(C522="Missings",+"SELECT '"&amp;UPPER(B522)&amp;"' AS TABELA, '"&amp;UPPER(C522)&amp;"' AS TIPOLOGIA_TESTE,'"&amp;D522&amp;"' AS TABELA_LT,'N/A' AS TABELA_SIMUL,'"&amp;F522&amp;"' AS CAMPO, "&amp;"'${ref_date}' AS REF_DATE, COUNT(*) AS NUM_REG, SUM(IF(TRIM(CAST(X."&amp;F522&amp;" AS STRING)) IN ('0000-00-00','0001-01-01','9999-12-31','MISS','00000','99999999999','99999999999.00','99999999999.000000'),1,0)) AS NUM_REG_DIF,'"&amp;MAX('ID1&amp;5'!K:K)+1&amp;"' AS ID_EXEC, CURRENT_TIMESTAMP() AS TIME_EXEC FROM "&amp;I522,
IF(C522="Not applicable",+"SELECT '"&amp;UPPER(B522)&amp;"' AS TABELA, '"&amp;UPPER(C522)&amp;"' AS TIPOLOGIA_TESTE,'"&amp;D522&amp;"' AS TABELA_LT,'N/A' AS TABELA_SIMUL,'"&amp;F522&amp;"' AS CAMPO, "&amp;"'${ref_date}' AS REF_DATE, COUNT(*) AS NUM_REG, SUM(IF(TRIM(CAST(X."&amp;F522&amp;" AS STRING)) IN ('N/A','11111111111','11111111111.00','11111111111.000000','1111-11-11'),1,0)) AS NUM_REG_DIF,'"&amp;MAX('ID1&amp;5'!K:K)+1&amp;"' AS ID_EXEC, CURRENT_TIMESTAMP() AS TIME_EXEC FROM "&amp;I522,
IF(C522="Valores extremos",+"SELECT '"&amp;UPPER(B522)&amp;"' AS TABELA, '"&amp;UPPER(C522)&amp;"' AS TIPOLOGIA_TESTE,'"&amp;D522&amp;"' AS TABELA_LT,'N/A' AS TABELA_SIMUL,'"&amp;F522&amp;"' AS CAMPO, "&amp;"'${ref_date}' AS REF_DATE, CAST(MIN("&amp;F522&amp;") AS STRING) AS VALOR_MIN, CAST(MAX("&amp;F522&amp;") AS STRING) AS VALOR_MAX,'"&amp;MAX('ID1&amp;5'!K:K)+1&amp;"' AS ID_EXEC, CURRENT_TIMESTAMP() AS TIME_EXEC FROM "&amp;MID(I522,1,LEN(I522)-2)&amp;" AND CAST("&amp;F522&amp;"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TABELA_SIMUL,'legal_form' AS CAMPO, '${ref_date}' AS REF_DATE, COUNT(*) AS NUM_REG, SUM(IF(COALESCE(CAST(X.legal_form AS STRING),'')&lt;&gt;COALESCE(CAST(Y.legal_form_SIMUL AS STRING),'') OR (X.legal_form IS NULL AND Y.legal_form_SIMUL IS NOT NULL ) OR (X.legal_form IS NOT NULL AND Y.legal_form_SIMUL IS NULL),1,0)) AS NUM_REG_DIF,'1' AS ID_EXEC, CURRENT_TIMESTAMP() AS TIME_EXEC FROM (SELECT entty_id, legal_form FROM BU_LOANTAPE_WORK.LT003_ENTITY WHERE ref_date='${ref_date}' AND nome_perimetro='Individual Local' AND segmento='ESTR' AND ambito='SRB_MBDT' AND entidade='00100')X INNER JOIN (SELECT entty_id AS entty_id_SIMUL, legal_form AS legal_form_SIMUL FROM BU_LOANTAPE_WORK.SIMUL_LT003_ENTITY WHERE ref_date='${ref_date}' AND nome_perimetro='Individual Local' AND segmento='ESTR' AND ambito='PILAR3' AND entidade='00100')Y ON X.ENTTY_ID=Y.ENTTY_ID_SIMUL</v>
      </c>
      <c r="M522" s="36" t="str">
        <f t="shared" si="11"/>
        <v>UNION ALL SELECT 'ENTITY' AS TABELA, 'COERÊNCIA' AS TIPOLOGIA_TESTE,'BU_LOANTAPE_WORK.LT003_ENTITY' AS TABELA_LT,'BU_LOANTAPE_WORK.SIMUL_LT003_ENTITY' AS TABELA_SIMUL,'legal_form' AS CAMPO, '${ref_date}' AS REF_DATE, COUNT(*) AS NUM_REG, SUM(IF(COALESCE(CAST(X.legal_form AS STRING),'')&lt;&gt;COALESCE(CAST(Y.legal_form_SIMUL AS STRING),'') OR (X.legal_form IS NULL AND Y.legal_form_SIMUL IS NOT NULL ) OR (X.legal_form IS NOT NULL AND Y.legal_form_SIMUL IS NULL),1,0)) AS NUM_REG_DIF,'1' AS ID_EXEC, CURRENT_TIMESTAMP() AS TIME_EXEC FROM (SELECT entty_id, legal_form FROM BU_LOANTAPE_WORK.LT003_ENTITY WHERE ref_date='${ref_date}' AND nome_perimetro='Individual Local' AND segmento='ESTR' AND ambito='SRB_MBDT' AND entidade='00100')X INNER JOIN (SELECT entty_id AS entty_id_SIMUL, legal_form AS legal_form_SIMUL FROM BU_LOANTAPE_WORK.SIMUL_LT003_ENTITY WHERE ref_date='${ref_date}' AND nome_perimetro='Individual Local' AND segmento='ESTR' AND ambito='PILAR3' AND entidade='00100')Y ON X.ENTTY_ID=Y.ENTTY_ID_SIMUL</v>
      </c>
    </row>
    <row r="523" spans="2:13">
      <c r="B523" s="34" t="s">
        <v>118</v>
      </c>
      <c r="C523" s="34" t="s">
        <v>5</v>
      </c>
      <c r="D523" s="34" t="str">
        <f>+UPPER('0. Instruções'!$D$35&amp;"."&amp;VLOOKUP(B523,'0. Instruções'!$C$27:$D$32,2,FALSE))</f>
        <v>BU_LOANTAPE_WORK.LT003_ENTITY</v>
      </c>
      <c r="E523" s="34" t="str">
        <f>+UPPER('0. Instruções'!$D$36&amp;"."&amp;VLOOKUP(B523,'0. Instruções'!$C$27:$E$32,3,FALSE))</f>
        <v>BU_LOANTAPE_WORK.SIMUL_LT003_ENTITY</v>
      </c>
      <c r="F523" s="34" t="s">
        <v>1497</v>
      </c>
      <c r="G523" s="34"/>
      <c r="H523" s="34"/>
      <c r="I523" s="34" t="str">
        <f>"(SELECT "&amp;VLOOKUP(B523,'0. Instruções'!$C$27:$G$32,4,FALSE)&amp;", "&amp;F523&amp;" FROM "&amp;D523&amp;" WHERE "&amp;'0. Instruções'!$D$42&amp;")X"</f>
        <v>(SELECT entty_id, institutional_sector FROM BU_LOANTAPE_WORK.LT003_ENTITY WHERE ref_date='${ref_date}' AND nome_perimetro='Individual Local' AND segmento='ESTR' AND ambito='SRB_MBDT' AND entidade='00100')X</v>
      </c>
      <c r="J523" s="34" t="str">
        <f>"(SELECT "&amp;VLOOKUP(B523,'0. Instruções'!$C$27:$G$32,4,FALSE)&amp;" AS "&amp;VLOOKUP(B523,'0. Instruções'!$C$27:$G$32,4,FALSE)&amp;"_SIMUL, "&amp;F523&amp;" AS "&amp;F523&amp;"_SIMUL FROM "&amp;E523&amp;" WHERE "&amp;'0. Instruções'!$D$43&amp;")Y"</f>
        <v>(SELECT entty_id AS entty_id_SIMUL, institutional_sector AS institutional_sector_SIMUL FROM BU_LOANTAPE_WORK.SIMUL_LT003_ENTITY WHERE ref_date='${ref_date}' AND nome_perimetro='Individual Local' AND segmento='ESTR' AND ambito='PILAR3' AND entidade='00100')Y</v>
      </c>
      <c r="K523" s="35" t="str">
        <f>+UPPER("ON X."&amp;VLOOKUP(B523,'0. Instruções'!$C$27:$G$32,4,FALSE)&amp;"=Y."&amp;VLOOKUP(B523,'0. Instruções'!$C$27:$G$32,4,FALSE)&amp;"_SIMUL")</f>
        <v>ON X.ENTTY_ID=Y.ENTTY_ID_SIMUL</v>
      </c>
      <c r="L523" s="35" t="str">
        <f>+IF(C523="Coerência", +IF(LEFT(G523,5)="FLOAT","SELECT '"&amp;UPPER(B523)&amp;"' AS TABELA, '"&amp;UPPER(C523)&amp;"' AS TIPOLOGIA_TESTE,'"&amp;D523&amp;"' AS TABELA_LT,'"&amp;E523&amp;"' AS TABELA_SIMUL,'"&amp;F523&amp;"' AS CAMPO, "&amp;"'${ref_date}' AS REF_DATE, COUNT(*) AS NUM_REG, SUM(IF((ABS(COALESCE(CAST(X."&amp;F523&amp;" AS DECIMAL(18,6)),0)-COALESCE(CAST(Y."&amp;F523&amp;"_SIMUL AS DECIMAL(18,6)),0))&gt;0.000001) OR (X."&amp;F523&amp;" IS NULL AND Y."&amp;F523&amp;"_SIMUL IS NOT NULL ) OR (X."&amp;F523&amp;" IS NOT NULL AND Y."&amp;F523&amp;"_SIMUL IS NULL),1,0)) AS NUM_REG_DIF,'"&amp;MAX('ID1&amp;5'!K:K)+1&amp;"' AS ID_EXEC, CURRENT_TIMESTAMP() AS TIME_EXEC FROM "&amp;I523&amp;" INNER JOIN "&amp;J523&amp;" "&amp;K523,"SELECT '"&amp;UPPER(B523)&amp;"' AS TABELA, '"&amp;UPPER(C523)&amp;"' AS TIPOLOGIA_TESTE,'"&amp;D523&amp;"' AS TABELA_LT,'"&amp;E523&amp;"' AS TABELA_SIMUL,'"&amp;F523&amp;"' AS CAMPO, "&amp;"'${ref_date}' AS REF_DATE, COUNT(*) AS NUM_REG, SUM(IF(COALESCE(CAST(X."&amp;F523&amp;" AS STRING),'')&lt;&gt;COALESCE(CAST(Y."&amp;F523&amp;"_SIMUL AS STRING),'') OR (X."&amp;F523&amp;" IS NULL AND Y."&amp;F523&amp;"_SIMUL IS NOT NULL ) OR (X."&amp;F523&amp;" IS NOT NULL AND Y."&amp;F523&amp;"_SIMUL IS NULL),1,0)) AS NUM_REG_DIF,'"&amp;MAX('ID1&amp;5'!L:L)+1&amp;"' AS ID_EXEC, CURRENT_TIMESTAMP() AS TIME_EXEC FROM "&amp;I523&amp;" INNER JOIN "&amp;J523&amp;" "&amp;K523),
IF(C523="Validade",+IF(G523="Code List","SELECT '"&amp;UPPER(B523)&amp;"' AS TABELA, '"&amp;UPPER(C523)&amp;"' AS TIPOLOGIA_TESTE,'"&amp;D523&amp;"' AS TABELA_LT,'N/A' AS TABELA_SIMUL,'"&amp;F523&amp;"' AS CAMPO, "&amp;"'${ref_date}' AS REF_DATE, COUNT(*) AS NUM_REG, SUM(IF(TRIM(CAST(X."&amp;F523&amp;" AS STRING))='' OR TRIM(CAST(X."&amp;F523&amp;" AS STRING)) IS NULL OR CAST(X."&amp;F523&amp;" AS STRING) NOT "&amp;H523&amp;",1,0)) AS NUM_REG_DIF,'"&amp;MAX('ID1&amp;5'!K:K)+1&amp;"' AS ID_EXEC, CURRENT_TIMESTAMP() AS TIME_EXEC FROM "&amp;I523,"SELECT '"&amp;UPPER(B523)&amp;"' AS TABELA, '"&amp;UPPER(C523)&amp;"' AS TIPOLOGIA_TESTE,'"&amp;D523&amp;"' AS TABELA_LT,'N/A' AS TABELA_SIMUL,'"&amp;F523&amp;"' AS CAMPO, "&amp;"'${ref_date}' AS REF_DATE, COUNT(*) AS NUM_REG, SUM(IF(TRIM(CAST(X."&amp;F523&amp;" AS STRING))='' OR TRIM(CAST(X."&amp;F523&amp;" AS STRING)) IS NULL,1,0)) AS NUM_REG_DIF,'"&amp;MAX('ID1&amp;5'!K:K)+1&amp;"' AS ID_EXEC, CURRENT_TIMESTAMP() AS TIME_EXEC FROM "&amp;I523),
IF(C523="Caracteres Especiais",+"SELECT '"&amp;UPPER(B523)&amp;"' AS TABELA, '"&amp;UPPER(C523)&amp;"' AS TIPOLOGIA_TESTE,'"&amp;D523&amp;"' AS TABELA_LT,'N/A' AS TABELA_SIMUL,'"&amp;F523&amp;"' AS CAMPO, "&amp;"'${ref_date}' AS REF_DATE, COUNT(*) AS NUM_REG, SUM(IF(REGEXP_REPLACE(TRIM(CAST(X."&amp;F523&amp;" AS STRING)),'[^a-zA-Z0-9_\\s]','') &lt;&gt;TRIM(CAST(X."&amp;F523&amp;" AS STRING)),1,0)) AS NUM_REG_DIF,'"&amp;MAX('ID1&amp;5'!K:K)+1&amp;"' AS ID_EXEC, CURRENT_TIMESTAMP() AS TIME_EXEC FROM "&amp;I523,
IF(C523="Missings",+"SELECT '"&amp;UPPER(B523)&amp;"' AS TABELA, '"&amp;UPPER(C523)&amp;"' AS TIPOLOGIA_TESTE,'"&amp;D523&amp;"' AS TABELA_LT,'N/A' AS TABELA_SIMUL,'"&amp;F523&amp;"' AS CAMPO, "&amp;"'${ref_date}' AS REF_DATE, COUNT(*) AS NUM_REG, SUM(IF(TRIM(CAST(X."&amp;F523&amp;" AS STRING)) IN ('0000-00-00','0001-01-01','9999-12-31','MISS','00000','99999999999','99999999999.00','99999999999.000000'),1,0)) AS NUM_REG_DIF,'"&amp;MAX('ID1&amp;5'!K:K)+1&amp;"' AS ID_EXEC, CURRENT_TIMESTAMP() AS TIME_EXEC FROM "&amp;I523,
IF(C523="Not applicable",+"SELECT '"&amp;UPPER(B523)&amp;"' AS TABELA, '"&amp;UPPER(C523)&amp;"' AS TIPOLOGIA_TESTE,'"&amp;D523&amp;"' AS TABELA_LT,'N/A' AS TABELA_SIMUL,'"&amp;F523&amp;"' AS CAMPO, "&amp;"'${ref_date}' AS REF_DATE, COUNT(*) AS NUM_REG, SUM(IF(TRIM(CAST(X."&amp;F523&amp;" AS STRING)) IN ('N/A','11111111111','11111111111.00','11111111111.000000','1111-11-11'),1,0)) AS NUM_REG_DIF,'"&amp;MAX('ID1&amp;5'!K:K)+1&amp;"' AS ID_EXEC, CURRENT_TIMESTAMP() AS TIME_EXEC FROM "&amp;I523,
IF(C523="Valores extremos",+"SELECT '"&amp;UPPER(B523)&amp;"' AS TABELA, '"&amp;UPPER(C523)&amp;"' AS TIPOLOGIA_TESTE,'"&amp;D523&amp;"' AS TABELA_LT,'N/A' AS TABELA_SIMUL,'"&amp;F523&amp;"' AS CAMPO, "&amp;"'${ref_date}' AS REF_DATE, CAST(MIN("&amp;F523&amp;") AS STRING) AS VALOR_MIN, CAST(MAX("&amp;F523&amp;") AS STRING) AS VALOR_MAX,'"&amp;MAX('ID1&amp;5'!K:K)+1&amp;"' AS ID_EXEC, CURRENT_TIMESTAMP() AS TIME_EXEC FROM "&amp;MID(I523,1,LEN(I523)-2)&amp;" AND CAST("&amp;F523&amp;"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TABELA_SIMUL,'institutional_sector' AS CAMPO, '${ref_date}' AS REF_DATE, COUNT(*) AS NUM_REG, SUM(IF(COALESCE(CAST(X.institutional_sector AS STRING),'')&lt;&gt;COALESCE(CAST(Y.institutional_sector_SIMUL AS STRING),'') OR (X.institutional_sector IS NULL AND Y.institutional_sector_SIMUL IS NOT NULL ) OR (X.institutional_sector IS NOT NULL AND Y.institutional_sector_SIMUL IS NULL),1,0)) AS NUM_REG_DIF,'1' AS ID_EXEC, CURRENT_TIMESTAMP() AS TIME_EXEC FROM (SELECT entty_id, institutional_sector FROM BU_LOANTAPE_WORK.LT003_ENTITY WHERE ref_date='${ref_date}' AND nome_perimetro='Individual Local' AND segmento='ESTR' AND ambito='SRB_MBDT' AND entidade='00100')X INNER JOIN (SELECT entty_id AS entty_id_SIMUL, institutional_sector AS institutional_sector_SIMUL FROM BU_LOANTAPE_WORK.SIMUL_LT003_ENTITY WHERE ref_date='${ref_date}' AND nome_perimetro='Individual Local' AND segmento='ESTR' AND ambito='PILAR3' AND entidade='00100')Y ON X.ENTTY_ID=Y.ENTTY_ID_SIMUL</v>
      </c>
      <c r="M523" s="36" t="str">
        <f t="shared" si="11"/>
        <v>UNION ALL SELECT 'ENTITY' AS TABELA, 'COERÊNCIA' AS TIPOLOGIA_TESTE,'BU_LOANTAPE_WORK.LT003_ENTITY' AS TABELA_LT,'BU_LOANTAPE_WORK.SIMUL_LT003_ENTITY' AS TABELA_SIMUL,'institutional_sector' AS CAMPO, '${ref_date}' AS REF_DATE, COUNT(*) AS NUM_REG, SUM(IF(COALESCE(CAST(X.institutional_sector AS STRING),'')&lt;&gt;COALESCE(CAST(Y.institutional_sector_SIMUL AS STRING),'') OR (X.institutional_sector IS NULL AND Y.institutional_sector_SIMUL IS NOT NULL ) OR (X.institutional_sector IS NOT NULL AND Y.institutional_sector_SIMUL IS NULL),1,0)) AS NUM_REG_DIF,'1' AS ID_EXEC, CURRENT_TIMESTAMP() AS TIME_EXEC FROM (SELECT entty_id, institutional_sector FROM BU_LOANTAPE_WORK.LT003_ENTITY WHERE ref_date='${ref_date}' AND nome_perimetro='Individual Local' AND segmento='ESTR' AND ambito='SRB_MBDT' AND entidade='00100')X INNER JOIN (SELECT entty_id AS entty_id_SIMUL, institutional_sector AS institutional_sector_SIMUL FROM BU_LOANTAPE_WORK.SIMUL_LT003_ENTITY WHERE ref_date='${ref_date}' AND nome_perimetro='Individual Local' AND segmento='ESTR' AND ambito='PILAR3' AND entidade='00100')Y ON X.ENTTY_ID=Y.ENTTY_ID_SIMUL</v>
      </c>
    </row>
    <row r="524" spans="2:13">
      <c r="B524" s="34" t="s">
        <v>118</v>
      </c>
      <c r="C524" s="34" t="s">
        <v>5</v>
      </c>
      <c r="D524" s="34" t="str">
        <f>+UPPER('0. Instruções'!$D$35&amp;"."&amp;VLOOKUP(B524,'0. Instruções'!$C$27:$D$32,2,FALSE))</f>
        <v>BU_LOANTAPE_WORK.LT003_ENTITY</v>
      </c>
      <c r="E524" s="34" t="str">
        <f>+UPPER('0. Instruções'!$D$36&amp;"."&amp;VLOOKUP(B524,'0. Instruções'!$C$27:$E$32,3,FALSE))</f>
        <v>BU_LOANTAPE_WORK.SIMUL_LT003_ENTITY</v>
      </c>
      <c r="F524" s="34" t="s">
        <v>1498</v>
      </c>
      <c r="G524" s="34"/>
      <c r="H524" s="34"/>
      <c r="I524" s="34" t="str">
        <f>"(SELECT "&amp;VLOOKUP(B524,'0. Instruções'!$C$27:$G$32,4,FALSE)&amp;", "&amp;F524&amp;" FROM "&amp;D524&amp;" WHERE "&amp;'0. Instruções'!$D$42&amp;")X"</f>
        <v>(SELECT entty_id, date_enterprise_size FROM BU_LOANTAPE_WORK.LT003_ENTITY WHERE ref_date='${ref_date}' AND nome_perimetro='Individual Local' AND segmento='ESTR' AND ambito='SRB_MBDT' AND entidade='00100')X</v>
      </c>
      <c r="J524" s="34" t="str">
        <f>"(SELECT "&amp;VLOOKUP(B524,'0. Instruções'!$C$27:$G$32,4,FALSE)&amp;" AS "&amp;VLOOKUP(B524,'0. Instruções'!$C$27:$G$32,4,FALSE)&amp;"_SIMUL, "&amp;F524&amp;" AS "&amp;F524&amp;"_SIMUL FROM "&amp;E524&amp;" WHERE "&amp;'0. Instruções'!$D$43&amp;")Y"</f>
        <v>(SELECT entty_id AS entty_id_SIMUL, date_enterprise_size AS date_enterprise_size_SIMUL FROM BU_LOANTAPE_WORK.SIMUL_LT003_ENTITY WHERE ref_date='${ref_date}' AND nome_perimetro='Individual Local' AND segmento='ESTR' AND ambito='PILAR3' AND entidade='00100')Y</v>
      </c>
      <c r="K524" s="35" t="str">
        <f>+UPPER("ON X."&amp;VLOOKUP(B524,'0. Instruções'!$C$27:$G$32,4,FALSE)&amp;"=Y."&amp;VLOOKUP(B524,'0. Instruções'!$C$27:$G$32,4,FALSE)&amp;"_SIMUL")</f>
        <v>ON X.ENTTY_ID=Y.ENTTY_ID_SIMUL</v>
      </c>
      <c r="L524" s="35" t="str">
        <f>+IF(C524="Coerência", +IF(LEFT(G524,5)="FLOAT","SELECT '"&amp;UPPER(B524)&amp;"' AS TABELA, '"&amp;UPPER(C524)&amp;"' AS TIPOLOGIA_TESTE,'"&amp;D524&amp;"' AS TABELA_LT,'"&amp;E524&amp;"' AS TABELA_SIMUL,'"&amp;F524&amp;"' AS CAMPO, "&amp;"'${ref_date}' AS REF_DATE, COUNT(*) AS NUM_REG, SUM(IF((ABS(COALESCE(CAST(X."&amp;F524&amp;" AS DECIMAL(18,6)),0)-COALESCE(CAST(Y."&amp;F524&amp;"_SIMUL AS DECIMAL(18,6)),0))&gt;0.000001) OR (X."&amp;F524&amp;" IS NULL AND Y."&amp;F524&amp;"_SIMUL IS NOT NULL ) OR (X."&amp;F524&amp;" IS NOT NULL AND Y."&amp;F524&amp;"_SIMUL IS NULL),1,0)) AS NUM_REG_DIF,'"&amp;MAX('ID1&amp;5'!K:K)+1&amp;"' AS ID_EXEC, CURRENT_TIMESTAMP() AS TIME_EXEC FROM "&amp;I524&amp;" INNER JOIN "&amp;J524&amp;" "&amp;K524,"SELECT '"&amp;UPPER(B524)&amp;"' AS TABELA, '"&amp;UPPER(C524)&amp;"' AS TIPOLOGIA_TESTE,'"&amp;D524&amp;"' AS TABELA_LT,'"&amp;E524&amp;"' AS TABELA_SIMUL,'"&amp;F524&amp;"' AS CAMPO, "&amp;"'${ref_date}' AS REF_DATE, COUNT(*) AS NUM_REG, SUM(IF(COALESCE(CAST(X."&amp;F524&amp;" AS STRING),'')&lt;&gt;COALESCE(CAST(Y."&amp;F524&amp;"_SIMUL AS STRING),'') OR (X."&amp;F524&amp;" IS NULL AND Y."&amp;F524&amp;"_SIMUL IS NOT NULL ) OR (X."&amp;F524&amp;" IS NOT NULL AND Y."&amp;F524&amp;"_SIMUL IS NULL),1,0)) AS NUM_REG_DIF,'"&amp;MAX('ID1&amp;5'!L:L)+1&amp;"' AS ID_EXEC, CURRENT_TIMESTAMP() AS TIME_EXEC FROM "&amp;I524&amp;" INNER JOIN "&amp;J524&amp;" "&amp;K524),
IF(C524="Validade",+IF(G524="Code List","SELECT '"&amp;UPPER(B524)&amp;"' AS TABELA, '"&amp;UPPER(C524)&amp;"' AS TIPOLOGIA_TESTE,'"&amp;D524&amp;"' AS TABELA_LT,'N/A' AS TABELA_SIMUL,'"&amp;F524&amp;"' AS CAMPO, "&amp;"'${ref_date}' AS REF_DATE, COUNT(*) AS NUM_REG, SUM(IF(TRIM(CAST(X."&amp;F524&amp;" AS STRING))='' OR TRIM(CAST(X."&amp;F524&amp;" AS STRING)) IS NULL OR CAST(X."&amp;F524&amp;" AS STRING) NOT "&amp;H524&amp;",1,0)) AS NUM_REG_DIF,'"&amp;MAX('ID1&amp;5'!K:K)+1&amp;"' AS ID_EXEC, CURRENT_TIMESTAMP() AS TIME_EXEC FROM "&amp;I524,"SELECT '"&amp;UPPER(B524)&amp;"' AS TABELA, '"&amp;UPPER(C524)&amp;"' AS TIPOLOGIA_TESTE,'"&amp;D524&amp;"' AS TABELA_LT,'N/A' AS TABELA_SIMUL,'"&amp;F524&amp;"' AS CAMPO, "&amp;"'${ref_date}' AS REF_DATE, COUNT(*) AS NUM_REG, SUM(IF(TRIM(CAST(X."&amp;F524&amp;" AS STRING))='' OR TRIM(CAST(X."&amp;F524&amp;" AS STRING)) IS NULL,1,0)) AS NUM_REG_DIF,'"&amp;MAX('ID1&amp;5'!K:K)+1&amp;"' AS ID_EXEC, CURRENT_TIMESTAMP() AS TIME_EXEC FROM "&amp;I524),
IF(C524="Caracteres Especiais",+"SELECT '"&amp;UPPER(B524)&amp;"' AS TABELA, '"&amp;UPPER(C524)&amp;"' AS TIPOLOGIA_TESTE,'"&amp;D524&amp;"' AS TABELA_LT,'N/A' AS TABELA_SIMUL,'"&amp;F524&amp;"' AS CAMPO, "&amp;"'${ref_date}' AS REF_DATE, COUNT(*) AS NUM_REG, SUM(IF(REGEXP_REPLACE(TRIM(CAST(X."&amp;F524&amp;" AS STRING)),'[^a-zA-Z0-9_\\s]','') &lt;&gt;TRIM(CAST(X."&amp;F524&amp;" AS STRING)),1,0)) AS NUM_REG_DIF,'"&amp;MAX('ID1&amp;5'!K:K)+1&amp;"' AS ID_EXEC, CURRENT_TIMESTAMP() AS TIME_EXEC FROM "&amp;I524,
IF(C524="Missings",+"SELECT '"&amp;UPPER(B524)&amp;"' AS TABELA, '"&amp;UPPER(C524)&amp;"' AS TIPOLOGIA_TESTE,'"&amp;D524&amp;"' AS TABELA_LT,'N/A' AS TABELA_SIMUL,'"&amp;F524&amp;"' AS CAMPO, "&amp;"'${ref_date}' AS REF_DATE, COUNT(*) AS NUM_REG, SUM(IF(TRIM(CAST(X."&amp;F524&amp;" AS STRING)) IN ('0000-00-00','0001-01-01','9999-12-31','MISS','00000','99999999999','99999999999.00','99999999999.000000'),1,0)) AS NUM_REG_DIF,'"&amp;MAX('ID1&amp;5'!K:K)+1&amp;"' AS ID_EXEC, CURRENT_TIMESTAMP() AS TIME_EXEC FROM "&amp;I524,
IF(C524="Not applicable",+"SELECT '"&amp;UPPER(B524)&amp;"' AS TABELA, '"&amp;UPPER(C524)&amp;"' AS TIPOLOGIA_TESTE,'"&amp;D524&amp;"' AS TABELA_LT,'N/A' AS TABELA_SIMUL,'"&amp;F524&amp;"' AS CAMPO, "&amp;"'${ref_date}' AS REF_DATE, COUNT(*) AS NUM_REG, SUM(IF(TRIM(CAST(X."&amp;F524&amp;" AS STRING)) IN ('N/A','11111111111','11111111111.00','11111111111.000000','1111-11-11'),1,0)) AS NUM_REG_DIF,'"&amp;MAX('ID1&amp;5'!K:K)+1&amp;"' AS ID_EXEC, CURRENT_TIMESTAMP() AS TIME_EXEC FROM "&amp;I524,
IF(C524="Valores extremos",+"SELECT '"&amp;UPPER(B524)&amp;"' AS TABELA, '"&amp;UPPER(C524)&amp;"' AS TIPOLOGIA_TESTE,'"&amp;D524&amp;"' AS TABELA_LT,'N/A' AS TABELA_SIMUL,'"&amp;F524&amp;"' AS CAMPO, "&amp;"'${ref_date}' AS REF_DATE, CAST(MIN("&amp;F524&amp;") AS STRING) AS VALOR_MIN, CAST(MAX("&amp;F524&amp;") AS STRING) AS VALOR_MAX,'"&amp;MAX('ID1&amp;5'!K:K)+1&amp;"' AS ID_EXEC, CURRENT_TIMESTAMP() AS TIME_EXEC FROM "&amp;MID(I524,1,LEN(I524)-2)&amp;" AND CAST("&amp;F524&amp;"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TABELA_SIMUL,'date_enterprise_size' AS CAMPO, '${ref_date}' AS REF_DATE, COUNT(*) AS NUM_REG, SUM(IF(COALESCE(CAST(X.date_enterprise_size AS STRING),'')&lt;&gt;COALESCE(CAST(Y.date_enterprise_size_SIMUL AS STRING),'') OR (X.date_enterprise_size IS NULL AND Y.date_enterprise_size_SIMUL IS NOT NULL ) OR (X.date_enterprise_size IS NOT NULL AND Y.date_enterprise_size_SIMUL IS NULL),1,0)) AS NUM_REG_DIF,'1' AS ID_EXEC, CURRENT_TIMESTAMP() AS TIME_EXEC FROM (SELECT entty_id, date_enterprise_size FROM BU_LOANTAPE_WORK.LT003_ENTITY WHERE ref_date='${ref_date}' AND nome_perimetro='Individual Local' AND segmento='ESTR' AND ambito='SRB_MBDT' AND entidade='00100')X INNER JOIN (SELECT entty_id AS entty_id_SIMUL, date_enterprise_size AS date_enterprise_size_SIMUL FROM BU_LOANTAPE_WORK.SIMUL_LT003_ENTITY WHERE ref_date='${ref_date}' AND nome_perimetro='Individual Local' AND segmento='ESTR' AND ambito='PILAR3' AND entidade='00100')Y ON X.ENTTY_ID=Y.ENTTY_ID_SIMUL</v>
      </c>
      <c r="M524" s="36" t="str">
        <f t="shared" si="11"/>
        <v>UNION ALL SELECT 'ENTITY' AS TABELA, 'COERÊNCIA' AS TIPOLOGIA_TESTE,'BU_LOANTAPE_WORK.LT003_ENTITY' AS TABELA_LT,'BU_LOANTAPE_WORK.SIMUL_LT003_ENTITY' AS TABELA_SIMUL,'date_enterprise_size' AS CAMPO, '${ref_date}' AS REF_DATE, COUNT(*) AS NUM_REG, SUM(IF(COALESCE(CAST(X.date_enterprise_size AS STRING),'')&lt;&gt;COALESCE(CAST(Y.date_enterprise_size_SIMUL AS STRING),'') OR (X.date_enterprise_size IS NULL AND Y.date_enterprise_size_SIMUL IS NOT NULL ) OR (X.date_enterprise_size IS NOT NULL AND Y.date_enterprise_size_SIMUL IS NULL),1,0)) AS NUM_REG_DIF,'1' AS ID_EXEC, CURRENT_TIMESTAMP() AS TIME_EXEC FROM (SELECT entty_id, date_enterprise_size FROM BU_LOANTAPE_WORK.LT003_ENTITY WHERE ref_date='${ref_date}' AND nome_perimetro='Individual Local' AND segmento='ESTR' AND ambito='SRB_MBDT' AND entidade='00100')X INNER JOIN (SELECT entty_id AS entty_id_SIMUL, date_enterprise_size AS date_enterprise_size_SIMUL FROM BU_LOANTAPE_WORK.SIMUL_LT003_ENTITY WHERE ref_date='${ref_date}' AND nome_perimetro='Individual Local' AND segmento='ESTR' AND ambito='PILAR3' AND entidade='00100')Y ON X.ENTTY_ID=Y.ENTTY_ID_SIMUL</v>
      </c>
    </row>
    <row r="525" spans="2:13">
      <c r="B525" s="34" t="s">
        <v>118</v>
      </c>
      <c r="C525" s="34" t="s">
        <v>5</v>
      </c>
      <c r="D525" s="34" t="str">
        <f>+UPPER('0. Instruções'!$D$35&amp;"."&amp;VLOOKUP(B525,'0. Instruções'!$C$27:$D$32,2,FALSE))</f>
        <v>BU_LOANTAPE_WORK.LT003_ENTITY</v>
      </c>
      <c r="E525" s="34" t="str">
        <f>+UPPER('0. Instruções'!$D$36&amp;"."&amp;VLOOKUP(B525,'0. Instruções'!$C$27:$E$32,3,FALSE))</f>
        <v>BU_LOANTAPE_WORK.SIMUL_LT003_ENTITY</v>
      </c>
      <c r="F525" s="34" t="s">
        <v>1499</v>
      </c>
      <c r="G525" s="34"/>
      <c r="H525" s="34"/>
      <c r="I525" s="34" t="str">
        <f>"(SELECT "&amp;VLOOKUP(B525,'0. Instruções'!$C$27:$G$32,4,FALSE)&amp;", "&amp;F525&amp;" FROM "&amp;D525&amp;" WHERE "&amp;'0. Instruções'!$D$42&amp;")X"</f>
        <v>(SELECT entty_id, number_employees FROM BU_LOANTAPE_WORK.LT003_ENTITY WHERE ref_date='${ref_date}' AND nome_perimetro='Individual Local' AND segmento='ESTR' AND ambito='SRB_MBDT' AND entidade='00100')X</v>
      </c>
      <c r="J525" s="34" t="str">
        <f>"(SELECT "&amp;VLOOKUP(B525,'0. Instruções'!$C$27:$G$32,4,FALSE)&amp;" AS "&amp;VLOOKUP(B525,'0. Instruções'!$C$27:$G$32,4,FALSE)&amp;"_SIMUL, "&amp;F525&amp;" AS "&amp;F525&amp;"_SIMUL FROM "&amp;E525&amp;" WHERE "&amp;'0. Instruções'!$D$43&amp;")Y"</f>
        <v>(SELECT entty_id AS entty_id_SIMUL, number_employees AS number_employees_SIMUL FROM BU_LOANTAPE_WORK.SIMUL_LT003_ENTITY WHERE ref_date='${ref_date}' AND nome_perimetro='Individual Local' AND segmento='ESTR' AND ambito='PILAR3' AND entidade='00100')Y</v>
      </c>
      <c r="K525" s="35" t="str">
        <f>+UPPER("ON X."&amp;VLOOKUP(B525,'0. Instruções'!$C$27:$G$32,4,FALSE)&amp;"=Y."&amp;VLOOKUP(B525,'0. Instruções'!$C$27:$G$32,4,FALSE)&amp;"_SIMUL")</f>
        <v>ON X.ENTTY_ID=Y.ENTTY_ID_SIMUL</v>
      </c>
      <c r="L525" s="35" t="str">
        <f>+IF(C525="Coerência", +IF(LEFT(G525,5)="FLOAT","SELECT '"&amp;UPPER(B525)&amp;"' AS TABELA, '"&amp;UPPER(C525)&amp;"' AS TIPOLOGIA_TESTE,'"&amp;D525&amp;"' AS TABELA_LT,'"&amp;E525&amp;"' AS TABELA_SIMUL,'"&amp;F525&amp;"' AS CAMPO, "&amp;"'${ref_date}' AS REF_DATE, COUNT(*) AS NUM_REG, SUM(IF((ABS(COALESCE(CAST(X."&amp;F525&amp;" AS DECIMAL(18,6)),0)-COALESCE(CAST(Y."&amp;F525&amp;"_SIMUL AS DECIMAL(18,6)),0))&gt;0.000001) OR (X."&amp;F525&amp;" IS NULL AND Y."&amp;F525&amp;"_SIMUL IS NOT NULL ) OR (X."&amp;F525&amp;" IS NOT NULL AND Y."&amp;F525&amp;"_SIMUL IS NULL),1,0)) AS NUM_REG_DIF,'"&amp;MAX('ID1&amp;5'!K:K)+1&amp;"' AS ID_EXEC, CURRENT_TIMESTAMP() AS TIME_EXEC FROM "&amp;I525&amp;" INNER JOIN "&amp;J525&amp;" "&amp;K525,"SELECT '"&amp;UPPER(B525)&amp;"' AS TABELA, '"&amp;UPPER(C525)&amp;"' AS TIPOLOGIA_TESTE,'"&amp;D525&amp;"' AS TABELA_LT,'"&amp;E525&amp;"' AS TABELA_SIMUL,'"&amp;F525&amp;"' AS CAMPO, "&amp;"'${ref_date}' AS REF_DATE, COUNT(*) AS NUM_REG, SUM(IF(COALESCE(CAST(X."&amp;F525&amp;" AS STRING),'')&lt;&gt;COALESCE(CAST(Y."&amp;F525&amp;"_SIMUL AS STRING),'') OR (X."&amp;F525&amp;" IS NULL AND Y."&amp;F525&amp;"_SIMUL IS NOT NULL ) OR (X."&amp;F525&amp;" IS NOT NULL AND Y."&amp;F525&amp;"_SIMUL IS NULL),1,0)) AS NUM_REG_DIF,'"&amp;MAX('ID1&amp;5'!L:L)+1&amp;"' AS ID_EXEC, CURRENT_TIMESTAMP() AS TIME_EXEC FROM "&amp;I525&amp;" INNER JOIN "&amp;J525&amp;" "&amp;K525),
IF(C525="Validade",+IF(G525="Code List","SELECT '"&amp;UPPER(B525)&amp;"' AS TABELA, '"&amp;UPPER(C525)&amp;"' AS TIPOLOGIA_TESTE,'"&amp;D525&amp;"' AS TABELA_LT,'N/A' AS TABELA_SIMUL,'"&amp;F525&amp;"' AS CAMPO, "&amp;"'${ref_date}' AS REF_DATE, COUNT(*) AS NUM_REG, SUM(IF(TRIM(CAST(X."&amp;F525&amp;" AS STRING))='' OR TRIM(CAST(X."&amp;F525&amp;" AS STRING)) IS NULL OR CAST(X."&amp;F525&amp;" AS STRING) NOT "&amp;H525&amp;",1,0)) AS NUM_REG_DIF,'"&amp;MAX('ID1&amp;5'!K:K)+1&amp;"' AS ID_EXEC, CURRENT_TIMESTAMP() AS TIME_EXEC FROM "&amp;I525,"SELECT '"&amp;UPPER(B525)&amp;"' AS TABELA, '"&amp;UPPER(C525)&amp;"' AS TIPOLOGIA_TESTE,'"&amp;D525&amp;"' AS TABELA_LT,'N/A' AS TABELA_SIMUL,'"&amp;F525&amp;"' AS CAMPO, "&amp;"'${ref_date}' AS REF_DATE, COUNT(*) AS NUM_REG, SUM(IF(TRIM(CAST(X."&amp;F525&amp;" AS STRING))='' OR TRIM(CAST(X."&amp;F525&amp;" AS STRING)) IS NULL,1,0)) AS NUM_REG_DIF,'"&amp;MAX('ID1&amp;5'!K:K)+1&amp;"' AS ID_EXEC, CURRENT_TIMESTAMP() AS TIME_EXEC FROM "&amp;I525),
IF(C525="Caracteres Especiais",+"SELECT '"&amp;UPPER(B525)&amp;"' AS TABELA, '"&amp;UPPER(C525)&amp;"' AS TIPOLOGIA_TESTE,'"&amp;D525&amp;"' AS TABELA_LT,'N/A' AS TABELA_SIMUL,'"&amp;F525&amp;"' AS CAMPO, "&amp;"'${ref_date}' AS REF_DATE, COUNT(*) AS NUM_REG, SUM(IF(REGEXP_REPLACE(TRIM(CAST(X."&amp;F525&amp;" AS STRING)),'[^a-zA-Z0-9_\\s]','') &lt;&gt;TRIM(CAST(X."&amp;F525&amp;" AS STRING)),1,0)) AS NUM_REG_DIF,'"&amp;MAX('ID1&amp;5'!K:K)+1&amp;"' AS ID_EXEC, CURRENT_TIMESTAMP() AS TIME_EXEC FROM "&amp;I525,
IF(C525="Missings",+"SELECT '"&amp;UPPER(B525)&amp;"' AS TABELA, '"&amp;UPPER(C525)&amp;"' AS TIPOLOGIA_TESTE,'"&amp;D525&amp;"' AS TABELA_LT,'N/A' AS TABELA_SIMUL,'"&amp;F525&amp;"' AS CAMPO, "&amp;"'${ref_date}' AS REF_DATE, COUNT(*) AS NUM_REG, SUM(IF(TRIM(CAST(X."&amp;F525&amp;" AS STRING)) IN ('0000-00-00','0001-01-01','9999-12-31','MISS','00000','99999999999','99999999999.00','99999999999.000000'),1,0)) AS NUM_REG_DIF,'"&amp;MAX('ID1&amp;5'!K:K)+1&amp;"' AS ID_EXEC, CURRENT_TIMESTAMP() AS TIME_EXEC FROM "&amp;I525,
IF(C525="Not applicable",+"SELECT '"&amp;UPPER(B525)&amp;"' AS TABELA, '"&amp;UPPER(C525)&amp;"' AS TIPOLOGIA_TESTE,'"&amp;D525&amp;"' AS TABELA_LT,'N/A' AS TABELA_SIMUL,'"&amp;F525&amp;"' AS CAMPO, "&amp;"'${ref_date}' AS REF_DATE, COUNT(*) AS NUM_REG, SUM(IF(TRIM(CAST(X."&amp;F525&amp;" AS STRING)) IN ('N/A','11111111111','11111111111.00','11111111111.000000','1111-11-11'),1,0)) AS NUM_REG_DIF,'"&amp;MAX('ID1&amp;5'!K:K)+1&amp;"' AS ID_EXEC, CURRENT_TIMESTAMP() AS TIME_EXEC FROM "&amp;I525,
IF(C525="Valores extremos",+"SELECT '"&amp;UPPER(B525)&amp;"' AS TABELA, '"&amp;UPPER(C525)&amp;"' AS TIPOLOGIA_TESTE,'"&amp;D525&amp;"' AS TABELA_LT,'N/A' AS TABELA_SIMUL,'"&amp;F525&amp;"' AS CAMPO, "&amp;"'${ref_date}' AS REF_DATE, CAST(MIN("&amp;F525&amp;") AS STRING) AS VALOR_MIN, CAST(MAX("&amp;F525&amp;") AS STRING) AS VALOR_MAX,'"&amp;MAX('ID1&amp;5'!K:K)+1&amp;"' AS ID_EXEC, CURRENT_TIMESTAMP() AS TIME_EXEC FROM "&amp;MID(I525,1,LEN(I525)-2)&amp;" AND CAST("&amp;F525&amp;"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TABELA_SIMUL,'number_employees' AS CAMPO, '${ref_date}' AS REF_DATE, COUNT(*) AS NUM_REG, SUM(IF(COALESCE(CAST(X.number_employees AS STRING),'')&lt;&gt;COALESCE(CAST(Y.number_employees_SIMUL AS STRING),'') OR (X.number_employees IS NULL AND Y.number_employees_SIMUL IS NOT NULL ) OR (X.number_employees IS NOT NULL AND Y.number_employees_SIMUL IS NULL),1,0)) AS NUM_REG_DIF,'1' AS ID_EXEC, CURRENT_TIMESTAMP() AS TIME_EXEC FROM (SELECT entty_id, number_employees FROM BU_LOANTAPE_WORK.LT003_ENTITY WHERE ref_date='${ref_date}' AND nome_perimetro='Individual Local' AND segmento='ESTR' AND ambito='SRB_MBDT' AND entidade='00100')X INNER JOIN (SELECT entty_id AS entty_id_SIMUL, number_employees AS number_employees_SIMUL FROM BU_LOANTAPE_WORK.SIMUL_LT003_ENTITY WHERE ref_date='${ref_date}' AND nome_perimetro='Individual Local' AND segmento='ESTR' AND ambito='PILAR3' AND entidade='00100')Y ON X.ENTTY_ID=Y.ENTTY_ID_SIMUL</v>
      </c>
      <c r="M525" s="36" t="str">
        <f t="shared" si="11"/>
        <v>UNION ALL SELECT 'ENTITY' AS TABELA, 'COERÊNCIA' AS TIPOLOGIA_TESTE,'BU_LOANTAPE_WORK.LT003_ENTITY' AS TABELA_LT,'BU_LOANTAPE_WORK.SIMUL_LT003_ENTITY' AS TABELA_SIMUL,'number_employees' AS CAMPO, '${ref_date}' AS REF_DATE, COUNT(*) AS NUM_REG, SUM(IF(COALESCE(CAST(X.number_employees AS STRING),'')&lt;&gt;COALESCE(CAST(Y.number_employees_SIMUL AS STRING),'') OR (X.number_employees IS NULL AND Y.number_employees_SIMUL IS NOT NULL ) OR (X.number_employees IS NOT NULL AND Y.number_employees_SIMUL IS NULL),1,0)) AS NUM_REG_DIF,'1' AS ID_EXEC, CURRENT_TIMESTAMP() AS TIME_EXEC FROM (SELECT entty_id, number_employees FROM BU_LOANTAPE_WORK.LT003_ENTITY WHERE ref_date='${ref_date}' AND nome_perimetro='Individual Local' AND segmento='ESTR' AND ambito='SRB_MBDT' AND entidade='00100')X INNER JOIN (SELECT entty_id AS entty_id_SIMUL, number_employees AS number_employees_SIMUL FROM BU_LOANTAPE_WORK.SIMUL_LT003_ENTITY WHERE ref_date='${ref_date}' AND nome_perimetro='Individual Local' AND segmento='ESTR' AND ambito='PILAR3' AND entidade='00100')Y ON X.ENTTY_ID=Y.ENTTY_ID_SIMUL</v>
      </c>
    </row>
    <row r="526" spans="2:13">
      <c r="B526" s="34" t="s">
        <v>118</v>
      </c>
      <c r="C526" s="34" t="s">
        <v>5</v>
      </c>
      <c r="D526" s="34" t="str">
        <f>+UPPER('0. Instruções'!$D$35&amp;"."&amp;VLOOKUP(B526,'0. Instruções'!$C$27:$D$32,2,FALSE))</f>
        <v>BU_LOANTAPE_WORK.LT003_ENTITY</v>
      </c>
      <c r="E526" s="34" t="str">
        <f>+UPPER('0. Instruções'!$D$36&amp;"."&amp;VLOOKUP(B526,'0. Instruções'!$C$27:$E$32,3,FALSE))</f>
        <v>BU_LOANTAPE_WORK.SIMUL_LT003_ENTITY</v>
      </c>
      <c r="F526" s="34" t="s">
        <v>1500</v>
      </c>
      <c r="G526" s="34"/>
      <c r="H526" s="34"/>
      <c r="I526" s="34" t="str">
        <f>"(SELECT "&amp;VLOOKUP(B526,'0. Instruções'!$C$27:$G$32,4,FALSE)&amp;", "&amp;F526&amp;" FROM "&amp;D526&amp;" WHERE "&amp;'0. Instruções'!$D$42&amp;")X"</f>
        <v>(SELECT entty_id, balance_sheet_total FROM BU_LOANTAPE_WORK.LT003_ENTITY WHERE ref_date='${ref_date}' AND nome_perimetro='Individual Local' AND segmento='ESTR' AND ambito='SRB_MBDT' AND entidade='00100')X</v>
      </c>
      <c r="J526" s="34" t="str">
        <f>"(SELECT "&amp;VLOOKUP(B526,'0. Instruções'!$C$27:$G$32,4,FALSE)&amp;" AS "&amp;VLOOKUP(B526,'0. Instruções'!$C$27:$G$32,4,FALSE)&amp;"_SIMUL, "&amp;F526&amp;" AS "&amp;F526&amp;"_SIMUL FROM "&amp;E526&amp;" WHERE "&amp;'0. Instruções'!$D$43&amp;")Y"</f>
        <v>(SELECT entty_id AS entty_id_SIMUL, balance_sheet_total AS balance_sheet_total_SIMUL FROM BU_LOANTAPE_WORK.SIMUL_LT003_ENTITY WHERE ref_date='${ref_date}' AND nome_perimetro='Individual Local' AND segmento='ESTR' AND ambito='PILAR3' AND entidade='00100')Y</v>
      </c>
      <c r="K526" s="35" t="str">
        <f>+UPPER("ON X."&amp;VLOOKUP(B526,'0. Instruções'!$C$27:$G$32,4,FALSE)&amp;"=Y."&amp;VLOOKUP(B526,'0. Instruções'!$C$27:$G$32,4,FALSE)&amp;"_SIMUL")</f>
        <v>ON X.ENTTY_ID=Y.ENTTY_ID_SIMUL</v>
      </c>
      <c r="L526" s="35" t="str">
        <f>+IF(C526="Coerência", +IF(LEFT(G526,5)="FLOAT","SELECT '"&amp;UPPER(B526)&amp;"' AS TABELA, '"&amp;UPPER(C526)&amp;"' AS TIPOLOGIA_TESTE,'"&amp;D526&amp;"' AS TABELA_LT,'"&amp;E526&amp;"' AS TABELA_SIMUL,'"&amp;F526&amp;"' AS CAMPO, "&amp;"'${ref_date}' AS REF_DATE, COUNT(*) AS NUM_REG, SUM(IF((ABS(COALESCE(CAST(X."&amp;F526&amp;" AS DECIMAL(18,6)),0)-COALESCE(CAST(Y."&amp;F526&amp;"_SIMUL AS DECIMAL(18,6)),0))&gt;0.000001) OR (X."&amp;F526&amp;" IS NULL AND Y."&amp;F526&amp;"_SIMUL IS NOT NULL ) OR (X."&amp;F526&amp;" IS NOT NULL AND Y."&amp;F526&amp;"_SIMUL IS NULL),1,0)) AS NUM_REG_DIF,'"&amp;MAX('ID1&amp;5'!K:K)+1&amp;"' AS ID_EXEC, CURRENT_TIMESTAMP() AS TIME_EXEC FROM "&amp;I526&amp;" INNER JOIN "&amp;J526&amp;" "&amp;K526,"SELECT '"&amp;UPPER(B526)&amp;"' AS TABELA, '"&amp;UPPER(C526)&amp;"' AS TIPOLOGIA_TESTE,'"&amp;D526&amp;"' AS TABELA_LT,'"&amp;E526&amp;"' AS TABELA_SIMUL,'"&amp;F526&amp;"' AS CAMPO, "&amp;"'${ref_date}' AS REF_DATE, COUNT(*) AS NUM_REG, SUM(IF(COALESCE(CAST(X."&amp;F526&amp;" AS STRING),'')&lt;&gt;COALESCE(CAST(Y."&amp;F526&amp;"_SIMUL AS STRING),'') OR (X."&amp;F526&amp;" IS NULL AND Y."&amp;F526&amp;"_SIMUL IS NOT NULL ) OR (X."&amp;F526&amp;" IS NOT NULL AND Y."&amp;F526&amp;"_SIMUL IS NULL),1,0)) AS NUM_REG_DIF,'"&amp;MAX('ID1&amp;5'!L:L)+1&amp;"' AS ID_EXEC, CURRENT_TIMESTAMP() AS TIME_EXEC FROM "&amp;I526&amp;" INNER JOIN "&amp;J526&amp;" "&amp;K526),
IF(C526="Validade",+IF(G526="Code List","SELECT '"&amp;UPPER(B526)&amp;"' AS TABELA, '"&amp;UPPER(C526)&amp;"' AS TIPOLOGIA_TESTE,'"&amp;D526&amp;"' AS TABELA_LT,'N/A' AS TABELA_SIMUL,'"&amp;F526&amp;"' AS CAMPO, "&amp;"'${ref_date}' AS REF_DATE, COUNT(*) AS NUM_REG, SUM(IF(TRIM(CAST(X."&amp;F526&amp;" AS STRING))='' OR TRIM(CAST(X."&amp;F526&amp;" AS STRING)) IS NULL OR CAST(X."&amp;F526&amp;" AS STRING) NOT "&amp;H526&amp;",1,0)) AS NUM_REG_DIF,'"&amp;MAX('ID1&amp;5'!K:K)+1&amp;"' AS ID_EXEC, CURRENT_TIMESTAMP() AS TIME_EXEC FROM "&amp;I526,"SELECT '"&amp;UPPER(B526)&amp;"' AS TABELA, '"&amp;UPPER(C526)&amp;"' AS TIPOLOGIA_TESTE,'"&amp;D526&amp;"' AS TABELA_LT,'N/A' AS TABELA_SIMUL,'"&amp;F526&amp;"' AS CAMPO, "&amp;"'${ref_date}' AS REF_DATE, COUNT(*) AS NUM_REG, SUM(IF(TRIM(CAST(X."&amp;F526&amp;" AS STRING))='' OR TRIM(CAST(X."&amp;F526&amp;" AS STRING)) IS NULL,1,0)) AS NUM_REG_DIF,'"&amp;MAX('ID1&amp;5'!K:K)+1&amp;"' AS ID_EXEC, CURRENT_TIMESTAMP() AS TIME_EXEC FROM "&amp;I526),
IF(C526="Caracteres Especiais",+"SELECT '"&amp;UPPER(B526)&amp;"' AS TABELA, '"&amp;UPPER(C526)&amp;"' AS TIPOLOGIA_TESTE,'"&amp;D526&amp;"' AS TABELA_LT,'N/A' AS TABELA_SIMUL,'"&amp;F526&amp;"' AS CAMPO, "&amp;"'${ref_date}' AS REF_DATE, COUNT(*) AS NUM_REG, SUM(IF(REGEXP_REPLACE(TRIM(CAST(X."&amp;F526&amp;" AS STRING)),'[^a-zA-Z0-9_\\s]','') &lt;&gt;TRIM(CAST(X."&amp;F526&amp;" AS STRING)),1,0)) AS NUM_REG_DIF,'"&amp;MAX('ID1&amp;5'!K:K)+1&amp;"' AS ID_EXEC, CURRENT_TIMESTAMP() AS TIME_EXEC FROM "&amp;I526,
IF(C526="Missings",+"SELECT '"&amp;UPPER(B526)&amp;"' AS TABELA, '"&amp;UPPER(C526)&amp;"' AS TIPOLOGIA_TESTE,'"&amp;D526&amp;"' AS TABELA_LT,'N/A' AS TABELA_SIMUL,'"&amp;F526&amp;"' AS CAMPO, "&amp;"'${ref_date}' AS REF_DATE, COUNT(*) AS NUM_REG, SUM(IF(TRIM(CAST(X."&amp;F526&amp;" AS STRING)) IN ('0000-00-00','0001-01-01','9999-12-31','MISS','00000','99999999999','99999999999.00','99999999999.000000'),1,0)) AS NUM_REG_DIF,'"&amp;MAX('ID1&amp;5'!K:K)+1&amp;"' AS ID_EXEC, CURRENT_TIMESTAMP() AS TIME_EXEC FROM "&amp;I526,
IF(C526="Not applicable",+"SELECT '"&amp;UPPER(B526)&amp;"' AS TABELA, '"&amp;UPPER(C526)&amp;"' AS TIPOLOGIA_TESTE,'"&amp;D526&amp;"' AS TABELA_LT,'N/A' AS TABELA_SIMUL,'"&amp;F526&amp;"' AS CAMPO, "&amp;"'${ref_date}' AS REF_DATE, COUNT(*) AS NUM_REG, SUM(IF(TRIM(CAST(X."&amp;F526&amp;" AS STRING)) IN ('N/A','11111111111','11111111111.00','11111111111.000000','1111-11-11'),1,0)) AS NUM_REG_DIF,'"&amp;MAX('ID1&amp;5'!K:K)+1&amp;"' AS ID_EXEC, CURRENT_TIMESTAMP() AS TIME_EXEC FROM "&amp;I526,
IF(C526="Valores extremos",+"SELECT '"&amp;UPPER(B526)&amp;"' AS TABELA, '"&amp;UPPER(C526)&amp;"' AS TIPOLOGIA_TESTE,'"&amp;D526&amp;"' AS TABELA_LT,'N/A' AS TABELA_SIMUL,'"&amp;F526&amp;"' AS CAMPO, "&amp;"'${ref_date}' AS REF_DATE, CAST(MIN("&amp;F526&amp;") AS STRING) AS VALOR_MIN, CAST(MAX("&amp;F526&amp;") AS STRING) AS VALOR_MAX,'"&amp;MAX('ID1&amp;5'!K:K)+1&amp;"' AS ID_EXEC, CURRENT_TIMESTAMP() AS TIME_EXEC FROM "&amp;MID(I526,1,LEN(I526)-2)&amp;" AND CAST("&amp;F526&amp;"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TABELA_SIMUL,'balance_sheet_total' AS CAMPO, '${ref_date}' AS REF_DATE, COUNT(*) AS NUM_REG, SUM(IF(COALESCE(CAST(X.balance_sheet_total AS STRING),'')&lt;&gt;COALESCE(CAST(Y.balance_sheet_total_SIMUL AS STRING),'') OR (X.balance_sheet_total IS NULL AND Y.balance_sheet_total_SIMUL IS NOT NULL ) OR (X.balance_sheet_total IS NOT NULL AND Y.balance_sheet_total_SIMUL IS NULL),1,0)) AS NUM_REG_DIF,'1' AS ID_EXEC, CURRENT_TIMESTAMP() AS TIME_EXEC FROM (SELECT entty_id, balance_sheet_total FROM BU_LOANTAPE_WORK.LT003_ENTITY WHERE ref_date='${ref_date}' AND nome_perimetro='Individual Local' AND segmento='ESTR' AND ambito='SRB_MBDT' AND entidade='00100')X INNER JOIN (SELECT entty_id AS entty_id_SIMUL, balance_sheet_total AS balance_sheet_total_SIMUL FROM BU_LOANTAPE_WORK.SIMUL_LT003_ENTITY WHERE ref_date='${ref_date}' AND nome_perimetro='Individual Local' AND segmento='ESTR' AND ambito='PILAR3' AND entidade='00100')Y ON X.ENTTY_ID=Y.ENTTY_ID_SIMUL</v>
      </c>
      <c r="M526" s="36" t="str">
        <f t="shared" si="11"/>
        <v>UNION ALL SELECT 'ENTITY' AS TABELA, 'COERÊNCIA' AS TIPOLOGIA_TESTE,'BU_LOANTAPE_WORK.LT003_ENTITY' AS TABELA_LT,'BU_LOANTAPE_WORK.SIMUL_LT003_ENTITY' AS TABELA_SIMUL,'balance_sheet_total' AS CAMPO, '${ref_date}' AS REF_DATE, COUNT(*) AS NUM_REG, SUM(IF(COALESCE(CAST(X.balance_sheet_total AS STRING),'')&lt;&gt;COALESCE(CAST(Y.balance_sheet_total_SIMUL AS STRING),'') OR (X.balance_sheet_total IS NULL AND Y.balance_sheet_total_SIMUL IS NOT NULL ) OR (X.balance_sheet_total IS NOT NULL AND Y.balance_sheet_total_SIMUL IS NULL),1,0)) AS NUM_REG_DIF,'1' AS ID_EXEC, CURRENT_TIMESTAMP() AS TIME_EXEC FROM (SELECT entty_id, balance_sheet_total FROM BU_LOANTAPE_WORK.LT003_ENTITY WHERE ref_date='${ref_date}' AND nome_perimetro='Individual Local' AND segmento='ESTR' AND ambito='SRB_MBDT' AND entidade='00100')X INNER JOIN (SELECT entty_id AS entty_id_SIMUL, balance_sheet_total AS balance_sheet_total_SIMUL FROM BU_LOANTAPE_WORK.SIMUL_LT003_ENTITY WHERE ref_date='${ref_date}' AND nome_perimetro='Individual Local' AND segmento='ESTR' AND ambito='PILAR3' AND entidade='00100')Y ON X.ENTTY_ID=Y.ENTTY_ID_SIMUL</v>
      </c>
    </row>
    <row r="527" spans="2:13">
      <c r="B527" s="34" t="s">
        <v>118</v>
      </c>
      <c r="C527" s="34" t="s">
        <v>5</v>
      </c>
      <c r="D527" s="34" t="str">
        <f>+UPPER('0. Instruções'!$D$35&amp;"."&amp;VLOOKUP(B527,'0. Instruções'!$C$27:$D$32,2,FALSE))</f>
        <v>BU_LOANTAPE_WORK.LT003_ENTITY</v>
      </c>
      <c r="E527" s="34" t="str">
        <f>+UPPER('0. Instruções'!$D$36&amp;"."&amp;VLOOKUP(B527,'0. Instruções'!$C$27:$E$32,3,FALSE))</f>
        <v>BU_LOANTAPE_WORK.SIMUL_LT003_ENTITY</v>
      </c>
      <c r="F527" s="34" t="s">
        <v>705</v>
      </c>
      <c r="G527" s="34"/>
      <c r="H527" s="34"/>
      <c r="I527" s="34" t="str">
        <f>"(SELECT "&amp;VLOOKUP(B527,'0. Instruções'!$C$27:$G$32,4,FALSE)&amp;", "&amp;F527&amp;" FROM "&amp;D527&amp;" WHERE "&amp;'0. Instruções'!$D$42&amp;")X"</f>
        <v>(SELECT entty_id, grp_ecnmc_actvty FROM BU_LOANTAPE_WORK.LT003_ENTITY WHERE ref_date='${ref_date}' AND nome_perimetro='Individual Local' AND segmento='ESTR' AND ambito='SRB_MBDT' AND entidade='00100')X</v>
      </c>
      <c r="J527" s="34" t="str">
        <f>"(SELECT "&amp;VLOOKUP(B527,'0. Instruções'!$C$27:$G$32,4,FALSE)&amp;" AS "&amp;VLOOKUP(B527,'0. Instruções'!$C$27:$G$32,4,FALSE)&amp;"_SIMUL, "&amp;F527&amp;" AS "&amp;F527&amp;"_SIMUL FROM "&amp;E527&amp;" WHERE "&amp;'0. Instruções'!$D$43&amp;")Y"</f>
        <v>(SELECT entty_id AS entty_id_SIMUL, grp_ecnmc_actvty AS grp_ecnmc_actvty_SIMUL FROM BU_LOANTAPE_WORK.SIMUL_LT003_ENTITY WHERE ref_date='${ref_date}' AND nome_perimetro='Individual Local' AND segmento='ESTR' AND ambito='PILAR3' AND entidade='00100')Y</v>
      </c>
      <c r="K527" s="35" t="str">
        <f>+UPPER("ON X."&amp;VLOOKUP(B527,'0. Instruções'!$C$27:$G$32,4,FALSE)&amp;"=Y."&amp;VLOOKUP(B527,'0. Instruções'!$C$27:$G$32,4,FALSE)&amp;"_SIMUL")</f>
        <v>ON X.ENTTY_ID=Y.ENTTY_ID_SIMUL</v>
      </c>
      <c r="L527" s="35" t="str">
        <f>+IF(C527="Coerência", +IF(LEFT(G527,5)="FLOAT","SELECT '"&amp;UPPER(B527)&amp;"' AS TABELA, '"&amp;UPPER(C527)&amp;"' AS TIPOLOGIA_TESTE,'"&amp;D527&amp;"' AS TABELA_LT,'"&amp;E527&amp;"' AS TABELA_SIMUL,'"&amp;F527&amp;"' AS CAMPO, "&amp;"'${ref_date}' AS REF_DATE, COUNT(*) AS NUM_REG, SUM(IF((ABS(COALESCE(CAST(X."&amp;F527&amp;" AS DECIMAL(18,6)),0)-COALESCE(CAST(Y."&amp;F527&amp;"_SIMUL AS DECIMAL(18,6)),0))&gt;0.000001) OR (X."&amp;F527&amp;" IS NULL AND Y."&amp;F527&amp;"_SIMUL IS NOT NULL ) OR (X."&amp;F527&amp;" IS NOT NULL AND Y."&amp;F527&amp;"_SIMUL IS NULL),1,0)) AS NUM_REG_DIF,'"&amp;MAX('ID1&amp;5'!K:K)+1&amp;"' AS ID_EXEC, CURRENT_TIMESTAMP() AS TIME_EXEC FROM "&amp;I527&amp;" INNER JOIN "&amp;J527&amp;" "&amp;K527,"SELECT '"&amp;UPPER(B527)&amp;"' AS TABELA, '"&amp;UPPER(C527)&amp;"' AS TIPOLOGIA_TESTE,'"&amp;D527&amp;"' AS TABELA_LT,'"&amp;E527&amp;"' AS TABELA_SIMUL,'"&amp;F527&amp;"' AS CAMPO, "&amp;"'${ref_date}' AS REF_DATE, COUNT(*) AS NUM_REG, SUM(IF(COALESCE(CAST(X."&amp;F527&amp;" AS STRING),'')&lt;&gt;COALESCE(CAST(Y."&amp;F527&amp;"_SIMUL AS STRING),'') OR (X."&amp;F527&amp;" IS NULL AND Y."&amp;F527&amp;"_SIMUL IS NOT NULL ) OR (X."&amp;F527&amp;" IS NOT NULL AND Y."&amp;F527&amp;"_SIMUL IS NULL),1,0)) AS NUM_REG_DIF,'"&amp;MAX('ID1&amp;5'!L:L)+1&amp;"' AS ID_EXEC, CURRENT_TIMESTAMP() AS TIME_EXEC FROM "&amp;I527&amp;" INNER JOIN "&amp;J527&amp;" "&amp;K527),
IF(C527="Validade",+IF(G527="Code List","SELECT '"&amp;UPPER(B527)&amp;"' AS TABELA, '"&amp;UPPER(C527)&amp;"' AS TIPOLOGIA_TESTE,'"&amp;D527&amp;"' AS TABELA_LT,'N/A' AS TABELA_SIMUL,'"&amp;F527&amp;"' AS CAMPO, "&amp;"'${ref_date}' AS REF_DATE, COUNT(*) AS NUM_REG, SUM(IF(TRIM(CAST(X."&amp;F527&amp;" AS STRING))='' OR TRIM(CAST(X."&amp;F527&amp;" AS STRING)) IS NULL OR CAST(X."&amp;F527&amp;" AS STRING) NOT "&amp;H527&amp;",1,0)) AS NUM_REG_DIF,'"&amp;MAX('ID1&amp;5'!K:K)+1&amp;"' AS ID_EXEC, CURRENT_TIMESTAMP() AS TIME_EXEC FROM "&amp;I527,"SELECT '"&amp;UPPER(B527)&amp;"' AS TABELA, '"&amp;UPPER(C527)&amp;"' AS TIPOLOGIA_TESTE,'"&amp;D527&amp;"' AS TABELA_LT,'N/A' AS TABELA_SIMUL,'"&amp;F527&amp;"' AS CAMPO, "&amp;"'${ref_date}' AS REF_DATE, COUNT(*) AS NUM_REG, SUM(IF(TRIM(CAST(X."&amp;F527&amp;" AS STRING))='' OR TRIM(CAST(X."&amp;F527&amp;" AS STRING)) IS NULL,1,0)) AS NUM_REG_DIF,'"&amp;MAX('ID1&amp;5'!K:K)+1&amp;"' AS ID_EXEC, CURRENT_TIMESTAMP() AS TIME_EXEC FROM "&amp;I527),
IF(C527="Caracteres Especiais",+"SELECT '"&amp;UPPER(B527)&amp;"' AS TABELA, '"&amp;UPPER(C527)&amp;"' AS TIPOLOGIA_TESTE,'"&amp;D527&amp;"' AS TABELA_LT,'N/A' AS TABELA_SIMUL,'"&amp;F527&amp;"' AS CAMPO, "&amp;"'${ref_date}' AS REF_DATE, COUNT(*) AS NUM_REG, SUM(IF(REGEXP_REPLACE(TRIM(CAST(X."&amp;F527&amp;" AS STRING)),'[^a-zA-Z0-9_\\s]','') &lt;&gt;TRIM(CAST(X."&amp;F527&amp;" AS STRING)),1,0)) AS NUM_REG_DIF,'"&amp;MAX('ID1&amp;5'!K:K)+1&amp;"' AS ID_EXEC, CURRENT_TIMESTAMP() AS TIME_EXEC FROM "&amp;I527,
IF(C527="Missings",+"SELECT '"&amp;UPPER(B527)&amp;"' AS TABELA, '"&amp;UPPER(C527)&amp;"' AS TIPOLOGIA_TESTE,'"&amp;D527&amp;"' AS TABELA_LT,'N/A' AS TABELA_SIMUL,'"&amp;F527&amp;"' AS CAMPO, "&amp;"'${ref_date}' AS REF_DATE, COUNT(*) AS NUM_REG, SUM(IF(TRIM(CAST(X."&amp;F527&amp;" AS STRING)) IN ('0000-00-00','0001-01-01','9999-12-31','MISS','00000','99999999999','99999999999.00','99999999999.000000'),1,0)) AS NUM_REG_DIF,'"&amp;MAX('ID1&amp;5'!K:K)+1&amp;"' AS ID_EXEC, CURRENT_TIMESTAMP() AS TIME_EXEC FROM "&amp;I527,
IF(C527="Not applicable",+"SELECT '"&amp;UPPER(B527)&amp;"' AS TABELA, '"&amp;UPPER(C527)&amp;"' AS TIPOLOGIA_TESTE,'"&amp;D527&amp;"' AS TABELA_LT,'N/A' AS TABELA_SIMUL,'"&amp;F527&amp;"' AS CAMPO, "&amp;"'${ref_date}' AS REF_DATE, COUNT(*) AS NUM_REG, SUM(IF(TRIM(CAST(X."&amp;F527&amp;" AS STRING)) IN ('N/A','11111111111','11111111111.00','11111111111.000000','1111-11-11'),1,0)) AS NUM_REG_DIF,'"&amp;MAX('ID1&amp;5'!K:K)+1&amp;"' AS ID_EXEC, CURRENT_TIMESTAMP() AS TIME_EXEC FROM "&amp;I527,
IF(C527="Valores extremos",+"SELECT '"&amp;UPPER(B527)&amp;"' AS TABELA, '"&amp;UPPER(C527)&amp;"' AS TIPOLOGIA_TESTE,'"&amp;D527&amp;"' AS TABELA_LT,'N/A' AS TABELA_SIMUL,'"&amp;F527&amp;"' AS CAMPO, "&amp;"'${ref_date}' AS REF_DATE, CAST(MIN("&amp;F527&amp;") AS STRING) AS VALOR_MIN, CAST(MAX("&amp;F527&amp;") AS STRING) AS VALOR_MAX,'"&amp;MAX('ID1&amp;5'!K:K)+1&amp;"' AS ID_EXEC, CURRENT_TIMESTAMP() AS TIME_EXEC FROM "&amp;MID(I527,1,LEN(I527)-2)&amp;" AND CAST("&amp;F527&amp;"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TABELA_SIMUL,'grp_ecnmc_actvty' AS CAMPO, '${ref_date}' AS REF_DATE, COUNT(*) AS NUM_REG, SUM(IF(COALESCE(CAST(X.grp_ecnmc_actvty AS STRING),'')&lt;&gt;COALESCE(CAST(Y.grp_ecnmc_actvty_SIMUL AS STRING),'') OR (X.grp_ecnmc_actvty IS NULL AND Y.grp_ecnmc_actvty_SIMUL IS NOT NULL ) OR (X.grp_ecnmc_actvty IS NOT NULL AND Y.grp_ecnmc_actvty_SIMUL IS NULL),1,0)) AS NUM_REG_DIF,'1' AS ID_EXEC, CURRENT_TIMESTAMP() AS TIME_EXEC FROM (SELECT entty_id, grp_ecnmc_actvty FROM BU_LOANTAPE_WORK.LT003_ENTITY WHERE ref_date='${ref_date}' AND nome_perimetro='Individual Local' AND segmento='ESTR' AND ambito='SRB_MBDT' AND entidade='00100')X INNER JOIN (SELECT entty_id AS entty_id_SIMUL, grp_ecnmc_actvty AS grp_ecnmc_actvty_SIMUL FROM BU_LOANTAPE_WORK.SIMUL_LT003_ENTITY WHERE ref_date='${ref_date}' AND nome_perimetro='Individual Local' AND segmento='ESTR' AND ambito='PILAR3' AND entidade='00100')Y ON X.ENTTY_ID=Y.ENTTY_ID_SIMUL</v>
      </c>
      <c r="M527" s="36" t="str">
        <f t="shared" si="11"/>
        <v>UNION ALL SELECT 'ENTITY' AS TABELA, 'COERÊNCIA' AS TIPOLOGIA_TESTE,'BU_LOANTAPE_WORK.LT003_ENTITY' AS TABELA_LT,'BU_LOANTAPE_WORK.SIMUL_LT003_ENTITY' AS TABELA_SIMUL,'grp_ecnmc_actvty' AS CAMPO, '${ref_date}' AS REF_DATE, COUNT(*) AS NUM_REG, SUM(IF(COALESCE(CAST(X.grp_ecnmc_actvty AS STRING),'')&lt;&gt;COALESCE(CAST(Y.grp_ecnmc_actvty_SIMUL AS STRING),'') OR (X.grp_ecnmc_actvty IS NULL AND Y.grp_ecnmc_actvty_SIMUL IS NOT NULL ) OR (X.grp_ecnmc_actvty IS NOT NULL AND Y.grp_ecnmc_actvty_SIMUL IS NULL),1,0)) AS NUM_REG_DIF,'1' AS ID_EXEC, CURRENT_TIMESTAMP() AS TIME_EXEC FROM (SELECT entty_id, grp_ecnmc_actvty FROM BU_LOANTAPE_WORK.LT003_ENTITY WHERE ref_date='${ref_date}' AND nome_perimetro='Individual Local' AND segmento='ESTR' AND ambito='SRB_MBDT' AND entidade='00100')X INNER JOIN (SELECT entty_id AS entty_id_SIMUL, grp_ecnmc_actvty AS grp_ecnmc_actvty_SIMUL FROM BU_LOANTAPE_WORK.SIMUL_LT003_ENTITY WHERE ref_date='${ref_date}' AND nome_perimetro='Individual Local' AND segmento='ESTR' AND ambito='PILAR3' AND entidade='00100')Y ON X.ENTTY_ID=Y.ENTTY_ID_SIMUL</v>
      </c>
    </row>
    <row r="528" spans="2:13">
      <c r="B528" s="34" t="s">
        <v>118</v>
      </c>
      <c r="C528" s="34" t="s">
        <v>5</v>
      </c>
      <c r="D528" s="34" t="str">
        <f>+UPPER('0. Instruções'!$D$35&amp;"."&amp;VLOOKUP(B528,'0. Instruções'!$C$27:$D$32,2,FALSE))</f>
        <v>BU_LOANTAPE_WORK.LT003_ENTITY</v>
      </c>
      <c r="E528" s="34" t="str">
        <f>+UPPER('0. Instruções'!$D$36&amp;"."&amp;VLOOKUP(B528,'0. Instruções'!$C$27:$E$32,3,FALSE))</f>
        <v>BU_LOANTAPE_WORK.SIMUL_LT003_ENTITY</v>
      </c>
      <c r="F528" s="34" t="s">
        <v>706</v>
      </c>
      <c r="G528" s="34"/>
      <c r="H528" s="34"/>
      <c r="I528" s="34" t="str">
        <f>"(SELECT "&amp;VLOOKUP(B528,'0. Instruções'!$C$27:$G$32,4,FALSE)&amp;", "&amp;F528&amp;" FROM "&amp;D528&amp;" WHERE "&amp;'0. Instruções'!$D$42&amp;")X"</f>
        <v>(SELECT entty_id, txnmy_elgbl_capex_w FROM BU_LOANTAPE_WORK.LT003_ENTITY WHERE ref_date='${ref_date}' AND nome_perimetro='Individual Local' AND segmento='ESTR' AND ambito='SRB_MBDT' AND entidade='00100')X</v>
      </c>
      <c r="J528" s="34" t="str">
        <f>"(SELECT "&amp;VLOOKUP(B528,'0. Instruções'!$C$27:$G$32,4,FALSE)&amp;" AS "&amp;VLOOKUP(B528,'0. Instruções'!$C$27:$G$32,4,FALSE)&amp;"_SIMUL, "&amp;F528&amp;" AS "&amp;F528&amp;"_SIMUL FROM "&amp;E528&amp;" WHERE "&amp;'0. Instruções'!$D$43&amp;")Y"</f>
        <v>(SELECT entty_id AS entty_id_SIMUL, txnmy_elgbl_capex_w AS txnmy_elgbl_capex_w_SIMUL FROM BU_LOANTAPE_WORK.SIMUL_LT003_ENTITY WHERE ref_date='${ref_date}' AND nome_perimetro='Individual Local' AND segmento='ESTR' AND ambito='PILAR3' AND entidade='00100')Y</v>
      </c>
      <c r="K528" s="35" t="str">
        <f>+UPPER("ON X."&amp;VLOOKUP(B528,'0. Instruções'!$C$27:$G$32,4,FALSE)&amp;"=Y."&amp;VLOOKUP(B528,'0. Instruções'!$C$27:$G$32,4,FALSE)&amp;"_SIMUL")</f>
        <v>ON X.ENTTY_ID=Y.ENTTY_ID_SIMUL</v>
      </c>
      <c r="L528" s="35" t="str">
        <f>+IF(C528="Coerência", +IF(LEFT(G528,5)="FLOAT","SELECT '"&amp;UPPER(B528)&amp;"' AS TABELA, '"&amp;UPPER(C528)&amp;"' AS TIPOLOGIA_TESTE,'"&amp;D528&amp;"' AS TABELA_LT,'"&amp;E528&amp;"' AS TABELA_SIMUL,'"&amp;F528&amp;"' AS CAMPO, "&amp;"'${ref_date}' AS REF_DATE, COUNT(*) AS NUM_REG, SUM(IF((ABS(COALESCE(CAST(X."&amp;F528&amp;" AS DECIMAL(18,6)),0)-COALESCE(CAST(Y."&amp;F528&amp;"_SIMUL AS DECIMAL(18,6)),0))&gt;0.000001) OR (X."&amp;F528&amp;" IS NULL AND Y."&amp;F528&amp;"_SIMUL IS NOT NULL ) OR (X."&amp;F528&amp;" IS NOT NULL AND Y."&amp;F528&amp;"_SIMUL IS NULL),1,0)) AS NUM_REG_DIF,'"&amp;MAX('ID1&amp;5'!K:K)+1&amp;"' AS ID_EXEC, CURRENT_TIMESTAMP() AS TIME_EXEC FROM "&amp;I528&amp;" INNER JOIN "&amp;J528&amp;" "&amp;K528,"SELECT '"&amp;UPPER(B528)&amp;"' AS TABELA, '"&amp;UPPER(C528)&amp;"' AS TIPOLOGIA_TESTE,'"&amp;D528&amp;"' AS TABELA_LT,'"&amp;E528&amp;"' AS TABELA_SIMUL,'"&amp;F528&amp;"' AS CAMPO, "&amp;"'${ref_date}' AS REF_DATE, COUNT(*) AS NUM_REG, SUM(IF(COALESCE(CAST(X."&amp;F528&amp;" AS STRING),'')&lt;&gt;COALESCE(CAST(Y."&amp;F528&amp;"_SIMUL AS STRING),'') OR (X."&amp;F528&amp;" IS NULL AND Y."&amp;F528&amp;"_SIMUL IS NOT NULL ) OR (X."&amp;F528&amp;" IS NOT NULL AND Y."&amp;F528&amp;"_SIMUL IS NULL),1,0)) AS NUM_REG_DIF,'"&amp;MAX('ID1&amp;5'!L:L)+1&amp;"' AS ID_EXEC, CURRENT_TIMESTAMP() AS TIME_EXEC FROM "&amp;I528&amp;" INNER JOIN "&amp;J528&amp;" "&amp;K528),
IF(C528="Validade",+IF(G528="Code List","SELECT '"&amp;UPPER(B528)&amp;"' AS TABELA, '"&amp;UPPER(C528)&amp;"' AS TIPOLOGIA_TESTE,'"&amp;D528&amp;"' AS TABELA_LT,'N/A' AS TABELA_SIMUL,'"&amp;F528&amp;"' AS CAMPO, "&amp;"'${ref_date}' AS REF_DATE, COUNT(*) AS NUM_REG, SUM(IF(TRIM(CAST(X."&amp;F528&amp;" AS STRING))='' OR TRIM(CAST(X."&amp;F528&amp;" AS STRING)) IS NULL OR CAST(X."&amp;F528&amp;" AS STRING) NOT "&amp;H528&amp;",1,0)) AS NUM_REG_DIF,'"&amp;MAX('ID1&amp;5'!K:K)+1&amp;"' AS ID_EXEC, CURRENT_TIMESTAMP() AS TIME_EXEC FROM "&amp;I528,"SELECT '"&amp;UPPER(B528)&amp;"' AS TABELA, '"&amp;UPPER(C528)&amp;"' AS TIPOLOGIA_TESTE,'"&amp;D528&amp;"' AS TABELA_LT,'N/A' AS TABELA_SIMUL,'"&amp;F528&amp;"' AS CAMPO, "&amp;"'${ref_date}' AS REF_DATE, COUNT(*) AS NUM_REG, SUM(IF(TRIM(CAST(X."&amp;F528&amp;" AS STRING))='' OR TRIM(CAST(X."&amp;F528&amp;" AS STRING)) IS NULL,1,0)) AS NUM_REG_DIF,'"&amp;MAX('ID1&amp;5'!K:K)+1&amp;"' AS ID_EXEC, CURRENT_TIMESTAMP() AS TIME_EXEC FROM "&amp;I528),
IF(C528="Caracteres Especiais",+"SELECT '"&amp;UPPER(B528)&amp;"' AS TABELA, '"&amp;UPPER(C528)&amp;"' AS TIPOLOGIA_TESTE,'"&amp;D528&amp;"' AS TABELA_LT,'N/A' AS TABELA_SIMUL,'"&amp;F528&amp;"' AS CAMPO, "&amp;"'${ref_date}' AS REF_DATE, COUNT(*) AS NUM_REG, SUM(IF(REGEXP_REPLACE(TRIM(CAST(X."&amp;F528&amp;" AS STRING)),'[^a-zA-Z0-9_\\s]','') &lt;&gt;TRIM(CAST(X."&amp;F528&amp;" AS STRING)),1,0)) AS NUM_REG_DIF,'"&amp;MAX('ID1&amp;5'!K:K)+1&amp;"' AS ID_EXEC, CURRENT_TIMESTAMP() AS TIME_EXEC FROM "&amp;I528,
IF(C528="Missings",+"SELECT '"&amp;UPPER(B528)&amp;"' AS TABELA, '"&amp;UPPER(C528)&amp;"' AS TIPOLOGIA_TESTE,'"&amp;D528&amp;"' AS TABELA_LT,'N/A' AS TABELA_SIMUL,'"&amp;F528&amp;"' AS CAMPO, "&amp;"'${ref_date}' AS REF_DATE, COUNT(*) AS NUM_REG, SUM(IF(TRIM(CAST(X."&amp;F528&amp;" AS STRING)) IN ('0000-00-00','0001-01-01','9999-12-31','MISS','00000','99999999999','99999999999.00','99999999999.000000'),1,0)) AS NUM_REG_DIF,'"&amp;MAX('ID1&amp;5'!K:K)+1&amp;"' AS ID_EXEC, CURRENT_TIMESTAMP() AS TIME_EXEC FROM "&amp;I528,
IF(C528="Not applicable",+"SELECT '"&amp;UPPER(B528)&amp;"' AS TABELA, '"&amp;UPPER(C528)&amp;"' AS TIPOLOGIA_TESTE,'"&amp;D528&amp;"' AS TABELA_LT,'N/A' AS TABELA_SIMUL,'"&amp;F528&amp;"' AS CAMPO, "&amp;"'${ref_date}' AS REF_DATE, COUNT(*) AS NUM_REG, SUM(IF(TRIM(CAST(X."&amp;F528&amp;" AS STRING)) IN ('N/A','11111111111','11111111111.00','11111111111.000000','1111-11-11'),1,0)) AS NUM_REG_DIF,'"&amp;MAX('ID1&amp;5'!K:K)+1&amp;"' AS ID_EXEC, CURRENT_TIMESTAMP() AS TIME_EXEC FROM "&amp;I528,
IF(C528="Valores extremos",+"SELECT '"&amp;UPPER(B528)&amp;"' AS TABELA, '"&amp;UPPER(C528)&amp;"' AS TIPOLOGIA_TESTE,'"&amp;D528&amp;"' AS TABELA_LT,'N/A' AS TABELA_SIMUL,'"&amp;F528&amp;"' AS CAMPO, "&amp;"'${ref_date}' AS REF_DATE, CAST(MIN("&amp;F528&amp;") AS STRING) AS VALOR_MIN, CAST(MAX("&amp;F528&amp;") AS STRING) AS VALOR_MAX,'"&amp;MAX('ID1&amp;5'!K:K)+1&amp;"' AS ID_EXEC, CURRENT_TIMESTAMP() AS TIME_EXEC FROM "&amp;MID(I528,1,LEN(I528)-2)&amp;" AND CAST("&amp;F528&amp;"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TABELA_SIMUL,'txnmy_elgbl_capex_w' AS CAMPO, '${ref_date}' AS REF_DATE, COUNT(*) AS NUM_REG, SUM(IF(COALESCE(CAST(X.txnmy_elgbl_capex_w AS STRING),'')&lt;&gt;COALESCE(CAST(Y.txnmy_elgbl_capex_w_SIMUL AS STRING),'') OR (X.txnmy_elgbl_capex_w IS NULL AND Y.txnmy_elgbl_capex_w_SIMUL IS NOT NULL ) OR (X.txnmy_elgbl_capex_w IS NOT NULL AND Y.txnmy_elgbl_capex_w_SIMUL IS NULL),1,0)) AS NUM_REG_DIF,'1' AS ID_EXEC, CURRENT_TIMESTAMP() AS TIME_EXEC FROM (SELECT entty_id, txnmy_elgbl_capex_w FROM BU_LOANTAPE_WORK.LT003_ENTITY WHERE ref_date='${ref_date}' AND nome_perimetro='Individual Local' AND segmento='ESTR' AND ambito='SRB_MBDT' AND entidade='00100')X INNER JOIN (SELECT entty_id AS entty_id_SIMUL, txnmy_elgbl_capex_w AS txnmy_elgbl_capex_w_SIMUL FROM BU_LOANTAPE_WORK.SIMUL_LT003_ENTITY WHERE ref_date='${ref_date}' AND nome_perimetro='Individual Local' AND segmento='ESTR' AND ambito='PILAR3' AND entidade='00100')Y ON X.ENTTY_ID=Y.ENTTY_ID_SIMUL</v>
      </c>
      <c r="M528" s="36" t="str">
        <f t="shared" si="11"/>
        <v>UNION ALL SELECT 'ENTITY' AS TABELA, 'COERÊNCIA' AS TIPOLOGIA_TESTE,'BU_LOANTAPE_WORK.LT003_ENTITY' AS TABELA_LT,'BU_LOANTAPE_WORK.SIMUL_LT003_ENTITY' AS TABELA_SIMUL,'txnmy_elgbl_capex_w' AS CAMPO, '${ref_date}' AS REF_DATE, COUNT(*) AS NUM_REG, SUM(IF(COALESCE(CAST(X.txnmy_elgbl_capex_w AS STRING),'')&lt;&gt;COALESCE(CAST(Y.txnmy_elgbl_capex_w_SIMUL AS STRING),'') OR (X.txnmy_elgbl_capex_w IS NULL AND Y.txnmy_elgbl_capex_w_SIMUL IS NOT NULL ) OR (X.txnmy_elgbl_capex_w IS NOT NULL AND Y.txnmy_elgbl_capex_w_SIMUL IS NULL),1,0)) AS NUM_REG_DIF,'1' AS ID_EXEC, CURRENT_TIMESTAMP() AS TIME_EXEC FROM (SELECT entty_id, txnmy_elgbl_capex_w FROM BU_LOANTAPE_WORK.LT003_ENTITY WHERE ref_date='${ref_date}' AND nome_perimetro='Individual Local' AND segmento='ESTR' AND ambito='SRB_MBDT' AND entidade='00100')X INNER JOIN (SELECT entty_id AS entty_id_SIMUL, txnmy_elgbl_capex_w AS txnmy_elgbl_capex_w_SIMUL FROM BU_LOANTAPE_WORK.SIMUL_LT003_ENTITY WHERE ref_date='${ref_date}' AND nome_perimetro='Individual Local' AND segmento='ESTR' AND ambito='PILAR3' AND entidade='00100')Y ON X.ENTTY_ID=Y.ENTTY_ID_SIMUL</v>
      </c>
    </row>
    <row r="529" spans="2:13">
      <c r="B529" s="34" t="s">
        <v>118</v>
      </c>
      <c r="C529" s="34" t="s">
        <v>5</v>
      </c>
      <c r="D529" s="34" t="str">
        <f>+UPPER('0. Instruções'!$D$35&amp;"."&amp;VLOOKUP(B529,'0. Instruções'!$C$27:$D$32,2,FALSE))</f>
        <v>BU_LOANTAPE_WORK.LT003_ENTITY</v>
      </c>
      <c r="E529" s="34" t="str">
        <f>+UPPER('0. Instruções'!$D$36&amp;"."&amp;VLOOKUP(B529,'0. Instruções'!$C$27:$E$32,3,FALSE))</f>
        <v>BU_LOANTAPE_WORK.SIMUL_LT003_ENTITY</v>
      </c>
      <c r="F529" s="34" t="s">
        <v>708</v>
      </c>
      <c r="G529" s="34"/>
      <c r="H529" s="34"/>
      <c r="I529" s="34" t="str">
        <f>"(SELECT "&amp;VLOOKUP(B529,'0. Instruções'!$C$27:$G$32,4,FALSE)&amp;", "&amp;F529&amp;" FROM "&amp;D529&amp;" WHERE "&amp;'0. Instruções'!$D$42&amp;")X"</f>
        <v>(SELECT entty_id, txnmy_elgbl_trnvr_w FROM BU_LOANTAPE_WORK.LT003_ENTITY WHERE ref_date='${ref_date}' AND nome_perimetro='Individual Local' AND segmento='ESTR' AND ambito='SRB_MBDT' AND entidade='00100')X</v>
      </c>
      <c r="J529" s="34" t="str">
        <f>"(SELECT "&amp;VLOOKUP(B529,'0. Instruções'!$C$27:$G$32,4,FALSE)&amp;" AS "&amp;VLOOKUP(B529,'0. Instruções'!$C$27:$G$32,4,FALSE)&amp;"_SIMUL, "&amp;F529&amp;" AS "&amp;F529&amp;"_SIMUL FROM "&amp;E529&amp;" WHERE "&amp;'0. Instruções'!$D$43&amp;")Y"</f>
        <v>(SELECT entty_id AS entty_id_SIMUL, txnmy_elgbl_trnvr_w AS txnmy_elgbl_trnvr_w_SIMUL FROM BU_LOANTAPE_WORK.SIMUL_LT003_ENTITY WHERE ref_date='${ref_date}' AND nome_perimetro='Individual Local' AND segmento='ESTR' AND ambito='PILAR3' AND entidade='00100')Y</v>
      </c>
      <c r="K529" s="35" t="str">
        <f>+UPPER("ON X."&amp;VLOOKUP(B529,'0. Instruções'!$C$27:$G$32,4,FALSE)&amp;"=Y."&amp;VLOOKUP(B529,'0. Instruções'!$C$27:$G$32,4,FALSE)&amp;"_SIMUL")</f>
        <v>ON X.ENTTY_ID=Y.ENTTY_ID_SIMUL</v>
      </c>
      <c r="L529" s="35" t="str">
        <f>+IF(C529="Coerência", +IF(LEFT(G529,5)="FLOAT","SELECT '"&amp;UPPER(B529)&amp;"' AS TABELA, '"&amp;UPPER(C529)&amp;"' AS TIPOLOGIA_TESTE,'"&amp;D529&amp;"' AS TABELA_LT,'"&amp;E529&amp;"' AS TABELA_SIMUL,'"&amp;F529&amp;"' AS CAMPO, "&amp;"'${ref_date}' AS REF_DATE, COUNT(*) AS NUM_REG, SUM(IF((ABS(COALESCE(CAST(X."&amp;F529&amp;" AS DECIMAL(18,6)),0)-COALESCE(CAST(Y."&amp;F529&amp;"_SIMUL AS DECIMAL(18,6)),0))&gt;0.000001) OR (X."&amp;F529&amp;" IS NULL AND Y."&amp;F529&amp;"_SIMUL IS NOT NULL ) OR (X."&amp;F529&amp;" IS NOT NULL AND Y."&amp;F529&amp;"_SIMUL IS NULL),1,0)) AS NUM_REG_DIF,'"&amp;MAX('ID1&amp;5'!K:K)+1&amp;"' AS ID_EXEC, CURRENT_TIMESTAMP() AS TIME_EXEC FROM "&amp;I529&amp;" INNER JOIN "&amp;J529&amp;" "&amp;K529,"SELECT '"&amp;UPPER(B529)&amp;"' AS TABELA, '"&amp;UPPER(C529)&amp;"' AS TIPOLOGIA_TESTE,'"&amp;D529&amp;"' AS TABELA_LT,'"&amp;E529&amp;"' AS TABELA_SIMUL,'"&amp;F529&amp;"' AS CAMPO, "&amp;"'${ref_date}' AS REF_DATE, COUNT(*) AS NUM_REG, SUM(IF(COALESCE(CAST(X."&amp;F529&amp;" AS STRING),'')&lt;&gt;COALESCE(CAST(Y."&amp;F529&amp;"_SIMUL AS STRING),'') OR (X."&amp;F529&amp;" IS NULL AND Y."&amp;F529&amp;"_SIMUL IS NOT NULL ) OR (X."&amp;F529&amp;" IS NOT NULL AND Y."&amp;F529&amp;"_SIMUL IS NULL),1,0)) AS NUM_REG_DIF,'"&amp;MAX('ID1&amp;5'!L:L)+1&amp;"' AS ID_EXEC, CURRENT_TIMESTAMP() AS TIME_EXEC FROM "&amp;I529&amp;" INNER JOIN "&amp;J529&amp;" "&amp;K529),
IF(C529="Validade",+IF(G529="Code List","SELECT '"&amp;UPPER(B529)&amp;"' AS TABELA, '"&amp;UPPER(C529)&amp;"' AS TIPOLOGIA_TESTE,'"&amp;D529&amp;"' AS TABELA_LT,'N/A' AS TABELA_SIMUL,'"&amp;F529&amp;"' AS CAMPO, "&amp;"'${ref_date}' AS REF_DATE, COUNT(*) AS NUM_REG, SUM(IF(TRIM(CAST(X."&amp;F529&amp;" AS STRING))='' OR TRIM(CAST(X."&amp;F529&amp;" AS STRING)) IS NULL OR CAST(X."&amp;F529&amp;" AS STRING) NOT "&amp;H529&amp;",1,0)) AS NUM_REG_DIF,'"&amp;MAX('ID1&amp;5'!K:K)+1&amp;"' AS ID_EXEC, CURRENT_TIMESTAMP() AS TIME_EXEC FROM "&amp;I529,"SELECT '"&amp;UPPER(B529)&amp;"' AS TABELA, '"&amp;UPPER(C529)&amp;"' AS TIPOLOGIA_TESTE,'"&amp;D529&amp;"' AS TABELA_LT,'N/A' AS TABELA_SIMUL,'"&amp;F529&amp;"' AS CAMPO, "&amp;"'${ref_date}' AS REF_DATE, COUNT(*) AS NUM_REG, SUM(IF(TRIM(CAST(X."&amp;F529&amp;" AS STRING))='' OR TRIM(CAST(X."&amp;F529&amp;" AS STRING)) IS NULL,1,0)) AS NUM_REG_DIF,'"&amp;MAX('ID1&amp;5'!K:K)+1&amp;"' AS ID_EXEC, CURRENT_TIMESTAMP() AS TIME_EXEC FROM "&amp;I529),
IF(C529="Caracteres Especiais",+"SELECT '"&amp;UPPER(B529)&amp;"' AS TABELA, '"&amp;UPPER(C529)&amp;"' AS TIPOLOGIA_TESTE,'"&amp;D529&amp;"' AS TABELA_LT,'N/A' AS TABELA_SIMUL,'"&amp;F529&amp;"' AS CAMPO, "&amp;"'${ref_date}' AS REF_DATE, COUNT(*) AS NUM_REG, SUM(IF(REGEXP_REPLACE(TRIM(CAST(X."&amp;F529&amp;" AS STRING)),'[^a-zA-Z0-9_\\s]','') &lt;&gt;TRIM(CAST(X."&amp;F529&amp;" AS STRING)),1,0)) AS NUM_REG_DIF,'"&amp;MAX('ID1&amp;5'!K:K)+1&amp;"' AS ID_EXEC, CURRENT_TIMESTAMP() AS TIME_EXEC FROM "&amp;I529,
IF(C529="Missings",+"SELECT '"&amp;UPPER(B529)&amp;"' AS TABELA, '"&amp;UPPER(C529)&amp;"' AS TIPOLOGIA_TESTE,'"&amp;D529&amp;"' AS TABELA_LT,'N/A' AS TABELA_SIMUL,'"&amp;F529&amp;"' AS CAMPO, "&amp;"'${ref_date}' AS REF_DATE, COUNT(*) AS NUM_REG, SUM(IF(TRIM(CAST(X."&amp;F529&amp;" AS STRING)) IN ('0000-00-00','0001-01-01','9999-12-31','MISS','00000','99999999999','99999999999.00','99999999999.000000'),1,0)) AS NUM_REG_DIF,'"&amp;MAX('ID1&amp;5'!K:K)+1&amp;"' AS ID_EXEC, CURRENT_TIMESTAMP() AS TIME_EXEC FROM "&amp;I529,
IF(C529="Not applicable",+"SELECT '"&amp;UPPER(B529)&amp;"' AS TABELA, '"&amp;UPPER(C529)&amp;"' AS TIPOLOGIA_TESTE,'"&amp;D529&amp;"' AS TABELA_LT,'N/A' AS TABELA_SIMUL,'"&amp;F529&amp;"' AS CAMPO, "&amp;"'${ref_date}' AS REF_DATE, COUNT(*) AS NUM_REG, SUM(IF(TRIM(CAST(X."&amp;F529&amp;" AS STRING)) IN ('N/A','11111111111','11111111111.00','11111111111.000000','1111-11-11'),1,0)) AS NUM_REG_DIF,'"&amp;MAX('ID1&amp;5'!K:K)+1&amp;"' AS ID_EXEC, CURRENT_TIMESTAMP() AS TIME_EXEC FROM "&amp;I529,
IF(C529="Valores extremos",+"SELECT '"&amp;UPPER(B529)&amp;"' AS TABELA, '"&amp;UPPER(C529)&amp;"' AS TIPOLOGIA_TESTE,'"&amp;D529&amp;"' AS TABELA_LT,'N/A' AS TABELA_SIMUL,'"&amp;F529&amp;"' AS CAMPO, "&amp;"'${ref_date}' AS REF_DATE, CAST(MIN("&amp;F529&amp;") AS STRING) AS VALOR_MIN, CAST(MAX("&amp;F529&amp;") AS STRING) AS VALOR_MAX,'"&amp;MAX('ID1&amp;5'!K:K)+1&amp;"' AS ID_EXEC, CURRENT_TIMESTAMP() AS TIME_EXEC FROM "&amp;MID(I529,1,LEN(I529)-2)&amp;" AND CAST("&amp;F529&amp;"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TABELA_SIMUL,'txnmy_elgbl_trnvr_w' AS CAMPO, '${ref_date}' AS REF_DATE, COUNT(*) AS NUM_REG, SUM(IF(COALESCE(CAST(X.txnmy_elgbl_trnvr_w AS STRING),'')&lt;&gt;COALESCE(CAST(Y.txnmy_elgbl_trnvr_w_SIMUL AS STRING),'') OR (X.txnmy_elgbl_trnvr_w IS NULL AND Y.txnmy_elgbl_trnvr_w_SIMUL IS NOT NULL ) OR (X.txnmy_elgbl_trnvr_w IS NOT NULL AND Y.txnmy_elgbl_trnvr_w_SIMUL IS NULL),1,0)) AS NUM_REG_DIF,'1' AS ID_EXEC, CURRENT_TIMESTAMP() AS TIME_EXEC FROM (SELECT entty_id, txnmy_elgbl_trnvr_w FROM BU_LOANTAPE_WORK.LT003_ENTITY WHERE ref_date='${ref_date}' AND nome_perimetro='Individual Local' AND segmento='ESTR' AND ambito='SRB_MBDT' AND entidade='00100')X INNER JOIN (SELECT entty_id AS entty_id_SIMUL, txnmy_elgbl_trnvr_w AS txnmy_elgbl_trnvr_w_SIMUL FROM BU_LOANTAPE_WORK.SIMUL_LT003_ENTITY WHERE ref_date='${ref_date}' AND nome_perimetro='Individual Local' AND segmento='ESTR' AND ambito='PILAR3' AND entidade='00100')Y ON X.ENTTY_ID=Y.ENTTY_ID_SIMUL</v>
      </c>
      <c r="M529" s="36" t="str">
        <f t="shared" si="11"/>
        <v>UNION ALL SELECT 'ENTITY' AS TABELA, 'COERÊNCIA' AS TIPOLOGIA_TESTE,'BU_LOANTAPE_WORK.LT003_ENTITY' AS TABELA_LT,'BU_LOANTAPE_WORK.SIMUL_LT003_ENTITY' AS TABELA_SIMUL,'txnmy_elgbl_trnvr_w' AS CAMPO, '${ref_date}' AS REF_DATE, COUNT(*) AS NUM_REG, SUM(IF(COALESCE(CAST(X.txnmy_elgbl_trnvr_w AS STRING),'')&lt;&gt;COALESCE(CAST(Y.txnmy_elgbl_trnvr_w_SIMUL AS STRING),'') OR (X.txnmy_elgbl_trnvr_w IS NULL AND Y.txnmy_elgbl_trnvr_w_SIMUL IS NOT NULL ) OR (X.txnmy_elgbl_trnvr_w IS NOT NULL AND Y.txnmy_elgbl_trnvr_w_SIMUL IS NULL),1,0)) AS NUM_REG_DIF,'1' AS ID_EXEC, CURRENT_TIMESTAMP() AS TIME_EXEC FROM (SELECT entty_id, txnmy_elgbl_trnvr_w FROM BU_LOANTAPE_WORK.LT003_ENTITY WHERE ref_date='${ref_date}' AND nome_perimetro='Individual Local' AND segmento='ESTR' AND ambito='SRB_MBDT' AND entidade='00100')X INNER JOIN (SELECT entty_id AS entty_id_SIMUL, txnmy_elgbl_trnvr_w AS txnmy_elgbl_trnvr_w_SIMUL FROM BU_LOANTAPE_WORK.SIMUL_LT003_ENTITY WHERE ref_date='${ref_date}' AND nome_perimetro='Individual Local' AND segmento='ESTR' AND ambito='PILAR3' AND entidade='00100')Y ON X.ENTTY_ID=Y.ENTTY_ID_SIMUL</v>
      </c>
    </row>
    <row r="530" spans="2:13">
      <c r="B530" s="34" t="s">
        <v>118</v>
      </c>
      <c r="C530" s="34" t="s">
        <v>5</v>
      </c>
      <c r="D530" s="34" t="str">
        <f>+UPPER('0. Instruções'!$D$35&amp;"."&amp;VLOOKUP(B530,'0. Instruções'!$C$27:$D$32,2,FALSE))</f>
        <v>BU_LOANTAPE_WORK.LT003_ENTITY</v>
      </c>
      <c r="E530" s="34" t="str">
        <f>+UPPER('0. Instruções'!$D$36&amp;"."&amp;VLOOKUP(B530,'0. Instruções'!$C$27:$E$32,3,FALSE))</f>
        <v>BU_LOANTAPE_WORK.SIMUL_LT003_ENTITY</v>
      </c>
      <c r="F530" s="34" t="s">
        <v>709</v>
      </c>
      <c r="G530" s="34"/>
      <c r="H530" s="34"/>
      <c r="I530" s="34" t="str">
        <f>"(SELECT "&amp;VLOOKUP(B530,'0. Instruções'!$C$27:$G$32,4,FALSE)&amp;", "&amp;F530&amp;" FROM "&amp;D530&amp;" WHERE "&amp;'0. Instruções'!$D$42&amp;")X"</f>
        <v>(SELECT entty_id, txnmy_elgbl_capex_p FROM BU_LOANTAPE_WORK.LT003_ENTITY WHERE ref_date='${ref_date}' AND nome_perimetro='Individual Local' AND segmento='ESTR' AND ambito='SRB_MBDT' AND entidade='00100')X</v>
      </c>
      <c r="J530" s="34" t="str">
        <f>"(SELECT "&amp;VLOOKUP(B530,'0. Instruções'!$C$27:$G$32,4,FALSE)&amp;" AS "&amp;VLOOKUP(B530,'0. Instruções'!$C$27:$G$32,4,FALSE)&amp;"_SIMUL, "&amp;F530&amp;" AS "&amp;F530&amp;"_SIMUL FROM "&amp;E530&amp;" WHERE "&amp;'0. Instruções'!$D$43&amp;")Y"</f>
        <v>(SELECT entty_id AS entty_id_SIMUL, txnmy_elgbl_capex_p AS txnmy_elgbl_capex_p_SIMUL FROM BU_LOANTAPE_WORK.SIMUL_LT003_ENTITY WHERE ref_date='${ref_date}' AND nome_perimetro='Individual Local' AND segmento='ESTR' AND ambito='PILAR3' AND entidade='00100')Y</v>
      </c>
      <c r="K530" s="35" t="str">
        <f>+UPPER("ON X."&amp;VLOOKUP(B530,'0. Instruções'!$C$27:$G$32,4,FALSE)&amp;"=Y."&amp;VLOOKUP(B530,'0. Instruções'!$C$27:$G$32,4,FALSE)&amp;"_SIMUL")</f>
        <v>ON X.ENTTY_ID=Y.ENTTY_ID_SIMUL</v>
      </c>
      <c r="L530" s="35" t="str">
        <f>+IF(C530="Coerência", +IF(LEFT(G530,5)="FLOAT","SELECT '"&amp;UPPER(B530)&amp;"' AS TABELA, '"&amp;UPPER(C530)&amp;"' AS TIPOLOGIA_TESTE,'"&amp;D530&amp;"' AS TABELA_LT,'"&amp;E530&amp;"' AS TABELA_SIMUL,'"&amp;F530&amp;"' AS CAMPO, "&amp;"'${ref_date}' AS REF_DATE, COUNT(*) AS NUM_REG, SUM(IF((ABS(COALESCE(CAST(X."&amp;F530&amp;" AS DECIMAL(18,6)),0)-COALESCE(CAST(Y."&amp;F530&amp;"_SIMUL AS DECIMAL(18,6)),0))&gt;0.000001) OR (X."&amp;F530&amp;" IS NULL AND Y."&amp;F530&amp;"_SIMUL IS NOT NULL ) OR (X."&amp;F530&amp;" IS NOT NULL AND Y."&amp;F530&amp;"_SIMUL IS NULL),1,0)) AS NUM_REG_DIF,'"&amp;MAX('ID1&amp;5'!K:K)+1&amp;"' AS ID_EXEC, CURRENT_TIMESTAMP() AS TIME_EXEC FROM "&amp;I530&amp;" INNER JOIN "&amp;J530&amp;" "&amp;K530,"SELECT '"&amp;UPPER(B530)&amp;"' AS TABELA, '"&amp;UPPER(C530)&amp;"' AS TIPOLOGIA_TESTE,'"&amp;D530&amp;"' AS TABELA_LT,'"&amp;E530&amp;"' AS TABELA_SIMUL,'"&amp;F530&amp;"' AS CAMPO, "&amp;"'${ref_date}' AS REF_DATE, COUNT(*) AS NUM_REG, SUM(IF(COALESCE(CAST(X."&amp;F530&amp;" AS STRING),'')&lt;&gt;COALESCE(CAST(Y."&amp;F530&amp;"_SIMUL AS STRING),'') OR (X."&amp;F530&amp;" IS NULL AND Y."&amp;F530&amp;"_SIMUL IS NOT NULL ) OR (X."&amp;F530&amp;" IS NOT NULL AND Y."&amp;F530&amp;"_SIMUL IS NULL),1,0)) AS NUM_REG_DIF,'"&amp;MAX('ID1&amp;5'!L:L)+1&amp;"' AS ID_EXEC, CURRENT_TIMESTAMP() AS TIME_EXEC FROM "&amp;I530&amp;" INNER JOIN "&amp;J530&amp;" "&amp;K530),
IF(C530="Validade",+IF(G530="Code List","SELECT '"&amp;UPPER(B530)&amp;"' AS TABELA, '"&amp;UPPER(C530)&amp;"' AS TIPOLOGIA_TESTE,'"&amp;D530&amp;"' AS TABELA_LT,'N/A' AS TABELA_SIMUL,'"&amp;F530&amp;"' AS CAMPO, "&amp;"'${ref_date}' AS REF_DATE, COUNT(*) AS NUM_REG, SUM(IF(TRIM(CAST(X."&amp;F530&amp;" AS STRING))='' OR TRIM(CAST(X."&amp;F530&amp;" AS STRING)) IS NULL OR CAST(X."&amp;F530&amp;" AS STRING) NOT "&amp;H530&amp;",1,0)) AS NUM_REG_DIF,'"&amp;MAX('ID1&amp;5'!K:K)+1&amp;"' AS ID_EXEC, CURRENT_TIMESTAMP() AS TIME_EXEC FROM "&amp;I530,"SELECT '"&amp;UPPER(B530)&amp;"' AS TABELA, '"&amp;UPPER(C530)&amp;"' AS TIPOLOGIA_TESTE,'"&amp;D530&amp;"' AS TABELA_LT,'N/A' AS TABELA_SIMUL,'"&amp;F530&amp;"' AS CAMPO, "&amp;"'${ref_date}' AS REF_DATE, COUNT(*) AS NUM_REG, SUM(IF(TRIM(CAST(X."&amp;F530&amp;" AS STRING))='' OR TRIM(CAST(X."&amp;F530&amp;" AS STRING)) IS NULL,1,0)) AS NUM_REG_DIF,'"&amp;MAX('ID1&amp;5'!K:K)+1&amp;"' AS ID_EXEC, CURRENT_TIMESTAMP() AS TIME_EXEC FROM "&amp;I530),
IF(C530="Caracteres Especiais",+"SELECT '"&amp;UPPER(B530)&amp;"' AS TABELA, '"&amp;UPPER(C530)&amp;"' AS TIPOLOGIA_TESTE,'"&amp;D530&amp;"' AS TABELA_LT,'N/A' AS TABELA_SIMUL,'"&amp;F530&amp;"' AS CAMPO, "&amp;"'${ref_date}' AS REF_DATE, COUNT(*) AS NUM_REG, SUM(IF(REGEXP_REPLACE(TRIM(CAST(X."&amp;F530&amp;" AS STRING)),'[^a-zA-Z0-9_\\s]','') &lt;&gt;TRIM(CAST(X."&amp;F530&amp;" AS STRING)),1,0)) AS NUM_REG_DIF,'"&amp;MAX('ID1&amp;5'!K:K)+1&amp;"' AS ID_EXEC, CURRENT_TIMESTAMP() AS TIME_EXEC FROM "&amp;I530,
IF(C530="Missings",+"SELECT '"&amp;UPPER(B530)&amp;"' AS TABELA, '"&amp;UPPER(C530)&amp;"' AS TIPOLOGIA_TESTE,'"&amp;D530&amp;"' AS TABELA_LT,'N/A' AS TABELA_SIMUL,'"&amp;F530&amp;"' AS CAMPO, "&amp;"'${ref_date}' AS REF_DATE, COUNT(*) AS NUM_REG, SUM(IF(TRIM(CAST(X."&amp;F530&amp;" AS STRING)) IN ('0000-00-00','0001-01-01','9999-12-31','MISS','00000','99999999999','99999999999.00','99999999999.000000'),1,0)) AS NUM_REG_DIF,'"&amp;MAX('ID1&amp;5'!K:K)+1&amp;"' AS ID_EXEC, CURRENT_TIMESTAMP() AS TIME_EXEC FROM "&amp;I530,
IF(C530="Not applicable",+"SELECT '"&amp;UPPER(B530)&amp;"' AS TABELA, '"&amp;UPPER(C530)&amp;"' AS TIPOLOGIA_TESTE,'"&amp;D530&amp;"' AS TABELA_LT,'N/A' AS TABELA_SIMUL,'"&amp;F530&amp;"' AS CAMPO, "&amp;"'${ref_date}' AS REF_DATE, COUNT(*) AS NUM_REG, SUM(IF(TRIM(CAST(X."&amp;F530&amp;" AS STRING)) IN ('N/A','11111111111','11111111111.00','11111111111.000000','1111-11-11'),1,0)) AS NUM_REG_DIF,'"&amp;MAX('ID1&amp;5'!K:K)+1&amp;"' AS ID_EXEC, CURRENT_TIMESTAMP() AS TIME_EXEC FROM "&amp;I530,
IF(C530="Valores extremos",+"SELECT '"&amp;UPPER(B530)&amp;"' AS TABELA, '"&amp;UPPER(C530)&amp;"' AS TIPOLOGIA_TESTE,'"&amp;D530&amp;"' AS TABELA_LT,'N/A' AS TABELA_SIMUL,'"&amp;F530&amp;"' AS CAMPO, "&amp;"'${ref_date}' AS REF_DATE, CAST(MIN("&amp;F530&amp;") AS STRING) AS VALOR_MIN, CAST(MAX("&amp;F530&amp;") AS STRING) AS VALOR_MAX,'"&amp;MAX('ID1&amp;5'!K:K)+1&amp;"' AS ID_EXEC, CURRENT_TIMESTAMP() AS TIME_EXEC FROM "&amp;MID(I530,1,LEN(I530)-2)&amp;" AND CAST("&amp;F530&amp;"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TABELA_SIMUL,'txnmy_elgbl_capex_p' AS CAMPO, '${ref_date}' AS REF_DATE, COUNT(*) AS NUM_REG, SUM(IF(COALESCE(CAST(X.txnmy_elgbl_capex_p AS STRING),'')&lt;&gt;COALESCE(CAST(Y.txnmy_elgbl_capex_p_SIMUL AS STRING),'') OR (X.txnmy_elgbl_capex_p IS NULL AND Y.txnmy_elgbl_capex_p_SIMUL IS NOT NULL ) OR (X.txnmy_elgbl_capex_p IS NOT NULL AND Y.txnmy_elgbl_capex_p_SIMUL IS NULL),1,0)) AS NUM_REG_DIF,'1' AS ID_EXEC, CURRENT_TIMESTAMP() AS TIME_EXEC FROM (SELECT entty_id, txnmy_elgbl_capex_p FROM BU_LOANTAPE_WORK.LT003_ENTITY WHERE ref_date='${ref_date}' AND nome_perimetro='Individual Local' AND segmento='ESTR' AND ambito='SRB_MBDT' AND entidade='00100')X INNER JOIN (SELECT entty_id AS entty_id_SIMUL, txnmy_elgbl_capex_p AS txnmy_elgbl_capex_p_SIMUL FROM BU_LOANTAPE_WORK.SIMUL_LT003_ENTITY WHERE ref_date='${ref_date}' AND nome_perimetro='Individual Local' AND segmento='ESTR' AND ambito='PILAR3' AND entidade='00100')Y ON X.ENTTY_ID=Y.ENTTY_ID_SIMUL</v>
      </c>
      <c r="M530" s="36" t="str">
        <f t="shared" si="11"/>
        <v>UNION ALL SELECT 'ENTITY' AS TABELA, 'COERÊNCIA' AS TIPOLOGIA_TESTE,'BU_LOANTAPE_WORK.LT003_ENTITY' AS TABELA_LT,'BU_LOANTAPE_WORK.SIMUL_LT003_ENTITY' AS TABELA_SIMUL,'txnmy_elgbl_capex_p' AS CAMPO, '${ref_date}' AS REF_DATE, COUNT(*) AS NUM_REG, SUM(IF(COALESCE(CAST(X.txnmy_elgbl_capex_p AS STRING),'')&lt;&gt;COALESCE(CAST(Y.txnmy_elgbl_capex_p_SIMUL AS STRING),'') OR (X.txnmy_elgbl_capex_p IS NULL AND Y.txnmy_elgbl_capex_p_SIMUL IS NOT NULL ) OR (X.txnmy_elgbl_capex_p IS NOT NULL AND Y.txnmy_elgbl_capex_p_SIMUL IS NULL),1,0)) AS NUM_REG_DIF,'1' AS ID_EXEC, CURRENT_TIMESTAMP() AS TIME_EXEC FROM (SELECT entty_id, txnmy_elgbl_capex_p FROM BU_LOANTAPE_WORK.LT003_ENTITY WHERE ref_date='${ref_date}' AND nome_perimetro='Individual Local' AND segmento='ESTR' AND ambito='SRB_MBDT' AND entidade='00100')X INNER JOIN (SELECT entty_id AS entty_id_SIMUL, txnmy_elgbl_capex_p AS txnmy_elgbl_capex_p_SIMUL FROM BU_LOANTAPE_WORK.SIMUL_LT003_ENTITY WHERE ref_date='${ref_date}' AND nome_perimetro='Individual Local' AND segmento='ESTR' AND ambito='PILAR3' AND entidade='00100')Y ON X.ENTTY_ID=Y.ENTTY_ID_SIMUL</v>
      </c>
    </row>
    <row r="531" spans="2:13">
      <c r="B531" s="34" t="s">
        <v>118</v>
      </c>
      <c r="C531" s="34" t="s">
        <v>5</v>
      </c>
      <c r="D531" s="34" t="str">
        <f>+UPPER('0. Instruções'!$D$35&amp;"."&amp;VLOOKUP(B531,'0. Instruções'!$C$27:$D$32,2,FALSE))</f>
        <v>BU_LOANTAPE_WORK.LT003_ENTITY</v>
      </c>
      <c r="E531" s="34" t="str">
        <f>+UPPER('0. Instruções'!$D$36&amp;"."&amp;VLOOKUP(B531,'0. Instruções'!$C$27:$E$32,3,FALSE))</f>
        <v>BU_LOANTAPE_WORK.SIMUL_LT003_ENTITY</v>
      </c>
      <c r="F531" s="34" t="s">
        <v>710</v>
      </c>
      <c r="G531" s="34"/>
      <c r="H531" s="34"/>
      <c r="I531" s="34" t="str">
        <f>"(SELECT "&amp;VLOOKUP(B531,'0. Instruções'!$C$27:$G$32,4,FALSE)&amp;", "&amp;F531&amp;" FROM "&amp;D531&amp;" WHERE "&amp;'0. Instruções'!$D$42&amp;")X"</f>
        <v>(SELECT entty_id, txnmy_elgbl_trnvr_p FROM BU_LOANTAPE_WORK.LT003_ENTITY WHERE ref_date='${ref_date}' AND nome_perimetro='Individual Local' AND segmento='ESTR' AND ambito='SRB_MBDT' AND entidade='00100')X</v>
      </c>
      <c r="J531" s="34" t="str">
        <f>"(SELECT "&amp;VLOOKUP(B531,'0. Instruções'!$C$27:$G$32,4,FALSE)&amp;" AS "&amp;VLOOKUP(B531,'0. Instruções'!$C$27:$G$32,4,FALSE)&amp;"_SIMUL, "&amp;F531&amp;" AS "&amp;F531&amp;"_SIMUL FROM "&amp;E531&amp;" WHERE "&amp;'0. Instruções'!$D$43&amp;")Y"</f>
        <v>(SELECT entty_id AS entty_id_SIMUL, txnmy_elgbl_trnvr_p AS txnmy_elgbl_trnvr_p_SIMUL FROM BU_LOANTAPE_WORK.SIMUL_LT003_ENTITY WHERE ref_date='${ref_date}' AND nome_perimetro='Individual Local' AND segmento='ESTR' AND ambito='PILAR3' AND entidade='00100')Y</v>
      </c>
      <c r="K531" s="35" t="str">
        <f>+UPPER("ON X."&amp;VLOOKUP(B531,'0. Instruções'!$C$27:$G$32,4,FALSE)&amp;"=Y."&amp;VLOOKUP(B531,'0. Instruções'!$C$27:$G$32,4,FALSE)&amp;"_SIMUL")</f>
        <v>ON X.ENTTY_ID=Y.ENTTY_ID_SIMUL</v>
      </c>
      <c r="L531" s="35" t="str">
        <f>+IF(C531="Coerência", +IF(LEFT(G531,5)="FLOAT","SELECT '"&amp;UPPER(B531)&amp;"' AS TABELA, '"&amp;UPPER(C531)&amp;"' AS TIPOLOGIA_TESTE,'"&amp;D531&amp;"' AS TABELA_LT,'"&amp;E531&amp;"' AS TABELA_SIMUL,'"&amp;F531&amp;"' AS CAMPO, "&amp;"'${ref_date}' AS REF_DATE, COUNT(*) AS NUM_REG, SUM(IF((ABS(COALESCE(CAST(X."&amp;F531&amp;" AS DECIMAL(18,6)),0)-COALESCE(CAST(Y."&amp;F531&amp;"_SIMUL AS DECIMAL(18,6)),0))&gt;0.000001) OR (X."&amp;F531&amp;" IS NULL AND Y."&amp;F531&amp;"_SIMUL IS NOT NULL ) OR (X."&amp;F531&amp;" IS NOT NULL AND Y."&amp;F531&amp;"_SIMUL IS NULL),1,0)) AS NUM_REG_DIF,'"&amp;MAX('ID1&amp;5'!K:K)+1&amp;"' AS ID_EXEC, CURRENT_TIMESTAMP() AS TIME_EXEC FROM "&amp;I531&amp;" INNER JOIN "&amp;J531&amp;" "&amp;K531,"SELECT '"&amp;UPPER(B531)&amp;"' AS TABELA, '"&amp;UPPER(C531)&amp;"' AS TIPOLOGIA_TESTE,'"&amp;D531&amp;"' AS TABELA_LT,'"&amp;E531&amp;"' AS TABELA_SIMUL,'"&amp;F531&amp;"' AS CAMPO, "&amp;"'${ref_date}' AS REF_DATE, COUNT(*) AS NUM_REG, SUM(IF(COALESCE(CAST(X."&amp;F531&amp;" AS STRING),'')&lt;&gt;COALESCE(CAST(Y."&amp;F531&amp;"_SIMUL AS STRING),'') OR (X."&amp;F531&amp;" IS NULL AND Y."&amp;F531&amp;"_SIMUL IS NOT NULL ) OR (X."&amp;F531&amp;" IS NOT NULL AND Y."&amp;F531&amp;"_SIMUL IS NULL),1,0)) AS NUM_REG_DIF,'"&amp;MAX('ID1&amp;5'!L:L)+1&amp;"' AS ID_EXEC, CURRENT_TIMESTAMP() AS TIME_EXEC FROM "&amp;I531&amp;" INNER JOIN "&amp;J531&amp;" "&amp;K531),
IF(C531="Validade",+IF(G531="Code List","SELECT '"&amp;UPPER(B531)&amp;"' AS TABELA, '"&amp;UPPER(C531)&amp;"' AS TIPOLOGIA_TESTE,'"&amp;D531&amp;"' AS TABELA_LT,'N/A' AS TABELA_SIMUL,'"&amp;F531&amp;"' AS CAMPO, "&amp;"'${ref_date}' AS REF_DATE, COUNT(*) AS NUM_REG, SUM(IF(TRIM(CAST(X."&amp;F531&amp;" AS STRING))='' OR TRIM(CAST(X."&amp;F531&amp;" AS STRING)) IS NULL OR CAST(X."&amp;F531&amp;" AS STRING) NOT "&amp;H531&amp;",1,0)) AS NUM_REG_DIF,'"&amp;MAX('ID1&amp;5'!K:K)+1&amp;"' AS ID_EXEC, CURRENT_TIMESTAMP() AS TIME_EXEC FROM "&amp;I531,"SELECT '"&amp;UPPER(B531)&amp;"' AS TABELA, '"&amp;UPPER(C531)&amp;"' AS TIPOLOGIA_TESTE,'"&amp;D531&amp;"' AS TABELA_LT,'N/A' AS TABELA_SIMUL,'"&amp;F531&amp;"' AS CAMPO, "&amp;"'${ref_date}' AS REF_DATE, COUNT(*) AS NUM_REG, SUM(IF(TRIM(CAST(X."&amp;F531&amp;" AS STRING))='' OR TRIM(CAST(X."&amp;F531&amp;" AS STRING)) IS NULL,1,0)) AS NUM_REG_DIF,'"&amp;MAX('ID1&amp;5'!K:K)+1&amp;"' AS ID_EXEC, CURRENT_TIMESTAMP() AS TIME_EXEC FROM "&amp;I531),
IF(C531="Caracteres Especiais",+"SELECT '"&amp;UPPER(B531)&amp;"' AS TABELA, '"&amp;UPPER(C531)&amp;"' AS TIPOLOGIA_TESTE,'"&amp;D531&amp;"' AS TABELA_LT,'N/A' AS TABELA_SIMUL,'"&amp;F531&amp;"' AS CAMPO, "&amp;"'${ref_date}' AS REF_DATE, COUNT(*) AS NUM_REG, SUM(IF(REGEXP_REPLACE(TRIM(CAST(X."&amp;F531&amp;" AS STRING)),'[^a-zA-Z0-9_\\s]','') &lt;&gt;TRIM(CAST(X."&amp;F531&amp;" AS STRING)),1,0)) AS NUM_REG_DIF,'"&amp;MAX('ID1&amp;5'!K:K)+1&amp;"' AS ID_EXEC, CURRENT_TIMESTAMP() AS TIME_EXEC FROM "&amp;I531,
IF(C531="Missings",+"SELECT '"&amp;UPPER(B531)&amp;"' AS TABELA, '"&amp;UPPER(C531)&amp;"' AS TIPOLOGIA_TESTE,'"&amp;D531&amp;"' AS TABELA_LT,'N/A' AS TABELA_SIMUL,'"&amp;F531&amp;"' AS CAMPO, "&amp;"'${ref_date}' AS REF_DATE, COUNT(*) AS NUM_REG, SUM(IF(TRIM(CAST(X."&amp;F531&amp;" AS STRING)) IN ('0000-00-00','0001-01-01','9999-12-31','MISS','00000','99999999999','99999999999.00','99999999999.000000'),1,0)) AS NUM_REG_DIF,'"&amp;MAX('ID1&amp;5'!K:K)+1&amp;"' AS ID_EXEC, CURRENT_TIMESTAMP() AS TIME_EXEC FROM "&amp;I531,
IF(C531="Not applicable",+"SELECT '"&amp;UPPER(B531)&amp;"' AS TABELA, '"&amp;UPPER(C531)&amp;"' AS TIPOLOGIA_TESTE,'"&amp;D531&amp;"' AS TABELA_LT,'N/A' AS TABELA_SIMUL,'"&amp;F531&amp;"' AS CAMPO, "&amp;"'${ref_date}' AS REF_DATE, COUNT(*) AS NUM_REG, SUM(IF(TRIM(CAST(X."&amp;F531&amp;" AS STRING)) IN ('N/A','11111111111','11111111111.00','11111111111.000000','1111-11-11'),1,0)) AS NUM_REG_DIF,'"&amp;MAX('ID1&amp;5'!K:K)+1&amp;"' AS ID_EXEC, CURRENT_TIMESTAMP() AS TIME_EXEC FROM "&amp;I531,
IF(C531="Valores extremos",+"SELECT '"&amp;UPPER(B531)&amp;"' AS TABELA, '"&amp;UPPER(C531)&amp;"' AS TIPOLOGIA_TESTE,'"&amp;D531&amp;"' AS TABELA_LT,'N/A' AS TABELA_SIMUL,'"&amp;F531&amp;"' AS CAMPO, "&amp;"'${ref_date}' AS REF_DATE, CAST(MIN("&amp;F531&amp;") AS STRING) AS VALOR_MIN, CAST(MAX("&amp;F531&amp;") AS STRING) AS VALOR_MAX,'"&amp;MAX('ID1&amp;5'!K:K)+1&amp;"' AS ID_EXEC, CURRENT_TIMESTAMP() AS TIME_EXEC FROM "&amp;MID(I531,1,LEN(I531)-2)&amp;" AND CAST("&amp;F531&amp;"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TABELA_SIMUL,'txnmy_elgbl_trnvr_p' AS CAMPO, '${ref_date}' AS REF_DATE, COUNT(*) AS NUM_REG, SUM(IF(COALESCE(CAST(X.txnmy_elgbl_trnvr_p AS STRING),'')&lt;&gt;COALESCE(CAST(Y.txnmy_elgbl_trnvr_p_SIMUL AS STRING),'') OR (X.txnmy_elgbl_trnvr_p IS NULL AND Y.txnmy_elgbl_trnvr_p_SIMUL IS NOT NULL ) OR (X.txnmy_elgbl_trnvr_p IS NOT NULL AND Y.txnmy_elgbl_trnvr_p_SIMUL IS NULL),1,0)) AS NUM_REG_DIF,'1' AS ID_EXEC, CURRENT_TIMESTAMP() AS TIME_EXEC FROM (SELECT entty_id, txnmy_elgbl_trnvr_p FROM BU_LOANTAPE_WORK.LT003_ENTITY WHERE ref_date='${ref_date}' AND nome_perimetro='Individual Local' AND segmento='ESTR' AND ambito='SRB_MBDT' AND entidade='00100')X INNER JOIN (SELECT entty_id AS entty_id_SIMUL, txnmy_elgbl_trnvr_p AS txnmy_elgbl_trnvr_p_SIMUL FROM BU_LOANTAPE_WORK.SIMUL_LT003_ENTITY WHERE ref_date='${ref_date}' AND nome_perimetro='Individual Local' AND segmento='ESTR' AND ambito='PILAR3' AND entidade='00100')Y ON X.ENTTY_ID=Y.ENTTY_ID_SIMUL</v>
      </c>
      <c r="M531" s="36" t="str">
        <f t="shared" si="11"/>
        <v>UNION ALL SELECT 'ENTITY' AS TABELA, 'COERÊNCIA' AS TIPOLOGIA_TESTE,'BU_LOANTAPE_WORK.LT003_ENTITY' AS TABELA_LT,'BU_LOANTAPE_WORK.SIMUL_LT003_ENTITY' AS TABELA_SIMUL,'txnmy_elgbl_trnvr_p' AS CAMPO, '${ref_date}' AS REF_DATE, COUNT(*) AS NUM_REG, SUM(IF(COALESCE(CAST(X.txnmy_elgbl_trnvr_p AS STRING),'')&lt;&gt;COALESCE(CAST(Y.txnmy_elgbl_trnvr_p_SIMUL AS STRING),'') OR (X.txnmy_elgbl_trnvr_p IS NULL AND Y.txnmy_elgbl_trnvr_p_SIMUL IS NOT NULL ) OR (X.txnmy_elgbl_trnvr_p IS NOT NULL AND Y.txnmy_elgbl_trnvr_p_SIMUL IS NULL),1,0)) AS NUM_REG_DIF,'1' AS ID_EXEC, CURRENT_TIMESTAMP() AS TIME_EXEC FROM (SELECT entty_id, txnmy_elgbl_trnvr_p FROM BU_LOANTAPE_WORK.LT003_ENTITY WHERE ref_date='${ref_date}' AND nome_perimetro='Individual Local' AND segmento='ESTR' AND ambito='SRB_MBDT' AND entidade='00100')X INNER JOIN (SELECT entty_id AS entty_id_SIMUL, txnmy_elgbl_trnvr_p AS txnmy_elgbl_trnvr_p_SIMUL FROM BU_LOANTAPE_WORK.SIMUL_LT003_ENTITY WHERE ref_date='${ref_date}' AND nome_perimetro='Individual Local' AND segmento='ESTR' AND ambito='PILAR3' AND entidade='00100')Y ON X.ENTTY_ID=Y.ENTTY_ID_SIMUL</v>
      </c>
    </row>
    <row r="532" spans="2:13">
      <c r="B532" s="34" t="s">
        <v>118</v>
      </c>
      <c r="C532" s="34" t="s">
        <v>5</v>
      </c>
      <c r="D532" s="34" t="str">
        <f>+UPPER('0. Instruções'!$D$35&amp;"."&amp;VLOOKUP(B532,'0. Instruções'!$C$27:$D$32,2,FALSE))</f>
        <v>BU_LOANTAPE_WORK.LT003_ENTITY</v>
      </c>
      <c r="E532" s="34" t="str">
        <f>+UPPER('0. Instruções'!$D$36&amp;"."&amp;VLOOKUP(B532,'0. Instruções'!$C$27:$E$32,3,FALSE))</f>
        <v>BU_LOANTAPE_WORK.SIMUL_LT003_ENTITY</v>
      </c>
      <c r="F532" s="34" t="s">
        <v>711</v>
      </c>
      <c r="G532" s="34"/>
      <c r="H532" s="34"/>
      <c r="I532" s="34" t="str">
        <f>"(SELECT "&amp;VLOOKUP(B532,'0. Instruções'!$C$27:$G$32,4,FALSE)&amp;", "&amp;F532&amp;" FROM "&amp;D532&amp;" WHERE "&amp;'0. Instruções'!$D$42&amp;")X"</f>
        <v>(SELECT entty_id, txnmy_elgbl_capex_b FROM BU_LOANTAPE_WORK.LT003_ENTITY WHERE ref_date='${ref_date}' AND nome_perimetro='Individual Local' AND segmento='ESTR' AND ambito='SRB_MBDT' AND entidade='00100')X</v>
      </c>
      <c r="J532" s="34" t="str">
        <f>"(SELECT "&amp;VLOOKUP(B532,'0. Instruções'!$C$27:$G$32,4,FALSE)&amp;" AS "&amp;VLOOKUP(B532,'0. Instruções'!$C$27:$G$32,4,FALSE)&amp;"_SIMUL, "&amp;F532&amp;" AS "&amp;F532&amp;"_SIMUL FROM "&amp;E532&amp;" WHERE "&amp;'0. Instruções'!$D$43&amp;")Y"</f>
        <v>(SELECT entty_id AS entty_id_SIMUL, txnmy_elgbl_capex_b AS txnmy_elgbl_capex_b_SIMUL FROM BU_LOANTAPE_WORK.SIMUL_LT003_ENTITY WHERE ref_date='${ref_date}' AND nome_perimetro='Individual Local' AND segmento='ESTR' AND ambito='PILAR3' AND entidade='00100')Y</v>
      </c>
      <c r="K532" s="35" t="str">
        <f>+UPPER("ON X."&amp;VLOOKUP(B532,'0. Instruções'!$C$27:$G$32,4,FALSE)&amp;"=Y."&amp;VLOOKUP(B532,'0. Instruções'!$C$27:$G$32,4,FALSE)&amp;"_SIMUL")</f>
        <v>ON X.ENTTY_ID=Y.ENTTY_ID_SIMUL</v>
      </c>
      <c r="L532" s="35" t="str">
        <f>+IF(C532="Coerência", +IF(LEFT(G532,5)="FLOAT","SELECT '"&amp;UPPER(B532)&amp;"' AS TABELA, '"&amp;UPPER(C532)&amp;"' AS TIPOLOGIA_TESTE,'"&amp;D532&amp;"' AS TABELA_LT,'"&amp;E532&amp;"' AS TABELA_SIMUL,'"&amp;F532&amp;"' AS CAMPO, "&amp;"'${ref_date}' AS REF_DATE, COUNT(*) AS NUM_REG, SUM(IF((ABS(COALESCE(CAST(X."&amp;F532&amp;" AS DECIMAL(18,6)),0)-COALESCE(CAST(Y."&amp;F532&amp;"_SIMUL AS DECIMAL(18,6)),0))&gt;0.000001) OR (X."&amp;F532&amp;" IS NULL AND Y."&amp;F532&amp;"_SIMUL IS NOT NULL ) OR (X."&amp;F532&amp;" IS NOT NULL AND Y."&amp;F532&amp;"_SIMUL IS NULL),1,0)) AS NUM_REG_DIF,'"&amp;MAX('ID1&amp;5'!K:K)+1&amp;"' AS ID_EXEC, CURRENT_TIMESTAMP() AS TIME_EXEC FROM "&amp;I532&amp;" INNER JOIN "&amp;J532&amp;" "&amp;K532,"SELECT '"&amp;UPPER(B532)&amp;"' AS TABELA, '"&amp;UPPER(C532)&amp;"' AS TIPOLOGIA_TESTE,'"&amp;D532&amp;"' AS TABELA_LT,'"&amp;E532&amp;"' AS TABELA_SIMUL,'"&amp;F532&amp;"' AS CAMPO, "&amp;"'${ref_date}' AS REF_DATE, COUNT(*) AS NUM_REG, SUM(IF(COALESCE(CAST(X."&amp;F532&amp;" AS STRING),'')&lt;&gt;COALESCE(CAST(Y."&amp;F532&amp;"_SIMUL AS STRING),'') OR (X."&amp;F532&amp;" IS NULL AND Y."&amp;F532&amp;"_SIMUL IS NOT NULL ) OR (X."&amp;F532&amp;" IS NOT NULL AND Y."&amp;F532&amp;"_SIMUL IS NULL),1,0)) AS NUM_REG_DIF,'"&amp;MAX('ID1&amp;5'!L:L)+1&amp;"' AS ID_EXEC, CURRENT_TIMESTAMP() AS TIME_EXEC FROM "&amp;I532&amp;" INNER JOIN "&amp;J532&amp;" "&amp;K532),
IF(C532="Validade",+IF(G532="Code List","SELECT '"&amp;UPPER(B532)&amp;"' AS TABELA, '"&amp;UPPER(C532)&amp;"' AS TIPOLOGIA_TESTE,'"&amp;D532&amp;"' AS TABELA_LT,'N/A' AS TABELA_SIMUL,'"&amp;F532&amp;"' AS CAMPO, "&amp;"'${ref_date}' AS REF_DATE, COUNT(*) AS NUM_REG, SUM(IF(TRIM(CAST(X."&amp;F532&amp;" AS STRING))='' OR TRIM(CAST(X."&amp;F532&amp;" AS STRING)) IS NULL OR CAST(X."&amp;F532&amp;" AS STRING) NOT "&amp;H532&amp;",1,0)) AS NUM_REG_DIF,'"&amp;MAX('ID1&amp;5'!K:K)+1&amp;"' AS ID_EXEC, CURRENT_TIMESTAMP() AS TIME_EXEC FROM "&amp;I532,"SELECT '"&amp;UPPER(B532)&amp;"' AS TABELA, '"&amp;UPPER(C532)&amp;"' AS TIPOLOGIA_TESTE,'"&amp;D532&amp;"' AS TABELA_LT,'N/A' AS TABELA_SIMUL,'"&amp;F532&amp;"' AS CAMPO, "&amp;"'${ref_date}' AS REF_DATE, COUNT(*) AS NUM_REG, SUM(IF(TRIM(CAST(X."&amp;F532&amp;" AS STRING))='' OR TRIM(CAST(X."&amp;F532&amp;" AS STRING)) IS NULL,1,0)) AS NUM_REG_DIF,'"&amp;MAX('ID1&amp;5'!K:K)+1&amp;"' AS ID_EXEC, CURRENT_TIMESTAMP() AS TIME_EXEC FROM "&amp;I532),
IF(C532="Caracteres Especiais",+"SELECT '"&amp;UPPER(B532)&amp;"' AS TABELA, '"&amp;UPPER(C532)&amp;"' AS TIPOLOGIA_TESTE,'"&amp;D532&amp;"' AS TABELA_LT,'N/A' AS TABELA_SIMUL,'"&amp;F532&amp;"' AS CAMPO, "&amp;"'${ref_date}' AS REF_DATE, COUNT(*) AS NUM_REG, SUM(IF(REGEXP_REPLACE(TRIM(CAST(X."&amp;F532&amp;" AS STRING)),'[^a-zA-Z0-9_\\s]','') &lt;&gt;TRIM(CAST(X."&amp;F532&amp;" AS STRING)),1,0)) AS NUM_REG_DIF,'"&amp;MAX('ID1&amp;5'!K:K)+1&amp;"' AS ID_EXEC, CURRENT_TIMESTAMP() AS TIME_EXEC FROM "&amp;I532,
IF(C532="Missings",+"SELECT '"&amp;UPPER(B532)&amp;"' AS TABELA, '"&amp;UPPER(C532)&amp;"' AS TIPOLOGIA_TESTE,'"&amp;D532&amp;"' AS TABELA_LT,'N/A' AS TABELA_SIMUL,'"&amp;F532&amp;"' AS CAMPO, "&amp;"'${ref_date}' AS REF_DATE, COUNT(*) AS NUM_REG, SUM(IF(TRIM(CAST(X."&amp;F532&amp;" AS STRING)) IN ('0000-00-00','0001-01-01','9999-12-31','MISS','00000','99999999999','99999999999.00','99999999999.000000'),1,0)) AS NUM_REG_DIF,'"&amp;MAX('ID1&amp;5'!K:K)+1&amp;"' AS ID_EXEC, CURRENT_TIMESTAMP() AS TIME_EXEC FROM "&amp;I532,
IF(C532="Not applicable",+"SELECT '"&amp;UPPER(B532)&amp;"' AS TABELA, '"&amp;UPPER(C532)&amp;"' AS TIPOLOGIA_TESTE,'"&amp;D532&amp;"' AS TABELA_LT,'N/A' AS TABELA_SIMUL,'"&amp;F532&amp;"' AS CAMPO, "&amp;"'${ref_date}' AS REF_DATE, COUNT(*) AS NUM_REG, SUM(IF(TRIM(CAST(X."&amp;F532&amp;" AS STRING)) IN ('N/A','11111111111','11111111111.00','11111111111.000000','1111-11-11'),1,0)) AS NUM_REG_DIF,'"&amp;MAX('ID1&amp;5'!K:K)+1&amp;"' AS ID_EXEC, CURRENT_TIMESTAMP() AS TIME_EXEC FROM "&amp;I532,
IF(C532="Valores extremos",+"SELECT '"&amp;UPPER(B532)&amp;"' AS TABELA, '"&amp;UPPER(C532)&amp;"' AS TIPOLOGIA_TESTE,'"&amp;D532&amp;"' AS TABELA_LT,'N/A' AS TABELA_SIMUL,'"&amp;F532&amp;"' AS CAMPO, "&amp;"'${ref_date}' AS REF_DATE, CAST(MIN("&amp;F532&amp;") AS STRING) AS VALOR_MIN, CAST(MAX("&amp;F532&amp;") AS STRING) AS VALOR_MAX,'"&amp;MAX('ID1&amp;5'!K:K)+1&amp;"' AS ID_EXEC, CURRENT_TIMESTAMP() AS TIME_EXEC FROM "&amp;MID(I532,1,LEN(I532)-2)&amp;" AND CAST("&amp;F532&amp;"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TABELA_SIMUL,'txnmy_elgbl_capex_b' AS CAMPO, '${ref_date}' AS REF_DATE, COUNT(*) AS NUM_REG, SUM(IF(COALESCE(CAST(X.txnmy_elgbl_capex_b AS STRING),'')&lt;&gt;COALESCE(CAST(Y.txnmy_elgbl_capex_b_SIMUL AS STRING),'') OR (X.txnmy_elgbl_capex_b IS NULL AND Y.txnmy_elgbl_capex_b_SIMUL IS NOT NULL ) OR (X.txnmy_elgbl_capex_b IS NOT NULL AND Y.txnmy_elgbl_capex_b_SIMUL IS NULL),1,0)) AS NUM_REG_DIF,'1' AS ID_EXEC, CURRENT_TIMESTAMP() AS TIME_EXEC FROM (SELECT entty_id, txnmy_elgbl_capex_b FROM BU_LOANTAPE_WORK.LT003_ENTITY WHERE ref_date='${ref_date}' AND nome_perimetro='Individual Local' AND segmento='ESTR' AND ambito='SRB_MBDT' AND entidade='00100')X INNER JOIN (SELECT entty_id AS entty_id_SIMUL, txnmy_elgbl_capex_b AS txnmy_elgbl_capex_b_SIMUL FROM BU_LOANTAPE_WORK.SIMUL_LT003_ENTITY WHERE ref_date='${ref_date}' AND nome_perimetro='Individual Local' AND segmento='ESTR' AND ambito='PILAR3' AND entidade='00100')Y ON X.ENTTY_ID=Y.ENTTY_ID_SIMUL</v>
      </c>
      <c r="M532" s="36" t="str">
        <f t="shared" si="11"/>
        <v>UNION ALL SELECT 'ENTITY' AS TABELA, 'COERÊNCIA' AS TIPOLOGIA_TESTE,'BU_LOANTAPE_WORK.LT003_ENTITY' AS TABELA_LT,'BU_LOANTAPE_WORK.SIMUL_LT003_ENTITY' AS TABELA_SIMUL,'txnmy_elgbl_capex_b' AS CAMPO, '${ref_date}' AS REF_DATE, COUNT(*) AS NUM_REG, SUM(IF(COALESCE(CAST(X.txnmy_elgbl_capex_b AS STRING),'')&lt;&gt;COALESCE(CAST(Y.txnmy_elgbl_capex_b_SIMUL AS STRING),'') OR (X.txnmy_elgbl_capex_b IS NULL AND Y.txnmy_elgbl_capex_b_SIMUL IS NOT NULL ) OR (X.txnmy_elgbl_capex_b IS NOT NULL AND Y.txnmy_elgbl_capex_b_SIMUL IS NULL),1,0)) AS NUM_REG_DIF,'1' AS ID_EXEC, CURRENT_TIMESTAMP() AS TIME_EXEC FROM (SELECT entty_id, txnmy_elgbl_capex_b FROM BU_LOANTAPE_WORK.LT003_ENTITY WHERE ref_date='${ref_date}' AND nome_perimetro='Individual Local' AND segmento='ESTR' AND ambito='SRB_MBDT' AND entidade='00100')X INNER JOIN (SELECT entty_id AS entty_id_SIMUL, txnmy_elgbl_capex_b AS txnmy_elgbl_capex_b_SIMUL FROM BU_LOANTAPE_WORK.SIMUL_LT003_ENTITY WHERE ref_date='${ref_date}' AND nome_perimetro='Individual Local' AND segmento='ESTR' AND ambito='PILAR3' AND entidade='00100')Y ON X.ENTTY_ID=Y.ENTTY_ID_SIMUL</v>
      </c>
    </row>
    <row r="533" spans="2:13">
      <c r="B533" s="34" t="s">
        <v>118</v>
      </c>
      <c r="C533" s="34" t="s">
        <v>5</v>
      </c>
      <c r="D533" s="34" t="str">
        <f>+UPPER('0. Instruções'!$D$35&amp;"."&amp;VLOOKUP(B533,'0. Instruções'!$C$27:$D$32,2,FALSE))</f>
        <v>BU_LOANTAPE_WORK.LT003_ENTITY</v>
      </c>
      <c r="E533" s="34" t="str">
        <f>+UPPER('0. Instruções'!$D$36&amp;"."&amp;VLOOKUP(B533,'0. Instruções'!$C$27:$E$32,3,FALSE))</f>
        <v>BU_LOANTAPE_WORK.SIMUL_LT003_ENTITY</v>
      </c>
      <c r="F533" s="34" t="s">
        <v>712</v>
      </c>
      <c r="G533" s="34"/>
      <c r="H533" s="34"/>
      <c r="I533" s="34" t="str">
        <f>"(SELECT "&amp;VLOOKUP(B533,'0. Instruções'!$C$27:$G$32,4,FALSE)&amp;", "&amp;F533&amp;" FROM "&amp;D533&amp;" WHERE "&amp;'0. Instruções'!$D$42&amp;")X"</f>
        <v>(SELECT entty_id, txnmy_elgbl_trnvr_b FROM BU_LOANTAPE_WORK.LT003_ENTITY WHERE ref_date='${ref_date}' AND nome_perimetro='Individual Local' AND segmento='ESTR' AND ambito='SRB_MBDT' AND entidade='00100')X</v>
      </c>
      <c r="J533" s="34" t="str">
        <f>"(SELECT "&amp;VLOOKUP(B533,'0. Instruções'!$C$27:$G$32,4,FALSE)&amp;" AS "&amp;VLOOKUP(B533,'0. Instruções'!$C$27:$G$32,4,FALSE)&amp;"_SIMUL, "&amp;F533&amp;" AS "&amp;F533&amp;"_SIMUL FROM "&amp;E533&amp;" WHERE "&amp;'0. Instruções'!$D$43&amp;")Y"</f>
        <v>(SELECT entty_id AS entty_id_SIMUL, txnmy_elgbl_trnvr_b AS txnmy_elgbl_trnvr_b_SIMUL FROM BU_LOANTAPE_WORK.SIMUL_LT003_ENTITY WHERE ref_date='${ref_date}' AND nome_perimetro='Individual Local' AND segmento='ESTR' AND ambito='PILAR3' AND entidade='00100')Y</v>
      </c>
      <c r="K533" s="35" t="str">
        <f>+UPPER("ON X."&amp;VLOOKUP(B533,'0. Instruções'!$C$27:$G$32,4,FALSE)&amp;"=Y."&amp;VLOOKUP(B533,'0. Instruções'!$C$27:$G$32,4,FALSE)&amp;"_SIMUL")</f>
        <v>ON X.ENTTY_ID=Y.ENTTY_ID_SIMUL</v>
      </c>
      <c r="L533" s="35" t="str">
        <f>+IF(C533="Coerência", +IF(LEFT(G533,5)="FLOAT","SELECT '"&amp;UPPER(B533)&amp;"' AS TABELA, '"&amp;UPPER(C533)&amp;"' AS TIPOLOGIA_TESTE,'"&amp;D533&amp;"' AS TABELA_LT,'"&amp;E533&amp;"' AS TABELA_SIMUL,'"&amp;F533&amp;"' AS CAMPO, "&amp;"'${ref_date}' AS REF_DATE, COUNT(*) AS NUM_REG, SUM(IF((ABS(COALESCE(CAST(X."&amp;F533&amp;" AS DECIMAL(18,6)),0)-COALESCE(CAST(Y."&amp;F533&amp;"_SIMUL AS DECIMAL(18,6)),0))&gt;0.000001) OR (X."&amp;F533&amp;" IS NULL AND Y."&amp;F533&amp;"_SIMUL IS NOT NULL ) OR (X."&amp;F533&amp;" IS NOT NULL AND Y."&amp;F533&amp;"_SIMUL IS NULL),1,0)) AS NUM_REG_DIF,'"&amp;MAX('ID1&amp;5'!K:K)+1&amp;"' AS ID_EXEC, CURRENT_TIMESTAMP() AS TIME_EXEC FROM "&amp;I533&amp;" INNER JOIN "&amp;J533&amp;" "&amp;K533,"SELECT '"&amp;UPPER(B533)&amp;"' AS TABELA, '"&amp;UPPER(C533)&amp;"' AS TIPOLOGIA_TESTE,'"&amp;D533&amp;"' AS TABELA_LT,'"&amp;E533&amp;"' AS TABELA_SIMUL,'"&amp;F533&amp;"' AS CAMPO, "&amp;"'${ref_date}' AS REF_DATE, COUNT(*) AS NUM_REG, SUM(IF(COALESCE(CAST(X."&amp;F533&amp;" AS STRING),'')&lt;&gt;COALESCE(CAST(Y."&amp;F533&amp;"_SIMUL AS STRING),'') OR (X."&amp;F533&amp;" IS NULL AND Y."&amp;F533&amp;"_SIMUL IS NOT NULL ) OR (X."&amp;F533&amp;" IS NOT NULL AND Y."&amp;F533&amp;"_SIMUL IS NULL),1,0)) AS NUM_REG_DIF,'"&amp;MAX('ID1&amp;5'!L:L)+1&amp;"' AS ID_EXEC, CURRENT_TIMESTAMP() AS TIME_EXEC FROM "&amp;I533&amp;" INNER JOIN "&amp;J533&amp;" "&amp;K533),
IF(C533="Validade",+IF(G533="Code List","SELECT '"&amp;UPPER(B533)&amp;"' AS TABELA, '"&amp;UPPER(C533)&amp;"' AS TIPOLOGIA_TESTE,'"&amp;D533&amp;"' AS TABELA_LT,'N/A' AS TABELA_SIMUL,'"&amp;F533&amp;"' AS CAMPO, "&amp;"'${ref_date}' AS REF_DATE, COUNT(*) AS NUM_REG, SUM(IF(TRIM(CAST(X."&amp;F533&amp;" AS STRING))='' OR TRIM(CAST(X."&amp;F533&amp;" AS STRING)) IS NULL OR CAST(X."&amp;F533&amp;" AS STRING) NOT "&amp;H533&amp;",1,0)) AS NUM_REG_DIF,'"&amp;MAX('ID1&amp;5'!K:K)+1&amp;"' AS ID_EXEC, CURRENT_TIMESTAMP() AS TIME_EXEC FROM "&amp;I533,"SELECT '"&amp;UPPER(B533)&amp;"' AS TABELA, '"&amp;UPPER(C533)&amp;"' AS TIPOLOGIA_TESTE,'"&amp;D533&amp;"' AS TABELA_LT,'N/A' AS TABELA_SIMUL,'"&amp;F533&amp;"' AS CAMPO, "&amp;"'${ref_date}' AS REF_DATE, COUNT(*) AS NUM_REG, SUM(IF(TRIM(CAST(X."&amp;F533&amp;" AS STRING))='' OR TRIM(CAST(X."&amp;F533&amp;" AS STRING)) IS NULL,1,0)) AS NUM_REG_DIF,'"&amp;MAX('ID1&amp;5'!K:K)+1&amp;"' AS ID_EXEC, CURRENT_TIMESTAMP() AS TIME_EXEC FROM "&amp;I533),
IF(C533="Caracteres Especiais",+"SELECT '"&amp;UPPER(B533)&amp;"' AS TABELA, '"&amp;UPPER(C533)&amp;"' AS TIPOLOGIA_TESTE,'"&amp;D533&amp;"' AS TABELA_LT,'N/A' AS TABELA_SIMUL,'"&amp;F533&amp;"' AS CAMPO, "&amp;"'${ref_date}' AS REF_DATE, COUNT(*) AS NUM_REG, SUM(IF(REGEXP_REPLACE(TRIM(CAST(X."&amp;F533&amp;" AS STRING)),'[^a-zA-Z0-9_\\s]','') &lt;&gt;TRIM(CAST(X."&amp;F533&amp;" AS STRING)),1,0)) AS NUM_REG_DIF,'"&amp;MAX('ID1&amp;5'!K:K)+1&amp;"' AS ID_EXEC, CURRENT_TIMESTAMP() AS TIME_EXEC FROM "&amp;I533,
IF(C533="Missings",+"SELECT '"&amp;UPPER(B533)&amp;"' AS TABELA, '"&amp;UPPER(C533)&amp;"' AS TIPOLOGIA_TESTE,'"&amp;D533&amp;"' AS TABELA_LT,'N/A' AS TABELA_SIMUL,'"&amp;F533&amp;"' AS CAMPO, "&amp;"'${ref_date}' AS REF_DATE, COUNT(*) AS NUM_REG, SUM(IF(TRIM(CAST(X."&amp;F533&amp;" AS STRING)) IN ('0000-00-00','0001-01-01','9999-12-31','MISS','00000','99999999999','99999999999.00','99999999999.000000'),1,0)) AS NUM_REG_DIF,'"&amp;MAX('ID1&amp;5'!K:K)+1&amp;"' AS ID_EXEC, CURRENT_TIMESTAMP() AS TIME_EXEC FROM "&amp;I533,
IF(C533="Not applicable",+"SELECT '"&amp;UPPER(B533)&amp;"' AS TABELA, '"&amp;UPPER(C533)&amp;"' AS TIPOLOGIA_TESTE,'"&amp;D533&amp;"' AS TABELA_LT,'N/A' AS TABELA_SIMUL,'"&amp;F533&amp;"' AS CAMPO, "&amp;"'${ref_date}' AS REF_DATE, COUNT(*) AS NUM_REG, SUM(IF(TRIM(CAST(X."&amp;F533&amp;" AS STRING)) IN ('N/A','11111111111','11111111111.00','11111111111.000000','1111-11-11'),1,0)) AS NUM_REG_DIF,'"&amp;MAX('ID1&amp;5'!K:K)+1&amp;"' AS ID_EXEC, CURRENT_TIMESTAMP() AS TIME_EXEC FROM "&amp;I533,
IF(C533="Valores extremos",+"SELECT '"&amp;UPPER(B533)&amp;"' AS TABELA, '"&amp;UPPER(C533)&amp;"' AS TIPOLOGIA_TESTE,'"&amp;D533&amp;"' AS TABELA_LT,'N/A' AS TABELA_SIMUL,'"&amp;F533&amp;"' AS CAMPO, "&amp;"'${ref_date}' AS REF_DATE, CAST(MIN("&amp;F533&amp;") AS STRING) AS VALOR_MIN, CAST(MAX("&amp;F533&amp;") AS STRING) AS VALOR_MAX,'"&amp;MAX('ID1&amp;5'!K:K)+1&amp;"' AS ID_EXEC, CURRENT_TIMESTAMP() AS TIME_EXEC FROM "&amp;MID(I533,1,LEN(I533)-2)&amp;" AND CAST("&amp;F533&amp;"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TABELA_SIMUL,'txnmy_elgbl_trnvr_b' AS CAMPO, '${ref_date}' AS REF_DATE, COUNT(*) AS NUM_REG, SUM(IF(COALESCE(CAST(X.txnmy_elgbl_trnvr_b AS STRING),'')&lt;&gt;COALESCE(CAST(Y.txnmy_elgbl_trnvr_b_SIMUL AS STRING),'') OR (X.txnmy_elgbl_trnvr_b IS NULL AND Y.txnmy_elgbl_trnvr_b_SIMUL IS NOT NULL ) OR (X.txnmy_elgbl_trnvr_b IS NOT NULL AND Y.txnmy_elgbl_trnvr_b_SIMUL IS NULL),1,0)) AS NUM_REG_DIF,'1' AS ID_EXEC, CURRENT_TIMESTAMP() AS TIME_EXEC FROM (SELECT entty_id, txnmy_elgbl_trnvr_b FROM BU_LOANTAPE_WORK.LT003_ENTITY WHERE ref_date='${ref_date}' AND nome_perimetro='Individual Local' AND segmento='ESTR' AND ambito='SRB_MBDT' AND entidade='00100')X INNER JOIN (SELECT entty_id AS entty_id_SIMUL, txnmy_elgbl_trnvr_b AS txnmy_elgbl_trnvr_b_SIMUL FROM BU_LOANTAPE_WORK.SIMUL_LT003_ENTITY WHERE ref_date='${ref_date}' AND nome_perimetro='Individual Local' AND segmento='ESTR' AND ambito='PILAR3' AND entidade='00100')Y ON X.ENTTY_ID=Y.ENTTY_ID_SIMUL</v>
      </c>
      <c r="M533" s="36" t="str">
        <f t="shared" si="11"/>
        <v>UNION ALL SELECT 'ENTITY' AS TABELA, 'COERÊNCIA' AS TIPOLOGIA_TESTE,'BU_LOANTAPE_WORK.LT003_ENTITY' AS TABELA_LT,'BU_LOANTAPE_WORK.SIMUL_LT003_ENTITY' AS TABELA_SIMUL,'txnmy_elgbl_trnvr_b' AS CAMPO, '${ref_date}' AS REF_DATE, COUNT(*) AS NUM_REG, SUM(IF(COALESCE(CAST(X.txnmy_elgbl_trnvr_b AS STRING),'')&lt;&gt;COALESCE(CAST(Y.txnmy_elgbl_trnvr_b_SIMUL AS STRING),'') OR (X.txnmy_elgbl_trnvr_b IS NULL AND Y.txnmy_elgbl_trnvr_b_SIMUL IS NOT NULL ) OR (X.txnmy_elgbl_trnvr_b IS NOT NULL AND Y.txnmy_elgbl_trnvr_b_SIMUL IS NULL),1,0)) AS NUM_REG_DIF,'1' AS ID_EXEC, CURRENT_TIMESTAMP() AS TIME_EXEC FROM (SELECT entty_id, txnmy_elgbl_trnvr_b FROM BU_LOANTAPE_WORK.LT003_ENTITY WHERE ref_date='${ref_date}' AND nome_perimetro='Individual Local' AND segmento='ESTR' AND ambito='SRB_MBDT' AND entidade='00100')X INNER JOIN (SELECT entty_id AS entty_id_SIMUL, txnmy_elgbl_trnvr_b AS txnmy_elgbl_trnvr_b_SIMUL FROM BU_LOANTAPE_WORK.SIMUL_LT003_ENTITY WHERE ref_date='${ref_date}' AND nome_perimetro='Individual Local' AND segmento='ESTR' AND ambito='PILAR3' AND entidade='00100')Y ON X.ENTTY_ID=Y.ENTTY_ID_SIMUL</v>
      </c>
    </row>
    <row r="534" spans="2:13">
      <c r="B534" s="34" t="s">
        <v>118</v>
      </c>
      <c r="C534" s="34" t="s">
        <v>5</v>
      </c>
      <c r="D534" s="34" t="str">
        <f>+UPPER('0. Instruções'!$D$35&amp;"."&amp;VLOOKUP(B534,'0. Instruções'!$C$27:$D$32,2,FALSE))</f>
        <v>BU_LOANTAPE_WORK.LT003_ENTITY</v>
      </c>
      <c r="E534" s="34" t="str">
        <f>+UPPER('0. Instruções'!$D$36&amp;"."&amp;VLOOKUP(B534,'0. Instruções'!$C$27:$E$32,3,FALSE))</f>
        <v>BU_LOANTAPE_WORK.SIMUL_LT003_ENTITY</v>
      </c>
      <c r="F534" s="34" t="s">
        <v>713</v>
      </c>
      <c r="G534" s="34"/>
      <c r="H534" s="34"/>
      <c r="I534" s="34" t="str">
        <f>"(SELECT "&amp;VLOOKUP(B534,'0. Instruções'!$C$27:$G$32,4,FALSE)&amp;", "&amp;F534&amp;" FROM "&amp;D534&amp;" WHERE "&amp;'0. Instruções'!$D$42&amp;")X"</f>
        <v>(SELECT entty_id, txnmy_elgbl_capex_ce FROM BU_LOANTAPE_WORK.LT003_ENTITY WHERE ref_date='${ref_date}' AND nome_perimetro='Individual Local' AND segmento='ESTR' AND ambito='SRB_MBDT' AND entidade='00100')X</v>
      </c>
      <c r="J534" s="34" t="str">
        <f>"(SELECT "&amp;VLOOKUP(B534,'0. Instruções'!$C$27:$G$32,4,FALSE)&amp;" AS "&amp;VLOOKUP(B534,'0. Instruções'!$C$27:$G$32,4,FALSE)&amp;"_SIMUL, "&amp;F534&amp;" AS "&amp;F534&amp;"_SIMUL FROM "&amp;E534&amp;" WHERE "&amp;'0. Instruções'!$D$43&amp;")Y"</f>
        <v>(SELECT entty_id AS entty_id_SIMUL, txnmy_elgbl_capex_ce AS txnmy_elgbl_capex_ce_SIMUL FROM BU_LOANTAPE_WORK.SIMUL_LT003_ENTITY WHERE ref_date='${ref_date}' AND nome_perimetro='Individual Local' AND segmento='ESTR' AND ambito='PILAR3' AND entidade='00100')Y</v>
      </c>
      <c r="K534" s="35" t="str">
        <f>+UPPER("ON X."&amp;VLOOKUP(B534,'0. Instruções'!$C$27:$G$32,4,FALSE)&amp;"=Y."&amp;VLOOKUP(B534,'0. Instruções'!$C$27:$G$32,4,FALSE)&amp;"_SIMUL")</f>
        <v>ON X.ENTTY_ID=Y.ENTTY_ID_SIMUL</v>
      </c>
      <c r="L534" s="35" t="str">
        <f>+IF(C534="Coerência", +IF(LEFT(G534,5)="FLOAT","SELECT '"&amp;UPPER(B534)&amp;"' AS TABELA, '"&amp;UPPER(C534)&amp;"' AS TIPOLOGIA_TESTE,'"&amp;D534&amp;"' AS TABELA_LT,'"&amp;E534&amp;"' AS TABELA_SIMUL,'"&amp;F534&amp;"' AS CAMPO, "&amp;"'${ref_date}' AS REF_DATE, COUNT(*) AS NUM_REG, SUM(IF((ABS(COALESCE(CAST(X."&amp;F534&amp;" AS DECIMAL(18,6)),0)-COALESCE(CAST(Y."&amp;F534&amp;"_SIMUL AS DECIMAL(18,6)),0))&gt;0.000001) OR (X."&amp;F534&amp;" IS NULL AND Y."&amp;F534&amp;"_SIMUL IS NOT NULL ) OR (X."&amp;F534&amp;" IS NOT NULL AND Y."&amp;F534&amp;"_SIMUL IS NULL),1,0)) AS NUM_REG_DIF,'"&amp;MAX('ID1&amp;5'!K:K)+1&amp;"' AS ID_EXEC, CURRENT_TIMESTAMP() AS TIME_EXEC FROM "&amp;I534&amp;" INNER JOIN "&amp;J534&amp;" "&amp;K534,"SELECT '"&amp;UPPER(B534)&amp;"' AS TABELA, '"&amp;UPPER(C534)&amp;"' AS TIPOLOGIA_TESTE,'"&amp;D534&amp;"' AS TABELA_LT,'"&amp;E534&amp;"' AS TABELA_SIMUL,'"&amp;F534&amp;"' AS CAMPO, "&amp;"'${ref_date}' AS REF_DATE, COUNT(*) AS NUM_REG, SUM(IF(COALESCE(CAST(X."&amp;F534&amp;" AS STRING),'')&lt;&gt;COALESCE(CAST(Y."&amp;F534&amp;"_SIMUL AS STRING),'') OR (X."&amp;F534&amp;" IS NULL AND Y."&amp;F534&amp;"_SIMUL IS NOT NULL ) OR (X."&amp;F534&amp;" IS NOT NULL AND Y."&amp;F534&amp;"_SIMUL IS NULL),1,0)) AS NUM_REG_DIF,'"&amp;MAX('ID1&amp;5'!L:L)+1&amp;"' AS ID_EXEC, CURRENT_TIMESTAMP() AS TIME_EXEC FROM "&amp;I534&amp;" INNER JOIN "&amp;J534&amp;" "&amp;K534),
IF(C534="Validade",+IF(G534="Code List","SELECT '"&amp;UPPER(B534)&amp;"' AS TABELA, '"&amp;UPPER(C534)&amp;"' AS TIPOLOGIA_TESTE,'"&amp;D534&amp;"' AS TABELA_LT,'N/A' AS TABELA_SIMUL,'"&amp;F534&amp;"' AS CAMPO, "&amp;"'${ref_date}' AS REF_DATE, COUNT(*) AS NUM_REG, SUM(IF(TRIM(CAST(X."&amp;F534&amp;" AS STRING))='' OR TRIM(CAST(X."&amp;F534&amp;" AS STRING)) IS NULL OR CAST(X."&amp;F534&amp;" AS STRING) NOT "&amp;H534&amp;",1,0)) AS NUM_REG_DIF,'"&amp;MAX('ID1&amp;5'!K:K)+1&amp;"' AS ID_EXEC, CURRENT_TIMESTAMP() AS TIME_EXEC FROM "&amp;I534,"SELECT '"&amp;UPPER(B534)&amp;"' AS TABELA, '"&amp;UPPER(C534)&amp;"' AS TIPOLOGIA_TESTE,'"&amp;D534&amp;"' AS TABELA_LT,'N/A' AS TABELA_SIMUL,'"&amp;F534&amp;"' AS CAMPO, "&amp;"'${ref_date}' AS REF_DATE, COUNT(*) AS NUM_REG, SUM(IF(TRIM(CAST(X."&amp;F534&amp;" AS STRING))='' OR TRIM(CAST(X."&amp;F534&amp;" AS STRING)) IS NULL,1,0)) AS NUM_REG_DIF,'"&amp;MAX('ID1&amp;5'!K:K)+1&amp;"' AS ID_EXEC, CURRENT_TIMESTAMP() AS TIME_EXEC FROM "&amp;I534),
IF(C534="Caracteres Especiais",+"SELECT '"&amp;UPPER(B534)&amp;"' AS TABELA, '"&amp;UPPER(C534)&amp;"' AS TIPOLOGIA_TESTE,'"&amp;D534&amp;"' AS TABELA_LT,'N/A' AS TABELA_SIMUL,'"&amp;F534&amp;"' AS CAMPO, "&amp;"'${ref_date}' AS REF_DATE, COUNT(*) AS NUM_REG, SUM(IF(REGEXP_REPLACE(TRIM(CAST(X."&amp;F534&amp;" AS STRING)),'[^a-zA-Z0-9_\\s]','') &lt;&gt;TRIM(CAST(X."&amp;F534&amp;" AS STRING)),1,0)) AS NUM_REG_DIF,'"&amp;MAX('ID1&amp;5'!K:K)+1&amp;"' AS ID_EXEC, CURRENT_TIMESTAMP() AS TIME_EXEC FROM "&amp;I534,
IF(C534="Missings",+"SELECT '"&amp;UPPER(B534)&amp;"' AS TABELA, '"&amp;UPPER(C534)&amp;"' AS TIPOLOGIA_TESTE,'"&amp;D534&amp;"' AS TABELA_LT,'N/A' AS TABELA_SIMUL,'"&amp;F534&amp;"' AS CAMPO, "&amp;"'${ref_date}' AS REF_DATE, COUNT(*) AS NUM_REG, SUM(IF(TRIM(CAST(X."&amp;F534&amp;" AS STRING)) IN ('0000-00-00','0001-01-01','9999-12-31','MISS','00000','99999999999','99999999999.00','99999999999.000000'),1,0)) AS NUM_REG_DIF,'"&amp;MAX('ID1&amp;5'!K:K)+1&amp;"' AS ID_EXEC, CURRENT_TIMESTAMP() AS TIME_EXEC FROM "&amp;I534,
IF(C534="Not applicable",+"SELECT '"&amp;UPPER(B534)&amp;"' AS TABELA, '"&amp;UPPER(C534)&amp;"' AS TIPOLOGIA_TESTE,'"&amp;D534&amp;"' AS TABELA_LT,'N/A' AS TABELA_SIMUL,'"&amp;F534&amp;"' AS CAMPO, "&amp;"'${ref_date}' AS REF_DATE, COUNT(*) AS NUM_REG, SUM(IF(TRIM(CAST(X."&amp;F534&amp;" AS STRING)) IN ('N/A','11111111111','11111111111.00','11111111111.000000','1111-11-11'),1,0)) AS NUM_REG_DIF,'"&amp;MAX('ID1&amp;5'!K:K)+1&amp;"' AS ID_EXEC, CURRENT_TIMESTAMP() AS TIME_EXEC FROM "&amp;I534,
IF(C534="Valores extremos",+"SELECT '"&amp;UPPER(B534)&amp;"' AS TABELA, '"&amp;UPPER(C534)&amp;"' AS TIPOLOGIA_TESTE,'"&amp;D534&amp;"' AS TABELA_LT,'N/A' AS TABELA_SIMUL,'"&amp;F534&amp;"' AS CAMPO, "&amp;"'${ref_date}' AS REF_DATE, CAST(MIN("&amp;F534&amp;") AS STRING) AS VALOR_MIN, CAST(MAX("&amp;F534&amp;") AS STRING) AS VALOR_MAX,'"&amp;MAX('ID1&amp;5'!K:K)+1&amp;"' AS ID_EXEC, CURRENT_TIMESTAMP() AS TIME_EXEC FROM "&amp;MID(I534,1,LEN(I534)-2)&amp;" AND CAST("&amp;F534&amp;"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TABELA_SIMUL,'txnmy_elgbl_capex_ce' AS CAMPO, '${ref_date}' AS REF_DATE, COUNT(*) AS NUM_REG, SUM(IF(COALESCE(CAST(X.txnmy_elgbl_capex_ce AS STRING),'')&lt;&gt;COALESCE(CAST(Y.txnmy_elgbl_capex_ce_SIMUL AS STRING),'') OR (X.txnmy_elgbl_capex_ce IS NULL AND Y.txnmy_elgbl_capex_ce_SIMUL IS NOT NULL ) OR (X.txnmy_elgbl_capex_ce IS NOT NULL AND Y.txnmy_elgbl_capex_ce_SIMUL IS NULL),1,0)) AS NUM_REG_DIF,'1' AS ID_EXEC, CURRENT_TIMESTAMP() AS TIME_EXEC FROM (SELECT entty_id, txnmy_elgbl_capex_ce FROM BU_LOANTAPE_WORK.LT003_ENTITY WHERE ref_date='${ref_date}' AND nome_perimetro='Individual Local' AND segmento='ESTR' AND ambito='SRB_MBDT' AND entidade='00100')X INNER JOIN (SELECT entty_id AS entty_id_SIMUL, txnmy_elgbl_capex_ce AS txnmy_elgbl_capex_ce_SIMUL FROM BU_LOANTAPE_WORK.SIMUL_LT003_ENTITY WHERE ref_date='${ref_date}' AND nome_perimetro='Individual Local' AND segmento='ESTR' AND ambito='PILAR3' AND entidade='00100')Y ON X.ENTTY_ID=Y.ENTTY_ID_SIMUL</v>
      </c>
      <c r="M534" s="36" t="str">
        <f t="shared" si="11"/>
        <v>UNION ALL SELECT 'ENTITY' AS TABELA, 'COERÊNCIA' AS TIPOLOGIA_TESTE,'BU_LOANTAPE_WORK.LT003_ENTITY' AS TABELA_LT,'BU_LOANTAPE_WORK.SIMUL_LT003_ENTITY' AS TABELA_SIMUL,'txnmy_elgbl_capex_ce' AS CAMPO, '${ref_date}' AS REF_DATE, COUNT(*) AS NUM_REG, SUM(IF(COALESCE(CAST(X.txnmy_elgbl_capex_ce AS STRING),'')&lt;&gt;COALESCE(CAST(Y.txnmy_elgbl_capex_ce_SIMUL AS STRING),'') OR (X.txnmy_elgbl_capex_ce IS NULL AND Y.txnmy_elgbl_capex_ce_SIMUL IS NOT NULL ) OR (X.txnmy_elgbl_capex_ce IS NOT NULL AND Y.txnmy_elgbl_capex_ce_SIMUL IS NULL),1,0)) AS NUM_REG_DIF,'1' AS ID_EXEC, CURRENT_TIMESTAMP() AS TIME_EXEC FROM (SELECT entty_id, txnmy_elgbl_capex_ce FROM BU_LOANTAPE_WORK.LT003_ENTITY WHERE ref_date='${ref_date}' AND nome_perimetro='Individual Local' AND segmento='ESTR' AND ambito='SRB_MBDT' AND entidade='00100')X INNER JOIN (SELECT entty_id AS entty_id_SIMUL, txnmy_elgbl_capex_ce AS txnmy_elgbl_capex_ce_SIMUL FROM BU_LOANTAPE_WORK.SIMUL_LT003_ENTITY WHERE ref_date='${ref_date}' AND nome_perimetro='Individual Local' AND segmento='ESTR' AND ambito='PILAR3' AND entidade='00100')Y ON X.ENTTY_ID=Y.ENTTY_ID_SIMUL</v>
      </c>
    </row>
    <row r="535" spans="2:13">
      <c r="B535" s="34" t="s">
        <v>118</v>
      </c>
      <c r="C535" s="34" t="s">
        <v>5</v>
      </c>
      <c r="D535" s="34" t="str">
        <f>+UPPER('0. Instruções'!$D$35&amp;"."&amp;VLOOKUP(B535,'0. Instruções'!$C$27:$D$32,2,FALSE))</f>
        <v>BU_LOANTAPE_WORK.LT003_ENTITY</v>
      </c>
      <c r="E535" s="34" t="str">
        <f>+UPPER('0. Instruções'!$D$36&amp;"."&amp;VLOOKUP(B535,'0. Instruções'!$C$27:$E$32,3,FALSE))</f>
        <v>BU_LOANTAPE_WORK.SIMUL_LT003_ENTITY</v>
      </c>
      <c r="F535" s="34" t="s">
        <v>714</v>
      </c>
      <c r="G535" s="34"/>
      <c r="H535" s="34"/>
      <c r="I535" s="34" t="str">
        <f>"(SELECT "&amp;VLOOKUP(B535,'0. Instruções'!$C$27:$G$32,4,FALSE)&amp;", "&amp;F535&amp;" FROM "&amp;D535&amp;" WHERE "&amp;'0. Instruções'!$D$42&amp;")X"</f>
        <v>(SELECT entty_id, txnmy_elgbl_trnvr_ce FROM BU_LOANTAPE_WORK.LT003_ENTITY WHERE ref_date='${ref_date}' AND nome_perimetro='Individual Local' AND segmento='ESTR' AND ambito='SRB_MBDT' AND entidade='00100')X</v>
      </c>
      <c r="J535" s="34" t="str">
        <f>"(SELECT "&amp;VLOOKUP(B535,'0. Instruções'!$C$27:$G$32,4,FALSE)&amp;" AS "&amp;VLOOKUP(B535,'0. Instruções'!$C$27:$G$32,4,FALSE)&amp;"_SIMUL, "&amp;F535&amp;" AS "&amp;F535&amp;"_SIMUL FROM "&amp;E535&amp;" WHERE "&amp;'0. Instruções'!$D$43&amp;")Y"</f>
        <v>(SELECT entty_id AS entty_id_SIMUL, txnmy_elgbl_trnvr_ce AS txnmy_elgbl_trnvr_ce_SIMUL FROM BU_LOANTAPE_WORK.SIMUL_LT003_ENTITY WHERE ref_date='${ref_date}' AND nome_perimetro='Individual Local' AND segmento='ESTR' AND ambito='PILAR3' AND entidade='00100')Y</v>
      </c>
      <c r="K535" s="35" t="str">
        <f>+UPPER("ON X."&amp;VLOOKUP(B535,'0. Instruções'!$C$27:$G$32,4,FALSE)&amp;"=Y."&amp;VLOOKUP(B535,'0. Instruções'!$C$27:$G$32,4,FALSE)&amp;"_SIMUL")</f>
        <v>ON X.ENTTY_ID=Y.ENTTY_ID_SIMUL</v>
      </c>
      <c r="L535" s="35" t="str">
        <f>+IF(C535="Coerência", +IF(LEFT(G535,5)="FLOAT","SELECT '"&amp;UPPER(B535)&amp;"' AS TABELA, '"&amp;UPPER(C535)&amp;"' AS TIPOLOGIA_TESTE,'"&amp;D535&amp;"' AS TABELA_LT,'"&amp;E535&amp;"' AS TABELA_SIMUL,'"&amp;F535&amp;"' AS CAMPO, "&amp;"'${ref_date}' AS REF_DATE, COUNT(*) AS NUM_REG, SUM(IF((ABS(COALESCE(CAST(X."&amp;F535&amp;" AS DECIMAL(18,6)),0)-COALESCE(CAST(Y."&amp;F535&amp;"_SIMUL AS DECIMAL(18,6)),0))&gt;0.000001) OR (X."&amp;F535&amp;" IS NULL AND Y."&amp;F535&amp;"_SIMUL IS NOT NULL ) OR (X."&amp;F535&amp;" IS NOT NULL AND Y."&amp;F535&amp;"_SIMUL IS NULL),1,0)) AS NUM_REG_DIF,'"&amp;MAX('ID1&amp;5'!K:K)+1&amp;"' AS ID_EXEC, CURRENT_TIMESTAMP() AS TIME_EXEC FROM "&amp;I535&amp;" INNER JOIN "&amp;J535&amp;" "&amp;K535,"SELECT '"&amp;UPPER(B535)&amp;"' AS TABELA, '"&amp;UPPER(C535)&amp;"' AS TIPOLOGIA_TESTE,'"&amp;D535&amp;"' AS TABELA_LT,'"&amp;E535&amp;"' AS TABELA_SIMUL,'"&amp;F535&amp;"' AS CAMPO, "&amp;"'${ref_date}' AS REF_DATE, COUNT(*) AS NUM_REG, SUM(IF(COALESCE(CAST(X."&amp;F535&amp;" AS STRING),'')&lt;&gt;COALESCE(CAST(Y."&amp;F535&amp;"_SIMUL AS STRING),'') OR (X."&amp;F535&amp;" IS NULL AND Y."&amp;F535&amp;"_SIMUL IS NOT NULL ) OR (X."&amp;F535&amp;" IS NOT NULL AND Y."&amp;F535&amp;"_SIMUL IS NULL),1,0)) AS NUM_REG_DIF,'"&amp;MAX('ID1&amp;5'!L:L)+1&amp;"' AS ID_EXEC, CURRENT_TIMESTAMP() AS TIME_EXEC FROM "&amp;I535&amp;" INNER JOIN "&amp;J535&amp;" "&amp;K535),
IF(C535="Validade",+IF(G535="Code List","SELECT '"&amp;UPPER(B535)&amp;"' AS TABELA, '"&amp;UPPER(C535)&amp;"' AS TIPOLOGIA_TESTE,'"&amp;D535&amp;"' AS TABELA_LT,'N/A' AS TABELA_SIMUL,'"&amp;F535&amp;"' AS CAMPO, "&amp;"'${ref_date}' AS REF_DATE, COUNT(*) AS NUM_REG, SUM(IF(TRIM(CAST(X."&amp;F535&amp;" AS STRING))='' OR TRIM(CAST(X."&amp;F535&amp;" AS STRING)) IS NULL OR CAST(X."&amp;F535&amp;" AS STRING) NOT "&amp;H535&amp;",1,0)) AS NUM_REG_DIF,'"&amp;MAX('ID1&amp;5'!K:K)+1&amp;"' AS ID_EXEC, CURRENT_TIMESTAMP() AS TIME_EXEC FROM "&amp;I535,"SELECT '"&amp;UPPER(B535)&amp;"' AS TABELA, '"&amp;UPPER(C535)&amp;"' AS TIPOLOGIA_TESTE,'"&amp;D535&amp;"' AS TABELA_LT,'N/A' AS TABELA_SIMUL,'"&amp;F535&amp;"' AS CAMPO, "&amp;"'${ref_date}' AS REF_DATE, COUNT(*) AS NUM_REG, SUM(IF(TRIM(CAST(X."&amp;F535&amp;" AS STRING))='' OR TRIM(CAST(X."&amp;F535&amp;" AS STRING)) IS NULL,1,0)) AS NUM_REG_DIF,'"&amp;MAX('ID1&amp;5'!K:K)+1&amp;"' AS ID_EXEC, CURRENT_TIMESTAMP() AS TIME_EXEC FROM "&amp;I535),
IF(C535="Caracteres Especiais",+"SELECT '"&amp;UPPER(B535)&amp;"' AS TABELA, '"&amp;UPPER(C535)&amp;"' AS TIPOLOGIA_TESTE,'"&amp;D535&amp;"' AS TABELA_LT,'N/A' AS TABELA_SIMUL,'"&amp;F535&amp;"' AS CAMPO, "&amp;"'${ref_date}' AS REF_DATE, COUNT(*) AS NUM_REG, SUM(IF(REGEXP_REPLACE(TRIM(CAST(X."&amp;F535&amp;" AS STRING)),'[^a-zA-Z0-9_\\s]','') &lt;&gt;TRIM(CAST(X."&amp;F535&amp;" AS STRING)),1,0)) AS NUM_REG_DIF,'"&amp;MAX('ID1&amp;5'!K:K)+1&amp;"' AS ID_EXEC, CURRENT_TIMESTAMP() AS TIME_EXEC FROM "&amp;I535,
IF(C535="Missings",+"SELECT '"&amp;UPPER(B535)&amp;"' AS TABELA, '"&amp;UPPER(C535)&amp;"' AS TIPOLOGIA_TESTE,'"&amp;D535&amp;"' AS TABELA_LT,'N/A' AS TABELA_SIMUL,'"&amp;F535&amp;"' AS CAMPO, "&amp;"'${ref_date}' AS REF_DATE, COUNT(*) AS NUM_REG, SUM(IF(TRIM(CAST(X."&amp;F535&amp;" AS STRING)) IN ('0000-00-00','0001-01-01','9999-12-31','MISS','00000','99999999999','99999999999.00','99999999999.000000'),1,0)) AS NUM_REG_DIF,'"&amp;MAX('ID1&amp;5'!K:K)+1&amp;"' AS ID_EXEC, CURRENT_TIMESTAMP() AS TIME_EXEC FROM "&amp;I535,
IF(C535="Not applicable",+"SELECT '"&amp;UPPER(B535)&amp;"' AS TABELA, '"&amp;UPPER(C535)&amp;"' AS TIPOLOGIA_TESTE,'"&amp;D535&amp;"' AS TABELA_LT,'N/A' AS TABELA_SIMUL,'"&amp;F535&amp;"' AS CAMPO, "&amp;"'${ref_date}' AS REF_DATE, COUNT(*) AS NUM_REG, SUM(IF(TRIM(CAST(X."&amp;F535&amp;" AS STRING)) IN ('N/A','11111111111','11111111111.00','11111111111.000000','1111-11-11'),1,0)) AS NUM_REG_DIF,'"&amp;MAX('ID1&amp;5'!K:K)+1&amp;"' AS ID_EXEC, CURRENT_TIMESTAMP() AS TIME_EXEC FROM "&amp;I535,
IF(C535="Valores extremos",+"SELECT '"&amp;UPPER(B535)&amp;"' AS TABELA, '"&amp;UPPER(C535)&amp;"' AS TIPOLOGIA_TESTE,'"&amp;D535&amp;"' AS TABELA_LT,'N/A' AS TABELA_SIMUL,'"&amp;F535&amp;"' AS CAMPO, "&amp;"'${ref_date}' AS REF_DATE, CAST(MIN("&amp;F535&amp;") AS STRING) AS VALOR_MIN, CAST(MAX("&amp;F535&amp;") AS STRING) AS VALOR_MAX,'"&amp;MAX('ID1&amp;5'!K:K)+1&amp;"' AS ID_EXEC, CURRENT_TIMESTAMP() AS TIME_EXEC FROM "&amp;MID(I535,1,LEN(I535)-2)&amp;" AND CAST("&amp;F535&amp;"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TABELA_SIMUL,'txnmy_elgbl_trnvr_ce' AS CAMPO, '${ref_date}' AS REF_DATE, COUNT(*) AS NUM_REG, SUM(IF(COALESCE(CAST(X.txnmy_elgbl_trnvr_ce AS STRING),'')&lt;&gt;COALESCE(CAST(Y.txnmy_elgbl_trnvr_ce_SIMUL AS STRING),'') OR (X.txnmy_elgbl_trnvr_ce IS NULL AND Y.txnmy_elgbl_trnvr_ce_SIMUL IS NOT NULL ) OR (X.txnmy_elgbl_trnvr_ce IS NOT NULL AND Y.txnmy_elgbl_trnvr_ce_SIMUL IS NULL),1,0)) AS NUM_REG_DIF,'1' AS ID_EXEC, CURRENT_TIMESTAMP() AS TIME_EXEC FROM (SELECT entty_id, txnmy_elgbl_trnvr_ce FROM BU_LOANTAPE_WORK.LT003_ENTITY WHERE ref_date='${ref_date}' AND nome_perimetro='Individual Local' AND segmento='ESTR' AND ambito='SRB_MBDT' AND entidade='00100')X INNER JOIN (SELECT entty_id AS entty_id_SIMUL, txnmy_elgbl_trnvr_ce AS txnmy_elgbl_trnvr_ce_SIMUL FROM BU_LOANTAPE_WORK.SIMUL_LT003_ENTITY WHERE ref_date='${ref_date}' AND nome_perimetro='Individual Local' AND segmento='ESTR' AND ambito='PILAR3' AND entidade='00100')Y ON X.ENTTY_ID=Y.ENTTY_ID_SIMUL</v>
      </c>
      <c r="M535" s="36" t="str">
        <f t="shared" si="11"/>
        <v>UNION ALL SELECT 'ENTITY' AS TABELA, 'COERÊNCIA' AS TIPOLOGIA_TESTE,'BU_LOANTAPE_WORK.LT003_ENTITY' AS TABELA_LT,'BU_LOANTAPE_WORK.SIMUL_LT003_ENTITY' AS TABELA_SIMUL,'txnmy_elgbl_trnvr_ce' AS CAMPO, '${ref_date}' AS REF_DATE, COUNT(*) AS NUM_REG, SUM(IF(COALESCE(CAST(X.txnmy_elgbl_trnvr_ce AS STRING),'')&lt;&gt;COALESCE(CAST(Y.txnmy_elgbl_trnvr_ce_SIMUL AS STRING),'') OR (X.txnmy_elgbl_trnvr_ce IS NULL AND Y.txnmy_elgbl_trnvr_ce_SIMUL IS NOT NULL ) OR (X.txnmy_elgbl_trnvr_ce IS NOT NULL AND Y.txnmy_elgbl_trnvr_ce_SIMUL IS NULL),1,0)) AS NUM_REG_DIF,'1' AS ID_EXEC, CURRENT_TIMESTAMP() AS TIME_EXEC FROM (SELECT entty_id, txnmy_elgbl_trnvr_ce FROM BU_LOANTAPE_WORK.LT003_ENTITY WHERE ref_date='${ref_date}' AND nome_perimetro='Individual Local' AND segmento='ESTR' AND ambito='SRB_MBDT' AND entidade='00100')X INNER JOIN (SELECT entty_id AS entty_id_SIMUL, txnmy_elgbl_trnvr_ce AS txnmy_elgbl_trnvr_ce_SIMUL FROM BU_LOANTAPE_WORK.SIMUL_LT003_ENTITY WHERE ref_date='${ref_date}' AND nome_perimetro='Individual Local' AND segmento='ESTR' AND ambito='PILAR3' AND entidade='00100')Y ON X.ENTTY_ID=Y.ENTTY_ID_SIMUL</v>
      </c>
    </row>
    <row r="536" spans="2:13">
      <c r="B536" s="34" t="s">
        <v>118</v>
      </c>
      <c r="C536" s="34" t="s">
        <v>5</v>
      </c>
      <c r="D536" s="34" t="str">
        <f>+UPPER('0. Instruções'!$D$35&amp;"."&amp;VLOOKUP(B536,'0. Instruções'!$C$27:$D$32,2,FALSE))</f>
        <v>BU_LOANTAPE_WORK.LT003_ENTITY</v>
      </c>
      <c r="E536" s="34" t="str">
        <f>+UPPER('0. Instruções'!$D$36&amp;"."&amp;VLOOKUP(B536,'0. Instruções'!$C$27:$E$32,3,FALSE))</f>
        <v>BU_LOANTAPE_WORK.SIMUL_LT003_ENTITY</v>
      </c>
      <c r="F536" s="34" t="s">
        <v>715</v>
      </c>
      <c r="G536" s="34"/>
      <c r="H536" s="34"/>
      <c r="I536" s="34" t="str">
        <f>"(SELECT "&amp;VLOOKUP(B536,'0. Instruções'!$C$27:$G$32,4,FALSE)&amp;", "&amp;F536&amp;" FROM "&amp;D536&amp;" WHERE "&amp;'0. Instruções'!$D$42&amp;")X"</f>
        <v>(SELECT entty_id, pure_capex_p FROM BU_LOANTAPE_WORK.LT003_ENTITY WHERE ref_date='${ref_date}' AND nome_perimetro='Individual Local' AND segmento='ESTR' AND ambito='SRB_MBDT' AND entidade='00100')X</v>
      </c>
      <c r="J536" s="34" t="str">
        <f>"(SELECT "&amp;VLOOKUP(B536,'0. Instruções'!$C$27:$G$32,4,FALSE)&amp;" AS "&amp;VLOOKUP(B536,'0. Instruções'!$C$27:$G$32,4,FALSE)&amp;"_SIMUL, "&amp;F536&amp;" AS "&amp;F536&amp;"_SIMUL FROM "&amp;E536&amp;" WHERE "&amp;'0. Instruções'!$D$43&amp;")Y"</f>
        <v>(SELECT entty_id AS entty_id_SIMUL, pure_capex_p AS pure_capex_p_SIMUL FROM BU_LOANTAPE_WORK.SIMUL_LT003_ENTITY WHERE ref_date='${ref_date}' AND nome_perimetro='Individual Local' AND segmento='ESTR' AND ambito='PILAR3' AND entidade='00100')Y</v>
      </c>
      <c r="K536" s="35" t="str">
        <f>+UPPER("ON X."&amp;VLOOKUP(B536,'0. Instruções'!$C$27:$G$32,4,FALSE)&amp;"=Y."&amp;VLOOKUP(B536,'0. Instruções'!$C$27:$G$32,4,FALSE)&amp;"_SIMUL")</f>
        <v>ON X.ENTTY_ID=Y.ENTTY_ID_SIMUL</v>
      </c>
      <c r="L536" s="35" t="str">
        <f>+IF(C536="Coerência", +IF(LEFT(G536,5)="FLOAT","SELECT '"&amp;UPPER(B536)&amp;"' AS TABELA, '"&amp;UPPER(C536)&amp;"' AS TIPOLOGIA_TESTE,'"&amp;D536&amp;"' AS TABELA_LT,'"&amp;E536&amp;"' AS TABELA_SIMUL,'"&amp;F536&amp;"' AS CAMPO, "&amp;"'${ref_date}' AS REF_DATE, COUNT(*) AS NUM_REG, SUM(IF((ABS(COALESCE(CAST(X."&amp;F536&amp;" AS DECIMAL(18,6)),0)-COALESCE(CAST(Y."&amp;F536&amp;"_SIMUL AS DECIMAL(18,6)),0))&gt;0.000001) OR (X."&amp;F536&amp;" IS NULL AND Y."&amp;F536&amp;"_SIMUL IS NOT NULL ) OR (X."&amp;F536&amp;" IS NOT NULL AND Y."&amp;F536&amp;"_SIMUL IS NULL),1,0)) AS NUM_REG_DIF,'"&amp;MAX('ID1&amp;5'!K:K)+1&amp;"' AS ID_EXEC, CURRENT_TIMESTAMP() AS TIME_EXEC FROM "&amp;I536&amp;" INNER JOIN "&amp;J536&amp;" "&amp;K536,"SELECT '"&amp;UPPER(B536)&amp;"' AS TABELA, '"&amp;UPPER(C536)&amp;"' AS TIPOLOGIA_TESTE,'"&amp;D536&amp;"' AS TABELA_LT,'"&amp;E536&amp;"' AS TABELA_SIMUL,'"&amp;F536&amp;"' AS CAMPO, "&amp;"'${ref_date}' AS REF_DATE, COUNT(*) AS NUM_REG, SUM(IF(COALESCE(CAST(X."&amp;F536&amp;" AS STRING),'')&lt;&gt;COALESCE(CAST(Y."&amp;F536&amp;"_SIMUL AS STRING),'') OR (X."&amp;F536&amp;" IS NULL AND Y."&amp;F536&amp;"_SIMUL IS NOT NULL ) OR (X."&amp;F536&amp;" IS NOT NULL AND Y."&amp;F536&amp;"_SIMUL IS NULL),1,0)) AS NUM_REG_DIF,'"&amp;MAX('ID1&amp;5'!L:L)+1&amp;"' AS ID_EXEC, CURRENT_TIMESTAMP() AS TIME_EXEC FROM "&amp;I536&amp;" INNER JOIN "&amp;J536&amp;" "&amp;K536),
IF(C536="Validade",+IF(G536="Code List","SELECT '"&amp;UPPER(B536)&amp;"' AS TABELA, '"&amp;UPPER(C536)&amp;"' AS TIPOLOGIA_TESTE,'"&amp;D536&amp;"' AS TABELA_LT,'N/A' AS TABELA_SIMUL,'"&amp;F536&amp;"' AS CAMPO, "&amp;"'${ref_date}' AS REF_DATE, COUNT(*) AS NUM_REG, SUM(IF(TRIM(CAST(X."&amp;F536&amp;" AS STRING))='' OR TRIM(CAST(X."&amp;F536&amp;" AS STRING)) IS NULL OR CAST(X."&amp;F536&amp;" AS STRING) NOT "&amp;H536&amp;",1,0)) AS NUM_REG_DIF,'"&amp;MAX('ID1&amp;5'!K:K)+1&amp;"' AS ID_EXEC, CURRENT_TIMESTAMP() AS TIME_EXEC FROM "&amp;I536,"SELECT '"&amp;UPPER(B536)&amp;"' AS TABELA, '"&amp;UPPER(C536)&amp;"' AS TIPOLOGIA_TESTE,'"&amp;D536&amp;"' AS TABELA_LT,'N/A' AS TABELA_SIMUL,'"&amp;F536&amp;"' AS CAMPO, "&amp;"'${ref_date}' AS REF_DATE, COUNT(*) AS NUM_REG, SUM(IF(TRIM(CAST(X."&amp;F536&amp;" AS STRING))='' OR TRIM(CAST(X."&amp;F536&amp;" AS STRING)) IS NULL,1,0)) AS NUM_REG_DIF,'"&amp;MAX('ID1&amp;5'!K:K)+1&amp;"' AS ID_EXEC, CURRENT_TIMESTAMP() AS TIME_EXEC FROM "&amp;I536),
IF(C536="Caracteres Especiais",+"SELECT '"&amp;UPPER(B536)&amp;"' AS TABELA, '"&amp;UPPER(C536)&amp;"' AS TIPOLOGIA_TESTE,'"&amp;D536&amp;"' AS TABELA_LT,'N/A' AS TABELA_SIMUL,'"&amp;F536&amp;"' AS CAMPO, "&amp;"'${ref_date}' AS REF_DATE, COUNT(*) AS NUM_REG, SUM(IF(REGEXP_REPLACE(TRIM(CAST(X."&amp;F536&amp;" AS STRING)),'[^a-zA-Z0-9_\\s]','') &lt;&gt;TRIM(CAST(X."&amp;F536&amp;" AS STRING)),1,0)) AS NUM_REG_DIF,'"&amp;MAX('ID1&amp;5'!K:K)+1&amp;"' AS ID_EXEC, CURRENT_TIMESTAMP() AS TIME_EXEC FROM "&amp;I536,
IF(C536="Missings",+"SELECT '"&amp;UPPER(B536)&amp;"' AS TABELA, '"&amp;UPPER(C536)&amp;"' AS TIPOLOGIA_TESTE,'"&amp;D536&amp;"' AS TABELA_LT,'N/A' AS TABELA_SIMUL,'"&amp;F536&amp;"' AS CAMPO, "&amp;"'${ref_date}' AS REF_DATE, COUNT(*) AS NUM_REG, SUM(IF(TRIM(CAST(X."&amp;F536&amp;" AS STRING)) IN ('0000-00-00','0001-01-01','9999-12-31','MISS','00000','99999999999','99999999999.00','99999999999.000000'),1,0)) AS NUM_REG_DIF,'"&amp;MAX('ID1&amp;5'!K:K)+1&amp;"' AS ID_EXEC, CURRENT_TIMESTAMP() AS TIME_EXEC FROM "&amp;I536,
IF(C536="Not applicable",+"SELECT '"&amp;UPPER(B536)&amp;"' AS TABELA, '"&amp;UPPER(C536)&amp;"' AS TIPOLOGIA_TESTE,'"&amp;D536&amp;"' AS TABELA_LT,'N/A' AS TABELA_SIMUL,'"&amp;F536&amp;"' AS CAMPO, "&amp;"'${ref_date}' AS REF_DATE, COUNT(*) AS NUM_REG, SUM(IF(TRIM(CAST(X."&amp;F536&amp;" AS STRING)) IN ('N/A','11111111111','11111111111.00','11111111111.000000','1111-11-11'),1,0)) AS NUM_REG_DIF,'"&amp;MAX('ID1&amp;5'!K:K)+1&amp;"' AS ID_EXEC, CURRENT_TIMESTAMP() AS TIME_EXEC FROM "&amp;I536,
IF(C536="Valores extremos",+"SELECT '"&amp;UPPER(B536)&amp;"' AS TABELA, '"&amp;UPPER(C536)&amp;"' AS TIPOLOGIA_TESTE,'"&amp;D536&amp;"' AS TABELA_LT,'N/A' AS TABELA_SIMUL,'"&amp;F536&amp;"' AS CAMPO, "&amp;"'${ref_date}' AS REF_DATE, CAST(MIN("&amp;F536&amp;") AS STRING) AS VALOR_MIN, CAST(MAX("&amp;F536&amp;") AS STRING) AS VALOR_MAX,'"&amp;MAX('ID1&amp;5'!K:K)+1&amp;"' AS ID_EXEC, CURRENT_TIMESTAMP() AS TIME_EXEC FROM "&amp;MID(I536,1,LEN(I536)-2)&amp;" AND CAST("&amp;F536&amp;"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TABELA_SIMUL,'pure_capex_p' AS CAMPO, '${ref_date}' AS REF_DATE, COUNT(*) AS NUM_REG, SUM(IF(COALESCE(CAST(X.pure_capex_p AS STRING),'')&lt;&gt;COALESCE(CAST(Y.pure_capex_p_SIMUL AS STRING),'') OR (X.pure_capex_p IS NULL AND Y.pure_capex_p_SIMUL IS NOT NULL ) OR (X.pure_capex_p IS NOT NULL AND Y.pure_capex_p_SIMUL IS NULL),1,0)) AS NUM_REG_DIF,'1' AS ID_EXEC, CURRENT_TIMESTAMP() AS TIME_EXEC FROM (SELECT entty_id, pure_capex_p FROM BU_LOANTAPE_WORK.LT003_ENTITY WHERE ref_date='${ref_date}' AND nome_perimetro='Individual Local' AND segmento='ESTR' AND ambito='SRB_MBDT' AND entidade='00100')X INNER JOIN (SELECT entty_id AS entty_id_SIMUL, pure_capex_p AS pure_capex_p_SIMUL FROM BU_LOANTAPE_WORK.SIMUL_LT003_ENTITY WHERE ref_date='${ref_date}' AND nome_perimetro='Individual Local' AND segmento='ESTR' AND ambito='PILAR3' AND entidade='00100')Y ON X.ENTTY_ID=Y.ENTTY_ID_SIMUL</v>
      </c>
      <c r="M536" s="36" t="str">
        <f t="shared" si="11"/>
        <v>UNION ALL SELECT 'ENTITY' AS TABELA, 'COERÊNCIA' AS TIPOLOGIA_TESTE,'BU_LOANTAPE_WORK.LT003_ENTITY' AS TABELA_LT,'BU_LOANTAPE_WORK.SIMUL_LT003_ENTITY' AS TABELA_SIMUL,'pure_capex_p' AS CAMPO, '${ref_date}' AS REF_DATE, COUNT(*) AS NUM_REG, SUM(IF(COALESCE(CAST(X.pure_capex_p AS STRING),'')&lt;&gt;COALESCE(CAST(Y.pure_capex_p_SIMUL AS STRING),'') OR (X.pure_capex_p IS NULL AND Y.pure_capex_p_SIMUL IS NOT NULL ) OR (X.pure_capex_p IS NOT NULL AND Y.pure_capex_p_SIMUL IS NULL),1,0)) AS NUM_REG_DIF,'1' AS ID_EXEC, CURRENT_TIMESTAMP() AS TIME_EXEC FROM (SELECT entty_id, pure_capex_p FROM BU_LOANTAPE_WORK.LT003_ENTITY WHERE ref_date='${ref_date}' AND nome_perimetro='Individual Local' AND segmento='ESTR' AND ambito='SRB_MBDT' AND entidade='00100')X INNER JOIN (SELECT entty_id AS entty_id_SIMUL, pure_capex_p AS pure_capex_p_SIMUL FROM BU_LOANTAPE_WORK.SIMUL_LT003_ENTITY WHERE ref_date='${ref_date}' AND nome_perimetro='Individual Local' AND segmento='ESTR' AND ambito='PILAR3' AND entidade='00100')Y ON X.ENTTY_ID=Y.ENTTY_ID_SIMUL</v>
      </c>
    </row>
    <row r="537" spans="2:13">
      <c r="B537" s="34" t="s">
        <v>118</v>
      </c>
      <c r="C537" s="34" t="s">
        <v>5</v>
      </c>
      <c r="D537" s="34" t="str">
        <f>+UPPER('0. Instruções'!$D$35&amp;"."&amp;VLOOKUP(B537,'0. Instruções'!$C$27:$D$32,2,FALSE))</f>
        <v>BU_LOANTAPE_WORK.LT003_ENTITY</v>
      </c>
      <c r="E537" s="34" t="str">
        <f>+UPPER('0. Instruções'!$D$36&amp;"."&amp;VLOOKUP(B537,'0. Instruções'!$C$27:$E$32,3,FALSE))</f>
        <v>BU_LOANTAPE_WORK.SIMUL_LT003_ENTITY</v>
      </c>
      <c r="F537" s="34" t="s">
        <v>716</v>
      </c>
      <c r="G537" s="34"/>
      <c r="H537" s="34"/>
      <c r="I537" s="34" t="str">
        <f>"(SELECT "&amp;VLOOKUP(B537,'0. Instruções'!$C$27:$G$32,4,FALSE)&amp;", "&amp;F537&amp;" FROM "&amp;D537&amp;" WHERE "&amp;'0. Instruções'!$D$42&amp;")X"</f>
        <v>(SELECT entty_id, pure_trnvr_p FROM BU_LOANTAPE_WORK.LT003_ENTITY WHERE ref_date='${ref_date}' AND nome_perimetro='Individual Local' AND segmento='ESTR' AND ambito='SRB_MBDT' AND entidade='00100')X</v>
      </c>
      <c r="J537" s="34" t="str">
        <f>"(SELECT "&amp;VLOOKUP(B537,'0. Instruções'!$C$27:$G$32,4,FALSE)&amp;" AS "&amp;VLOOKUP(B537,'0. Instruções'!$C$27:$G$32,4,FALSE)&amp;"_SIMUL, "&amp;F537&amp;" AS "&amp;F537&amp;"_SIMUL FROM "&amp;E537&amp;" WHERE "&amp;'0. Instruções'!$D$43&amp;")Y"</f>
        <v>(SELECT entty_id AS entty_id_SIMUL, pure_trnvr_p AS pure_trnvr_p_SIMUL FROM BU_LOANTAPE_WORK.SIMUL_LT003_ENTITY WHERE ref_date='${ref_date}' AND nome_perimetro='Individual Local' AND segmento='ESTR' AND ambito='PILAR3' AND entidade='00100')Y</v>
      </c>
      <c r="K537" s="35" t="str">
        <f>+UPPER("ON X."&amp;VLOOKUP(B537,'0. Instruções'!$C$27:$G$32,4,FALSE)&amp;"=Y."&amp;VLOOKUP(B537,'0. Instruções'!$C$27:$G$32,4,FALSE)&amp;"_SIMUL")</f>
        <v>ON X.ENTTY_ID=Y.ENTTY_ID_SIMUL</v>
      </c>
      <c r="L537" s="35" t="str">
        <f>+IF(C537="Coerência", +IF(LEFT(G537,5)="FLOAT","SELECT '"&amp;UPPER(B537)&amp;"' AS TABELA, '"&amp;UPPER(C537)&amp;"' AS TIPOLOGIA_TESTE,'"&amp;D537&amp;"' AS TABELA_LT,'"&amp;E537&amp;"' AS TABELA_SIMUL,'"&amp;F537&amp;"' AS CAMPO, "&amp;"'${ref_date}' AS REF_DATE, COUNT(*) AS NUM_REG, SUM(IF((ABS(COALESCE(CAST(X."&amp;F537&amp;" AS DECIMAL(18,6)),0)-COALESCE(CAST(Y."&amp;F537&amp;"_SIMUL AS DECIMAL(18,6)),0))&gt;0.000001) OR (X."&amp;F537&amp;" IS NULL AND Y."&amp;F537&amp;"_SIMUL IS NOT NULL ) OR (X."&amp;F537&amp;" IS NOT NULL AND Y."&amp;F537&amp;"_SIMUL IS NULL),1,0)) AS NUM_REG_DIF,'"&amp;MAX('ID1&amp;5'!K:K)+1&amp;"' AS ID_EXEC, CURRENT_TIMESTAMP() AS TIME_EXEC FROM "&amp;I537&amp;" INNER JOIN "&amp;J537&amp;" "&amp;K537,"SELECT '"&amp;UPPER(B537)&amp;"' AS TABELA, '"&amp;UPPER(C537)&amp;"' AS TIPOLOGIA_TESTE,'"&amp;D537&amp;"' AS TABELA_LT,'"&amp;E537&amp;"' AS TABELA_SIMUL,'"&amp;F537&amp;"' AS CAMPO, "&amp;"'${ref_date}' AS REF_DATE, COUNT(*) AS NUM_REG, SUM(IF(COALESCE(CAST(X."&amp;F537&amp;" AS STRING),'')&lt;&gt;COALESCE(CAST(Y."&amp;F537&amp;"_SIMUL AS STRING),'') OR (X."&amp;F537&amp;" IS NULL AND Y."&amp;F537&amp;"_SIMUL IS NOT NULL ) OR (X."&amp;F537&amp;" IS NOT NULL AND Y."&amp;F537&amp;"_SIMUL IS NULL),1,0)) AS NUM_REG_DIF,'"&amp;MAX('ID1&amp;5'!L:L)+1&amp;"' AS ID_EXEC, CURRENT_TIMESTAMP() AS TIME_EXEC FROM "&amp;I537&amp;" INNER JOIN "&amp;J537&amp;" "&amp;K537),
IF(C537="Validade",+IF(G537="Code List","SELECT '"&amp;UPPER(B537)&amp;"' AS TABELA, '"&amp;UPPER(C537)&amp;"' AS TIPOLOGIA_TESTE,'"&amp;D537&amp;"' AS TABELA_LT,'N/A' AS TABELA_SIMUL,'"&amp;F537&amp;"' AS CAMPO, "&amp;"'${ref_date}' AS REF_DATE, COUNT(*) AS NUM_REG, SUM(IF(TRIM(CAST(X."&amp;F537&amp;" AS STRING))='' OR TRIM(CAST(X."&amp;F537&amp;" AS STRING)) IS NULL OR CAST(X."&amp;F537&amp;" AS STRING) NOT "&amp;H537&amp;",1,0)) AS NUM_REG_DIF,'"&amp;MAX('ID1&amp;5'!K:K)+1&amp;"' AS ID_EXEC, CURRENT_TIMESTAMP() AS TIME_EXEC FROM "&amp;I537,"SELECT '"&amp;UPPER(B537)&amp;"' AS TABELA, '"&amp;UPPER(C537)&amp;"' AS TIPOLOGIA_TESTE,'"&amp;D537&amp;"' AS TABELA_LT,'N/A' AS TABELA_SIMUL,'"&amp;F537&amp;"' AS CAMPO, "&amp;"'${ref_date}' AS REF_DATE, COUNT(*) AS NUM_REG, SUM(IF(TRIM(CAST(X."&amp;F537&amp;" AS STRING))='' OR TRIM(CAST(X."&amp;F537&amp;" AS STRING)) IS NULL,1,0)) AS NUM_REG_DIF,'"&amp;MAX('ID1&amp;5'!K:K)+1&amp;"' AS ID_EXEC, CURRENT_TIMESTAMP() AS TIME_EXEC FROM "&amp;I537),
IF(C537="Caracteres Especiais",+"SELECT '"&amp;UPPER(B537)&amp;"' AS TABELA, '"&amp;UPPER(C537)&amp;"' AS TIPOLOGIA_TESTE,'"&amp;D537&amp;"' AS TABELA_LT,'N/A' AS TABELA_SIMUL,'"&amp;F537&amp;"' AS CAMPO, "&amp;"'${ref_date}' AS REF_DATE, COUNT(*) AS NUM_REG, SUM(IF(REGEXP_REPLACE(TRIM(CAST(X."&amp;F537&amp;" AS STRING)),'[^a-zA-Z0-9_\\s]','') &lt;&gt;TRIM(CAST(X."&amp;F537&amp;" AS STRING)),1,0)) AS NUM_REG_DIF,'"&amp;MAX('ID1&amp;5'!K:K)+1&amp;"' AS ID_EXEC, CURRENT_TIMESTAMP() AS TIME_EXEC FROM "&amp;I537,
IF(C537="Missings",+"SELECT '"&amp;UPPER(B537)&amp;"' AS TABELA, '"&amp;UPPER(C537)&amp;"' AS TIPOLOGIA_TESTE,'"&amp;D537&amp;"' AS TABELA_LT,'N/A' AS TABELA_SIMUL,'"&amp;F537&amp;"' AS CAMPO, "&amp;"'${ref_date}' AS REF_DATE, COUNT(*) AS NUM_REG, SUM(IF(TRIM(CAST(X."&amp;F537&amp;" AS STRING)) IN ('0000-00-00','0001-01-01','9999-12-31','MISS','00000','99999999999','99999999999.00','99999999999.000000'),1,0)) AS NUM_REG_DIF,'"&amp;MAX('ID1&amp;5'!K:K)+1&amp;"' AS ID_EXEC, CURRENT_TIMESTAMP() AS TIME_EXEC FROM "&amp;I537,
IF(C537="Not applicable",+"SELECT '"&amp;UPPER(B537)&amp;"' AS TABELA, '"&amp;UPPER(C537)&amp;"' AS TIPOLOGIA_TESTE,'"&amp;D537&amp;"' AS TABELA_LT,'N/A' AS TABELA_SIMUL,'"&amp;F537&amp;"' AS CAMPO, "&amp;"'${ref_date}' AS REF_DATE, COUNT(*) AS NUM_REG, SUM(IF(TRIM(CAST(X."&amp;F537&amp;" AS STRING)) IN ('N/A','11111111111','11111111111.00','11111111111.000000','1111-11-11'),1,0)) AS NUM_REG_DIF,'"&amp;MAX('ID1&amp;5'!K:K)+1&amp;"' AS ID_EXEC, CURRENT_TIMESTAMP() AS TIME_EXEC FROM "&amp;I537,
IF(C537="Valores extremos",+"SELECT '"&amp;UPPER(B537)&amp;"' AS TABELA, '"&amp;UPPER(C537)&amp;"' AS TIPOLOGIA_TESTE,'"&amp;D537&amp;"' AS TABELA_LT,'N/A' AS TABELA_SIMUL,'"&amp;F537&amp;"' AS CAMPO, "&amp;"'${ref_date}' AS REF_DATE, CAST(MIN("&amp;F537&amp;") AS STRING) AS VALOR_MIN, CAST(MAX("&amp;F537&amp;") AS STRING) AS VALOR_MAX,'"&amp;MAX('ID1&amp;5'!K:K)+1&amp;"' AS ID_EXEC, CURRENT_TIMESTAMP() AS TIME_EXEC FROM "&amp;MID(I537,1,LEN(I537)-2)&amp;" AND CAST("&amp;F537&amp;"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TABELA_SIMUL,'pure_trnvr_p' AS CAMPO, '${ref_date}' AS REF_DATE, COUNT(*) AS NUM_REG, SUM(IF(COALESCE(CAST(X.pure_trnvr_p AS STRING),'')&lt;&gt;COALESCE(CAST(Y.pure_trnvr_p_SIMUL AS STRING),'') OR (X.pure_trnvr_p IS NULL AND Y.pure_trnvr_p_SIMUL IS NOT NULL ) OR (X.pure_trnvr_p IS NOT NULL AND Y.pure_trnvr_p_SIMUL IS NULL),1,0)) AS NUM_REG_DIF,'1' AS ID_EXEC, CURRENT_TIMESTAMP() AS TIME_EXEC FROM (SELECT entty_id, pure_trnvr_p FROM BU_LOANTAPE_WORK.LT003_ENTITY WHERE ref_date='${ref_date}' AND nome_perimetro='Individual Local' AND segmento='ESTR' AND ambito='SRB_MBDT' AND entidade='00100')X INNER JOIN (SELECT entty_id AS entty_id_SIMUL, pure_trnvr_p AS pure_trnvr_p_SIMUL FROM BU_LOANTAPE_WORK.SIMUL_LT003_ENTITY WHERE ref_date='${ref_date}' AND nome_perimetro='Individual Local' AND segmento='ESTR' AND ambito='PILAR3' AND entidade='00100')Y ON X.ENTTY_ID=Y.ENTTY_ID_SIMUL</v>
      </c>
      <c r="M537" s="36" t="str">
        <f t="shared" si="11"/>
        <v>UNION ALL SELECT 'ENTITY' AS TABELA, 'COERÊNCIA' AS TIPOLOGIA_TESTE,'BU_LOANTAPE_WORK.LT003_ENTITY' AS TABELA_LT,'BU_LOANTAPE_WORK.SIMUL_LT003_ENTITY' AS TABELA_SIMUL,'pure_trnvr_p' AS CAMPO, '${ref_date}' AS REF_DATE, COUNT(*) AS NUM_REG, SUM(IF(COALESCE(CAST(X.pure_trnvr_p AS STRING),'')&lt;&gt;COALESCE(CAST(Y.pure_trnvr_p_SIMUL AS STRING),'') OR (X.pure_trnvr_p IS NULL AND Y.pure_trnvr_p_SIMUL IS NOT NULL ) OR (X.pure_trnvr_p IS NOT NULL AND Y.pure_trnvr_p_SIMUL IS NULL),1,0)) AS NUM_REG_DIF,'1' AS ID_EXEC, CURRENT_TIMESTAMP() AS TIME_EXEC FROM (SELECT entty_id, pure_trnvr_p FROM BU_LOANTAPE_WORK.LT003_ENTITY WHERE ref_date='${ref_date}' AND nome_perimetro='Individual Local' AND segmento='ESTR' AND ambito='SRB_MBDT' AND entidade='00100')X INNER JOIN (SELECT entty_id AS entty_id_SIMUL, pure_trnvr_p AS pure_trnvr_p_SIMUL FROM BU_LOANTAPE_WORK.SIMUL_LT003_ENTITY WHERE ref_date='${ref_date}' AND nome_perimetro='Individual Local' AND segmento='ESTR' AND ambito='PILAR3' AND entidade='00100')Y ON X.ENTTY_ID=Y.ENTTY_ID_SIMUL</v>
      </c>
    </row>
    <row r="538" spans="2:13">
      <c r="B538" s="34" t="s">
        <v>118</v>
      </c>
      <c r="C538" s="34" t="s">
        <v>5</v>
      </c>
      <c r="D538" s="34" t="str">
        <f>+UPPER('0. Instruções'!$D$35&amp;"."&amp;VLOOKUP(B538,'0. Instruções'!$C$27:$D$32,2,FALSE))</f>
        <v>BU_LOANTAPE_WORK.LT003_ENTITY</v>
      </c>
      <c r="E538" s="34" t="str">
        <f>+UPPER('0. Instruções'!$D$36&amp;"."&amp;VLOOKUP(B538,'0. Instruções'!$C$27:$E$32,3,FALSE))</f>
        <v>BU_LOANTAPE_WORK.SIMUL_LT003_ENTITY</v>
      </c>
      <c r="F538" s="34" t="s">
        <v>717</v>
      </c>
      <c r="G538" s="34"/>
      <c r="H538" s="34"/>
      <c r="I538" s="34" t="str">
        <f>"(SELECT "&amp;VLOOKUP(B538,'0. Instruções'!$C$27:$G$32,4,FALSE)&amp;", "&amp;F538&amp;" FROM "&amp;D538&amp;" WHERE "&amp;'0. Instruções'!$D$42&amp;")X"</f>
        <v>(SELECT entty_id, pure_capex_b FROM BU_LOANTAPE_WORK.LT003_ENTITY WHERE ref_date='${ref_date}' AND nome_perimetro='Individual Local' AND segmento='ESTR' AND ambito='SRB_MBDT' AND entidade='00100')X</v>
      </c>
      <c r="J538" s="34" t="str">
        <f>"(SELECT "&amp;VLOOKUP(B538,'0. Instruções'!$C$27:$G$32,4,FALSE)&amp;" AS "&amp;VLOOKUP(B538,'0. Instruções'!$C$27:$G$32,4,FALSE)&amp;"_SIMUL, "&amp;F538&amp;" AS "&amp;F538&amp;"_SIMUL FROM "&amp;E538&amp;" WHERE "&amp;'0. Instruções'!$D$43&amp;")Y"</f>
        <v>(SELECT entty_id AS entty_id_SIMUL, pure_capex_b AS pure_capex_b_SIMUL FROM BU_LOANTAPE_WORK.SIMUL_LT003_ENTITY WHERE ref_date='${ref_date}' AND nome_perimetro='Individual Local' AND segmento='ESTR' AND ambito='PILAR3' AND entidade='00100')Y</v>
      </c>
      <c r="K538" s="35" t="str">
        <f>+UPPER("ON X."&amp;VLOOKUP(B538,'0. Instruções'!$C$27:$G$32,4,FALSE)&amp;"=Y."&amp;VLOOKUP(B538,'0. Instruções'!$C$27:$G$32,4,FALSE)&amp;"_SIMUL")</f>
        <v>ON X.ENTTY_ID=Y.ENTTY_ID_SIMUL</v>
      </c>
      <c r="L538" s="35" t="str">
        <f>+IF(C538="Coerência", +IF(LEFT(G538,5)="FLOAT","SELECT '"&amp;UPPER(B538)&amp;"' AS TABELA, '"&amp;UPPER(C538)&amp;"' AS TIPOLOGIA_TESTE,'"&amp;D538&amp;"' AS TABELA_LT,'"&amp;E538&amp;"' AS TABELA_SIMUL,'"&amp;F538&amp;"' AS CAMPO, "&amp;"'${ref_date}' AS REF_DATE, COUNT(*) AS NUM_REG, SUM(IF((ABS(COALESCE(CAST(X."&amp;F538&amp;" AS DECIMAL(18,6)),0)-COALESCE(CAST(Y."&amp;F538&amp;"_SIMUL AS DECIMAL(18,6)),0))&gt;0.000001) OR (X."&amp;F538&amp;" IS NULL AND Y."&amp;F538&amp;"_SIMUL IS NOT NULL ) OR (X."&amp;F538&amp;" IS NOT NULL AND Y."&amp;F538&amp;"_SIMUL IS NULL),1,0)) AS NUM_REG_DIF,'"&amp;MAX('ID1&amp;5'!K:K)+1&amp;"' AS ID_EXEC, CURRENT_TIMESTAMP() AS TIME_EXEC FROM "&amp;I538&amp;" INNER JOIN "&amp;J538&amp;" "&amp;K538,"SELECT '"&amp;UPPER(B538)&amp;"' AS TABELA, '"&amp;UPPER(C538)&amp;"' AS TIPOLOGIA_TESTE,'"&amp;D538&amp;"' AS TABELA_LT,'"&amp;E538&amp;"' AS TABELA_SIMUL,'"&amp;F538&amp;"' AS CAMPO, "&amp;"'${ref_date}' AS REF_DATE, COUNT(*) AS NUM_REG, SUM(IF(COALESCE(CAST(X."&amp;F538&amp;" AS STRING),'')&lt;&gt;COALESCE(CAST(Y."&amp;F538&amp;"_SIMUL AS STRING),'') OR (X."&amp;F538&amp;" IS NULL AND Y."&amp;F538&amp;"_SIMUL IS NOT NULL ) OR (X."&amp;F538&amp;" IS NOT NULL AND Y."&amp;F538&amp;"_SIMUL IS NULL),1,0)) AS NUM_REG_DIF,'"&amp;MAX('ID1&amp;5'!L:L)+1&amp;"' AS ID_EXEC, CURRENT_TIMESTAMP() AS TIME_EXEC FROM "&amp;I538&amp;" INNER JOIN "&amp;J538&amp;" "&amp;K538),
IF(C538="Validade",+IF(G538="Code List","SELECT '"&amp;UPPER(B538)&amp;"' AS TABELA, '"&amp;UPPER(C538)&amp;"' AS TIPOLOGIA_TESTE,'"&amp;D538&amp;"' AS TABELA_LT,'N/A' AS TABELA_SIMUL,'"&amp;F538&amp;"' AS CAMPO, "&amp;"'${ref_date}' AS REF_DATE, COUNT(*) AS NUM_REG, SUM(IF(TRIM(CAST(X."&amp;F538&amp;" AS STRING))='' OR TRIM(CAST(X."&amp;F538&amp;" AS STRING)) IS NULL OR CAST(X."&amp;F538&amp;" AS STRING) NOT "&amp;H538&amp;",1,0)) AS NUM_REG_DIF,'"&amp;MAX('ID1&amp;5'!K:K)+1&amp;"' AS ID_EXEC, CURRENT_TIMESTAMP() AS TIME_EXEC FROM "&amp;I538,"SELECT '"&amp;UPPER(B538)&amp;"' AS TABELA, '"&amp;UPPER(C538)&amp;"' AS TIPOLOGIA_TESTE,'"&amp;D538&amp;"' AS TABELA_LT,'N/A' AS TABELA_SIMUL,'"&amp;F538&amp;"' AS CAMPO, "&amp;"'${ref_date}' AS REF_DATE, COUNT(*) AS NUM_REG, SUM(IF(TRIM(CAST(X."&amp;F538&amp;" AS STRING))='' OR TRIM(CAST(X."&amp;F538&amp;" AS STRING)) IS NULL,1,0)) AS NUM_REG_DIF,'"&amp;MAX('ID1&amp;5'!K:K)+1&amp;"' AS ID_EXEC, CURRENT_TIMESTAMP() AS TIME_EXEC FROM "&amp;I538),
IF(C538="Caracteres Especiais",+"SELECT '"&amp;UPPER(B538)&amp;"' AS TABELA, '"&amp;UPPER(C538)&amp;"' AS TIPOLOGIA_TESTE,'"&amp;D538&amp;"' AS TABELA_LT,'N/A' AS TABELA_SIMUL,'"&amp;F538&amp;"' AS CAMPO, "&amp;"'${ref_date}' AS REF_DATE, COUNT(*) AS NUM_REG, SUM(IF(REGEXP_REPLACE(TRIM(CAST(X."&amp;F538&amp;" AS STRING)),'[^a-zA-Z0-9_\\s]','') &lt;&gt;TRIM(CAST(X."&amp;F538&amp;" AS STRING)),1,0)) AS NUM_REG_DIF,'"&amp;MAX('ID1&amp;5'!K:K)+1&amp;"' AS ID_EXEC, CURRENT_TIMESTAMP() AS TIME_EXEC FROM "&amp;I538,
IF(C538="Missings",+"SELECT '"&amp;UPPER(B538)&amp;"' AS TABELA, '"&amp;UPPER(C538)&amp;"' AS TIPOLOGIA_TESTE,'"&amp;D538&amp;"' AS TABELA_LT,'N/A' AS TABELA_SIMUL,'"&amp;F538&amp;"' AS CAMPO, "&amp;"'${ref_date}' AS REF_DATE, COUNT(*) AS NUM_REG, SUM(IF(TRIM(CAST(X."&amp;F538&amp;" AS STRING)) IN ('0000-00-00','0001-01-01','9999-12-31','MISS','00000','99999999999','99999999999.00','99999999999.000000'),1,0)) AS NUM_REG_DIF,'"&amp;MAX('ID1&amp;5'!K:K)+1&amp;"' AS ID_EXEC, CURRENT_TIMESTAMP() AS TIME_EXEC FROM "&amp;I538,
IF(C538="Not applicable",+"SELECT '"&amp;UPPER(B538)&amp;"' AS TABELA, '"&amp;UPPER(C538)&amp;"' AS TIPOLOGIA_TESTE,'"&amp;D538&amp;"' AS TABELA_LT,'N/A' AS TABELA_SIMUL,'"&amp;F538&amp;"' AS CAMPO, "&amp;"'${ref_date}' AS REF_DATE, COUNT(*) AS NUM_REG, SUM(IF(TRIM(CAST(X."&amp;F538&amp;" AS STRING)) IN ('N/A','11111111111','11111111111.00','11111111111.000000','1111-11-11'),1,0)) AS NUM_REG_DIF,'"&amp;MAX('ID1&amp;5'!K:K)+1&amp;"' AS ID_EXEC, CURRENT_TIMESTAMP() AS TIME_EXEC FROM "&amp;I538,
IF(C538="Valores extremos",+"SELECT '"&amp;UPPER(B538)&amp;"' AS TABELA, '"&amp;UPPER(C538)&amp;"' AS TIPOLOGIA_TESTE,'"&amp;D538&amp;"' AS TABELA_LT,'N/A' AS TABELA_SIMUL,'"&amp;F538&amp;"' AS CAMPO, "&amp;"'${ref_date}' AS REF_DATE, CAST(MIN("&amp;F538&amp;") AS STRING) AS VALOR_MIN, CAST(MAX("&amp;F538&amp;") AS STRING) AS VALOR_MAX,'"&amp;MAX('ID1&amp;5'!K:K)+1&amp;"' AS ID_EXEC, CURRENT_TIMESTAMP() AS TIME_EXEC FROM "&amp;MID(I538,1,LEN(I538)-2)&amp;" AND CAST("&amp;F538&amp;"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TABELA_SIMUL,'pure_capex_b' AS CAMPO, '${ref_date}' AS REF_DATE, COUNT(*) AS NUM_REG, SUM(IF(COALESCE(CAST(X.pure_capex_b AS STRING),'')&lt;&gt;COALESCE(CAST(Y.pure_capex_b_SIMUL AS STRING),'') OR (X.pure_capex_b IS NULL AND Y.pure_capex_b_SIMUL IS NOT NULL ) OR (X.pure_capex_b IS NOT NULL AND Y.pure_capex_b_SIMUL IS NULL),1,0)) AS NUM_REG_DIF,'1' AS ID_EXEC, CURRENT_TIMESTAMP() AS TIME_EXEC FROM (SELECT entty_id, pure_capex_b FROM BU_LOANTAPE_WORK.LT003_ENTITY WHERE ref_date='${ref_date}' AND nome_perimetro='Individual Local' AND segmento='ESTR' AND ambito='SRB_MBDT' AND entidade='00100')X INNER JOIN (SELECT entty_id AS entty_id_SIMUL, pure_capex_b AS pure_capex_b_SIMUL FROM BU_LOANTAPE_WORK.SIMUL_LT003_ENTITY WHERE ref_date='${ref_date}' AND nome_perimetro='Individual Local' AND segmento='ESTR' AND ambito='PILAR3' AND entidade='00100')Y ON X.ENTTY_ID=Y.ENTTY_ID_SIMUL</v>
      </c>
      <c r="M538" s="36" t="str">
        <f t="shared" si="11"/>
        <v>UNION ALL SELECT 'ENTITY' AS TABELA, 'COERÊNCIA' AS TIPOLOGIA_TESTE,'BU_LOANTAPE_WORK.LT003_ENTITY' AS TABELA_LT,'BU_LOANTAPE_WORK.SIMUL_LT003_ENTITY' AS TABELA_SIMUL,'pure_capex_b' AS CAMPO, '${ref_date}' AS REF_DATE, COUNT(*) AS NUM_REG, SUM(IF(COALESCE(CAST(X.pure_capex_b AS STRING),'')&lt;&gt;COALESCE(CAST(Y.pure_capex_b_SIMUL AS STRING),'') OR (X.pure_capex_b IS NULL AND Y.pure_capex_b_SIMUL IS NOT NULL ) OR (X.pure_capex_b IS NOT NULL AND Y.pure_capex_b_SIMUL IS NULL),1,0)) AS NUM_REG_DIF,'1' AS ID_EXEC, CURRENT_TIMESTAMP() AS TIME_EXEC FROM (SELECT entty_id, pure_capex_b FROM BU_LOANTAPE_WORK.LT003_ENTITY WHERE ref_date='${ref_date}' AND nome_perimetro='Individual Local' AND segmento='ESTR' AND ambito='SRB_MBDT' AND entidade='00100')X INNER JOIN (SELECT entty_id AS entty_id_SIMUL, pure_capex_b AS pure_capex_b_SIMUL FROM BU_LOANTAPE_WORK.SIMUL_LT003_ENTITY WHERE ref_date='${ref_date}' AND nome_perimetro='Individual Local' AND segmento='ESTR' AND ambito='PILAR3' AND entidade='00100')Y ON X.ENTTY_ID=Y.ENTTY_ID_SIMUL</v>
      </c>
    </row>
    <row r="539" spans="2:13">
      <c r="B539" s="34" t="s">
        <v>118</v>
      </c>
      <c r="C539" s="34" t="s">
        <v>5</v>
      </c>
      <c r="D539" s="34" t="str">
        <f>+UPPER('0. Instruções'!$D$35&amp;"."&amp;VLOOKUP(B539,'0. Instruções'!$C$27:$D$32,2,FALSE))</f>
        <v>BU_LOANTAPE_WORK.LT003_ENTITY</v>
      </c>
      <c r="E539" s="34" t="str">
        <f>+UPPER('0. Instruções'!$D$36&amp;"."&amp;VLOOKUP(B539,'0. Instruções'!$C$27:$E$32,3,FALSE))</f>
        <v>BU_LOANTAPE_WORK.SIMUL_LT003_ENTITY</v>
      </c>
      <c r="F539" s="34" t="s">
        <v>718</v>
      </c>
      <c r="G539" s="34"/>
      <c r="H539" s="34"/>
      <c r="I539" s="34" t="str">
        <f>"(SELECT "&amp;VLOOKUP(B539,'0. Instruções'!$C$27:$G$32,4,FALSE)&amp;", "&amp;F539&amp;" FROM "&amp;D539&amp;" WHERE "&amp;'0. Instruções'!$D$42&amp;")X"</f>
        <v>(SELECT entty_id, pure_trnvr_b FROM BU_LOANTAPE_WORK.LT003_ENTITY WHERE ref_date='${ref_date}' AND nome_perimetro='Individual Local' AND segmento='ESTR' AND ambito='SRB_MBDT' AND entidade='00100')X</v>
      </c>
      <c r="J539" s="34" t="str">
        <f>"(SELECT "&amp;VLOOKUP(B539,'0. Instruções'!$C$27:$G$32,4,FALSE)&amp;" AS "&amp;VLOOKUP(B539,'0. Instruções'!$C$27:$G$32,4,FALSE)&amp;"_SIMUL, "&amp;F539&amp;" AS "&amp;F539&amp;"_SIMUL FROM "&amp;E539&amp;" WHERE "&amp;'0. Instruções'!$D$43&amp;")Y"</f>
        <v>(SELECT entty_id AS entty_id_SIMUL, pure_trnvr_b AS pure_trnvr_b_SIMUL FROM BU_LOANTAPE_WORK.SIMUL_LT003_ENTITY WHERE ref_date='${ref_date}' AND nome_perimetro='Individual Local' AND segmento='ESTR' AND ambito='PILAR3' AND entidade='00100')Y</v>
      </c>
      <c r="K539" s="35" t="str">
        <f>+UPPER("ON X."&amp;VLOOKUP(B539,'0. Instruções'!$C$27:$G$32,4,FALSE)&amp;"=Y."&amp;VLOOKUP(B539,'0. Instruções'!$C$27:$G$32,4,FALSE)&amp;"_SIMUL")</f>
        <v>ON X.ENTTY_ID=Y.ENTTY_ID_SIMUL</v>
      </c>
      <c r="L539" s="35" t="str">
        <f>+IF(C539="Coerência", +IF(LEFT(G539,5)="FLOAT","SELECT '"&amp;UPPER(B539)&amp;"' AS TABELA, '"&amp;UPPER(C539)&amp;"' AS TIPOLOGIA_TESTE,'"&amp;D539&amp;"' AS TABELA_LT,'"&amp;E539&amp;"' AS TABELA_SIMUL,'"&amp;F539&amp;"' AS CAMPO, "&amp;"'${ref_date}' AS REF_DATE, COUNT(*) AS NUM_REG, SUM(IF((ABS(COALESCE(CAST(X."&amp;F539&amp;" AS DECIMAL(18,6)),0)-COALESCE(CAST(Y."&amp;F539&amp;"_SIMUL AS DECIMAL(18,6)),0))&gt;0.000001) OR (X."&amp;F539&amp;" IS NULL AND Y."&amp;F539&amp;"_SIMUL IS NOT NULL ) OR (X."&amp;F539&amp;" IS NOT NULL AND Y."&amp;F539&amp;"_SIMUL IS NULL),1,0)) AS NUM_REG_DIF,'"&amp;MAX('ID1&amp;5'!K:K)+1&amp;"' AS ID_EXEC, CURRENT_TIMESTAMP() AS TIME_EXEC FROM "&amp;I539&amp;" INNER JOIN "&amp;J539&amp;" "&amp;K539,"SELECT '"&amp;UPPER(B539)&amp;"' AS TABELA, '"&amp;UPPER(C539)&amp;"' AS TIPOLOGIA_TESTE,'"&amp;D539&amp;"' AS TABELA_LT,'"&amp;E539&amp;"' AS TABELA_SIMUL,'"&amp;F539&amp;"' AS CAMPO, "&amp;"'${ref_date}' AS REF_DATE, COUNT(*) AS NUM_REG, SUM(IF(COALESCE(CAST(X."&amp;F539&amp;" AS STRING),'')&lt;&gt;COALESCE(CAST(Y."&amp;F539&amp;"_SIMUL AS STRING),'') OR (X."&amp;F539&amp;" IS NULL AND Y."&amp;F539&amp;"_SIMUL IS NOT NULL ) OR (X."&amp;F539&amp;" IS NOT NULL AND Y."&amp;F539&amp;"_SIMUL IS NULL),1,0)) AS NUM_REG_DIF,'"&amp;MAX('ID1&amp;5'!L:L)+1&amp;"' AS ID_EXEC, CURRENT_TIMESTAMP() AS TIME_EXEC FROM "&amp;I539&amp;" INNER JOIN "&amp;J539&amp;" "&amp;K539),
IF(C539="Validade",+IF(G539="Code List","SELECT '"&amp;UPPER(B539)&amp;"' AS TABELA, '"&amp;UPPER(C539)&amp;"' AS TIPOLOGIA_TESTE,'"&amp;D539&amp;"' AS TABELA_LT,'N/A' AS TABELA_SIMUL,'"&amp;F539&amp;"' AS CAMPO, "&amp;"'${ref_date}' AS REF_DATE, COUNT(*) AS NUM_REG, SUM(IF(TRIM(CAST(X."&amp;F539&amp;" AS STRING))='' OR TRIM(CAST(X."&amp;F539&amp;" AS STRING)) IS NULL OR CAST(X."&amp;F539&amp;" AS STRING) NOT "&amp;H539&amp;",1,0)) AS NUM_REG_DIF,'"&amp;MAX('ID1&amp;5'!K:K)+1&amp;"' AS ID_EXEC, CURRENT_TIMESTAMP() AS TIME_EXEC FROM "&amp;I539,"SELECT '"&amp;UPPER(B539)&amp;"' AS TABELA, '"&amp;UPPER(C539)&amp;"' AS TIPOLOGIA_TESTE,'"&amp;D539&amp;"' AS TABELA_LT,'N/A' AS TABELA_SIMUL,'"&amp;F539&amp;"' AS CAMPO, "&amp;"'${ref_date}' AS REF_DATE, COUNT(*) AS NUM_REG, SUM(IF(TRIM(CAST(X."&amp;F539&amp;" AS STRING))='' OR TRIM(CAST(X."&amp;F539&amp;" AS STRING)) IS NULL,1,0)) AS NUM_REG_DIF,'"&amp;MAX('ID1&amp;5'!K:K)+1&amp;"' AS ID_EXEC, CURRENT_TIMESTAMP() AS TIME_EXEC FROM "&amp;I539),
IF(C539="Caracteres Especiais",+"SELECT '"&amp;UPPER(B539)&amp;"' AS TABELA, '"&amp;UPPER(C539)&amp;"' AS TIPOLOGIA_TESTE,'"&amp;D539&amp;"' AS TABELA_LT,'N/A' AS TABELA_SIMUL,'"&amp;F539&amp;"' AS CAMPO, "&amp;"'${ref_date}' AS REF_DATE, COUNT(*) AS NUM_REG, SUM(IF(REGEXP_REPLACE(TRIM(CAST(X."&amp;F539&amp;" AS STRING)),'[^a-zA-Z0-9_\\s]','') &lt;&gt;TRIM(CAST(X."&amp;F539&amp;" AS STRING)),1,0)) AS NUM_REG_DIF,'"&amp;MAX('ID1&amp;5'!K:K)+1&amp;"' AS ID_EXEC, CURRENT_TIMESTAMP() AS TIME_EXEC FROM "&amp;I539,
IF(C539="Missings",+"SELECT '"&amp;UPPER(B539)&amp;"' AS TABELA, '"&amp;UPPER(C539)&amp;"' AS TIPOLOGIA_TESTE,'"&amp;D539&amp;"' AS TABELA_LT,'N/A' AS TABELA_SIMUL,'"&amp;F539&amp;"' AS CAMPO, "&amp;"'${ref_date}' AS REF_DATE, COUNT(*) AS NUM_REG, SUM(IF(TRIM(CAST(X."&amp;F539&amp;" AS STRING)) IN ('0000-00-00','0001-01-01','9999-12-31','MISS','00000','99999999999','99999999999.00','99999999999.000000'),1,0)) AS NUM_REG_DIF,'"&amp;MAX('ID1&amp;5'!K:K)+1&amp;"' AS ID_EXEC, CURRENT_TIMESTAMP() AS TIME_EXEC FROM "&amp;I539,
IF(C539="Not applicable",+"SELECT '"&amp;UPPER(B539)&amp;"' AS TABELA, '"&amp;UPPER(C539)&amp;"' AS TIPOLOGIA_TESTE,'"&amp;D539&amp;"' AS TABELA_LT,'N/A' AS TABELA_SIMUL,'"&amp;F539&amp;"' AS CAMPO, "&amp;"'${ref_date}' AS REF_DATE, COUNT(*) AS NUM_REG, SUM(IF(TRIM(CAST(X."&amp;F539&amp;" AS STRING)) IN ('N/A','11111111111','11111111111.00','11111111111.000000','1111-11-11'),1,0)) AS NUM_REG_DIF,'"&amp;MAX('ID1&amp;5'!K:K)+1&amp;"' AS ID_EXEC, CURRENT_TIMESTAMP() AS TIME_EXEC FROM "&amp;I539,
IF(C539="Valores extremos",+"SELECT '"&amp;UPPER(B539)&amp;"' AS TABELA, '"&amp;UPPER(C539)&amp;"' AS TIPOLOGIA_TESTE,'"&amp;D539&amp;"' AS TABELA_LT,'N/A' AS TABELA_SIMUL,'"&amp;F539&amp;"' AS CAMPO, "&amp;"'${ref_date}' AS REF_DATE, CAST(MIN("&amp;F539&amp;") AS STRING) AS VALOR_MIN, CAST(MAX("&amp;F539&amp;") AS STRING) AS VALOR_MAX,'"&amp;MAX('ID1&amp;5'!K:K)+1&amp;"' AS ID_EXEC, CURRENT_TIMESTAMP() AS TIME_EXEC FROM "&amp;MID(I539,1,LEN(I539)-2)&amp;" AND CAST("&amp;F539&amp;"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TABELA_SIMUL,'pure_trnvr_b' AS CAMPO, '${ref_date}' AS REF_DATE, COUNT(*) AS NUM_REG, SUM(IF(COALESCE(CAST(X.pure_trnvr_b AS STRING),'')&lt;&gt;COALESCE(CAST(Y.pure_trnvr_b_SIMUL AS STRING),'') OR (X.pure_trnvr_b IS NULL AND Y.pure_trnvr_b_SIMUL IS NOT NULL ) OR (X.pure_trnvr_b IS NOT NULL AND Y.pure_trnvr_b_SIMUL IS NULL),1,0)) AS NUM_REG_DIF,'1' AS ID_EXEC, CURRENT_TIMESTAMP() AS TIME_EXEC FROM (SELECT entty_id, pure_trnvr_b FROM BU_LOANTAPE_WORK.LT003_ENTITY WHERE ref_date='${ref_date}' AND nome_perimetro='Individual Local' AND segmento='ESTR' AND ambito='SRB_MBDT' AND entidade='00100')X INNER JOIN (SELECT entty_id AS entty_id_SIMUL, pure_trnvr_b AS pure_trnvr_b_SIMUL FROM BU_LOANTAPE_WORK.SIMUL_LT003_ENTITY WHERE ref_date='${ref_date}' AND nome_perimetro='Individual Local' AND segmento='ESTR' AND ambito='PILAR3' AND entidade='00100')Y ON X.ENTTY_ID=Y.ENTTY_ID_SIMUL</v>
      </c>
      <c r="M539" s="36" t="str">
        <f t="shared" si="11"/>
        <v>UNION ALL SELECT 'ENTITY' AS TABELA, 'COERÊNCIA' AS TIPOLOGIA_TESTE,'BU_LOANTAPE_WORK.LT003_ENTITY' AS TABELA_LT,'BU_LOANTAPE_WORK.SIMUL_LT003_ENTITY' AS TABELA_SIMUL,'pure_trnvr_b' AS CAMPO, '${ref_date}' AS REF_DATE, COUNT(*) AS NUM_REG, SUM(IF(COALESCE(CAST(X.pure_trnvr_b AS STRING),'')&lt;&gt;COALESCE(CAST(Y.pure_trnvr_b_SIMUL AS STRING),'') OR (X.pure_trnvr_b IS NULL AND Y.pure_trnvr_b_SIMUL IS NOT NULL ) OR (X.pure_trnvr_b IS NOT NULL AND Y.pure_trnvr_b_SIMUL IS NULL),1,0)) AS NUM_REG_DIF,'1' AS ID_EXEC, CURRENT_TIMESTAMP() AS TIME_EXEC FROM (SELECT entty_id, pure_trnvr_b FROM BU_LOANTAPE_WORK.LT003_ENTITY WHERE ref_date='${ref_date}' AND nome_perimetro='Individual Local' AND segmento='ESTR' AND ambito='SRB_MBDT' AND entidade='00100')X INNER JOIN (SELECT entty_id AS entty_id_SIMUL, pure_trnvr_b AS pure_trnvr_b_SIMUL FROM BU_LOANTAPE_WORK.SIMUL_LT003_ENTITY WHERE ref_date='${ref_date}' AND nome_perimetro='Individual Local' AND segmento='ESTR' AND ambito='PILAR3' AND entidade='00100')Y ON X.ENTTY_ID=Y.ENTTY_ID_SIMUL</v>
      </c>
    </row>
    <row r="540" spans="2:13">
      <c r="B540" s="34" t="s">
        <v>118</v>
      </c>
      <c r="C540" s="34" t="s">
        <v>5</v>
      </c>
      <c r="D540" s="34" t="str">
        <f>+UPPER('0. Instruções'!$D$35&amp;"."&amp;VLOOKUP(B540,'0. Instruções'!$C$27:$D$32,2,FALSE))</f>
        <v>BU_LOANTAPE_WORK.LT003_ENTITY</v>
      </c>
      <c r="E540" s="34" t="str">
        <f>+UPPER('0. Instruções'!$D$36&amp;"."&amp;VLOOKUP(B540,'0. Instruções'!$C$27:$E$32,3,FALSE))</f>
        <v>BU_LOANTAPE_WORK.SIMUL_LT003_ENTITY</v>
      </c>
      <c r="F540" s="34" t="s">
        <v>719</v>
      </c>
      <c r="G540" s="34"/>
      <c r="H540" s="34"/>
      <c r="I540" s="34" t="str">
        <f>"(SELECT "&amp;VLOOKUP(B540,'0. Instruções'!$C$27:$G$32,4,FALSE)&amp;", "&amp;F540&amp;" FROM "&amp;D540&amp;" WHERE "&amp;'0. Instruções'!$D$42&amp;")X"</f>
        <v>(SELECT entty_id, pure_capex_w FROM BU_LOANTAPE_WORK.LT003_ENTITY WHERE ref_date='${ref_date}' AND nome_perimetro='Individual Local' AND segmento='ESTR' AND ambito='SRB_MBDT' AND entidade='00100')X</v>
      </c>
      <c r="J540" s="34" t="str">
        <f>"(SELECT "&amp;VLOOKUP(B540,'0. Instruções'!$C$27:$G$32,4,FALSE)&amp;" AS "&amp;VLOOKUP(B540,'0. Instruções'!$C$27:$G$32,4,FALSE)&amp;"_SIMUL, "&amp;F540&amp;" AS "&amp;F540&amp;"_SIMUL FROM "&amp;E540&amp;" WHERE "&amp;'0. Instruções'!$D$43&amp;")Y"</f>
        <v>(SELECT entty_id AS entty_id_SIMUL, pure_capex_w AS pure_capex_w_SIMUL FROM BU_LOANTAPE_WORK.SIMUL_LT003_ENTITY WHERE ref_date='${ref_date}' AND nome_perimetro='Individual Local' AND segmento='ESTR' AND ambito='PILAR3' AND entidade='00100')Y</v>
      </c>
      <c r="K540" s="35" t="str">
        <f>+UPPER("ON X."&amp;VLOOKUP(B540,'0. Instruções'!$C$27:$G$32,4,FALSE)&amp;"=Y."&amp;VLOOKUP(B540,'0. Instruções'!$C$27:$G$32,4,FALSE)&amp;"_SIMUL")</f>
        <v>ON X.ENTTY_ID=Y.ENTTY_ID_SIMUL</v>
      </c>
      <c r="L540" s="35" t="str">
        <f>+IF(C540="Coerência", +IF(LEFT(G540,5)="FLOAT","SELECT '"&amp;UPPER(B540)&amp;"' AS TABELA, '"&amp;UPPER(C540)&amp;"' AS TIPOLOGIA_TESTE,'"&amp;D540&amp;"' AS TABELA_LT,'"&amp;E540&amp;"' AS TABELA_SIMUL,'"&amp;F540&amp;"' AS CAMPO, "&amp;"'${ref_date}' AS REF_DATE, COUNT(*) AS NUM_REG, SUM(IF((ABS(COALESCE(CAST(X."&amp;F540&amp;" AS DECIMAL(18,6)),0)-COALESCE(CAST(Y."&amp;F540&amp;"_SIMUL AS DECIMAL(18,6)),0))&gt;0.000001) OR (X."&amp;F540&amp;" IS NULL AND Y."&amp;F540&amp;"_SIMUL IS NOT NULL ) OR (X."&amp;F540&amp;" IS NOT NULL AND Y."&amp;F540&amp;"_SIMUL IS NULL),1,0)) AS NUM_REG_DIF,'"&amp;MAX('ID1&amp;5'!K:K)+1&amp;"' AS ID_EXEC, CURRENT_TIMESTAMP() AS TIME_EXEC FROM "&amp;I540&amp;" INNER JOIN "&amp;J540&amp;" "&amp;K540,"SELECT '"&amp;UPPER(B540)&amp;"' AS TABELA, '"&amp;UPPER(C540)&amp;"' AS TIPOLOGIA_TESTE,'"&amp;D540&amp;"' AS TABELA_LT,'"&amp;E540&amp;"' AS TABELA_SIMUL,'"&amp;F540&amp;"' AS CAMPO, "&amp;"'${ref_date}' AS REF_DATE, COUNT(*) AS NUM_REG, SUM(IF(COALESCE(CAST(X."&amp;F540&amp;" AS STRING),'')&lt;&gt;COALESCE(CAST(Y."&amp;F540&amp;"_SIMUL AS STRING),'') OR (X."&amp;F540&amp;" IS NULL AND Y."&amp;F540&amp;"_SIMUL IS NOT NULL ) OR (X."&amp;F540&amp;" IS NOT NULL AND Y."&amp;F540&amp;"_SIMUL IS NULL),1,0)) AS NUM_REG_DIF,'"&amp;MAX('ID1&amp;5'!L:L)+1&amp;"' AS ID_EXEC, CURRENT_TIMESTAMP() AS TIME_EXEC FROM "&amp;I540&amp;" INNER JOIN "&amp;J540&amp;" "&amp;K540),
IF(C540="Validade",+IF(G540="Code List","SELECT '"&amp;UPPER(B540)&amp;"' AS TABELA, '"&amp;UPPER(C540)&amp;"' AS TIPOLOGIA_TESTE,'"&amp;D540&amp;"' AS TABELA_LT,'N/A' AS TABELA_SIMUL,'"&amp;F540&amp;"' AS CAMPO, "&amp;"'${ref_date}' AS REF_DATE, COUNT(*) AS NUM_REG, SUM(IF(TRIM(CAST(X."&amp;F540&amp;" AS STRING))='' OR TRIM(CAST(X."&amp;F540&amp;" AS STRING)) IS NULL OR CAST(X."&amp;F540&amp;" AS STRING) NOT "&amp;H540&amp;",1,0)) AS NUM_REG_DIF,'"&amp;MAX('ID1&amp;5'!K:K)+1&amp;"' AS ID_EXEC, CURRENT_TIMESTAMP() AS TIME_EXEC FROM "&amp;I540,"SELECT '"&amp;UPPER(B540)&amp;"' AS TABELA, '"&amp;UPPER(C540)&amp;"' AS TIPOLOGIA_TESTE,'"&amp;D540&amp;"' AS TABELA_LT,'N/A' AS TABELA_SIMUL,'"&amp;F540&amp;"' AS CAMPO, "&amp;"'${ref_date}' AS REF_DATE, COUNT(*) AS NUM_REG, SUM(IF(TRIM(CAST(X."&amp;F540&amp;" AS STRING))='' OR TRIM(CAST(X."&amp;F540&amp;" AS STRING)) IS NULL,1,0)) AS NUM_REG_DIF,'"&amp;MAX('ID1&amp;5'!K:K)+1&amp;"' AS ID_EXEC, CURRENT_TIMESTAMP() AS TIME_EXEC FROM "&amp;I540),
IF(C540="Caracteres Especiais",+"SELECT '"&amp;UPPER(B540)&amp;"' AS TABELA, '"&amp;UPPER(C540)&amp;"' AS TIPOLOGIA_TESTE,'"&amp;D540&amp;"' AS TABELA_LT,'N/A' AS TABELA_SIMUL,'"&amp;F540&amp;"' AS CAMPO, "&amp;"'${ref_date}' AS REF_DATE, COUNT(*) AS NUM_REG, SUM(IF(REGEXP_REPLACE(TRIM(CAST(X."&amp;F540&amp;" AS STRING)),'[^a-zA-Z0-9_\\s]','') &lt;&gt;TRIM(CAST(X."&amp;F540&amp;" AS STRING)),1,0)) AS NUM_REG_DIF,'"&amp;MAX('ID1&amp;5'!K:K)+1&amp;"' AS ID_EXEC, CURRENT_TIMESTAMP() AS TIME_EXEC FROM "&amp;I540,
IF(C540="Missings",+"SELECT '"&amp;UPPER(B540)&amp;"' AS TABELA, '"&amp;UPPER(C540)&amp;"' AS TIPOLOGIA_TESTE,'"&amp;D540&amp;"' AS TABELA_LT,'N/A' AS TABELA_SIMUL,'"&amp;F540&amp;"' AS CAMPO, "&amp;"'${ref_date}' AS REF_DATE, COUNT(*) AS NUM_REG, SUM(IF(TRIM(CAST(X."&amp;F540&amp;" AS STRING)) IN ('0000-00-00','0001-01-01','9999-12-31','MISS','00000','99999999999','99999999999.00','99999999999.000000'),1,0)) AS NUM_REG_DIF,'"&amp;MAX('ID1&amp;5'!K:K)+1&amp;"' AS ID_EXEC, CURRENT_TIMESTAMP() AS TIME_EXEC FROM "&amp;I540,
IF(C540="Not applicable",+"SELECT '"&amp;UPPER(B540)&amp;"' AS TABELA, '"&amp;UPPER(C540)&amp;"' AS TIPOLOGIA_TESTE,'"&amp;D540&amp;"' AS TABELA_LT,'N/A' AS TABELA_SIMUL,'"&amp;F540&amp;"' AS CAMPO, "&amp;"'${ref_date}' AS REF_DATE, COUNT(*) AS NUM_REG, SUM(IF(TRIM(CAST(X."&amp;F540&amp;" AS STRING)) IN ('N/A','11111111111','11111111111.00','11111111111.000000','1111-11-11'),1,0)) AS NUM_REG_DIF,'"&amp;MAX('ID1&amp;5'!K:K)+1&amp;"' AS ID_EXEC, CURRENT_TIMESTAMP() AS TIME_EXEC FROM "&amp;I540,
IF(C540="Valores extremos",+"SELECT '"&amp;UPPER(B540)&amp;"' AS TABELA, '"&amp;UPPER(C540)&amp;"' AS TIPOLOGIA_TESTE,'"&amp;D540&amp;"' AS TABELA_LT,'N/A' AS TABELA_SIMUL,'"&amp;F540&amp;"' AS CAMPO, "&amp;"'${ref_date}' AS REF_DATE, CAST(MIN("&amp;F540&amp;") AS STRING) AS VALOR_MIN, CAST(MAX("&amp;F540&amp;") AS STRING) AS VALOR_MAX,'"&amp;MAX('ID1&amp;5'!K:K)+1&amp;"' AS ID_EXEC, CURRENT_TIMESTAMP() AS TIME_EXEC FROM "&amp;MID(I540,1,LEN(I540)-2)&amp;" AND CAST("&amp;F540&amp;"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TABELA_SIMUL,'pure_capex_w' AS CAMPO, '${ref_date}' AS REF_DATE, COUNT(*) AS NUM_REG, SUM(IF(COALESCE(CAST(X.pure_capex_w AS STRING),'')&lt;&gt;COALESCE(CAST(Y.pure_capex_w_SIMUL AS STRING),'') OR (X.pure_capex_w IS NULL AND Y.pure_capex_w_SIMUL IS NOT NULL ) OR (X.pure_capex_w IS NOT NULL AND Y.pure_capex_w_SIMUL IS NULL),1,0)) AS NUM_REG_DIF,'1' AS ID_EXEC, CURRENT_TIMESTAMP() AS TIME_EXEC FROM (SELECT entty_id, pure_capex_w FROM BU_LOANTAPE_WORK.LT003_ENTITY WHERE ref_date='${ref_date}' AND nome_perimetro='Individual Local' AND segmento='ESTR' AND ambito='SRB_MBDT' AND entidade='00100')X INNER JOIN (SELECT entty_id AS entty_id_SIMUL, pure_capex_w AS pure_capex_w_SIMUL FROM BU_LOANTAPE_WORK.SIMUL_LT003_ENTITY WHERE ref_date='${ref_date}' AND nome_perimetro='Individual Local' AND segmento='ESTR' AND ambito='PILAR3' AND entidade='00100')Y ON X.ENTTY_ID=Y.ENTTY_ID_SIMUL</v>
      </c>
      <c r="M540" s="36" t="str">
        <f t="shared" si="11"/>
        <v>UNION ALL SELECT 'ENTITY' AS TABELA, 'COERÊNCIA' AS TIPOLOGIA_TESTE,'BU_LOANTAPE_WORK.LT003_ENTITY' AS TABELA_LT,'BU_LOANTAPE_WORK.SIMUL_LT003_ENTITY' AS TABELA_SIMUL,'pure_capex_w' AS CAMPO, '${ref_date}' AS REF_DATE, COUNT(*) AS NUM_REG, SUM(IF(COALESCE(CAST(X.pure_capex_w AS STRING),'')&lt;&gt;COALESCE(CAST(Y.pure_capex_w_SIMUL AS STRING),'') OR (X.pure_capex_w IS NULL AND Y.pure_capex_w_SIMUL IS NOT NULL ) OR (X.pure_capex_w IS NOT NULL AND Y.pure_capex_w_SIMUL IS NULL),1,0)) AS NUM_REG_DIF,'1' AS ID_EXEC, CURRENT_TIMESTAMP() AS TIME_EXEC FROM (SELECT entty_id, pure_capex_w FROM BU_LOANTAPE_WORK.LT003_ENTITY WHERE ref_date='${ref_date}' AND nome_perimetro='Individual Local' AND segmento='ESTR' AND ambito='SRB_MBDT' AND entidade='00100')X INNER JOIN (SELECT entty_id AS entty_id_SIMUL, pure_capex_w AS pure_capex_w_SIMUL FROM BU_LOANTAPE_WORK.SIMUL_LT003_ENTITY WHERE ref_date='${ref_date}' AND nome_perimetro='Individual Local' AND segmento='ESTR' AND ambito='PILAR3' AND entidade='00100')Y ON X.ENTTY_ID=Y.ENTTY_ID_SIMUL</v>
      </c>
    </row>
    <row r="541" spans="2:13">
      <c r="B541" s="34" t="s">
        <v>118</v>
      </c>
      <c r="C541" s="34" t="s">
        <v>5</v>
      </c>
      <c r="D541" s="34" t="str">
        <f>+UPPER('0. Instruções'!$D$35&amp;"."&amp;VLOOKUP(B541,'0. Instruções'!$C$27:$D$32,2,FALSE))</f>
        <v>BU_LOANTAPE_WORK.LT003_ENTITY</v>
      </c>
      <c r="E541" s="34" t="str">
        <f>+UPPER('0. Instruções'!$D$36&amp;"."&amp;VLOOKUP(B541,'0. Instruções'!$C$27:$E$32,3,FALSE))</f>
        <v>BU_LOANTAPE_WORK.SIMUL_LT003_ENTITY</v>
      </c>
      <c r="F541" s="34" t="s">
        <v>720</v>
      </c>
      <c r="G541" s="34"/>
      <c r="H541" s="34"/>
      <c r="I541" s="34" t="str">
        <f>"(SELECT "&amp;VLOOKUP(B541,'0. Instruções'!$C$27:$G$32,4,FALSE)&amp;", "&amp;F541&amp;" FROM "&amp;D541&amp;" WHERE "&amp;'0. Instruções'!$D$42&amp;")X"</f>
        <v>(SELECT entty_id, pure_trnvr_w FROM BU_LOANTAPE_WORK.LT003_ENTITY WHERE ref_date='${ref_date}' AND nome_perimetro='Individual Local' AND segmento='ESTR' AND ambito='SRB_MBDT' AND entidade='00100')X</v>
      </c>
      <c r="J541" s="34" t="str">
        <f>"(SELECT "&amp;VLOOKUP(B541,'0. Instruções'!$C$27:$G$32,4,FALSE)&amp;" AS "&amp;VLOOKUP(B541,'0. Instruções'!$C$27:$G$32,4,FALSE)&amp;"_SIMUL, "&amp;F541&amp;" AS "&amp;F541&amp;"_SIMUL FROM "&amp;E541&amp;" WHERE "&amp;'0. Instruções'!$D$43&amp;")Y"</f>
        <v>(SELECT entty_id AS entty_id_SIMUL, pure_trnvr_w AS pure_trnvr_w_SIMUL FROM BU_LOANTAPE_WORK.SIMUL_LT003_ENTITY WHERE ref_date='${ref_date}' AND nome_perimetro='Individual Local' AND segmento='ESTR' AND ambito='PILAR3' AND entidade='00100')Y</v>
      </c>
      <c r="K541" s="35" t="str">
        <f>+UPPER("ON X."&amp;VLOOKUP(B541,'0. Instruções'!$C$27:$G$32,4,FALSE)&amp;"=Y."&amp;VLOOKUP(B541,'0. Instruções'!$C$27:$G$32,4,FALSE)&amp;"_SIMUL")</f>
        <v>ON X.ENTTY_ID=Y.ENTTY_ID_SIMUL</v>
      </c>
      <c r="L541" s="35" t="str">
        <f>+IF(C541="Coerência", +IF(LEFT(G541,5)="FLOAT","SELECT '"&amp;UPPER(B541)&amp;"' AS TABELA, '"&amp;UPPER(C541)&amp;"' AS TIPOLOGIA_TESTE,'"&amp;D541&amp;"' AS TABELA_LT,'"&amp;E541&amp;"' AS TABELA_SIMUL,'"&amp;F541&amp;"' AS CAMPO, "&amp;"'${ref_date}' AS REF_DATE, COUNT(*) AS NUM_REG, SUM(IF((ABS(COALESCE(CAST(X."&amp;F541&amp;" AS DECIMAL(18,6)),0)-COALESCE(CAST(Y."&amp;F541&amp;"_SIMUL AS DECIMAL(18,6)),0))&gt;0.000001) OR (X."&amp;F541&amp;" IS NULL AND Y."&amp;F541&amp;"_SIMUL IS NOT NULL ) OR (X."&amp;F541&amp;" IS NOT NULL AND Y."&amp;F541&amp;"_SIMUL IS NULL),1,0)) AS NUM_REG_DIF,'"&amp;MAX('ID1&amp;5'!K:K)+1&amp;"' AS ID_EXEC, CURRENT_TIMESTAMP() AS TIME_EXEC FROM "&amp;I541&amp;" INNER JOIN "&amp;J541&amp;" "&amp;K541,"SELECT '"&amp;UPPER(B541)&amp;"' AS TABELA, '"&amp;UPPER(C541)&amp;"' AS TIPOLOGIA_TESTE,'"&amp;D541&amp;"' AS TABELA_LT,'"&amp;E541&amp;"' AS TABELA_SIMUL,'"&amp;F541&amp;"' AS CAMPO, "&amp;"'${ref_date}' AS REF_DATE, COUNT(*) AS NUM_REG, SUM(IF(COALESCE(CAST(X."&amp;F541&amp;" AS STRING),'')&lt;&gt;COALESCE(CAST(Y."&amp;F541&amp;"_SIMUL AS STRING),'') OR (X."&amp;F541&amp;" IS NULL AND Y."&amp;F541&amp;"_SIMUL IS NOT NULL ) OR (X."&amp;F541&amp;" IS NOT NULL AND Y."&amp;F541&amp;"_SIMUL IS NULL),1,0)) AS NUM_REG_DIF,'"&amp;MAX('ID1&amp;5'!L:L)+1&amp;"' AS ID_EXEC, CURRENT_TIMESTAMP() AS TIME_EXEC FROM "&amp;I541&amp;" INNER JOIN "&amp;J541&amp;" "&amp;K541),
IF(C541="Validade",+IF(G541="Code List","SELECT '"&amp;UPPER(B541)&amp;"' AS TABELA, '"&amp;UPPER(C541)&amp;"' AS TIPOLOGIA_TESTE,'"&amp;D541&amp;"' AS TABELA_LT,'N/A' AS TABELA_SIMUL,'"&amp;F541&amp;"' AS CAMPO, "&amp;"'${ref_date}' AS REF_DATE, COUNT(*) AS NUM_REG, SUM(IF(TRIM(CAST(X."&amp;F541&amp;" AS STRING))='' OR TRIM(CAST(X."&amp;F541&amp;" AS STRING)) IS NULL OR CAST(X."&amp;F541&amp;" AS STRING) NOT "&amp;H541&amp;",1,0)) AS NUM_REG_DIF,'"&amp;MAX('ID1&amp;5'!K:K)+1&amp;"' AS ID_EXEC, CURRENT_TIMESTAMP() AS TIME_EXEC FROM "&amp;I541,"SELECT '"&amp;UPPER(B541)&amp;"' AS TABELA, '"&amp;UPPER(C541)&amp;"' AS TIPOLOGIA_TESTE,'"&amp;D541&amp;"' AS TABELA_LT,'N/A' AS TABELA_SIMUL,'"&amp;F541&amp;"' AS CAMPO, "&amp;"'${ref_date}' AS REF_DATE, COUNT(*) AS NUM_REG, SUM(IF(TRIM(CAST(X."&amp;F541&amp;" AS STRING))='' OR TRIM(CAST(X."&amp;F541&amp;" AS STRING)) IS NULL,1,0)) AS NUM_REG_DIF,'"&amp;MAX('ID1&amp;5'!K:K)+1&amp;"' AS ID_EXEC, CURRENT_TIMESTAMP() AS TIME_EXEC FROM "&amp;I541),
IF(C541="Caracteres Especiais",+"SELECT '"&amp;UPPER(B541)&amp;"' AS TABELA, '"&amp;UPPER(C541)&amp;"' AS TIPOLOGIA_TESTE,'"&amp;D541&amp;"' AS TABELA_LT,'N/A' AS TABELA_SIMUL,'"&amp;F541&amp;"' AS CAMPO, "&amp;"'${ref_date}' AS REF_DATE, COUNT(*) AS NUM_REG, SUM(IF(REGEXP_REPLACE(TRIM(CAST(X."&amp;F541&amp;" AS STRING)),'[^a-zA-Z0-9_\\s]','') &lt;&gt;TRIM(CAST(X."&amp;F541&amp;" AS STRING)),1,0)) AS NUM_REG_DIF,'"&amp;MAX('ID1&amp;5'!K:K)+1&amp;"' AS ID_EXEC, CURRENT_TIMESTAMP() AS TIME_EXEC FROM "&amp;I541,
IF(C541="Missings",+"SELECT '"&amp;UPPER(B541)&amp;"' AS TABELA, '"&amp;UPPER(C541)&amp;"' AS TIPOLOGIA_TESTE,'"&amp;D541&amp;"' AS TABELA_LT,'N/A' AS TABELA_SIMUL,'"&amp;F541&amp;"' AS CAMPO, "&amp;"'${ref_date}' AS REF_DATE, COUNT(*) AS NUM_REG, SUM(IF(TRIM(CAST(X."&amp;F541&amp;" AS STRING)) IN ('0000-00-00','0001-01-01','9999-12-31','MISS','00000','99999999999','99999999999.00','99999999999.000000'),1,0)) AS NUM_REG_DIF,'"&amp;MAX('ID1&amp;5'!K:K)+1&amp;"' AS ID_EXEC, CURRENT_TIMESTAMP() AS TIME_EXEC FROM "&amp;I541,
IF(C541="Not applicable",+"SELECT '"&amp;UPPER(B541)&amp;"' AS TABELA, '"&amp;UPPER(C541)&amp;"' AS TIPOLOGIA_TESTE,'"&amp;D541&amp;"' AS TABELA_LT,'N/A' AS TABELA_SIMUL,'"&amp;F541&amp;"' AS CAMPO, "&amp;"'${ref_date}' AS REF_DATE, COUNT(*) AS NUM_REG, SUM(IF(TRIM(CAST(X."&amp;F541&amp;" AS STRING)) IN ('N/A','11111111111','11111111111.00','11111111111.000000','1111-11-11'),1,0)) AS NUM_REG_DIF,'"&amp;MAX('ID1&amp;5'!K:K)+1&amp;"' AS ID_EXEC, CURRENT_TIMESTAMP() AS TIME_EXEC FROM "&amp;I541,
IF(C541="Valores extremos",+"SELECT '"&amp;UPPER(B541)&amp;"' AS TABELA, '"&amp;UPPER(C541)&amp;"' AS TIPOLOGIA_TESTE,'"&amp;D541&amp;"' AS TABELA_LT,'N/A' AS TABELA_SIMUL,'"&amp;F541&amp;"' AS CAMPO, "&amp;"'${ref_date}' AS REF_DATE, CAST(MIN("&amp;F541&amp;") AS STRING) AS VALOR_MIN, CAST(MAX("&amp;F541&amp;") AS STRING) AS VALOR_MAX,'"&amp;MAX('ID1&amp;5'!K:K)+1&amp;"' AS ID_EXEC, CURRENT_TIMESTAMP() AS TIME_EXEC FROM "&amp;MID(I541,1,LEN(I541)-2)&amp;" AND CAST("&amp;F541&amp;"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TABELA_SIMUL,'pure_trnvr_w' AS CAMPO, '${ref_date}' AS REF_DATE, COUNT(*) AS NUM_REG, SUM(IF(COALESCE(CAST(X.pure_trnvr_w AS STRING),'')&lt;&gt;COALESCE(CAST(Y.pure_trnvr_w_SIMUL AS STRING),'') OR (X.pure_trnvr_w IS NULL AND Y.pure_trnvr_w_SIMUL IS NOT NULL ) OR (X.pure_trnvr_w IS NOT NULL AND Y.pure_trnvr_w_SIMUL IS NULL),1,0)) AS NUM_REG_DIF,'1' AS ID_EXEC, CURRENT_TIMESTAMP() AS TIME_EXEC FROM (SELECT entty_id, pure_trnvr_w FROM BU_LOANTAPE_WORK.LT003_ENTITY WHERE ref_date='${ref_date}' AND nome_perimetro='Individual Local' AND segmento='ESTR' AND ambito='SRB_MBDT' AND entidade='00100')X INNER JOIN (SELECT entty_id AS entty_id_SIMUL, pure_trnvr_w AS pure_trnvr_w_SIMUL FROM BU_LOANTAPE_WORK.SIMUL_LT003_ENTITY WHERE ref_date='${ref_date}' AND nome_perimetro='Individual Local' AND segmento='ESTR' AND ambito='PILAR3' AND entidade='00100')Y ON X.ENTTY_ID=Y.ENTTY_ID_SIMUL</v>
      </c>
      <c r="M541" s="36" t="str">
        <f t="shared" si="11"/>
        <v>UNION ALL SELECT 'ENTITY' AS TABELA, 'COERÊNCIA' AS TIPOLOGIA_TESTE,'BU_LOANTAPE_WORK.LT003_ENTITY' AS TABELA_LT,'BU_LOANTAPE_WORK.SIMUL_LT003_ENTITY' AS TABELA_SIMUL,'pure_trnvr_w' AS CAMPO, '${ref_date}' AS REF_DATE, COUNT(*) AS NUM_REG, SUM(IF(COALESCE(CAST(X.pure_trnvr_w AS STRING),'')&lt;&gt;COALESCE(CAST(Y.pure_trnvr_w_SIMUL AS STRING),'') OR (X.pure_trnvr_w IS NULL AND Y.pure_trnvr_w_SIMUL IS NOT NULL ) OR (X.pure_trnvr_w IS NOT NULL AND Y.pure_trnvr_w_SIMUL IS NULL),1,0)) AS NUM_REG_DIF,'1' AS ID_EXEC, CURRENT_TIMESTAMP() AS TIME_EXEC FROM (SELECT entty_id, pure_trnvr_w FROM BU_LOANTAPE_WORK.LT003_ENTITY WHERE ref_date='${ref_date}' AND nome_perimetro='Individual Local' AND segmento='ESTR' AND ambito='SRB_MBDT' AND entidade='00100')X INNER JOIN (SELECT entty_id AS entty_id_SIMUL, pure_trnvr_w AS pure_trnvr_w_SIMUL FROM BU_LOANTAPE_WORK.SIMUL_LT003_ENTITY WHERE ref_date='${ref_date}' AND nome_perimetro='Individual Local' AND segmento='ESTR' AND ambito='PILAR3' AND entidade='00100')Y ON X.ENTTY_ID=Y.ENTTY_ID_SIMUL</v>
      </c>
    </row>
    <row r="542" spans="2:13">
      <c r="B542" s="34" t="s">
        <v>118</v>
      </c>
      <c r="C542" s="34" t="s">
        <v>5</v>
      </c>
      <c r="D542" s="34" t="str">
        <f>+UPPER('0. Instruções'!$D$35&amp;"."&amp;VLOOKUP(B542,'0. Instruções'!$C$27:$D$32,2,FALSE))</f>
        <v>BU_LOANTAPE_WORK.LT003_ENTITY</v>
      </c>
      <c r="E542" s="34" t="str">
        <f>+UPPER('0. Instruções'!$D$36&amp;"."&amp;VLOOKUP(B542,'0. Instruções'!$C$27:$E$32,3,FALSE))</f>
        <v>BU_LOANTAPE_WORK.SIMUL_LT003_ENTITY</v>
      </c>
      <c r="F542" s="34" t="s">
        <v>721</v>
      </c>
      <c r="G542" s="34"/>
      <c r="H542" s="34"/>
      <c r="I542" s="34" t="str">
        <f>"(SELECT "&amp;VLOOKUP(B542,'0. Instruções'!$C$27:$G$32,4,FALSE)&amp;", "&amp;F542&amp;" FROM "&amp;D542&amp;" WHERE "&amp;'0. Instruções'!$D$42&amp;")X"</f>
        <v>(SELECT entty_id, pure_capex_ce FROM BU_LOANTAPE_WORK.LT003_ENTITY WHERE ref_date='${ref_date}' AND nome_perimetro='Individual Local' AND segmento='ESTR' AND ambito='SRB_MBDT' AND entidade='00100')X</v>
      </c>
      <c r="J542" s="34" t="str">
        <f>"(SELECT "&amp;VLOOKUP(B542,'0. Instruções'!$C$27:$G$32,4,FALSE)&amp;" AS "&amp;VLOOKUP(B542,'0. Instruções'!$C$27:$G$32,4,FALSE)&amp;"_SIMUL, "&amp;F542&amp;" AS "&amp;F542&amp;"_SIMUL FROM "&amp;E542&amp;" WHERE "&amp;'0. Instruções'!$D$43&amp;")Y"</f>
        <v>(SELECT entty_id AS entty_id_SIMUL, pure_capex_ce AS pure_capex_ce_SIMUL FROM BU_LOANTAPE_WORK.SIMUL_LT003_ENTITY WHERE ref_date='${ref_date}' AND nome_perimetro='Individual Local' AND segmento='ESTR' AND ambito='PILAR3' AND entidade='00100')Y</v>
      </c>
      <c r="K542" s="35" t="str">
        <f>+UPPER("ON X."&amp;VLOOKUP(B542,'0. Instruções'!$C$27:$G$32,4,FALSE)&amp;"=Y."&amp;VLOOKUP(B542,'0. Instruções'!$C$27:$G$32,4,FALSE)&amp;"_SIMUL")</f>
        <v>ON X.ENTTY_ID=Y.ENTTY_ID_SIMUL</v>
      </c>
      <c r="L542" s="35" t="str">
        <f>+IF(C542="Coerência", +IF(LEFT(G542,5)="FLOAT","SELECT '"&amp;UPPER(B542)&amp;"' AS TABELA, '"&amp;UPPER(C542)&amp;"' AS TIPOLOGIA_TESTE,'"&amp;D542&amp;"' AS TABELA_LT,'"&amp;E542&amp;"' AS TABELA_SIMUL,'"&amp;F542&amp;"' AS CAMPO, "&amp;"'${ref_date}' AS REF_DATE, COUNT(*) AS NUM_REG, SUM(IF((ABS(COALESCE(CAST(X."&amp;F542&amp;" AS DECIMAL(18,6)),0)-COALESCE(CAST(Y."&amp;F542&amp;"_SIMUL AS DECIMAL(18,6)),0))&gt;0.000001) OR (X."&amp;F542&amp;" IS NULL AND Y."&amp;F542&amp;"_SIMUL IS NOT NULL ) OR (X."&amp;F542&amp;" IS NOT NULL AND Y."&amp;F542&amp;"_SIMUL IS NULL),1,0)) AS NUM_REG_DIF,'"&amp;MAX('ID1&amp;5'!K:K)+1&amp;"' AS ID_EXEC, CURRENT_TIMESTAMP() AS TIME_EXEC FROM "&amp;I542&amp;" INNER JOIN "&amp;J542&amp;" "&amp;K542,"SELECT '"&amp;UPPER(B542)&amp;"' AS TABELA, '"&amp;UPPER(C542)&amp;"' AS TIPOLOGIA_TESTE,'"&amp;D542&amp;"' AS TABELA_LT,'"&amp;E542&amp;"' AS TABELA_SIMUL,'"&amp;F542&amp;"' AS CAMPO, "&amp;"'${ref_date}' AS REF_DATE, COUNT(*) AS NUM_REG, SUM(IF(COALESCE(CAST(X."&amp;F542&amp;" AS STRING),'')&lt;&gt;COALESCE(CAST(Y."&amp;F542&amp;"_SIMUL AS STRING),'') OR (X."&amp;F542&amp;" IS NULL AND Y."&amp;F542&amp;"_SIMUL IS NOT NULL ) OR (X."&amp;F542&amp;" IS NOT NULL AND Y."&amp;F542&amp;"_SIMUL IS NULL),1,0)) AS NUM_REG_DIF,'"&amp;MAX('ID1&amp;5'!L:L)+1&amp;"' AS ID_EXEC, CURRENT_TIMESTAMP() AS TIME_EXEC FROM "&amp;I542&amp;" INNER JOIN "&amp;J542&amp;" "&amp;K542),
IF(C542="Validade",+IF(G542="Code List","SELECT '"&amp;UPPER(B542)&amp;"' AS TABELA, '"&amp;UPPER(C542)&amp;"' AS TIPOLOGIA_TESTE,'"&amp;D542&amp;"' AS TABELA_LT,'N/A' AS TABELA_SIMUL,'"&amp;F542&amp;"' AS CAMPO, "&amp;"'${ref_date}' AS REF_DATE, COUNT(*) AS NUM_REG, SUM(IF(TRIM(CAST(X."&amp;F542&amp;" AS STRING))='' OR TRIM(CAST(X."&amp;F542&amp;" AS STRING)) IS NULL OR CAST(X."&amp;F542&amp;" AS STRING) NOT "&amp;H542&amp;",1,0)) AS NUM_REG_DIF,'"&amp;MAX('ID1&amp;5'!K:K)+1&amp;"' AS ID_EXEC, CURRENT_TIMESTAMP() AS TIME_EXEC FROM "&amp;I542,"SELECT '"&amp;UPPER(B542)&amp;"' AS TABELA, '"&amp;UPPER(C542)&amp;"' AS TIPOLOGIA_TESTE,'"&amp;D542&amp;"' AS TABELA_LT,'N/A' AS TABELA_SIMUL,'"&amp;F542&amp;"' AS CAMPO, "&amp;"'${ref_date}' AS REF_DATE, COUNT(*) AS NUM_REG, SUM(IF(TRIM(CAST(X."&amp;F542&amp;" AS STRING))='' OR TRIM(CAST(X."&amp;F542&amp;" AS STRING)) IS NULL,1,0)) AS NUM_REG_DIF,'"&amp;MAX('ID1&amp;5'!K:K)+1&amp;"' AS ID_EXEC, CURRENT_TIMESTAMP() AS TIME_EXEC FROM "&amp;I542),
IF(C542="Caracteres Especiais",+"SELECT '"&amp;UPPER(B542)&amp;"' AS TABELA, '"&amp;UPPER(C542)&amp;"' AS TIPOLOGIA_TESTE,'"&amp;D542&amp;"' AS TABELA_LT,'N/A' AS TABELA_SIMUL,'"&amp;F542&amp;"' AS CAMPO, "&amp;"'${ref_date}' AS REF_DATE, COUNT(*) AS NUM_REG, SUM(IF(REGEXP_REPLACE(TRIM(CAST(X."&amp;F542&amp;" AS STRING)),'[^a-zA-Z0-9_\\s]','') &lt;&gt;TRIM(CAST(X."&amp;F542&amp;" AS STRING)),1,0)) AS NUM_REG_DIF,'"&amp;MAX('ID1&amp;5'!K:K)+1&amp;"' AS ID_EXEC, CURRENT_TIMESTAMP() AS TIME_EXEC FROM "&amp;I542,
IF(C542="Missings",+"SELECT '"&amp;UPPER(B542)&amp;"' AS TABELA, '"&amp;UPPER(C542)&amp;"' AS TIPOLOGIA_TESTE,'"&amp;D542&amp;"' AS TABELA_LT,'N/A' AS TABELA_SIMUL,'"&amp;F542&amp;"' AS CAMPO, "&amp;"'${ref_date}' AS REF_DATE, COUNT(*) AS NUM_REG, SUM(IF(TRIM(CAST(X."&amp;F542&amp;" AS STRING)) IN ('0000-00-00','0001-01-01','9999-12-31','MISS','00000','99999999999','99999999999.00','99999999999.000000'),1,0)) AS NUM_REG_DIF,'"&amp;MAX('ID1&amp;5'!K:K)+1&amp;"' AS ID_EXEC, CURRENT_TIMESTAMP() AS TIME_EXEC FROM "&amp;I542,
IF(C542="Not applicable",+"SELECT '"&amp;UPPER(B542)&amp;"' AS TABELA, '"&amp;UPPER(C542)&amp;"' AS TIPOLOGIA_TESTE,'"&amp;D542&amp;"' AS TABELA_LT,'N/A' AS TABELA_SIMUL,'"&amp;F542&amp;"' AS CAMPO, "&amp;"'${ref_date}' AS REF_DATE, COUNT(*) AS NUM_REG, SUM(IF(TRIM(CAST(X."&amp;F542&amp;" AS STRING)) IN ('N/A','11111111111','11111111111.00','11111111111.000000','1111-11-11'),1,0)) AS NUM_REG_DIF,'"&amp;MAX('ID1&amp;5'!K:K)+1&amp;"' AS ID_EXEC, CURRENT_TIMESTAMP() AS TIME_EXEC FROM "&amp;I542,
IF(C542="Valores extremos",+"SELECT '"&amp;UPPER(B542)&amp;"' AS TABELA, '"&amp;UPPER(C542)&amp;"' AS TIPOLOGIA_TESTE,'"&amp;D542&amp;"' AS TABELA_LT,'N/A' AS TABELA_SIMUL,'"&amp;F542&amp;"' AS CAMPO, "&amp;"'${ref_date}' AS REF_DATE, CAST(MIN("&amp;F542&amp;") AS STRING) AS VALOR_MIN, CAST(MAX("&amp;F542&amp;") AS STRING) AS VALOR_MAX,'"&amp;MAX('ID1&amp;5'!K:K)+1&amp;"' AS ID_EXEC, CURRENT_TIMESTAMP() AS TIME_EXEC FROM "&amp;MID(I542,1,LEN(I542)-2)&amp;" AND CAST("&amp;F542&amp;"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TABELA_SIMUL,'pure_capex_ce' AS CAMPO, '${ref_date}' AS REF_DATE, COUNT(*) AS NUM_REG, SUM(IF(COALESCE(CAST(X.pure_capex_ce AS STRING),'')&lt;&gt;COALESCE(CAST(Y.pure_capex_ce_SIMUL AS STRING),'') OR (X.pure_capex_ce IS NULL AND Y.pure_capex_ce_SIMUL IS NOT NULL ) OR (X.pure_capex_ce IS NOT NULL AND Y.pure_capex_ce_SIMUL IS NULL),1,0)) AS NUM_REG_DIF,'1' AS ID_EXEC, CURRENT_TIMESTAMP() AS TIME_EXEC FROM (SELECT entty_id, pure_capex_ce FROM BU_LOANTAPE_WORK.LT003_ENTITY WHERE ref_date='${ref_date}' AND nome_perimetro='Individual Local' AND segmento='ESTR' AND ambito='SRB_MBDT' AND entidade='00100')X INNER JOIN (SELECT entty_id AS entty_id_SIMUL, pure_capex_ce AS pure_capex_ce_SIMUL FROM BU_LOANTAPE_WORK.SIMUL_LT003_ENTITY WHERE ref_date='${ref_date}' AND nome_perimetro='Individual Local' AND segmento='ESTR' AND ambito='PILAR3' AND entidade='00100')Y ON X.ENTTY_ID=Y.ENTTY_ID_SIMUL</v>
      </c>
      <c r="M542" s="36" t="str">
        <f t="shared" si="11"/>
        <v>UNION ALL SELECT 'ENTITY' AS TABELA, 'COERÊNCIA' AS TIPOLOGIA_TESTE,'BU_LOANTAPE_WORK.LT003_ENTITY' AS TABELA_LT,'BU_LOANTAPE_WORK.SIMUL_LT003_ENTITY' AS TABELA_SIMUL,'pure_capex_ce' AS CAMPO, '${ref_date}' AS REF_DATE, COUNT(*) AS NUM_REG, SUM(IF(COALESCE(CAST(X.pure_capex_ce AS STRING),'')&lt;&gt;COALESCE(CAST(Y.pure_capex_ce_SIMUL AS STRING),'') OR (X.pure_capex_ce IS NULL AND Y.pure_capex_ce_SIMUL IS NOT NULL ) OR (X.pure_capex_ce IS NOT NULL AND Y.pure_capex_ce_SIMUL IS NULL),1,0)) AS NUM_REG_DIF,'1' AS ID_EXEC, CURRENT_TIMESTAMP() AS TIME_EXEC FROM (SELECT entty_id, pure_capex_ce FROM BU_LOANTAPE_WORK.LT003_ENTITY WHERE ref_date='${ref_date}' AND nome_perimetro='Individual Local' AND segmento='ESTR' AND ambito='SRB_MBDT' AND entidade='00100')X INNER JOIN (SELECT entty_id AS entty_id_SIMUL, pure_capex_ce AS pure_capex_ce_SIMUL FROM BU_LOANTAPE_WORK.SIMUL_LT003_ENTITY WHERE ref_date='${ref_date}' AND nome_perimetro='Individual Local' AND segmento='ESTR' AND ambito='PILAR3' AND entidade='00100')Y ON X.ENTTY_ID=Y.ENTTY_ID_SIMUL</v>
      </c>
    </row>
    <row r="543" spans="2:13">
      <c r="B543" s="34" t="s">
        <v>118</v>
      </c>
      <c r="C543" s="34" t="s">
        <v>5</v>
      </c>
      <c r="D543" s="34" t="str">
        <f>+UPPER('0. Instruções'!$D$35&amp;"."&amp;VLOOKUP(B543,'0. Instruções'!$C$27:$D$32,2,FALSE))</f>
        <v>BU_LOANTAPE_WORK.LT003_ENTITY</v>
      </c>
      <c r="E543" s="34" t="str">
        <f>+UPPER('0. Instruções'!$D$36&amp;"."&amp;VLOOKUP(B543,'0. Instruções'!$C$27:$E$32,3,FALSE))</f>
        <v>BU_LOANTAPE_WORK.SIMUL_LT003_ENTITY</v>
      </c>
      <c r="F543" s="34" t="s">
        <v>722</v>
      </c>
      <c r="G543" s="34"/>
      <c r="H543" s="34"/>
      <c r="I543" s="34" t="str">
        <f>"(SELECT "&amp;VLOOKUP(B543,'0. Instruções'!$C$27:$G$32,4,FALSE)&amp;", "&amp;F543&amp;" FROM "&amp;D543&amp;" WHERE "&amp;'0. Instruções'!$D$42&amp;")X"</f>
        <v>(SELECT entty_id, pure_trnvr_ce FROM BU_LOANTAPE_WORK.LT003_ENTITY WHERE ref_date='${ref_date}' AND nome_perimetro='Individual Local' AND segmento='ESTR' AND ambito='SRB_MBDT' AND entidade='00100')X</v>
      </c>
      <c r="J543" s="34" t="str">
        <f>"(SELECT "&amp;VLOOKUP(B543,'0. Instruções'!$C$27:$G$32,4,FALSE)&amp;" AS "&amp;VLOOKUP(B543,'0. Instruções'!$C$27:$G$32,4,FALSE)&amp;"_SIMUL, "&amp;F543&amp;" AS "&amp;F543&amp;"_SIMUL FROM "&amp;E543&amp;" WHERE "&amp;'0. Instruções'!$D$43&amp;")Y"</f>
        <v>(SELECT entty_id AS entty_id_SIMUL, pure_trnvr_ce AS pure_trnvr_ce_SIMUL FROM BU_LOANTAPE_WORK.SIMUL_LT003_ENTITY WHERE ref_date='${ref_date}' AND nome_perimetro='Individual Local' AND segmento='ESTR' AND ambito='PILAR3' AND entidade='00100')Y</v>
      </c>
      <c r="K543" s="35" t="str">
        <f>+UPPER("ON X."&amp;VLOOKUP(B543,'0. Instruções'!$C$27:$G$32,4,FALSE)&amp;"=Y."&amp;VLOOKUP(B543,'0. Instruções'!$C$27:$G$32,4,FALSE)&amp;"_SIMUL")</f>
        <v>ON X.ENTTY_ID=Y.ENTTY_ID_SIMUL</v>
      </c>
      <c r="L543" s="35" t="str">
        <f>+IF(C543="Coerência", +IF(LEFT(G543,5)="FLOAT","SELECT '"&amp;UPPER(B543)&amp;"' AS TABELA, '"&amp;UPPER(C543)&amp;"' AS TIPOLOGIA_TESTE,'"&amp;D543&amp;"' AS TABELA_LT,'"&amp;E543&amp;"' AS TABELA_SIMUL,'"&amp;F543&amp;"' AS CAMPO, "&amp;"'${ref_date}' AS REF_DATE, COUNT(*) AS NUM_REG, SUM(IF((ABS(COALESCE(CAST(X."&amp;F543&amp;" AS DECIMAL(18,6)),0)-COALESCE(CAST(Y."&amp;F543&amp;"_SIMUL AS DECIMAL(18,6)),0))&gt;0.000001) OR (X."&amp;F543&amp;" IS NULL AND Y."&amp;F543&amp;"_SIMUL IS NOT NULL ) OR (X."&amp;F543&amp;" IS NOT NULL AND Y."&amp;F543&amp;"_SIMUL IS NULL),1,0)) AS NUM_REG_DIF,'"&amp;MAX('ID1&amp;5'!K:K)+1&amp;"' AS ID_EXEC, CURRENT_TIMESTAMP() AS TIME_EXEC FROM "&amp;I543&amp;" INNER JOIN "&amp;J543&amp;" "&amp;K543,"SELECT '"&amp;UPPER(B543)&amp;"' AS TABELA, '"&amp;UPPER(C543)&amp;"' AS TIPOLOGIA_TESTE,'"&amp;D543&amp;"' AS TABELA_LT,'"&amp;E543&amp;"' AS TABELA_SIMUL,'"&amp;F543&amp;"' AS CAMPO, "&amp;"'${ref_date}' AS REF_DATE, COUNT(*) AS NUM_REG, SUM(IF(COALESCE(CAST(X."&amp;F543&amp;" AS STRING),'')&lt;&gt;COALESCE(CAST(Y."&amp;F543&amp;"_SIMUL AS STRING),'') OR (X."&amp;F543&amp;" IS NULL AND Y."&amp;F543&amp;"_SIMUL IS NOT NULL ) OR (X."&amp;F543&amp;" IS NOT NULL AND Y."&amp;F543&amp;"_SIMUL IS NULL),1,0)) AS NUM_REG_DIF,'"&amp;MAX('ID1&amp;5'!L:L)+1&amp;"' AS ID_EXEC, CURRENT_TIMESTAMP() AS TIME_EXEC FROM "&amp;I543&amp;" INNER JOIN "&amp;J543&amp;" "&amp;K543),
IF(C543="Validade",+IF(G543="Code List","SELECT '"&amp;UPPER(B543)&amp;"' AS TABELA, '"&amp;UPPER(C543)&amp;"' AS TIPOLOGIA_TESTE,'"&amp;D543&amp;"' AS TABELA_LT,'N/A' AS TABELA_SIMUL,'"&amp;F543&amp;"' AS CAMPO, "&amp;"'${ref_date}' AS REF_DATE, COUNT(*) AS NUM_REG, SUM(IF(TRIM(CAST(X."&amp;F543&amp;" AS STRING))='' OR TRIM(CAST(X."&amp;F543&amp;" AS STRING)) IS NULL OR CAST(X."&amp;F543&amp;" AS STRING) NOT "&amp;H543&amp;",1,0)) AS NUM_REG_DIF,'"&amp;MAX('ID1&amp;5'!K:K)+1&amp;"' AS ID_EXEC, CURRENT_TIMESTAMP() AS TIME_EXEC FROM "&amp;I543,"SELECT '"&amp;UPPER(B543)&amp;"' AS TABELA, '"&amp;UPPER(C543)&amp;"' AS TIPOLOGIA_TESTE,'"&amp;D543&amp;"' AS TABELA_LT,'N/A' AS TABELA_SIMUL,'"&amp;F543&amp;"' AS CAMPO, "&amp;"'${ref_date}' AS REF_DATE, COUNT(*) AS NUM_REG, SUM(IF(TRIM(CAST(X."&amp;F543&amp;" AS STRING))='' OR TRIM(CAST(X."&amp;F543&amp;" AS STRING)) IS NULL,1,0)) AS NUM_REG_DIF,'"&amp;MAX('ID1&amp;5'!K:K)+1&amp;"' AS ID_EXEC, CURRENT_TIMESTAMP() AS TIME_EXEC FROM "&amp;I543),
IF(C543="Caracteres Especiais",+"SELECT '"&amp;UPPER(B543)&amp;"' AS TABELA, '"&amp;UPPER(C543)&amp;"' AS TIPOLOGIA_TESTE,'"&amp;D543&amp;"' AS TABELA_LT,'N/A' AS TABELA_SIMUL,'"&amp;F543&amp;"' AS CAMPO, "&amp;"'${ref_date}' AS REF_DATE, COUNT(*) AS NUM_REG, SUM(IF(REGEXP_REPLACE(TRIM(CAST(X."&amp;F543&amp;" AS STRING)),'[^a-zA-Z0-9_\\s]','') &lt;&gt;TRIM(CAST(X."&amp;F543&amp;" AS STRING)),1,0)) AS NUM_REG_DIF,'"&amp;MAX('ID1&amp;5'!K:K)+1&amp;"' AS ID_EXEC, CURRENT_TIMESTAMP() AS TIME_EXEC FROM "&amp;I543,
IF(C543="Missings",+"SELECT '"&amp;UPPER(B543)&amp;"' AS TABELA, '"&amp;UPPER(C543)&amp;"' AS TIPOLOGIA_TESTE,'"&amp;D543&amp;"' AS TABELA_LT,'N/A' AS TABELA_SIMUL,'"&amp;F543&amp;"' AS CAMPO, "&amp;"'${ref_date}' AS REF_DATE, COUNT(*) AS NUM_REG, SUM(IF(TRIM(CAST(X."&amp;F543&amp;" AS STRING)) IN ('0000-00-00','0001-01-01','9999-12-31','MISS','00000','99999999999','99999999999.00','99999999999.000000'),1,0)) AS NUM_REG_DIF,'"&amp;MAX('ID1&amp;5'!K:K)+1&amp;"' AS ID_EXEC, CURRENT_TIMESTAMP() AS TIME_EXEC FROM "&amp;I543,
IF(C543="Not applicable",+"SELECT '"&amp;UPPER(B543)&amp;"' AS TABELA, '"&amp;UPPER(C543)&amp;"' AS TIPOLOGIA_TESTE,'"&amp;D543&amp;"' AS TABELA_LT,'N/A' AS TABELA_SIMUL,'"&amp;F543&amp;"' AS CAMPO, "&amp;"'${ref_date}' AS REF_DATE, COUNT(*) AS NUM_REG, SUM(IF(TRIM(CAST(X."&amp;F543&amp;" AS STRING)) IN ('N/A','11111111111','11111111111.00','11111111111.000000','1111-11-11'),1,0)) AS NUM_REG_DIF,'"&amp;MAX('ID1&amp;5'!K:K)+1&amp;"' AS ID_EXEC, CURRENT_TIMESTAMP() AS TIME_EXEC FROM "&amp;I543,
IF(C543="Valores extremos",+"SELECT '"&amp;UPPER(B543)&amp;"' AS TABELA, '"&amp;UPPER(C543)&amp;"' AS TIPOLOGIA_TESTE,'"&amp;D543&amp;"' AS TABELA_LT,'N/A' AS TABELA_SIMUL,'"&amp;F543&amp;"' AS CAMPO, "&amp;"'${ref_date}' AS REF_DATE, CAST(MIN("&amp;F543&amp;") AS STRING) AS VALOR_MIN, CAST(MAX("&amp;F543&amp;") AS STRING) AS VALOR_MAX,'"&amp;MAX('ID1&amp;5'!K:K)+1&amp;"' AS ID_EXEC, CURRENT_TIMESTAMP() AS TIME_EXEC FROM "&amp;MID(I543,1,LEN(I543)-2)&amp;" AND CAST("&amp;F543&amp;"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TABELA_SIMUL,'pure_trnvr_ce' AS CAMPO, '${ref_date}' AS REF_DATE, COUNT(*) AS NUM_REG, SUM(IF(COALESCE(CAST(X.pure_trnvr_ce AS STRING),'')&lt;&gt;COALESCE(CAST(Y.pure_trnvr_ce_SIMUL AS STRING),'') OR (X.pure_trnvr_ce IS NULL AND Y.pure_trnvr_ce_SIMUL IS NOT NULL ) OR (X.pure_trnvr_ce IS NOT NULL AND Y.pure_trnvr_ce_SIMUL IS NULL),1,0)) AS NUM_REG_DIF,'1' AS ID_EXEC, CURRENT_TIMESTAMP() AS TIME_EXEC FROM (SELECT entty_id, pure_trnvr_ce FROM BU_LOANTAPE_WORK.LT003_ENTITY WHERE ref_date='${ref_date}' AND nome_perimetro='Individual Local' AND segmento='ESTR' AND ambito='SRB_MBDT' AND entidade='00100')X INNER JOIN (SELECT entty_id AS entty_id_SIMUL, pure_trnvr_ce AS pure_trnvr_ce_SIMUL FROM BU_LOANTAPE_WORK.SIMUL_LT003_ENTITY WHERE ref_date='${ref_date}' AND nome_perimetro='Individual Local' AND segmento='ESTR' AND ambito='PILAR3' AND entidade='00100')Y ON X.ENTTY_ID=Y.ENTTY_ID_SIMUL</v>
      </c>
      <c r="M543" s="36" t="str">
        <f t="shared" si="11"/>
        <v>UNION ALL SELECT 'ENTITY' AS TABELA, 'COERÊNCIA' AS TIPOLOGIA_TESTE,'BU_LOANTAPE_WORK.LT003_ENTITY' AS TABELA_LT,'BU_LOANTAPE_WORK.SIMUL_LT003_ENTITY' AS TABELA_SIMUL,'pure_trnvr_ce' AS CAMPO, '${ref_date}' AS REF_DATE, COUNT(*) AS NUM_REG, SUM(IF(COALESCE(CAST(X.pure_trnvr_ce AS STRING),'')&lt;&gt;COALESCE(CAST(Y.pure_trnvr_ce_SIMUL AS STRING),'') OR (X.pure_trnvr_ce IS NULL AND Y.pure_trnvr_ce_SIMUL IS NOT NULL ) OR (X.pure_trnvr_ce IS NOT NULL AND Y.pure_trnvr_ce_SIMUL IS NULL),1,0)) AS NUM_REG_DIF,'1' AS ID_EXEC, CURRENT_TIMESTAMP() AS TIME_EXEC FROM (SELECT entty_id, pure_trnvr_ce FROM BU_LOANTAPE_WORK.LT003_ENTITY WHERE ref_date='${ref_date}' AND nome_perimetro='Individual Local' AND segmento='ESTR' AND ambito='SRB_MBDT' AND entidade='00100')X INNER JOIN (SELECT entty_id AS entty_id_SIMUL, pure_trnvr_ce AS pure_trnvr_ce_SIMUL FROM BU_LOANTAPE_WORK.SIMUL_LT003_ENTITY WHERE ref_date='${ref_date}' AND nome_perimetro='Individual Local' AND segmento='ESTR' AND ambito='PILAR3' AND entidade='00100')Y ON X.ENTTY_ID=Y.ENTTY_ID_SIMUL</v>
      </c>
    </row>
    <row r="544" spans="2:13">
      <c r="B544" s="34" t="s">
        <v>118</v>
      </c>
      <c r="C544" s="34" t="s">
        <v>5</v>
      </c>
      <c r="D544" s="34" t="str">
        <f>+UPPER('0. Instruções'!$D$35&amp;"."&amp;VLOOKUP(B544,'0. Instruções'!$C$27:$D$32,2,FALSE))</f>
        <v>BU_LOANTAPE_WORK.LT003_ENTITY</v>
      </c>
      <c r="E544" s="34" t="str">
        <f>+UPPER('0. Instruções'!$D$36&amp;"."&amp;VLOOKUP(B544,'0. Instruções'!$C$27:$E$32,3,FALSE))</f>
        <v>BU_LOANTAPE_WORK.SIMUL_LT003_ENTITY</v>
      </c>
      <c r="F544" s="34" t="s">
        <v>723</v>
      </c>
      <c r="G544" s="34"/>
      <c r="H544" s="34"/>
      <c r="I544" s="34" t="str">
        <f>"(SELECT "&amp;VLOOKUP(B544,'0. Instruções'!$C$27:$G$32,4,FALSE)&amp;", "&amp;F544&amp;" FROM "&amp;D544&amp;" WHERE "&amp;'0. Instruções'!$D$42&amp;")X"</f>
        <v>(SELECT entty_id, enblng_capex_w FROM BU_LOANTAPE_WORK.LT003_ENTITY WHERE ref_date='${ref_date}' AND nome_perimetro='Individual Local' AND segmento='ESTR' AND ambito='SRB_MBDT' AND entidade='00100')X</v>
      </c>
      <c r="J544" s="34" t="str">
        <f>"(SELECT "&amp;VLOOKUP(B544,'0. Instruções'!$C$27:$G$32,4,FALSE)&amp;" AS "&amp;VLOOKUP(B544,'0. Instruções'!$C$27:$G$32,4,FALSE)&amp;"_SIMUL, "&amp;F544&amp;" AS "&amp;F544&amp;"_SIMUL FROM "&amp;E544&amp;" WHERE "&amp;'0. Instruções'!$D$43&amp;")Y"</f>
        <v>(SELECT entty_id AS entty_id_SIMUL, enblng_capex_w AS enblng_capex_w_SIMUL FROM BU_LOANTAPE_WORK.SIMUL_LT003_ENTITY WHERE ref_date='${ref_date}' AND nome_perimetro='Individual Local' AND segmento='ESTR' AND ambito='PILAR3' AND entidade='00100')Y</v>
      </c>
      <c r="K544" s="35" t="str">
        <f>+UPPER("ON X."&amp;VLOOKUP(B544,'0. Instruções'!$C$27:$G$32,4,FALSE)&amp;"=Y."&amp;VLOOKUP(B544,'0. Instruções'!$C$27:$G$32,4,FALSE)&amp;"_SIMUL")</f>
        <v>ON X.ENTTY_ID=Y.ENTTY_ID_SIMUL</v>
      </c>
      <c r="L544" s="35" t="str">
        <f>+IF(C544="Coerência", +IF(LEFT(G544,5)="FLOAT","SELECT '"&amp;UPPER(B544)&amp;"' AS TABELA, '"&amp;UPPER(C544)&amp;"' AS TIPOLOGIA_TESTE,'"&amp;D544&amp;"' AS TABELA_LT,'"&amp;E544&amp;"' AS TABELA_SIMUL,'"&amp;F544&amp;"' AS CAMPO, "&amp;"'${ref_date}' AS REF_DATE, COUNT(*) AS NUM_REG, SUM(IF((ABS(COALESCE(CAST(X."&amp;F544&amp;" AS DECIMAL(18,6)),0)-COALESCE(CAST(Y."&amp;F544&amp;"_SIMUL AS DECIMAL(18,6)),0))&gt;0.000001) OR (X."&amp;F544&amp;" IS NULL AND Y."&amp;F544&amp;"_SIMUL IS NOT NULL ) OR (X."&amp;F544&amp;" IS NOT NULL AND Y."&amp;F544&amp;"_SIMUL IS NULL),1,0)) AS NUM_REG_DIF,'"&amp;MAX('ID1&amp;5'!K:K)+1&amp;"' AS ID_EXEC, CURRENT_TIMESTAMP() AS TIME_EXEC FROM "&amp;I544&amp;" INNER JOIN "&amp;J544&amp;" "&amp;K544,"SELECT '"&amp;UPPER(B544)&amp;"' AS TABELA, '"&amp;UPPER(C544)&amp;"' AS TIPOLOGIA_TESTE,'"&amp;D544&amp;"' AS TABELA_LT,'"&amp;E544&amp;"' AS TABELA_SIMUL,'"&amp;F544&amp;"' AS CAMPO, "&amp;"'${ref_date}' AS REF_DATE, COUNT(*) AS NUM_REG, SUM(IF(COALESCE(CAST(X."&amp;F544&amp;" AS STRING),'')&lt;&gt;COALESCE(CAST(Y."&amp;F544&amp;"_SIMUL AS STRING),'') OR (X."&amp;F544&amp;" IS NULL AND Y."&amp;F544&amp;"_SIMUL IS NOT NULL ) OR (X."&amp;F544&amp;" IS NOT NULL AND Y."&amp;F544&amp;"_SIMUL IS NULL),1,0)) AS NUM_REG_DIF,'"&amp;MAX('ID1&amp;5'!L:L)+1&amp;"' AS ID_EXEC, CURRENT_TIMESTAMP() AS TIME_EXEC FROM "&amp;I544&amp;" INNER JOIN "&amp;J544&amp;" "&amp;K544),
IF(C544="Validade",+IF(G544="Code List","SELECT '"&amp;UPPER(B544)&amp;"' AS TABELA, '"&amp;UPPER(C544)&amp;"' AS TIPOLOGIA_TESTE,'"&amp;D544&amp;"' AS TABELA_LT,'N/A' AS TABELA_SIMUL,'"&amp;F544&amp;"' AS CAMPO, "&amp;"'${ref_date}' AS REF_DATE, COUNT(*) AS NUM_REG, SUM(IF(TRIM(CAST(X."&amp;F544&amp;" AS STRING))='' OR TRIM(CAST(X."&amp;F544&amp;" AS STRING)) IS NULL OR CAST(X."&amp;F544&amp;" AS STRING) NOT "&amp;H544&amp;",1,0)) AS NUM_REG_DIF,'"&amp;MAX('ID1&amp;5'!K:K)+1&amp;"' AS ID_EXEC, CURRENT_TIMESTAMP() AS TIME_EXEC FROM "&amp;I544,"SELECT '"&amp;UPPER(B544)&amp;"' AS TABELA, '"&amp;UPPER(C544)&amp;"' AS TIPOLOGIA_TESTE,'"&amp;D544&amp;"' AS TABELA_LT,'N/A' AS TABELA_SIMUL,'"&amp;F544&amp;"' AS CAMPO, "&amp;"'${ref_date}' AS REF_DATE, COUNT(*) AS NUM_REG, SUM(IF(TRIM(CAST(X."&amp;F544&amp;" AS STRING))='' OR TRIM(CAST(X."&amp;F544&amp;" AS STRING)) IS NULL,1,0)) AS NUM_REG_DIF,'"&amp;MAX('ID1&amp;5'!K:K)+1&amp;"' AS ID_EXEC, CURRENT_TIMESTAMP() AS TIME_EXEC FROM "&amp;I544),
IF(C544="Caracteres Especiais",+"SELECT '"&amp;UPPER(B544)&amp;"' AS TABELA, '"&amp;UPPER(C544)&amp;"' AS TIPOLOGIA_TESTE,'"&amp;D544&amp;"' AS TABELA_LT,'N/A' AS TABELA_SIMUL,'"&amp;F544&amp;"' AS CAMPO, "&amp;"'${ref_date}' AS REF_DATE, COUNT(*) AS NUM_REG, SUM(IF(REGEXP_REPLACE(TRIM(CAST(X."&amp;F544&amp;" AS STRING)),'[^a-zA-Z0-9_\\s]','') &lt;&gt;TRIM(CAST(X."&amp;F544&amp;" AS STRING)),1,0)) AS NUM_REG_DIF,'"&amp;MAX('ID1&amp;5'!K:K)+1&amp;"' AS ID_EXEC, CURRENT_TIMESTAMP() AS TIME_EXEC FROM "&amp;I544,
IF(C544="Missings",+"SELECT '"&amp;UPPER(B544)&amp;"' AS TABELA, '"&amp;UPPER(C544)&amp;"' AS TIPOLOGIA_TESTE,'"&amp;D544&amp;"' AS TABELA_LT,'N/A' AS TABELA_SIMUL,'"&amp;F544&amp;"' AS CAMPO, "&amp;"'${ref_date}' AS REF_DATE, COUNT(*) AS NUM_REG, SUM(IF(TRIM(CAST(X."&amp;F544&amp;" AS STRING)) IN ('0000-00-00','0001-01-01','9999-12-31','MISS','00000','99999999999','99999999999.00','99999999999.000000'),1,0)) AS NUM_REG_DIF,'"&amp;MAX('ID1&amp;5'!K:K)+1&amp;"' AS ID_EXEC, CURRENT_TIMESTAMP() AS TIME_EXEC FROM "&amp;I544,
IF(C544="Not applicable",+"SELECT '"&amp;UPPER(B544)&amp;"' AS TABELA, '"&amp;UPPER(C544)&amp;"' AS TIPOLOGIA_TESTE,'"&amp;D544&amp;"' AS TABELA_LT,'N/A' AS TABELA_SIMUL,'"&amp;F544&amp;"' AS CAMPO, "&amp;"'${ref_date}' AS REF_DATE, COUNT(*) AS NUM_REG, SUM(IF(TRIM(CAST(X."&amp;F544&amp;" AS STRING)) IN ('N/A','11111111111','11111111111.00','11111111111.000000','1111-11-11'),1,0)) AS NUM_REG_DIF,'"&amp;MAX('ID1&amp;5'!K:K)+1&amp;"' AS ID_EXEC, CURRENT_TIMESTAMP() AS TIME_EXEC FROM "&amp;I544,
IF(C544="Valores extremos",+"SELECT '"&amp;UPPER(B544)&amp;"' AS TABELA, '"&amp;UPPER(C544)&amp;"' AS TIPOLOGIA_TESTE,'"&amp;D544&amp;"' AS TABELA_LT,'N/A' AS TABELA_SIMUL,'"&amp;F544&amp;"' AS CAMPO, "&amp;"'${ref_date}' AS REF_DATE, CAST(MIN("&amp;F544&amp;") AS STRING) AS VALOR_MIN, CAST(MAX("&amp;F544&amp;") AS STRING) AS VALOR_MAX,'"&amp;MAX('ID1&amp;5'!K:K)+1&amp;"' AS ID_EXEC, CURRENT_TIMESTAMP() AS TIME_EXEC FROM "&amp;MID(I544,1,LEN(I544)-2)&amp;" AND CAST("&amp;F544&amp;"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TABELA_SIMUL,'enblng_capex_w' AS CAMPO, '${ref_date}' AS REF_DATE, COUNT(*) AS NUM_REG, SUM(IF(COALESCE(CAST(X.enblng_capex_w AS STRING),'')&lt;&gt;COALESCE(CAST(Y.enblng_capex_w_SIMUL AS STRING),'') OR (X.enblng_capex_w IS NULL AND Y.enblng_capex_w_SIMUL IS NOT NULL ) OR (X.enblng_capex_w IS NOT NULL AND Y.enblng_capex_w_SIMUL IS NULL),1,0)) AS NUM_REG_DIF,'1' AS ID_EXEC, CURRENT_TIMESTAMP() AS TIME_EXEC FROM (SELECT entty_id, enblng_capex_w FROM BU_LOANTAPE_WORK.LT003_ENTITY WHERE ref_date='${ref_date}' AND nome_perimetro='Individual Local' AND segmento='ESTR' AND ambito='SRB_MBDT' AND entidade='00100')X INNER JOIN (SELECT entty_id AS entty_id_SIMUL, enblng_capex_w AS enblng_capex_w_SIMUL FROM BU_LOANTAPE_WORK.SIMUL_LT003_ENTITY WHERE ref_date='${ref_date}' AND nome_perimetro='Individual Local' AND segmento='ESTR' AND ambito='PILAR3' AND entidade='00100')Y ON X.ENTTY_ID=Y.ENTTY_ID_SIMUL</v>
      </c>
      <c r="M544" s="36" t="str">
        <f t="shared" si="11"/>
        <v>UNION ALL SELECT 'ENTITY' AS TABELA, 'COERÊNCIA' AS TIPOLOGIA_TESTE,'BU_LOANTAPE_WORK.LT003_ENTITY' AS TABELA_LT,'BU_LOANTAPE_WORK.SIMUL_LT003_ENTITY' AS TABELA_SIMUL,'enblng_capex_w' AS CAMPO, '${ref_date}' AS REF_DATE, COUNT(*) AS NUM_REG, SUM(IF(COALESCE(CAST(X.enblng_capex_w AS STRING),'')&lt;&gt;COALESCE(CAST(Y.enblng_capex_w_SIMUL AS STRING),'') OR (X.enblng_capex_w IS NULL AND Y.enblng_capex_w_SIMUL IS NOT NULL ) OR (X.enblng_capex_w IS NOT NULL AND Y.enblng_capex_w_SIMUL IS NULL),1,0)) AS NUM_REG_DIF,'1' AS ID_EXEC, CURRENT_TIMESTAMP() AS TIME_EXEC FROM (SELECT entty_id, enblng_capex_w FROM BU_LOANTAPE_WORK.LT003_ENTITY WHERE ref_date='${ref_date}' AND nome_perimetro='Individual Local' AND segmento='ESTR' AND ambito='SRB_MBDT' AND entidade='00100')X INNER JOIN (SELECT entty_id AS entty_id_SIMUL, enblng_capex_w AS enblng_capex_w_SIMUL FROM BU_LOANTAPE_WORK.SIMUL_LT003_ENTITY WHERE ref_date='${ref_date}' AND nome_perimetro='Individual Local' AND segmento='ESTR' AND ambito='PILAR3' AND entidade='00100')Y ON X.ENTTY_ID=Y.ENTTY_ID_SIMUL</v>
      </c>
    </row>
    <row r="545" spans="2:13">
      <c r="B545" s="34" t="s">
        <v>118</v>
      </c>
      <c r="C545" s="34" t="s">
        <v>5</v>
      </c>
      <c r="D545" s="34" t="str">
        <f>+UPPER('0. Instruções'!$D$35&amp;"."&amp;VLOOKUP(B545,'0. Instruções'!$C$27:$D$32,2,FALSE))</f>
        <v>BU_LOANTAPE_WORK.LT003_ENTITY</v>
      </c>
      <c r="E545" s="34" t="str">
        <f>+UPPER('0. Instruções'!$D$36&amp;"."&amp;VLOOKUP(B545,'0. Instruções'!$C$27:$E$32,3,FALSE))</f>
        <v>BU_LOANTAPE_WORK.SIMUL_LT003_ENTITY</v>
      </c>
      <c r="F545" s="34" t="s">
        <v>724</v>
      </c>
      <c r="G545" s="34"/>
      <c r="H545" s="34"/>
      <c r="I545" s="34" t="str">
        <f>"(SELECT "&amp;VLOOKUP(B545,'0. Instruções'!$C$27:$G$32,4,FALSE)&amp;", "&amp;F545&amp;" FROM "&amp;D545&amp;" WHERE "&amp;'0. Instruções'!$D$42&amp;")X"</f>
        <v>(SELECT entty_id, enblng_trnvr_w FROM BU_LOANTAPE_WORK.LT003_ENTITY WHERE ref_date='${ref_date}' AND nome_perimetro='Individual Local' AND segmento='ESTR' AND ambito='SRB_MBDT' AND entidade='00100')X</v>
      </c>
      <c r="J545" s="34" t="str">
        <f>"(SELECT "&amp;VLOOKUP(B545,'0. Instruções'!$C$27:$G$32,4,FALSE)&amp;" AS "&amp;VLOOKUP(B545,'0. Instruções'!$C$27:$G$32,4,FALSE)&amp;"_SIMUL, "&amp;F545&amp;" AS "&amp;F545&amp;"_SIMUL FROM "&amp;E545&amp;" WHERE "&amp;'0. Instruções'!$D$43&amp;")Y"</f>
        <v>(SELECT entty_id AS entty_id_SIMUL, enblng_trnvr_w AS enblng_trnvr_w_SIMUL FROM BU_LOANTAPE_WORK.SIMUL_LT003_ENTITY WHERE ref_date='${ref_date}' AND nome_perimetro='Individual Local' AND segmento='ESTR' AND ambito='PILAR3' AND entidade='00100')Y</v>
      </c>
      <c r="K545" s="35" t="str">
        <f>+UPPER("ON X."&amp;VLOOKUP(B545,'0. Instruções'!$C$27:$G$32,4,FALSE)&amp;"=Y."&amp;VLOOKUP(B545,'0. Instruções'!$C$27:$G$32,4,FALSE)&amp;"_SIMUL")</f>
        <v>ON X.ENTTY_ID=Y.ENTTY_ID_SIMUL</v>
      </c>
      <c r="L545" s="35" t="str">
        <f>+IF(C545="Coerência", +IF(LEFT(G545,5)="FLOAT","SELECT '"&amp;UPPER(B545)&amp;"' AS TABELA, '"&amp;UPPER(C545)&amp;"' AS TIPOLOGIA_TESTE,'"&amp;D545&amp;"' AS TABELA_LT,'"&amp;E545&amp;"' AS TABELA_SIMUL,'"&amp;F545&amp;"' AS CAMPO, "&amp;"'${ref_date}' AS REF_DATE, COUNT(*) AS NUM_REG, SUM(IF((ABS(COALESCE(CAST(X."&amp;F545&amp;" AS DECIMAL(18,6)),0)-COALESCE(CAST(Y."&amp;F545&amp;"_SIMUL AS DECIMAL(18,6)),0))&gt;0.000001) OR (X."&amp;F545&amp;" IS NULL AND Y."&amp;F545&amp;"_SIMUL IS NOT NULL ) OR (X."&amp;F545&amp;" IS NOT NULL AND Y."&amp;F545&amp;"_SIMUL IS NULL),1,0)) AS NUM_REG_DIF,'"&amp;MAX('ID1&amp;5'!K:K)+1&amp;"' AS ID_EXEC, CURRENT_TIMESTAMP() AS TIME_EXEC FROM "&amp;I545&amp;" INNER JOIN "&amp;J545&amp;" "&amp;K545,"SELECT '"&amp;UPPER(B545)&amp;"' AS TABELA, '"&amp;UPPER(C545)&amp;"' AS TIPOLOGIA_TESTE,'"&amp;D545&amp;"' AS TABELA_LT,'"&amp;E545&amp;"' AS TABELA_SIMUL,'"&amp;F545&amp;"' AS CAMPO, "&amp;"'${ref_date}' AS REF_DATE, COUNT(*) AS NUM_REG, SUM(IF(COALESCE(CAST(X."&amp;F545&amp;" AS STRING),'')&lt;&gt;COALESCE(CAST(Y."&amp;F545&amp;"_SIMUL AS STRING),'') OR (X."&amp;F545&amp;" IS NULL AND Y."&amp;F545&amp;"_SIMUL IS NOT NULL ) OR (X."&amp;F545&amp;" IS NOT NULL AND Y."&amp;F545&amp;"_SIMUL IS NULL),1,0)) AS NUM_REG_DIF,'"&amp;MAX('ID1&amp;5'!L:L)+1&amp;"' AS ID_EXEC, CURRENT_TIMESTAMP() AS TIME_EXEC FROM "&amp;I545&amp;" INNER JOIN "&amp;J545&amp;" "&amp;K545),
IF(C545="Validade",+IF(G545="Code List","SELECT '"&amp;UPPER(B545)&amp;"' AS TABELA, '"&amp;UPPER(C545)&amp;"' AS TIPOLOGIA_TESTE,'"&amp;D545&amp;"' AS TABELA_LT,'N/A' AS TABELA_SIMUL,'"&amp;F545&amp;"' AS CAMPO, "&amp;"'${ref_date}' AS REF_DATE, COUNT(*) AS NUM_REG, SUM(IF(TRIM(CAST(X."&amp;F545&amp;" AS STRING))='' OR TRIM(CAST(X."&amp;F545&amp;" AS STRING)) IS NULL OR CAST(X."&amp;F545&amp;" AS STRING) NOT "&amp;H545&amp;",1,0)) AS NUM_REG_DIF,'"&amp;MAX('ID1&amp;5'!K:K)+1&amp;"' AS ID_EXEC, CURRENT_TIMESTAMP() AS TIME_EXEC FROM "&amp;I545,"SELECT '"&amp;UPPER(B545)&amp;"' AS TABELA, '"&amp;UPPER(C545)&amp;"' AS TIPOLOGIA_TESTE,'"&amp;D545&amp;"' AS TABELA_LT,'N/A' AS TABELA_SIMUL,'"&amp;F545&amp;"' AS CAMPO, "&amp;"'${ref_date}' AS REF_DATE, COUNT(*) AS NUM_REG, SUM(IF(TRIM(CAST(X."&amp;F545&amp;" AS STRING))='' OR TRIM(CAST(X."&amp;F545&amp;" AS STRING)) IS NULL,1,0)) AS NUM_REG_DIF,'"&amp;MAX('ID1&amp;5'!K:K)+1&amp;"' AS ID_EXEC, CURRENT_TIMESTAMP() AS TIME_EXEC FROM "&amp;I545),
IF(C545="Caracteres Especiais",+"SELECT '"&amp;UPPER(B545)&amp;"' AS TABELA, '"&amp;UPPER(C545)&amp;"' AS TIPOLOGIA_TESTE,'"&amp;D545&amp;"' AS TABELA_LT,'N/A' AS TABELA_SIMUL,'"&amp;F545&amp;"' AS CAMPO, "&amp;"'${ref_date}' AS REF_DATE, COUNT(*) AS NUM_REG, SUM(IF(REGEXP_REPLACE(TRIM(CAST(X."&amp;F545&amp;" AS STRING)),'[^a-zA-Z0-9_\\s]','') &lt;&gt;TRIM(CAST(X."&amp;F545&amp;" AS STRING)),1,0)) AS NUM_REG_DIF,'"&amp;MAX('ID1&amp;5'!K:K)+1&amp;"' AS ID_EXEC, CURRENT_TIMESTAMP() AS TIME_EXEC FROM "&amp;I545,
IF(C545="Missings",+"SELECT '"&amp;UPPER(B545)&amp;"' AS TABELA, '"&amp;UPPER(C545)&amp;"' AS TIPOLOGIA_TESTE,'"&amp;D545&amp;"' AS TABELA_LT,'N/A' AS TABELA_SIMUL,'"&amp;F545&amp;"' AS CAMPO, "&amp;"'${ref_date}' AS REF_DATE, COUNT(*) AS NUM_REG, SUM(IF(TRIM(CAST(X."&amp;F545&amp;" AS STRING)) IN ('0000-00-00','0001-01-01','9999-12-31','MISS','00000','99999999999','99999999999.00','99999999999.000000'),1,0)) AS NUM_REG_DIF,'"&amp;MAX('ID1&amp;5'!K:K)+1&amp;"' AS ID_EXEC, CURRENT_TIMESTAMP() AS TIME_EXEC FROM "&amp;I545,
IF(C545="Not applicable",+"SELECT '"&amp;UPPER(B545)&amp;"' AS TABELA, '"&amp;UPPER(C545)&amp;"' AS TIPOLOGIA_TESTE,'"&amp;D545&amp;"' AS TABELA_LT,'N/A' AS TABELA_SIMUL,'"&amp;F545&amp;"' AS CAMPO, "&amp;"'${ref_date}' AS REF_DATE, COUNT(*) AS NUM_REG, SUM(IF(TRIM(CAST(X."&amp;F545&amp;" AS STRING)) IN ('N/A','11111111111','11111111111.00','11111111111.000000','1111-11-11'),1,0)) AS NUM_REG_DIF,'"&amp;MAX('ID1&amp;5'!K:K)+1&amp;"' AS ID_EXEC, CURRENT_TIMESTAMP() AS TIME_EXEC FROM "&amp;I545,
IF(C545="Valores extremos",+"SELECT '"&amp;UPPER(B545)&amp;"' AS TABELA, '"&amp;UPPER(C545)&amp;"' AS TIPOLOGIA_TESTE,'"&amp;D545&amp;"' AS TABELA_LT,'N/A' AS TABELA_SIMUL,'"&amp;F545&amp;"' AS CAMPO, "&amp;"'${ref_date}' AS REF_DATE, CAST(MIN("&amp;F545&amp;") AS STRING) AS VALOR_MIN, CAST(MAX("&amp;F545&amp;") AS STRING) AS VALOR_MAX,'"&amp;MAX('ID1&amp;5'!K:K)+1&amp;"' AS ID_EXEC, CURRENT_TIMESTAMP() AS TIME_EXEC FROM "&amp;MID(I545,1,LEN(I545)-2)&amp;" AND CAST("&amp;F545&amp;"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TABELA_SIMUL,'enblng_trnvr_w' AS CAMPO, '${ref_date}' AS REF_DATE, COUNT(*) AS NUM_REG, SUM(IF(COALESCE(CAST(X.enblng_trnvr_w AS STRING),'')&lt;&gt;COALESCE(CAST(Y.enblng_trnvr_w_SIMUL AS STRING),'') OR (X.enblng_trnvr_w IS NULL AND Y.enblng_trnvr_w_SIMUL IS NOT NULL ) OR (X.enblng_trnvr_w IS NOT NULL AND Y.enblng_trnvr_w_SIMUL IS NULL),1,0)) AS NUM_REG_DIF,'1' AS ID_EXEC, CURRENT_TIMESTAMP() AS TIME_EXEC FROM (SELECT entty_id, enblng_trnvr_w FROM BU_LOANTAPE_WORK.LT003_ENTITY WHERE ref_date='${ref_date}' AND nome_perimetro='Individual Local' AND segmento='ESTR' AND ambito='SRB_MBDT' AND entidade='00100')X INNER JOIN (SELECT entty_id AS entty_id_SIMUL, enblng_trnvr_w AS enblng_trnvr_w_SIMUL FROM BU_LOANTAPE_WORK.SIMUL_LT003_ENTITY WHERE ref_date='${ref_date}' AND nome_perimetro='Individual Local' AND segmento='ESTR' AND ambito='PILAR3' AND entidade='00100')Y ON X.ENTTY_ID=Y.ENTTY_ID_SIMUL</v>
      </c>
      <c r="M545" s="36" t="str">
        <f t="shared" si="11"/>
        <v>UNION ALL SELECT 'ENTITY' AS TABELA, 'COERÊNCIA' AS TIPOLOGIA_TESTE,'BU_LOANTAPE_WORK.LT003_ENTITY' AS TABELA_LT,'BU_LOANTAPE_WORK.SIMUL_LT003_ENTITY' AS TABELA_SIMUL,'enblng_trnvr_w' AS CAMPO, '${ref_date}' AS REF_DATE, COUNT(*) AS NUM_REG, SUM(IF(COALESCE(CAST(X.enblng_trnvr_w AS STRING),'')&lt;&gt;COALESCE(CAST(Y.enblng_trnvr_w_SIMUL AS STRING),'') OR (X.enblng_trnvr_w IS NULL AND Y.enblng_trnvr_w_SIMUL IS NOT NULL ) OR (X.enblng_trnvr_w IS NOT NULL AND Y.enblng_trnvr_w_SIMUL IS NULL),1,0)) AS NUM_REG_DIF,'1' AS ID_EXEC, CURRENT_TIMESTAMP() AS TIME_EXEC FROM (SELECT entty_id, enblng_trnvr_w FROM BU_LOANTAPE_WORK.LT003_ENTITY WHERE ref_date='${ref_date}' AND nome_perimetro='Individual Local' AND segmento='ESTR' AND ambito='SRB_MBDT' AND entidade='00100')X INNER JOIN (SELECT entty_id AS entty_id_SIMUL, enblng_trnvr_w AS enblng_trnvr_w_SIMUL FROM BU_LOANTAPE_WORK.SIMUL_LT003_ENTITY WHERE ref_date='${ref_date}' AND nome_perimetro='Individual Local' AND segmento='ESTR' AND ambito='PILAR3' AND entidade='00100')Y ON X.ENTTY_ID=Y.ENTTY_ID_SIMUL</v>
      </c>
    </row>
    <row r="546" spans="2:13">
      <c r="B546" s="34" t="s">
        <v>118</v>
      </c>
      <c r="C546" s="34" t="s">
        <v>5</v>
      </c>
      <c r="D546" s="34" t="str">
        <f>+UPPER('0. Instruções'!$D$35&amp;"."&amp;VLOOKUP(B546,'0. Instruções'!$C$27:$D$32,2,FALSE))</f>
        <v>BU_LOANTAPE_WORK.LT003_ENTITY</v>
      </c>
      <c r="E546" s="34" t="str">
        <f>+UPPER('0. Instruções'!$D$36&amp;"."&amp;VLOOKUP(B546,'0. Instruções'!$C$27:$E$32,3,FALSE))</f>
        <v>BU_LOANTAPE_WORK.SIMUL_LT003_ENTITY</v>
      </c>
      <c r="F546" s="34" t="s">
        <v>725</v>
      </c>
      <c r="G546" s="34"/>
      <c r="H546" s="34"/>
      <c r="I546" s="34" t="str">
        <f>"(SELECT "&amp;VLOOKUP(B546,'0. Instruções'!$C$27:$G$32,4,FALSE)&amp;", "&amp;F546&amp;" FROM "&amp;D546&amp;" WHERE "&amp;'0. Instruções'!$D$42&amp;")X"</f>
        <v>(SELECT entty_id, enblng_capex_ce FROM BU_LOANTAPE_WORK.LT003_ENTITY WHERE ref_date='${ref_date}' AND nome_perimetro='Individual Local' AND segmento='ESTR' AND ambito='SRB_MBDT' AND entidade='00100')X</v>
      </c>
      <c r="J546" s="34" t="str">
        <f>"(SELECT "&amp;VLOOKUP(B546,'0. Instruções'!$C$27:$G$32,4,FALSE)&amp;" AS "&amp;VLOOKUP(B546,'0. Instruções'!$C$27:$G$32,4,FALSE)&amp;"_SIMUL, "&amp;F546&amp;" AS "&amp;F546&amp;"_SIMUL FROM "&amp;E546&amp;" WHERE "&amp;'0. Instruções'!$D$43&amp;")Y"</f>
        <v>(SELECT entty_id AS entty_id_SIMUL, enblng_capex_ce AS enblng_capex_ce_SIMUL FROM BU_LOANTAPE_WORK.SIMUL_LT003_ENTITY WHERE ref_date='${ref_date}' AND nome_perimetro='Individual Local' AND segmento='ESTR' AND ambito='PILAR3' AND entidade='00100')Y</v>
      </c>
      <c r="K546" s="35" t="str">
        <f>+UPPER("ON X."&amp;VLOOKUP(B546,'0. Instruções'!$C$27:$G$32,4,FALSE)&amp;"=Y."&amp;VLOOKUP(B546,'0. Instruções'!$C$27:$G$32,4,FALSE)&amp;"_SIMUL")</f>
        <v>ON X.ENTTY_ID=Y.ENTTY_ID_SIMUL</v>
      </c>
      <c r="L546" s="35" t="str">
        <f>+IF(C546="Coerência", +IF(LEFT(G546,5)="FLOAT","SELECT '"&amp;UPPER(B546)&amp;"' AS TABELA, '"&amp;UPPER(C546)&amp;"' AS TIPOLOGIA_TESTE,'"&amp;D546&amp;"' AS TABELA_LT,'"&amp;E546&amp;"' AS TABELA_SIMUL,'"&amp;F546&amp;"' AS CAMPO, "&amp;"'${ref_date}' AS REF_DATE, COUNT(*) AS NUM_REG, SUM(IF((ABS(COALESCE(CAST(X."&amp;F546&amp;" AS DECIMAL(18,6)),0)-COALESCE(CAST(Y."&amp;F546&amp;"_SIMUL AS DECIMAL(18,6)),0))&gt;0.000001) OR (X."&amp;F546&amp;" IS NULL AND Y."&amp;F546&amp;"_SIMUL IS NOT NULL ) OR (X."&amp;F546&amp;" IS NOT NULL AND Y."&amp;F546&amp;"_SIMUL IS NULL),1,0)) AS NUM_REG_DIF,'"&amp;MAX('ID1&amp;5'!K:K)+1&amp;"' AS ID_EXEC, CURRENT_TIMESTAMP() AS TIME_EXEC FROM "&amp;I546&amp;" INNER JOIN "&amp;J546&amp;" "&amp;K546,"SELECT '"&amp;UPPER(B546)&amp;"' AS TABELA, '"&amp;UPPER(C546)&amp;"' AS TIPOLOGIA_TESTE,'"&amp;D546&amp;"' AS TABELA_LT,'"&amp;E546&amp;"' AS TABELA_SIMUL,'"&amp;F546&amp;"' AS CAMPO, "&amp;"'${ref_date}' AS REF_DATE, COUNT(*) AS NUM_REG, SUM(IF(COALESCE(CAST(X."&amp;F546&amp;" AS STRING),'')&lt;&gt;COALESCE(CAST(Y."&amp;F546&amp;"_SIMUL AS STRING),'') OR (X."&amp;F546&amp;" IS NULL AND Y."&amp;F546&amp;"_SIMUL IS NOT NULL ) OR (X."&amp;F546&amp;" IS NOT NULL AND Y."&amp;F546&amp;"_SIMUL IS NULL),1,0)) AS NUM_REG_DIF,'"&amp;MAX('ID1&amp;5'!L:L)+1&amp;"' AS ID_EXEC, CURRENT_TIMESTAMP() AS TIME_EXEC FROM "&amp;I546&amp;" INNER JOIN "&amp;J546&amp;" "&amp;K546),
IF(C546="Validade",+IF(G546="Code List","SELECT '"&amp;UPPER(B546)&amp;"' AS TABELA, '"&amp;UPPER(C546)&amp;"' AS TIPOLOGIA_TESTE,'"&amp;D546&amp;"' AS TABELA_LT,'N/A' AS TABELA_SIMUL,'"&amp;F546&amp;"' AS CAMPO, "&amp;"'${ref_date}' AS REF_DATE, COUNT(*) AS NUM_REG, SUM(IF(TRIM(CAST(X."&amp;F546&amp;" AS STRING))='' OR TRIM(CAST(X."&amp;F546&amp;" AS STRING)) IS NULL OR CAST(X."&amp;F546&amp;" AS STRING) NOT "&amp;H546&amp;",1,0)) AS NUM_REG_DIF,'"&amp;MAX('ID1&amp;5'!K:K)+1&amp;"' AS ID_EXEC, CURRENT_TIMESTAMP() AS TIME_EXEC FROM "&amp;I546,"SELECT '"&amp;UPPER(B546)&amp;"' AS TABELA, '"&amp;UPPER(C546)&amp;"' AS TIPOLOGIA_TESTE,'"&amp;D546&amp;"' AS TABELA_LT,'N/A' AS TABELA_SIMUL,'"&amp;F546&amp;"' AS CAMPO, "&amp;"'${ref_date}' AS REF_DATE, COUNT(*) AS NUM_REG, SUM(IF(TRIM(CAST(X."&amp;F546&amp;" AS STRING))='' OR TRIM(CAST(X."&amp;F546&amp;" AS STRING)) IS NULL,1,0)) AS NUM_REG_DIF,'"&amp;MAX('ID1&amp;5'!K:K)+1&amp;"' AS ID_EXEC, CURRENT_TIMESTAMP() AS TIME_EXEC FROM "&amp;I546),
IF(C546="Caracteres Especiais",+"SELECT '"&amp;UPPER(B546)&amp;"' AS TABELA, '"&amp;UPPER(C546)&amp;"' AS TIPOLOGIA_TESTE,'"&amp;D546&amp;"' AS TABELA_LT,'N/A' AS TABELA_SIMUL,'"&amp;F546&amp;"' AS CAMPO, "&amp;"'${ref_date}' AS REF_DATE, COUNT(*) AS NUM_REG, SUM(IF(REGEXP_REPLACE(TRIM(CAST(X."&amp;F546&amp;" AS STRING)),'[^a-zA-Z0-9_\\s]','') &lt;&gt;TRIM(CAST(X."&amp;F546&amp;" AS STRING)),1,0)) AS NUM_REG_DIF,'"&amp;MAX('ID1&amp;5'!K:K)+1&amp;"' AS ID_EXEC, CURRENT_TIMESTAMP() AS TIME_EXEC FROM "&amp;I546,
IF(C546="Missings",+"SELECT '"&amp;UPPER(B546)&amp;"' AS TABELA, '"&amp;UPPER(C546)&amp;"' AS TIPOLOGIA_TESTE,'"&amp;D546&amp;"' AS TABELA_LT,'N/A' AS TABELA_SIMUL,'"&amp;F546&amp;"' AS CAMPO, "&amp;"'${ref_date}' AS REF_DATE, COUNT(*) AS NUM_REG, SUM(IF(TRIM(CAST(X."&amp;F546&amp;" AS STRING)) IN ('0000-00-00','0001-01-01','9999-12-31','MISS','00000','99999999999','99999999999.00','99999999999.000000'),1,0)) AS NUM_REG_DIF,'"&amp;MAX('ID1&amp;5'!K:K)+1&amp;"' AS ID_EXEC, CURRENT_TIMESTAMP() AS TIME_EXEC FROM "&amp;I546,
IF(C546="Not applicable",+"SELECT '"&amp;UPPER(B546)&amp;"' AS TABELA, '"&amp;UPPER(C546)&amp;"' AS TIPOLOGIA_TESTE,'"&amp;D546&amp;"' AS TABELA_LT,'N/A' AS TABELA_SIMUL,'"&amp;F546&amp;"' AS CAMPO, "&amp;"'${ref_date}' AS REF_DATE, COUNT(*) AS NUM_REG, SUM(IF(TRIM(CAST(X."&amp;F546&amp;" AS STRING)) IN ('N/A','11111111111','11111111111.00','11111111111.000000','1111-11-11'),1,0)) AS NUM_REG_DIF,'"&amp;MAX('ID1&amp;5'!K:K)+1&amp;"' AS ID_EXEC, CURRENT_TIMESTAMP() AS TIME_EXEC FROM "&amp;I546,
IF(C546="Valores extremos",+"SELECT '"&amp;UPPER(B546)&amp;"' AS TABELA, '"&amp;UPPER(C546)&amp;"' AS TIPOLOGIA_TESTE,'"&amp;D546&amp;"' AS TABELA_LT,'N/A' AS TABELA_SIMUL,'"&amp;F546&amp;"' AS CAMPO, "&amp;"'${ref_date}' AS REF_DATE, CAST(MIN("&amp;F546&amp;") AS STRING) AS VALOR_MIN, CAST(MAX("&amp;F546&amp;") AS STRING) AS VALOR_MAX,'"&amp;MAX('ID1&amp;5'!K:K)+1&amp;"' AS ID_EXEC, CURRENT_TIMESTAMP() AS TIME_EXEC FROM "&amp;MID(I546,1,LEN(I546)-2)&amp;" AND CAST("&amp;F546&amp;"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TABELA_SIMUL,'enblng_capex_ce' AS CAMPO, '${ref_date}' AS REF_DATE, COUNT(*) AS NUM_REG, SUM(IF(COALESCE(CAST(X.enblng_capex_ce AS STRING),'')&lt;&gt;COALESCE(CAST(Y.enblng_capex_ce_SIMUL AS STRING),'') OR (X.enblng_capex_ce IS NULL AND Y.enblng_capex_ce_SIMUL IS NOT NULL ) OR (X.enblng_capex_ce IS NOT NULL AND Y.enblng_capex_ce_SIMUL IS NULL),1,0)) AS NUM_REG_DIF,'1' AS ID_EXEC, CURRENT_TIMESTAMP() AS TIME_EXEC FROM (SELECT entty_id, enblng_capex_ce FROM BU_LOANTAPE_WORK.LT003_ENTITY WHERE ref_date='${ref_date}' AND nome_perimetro='Individual Local' AND segmento='ESTR' AND ambito='SRB_MBDT' AND entidade='00100')X INNER JOIN (SELECT entty_id AS entty_id_SIMUL, enblng_capex_ce AS enblng_capex_ce_SIMUL FROM BU_LOANTAPE_WORK.SIMUL_LT003_ENTITY WHERE ref_date='${ref_date}' AND nome_perimetro='Individual Local' AND segmento='ESTR' AND ambito='PILAR3' AND entidade='00100')Y ON X.ENTTY_ID=Y.ENTTY_ID_SIMUL</v>
      </c>
      <c r="M546" s="36" t="str">
        <f t="shared" si="11"/>
        <v>UNION ALL SELECT 'ENTITY' AS TABELA, 'COERÊNCIA' AS TIPOLOGIA_TESTE,'BU_LOANTAPE_WORK.LT003_ENTITY' AS TABELA_LT,'BU_LOANTAPE_WORK.SIMUL_LT003_ENTITY' AS TABELA_SIMUL,'enblng_capex_ce' AS CAMPO, '${ref_date}' AS REF_DATE, COUNT(*) AS NUM_REG, SUM(IF(COALESCE(CAST(X.enblng_capex_ce AS STRING),'')&lt;&gt;COALESCE(CAST(Y.enblng_capex_ce_SIMUL AS STRING),'') OR (X.enblng_capex_ce IS NULL AND Y.enblng_capex_ce_SIMUL IS NOT NULL ) OR (X.enblng_capex_ce IS NOT NULL AND Y.enblng_capex_ce_SIMUL IS NULL),1,0)) AS NUM_REG_DIF,'1' AS ID_EXEC, CURRENT_TIMESTAMP() AS TIME_EXEC FROM (SELECT entty_id, enblng_capex_ce FROM BU_LOANTAPE_WORK.LT003_ENTITY WHERE ref_date='${ref_date}' AND nome_perimetro='Individual Local' AND segmento='ESTR' AND ambito='SRB_MBDT' AND entidade='00100')X INNER JOIN (SELECT entty_id AS entty_id_SIMUL, enblng_capex_ce AS enblng_capex_ce_SIMUL FROM BU_LOANTAPE_WORK.SIMUL_LT003_ENTITY WHERE ref_date='${ref_date}' AND nome_perimetro='Individual Local' AND segmento='ESTR' AND ambito='PILAR3' AND entidade='00100')Y ON X.ENTTY_ID=Y.ENTTY_ID_SIMUL</v>
      </c>
    </row>
    <row r="547" spans="2:13">
      <c r="B547" s="34" t="s">
        <v>118</v>
      </c>
      <c r="C547" s="34" t="s">
        <v>5</v>
      </c>
      <c r="D547" s="34" t="str">
        <f>+UPPER('0. Instruções'!$D$35&amp;"."&amp;VLOOKUP(B547,'0. Instruções'!$C$27:$D$32,2,FALSE))</f>
        <v>BU_LOANTAPE_WORK.LT003_ENTITY</v>
      </c>
      <c r="E547" s="34" t="str">
        <f>+UPPER('0. Instruções'!$D$36&amp;"."&amp;VLOOKUP(B547,'0. Instruções'!$C$27:$E$32,3,FALSE))</f>
        <v>BU_LOANTAPE_WORK.SIMUL_LT003_ENTITY</v>
      </c>
      <c r="F547" s="34" t="s">
        <v>726</v>
      </c>
      <c r="G547" s="34"/>
      <c r="H547" s="34"/>
      <c r="I547" s="34" t="str">
        <f>"(SELECT "&amp;VLOOKUP(B547,'0. Instruções'!$C$27:$G$32,4,FALSE)&amp;", "&amp;F547&amp;" FROM "&amp;D547&amp;" WHERE "&amp;'0. Instruções'!$D$42&amp;")X"</f>
        <v>(SELECT entty_id, enblng_trnvr_ce FROM BU_LOANTAPE_WORK.LT003_ENTITY WHERE ref_date='${ref_date}' AND nome_perimetro='Individual Local' AND segmento='ESTR' AND ambito='SRB_MBDT' AND entidade='00100')X</v>
      </c>
      <c r="J547" s="34" t="str">
        <f>"(SELECT "&amp;VLOOKUP(B547,'0. Instruções'!$C$27:$G$32,4,FALSE)&amp;" AS "&amp;VLOOKUP(B547,'0. Instruções'!$C$27:$G$32,4,FALSE)&amp;"_SIMUL, "&amp;F547&amp;" AS "&amp;F547&amp;"_SIMUL FROM "&amp;E547&amp;" WHERE "&amp;'0. Instruções'!$D$43&amp;")Y"</f>
        <v>(SELECT entty_id AS entty_id_SIMUL, enblng_trnvr_ce AS enblng_trnvr_ce_SIMUL FROM BU_LOANTAPE_WORK.SIMUL_LT003_ENTITY WHERE ref_date='${ref_date}' AND nome_perimetro='Individual Local' AND segmento='ESTR' AND ambito='PILAR3' AND entidade='00100')Y</v>
      </c>
      <c r="K547" s="35" t="str">
        <f>+UPPER("ON X."&amp;VLOOKUP(B547,'0. Instruções'!$C$27:$G$32,4,FALSE)&amp;"=Y."&amp;VLOOKUP(B547,'0. Instruções'!$C$27:$G$32,4,FALSE)&amp;"_SIMUL")</f>
        <v>ON X.ENTTY_ID=Y.ENTTY_ID_SIMUL</v>
      </c>
      <c r="L547" s="35" t="str">
        <f>+IF(C547="Coerência", +IF(LEFT(G547,5)="FLOAT","SELECT '"&amp;UPPER(B547)&amp;"' AS TABELA, '"&amp;UPPER(C547)&amp;"' AS TIPOLOGIA_TESTE,'"&amp;D547&amp;"' AS TABELA_LT,'"&amp;E547&amp;"' AS TABELA_SIMUL,'"&amp;F547&amp;"' AS CAMPO, "&amp;"'${ref_date}' AS REF_DATE, COUNT(*) AS NUM_REG, SUM(IF((ABS(COALESCE(CAST(X."&amp;F547&amp;" AS DECIMAL(18,6)),0)-COALESCE(CAST(Y."&amp;F547&amp;"_SIMUL AS DECIMAL(18,6)),0))&gt;0.000001) OR (X."&amp;F547&amp;" IS NULL AND Y."&amp;F547&amp;"_SIMUL IS NOT NULL ) OR (X."&amp;F547&amp;" IS NOT NULL AND Y."&amp;F547&amp;"_SIMUL IS NULL),1,0)) AS NUM_REG_DIF,'"&amp;MAX('ID1&amp;5'!K:K)+1&amp;"' AS ID_EXEC, CURRENT_TIMESTAMP() AS TIME_EXEC FROM "&amp;I547&amp;" INNER JOIN "&amp;J547&amp;" "&amp;K547,"SELECT '"&amp;UPPER(B547)&amp;"' AS TABELA, '"&amp;UPPER(C547)&amp;"' AS TIPOLOGIA_TESTE,'"&amp;D547&amp;"' AS TABELA_LT,'"&amp;E547&amp;"' AS TABELA_SIMUL,'"&amp;F547&amp;"' AS CAMPO, "&amp;"'${ref_date}' AS REF_DATE, COUNT(*) AS NUM_REG, SUM(IF(COALESCE(CAST(X."&amp;F547&amp;" AS STRING),'')&lt;&gt;COALESCE(CAST(Y."&amp;F547&amp;"_SIMUL AS STRING),'') OR (X."&amp;F547&amp;" IS NULL AND Y."&amp;F547&amp;"_SIMUL IS NOT NULL ) OR (X."&amp;F547&amp;" IS NOT NULL AND Y."&amp;F547&amp;"_SIMUL IS NULL),1,0)) AS NUM_REG_DIF,'"&amp;MAX('ID1&amp;5'!L:L)+1&amp;"' AS ID_EXEC, CURRENT_TIMESTAMP() AS TIME_EXEC FROM "&amp;I547&amp;" INNER JOIN "&amp;J547&amp;" "&amp;K547),
IF(C547="Validade",+IF(G547="Code List","SELECT '"&amp;UPPER(B547)&amp;"' AS TABELA, '"&amp;UPPER(C547)&amp;"' AS TIPOLOGIA_TESTE,'"&amp;D547&amp;"' AS TABELA_LT,'N/A' AS TABELA_SIMUL,'"&amp;F547&amp;"' AS CAMPO, "&amp;"'${ref_date}' AS REF_DATE, COUNT(*) AS NUM_REG, SUM(IF(TRIM(CAST(X."&amp;F547&amp;" AS STRING))='' OR TRIM(CAST(X."&amp;F547&amp;" AS STRING)) IS NULL OR CAST(X."&amp;F547&amp;" AS STRING) NOT "&amp;H547&amp;",1,0)) AS NUM_REG_DIF,'"&amp;MAX('ID1&amp;5'!K:K)+1&amp;"' AS ID_EXEC, CURRENT_TIMESTAMP() AS TIME_EXEC FROM "&amp;I547,"SELECT '"&amp;UPPER(B547)&amp;"' AS TABELA, '"&amp;UPPER(C547)&amp;"' AS TIPOLOGIA_TESTE,'"&amp;D547&amp;"' AS TABELA_LT,'N/A' AS TABELA_SIMUL,'"&amp;F547&amp;"' AS CAMPO, "&amp;"'${ref_date}' AS REF_DATE, COUNT(*) AS NUM_REG, SUM(IF(TRIM(CAST(X."&amp;F547&amp;" AS STRING))='' OR TRIM(CAST(X."&amp;F547&amp;" AS STRING)) IS NULL,1,0)) AS NUM_REG_DIF,'"&amp;MAX('ID1&amp;5'!K:K)+1&amp;"' AS ID_EXEC, CURRENT_TIMESTAMP() AS TIME_EXEC FROM "&amp;I547),
IF(C547="Caracteres Especiais",+"SELECT '"&amp;UPPER(B547)&amp;"' AS TABELA, '"&amp;UPPER(C547)&amp;"' AS TIPOLOGIA_TESTE,'"&amp;D547&amp;"' AS TABELA_LT,'N/A' AS TABELA_SIMUL,'"&amp;F547&amp;"' AS CAMPO, "&amp;"'${ref_date}' AS REF_DATE, COUNT(*) AS NUM_REG, SUM(IF(REGEXP_REPLACE(TRIM(CAST(X."&amp;F547&amp;" AS STRING)),'[^a-zA-Z0-9_\\s]','') &lt;&gt;TRIM(CAST(X."&amp;F547&amp;" AS STRING)),1,0)) AS NUM_REG_DIF,'"&amp;MAX('ID1&amp;5'!K:K)+1&amp;"' AS ID_EXEC, CURRENT_TIMESTAMP() AS TIME_EXEC FROM "&amp;I547,
IF(C547="Missings",+"SELECT '"&amp;UPPER(B547)&amp;"' AS TABELA, '"&amp;UPPER(C547)&amp;"' AS TIPOLOGIA_TESTE,'"&amp;D547&amp;"' AS TABELA_LT,'N/A' AS TABELA_SIMUL,'"&amp;F547&amp;"' AS CAMPO, "&amp;"'${ref_date}' AS REF_DATE, COUNT(*) AS NUM_REG, SUM(IF(TRIM(CAST(X."&amp;F547&amp;" AS STRING)) IN ('0000-00-00','0001-01-01','9999-12-31','MISS','00000','99999999999','99999999999.00','99999999999.000000'),1,0)) AS NUM_REG_DIF,'"&amp;MAX('ID1&amp;5'!K:K)+1&amp;"' AS ID_EXEC, CURRENT_TIMESTAMP() AS TIME_EXEC FROM "&amp;I547,
IF(C547="Not applicable",+"SELECT '"&amp;UPPER(B547)&amp;"' AS TABELA, '"&amp;UPPER(C547)&amp;"' AS TIPOLOGIA_TESTE,'"&amp;D547&amp;"' AS TABELA_LT,'N/A' AS TABELA_SIMUL,'"&amp;F547&amp;"' AS CAMPO, "&amp;"'${ref_date}' AS REF_DATE, COUNT(*) AS NUM_REG, SUM(IF(TRIM(CAST(X."&amp;F547&amp;" AS STRING)) IN ('N/A','11111111111','11111111111.00','11111111111.000000','1111-11-11'),1,0)) AS NUM_REG_DIF,'"&amp;MAX('ID1&amp;5'!K:K)+1&amp;"' AS ID_EXEC, CURRENT_TIMESTAMP() AS TIME_EXEC FROM "&amp;I547,
IF(C547="Valores extremos",+"SELECT '"&amp;UPPER(B547)&amp;"' AS TABELA, '"&amp;UPPER(C547)&amp;"' AS TIPOLOGIA_TESTE,'"&amp;D547&amp;"' AS TABELA_LT,'N/A' AS TABELA_SIMUL,'"&amp;F547&amp;"' AS CAMPO, "&amp;"'${ref_date}' AS REF_DATE, CAST(MIN("&amp;F547&amp;") AS STRING) AS VALOR_MIN, CAST(MAX("&amp;F547&amp;") AS STRING) AS VALOR_MAX,'"&amp;MAX('ID1&amp;5'!K:K)+1&amp;"' AS ID_EXEC, CURRENT_TIMESTAMP() AS TIME_EXEC FROM "&amp;MID(I547,1,LEN(I547)-2)&amp;" AND CAST("&amp;F547&amp;"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TABELA_SIMUL,'enblng_trnvr_ce' AS CAMPO, '${ref_date}' AS REF_DATE, COUNT(*) AS NUM_REG, SUM(IF(COALESCE(CAST(X.enblng_trnvr_ce AS STRING),'')&lt;&gt;COALESCE(CAST(Y.enblng_trnvr_ce_SIMUL AS STRING),'') OR (X.enblng_trnvr_ce IS NULL AND Y.enblng_trnvr_ce_SIMUL IS NOT NULL ) OR (X.enblng_trnvr_ce IS NOT NULL AND Y.enblng_trnvr_ce_SIMUL IS NULL),1,0)) AS NUM_REG_DIF,'1' AS ID_EXEC, CURRENT_TIMESTAMP() AS TIME_EXEC FROM (SELECT entty_id, enblng_trnvr_ce FROM BU_LOANTAPE_WORK.LT003_ENTITY WHERE ref_date='${ref_date}' AND nome_perimetro='Individual Local' AND segmento='ESTR' AND ambito='SRB_MBDT' AND entidade='00100')X INNER JOIN (SELECT entty_id AS entty_id_SIMUL, enblng_trnvr_ce AS enblng_trnvr_ce_SIMUL FROM BU_LOANTAPE_WORK.SIMUL_LT003_ENTITY WHERE ref_date='${ref_date}' AND nome_perimetro='Individual Local' AND segmento='ESTR' AND ambito='PILAR3' AND entidade='00100')Y ON X.ENTTY_ID=Y.ENTTY_ID_SIMUL</v>
      </c>
      <c r="M547" s="36" t="str">
        <f t="shared" si="11"/>
        <v>UNION ALL SELECT 'ENTITY' AS TABELA, 'COERÊNCIA' AS TIPOLOGIA_TESTE,'BU_LOANTAPE_WORK.LT003_ENTITY' AS TABELA_LT,'BU_LOANTAPE_WORK.SIMUL_LT003_ENTITY' AS TABELA_SIMUL,'enblng_trnvr_ce' AS CAMPO, '${ref_date}' AS REF_DATE, COUNT(*) AS NUM_REG, SUM(IF(COALESCE(CAST(X.enblng_trnvr_ce AS STRING),'')&lt;&gt;COALESCE(CAST(Y.enblng_trnvr_ce_SIMUL AS STRING),'') OR (X.enblng_trnvr_ce IS NULL AND Y.enblng_trnvr_ce_SIMUL IS NOT NULL ) OR (X.enblng_trnvr_ce IS NOT NULL AND Y.enblng_trnvr_ce_SIMUL IS NULL),1,0)) AS NUM_REG_DIF,'1' AS ID_EXEC, CURRENT_TIMESTAMP() AS TIME_EXEC FROM (SELECT entty_id, enblng_trnvr_ce FROM BU_LOANTAPE_WORK.LT003_ENTITY WHERE ref_date='${ref_date}' AND nome_perimetro='Individual Local' AND segmento='ESTR' AND ambito='SRB_MBDT' AND entidade='00100')X INNER JOIN (SELECT entty_id AS entty_id_SIMUL, enblng_trnvr_ce AS enblng_trnvr_ce_SIMUL FROM BU_LOANTAPE_WORK.SIMUL_LT003_ENTITY WHERE ref_date='${ref_date}' AND nome_perimetro='Individual Local' AND segmento='ESTR' AND ambito='PILAR3' AND entidade='00100')Y ON X.ENTTY_ID=Y.ENTTY_ID_SIMUL</v>
      </c>
    </row>
    <row r="548" spans="2:13">
      <c r="B548" s="34" t="s">
        <v>118</v>
      </c>
      <c r="C548" s="34" t="s">
        <v>5</v>
      </c>
      <c r="D548" s="34" t="str">
        <f>+UPPER('0. Instruções'!$D$35&amp;"."&amp;VLOOKUP(B548,'0. Instruções'!$C$27:$D$32,2,FALSE))</f>
        <v>BU_LOANTAPE_WORK.LT003_ENTITY</v>
      </c>
      <c r="E548" s="34" t="str">
        <f>+UPPER('0. Instruções'!$D$36&amp;"."&amp;VLOOKUP(B548,'0. Instruções'!$C$27:$E$32,3,FALSE))</f>
        <v>BU_LOANTAPE_WORK.SIMUL_LT003_ENTITY</v>
      </c>
      <c r="F548" s="34" t="s">
        <v>1501</v>
      </c>
      <c r="G548" s="34"/>
      <c r="H548" s="34"/>
      <c r="I548" s="34" t="str">
        <f>"(SELECT "&amp;VLOOKUP(B548,'0. Instruções'!$C$27:$G$32,4,FALSE)&amp;", "&amp;F548&amp;" FROM "&amp;D548&amp;" WHERE "&amp;'0. Instruções'!$D$42&amp;")X"</f>
        <v>(SELECT entty_id, flln_angl_extndd_dfntn FROM BU_LOANTAPE_WORK.LT003_ENTITY WHERE ref_date='${ref_date}' AND nome_perimetro='Individual Local' AND segmento='ESTR' AND ambito='SRB_MBDT' AND entidade='00100')X</v>
      </c>
      <c r="J548" s="34" t="str">
        <f>"(SELECT "&amp;VLOOKUP(B548,'0. Instruções'!$C$27:$G$32,4,FALSE)&amp;" AS "&amp;VLOOKUP(B548,'0. Instruções'!$C$27:$G$32,4,FALSE)&amp;"_SIMUL, "&amp;F548&amp;" AS "&amp;F548&amp;"_SIMUL FROM "&amp;E548&amp;" WHERE "&amp;'0. Instruções'!$D$43&amp;")Y"</f>
        <v>(SELECT entty_id AS entty_id_SIMUL, flln_angl_extndd_dfntn AS flln_angl_extndd_dfntn_SIMUL FROM BU_LOANTAPE_WORK.SIMUL_LT003_ENTITY WHERE ref_date='${ref_date}' AND nome_perimetro='Individual Local' AND segmento='ESTR' AND ambito='PILAR3' AND entidade='00100')Y</v>
      </c>
      <c r="K548" s="35" t="str">
        <f>+UPPER("ON X."&amp;VLOOKUP(B548,'0. Instruções'!$C$27:$G$32,4,FALSE)&amp;"=Y."&amp;VLOOKUP(B548,'0. Instruções'!$C$27:$G$32,4,FALSE)&amp;"_SIMUL")</f>
        <v>ON X.ENTTY_ID=Y.ENTTY_ID_SIMUL</v>
      </c>
      <c r="L548" s="35" t="str">
        <f>+IF(C548="Coerência", +IF(LEFT(G548,5)="FLOAT","SELECT '"&amp;UPPER(B548)&amp;"' AS TABELA, '"&amp;UPPER(C548)&amp;"' AS TIPOLOGIA_TESTE,'"&amp;D548&amp;"' AS TABELA_LT,'"&amp;E548&amp;"' AS TABELA_SIMUL,'"&amp;F548&amp;"' AS CAMPO, "&amp;"'${ref_date}' AS REF_DATE, COUNT(*) AS NUM_REG, SUM(IF((ABS(COALESCE(CAST(X."&amp;F548&amp;" AS DECIMAL(18,6)),0)-COALESCE(CAST(Y."&amp;F548&amp;"_SIMUL AS DECIMAL(18,6)),0))&gt;0.000001) OR (X."&amp;F548&amp;" IS NULL AND Y."&amp;F548&amp;"_SIMUL IS NOT NULL ) OR (X."&amp;F548&amp;" IS NOT NULL AND Y."&amp;F548&amp;"_SIMUL IS NULL),1,0)) AS NUM_REG_DIF,'"&amp;MAX('ID1&amp;5'!K:K)+1&amp;"' AS ID_EXEC, CURRENT_TIMESTAMP() AS TIME_EXEC FROM "&amp;I548&amp;" INNER JOIN "&amp;J548&amp;" "&amp;K548,"SELECT '"&amp;UPPER(B548)&amp;"' AS TABELA, '"&amp;UPPER(C548)&amp;"' AS TIPOLOGIA_TESTE,'"&amp;D548&amp;"' AS TABELA_LT,'"&amp;E548&amp;"' AS TABELA_SIMUL,'"&amp;F548&amp;"' AS CAMPO, "&amp;"'${ref_date}' AS REF_DATE, COUNT(*) AS NUM_REG, SUM(IF(COALESCE(CAST(X."&amp;F548&amp;" AS STRING),'')&lt;&gt;COALESCE(CAST(Y."&amp;F548&amp;"_SIMUL AS STRING),'') OR (X."&amp;F548&amp;" IS NULL AND Y."&amp;F548&amp;"_SIMUL IS NOT NULL ) OR (X."&amp;F548&amp;" IS NOT NULL AND Y."&amp;F548&amp;"_SIMUL IS NULL),1,0)) AS NUM_REG_DIF,'"&amp;MAX('ID1&amp;5'!L:L)+1&amp;"' AS ID_EXEC, CURRENT_TIMESTAMP() AS TIME_EXEC FROM "&amp;I548&amp;" INNER JOIN "&amp;J548&amp;" "&amp;K548),
IF(C548="Validade",+IF(G548="Code List","SELECT '"&amp;UPPER(B548)&amp;"' AS TABELA, '"&amp;UPPER(C548)&amp;"' AS TIPOLOGIA_TESTE,'"&amp;D548&amp;"' AS TABELA_LT,'N/A' AS TABELA_SIMUL,'"&amp;F548&amp;"' AS CAMPO, "&amp;"'${ref_date}' AS REF_DATE, COUNT(*) AS NUM_REG, SUM(IF(TRIM(CAST(X."&amp;F548&amp;" AS STRING))='' OR TRIM(CAST(X."&amp;F548&amp;" AS STRING)) IS NULL OR CAST(X."&amp;F548&amp;" AS STRING) NOT "&amp;H548&amp;",1,0)) AS NUM_REG_DIF,'"&amp;MAX('ID1&amp;5'!K:K)+1&amp;"' AS ID_EXEC, CURRENT_TIMESTAMP() AS TIME_EXEC FROM "&amp;I548,"SELECT '"&amp;UPPER(B548)&amp;"' AS TABELA, '"&amp;UPPER(C548)&amp;"' AS TIPOLOGIA_TESTE,'"&amp;D548&amp;"' AS TABELA_LT,'N/A' AS TABELA_SIMUL,'"&amp;F548&amp;"' AS CAMPO, "&amp;"'${ref_date}' AS REF_DATE, COUNT(*) AS NUM_REG, SUM(IF(TRIM(CAST(X."&amp;F548&amp;" AS STRING))='' OR TRIM(CAST(X."&amp;F548&amp;" AS STRING)) IS NULL,1,0)) AS NUM_REG_DIF,'"&amp;MAX('ID1&amp;5'!K:K)+1&amp;"' AS ID_EXEC, CURRENT_TIMESTAMP() AS TIME_EXEC FROM "&amp;I548),
IF(C548="Caracteres Especiais",+"SELECT '"&amp;UPPER(B548)&amp;"' AS TABELA, '"&amp;UPPER(C548)&amp;"' AS TIPOLOGIA_TESTE,'"&amp;D548&amp;"' AS TABELA_LT,'N/A' AS TABELA_SIMUL,'"&amp;F548&amp;"' AS CAMPO, "&amp;"'${ref_date}' AS REF_DATE, COUNT(*) AS NUM_REG, SUM(IF(REGEXP_REPLACE(TRIM(CAST(X."&amp;F548&amp;" AS STRING)),'[^a-zA-Z0-9_\\s]','') &lt;&gt;TRIM(CAST(X."&amp;F548&amp;" AS STRING)),1,0)) AS NUM_REG_DIF,'"&amp;MAX('ID1&amp;5'!K:K)+1&amp;"' AS ID_EXEC, CURRENT_TIMESTAMP() AS TIME_EXEC FROM "&amp;I548,
IF(C548="Missings",+"SELECT '"&amp;UPPER(B548)&amp;"' AS TABELA, '"&amp;UPPER(C548)&amp;"' AS TIPOLOGIA_TESTE,'"&amp;D548&amp;"' AS TABELA_LT,'N/A' AS TABELA_SIMUL,'"&amp;F548&amp;"' AS CAMPO, "&amp;"'${ref_date}' AS REF_DATE, COUNT(*) AS NUM_REG, SUM(IF(TRIM(CAST(X."&amp;F548&amp;" AS STRING)) IN ('0000-00-00','0001-01-01','9999-12-31','MISS','00000','99999999999','99999999999.00','99999999999.000000'),1,0)) AS NUM_REG_DIF,'"&amp;MAX('ID1&amp;5'!K:K)+1&amp;"' AS ID_EXEC, CURRENT_TIMESTAMP() AS TIME_EXEC FROM "&amp;I548,
IF(C548="Not applicable",+"SELECT '"&amp;UPPER(B548)&amp;"' AS TABELA, '"&amp;UPPER(C548)&amp;"' AS TIPOLOGIA_TESTE,'"&amp;D548&amp;"' AS TABELA_LT,'N/A' AS TABELA_SIMUL,'"&amp;F548&amp;"' AS CAMPO, "&amp;"'${ref_date}' AS REF_DATE, COUNT(*) AS NUM_REG, SUM(IF(TRIM(CAST(X."&amp;F548&amp;" AS STRING)) IN ('N/A','11111111111','11111111111.00','11111111111.000000','1111-11-11'),1,0)) AS NUM_REG_DIF,'"&amp;MAX('ID1&amp;5'!K:K)+1&amp;"' AS ID_EXEC, CURRENT_TIMESTAMP() AS TIME_EXEC FROM "&amp;I548,
IF(C548="Valores extremos",+"SELECT '"&amp;UPPER(B548)&amp;"' AS TABELA, '"&amp;UPPER(C548)&amp;"' AS TIPOLOGIA_TESTE,'"&amp;D548&amp;"' AS TABELA_LT,'N/A' AS TABELA_SIMUL,'"&amp;F548&amp;"' AS CAMPO, "&amp;"'${ref_date}' AS REF_DATE, CAST(MIN("&amp;F548&amp;") AS STRING) AS VALOR_MIN, CAST(MAX("&amp;F548&amp;") AS STRING) AS VALOR_MAX,'"&amp;MAX('ID1&amp;5'!K:K)+1&amp;"' AS ID_EXEC, CURRENT_TIMESTAMP() AS TIME_EXEC FROM "&amp;MID(I548,1,LEN(I548)-2)&amp;" AND CAST("&amp;F548&amp;"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TABELA_SIMUL,'flln_angl_extndd_dfntn' AS CAMPO, '${ref_date}' AS REF_DATE, COUNT(*) AS NUM_REG, SUM(IF(COALESCE(CAST(X.flln_angl_extndd_dfntn AS STRING),'')&lt;&gt;COALESCE(CAST(Y.flln_angl_extndd_dfntn_SIMUL AS STRING),'') OR (X.flln_angl_extndd_dfntn IS NULL AND Y.flln_angl_extndd_dfntn_SIMUL IS NOT NULL ) OR (X.flln_angl_extndd_dfntn IS NOT NULL AND Y.flln_angl_extndd_dfntn_SIMUL IS NULL),1,0)) AS NUM_REG_DIF,'1' AS ID_EXEC, CURRENT_TIMESTAMP() AS TIME_EXEC FROM (SELECT entty_id, flln_angl_extndd_dfntn FROM BU_LOANTAPE_WORK.LT003_ENTITY WHERE ref_date='${ref_date}' AND nome_perimetro='Individual Local' AND segmento='ESTR' AND ambito='SRB_MBDT' AND entidade='00100')X INNER JOIN (SELECT entty_id AS entty_id_SIMUL, flln_angl_extndd_dfntn AS flln_angl_extndd_dfntn_SIMUL FROM BU_LOANTAPE_WORK.SIMUL_LT003_ENTITY WHERE ref_date='${ref_date}' AND nome_perimetro='Individual Local' AND segmento='ESTR' AND ambito='PILAR3' AND entidade='00100')Y ON X.ENTTY_ID=Y.ENTTY_ID_SIMUL</v>
      </c>
      <c r="M548" s="36" t="str">
        <f t="shared" si="11"/>
        <v>UNION ALL SELECT 'ENTITY' AS TABELA, 'COERÊNCIA' AS TIPOLOGIA_TESTE,'BU_LOANTAPE_WORK.LT003_ENTITY' AS TABELA_LT,'BU_LOANTAPE_WORK.SIMUL_LT003_ENTITY' AS TABELA_SIMUL,'flln_angl_extndd_dfntn' AS CAMPO, '${ref_date}' AS REF_DATE, COUNT(*) AS NUM_REG, SUM(IF(COALESCE(CAST(X.flln_angl_extndd_dfntn AS STRING),'')&lt;&gt;COALESCE(CAST(Y.flln_angl_extndd_dfntn_SIMUL AS STRING),'') OR (X.flln_angl_extndd_dfntn IS NULL AND Y.flln_angl_extndd_dfntn_SIMUL IS NOT NULL ) OR (X.flln_angl_extndd_dfntn IS NOT NULL AND Y.flln_angl_extndd_dfntn_SIMUL IS NULL),1,0)) AS NUM_REG_DIF,'1' AS ID_EXEC, CURRENT_TIMESTAMP() AS TIME_EXEC FROM (SELECT entty_id, flln_angl_extndd_dfntn FROM BU_LOANTAPE_WORK.LT003_ENTITY WHERE ref_date='${ref_date}' AND nome_perimetro='Individual Local' AND segmento='ESTR' AND ambito='SRB_MBDT' AND entidade='00100')X INNER JOIN (SELECT entty_id AS entty_id_SIMUL, flln_angl_extndd_dfntn AS flln_angl_extndd_dfntn_SIMUL FROM BU_LOANTAPE_WORK.SIMUL_LT003_ENTITY WHERE ref_date='${ref_date}' AND nome_perimetro='Individual Local' AND segmento='ESTR' AND ambito='PILAR3' AND entidade='00100')Y ON X.ENTTY_ID=Y.ENTTY_ID_SIMUL</v>
      </c>
    </row>
    <row r="549" spans="2:13">
      <c r="B549" s="34" t="s">
        <v>118</v>
      </c>
      <c r="C549" s="34" t="s">
        <v>5</v>
      </c>
      <c r="D549" s="34" t="str">
        <f>+UPPER('0. Instruções'!$D$35&amp;"."&amp;VLOOKUP(B549,'0. Instruções'!$C$27:$D$32,2,FALSE))</f>
        <v>BU_LOANTAPE_WORK.LT003_ENTITY</v>
      </c>
      <c r="E549" s="34" t="str">
        <f>+UPPER('0. Instruções'!$D$36&amp;"."&amp;VLOOKUP(B549,'0. Instruções'!$C$27:$E$32,3,FALSE))</f>
        <v>BU_LOANTAPE_WORK.SIMUL_LT003_ENTITY</v>
      </c>
      <c r="F549" s="34" t="s">
        <v>1502</v>
      </c>
      <c r="G549" s="34"/>
      <c r="H549" s="34"/>
      <c r="I549" s="34" t="str">
        <f>"(SELECT "&amp;VLOOKUP(B549,'0. Instruções'!$C$27:$G$32,4,FALSE)&amp;", "&amp;F549&amp;" FROM "&amp;D549&amp;" WHERE "&amp;'0. Instruções'!$D$42&amp;")X"</f>
        <v>(SELECT entty_id, flln_angl_nrrw_dfntn FROM BU_LOANTAPE_WORK.LT003_ENTITY WHERE ref_date='${ref_date}' AND nome_perimetro='Individual Local' AND segmento='ESTR' AND ambito='SRB_MBDT' AND entidade='00100')X</v>
      </c>
      <c r="J549" s="34" t="str">
        <f>"(SELECT "&amp;VLOOKUP(B549,'0. Instruções'!$C$27:$G$32,4,FALSE)&amp;" AS "&amp;VLOOKUP(B549,'0. Instruções'!$C$27:$G$32,4,FALSE)&amp;"_SIMUL, "&amp;F549&amp;" AS "&amp;F549&amp;"_SIMUL FROM "&amp;E549&amp;" WHERE "&amp;'0. Instruções'!$D$43&amp;")Y"</f>
        <v>(SELECT entty_id AS entty_id_SIMUL, flln_angl_nrrw_dfntn AS flln_angl_nrrw_dfntn_SIMUL FROM BU_LOANTAPE_WORK.SIMUL_LT003_ENTITY WHERE ref_date='${ref_date}' AND nome_perimetro='Individual Local' AND segmento='ESTR' AND ambito='PILAR3' AND entidade='00100')Y</v>
      </c>
      <c r="K549" s="35" t="str">
        <f>+UPPER("ON X."&amp;VLOOKUP(B549,'0. Instruções'!$C$27:$G$32,4,FALSE)&amp;"=Y."&amp;VLOOKUP(B549,'0. Instruções'!$C$27:$G$32,4,FALSE)&amp;"_SIMUL")</f>
        <v>ON X.ENTTY_ID=Y.ENTTY_ID_SIMUL</v>
      </c>
      <c r="L549" s="35" t="str">
        <f>+IF(C549="Coerência", +IF(LEFT(G549,5)="FLOAT","SELECT '"&amp;UPPER(B549)&amp;"' AS TABELA, '"&amp;UPPER(C549)&amp;"' AS TIPOLOGIA_TESTE,'"&amp;D549&amp;"' AS TABELA_LT,'"&amp;E549&amp;"' AS TABELA_SIMUL,'"&amp;F549&amp;"' AS CAMPO, "&amp;"'${ref_date}' AS REF_DATE, COUNT(*) AS NUM_REG, SUM(IF((ABS(COALESCE(CAST(X."&amp;F549&amp;" AS DECIMAL(18,6)),0)-COALESCE(CAST(Y."&amp;F549&amp;"_SIMUL AS DECIMAL(18,6)),0))&gt;0.000001) OR (X."&amp;F549&amp;" IS NULL AND Y."&amp;F549&amp;"_SIMUL IS NOT NULL ) OR (X."&amp;F549&amp;" IS NOT NULL AND Y."&amp;F549&amp;"_SIMUL IS NULL),1,0)) AS NUM_REG_DIF,'"&amp;MAX('ID1&amp;5'!K:K)+1&amp;"' AS ID_EXEC, CURRENT_TIMESTAMP() AS TIME_EXEC FROM "&amp;I549&amp;" INNER JOIN "&amp;J549&amp;" "&amp;K549,"SELECT '"&amp;UPPER(B549)&amp;"' AS TABELA, '"&amp;UPPER(C549)&amp;"' AS TIPOLOGIA_TESTE,'"&amp;D549&amp;"' AS TABELA_LT,'"&amp;E549&amp;"' AS TABELA_SIMUL,'"&amp;F549&amp;"' AS CAMPO, "&amp;"'${ref_date}' AS REF_DATE, COUNT(*) AS NUM_REG, SUM(IF(COALESCE(CAST(X."&amp;F549&amp;" AS STRING),'')&lt;&gt;COALESCE(CAST(Y."&amp;F549&amp;"_SIMUL AS STRING),'') OR (X."&amp;F549&amp;" IS NULL AND Y."&amp;F549&amp;"_SIMUL IS NOT NULL ) OR (X."&amp;F549&amp;" IS NOT NULL AND Y."&amp;F549&amp;"_SIMUL IS NULL),1,0)) AS NUM_REG_DIF,'"&amp;MAX('ID1&amp;5'!L:L)+1&amp;"' AS ID_EXEC, CURRENT_TIMESTAMP() AS TIME_EXEC FROM "&amp;I549&amp;" INNER JOIN "&amp;J549&amp;" "&amp;K549),
IF(C549="Validade",+IF(G549="Code List","SELECT '"&amp;UPPER(B549)&amp;"' AS TABELA, '"&amp;UPPER(C549)&amp;"' AS TIPOLOGIA_TESTE,'"&amp;D549&amp;"' AS TABELA_LT,'N/A' AS TABELA_SIMUL,'"&amp;F549&amp;"' AS CAMPO, "&amp;"'${ref_date}' AS REF_DATE, COUNT(*) AS NUM_REG, SUM(IF(TRIM(CAST(X."&amp;F549&amp;" AS STRING))='' OR TRIM(CAST(X."&amp;F549&amp;" AS STRING)) IS NULL OR CAST(X."&amp;F549&amp;" AS STRING) NOT "&amp;H549&amp;",1,0)) AS NUM_REG_DIF,'"&amp;MAX('ID1&amp;5'!K:K)+1&amp;"' AS ID_EXEC, CURRENT_TIMESTAMP() AS TIME_EXEC FROM "&amp;I549,"SELECT '"&amp;UPPER(B549)&amp;"' AS TABELA, '"&amp;UPPER(C549)&amp;"' AS TIPOLOGIA_TESTE,'"&amp;D549&amp;"' AS TABELA_LT,'N/A' AS TABELA_SIMUL,'"&amp;F549&amp;"' AS CAMPO, "&amp;"'${ref_date}' AS REF_DATE, COUNT(*) AS NUM_REG, SUM(IF(TRIM(CAST(X."&amp;F549&amp;" AS STRING))='' OR TRIM(CAST(X."&amp;F549&amp;" AS STRING)) IS NULL,1,0)) AS NUM_REG_DIF,'"&amp;MAX('ID1&amp;5'!K:K)+1&amp;"' AS ID_EXEC, CURRENT_TIMESTAMP() AS TIME_EXEC FROM "&amp;I549),
IF(C549="Caracteres Especiais",+"SELECT '"&amp;UPPER(B549)&amp;"' AS TABELA, '"&amp;UPPER(C549)&amp;"' AS TIPOLOGIA_TESTE,'"&amp;D549&amp;"' AS TABELA_LT,'N/A' AS TABELA_SIMUL,'"&amp;F549&amp;"' AS CAMPO, "&amp;"'${ref_date}' AS REF_DATE, COUNT(*) AS NUM_REG, SUM(IF(REGEXP_REPLACE(TRIM(CAST(X."&amp;F549&amp;" AS STRING)),'[^a-zA-Z0-9_\\s]','') &lt;&gt;TRIM(CAST(X."&amp;F549&amp;" AS STRING)),1,0)) AS NUM_REG_DIF,'"&amp;MAX('ID1&amp;5'!K:K)+1&amp;"' AS ID_EXEC, CURRENT_TIMESTAMP() AS TIME_EXEC FROM "&amp;I549,
IF(C549="Missings",+"SELECT '"&amp;UPPER(B549)&amp;"' AS TABELA, '"&amp;UPPER(C549)&amp;"' AS TIPOLOGIA_TESTE,'"&amp;D549&amp;"' AS TABELA_LT,'N/A' AS TABELA_SIMUL,'"&amp;F549&amp;"' AS CAMPO, "&amp;"'${ref_date}' AS REF_DATE, COUNT(*) AS NUM_REG, SUM(IF(TRIM(CAST(X."&amp;F549&amp;" AS STRING)) IN ('0000-00-00','0001-01-01','9999-12-31','MISS','00000','99999999999','99999999999.00','99999999999.000000'),1,0)) AS NUM_REG_DIF,'"&amp;MAX('ID1&amp;5'!K:K)+1&amp;"' AS ID_EXEC, CURRENT_TIMESTAMP() AS TIME_EXEC FROM "&amp;I549,
IF(C549="Not applicable",+"SELECT '"&amp;UPPER(B549)&amp;"' AS TABELA, '"&amp;UPPER(C549)&amp;"' AS TIPOLOGIA_TESTE,'"&amp;D549&amp;"' AS TABELA_LT,'N/A' AS TABELA_SIMUL,'"&amp;F549&amp;"' AS CAMPO, "&amp;"'${ref_date}' AS REF_DATE, COUNT(*) AS NUM_REG, SUM(IF(TRIM(CAST(X."&amp;F549&amp;" AS STRING)) IN ('N/A','11111111111','11111111111.00','11111111111.000000','1111-11-11'),1,0)) AS NUM_REG_DIF,'"&amp;MAX('ID1&amp;5'!K:K)+1&amp;"' AS ID_EXEC, CURRENT_TIMESTAMP() AS TIME_EXEC FROM "&amp;I549,
IF(C549="Valores extremos",+"SELECT '"&amp;UPPER(B549)&amp;"' AS TABELA, '"&amp;UPPER(C549)&amp;"' AS TIPOLOGIA_TESTE,'"&amp;D549&amp;"' AS TABELA_LT,'N/A' AS TABELA_SIMUL,'"&amp;F549&amp;"' AS CAMPO, "&amp;"'${ref_date}' AS REF_DATE, CAST(MIN("&amp;F549&amp;") AS STRING) AS VALOR_MIN, CAST(MAX("&amp;F549&amp;") AS STRING) AS VALOR_MAX,'"&amp;MAX('ID1&amp;5'!K:K)+1&amp;"' AS ID_EXEC, CURRENT_TIMESTAMP() AS TIME_EXEC FROM "&amp;MID(I549,1,LEN(I549)-2)&amp;" AND CAST("&amp;F549&amp;"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TABELA_SIMUL,'flln_angl_nrrw_dfntn' AS CAMPO, '${ref_date}' AS REF_DATE, COUNT(*) AS NUM_REG, SUM(IF(COALESCE(CAST(X.flln_angl_nrrw_dfntn AS STRING),'')&lt;&gt;COALESCE(CAST(Y.flln_angl_nrrw_dfntn_SIMUL AS STRING),'') OR (X.flln_angl_nrrw_dfntn IS NULL AND Y.flln_angl_nrrw_dfntn_SIMUL IS NOT NULL ) OR (X.flln_angl_nrrw_dfntn IS NOT NULL AND Y.flln_angl_nrrw_dfntn_SIMUL IS NULL),1,0)) AS NUM_REG_DIF,'1' AS ID_EXEC, CURRENT_TIMESTAMP() AS TIME_EXEC FROM (SELECT entty_id, flln_angl_nrrw_dfntn FROM BU_LOANTAPE_WORK.LT003_ENTITY WHERE ref_date='${ref_date}' AND nome_perimetro='Individual Local' AND segmento='ESTR' AND ambito='SRB_MBDT' AND entidade='00100')X INNER JOIN (SELECT entty_id AS entty_id_SIMUL, flln_angl_nrrw_dfntn AS flln_angl_nrrw_dfntn_SIMUL FROM BU_LOANTAPE_WORK.SIMUL_LT003_ENTITY WHERE ref_date='${ref_date}' AND nome_perimetro='Individual Local' AND segmento='ESTR' AND ambito='PILAR3' AND entidade='00100')Y ON X.ENTTY_ID=Y.ENTTY_ID_SIMUL</v>
      </c>
      <c r="M549" s="36" t="str">
        <f t="shared" si="11"/>
        <v>UNION ALL SELECT 'ENTITY' AS TABELA, 'COERÊNCIA' AS TIPOLOGIA_TESTE,'BU_LOANTAPE_WORK.LT003_ENTITY' AS TABELA_LT,'BU_LOANTAPE_WORK.SIMUL_LT003_ENTITY' AS TABELA_SIMUL,'flln_angl_nrrw_dfntn' AS CAMPO, '${ref_date}' AS REF_DATE, COUNT(*) AS NUM_REG, SUM(IF(COALESCE(CAST(X.flln_angl_nrrw_dfntn AS STRING),'')&lt;&gt;COALESCE(CAST(Y.flln_angl_nrrw_dfntn_SIMUL AS STRING),'') OR (X.flln_angl_nrrw_dfntn IS NULL AND Y.flln_angl_nrrw_dfntn_SIMUL IS NOT NULL ) OR (X.flln_angl_nrrw_dfntn IS NOT NULL AND Y.flln_angl_nrrw_dfntn_SIMUL IS NULL),1,0)) AS NUM_REG_DIF,'1' AS ID_EXEC, CURRENT_TIMESTAMP() AS TIME_EXEC FROM (SELECT entty_id, flln_angl_nrrw_dfntn FROM BU_LOANTAPE_WORK.LT003_ENTITY WHERE ref_date='${ref_date}' AND nome_perimetro='Individual Local' AND segmento='ESTR' AND ambito='SRB_MBDT' AND entidade='00100')X INNER JOIN (SELECT entty_id AS entty_id_SIMUL, flln_angl_nrrw_dfntn AS flln_angl_nrrw_dfntn_SIMUL FROM BU_LOANTAPE_WORK.SIMUL_LT003_ENTITY WHERE ref_date='${ref_date}' AND nome_perimetro='Individual Local' AND segmento='ESTR' AND ambito='PILAR3' AND entidade='00100')Y ON X.ENTTY_ID=Y.ENTTY_ID_SIMUL</v>
      </c>
    </row>
    <row r="550" spans="2:13">
      <c r="B550" s="34" t="s">
        <v>118</v>
      </c>
      <c r="C550" s="34" t="s">
        <v>5</v>
      </c>
      <c r="D550" s="34" t="str">
        <f>+UPPER('0. Instruções'!$D$35&amp;"."&amp;VLOOKUP(B550,'0. Instruções'!$C$27:$D$32,2,FALSE))</f>
        <v>BU_LOANTAPE_WORK.LT003_ENTITY</v>
      </c>
      <c r="E550" s="34" t="str">
        <f>+UPPER('0. Instruções'!$D$36&amp;"."&amp;VLOOKUP(B550,'0. Instruções'!$C$27:$E$32,3,FALSE))</f>
        <v>BU_LOANTAPE_WORK.SIMUL_LT003_ENTITY</v>
      </c>
      <c r="F550" s="34" t="s">
        <v>1503</v>
      </c>
      <c r="G550" s="34"/>
      <c r="H550" s="34"/>
      <c r="I550" s="34" t="str">
        <f>"(SELECT "&amp;VLOOKUP(B550,'0. Instruções'!$C$27:$G$32,4,FALSE)&amp;", "&amp;F550&amp;" FROM "&amp;D550&amp;" WHERE "&amp;'0. Instruções'!$D$42&amp;")X"</f>
        <v>(SELECT entty_id, grp_rorac FROM BU_LOANTAPE_WORK.LT003_ENTITY WHERE ref_date='${ref_date}' AND nome_perimetro='Individual Local' AND segmento='ESTR' AND ambito='SRB_MBDT' AND entidade='00100')X</v>
      </c>
      <c r="J550" s="34" t="str">
        <f>"(SELECT "&amp;VLOOKUP(B550,'0. Instruções'!$C$27:$G$32,4,FALSE)&amp;" AS "&amp;VLOOKUP(B550,'0. Instruções'!$C$27:$G$32,4,FALSE)&amp;"_SIMUL, "&amp;F550&amp;" AS "&amp;F550&amp;"_SIMUL FROM "&amp;E550&amp;" WHERE "&amp;'0. Instruções'!$D$43&amp;")Y"</f>
        <v>(SELECT entty_id AS entty_id_SIMUL, grp_rorac AS grp_rorac_SIMUL FROM BU_LOANTAPE_WORK.SIMUL_LT003_ENTITY WHERE ref_date='${ref_date}' AND nome_perimetro='Individual Local' AND segmento='ESTR' AND ambito='PILAR3' AND entidade='00100')Y</v>
      </c>
      <c r="K550" s="35" t="str">
        <f>+UPPER("ON X."&amp;VLOOKUP(B550,'0. Instruções'!$C$27:$G$32,4,FALSE)&amp;"=Y."&amp;VLOOKUP(B550,'0. Instruções'!$C$27:$G$32,4,FALSE)&amp;"_SIMUL")</f>
        <v>ON X.ENTTY_ID=Y.ENTTY_ID_SIMUL</v>
      </c>
      <c r="L550" s="35" t="str">
        <f>+IF(C550="Coerência", +IF(LEFT(G550,5)="FLOAT","SELECT '"&amp;UPPER(B550)&amp;"' AS TABELA, '"&amp;UPPER(C550)&amp;"' AS TIPOLOGIA_TESTE,'"&amp;D550&amp;"' AS TABELA_LT,'"&amp;E550&amp;"' AS TABELA_SIMUL,'"&amp;F550&amp;"' AS CAMPO, "&amp;"'${ref_date}' AS REF_DATE, COUNT(*) AS NUM_REG, SUM(IF((ABS(COALESCE(CAST(X."&amp;F550&amp;" AS DECIMAL(18,6)),0)-COALESCE(CAST(Y."&amp;F550&amp;"_SIMUL AS DECIMAL(18,6)),0))&gt;0.000001) OR (X."&amp;F550&amp;" IS NULL AND Y."&amp;F550&amp;"_SIMUL IS NOT NULL ) OR (X."&amp;F550&amp;" IS NOT NULL AND Y."&amp;F550&amp;"_SIMUL IS NULL),1,0)) AS NUM_REG_DIF,'"&amp;MAX('ID1&amp;5'!K:K)+1&amp;"' AS ID_EXEC, CURRENT_TIMESTAMP() AS TIME_EXEC FROM "&amp;I550&amp;" INNER JOIN "&amp;J550&amp;" "&amp;K550,"SELECT '"&amp;UPPER(B550)&amp;"' AS TABELA, '"&amp;UPPER(C550)&amp;"' AS TIPOLOGIA_TESTE,'"&amp;D550&amp;"' AS TABELA_LT,'"&amp;E550&amp;"' AS TABELA_SIMUL,'"&amp;F550&amp;"' AS CAMPO, "&amp;"'${ref_date}' AS REF_DATE, COUNT(*) AS NUM_REG, SUM(IF(COALESCE(CAST(X."&amp;F550&amp;" AS STRING),'')&lt;&gt;COALESCE(CAST(Y."&amp;F550&amp;"_SIMUL AS STRING),'') OR (X."&amp;F550&amp;" IS NULL AND Y."&amp;F550&amp;"_SIMUL IS NOT NULL ) OR (X."&amp;F550&amp;" IS NOT NULL AND Y."&amp;F550&amp;"_SIMUL IS NULL),1,0)) AS NUM_REG_DIF,'"&amp;MAX('ID1&amp;5'!L:L)+1&amp;"' AS ID_EXEC, CURRENT_TIMESTAMP() AS TIME_EXEC FROM "&amp;I550&amp;" INNER JOIN "&amp;J550&amp;" "&amp;K550),
IF(C550="Validade",+IF(G550="Code List","SELECT '"&amp;UPPER(B550)&amp;"' AS TABELA, '"&amp;UPPER(C550)&amp;"' AS TIPOLOGIA_TESTE,'"&amp;D550&amp;"' AS TABELA_LT,'N/A' AS TABELA_SIMUL,'"&amp;F550&amp;"' AS CAMPO, "&amp;"'${ref_date}' AS REF_DATE, COUNT(*) AS NUM_REG, SUM(IF(TRIM(CAST(X."&amp;F550&amp;" AS STRING))='' OR TRIM(CAST(X."&amp;F550&amp;" AS STRING)) IS NULL OR CAST(X."&amp;F550&amp;" AS STRING) NOT "&amp;H550&amp;",1,0)) AS NUM_REG_DIF,'"&amp;MAX('ID1&amp;5'!K:K)+1&amp;"' AS ID_EXEC, CURRENT_TIMESTAMP() AS TIME_EXEC FROM "&amp;I550,"SELECT '"&amp;UPPER(B550)&amp;"' AS TABELA, '"&amp;UPPER(C550)&amp;"' AS TIPOLOGIA_TESTE,'"&amp;D550&amp;"' AS TABELA_LT,'N/A' AS TABELA_SIMUL,'"&amp;F550&amp;"' AS CAMPO, "&amp;"'${ref_date}' AS REF_DATE, COUNT(*) AS NUM_REG, SUM(IF(TRIM(CAST(X."&amp;F550&amp;" AS STRING))='' OR TRIM(CAST(X."&amp;F550&amp;" AS STRING)) IS NULL,1,0)) AS NUM_REG_DIF,'"&amp;MAX('ID1&amp;5'!K:K)+1&amp;"' AS ID_EXEC, CURRENT_TIMESTAMP() AS TIME_EXEC FROM "&amp;I550),
IF(C550="Caracteres Especiais",+"SELECT '"&amp;UPPER(B550)&amp;"' AS TABELA, '"&amp;UPPER(C550)&amp;"' AS TIPOLOGIA_TESTE,'"&amp;D550&amp;"' AS TABELA_LT,'N/A' AS TABELA_SIMUL,'"&amp;F550&amp;"' AS CAMPO, "&amp;"'${ref_date}' AS REF_DATE, COUNT(*) AS NUM_REG, SUM(IF(REGEXP_REPLACE(TRIM(CAST(X."&amp;F550&amp;" AS STRING)),'[^a-zA-Z0-9_\\s]','') &lt;&gt;TRIM(CAST(X."&amp;F550&amp;" AS STRING)),1,0)) AS NUM_REG_DIF,'"&amp;MAX('ID1&amp;5'!K:K)+1&amp;"' AS ID_EXEC, CURRENT_TIMESTAMP() AS TIME_EXEC FROM "&amp;I550,
IF(C550="Missings",+"SELECT '"&amp;UPPER(B550)&amp;"' AS TABELA, '"&amp;UPPER(C550)&amp;"' AS TIPOLOGIA_TESTE,'"&amp;D550&amp;"' AS TABELA_LT,'N/A' AS TABELA_SIMUL,'"&amp;F550&amp;"' AS CAMPO, "&amp;"'${ref_date}' AS REF_DATE, COUNT(*) AS NUM_REG, SUM(IF(TRIM(CAST(X."&amp;F550&amp;" AS STRING)) IN ('0000-00-00','0001-01-01','9999-12-31','MISS','00000','99999999999','99999999999.00','99999999999.000000'),1,0)) AS NUM_REG_DIF,'"&amp;MAX('ID1&amp;5'!K:K)+1&amp;"' AS ID_EXEC, CURRENT_TIMESTAMP() AS TIME_EXEC FROM "&amp;I550,
IF(C550="Not applicable",+"SELECT '"&amp;UPPER(B550)&amp;"' AS TABELA, '"&amp;UPPER(C550)&amp;"' AS TIPOLOGIA_TESTE,'"&amp;D550&amp;"' AS TABELA_LT,'N/A' AS TABELA_SIMUL,'"&amp;F550&amp;"' AS CAMPO, "&amp;"'${ref_date}' AS REF_DATE, COUNT(*) AS NUM_REG, SUM(IF(TRIM(CAST(X."&amp;F550&amp;" AS STRING)) IN ('N/A','11111111111','11111111111.00','11111111111.000000','1111-11-11'),1,0)) AS NUM_REG_DIF,'"&amp;MAX('ID1&amp;5'!K:K)+1&amp;"' AS ID_EXEC, CURRENT_TIMESTAMP() AS TIME_EXEC FROM "&amp;I550,
IF(C550="Valores extremos",+"SELECT '"&amp;UPPER(B550)&amp;"' AS TABELA, '"&amp;UPPER(C550)&amp;"' AS TIPOLOGIA_TESTE,'"&amp;D550&amp;"' AS TABELA_LT,'N/A' AS TABELA_SIMUL,'"&amp;F550&amp;"' AS CAMPO, "&amp;"'${ref_date}' AS REF_DATE, CAST(MIN("&amp;F550&amp;") AS STRING) AS VALOR_MIN, CAST(MAX("&amp;F550&amp;") AS STRING) AS VALOR_MAX,'"&amp;MAX('ID1&amp;5'!K:K)+1&amp;"' AS ID_EXEC, CURRENT_TIMESTAMP() AS TIME_EXEC FROM "&amp;MID(I550,1,LEN(I550)-2)&amp;" AND CAST("&amp;F550&amp;"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TABELA_SIMUL,'grp_rorac' AS CAMPO, '${ref_date}' AS REF_DATE, COUNT(*) AS NUM_REG, SUM(IF(COALESCE(CAST(X.grp_rorac AS STRING),'')&lt;&gt;COALESCE(CAST(Y.grp_rorac_SIMUL AS STRING),'') OR (X.grp_rorac IS NULL AND Y.grp_rorac_SIMUL IS NOT NULL ) OR (X.grp_rorac IS NOT NULL AND Y.grp_rorac_SIMUL IS NULL),1,0)) AS NUM_REG_DIF,'1' AS ID_EXEC, CURRENT_TIMESTAMP() AS TIME_EXEC FROM (SELECT entty_id, grp_rorac FROM BU_LOANTAPE_WORK.LT003_ENTITY WHERE ref_date='${ref_date}' AND nome_perimetro='Individual Local' AND segmento='ESTR' AND ambito='SRB_MBDT' AND entidade='00100')X INNER JOIN (SELECT entty_id AS entty_id_SIMUL, grp_rorac AS grp_rorac_SIMUL FROM BU_LOANTAPE_WORK.SIMUL_LT003_ENTITY WHERE ref_date='${ref_date}' AND nome_perimetro='Individual Local' AND segmento='ESTR' AND ambito='PILAR3' AND entidade='00100')Y ON X.ENTTY_ID=Y.ENTTY_ID_SIMUL</v>
      </c>
      <c r="M550" s="36" t="str">
        <f t="shared" si="11"/>
        <v>UNION ALL SELECT 'ENTITY' AS TABELA, 'COERÊNCIA' AS TIPOLOGIA_TESTE,'BU_LOANTAPE_WORK.LT003_ENTITY' AS TABELA_LT,'BU_LOANTAPE_WORK.SIMUL_LT003_ENTITY' AS TABELA_SIMUL,'grp_rorac' AS CAMPO, '${ref_date}' AS REF_DATE, COUNT(*) AS NUM_REG, SUM(IF(COALESCE(CAST(X.grp_rorac AS STRING),'')&lt;&gt;COALESCE(CAST(Y.grp_rorac_SIMUL AS STRING),'') OR (X.grp_rorac IS NULL AND Y.grp_rorac_SIMUL IS NOT NULL ) OR (X.grp_rorac IS NOT NULL AND Y.grp_rorac_SIMUL IS NULL),1,0)) AS NUM_REG_DIF,'1' AS ID_EXEC, CURRENT_TIMESTAMP() AS TIME_EXEC FROM (SELECT entty_id, grp_rorac FROM BU_LOANTAPE_WORK.LT003_ENTITY WHERE ref_date='${ref_date}' AND nome_perimetro='Individual Local' AND segmento='ESTR' AND ambito='SRB_MBDT' AND entidade='00100')X INNER JOIN (SELECT entty_id AS entty_id_SIMUL, grp_rorac AS grp_rorac_SIMUL FROM BU_LOANTAPE_WORK.SIMUL_LT003_ENTITY WHERE ref_date='${ref_date}' AND nome_perimetro='Individual Local' AND segmento='ESTR' AND ambito='PILAR3' AND entidade='00100')Y ON X.ENTTY_ID=Y.ENTTY_ID_SIMUL</v>
      </c>
    </row>
    <row r="551" spans="2:13">
      <c r="B551" s="34" t="s">
        <v>118</v>
      </c>
      <c r="C551" s="34" t="s">
        <v>5</v>
      </c>
      <c r="D551" s="34" t="str">
        <f>+UPPER('0. Instruções'!$D$35&amp;"."&amp;VLOOKUP(B551,'0. Instruções'!$C$27:$D$32,2,FALSE))</f>
        <v>BU_LOANTAPE_WORK.LT003_ENTITY</v>
      </c>
      <c r="E551" s="34" t="str">
        <f>+UPPER('0. Instruções'!$D$36&amp;"."&amp;VLOOKUP(B551,'0. Instruções'!$C$27:$E$32,3,FALSE))</f>
        <v>BU_LOANTAPE_WORK.SIMUL_LT003_ENTITY</v>
      </c>
      <c r="F551" s="34" t="s">
        <v>1504</v>
      </c>
      <c r="G551" s="34"/>
      <c r="H551" s="34"/>
      <c r="I551" s="34" t="str">
        <f>"(SELECT "&amp;VLOOKUP(B551,'0. Instruções'!$C$27:$G$32,4,FALSE)&amp;", "&amp;F551&amp;" FROM "&amp;D551&amp;" WHERE "&amp;'0. Instruções'!$D$42&amp;")X"</f>
        <v>(SELECT entty_id, grp_rorwa FROM BU_LOANTAPE_WORK.LT003_ENTITY WHERE ref_date='${ref_date}' AND nome_perimetro='Individual Local' AND segmento='ESTR' AND ambito='SRB_MBDT' AND entidade='00100')X</v>
      </c>
      <c r="J551" s="34" t="str">
        <f>"(SELECT "&amp;VLOOKUP(B551,'0. Instruções'!$C$27:$G$32,4,FALSE)&amp;" AS "&amp;VLOOKUP(B551,'0. Instruções'!$C$27:$G$32,4,FALSE)&amp;"_SIMUL, "&amp;F551&amp;" AS "&amp;F551&amp;"_SIMUL FROM "&amp;E551&amp;" WHERE "&amp;'0. Instruções'!$D$43&amp;")Y"</f>
        <v>(SELECT entty_id AS entty_id_SIMUL, grp_rorwa AS grp_rorwa_SIMUL FROM BU_LOANTAPE_WORK.SIMUL_LT003_ENTITY WHERE ref_date='${ref_date}' AND nome_perimetro='Individual Local' AND segmento='ESTR' AND ambito='PILAR3' AND entidade='00100')Y</v>
      </c>
      <c r="K551" s="35" t="str">
        <f>+UPPER("ON X."&amp;VLOOKUP(B551,'0. Instruções'!$C$27:$G$32,4,FALSE)&amp;"=Y."&amp;VLOOKUP(B551,'0. Instruções'!$C$27:$G$32,4,FALSE)&amp;"_SIMUL")</f>
        <v>ON X.ENTTY_ID=Y.ENTTY_ID_SIMUL</v>
      </c>
      <c r="L551" s="35" t="str">
        <f>+IF(C551="Coerência", +IF(LEFT(G551,5)="FLOAT","SELECT '"&amp;UPPER(B551)&amp;"' AS TABELA, '"&amp;UPPER(C551)&amp;"' AS TIPOLOGIA_TESTE,'"&amp;D551&amp;"' AS TABELA_LT,'"&amp;E551&amp;"' AS TABELA_SIMUL,'"&amp;F551&amp;"' AS CAMPO, "&amp;"'${ref_date}' AS REF_DATE, COUNT(*) AS NUM_REG, SUM(IF((ABS(COALESCE(CAST(X."&amp;F551&amp;" AS DECIMAL(18,6)),0)-COALESCE(CAST(Y."&amp;F551&amp;"_SIMUL AS DECIMAL(18,6)),0))&gt;0.000001) OR (X."&amp;F551&amp;" IS NULL AND Y."&amp;F551&amp;"_SIMUL IS NOT NULL ) OR (X."&amp;F551&amp;" IS NOT NULL AND Y."&amp;F551&amp;"_SIMUL IS NULL),1,0)) AS NUM_REG_DIF,'"&amp;MAX('ID1&amp;5'!K:K)+1&amp;"' AS ID_EXEC, CURRENT_TIMESTAMP() AS TIME_EXEC FROM "&amp;I551&amp;" INNER JOIN "&amp;J551&amp;" "&amp;K551,"SELECT '"&amp;UPPER(B551)&amp;"' AS TABELA, '"&amp;UPPER(C551)&amp;"' AS TIPOLOGIA_TESTE,'"&amp;D551&amp;"' AS TABELA_LT,'"&amp;E551&amp;"' AS TABELA_SIMUL,'"&amp;F551&amp;"' AS CAMPO, "&amp;"'${ref_date}' AS REF_DATE, COUNT(*) AS NUM_REG, SUM(IF(COALESCE(CAST(X."&amp;F551&amp;" AS STRING),'')&lt;&gt;COALESCE(CAST(Y."&amp;F551&amp;"_SIMUL AS STRING),'') OR (X."&amp;F551&amp;" IS NULL AND Y."&amp;F551&amp;"_SIMUL IS NOT NULL ) OR (X."&amp;F551&amp;" IS NOT NULL AND Y."&amp;F551&amp;"_SIMUL IS NULL),1,0)) AS NUM_REG_DIF,'"&amp;MAX('ID1&amp;5'!L:L)+1&amp;"' AS ID_EXEC, CURRENT_TIMESTAMP() AS TIME_EXEC FROM "&amp;I551&amp;" INNER JOIN "&amp;J551&amp;" "&amp;K551),
IF(C551="Validade",+IF(G551="Code List","SELECT '"&amp;UPPER(B551)&amp;"' AS TABELA, '"&amp;UPPER(C551)&amp;"' AS TIPOLOGIA_TESTE,'"&amp;D551&amp;"' AS TABELA_LT,'N/A' AS TABELA_SIMUL,'"&amp;F551&amp;"' AS CAMPO, "&amp;"'${ref_date}' AS REF_DATE, COUNT(*) AS NUM_REG, SUM(IF(TRIM(CAST(X."&amp;F551&amp;" AS STRING))='' OR TRIM(CAST(X."&amp;F551&amp;" AS STRING)) IS NULL OR CAST(X."&amp;F551&amp;" AS STRING) NOT "&amp;H551&amp;",1,0)) AS NUM_REG_DIF,'"&amp;MAX('ID1&amp;5'!K:K)+1&amp;"' AS ID_EXEC, CURRENT_TIMESTAMP() AS TIME_EXEC FROM "&amp;I551,"SELECT '"&amp;UPPER(B551)&amp;"' AS TABELA, '"&amp;UPPER(C551)&amp;"' AS TIPOLOGIA_TESTE,'"&amp;D551&amp;"' AS TABELA_LT,'N/A' AS TABELA_SIMUL,'"&amp;F551&amp;"' AS CAMPO, "&amp;"'${ref_date}' AS REF_DATE, COUNT(*) AS NUM_REG, SUM(IF(TRIM(CAST(X."&amp;F551&amp;" AS STRING))='' OR TRIM(CAST(X."&amp;F551&amp;" AS STRING)) IS NULL,1,0)) AS NUM_REG_DIF,'"&amp;MAX('ID1&amp;5'!K:K)+1&amp;"' AS ID_EXEC, CURRENT_TIMESTAMP() AS TIME_EXEC FROM "&amp;I551),
IF(C551="Caracteres Especiais",+"SELECT '"&amp;UPPER(B551)&amp;"' AS TABELA, '"&amp;UPPER(C551)&amp;"' AS TIPOLOGIA_TESTE,'"&amp;D551&amp;"' AS TABELA_LT,'N/A' AS TABELA_SIMUL,'"&amp;F551&amp;"' AS CAMPO, "&amp;"'${ref_date}' AS REF_DATE, COUNT(*) AS NUM_REG, SUM(IF(REGEXP_REPLACE(TRIM(CAST(X."&amp;F551&amp;" AS STRING)),'[^a-zA-Z0-9_\\s]','') &lt;&gt;TRIM(CAST(X."&amp;F551&amp;" AS STRING)),1,0)) AS NUM_REG_DIF,'"&amp;MAX('ID1&amp;5'!K:K)+1&amp;"' AS ID_EXEC, CURRENT_TIMESTAMP() AS TIME_EXEC FROM "&amp;I551,
IF(C551="Missings",+"SELECT '"&amp;UPPER(B551)&amp;"' AS TABELA, '"&amp;UPPER(C551)&amp;"' AS TIPOLOGIA_TESTE,'"&amp;D551&amp;"' AS TABELA_LT,'N/A' AS TABELA_SIMUL,'"&amp;F551&amp;"' AS CAMPO, "&amp;"'${ref_date}' AS REF_DATE, COUNT(*) AS NUM_REG, SUM(IF(TRIM(CAST(X."&amp;F551&amp;" AS STRING)) IN ('0000-00-00','0001-01-01','9999-12-31','MISS','00000','99999999999','99999999999.00','99999999999.000000'),1,0)) AS NUM_REG_DIF,'"&amp;MAX('ID1&amp;5'!K:K)+1&amp;"' AS ID_EXEC, CURRENT_TIMESTAMP() AS TIME_EXEC FROM "&amp;I551,
IF(C551="Not applicable",+"SELECT '"&amp;UPPER(B551)&amp;"' AS TABELA, '"&amp;UPPER(C551)&amp;"' AS TIPOLOGIA_TESTE,'"&amp;D551&amp;"' AS TABELA_LT,'N/A' AS TABELA_SIMUL,'"&amp;F551&amp;"' AS CAMPO, "&amp;"'${ref_date}' AS REF_DATE, COUNT(*) AS NUM_REG, SUM(IF(TRIM(CAST(X."&amp;F551&amp;" AS STRING)) IN ('N/A','11111111111','11111111111.00','11111111111.000000','1111-11-11'),1,0)) AS NUM_REG_DIF,'"&amp;MAX('ID1&amp;5'!K:K)+1&amp;"' AS ID_EXEC, CURRENT_TIMESTAMP() AS TIME_EXEC FROM "&amp;I551,
IF(C551="Valores extremos",+"SELECT '"&amp;UPPER(B551)&amp;"' AS TABELA, '"&amp;UPPER(C551)&amp;"' AS TIPOLOGIA_TESTE,'"&amp;D551&amp;"' AS TABELA_LT,'N/A' AS TABELA_SIMUL,'"&amp;F551&amp;"' AS CAMPO, "&amp;"'${ref_date}' AS REF_DATE, CAST(MIN("&amp;F551&amp;") AS STRING) AS VALOR_MIN, CAST(MAX("&amp;F551&amp;") AS STRING) AS VALOR_MAX,'"&amp;MAX('ID1&amp;5'!K:K)+1&amp;"' AS ID_EXEC, CURRENT_TIMESTAMP() AS TIME_EXEC FROM "&amp;MID(I551,1,LEN(I551)-2)&amp;" AND CAST("&amp;F551&amp;"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TABELA_SIMUL,'grp_rorwa' AS CAMPO, '${ref_date}' AS REF_DATE, COUNT(*) AS NUM_REG, SUM(IF(COALESCE(CAST(X.grp_rorwa AS STRING),'')&lt;&gt;COALESCE(CAST(Y.grp_rorwa_SIMUL AS STRING),'') OR (X.grp_rorwa IS NULL AND Y.grp_rorwa_SIMUL IS NOT NULL ) OR (X.grp_rorwa IS NOT NULL AND Y.grp_rorwa_SIMUL IS NULL),1,0)) AS NUM_REG_DIF,'1' AS ID_EXEC, CURRENT_TIMESTAMP() AS TIME_EXEC FROM (SELECT entty_id, grp_rorwa FROM BU_LOANTAPE_WORK.LT003_ENTITY WHERE ref_date='${ref_date}' AND nome_perimetro='Individual Local' AND segmento='ESTR' AND ambito='SRB_MBDT' AND entidade='00100')X INNER JOIN (SELECT entty_id AS entty_id_SIMUL, grp_rorwa AS grp_rorwa_SIMUL FROM BU_LOANTAPE_WORK.SIMUL_LT003_ENTITY WHERE ref_date='${ref_date}' AND nome_perimetro='Individual Local' AND segmento='ESTR' AND ambito='PILAR3' AND entidade='00100')Y ON X.ENTTY_ID=Y.ENTTY_ID_SIMUL</v>
      </c>
      <c r="M551" s="36" t="str">
        <f t="shared" si="11"/>
        <v>UNION ALL SELECT 'ENTITY' AS TABELA, 'COERÊNCIA' AS TIPOLOGIA_TESTE,'BU_LOANTAPE_WORK.LT003_ENTITY' AS TABELA_LT,'BU_LOANTAPE_WORK.SIMUL_LT003_ENTITY' AS TABELA_SIMUL,'grp_rorwa' AS CAMPO, '${ref_date}' AS REF_DATE, COUNT(*) AS NUM_REG, SUM(IF(COALESCE(CAST(X.grp_rorwa AS STRING),'')&lt;&gt;COALESCE(CAST(Y.grp_rorwa_SIMUL AS STRING),'') OR (X.grp_rorwa IS NULL AND Y.grp_rorwa_SIMUL IS NOT NULL ) OR (X.grp_rorwa IS NOT NULL AND Y.grp_rorwa_SIMUL IS NULL),1,0)) AS NUM_REG_DIF,'1' AS ID_EXEC, CURRENT_TIMESTAMP() AS TIME_EXEC FROM (SELECT entty_id, grp_rorwa FROM BU_LOANTAPE_WORK.LT003_ENTITY WHERE ref_date='${ref_date}' AND nome_perimetro='Individual Local' AND segmento='ESTR' AND ambito='SRB_MBDT' AND entidade='00100')X INNER JOIN (SELECT entty_id AS entty_id_SIMUL, grp_rorwa AS grp_rorwa_SIMUL FROM BU_LOANTAPE_WORK.SIMUL_LT003_ENTITY WHERE ref_date='${ref_date}' AND nome_perimetro='Individual Local' AND segmento='ESTR' AND ambito='PILAR3' AND entidade='00100')Y ON X.ENTTY_ID=Y.ENTTY_ID_SIMUL</v>
      </c>
    </row>
    <row r="552" spans="2:13">
      <c r="B552" s="34" t="s">
        <v>118</v>
      </c>
      <c r="C552" s="34" t="s">
        <v>5</v>
      </c>
      <c r="D552" s="34" t="str">
        <f>+UPPER('0. Instruções'!$D$35&amp;"."&amp;VLOOKUP(B552,'0. Instruções'!$C$27:$D$32,2,FALSE))</f>
        <v>BU_LOANTAPE_WORK.LT003_ENTITY</v>
      </c>
      <c r="E552" s="34" t="str">
        <f>+UPPER('0. Instruções'!$D$36&amp;"."&amp;VLOOKUP(B552,'0. Instruções'!$C$27:$E$32,3,FALSE))</f>
        <v>BU_LOANTAPE_WORK.SIMUL_LT003_ENTITY</v>
      </c>
      <c r="F552" s="34" t="s">
        <v>1393</v>
      </c>
      <c r="G552" s="34"/>
      <c r="H552" s="34"/>
      <c r="I552" s="34" t="str">
        <f>"(SELECT "&amp;VLOOKUP(B552,'0. Instruções'!$C$27:$G$32,4,FALSE)&amp;", "&amp;F552&amp;" FROM "&amp;D552&amp;" WHERE "&amp;'0. Instruções'!$D$42&amp;")X"</f>
        <v>(SELECT entty_id, rorac FROM BU_LOANTAPE_WORK.LT003_ENTITY WHERE ref_date='${ref_date}' AND nome_perimetro='Individual Local' AND segmento='ESTR' AND ambito='SRB_MBDT' AND entidade='00100')X</v>
      </c>
      <c r="J552" s="34" t="str">
        <f>"(SELECT "&amp;VLOOKUP(B552,'0. Instruções'!$C$27:$G$32,4,FALSE)&amp;" AS "&amp;VLOOKUP(B552,'0. Instruções'!$C$27:$G$32,4,FALSE)&amp;"_SIMUL, "&amp;F552&amp;" AS "&amp;F552&amp;"_SIMUL FROM "&amp;E552&amp;" WHERE "&amp;'0. Instruções'!$D$43&amp;")Y"</f>
        <v>(SELECT entty_id AS entty_id_SIMUL, rorac AS rorac_SIMUL FROM BU_LOANTAPE_WORK.SIMUL_LT003_ENTITY WHERE ref_date='${ref_date}' AND nome_perimetro='Individual Local' AND segmento='ESTR' AND ambito='PILAR3' AND entidade='00100')Y</v>
      </c>
      <c r="K552" s="35" t="str">
        <f>+UPPER("ON X."&amp;VLOOKUP(B552,'0. Instruções'!$C$27:$G$32,4,FALSE)&amp;"=Y."&amp;VLOOKUP(B552,'0. Instruções'!$C$27:$G$32,4,FALSE)&amp;"_SIMUL")</f>
        <v>ON X.ENTTY_ID=Y.ENTTY_ID_SIMUL</v>
      </c>
      <c r="L552" s="35" t="str">
        <f>+IF(C552="Coerência", +IF(LEFT(G552,5)="FLOAT","SELECT '"&amp;UPPER(B552)&amp;"' AS TABELA, '"&amp;UPPER(C552)&amp;"' AS TIPOLOGIA_TESTE,'"&amp;D552&amp;"' AS TABELA_LT,'"&amp;E552&amp;"' AS TABELA_SIMUL,'"&amp;F552&amp;"' AS CAMPO, "&amp;"'${ref_date}' AS REF_DATE, COUNT(*) AS NUM_REG, SUM(IF((ABS(COALESCE(CAST(X."&amp;F552&amp;" AS DECIMAL(18,6)),0)-COALESCE(CAST(Y."&amp;F552&amp;"_SIMUL AS DECIMAL(18,6)),0))&gt;0.000001) OR (X."&amp;F552&amp;" IS NULL AND Y."&amp;F552&amp;"_SIMUL IS NOT NULL ) OR (X."&amp;F552&amp;" IS NOT NULL AND Y."&amp;F552&amp;"_SIMUL IS NULL),1,0)) AS NUM_REG_DIF,'"&amp;MAX('ID1&amp;5'!K:K)+1&amp;"' AS ID_EXEC, CURRENT_TIMESTAMP() AS TIME_EXEC FROM "&amp;I552&amp;" INNER JOIN "&amp;J552&amp;" "&amp;K552,"SELECT '"&amp;UPPER(B552)&amp;"' AS TABELA, '"&amp;UPPER(C552)&amp;"' AS TIPOLOGIA_TESTE,'"&amp;D552&amp;"' AS TABELA_LT,'"&amp;E552&amp;"' AS TABELA_SIMUL,'"&amp;F552&amp;"' AS CAMPO, "&amp;"'${ref_date}' AS REF_DATE, COUNT(*) AS NUM_REG, SUM(IF(COALESCE(CAST(X."&amp;F552&amp;" AS STRING),'')&lt;&gt;COALESCE(CAST(Y."&amp;F552&amp;"_SIMUL AS STRING),'') OR (X."&amp;F552&amp;" IS NULL AND Y."&amp;F552&amp;"_SIMUL IS NOT NULL ) OR (X."&amp;F552&amp;" IS NOT NULL AND Y."&amp;F552&amp;"_SIMUL IS NULL),1,0)) AS NUM_REG_DIF,'"&amp;MAX('ID1&amp;5'!L:L)+1&amp;"' AS ID_EXEC, CURRENT_TIMESTAMP() AS TIME_EXEC FROM "&amp;I552&amp;" INNER JOIN "&amp;J552&amp;" "&amp;K552),
IF(C552="Validade",+IF(G552="Code List","SELECT '"&amp;UPPER(B552)&amp;"' AS TABELA, '"&amp;UPPER(C552)&amp;"' AS TIPOLOGIA_TESTE,'"&amp;D552&amp;"' AS TABELA_LT,'N/A' AS TABELA_SIMUL,'"&amp;F552&amp;"' AS CAMPO, "&amp;"'${ref_date}' AS REF_DATE, COUNT(*) AS NUM_REG, SUM(IF(TRIM(CAST(X."&amp;F552&amp;" AS STRING))='' OR TRIM(CAST(X."&amp;F552&amp;" AS STRING)) IS NULL OR CAST(X."&amp;F552&amp;" AS STRING) NOT "&amp;H552&amp;",1,0)) AS NUM_REG_DIF,'"&amp;MAX('ID1&amp;5'!K:K)+1&amp;"' AS ID_EXEC, CURRENT_TIMESTAMP() AS TIME_EXEC FROM "&amp;I552,"SELECT '"&amp;UPPER(B552)&amp;"' AS TABELA, '"&amp;UPPER(C552)&amp;"' AS TIPOLOGIA_TESTE,'"&amp;D552&amp;"' AS TABELA_LT,'N/A' AS TABELA_SIMUL,'"&amp;F552&amp;"' AS CAMPO, "&amp;"'${ref_date}' AS REF_DATE, COUNT(*) AS NUM_REG, SUM(IF(TRIM(CAST(X."&amp;F552&amp;" AS STRING))='' OR TRIM(CAST(X."&amp;F552&amp;" AS STRING)) IS NULL,1,0)) AS NUM_REG_DIF,'"&amp;MAX('ID1&amp;5'!K:K)+1&amp;"' AS ID_EXEC, CURRENT_TIMESTAMP() AS TIME_EXEC FROM "&amp;I552),
IF(C552="Caracteres Especiais",+"SELECT '"&amp;UPPER(B552)&amp;"' AS TABELA, '"&amp;UPPER(C552)&amp;"' AS TIPOLOGIA_TESTE,'"&amp;D552&amp;"' AS TABELA_LT,'N/A' AS TABELA_SIMUL,'"&amp;F552&amp;"' AS CAMPO, "&amp;"'${ref_date}' AS REF_DATE, COUNT(*) AS NUM_REG, SUM(IF(REGEXP_REPLACE(TRIM(CAST(X."&amp;F552&amp;" AS STRING)),'[^a-zA-Z0-9_\\s]','') &lt;&gt;TRIM(CAST(X."&amp;F552&amp;" AS STRING)),1,0)) AS NUM_REG_DIF,'"&amp;MAX('ID1&amp;5'!K:K)+1&amp;"' AS ID_EXEC, CURRENT_TIMESTAMP() AS TIME_EXEC FROM "&amp;I552,
IF(C552="Missings",+"SELECT '"&amp;UPPER(B552)&amp;"' AS TABELA, '"&amp;UPPER(C552)&amp;"' AS TIPOLOGIA_TESTE,'"&amp;D552&amp;"' AS TABELA_LT,'N/A' AS TABELA_SIMUL,'"&amp;F552&amp;"' AS CAMPO, "&amp;"'${ref_date}' AS REF_DATE, COUNT(*) AS NUM_REG, SUM(IF(TRIM(CAST(X."&amp;F552&amp;" AS STRING)) IN ('0000-00-00','0001-01-01','9999-12-31','MISS','00000','99999999999','99999999999.00','99999999999.000000'),1,0)) AS NUM_REG_DIF,'"&amp;MAX('ID1&amp;5'!K:K)+1&amp;"' AS ID_EXEC, CURRENT_TIMESTAMP() AS TIME_EXEC FROM "&amp;I552,
IF(C552="Not applicable",+"SELECT '"&amp;UPPER(B552)&amp;"' AS TABELA, '"&amp;UPPER(C552)&amp;"' AS TIPOLOGIA_TESTE,'"&amp;D552&amp;"' AS TABELA_LT,'N/A' AS TABELA_SIMUL,'"&amp;F552&amp;"' AS CAMPO, "&amp;"'${ref_date}' AS REF_DATE, COUNT(*) AS NUM_REG, SUM(IF(TRIM(CAST(X."&amp;F552&amp;" AS STRING)) IN ('N/A','11111111111','11111111111.00','11111111111.000000','1111-11-11'),1,0)) AS NUM_REG_DIF,'"&amp;MAX('ID1&amp;5'!K:K)+1&amp;"' AS ID_EXEC, CURRENT_TIMESTAMP() AS TIME_EXEC FROM "&amp;I552,
IF(C552="Valores extremos",+"SELECT '"&amp;UPPER(B552)&amp;"' AS TABELA, '"&amp;UPPER(C552)&amp;"' AS TIPOLOGIA_TESTE,'"&amp;D552&amp;"' AS TABELA_LT,'N/A' AS TABELA_SIMUL,'"&amp;F552&amp;"' AS CAMPO, "&amp;"'${ref_date}' AS REF_DATE, CAST(MIN("&amp;F552&amp;") AS STRING) AS VALOR_MIN, CAST(MAX("&amp;F552&amp;") AS STRING) AS VALOR_MAX,'"&amp;MAX('ID1&amp;5'!K:K)+1&amp;"' AS ID_EXEC, CURRENT_TIMESTAMP() AS TIME_EXEC FROM "&amp;MID(I552,1,LEN(I552)-2)&amp;" AND CAST("&amp;F552&amp;"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TABELA_SIMUL,'rorac' AS CAMPO, '${ref_date}' AS REF_DATE, COUNT(*) AS NUM_REG, SUM(IF(COALESCE(CAST(X.rorac AS STRING),'')&lt;&gt;COALESCE(CAST(Y.rorac_SIMUL AS STRING),'') OR (X.rorac IS NULL AND Y.rorac_SIMUL IS NOT NULL ) OR (X.rorac IS NOT NULL AND Y.rorac_SIMUL IS NULL),1,0)) AS NUM_REG_DIF,'1' AS ID_EXEC, CURRENT_TIMESTAMP() AS TIME_EXEC FROM (SELECT entty_id, rorac FROM BU_LOANTAPE_WORK.LT003_ENTITY WHERE ref_date='${ref_date}' AND nome_perimetro='Individual Local' AND segmento='ESTR' AND ambito='SRB_MBDT' AND entidade='00100')X INNER JOIN (SELECT entty_id AS entty_id_SIMUL, rorac AS rorac_SIMUL FROM BU_LOANTAPE_WORK.SIMUL_LT003_ENTITY WHERE ref_date='${ref_date}' AND nome_perimetro='Individual Local' AND segmento='ESTR' AND ambito='PILAR3' AND entidade='00100')Y ON X.ENTTY_ID=Y.ENTTY_ID_SIMUL</v>
      </c>
      <c r="M552" s="36" t="str">
        <f t="shared" si="11"/>
        <v>UNION ALL SELECT 'ENTITY' AS TABELA, 'COERÊNCIA' AS TIPOLOGIA_TESTE,'BU_LOANTAPE_WORK.LT003_ENTITY' AS TABELA_LT,'BU_LOANTAPE_WORK.SIMUL_LT003_ENTITY' AS TABELA_SIMUL,'rorac' AS CAMPO, '${ref_date}' AS REF_DATE, COUNT(*) AS NUM_REG, SUM(IF(COALESCE(CAST(X.rorac AS STRING),'')&lt;&gt;COALESCE(CAST(Y.rorac_SIMUL AS STRING),'') OR (X.rorac IS NULL AND Y.rorac_SIMUL IS NOT NULL ) OR (X.rorac IS NOT NULL AND Y.rorac_SIMUL IS NULL),1,0)) AS NUM_REG_DIF,'1' AS ID_EXEC, CURRENT_TIMESTAMP() AS TIME_EXEC FROM (SELECT entty_id, rorac FROM BU_LOANTAPE_WORK.LT003_ENTITY WHERE ref_date='${ref_date}' AND nome_perimetro='Individual Local' AND segmento='ESTR' AND ambito='SRB_MBDT' AND entidade='00100')X INNER JOIN (SELECT entty_id AS entty_id_SIMUL, rorac AS rorac_SIMUL FROM BU_LOANTAPE_WORK.SIMUL_LT003_ENTITY WHERE ref_date='${ref_date}' AND nome_perimetro='Individual Local' AND segmento='ESTR' AND ambito='PILAR3' AND entidade='00100')Y ON X.ENTTY_ID=Y.ENTTY_ID_SIMUL</v>
      </c>
    </row>
    <row r="553" spans="2:13">
      <c r="B553" s="34" t="s">
        <v>118</v>
      </c>
      <c r="C553" s="34" t="s">
        <v>5</v>
      </c>
      <c r="D553" s="34" t="str">
        <f>+UPPER('0. Instruções'!$D$35&amp;"."&amp;VLOOKUP(B553,'0. Instruções'!$C$27:$D$32,2,FALSE))</f>
        <v>BU_LOANTAPE_WORK.LT003_ENTITY</v>
      </c>
      <c r="E553" s="34" t="str">
        <f>+UPPER('0. Instruções'!$D$36&amp;"."&amp;VLOOKUP(B553,'0. Instruções'!$C$27:$E$32,3,FALSE))</f>
        <v>BU_LOANTAPE_WORK.SIMUL_LT003_ENTITY</v>
      </c>
      <c r="F553" s="34" t="s">
        <v>1394</v>
      </c>
      <c r="G553" s="34"/>
      <c r="H553" s="34"/>
      <c r="I553" s="34" t="str">
        <f>"(SELECT "&amp;VLOOKUP(B553,'0. Instruções'!$C$27:$G$32,4,FALSE)&amp;", "&amp;F553&amp;" FROM "&amp;D553&amp;" WHERE "&amp;'0. Instruções'!$D$42&amp;")X"</f>
        <v>(SELECT entty_id, rorwa FROM BU_LOANTAPE_WORK.LT003_ENTITY WHERE ref_date='${ref_date}' AND nome_perimetro='Individual Local' AND segmento='ESTR' AND ambito='SRB_MBDT' AND entidade='00100')X</v>
      </c>
      <c r="J553" s="34" t="str">
        <f>"(SELECT "&amp;VLOOKUP(B553,'0. Instruções'!$C$27:$G$32,4,FALSE)&amp;" AS "&amp;VLOOKUP(B553,'0. Instruções'!$C$27:$G$32,4,FALSE)&amp;"_SIMUL, "&amp;F553&amp;" AS "&amp;F553&amp;"_SIMUL FROM "&amp;E553&amp;" WHERE "&amp;'0. Instruções'!$D$43&amp;")Y"</f>
        <v>(SELECT entty_id AS entty_id_SIMUL, rorwa AS rorwa_SIMUL FROM BU_LOANTAPE_WORK.SIMUL_LT003_ENTITY WHERE ref_date='${ref_date}' AND nome_perimetro='Individual Local' AND segmento='ESTR' AND ambito='PILAR3' AND entidade='00100')Y</v>
      </c>
      <c r="K553" s="35" t="str">
        <f>+UPPER("ON X."&amp;VLOOKUP(B553,'0. Instruções'!$C$27:$G$32,4,FALSE)&amp;"=Y."&amp;VLOOKUP(B553,'0. Instruções'!$C$27:$G$32,4,FALSE)&amp;"_SIMUL")</f>
        <v>ON X.ENTTY_ID=Y.ENTTY_ID_SIMUL</v>
      </c>
      <c r="L553" s="35" t="str">
        <f>+IF(C553="Coerência", +IF(LEFT(G553,5)="FLOAT","SELECT '"&amp;UPPER(B553)&amp;"' AS TABELA, '"&amp;UPPER(C553)&amp;"' AS TIPOLOGIA_TESTE,'"&amp;D553&amp;"' AS TABELA_LT,'"&amp;E553&amp;"' AS TABELA_SIMUL,'"&amp;F553&amp;"' AS CAMPO, "&amp;"'${ref_date}' AS REF_DATE, COUNT(*) AS NUM_REG, SUM(IF((ABS(COALESCE(CAST(X."&amp;F553&amp;" AS DECIMAL(18,6)),0)-COALESCE(CAST(Y."&amp;F553&amp;"_SIMUL AS DECIMAL(18,6)),0))&gt;0.000001) OR (X."&amp;F553&amp;" IS NULL AND Y."&amp;F553&amp;"_SIMUL IS NOT NULL ) OR (X."&amp;F553&amp;" IS NOT NULL AND Y."&amp;F553&amp;"_SIMUL IS NULL),1,0)) AS NUM_REG_DIF,'"&amp;MAX('ID1&amp;5'!K:K)+1&amp;"' AS ID_EXEC, CURRENT_TIMESTAMP() AS TIME_EXEC FROM "&amp;I553&amp;" INNER JOIN "&amp;J553&amp;" "&amp;K553,"SELECT '"&amp;UPPER(B553)&amp;"' AS TABELA, '"&amp;UPPER(C553)&amp;"' AS TIPOLOGIA_TESTE,'"&amp;D553&amp;"' AS TABELA_LT,'"&amp;E553&amp;"' AS TABELA_SIMUL,'"&amp;F553&amp;"' AS CAMPO, "&amp;"'${ref_date}' AS REF_DATE, COUNT(*) AS NUM_REG, SUM(IF(COALESCE(CAST(X."&amp;F553&amp;" AS STRING),'')&lt;&gt;COALESCE(CAST(Y."&amp;F553&amp;"_SIMUL AS STRING),'') OR (X."&amp;F553&amp;" IS NULL AND Y."&amp;F553&amp;"_SIMUL IS NOT NULL ) OR (X."&amp;F553&amp;" IS NOT NULL AND Y."&amp;F553&amp;"_SIMUL IS NULL),1,0)) AS NUM_REG_DIF,'"&amp;MAX('ID1&amp;5'!L:L)+1&amp;"' AS ID_EXEC, CURRENT_TIMESTAMP() AS TIME_EXEC FROM "&amp;I553&amp;" INNER JOIN "&amp;J553&amp;" "&amp;K553),
IF(C553="Validade",+IF(G553="Code List","SELECT '"&amp;UPPER(B553)&amp;"' AS TABELA, '"&amp;UPPER(C553)&amp;"' AS TIPOLOGIA_TESTE,'"&amp;D553&amp;"' AS TABELA_LT,'N/A' AS TABELA_SIMUL,'"&amp;F553&amp;"' AS CAMPO, "&amp;"'${ref_date}' AS REF_DATE, COUNT(*) AS NUM_REG, SUM(IF(TRIM(CAST(X."&amp;F553&amp;" AS STRING))='' OR TRIM(CAST(X."&amp;F553&amp;" AS STRING)) IS NULL OR CAST(X."&amp;F553&amp;" AS STRING) NOT "&amp;H553&amp;",1,0)) AS NUM_REG_DIF,'"&amp;MAX('ID1&amp;5'!K:K)+1&amp;"' AS ID_EXEC, CURRENT_TIMESTAMP() AS TIME_EXEC FROM "&amp;I553,"SELECT '"&amp;UPPER(B553)&amp;"' AS TABELA, '"&amp;UPPER(C553)&amp;"' AS TIPOLOGIA_TESTE,'"&amp;D553&amp;"' AS TABELA_LT,'N/A' AS TABELA_SIMUL,'"&amp;F553&amp;"' AS CAMPO, "&amp;"'${ref_date}' AS REF_DATE, COUNT(*) AS NUM_REG, SUM(IF(TRIM(CAST(X."&amp;F553&amp;" AS STRING))='' OR TRIM(CAST(X."&amp;F553&amp;" AS STRING)) IS NULL,1,0)) AS NUM_REG_DIF,'"&amp;MAX('ID1&amp;5'!K:K)+1&amp;"' AS ID_EXEC, CURRENT_TIMESTAMP() AS TIME_EXEC FROM "&amp;I553),
IF(C553="Caracteres Especiais",+"SELECT '"&amp;UPPER(B553)&amp;"' AS TABELA, '"&amp;UPPER(C553)&amp;"' AS TIPOLOGIA_TESTE,'"&amp;D553&amp;"' AS TABELA_LT,'N/A' AS TABELA_SIMUL,'"&amp;F553&amp;"' AS CAMPO, "&amp;"'${ref_date}' AS REF_DATE, COUNT(*) AS NUM_REG, SUM(IF(REGEXP_REPLACE(TRIM(CAST(X."&amp;F553&amp;" AS STRING)),'[^a-zA-Z0-9_\\s]','') &lt;&gt;TRIM(CAST(X."&amp;F553&amp;" AS STRING)),1,0)) AS NUM_REG_DIF,'"&amp;MAX('ID1&amp;5'!K:K)+1&amp;"' AS ID_EXEC, CURRENT_TIMESTAMP() AS TIME_EXEC FROM "&amp;I553,
IF(C553="Missings",+"SELECT '"&amp;UPPER(B553)&amp;"' AS TABELA, '"&amp;UPPER(C553)&amp;"' AS TIPOLOGIA_TESTE,'"&amp;D553&amp;"' AS TABELA_LT,'N/A' AS TABELA_SIMUL,'"&amp;F553&amp;"' AS CAMPO, "&amp;"'${ref_date}' AS REF_DATE, COUNT(*) AS NUM_REG, SUM(IF(TRIM(CAST(X."&amp;F553&amp;" AS STRING)) IN ('0000-00-00','0001-01-01','9999-12-31','MISS','00000','99999999999','99999999999.00','99999999999.000000'),1,0)) AS NUM_REG_DIF,'"&amp;MAX('ID1&amp;5'!K:K)+1&amp;"' AS ID_EXEC, CURRENT_TIMESTAMP() AS TIME_EXEC FROM "&amp;I553,
IF(C553="Not applicable",+"SELECT '"&amp;UPPER(B553)&amp;"' AS TABELA, '"&amp;UPPER(C553)&amp;"' AS TIPOLOGIA_TESTE,'"&amp;D553&amp;"' AS TABELA_LT,'N/A' AS TABELA_SIMUL,'"&amp;F553&amp;"' AS CAMPO, "&amp;"'${ref_date}' AS REF_DATE, COUNT(*) AS NUM_REG, SUM(IF(TRIM(CAST(X."&amp;F553&amp;" AS STRING)) IN ('N/A','11111111111','11111111111.00','11111111111.000000','1111-11-11'),1,0)) AS NUM_REG_DIF,'"&amp;MAX('ID1&amp;5'!K:K)+1&amp;"' AS ID_EXEC, CURRENT_TIMESTAMP() AS TIME_EXEC FROM "&amp;I553,
IF(C553="Valores extremos",+"SELECT '"&amp;UPPER(B553)&amp;"' AS TABELA, '"&amp;UPPER(C553)&amp;"' AS TIPOLOGIA_TESTE,'"&amp;D553&amp;"' AS TABELA_LT,'N/A' AS TABELA_SIMUL,'"&amp;F553&amp;"' AS CAMPO, "&amp;"'${ref_date}' AS REF_DATE, CAST(MIN("&amp;F553&amp;") AS STRING) AS VALOR_MIN, CAST(MAX("&amp;F553&amp;") AS STRING) AS VALOR_MAX,'"&amp;MAX('ID1&amp;5'!K:K)+1&amp;"' AS ID_EXEC, CURRENT_TIMESTAMP() AS TIME_EXEC FROM "&amp;MID(I553,1,LEN(I553)-2)&amp;" AND CAST("&amp;F553&amp;"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TABELA_SIMUL,'rorwa' AS CAMPO, '${ref_date}' AS REF_DATE, COUNT(*) AS NUM_REG, SUM(IF(COALESCE(CAST(X.rorwa AS STRING),'')&lt;&gt;COALESCE(CAST(Y.rorwa_SIMUL AS STRING),'') OR (X.rorwa IS NULL AND Y.rorwa_SIMUL IS NOT NULL ) OR (X.rorwa IS NOT NULL AND Y.rorwa_SIMUL IS NULL),1,0)) AS NUM_REG_DIF,'1' AS ID_EXEC, CURRENT_TIMESTAMP() AS TIME_EXEC FROM (SELECT entty_id, rorwa FROM BU_LOANTAPE_WORK.LT003_ENTITY WHERE ref_date='${ref_date}' AND nome_perimetro='Individual Local' AND segmento='ESTR' AND ambito='SRB_MBDT' AND entidade='00100')X INNER JOIN (SELECT entty_id AS entty_id_SIMUL, rorwa AS rorwa_SIMUL FROM BU_LOANTAPE_WORK.SIMUL_LT003_ENTITY WHERE ref_date='${ref_date}' AND nome_perimetro='Individual Local' AND segmento='ESTR' AND ambito='PILAR3' AND entidade='00100')Y ON X.ENTTY_ID=Y.ENTTY_ID_SIMUL</v>
      </c>
      <c r="M553" s="36" t="str">
        <f t="shared" si="11"/>
        <v>UNION ALL SELECT 'ENTITY' AS TABELA, 'COERÊNCIA' AS TIPOLOGIA_TESTE,'BU_LOANTAPE_WORK.LT003_ENTITY' AS TABELA_LT,'BU_LOANTAPE_WORK.SIMUL_LT003_ENTITY' AS TABELA_SIMUL,'rorwa' AS CAMPO, '${ref_date}' AS REF_DATE, COUNT(*) AS NUM_REG, SUM(IF(COALESCE(CAST(X.rorwa AS STRING),'')&lt;&gt;COALESCE(CAST(Y.rorwa_SIMUL AS STRING),'') OR (X.rorwa IS NULL AND Y.rorwa_SIMUL IS NOT NULL ) OR (X.rorwa IS NOT NULL AND Y.rorwa_SIMUL IS NULL),1,0)) AS NUM_REG_DIF,'1' AS ID_EXEC, CURRENT_TIMESTAMP() AS TIME_EXEC FROM (SELECT entty_id, rorwa FROM BU_LOANTAPE_WORK.LT003_ENTITY WHERE ref_date='${ref_date}' AND nome_perimetro='Individual Local' AND segmento='ESTR' AND ambito='SRB_MBDT' AND entidade='00100')X INNER JOIN (SELECT entty_id AS entty_id_SIMUL, rorwa AS rorwa_SIMUL FROM BU_LOANTAPE_WORK.SIMUL_LT003_ENTITY WHERE ref_date='${ref_date}' AND nome_perimetro='Individual Local' AND segmento='ESTR' AND ambito='PILAR3' AND entidade='00100')Y ON X.ENTTY_ID=Y.ENTTY_ID_SIMUL</v>
      </c>
    </row>
    <row r="554" spans="2:13">
      <c r="B554" s="34" t="s">
        <v>118</v>
      </c>
      <c r="C554" s="34" t="s">
        <v>5</v>
      </c>
      <c r="D554" s="34" t="str">
        <f>+UPPER('0. Instruções'!$D$35&amp;"."&amp;VLOOKUP(B554,'0. Instruções'!$C$27:$D$32,2,FALSE))</f>
        <v>BU_LOANTAPE_WORK.LT003_ENTITY</v>
      </c>
      <c r="E554" s="34" t="str">
        <f>+UPPER('0. Instruções'!$D$36&amp;"."&amp;VLOOKUP(B554,'0. Instruções'!$C$27:$E$32,3,FALSE))</f>
        <v>BU_LOANTAPE_WORK.SIMUL_LT003_ENTITY</v>
      </c>
      <c r="F554" s="34" t="s">
        <v>1505</v>
      </c>
      <c r="G554" s="34"/>
      <c r="H554" s="34"/>
      <c r="I554" s="34" t="str">
        <f>"(SELECT "&amp;VLOOKUP(B554,'0. Instruções'!$C$27:$G$32,4,FALSE)&amp;", "&amp;F554&amp;" FROM "&amp;D554&amp;" WHERE "&amp;'0. Instruções'!$D$42&amp;")X"</f>
        <v>(SELECT entty_id, scan FROM BU_LOANTAPE_WORK.LT003_ENTITY WHERE ref_date='${ref_date}' AND nome_perimetro='Individual Local' AND segmento='ESTR' AND ambito='SRB_MBDT' AND entidade='00100')X</v>
      </c>
      <c r="J554" s="34" t="str">
        <f>"(SELECT "&amp;VLOOKUP(B554,'0. Instruções'!$C$27:$G$32,4,FALSE)&amp;" AS "&amp;VLOOKUP(B554,'0. Instruções'!$C$27:$G$32,4,FALSE)&amp;"_SIMUL, "&amp;F554&amp;" AS "&amp;F554&amp;"_SIMUL FROM "&amp;E554&amp;" WHERE "&amp;'0. Instruções'!$D$43&amp;")Y"</f>
        <v>(SELECT entty_id AS entty_id_SIMUL, scan AS scan_SIMUL FROM BU_LOANTAPE_WORK.SIMUL_LT003_ENTITY WHERE ref_date='${ref_date}' AND nome_perimetro='Individual Local' AND segmento='ESTR' AND ambito='PILAR3' AND entidade='00100')Y</v>
      </c>
      <c r="K554" s="35" t="str">
        <f>+UPPER("ON X."&amp;VLOOKUP(B554,'0. Instruções'!$C$27:$G$32,4,FALSE)&amp;"=Y."&amp;VLOOKUP(B554,'0. Instruções'!$C$27:$G$32,4,FALSE)&amp;"_SIMUL")</f>
        <v>ON X.ENTTY_ID=Y.ENTTY_ID_SIMUL</v>
      </c>
      <c r="L554" s="35" t="str">
        <f>+IF(C554="Coerência", +IF(LEFT(G554,5)="FLOAT","SELECT '"&amp;UPPER(B554)&amp;"' AS TABELA, '"&amp;UPPER(C554)&amp;"' AS TIPOLOGIA_TESTE,'"&amp;D554&amp;"' AS TABELA_LT,'"&amp;E554&amp;"' AS TABELA_SIMUL,'"&amp;F554&amp;"' AS CAMPO, "&amp;"'${ref_date}' AS REF_DATE, COUNT(*) AS NUM_REG, SUM(IF((ABS(COALESCE(CAST(X."&amp;F554&amp;" AS DECIMAL(18,6)),0)-COALESCE(CAST(Y."&amp;F554&amp;"_SIMUL AS DECIMAL(18,6)),0))&gt;0.000001) OR (X."&amp;F554&amp;" IS NULL AND Y."&amp;F554&amp;"_SIMUL IS NOT NULL ) OR (X."&amp;F554&amp;" IS NOT NULL AND Y."&amp;F554&amp;"_SIMUL IS NULL),1,0)) AS NUM_REG_DIF,'"&amp;MAX('ID1&amp;5'!K:K)+1&amp;"' AS ID_EXEC, CURRENT_TIMESTAMP() AS TIME_EXEC FROM "&amp;I554&amp;" INNER JOIN "&amp;J554&amp;" "&amp;K554,"SELECT '"&amp;UPPER(B554)&amp;"' AS TABELA, '"&amp;UPPER(C554)&amp;"' AS TIPOLOGIA_TESTE,'"&amp;D554&amp;"' AS TABELA_LT,'"&amp;E554&amp;"' AS TABELA_SIMUL,'"&amp;F554&amp;"' AS CAMPO, "&amp;"'${ref_date}' AS REF_DATE, COUNT(*) AS NUM_REG, SUM(IF(COALESCE(CAST(X."&amp;F554&amp;" AS STRING),'')&lt;&gt;COALESCE(CAST(Y."&amp;F554&amp;"_SIMUL AS STRING),'') OR (X."&amp;F554&amp;" IS NULL AND Y."&amp;F554&amp;"_SIMUL IS NOT NULL ) OR (X."&amp;F554&amp;" IS NOT NULL AND Y."&amp;F554&amp;"_SIMUL IS NULL),1,0)) AS NUM_REG_DIF,'"&amp;MAX('ID1&amp;5'!L:L)+1&amp;"' AS ID_EXEC, CURRENT_TIMESTAMP() AS TIME_EXEC FROM "&amp;I554&amp;" INNER JOIN "&amp;J554&amp;" "&amp;K554),
IF(C554="Validade",+IF(G554="Code List","SELECT '"&amp;UPPER(B554)&amp;"' AS TABELA, '"&amp;UPPER(C554)&amp;"' AS TIPOLOGIA_TESTE,'"&amp;D554&amp;"' AS TABELA_LT,'N/A' AS TABELA_SIMUL,'"&amp;F554&amp;"' AS CAMPO, "&amp;"'${ref_date}' AS REF_DATE, COUNT(*) AS NUM_REG, SUM(IF(TRIM(CAST(X."&amp;F554&amp;" AS STRING))='' OR TRIM(CAST(X."&amp;F554&amp;" AS STRING)) IS NULL OR CAST(X."&amp;F554&amp;" AS STRING) NOT "&amp;H554&amp;",1,0)) AS NUM_REG_DIF,'"&amp;MAX('ID1&amp;5'!K:K)+1&amp;"' AS ID_EXEC, CURRENT_TIMESTAMP() AS TIME_EXEC FROM "&amp;I554,"SELECT '"&amp;UPPER(B554)&amp;"' AS TABELA, '"&amp;UPPER(C554)&amp;"' AS TIPOLOGIA_TESTE,'"&amp;D554&amp;"' AS TABELA_LT,'N/A' AS TABELA_SIMUL,'"&amp;F554&amp;"' AS CAMPO, "&amp;"'${ref_date}' AS REF_DATE, COUNT(*) AS NUM_REG, SUM(IF(TRIM(CAST(X."&amp;F554&amp;" AS STRING))='' OR TRIM(CAST(X."&amp;F554&amp;" AS STRING)) IS NULL,1,0)) AS NUM_REG_DIF,'"&amp;MAX('ID1&amp;5'!K:K)+1&amp;"' AS ID_EXEC, CURRENT_TIMESTAMP() AS TIME_EXEC FROM "&amp;I554),
IF(C554="Caracteres Especiais",+"SELECT '"&amp;UPPER(B554)&amp;"' AS TABELA, '"&amp;UPPER(C554)&amp;"' AS TIPOLOGIA_TESTE,'"&amp;D554&amp;"' AS TABELA_LT,'N/A' AS TABELA_SIMUL,'"&amp;F554&amp;"' AS CAMPO, "&amp;"'${ref_date}' AS REF_DATE, COUNT(*) AS NUM_REG, SUM(IF(REGEXP_REPLACE(TRIM(CAST(X."&amp;F554&amp;" AS STRING)),'[^a-zA-Z0-9_\\s]','') &lt;&gt;TRIM(CAST(X."&amp;F554&amp;" AS STRING)),1,0)) AS NUM_REG_DIF,'"&amp;MAX('ID1&amp;5'!K:K)+1&amp;"' AS ID_EXEC, CURRENT_TIMESTAMP() AS TIME_EXEC FROM "&amp;I554,
IF(C554="Missings",+"SELECT '"&amp;UPPER(B554)&amp;"' AS TABELA, '"&amp;UPPER(C554)&amp;"' AS TIPOLOGIA_TESTE,'"&amp;D554&amp;"' AS TABELA_LT,'N/A' AS TABELA_SIMUL,'"&amp;F554&amp;"' AS CAMPO, "&amp;"'${ref_date}' AS REF_DATE, COUNT(*) AS NUM_REG, SUM(IF(TRIM(CAST(X."&amp;F554&amp;" AS STRING)) IN ('0000-00-00','0001-01-01','9999-12-31','MISS','00000','99999999999','99999999999.00','99999999999.000000'),1,0)) AS NUM_REG_DIF,'"&amp;MAX('ID1&amp;5'!K:K)+1&amp;"' AS ID_EXEC, CURRENT_TIMESTAMP() AS TIME_EXEC FROM "&amp;I554,
IF(C554="Not applicable",+"SELECT '"&amp;UPPER(B554)&amp;"' AS TABELA, '"&amp;UPPER(C554)&amp;"' AS TIPOLOGIA_TESTE,'"&amp;D554&amp;"' AS TABELA_LT,'N/A' AS TABELA_SIMUL,'"&amp;F554&amp;"' AS CAMPO, "&amp;"'${ref_date}' AS REF_DATE, COUNT(*) AS NUM_REG, SUM(IF(TRIM(CAST(X."&amp;F554&amp;" AS STRING)) IN ('N/A','11111111111','11111111111.00','11111111111.000000','1111-11-11'),1,0)) AS NUM_REG_DIF,'"&amp;MAX('ID1&amp;5'!K:K)+1&amp;"' AS ID_EXEC, CURRENT_TIMESTAMP() AS TIME_EXEC FROM "&amp;I554,
IF(C554="Valores extremos",+"SELECT '"&amp;UPPER(B554)&amp;"' AS TABELA, '"&amp;UPPER(C554)&amp;"' AS TIPOLOGIA_TESTE,'"&amp;D554&amp;"' AS TABELA_LT,'N/A' AS TABELA_SIMUL,'"&amp;F554&amp;"' AS CAMPO, "&amp;"'${ref_date}' AS REF_DATE, CAST(MIN("&amp;F554&amp;") AS STRING) AS VALOR_MIN, CAST(MAX("&amp;F554&amp;") AS STRING) AS VALOR_MAX,'"&amp;MAX('ID1&amp;5'!K:K)+1&amp;"' AS ID_EXEC, CURRENT_TIMESTAMP() AS TIME_EXEC FROM "&amp;MID(I554,1,LEN(I554)-2)&amp;" AND CAST("&amp;F554&amp;"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TABELA_SIMUL,'scan' AS CAMPO, '${ref_date}' AS REF_DATE, COUNT(*) AS NUM_REG, SUM(IF(COALESCE(CAST(X.scan AS STRING),'')&lt;&gt;COALESCE(CAST(Y.scan_SIMUL AS STRING),'') OR (X.scan IS NULL AND Y.scan_SIMUL IS NOT NULL ) OR (X.scan IS NOT NULL AND Y.scan_SIMUL IS NULL),1,0)) AS NUM_REG_DIF,'1' AS ID_EXEC, CURRENT_TIMESTAMP() AS TIME_EXEC FROM (SELECT entty_id, scan FROM BU_LOANTAPE_WORK.LT003_ENTITY WHERE ref_date='${ref_date}' AND nome_perimetro='Individual Local' AND segmento='ESTR' AND ambito='SRB_MBDT' AND entidade='00100')X INNER JOIN (SELECT entty_id AS entty_id_SIMUL, scan AS scan_SIMUL FROM BU_LOANTAPE_WORK.SIMUL_LT003_ENTITY WHERE ref_date='${ref_date}' AND nome_perimetro='Individual Local' AND segmento='ESTR' AND ambito='PILAR3' AND entidade='00100')Y ON X.ENTTY_ID=Y.ENTTY_ID_SIMUL</v>
      </c>
      <c r="M554" s="36" t="str">
        <f t="shared" si="11"/>
        <v>UNION ALL SELECT 'ENTITY' AS TABELA, 'COERÊNCIA' AS TIPOLOGIA_TESTE,'BU_LOANTAPE_WORK.LT003_ENTITY' AS TABELA_LT,'BU_LOANTAPE_WORK.SIMUL_LT003_ENTITY' AS TABELA_SIMUL,'scan' AS CAMPO, '${ref_date}' AS REF_DATE, COUNT(*) AS NUM_REG, SUM(IF(COALESCE(CAST(X.scan AS STRING),'')&lt;&gt;COALESCE(CAST(Y.scan_SIMUL AS STRING),'') OR (X.scan IS NULL AND Y.scan_SIMUL IS NOT NULL ) OR (X.scan IS NOT NULL AND Y.scan_SIMUL IS NULL),1,0)) AS NUM_REG_DIF,'1' AS ID_EXEC, CURRENT_TIMESTAMP() AS TIME_EXEC FROM (SELECT entty_id, scan FROM BU_LOANTAPE_WORK.LT003_ENTITY WHERE ref_date='${ref_date}' AND nome_perimetro='Individual Local' AND segmento='ESTR' AND ambito='SRB_MBDT' AND entidade='00100')X INNER JOIN (SELECT entty_id AS entty_id_SIMUL, scan AS scan_SIMUL FROM BU_LOANTAPE_WORK.SIMUL_LT003_ENTITY WHERE ref_date='${ref_date}' AND nome_perimetro='Individual Local' AND segmento='ESTR' AND ambito='PILAR3' AND entidade='00100')Y ON X.ENTTY_ID=Y.ENTTY_ID_SIMUL</v>
      </c>
    </row>
    <row r="555" spans="2:13">
      <c r="B555" s="34" t="s">
        <v>118</v>
      </c>
      <c r="C555" s="34" t="s">
        <v>5</v>
      </c>
      <c r="D555" s="34" t="str">
        <f>+UPPER('0. Instruções'!$D$35&amp;"."&amp;VLOOKUP(B555,'0. Instruções'!$C$27:$D$32,2,FALSE))</f>
        <v>BU_LOANTAPE_WORK.LT003_ENTITY</v>
      </c>
      <c r="E555" s="34" t="str">
        <f>+UPPER('0. Instruções'!$D$36&amp;"."&amp;VLOOKUP(B555,'0. Instruções'!$C$27:$E$32,3,FALSE))</f>
        <v>BU_LOANTAPE_WORK.SIMUL_LT003_ENTITY</v>
      </c>
      <c r="F555" s="34" t="s">
        <v>1506</v>
      </c>
      <c r="G555" s="34"/>
      <c r="H555" s="34"/>
      <c r="I555" s="34" t="str">
        <f>"(SELECT "&amp;VLOOKUP(B555,'0. Instruções'!$C$27:$G$32,4,FALSE)&amp;", "&amp;F555&amp;" FROM "&amp;D555&amp;" WHERE "&amp;'0. Instruções'!$D$42&amp;")X"</f>
        <v>(SELECT entty_id, ttl_prmssbl_dbt_blnc FROM BU_LOANTAPE_WORK.LT003_ENTITY WHERE ref_date='${ref_date}' AND nome_perimetro='Individual Local' AND segmento='ESTR' AND ambito='SRB_MBDT' AND entidade='00100')X</v>
      </c>
      <c r="J555" s="34" t="str">
        <f>"(SELECT "&amp;VLOOKUP(B555,'0. Instruções'!$C$27:$G$32,4,FALSE)&amp;" AS "&amp;VLOOKUP(B555,'0. Instruções'!$C$27:$G$32,4,FALSE)&amp;"_SIMUL, "&amp;F555&amp;" AS "&amp;F555&amp;"_SIMUL FROM "&amp;E555&amp;" WHERE "&amp;'0. Instruções'!$D$43&amp;")Y"</f>
        <v>(SELECT entty_id AS entty_id_SIMUL, ttl_prmssbl_dbt_blnc AS ttl_prmssbl_dbt_blnc_SIMUL FROM BU_LOANTAPE_WORK.SIMUL_LT003_ENTITY WHERE ref_date='${ref_date}' AND nome_perimetro='Individual Local' AND segmento='ESTR' AND ambito='PILAR3' AND entidade='00100')Y</v>
      </c>
      <c r="K555" s="35" t="str">
        <f>+UPPER("ON X."&amp;VLOOKUP(B555,'0. Instruções'!$C$27:$G$32,4,FALSE)&amp;"=Y."&amp;VLOOKUP(B555,'0. Instruções'!$C$27:$G$32,4,FALSE)&amp;"_SIMUL")</f>
        <v>ON X.ENTTY_ID=Y.ENTTY_ID_SIMUL</v>
      </c>
      <c r="L555" s="35" t="str">
        <f>+IF(C555="Coerência", +IF(LEFT(G555,5)="FLOAT","SELECT '"&amp;UPPER(B555)&amp;"' AS TABELA, '"&amp;UPPER(C555)&amp;"' AS TIPOLOGIA_TESTE,'"&amp;D555&amp;"' AS TABELA_LT,'"&amp;E555&amp;"' AS TABELA_SIMUL,'"&amp;F555&amp;"' AS CAMPO, "&amp;"'${ref_date}' AS REF_DATE, COUNT(*) AS NUM_REG, SUM(IF((ABS(COALESCE(CAST(X."&amp;F555&amp;" AS DECIMAL(18,6)),0)-COALESCE(CAST(Y."&amp;F555&amp;"_SIMUL AS DECIMAL(18,6)),0))&gt;0.000001) OR (X."&amp;F555&amp;" IS NULL AND Y."&amp;F555&amp;"_SIMUL IS NOT NULL ) OR (X."&amp;F555&amp;" IS NOT NULL AND Y."&amp;F555&amp;"_SIMUL IS NULL),1,0)) AS NUM_REG_DIF,'"&amp;MAX('ID1&amp;5'!K:K)+1&amp;"' AS ID_EXEC, CURRENT_TIMESTAMP() AS TIME_EXEC FROM "&amp;I555&amp;" INNER JOIN "&amp;J555&amp;" "&amp;K555,"SELECT '"&amp;UPPER(B555)&amp;"' AS TABELA, '"&amp;UPPER(C555)&amp;"' AS TIPOLOGIA_TESTE,'"&amp;D555&amp;"' AS TABELA_LT,'"&amp;E555&amp;"' AS TABELA_SIMUL,'"&amp;F555&amp;"' AS CAMPO, "&amp;"'${ref_date}' AS REF_DATE, COUNT(*) AS NUM_REG, SUM(IF(COALESCE(CAST(X."&amp;F555&amp;" AS STRING),'')&lt;&gt;COALESCE(CAST(Y."&amp;F555&amp;"_SIMUL AS STRING),'') OR (X."&amp;F555&amp;" IS NULL AND Y."&amp;F555&amp;"_SIMUL IS NOT NULL ) OR (X."&amp;F555&amp;" IS NOT NULL AND Y."&amp;F555&amp;"_SIMUL IS NULL),1,0)) AS NUM_REG_DIF,'"&amp;MAX('ID1&amp;5'!L:L)+1&amp;"' AS ID_EXEC, CURRENT_TIMESTAMP() AS TIME_EXEC FROM "&amp;I555&amp;" INNER JOIN "&amp;J555&amp;" "&amp;K555),
IF(C555="Validade",+IF(G555="Code List","SELECT '"&amp;UPPER(B555)&amp;"' AS TABELA, '"&amp;UPPER(C555)&amp;"' AS TIPOLOGIA_TESTE,'"&amp;D555&amp;"' AS TABELA_LT,'N/A' AS TABELA_SIMUL,'"&amp;F555&amp;"' AS CAMPO, "&amp;"'${ref_date}' AS REF_DATE, COUNT(*) AS NUM_REG, SUM(IF(TRIM(CAST(X."&amp;F555&amp;" AS STRING))='' OR TRIM(CAST(X."&amp;F555&amp;" AS STRING)) IS NULL OR CAST(X."&amp;F555&amp;" AS STRING) NOT "&amp;H555&amp;",1,0)) AS NUM_REG_DIF,'"&amp;MAX('ID1&amp;5'!K:K)+1&amp;"' AS ID_EXEC, CURRENT_TIMESTAMP() AS TIME_EXEC FROM "&amp;I555,"SELECT '"&amp;UPPER(B555)&amp;"' AS TABELA, '"&amp;UPPER(C555)&amp;"' AS TIPOLOGIA_TESTE,'"&amp;D555&amp;"' AS TABELA_LT,'N/A' AS TABELA_SIMUL,'"&amp;F555&amp;"' AS CAMPO, "&amp;"'${ref_date}' AS REF_DATE, COUNT(*) AS NUM_REG, SUM(IF(TRIM(CAST(X."&amp;F555&amp;" AS STRING))='' OR TRIM(CAST(X."&amp;F555&amp;" AS STRING)) IS NULL,1,0)) AS NUM_REG_DIF,'"&amp;MAX('ID1&amp;5'!K:K)+1&amp;"' AS ID_EXEC, CURRENT_TIMESTAMP() AS TIME_EXEC FROM "&amp;I555),
IF(C555="Caracteres Especiais",+"SELECT '"&amp;UPPER(B555)&amp;"' AS TABELA, '"&amp;UPPER(C555)&amp;"' AS TIPOLOGIA_TESTE,'"&amp;D555&amp;"' AS TABELA_LT,'N/A' AS TABELA_SIMUL,'"&amp;F555&amp;"' AS CAMPO, "&amp;"'${ref_date}' AS REF_DATE, COUNT(*) AS NUM_REG, SUM(IF(REGEXP_REPLACE(TRIM(CAST(X."&amp;F555&amp;" AS STRING)),'[^a-zA-Z0-9_\\s]','') &lt;&gt;TRIM(CAST(X."&amp;F555&amp;" AS STRING)),1,0)) AS NUM_REG_DIF,'"&amp;MAX('ID1&amp;5'!K:K)+1&amp;"' AS ID_EXEC, CURRENT_TIMESTAMP() AS TIME_EXEC FROM "&amp;I555,
IF(C555="Missings",+"SELECT '"&amp;UPPER(B555)&amp;"' AS TABELA, '"&amp;UPPER(C555)&amp;"' AS TIPOLOGIA_TESTE,'"&amp;D555&amp;"' AS TABELA_LT,'N/A' AS TABELA_SIMUL,'"&amp;F555&amp;"' AS CAMPO, "&amp;"'${ref_date}' AS REF_DATE, COUNT(*) AS NUM_REG, SUM(IF(TRIM(CAST(X."&amp;F555&amp;" AS STRING)) IN ('0000-00-00','0001-01-01','9999-12-31','MISS','00000','99999999999','99999999999.00','99999999999.000000'),1,0)) AS NUM_REG_DIF,'"&amp;MAX('ID1&amp;5'!K:K)+1&amp;"' AS ID_EXEC, CURRENT_TIMESTAMP() AS TIME_EXEC FROM "&amp;I555,
IF(C555="Not applicable",+"SELECT '"&amp;UPPER(B555)&amp;"' AS TABELA, '"&amp;UPPER(C555)&amp;"' AS TIPOLOGIA_TESTE,'"&amp;D555&amp;"' AS TABELA_LT,'N/A' AS TABELA_SIMUL,'"&amp;F555&amp;"' AS CAMPO, "&amp;"'${ref_date}' AS REF_DATE, COUNT(*) AS NUM_REG, SUM(IF(TRIM(CAST(X."&amp;F555&amp;" AS STRING)) IN ('N/A','11111111111','11111111111.00','11111111111.000000','1111-11-11'),1,0)) AS NUM_REG_DIF,'"&amp;MAX('ID1&amp;5'!K:K)+1&amp;"' AS ID_EXEC, CURRENT_TIMESTAMP() AS TIME_EXEC FROM "&amp;I555,
IF(C555="Valores extremos",+"SELECT '"&amp;UPPER(B555)&amp;"' AS TABELA, '"&amp;UPPER(C555)&amp;"' AS TIPOLOGIA_TESTE,'"&amp;D555&amp;"' AS TABELA_LT,'N/A' AS TABELA_SIMUL,'"&amp;F555&amp;"' AS CAMPO, "&amp;"'${ref_date}' AS REF_DATE, CAST(MIN("&amp;F555&amp;") AS STRING) AS VALOR_MIN, CAST(MAX("&amp;F555&amp;") AS STRING) AS VALOR_MAX,'"&amp;MAX('ID1&amp;5'!K:K)+1&amp;"' AS ID_EXEC, CURRENT_TIMESTAMP() AS TIME_EXEC FROM "&amp;MID(I555,1,LEN(I555)-2)&amp;" AND CAST("&amp;F555&amp;"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TABELA_SIMUL,'ttl_prmssbl_dbt_blnc' AS CAMPO, '${ref_date}' AS REF_DATE, COUNT(*) AS NUM_REG, SUM(IF(COALESCE(CAST(X.ttl_prmssbl_dbt_blnc AS STRING),'')&lt;&gt;COALESCE(CAST(Y.ttl_prmssbl_dbt_blnc_SIMUL AS STRING),'') OR (X.ttl_prmssbl_dbt_blnc IS NULL AND Y.ttl_prmssbl_dbt_blnc_SIMUL IS NOT NULL ) OR (X.ttl_prmssbl_dbt_blnc IS NOT NULL AND Y.ttl_prmssbl_dbt_blnc_SIMUL IS NULL),1,0)) AS NUM_REG_DIF,'1' AS ID_EXEC, CURRENT_TIMESTAMP() AS TIME_EXEC FROM (SELECT entty_id, ttl_prmssbl_dbt_blnc FROM BU_LOANTAPE_WORK.LT003_ENTITY WHERE ref_date='${ref_date}' AND nome_perimetro='Individual Local' AND segmento='ESTR' AND ambito='SRB_MBDT' AND entidade='00100')X INNER JOIN (SELECT entty_id AS entty_id_SIMUL, ttl_prmssbl_dbt_blnc AS ttl_prmssbl_dbt_blnc_SIMUL FROM BU_LOANTAPE_WORK.SIMUL_LT003_ENTITY WHERE ref_date='${ref_date}' AND nome_perimetro='Individual Local' AND segmento='ESTR' AND ambito='PILAR3' AND entidade='00100')Y ON X.ENTTY_ID=Y.ENTTY_ID_SIMUL</v>
      </c>
      <c r="M555" s="36" t="str">
        <f t="shared" si="11"/>
        <v>UNION ALL SELECT 'ENTITY' AS TABELA, 'COERÊNCIA' AS TIPOLOGIA_TESTE,'BU_LOANTAPE_WORK.LT003_ENTITY' AS TABELA_LT,'BU_LOANTAPE_WORK.SIMUL_LT003_ENTITY' AS TABELA_SIMUL,'ttl_prmssbl_dbt_blnc' AS CAMPO, '${ref_date}' AS REF_DATE, COUNT(*) AS NUM_REG, SUM(IF(COALESCE(CAST(X.ttl_prmssbl_dbt_blnc AS STRING),'')&lt;&gt;COALESCE(CAST(Y.ttl_prmssbl_dbt_blnc_SIMUL AS STRING),'') OR (X.ttl_prmssbl_dbt_blnc IS NULL AND Y.ttl_prmssbl_dbt_blnc_SIMUL IS NOT NULL ) OR (X.ttl_prmssbl_dbt_blnc IS NOT NULL AND Y.ttl_prmssbl_dbt_blnc_SIMUL IS NULL),1,0)) AS NUM_REG_DIF,'1' AS ID_EXEC, CURRENT_TIMESTAMP() AS TIME_EXEC FROM (SELECT entty_id, ttl_prmssbl_dbt_blnc FROM BU_LOANTAPE_WORK.LT003_ENTITY WHERE ref_date='${ref_date}' AND nome_perimetro='Individual Local' AND segmento='ESTR' AND ambito='SRB_MBDT' AND entidade='00100')X INNER JOIN (SELECT entty_id AS entty_id_SIMUL, ttl_prmssbl_dbt_blnc AS ttl_prmssbl_dbt_blnc_SIMUL FROM BU_LOANTAPE_WORK.SIMUL_LT003_ENTITY WHERE ref_date='${ref_date}' AND nome_perimetro='Individual Local' AND segmento='ESTR' AND ambito='PILAR3' AND entidade='00100')Y ON X.ENTTY_ID=Y.ENTTY_ID_SIMUL</v>
      </c>
    </row>
    <row r="556" spans="2:13">
      <c r="B556" s="34" t="s">
        <v>118</v>
      </c>
      <c r="C556" s="34" t="s">
        <v>5</v>
      </c>
      <c r="D556" s="34" t="str">
        <f>+UPPER('0. Instruções'!$D$35&amp;"."&amp;VLOOKUP(B556,'0. Instruções'!$C$27:$D$32,2,FALSE))</f>
        <v>BU_LOANTAPE_WORK.LT003_ENTITY</v>
      </c>
      <c r="E556" s="34" t="str">
        <f>+UPPER('0. Instruções'!$D$36&amp;"."&amp;VLOOKUP(B556,'0. Instruções'!$C$27:$E$32,3,FALSE))</f>
        <v>BU_LOANTAPE_WORK.SIMUL_LT003_ENTITY</v>
      </c>
      <c r="F556" s="34" t="s">
        <v>1507</v>
      </c>
      <c r="G556" s="34"/>
      <c r="H556" s="34"/>
      <c r="I556" s="34" t="str">
        <f>"(SELECT "&amp;VLOOKUP(B556,'0. Instruções'!$C$27:$G$32,4,FALSE)&amp;", "&amp;F556&amp;" FROM "&amp;D556&amp;" WHERE "&amp;'0. Instruções'!$D$42&amp;")X"</f>
        <v>(SELECT entty_id, company_exposure FROM BU_LOANTAPE_WORK.LT003_ENTITY WHERE ref_date='${ref_date}' AND nome_perimetro='Individual Local' AND segmento='ESTR' AND ambito='SRB_MBDT' AND entidade='00100')X</v>
      </c>
      <c r="J556" s="34" t="str">
        <f>"(SELECT "&amp;VLOOKUP(B556,'0. Instruções'!$C$27:$G$32,4,FALSE)&amp;" AS "&amp;VLOOKUP(B556,'0. Instruções'!$C$27:$G$32,4,FALSE)&amp;"_SIMUL, "&amp;F556&amp;" AS "&amp;F556&amp;"_SIMUL FROM "&amp;E556&amp;" WHERE "&amp;'0. Instruções'!$D$43&amp;")Y"</f>
        <v>(SELECT entty_id AS entty_id_SIMUL, company_exposure AS company_exposure_SIMUL FROM BU_LOANTAPE_WORK.SIMUL_LT003_ENTITY WHERE ref_date='${ref_date}' AND nome_perimetro='Individual Local' AND segmento='ESTR' AND ambito='PILAR3' AND entidade='00100')Y</v>
      </c>
      <c r="K556" s="35" t="str">
        <f>+UPPER("ON X."&amp;VLOOKUP(B556,'0. Instruções'!$C$27:$G$32,4,FALSE)&amp;"=Y."&amp;VLOOKUP(B556,'0. Instruções'!$C$27:$G$32,4,FALSE)&amp;"_SIMUL")</f>
        <v>ON X.ENTTY_ID=Y.ENTTY_ID_SIMUL</v>
      </c>
      <c r="L556" s="35" t="str">
        <f>+IF(C556="Coerência", +IF(LEFT(G556,5)="FLOAT","SELECT '"&amp;UPPER(B556)&amp;"' AS TABELA, '"&amp;UPPER(C556)&amp;"' AS TIPOLOGIA_TESTE,'"&amp;D556&amp;"' AS TABELA_LT,'"&amp;E556&amp;"' AS TABELA_SIMUL,'"&amp;F556&amp;"' AS CAMPO, "&amp;"'${ref_date}' AS REF_DATE, COUNT(*) AS NUM_REG, SUM(IF((ABS(COALESCE(CAST(X."&amp;F556&amp;" AS DECIMAL(18,6)),0)-COALESCE(CAST(Y."&amp;F556&amp;"_SIMUL AS DECIMAL(18,6)),0))&gt;0.000001) OR (X."&amp;F556&amp;" IS NULL AND Y."&amp;F556&amp;"_SIMUL IS NOT NULL ) OR (X."&amp;F556&amp;" IS NOT NULL AND Y."&amp;F556&amp;"_SIMUL IS NULL),1,0)) AS NUM_REG_DIF,'"&amp;MAX('ID1&amp;5'!K:K)+1&amp;"' AS ID_EXEC, CURRENT_TIMESTAMP() AS TIME_EXEC FROM "&amp;I556&amp;" INNER JOIN "&amp;J556&amp;" "&amp;K556,"SELECT '"&amp;UPPER(B556)&amp;"' AS TABELA, '"&amp;UPPER(C556)&amp;"' AS TIPOLOGIA_TESTE,'"&amp;D556&amp;"' AS TABELA_LT,'"&amp;E556&amp;"' AS TABELA_SIMUL,'"&amp;F556&amp;"' AS CAMPO, "&amp;"'${ref_date}' AS REF_DATE, COUNT(*) AS NUM_REG, SUM(IF(COALESCE(CAST(X."&amp;F556&amp;" AS STRING),'')&lt;&gt;COALESCE(CAST(Y."&amp;F556&amp;"_SIMUL AS STRING),'') OR (X."&amp;F556&amp;" IS NULL AND Y."&amp;F556&amp;"_SIMUL IS NOT NULL ) OR (X."&amp;F556&amp;" IS NOT NULL AND Y."&amp;F556&amp;"_SIMUL IS NULL),1,0)) AS NUM_REG_DIF,'"&amp;MAX('ID1&amp;5'!L:L)+1&amp;"' AS ID_EXEC, CURRENT_TIMESTAMP() AS TIME_EXEC FROM "&amp;I556&amp;" INNER JOIN "&amp;J556&amp;" "&amp;K556),
IF(C556="Validade",+IF(G556="Code List","SELECT '"&amp;UPPER(B556)&amp;"' AS TABELA, '"&amp;UPPER(C556)&amp;"' AS TIPOLOGIA_TESTE,'"&amp;D556&amp;"' AS TABELA_LT,'N/A' AS TABELA_SIMUL,'"&amp;F556&amp;"' AS CAMPO, "&amp;"'${ref_date}' AS REF_DATE, COUNT(*) AS NUM_REG, SUM(IF(TRIM(CAST(X."&amp;F556&amp;" AS STRING))='' OR TRIM(CAST(X."&amp;F556&amp;" AS STRING)) IS NULL OR CAST(X."&amp;F556&amp;" AS STRING) NOT "&amp;H556&amp;",1,0)) AS NUM_REG_DIF,'"&amp;MAX('ID1&amp;5'!K:K)+1&amp;"' AS ID_EXEC, CURRENT_TIMESTAMP() AS TIME_EXEC FROM "&amp;I556,"SELECT '"&amp;UPPER(B556)&amp;"' AS TABELA, '"&amp;UPPER(C556)&amp;"' AS TIPOLOGIA_TESTE,'"&amp;D556&amp;"' AS TABELA_LT,'N/A' AS TABELA_SIMUL,'"&amp;F556&amp;"' AS CAMPO, "&amp;"'${ref_date}' AS REF_DATE, COUNT(*) AS NUM_REG, SUM(IF(TRIM(CAST(X."&amp;F556&amp;" AS STRING))='' OR TRIM(CAST(X."&amp;F556&amp;" AS STRING)) IS NULL,1,0)) AS NUM_REG_DIF,'"&amp;MAX('ID1&amp;5'!K:K)+1&amp;"' AS ID_EXEC, CURRENT_TIMESTAMP() AS TIME_EXEC FROM "&amp;I556),
IF(C556="Caracteres Especiais",+"SELECT '"&amp;UPPER(B556)&amp;"' AS TABELA, '"&amp;UPPER(C556)&amp;"' AS TIPOLOGIA_TESTE,'"&amp;D556&amp;"' AS TABELA_LT,'N/A' AS TABELA_SIMUL,'"&amp;F556&amp;"' AS CAMPO, "&amp;"'${ref_date}' AS REF_DATE, COUNT(*) AS NUM_REG, SUM(IF(REGEXP_REPLACE(TRIM(CAST(X."&amp;F556&amp;" AS STRING)),'[^a-zA-Z0-9_\\s]','') &lt;&gt;TRIM(CAST(X."&amp;F556&amp;" AS STRING)),1,0)) AS NUM_REG_DIF,'"&amp;MAX('ID1&amp;5'!K:K)+1&amp;"' AS ID_EXEC, CURRENT_TIMESTAMP() AS TIME_EXEC FROM "&amp;I556,
IF(C556="Missings",+"SELECT '"&amp;UPPER(B556)&amp;"' AS TABELA, '"&amp;UPPER(C556)&amp;"' AS TIPOLOGIA_TESTE,'"&amp;D556&amp;"' AS TABELA_LT,'N/A' AS TABELA_SIMUL,'"&amp;F556&amp;"' AS CAMPO, "&amp;"'${ref_date}' AS REF_DATE, COUNT(*) AS NUM_REG, SUM(IF(TRIM(CAST(X."&amp;F556&amp;" AS STRING)) IN ('0000-00-00','0001-01-01','9999-12-31','MISS','00000','99999999999','99999999999.00','99999999999.000000'),1,0)) AS NUM_REG_DIF,'"&amp;MAX('ID1&amp;5'!K:K)+1&amp;"' AS ID_EXEC, CURRENT_TIMESTAMP() AS TIME_EXEC FROM "&amp;I556,
IF(C556="Not applicable",+"SELECT '"&amp;UPPER(B556)&amp;"' AS TABELA, '"&amp;UPPER(C556)&amp;"' AS TIPOLOGIA_TESTE,'"&amp;D556&amp;"' AS TABELA_LT,'N/A' AS TABELA_SIMUL,'"&amp;F556&amp;"' AS CAMPO, "&amp;"'${ref_date}' AS REF_DATE, COUNT(*) AS NUM_REG, SUM(IF(TRIM(CAST(X."&amp;F556&amp;" AS STRING)) IN ('N/A','11111111111','11111111111.00','11111111111.000000','1111-11-11'),1,0)) AS NUM_REG_DIF,'"&amp;MAX('ID1&amp;5'!K:K)+1&amp;"' AS ID_EXEC, CURRENT_TIMESTAMP() AS TIME_EXEC FROM "&amp;I556,
IF(C556="Valores extremos",+"SELECT '"&amp;UPPER(B556)&amp;"' AS TABELA, '"&amp;UPPER(C556)&amp;"' AS TIPOLOGIA_TESTE,'"&amp;D556&amp;"' AS TABELA_LT,'N/A' AS TABELA_SIMUL,'"&amp;F556&amp;"' AS CAMPO, "&amp;"'${ref_date}' AS REF_DATE, CAST(MIN("&amp;F556&amp;") AS STRING) AS VALOR_MIN, CAST(MAX("&amp;F556&amp;") AS STRING) AS VALOR_MAX,'"&amp;MAX('ID1&amp;5'!K:K)+1&amp;"' AS ID_EXEC, CURRENT_TIMESTAMP() AS TIME_EXEC FROM "&amp;MID(I556,1,LEN(I556)-2)&amp;" AND CAST("&amp;F556&amp;"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TABELA_SIMUL,'company_exposure' AS CAMPO, '${ref_date}' AS REF_DATE, COUNT(*) AS NUM_REG, SUM(IF(COALESCE(CAST(X.company_exposure AS STRING),'')&lt;&gt;COALESCE(CAST(Y.company_exposure_SIMUL AS STRING),'') OR (X.company_exposure IS NULL AND Y.company_exposure_SIMUL IS NOT NULL ) OR (X.company_exposure IS NOT NULL AND Y.company_exposure_SIMUL IS NULL),1,0)) AS NUM_REG_DIF,'1' AS ID_EXEC, CURRENT_TIMESTAMP() AS TIME_EXEC FROM (SELECT entty_id, company_exposure FROM BU_LOANTAPE_WORK.LT003_ENTITY WHERE ref_date='${ref_date}' AND nome_perimetro='Individual Local' AND segmento='ESTR' AND ambito='SRB_MBDT' AND entidade='00100')X INNER JOIN (SELECT entty_id AS entty_id_SIMUL, company_exposure AS company_exposure_SIMUL FROM BU_LOANTAPE_WORK.SIMUL_LT003_ENTITY WHERE ref_date='${ref_date}' AND nome_perimetro='Individual Local' AND segmento='ESTR' AND ambito='PILAR3' AND entidade='00100')Y ON X.ENTTY_ID=Y.ENTTY_ID_SIMUL</v>
      </c>
      <c r="M556" s="36" t="str">
        <f t="shared" si="11"/>
        <v>UNION ALL SELECT 'ENTITY' AS TABELA, 'COERÊNCIA' AS TIPOLOGIA_TESTE,'BU_LOANTAPE_WORK.LT003_ENTITY' AS TABELA_LT,'BU_LOANTAPE_WORK.SIMUL_LT003_ENTITY' AS TABELA_SIMUL,'company_exposure' AS CAMPO, '${ref_date}' AS REF_DATE, COUNT(*) AS NUM_REG, SUM(IF(COALESCE(CAST(X.company_exposure AS STRING),'')&lt;&gt;COALESCE(CAST(Y.company_exposure_SIMUL AS STRING),'') OR (X.company_exposure IS NULL AND Y.company_exposure_SIMUL IS NOT NULL ) OR (X.company_exposure IS NOT NULL AND Y.company_exposure_SIMUL IS NULL),1,0)) AS NUM_REG_DIF,'1' AS ID_EXEC, CURRENT_TIMESTAMP() AS TIME_EXEC FROM (SELECT entty_id, company_exposure FROM BU_LOANTAPE_WORK.LT003_ENTITY WHERE ref_date='${ref_date}' AND nome_perimetro='Individual Local' AND segmento='ESTR' AND ambito='SRB_MBDT' AND entidade='00100')X INNER JOIN (SELECT entty_id AS entty_id_SIMUL, company_exposure AS company_exposure_SIMUL FROM BU_LOANTAPE_WORK.SIMUL_LT003_ENTITY WHERE ref_date='${ref_date}' AND nome_perimetro='Individual Local' AND segmento='ESTR' AND ambito='PILAR3' AND entidade='00100')Y ON X.ENTTY_ID=Y.ENTTY_ID_SIMUL</v>
      </c>
    </row>
    <row r="557" spans="2:13">
      <c r="B557" s="34" t="s">
        <v>118</v>
      </c>
      <c r="C557" s="34" t="s">
        <v>5</v>
      </c>
      <c r="D557" s="34" t="str">
        <f>+UPPER('0. Instruções'!$D$35&amp;"."&amp;VLOOKUP(B557,'0. Instruções'!$C$27:$D$32,2,FALSE))</f>
        <v>BU_LOANTAPE_WORK.LT003_ENTITY</v>
      </c>
      <c r="E557" s="34" t="str">
        <f>+UPPER('0. Instruções'!$D$36&amp;"."&amp;VLOOKUP(B557,'0. Instruções'!$C$27:$E$32,3,FALSE))</f>
        <v>BU_LOANTAPE_WORK.SIMUL_LT003_ENTITY</v>
      </c>
      <c r="F557" s="34" t="s">
        <v>1508</v>
      </c>
      <c r="G557" s="34"/>
      <c r="H557" s="34"/>
      <c r="I557" s="34" t="str">
        <f>"(SELECT "&amp;VLOOKUP(B557,'0. Instruções'!$C$27:$G$32,4,FALSE)&amp;", "&amp;F557&amp;" FROM "&amp;D557&amp;" WHERE "&amp;'0. Instruções'!$D$42&amp;")X"</f>
        <v>(SELECT entty_id, cntrprty_typ FROM BU_LOANTAPE_WORK.LT003_ENTITY WHERE ref_date='${ref_date}' AND nome_perimetro='Individual Local' AND segmento='ESTR' AND ambito='SRB_MBDT' AND entidade='00100')X</v>
      </c>
      <c r="J557" s="34" t="str">
        <f>"(SELECT "&amp;VLOOKUP(B557,'0. Instruções'!$C$27:$G$32,4,FALSE)&amp;" AS "&amp;VLOOKUP(B557,'0. Instruções'!$C$27:$G$32,4,FALSE)&amp;"_SIMUL, "&amp;F557&amp;" AS "&amp;F557&amp;"_SIMUL FROM "&amp;E557&amp;" WHERE "&amp;'0. Instruções'!$D$43&amp;")Y"</f>
        <v>(SELECT entty_id AS entty_id_SIMUL, cntrprty_typ AS cntrprty_typ_SIMUL FROM BU_LOANTAPE_WORK.SIMUL_LT003_ENTITY WHERE ref_date='${ref_date}' AND nome_perimetro='Individual Local' AND segmento='ESTR' AND ambito='PILAR3' AND entidade='00100')Y</v>
      </c>
      <c r="K557" s="35" t="str">
        <f>+UPPER("ON X."&amp;VLOOKUP(B557,'0. Instruções'!$C$27:$G$32,4,FALSE)&amp;"=Y."&amp;VLOOKUP(B557,'0. Instruções'!$C$27:$G$32,4,FALSE)&amp;"_SIMUL")</f>
        <v>ON X.ENTTY_ID=Y.ENTTY_ID_SIMUL</v>
      </c>
      <c r="L557" s="35" t="str">
        <f>+IF(C557="Coerência", +IF(LEFT(G557,5)="FLOAT","SELECT '"&amp;UPPER(B557)&amp;"' AS TABELA, '"&amp;UPPER(C557)&amp;"' AS TIPOLOGIA_TESTE,'"&amp;D557&amp;"' AS TABELA_LT,'"&amp;E557&amp;"' AS TABELA_SIMUL,'"&amp;F557&amp;"' AS CAMPO, "&amp;"'${ref_date}' AS REF_DATE, COUNT(*) AS NUM_REG, SUM(IF((ABS(COALESCE(CAST(X."&amp;F557&amp;" AS DECIMAL(18,6)),0)-COALESCE(CAST(Y."&amp;F557&amp;"_SIMUL AS DECIMAL(18,6)),0))&gt;0.000001) OR (X."&amp;F557&amp;" IS NULL AND Y."&amp;F557&amp;"_SIMUL IS NOT NULL ) OR (X."&amp;F557&amp;" IS NOT NULL AND Y."&amp;F557&amp;"_SIMUL IS NULL),1,0)) AS NUM_REG_DIF,'"&amp;MAX('ID1&amp;5'!K:K)+1&amp;"' AS ID_EXEC, CURRENT_TIMESTAMP() AS TIME_EXEC FROM "&amp;I557&amp;" INNER JOIN "&amp;J557&amp;" "&amp;K557,"SELECT '"&amp;UPPER(B557)&amp;"' AS TABELA, '"&amp;UPPER(C557)&amp;"' AS TIPOLOGIA_TESTE,'"&amp;D557&amp;"' AS TABELA_LT,'"&amp;E557&amp;"' AS TABELA_SIMUL,'"&amp;F557&amp;"' AS CAMPO, "&amp;"'${ref_date}' AS REF_DATE, COUNT(*) AS NUM_REG, SUM(IF(COALESCE(CAST(X."&amp;F557&amp;" AS STRING),'')&lt;&gt;COALESCE(CAST(Y."&amp;F557&amp;"_SIMUL AS STRING),'') OR (X."&amp;F557&amp;" IS NULL AND Y."&amp;F557&amp;"_SIMUL IS NOT NULL ) OR (X."&amp;F557&amp;" IS NOT NULL AND Y."&amp;F557&amp;"_SIMUL IS NULL),1,0)) AS NUM_REG_DIF,'"&amp;MAX('ID1&amp;5'!L:L)+1&amp;"' AS ID_EXEC, CURRENT_TIMESTAMP() AS TIME_EXEC FROM "&amp;I557&amp;" INNER JOIN "&amp;J557&amp;" "&amp;K557),
IF(C557="Validade",+IF(G557="Code List","SELECT '"&amp;UPPER(B557)&amp;"' AS TABELA, '"&amp;UPPER(C557)&amp;"' AS TIPOLOGIA_TESTE,'"&amp;D557&amp;"' AS TABELA_LT,'N/A' AS TABELA_SIMUL,'"&amp;F557&amp;"' AS CAMPO, "&amp;"'${ref_date}' AS REF_DATE, COUNT(*) AS NUM_REG, SUM(IF(TRIM(CAST(X."&amp;F557&amp;" AS STRING))='' OR TRIM(CAST(X."&amp;F557&amp;" AS STRING)) IS NULL OR CAST(X."&amp;F557&amp;" AS STRING) NOT "&amp;H557&amp;",1,0)) AS NUM_REG_DIF,'"&amp;MAX('ID1&amp;5'!K:K)+1&amp;"' AS ID_EXEC, CURRENT_TIMESTAMP() AS TIME_EXEC FROM "&amp;I557,"SELECT '"&amp;UPPER(B557)&amp;"' AS TABELA, '"&amp;UPPER(C557)&amp;"' AS TIPOLOGIA_TESTE,'"&amp;D557&amp;"' AS TABELA_LT,'N/A' AS TABELA_SIMUL,'"&amp;F557&amp;"' AS CAMPO, "&amp;"'${ref_date}' AS REF_DATE, COUNT(*) AS NUM_REG, SUM(IF(TRIM(CAST(X."&amp;F557&amp;" AS STRING))='' OR TRIM(CAST(X."&amp;F557&amp;" AS STRING)) IS NULL,1,0)) AS NUM_REG_DIF,'"&amp;MAX('ID1&amp;5'!K:K)+1&amp;"' AS ID_EXEC, CURRENT_TIMESTAMP() AS TIME_EXEC FROM "&amp;I557),
IF(C557="Caracteres Especiais",+"SELECT '"&amp;UPPER(B557)&amp;"' AS TABELA, '"&amp;UPPER(C557)&amp;"' AS TIPOLOGIA_TESTE,'"&amp;D557&amp;"' AS TABELA_LT,'N/A' AS TABELA_SIMUL,'"&amp;F557&amp;"' AS CAMPO, "&amp;"'${ref_date}' AS REF_DATE, COUNT(*) AS NUM_REG, SUM(IF(REGEXP_REPLACE(TRIM(CAST(X."&amp;F557&amp;" AS STRING)),'[^a-zA-Z0-9_\\s]','') &lt;&gt;TRIM(CAST(X."&amp;F557&amp;" AS STRING)),1,0)) AS NUM_REG_DIF,'"&amp;MAX('ID1&amp;5'!K:K)+1&amp;"' AS ID_EXEC, CURRENT_TIMESTAMP() AS TIME_EXEC FROM "&amp;I557,
IF(C557="Missings",+"SELECT '"&amp;UPPER(B557)&amp;"' AS TABELA, '"&amp;UPPER(C557)&amp;"' AS TIPOLOGIA_TESTE,'"&amp;D557&amp;"' AS TABELA_LT,'N/A' AS TABELA_SIMUL,'"&amp;F557&amp;"' AS CAMPO, "&amp;"'${ref_date}' AS REF_DATE, COUNT(*) AS NUM_REG, SUM(IF(TRIM(CAST(X."&amp;F557&amp;" AS STRING)) IN ('0000-00-00','0001-01-01','9999-12-31','MISS','00000','99999999999','99999999999.00','99999999999.000000'),1,0)) AS NUM_REG_DIF,'"&amp;MAX('ID1&amp;5'!K:K)+1&amp;"' AS ID_EXEC, CURRENT_TIMESTAMP() AS TIME_EXEC FROM "&amp;I557,
IF(C557="Not applicable",+"SELECT '"&amp;UPPER(B557)&amp;"' AS TABELA, '"&amp;UPPER(C557)&amp;"' AS TIPOLOGIA_TESTE,'"&amp;D557&amp;"' AS TABELA_LT,'N/A' AS TABELA_SIMUL,'"&amp;F557&amp;"' AS CAMPO, "&amp;"'${ref_date}' AS REF_DATE, COUNT(*) AS NUM_REG, SUM(IF(TRIM(CAST(X."&amp;F557&amp;" AS STRING)) IN ('N/A','11111111111','11111111111.00','11111111111.000000','1111-11-11'),1,0)) AS NUM_REG_DIF,'"&amp;MAX('ID1&amp;5'!K:K)+1&amp;"' AS ID_EXEC, CURRENT_TIMESTAMP() AS TIME_EXEC FROM "&amp;I557,
IF(C557="Valores extremos",+"SELECT '"&amp;UPPER(B557)&amp;"' AS TABELA, '"&amp;UPPER(C557)&amp;"' AS TIPOLOGIA_TESTE,'"&amp;D557&amp;"' AS TABELA_LT,'N/A' AS TABELA_SIMUL,'"&amp;F557&amp;"' AS CAMPO, "&amp;"'${ref_date}' AS REF_DATE, CAST(MIN("&amp;F557&amp;") AS STRING) AS VALOR_MIN, CAST(MAX("&amp;F557&amp;") AS STRING) AS VALOR_MAX,'"&amp;MAX('ID1&amp;5'!K:K)+1&amp;"' AS ID_EXEC, CURRENT_TIMESTAMP() AS TIME_EXEC FROM "&amp;MID(I557,1,LEN(I557)-2)&amp;" AND CAST("&amp;F557&amp;"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TABELA_SIMUL,'cntrprty_typ' AS CAMPO, '${ref_date}' AS REF_DATE, COUNT(*) AS NUM_REG, SUM(IF(COALESCE(CAST(X.cntrprty_typ AS STRING),'')&lt;&gt;COALESCE(CAST(Y.cntrprty_typ_SIMUL AS STRING),'') OR (X.cntrprty_typ IS NULL AND Y.cntrprty_typ_SIMUL IS NOT NULL ) OR (X.cntrprty_typ IS NOT NULL AND Y.cntrprty_typ_SIMUL IS NULL),1,0)) AS NUM_REG_DIF,'1' AS ID_EXEC, CURRENT_TIMESTAMP() AS TIME_EXEC FROM (SELECT entty_id, cntrprty_typ FROM BU_LOANTAPE_WORK.LT003_ENTITY WHERE ref_date='${ref_date}' AND nome_perimetro='Individual Local' AND segmento='ESTR' AND ambito='SRB_MBDT' AND entidade='00100')X INNER JOIN (SELECT entty_id AS entty_id_SIMUL, cntrprty_typ AS cntrprty_typ_SIMUL FROM BU_LOANTAPE_WORK.SIMUL_LT003_ENTITY WHERE ref_date='${ref_date}' AND nome_perimetro='Individual Local' AND segmento='ESTR' AND ambito='PILAR3' AND entidade='00100')Y ON X.ENTTY_ID=Y.ENTTY_ID_SIMUL</v>
      </c>
      <c r="M557" s="36" t="str">
        <f t="shared" si="11"/>
        <v>UNION ALL SELECT 'ENTITY' AS TABELA, 'COERÊNCIA' AS TIPOLOGIA_TESTE,'BU_LOANTAPE_WORK.LT003_ENTITY' AS TABELA_LT,'BU_LOANTAPE_WORK.SIMUL_LT003_ENTITY' AS TABELA_SIMUL,'cntrprty_typ' AS CAMPO, '${ref_date}' AS REF_DATE, COUNT(*) AS NUM_REG, SUM(IF(COALESCE(CAST(X.cntrprty_typ AS STRING),'')&lt;&gt;COALESCE(CAST(Y.cntrprty_typ_SIMUL AS STRING),'') OR (X.cntrprty_typ IS NULL AND Y.cntrprty_typ_SIMUL IS NOT NULL ) OR (X.cntrprty_typ IS NOT NULL AND Y.cntrprty_typ_SIMUL IS NULL),1,0)) AS NUM_REG_DIF,'1' AS ID_EXEC, CURRENT_TIMESTAMP() AS TIME_EXEC FROM (SELECT entty_id, cntrprty_typ FROM BU_LOANTAPE_WORK.LT003_ENTITY WHERE ref_date='${ref_date}' AND nome_perimetro='Individual Local' AND segmento='ESTR' AND ambito='SRB_MBDT' AND entidade='00100')X INNER JOIN (SELECT entty_id AS entty_id_SIMUL, cntrprty_typ AS cntrprty_typ_SIMUL FROM BU_LOANTAPE_WORK.SIMUL_LT003_ENTITY WHERE ref_date='${ref_date}' AND nome_perimetro='Individual Local' AND segmento='ESTR' AND ambito='PILAR3' AND entidade='00100')Y ON X.ENTTY_ID=Y.ENTTY_ID_SIMUL</v>
      </c>
    </row>
    <row r="558" spans="2:13">
      <c r="B558" s="34" t="s">
        <v>118</v>
      </c>
      <c r="C558" s="34" t="s">
        <v>5</v>
      </c>
      <c r="D558" s="34" t="str">
        <f>+UPPER('0. Instruções'!$D$35&amp;"."&amp;VLOOKUP(B558,'0. Instruções'!$C$27:$D$32,2,FALSE))</f>
        <v>BU_LOANTAPE_WORK.LT003_ENTITY</v>
      </c>
      <c r="E558" s="34" t="str">
        <f>+UPPER('0. Instruções'!$D$36&amp;"."&amp;VLOOKUP(B558,'0. Instruções'!$C$27:$E$32,3,FALSE))</f>
        <v>BU_LOANTAPE_WORK.SIMUL_LT003_ENTITY</v>
      </c>
      <c r="F558" s="34" t="s">
        <v>1509</v>
      </c>
      <c r="G558" s="34"/>
      <c r="H558" s="34"/>
      <c r="I558" s="34" t="str">
        <f>"(SELECT "&amp;VLOOKUP(B558,'0. Instruções'!$C$27:$G$32,4,FALSE)&amp;", "&amp;F558&amp;" FROM "&amp;D558&amp;" WHERE "&amp;'0. Instruções'!$D$42&amp;")X"</f>
        <v>(SELECT entty_id, cntrprty_rsltn_grp FROM BU_LOANTAPE_WORK.LT003_ENTITY WHERE ref_date='${ref_date}' AND nome_perimetro='Individual Local' AND segmento='ESTR' AND ambito='SRB_MBDT' AND entidade='00100')X</v>
      </c>
      <c r="J558" s="34" t="str">
        <f>"(SELECT "&amp;VLOOKUP(B558,'0. Instruções'!$C$27:$G$32,4,FALSE)&amp;" AS "&amp;VLOOKUP(B558,'0. Instruções'!$C$27:$G$32,4,FALSE)&amp;"_SIMUL, "&amp;F558&amp;" AS "&amp;F558&amp;"_SIMUL FROM "&amp;E558&amp;" WHERE "&amp;'0. Instruções'!$D$43&amp;")Y"</f>
        <v>(SELECT entty_id AS entty_id_SIMUL, cntrprty_rsltn_grp AS cntrprty_rsltn_grp_SIMUL FROM BU_LOANTAPE_WORK.SIMUL_LT003_ENTITY WHERE ref_date='${ref_date}' AND nome_perimetro='Individual Local' AND segmento='ESTR' AND ambito='PILAR3' AND entidade='00100')Y</v>
      </c>
      <c r="K558" s="35" t="str">
        <f>+UPPER("ON X."&amp;VLOOKUP(B558,'0. Instruções'!$C$27:$G$32,4,FALSE)&amp;"=Y."&amp;VLOOKUP(B558,'0. Instruções'!$C$27:$G$32,4,FALSE)&amp;"_SIMUL")</f>
        <v>ON X.ENTTY_ID=Y.ENTTY_ID_SIMUL</v>
      </c>
      <c r="L558" s="35" t="str">
        <f>+IF(C558="Coerência", +IF(LEFT(G558,5)="FLOAT","SELECT '"&amp;UPPER(B558)&amp;"' AS TABELA, '"&amp;UPPER(C558)&amp;"' AS TIPOLOGIA_TESTE,'"&amp;D558&amp;"' AS TABELA_LT,'"&amp;E558&amp;"' AS TABELA_SIMUL,'"&amp;F558&amp;"' AS CAMPO, "&amp;"'${ref_date}' AS REF_DATE, COUNT(*) AS NUM_REG, SUM(IF((ABS(COALESCE(CAST(X."&amp;F558&amp;" AS DECIMAL(18,6)),0)-COALESCE(CAST(Y."&amp;F558&amp;"_SIMUL AS DECIMAL(18,6)),0))&gt;0.000001) OR (X."&amp;F558&amp;" IS NULL AND Y."&amp;F558&amp;"_SIMUL IS NOT NULL ) OR (X."&amp;F558&amp;" IS NOT NULL AND Y."&amp;F558&amp;"_SIMUL IS NULL),1,0)) AS NUM_REG_DIF,'"&amp;MAX('ID1&amp;5'!K:K)+1&amp;"' AS ID_EXEC, CURRENT_TIMESTAMP() AS TIME_EXEC FROM "&amp;I558&amp;" INNER JOIN "&amp;J558&amp;" "&amp;K558,"SELECT '"&amp;UPPER(B558)&amp;"' AS TABELA, '"&amp;UPPER(C558)&amp;"' AS TIPOLOGIA_TESTE,'"&amp;D558&amp;"' AS TABELA_LT,'"&amp;E558&amp;"' AS TABELA_SIMUL,'"&amp;F558&amp;"' AS CAMPO, "&amp;"'${ref_date}' AS REF_DATE, COUNT(*) AS NUM_REG, SUM(IF(COALESCE(CAST(X."&amp;F558&amp;" AS STRING),'')&lt;&gt;COALESCE(CAST(Y."&amp;F558&amp;"_SIMUL AS STRING),'') OR (X."&amp;F558&amp;" IS NULL AND Y."&amp;F558&amp;"_SIMUL IS NOT NULL ) OR (X."&amp;F558&amp;" IS NOT NULL AND Y."&amp;F558&amp;"_SIMUL IS NULL),1,0)) AS NUM_REG_DIF,'"&amp;MAX('ID1&amp;5'!L:L)+1&amp;"' AS ID_EXEC, CURRENT_TIMESTAMP() AS TIME_EXEC FROM "&amp;I558&amp;" INNER JOIN "&amp;J558&amp;" "&amp;K558),
IF(C558="Validade",+IF(G558="Code List","SELECT '"&amp;UPPER(B558)&amp;"' AS TABELA, '"&amp;UPPER(C558)&amp;"' AS TIPOLOGIA_TESTE,'"&amp;D558&amp;"' AS TABELA_LT,'N/A' AS TABELA_SIMUL,'"&amp;F558&amp;"' AS CAMPO, "&amp;"'${ref_date}' AS REF_DATE, COUNT(*) AS NUM_REG, SUM(IF(TRIM(CAST(X."&amp;F558&amp;" AS STRING))='' OR TRIM(CAST(X."&amp;F558&amp;" AS STRING)) IS NULL OR CAST(X."&amp;F558&amp;" AS STRING) NOT "&amp;H558&amp;",1,0)) AS NUM_REG_DIF,'"&amp;MAX('ID1&amp;5'!K:K)+1&amp;"' AS ID_EXEC, CURRENT_TIMESTAMP() AS TIME_EXEC FROM "&amp;I558,"SELECT '"&amp;UPPER(B558)&amp;"' AS TABELA, '"&amp;UPPER(C558)&amp;"' AS TIPOLOGIA_TESTE,'"&amp;D558&amp;"' AS TABELA_LT,'N/A' AS TABELA_SIMUL,'"&amp;F558&amp;"' AS CAMPO, "&amp;"'${ref_date}' AS REF_DATE, COUNT(*) AS NUM_REG, SUM(IF(TRIM(CAST(X."&amp;F558&amp;" AS STRING))='' OR TRIM(CAST(X."&amp;F558&amp;" AS STRING)) IS NULL,1,0)) AS NUM_REG_DIF,'"&amp;MAX('ID1&amp;5'!K:K)+1&amp;"' AS ID_EXEC, CURRENT_TIMESTAMP() AS TIME_EXEC FROM "&amp;I558),
IF(C558="Caracteres Especiais",+"SELECT '"&amp;UPPER(B558)&amp;"' AS TABELA, '"&amp;UPPER(C558)&amp;"' AS TIPOLOGIA_TESTE,'"&amp;D558&amp;"' AS TABELA_LT,'N/A' AS TABELA_SIMUL,'"&amp;F558&amp;"' AS CAMPO, "&amp;"'${ref_date}' AS REF_DATE, COUNT(*) AS NUM_REG, SUM(IF(REGEXP_REPLACE(TRIM(CAST(X."&amp;F558&amp;" AS STRING)),'[^a-zA-Z0-9_\\s]','') &lt;&gt;TRIM(CAST(X."&amp;F558&amp;" AS STRING)),1,0)) AS NUM_REG_DIF,'"&amp;MAX('ID1&amp;5'!K:K)+1&amp;"' AS ID_EXEC, CURRENT_TIMESTAMP() AS TIME_EXEC FROM "&amp;I558,
IF(C558="Missings",+"SELECT '"&amp;UPPER(B558)&amp;"' AS TABELA, '"&amp;UPPER(C558)&amp;"' AS TIPOLOGIA_TESTE,'"&amp;D558&amp;"' AS TABELA_LT,'N/A' AS TABELA_SIMUL,'"&amp;F558&amp;"' AS CAMPO, "&amp;"'${ref_date}' AS REF_DATE, COUNT(*) AS NUM_REG, SUM(IF(TRIM(CAST(X."&amp;F558&amp;" AS STRING)) IN ('0000-00-00','0001-01-01','9999-12-31','MISS','00000','99999999999','99999999999.00','99999999999.000000'),1,0)) AS NUM_REG_DIF,'"&amp;MAX('ID1&amp;5'!K:K)+1&amp;"' AS ID_EXEC, CURRENT_TIMESTAMP() AS TIME_EXEC FROM "&amp;I558,
IF(C558="Not applicable",+"SELECT '"&amp;UPPER(B558)&amp;"' AS TABELA, '"&amp;UPPER(C558)&amp;"' AS TIPOLOGIA_TESTE,'"&amp;D558&amp;"' AS TABELA_LT,'N/A' AS TABELA_SIMUL,'"&amp;F558&amp;"' AS CAMPO, "&amp;"'${ref_date}' AS REF_DATE, COUNT(*) AS NUM_REG, SUM(IF(TRIM(CAST(X."&amp;F558&amp;" AS STRING)) IN ('N/A','11111111111','11111111111.00','11111111111.000000','1111-11-11'),1,0)) AS NUM_REG_DIF,'"&amp;MAX('ID1&amp;5'!K:K)+1&amp;"' AS ID_EXEC, CURRENT_TIMESTAMP() AS TIME_EXEC FROM "&amp;I558,
IF(C558="Valores extremos",+"SELECT '"&amp;UPPER(B558)&amp;"' AS TABELA, '"&amp;UPPER(C558)&amp;"' AS TIPOLOGIA_TESTE,'"&amp;D558&amp;"' AS TABELA_LT,'N/A' AS TABELA_SIMUL,'"&amp;F558&amp;"' AS CAMPO, "&amp;"'${ref_date}' AS REF_DATE, CAST(MIN("&amp;F558&amp;") AS STRING) AS VALOR_MIN, CAST(MAX("&amp;F558&amp;") AS STRING) AS VALOR_MAX,'"&amp;MAX('ID1&amp;5'!K:K)+1&amp;"' AS ID_EXEC, CURRENT_TIMESTAMP() AS TIME_EXEC FROM "&amp;MID(I558,1,LEN(I558)-2)&amp;" AND CAST("&amp;F558&amp;"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TABELA_LT,'BU_LOANTAPE_WORK.SIMUL_LT003_ENTITY' AS TABELA_SIMUL,'cntrprty_rsltn_grp' AS CAMPO, '${ref_date}' AS REF_DATE, COUNT(*) AS NUM_REG, SUM(IF(COALESCE(CAST(X.cntrprty_rsltn_grp AS STRING),'')&lt;&gt;COALESCE(CAST(Y.cntrprty_rsltn_grp_SIMUL AS STRING),'') OR (X.cntrprty_rsltn_grp IS NULL AND Y.cntrprty_rsltn_grp_SIMUL IS NOT NULL ) OR (X.cntrprty_rsltn_grp IS NOT NULL AND Y.cntrprty_rsltn_grp_SIMUL IS NULL),1,0)) AS NUM_REG_DIF,'1' AS ID_EXEC, CURRENT_TIMESTAMP() AS TIME_EXEC FROM (SELECT entty_id, cntrprty_rsltn_grp FROM BU_LOANTAPE_WORK.LT003_ENTITY WHERE ref_date='${ref_date}' AND nome_perimetro='Individual Local' AND segmento='ESTR' AND ambito='SRB_MBDT' AND entidade='00100')X INNER JOIN (SELECT entty_id AS entty_id_SIMUL, cntrprty_rsltn_grp AS cntrprty_rsltn_grp_SIMUL FROM BU_LOANTAPE_WORK.SIMUL_LT003_ENTITY WHERE ref_date='${ref_date}' AND nome_perimetro='Individual Local' AND segmento='ESTR' AND ambito='PILAR3' AND entidade='00100')Y ON X.ENTTY_ID=Y.ENTTY_ID_SIMUL</v>
      </c>
      <c r="M558" s="36" t="str">
        <f t="shared" si="11"/>
        <v>UNION ALL SELECT 'ENTITY' AS TABELA, 'COERÊNCIA' AS TIPOLOGIA_TESTE,'BU_LOANTAPE_WORK.LT003_ENTITY' AS TABELA_LT,'BU_LOANTAPE_WORK.SIMUL_LT003_ENTITY' AS TABELA_SIMUL,'cntrprty_rsltn_grp' AS CAMPO, '${ref_date}' AS REF_DATE, COUNT(*) AS NUM_REG, SUM(IF(COALESCE(CAST(X.cntrprty_rsltn_grp AS STRING),'')&lt;&gt;COALESCE(CAST(Y.cntrprty_rsltn_grp_SIMUL AS STRING),'') OR (X.cntrprty_rsltn_grp IS NULL AND Y.cntrprty_rsltn_grp_SIMUL IS NOT NULL ) OR (X.cntrprty_rsltn_grp IS NOT NULL AND Y.cntrprty_rsltn_grp_SIMUL IS NULL),1,0)) AS NUM_REG_DIF,'1' AS ID_EXEC, CURRENT_TIMESTAMP() AS TIME_EXEC FROM (SELECT entty_id, cntrprty_rsltn_grp FROM BU_LOANTAPE_WORK.LT003_ENTITY WHERE ref_date='${ref_date}' AND nome_perimetro='Individual Local' AND segmento='ESTR' AND ambito='SRB_MBDT' AND entidade='00100')X INNER JOIN (SELECT entty_id AS entty_id_SIMUL, cntrprty_rsltn_grp AS cntrprty_rsltn_grp_SIMUL FROM BU_LOANTAPE_WORK.SIMUL_LT003_ENTITY WHERE ref_date='${ref_date}' AND nome_perimetro='Individual Local' AND segmento='ESTR' AND ambito='PILAR3' AND entidade='00100')Y ON X.ENTTY_ID=Y.ENTTY_ID_SIMUL</v>
      </c>
    </row>
    <row r="559" spans="2:13">
      <c r="B559" s="34" t="s">
        <v>119</v>
      </c>
      <c r="C559" s="34" t="s">
        <v>5</v>
      </c>
      <c r="D559" s="34" t="str">
        <f>+UPPER('0. Instruções'!$D$35&amp;"."&amp;VLOOKUP(B559,'0. Instruções'!$C$27:$D$32,2,FALSE))</f>
        <v>BU_LOANTAPE_WORK.LT004_PROTECTION</v>
      </c>
      <c r="E559" s="34" t="str">
        <f>+UPPER('0. Instruções'!$D$36&amp;"."&amp;VLOOKUP(B559,'0. Instruções'!$C$27:$E$32,3,FALSE))</f>
        <v>BU_LOANTAPE_WORK.SIMUL_LT004</v>
      </c>
      <c r="F559" s="34" t="s">
        <v>1510</v>
      </c>
      <c r="G559" s="34"/>
      <c r="H559" s="34"/>
      <c r="I559" s="34" t="str">
        <f>"(SELECT "&amp;VLOOKUP(B559,'0. Instruções'!$C$27:$G$32,4,FALSE)&amp;", "&amp;F559&amp;" FROM "&amp;D559&amp;" WHERE "&amp;'0. Instruções'!$D$42&amp;")X"</f>
        <v>(SELECT prtctn_id, dt_mtrty_prtctn FROM BU_LOANTAPE_WORK.LT004_PROTECTION WHERE ref_date='${ref_date}' AND nome_perimetro='Individual Local' AND segmento='ESTR' AND ambito='SRB_MBDT' AND entidade='00100')X</v>
      </c>
      <c r="J559" s="34" t="str">
        <f>"(SELECT "&amp;VLOOKUP(B559,'0. Instruções'!$C$27:$G$32,4,FALSE)&amp;" AS "&amp;VLOOKUP(B559,'0. Instruções'!$C$27:$G$32,4,FALSE)&amp;"_SIMUL, "&amp;F559&amp;" AS "&amp;F559&amp;"_SIMUL FROM "&amp;E559&amp;" WHERE "&amp;'0. Instruções'!$D$43&amp;")Y"</f>
        <v>(SELECT prtctn_id AS prtctn_id_SIMUL, dt_mtrty_prtctn AS dt_mtrty_prtctn_SIMUL FROM BU_LOANTAPE_WORK.SIMUL_LT004 WHERE ref_date='${ref_date}' AND nome_perimetro='Individual Local' AND segmento='ESTR' AND ambito='PILAR3' AND entidade='00100')Y</v>
      </c>
      <c r="K559" s="35" t="str">
        <f>+UPPER("ON X."&amp;VLOOKUP(B559,'0. Instruções'!$C$27:$G$32,4,FALSE)&amp;"=Y."&amp;VLOOKUP(B559,'0. Instruções'!$C$27:$G$32,4,FALSE)&amp;"_SIMUL")</f>
        <v>ON X.PRTCTN_ID=Y.PRTCTN_ID_SIMUL</v>
      </c>
      <c r="L559" s="35" t="str">
        <f>+IF(C559="Coerência", +IF(LEFT(G559,5)="FLOAT","SELECT '"&amp;UPPER(B559)&amp;"' AS TABELA, '"&amp;UPPER(C559)&amp;"' AS TIPOLOGIA_TESTE,'"&amp;D559&amp;"' AS TABELA_LT,'"&amp;E559&amp;"' AS TABELA_SIMUL,'"&amp;F559&amp;"' AS CAMPO, "&amp;"'${ref_date}' AS REF_DATE, COUNT(*) AS NUM_REG, SUM(IF((ABS(COALESCE(CAST(X."&amp;F559&amp;" AS DECIMAL(18,6)),0)-COALESCE(CAST(Y."&amp;F559&amp;"_SIMUL AS DECIMAL(18,6)),0))&gt;0.000001) OR (X."&amp;F559&amp;" IS NULL AND Y."&amp;F559&amp;"_SIMUL IS NOT NULL ) OR (X."&amp;F559&amp;" IS NOT NULL AND Y."&amp;F559&amp;"_SIMUL IS NULL),1,0)) AS NUM_REG_DIF,'"&amp;MAX('ID1&amp;5'!K:K)+1&amp;"' AS ID_EXEC, CURRENT_TIMESTAMP() AS TIME_EXEC FROM "&amp;I559&amp;" INNER JOIN "&amp;J559&amp;" "&amp;K559,"SELECT '"&amp;UPPER(B559)&amp;"' AS TABELA, '"&amp;UPPER(C559)&amp;"' AS TIPOLOGIA_TESTE,'"&amp;D559&amp;"' AS TABELA_LT,'"&amp;E559&amp;"' AS TABELA_SIMUL,'"&amp;F559&amp;"' AS CAMPO, "&amp;"'${ref_date}' AS REF_DATE, COUNT(*) AS NUM_REG, SUM(IF(COALESCE(CAST(X."&amp;F559&amp;" AS STRING),'')&lt;&gt;COALESCE(CAST(Y."&amp;F559&amp;"_SIMUL AS STRING),'') OR (X."&amp;F559&amp;" IS NULL AND Y."&amp;F559&amp;"_SIMUL IS NOT NULL ) OR (X."&amp;F559&amp;" IS NOT NULL AND Y."&amp;F559&amp;"_SIMUL IS NULL),1,0)) AS NUM_REG_DIF,'"&amp;MAX('ID1&amp;5'!L:L)+1&amp;"' AS ID_EXEC, CURRENT_TIMESTAMP() AS TIME_EXEC FROM "&amp;I559&amp;" INNER JOIN "&amp;J559&amp;" "&amp;K559),
IF(C559="Validade",+IF(G559="Code List","SELECT '"&amp;UPPER(B559)&amp;"' AS TABELA, '"&amp;UPPER(C559)&amp;"' AS TIPOLOGIA_TESTE,'"&amp;D559&amp;"' AS TABELA_LT,'N/A' AS TABELA_SIMUL,'"&amp;F559&amp;"' AS CAMPO, "&amp;"'${ref_date}' AS REF_DATE, COUNT(*) AS NUM_REG, SUM(IF(TRIM(CAST(X."&amp;F559&amp;" AS STRING))='' OR TRIM(CAST(X."&amp;F559&amp;" AS STRING)) IS NULL OR CAST(X."&amp;F559&amp;" AS STRING) NOT "&amp;H559&amp;",1,0)) AS NUM_REG_DIF,'"&amp;MAX('ID1&amp;5'!K:K)+1&amp;"' AS ID_EXEC, CURRENT_TIMESTAMP() AS TIME_EXEC FROM "&amp;I559,"SELECT '"&amp;UPPER(B559)&amp;"' AS TABELA, '"&amp;UPPER(C559)&amp;"' AS TIPOLOGIA_TESTE,'"&amp;D559&amp;"' AS TABELA_LT,'N/A' AS TABELA_SIMUL,'"&amp;F559&amp;"' AS CAMPO, "&amp;"'${ref_date}' AS REF_DATE, COUNT(*) AS NUM_REG, SUM(IF(TRIM(CAST(X."&amp;F559&amp;" AS STRING))='' OR TRIM(CAST(X."&amp;F559&amp;" AS STRING)) IS NULL,1,0)) AS NUM_REG_DIF,'"&amp;MAX('ID1&amp;5'!K:K)+1&amp;"' AS ID_EXEC, CURRENT_TIMESTAMP() AS TIME_EXEC FROM "&amp;I559),
IF(C559="Caracteres Especiais",+"SELECT '"&amp;UPPER(B559)&amp;"' AS TABELA, '"&amp;UPPER(C559)&amp;"' AS TIPOLOGIA_TESTE,'"&amp;D559&amp;"' AS TABELA_LT,'N/A' AS TABELA_SIMUL,'"&amp;F559&amp;"' AS CAMPO, "&amp;"'${ref_date}' AS REF_DATE, COUNT(*) AS NUM_REG, SUM(IF(REGEXP_REPLACE(TRIM(CAST(X."&amp;F559&amp;" AS STRING)),'[^a-zA-Z0-9_\\s]','') &lt;&gt;TRIM(CAST(X."&amp;F559&amp;" AS STRING)),1,0)) AS NUM_REG_DIF,'"&amp;MAX('ID1&amp;5'!K:K)+1&amp;"' AS ID_EXEC, CURRENT_TIMESTAMP() AS TIME_EXEC FROM "&amp;I559,
IF(C559="Missings",+"SELECT '"&amp;UPPER(B559)&amp;"' AS TABELA, '"&amp;UPPER(C559)&amp;"' AS TIPOLOGIA_TESTE,'"&amp;D559&amp;"' AS TABELA_LT,'N/A' AS TABELA_SIMUL,'"&amp;F559&amp;"' AS CAMPO, "&amp;"'${ref_date}' AS REF_DATE, COUNT(*) AS NUM_REG, SUM(IF(TRIM(CAST(X."&amp;F559&amp;" AS STRING)) IN ('0000-00-00','0001-01-01','9999-12-31','MISS','00000','99999999999','99999999999.00','99999999999.000000'),1,0)) AS NUM_REG_DIF,'"&amp;MAX('ID1&amp;5'!K:K)+1&amp;"' AS ID_EXEC, CURRENT_TIMESTAMP() AS TIME_EXEC FROM "&amp;I559,
IF(C559="Not applicable",+"SELECT '"&amp;UPPER(B559)&amp;"' AS TABELA, '"&amp;UPPER(C559)&amp;"' AS TIPOLOGIA_TESTE,'"&amp;D559&amp;"' AS TABELA_LT,'N/A' AS TABELA_SIMUL,'"&amp;F559&amp;"' AS CAMPO, "&amp;"'${ref_date}' AS REF_DATE, COUNT(*) AS NUM_REG, SUM(IF(TRIM(CAST(X."&amp;F559&amp;" AS STRING)) IN ('N/A','11111111111','11111111111.00','11111111111.000000','1111-11-11'),1,0)) AS NUM_REG_DIF,'"&amp;MAX('ID1&amp;5'!K:K)+1&amp;"' AS ID_EXEC, CURRENT_TIMESTAMP() AS TIME_EXEC FROM "&amp;I559,
IF(C559="Valores extremos",+"SELECT '"&amp;UPPER(B559)&amp;"' AS TABELA, '"&amp;UPPER(C559)&amp;"' AS TIPOLOGIA_TESTE,'"&amp;D559&amp;"' AS TABELA_LT,'N/A' AS TABELA_SIMUL,'"&amp;F559&amp;"' AS CAMPO, "&amp;"'${ref_date}' AS REF_DATE, CAST(MIN("&amp;F559&amp;") AS STRING) AS VALOR_MIN, CAST(MAX("&amp;F559&amp;") AS STRING) AS VALOR_MAX,'"&amp;MAX('ID1&amp;5'!K:K)+1&amp;"' AS ID_EXEC, CURRENT_TIMESTAMP() AS TIME_EXEC FROM "&amp;MID(I559,1,LEN(I559)-2)&amp;" AND CAST("&amp;F559&amp;"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TABELA_SIMUL,'dt_mtrty_prtctn' AS CAMPO, '${ref_date}' AS REF_DATE, COUNT(*) AS NUM_REG, SUM(IF(COALESCE(CAST(X.dt_mtrty_prtctn AS STRING),'')&lt;&gt;COALESCE(CAST(Y.dt_mtrty_prtctn_SIMUL AS STRING),'') OR (X.dt_mtrty_prtctn IS NULL AND Y.dt_mtrty_prtctn_SIMUL IS NOT NULL ) OR (X.dt_mtrty_prtctn IS NOT NULL AND Y.dt_mtrty_prtctn_SIMUL IS NULL),1,0)) AS NUM_REG_DIF,'1' AS ID_EXEC, CURRENT_TIMESTAMP() AS TIME_EXEC FROM (SELECT prtctn_id, dt_mtrty_prtctn FROM BU_LOANTAPE_WORK.LT004_PROTECTION WHERE ref_date='${ref_date}' AND nome_perimetro='Individual Local' AND segmento='ESTR' AND ambito='SRB_MBDT' AND entidade='00100')X INNER JOIN (SELECT prtctn_id AS prtctn_id_SIMUL, dt_mtrty_prtctn AS dt_mtrty_prtctn_SIMUL FROM BU_LOANTAPE_WORK.SIMUL_LT004 WHERE ref_date='${ref_date}' AND nome_perimetro='Individual Local' AND segmento='ESTR' AND ambito='PILAR3' AND entidade='00100')Y ON X.PRTCTN_ID=Y.PRTCTN_ID_SIMUL</v>
      </c>
      <c r="M559" s="36" t="str">
        <f t="shared" ref="M559" si="12">+"UNION ALL "&amp;L559</f>
        <v>UNION ALL SELECT 'PROTECTION' AS TABELA, 'COERÊNCIA' AS TIPOLOGIA_TESTE,'BU_LOANTAPE_WORK.LT004_PROTECTION' AS TABELA_LT,'BU_LOANTAPE_WORK.SIMUL_LT004' AS TABELA_SIMUL,'dt_mtrty_prtctn' AS CAMPO, '${ref_date}' AS REF_DATE, COUNT(*) AS NUM_REG, SUM(IF(COALESCE(CAST(X.dt_mtrty_prtctn AS STRING),'')&lt;&gt;COALESCE(CAST(Y.dt_mtrty_prtctn_SIMUL AS STRING),'') OR (X.dt_mtrty_prtctn IS NULL AND Y.dt_mtrty_prtctn_SIMUL IS NOT NULL ) OR (X.dt_mtrty_prtctn IS NOT NULL AND Y.dt_mtrty_prtctn_SIMUL IS NULL),1,0)) AS NUM_REG_DIF,'1' AS ID_EXEC, CURRENT_TIMESTAMP() AS TIME_EXEC FROM (SELECT prtctn_id, dt_mtrty_prtctn FROM BU_LOANTAPE_WORK.LT004_PROTECTION WHERE ref_date='${ref_date}' AND nome_perimetro='Individual Local' AND segmento='ESTR' AND ambito='SRB_MBDT' AND entidade='00100')X INNER JOIN (SELECT prtctn_id AS prtctn_id_SIMUL, dt_mtrty_prtctn AS dt_mtrty_prtctn_SIMUL FROM BU_LOANTAPE_WORK.SIMUL_LT004 WHERE ref_date='${ref_date}' AND nome_perimetro='Individual Local' AND segmento='ESTR' AND ambito='PILAR3' AND entidade='00100')Y ON X.PRTCTN_ID=Y.PRTCTN_ID_SIMUL</v>
      </c>
    </row>
    <row r="560" spans="2:13">
      <c r="B560" s="34" t="s">
        <v>119</v>
      </c>
      <c r="C560" s="34" t="s">
        <v>5</v>
      </c>
      <c r="D560" s="34" t="str">
        <f>+UPPER('0. Instruções'!$D$35&amp;"."&amp;VLOOKUP(B560,'0. Instruções'!$C$27:$D$32,2,FALSE))</f>
        <v>BU_LOANTAPE_WORK.LT004_PROTECTION</v>
      </c>
      <c r="E560" s="34" t="str">
        <f>+UPPER('0. Instruções'!$D$36&amp;"."&amp;VLOOKUP(B560,'0. Instruções'!$C$27:$E$32,3,FALSE))</f>
        <v>BU_LOANTAPE_WORK.SIMUL_LT004</v>
      </c>
      <c r="F560" s="34" t="s">
        <v>1511</v>
      </c>
      <c r="G560" s="34"/>
      <c r="H560" s="34"/>
      <c r="I560" s="34" t="str">
        <f>"(SELECT "&amp;VLOOKUP(B560,'0. Instruções'!$C$27:$G$32,4,FALSE)&amp;", "&amp;F560&amp;" FROM "&amp;D560&amp;" WHERE "&amp;'0. Instruções'!$D$42&amp;")X"</f>
        <v>(SELECT prtctn_id, ntnl_id FROM BU_LOANTAPE_WORK.LT004_PROTECTION WHERE ref_date='${ref_date}' AND nome_perimetro='Individual Local' AND segmento='ESTR' AND ambito='SRB_MBDT' AND entidade='00100')X</v>
      </c>
      <c r="J560" s="34" t="str">
        <f>"(SELECT "&amp;VLOOKUP(B560,'0. Instruções'!$C$27:$G$32,4,FALSE)&amp;" AS "&amp;VLOOKUP(B560,'0. Instruções'!$C$27:$G$32,4,FALSE)&amp;"_SIMUL, "&amp;F560&amp;" AS "&amp;F560&amp;"_SIMUL FROM "&amp;E560&amp;" WHERE "&amp;'0. Instruções'!$D$43&amp;")Y"</f>
        <v>(SELECT prtctn_id AS prtctn_id_SIMUL, ntnl_id AS ntnl_id_SIMUL FROM BU_LOANTAPE_WORK.SIMUL_LT004 WHERE ref_date='${ref_date}' AND nome_perimetro='Individual Local' AND segmento='ESTR' AND ambito='PILAR3' AND entidade='00100')Y</v>
      </c>
      <c r="K560" s="35" t="str">
        <f>+UPPER("ON X."&amp;VLOOKUP(B560,'0. Instruções'!$C$27:$G$32,4,FALSE)&amp;"=Y."&amp;VLOOKUP(B560,'0. Instruções'!$C$27:$G$32,4,FALSE)&amp;"_SIMUL")</f>
        <v>ON X.PRTCTN_ID=Y.PRTCTN_ID_SIMUL</v>
      </c>
      <c r="L560" s="35" t="str">
        <f>+IF(C560="Coerência", +IF(LEFT(G560,5)="FLOAT","SELECT '"&amp;UPPER(B560)&amp;"' AS TABELA, '"&amp;UPPER(C560)&amp;"' AS TIPOLOGIA_TESTE,'"&amp;D560&amp;"' AS TABELA_LT,'"&amp;E560&amp;"' AS TABELA_SIMUL,'"&amp;F560&amp;"' AS CAMPO, "&amp;"'${ref_date}' AS REF_DATE, COUNT(*) AS NUM_REG, SUM(IF((ABS(COALESCE(CAST(X."&amp;F560&amp;" AS DECIMAL(18,6)),0)-COALESCE(CAST(Y."&amp;F560&amp;"_SIMUL AS DECIMAL(18,6)),0))&gt;0.000001) OR (X."&amp;F560&amp;" IS NULL AND Y."&amp;F560&amp;"_SIMUL IS NOT NULL ) OR (X."&amp;F560&amp;" IS NOT NULL AND Y."&amp;F560&amp;"_SIMUL IS NULL),1,0)) AS NUM_REG_DIF,'"&amp;MAX('ID1&amp;5'!K:K)+1&amp;"' AS ID_EXEC, CURRENT_TIMESTAMP() AS TIME_EXEC FROM "&amp;I560&amp;" INNER JOIN "&amp;J560&amp;" "&amp;K560,"SELECT '"&amp;UPPER(B560)&amp;"' AS TABELA, '"&amp;UPPER(C560)&amp;"' AS TIPOLOGIA_TESTE,'"&amp;D560&amp;"' AS TABELA_LT,'"&amp;E560&amp;"' AS TABELA_SIMUL,'"&amp;F560&amp;"' AS CAMPO, "&amp;"'${ref_date}' AS REF_DATE, COUNT(*) AS NUM_REG, SUM(IF(COALESCE(CAST(X."&amp;F560&amp;" AS STRING),'')&lt;&gt;COALESCE(CAST(Y."&amp;F560&amp;"_SIMUL AS STRING),'') OR (X."&amp;F560&amp;" IS NULL AND Y."&amp;F560&amp;"_SIMUL IS NOT NULL ) OR (X."&amp;F560&amp;" IS NOT NULL AND Y."&amp;F560&amp;"_SIMUL IS NULL),1,0)) AS NUM_REG_DIF,'"&amp;MAX('ID1&amp;5'!L:L)+1&amp;"' AS ID_EXEC, CURRENT_TIMESTAMP() AS TIME_EXEC FROM "&amp;I560&amp;" INNER JOIN "&amp;J560&amp;" "&amp;K560),
IF(C560="Validade",+IF(G560="Code List","SELECT '"&amp;UPPER(B560)&amp;"' AS TABELA, '"&amp;UPPER(C560)&amp;"' AS TIPOLOGIA_TESTE,'"&amp;D560&amp;"' AS TABELA_LT,'N/A' AS TABELA_SIMUL,'"&amp;F560&amp;"' AS CAMPO, "&amp;"'${ref_date}' AS REF_DATE, COUNT(*) AS NUM_REG, SUM(IF(TRIM(CAST(X."&amp;F560&amp;" AS STRING))='' OR TRIM(CAST(X."&amp;F560&amp;" AS STRING)) IS NULL OR CAST(X."&amp;F560&amp;" AS STRING) NOT "&amp;H560&amp;",1,0)) AS NUM_REG_DIF,'"&amp;MAX('ID1&amp;5'!K:K)+1&amp;"' AS ID_EXEC, CURRENT_TIMESTAMP() AS TIME_EXEC FROM "&amp;I560,"SELECT '"&amp;UPPER(B560)&amp;"' AS TABELA, '"&amp;UPPER(C560)&amp;"' AS TIPOLOGIA_TESTE,'"&amp;D560&amp;"' AS TABELA_LT,'N/A' AS TABELA_SIMUL,'"&amp;F560&amp;"' AS CAMPO, "&amp;"'${ref_date}' AS REF_DATE, COUNT(*) AS NUM_REG, SUM(IF(TRIM(CAST(X."&amp;F560&amp;" AS STRING))='' OR TRIM(CAST(X."&amp;F560&amp;" AS STRING)) IS NULL,1,0)) AS NUM_REG_DIF,'"&amp;MAX('ID1&amp;5'!K:K)+1&amp;"' AS ID_EXEC, CURRENT_TIMESTAMP() AS TIME_EXEC FROM "&amp;I560),
IF(C560="Caracteres Especiais",+"SELECT '"&amp;UPPER(B560)&amp;"' AS TABELA, '"&amp;UPPER(C560)&amp;"' AS TIPOLOGIA_TESTE,'"&amp;D560&amp;"' AS TABELA_LT,'N/A' AS TABELA_SIMUL,'"&amp;F560&amp;"' AS CAMPO, "&amp;"'${ref_date}' AS REF_DATE, COUNT(*) AS NUM_REG, SUM(IF(REGEXP_REPLACE(TRIM(CAST(X."&amp;F560&amp;" AS STRING)),'[^a-zA-Z0-9_\\s]','') &lt;&gt;TRIM(CAST(X."&amp;F560&amp;" AS STRING)),1,0)) AS NUM_REG_DIF,'"&amp;MAX('ID1&amp;5'!K:K)+1&amp;"' AS ID_EXEC, CURRENT_TIMESTAMP() AS TIME_EXEC FROM "&amp;I560,
IF(C560="Missings",+"SELECT '"&amp;UPPER(B560)&amp;"' AS TABELA, '"&amp;UPPER(C560)&amp;"' AS TIPOLOGIA_TESTE,'"&amp;D560&amp;"' AS TABELA_LT,'N/A' AS TABELA_SIMUL,'"&amp;F560&amp;"' AS CAMPO, "&amp;"'${ref_date}' AS REF_DATE, COUNT(*) AS NUM_REG, SUM(IF(TRIM(CAST(X."&amp;F560&amp;" AS STRING)) IN ('0000-00-00','0001-01-01','9999-12-31','MISS','00000','99999999999','99999999999.00','99999999999.000000'),1,0)) AS NUM_REG_DIF,'"&amp;MAX('ID1&amp;5'!K:K)+1&amp;"' AS ID_EXEC, CURRENT_TIMESTAMP() AS TIME_EXEC FROM "&amp;I560,
IF(C560="Not applicable",+"SELECT '"&amp;UPPER(B560)&amp;"' AS TABELA, '"&amp;UPPER(C560)&amp;"' AS TIPOLOGIA_TESTE,'"&amp;D560&amp;"' AS TABELA_LT,'N/A' AS TABELA_SIMUL,'"&amp;F560&amp;"' AS CAMPO, "&amp;"'${ref_date}' AS REF_DATE, COUNT(*) AS NUM_REG, SUM(IF(TRIM(CAST(X."&amp;F560&amp;" AS STRING)) IN ('N/A','11111111111','11111111111.00','11111111111.000000','1111-11-11'),1,0)) AS NUM_REG_DIF,'"&amp;MAX('ID1&amp;5'!K:K)+1&amp;"' AS ID_EXEC, CURRENT_TIMESTAMP() AS TIME_EXEC FROM "&amp;I560,
IF(C560="Valores extremos",+"SELECT '"&amp;UPPER(B560)&amp;"' AS TABELA, '"&amp;UPPER(C560)&amp;"' AS TIPOLOGIA_TESTE,'"&amp;D560&amp;"' AS TABELA_LT,'N/A' AS TABELA_SIMUL,'"&amp;F560&amp;"' AS CAMPO, "&amp;"'${ref_date}' AS REF_DATE, CAST(MIN("&amp;F560&amp;") AS STRING) AS VALOR_MIN, CAST(MAX("&amp;F560&amp;") AS STRING) AS VALOR_MAX,'"&amp;MAX('ID1&amp;5'!K:K)+1&amp;"' AS ID_EXEC, CURRENT_TIMESTAMP() AS TIME_EXEC FROM "&amp;MID(I560,1,LEN(I560)-2)&amp;" AND CAST("&amp;F560&amp;"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TABELA_SIMUL,'ntnl_id' AS CAMPO, '${ref_date}' AS REF_DATE, COUNT(*) AS NUM_REG, SUM(IF(COALESCE(CAST(X.ntnl_id AS STRING),'')&lt;&gt;COALESCE(CAST(Y.ntnl_id_SIMUL AS STRING),'') OR (X.ntnl_id IS NULL AND Y.ntnl_id_SIMUL IS NOT NULL ) OR (X.ntnl_id IS NOT NULL AND Y.ntnl_id_SIMUL IS NULL),1,0)) AS NUM_REG_DIF,'1' AS ID_EXEC, CURRENT_TIMESTAMP() AS TIME_EXEC FROM (SELECT prtctn_id, ntnl_id FROM BU_LOANTAPE_WORK.LT004_PROTECTION WHERE ref_date='${ref_date}' AND nome_perimetro='Individual Local' AND segmento='ESTR' AND ambito='SRB_MBDT' AND entidade='00100')X INNER JOIN (SELECT prtctn_id AS prtctn_id_SIMUL, ntnl_id AS ntnl_id_SIMUL FROM BU_LOANTAPE_WORK.SIMUL_LT004 WHERE ref_date='${ref_date}' AND nome_perimetro='Individual Local' AND segmento='ESTR' AND ambito='PILAR3' AND entidade='00100')Y ON X.PRTCTN_ID=Y.PRTCTN_ID_SIMUL</v>
      </c>
      <c r="M560" s="36" t="str">
        <f t="shared" ref="M560" si="13">+"UNION ALL "&amp;L560</f>
        <v>UNION ALL SELECT 'PROTECTION' AS TABELA, 'COERÊNCIA' AS TIPOLOGIA_TESTE,'BU_LOANTAPE_WORK.LT004_PROTECTION' AS TABELA_LT,'BU_LOANTAPE_WORK.SIMUL_LT004' AS TABELA_SIMUL,'ntnl_id' AS CAMPO, '${ref_date}' AS REF_DATE, COUNT(*) AS NUM_REG, SUM(IF(COALESCE(CAST(X.ntnl_id AS STRING),'')&lt;&gt;COALESCE(CAST(Y.ntnl_id_SIMUL AS STRING),'') OR (X.ntnl_id IS NULL AND Y.ntnl_id_SIMUL IS NOT NULL ) OR (X.ntnl_id IS NOT NULL AND Y.ntnl_id_SIMUL IS NULL),1,0)) AS NUM_REG_DIF,'1' AS ID_EXEC, CURRENT_TIMESTAMP() AS TIME_EXEC FROM (SELECT prtctn_id, ntnl_id FROM BU_LOANTAPE_WORK.LT004_PROTECTION WHERE ref_date='${ref_date}' AND nome_perimetro='Individual Local' AND segmento='ESTR' AND ambito='SRB_MBDT' AND entidade='00100')X INNER JOIN (SELECT prtctn_id AS prtctn_id_SIMUL, ntnl_id AS ntnl_id_SIMUL FROM BU_LOANTAPE_WORK.SIMUL_LT004 WHERE ref_date='${ref_date}' AND nome_perimetro='Individual Local' AND segmento='ESTR' AND ambito='PILAR3' AND entidade='00100')Y ON X.PRTCTN_ID=Y.PRTCTN_ID_SIMUL</v>
      </c>
    </row>
    <row r="561" spans="2:13">
      <c r="B561" s="34" t="s">
        <v>119</v>
      </c>
      <c r="C561" s="34" t="s">
        <v>5</v>
      </c>
      <c r="D561" s="34" t="str">
        <f>+UPPER('0. Instruções'!$D$35&amp;"."&amp;VLOOKUP(B561,'0. Instruções'!$C$27:$D$32,2,FALSE))</f>
        <v>BU_LOANTAPE_WORK.LT004_PROTECTION</v>
      </c>
      <c r="E561" s="34" t="str">
        <f>+UPPER('0. Instruções'!$D$36&amp;"."&amp;VLOOKUP(B561,'0. Instruções'!$C$27:$E$32,3,FALSE))</f>
        <v>BU_LOANTAPE_WORK.SIMUL_LT004</v>
      </c>
      <c r="F561" s="34" t="s">
        <v>29</v>
      </c>
      <c r="G561" s="34"/>
      <c r="H561" s="34"/>
      <c r="I561" s="34" t="str">
        <f>"(SELECT "&amp;VLOOKUP(B561,'0. Instruções'!$C$27:$G$32,4,FALSE)&amp;", "&amp;F561&amp;" FROM "&amp;D561&amp;" WHERE "&amp;'0. Instruções'!$D$42&amp;")X"</f>
        <v>(SELECT prtctn_id, prtctn_id FROM BU_LOANTAPE_WORK.LT004_PROTECTION WHERE ref_date='${ref_date}' AND nome_perimetro='Individual Local' AND segmento='ESTR' AND ambito='SRB_MBDT' AND entidade='00100')X</v>
      </c>
      <c r="J561" s="34" t="str">
        <f>"(SELECT "&amp;VLOOKUP(B561,'0. Instruções'!$C$27:$G$32,4,FALSE)&amp;" AS "&amp;VLOOKUP(B561,'0. Instruções'!$C$27:$G$32,4,FALSE)&amp;"_SIMUL, "&amp;F561&amp;" AS "&amp;F561&amp;"_SIMUL FROM "&amp;E561&amp;" WHERE "&amp;'0. Instruções'!$D$43&amp;")Y"</f>
        <v>(SELECT prtctn_id AS prtctn_id_SIMUL, prtctn_id AS prtctn_id_SIMUL FROM BU_LOANTAPE_WORK.SIMUL_LT004 WHERE ref_date='${ref_date}' AND nome_perimetro='Individual Local' AND segmento='ESTR' AND ambito='PILAR3' AND entidade='00100')Y</v>
      </c>
      <c r="K561" s="35" t="str">
        <f>+UPPER("ON X."&amp;VLOOKUP(B561,'0. Instruções'!$C$27:$G$32,4,FALSE)&amp;"=Y."&amp;VLOOKUP(B561,'0. Instruções'!$C$27:$G$32,4,FALSE)&amp;"_SIMUL")</f>
        <v>ON X.PRTCTN_ID=Y.PRTCTN_ID_SIMUL</v>
      </c>
      <c r="L561" s="35" t="str">
        <f>+IF(C561="Coerência", +IF(LEFT(G561,5)="FLOAT","SELECT '"&amp;UPPER(B561)&amp;"' AS TABELA, '"&amp;UPPER(C561)&amp;"' AS TIPOLOGIA_TESTE,'"&amp;D561&amp;"' AS TABELA_LT,'"&amp;E561&amp;"' AS TABELA_SIMUL,'"&amp;F561&amp;"' AS CAMPO, "&amp;"'${ref_date}' AS REF_DATE, COUNT(*) AS NUM_REG, SUM(IF((ABS(COALESCE(CAST(X."&amp;F561&amp;" AS DECIMAL(18,6)),0)-COALESCE(CAST(Y."&amp;F561&amp;"_SIMUL AS DECIMAL(18,6)),0))&gt;0.000001) OR (X."&amp;F561&amp;" IS NULL AND Y."&amp;F561&amp;"_SIMUL IS NOT NULL ) OR (X."&amp;F561&amp;" IS NOT NULL AND Y."&amp;F561&amp;"_SIMUL IS NULL),1,0)) AS NUM_REG_DIF,'"&amp;MAX('ID1&amp;5'!K:K)+1&amp;"' AS ID_EXEC, CURRENT_TIMESTAMP() AS TIME_EXEC FROM "&amp;I561&amp;" INNER JOIN "&amp;J561&amp;" "&amp;K561,"SELECT '"&amp;UPPER(B561)&amp;"' AS TABELA, '"&amp;UPPER(C561)&amp;"' AS TIPOLOGIA_TESTE,'"&amp;D561&amp;"' AS TABELA_LT,'"&amp;E561&amp;"' AS TABELA_SIMUL,'"&amp;F561&amp;"' AS CAMPO, "&amp;"'${ref_date}' AS REF_DATE, COUNT(*) AS NUM_REG, SUM(IF(COALESCE(CAST(X."&amp;F561&amp;" AS STRING),'')&lt;&gt;COALESCE(CAST(Y."&amp;F561&amp;"_SIMUL AS STRING),'') OR (X."&amp;F561&amp;" IS NULL AND Y."&amp;F561&amp;"_SIMUL IS NOT NULL ) OR (X."&amp;F561&amp;" IS NOT NULL AND Y."&amp;F561&amp;"_SIMUL IS NULL),1,0)) AS NUM_REG_DIF,'"&amp;MAX('ID1&amp;5'!L:L)+1&amp;"' AS ID_EXEC, CURRENT_TIMESTAMP() AS TIME_EXEC FROM "&amp;I561&amp;" INNER JOIN "&amp;J561&amp;" "&amp;K561),
IF(C561="Validade",+IF(G561="Code List","SELECT '"&amp;UPPER(B561)&amp;"' AS TABELA, '"&amp;UPPER(C561)&amp;"' AS TIPOLOGIA_TESTE,'"&amp;D561&amp;"' AS TABELA_LT,'N/A' AS TABELA_SIMUL,'"&amp;F561&amp;"' AS CAMPO, "&amp;"'${ref_date}' AS REF_DATE, COUNT(*) AS NUM_REG, SUM(IF(TRIM(CAST(X."&amp;F561&amp;" AS STRING))='' OR TRIM(CAST(X."&amp;F561&amp;" AS STRING)) IS NULL OR CAST(X."&amp;F561&amp;" AS STRING) NOT "&amp;H561&amp;",1,0)) AS NUM_REG_DIF,'"&amp;MAX('ID1&amp;5'!K:K)+1&amp;"' AS ID_EXEC, CURRENT_TIMESTAMP() AS TIME_EXEC FROM "&amp;I561,"SELECT '"&amp;UPPER(B561)&amp;"' AS TABELA, '"&amp;UPPER(C561)&amp;"' AS TIPOLOGIA_TESTE,'"&amp;D561&amp;"' AS TABELA_LT,'N/A' AS TABELA_SIMUL,'"&amp;F561&amp;"' AS CAMPO, "&amp;"'${ref_date}' AS REF_DATE, COUNT(*) AS NUM_REG, SUM(IF(TRIM(CAST(X."&amp;F561&amp;" AS STRING))='' OR TRIM(CAST(X."&amp;F561&amp;" AS STRING)) IS NULL,1,0)) AS NUM_REG_DIF,'"&amp;MAX('ID1&amp;5'!K:K)+1&amp;"' AS ID_EXEC, CURRENT_TIMESTAMP() AS TIME_EXEC FROM "&amp;I561),
IF(C561="Caracteres Especiais",+"SELECT '"&amp;UPPER(B561)&amp;"' AS TABELA, '"&amp;UPPER(C561)&amp;"' AS TIPOLOGIA_TESTE,'"&amp;D561&amp;"' AS TABELA_LT,'N/A' AS TABELA_SIMUL,'"&amp;F561&amp;"' AS CAMPO, "&amp;"'${ref_date}' AS REF_DATE, COUNT(*) AS NUM_REG, SUM(IF(REGEXP_REPLACE(TRIM(CAST(X."&amp;F561&amp;" AS STRING)),'[^a-zA-Z0-9_\\s]','') &lt;&gt;TRIM(CAST(X."&amp;F561&amp;" AS STRING)),1,0)) AS NUM_REG_DIF,'"&amp;MAX('ID1&amp;5'!K:K)+1&amp;"' AS ID_EXEC, CURRENT_TIMESTAMP() AS TIME_EXEC FROM "&amp;I561,
IF(C561="Missings",+"SELECT '"&amp;UPPER(B561)&amp;"' AS TABELA, '"&amp;UPPER(C561)&amp;"' AS TIPOLOGIA_TESTE,'"&amp;D561&amp;"' AS TABELA_LT,'N/A' AS TABELA_SIMUL,'"&amp;F561&amp;"' AS CAMPO, "&amp;"'${ref_date}' AS REF_DATE, COUNT(*) AS NUM_REG, SUM(IF(TRIM(CAST(X."&amp;F561&amp;" AS STRING)) IN ('0000-00-00','0001-01-01','9999-12-31','MISS','00000','99999999999','99999999999.00','99999999999.000000'),1,0)) AS NUM_REG_DIF,'"&amp;MAX('ID1&amp;5'!K:K)+1&amp;"' AS ID_EXEC, CURRENT_TIMESTAMP() AS TIME_EXEC FROM "&amp;I561,
IF(C561="Not applicable",+"SELECT '"&amp;UPPER(B561)&amp;"' AS TABELA, '"&amp;UPPER(C561)&amp;"' AS TIPOLOGIA_TESTE,'"&amp;D561&amp;"' AS TABELA_LT,'N/A' AS TABELA_SIMUL,'"&amp;F561&amp;"' AS CAMPO, "&amp;"'${ref_date}' AS REF_DATE, COUNT(*) AS NUM_REG, SUM(IF(TRIM(CAST(X."&amp;F561&amp;" AS STRING)) IN ('N/A','11111111111','11111111111.00','11111111111.000000','1111-11-11'),1,0)) AS NUM_REG_DIF,'"&amp;MAX('ID1&amp;5'!K:K)+1&amp;"' AS ID_EXEC, CURRENT_TIMESTAMP() AS TIME_EXEC FROM "&amp;I561,
IF(C561="Valores extremos",+"SELECT '"&amp;UPPER(B561)&amp;"' AS TABELA, '"&amp;UPPER(C561)&amp;"' AS TIPOLOGIA_TESTE,'"&amp;D561&amp;"' AS TABELA_LT,'N/A' AS TABELA_SIMUL,'"&amp;F561&amp;"' AS CAMPO, "&amp;"'${ref_date}' AS REF_DATE, CAST(MIN("&amp;F561&amp;") AS STRING) AS VALOR_MIN, CAST(MAX("&amp;F561&amp;") AS STRING) AS VALOR_MAX,'"&amp;MAX('ID1&amp;5'!K:K)+1&amp;"' AS ID_EXEC, CURRENT_TIMESTAMP() AS TIME_EXEC FROM "&amp;MID(I561,1,LEN(I561)-2)&amp;" AND CAST("&amp;F561&amp;"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TABELA_SIMUL,'prtctn_id' AS CAMPO, '${ref_date}' AS REF_DATE, COUNT(*) AS NUM_REG, SUM(IF(COALESCE(CAST(X.prtctn_id AS STRING),'')&lt;&gt;COALESCE(CAST(Y.prtctn_id_SIMUL AS STRING),'') OR (X.prtctn_id IS NULL AND Y.prtctn_id_SIMUL IS NOT NULL ) OR (X.prtctn_id IS NOT NULL AND Y.prtctn_id_SIMUL IS NULL),1,0)) AS NUM_REG_DIF,'1' AS ID_EXEC, CURRENT_TIMESTAMP() AS TIME_EXEC FROM (SELECT prtctn_id, prtctn_id FROM BU_LOANTAPE_WORK.LT004_PROTECTION WHERE ref_date='${ref_date}' AND nome_perimetro='Individual Local' AND segmento='ESTR' AND ambito='SRB_MBDT' AND entidade='00100')X INNER JOIN (SELECT prtctn_id AS prtctn_id_SIMUL, prtctn_id AS prtctn_id_SIMUL FROM BU_LOANTAPE_WORK.SIMUL_LT004 WHERE ref_date='${ref_date}' AND nome_perimetro='Individual Local' AND segmento='ESTR' AND ambito='PILAR3' AND entidade='00100')Y ON X.PRTCTN_ID=Y.PRTCTN_ID_SIMUL</v>
      </c>
      <c r="M561" s="36" t="str">
        <f t="shared" ref="M561:M624" si="14">+"UNION ALL "&amp;L561</f>
        <v>UNION ALL SELECT 'PROTECTION' AS TABELA, 'COERÊNCIA' AS TIPOLOGIA_TESTE,'BU_LOANTAPE_WORK.LT004_PROTECTION' AS TABELA_LT,'BU_LOANTAPE_WORK.SIMUL_LT004' AS TABELA_SIMUL,'prtctn_id' AS CAMPO, '${ref_date}' AS REF_DATE, COUNT(*) AS NUM_REG, SUM(IF(COALESCE(CAST(X.prtctn_id AS STRING),'')&lt;&gt;COALESCE(CAST(Y.prtctn_id_SIMUL AS STRING),'') OR (X.prtctn_id IS NULL AND Y.prtctn_id_SIMUL IS NOT NULL ) OR (X.prtctn_id IS NOT NULL AND Y.prtctn_id_SIMUL IS NULL),1,0)) AS NUM_REG_DIF,'1' AS ID_EXEC, CURRENT_TIMESTAMP() AS TIME_EXEC FROM (SELECT prtctn_id, prtctn_id FROM BU_LOANTAPE_WORK.LT004_PROTECTION WHERE ref_date='${ref_date}' AND nome_perimetro='Individual Local' AND segmento='ESTR' AND ambito='SRB_MBDT' AND entidade='00100')X INNER JOIN (SELECT prtctn_id AS prtctn_id_SIMUL, prtctn_id AS prtctn_id_SIMUL FROM BU_LOANTAPE_WORK.SIMUL_LT004 WHERE ref_date='${ref_date}' AND nome_perimetro='Individual Local' AND segmento='ESTR' AND ambito='PILAR3' AND entidade='00100')Y ON X.PRTCTN_ID=Y.PRTCTN_ID_SIMUL</v>
      </c>
    </row>
    <row r="562" spans="2:13">
      <c r="B562" s="34" t="s">
        <v>119</v>
      </c>
      <c r="C562" s="34" t="s">
        <v>5</v>
      </c>
      <c r="D562" s="34" t="str">
        <f>+UPPER('0. Instruções'!$D$35&amp;"."&amp;VLOOKUP(B562,'0. Instruções'!$C$27:$D$32,2,FALSE))</f>
        <v>BU_LOANTAPE_WORK.LT004_PROTECTION</v>
      </c>
      <c r="E562" s="34" t="str">
        <f>+UPPER('0. Instruções'!$D$36&amp;"."&amp;VLOOKUP(B562,'0. Instruções'!$C$27:$E$32,3,FALSE))</f>
        <v>BU_LOANTAPE_WORK.SIMUL_LT004</v>
      </c>
      <c r="F562" s="34" t="s">
        <v>1512</v>
      </c>
      <c r="G562" s="34"/>
      <c r="H562" s="34"/>
      <c r="I562" s="34" t="str">
        <f>"(SELECT "&amp;VLOOKUP(B562,'0. Instruções'!$C$27:$G$32,4,FALSE)&amp;", "&amp;F562&amp;" FROM "&amp;D562&amp;" WHERE "&amp;'0. Instruções'!$D$42&amp;")X"</f>
        <v>(SELECT prtctn_id, prtctn_prvdr_id FROM BU_LOANTAPE_WORK.LT004_PROTECTION WHERE ref_date='${ref_date}' AND nome_perimetro='Individual Local' AND segmento='ESTR' AND ambito='SRB_MBDT' AND entidade='00100')X</v>
      </c>
      <c r="J562" s="34" t="str">
        <f>"(SELECT "&amp;VLOOKUP(B562,'0. Instruções'!$C$27:$G$32,4,FALSE)&amp;" AS "&amp;VLOOKUP(B562,'0. Instruções'!$C$27:$G$32,4,FALSE)&amp;"_SIMUL, "&amp;F562&amp;" AS "&amp;F562&amp;"_SIMUL FROM "&amp;E562&amp;" WHERE "&amp;'0. Instruções'!$D$43&amp;")Y"</f>
        <v>(SELECT prtctn_id AS prtctn_id_SIMUL, prtctn_prvdr_id AS prtctn_prvdr_id_SIMUL FROM BU_LOANTAPE_WORK.SIMUL_LT004 WHERE ref_date='${ref_date}' AND nome_perimetro='Individual Local' AND segmento='ESTR' AND ambito='PILAR3' AND entidade='00100')Y</v>
      </c>
      <c r="K562" s="35" t="str">
        <f>+UPPER("ON X."&amp;VLOOKUP(B562,'0. Instruções'!$C$27:$G$32,4,FALSE)&amp;"=Y."&amp;VLOOKUP(B562,'0. Instruções'!$C$27:$G$32,4,FALSE)&amp;"_SIMUL")</f>
        <v>ON X.PRTCTN_ID=Y.PRTCTN_ID_SIMUL</v>
      </c>
      <c r="L562" s="35" t="str">
        <f>+IF(C562="Coerência", +IF(LEFT(G562,5)="FLOAT","SELECT '"&amp;UPPER(B562)&amp;"' AS TABELA, '"&amp;UPPER(C562)&amp;"' AS TIPOLOGIA_TESTE,'"&amp;D562&amp;"' AS TABELA_LT,'"&amp;E562&amp;"' AS TABELA_SIMUL,'"&amp;F562&amp;"' AS CAMPO, "&amp;"'${ref_date}' AS REF_DATE, COUNT(*) AS NUM_REG, SUM(IF((ABS(COALESCE(CAST(X."&amp;F562&amp;" AS DECIMAL(18,6)),0)-COALESCE(CAST(Y."&amp;F562&amp;"_SIMUL AS DECIMAL(18,6)),0))&gt;0.000001) OR (X."&amp;F562&amp;" IS NULL AND Y."&amp;F562&amp;"_SIMUL IS NOT NULL ) OR (X."&amp;F562&amp;" IS NOT NULL AND Y."&amp;F562&amp;"_SIMUL IS NULL),1,0)) AS NUM_REG_DIF,'"&amp;MAX('ID1&amp;5'!K:K)+1&amp;"' AS ID_EXEC, CURRENT_TIMESTAMP() AS TIME_EXEC FROM "&amp;I562&amp;" INNER JOIN "&amp;J562&amp;" "&amp;K562,"SELECT '"&amp;UPPER(B562)&amp;"' AS TABELA, '"&amp;UPPER(C562)&amp;"' AS TIPOLOGIA_TESTE,'"&amp;D562&amp;"' AS TABELA_LT,'"&amp;E562&amp;"' AS TABELA_SIMUL,'"&amp;F562&amp;"' AS CAMPO, "&amp;"'${ref_date}' AS REF_DATE, COUNT(*) AS NUM_REG, SUM(IF(COALESCE(CAST(X."&amp;F562&amp;" AS STRING),'')&lt;&gt;COALESCE(CAST(Y."&amp;F562&amp;"_SIMUL AS STRING),'') OR (X."&amp;F562&amp;" IS NULL AND Y."&amp;F562&amp;"_SIMUL IS NOT NULL ) OR (X."&amp;F562&amp;" IS NOT NULL AND Y."&amp;F562&amp;"_SIMUL IS NULL),1,0)) AS NUM_REG_DIF,'"&amp;MAX('ID1&amp;5'!L:L)+1&amp;"' AS ID_EXEC, CURRENT_TIMESTAMP() AS TIME_EXEC FROM "&amp;I562&amp;" INNER JOIN "&amp;J562&amp;" "&amp;K562),
IF(C562="Validade",+IF(G562="Code List","SELECT '"&amp;UPPER(B562)&amp;"' AS TABELA, '"&amp;UPPER(C562)&amp;"' AS TIPOLOGIA_TESTE,'"&amp;D562&amp;"' AS TABELA_LT,'N/A' AS TABELA_SIMUL,'"&amp;F562&amp;"' AS CAMPO, "&amp;"'${ref_date}' AS REF_DATE, COUNT(*) AS NUM_REG, SUM(IF(TRIM(CAST(X."&amp;F562&amp;" AS STRING))='' OR TRIM(CAST(X."&amp;F562&amp;" AS STRING)) IS NULL OR CAST(X."&amp;F562&amp;" AS STRING) NOT "&amp;H562&amp;",1,0)) AS NUM_REG_DIF,'"&amp;MAX('ID1&amp;5'!K:K)+1&amp;"' AS ID_EXEC, CURRENT_TIMESTAMP() AS TIME_EXEC FROM "&amp;I562,"SELECT '"&amp;UPPER(B562)&amp;"' AS TABELA, '"&amp;UPPER(C562)&amp;"' AS TIPOLOGIA_TESTE,'"&amp;D562&amp;"' AS TABELA_LT,'N/A' AS TABELA_SIMUL,'"&amp;F562&amp;"' AS CAMPO, "&amp;"'${ref_date}' AS REF_DATE, COUNT(*) AS NUM_REG, SUM(IF(TRIM(CAST(X."&amp;F562&amp;" AS STRING))='' OR TRIM(CAST(X."&amp;F562&amp;" AS STRING)) IS NULL,1,0)) AS NUM_REG_DIF,'"&amp;MAX('ID1&amp;5'!K:K)+1&amp;"' AS ID_EXEC, CURRENT_TIMESTAMP() AS TIME_EXEC FROM "&amp;I562),
IF(C562="Caracteres Especiais",+"SELECT '"&amp;UPPER(B562)&amp;"' AS TABELA, '"&amp;UPPER(C562)&amp;"' AS TIPOLOGIA_TESTE,'"&amp;D562&amp;"' AS TABELA_LT,'N/A' AS TABELA_SIMUL,'"&amp;F562&amp;"' AS CAMPO, "&amp;"'${ref_date}' AS REF_DATE, COUNT(*) AS NUM_REG, SUM(IF(REGEXP_REPLACE(TRIM(CAST(X."&amp;F562&amp;" AS STRING)),'[^a-zA-Z0-9_\\s]','') &lt;&gt;TRIM(CAST(X."&amp;F562&amp;" AS STRING)),1,0)) AS NUM_REG_DIF,'"&amp;MAX('ID1&amp;5'!K:K)+1&amp;"' AS ID_EXEC, CURRENT_TIMESTAMP() AS TIME_EXEC FROM "&amp;I562,
IF(C562="Missings",+"SELECT '"&amp;UPPER(B562)&amp;"' AS TABELA, '"&amp;UPPER(C562)&amp;"' AS TIPOLOGIA_TESTE,'"&amp;D562&amp;"' AS TABELA_LT,'N/A' AS TABELA_SIMUL,'"&amp;F562&amp;"' AS CAMPO, "&amp;"'${ref_date}' AS REF_DATE, COUNT(*) AS NUM_REG, SUM(IF(TRIM(CAST(X."&amp;F562&amp;" AS STRING)) IN ('0000-00-00','0001-01-01','9999-12-31','MISS','00000','99999999999','99999999999.00','99999999999.000000'),1,0)) AS NUM_REG_DIF,'"&amp;MAX('ID1&amp;5'!K:K)+1&amp;"' AS ID_EXEC, CURRENT_TIMESTAMP() AS TIME_EXEC FROM "&amp;I562,
IF(C562="Not applicable",+"SELECT '"&amp;UPPER(B562)&amp;"' AS TABELA, '"&amp;UPPER(C562)&amp;"' AS TIPOLOGIA_TESTE,'"&amp;D562&amp;"' AS TABELA_LT,'N/A' AS TABELA_SIMUL,'"&amp;F562&amp;"' AS CAMPO, "&amp;"'${ref_date}' AS REF_DATE, COUNT(*) AS NUM_REG, SUM(IF(TRIM(CAST(X."&amp;F562&amp;" AS STRING)) IN ('N/A','11111111111','11111111111.00','11111111111.000000','1111-11-11'),1,0)) AS NUM_REG_DIF,'"&amp;MAX('ID1&amp;5'!K:K)+1&amp;"' AS ID_EXEC, CURRENT_TIMESTAMP() AS TIME_EXEC FROM "&amp;I562,
IF(C562="Valores extremos",+"SELECT '"&amp;UPPER(B562)&amp;"' AS TABELA, '"&amp;UPPER(C562)&amp;"' AS TIPOLOGIA_TESTE,'"&amp;D562&amp;"' AS TABELA_LT,'N/A' AS TABELA_SIMUL,'"&amp;F562&amp;"' AS CAMPO, "&amp;"'${ref_date}' AS REF_DATE, CAST(MIN("&amp;F562&amp;") AS STRING) AS VALOR_MIN, CAST(MAX("&amp;F562&amp;") AS STRING) AS VALOR_MAX,'"&amp;MAX('ID1&amp;5'!K:K)+1&amp;"' AS ID_EXEC, CURRENT_TIMESTAMP() AS TIME_EXEC FROM "&amp;MID(I562,1,LEN(I562)-2)&amp;" AND CAST("&amp;F562&amp;"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TABELA_SIMUL,'prtctn_prvdr_id' AS CAMPO, '${ref_date}' AS REF_DATE, COUNT(*) AS NUM_REG, SUM(IF(COALESCE(CAST(X.prtctn_prvdr_id AS STRING),'')&lt;&gt;COALESCE(CAST(Y.prtctn_prvdr_id_SIMUL AS STRING),'') OR (X.prtctn_prvdr_id IS NULL AND Y.prtctn_prvdr_id_SIMUL IS NOT NULL ) OR (X.prtctn_prvdr_id IS NOT NULL AND Y.prtctn_prvdr_id_SIMUL IS NULL),1,0)) AS NUM_REG_DIF,'1' AS ID_EXEC, CURRENT_TIMESTAMP() AS TIME_EXEC FROM (SELECT prtctn_id, prtctn_prvdr_id FROM BU_LOANTAPE_WORK.LT004_PROTECTION WHERE ref_date='${ref_date}' AND nome_perimetro='Individual Local' AND segmento='ESTR' AND ambito='SRB_MBDT' AND entidade='00100')X INNER JOIN (SELECT prtctn_id AS prtctn_id_SIMUL, prtctn_prvdr_id AS prtctn_prvdr_id_SIMUL FROM BU_LOANTAPE_WORK.SIMUL_LT004 WHERE ref_date='${ref_date}' AND nome_perimetro='Individual Local' AND segmento='ESTR' AND ambito='PILAR3' AND entidade='00100')Y ON X.PRTCTN_ID=Y.PRTCTN_ID_SIMUL</v>
      </c>
      <c r="M562" s="36" t="str">
        <f t="shared" si="14"/>
        <v>UNION ALL SELECT 'PROTECTION' AS TABELA, 'COERÊNCIA' AS TIPOLOGIA_TESTE,'BU_LOANTAPE_WORK.LT004_PROTECTION' AS TABELA_LT,'BU_LOANTAPE_WORK.SIMUL_LT004' AS TABELA_SIMUL,'prtctn_prvdr_id' AS CAMPO, '${ref_date}' AS REF_DATE, COUNT(*) AS NUM_REG, SUM(IF(COALESCE(CAST(X.prtctn_prvdr_id AS STRING),'')&lt;&gt;COALESCE(CAST(Y.prtctn_prvdr_id_SIMUL AS STRING),'') OR (X.prtctn_prvdr_id IS NULL AND Y.prtctn_prvdr_id_SIMUL IS NOT NULL ) OR (X.prtctn_prvdr_id IS NOT NULL AND Y.prtctn_prvdr_id_SIMUL IS NULL),1,0)) AS NUM_REG_DIF,'1' AS ID_EXEC, CURRENT_TIMESTAMP() AS TIME_EXEC FROM (SELECT prtctn_id, prtctn_prvdr_id FROM BU_LOANTAPE_WORK.LT004_PROTECTION WHERE ref_date='${ref_date}' AND nome_perimetro='Individual Local' AND segmento='ESTR' AND ambito='SRB_MBDT' AND entidade='00100')X INNER JOIN (SELECT prtctn_id AS prtctn_id_SIMUL, prtctn_prvdr_id AS prtctn_prvdr_id_SIMUL FROM BU_LOANTAPE_WORK.SIMUL_LT004 WHERE ref_date='${ref_date}' AND nome_perimetro='Individual Local' AND segmento='ESTR' AND ambito='PILAR3' AND entidade='00100')Y ON X.PRTCTN_ID=Y.PRTCTN_ID_SIMUL</v>
      </c>
    </row>
    <row r="563" spans="2:13">
      <c r="B563" s="34" t="s">
        <v>119</v>
      </c>
      <c r="C563" s="34" t="s">
        <v>5</v>
      </c>
      <c r="D563" s="34" t="str">
        <f>+UPPER('0. Instruções'!$D$35&amp;"."&amp;VLOOKUP(B563,'0. Instruções'!$C$27:$D$32,2,FALSE))</f>
        <v>BU_LOANTAPE_WORK.LT004_PROTECTION</v>
      </c>
      <c r="E563" s="34" t="str">
        <f>+UPPER('0. Instruções'!$D$36&amp;"."&amp;VLOOKUP(B563,'0. Instruções'!$C$27:$E$32,3,FALSE))</f>
        <v>BU_LOANTAPE_WORK.SIMUL_LT004</v>
      </c>
      <c r="F563" s="34" t="s">
        <v>1513</v>
      </c>
      <c r="G563" s="34"/>
      <c r="H563" s="34"/>
      <c r="I563" s="34" t="str">
        <f>"(SELECT "&amp;VLOOKUP(B563,'0. Instruções'!$C$27:$G$32,4,FALSE)&amp;", "&amp;F563&amp;" FROM "&amp;D563&amp;" WHERE "&amp;'0. Instruções'!$D$42&amp;")X"</f>
        <v>(SELECT prtctn_id, rl_estt_addrss FROM BU_LOANTAPE_WORK.LT004_PROTECTION WHERE ref_date='${ref_date}' AND nome_perimetro='Individual Local' AND segmento='ESTR' AND ambito='SRB_MBDT' AND entidade='00100')X</v>
      </c>
      <c r="J563" s="34" t="str">
        <f>"(SELECT "&amp;VLOOKUP(B563,'0. Instruções'!$C$27:$G$32,4,FALSE)&amp;" AS "&amp;VLOOKUP(B563,'0. Instruções'!$C$27:$G$32,4,FALSE)&amp;"_SIMUL, "&amp;F563&amp;" AS "&amp;F563&amp;"_SIMUL FROM "&amp;E563&amp;" WHERE "&amp;'0. Instruções'!$D$43&amp;")Y"</f>
        <v>(SELECT prtctn_id AS prtctn_id_SIMUL, rl_estt_addrss AS rl_estt_addrss_SIMUL FROM BU_LOANTAPE_WORK.SIMUL_LT004 WHERE ref_date='${ref_date}' AND nome_perimetro='Individual Local' AND segmento='ESTR' AND ambito='PILAR3' AND entidade='00100')Y</v>
      </c>
      <c r="K563" s="35" t="str">
        <f>+UPPER("ON X."&amp;VLOOKUP(B563,'0. Instruções'!$C$27:$G$32,4,FALSE)&amp;"=Y."&amp;VLOOKUP(B563,'0. Instruções'!$C$27:$G$32,4,FALSE)&amp;"_SIMUL")</f>
        <v>ON X.PRTCTN_ID=Y.PRTCTN_ID_SIMUL</v>
      </c>
      <c r="L563" s="35" t="str">
        <f>+IF(C563="Coerência", +IF(LEFT(G563,5)="FLOAT","SELECT '"&amp;UPPER(B563)&amp;"' AS TABELA, '"&amp;UPPER(C563)&amp;"' AS TIPOLOGIA_TESTE,'"&amp;D563&amp;"' AS TABELA_LT,'"&amp;E563&amp;"' AS TABELA_SIMUL,'"&amp;F563&amp;"' AS CAMPO, "&amp;"'${ref_date}' AS REF_DATE, COUNT(*) AS NUM_REG, SUM(IF((ABS(COALESCE(CAST(X."&amp;F563&amp;" AS DECIMAL(18,6)),0)-COALESCE(CAST(Y."&amp;F563&amp;"_SIMUL AS DECIMAL(18,6)),0))&gt;0.000001) OR (X."&amp;F563&amp;" IS NULL AND Y."&amp;F563&amp;"_SIMUL IS NOT NULL ) OR (X."&amp;F563&amp;" IS NOT NULL AND Y."&amp;F563&amp;"_SIMUL IS NULL),1,0)) AS NUM_REG_DIF,'"&amp;MAX('ID1&amp;5'!K:K)+1&amp;"' AS ID_EXEC, CURRENT_TIMESTAMP() AS TIME_EXEC FROM "&amp;I563&amp;" INNER JOIN "&amp;J563&amp;" "&amp;K563,"SELECT '"&amp;UPPER(B563)&amp;"' AS TABELA, '"&amp;UPPER(C563)&amp;"' AS TIPOLOGIA_TESTE,'"&amp;D563&amp;"' AS TABELA_LT,'"&amp;E563&amp;"' AS TABELA_SIMUL,'"&amp;F563&amp;"' AS CAMPO, "&amp;"'${ref_date}' AS REF_DATE, COUNT(*) AS NUM_REG, SUM(IF(COALESCE(CAST(X."&amp;F563&amp;" AS STRING),'')&lt;&gt;COALESCE(CAST(Y."&amp;F563&amp;"_SIMUL AS STRING),'') OR (X."&amp;F563&amp;" IS NULL AND Y."&amp;F563&amp;"_SIMUL IS NOT NULL ) OR (X."&amp;F563&amp;" IS NOT NULL AND Y."&amp;F563&amp;"_SIMUL IS NULL),1,0)) AS NUM_REG_DIF,'"&amp;MAX('ID1&amp;5'!L:L)+1&amp;"' AS ID_EXEC, CURRENT_TIMESTAMP() AS TIME_EXEC FROM "&amp;I563&amp;" INNER JOIN "&amp;J563&amp;" "&amp;K563),
IF(C563="Validade",+IF(G563="Code List","SELECT '"&amp;UPPER(B563)&amp;"' AS TABELA, '"&amp;UPPER(C563)&amp;"' AS TIPOLOGIA_TESTE,'"&amp;D563&amp;"' AS TABELA_LT,'N/A' AS TABELA_SIMUL,'"&amp;F563&amp;"' AS CAMPO, "&amp;"'${ref_date}' AS REF_DATE, COUNT(*) AS NUM_REG, SUM(IF(TRIM(CAST(X."&amp;F563&amp;" AS STRING))='' OR TRIM(CAST(X."&amp;F563&amp;" AS STRING)) IS NULL OR CAST(X."&amp;F563&amp;" AS STRING) NOT "&amp;H563&amp;",1,0)) AS NUM_REG_DIF,'"&amp;MAX('ID1&amp;5'!K:K)+1&amp;"' AS ID_EXEC, CURRENT_TIMESTAMP() AS TIME_EXEC FROM "&amp;I563,"SELECT '"&amp;UPPER(B563)&amp;"' AS TABELA, '"&amp;UPPER(C563)&amp;"' AS TIPOLOGIA_TESTE,'"&amp;D563&amp;"' AS TABELA_LT,'N/A' AS TABELA_SIMUL,'"&amp;F563&amp;"' AS CAMPO, "&amp;"'${ref_date}' AS REF_DATE, COUNT(*) AS NUM_REG, SUM(IF(TRIM(CAST(X."&amp;F563&amp;" AS STRING))='' OR TRIM(CAST(X."&amp;F563&amp;" AS STRING)) IS NULL,1,0)) AS NUM_REG_DIF,'"&amp;MAX('ID1&amp;5'!K:K)+1&amp;"' AS ID_EXEC, CURRENT_TIMESTAMP() AS TIME_EXEC FROM "&amp;I563),
IF(C563="Caracteres Especiais",+"SELECT '"&amp;UPPER(B563)&amp;"' AS TABELA, '"&amp;UPPER(C563)&amp;"' AS TIPOLOGIA_TESTE,'"&amp;D563&amp;"' AS TABELA_LT,'N/A' AS TABELA_SIMUL,'"&amp;F563&amp;"' AS CAMPO, "&amp;"'${ref_date}' AS REF_DATE, COUNT(*) AS NUM_REG, SUM(IF(REGEXP_REPLACE(TRIM(CAST(X."&amp;F563&amp;" AS STRING)),'[^a-zA-Z0-9_\\s]','') &lt;&gt;TRIM(CAST(X."&amp;F563&amp;" AS STRING)),1,0)) AS NUM_REG_DIF,'"&amp;MAX('ID1&amp;5'!K:K)+1&amp;"' AS ID_EXEC, CURRENT_TIMESTAMP() AS TIME_EXEC FROM "&amp;I563,
IF(C563="Missings",+"SELECT '"&amp;UPPER(B563)&amp;"' AS TABELA, '"&amp;UPPER(C563)&amp;"' AS TIPOLOGIA_TESTE,'"&amp;D563&amp;"' AS TABELA_LT,'N/A' AS TABELA_SIMUL,'"&amp;F563&amp;"' AS CAMPO, "&amp;"'${ref_date}' AS REF_DATE, COUNT(*) AS NUM_REG, SUM(IF(TRIM(CAST(X."&amp;F563&amp;" AS STRING)) IN ('0000-00-00','0001-01-01','9999-12-31','MISS','00000','99999999999','99999999999.00','99999999999.000000'),1,0)) AS NUM_REG_DIF,'"&amp;MAX('ID1&amp;5'!K:K)+1&amp;"' AS ID_EXEC, CURRENT_TIMESTAMP() AS TIME_EXEC FROM "&amp;I563,
IF(C563="Not applicable",+"SELECT '"&amp;UPPER(B563)&amp;"' AS TABELA, '"&amp;UPPER(C563)&amp;"' AS TIPOLOGIA_TESTE,'"&amp;D563&amp;"' AS TABELA_LT,'N/A' AS TABELA_SIMUL,'"&amp;F563&amp;"' AS CAMPO, "&amp;"'${ref_date}' AS REF_DATE, COUNT(*) AS NUM_REG, SUM(IF(TRIM(CAST(X."&amp;F563&amp;" AS STRING)) IN ('N/A','11111111111','11111111111.00','11111111111.000000','1111-11-11'),1,0)) AS NUM_REG_DIF,'"&amp;MAX('ID1&amp;5'!K:K)+1&amp;"' AS ID_EXEC, CURRENT_TIMESTAMP() AS TIME_EXEC FROM "&amp;I563,
IF(C563="Valores extremos",+"SELECT '"&amp;UPPER(B563)&amp;"' AS TABELA, '"&amp;UPPER(C563)&amp;"' AS TIPOLOGIA_TESTE,'"&amp;D563&amp;"' AS TABELA_LT,'N/A' AS TABELA_SIMUL,'"&amp;F563&amp;"' AS CAMPO, "&amp;"'${ref_date}' AS REF_DATE, CAST(MIN("&amp;F563&amp;") AS STRING) AS VALOR_MIN, CAST(MAX("&amp;F563&amp;") AS STRING) AS VALOR_MAX,'"&amp;MAX('ID1&amp;5'!K:K)+1&amp;"' AS ID_EXEC, CURRENT_TIMESTAMP() AS TIME_EXEC FROM "&amp;MID(I563,1,LEN(I563)-2)&amp;" AND CAST("&amp;F563&amp;"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TABELA_SIMUL,'rl_estt_addrss' AS CAMPO, '${ref_date}' AS REF_DATE, COUNT(*) AS NUM_REG, SUM(IF(COALESCE(CAST(X.rl_estt_addrss AS STRING),'')&lt;&gt;COALESCE(CAST(Y.rl_estt_addrss_SIMUL AS STRING),'') OR (X.rl_estt_addrss IS NULL AND Y.rl_estt_addrss_SIMUL IS NOT NULL ) OR (X.rl_estt_addrss IS NOT NULL AND Y.rl_estt_addrss_SIMUL IS NULL),1,0)) AS NUM_REG_DIF,'1' AS ID_EXEC, CURRENT_TIMESTAMP() AS TIME_EXEC FROM (SELECT prtctn_id, rl_estt_addrss FROM BU_LOANTAPE_WORK.LT004_PROTECTION WHERE ref_date='${ref_date}' AND nome_perimetro='Individual Local' AND segmento='ESTR' AND ambito='SRB_MBDT' AND entidade='00100')X INNER JOIN (SELECT prtctn_id AS prtctn_id_SIMUL, rl_estt_addrss AS rl_estt_addrss_SIMUL FROM BU_LOANTAPE_WORK.SIMUL_LT004 WHERE ref_date='${ref_date}' AND nome_perimetro='Individual Local' AND segmento='ESTR' AND ambito='PILAR3' AND entidade='00100')Y ON X.PRTCTN_ID=Y.PRTCTN_ID_SIMUL</v>
      </c>
      <c r="M563" s="36" t="str">
        <f t="shared" si="14"/>
        <v>UNION ALL SELECT 'PROTECTION' AS TABELA, 'COERÊNCIA' AS TIPOLOGIA_TESTE,'BU_LOANTAPE_WORK.LT004_PROTECTION' AS TABELA_LT,'BU_LOANTAPE_WORK.SIMUL_LT004' AS TABELA_SIMUL,'rl_estt_addrss' AS CAMPO, '${ref_date}' AS REF_DATE, COUNT(*) AS NUM_REG, SUM(IF(COALESCE(CAST(X.rl_estt_addrss AS STRING),'')&lt;&gt;COALESCE(CAST(Y.rl_estt_addrss_SIMUL AS STRING),'') OR (X.rl_estt_addrss IS NULL AND Y.rl_estt_addrss_SIMUL IS NOT NULL ) OR (X.rl_estt_addrss IS NOT NULL AND Y.rl_estt_addrss_SIMUL IS NULL),1,0)) AS NUM_REG_DIF,'1' AS ID_EXEC, CURRENT_TIMESTAMP() AS TIME_EXEC FROM (SELECT prtctn_id, rl_estt_addrss FROM BU_LOANTAPE_WORK.LT004_PROTECTION WHERE ref_date='${ref_date}' AND nome_perimetro='Individual Local' AND segmento='ESTR' AND ambito='SRB_MBDT' AND entidade='00100')X INNER JOIN (SELECT prtctn_id AS prtctn_id_SIMUL, rl_estt_addrss AS rl_estt_addrss_SIMUL FROM BU_LOANTAPE_WORK.SIMUL_LT004 WHERE ref_date='${ref_date}' AND nome_perimetro='Individual Local' AND segmento='ESTR' AND ambito='PILAR3' AND entidade='00100')Y ON X.PRTCTN_ID=Y.PRTCTN_ID_SIMUL</v>
      </c>
    </row>
    <row r="564" spans="2:13">
      <c r="B564" s="34" t="s">
        <v>119</v>
      </c>
      <c r="C564" s="34" t="s">
        <v>5</v>
      </c>
      <c r="D564" s="34" t="str">
        <f>+UPPER('0. Instruções'!$D$35&amp;"."&amp;VLOOKUP(B564,'0. Instruções'!$C$27:$D$32,2,FALSE))</f>
        <v>BU_LOANTAPE_WORK.LT004_PROTECTION</v>
      </c>
      <c r="E564" s="34" t="str">
        <f>+UPPER('0. Instruções'!$D$36&amp;"."&amp;VLOOKUP(B564,'0. Instruções'!$C$27:$E$32,3,FALSE))</f>
        <v>BU_LOANTAPE_WORK.SIMUL_LT004</v>
      </c>
      <c r="F564" s="34" t="s">
        <v>670</v>
      </c>
      <c r="G564" s="34"/>
      <c r="H564" s="34"/>
      <c r="I564" s="34" t="str">
        <f>"(SELECT "&amp;VLOOKUP(B564,'0. Instruções'!$C$27:$G$32,4,FALSE)&amp;", "&amp;F564&amp;" FROM "&amp;D564&amp;" WHERE "&amp;'0. Instruções'!$D$42&amp;")X"</f>
        <v>(SELECT prtctn_id, rl_estt_clltrl_lctn FROM BU_LOANTAPE_WORK.LT004_PROTECTION WHERE ref_date='${ref_date}' AND nome_perimetro='Individual Local' AND segmento='ESTR' AND ambito='SRB_MBDT' AND entidade='00100')X</v>
      </c>
      <c r="J564" s="34" t="str">
        <f>"(SELECT "&amp;VLOOKUP(B564,'0. Instruções'!$C$27:$G$32,4,FALSE)&amp;" AS "&amp;VLOOKUP(B564,'0. Instruções'!$C$27:$G$32,4,FALSE)&amp;"_SIMUL, "&amp;F564&amp;" AS "&amp;F564&amp;"_SIMUL FROM "&amp;E564&amp;" WHERE "&amp;'0. Instruções'!$D$43&amp;")Y"</f>
        <v>(SELECT prtctn_id AS prtctn_id_SIMUL, rl_estt_clltrl_lctn AS rl_estt_clltrl_lctn_SIMUL FROM BU_LOANTAPE_WORK.SIMUL_LT004 WHERE ref_date='${ref_date}' AND nome_perimetro='Individual Local' AND segmento='ESTR' AND ambito='PILAR3' AND entidade='00100')Y</v>
      </c>
      <c r="K564" s="35" t="str">
        <f>+UPPER("ON X."&amp;VLOOKUP(B564,'0. Instruções'!$C$27:$G$32,4,FALSE)&amp;"=Y."&amp;VLOOKUP(B564,'0. Instruções'!$C$27:$G$32,4,FALSE)&amp;"_SIMUL")</f>
        <v>ON X.PRTCTN_ID=Y.PRTCTN_ID_SIMUL</v>
      </c>
      <c r="L564" s="35" t="str">
        <f>+IF(C564="Coerência", +IF(LEFT(G564,5)="FLOAT","SELECT '"&amp;UPPER(B564)&amp;"' AS TABELA, '"&amp;UPPER(C564)&amp;"' AS TIPOLOGIA_TESTE,'"&amp;D564&amp;"' AS TABELA_LT,'"&amp;E564&amp;"' AS TABELA_SIMUL,'"&amp;F564&amp;"' AS CAMPO, "&amp;"'${ref_date}' AS REF_DATE, COUNT(*) AS NUM_REG, SUM(IF((ABS(COALESCE(CAST(X."&amp;F564&amp;" AS DECIMAL(18,6)),0)-COALESCE(CAST(Y."&amp;F564&amp;"_SIMUL AS DECIMAL(18,6)),0))&gt;0.000001) OR (X."&amp;F564&amp;" IS NULL AND Y."&amp;F564&amp;"_SIMUL IS NOT NULL ) OR (X."&amp;F564&amp;" IS NOT NULL AND Y."&amp;F564&amp;"_SIMUL IS NULL),1,0)) AS NUM_REG_DIF,'"&amp;MAX('ID1&amp;5'!K:K)+1&amp;"' AS ID_EXEC, CURRENT_TIMESTAMP() AS TIME_EXEC FROM "&amp;I564&amp;" INNER JOIN "&amp;J564&amp;" "&amp;K564,"SELECT '"&amp;UPPER(B564)&amp;"' AS TABELA, '"&amp;UPPER(C564)&amp;"' AS TIPOLOGIA_TESTE,'"&amp;D564&amp;"' AS TABELA_LT,'"&amp;E564&amp;"' AS TABELA_SIMUL,'"&amp;F564&amp;"' AS CAMPO, "&amp;"'${ref_date}' AS REF_DATE, COUNT(*) AS NUM_REG, SUM(IF(COALESCE(CAST(X."&amp;F564&amp;" AS STRING),'')&lt;&gt;COALESCE(CAST(Y."&amp;F564&amp;"_SIMUL AS STRING),'') OR (X."&amp;F564&amp;" IS NULL AND Y."&amp;F564&amp;"_SIMUL IS NOT NULL ) OR (X."&amp;F564&amp;" IS NOT NULL AND Y."&amp;F564&amp;"_SIMUL IS NULL),1,0)) AS NUM_REG_DIF,'"&amp;MAX('ID1&amp;5'!L:L)+1&amp;"' AS ID_EXEC, CURRENT_TIMESTAMP() AS TIME_EXEC FROM "&amp;I564&amp;" INNER JOIN "&amp;J564&amp;" "&amp;K564),
IF(C564="Validade",+IF(G564="Code List","SELECT '"&amp;UPPER(B564)&amp;"' AS TABELA, '"&amp;UPPER(C564)&amp;"' AS TIPOLOGIA_TESTE,'"&amp;D564&amp;"' AS TABELA_LT,'N/A' AS TABELA_SIMUL,'"&amp;F564&amp;"' AS CAMPO, "&amp;"'${ref_date}' AS REF_DATE, COUNT(*) AS NUM_REG, SUM(IF(TRIM(CAST(X."&amp;F564&amp;" AS STRING))='' OR TRIM(CAST(X."&amp;F564&amp;" AS STRING)) IS NULL OR CAST(X."&amp;F564&amp;" AS STRING) NOT "&amp;H564&amp;",1,0)) AS NUM_REG_DIF,'"&amp;MAX('ID1&amp;5'!K:K)+1&amp;"' AS ID_EXEC, CURRENT_TIMESTAMP() AS TIME_EXEC FROM "&amp;I564,"SELECT '"&amp;UPPER(B564)&amp;"' AS TABELA, '"&amp;UPPER(C564)&amp;"' AS TIPOLOGIA_TESTE,'"&amp;D564&amp;"' AS TABELA_LT,'N/A' AS TABELA_SIMUL,'"&amp;F564&amp;"' AS CAMPO, "&amp;"'${ref_date}' AS REF_DATE, COUNT(*) AS NUM_REG, SUM(IF(TRIM(CAST(X."&amp;F564&amp;" AS STRING))='' OR TRIM(CAST(X."&amp;F564&amp;" AS STRING)) IS NULL,1,0)) AS NUM_REG_DIF,'"&amp;MAX('ID1&amp;5'!K:K)+1&amp;"' AS ID_EXEC, CURRENT_TIMESTAMP() AS TIME_EXEC FROM "&amp;I564),
IF(C564="Caracteres Especiais",+"SELECT '"&amp;UPPER(B564)&amp;"' AS TABELA, '"&amp;UPPER(C564)&amp;"' AS TIPOLOGIA_TESTE,'"&amp;D564&amp;"' AS TABELA_LT,'N/A' AS TABELA_SIMUL,'"&amp;F564&amp;"' AS CAMPO, "&amp;"'${ref_date}' AS REF_DATE, COUNT(*) AS NUM_REG, SUM(IF(REGEXP_REPLACE(TRIM(CAST(X."&amp;F564&amp;" AS STRING)),'[^a-zA-Z0-9_\\s]','') &lt;&gt;TRIM(CAST(X."&amp;F564&amp;" AS STRING)),1,0)) AS NUM_REG_DIF,'"&amp;MAX('ID1&amp;5'!K:K)+1&amp;"' AS ID_EXEC, CURRENT_TIMESTAMP() AS TIME_EXEC FROM "&amp;I564,
IF(C564="Missings",+"SELECT '"&amp;UPPER(B564)&amp;"' AS TABELA, '"&amp;UPPER(C564)&amp;"' AS TIPOLOGIA_TESTE,'"&amp;D564&amp;"' AS TABELA_LT,'N/A' AS TABELA_SIMUL,'"&amp;F564&amp;"' AS CAMPO, "&amp;"'${ref_date}' AS REF_DATE, COUNT(*) AS NUM_REG, SUM(IF(TRIM(CAST(X."&amp;F564&amp;" AS STRING)) IN ('0000-00-00','0001-01-01','9999-12-31','MISS','00000','99999999999','99999999999.00','99999999999.000000'),1,0)) AS NUM_REG_DIF,'"&amp;MAX('ID1&amp;5'!K:K)+1&amp;"' AS ID_EXEC, CURRENT_TIMESTAMP() AS TIME_EXEC FROM "&amp;I564,
IF(C564="Not applicable",+"SELECT '"&amp;UPPER(B564)&amp;"' AS TABELA, '"&amp;UPPER(C564)&amp;"' AS TIPOLOGIA_TESTE,'"&amp;D564&amp;"' AS TABELA_LT,'N/A' AS TABELA_SIMUL,'"&amp;F564&amp;"' AS CAMPO, "&amp;"'${ref_date}' AS REF_DATE, COUNT(*) AS NUM_REG, SUM(IF(TRIM(CAST(X."&amp;F564&amp;" AS STRING)) IN ('N/A','11111111111','11111111111.00','11111111111.000000','1111-11-11'),1,0)) AS NUM_REG_DIF,'"&amp;MAX('ID1&amp;5'!K:K)+1&amp;"' AS ID_EXEC, CURRENT_TIMESTAMP() AS TIME_EXEC FROM "&amp;I564,
IF(C564="Valores extremos",+"SELECT '"&amp;UPPER(B564)&amp;"' AS TABELA, '"&amp;UPPER(C564)&amp;"' AS TIPOLOGIA_TESTE,'"&amp;D564&amp;"' AS TABELA_LT,'N/A' AS TABELA_SIMUL,'"&amp;F564&amp;"' AS CAMPO, "&amp;"'${ref_date}' AS REF_DATE, CAST(MIN("&amp;F564&amp;") AS STRING) AS VALOR_MIN, CAST(MAX("&amp;F564&amp;") AS STRING) AS VALOR_MAX,'"&amp;MAX('ID1&amp;5'!K:K)+1&amp;"' AS ID_EXEC, CURRENT_TIMESTAMP() AS TIME_EXEC FROM "&amp;MID(I564,1,LEN(I564)-2)&amp;" AND CAST("&amp;F564&amp;"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TABELA_SIMUL,'rl_estt_clltrl_lctn' AS CAMPO, '${ref_date}' AS REF_DATE, COUNT(*) AS NUM_REG, SUM(IF(COALESCE(CAST(X.rl_estt_clltrl_lctn AS STRING),'')&lt;&gt;COALESCE(CAST(Y.rl_estt_clltrl_lctn_SIMUL AS STRING),'') OR (X.rl_estt_clltrl_lctn IS NULL AND Y.rl_estt_clltrl_lctn_SIMUL IS NOT NULL ) OR (X.rl_estt_clltrl_lctn IS NOT NULL AND Y.rl_estt_clltrl_lctn_SIMUL IS NULL),1,0)) AS NUM_REG_DIF,'1' AS ID_EXEC, CURRENT_TIMESTAMP() AS TIME_EXEC FROM (SELECT prtctn_id, rl_estt_clltrl_lctn FROM BU_LOANTAPE_WORK.LT004_PROTECTION WHERE ref_date='${ref_date}' AND nome_perimetro='Individual Local' AND segmento='ESTR' AND ambito='SRB_MBDT' AND entidade='00100')X INNER JOIN (SELECT prtctn_id AS prtctn_id_SIMUL, rl_estt_clltrl_lctn AS rl_estt_clltrl_lctn_SIMUL FROM BU_LOANTAPE_WORK.SIMUL_LT004 WHERE ref_date='${ref_date}' AND nome_perimetro='Individual Local' AND segmento='ESTR' AND ambito='PILAR3' AND entidade='00100')Y ON X.PRTCTN_ID=Y.PRTCTN_ID_SIMUL</v>
      </c>
      <c r="M564" s="36" t="str">
        <f t="shared" si="14"/>
        <v>UNION ALL SELECT 'PROTECTION' AS TABELA, 'COERÊNCIA' AS TIPOLOGIA_TESTE,'BU_LOANTAPE_WORK.LT004_PROTECTION' AS TABELA_LT,'BU_LOANTAPE_WORK.SIMUL_LT004' AS TABELA_SIMUL,'rl_estt_clltrl_lctn' AS CAMPO, '${ref_date}' AS REF_DATE, COUNT(*) AS NUM_REG, SUM(IF(COALESCE(CAST(X.rl_estt_clltrl_lctn AS STRING),'')&lt;&gt;COALESCE(CAST(Y.rl_estt_clltrl_lctn_SIMUL AS STRING),'') OR (X.rl_estt_clltrl_lctn IS NULL AND Y.rl_estt_clltrl_lctn_SIMUL IS NOT NULL ) OR (X.rl_estt_clltrl_lctn IS NOT NULL AND Y.rl_estt_clltrl_lctn_SIMUL IS NULL),1,0)) AS NUM_REG_DIF,'1' AS ID_EXEC, CURRENT_TIMESTAMP() AS TIME_EXEC FROM (SELECT prtctn_id, rl_estt_clltrl_lctn FROM BU_LOANTAPE_WORK.LT004_PROTECTION WHERE ref_date='${ref_date}' AND nome_perimetro='Individual Local' AND segmento='ESTR' AND ambito='SRB_MBDT' AND entidade='00100')X INNER JOIN (SELECT prtctn_id AS prtctn_id_SIMUL, rl_estt_clltrl_lctn AS rl_estt_clltrl_lctn_SIMUL FROM BU_LOANTAPE_WORK.SIMUL_LT004 WHERE ref_date='${ref_date}' AND nome_perimetro='Individual Local' AND segmento='ESTR' AND ambito='PILAR3' AND entidade='00100')Y ON X.PRTCTN_ID=Y.PRTCTN_ID_SIMUL</v>
      </c>
    </row>
    <row r="565" spans="2:13">
      <c r="B565" s="34" t="s">
        <v>119</v>
      </c>
      <c r="C565" s="34" t="s">
        <v>5</v>
      </c>
      <c r="D565" s="34" t="str">
        <f>+UPPER('0. Instruções'!$D$35&amp;"."&amp;VLOOKUP(B565,'0. Instruções'!$C$27:$D$32,2,FALSE))</f>
        <v>BU_LOANTAPE_WORK.LT004_PROTECTION</v>
      </c>
      <c r="E565" s="34" t="str">
        <f>+UPPER('0. Instruções'!$D$36&amp;"."&amp;VLOOKUP(B565,'0. Instruções'!$C$27:$E$32,3,FALSE))</f>
        <v>BU_LOANTAPE_WORK.SIMUL_LT004</v>
      </c>
      <c r="F565" s="34" t="s">
        <v>1514</v>
      </c>
      <c r="G565" s="34"/>
      <c r="H565" s="34"/>
      <c r="I565" s="34" t="str">
        <f>"(SELECT "&amp;VLOOKUP(B565,'0. Instruções'!$C$27:$G$32,4,FALSE)&amp;", "&amp;F565&amp;" FROM "&amp;D565&amp;" WHERE "&amp;'0. Instruções'!$D$42&amp;")X"</f>
        <v>(SELECT prtctn_id, rl_estt_clltrl_lctn_int FROM BU_LOANTAPE_WORK.LT004_PROTECTION WHERE ref_date='${ref_date}' AND nome_perimetro='Individual Local' AND segmento='ESTR' AND ambito='SRB_MBDT' AND entidade='00100')X</v>
      </c>
      <c r="J565" s="34" t="str">
        <f>"(SELECT "&amp;VLOOKUP(B565,'0. Instruções'!$C$27:$G$32,4,FALSE)&amp;" AS "&amp;VLOOKUP(B565,'0. Instruções'!$C$27:$G$32,4,FALSE)&amp;"_SIMUL, "&amp;F565&amp;" AS "&amp;F565&amp;"_SIMUL FROM "&amp;E565&amp;" WHERE "&amp;'0. Instruções'!$D$43&amp;")Y"</f>
        <v>(SELECT prtctn_id AS prtctn_id_SIMUL, rl_estt_clltrl_lctn_int AS rl_estt_clltrl_lctn_int_SIMUL FROM BU_LOANTAPE_WORK.SIMUL_LT004 WHERE ref_date='${ref_date}' AND nome_perimetro='Individual Local' AND segmento='ESTR' AND ambito='PILAR3' AND entidade='00100')Y</v>
      </c>
      <c r="K565" s="35" t="str">
        <f>+UPPER("ON X."&amp;VLOOKUP(B565,'0. Instruções'!$C$27:$G$32,4,FALSE)&amp;"=Y."&amp;VLOOKUP(B565,'0. Instruções'!$C$27:$G$32,4,FALSE)&amp;"_SIMUL")</f>
        <v>ON X.PRTCTN_ID=Y.PRTCTN_ID_SIMUL</v>
      </c>
      <c r="L565" s="35" t="str">
        <f>+IF(C565="Coerência", +IF(LEFT(G565,5)="FLOAT","SELECT '"&amp;UPPER(B565)&amp;"' AS TABELA, '"&amp;UPPER(C565)&amp;"' AS TIPOLOGIA_TESTE,'"&amp;D565&amp;"' AS TABELA_LT,'"&amp;E565&amp;"' AS TABELA_SIMUL,'"&amp;F565&amp;"' AS CAMPO, "&amp;"'${ref_date}' AS REF_DATE, COUNT(*) AS NUM_REG, SUM(IF((ABS(COALESCE(CAST(X."&amp;F565&amp;" AS DECIMAL(18,6)),0)-COALESCE(CAST(Y."&amp;F565&amp;"_SIMUL AS DECIMAL(18,6)),0))&gt;0.000001) OR (X."&amp;F565&amp;" IS NULL AND Y."&amp;F565&amp;"_SIMUL IS NOT NULL ) OR (X."&amp;F565&amp;" IS NOT NULL AND Y."&amp;F565&amp;"_SIMUL IS NULL),1,0)) AS NUM_REG_DIF,'"&amp;MAX('ID1&amp;5'!K:K)+1&amp;"' AS ID_EXEC, CURRENT_TIMESTAMP() AS TIME_EXEC FROM "&amp;I565&amp;" INNER JOIN "&amp;J565&amp;" "&amp;K565,"SELECT '"&amp;UPPER(B565)&amp;"' AS TABELA, '"&amp;UPPER(C565)&amp;"' AS TIPOLOGIA_TESTE,'"&amp;D565&amp;"' AS TABELA_LT,'"&amp;E565&amp;"' AS TABELA_SIMUL,'"&amp;F565&amp;"' AS CAMPO, "&amp;"'${ref_date}' AS REF_DATE, COUNT(*) AS NUM_REG, SUM(IF(COALESCE(CAST(X."&amp;F565&amp;" AS STRING),'')&lt;&gt;COALESCE(CAST(Y."&amp;F565&amp;"_SIMUL AS STRING),'') OR (X."&amp;F565&amp;" IS NULL AND Y."&amp;F565&amp;"_SIMUL IS NOT NULL ) OR (X."&amp;F565&amp;" IS NOT NULL AND Y."&amp;F565&amp;"_SIMUL IS NULL),1,0)) AS NUM_REG_DIF,'"&amp;MAX('ID1&amp;5'!L:L)+1&amp;"' AS ID_EXEC, CURRENT_TIMESTAMP() AS TIME_EXEC FROM "&amp;I565&amp;" INNER JOIN "&amp;J565&amp;" "&amp;K565),
IF(C565="Validade",+IF(G565="Code List","SELECT '"&amp;UPPER(B565)&amp;"' AS TABELA, '"&amp;UPPER(C565)&amp;"' AS TIPOLOGIA_TESTE,'"&amp;D565&amp;"' AS TABELA_LT,'N/A' AS TABELA_SIMUL,'"&amp;F565&amp;"' AS CAMPO, "&amp;"'${ref_date}' AS REF_DATE, COUNT(*) AS NUM_REG, SUM(IF(TRIM(CAST(X."&amp;F565&amp;" AS STRING))='' OR TRIM(CAST(X."&amp;F565&amp;" AS STRING)) IS NULL OR CAST(X."&amp;F565&amp;" AS STRING) NOT "&amp;H565&amp;",1,0)) AS NUM_REG_DIF,'"&amp;MAX('ID1&amp;5'!K:K)+1&amp;"' AS ID_EXEC, CURRENT_TIMESTAMP() AS TIME_EXEC FROM "&amp;I565,"SELECT '"&amp;UPPER(B565)&amp;"' AS TABELA, '"&amp;UPPER(C565)&amp;"' AS TIPOLOGIA_TESTE,'"&amp;D565&amp;"' AS TABELA_LT,'N/A' AS TABELA_SIMUL,'"&amp;F565&amp;"' AS CAMPO, "&amp;"'${ref_date}' AS REF_DATE, COUNT(*) AS NUM_REG, SUM(IF(TRIM(CAST(X."&amp;F565&amp;" AS STRING))='' OR TRIM(CAST(X."&amp;F565&amp;" AS STRING)) IS NULL,1,0)) AS NUM_REG_DIF,'"&amp;MAX('ID1&amp;5'!K:K)+1&amp;"' AS ID_EXEC, CURRENT_TIMESTAMP() AS TIME_EXEC FROM "&amp;I565),
IF(C565="Caracteres Especiais",+"SELECT '"&amp;UPPER(B565)&amp;"' AS TABELA, '"&amp;UPPER(C565)&amp;"' AS TIPOLOGIA_TESTE,'"&amp;D565&amp;"' AS TABELA_LT,'N/A' AS TABELA_SIMUL,'"&amp;F565&amp;"' AS CAMPO, "&amp;"'${ref_date}' AS REF_DATE, COUNT(*) AS NUM_REG, SUM(IF(REGEXP_REPLACE(TRIM(CAST(X."&amp;F565&amp;" AS STRING)),'[^a-zA-Z0-9_\\s]','') &lt;&gt;TRIM(CAST(X."&amp;F565&amp;" AS STRING)),1,0)) AS NUM_REG_DIF,'"&amp;MAX('ID1&amp;5'!K:K)+1&amp;"' AS ID_EXEC, CURRENT_TIMESTAMP() AS TIME_EXEC FROM "&amp;I565,
IF(C565="Missings",+"SELECT '"&amp;UPPER(B565)&amp;"' AS TABELA, '"&amp;UPPER(C565)&amp;"' AS TIPOLOGIA_TESTE,'"&amp;D565&amp;"' AS TABELA_LT,'N/A' AS TABELA_SIMUL,'"&amp;F565&amp;"' AS CAMPO, "&amp;"'${ref_date}' AS REF_DATE, COUNT(*) AS NUM_REG, SUM(IF(TRIM(CAST(X."&amp;F565&amp;" AS STRING)) IN ('0000-00-00','0001-01-01','9999-12-31','MISS','00000','99999999999','99999999999.00','99999999999.000000'),1,0)) AS NUM_REG_DIF,'"&amp;MAX('ID1&amp;5'!K:K)+1&amp;"' AS ID_EXEC, CURRENT_TIMESTAMP() AS TIME_EXEC FROM "&amp;I565,
IF(C565="Not applicable",+"SELECT '"&amp;UPPER(B565)&amp;"' AS TABELA, '"&amp;UPPER(C565)&amp;"' AS TIPOLOGIA_TESTE,'"&amp;D565&amp;"' AS TABELA_LT,'N/A' AS TABELA_SIMUL,'"&amp;F565&amp;"' AS CAMPO, "&amp;"'${ref_date}' AS REF_DATE, COUNT(*) AS NUM_REG, SUM(IF(TRIM(CAST(X."&amp;F565&amp;" AS STRING)) IN ('N/A','11111111111','11111111111.00','11111111111.000000','1111-11-11'),1,0)) AS NUM_REG_DIF,'"&amp;MAX('ID1&amp;5'!K:K)+1&amp;"' AS ID_EXEC, CURRENT_TIMESTAMP() AS TIME_EXEC FROM "&amp;I565,
IF(C565="Valores extremos",+"SELECT '"&amp;UPPER(B565)&amp;"' AS TABELA, '"&amp;UPPER(C565)&amp;"' AS TIPOLOGIA_TESTE,'"&amp;D565&amp;"' AS TABELA_LT,'N/A' AS TABELA_SIMUL,'"&amp;F565&amp;"' AS CAMPO, "&amp;"'${ref_date}' AS REF_DATE, CAST(MIN("&amp;F565&amp;") AS STRING) AS VALOR_MIN, CAST(MAX("&amp;F565&amp;") AS STRING) AS VALOR_MAX,'"&amp;MAX('ID1&amp;5'!K:K)+1&amp;"' AS ID_EXEC, CURRENT_TIMESTAMP() AS TIME_EXEC FROM "&amp;MID(I565,1,LEN(I565)-2)&amp;" AND CAST("&amp;F565&amp;"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TABELA_SIMUL,'rl_estt_clltrl_lctn_int' AS CAMPO, '${ref_date}' AS REF_DATE, COUNT(*) AS NUM_REG, SUM(IF(COALESCE(CAST(X.rl_estt_clltrl_lctn_int AS STRING),'')&lt;&gt;COALESCE(CAST(Y.rl_estt_clltrl_lctn_int_SIMUL AS STRING),'') OR (X.rl_estt_clltrl_lctn_int IS NULL AND Y.rl_estt_clltrl_lctn_int_SIMUL IS NOT NULL ) OR (X.rl_estt_clltrl_lctn_int IS NOT NULL AND Y.rl_estt_clltrl_lctn_int_SIMUL IS NULL),1,0)) AS NUM_REG_DIF,'1' AS ID_EXEC, CURRENT_TIMESTAMP() AS TIME_EXEC FROM (SELECT prtctn_id, rl_estt_clltrl_lctn_int FROM BU_LOANTAPE_WORK.LT004_PROTECTION WHERE ref_date='${ref_date}' AND nome_perimetro='Individual Local' AND segmento='ESTR' AND ambito='SRB_MBDT' AND entidade='00100')X INNER JOIN (SELECT prtctn_id AS prtctn_id_SIMUL, rl_estt_clltrl_lctn_int AS rl_estt_clltrl_lctn_int_SIMUL FROM BU_LOANTAPE_WORK.SIMUL_LT004 WHERE ref_date='${ref_date}' AND nome_perimetro='Individual Local' AND segmento='ESTR' AND ambito='PILAR3' AND entidade='00100')Y ON X.PRTCTN_ID=Y.PRTCTN_ID_SIMUL</v>
      </c>
      <c r="M565" s="36" t="str">
        <f t="shared" si="14"/>
        <v>UNION ALL SELECT 'PROTECTION' AS TABELA, 'COERÊNCIA' AS TIPOLOGIA_TESTE,'BU_LOANTAPE_WORK.LT004_PROTECTION' AS TABELA_LT,'BU_LOANTAPE_WORK.SIMUL_LT004' AS TABELA_SIMUL,'rl_estt_clltrl_lctn_int' AS CAMPO, '${ref_date}' AS REF_DATE, COUNT(*) AS NUM_REG, SUM(IF(COALESCE(CAST(X.rl_estt_clltrl_lctn_int AS STRING),'')&lt;&gt;COALESCE(CAST(Y.rl_estt_clltrl_lctn_int_SIMUL AS STRING),'') OR (X.rl_estt_clltrl_lctn_int IS NULL AND Y.rl_estt_clltrl_lctn_int_SIMUL IS NOT NULL ) OR (X.rl_estt_clltrl_lctn_int IS NOT NULL AND Y.rl_estt_clltrl_lctn_int_SIMUL IS NULL),1,0)) AS NUM_REG_DIF,'1' AS ID_EXEC, CURRENT_TIMESTAMP() AS TIME_EXEC FROM (SELECT prtctn_id, rl_estt_clltrl_lctn_int FROM BU_LOANTAPE_WORK.LT004_PROTECTION WHERE ref_date='${ref_date}' AND nome_perimetro='Individual Local' AND segmento='ESTR' AND ambito='SRB_MBDT' AND entidade='00100')X INNER JOIN (SELECT prtctn_id AS prtctn_id_SIMUL, rl_estt_clltrl_lctn_int AS rl_estt_clltrl_lctn_int_SIMUL FROM BU_LOANTAPE_WORK.SIMUL_LT004 WHERE ref_date='${ref_date}' AND nome_perimetro='Individual Local' AND segmento='ESTR' AND ambito='PILAR3' AND entidade='00100')Y ON X.PRTCTN_ID=Y.PRTCTN_ID_SIMUL</v>
      </c>
    </row>
    <row r="566" spans="2:13">
      <c r="B566" s="34" t="s">
        <v>119</v>
      </c>
      <c r="C566" s="34" t="s">
        <v>5</v>
      </c>
      <c r="D566" s="34" t="str">
        <f>+UPPER('0. Instruções'!$D$35&amp;"."&amp;VLOOKUP(B566,'0. Instruções'!$C$27:$D$32,2,FALSE))</f>
        <v>BU_LOANTAPE_WORK.LT004_PROTECTION</v>
      </c>
      <c r="E566" s="34" t="str">
        <f>+UPPER('0. Instruções'!$D$36&amp;"."&amp;VLOOKUP(B566,'0. Instruções'!$C$27:$E$32,3,FALSE))</f>
        <v>BU_LOANTAPE_WORK.SIMUL_LT004</v>
      </c>
      <c r="F566" s="34" t="s">
        <v>1515</v>
      </c>
      <c r="G566" s="34"/>
      <c r="H566" s="34"/>
      <c r="I566" s="34" t="str">
        <f>"(SELECT "&amp;VLOOKUP(B566,'0. Instruções'!$C$27:$G$32,4,FALSE)&amp;", "&amp;F566&amp;" FROM "&amp;D566&amp;" WHERE "&amp;'0. Instruções'!$D$42&amp;")X"</f>
        <v>(SELECT prtctn_id, rl_estt_cty FROM BU_LOANTAPE_WORK.LT004_PROTECTION WHERE ref_date='${ref_date}' AND nome_perimetro='Individual Local' AND segmento='ESTR' AND ambito='SRB_MBDT' AND entidade='00100')X</v>
      </c>
      <c r="J566" s="34" t="str">
        <f>"(SELECT "&amp;VLOOKUP(B566,'0. Instruções'!$C$27:$G$32,4,FALSE)&amp;" AS "&amp;VLOOKUP(B566,'0. Instruções'!$C$27:$G$32,4,FALSE)&amp;"_SIMUL, "&amp;F566&amp;" AS "&amp;F566&amp;"_SIMUL FROM "&amp;E566&amp;" WHERE "&amp;'0. Instruções'!$D$43&amp;")Y"</f>
        <v>(SELECT prtctn_id AS prtctn_id_SIMUL, rl_estt_cty AS rl_estt_cty_SIMUL FROM BU_LOANTAPE_WORK.SIMUL_LT004 WHERE ref_date='${ref_date}' AND nome_perimetro='Individual Local' AND segmento='ESTR' AND ambito='PILAR3' AND entidade='00100')Y</v>
      </c>
      <c r="K566" s="35" t="str">
        <f>+UPPER("ON X."&amp;VLOOKUP(B566,'0. Instruções'!$C$27:$G$32,4,FALSE)&amp;"=Y."&amp;VLOOKUP(B566,'0. Instruções'!$C$27:$G$32,4,FALSE)&amp;"_SIMUL")</f>
        <v>ON X.PRTCTN_ID=Y.PRTCTN_ID_SIMUL</v>
      </c>
      <c r="L566" s="35" t="str">
        <f>+IF(C566="Coerência", +IF(LEFT(G566,5)="FLOAT","SELECT '"&amp;UPPER(B566)&amp;"' AS TABELA, '"&amp;UPPER(C566)&amp;"' AS TIPOLOGIA_TESTE,'"&amp;D566&amp;"' AS TABELA_LT,'"&amp;E566&amp;"' AS TABELA_SIMUL,'"&amp;F566&amp;"' AS CAMPO, "&amp;"'${ref_date}' AS REF_DATE, COUNT(*) AS NUM_REG, SUM(IF((ABS(COALESCE(CAST(X."&amp;F566&amp;" AS DECIMAL(18,6)),0)-COALESCE(CAST(Y."&amp;F566&amp;"_SIMUL AS DECIMAL(18,6)),0))&gt;0.000001) OR (X."&amp;F566&amp;" IS NULL AND Y."&amp;F566&amp;"_SIMUL IS NOT NULL ) OR (X."&amp;F566&amp;" IS NOT NULL AND Y."&amp;F566&amp;"_SIMUL IS NULL),1,0)) AS NUM_REG_DIF,'"&amp;MAX('ID1&amp;5'!K:K)+1&amp;"' AS ID_EXEC, CURRENT_TIMESTAMP() AS TIME_EXEC FROM "&amp;I566&amp;" INNER JOIN "&amp;J566&amp;" "&amp;K566,"SELECT '"&amp;UPPER(B566)&amp;"' AS TABELA, '"&amp;UPPER(C566)&amp;"' AS TIPOLOGIA_TESTE,'"&amp;D566&amp;"' AS TABELA_LT,'"&amp;E566&amp;"' AS TABELA_SIMUL,'"&amp;F566&amp;"' AS CAMPO, "&amp;"'${ref_date}' AS REF_DATE, COUNT(*) AS NUM_REG, SUM(IF(COALESCE(CAST(X."&amp;F566&amp;" AS STRING),'')&lt;&gt;COALESCE(CAST(Y."&amp;F566&amp;"_SIMUL AS STRING),'') OR (X."&amp;F566&amp;" IS NULL AND Y."&amp;F566&amp;"_SIMUL IS NOT NULL ) OR (X."&amp;F566&amp;" IS NOT NULL AND Y."&amp;F566&amp;"_SIMUL IS NULL),1,0)) AS NUM_REG_DIF,'"&amp;MAX('ID1&amp;5'!L:L)+1&amp;"' AS ID_EXEC, CURRENT_TIMESTAMP() AS TIME_EXEC FROM "&amp;I566&amp;" INNER JOIN "&amp;J566&amp;" "&amp;K566),
IF(C566="Validade",+IF(G566="Code List","SELECT '"&amp;UPPER(B566)&amp;"' AS TABELA, '"&amp;UPPER(C566)&amp;"' AS TIPOLOGIA_TESTE,'"&amp;D566&amp;"' AS TABELA_LT,'N/A' AS TABELA_SIMUL,'"&amp;F566&amp;"' AS CAMPO, "&amp;"'${ref_date}' AS REF_DATE, COUNT(*) AS NUM_REG, SUM(IF(TRIM(CAST(X."&amp;F566&amp;" AS STRING))='' OR TRIM(CAST(X."&amp;F566&amp;" AS STRING)) IS NULL OR CAST(X."&amp;F566&amp;" AS STRING) NOT "&amp;H566&amp;",1,0)) AS NUM_REG_DIF,'"&amp;MAX('ID1&amp;5'!K:K)+1&amp;"' AS ID_EXEC, CURRENT_TIMESTAMP() AS TIME_EXEC FROM "&amp;I566,"SELECT '"&amp;UPPER(B566)&amp;"' AS TABELA, '"&amp;UPPER(C566)&amp;"' AS TIPOLOGIA_TESTE,'"&amp;D566&amp;"' AS TABELA_LT,'N/A' AS TABELA_SIMUL,'"&amp;F566&amp;"' AS CAMPO, "&amp;"'${ref_date}' AS REF_DATE, COUNT(*) AS NUM_REG, SUM(IF(TRIM(CAST(X."&amp;F566&amp;" AS STRING))='' OR TRIM(CAST(X."&amp;F566&amp;" AS STRING)) IS NULL,1,0)) AS NUM_REG_DIF,'"&amp;MAX('ID1&amp;5'!K:K)+1&amp;"' AS ID_EXEC, CURRENT_TIMESTAMP() AS TIME_EXEC FROM "&amp;I566),
IF(C566="Caracteres Especiais",+"SELECT '"&amp;UPPER(B566)&amp;"' AS TABELA, '"&amp;UPPER(C566)&amp;"' AS TIPOLOGIA_TESTE,'"&amp;D566&amp;"' AS TABELA_LT,'N/A' AS TABELA_SIMUL,'"&amp;F566&amp;"' AS CAMPO, "&amp;"'${ref_date}' AS REF_DATE, COUNT(*) AS NUM_REG, SUM(IF(REGEXP_REPLACE(TRIM(CAST(X."&amp;F566&amp;" AS STRING)),'[^a-zA-Z0-9_\\s]','') &lt;&gt;TRIM(CAST(X."&amp;F566&amp;" AS STRING)),1,0)) AS NUM_REG_DIF,'"&amp;MAX('ID1&amp;5'!K:K)+1&amp;"' AS ID_EXEC, CURRENT_TIMESTAMP() AS TIME_EXEC FROM "&amp;I566,
IF(C566="Missings",+"SELECT '"&amp;UPPER(B566)&amp;"' AS TABELA, '"&amp;UPPER(C566)&amp;"' AS TIPOLOGIA_TESTE,'"&amp;D566&amp;"' AS TABELA_LT,'N/A' AS TABELA_SIMUL,'"&amp;F566&amp;"' AS CAMPO, "&amp;"'${ref_date}' AS REF_DATE, COUNT(*) AS NUM_REG, SUM(IF(TRIM(CAST(X."&amp;F566&amp;" AS STRING)) IN ('0000-00-00','0001-01-01','9999-12-31','MISS','00000','99999999999','99999999999.00','99999999999.000000'),1,0)) AS NUM_REG_DIF,'"&amp;MAX('ID1&amp;5'!K:K)+1&amp;"' AS ID_EXEC, CURRENT_TIMESTAMP() AS TIME_EXEC FROM "&amp;I566,
IF(C566="Not applicable",+"SELECT '"&amp;UPPER(B566)&amp;"' AS TABELA, '"&amp;UPPER(C566)&amp;"' AS TIPOLOGIA_TESTE,'"&amp;D566&amp;"' AS TABELA_LT,'N/A' AS TABELA_SIMUL,'"&amp;F566&amp;"' AS CAMPO, "&amp;"'${ref_date}' AS REF_DATE, COUNT(*) AS NUM_REG, SUM(IF(TRIM(CAST(X."&amp;F566&amp;" AS STRING)) IN ('N/A','11111111111','11111111111.00','11111111111.000000','1111-11-11'),1,0)) AS NUM_REG_DIF,'"&amp;MAX('ID1&amp;5'!K:K)+1&amp;"' AS ID_EXEC, CURRENT_TIMESTAMP() AS TIME_EXEC FROM "&amp;I566,
IF(C566="Valores extremos",+"SELECT '"&amp;UPPER(B566)&amp;"' AS TABELA, '"&amp;UPPER(C566)&amp;"' AS TIPOLOGIA_TESTE,'"&amp;D566&amp;"' AS TABELA_LT,'N/A' AS TABELA_SIMUL,'"&amp;F566&amp;"' AS CAMPO, "&amp;"'${ref_date}' AS REF_DATE, CAST(MIN("&amp;F566&amp;") AS STRING) AS VALOR_MIN, CAST(MAX("&amp;F566&amp;") AS STRING) AS VALOR_MAX,'"&amp;MAX('ID1&amp;5'!K:K)+1&amp;"' AS ID_EXEC, CURRENT_TIMESTAMP() AS TIME_EXEC FROM "&amp;MID(I566,1,LEN(I566)-2)&amp;" AND CAST("&amp;F566&amp;"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TABELA_SIMUL,'rl_estt_cty' AS CAMPO, '${ref_date}' AS REF_DATE, COUNT(*) AS NUM_REG, SUM(IF(COALESCE(CAST(X.rl_estt_cty AS STRING),'')&lt;&gt;COALESCE(CAST(Y.rl_estt_cty_SIMUL AS STRING),'') OR (X.rl_estt_cty IS NULL AND Y.rl_estt_cty_SIMUL IS NOT NULL ) OR (X.rl_estt_cty IS NOT NULL AND Y.rl_estt_cty_SIMUL IS NULL),1,0)) AS NUM_REG_DIF,'1' AS ID_EXEC, CURRENT_TIMESTAMP() AS TIME_EXEC FROM (SELECT prtctn_id, rl_estt_cty FROM BU_LOANTAPE_WORK.LT004_PROTECTION WHERE ref_date='${ref_date}' AND nome_perimetro='Individual Local' AND segmento='ESTR' AND ambito='SRB_MBDT' AND entidade='00100')X INNER JOIN (SELECT prtctn_id AS prtctn_id_SIMUL, rl_estt_cty AS rl_estt_cty_SIMUL FROM BU_LOANTAPE_WORK.SIMUL_LT004 WHERE ref_date='${ref_date}' AND nome_perimetro='Individual Local' AND segmento='ESTR' AND ambito='PILAR3' AND entidade='00100')Y ON X.PRTCTN_ID=Y.PRTCTN_ID_SIMUL</v>
      </c>
      <c r="M566" s="36" t="str">
        <f t="shared" si="14"/>
        <v>UNION ALL SELECT 'PROTECTION' AS TABELA, 'COERÊNCIA' AS TIPOLOGIA_TESTE,'BU_LOANTAPE_WORK.LT004_PROTECTION' AS TABELA_LT,'BU_LOANTAPE_WORK.SIMUL_LT004' AS TABELA_SIMUL,'rl_estt_cty' AS CAMPO, '${ref_date}' AS REF_DATE, COUNT(*) AS NUM_REG, SUM(IF(COALESCE(CAST(X.rl_estt_cty AS STRING),'')&lt;&gt;COALESCE(CAST(Y.rl_estt_cty_SIMUL AS STRING),'') OR (X.rl_estt_cty IS NULL AND Y.rl_estt_cty_SIMUL IS NOT NULL ) OR (X.rl_estt_cty IS NOT NULL AND Y.rl_estt_cty_SIMUL IS NULL),1,0)) AS NUM_REG_DIF,'1' AS ID_EXEC, CURRENT_TIMESTAMP() AS TIME_EXEC FROM (SELECT prtctn_id, rl_estt_cty FROM BU_LOANTAPE_WORK.LT004_PROTECTION WHERE ref_date='${ref_date}' AND nome_perimetro='Individual Local' AND segmento='ESTR' AND ambito='SRB_MBDT' AND entidade='00100')X INNER JOIN (SELECT prtctn_id AS prtctn_id_SIMUL, rl_estt_cty AS rl_estt_cty_SIMUL FROM BU_LOANTAPE_WORK.SIMUL_LT004 WHERE ref_date='${ref_date}' AND nome_perimetro='Individual Local' AND segmento='ESTR' AND ambito='PILAR3' AND entidade='00100')Y ON X.PRTCTN_ID=Y.PRTCTN_ID_SIMUL</v>
      </c>
    </row>
    <row r="567" spans="2:13">
      <c r="B567" s="34" t="s">
        <v>119</v>
      </c>
      <c r="C567" s="34" t="s">
        <v>5</v>
      </c>
      <c r="D567" s="34" t="str">
        <f>+UPPER('0. Instruções'!$D$35&amp;"."&amp;VLOOKUP(B567,'0. Instruções'!$C$27:$D$32,2,FALSE))</f>
        <v>BU_LOANTAPE_WORK.LT004_PROTECTION</v>
      </c>
      <c r="E567" s="34" t="str">
        <f>+UPPER('0. Instruções'!$D$36&amp;"."&amp;VLOOKUP(B567,'0. Instruções'!$C$27:$E$32,3,FALSE))</f>
        <v>BU_LOANTAPE_WORK.SIMUL_LT004</v>
      </c>
      <c r="F567" s="34" t="s">
        <v>671</v>
      </c>
      <c r="G567" s="34"/>
      <c r="H567" s="34"/>
      <c r="I567" s="34" t="str">
        <f>"(SELECT "&amp;VLOOKUP(B567,'0. Instruções'!$C$27:$G$32,4,FALSE)&amp;", "&amp;F567&amp;" FROM "&amp;D567&amp;" WHERE "&amp;'0. Instruções'!$D$42&amp;")X"</f>
        <v>(SELECT prtctn_id, rl_estt_pst_cd FROM BU_LOANTAPE_WORK.LT004_PROTECTION WHERE ref_date='${ref_date}' AND nome_perimetro='Individual Local' AND segmento='ESTR' AND ambito='SRB_MBDT' AND entidade='00100')X</v>
      </c>
      <c r="J567" s="34" t="str">
        <f>"(SELECT "&amp;VLOOKUP(B567,'0. Instruções'!$C$27:$G$32,4,FALSE)&amp;" AS "&amp;VLOOKUP(B567,'0. Instruções'!$C$27:$G$32,4,FALSE)&amp;"_SIMUL, "&amp;F567&amp;" AS "&amp;F567&amp;"_SIMUL FROM "&amp;E567&amp;" WHERE "&amp;'0. Instruções'!$D$43&amp;")Y"</f>
        <v>(SELECT prtctn_id AS prtctn_id_SIMUL, rl_estt_pst_cd AS rl_estt_pst_cd_SIMUL FROM BU_LOANTAPE_WORK.SIMUL_LT004 WHERE ref_date='${ref_date}' AND nome_perimetro='Individual Local' AND segmento='ESTR' AND ambito='PILAR3' AND entidade='00100')Y</v>
      </c>
      <c r="K567" s="35" t="str">
        <f>+UPPER("ON X."&amp;VLOOKUP(B567,'0. Instruções'!$C$27:$G$32,4,FALSE)&amp;"=Y."&amp;VLOOKUP(B567,'0. Instruções'!$C$27:$G$32,4,FALSE)&amp;"_SIMUL")</f>
        <v>ON X.PRTCTN_ID=Y.PRTCTN_ID_SIMUL</v>
      </c>
      <c r="L567" s="35" t="str">
        <f>+IF(C567="Coerência", +IF(LEFT(G567,5)="FLOAT","SELECT '"&amp;UPPER(B567)&amp;"' AS TABELA, '"&amp;UPPER(C567)&amp;"' AS TIPOLOGIA_TESTE,'"&amp;D567&amp;"' AS TABELA_LT,'"&amp;E567&amp;"' AS TABELA_SIMUL,'"&amp;F567&amp;"' AS CAMPO, "&amp;"'${ref_date}' AS REF_DATE, COUNT(*) AS NUM_REG, SUM(IF((ABS(COALESCE(CAST(X."&amp;F567&amp;" AS DECIMAL(18,6)),0)-COALESCE(CAST(Y."&amp;F567&amp;"_SIMUL AS DECIMAL(18,6)),0))&gt;0.000001) OR (X."&amp;F567&amp;" IS NULL AND Y."&amp;F567&amp;"_SIMUL IS NOT NULL ) OR (X."&amp;F567&amp;" IS NOT NULL AND Y."&amp;F567&amp;"_SIMUL IS NULL),1,0)) AS NUM_REG_DIF,'"&amp;MAX('ID1&amp;5'!K:K)+1&amp;"' AS ID_EXEC, CURRENT_TIMESTAMP() AS TIME_EXEC FROM "&amp;I567&amp;" INNER JOIN "&amp;J567&amp;" "&amp;K567,"SELECT '"&amp;UPPER(B567)&amp;"' AS TABELA, '"&amp;UPPER(C567)&amp;"' AS TIPOLOGIA_TESTE,'"&amp;D567&amp;"' AS TABELA_LT,'"&amp;E567&amp;"' AS TABELA_SIMUL,'"&amp;F567&amp;"' AS CAMPO, "&amp;"'${ref_date}' AS REF_DATE, COUNT(*) AS NUM_REG, SUM(IF(COALESCE(CAST(X."&amp;F567&amp;" AS STRING),'')&lt;&gt;COALESCE(CAST(Y."&amp;F567&amp;"_SIMUL AS STRING),'') OR (X."&amp;F567&amp;" IS NULL AND Y."&amp;F567&amp;"_SIMUL IS NOT NULL ) OR (X."&amp;F567&amp;" IS NOT NULL AND Y."&amp;F567&amp;"_SIMUL IS NULL),1,0)) AS NUM_REG_DIF,'"&amp;MAX('ID1&amp;5'!L:L)+1&amp;"' AS ID_EXEC, CURRENT_TIMESTAMP() AS TIME_EXEC FROM "&amp;I567&amp;" INNER JOIN "&amp;J567&amp;" "&amp;K567),
IF(C567="Validade",+IF(G567="Code List","SELECT '"&amp;UPPER(B567)&amp;"' AS TABELA, '"&amp;UPPER(C567)&amp;"' AS TIPOLOGIA_TESTE,'"&amp;D567&amp;"' AS TABELA_LT,'N/A' AS TABELA_SIMUL,'"&amp;F567&amp;"' AS CAMPO, "&amp;"'${ref_date}' AS REF_DATE, COUNT(*) AS NUM_REG, SUM(IF(TRIM(CAST(X."&amp;F567&amp;" AS STRING))='' OR TRIM(CAST(X."&amp;F567&amp;" AS STRING)) IS NULL OR CAST(X."&amp;F567&amp;" AS STRING) NOT "&amp;H567&amp;",1,0)) AS NUM_REG_DIF,'"&amp;MAX('ID1&amp;5'!K:K)+1&amp;"' AS ID_EXEC, CURRENT_TIMESTAMP() AS TIME_EXEC FROM "&amp;I567,"SELECT '"&amp;UPPER(B567)&amp;"' AS TABELA, '"&amp;UPPER(C567)&amp;"' AS TIPOLOGIA_TESTE,'"&amp;D567&amp;"' AS TABELA_LT,'N/A' AS TABELA_SIMUL,'"&amp;F567&amp;"' AS CAMPO, "&amp;"'${ref_date}' AS REF_DATE, COUNT(*) AS NUM_REG, SUM(IF(TRIM(CAST(X."&amp;F567&amp;" AS STRING))='' OR TRIM(CAST(X."&amp;F567&amp;" AS STRING)) IS NULL,1,0)) AS NUM_REG_DIF,'"&amp;MAX('ID1&amp;5'!K:K)+1&amp;"' AS ID_EXEC, CURRENT_TIMESTAMP() AS TIME_EXEC FROM "&amp;I567),
IF(C567="Caracteres Especiais",+"SELECT '"&amp;UPPER(B567)&amp;"' AS TABELA, '"&amp;UPPER(C567)&amp;"' AS TIPOLOGIA_TESTE,'"&amp;D567&amp;"' AS TABELA_LT,'N/A' AS TABELA_SIMUL,'"&amp;F567&amp;"' AS CAMPO, "&amp;"'${ref_date}' AS REF_DATE, COUNT(*) AS NUM_REG, SUM(IF(REGEXP_REPLACE(TRIM(CAST(X."&amp;F567&amp;" AS STRING)),'[^a-zA-Z0-9_\\s]','') &lt;&gt;TRIM(CAST(X."&amp;F567&amp;" AS STRING)),1,0)) AS NUM_REG_DIF,'"&amp;MAX('ID1&amp;5'!K:K)+1&amp;"' AS ID_EXEC, CURRENT_TIMESTAMP() AS TIME_EXEC FROM "&amp;I567,
IF(C567="Missings",+"SELECT '"&amp;UPPER(B567)&amp;"' AS TABELA, '"&amp;UPPER(C567)&amp;"' AS TIPOLOGIA_TESTE,'"&amp;D567&amp;"' AS TABELA_LT,'N/A' AS TABELA_SIMUL,'"&amp;F567&amp;"' AS CAMPO, "&amp;"'${ref_date}' AS REF_DATE, COUNT(*) AS NUM_REG, SUM(IF(TRIM(CAST(X."&amp;F567&amp;" AS STRING)) IN ('0000-00-00','0001-01-01','9999-12-31','MISS','00000','99999999999','99999999999.00','99999999999.000000'),1,0)) AS NUM_REG_DIF,'"&amp;MAX('ID1&amp;5'!K:K)+1&amp;"' AS ID_EXEC, CURRENT_TIMESTAMP() AS TIME_EXEC FROM "&amp;I567,
IF(C567="Not applicable",+"SELECT '"&amp;UPPER(B567)&amp;"' AS TABELA, '"&amp;UPPER(C567)&amp;"' AS TIPOLOGIA_TESTE,'"&amp;D567&amp;"' AS TABELA_LT,'N/A' AS TABELA_SIMUL,'"&amp;F567&amp;"' AS CAMPO, "&amp;"'${ref_date}' AS REF_DATE, COUNT(*) AS NUM_REG, SUM(IF(TRIM(CAST(X."&amp;F567&amp;" AS STRING)) IN ('N/A','11111111111','11111111111.00','11111111111.000000','1111-11-11'),1,0)) AS NUM_REG_DIF,'"&amp;MAX('ID1&amp;5'!K:K)+1&amp;"' AS ID_EXEC, CURRENT_TIMESTAMP() AS TIME_EXEC FROM "&amp;I567,
IF(C567="Valores extremos",+"SELECT '"&amp;UPPER(B567)&amp;"' AS TABELA, '"&amp;UPPER(C567)&amp;"' AS TIPOLOGIA_TESTE,'"&amp;D567&amp;"' AS TABELA_LT,'N/A' AS TABELA_SIMUL,'"&amp;F567&amp;"' AS CAMPO, "&amp;"'${ref_date}' AS REF_DATE, CAST(MIN("&amp;F567&amp;") AS STRING) AS VALOR_MIN, CAST(MAX("&amp;F567&amp;") AS STRING) AS VALOR_MAX,'"&amp;MAX('ID1&amp;5'!K:K)+1&amp;"' AS ID_EXEC, CURRENT_TIMESTAMP() AS TIME_EXEC FROM "&amp;MID(I567,1,LEN(I567)-2)&amp;" AND CAST("&amp;F567&amp;"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TABELA_SIMUL,'rl_estt_pst_cd' AS CAMPO, '${ref_date}' AS REF_DATE, COUNT(*) AS NUM_REG, SUM(IF(COALESCE(CAST(X.rl_estt_pst_cd AS STRING),'')&lt;&gt;COALESCE(CAST(Y.rl_estt_pst_cd_SIMUL AS STRING),'') OR (X.rl_estt_pst_cd IS NULL AND Y.rl_estt_pst_cd_SIMUL IS NOT NULL ) OR (X.rl_estt_pst_cd IS NOT NULL AND Y.rl_estt_pst_cd_SIMUL IS NULL),1,0)) AS NUM_REG_DIF,'1' AS ID_EXEC, CURRENT_TIMESTAMP() AS TIME_EXEC FROM (SELECT prtctn_id, rl_estt_pst_cd FROM BU_LOANTAPE_WORK.LT004_PROTECTION WHERE ref_date='${ref_date}' AND nome_perimetro='Individual Local' AND segmento='ESTR' AND ambito='SRB_MBDT' AND entidade='00100')X INNER JOIN (SELECT prtctn_id AS prtctn_id_SIMUL, rl_estt_pst_cd AS rl_estt_pst_cd_SIMUL FROM BU_LOANTAPE_WORK.SIMUL_LT004 WHERE ref_date='${ref_date}' AND nome_perimetro='Individual Local' AND segmento='ESTR' AND ambito='PILAR3' AND entidade='00100')Y ON X.PRTCTN_ID=Y.PRTCTN_ID_SIMUL</v>
      </c>
      <c r="M567" s="36" t="str">
        <f t="shared" si="14"/>
        <v>UNION ALL SELECT 'PROTECTION' AS TABELA, 'COERÊNCIA' AS TIPOLOGIA_TESTE,'BU_LOANTAPE_WORK.LT004_PROTECTION' AS TABELA_LT,'BU_LOANTAPE_WORK.SIMUL_LT004' AS TABELA_SIMUL,'rl_estt_pst_cd' AS CAMPO, '${ref_date}' AS REF_DATE, COUNT(*) AS NUM_REG, SUM(IF(COALESCE(CAST(X.rl_estt_pst_cd AS STRING),'')&lt;&gt;COALESCE(CAST(Y.rl_estt_pst_cd_SIMUL AS STRING),'') OR (X.rl_estt_pst_cd IS NULL AND Y.rl_estt_pst_cd_SIMUL IS NOT NULL ) OR (X.rl_estt_pst_cd IS NOT NULL AND Y.rl_estt_pst_cd_SIMUL IS NULL),1,0)) AS NUM_REG_DIF,'1' AS ID_EXEC, CURRENT_TIMESTAMP() AS TIME_EXEC FROM (SELECT prtctn_id, rl_estt_pst_cd FROM BU_LOANTAPE_WORK.LT004_PROTECTION WHERE ref_date='${ref_date}' AND nome_perimetro='Individual Local' AND segmento='ESTR' AND ambito='SRB_MBDT' AND entidade='00100')X INNER JOIN (SELECT prtctn_id AS prtctn_id_SIMUL, rl_estt_pst_cd AS rl_estt_pst_cd_SIMUL FROM BU_LOANTAPE_WORK.SIMUL_LT004 WHERE ref_date='${ref_date}' AND nome_perimetro='Individual Local' AND segmento='ESTR' AND ambito='PILAR3' AND entidade='00100')Y ON X.PRTCTN_ID=Y.PRTCTN_ID_SIMUL</v>
      </c>
    </row>
    <row r="568" spans="2:13">
      <c r="B568" s="34" t="s">
        <v>119</v>
      </c>
      <c r="C568" s="34" t="s">
        <v>5</v>
      </c>
      <c r="D568" s="34" t="str">
        <f>+UPPER('0. Instruções'!$D$35&amp;"."&amp;VLOOKUP(B568,'0. Instruções'!$C$27:$D$32,2,FALSE))</f>
        <v>BU_LOANTAPE_WORK.LT004_PROTECTION</v>
      </c>
      <c r="E568" s="34" t="str">
        <f>+UPPER('0. Instruções'!$D$36&amp;"."&amp;VLOOKUP(B568,'0. Instruções'!$C$27:$E$32,3,FALSE))</f>
        <v>BU_LOANTAPE_WORK.SIMUL_LT004</v>
      </c>
      <c r="F568" s="34" t="s">
        <v>1516</v>
      </c>
      <c r="G568" s="34"/>
      <c r="H568" s="34"/>
      <c r="I568" s="34" t="str">
        <f>"(SELECT "&amp;VLOOKUP(B568,'0. Instruções'!$C$27:$G$32,4,FALSE)&amp;", "&amp;F568&amp;" FROM "&amp;D568&amp;" WHERE "&amp;'0. Instruções'!$D$42&amp;")X"</f>
        <v>(SELECT prtctn_id, hrct_mv FROM BU_LOANTAPE_WORK.LT004_PROTECTION WHERE ref_date='${ref_date}' AND nome_perimetro='Individual Local' AND segmento='ESTR' AND ambito='SRB_MBDT' AND entidade='00100')X</v>
      </c>
      <c r="J568" s="34" t="str">
        <f>"(SELECT "&amp;VLOOKUP(B568,'0. Instruções'!$C$27:$G$32,4,FALSE)&amp;" AS "&amp;VLOOKUP(B568,'0. Instruções'!$C$27:$G$32,4,FALSE)&amp;"_SIMUL, "&amp;F568&amp;" AS "&amp;F568&amp;"_SIMUL FROM "&amp;E568&amp;" WHERE "&amp;'0. Instruções'!$D$43&amp;")Y"</f>
        <v>(SELECT prtctn_id AS prtctn_id_SIMUL, hrct_mv AS hrct_mv_SIMUL FROM BU_LOANTAPE_WORK.SIMUL_LT004 WHERE ref_date='${ref_date}' AND nome_perimetro='Individual Local' AND segmento='ESTR' AND ambito='PILAR3' AND entidade='00100')Y</v>
      </c>
      <c r="K568" s="35" t="str">
        <f>+UPPER("ON X."&amp;VLOOKUP(B568,'0. Instruções'!$C$27:$G$32,4,FALSE)&amp;"=Y."&amp;VLOOKUP(B568,'0. Instruções'!$C$27:$G$32,4,FALSE)&amp;"_SIMUL")</f>
        <v>ON X.PRTCTN_ID=Y.PRTCTN_ID_SIMUL</v>
      </c>
      <c r="L568" s="35" t="str">
        <f>+IF(C568="Coerência", +IF(LEFT(G568,5)="FLOAT","SELECT '"&amp;UPPER(B568)&amp;"' AS TABELA, '"&amp;UPPER(C568)&amp;"' AS TIPOLOGIA_TESTE,'"&amp;D568&amp;"' AS TABELA_LT,'"&amp;E568&amp;"' AS TABELA_SIMUL,'"&amp;F568&amp;"' AS CAMPO, "&amp;"'${ref_date}' AS REF_DATE, COUNT(*) AS NUM_REG, SUM(IF((ABS(COALESCE(CAST(X."&amp;F568&amp;" AS DECIMAL(18,6)),0)-COALESCE(CAST(Y."&amp;F568&amp;"_SIMUL AS DECIMAL(18,6)),0))&gt;0.000001) OR (X."&amp;F568&amp;" IS NULL AND Y."&amp;F568&amp;"_SIMUL IS NOT NULL ) OR (X."&amp;F568&amp;" IS NOT NULL AND Y."&amp;F568&amp;"_SIMUL IS NULL),1,0)) AS NUM_REG_DIF,'"&amp;MAX('ID1&amp;5'!K:K)+1&amp;"' AS ID_EXEC, CURRENT_TIMESTAMP() AS TIME_EXEC FROM "&amp;I568&amp;" INNER JOIN "&amp;J568&amp;" "&amp;K568,"SELECT '"&amp;UPPER(B568)&amp;"' AS TABELA, '"&amp;UPPER(C568)&amp;"' AS TIPOLOGIA_TESTE,'"&amp;D568&amp;"' AS TABELA_LT,'"&amp;E568&amp;"' AS TABELA_SIMUL,'"&amp;F568&amp;"' AS CAMPO, "&amp;"'${ref_date}' AS REF_DATE, COUNT(*) AS NUM_REG, SUM(IF(COALESCE(CAST(X."&amp;F568&amp;" AS STRING),'')&lt;&gt;COALESCE(CAST(Y."&amp;F568&amp;"_SIMUL AS STRING),'') OR (X."&amp;F568&amp;" IS NULL AND Y."&amp;F568&amp;"_SIMUL IS NOT NULL ) OR (X."&amp;F568&amp;" IS NOT NULL AND Y."&amp;F568&amp;"_SIMUL IS NULL),1,0)) AS NUM_REG_DIF,'"&amp;MAX('ID1&amp;5'!L:L)+1&amp;"' AS ID_EXEC, CURRENT_TIMESTAMP() AS TIME_EXEC FROM "&amp;I568&amp;" INNER JOIN "&amp;J568&amp;" "&amp;K568),
IF(C568="Validade",+IF(G568="Code List","SELECT '"&amp;UPPER(B568)&amp;"' AS TABELA, '"&amp;UPPER(C568)&amp;"' AS TIPOLOGIA_TESTE,'"&amp;D568&amp;"' AS TABELA_LT,'N/A' AS TABELA_SIMUL,'"&amp;F568&amp;"' AS CAMPO, "&amp;"'${ref_date}' AS REF_DATE, COUNT(*) AS NUM_REG, SUM(IF(TRIM(CAST(X."&amp;F568&amp;" AS STRING))='' OR TRIM(CAST(X."&amp;F568&amp;" AS STRING)) IS NULL OR CAST(X."&amp;F568&amp;" AS STRING) NOT "&amp;H568&amp;",1,0)) AS NUM_REG_DIF,'"&amp;MAX('ID1&amp;5'!K:K)+1&amp;"' AS ID_EXEC, CURRENT_TIMESTAMP() AS TIME_EXEC FROM "&amp;I568,"SELECT '"&amp;UPPER(B568)&amp;"' AS TABELA, '"&amp;UPPER(C568)&amp;"' AS TIPOLOGIA_TESTE,'"&amp;D568&amp;"' AS TABELA_LT,'N/A' AS TABELA_SIMUL,'"&amp;F568&amp;"' AS CAMPO, "&amp;"'${ref_date}' AS REF_DATE, COUNT(*) AS NUM_REG, SUM(IF(TRIM(CAST(X."&amp;F568&amp;" AS STRING))='' OR TRIM(CAST(X."&amp;F568&amp;" AS STRING)) IS NULL,1,0)) AS NUM_REG_DIF,'"&amp;MAX('ID1&amp;5'!K:K)+1&amp;"' AS ID_EXEC, CURRENT_TIMESTAMP() AS TIME_EXEC FROM "&amp;I568),
IF(C568="Caracteres Especiais",+"SELECT '"&amp;UPPER(B568)&amp;"' AS TABELA, '"&amp;UPPER(C568)&amp;"' AS TIPOLOGIA_TESTE,'"&amp;D568&amp;"' AS TABELA_LT,'N/A' AS TABELA_SIMUL,'"&amp;F568&amp;"' AS CAMPO, "&amp;"'${ref_date}' AS REF_DATE, COUNT(*) AS NUM_REG, SUM(IF(REGEXP_REPLACE(TRIM(CAST(X."&amp;F568&amp;" AS STRING)),'[^a-zA-Z0-9_\\s]','') &lt;&gt;TRIM(CAST(X."&amp;F568&amp;" AS STRING)),1,0)) AS NUM_REG_DIF,'"&amp;MAX('ID1&amp;5'!K:K)+1&amp;"' AS ID_EXEC, CURRENT_TIMESTAMP() AS TIME_EXEC FROM "&amp;I568,
IF(C568="Missings",+"SELECT '"&amp;UPPER(B568)&amp;"' AS TABELA, '"&amp;UPPER(C568)&amp;"' AS TIPOLOGIA_TESTE,'"&amp;D568&amp;"' AS TABELA_LT,'N/A' AS TABELA_SIMUL,'"&amp;F568&amp;"' AS CAMPO, "&amp;"'${ref_date}' AS REF_DATE, COUNT(*) AS NUM_REG, SUM(IF(TRIM(CAST(X."&amp;F568&amp;" AS STRING)) IN ('0000-00-00','0001-01-01','9999-12-31','MISS','00000','99999999999','99999999999.00','99999999999.000000'),1,0)) AS NUM_REG_DIF,'"&amp;MAX('ID1&amp;5'!K:K)+1&amp;"' AS ID_EXEC, CURRENT_TIMESTAMP() AS TIME_EXEC FROM "&amp;I568,
IF(C568="Not applicable",+"SELECT '"&amp;UPPER(B568)&amp;"' AS TABELA, '"&amp;UPPER(C568)&amp;"' AS TIPOLOGIA_TESTE,'"&amp;D568&amp;"' AS TABELA_LT,'N/A' AS TABELA_SIMUL,'"&amp;F568&amp;"' AS CAMPO, "&amp;"'${ref_date}' AS REF_DATE, COUNT(*) AS NUM_REG, SUM(IF(TRIM(CAST(X."&amp;F568&amp;" AS STRING)) IN ('N/A','11111111111','11111111111.00','11111111111.000000','1111-11-11'),1,0)) AS NUM_REG_DIF,'"&amp;MAX('ID1&amp;5'!K:K)+1&amp;"' AS ID_EXEC, CURRENT_TIMESTAMP() AS TIME_EXEC FROM "&amp;I568,
IF(C568="Valores extremos",+"SELECT '"&amp;UPPER(B568)&amp;"' AS TABELA, '"&amp;UPPER(C568)&amp;"' AS TIPOLOGIA_TESTE,'"&amp;D568&amp;"' AS TABELA_LT,'N/A' AS TABELA_SIMUL,'"&amp;F568&amp;"' AS CAMPO, "&amp;"'${ref_date}' AS REF_DATE, CAST(MIN("&amp;F568&amp;") AS STRING) AS VALOR_MIN, CAST(MAX("&amp;F568&amp;") AS STRING) AS VALOR_MAX,'"&amp;MAX('ID1&amp;5'!K:K)+1&amp;"' AS ID_EXEC, CURRENT_TIMESTAMP() AS TIME_EXEC FROM "&amp;MID(I568,1,LEN(I568)-2)&amp;" AND CAST("&amp;F568&amp;"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TABELA_SIMUL,'hrct_mv' AS CAMPO, '${ref_date}' AS REF_DATE, COUNT(*) AS NUM_REG, SUM(IF(COALESCE(CAST(X.hrct_mv AS STRING),'')&lt;&gt;COALESCE(CAST(Y.hrct_mv_SIMUL AS STRING),'') OR (X.hrct_mv IS NULL AND Y.hrct_mv_SIMUL IS NOT NULL ) OR (X.hrct_mv IS NOT NULL AND Y.hrct_mv_SIMUL IS NULL),1,0)) AS NUM_REG_DIF,'1' AS ID_EXEC, CURRENT_TIMESTAMP() AS TIME_EXEC FROM (SELECT prtctn_id, hrct_mv FROM BU_LOANTAPE_WORK.LT004_PROTECTION WHERE ref_date='${ref_date}' AND nome_perimetro='Individual Local' AND segmento='ESTR' AND ambito='SRB_MBDT' AND entidade='00100')X INNER JOIN (SELECT prtctn_id AS prtctn_id_SIMUL, hrct_mv AS hrct_mv_SIMUL FROM BU_LOANTAPE_WORK.SIMUL_LT004 WHERE ref_date='${ref_date}' AND nome_perimetro='Individual Local' AND segmento='ESTR' AND ambito='PILAR3' AND entidade='00100')Y ON X.PRTCTN_ID=Y.PRTCTN_ID_SIMUL</v>
      </c>
      <c r="M568" s="36" t="str">
        <f t="shared" si="14"/>
        <v>UNION ALL SELECT 'PROTECTION' AS TABELA, 'COERÊNCIA' AS TIPOLOGIA_TESTE,'BU_LOANTAPE_WORK.LT004_PROTECTION' AS TABELA_LT,'BU_LOANTAPE_WORK.SIMUL_LT004' AS TABELA_SIMUL,'hrct_mv' AS CAMPO, '${ref_date}' AS REF_DATE, COUNT(*) AS NUM_REG, SUM(IF(COALESCE(CAST(X.hrct_mv AS STRING),'')&lt;&gt;COALESCE(CAST(Y.hrct_mv_SIMUL AS STRING),'') OR (X.hrct_mv IS NULL AND Y.hrct_mv_SIMUL IS NOT NULL ) OR (X.hrct_mv IS NOT NULL AND Y.hrct_mv_SIMUL IS NULL),1,0)) AS NUM_REG_DIF,'1' AS ID_EXEC, CURRENT_TIMESTAMP() AS TIME_EXEC FROM (SELECT prtctn_id, hrct_mv FROM BU_LOANTAPE_WORK.LT004_PROTECTION WHERE ref_date='${ref_date}' AND nome_perimetro='Individual Local' AND segmento='ESTR' AND ambito='SRB_MBDT' AND entidade='00100')X INNER JOIN (SELECT prtctn_id AS prtctn_id_SIMUL, hrct_mv AS hrct_mv_SIMUL FROM BU_LOANTAPE_WORK.SIMUL_LT004 WHERE ref_date='${ref_date}' AND nome_perimetro='Individual Local' AND segmento='ESTR' AND ambito='PILAR3' AND entidade='00100')Y ON X.PRTCTN_ID=Y.PRTCTN_ID_SIMUL</v>
      </c>
    </row>
    <row r="569" spans="2:13">
      <c r="B569" s="34" t="s">
        <v>119</v>
      </c>
      <c r="C569" s="34" t="s">
        <v>5</v>
      </c>
      <c r="D569" s="34" t="str">
        <f>+UPPER('0. Instruções'!$D$35&amp;"."&amp;VLOOKUP(B569,'0. Instruções'!$C$27:$D$32,2,FALSE))</f>
        <v>BU_LOANTAPE_WORK.LT004_PROTECTION</v>
      </c>
      <c r="E569" s="34" t="str">
        <f>+UPPER('0. Instruções'!$D$36&amp;"."&amp;VLOOKUP(B569,'0. Instruções'!$C$27:$E$32,3,FALSE))</f>
        <v>BU_LOANTAPE_WORK.SIMUL_LT004</v>
      </c>
      <c r="F569" s="34" t="s">
        <v>1517</v>
      </c>
      <c r="G569" s="34"/>
      <c r="H569" s="34"/>
      <c r="I569" s="34" t="str">
        <f>"(SELECT "&amp;VLOOKUP(B569,'0. Instruções'!$C$27:$G$32,4,FALSE)&amp;", "&amp;F569&amp;" FROM "&amp;D569&amp;" WHERE "&amp;'0. Instruções'!$D$42&amp;")X"</f>
        <v>(SELECT prtctn_id, prtctn_clld FROM BU_LOANTAPE_WORK.LT004_PROTECTION WHERE ref_date='${ref_date}' AND nome_perimetro='Individual Local' AND segmento='ESTR' AND ambito='SRB_MBDT' AND entidade='00100')X</v>
      </c>
      <c r="J569" s="34" t="str">
        <f>"(SELECT "&amp;VLOOKUP(B569,'0. Instruções'!$C$27:$G$32,4,FALSE)&amp;" AS "&amp;VLOOKUP(B569,'0. Instruções'!$C$27:$G$32,4,FALSE)&amp;"_SIMUL, "&amp;F569&amp;" AS "&amp;F569&amp;"_SIMUL FROM "&amp;E569&amp;" WHERE "&amp;'0. Instruções'!$D$43&amp;")Y"</f>
        <v>(SELECT prtctn_id AS prtctn_id_SIMUL, prtctn_clld AS prtctn_clld_SIMUL FROM BU_LOANTAPE_WORK.SIMUL_LT004 WHERE ref_date='${ref_date}' AND nome_perimetro='Individual Local' AND segmento='ESTR' AND ambito='PILAR3' AND entidade='00100')Y</v>
      </c>
      <c r="K569" s="35" t="str">
        <f>+UPPER("ON X."&amp;VLOOKUP(B569,'0. Instruções'!$C$27:$G$32,4,FALSE)&amp;"=Y."&amp;VLOOKUP(B569,'0. Instruções'!$C$27:$G$32,4,FALSE)&amp;"_SIMUL")</f>
        <v>ON X.PRTCTN_ID=Y.PRTCTN_ID_SIMUL</v>
      </c>
      <c r="L569" s="35" t="str">
        <f>+IF(C569="Coerência", +IF(LEFT(G569,5)="FLOAT","SELECT '"&amp;UPPER(B569)&amp;"' AS TABELA, '"&amp;UPPER(C569)&amp;"' AS TIPOLOGIA_TESTE,'"&amp;D569&amp;"' AS TABELA_LT,'"&amp;E569&amp;"' AS TABELA_SIMUL,'"&amp;F569&amp;"' AS CAMPO, "&amp;"'${ref_date}' AS REF_DATE, COUNT(*) AS NUM_REG, SUM(IF((ABS(COALESCE(CAST(X."&amp;F569&amp;" AS DECIMAL(18,6)),0)-COALESCE(CAST(Y."&amp;F569&amp;"_SIMUL AS DECIMAL(18,6)),0))&gt;0.000001) OR (X."&amp;F569&amp;" IS NULL AND Y."&amp;F569&amp;"_SIMUL IS NOT NULL ) OR (X."&amp;F569&amp;" IS NOT NULL AND Y."&amp;F569&amp;"_SIMUL IS NULL),1,0)) AS NUM_REG_DIF,'"&amp;MAX('ID1&amp;5'!K:K)+1&amp;"' AS ID_EXEC, CURRENT_TIMESTAMP() AS TIME_EXEC FROM "&amp;I569&amp;" INNER JOIN "&amp;J569&amp;" "&amp;K569,"SELECT '"&amp;UPPER(B569)&amp;"' AS TABELA, '"&amp;UPPER(C569)&amp;"' AS TIPOLOGIA_TESTE,'"&amp;D569&amp;"' AS TABELA_LT,'"&amp;E569&amp;"' AS TABELA_SIMUL,'"&amp;F569&amp;"' AS CAMPO, "&amp;"'${ref_date}' AS REF_DATE, COUNT(*) AS NUM_REG, SUM(IF(COALESCE(CAST(X."&amp;F569&amp;" AS STRING),'')&lt;&gt;COALESCE(CAST(Y."&amp;F569&amp;"_SIMUL AS STRING),'') OR (X."&amp;F569&amp;" IS NULL AND Y."&amp;F569&amp;"_SIMUL IS NOT NULL ) OR (X."&amp;F569&amp;" IS NOT NULL AND Y."&amp;F569&amp;"_SIMUL IS NULL),1,0)) AS NUM_REG_DIF,'"&amp;MAX('ID1&amp;5'!L:L)+1&amp;"' AS ID_EXEC, CURRENT_TIMESTAMP() AS TIME_EXEC FROM "&amp;I569&amp;" INNER JOIN "&amp;J569&amp;" "&amp;K569),
IF(C569="Validade",+IF(G569="Code List","SELECT '"&amp;UPPER(B569)&amp;"' AS TABELA, '"&amp;UPPER(C569)&amp;"' AS TIPOLOGIA_TESTE,'"&amp;D569&amp;"' AS TABELA_LT,'N/A' AS TABELA_SIMUL,'"&amp;F569&amp;"' AS CAMPO, "&amp;"'${ref_date}' AS REF_DATE, COUNT(*) AS NUM_REG, SUM(IF(TRIM(CAST(X."&amp;F569&amp;" AS STRING))='' OR TRIM(CAST(X."&amp;F569&amp;" AS STRING)) IS NULL OR CAST(X."&amp;F569&amp;" AS STRING) NOT "&amp;H569&amp;",1,0)) AS NUM_REG_DIF,'"&amp;MAX('ID1&amp;5'!K:K)+1&amp;"' AS ID_EXEC, CURRENT_TIMESTAMP() AS TIME_EXEC FROM "&amp;I569,"SELECT '"&amp;UPPER(B569)&amp;"' AS TABELA, '"&amp;UPPER(C569)&amp;"' AS TIPOLOGIA_TESTE,'"&amp;D569&amp;"' AS TABELA_LT,'N/A' AS TABELA_SIMUL,'"&amp;F569&amp;"' AS CAMPO, "&amp;"'${ref_date}' AS REF_DATE, COUNT(*) AS NUM_REG, SUM(IF(TRIM(CAST(X."&amp;F569&amp;" AS STRING))='' OR TRIM(CAST(X."&amp;F569&amp;" AS STRING)) IS NULL,1,0)) AS NUM_REG_DIF,'"&amp;MAX('ID1&amp;5'!K:K)+1&amp;"' AS ID_EXEC, CURRENT_TIMESTAMP() AS TIME_EXEC FROM "&amp;I569),
IF(C569="Caracteres Especiais",+"SELECT '"&amp;UPPER(B569)&amp;"' AS TABELA, '"&amp;UPPER(C569)&amp;"' AS TIPOLOGIA_TESTE,'"&amp;D569&amp;"' AS TABELA_LT,'N/A' AS TABELA_SIMUL,'"&amp;F569&amp;"' AS CAMPO, "&amp;"'${ref_date}' AS REF_DATE, COUNT(*) AS NUM_REG, SUM(IF(REGEXP_REPLACE(TRIM(CAST(X."&amp;F569&amp;" AS STRING)),'[^a-zA-Z0-9_\\s]','') &lt;&gt;TRIM(CAST(X."&amp;F569&amp;" AS STRING)),1,0)) AS NUM_REG_DIF,'"&amp;MAX('ID1&amp;5'!K:K)+1&amp;"' AS ID_EXEC, CURRENT_TIMESTAMP() AS TIME_EXEC FROM "&amp;I569,
IF(C569="Missings",+"SELECT '"&amp;UPPER(B569)&amp;"' AS TABELA, '"&amp;UPPER(C569)&amp;"' AS TIPOLOGIA_TESTE,'"&amp;D569&amp;"' AS TABELA_LT,'N/A' AS TABELA_SIMUL,'"&amp;F569&amp;"' AS CAMPO, "&amp;"'${ref_date}' AS REF_DATE, COUNT(*) AS NUM_REG, SUM(IF(TRIM(CAST(X."&amp;F569&amp;" AS STRING)) IN ('0000-00-00','0001-01-01','9999-12-31','MISS','00000','99999999999','99999999999.00','99999999999.000000'),1,0)) AS NUM_REG_DIF,'"&amp;MAX('ID1&amp;5'!K:K)+1&amp;"' AS ID_EXEC, CURRENT_TIMESTAMP() AS TIME_EXEC FROM "&amp;I569,
IF(C569="Not applicable",+"SELECT '"&amp;UPPER(B569)&amp;"' AS TABELA, '"&amp;UPPER(C569)&amp;"' AS TIPOLOGIA_TESTE,'"&amp;D569&amp;"' AS TABELA_LT,'N/A' AS TABELA_SIMUL,'"&amp;F569&amp;"' AS CAMPO, "&amp;"'${ref_date}' AS REF_DATE, COUNT(*) AS NUM_REG, SUM(IF(TRIM(CAST(X."&amp;F569&amp;" AS STRING)) IN ('N/A','11111111111','11111111111.00','11111111111.000000','1111-11-11'),1,0)) AS NUM_REG_DIF,'"&amp;MAX('ID1&amp;5'!K:K)+1&amp;"' AS ID_EXEC, CURRENT_TIMESTAMP() AS TIME_EXEC FROM "&amp;I569,
IF(C569="Valores extremos",+"SELECT '"&amp;UPPER(B569)&amp;"' AS TABELA, '"&amp;UPPER(C569)&amp;"' AS TIPOLOGIA_TESTE,'"&amp;D569&amp;"' AS TABELA_LT,'N/A' AS TABELA_SIMUL,'"&amp;F569&amp;"' AS CAMPO, "&amp;"'${ref_date}' AS REF_DATE, CAST(MIN("&amp;F569&amp;") AS STRING) AS VALOR_MIN, CAST(MAX("&amp;F569&amp;") AS STRING) AS VALOR_MAX,'"&amp;MAX('ID1&amp;5'!K:K)+1&amp;"' AS ID_EXEC, CURRENT_TIMESTAMP() AS TIME_EXEC FROM "&amp;MID(I569,1,LEN(I569)-2)&amp;" AND CAST("&amp;F569&amp;"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TABELA_SIMUL,'prtctn_clld' AS CAMPO, '${ref_date}' AS REF_DATE, COUNT(*) AS NUM_REG, SUM(IF(COALESCE(CAST(X.prtctn_clld AS STRING),'')&lt;&gt;COALESCE(CAST(Y.prtctn_clld_SIMUL AS STRING),'') OR (X.prtctn_clld IS NULL AND Y.prtctn_clld_SIMUL IS NOT NULL ) OR (X.prtctn_clld IS NOT NULL AND Y.prtctn_clld_SIMUL IS NULL),1,0)) AS NUM_REG_DIF,'1' AS ID_EXEC, CURRENT_TIMESTAMP() AS TIME_EXEC FROM (SELECT prtctn_id, prtctn_clld FROM BU_LOANTAPE_WORK.LT004_PROTECTION WHERE ref_date='${ref_date}' AND nome_perimetro='Individual Local' AND segmento='ESTR' AND ambito='SRB_MBDT' AND entidade='00100')X INNER JOIN (SELECT prtctn_id AS prtctn_id_SIMUL, prtctn_clld AS prtctn_clld_SIMUL FROM BU_LOANTAPE_WORK.SIMUL_LT004 WHERE ref_date='${ref_date}' AND nome_perimetro='Individual Local' AND segmento='ESTR' AND ambito='PILAR3' AND entidade='00100')Y ON X.PRTCTN_ID=Y.PRTCTN_ID_SIMUL</v>
      </c>
      <c r="M569" s="36" t="str">
        <f t="shared" si="14"/>
        <v>UNION ALL SELECT 'PROTECTION' AS TABELA, 'COERÊNCIA' AS TIPOLOGIA_TESTE,'BU_LOANTAPE_WORK.LT004_PROTECTION' AS TABELA_LT,'BU_LOANTAPE_WORK.SIMUL_LT004' AS TABELA_SIMUL,'prtctn_clld' AS CAMPO, '${ref_date}' AS REF_DATE, COUNT(*) AS NUM_REG, SUM(IF(COALESCE(CAST(X.prtctn_clld AS STRING),'')&lt;&gt;COALESCE(CAST(Y.prtctn_clld_SIMUL AS STRING),'') OR (X.prtctn_clld IS NULL AND Y.prtctn_clld_SIMUL IS NOT NULL ) OR (X.prtctn_clld IS NOT NULL AND Y.prtctn_clld_SIMUL IS NULL),1,0)) AS NUM_REG_DIF,'1' AS ID_EXEC, CURRENT_TIMESTAMP() AS TIME_EXEC FROM (SELECT prtctn_id, prtctn_clld FROM BU_LOANTAPE_WORK.LT004_PROTECTION WHERE ref_date='${ref_date}' AND nome_perimetro='Individual Local' AND segmento='ESTR' AND ambito='SRB_MBDT' AND entidade='00100')X INNER JOIN (SELECT prtctn_id AS prtctn_id_SIMUL, prtctn_clld AS prtctn_clld_SIMUL FROM BU_LOANTAPE_WORK.SIMUL_LT004 WHERE ref_date='${ref_date}' AND nome_perimetro='Individual Local' AND segmento='ESTR' AND ambito='PILAR3' AND entidade='00100')Y ON X.PRTCTN_ID=Y.PRTCTN_ID_SIMUL</v>
      </c>
    </row>
    <row r="570" spans="2:13">
      <c r="B570" s="34" t="s">
        <v>119</v>
      </c>
      <c r="C570" s="34" t="s">
        <v>5</v>
      </c>
      <c r="D570" s="34" t="str">
        <f>+UPPER('0. Instruções'!$D$35&amp;"."&amp;VLOOKUP(B570,'0. Instruções'!$C$27:$D$32,2,FALSE))</f>
        <v>BU_LOANTAPE_WORK.LT004_PROTECTION</v>
      </c>
      <c r="E570" s="34" t="str">
        <f>+UPPER('0. Instruções'!$D$36&amp;"."&amp;VLOOKUP(B570,'0. Instruções'!$C$27:$E$32,3,FALSE))</f>
        <v>BU_LOANTAPE_WORK.SIMUL_LT004</v>
      </c>
      <c r="F570" s="34" t="s">
        <v>672</v>
      </c>
      <c r="G570" s="34"/>
      <c r="H570" s="34"/>
      <c r="I570" s="34" t="str">
        <f>"(SELECT "&amp;VLOOKUP(B570,'0. Instruções'!$C$27:$G$32,4,FALSE)&amp;", "&amp;F570&amp;" FROM "&amp;D570&amp;" WHERE "&amp;'0. Instruções'!$D$42&amp;")X"</f>
        <v>(SELECT prtctn_id, typ_prtctn FROM BU_LOANTAPE_WORK.LT004_PROTECTION WHERE ref_date='${ref_date}' AND nome_perimetro='Individual Local' AND segmento='ESTR' AND ambito='SRB_MBDT' AND entidade='00100')X</v>
      </c>
      <c r="J570" s="34" t="str">
        <f>"(SELECT "&amp;VLOOKUP(B570,'0. Instruções'!$C$27:$G$32,4,FALSE)&amp;" AS "&amp;VLOOKUP(B570,'0. Instruções'!$C$27:$G$32,4,FALSE)&amp;"_SIMUL, "&amp;F570&amp;" AS "&amp;F570&amp;"_SIMUL FROM "&amp;E570&amp;" WHERE "&amp;'0. Instruções'!$D$43&amp;")Y"</f>
        <v>(SELECT prtctn_id AS prtctn_id_SIMUL, typ_prtctn AS typ_prtctn_SIMUL FROM BU_LOANTAPE_WORK.SIMUL_LT004 WHERE ref_date='${ref_date}' AND nome_perimetro='Individual Local' AND segmento='ESTR' AND ambito='PILAR3' AND entidade='00100')Y</v>
      </c>
      <c r="K570" s="35" t="str">
        <f>+UPPER("ON X."&amp;VLOOKUP(B570,'0. Instruções'!$C$27:$G$32,4,FALSE)&amp;"=Y."&amp;VLOOKUP(B570,'0. Instruções'!$C$27:$G$32,4,FALSE)&amp;"_SIMUL")</f>
        <v>ON X.PRTCTN_ID=Y.PRTCTN_ID_SIMUL</v>
      </c>
      <c r="L570" s="35" t="str">
        <f>+IF(C570="Coerência", +IF(LEFT(G570,5)="FLOAT","SELECT '"&amp;UPPER(B570)&amp;"' AS TABELA, '"&amp;UPPER(C570)&amp;"' AS TIPOLOGIA_TESTE,'"&amp;D570&amp;"' AS TABELA_LT,'"&amp;E570&amp;"' AS TABELA_SIMUL,'"&amp;F570&amp;"' AS CAMPO, "&amp;"'${ref_date}' AS REF_DATE, COUNT(*) AS NUM_REG, SUM(IF((ABS(COALESCE(CAST(X."&amp;F570&amp;" AS DECIMAL(18,6)),0)-COALESCE(CAST(Y."&amp;F570&amp;"_SIMUL AS DECIMAL(18,6)),0))&gt;0.000001) OR (X."&amp;F570&amp;" IS NULL AND Y."&amp;F570&amp;"_SIMUL IS NOT NULL ) OR (X."&amp;F570&amp;" IS NOT NULL AND Y."&amp;F570&amp;"_SIMUL IS NULL),1,0)) AS NUM_REG_DIF,'"&amp;MAX('ID1&amp;5'!K:K)+1&amp;"' AS ID_EXEC, CURRENT_TIMESTAMP() AS TIME_EXEC FROM "&amp;I570&amp;" INNER JOIN "&amp;J570&amp;" "&amp;K570,"SELECT '"&amp;UPPER(B570)&amp;"' AS TABELA, '"&amp;UPPER(C570)&amp;"' AS TIPOLOGIA_TESTE,'"&amp;D570&amp;"' AS TABELA_LT,'"&amp;E570&amp;"' AS TABELA_SIMUL,'"&amp;F570&amp;"' AS CAMPO, "&amp;"'${ref_date}' AS REF_DATE, COUNT(*) AS NUM_REG, SUM(IF(COALESCE(CAST(X."&amp;F570&amp;" AS STRING),'')&lt;&gt;COALESCE(CAST(Y."&amp;F570&amp;"_SIMUL AS STRING),'') OR (X."&amp;F570&amp;" IS NULL AND Y."&amp;F570&amp;"_SIMUL IS NOT NULL ) OR (X."&amp;F570&amp;" IS NOT NULL AND Y."&amp;F570&amp;"_SIMUL IS NULL),1,0)) AS NUM_REG_DIF,'"&amp;MAX('ID1&amp;5'!L:L)+1&amp;"' AS ID_EXEC, CURRENT_TIMESTAMP() AS TIME_EXEC FROM "&amp;I570&amp;" INNER JOIN "&amp;J570&amp;" "&amp;K570),
IF(C570="Validade",+IF(G570="Code List","SELECT '"&amp;UPPER(B570)&amp;"' AS TABELA, '"&amp;UPPER(C570)&amp;"' AS TIPOLOGIA_TESTE,'"&amp;D570&amp;"' AS TABELA_LT,'N/A' AS TABELA_SIMUL,'"&amp;F570&amp;"' AS CAMPO, "&amp;"'${ref_date}' AS REF_DATE, COUNT(*) AS NUM_REG, SUM(IF(TRIM(CAST(X."&amp;F570&amp;" AS STRING))='' OR TRIM(CAST(X."&amp;F570&amp;" AS STRING)) IS NULL OR CAST(X."&amp;F570&amp;" AS STRING) NOT "&amp;H570&amp;",1,0)) AS NUM_REG_DIF,'"&amp;MAX('ID1&amp;5'!K:K)+1&amp;"' AS ID_EXEC, CURRENT_TIMESTAMP() AS TIME_EXEC FROM "&amp;I570,"SELECT '"&amp;UPPER(B570)&amp;"' AS TABELA, '"&amp;UPPER(C570)&amp;"' AS TIPOLOGIA_TESTE,'"&amp;D570&amp;"' AS TABELA_LT,'N/A' AS TABELA_SIMUL,'"&amp;F570&amp;"' AS CAMPO, "&amp;"'${ref_date}' AS REF_DATE, COUNT(*) AS NUM_REG, SUM(IF(TRIM(CAST(X."&amp;F570&amp;" AS STRING))='' OR TRIM(CAST(X."&amp;F570&amp;" AS STRING)) IS NULL,1,0)) AS NUM_REG_DIF,'"&amp;MAX('ID1&amp;5'!K:K)+1&amp;"' AS ID_EXEC, CURRENT_TIMESTAMP() AS TIME_EXEC FROM "&amp;I570),
IF(C570="Caracteres Especiais",+"SELECT '"&amp;UPPER(B570)&amp;"' AS TABELA, '"&amp;UPPER(C570)&amp;"' AS TIPOLOGIA_TESTE,'"&amp;D570&amp;"' AS TABELA_LT,'N/A' AS TABELA_SIMUL,'"&amp;F570&amp;"' AS CAMPO, "&amp;"'${ref_date}' AS REF_DATE, COUNT(*) AS NUM_REG, SUM(IF(REGEXP_REPLACE(TRIM(CAST(X."&amp;F570&amp;" AS STRING)),'[^a-zA-Z0-9_\\s]','') &lt;&gt;TRIM(CAST(X."&amp;F570&amp;" AS STRING)),1,0)) AS NUM_REG_DIF,'"&amp;MAX('ID1&amp;5'!K:K)+1&amp;"' AS ID_EXEC, CURRENT_TIMESTAMP() AS TIME_EXEC FROM "&amp;I570,
IF(C570="Missings",+"SELECT '"&amp;UPPER(B570)&amp;"' AS TABELA, '"&amp;UPPER(C570)&amp;"' AS TIPOLOGIA_TESTE,'"&amp;D570&amp;"' AS TABELA_LT,'N/A' AS TABELA_SIMUL,'"&amp;F570&amp;"' AS CAMPO, "&amp;"'${ref_date}' AS REF_DATE, COUNT(*) AS NUM_REG, SUM(IF(TRIM(CAST(X."&amp;F570&amp;" AS STRING)) IN ('0000-00-00','0001-01-01','9999-12-31','MISS','00000','99999999999','99999999999.00','99999999999.000000'),1,0)) AS NUM_REG_DIF,'"&amp;MAX('ID1&amp;5'!K:K)+1&amp;"' AS ID_EXEC, CURRENT_TIMESTAMP() AS TIME_EXEC FROM "&amp;I570,
IF(C570="Not applicable",+"SELECT '"&amp;UPPER(B570)&amp;"' AS TABELA, '"&amp;UPPER(C570)&amp;"' AS TIPOLOGIA_TESTE,'"&amp;D570&amp;"' AS TABELA_LT,'N/A' AS TABELA_SIMUL,'"&amp;F570&amp;"' AS CAMPO, "&amp;"'${ref_date}' AS REF_DATE, COUNT(*) AS NUM_REG, SUM(IF(TRIM(CAST(X."&amp;F570&amp;" AS STRING)) IN ('N/A','11111111111','11111111111.00','11111111111.000000','1111-11-11'),1,0)) AS NUM_REG_DIF,'"&amp;MAX('ID1&amp;5'!K:K)+1&amp;"' AS ID_EXEC, CURRENT_TIMESTAMP() AS TIME_EXEC FROM "&amp;I570,
IF(C570="Valores extremos",+"SELECT '"&amp;UPPER(B570)&amp;"' AS TABELA, '"&amp;UPPER(C570)&amp;"' AS TIPOLOGIA_TESTE,'"&amp;D570&amp;"' AS TABELA_LT,'N/A' AS TABELA_SIMUL,'"&amp;F570&amp;"' AS CAMPO, "&amp;"'${ref_date}' AS REF_DATE, CAST(MIN("&amp;F570&amp;") AS STRING) AS VALOR_MIN, CAST(MAX("&amp;F570&amp;") AS STRING) AS VALOR_MAX,'"&amp;MAX('ID1&amp;5'!K:K)+1&amp;"' AS ID_EXEC, CURRENT_TIMESTAMP() AS TIME_EXEC FROM "&amp;MID(I570,1,LEN(I570)-2)&amp;" AND CAST("&amp;F570&amp;"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TABELA_SIMUL,'typ_prtctn' AS CAMPO, '${ref_date}' AS REF_DATE, COUNT(*) AS NUM_REG, SUM(IF(COALESCE(CAST(X.typ_prtctn AS STRING),'')&lt;&gt;COALESCE(CAST(Y.typ_prtctn_SIMUL AS STRING),'') OR (X.typ_prtctn IS NULL AND Y.typ_prtctn_SIMUL IS NOT NULL ) OR (X.typ_prtctn IS NOT NULL AND Y.typ_prtctn_SIMUL IS NULL),1,0)) AS NUM_REG_DIF,'1' AS ID_EXEC, CURRENT_TIMESTAMP() AS TIME_EXEC FROM (SELECT prtctn_id, typ_prtctn FROM BU_LOANTAPE_WORK.LT004_PROTECTION WHERE ref_date='${ref_date}' AND nome_perimetro='Individual Local' AND segmento='ESTR' AND ambito='SRB_MBDT' AND entidade='00100')X INNER JOIN (SELECT prtctn_id AS prtctn_id_SIMUL, typ_prtctn AS typ_prtctn_SIMUL FROM BU_LOANTAPE_WORK.SIMUL_LT004 WHERE ref_date='${ref_date}' AND nome_perimetro='Individual Local' AND segmento='ESTR' AND ambito='PILAR3' AND entidade='00100')Y ON X.PRTCTN_ID=Y.PRTCTN_ID_SIMUL</v>
      </c>
      <c r="M570" s="36" t="str">
        <f t="shared" si="14"/>
        <v>UNION ALL SELECT 'PROTECTION' AS TABELA, 'COERÊNCIA' AS TIPOLOGIA_TESTE,'BU_LOANTAPE_WORK.LT004_PROTECTION' AS TABELA_LT,'BU_LOANTAPE_WORK.SIMUL_LT004' AS TABELA_SIMUL,'typ_prtctn' AS CAMPO, '${ref_date}' AS REF_DATE, COUNT(*) AS NUM_REG, SUM(IF(COALESCE(CAST(X.typ_prtctn AS STRING),'')&lt;&gt;COALESCE(CAST(Y.typ_prtctn_SIMUL AS STRING),'') OR (X.typ_prtctn IS NULL AND Y.typ_prtctn_SIMUL IS NOT NULL ) OR (X.typ_prtctn IS NOT NULL AND Y.typ_prtctn_SIMUL IS NULL),1,0)) AS NUM_REG_DIF,'1' AS ID_EXEC, CURRENT_TIMESTAMP() AS TIME_EXEC FROM (SELECT prtctn_id, typ_prtctn FROM BU_LOANTAPE_WORK.LT004_PROTECTION WHERE ref_date='${ref_date}' AND nome_perimetro='Individual Local' AND segmento='ESTR' AND ambito='SRB_MBDT' AND entidade='00100')X INNER JOIN (SELECT prtctn_id AS prtctn_id_SIMUL, typ_prtctn AS typ_prtctn_SIMUL FROM BU_LOANTAPE_WORK.SIMUL_LT004 WHERE ref_date='${ref_date}' AND nome_perimetro='Individual Local' AND segmento='ESTR' AND ambito='PILAR3' AND entidade='00100')Y ON X.PRTCTN_ID=Y.PRTCTN_ID_SIMUL</v>
      </c>
    </row>
    <row r="571" spans="2:13">
      <c r="B571" s="34" t="s">
        <v>119</v>
      </c>
      <c r="C571" s="34" t="s">
        <v>5</v>
      </c>
      <c r="D571" s="34" t="str">
        <f>+UPPER('0. Instruções'!$D$35&amp;"."&amp;VLOOKUP(B571,'0. Instruções'!$C$27:$D$32,2,FALSE))</f>
        <v>BU_LOANTAPE_WORK.LT004_PROTECTION</v>
      </c>
      <c r="E571" s="34" t="str">
        <f>+UPPER('0. Instruções'!$D$36&amp;"."&amp;VLOOKUP(B571,'0. Instruções'!$C$27:$E$32,3,FALSE))</f>
        <v>BU_LOANTAPE_WORK.SIMUL_LT004</v>
      </c>
      <c r="F571" s="34" t="s">
        <v>1518</v>
      </c>
      <c r="G571" s="34"/>
      <c r="H571" s="34"/>
      <c r="I571" s="34" t="str">
        <f>"(SELECT "&amp;VLOOKUP(B571,'0. Instruções'!$C$27:$G$32,4,FALSE)&amp;", "&amp;F571&amp;" FROM "&amp;D571&amp;" WHERE "&amp;'0. Instruções'!$D$42&amp;")X"</f>
        <v>(SELECT prtctn_id, typ_prtctn_intrnl FROM BU_LOANTAPE_WORK.LT004_PROTECTION WHERE ref_date='${ref_date}' AND nome_perimetro='Individual Local' AND segmento='ESTR' AND ambito='SRB_MBDT' AND entidade='00100')X</v>
      </c>
      <c r="J571" s="34" t="str">
        <f>"(SELECT "&amp;VLOOKUP(B571,'0. Instruções'!$C$27:$G$32,4,FALSE)&amp;" AS "&amp;VLOOKUP(B571,'0. Instruções'!$C$27:$G$32,4,FALSE)&amp;"_SIMUL, "&amp;F571&amp;" AS "&amp;F571&amp;"_SIMUL FROM "&amp;E571&amp;" WHERE "&amp;'0. Instruções'!$D$43&amp;")Y"</f>
        <v>(SELECT prtctn_id AS prtctn_id_SIMUL, typ_prtctn_intrnl AS typ_prtctn_intrnl_SIMUL FROM BU_LOANTAPE_WORK.SIMUL_LT004 WHERE ref_date='${ref_date}' AND nome_perimetro='Individual Local' AND segmento='ESTR' AND ambito='PILAR3' AND entidade='00100')Y</v>
      </c>
      <c r="K571" s="35" t="str">
        <f>+UPPER("ON X."&amp;VLOOKUP(B571,'0. Instruções'!$C$27:$G$32,4,FALSE)&amp;"=Y."&amp;VLOOKUP(B571,'0. Instruções'!$C$27:$G$32,4,FALSE)&amp;"_SIMUL")</f>
        <v>ON X.PRTCTN_ID=Y.PRTCTN_ID_SIMUL</v>
      </c>
      <c r="L571" s="35" t="str">
        <f>+IF(C571="Coerência", +IF(LEFT(G571,5)="FLOAT","SELECT '"&amp;UPPER(B571)&amp;"' AS TABELA, '"&amp;UPPER(C571)&amp;"' AS TIPOLOGIA_TESTE,'"&amp;D571&amp;"' AS TABELA_LT,'"&amp;E571&amp;"' AS TABELA_SIMUL,'"&amp;F571&amp;"' AS CAMPO, "&amp;"'${ref_date}' AS REF_DATE, COUNT(*) AS NUM_REG, SUM(IF((ABS(COALESCE(CAST(X."&amp;F571&amp;" AS DECIMAL(18,6)),0)-COALESCE(CAST(Y."&amp;F571&amp;"_SIMUL AS DECIMAL(18,6)),0))&gt;0.000001) OR (X."&amp;F571&amp;" IS NULL AND Y."&amp;F571&amp;"_SIMUL IS NOT NULL ) OR (X."&amp;F571&amp;" IS NOT NULL AND Y."&amp;F571&amp;"_SIMUL IS NULL),1,0)) AS NUM_REG_DIF,'"&amp;MAX('ID1&amp;5'!K:K)+1&amp;"' AS ID_EXEC, CURRENT_TIMESTAMP() AS TIME_EXEC FROM "&amp;I571&amp;" INNER JOIN "&amp;J571&amp;" "&amp;K571,"SELECT '"&amp;UPPER(B571)&amp;"' AS TABELA, '"&amp;UPPER(C571)&amp;"' AS TIPOLOGIA_TESTE,'"&amp;D571&amp;"' AS TABELA_LT,'"&amp;E571&amp;"' AS TABELA_SIMUL,'"&amp;F571&amp;"' AS CAMPO, "&amp;"'${ref_date}' AS REF_DATE, COUNT(*) AS NUM_REG, SUM(IF(COALESCE(CAST(X."&amp;F571&amp;" AS STRING),'')&lt;&gt;COALESCE(CAST(Y."&amp;F571&amp;"_SIMUL AS STRING),'') OR (X."&amp;F571&amp;" IS NULL AND Y."&amp;F571&amp;"_SIMUL IS NOT NULL ) OR (X."&amp;F571&amp;" IS NOT NULL AND Y."&amp;F571&amp;"_SIMUL IS NULL),1,0)) AS NUM_REG_DIF,'"&amp;MAX('ID1&amp;5'!L:L)+1&amp;"' AS ID_EXEC, CURRENT_TIMESTAMP() AS TIME_EXEC FROM "&amp;I571&amp;" INNER JOIN "&amp;J571&amp;" "&amp;K571),
IF(C571="Validade",+IF(G571="Code List","SELECT '"&amp;UPPER(B571)&amp;"' AS TABELA, '"&amp;UPPER(C571)&amp;"' AS TIPOLOGIA_TESTE,'"&amp;D571&amp;"' AS TABELA_LT,'N/A' AS TABELA_SIMUL,'"&amp;F571&amp;"' AS CAMPO, "&amp;"'${ref_date}' AS REF_DATE, COUNT(*) AS NUM_REG, SUM(IF(TRIM(CAST(X."&amp;F571&amp;" AS STRING))='' OR TRIM(CAST(X."&amp;F571&amp;" AS STRING)) IS NULL OR CAST(X."&amp;F571&amp;" AS STRING) NOT "&amp;H571&amp;",1,0)) AS NUM_REG_DIF,'"&amp;MAX('ID1&amp;5'!K:K)+1&amp;"' AS ID_EXEC, CURRENT_TIMESTAMP() AS TIME_EXEC FROM "&amp;I571,"SELECT '"&amp;UPPER(B571)&amp;"' AS TABELA, '"&amp;UPPER(C571)&amp;"' AS TIPOLOGIA_TESTE,'"&amp;D571&amp;"' AS TABELA_LT,'N/A' AS TABELA_SIMUL,'"&amp;F571&amp;"' AS CAMPO, "&amp;"'${ref_date}' AS REF_DATE, COUNT(*) AS NUM_REG, SUM(IF(TRIM(CAST(X."&amp;F571&amp;" AS STRING))='' OR TRIM(CAST(X."&amp;F571&amp;" AS STRING)) IS NULL,1,0)) AS NUM_REG_DIF,'"&amp;MAX('ID1&amp;5'!K:K)+1&amp;"' AS ID_EXEC, CURRENT_TIMESTAMP() AS TIME_EXEC FROM "&amp;I571),
IF(C571="Caracteres Especiais",+"SELECT '"&amp;UPPER(B571)&amp;"' AS TABELA, '"&amp;UPPER(C571)&amp;"' AS TIPOLOGIA_TESTE,'"&amp;D571&amp;"' AS TABELA_LT,'N/A' AS TABELA_SIMUL,'"&amp;F571&amp;"' AS CAMPO, "&amp;"'${ref_date}' AS REF_DATE, COUNT(*) AS NUM_REG, SUM(IF(REGEXP_REPLACE(TRIM(CAST(X."&amp;F571&amp;" AS STRING)),'[^a-zA-Z0-9_\\s]','') &lt;&gt;TRIM(CAST(X."&amp;F571&amp;" AS STRING)),1,0)) AS NUM_REG_DIF,'"&amp;MAX('ID1&amp;5'!K:K)+1&amp;"' AS ID_EXEC, CURRENT_TIMESTAMP() AS TIME_EXEC FROM "&amp;I571,
IF(C571="Missings",+"SELECT '"&amp;UPPER(B571)&amp;"' AS TABELA, '"&amp;UPPER(C571)&amp;"' AS TIPOLOGIA_TESTE,'"&amp;D571&amp;"' AS TABELA_LT,'N/A' AS TABELA_SIMUL,'"&amp;F571&amp;"' AS CAMPO, "&amp;"'${ref_date}' AS REF_DATE, COUNT(*) AS NUM_REG, SUM(IF(TRIM(CAST(X."&amp;F571&amp;" AS STRING)) IN ('0000-00-00','0001-01-01','9999-12-31','MISS','00000','99999999999','99999999999.00','99999999999.000000'),1,0)) AS NUM_REG_DIF,'"&amp;MAX('ID1&amp;5'!K:K)+1&amp;"' AS ID_EXEC, CURRENT_TIMESTAMP() AS TIME_EXEC FROM "&amp;I571,
IF(C571="Not applicable",+"SELECT '"&amp;UPPER(B571)&amp;"' AS TABELA, '"&amp;UPPER(C571)&amp;"' AS TIPOLOGIA_TESTE,'"&amp;D571&amp;"' AS TABELA_LT,'N/A' AS TABELA_SIMUL,'"&amp;F571&amp;"' AS CAMPO, "&amp;"'${ref_date}' AS REF_DATE, COUNT(*) AS NUM_REG, SUM(IF(TRIM(CAST(X."&amp;F571&amp;" AS STRING)) IN ('N/A','11111111111','11111111111.00','11111111111.000000','1111-11-11'),1,0)) AS NUM_REG_DIF,'"&amp;MAX('ID1&amp;5'!K:K)+1&amp;"' AS ID_EXEC, CURRENT_TIMESTAMP() AS TIME_EXEC FROM "&amp;I571,
IF(C571="Valores extremos",+"SELECT '"&amp;UPPER(B571)&amp;"' AS TABELA, '"&amp;UPPER(C571)&amp;"' AS TIPOLOGIA_TESTE,'"&amp;D571&amp;"' AS TABELA_LT,'N/A' AS TABELA_SIMUL,'"&amp;F571&amp;"' AS CAMPO, "&amp;"'${ref_date}' AS REF_DATE, CAST(MIN("&amp;F571&amp;") AS STRING) AS VALOR_MIN, CAST(MAX("&amp;F571&amp;") AS STRING) AS VALOR_MAX,'"&amp;MAX('ID1&amp;5'!K:K)+1&amp;"' AS ID_EXEC, CURRENT_TIMESTAMP() AS TIME_EXEC FROM "&amp;MID(I571,1,LEN(I571)-2)&amp;" AND CAST("&amp;F571&amp;"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TABELA_SIMUL,'typ_prtctn_intrnl' AS CAMPO, '${ref_date}' AS REF_DATE, COUNT(*) AS NUM_REG, SUM(IF(COALESCE(CAST(X.typ_prtctn_intrnl AS STRING),'')&lt;&gt;COALESCE(CAST(Y.typ_prtctn_intrnl_SIMUL AS STRING),'') OR (X.typ_prtctn_intrnl IS NULL AND Y.typ_prtctn_intrnl_SIMUL IS NOT NULL ) OR (X.typ_prtctn_intrnl IS NOT NULL AND Y.typ_prtctn_intrnl_SIMUL IS NULL),1,0)) AS NUM_REG_DIF,'1' AS ID_EXEC, CURRENT_TIMESTAMP() AS TIME_EXEC FROM (SELECT prtctn_id, typ_prtctn_intrnl FROM BU_LOANTAPE_WORK.LT004_PROTECTION WHERE ref_date='${ref_date}' AND nome_perimetro='Individual Local' AND segmento='ESTR' AND ambito='SRB_MBDT' AND entidade='00100')X INNER JOIN (SELECT prtctn_id AS prtctn_id_SIMUL, typ_prtctn_intrnl AS typ_prtctn_intrnl_SIMUL FROM BU_LOANTAPE_WORK.SIMUL_LT004 WHERE ref_date='${ref_date}' AND nome_perimetro='Individual Local' AND segmento='ESTR' AND ambito='PILAR3' AND entidade='00100')Y ON X.PRTCTN_ID=Y.PRTCTN_ID_SIMUL</v>
      </c>
      <c r="M571" s="36" t="str">
        <f t="shared" si="14"/>
        <v>UNION ALL SELECT 'PROTECTION' AS TABELA, 'COERÊNCIA' AS TIPOLOGIA_TESTE,'BU_LOANTAPE_WORK.LT004_PROTECTION' AS TABELA_LT,'BU_LOANTAPE_WORK.SIMUL_LT004' AS TABELA_SIMUL,'typ_prtctn_intrnl' AS CAMPO, '${ref_date}' AS REF_DATE, COUNT(*) AS NUM_REG, SUM(IF(COALESCE(CAST(X.typ_prtctn_intrnl AS STRING),'')&lt;&gt;COALESCE(CAST(Y.typ_prtctn_intrnl_SIMUL AS STRING),'') OR (X.typ_prtctn_intrnl IS NULL AND Y.typ_prtctn_intrnl_SIMUL IS NOT NULL ) OR (X.typ_prtctn_intrnl IS NOT NULL AND Y.typ_prtctn_intrnl_SIMUL IS NULL),1,0)) AS NUM_REG_DIF,'1' AS ID_EXEC, CURRENT_TIMESTAMP() AS TIME_EXEC FROM (SELECT prtctn_id, typ_prtctn_intrnl FROM BU_LOANTAPE_WORK.LT004_PROTECTION WHERE ref_date='${ref_date}' AND nome_perimetro='Individual Local' AND segmento='ESTR' AND ambito='SRB_MBDT' AND entidade='00100')X INNER JOIN (SELECT prtctn_id AS prtctn_id_SIMUL, typ_prtctn_intrnl AS typ_prtctn_intrnl_SIMUL FROM BU_LOANTAPE_WORK.SIMUL_LT004 WHERE ref_date='${ref_date}' AND nome_perimetro='Individual Local' AND segmento='ESTR' AND ambito='PILAR3' AND entidade='00100')Y ON X.PRTCTN_ID=Y.PRTCTN_ID_SIMUL</v>
      </c>
    </row>
    <row r="572" spans="2:13">
      <c r="B572" s="34" t="s">
        <v>119</v>
      </c>
      <c r="C572" s="34" t="s">
        <v>5</v>
      </c>
      <c r="D572" s="34" t="str">
        <f>+UPPER('0. Instruções'!$D$35&amp;"."&amp;VLOOKUP(B572,'0. Instruções'!$C$27:$D$32,2,FALSE))</f>
        <v>BU_LOANTAPE_WORK.LT004_PROTECTION</v>
      </c>
      <c r="E572" s="34" t="str">
        <f>+UPPER('0. Instruções'!$D$36&amp;"."&amp;VLOOKUP(B572,'0. Instruções'!$C$27:$E$32,3,FALSE))</f>
        <v>BU_LOANTAPE_WORK.SIMUL_LT004</v>
      </c>
      <c r="F572" s="34" t="s">
        <v>1519</v>
      </c>
      <c r="G572" s="34"/>
      <c r="H572" s="34"/>
      <c r="I572" s="34" t="str">
        <f>"(SELECT "&amp;VLOOKUP(B572,'0. Instruções'!$C$27:$G$32,4,FALSE)&amp;", "&amp;F572&amp;" FROM "&amp;D572&amp;" WHERE "&amp;'0. Instruções'!$D$42&amp;")X"</f>
        <v>(SELECT prtctn_id, typ_prtctn_vl FROM BU_LOANTAPE_WORK.LT004_PROTECTION WHERE ref_date='${ref_date}' AND nome_perimetro='Individual Local' AND segmento='ESTR' AND ambito='SRB_MBDT' AND entidade='00100')X</v>
      </c>
      <c r="J572" s="34" t="str">
        <f>"(SELECT "&amp;VLOOKUP(B572,'0. Instruções'!$C$27:$G$32,4,FALSE)&amp;" AS "&amp;VLOOKUP(B572,'0. Instruções'!$C$27:$G$32,4,FALSE)&amp;"_SIMUL, "&amp;F572&amp;" AS "&amp;F572&amp;"_SIMUL FROM "&amp;E572&amp;" WHERE "&amp;'0. Instruções'!$D$43&amp;")Y"</f>
        <v>(SELECT prtctn_id AS prtctn_id_SIMUL, typ_prtctn_vl AS typ_prtctn_vl_SIMUL FROM BU_LOANTAPE_WORK.SIMUL_LT004 WHERE ref_date='${ref_date}' AND nome_perimetro='Individual Local' AND segmento='ESTR' AND ambito='PILAR3' AND entidade='00100')Y</v>
      </c>
      <c r="K572" s="35" t="str">
        <f>+UPPER("ON X."&amp;VLOOKUP(B572,'0. Instruções'!$C$27:$G$32,4,FALSE)&amp;"=Y."&amp;VLOOKUP(B572,'0. Instruções'!$C$27:$G$32,4,FALSE)&amp;"_SIMUL")</f>
        <v>ON X.PRTCTN_ID=Y.PRTCTN_ID_SIMUL</v>
      </c>
      <c r="L572" s="35" t="str">
        <f>+IF(C572="Coerência", +IF(LEFT(G572,5)="FLOAT","SELECT '"&amp;UPPER(B572)&amp;"' AS TABELA, '"&amp;UPPER(C572)&amp;"' AS TIPOLOGIA_TESTE,'"&amp;D572&amp;"' AS TABELA_LT,'"&amp;E572&amp;"' AS TABELA_SIMUL,'"&amp;F572&amp;"' AS CAMPO, "&amp;"'${ref_date}' AS REF_DATE, COUNT(*) AS NUM_REG, SUM(IF((ABS(COALESCE(CAST(X."&amp;F572&amp;" AS DECIMAL(18,6)),0)-COALESCE(CAST(Y."&amp;F572&amp;"_SIMUL AS DECIMAL(18,6)),0))&gt;0.000001) OR (X."&amp;F572&amp;" IS NULL AND Y."&amp;F572&amp;"_SIMUL IS NOT NULL ) OR (X."&amp;F572&amp;" IS NOT NULL AND Y."&amp;F572&amp;"_SIMUL IS NULL),1,0)) AS NUM_REG_DIF,'"&amp;MAX('ID1&amp;5'!K:K)+1&amp;"' AS ID_EXEC, CURRENT_TIMESTAMP() AS TIME_EXEC FROM "&amp;I572&amp;" INNER JOIN "&amp;J572&amp;" "&amp;K572,"SELECT '"&amp;UPPER(B572)&amp;"' AS TABELA, '"&amp;UPPER(C572)&amp;"' AS TIPOLOGIA_TESTE,'"&amp;D572&amp;"' AS TABELA_LT,'"&amp;E572&amp;"' AS TABELA_SIMUL,'"&amp;F572&amp;"' AS CAMPO, "&amp;"'${ref_date}' AS REF_DATE, COUNT(*) AS NUM_REG, SUM(IF(COALESCE(CAST(X."&amp;F572&amp;" AS STRING),'')&lt;&gt;COALESCE(CAST(Y."&amp;F572&amp;"_SIMUL AS STRING),'') OR (X."&amp;F572&amp;" IS NULL AND Y."&amp;F572&amp;"_SIMUL IS NOT NULL ) OR (X."&amp;F572&amp;" IS NOT NULL AND Y."&amp;F572&amp;"_SIMUL IS NULL),1,0)) AS NUM_REG_DIF,'"&amp;MAX('ID1&amp;5'!L:L)+1&amp;"' AS ID_EXEC, CURRENT_TIMESTAMP() AS TIME_EXEC FROM "&amp;I572&amp;" INNER JOIN "&amp;J572&amp;" "&amp;K572),
IF(C572="Validade",+IF(G572="Code List","SELECT '"&amp;UPPER(B572)&amp;"' AS TABELA, '"&amp;UPPER(C572)&amp;"' AS TIPOLOGIA_TESTE,'"&amp;D572&amp;"' AS TABELA_LT,'N/A' AS TABELA_SIMUL,'"&amp;F572&amp;"' AS CAMPO, "&amp;"'${ref_date}' AS REF_DATE, COUNT(*) AS NUM_REG, SUM(IF(TRIM(CAST(X."&amp;F572&amp;" AS STRING))='' OR TRIM(CAST(X."&amp;F572&amp;" AS STRING)) IS NULL OR CAST(X."&amp;F572&amp;" AS STRING) NOT "&amp;H572&amp;",1,0)) AS NUM_REG_DIF,'"&amp;MAX('ID1&amp;5'!K:K)+1&amp;"' AS ID_EXEC, CURRENT_TIMESTAMP() AS TIME_EXEC FROM "&amp;I572,"SELECT '"&amp;UPPER(B572)&amp;"' AS TABELA, '"&amp;UPPER(C572)&amp;"' AS TIPOLOGIA_TESTE,'"&amp;D572&amp;"' AS TABELA_LT,'N/A' AS TABELA_SIMUL,'"&amp;F572&amp;"' AS CAMPO, "&amp;"'${ref_date}' AS REF_DATE, COUNT(*) AS NUM_REG, SUM(IF(TRIM(CAST(X."&amp;F572&amp;" AS STRING))='' OR TRIM(CAST(X."&amp;F572&amp;" AS STRING)) IS NULL,1,0)) AS NUM_REG_DIF,'"&amp;MAX('ID1&amp;5'!K:K)+1&amp;"' AS ID_EXEC, CURRENT_TIMESTAMP() AS TIME_EXEC FROM "&amp;I572),
IF(C572="Caracteres Especiais",+"SELECT '"&amp;UPPER(B572)&amp;"' AS TABELA, '"&amp;UPPER(C572)&amp;"' AS TIPOLOGIA_TESTE,'"&amp;D572&amp;"' AS TABELA_LT,'N/A' AS TABELA_SIMUL,'"&amp;F572&amp;"' AS CAMPO, "&amp;"'${ref_date}' AS REF_DATE, COUNT(*) AS NUM_REG, SUM(IF(REGEXP_REPLACE(TRIM(CAST(X."&amp;F572&amp;" AS STRING)),'[^a-zA-Z0-9_\\s]','') &lt;&gt;TRIM(CAST(X."&amp;F572&amp;" AS STRING)),1,0)) AS NUM_REG_DIF,'"&amp;MAX('ID1&amp;5'!K:K)+1&amp;"' AS ID_EXEC, CURRENT_TIMESTAMP() AS TIME_EXEC FROM "&amp;I572,
IF(C572="Missings",+"SELECT '"&amp;UPPER(B572)&amp;"' AS TABELA, '"&amp;UPPER(C572)&amp;"' AS TIPOLOGIA_TESTE,'"&amp;D572&amp;"' AS TABELA_LT,'N/A' AS TABELA_SIMUL,'"&amp;F572&amp;"' AS CAMPO, "&amp;"'${ref_date}' AS REF_DATE, COUNT(*) AS NUM_REG, SUM(IF(TRIM(CAST(X."&amp;F572&amp;" AS STRING)) IN ('0000-00-00','0001-01-01','9999-12-31','MISS','00000','99999999999','99999999999.00','99999999999.000000'),1,0)) AS NUM_REG_DIF,'"&amp;MAX('ID1&amp;5'!K:K)+1&amp;"' AS ID_EXEC, CURRENT_TIMESTAMP() AS TIME_EXEC FROM "&amp;I572,
IF(C572="Not applicable",+"SELECT '"&amp;UPPER(B572)&amp;"' AS TABELA, '"&amp;UPPER(C572)&amp;"' AS TIPOLOGIA_TESTE,'"&amp;D572&amp;"' AS TABELA_LT,'N/A' AS TABELA_SIMUL,'"&amp;F572&amp;"' AS CAMPO, "&amp;"'${ref_date}' AS REF_DATE, COUNT(*) AS NUM_REG, SUM(IF(TRIM(CAST(X."&amp;F572&amp;" AS STRING)) IN ('N/A','11111111111','11111111111.00','11111111111.000000','1111-11-11'),1,0)) AS NUM_REG_DIF,'"&amp;MAX('ID1&amp;5'!K:K)+1&amp;"' AS ID_EXEC, CURRENT_TIMESTAMP() AS TIME_EXEC FROM "&amp;I572,
IF(C572="Valores extremos",+"SELECT '"&amp;UPPER(B572)&amp;"' AS TABELA, '"&amp;UPPER(C572)&amp;"' AS TIPOLOGIA_TESTE,'"&amp;D572&amp;"' AS TABELA_LT,'N/A' AS TABELA_SIMUL,'"&amp;F572&amp;"' AS CAMPO, "&amp;"'${ref_date}' AS REF_DATE, CAST(MIN("&amp;F572&amp;") AS STRING) AS VALOR_MIN, CAST(MAX("&amp;F572&amp;") AS STRING) AS VALOR_MAX,'"&amp;MAX('ID1&amp;5'!K:K)+1&amp;"' AS ID_EXEC, CURRENT_TIMESTAMP() AS TIME_EXEC FROM "&amp;MID(I572,1,LEN(I572)-2)&amp;" AND CAST("&amp;F572&amp;"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TABELA_SIMUL,'typ_prtctn_vl' AS CAMPO, '${ref_date}' AS REF_DATE, COUNT(*) AS NUM_REG, SUM(IF(COALESCE(CAST(X.typ_prtctn_vl AS STRING),'')&lt;&gt;COALESCE(CAST(Y.typ_prtctn_vl_SIMUL AS STRING),'') OR (X.typ_prtctn_vl IS NULL AND Y.typ_prtctn_vl_SIMUL IS NOT NULL ) OR (X.typ_prtctn_vl IS NOT NULL AND Y.typ_prtctn_vl_SIMUL IS NULL),1,0)) AS NUM_REG_DIF,'1' AS ID_EXEC, CURRENT_TIMESTAMP() AS TIME_EXEC FROM (SELECT prtctn_id, typ_prtctn_vl FROM BU_LOANTAPE_WORK.LT004_PROTECTION WHERE ref_date='${ref_date}' AND nome_perimetro='Individual Local' AND segmento='ESTR' AND ambito='SRB_MBDT' AND entidade='00100')X INNER JOIN (SELECT prtctn_id AS prtctn_id_SIMUL, typ_prtctn_vl AS typ_prtctn_vl_SIMUL FROM BU_LOANTAPE_WORK.SIMUL_LT004 WHERE ref_date='${ref_date}' AND nome_perimetro='Individual Local' AND segmento='ESTR' AND ambito='PILAR3' AND entidade='00100')Y ON X.PRTCTN_ID=Y.PRTCTN_ID_SIMUL</v>
      </c>
      <c r="M572" s="36" t="str">
        <f t="shared" si="14"/>
        <v>UNION ALL SELECT 'PROTECTION' AS TABELA, 'COERÊNCIA' AS TIPOLOGIA_TESTE,'BU_LOANTAPE_WORK.LT004_PROTECTION' AS TABELA_LT,'BU_LOANTAPE_WORK.SIMUL_LT004' AS TABELA_SIMUL,'typ_prtctn_vl' AS CAMPO, '${ref_date}' AS REF_DATE, COUNT(*) AS NUM_REG, SUM(IF(COALESCE(CAST(X.typ_prtctn_vl AS STRING),'')&lt;&gt;COALESCE(CAST(Y.typ_prtctn_vl_SIMUL AS STRING),'') OR (X.typ_prtctn_vl IS NULL AND Y.typ_prtctn_vl_SIMUL IS NOT NULL ) OR (X.typ_prtctn_vl IS NOT NULL AND Y.typ_prtctn_vl_SIMUL IS NULL),1,0)) AS NUM_REG_DIF,'1' AS ID_EXEC, CURRENT_TIMESTAMP() AS TIME_EXEC FROM (SELECT prtctn_id, typ_prtctn_vl FROM BU_LOANTAPE_WORK.LT004_PROTECTION WHERE ref_date='${ref_date}' AND nome_perimetro='Individual Local' AND segmento='ESTR' AND ambito='SRB_MBDT' AND entidade='00100')X INNER JOIN (SELECT prtctn_id AS prtctn_id_SIMUL, typ_prtctn_vl AS typ_prtctn_vl_SIMUL FROM BU_LOANTAPE_WORK.SIMUL_LT004 WHERE ref_date='${ref_date}' AND nome_perimetro='Individual Local' AND segmento='ESTR' AND ambito='PILAR3' AND entidade='00100')Y ON X.PRTCTN_ID=Y.PRTCTN_ID_SIMUL</v>
      </c>
    </row>
    <row r="573" spans="2:13">
      <c r="B573" s="34" t="s">
        <v>119</v>
      </c>
      <c r="C573" s="34" t="s">
        <v>5</v>
      </c>
      <c r="D573" s="34" t="str">
        <f>+UPPER('0. Instruções'!$D$35&amp;"."&amp;VLOOKUP(B573,'0. Instruções'!$C$27:$D$32,2,FALSE))</f>
        <v>BU_LOANTAPE_WORK.LT004_PROTECTION</v>
      </c>
      <c r="E573" s="34" t="str">
        <f>+UPPER('0. Instruções'!$D$36&amp;"."&amp;VLOOKUP(B573,'0. Instruções'!$C$27:$E$32,3,FALSE))</f>
        <v>BU_LOANTAPE_WORK.SIMUL_LT004</v>
      </c>
      <c r="F573" s="34" t="s">
        <v>1520</v>
      </c>
      <c r="G573" s="34"/>
      <c r="H573" s="34"/>
      <c r="I573" s="34" t="str">
        <f>"(SELECT "&amp;VLOOKUP(B573,'0. Instruções'!$C$27:$G$32,4,FALSE)&amp;", "&amp;F573&amp;" FROM "&amp;D573&amp;" WHERE "&amp;'0. Instruções'!$D$42&amp;")X"</f>
        <v>(SELECT prtctn_id, apprsl_crrncy FROM BU_LOANTAPE_WORK.LT004_PROTECTION WHERE ref_date='${ref_date}' AND nome_perimetro='Individual Local' AND segmento='ESTR' AND ambito='SRB_MBDT' AND entidade='00100')X</v>
      </c>
      <c r="J573" s="34" t="str">
        <f>"(SELECT "&amp;VLOOKUP(B573,'0. Instruções'!$C$27:$G$32,4,FALSE)&amp;" AS "&amp;VLOOKUP(B573,'0. Instruções'!$C$27:$G$32,4,FALSE)&amp;"_SIMUL, "&amp;F573&amp;" AS "&amp;F573&amp;"_SIMUL FROM "&amp;E573&amp;" WHERE "&amp;'0. Instruções'!$D$43&amp;")Y"</f>
        <v>(SELECT prtctn_id AS prtctn_id_SIMUL, apprsl_crrncy AS apprsl_crrncy_SIMUL FROM BU_LOANTAPE_WORK.SIMUL_LT004 WHERE ref_date='${ref_date}' AND nome_perimetro='Individual Local' AND segmento='ESTR' AND ambito='PILAR3' AND entidade='00100')Y</v>
      </c>
      <c r="K573" s="35" t="str">
        <f>+UPPER("ON X."&amp;VLOOKUP(B573,'0. Instruções'!$C$27:$G$32,4,FALSE)&amp;"=Y."&amp;VLOOKUP(B573,'0. Instruções'!$C$27:$G$32,4,FALSE)&amp;"_SIMUL")</f>
        <v>ON X.PRTCTN_ID=Y.PRTCTN_ID_SIMUL</v>
      </c>
      <c r="L573" s="35" t="str">
        <f>+IF(C573="Coerência", +IF(LEFT(G573,5)="FLOAT","SELECT '"&amp;UPPER(B573)&amp;"' AS TABELA, '"&amp;UPPER(C573)&amp;"' AS TIPOLOGIA_TESTE,'"&amp;D573&amp;"' AS TABELA_LT,'"&amp;E573&amp;"' AS TABELA_SIMUL,'"&amp;F573&amp;"' AS CAMPO, "&amp;"'${ref_date}' AS REF_DATE, COUNT(*) AS NUM_REG, SUM(IF((ABS(COALESCE(CAST(X."&amp;F573&amp;" AS DECIMAL(18,6)),0)-COALESCE(CAST(Y."&amp;F573&amp;"_SIMUL AS DECIMAL(18,6)),0))&gt;0.000001) OR (X."&amp;F573&amp;" IS NULL AND Y."&amp;F573&amp;"_SIMUL IS NOT NULL ) OR (X."&amp;F573&amp;" IS NOT NULL AND Y."&amp;F573&amp;"_SIMUL IS NULL),1,0)) AS NUM_REG_DIF,'"&amp;MAX('ID1&amp;5'!K:K)+1&amp;"' AS ID_EXEC, CURRENT_TIMESTAMP() AS TIME_EXEC FROM "&amp;I573&amp;" INNER JOIN "&amp;J573&amp;" "&amp;K573,"SELECT '"&amp;UPPER(B573)&amp;"' AS TABELA, '"&amp;UPPER(C573)&amp;"' AS TIPOLOGIA_TESTE,'"&amp;D573&amp;"' AS TABELA_LT,'"&amp;E573&amp;"' AS TABELA_SIMUL,'"&amp;F573&amp;"' AS CAMPO, "&amp;"'${ref_date}' AS REF_DATE, COUNT(*) AS NUM_REG, SUM(IF(COALESCE(CAST(X."&amp;F573&amp;" AS STRING),'')&lt;&gt;COALESCE(CAST(Y."&amp;F573&amp;"_SIMUL AS STRING),'') OR (X."&amp;F573&amp;" IS NULL AND Y."&amp;F573&amp;"_SIMUL IS NOT NULL ) OR (X."&amp;F573&amp;" IS NOT NULL AND Y."&amp;F573&amp;"_SIMUL IS NULL),1,0)) AS NUM_REG_DIF,'"&amp;MAX('ID1&amp;5'!L:L)+1&amp;"' AS ID_EXEC, CURRENT_TIMESTAMP() AS TIME_EXEC FROM "&amp;I573&amp;" INNER JOIN "&amp;J573&amp;" "&amp;K573),
IF(C573="Validade",+IF(G573="Code List","SELECT '"&amp;UPPER(B573)&amp;"' AS TABELA, '"&amp;UPPER(C573)&amp;"' AS TIPOLOGIA_TESTE,'"&amp;D573&amp;"' AS TABELA_LT,'N/A' AS TABELA_SIMUL,'"&amp;F573&amp;"' AS CAMPO, "&amp;"'${ref_date}' AS REF_DATE, COUNT(*) AS NUM_REG, SUM(IF(TRIM(CAST(X."&amp;F573&amp;" AS STRING))='' OR TRIM(CAST(X."&amp;F573&amp;" AS STRING)) IS NULL OR CAST(X."&amp;F573&amp;" AS STRING) NOT "&amp;H573&amp;",1,0)) AS NUM_REG_DIF,'"&amp;MAX('ID1&amp;5'!K:K)+1&amp;"' AS ID_EXEC, CURRENT_TIMESTAMP() AS TIME_EXEC FROM "&amp;I573,"SELECT '"&amp;UPPER(B573)&amp;"' AS TABELA, '"&amp;UPPER(C573)&amp;"' AS TIPOLOGIA_TESTE,'"&amp;D573&amp;"' AS TABELA_LT,'N/A' AS TABELA_SIMUL,'"&amp;F573&amp;"' AS CAMPO, "&amp;"'${ref_date}' AS REF_DATE, COUNT(*) AS NUM_REG, SUM(IF(TRIM(CAST(X."&amp;F573&amp;" AS STRING))='' OR TRIM(CAST(X."&amp;F573&amp;" AS STRING)) IS NULL,1,0)) AS NUM_REG_DIF,'"&amp;MAX('ID1&amp;5'!K:K)+1&amp;"' AS ID_EXEC, CURRENT_TIMESTAMP() AS TIME_EXEC FROM "&amp;I573),
IF(C573="Caracteres Especiais",+"SELECT '"&amp;UPPER(B573)&amp;"' AS TABELA, '"&amp;UPPER(C573)&amp;"' AS TIPOLOGIA_TESTE,'"&amp;D573&amp;"' AS TABELA_LT,'N/A' AS TABELA_SIMUL,'"&amp;F573&amp;"' AS CAMPO, "&amp;"'${ref_date}' AS REF_DATE, COUNT(*) AS NUM_REG, SUM(IF(REGEXP_REPLACE(TRIM(CAST(X."&amp;F573&amp;" AS STRING)),'[^a-zA-Z0-9_\\s]','') &lt;&gt;TRIM(CAST(X."&amp;F573&amp;" AS STRING)),1,0)) AS NUM_REG_DIF,'"&amp;MAX('ID1&amp;5'!K:K)+1&amp;"' AS ID_EXEC, CURRENT_TIMESTAMP() AS TIME_EXEC FROM "&amp;I573,
IF(C573="Missings",+"SELECT '"&amp;UPPER(B573)&amp;"' AS TABELA, '"&amp;UPPER(C573)&amp;"' AS TIPOLOGIA_TESTE,'"&amp;D573&amp;"' AS TABELA_LT,'N/A' AS TABELA_SIMUL,'"&amp;F573&amp;"' AS CAMPO, "&amp;"'${ref_date}' AS REF_DATE, COUNT(*) AS NUM_REG, SUM(IF(TRIM(CAST(X."&amp;F573&amp;" AS STRING)) IN ('0000-00-00','0001-01-01','9999-12-31','MISS','00000','99999999999','99999999999.00','99999999999.000000'),1,0)) AS NUM_REG_DIF,'"&amp;MAX('ID1&amp;5'!K:K)+1&amp;"' AS ID_EXEC, CURRENT_TIMESTAMP() AS TIME_EXEC FROM "&amp;I573,
IF(C573="Not applicable",+"SELECT '"&amp;UPPER(B573)&amp;"' AS TABELA, '"&amp;UPPER(C573)&amp;"' AS TIPOLOGIA_TESTE,'"&amp;D573&amp;"' AS TABELA_LT,'N/A' AS TABELA_SIMUL,'"&amp;F573&amp;"' AS CAMPO, "&amp;"'${ref_date}' AS REF_DATE, COUNT(*) AS NUM_REG, SUM(IF(TRIM(CAST(X."&amp;F573&amp;" AS STRING)) IN ('N/A','11111111111','11111111111.00','11111111111.000000','1111-11-11'),1,0)) AS NUM_REG_DIF,'"&amp;MAX('ID1&amp;5'!K:K)+1&amp;"' AS ID_EXEC, CURRENT_TIMESTAMP() AS TIME_EXEC FROM "&amp;I573,
IF(C573="Valores extremos",+"SELECT '"&amp;UPPER(B573)&amp;"' AS TABELA, '"&amp;UPPER(C573)&amp;"' AS TIPOLOGIA_TESTE,'"&amp;D573&amp;"' AS TABELA_LT,'N/A' AS TABELA_SIMUL,'"&amp;F573&amp;"' AS CAMPO, "&amp;"'${ref_date}' AS REF_DATE, CAST(MIN("&amp;F573&amp;") AS STRING) AS VALOR_MIN, CAST(MAX("&amp;F573&amp;") AS STRING) AS VALOR_MAX,'"&amp;MAX('ID1&amp;5'!K:K)+1&amp;"' AS ID_EXEC, CURRENT_TIMESTAMP() AS TIME_EXEC FROM "&amp;MID(I573,1,LEN(I573)-2)&amp;" AND CAST("&amp;F573&amp;"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TABELA_SIMUL,'apprsl_crrncy' AS CAMPO, '${ref_date}' AS REF_DATE, COUNT(*) AS NUM_REG, SUM(IF(COALESCE(CAST(X.apprsl_crrncy AS STRING),'')&lt;&gt;COALESCE(CAST(Y.apprsl_crrncy_SIMUL AS STRING),'') OR (X.apprsl_crrncy IS NULL AND Y.apprsl_crrncy_SIMUL IS NOT NULL ) OR (X.apprsl_crrncy IS NOT NULL AND Y.apprsl_crrncy_SIMUL IS NULL),1,0)) AS NUM_REG_DIF,'1' AS ID_EXEC, CURRENT_TIMESTAMP() AS TIME_EXEC FROM (SELECT prtctn_id, apprsl_crrncy FROM BU_LOANTAPE_WORK.LT004_PROTECTION WHERE ref_date='${ref_date}' AND nome_perimetro='Individual Local' AND segmento='ESTR' AND ambito='SRB_MBDT' AND entidade='00100')X INNER JOIN (SELECT prtctn_id AS prtctn_id_SIMUL, apprsl_crrncy AS apprsl_crrncy_SIMUL FROM BU_LOANTAPE_WORK.SIMUL_LT004 WHERE ref_date='${ref_date}' AND nome_perimetro='Individual Local' AND segmento='ESTR' AND ambito='PILAR3' AND entidade='00100')Y ON X.PRTCTN_ID=Y.PRTCTN_ID_SIMUL</v>
      </c>
      <c r="M573" s="36" t="str">
        <f t="shared" si="14"/>
        <v>UNION ALL SELECT 'PROTECTION' AS TABELA, 'COERÊNCIA' AS TIPOLOGIA_TESTE,'BU_LOANTAPE_WORK.LT004_PROTECTION' AS TABELA_LT,'BU_LOANTAPE_WORK.SIMUL_LT004' AS TABELA_SIMUL,'apprsl_crrncy' AS CAMPO, '${ref_date}' AS REF_DATE, COUNT(*) AS NUM_REG, SUM(IF(COALESCE(CAST(X.apprsl_crrncy AS STRING),'')&lt;&gt;COALESCE(CAST(Y.apprsl_crrncy_SIMUL AS STRING),'') OR (X.apprsl_crrncy IS NULL AND Y.apprsl_crrncy_SIMUL IS NOT NULL ) OR (X.apprsl_crrncy IS NOT NULL AND Y.apprsl_crrncy_SIMUL IS NULL),1,0)) AS NUM_REG_DIF,'1' AS ID_EXEC, CURRENT_TIMESTAMP() AS TIME_EXEC FROM (SELECT prtctn_id, apprsl_crrncy FROM BU_LOANTAPE_WORK.LT004_PROTECTION WHERE ref_date='${ref_date}' AND nome_perimetro='Individual Local' AND segmento='ESTR' AND ambito='SRB_MBDT' AND entidade='00100')X INNER JOIN (SELECT prtctn_id AS prtctn_id_SIMUL, apprsl_crrncy AS apprsl_crrncy_SIMUL FROM BU_LOANTAPE_WORK.SIMUL_LT004 WHERE ref_date='${ref_date}' AND nome_perimetro='Individual Local' AND segmento='ESTR' AND ambito='PILAR3' AND entidade='00100')Y ON X.PRTCTN_ID=Y.PRTCTN_ID_SIMUL</v>
      </c>
    </row>
    <row r="574" spans="2:13">
      <c r="B574" s="34" t="s">
        <v>119</v>
      </c>
      <c r="C574" s="34" t="s">
        <v>5</v>
      </c>
      <c r="D574" s="34" t="str">
        <f>+UPPER('0. Instruções'!$D$35&amp;"."&amp;VLOOKUP(B574,'0. Instruções'!$C$27:$D$32,2,FALSE))</f>
        <v>BU_LOANTAPE_WORK.LT004_PROTECTION</v>
      </c>
      <c r="E574" s="34" t="str">
        <f>+UPPER('0. Instruções'!$D$36&amp;"."&amp;VLOOKUP(B574,'0. Instruções'!$C$27:$E$32,3,FALSE))</f>
        <v>BU_LOANTAPE_WORK.SIMUL_LT004</v>
      </c>
      <c r="F574" s="34" t="s">
        <v>1521</v>
      </c>
      <c r="G574" s="34"/>
      <c r="H574" s="34"/>
      <c r="I574" s="34" t="str">
        <f>"(SELECT "&amp;VLOOKUP(B574,'0. Instruções'!$C$27:$G$32,4,FALSE)&amp;", "&amp;F574&amp;" FROM "&amp;D574&amp;" WHERE "&amp;'0. Instruções'!$D$42&amp;")X"</f>
        <v>(SELECT prtctn_id, apprsr FROM BU_LOANTAPE_WORK.LT004_PROTECTION WHERE ref_date='${ref_date}' AND nome_perimetro='Individual Local' AND segmento='ESTR' AND ambito='SRB_MBDT' AND entidade='00100')X</v>
      </c>
      <c r="J574" s="34" t="str">
        <f>"(SELECT "&amp;VLOOKUP(B574,'0. Instruções'!$C$27:$G$32,4,FALSE)&amp;" AS "&amp;VLOOKUP(B574,'0. Instruções'!$C$27:$G$32,4,FALSE)&amp;"_SIMUL, "&amp;F574&amp;" AS "&amp;F574&amp;"_SIMUL FROM "&amp;E574&amp;" WHERE "&amp;'0. Instruções'!$D$43&amp;")Y"</f>
        <v>(SELECT prtctn_id AS prtctn_id_SIMUL, apprsr AS apprsr_SIMUL FROM BU_LOANTAPE_WORK.SIMUL_LT004 WHERE ref_date='${ref_date}' AND nome_perimetro='Individual Local' AND segmento='ESTR' AND ambito='PILAR3' AND entidade='00100')Y</v>
      </c>
      <c r="K574" s="35" t="str">
        <f>+UPPER("ON X."&amp;VLOOKUP(B574,'0. Instruções'!$C$27:$G$32,4,FALSE)&amp;"=Y."&amp;VLOOKUP(B574,'0. Instruções'!$C$27:$G$32,4,FALSE)&amp;"_SIMUL")</f>
        <v>ON X.PRTCTN_ID=Y.PRTCTN_ID_SIMUL</v>
      </c>
      <c r="L574" s="35" t="str">
        <f>+IF(C574="Coerência", +IF(LEFT(G574,5)="FLOAT","SELECT '"&amp;UPPER(B574)&amp;"' AS TABELA, '"&amp;UPPER(C574)&amp;"' AS TIPOLOGIA_TESTE,'"&amp;D574&amp;"' AS TABELA_LT,'"&amp;E574&amp;"' AS TABELA_SIMUL,'"&amp;F574&amp;"' AS CAMPO, "&amp;"'${ref_date}' AS REF_DATE, COUNT(*) AS NUM_REG, SUM(IF((ABS(COALESCE(CAST(X."&amp;F574&amp;" AS DECIMAL(18,6)),0)-COALESCE(CAST(Y."&amp;F574&amp;"_SIMUL AS DECIMAL(18,6)),0))&gt;0.000001) OR (X."&amp;F574&amp;" IS NULL AND Y."&amp;F574&amp;"_SIMUL IS NOT NULL ) OR (X."&amp;F574&amp;" IS NOT NULL AND Y."&amp;F574&amp;"_SIMUL IS NULL),1,0)) AS NUM_REG_DIF,'"&amp;MAX('ID1&amp;5'!K:K)+1&amp;"' AS ID_EXEC, CURRENT_TIMESTAMP() AS TIME_EXEC FROM "&amp;I574&amp;" INNER JOIN "&amp;J574&amp;" "&amp;K574,"SELECT '"&amp;UPPER(B574)&amp;"' AS TABELA, '"&amp;UPPER(C574)&amp;"' AS TIPOLOGIA_TESTE,'"&amp;D574&amp;"' AS TABELA_LT,'"&amp;E574&amp;"' AS TABELA_SIMUL,'"&amp;F574&amp;"' AS CAMPO, "&amp;"'${ref_date}' AS REF_DATE, COUNT(*) AS NUM_REG, SUM(IF(COALESCE(CAST(X."&amp;F574&amp;" AS STRING),'')&lt;&gt;COALESCE(CAST(Y."&amp;F574&amp;"_SIMUL AS STRING),'') OR (X."&amp;F574&amp;" IS NULL AND Y."&amp;F574&amp;"_SIMUL IS NOT NULL ) OR (X."&amp;F574&amp;" IS NOT NULL AND Y."&amp;F574&amp;"_SIMUL IS NULL),1,0)) AS NUM_REG_DIF,'"&amp;MAX('ID1&amp;5'!L:L)+1&amp;"' AS ID_EXEC, CURRENT_TIMESTAMP() AS TIME_EXEC FROM "&amp;I574&amp;" INNER JOIN "&amp;J574&amp;" "&amp;K574),
IF(C574="Validade",+IF(G574="Code List","SELECT '"&amp;UPPER(B574)&amp;"' AS TABELA, '"&amp;UPPER(C574)&amp;"' AS TIPOLOGIA_TESTE,'"&amp;D574&amp;"' AS TABELA_LT,'N/A' AS TABELA_SIMUL,'"&amp;F574&amp;"' AS CAMPO, "&amp;"'${ref_date}' AS REF_DATE, COUNT(*) AS NUM_REG, SUM(IF(TRIM(CAST(X."&amp;F574&amp;" AS STRING))='' OR TRIM(CAST(X."&amp;F574&amp;" AS STRING)) IS NULL OR CAST(X."&amp;F574&amp;" AS STRING) NOT "&amp;H574&amp;",1,0)) AS NUM_REG_DIF,'"&amp;MAX('ID1&amp;5'!K:K)+1&amp;"' AS ID_EXEC, CURRENT_TIMESTAMP() AS TIME_EXEC FROM "&amp;I574,"SELECT '"&amp;UPPER(B574)&amp;"' AS TABELA, '"&amp;UPPER(C574)&amp;"' AS TIPOLOGIA_TESTE,'"&amp;D574&amp;"' AS TABELA_LT,'N/A' AS TABELA_SIMUL,'"&amp;F574&amp;"' AS CAMPO, "&amp;"'${ref_date}' AS REF_DATE, COUNT(*) AS NUM_REG, SUM(IF(TRIM(CAST(X."&amp;F574&amp;" AS STRING))='' OR TRIM(CAST(X."&amp;F574&amp;" AS STRING)) IS NULL,1,0)) AS NUM_REG_DIF,'"&amp;MAX('ID1&amp;5'!K:K)+1&amp;"' AS ID_EXEC, CURRENT_TIMESTAMP() AS TIME_EXEC FROM "&amp;I574),
IF(C574="Caracteres Especiais",+"SELECT '"&amp;UPPER(B574)&amp;"' AS TABELA, '"&amp;UPPER(C574)&amp;"' AS TIPOLOGIA_TESTE,'"&amp;D574&amp;"' AS TABELA_LT,'N/A' AS TABELA_SIMUL,'"&amp;F574&amp;"' AS CAMPO, "&amp;"'${ref_date}' AS REF_DATE, COUNT(*) AS NUM_REG, SUM(IF(REGEXP_REPLACE(TRIM(CAST(X."&amp;F574&amp;" AS STRING)),'[^a-zA-Z0-9_\\s]','') &lt;&gt;TRIM(CAST(X."&amp;F574&amp;" AS STRING)),1,0)) AS NUM_REG_DIF,'"&amp;MAX('ID1&amp;5'!K:K)+1&amp;"' AS ID_EXEC, CURRENT_TIMESTAMP() AS TIME_EXEC FROM "&amp;I574,
IF(C574="Missings",+"SELECT '"&amp;UPPER(B574)&amp;"' AS TABELA, '"&amp;UPPER(C574)&amp;"' AS TIPOLOGIA_TESTE,'"&amp;D574&amp;"' AS TABELA_LT,'N/A' AS TABELA_SIMUL,'"&amp;F574&amp;"' AS CAMPO, "&amp;"'${ref_date}' AS REF_DATE, COUNT(*) AS NUM_REG, SUM(IF(TRIM(CAST(X."&amp;F574&amp;" AS STRING)) IN ('0000-00-00','0001-01-01','9999-12-31','MISS','00000','99999999999','99999999999.00','99999999999.000000'),1,0)) AS NUM_REG_DIF,'"&amp;MAX('ID1&amp;5'!K:K)+1&amp;"' AS ID_EXEC, CURRENT_TIMESTAMP() AS TIME_EXEC FROM "&amp;I574,
IF(C574="Not applicable",+"SELECT '"&amp;UPPER(B574)&amp;"' AS TABELA, '"&amp;UPPER(C574)&amp;"' AS TIPOLOGIA_TESTE,'"&amp;D574&amp;"' AS TABELA_LT,'N/A' AS TABELA_SIMUL,'"&amp;F574&amp;"' AS CAMPO, "&amp;"'${ref_date}' AS REF_DATE, COUNT(*) AS NUM_REG, SUM(IF(TRIM(CAST(X."&amp;F574&amp;" AS STRING)) IN ('N/A','11111111111','11111111111.00','11111111111.000000','1111-11-11'),1,0)) AS NUM_REG_DIF,'"&amp;MAX('ID1&amp;5'!K:K)+1&amp;"' AS ID_EXEC, CURRENT_TIMESTAMP() AS TIME_EXEC FROM "&amp;I574,
IF(C574="Valores extremos",+"SELECT '"&amp;UPPER(B574)&amp;"' AS TABELA, '"&amp;UPPER(C574)&amp;"' AS TIPOLOGIA_TESTE,'"&amp;D574&amp;"' AS TABELA_LT,'N/A' AS TABELA_SIMUL,'"&amp;F574&amp;"' AS CAMPO, "&amp;"'${ref_date}' AS REF_DATE, CAST(MIN("&amp;F574&amp;") AS STRING) AS VALOR_MIN, CAST(MAX("&amp;F574&amp;") AS STRING) AS VALOR_MAX,'"&amp;MAX('ID1&amp;5'!K:K)+1&amp;"' AS ID_EXEC, CURRENT_TIMESTAMP() AS TIME_EXEC FROM "&amp;MID(I574,1,LEN(I574)-2)&amp;" AND CAST("&amp;F574&amp;"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TABELA_SIMUL,'apprsr' AS CAMPO, '${ref_date}' AS REF_DATE, COUNT(*) AS NUM_REG, SUM(IF(COALESCE(CAST(X.apprsr AS STRING),'')&lt;&gt;COALESCE(CAST(Y.apprsr_SIMUL AS STRING),'') OR (X.apprsr IS NULL AND Y.apprsr_SIMUL IS NOT NULL ) OR (X.apprsr IS NOT NULL AND Y.apprsr_SIMUL IS NULL),1,0)) AS NUM_REG_DIF,'1' AS ID_EXEC, CURRENT_TIMESTAMP() AS TIME_EXEC FROM (SELECT prtctn_id, apprsr FROM BU_LOANTAPE_WORK.LT004_PROTECTION WHERE ref_date='${ref_date}' AND nome_perimetro='Individual Local' AND segmento='ESTR' AND ambito='SRB_MBDT' AND entidade='00100')X INNER JOIN (SELECT prtctn_id AS prtctn_id_SIMUL, apprsr AS apprsr_SIMUL FROM BU_LOANTAPE_WORK.SIMUL_LT004 WHERE ref_date='${ref_date}' AND nome_perimetro='Individual Local' AND segmento='ESTR' AND ambito='PILAR3' AND entidade='00100')Y ON X.PRTCTN_ID=Y.PRTCTN_ID_SIMUL</v>
      </c>
      <c r="M574" s="36" t="str">
        <f t="shared" si="14"/>
        <v>UNION ALL SELECT 'PROTECTION' AS TABELA, 'COERÊNCIA' AS TIPOLOGIA_TESTE,'BU_LOANTAPE_WORK.LT004_PROTECTION' AS TABELA_LT,'BU_LOANTAPE_WORK.SIMUL_LT004' AS TABELA_SIMUL,'apprsr' AS CAMPO, '${ref_date}' AS REF_DATE, COUNT(*) AS NUM_REG, SUM(IF(COALESCE(CAST(X.apprsr AS STRING),'')&lt;&gt;COALESCE(CAST(Y.apprsr_SIMUL AS STRING),'') OR (X.apprsr IS NULL AND Y.apprsr_SIMUL IS NOT NULL ) OR (X.apprsr IS NOT NULL AND Y.apprsr_SIMUL IS NULL),1,0)) AS NUM_REG_DIF,'1' AS ID_EXEC, CURRENT_TIMESTAMP() AS TIME_EXEC FROM (SELECT prtctn_id, apprsr FROM BU_LOANTAPE_WORK.LT004_PROTECTION WHERE ref_date='${ref_date}' AND nome_perimetro='Individual Local' AND segmento='ESTR' AND ambito='SRB_MBDT' AND entidade='00100')X INNER JOIN (SELECT prtctn_id AS prtctn_id_SIMUL, apprsr AS apprsr_SIMUL FROM BU_LOANTAPE_WORK.SIMUL_LT004 WHERE ref_date='${ref_date}' AND nome_perimetro='Individual Local' AND segmento='ESTR' AND ambito='PILAR3' AND entidade='00100')Y ON X.PRTCTN_ID=Y.PRTCTN_ID_SIMUL</v>
      </c>
    </row>
    <row r="575" spans="2:13">
      <c r="B575" s="34" t="s">
        <v>119</v>
      </c>
      <c r="C575" s="34" t="s">
        <v>5</v>
      </c>
      <c r="D575" s="34" t="str">
        <f>+UPPER('0. Instruções'!$D$35&amp;"."&amp;VLOOKUP(B575,'0. Instruções'!$C$27:$D$32,2,FALSE))</f>
        <v>BU_LOANTAPE_WORK.LT004_PROTECTION</v>
      </c>
      <c r="E575" s="34" t="str">
        <f>+UPPER('0. Instruções'!$D$36&amp;"."&amp;VLOOKUP(B575,'0. Instruções'!$C$27:$E$32,3,FALSE))</f>
        <v>BU_LOANTAPE_WORK.SIMUL_LT004</v>
      </c>
      <c r="F575" s="34" t="s">
        <v>1522</v>
      </c>
      <c r="G575" s="34"/>
      <c r="H575" s="34"/>
      <c r="I575" s="34" t="str">
        <f>"(SELECT "&amp;VLOOKUP(B575,'0. Instruções'!$C$27:$G$32,4,FALSE)&amp;", "&amp;F575&amp;" FROM "&amp;D575&amp;" WHERE "&amp;'0. Instruções'!$D$42&amp;")X"</f>
        <v>(SELECT prtctn_id, dt_lst_fll_apprsl FROM BU_LOANTAPE_WORK.LT004_PROTECTION WHERE ref_date='${ref_date}' AND nome_perimetro='Individual Local' AND segmento='ESTR' AND ambito='SRB_MBDT' AND entidade='00100')X</v>
      </c>
      <c r="J575" s="34" t="str">
        <f>"(SELECT "&amp;VLOOKUP(B575,'0. Instruções'!$C$27:$G$32,4,FALSE)&amp;" AS "&amp;VLOOKUP(B575,'0. Instruções'!$C$27:$G$32,4,FALSE)&amp;"_SIMUL, "&amp;F575&amp;" AS "&amp;F575&amp;"_SIMUL FROM "&amp;E575&amp;" WHERE "&amp;'0. Instruções'!$D$43&amp;")Y"</f>
        <v>(SELECT prtctn_id AS prtctn_id_SIMUL, dt_lst_fll_apprsl AS dt_lst_fll_apprsl_SIMUL FROM BU_LOANTAPE_WORK.SIMUL_LT004 WHERE ref_date='${ref_date}' AND nome_perimetro='Individual Local' AND segmento='ESTR' AND ambito='PILAR3' AND entidade='00100')Y</v>
      </c>
      <c r="K575" s="35" t="str">
        <f>+UPPER("ON X."&amp;VLOOKUP(B575,'0. Instruções'!$C$27:$G$32,4,FALSE)&amp;"=Y."&amp;VLOOKUP(B575,'0. Instruções'!$C$27:$G$32,4,FALSE)&amp;"_SIMUL")</f>
        <v>ON X.PRTCTN_ID=Y.PRTCTN_ID_SIMUL</v>
      </c>
      <c r="L575" s="35" t="str">
        <f>+IF(C575="Coerência", +IF(LEFT(G575,5)="FLOAT","SELECT '"&amp;UPPER(B575)&amp;"' AS TABELA, '"&amp;UPPER(C575)&amp;"' AS TIPOLOGIA_TESTE,'"&amp;D575&amp;"' AS TABELA_LT,'"&amp;E575&amp;"' AS TABELA_SIMUL,'"&amp;F575&amp;"' AS CAMPO, "&amp;"'${ref_date}' AS REF_DATE, COUNT(*) AS NUM_REG, SUM(IF((ABS(COALESCE(CAST(X."&amp;F575&amp;" AS DECIMAL(18,6)),0)-COALESCE(CAST(Y."&amp;F575&amp;"_SIMUL AS DECIMAL(18,6)),0))&gt;0.000001) OR (X."&amp;F575&amp;" IS NULL AND Y."&amp;F575&amp;"_SIMUL IS NOT NULL ) OR (X."&amp;F575&amp;" IS NOT NULL AND Y."&amp;F575&amp;"_SIMUL IS NULL),1,0)) AS NUM_REG_DIF,'"&amp;MAX('ID1&amp;5'!K:K)+1&amp;"' AS ID_EXEC, CURRENT_TIMESTAMP() AS TIME_EXEC FROM "&amp;I575&amp;" INNER JOIN "&amp;J575&amp;" "&amp;K575,"SELECT '"&amp;UPPER(B575)&amp;"' AS TABELA, '"&amp;UPPER(C575)&amp;"' AS TIPOLOGIA_TESTE,'"&amp;D575&amp;"' AS TABELA_LT,'"&amp;E575&amp;"' AS TABELA_SIMUL,'"&amp;F575&amp;"' AS CAMPO, "&amp;"'${ref_date}' AS REF_DATE, COUNT(*) AS NUM_REG, SUM(IF(COALESCE(CAST(X."&amp;F575&amp;" AS STRING),'')&lt;&gt;COALESCE(CAST(Y."&amp;F575&amp;"_SIMUL AS STRING),'') OR (X."&amp;F575&amp;" IS NULL AND Y."&amp;F575&amp;"_SIMUL IS NOT NULL ) OR (X."&amp;F575&amp;" IS NOT NULL AND Y."&amp;F575&amp;"_SIMUL IS NULL),1,0)) AS NUM_REG_DIF,'"&amp;MAX('ID1&amp;5'!L:L)+1&amp;"' AS ID_EXEC, CURRENT_TIMESTAMP() AS TIME_EXEC FROM "&amp;I575&amp;" INNER JOIN "&amp;J575&amp;" "&amp;K575),
IF(C575="Validade",+IF(G575="Code List","SELECT '"&amp;UPPER(B575)&amp;"' AS TABELA, '"&amp;UPPER(C575)&amp;"' AS TIPOLOGIA_TESTE,'"&amp;D575&amp;"' AS TABELA_LT,'N/A' AS TABELA_SIMUL,'"&amp;F575&amp;"' AS CAMPO, "&amp;"'${ref_date}' AS REF_DATE, COUNT(*) AS NUM_REG, SUM(IF(TRIM(CAST(X."&amp;F575&amp;" AS STRING))='' OR TRIM(CAST(X."&amp;F575&amp;" AS STRING)) IS NULL OR CAST(X."&amp;F575&amp;" AS STRING) NOT "&amp;H575&amp;",1,0)) AS NUM_REG_DIF,'"&amp;MAX('ID1&amp;5'!K:K)+1&amp;"' AS ID_EXEC, CURRENT_TIMESTAMP() AS TIME_EXEC FROM "&amp;I575,"SELECT '"&amp;UPPER(B575)&amp;"' AS TABELA, '"&amp;UPPER(C575)&amp;"' AS TIPOLOGIA_TESTE,'"&amp;D575&amp;"' AS TABELA_LT,'N/A' AS TABELA_SIMUL,'"&amp;F575&amp;"' AS CAMPO, "&amp;"'${ref_date}' AS REF_DATE, COUNT(*) AS NUM_REG, SUM(IF(TRIM(CAST(X."&amp;F575&amp;" AS STRING))='' OR TRIM(CAST(X."&amp;F575&amp;" AS STRING)) IS NULL,1,0)) AS NUM_REG_DIF,'"&amp;MAX('ID1&amp;5'!K:K)+1&amp;"' AS ID_EXEC, CURRENT_TIMESTAMP() AS TIME_EXEC FROM "&amp;I575),
IF(C575="Caracteres Especiais",+"SELECT '"&amp;UPPER(B575)&amp;"' AS TABELA, '"&amp;UPPER(C575)&amp;"' AS TIPOLOGIA_TESTE,'"&amp;D575&amp;"' AS TABELA_LT,'N/A' AS TABELA_SIMUL,'"&amp;F575&amp;"' AS CAMPO, "&amp;"'${ref_date}' AS REF_DATE, COUNT(*) AS NUM_REG, SUM(IF(REGEXP_REPLACE(TRIM(CAST(X."&amp;F575&amp;" AS STRING)),'[^a-zA-Z0-9_\\s]','') &lt;&gt;TRIM(CAST(X."&amp;F575&amp;" AS STRING)),1,0)) AS NUM_REG_DIF,'"&amp;MAX('ID1&amp;5'!K:K)+1&amp;"' AS ID_EXEC, CURRENT_TIMESTAMP() AS TIME_EXEC FROM "&amp;I575,
IF(C575="Missings",+"SELECT '"&amp;UPPER(B575)&amp;"' AS TABELA, '"&amp;UPPER(C575)&amp;"' AS TIPOLOGIA_TESTE,'"&amp;D575&amp;"' AS TABELA_LT,'N/A' AS TABELA_SIMUL,'"&amp;F575&amp;"' AS CAMPO, "&amp;"'${ref_date}' AS REF_DATE, COUNT(*) AS NUM_REG, SUM(IF(TRIM(CAST(X."&amp;F575&amp;" AS STRING)) IN ('0000-00-00','0001-01-01','9999-12-31','MISS','00000','99999999999','99999999999.00','99999999999.000000'),1,0)) AS NUM_REG_DIF,'"&amp;MAX('ID1&amp;5'!K:K)+1&amp;"' AS ID_EXEC, CURRENT_TIMESTAMP() AS TIME_EXEC FROM "&amp;I575,
IF(C575="Not applicable",+"SELECT '"&amp;UPPER(B575)&amp;"' AS TABELA, '"&amp;UPPER(C575)&amp;"' AS TIPOLOGIA_TESTE,'"&amp;D575&amp;"' AS TABELA_LT,'N/A' AS TABELA_SIMUL,'"&amp;F575&amp;"' AS CAMPO, "&amp;"'${ref_date}' AS REF_DATE, COUNT(*) AS NUM_REG, SUM(IF(TRIM(CAST(X."&amp;F575&amp;" AS STRING)) IN ('N/A','11111111111','11111111111.00','11111111111.000000','1111-11-11'),1,0)) AS NUM_REG_DIF,'"&amp;MAX('ID1&amp;5'!K:K)+1&amp;"' AS ID_EXEC, CURRENT_TIMESTAMP() AS TIME_EXEC FROM "&amp;I575,
IF(C575="Valores extremos",+"SELECT '"&amp;UPPER(B575)&amp;"' AS TABELA, '"&amp;UPPER(C575)&amp;"' AS TIPOLOGIA_TESTE,'"&amp;D575&amp;"' AS TABELA_LT,'N/A' AS TABELA_SIMUL,'"&amp;F575&amp;"' AS CAMPO, "&amp;"'${ref_date}' AS REF_DATE, CAST(MIN("&amp;F575&amp;") AS STRING) AS VALOR_MIN, CAST(MAX("&amp;F575&amp;") AS STRING) AS VALOR_MAX,'"&amp;MAX('ID1&amp;5'!K:K)+1&amp;"' AS ID_EXEC, CURRENT_TIMESTAMP() AS TIME_EXEC FROM "&amp;MID(I575,1,LEN(I575)-2)&amp;" AND CAST("&amp;F575&amp;"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TABELA_SIMUL,'dt_lst_fll_apprsl' AS CAMPO, '${ref_date}' AS REF_DATE, COUNT(*) AS NUM_REG, SUM(IF(COALESCE(CAST(X.dt_lst_fll_apprsl AS STRING),'')&lt;&gt;COALESCE(CAST(Y.dt_lst_fll_apprsl_SIMUL AS STRING),'') OR (X.dt_lst_fll_apprsl IS NULL AND Y.dt_lst_fll_apprsl_SIMUL IS NOT NULL ) OR (X.dt_lst_fll_apprsl IS NOT NULL AND Y.dt_lst_fll_apprsl_SIMUL IS NULL),1,0)) AS NUM_REG_DIF,'1' AS ID_EXEC, CURRENT_TIMESTAMP() AS TIME_EXEC FROM (SELECT prtctn_id, dt_lst_fll_apprsl FROM BU_LOANTAPE_WORK.LT004_PROTECTION WHERE ref_date='${ref_date}' AND nome_perimetro='Individual Local' AND segmento='ESTR' AND ambito='SRB_MBDT' AND entidade='00100')X INNER JOIN (SELECT prtctn_id AS prtctn_id_SIMUL, dt_lst_fll_apprsl AS dt_lst_fll_apprsl_SIMUL FROM BU_LOANTAPE_WORK.SIMUL_LT004 WHERE ref_date='${ref_date}' AND nome_perimetro='Individual Local' AND segmento='ESTR' AND ambito='PILAR3' AND entidade='00100')Y ON X.PRTCTN_ID=Y.PRTCTN_ID_SIMUL</v>
      </c>
      <c r="M575" s="36" t="str">
        <f t="shared" si="14"/>
        <v>UNION ALL SELECT 'PROTECTION' AS TABELA, 'COERÊNCIA' AS TIPOLOGIA_TESTE,'BU_LOANTAPE_WORK.LT004_PROTECTION' AS TABELA_LT,'BU_LOANTAPE_WORK.SIMUL_LT004' AS TABELA_SIMUL,'dt_lst_fll_apprsl' AS CAMPO, '${ref_date}' AS REF_DATE, COUNT(*) AS NUM_REG, SUM(IF(COALESCE(CAST(X.dt_lst_fll_apprsl AS STRING),'')&lt;&gt;COALESCE(CAST(Y.dt_lst_fll_apprsl_SIMUL AS STRING),'') OR (X.dt_lst_fll_apprsl IS NULL AND Y.dt_lst_fll_apprsl_SIMUL IS NOT NULL ) OR (X.dt_lst_fll_apprsl IS NOT NULL AND Y.dt_lst_fll_apprsl_SIMUL IS NULL),1,0)) AS NUM_REG_DIF,'1' AS ID_EXEC, CURRENT_TIMESTAMP() AS TIME_EXEC FROM (SELECT prtctn_id, dt_lst_fll_apprsl FROM BU_LOANTAPE_WORK.LT004_PROTECTION WHERE ref_date='${ref_date}' AND nome_perimetro='Individual Local' AND segmento='ESTR' AND ambito='SRB_MBDT' AND entidade='00100')X INNER JOIN (SELECT prtctn_id AS prtctn_id_SIMUL, dt_lst_fll_apprsl AS dt_lst_fll_apprsl_SIMUL FROM BU_LOANTAPE_WORK.SIMUL_LT004 WHERE ref_date='${ref_date}' AND nome_perimetro='Individual Local' AND segmento='ESTR' AND ambito='PILAR3' AND entidade='00100')Y ON X.PRTCTN_ID=Y.PRTCTN_ID_SIMUL</v>
      </c>
    </row>
    <row r="576" spans="2:13">
      <c r="B576" s="34" t="s">
        <v>119</v>
      </c>
      <c r="C576" s="34" t="s">
        <v>5</v>
      </c>
      <c r="D576" s="34" t="str">
        <f>+UPPER('0. Instruções'!$D$35&amp;"."&amp;VLOOKUP(B576,'0. Instruções'!$C$27:$D$32,2,FALSE))</f>
        <v>BU_LOANTAPE_WORK.LT004_PROTECTION</v>
      </c>
      <c r="E576" s="34" t="str">
        <f>+UPPER('0. Instruções'!$D$36&amp;"."&amp;VLOOKUP(B576,'0. Instruções'!$C$27:$E$32,3,FALSE))</f>
        <v>BU_LOANTAPE_WORK.SIMUL_LT004</v>
      </c>
      <c r="F576" s="34" t="s">
        <v>1523</v>
      </c>
      <c r="G576" s="34"/>
      <c r="H576" s="34"/>
      <c r="I576" s="34" t="str">
        <f>"(SELECT "&amp;VLOOKUP(B576,'0. Instruções'!$C$27:$G$32,4,FALSE)&amp;", "&amp;F576&amp;" FROM "&amp;D576&amp;" WHERE "&amp;'0. Instruções'!$D$42&amp;")X"</f>
        <v>(SELECT prtctn_id, dt_orgnl_prtctn_vl FROM BU_LOANTAPE_WORK.LT004_PROTECTION WHERE ref_date='${ref_date}' AND nome_perimetro='Individual Local' AND segmento='ESTR' AND ambito='SRB_MBDT' AND entidade='00100')X</v>
      </c>
      <c r="J576" s="34" t="str">
        <f>"(SELECT "&amp;VLOOKUP(B576,'0. Instruções'!$C$27:$G$32,4,FALSE)&amp;" AS "&amp;VLOOKUP(B576,'0. Instruções'!$C$27:$G$32,4,FALSE)&amp;"_SIMUL, "&amp;F576&amp;" AS "&amp;F576&amp;"_SIMUL FROM "&amp;E576&amp;" WHERE "&amp;'0. Instruções'!$D$43&amp;")Y"</f>
        <v>(SELECT prtctn_id AS prtctn_id_SIMUL, dt_orgnl_prtctn_vl AS dt_orgnl_prtctn_vl_SIMUL FROM BU_LOANTAPE_WORK.SIMUL_LT004 WHERE ref_date='${ref_date}' AND nome_perimetro='Individual Local' AND segmento='ESTR' AND ambito='PILAR3' AND entidade='00100')Y</v>
      </c>
      <c r="K576" s="35" t="str">
        <f>+UPPER("ON X."&amp;VLOOKUP(B576,'0. Instruções'!$C$27:$G$32,4,FALSE)&amp;"=Y."&amp;VLOOKUP(B576,'0. Instruções'!$C$27:$G$32,4,FALSE)&amp;"_SIMUL")</f>
        <v>ON X.PRTCTN_ID=Y.PRTCTN_ID_SIMUL</v>
      </c>
      <c r="L576" s="35" t="str">
        <f>+IF(C576="Coerência", +IF(LEFT(G576,5)="FLOAT","SELECT '"&amp;UPPER(B576)&amp;"' AS TABELA, '"&amp;UPPER(C576)&amp;"' AS TIPOLOGIA_TESTE,'"&amp;D576&amp;"' AS TABELA_LT,'"&amp;E576&amp;"' AS TABELA_SIMUL,'"&amp;F576&amp;"' AS CAMPO, "&amp;"'${ref_date}' AS REF_DATE, COUNT(*) AS NUM_REG, SUM(IF((ABS(COALESCE(CAST(X."&amp;F576&amp;" AS DECIMAL(18,6)),0)-COALESCE(CAST(Y."&amp;F576&amp;"_SIMUL AS DECIMAL(18,6)),0))&gt;0.000001) OR (X."&amp;F576&amp;" IS NULL AND Y."&amp;F576&amp;"_SIMUL IS NOT NULL ) OR (X."&amp;F576&amp;" IS NOT NULL AND Y."&amp;F576&amp;"_SIMUL IS NULL),1,0)) AS NUM_REG_DIF,'"&amp;MAX('ID1&amp;5'!K:K)+1&amp;"' AS ID_EXEC, CURRENT_TIMESTAMP() AS TIME_EXEC FROM "&amp;I576&amp;" INNER JOIN "&amp;J576&amp;" "&amp;K576,"SELECT '"&amp;UPPER(B576)&amp;"' AS TABELA, '"&amp;UPPER(C576)&amp;"' AS TIPOLOGIA_TESTE,'"&amp;D576&amp;"' AS TABELA_LT,'"&amp;E576&amp;"' AS TABELA_SIMUL,'"&amp;F576&amp;"' AS CAMPO, "&amp;"'${ref_date}' AS REF_DATE, COUNT(*) AS NUM_REG, SUM(IF(COALESCE(CAST(X."&amp;F576&amp;" AS STRING),'')&lt;&gt;COALESCE(CAST(Y."&amp;F576&amp;"_SIMUL AS STRING),'') OR (X."&amp;F576&amp;" IS NULL AND Y."&amp;F576&amp;"_SIMUL IS NOT NULL ) OR (X."&amp;F576&amp;" IS NOT NULL AND Y."&amp;F576&amp;"_SIMUL IS NULL),1,0)) AS NUM_REG_DIF,'"&amp;MAX('ID1&amp;5'!L:L)+1&amp;"' AS ID_EXEC, CURRENT_TIMESTAMP() AS TIME_EXEC FROM "&amp;I576&amp;" INNER JOIN "&amp;J576&amp;" "&amp;K576),
IF(C576="Validade",+IF(G576="Code List","SELECT '"&amp;UPPER(B576)&amp;"' AS TABELA, '"&amp;UPPER(C576)&amp;"' AS TIPOLOGIA_TESTE,'"&amp;D576&amp;"' AS TABELA_LT,'N/A' AS TABELA_SIMUL,'"&amp;F576&amp;"' AS CAMPO, "&amp;"'${ref_date}' AS REF_DATE, COUNT(*) AS NUM_REG, SUM(IF(TRIM(CAST(X."&amp;F576&amp;" AS STRING))='' OR TRIM(CAST(X."&amp;F576&amp;" AS STRING)) IS NULL OR CAST(X."&amp;F576&amp;" AS STRING) NOT "&amp;H576&amp;",1,0)) AS NUM_REG_DIF,'"&amp;MAX('ID1&amp;5'!K:K)+1&amp;"' AS ID_EXEC, CURRENT_TIMESTAMP() AS TIME_EXEC FROM "&amp;I576,"SELECT '"&amp;UPPER(B576)&amp;"' AS TABELA, '"&amp;UPPER(C576)&amp;"' AS TIPOLOGIA_TESTE,'"&amp;D576&amp;"' AS TABELA_LT,'N/A' AS TABELA_SIMUL,'"&amp;F576&amp;"' AS CAMPO, "&amp;"'${ref_date}' AS REF_DATE, COUNT(*) AS NUM_REG, SUM(IF(TRIM(CAST(X."&amp;F576&amp;" AS STRING))='' OR TRIM(CAST(X."&amp;F576&amp;" AS STRING)) IS NULL,1,0)) AS NUM_REG_DIF,'"&amp;MAX('ID1&amp;5'!K:K)+1&amp;"' AS ID_EXEC, CURRENT_TIMESTAMP() AS TIME_EXEC FROM "&amp;I576),
IF(C576="Caracteres Especiais",+"SELECT '"&amp;UPPER(B576)&amp;"' AS TABELA, '"&amp;UPPER(C576)&amp;"' AS TIPOLOGIA_TESTE,'"&amp;D576&amp;"' AS TABELA_LT,'N/A' AS TABELA_SIMUL,'"&amp;F576&amp;"' AS CAMPO, "&amp;"'${ref_date}' AS REF_DATE, COUNT(*) AS NUM_REG, SUM(IF(REGEXP_REPLACE(TRIM(CAST(X."&amp;F576&amp;" AS STRING)),'[^a-zA-Z0-9_\\s]','') &lt;&gt;TRIM(CAST(X."&amp;F576&amp;" AS STRING)),1,0)) AS NUM_REG_DIF,'"&amp;MAX('ID1&amp;5'!K:K)+1&amp;"' AS ID_EXEC, CURRENT_TIMESTAMP() AS TIME_EXEC FROM "&amp;I576,
IF(C576="Missings",+"SELECT '"&amp;UPPER(B576)&amp;"' AS TABELA, '"&amp;UPPER(C576)&amp;"' AS TIPOLOGIA_TESTE,'"&amp;D576&amp;"' AS TABELA_LT,'N/A' AS TABELA_SIMUL,'"&amp;F576&amp;"' AS CAMPO, "&amp;"'${ref_date}' AS REF_DATE, COUNT(*) AS NUM_REG, SUM(IF(TRIM(CAST(X."&amp;F576&amp;" AS STRING)) IN ('0000-00-00','0001-01-01','9999-12-31','MISS','00000','99999999999','99999999999.00','99999999999.000000'),1,0)) AS NUM_REG_DIF,'"&amp;MAX('ID1&amp;5'!K:K)+1&amp;"' AS ID_EXEC, CURRENT_TIMESTAMP() AS TIME_EXEC FROM "&amp;I576,
IF(C576="Not applicable",+"SELECT '"&amp;UPPER(B576)&amp;"' AS TABELA, '"&amp;UPPER(C576)&amp;"' AS TIPOLOGIA_TESTE,'"&amp;D576&amp;"' AS TABELA_LT,'N/A' AS TABELA_SIMUL,'"&amp;F576&amp;"' AS CAMPO, "&amp;"'${ref_date}' AS REF_DATE, COUNT(*) AS NUM_REG, SUM(IF(TRIM(CAST(X."&amp;F576&amp;" AS STRING)) IN ('N/A','11111111111','11111111111.00','11111111111.000000','1111-11-11'),1,0)) AS NUM_REG_DIF,'"&amp;MAX('ID1&amp;5'!K:K)+1&amp;"' AS ID_EXEC, CURRENT_TIMESTAMP() AS TIME_EXEC FROM "&amp;I576,
IF(C576="Valores extremos",+"SELECT '"&amp;UPPER(B576)&amp;"' AS TABELA, '"&amp;UPPER(C576)&amp;"' AS TIPOLOGIA_TESTE,'"&amp;D576&amp;"' AS TABELA_LT,'N/A' AS TABELA_SIMUL,'"&amp;F576&amp;"' AS CAMPO, "&amp;"'${ref_date}' AS REF_DATE, CAST(MIN("&amp;F576&amp;") AS STRING) AS VALOR_MIN, CAST(MAX("&amp;F576&amp;") AS STRING) AS VALOR_MAX,'"&amp;MAX('ID1&amp;5'!K:K)+1&amp;"' AS ID_EXEC, CURRENT_TIMESTAMP() AS TIME_EXEC FROM "&amp;MID(I576,1,LEN(I576)-2)&amp;" AND CAST("&amp;F576&amp;"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TABELA_SIMUL,'dt_orgnl_prtctn_vl' AS CAMPO, '${ref_date}' AS REF_DATE, COUNT(*) AS NUM_REG, SUM(IF(COALESCE(CAST(X.dt_orgnl_prtctn_vl AS STRING),'')&lt;&gt;COALESCE(CAST(Y.dt_orgnl_prtctn_vl_SIMUL AS STRING),'') OR (X.dt_orgnl_prtctn_vl IS NULL AND Y.dt_orgnl_prtctn_vl_SIMUL IS NOT NULL ) OR (X.dt_orgnl_prtctn_vl IS NOT NULL AND Y.dt_orgnl_prtctn_vl_SIMUL IS NULL),1,0)) AS NUM_REG_DIF,'1' AS ID_EXEC, CURRENT_TIMESTAMP() AS TIME_EXEC FROM (SELECT prtctn_id, dt_orgnl_prtctn_vl FROM BU_LOANTAPE_WORK.LT004_PROTECTION WHERE ref_date='${ref_date}' AND nome_perimetro='Individual Local' AND segmento='ESTR' AND ambito='SRB_MBDT' AND entidade='00100')X INNER JOIN (SELECT prtctn_id AS prtctn_id_SIMUL, dt_orgnl_prtctn_vl AS dt_orgnl_prtctn_vl_SIMUL FROM BU_LOANTAPE_WORK.SIMUL_LT004 WHERE ref_date='${ref_date}' AND nome_perimetro='Individual Local' AND segmento='ESTR' AND ambito='PILAR3' AND entidade='00100')Y ON X.PRTCTN_ID=Y.PRTCTN_ID_SIMUL</v>
      </c>
      <c r="M576" s="36" t="str">
        <f t="shared" si="14"/>
        <v>UNION ALL SELECT 'PROTECTION' AS TABELA, 'COERÊNCIA' AS TIPOLOGIA_TESTE,'BU_LOANTAPE_WORK.LT004_PROTECTION' AS TABELA_LT,'BU_LOANTAPE_WORK.SIMUL_LT004' AS TABELA_SIMUL,'dt_orgnl_prtctn_vl' AS CAMPO, '${ref_date}' AS REF_DATE, COUNT(*) AS NUM_REG, SUM(IF(COALESCE(CAST(X.dt_orgnl_prtctn_vl AS STRING),'')&lt;&gt;COALESCE(CAST(Y.dt_orgnl_prtctn_vl_SIMUL AS STRING),'') OR (X.dt_orgnl_prtctn_vl IS NULL AND Y.dt_orgnl_prtctn_vl_SIMUL IS NOT NULL ) OR (X.dt_orgnl_prtctn_vl IS NOT NULL AND Y.dt_orgnl_prtctn_vl_SIMUL IS NULL),1,0)) AS NUM_REG_DIF,'1' AS ID_EXEC, CURRENT_TIMESTAMP() AS TIME_EXEC FROM (SELECT prtctn_id, dt_orgnl_prtctn_vl FROM BU_LOANTAPE_WORK.LT004_PROTECTION WHERE ref_date='${ref_date}' AND nome_perimetro='Individual Local' AND segmento='ESTR' AND ambito='SRB_MBDT' AND entidade='00100')X INNER JOIN (SELECT prtctn_id AS prtctn_id_SIMUL, dt_orgnl_prtctn_vl AS dt_orgnl_prtctn_vl_SIMUL FROM BU_LOANTAPE_WORK.SIMUL_LT004 WHERE ref_date='${ref_date}' AND nome_perimetro='Individual Local' AND segmento='ESTR' AND ambito='PILAR3' AND entidade='00100')Y ON X.PRTCTN_ID=Y.PRTCTN_ID_SIMUL</v>
      </c>
    </row>
    <row r="577" spans="2:13">
      <c r="B577" s="34" t="s">
        <v>119</v>
      </c>
      <c r="C577" s="34" t="s">
        <v>5</v>
      </c>
      <c r="D577" s="34" t="str">
        <f>+UPPER('0. Instruções'!$D$35&amp;"."&amp;VLOOKUP(B577,'0. Instruções'!$C$27:$D$32,2,FALSE))</f>
        <v>BU_LOANTAPE_WORK.LT004_PROTECTION</v>
      </c>
      <c r="E577" s="34" t="str">
        <f>+UPPER('0. Instruções'!$D$36&amp;"."&amp;VLOOKUP(B577,'0. Instruções'!$C$27:$E$32,3,FALSE))</f>
        <v>BU_LOANTAPE_WORK.SIMUL_LT004</v>
      </c>
      <c r="F577" s="34" t="s">
        <v>1524</v>
      </c>
      <c r="G577" s="34"/>
      <c r="H577" s="34"/>
      <c r="I577" s="34" t="str">
        <f>"(SELECT "&amp;VLOOKUP(B577,'0. Instruções'!$C$27:$G$32,4,FALSE)&amp;", "&amp;F577&amp;" FROM "&amp;D577&amp;" WHERE "&amp;'0. Instruções'!$D$42&amp;")X"</f>
        <v>(SELECT prtctn_id, dt_prtctn_vl FROM BU_LOANTAPE_WORK.LT004_PROTECTION WHERE ref_date='${ref_date}' AND nome_perimetro='Individual Local' AND segmento='ESTR' AND ambito='SRB_MBDT' AND entidade='00100')X</v>
      </c>
      <c r="J577" s="34" t="str">
        <f>"(SELECT "&amp;VLOOKUP(B577,'0. Instruções'!$C$27:$G$32,4,FALSE)&amp;" AS "&amp;VLOOKUP(B577,'0. Instruções'!$C$27:$G$32,4,FALSE)&amp;"_SIMUL, "&amp;F577&amp;" AS "&amp;F577&amp;"_SIMUL FROM "&amp;E577&amp;" WHERE "&amp;'0. Instruções'!$D$43&amp;")Y"</f>
        <v>(SELECT prtctn_id AS prtctn_id_SIMUL, dt_prtctn_vl AS dt_prtctn_vl_SIMUL FROM BU_LOANTAPE_WORK.SIMUL_LT004 WHERE ref_date='${ref_date}' AND nome_perimetro='Individual Local' AND segmento='ESTR' AND ambito='PILAR3' AND entidade='00100')Y</v>
      </c>
      <c r="K577" s="35" t="str">
        <f>+UPPER("ON X."&amp;VLOOKUP(B577,'0. Instruções'!$C$27:$G$32,4,FALSE)&amp;"=Y."&amp;VLOOKUP(B577,'0. Instruções'!$C$27:$G$32,4,FALSE)&amp;"_SIMUL")</f>
        <v>ON X.PRTCTN_ID=Y.PRTCTN_ID_SIMUL</v>
      </c>
      <c r="L577" s="35" t="str">
        <f>+IF(C577="Coerência", +IF(LEFT(G577,5)="FLOAT","SELECT '"&amp;UPPER(B577)&amp;"' AS TABELA, '"&amp;UPPER(C577)&amp;"' AS TIPOLOGIA_TESTE,'"&amp;D577&amp;"' AS TABELA_LT,'"&amp;E577&amp;"' AS TABELA_SIMUL,'"&amp;F577&amp;"' AS CAMPO, "&amp;"'${ref_date}' AS REF_DATE, COUNT(*) AS NUM_REG, SUM(IF((ABS(COALESCE(CAST(X."&amp;F577&amp;" AS DECIMAL(18,6)),0)-COALESCE(CAST(Y."&amp;F577&amp;"_SIMUL AS DECIMAL(18,6)),0))&gt;0.000001) OR (X."&amp;F577&amp;" IS NULL AND Y."&amp;F577&amp;"_SIMUL IS NOT NULL ) OR (X."&amp;F577&amp;" IS NOT NULL AND Y."&amp;F577&amp;"_SIMUL IS NULL),1,0)) AS NUM_REG_DIF,'"&amp;MAX('ID1&amp;5'!K:K)+1&amp;"' AS ID_EXEC, CURRENT_TIMESTAMP() AS TIME_EXEC FROM "&amp;I577&amp;" INNER JOIN "&amp;J577&amp;" "&amp;K577,"SELECT '"&amp;UPPER(B577)&amp;"' AS TABELA, '"&amp;UPPER(C577)&amp;"' AS TIPOLOGIA_TESTE,'"&amp;D577&amp;"' AS TABELA_LT,'"&amp;E577&amp;"' AS TABELA_SIMUL,'"&amp;F577&amp;"' AS CAMPO, "&amp;"'${ref_date}' AS REF_DATE, COUNT(*) AS NUM_REG, SUM(IF(COALESCE(CAST(X."&amp;F577&amp;" AS STRING),'')&lt;&gt;COALESCE(CAST(Y."&amp;F577&amp;"_SIMUL AS STRING),'') OR (X."&amp;F577&amp;" IS NULL AND Y."&amp;F577&amp;"_SIMUL IS NOT NULL ) OR (X."&amp;F577&amp;" IS NOT NULL AND Y."&amp;F577&amp;"_SIMUL IS NULL),1,0)) AS NUM_REG_DIF,'"&amp;MAX('ID1&amp;5'!L:L)+1&amp;"' AS ID_EXEC, CURRENT_TIMESTAMP() AS TIME_EXEC FROM "&amp;I577&amp;" INNER JOIN "&amp;J577&amp;" "&amp;K577),
IF(C577="Validade",+IF(G577="Code List","SELECT '"&amp;UPPER(B577)&amp;"' AS TABELA, '"&amp;UPPER(C577)&amp;"' AS TIPOLOGIA_TESTE,'"&amp;D577&amp;"' AS TABELA_LT,'N/A' AS TABELA_SIMUL,'"&amp;F577&amp;"' AS CAMPO, "&amp;"'${ref_date}' AS REF_DATE, COUNT(*) AS NUM_REG, SUM(IF(TRIM(CAST(X."&amp;F577&amp;" AS STRING))='' OR TRIM(CAST(X."&amp;F577&amp;" AS STRING)) IS NULL OR CAST(X."&amp;F577&amp;" AS STRING) NOT "&amp;H577&amp;",1,0)) AS NUM_REG_DIF,'"&amp;MAX('ID1&amp;5'!K:K)+1&amp;"' AS ID_EXEC, CURRENT_TIMESTAMP() AS TIME_EXEC FROM "&amp;I577,"SELECT '"&amp;UPPER(B577)&amp;"' AS TABELA, '"&amp;UPPER(C577)&amp;"' AS TIPOLOGIA_TESTE,'"&amp;D577&amp;"' AS TABELA_LT,'N/A' AS TABELA_SIMUL,'"&amp;F577&amp;"' AS CAMPO, "&amp;"'${ref_date}' AS REF_DATE, COUNT(*) AS NUM_REG, SUM(IF(TRIM(CAST(X."&amp;F577&amp;" AS STRING))='' OR TRIM(CAST(X."&amp;F577&amp;" AS STRING)) IS NULL,1,0)) AS NUM_REG_DIF,'"&amp;MAX('ID1&amp;5'!K:K)+1&amp;"' AS ID_EXEC, CURRENT_TIMESTAMP() AS TIME_EXEC FROM "&amp;I577),
IF(C577="Caracteres Especiais",+"SELECT '"&amp;UPPER(B577)&amp;"' AS TABELA, '"&amp;UPPER(C577)&amp;"' AS TIPOLOGIA_TESTE,'"&amp;D577&amp;"' AS TABELA_LT,'N/A' AS TABELA_SIMUL,'"&amp;F577&amp;"' AS CAMPO, "&amp;"'${ref_date}' AS REF_DATE, COUNT(*) AS NUM_REG, SUM(IF(REGEXP_REPLACE(TRIM(CAST(X."&amp;F577&amp;" AS STRING)),'[^a-zA-Z0-9_\\s]','') &lt;&gt;TRIM(CAST(X."&amp;F577&amp;" AS STRING)),1,0)) AS NUM_REG_DIF,'"&amp;MAX('ID1&amp;5'!K:K)+1&amp;"' AS ID_EXEC, CURRENT_TIMESTAMP() AS TIME_EXEC FROM "&amp;I577,
IF(C577="Missings",+"SELECT '"&amp;UPPER(B577)&amp;"' AS TABELA, '"&amp;UPPER(C577)&amp;"' AS TIPOLOGIA_TESTE,'"&amp;D577&amp;"' AS TABELA_LT,'N/A' AS TABELA_SIMUL,'"&amp;F577&amp;"' AS CAMPO, "&amp;"'${ref_date}' AS REF_DATE, COUNT(*) AS NUM_REG, SUM(IF(TRIM(CAST(X."&amp;F577&amp;" AS STRING)) IN ('0000-00-00','0001-01-01','9999-12-31','MISS','00000','99999999999','99999999999.00','99999999999.000000'),1,0)) AS NUM_REG_DIF,'"&amp;MAX('ID1&amp;5'!K:K)+1&amp;"' AS ID_EXEC, CURRENT_TIMESTAMP() AS TIME_EXEC FROM "&amp;I577,
IF(C577="Not applicable",+"SELECT '"&amp;UPPER(B577)&amp;"' AS TABELA, '"&amp;UPPER(C577)&amp;"' AS TIPOLOGIA_TESTE,'"&amp;D577&amp;"' AS TABELA_LT,'N/A' AS TABELA_SIMUL,'"&amp;F577&amp;"' AS CAMPO, "&amp;"'${ref_date}' AS REF_DATE, COUNT(*) AS NUM_REG, SUM(IF(TRIM(CAST(X."&amp;F577&amp;" AS STRING)) IN ('N/A','11111111111','11111111111.00','11111111111.000000','1111-11-11'),1,0)) AS NUM_REG_DIF,'"&amp;MAX('ID1&amp;5'!K:K)+1&amp;"' AS ID_EXEC, CURRENT_TIMESTAMP() AS TIME_EXEC FROM "&amp;I577,
IF(C577="Valores extremos",+"SELECT '"&amp;UPPER(B577)&amp;"' AS TABELA, '"&amp;UPPER(C577)&amp;"' AS TIPOLOGIA_TESTE,'"&amp;D577&amp;"' AS TABELA_LT,'N/A' AS TABELA_SIMUL,'"&amp;F577&amp;"' AS CAMPO, "&amp;"'${ref_date}' AS REF_DATE, CAST(MIN("&amp;F577&amp;") AS STRING) AS VALOR_MIN, CAST(MAX("&amp;F577&amp;") AS STRING) AS VALOR_MAX,'"&amp;MAX('ID1&amp;5'!K:K)+1&amp;"' AS ID_EXEC, CURRENT_TIMESTAMP() AS TIME_EXEC FROM "&amp;MID(I577,1,LEN(I577)-2)&amp;" AND CAST("&amp;F577&amp;"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TABELA_SIMUL,'dt_prtctn_vl' AS CAMPO, '${ref_date}' AS REF_DATE, COUNT(*) AS NUM_REG, SUM(IF(COALESCE(CAST(X.dt_prtctn_vl AS STRING),'')&lt;&gt;COALESCE(CAST(Y.dt_prtctn_vl_SIMUL AS STRING),'') OR (X.dt_prtctn_vl IS NULL AND Y.dt_prtctn_vl_SIMUL IS NOT NULL ) OR (X.dt_prtctn_vl IS NOT NULL AND Y.dt_prtctn_vl_SIMUL IS NULL),1,0)) AS NUM_REG_DIF,'1' AS ID_EXEC, CURRENT_TIMESTAMP() AS TIME_EXEC FROM (SELECT prtctn_id, dt_prtctn_vl FROM BU_LOANTAPE_WORK.LT004_PROTECTION WHERE ref_date='${ref_date}' AND nome_perimetro='Individual Local' AND segmento='ESTR' AND ambito='SRB_MBDT' AND entidade='00100')X INNER JOIN (SELECT prtctn_id AS prtctn_id_SIMUL, dt_prtctn_vl AS dt_prtctn_vl_SIMUL FROM BU_LOANTAPE_WORK.SIMUL_LT004 WHERE ref_date='${ref_date}' AND nome_perimetro='Individual Local' AND segmento='ESTR' AND ambito='PILAR3' AND entidade='00100')Y ON X.PRTCTN_ID=Y.PRTCTN_ID_SIMUL</v>
      </c>
      <c r="M577" s="36" t="str">
        <f t="shared" si="14"/>
        <v>UNION ALL SELECT 'PROTECTION' AS TABELA, 'COERÊNCIA' AS TIPOLOGIA_TESTE,'BU_LOANTAPE_WORK.LT004_PROTECTION' AS TABELA_LT,'BU_LOANTAPE_WORK.SIMUL_LT004' AS TABELA_SIMUL,'dt_prtctn_vl' AS CAMPO, '${ref_date}' AS REF_DATE, COUNT(*) AS NUM_REG, SUM(IF(COALESCE(CAST(X.dt_prtctn_vl AS STRING),'')&lt;&gt;COALESCE(CAST(Y.dt_prtctn_vl_SIMUL AS STRING),'') OR (X.dt_prtctn_vl IS NULL AND Y.dt_prtctn_vl_SIMUL IS NOT NULL ) OR (X.dt_prtctn_vl IS NOT NULL AND Y.dt_prtctn_vl_SIMUL IS NULL),1,0)) AS NUM_REG_DIF,'1' AS ID_EXEC, CURRENT_TIMESTAMP() AS TIME_EXEC FROM (SELECT prtctn_id, dt_prtctn_vl FROM BU_LOANTAPE_WORK.LT004_PROTECTION WHERE ref_date='${ref_date}' AND nome_perimetro='Individual Local' AND segmento='ESTR' AND ambito='SRB_MBDT' AND entidade='00100')X INNER JOIN (SELECT prtctn_id AS prtctn_id_SIMUL, dt_prtctn_vl AS dt_prtctn_vl_SIMUL FROM BU_LOANTAPE_WORK.SIMUL_LT004 WHERE ref_date='${ref_date}' AND nome_perimetro='Individual Local' AND segmento='ESTR' AND ambito='PILAR3' AND entidade='00100')Y ON X.PRTCTN_ID=Y.PRTCTN_ID_SIMUL</v>
      </c>
    </row>
    <row r="578" spans="2:13">
      <c r="B578" s="34" t="s">
        <v>119</v>
      </c>
      <c r="C578" s="34" t="s">
        <v>5</v>
      </c>
      <c r="D578" s="34" t="str">
        <f>+UPPER('0. Instruções'!$D$35&amp;"."&amp;VLOOKUP(B578,'0. Instruções'!$C$27:$D$32,2,FALSE))</f>
        <v>BU_LOANTAPE_WORK.LT004_PROTECTION</v>
      </c>
      <c r="E578" s="34" t="str">
        <f>+UPPER('0. Instruções'!$D$36&amp;"."&amp;VLOOKUP(B578,'0. Instruções'!$C$27:$E$32,3,FALSE))</f>
        <v>BU_LOANTAPE_WORK.SIMUL_LT004</v>
      </c>
      <c r="F578" s="34" t="s">
        <v>673</v>
      </c>
      <c r="G578" s="34"/>
      <c r="H578" s="34"/>
      <c r="I578" s="34" t="str">
        <f>"(SELECT "&amp;VLOOKUP(B578,'0. Instruções'!$C$27:$G$32,4,FALSE)&amp;", "&amp;F578&amp;" FROM "&amp;D578&amp;" WHERE "&amp;'0. Instruções'!$D$42&amp;")X"</f>
        <v>(SELECT prtctn_id, orgnl_prtctn_vl FROM BU_LOANTAPE_WORK.LT004_PROTECTION WHERE ref_date='${ref_date}' AND nome_perimetro='Individual Local' AND segmento='ESTR' AND ambito='SRB_MBDT' AND entidade='00100')X</v>
      </c>
      <c r="J578" s="34" t="str">
        <f>"(SELECT "&amp;VLOOKUP(B578,'0. Instruções'!$C$27:$G$32,4,FALSE)&amp;" AS "&amp;VLOOKUP(B578,'0. Instruções'!$C$27:$G$32,4,FALSE)&amp;"_SIMUL, "&amp;F578&amp;" AS "&amp;F578&amp;"_SIMUL FROM "&amp;E578&amp;" WHERE "&amp;'0. Instruções'!$D$43&amp;")Y"</f>
        <v>(SELECT prtctn_id AS prtctn_id_SIMUL, orgnl_prtctn_vl AS orgnl_prtctn_vl_SIMUL FROM BU_LOANTAPE_WORK.SIMUL_LT004 WHERE ref_date='${ref_date}' AND nome_perimetro='Individual Local' AND segmento='ESTR' AND ambito='PILAR3' AND entidade='00100')Y</v>
      </c>
      <c r="K578" s="35" t="str">
        <f>+UPPER("ON X."&amp;VLOOKUP(B578,'0. Instruções'!$C$27:$G$32,4,FALSE)&amp;"=Y."&amp;VLOOKUP(B578,'0. Instruções'!$C$27:$G$32,4,FALSE)&amp;"_SIMUL")</f>
        <v>ON X.PRTCTN_ID=Y.PRTCTN_ID_SIMUL</v>
      </c>
      <c r="L578" s="35" t="str">
        <f>+IF(C578="Coerência", +IF(LEFT(G578,5)="FLOAT","SELECT '"&amp;UPPER(B578)&amp;"' AS TABELA, '"&amp;UPPER(C578)&amp;"' AS TIPOLOGIA_TESTE,'"&amp;D578&amp;"' AS TABELA_LT,'"&amp;E578&amp;"' AS TABELA_SIMUL,'"&amp;F578&amp;"' AS CAMPO, "&amp;"'${ref_date}' AS REF_DATE, COUNT(*) AS NUM_REG, SUM(IF((ABS(COALESCE(CAST(X."&amp;F578&amp;" AS DECIMAL(18,6)),0)-COALESCE(CAST(Y."&amp;F578&amp;"_SIMUL AS DECIMAL(18,6)),0))&gt;0.000001) OR (X."&amp;F578&amp;" IS NULL AND Y."&amp;F578&amp;"_SIMUL IS NOT NULL ) OR (X."&amp;F578&amp;" IS NOT NULL AND Y."&amp;F578&amp;"_SIMUL IS NULL),1,0)) AS NUM_REG_DIF,'"&amp;MAX('ID1&amp;5'!K:K)+1&amp;"' AS ID_EXEC, CURRENT_TIMESTAMP() AS TIME_EXEC FROM "&amp;I578&amp;" INNER JOIN "&amp;J578&amp;" "&amp;K578,"SELECT '"&amp;UPPER(B578)&amp;"' AS TABELA, '"&amp;UPPER(C578)&amp;"' AS TIPOLOGIA_TESTE,'"&amp;D578&amp;"' AS TABELA_LT,'"&amp;E578&amp;"' AS TABELA_SIMUL,'"&amp;F578&amp;"' AS CAMPO, "&amp;"'${ref_date}' AS REF_DATE, COUNT(*) AS NUM_REG, SUM(IF(COALESCE(CAST(X."&amp;F578&amp;" AS STRING),'')&lt;&gt;COALESCE(CAST(Y."&amp;F578&amp;"_SIMUL AS STRING),'') OR (X."&amp;F578&amp;" IS NULL AND Y."&amp;F578&amp;"_SIMUL IS NOT NULL ) OR (X."&amp;F578&amp;" IS NOT NULL AND Y."&amp;F578&amp;"_SIMUL IS NULL),1,0)) AS NUM_REG_DIF,'"&amp;MAX('ID1&amp;5'!L:L)+1&amp;"' AS ID_EXEC, CURRENT_TIMESTAMP() AS TIME_EXEC FROM "&amp;I578&amp;" INNER JOIN "&amp;J578&amp;" "&amp;K578),
IF(C578="Validade",+IF(G578="Code List","SELECT '"&amp;UPPER(B578)&amp;"' AS TABELA, '"&amp;UPPER(C578)&amp;"' AS TIPOLOGIA_TESTE,'"&amp;D578&amp;"' AS TABELA_LT,'N/A' AS TABELA_SIMUL,'"&amp;F578&amp;"' AS CAMPO, "&amp;"'${ref_date}' AS REF_DATE, COUNT(*) AS NUM_REG, SUM(IF(TRIM(CAST(X."&amp;F578&amp;" AS STRING))='' OR TRIM(CAST(X."&amp;F578&amp;" AS STRING)) IS NULL OR CAST(X."&amp;F578&amp;" AS STRING) NOT "&amp;H578&amp;",1,0)) AS NUM_REG_DIF,'"&amp;MAX('ID1&amp;5'!K:K)+1&amp;"' AS ID_EXEC, CURRENT_TIMESTAMP() AS TIME_EXEC FROM "&amp;I578,"SELECT '"&amp;UPPER(B578)&amp;"' AS TABELA, '"&amp;UPPER(C578)&amp;"' AS TIPOLOGIA_TESTE,'"&amp;D578&amp;"' AS TABELA_LT,'N/A' AS TABELA_SIMUL,'"&amp;F578&amp;"' AS CAMPO, "&amp;"'${ref_date}' AS REF_DATE, COUNT(*) AS NUM_REG, SUM(IF(TRIM(CAST(X."&amp;F578&amp;" AS STRING))='' OR TRIM(CAST(X."&amp;F578&amp;" AS STRING)) IS NULL,1,0)) AS NUM_REG_DIF,'"&amp;MAX('ID1&amp;5'!K:K)+1&amp;"' AS ID_EXEC, CURRENT_TIMESTAMP() AS TIME_EXEC FROM "&amp;I578),
IF(C578="Caracteres Especiais",+"SELECT '"&amp;UPPER(B578)&amp;"' AS TABELA, '"&amp;UPPER(C578)&amp;"' AS TIPOLOGIA_TESTE,'"&amp;D578&amp;"' AS TABELA_LT,'N/A' AS TABELA_SIMUL,'"&amp;F578&amp;"' AS CAMPO, "&amp;"'${ref_date}' AS REF_DATE, COUNT(*) AS NUM_REG, SUM(IF(REGEXP_REPLACE(TRIM(CAST(X."&amp;F578&amp;" AS STRING)),'[^a-zA-Z0-9_\\s]','') &lt;&gt;TRIM(CAST(X."&amp;F578&amp;" AS STRING)),1,0)) AS NUM_REG_DIF,'"&amp;MAX('ID1&amp;5'!K:K)+1&amp;"' AS ID_EXEC, CURRENT_TIMESTAMP() AS TIME_EXEC FROM "&amp;I578,
IF(C578="Missings",+"SELECT '"&amp;UPPER(B578)&amp;"' AS TABELA, '"&amp;UPPER(C578)&amp;"' AS TIPOLOGIA_TESTE,'"&amp;D578&amp;"' AS TABELA_LT,'N/A' AS TABELA_SIMUL,'"&amp;F578&amp;"' AS CAMPO, "&amp;"'${ref_date}' AS REF_DATE, COUNT(*) AS NUM_REG, SUM(IF(TRIM(CAST(X."&amp;F578&amp;" AS STRING)) IN ('0000-00-00','0001-01-01','9999-12-31','MISS','00000','99999999999','99999999999.00','99999999999.000000'),1,0)) AS NUM_REG_DIF,'"&amp;MAX('ID1&amp;5'!K:K)+1&amp;"' AS ID_EXEC, CURRENT_TIMESTAMP() AS TIME_EXEC FROM "&amp;I578,
IF(C578="Not applicable",+"SELECT '"&amp;UPPER(B578)&amp;"' AS TABELA, '"&amp;UPPER(C578)&amp;"' AS TIPOLOGIA_TESTE,'"&amp;D578&amp;"' AS TABELA_LT,'N/A' AS TABELA_SIMUL,'"&amp;F578&amp;"' AS CAMPO, "&amp;"'${ref_date}' AS REF_DATE, COUNT(*) AS NUM_REG, SUM(IF(TRIM(CAST(X."&amp;F578&amp;" AS STRING)) IN ('N/A','11111111111','11111111111.00','11111111111.000000','1111-11-11'),1,0)) AS NUM_REG_DIF,'"&amp;MAX('ID1&amp;5'!K:K)+1&amp;"' AS ID_EXEC, CURRENT_TIMESTAMP() AS TIME_EXEC FROM "&amp;I578,
IF(C578="Valores extremos",+"SELECT '"&amp;UPPER(B578)&amp;"' AS TABELA, '"&amp;UPPER(C578)&amp;"' AS TIPOLOGIA_TESTE,'"&amp;D578&amp;"' AS TABELA_LT,'N/A' AS TABELA_SIMUL,'"&amp;F578&amp;"' AS CAMPO, "&amp;"'${ref_date}' AS REF_DATE, CAST(MIN("&amp;F578&amp;") AS STRING) AS VALOR_MIN, CAST(MAX("&amp;F578&amp;") AS STRING) AS VALOR_MAX,'"&amp;MAX('ID1&amp;5'!K:K)+1&amp;"' AS ID_EXEC, CURRENT_TIMESTAMP() AS TIME_EXEC FROM "&amp;MID(I578,1,LEN(I578)-2)&amp;" AND CAST("&amp;F578&amp;"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TABELA_SIMUL,'orgnl_prtctn_vl' AS CAMPO, '${ref_date}' AS REF_DATE, COUNT(*) AS NUM_REG, SUM(IF(COALESCE(CAST(X.orgnl_prtctn_vl AS STRING),'')&lt;&gt;COALESCE(CAST(Y.orgnl_prtctn_vl_SIMUL AS STRING),'') OR (X.orgnl_prtctn_vl IS NULL AND Y.orgnl_prtctn_vl_SIMUL IS NOT NULL ) OR (X.orgnl_prtctn_vl IS NOT NULL AND Y.orgnl_prtctn_vl_SIMUL IS NULL),1,0)) AS NUM_REG_DIF,'1' AS ID_EXEC, CURRENT_TIMESTAMP() AS TIME_EXEC FROM (SELECT prtctn_id, orgnl_prtctn_vl FROM BU_LOANTAPE_WORK.LT004_PROTECTION WHERE ref_date='${ref_date}' AND nome_perimetro='Individual Local' AND segmento='ESTR' AND ambito='SRB_MBDT' AND entidade='00100')X INNER JOIN (SELECT prtctn_id AS prtctn_id_SIMUL, orgnl_prtctn_vl AS orgnl_prtctn_vl_SIMUL FROM BU_LOANTAPE_WORK.SIMUL_LT004 WHERE ref_date='${ref_date}' AND nome_perimetro='Individual Local' AND segmento='ESTR' AND ambito='PILAR3' AND entidade='00100')Y ON X.PRTCTN_ID=Y.PRTCTN_ID_SIMUL</v>
      </c>
      <c r="M578" s="36" t="str">
        <f t="shared" si="14"/>
        <v>UNION ALL SELECT 'PROTECTION' AS TABELA, 'COERÊNCIA' AS TIPOLOGIA_TESTE,'BU_LOANTAPE_WORK.LT004_PROTECTION' AS TABELA_LT,'BU_LOANTAPE_WORK.SIMUL_LT004' AS TABELA_SIMUL,'orgnl_prtctn_vl' AS CAMPO, '${ref_date}' AS REF_DATE, COUNT(*) AS NUM_REG, SUM(IF(COALESCE(CAST(X.orgnl_prtctn_vl AS STRING),'')&lt;&gt;COALESCE(CAST(Y.orgnl_prtctn_vl_SIMUL AS STRING),'') OR (X.orgnl_prtctn_vl IS NULL AND Y.orgnl_prtctn_vl_SIMUL IS NOT NULL ) OR (X.orgnl_prtctn_vl IS NOT NULL AND Y.orgnl_prtctn_vl_SIMUL IS NULL),1,0)) AS NUM_REG_DIF,'1' AS ID_EXEC, CURRENT_TIMESTAMP() AS TIME_EXEC FROM (SELECT prtctn_id, orgnl_prtctn_vl FROM BU_LOANTAPE_WORK.LT004_PROTECTION WHERE ref_date='${ref_date}' AND nome_perimetro='Individual Local' AND segmento='ESTR' AND ambito='SRB_MBDT' AND entidade='00100')X INNER JOIN (SELECT prtctn_id AS prtctn_id_SIMUL, orgnl_prtctn_vl AS orgnl_prtctn_vl_SIMUL FROM BU_LOANTAPE_WORK.SIMUL_LT004 WHERE ref_date='${ref_date}' AND nome_perimetro='Individual Local' AND segmento='ESTR' AND ambito='PILAR3' AND entidade='00100')Y ON X.PRTCTN_ID=Y.PRTCTN_ID_SIMUL</v>
      </c>
    </row>
    <row r="579" spans="2:13">
      <c r="B579" s="34" t="s">
        <v>119</v>
      </c>
      <c r="C579" s="34" t="s">
        <v>5</v>
      </c>
      <c r="D579" s="34" t="str">
        <f>+UPPER('0. Instruções'!$D$35&amp;"."&amp;VLOOKUP(B579,'0. Instruções'!$C$27:$D$32,2,FALSE))</f>
        <v>BU_LOANTAPE_WORK.LT004_PROTECTION</v>
      </c>
      <c r="E579" s="34" t="str">
        <f>+UPPER('0. Instruções'!$D$36&amp;"."&amp;VLOOKUP(B579,'0. Instruções'!$C$27:$E$32,3,FALSE))</f>
        <v>BU_LOANTAPE_WORK.SIMUL_LT004</v>
      </c>
      <c r="F579" s="34" t="s">
        <v>1525</v>
      </c>
      <c r="G579" s="34"/>
      <c r="H579" s="34"/>
      <c r="I579" s="34" t="str">
        <f>"(SELECT "&amp;VLOOKUP(B579,'0. Instruções'!$C$27:$G$32,4,FALSE)&amp;", "&amp;F579&amp;" FROM "&amp;D579&amp;" WHERE "&amp;'0. Instruções'!$D$42&amp;")X"</f>
        <v>(SELECT prtctn_id, prtctn_frcd_sl_vl FROM BU_LOANTAPE_WORK.LT004_PROTECTION WHERE ref_date='${ref_date}' AND nome_perimetro='Individual Local' AND segmento='ESTR' AND ambito='SRB_MBDT' AND entidade='00100')X</v>
      </c>
      <c r="J579" s="34" t="str">
        <f>"(SELECT "&amp;VLOOKUP(B579,'0. Instruções'!$C$27:$G$32,4,FALSE)&amp;" AS "&amp;VLOOKUP(B579,'0. Instruções'!$C$27:$G$32,4,FALSE)&amp;"_SIMUL, "&amp;F579&amp;" AS "&amp;F579&amp;"_SIMUL FROM "&amp;E579&amp;" WHERE "&amp;'0. Instruções'!$D$43&amp;")Y"</f>
        <v>(SELECT prtctn_id AS prtctn_id_SIMUL, prtctn_frcd_sl_vl AS prtctn_frcd_sl_vl_SIMUL FROM BU_LOANTAPE_WORK.SIMUL_LT004 WHERE ref_date='${ref_date}' AND nome_perimetro='Individual Local' AND segmento='ESTR' AND ambito='PILAR3' AND entidade='00100')Y</v>
      </c>
      <c r="K579" s="35" t="str">
        <f>+UPPER("ON X."&amp;VLOOKUP(B579,'0. Instruções'!$C$27:$G$32,4,FALSE)&amp;"=Y."&amp;VLOOKUP(B579,'0. Instruções'!$C$27:$G$32,4,FALSE)&amp;"_SIMUL")</f>
        <v>ON X.PRTCTN_ID=Y.PRTCTN_ID_SIMUL</v>
      </c>
      <c r="L579" s="35" t="str">
        <f>+IF(C579="Coerência", +IF(LEFT(G579,5)="FLOAT","SELECT '"&amp;UPPER(B579)&amp;"' AS TABELA, '"&amp;UPPER(C579)&amp;"' AS TIPOLOGIA_TESTE,'"&amp;D579&amp;"' AS TABELA_LT,'"&amp;E579&amp;"' AS TABELA_SIMUL,'"&amp;F579&amp;"' AS CAMPO, "&amp;"'${ref_date}' AS REF_DATE, COUNT(*) AS NUM_REG, SUM(IF((ABS(COALESCE(CAST(X."&amp;F579&amp;" AS DECIMAL(18,6)),0)-COALESCE(CAST(Y."&amp;F579&amp;"_SIMUL AS DECIMAL(18,6)),0))&gt;0.000001) OR (X."&amp;F579&amp;" IS NULL AND Y."&amp;F579&amp;"_SIMUL IS NOT NULL ) OR (X."&amp;F579&amp;" IS NOT NULL AND Y."&amp;F579&amp;"_SIMUL IS NULL),1,0)) AS NUM_REG_DIF,'"&amp;MAX('ID1&amp;5'!K:K)+1&amp;"' AS ID_EXEC, CURRENT_TIMESTAMP() AS TIME_EXEC FROM "&amp;I579&amp;" INNER JOIN "&amp;J579&amp;" "&amp;K579,"SELECT '"&amp;UPPER(B579)&amp;"' AS TABELA, '"&amp;UPPER(C579)&amp;"' AS TIPOLOGIA_TESTE,'"&amp;D579&amp;"' AS TABELA_LT,'"&amp;E579&amp;"' AS TABELA_SIMUL,'"&amp;F579&amp;"' AS CAMPO, "&amp;"'${ref_date}' AS REF_DATE, COUNT(*) AS NUM_REG, SUM(IF(COALESCE(CAST(X."&amp;F579&amp;" AS STRING),'')&lt;&gt;COALESCE(CAST(Y."&amp;F579&amp;"_SIMUL AS STRING),'') OR (X."&amp;F579&amp;" IS NULL AND Y."&amp;F579&amp;"_SIMUL IS NOT NULL ) OR (X."&amp;F579&amp;" IS NOT NULL AND Y."&amp;F579&amp;"_SIMUL IS NULL),1,0)) AS NUM_REG_DIF,'"&amp;MAX('ID1&amp;5'!L:L)+1&amp;"' AS ID_EXEC, CURRENT_TIMESTAMP() AS TIME_EXEC FROM "&amp;I579&amp;" INNER JOIN "&amp;J579&amp;" "&amp;K579),
IF(C579="Validade",+IF(G579="Code List","SELECT '"&amp;UPPER(B579)&amp;"' AS TABELA, '"&amp;UPPER(C579)&amp;"' AS TIPOLOGIA_TESTE,'"&amp;D579&amp;"' AS TABELA_LT,'N/A' AS TABELA_SIMUL,'"&amp;F579&amp;"' AS CAMPO, "&amp;"'${ref_date}' AS REF_DATE, COUNT(*) AS NUM_REG, SUM(IF(TRIM(CAST(X."&amp;F579&amp;" AS STRING))='' OR TRIM(CAST(X."&amp;F579&amp;" AS STRING)) IS NULL OR CAST(X."&amp;F579&amp;" AS STRING) NOT "&amp;H579&amp;",1,0)) AS NUM_REG_DIF,'"&amp;MAX('ID1&amp;5'!K:K)+1&amp;"' AS ID_EXEC, CURRENT_TIMESTAMP() AS TIME_EXEC FROM "&amp;I579,"SELECT '"&amp;UPPER(B579)&amp;"' AS TABELA, '"&amp;UPPER(C579)&amp;"' AS TIPOLOGIA_TESTE,'"&amp;D579&amp;"' AS TABELA_LT,'N/A' AS TABELA_SIMUL,'"&amp;F579&amp;"' AS CAMPO, "&amp;"'${ref_date}' AS REF_DATE, COUNT(*) AS NUM_REG, SUM(IF(TRIM(CAST(X."&amp;F579&amp;" AS STRING))='' OR TRIM(CAST(X."&amp;F579&amp;" AS STRING)) IS NULL,1,0)) AS NUM_REG_DIF,'"&amp;MAX('ID1&amp;5'!K:K)+1&amp;"' AS ID_EXEC, CURRENT_TIMESTAMP() AS TIME_EXEC FROM "&amp;I579),
IF(C579="Caracteres Especiais",+"SELECT '"&amp;UPPER(B579)&amp;"' AS TABELA, '"&amp;UPPER(C579)&amp;"' AS TIPOLOGIA_TESTE,'"&amp;D579&amp;"' AS TABELA_LT,'N/A' AS TABELA_SIMUL,'"&amp;F579&amp;"' AS CAMPO, "&amp;"'${ref_date}' AS REF_DATE, COUNT(*) AS NUM_REG, SUM(IF(REGEXP_REPLACE(TRIM(CAST(X."&amp;F579&amp;" AS STRING)),'[^a-zA-Z0-9_\\s]','') &lt;&gt;TRIM(CAST(X."&amp;F579&amp;" AS STRING)),1,0)) AS NUM_REG_DIF,'"&amp;MAX('ID1&amp;5'!K:K)+1&amp;"' AS ID_EXEC, CURRENT_TIMESTAMP() AS TIME_EXEC FROM "&amp;I579,
IF(C579="Missings",+"SELECT '"&amp;UPPER(B579)&amp;"' AS TABELA, '"&amp;UPPER(C579)&amp;"' AS TIPOLOGIA_TESTE,'"&amp;D579&amp;"' AS TABELA_LT,'N/A' AS TABELA_SIMUL,'"&amp;F579&amp;"' AS CAMPO, "&amp;"'${ref_date}' AS REF_DATE, COUNT(*) AS NUM_REG, SUM(IF(TRIM(CAST(X."&amp;F579&amp;" AS STRING)) IN ('0000-00-00','0001-01-01','9999-12-31','MISS','00000','99999999999','99999999999.00','99999999999.000000'),1,0)) AS NUM_REG_DIF,'"&amp;MAX('ID1&amp;5'!K:K)+1&amp;"' AS ID_EXEC, CURRENT_TIMESTAMP() AS TIME_EXEC FROM "&amp;I579,
IF(C579="Not applicable",+"SELECT '"&amp;UPPER(B579)&amp;"' AS TABELA, '"&amp;UPPER(C579)&amp;"' AS TIPOLOGIA_TESTE,'"&amp;D579&amp;"' AS TABELA_LT,'N/A' AS TABELA_SIMUL,'"&amp;F579&amp;"' AS CAMPO, "&amp;"'${ref_date}' AS REF_DATE, COUNT(*) AS NUM_REG, SUM(IF(TRIM(CAST(X."&amp;F579&amp;" AS STRING)) IN ('N/A','11111111111','11111111111.00','11111111111.000000','1111-11-11'),1,0)) AS NUM_REG_DIF,'"&amp;MAX('ID1&amp;5'!K:K)+1&amp;"' AS ID_EXEC, CURRENT_TIMESTAMP() AS TIME_EXEC FROM "&amp;I579,
IF(C579="Valores extremos",+"SELECT '"&amp;UPPER(B579)&amp;"' AS TABELA, '"&amp;UPPER(C579)&amp;"' AS TIPOLOGIA_TESTE,'"&amp;D579&amp;"' AS TABELA_LT,'N/A' AS TABELA_SIMUL,'"&amp;F579&amp;"' AS CAMPO, "&amp;"'${ref_date}' AS REF_DATE, CAST(MIN("&amp;F579&amp;") AS STRING) AS VALOR_MIN, CAST(MAX("&amp;F579&amp;") AS STRING) AS VALOR_MAX,'"&amp;MAX('ID1&amp;5'!K:K)+1&amp;"' AS ID_EXEC, CURRENT_TIMESTAMP() AS TIME_EXEC FROM "&amp;MID(I579,1,LEN(I579)-2)&amp;" AND CAST("&amp;F579&amp;"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TABELA_SIMUL,'prtctn_frcd_sl_vl' AS CAMPO, '${ref_date}' AS REF_DATE, COUNT(*) AS NUM_REG, SUM(IF(COALESCE(CAST(X.prtctn_frcd_sl_vl AS STRING),'')&lt;&gt;COALESCE(CAST(Y.prtctn_frcd_sl_vl_SIMUL AS STRING),'') OR (X.prtctn_frcd_sl_vl IS NULL AND Y.prtctn_frcd_sl_vl_SIMUL IS NOT NULL ) OR (X.prtctn_frcd_sl_vl IS NOT NULL AND Y.prtctn_frcd_sl_vl_SIMUL IS NULL),1,0)) AS NUM_REG_DIF,'1' AS ID_EXEC, CURRENT_TIMESTAMP() AS TIME_EXEC FROM (SELECT prtctn_id, prtctn_frcd_sl_vl FROM BU_LOANTAPE_WORK.LT004_PROTECTION WHERE ref_date='${ref_date}' AND nome_perimetro='Individual Local' AND segmento='ESTR' AND ambito='SRB_MBDT' AND entidade='00100')X INNER JOIN (SELECT prtctn_id AS prtctn_id_SIMUL, prtctn_frcd_sl_vl AS prtctn_frcd_sl_vl_SIMUL FROM BU_LOANTAPE_WORK.SIMUL_LT004 WHERE ref_date='${ref_date}' AND nome_perimetro='Individual Local' AND segmento='ESTR' AND ambito='PILAR3' AND entidade='00100')Y ON X.PRTCTN_ID=Y.PRTCTN_ID_SIMUL</v>
      </c>
      <c r="M579" s="36" t="str">
        <f t="shared" si="14"/>
        <v>UNION ALL SELECT 'PROTECTION' AS TABELA, 'COERÊNCIA' AS TIPOLOGIA_TESTE,'BU_LOANTAPE_WORK.LT004_PROTECTION' AS TABELA_LT,'BU_LOANTAPE_WORK.SIMUL_LT004' AS TABELA_SIMUL,'prtctn_frcd_sl_vl' AS CAMPO, '${ref_date}' AS REF_DATE, COUNT(*) AS NUM_REG, SUM(IF(COALESCE(CAST(X.prtctn_frcd_sl_vl AS STRING),'')&lt;&gt;COALESCE(CAST(Y.prtctn_frcd_sl_vl_SIMUL AS STRING),'') OR (X.prtctn_frcd_sl_vl IS NULL AND Y.prtctn_frcd_sl_vl_SIMUL IS NOT NULL ) OR (X.prtctn_frcd_sl_vl IS NOT NULL AND Y.prtctn_frcd_sl_vl_SIMUL IS NULL),1,0)) AS NUM_REG_DIF,'1' AS ID_EXEC, CURRENT_TIMESTAMP() AS TIME_EXEC FROM (SELECT prtctn_id, prtctn_frcd_sl_vl FROM BU_LOANTAPE_WORK.LT004_PROTECTION WHERE ref_date='${ref_date}' AND nome_perimetro='Individual Local' AND segmento='ESTR' AND ambito='SRB_MBDT' AND entidade='00100')X INNER JOIN (SELECT prtctn_id AS prtctn_id_SIMUL, prtctn_frcd_sl_vl AS prtctn_frcd_sl_vl_SIMUL FROM BU_LOANTAPE_WORK.SIMUL_LT004 WHERE ref_date='${ref_date}' AND nome_perimetro='Individual Local' AND segmento='ESTR' AND ambito='PILAR3' AND entidade='00100')Y ON X.PRTCTN_ID=Y.PRTCTN_ID_SIMUL</v>
      </c>
    </row>
    <row r="580" spans="2:13">
      <c r="B580" s="34" t="s">
        <v>119</v>
      </c>
      <c r="C580" s="34" t="s">
        <v>5</v>
      </c>
      <c r="D580" s="34" t="str">
        <f>+UPPER('0. Instruções'!$D$35&amp;"."&amp;VLOOKUP(B580,'0. Instruções'!$C$27:$D$32,2,FALSE))</f>
        <v>BU_LOANTAPE_WORK.LT004_PROTECTION</v>
      </c>
      <c r="E580" s="34" t="str">
        <f>+UPPER('0. Instruções'!$D$36&amp;"."&amp;VLOOKUP(B580,'0. Instruções'!$C$27:$E$32,3,FALSE))</f>
        <v>BU_LOANTAPE_WORK.SIMUL_LT004</v>
      </c>
      <c r="F580" s="34" t="s">
        <v>674</v>
      </c>
      <c r="G580" s="34"/>
      <c r="H580" s="34"/>
      <c r="I580" s="34" t="str">
        <f>"(SELECT "&amp;VLOOKUP(B580,'0. Instruções'!$C$27:$G$32,4,FALSE)&amp;", "&amp;F580&amp;" FROM "&amp;D580&amp;" WHERE "&amp;'0. Instruções'!$D$42&amp;")X"</f>
        <v>(SELECT prtctn_id, prtctn_vl FROM BU_LOANTAPE_WORK.LT004_PROTECTION WHERE ref_date='${ref_date}' AND nome_perimetro='Individual Local' AND segmento='ESTR' AND ambito='SRB_MBDT' AND entidade='00100')X</v>
      </c>
      <c r="J580" s="34" t="str">
        <f>"(SELECT "&amp;VLOOKUP(B580,'0. Instruções'!$C$27:$G$32,4,FALSE)&amp;" AS "&amp;VLOOKUP(B580,'0. Instruções'!$C$27:$G$32,4,FALSE)&amp;"_SIMUL, "&amp;F580&amp;" AS "&amp;F580&amp;"_SIMUL FROM "&amp;E580&amp;" WHERE "&amp;'0. Instruções'!$D$43&amp;")Y"</f>
        <v>(SELECT prtctn_id AS prtctn_id_SIMUL, prtctn_vl AS prtctn_vl_SIMUL FROM BU_LOANTAPE_WORK.SIMUL_LT004 WHERE ref_date='${ref_date}' AND nome_perimetro='Individual Local' AND segmento='ESTR' AND ambito='PILAR3' AND entidade='00100')Y</v>
      </c>
      <c r="K580" s="35" t="str">
        <f>+UPPER("ON X."&amp;VLOOKUP(B580,'0. Instruções'!$C$27:$G$32,4,FALSE)&amp;"=Y."&amp;VLOOKUP(B580,'0. Instruções'!$C$27:$G$32,4,FALSE)&amp;"_SIMUL")</f>
        <v>ON X.PRTCTN_ID=Y.PRTCTN_ID_SIMUL</v>
      </c>
      <c r="L580" s="35" t="str">
        <f>+IF(C580="Coerência", +IF(LEFT(G580,5)="FLOAT","SELECT '"&amp;UPPER(B580)&amp;"' AS TABELA, '"&amp;UPPER(C580)&amp;"' AS TIPOLOGIA_TESTE,'"&amp;D580&amp;"' AS TABELA_LT,'"&amp;E580&amp;"' AS TABELA_SIMUL,'"&amp;F580&amp;"' AS CAMPO, "&amp;"'${ref_date}' AS REF_DATE, COUNT(*) AS NUM_REG, SUM(IF((ABS(COALESCE(CAST(X."&amp;F580&amp;" AS DECIMAL(18,6)),0)-COALESCE(CAST(Y."&amp;F580&amp;"_SIMUL AS DECIMAL(18,6)),0))&gt;0.000001) OR (X."&amp;F580&amp;" IS NULL AND Y."&amp;F580&amp;"_SIMUL IS NOT NULL ) OR (X."&amp;F580&amp;" IS NOT NULL AND Y."&amp;F580&amp;"_SIMUL IS NULL),1,0)) AS NUM_REG_DIF,'"&amp;MAX('ID1&amp;5'!K:K)+1&amp;"' AS ID_EXEC, CURRENT_TIMESTAMP() AS TIME_EXEC FROM "&amp;I580&amp;" INNER JOIN "&amp;J580&amp;" "&amp;K580,"SELECT '"&amp;UPPER(B580)&amp;"' AS TABELA, '"&amp;UPPER(C580)&amp;"' AS TIPOLOGIA_TESTE,'"&amp;D580&amp;"' AS TABELA_LT,'"&amp;E580&amp;"' AS TABELA_SIMUL,'"&amp;F580&amp;"' AS CAMPO, "&amp;"'${ref_date}' AS REF_DATE, COUNT(*) AS NUM_REG, SUM(IF(COALESCE(CAST(X."&amp;F580&amp;" AS STRING),'')&lt;&gt;COALESCE(CAST(Y."&amp;F580&amp;"_SIMUL AS STRING),'') OR (X."&amp;F580&amp;" IS NULL AND Y."&amp;F580&amp;"_SIMUL IS NOT NULL ) OR (X."&amp;F580&amp;" IS NOT NULL AND Y."&amp;F580&amp;"_SIMUL IS NULL),1,0)) AS NUM_REG_DIF,'"&amp;MAX('ID1&amp;5'!L:L)+1&amp;"' AS ID_EXEC, CURRENT_TIMESTAMP() AS TIME_EXEC FROM "&amp;I580&amp;" INNER JOIN "&amp;J580&amp;" "&amp;K580),
IF(C580="Validade",+IF(G580="Code List","SELECT '"&amp;UPPER(B580)&amp;"' AS TABELA, '"&amp;UPPER(C580)&amp;"' AS TIPOLOGIA_TESTE,'"&amp;D580&amp;"' AS TABELA_LT,'N/A' AS TABELA_SIMUL,'"&amp;F580&amp;"' AS CAMPO, "&amp;"'${ref_date}' AS REF_DATE, COUNT(*) AS NUM_REG, SUM(IF(TRIM(CAST(X."&amp;F580&amp;" AS STRING))='' OR TRIM(CAST(X."&amp;F580&amp;" AS STRING)) IS NULL OR CAST(X."&amp;F580&amp;" AS STRING) NOT "&amp;H580&amp;",1,0)) AS NUM_REG_DIF,'"&amp;MAX('ID1&amp;5'!K:K)+1&amp;"' AS ID_EXEC, CURRENT_TIMESTAMP() AS TIME_EXEC FROM "&amp;I580,"SELECT '"&amp;UPPER(B580)&amp;"' AS TABELA, '"&amp;UPPER(C580)&amp;"' AS TIPOLOGIA_TESTE,'"&amp;D580&amp;"' AS TABELA_LT,'N/A' AS TABELA_SIMUL,'"&amp;F580&amp;"' AS CAMPO, "&amp;"'${ref_date}' AS REF_DATE, COUNT(*) AS NUM_REG, SUM(IF(TRIM(CAST(X."&amp;F580&amp;" AS STRING))='' OR TRIM(CAST(X."&amp;F580&amp;" AS STRING)) IS NULL,1,0)) AS NUM_REG_DIF,'"&amp;MAX('ID1&amp;5'!K:K)+1&amp;"' AS ID_EXEC, CURRENT_TIMESTAMP() AS TIME_EXEC FROM "&amp;I580),
IF(C580="Caracteres Especiais",+"SELECT '"&amp;UPPER(B580)&amp;"' AS TABELA, '"&amp;UPPER(C580)&amp;"' AS TIPOLOGIA_TESTE,'"&amp;D580&amp;"' AS TABELA_LT,'N/A' AS TABELA_SIMUL,'"&amp;F580&amp;"' AS CAMPO, "&amp;"'${ref_date}' AS REF_DATE, COUNT(*) AS NUM_REG, SUM(IF(REGEXP_REPLACE(TRIM(CAST(X."&amp;F580&amp;" AS STRING)),'[^a-zA-Z0-9_\\s]','') &lt;&gt;TRIM(CAST(X."&amp;F580&amp;" AS STRING)),1,0)) AS NUM_REG_DIF,'"&amp;MAX('ID1&amp;5'!K:K)+1&amp;"' AS ID_EXEC, CURRENT_TIMESTAMP() AS TIME_EXEC FROM "&amp;I580,
IF(C580="Missings",+"SELECT '"&amp;UPPER(B580)&amp;"' AS TABELA, '"&amp;UPPER(C580)&amp;"' AS TIPOLOGIA_TESTE,'"&amp;D580&amp;"' AS TABELA_LT,'N/A' AS TABELA_SIMUL,'"&amp;F580&amp;"' AS CAMPO, "&amp;"'${ref_date}' AS REF_DATE, COUNT(*) AS NUM_REG, SUM(IF(TRIM(CAST(X."&amp;F580&amp;" AS STRING)) IN ('0000-00-00','0001-01-01','9999-12-31','MISS','00000','99999999999','99999999999.00','99999999999.000000'),1,0)) AS NUM_REG_DIF,'"&amp;MAX('ID1&amp;5'!K:K)+1&amp;"' AS ID_EXEC, CURRENT_TIMESTAMP() AS TIME_EXEC FROM "&amp;I580,
IF(C580="Not applicable",+"SELECT '"&amp;UPPER(B580)&amp;"' AS TABELA, '"&amp;UPPER(C580)&amp;"' AS TIPOLOGIA_TESTE,'"&amp;D580&amp;"' AS TABELA_LT,'N/A' AS TABELA_SIMUL,'"&amp;F580&amp;"' AS CAMPO, "&amp;"'${ref_date}' AS REF_DATE, COUNT(*) AS NUM_REG, SUM(IF(TRIM(CAST(X."&amp;F580&amp;" AS STRING)) IN ('N/A','11111111111','11111111111.00','11111111111.000000','1111-11-11'),1,0)) AS NUM_REG_DIF,'"&amp;MAX('ID1&amp;5'!K:K)+1&amp;"' AS ID_EXEC, CURRENT_TIMESTAMP() AS TIME_EXEC FROM "&amp;I580,
IF(C580="Valores extremos",+"SELECT '"&amp;UPPER(B580)&amp;"' AS TABELA, '"&amp;UPPER(C580)&amp;"' AS TIPOLOGIA_TESTE,'"&amp;D580&amp;"' AS TABELA_LT,'N/A' AS TABELA_SIMUL,'"&amp;F580&amp;"' AS CAMPO, "&amp;"'${ref_date}' AS REF_DATE, CAST(MIN("&amp;F580&amp;") AS STRING) AS VALOR_MIN, CAST(MAX("&amp;F580&amp;") AS STRING) AS VALOR_MAX,'"&amp;MAX('ID1&amp;5'!K:K)+1&amp;"' AS ID_EXEC, CURRENT_TIMESTAMP() AS TIME_EXEC FROM "&amp;MID(I580,1,LEN(I580)-2)&amp;" AND CAST("&amp;F580&amp;"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TABELA_SIMUL,'prtctn_vl' AS CAMPO, '${ref_date}' AS REF_DATE, COUNT(*) AS NUM_REG, SUM(IF(COALESCE(CAST(X.prtctn_vl AS STRING),'')&lt;&gt;COALESCE(CAST(Y.prtctn_vl_SIMUL AS STRING),'') OR (X.prtctn_vl IS NULL AND Y.prtctn_vl_SIMUL IS NOT NULL ) OR (X.prtctn_vl IS NOT NULL AND Y.prtctn_vl_SIMUL IS NULL),1,0)) AS NUM_REG_DIF,'1' AS ID_EXEC, CURRENT_TIMESTAMP() AS TIME_EXEC FROM (SELECT prtctn_id, prtctn_vl FROM BU_LOANTAPE_WORK.LT004_PROTECTION WHERE ref_date='${ref_date}' AND nome_perimetro='Individual Local' AND segmento='ESTR' AND ambito='SRB_MBDT' AND entidade='00100')X INNER JOIN (SELECT prtctn_id AS prtctn_id_SIMUL, prtctn_vl AS prtctn_vl_SIMUL FROM BU_LOANTAPE_WORK.SIMUL_LT004 WHERE ref_date='${ref_date}' AND nome_perimetro='Individual Local' AND segmento='ESTR' AND ambito='PILAR3' AND entidade='00100')Y ON X.PRTCTN_ID=Y.PRTCTN_ID_SIMUL</v>
      </c>
      <c r="M580" s="36" t="str">
        <f t="shared" si="14"/>
        <v>UNION ALL SELECT 'PROTECTION' AS TABELA, 'COERÊNCIA' AS TIPOLOGIA_TESTE,'BU_LOANTAPE_WORK.LT004_PROTECTION' AS TABELA_LT,'BU_LOANTAPE_WORK.SIMUL_LT004' AS TABELA_SIMUL,'prtctn_vl' AS CAMPO, '${ref_date}' AS REF_DATE, COUNT(*) AS NUM_REG, SUM(IF(COALESCE(CAST(X.prtctn_vl AS STRING),'')&lt;&gt;COALESCE(CAST(Y.prtctn_vl_SIMUL AS STRING),'') OR (X.prtctn_vl IS NULL AND Y.prtctn_vl_SIMUL IS NOT NULL ) OR (X.prtctn_vl IS NOT NULL AND Y.prtctn_vl_SIMUL IS NULL),1,0)) AS NUM_REG_DIF,'1' AS ID_EXEC, CURRENT_TIMESTAMP() AS TIME_EXEC FROM (SELECT prtctn_id, prtctn_vl FROM BU_LOANTAPE_WORK.LT004_PROTECTION WHERE ref_date='${ref_date}' AND nome_perimetro='Individual Local' AND segmento='ESTR' AND ambito='SRB_MBDT' AND entidade='00100')X INNER JOIN (SELECT prtctn_id AS prtctn_id_SIMUL, prtctn_vl AS prtctn_vl_SIMUL FROM BU_LOANTAPE_WORK.SIMUL_LT004 WHERE ref_date='${ref_date}' AND nome_perimetro='Individual Local' AND segmento='ESTR' AND ambito='PILAR3' AND entidade='00100')Y ON X.PRTCTN_ID=Y.PRTCTN_ID_SIMUL</v>
      </c>
    </row>
    <row r="581" spans="2:13">
      <c r="B581" s="34" t="s">
        <v>119</v>
      </c>
      <c r="C581" s="34" t="s">
        <v>5</v>
      </c>
      <c r="D581" s="34" t="str">
        <f>+UPPER('0. Instruções'!$D$35&amp;"."&amp;VLOOKUP(B581,'0. Instruções'!$C$27:$D$32,2,FALSE))</f>
        <v>BU_LOANTAPE_WORK.LT004_PROTECTION</v>
      </c>
      <c r="E581" s="34" t="str">
        <f>+UPPER('0. Instruções'!$D$36&amp;"."&amp;VLOOKUP(B581,'0. Instruções'!$C$27:$E$32,3,FALSE))</f>
        <v>BU_LOANTAPE_WORK.SIMUL_LT004</v>
      </c>
      <c r="F581" s="34" t="s">
        <v>1526</v>
      </c>
      <c r="G581" s="34"/>
      <c r="H581" s="34"/>
      <c r="I581" s="34" t="str">
        <f>"(SELECT "&amp;VLOOKUP(B581,'0. Instruções'!$C$27:$G$32,4,FALSE)&amp;", "&amp;F581&amp;" FROM "&amp;D581&amp;" WHERE "&amp;'0. Instruções'!$D$42&amp;")X"</f>
        <v>(SELECT prtctn_id, prtctn_vl_npe FROM BU_LOANTAPE_WORK.LT004_PROTECTION WHERE ref_date='${ref_date}' AND nome_perimetro='Individual Local' AND segmento='ESTR' AND ambito='SRB_MBDT' AND entidade='00100')X</v>
      </c>
      <c r="J581" s="34" t="str">
        <f>"(SELECT "&amp;VLOOKUP(B581,'0. Instruções'!$C$27:$G$32,4,FALSE)&amp;" AS "&amp;VLOOKUP(B581,'0. Instruções'!$C$27:$G$32,4,FALSE)&amp;"_SIMUL, "&amp;F581&amp;" AS "&amp;F581&amp;"_SIMUL FROM "&amp;E581&amp;" WHERE "&amp;'0. Instruções'!$D$43&amp;")Y"</f>
        <v>(SELECT prtctn_id AS prtctn_id_SIMUL, prtctn_vl_npe AS prtctn_vl_npe_SIMUL FROM BU_LOANTAPE_WORK.SIMUL_LT004 WHERE ref_date='${ref_date}' AND nome_perimetro='Individual Local' AND segmento='ESTR' AND ambito='PILAR3' AND entidade='00100')Y</v>
      </c>
      <c r="K581" s="35" t="str">
        <f>+UPPER("ON X."&amp;VLOOKUP(B581,'0. Instruções'!$C$27:$G$32,4,FALSE)&amp;"=Y."&amp;VLOOKUP(B581,'0. Instruções'!$C$27:$G$32,4,FALSE)&amp;"_SIMUL")</f>
        <v>ON X.PRTCTN_ID=Y.PRTCTN_ID_SIMUL</v>
      </c>
      <c r="L581" s="35" t="str">
        <f>+IF(C581="Coerência", +IF(LEFT(G581,5)="FLOAT","SELECT '"&amp;UPPER(B581)&amp;"' AS TABELA, '"&amp;UPPER(C581)&amp;"' AS TIPOLOGIA_TESTE,'"&amp;D581&amp;"' AS TABELA_LT,'"&amp;E581&amp;"' AS TABELA_SIMUL,'"&amp;F581&amp;"' AS CAMPO, "&amp;"'${ref_date}' AS REF_DATE, COUNT(*) AS NUM_REG, SUM(IF((ABS(COALESCE(CAST(X."&amp;F581&amp;" AS DECIMAL(18,6)),0)-COALESCE(CAST(Y."&amp;F581&amp;"_SIMUL AS DECIMAL(18,6)),0))&gt;0.000001) OR (X."&amp;F581&amp;" IS NULL AND Y."&amp;F581&amp;"_SIMUL IS NOT NULL ) OR (X."&amp;F581&amp;" IS NOT NULL AND Y."&amp;F581&amp;"_SIMUL IS NULL),1,0)) AS NUM_REG_DIF,'"&amp;MAX('ID1&amp;5'!K:K)+1&amp;"' AS ID_EXEC, CURRENT_TIMESTAMP() AS TIME_EXEC FROM "&amp;I581&amp;" INNER JOIN "&amp;J581&amp;" "&amp;K581,"SELECT '"&amp;UPPER(B581)&amp;"' AS TABELA, '"&amp;UPPER(C581)&amp;"' AS TIPOLOGIA_TESTE,'"&amp;D581&amp;"' AS TABELA_LT,'"&amp;E581&amp;"' AS TABELA_SIMUL,'"&amp;F581&amp;"' AS CAMPO, "&amp;"'${ref_date}' AS REF_DATE, COUNT(*) AS NUM_REG, SUM(IF(COALESCE(CAST(X."&amp;F581&amp;" AS STRING),'')&lt;&gt;COALESCE(CAST(Y."&amp;F581&amp;"_SIMUL AS STRING),'') OR (X."&amp;F581&amp;" IS NULL AND Y."&amp;F581&amp;"_SIMUL IS NOT NULL ) OR (X."&amp;F581&amp;" IS NOT NULL AND Y."&amp;F581&amp;"_SIMUL IS NULL),1,0)) AS NUM_REG_DIF,'"&amp;MAX('ID1&amp;5'!L:L)+1&amp;"' AS ID_EXEC, CURRENT_TIMESTAMP() AS TIME_EXEC FROM "&amp;I581&amp;" INNER JOIN "&amp;J581&amp;" "&amp;K581),
IF(C581="Validade",+IF(G581="Code List","SELECT '"&amp;UPPER(B581)&amp;"' AS TABELA, '"&amp;UPPER(C581)&amp;"' AS TIPOLOGIA_TESTE,'"&amp;D581&amp;"' AS TABELA_LT,'N/A' AS TABELA_SIMUL,'"&amp;F581&amp;"' AS CAMPO, "&amp;"'${ref_date}' AS REF_DATE, COUNT(*) AS NUM_REG, SUM(IF(TRIM(CAST(X."&amp;F581&amp;" AS STRING))='' OR TRIM(CAST(X."&amp;F581&amp;" AS STRING)) IS NULL OR CAST(X."&amp;F581&amp;" AS STRING) NOT "&amp;H581&amp;",1,0)) AS NUM_REG_DIF,'"&amp;MAX('ID1&amp;5'!K:K)+1&amp;"' AS ID_EXEC, CURRENT_TIMESTAMP() AS TIME_EXEC FROM "&amp;I581,"SELECT '"&amp;UPPER(B581)&amp;"' AS TABELA, '"&amp;UPPER(C581)&amp;"' AS TIPOLOGIA_TESTE,'"&amp;D581&amp;"' AS TABELA_LT,'N/A' AS TABELA_SIMUL,'"&amp;F581&amp;"' AS CAMPO, "&amp;"'${ref_date}' AS REF_DATE, COUNT(*) AS NUM_REG, SUM(IF(TRIM(CAST(X."&amp;F581&amp;" AS STRING))='' OR TRIM(CAST(X."&amp;F581&amp;" AS STRING)) IS NULL,1,0)) AS NUM_REG_DIF,'"&amp;MAX('ID1&amp;5'!K:K)+1&amp;"' AS ID_EXEC, CURRENT_TIMESTAMP() AS TIME_EXEC FROM "&amp;I581),
IF(C581="Caracteres Especiais",+"SELECT '"&amp;UPPER(B581)&amp;"' AS TABELA, '"&amp;UPPER(C581)&amp;"' AS TIPOLOGIA_TESTE,'"&amp;D581&amp;"' AS TABELA_LT,'N/A' AS TABELA_SIMUL,'"&amp;F581&amp;"' AS CAMPO, "&amp;"'${ref_date}' AS REF_DATE, COUNT(*) AS NUM_REG, SUM(IF(REGEXP_REPLACE(TRIM(CAST(X."&amp;F581&amp;" AS STRING)),'[^a-zA-Z0-9_\\s]','') &lt;&gt;TRIM(CAST(X."&amp;F581&amp;" AS STRING)),1,0)) AS NUM_REG_DIF,'"&amp;MAX('ID1&amp;5'!K:K)+1&amp;"' AS ID_EXEC, CURRENT_TIMESTAMP() AS TIME_EXEC FROM "&amp;I581,
IF(C581="Missings",+"SELECT '"&amp;UPPER(B581)&amp;"' AS TABELA, '"&amp;UPPER(C581)&amp;"' AS TIPOLOGIA_TESTE,'"&amp;D581&amp;"' AS TABELA_LT,'N/A' AS TABELA_SIMUL,'"&amp;F581&amp;"' AS CAMPO, "&amp;"'${ref_date}' AS REF_DATE, COUNT(*) AS NUM_REG, SUM(IF(TRIM(CAST(X."&amp;F581&amp;" AS STRING)) IN ('0000-00-00','0001-01-01','9999-12-31','MISS','00000','99999999999','99999999999.00','99999999999.000000'),1,0)) AS NUM_REG_DIF,'"&amp;MAX('ID1&amp;5'!K:K)+1&amp;"' AS ID_EXEC, CURRENT_TIMESTAMP() AS TIME_EXEC FROM "&amp;I581,
IF(C581="Not applicable",+"SELECT '"&amp;UPPER(B581)&amp;"' AS TABELA, '"&amp;UPPER(C581)&amp;"' AS TIPOLOGIA_TESTE,'"&amp;D581&amp;"' AS TABELA_LT,'N/A' AS TABELA_SIMUL,'"&amp;F581&amp;"' AS CAMPO, "&amp;"'${ref_date}' AS REF_DATE, COUNT(*) AS NUM_REG, SUM(IF(TRIM(CAST(X."&amp;F581&amp;" AS STRING)) IN ('N/A','11111111111','11111111111.00','11111111111.000000','1111-11-11'),1,0)) AS NUM_REG_DIF,'"&amp;MAX('ID1&amp;5'!K:K)+1&amp;"' AS ID_EXEC, CURRENT_TIMESTAMP() AS TIME_EXEC FROM "&amp;I581,
IF(C581="Valores extremos",+"SELECT '"&amp;UPPER(B581)&amp;"' AS TABELA, '"&amp;UPPER(C581)&amp;"' AS TIPOLOGIA_TESTE,'"&amp;D581&amp;"' AS TABELA_LT,'N/A' AS TABELA_SIMUL,'"&amp;F581&amp;"' AS CAMPO, "&amp;"'${ref_date}' AS REF_DATE, CAST(MIN("&amp;F581&amp;") AS STRING) AS VALOR_MIN, CAST(MAX("&amp;F581&amp;") AS STRING) AS VALOR_MAX,'"&amp;MAX('ID1&amp;5'!K:K)+1&amp;"' AS ID_EXEC, CURRENT_TIMESTAMP() AS TIME_EXEC FROM "&amp;MID(I581,1,LEN(I581)-2)&amp;" AND CAST("&amp;F581&amp;"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TABELA_SIMUL,'prtctn_vl_npe' AS CAMPO, '${ref_date}' AS REF_DATE, COUNT(*) AS NUM_REG, SUM(IF(COALESCE(CAST(X.prtctn_vl_npe AS STRING),'')&lt;&gt;COALESCE(CAST(Y.prtctn_vl_npe_SIMUL AS STRING),'') OR (X.prtctn_vl_npe IS NULL AND Y.prtctn_vl_npe_SIMUL IS NOT NULL ) OR (X.prtctn_vl_npe IS NOT NULL AND Y.prtctn_vl_npe_SIMUL IS NULL),1,0)) AS NUM_REG_DIF,'1' AS ID_EXEC, CURRENT_TIMESTAMP() AS TIME_EXEC FROM (SELECT prtctn_id, prtctn_vl_npe FROM BU_LOANTAPE_WORK.LT004_PROTECTION WHERE ref_date='${ref_date}' AND nome_perimetro='Individual Local' AND segmento='ESTR' AND ambito='SRB_MBDT' AND entidade='00100')X INNER JOIN (SELECT prtctn_id AS prtctn_id_SIMUL, prtctn_vl_npe AS prtctn_vl_npe_SIMUL FROM BU_LOANTAPE_WORK.SIMUL_LT004 WHERE ref_date='${ref_date}' AND nome_perimetro='Individual Local' AND segmento='ESTR' AND ambito='PILAR3' AND entidade='00100')Y ON X.PRTCTN_ID=Y.PRTCTN_ID_SIMUL</v>
      </c>
      <c r="M581" s="36" t="str">
        <f t="shared" si="14"/>
        <v>UNION ALL SELECT 'PROTECTION' AS TABELA, 'COERÊNCIA' AS TIPOLOGIA_TESTE,'BU_LOANTAPE_WORK.LT004_PROTECTION' AS TABELA_LT,'BU_LOANTAPE_WORK.SIMUL_LT004' AS TABELA_SIMUL,'prtctn_vl_npe' AS CAMPO, '${ref_date}' AS REF_DATE, COUNT(*) AS NUM_REG, SUM(IF(COALESCE(CAST(X.prtctn_vl_npe AS STRING),'')&lt;&gt;COALESCE(CAST(Y.prtctn_vl_npe_SIMUL AS STRING),'') OR (X.prtctn_vl_npe IS NULL AND Y.prtctn_vl_npe_SIMUL IS NOT NULL ) OR (X.prtctn_vl_npe IS NOT NULL AND Y.prtctn_vl_npe_SIMUL IS NULL),1,0)) AS NUM_REG_DIF,'1' AS ID_EXEC, CURRENT_TIMESTAMP() AS TIME_EXEC FROM (SELECT prtctn_id, prtctn_vl_npe FROM BU_LOANTAPE_WORK.LT004_PROTECTION WHERE ref_date='${ref_date}' AND nome_perimetro='Individual Local' AND segmento='ESTR' AND ambito='SRB_MBDT' AND entidade='00100')X INNER JOIN (SELECT prtctn_id AS prtctn_id_SIMUL, prtctn_vl_npe AS prtctn_vl_npe_SIMUL FROM BU_LOANTAPE_WORK.SIMUL_LT004 WHERE ref_date='${ref_date}' AND nome_perimetro='Individual Local' AND segmento='ESTR' AND ambito='PILAR3' AND entidade='00100')Y ON X.PRTCTN_ID=Y.PRTCTN_ID_SIMUL</v>
      </c>
    </row>
    <row r="582" spans="2:13">
      <c r="B582" s="34" t="s">
        <v>119</v>
      </c>
      <c r="C582" s="34" t="s">
        <v>5</v>
      </c>
      <c r="D582" s="34" t="str">
        <f>+UPPER('0. Instruções'!$D$35&amp;"."&amp;VLOOKUP(B582,'0. Instruções'!$C$27:$D$32,2,FALSE))</f>
        <v>BU_LOANTAPE_WORK.LT004_PROTECTION</v>
      </c>
      <c r="E582" s="34" t="str">
        <f>+UPPER('0. Instruções'!$D$36&amp;"."&amp;VLOOKUP(B582,'0. Instruções'!$C$27:$E$32,3,FALSE))</f>
        <v>BU_LOANTAPE_WORK.SIMUL_LT004</v>
      </c>
      <c r="F582" s="34" t="s">
        <v>1527</v>
      </c>
      <c r="G582" s="34"/>
      <c r="H582" s="34"/>
      <c r="I582" s="34" t="str">
        <f>"(SELECT "&amp;VLOOKUP(B582,'0. Instruções'!$C$27:$G$32,4,FALSE)&amp;", "&amp;F582&amp;" FROM "&amp;D582&amp;" WHERE "&amp;'0. Instruções'!$D$42&amp;")X"</f>
        <v>(SELECT prtctn_id, prtctn_vltn_apprch FROM BU_LOANTAPE_WORK.LT004_PROTECTION WHERE ref_date='${ref_date}' AND nome_perimetro='Individual Local' AND segmento='ESTR' AND ambito='SRB_MBDT' AND entidade='00100')X</v>
      </c>
      <c r="J582" s="34" t="str">
        <f>"(SELECT "&amp;VLOOKUP(B582,'0. Instruções'!$C$27:$G$32,4,FALSE)&amp;" AS "&amp;VLOOKUP(B582,'0. Instruções'!$C$27:$G$32,4,FALSE)&amp;"_SIMUL, "&amp;F582&amp;" AS "&amp;F582&amp;"_SIMUL FROM "&amp;E582&amp;" WHERE "&amp;'0. Instruções'!$D$43&amp;")Y"</f>
        <v>(SELECT prtctn_id AS prtctn_id_SIMUL, prtctn_vltn_apprch AS prtctn_vltn_apprch_SIMUL FROM BU_LOANTAPE_WORK.SIMUL_LT004 WHERE ref_date='${ref_date}' AND nome_perimetro='Individual Local' AND segmento='ESTR' AND ambito='PILAR3' AND entidade='00100')Y</v>
      </c>
      <c r="K582" s="35" t="str">
        <f>+UPPER("ON X."&amp;VLOOKUP(B582,'0. Instruções'!$C$27:$G$32,4,FALSE)&amp;"=Y."&amp;VLOOKUP(B582,'0. Instruções'!$C$27:$G$32,4,FALSE)&amp;"_SIMUL")</f>
        <v>ON X.PRTCTN_ID=Y.PRTCTN_ID_SIMUL</v>
      </c>
      <c r="L582" s="35" t="str">
        <f>+IF(C582="Coerência", +IF(LEFT(G582,5)="FLOAT","SELECT '"&amp;UPPER(B582)&amp;"' AS TABELA, '"&amp;UPPER(C582)&amp;"' AS TIPOLOGIA_TESTE,'"&amp;D582&amp;"' AS TABELA_LT,'"&amp;E582&amp;"' AS TABELA_SIMUL,'"&amp;F582&amp;"' AS CAMPO, "&amp;"'${ref_date}' AS REF_DATE, COUNT(*) AS NUM_REG, SUM(IF((ABS(COALESCE(CAST(X."&amp;F582&amp;" AS DECIMAL(18,6)),0)-COALESCE(CAST(Y."&amp;F582&amp;"_SIMUL AS DECIMAL(18,6)),0))&gt;0.000001) OR (X."&amp;F582&amp;" IS NULL AND Y."&amp;F582&amp;"_SIMUL IS NOT NULL ) OR (X."&amp;F582&amp;" IS NOT NULL AND Y."&amp;F582&amp;"_SIMUL IS NULL),1,0)) AS NUM_REG_DIF,'"&amp;MAX('ID1&amp;5'!K:K)+1&amp;"' AS ID_EXEC, CURRENT_TIMESTAMP() AS TIME_EXEC FROM "&amp;I582&amp;" INNER JOIN "&amp;J582&amp;" "&amp;K582,"SELECT '"&amp;UPPER(B582)&amp;"' AS TABELA, '"&amp;UPPER(C582)&amp;"' AS TIPOLOGIA_TESTE,'"&amp;D582&amp;"' AS TABELA_LT,'"&amp;E582&amp;"' AS TABELA_SIMUL,'"&amp;F582&amp;"' AS CAMPO, "&amp;"'${ref_date}' AS REF_DATE, COUNT(*) AS NUM_REG, SUM(IF(COALESCE(CAST(X."&amp;F582&amp;" AS STRING),'')&lt;&gt;COALESCE(CAST(Y."&amp;F582&amp;"_SIMUL AS STRING),'') OR (X."&amp;F582&amp;" IS NULL AND Y."&amp;F582&amp;"_SIMUL IS NOT NULL ) OR (X."&amp;F582&amp;" IS NOT NULL AND Y."&amp;F582&amp;"_SIMUL IS NULL),1,0)) AS NUM_REG_DIF,'"&amp;MAX('ID1&amp;5'!L:L)+1&amp;"' AS ID_EXEC, CURRENT_TIMESTAMP() AS TIME_EXEC FROM "&amp;I582&amp;" INNER JOIN "&amp;J582&amp;" "&amp;K582),
IF(C582="Validade",+IF(G582="Code List","SELECT '"&amp;UPPER(B582)&amp;"' AS TABELA, '"&amp;UPPER(C582)&amp;"' AS TIPOLOGIA_TESTE,'"&amp;D582&amp;"' AS TABELA_LT,'N/A' AS TABELA_SIMUL,'"&amp;F582&amp;"' AS CAMPO, "&amp;"'${ref_date}' AS REF_DATE, COUNT(*) AS NUM_REG, SUM(IF(TRIM(CAST(X."&amp;F582&amp;" AS STRING))='' OR TRIM(CAST(X."&amp;F582&amp;" AS STRING)) IS NULL OR CAST(X."&amp;F582&amp;" AS STRING) NOT "&amp;H582&amp;",1,0)) AS NUM_REG_DIF,'"&amp;MAX('ID1&amp;5'!K:K)+1&amp;"' AS ID_EXEC, CURRENT_TIMESTAMP() AS TIME_EXEC FROM "&amp;I582,"SELECT '"&amp;UPPER(B582)&amp;"' AS TABELA, '"&amp;UPPER(C582)&amp;"' AS TIPOLOGIA_TESTE,'"&amp;D582&amp;"' AS TABELA_LT,'N/A' AS TABELA_SIMUL,'"&amp;F582&amp;"' AS CAMPO, "&amp;"'${ref_date}' AS REF_DATE, COUNT(*) AS NUM_REG, SUM(IF(TRIM(CAST(X."&amp;F582&amp;" AS STRING))='' OR TRIM(CAST(X."&amp;F582&amp;" AS STRING)) IS NULL,1,0)) AS NUM_REG_DIF,'"&amp;MAX('ID1&amp;5'!K:K)+1&amp;"' AS ID_EXEC, CURRENT_TIMESTAMP() AS TIME_EXEC FROM "&amp;I582),
IF(C582="Caracteres Especiais",+"SELECT '"&amp;UPPER(B582)&amp;"' AS TABELA, '"&amp;UPPER(C582)&amp;"' AS TIPOLOGIA_TESTE,'"&amp;D582&amp;"' AS TABELA_LT,'N/A' AS TABELA_SIMUL,'"&amp;F582&amp;"' AS CAMPO, "&amp;"'${ref_date}' AS REF_DATE, COUNT(*) AS NUM_REG, SUM(IF(REGEXP_REPLACE(TRIM(CAST(X."&amp;F582&amp;" AS STRING)),'[^a-zA-Z0-9_\\s]','') &lt;&gt;TRIM(CAST(X."&amp;F582&amp;" AS STRING)),1,0)) AS NUM_REG_DIF,'"&amp;MAX('ID1&amp;5'!K:K)+1&amp;"' AS ID_EXEC, CURRENT_TIMESTAMP() AS TIME_EXEC FROM "&amp;I582,
IF(C582="Missings",+"SELECT '"&amp;UPPER(B582)&amp;"' AS TABELA, '"&amp;UPPER(C582)&amp;"' AS TIPOLOGIA_TESTE,'"&amp;D582&amp;"' AS TABELA_LT,'N/A' AS TABELA_SIMUL,'"&amp;F582&amp;"' AS CAMPO, "&amp;"'${ref_date}' AS REF_DATE, COUNT(*) AS NUM_REG, SUM(IF(TRIM(CAST(X."&amp;F582&amp;" AS STRING)) IN ('0000-00-00','0001-01-01','9999-12-31','MISS','00000','99999999999','99999999999.00','99999999999.000000'),1,0)) AS NUM_REG_DIF,'"&amp;MAX('ID1&amp;5'!K:K)+1&amp;"' AS ID_EXEC, CURRENT_TIMESTAMP() AS TIME_EXEC FROM "&amp;I582,
IF(C582="Not applicable",+"SELECT '"&amp;UPPER(B582)&amp;"' AS TABELA, '"&amp;UPPER(C582)&amp;"' AS TIPOLOGIA_TESTE,'"&amp;D582&amp;"' AS TABELA_LT,'N/A' AS TABELA_SIMUL,'"&amp;F582&amp;"' AS CAMPO, "&amp;"'${ref_date}' AS REF_DATE, COUNT(*) AS NUM_REG, SUM(IF(TRIM(CAST(X."&amp;F582&amp;" AS STRING)) IN ('N/A','11111111111','11111111111.00','11111111111.000000','1111-11-11'),1,0)) AS NUM_REG_DIF,'"&amp;MAX('ID1&amp;5'!K:K)+1&amp;"' AS ID_EXEC, CURRENT_TIMESTAMP() AS TIME_EXEC FROM "&amp;I582,
IF(C582="Valores extremos",+"SELECT '"&amp;UPPER(B582)&amp;"' AS TABELA, '"&amp;UPPER(C582)&amp;"' AS TIPOLOGIA_TESTE,'"&amp;D582&amp;"' AS TABELA_LT,'N/A' AS TABELA_SIMUL,'"&amp;F582&amp;"' AS CAMPO, "&amp;"'${ref_date}' AS REF_DATE, CAST(MIN("&amp;F582&amp;") AS STRING) AS VALOR_MIN, CAST(MAX("&amp;F582&amp;") AS STRING) AS VALOR_MAX,'"&amp;MAX('ID1&amp;5'!K:K)+1&amp;"' AS ID_EXEC, CURRENT_TIMESTAMP() AS TIME_EXEC FROM "&amp;MID(I582,1,LEN(I582)-2)&amp;" AND CAST("&amp;F582&amp;"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TABELA_SIMUL,'prtctn_vltn_apprch' AS CAMPO, '${ref_date}' AS REF_DATE, COUNT(*) AS NUM_REG, SUM(IF(COALESCE(CAST(X.prtctn_vltn_apprch AS STRING),'')&lt;&gt;COALESCE(CAST(Y.prtctn_vltn_apprch_SIMUL AS STRING),'') OR (X.prtctn_vltn_apprch IS NULL AND Y.prtctn_vltn_apprch_SIMUL IS NOT NULL ) OR (X.prtctn_vltn_apprch IS NOT NULL AND Y.prtctn_vltn_apprch_SIMUL IS NULL),1,0)) AS NUM_REG_DIF,'1' AS ID_EXEC, CURRENT_TIMESTAMP() AS TIME_EXEC FROM (SELECT prtctn_id, prtctn_vltn_apprch FROM BU_LOANTAPE_WORK.LT004_PROTECTION WHERE ref_date='${ref_date}' AND nome_perimetro='Individual Local' AND segmento='ESTR' AND ambito='SRB_MBDT' AND entidade='00100')X INNER JOIN (SELECT prtctn_id AS prtctn_id_SIMUL, prtctn_vltn_apprch AS prtctn_vltn_apprch_SIMUL FROM BU_LOANTAPE_WORK.SIMUL_LT004 WHERE ref_date='${ref_date}' AND nome_perimetro='Individual Local' AND segmento='ESTR' AND ambito='PILAR3' AND entidade='00100')Y ON X.PRTCTN_ID=Y.PRTCTN_ID_SIMUL</v>
      </c>
      <c r="M582" s="36" t="str">
        <f t="shared" si="14"/>
        <v>UNION ALL SELECT 'PROTECTION' AS TABELA, 'COERÊNCIA' AS TIPOLOGIA_TESTE,'BU_LOANTAPE_WORK.LT004_PROTECTION' AS TABELA_LT,'BU_LOANTAPE_WORK.SIMUL_LT004' AS TABELA_SIMUL,'prtctn_vltn_apprch' AS CAMPO, '${ref_date}' AS REF_DATE, COUNT(*) AS NUM_REG, SUM(IF(COALESCE(CAST(X.prtctn_vltn_apprch AS STRING),'')&lt;&gt;COALESCE(CAST(Y.prtctn_vltn_apprch_SIMUL AS STRING),'') OR (X.prtctn_vltn_apprch IS NULL AND Y.prtctn_vltn_apprch_SIMUL IS NOT NULL ) OR (X.prtctn_vltn_apprch IS NOT NULL AND Y.prtctn_vltn_apprch_SIMUL IS NULL),1,0)) AS NUM_REG_DIF,'1' AS ID_EXEC, CURRENT_TIMESTAMP() AS TIME_EXEC FROM (SELECT prtctn_id, prtctn_vltn_apprch FROM BU_LOANTAPE_WORK.LT004_PROTECTION WHERE ref_date='${ref_date}' AND nome_perimetro='Individual Local' AND segmento='ESTR' AND ambito='SRB_MBDT' AND entidade='00100')X INNER JOIN (SELECT prtctn_id AS prtctn_id_SIMUL, prtctn_vltn_apprch AS prtctn_vltn_apprch_SIMUL FROM BU_LOANTAPE_WORK.SIMUL_LT004 WHERE ref_date='${ref_date}' AND nome_perimetro='Individual Local' AND segmento='ESTR' AND ambito='PILAR3' AND entidade='00100')Y ON X.PRTCTN_ID=Y.PRTCTN_ID_SIMUL</v>
      </c>
    </row>
    <row r="583" spans="2:13">
      <c r="B583" s="34" t="s">
        <v>119</v>
      </c>
      <c r="C583" s="34" t="s">
        <v>5</v>
      </c>
      <c r="D583" s="34" t="str">
        <f>+UPPER('0. Instruções'!$D$35&amp;"."&amp;VLOOKUP(B583,'0. Instruções'!$C$27:$D$32,2,FALSE))</f>
        <v>BU_LOANTAPE_WORK.LT004_PROTECTION</v>
      </c>
      <c r="E583" s="34" t="str">
        <f>+UPPER('0. Instruções'!$D$36&amp;"."&amp;VLOOKUP(B583,'0. Instruções'!$C$27:$E$32,3,FALSE))</f>
        <v>BU_LOANTAPE_WORK.SIMUL_LT004</v>
      </c>
      <c r="F583" s="34" t="s">
        <v>1528</v>
      </c>
      <c r="G583" s="34"/>
      <c r="H583" s="34"/>
      <c r="I583" s="34" t="str">
        <f>"(SELECT "&amp;VLOOKUP(B583,'0. Instruções'!$C$27:$G$32,4,FALSE)&amp;", "&amp;F583&amp;" FROM "&amp;D583&amp;" WHERE "&amp;'0. Instruções'!$D$42&amp;")X"</f>
        <v>(SELECT prtctn_id, dt_apprsl_prvs FROM BU_LOANTAPE_WORK.LT004_PROTECTION WHERE ref_date='${ref_date}' AND nome_perimetro='Individual Local' AND segmento='ESTR' AND ambito='SRB_MBDT' AND entidade='00100')X</v>
      </c>
      <c r="J583" s="34" t="str">
        <f>"(SELECT "&amp;VLOOKUP(B583,'0. Instruções'!$C$27:$G$32,4,FALSE)&amp;" AS "&amp;VLOOKUP(B583,'0. Instruções'!$C$27:$G$32,4,FALSE)&amp;"_SIMUL, "&amp;F583&amp;" AS "&amp;F583&amp;"_SIMUL FROM "&amp;E583&amp;" WHERE "&amp;'0. Instruções'!$D$43&amp;")Y"</f>
        <v>(SELECT prtctn_id AS prtctn_id_SIMUL, dt_apprsl_prvs AS dt_apprsl_prvs_SIMUL FROM BU_LOANTAPE_WORK.SIMUL_LT004 WHERE ref_date='${ref_date}' AND nome_perimetro='Individual Local' AND segmento='ESTR' AND ambito='PILAR3' AND entidade='00100')Y</v>
      </c>
      <c r="K583" s="35" t="str">
        <f>+UPPER("ON X."&amp;VLOOKUP(B583,'0. Instruções'!$C$27:$G$32,4,FALSE)&amp;"=Y."&amp;VLOOKUP(B583,'0. Instruções'!$C$27:$G$32,4,FALSE)&amp;"_SIMUL")</f>
        <v>ON X.PRTCTN_ID=Y.PRTCTN_ID_SIMUL</v>
      </c>
      <c r="L583" s="35" t="str">
        <f>+IF(C583="Coerência", +IF(LEFT(G583,5)="FLOAT","SELECT '"&amp;UPPER(B583)&amp;"' AS TABELA, '"&amp;UPPER(C583)&amp;"' AS TIPOLOGIA_TESTE,'"&amp;D583&amp;"' AS TABELA_LT,'"&amp;E583&amp;"' AS TABELA_SIMUL,'"&amp;F583&amp;"' AS CAMPO, "&amp;"'${ref_date}' AS REF_DATE, COUNT(*) AS NUM_REG, SUM(IF((ABS(COALESCE(CAST(X."&amp;F583&amp;" AS DECIMAL(18,6)),0)-COALESCE(CAST(Y."&amp;F583&amp;"_SIMUL AS DECIMAL(18,6)),0))&gt;0.000001) OR (X."&amp;F583&amp;" IS NULL AND Y."&amp;F583&amp;"_SIMUL IS NOT NULL ) OR (X."&amp;F583&amp;" IS NOT NULL AND Y."&amp;F583&amp;"_SIMUL IS NULL),1,0)) AS NUM_REG_DIF,'"&amp;MAX('ID1&amp;5'!K:K)+1&amp;"' AS ID_EXEC, CURRENT_TIMESTAMP() AS TIME_EXEC FROM "&amp;I583&amp;" INNER JOIN "&amp;J583&amp;" "&amp;K583,"SELECT '"&amp;UPPER(B583)&amp;"' AS TABELA, '"&amp;UPPER(C583)&amp;"' AS TIPOLOGIA_TESTE,'"&amp;D583&amp;"' AS TABELA_LT,'"&amp;E583&amp;"' AS TABELA_SIMUL,'"&amp;F583&amp;"' AS CAMPO, "&amp;"'${ref_date}' AS REF_DATE, COUNT(*) AS NUM_REG, SUM(IF(COALESCE(CAST(X."&amp;F583&amp;" AS STRING),'')&lt;&gt;COALESCE(CAST(Y."&amp;F583&amp;"_SIMUL AS STRING),'') OR (X."&amp;F583&amp;" IS NULL AND Y."&amp;F583&amp;"_SIMUL IS NOT NULL ) OR (X."&amp;F583&amp;" IS NOT NULL AND Y."&amp;F583&amp;"_SIMUL IS NULL),1,0)) AS NUM_REG_DIF,'"&amp;MAX('ID1&amp;5'!L:L)+1&amp;"' AS ID_EXEC, CURRENT_TIMESTAMP() AS TIME_EXEC FROM "&amp;I583&amp;" INNER JOIN "&amp;J583&amp;" "&amp;K583),
IF(C583="Validade",+IF(G583="Code List","SELECT '"&amp;UPPER(B583)&amp;"' AS TABELA, '"&amp;UPPER(C583)&amp;"' AS TIPOLOGIA_TESTE,'"&amp;D583&amp;"' AS TABELA_LT,'N/A' AS TABELA_SIMUL,'"&amp;F583&amp;"' AS CAMPO, "&amp;"'${ref_date}' AS REF_DATE, COUNT(*) AS NUM_REG, SUM(IF(TRIM(CAST(X."&amp;F583&amp;" AS STRING))='' OR TRIM(CAST(X."&amp;F583&amp;" AS STRING)) IS NULL OR CAST(X."&amp;F583&amp;" AS STRING) NOT "&amp;H583&amp;",1,0)) AS NUM_REG_DIF,'"&amp;MAX('ID1&amp;5'!K:K)+1&amp;"' AS ID_EXEC, CURRENT_TIMESTAMP() AS TIME_EXEC FROM "&amp;I583,"SELECT '"&amp;UPPER(B583)&amp;"' AS TABELA, '"&amp;UPPER(C583)&amp;"' AS TIPOLOGIA_TESTE,'"&amp;D583&amp;"' AS TABELA_LT,'N/A' AS TABELA_SIMUL,'"&amp;F583&amp;"' AS CAMPO, "&amp;"'${ref_date}' AS REF_DATE, COUNT(*) AS NUM_REG, SUM(IF(TRIM(CAST(X."&amp;F583&amp;" AS STRING))='' OR TRIM(CAST(X."&amp;F583&amp;" AS STRING)) IS NULL,1,0)) AS NUM_REG_DIF,'"&amp;MAX('ID1&amp;5'!K:K)+1&amp;"' AS ID_EXEC, CURRENT_TIMESTAMP() AS TIME_EXEC FROM "&amp;I583),
IF(C583="Caracteres Especiais",+"SELECT '"&amp;UPPER(B583)&amp;"' AS TABELA, '"&amp;UPPER(C583)&amp;"' AS TIPOLOGIA_TESTE,'"&amp;D583&amp;"' AS TABELA_LT,'N/A' AS TABELA_SIMUL,'"&amp;F583&amp;"' AS CAMPO, "&amp;"'${ref_date}' AS REF_DATE, COUNT(*) AS NUM_REG, SUM(IF(REGEXP_REPLACE(TRIM(CAST(X."&amp;F583&amp;" AS STRING)),'[^a-zA-Z0-9_\\s]','') &lt;&gt;TRIM(CAST(X."&amp;F583&amp;" AS STRING)),1,0)) AS NUM_REG_DIF,'"&amp;MAX('ID1&amp;5'!K:K)+1&amp;"' AS ID_EXEC, CURRENT_TIMESTAMP() AS TIME_EXEC FROM "&amp;I583,
IF(C583="Missings",+"SELECT '"&amp;UPPER(B583)&amp;"' AS TABELA, '"&amp;UPPER(C583)&amp;"' AS TIPOLOGIA_TESTE,'"&amp;D583&amp;"' AS TABELA_LT,'N/A' AS TABELA_SIMUL,'"&amp;F583&amp;"' AS CAMPO, "&amp;"'${ref_date}' AS REF_DATE, COUNT(*) AS NUM_REG, SUM(IF(TRIM(CAST(X."&amp;F583&amp;" AS STRING)) IN ('0000-00-00','0001-01-01','9999-12-31','MISS','00000','99999999999','99999999999.00','99999999999.000000'),1,0)) AS NUM_REG_DIF,'"&amp;MAX('ID1&amp;5'!K:K)+1&amp;"' AS ID_EXEC, CURRENT_TIMESTAMP() AS TIME_EXEC FROM "&amp;I583,
IF(C583="Not applicable",+"SELECT '"&amp;UPPER(B583)&amp;"' AS TABELA, '"&amp;UPPER(C583)&amp;"' AS TIPOLOGIA_TESTE,'"&amp;D583&amp;"' AS TABELA_LT,'N/A' AS TABELA_SIMUL,'"&amp;F583&amp;"' AS CAMPO, "&amp;"'${ref_date}' AS REF_DATE, COUNT(*) AS NUM_REG, SUM(IF(TRIM(CAST(X."&amp;F583&amp;" AS STRING)) IN ('N/A','11111111111','11111111111.00','11111111111.000000','1111-11-11'),1,0)) AS NUM_REG_DIF,'"&amp;MAX('ID1&amp;5'!K:K)+1&amp;"' AS ID_EXEC, CURRENT_TIMESTAMP() AS TIME_EXEC FROM "&amp;I583,
IF(C583="Valores extremos",+"SELECT '"&amp;UPPER(B583)&amp;"' AS TABELA, '"&amp;UPPER(C583)&amp;"' AS TIPOLOGIA_TESTE,'"&amp;D583&amp;"' AS TABELA_LT,'N/A' AS TABELA_SIMUL,'"&amp;F583&amp;"' AS CAMPO, "&amp;"'${ref_date}' AS REF_DATE, CAST(MIN("&amp;F583&amp;") AS STRING) AS VALOR_MIN, CAST(MAX("&amp;F583&amp;") AS STRING) AS VALOR_MAX,'"&amp;MAX('ID1&amp;5'!K:K)+1&amp;"' AS ID_EXEC, CURRENT_TIMESTAMP() AS TIME_EXEC FROM "&amp;MID(I583,1,LEN(I583)-2)&amp;" AND CAST("&amp;F583&amp;"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TABELA_SIMUL,'dt_apprsl_prvs' AS CAMPO, '${ref_date}' AS REF_DATE, COUNT(*) AS NUM_REG, SUM(IF(COALESCE(CAST(X.dt_apprsl_prvs AS STRING),'')&lt;&gt;COALESCE(CAST(Y.dt_apprsl_prvs_SIMUL AS STRING),'') OR (X.dt_apprsl_prvs IS NULL AND Y.dt_apprsl_prvs_SIMUL IS NOT NULL ) OR (X.dt_apprsl_prvs IS NOT NULL AND Y.dt_apprsl_prvs_SIMUL IS NULL),1,0)) AS NUM_REG_DIF,'1' AS ID_EXEC, CURRENT_TIMESTAMP() AS TIME_EXEC FROM (SELECT prtctn_id, dt_apprsl_prvs FROM BU_LOANTAPE_WORK.LT004_PROTECTION WHERE ref_date='${ref_date}' AND nome_perimetro='Individual Local' AND segmento='ESTR' AND ambito='SRB_MBDT' AND entidade='00100')X INNER JOIN (SELECT prtctn_id AS prtctn_id_SIMUL, dt_apprsl_prvs AS dt_apprsl_prvs_SIMUL FROM BU_LOANTAPE_WORK.SIMUL_LT004 WHERE ref_date='${ref_date}' AND nome_perimetro='Individual Local' AND segmento='ESTR' AND ambito='PILAR3' AND entidade='00100')Y ON X.PRTCTN_ID=Y.PRTCTN_ID_SIMUL</v>
      </c>
      <c r="M583" s="36" t="str">
        <f t="shared" si="14"/>
        <v>UNION ALL SELECT 'PROTECTION' AS TABELA, 'COERÊNCIA' AS TIPOLOGIA_TESTE,'BU_LOANTAPE_WORK.LT004_PROTECTION' AS TABELA_LT,'BU_LOANTAPE_WORK.SIMUL_LT004' AS TABELA_SIMUL,'dt_apprsl_prvs' AS CAMPO, '${ref_date}' AS REF_DATE, COUNT(*) AS NUM_REG, SUM(IF(COALESCE(CAST(X.dt_apprsl_prvs AS STRING),'')&lt;&gt;COALESCE(CAST(Y.dt_apprsl_prvs_SIMUL AS STRING),'') OR (X.dt_apprsl_prvs IS NULL AND Y.dt_apprsl_prvs_SIMUL IS NOT NULL ) OR (X.dt_apprsl_prvs IS NOT NULL AND Y.dt_apprsl_prvs_SIMUL IS NULL),1,0)) AS NUM_REG_DIF,'1' AS ID_EXEC, CURRENT_TIMESTAMP() AS TIME_EXEC FROM (SELECT prtctn_id, dt_apprsl_prvs FROM BU_LOANTAPE_WORK.LT004_PROTECTION WHERE ref_date='${ref_date}' AND nome_perimetro='Individual Local' AND segmento='ESTR' AND ambito='SRB_MBDT' AND entidade='00100')X INNER JOIN (SELECT prtctn_id AS prtctn_id_SIMUL, dt_apprsl_prvs AS dt_apprsl_prvs_SIMUL FROM BU_LOANTAPE_WORK.SIMUL_LT004 WHERE ref_date='${ref_date}' AND nome_perimetro='Individual Local' AND segmento='ESTR' AND ambito='PILAR3' AND entidade='00100')Y ON X.PRTCTN_ID=Y.PRTCTN_ID_SIMUL</v>
      </c>
    </row>
    <row r="584" spans="2:13">
      <c r="B584" s="34" t="s">
        <v>119</v>
      </c>
      <c r="C584" s="34" t="s">
        <v>5</v>
      </c>
      <c r="D584" s="34" t="str">
        <f>+UPPER('0. Instruções'!$D$35&amp;"."&amp;VLOOKUP(B584,'0. Instruções'!$C$27:$D$32,2,FALSE))</f>
        <v>BU_LOANTAPE_WORK.LT004_PROTECTION</v>
      </c>
      <c r="E584" s="34" t="str">
        <f>+UPPER('0. Instruções'!$D$36&amp;"."&amp;VLOOKUP(B584,'0. Instruções'!$C$27:$E$32,3,FALSE))</f>
        <v>BU_LOANTAPE_WORK.SIMUL_LT004</v>
      </c>
      <c r="F584" s="34" t="s">
        <v>1529</v>
      </c>
      <c r="G584" s="34"/>
      <c r="H584" s="34"/>
      <c r="I584" s="34" t="str">
        <f>"(SELECT "&amp;VLOOKUP(B584,'0. Instruções'!$C$27:$G$32,4,FALSE)&amp;", "&amp;F584&amp;" FROM "&amp;D584&amp;" WHERE "&amp;'0. Instruções'!$D$42&amp;")X"</f>
        <v>(SELECT prtctn_id, prtctn_vl_prvs FROM BU_LOANTAPE_WORK.LT004_PROTECTION WHERE ref_date='${ref_date}' AND nome_perimetro='Individual Local' AND segmento='ESTR' AND ambito='SRB_MBDT' AND entidade='00100')X</v>
      </c>
      <c r="J584" s="34" t="str">
        <f>"(SELECT "&amp;VLOOKUP(B584,'0. Instruções'!$C$27:$G$32,4,FALSE)&amp;" AS "&amp;VLOOKUP(B584,'0. Instruções'!$C$27:$G$32,4,FALSE)&amp;"_SIMUL, "&amp;F584&amp;" AS "&amp;F584&amp;"_SIMUL FROM "&amp;E584&amp;" WHERE "&amp;'0. Instruções'!$D$43&amp;")Y"</f>
        <v>(SELECT prtctn_id AS prtctn_id_SIMUL, prtctn_vl_prvs AS prtctn_vl_prvs_SIMUL FROM BU_LOANTAPE_WORK.SIMUL_LT004 WHERE ref_date='${ref_date}' AND nome_perimetro='Individual Local' AND segmento='ESTR' AND ambito='PILAR3' AND entidade='00100')Y</v>
      </c>
      <c r="K584" s="35" t="str">
        <f>+UPPER("ON X."&amp;VLOOKUP(B584,'0. Instruções'!$C$27:$G$32,4,FALSE)&amp;"=Y."&amp;VLOOKUP(B584,'0. Instruções'!$C$27:$G$32,4,FALSE)&amp;"_SIMUL")</f>
        <v>ON X.PRTCTN_ID=Y.PRTCTN_ID_SIMUL</v>
      </c>
      <c r="L584" s="35" t="str">
        <f>+IF(C584="Coerência", +IF(LEFT(G584,5)="FLOAT","SELECT '"&amp;UPPER(B584)&amp;"' AS TABELA, '"&amp;UPPER(C584)&amp;"' AS TIPOLOGIA_TESTE,'"&amp;D584&amp;"' AS TABELA_LT,'"&amp;E584&amp;"' AS TABELA_SIMUL,'"&amp;F584&amp;"' AS CAMPO, "&amp;"'${ref_date}' AS REF_DATE, COUNT(*) AS NUM_REG, SUM(IF((ABS(COALESCE(CAST(X."&amp;F584&amp;" AS DECIMAL(18,6)),0)-COALESCE(CAST(Y."&amp;F584&amp;"_SIMUL AS DECIMAL(18,6)),0))&gt;0.000001) OR (X."&amp;F584&amp;" IS NULL AND Y."&amp;F584&amp;"_SIMUL IS NOT NULL ) OR (X."&amp;F584&amp;" IS NOT NULL AND Y."&amp;F584&amp;"_SIMUL IS NULL),1,0)) AS NUM_REG_DIF,'"&amp;MAX('ID1&amp;5'!K:K)+1&amp;"' AS ID_EXEC, CURRENT_TIMESTAMP() AS TIME_EXEC FROM "&amp;I584&amp;" INNER JOIN "&amp;J584&amp;" "&amp;K584,"SELECT '"&amp;UPPER(B584)&amp;"' AS TABELA, '"&amp;UPPER(C584)&amp;"' AS TIPOLOGIA_TESTE,'"&amp;D584&amp;"' AS TABELA_LT,'"&amp;E584&amp;"' AS TABELA_SIMUL,'"&amp;F584&amp;"' AS CAMPO, "&amp;"'${ref_date}' AS REF_DATE, COUNT(*) AS NUM_REG, SUM(IF(COALESCE(CAST(X."&amp;F584&amp;" AS STRING),'')&lt;&gt;COALESCE(CAST(Y."&amp;F584&amp;"_SIMUL AS STRING),'') OR (X."&amp;F584&amp;" IS NULL AND Y."&amp;F584&amp;"_SIMUL IS NOT NULL ) OR (X."&amp;F584&amp;" IS NOT NULL AND Y."&amp;F584&amp;"_SIMUL IS NULL),1,0)) AS NUM_REG_DIF,'"&amp;MAX('ID1&amp;5'!L:L)+1&amp;"' AS ID_EXEC, CURRENT_TIMESTAMP() AS TIME_EXEC FROM "&amp;I584&amp;" INNER JOIN "&amp;J584&amp;" "&amp;K584),
IF(C584="Validade",+IF(G584="Code List","SELECT '"&amp;UPPER(B584)&amp;"' AS TABELA, '"&amp;UPPER(C584)&amp;"' AS TIPOLOGIA_TESTE,'"&amp;D584&amp;"' AS TABELA_LT,'N/A' AS TABELA_SIMUL,'"&amp;F584&amp;"' AS CAMPO, "&amp;"'${ref_date}' AS REF_DATE, COUNT(*) AS NUM_REG, SUM(IF(TRIM(CAST(X."&amp;F584&amp;" AS STRING))='' OR TRIM(CAST(X."&amp;F584&amp;" AS STRING)) IS NULL OR CAST(X."&amp;F584&amp;" AS STRING) NOT "&amp;H584&amp;",1,0)) AS NUM_REG_DIF,'"&amp;MAX('ID1&amp;5'!K:K)+1&amp;"' AS ID_EXEC, CURRENT_TIMESTAMP() AS TIME_EXEC FROM "&amp;I584,"SELECT '"&amp;UPPER(B584)&amp;"' AS TABELA, '"&amp;UPPER(C584)&amp;"' AS TIPOLOGIA_TESTE,'"&amp;D584&amp;"' AS TABELA_LT,'N/A' AS TABELA_SIMUL,'"&amp;F584&amp;"' AS CAMPO, "&amp;"'${ref_date}' AS REF_DATE, COUNT(*) AS NUM_REG, SUM(IF(TRIM(CAST(X."&amp;F584&amp;" AS STRING))='' OR TRIM(CAST(X."&amp;F584&amp;" AS STRING)) IS NULL,1,0)) AS NUM_REG_DIF,'"&amp;MAX('ID1&amp;5'!K:K)+1&amp;"' AS ID_EXEC, CURRENT_TIMESTAMP() AS TIME_EXEC FROM "&amp;I584),
IF(C584="Caracteres Especiais",+"SELECT '"&amp;UPPER(B584)&amp;"' AS TABELA, '"&amp;UPPER(C584)&amp;"' AS TIPOLOGIA_TESTE,'"&amp;D584&amp;"' AS TABELA_LT,'N/A' AS TABELA_SIMUL,'"&amp;F584&amp;"' AS CAMPO, "&amp;"'${ref_date}' AS REF_DATE, COUNT(*) AS NUM_REG, SUM(IF(REGEXP_REPLACE(TRIM(CAST(X."&amp;F584&amp;" AS STRING)),'[^a-zA-Z0-9_\\s]','') &lt;&gt;TRIM(CAST(X."&amp;F584&amp;" AS STRING)),1,0)) AS NUM_REG_DIF,'"&amp;MAX('ID1&amp;5'!K:K)+1&amp;"' AS ID_EXEC, CURRENT_TIMESTAMP() AS TIME_EXEC FROM "&amp;I584,
IF(C584="Missings",+"SELECT '"&amp;UPPER(B584)&amp;"' AS TABELA, '"&amp;UPPER(C584)&amp;"' AS TIPOLOGIA_TESTE,'"&amp;D584&amp;"' AS TABELA_LT,'N/A' AS TABELA_SIMUL,'"&amp;F584&amp;"' AS CAMPO, "&amp;"'${ref_date}' AS REF_DATE, COUNT(*) AS NUM_REG, SUM(IF(TRIM(CAST(X."&amp;F584&amp;" AS STRING)) IN ('0000-00-00','0001-01-01','9999-12-31','MISS','00000','99999999999','99999999999.00','99999999999.000000'),1,0)) AS NUM_REG_DIF,'"&amp;MAX('ID1&amp;5'!K:K)+1&amp;"' AS ID_EXEC, CURRENT_TIMESTAMP() AS TIME_EXEC FROM "&amp;I584,
IF(C584="Not applicable",+"SELECT '"&amp;UPPER(B584)&amp;"' AS TABELA, '"&amp;UPPER(C584)&amp;"' AS TIPOLOGIA_TESTE,'"&amp;D584&amp;"' AS TABELA_LT,'N/A' AS TABELA_SIMUL,'"&amp;F584&amp;"' AS CAMPO, "&amp;"'${ref_date}' AS REF_DATE, COUNT(*) AS NUM_REG, SUM(IF(TRIM(CAST(X."&amp;F584&amp;" AS STRING)) IN ('N/A','11111111111','11111111111.00','11111111111.000000','1111-11-11'),1,0)) AS NUM_REG_DIF,'"&amp;MAX('ID1&amp;5'!K:K)+1&amp;"' AS ID_EXEC, CURRENT_TIMESTAMP() AS TIME_EXEC FROM "&amp;I584,
IF(C584="Valores extremos",+"SELECT '"&amp;UPPER(B584)&amp;"' AS TABELA, '"&amp;UPPER(C584)&amp;"' AS TIPOLOGIA_TESTE,'"&amp;D584&amp;"' AS TABELA_LT,'N/A' AS TABELA_SIMUL,'"&amp;F584&amp;"' AS CAMPO, "&amp;"'${ref_date}' AS REF_DATE, CAST(MIN("&amp;F584&amp;") AS STRING) AS VALOR_MIN, CAST(MAX("&amp;F584&amp;") AS STRING) AS VALOR_MAX,'"&amp;MAX('ID1&amp;5'!K:K)+1&amp;"' AS ID_EXEC, CURRENT_TIMESTAMP() AS TIME_EXEC FROM "&amp;MID(I584,1,LEN(I584)-2)&amp;" AND CAST("&amp;F584&amp;"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TABELA_SIMUL,'prtctn_vl_prvs' AS CAMPO, '${ref_date}' AS REF_DATE, COUNT(*) AS NUM_REG, SUM(IF(COALESCE(CAST(X.prtctn_vl_prvs AS STRING),'')&lt;&gt;COALESCE(CAST(Y.prtctn_vl_prvs_SIMUL AS STRING),'') OR (X.prtctn_vl_prvs IS NULL AND Y.prtctn_vl_prvs_SIMUL IS NOT NULL ) OR (X.prtctn_vl_prvs IS NOT NULL AND Y.prtctn_vl_prvs_SIMUL IS NULL),1,0)) AS NUM_REG_DIF,'1' AS ID_EXEC, CURRENT_TIMESTAMP() AS TIME_EXEC FROM (SELECT prtctn_id, prtctn_vl_prvs FROM BU_LOANTAPE_WORK.LT004_PROTECTION WHERE ref_date='${ref_date}' AND nome_perimetro='Individual Local' AND segmento='ESTR' AND ambito='SRB_MBDT' AND entidade='00100')X INNER JOIN (SELECT prtctn_id AS prtctn_id_SIMUL, prtctn_vl_prvs AS prtctn_vl_prvs_SIMUL FROM BU_LOANTAPE_WORK.SIMUL_LT004 WHERE ref_date='${ref_date}' AND nome_perimetro='Individual Local' AND segmento='ESTR' AND ambito='PILAR3' AND entidade='00100')Y ON X.PRTCTN_ID=Y.PRTCTN_ID_SIMUL</v>
      </c>
      <c r="M584" s="36" t="str">
        <f t="shared" si="14"/>
        <v>UNION ALL SELECT 'PROTECTION' AS TABELA, 'COERÊNCIA' AS TIPOLOGIA_TESTE,'BU_LOANTAPE_WORK.LT004_PROTECTION' AS TABELA_LT,'BU_LOANTAPE_WORK.SIMUL_LT004' AS TABELA_SIMUL,'prtctn_vl_prvs' AS CAMPO, '${ref_date}' AS REF_DATE, COUNT(*) AS NUM_REG, SUM(IF(COALESCE(CAST(X.prtctn_vl_prvs AS STRING),'')&lt;&gt;COALESCE(CAST(Y.prtctn_vl_prvs_SIMUL AS STRING),'') OR (X.prtctn_vl_prvs IS NULL AND Y.prtctn_vl_prvs_SIMUL IS NOT NULL ) OR (X.prtctn_vl_prvs IS NOT NULL AND Y.prtctn_vl_prvs_SIMUL IS NULL),1,0)) AS NUM_REG_DIF,'1' AS ID_EXEC, CURRENT_TIMESTAMP() AS TIME_EXEC FROM (SELECT prtctn_id, prtctn_vl_prvs FROM BU_LOANTAPE_WORK.LT004_PROTECTION WHERE ref_date='${ref_date}' AND nome_perimetro='Individual Local' AND segmento='ESTR' AND ambito='SRB_MBDT' AND entidade='00100')X INNER JOIN (SELECT prtctn_id AS prtctn_id_SIMUL, prtctn_vl_prvs AS prtctn_vl_prvs_SIMUL FROM BU_LOANTAPE_WORK.SIMUL_LT004 WHERE ref_date='${ref_date}' AND nome_perimetro='Individual Local' AND segmento='ESTR' AND ambito='PILAR3' AND entidade='00100')Y ON X.PRTCTN_ID=Y.PRTCTN_ID_SIMUL</v>
      </c>
    </row>
    <row r="585" spans="2:13">
      <c r="B585" s="34" t="s">
        <v>119</v>
      </c>
      <c r="C585" s="34" t="s">
        <v>5</v>
      </c>
      <c r="D585" s="34" t="str">
        <f>+UPPER('0. Instruções'!$D$35&amp;"."&amp;VLOOKUP(B585,'0. Instruções'!$C$27:$D$32,2,FALSE))</f>
        <v>BU_LOANTAPE_WORK.LT004_PROTECTION</v>
      </c>
      <c r="E585" s="34" t="str">
        <f>+UPPER('0. Instruções'!$D$36&amp;"."&amp;VLOOKUP(B585,'0. Instruções'!$C$27:$E$32,3,FALSE))</f>
        <v>BU_LOANTAPE_WORK.SIMUL_LT004</v>
      </c>
      <c r="F585" s="34" t="s">
        <v>1530</v>
      </c>
      <c r="G585" s="34"/>
      <c r="H585" s="34"/>
      <c r="I585" s="34" t="str">
        <f>"(SELECT "&amp;VLOOKUP(B585,'0. Instruções'!$C$27:$G$32,4,FALSE)&amp;", "&amp;F585&amp;" FROM "&amp;D585&amp;" WHERE "&amp;'0. Instruções'!$D$42&amp;")X"</f>
        <v>(SELECT prtctn_id, cnstrctn_stts FROM BU_LOANTAPE_WORK.LT004_PROTECTION WHERE ref_date='${ref_date}' AND nome_perimetro='Individual Local' AND segmento='ESTR' AND ambito='SRB_MBDT' AND entidade='00100')X</v>
      </c>
      <c r="J585" s="34" t="str">
        <f>"(SELECT "&amp;VLOOKUP(B585,'0. Instruções'!$C$27:$G$32,4,FALSE)&amp;" AS "&amp;VLOOKUP(B585,'0. Instruções'!$C$27:$G$32,4,FALSE)&amp;"_SIMUL, "&amp;F585&amp;" AS "&amp;F585&amp;"_SIMUL FROM "&amp;E585&amp;" WHERE "&amp;'0. Instruções'!$D$43&amp;")Y"</f>
        <v>(SELECT prtctn_id AS prtctn_id_SIMUL, cnstrctn_stts AS cnstrctn_stts_SIMUL FROM BU_LOANTAPE_WORK.SIMUL_LT004 WHERE ref_date='${ref_date}' AND nome_perimetro='Individual Local' AND segmento='ESTR' AND ambito='PILAR3' AND entidade='00100')Y</v>
      </c>
      <c r="K585" s="35" t="str">
        <f>+UPPER("ON X."&amp;VLOOKUP(B585,'0. Instruções'!$C$27:$G$32,4,FALSE)&amp;"=Y."&amp;VLOOKUP(B585,'0. Instruções'!$C$27:$G$32,4,FALSE)&amp;"_SIMUL")</f>
        <v>ON X.PRTCTN_ID=Y.PRTCTN_ID_SIMUL</v>
      </c>
      <c r="L585" s="35" t="str">
        <f>+IF(C585="Coerência", +IF(LEFT(G585,5)="FLOAT","SELECT '"&amp;UPPER(B585)&amp;"' AS TABELA, '"&amp;UPPER(C585)&amp;"' AS TIPOLOGIA_TESTE,'"&amp;D585&amp;"' AS TABELA_LT,'"&amp;E585&amp;"' AS TABELA_SIMUL,'"&amp;F585&amp;"' AS CAMPO, "&amp;"'${ref_date}' AS REF_DATE, COUNT(*) AS NUM_REG, SUM(IF((ABS(COALESCE(CAST(X."&amp;F585&amp;" AS DECIMAL(18,6)),0)-COALESCE(CAST(Y."&amp;F585&amp;"_SIMUL AS DECIMAL(18,6)),0))&gt;0.000001) OR (X."&amp;F585&amp;" IS NULL AND Y."&amp;F585&amp;"_SIMUL IS NOT NULL ) OR (X."&amp;F585&amp;" IS NOT NULL AND Y."&amp;F585&amp;"_SIMUL IS NULL),1,0)) AS NUM_REG_DIF,'"&amp;MAX('ID1&amp;5'!K:K)+1&amp;"' AS ID_EXEC, CURRENT_TIMESTAMP() AS TIME_EXEC FROM "&amp;I585&amp;" INNER JOIN "&amp;J585&amp;" "&amp;K585,"SELECT '"&amp;UPPER(B585)&amp;"' AS TABELA, '"&amp;UPPER(C585)&amp;"' AS TIPOLOGIA_TESTE,'"&amp;D585&amp;"' AS TABELA_LT,'"&amp;E585&amp;"' AS TABELA_SIMUL,'"&amp;F585&amp;"' AS CAMPO, "&amp;"'${ref_date}' AS REF_DATE, COUNT(*) AS NUM_REG, SUM(IF(COALESCE(CAST(X."&amp;F585&amp;" AS STRING),'')&lt;&gt;COALESCE(CAST(Y."&amp;F585&amp;"_SIMUL AS STRING),'') OR (X."&amp;F585&amp;" IS NULL AND Y."&amp;F585&amp;"_SIMUL IS NOT NULL ) OR (X."&amp;F585&amp;" IS NOT NULL AND Y."&amp;F585&amp;"_SIMUL IS NULL),1,0)) AS NUM_REG_DIF,'"&amp;MAX('ID1&amp;5'!L:L)+1&amp;"' AS ID_EXEC, CURRENT_TIMESTAMP() AS TIME_EXEC FROM "&amp;I585&amp;" INNER JOIN "&amp;J585&amp;" "&amp;K585),
IF(C585="Validade",+IF(G585="Code List","SELECT '"&amp;UPPER(B585)&amp;"' AS TABELA, '"&amp;UPPER(C585)&amp;"' AS TIPOLOGIA_TESTE,'"&amp;D585&amp;"' AS TABELA_LT,'N/A' AS TABELA_SIMUL,'"&amp;F585&amp;"' AS CAMPO, "&amp;"'${ref_date}' AS REF_DATE, COUNT(*) AS NUM_REG, SUM(IF(TRIM(CAST(X."&amp;F585&amp;" AS STRING))='' OR TRIM(CAST(X."&amp;F585&amp;" AS STRING)) IS NULL OR CAST(X."&amp;F585&amp;" AS STRING) NOT "&amp;H585&amp;",1,0)) AS NUM_REG_DIF,'"&amp;MAX('ID1&amp;5'!K:K)+1&amp;"' AS ID_EXEC, CURRENT_TIMESTAMP() AS TIME_EXEC FROM "&amp;I585,"SELECT '"&amp;UPPER(B585)&amp;"' AS TABELA, '"&amp;UPPER(C585)&amp;"' AS TIPOLOGIA_TESTE,'"&amp;D585&amp;"' AS TABELA_LT,'N/A' AS TABELA_SIMUL,'"&amp;F585&amp;"' AS CAMPO, "&amp;"'${ref_date}' AS REF_DATE, COUNT(*) AS NUM_REG, SUM(IF(TRIM(CAST(X."&amp;F585&amp;" AS STRING))='' OR TRIM(CAST(X."&amp;F585&amp;" AS STRING)) IS NULL,1,0)) AS NUM_REG_DIF,'"&amp;MAX('ID1&amp;5'!K:K)+1&amp;"' AS ID_EXEC, CURRENT_TIMESTAMP() AS TIME_EXEC FROM "&amp;I585),
IF(C585="Caracteres Especiais",+"SELECT '"&amp;UPPER(B585)&amp;"' AS TABELA, '"&amp;UPPER(C585)&amp;"' AS TIPOLOGIA_TESTE,'"&amp;D585&amp;"' AS TABELA_LT,'N/A' AS TABELA_SIMUL,'"&amp;F585&amp;"' AS CAMPO, "&amp;"'${ref_date}' AS REF_DATE, COUNT(*) AS NUM_REG, SUM(IF(REGEXP_REPLACE(TRIM(CAST(X."&amp;F585&amp;" AS STRING)),'[^a-zA-Z0-9_\\s]','') &lt;&gt;TRIM(CAST(X."&amp;F585&amp;" AS STRING)),1,0)) AS NUM_REG_DIF,'"&amp;MAX('ID1&amp;5'!K:K)+1&amp;"' AS ID_EXEC, CURRENT_TIMESTAMP() AS TIME_EXEC FROM "&amp;I585,
IF(C585="Missings",+"SELECT '"&amp;UPPER(B585)&amp;"' AS TABELA, '"&amp;UPPER(C585)&amp;"' AS TIPOLOGIA_TESTE,'"&amp;D585&amp;"' AS TABELA_LT,'N/A' AS TABELA_SIMUL,'"&amp;F585&amp;"' AS CAMPO, "&amp;"'${ref_date}' AS REF_DATE, COUNT(*) AS NUM_REG, SUM(IF(TRIM(CAST(X."&amp;F585&amp;" AS STRING)) IN ('0000-00-00','0001-01-01','9999-12-31','MISS','00000','99999999999','99999999999.00','99999999999.000000'),1,0)) AS NUM_REG_DIF,'"&amp;MAX('ID1&amp;5'!K:K)+1&amp;"' AS ID_EXEC, CURRENT_TIMESTAMP() AS TIME_EXEC FROM "&amp;I585,
IF(C585="Not applicable",+"SELECT '"&amp;UPPER(B585)&amp;"' AS TABELA, '"&amp;UPPER(C585)&amp;"' AS TIPOLOGIA_TESTE,'"&amp;D585&amp;"' AS TABELA_LT,'N/A' AS TABELA_SIMUL,'"&amp;F585&amp;"' AS CAMPO, "&amp;"'${ref_date}' AS REF_DATE, COUNT(*) AS NUM_REG, SUM(IF(TRIM(CAST(X."&amp;F585&amp;" AS STRING)) IN ('N/A','11111111111','11111111111.00','11111111111.000000','1111-11-11'),1,0)) AS NUM_REG_DIF,'"&amp;MAX('ID1&amp;5'!K:K)+1&amp;"' AS ID_EXEC, CURRENT_TIMESTAMP() AS TIME_EXEC FROM "&amp;I585,
IF(C585="Valores extremos",+"SELECT '"&amp;UPPER(B585)&amp;"' AS TABELA, '"&amp;UPPER(C585)&amp;"' AS TIPOLOGIA_TESTE,'"&amp;D585&amp;"' AS TABELA_LT,'N/A' AS TABELA_SIMUL,'"&amp;F585&amp;"' AS CAMPO, "&amp;"'${ref_date}' AS REF_DATE, CAST(MIN("&amp;F585&amp;") AS STRING) AS VALOR_MIN, CAST(MAX("&amp;F585&amp;") AS STRING) AS VALOR_MAX,'"&amp;MAX('ID1&amp;5'!K:K)+1&amp;"' AS ID_EXEC, CURRENT_TIMESTAMP() AS TIME_EXEC FROM "&amp;MID(I585,1,LEN(I585)-2)&amp;" AND CAST("&amp;F585&amp;"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TABELA_SIMUL,'cnstrctn_stts' AS CAMPO, '${ref_date}' AS REF_DATE, COUNT(*) AS NUM_REG, SUM(IF(COALESCE(CAST(X.cnstrctn_stts AS STRING),'')&lt;&gt;COALESCE(CAST(Y.cnstrctn_stts_SIMUL AS STRING),'') OR (X.cnstrctn_stts IS NULL AND Y.cnstrctn_stts_SIMUL IS NOT NULL ) OR (X.cnstrctn_stts IS NOT NULL AND Y.cnstrctn_stts_SIMUL IS NULL),1,0)) AS NUM_REG_DIF,'1' AS ID_EXEC, CURRENT_TIMESTAMP() AS TIME_EXEC FROM (SELECT prtctn_id, cnstrctn_stts FROM BU_LOANTAPE_WORK.LT004_PROTECTION WHERE ref_date='${ref_date}' AND nome_perimetro='Individual Local' AND segmento='ESTR' AND ambito='SRB_MBDT' AND entidade='00100')X INNER JOIN (SELECT prtctn_id AS prtctn_id_SIMUL, cnstrctn_stts AS cnstrctn_stts_SIMUL FROM BU_LOANTAPE_WORK.SIMUL_LT004 WHERE ref_date='${ref_date}' AND nome_perimetro='Individual Local' AND segmento='ESTR' AND ambito='PILAR3' AND entidade='00100')Y ON X.PRTCTN_ID=Y.PRTCTN_ID_SIMUL</v>
      </c>
      <c r="M585" s="36" t="str">
        <f t="shared" si="14"/>
        <v>UNION ALL SELECT 'PROTECTION' AS TABELA, 'COERÊNCIA' AS TIPOLOGIA_TESTE,'BU_LOANTAPE_WORK.LT004_PROTECTION' AS TABELA_LT,'BU_LOANTAPE_WORK.SIMUL_LT004' AS TABELA_SIMUL,'cnstrctn_stts' AS CAMPO, '${ref_date}' AS REF_DATE, COUNT(*) AS NUM_REG, SUM(IF(COALESCE(CAST(X.cnstrctn_stts AS STRING),'')&lt;&gt;COALESCE(CAST(Y.cnstrctn_stts_SIMUL AS STRING),'') OR (X.cnstrctn_stts IS NULL AND Y.cnstrctn_stts_SIMUL IS NOT NULL ) OR (X.cnstrctn_stts IS NOT NULL AND Y.cnstrctn_stts_SIMUL IS NULL),1,0)) AS NUM_REG_DIF,'1' AS ID_EXEC, CURRENT_TIMESTAMP() AS TIME_EXEC FROM (SELECT prtctn_id, cnstrctn_stts FROM BU_LOANTAPE_WORK.LT004_PROTECTION WHERE ref_date='${ref_date}' AND nome_perimetro='Individual Local' AND segmento='ESTR' AND ambito='SRB_MBDT' AND entidade='00100')X INNER JOIN (SELECT prtctn_id AS prtctn_id_SIMUL, cnstrctn_stts AS cnstrctn_stts_SIMUL FROM BU_LOANTAPE_WORK.SIMUL_LT004 WHERE ref_date='${ref_date}' AND nome_perimetro='Individual Local' AND segmento='ESTR' AND ambito='PILAR3' AND entidade='00100')Y ON X.PRTCTN_ID=Y.PRTCTN_ID_SIMUL</v>
      </c>
    </row>
    <row r="586" spans="2:13">
      <c r="B586" s="34" t="s">
        <v>119</v>
      </c>
      <c r="C586" s="34" t="s">
        <v>5</v>
      </c>
      <c r="D586" s="34" t="str">
        <f>+UPPER('0. Instruções'!$D$35&amp;"."&amp;VLOOKUP(B586,'0. Instruções'!$C$27:$D$32,2,FALSE))</f>
        <v>BU_LOANTAPE_WORK.LT004_PROTECTION</v>
      </c>
      <c r="E586" s="34" t="str">
        <f>+UPPER('0. Instruções'!$D$36&amp;"."&amp;VLOOKUP(B586,'0. Instruções'!$C$27:$E$32,3,FALSE))</f>
        <v>BU_LOANTAPE_WORK.SIMUL_LT004</v>
      </c>
      <c r="F586" s="34" t="s">
        <v>1531</v>
      </c>
      <c r="G586" s="34"/>
      <c r="H586" s="34"/>
      <c r="I586" s="34" t="str">
        <f>"(SELECT "&amp;VLOOKUP(B586,'0. Instruções'!$C$27:$G$32,4,FALSE)&amp;", "&amp;F586&amp;" FROM "&amp;D586&amp;" WHERE "&amp;'0. Instruções'!$D$42&amp;")X"</f>
        <v>(SELECT prtctn_id, dt_cnstrctn_stts FROM BU_LOANTAPE_WORK.LT004_PROTECTION WHERE ref_date='${ref_date}' AND nome_perimetro='Individual Local' AND segmento='ESTR' AND ambito='SRB_MBDT' AND entidade='00100')X</v>
      </c>
      <c r="J586" s="34" t="str">
        <f>"(SELECT "&amp;VLOOKUP(B586,'0. Instruções'!$C$27:$G$32,4,FALSE)&amp;" AS "&amp;VLOOKUP(B586,'0. Instruções'!$C$27:$G$32,4,FALSE)&amp;"_SIMUL, "&amp;F586&amp;" AS "&amp;F586&amp;"_SIMUL FROM "&amp;E586&amp;" WHERE "&amp;'0. Instruções'!$D$43&amp;")Y"</f>
        <v>(SELECT prtctn_id AS prtctn_id_SIMUL, dt_cnstrctn_stts AS dt_cnstrctn_stts_SIMUL FROM BU_LOANTAPE_WORK.SIMUL_LT004 WHERE ref_date='${ref_date}' AND nome_perimetro='Individual Local' AND segmento='ESTR' AND ambito='PILAR3' AND entidade='00100')Y</v>
      </c>
      <c r="K586" s="35" t="str">
        <f>+UPPER("ON X."&amp;VLOOKUP(B586,'0. Instruções'!$C$27:$G$32,4,FALSE)&amp;"=Y."&amp;VLOOKUP(B586,'0. Instruções'!$C$27:$G$32,4,FALSE)&amp;"_SIMUL")</f>
        <v>ON X.PRTCTN_ID=Y.PRTCTN_ID_SIMUL</v>
      </c>
      <c r="L586" s="35" t="str">
        <f>+IF(C586="Coerência", +IF(LEFT(G586,5)="FLOAT","SELECT '"&amp;UPPER(B586)&amp;"' AS TABELA, '"&amp;UPPER(C586)&amp;"' AS TIPOLOGIA_TESTE,'"&amp;D586&amp;"' AS TABELA_LT,'"&amp;E586&amp;"' AS TABELA_SIMUL,'"&amp;F586&amp;"' AS CAMPO, "&amp;"'${ref_date}' AS REF_DATE, COUNT(*) AS NUM_REG, SUM(IF((ABS(COALESCE(CAST(X."&amp;F586&amp;" AS DECIMAL(18,6)),0)-COALESCE(CAST(Y."&amp;F586&amp;"_SIMUL AS DECIMAL(18,6)),0))&gt;0.000001) OR (X."&amp;F586&amp;" IS NULL AND Y."&amp;F586&amp;"_SIMUL IS NOT NULL ) OR (X."&amp;F586&amp;" IS NOT NULL AND Y."&amp;F586&amp;"_SIMUL IS NULL),1,0)) AS NUM_REG_DIF,'"&amp;MAX('ID1&amp;5'!K:K)+1&amp;"' AS ID_EXEC, CURRENT_TIMESTAMP() AS TIME_EXEC FROM "&amp;I586&amp;" INNER JOIN "&amp;J586&amp;" "&amp;K586,"SELECT '"&amp;UPPER(B586)&amp;"' AS TABELA, '"&amp;UPPER(C586)&amp;"' AS TIPOLOGIA_TESTE,'"&amp;D586&amp;"' AS TABELA_LT,'"&amp;E586&amp;"' AS TABELA_SIMUL,'"&amp;F586&amp;"' AS CAMPO, "&amp;"'${ref_date}' AS REF_DATE, COUNT(*) AS NUM_REG, SUM(IF(COALESCE(CAST(X."&amp;F586&amp;" AS STRING),'')&lt;&gt;COALESCE(CAST(Y."&amp;F586&amp;"_SIMUL AS STRING),'') OR (X."&amp;F586&amp;" IS NULL AND Y."&amp;F586&amp;"_SIMUL IS NOT NULL ) OR (X."&amp;F586&amp;" IS NOT NULL AND Y."&amp;F586&amp;"_SIMUL IS NULL),1,0)) AS NUM_REG_DIF,'"&amp;MAX('ID1&amp;5'!L:L)+1&amp;"' AS ID_EXEC, CURRENT_TIMESTAMP() AS TIME_EXEC FROM "&amp;I586&amp;" INNER JOIN "&amp;J586&amp;" "&amp;K586),
IF(C586="Validade",+IF(G586="Code List","SELECT '"&amp;UPPER(B586)&amp;"' AS TABELA, '"&amp;UPPER(C586)&amp;"' AS TIPOLOGIA_TESTE,'"&amp;D586&amp;"' AS TABELA_LT,'N/A' AS TABELA_SIMUL,'"&amp;F586&amp;"' AS CAMPO, "&amp;"'${ref_date}' AS REF_DATE, COUNT(*) AS NUM_REG, SUM(IF(TRIM(CAST(X."&amp;F586&amp;" AS STRING))='' OR TRIM(CAST(X."&amp;F586&amp;" AS STRING)) IS NULL OR CAST(X."&amp;F586&amp;" AS STRING) NOT "&amp;H586&amp;",1,0)) AS NUM_REG_DIF,'"&amp;MAX('ID1&amp;5'!K:K)+1&amp;"' AS ID_EXEC, CURRENT_TIMESTAMP() AS TIME_EXEC FROM "&amp;I586,"SELECT '"&amp;UPPER(B586)&amp;"' AS TABELA, '"&amp;UPPER(C586)&amp;"' AS TIPOLOGIA_TESTE,'"&amp;D586&amp;"' AS TABELA_LT,'N/A' AS TABELA_SIMUL,'"&amp;F586&amp;"' AS CAMPO, "&amp;"'${ref_date}' AS REF_DATE, COUNT(*) AS NUM_REG, SUM(IF(TRIM(CAST(X."&amp;F586&amp;" AS STRING))='' OR TRIM(CAST(X."&amp;F586&amp;" AS STRING)) IS NULL,1,0)) AS NUM_REG_DIF,'"&amp;MAX('ID1&amp;5'!K:K)+1&amp;"' AS ID_EXEC, CURRENT_TIMESTAMP() AS TIME_EXEC FROM "&amp;I586),
IF(C586="Caracteres Especiais",+"SELECT '"&amp;UPPER(B586)&amp;"' AS TABELA, '"&amp;UPPER(C586)&amp;"' AS TIPOLOGIA_TESTE,'"&amp;D586&amp;"' AS TABELA_LT,'N/A' AS TABELA_SIMUL,'"&amp;F586&amp;"' AS CAMPO, "&amp;"'${ref_date}' AS REF_DATE, COUNT(*) AS NUM_REG, SUM(IF(REGEXP_REPLACE(TRIM(CAST(X."&amp;F586&amp;" AS STRING)),'[^a-zA-Z0-9_\\s]','') &lt;&gt;TRIM(CAST(X."&amp;F586&amp;" AS STRING)),1,0)) AS NUM_REG_DIF,'"&amp;MAX('ID1&amp;5'!K:K)+1&amp;"' AS ID_EXEC, CURRENT_TIMESTAMP() AS TIME_EXEC FROM "&amp;I586,
IF(C586="Missings",+"SELECT '"&amp;UPPER(B586)&amp;"' AS TABELA, '"&amp;UPPER(C586)&amp;"' AS TIPOLOGIA_TESTE,'"&amp;D586&amp;"' AS TABELA_LT,'N/A' AS TABELA_SIMUL,'"&amp;F586&amp;"' AS CAMPO, "&amp;"'${ref_date}' AS REF_DATE, COUNT(*) AS NUM_REG, SUM(IF(TRIM(CAST(X."&amp;F586&amp;" AS STRING)) IN ('0000-00-00','0001-01-01','9999-12-31','MISS','00000','99999999999','99999999999.00','99999999999.000000'),1,0)) AS NUM_REG_DIF,'"&amp;MAX('ID1&amp;5'!K:K)+1&amp;"' AS ID_EXEC, CURRENT_TIMESTAMP() AS TIME_EXEC FROM "&amp;I586,
IF(C586="Not applicable",+"SELECT '"&amp;UPPER(B586)&amp;"' AS TABELA, '"&amp;UPPER(C586)&amp;"' AS TIPOLOGIA_TESTE,'"&amp;D586&amp;"' AS TABELA_LT,'N/A' AS TABELA_SIMUL,'"&amp;F586&amp;"' AS CAMPO, "&amp;"'${ref_date}' AS REF_DATE, COUNT(*) AS NUM_REG, SUM(IF(TRIM(CAST(X."&amp;F586&amp;" AS STRING)) IN ('N/A','11111111111','11111111111.00','11111111111.000000','1111-11-11'),1,0)) AS NUM_REG_DIF,'"&amp;MAX('ID1&amp;5'!K:K)+1&amp;"' AS ID_EXEC, CURRENT_TIMESTAMP() AS TIME_EXEC FROM "&amp;I586,
IF(C586="Valores extremos",+"SELECT '"&amp;UPPER(B586)&amp;"' AS TABELA, '"&amp;UPPER(C586)&amp;"' AS TIPOLOGIA_TESTE,'"&amp;D586&amp;"' AS TABELA_LT,'N/A' AS TABELA_SIMUL,'"&amp;F586&amp;"' AS CAMPO, "&amp;"'${ref_date}' AS REF_DATE, CAST(MIN("&amp;F586&amp;") AS STRING) AS VALOR_MIN, CAST(MAX("&amp;F586&amp;") AS STRING) AS VALOR_MAX,'"&amp;MAX('ID1&amp;5'!K:K)+1&amp;"' AS ID_EXEC, CURRENT_TIMESTAMP() AS TIME_EXEC FROM "&amp;MID(I586,1,LEN(I586)-2)&amp;" AND CAST("&amp;F586&amp;"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TABELA_SIMUL,'dt_cnstrctn_stts' AS CAMPO, '${ref_date}' AS REF_DATE, COUNT(*) AS NUM_REG, SUM(IF(COALESCE(CAST(X.dt_cnstrctn_stts AS STRING),'')&lt;&gt;COALESCE(CAST(Y.dt_cnstrctn_stts_SIMUL AS STRING),'') OR (X.dt_cnstrctn_stts IS NULL AND Y.dt_cnstrctn_stts_SIMUL IS NOT NULL ) OR (X.dt_cnstrctn_stts IS NOT NULL AND Y.dt_cnstrctn_stts_SIMUL IS NULL),1,0)) AS NUM_REG_DIF,'1' AS ID_EXEC, CURRENT_TIMESTAMP() AS TIME_EXEC FROM (SELECT prtctn_id, dt_cnstrctn_stts FROM BU_LOANTAPE_WORK.LT004_PROTECTION WHERE ref_date='${ref_date}' AND nome_perimetro='Individual Local' AND segmento='ESTR' AND ambito='SRB_MBDT' AND entidade='00100')X INNER JOIN (SELECT prtctn_id AS prtctn_id_SIMUL, dt_cnstrctn_stts AS dt_cnstrctn_stts_SIMUL FROM BU_LOANTAPE_WORK.SIMUL_LT004 WHERE ref_date='${ref_date}' AND nome_perimetro='Individual Local' AND segmento='ESTR' AND ambito='PILAR3' AND entidade='00100')Y ON X.PRTCTN_ID=Y.PRTCTN_ID_SIMUL</v>
      </c>
      <c r="M586" s="36" t="str">
        <f t="shared" si="14"/>
        <v>UNION ALL SELECT 'PROTECTION' AS TABELA, 'COERÊNCIA' AS TIPOLOGIA_TESTE,'BU_LOANTAPE_WORK.LT004_PROTECTION' AS TABELA_LT,'BU_LOANTAPE_WORK.SIMUL_LT004' AS TABELA_SIMUL,'dt_cnstrctn_stts' AS CAMPO, '${ref_date}' AS REF_DATE, COUNT(*) AS NUM_REG, SUM(IF(COALESCE(CAST(X.dt_cnstrctn_stts AS STRING),'')&lt;&gt;COALESCE(CAST(Y.dt_cnstrctn_stts_SIMUL AS STRING),'') OR (X.dt_cnstrctn_stts IS NULL AND Y.dt_cnstrctn_stts_SIMUL IS NOT NULL ) OR (X.dt_cnstrctn_stts IS NOT NULL AND Y.dt_cnstrctn_stts_SIMUL IS NULL),1,0)) AS NUM_REG_DIF,'1' AS ID_EXEC, CURRENT_TIMESTAMP() AS TIME_EXEC FROM (SELECT prtctn_id, dt_cnstrctn_stts FROM BU_LOANTAPE_WORK.LT004_PROTECTION WHERE ref_date='${ref_date}' AND nome_perimetro='Individual Local' AND segmento='ESTR' AND ambito='SRB_MBDT' AND entidade='00100')X INNER JOIN (SELECT prtctn_id AS prtctn_id_SIMUL, dt_cnstrctn_stts AS dt_cnstrctn_stts_SIMUL FROM BU_LOANTAPE_WORK.SIMUL_LT004 WHERE ref_date='${ref_date}' AND nome_perimetro='Individual Local' AND segmento='ESTR' AND ambito='PILAR3' AND entidade='00100')Y ON X.PRTCTN_ID=Y.PRTCTN_ID_SIMUL</v>
      </c>
    </row>
    <row r="587" spans="2:13">
      <c r="B587" s="34" t="s">
        <v>119</v>
      </c>
      <c r="C587" s="34" t="s">
        <v>5</v>
      </c>
      <c r="D587" s="34" t="str">
        <f>+UPPER('0. Instruções'!$D$35&amp;"."&amp;VLOOKUP(B587,'0. Instruções'!$C$27:$D$32,2,FALSE))</f>
        <v>BU_LOANTAPE_WORK.LT004_PROTECTION</v>
      </c>
      <c r="E587" s="34" t="str">
        <f>+UPPER('0. Instruções'!$D$36&amp;"."&amp;VLOOKUP(B587,'0. Instruções'!$C$27:$E$32,3,FALSE))</f>
        <v>BU_LOANTAPE_WORK.SIMUL_LT004</v>
      </c>
      <c r="F587" s="34" t="s">
        <v>1532</v>
      </c>
      <c r="G587" s="34"/>
      <c r="H587" s="34"/>
      <c r="I587" s="34" t="str">
        <f>"(SELECT "&amp;VLOOKUP(B587,'0. Instruções'!$C$27:$G$32,4,FALSE)&amp;", "&amp;F587&amp;" FROM "&amp;D587&amp;" WHERE "&amp;'0. Instruções'!$D$42&amp;")X"</f>
        <v>(SELECT prtctn_id, dt_frst_usg FROM BU_LOANTAPE_WORK.LT004_PROTECTION WHERE ref_date='${ref_date}' AND nome_perimetro='Individual Local' AND segmento='ESTR' AND ambito='SRB_MBDT' AND entidade='00100')X</v>
      </c>
      <c r="J587" s="34" t="str">
        <f>"(SELECT "&amp;VLOOKUP(B587,'0. Instruções'!$C$27:$G$32,4,FALSE)&amp;" AS "&amp;VLOOKUP(B587,'0. Instruções'!$C$27:$G$32,4,FALSE)&amp;"_SIMUL, "&amp;F587&amp;" AS "&amp;F587&amp;"_SIMUL FROM "&amp;E587&amp;" WHERE "&amp;'0. Instruções'!$D$43&amp;")Y"</f>
        <v>(SELECT prtctn_id AS prtctn_id_SIMUL, dt_frst_usg AS dt_frst_usg_SIMUL FROM BU_LOANTAPE_WORK.SIMUL_LT004 WHERE ref_date='${ref_date}' AND nome_perimetro='Individual Local' AND segmento='ESTR' AND ambito='PILAR3' AND entidade='00100')Y</v>
      </c>
      <c r="K587" s="35" t="str">
        <f>+UPPER("ON X."&amp;VLOOKUP(B587,'0. Instruções'!$C$27:$G$32,4,FALSE)&amp;"=Y."&amp;VLOOKUP(B587,'0. Instruções'!$C$27:$G$32,4,FALSE)&amp;"_SIMUL")</f>
        <v>ON X.PRTCTN_ID=Y.PRTCTN_ID_SIMUL</v>
      </c>
      <c r="L587" s="35" t="str">
        <f>+IF(C587="Coerência", +IF(LEFT(G587,5)="FLOAT","SELECT '"&amp;UPPER(B587)&amp;"' AS TABELA, '"&amp;UPPER(C587)&amp;"' AS TIPOLOGIA_TESTE,'"&amp;D587&amp;"' AS TABELA_LT,'"&amp;E587&amp;"' AS TABELA_SIMUL,'"&amp;F587&amp;"' AS CAMPO, "&amp;"'${ref_date}' AS REF_DATE, COUNT(*) AS NUM_REG, SUM(IF((ABS(COALESCE(CAST(X."&amp;F587&amp;" AS DECIMAL(18,6)),0)-COALESCE(CAST(Y."&amp;F587&amp;"_SIMUL AS DECIMAL(18,6)),0))&gt;0.000001) OR (X."&amp;F587&amp;" IS NULL AND Y."&amp;F587&amp;"_SIMUL IS NOT NULL ) OR (X."&amp;F587&amp;" IS NOT NULL AND Y."&amp;F587&amp;"_SIMUL IS NULL),1,0)) AS NUM_REG_DIF,'"&amp;MAX('ID1&amp;5'!K:K)+1&amp;"' AS ID_EXEC, CURRENT_TIMESTAMP() AS TIME_EXEC FROM "&amp;I587&amp;" INNER JOIN "&amp;J587&amp;" "&amp;K587,"SELECT '"&amp;UPPER(B587)&amp;"' AS TABELA, '"&amp;UPPER(C587)&amp;"' AS TIPOLOGIA_TESTE,'"&amp;D587&amp;"' AS TABELA_LT,'"&amp;E587&amp;"' AS TABELA_SIMUL,'"&amp;F587&amp;"' AS CAMPO, "&amp;"'${ref_date}' AS REF_DATE, COUNT(*) AS NUM_REG, SUM(IF(COALESCE(CAST(X."&amp;F587&amp;" AS STRING),'')&lt;&gt;COALESCE(CAST(Y."&amp;F587&amp;"_SIMUL AS STRING),'') OR (X."&amp;F587&amp;" IS NULL AND Y."&amp;F587&amp;"_SIMUL IS NOT NULL ) OR (X."&amp;F587&amp;" IS NOT NULL AND Y."&amp;F587&amp;"_SIMUL IS NULL),1,0)) AS NUM_REG_DIF,'"&amp;MAX('ID1&amp;5'!L:L)+1&amp;"' AS ID_EXEC, CURRENT_TIMESTAMP() AS TIME_EXEC FROM "&amp;I587&amp;" INNER JOIN "&amp;J587&amp;" "&amp;K587),
IF(C587="Validade",+IF(G587="Code List","SELECT '"&amp;UPPER(B587)&amp;"' AS TABELA, '"&amp;UPPER(C587)&amp;"' AS TIPOLOGIA_TESTE,'"&amp;D587&amp;"' AS TABELA_LT,'N/A' AS TABELA_SIMUL,'"&amp;F587&amp;"' AS CAMPO, "&amp;"'${ref_date}' AS REF_DATE, COUNT(*) AS NUM_REG, SUM(IF(TRIM(CAST(X."&amp;F587&amp;" AS STRING))='' OR TRIM(CAST(X."&amp;F587&amp;" AS STRING)) IS NULL OR CAST(X."&amp;F587&amp;" AS STRING) NOT "&amp;H587&amp;",1,0)) AS NUM_REG_DIF,'"&amp;MAX('ID1&amp;5'!K:K)+1&amp;"' AS ID_EXEC, CURRENT_TIMESTAMP() AS TIME_EXEC FROM "&amp;I587,"SELECT '"&amp;UPPER(B587)&amp;"' AS TABELA, '"&amp;UPPER(C587)&amp;"' AS TIPOLOGIA_TESTE,'"&amp;D587&amp;"' AS TABELA_LT,'N/A' AS TABELA_SIMUL,'"&amp;F587&amp;"' AS CAMPO, "&amp;"'${ref_date}' AS REF_DATE, COUNT(*) AS NUM_REG, SUM(IF(TRIM(CAST(X."&amp;F587&amp;" AS STRING))='' OR TRIM(CAST(X."&amp;F587&amp;" AS STRING)) IS NULL,1,0)) AS NUM_REG_DIF,'"&amp;MAX('ID1&amp;5'!K:K)+1&amp;"' AS ID_EXEC, CURRENT_TIMESTAMP() AS TIME_EXEC FROM "&amp;I587),
IF(C587="Caracteres Especiais",+"SELECT '"&amp;UPPER(B587)&amp;"' AS TABELA, '"&amp;UPPER(C587)&amp;"' AS TIPOLOGIA_TESTE,'"&amp;D587&amp;"' AS TABELA_LT,'N/A' AS TABELA_SIMUL,'"&amp;F587&amp;"' AS CAMPO, "&amp;"'${ref_date}' AS REF_DATE, COUNT(*) AS NUM_REG, SUM(IF(REGEXP_REPLACE(TRIM(CAST(X."&amp;F587&amp;" AS STRING)),'[^a-zA-Z0-9_\\s]','') &lt;&gt;TRIM(CAST(X."&amp;F587&amp;" AS STRING)),1,0)) AS NUM_REG_DIF,'"&amp;MAX('ID1&amp;5'!K:K)+1&amp;"' AS ID_EXEC, CURRENT_TIMESTAMP() AS TIME_EXEC FROM "&amp;I587,
IF(C587="Missings",+"SELECT '"&amp;UPPER(B587)&amp;"' AS TABELA, '"&amp;UPPER(C587)&amp;"' AS TIPOLOGIA_TESTE,'"&amp;D587&amp;"' AS TABELA_LT,'N/A' AS TABELA_SIMUL,'"&amp;F587&amp;"' AS CAMPO, "&amp;"'${ref_date}' AS REF_DATE, COUNT(*) AS NUM_REG, SUM(IF(TRIM(CAST(X."&amp;F587&amp;" AS STRING)) IN ('0000-00-00','0001-01-01','9999-12-31','MISS','00000','99999999999','99999999999.00','99999999999.000000'),1,0)) AS NUM_REG_DIF,'"&amp;MAX('ID1&amp;5'!K:K)+1&amp;"' AS ID_EXEC, CURRENT_TIMESTAMP() AS TIME_EXEC FROM "&amp;I587,
IF(C587="Not applicable",+"SELECT '"&amp;UPPER(B587)&amp;"' AS TABELA, '"&amp;UPPER(C587)&amp;"' AS TIPOLOGIA_TESTE,'"&amp;D587&amp;"' AS TABELA_LT,'N/A' AS TABELA_SIMUL,'"&amp;F587&amp;"' AS CAMPO, "&amp;"'${ref_date}' AS REF_DATE, COUNT(*) AS NUM_REG, SUM(IF(TRIM(CAST(X."&amp;F587&amp;" AS STRING)) IN ('N/A','11111111111','11111111111.00','11111111111.000000','1111-11-11'),1,0)) AS NUM_REG_DIF,'"&amp;MAX('ID1&amp;5'!K:K)+1&amp;"' AS ID_EXEC, CURRENT_TIMESTAMP() AS TIME_EXEC FROM "&amp;I587,
IF(C587="Valores extremos",+"SELECT '"&amp;UPPER(B587)&amp;"' AS TABELA, '"&amp;UPPER(C587)&amp;"' AS TIPOLOGIA_TESTE,'"&amp;D587&amp;"' AS TABELA_LT,'N/A' AS TABELA_SIMUL,'"&amp;F587&amp;"' AS CAMPO, "&amp;"'${ref_date}' AS REF_DATE, CAST(MIN("&amp;F587&amp;") AS STRING) AS VALOR_MIN, CAST(MAX("&amp;F587&amp;") AS STRING) AS VALOR_MAX,'"&amp;MAX('ID1&amp;5'!K:K)+1&amp;"' AS ID_EXEC, CURRENT_TIMESTAMP() AS TIME_EXEC FROM "&amp;MID(I587,1,LEN(I587)-2)&amp;" AND CAST("&amp;F587&amp;"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TABELA_SIMUL,'dt_frst_usg' AS CAMPO, '${ref_date}' AS REF_DATE, COUNT(*) AS NUM_REG, SUM(IF(COALESCE(CAST(X.dt_frst_usg AS STRING),'')&lt;&gt;COALESCE(CAST(Y.dt_frst_usg_SIMUL AS STRING),'') OR (X.dt_frst_usg IS NULL AND Y.dt_frst_usg_SIMUL IS NOT NULL ) OR (X.dt_frst_usg IS NOT NULL AND Y.dt_frst_usg_SIMUL IS NULL),1,0)) AS NUM_REG_DIF,'1' AS ID_EXEC, CURRENT_TIMESTAMP() AS TIME_EXEC FROM (SELECT prtctn_id, dt_frst_usg FROM BU_LOANTAPE_WORK.LT004_PROTECTION WHERE ref_date='${ref_date}' AND nome_perimetro='Individual Local' AND segmento='ESTR' AND ambito='SRB_MBDT' AND entidade='00100')X INNER JOIN (SELECT prtctn_id AS prtctn_id_SIMUL, dt_frst_usg AS dt_frst_usg_SIMUL FROM BU_LOANTAPE_WORK.SIMUL_LT004 WHERE ref_date='${ref_date}' AND nome_perimetro='Individual Local' AND segmento='ESTR' AND ambito='PILAR3' AND entidade='00100')Y ON X.PRTCTN_ID=Y.PRTCTN_ID_SIMUL</v>
      </c>
      <c r="M587" s="36" t="str">
        <f t="shared" si="14"/>
        <v>UNION ALL SELECT 'PROTECTION' AS TABELA, 'COERÊNCIA' AS TIPOLOGIA_TESTE,'BU_LOANTAPE_WORK.LT004_PROTECTION' AS TABELA_LT,'BU_LOANTAPE_WORK.SIMUL_LT004' AS TABELA_SIMUL,'dt_frst_usg' AS CAMPO, '${ref_date}' AS REF_DATE, COUNT(*) AS NUM_REG, SUM(IF(COALESCE(CAST(X.dt_frst_usg AS STRING),'')&lt;&gt;COALESCE(CAST(Y.dt_frst_usg_SIMUL AS STRING),'') OR (X.dt_frst_usg IS NULL AND Y.dt_frst_usg_SIMUL IS NOT NULL ) OR (X.dt_frst_usg IS NOT NULL AND Y.dt_frst_usg_SIMUL IS NULL),1,0)) AS NUM_REG_DIF,'1' AS ID_EXEC, CURRENT_TIMESTAMP() AS TIME_EXEC FROM (SELECT prtctn_id, dt_frst_usg FROM BU_LOANTAPE_WORK.LT004_PROTECTION WHERE ref_date='${ref_date}' AND nome_perimetro='Individual Local' AND segmento='ESTR' AND ambito='SRB_MBDT' AND entidade='00100')X INNER JOIN (SELECT prtctn_id AS prtctn_id_SIMUL, dt_frst_usg AS dt_frst_usg_SIMUL FROM BU_LOANTAPE_WORK.SIMUL_LT004 WHERE ref_date='${ref_date}' AND nome_perimetro='Individual Local' AND segmento='ESTR' AND ambito='PILAR3' AND entidade='00100')Y ON X.PRTCTN_ID=Y.PRTCTN_ID_SIMUL</v>
      </c>
    </row>
    <row r="588" spans="2:13">
      <c r="B588" s="34" t="s">
        <v>119</v>
      </c>
      <c r="C588" s="34" t="s">
        <v>5</v>
      </c>
      <c r="D588" s="34" t="str">
        <f>+UPPER('0. Instruções'!$D$35&amp;"."&amp;VLOOKUP(B588,'0. Instruções'!$C$27:$D$32,2,FALSE))</f>
        <v>BU_LOANTAPE_WORK.LT004_PROTECTION</v>
      </c>
      <c r="E588" s="34" t="str">
        <f>+UPPER('0. Instruções'!$D$36&amp;"."&amp;VLOOKUP(B588,'0. Instruções'!$C$27:$E$32,3,FALSE))</f>
        <v>BU_LOANTAPE_WORK.SIMUL_LT004</v>
      </c>
      <c r="F588" s="34" t="s">
        <v>1533</v>
      </c>
      <c r="G588" s="34"/>
      <c r="H588" s="34"/>
      <c r="I588" s="34" t="str">
        <f>"(SELECT "&amp;VLOOKUP(B588,'0. Instruções'!$C$27:$G$32,4,FALSE)&amp;", "&amp;F588&amp;" FROM "&amp;D588&amp;" WHERE "&amp;'0. Instruções'!$D$42&amp;")X"</f>
        <v>(SELECT prtctn_id, dvlpmnt_stts FROM BU_LOANTAPE_WORK.LT004_PROTECTION WHERE ref_date='${ref_date}' AND nome_perimetro='Individual Local' AND segmento='ESTR' AND ambito='SRB_MBDT' AND entidade='00100')X</v>
      </c>
      <c r="J588" s="34" t="str">
        <f>"(SELECT "&amp;VLOOKUP(B588,'0. Instruções'!$C$27:$G$32,4,FALSE)&amp;" AS "&amp;VLOOKUP(B588,'0. Instruções'!$C$27:$G$32,4,FALSE)&amp;"_SIMUL, "&amp;F588&amp;" AS "&amp;F588&amp;"_SIMUL FROM "&amp;E588&amp;" WHERE "&amp;'0. Instruções'!$D$43&amp;")Y"</f>
        <v>(SELECT prtctn_id AS prtctn_id_SIMUL, dvlpmnt_stts AS dvlpmnt_stts_SIMUL FROM BU_LOANTAPE_WORK.SIMUL_LT004 WHERE ref_date='${ref_date}' AND nome_perimetro='Individual Local' AND segmento='ESTR' AND ambito='PILAR3' AND entidade='00100')Y</v>
      </c>
      <c r="K588" s="35" t="str">
        <f>+UPPER("ON X."&amp;VLOOKUP(B588,'0. Instruções'!$C$27:$G$32,4,FALSE)&amp;"=Y."&amp;VLOOKUP(B588,'0. Instruções'!$C$27:$G$32,4,FALSE)&amp;"_SIMUL")</f>
        <v>ON X.PRTCTN_ID=Y.PRTCTN_ID_SIMUL</v>
      </c>
      <c r="L588" s="35" t="str">
        <f>+IF(C588="Coerência", +IF(LEFT(G588,5)="FLOAT","SELECT '"&amp;UPPER(B588)&amp;"' AS TABELA, '"&amp;UPPER(C588)&amp;"' AS TIPOLOGIA_TESTE,'"&amp;D588&amp;"' AS TABELA_LT,'"&amp;E588&amp;"' AS TABELA_SIMUL,'"&amp;F588&amp;"' AS CAMPO, "&amp;"'${ref_date}' AS REF_DATE, COUNT(*) AS NUM_REG, SUM(IF((ABS(COALESCE(CAST(X."&amp;F588&amp;" AS DECIMAL(18,6)),0)-COALESCE(CAST(Y."&amp;F588&amp;"_SIMUL AS DECIMAL(18,6)),0))&gt;0.000001) OR (X."&amp;F588&amp;" IS NULL AND Y."&amp;F588&amp;"_SIMUL IS NOT NULL ) OR (X."&amp;F588&amp;" IS NOT NULL AND Y."&amp;F588&amp;"_SIMUL IS NULL),1,0)) AS NUM_REG_DIF,'"&amp;MAX('ID1&amp;5'!K:K)+1&amp;"' AS ID_EXEC, CURRENT_TIMESTAMP() AS TIME_EXEC FROM "&amp;I588&amp;" INNER JOIN "&amp;J588&amp;" "&amp;K588,"SELECT '"&amp;UPPER(B588)&amp;"' AS TABELA, '"&amp;UPPER(C588)&amp;"' AS TIPOLOGIA_TESTE,'"&amp;D588&amp;"' AS TABELA_LT,'"&amp;E588&amp;"' AS TABELA_SIMUL,'"&amp;F588&amp;"' AS CAMPO, "&amp;"'${ref_date}' AS REF_DATE, COUNT(*) AS NUM_REG, SUM(IF(COALESCE(CAST(X."&amp;F588&amp;" AS STRING),'')&lt;&gt;COALESCE(CAST(Y."&amp;F588&amp;"_SIMUL AS STRING),'') OR (X."&amp;F588&amp;" IS NULL AND Y."&amp;F588&amp;"_SIMUL IS NOT NULL ) OR (X."&amp;F588&amp;" IS NOT NULL AND Y."&amp;F588&amp;"_SIMUL IS NULL),1,0)) AS NUM_REG_DIF,'"&amp;MAX('ID1&amp;5'!L:L)+1&amp;"' AS ID_EXEC, CURRENT_TIMESTAMP() AS TIME_EXEC FROM "&amp;I588&amp;" INNER JOIN "&amp;J588&amp;" "&amp;K588),
IF(C588="Validade",+IF(G588="Code List","SELECT '"&amp;UPPER(B588)&amp;"' AS TABELA, '"&amp;UPPER(C588)&amp;"' AS TIPOLOGIA_TESTE,'"&amp;D588&amp;"' AS TABELA_LT,'N/A' AS TABELA_SIMUL,'"&amp;F588&amp;"' AS CAMPO, "&amp;"'${ref_date}' AS REF_DATE, COUNT(*) AS NUM_REG, SUM(IF(TRIM(CAST(X."&amp;F588&amp;" AS STRING))='' OR TRIM(CAST(X."&amp;F588&amp;" AS STRING)) IS NULL OR CAST(X."&amp;F588&amp;" AS STRING) NOT "&amp;H588&amp;",1,0)) AS NUM_REG_DIF,'"&amp;MAX('ID1&amp;5'!K:K)+1&amp;"' AS ID_EXEC, CURRENT_TIMESTAMP() AS TIME_EXEC FROM "&amp;I588,"SELECT '"&amp;UPPER(B588)&amp;"' AS TABELA, '"&amp;UPPER(C588)&amp;"' AS TIPOLOGIA_TESTE,'"&amp;D588&amp;"' AS TABELA_LT,'N/A' AS TABELA_SIMUL,'"&amp;F588&amp;"' AS CAMPO, "&amp;"'${ref_date}' AS REF_DATE, COUNT(*) AS NUM_REG, SUM(IF(TRIM(CAST(X."&amp;F588&amp;" AS STRING))='' OR TRIM(CAST(X."&amp;F588&amp;" AS STRING)) IS NULL,1,0)) AS NUM_REG_DIF,'"&amp;MAX('ID1&amp;5'!K:K)+1&amp;"' AS ID_EXEC, CURRENT_TIMESTAMP() AS TIME_EXEC FROM "&amp;I588),
IF(C588="Caracteres Especiais",+"SELECT '"&amp;UPPER(B588)&amp;"' AS TABELA, '"&amp;UPPER(C588)&amp;"' AS TIPOLOGIA_TESTE,'"&amp;D588&amp;"' AS TABELA_LT,'N/A' AS TABELA_SIMUL,'"&amp;F588&amp;"' AS CAMPO, "&amp;"'${ref_date}' AS REF_DATE, COUNT(*) AS NUM_REG, SUM(IF(REGEXP_REPLACE(TRIM(CAST(X."&amp;F588&amp;" AS STRING)),'[^a-zA-Z0-9_\\s]','') &lt;&gt;TRIM(CAST(X."&amp;F588&amp;" AS STRING)),1,0)) AS NUM_REG_DIF,'"&amp;MAX('ID1&amp;5'!K:K)+1&amp;"' AS ID_EXEC, CURRENT_TIMESTAMP() AS TIME_EXEC FROM "&amp;I588,
IF(C588="Missings",+"SELECT '"&amp;UPPER(B588)&amp;"' AS TABELA, '"&amp;UPPER(C588)&amp;"' AS TIPOLOGIA_TESTE,'"&amp;D588&amp;"' AS TABELA_LT,'N/A' AS TABELA_SIMUL,'"&amp;F588&amp;"' AS CAMPO, "&amp;"'${ref_date}' AS REF_DATE, COUNT(*) AS NUM_REG, SUM(IF(TRIM(CAST(X."&amp;F588&amp;" AS STRING)) IN ('0000-00-00','0001-01-01','9999-12-31','MISS','00000','99999999999','99999999999.00','99999999999.000000'),1,0)) AS NUM_REG_DIF,'"&amp;MAX('ID1&amp;5'!K:K)+1&amp;"' AS ID_EXEC, CURRENT_TIMESTAMP() AS TIME_EXEC FROM "&amp;I588,
IF(C588="Not applicable",+"SELECT '"&amp;UPPER(B588)&amp;"' AS TABELA, '"&amp;UPPER(C588)&amp;"' AS TIPOLOGIA_TESTE,'"&amp;D588&amp;"' AS TABELA_LT,'N/A' AS TABELA_SIMUL,'"&amp;F588&amp;"' AS CAMPO, "&amp;"'${ref_date}' AS REF_DATE, COUNT(*) AS NUM_REG, SUM(IF(TRIM(CAST(X."&amp;F588&amp;" AS STRING)) IN ('N/A','11111111111','11111111111.00','11111111111.000000','1111-11-11'),1,0)) AS NUM_REG_DIF,'"&amp;MAX('ID1&amp;5'!K:K)+1&amp;"' AS ID_EXEC, CURRENT_TIMESTAMP() AS TIME_EXEC FROM "&amp;I588,
IF(C588="Valores extremos",+"SELECT '"&amp;UPPER(B588)&amp;"' AS TABELA, '"&amp;UPPER(C588)&amp;"' AS TIPOLOGIA_TESTE,'"&amp;D588&amp;"' AS TABELA_LT,'N/A' AS TABELA_SIMUL,'"&amp;F588&amp;"' AS CAMPO, "&amp;"'${ref_date}' AS REF_DATE, CAST(MIN("&amp;F588&amp;") AS STRING) AS VALOR_MIN, CAST(MAX("&amp;F588&amp;") AS STRING) AS VALOR_MAX,'"&amp;MAX('ID1&amp;5'!K:K)+1&amp;"' AS ID_EXEC, CURRENT_TIMESTAMP() AS TIME_EXEC FROM "&amp;MID(I588,1,LEN(I588)-2)&amp;" AND CAST("&amp;F588&amp;"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TABELA_SIMUL,'dvlpmnt_stts' AS CAMPO, '${ref_date}' AS REF_DATE, COUNT(*) AS NUM_REG, SUM(IF(COALESCE(CAST(X.dvlpmnt_stts AS STRING),'')&lt;&gt;COALESCE(CAST(Y.dvlpmnt_stts_SIMUL AS STRING),'') OR (X.dvlpmnt_stts IS NULL AND Y.dvlpmnt_stts_SIMUL IS NOT NULL ) OR (X.dvlpmnt_stts IS NOT NULL AND Y.dvlpmnt_stts_SIMUL IS NULL),1,0)) AS NUM_REG_DIF,'1' AS ID_EXEC, CURRENT_TIMESTAMP() AS TIME_EXEC FROM (SELECT prtctn_id, dvlpmnt_stts FROM BU_LOANTAPE_WORK.LT004_PROTECTION WHERE ref_date='${ref_date}' AND nome_perimetro='Individual Local' AND segmento='ESTR' AND ambito='SRB_MBDT' AND entidade='00100')X INNER JOIN (SELECT prtctn_id AS prtctn_id_SIMUL, dvlpmnt_stts AS dvlpmnt_stts_SIMUL FROM BU_LOANTAPE_WORK.SIMUL_LT004 WHERE ref_date='${ref_date}' AND nome_perimetro='Individual Local' AND segmento='ESTR' AND ambito='PILAR3' AND entidade='00100')Y ON X.PRTCTN_ID=Y.PRTCTN_ID_SIMUL</v>
      </c>
      <c r="M588" s="36" t="str">
        <f t="shared" si="14"/>
        <v>UNION ALL SELECT 'PROTECTION' AS TABELA, 'COERÊNCIA' AS TIPOLOGIA_TESTE,'BU_LOANTAPE_WORK.LT004_PROTECTION' AS TABELA_LT,'BU_LOANTAPE_WORK.SIMUL_LT004' AS TABELA_SIMUL,'dvlpmnt_stts' AS CAMPO, '${ref_date}' AS REF_DATE, COUNT(*) AS NUM_REG, SUM(IF(COALESCE(CAST(X.dvlpmnt_stts AS STRING),'')&lt;&gt;COALESCE(CAST(Y.dvlpmnt_stts_SIMUL AS STRING),'') OR (X.dvlpmnt_stts IS NULL AND Y.dvlpmnt_stts_SIMUL IS NOT NULL ) OR (X.dvlpmnt_stts IS NOT NULL AND Y.dvlpmnt_stts_SIMUL IS NULL),1,0)) AS NUM_REG_DIF,'1' AS ID_EXEC, CURRENT_TIMESTAMP() AS TIME_EXEC FROM (SELECT prtctn_id, dvlpmnt_stts FROM BU_LOANTAPE_WORK.LT004_PROTECTION WHERE ref_date='${ref_date}' AND nome_perimetro='Individual Local' AND segmento='ESTR' AND ambito='SRB_MBDT' AND entidade='00100')X INNER JOIN (SELECT prtctn_id AS prtctn_id_SIMUL, dvlpmnt_stts AS dvlpmnt_stts_SIMUL FROM BU_LOANTAPE_WORK.SIMUL_LT004 WHERE ref_date='${ref_date}' AND nome_perimetro='Individual Local' AND segmento='ESTR' AND ambito='PILAR3' AND entidade='00100')Y ON X.PRTCTN_ID=Y.PRTCTN_ID_SIMUL</v>
      </c>
    </row>
    <row r="589" spans="2:13">
      <c r="B589" s="34" t="s">
        <v>119</v>
      </c>
      <c r="C589" s="34" t="s">
        <v>5</v>
      </c>
      <c r="D589" s="34" t="str">
        <f>+UPPER('0. Instruções'!$D$35&amp;"."&amp;VLOOKUP(B589,'0. Instruções'!$C$27:$D$32,2,FALSE))</f>
        <v>BU_LOANTAPE_WORK.LT004_PROTECTION</v>
      </c>
      <c r="E589" s="34" t="str">
        <f>+UPPER('0. Instruções'!$D$36&amp;"."&amp;VLOOKUP(B589,'0. Instruções'!$C$27:$E$32,3,FALSE))</f>
        <v>BU_LOANTAPE_WORK.SIMUL_LT004</v>
      </c>
      <c r="F589" s="34" t="s">
        <v>1534</v>
      </c>
      <c r="G589" s="34"/>
      <c r="H589" s="34"/>
      <c r="I589" s="34" t="str">
        <f>"(SELECT "&amp;VLOOKUP(B589,'0. Instruções'!$C$27:$G$32,4,FALSE)&amp;", "&amp;F589&amp;" FROM "&amp;D589&amp;" WHERE "&amp;'0. Instruções'!$D$42&amp;")X"</f>
        <v>(SELECT prtctn_id, mn_prps FROM BU_LOANTAPE_WORK.LT004_PROTECTION WHERE ref_date='${ref_date}' AND nome_perimetro='Individual Local' AND segmento='ESTR' AND ambito='SRB_MBDT' AND entidade='00100')X</v>
      </c>
      <c r="J589" s="34" t="str">
        <f>"(SELECT "&amp;VLOOKUP(B589,'0. Instruções'!$C$27:$G$32,4,FALSE)&amp;" AS "&amp;VLOOKUP(B589,'0. Instruções'!$C$27:$G$32,4,FALSE)&amp;"_SIMUL, "&amp;F589&amp;" AS "&amp;F589&amp;"_SIMUL FROM "&amp;E589&amp;" WHERE "&amp;'0. Instruções'!$D$43&amp;")Y"</f>
        <v>(SELECT prtctn_id AS prtctn_id_SIMUL, mn_prps AS mn_prps_SIMUL FROM BU_LOANTAPE_WORK.SIMUL_LT004 WHERE ref_date='${ref_date}' AND nome_perimetro='Individual Local' AND segmento='ESTR' AND ambito='PILAR3' AND entidade='00100')Y</v>
      </c>
      <c r="K589" s="35" t="str">
        <f>+UPPER("ON X."&amp;VLOOKUP(B589,'0. Instruções'!$C$27:$G$32,4,FALSE)&amp;"=Y."&amp;VLOOKUP(B589,'0. Instruções'!$C$27:$G$32,4,FALSE)&amp;"_SIMUL")</f>
        <v>ON X.PRTCTN_ID=Y.PRTCTN_ID_SIMUL</v>
      </c>
      <c r="L589" s="35" t="str">
        <f>+IF(C589="Coerência", +IF(LEFT(G589,5)="FLOAT","SELECT '"&amp;UPPER(B589)&amp;"' AS TABELA, '"&amp;UPPER(C589)&amp;"' AS TIPOLOGIA_TESTE,'"&amp;D589&amp;"' AS TABELA_LT,'"&amp;E589&amp;"' AS TABELA_SIMUL,'"&amp;F589&amp;"' AS CAMPO, "&amp;"'${ref_date}' AS REF_DATE, COUNT(*) AS NUM_REG, SUM(IF((ABS(COALESCE(CAST(X."&amp;F589&amp;" AS DECIMAL(18,6)),0)-COALESCE(CAST(Y."&amp;F589&amp;"_SIMUL AS DECIMAL(18,6)),0))&gt;0.000001) OR (X."&amp;F589&amp;" IS NULL AND Y."&amp;F589&amp;"_SIMUL IS NOT NULL ) OR (X."&amp;F589&amp;" IS NOT NULL AND Y."&amp;F589&amp;"_SIMUL IS NULL),1,0)) AS NUM_REG_DIF,'"&amp;MAX('ID1&amp;5'!K:K)+1&amp;"' AS ID_EXEC, CURRENT_TIMESTAMP() AS TIME_EXEC FROM "&amp;I589&amp;" INNER JOIN "&amp;J589&amp;" "&amp;K589,"SELECT '"&amp;UPPER(B589)&amp;"' AS TABELA, '"&amp;UPPER(C589)&amp;"' AS TIPOLOGIA_TESTE,'"&amp;D589&amp;"' AS TABELA_LT,'"&amp;E589&amp;"' AS TABELA_SIMUL,'"&amp;F589&amp;"' AS CAMPO, "&amp;"'${ref_date}' AS REF_DATE, COUNT(*) AS NUM_REG, SUM(IF(COALESCE(CAST(X."&amp;F589&amp;" AS STRING),'')&lt;&gt;COALESCE(CAST(Y."&amp;F589&amp;"_SIMUL AS STRING),'') OR (X."&amp;F589&amp;" IS NULL AND Y."&amp;F589&amp;"_SIMUL IS NOT NULL ) OR (X."&amp;F589&amp;" IS NOT NULL AND Y."&amp;F589&amp;"_SIMUL IS NULL),1,0)) AS NUM_REG_DIF,'"&amp;MAX('ID1&amp;5'!L:L)+1&amp;"' AS ID_EXEC, CURRENT_TIMESTAMP() AS TIME_EXEC FROM "&amp;I589&amp;" INNER JOIN "&amp;J589&amp;" "&amp;K589),
IF(C589="Validade",+IF(G589="Code List","SELECT '"&amp;UPPER(B589)&amp;"' AS TABELA, '"&amp;UPPER(C589)&amp;"' AS TIPOLOGIA_TESTE,'"&amp;D589&amp;"' AS TABELA_LT,'N/A' AS TABELA_SIMUL,'"&amp;F589&amp;"' AS CAMPO, "&amp;"'${ref_date}' AS REF_DATE, COUNT(*) AS NUM_REG, SUM(IF(TRIM(CAST(X."&amp;F589&amp;" AS STRING))='' OR TRIM(CAST(X."&amp;F589&amp;" AS STRING)) IS NULL OR CAST(X."&amp;F589&amp;" AS STRING) NOT "&amp;H589&amp;",1,0)) AS NUM_REG_DIF,'"&amp;MAX('ID1&amp;5'!K:K)+1&amp;"' AS ID_EXEC, CURRENT_TIMESTAMP() AS TIME_EXEC FROM "&amp;I589,"SELECT '"&amp;UPPER(B589)&amp;"' AS TABELA, '"&amp;UPPER(C589)&amp;"' AS TIPOLOGIA_TESTE,'"&amp;D589&amp;"' AS TABELA_LT,'N/A' AS TABELA_SIMUL,'"&amp;F589&amp;"' AS CAMPO, "&amp;"'${ref_date}' AS REF_DATE, COUNT(*) AS NUM_REG, SUM(IF(TRIM(CAST(X."&amp;F589&amp;" AS STRING))='' OR TRIM(CAST(X."&amp;F589&amp;" AS STRING)) IS NULL,1,0)) AS NUM_REG_DIF,'"&amp;MAX('ID1&amp;5'!K:K)+1&amp;"' AS ID_EXEC, CURRENT_TIMESTAMP() AS TIME_EXEC FROM "&amp;I589),
IF(C589="Caracteres Especiais",+"SELECT '"&amp;UPPER(B589)&amp;"' AS TABELA, '"&amp;UPPER(C589)&amp;"' AS TIPOLOGIA_TESTE,'"&amp;D589&amp;"' AS TABELA_LT,'N/A' AS TABELA_SIMUL,'"&amp;F589&amp;"' AS CAMPO, "&amp;"'${ref_date}' AS REF_DATE, COUNT(*) AS NUM_REG, SUM(IF(REGEXP_REPLACE(TRIM(CAST(X."&amp;F589&amp;" AS STRING)),'[^a-zA-Z0-9_\\s]','') &lt;&gt;TRIM(CAST(X."&amp;F589&amp;" AS STRING)),1,0)) AS NUM_REG_DIF,'"&amp;MAX('ID1&amp;5'!K:K)+1&amp;"' AS ID_EXEC, CURRENT_TIMESTAMP() AS TIME_EXEC FROM "&amp;I589,
IF(C589="Missings",+"SELECT '"&amp;UPPER(B589)&amp;"' AS TABELA, '"&amp;UPPER(C589)&amp;"' AS TIPOLOGIA_TESTE,'"&amp;D589&amp;"' AS TABELA_LT,'N/A' AS TABELA_SIMUL,'"&amp;F589&amp;"' AS CAMPO, "&amp;"'${ref_date}' AS REF_DATE, COUNT(*) AS NUM_REG, SUM(IF(TRIM(CAST(X."&amp;F589&amp;" AS STRING)) IN ('0000-00-00','0001-01-01','9999-12-31','MISS','00000','99999999999','99999999999.00','99999999999.000000'),1,0)) AS NUM_REG_DIF,'"&amp;MAX('ID1&amp;5'!K:K)+1&amp;"' AS ID_EXEC, CURRENT_TIMESTAMP() AS TIME_EXEC FROM "&amp;I589,
IF(C589="Not applicable",+"SELECT '"&amp;UPPER(B589)&amp;"' AS TABELA, '"&amp;UPPER(C589)&amp;"' AS TIPOLOGIA_TESTE,'"&amp;D589&amp;"' AS TABELA_LT,'N/A' AS TABELA_SIMUL,'"&amp;F589&amp;"' AS CAMPO, "&amp;"'${ref_date}' AS REF_DATE, COUNT(*) AS NUM_REG, SUM(IF(TRIM(CAST(X."&amp;F589&amp;" AS STRING)) IN ('N/A','11111111111','11111111111.00','11111111111.000000','1111-11-11'),1,0)) AS NUM_REG_DIF,'"&amp;MAX('ID1&amp;5'!K:K)+1&amp;"' AS ID_EXEC, CURRENT_TIMESTAMP() AS TIME_EXEC FROM "&amp;I589,
IF(C589="Valores extremos",+"SELECT '"&amp;UPPER(B589)&amp;"' AS TABELA, '"&amp;UPPER(C589)&amp;"' AS TIPOLOGIA_TESTE,'"&amp;D589&amp;"' AS TABELA_LT,'N/A' AS TABELA_SIMUL,'"&amp;F589&amp;"' AS CAMPO, "&amp;"'${ref_date}' AS REF_DATE, CAST(MIN("&amp;F589&amp;") AS STRING) AS VALOR_MIN, CAST(MAX("&amp;F589&amp;") AS STRING) AS VALOR_MAX,'"&amp;MAX('ID1&amp;5'!K:K)+1&amp;"' AS ID_EXEC, CURRENT_TIMESTAMP() AS TIME_EXEC FROM "&amp;MID(I589,1,LEN(I589)-2)&amp;" AND CAST("&amp;F589&amp;"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TABELA_SIMUL,'mn_prps' AS CAMPO, '${ref_date}' AS REF_DATE, COUNT(*) AS NUM_REG, SUM(IF(COALESCE(CAST(X.mn_prps AS STRING),'')&lt;&gt;COALESCE(CAST(Y.mn_prps_SIMUL AS STRING),'') OR (X.mn_prps IS NULL AND Y.mn_prps_SIMUL IS NOT NULL ) OR (X.mn_prps IS NOT NULL AND Y.mn_prps_SIMUL IS NULL),1,0)) AS NUM_REG_DIF,'1' AS ID_EXEC, CURRENT_TIMESTAMP() AS TIME_EXEC FROM (SELECT prtctn_id, mn_prps FROM BU_LOANTAPE_WORK.LT004_PROTECTION WHERE ref_date='${ref_date}' AND nome_perimetro='Individual Local' AND segmento='ESTR' AND ambito='SRB_MBDT' AND entidade='00100')X INNER JOIN (SELECT prtctn_id AS prtctn_id_SIMUL, mn_prps AS mn_prps_SIMUL FROM BU_LOANTAPE_WORK.SIMUL_LT004 WHERE ref_date='${ref_date}' AND nome_perimetro='Individual Local' AND segmento='ESTR' AND ambito='PILAR3' AND entidade='00100')Y ON X.PRTCTN_ID=Y.PRTCTN_ID_SIMUL</v>
      </c>
      <c r="M589" s="36" t="str">
        <f t="shared" si="14"/>
        <v>UNION ALL SELECT 'PROTECTION' AS TABELA, 'COERÊNCIA' AS TIPOLOGIA_TESTE,'BU_LOANTAPE_WORK.LT004_PROTECTION' AS TABELA_LT,'BU_LOANTAPE_WORK.SIMUL_LT004' AS TABELA_SIMUL,'mn_prps' AS CAMPO, '${ref_date}' AS REF_DATE, COUNT(*) AS NUM_REG, SUM(IF(COALESCE(CAST(X.mn_prps AS STRING),'')&lt;&gt;COALESCE(CAST(Y.mn_prps_SIMUL AS STRING),'') OR (X.mn_prps IS NULL AND Y.mn_prps_SIMUL IS NOT NULL ) OR (X.mn_prps IS NOT NULL AND Y.mn_prps_SIMUL IS NULL),1,0)) AS NUM_REG_DIF,'1' AS ID_EXEC, CURRENT_TIMESTAMP() AS TIME_EXEC FROM (SELECT prtctn_id, mn_prps FROM BU_LOANTAPE_WORK.LT004_PROTECTION WHERE ref_date='${ref_date}' AND nome_perimetro='Individual Local' AND segmento='ESTR' AND ambito='SRB_MBDT' AND entidade='00100')X INNER JOIN (SELECT prtctn_id AS prtctn_id_SIMUL, mn_prps AS mn_prps_SIMUL FROM BU_LOANTAPE_WORK.SIMUL_LT004 WHERE ref_date='${ref_date}' AND nome_perimetro='Individual Local' AND segmento='ESTR' AND ambito='PILAR3' AND entidade='00100')Y ON X.PRTCTN_ID=Y.PRTCTN_ID_SIMUL</v>
      </c>
    </row>
    <row r="590" spans="2:13">
      <c r="B590" s="34" t="s">
        <v>119</v>
      </c>
      <c r="C590" s="34" t="s">
        <v>5</v>
      </c>
      <c r="D590" s="34" t="str">
        <f>+UPPER('0. Instruções'!$D$35&amp;"."&amp;VLOOKUP(B590,'0. Instruções'!$C$27:$D$32,2,FALSE))</f>
        <v>BU_LOANTAPE_WORK.LT004_PROTECTION</v>
      </c>
      <c r="E590" s="34" t="str">
        <f>+UPPER('0. Instruções'!$D$36&amp;"."&amp;VLOOKUP(B590,'0. Instruções'!$C$27:$E$32,3,FALSE))</f>
        <v>BU_LOANTAPE_WORK.SIMUL_LT004</v>
      </c>
      <c r="F590" s="34" t="s">
        <v>1535</v>
      </c>
      <c r="G590" s="34"/>
      <c r="H590" s="34"/>
      <c r="I590" s="34" t="str">
        <f>"(SELECT "&amp;VLOOKUP(B590,'0. Instruções'!$C$27:$G$32,4,FALSE)&amp;", "&amp;F590&amp;" FROM "&amp;D590&amp;" WHERE "&amp;'0. Instruções'!$D$42&amp;")X"</f>
        <v>(SELECT prtctn_id, prm_lctn FROM BU_LOANTAPE_WORK.LT004_PROTECTION WHERE ref_date='${ref_date}' AND nome_perimetro='Individual Local' AND segmento='ESTR' AND ambito='SRB_MBDT' AND entidade='00100')X</v>
      </c>
      <c r="J590" s="34" t="str">
        <f>"(SELECT "&amp;VLOOKUP(B590,'0. Instruções'!$C$27:$G$32,4,FALSE)&amp;" AS "&amp;VLOOKUP(B590,'0. Instruções'!$C$27:$G$32,4,FALSE)&amp;"_SIMUL, "&amp;F590&amp;" AS "&amp;F590&amp;"_SIMUL FROM "&amp;E590&amp;" WHERE "&amp;'0. Instruções'!$D$43&amp;")Y"</f>
        <v>(SELECT prtctn_id AS prtctn_id_SIMUL, prm_lctn AS prm_lctn_SIMUL FROM BU_LOANTAPE_WORK.SIMUL_LT004 WHERE ref_date='${ref_date}' AND nome_perimetro='Individual Local' AND segmento='ESTR' AND ambito='PILAR3' AND entidade='00100')Y</v>
      </c>
      <c r="K590" s="35" t="str">
        <f>+UPPER("ON X."&amp;VLOOKUP(B590,'0. Instruções'!$C$27:$G$32,4,FALSE)&amp;"=Y."&amp;VLOOKUP(B590,'0. Instruções'!$C$27:$G$32,4,FALSE)&amp;"_SIMUL")</f>
        <v>ON X.PRTCTN_ID=Y.PRTCTN_ID_SIMUL</v>
      </c>
      <c r="L590" s="35" t="str">
        <f>+IF(C590="Coerência", +IF(LEFT(G590,5)="FLOAT","SELECT '"&amp;UPPER(B590)&amp;"' AS TABELA, '"&amp;UPPER(C590)&amp;"' AS TIPOLOGIA_TESTE,'"&amp;D590&amp;"' AS TABELA_LT,'"&amp;E590&amp;"' AS TABELA_SIMUL,'"&amp;F590&amp;"' AS CAMPO, "&amp;"'${ref_date}' AS REF_DATE, COUNT(*) AS NUM_REG, SUM(IF((ABS(COALESCE(CAST(X."&amp;F590&amp;" AS DECIMAL(18,6)),0)-COALESCE(CAST(Y."&amp;F590&amp;"_SIMUL AS DECIMAL(18,6)),0))&gt;0.000001) OR (X."&amp;F590&amp;" IS NULL AND Y."&amp;F590&amp;"_SIMUL IS NOT NULL ) OR (X."&amp;F590&amp;" IS NOT NULL AND Y."&amp;F590&amp;"_SIMUL IS NULL),1,0)) AS NUM_REG_DIF,'"&amp;MAX('ID1&amp;5'!K:K)+1&amp;"' AS ID_EXEC, CURRENT_TIMESTAMP() AS TIME_EXEC FROM "&amp;I590&amp;" INNER JOIN "&amp;J590&amp;" "&amp;K590,"SELECT '"&amp;UPPER(B590)&amp;"' AS TABELA, '"&amp;UPPER(C590)&amp;"' AS TIPOLOGIA_TESTE,'"&amp;D590&amp;"' AS TABELA_LT,'"&amp;E590&amp;"' AS TABELA_SIMUL,'"&amp;F590&amp;"' AS CAMPO, "&amp;"'${ref_date}' AS REF_DATE, COUNT(*) AS NUM_REG, SUM(IF(COALESCE(CAST(X."&amp;F590&amp;" AS STRING),'')&lt;&gt;COALESCE(CAST(Y."&amp;F590&amp;"_SIMUL AS STRING),'') OR (X."&amp;F590&amp;" IS NULL AND Y."&amp;F590&amp;"_SIMUL IS NOT NULL ) OR (X."&amp;F590&amp;" IS NOT NULL AND Y."&amp;F590&amp;"_SIMUL IS NULL),1,0)) AS NUM_REG_DIF,'"&amp;MAX('ID1&amp;5'!L:L)+1&amp;"' AS ID_EXEC, CURRENT_TIMESTAMP() AS TIME_EXEC FROM "&amp;I590&amp;" INNER JOIN "&amp;J590&amp;" "&amp;K590),
IF(C590="Validade",+IF(G590="Code List","SELECT '"&amp;UPPER(B590)&amp;"' AS TABELA, '"&amp;UPPER(C590)&amp;"' AS TIPOLOGIA_TESTE,'"&amp;D590&amp;"' AS TABELA_LT,'N/A' AS TABELA_SIMUL,'"&amp;F590&amp;"' AS CAMPO, "&amp;"'${ref_date}' AS REF_DATE, COUNT(*) AS NUM_REG, SUM(IF(TRIM(CAST(X."&amp;F590&amp;" AS STRING))='' OR TRIM(CAST(X."&amp;F590&amp;" AS STRING)) IS NULL OR CAST(X."&amp;F590&amp;" AS STRING) NOT "&amp;H590&amp;",1,0)) AS NUM_REG_DIF,'"&amp;MAX('ID1&amp;5'!K:K)+1&amp;"' AS ID_EXEC, CURRENT_TIMESTAMP() AS TIME_EXEC FROM "&amp;I590,"SELECT '"&amp;UPPER(B590)&amp;"' AS TABELA, '"&amp;UPPER(C590)&amp;"' AS TIPOLOGIA_TESTE,'"&amp;D590&amp;"' AS TABELA_LT,'N/A' AS TABELA_SIMUL,'"&amp;F590&amp;"' AS CAMPO, "&amp;"'${ref_date}' AS REF_DATE, COUNT(*) AS NUM_REG, SUM(IF(TRIM(CAST(X."&amp;F590&amp;" AS STRING))='' OR TRIM(CAST(X."&amp;F590&amp;" AS STRING)) IS NULL,1,0)) AS NUM_REG_DIF,'"&amp;MAX('ID1&amp;5'!K:K)+1&amp;"' AS ID_EXEC, CURRENT_TIMESTAMP() AS TIME_EXEC FROM "&amp;I590),
IF(C590="Caracteres Especiais",+"SELECT '"&amp;UPPER(B590)&amp;"' AS TABELA, '"&amp;UPPER(C590)&amp;"' AS TIPOLOGIA_TESTE,'"&amp;D590&amp;"' AS TABELA_LT,'N/A' AS TABELA_SIMUL,'"&amp;F590&amp;"' AS CAMPO, "&amp;"'${ref_date}' AS REF_DATE, COUNT(*) AS NUM_REG, SUM(IF(REGEXP_REPLACE(TRIM(CAST(X."&amp;F590&amp;" AS STRING)),'[^a-zA-Z0-9_\\s]','') &lt;&gt;TRIM(CAST(X."&amp;F590&amp;" AS STRING)),1,0)) AS NUM_REG_DIF,'"&amp;MAX('ID1&amp;5'!K:K)+1&amp;"' AS ID_EXEC, CURRENT_TIMESTAMP() AS TIME_EXEC FROM "&amp;I590,
IF(C590="Missings",+"SELECT '"&amp;UPPER(B590)&amp;"' AS TABELA, '"&amp;UPPER(C590)&amp;"' AS TIPOLOGIA_TESTE,'"&amp;D590&amp;"' AS TABELA_LT,'N/A' AS TABELA_SIMUL,'"&amp;F590&amp;"' AS CAMPO, "&amp;"'${ref_date}' AS REF_DATE, COUNT(*) AS NUM_REG, SUM(IF(TRIM(CAST(X."&amp;F590&amp;" AS STRING)) IN ('0000-00-00','0001-01-01','9999-12-31','MISS','00000','99999999999','99999999999.00','99999999999.000000'),1,0)) AS NUM_REG_DIF,'"&amp;MAX('ID1&amp;5'!K:K)+1&amp;"' AS ID_EXEC, CURRENT_TIMESTAMP() AS TIME_EXEC FROM "&amp;I590,
IF(C590="Not applicable",+"SELECT '"&amp;UPPER(B590)&amp;"' AS TABELA, '"&amp;UPPER(C590)&amp;"' AS TIPOLOGIA_TESTE,'"&amp;D590&amp;"' AS TABELA_LT,'N/A' AS TABELA_SIMUL,'"&amp;F590&amp;"' AS CAMPO, "&amp;"'${ref_date}' AS REF_DATE, COUNT(*) AS NUM_REG, SUM(IF(TRIM(CAST(X."&amp;F590&amp;" AS STRING)) IN ('N/A','11111111111','11111111111.00','11111111111.000000','1111-11-11'),1,0)) AS NUM_REG_DIF,'"&amp;MAX('ID1&amp;5'!K:K)+1&amp;"' AS ID_EXEC, CURRENT_TIMESTAMP() AS TIME_EXEC FROM "&amp;I590,
IF(C590="Valores extremos",+"SELECT '"&amp;UPPER(B590)&amp;"' AS TABELA, '"&amp;UPPER(C590)&amp;"' AS TIPOLOGIA_TESTE,'"&amp;D590&amp;"' AS TABELA_LT,'N/A' AS TABELA_SIMUL,'"&amp;F590&amp;"' AS CAMPO, "&amp;"'${ref_date}' AS REF_DATE, CAST(MIN("&amp;F590&amp;") AS STRING) AS VALOR_MIN, CAST(MAX("&amp;F590&amp;") AS STRING) AS VALOR_MAX,'"&amp;MAX('ID1&amp;5'!K:K)+1&amp;"' AS ID_EXEC, CURRENT_TIMESTAMP() AS TIME_EXEC FROM "&amp;MID(I590,1,LEN(I590)-2)&amp;" AND CAST("&amp;F590&amp;"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TABELA_SIMUL,'prm_lctn' AS CAMPO, '${ref_date}' AS REF_DATE, COUNT(*) AS NUM_REG, SUM(IF(COALESCE(CAST(X.prm_lctn AS STRING),'')&lt;&gt;COALESCE(CAST(Y.prm_lctn_SIMUL AS STRING),'') OR (X.prm_lctn IS NULL AND Y.prm_lctn_SIMUL IS NOT NULL ) OR (X.prm_lctn IS NOT NULL AND Y.prm_lctn_SIMUL IS NULL),1,0)) AS NUM_REG_DIF,'1' AS ID_EXEC, CURRENT_TIMESTAMP() AS TIME_EXEC FROM (SELECT prtctn_id, prm_lctn FROM BU_LOANTAPE_WORK.LT004_PROTECTION WHERE ref_date='${ref_date}' AND nome_perimetro='Individual Local' AND segmento='ESTR' AND ambito='SRB_MBDT' AND entidade='00100')X INNER JOIN (SELECT prtctn_id AS prtctn_id_SIMUL, prm_lctn AS prm_lctn_SIMUL FROM BU_LOANTAPE_WORK.SIMUL_LT004 WHERE ref_date='${ref_date}' AND nome_perimetro='Individual Local' AND segmento='ESTR' AND ambito='PILAR3' AND entidade='00100')Y ON X.PRTCTN_ID=Y.PRTCTN_ID_SIMUL</v>
      </c>
      <c r="M590" s="36" t="str">
        <f t="shared" si="14"/>
        <v>UNION ALL SELECT 'PROTECTION' AS TABELA, 'COERÊNCIA' AS TIPOLOGIA_TESTE,'BU_LOANTAPE_WORK.LT004_PROTECTION' AS TABELA_LT,'BU_LOANTAPE_WORK.SIMUL_LT004' AS TABELA_SIMUL,'prm_lctn' AS CAMPO, '${ref_date}' AS REF_DATE, COUNT(*) AS NUM_REG, SUM(IF(COALESCE(CAST(X.prm_lctn AS STRING),'')&lt;&gt;COALESCE(CAST(Y.prm_lctn_SIMUL AS STRING),'') OR (X.prm_lctn IS NULL AND Y.prm_lctn_SIMUL IS NOT NULL ) OR (X.prm_lctn IS NOT NULL AND Y.prm_lctn_SIMUL IS NULL),1,0)) AS NUM_REG_DIF,'1' AS ID_EXEC, CURRENT_TIMESTAMP() AS TIME_EXEC FROM (SELECT prtctn_id, prm_lctn FROM BU_LOANTAPE_WORK.LT004_PROTECTION WHERE ref_date='${ref_date}' AND nome_perimetro='Individual Local' AND segmento='ESTR' AND ambito='SRB_MBDT' AND entidade='00100')X INNER JOIN (SELECT prtctn_id AS prtctn_id_SIMUL, prm_lctn AS prm_lctn_SIMUL FROM BU_LOANTAPE_WORK.SIMUL_LT004 WHERE ref_date='${ref_date}' AND nome_perimetro='Individual Local' AND segmento='ESTR' AND ambito='PILAR3' AND entidade='00100')Y ON X.PRTCTN_ID=Y.PRTCTN_ID_SIMUL</v>
      </c>
    </row>
    <row r="591" spans="2:13">
      <c r="B591" s="34" t="s">
        <v>119</v>
      </c>
      <c r="C591" s="34" t="s">
        <v>5</v>
      </c>
      <c r="D591" s="34" t="str">
        <f>+UPPER('0. Instruções'!$D$35&amp;"."&amp;VLOOKUP(B591,'0. Instruções'!$C$27:$D$32,2,FALSE))</f>
        <v>BU_LOANTAPE_WORK.LT004_PROTECTION</v>
      </c>
      <c r="E591" s="34" t="str">
        <f>+UPPER('0. Instruções'!$D$36&amp;"."&amp;VLOOKUP(B591,'0. Instruções'!$C$27:$E$32,3,FALSE))</f>
        <v>BU_LOANTAPE_WORK.SIMUL_LT004</v>
      </c>
      <c r="F591" s="34" t="s">
        <v>1536</v>
      </c>
      <c r="G591" s="34"/>
      <c r="H591" s="34"/>
      <c r="I591" s="34" t="str">
        <f>"(SELECT "&amp;VLOOKUP(B591,'0. Instruções'!$C$27:$G$32,4,FALSE)&amp;", "&amp;F591&amp;" FROM "&amp;D591&amp;" WHERE "&amp;'0. Instruções'!$D$42&amp;")X"</f>
        <v>(SELECT prtctn_id, cre_incm_crrncy FROM BU_LOANTAPE_WORK.LT004_PROTECTION WHERE ref_date='${ref_date}' AND nome_perimetro='Individual Local' AND segmento='ESTR' AND ambito='SRB_MBDT' AND entidade='00100')X</v>
      </c>
      <c r="J591" s="34" t="str">
        <f>"(SELECT "&amp;VLOOKUP(B591,'0. Instruções'!$C$27:$G$32,4,FALSE)&amp;" AS "&amp;VLOOKUP(B591,'0. Instruções'!$C$27:$G$32,4,FALSE)&amp;"_SIMUL, "&amp;F591&amp;" AS "&amp;F591&amp;"_SIMUL FROM "&amp;E591&amp;" WHERE "&amp;'0. Instruções'!$D$43&amp;")Y"</f>
        <v>(SELECT prtctn_id AS prtctn_id_SIMUL, cre_incm_crrncy AS cre_incm_crrncy_SIMUL FROM BU_LOANTAPE_WORK.SIMUL_LT004 WHERE ref_date='${ref_date}' AND nome_perimetro='Individual Local' AND segmento='ESTR' AND ambito='PILAR3' AND entidade='00100')Y</v>
      </c>
      <c r="K591" s="35" t="str">
        <f>+UPPER("ON X."&amp;VLOOKUP(B591,'0. Instruções'!$C$27:$G$32,4,FALSE)&amp;"=Y."&amp;VLOOKUP(B591,'0. Instruções'!$C$27:$G$32,4,FALSE)&amp;"_SIMUL")</f>
        <v>ON X.PRTCTN_ID=Y.PRTCTN_ID_SIMUL</v>
      </c>
      <c r="L591" s="35" t="str">
        <f>+IF(C591="Coerência", +IF(LEFT(G591,5)="FLOAT","SELECT '"&amp;UPPER(B591)&amp;"' AS TABELA, '"&amp;UPPER(C591)&amp;"' AS TIPOLOGIA_TESTE,'"&amp;D591&amp;"' AS TABELA_LT,'"&amp;E591&amp;"' AS TABELA_SIMUL,'"&amp;F591&amp;"' AS CAMPO, "&amp;"'${ref_date}' AS REF_DATE, COUNT(*) AS NUM_REG, SUM(IF((ABS(COALESCE(CAST(X."&amp;F591&amp;" AS DECIMAL(18,6)),0)-COALESCE(CAST(Y."&amp;F591&amp;"_SIMUL AS DECIMAL(18,6)),0))&gt;0.000001) OR (X."&amp;F591&amp;" IS NULL AND Y."&amp;F591&amp;"_SIMUL IS NOT NULL ) OR (X."&amp;F591&amp;" IS NOT NULL AND Y."&amp;F591&amp;"_SIMUL IS NULL),1,0)) AS NUM_REG_DIF,'"&amp;MAX('ID1&amp;5'!K:K)+1&amp;"' AS ID_EXEC, CURRENT_TIMESTAMP() AS TIME_EXEC FROM "&amp;I591&amp;" INNER JOIN "&amp;J591&amp;" "&amp;K591,"SELECT '"&amp;UPPER(B591)&amp;"' AS TABELA, '"&amp;UPPER(C591)&amp;"' AS TIPOLOGIA_TESTE,'"&amp;D591&amp;"' AS TABELA_LT,'"&amp;E591&amp;"' AS TABELA_SIMUL,'"&amp;F591&amp;"' AS CAMPO, "&amp;"'${ref_date}' AS REF_DATE, COUNT(*) AS NUM_REG, SUM(IF(COALESCE(CAST(X."&amp;F591&amp;" AS STRING),'')&lt;&gt;COALESCE(CAST(Y."&amp;F591&amp;"_SIMUL AS STRING),'') OR (X."&amp;F591&amp;" IS NULL AND Y."&amp;F591&amp;"_SIMUL IS NOT NULL ) OR (X."&amp;F591&amp;" IS NOT NULL AND Y."&amp;F591&amp;"_SIMUL IS NULL),1,0)) AS NUM_REG_DIF,'"&amp;MAX('ID1&amp;5'!L:L)+1&amp;"' AS ID_EXEC, CURRENT_TIMESTAMP() AS TIME_EXEC FROM "&amp;I591&amp;" INNER JOIN "&amp;J591&amp;" "&amp;K591),
IF(C591="Validade",+IF(G591="Code List","SELECT '"&amp;UPPER(B591)&amp;"' AS TABELA, '"&amp;UPPER(C591)&amp;"' AS TIPOLOGIA_TESTE,'"&amp;D591&amp;"' AS TABELA_LT,'N/A' AS TABELA_SIMUL,'"&amp;F591&amp;"' AS CAMPO, "&amp;"'${ref_date}' AS REF_DATE, COUNT(*) AS NUM_REG, SUM(IF(TRIM(CAST(X."&amp;F591&amp;" AS STRING))='' OR TRIM(CAST(X."&amp;F591&amp;" AS STRING)) IS NULL OR CAST(X."&amp;F591&amp;" AS STRING) NOT "&amp;H591&amp;",1,0)) AS NUM_REG_DIF,'"&amp;MAX('ID1&amp;5'!K:K)+1&amp;"' AS ID_EXEC, CURRENT_TIMESTAMP() AS TIME_EXEC FROM "&amp;I591,"SELECT '"&amp;UPPER(B591)&amp;"' AS TABELA, '"&amp;UPPER(C591)&amp;"' AS TIPOLOGIA_TESTE,'"&amp;D591&amp;"' AS TABELA_LT,'N/A' AS TABELA_SIMUL,'"&amp;F591&amp;"' AS CAMPO, "&amp;"'${ref_date}' AS REF_DATE, COUNT(*) AS NUM_REG, SUM(IF(TRIM(CAST(X."&amp;F591&amp;" AS STRING))='' OR TRIM(CAST(X."&amp;F591&amp;" AS STRING)) IS NULL,1,0)) AS NUM_REG_DIF,'"&amp;MAX('ID1&amp;5'!K:K)+1&amp;"' AS ID_EXEC, CURRENT_TIMESTAMP() AS TIME_EXEC FROM "&amp;I591),
IF(C591="Caracteres Especiais",+"SELECT '"&amp;UPPER(B591)&amp;"' AS TABELA, '"&amp;UPPER(C591)&amp;"' AS TIPOLOGIA_TESTE,'"&amp;D591&amp;"' AS TABELA_LT,'N/A' AS TABELA_SIMUL,'"&amp;F591&amp;"' AS CAMPO, "&amp;"'${ref_date}' AS REF_DATE, COUNT(*) AS NUM_REG, SUM(IF(REGEXP_REPLACE(TRIM(CAST(X."&amp;F591&amp;" AS STRING)),'[^a-zA-Z0-9_\\s]','') &lt;&gt;TRIM(CAST(X."&amp;F591&amp;" AS STRING)),1,0)) AS NUM_REG_DIF,'"&amp;MAX('ID1&amp;5'!K:K)+1&amp;"' AS ID_EXEC, CURRENT_TIMESTAMP() AS TIME_EXEC FROM "&amp;I591,
IF(C591="Missings",+"SELECT '"&amp;UPPER(B591)&amp;"' AS TABELA, '"&amp;UPPER(C591)&amp;"' AS TIPOLOGIA_TESTE,'"&amp;D591&amp;"' AS TABELA_LT,'N/A' AS TABELA_SIMUL,'"&amp;F591&amp;"' AS CAMPO, "&amp;"'${ref_date}' AS REF_DATE, COUNT(*) AS NUM_REG, SUM(IF(TRIM(CAST(X."&amp;F591&amp;" AS STRING)) IN ('0000-00-00','0001-01-01','9999-12-31','MISS','00000','99999999999','99999999999.00','99999999999.000000'),1,0)) AS NUM_REG_DIF,'"&amp;MAX('ID1&amp;5'!K:K)+1&amp;"' AS ID_EXEC, CURRENT_TIMESTAMP() AS TIME_EXEC FROM "&amp;I591,
IF(C591="Not applicable",+"SELECT '"&amp;UPPER(B591)&amp;"' AS TABELA, '"&amp;UPPER(C591)&amp;"' AS TIPOLOGIA_TESTE,'"&amp;D591&amp;"' AS TABELA_LT,'N/A' AS TABELA_SIMUL,'"&amp;F591&amp;"' AS CAMPO, "&amp;"'${ref_date}' AS REF_DATE, COUNT(*) AS NUM_REG, SUM(IF(TRIM(CAST(X."&amp;F591&amp;" AS STRING)) IN ('N/A','11111111111','11111111111.00','11111111111.000000','1111-11-11'),1,0)) AS NUM_REG_DIF,'"&amp;MAX('ID1&amp;5'!K:K)+1&amp;"' AS ID_EXEC, CURRENT_TIMESTAMP() AS TIME_EXEC FROM "&amp;I591,
IF(C591="Valores extremos",+"SELECT '"&amp;UPPER(B591)&amp;"' AS TABELA, '"&amp;UPPER(C591)&amp;"' AS TIPOLOGIA_TESTE,'"&amp;D591&amp;"' AS TABELA_LT,'N/A' AS TABELA_SIMUL,'"&amp;F591&amp;"' AS CAMPO, "&amp;"'${ref_date}' AS REF_DATE, CAST(MIN("&amp;F591&amp;") AS STRING) AS VALOR_MIN, CAST(MAX("&amp;F591&amp;") AS STRING) AS VALOR_MAX,'"&amp;MAX('ID1&amp;5'!K:K)+1&amp;"' AS ID_EXEC, CURRENT_TIMESTAMP() AS TIME_EXEC FROM "&amp;MID(I591,1,LEN(I591)-2)&amp;" AND CAST("&amp;F591&amp;"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TABELA_SIMUL,'cre_incm_crrncy' AS CAMPO, '${ref_date}' AS REF_DATE, COUNT(*) AS NUM_REG, SUM(IF(COALESCE(CAST(X.cre_incm_crrncy AS STRING),'')&lt;&gt;COALESCE(CAST(Y.cre_incm_crrncy_SIMUL AS STRING),'') OR (X.cre_incm_crrncy IS NULL AND Y.cre_incm_crrncy_SIMUL IS NOT NULL ) OR (X.cre_incm_crrncy IS NOT NULL AND Y.cre_incm_crrncy_SIMUL IS NULL),1,0)) AS NUM_REG_DIF,'1' AS ID_EXEC, CURRENT_TIMESTAMP() AS TIME_EXEC FROM (SELECT prtctn_id, cre_incm_crrncy FROM BU_LOANTAPE_WORK.LT004_PROTECTION WHERE ref_date='${ref_date}' AND nome_perimetro='Individual Local' AND segmento='ESTR' AND ambito='SRB_MBDT' AND entidade='00100')X INNER JOIN (SELECT prtctn_id AS prtctn_id_SIMUL, cre_incm_crrncy AS cre_incm_crrncy_SIMUL FROM BU_LOANTAPE_WORK.SIMUL_LT004 WHERE ref_date='${ref_date}' AND nome_perimetro='Individual Local' AND segmento='ESTR' AND ambito='PILAR3' AND entidade='00100')Y ON X.PRTCTN_ID=Y.PRTCTN_ID_SIMUL</v>
      </c>
      <c r="M591" s="36" t="str">
        <f t="shared" si="14"/>
        <v>UNION ALL SELECT 'PROTECTION' AS TABELA, 'COERÊNCIA' AS TIPOLOGIA_TESTE,'BU_LOANTAPE_WORK.LT004_PROTECTION' AS TABELA_LT,'BU_LOANTAPE_WORK.SIMUL_LT004' AS TABELA_SIMUL,'cre_incm_crrncy' AS CAMPO, '${ref_date}' AS REF_DATE, COUNT(*) AS NUM_REG, SUM(IF(COALESCE(CAST(X.cre_incm_crrncy AS STRING),'')&lt;&gt;COALESCE(CAST(Y.cre_incm_crrncy_SIMUL AS STRING),'') OR (X.cre_incm_crrncy IS NULL AND Y.cre_incm_crrncy_SIMUL IS NOT NULL ) OR (X.cre_incm_crrncy IS NOT NULL AND Y.cre_incm_crrncy_SIMUL IS NULL),1,0)) AS NUM_REG_DIF,'1' AS ID_EXEC, CURRENT_TIMESTAMP() AS TIME_EXEC FROM (SELECT prtctn_id, cre_incm_crrncy FROM BU_LOANTAPE_WORK.LT004_PROTECTION WHERE ref_date='${ref_date}' AND nome_perimetro='Individual Local' AND segmento='ESTR' AND ambito='SRB_MBDT' AND entidade='00100')X INNER JOIN (SELECT prtctn_id AS prtctn_id_SIMUL, cre_incm_crrncy AS cre_incm_crrncy_SIMUL FROM BU_LOANTAPE_WORK.SIMUL_LT004 WHERE ref_date='${ref_date}' AND nome_perimetro='Individual Local' AND segmento='ESTR' AND ambito='PILAR3' AND entidade='00100')Y ON X.PRTCTN_ID=Y.PRTCTN_ID_SIMUL</v>
      </c>
    </row>
    <row r="592" spans="2:13">
      <c r="B592" s="34" t="s">
        <v>119</v>
      </c>
      <c r="C592" s="34" t="s">
        <v>5</v>
      </c>
      <c r="D592" s="34" t="str">
        <f>+UPPER('0. Instruções'!$D$35&amp;"."&amp;VLOOKUP(B592,'0. Instruções'!$C$27:$D$32,2,FALSE))</f>
        <v>BU_LOANTAPE_WORK.LT004_PROTECTION</v>
      </c>
      <c r="E592" s="34" t="str">
        <f>+UPPER('0. Instruções'!$D$36&amp;"."&amp;VLOOKUP(B592,'0. Instruções'!$C$27:$E$32,3,FALSE))</f>
        <v>BU_LOANTAPE_WORK.SIMUL_LT004</v>
      </c>
      <c r="F592" s="34" t="s">
        <v>1537</v>
      </c>
      <c r="G592" s="34"/>
      <c r="H592" s="34"/>
      <c r="I592" s="34" t="str">
        <f>"(SELECT "&amp;VLOOKUP(B592,'0. Instruções'!$C$27:$G$32,4,FALSE)&amp;", "&amp;F592&amp;" FROM "&amp;D592&amp;" WHERE "&amp;'0. Instruções'!$D$42&amp;")X"</f>
        <v>(SELECT prtctn_id, cre_yrly_expnss FROM BU_LOANTAPE_WORK.LT004_PROTECTION WHERE ref_date='${ref_date}' AND nome_perimetro='Individual Local' AND segmento='ESTR' AND ambito='SRB_MBDT' AND entidade='00100')X</v>
      </c>
      <c r="J592" s="34" t="str">
        <f>"(SELECT "&amp;VLOOKUP(B592,'0. Instruções'!$C$27:$G$32,4,FALSE)&amp;" AS "&amp;VLOOKUP(B592,'0. Instruções'!$C$27:$G$32,4,FALSE)&amp;"_SIMUL, "&amp;F592&amp;" AS "&amp;F592&amp;"_SIMUL FROM "&amp;E592&amp;" WHERE "&amp;'0. Instruções'!$D$43&amp;")Y"</f>
        <v>(SELECT prtctn_id AS prtctn_id_SIMUL, cre_yrly_expnss AS cre_yrly_expnss_SIMUL FROM BU_LOANTAPE_WORK.SIMUL_LT004 WHERE ref_date='${ref_date}' AND nome_perimetro='Individual Local' AND segmento='ESTR' AND ambito='PILAR3' AND entidade='00100')Y</v>
      </c>
      <c r="K592" s="35" t="str">
        <f>+UPPER("ON X."&amp;VLOOKUP(B592,'0. Instruções'!$C$27:$G$32,4,FALSE)&amp;"=Y."&amp;VLOOKUP(B592,'0. Instruções'!$C$27:$G$32,4,FALSE)&amp;"_SIMUL")</f>
        <v>ON X.PRTCTN_ID=Y.PRTCTN_ID_SIMUL</v>
      </c>
      <c r="L592" s="35" t="str">
        <f>+IF(C592="Coerência", +IF(LEFT(G592,5)="FLOAT","SELECT '"&amp;UPPER(B592)&amp;"' AS TABELA, '"&amp;UPPER(C592)&amp;"' AS TIPOLOGIA_TESTE,'"&amp;D592&amp;"' AS TABELA_LT,'"&amp;E592&amp;"' AS TABELA_SIMUL,'"&amp;F592&amp;"' AS CAMPO, "&amp;"'${ref_date}' AS REF_DATE, COUNT(*) AS NUM_REG, SUM(IF((ABS(COALESCE(CAST(X."&amp;F592&amp;" AS DECIMAL(18,6)),0)-COALESCE(CAST(Y."&amp;F592&amp;"_SIMUL AS DECIMAL(18,6)),0))&gt;0.000001) OR (X."&amp;F592&amp;" IS NULL AND Y."&amp;F592&amp;"_SIMUL IS NOT NULL ) OR (X."&amp;F592&amp;" IS NOT NULL AND Y."&amp;F592&amp;"_SIMUL IS NULL),1,0)) AS NUM_REG_DIF,'"&amp;MAX('ID1&amp;5'!K:K)+1&amp;"' AS ID_EXEC, CURRENT_TIMESTAMP() AS TIME_EXEC FROM "&amp;I592&amp;" INNER JOIN "&amp;J592&amp;" "&amp;K592,"SELECT '"&amp;UPPER(B592)&amp;"' AS TABELA, '"&amp;UPPER(C592)&amp;"' AS TIPOLOGIA_TESTE,'"&amp;D592&amp;"' AS TABELA_LT,'"&amp;E592&amp;"' AS TABELA_SIMUL,'"&amp;F592&amp;"' AS CAMPO, "&amp;"'${ref_date}' AS REF_DATE, COUNT(*) AS NUM_REG, SUM(IF(COALESCE(CAST(X."&amp;F592&amp;" AS STRING),'')&lt;&gt;COALESCE(CAST(Y."&amp;F592&amp;"_SIMUL AS STRING),'') OR (X."&amp;F592&amp;" IS NULL AND Y."&amp;F592&amp;"_SIMUL IS NOT NULL ) OR (X."&amp;F592&amp;" IS NOT NULL AND Y."&amp;F592&amp;"_SIMUL IS NULL),1,0)) AS NUM_REG_DIF,'"&amp;MAX('ID1&amp;5'!L:L)+1&amp;"' AS ID_EXEC, CURRENT_TIMESTAMP() AS TIME_EXEC FROM "&amp;I592&amp;" INNER JOIN "&amp;J592&amp;" "&amp;K592),
IF(C592="Validade",+IF(G592="Code List","SELECT '"&amp;UPPER(B592)&amp;"' AS TABELA, '"&amp;UPPER(C592)&amp;"' AS TIPOLOGIA_TESTE,'"&amp;D592&amp;"' AS TABELA_LT,'N/A' AS TABELA_SIMUL,'"&amp;F592&amp;"' AS CAMPO, "&amp;"'${ref_date}' AS REF_DATE, COUNT(*) AS NUM_REG, SUM(IF(TRIM(CAST(X."&amp;F592&amp;" AS STRING))='' OR TRIM(CAST(X."&amp;F592&amp;" AS STRING)) IS NULL OR CAST(X."&amp;F592&amp;" AS STRING) NOT "&amp;H592&amp;",1,0)) AS NUM_REG_DIF,'"&amp;MAX('ID1&amp;5'!K:K)+1&amp;"' AS ID_EXEC, CURRENT_TIMESTAMP() AS TIME_EXEC FROM "&amp;I592,"SELECT '"&amp;UPPER(B592)&amp;"' AS TABELA, '"&amp;UPPER(C592)&amp;"' AS TIPOLOGIA_TESTE,'"&amp;D592&amp;"' AS TABELA_LT,'N/A' AS TABELA_SIMUL,'"&amp;F592&amp;"' AS CAMPO, "&amp;"'${ref_date}' AS REF_DATE, COUNT(*) AS NUM_REG, SUM(IF(TRIM(CAST(X."&amp;F592&amp;" AS STRING))='' OR TRIM(CAST(X."&amp;F592&amp;" AS STRING)) IS NULL,1,0)) AS NUM_REG_DIF,'"&amp;MAX('ID1&amp;5'!K:K)+1&amp;"' AS ID_EXEC, CURRENT_TIMESTAMP() AS TIME_EXEC FROM "&amp;I592),
IF(C592="Caracteres Especiais",+"SELECT '"&amp;UPPER(B592)&amp;"' AS TABELA, '"&amp;UPPER(C592)&amp;"' AS TIPOLOGIA_TESTE,'"&amp;D592&amp;"' AS TABELA_LT,'N/A' AS TABELA_SIMUL,'"&amp;F592&amp;"' AS CAMPO, "&amp;"'${ref_date}' AS REF_DATE, COUNT(*) AS NUM_REG, SUM(IF(REGEXP_REPLACE(TRIM(CAST(X."&amp;F592&amp;" AS STRING)),'[^a-zA-Z0-9_\\s]','') &lt;&gt;TRIM(CAST(X."&amp;F592&amp;" AS STRING)),1,0)) AS NUM_REG_DIF,'"&amp;MAX('ID1&amp;5'!K:K)+1&amp;"' AS ID_EXEC, CURRENT_TIMESTAMP() AS TIME_EXEC FROM "&amp;I592,
IF(C592="Missings",+"SELECT '"&amp;UPPER(B592)&amp;"' AS TABELA, '"&amp;UPPER(C592)&amp;"' AS TIPOLOGIA_TESTE,'"&amp;D592&amp;"' AS TABELA_LT,'N/A' AS TABELA_SIMUL,'"&amp;F592&amp;"' AS CAMPO, "&amp;"'${ref_date}' AS REF_DATE, COUNT(*) AS NUM_REG, SUM(IF(TRIM(CAST(X."&amp;F592&amp;" AS STRING)) IN ('0000-00-00','0001-01-01','9999-12-31','MISS','00000','99999999999','99999999999.00','99999999999.000000'),1,0)) AS NUM_REG_DIF,'"&amp;MAX('ID1&amp;5'!K:K)+1&amp;"' AS ID_EXEC, CURRENT_TIMESTAMP() AS TIME_EXEC FROM "&amp;I592,
IF(C592="Not applicable",+"SELECT '"&amp;UPPER(B592)&amp;"' AS TABELA, '"&amp;UPPER(C592)&amp;"' AS TIPOLOGIA_TESTE,'"&amp;D592&amp;"' AS TABELA_LT,'N/A' AS TABELA_SIMUL,'"&amp;F592&amp;"' AS CAMPO, "&amp;"'${ref_date}' AS REF_DATE, COUNT(*) AS NUM_REG, SUM(IF(TRIM(CAST(X."&amp;F592&amp;" AS STRING)) IN ('N/A','11111111111','11111111111.00','11111111111.000000','1111-11-11'),1,0)) AS NUM_REG_DIF,'"&amp;MAX('ID1&amp;5'!K:K)+1&amp;"' AS ID_EXEC, CURRENT_TIMESTAMP() AS TIME_EXEC FROM "&amp;I592,
IF(C592="Valores extremos",+"SELECT '"&amp;UPPER(B592)&amp;"' AS TABELA, '"&amp;UPPER(C592)&amp;"' AS TIPOLOGIA_TESTE,'"&amp;D592&amp;"' AS TABELA_LT,'N/A' AS TABELA_SIMUL,'"&amp;F592&amp;"' AS CAMPO, "&amp;"'${ref_date}' AS REF_DATE, CAST(MIN("&amp;F592&amp;") AS STRING) AS VALOR_MIN, CAST(MAX("&amp;F592&amp;") AS STRING) AS VALOR_MAX,'"&amp;MAX('ID1&amp;5'!K:K)+1&amp;"' AS ID_EXEC, CURRENT_TIMESTAMP() AS TIME_EXEC FROM "&amp;MID(I592,1,LEN(I592)-2)&amp;" AND CAST("&amp;F592&amp;"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TABELA_SIMUL,'cre_yrly_expnss' AS CAMPO, '${ref_date}' AS REF_DATE, COUNT(*) AS NUM_REG, SUM(IF(COALESCE(CAST(X.cre_yrly_expnss AS STRING),'')&lt;&gt;COALESCE(CAST(Y.cre_yrly_expnss_SIMUL AS STRING),'') OR (X.cre_yrly_expnss IS NULL AND Y.cre_yrly_expnss_SIMUL IS NOT NULL ) OR (X.cre_yrly_expnss IS NOT NULL AND Y.cre_yrly_expnss_SIMUL IS NULL),1,0)) AS NUM_REG_DIF,'1' AS ID_EXEC, CURRENT_TIMESTAMP() AS TIME_EXEC FROM (SELECT prtctn_id, cre_yrly_expnss FROM BU_LOANTAPE_WORK.LT004_PROTECTION WHERE ref_date='${ref_date}' AND nome_perimetro='Individual Local' AND segmento='ESTR' AND ambito='SRB_MBDT' AND entidade='00100')X INNER JOIN (SELECT prtctn_id AS prtctn_id_SIMUL, cre_yrly_expnss AS cre_yrly_expnss_SIMUL FROM BU_LOANTAPE_WORK.SIMUL_LT004 WHERE ref_date='${ref_date}' AND nome_perimetro='Individual Local' AND segmento='ESTR' AND ambito='PILAR3' AND entidade='00100')Y ON X.PRTCTN_ID=Y.PRTCTN_ID_SIMUL</v>
      </c>
      <c r="M592" s="36" t="str">
        <f t="shared" si="14"/>
        <v>UNION ALL SELECT 'PROTECTION' AS TABELA, 'COERÊNCIA' AS TIPOLOGIA_TESTE,'BU_LOANTAPE_WORK.LT004_PROTECTION' AS TABELA_LT,'BU_LOANTAPE_WORK.SIMUL_LT004' AS TABELA_SIMUL,'cre_yrly_expnss' AS CAMPO, '${ref_date}' AS REF_DATE, COUNT(*) AS NUM_REG, SUM(IF(COALESCE(CAST(X.cre_yrly_expnss AS STRING),'')&lt;&gt;COALESCE(CAST(Y.cre_yrly_expnss_SIMUL AS STRING),'') OR (X.cre_yrly_expnss IS NULL AND Y.cre_yrly_expnss_SIMUL IS NOT NULL ) OR (X.cre_yrly_expnss IS NOT NULL AND Y.cre_yrly_expnss_SIMUL IS NULL),1,0)) AS NUM_REG_DIF,'1' AS ID_EXEC, CURRENT_TIMESTAMP() AS TIME_EXEC FROM (SELECT prtctn_id, cre_yrly_expnss FROM BU_LOANTAPE_WORK.LT004_PROTECTION WHERE ref_date='${ref_date}' AND nome_perimetro='Individual Local' AND segmento='ESTR' AND ambito='SRB_MBDT' AND entidade='00100')X INNER JOIN (SELECT prtctn_id AS prtctn_id_SIMUL, cre_yrly_expnss AS cre_yrly_expnss_SIMUL FROM BU_LOANTAPE_WORK.SIMUL_LT004 WHERE ref_date='${ref_date}' AND nome_perimetro='Individual Local' AND segmento='ESTR' AND ambito='PILAR3' AND entidade='00100')Y ON X.PRTCTN_ID=Y.PRTCTN_ID_SIMUL</v>
      </c>
    </row>
    <row r="593" spans="2:13">
      <c r="B593" s="34" t="s">
        <v>119</v>
      </c>
      <c r="C593" s="34" t="s">
        <v>5</v>
      </c>
      <c r="D593" s="34" t="str">
        <f>+UPPER('0. Instruções'!$D$35&amp;"."&amp;VLOOKUP(B593,'0. Instruções'!$C$27:$D$32,2,FALSE))</f>
        <v>BU_LOANTAPE_WORK.LT004_PROTECTION</v>
      </c>
      <c r="E593" s="34" t="str">
        <f>+UPPER('0. Instruções'!$D$36&amp;"."&amp;VLOOKUP(B593,'0. Instruções'!$C$27:$E$32,3,FALSE))</f>
        <v>BU_LOANTAPE_WORK.SIMUL_LT004</v>
      </c>
      <c r="F593" s="34" t="s">
        <v>1538</v>
      </c>
      <c r="G593" s="34"/>
      <c r="H593" s="34"/>
      <c r="I593" s="34" t="str">
        <f>"(SELECT "&amp;VLOOKUP(B593,'0. Instruções'!$C$27:$G$32,4,FALSE)&amp;", "&amp;F593&amp;" FROM "&amp;D593&amp;" WHERE "&amp;'0. Instruções'!$D$42&amp;")X"</f>
        <v>(SELECT prtctn_id, cre_yrly_incm FROM BU_LOANTAPE_WORK.LT004_PROTECTION WHERE ref_date='${ref_date}' AND nome_perimetro='Individual Local' AND segmento='ESTR' AND ambito='SRB_MBDT' AND entidade='00100')X</v>
      </c>
      <c r="J593" s="34" t="str">
        <f>"(SELECT "&amp;VLOOKUP(B593,'0. Instruções'!$C$27:$G$32,4,FALSE)&amp;" AS "&amp;VLOOKUP(B593,'0. Instruções'!$C$27:$G$32,4,FALSE)&amp;"_SIMUL, "&amp;F593&amp;" AS "&amp;F593&amp;"_SIMUL FROM "&amp;E593&amp;" WHERE "&amp;'0. Instruções'!$D$43&amp;")Y"</f>
        <v>(SELECT prtctn_id AS prtctn_id_SIMUL, cre_yrly_incm AS cre_yrly_incm_SIMUL FROM BU_LOANTAPE_WORK.SIMUL_LT004 WHERE ref_date='${ref_date}' AND nome_perimetro='Individual Local' AND segmento='ESTR' AND ambito='PILAR3' AND entidade='00100')Y</v>
      </c>
      <c r="K593" s="35" t="str">
        <f>+UPPER("ON X."&amp;VLOOKUP(B593,'0. Instruções'!$C$27:$G$32,4,FALSE)&amp;"=Y."&amp;VLOOKUP(B593,'0. Instruções'!$C$27:$G$32,4,FALSE)&amp;"_SIMUL")</f>
        <v>ON X.PRTCTN_ID=Y.PRTCTN_ID_SIMUL</v>
      </c>
      <c r="L593" s="35" t="str">
        <f>+IF(C593="Coerência", +IF(LEFT(G593,5)="FLOAT","SELECT '"&amp;UPPER(B593)&amp;"' AS TABELA, '"&amp;UPPER(C593)&amp;"' AS TIPOLOGIA_TESTE,'"&amp;D593&amp;"' AS TABELA_LT,'"&amp;E593&amp;"' AS TABELA_SIMUL,'"&amp;F593&amp;"' AS CAMPO, "&amp;"'${ref_date}' AS REF_DATE, COUNT(*) AS NUM_REG, SUM(IF((ABS(COALESCE(CAST(X."&amp;F593&amp;" AS DECIMAL(18,6)),0)-COALESCE(CAST(Y."&amp;F593&amp;"_SIMUL AS DECIMAL(18,6)),0))&gt;0.000001) OR (X."&amp;F593&amp;" IS NULL AND Y."&amp;F593&amp;"_SIMUL IS NOT NULL ) OR (X."&amp;F593&amp;" IS NOT NULL AND Y."&amp;F593&amp;"_SIMUL IS NULL),1,0)) AS NUM_REG_DIF,'"&amp;MAX('ID1&amp;5'!K:K)+1&amp;"' AS ID_EXEC, CURRENT_TIMESTAMP() AS TIME_EXEC FROM "&amp;I593&amp;" INNER JOIN "&amp;J593&amp;" "&amp;K593,"SELECT '"&amp;UPPER(B593)&amp;"' AS TABELA, '"&amp;UPPER(C593)&amp;"' AS TIPOLOGIA_TESTE,'"&amp;D593&amp;"' AS TABELA_LT,'"&amp;E593&amp;"' AS TABELA_SIMUL,'"&amp;F593&amp;"' AS CAMPO, "&amp;"'${ref_date}' AS REF_DATE, COUNT(*) AS NUM_REG, SUM(IF(COALESCE(CAST(X."&amp;F593&amp;" AS STRING),'')&lt;&gt;COALESCE(CAST(Y."&amp;F593&amp;"_SIMUL AS STRING),'') OR (X."&amp;F593&amp;" IS NULL AND Y."&amp;F593&amp;"_SIMUL IS NOT NULL ) OR (X."&amp;F593&amp;" IS NOT NULL AND Y."&amp;F593&amp;"_SIMUL IS NULL),1,0)) AS NUM_REG_DIF,'"&amp;MAX('ID1&amp;5'!L:L)+1&amp;"' AS ID_EXEC, CURRENT_TIMESTAMP() AS TIME_EXEC FROM "&amp;I593&amp;" INNER JOIN "&amp;J593&amp;" "&amp;K593),
IF(C593="Validade",+IF(G593="Code List","SELECT '"&amp;UPPER(B593)&amp;"' AS TABELA, '"&amp;UPPER(C593)&amp;"' AS TIPOLOGIA_TESTE,'"&amp;D593&amp;"' AS TABELA_LT,'N/A' AS TABELA_SIMUL,'"&amp;F593&amp;"' AS CAMPO, "&amp;"'${ref_date}' AS REF_DATE, COUNT(*) AS NUM_REG, SUM(IF(TRIM(CAST(X."&amp;F593&amp;" AS STRING))='' OR TRIM(CAST(X."&amp;F593&amp;" AS STRING)) IS NULL OR CAST(X."&amp;F593&amp;" AS STRING) NOT "&amp;H593&amp;",1,0)) AS NUM_REG_DIF,'"&amp;MAX('ID1&amp;5'!K:K)+1&amp;"' AS ID_EXEC, CURRENT_TIMESTAMP() AS TIME_EXEC FROM "&amp;I593,"SELECT '"&amp;UPPER(B593)&amp;"' AS TABELA, '"&amp;UPPER(C593)&amp;"' AS TIPOLOGIA_TESTE,'"&amp;D593&amp;"' AS TABELA_LT,'N/A' AS TABELA_SIMUL,'"&amp;F593&amp;"' AS CAMPO, "&amp;"'${ref_date}' AS REF_DATE, COUNT(*) AS NUM_REG, SUM(IF(TRIM(CAST(X."&amp;F593&amp;" AS STRING))='' OR TRIM(CAST(X."&amp;F593&amp;" AS STRING)) IS NULL,1,0)) AS NUM_REG_DIF,'"&amp;MAX('ID1&amp;5'!K:K)+1&amp;"' AS ID_EXEC, CURRENT_TIMESTAMP() AS TIME_EXEC FROM "&amp;I593),
IF(C593="Caracteres Especiais",+"SELECT '"&amp;UPPER(B593)&amp;"' AS TABELA, '"&amp;UPPER(C593)&amp;"' AS TIPOLOGIA_TESTE,'"&amp;D593&amp;"' AS TABELA_LT,'N/A' AS TABELA_SIMUL,'"&amp;F593&amp;"' AS CAMPO, "&amp;"'${ref_date}' AS REF_DATE, COUNT(*) AS NUM_REG, SUM(IF(REGEXP_REPLACE(TRIM(CAST(X."&amp;F593&amp;" AS STRING)),'[^a-zA-Z0-9_\\s]','') &lt;&gt;TRIM(CAST(X."&amp;F593&amp;" AS STRING)),1,0)) AS NUM_REG_DIF,'"&amp;MAX('ID1&amp;5'!K:K)+1&amp;"' AS ID_EXEC, CURRENT_TIMESTAMP() AS TIME_EXEC FROM "&amp;I593,
IF(C593="Missings",+"SELECT '"&amp;UPPER(B593)&amp;"' AS TABELA, '"&amp;UPPER(C593)&amp;"' AS TIPOLOGIA_TESTE,'"&amp;D593&amp;"' AS TABELA_LT,'N/A' AS TABELA_SIMUL,'"&amp;F593&amp;"' AS CAMPO, "&amp;"'${ref_date}' AS REF_DATE, COUNT(*) AS NUM_REG, SUM(IF(TRIM(CAST(X."&amp;F593&amp;" AS STRING)) IN ('0000-00-00','0001-01-01','9999-12-31','MISS','00000','99999999999','99999999999.00','99999999999.000000'),1,0)) AS NUM_REG_DIF,'"&amp;MAX('ID1&amp;5'!K:K)+1&amp;"' AS ID_EXEC, CURRENT_TIMESTAMP() AS TIME_EXEC FROM "&amp;I593,
IF(C593="Not applicable",+"SELECT '"&amp;UPPER(B593)&amp;"' AS TABELA, '"&amp;UPPER(C593)&amp;"' AS TIPOLOGIA_TESTE,'"&amp;D593&amp;"' AS TABELA_LT,'N/A' AS TABELA_SIMUL,'"&amp;F593&amp;"' AS CAMPO, "&amp;"'${ref_date}' AS REF_DATE, COUNT(*) AS NUM_REG, SUM(IF(TRIM(CAST(X."&amp;F593&amp;" AS STRING)) IN ('N/A','11111111111','11111111111.00','11111111111.000000','1111-11-11'),1,0)) AS NUM_REG_DIF,'"&amp;MAX('ID1&amp;5'!K:K)+1&amp;"' AS ID_EXEC, CURRENT_TIMESTAMP() AS TIME_EXEC FROM "&amp;I593,
IF(C593="Valores extremos",+"SELECT '"&amp;UPPER(B593)&amp;"' AS TABELA, '"&amp;UPPER(C593)&amp;"' AS TIPOLOGIA_TESTE,'"&amp;D593&amp;"' AS TABELA_LT,'N/A' AS TABELA_SIMUL,'"&amp;F593&amp;"' AS CAMPO, "&amp;"'${ref_date}' AS REF_DATE, CAST(MIN("&amp;F593&amp;") AS STRING) AS VALOR_MIN, CAST(MAX("&amp;F593&amp;") AS STRING) AS VALOR_MAX,'"&amp;MAX('ID1&amp;5'!K:K)+1&amp;"' AS ID_EXEC, CURRENT_TIMESTAMP() AS TIME_EXEC FROM "&amp;MID(I593,1,LEN(I593)-2)&amp;" AND CAST("&amp;F593&amp;"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TABELA_SIMUL,'cre_yrly_incm' AS CAMPO, '${ref_date}' AS REF_DATE, COUNT(*) AS NUM_REG, SUM(IF(COALESCE(CAST(X.cre_yrly_incm AS STRING),'')&lt;&gt;COALESCE(CAST(Y.cre_yrly_incm_SIMUL AS STRING),'') OR (X.cre_yrly_incm IS NULL AND Y.cre_yrly_incm_SIMUL IS NOT NULL ) OR (X.cre_yrly_incm IS NOT NULL AND Y.cre_yrly_incm_SIMUL IS NULL),1,0)) AS NUM_REG_DIF,'1' AS ID_EXEC, CURRENT_TIMESTAMP() AS TIME_EXEC FROM (SELECT prtctn_id, cre_yrly_incm FROM BU_LOANTAPE_WORK.LT004_PROTECTION WHERE ref_date='${ref_date}' AND nome_perimetro='Individual Local' AND segmento='ESTR' AND ambito='SRB_MBDT' AND entidade='00100')X INNER JOIN (SELECT prtctn_id AS prtctn_id_SIMUL, cre_yrly_incm AS cre_yrly_incm_SIMUL FROM BU_LOANTAPE_WORK.SIMUL_LT004 WHERE ref_date='${ref_date}' AND nome_perimetro='Individual Local' AND segmento='ESTR' AND ambito='PILAR3' AND entidade='00100')Y ON X.PRTCTN_ID=Y.PRTCTN_ID_SIMUL</v>
      </c>
      <c r="M593" s="36" t="str">
        <f t="shared" si="14"/>
        <v>UNION ALL SELECT 'PROTECTION' AS TABELA, 'COERÊNCIA' AS TIPOLOGIA_TESTE,'BU_LOANTAPE_WORK.LT004_PROTECTION' AS TABELA_LT,'BU_LOANTAPE_WORK.SIMUL_LT004' AS TABELA_SIMUL,'cre_yrly_incm' AS CAMPO, '${ref_date}' AS REF_DATE, COUNT(*) AS NUM_REG, SUM(IF(COALESCE(CAST(X.cre_yrly_incm AS STRING),'')&lt;&gt;COALESCE(CAST(Y.cre_yrly_incm_SIMUL AS STRING),'') OR (X.cre_yrly_incm IS NULL AND Y.cre_yrly_incm_SIMUL IS NOT NULL ) OR (X.cre_yrly_incm IS NOT NULL AND Y.cre_yrly_incm_SIMUL IS NULL),1,0)) AS NUM_REG_DIF,'1' AS ID_EXEC, CURRENT_TIMESTAMP() AS TIME_EXEC FROM (SELECT prtctn_id, cre_yrly_incm FROM BU_LOANTAPE_WORK.LT004_PROTECTION WHERE ref_date='${ref_date}' AND nome_perimetro='Individual Local' AND segmento='ESTR' AND ambito='SRB_MBDT' AND entidade='00100')X INNER JOIN (SELECT prtctn_id AS prtctn_id_SIMUL, cre_yrly_incm AS cre_yrly_incm_SIMUL FROM BU_LOANTAPE_WORK.SIMUL_LT004 WHERE ref_date='${ref_date}' AND nome_perimetro='Individual Local' AND segmento='ESTR' AND ambito='PILAR3' AND entidade='00100')Y ON X.PRTCTN_ID=Y.PRTCTN_ID_SIMUL</v>
      </c>
    </row>
    <row r="594" spans="2:13">
      <c r="B594" s="34" t="s">
        <v>119</v>
      </c>
      <c r="C594" s="34" t="s">
        <v>5</v>
      </c>
      <c r="D594" s="34" t="str">
        <f>+UPPER('0. Instruções'!$D$35&amp;"."&amp;VLOOKUP(B594,'0. Instruções'!$C$27:$D$32,2,FALSE))</f>
        <v>BU_LOANTAPE_WORK.LT004_PROTECTION</v>
      </c>
      <c r="E594" s="34" t="str">
        <f>+UPPER('0. Instruções'!$D$36&amp;"."&amp;VLOOKUP(B594,'0. Instruções'!$C$27:$E$32,3,FALSE))</f>
        <v>BU_LOANTAPE_WORK.SIMUL_LT004</v>
      </c>
      <c r="F594" s="34" t="s">
        <v>1539</v>
      </c>
      <c r="G594" s="34"/>
      <c r="H594" s="34"/>
      <c r="I594" s="34" t="str">
        <f>"(SELECT "&amp;VLOOKUP(B594,'0. Instruções'!$C$27:$G$32,4,FALSE)&amp;", "&amp;F594&amp;" FROM "&amp;D594&amp;" WHERE "&amp;'0. Instruções'!$D$42&amp;")X"</f>
        <v>(SELECT prtctn_id, prtctn_typ_pblc_grnt_schm_c19 FROM BU_LOANTAPE_WORK.LT004_PROTECTION WHERE ref_date='${ref_date}' AND nome_perimetro='Individual Local' AND segmento='ESTR' AND ambito='SRB_MBDT' AND entidade='00100')X</v>
      </c>
      <c r="J594" s="34" t="str">
        <f>"(SELECT "&amp;VLOOKUP(B594,'0. Instruções'!$C$27:$G$32,4,FALSE)&amp;" AS "&amp;VLOOKUP(B594,'0. Instruções'!$C$27:$G$32,4,FALSE)&amp;"_SIMUL, "&amp;F594&amp;" AS "&amp;F594&amp;"_SIMUL FROM "&amp;E594&amp;" WHERE "&amp;'0. Instruções'!$D$43&amp;")Y"</f>
        <v>(SELECT prtctn_id AS prtctn_id_SIMUL, prtctn_typ_pblc_grnt_schm_c19 AS prtctn_typ_pblc_grnt_schm_c19_SIMUL FROM BU_LOANTAPE_WORK.SIMUL_LT004 WHERE ref_date='${ref_date}' AND nome_perimetro='Individual Local' AND segmento='ESTR' AND ambito='PILAR3' AND entidade='00100')Y</v>
      </c>
      <c r="K594" s="35" t="str">
        <f>+UPPER("ON X."&amp;VLOOKUP(B594,'0. Instruções'!$C$27:$G$32,4,FALSE)&amp;"=Y."&amp;VLOOKUP(B594,'0. Instruções'!$C$27:$G$32,4,FALSE)&amp;"_SIMUL")</f>
        <v>ON X.PRTCTN_ID=Y.PRTCTN_ID_SIMUL</v>
      </c>
      <c r="L594" s="35" t="str">
        <f>+IF(C594="Coerência", +IF(LEFT(G594,5)="FLOAT","SELECT '"&amp;UPPER(B594)&amp;"' AS TABELA, '"&amp;UPPER(C594)&amp;"' AS TIPOLOGIA_TESTE,'"&amp;D594&amp;"' AS TABELA_LT,'"&amp;E594&amp;"' AS TABELA_SIMUL,'"&amp;F594&amp;"' AS CAMPO, "&amp;"'${ref_date}' AS REF_DATE, COUNT(*) AS NUM_REG, SUM(IF((ABS(COALESCE(CAST(X."&amp;F594&amp;" AS DECIMAL(18,6)),0)-COALESCE(CAST(Y."&amp;F594&amp;"_SIMUL AS DECIMAL(18,6)),0))&gt;0.000001) OR (X."&amp;F594&amp;" IS NULL AND Y."&amp;F594&amp;"_SIMUL IS NOT NULL ) OR (X."&amp;F594&amp;" IS NOT NULL AND Y."&amp;F594&amp;"_SIMUL IS NULL),1,0)) AS NUM_REG_DIF,'"&amp;MAX('ID1&amp;5'!K:K)+1&amp;"' AS ID_EXEC, CURRENT_TIMESTAMP() AS TIME_EXEC FROM "&amp;I594&amp;" INNER JOIN "&amp;J594&amp;" "&amp;K594,"SELECT '"&amp;UPPER(B594)&amp;"' AS TABELA, '"&amp;UPPER(C594)&amp;"' AS TIPOLOGIA_TESTE,'"&amp;D594&amp;"' AS TABELA_LT,'"&amp;E594&amp;"' AS TABELA_SIMUL,'"&amp;F594&amp;"' AS CAMPO, "&amp;"'${ref_date}' AS REF_DATE, COUNT(*) AS NUM_REG, SUM(IF(COALESCE(CAST(X."&amp;F594&amp;" AS STRING),'')&lt;&gt;COALESCE(CAST(Y."&amp;F594&amp;"_SIMUL AS STRING),'') OR (X."&amp;F594&amp;" IS NULL AND Y."&amp;F594&amp;"_SIMUL IS NOT NULL ) OR (X."&amp;F594&amp;" IS NOT NULL AND Y."&amp;F594&amp;"_SIMUL IS NULL),1,0)) AS NUM_REG_DIF,'"&amp;MAX('ID1&amp;5'!L:L)+1&amp;"' AS ID_EXEC, CURRENT_TIMESTAMP() AS TIME_EXEC FROM "&amp;I594&amp;" INNER JOIN "&amp;J594&amp;" "&amp;K594),
IF(C594="Validade",+IF(G594="Code List","SELECT '"&amp;UPPER(B594)&amp;"' AS TABELA, '"&amp;UPPER(C594)&amp;"' AS TIPOLOGIA_TESTE,'"&amp;D594&amp;"' AS TABELA_LT,'N/A' AS TABELA_SIMUL,'"&amp;F594&amp;"' AS CAMPO, "&amp;"'${ref_date}' AS REF_DATE, COUNT(*) AS NUM_REG, SUM(IF(TRIM(CAST(X."&amp;F594&amp;" AS STRING))='' OR TRIM(CAST(X."&amp;F594&amp;" AS STRING)) IS NULL OR CAST(X."&amp;F594&amp;" AS STRING) NOT "&amp;H594&amp;",1,0)) AS NUM_REG_DIF,'"&amp;MAX('ID1&amp;5'!K:K)+1&amp;"' AS ID_EXEC, CURRENT_TIMESTAMP() AS TIME_EXEC FROM "&amp;I594,"SELECT '"&amp;UPPER(B594)&amp;"' AS TABELA, '"&amp;UPPER(C594)&amp;"' AS TIPOLOGIA_TESTE,'"&amp;D594&amp;"' AS TABELA_LT,'N/A' AS TABELA_SIMUL,'"&amp;F594&amp;"' AS CAMPO, "&amp;"'${ref_date}' AS REF_DATE, COUNT(*) AS NUM_REG, SUM(IF(TRIM(CAST(X."&amp;F594&amp;" AS STRING))='' OR TRIM(CAST(X."&amp;F594&amp;" AS STRING)) IS NULL,1,0)) AS NUM_REG_DIF,'"&amp;MAX('ID1&amp;5'!K:K)+1&amp;"' AS ID_EXEC, CURRENT_TIMESTAMP() AS TIME_EXEC FROM "&amp;I594),
IF(C594="Caracteres Especiais",+"SELECT '"&amp;UPPER(B594)&amp;"' AS TABELA, '"&amp;UPPER(C594)&amp;"' AS TIPOLOGIA_TESTE,'"&amp;D594&amp;"' AS TABELA_LT,'N/A' AS TABELA_SIMUL,'"&amp;F594&amp;"' AS CAMPO, "&amp;"'${ref_date}' AS REF_DATE, COUNT(*) AS NUM_REG, SUM(IF(REGEXP_REPLACE(TRIM(CAST(X."&amp;F594&amp;" AS STRING)),'[^a-zA-Z0-9_\\s]','') &lt;&gt;TRIM(CAST(X."&amp;F594&amp;" AS STRING)),1,0)) AS NUM_REG_DIF,'"&amp;MAX('ID1&amp;5'!K:K)+1&amp;"' AS ID_EXEC, CURRENT_TIMESTAMP() AS TIME_EXEC FROM "&amp;I594,
IF(C594="Missings",+"SELECT '"&amp;UPPER(B594)&amp;"' AS TABELA, '"&amp;UPPER(C594)&amp;"' AS TIPOLOGIA_TESTE,'"&amp;D594&amp;"' AS TABELA_LT,'N/A' AS TABELA_SIMUL,'"&amp;F594&amp;"' AS CAMPO, "&amp;"'${ref_date}' AS REF_DATE, COUNT(*) AS NUM_REG, SUM(IF(TRIM(CAST(X."&amp;F594&amp;" AS STRING)) IN ('0000-00-00','0001-01-01','9999-12-31','MISS','00000','99999999999','99999999999.00','99999999999.000000'),1,0)) AS NUM_REG_DIF,'"&amp;MAX('ID1&amp;5'!K:K)+1&amp;"' AS ID_EXEC, CURRENT_TIMESTAMP() AS TIME_EXEC FROM "&amp;I594,
IF(C594="Not applicable",+"SELECT '"&amp;UPPER(B594)&amp;"' AS TABELA, '"&amp;UPPER(C594)&amp;"' AS TIPOLOGIA_TESTE,'"&amp;D594&amp;"' AS TABELA_LT,'N/A' AS TABELA_SIMUL,'"&amp;F594&amp;"' AS CAMPO, "&amp;"'${ref_date}' AS REF_DATE, COUNT(*) AS NUM_REG, SUM(IF(TRIM(CAST(X."&amp;F594&amp;" AS STRING)) IN ('N/A','11111111111','11111111111.00','11111111111.000000','1111-11-11'),1,0)) AS NUM_REG_DIF,'"&amp;MAX('ID1&amp;5'!K:K)+1&amp;"' AS ID_EXEC, CURRENT_TIMESTAMP() AS TIME_EXEC FROM "&amp;I594,
IF(C594="Valores extremos",+"SELECT '"&amp;UPPER(B594)&amp;"' AS TABELA, '"&amp;UPPER(C594)&amp;"' AS TIPOLOGIA_TESTE,'"&amp;D594&amp;"' AS TABELA_LT,'N/A' AS TABELA_SIMUL,'"&amp;F594&amp;"' AS CAMPO, "&amp;"'${ref_date}' AS REF_DATE, CAST(MIN("&amp;F594&amp;") AS STRING) AS VALOR_MIN, CAST(MAX("&amp;F594&amp;") AS STRING) AS VALOR_MAX,'"&amp;MAX('ID1&amp;5'!K:K)+1&amp;"' AS ID_EXEC, CURRENT_TIMESTAMP() AS TIME_EXEC FROM "&amp;MID(I594,1,LEN(I594)-2)&amp;" AND CAST("&amp;F594&amp;"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TABELA_SIMUL,'prtctn_typ_pblc_grnt_schm_c19' AS CAMPO, '${ref_date}' AS REF_DATE, COUNT(*) AS NUM_REG, SUM(IF(COALESCE(CAST(X.prtctn_typ_pblc_grnt_schm_c19 AS STRING),'')&lt;&gt;COALESCE(CAST(Y.prtctn_typ_pblc_grnt_schm_c19_SIMUL AS STRING),'') OR (X.prtctn_typ_pblc_grnt_schm_c19 IS NULL AND Y.prtctn_typ_pblc_grnt_schm_c19_SIMUL IS NOT NULL ) OR (X.prtctn_typ_pblc_grnt_schm_c19 IS NOT NULL AND Y.prtctn_typ_pblc_grnt_schm_c19_SIMUL IS NULL),1,0)) AS NUM_REG_DIF,'1' AS ID_EXEC, CURRENT_TIMESTAMP() AS TIME_EXEC FROM (SELECT prtctn_id, prtctn_typ_pblc_grnt_schm_c19 FROM BU_LOANTAPE_WORK.LT004_PROTECTION WHERE ref_date='${ref_date}' AND nome_perimetro='Individual Local' AND segmento='ESTR' AND ambito='SRB_MBDT' AND entidade='00100')X INNER JOIN (SELECT prtctn_id AS prtctn_id_SIMUL, prtctn_typ_pblc_grnt_schm_c19 AS prtctn_typ_pblc_grnt_schm_c19_SIMUL FROM BU_LOANTAPE_WORK.SIMUL_LT004 WHERE ref_date='${ref_date}' AND nome_perimetro='Individual Local' AND segmento='ESTR' AND ambito='PILAR3' AND entidade='00100')Y ON X.PRTCTN_ID=Y.PRTCTN_ID_SIMUL</v>
      </c>
      <c r="M594" s="36" t="str">
        <f t="shared" si="14"/>
        <v>UNION ALL SELECT 'PROTECTION' AS TABELA, 'COERÊNCIA' AS TIPOLOGIA_TESTE,'BU_LOANTAPE_WORK.LT004_PROTECTION' AS TABELA_LT,'BU_LOANTAPE_WORK.SIMUL_LT004' AS TABELA_SIMUL,'prtctn_typ_pblc_grnt_schm_c19' AS CAMPO, '${ref_date}' AS REF_DATE, COUNT(*) AS NUM_REG, SUM(IF(COALESCE(CAST(X.prtctn_typ_pblc_grnt_schm_c19 AS STRING),'')&lt;&gt;COALESCE(CAST(Y.prtctn_typ_pblc_grnt_schm_c19_SIMUL AS STRING),'') OR (X.prtctn_typ_pblc_grnt_schm_c19 IS NULL AND Y.prtctn_typ_pblc_grnt_schm_c19_SIMUL IS NOT NULL ) OR (X.prtctn_typ_pblc_grnt_schm_c19 IS NOT NULL AND Y.prtctn_typ_pblc_grnt_schm_c19_SIMUL IS NULL),1,0)) AS NUM_REG_DIF,'1' AS ID_EXEC, CURRENT_TIMESTAMP() AS TIME_EXEC FROM (SELECT prtctn_id, prtctn_typ_pblc_grnt_schm_c19 FROM BU_LOANTAPE_WORK.LT004_PROTECTION WHERE ref_date='${ref_date}' AND nome_perimetro='Individual Local' AND segmento='ESTR' AND ambito='SRB_MBDT' AND entidade='00100')X INNER JOIN (SELECT prtctn_id AS prtctn_id_SIMUL, prtctn_typ_pblc_grnt_schm_c19 AS prtctn_typ_pblc_grnt_schm_c19_SIMUL FROM BU_LOANTAPE_WORK.SIMUL_LT004 WHERE ref_date='${ref_date}' AND nome_perimetro='Individual Local' AND segmento='ESTR' AND ambito='PILAR3' AND entidade='00100')Y ON X.PRTCTN_ID=Y.PRTCTN_ID_SIMUL</v>
      </c>
    </row>
    <row r="595" spans="2:13">
      <c r="B595" s="34" t="s">
        <v>119</v>
      </c>
      <c r="C595" s="34" t="s">
        <v>5</v>
      </c>
      <c r="D595" s="34" t="str">
        <f>+UPPER('0. Instruções'!$D$35&amp;"."&amp;VLOOKUP(B595,'0. Instruções'!$C$27:$D$32,2,FALSE))</f>
        <v>BU_LOANTAPE_WORK.LT004_PROTECTION</v>
      </c>
      <c r="E595" s="34" t="str">
        <f>+UPPER('0. Instruções'!$D$36&amp;"."&amp;VLOOKUP(B595,'0. Instruções'!$C$27:$E$32,3,FALSE))</f>
        <v>BU_LOANTAPE_WORK.SIMUL_LT004</v>
      </c>
      <c r="F595" s="34" t="s">
        <v>1245</v>
      </c>
      <c r="G595" s="34"/>
      <c r="H595" s="34"/>
      <c r="I595" s="34" t="str">
        <f>"(SELECT "&amp;VLOOKUP(B595,'0. Instruções'!$C$27:$G$32,4,FALSE)&amp;", "&amp;F595&amp;" FROM "&amp;D595&amp;" WHERE "&amp;'0. Instruções'!$D$42&amp;")X"</f>
        <v>(SELECT prtctn_id, add_fld01 FROM BU_LOANTAPE_WORK.LT004_PROTECTION WHERE ref_date='${ref_date}' AND nome_perimetro='Individual Local' AND segmento='ESTR' AND ambito='SRB_MBDT' AND entidade='00100')X</v>
      </c>
      <c r="J595" s="34" t="str">
        <f>"(SELECT "&amp;VLOOKUP(B595,'0. Instruções'!$C$27:$G$32,4,FALSE)&amp;" AS "&amp;VLOOKUP(B595,'0. Instruções'!$C$27:$G$32,4,FALSE)&amp;"_SIMUL, "&amp;F595&amp;" AS "&amp;F595&amp;"_SIMUL FROM "&amp;E595&amp;" WHERE "&amp;'0. Instruções'!$D$43&amp;")Y"</f>
        <v>(SELECT prtctn_id AS prtctn_id_SIMUL, add_fld01 AS add_fld01_SIMUL FROM BU_LOANTAPE_WORK.SIMUL_LT004 WHERE ref_date='${ref_date}' AND nome_perimetro='Individual Local' AND segmento='ESTR' AND ambito='PILAR3' AND entidade='00100')Y</v>
      </c>
      <c r="K595" s="35" t="str">
        <f>+UPPER("ON X."&amp;VLOOKUP(B595,'0. Instruções'!$C$27:$G$32,4,FALSE)&amp;"=Y."&amp;VLOOKUP(B595,'0. Instruções'!$C$27:$G$32,4,FALSE)&amp;"_SIMUL")</f>
        <v>ON X.PRTCTN_ID=Y.PRTCTN_ID_SIMUL</v>
      </c>
      <c r="L595" s="35" t="str">
        <f>+IF(C595="Coerência", +IF(LEFT(G595,5)="FLOAT","SELECT '"&amp;UPPER(B595)&amp;"' AS TABELA, '"&amp;UPPER(C595)&amp;"' AS TIPOLOGIA_TESTE,'"&amp;D595&amp;"' AS TABELA_LT,'"&amp;E595&amp;"' AS TABELA_SIMUL,'"&amp;F595&amp;"' AS CAMPO, "&amp;"'${ref_date}' AS REF_DATE, COUNT(*) AS NUM_REG, SUM(IF((ABS(COALESCE(CAST(X."&amp;F595&amp;" AS DECIMAL(18,6)),0)-COALESCE(CAST(Y."&amp;F595&amp;"_SIMUL AS DECIMAL(18,6)),0))&gt;0.000001) OR (X."&amp;F595&amp;" IS NULL AND Y."&amp;F595&amp;"_SIMUL IS NOT NULL ) OR (X."&amp;F595&amp;" IS NOT NULL AND Y."&amp;F595&amp;"_SIMUL IS NULL),1,0)) AS NUM_REG_DIF,'"&amp;MAX('ID1&amp;5'!K:K)+1&amp;"' AS ID_EXEC, CURRENT_TIMESTAMP() AS TIME_EXEC FROM "&amp;I595&amp;" INNER JOIN "&amp;J595&amp;" "&amp;K595,"SELECT '"&amp;UPPER(B595)&amp;"' AS TABELA, '"&amp;UPPER(C595)&amp;"' AS TIPOLOGIA_TESTE,'"&amp;D595&amp;"' AS TABELA_LT,'"&amp;E595&amp;"' AS TABELA_SIMUL,'"&amp;F595&amp;"' AS CAMPO, "&amp;"'${ref_date}' AS REF_DATE, COUNT(*) AS NUM_REG, SUM(IF(COALESCE(CAST(X."&amp;F595&amp;" AS STRING),'')&lt;&gt;COALESCE(CAST(Y."&amp;F595&amp;"_SIMUL AS STRING),'') OR (X."&amp;F595&amp;" IS NULL AND Y."&amp;F595&amp;"_SIMUL IS NOT NULL ) OR (X."&amp;F595&amp;" IS NOT NULL AND Y."&amp;F595&amp;"_SIMUL IS NULL),1,0)) AS NUM_REG_DIF,'"&amp;MAX('ID1&amp;5'!L:L)+1&amp;"' AS ID_EXEC, CURRENT_TIMESTAMP() AS TIME_EXEC FROM "&amp;I595&amp;" INNER JOIN "&amp;J595&amp;" "&amp;K595),
IF(C595="Validade",+IF(G595="Code List","SELECT '"&amp;UPPER(B595)&amp;"' AS TABELA, '"&amp;UPPER(C595)&amp;"' AS TIPOLOGIA_TESTE,'"&amp;D595&amp;"' AS TABELA_LT,'N/A' AS TABELA_SIMUL,'"&amp;F595&amp;"' AS CAMPO, "&amp;"'${ref_date}' AS REF_DATE, COUNT(*) AS NUM_REG, SUM(IF(TRIM(CAST(X."&amp;F595&amp;" AS STRING))='' OR TRIM(CAST(X."&amp;F595&amp;" AS STRING)) IS NULL OR CAST(X."&amp;F595&amp;" AS STRING) NOT "&amp;H595&amp;",1,0)) AS NUM_REG_DIF,'"&amp;MAX('ID1&amp;5'!K:K)+1&amp;"' AS ID_EXEC, CURRENT_TIMESTAMP() AS TIME_EXEC FROM "&amp;I595,"SELECT '"&amp;UPPER(B595)&amp;"' AS TABELA, '"&amp;UPPER(C595)&amp;"' AS TIPOLOGIA_TESTE,'"&amp;D595&amp;"' AS TABELA_LT,'N/A' AS TABELA_SIMUL,'"&amp;F595&amp;"' AS CAMPO, "&amp;"'${ref_date}' AS REF_DATE, COUNT(*) AS NUM_REG, SUM(IF(TRIM(CAST(X."&amp;F595&amp;" AS STRING))='' OR TRIM(CAST(X."&amp;F595&amp;" AS STRING)) IS NULL,1,0)) AS NUM_REG_DIF,'"&amp;MAX('ID1&amp;5'!K:K)+1&amp;"' AS ID_EXEC, CURRENT_TIMESTAMP() AS TIME_EXEC FROM "&amp;I595),
IF(C595="Caracteres Especiais",+"SELECT '"&amp;UPPER(B595)&amp;"' AS TABELA, '"&amp;UPPER(C595)&amp;"' AS TIPOLOGIA_TESTE,'"&amp;D595&amp;"' AS TABELA_LT,'N/A' AS TABELA_SIMUL,'"&amp;F595&amp;"' AS CAMPO, "&amp;"'${ref_date}' AS REF_DATE, COUNT(*) AS NUM_REG, SUM(IF(REGEXP_REPLACE(TRIM(CAST(X."&amp;F595&amp;" AS STRING)),'[^a-zA-Z0-9_\\s]','') &lt;&gt;TRIM(CAST(X."&amp;F595&amp;" AS STRING)),1,0)) AS NUM_REG_DIF,'"&amp;MAX('ID1&amp;5'!K:K)+1&amp;"' AS ID_EXEC, CURRENT_TIMESTAMP() AS TIME_EXEC FROM "&amp;I595,
IF(C595="Missings",+"SELECT '"&amp;UPPER(B595)&amp;"' AS TABELA, '"&amp;UPPER(C595)&amp;"' AS TIPOLOGIA_TESTE,'"&amp;D595&amp;"' AS TABELA_LT,'N/A' AS TABELA_SIMUL,'"&amp;F595&amp;"' AS CAMPO, "&amp;"'${ref_date}' AS REF_DATE, COUNT(*) AS NUM_REG, SUM(IF(TRIM(CAST(X."&amp;F595&amp;" AS STRING)) IN ('0000-00-00','0001-01-01','9999-12-31','MISS','00000','99999999999','99999999999.00','99999999999.000000'),1,0)) AS NUM_REG_DIF,'"&amp;MAX('ID1&amp;5'!K:K)+1&amp;"' AS ID_EXEC, CURRENT_TIMESTAMP() AS TIME_EXEC FROM "&amp;I595,
IF(C595="Not applicable",+"SELECT '"&amp;UPPER(B595)&amp;"' AS TABELA, '"&amp;UPPER(C595)&amp;"' AS TIPOLOGIA_TESTE,'"&amp;D595&amp;"' AS TABELA_LT,'N/A' AS TABELA_SIMUL,'"&amp;F595&amp;"' AS CAMPO, "&amp;"'${ref_date}' AS REF_DATE, COUNT(*) AS NUM_REG, SUM(IF(TRIM(CAST(X."&amp;F595&amp;" AS STRING)) IN ('N/A','11111111111','11111111111.00','11111111111.000000','1111-11-11'),1,0)) AS NUM_REG_DIF,'"&amp;MAX('ID1&amp;5'!K:K)+1&amp;"' AS ID_EXEC, CURRENT_TIMESTAMP() AS TIME_EXEC FROM "&amp;I595,
IF(C595="Valores extremos",+"SELECT '"&amp;UPPER(B595)&amp;"' AS TABELA, '"&amp;UPPER(C595)&amp;"' AS TIPOLOGIA_TESTE,'"&amp;D595&amp;"' AS TABELA_LT,'N/A' AS TABELA_SIMUL,'"&amp;F595&amp;"' AS CAMPO, "&amp;"'${ref_date}' AS REF_DATE, CAST(MIN("&amp;F595&amp;") AS STRING) AS VALOR_MIN, CAST(MAX("&amp;F595&amp;") AS STRING) AS VALOR_MAX,'"&amp;MAX('ID1&amp;5'!K:K)+1&amp;"' AS ID_EXEC, CURRENT_TIMESTAMP() AS TIME_EXEC FROM "&amp;MID(I595,1,LEN(I595)-2)&amp;" AND CAST("&amp;F595&amp;"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TABELA_SIMUL,'add_fld01' AS CAMPO, '${ref_date}' AS REF_DATE, COUNT(*) AS NUM_REG, SUM(IF(COALESCE(CAST(X.add_fld01 AS STRING),'')&lt;&gt;COALESCE(CAST(Y.add_fld01_SIMUL AS STRING),'') OR (X.add_fld01 IS NULL AND Y.add_fld01_SIMUL IS NOT NULL ) OR (X.add_fld01 IS NOT NULL AND Y.add_fld01_SIMUL IS NULL),1,0)) AS NUM_REG_DIF,'1' AS ID_EXEC, CURRENT_TIMESTAMP() AS TIME_EXEC FROM (SELECT prtctn_id, add_fld01 FROM BU_LOANTAPE_WORK.LT004_PROTECTION WHERE ref_date='${ref_date}' AND nome_perimetro='Individual Local' AND segmento='ESTR' AND ambito='SRB_MBDT' AND entidade='00100')X INNER JOIN (SELECT prtctn_id AS prtctn_id_SIMUL, add_fld01 AS add_fld01_SIMUL FROM BU_LOANTAPE_WORK.SIMUL_LT004 WHERE ref_date='${ref_date}' AND nome_perimetro='Individual Local' AND segmento='ESTR' AND ambito='PILAR3' AND entidade='00100')Y ON X.PRTCTN_ID=Y.PRTCTN_ID_SIMUL</v>
      </c>
      <c r="M595" s="36" t="str">
        <f t="shared" si="14"/>
        <v>UNION ALL SELECT 'PROTECTION' AS TABELA, 'COERÊNCIA' AS TIPOLOGIA_TESTE,'BU_LOANTAPE_WORK.LT004_PROTECTION' AS TABELA_LT,'BU_LOANTAPE_WORK.SIMUL_LT004' AS TABELA_SIMUL,'add_fld01' AS CAMPO, '${ref_date}' AS REF_DATE, COUNT(*) AS NUM_REG, SUM(IF(COALESCE(CAST(X.add_fld01 AS STRING),'')&lt;&gt;COALESCE(CAST(Y.add_fld01_SIMUL AS STRING),'') OR (X.add_fld01 IS NULL AND Y.add_fld01_SIMUL IS NOT NULL ) OR (X.add_fld01 IS NOT NULL AND Y.add_fld01_SIMUL IS NULL),1,0)) AS NUM_REG_DIF,'1' AS ID_EXEC, CURRENT_TIMESTAMP() AS TIME_EXEC FROM (SELECT prtctn_id, add_fld01 FROM BU_LOANTAPE_WORK.LT004_PROTECTION WHERE ref_date='${ref_date}' AND nome_perimetro='Individual Local' AND segmento='ESTR' AND ambito='SRB_MBDT' AND entidade='00100')X INNER JOIN (SELECT prtctn_id AS prtctn_id_SIMUL, add_fld01 AS add_fld01_SIMUL FROM BU_LOANTAPE_WORK.SIMUL_LT004 WHERE ref_date='${ref_date}' AND nome_perimetro='Individual Local' AND segmento='ESTR' AND ambito='PILAR3' AND entidade='00100')Y ON X.PRTCTN_ID=Y.PRTCTN_ID_SIMUL</v>
      </c>
    </row>
    <row r="596" spans="2:13">
      <c r="B596" s="34" t="s">
        <v>119</v>
      </c>
      <c r="C596" s="34" t="s">
        <v>5</v>
      </c>
      <c r="D596" s="34" t="str">
        <f>+UPPER('0. Instruções'!$D$35&amp;"."&amp;VLOOKUP(B596,'0. Instruções'!$C$27:$D$32,2,FALSE))</f>
        <v>BU_LOANTAPE_WORK.LT004_PROTECTION</v>
      </c>
      <c r="E596" s="34" t="str">
        <f>+UPPER('0. Instruções'!$D$36&amp;"."&amp;VLOOKUP(B596,'0. Instruções'!$C$27:$E$32,3,FALSE))</f>
        <v>BU_LOANTAPE_WORK.SIMUL_LT004</v>
      </c>
      <c r="F596" s="34" t="s">
        <v>1246</v>
      </c>
      <c r="G596" s="34"/>
      <c r="H596" s="34"/>
      <c r="I596" s="34" t="str">
        <f>"(SELECT "&amp;VLOOKUP(B596,'0. Instruções'!$C$27:$G$32,4,FALSE)&amp;", "&amp;F596&amp;" FROM "&amp;D596&amp;" WHERE "&amp;'0. Instruções'!$D$42&amp;")X"</f>
        <v>(SELECT prtctn_id, add_fld02 FROM BU_LOANTAPE_WORK.LT004_PROTECTION WHERE ref_date='${ref_date}' AND nome_perimetro='Individual Local' AND segmento='ESTR' AND ambito='SRB_MBDT' AND entidade='00100')X</v>
      </c>
      <c r="J596" s="34" t="str">
        <f>"(SELECT "&amp;VLOOKUP(B596,'0. Instruções'!$C$27:$G$32,4,FALSE)&amp;" AS "&amp;VLOOKUP(B596,'0. Instruções'!$C$27:$G$32,4,FALSE)&amp;"_SIMUL, "&amp;F596&amp;" AS "&amp;F596&amp;"_SIMUL FROM "&amp;E596&amp;" WHERE "&amp;'0. Instruções'!$D$43&amp;")Y"</f>
        <v>(SELECT prtctn_id AS prtctn_id_SIMUL, add_fld02 AS add_fld02_SIMUL FROM BU_LOANTAPE_WORK.SIMUL_LT004 WHERE ref_date='${ref_date}' AND nome_perimetro='Individual Local' AND segmento='ESTR' AND ambito='PILAR3' AND entidade='00100')Y</v>
      </c>
      <c r="K596" s="35" t="str">
        <f>+UPPER("ON X."&amp;VLOOKUP(B596,'0. Instruções'!$C$27:$G$32,4,FALSE)&amp;"=Y."&amp;VLOOKUP(B596,'0. Instruções'!$C$27:$G$32,4,FALSE)&amp;"_SIMUL")</f>
        <v>ON X.PRTCTN_ID=Y.PRTCTN_ID_SIMUL</v>
      </c>
      <c r="L596" s="35" t="str">
        <f>+IF(C596="Coerência", +IF(LEFT(G596,5)="FLOAT","SELECT '"&amp;UPPER(B596)&amp;"' AS TABELA, '"&amp;UPPER(C596)&amp;"' AS TIPOLOGIA_TESTE,'"&amp;D596&amp;"' AS TABELA_LT,'"&amp;E596&amp;"' AS TABELA_SIMUL,'"&amp;F596&amp;"' AS CAMPO, "&amp;"'${ref_date}' AS REF_DATE, COUNT(*) AS NUM_REG, SUM(IF((ABS(COALESCE(CAST(X."&amp;F596&amp;" AS DECIMAL(18,6)),0)-COALESCE(CAST(Y."&amp;F596&amp;"_SIMUL AS DECIMAL(18,6)),0))&gt;0.000001) OR (X."&amp;F596&amp;" IS NULL AND Y."&amp;F596&amp;"_SIMUL IS NOT NULL ) OR (X."&amp;F596&amp;" IS NOT NULL AND Y."&amp;F596&amp;"_SIMUL IS NULL),1,0)) AS NUM_REG_DIF,'"&amp;MAX('ID1&amp;5'!K:K)+1&amp;"' AS ID_EXEC, CURRENT_TIMESTAMP() AS TIME_EXEC FROM "&amp;I596&amp;" INNER JOIN "&amp;J596&amp;" "&amp;K596,"SELECT '"&amp;UPPER(B596)&amp;"' AS TABELA, '"&amp;UPPER(C596)&amp;"' AS TIPOLOGIA_TESTE,'"&amp;D596&amp;"' AS TABELA_LT,'"&amp;E596&amp;"' AS TABELA_SIMUL,'"&amp;F596&amp;"' AS CAMPO, "&amp;"'${ref_date}' AS REF_DATE, COUNT(*) AS NUM_REG, SUM(IF(COALESCE(CAST(X."&amp;F596&amp;" AS STRING),'')&lt;&gt;COALESCE(CAST(Y."&amp;F596&amp;"_SIMUL AS STRING),'') OR (X."&amp;F596&amp;" IS NULL AND Y."&amp;F596&amp;"_SIMUL IS NOT NULL ) OR (X."&amp;F596&amp;" IS NOT NULL AND Y."&amp;F596&amp;"_SIMUL IS NULL),1,0)) AS NUM_REG_DIF,'"&amp;MAX('ID1&amp;5'!L:L)+1&amp;"' AS ID_EXEC, CURRENT_TIMESTAMP() AS TIME_EXEC FROM "&amp;I596&amp;" INNER JOIN "&amp;J596&amp;" "&amp;K596),
IF(C596="Validade",+IF(G596="Code List","SELECT '"&amp;UPPER(B596)&amp;"' AS TABELA, '"&amp;UPPER(C596)&amp;"' AS TIPOLOGIA_TESTE,'"&amp;D596&amp;"' AS TABELA_LT,'N/A' AS TABELA_SIMUL,'"&amp;F596&amp;"' AS CAMPO, "&amp;"'${ref_date}' AS REF_DATE, COUNT(*) AS NUM_REG, SUM(IF(TRIM(CAST(X."&amp;F596&amp;" AS STRING))='' OR TRIM(CAST(X."&amp;F596&amp;" AS STRING)) IS NULL OR CAST(X."&amp;F596&amp;" AS STRING) NOT "&amp;H596&amp;",1,0)) AS NUM_REG_DIF,'"&amp;MAX('ID1&amp;5'!K:K)+1&amp;"' AS ID_EXEC, CURRENT_TIMESTAMP() AS TIME_EXEC FROM "&amp;I596,"SELECT '"&amp;UPPER(B596)&amp;"' AS TABELA, '"&amp;UPPER(C596)&amp;"' AS TIPOLOGIA_TESTE,'"&amp;D596&amp;"' AS TABELA_LT,'N/A' AS TABELA_SIMUL,'"&amp;F596&amp;"' AS CAMPO, "&amp;"'${ref_date}' AS REF_DATE, COUNT(*) AS NUM_REG, SUM(IF(TRIM(CAST(X."&amp;F596&amp;" AS STRING))='' OR TRIM(CAST(X."&amp;F596&amp;" AS STRING)) IS NULL,1,0)) AS NUM_REG_DIF,'"&amp;MAX('ID1&amp;5'!K:K)+1&amp;"' AS ID_EXEC, CURRENT_TIMESTAMP() AS TIME_EXEC FROM "&amp;I596),
IF(C596="Caracteres Especiais",+"SELECT '"&amp;UPPER(B596)&amp;"' AS TABELA, '"&amp;UPPER(C596)&amp;"' AS TIPOLOGIA_TESTE,'"&amp;D596&amp;"' AS TABELA_LT,'N/A' AS TABELA_SIMUL,'"&amp;F596&amp;"' AS CAMPO, "&amp;"'${ref_date}' AS REF_DATE, COUNT(*) AS NUM_REG, SUM(IF(REGEXP_REPLACE(TRIM(CAST(X."&amp;F596&amp;" AS STRING)),'[^a-zA-Z0-9_\\s]','') &lt;&gt;TRIM(CAST(X."&amp;F596&amp;" AS STRING)),1,0)) AS NUM_REG_DIF,'"&amp;MAX('ID1&amp;5'!K:K)+1&amp;"' AS ID_EXEC, CURRENT_TIMESTAMP() AS TIME_EXEC FROM "&amp;I596,
IF(C596="Missings",+"SELECT '"&amp;UPPER(B596)&amp;"' AS TABELA, '"&amp;UPPER(C596)&amp;"' AS TIPOLOGIA_TESTE,'"&amp;D596&amp;"' AS TABELA_LT,'N/A' AS TABELA_SIMUL,'"&amp;F596&amp;"' AS CAMPO, "&amp;"'${ref_date}' AS REF_DATE, COUNT(*) AS NUM_REG, SUM(IF(TRIM(CAST(X."&amp;F596&amp;" AS STRING)) IN ('0000-00-00','0001-01-01','9999-12-31','MISS','00000','99999999999','99999999999.00','99999999999.000000'),1,0)) AS NUM_REG_DIF,'"&amp;MAX('ID1&amp;5'!K:K)+1&amp;"' AS ID_EXEC, CURRENT_TIMESTAMP() AS TIME_EXEC FROM "&amp;I596,
IF(C596="Not applicable",+"SELECT '"&amp;UPPER(B596)&amp;"' AS TABELA, '"&amp;UPPER(C596)&amp;"' AS TIPOLOGIA_TESTE,'"&amp;D596&amp;"' AS TABELA_LT,'N/A' AS TABELA_SIMUL,'"&amp;F596&amp;"' AS CAMPO, "&amp;"'${ref_date}' AS REF_DATE, COUNT(*) AS NUM_REG, SUM(IF(TRIM(CAST(X."&amp;F596&amp;" AS STRING)) IN ('N/A','11111111111','11111111111.00','11111111111.000000','1111-11-11'),1,0)) AS NUM_REG_DIF,'"&amp;MAX('ID1&amp;5'!K:K)+1&amp;"' AS ID_EXEC, CURRENT_TIMESTAMP() AS TIME_EXEC FROM "&amp;I596,
IF(C596="Valores extremos",+"SELECT '"&amp;UPPER(B596)&amp;"' AS TABELA, '"&amp;UPPER(C596)&amp;"' AS TIPOLOGIA_TESTE,'"&amp;D596&amp;"' AS TABELA_LT,'N/A' AS TABELA_SIMUL,'"&amp;F596&amp;"' AS CAMPO, "&amp;"'${ref_date}' AS REF_DATE, CAST(MIN("&amp;F596&amp;") AS STRING) AS VALOR_MIN, CAST(MAX("&amp;F596&amp;") AS STRING) AS VALOR_MAX,'"&amp;MAX('ID1&amp;5'!K:K)+1&amp;"' AS ID_EXEC, CURRENT_TIMESTAMP() AS TIME_EXEC FROM "&amp;MID(I596,1,LEN(I596)-2)&amp;" AND CAST("&amp;F596&amp;"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TABELA_SIMUL,'add_fld02' AS CAMPO, '${ref_date}' AS REF_DATE, COUNT(*) AS NUM_REG, SUM(IF(COALESCE(CAST(X.add_fld02 AS STRING),'')&lt;&gt;COALESCE(CAST(Y.add_fld02_SIMUL AS STRING),'') OR (X.add_fld02 IS NULL AND Y.add_fld02_SIMUL IS NOT NULL ) OR (X.add_fld02 IS NOT NULL AND Y.add_fld02_SIMUL IS NULL),1,0)) AS NUM_REG_DIF,'1' AS ID_EXEC, CURRENT_TIMESTAMP() AS TIME_EXEC FROM (SELECT prtctn_id, add_fld02 FROM BU_LOANTAPE_WORK.LT004_PROTECTION WHERE ref_date='${ref_date}' AND nome_perimetro='Individual Local' AND segmento='ESTR' AND ambito='SRB_MBDT' AND entidade='00100')X INNER JOIN (SELECT prtctn_id AS prtctn_id_SIMUL, add_fld02 AS add_fld02_SIMUL FROM BU_LOANTAPE_WORK.SIMUL_LT004 WHERE ref_date='${ref_date}' AND nome_perimetro='Individual Local' AND segmento='ESTR' AND ambito='PILAR3' AND entidade='00100')Y ON X.PRTCTN_ID=Y.PRTCTN_ID_SIMUL</v>
      </c>
      <c r="M596" s="36" t="str">
        <f t="shared" si="14"/>
        <v>UNION ALL SELECT 'PROTECTION' AS TABELA, 'COERÊNCIA' AS TIPOLOGIA_TESTE,'BU_LOANTAPE_WORK.LT004_PROTECTION' AS TABELA_LT,'BU_LOANTAPE_WORK.SIMUL_LT004' AS TABELA_SIMUL,'add_fld02' AS CAMPO, '${ref_date}' AS REF_DATE, COUNT(*) AS NUM_REG, SUM(IF(COALESCE(CAST(X.add_fld02 AS STRING),'')&lt;&gt;COALESCE(CAST(Y.add_fld02_SIMUL AS STRING),'') OR (X.add_fld02 IS NULL AND Y.add_fld02_SIMUL IS NOT NULL ) OR (X.add_fld02 IS NOT NULL AND Y.add_fld02_SIMUL IS NULL),1,0)) AS NUM_REG_DIF,'1' AS ID_EXEC, CURRENT_TIMESTAMP() AS TIME_EXEC FROM (SELECT prtctn_id, add_fld02 FROM BU_LOANTAPE_WORK.LT004_PROTECTION WHERE ref_date='${ref_date}' AND nome_perimetro='Individual Local' AND segmento='ESTR' AND ambito='SRB_MBDT' AND entidade='00100')X INNER JOIN (SELECT prtctn_id AS prtctn_id_SIMUL, add_fld02 AS add_fld02_SIMUL FROM BU_LOANTAPE_WORK.SIMUL_LT004 WHERE ref_date='${ref_date}' AND nome_perimetro='Individual Local' AND segmento='ESTR' AND ambito='PILAR3' AND entidade='00100')Y ON X.PRTCTN_ID=Y.PRTCTN_ID_SIMUL</v>
      </c>
    </row>
    <row r="597" spans="2:13">
      <c r="B597" s="34" t="s">
        <v>119</v>
      </c>
      <c r="C597" s="34" t="s">
        <v>5</v>
      </c>
      <c r="D597" s="34" t="str">
        <f>+UPPER('0. Instruções'!$D$35&amp;"."&amp;VLOOKUP(B597,'0. Instruções'!$C$27:$D$32,2,FALSE))</f>
        <v>BU_LOANTAPE_WORK.LT004_PROTECTION</v>
      </c>
      <c r="E597" s="34" t="str">
        <f>+UPPER('0. Instruções'!$D$36&amp;"."&amp;VLOOKUP(B597,'0. Instruções'!$C$27:$E$32,3,FALSE))</f>
        <v>BU_LOANTAPE_WORK.SIMUL_LT004</v>
      </c>
      <c r="F597" s="34" t="s">
        <v>1247</v>
      </c>
      <c r="G597" s="34"/>
      <c r="H597" s="34"/>
      <c r="I597" s="34" t="str">
        <f>"(SELECT "&amp;VLOOKUP(B597,'0. Instruções'!$C$27:$G$32,4,FALSE)&amp;", "&amp;F597&amp;" FROM "&amp;D597&amp;" WHERE "&amp;'0. Instruções'!$D$42&amp;")X"</f>
        <v>(SELECT prtctn_id, add_fld03 FROM BU_LOANTAPE_WORK.LT004_PROTECTION WHERE ref_date='${ref_date}' AND nome_perimetro='Individual Local' AND segmento='ESTR' AND ambito='SRB_MBDT' AND entidade='00100')X</v>
      </c>
      <c r="J597" s="34" t="str">
        <f>"(SELECT "&amp;VLOOKUP(B597,'0. Instruções'!$C$27:$G$32,4,FALSE)&amp;" AS "&amp;VLOOKUP(B597,'0. Instruções'!$C$27:$G$32,4,FALSE)&amp;"_SIMUL, "&amp;F597&amp;" AS "&amp;F597&amp;"_SIMUL FROM "&amp;E597&amp;" WHERE "&amp;'0. Instruções'!$D$43&amp;")Y"</f>
        <v>(SELECT prtctn_id AS prtctn_id_SIMUL, add_fld03 AS add_fld03_SIMUL FROM BU_LOANTAPE_WORK.SIMUL_LT004 WHERE ref_date='${ref_date}' AND nome_perimetro='Individual Local' AND segmento='ESTR' AND ambito='PILAR3' AND entidade='00100')Y</v>
      </c>
      <c r="K597" s="35" t="str">
        <f>+UPPER("ON X."&amp;VLOOKUP(B597,'0. Instruções'!$C$27:$G$32,4,FALSE)&amp;"=Y."&amp;VLOOKUP(B597,'0. Instruções'!$C$27:$G$32,4,FALSE)&amp;"_SIMUL")</f>
        <v>ON X.PRTCTN_ID=Y.PRTCTN_ID_SIMUL</v>
      </c>
      <c r="L597" s="35" t="str">
        <f>+IF(C597="Coerência", +IF(LEFT(G597,5)="FLOAT","SELECT '"&amp;UPPER(B597)&amp;"' AS TABELA, '"&amp;UPPER(C597)&amp;"' AS TIPOLOGIA_TESTE,'"&amp;D597&amp;"' AS TABELA_LT,'"&amp;E597&amp;"' AS TABELA_SIMUL,'"&amp;F597&amp;"' AS CAMPO, "&amp;"'${ref_date}' AS REF_DATE, COUNT(*) AS NUM_REG, SUM(IF((ABS(COALESCE(CAST(X."&amp;F597&amp;" AS DECIMAL(18,6)),0)-COALESCE(CAST(Y."&amp;F597&amp;"_SIMUL AS DECIMAL(18,6)),0))&gt;0.000001) OR (X."&amp;F597&amp;" IS NULL AND Y."&amp;F597&amp;"_SIMUL IS NOT NULL ) OR (X."&amp;F597&amp;" IS NOT NULL AND Y."&amp;F597&amp;"_SIMUL IS NULL),1,0)) AS NUM_REG_DIF,'"&amp;MAX('ID1&amp;5'!K:K)+1&amp;"' AS ID_EXEC, CURRENT_TIMESTAMP() AS TIME_EXEC FROM "&amp;I597&amp;" INNER JOIN "&amp;J597&amp;" "&amp;K597,"SELECT '"&amp;UPPER(B597)&amp;"' AS TABELA, '"&amp;UPPER(C597)&amp;"' AS TIPOLOGIA_TESTE,'"&amp;D597&amp;"' AS TABELA_LT,'"&amp;E597&amp;"' AS TABELA_SIMUL,'"&amp;F597&amp;"' AS CAMPO, "&amp;"'${ref_date}' AS REF_DATE, COUNT(*) AS NUM_REG, SUM(IF(COALESCE(CAST(X."&amp;F597&amp;" AS STRING),'')&lt;&gt;COALESCE(CAST(Y."&amp;F597&amp;"_SIMUL AS STRING),'') OR (X."&amp;F597&amp;" IS NULL AND Y."&amp;F597&amp;"_SIMUL IS NOT NULL ) OR (X."&amp;F597&amp;" IS NOT NULL AND Y."&amp;F597&amp;"_SIMUL IS NULL),1,0)) AS NUM_REG_DIF,'"&amp;MAX('ID1&amp;5'!L:L)+1&amp;"' AS ID_EXEC, CURRENT_TIMESTAMP() AS TIME_EXEC FROM "&amp;I597&amp;" INNER JOIN "&amp;J597&amp;" "&amp;K597),
IF(C597="Validade",+IF(G597="Code List","SELECT '"&amp;UPPER(B597)&amp;"' AS TABELA, '"&amp;UPPER(C597)&amp;"' AS TIPOLOGIA_TESTE,'"&amp;D597&amp;"' AS TABELA_LT,'N/A' AS TABELA_SIMUL,'"&amp;F597&amp;"' AS CAMPO, "&amp;"'${ref_date}' AS REF_DATE, COUNT(*) AS NUM_REG, SUM(IF(TRIM(CAST(X."&amp;F597&amp;" AS STRING))='' OR TRIM(CAST(X."&amp;F597&amp;" AS STRING)) IS NULL OR CAST(X."&amp;F597&amp;" AS STRING) NOT "&amp;H597&amp;",1,0)) AS NUM_REG_DIF,'"&amp;MAX('ID1&amp;5'!K:K)+1&amp;"' AS ID_EXEC, CURRENT_TIMESTAMP() AS TIME_EXEC FROM "&amp;I597,"SELECT '"&amp;UPPER(B597)&amp;"' AS TABELA, '"&amp;UPPER(C597)&amp;"' AS TIPOLOGIA_TESTE,'"&amp;D597&amp;"' AS TABELA_LT,'N/A' AS TABELA_SIMUL,'"&amp;F597&amp;"' AS CAMPO, "&amp;"'${ref_date}' AS REF_DATE, COUNT(*) AS NUM_REG, SUM(IF(TRIM(CAST(X."&amp;F597&amp;" AS STRING))='' OR TRIM(CAST(X."&amp;F597&amp;" AS STRING)) IS NULL,1,0)) AS NUM_REG_DIF,'"&amp;MAX('ID1&amp;5'!K:K)+1&amp;"' AS ID_EXEC, CURRENT_TIMESTAMP() AS TIME_EXEC FROM "&amp;I597),
IF(C597="Caracteres Especiais",+"SELECT '"&amp;UPPER(B597)&amp;"' AS TABELA, '"&amp;UPPER(C597)&amp;"' AS TIPOLOGIA_TESTE,'"&amp;D597&amp;"' AS TABELA_LT,'N/A' AS TABELA_SIMUL,'"&amp;F597&amp;"' AS CAMPO, "&amp;"'${ref_date}' AS REF_DATE, COUNT(*) AS NUM_REG, SUM(IF(REGEXP_REPLACE(TRIM(CAST(X."&amp;F597&amp;" AS STRING)),'[^a-zA-Z0-9_\\s]','') &lt;&gt;TRIM(CAST(X."&amp;F597&amp;" AS STRING)),1,0)) AS NUM_REG_DIF,'"&amp;MAX('ID1&amp;5'!K:K)+1&amp;"' AS ID_EXEC, CURRENT_TIMESTAMP() AS TIME_EXEC FROM "&amp;I597,
IF(C597="Missings",+"SELECT '"&amp;UPPER(B597)&amp;"' AS TABELA, '"&amp;UPPER(C597)&amp;"' AS TIPOLOGIA_TESTE,'"&amp;D597&amp;"' AS TABELA_LT,'N/A' AS TABELA_SIMUL,'"&amp;F597&amp;"' AS CAMPO, "&amp;"'${ref_date}' AS REF_DATE, COUNT(*) AS NUM_REG, SUM(IF(TRIM(CAST(X."&amp;F597&amp;" AS STRING)) IN ('0000-00-00','0001-01-01','9999-12-31','MISS','00000','99999999999','99999999999.00','99999999999.000000'),1,0)) AS NUM_REG_DIF,'"&amp;MAX('ID1&amp;5'!K:K)+1&amp;"' AS ID_EXEC, CURRENT_TIMESTAMP() AS TIME_EXEC FROM "&amp;I597,
IF(C597="Not applicable",+"SELECT '"&amp;UPPER(B597)&amp;"' AS TABELA, '"&amp;UPPER(C597)&amp;"' AS TIPOLOGIA_TESTE,'"&amp;D597&amp;"' AS TABELA_LT,'N/A' AS TABELA_SIMUL,'"&amp;F597&amp;"' AS CAMPO, "&amp;"'${ref_date}' AS REF_DATE, COUNT(*) AS NUM_REG, SUM(IF(TRIM(CAST(X."&amp;F597&amp;" AS STRING)) IN ('N/A','11111111111','11111111111.00','11111111111.000000','1111-11-11'),1,0)) AS NUM_REG_DIF,'"&amp;MAX('ID1&amp;5'!K:K)+1&amp;"' AS ID_EXEC, CURRENT_TIMESTAMP() AS TIME_EXEC FROM "&amp;I597,
IF(C597="Valores extremos",+"SELECT '"&amp;UPPER(B597)&amp;"' AS TABELA, '"&amp;UPPER(C597)&amp;"' AS TIPOLOGIA_TESTE,'"&amp;D597&amp;"' AS TABELA_LT,'N/A' AS TABELA_SIMUL,'"&amp;F597&amp;"' AS CAMPO, "&amp;"'${ref_date}' AS REF_DATE, CAST(MIN("&amp;F597&amp;") AS STRING) AS VALOR_MIN, CAST(MAX("&amp;F597&amp;") AS STRING) AS VALOR_MAX,'"&amp;MAX('ID1&amp;5'!K:K)+1&amp;"' AS ID_EXEC, CURRENT_TIMESTAMP() AS TIME_EXEC FROM "&amp;MID(I597,1,LEN(I597)-2)&amp;" AND CAST("&amp;F597&amp;"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TABELA_SIMUL,'add_fld03' AS CAMPO, '${ref_date}' AS REF_DATE, COUNT(*) AS NUM_REG, SUM(IF(COALESCE(CAST(X.add_fld03 AS STRING),'')&lt;&gt;COALESCE(CAST(Y.add_fld03_SIMUL AS STRING),'') OR (X.add_fld03 IS NULL AND Y.add_fld03_SIMUL IS NOT NULL ) OR (X.add_fld03 IS NOT NULL AND Y.add_fld03_SIMUL IS NULL),1,0)) AS NUM_REG_DIF,'1' AS ID_EXEC, CURRENT_TIMESTAMP() AS TIME_EXEC FROM (SELECT prtctn_id, add_fld03 FROM BU_LOANTAPE_WORK.LT004_PROTECTION WHERE ref_date='${ref_date}' AND nome_perimetro='Individual Local' AND segmento='ESTR' AND ambito='SRB_MBDT' AND entidade='00100')X INNER JOIN (SELECT prtctn_id AS prtctn_id_SIMUL, add_fld03 AS add_fld03_SIMUL FROM BU_LOANTAPE_WORK.SIMUL_LT004 WHERE ref_date='${ref_date}' AND nome_perimetro='Individual Local' AND segmento='ESTR' AND ambito='PILAR3' AND entidade='00100')Y ON X.PRTCTN_ID=Y.PRTCTN_ID_SIMUL</v>
      </c>
      <c r="M597" s="36" t="str">
        <f t="shared" si="14"/>
        <v>UNION ALL SELECT 'PROTECTION' AS TABELA, 'COERÊNCIA' AS TIPOLOGIA_TESTE,'BU_LOANTAPE_WORK.LT004_PROTECTION' AS TABELA_LT,'BU_LOANTAPE_WORK.SIMUL_LT004' AS TABELA_SIMUL,'add_fld03' AS CAMPO, '${ref_date}' AS REF_DATE, COUNT(*) AS NUM_REG, SUM(IF(COALESCE(CAST(X.add_fld03 AS STRING),'')&lt;&gt;COALESCE(CAST(Y.add_fld03_SIMUL AS STRING),'') OR (X.add_fld03 IS NULL AND Y.add_fld03_SIMUL IS NOT NULL ) OR (X.add_fld03 IS NOT NULL AND Y.add_fld03_SIMUL IS NULL),1,0)) AS NUM_REG_DIF,'1' AS ID_EXEC, CURRENT_TIMESTAMP() AS TIME_EXEC FROM (SELECT prtctn_id, add_fld03 FROM BU_LOANTAPE_WORK.LT004_PROTECTION WHERE ref_date='${ref_date}' AND nome_perimetro='Individual Local' AND segmento='ESTR' AND ambito='SRB_MBDT' AND entidade='00100')X INNER JOIN (SELECT prtctn_id AS prtctn_id_SIMUL, add_fld03 AS add_fld03_SIMUL FROM BU_LOANTAPE_WORK.SIMUL_LT004 WHERE ref_date='${ref_date}' AND nome_perimetro='Individual Local' AND segmento='ESTR' AND ambito='PILAR3' AND entidade='00100')Y ON X.PRTCTN_ID=Y.PRTCTN_ID_SIMUL</v>
      </c>
    </row>
    <row r="598" spans="2:13">
      <c r="B598" s="34" t="s">
        <v>119</v>
      </c>
      <c r="C598" s="34" t="s">
        <v>5</v>
      </c>
      <c r="D598" s="34" t="str">
        <f>+UPPER('0. Instruções'!$D$35&amp;"."&amp;VLOOKUP(B598,'0. Instruções'!$C$27:$D$32,2,FALSE))</f>
        <v>BU_LOANTAPE_WORK.LT004_PROTECTION</v>
      </c>
      <c r="E598" s="34" t="str">
        <f>+UPPER('0. Instruções'!$D$36&amp;"."&amp;VLOOKUP(B598,'0. Instruções'!$C$27:$E$32,3,FALSE))</f>
        <v>BU_LOANTAPE_WORK.SIMUL_LT004</v>
      </c>
      <c r="F598" s="34" t="s">
        <v>1248</v>
      </c>
      <c r="G598" s="34"/>
      <c r="H598" s="34"/>
      <c r="I598" s="34" t="str">
        <f>"(SELECT "&amp;VLOOKUP(B598,'0. Instruções'!$C$27:$G$32,4,FALSE)&amp;", "&amp;F598&amp;" FROM "&amp;D598&amp;" WHERE "&amp;'0. Instruções'!$D$42&amp;")X"</f>
        <v>(SELECT prtctn_id, add_fld04 FROM BU_LOANTAPE_WORK.LT004_PROTECTION WHERE ref_date='${ref_date}' AND nome_perimetro='Individual Local' AND segmento='ESTR' AND ambito='SRB_MBDT' AND entidade='00100')X</v>
      </c>
      <c r="J598" s="34" t="str">
        <f>"(SELECT "&amp;VLOOKUP(B598,'0. Instruções'!$C$27:$G$32,4,FALSE)&amp;" AS "&amp;VLOOKUP(B598,'0. Instruções'!$C$27:$G$32,4,FALSE)&amp;"_SIMUL, "&amp;F598&amp;" AS "&amp;F598&amp;"_SIMUL FROM "&amp;E598&amp;" WHERE "&amp;'0. Instruções'!$D$43&amp;")Y"</f>
        <v>(SELECT prtctn_id AS prtctn_id_SIMUL, add_fld04 AS add_fld04_SIMUL FROM BU_LOANTAPE_WORK.SIMUL_LT004 WHERE ref_date='${ref_date}' AND nome_perimetro='Individual Local' AND segmento='ESTR' AND ambito='PILAR3' AND entidade='00100')Y</v>
      </c>
      <c r="K598" s="35" t="str">
        <f>+UPPER("ON X."&amp;VLOOKUP(B598,'0. Instruções'!$C$27:$G$32,4,FALSE)&amp;"=Y."&amp;VLOOKUP(B598,'0. Instruções'!$C$27:$G$32,4,FALSE)&amp;"_SIMUL")</f>
        <v>ON X.PRTCTN_ID=Y.PRTCTN_ID_SIMUL</v>
      </c>
      <c r="L598" s="35" t="str">
        <f>+IF(C598="Coerência", +IF(LEFT(G598,5)="FLOAT","SELECT '"&amp;UPPER(B598)&amp;"' AS TABELA, '"&amp;UPPER(C598)&amp;"' AS TIPOLOGIA_TESTE,'"&amp;D598&amp;"' AS TABELA_LT,'"&amp;E598&amp;"' AS TABELA_SIMUL,'"&amp;F598&amp;"' AS CAMPO, "&amp;"'${ref_date}' AS REF_DATE, COUNT(*) AS NUM_REG, SUM(IF((ABS(COALESCE(CAST(X."&amp;F598&amp;" AS DECIMAL(18,6)),0)-COALESCE(CAST(Y."&amp;F598&amp;"_SIMUL AS DECIMAL(18,6)),0))&gt;0.000001) OR (X."&amp;F598&amp;" IS NULL AND Y."&amp;F598&amp;"_SIMUL IS NOT NULL ) OR (X."&amp;F598&amp;" IS NOT NULL AND Y."&amp;F598&amp;"_SIMUL IS NULL),1,0)) AS NUM_REG_DIF,'"&amp;MAX('ID1&amp;5'!K:K)+1&amp;"' AS ID_EXEC, CURRENT_TIMESTAMP() AS TIME_EXEC FROM "&amp;I598&amp;" INNER JOIN "&amp;J598&amp;" "&amp;K598,"SELECT '"&amp;UPPER(B598)&amp;"' AS TABELA, '"&amp;UPPER(C598)&amp;"' AS TIPOLOGIA_TESTE,'"&amp;D598&amp;"' AS TABELA_LT,'"&amp;E598&amp;"' AS TABELA_SIMUL,'"&amp;F598&amp;"' AS CAMPO, "&amp;"'${ref_date}' AS REF_DATE, COUNT(*) AS NUM_REG, SUM(IF(COALESCE(CAST(X."&amp;F598&amp;" AS STRING),'')&lt;&gt;COALESCE(CAST(Y."&amp;F598&amp;"_SIMUL AS STRING),'') OR (X."&amp;F598&amp;" IS NULL AND Y."&amp;F598&amp;"_SIMUL IS NOT NULL ) OR (X."&amp;F598&amp;" IS NOT NULL AND Y."&amp;F598&amp;"_SIMUL IS NULL),1,0)) AS NUM_REG_DIF,'"&amp;MAX('ID1&amp;5'!L:L)+1&amp;"' AS ID_EXEC, CURRENT_TIMESTAMP() AS TIME_EXEC FROM "&amp;I598&amp;" INNER JOIN "&amp;J598&amp;" "&amp;K598),
IF(C598="Validade",+IF(G598="Code List","SELECT '"&amp;UPPER(B598)&amp;"' AS TABELA, '"&amp;UPPER(C598)&amp;"' AS TIPOLOGIA_TESTE,'"&amp;D598&amp;"' AS TABELA_LT,'N/A' AS TABELA_SIMUL,'"&amp;F598&amp;"' AS CAMPO, "&amp;"'${ref_date}' AS REF_DATE, COUNT(*) AS NUM_REG, SUM(IF(TRIM(CAST(X."&amp;F598&amp;" AS STRING))='' OR TRIM(CAST(X."&amp;F598&amp;" AS STRING)) IS NULL OR CAST(X."&amp;F598&amp;" AS STRING) NOT "&amp;H598&amp;",1,0)) AS NUM_REG_DIF,'"&amp;MAX('ID1&amp;5'!K:K)+1&amp;"' AS ID_EXEC, CURRENT_TIMESTAMP() AS TIME_EXEC FROM "&amp;I598,"SELECT '"&amp;UPPER(B598)&amp;"' AS TABELA, '"&amp;UPPER(C598)&amp;"' AS TIPOLOGIA_TESTE,'"&amp;D598&amp;"' AS TABELA_LT,'N/A' AS TABELA_SIMUL,'"&amp;F598&amp;"' AS CAMPO, "&amp;"'${ref_date}' AS REF_DATE, COUNT(*) AS NUM_REG, SUM(IF(TRIM(CAST(X."&amp;F598&amp;" AS STRING))='' OR TRIM(CAST(X."&amp;F598&amp;" AS STRING)) IS NULL,1,0)) AS NUM_REG_DIF,'"&amp;MAX('ID1&amp;5'!K:K)+1&amp;"' AS ID_EXEC, CURRENT_TIMESTAMP() AS TIME_EXEC FROM "&amp;I598),
IF(C598="Caracteres Especiais",+"SELECT '"&amp;UPPER(B598)&amp;"' AS TABELA, '"&amp;UPPER(C598)&amp;"' AS TIPOLOGIA_TESTE,'"&amp;D598&amp;"' AS TABELA_LT,'N/A' AS TABELA_SIMUL,'"&amp;F598&amp;"' AS CAMPO, "&amp;"'${ref_date}' AS REF_DATE, COUNT(*) AS NUM_REG, SUM(IF(REGEXP_REPLACE(TRIM(CAST(X."&amp;F598&amp;" AS STRING)),'[^a-zA-Z0-9_\\s]','') &lt;&gt;TRIM(CAST(X."&amp;F598&amp;" AS STRING)),1,0)) AS NUM_REG_DIF,'"&amp;MAX('ID1&amp;5'!K:K)+1&amp;"' AS ID_EXEC, CURRENT_TIMESTAMP() AS TIME_EXEC FROM "&amp;I598,
IF(C598="Missings",+"SELECT '"&amp;UPPER(B598)&amp;"' AS TABELA, '"&amp;UPPER(C598)&amp;"' AS TIPOLOGIA_TESTE,'"&amp;D598&amp;"' AS TABELA_LT,'N/A' AS TABELA_SIMUL,'"&amp;F598&amp;"' AS CAMPO, "&amp;"'${ref_date}' AS REF_DATE, COUNT(*) AS NUM_REG, SUM(IF(TRIM(CAST(X."&amp;F598&amp;" AS STRING)) IN ('0000-00-00','0001-01-01','9999-12-31','MISS','00000','99999999999','99999999999.00','99999999999.000000'),1,0)) AS NUM_REG_DIF,'"&amp;MAX('ID1&amp;5'!K:K)+1&amp;"' AS ID_EXEC, CURRENT_TIMESTAMP() AS TIME_EXEC FROM "&amp;I598,
IF(C598="Not applicable",+"SELECT '"&amp;UPPER(B598)&amp;"' AS TABELA, '"&amp;UPPER(C598)&amp;"' AS TIPOLOGIA_TESTE,'"&amp;D598&amp;"' AS TABELA_LT,'N/A' AS TABELA_SIMUL,'"&amp;F598&amp;"' AS CAMPO, "&amp;"'${ref_date}' AS REF_DATE, COUNT(*) AS NUM_REG, SUM(IF(TRIM(CAST(X."&amp;F598&amp;" AS STRING)) IN ('N/A','11111111111','11111111111.00','11111111111.000000','1111-11-11'),1,0)) AS NUM_REG_DIF,'"&amp;MAX('ID1&amp;5'!K:K)+1&amp;"' AS ID_EXEC, CURRENT_TIMESTAMP() AS TIME_EXEC FROM "&amp;I598,
IF(C598="Valores extremos",+"SELECT '"&amp;UPPER(B598)&amp;"' AS TABELA, '"&amp;UPPER(C598)&amp;"' AS TIPOLOGIA_TESTE,'"&amp;D598&amp;"' AS TABELA_LT,'N/A' AS TABELA_SIMUL,'"&amp;F598&amp;"' AS CAMPO, "&amp;"'${ref_date}' AS REF_DATE, CAST(MIN("&amp;F598&amp;") AS STRING) AS VALOR_MIN, CAST(MAX("&amp;F598&amp;") AS STRING) AS VALOR_MAX,'"&amp;MAX('ID1&amp;5'!K:K)+1&amp;"' AS ID_EXEC, CURRENT_TIMESTAMP() AS TIME_EXEC FROM "&amp;MID(I598,1,LEN(I598)-2)&amp;" AND CAST("&amp;F598&amp;"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TABELA_SIMUL,'add_fld04' AS CAMPO, '${ref_date}' AS REF_DATE, COUNT(*) AS NUM_REG, SUM(IF(COALESCE(CAST(X.add_fld04 AS STRING),'')&lt;&gt;COALESCE(CAST(Y.add_fld04_SIMUL AS STRING),'') OR (X.add_fld04 IS NULL AND Y.add_fld04_SIMUL IS NOT NULL ) OR (X.add_fld04 IS NOT NULL AND Y.add_fld04_SIMUL IS NULL),1,0)) AS NUM_REG_DIF,'1' AS ID_EXEC, CURRENT_TIMESTAMP() AS TIME_EXEC FROM (SELECT prtctn_id, add_fld04 FROM BU_LOANTAPE_WORK.LT004_PROTECTION WHERE ref_date='${ref_date}' AND nome_perimetro='Individual Local' AND segmento='ESTR' AND ambito='SRB_MBDT' AND entidade='00100')X INNER JOIN (SELECT prtctn_id AS prtctn_id_SIMUL, add_fld04 AS add_fld04_SIMUL FROM BU_LOANTAPE_WORK.SIMUL_LT004 WHERE ref_date='${ref_date}' AND nome_perimetro='Individual Local' AND segmento='ESTR' AND ambito='PILAR3' AND entidade='00100')Y ON X.PRTCTN_ID=Y.PRTCTN_ID_SIMUL</v>
      </c>
      <c r="M598" s="36" t="str">
        <f t="shared" si="14"/>
        <v>UNION ALL SELECT 'PROTECTION' AS TABELA, 'COERÊNCIA' AS TIPOLOGIA_TESTE,'BU_LOANTAPE_WORK.LT004_PROTECTION' AS TABELA_LT,'BU_LOANTAPE_WORK.SIMUL_LT004' AS TABELA_SIMUL,'add_fld04' AS CAMPO, '${ref_date}' AS REF_DATE, COUNT(*) AS NUM_REG, SUM(IF(COALESCE(CAST(X.add_fld04 AS STRING),'')&lt;&gt;COALESCE(CAST(Y.add_fld04_SIMUL AS STRING),'') OR (X.add_fld04 IS NULL AND Y.add_fld04_SIMUL IS NOT NULL ) OR (X.add_fld04 IS NOT NULL AND Y.add_fld04_SIMUL IS NULL),1,0)) AS NUM_REG_DIF,'1' AS ID_EXEC, CURRENT_TIMESTAMP() AS TIME_EXEC FROM (SELECT prtctn_id, add_fld04 FROM BU_LOANTAPE_WORK.LT004_PROTECTION WHERE ref_date='${ref_date}' AND nome_perimetro='Individual Local' AND segmento='ESTR' AND ambito='SRB_MBDT' AND entidade='00100')X INNER JOIN (SELECT prtctn_id AS prtctn_id_SIMUL, add_fld04 AS add_fld04_SIMUL FROM BU_LOANTAPE_WORK.SIMUL_LT004 WHERE ref_date='${ref_date}' AND nome_perimetro='Individual Local' AND segmento='ESTR' AND ambito='PILAR3' AND entidade='00100')Y ON X.PRTCTN_ID=Y.PRTCTN_ID_SIMUL</v>
      </c>
    </row>
    <row r="599" spans="2:13">
      <c r="B599" s="34" t="s">
        <v>119</v>
      </c>
      <c r="C599" s="34" t="s">
        <v>5</v>
      </c>
      <c r="D599" s="34" t="str">
        <f>+UPPER('0. Instruções'!$D$35&amp;"."&amp;VLOOKUP(B599,'0. Instruções'!$C$27:$D$32,2,FALSE))</f>
        <v>BU_LOANTAPE_WORK.LT004_PROTECTION</v>
      </c>
      <c r="E599" s="34" t="str">
        <f>+UPPER('0. Instruções'!$D$36&amp;"."&amp;VLOOKUP(B599,'0. Instruções'!$C$27:$E$32,3,FALSE))</f>
        <v>BU_LOANTAPE_WORK.SIMUL_LT004</v>
      </c>
      <c r="F599" s="34" t="s">
        <v>1249</v>
      </c>
      <c r="G599" s="34"/>
      <c r="H599" s="34"/>
      <c r="I599" s="34" t="str">
        <f>"(SELECT "&amp;VLOOKUP(B599,'0. Instruções'!$C$27:$G$32,4,FALSE)&amp;", "&amp;F599&amp;" FROM "&amp;D599&amp;" WHERE "&amp;'0. Instruções'!$D$42&amp;")X"</f>
        <v>(SELECT prtctn_id, add_fld05 FROM BU_LOANTAPE_WORK.LT004_PROTECTION WHERE ref_date='${ref_date}' AND nome_perimetro='Individual Local' AND segmento='ESTR' AND ambito='SRB_MBDT' AND entidade='00100')X</v>
      </c>
      <c r="J599" s="34" t="str">
        <f>"(SELECT "&amp;VLOOKUP(B599,'0. Instruções'!$C$27:$G$32,4,FALSE)&amp;" AS "&amp;VLOOKUP(B599,'0. Instruções'!$C$27:$G$32,4,FALSE)&amp;"_SIMUL, "&amp;F599&amp;" AS "&amp;F599&amp;"_SIMUL FROM "&amp;E599&amp;" WHERE "&amp;'0. Instruções'!$D$43&amp;")Y"</f>
        <v>(SELECT prtctn_id AS prtctn_id_SIMUL, add_fld05 AS add_fld05_SIMUL FROM BU_LOANTAPE_WORK.SIMUL_LT004 WHERE ref_date='${ref_date}' AND nome_perimetro='Individual Local' AND segmento='ESTR' AND ambito='PILAR3' AND entidade='00100')Y</v>
      </c>
      <c r="K599" s="35" t="str">
        <f>+UPPER("ON X."&amp;VLOOKUP(B599,'0. Instruções'!$C$27:$G$32,4,FALSE)&amp;"=Y."&amp;VLOOKUP(B599,'0. Instruções'!$C$27:$G$32,4,FALSE)&amp;"_SIMUL")</f>
        <v>ON X.PRTCTN_ID=Y.PRTCTN_ID_SIMUL</v>
      </c>
      <c r="L599" s="35" t="str">
        <f>+IF(C599="Coerência", +IF(LEFT(G599,5)="FLOAT","SELECT '"&amp;UPPER(B599)&amp;"' AS TABELA, '"&amp;UPPER(C599)&amp;"' AS TIPOLOGIA_TESTE,'"&amp;D599&amp;"' AS TABELA_LT,'"&amp;E599&amp;"' AS TABELA_SIMUL,'"&amp;F599&amp;"' AS CAMPO, "&amp;"'${ref_date}' AS REF_DATE, COUNT(*) AS NUM_REG, SUM(IF((ABS(COALESCE(CAST(X."&amp;F599&amp;" AS DECIMAL(18,6)),0)-COALESCE(CAST(Y."&amp;F599&amp;"_SIMUL AS DECIMAL(18,6)),0))&gt;0.000001) OR (X."&amp;F599&amp;" IS NULL AND Y."&amp;F599&amp;"_SIMUL IS NOT NULL ) OR (X."&amp;F599&amp;" IS NOT NULL AND Y."&amp;F599&amp;"_SIMUL IS NULL),1,0)) AS NUM_REG_DIF,'"&amp;MAX('ID1&amp;5'!K:K)+1&amp;"' AS ID_EXEC, CURRENT_TIMESTAMP() AS TIME_EXEC FROM "&amp;I599&amp;" INNER JOIN "&amp;J599&amp;" "&amp;K599,"SELECT '"&amp;UPPER(B599)&amp;"' AS TABELA, '"&amp;UPPER(C599)&amp;"' AS TIPOLOGIA_TESTE,'"&amp;D599&amp;"' AS TABELA_LT,'"&amp;E599&amp;"' AS TABELA_SIMUL,'"&amp;F599&amp;"' AS CAMPO, "&amp;"'${ref_date}' AS REF_DATE, COUNT(*) AS NUM_REG, SUM(IF(COALESCE(CAST(X."&amp;F599&amp;" AS STRING),'')&lt;&gt;COALESCE(CAST(Y."&amp;F599&amp;"_SIMUL AS STRING),'') OR (X."&amp;F599&amp;" IS NULL AND Y."&amp;F599&amp;"_SIMUL IS NOT NULL ) OR (X."&amp;F599&amp;" IS NOT NULL AND Y."&amp;F599&amp;"_SIMUL IS NULL),1,0)) AS NUM_REG_DIF,'"&amp;MAX('ID1&amp;5'!L:L)+1&amp;"' AS ID_EXEC, CURRENT_TIMESTAMP() AS TIME_EXEC FROM "&amp;I599&amp;" INNER JOIN "&amp;J599&amp;" "&amp;K599),
IF(C599="Validade",+IF(G599="Code List","SELECT '"&amp;UPPER(B599)&amp;"' AS TABELA, '"&amp;UPPER(C599)&amp;"' AS TIPOLOGIA_TESTE,'"&amp;D599&amp;"' AS TABELA_LT,'N/A' AS TABELA_SIMUL,'"&amp;F599&amp;"' AS CAMPO, "&amp;"'${ref_date}' AS REF_DATE, COUNT(*) AS NUM_REG, SUM(IF(TRIM(CAST(X."&amp;F599&amp;" AS STRING))='' OR TRIM(CAST(X."&amp;F599&amp;" AS STRING)) IS NULL OR CAST(X."&amp;F599&amp;" AS STRING) NOT "&amp;H599&amp;",1,0)) AS NUM_REG_DIF,'"&amp;MAX('ID1&amp;5'!K:K)+1&amp;"' AS ID_EXEC, CURRENT_TIMESTAMP() AS TIME_EXEC FROM "&amp;I599,"SELECT '"&amp;UPPER(B599)&amp;"' AS TABELA, '"&amp;UPPER(C599)&amp;"' AS TIPOLOGIA_TESTE,'"&amp;D599&amp;"' AS TABELA_LT,'N/A' AS TABELA_SIMUL,'"&amp;F599&amp;"' AS CAMPO, "&amp;"'${ref_date}' AS REF_DATE, COUNT(*) AS NUM_REG, SUM(IF(TRIM(CAST(X."&amp;F599&amp;" AS STRING))='' OR TRIM(CAST(X."&amp;F599&amp;" AS STRING)) IS NULL,1,0)) AS NUM_REG_DIF,'"&amp;MAX('ID1&amp;5'!K:K)+1&amp;"' AS ID_EXEC, CURRENT_TIMESTAMP() AS TIME_EXEC FROM "&amp;I599),
IF(C599="Caracteres Especiais",+"SELECT '"&amp;UPPER(B599)&amp;"' AS TABELA, '"&amp;UPPER(C599)&amp;"' AS TIPOLOGIA_TESTE,'"&amp;D599&amp;"' AS TABELA_LT,'N/A' AS TABELA_SIMUL,'"&amp;F599&amp;"' AS CAMPO, "&amp;"'${ref_date}' AS REF_DATE, COUNT(*) AS NUM_REG, SUM(IF(REGEXP_REPLACE(TRIM(CAST(X."&amp;F599&amp;" AS STRING)),'[^a-zA-Z0-9_\\s]','') &lt;&gt;TRIM(CAST(X."&amp;F599&amp;" AS STRING)),1,0)) AS NUM_REG_DIF,'"&amp;MAX('ID1&amp;5'!K:K)+1&amp;"' AS ID_EXEC, CURRENT_TIMESTAMP() AS TIME_EXEC FROM "&amp;I599,
IF(C599="Missings",+"SELECT '"&amp;UPPER(B599)&amp;"' AS TABELA, '"&amp;UPPER(C599)&amp;"' AS TIPOLOGIA_TESTE,'"&amp;D599&amp;"' AS TABELA_LT,'N/A' AS TABELA_SIMUL,'"&amp;F599&amp;"' AS CAMPO, "&amp;"'${ref_date}' AS REF_DATE, COUNT(*) AS NUM_REG, SUM(IF(TRIM(CAST(X."&amp;F599&amp;" AS STRING)) IN ('0000-00-00','0001-01-01','9999-12-31','MISS','00000','99999999999','99999999999.00','99999999999.000000'),1,0)) AS NUM_REG_DIF,'"&amp;MAX('ID1&amp;5'!K:K)+1&amp;"' AS ID_EXEC, CURRENT_TIMESTAMP() AS TIME_EXEC FROM "&amp;I599,
IF(C599="Not applicable",+"SELECT '"&amp;UPPER(B599)&amp;"' AS TABELA, '"&amp;UPPER(C599)&amp;"' AS TIPOLOGIA_TESTE,'"&amp;D599&amp;"' AS TABELA_LT,'N/A' AS TABELA_SIMUL,'"&amp;F599&amp;"' AS CAMPO, "&amp;"'${ref_date}' AS REF_DATE, COUNT(*) AS NUM_REG, SUM(IF(TRIM(CAST(X."&amp;F599&amp;" AS STRING)) IN ('N/A','11111111111','11111111111.00','11111111111.000000','1111-11-11'),1,0)) AS NUM_REG_DIF,'"&amp;MAX('ID1&amp;5'!K:K)+1&amp;"' AS ID_EXEC, CURRENT_TIMESTAMP() AS TIME_EXEC FROM "&amp;I599,
IF(C599="Valores extremos",+"SELECT '"&amp;UPPER(B599)&amp;"' AS TABELA, '"&amp;UPPER(C599)&amp;"' AS TIPOLOGIA_TESTE,'"&amp;D599&amp;"' AS TABELA_LT,'N/A' AS TABELA_SIMUL,'"&amp;F599&amp;"' AS CAMPO, "&amp;"'${ref_date}' AS REF_DATE, CAST(MIN("&amp;F599&amp;") AS STRING) AS VALOR_MIN, CAST(MAX("&amp;F599&amp;") AS STRING) AS VALOR_MAX,'"&amp;MAX('ID1&amp;5'!K:K)+1&amp;"' AS ID_EXEC, CURRENT_TIMESTAMP() AS TIME_EXEC FROM "&amp;MID(I599,1,LEN(I599)-2)&amp;" AND CAST("&amp;F599&amp;"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TABELA_SIMUL,'add_fld05' AS CAMPO, '${ref_date}' AS REF_DATE, COUNT(*) AS NUM_REG, SUM(IF(COALESCE(CAST(X.add_fld05 AS STRING),'')&lt;&gt;COALESCE(CAST(Y.add_fld05_SIMUL AS STRING),'') OR (X.add_fld05 IS NULL AND Y.add_fld05_SIMUL IS NOT NULL ) OR (X.add_fld05 IS NOT NULL AND Y.add_fld05_SIMUL IS NULL),1,0)) AS NUM_REG_DIF,'1' AS ID_EXEC, CURRENT_TIMESTAMP() AS TIME_EXEC FROM (SELECT prtctn_id, add_fld05 FROM BU_LOANTAPE_WORK.LT004_PROTECTION WHERE ref_date='${ref_date}' AND nome_perimetro='Individual Local' AND segmento='ESTR' AND ambito='SRB_MBDT' AND entidade='00100')X INNER JOIN (SELECT prtctn_id AS prtctn_id_SIMUL, add_fld05 AS add_fld05_SIMUL FROM BU_LOANTAPE_WORK.SIMUL_LT004 WHERE ref_date='${ref_date}' AND nome_perimetro='Individual Local' AND segmento='ESTR' AND ambito='PILAR3' AND entidade='00100')Y ON X.PRTCTN_ID=Y.PRTCTN_ID_SIMUL</v>
      </c>
      <c r="M599" s="36" t="str">
        <f t="shared" si="14"/>
        <v>UNION ALL SELECT 'PROTECTION' AS TABELA, 'COERÊNCIA' AS TIPOLOGIA_TESTE,'BU_LOANTAPE_WORK.LT004_PROTECTION' AS TABELA_LT,'BU_LOANTAPE_WORK.SIMUL_LT004' AS TABELA_SIMUL,'add_fld05' AS CAMPO, '${ref_date}' AS REF_DATE, COUNT(*) AS NUM_REG, SUM(IF(COALESCE(CAST(X.add_fld05 AS STRING),'')&lt;&gt;COALESCE(CAST(Y.add_fld05_SIMUL AS STRING),'') OR (X.add_fld05 IS NULL AND Y.add_fld05_SIMUL IS NOT NULL ) OR (X.add_fld05 IS NOT NULL AND Y.add_fld05_SIMUL IS NULL),1,0)) AS NUM_REG_DIF,'1' AS ID_EXEC, CURRENT_TIMESTAMP() AS TIME_EXEC FROM (SELECT prtctn_id, add_fld05 FROM BU_LOANTAPE_WORK.LT004_PROTECTION WHERE ref_date='${ref_date}' AND nome_perimetro='Individual Local' AND segmento='ESTR' AND ambito='SRB_MBDT' AND entidade='00100')X INNER JOIN (SELECT prtctn_id AS prtctn_id_SIMUL, add_fld05 AS add_fld05_SIMUL FROM BU_LOANTAPE_WORK.SIMUL_LT004 WHERE ref_date='${ref_date}' AND nome_perimetro='Individual Local' AND segmento='ESTR' AND ambito='PILAR3' AND entidade='00100')Y ON X.PRTCTN_ID=Y.PRTCTN_ID_SIMUL</v>
      </c>
    </row>
    <row r="600" spans="2:13">
      <c r="B600" s="34" t="s">
        <v>119</v>
      </c>
      <c r="C600" s="34" t="s">
        <v>5</v>
      </c>
      <c r="D600" s="34" t="str">
        <f>+UPPER('0. Instruções'!$D$35&amp;"."&amp;VLOOKUP(B600,'0. Instruções'!$C$27:$D$32,2,FALSE))</f>
        <v>BU_LOANTAPE_WORK.LT004_PROTECTION</v>
      </c>
      <c r="E600" s="34" t="str">
        <f>+UPPER('0. Instruções'!$D$36&amp;"."&amp;VLOOKUP(B600,'0. Instruções'!$C$27:$E$32,3,FALSE))</f>
        <v>BU_LOANTAPE_WORK.SIMUL_LT004</v>
      </c>
      <c r="F600" s="34" t="s">
        <v>1250</v>
      </c>
      <c r="G600" s="34"/>
      <c r="H600" s="34"/>
      <c r="I600" s="34" t="str">
        <f>"(SELECT "&amp;VLOOKUP(B600,'0. Instruções'!$C$27:$G$32,4,FALSE)&amp;", "&amp;F600&amp;" FROM "&amp;D600&amp;" WHERE "&amp;'0. Instruções'!$D$42&amp;")X"</f>
        <v>(SELECT prtctn_id, add_fld06 FROM BU_LOANTAPE_WORK.LT004_PROTECTION WHERE ref_date='${ref_date}' AND nome_perimetro='Individual Local' AND segmento='ESTR' AND ambito='SRB_MBDT' AND entidade='00100')X</v>
      </c>
      <c r="J600" s="34" t="str">
        <f>"(SELECT "&amp;VLOOKUP(B600,'0. Instruções'!$C$27:$G$32,4,FALSE)&amp;" AS "&amp;VLOOKUP(B600,'0. Instruções'!$C$27:$G$32,4,FALSE)&amp;"_SIMUL, "&amp;F600&amp;" AS "&amp;F600&amp;"_SIMUL FROM "&amp;E600&amp;" WHERE "&amp;'0. Instruções'!$D$43&amp;")Y"</f>
        <v>(SELECT prtctn_id AS prtctn_id_SIMUL, add_fld06 AS add_fld06_SIMUL FROM BU_LOANTAPE_WORK.SIMUL_LT004 WHERE ref_date='${ref_date}' AND nome_perimetro='Individual Local' AND segmento='ESTR' AND ambito='PILAR3' AND entidade='00100')Y</v>
      </c>
      <c r="K600" s="35" t="str">
        <f>+UPPER("ON X."&amp;VLOOKUP(B600,'0. Instruções'!$C$27:$G$32,4,FALSE)&amp;"=Y."&amp;VLOOKUP(B600,'0. Instruções'!$C$27:$G$32,4,FALSE)&amp;"_SIMUL")</f>
        <v>ON X.PRTCTN_ID=Y.PRTCTN_ID_SIMUL</v>
      </c>
      <c r="L600" s="35" t="str">
        <f>+IF(C600="Coerência", +IF(LEFT(G600,5)="FLOAT","SELECT '"&amp;UPPER(B600)&amp;"' AS TABELA, '"&amp;UPPER(C600)&amp;"' AS TIPOLOGIA_TESTE,'"&amp;D600&amp;"' AS TABELA_LT,'"&amp;E600&amp;"' AS TABELA_SIMUL,'"&amp;F600&amp;"' AS CAMPO, "&amp;"'${ref_date}' AS REF_DATE, COUNT(*) AS NUM_REG, SUM(IF((ABS(COALESCE(CAST(X."&amp;F600&amp;" AS DECIMAL(18,6)),0)-COALESCE(CAST(Y."&amp;F600&amp;"_SIMUL AS DECIMAL(18,6)),0))&gt;0.000001) OR (X."&amp;F600&amp;" IS NULL AND Y."&amp;F600&amp;"_SIMUL IS NOT NULL ) OR (X."&amp;F600&amp;" IS NOT NULL AND Y."&amp;F600&amp;"_SIMUL IS NULL),1,0)) AS NUM_REG_DIF,'"&amp;MAX('ID1&amp;5'!K:K)+1&amp;"' AS ID_EXEC, CURRENT_TIMESTAMP() AS TIME_EXEC FROM "&amp;I600&amp;" INNER JOIN "&amp;J600&amp;" "&amp;K600,"SELECT '"&amp;UPPER(B600)&amp;"' AS TABELA, '"&amp;UPPER(C600)&amp;"' AS TIPOLOGIA_TESTE,'"&amp;D600&amp;"' AS TABELA_LT,'"&amp;E600&amp;"' AS TABELA_SIMUL,'"&amp;F600&amp;"' AS CAMPO, "&amp;"'${ref_date}' AS REF_DATE, COUNT(*) AS NUM_REG, SUM(IF(COALESCE(CAST(X."&amp;F600&amp;" AS STRING),'')&lt;&gt;COALESCE(CAST(Y."&amp;F600&amp;"_SIMUL AS STRING),'') OR (X."&amp;F600&amp;" IS NULL AND Y."&amp;F600&amp;"_SIMUL IS NOT NULL ) OR (X."&amp;F600&amp;" IS NOT NULL AND Y."&amp;F600&amp;"_SIMUL IS NULL),1,0)) AS NUM_REG_DIF,'"&amp;MAX('ID1&amp;5'!L:L)+1&amp;"' AS ID_EXEC, CURRENT_TIMESTAMP() AS TIME_EXEC FROM "&amp;I600&amp;" INNER JOIN "&amp;J600&amp;" "&amp;K600),
IF(C600="Validade",+IF(G600="Code List","SELECT '"&amp;UPPER(B600)&amp;"' AS TABELA, '"&amp;UPPER(C600)&amp;"' AS TIPOLOGIA_TESTE,'"&amp;D600&amp;"' AS TABELA_LT,'N/A' AS TABELA_SIMUL,'"&amp;F600&amp;"' AS CAMPO, "&amp;"'${ref_date}' AS REF_DATE, COUNT(*) AS NUM_REG, SUM(IF(TRIM(CAST(X."&amp;F600&amp;" AS STRING))='' OR TRIM(CAST(X."&amp;F600&amp;" AS STRING)) IS NULL OR CAST(X."&amp;F600&amp;" AS STRING) NOT "&amp;H600&amp;",1,0)) AS NUM_REG_DIF,'"&amp;MAX('ID1&amp;5'!K:K)+1&amp;"' AS ID_EXEC, CURRENT_TIMESTAMP() AS TIME_EXEC FROM "&amp;I600,"SELECT '"&amp;UPPER(B600)&amp;"' AS TABELA, '"&amp;UPPER(C600)&amp;"' AS TIPOLOGIA_TESTE,'"&amp;D600&amp;"' AS TABELA_LT,'N/A' AS TABELA_SIMUL,'"&amp;F600&amp;"' AS CAMPO, "&amp;"'${ref_date}' AS REF_DATE, COUNT(*) AS NUM_REG, SUM(IF(TRIM(CAST(X."&amp;F600&amp;" AS STRING))='' OR TRIM(CAST(X."&amp;F600&amp;" AS STRING)) IS NULL,1,0)) AS NUM_REG_DIF,'"&amp;MAX('ID1&amp;5'!K:K)+1&amp;"' AS ID_EXEC, CURRENT_TIMESTAMP() AS TIME_EXEC FROM "&amp;I600),
IF(C600="Caracteres Especiais",+"SELECT '"&amp;UPPER(B600)&amp;"' AS TABELA, '"&amp;UPPER(C600)&amp;"' AS TIPOLOGIA_TESTE,'"&amp;D600&amp;"' AS TABELA_LT,'N/A' AS TABELA_SIMUL,'"&amp;F600&amp;"' AS CAMPO, "&amp;"'${ref_date}' AS REF_DATE, COUNT(*) AS NUM_REG, SUM(IF(REGEXP_REPLACE(TRIM(CAST(X."&amp;F600&amp;" AS STRING)),'[^a-zA-Z0-9_\\s]','') &lt;&gt;TRIM(CAST(X."&amp;F600&amp;" AS STRING)),1,0)) AS NUM_REG_DIF,'"&amp;MAX('ID1&amp;5'!K:K)+1&amp;"' AS ID_EXEC, CURRENT_TIMESTAMP() AS TIME_EXEC FROM "&amp;I600,
IF(C600="Missings",+"SELECT '"&amp;UPPER(B600)&amp;"' AS TABELA, '"&amp;UPPER(C600)&amp;"' AS TIPOLOGIA_TESTE,'"&amp;D600&amp;"' AS TABELA_LT,'N/A' AS TABELA_SIMUL,'"&amp;F600&amp;"' AS CAMPO, "&amp;"'${ref_date}' AS REF_DATE, COUNT(*) AS NUM_REG, SUM(IF(TRIM(CAST(X."&amp;F600&amp;" AS STRING)) IN ('0000-00-00','0001-01-01','9999-12-31','MISS','00000','99999999999','99999999999.00','99999999999.000000'),1,0)) AS NUM_REG_DIF,'"&amp;MAX('ID1&amp;5'!K:K)+1&amp;"' AS ID_EXEC, CURRENT_TIMESTAMP() AS TIME_EXEC FROM "&amp;I600,
IF(C600="Not applicable",+"SELECT '"&amp;UPPER(B600)&amp;"' AS TABELA, '"&amp;UPPER(C600)&amp;"' AS TIPOLOGIA_TESTE,'"&amp;D600&amp;"' AS TABELA_LT,'N/A' AS TABELA_SIMUL,'"&amp;F600&amp;"' AS CAMPO, "&amp;"'${ref_date}' AS REF_DATE, COUNT(*) AS NUM_REG, SUM(IF(TRIM(CAST(X."&amp;F600&amp;" AS STRING)) IN ('N/A','11111111111','11111111111.00','11111111111.000000','1111-11-11'),1,0)) AS NUM_REG_DIF,'"&amp;MAX('ID1&amp;5'!K:K)+1&amp;"' AS ID_EXEC, CURRENT_TIMESTAMP() AS TIME_EXEC FROM "&amp;I600,
IF(C600="Valores extremos",+"SELECT '"&amp;UPPER(B600)&amp;"' AS TABELA, '"&amp;UPPER(C600)&amp;"' AS TIPOLOGIA_TESTE,'"&amp;D600&amp;"' AS TABELA_LT,'N/A' AS TABELA_SIMUL,'"&amp;F600&amp;"' AS CAMPO, "&amp;"'${ref_date}' AS REF_DATE, CAST(MIN("&amp;F600&amp;") AS STRING) AS VALOR_MIN, CAST(MAX("&amp;F600&amp;") AS STRING) AS VALOR_MAX,'"&amp;MAX('ID1&amp;5'!K:K)+1&amp;"' AS ID_EXEC, CURRENT_TIMESTAMP() AS TIME_EXEC FROM "&amp;MID(I600,1,LEN(I600)-2)&amp;" AND CAST("&amp;F600&amp;"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TABELA_SIMUL,'add_fld06' AS CAMPO, '${ref_date}' AS REF_DATE, COUNT(*) AS NUM_REG, SUM(IF(COALESCE(CAST(X.add_fld06 AS STRING),'')&lt;&gt;COALESCE(CAST(Y.add_fld06_SIMUL AS STRING),'') OR (X.add_fld06 IS NULL AND Y.add_fld06_SIMUL IS NOT NULL ) OR (X.add_fld06 IS NOT NULL AND Y.add_fld06_SIMUL IS NULL),1,0)) AS NUM_REG_DIF,'1' AS ID_EXEC, CURRENT_TIMESTAMP() AS TIME_EXEC FROM (SELECT prtctn_id, add_fld06 FROM BU_LOANTAPE_WORK.LT004_PROTECTION WHERE ref_date='${ref_date}' AND nome_perimetro='Individual Local' AND segmento='ESTR' AND ambito='SRB_MBDT' AND entidade='00100')X INNER JOIN (SELECT prtctn_id AS prtctn_id_SIMUL, add_fld06 AS add_fld06_SIMUL FROM BU_LOANTAPE_WORK.SIMUL_LT004 WHERE ref_date='${ref_date}' AND nome_perimetro='Individual Local' AND segmento='ESTR' AND ambito='PILAR3' AND entidade='00100')Y ON X.PRTCTN_ID=Y.PRTCTN_ID_SIMUL</v>
      </c>
      <c r="M600" s="36" t="str">
        <f t="shared" si="14"/>
        <v>UNION ALL SELECT 'PROTECTION' AS TABELA, 'COERÊNCIA' AS TIPOLOGIA_TESTE,'BU_LOANTAPE_WORK.LT004_PROTECTION' AS TABELA_LT,'BU_LOANTAPE_WORK.SIMUL_LT004' AS TABELA_SIMUL,'add_fld06' AS CAMPO, '${ref_date}' AS REF_DATE, COUNT(*) AS NUM_REG, SUM(IF(COALESCE(CAST(X.add_fld06 AS STRING),'')&lt;&gt;COALESCE(CAST(Y.add_fld06_SIMUL AS STRING),'') OR (X.add_fld06 IS NULL AND Y.add_fld06_SIMUL IS NOT NULL ) OR (X.add_fld06 IS NOT NULL AND Y.add_fld06_SIMUL IS NULL),1,0)) AS NUM_REG_DIF,'1' AS ID_EXEC, CURRENT_TIMESTAMP() AS TIME_EXEC FROM (SELECT prtctn_id, add_fld06 FROM BU_LOANTAPE_WORK.LT004_PROTECTION WHERE ref_date='${ref_date}' AND nome_perimetro='Individual Local' AND segmento='ESTR' AND ambito='SRB_MBDT' AND entidade='00100')X INNER JOIN (SELECT prtctn_id AS prtctn_id_SIMUL, add_fld06 AS add_fld06_SIMUL FROM BU_LOANTAPE_WORK.SIMUL_LT004 WHERE ref_date='${ref_date}' AND nome_perimetro='Individual Local' AND segmento='ESTR' AND ambito='PILAR3' AND entidade='00100')Y ON X.PRTCTN_ID=Y.PRTCTN_ID_SIMUL</v>
      </c>
    </row>
    <row r="601" spans="2:13">
      <c r="B601" s="34" t="s">
        <v>119</v>
      </c>
      <c r="C601" s="34" t="s">
        <v>5</v>
      </c>
      <c r="D601" s="34" t="str">
        <f>+UPPER('0. Instruções'!$D$35&amp;"."&amp;VLOOKUP(B601,'0. Instruções'!$C$27:$D$32,2,FALSE))</f>
        <v>BU_LOANTAPE_WORK.LT004_PROTECTION</v>
      </c>
      <c r="E601" s="34" t="str">
        <f>+UPPER('0. Instruções'!$D$36&amp;"."&amp;VLOOKUP(B601,'0. Instruções'!$C$27:$E$32,3,FALSE))</f>
        <v>BU_LOANTAPE_WORK.SIMUL_LT004</v>
      </c>
      <c r="F601" s="34" t="s">
        <v>1251</v>
      </c>
      <c r="G601" s="34"/>
      <c r="H601" s="34"/>
      <c r="I601" s="34" t="str">
        <f>"(SELECT "&amp;VLOOKUP(B601,'0. Instruções'!$C$27:$G$32,4,FALSE)&amp;", "&amp;F601&amp;" FROM "&amp;D601&amp;" WHERE "&amp;'0. Instruções'!$D$42&amp;")X"</f>
        <v>(SELECT prtctn_id, add_fld07 FROM BU_LOANTAPE_WORK.LT004_PROTECTION WHERE ref_date='${ref_date}' AND nome_perimetro='Individual Local' AND segmento='ESTR' AND ambito='SRB_MBDT' AND entidade='00100')X</v>
      </c>
      <c r="J601" s="34" t="str">
        <f>"(SELECT "&amp;VLOOKUP(B601,'0. Instruções'!$C$27:$G$32,4,FALSE)&amp;" AS "&amp;VLOOKUP(B601,'0. Instruções'!$C$27:$G$32,4,FALSE)&amp;"_SIMUL, "&amp;F601&amp;" AS "&amp;F601&amp;"_SIMUL FROM "&amp;E601&amp;" WHERE "&amp;'0. Instruções'!$D$43&amp;")Y"</f>
        <v>(SELECT prtctn_id AS prtctn_id_SIMUL, add_fld07 AS add_fld07_SIMUL FROM BU_LOANTAPE_WORK.SIMUL_LT004 WHERE ref_date='${ref_date}' AND nome_perimetro='Individual Local' AND segmento='ESTR' AND ambito='PILAR3' AND entidade='00100')Y</v>
      </c>
      <c r="K601" s="35" t="str">
        <f>+UPPER("ON X."&amp;VLOOKUP(B601,'0. Instruções'!$C$27:$G$32,4,FALSE)&amp;"=Y."&amp;VLOOKUP(B601,'0. Instruções'!$C$27:$G$32,4,FALSE)&amp;"_SIMUL")</f>
        <v>ON X.PRTCTN_ID=Y.PRTCTN_ID_SIMUL</v>
      </c>
      <c r="L601" s="35" t="str">
        <f>+IF(C601="Coerência", +IF(LEFT(G601,5)="FLOAT","SELECT '"&amp;UPPER(B601)&amp;"' AS TABELA, '"&amp;UPPER(C601)&amp;"' AS TIPOLOGIA_TESTE,'"&amp;D601&amp;"' AS TABELA_LT,'"&amp;E601&amp;"' AS TABELA_SIMUL,'"&amp;F601&amp;"' AS CAMPO, "&amp;"'${ref_date}' AS REF_DATE, COUNT(*) AS NUM_REG, SUM(IF((ABS(COALESCE(CAST(X."&amp;F601&amp;" AS DECIMAL(18,6)),0)-COALESCE(CAST(Y."&amp;F601&amp;"_SIMUL AS DECIMAL(18,6)),0))&gt;0.000001) OR (X."&amp;F601&amp;" IS NULL AND Y."&amp;F601&amp;"_SIMUL IS NOT NULL ) OR (X."&amp;F601&amp;" IS NOT NULL AND Y."&amp;F601&amp;"_SIMUL IS NULL),1,0)) AS NUM_REG_DIF,'"&amp;MAX('ID1&amp;5'!K:K)+1&amp;"' AS ID_EXEC, CURRENT_TIMESTAMP() AS TIME_EXEC FROM "&amp;I601&amp;" INNER JOIN "&amp;J601&amp;" "&amp;K601,"SELECT '"&amp;UPPER(B601)&amp;"' AS TABELA, '"&amp;UPPER(C601)&amp;"' AS TIPOLOGIA_TESTE,'"&amp;D601&amp;"' AS TABELA_LT,'"&amp;E601&amp;"' AS TABELA_SIMUL,'"&amp;F601&amp;"' AS CAMPO, "&amp;"'${ref_date}' AS REF_DATE, COUNT(*) AS NUM_REG, SUM(IF(COALESCE(CAST(X."&amp;F601&amp;" AS STRING),'')&lt;&gt;COALESCE(CAST(Y."&amp;F601&amp;"_SIMUL AS STRING),'') OR (X."&amp;F601&amp;" IS NULL AND Y."&amp;F601&amp;"_SIMUL IS NOT NULL ) OR (X."&amp;F601&amp;" IS NOT NULL AND Y."&amp;F601&amp;"_SIMUL IS NULL),1,0)) AS NUM_REG_DIF,'"&amp;MAX('ID1&amp;5'!L:L)+1&amp;"' AS ID_EXEC, CURRENT_TIMESTAMP() AS TIME_EXEC FROM "&amp;I601&amp;" INNER JOIN "&amp;J601&amp;" "&amp;K601),
IF(C601="Validade",+IF(G601="Code List","SELECT '"&amp;UPPER(B601)&amp;"' AS TABELA, '"&amp;UPPER(C601)&amp;"' AS TIPOLOGIA_TESTE,'"&amp;D601&amp;"' AS TABELA_LT,'N/A' AS TABELA_SIMUL,'"&amp;F601&amp;"' AS CAMPO, "&amp;"'${ref_date}' AS REF_DATE, COUNT(*) AS NUM_REG, SUM(IF(TRIM(CAST(X."&amp;F601&amp;" AS STRING))='' OR TRIM(CAST(X."&amp;F601&amp;" AS STRING)) IS NULL OR CAST(X."&amp;F601&amp;" AS STRING) NOT "&amp;H601&amp;",1,0)) AS NUM_REG_DIF,'"&amp;MAX('ID1&amp;5'!K:K)+1&amp;"' AS ID_EXEC, CURRENT_TIMESTAMP() AS TIME_EXEC FROM "&amp;I601,"SELECT '"&amp;UPPER(B601)&amp;"' AS TABELA, '"&amp;UPPER(C601)&amp;"' AS TIPOLOGIA_TESTE,'"&amp;D601&amp;"' AS TABELA_LT,'N/A' AS TABELA_SIMUL,'"&amp;F601&amp;"' AS CAMPO, "&amp;"'${ref_date}' AS REF_DATE, COUNT(*) AS NUM_REG, SUM(IF(TRIM(CAST(X."&amp;F601&amp;" AS STRING))='' OR TRIM(CAST(X."&amp;F601&amp;" AS STRING)) IS NULL,1,0)) AS NUM_REG_DIF,'"&amp;MAX('ID1&amp;5'!K:K)+1&amp;"' AS ID_EXEC, CURRENT_TIMESTAMP() AS TIME_EXEC FROM "&amp;I601),
IF(C601="Caracteres Especiais",+"SELECT '"&amp;UPPER(B601)&amp;"' AS TABELA, '"&amp;UPPER(C601)&amp;"' AS TIPOLOGIA_TESTE,'"&amp;D601&amp;"' AS TABELA_LT,'N/A' AS TABELA_SIMUL,'"&amp;F601&amp;"' AS CAMPO, "&amp;"'${ref_date}' AS REF_DATE, COUNT(*) AS NUM_REG, SUM(IF(REGEXP_REPLACE(TRIM(CAST(X."&amp;F601&amp;" AS STRING)),'[^a-zA-Z0-9_\\s]','') &lt;&gt;TRIM(CAST(X."&amp;F601&amp;" AS STRING)),1,0)) AS NUM_REG_DIF,'"&amp;MAX('ID1&amp;5'!K:K)+1&amp;"' AS ID_EXEC, CURRENT_TIMESTAMP() AS TIME_EXEC FROM "&amp;I601,
IF(C601="Missings",+"SELECT '"&amp;UPPER(B601)&amp;"' AS TABELA, '"&amp;UPPER(C601)&amp;"' AS TIPOLOGIA_TESTE,'"&amp;D601&amp;"' AS TABELA_LT,'N/A' AS TABELA_SIMUL,'"&amp;F601&amp;"' AS CAMPO, "&amp;"'${ref_date}' AS REF_DATE, COUNT(*) AS NUM_REG, SUM(IF(TRIM(CAST(X."&amp;F601&amp;" AS STRING)) IN ('0000-00-00','0001-01-01','9999-12-31','MISS','00000','99999999999','99999999999.00','99999999999.000000'),1,0)) AS NUM_REG_DIF,'"&amp;MAX('ID1&amp;5'!K:K)+1&amp;"' AS ID_EXEC, CURRENT_TIMESTAMP() AS TIME_EXEC FROM "&amp;I601,
IF(C601="Not applicable",+"SELECT '"&amp;UPPER(B601)&amp;"' AS TABELA, '"&amp;UPPER(C601)&amp;"' AS TIPOLOGIA_TESTE,'"&amp;D601&amp;"' AS TABELA_LT,'N/A' AS TABELA_SIMUL,'"&amp;F601&amp;"' AS CAMPO, "&amp;"'${ref_date}' AS REF_DATE, COUNT(*) AS NUM_REG, SUM(IF(TRIM(CAST(X."&amp;F601&amp;" AS STRING)) IN ('N/A','11111111111','11111111111.00','11111111111.000000','1111-11-11'),1,0)) AS NUM_REG_DIF,'"&amp;MAX('ID1&amp;5'!K:K)+1&amp;"' AS ID_EXEC, CURRENT_TIMESTAMP() AS TIME_EXEC FROM "&amp;I601,
IF(C601="Valores extremos",+"SELECT '"&amp;UPPER(B601)&amp;"' AS TABELA, '"&amp;UPPER(C601)&amp;"' AS TIPOLOGIA_TESTE,'"&amp;D601&amp;"' AS TABELA_LT,'N/A' AS TABELA_SIMUL,'"&amp;F601&amp;"' AS CAMPO, "&amp;"'${ref_date}' AS REF_DATE, CAST(MIN("&amp;F601&amp;") AS STRING) AS VALOR_MIN, CAST(MAX("&amp;F601&amp;") AS STRING) AS VALOR_MAX,'"&amp;MAX('ID1&amp;5'!K:K)+1&amp;"' AS ID_EXEC, CURRENT_TIMESTAMP() AS TIME_EXEC FROM "&amp;MID(I601,1,LEN(I601)-2)&amp;" AND CAST("&amp;F601&amp;"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TABELA_SIMUL,'add_fld07' AS CAMPO, '${ref_date}' AS REF_DATE, COUNT(*) AS NUM_REG, SUM(IF(COALESCE(CAST(X.add_fld07 AS STRING),'')&lt;&gt;COALESCE(CAST(Y.add_fld07_SIMUL AS STRING),'') OR (X.add_fld07 IS NULL AND Y.add_fld07_SIMUL IS NOT NULL ) OR (X.add_fld07 IS NOT NULL AND Y.add_fld07_SIMUL IS NULL),1,0)) AS NUM_REG_DIF,'1' AS ID_EXEC, CURRENT_TIMESTAMP() AS TIME_EXEC FROM (SELECT prtctn_id, add_fld07 FROM BU_LOANTAPE_WORK.LT004_PROTECTION WHERE ref_date='${ref_date}' AND nome_perimetro='Individual Local' AND segmento='ESTR' AND ambito='SRB_MBDT' AND entidade='00100')X INNER JOIN (SELECT prtctn_id AS prtctn_id_SIMUL, add_fld07 AS add_fld07_SIMUL FROM BU_LOANTAPE_WORK.SIMUL_LT004 WHERE ref_date='${ref_date}' AND nome_perimetro='Individual Local' AND segmento='ESTR' AND ambito='PILAR3' AND entidade='00100')Y ON X.PRTCTN_ID=Y.PRTCTN_ID_SIMUL</v>
      </c>
      <c r="M601" s="36" t="str">
        <f t="shared" si="14"/>
        <v>UNION ALL SELECT 'PROTECTION' AS TABELA, 'COERÊNCIA' AS TIPOLOGIA_TESTE,'BU_LOANTAPE_WORK.LT004_PROTECTION' AS TABELA_LT,'BU_LOANTAPE_WORK.SIMUL_LT004' AS TABELA_SIMUL,'add_fld07' AS CAMPO, '${ref_date}' AS REF_DATE, COUNT(*) AS NUM_REG, SUM(IF(COALESCE(CAST(X.add_fld07 AS STRING),'')&lt;&gt;COALESCE(CAST(Y.add_fld07_SIMUL AS STRING),'') OR (X.add_fld07 IS NULL AND Y.add_fld07_SIMUL IS NOT NULL ) OR (X.add_fld07 IS NOT NULL AND Y.add_fld07_SIMUL IS NULL),1,0)) AS NUM_REG_DIF,'1' AS ID_EXEC, CURRENT_TIMESTAMP() AS TIME_EXEC FROM (SELECT prtctn_id, add_fld07 FROM BU_LOANTAPE_WORK.LT004_PROTECTION WHERE ref_date='${ref_date}' AND nome_perimetro='Individual Local' AND segmento='ESTR' AND ambito='SRB_MBDT' AND entidade='00100')X INNER JOIN (SELECT prtctn_id AS prtctn_id_SIMUL, add_fld07 AS add_fld07_SIMUL FROM BU_LOANTAPE_WORK.SIMUL_LT004 WHERE ref_date='${ref_date}' AND nome_perimetro='Individual Local' AND segmento='ESTR' AND ambito='PILAR3' AND entidade='00100')Y ON X.PRTCTN_ID=Y.PRTCTN_ID_SIMUL</v>
      </c>
    </row>
    <row r="602" spans="2:13">
      <c r="B602" s="34" t="s">
        <v>119</v>
      </c>
      <c r="C602" s="34" t="s">
        <v>5</v>
      </c>
      <c r="D602" s="34" t="str">
        <f>+UPPER('0. Instruções'!$D$35&amp;"."&amp;VLOOKUP(B602,'0. Instruções'!$C$27:$D$32,2,FALSE))</f>
        <v>BU_LOANTAPE_WORK.LT004_PROTECTION</v>
      </c>
      <c r="E602" s="34" t="str">
        <f>+UPPER('0. Instruções'!$D$36&amp;"."&amp;VLOOKUP(B602,'0. Instruções'!$C$27:$E$32,3,FALSE))</f>
        <v>BU_LOANTAPE_WORK.SIMUL_LT004</v>
      </c>
      <c r="F602" s="34" t="s">
        <v>1252</v>
      </c>
      <c r="G602" s="34"/>
      <c r="H602" s="34"/>
      <c r="I602" s="34" t="str">
        <f>"(SELECT "&amp;VLOOKUP(B602,'0. Instruções'!$C$27:$G$32,4,FALSE)&amp;", "&amp;F602&amp;" FROM "&amp;D602&amp;" WHERE "&amp;'0. Instruções'!$D$42&amp;")X"</f>
        <v>(SELECT prtctn_id, add_fld08 FROM BU_LOANTAPE_WORK.LT004_PROTECTION WHERE ref_date='${ref_date}' AND nome_perimetro='Individual Local' AND segmento='ESTR' AND ambito='SRB_MBDT' AND entidade='00100')X</v>
      </c>
      <c r="J602" s="34" t="str">
        <f>"(SELECT "&amp;VLOOKUP(B602,'0. Instruções'!$C$27:$G$32,4,FALSE)&amp;" AS "&amp;VLOOKUP(B602,'0. Instruções'!$C$27:$G$32,4,FALSE)&amp;"_SIMUL, "&amp;F602&amp;" AS "&amp;F602&amp;"_SIMUL FROM "&amp;E602&amp;" WHERE "&amp;'0. Instruções'!$D$43&amp;")Y"</f>
        <v>(SELECT prtctn_id AS prtctn_id_SIMUL, add_fld08 AS add_fld08_SIMUL FROM BU_LOANTAPE_WORK.SIMUL_LT004 WHERE ref_date='${ref_date}' AND nome_perimetro='Individual Local' AND segmento='ESTR' AND ambito='PILAR3' AND entidade='00100')Y</v>
      </c>
      <c r="K602" s="35" t="str">
        <f>+UPPER("ON X."&amp;VLOOKUP(B602,'0. Instruções'!$C$27:$G$32,4,FALSE)&amp;"=Y."&amp;VLOOKUP(B602,'0. Instruções'!$C$27:$G$32,4,FALSE)&amp;"_SIMUL")</f>
        <v>ON X.PRTCTN_ID=Y.PRTCTN_ID_SIMUL</v>
      </c>
      <c r="L602" s="35" t="str">
        <f>+IF(C602="Coerência", +IF(LEFT(G602,5)="FLOAT","SELECT '"&amp;UPPER(B602)&amp;"' AS TABELA, '"&amp;UPPER(C602)&amp;"' AS TIPOLOGIA_TESTE,'"&amp;D602&amp;"' AS TABELA_LT,'"&amp;E602&amp;"' AS TABELA_SIMUL,'"&amp;F602&amp;"' AS CAMPO, "&amp;"'${ref_date}' AS REF_DATE, COUNT(*) AS NUM_REG, SUM(IF((ABS(COALESCE(CAST(X."&amp;F602&amp;" AS DECIMAL(18,6)),0)-COALESCE(CAST(Y."&amp;F602&amp;"_SIMUL AS DECIMAL(18,6)),0))&gt;0.000001) OR (X."&amp;F602&amp;" IS NULL AND Y."&amp;F602&amp;"_SIMUL IS NOT NULL ) OR (X."&amp;F602&amp;" IS NOT NULL AND Y."&amp;F602&amp;"_SIMUL IS NULL),1,0)) AS NUM_REG_DIF,'"&amp;MAX('ID1&amp;5'!K:K)+1&amp;"' AS ID_EXEC, CURRENT_TIMESTAMP() AS TIME_EXEC FROM "&amp;I602&amp;" INNER JOIN "&amp;J602&amp;" "&amp;K602,"SELECT '"&amp;UPPER(B602)&amp;"' AS TABELA, '"&amp;UPPER(C602)&amp;"' AS TIPOLOGIA_TESTE,'"&amp;D602&amp;"' AS TABELA_LT,'"&amp;E602&amp;"' AS TABELA_SIMUL,'"&amp;F602&amp;"' AS CAMPO, "&amp;"'${ref_date}' AS REF_DATE, COUNT(*) AS NUM_REG, SUM(IF(COALESCE(CAST(X."&amp;F602&amp;" AS STRING),'')&lt;&gt;COALESCE(CAST(Y."&amp;F602&amp;"_SIMUL AS STRING),'') OR (X."&amp;F602&amp;" IS NULL AND Y."&amp;F602&amp;"_SIMUL IS NOT NULL ) OR (X."&amp;F602&amp;" IS NOT NULL AND Y."&amp;F602&amp;"_SIMUL IS NULL),1,0)) AS NUM_REG_DIF,'"&amp;MAX('ID1&amp;5'!L:L)+1&amp;"' AS ID_EXEC, CURRENT_TIMESTAMP() AS TIME_EXEC FROM "&amp;I602&amp;" INNER JOIN "&amp;J602&amp;" "&amp;K602),
IF(C602="Validade",+IF(G602="Code List","SELECT '"&amp;UPPER(B602)&amp;"' AS TABELA, '"&amp;UPPER(C602)&amp;"' AS TIPOLOGIA_TESTE,'"&amp;D602&amp;"' AS TABELA_LT,'N/A' AS TABELA_SIMUL,'"&amp;F602&amp;"' AS CAMPO, "&amp;"'${ref_date}' AS REF_DATE, COUNT(*) AS NUM_REG, SUM(IF(TRIM(CAST(X."&amp;F602&amp;" AS STRING))='' OR TRIM(CAST(X."&amp;F602&amp;" AS STRING)) IS NULL OR CAST(X."&amp;F602&amp;" AS STRING) NOT "&amp;H602&amp;",1,0)) AS NUM_REG_DIF,'"&amp;MAX('ID1&amp;5'!K:K)+1&amp;"' AS ID_EXEC, CURRENT_TIMESTAMP() AS TIME_EXEC FROM "&amp;I602,"SELECT '"&amp;UPPER(B602)&amp;"' AS TABELA, '"&amp;UPPER(C602)&amp;"' AS TIPOLOGIA_TESTE,'"&amp;D602&amp;"' AS TABELA_LT,'N/A' AS TABELA_SIMUL,'"&amp;F602&amp;"' AS CAMPO, "&amp;"'${ref_date}' AS REF_DATE, COUNT(*) AS NUM_REG, SUM(IF(TRIM(CAST(X."&amp;F602&amp;" AS STRING))='' OR TRIM(CAST(X."&amp;F602&amp;" AS STRING)) IS NULL,1,0)) AS NUM_REG_DIF,'"&amp;MAX('ID1&amp;5'!K:K)+1&amp;"' AS ID_EXEC, CURRENT_TIMESTAMP() AS TIME_EXEC FROM "&amp;I602),
IF(C602="Caracteres Especiais",+"SELECT '"&amp;UPPER(B602)&amp;"' AS TABELA, '"&amp;UPPER(C602)&amp;"' AS TIPOLOGIA_TESTE,'"&amp;D602&amp;"' AS TABELA_LT,'N/A' AS TABELA_SIMUL,'"&amp;F602&amp;"' AS CAMPO, "&amp;"'${ref_date}' AS REF_DATE, COUNT(*) AS NUM_REG, SUM(IF(REGEXP_REPLACE(TRIM(CAST(X."&amp;F602&amp;" AS STRING)),'[^a-zA-Z0-9_\\s]','') &lt;&gt;TRIM(CAST(X."&amp;F602&amp;" AS STRING)),1,0)) AS NUM_REG_DIF,'"&amp;MAX('ID1&amp;5'!K:K)+1&amp;"' AS ID_EXEC, CURRENT_TIMESTAMP() AS TIME_EXEC FROM "&amp;I602,
IF(C602="Missings",+"SELECT '"&amp;UPPER(B602)&amp;"' AS TABELA, '"&amp;UPPER(C602)&amp;"' AS TIPOLOGIA_TESTE,'"&amp;D602&amp;"' AS TABELA_LT,'N/A' AS TABELA_SIMUL,'"&amp;F602&amp;"' AS CAMPO, "&amp;"'${ref_date}' AS REF_DATE, COUNT(*) AS NUM_REG, SUM(IF(TRIM(CAST(X."&amp;F602&amp;" AS STRING)) IN ('0000-00-00','0001-01-01','9999-12-31','MISS','00000','99999999999','99999999999.00','99999999999.000000'),1,0)) AS NUM_REG_DIF,'"&amp;MAX('ID1&amp;5'!K:K)+1&amp;"' AS ID_EXEC, CURRENT_TIMESTAMP() AS TIME_EXEC FROM "&amp;I602,
IF(C602="Not applicable",+"SELECT '"&amp;UPPER(B602)&amp;"' AS TABELA, '"&amp;UPPER(C602)&amp;"' AS TIPOLOGIA_TESTE,'"&amp;D602&amp;"' AS TABELA_LT,'N/A' AS TABELA_SIMUL,'"&amp;F602&amp;"' AS CAMPO, "&amp;"'${ref_date}' AS REF_DATE, COUNT(*) AS NUM_REG, SUM(IF(TRIM(CAST(X."&amp;F602&amp;" AS STRING)) IN ('N/A','11111111111','11111111111.00','11111111111.000000','1111-11-11'),1,0)) AS NUM_REG_DIF,'"&amp;MAX('ID1&amp;5'!K:K)+1&amp;"' AS ID_EXEC, CURRENT_TIMESTAMP() AS TIME_EXEC FROM "&amp;I602,
IF(C602="Valores extremos",+"SELECT '"&amp;UPPER(B602)&amp;"' AS TABELA, '"&amp;UPPER(C602)&amp;"' AS TIPOLOGIA_TESTE,'"&amp;D602&amp;"' AS TABELA_LT,'N/A' AS TABELA_SIMUL,'"&amp;F602&amp;"' AS CAMPO, "&amp;"'${ref_date}' AS REF_DATE, CAST(MIN("&amp;F602&amp;") AS STRING) AS VALOR_MIN, CAST(MAX("&amp;F602&amp;") AS STRING) AS VALOR_MAX,'"&amp;MAX('ID1&amp;5'!K:K)+1&amp;"' AS ID_EXEC, CURRENT_TIMESTAMP() AS TIME_EXEC FROM "&amp;MID(I602,1,LEN(I602)-2)&amp;" AND CAST("&amp;F602&amp;"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TABELA_SIMUL,'add_fld08' AS CAMPO, '${ref_date}' AS REF_DATE, COUNT(*) AS NUM_REG, SUM(IF(COALESCE(CAST(X.add_fld08 AS STRING),'')&lt;&gt;COALESCE(CAST(Y.add_fld08_SIMUL AS STRING),'') OR (X.add_fld08 IS NULL AND Y.add_fld08_SIMUL IS NOT NULL ) OR (X.add_fld08 IS NOT NULL AND Y.add_fld08_SIMUL IS NULL),1,0)) AS NUM_REG_DIF,'1' AS ID_EXEC, CURRENT_TIMESTAMP() AS TIME_EXEC FROM (SELECT prtctn_id, add_fld08 FROM BU_LOANTAPE_WORK.LT004_PROTECTION WHERE ref_date='${ref_date}' AND nome_perimetro='Individual Local' AND segmento='ESTR' AND ambito='SRB_MBDT' AND entidade='00100')X INNER JOIN (SELECT prtctn_id AS prtctn_id_SIMUL, add_fld08 AS add_fld08_SIMUL FROM BU_LOANTAPE_WORK.SIMUL_LT004 WHERE ref_date='${ref_date}' AND nome_perimetro='Individual Local' AND segmento='ESTR' AND ambito='PILAR3' AND entidade='00100')Y ON X.PRTCTN_ID=Y.PRTCTN_ID_SIMUL</v>
      </c>
      <c r="M602" s="36" t="str">
        <f t="shared" si="14"/>
        <v>UNION ALL SELECT 'PROTECTION' AS TABELA, 'COERÊNCIA' AS TIPOLOGIA_TESTE,'BU_LOANTAPE_WORK.LT004_PROTECTION' AS TABELA_LT,'BU_LOANTAPE_WORK.SIMUL_LT004' AS TABELA_SIMUL,'add_fld08' AS CAMPO, '${ref_date}' AS REF_DATE, COUNT(*) AS NUM_REG, SUM(IF(COALESCE(CAST(X.add_fld08 AS STRING),'')&lt;&gt;COALESCE(CAST(Y.add_fld08_SIMUL AS STRING),'') OR (X.add_fld08 IS NULL AND Y.add_fld08_SIMUL IS NOT NULL ) OR (X.add_fld08 IS NOT NULL AND Y.add_fld08_SIMUL IS NULL),1,0)) AS NUM_REG_DIF,'1' AS ID_EXEC, CURRENT_TIMESTAMP() AS TIME_EXEC FROM (SELECT prtctn_id, add_fld08 FROM BU_LOANTAPE_WORK.LT004_PROTECTION WHERE ref_date='${ref_date}' AND nome_perimetro='Individual Local' AND segmento='ESTR' AND ambito='SRB_MBDT' AND entidade='00100')X INNER JOIN (SELECT prtctn_id AS prtctn_id_SIMUL, add_fld08 AS add_fld08_SIMUL FROM BU_LOANTAPE_WORK.SIMUL_LT004 WHERE ref_date='${ref_date}' AND nome_perimetro='Individual Local' AND segmento='ESTR' AND ambito='PILAR3' AND entidade='00100')Y ON X.PRTCTN_ID=Y.PRTCTN_ID_SIMUL</v>
      </c>
    </row>
    <row r="603" spans="2:13">
      <c r="B603" s="34" t="s">
        <v>119</v>
      </c>
      <c r="C603" s="34" t="s">
        <v>5</v>
      </c>
      <c r="D603" s="34" t="str">
        <f>+UPPER('0. Instruções'!$D$35&amp;"."&amp;VLOOKUP(B603,'0. Instruções'!$C$27:$D$32,2,FALSE))</f>
        <v>BU_LOANTAPE_WORK.LT004_PROTECTION</v>
      </c>
      <c r="E603" s="34" t="str">
        <f>+UPPER('0. Instruções'!$D$36&amp;"."&amp;VLOOKUP(B603,'0. Instruções'!$C$27:$E$32,3,FALSE))</f>
        <v>BU_LOANTAPE_WORK.SIMUL_LT004</v>
      </c>
      <c r="F603" s="34" t="s">
        <v>1253</v>
      </c>
      <c r="G603" s="34"/>
      <c r="H603" s="34"/>
      <c r="I603" s="34" t="str">
        <f>"(SELECT "&amp;VLOOKUP(B603,'0. Instruções'!$C$27:$G$32,4,FALSE)&amp;", "&amp;F603&amp;" FROM "&amp;D603&amp;" WHERE "&amp;'0. Instruções'!$D$42&amp;")X"</f>
        <v>(SELECT prtctn_id, add_fld09 FROM BU_LOANTAPE_WORK.LT004_PROTECTION WHERE ref_date='${ref_date}' AND nome_perimetro='Individual Local' AND segmento='ESTR' AND ambito='SRB_MBDT' AND entidade='00100')X</v>
      </c>
      <c r="J603" s="34" t="str">
        <f>"(SELECT "&amp;VLOOKUP(B603,'0. Instruções'!$C$27:$G$32,4,FALSE)&amp;" AS "&amp;VLOOKUP(B603,'0. Instruções'!$C$27:$G$32,4,FALSE)&amp;"_SIMUL, "&amp;F603&amp;" AS "&amp;F603&amp;"_SIMUL FROM "&amp;E603&amp;" WHERE "&amp;'0. Instruções'!$D$43&amp;")Y"</f>
        <v>(SELECT prtctn_id AS prtctn_id_SIMUL, add_fld09 AS add_fld09_SIMUL FROM BU_LOANTAPE_WORK.SIMUL_LT004 WHERE ref_date='${ref_date}' AND nome_perimetro='Individual Local' AND segmento='ESTR' AND ambito='PILAR3' AND entidade='00100')Y</v>
      </c>
      <c r="K603" s="35" t="str">
        <f>+UPPER("ON X."&amp;VLOOKUP(B603,'0. Instruções'!$C$27:$G$32,4,FALSE)&amp;"=Y."&amp;VLOOKUP(B603,'0. Instruções'!$C$27:$G$32,4,FALSE)&amp;"_SIMUL")</f>
        <v>ON X.PRTCTN_ID=Y.PRTCTN_ID_SIMUL</v>
      </c>
      <c r="L603" s="35" t="str">
        <f>+IF(C603="Coerência", +IF(LEFT(G603,5)="FLOAT","SELECT '"&amp;UPPER(B603)&amp;"' AS TABELA, '"&amp;UPPER(C603)&amp;"' AS TIPOLOGIA_TESTE,'"&amp;D603&amp;"' AS TABELA_LT,'"&amp;E603&amp;"' AS TABELA_SIMUL,'"&amp;F603&amp;"' AS CAMPO, "&amp;"'${ref_date}' AS REF_DATE, COUNT(*) AS NUM_REG, SUM(IF((ABS(COALESCE(CAST(X."&amp;F603&amp;" AS DECIMAL(18,6)),0)-COALESCE(CAST(Y."&amp;F603&amp;"_SIMUL AS DECIMAL(18,6)),0))&gt;0.000001) OR (X."&amp;F603&amp;" IS NULL AND Y."&amp;F603&amp;"_SIMUL IS NOT NULL ) OR (X."&amp;F603&amp;" IS NOT NULL AND Y."&amp;F603&amp;"_SIMUL IS NULL),1,0)) AS NUM_REG_DIF,'"&amp;MAX('ID1&amp;5'!K:K)+1&amp;"' AS ID_EXEC, CURRENT_TIMESTAMP() AS TIME_EXEC FROM "&amp;I603&amp;" INNER JOIN "&amp;J603&amp;" "&amp;K603,"SELECT '"&amp;UPPER(B603)&amp;"' AS TABELA, '"&amp;UPPER(C603)&amp;"' AS TIPOLOGIA_TESTE,'"&amp;D603&amp;"' AS TABELA_LT,'"&amp;E603&amp;"' AS TABELA_SIMUL,'"&amp;F603&amp;"' AS CAMPO, "&amp;"'${ref_date}' AS REF_DATE, COUNT(*) AS NUM_REG, SUM(IF(COALESCE(CAST(X."&amp;F603&amp;" AS STRING),'')&lt;&gt;COALESCE(CAST(Y."&amp;F603&amp;"_SIMUL AS STRING),'') OR (X."&amp;F603&amp;" IS NULL AND Y."&amp;F603&amp;"_SIMUL IS NOT NULL ) OR (X."&amp;F603&amp;" IS NOT NULL AND Y."&amp;F603&amp;"_SIMUL IS NULL),1,0)) AS NUM_REG_DIF,'"&amp;MAX('ID1&amp;5'!L:L)+1&amp;"' AS ID_EXEC, CURRENT_TIMESTAMP() AS TIME_EXEC FROM "&amp;I603&amp;" INNER JOIN "&amp;J603&amp;" "&amp;K603),
IF(C603="Validade",+IF(G603="Code List","SELECT '"&amp;UPPER(B603)&amp;"' AS TABELA, '"&amp;UPPER(C603)&amp;"' AS TIPOLOGIA_TESTE,'"&amp;D603&amp;"' AS TABELA_LT,'N/A' AS TABELA_SIMUL,'"&amp;F603&amp;"' AS CAMPO, "&amp;"'${ref_date}' AS REF_DATE, COUNT(*) AS NUM_REG, SUM(IF(TRIM(CAST(X."&amp;F603&amp;" AS STRING))='' OR TRIM(CAST(X."&amp;F603&amp;" AS STRING)) IS NULL OR CAST(X."&amp;F603&amp;" AS STRING) NOT "&amp;H603&amp;",1,0)) AS NUM_REG_DIF,'"&amp;MAX('ID1&amp;5'!K:K)+1&amp;"' AS ID_EXEC, CURRENT_TIMESTAMP() AS TIME_EXEC FROM "&amp;I603,"SELECT '"&amp;UPPER(B603)&amp;"' AS TABELA, '"&amp;UPPER(C603)&amp;"' AS TIPOLOGIA_TESTE,'"&amp;D603&amp;"' AS TABELA_LT,'N/A' AS TABELA_SIMUL,'"&amp;F603&amp;"' AS CAMPO, "&amp;"'${ref_date}' AS REF_DATE, COUNT(*) AS NUM_REG, SUM(IF(TRIM(CAST(X."&amp;F603&amp;" AS STRING))='' OR TRIM(CAST(X."&amp;F603&amp;" AS STRING)) IS NULL,1,0)) AS NUM_REG_DIF,'"&amp;MAX('ID1&amp;5'!K:K)+1&amp;"' AS ID_EXEC, CURRENT_TIMESTAMP() AS TIME_EXEC FROM "&amp;I603),
IF(C603="Caracteres Especiais",+"SELECT '"&amp;UPPER(B603)&amp;"' AS TABELA, '"&amp;UPPER(C603)&amp;"' AS TIPOLOGIA_TESTE,'"&amp;D603&amp;"' AS TABELA_LT,'N/A' AS TABELA_SIMUL,'"&amp;F603&amp;"' AS CAMPO, "&amp;"'${ref_date}' AS REF_DATE, COUNT(*) AS NUM_REG, SUM(IF(REGEXP_REPLACE(TRIM(CAST(X."&amp;F603&amp;" AS STRING)),'[^a-zA-Z0-9_\\s]','') &lt;&gt;TRIM(CAST(X."&amp;F603&amp;" AS STRING)),1,0)) AS NUM_REG_DIF,'"&amp;MAX('ID1&amp;5'!K:K)+1&amp;"' AS ID_EXEC, CURRENT_TIMESTAMP() AS TIME_EXEC FROM "&amp;I603,
IF(C603="Missings",+"SELECT '"&amp;UPPER(B603)&amp;"' AS TABELA, '"&amp;UPPER(C603)&amp;"' AS TIPOLOGIA_TESTE,'"&amp;D603&amp;"' AS TABELA_LT,'N/A' AS TABELA_SIMUL,'"&amp;F603&amp;"' AS CAMPO, "&amp;"'${ref_date}' AS REF_DATE, COUNT(*) AS NUM_REG, SUM(IF(TRIM(CAST(X."&amp;F603&amp;" AS STRING)) IN ('0000-00-00','0001-01-01','9999-12-31','MISS','00000','99999999999','99999999999.00','99999999999.000000'),1,0)) AS NUM_REG_DIF,'"&amp;MAX('ID1&amp;5'!K:K)+1&amp;"' AS ID_EXEC, CURRENT_TIMESTAMP() AS TIME_EXEC FROM "&amp;I603,
IF(C603="Not applicable",+"SELECT '"&amp;UPPER(B603)&amp;"' AS TABELA, '"&amp;UPPER(C603)&amp;"' AS TIPOLOGIA_TESTE,'"&amp;D603&amp;"' AS TABELA_LT,'N/A' AS TABELA_SIMUL,'"&amp;F603&amp;"' AS CAMPO, "&amp;"'${ref_date}' AS REF_DATE, COUNT(*) AS NUM_REG, SUM(IF(TRIM(CAST(X."&amp;F603&amp;" AS STRING)) IN ('N/A','11111111111','11111111111.00','11111111111.000000','1111-11-11'),1,0)) AS NUM_REG_DIF,'"&amp;MAX('ID1&amp;5'!K:K)+1&amp;"' AS ID_EXEC, CURRENT_TIMESTAMP() AS TIME_EXEC FROM "&amp;I603,
IF(C603="Valores extremos",+"SELECT '"&amp;UPPER(B603)&amp;"' AS TABELA, '"&amp;UPPER(C603)&amp;"' AS TIPOLOGIA_TESTE,'"&amp;D603&amp;"' AS TABELA_LT,'N/A' AS TABELA_SIMUL,'"&amp;F603&amp;"' AS CAMPO, "&amp;"'${ref_date}' AS REF_DATE, CAST(MIN("&amp;F603&amp;") AS STRING) AS VALOR_MIN, CAST(MAX("&amp;F603&amp;") AS STRING) AS VALOR_MAX,'"&amp;MAX('ID1&amp;5'!K:K)+1&amp;"' AS ID_EXEC, CURRENT_TIMESTAMP() AS TIME_EXEC FROM "&amp;MID(I603,1,LEN(I603)-2)&amp;" AND CAST("&amp;F603&amp;"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TABELA_SIMUL,'add_fld09' AS CAMPO, '${ref_date}' AS REF_DATE, COUNT(*) AS NUM_REG, SUM(IF(COALESCE(CAST(X.add_fld09 AS STRING),'')&lt;&gt;COALESCE(CAST(Y.add_fld09_SIMUL AS STRING),'') OR (X.add_fld09 IS NULL AND Y.add_fld09_SIMUL IS NOT NULL ) OR (X.add_fld09 IS NOT NULL AND Y.add_fld09_SIMUL IS NULL),1,0)) AS NUM_REG_DIF,'1' AS ID_EXEC, CURRENT_TIMESTAMP() AS TIME_EXEC FROM (SELECT prtctn_id, add_fld09 FROM BU_LOANTAPE_WORK.LT004_PROTECTION WHERE ref_date='${ref_date}' AND nome_perimetro='Individual Local' AND segmento='ESTR' AND ambito='SRB_MBDT' AND entidade='00100')X INNER JOIN (SELECT prtctn_id AS prtctn_id_SIMUL, add_fld09 AS add_fld09_SIMUL FROM BU_LOANTAPE_WORK.SIMUL_LT004 WHERE ref_date='${ref_date}' AND nome_perimetro='Individual Local' AND segmento='ESTR' AND ambito='PILAR3' AND entidade='00100')Y ON X.PRTCTN_ID=Y.PRTCTN_ID_SIMUL</v>
      </c>
      <c r="M603" s="36" t="str">
        <f t="shared" si="14"/>
        <v>UNION ALL SELECT 'PROTECTION' AS TABELA, 'COERÊNCIA' AS TIPOLOGIA_TESTE,'BU_LOANTAPE_WORK.LT004_PROTECTION' AS TABELA_LT,'BU_LOANTAPE_WORK.SIMUL_LT004' AS TABELA_SIMUL,'add_fld09' AS CAMPO, '${ref_date}' AS REF_DATE, COUNT(*) AS NUM_REG, SUM(IF(COALESCE(CAST(X.add_fld09 AS STRING),'')&lt;&gt;COALESCE(CAST(Y.add_fld09_SIMUL AS STRING),'') OR (X.add_fld09 IS NULL AND Y.add_fld09_SIMUL IS NOT NULL ) OR (X.add_fld09 IS NOT NULL AND Y.add_fld09_SIMUL IS NULL),1,0)) AS NUM_REG_DIF,'1' AS ID_EXEC, CURRENT_TIMESTAMP() AS TIME_EXEC FROM (SELECT prtctn_id, add_fld09 FROM BU_LOANTAPE_WORK.LT004_PROTECTION WHERE ref_date='${ref_date}' AND nome_perimetro='Individual Local' AND segmento='ESTR' AND ambito='SRB_MBDT' AND entidade='00100')X INNER JOIN (SELECT prtctn_id AS prtctn_id_SIMUL, add_fld09 AS add_fld09_SIMUL FROM BU_LOANTAPE_WORK.SIMUL_LT004 WHERE ref_date='${ref_date}' AND nome_perimetro='Individual Local' AND segmento='ESTR' AND ambito='PILAR3' AND entidade='00100')Y ON X.PRTCTN_ID=Y.PRTCTN_ID_SIMUL</v>
      </c>
    </row>
    <row r="604" spans="2:13">
      <c r="B604" s="34" t="s">
        <v>119</v>
      </c>
      <c r="C604" s="34" t="s">
        <v>5</v>
      </c>
      <c r="D604" s="34" t="str">
        <f>+UPPER('0. Instruções'!$D$35&amp;"."&amp;VLOOKUP(B604,'0. Instruções'!$C$27:$D$32,2,FALSE))</f>
        <v>BU_LOANTAPE_WORK.LT004_PROTECTION</v>
      </c>
      <c r="E604" s="34" t="str">
        <f>+UPPER('0. Instruções'!$D$36&amp;"."&amp;VLOOKUP(B604,'0. Instruções'!$C$27:$E$32,3,FALSE))</f>
        <v>BU_LOANTAPE_WORK.SIMUL_LT004</v>
      </c>
      <c r="F604" s="34" t="s">
        <v>1254</v>
      </c>
      <c r="G604" s="34"/>
      <c r="H604" s="34"/>
      <c r="I604" s="34" t="str">
        <f>"(SELECT "&amp;VLOOKUP(B604,'0. Instruções'!$C$27:$G$32,4,FALSE)&amp;", "&amp;F604&amp;" FROM "&amp;D604&amp;" WHERE "&amp;'0. Instruções'!$D$42&amp;")X"</f>
        <v>(SELECT prtctn_id, add_fld10 FROM BU_LOANTAPE_WORK.LT004_PROTECTION WHERE ref_date='${ref_date}' AND nome_perimetro='Individual Local' AND segmento='ESTR' AND ambito='SRB_MBDT' AND entidade='00100')X</v>
      </c>
      <c r="J604" s="34" t="str">
        <f>"(SELECT "&amp;VLOOKUP(B604,'0. Instruções'!$C$27:$G$32,4,FALSE)&amp;" AS "&amp;VLOOKUP(B604,'0. Instruções'!$C$27:$G$32,4,FALSE)&amp;"_SIMUL, "&amp;F604&amp;" AS "&amp;F604&amp;"_SIMUL FROM "&amp;E604&amp;" WHERE "&amp;'0. Instruções'!$D$43&amp;")Y"</f>
        <v>(SELECT prtctn_id AS prtctn_id_SIMUL, add_fld10 AS add_fld10_SIMUL FROM BU_LOANTAPE_WORK.SIMUL_LT004 WHERE ref_date='${ref_date}' AND nome_perimetro='Individual Local' AND segmento='ESTR' AND ambito='PILAR3' AND entidade='00100')Y</v>
      </c>
      <c r="K604" s="35" t="str">
        <f>+UPPER("ON X."&amp;VLOOKUP(B604,'0. Instruções'!$C$27:$G$32,4,FALSE)&amp;"=Y."&amp;VLOOKUP(B604,'0. Instruções'!$C$27:$G$32,4,FALSE)&amp;"_SIMUL")</f>
        <v>ON X.PRTCTN_ID=Y.PRTCTN_ID_SIMUL</v>
      </c>
      <c r="L604" s="35" t="str">
        <f>+IF(C604="Coerência", +IF(LEFT(G604,5)="FLOAT","SELECT '"&amp;UPPER(B604)&amp;"' AS TABELA, '"&amp;UPPER(C604)&amp;"' AS TIPOLOGIA_TESTE,'"&amp;D604&amp;"' AS TABELA_LT,'"&amp;E604&amp;"' AS TABELA_SIMUL,'"&amp;F604&amp;"' AS CAMPO, "&amp;"'${ref_date}' AS REF_DATE, COUNT(*) AS NUM_REG, SUM(IF((ABS(COALESCE(CAST(X."&amp;F604&amp;" AS DECIMAL(18,6)),0)-COALESCE(CAST(Y."&amp;F604&amp;"_SIMUL AS DECIMAL(18,6)),0))&gt;0.000001) OR (X."&amp;F604&amp;" IS NULL AND Y."&amp;F604&amp;"_SIMUL IS NOT NULL ) OR (X."&amp;F604&amp;" IS NOT NULL AND Y."&amp;F604&amp;"_SIMUL IS NULL),1,0)) AS NUM_REG_DIF,'"&amp;MAX('ID1&amp;5'!K:K)+1&amp;"' AS ID_EXEC, CURRENT_TIMESTAMP() AS TIME_EXEC FROM "&amp;I604&amp;" INNER JOIN "&amp;J604&amp;" "&amp;K604,"SELECT '"&amp;UPPER(B604)&amp;"' AS TABELA, '"&amp;UPPER(C604)&amp;"' AS TIPOLOGIA_TESTE,'"&amp;D604&amp;"' AS TABELA_LT,'"&amp;E604&amp;"' AS TABELA_SIMUL,'"&amp;F604&amp;"' AS CAMPO, "&amp;"'${ref_date}' AS REF_DATE, COUNT(*) AS NUM_REG, SUM(IF(COALESCE(CAST(X."&amp;F604&amp;" AS STRING),'')&lt;&gt;COALESCE(CAST(Y."&amp;F604&amp;"_SIMUL AS STRING),'') OR (X."&amp;F604&amp;" IS NULL AND Y."&amp;F604&amp;"_SIMUL IS NOT NULL ) OR (X."&amp;F604&amp;" IS NOT NULL AND Y."&amp;F604&amp;"_SIMUL IS NULL),1,0)) AS NUM_REG_DIF,'"&amp;MAX('ID1&amp;5'!L:L)+1&amp;"' AS ID_EXEC, CURRENT_TIMESTAMP() AS TIME_EXEC FROM "&amp;I604&amp;" INNER JOIN "&amp;J604&amp;" "&amp;K604),
IF(C604="Validade",+IF(G604="Code List","SELECT '"&amp;UPPER(B604)&amp;"' AS TABELA, '"&amp;UPPER(C604)&amp;"' AS TIPOLOGIA_TESTE,'"&amp;D604&amp;"' AS TABELA_LT,'N/A' AS TABELA_SIMUL,'"&amp;F604&amp;"' AS CAMPO, "&amp;"'${ref_date}' AS REF_DATE, COUNT(*) AS NUM_REG, SUM(IF(TRIM(CAST(X."&amp;F604&amp;" AS STRING))='' OR TRIM(CAST(X."&amp;F604&amp;" AS STRING)) IS NULL OR CAST(X."&amp;F604&amp;" AS STRING) NOT "&amp;H604&amp;",1,0)) AS NUM_REG_DIF,'"&amp;MAX('ID1&amp;5'!K:K)+1&amp;"' AS ID_EXEC, CURRENT_TIMESTAMP() AS TIME_EXEC FROM "&amp;I604,"SELECT '"&amp;UPPER(B604)&amp;"' AS TABELA, '"&amp;UPPER(C604)&amp;"' AS TIPOLOGIA_TESTE,'"&amp;D604&amp;"' AS TABELA_LT,'N/A' AS TABELA_SIMUL,'"&amp;F604&amp;"' AS CAMPO, "&amp;"'${ref_date}' AS REF_DATE, COUNT(*) AS NUM_REG, SUM(IF(TRIM(CAST(X."&amp;F604&amp;" AS STRING))='' OR TRIM(CAST(X."&amp;F604&amp;" AS STRING)) IS NULL,1,0)) AS NUM_REG_DIF,'"&amp;MAX('ID1&amp;5'!K:K)+1&amp;"' AS ID_EXEC, CURRENT_TIMESTAMP() AS TIME_EXEC FROM "&amp;I604),
IF(C604="Caracteres Especiais",+"SELECT '"&amp;UPPER(B604)&amp;"' AS TABELA, '"&amp;UPPER(C604)&amp;"' AS TIPOLOGIA_TESTE,'"&amp;D604&amp;"' AS TABELA_LT,'N/A' AS TABELA_SIMUL,'"&amp;F604&amp;"' AS CAMPO, "&amp;"'${ref_date}' AS REF_DATE, COUNT(*) AS NUM_REG, SUM(IF(REGEXP_REPLACE(TRIM(CAST(X."&amp;F604&amp;" AS STRING)),'[^a-zA-Z0-9_\\s]','') &lt;&gt;TRIM(CAST(X."&amp;F604&amp;" AS STRING)),1,0)) AS NUM_REG_DIF,'"&amp;MAX('ID1&amp;5'!K:K)+1&amp;"' AS ID_EXEC, CURRENT_TIMESTAMP() AS TIME_EXEC FROM "&amp;I604,
IF(C604="Missings",+"SELECT '"&amp;UPPER(B604)&amp;"' AS TABELA, '"&amp;UPPER(C604)&amp;"' AS TIPOLOGIA_TESTE,'"&amp;D604&amp;"' AS TABELA_LT,'N/A' AS TABELA_SIMUL,'"&amp;F604&amp;"' AS CAMPO, "&amp;"'${ref_date}' AS REF_DATE, COUNT(*) AS NUM_REG, SUM(IF(TRIM(CAST(X."&amp;F604&amp;" AS STRING)) IN ('0000-00-00','0001-01-01','9999-12-31','MISS','00000','99999999999','99999999999.00','99999999999.000000'),1,0)) AS NUM_REG_DIF,'"&amp;MAX('ID1&amp;5'!K:K)+1&amp;"' AS ID_EXEC, CURRENT_TIMESTAMP() AS TIME_EXEC FROM "&amp;I604,
IF(C604="Not applicable",+"SELECT '"&amp;UPPER(B604)&amp;"' AS TABELA, '"&amp;UPPER(C604)&amp;"' AS TIPOLOGIA_TESTE,'"&amp;D604&amp;"' AS TABELA_LT,'N/A' AS TABELA_SIMUL,'"&amp;F604&amp;"' AS CAMPO, "&amp;"'${ref_date}' AS REF_DATE, COUNT(*) AS NUM_REG, SUM(IF(TRIM(CAST(X."&amp;F604&amp;" AS STRING)) IN ('N/A','11111111111','11111111111.00','11111111111.000000','1111-11-11'),1,0)) AS NUM_REG_DIF,'"&amp;MAX('ID1&amp;5'!K:K)+1&amp;"' AS ID_EXEC, CURRENT_TIMESTAMP() AS TIME_EXEC FROM "&amp;I604,
IF(C604="Valores extremos",+"SELECT '"&amp;UPPER(B604)&amp;"' AS TABELA, '"&amp;UPPER(C604)&amp;"' AS TIPOLOGIA_TESTE,'"&amp;D604&amp;"' AS TABELA_LT,'N/A' AS TABELA_SIMUL,'"&amp;F604&amp;"' AS CAMPO, "&amp;"'${ref_date}' AS REF_DATE, CAST(MIN("&amp;F604&amp;") AS STRING) AS VALOR_MIN, CAST(MAX("&amp;F604&amp;") AS STRING) AS VALOR_MAX,'"&amp;MAX('ID1&amp;5'!K:K)+1&amp;"' AS ID_EXEC, CURRENT_TIMESTAMP() AS TIME_EXEC FROM "&amp;MID(I604,1,LEN(I604)-2)&amp;" AND CAST("&amp;F604&amp;"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TABELA_SIMUL,'add_fld10' AS CAMPO, '${ref_date}' AS REF_DATE, COUNT(*) AS NUM_REG, SUM(IF(COALESCE(CAST(X.add_fld10 AS STRING),'')&lt;&gt;COALESCE(CAST(Y.add_fld10_SIMUL AS STRING),'') OR (X.add_fld10 IS NULL AND Y.add_fld10_SIMUL IS NOT NULL ) OR (X.add_fld10 IS NOT NULL AND Y.add_fld10_SIMUL IS NULL),1,0)) AS NUM_REG_DIF,'1' AS ID_EXEC, CURRENT_TIMESTAMP() AS TIME_EXEC FROM (SELECT prtctn_id, add_fld10 FROM BU_LOANTAPE_WORK.LT004_PROTECTION WHERE ref_date='${ref_date}' AND nome_perimetro='Individual Local' AND segmento='ESTR' AND ambito='SRB_MBDT' AND entidade='00100')X INNER JOIN (SELECT prtctn_id AS prtctn_id_SIMUL, add_fld10 AS add_fld10_SIMUL FROM BU_LOANTAPE_WORK.SIMUL_LT004 WHERE ref_date='${ref_date}' AND nome_perimetro='Individual Local' AND segmento='ESTR' AND ambito='PILAR3' AND entidade='00100')Y ON X.PRTCTN_ID=Y.PRTCTN_ID_SIMUL</v>
      </c>
      <c r="M604" s="36" t="str">
        <f t="shared" si="14"/>
        <v>UNION ALL SELECT 'PROTECTION' AS TABELA, 'COERÊNCIA' AS TIPOLOGIA_TESTE,'BU_LOANTAPE_WORK.LT004_PROTECTION' AS TABELA_LT,'BU_LOANTAPE_WORK.SIMUL_LT004' AS TABELA_SIMUL,'add_fld10' AS CAMPO, '${ref_date}' AS REF_DATE, COUNT(*) AS NUM_REG, SUM(IF(COALESCE(CAST(X.add_fld10 AS STRING),'')&lt;&gt;COALESCE(CAST(Y.add_fld10_SIMUL AS STRING),'') OR (X.add_fld10 IS NULL AND Y.add_fld10_SIMUL IS NOT NULL ) OR (X.add_fld10 IS NOT NULL AND Y.add_fld10_SIMUL IS NULL),1,0)) AS NUM_REG_DIF,'1' AS ID_EXEC, CURRENT_TIMESTAMP() AS TIME_EXEC FROM (SELECT prtctn_id, add_fld10 FROM BU_LOANTAPE_WORK.LT004_PROTECTION WHERE ref_date='${ref_date}' AND nome_perimetro='Individual Local' AND segmento='ESTR' AND ambito='SRB_MBDT' AND entidade='00100')X INNER JOIN (SELECT prtctn_id AS prtctn_id_SIMUL, add_fld10 AS add_fld10_SIMUL FROM BU_LOANTAPE_WORK.SIMUL_LT004 WHERE ref_date='${ref_date}' AND nome_perimetro='Individual Local' AND segmento='ESTR' AND ambito='PILAR3' AND entidade='00100')Y ON X.PRTCTN_ID=Y.PRTCTN_ID_SIMUL</v>
      </c>
    </row>
    <row r="605" spans="2:13">
      <c r="B605" s="34" t="s">
        <v>119</v>
      </c>
      <c r="C605" s="34" t="s">
        <v>5</v>
      </c>
      <c r="D605" s="34" t="str">
        <f>+UPPER('0. Instruções'!$D$35&amp;"."&amp;VLOOKUP(B605,'0. Instruções'!$C$27:$D$32,2,FALSE))</f>
        <v>BU_LOANTAPE_WORK.LT004_PROTECTION</v>
      </c>
      <c r="E605" s="34" t="str">
        <f>+UPPER('0. Instruções'!$D$36&amp;"."&amp;VLOOKUP(B605,'0. Instruções'!$C$27:$E$32,3,FALSE))</f>
        <v>BU_LOANTAPE_WORK.SIMUL_LT004</v>
      </c>
      <c r="F605" s="34" t="s">
        <v>1476</v>
      </c>
      <c r="G605" s="34"/>
      <c r="H605" s="34"/>
      <c r="I605" s="34" t="str">
        <f>"(SELECT "&amp;VLOOKUP(B605,'0. Instruções'!$C$27:$G$32,4,FALSE)&amp;", "&amp;F605&amp;" FROM "&amp;D605&amp;" WHERE "&amp;'0. Instruções'!$D$42&amp;")X"</f>
        <v>(SELECT prtctn_id, tax_id FROM BU_LOANTAPE_WORK.LT004_PROTECTION WHERE ref_date='${ref_date}' AND nome_perimetro='Individual Local' AND segmento='ESTR' AND ambito='SRB_MBDT' AND entidade='00100')X</v>
      </c>
      <c r="J605" s="34" t="str">
        <f>"(SELECT "&amp;VLOOKUP(B605,'0. Instruções'!$C$27:$G$32,4,FALSE)&amp;" AS "&amp;VLOOKUP(B605,'0. Instruções'!$C$27:$G$32,4,FALSE)&amp;"_SIMUL, "&amp;F605&amp;" AS "&amp;F605&amp;"_SIMUL FROM "&amp;E605&amp;" WHERE "&amp;'0. Instruções'!$D$43&amp;")Y"</f>
        <v>(SELECT prtctn_id AS prtctn_id_SIMUL, tax_id AS tax_id_SIMUL FROM BU_LOANTAPE_WORK.SIMUL_LT004 WHERE ref_date='${ref_date}' AND nome_perimetro='Individual Local' AND segmento='ESTR' AND ambito='PILAR3' AND entidade='00100')Y</v>
      </c>
      <c r="K605" s="35" t="str">
        <f>+UPPER("ON X."&amp;VLOOKUP(B605,'0. Instruções'!$C$27:$G$32,4,FALSE)&amp;"=Y."&amp;VLOOKUP(B605,'0. Instruções'!$C$27:$G$32,4,FALSE)&amp;"_SIMUL")</f>
        <v>ON X.PRTCTN_ID=Y.PRTCTN_ID_SIMUL</v>
      </c>
      <c r="L605" s="35" t="str">
        <f>+IF(C605="Coerência", +IF(LEFT(G605,5)="FLOAT","SELECT '"&amp;UPPER(B605)&amp;"' AS TABELA, '"&amp;UPPER(C605)&amp;"' AS TIPOLOGIA_TESTE,'"&amp;D605&amp;"' AS TABELA_LT,'"&amp;E605&amp;"' AS TABELA_SIMUL,'"&amp;F605&amp;"' AS CAMPO, "&amp;"'${ref_date}' AS REF_DATE, COUNT(*) AS NUM_REG, SUM(IF((ABS(COALESCE(CAST(X."&amp;F605&amp;" AS DECIMAL(18,6)),0)-COALESCE(CAST(Y."&amp;F605&amp;"_SIMUL AS DECIMAL(18,6)),0))&gt;0.000001) OR (X."&amp;F605&amp;" IS NULL AND Y."&amp;F605&amp;"_SIMUL IS NOT NULL ) OR (X."&amp;F605&amp;" IS NOT NULL AND Y."&amp;F605&amp;"_SIMUL IS NULL),1,0)) AS NUM_REG_DIF,'"&amp;MAX('ID1&amp;5'!K:K)+1&amp;"' AS ID_EXEC, CURRENT_TIMESTAMP() AS TIME_EXEC FROM "&amp;I605&amp;" INNER JOIN "&amp;J605&amp;" "&amp;K605,"SELECT '"&amp;UPPER(B605)&amp;"' AS TABELA, '"&amp;UPPER(C605)&amp;"' AS TIPOLOGIA_TESTE,'"&amp;D605&amp;"' AS TABELA_LT,'"&amp;E605&amp;"' AS TABELA_SIMUL,'"&amp;F605&amp;"' AS CAMPO, "&amp;"'${ref_date}' AS REF_DATE, COUNT(*) AS NUM_REG, SUM(IF(COALESCE(CAST(X."&amp;F605&amp;" AS STRING),'')&lt;&gt;COALESCE(CAST(Y."&amp;F605&amp;"_SIMUL AS STRING),'') OR (X."&amp;F605&amp;" IS NULL AND Y."&amp;F605&amp;"_SIMUL IS NOT NULL ) OR (X."&amp;F605&amp;" IS NOT NULL AND Y."&amp;F605&amp;"_SIMUL IS NULL),1,0)) AS NUM_REG_DIF,'"&amp;MAX('ID1&amp;5'!L:L)+1&amp;"' AS ID_EXEC, CURRENT_TIMESTAMP() AS TIME_EXEC FROM "&amp;I605&amp;" INNER JOIN "&amp;J605&amp;" "&amp;K605),
IF(C605="Validade",+IF(G605="Code List","SELECT '"&amp;UPPER(B605)&amp;"' AS TABELA, '"&amp;UPPER(C605)&amp;"' AS TIPOLOGIA_TESTE,'"&amp;D605&amp;"' AS TABELA_LT,'N/A' AS TABELA_SIMUL,'"&amp;F605&amp;"' AS CAMPO, "&amp;"'${ref_date}' AS REF_DATE, COUNT(*) AS NUM_REG, SUM(IF(TRIM(CAST(X."&amp;F605&amp;" AS STRING))='' OR TRIM(CAST(X."&amp;F605&amp;" AS STRING)) IS NULL OR CAST(X."&amp;F605&amp;" AS STRING) NOT "&amp;H605&amp;",1,0)) AS NUM_REG_DIF,'"&amp;MAX('ID1&amp;5'!K:K)+1&amp;"' AS ID_EXEC, CURRENT_TIMESTAMP() AS TIME_EXEC FROM "&amp;I605,"SELECT '"&amp;UPPER(B605)&amp;"' AS TABELA, '"&amp;UPPER(C605)&amp;"' AS TIPOLOGIA_TESTE,'"&amp;D605&amp;"' AS TABELA_LT,'N/A' AS TABELA_SIMUL,'"&amp;F605&amp;"' AS CAMPO, "&amp;"'${ref_date}' AS REF_DATE, COUNT(*) AS NUM_REG, SUM(IF(TRIM(CAST(X."&amp;F605&amp;" AS STRING))='' OR TRIM(CAST(X."&amp;F605&amp;" AS STRING)) IS NULL,1,0)) AS NUM_REG_DIF,'"&amp;MAX('ID1&amp;5'!K:K)+1&amp;"' AS ID_EXEC, CURRENT_TIMESTAMP() AS TIME_EXEC FROM "&amp;I605),
IF(C605="Caracteres Especiais",+"SELECT '"&amp;UPPER(B605)&amp;"' AS TABELA, '"&amp;UPPER(C605)&amp;"' AS TIPOLOGIA_TESTE,'"&amp;D605&amp;"' AS TABELA_LT,'N/A' AS TABELA_SIMUL,'"&amp;F605&amp;"' AS CAMPO, "&amp;"'${ref_date}' AS REF_DATE, COUNT(*) AS NUM_REG, SUM(IF(REGEXP_REPLACE(TRIM(CAST(X."&amp;F605&amp;" AS STRING)),'[^a-zA-Z0-9_\\s]','') &lt;&gt;TRIM(CAST(X."&amp;F605&amp;" AS STRING)),1,0)) AS NUM_REG_DIF,'"&amp;MAX('ID1&amp;5'!K:K)+1&amp;"' AS ID_EXEC, CURRENT_TIMESTAMP() AS TIME_EXEC FROM "&amp;I605,
IF(C605="Missings",+"SELECT '"&amp;UPPER(B605)&amp;"' AS TABELA, '"&amp;UPPER(C605)&amp;"' AS TIPOLOGIA_TESTE,'"&amp;D605&amp;"' AS TABELA_LT,'N/A' AS TABELA_SIMUL,'"&amp;F605&amp;"' AS CAMPO, "&amp;"'${ref_date}' AS REF_DATE, COUNT(*) AS NUM_REG, SUM(IF(TRIM(CAST(X."&amp;F605&amp;" AS STRING)) IN ('0000-00-00','0001-01-01','9999-12-31','MISS','00000','99999999999','99999999999.00','99999999999.000000'),1,0)) AS NUM_REG_DIF,'"&amp;MAX('ID1&amp;5'!K:K)+1&amp;"' AS ID_EXEC, CURRENT_TIMESTAMP() AS TIME_EXEC FROM "&amp;I605,
IF(C605="Not applicable",+"SELECT '"&amp;UPPER(B605)&amp;"' AS TABELA, '"&amp;UPPER(C605)&amp;"' AS TIPOLOGIA_TESTE,'"&amp;D605&amp;"' AS TABELA_LT,'N/A' AS TABELA_SIMUL,'"&amp;F605&amp;"' AS CAMPO, "&amp;"'${ref_date}' AS REF_DATE, COUNT(*) AS NUM_REG, SUM(IF(TRIM(CAST(X."&amp;F605&amp;" AS STRING)) IN ('N/A','11111111111','11111111111.00','11111111111.000000','1111-11-11'),1,0)) AS NUM_REG_DIF,'"&amp;MAX('ID1&amp;5'!K:K)+1&amp;"' AS ID_EXEC, CURRENT_TIMESTAMP() AS TIME_EXEC FROM "&amp;I605,
IF(C605="Valores extremos",+"SELECT '"&amp;UPPER(B605)&amp;"' AS TABELA, '"&amp;UPPER(C605)&amp;"' AS TIPOLOGIA_TESTE,'"&amp;D605&amp;"' AS TABELA_LT,'N/A' AS TABELA_SIMUL,'"&amp;F605&amp;"' AS CAMPO, "&amp;"'${ref_date}' AS REF_DATE, CAST(MIN("&amp;F605&amp;") AS STRING) AS VALOR_MIN, CAST(MAX("&amp;F605&amp;") AS STRING) AS VALOR_MAX,'"&amp;MAX('ID1&amp;5'!K:K)+1&amp;"' AS ID_EXEC, CURRENT_TIMESTAMP() AS TIME_EXEC FROM "&amp;MID(I605,1,LEN(I605)-2)&amp;" AND CAST("&amp;F605&amp;"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TABELA_SIMUL,'tax_id' AS CAMPO, '${ref_date}' AS REF_DATE, COUNT(*) AS NUM_REG, SUM(IF(COALESCE(CAST(X.tax_id AS STRING),'')&lt;&gt;COALESCE(CAST(Y.tax_id_SIMUL AS STRING),'') OR (X.tax_id IS NULL AND Y.tax_id_SIMUL IS NOT NULL ) OR (X.tax_id IS NOT NULL AND Y.tax_id_SIMUL IS NULL),1,0)) AS NUM_REG_DIF,'1' AS ID_EXEC, CURRENT_TIMESTAMP() AS TIME_EXEC FROM (SELECT prtctn_id, tax_id FROM BU_LOANTAPE_WORK.LT004_PROTECTION WHERE ref_date='${ref_date}' AND nome_perimetro='Individual Local' AND segmento='ESTR' AND ambito='SRB_MBDT' AND entidade='00100')X INNER JOIN (SELECT prtctn_id AS prtctn_id_SIMUL, tax_id AS tax_id_SIMUL FROM BU_LOANTAPE_WORK.SIMUL_LT004 WHERE ref_date='${ref_date}' AND nome_perimetro='Individual Local' AND segmento='ESTR' AND ambito='PILAR3' AND entidade='00100')Y ON X.PRTCTN_ID=Y.PRTCTN_ID_SIMUL</v>
      </c>
      <c r="M605" s="36" t="str">
        <f t="shared" si="14"/>
        <v>UNION ALL SELECT 'PROTECTION' AS TABELA, 'COERÊNCIA' AS TIPOLOGIA_TESTE,'BU_LOANTAPE_WORK.LT004_PROTECTION' AS TABELA_LT,'BU_LOANTAPE_WORK.SIMUL_LT004' AS TABELA_SIMUL,'tax_id' AS CAMPO, '${ref_date}' AS REF_DATE, COUNT(*) AS NUM_REG, SUM(IF(COALESCE(CAST(X.tax_id AS STRING),'')&lt;&gt;COALESCE(CAST(Y.tax_id_SIMUL AS STRING),'') OR (X.tax_id IS NULL AND Y.tax_id_SIMUL IS NOT NULL ) OR (X.tax_id IS NOT NULL AND Y.tax_id_SIMUL IS NULL),1,0)) AS NUM_REG_DIF,'1' AS ID_EXEC, CURRENT_TIMESTAMP() AS TIME_EXEC FROM (SELECT prtctn_id, tax_id FROM BU_LOANTAPE_WORK.LT004_PROTECTION WHERE ref_date='${ref_date}' AND nome_perimetro='Individual Local' AND segmento='ESTR' AND ambito='SRB_MBDT' AND entidade='00100')X INNER JOIN (SELECT prtctn_id AS prtctn_id_SIMUL, tax_id AS tax_id_SIMUL FROM BU_LOANTAPE_WORK.SIMUL_LT004 WHERE ref_date='${ref_date}' AND nome_perimetro='Individual Local' AND segmento='ESTR' AND ambito='PILAR3' AND entidade='00100')Y ON X.PRTCTN_ID=Y.PRTCTN_ID_SIMUL</v>
      </c>
    </row>
    <row r="606" spans="2:13">
      <c r="B606" s="34" t="s">
        <v>119</v>
      </c>
      <c r="C606" s="34" t="s">
        <v>5</v>
      </c>
      <c r="D606" s="34" t="str">
        <f>+UPPER('0. Instruções'!$D$35&amp;"."&amp;VLOOKUP(B606,'0. Instruções'!$C$27:$D$32,2,FALSE))</f>
        <v>BU_LOANTAPE_WORK.LT004_PROTECTION</v>
      </c>
      <c r="E606" s="34" t="str">
        <f>+UPPER('0. Instruções'!$D$36&amp;"."&amp;VLOOKUP(B606,'0. Instruções'!$C$27:$E$32,3,FALSE))</f>
        <v>BU_LOANTAPE_WORK.SIMUL_LT004</v>
      </c>
      <c r="F606" s="34" t="s">
        <v>656</v>
      </c>
      <c r="G606" s="34"/>
      <c r="H606" s="34"/>
      <c r="I606" s="34" t="str">
        <f>"(SELECT "&amp;VLOOKUP(B606,'0. Instruções'!$C$27:$G$32,4,FALSE)&amp;", "&amp;F606&amp;" FROM "&amp;D606&amp;" WHERE "&amp;'0. Instruções'!$D$42&amp;")X"</f>
        <v>(SELECT prtctn_id, cod_soc FROM BU_LOANTAPE_WORK.LT004_PROTECTION WHERE ref_date='${ref_date}' AND nome_perimetro='Individual Local' AND segmento='ESTR' AND ambito='SRB_MBDT' AND entidade='00100')X</v>
      </c>
      <c r="J606" s="34" t="str">
        <f>"(SELECT "&amp;VLOOKUP(B606,'0. Instruções'!$C$27:$G$32,4,FALSE)&amp;" AS "&amp;VLOOKUP(B606,'0. Instruções'!$C$27:$G$32,4,FALSE)&amp;"_SIMUL, "&amp;F606&amp;" AS "&amp;F606&amp;"_SIMUL FROM "&amp;E606&amp;" WHERE "&amp;'0. Instruções'!$D$43&amp;")Y"</f>
        <v>(SELECT prtctn_id AS prtctn_id_SIMUL, cod_soc AS cod_soc_SIMUL FROM BU_LOANTAPE_WORK.SIMUL_LT004 WHERE ref_date='${ref_date}' AND nome_perimetro='Individual Local' AND segmento='ESTR' AND ambito='PILAR3' AND entidade='00100')Y</v>
      </c>
      <c r="K606" s="35" t="str">
        <f>+UPPER("ON X."&amp;VLOOKUP(B606,'0. Instruções'!$C$27:$G$32,4,FALSE)&amp;"=Y."&amp;VLOOKUP(B606,'0. Instruções'!$C$27:$G$32,4,FALSE)&amp;"_SIMUL")</f>
        <v>ON X.PRTCTN_ID=Y.PRTCTN_ID_SIMUL</v>
      </c>
      <c r="L606" s="35" t="str">
        <f>+IF(C606="Coerência", +IF(LEFT(G606,5)="FLOAT","SELECT '"&amp;UPPER(B606)&amp;"' AS TABELA, '"&amp;UPPER(C606)&amp;"' AS TIPOLOGIA_TESTE,'"&amp;D606&amp;"' AS TABELA_LT,'"&amp;E606&amp;"' AS TABELA_SIMUL,'"&amp;F606&amp;"' AS CAMPO, "&amp;"'${ref_date}' AS REF_DATE, COUNT(*) AS NUM_REG, SUM(IF((ABS(COALESCE(CAST(X."&amp;F606&amp;" AS DECIMAL(18,6)),0)-COALESCE(CAST(Y."&amp;F606&amp;"_SIMUL AS DECIMAL(18,6)),0))&gt;0.000001) OR (X."&amp;F606&amp;" IS NULL AND Y."&amp;F606&amp;"_SIMUL IS NOT NULL ) OR (X."&amp;F606&amp;" IS NOT NULL AND Y."&amp;F606&amp;"_SIMUL IS NULL),1,0)) AS NUM_REG_DIF,'"&amp;MAX('ID1&amp;5'!K:K)+1&amp;"' AS ID_EXEC, CURRENT_TIMESTAMP() AS TIME_EXEC FROM "&amp;I606&amp;" INNER JOIN "&amp;J606&amp;" "&amp;K606,"SELECT '"&amp;UPPER(B606)&amp;"' AS TABELA, '"&amp;UPPER(C606)&amp;"' AS TIPOLOGIA_TESTE,'"&amp;D606&amp;"' AS TABELA_LT,'"&amp;E606&amp;"' AS TABELA_SIMUL,'"&amp;F606&amp;"' AS CAMPO, "&amp;"'${ref_date}' AS REF_DATE, COUNT(*) AS NUM_REG, SUM(IF(COALESCE(CAST(X."&amp;F606&amp;" AS STRING),'')&lt;&gt;COALESCE(CAST(Y."&amp;F606&amp;"_SIMUL AS STRING),'') OR (X."&amp;F606&amp;" IS NULL AND Y."&amp;F606&amp;"_SIMUL IS NOT NULL ) OR (X."&amp;F606&amp;" IS NOT NULL AND Y."&amp;F606&amp;"_SIMUL IS NULL),1,0)) AS NUM_REG_DIF,'"&amp;MAX('ID1&amp;5'!L:L)+1&amp;"' AS ID_EXEC, CURRENT_TIMESTAMP() AS TIME_EXEC FROM "&amp;I606&amp;" INNER JOIN "&amp;J606&amp;" "&amp;K606),
IF(C606="Validade",+IF(G606="Code List","SELECT '"&amp;UPPER(B606)&amp;"' AS TABELA, '"&amp;UPPER(C606)&amp;"' AS TIPOLOGIA_TESTE,'"&amp;D606&amp;"' AS TABELA_LT,'N/A' AS TABELA_SIMUL,'"&amp;F606&amp;"' AS CAMPO, "&amp;"'${ref_date}' AS REF_DATE, COUNT(*) AS NUM_REG, SUM(IF(TRIM(CAST(X."&amp;F606&amp;" AS STRING))='' OR TRIM(CAST(X."&amp;F606&amp;" AS STRING)) IS NULL OR CAST(X."&amp;F606&amp;" AS STRING) NOT "&amp;H606&amp;",1,0)) AS NUM_REG_DIF,'"&amp;MAX('ID1&amp;5'!K:K)+1&amp;"' AS ID_EXEC, CURRENT_TIMESTAMP() AS TIME_EXEC FROM "&amp;I606,"SELECT '"&amp;UPPER(B606)&amp;"' AS TABELA, '"&amp;UPPER(C606)&amp;"' AS TIPOLOGIA_TESTE,'"&amp;D606&amp;"' AS TABELA_LT,'N/A' AS TABELA_SIMUL,'"&amp;F606&amp;"' AS CAMPO, "&amp;"'${ref_date}' AS REF_DATE, COUNT(*) AS NUM_REG, SUM(IF(TRIM(CAST(X."&amp;F606&amp;" AS STRING))='' OR TRIM(CAST(X."&amp;F606&amp;" AS STRING)) IS NULL,1,0)) AS NUM_REG_DIF,'"&amp;MAX('ID1&amp;5'!K:K)+1&amp;"' AS ID_EXEC, CURRENT_TIMESTAMP() AS TIME_EXEC FROM "&amp;I606),
IF(C606="Caracteres Especiais",+"SELECT '"&amp;UPPER(B606)&amp;"' AS TABELA, '"&amp;UPPER(C606)&amp;"' AS TIPOLOGIA_TESTE,'"&amp;D606&amp;"' AS TABELA_LT,'N/A' AS TABELA_SIMUL,'"&amp;F606&amp;"' AS CAMPO, "&amp;"'${ref_date}' AS REF_DATE, COUNT(*) AS NUM_REG, SUM(IF(REGEXP_REPLACE(TRIM(CAST(X."&amp;F606&amp;" AS STRING)),'[^a-zA-Z0-9_\\s]','') &lt;&gt;TRIM(CAST(X."&amp;F606&amp;" AS STRING)),1,0)) AS NUM_REG_DIF,'"&amp;MAX('ID1&amp;5'!K:K)+1&amp;"' AS ID_EXEC, CURRENT_TIMESTAMP() AS TIME_EXEC FROM "&amp;I606,
IF(C606="Missings",+"SELECT '"&amp;UPPER(B606)&amp;"' AS TABELA, '"&amp;UPPER(C606)&amp;"' AS TIPOLOGIA_TESTE,'"&amp;D606&amp;"' AS TABELA_LT,'N/A' AS TABELA_SIMUL,'"&amp;F606&amp;"' AS CAMPO, "&amp;"'${ref_date}' AS REF_DATE, COUNT(*) AS NUM_REG, SUM(IF(TRIM(CAST(X."&amp;F606&amp;" AS STRING)) IN ('0000-00-00','0001-01-01','9999-12-31','MISS','00000','99999999999','99999999999.00','99999999999.000000'),1,0)) AS NUM_REG_DIF,'"&amp;MAX('ID1&amp;5'!K:K)+1&amp;"' AS ID_EXEC, CURRENT_TIMESTAMP() AS TIME_EXEC FROM "&amp;I606,
IF(C606="Not applicable",+"SELECT '"&amp;UPPER(B606)&amp;"' AS TABELA, '"&amp;UPPER(C606)&amp;"' AS TIPOLOGIA_TESTE,'"&amp;D606&amp;"' AS TABELA_LT,'N/A' AS TABELA_SIMUL,'"&amp;F606&amp;"' AS CAMPO, "&amp;"'${ref_date}' AS REF_DATE, COUNT(*) AS NUM_REG, SUM(IF(TRIM(CAST(X."&amp;F606&amp;" AS STRING)) IN ('N/A','11111111111','11111111111.00','11111111111.000000','1111-11-11'),1,0)) AS NUM_REG_DIF,'"&amp;MAX('ID1&amp;5'!K:K)+1&amp;"' AS ID_EXEC, CURRENT_TIMESTAMP() AS TIME_EXEC FROM "&amp;I606,
IF(C606="Valores extremos",+"SELECT '"&amp;UPPER(B606)&amp;"' AS TABELA, '"&amp;UPPER(C606)&amp;"' AS TIPOLOGIA_TESTE,'"&amp;D606&amp;"' AS TABELA_LT,'N/A' AS TABELA_SIMUL,'"&amp;F606&amp;"' AS CAMPO, "&amp;"'${ref_date}' AS REF_DATE, CAST(MIN("&amp;F606&amp;") AS STRING) AS VALOR_MIN, CAST(MAX("&amp;F606&amp;") AS STRING) AS VALOR_MAX,'"&amp;MAX('ID1&amp;5'!K:K)+1&amp;"' AS ID_EXEC, CURRENT_TIMESTAMP() AS TIME_EXEC FROM "&amp;MID(I606,1,LEN(I606)-2)&amp;" AND CAST("&amp;F606&amp;"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prtctn_id, cod_soc FROM BU_LOANTAPE_WORK.LT004_PROTECTION WHERE ref_date='${ref_date}' AND nome_perimetro='Individual Local' AND segmento='ESTR' AND ambito='SRB_MBDT' AND entidade='00100')X INNER JOIN (SELECT prtctn_id AS prtctn_id_SIMUL, cod_soc AS cod_soc_SIMUL FROM BU_LOANTAPE_WORK.SIMUL_LT004 WHERE ref_date='${ref_date}' AND nome_perimetro='Individual Local' AND segmento='ESTR' AND ambito='PILAR3' AND entidade='00100')Y ON X.PRTCTN_ID=Y.PRTCTN_ID_SIMUL</v>
      </c>
      <c r="M606" s="36" t="str">
        <f t="shared" si="14"/>
        <v>UNION ALL SELECT 'PROTECTION' AS TABELA, 'COERÊNCIA' AS TIPOLOGIA_TESTE,'BU_LOANTAPE_WORK.LT004_PROTECTION' AS TABELA_LT,'BU_LOANTAPE_WORK.SIMUL_LT004'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prtctn_id, cod_soc FROM BU_LOANTAPE_WORK.LT004_PROTECTION WHERE ref_date='${ref_date}' AND nome_perimetro='Individual Local' AND segmento='ESTR' AND ambito='SRB_MBDT' AND entidade='00100')X INNER JOIN (SELECT prtctn_id AS prtctn_id_SIMUL, cod_soc AS cod_soc_SIMUL FROM BU_LOANTAPE_WORK.SIMUL_LT004 WHERE ref_date='${ref_date}' AND nome_perimetro='Individual Local' AND segmento='ESTR' AND ambito='PILAR3' AND entidade='00100')Y ON X.PRTCTN_ID=Y.PRTCTN_ID_SIMUL</v>
      </c>
    </row>
    <row r="607" spans="2:13">
      <c r="B607" s="34" t="s">
        <v>119</v>
      </c>
      <c r="C607" s="34" t="s">
        <v>5</v>
      </c>
      <c r="D607" s="34" t="str">
        <f>+UPPER('0. Instruções'!$D$35&amp;"."&amp;VLOOKUP(B607,'0. Instruções'!$C$27:$D$32,2,FALSE))</f>
        <v>BU_LOANTAPE_WORK.LT004_PROTECTION</v>
      </c>
      <c r="E607" s="34" t="str">
        <f>+UPPER('0. Instruções'!$D$36&amp;"."&amp;VLOOKUP(B607,'0. Instruções'!$C$27:$E$32,3,FALSE))</f>
        <v>BU_LOANTAPE_WORK.SIMUL_LT004</v>
      </c>
      <c r="F607" s="34" t="s">
        <v>1540</v>
      </c>
      <c r="G607" s="34"/>
      <c r="H607" s="34"/>
      <c r="I607" s="34" t="str">
        <f>"(SELECT "&amp;VLOOKUP(B607,'0. Instruções'!$C$27:$G$32,4,FALSE)&amp;", "&amp;F607&amp;" FROM "&amp;D607&amp;" WHERE "&amp;'0. Instruções'!$D$42&amp;")X"</f>
        <v>(SELECT prtctn_id, yr_cnstrctn FROM BU_LOANTAPE_WORK.LT004_PROTECTION WHERE ref_date='${ref_date}' AND nome_perimetro='Individual Local' AND segmento='ESTR' AND ambito='SRB_MBDT' AND entidade='00100')X</v>
      </c>
      <c r="J607" s="34" t="str">
        <f>"(SELECT "&amp;VLOOKUP(B607,'0. Instruções'!$C$27:$G$32,4,FALSE)&amp;" AS "&amp;VLOOKUP(B607,'0. Instruções'!$C$27:$G$32,4,FALSE)&amp;"_SIMUL, "&amp;F607&amp;" AS "&amp;F607&amp;"_SIMUL FROM "&amp;E607&amp;" WHERE "&amp;'0. Instruções'!$D$43&amp;")Y"</f>
        <v>(SELECT prtctn_id AS prtctn_id_SIMUL, yr_cnstrctn AS yr_cnstrctn_SIMUL FROM BU_LOANTAPE_WORK.SIMUL_LT004 WHERE ref_date='${ref_date}' AND nome_perimetro='Individual Local' AND segmento='ESTR' AND ambito='PILAR3' AND entidade='00100')Y</v>
      </c>
      <c r="K607" s="35" t="str">
        <f>+UPPER("ON X."&amp;VLOOKUP(B607,'0. Instruções'!$C$27:$G$32,4,FALSE)&amp;"=Y."&amp;VLOOKUP(B607,'0. Instruções'!$C$27:$G$32,4,FALSE)&amp;"_SIMUL")</f>
        <v>ON X.PRTCTN_ID=Y.PRTCTN_ID_SIMUL</v>
      </c>
      <c r="L607" s="35" t="str">
        <f>+IF(C607="Coerência", +IF(LEFT(G607,5)="FLOAT","SELECT '"&amp;UPPER(B607)&amp;"' AS TABELA, '"&amp;UPPER(C607)&amp;"' AS TIPOLOGIA_TESTE,'"&amp;D607&amp;"' AS TABELA_LT,'"&amp;E607&amp;"' AS TABELA_SIMUL,'"&amp;F607&amp;"' AS CAMPO, "&amp;"'${ref_date}' AS REF_DATE, COUNT(*) AS NUM_REG, SUM(IF((ABS(COALESCE(CAST(X."&amp;F607&amp;" AS DECIMAL(18,6)),0)-COALESCE(CAST(Y."&amp;F607&amp;"_SIMUL AS DECIMAL(18,6)),0))&gt;0.000001) OR (X."&amp;F607&amp;" IS NULL AND Y."&amp;F607&amp;"_SIMUL IS NOT NULL ) OR (X."&amp;F607&amp;" IS NOT NULL AND Y."&amp;F607&amp;"_SIMUL IS NULL),1,0)) AS NUM_REG_DIF,'"&amp;MAX('ID1&amp;5'!K:K)+1&amp;"' AS ID_EXEC, CURRENT_TIMESTAMP() AS TIME_EXEC FROM "&amp;I607&amp;" INNER JOIN "&amp;J607&amp;" "&amp;K607,"SELECT '"&amp;UPPER(B607)&amp;"' AS TABELA, '"&amp;UPPER(C607)&amp;"' AS TIPOLOGIA_TESTE,'"&amp;D607&amp;"' AS TABELA_LT,'"&amp;E607&amp;"' AS TABELA_SIMUL,'"&amp;F607&amp;"' AS CAMPO, "&amp;"'${ref_date}' AS REF_DATE, COUNT(*) AS NUM_REG, SUM(IF(COALESCE(CAST(X."&amp;F607&amp;" AS STRING),'')&lt;&gt;COALESCE(CAST(Y."&amp;F607&amp;"_SIMUL AS STRING),'') OR (X."&amp;F607&amp;" IS NULL AND Y."&amp;F607&amp;"_SIMUL IS NOT NULL ) OR (X."&amp;F607&amp;" IS NOT NULL AND Y."&amp;F607&amp;"_SIMUL IS NULL),1,0)) AS NUM_REG_DIF,'"&amp;MAX('ID1&amp;5'!L:L)+1&amp;"' AS ID_EXEC, CURRENT_TIMESTAMP() AS TIME_EXEC FROM "&amp;I607&amp;" INNER JOIN "&amp;J607&amp;" "&amp;K607),
IF(C607="Validade",+IF(G607="Code List","SELECT '"&amp;UPPER(B607)&amp;"' AS TABELA, '"&amp;UPPER(C607)&amp;"' AS TIPOLOGIA_TESTE,'"&amp;D607&amp;"' AS TABELA_LT,'N/A' AS TABELA_SIMUL,'"&amp;F607&amp;"' AS CAMPO, "&amp;"'${ref_date}' AS REF_DATE, COUNT(*) AS NUM_REG, SUM(IF(TRIM(CAST(X."&amp;F607&amp;" AS STRING))='' OR TRIM(CAST(X."&amp;F607&amp;" AS STRING)) IS NULL OR CAST(X."&amp;F607&amp;" AS STRING) NOT "&amp;H607&amp;",1,0)) AS NUM_REG_DIF,'"&amp;MAX('ID1&amp;5'!K:K)+1&amp;"' AS ID_EXEC, CURRENT_TIMESTAMP() AS TIME_EXEC FROM "&amp;I607,"SELECT '"&amp;UPPER(B607)&amp;"' AS TABELA, '"&amp;UPPER(C607)&amp;"' AS TIPOLOGIA_TESTE,'"&amp;D607&amp;"' AS TABELA_LT,'N/A' AS TABELA_SIMUL,'"&amp;F607&amp;"' AS CAMPO, "&amp;"'${ref_date}' AS REF_DATE, COUNT(*) AS NUM_REG, SUM(IF(TRIM(CAST(X."&amp;F607&amp;" AS STRING))='' OR TRIM(CAST(X."&amp;F607&amp;" AS STRING)) IS NULL,1,0)) AS NUM_REG_DIF,'"&amp;MAX('ID1&amp;5'!K:K)+1&amp;"' AS ID_EXEC, CURRENT_TIMESTAMP() AS TIME_EXEC FROM "&amp;I607),
IF(C607="Caracteres Especiais",+"SELECT '"&amp;UPPER(B607)&amp;"' AS TABELA, '"&amp;UPPER(C607)&amp;"' AS TIPOLOGIA_TESTE,'"&amp;D607&amp;"' AS TABELA_LT,'N/A' AS TABELA_SIMUL,'"&amp;F607&amp;"' AS CAMPO, "&amp;"'${ref_date}' AS REF_DATE, COUNT(*) AS NUM_REG, SUM(IF(REGEXP_REPLACE(TRIM(CAST(X."&amp;F607&amp;" AS STRING)),'[^a-zA-Z0-9_\\s]','') &lt;&gt;TRIM(CAST(X."&amp;F607&amp;" AS STRING)),1,0)) AS NUM_REG_DIF,'"&amp;MAX('ID1&amp;5'!K:K)+1&amp;"' AS ID_EXEC, CURRENT_TIMESTAMP() AS TIME_EXEC FROM "&amp;I607,
IF(C607="Missings",+"SELECT '"&amp;UPPER(B607)&amp;"' AS TABELA, '"&amp;UPPER(C607)&amp;"' AS TIPOLOGIA_TESTE,'"&amp;D607&amp;"' AS TABELA_LT,'N/A' AS TABELA_SIMUL,'"&amp;F607&amp;"' AS CAMPO, "&amp;"'${ref_date}' AS REF_DATE, COUNT(*) AS NUM_REG, SUM(IF(TRIM(CAST(X."&amp;F607&amp;" AS STRING)) IN ('0000-00-00','0001-01-01','9999-12-31','MISS','00000','99999999999','99999999999.00','99999999999.000000'),1,0)) AS NUM_REG_DIF,'"&amp;MAX('ID1&amp;5'!K:K)+1&amp;"' AS ID_EXEC, CURRENT_TIMESTAMP() AS TIME_EXEC FROM "&amp;I607,
IF(C607="Not applicable",+"SELECT '"&amp;UPPER(B607)&amp;"' AS TABELA, '"&amp;UPPER(C607)&amp;"' AS TIPOLOGIA_TESTE,'"&amp;D607&amp;"' AS TABELA_LT,'N/A' AS TABELA_SIMUL,'"&amp;F607&amp;"' AS CAMPO, "&amp;"'${ref_date}' AS REF_DATE, COUNT(*) AS NUM_REG, SUM(IF(TRIM(CAST(X."&amp;F607&amp;" AS STRING)) IN ('N/A','11111111111','11111111111.00','11111111111.000000','1111-11-11'),1,0)) AS NUM_REG_DIF,'"&amp;MAX('ID1&amp;5'!K:K)+1&amp;"' AS ID_EXEC, CURRENT_TIMESTAMP() AS TIME_EXEC FROM "&amp;I607,
IF(C607="Valores extremos",+"SELECT '"&amp;UPPER(B607)&amp;"' AS TABELA, '"&amp;UPPER(C607)&amp;"' AS TIPOLOGIA_TESTE,'"&amp;D607&amp;"' AS TABELA_LT,'N/A' AS TABELA_SIMUL,'"&amp;F607&amp;"' AS CAMPO, "&amp;"'${ref_date}' AS REF_DATE, CAST(MIN("&amp;F607&amp;") AS STRING) AS VALOR_MIN, CAST(MAX("&amp;F607&amp;") AS STRING) AS VALOR_MAX,'"&amp;MAX('ID1&amp;5'!K:K)+1&amp;"' AS ID_EXEC, CURRENT_TIMESTAMP() AS TIME_EXEC FROM "&amp;MID(I607,1,LEN(I607)-2)&amp;" AND CAST("&amp;F607&amp;"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TABELA_SIMUL,'yr_cnstrctn' AS CAMPO, '${ref_date}' AS REF_DATE, COUNT(*) AS NUM_REG, SUM(IF(COALESCE(CAST(X.yr_cnstrctn AS STRING),'')&lt;&gt;COALESCE(CAST(Y.yr_cnstrctn_SIMUL AS STRING),'') OR (X.yr_cnstrctn IS NULL AND Y.yr_cnstrctn_SIMUL IS NOT NULL ) OR (X.yr_cnstrctn IS NOT NULL AND Y.yr_cnstrctn_SIMUL IS NULL),1,0)) AS NUM_REG_DIF,'1' AS ID_EXEC, CURRENT_TIMESTAMP() AS TIME_EXEC FROM (SELECT prtctn_id, yr_cnstrctn FROM BU_LOANTAPE_WORK.LT004_PROTECTION WHERE ref_date='${ref_date}' AND nome_perimetro='Individual Local' AND segmento='ESTR' AND ambito='SRB_MBDT' AND entidade='00100')X INNER JOIN (SELECT prtctn_id AS prtctn_id_SIMUL, yr_cnstrctn AS yr_cnstrctn_SIMUL FROM BU_LOANTAPE_WORK.SIMUL_LT004 WHERE ref_date='${ref_date}' AND nome_perimetro='Individual Local' AND segmento='ESTR' AND ambito='PILAR3' AND entidade='00100')Y ON X.PRTCTN_ID=Y.PRTCTN_ID_SIMUL</v>
      </c>
      <c r="M607" s="36" t="str">
        <f t="shared" si="14"/>
        <v>UNION ALL SELECT 'PROTECTION' AS TABELA, 'COERÊNCIA' AS TIPOLOGIA_TESTE,'BU_LOANTAPE_WORK.LT004_PROTECTION' AS TABELA_LT,'BU_LOANTAPE_WORK.SIMUL_LT004' AS TABELA_SIMUL,'yr_cnstrctn' AS CAMPO, '${ref_date}' AS REF_DATE, COUNT(*) AS NUM_REG, SUM(IF(COALESCE(CAST(X.yr_cnstrctn AS STRING),'')&lt;&gt;COALESCE(CAST(Y.yr_cnstrctn_SIMUL AS STRING),'') OR (X.yr_cnstrctn IS NULL AND Y.yr_cnstrctn_SIMUL IS NOT NULL ) OR (X.yr_cnstrctn IS NOT NULL AND Y.yr_cnstrctn_SIMUL IS NULL),1,0)) AS NUM_REG_DIF,'1' AS ID_EXEC, CURRENT_TIMESTAMP() AS TIME_EXEC FROM (SELECT prtctn_id, yr_cnstrctn FROM BU_LOANTAPE_WORK.LT004_PROTECTION WHERE ref_date='${ref_date}' AND nome_perimetro='Individual Local' AND segmento='ESTR' AND ambito='SRB_MBDT' AND entidade='00100')X INNER JOIN (SELECT prtctn_id AS prtctn_id_SIMUL, yr_cnstrctn AS yr_cnstrctn_SIMUL FROM BU_LOANTAPE_WORK.SIMUL_LT004 WHERE ref_date='${ref_date}' AND nome_perimetro='Individual Local' AND segmento='ESTR' AND ambito='PILAR3' AND entidade='00100')Y ON X.PRTCTN_ID=Y.PRTCTN_ID_SIMUL</v>
      </c>
    </row>
    <row r="608" spans="2:13">
      <c r="B608" s="34" t="s">
        <v>119</v>
      </c>
      <c r="C608" s="34" t="s">
        <v>5</v>
      </c>
      <c r="D608" s="34" t="str">
        <f>+UPPER('0. Instruções'!$D$35&amp;"."&amp;VLOOKUP(B608,'0. Instruções'!$C$27:$D$32,2,FALSE))</f>
        <v>BU_LOANTAPE_WORK.LT004_PROTECTION</v>
      </c>
      <c r="E608" s="34" t="str">
        <f>+UPPER('0. Instruções'!$D$36&amp;"."&amp;VLOOKUP(B608,'0. Instruções'!$C$27:$E$32,3,FALSE))</f>
        <v>BU_LOANTAPE_WORK.SIMUL_LT004</v>
      </c>
      <c r="F608" s="34" t="s">
        <v>621</v>
      </c>
      <c r="G608" s="34"/>
      <c r="H608" s="34"/>
      <c r="I608" s="34" t="str">
        <f>"(SELECT "&amp;VLOOKUP(B608,'0. Instruções'!$C$27:$G$32,4,FALSE)&amp;", "&amp;F608&amp;" FROM "&amp;D608&amp;" WHERE "&amp;'0. Instruções'!$D$42&amp;")X"</f>
        <v>(SELECT prtctn_id, typ_ep_scr FROM BU_LOANTAPE_WORK.LT004_PROTECTION WHERE ref_date='${ref_date}' AND nome_perimetro='Individual Local' AND segmento='ESTR' AND ambito='SRB_MBDT' AND entidade='00100')X</v>
      </c>
      <c r="J608" s="34" t="str">
        <f>"(SELECT "&amp;VLOOKUP(B608,'0. Instruções'!$C$27:$G$32,4,FALSE)&amp;" AS "&amp;VLOOKUP(B608,'0. Instruções'!$C$27:$G$32,4,FALSE)&amp;"_SIMUL, "&amp;F608&amp;" AS "&amp;F608&amp;"_SIMUL FROM "&amp;E608&amp;" WHERE "&amp;'0. Instruções'!$D$43&amp;")Y"</f>
        <v>(SELECT prtctn_id AS prtctn_id_SIMUL, typ_ep_scr AS typ_ep_scr_SIMUL FROM BU_LOANTAPE_WORK.SIMUL_LT004 WHERE ref_date='${ref_date}' AND nome_perimetro='Individual Local' AND segmento='ESTR' AND ambito='PILAR3' AND entidade='00100')Y</v>
      </c>
      <c r="K608" s="35" t="str">
        <f>+UPPER("ON X."&amp;VLOOKUP(B608,'0. Instruções'!$C$27:$G$32,4,FALSE)&amp;"=Y."&amp;VLOOKUP(B608,'0. Instruções'!$C$27:$G$32,4,FALSE)&amp;"_SIMUL")</f>
        <v>ON X.PRTCTN_ID=Y.PRTCTN_ID_SIMUL</v>
      </c>
      <c r="L608" s="35" t="str">
        <f>+IF(C608="Coerência", +IF(LEFT(G608,5)="FLOAT","SELECT '"&amp;UPPER(B608)&amp;"' AS TABELA, '"&amp;UPPER(C608)&amp;"' AS TIPOLOGIA_TESTE,'"&amp;D608&amp;"' AS TABELA_LT,'"&amp;E608&amp;"' AS TABELA_SIMUL,'"&amp;F608&amp;"' AS CAMPO, "&amp;"'${ref_date}' AS REF_DATE, COUNT(*) AS NUM_REG, SUM(IF((ABS(COALESCE(CAST(X."&amp;F608&amp;" AS DECIMAL(18,6)),0)-COALESCE(CAST(Y."&amp;F608&amp;"_SIMUL AS DECIMAL(18,6)),0))&gt;0.000001) OR (X."&amp;F608&amp;" IS NULL AND Y."&amp;F608&amp;"_SIMUL IS NOT NULL ) OR (X."&amp;F608&amp;" IS NOT NULL AND Y."&amp;F608&amp;"_SIMUL IS NULL),1,0)) AS NUM_REG_DIF,'"&amp;MAX('ID1&amp;5'!K:K)+1&amp;"' AS ID_EXEC, CURRENT_TIMESTAMP() AS TIME_EXEC FROM "&amp;I608&amp;" INNER JOIN "&amp;J608&amp;" "&amp;K608,"SELECT '"&amp;UPPER(B608)&amp;"' AS TABELA, '"&amp;UPPER(C608)&amp;"' AS TIPOLOGIA_TESTE,'"&amp;D608&amp;"' AS TABELA_LT,'"&amp;E608&amp;"' AS TABELA_SIMUL,'"&amp;F608&amp;"' AS CAMPO, "&amp;"'${ref_date}' AS REF_DATE, COUNT(*) AS NUM_REG, SUM(IF(COALESCE(CAST(X."&amp;F608&amp;" AS STRING),'')&lt;&gt;COALESCE(CAST(Y."&amp;F608&amp;"_SIMUL AS STRING),'') OR (X."&amp;F608&amp;" IS NULL AND Y."&amp;F608&amp;"_SIMUL IS NOT NULL ) OR (X."&amp;F608&amp;" IS NOT NULL AND Y."&amp;F608&amp;"_SIMUL IS NULL),1,0)) AS NUM_REG_DIF,'"&amp;MAX('ID1&amp;5'!L:L)+1&amp;"' AS ID_EXEC, CURRENT_TIMESTAMP() AS TIME_EXEC FROM "&amp;I608&amp;" INNER JOIN "&amp;J608&amp;" "&amp;K608),
IF(C608="Validade",+IF(G608="Code List","SELECT '"&amp;UPPER(B608)&amp;"' AS TABELA, '"&amp;UPPER(C608)&amp;"' AS TIPOLOGIA_TESTE,'"&amp;D608&amp;"' AS TABELA_LT,'N/A' AS TABELA_SIMUL,'"&amp;F608&amp;"' AS CAMPO, "&amp;"'${ref_date}' AS REF_DATE, COUNT(*) AS NUM_REG, SUM(IF(TRIM(CAST(X."&amp;F608&amp;" AS STRING))='' OR TRIM(CAST(X."&amp;F608&amp;" AS STRING)) IS NULL OR CAST(X."&amp;F608&amp;" AS STRING) NOT "&amp;H608&amp;",1,0)) AS NUM_REG_DIF,'"&amp;MAX('ID1&amp;5'!K:K)+1&amp;"' AS ID_EXEC, CURRENT_TIMESTAMP() AS TIME_EXEC FROM "&amp;I608,"SELECT '"&amp;UPPER(B608)&amp;"' AS TABELA, '"&amp;UPPER(C608)&amp;"' AS TIPOLOGIA_TESTE,'"&amp;D608&amp;"' AS TABELA_LT,'N/A' AS TABELA_SIMUL,'"&amp;F608&amp;"' AS CAMPO, "&amp;"'${ref_date}' AS REF_DATE, COUNT(*) AS NUM_REG, SUM(IF(TRIM(CAST(X."&amp;F608&amp;" AS STRING))='' OR TRIM(CAST(X."&amp;F608&amp;" AS STRING)) IS NULL,1,0)) AS NUM_REG_DIF,'"&amp;MAX('ID1&amp;5'!K:K)+1&amp;"' AS ID_EXEC, CURRENT_TIMESTAMP() AS TIME_EXEC FROM "&amp;I608),
IF(C608="Caracteres Especiais",+"SELECT '"&amp;UPPER(B608)&amp;"' AS TABELA, '"&amp;UPPER(C608)&amp;"' AS TIPOLOGIA_TESTE,'"&amp;D608&amp;"' AS TABELA_LT,'N/A' AS TABELA_SIMUL,'"&amp;F608&amp;"' AS CAMPO, "&amp;"'${ref_date}' AS REF_DATE, COUNT(*) AS NUM_REG, SUM(IF(REGEXP_REPLACE(TRIM(CAST(X."&amp;F608&amp;" AS STRING)),'[^a-zA-Z0-9_\\s]','') &lt;&gt;TRIM(CAST(X."&amp;F608&amp;" AS STRING)),1,0)) AS NUM_REG_DIF,'"&amp;MAX('ID1&amp;5'!K:K)+1&amp;"' AS ID_EXEC, CURRENT_TIMESTAMP() AS TIME_EXEC FROM "&amp;I608,
IF(C608="Missings",+"SELECT '"&amp;UPPER(B608)&amp;"' AS TABELA, '"&amp;UPPER(C608)&amp;"' AS TIPOLOGIA_TESTE,'"&amp;D608&amp;"' AS TABELA_LT,'N/A' AS TABELA_SIMUL,'"&amp;F608&amp;"' AS CAMPO, "&amp;"'${ref_date}' AS REF_DATE, COUNT(*) AS NUM_REG, SUM(IF(TRIM(CAST(X."&amp;F608&amp;" AS STRING)) IN ('0000-00-00','0001-01-01','9999-12-31','MISS','00000','99999999999','99999999999.00','99999999999.000000'),1,0)) AS NUM_REG_DIF,'"&amp;MAX('ID1&amp;5'!K:K)+1&amp;"' AS ID_EXEC, CURRENT_TIMESTAMP() AS TIME_EXEC FROM "&amp;I608,
IF(C608="Not applicable",+"SELECT '"&amp;UPPER(B608)&amp;"' AS TABELA, '"&amp;UPPER(C608)&amp;"' AS TIPOLOGIA_TESTE,'"&amp;D608&amp;"' AS TABELA_LT,'N/A' AS TABELA_SIMUL,'"&amp;F608&amp;"' AS CAMPO, "&amp;"'${ref_date}' AS REF_DATE, COUNT(*) AS NUM_REG, SUM(IF(TRIM(CAST(X."&amp;F608&amp;" AS STRING)) IN ('N/A','11111111111','11111111111.00','11111111111.000000','1111-11-11'),1,0)) AS NUM_REG_DIF,'"&amp;MAX('ID1&amp;5'!K:K)+1&amp;"' AS ID_EXEC, CURRENT_TIMESTAMP() AS TIME_EXEC FROM "&amp;I608,
IF(C608="Valores extremos",+"SELECT '"&amp;UPPER(B608)&amp;"' AS TABELA, '"&amp;UPPER(C608)&amp;"' AS TIPOLOGIA_TESTE,'"&amp;D608&amp;"' AS TABELA_LT,'N/A' AS TABELA_SIMUL,'"&amp;F608&amp;"' AS CAMPO, "&amp;"'${ref_date}' AS REF_DATE, CAST(MIN("&amp;F608&amp;") AS STRING) AS VALOR_MIN, CAST(MAX("&amp;F608&amp;") AS STRING) AS VALOR_MAX,'"&amp;MAX('ID1&amp;5'!K:K)+1&amp;"' AS ID_EXEC, CURRENT_TIMESTAMP() AS TIME_EXEC FROM "&amp;MID(I608,1,LEN(I608)-2)&amp;" AND CAST("&amp;F608&amp;"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TABELA_SIMUL,'typ_ep_scr' AS CAMPO, '${ref_date}' AS REF_DATE, COUNT(*) AS NUM_REG, SUM(IF(COALESCE(CAST(X.typ_ep_scr AS STRING),'')&lt;&gt;COALESCE(CAST(Y.typ_ep_scr_SIMUL AS STRING),'') OR (X.typ_ep_scr IS NULL AND Y.typ_ep_scr_SIMUL IS NOT NULL ) OR (X.typ_ep_scr IS NOT NULL AND Y.typ_ep_scr_SIMUL IS NULL),1,0)) AS NUM_REG_DIF,'1' AS ID_EXEC, CURRENT_TIMESTAMP() AS TIME_EXEC FROM (SELECT prtctn_id, typ_ep_scr FROM BU_LOANTAPE_WORK.LT004_PROTECTION WHERE ref_date='${ref_date}' AND nome_perimetro='Individual Local' AND segmento='ESTR' AND ambito='SRB_MBDT' AND entidade='00100')X INNER JOIN (SELECT prtctn_id AS prtctn_id_SIMUL, typ_ep_scr AS typ_ep_scr_SIMUL FROM BU_LOANTAPE_WORK.SIMUL_LT004 WHERE ref_date='${ref_date}' AND nome_perimetro='Individual Local' AND segmento='ESTR' AND ambito='PILAR3' AND entidade='00100')Y ON X.PRTCTN_ID=Y.PRTCTN_ID_SIMUL</v>
      </c>
      <c r="M608" s="36" t="str">
        <f t="shared" si="14"/>
        <v>UNION ALL SELECT 'PROTECTION' AS TABELA, 'COERÊNCIA' AS TIPOLOGIA_TESTE,'BU_LOANTAPE_WORK.LT004_PROTECTION' AS TABELA_LT,'BU_LOANTAPE_WORK.SIMUL_LT004' AS TABELA_SIMUL,'typ_ep_scr' AS CAMPO, '${ref_date}' AS REF_DATE, COUNT(*) AS NUM_REG, SUM(IF(COALESCE(CAST(X.typ_ep_scr AS STRING),'')&lt;&gt;COALESCE(CAST(Y.typ_ep_scr_SIMUL AS STRING),'') OR (X.typ_ep_scr IS NULL AND Y.typ_ep_scr_SIMUL IS NOT NULL ) OR (X.typ_ep_scr IS NOT NULL AND Y.typ_ep_scr_SIMUL IS NULL),1,0)) AS NUM_REG_DIF,'1' AS ID_EXEC, CURRENT_TIMESTAMP() AS TIME_EXEC FROM (SELECT prtctn_id, typ_ep_scr FROM BU_LOANTAPE_WORK.LT004_PROTECTION WHERE ref_date='${ref_date}' AND nome_perimetro='Individual Local' AND segmento='ESTR' AND ambito='SRB_MBDT' AND entidade='00100')X INNER JOIN (SELECT prtctn_id AS prtctn_id_SIMUL, typ_ep_scr AS typ_ep_scr_SIMUL FROM BU_LOANTAPE_WORK.SIMUL_LT004 WHERE ref_date='${ref_date}' AND nome_perimetro='Individual Local' AND segmento='ESTR' AND ambito='PILAR3' AND entidade='00100')Y ON X.PRTCTN_ID=Y.PRTCTN_ID_SIMUL</v>
      </c>
    </row>
    <row r="609" spans="2:13">
      <c r="B609" s="34" t="s">
        <v>119</v>
      </c>
      <c r="C609" s="34" t="s">
        <v>5</v>
      </c>
      <c r="D609" s="34" t="str">
        <f>+UPPER('0. Instruções'!$D$35&amp;"."&amp;VLOOKUP(B609,'0. Instruções'!$C$27:$D$32,2,FALSE))</f>
        <v>BU_LOANTAPE_WORK.LT004_PROTECTION</v>
      </c>
      <c r="E609" s="34" t="str">
        <f>+UPPER('0. Instruções'!$D$36&amp;"."&amp;VLOOKUP(B609,'0. Instruções'!$C$27:$E$32,3,FALSE))</f>
        <v>BU_LOANTAPE_WORK.SIMUL_LT004</v>
      </c>
      <c r="F609" s="34" t="s">
        <v>622</v>
      </c>
      <c r="G609" s="34"/>
      <c r="H609" s="34"/>
      <c r="I609" s="34" t="str">
        <f>"(SELECT "&amp;VLOOKUP(B609,'0. Instruções'!$C$27:$G$32,4,FALSE)&amp;", "&amp;F609&amp;" FROM "&amp;D609&amp;" WHERE "&amp;'0. Instruções'!$D$42&amp;")X"</f>
        <v>(SELECT prtctn_id, ep_scr FROM BU_LOANTAPE_WORK.LT004_PROTECTION WHERE ref_date='${ref_date}' AND nome_perimetro='Individual Local' AND segmento='ESTR' AND ambito='SRB_MBDT' AND entidade='00100')X</v>
      </c>
      <c r="J609" s="34" t="str">
        <f>"(SELECT "&amp;VLOOKUP(B609,'0. Instruções'!$C$27:$G$32,4,FALSE)&amp;" AS "&amp;VLOOKUP(B609,'0. Instruções'!$C$27:$G$32,4,FALSE)&amp;"_SIMUL, "&amp;F609&amp;" AS "&amp;F609&amp;"_SIMUL FROM "&amp;E609&amp;" WHERE "&amp;'0. Instruções'!$D$43&amp;")Y"</f>
        <v>(SELECT prtctn_id AS prtctn_id_SIMUL, ep_scr AS ep_scr_SIMUL FROM BU_LOANTAPE_WORK.SIMUL_LT004 WHERE ref_date='${ref_date}' AND nome_perimetro='Individual Local' AND segmento='ESTR' AND ambito='PILAR3' AND entidade='00100')Y</v>
      </c>
      <c r="K609" s="35" t="str">
        <f>+UPPER("ON X."&amp;VLOOKUP(B609,'0. Instruções'!$C$27:$G$32,4,FALSE)&amp;"=Y."&amp;VLOOKUP(B609,'0. Instruções'!$C$27:$G$32,4,FALSE)&amp;"_SIMUL")</f>
        <v>ON X.PRTCTN_ID=Y.PRTCTN_ID_SIMUL</v>
      </c>
      <c r="L609" s="35" t="str">
        <f>+IF(C609="Coerência", +IF(LEFT(G609,5)="FLOAT","SELECT '"&amp;UPPER(B609)&amp;"' AS TABELA, '"&amp;UPPER(C609)&amp;"' AS TIPOLOGIA_TESTE,'"&amp;D609&amp;"' AS TABELA_LT,'"&amp;E609&amp;"' AS TABELA_SIMUL,'"&amp;F609&amp;"' AS CAMPO, "&amp;"'${ref_date}' AS REF_DATE, COUNT(*) AS NUM_REG, SUM(IF((ABS(COALESCE(CAST(X."&amp;F609&amp;" AS DECIMAL(18,6)),0)-COALESCE(CAST(Y."&amp;F609&amp;"_SIMUL AS DECIMAL(18,6)),0))&gt;0.000001) OR (X."&amp;F609&amp;" IS NULL AND Y."&amp;F609&amp;"_SIMUL IS NOT NULL ) OR (X."&amp;F609&amp;" IS NOT NULL AND Y."&amp;F609&amp;"_SIMUL IS NULL),1,0)) AS NUM_REG_DIF,'"&amp;MAX('ID1&amp;5'!K:K)+1&amp;"' AS ID_EXEC, CURRENT_TIMESTAMP() AS TIME_EXEC FROM "&amp;I609&amp;" INNER JOIN "&amp;J609&amp;" "&amp;K609,"SELECT '"&amp;UPPER(B609)&amp;"' AS TABELA, '"&amp;UPPER(C609)&amp;"' AS TIPOLOGIA_TESTE,'"&amp;D609&amp;"' AS TABELA_LT,'"&amp;E609&amp;"' AS TABELA_SIMUL,'"&amp;F609&amp;"' AS CAMPO, "&amp;"'${ref_date}' AS REF_DATE, COUNT(*) AS NUM_REG, SUM(IF(COALESCE(CAST(X."&amp;F609&amp;" AS STRING),'')&lt;&gt;COALESCE(CAST(Y."&amp;F609&amp;"_SIMUL AS STRING),'') OR (X."&amp;F609&amp;" IS NULL AND Y."&amp;F609&amp;"_SIMUL IS NOT NULL ) OR (X."&amp;F609&amp;" IS NOT NULL AND Y."&amp;F609&amp;"_SIMUL IS NULL),1,0)) AS NUM_REG_DIF,'"&amp;MAX('ID1&amp;5'!L:L)+1&amp;"' AS ID_EXEC, CURRENT_TIMESTAMP() AS TIME_EXEC FROM "&amp;I609&amp;" INNER JOIN "&amp;J609&amp;" "&amp;K609),
IF(C609="Validade",+IF(G609="Code List","SELECT '"&amp;UPPER(B609)&amp;"' AS TABELA, '"&amp;UPPER(C609)&amp;"' AS TIPOLOGIA_TESTE,'"&amp;D609&amp;"' AS TABELA_LT,'N/A' AS TABELA_SIMUL,'"&amp;F609&amp;"' AS CAMPO, "&amp;"'${ref_date}' AS REF_DATE, COUNT(*) AS NUM_REG, SUM(IF(TRIM(CAST(X."&amp;F609&amp;" AS STRING))='' OR TRIM(CAST(X."&amp;F609&amp;" AS STRING)) IS NULL OR CAST(X."&amp;F609&amp;" AS STRING) NOT "&amp;H609&amp;",1,0)) AS NUM_REG_DIF,'"&amp;MAX('ID1&amp;5'!K:K)+1&amp;"' AS ID_EXEC, CURRENT_TIMESTAMP() AS TIME_EXEC FROM "&amp;I609,"SELECT '"&amp;UPPER(B609)&amp;"' AS TABELA, '"&amp;UPPER(C609)&amp;"' AS TIPOLOGIA_TESTE,'"&amp;D609&amp;"' AS TABELA_LT,'N/A' AS TABELA_SIMUL,'"&amp;F609&amp;"' AS CAMPO, "&amp;"'${ref_date}' AS REF_DATE, COUNT(*) AS NUM_REG, SUM(IF(TRIM(CAST(X."&amp;F609&amp;" AS STRING))='' OR TRIM(CAST(X."&amp;F609&amp;" AS STRING)) IS NULL,1,0)) AS NUM_REG_DIF,'"&amp;MAX('ID1&amp;5'!K:K)+1&amp;"' AS ID_EXEC, CURRENT_TIMESTAMP() AS TIME_EXEC FROM "&amp;I609),
IF(C609="Caracteres Especiais",+"SELECT '"&amp;UPPER(B609)&amp;"' AS TABELA, '"&amp;UPPER(C609)&amp;"' AS TIPOLOGIA_TESTE,'"&amp;D609&amp;"' AS TABELA_LT,'N/A' AS TABELA_SIMUL,'"&amp;F609&amp;"' AS CAMPO, "&amp;"'${ref_date}' AS REF_DATE, COUNT(*) AS NUM_REG, SUM(IF(REGEXP_REPLACE(TRIM(CAST(X."&amp;F609&amp;" AS STRING)),'[^a-zA-Z0-9_\\s]','') &lt;&gt;TRIM(CAST(X."&amp;F609&amp;" AS STRING)),1,0)) AS NUM_REG_DIF,'"&amp;MAX('ID1&amp;5'!K:K)+1&amp;"' AS ID_EXEC, CURRENT_TIMESTAMP() AS TIME_EXEC FROM "&amp;I609,
IF(C609="Missings",+"SELECT '"&amp;UPPER(B609)&amp;"' AS TABELA, '"&amp;UPPER(C609)&amp;"' AS TIPOLOGIA_TESTE,'"&amp;D609&amp;"' AS TABELA_LT,'N/A' AS TABELA_SIMUL,'"&amp;F609&amp;"' AS CAMPO, "&amp;"'${ref_date}' AS REF_DATE, COUNT(*) AS NUM_REG, SUM(IF(TRIM(CAST(X."&amp;F609&amp;" AS STRING)) IN ('0000-00-00','0001-01-01','9999-12-31','MISS','00000','99999999999','99999999999.00','99999999999.000000'),1,0)) AS NUM_REG_DIF,'"&amp;MAX('ID1&amp;5'!K:K)+1&amp;"' AS ID_EXEC, CURRENT_TIMESTAMP() AS TIME_EXEC FROM "&amp;I609,
IF(C609="Not applicable",+"SELECT '"&amp;UPPER(B609)&amp;"' AS TABELA, '"&amp;UPPER(C609)&amp;"' AS TIPOLOGIA_TESTE,'"&amp;D609&amp;"' AS TABELA_LT,'N/A' AS TABELA_SIMUL,'"&amp;F609&amp;"' AS CAMPO, "&amp;"'${ref_date}' AS REF_DATE, COUNT(*) AS NUM_REG, SUM(IF(TRIM(CAST(X."&amp;F609&amp;" AS STRING)) IN ('N/A','11111111111','11111111111.00','11111111111.000000','1111-11-11'),1,0)) AS NUM_REG_DIF,'"&amp;MAX('ID1&amp;5'!K:K)+1&amp;"' AS ID_EXEC, CURRENT_TIMESTAMP() AS TIME_EXEC FROM "&amp;I609,
IF(C609="Valores extremos",+"SELECT '"&amp;UPPER(B609)&amp;"' AS TABELA, '"&amp;UPPER(C609)&amp;"' AS TIPOLOGIA_TESTE,'"&amp;D609&amp;"' AS TABELA_LT,'N/A' AS TABELA_SIMUL,'"&amp;F609&amp;"' AS CAMPO, "&amp;"'${ref_date}' AS REF_DATE, CAST(MIN("&amp;F609&amp;") AS STRING) AS VALOR_MIN, CAST(MAX("&amp;F609&amp;") AS STRING) AS VALOR_MAX,'"&amp;MAX('ID1&amp;5'!K:K)+1&amp;"' AS ID_EXEC, CURRENT_TIMESTAMP() AS TIME_EXEC FROM "&amp;MID(I609,1,LEN(I609)-2)&amp;" AND CAST("&amp;F609&amp;"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TABELA_SIMUL,'ep_scr' AS CAMPO, '${ref_date}' AS REF_DATE, COUNT(*) AS NUM_REG, SUM(IF(COALESCE(CAST(X.ep_scr AS STRING),'')&lt;&gt;COALESCE(CAST(Y.ep_scr_SIMUL AS STRING),'') OR (X.ep_scr IS NULL AND Y.ep_scr_SIMUL IS NOT NULL ) OR (X.ep_scr IS NOT NULL AND Y.ep_scr_SIMUL IS NULL),1,0)) AS NUM_REG_DIF,'1' AS ID_EXEC, CURRENT_TIMESTAMP() AS TIME_EXEC FROM (SELECT prtctn_id, ep_scr FROM BU_LOANTAPE_WORK.LT004_PROTECTION WHERE ref_date='${ref_date}' AND nome_perimetro='Individual Local' AND segmento='ESTR' AND ambito='SRB_MBDT' AND entidade='00100')X INNER JOIN (SELECT prtctn_id AS prtctn_id_SIMUL, ep_scr AS ep_scr_SIMUL FROM BU_LOANTAPE_WORK.SIMUL_LT004 WHERE ref_date='${ref_date}' AND nome_perimetro='Individual Local' AND segmento='ESTR' AND ambito='PILAR3' AND entidade='00100')Y ON X.PRTCTN_ID=Y.PRTCTN_ID_SIMUL</v>
      </c>
      <c r="M609" s="36" t="str">
        <f t="shared" si="14"/>
        <v>UNION ALL SELECT 'PROTECTION' AS TABELA, 'COERÊNCIA' AS TIPOLOGIA_TESTE,'BU_LOANTAPE_WORK.LT004_PROTECTION' AS TABELA_LT,'BU_LOANTAPE_WORK.SIMUL_LT004' AS TABELA_SIMUL,'ep_scr' AS CAMPO, '${ref_date}' AS REF_DATE, COUNT(*) AS NUM_REG, SUM(IF(COALESCE(CAST(X.ep_scr AS STRING),'')&lt;&gt;COALESCE(CAST(Y.ep_scr_SIMUL AS STRING),'') OR (X.ep_scr IS NULL AND Y.ep_scr_SIMUL IS NOT NULL ) OR (X.ep_scr IS NOT NULL AND Y.ep_scr_SIMUL IS NULL),1,0)) AS NUM_REG_DIF,'1' AS ID_EXEC, CURRENT_TIMESTAMP() AS TIME_EXEC FROM (SELECT prtctn_id, ep_scr FROM BU_LOANTAPE_WORK.LT004_PROTECTION WHERE ref_date='${ref_date}' AND nome_perimetro='Individual Local' AND segmento='ESTR' AND ambito='SRB_MBDT' AND entidade='00100')X INNER JOIN (SELECT prtctn_id AS prtctn_id_SIMUL, ep_scr AS ep_scr_SIMUL FROM BU_LOANTAPE_WORK.SIMUL_LT004 WHERE ref_date='${ref_date}' AND nome_perimetro='Individual Local' AND segmento='ESTR' AND ambito='PILAR3' AND entidade='00100')Y ON X.PRTCTN_ID=Y.PRTCTN_ID_SIMUL</v>
      </c>
    </row>
    <row r="610" spans="2:13">
      <c r="B610" s="34" t="s">
        <v>119</v>
      </c>
      <c r="C610" s="34" t="s">
        <v>5</v>
      </c>
      <c r="D610" s="34" t="str">
        <f>+UPPER('0. Instruções'!$D$35&amp;"."&amp;VLOOKUP(B610,'0. Instruções'!$C$27:$D$32,2,FALSE))</f>
        <v>BU_LOANTAPE_WORK.LT004_PROTECTION</v>
      </c>
      <c r="E610" s="34" t="str">
        <f>+UPPER('0. Instruções'!$D$36&amp;"."&amp;VLOOKUP(B610,'0. Instruções'!$C$27:$E$32,3,FALSE))</f>
        <v>BU_LOANTAPE_WORK.SIMUL_LT004</v>
      </c>
      <c r="F610" s="34" t="s">
        <v>623</v>
      </c>
      <c r="G610" s="34"/>
      <c r="H610" s="34"/>
      <c r="I610" s="34" t="str">
        <f>"(SELECT "&amp;VLOOKUP(B610,'0. Instruções'!$C$27:$G$32,4,FALSE)&amp;", "&amp;F610&amp;" FROM "&amp;D610&amp;" WHERE "&amp;'0. Instruções'!$D$42&amp;")X"</f>
        <v>(SELECT prtctn_id, typ_epc_lbl FROM BU_LOANTAPE_WORK.LT004_PROTECTION WHERE ref_date='${ref_date}' AND nome_perimetro='Individual Local' AND segmento='ESTR' AND ambito='SRB_MBDT' AND entidade='00100')X</v>
      </c>
      <c r="J610" s="34" t="str">
        <f>"(SELECT "&amp;VLOOKUP(B610,'0. Instruções'!$C$27:$G$32,4,FALSE)&amp;" AS "&amp;VLOOKUP(B610,'0. Instruções'!$C$27:$G$32,4,FALSE)&amp;"_SIMUL, "&amp;F610&amp;" AS "&amp;F610&amp;"_SIMUL FROM "&amp;E610&amp;" WHERE "&amp;'0. Instruções'!$D$43&amp;")Y"</f>
        <v>(SELECT prtctn_id AS prtctn_id_SIMUL, typ_epc_lbl AS typ_epc_lbl_SIMUL FROM BU_LOANTAPE_WORK.SIMUL_LT004 WHERE ref_date='${ref_date}' AND nome_perimetro='Individual Local' AND segmento='ESTR' AND ambito='PILAR3' AND entidade='00100')Y</v>
      </c>
      <c r="K610" s="35" t="str">
        <f>+UPPER("ON X."&amp;VLOOKUP(B610,'0. Instruções'!$C$27:$G$32,4,FALSE)&amp;"=Y."&amp;VLOOKUP(B610,'0. Instruções'!$C$27:$G$32,4,FALSE)&amp;"_SIMUL")</f>
        <v>ON X.PRTCTN_ID=Y.PRTCTN_ID_SIMUL</v>
      </c>
      <c r="L610" s="35" t="str">
        <f>+IF(C610="Coerência", +IF(LEFT(G610,5)="FLOAT","SELECT '"&amp;UPPER(B610)&amp;"' AS TABELA, '"&amp;UPPER(C610)&amp;"' AS TIPOLOGIA_TESTE,'"&amp;D610&amp;"' AS TABELA_LT,'"&amp;E610&amp;"' AS TABELA_SIMUL,'"&amp;F610&amp;"' AS CAMPO, "&amp;"'${ref_date}' AS REF_DATE, COUNT(*) AS NUM_REG, SUM(IF((ABS(COALESCE(CAST(X."&amp;F610&amp;" AS DECIMAL(18,6)),0)-COALESCE(CAST(Y."&amp;F610&amp;"_SIMUL AS DECIMAL(18,6)),0))&gt;0.000001) OR (X."&amp;F610&amp;" IS NULL AND Y."&amp;F610&amp;"_SIMUL IS NOT NULL ) OR (X."&amp;F610&amp;" IS NOT NULL AND Y."&amp;F610&amp;"_SIMUL IS NULL),1,0)) AS NUM_REG_DIF,'"&amp;MAX('ID1&amp;5'!K:K)+1&amp;"' AS ID_EXEC, CURRENT_TIMESTAMP() AS TIME_EXEC FROM "&amp;I610&amp;" INNER JOIN "&amp;J610&amp;" "&amp;K610,"SELECT '"&amp;UPPER(B610)&amp;"' AS TABELA, '"&amp;UPPER(C610)&amp;"' AS TIPOLOGIA_TESTE,'"&amp;D610&amp;"' AS TABELA_LT,'"&amp;E610&amp;"' AS TABELA_SIMUL,'"&amp;F610&amp;"' AS CAMPO, "&amp;"'${ref_date}' AS REF_DATE, COUNT(*) AS NUM_REG, SUM(IF(COALESCE(CAST(X."&amp;F610&amp;" AS STRING),'')&lt;&gt;COALESCE(CAST(Y."&amp;F610&amp;"_SIMUL AS STRING),'') OR (X."&amp;F610&amp;" IS NULL AND Y."&amp;F610&amp;"_SIMUL IS NOT NULL ) OR (X."&amp;F610&amp;" IS NOT NULL AND Y."&amp;F610&amp;"_SIMUL IS NULL),1,0)) AS NUM_REG_DIF,'"&amp;MAX('ID1&amp;5'!L:L)+1&amp;"' AS ID_EXEC, CURRENT_TIMESTAMP() AS TIME_EXEC FROM "&amp;I610&amp;" INNER JOIN "&amp;J610&amp;" "&amp;K610),
IF(C610="Validade",+IF(G610="Code List","SELECT '"&amp;UPPER(B610)&amp;"' AS TABELA, '"&amp;UPPER(C610)&amp;"' AS TIPOLOGIA_TESTE,'"&amp;D610&amp;"' AS TABELA_LT,'N/A' AS TABELA_SIMUL,'"&amp;F610&amp;"' AS CAMPO, "&amp;"'${ref_date}' AS REF_DATE, COUNT(*) AS NUM_REG, SUM(IF(TRIM(CAST(X."&amp;F610&amp;" AS STRING))='' OR TRIM(CAST(X."&amp;F610&amp;" AS STRING)) IS NULL OR CAST(X."&amp;F610&amp;" AS STRING) NOT "&amp;H610&amp;",1,0)) AS NUM_REG_DIF,'"&amp;MAX('ID1&amp;5'!K:K)+1&amp;"' AS ID_EXEC, CURRENT_TIMESTAMP() AS TIME_EXEC FROM "&amp;I610,"SELECT '"&amp;UPPER(B610)&amp;"' AS TABELA, '"&amp;UPPER(C610)&amp;"' AS TIPOLOGIA_TESTE,'"&amp;D610&amp;"' AS TABELA_LT,'N/A' AS TABELA_SIMUL,'"&amp;F610&amp;"' AS CAMPO, "&amp;"'${ref_date}' AS REF_DATE, COUNT(*) AS NUM_REG, SUM(IF(TRIM(CAST(X."&amp;F610&amp;" AS STRING))='' OR TRIM(CAST(X."&amp;F610&amp;" AS STRING)) IS NULL,1,0)) AS NUM_REG_DIF,'"&amp;MAX('ID1&amp;5'!K:K)+1&amp;"' AS ID_EXEC, CURRENT_TIMESTAMP() AS TIME_EXEC FROM "&amp;I610),
IF(C610="Caracteres Especiais",+"SELECT '"&amp;UPPER(B610)&amp;"' AS TABELA, '"&amp;UPPER(C610)&amp;"' AS TIPOLOGIA_TESTE,'"&amp;D610&amp;"' AS TABELA_LT,'N/A' AS TABELA_SIMUL,'"&amp;F610&amp;"' AS CAMPO, "&amp;"'${ref_date}' AS REF_DATE, COUNT(*) AS NUM_REG, SUM(IF(REGEXP_REPLACE(TRIM(CAST(X."&amp;F610&amp;" AS STRING)),'[^a-zA-Z0-9_\\s]','') &lt;&gt;TRIM(CAST(X."&amp;F610&amp;" AS STRING)),1,0)) AS NUM_REG_DIF,'"&amp;MAX('ID1&amp;5'!K:K)+1&amp;"' AS ID_EXEC, CURRENT_TIMESTAMP() AS TIME_EXEC FROM "&amp;I610,
IF(C610="Missings",+"SELECT '"&amp;UPPER(B610)&amp;"' AS TABELA, '"&amp;UPPER(C610)&amp;"' AS TIPOLOGIA_TESTE,'"&amp;D610&amp;"' AS TABELA_LT,'N/A' AS TABELA_SIMUL,'"&amp;F610&amp;"' AS CAMPO, "&amp;"'${ref_date}' AS REF_DATE, COUNT(*) AS NUM_REG, SUM(IF(TRIM(CAST(X."&amp;F610&amp;" AS STRING)) IN ('0000-00-00','0001-01-01','9999-12-31','MISS','00000','99999999999','99999999999.00','99999999999.000000'),1,0)) AS NUM_REG_DIF,'"&amp;MAX('ID1&amp;5'!K:K)+1&amp;"' AS ID_EXEC, CURRENT_TIMESTAMP() AS TIME_EXEC FROM "&amp;I610,
IF(C610="Not applicable",+"SELECT '"&amp;UPPER(B610)&amp;"' AS TABELA, '"&amp;UPPER(C610)&amp;"' AS TIPOLOGIA_TESTE,'"&amp;D610&amp;"' AS TABELA_LT,'N/A' AS TABELA_SIMUL,'"&amp;F610&amp;"' AS CAMPO, "&amp;"'${ref_date}' AS REF_DATE, COUNT(*) AS NUM_REG, SUM(IF(TRIM(CAST(X."&amp;F610&amp;" AS STRING)) IN ('N/A','11111111111','11111111111.00','11111111111.000000','1111-11-11'),1,0)) AS NUM_REG_DIF,'"&amp;MAX('ID1&amp;5'!K:K)+1&amp;"' AS ID_EXEC, CURRENT_TIMESTAMP() AS TIME_EXEC FROM "&amp;I610,
IF(C610="Valores extremos",+"SELECT '"&amp;UPPER(B610)&amp;"' AS TABELA, '"&amp;UPPER(C610)&amp;"' AS TIPOLOGIA_TESTE,'"&amp;D610&amp;"' AS TABELA_LT,'N/A' AS TABELA_SIMUL,'"&amp;F610&amp;"' AS CAMPO, "&amp;"'${ref_date}' AS REF_DATE, CAST(MIN("&amp;F610&amp;") AS STRING) AS VALOR_MIN, CAST(MAX("&amp;F610&amp;") AS STRING) AS VALOR_MAX,'"&amp;MAX('ID1&amp;5'!K:K)+1&amp;"' AS ID_EXEC, CURRENT_TIMESTAMP() AS TIME_EXEC FROM "&amp;MID(I610,1,LEN(I610)-2)&amp;" AND CAST("&amp;F610&amp;"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TABELA_SIMUL,'typ_epc_lbl' AS CAMPO, '${ref_date}' AS REF_DATE, COUNT(*) AS NUM_REG, SUM(IF(COALESCE(CAST(X.typ_epc_lbl AS STRING),'')&lt;&gt;COALESCE(CAST(Y.typ_epc_lbl_SIMUL AS STRING),'') OR (X.typ_epc_lbl IS NULL AND Y.typ_epc_lbl_SIMUL IS NOT NULL ) OR (X.typ_epc_lbl IS NOT NULL AND Y.typ_epc_lbl_SIMUL IS NULL),1,0)) AS NUM_REG_DIF,'1' AS ID_EXEC, CURRENT_TIMESTAMP() AS TIME_EXEC FROM (SELECT prtctn_id, typ_epc_lbl FROM BU_LOANTAPE_WORK.LT004_PROTECTION WHERE ref_date='${ref_date}' AND nome_perimetro='Individual Local' AND segmento='ESTR' AND ambito='SRB_MBDT' AND entidade='00100')X INNER JOIN (SELECT prtctn_id AS prtctn_id_SIMUL, typ_epc_lbl AS typ_epc_lbl_SIMUL FROM BU_LOANTAPE_WORK.SIMUL_LT004 WHERE ref_date='${ref_date}' AND nome_perimetro='Individual Local' AND segmento='ESTR' AND ambito='PILAR3' AND entidade='00100')Y ON X.PRTCTN_ID=Y.PRTCTN_ID_SIMUL</v>
      </c>
      <c r="M610" s="36" t="str">
        <f t="shared" si="14"/>
        <v>UNION ALL SELECT 'PROTECTION' AS TABELA, 'COERÊNCIA' AS TIPOLOGIA_TESTE,'BU_LOANTAPE_WORK.LT004_PROTECTION' AS TABELA_LT,'BU_LOANTAPE_WORK.SIMUL_LT004' AS TABELA_SIMUL,'typ_epc_lbl' AS CAMPO, '${ref_date}' AS REF_DATE, COUNT(*) AS NUM_REG, SUM(IF(COALESCE(CAST(X.typ_epc_lbl AS STRING),'')&lt;&gt;COALESCE(CAST(Y.typ_epc_lbl_SIMUL AS STRING),'') OR (X.typ_epc_lbl IS NULL AND Y.typ_epc_lbl_SIMUL IS NOT NULL ) OR (X.typ_epc_lbl IS NOT NULL AND Y.typ_epc_lbl_SIMUL IS NULL),1,0)) AS NUM_REG_DIF,'1' AS ID_EXEC, CURRENT_TIMESTAMP() AS TIME_EXEC FROM (SELECT prtctn_id, typ_epc_lbl FROM BU_LOANTAPE_WORK.LT004_PROTECTION WHERE ref_date='${ref_date}' AND nome_perimetro='Individual Local' AND segmento='ESTR' AND ambito='SRB_MBDT' AND entidade='00100')X INNER JOIN (SELECT prtctn_id AS prtctn_id_SIMUL, typ_epc_lbl AS typ_epc_lbl_SIMUL FROM BU_LOANTAPE_WORK.SIMUL_LT004 WHERE ref_date='${ref_date}' AND nome_perimetro='Individual Local' AND segmento='ESTR' AND ambito='PILAR3' AND entidade='00100')Y ON X.PRTCTN_ID=Y.PRTCTN_ID_SIMUL</v>
      </c>
    </row>
    <row r="611" spans="2:13">
      <c r="B611" s="34" t="s">
        <v>119</v>
      </c>
      <c r="C611" s="34" t="s">
        <v>5</v>
      </c>
      <c r="D611" s="34" t="str">
        <f>+UPPER('0. Instruções'!$D$35&amp;"."&amp;VLOOKUP(B611,'0. Instruções'!$C$27:$D$32,2,FALSE))</f>
        <v>BU_LOANTAPE_WORK.LT004_PROTECTION</v>
      </c>
      <c r="E611" s="34" t="str">
        <f>+UPPER('0. Instruções'!$D$36&amp;"."&amp;VLOOKUP(B611,'0. Instruções'!$C$27:$E$32,3,FALSE))</f>
        <v>BU_LOANTAPE_WORK.SIMUL_LT004</v>
      </c>
      <c r="F611" s="34" t="s">
        <v>624</v>
      </c>
      <c r="G611" s="34"/>
      <c r="H611" s="34"/>
      <c r="I611" s="34" t="str">
        <f>"(SELECT "&amp;VLOOKUP(B611,'0. Instruções'!$C$27:$G$32,4,FALSE)&amp;", "&amp;F611&amp;" FROM "&amp;D611&amp;" WHERE "&amp;'0. Instruções'!$D$42&amp;")X"</f>
        <v>(SELECT prtctn_id, epc_lbl FROM BU_LOANTAPE_WORK.LT004_PROTECTION WHERE ref_date='${ref_date}' AND nome_perimetro='Individual Local' AND segmento='ESTR' AND ambito='SRB_MBDT' AND entidade='00100')X</v>
      </c>
      <c r="J611" s="34" t="str">
        <f>"(SELECT "&amp;VLOOKUP(B611,'0. Instruções'!$C$27:$G$32,4,FALSE)&amp;" AS "&amp;VLOOKUP(B611,'0. Instruções'!$C$27:$G$32,4,FALSE)&amp;"_SIMUL, "&amp;F611&amp;" AS "&amp;F611&amp;"_SIMUL FROM "&amp;E611&amp;" WHERE "&amp;'0. Instruções'!$D$43&amp;")Y"</f>
        <v>(SELECT prtctn_id AS prtctn_id_SIMUL, epc_lbl AS epc_lbl_SIMUL FROM BU_LOANTAPE_WORK.SIMUL_LT004 WHERE ref_date='${ref_date}' AND nome_perimetro='Individual Local' AND segmento='ESTR' AND ambito='PILAR3' AND entidade='00100')Y</v>
      </c>
      <c r="K611" s="35" t="str">
        <f>+UPPER("ON X."&amp;VLOOKUP(B611,'0. Instruções'!$C$27:$G$32,4,FALSE)&amp;"=Y."&amp;VLOOKUP(B611,'0. Instruções'!$C$27:$G$32,4,FALSE)&amp;"_SIMUL")</f>
        <v>ON X.PRTCTN_ID=Y.PRTCTN_ID_SIMUL</v>
      </c>
      <c r="L611" s="35" t="str">
        <f>+IF(C611="Coerência", +IF(LEFT(G611,5)="FLOAT","SELECT '"&amp;UPPER(B611)&amp;"' AS TABELA, '"&amp;UPPER(C611)&amp;"' AS TIPOLOGIA_TESTE,'"&amp;D611&amp;"' AS TABELA_LT,'"&amp;E611&amp;"' AS TABELA_SIMUL,'"&amp;F611&amp;"' AS CAMPO, "&amp;"'${ref_date}' AS REF_DATE, COUNT(*) AS NUM_REG, SUM(IF((ABS(COALESCE(CAST(X."&amp;F611&amp;" AS DECIMAL(18,6)),0)-COALESCE(CAST(Y."&amp;F611&amp;"_SIMUL AS DECIMAL(18,6)),0))&gt;0.000001) OR (X."&amp;F611&amp;" IS NULL AND Y."&amp;F611&amp;"_SIMUL IS NOT NULL ) OR (X."&amp;F611&amp;" IS NOT NULL AND Y."&amp;F611&amp;"_SIMUL IS NULL),1,0)) AS NUM_REG_DIF,'"&amp;MAX('ID1&amp;5'!K:K)+1&amp;"' AS ID_EXEC, CURRENT_TIMESTAMP() AS TIME_EXEC FROM "&amp;I611&amp;" INNER JOIN "&amp;J611&amp;" "&amp;K611,"SELECT '"&amp;UPPER(B611)&amp;"' AS TABELA, '"&amp;UPPER(C611)&amp;"' AS TIPOLOGIA_TESTE,'"&amp;D611&amp;"' AS TABELA_LT,'"&amp;E611&amp;"' AS TABELA_SIMUL,'"&amp;F611&amp;"' AS CAMPO, "&amp;"'${ref_date}' AS REF_DATE, COUNT(*) AS NUM_REG, SUM(IF(COALESCE(CAST(X."&amp;F611&amp;" AS STRING),'')&lt;&gt;COALESCE(CAST(Y."&amp;F611&amp;"_SIMUL AS STRING),'') OR (X."&amp;F611&amp;" IS NULL AND Y."&amp;F611&amp;"_SIMUL IS NOT NULL ) OR (X."&amp;F611&amp;" IS NOT NULL AND Y."&amp;F611&amp;"_SIMUL IS NULL),1,0)) AS NUM_REG_DIF,'"&amp;MAX('ID1&amp;5'!L:L)+1&amp;"' AS ID_EXEC, CURRENT_TIMESTAMP() AS TIME_EXEC FROM "&amp;I611&amp;" INNER JOIN "&amp;J611&amp;" "&amp;K611),
IF(C611="Validade",+IF(G611="Code List","SELECT '"&amp;UPPER(B611)&amp;"' AS TABELA, '"&amp;UPPER(C611)&amp;"' AS TIPOLOGIA_TESTE,'"&amp;D611&amp;"' AS TABELA_LT,'N/A' AS TABELA_SIMUL,'"&amp;F611&amp;"' AS CAMPO, "&amp;"'${ref_date}' AS REF_DATE, COUNT(*) AS NUM_REG, SUM(IF(TRIM(CAST(X."&amp;F611&amp;" AS STRING))='' OR TRIM(CAST(X."&amp;F611&amp;" AS STRING)) IS NULL OR CAST(X."&amp;F611&amp;" AS STRING) NOT "&amp;H611&amp;",1,0)) AS NUM_REG_DIF,'"&amp;MAX('ID1&amp;5'!K:K)+1&amp;"' AS ID_EXEC, CURRENT_TIMESTAMP() AS TIME_EXEC FROM "&amp;I611,"SELECT '"&amp;UPPER(B611)&amp;"' AS TABELA, '"&amp;UPPER(C611)&amp;"' AS TIPOLOGIA_TESTE,'"&amp;D611&amp;"' AS TABELA_LT,'N/A' AS TABELA_SIMUL,'"&amp;F611&amp;"' AS CAMPO, "&amp;"'${ref_date}' AS REF_DATE, COUNT(*) AS NUM_REG, SUM(IF(TRIM(CAST(X."&amp;F611&amp;" AS STRING))='' OR TRIM(CAST(X."&amp;F611&amp;" AS STRING)) IS NULL,1,0)) AS NUM_REG_DIF,'"&amp;MAX('ID1&amp;5'!K:K)+1&amp;"' AS ID_EXEC, CURRENT_TIMESTAMP() AS TIME_EXEC FROM "&amp;I611),
IF(C611="Caracteres Especiais",+"SELECT '"&amp;UPPER(B611)&amp;"' AS TABELA, '"&amp;UPPER(C611)&amp;"' AS TIPOLOGIA_TESTE,'"&amp;D611&amp;"' AS TABELA_LT,'N/A' AS TABELA_SIMUL,'"&amp;F611&amp;"' AS CAMPO, "&amp;"'${ref_date}' AS REF_DATE, COUNT(*) AS NUM_REG, SUM(IF(REGEXP_REPLACE(TRIM(CAST(X."&amp;F611&amp;" AS STRING)),'[^a-zA-Z0-9_\\s]','') &lt;&gt;TRIM(CAST(X."&amp;F611&amp;" AS STRING)),1,0)) AS NUM_REG_DIF,'"&amp;MAX('ID1&amp;5'!K:K)+1&amp;"' AS ID_EXEC, CURRENT_TIMESTAMP() AS TIME_EXEC FROM "&amp;I611,
IF(C611="Missings",+"SELECT '"&amp;UPPER(B611)&amp;"' AS TABELA, '"&amp;UPPER(C611)&amp;"' AS TIPOLOGIA_TESTE,'"&amp;D611&amp;"' AS TABELA_LT,'N/A' AS TABELA_SIMUL,'"&amp;F611&amp;"' AS CAMPO, "&amp;"'${ref_date}' AS REF_DATE, COUNT(*) AS NUM_REG, SUM(IF(TRIM(CAST(X."&amp;F611&amp;" AS STRING)) IN ('0000-00-00','0001-01-01','9999-12-31','MISS','00000','99999999999','99999999999.00','99999999999.000000'),1,0)) AS NUM_REG_DIF,'"&amp;MAX('ID1&amp;5'!K:K)+1&amp;"' AS ID_EXEC, CURRENT_TIMESTAMP() AS TIME_EXEC FROM "&amp;I611,
IF(C611="Not applicable",+"SELECT '"&amp;UPPER(B611)&amp;"' AS TABELA, '"&amp;UPPER(C611)&amp;"' AS TIPOLOGIA_TESTE,'"&amp;D611&amp;"' AS TABELA_LT,'N/A' AS TABELA_SIMUL,'"&amp;F611&amp;"' AS CAMPO, "&amp;"'${ref_date}' AS REF_DATE, COUNT(*) AS NUM_REG, SUM(IF(TRIM(CAST(X."&amp;F611&amp;" AS STRING)) IN ('N/A','11111111111','11111111111.00','11111111111.000000','1111-11-11'),1,0)) AS NUM_REG_DIF,'"&amp;MAX('ID1&amp;5'!K:K)+1&amp;"' AS ID_EXEC, CURRENT_TIMESTAMP() AS TIME_EXEC FROM "&amp;I611,
IF(C611="Valores extremos",+"SELECT '"&amp;UPPER(B611)&amp;"' AS TABELA, '"&amp;UPPER(C611)&amp;"' AS TIPOLOGIA_TESTE,'"&amp;D611&amp;"' AS TABELA_LT,'N/A' AS TABELA_SIMUL,'"&amp;F611&amp;"' AS CAMPO, "&amp;"'${ref_date}' AS REF_DATE, CAST(MIN("&amp;F611&amp;") AS STRING) AS VALOR_MIN, CAST(MAX("&amp;F611&amp;") AS STRING) AS VALOR_MAX,'"&amp;MAX('ID1&amp;5'!K:K)+1&amp;"' AS ID_EXEC, CURRENT_TIMESTAMP() AS TIME_EXEC FROM "&amp;MID(I611,1,LEN(I611)-2)&amp;" AND CAST("&amp;F611&amp;"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TABELA_SIMUL,'epc_lbl' AS CAMPO, '${ref_date}' AS REF_DATE, COUNT(*) AS NUM_REG, SUM(IF(COALESCE(CAST(X.epc_lbl AS STRING),'')&lt;&gt;COALESCE(CAST(Y.epc_lbl_SIMUL AS STRING),'') OR (X.epc_lbl IS NULL AND Y.epc_lbl_SIMUL IS NOT NULL ) OR (X.epc_lbl IS NOT NULL AND Y.epc_lbl_SIMUL IS NULL),1,0)) AS NUM_REG_DIF,'1' AS ID_EXEC, CURRENT_TIMESTAMP() AS TIME_EXEC FROM (SELECT prtctn_id, epc_lbl FROM BU_LOANTAPE_WORK.LT004_PROTECTION WHERE ref_date='${ref_date}' AND nome_perimetro='Individual Local' AND segmento='ESTR' AND ambito='SRB_MBDT' AND entidade='00100')X INNER JOIN (SELECT prtctn_id AS prtctn_id_SIMUL, epc_lbl AS epc_lbl_SIMUL FROM BU_LOANTAPE_WORK.SIMUL_LT004 WHERE ref_date='${ref_date}' AND nome_perimetro='Individual Local' AND segmento='ESTR' AND ambito='PILAR3' AND entidade='00100')Y ON X.PRTCTN_ID=Y.PRTCTN_ID_SIMUL</v>
      </c>
      <c r="M611" s="36" t="str">
        <f t="shared" si="14"/>
        <v>UNION ALL SELECT 'PROTECTION' AS TABELA, 'COERÊNCIA' AS TIPOLOGIA_TESTE,'BU_LOANTAPE_WORK.LT004_PROTECTION' AS TABELA_LT,'BU_LOANTAPE_WORK.SIMUL_LT004' AS TABELA_SIMUL,'epc_lbl' AS CAMPO, '${ref_date}' AS REF_DATE, COUNT(*) AS NUM_REG, SUM(IF(COALESCE(CAST(X.epc_lbl AS STRING),'')&lt;&gt;COALESCE(CAST(Y.epc_lbl_SIMUL AS STRING),'') OR (X.epc_lbl IS NULL AND Y.epc_lbl_SIMUL IS NOT NULL ) OR (X.epc_lbl IS NOT NULL AND Y.epc_lbl_SIMUL IS NULL),1,0)) AS NUM_REG_DIF,'1' AS ID_EXEC, CURRENT_TIMESTAMP() AS TIME_EXEC FROM (SELECT prtctn_id, epc_lbl FROM BU_LOANTAPE_WORK.LT004_PROTECTION WHERE ref_date='${ref_date}' AND nome_perimetro='Individual Local' AND segmento='ESTR' AND ambito='SRB_MBDT' AND entidade='00100')X INNER JOIN (SELECT prtctn_id AS prtctn_id_SIMUL, epc_lbl AS epc_lbl_SIMUL FROM BU_LOANTAPE_WORK.SIMUL_LT004 WHERE ref_date='${ref_date}' AND nome_perimetro='Individual Local' AND segmento='ESTR' AND ambito='PILAR3' AND entidade='00100')Y ON X.PRTCTN_ID=Y.PRTCTN_ID_SIMUL</v>
      </c>
    </row>
    <row r="612" spans="2:13">
      <c r="B612" s="34" t="s">
        <v>119</v>
      </c>
      <c r="C612" s="34" t="s">
        <v>5</v>
      </c>
      <c r="D612" s="34" t="str">
        <f>+UPPER('0. Instruções'!$D$35&amp;"."&amp;VLOOKUP(B612,'0. Instruções'!$C$27:$D$32,2,FALSE))</f>
        <v>BU_LOANTAPE_WORK.LT004_PROTECTION</v>
      </c>
      <c r="E612" s="34" t="str">
        <f>+UPPER('0. Instruções'!$D$36&amp;"."&amp;VLOOKUP(B612,'0. Instruções'!$C$27:$E$32,3,FALSE))</f>
        <v>BU_LOANTAPE_WORK.SIMUL_LT004</v>
      </c>
      <c r="F612" s="34" t="s">
        <v>625</v>
      </c>
      <c r="G612" s="34"/>
      <c r="H612" s="34"/>
      <c r="I612" s="34" t="str">
        <f>"(SELECT "&amp;VLOOKUP(B612,'0. Instruções'!$C$27:$G$32,4,FALSE)&amp;", "&amp;F612&amp;" FROM "&amp;D612&amp;" WHERE "&amp;'0. Instruções'!$D$42&amp;")X"</f>
        <v>(SELECT prtctn_id, emssns_scp1_prtctn FROM BU_LOANTAPE_WORK.LT004_PROTECTION WHERE ref_date='${ref_date}' AND nome_perimetro='Individual Local' AND segmento='ESTR' AND ambito='SRB_MBDT' AND entidade='00100')X</v>
      </c>
      <c r="J612" s="34" t="str">
        <f>"(SELECT "&amp;VLOOKUP(B612,'0. Instruções'!$C$27:$G$32,4,FALSE)&amp;" AS "&amp;VLOOKUP(B612,'0. Instruções'!$C$27:$G$32,4,FALSE)&amp;"_SIMUL, "&amp;F612&amp;" AS "&amp;F612&amp;"_SIMUL FROM "&amp;E612&amp;" WHERE "&amp;'0. Instruções'!$D$43&amp;")Y"</f>
        <v>(SELECT prtctn_id AS prtctn_id_SIMUL, emssns_scp1_prtctn AS emssns_scp1_prtctn_SIMUL FROM BU_LOANTAPE_WORK.SIMUL_LT004 WHERE ref_date='${ref_date}' AND nome_perimetro='Individual Local' AND segmento='ESTR' AND ambito='PILAR3' AND entidade='00100')Y</v>
      </c>
      <c r="K612" s="35" t="str">
        <f>+UPPER("ON X."&amp;VLOOKUP(B612,'0. Instruções'!$C$27:$G$32,4,FALSE)&amp;"=Y."&amp;VLOOKUP(B612,'0. Instruções'!$C$27:$G$32,4,FALSE)&amp;"_SIMUL")</f>
        <v>ON X.PRTCTN_ID=Y.PRTCTN_ID_SIMUL</v>
      </c>
      <c r="L612" s="35" t="str">
        <f>+IF(C612="Coerência", +IF(LEFT(G612,5)="FLOAT","SELECT '"&amp;UPPER(B612)&amp;"' AS TABELA, '"&amp;UPPER(C612)&amp;"' AS TIPOLOGIA_TESTE,'"&amp;D612&amp;"' AS TABELA_LT,'"&amp;E612&amp;"' AS TABELA_SIMUL,'"&amp;F612&amp;"' AS CAMPO, "&amp;"'${ref_date}' AS REF_DATE, COUNT(*) AS NUM_REG, SUM(IF((ABS(COALESCE(CAST(X."&amp;F612&amp;" AS DECIMAL(18,6)),0)-COALESCE(CAST(Y."&amp;F612&amp;"_SIMUL AS DECIMAL(18,6)),0))&gt;0.000001) OR (X."&amp;F612&amp;" IS NULL AND Y."&amp;F612&amp;"_SIMUL IS NOT NULL ) OR (X."&amp;F612&amp;" IS NOT NULL AND Y."&amp;F612&amp;"_SIMUL IS NULL),1,0)) AS NUM_REG_DIF,'"&amp;MAX('ID1&amp;5'!K:K)+1&amp;"' AS ID_EXEC, CURRENT_TIMESTAMP() AS TIME_EXEC FROM "&amp;I612&amp;" INNER JOIN "&amp;J612&amp;" "&amp;K612,"SELECT '"&amp;UPPER(B612)&amp;"' AS TABELA, '"&amp;UPPER(C612)&amp;"' AS TIPOLOGIA_TESTE,'"&amp;D612&amp;"' AS TABELA_LT,'"&amp;E612&amp;"' AS TABELA_SIMUL,'"&amp;F612&amp;"' AS CAMPO, "&amp;"'${ref_date}' AS REF_DATE, COUNT(*) AS NUM_REG, SUM(IF(COALESCE(CAST(X."&amp;F612&amp;" AS STRING),'')&lt;&gt;COALESCE(CAST(Y."&amp;F612&amp;"_SIMUL AS STRING),'') OR (X."&amp;F612&amp;" IS NULL AND Y."&amp;F612&amp;"_SIMUL IS NOT NULL ) OR (X."&amp;F612&amp;" IS NOT NULL AND Y."&amp;F612&amp;"_SIMUL IS NULL),1,0)) AS NUM_REG_DIF,'"&amp;MAX('ID1&amp;5'!L:L)+1&amp;"' AS ID_EXEC, CURRENT_TIMESTAMP() AS TIME_EXEC FROM "&amp;I612&amp;" INNER JOIN "&amp;J612&amp;" "&amp;K612),
IF(C612="Validade",+IF(G612="Code List","SELECT '"&amp;UPPER(B612)&amp;"' AS TABELA, '"&amp;UPPER(C612)&amp;"' AS TIPOLOGIA_TESTE,'"&amp;D612&amp;"' AS TABELA_LT,'N/A' AS TABELA_SIMUL,'"&amp;F612&amp;"' AS CAMPO, "&amp;"'${ref_date}' AS REF_DATE, COUNT(*) AS NUM_REG, SUM(IF(TRIM(CAST(X."&amp;F612&amp;" AS STRING))='' OR TRIM(CAST(X."&amp;F612&amp;" AS STRING)) IS NULL OR CAST(X."&amp;F612&amp;" AS STRING) NOT "&amp;H612&amp;",1,0)) AS NUM_REG_DIF,'"&amp;MAX('ID1&amp;5'!K:K)+1&amp;"' AS ID_EXEC, CURRENT_TIMESTAMP() AS TIME_EXEC FROM "&amp;I612,"SELECT '"&amp;UPPER(B612)&amp;"' AS TABELA, '"&amp;UPPER(C612)&amp;"' AS TIPOLOGIA_TESTE,'"&amp;D612&amp;"' AS TABELA_LT,'N/A' AS TABELA_SIMUL,'"&amp;F612&amp;"' AS CAMPO, "&amp;"'${ref_date}' AS REF_DATE, COUNT(*) AS NUM_REG, SUM(IF(TRIM(CAST(X."&amp;F612&amp;" AS STRING))='' OR TRIM(CAST(X."&amp;F612&amp;" AS STRING)) IS NULL,1,0)) AS NUM_REG_DIF,'"&amp;MAX('ID1&amp;5'!K:K)+1&amp;"' AS ID_EXEC, CURRENT_TIMESTAMP() AS TIME_EXEC FROM "&amp;I612),
IF(C612="Caracteres Especiais",+"SELECT '"&amp;UPPER(B612)&amp;"' AS TABELA, '"&amp;UPPER(C612)&amp;"' AS TIPOLOGIA_TESTE,'"&amp;D612&amp;"' AS TABELA_LT,'N/A' AS TABELA_SIMUL,'"&amp;F612&amp;"' AS CAMPO, "&amp;"'${ref_date}' AS REF_DATE, COUNT(*) AS NUM_REG, SUM(IF(REGEXP_REPLACE(TRIM(CAST(X."&amp;F612&amp;" AS STRING)),'[^a-zA-Z0-9_\\s]','') &lt;&gt;TRIM(CAST(X."&amp;F612&amp;" AS STRING)),1,0)) AS NUM_REG_DIF,'"&amp;MAX('ID1&amp;5'!K:K)+1&amp;"' AS ID_EXEC, CURRENT_TIMESTAMP() AS TIME_EXEC FROM "&amp;I612,
IF(C612="Missings",+"SELECT '"&amp;UPPER(B612)&amp;"' AS TABELA, '"&amp;UPPER(C612)&amp;"' AS TIPOLOGIA_TESTE,'"&amp;D612&amp;"' AS TABELA_LT,'N/A' AS TABELA_SIMUL,'"&amp;F612&amp;"' AS CAMPO, "&amp;"'${ref_date}' AS REF_DATE, COUNT(*) AS NUM_REG, SUM(IF(TRIM(CAST(X."&amp;F612&amp;" AS STRING)) IN ('0000-00-00','0001-01-01','9999-12-31','MISS','00000','99999999999','99999999999.00','99999999999.000000'),1,0)) AS NUM_REG_DIF,'"&amp;MAX('ID1&amp;5'!K:K)+1&amp;"' AS ID_EXEC, CURRENT_TIMESTAMP() AS TIME_EXEC FROM "&amp;I612,
IF(C612="Not applicable",+"SELECT '"&amp;UPPER(B612)&amp;"' AS TABELA, '"&amp;UPPER(C612)&amp;"' AS TIPOLOGIA_TESTE,'"&amp;D612&amp;"' AS TABELA_LT,'N/A' AS TABELA_SIMUL,'"&amp;F612&amp;"' AS CAMPO, "&amp;"'${ref_date}' AS REF_DATE, COUNT(*) AS NUM_REG, SUM(IF(TRIM(CAST(X."&amp;F612&amp;" AS STRING)) IN ('N/A','11111111111','11111111111.00','11111111111.000000','1111-11-11'),1,0)) AS NUM_REG_DIF,'"&amp;MAX('ID1&amp;5'!K:K)+1&amp;"' AS ID_EXEC, CURRENT_TIMESTAMP() AS TIME_EXEC FROM "&amp;I612,
IF(C612="Valores extremos",+"SELECT '"&amp;UPPER(B612)&amp;"' AS TABELA, '"&amp;UPPER(C612)&amp;"' AS TIPOLOGIA_TESTE,'"&amp;D612&amp;"' AS TABELA_LT,'N/A' AS TABELA_SIMUL,'"&amp;F612&amp;"' AS CAMPO, "&amp;"'${ref_date}' AS REF_DATE, CAST(MIN("&amp;F612&amp;") AS STRING) AS VALOR_MIN, CAST(MAX("&amp;F612&amp;") AS STRING) AS VALOR_MAX,'"&amp;MAX('ID1&amp;5'!K:K)+1&amp;"' AS ID_EXEC, CURRENT_TIMESTAMP() AS TIME_EXEC FROM "&amp;MID(I612,1,LEN(I612)-2)&amp;" AND CAST("&amp;F612&amp;"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TABELA_SIMUL,'emssns_scp1_prtctn' AS CAMPO, '${ref_date}' AS REF_DATE, COUNT(*) AS NUM_REG, SUM(IF(COALESCE(CAST(X.emssns_scp1_prtctn AS STRING),'')&lt;&gt;COALESCE(CAST(Y.emssns_scp1_prtctn_SIMUL AS STRING),'') OR (X.emssns_scp1_prtctn IS NULL AND Y.emssns_scp1_prtctn_SIMUL IS NOT NULL ) OR (X.emssns_scp1_prtctn IS NOT NULL AND Y.emssns_scp1_prtctn_SIMUL IS NULL),1,0)) AS NUM_REG_DIF,'1' AS ID_EXEC, CURRENT_TIMESTAMP() AS TIME_EXEC FROM (SELECT prtctn_id, emssns_scp1_prtctn FROM BU_LOANTAPE_WORK.LT004_PROTECTION WHERE ref_date='${ref_date}' AND nome_perimetro='Individual Local' AND segmento='ESTR' AND ambito='SRB_MBDT' AND entidade='00100')X INNER JOIN (SELECT prtctn_id AS prtctn_id_SIMUL, emssns_scp1_prtctn AS emssns_scp1_prtctn_SIMUL FROM BU_LOANTAPE_WORK.SIMUL_LT004 WHERE ref_date='${ref_date}' AND nome_perimetro='Individual Local' AND segmento='ESTR' AND ambito='PILAR3' AND entidade='00100')Y ON X.PRTCTN_ID=Y.PRTCTN_ID_SIMUL</v>
      </c>
      <c r="M612" s="36" t="str">
        <f t="shared" si="14"/>
        <v>UNION ALL SELECT 'PROTECTION' AS TABELA, 'COERÊNCIA' AS TIPOLOGIA_TESTE,'BU_LOANTAPE_WORK.LT004_PROTECTION' AS TABELA_LT,'BU_LOANTAPE_WORK.SIMUL_LT004' AS TABELA_SIMUL,'emssns_scp1_prtctn' AS CAMPO, '${ref_date}' AS REF_DATE, COUNT(*) AS NUM_REG, SUM(IF(COALESCE(CAST(X.emssns_scp1_prtctn AS STRING),'')&lt;&gt;COALESCE(CAST(Y.emssns_scp1_prtctn_SIMUL AS STRING),'') OR (X.emssns_scp1_prtctn IS NULL AND Y.emssns_scp1_prtctn_SIMUL IS NOT NULL ) OR (X.emssns_scp1_prtctn IS NOT NULL AND Y.emssns_scp1_prtctn_SIMUL IS NULL),1,0)) AS NUM_REG_DIF,'1' AS ID_EXEC, CURRENT_TIMESTAMP() AS TIME_EXEC FROM (SELECT prtctn_id, emssns_scp1_prtctn FROM BU_LOANTAPE_WORK.LT004_PROTECTION WHERE ref_date='${ref_date}' AND nome_perimetro='Individual Local' AND segmento='ESTR' AND ambito='SRB_MBDT' AND entidade='00100')X INNER JOIN (SELECT prtctn_id AS prtctn_id_SIMUL, emssns_scp1_prtctn AS emssns_scp1_prtctn_SIMUL FROM BU_LOANTAPE_WORK.SIMUL_LT004 WHERE ref_date='${ref_date}' AND nome_perimetro='Individual Local' AND segmento='ESTR' AND ambito='PILAR3' AND entidade='00100')Y ON X.PRTCTN_ID=Y.PRTCTN_ID_SIMUL</v>
      </c>
    </row>
    <row r="613" spans="2:13">
      <c r="B613" s="34" t="s">
        <v>119</v>
      </c>
      <c r="C613" s="34" t="s">
        <v>5</v>
      </c>
      <c r="D613" s="34" t="str">
        <f>+UPPER('0. Instruções'!$D$35&amp;"."&amp;VLOOKUP(B613,'0. Instruções'!$C$27:$D$32,2,FALSE))</f>
        <v>BU_LOANTAPE_WORK.LT004_PROTECTION</v>
      </c>
      <c r="E613" s="34" t="str">
        <f>+UPPER('0. Instruções'!$D$36&amp;"."&amp;VLOOKUP(B613,'0. Instruções'!$C$27:$E$32,3,FALSE))</f>
        <v>BU_LOANTAPE_WORK.SIMUL_LT004</v>
      </c>
      <c r="F613" s="34" t="s">
        <v>626</v>
      </c>
      <c r="G613" s="34"/>
      <c r="H613" s="34"/>
      <c r="I613" s="34" t="str">
        <f>"(SELECT "&amp;VLOOKUP(B613,'0. Instruções'!$C$27:$G$32,4,FALSE)&amp;", "&amp;F613&amp;" FROM "&amp;D613&amp;" WHERE "&amp;'0. Instruções'!$D$42&amp;")X"</f>
        <v>(SELECT prtctn_id, emssns_scp2_prtctn FROM BU_LOANTAPE_WORK.LT004_PROTECTION WHERE ref_date='${ref_date}' AND nome_perimetro='Individual Local' AND segmento='ESTR' AND ambito='SRB_MBDT' AND entidade='00100')X</v>
      </c>
      <c r="J613" s="34" t="str">
        <f>"(SELECT "&amp;VLOOKUP(B613,'0. Instruções'!$C$27:$G$32,4,FALSE)&amp;" AS "&amp;VLOOKUP(B613,'0. Instruções'!$C$27:$G$32,4,FALSE)&amp;"_SIMUL, "&amp;F613&amp;" AS "&amp;F613&amp;"_SIMUL FROM "&amp;E613&amp;" WHERE "&amp;'0. Instruções'!$D$43&amp;")Y"</f>
        <v>(SELECT prtctn_id AS prtctn_id_SIMUL, emssns_scp2_prtctn AS emssns_scp2_prtctn_SIMUL FROM BU_LOANTAPE_WORK.SIMUL_LT004 WHERE ref_date='${ref_date}' AND nome_perimetro='Individual Local' AND segmento='ESTR' AND ambito='PILAR3' AND entidade='00100')Y</v>
      </c>
      <c r="K613" s="35" t="str">
        <f>+UPPER("ON X."&amp;VLOOKUP(B613,'0. Instruções'!$C$27:$G$32,4,FALSE)&amp;"=Y."&amp;VLOOKUP(B613,'0. Instruções'!$C$27:$G$32,4,FALSE)&amp;"_SIMUL")</f>
        <v>ON X.PRTCTN_ID=Y.PRTCTN_ID_SIMUL</v>
      </c>
      <c r="L613" s="35" t="str">
        <f>+IF(C613="Coerência", +IF(LEFT(G613,5)="FLOAT","SELECT '"&amp;UPPER(B613)&amp;"' AS TABELA, '"&amp;UPPER(C613)&amp;"' AS TIPOLOGIA_TESTE,'"&amp;D613&amp;"' AS TABELA_LT,'"&amp;E613&amp;"' AS TABELA_SIMUL,'"&amp;F613&amp;"' AS CAMPO, "&amp;"'${ref_date}' AS REF_DATE, COUNT(*) AS NUM_REG, SUM(IF((ABS(COALESCE(CAST(X."&amp;F613&amp;" AS DECIMAL(18,6)),0)-COALESCE(CAST(Y."&amp;F613&amp;"_SIMUL AS DECIMAL(18,6)),0))&gt;0.000001) OR (X."&amp;F613&amp;" IS NULL AND Y."&amp;F613&amp;"_SIMUL IS NOT NULL ) OR (X."&amp;F613&amp;" IS NOT NULL AND Y."&amp;F613&amp;"_SIMUL IS NULL),1,0)) AS NUM_REG_DIF,'"&amp;MAX('ID1&amp;5'!K:K)+1&amp;"' AS ID_EXEC, CURRENT_TIMESTAMP() AS TIME_EXEC FROM "&amp;I613&amp;" INNER JOIN "&amp;J613&amp;" "&amp;K613,"SELECT '"&amp;UPPER(B613)&amp;"' AS TABELA, '"&amp;UPPER(C613)&amp;"' AS TIPOLOGIA_TESTE,'"&amp;D613&amp;"' AS TABELA_LT,'"&amp;E613&amp;"' AS TABELA_SIMUL,'"&amp;F613&amp;"' AS CAMPO, "&amp;"'${ref_date}' AS REF_DATE, COUNT(*) AS NUM_REG, SUM(IF(COALESCE(CAST(X."&amp;F613&amp;" AS STRING),'')&lt;&gt;COALESCE(CAST(Y."&amp;F613&amp;"_SIMUL AS STRING),'') OR (X."&amp;F613&amp;" IS NULL AND Y."&amp;F613&amp;"_SIMUL IS NOT NULL ) OR (X."&amp;F613&amp;" IS NOT NULL AND Y."&amp;F613&amp;"_SIMUL IS NULL),1,0)) AS NUM_REG_DIF,'"&amp;MAX('ID1&amp;5'!L:L)+1&amp;"' AS ID_EXEC, CURRENT_TIMESTAMP() AS TIME_EXEC FROM "&amp;I613&amp;" INNER JOIN "&amp;J613&amp;" "&amp;K613),
IF(C613="Validade",+IF(G613="Code List","SELECT '"&amp;UPPER(B613)&amp;"' AS TABELA, '"&amp;UPPER(C613)&amp;"' AS TIPOLOGIA_TESTE,'"&amp;D613&amp;"' AS TABELA_LT,'N/A' AS TABELA_SIMUL,'"&amp;F613&amp;"' AS CAMPO, "&amp;"'${ref_date}' AS REF_DATE, COUNT(*) AS NUM_REG, SUM(IF(TRIM(CAST(X."&amp;F613&amp;" AS STRING))='' OR TRIM(CAST(X."&amp;F613&amp;" AS STRING)) IS NULL OR CAST(X."&amp;F613&amp;" AS STRING) NOT "&amp;H613&amp;",1,0)) AS NUM_REG_DIF,'"&amp;MAX('ID1&amp;5'!K:K)+1&amp;"' AS ID_EXEC, CURRENT_TIMESTAMP() AS TIME_EXEC FROM "&amp;I613,"SELECT '"&amp;UPPER(B613)&amp;"' AS TABELA, '"&amp;UPPER(C613)&amp;"' AS TIPOLOGIA_TESTE,'"&amp;D613&amp;"' AS TABELA_LT,'N/A' AS TABELA_SIMUL,'"&amp;F613&amp;"' AS CAMPO, "&amp;"'${ref_date}' AS REF_DATE, COUNT(*) AS NUM_REG, SUM(IF(TRIM(CAST(X."&amp;F613&amp;" AS STRING))='' OR TRIM(CAST(X."&amp;F613&amp;" AS STRING)) IS NULL,1,0)) AS NUM_REG_DIF,'"&amp;MAX('ID1&amp;5'!K:K)+1&amp;"' AS ID_EXEC, CURRENT_TIMESTAMP() AS TIME_EXEC FROM "&amp;I613),
IF(C613="Caracteres Especiais",+"SELECT '"&amp;UPPER(B613)&amp;"' AS TABELA, '"&amp;UPPER(C613)&amp;"' AS TIPOLOGIA_TESTE,'"&amp;D613&amp;"' AS TABELA_LT,'N/A' AS TABELA_SIMUL,'"&amp;F613&amp;"' AS CAMPO, "&amp;"'${ref_date}' AS REF_DATE, COUNT(*) AS NUM_REG, SUM(IF(REGEXP_REPLACE(TRIM(CAST(X."&amp;F613&amp;" AS STRING)),'[^a-zA-Z0-9_\\s]','') &lt;&gt;TRIM(CAST(X."&amp;F613&amp;" AS STRING)),1,0)) AS NUM_REG_DIF,'"&amp;MAX('ID1&amp;5'!K:K)+1&amp;"' AS ID_EXEC, CURRENT_TIMESTAMP() AS TIME_EXEC FROM "&amp;I613,
IF(C613="Missings",+"SELECT '"&amp;UPPER(B613)&amp;"' AS TABELA, '"&amp;UPPER(C613)&amp;"' AS TIPOLOGIA_TESTE,'"&amp;D613&amp;"' AS TABELA_LT,'N/A' AS TABELA_SIMUL,'"&amp;F613&amp;"' AS CAMPO, "&amp;"'${ref_date}' AS REF_DATE, COUNT(*) AS NUM_REG, SUM(IF(TRIM(CAST(X."&amp;F613&amp;" AS STRING)) IN ('0000-00-00','0001-01-01','9999-12-31','MISS','00000','99999999999','99999999999.00','99999999999.000000'),1,0)) AS NUM_REG_DIF,'"&amp;MAX('ID1&amp;5'!K:K)+1&amp;"' AS ID_EXEC, CURRENT_TIMESTAMP() AS TIME_EXEC FROM "&amp;I613,
IF(C613="Not applicable",+"SELECT '"&amp;UPPER(B613)&amp;"' AS TABELA, '"&amp;UPPER(C613)&amp;"' AS TIPOLOGIA_TESTE,'"&amp;D613&amp;"' AS TABELA_LT,'N/A' AS TABELA_SIMUL,'"&amp;F613&amp;"' AS CAMPO, "&amp;"'${ref_date}' AS REF_DATE, COUNT(*) AS NUM_REG, SUM(IF(TRIM(CAST(X."&amp;F613&amp;" AS STRING)) IN ('N/A','11111111111','11111111111.00','11111111111.000000','1111-11-11'),1,0)) AS NUM_REG_DIF,'"&amp;MAX('ID1&amp;5'!K:K)+1&amp;"' AS ID_EXEC, CURRENT_TIMESTAMP() AS TIME_EXEC FROM "&amp;I613,
IF(C613="Valores extremos",+"SELECT '"&amp;UPPER(B613)&amp;"' AS TABELA, '"&amp;UPPER(C613)&amp;"' AS TIPOLOGIA_TESTE,'"&amp;D613&amp;"' AS TABELA_LT,'N/A' AS TABELA_SIMUL,'"&amp;F613&amp;"' AS CAMPO, "&amp;"'${ref_date}' AS REF_DATE, CAST(MIN("&amp;F613&amp;") AS STRING) AS VALOR_MIN, CAST(MAX("&amp;F613&amp;") AS STRING) AS VALOR_MAX,'"&amp;MAX('ID1&amp;5'!K:K)+1&amp;"' AS ID_EXEC, CURRENT_TIMESTAMP() AS TIME_EXEC FROM "&amp;MID(I613,1,LEN(I613)-2)&amp;" AND CAST("&amp;F613&amp;"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TABELA_SIMUL,'emssns_scp2_prtctn' AS CAMPO, '${ref_date}' AS REF_DATE, COUNT(*) AS NUM_REG, SUM(IF(COALESCE(CAST(X.emssns_scp2_prtctn AS STRING),'')&lt;&gt;COALESCE(CAST(Y.emssns_scp2_prtctn_SIMUL AS STRING),'') OR (X.emssns_scp2_prtctn IS NULL AND Y.emssns_scp2_prtctn_SIMUL IS NOT NULL ) OR (X.emssns_scp2_prtctn IS NOT NULL AND Y.emssns_scp2_prtctn_SIMUL IS NULL),1,0)) AS NUM_REG_DIF,'1' AS ID_EXEC, CURRENT_TIMESTAMP() AS TIME_EXEC FROM (SELECT prtctn_id, emssns_scp2_prtctn FROM BU_LOANTAPE_WORK.LT004_PROTECTION WHERE ref_date='${ref_date}' AND nome_perimetro='Individual Local' AND segmento='ESTR' AND ambito='SRB_MBDT' AND entidade='00100')X INNER JOIN (SELECT prtctn_id AS prtctn_id_SIMUL, emssns_scp2_prtctn AS emssns_scp2_prtctn_SIMUL FROM BU_LOANTAPE_WORK.SIMUL_LT004 WHERE ref_date='${ref_date}' AND nome_perimetro='Individual Local' AND segmento='ESTR' AND ambito='PILAR3' AND entidade='00100')Y ON X.PRTCTN_ID=Y.PRTCTN_ID_SIMUL</v>
      </c>
      <c r="M613" s="36" t="str">
        <f t="shared" si="14"/>
        <v>UNION ALL SELECT 'PROTECTION' AS TABELA, 'COERÊNCIA' AS TIPOLOGIA_TESTE,'BU_LOANTAPE_WORK.LT004_PROTECTION' AS TABELA_LT,'BU_LOANTAPE_WORK.SIMUL_LT004' AS TABELA_SIMUL,'emssns_scp2_prtctn' AS CAMPO, '${ref_date}' AS REF_DATE, COUNT(*) AS NUM_REG, SUM(IF(COALESCE(CAST(X.emssns_scp2_prtctn AS STRING),'')&lt;&gt;COALESCE(CAST(Y.emssns_scp2_prtctn_SIMUL AS STRING),'') OR (X.emssns_scp2_prtctn IS NULL AND Y.emssns_scp2_prtctn_SIMUL IS NOT NULL ) OR (X.emssns_scp2_prtctn IS NOT NULL AND Y.emssns_scp2_prtctn_SIMUL IS NULL),1,0)) AS NUM_REG_DIF,'1' AS ID_EXEC, CURRENT_TIMESTAMP() AS TIME_EXEC FROM (SELECT prtctn_id, emssns_scp2_prtctn FROM BU_LOANTAPE_WORK.LT004_PROTECTION WHERE ref_date='${ref_date}' AND nome_perimetro='Individual Local' AND segmento='ESTR' AND ambito='SRB_MBDT' AND entidade='00100')X INNER JOIN (SELECT prtctn_id AS prtctn_id_SIMUL, emssns_scp2_prtctn AS emssns_scp2_prtctn_SIMUL FROM BU_LOANTAPE_WORK.SIMUL_LT004 WHERE ref_date='${ref_date}' AND nome_perimetro='Individual Local' AND segmento='ESTR' AND ambito='PILAR3' AND entidade='00100')Y ON X.PRTCTN_ID=Y.PRTCTN_ID_SIMUL</v>
      </c>
    </row>
    <row r="614" spans="2:13">
      <c r="B614" s="34" t="s">
        <v>119</v>
      </c>
      <c r="C614" s="34" t="s">
        <v>5</v>
      </c>
      <c r="D614" s="34" t="str">
        <f>+UPPER('0. Instruções'!$D$35&amp;"."&amp;VLOOKUP(B614,'0. Instruções'!$C$27:$D$32,2,FALSE))</f>
        <v>BU_LOANTAPE_WORK.LT004_PROTECTION</v>
      </c>
      <c r="E614" s="34" t="str">
        <f>+UPPER('0. Instruções'!$D$36&amp;"."&amp;VLOOKUP(B614,'0. Instruções'!$C$27:$E$32,3,FALSE))</f>
        <v>BU_LOANTAPE_WORK.SIMUL_LT004</v>
      </c>
      <c r="F614" s="34" t="s">
        <v>627</v>
      </c>
      <c r="G614" s="34"/>
      <c r="H614" s="34"/>
      <c r="I614" s="34" t="str">
        <f>"(SELECT "&amp;VLOOKUP(B614,'0. Instruções'!$C$27:$G$32,4,FALSE)&amp;", "&amp;F614&amp;" FROM "&amp;D614&amp;" WHERE "&amp;'0. Instruções'!$D$42&amp;")X"</f>
        <v>(SELECT prtctn_id, emssns_scp3_prtctn FROM BU_LOANTAPE_WORK.LT004_PROTECTION WHERE ref_date='${ref_date}' AND nome_perimetro='Individual Local' AND segmento='ESTR' AND ambito='SRB_MBDT' AND entidade='00100')X</v>
      </c>
      <c r="J614" s="34" t="str">
        <f>"(SELECT "&amp;VLOOKUP(B614,'0. Instruções'!$C$27:$G$32,4,FALSE)&amp;" AS "&amp;VLOOKUP(B614,'0. Instruções'!$C$27:$G$32,4,FALSE)&amp;"_SIMUL, "&amp;F614&amp;" AS "&amp;F614&amp;"_SIMUL FROM "&amp;E614&amp;" WHERE "&amp;'0. Instruções'!$D$43&amp;")Y"</f>
        <v>(SELECT prtctn_id AS prtctn_id_SIMUL, emssns_scp3_prtctn AS emssns_scp3_prtctn_SIMUL FROM BU_LOANTAPE_WORK.SIMUL_LT004 WHERE ref_date='${ref_date}' AND nome_perimetro='Individual Local' AND segmento='ESTR' AND ambito='PILAR3' AND entidade='00100')Y</v>
      </c>
      <c r="K614" s="35" t="str">
        <f>+UPPER("ON X."&amp;VLOOKUP(B614,'0. Instruções'!$C$27:$G$32,4,FALSE)&amp;"=Y."&amp;VLOOKUP(B614,'0. Instruções'!$C$27:$G$32,4,FALSE)&amp;"_SIMUL")</f>
        <v>ON X.PRTCTN_ID=Y.PRTCTN_ID_SIMUL</v>
      </c>
      <c r="L614" s="35" t="str">
        <f>+IF(C614="Coerência", +IF(LEFT(G614,5)="FLOAT","SELECT '"&amp;UPPER(B614)&amp;"' AS TABELA, '"&amp;UPPER(C614)&amp;"' AS TIPOLOGIA_TESTE,'"&amp;D614&amp;"' AS TABELA_LT,'"&amp;E614&amp;"' AS TABELA_SIMUL,'"&amp;F614&amp;"' AS CAMPO, "&amp;"'${ref_date}' AS REF_DATE, COUNT(*) AS NUM_REG, SUM(IF((ABS(COALESCE(CAST(X."&amp;F614&amp;" AS DECIMAL(18,6)),0)-COALESCE(CAST(Y."&amp;F614&amp;"_SIMUL AS DECIMAL(18,6)),0))&gt;0.000001) OR (X."&amp;F614&amp;" IS NULL AND Y."&amp;F614&amp;"_SIMUL IS NOT NULL ) OR (X."&amp;F614&amp;" IS NOT NULL AND Y."&amp;F614&amp;"_SIMUL IS NULL),1,0)) AS NUM_REG_DIF,'"&amp;MAX('ID1&amp;5'!K:K)+1&amp;"' AS ID_EXEC, CURRENT_TIMESTAMP() AS TIME_EXEC FROM "&amp;I614&amp;" INNER JOIN "&amp;J614&amp;" "&amp;K614,"SELECT '"&amp;UPPER(B614)&amp;"' AS TABELA, '"&amp;UPPER(C614)&amp;"' AS TIPOLOGIA_TESTE,'"&amp;D614&amp;"' AS TABELA_LT,'"&amp;E614&amp;"' AS TABELA_SIMUL,'"&amp;F614&amp;"' AS CAMPO, "&amp;"'${ref_date}' AS REF_DATE, COUNT(*) AS NUM_REG, SUM(IF(COALESCE(CAST(X."&amp;F614&amp;" AS STRING),'')&lt;&gt;COALESCE(CAST(Y."&amp;F614&amp;"_SIMUL AS STRING),'') OR (X."&amp;F614&amp;" IS NULL AND Y."&amp;F614&amp;"_SIMUL IS NOT NULL ) OR (X."&amp;F614&amp;" IS NOT NULL AND Y."&amp;F614&amp;"_SIMUL IS NULL),1,0)) AS NUM_REG_DIF,'"&amp;MAX('ID1&amp;5'!L:L)+1&amp;"' AS ID_EXEC, CURRENT_TIMESTAMP() AS TIME_EXEC FROM "&amp;I614&amp;" INNER JOIN "&amp;J614&amp;" "&amp;K614),
IF(C614="Validade",+IF(G614="Code List","SELECT '"&amp;UPPER(B614)&amp;"' AS TABELA, '"&amp;UPPER(C614)&amp;"' AS TIPOLOGIA_TESTE,'"&amp;D614&amp;"' AS TABELA_LT,'N/A' AS TABELA_SIMUL,'"&amp;F614&amp;"' AS CAMPO, "&amp;"'${ref_date}' AS REF_DATE, COUNT(*) AS NUM_REG, SUM(IF(TRIM(CAST(X."&amp;F614&amp;" AS STRING))='' OR TRIM(CAST(X."&amp;F614&amp;" AS STRING)) IS NULL OR CAST(X."&amp;F614&amp;" AS STRING) NOT "&amp;H614&amp;",1,0)) AS NUM_REG_DIF,'"&amp;MAX('ID1&amp;5'!K:K)+1&amp;"' AS ID_EXEC, CURRENT_TIMESTAMP() AS TIME_EXEC FROM "&amp;I614,"SELECT '"&amp;UPPER(B614)&amp;"' AS TABELA, '"&amp;UPPER(C614)&amp;"' AS TIPOLOGIA_TESTE,'"&amp;D614&amp;"' AS TABELA_LT,'N/A' AS TABELA_SIMUL,'"&amp;F614&amp;"' AS CAMPO, "&amp;"'${ref_date}' AS REF_DATE, COUNT(*) AS NUM_REG, SUM(IF(TRIM(CAST(X."&amp;F614&amp;" AS STRING))='' OR TRIM(CAST(X."&amp;F614&amp;" AS STRING)) IS NULL,1,0)) AS NUM_REG_DIF,'"&amp;MAX('ID1&amp;5'!K:K)+1&amp;"' AS ID_EXEC, CURRENT_TIMESTAMP() AS TIME_EXEC FROM "&amp;I614),
IF(C614="Caracteres Especiais",+"SELECT '"&amp;UPPER(B614)&amp;"' AS TABELA, '"&amp;UPPER(C614)&amp;"' AS TIPOLOGIA_TESTE,'"&amp;D614&amp;"' AS TABELA_LT,'N/A' AS TABELA_SIMUL,'"&amp;F614&amp;"' AS CAMPO, "&amp;"'${ref_date}' AS REF_DATE, COUNT(*) AS NUM_REG, SUM(IF(REGEXP_REPLACE(TRIM(CAST(X."&amp;F614&amp;" AS STRING)),'[^a-zA-Z0-9_\\s]','') &lt;&gt;TRIM(CAST(X."&amp;F614&amp;" AS STRING)),1,0)) AS NUM_REG_DIF,'"&amp;MAX('ID1&amp;5'!K:K)+1&amp;"' AS ID_EXEC, CURRENT_TIMESTAMP() AS TIME_EXEC FROM "&amp;I614,
IF(C614="Missings",+"SELECT '"&amp;UPPER(B614)&amp;"' AS TABELA, '"&amp;UPPER(C614)&amp;"' AS TIPOLOGIA_TESTE,'"&amp;D614&amp;"' AS TABELA_LT,'N/A' AS TABELA_SIMUL,'"&amp;F614&amp;"' AS CAMPO, "&amp;"'${ref_date}' AS REF_DATE, COUNT(*) AS NUM_REG, SUM(IF(TRIM(CAST(X."&amp;F614&amp;" AS STRING)) IN ('0000-00-00','0001-01-01','9999-12-31','MISS','00000','99999999999','99999999999.00','99999999999.000000'),1,0)) AS NUM_REG_DIF,'"&amp;MAX('ID1&amp;5'!K:K)+1&amp;"' AS ID_EXEC, CURRENT_TIMESTAMP() AS TIME_EXEC FROM "&amp;I614,
IF(C614="Not applicable",+"SELECT '"&amp;UPPER(B614)&amp;"' AS TABELA, '"&amp;UPPER(C614)&amp;"' AS TIPOLOGIA_TESTE,'"&amp;D614&amp;"' AS TABELA_LT,'N/A' AS TABELA_SIMUL,'"&amp;F614&amp;"' AS CAMPO, "&amp;"'${ref_date}' AS REF_DATE, COUNT(*) AS NUM_REG, SUM(IF(TRIM(CAST(X."&amp;F614&amp;" AS STRING)) IN ('N/A','11111111111','11111111111.00','11111111111.000000','1111-11-11'),1,0)) AS NUM_REG_DIF,'"&amp;MAX('ID1&amp;5'!K:K)+1&amp;"' AS ID_EXEC, CURRENT_TIMESTAMP() AS TIME_EXEC FROM "&amp;I614,
IF(C614="Valores extremos",+"SELECT '"&amp;UPPER(B614)&amp;"' AS TABELA, '"&amp;UPPER(C614)&amp;"' AS TIPOLOGIA_TESTE,'"&amp;D614&amp;"' AS TABELA_LT,'N/A' AS TABELA_SIMUL,'"&amp;F614&amp;"' AS CAMPO, "&amp;"'${ref_date}' AS REF_DATE, CAST(MIN("&amp;F614&amp;") AS STRING) AS VALOR_MIN, CAST(MAX("&amp;F614&amp;") AS STRING) AS VALOR_MAX,'"&amp;MAX('ID1&amp;5'!K:K)+1&amp;"' AS ID_EXEC, CURRENT_TIMESTAMP() AS TIME_EXEC FROM "&amp;MID(I614,1,LEN(I614)-2)&amp;" AND CAST("&amp;F614&amp;"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TABELA_SIMUL,'emssns_scp3_prtctn' AS CAMPO, '${ref_date}' AS REF_DATE, COUNT(*) AS NUM_REG, SUM(IF(COALESCE(CAST(X.emssns_scp3_prtctn AS STRING),'')&lt;&gt;COALESCE(CAST(Y.emssns_scp3_prtctn_SIMUL AS STRING),'') OR (X.emssns_scp3_prtctn IS NULL AND Y.emssns_scp3_prtctn_SIMUL IS NOT NULL ) OR (X.emssns_scp3_prtctn IS NOT NULL AND Y.emssns_scp3_prtctn_SIMUL IS NULL),1,0)) AS NUM_REG_DIF,'1' AS ID_EXEC, CURRENT_TIMESTAMP() AS TIME_EXEC FROM (SELECT prtctn_id, emssns_scp3_prtctn FROM BU_LOANTAPE_WORK.LT004_PROTECTION WHERE ref_date='${ref_date}' AND nome_perimetro='Individual Local' AND segmento='ESTR' AND ambito='SRB_MBDT' AND entidade='00100')X INNER JOIN (SELECT prtctn_id AS prtctn_id_SIMUL, emssns_scp3_prtctn AS emssns_scp3_prtctn_SIMUL FROM BU_LOANTAPE_WORK.SIMUL_LT004 WHERE ref_date='${ref_date}' AND nome_perimetro='Individual Local' AND segmento='ESTR' AND ambito='PILAR3' AND entidade='00100')Y ON X.PRTCTN_ID=Y.PRTCTN_ID_SIMUL</v>
      </c>
      <c r="M614" s="36" t="str">
        <f t="shared" si="14"/>
        <v>UNION ALL SELECT 'PROTECTION' AS TABELA, 'COERÊNCIA' AS TIPOLOGIA_TESTE,'BU_LOANTAPE_WORK.LT004_PROTECTION' AS TABELA_LT,'BU_LOANTAPE_WORK.SIMUL_LT004' AS TABELA_SIMUL,'emssns_scp3_prtctn' AS CAMPO, '${ref_date}' AS REF_DATE, COUNT(*) AS NUM_REG, SUM(IF(COALESCE(CAST(X.emssns_scp3_prtctn AS STRING),'')&lt;&gt;COALESCE(CAST(Y.emssns_scp3_prtctn_SIMUL AS STRING),'') OR (X.emssns_scp3_prtctn IS NULL AND Y.emssns_scp3_prtctn_SIMUL IS NOT NULL ) OR (X.emssns_scp3_prtctn IS NOT NULL AND Y.emssns_scp3_prtctn_SIMUL IS NULL),1,0)) AS NUM_REG_DIF,'1' AS ID_EXEC, CURRENT_TIMESTAMP() AS TIME_EXEC FROM (SELECT prtctn_id, emssns_scp3_prtctn FROM BU_LOANTAPE_WORK.LT004_PROTECTION WHERE ref_date='${ref_date}' AND nome_perimetro='Individual Local' AND segmento='ESTR' AND ambito='SRB_MBDT' AND entidade='00100')X INNER JOIN (SELECT prtctn_id AS prtctn_id_SIMUL, emssns_scp3_prtctn AS emssns_scp3_prtctn_SIMUL FROM BU_LOANTAPE_WORK.SIMUL_LT004 WHERE ref_date='${ref_date}' AND nome_perimetro='Individual Local' AND segmento='ESTR' AND ambito='PILAR3' AND entidade='00100')Y ON X.PRTCTN_ID=Y.PRTCTN_ID_SIMUL</v>
      </c>
    </row>
    <row r="615" spans="2:13">
      <c r="B615" s="34" t="s">
        <v>119</v>
      </c>
      <c r="C615" s="34" t="s">
        <v>5</v>
      </c>
      <c r="D615" s="34" t="str">
        <f>+UPPER('0. Instruções'!$D$35&amp;"."&amp;VLOOKUP(B615,'0. Instruções'!$C$27:$D$32,2,FALSE))</f>
        <v>BU_LOANTAPE_WORK.LT004_PROTECTION</v>
      </c>
      <c r="E615" s="34" t="str">
        <f>+UPPER('0. Instruções'!$D$36&amp;"."&amp;VLOOKUP(B615,'0. Instruções'!$C$27:$E$32,3,FALSE))</f>
        <v>BU_LOANTAPE_WORK.SIMUL_LT004</v>
      </c>
      <c r="F615" s="34" t="s">
        <v>628</v>
      </c>
      <c r="G615" s="34"/>
      <c r="H615" s="34"/>
      <c r="I615" s="34" t="str">
        <f>"(SELECT "&amp;VLOOKUP(B615,'0. Instruções'!$C$27:$G$32,4,FALSE)&amp;", "&amp;F615&amp;" FROM "&amp;D615&amp;" WHERE "&amp;'0. Instruções'!$D$42&amp;")X"</f>
        <v>(SELECT prtctn_id, mthd_usd_prtctn_scp_1 FROM BU_LOANTAPE_WORK.LT004_PROTECTION WHERE ref_date='${ref_date}' AND nome_perimetro='Individual Local' AND segmento='ESTR' AND ambito='SRB_MBDT' AND entidade='00100')X</v>
      </c>
      <c r="J615" s="34" t="str">
        <f>"(SELECT "&amp;VLOOKUP(B615,'0. Instruções'!$C$27:$G$32,4,FALSE)&amp;" AS "&amp;VLOOKUP(B615,'0. Instruções'!$C$27:$G$32,4,FALSE)&amp;"_SIMUL, "&amp;F615&amp;" AS "&amp;F615&amp;"_SIMUL FROM "&amp;E615&amp;" WHERE "&amp;'0. Instruções'!$D$43&amp;")Y"</f>
        <v>(SELECT prtctn_id AS prtctn_id_SIMUL, mthd_usd_prtctn_scp_1 AS mthd_usd_prtctn_scp_1_SIMUL FROM BU_LOANTAPE_WORK.SIMUL_LT004 WHERE ref_date='${ref_date}' AND nome_perimetro='Individual Local' AND segmento='ESTR' AND ambito='PILAR3' AND entidade='00100')Y</v>
      </c>
      <c r="K615" s="35" t="str">
        <f>+UPPER("ON X."&amp;VLOOKUP(B615,'0. Instruções'!$C$27:$G$32,4,FALSE)&amp;"=Y."&amp;VLOOKUP(B615,'0. Instruções'!$C$27:$G$32,4,FALSE)&amp;"_SIMUL")</f>
        <v>ON X.PRTCTN_ID=Y.PRTCTN_ID_SIMUL</v>
      </c>
      <c r="L615" s="35" t="str">
        <f>+IF(C615="Coerência", +IF(LEFT(G615,5)="FLOAT","SELECT '"&amp;UPPER(B615)&amp;"' AS TABELA, '"&amp;UPPER(C615)&amp;"' AS TIPOLOGIA_TESTE,'"&amp;D615&amp;"' AS TABELA_LT,'"&amp;E615&amp;"' AS TABELA_SIMUL,'"&amp;F615&amp;"' AS CAMPO, "&amp;"'${ref_date}' AS REF_DATE, COUNT(*) AS NUM_REG, SUM(IF((ABS(COALESCE(CAST(X."&amp;F615&amp;" AS DECIMAL(18,6)),0)-COALESCE(CAST(Y."&amp;F615&amp;"_SIMUL AS DECIMAL(18,6)),0))&gt;0.000001) OR (X."&amp;F615&amp;" IS NULL AND Y."&amp;F615&amp;"_SIMUL IS NOT NULL ) OR (X."&amp;F615&amp;" IS NOT NULL AND Y."&amp;F615&amp;"_SIMUL IS NULL),1,0)) AS NUM_REG_DIF,'"&amp;MAX('ID1&amp;5'!K:K)+1&amp;"' AS ID_EXEC, CURRENT_TIMESTAMP() AS TIME_EXEC FROM "&amp;I615&amp;" INNER JOIN "&amp;J615&amp;" "&amp;K615,"SELECT '"&amp;UPPER(B615)&amp;"' AS TABELA, '"&amp;UPPER(C615)&amp;"' AS TIPOLOGIA_TESTE,'"&amp;D615&amp;"' AS TABELA_LT,'"&amp;E615&amp;"' AS TABELA_SIMUL,'"&amp;F615&amp;"' AS CAMPO, "&amp;"'${ref_date}' AS REF_DATE, COUNT(*) AS NUM_REG, SUM(IF(COALESCE(CAST(X."&amp;F615&amp;" AS STRING),'')&lt;&gt;COALESCE(CAST(Y."&amp;F615&amp;"_SIMUL AS STRING),'') OR (X."&amp;F615&amp;" IS NULL AND Y."&amp;F615&amp;"_SIMUL IS NOT NULL ) OR (X."&amp;F615&amp;" IS NOT NULL AND Y."&amp;F615&amp;"_SIMUL IS NULL),1,0)) AS NUM_REG_DIF,'"&amp;MAX('ID1&amp;5'!L:L)+1&amp;"' AS ID_EXEC, CURRENT_TIMESTAMP() AS TIME_EXEC FROM "&amp;I615&amp;" INNER JOIN "&amp;J615&amp;" "&amp;K615),
IF(C615="Validade",+IF(G615="Code List","SELECT '"&amp;UPPER(B615)&amp;"' AS TABELA, '"&amp;UPPER(C615)&amp;"' AS TIPOLOGIA_TESTE,'"&amp;D615&amp;"' AS TABELA_LT,'N/A' AS TABELA_SIMUL,'"&amp;F615&amp;"' AS CAMPO, "&amp;"'${ref_date}' AS REF_DATE, COUNT(*) AS NUM_REG, SUM(IF(TRIM(CAST(X."&amp;F615&amp;" AS STRING))='' OR TRIM(CAST(X."&amp;F615&amp;" AS STRING)) IS NULL OR CAST(X."&amp;F615&amp;" AS STRING) NOT "&amp;H615&amp;",1,0)) AS NUM_REG_DIF,'"&amp;MAX('ID1&amp;5'!K:K)+1&amp;"' AS ID_EXEC, CURRENT_TIMESTAMP() AS TIME_EXEC FROM "&amp;I615,"SELECT '"&amp;UPPER(B615)&amp;"' AS TABELA, '"&amp;UPPER(C615)&amp;"' AS TIPOLOGIA_TESTE,'"&amp;D615&amp;"' AS TABELA_LT,'N/A' AS TABELA_SIMUL,'"&amp;F615&amp;"' AS CAMPO, "&amp;"'${ref_date}' AS REF_DATE, COUNT(*) AS NUM_REG, SUM(IF(TRIM(CAST(X."&amp;F615&amp;" AS STRING))='' OR TRIM(CAST(X."&amp;F615&amp;" AS STRING)) IS NULL,1,0)) AS NUM_REG_DIF,'"&amp;MAX('ID1&amp;5'!K:K)+1&amp;"' AS ID_EXEC, CURRENT_TIMESTAMP() AS TIME_EXEC FROM "&amp;I615),
IF(C615="Caracteres Especiais",+"SELECT '"&amp;UPPER(B615)&amp;"' AS TABELA, '"&amp;UPPER(C615)&amp;"' AS TIPOLOGIA_TESTE,'"&amp;D615&amp;"' AS TABELA_LT,'N/A' AS TABELA_SIMUL,'"&amp;F615&amp;"' AS CAMPO, "&amp;"'${ref_date}' AS REF_DATE, COUNT(*) AS NUM_REG, SUM(IF(REGEXP_REPLACE(TRIM(CAST(X."&amp;F615&amp;" AS STRING)),'[^a-zA-Z0-9_\\s]','') &lt;&gt;TRIM(CAST(X."&amp;F615&amp;" AS STRING)),1,0)) AS NUM_REG_DIF,'"&amp;MAX('ID1&amp;5'!K:K)+1&amp;"' AS ID_EXEC, CURRENT_TIMESTAMP() AS TIME_EXEC FROM "&amp;I615,
IF(C615="Missings",+"SELECT '"&amp;UPPER(B615)&amp;"' AS TABELA, '"&amp;UPPER(C615)&amp;"' AS TIPOLOGIA_TESTE,'"&amp;D615&amp;"' AS TABELA_LT,'N/A' AS TABELA_SIMUL,'"&amp;F615&amp;"' AS CAMPO, "&amp;"'${ref_date}' AS REF_DATE, COUNT(*) AS NUM_REG, SUM(IF(TRIM(CAST(X."&amp;F615&amp;" AS STRING)) IN ('0000-00-00','0001-01-01','9999-12-31','MISS','00000','99999999999','99999999999.00','99999999999.000000'),1,0)) AS NUM_REG_DIF,'"&amp;MAX('ID1&amp;5'!K:K)+1&amp;"' AS ID_EXEC, CURRENT_TIMESTAMP() AS TIME_EXEC FROM "&amp;I615,
IF(C615="Not applicable",+"SELECT '"&amp;UPPER(B615)&amp;"' AS TABELA, '"&amp;UPPER(C615)&amp;"' AS TIPOLOGIA_TESTE,'"&amp;D615&amp;"' AS TABELA_LT,'N/A' AS TABELA_SIMUL,'"&amp;F615&amp;"' AS CAMPO, "&amp;"'${ref_date}' AS REF_DATE, COUNT(*) AS NUM_REG, SUM(IF(TRIM(CAST(X."&amp;F615&amp;" AS STRING)) IN ('N/A','11111111111','11111111111.00','11111111111.000000','1111-11-11'),1,0)) AS NUM_REG_DIF,'"&amp;MAX('ID1&amp;5'!K:K)+1&amp;"' AS ID_EXEC, CURRENT_TIMESTAMP() AS TIME_EXEC FROM "&amp;I615,
IF(C615="Valores extremos",+"SELECT '"&amp;UPPER(B615)&amp;"' AS TABELA, '"&amp;UPPER(C615)&amp;"' AS TIPOLOGIA_TESTE,'"&amp;D615&amp;"' AS TABELA_LT,'N/A' AS TABELA_SIMUL,'"&amp;F615&amp;"' AS CAMPO, "&amp;"'${ref_date}' AS REF_DATE, CAST(MIN("&amp;F615&amp;") AS STRING) AS VALOR_MIN, CAST(MAX("&amp;F615&amp;") AS STRING) AS VALOR_MAX,'"&amp;MAX('ID1&amp;5'!K:K)+1&amp;"' AS ID_EXEC, CURRENT_TIMESTAMP() AS TIME_EXEC FROM "&amp;MID(I615,1,LEN(I615)-2)&amp;" AND CAST("&amp;F615&amp;"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TABELA_SIMUL,'mthd_usd_prtctn_scp_1' AS CAMPO, '${ref_date}' AS REF_DATE, COUNT(*) AS NUM_REG, SUM(IF(COALESCE(CAST(X.mthd_usd_prtctn_scp_1 AS STRING),'')&lt;&gt;COALESCE(CAST(Y.mthd_usd_prtctn_scp_1_SIMUL AS STRING),'') OR (X.mthd_usd_prtctn_scp_1 IS NULL AND Y.mthd_usd_prtctn_scp_1_SIMUL IS NOT NULL ) OR (X.mthd_usd_prtctn_scp_1 IS NOT NULL AND Y.mthd_usd_prtctn_scp_1_SIMUL IS NULL),1,0)) AS NUM_REG_DIF,'1' AS ID_EXEC, CURRENT_TIMESTAMP() AS TIME_EXEC FROM (SELECT prtctn_id, mthd_usd_prtctn_scp_1 FROM BU_LOANTAPE_WORK.LT004_PROTECTION WHERE ref_date='${ref_date}' AND nome_perimetro='Individual Local' AND segmento='ESTR' AND ambito='SRB_MBDT' AND entidade='00100')X INNER JOIN (SELECT prtctn_id AS prtctn_id_SIMUL, mthd_usd_prtctn_scp_1 AS mthd_usd_prtctn_scp_1_SIMUL FROM BU_LOANTAPE_WORK.SIMUL_LT004 WHERE ref_date='${ref_date}' AND nome_perimetro='Individual Local' AND segmento='ESTR' AND ambito='PILAR3' AND entidade='00100')Y ON X.PRTCTN_ID=Y.PRTCTN_ID_SIMUL</v>
      </c>
      <c r="M615" s="36" t="str">
        <f t="shared" si="14"/>
        <v>UNION ALL SELECT 'PROTECTION' AS TABELA, 'COERÊNCIA' AS TIPOLOGIA_TESTE,'BU_LOANTAPE_WORK.LT004_PROTECTION' AS TABELA_LT,'BU_LOANTAPE_WORK.SIMUL_LT004' AS TABELA_SIMUL,'mthd_usd_prtctn_scp_1' AS CAMPO, '${ref_date}' AS REF_DATE, COUNT(*) AS NUM_REG, SUM(IF(COALESCE(CAST(X.mthd_usd_prtctn_scp_1 AS STRING),'')&lt;&gt;COALESCE(CAST(Y.mthd_usd_prtctn_scp_1_SIMUL AS STRING),'') OR (X.mthd_usd_prtctn_scp_1 IS NULL AND Y.mthd_usd_prtctn_scp_1_SIMUL IS NOT NULL ) OR (X.mthd_usd_prtctn_scp_1 IS NOT NULL AND Y.mthd_usd_prtctn_scp_1_SIMUL IS NULL),1,0)) AS NUM_REG_DIF,'1' AS ID_EXEC, CURRENT_TIMESTAMP() AS TIME_EXEC FROM (SELECT prtctn_id, mthd_usd_prtctn_scp_1 FROM BU_LOANTAPE_WORK.LT004_PROTECTION WHERE ref_date='${ref_date}' AND nome_perimetro='Individual Local' AND segmento='ESTR' AND ambito='SRB_MBDT' AND entidade='00100')X INNER JOIN (SELECT prtctn_id AS prtctn_id_SIMUL, mthd_usd_prtctn_scp_1 AS mthd_usd_prtctn_scp_1_SIMUL FROM BU_LOANTAPE_WORK.SIMUL_LT004 WHERE ref_date='${ref_date}' AND nome_perimetro='Individual Local' AND segmento='ESTR' AND ambito='PILAR3' AND entidade='00100')Y ON X.PRTCTN_ID=Y.PRTCTN_ID_SIMUL</v>
      </c>
    </row>
    <row r="616" spans="2:13">
      <c r="B616" s="34" t="s">
        <v>119</v>
      </c>
      <c r="C616" s="34" t="s">
        <v>5</v>
      </c>
      <c r="D616" s="34" t="str">
        <f>+UPPER('0. Instruções'!$D$35&amp;"."&amp;VLOOKUP(B616,'0. Instruções'!$C$27:$D$32,2,FALSE))</f>
        <v>BU_LOANTAPE_WORK.LT004_PROTECTION</v>
      </c>
      <c r="E616" s="34" t="str">
        <f>+UPPER('0. Instruções'!$D$36&amp;"."&amp;VLOOKUP(B616,'0. Instruções'!$C$27:$E$32,3,FALSE))</f>
        <v>BU_LOANTAPE_WORK.SIMUL_LT004</v>
      </c>
      <c r="F616" s="34" t="s">
        <v>629</v>
      </c>
      <c r="G616" s="34"/>
      <c r="H616" s="34"/>
      <c r="I616" s="34" t="str">
        <f>"(SELECT "&amp;VLOOKUP(B616,'0. Instruções'!$C$27:$G$32,4,FALSE)&amp;", "&amp;F616&amp;" FROM "&amp;D616&amp;" WHERE "&amp;'0. Instruções'!$D$42&amp;")X"</f>
        <v>(SELECT prtctn_id, mthd_usd_prtctn_scp_2 FROM BU_LOANTAPE_WORK.LT004_PROTECTION WHERE ref_date='${ref_date}' AND nome_perimetro='Individual Local' AND segmento='ESTR' AND ambito='SRB_MBDT' AND entidade='00100')X</v>
      </c>
      <c r="J616" s="34" t="str">
        <f>"(SELECT "&amp;VLOOKUP(B616,'0. Instruções'!$C$27:$G$32,4,FALSE)&amp;" AS "&amp;VLOOKUP(B616,'0. Instruções'!$C$27:$G$32,4,FALSE)&amp;"_SIMUL, "&amp;F616&amp;" AS "&amp;F616&amp;"_SIMUL FROM "&amp;E616&amp;" WHERE "&amp;'0. Instruções'!$D$43&amp;")Y"</f>
        <v>(SELECT prtctn_id AS prtctn_id_SIMUL, mthd_usd_prtctn_scp_2 AS mthd_usd_prtctn_scp_2_SIMUL FROM BU_LOANTAPE_WORK.SIMUL_LT004 WHERE ref_date='${ref_date}' AND nome_perimetro='Individual Local' AND segmento='ESTR' AND ambito='PILAR3' AND entidade='00100')Y</v>
      </c>
      <c r="K616" s="35" t="str">
        <f>+UPPER("ON X."&amp;VLOOKUP(B616,'0. Instruções'!$C$27:$G$32,4,FALSE)&amp;"=Y."&amp;VLOOKUP(B616,'0. Instruções'!$C$27:$G$32,4,FALSE)&amp;"_SIMUL")</f>
        <v>ON X.PRTCTN_ID=Y.PRTCTN_ID_SIMUL</v>
      </c>
      <c r="L616" s="35" t="str">
        <f>+IF(C616="Coerência", +IF(LEFT(G616,5)="FLOAT","SELECT '"&amp;UPPER(B616)&amp;"' AS TABELA, '"&amp;UPPER(C616)&amp;"' AS TIPOLOGIA_TESTE,'"&amp;D616&amp;"' AS TABELA_LT,'"&amp;E616&amp;"' AS TABELA_SIMUL,'"&amp;F616&amp;"' AS CAMPO, "&amp;"'${ref_date}' AS REF_DATE, COUNT(*) AS NUM_REG, SUM(IF((ABS(COALESCE(CAST(X."&amp;F616&amp;" AS DECIMAL(18,6)),0)-COALESCE(CAST(Y."&amp;F616&amp;"_SIMUL AS DECIMAL(18,6)),0))&gt;0.000001) OR (X."&amp;F616&amp;" IS NULL AND Y."&amp;F616&amp;"_SIMUL IS NOT NULL ) OR (X."&amp;F616&amp;" IS NOT NULL AND Y."&amp;F616&amp;"_SIMUL IS NULL),1,0)) AS NUM_REG_DIF,'"&amp;MAX('ID1&amp;5'!K:K)+1&amp;"' AS ID_EXEC, CURRENT_TIMESTAMP() AS TIME_EXEC FROM "&amp;I616&amp;" INNER JOIN "&amp;J616&amp;" "&amp;K616,"SELECT '"&amp;UPPER(B616)&amp;"' AS TABELA, '"&amp;UPPER(C616)&amp;"' AS TIPOLOGIA_TESTE,'"&amp;D616&amp;"' AS TABELA_LT,'"&amp;E616&amp;"' AS TABELA_SIMUL,'"&amp;F616&amp;"' AS CAMPO, "&amp;"'${ref_date}' AS REF_DATE, COUNT(*) AS NUM_REG, SUM(IF(COALESCE(CAST(X."&amp;F616&amp;" AS STRING),'')&lt;&gt;COALESCE(CAST(Y."&amp;F616&amp;"_SIMUL AS STRING),'') OR (X."&amp;F616&amp;" IS NULL AND Y."&amp;F616&amp;"_SIMUL IS NOT NULL ) OR (X."&amp;F616&amp;" IS NOT NULL AND Y."&amp;F616&amp;"_SIMUL IS NULL),1,0)) AS NUM_REG_DIF,'"&amp;MAX('ID1&amp;5'!L:L)+1&amp;"' AS ID_EXEC, CURRENT_TIMESTAMP() AS TIME_EXEC FROM "&amp;I616&amp;" INNER JOIN "&amp;J616&amp;" "&amp;K616),
IF(C616="Validade",+IF(G616="Code List","SELECT '"&amp;UPPER(B616)&amp;"' AS TABELA, '"&amp;UPPER(C616)&amp;"' AS TIPOLOGIA_TESTE,'"&amp;D616&amp;"' AS TABELA_LT,'N/A' AS TABELA_SIMUL,'"&amp;F616&amp;"' AS CAMPO, "&amp;"'${ref_date}' AS REF_DATE, COUNT(*) AS NUM_REG, SUM(IF(TRIM(CAST(X."&amp;F616&amp;" AS STRING))='' OR TRIM(CAST(X."&amp;F616&amp;" AS STRING)) IS NULL OR CAST(X."&amp;F616&amp;" AS STRING) NOT "&amp;H616&amp;",1,0)) AS NUM_REG_DIF,'"&amp;MAX('ID1&amp;5'!K:K)+1&amp;"' AS ID_EXEC, CURRENT_TIMESTAMP() AS TIME_EXEC FROM "&amp;I616,"SELECT '"&amp;UPPER(B616)&amp;"' AS TABELA, '"&amp;UPPER(C616)&amp;"' AS TIPOLOGIA_TESTE,'"&amp;D616&amp;"' AS TABELA_LT,'N/A' AS TABELA_SIMUL,'"&amp;F616&amp;"' AS CAMPO, "&amp;"'${ref_date}' AS REF_DATE, COUNT(*) AS NUM_REG, SUM(IF(TRIM(CAST(X."&amp;F616&amp;" AS STRING))='' OR TRIM(CAST(X."&amp;F616&amp;" AS STRING)) IS NULL,1,0)) AS NUM_REG_DIF,'"&amp;MAX('ID1&amp;5'!K:K)+1&amp;"' AS ID_EXEC, CURRENT_TIMESTAMP() AS TIME_EXEC FROM "&amp;I616),
IF(C616="Caracteres Especiais",+"SELECT '"&amp;UPPER(B616)&amp;"' AS TABELA, '"&amp;UPPER(C616)&amp;"' AS TIPOLOGIA_TESTE,'"&amp;D616&amp;"' AS TABELA_LT,'N/A' AS TABELA_SIMUL,'"&amp;F616&amp;"' AS CAMPO, "&amp;"'${ref_date}' AS REF_DATE, COUNT(*) AS NUM_REG, SUM(IF(REGEXP_REPLACE(TRIM(CAST(X."&amp;F616&amp;" AS STRING)),'[^a-zA-Z0-9_\\s]','') &lt;&gt;TRIM(CAST(X."&amp;F616&amp;" AS STRING)),1,0)) AS NUM_REG_DIF,'"&amp;MAX('ID1&amp;5'!K:K)+1&amp;"' AS ID_EXEC, CURRENT_TIMESTAMP() AS TIME_EXEC FROM "&amp;I616,
IF(C616="Missings",+"SELECT '"&amp;UPPER(B616)&amp;"' AS TABELA, '"&amp;UPPER(C616)&amp;"' AS TIPOLOGIA_TESTE,'"&amp;D616&amp;"' AS TABELA_LT,'N/A' AS TABELA_SIMUL,'"&amp;F616&amp;"' AS CAMPO, "&amp;"'${ref_date}' AS REF_DATE, COUNT(*) AS NUM_REG, SUM(IF(TRIM(CAST(X."&amp;F616&amp;" AS STRING)) IN ('0000-00-00','0001-01-01','9999-12-31','MISS','00000','99999999999','99999999999.00','99999999999.000000'),1,0)) AS NUM_REG_DIF,'"&amp;MAX('ID1&amp;5'!K:K)+1&amp;"' AS ID_EXEC, CURRENT_TIMESTAMP() AS TIME_EXEC FROM "&amp;I616,
IF(C616="Not applicable",+"SELECT '"&amp;UPPER(B616)&amp;"' AS TABELA, '"&amp;UPPER(C616)&amp;"' AS TIPOLOGIA_TESTE,'"&amp;D616&amp;"' AS TABELA_LT,'N/A' AS TABELA_SIMUL,'"&amp;F616&amp;"' AS CAMPO, "&amp;"'${ref_date}' AS REF_DATE, COUNT(*) AS NUM_REG, SUM(IF(TRIM(CAST(X."&amp;F616&amp;" AS STRING)) IN ('N/A','11111111111','11111111111.00','11111111111.000000','1111-11-11'),1,0)) AS NUM_REG_DIF,'"&amp;MAX('ID1&amp;5'!K:K)+1&amp;"' AS ID_EXEC, CURRENT_TIMESTAMP() AS TIME_EXEC FROM "&amp;I616,
IF(C616="Valores extremos",+"SELECT '"&amp;UPPER(B616)&amp;"' AS TABELA, '"&amp;UPPER(C616)&amp;"' AS TIPOLOGIA_TESTE,'"&amp;D616&amp;"' AS TABELA_LT,'N/A' AS TABELA_SIMUL,'"&amp;F616&amp;"' AS CAMPO, "&amp;"'${ref_date}' AS REF_DATE, CAST(MIN("&amp;F616&amp;") AS STRING) AS VALOR_MIN, CAST(MAX("&amp;F616&amp;") AS STRING) AS VALOR_MAX,'"&amp;MAX('ID1&amp;5'!K:K)+1&amp;"' AS ID_EXEC, CURRENT_TIMESTAMP() AS TIME_EXEC FROM "&amp;MID(I616,1,LEN(I616)-2)&amp;" AND CAST("&amp;F616&amp;"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TABELA_SIMUL,'mthd_usd_prtctn_scp_2' AS CAMPO, '${ref_date}' AS REF_DATE, COUNT(*) AS NUM_REG, SUM(IF(COALESCE(CAST(X.mthd_usd_prtctn_scp_2 AS STRING),'')&lt;&gt;COALESCE(CAST(Y.mthd_usd_prtctn_scp_2_SIMUL AS STRING),'') OR (X.mthd_usd_prtctn_scp_2 IS NULL AND Y.mthd_usd_prtctn_scp_2_SIMUL IS NOT NULL ) OR (X.mthd_usd_prtctn_scp_2 IS NOT NULL AND Y.mthd_usd_prtctn_scp_2_SIMUL IS NULL),1,0)) AS NUM_REG_DIF,'1' AS ID_EXEC, CURRENT_TIMESTAMP() AS TIME_EXEC FROM (SELECT prtctn_id, mthd_usd_prtctn_scp_2 FROM BU_LOANTAPE_WORK.LT004_PROTECTION WHERE ref_date='${ref_date}' AND nome_perimetro='Individual Local' AND segmento='ESTR' AND ambito='SRB_MBDT' AND entidade='00100')X INNER JOIN (SELECT prtctn_id AS prtctn_id_SIMUL, mthd_usd_prtctn_scp_2 AS mthd_usd_prtctn_scp_2_SIMUL FROM BU_LOANTAPE_WORK.SIMUL_LT004 WHERE ref_date='${ref_date}' AND nome_perimetro='Individual Local' AND segmento='ESTR' AND ambito='PILAR3' AND entidade='00100')Y ON X.PRTCTN_ID=Y.PRTCTN_ID_SIMUL</v>
      </c>
      <c r="M616" s="36" t="str">
        <f t="shared" si="14"/>
        <v>UNION ALL SELECT 'PROTECTION' AS TABELA, 'COERÊNCIA' AS TIPOLOGIA_TESTE,'BU_LOANTAPE_WORK.LT004_PROTECTION' AS TABELA_LT,'BU_LOANTAPE_WORK.SIMUL_LT004' AS TABELA_SIMUL,'mthd_usd_prtctn_scp_2' AS CAMPO, '${ref_date}' AS REF_DATE, COUNT(*) AS NUM_REG, SUM(IF(COALESCE(CAST(X.mthd_usd_prtctn_scp_2 AS STRING),'')&lt;&gt;COALESCE(CAST(Y.mthd_usd_prtctn_scp_2_SIMUL AS STRING),'') OR (X.mthd_usd_prtctn_scp_2 IS NULL AND Y.mthd_usd_prtctn_scp_2_SIMUL IS NOT NULL ) OR (X.mthd_usd_prtctn_scp_2 IS NOT NULL AND Y.mthd_usd_prtctn_scp_2_SIMUL IS NULL),1,0)) AS NUM_REG_DIF,'1' AS ID_EXEC, CURRENT_TIMESTAMP() AS TIME_EXEC FROM (SELECT prtctn_id, mthd_usd_prtctn_scp_2 FROM BU_LOANTAPE_WORK.LT004_PROTECTION WHERE ref_date='${ref_date}' AND nome_perimetro='Individual Local' AND segmento='ESTR' AND ambito='SRB_MBDT' AND entidade='00100')X INNER JOIN (SELECT prtctn_id AS prtctn_id_SIMUL, mthd_usd_prtctn_scp_2 AS mthd_usd_prtctn_scp_2_SIMUL FROM BU_LOANTAPE_WORK.SIMUL_LT004 WHERE ref_date='${ref_date}' AND nome_perimetro='Individual Local' AND segmento='ESTR' AND ambito='PILAR3' AND entidade='00100')Y ON X.PRTCTN_ID=Y.PRTCTN_ID_SIMUL</v>
      </c>
    </row>
    <row r="617" spans="2:13">
      <c r="B617" s="34" t="s">
        <v>119</v>
      </c>
      <c r="C617" s="34" t="s">
        <v>5</v>
      </c>
      <c r="D617" s="34" t="str">
        <f>+UPPER('0. Instruções'!$D$35&amp;"."&amp;VLOOKUP(B617,'0. Instruções'!$C$27:$D$32,2,FALSE))</f>
        <v>BU_LOANTAPE_WORK.LT004_PROTECTION</v>
      </c>
      <c r="E617" s="34" t="str">
        <f>+UPPER('0. Instruções'!$D$36&amp;"."&amp;VLOOKUP(B617,'0. Instruções'!$C$27:$E$32,3,FALSE))</f>
        <v>BU_LOANTAPE_WORK.SIMUL_LT004</v>
      </c>
      <c r="F617" s="34" t="s">
        <v>630</v>
      </c>
      <c r="G617" s="34"/>
      <c r="H617" s="34"/>
      <c r="I617" s="34" t="str">
        <f>"(SELECT "&amp;VLOOKUP(B617,'0. Instruções'!$C$27:$G$32,4,FALSE)&amp;", "&amp;F617&amp;" FROM "&amp;D617&amp;" WHERE "&amp;'0. Instruções'!$D$42&amp;")X"</f>
        <v>(SELECT prtctn_id, mthd_usd_prtctn_scp_3 FROM BU_LOANTAPE_WORK.LT004_PROTECTION WHERE ref_date='${ref_date}' AND nome_perimetro='Individual Local' AND segmento='ESTR' AND ambito='SRB_MBDT' AND entidade='00100')X</v>
      </c>
      <c r="J617" s="34" t="str">
        <f>"(SELECT "&amp;VLOOKUP(B617,'0. Instruções'!$C$27:$G$32,4,FALSE)&amp;" AS "&amp;VLOOKUP(B617,'0. Instruções'!$C$27:$G$32,4,FALSE)&amp;"_SIMUL, "&amp;F617&amp;" AS "&amp;F617&amp;"_SIMUL FROM "&amp;E617&amp;" WHERE "&amp;'0. Instruções'!$D$43&amp;")Y"</f>
        <v>(SELECT prtctn_id AS prtctn_id_SIMUL, mthd_usd_prtctn_scp_3 AS mthd_usd_prtctn_scp_3_SIMUL FROM BU_LOANTAPE_WORK.SIMUL_LT004 WHERE ref_date='${ref_date}' AND nome_perimetro='Individual Local' AND segmento='ESTR' AND ambito='PILAR3' AND entidade='00100')Y</v>
      </c>
      <c r="K617" s="35" t="str">
        <f>+UPPER("ON X."&amp;VLOOKUP(B617,'0. Instruções'!$C$27:$G$32,4,FALSE)&amp;"=Y."&amp;VLOOKUP(B617,'0. Instruções'!$C$27:$G$32,4,FALSE)&amp;"_SIMUL")</f>
        <v>ON X.PRTCTN_ID=Y.PRTCTN_ID_SIMUL</v>
      </c>
      <c r="L617" s="35" t="str">
        <f>+IF(C617="Coerência", +IF(LEFT(G617,5)="FLOAT","SELECT '"&amp;UPPER(B617)&amp;"' AS TABELA, '"&amp;UPPER(C617)&amp;"' AS TIPOLOGIA_TESTE,'"&amp;D617&amp;"' AS TABELA_LT,'"&amp;E617&amp;"' AS TABELA_SIMUL,'"&amp;F617&amp;"' AS CAMPO, "&amp;"'${ref_date}' AS REF_DATE, COUNT(*) AS NUM_REG, SUM(IF((ABS(COALESCE(CAST(X."&amp;F617&amp;" AS DECIMAL(18,6)),0)-COALESCE(CAST(Y."&amp;F617&amp;"_SIMUL AS DECIMAL(18,6)),0))&gt;0.000001) OR (X."&amp;F617&amp;" IS NULL AND Y."&amp;F617&amp;"_SIMUL IS NOT NULL ) OR (X."&amp;F617&amp;" IS NOT NULL AND Y."&amp;F617&amp;"_SIMUL IS NULL),1,0)) AS NUM_REG_DIF,'"&amp;MAX('ID1&amp;5'!K:K)+1&amp;"' AS ID_EXEC, CURRENT_TIMESTAMP() AS TIME_EXEC FROM "&amp;I617&amp;" INNER JOIN "&amp;J617&amp;" "&amp;K617,"SELECT '"&amp;UPPER(B617)&amp;"' AS TABELA, '"&amp;UPPER(C617)&amp;"' AS TIPOLOGIA_TESTE,'"&amp;D617&amp;"' AS TABELA_LT,'"&amp;E617&amp;"' AS TABELA_SIMUL,'"&amp;F617&amp;"' AS CAMPO, "&amp;"'${ref_date}' AS REF_DATE, COUNT(*) AS NUM_REG, SUM(IF(COALESCE(CAST(X."&amp;F617&amp;" AS STRING),'')&lt;&gt;COALESCE(CAST(Y."&amp;F617&amp;"_SIMUL AS STRING),'') OR (X."&amp;F617&amp;" IS NULL AND Y."&amp;F617&amp;"_SIMUL IS NOT NULL ) OR (X."&amp;F617&amp;" IS NOT NULL AND Y."&amp;F617&amp;"_SIMUL IS NULL),1,0)) AS NUM_REG_DIF,'"&amp;MAX('ID1&amp;5'!L:L)+1&amp;"' AS ID_EXEC, CURRENT_TIMESTAMP() AS TIME_EXEC FROM "&amp;I617&amp;" INNER JOIN "&amp;J617&amp;" "&amp;K617),
IF(C617="Validade",+IF(G617="Code List","SELECT '"&amp;UPPER(B617)&amp;"' AS TABELA, '"&amp;UPPER(C617)&amp;"' AS TIPOLOGIA_TESTE,'"&amp;D617&amp;"' AS TABELA_LT,'N/A' AS TABELA_SIMUL,'"&amp;F617&amp;"' AS CAMPO, "&amp;"'${ref_date}' AS REF_DATE, COUNT(*) AS NUM_REG, SUM(IF(TRIM(CAST(X."&amp;F617&amp;" AS STRING))='' OR TRIM(CAST(X."&amp;F617&amp;" AS STRING)) IS NULL OR CAST(X."&amp;F617&amp;" AS STRING) NOT "&amp;H617&amp;",1,0)) AS NUM_REG_DIF,'"&amp;MAX('ID1&amp;5'!K:K)+1&amp;"' AS ID_EXEC, CURRENT_TIMESTAMP() AS TIME_EXEC FROM "&amp;I617,"SELECT '"&amp;UPPER(B617)&amp;"' AS TABELA, '"&amp;UPPER(C617)&amp;"' AS TIPOLOGIA_TESTE,'"&amp;D617&amp;"' AS TABELA_LT,'N/A' AS TABELA_SIMUL,'"&amp;F617&amp;"' AS CAMPO, "&amp;"'${ref_date}' AS REF_DATE, COUNT(*) AS NUM_REG, SUM(IF(TRIM(CAST(X."&amp;F617&amp;" AS STRING))='' OR TRIM(CAST(X."&amp;F617&amp;" AS STRING)) IS NULL,1,0)) AS NUM_REG_DIF,'"&amp;MAX('ID1&amp;5'!K:K)+1&amp;"' AS ID_EXEC, CURRENT_TIMESTAMP() AS TIME_EXEC FROM "&amp;I617),
IF(C617="Caracteres Especiais",+"SELECT '"&amp;UPPER(B617)&amp;"' AS TABELA, '"&amp;UPPER(C617)&amp;"' AS TIPOLOGIA_TESTE,'"&amp;D617&amp;"' AS TABELA_LT,'N/A' AS TABELA_SIMUL,'"&amp;F617&amp;"' AS CAMPO, "&amp;"'${ref_date}' AS REF_DATE, COUNT(*) AS NUM_REG, SUM(IF(REGEXP_REPLACE(TRIM(CAST(X."&amp;F617&amp;" AS STRING)),'[^a-zA-Z0-9_\\s]','') &lt;&gt;TRIM(CAST(X."&amp;F617&amp;" AS STRING)),1,0)) AS NUM_REG_DIF,'"&amp;MAX('ID1&amp;5'!K:K)+1&amp;"' AS ID_EXEC, CURRENT_TIMESTAMP() AS TIME_EXEC FROM "&amp;I617,
IF(C617="Missings",+"SELECT '"&amp;UPPER(B617)&amp;"' AS TABELA, '"&amp;UPPER(C617)&amp;"' AS TIPOLOGIA_TESTE,'"&amp;D617&amp;"' AS TABELA_LT,'N/A' AS TABELA_SIMUL,'"&amp;F617&amp;"' AS CAMPO, "&amp;"'${ref_date}' AS REF_DATE, COUNT(*) AS NUM_REG, SUM(IF(TRIM(CAST(X."&amp;F617&amp;" AS STRING)) IN ('0000-00-00','0001-01-01','9999-12-31','MISS','00000','99999999999','99999999999.00','99999999999.000000'),1,0)) AS NUM_REG_DIF,'"&amp;MAX('ID1&amp;5'!K:K)+1&amp;"' AS ID_EXEC, CURRENT_TIMESTAMP() AS TIME_EXEC FROM "&amp;I617,
IF(C617="Not applicable",+"SELECT '"&amp;UPPER(B617)&amp;"' AS TABELA, '"&amp;UPPER(C617)&amp;"' AS TIPOLOGIA_TESTE,'"&amp;D617&amp;"' AS TABELA_LT,'N/A' AS TABELA_SIMUL,'"&amp;F617&amp;"' AS CAMPO, "&amp;"'${ref_date}' AS REF_DATE, COUNT(*) AS NUM_REG, SUM(IF(TRIM(CAST(X."&amp;F617&amp;" AS STRING)) IN ('N/A','11111111111','11111111111.00','11111111111.000000','1111-11-11'),1,0)) AS NUM_REG_DIF,'"&amp;MAX('ID1&amp;5'!K:K)+1&amp;"' AS ID_EXEC, CURRENT_TIMESTAMP() AS TIME_EXEC FROM "&amp;I617,
IF(C617="Valores extremos",+"SELECT '"&amp;UPPER(B617)&amp;"' AS TABELA, '"&amp;UPPER(C617)&amp;"' AS TIPOLOGIA_TESTE,'"&amp;D617&amp;"' AS TABELA_LT,'N/A' AS TABELA_SIMUL,'"&amp;F617&amp;"' AS CAMPO, "&amp;"'${ref_date}' AS REF_DATE, CAST(MIN("&amp;F617&amp;") AS STRING) AS VALOR_MIN, CAST(MAX("&amp;F617&amp;") AS STRING) AS VALOR_MAX,'"&amp;MAX('ID1&amp;5'!K:K)+1&amp;"' AS ID_EXEC, CURRENT_TIMESTAMP() AS TIME_EXEC FROM "&amp;MID(I617,1,LEN(I617)-2)&amp;" AND CAST("&amp;F617&amp;"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TABELA_SIMUL,'mthd_usd_prtctn_scp_3' AS CAMPO, '${ref_date}' AS REF_DATE, COUNT(*) AS NUM_REG, SUM(IF(COALESCE(CAST(X.mthd_usd_prtctn_scp_3 AS STRING),'')&lt;&gt;COALESCE(CAST(Y.mthd_usd_prtctn_scp_3_SIMUL AS STRING),'') OR (X.mthd_usd_prtctn_scp_3 IS NULL AND Y.mthd_usd_prtctn_scp_3_SIMUL IS NOT NULL ) OR (X.mthd_usd_prtctn_scp_3 IS NOT NULL AND Y.mthd_usd_prtctn_scp_3_SIMUL IS NULL),1,0)) AS NUM_REG_DIF,'1' AS ID_EXEC, CURRENT_TIMESTAMP() AS TIME_EXEC FROM (SELECT prtctn_id, mthd_usd_prtctn_scp_3 FROM BU_LOANTAPE_WORK.LT004_PROTECTION WHERE ref_date='${ref_date}' AND nome_perimetro='Individual Local' AND segmento='ESTR' AND ambito='SRB_MBDT' AND entidade='00100')X INNER JOIN (SELECT prtctn_id AS prtctn_id_SIMUL, mthd_usd_prtctn_scp_3 AS mthd_usd_prtctn_scp_3_SIMUL FROM BU_LOANTAPE_WORK.SIMUL_LT004 WHERE ref_date='${ref_date}' AND nome_perimetro='Individual Local' AND segmento='ESTR' AND ambito='PILAR3' AND entidade='00100')Y ON X.PRTCTN_ID=Y.PRTCTN_ID_SIMUL</v>
      </c>
      <c r="M617" s="36" t="str">
        <f t="shared" si="14"/>
        <v>UNION ALL SELECT 'PROTECTION' AS TABELA, 'COERÊNCIA' AS TIPOLOGIA_TESTE,'BU_LOANTAPE_WORK.LT004_PROTECTION' AS TABELA_LT,'BU_LOANTAPE_WORK.SIMUL_LT004' AS TABELA_SIMUL,'mthd_usd_prtctn_scp_3' AS CAMPO, '${ref_date}' AS REF_DATE, COUNT(*) AS NUM_REG, SUM(IF(COALESCE(CAST(X.mthd_usd_prtctn_scp_3 AS STRING),'')&lt;&gt;COALESCE(CAST(Y.mthd_usd_prtctn_scp_3_SIMUL AS STRING),'') OR (X.mthd_usd_prtctn_scp_3 IS NULL AND Y.mthd_usd_prtctn_scp_3_SIMUL IS NOT NULL ) OR (X.mthd_usd_prtctn_scp_3 IS NOT NULL AND Y.mthd_usd_prtctn_scp_3_SIMUL IS NULL),1,0)) AS NUM_REG_DIF,'1' AS ID_EXEC, CURRENT_TIMESTAMP() AS TIME_EXEC FROM (SELECT prtctn_id, mthd_usd_prtctn_scp_3 FROM BU_LOANTAPE_WORK.LT004_PROTECTION WHERE ref_date='${ref_date}' AND nome_perimetro='Individual Local' AND segmento='ESTR' AND ambito='SRB_MBDT' AND entidade='00100')X INNER JOIN (SELECT prtctn_id AS prtctn_id_SIMUL, mthd_usd_prtctn_scp_3 AS mthd_usd_prtctn_scp_3_SIMUL FROM BU_LOANTAPE_WORK.SIMUL_LT004 WHERE ref_date='${ref_date}' AND nome_perimetro='Individual Local' AND segmento='ESTR' AND ambito='PILAR3' AND entidade='00100')Y ON X.PRTCTN_ID=Y.PRTCTN_ID_SIMUL</v>
      </c>
    </row>
    <row r="618" spans="2:13">
      <c r="B618" s="34" t="s">
        <v>119</v>
      </c>
      <c r="C618" s="34" t="s">
        <v>5</v>
      </c>
      <c r="D618" s="34" t="str">
        <f>+UPPER('0. Instruções'!$D$35&amp;"."&amp;VLOOKUP(B618,'0. Instruções'!$C$27:$D$32,2,FALSE))</f>
        <v>BU_LOANTAPE_WORK.LT004_PROTECTION</v>
      </c>
      <c r="E618" s="34" t="str">
        <f>+UPPER('0. Instruções'!$D$36&amp;"."&amp;VLOOKUP(B618,'0. Instruções'!$C$27:$E$32,3,FALSE))</f>
        <v>BU_LOANTAPE_WORK.SIMUL_LT004</v>
      </c>
      <c r="F618" s="34" t="s">
        <v>610</v>
      </c>
      <c r="G618" s="34"/>
      <c r="H618" s="34"/>
      <c r="I618" s="34" t="str">
        <f>"(SELECT "&amp;VLOOKUP(B618,'0. Instruções'!$C$27:$G$32,4,FALSE)&amp;", "&amp;F618&amp;" FROM "&amp;D618&amp;" WHERE "&amp;'0. Instruções'!$D$42&amp;")X"</f>
        <v>(SELECT prtctn_id, flg_act_physcl_rsk FROM BU_LOANTAPE_WORK.LT004_PROTECTION WHERE ref_date='${ref_date}' AND nome_perimetro='Individual Local' AND segmento='ESTR' AND ambito='SRB_MBDT' AND entidade='00100')X</v>
      </c>
      <c r="J618" s="34" t="str">
        <f>"(SELECT "&amp;VLOOKUP(B618,'0. Instruções'!$C$27:$G$32,4,FALSE)&amp;" AS "&amp;VLOOKUP(B618,'0. Instruções'!$C$27:$G$32,4,FALSE)&amp;"_SIMUL, "&amp;F618&amp;" AS "&amp;F618&amp;"_SIMUL FROM "&amp;E618&amp;" WHERE "&amp;'0. Instruções'!$D$43&amp;")Y"</f>
        <v>(SELECT prtctn_id AS prtctn_id_SIMUL, flg_act_physcl_rsk AS flg_act_physcl_rsk_SIMUL FROM BU_LOANTAPE_WORK.SIMUL_LT004 WHERE ref_date='${ref_date}' AND nome_perimetro='Individual Local' AND segmento='ESTR' AND ambito='PILAR3' AND entidade='00100')Y</v>
      </c>
      <c r="K618" s="35" t="str">
        <f>+UPPER("ON X."&amp;VLOOKUP(B618,'0. Instruções'!$C$27:$G$32,4,FALSE)&amp;"=Y."&amp;VLOOKUP(B618,'0. Instruções'!$C$27:$G$32,4,FALSE)&amp;"_SIMUL")</f>
        <v>ON X.PRTCTN_ID=Y.PRTCTN_ID_SIMUL</v>
      </c>
      <c r="L618" s="35" t="str">
        <f>+IF(C618="Coerência", +IF(LEFT(G618,5)="FLOAT","SELECT '"&amp;UPPER(B618)&amp;"' AS TABELA, '"&amp;UPPER(C618)&amp;"' AS TIPOLOGIA_TESTE,'"&amp;D618&amp;"' AS TABELA_LT,'"&amp;E618&amp;"' AS TABELA_SIMUL,'"&amp;F618&amp;"' AS CAMPO, "&amp;"'${ref_date}' AS REF_DATE, COUNT(*) AS NUM_REG, SUM(IF((ABS(COALESCE(CAST(X."&amp;F618&amp;" AS DECIMAL(18,6)),0)-COALESCE(CAST(Y."&amp;F618&amp;"_SIMUL AS DECIMAL(18,6)),0))&gt;0.000001) OR (X."&amp;F618&amp;" IS NULL AND Y."&amp;F618&amp;"_SIMUL IS NOT NULL ) OR (X."&amp;F618&amp;" IS NOT NULL AND Y."&amp;F618&amp;"_SIMUL IS NULL),1,0)) AS NUM_REG_DIF,'"&amp;MAX('ID1&amp;5'!K:K)+1&amp;"' AS ID_EXEC, CURRENT_TIMESTAMP() AS TIME_EXEC FROM "&amp;I618&amp;" INNER JOIN "&amp;J618&amp;" "&amp;K618,"SELECT '"&amp;UPPER(B618)&amp;"' AS TABELA, '"&amp;UPPER(C618)&amp;"' AS TIPOLOGIA_TESTE,'"&amp;D618&amp;"' AS TABELA_LT,'"&amp;E618&amp;"' AS TABELA_SIMUL,'"&amp;F618&amp;"' AS CAMPO, "&amp;"'${ref_date}' AS REF_DATE, COUNT(*) AS NUM_REG, SUM(IF(COALESCE(CAST(X."&amp;F618&amp;" AS STRING),'')&lt;&gt;COALESCE(CAST(Y."&amp;F618&amp;"_SIMUL AS STRING),'') OR (X."&amp;F618&amp;" IS NULL AND Y."&amp;F618&amp;"_SIMUL IS NOT NULL ) OR (X."&amp;F618&amp;" IS NOT NULL AND Y."&amp;F618&amp;"_SIMUL IS NULL),1,0)) AS NUM_REG_DIF,'"&amp;MAX('ID1&amp;5'!L:L)+1&amp;"' AS ID_EXEC, CURRENT_TIMESTAMP() AS TIME_EXEC FROM "&amp;I618&amp;" INNER JOIN "&amp;J618&amp;" "&amp;K618),
IF(C618="Validade",+IF(G618="Code List","SELECT '"&amp;UPPER(B618)&amp;"' AS TABELA, '"&amp;UPPER(C618)&amp;"' AS TIPOLOGIA_TESTE,'"&amp;D618&amp;"' AS TABELA_LT,'N/A' AS TABELA_SIMUL,'"&amp;F618&amp;"' AS CAMPO, "&amp;"'${ref_date}' AS REF_DATE, COUNT(*) AS NUM_REG, SUM(IF(TRIM(CAST(X."&amp;F618&amp;" AS STRING))='' OR TRIM(CAST(X."&amp;F618&amp;" AS STRING)) IS NULL OR CAST(X."&amp;F618&amp;" AS STRING) NOT "&amp;H618&amp;",1,0)) AS NUM_REG_DIF,'"&amp;MAX('ID1&amp;5'!K:K)+1&amp;"' AS ID_EXEC, CURRENT_TIMESTAMP() AS TIME_EXEC FROM "&amp;I618,"SELECT '"&amp;UPPER(B618)&amp;"' AS TABELA, '"&amp;UPPER(C618)&amp;"' AS TIPOLOGIA_TESTE,'"&amp;D618&amp;"' AS TABELA_LT,'N/A' AS TABELA_SIMUL,'"&amp;F618&amp;"' AS CAMPO, "&amp;"'${ref_date}' AS REF_DATE, COUNT(*) AS NUM_REG, SUM(IF(TRIM(CAST(X."&amp;F618&amp;" AS STRING))='' OR TRIM(CAST(X."&amp;F618&amp;" AS STRING)) IS NULL,1,0)) AS NUM_REG_DIF,'"&amp;MAX('ID1&amp;5'!K:K)+1&amp;"' AS ID_EXEC, CURRENT_TIMESTAMP() AS TIME_EXEC FROM "&amp;I618),
IF(C618="Caracteres Especiais",+"SELECT '"&amp;UPPER(B618)&amp;"' AS TABELA, '"&amp;UPPER(C618)&amp;"' AS TIPOLOGIA_TESTE,'"&amp;D618&amp;"' AS TABELA_LT,'N/A' AS TABELA_SIMUL,'"&amp;F618&amp;"' AS CAMPO, "&amp;"'${ref_date}' AS REF_DATE, COUNT(*) AS NUM_REG, SUM(IF(REGEXP_REPLACE(TRIM(CAST(X."&amp;F618&amp;" AS STRING)),'[^a-zA-Z0-9_\\s]','') &lt;&gt;TRIM(CAST(X."&amp;F618&amp;" AS STRING)),1,0)) AS NUM_REG_DIF,'"&amp;MAX('ID1&amp;5'!K:K)+1&amp;"' AS ID_EXEC, CURRENT_TIMESTAMP() AS TIME_EXEC FROM "&amp;I618,
IF(C618="Missings",+"SELECT '"&amp;UPPER(B618)&amp;"' AS TABELA, '"&amp;UPPER(C618)&amp;"' AS TIPOLOGIA_TESTE,'"&amp;D618&amp;"' AS TABELA_LT,'N/A' AS TABELA_SIMUL,'"&amp;F618&amp;"' AS CAMPO, "&amp;"'${ref_date}' AS REF_DATE, COUNT(*) AS NUM_REG, SUM(IF(TRIM(CAST(X."&amp;F618&amp;" AS STRING)) IN ('0000-00-00','0001-01-01','9999-12-31','MISS','00000','99999999999','99999999999.00','99999999999.000000'),1,0)) AS NUM_REG_DIF,'"&amp;MAX('ID1&amp;5'!K:K)+1&amp;"' AS ID_EXEC, CURRENT_TIMESTAMP() AS TIME_EXEC FROM "&amp;I618,
IF(C618="Not applicable",+"SELECT '"&amp;UPPER(B618)&amp;"' AS TABELA, '"&amp;UPPER(C618)&amp;"' AS TIPOLOGIA_TESTE,'"&amp;D618&amp;"' AS TABELA_LT,'N/A' AS TABELA_SIMUL,'"&amp;F618&amp;"' AS CAMPO, "&amp;"'${ref_date}' AS REF_DATE, COUNT(*) AS NUM_REG, SUM(IF(TRIM(CAST(X."&amp;F618&amp;" AS STRING)) IN ('N/A','11111111111','11111111111.00','11111111111.000000','1111-11-11'),1,0)) AS NUM_REG_DIF,'"&amp;MAX('ID1&amp;5'!K:K)+1&amp;"' AS ID_EXEC, CURRENT_TIMESTAMP() AS TIME_EXEC FROM "&amp;I618,
IF(C618="Valores extremos",+"SELECT '"&amp;UPPER(B618)&amp;"' AS TABELA, '"&amp;UPPER(C618)&amp;"' AS TIPOLOGIA_TESTE,'"&amp;D618&amp;"' AS TABELA_LT,'N/A' AS TABELA_SIMUL,'"&amp;F618&amp;"' AS CAMPO, "&amp;"'${ref_date}' AS REF_DATE, CAST(MIN("&amp;F618&amp;") AS STRING) AS VALOR_MIN, CAST(MAX("&amp;F618&amp;") AS STRING) AS VALOR_MAX,'"&amp;MAX('ID1&amp;5'!K:K)+1&amp;"' AS ID_EXEC, CURRENT_TIMESTAMP() AS TIME_EXEC FROM "&amp;MID(I618,1,LEN(I618)-2)&amp;" AND CAST("&amp;F618&amp;"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TABELA_SIMUL,'flg_act_physcl_rsk' AS CAMPO, '${ref_date}' AS REF_DATE, COUNT(*) AS NUM_REG, SUM(IF(COALESCE(CAST(X.flg_act_physcl_rsk AS STRING),'')&lt;&gt;COALESCE(CAST(Y.flg_act_physcl_rsk_SIMUL AS STRING),'') OR (X.flg_act_physcl_rsk IS NULL AND Y.flg_act_physcl_rsk_SIMUL IS NOT NULL ) OR (X.flg_act_physcl_rsk IS NOT NULL AND Y.flg_act_physcl_rsk_SIMUL IS NULL),1,0)) AS NUM_REG_DIF,'1' AS ID_EXEC, CURRENT_TIMESTAMP() AS TIME_EXEC FROM (SELECT prtctn_id, flg_act_physcl_rsk FROM BU_LOANTAPE_WORK.LT004_PROTECTION WHERE ref_date='${ref_date}' AND nome_perimetro='Individual Local' AND segmento='ESTR' AND ambito='SRB_MBDT' AND entidade='00100')X INNER JOIN (SELECT prtctn_id AS prtctn_id_SIMUL, flg_act_physcl_rsk AS flg_act_physcl_rsk_SIMUL FROM BU_LOANTAPE_WORK.SIMUL_LT004 WHERE ref_date='${ref_date}' AND nome_perimetro='Individual Local' AND segmento='ESTR' AND ambito='PILAR3' AND entidade='00100')Y ON X.PRTCTN_ID=Y.PRTCTN_ID_SIMUL</v>
      </c>
      <c r="M618" s="36" t="str">
        <f t="shared" si="14"/>
        <v>UNION ALL SELECT 'PROTECTION' AS TABELA, 'COERÊNCIA' AS TIPOLOGIA_TESTE,'BU_LOANTAPE_WORK.LT004_PROTECTION' AS TABELA_LT,'BU_LOANTAPE_WORK.SIMUL_LT004' AS TABELA_SIMUL,'flg_act_physcl_rsk' AS CAMPO, '${ref_date}' AS REF_DATE, COUNT(*) AS NUM_REG, SUM(IF(COALESCE(CAST(X.flg_act_physcl_rsk AS STRING),'')&lt;&gt;COALESCE(CAST(Y.flg_act_physcl_rsk_SIMUL AS STRING),'') OR (X.flg_act_physcl_rsk IS NULL AND Y.flg_act_physcl_rsk_SIMUL IS NOT NULL ) OR (X.flg_act_physcl_rsk IS NOT NULL AND Y.flg_act_physcl_rsk_SIMUL IS NULL),1,0)) AS NUM_REG_DIF,'1' AS ID_EXEC, CURRENT_TIMESTAMP() AS TIME_EXEC FROM (SELECT prtctn_id, flg_act_physcl_rsk FROM BU_LOANTAPE_WORK.LT004_PROTECTION WHERE ref_date='${ref_date}' AND nome_perimetro='Individual Local' AND segmento='ESTR' AND ambito='SRB_MBDT' AND entidade='00100')X INNER JOIN (SELECT prtctn_id AS prtctn_id_SIMUL, flg_act_physcl_rsk AS flg_act_physcl_rsk_SIMUL FROM BU_LOANTAPE_WORK.SIMUL_LT004 WHERE ref_date='${ref_date}' AND nome_perimetro='Individual Local' AND segmento='ESTR' AND ambito='PILAR3' AND entidade='00100')Y ON X.PRTCTN_ID=Y.PRTCTN_ID_SIMUL</v>
      </c>
    </row>
    <row r="619" spans="2:13">
      <c r="B619" s="34" t="s">
        <v>119</v>
      </c>
      <c r="C619" s="34" t="s">
        <v>5</v>
      </c>
      <c r="D619" s="34" t="str">
        <f>+UPPER('0. Instruções'!$D$35&amp;"."&amp;VLOOKUP(B619,'0. Instruções'!$C$27:$D$32,2,FALSE))</f>
        <v>BU_LOANTAPE_WORK.LT004_PROTECTION</v>
      </c>
      <c r="E619" s="34" t="str">
        <f>+UPPER('0. Instruções'!$D$36&amp;"."&amp;VLOOKUP(B619,'0. Instruções'!$C$27:$E$32,3,FALSE))</f>
        <v>BU_LOANTAPE_WORK.SIMUL_LT004</v>
      </c>
      <c r="F619" s="34" t="s">
        <v>611</v>
      </c>
      <c r="G619" s="34"/>
      <c r="H619" s="34"/>
      <c r="I619" s="34" t="str">
        <f>"(SELECT "&amp;VLOOKUP(B619,'0. Instruções'!$C$27:$G$32,4,FALSE)&amp;", "&amp;F619&amp;" FROM "&amp;D619&amp;" WHERE "&amp;'0. Instruções'!$D$42&amp;")X"</f>
        <v>(SELECT prtctn_id, flg_chrnc_physcl_rsk FROM BU_LOANTAPE_WORK.LT004_PROTECTION WHERE ref_date='${ref_date}' AND nome_perimetro='Individual Local' AND segmento='ESTR' AND ambito='SRB_MBDT' AND entidade='00100')X</v>
      </c>
      <c r="J619" s="34" t="str">
        <f>"(SELECT "&amp;VLOOKUP(B619,'0. Instruções'!$C$27:$G$32,4,FALSE)&amp;" AS "&amp;VLOOKUP(B619,'0. Instruções'!$C$27:$G$32,4,FALSE)&amp;"_SIMUL, "&amp;F619&amp;" AS "&amp;F619&amp;"_SIMUL FROM "&amp;E619&amp;" WHERE "&amp;'0. Instruções'!$D$43&amp;")Y"</f>
        <v>(SELECT prtctn_id AS prtctn_id_SIMUL, flg_chrnc_physcl_rsk AS flg_chrnc_physcl_rsk_SIMUL FROM BU_LOANTAPE_WORK.SIMUL_LT004 WHERE ref_date='${ref_date}' AND nome_perimetro='Individual Local' AND segmento='ESTR' AND ambito='PILAR3' AND entidade='00100')Y</v>
      </c>
      <c r="K619" s="35" t="str">
        <f>+UPPER("ON X."&amp;VLOOKUP(B619,'0. Instruções'!$C$27:$G$32,4,FALSE)&amp;"=Y."&amp;VLOOKUP(B619,'0. Instruções'!$C$27:$G$32,4,FALSE)&amp;"_SIMUL")</f>
        <v>ON X.PRTCTN_ID=Y.PRTCTN_ID_SIMUL</v>
      </c>
      <c r="L619" s="35" t="str">
        <f>+IF(C619="Coerência", +IF(LEFT(G619,5)="FLOAT","SELECT '"&amp;UPPER(B619)&amp;"' AS TABELA, '"&amp;UPPER(C619)&amp;"' AS TIPOLOGIA_TESTE,'"&amp;D619&amp;"' AS TABELA_LT,'"&amp;E619&amp;"' AS TABELA_SIMUL,'"&amp;F619&amp;"' AS CAMPO, "&amp;"'${ref_date}' AS REF_DATE, COUNT(*) AS NUM_REG, SUM(IF((ABS(COALESCE(CAST(X."&amp;F619&amp;" AS DECIMAL(18,6)),0)-COALESCE(CAST(Y."&amp;F619&amp;"_SIMUL AS DECIMAL(18,6)),0))&gt;0.000001) OR (X."&amp;F619&amp;" IS NULL AND Y."&amp;F619&amp;"_SIMUL IS NOT NULL ) OR (X."&amp;F619&amp;" IS NOT NULL AND Y."&amp;F619&amp;"_SIMUL IS NULL),1,0)) AS NUM_REG_DIF,'"&amp;MAX('ID1&amp;5'!K:K)+1&amp;"' AS ID_EXEC, CURRENT_TIMESTAMP() AS TIME_EXEC FROM "&amp;I619&amp;" INNER JOIN "&amp;J619&amp;" "&amp;K619,"SELECT '"&amp;UPPER(B619)&amp;"' AS TABELA, '"&amp;UPPER(C619)&amp;"' AS TIPOLOGIA_TESTE,'"&amp;D619&amp;"' AS TABELA_LT,'"&amp;E619&amp;"' AS TABELA_SIMUL,'"&amp;F619&amp;"' AS CAMPO, "&amp;"'${ref_date}' AS REF_DATE, COUNT(*) AS NUM_REG, SUM(IF(COALESCE(CAST(X."&amp;F619&amp;" AS STRING),'')&lt;&gt;COALESCE(CAST(Y."&amp;F619&amp;"_SIMUL AS STRING),'') OR (X."&amp;F619&amp;" IS NULL AND Y."&amp;F619&amp;"_SIMUL IS NOT NULL ) OR (X."&amp;F619&amp;" IS NOT NULL AND Y."&amp;F619&amp;"_SIMUL IS NULL),1,0)) AS NUM_REG_DIF,'"&amp;MAX('ID1&amp;5'!L:L)+1&amp;"' AS ID_EXEC, CURRENT_TIMESTAMP() AS TIME_EXEC FROM "&amp;I619&amp;" INNER JOIN "&amp;J619&amp;" "&amp;K619),
IF(C619="Validade",+IF(G619="Code List","SELECT '"&amp;UPPER(B619)&amp;"' AS TABELA, '"&amp;UPPER(C619)&amp;"' AS TIPOLOGIA_TESTE,'"&amp;D619&amp;"' AS TABELA_LT,'N/A' AS TABELA_SIMUL,'"&amp;F619&amp;"' AS CAMPO, "&amp;"'${ref_date}' AS REF_DATE, COUNT(*) AS NUM_REG, SUM(IF(TRIM(CAST(X."&amp;F619&amp;" AS STRING))='' OR TRIM(CAST(X."&amp;F619&amp;" AS STRING)) IS NULL OR CAST(X."&amp;F619&amp;" AS STRING) NOT "&amp;H619&amp;",1,0)) AS NUM_REG_DIF,'"&amp;MAX('ID1&amp;5'!K:K)+1&amp;"' AS ID_EXEC, CURRENT_TIMESTAMP() AS TIME_EXEC FROM "&amp;I619,"SELECT '"&amp;UPPER(B619)&amp;"' AS TABELA, '"&amp;UPPER(C619)&amp;"' AS TIPOLOGIA_TESTE,'"&amp;D619&amp;"' AS TABELA_LT,'N/A' AS TABELA_SIMUL,'"&amp;F619&amp;"' AS CAMPO, "&amp;"'${ref_date}' AS REF_DATE, COUNT(*) AS NUM_REG, SUM(IF(TRIM(CAST(X."&amp;F619&amp;" AS STRING))='' OR TRIM(CAST(X."&amp;F619&amp;" AS STRING)) IS NULL,1,0)) AS NUM_REG_DIF,'"&amp;MAX('ID1&amp;5'!K:K)+1&amp;"' AS ID_EXEC, CURRENT_TIMESTAMP() AS TIME_EXEC FROM "&amp;I619),
IF(C619="Caracteres Especiais",+"SELECT '"&amp;UPPER(B619)&amp;"' AS TABELA, '"&amp;UPPER(C619)&amp;"' AS TIPOLOGIA_TESTE,'"&amp;D619&amp;"' AS TABELA_LT,'N/A' AS TABELA_SIMUL,'"&amp;F619&amp;"' AS CAMPO, "&amp;"'${ref_date}' AS REF_DATE, COUNT(*) AS NUM_REG, SUM(IF(REGEXP_REPLACE(TRIM(CAST(X."&amp;F619&amp;" AS STRING)),'[^a-zA-Z0-9_\\s]','') &lt;&gt;TRIM(CAST(X."&amp;F619&amp;" AS STRING)),1,0)) AS NUM_REG_DIF,'"&amp;MAX('ID1&amp;5'!K:K)+1&amp;"' AS ID_EXEC, CURRENT_TIMESTAMP() AS TIME_EXEC FROM "&amp;I619,
IF(C619="Missings",+"SELECT '"&amp;UPPER(B619)&amp;"' AS TABELA, '"&amp;UPPER(C619)&amp;"' AS TIPOLOGIA_TESTE,'"&amp;D619&amp;"' AS TABELA_LT,'N/A' AS TABELA_SIMUL,'"&amp;F619&amp;"' AS CAMPO, "&amp;"'${ref_date}' AS REF_DATE, COUNT(*) AS NUM_REG, SUM(IF(TRIM(CAST(X."&amp;F619&amp;" AS STRING)) IN ('0000-00-00','0001-01-01','9999-12-31','MISS','00000','99999999999','99999999999.00','99999999999.000000'),1,0)) AS NUM_REG_DIF,'"&amp;MAX('ID1&amp;5'!K:K)+1&amp;"' AS ID_EXEC, CURRENT_TIMESTAMP() AS TIME_EXEC FROM "&amp;I619,
IF(C619="Not applicable",+"SELECT '"&amp;UPPER(B619)&amp;"' AS TABELA, '"&amp;UPPER(C619)&amp;"' AS TIPOLOGIA_TESTE,'"&amp;D619&amp;"' AS TABELA_LT,'N/A' AS TABELA_SIMUL,'"&amp;F619&amp;"' AS CAMPO, "&amp;"'${ref_date}' AS REF_DATE, COUNT(*) AS NUM_REG, SUM(IF(TRIM(CAST(X."&amp;F619&amp;" AS STRING)) IN ('N/A','11111111111','11111111111.00','11111111111.000000','1111-11-11'),1,0)) AS NUM_REG_DIF,'"&amp;MAX('ID1&amp;5'!K:K)+1&amp;"' AS ID_EXEC, CURRENT_TIMESTAMP() AS TIME_EXEC FROM "&amp;I619,
IF(C619="Valores extremos",+"SELECT '"&amp;UPPER(B619)&amp;"' AS TABELA, '"&amp;UPPER(C619)&amp;"' AS TIPOLOGIA_TESTE,'"&amp;D619&amp;"' AS TABELA_LT,'N/A' AS TABELA_SIMUL,'"&amp;F619&amp;"' AS CAMPO, "&amp;"'${ref_date}' AS REF_DATE, CAST(MIN("&amp;F619&amp;") AS STRING) AS VALOR_MIN, CAST(MAX("&amp;F619&amp;") AS STRING) AS VALOR_MAX,'"&amp;MAX('ID1&amp;5'!K:K)+1&amp;"' AS ID_EXEC, CURRENT_TIMESTAMP() AS TIME_EXEC FROM "&amp;MID(I619,1,LEN(I619)-2)&amp;" AND CAST("&amp;F619&amp;"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TABELA_SIMUL,'flg_chrnc_physcl_rsk' AS CAMPO, '${ref_date}' AS REF_DATE, COUNT(*) AS NUM_REG, SUM(IF(COALESCE(CAST(X.flg_chrnc_physcl_rsk AS STRING),'')&lt;&gt;COALESCE(CAST(Y.flg_chrnc_physcl_rsk_SIMUL AS STRING),'') OR (X.flg_chrnc_physcl_rsk IS NULL AND Y.flg_chrnc_physcl_rsk_SIMUL IS NOT NULL ) OR (X.flg_chrnc_physcl_rsk IS NOT NULL AND Y.flg_chrnc_physcl_rsk_SIMUL IS NULL),1,0)) AS NUM_REG_DIF,'1' AS ID_EXEC, CURRENT_TIMESTAMP() AS TIME_EXEC FROM (SELECT prtctn_id, flg_chrnc_physcl_rsk FROM BU_LOANTAPE_WORK.LT004_PROTECTION WHERE ref_date='${ref_date}' AND nome_perimetro='Individual Local' AND segmento='ESTR' AND ambito='SRB_MBDT' AND entidade='00100')X INNER JOIN (SELECT prtctn_id AS prtctn_id_SIMUL, flg_chrnc_physcl_rsk AS flg_chrnc_physcl_rsk_SIMUL FROM BU_LOANTAPE_WORK.SIMUL_LT004 WHERE ref_date='${ref_date}' AND nome_perimetro='Individual Local' AND segmento='ESTR' AND ambito='PILAR3' AND entidade='00100')Y ON X.PRTCTN_ID=Y.PRTCTN_ID_SIMUL</v>
      </c>
      <c r="M619" s="36" t="str">
        <f t="shared" si="14"/>
        <v>UNION ALL SELECT 'PROTECTION' AS TABELA, 'COERÊNCIA' AS TIPOLOGIA_TESTE,'BU_LOANTAPE_WORK.LT004_PROTECTION' AS TABELA_LT,'BU_LOANTAPE_WORK.SIMUL_LT004' AS TABELA_SIMUL,'flg_chrnc_physcl_rsk' AS CAMPO, '${ref_date}' AS REF_DATE, COUNT(*) AS NUM_REG, SUM(IF(COALESCE(CAST(X.flg_chrnc_physcl_rsk AS STRING),'')&lt;&gt;COALESCE(CAST(Y.flg_chrnc_physcl_rsk_SIMUL AS STRING),'') OR (X.flg_chrnc_physcl_rsk IS NULL AND Y.flg_chrnc_physcl_rsk_SIMUL IS NOT NULL ) OR (X.flg_chrnc_physcl_rsk IS NOT NULL AND Y.flg_chrnc_physcl_rsk_SIMUL IS NULL),1,0)) AS NUM_REG_DIF,'1' AS ID_EXEC, CURRENT_TIMESTAMP() AS TIME_EXEC FROM (SELECT prtctn_id, flg_chrnc_physcl_rsk FROM BU_LOANTAPE_WORK.LT004_PROTECTION WHERE ref_date='${ref_date}' AND nome_perimetro='Individual Local' AND segmento='ESTR' AND ambito='SRB_MBDT' AND entidade='00100')X INNER JOIN (SELECT prtctn_id AS prtctn_id_SIMUL, flg_chrnc_physcl_rsk AS flg_chrnc_physcl_rsk_SIMUL FROM BU_LOANTAPE_WORK.SIMUL_LT004 WHERE ref_date='${ref_date}' AND nome_perimetro='Individual Local' AND segmento='ESTR' AND ambito='PILAR3' AND entidade='00100')Y ON X.PRTCTN_ID=Y.PRTCTN_ID_SIMUL</v>
      </c>
    </row>
    <row r="620" spans="2:13">
      <c r="B620" s="34" t="s">
        <v>119</v>
      </c>
      <c r="C620" s="34" t="s">
        <v>5</v>
      </c>
      <c r="D620" s="34" t="str">
        <f>+UPPER('0. Instruções'!$D$35&amp;"."&amp;VLOOKUP(B620,'0. Instruções'!$C$27:$D$32,2,FALSE))</f>
        <v>BU_LOANTAPE_WORK.LT004_PROTECTION</v>
      </c>
      <c r="E620" s="34" t="str">
        <f>+UPPER('0. Instruções'!$D$36&amp;"."&amp;VLOOKUP(B620,'0. Instruções'!$C$27:$E$32,3,FALSE))</f>
        <v>BU_LOANTAPE_WORK.SIMUL_LT004</v>
      </c>
      <c r="F620" s="34" t="s">
        <v>675</v>
      </c>
      <c r="G620" s="34"/>
      <c r="H620" s="34"/>
      <c r="I620" s="34" t="str">
        <f>"(SELECT "&amp;VLOOKUP(B620,'0. Instruções'!$C$27:$G$32,4,FALSE)&amp;", "&amp;F620&amp;" FROM "&amp;D620&amp;" WHERE "&amp;'0. Instruções'!$D$42&amp;")X"</f>
        <v>(SELECT prtctn_id, flg_fin FROM BU_LOANTAPE_WORK.LT004_PROTECTION WHERE ref_date='${ref_date}' AND nome_perimetro='Individual Local' AND segmento='ESTR' AND ambito='SRB_MBDT' AND entidade='00100')X</v>
      </c>
      <c r="J620" s="34" t="str">
        <f>"(SELECT "&amp;VLOOKUP(B620,'0. Instruções'!$C$27:$G$32,4,FALSE)&amp;" AS "&amp;VLOOKUP(B620,'0. Instruções'!$C$27:$G$32,4,FALSE)&amp;"_SIMUL, "&amp;F620&amp;" AS "&amp;F620&amp;"_SIMUL FROM "&amp;E620&amp;" WHERE "&amp;'0. Instruções'!$D$43&amp;")Y"</f>
        <v>(SELECT prtctn_id AS prtctn_id_SIMUL, flg_fin AS flg_fin_SIMUL FROM BU_LOANTAPE_WORK.SIMUL_LT004 WHERE ref_date='${ref_date}' AND nome_perimetro='Individual Local' AND segmento='ESTR' AND ambito='PILAR3' AND entidade='00100')Y</v>
      </c>
      <c r="K620" s="35" t="str">
        <f>+UPPER("ON X."&amp;VLOOKUP(B620,'0. Instruções'!$C$27:$G$32,4,FALSE)&amp;"=Y."&amp;VLOOKUP(B620,'0. Instruções'!$C$27:$G$32,4,FALSE)&amp;"_SIMUL")</f>
        <v>ON X.PRTCTN_ID=Y.PRTCTN_ID_SIMUL</v>
      </c>
      <c r="L620" s="35" t="str">
        <f>+IF(C620="Coerência", +IF(LEFT(G620,5)="FLOAT","SELECT '"&amp;UPPER(B620)&amp;"' AS TABELA, '"&amp;UPPER(C620)&amp;"' AS TIPOLOGIA_TESTE,'"&amp;D620&amp;"' AS TABELA_LT,'"&amp;E620&amp;"' AS TABELA_SIMUL,'"&amp;F620&amp;"' AS CAMPO, "&amp;"'${ref_date}' AS REF_DATE, COUNT(*) AS NUM_REG, SUM(IF((ABS(COALESCE(CAST(X."&amp;F620&amp;" AS DECIMAL(18,6)),0)-COALESCE(CAST(Y."&amp;F620&amp;"_SIMUL AS DECIMAL(18,6)),0))&gt;0.000001) OR (X."&amp;F620&amp;" IS NULL AND Y."&amp;F620&amp;"_SIMUL IS NOT NULL ) OR (X."&amp;F620&amp;" IS NOT NULL AND Y."&amp;F620&amp;"_SIMUL IS NULL),1,0)) AS NUM_REG_DIF,'"&amp;MAX('ID1&amp;5'!K:K)+1&amp;"' AS ID_EXEC, CURRENT_TIMESTAMP() AS TIME_EXEC FROM "&amp;I620&amp;" INNER JOIN "&amp;J620&amp;" "&amp;K620,"SELECT '"&amp;UPPER(B620)&amp;"' AS TABELA, '"&amp;UPPER(C620)&amp;"' AS TIPOLOGIA_TESTE,'"&amp;D620&amp;"' AS TABELA_LT,'"&amp;E620&amp;"' AS TABELA_SIMUL,'"&amp;F620&amp;"' AS CAMPO, "&amp;"'${ref_date}' AS REF_DATE, COUNT(*) AS NUM_REG, SUM(IF(COALESCE(CAST(X."&amp;F620&amp;" AS STRING),'')&lt;&gt;COALESCE(CAST(Y."&amp;F620&amp;"_SIMUL AS STRING),'') OR (X."&amp;F620&amp;" IS NULL AND Y."&amp;F620&amp;"_SIMUL IS NOT NULL ) OR (X."&amp;F620&amp;" IS NOT NULL AND Y."&amp;F620&amp;"_SIMUL IS NULL),1,0)) AS NUM_REG_DIF,'"&amp;MAX('ID1&amp;5'!L:L)+1&amp;"' AS ID_EXEC, CURRENT_TIMESTAMP() AS TIME_EXEC FROM "&amp;I620&amp;" INNER JOIN "&amp;J620&amp;" "&amp;K620),
IF(C620="Validade",+IF(G620="Code List","SELECT '"&amp;UPPER(B620)&amp;"' AS TABELA, '"&amp;UPPER(C620)&amp;"' AS TIPOLOGIA_TESTE,'"&amp;D620&amp;"' AS TABELA_LT,'N/A' AS TABELA_SIMUL,'"&amp;F620&amp;"' AS CAMPO, "&amp;"'${ref_date}' AS REF_DATE, COUNT(*) AS NUM_REG, SUM(IF(TRIM(CAST(X."&amp;F620&amp;" AS STRING))='' OR TRIM(CAST(X."&amp;F620&amp;" AS STRING)) IS NULL OR CAST(X."&amp;F620&amp;" AS STRING) NOT "&amp;H620&amp;",1,0)) AS NUM_REG_DIF,'"&amp;MAX('ID1&amp;5'!K:K)+1&amp;"' AS ID_EXEC, CURRENT_TIMESTAMP() AS TIME_EXEC FROM "&amp;I620,"SELECT '"&amp;UPPER(B620)&amp;"' AS TABELA, '"&amp;UPPER(C620)&amp;"' AS TIPOLOGIA_TESTE,'"&amp;D620&amp;"' AS TABELA_LT,'N/A' AS TABELA_SIMUL,'"&amp;F620&amp;"' AS CAMPO, "&amp;"'${ref_date}' AS REF_DATE, COUNT(*) AS NUM_REG, SUM(IF(TRIM(CAST(X."&amp;F620&amp;" AS STRING))='' OR TRIM(CAST(X."&amp;F620&amp;" AS STRING)) IS NULL,1,0)) AS NUM_REG_DIF,'"&amp;MAX('ID1&amp;5'!K:K)+1&amp;"' AS ID_EXEC, CURRENT_TIMESTAMP() AS TIME_EXEC FROM "&amp;I620),
IF(C620="Caracteres Especiais",+"SELECT '"&amp;UPPER(B620)&amp;"' AS TABELA, '"&amp;UPPER(C620)&amp;"' AS TIPOLOGIA_TESTE,'"&amp;D620&amp;"' AS TABELA_LT,'N/A' AS TABELA_SIMUL,'"&amp;F620&amp;"' AS CAMPO, "&amp;"'${ref_date}' AS REF_DATE, COUNT(*) AS NUM_REG, SUM(IF(REGEXP_REPLACE(TRIM(CAST(X."&amp;F620&amp;" AS STRING)),'[^a-zA-Z0-9_\\s]','') &lt;&gt;TRIM(CAST(X."&amp;F620&amp;" AS STRING)),1,0)) AS NUM_REG_DIF,'"&amp;MAX('ID1&amp;5'!K:K)+1&amp;"' AS ID_EXEC, CURRENT_TIMESTAMP() AS TIME_EXEC FROM "&amp;I620,
IF(C620="Missings",+"SELECT '"&amp;UPPER(B620)&amp;"' AS TABELA, '"&amp;UPPER(C620)&amp;"' AS TIPOLOGIA_TESTE,'"&amp;D620&amp;"' AS TABELA_LT,'N/A' AS TABELA_SIMUL,'"&amp;F620&amp;"' AS CAMPO, "&amp;"'${ref_date}' AS REF_DATE, COUNT(*) AS NUM_REG, SUM(IF(TRIM(CAST(X."&amp;F620&amp;" AS STRING)) IN ('0000-00-00','0001-01-01','9999-12-31','MISS','00000','99999999999','99999999999.00','99999999999.000000'),1,0)) AS NUM_REG_DIF,'"&amp;MAX('ID1&amp;5'!K:K)+1&amp;"' AS ID_EXEC, CURRENT_TIMESTAMP() AS TIME_EXEC FROM "&amp;I620,
IF(C620="Not applicable",+"SELECT '"&amp;UPPER(B620)&amp;"' AS TABELA, '"&amp;UPPER(C620)&amp;"' AS TIPOLOGIA_TESTE,'"&amp;D620&amp;"' AS TABELA_LT,'N/A' AS TABELA_SIMUL,'"&amp;F620&amp;"' AS CAMPO, "&amp;"'${ref_date}' AS REF_DATE, COUNT(*) AS NUM_REG, SUM(IF(TRIM(CAST(X."&amp;F620&amp;" AS STRING)) IN ('N/A','11111111111','11111111111.00','11111111111.000000','1111-11-11'),1,0)) AS NUM_REG_DIF,'"&amp;MAX('ID1&amp;5'!K:K)+1&amp;"' AS ID_EXEC, CURRENT_TIMESTAMP() AS TIME_EXEC FROM "&amp;I620,
IF(C620="Valores extremos",+"SELECT '"&amp;UPPER(B620)&amp;"' AS TABELA, '"&amp;UPPER(C620)&amp;"' AS TIPOLOGIA_TESTE,'"&amp;D620&amp;"' AS TABELA_LT,'N/A' AS TABELA_SIMUL,'"&amp;F620&amp;"' AS CAMPO, "&amp;"'${ref_date}' AS REF_DATE, CAST(MIN("&amp;F620&amp;") AS STRING) AS VALOR_MIN, CAST(MAX("&amp;F620&amp;") AS STRING) AS VALOR_MAX,'"&amp;MAX('ID1&amp;5'!K:K)+1&amp;"' AS ID_EXEC, CURRENT_TIMESTAMP() AS TIME_EXEC FROM "&amp;MID(I620,1,LEN(I620)-2)&amp;" AND CAST("&amp;F620&amp;"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TABELA_SIMUL,'flg_fin' AS CAMPO, '${ref_date}' AS REF_DATE, COUNT(*) AS NUM_REG, SUM(IF(COALESCE(CAST(X.flg_fin AS STRING),'')&lt;&gt;COALESCE(CAST(Y.flg_fin_SIMUL AS STRING),'') OR (X.flg_fin IS NULL AND Y.flg_fin_SIMUL IS NOT NULL ) OR (X.flg_fin IS NOT NULL AND Y.flg_fin_SIMUL IS NULL),1,0)) AS NUM_REG_DIF,'1' AS ID_EXEC, CURRENT_TIMESTAMP() AS TIME_EXEC FROM (SELECT prtctn_id, flg_fin FROM BU_LOANTAPE_WORK.LT004_PROTECTION WHERE ref_date='${ref_date}' AND nome_perimetro='Individual Local' AND segmento='ESTR' AND ambito='SRB_MBDT' AND entidade='00100')X INNER JOIN (SELECT prtctn_id AS prtctn_id_SIMUL, flg_fin AS flg_fin_SIMUL FROM BU_LOANTAPE_WORK.SIMUL_LT004 WHERE ref_date='${ref_date}' AND nome_perimetro='Individual Local' AND segmento='ESTR' AND ambito='PILAR3' AND entidade='00100')Y ON X.PRTCTN_ID=Y.PRTCTN_ID_SIMUL</v>
      </c>
      <c r="M620" s="36" t="str">
        <f t="shared" si="14"/>
        <v>UNION ALL SELECT 'PROTECTION' AS TABELA, 'COERÊNCIA' AS TIPOLOGIA_TESTE,'BU_LOANTAPE_WORK.LT004_PROTECTION' AS TABELA_LT,'BU_LOANTAPE_WORK.SIMUL_LT004' AS TABELA_SIMUL,'flg_fin' AS CAMPO, '${ref_date}' AS REF_DATE, COUNT(*) AS NUM_REG, SUM(IF(COALESCE(CAST(X.flg_fin AS STRING),'')&lt;&gt;COALESCE(CAST(Y.flg_fin_SIMUL AS STRING),'') OR (X.flg_fin IS NULL AND Y.flg_fin_SIMUL IS NOT NULL ) OR (X.flg_fin IS NOT NULL AND Y.flg_fin_SIMUL IS NULL),1,0)) AS NUM_REG_DIF,'1' AS ID_EXEC, CURRENT_TIMESTAMP() AS TIME_EXEC FROM (SELECT prtctn_id, flg_fin FROM BU_LOANTAPE_WORK.LT004_PROTECTION WHERE ref_date='${ref_date}' AND nome_perimetro='Individual Local' AND segmento='ESTR' AND ambito='SRB_MBDT' AND entidade='00100')X INNER JOIN (SELECT prtctn_id AS prtctn_id_SIMUL, flg_fin AS flg_fin_SIMUL FROM BU_LOANTAPE_WORK.SIMUL_LT004 WHERE ref_date='${ref_date}' AND nome_perimetro='Individual Local' AND segmento='ESTR' AND ambito='PILAR3' AND entidade='00100')Y ON X.PRTCTN_ID=Y.PRTCTN_ID_SIMUL</v>
      </c>
    </row>
    <row r="621" spans="2:13">
      <c r="B621" s="34" t="s">
        <v>119</v>
      </c>
      <c r="C621" s="34" t="s">
        <v>5</v>
      </c>
      <c r="D621" s="34" t="str">
        <f>+UPPER('0. Instruções'!$D$35&amp;"."&amp;VLOOKUP(B621,'0. Instruções'!$C$27:$D$32,2,FALSE))</f>
        <v>BU_LOANTAPE_WORK.LT004_PROTECTION</v>
      </c>
      <c r="E621" s="34" t="str">
        <f>+UPPER('0. Instruções'!$D$36&amp;"."&amp;VLOOKUP(B621,'0. Instruções'!$C$27:$E$32,3,FALSE))</f>
        <v>BU_LOANTAPE_WORK.SIMUL_LT004</v>
      </c>
      <c r="F621" s="34" t="s">
        <v>676</v>
      </c>
      <c r="G621" s="34"/>
      <c r="H621" s="34"/>
      <c r="I621" s="34" t="str">
        <f>"(SELECT "&amp;VLOOKUP(B621,'0. Instruções'!$C$27:$G$32,4,FALSE)&amp;", "&amp;F621&amp;" FROM "&amp;D621&amp;" WHERE "&amp;'0. Instruções'!$D$42&amp;")X"</f>
        <v>(SELECT prtctn_id, flg_exec FROM BU_LOANTAPE_WORK.LT004_PROTECTION WHERE ref_date='${ref_date}' AND nome_perimetro='Individual Local' AND segmento='ESTR' AND ambito='SRB_MBDT' AND entidade='00100')X</v>
      </c>
      <c r="J621" s="34" t="str">
        <f>"(SELECT "&amp;VLOOKUP(B621,'0. Instruções'!$C$27:$G$32,4,FALSE)&amp;" AS "&amp;VLOOKUP(B621,'0. Instruções'!$C$27:$G$32,4,FALSE)&amp;"_SIMUL, "&amp;F621&amp;" AS "&amp;F621&amp;"_SIMUL FROM "&amp;E621&amp;" WHERE "&amp;'0. Instruções'!$D$43&amp;")Y"</f>
        <v>(SELECT prtctn_id AS prtctn_id_SIMUL, flg_exec AS flg_exec_SIMUL FROM BU_LOANTAPE_WORK.SIMUL_LT004 WHERE ref_date='${ref_date}' AND nome_perimetro='Individual Local' AND segmento='ESTR' AND ambito='PILAR3' AND entidade='00100')Y</v>
      </c>
      <c r="K621" s="35" t="str">
        <f>+UPPER("ON X."&amp;VLOOKUP(B621,'0. Instruções'!$C$27:$G$32,4,FALSE)&amp;"=Y."&amp;VLOOKUP(B621,'0. Instruções'!$C$27:$G$32,4,FALSE)&amp;"_SIMUL")</f>
        <v>ON X.PRTCTN_ID=Y.PRTCTN_ID_SIMUL</v>
      </c>
      <c r="L621" s="35" t="str">
        <f>+IF(C621="Coerência", +IF(LEFT(G621,5)="FLOAT","SELECT '"&amp;UPPER(B621)&amp;"' AS TABELA, '"&amp;UPPER(C621)&amp;"' AS TIPOLOGIA_TESTE,'"&amp;D621&amp;"' AS TABELA_LT,'"&amp;E621&amp;"' AS TABELA_SIMUL,'"&amp;F621&amp;"' AS CAMPO, "&amp;"'${ref_date}' AS REF_DATE, COUNT(*) AS NUM_REG, SUM(IF((ABS(COALESCE(CAST(X."&amp;F621&amp;" AS DECIMAL(18,6)),0)-COALESCE(CAST(Y."&amp;F621&amp;"_SIMUL AS DECIMAL(18,6)),0))&gt;0.000001) OR (X."&amp;F621&amp;" IS NULL AND Y."&amp;F621&amp;"_SIMUL IS NOT NULL ) OR (X."&amp;F621&amp;" IS NOT NULL AND Y."&amp;F621&amp;"_SIMUL IS NULL),1,0)) AS NUM_REG_DIF,'"&amp;MAX('ID1&amp;5'!K:K)+1&amp;"' AS ID_EXEC, CURRENT_TIMESTAMP() AS TIME_EXEC FROM "&amp;I621&amp;" INNER JOIN "&amp;J621&amp;" "&amp;K621,"SELECT '"&amp;UPPER(B621)&amp;"' AS TABELA, '"&amp;UPPER(C621)&amp;"' AS TIPOLOGIA_TESTE,'"&amp;D621&amp;"' AS TABELA_LT,'"&amp;E621&amp;"' AS TABELA_SIMUL,'"&amp;F621&amp;"' AS CAMPO, "&amp;"'${ref_date}' AS REF_DATE, COUNT(*) AS NUM_REG, SUM(IF(COALESCE(CAST(X."&amp;F621&amp;" AS STRING),'')&lt;&gt;COALESCE(CAST(Y."&amp;F621&amp;"_SIMUL AS STRING),'') OR (X."&amp;F621&amp;" IS NULL AND Y."&amp;F621&amp;"_SIMUL IS NOT NULL ) OR (X."&amp;F621&amp;" IS NOT NULL AND Y."&amp;F621&amp;"_SIMUL IS NULL),1,0)) AS NUM_REG_DIF,'"&amp;MAX('ID1&amp;5'!L:L)+1&amp;"' AS ID_EXEC, CURRENT_TIMESTAMP() AS TIME_EXEC FROM "&amp;I621&amp;" INNER JOIN "&amp;J621&amp;" "&amp;K621),
IF(C621="Validade",+IF(G621="Code List","SELECT '"&amp;UPPER(B621)&amp;"' AS TABELA, '"&amp;UPPER(C621)&amp;"' AS TIPOLOGIA_TESTE,'"&amp;D621&amp;"' AS TABELA_LT,'N/A' AS TABELA_SIMUL,'"&amp;F621&amp;"' AS CAMPO, "&amp;"'${ref_date}' AS REF_DATE, COUNT(*) AS NUM_REG, SUM(IF(TRIM(CAST(X."&amp;F621&amp;" AS STRING))='' OR TRIM(CAST(X."&amp;F621&amp;" AS STRING)) IS NULL OR CAST(X."&amp;F621&amp;" AS STRING) NOT "&amp;H621&amp;",1,0)) AS NUM_REG_DIF,'"&amp;MAX('ID1&amp;5'!K:K)+1&amp;"' AS ID_EXEC, CURRENT_TIMESTAMP() AS TIME_EXEC FROM "&amp;I621,"SELECT '"&amp;UPPER(B621)&amp;"' AS TABELA, '"&amp;UPPER(C621)&amp;"' AS TIPOLOGIA_TESTE,'"&amp;D621&amp;"' AS TABELA_LT,'N/A' AS TABELA_SIMUL,'"&amp;F621&amp;"' AS CAMPO, "&amp;"'${ref_date}' AS REF_DATE, COUNT(*) AS NUM_REG, SUM(IF(TRIM(CAST(X."&amp;F621&amp;" AS STRING))='' OR TRIM(CAST(X."&amp;F621&amp;" AS STRING)) IS NULL,1,0)) AS NUM_REG_DIF,'"&amp;MAX('ID1&amp;5'!K:K)+1&amp;"' AS ID_EXEC, CURRENT_TIMESTAMP() AS TIME_EXEC FROM "&amp;I621),
IF(C621="Caracteres Especiais",+"SELECT '"&amp;UPPER(B621)&amp;"' AS TABELA, '"&amp;UPPER(C621)&amp;"' AS TIPOLOGIA_TESTE,'"&amp;D621&amp;"' AS TABELA_LT,'N/A' AS TABELA_SIMUL,'"&amp;F621&amp;"' AS CAMPO, "&amp;"'${ref_date}' AS REF_DATE, COUNT(*) AS NUM_REG, SUM(IF(REGEXP_REPLACE(TRIM(CAST(X."&amp;F621&amp;" AS STRING)),'[^a-zA-Z0-9_\\s]','') &lt;&gt;TRIM(CAST(X."&amp;F621&amp;" AS STRING)),1,0)) AS NUM_REG_DIF,'"&amp;MAX('ID1&amp;5'!K:K)+1&amp;"' AS ID_EXEC, CURRENT_TIMESTAMP() AS TIME_EXEC FROM "&amp;I621,
IF(C621="Missings",+"SELECT '"&amp;UPPER(B621)&amp;"' AS TABELA, '"&amp;UPPER(C621)&amp;"' AS TIPOLOGIA_TESTE,'"&amp;D621&amp;"' AS TABELA_LT,'N/A' AS TABELA_SIMUL,'"&amp;F621&amp;"' AS CAMPO, "&amp;"'${ref_date}' AS REF_DATE, COUNT(*) AS NUM_REG, SUM(IF(TRIM(CAST(X."&amp;F621&amp;" AS STRING)) IN ('0000-00-00','0001-01-01','9999-12-31','MISS','00000','99999999999','99999999999.00','99999999999.000000'),1,0)) AS NUM_REG_DIF,'"&amp;MAX('ID1&amp;5'!K:K)+1&amp;"' AS ID_EXEC, CURRENT_TIMESTAMP() AS TIME_EXEC FROM "&amp;I621,
IF(C621="Not applicable",+"SELECT '"&amp;UPPER(B621)&amp;"' AS TABELA, '"&amp;UPPER(C621)&amp;"' AS TIPOLOGIA_TESTE,'"&amp;D621&amp;"' AS TABELA_LT,'N/A' AS TABELA_SIMUL,'"&amp;F621&amp;"' AS CAMPO, "&amp;"'${ref_date}' AS REF_DATE, COUNT(*) AS NUM_REG, SUM(IF(TRIM(CAST(X."&amp;F621&amp;" AS STRING)) IN ('N/A','11111111111','11111111111.00','11111111111.000000','1111-11-11'),1,0)) AS NUM_REG_DIF,'"&amp;MAX('ID1&amp;5'!K:K)+1&amp;"' AS ID_EXEC, CURRENT_TIMESTAMP() AS TIME_EXEC FROM "&amp;I621,
IF(C621="Valores extremos",+"SELECT '"&amp;UPPER(B621)&amp;"' AS TABELA, '"&amp;UPPER(C621)&amp;"' AS TIPOLOGIA_TESTE,'"&amp;D621&amp;"' AS TABELA_LT,'N/A' AS TABELA_SIMUL,'"&amp;F621&amp;"' AS CAMPO, "&amp;"'${ref_date}' AS REF_DATE, CAST(MIN("&amp;F621&amp;") AS STRING) AS VALOR_MIN, CAST(MAX("&amp;F621&amp;") AS STRING) AS VALOR_MAX,'"&amp;MAX('ID1&amp;5'!K:K)+1&amp;"' AS ID_EXEC, CURRENT_TIMESTAMP() AS TIME_EXEC FROM "&amp;MID(I621,1,LEN(I621)-2)&amp;" AND CAST("&amp;F621&amp;"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TABELA_SIMUL,'flg_exec' AS CAMPO, '${ref_date}' AS REF_DATE, COUNT(*) AS NUM_REG, SUM(IF(COALESCE(CAST(X.flg_exec AS STRING),'')&lt;&gt;COALESCE(CAST(Y.flg_exec_SIMUL AS STRING),'') OR (X.flg_exec IS NULL AND Y.flg_exec_SIMUL IS NOT NULL ) OR (X.flg_exec IS NOT NULL AND Y.flg_exec_SIMUL IS NULL),1,0)) AS NUM_REG_DIF,'1' AS ID_EXEC, CURRENT_TIMESTAMP() AS TIME_EXEC FROM (SELECT prtctn_id, flg_exec FROM BU_LOANTAPE_WORK.LT004_PROTECTION WHERE ref_date='${ref_date}' AND nome_perimetro='Individual Local' AND segmento='ESTR' AND ambito='SRB_MBDT' AND entidade='00100')X INNER JOIN (SELECT prtctn_id AS prtctn_id_SIMUL, flg_exec AS flg_exec_SIMUL FROM BU_LOANTAPE_WORK.SIMUL_LT004 WHERE ref_date='${ref_date}' AND nome_perimetro='Individual Local' AND segmento='ESTR' AND ambito='PILAR3' AND entidade='00100')Y ON X.PRTCTN_ID=Y.PRTCTN_ID_SIMUL</v>
      </c>
      <c r="M621" s="36" t="str">
        <f t="shared" si="14"/>
        <v>UNION ALL SELECT 'PROTECTION' AS TABELA, 'COERÊNCIA' AS TIPOLOGIA_TESTE,'BU_LOANTAPE_WORK.LT004_PROTECTION' AS TABELA_LT,'BU_LOANTAPE_WORK.SIMUL_LT004' AS TABELA_SIMUL,'flg_exec' AS CAMPO, '${ref_date}' AS REF_DATE, COUNT(*) AS NUM_REG, SUM(IF(COALESCE(CAST(X.flg_exec AS STRING),'')&lt;&gt;COALESCE(CAST(Y.flg_exec_SIMUL AS STRING),'') OR (X.flg_exec IS NULL AND Y.flg_exec_SIMUL IS NOT NULL ) OR (X.flg_exec IS NOT NULL AND Y.flg_exec_SIMUL IS NULL),1,0)) AS NUM_REG_DIF,'1' AS ID_EXEC, CURRENT_TIMESTAMP() AS TIME_EXEC FROM (SELECT prtctn_id, flg_exec FROM BU_LOANTAPE_WORK.LT004_PROTECTION WHERE ref_date='${ref_date}' AND nome_perimetro='Individual Local' AND segmento='ESTR' AND ambito='SRB_MBDT' AND entidade='00100')X INNER JOIN (SELECT prtctn_id AS prtctn_id_SIMUL, flg_exec AS flg_exec_SIMUL FROM BU_LOANTAPE_WORK.SIMUL_LT004 WHERE ref_date='${ref_date}' AND nome_perimetro='Individual Local' AND segmento='ESTR' AND ambito='PILAR3' AND entidade='00100')Y ON X.PRTCTN_ID=Y.PRTCTN_ID_SIMUL</v>
      </c>
    </row>
    <row r="622" spans="2:13">
      <c r="B622" s="34" t="s">
        <v>119</v>
      </c>
      <c r="C622" s="34" t="s">
        <v>5</v>
      </c>
      <c r="D622" s="34" t="str">
        <f>+UPPER('0. Instruções'!$D$35&amp;"."&amp;VLOOKUP(B622,'0. Instruções'!$C$27:$D$32,2,FALSE))</f>
        <v>BU_LOANTAPE_WORK.LT004_PROTECTION</v>
      </c>
      <c r="E622" s="34" t="str">
        <f>+UPPER('0. Instruções'!$D$36&amp;"."&amp;VLOOKUP(B622,'0. Instruções'!$C$27:$E$32,3,FALSE))</f>
        <v>BU_LOANTAPE_WORK.SIMUL_LT004</v>
      </c>
      <c r="F622" s="34" t="s">
        <v>677</v>
      </c>
      <c r="G622" s="34"/>
      <c r="H622" s="34"/>
      <c r="I622" s="34" t="str">
        <f>"(SELECT "&amp;VLOOKUP(B622,'0. Instruções'!$C$27:$G$32,4,FALSE)&amp;", "&amp;F622&amp;" FROM "&amp;D622&amp;" WHERE "&amp;'0. Instruções'!$D$42&amp;")X"</f>
        <v>(SELECT prtctn_id, flg_col FROM BU_LOANTAPE_WORK.LT004_PROTECTION WHERE ref_date='${ref_date}' AND nome_perimetro='Individual Local' AND segmento='ESTR' AND ambito='SRB_MBDT' AND entidade='00100')X</v>
      </c>
      <c r="J622" s="34" t="str">
        <f>"(SELECT "&amp;VLOOKUP(B622,'0. Instruções'!$C$27:$G$32,4,FALSE)&amp;" AS "&amp;VLOOKUP(B622,'0. Instruções'!$C$27:$G$32,4,FALSE)&amp;"_SIMUL, "&amp;F622&amp;" AS "&amp;F622&amp;"_SIMUL FROM "&amp;E622&amp;" WHERE "&amp;'0. Instruções'!$D$43&amp;")Y"</f>
        <v>(SELECT prtctn_id AS prtctn_id_SIMUL, flg_col AS flg_col_SIMUL FROM BU_LOANTAPE_WORK.SIMUL_LT004 WHERE ref_date='${ref_date}' AND nome_perimetro='Individual Local' AND segmento='ESTR' AND ambito='PILAR3' AND entidade='00100')Y</v>
      </c>
      <c r="K622" s="35" t="str">
        <f>+UPPER("ON X."&amp;VLOOKUP(B622,'0. Instruções'!$C$27:$G$32,4,FALSE)&amp;"=Y."&amp;VLOOKUP(B622,'0. Instruções'!$C$27:$G$32,4,FALSE)&amp;"_SIMUL")</f>
        <v>ON X.PRTCTN_ID=Y.PRTCTN_ID_SIMUL</v>
      </c>
      <c r="L622" s="35" t="str">
        <f>+IF(C622="Coerência", +IF(LEFT(G622,5)="FLOAT","SELECT '"&amp;UPPER(B622)&amp;"' AS TABELA, '"&amp;UPPER(C622)&amp;"' AS TIPOLOGIA_TESTE,'"&amp;D622&amp;"' AS TABELA_LT,'"&amp;E622&amp;"' AS TABELA_SIMUL,'"&amp;F622&amp;"' AS CAMPO, "&amp;"'${ref_date}' AS REF_DATE, COUNT(*) AS NUM_REG, SUM(IF((ABS(COALESCE(CAST(X."&amp;F622&amp;" AS DECIMAL(18,6)),0)-COALESCE(CAST(Y."&amp;F622&amp;"_SIMUL AS DECIMAL(18,6)),0))&gt;0.000001) OR (X."&amp;F622&amp;" IS NULL AND Y."&amp;F622&amp;"_SIMUL IS NOT NULL ) OR (X."&amp;F622&amp;" IS NOT NULL AND Y."&amp;F622&amp;"_SIMUL IS NULL),1,0)) AS NUM_REG_DIF,'"&amp;MAX('ID1&amp;5'!K:K)+1&amp;"' AS ID_EXEC, CURRENT_TIMESTAMP() AS TIME_EXEC FROM "&amp;I622&amp;" INNER JOIN "&amp;J622&amp;" "&amp;K622,"SELECT '"&amp;UPPER(B622)&amp;"' AS TABELA, '"&amp;UPPER(C622)&amp;"' AS TIPOLOGIA_TESTE,'"&amp;D622&amp;"' AS TABELA_LT,'"&amp;E622&amp;"' AS TABELA_SIMUL,'"&amp;F622&amp;"' AS CAMPO, "&amp;"'${ref_date}' AS REF_DATE, COUNT(*) AS NUM_REG, SUM(IF(COALESCE(CAST(X."&amp;F622&amp;" AS STRING),'')&lt;&gt;COALESCE(CAST(Y."&amp;F622&amp;"_SIMUL AS STRING),'') OR (X."&amp;F622&amp;" IS NULL AND Y."&amp;F622&amp;"_SIMUL IS NOT NULL ) OR (X."&amp;F622&amp;" IS NOT NULL AND Y."&amp;F622&amp;"_SIMUL IS NULL),1,0)) AS NUM_REG_DIF,'"&amp;MAX('ID1&amp;5'!L:L)+1&amp;"' AS ID_EXEC, CURRENT_TIMESTAMP() AS TIME_EXEC FROM "&amp;I622&amp;" INNER JOIN "&amp;J622&amp;" "&amp;K622),
IF(C622="Validade",+IF(G622="Code List","SELECT '"&amp;UPPER(B622)&amp;"' AS TABELA, '"&amp;UPPER(C622)&amp;"' AS TIPOLOGIA_TESTE,'"&amp;D622&amp;"' AS TABELA_LT,'N/A' AS TABELA_SIMUL,'"&amp;F622&amp;"' AS CAMPO, "&amp;"'${ref_date}' AS REF_DATE, COUNT(*) AS NUM_REG, SUM(IF(TRIM(CAST(X."&amp;F622&amp;" AS STRING))='' OR TRIM(CAST(X."&amp;F622&amp;" AS STRING)) IS NULL OR CAST(X."&amp;F622&amp;" AS STRING) NOT "&amp;H622&amp;",1,0)) AS NUM_REG_DIF,'"&amp;MAX('ID1&amp;5'!K:K)+1&amp;"' AS ID_EXEC, CURRENT_TIMESTAMP() AS TIME_EXEC FROM "&amp;I622,"SELECT '"&amp;UPPER(B622)&amp;"' AS TABELA, '"&amp;UPPER(C622)&amp;"' AS TIPOLOGIA_TESTE,'"&amp;D622&amp;"' AS TABELA_LT,'N/A' AS TABELA_SIMUL,'"&amp;F622&amp;"' AS CAMPO, "&amp;"'${ref_date}' AS REF_DATE, COUNT(*) AS NUM_REG, SUM(IF(TRIM(CAST(X."&amp;F622&amp;" AS STRING))='' OR TRIM(CAST(X."&amp;F622&amp;" AS STRING)) IS NULL,1,0)) AS NUM_REG_DIF,'"&amp;MAX('ID1&amp;5'!K:K)+1&amp;"' AS ID_EXEC, CURRENT_TIMESTAMP() AS TIME_EXEC FROM "&amp;I622),
IF(C622="Caracteres Especiais",+"SELECT '"&amp;UPPER(B622)&amp;"' AS TABELA, '"&amp;UPPER(C622)&amp;"' AS TIPOLOGIA_TESTE,'"&amp;D622&amp;"' AS TABELA_LT,'N/A' AS TABELA_SIMUL,'"&amp;F622&amp;"' AS CAMPO, "&amp;"'${ref_date}' AS REF_DATE, COUNT(*) AS NUM_REG, SUM(IF(REGEXP_REPLACE(TRIM(CAST(X."&amp;F622&amp;" AS STRING)),'[^a-zA-Z0-9_\\s]','') &lt;&gt;TRIM(CAST(X."&amp;F622&amp;" AS STRING)),1,0)) AS NUM_REG_DIF,'"&amp;MAX('ID1&amp;5'!K:K)+1&amp;"' AS ID_EXEC, CURRENT_TIMESTAMP() AS TIME_EXEC FROM "&amp;I622,
IF(C622="Missings",+"SELECT '"&amp;UPPER(B622)&amp;"' AS TABELA, '"&amp;UPPER(C622)&amp;"' AS TIPOLOGIA_TESTE,'"&amp;D622&amp;"' AS TABELA_LT,'N/A' AS TABELA_SIMUL,'"&amp;F622&amp;"' AS CAMPO, "&amp;"'${ref_date}' AS REF_DATE, COUNT(*) AS NUM_REG, SUM(IF(TRIM(CAST(X."&amp;F622&amp;" AS STRING)) IN ('0000-00-00','0001-01-01','9999-12-31','MISS','00000','99999999999','99999999999.00','99999999999.000000'),1,0)) AS NUM_REG_DIF,'"&amp;MAX('ID1&amp;5'!K:K)+1&amp;"' AS ID_EXEC, CURRENT_TIMESTAMP() AS TIME_EXEC FROM "&amp;I622,
IF(C622="Not applicable",+"SELECT '"&amp;UPPER(B622)&amp;"' AS TABELA, '"&amp;UPPER(C622)&amp;"' AS TIPOLOGIA_TESTE,'"&amp;D622&amp;"' AS TABELA_LT,'N/A' AS TABELA_SIMUL,'"&amp;F622&amp;"' AS CAMPO, "&amp;"'${ref_date}' AS REF_DATE, COUNT(*) AS NUM_REG, SUM(IF(TRIM(CAST(X."&amp;F622&amp;" AS STRING)) IN ('N/A','11111111111','11111111111.00','11111111111.000000','1111-11-11'),1,0)) AS NUM_REG_DIF,'"&amp;MAX('ID1&amp;5'!K:K)+1&amp;"' AS ID_EXEC, CURRENT_TIMESTAMP() AS TIME_EXEC FROM "&amp;I622,
IF(C622="Valores extremos",+"SELECT '"&amp;UPPER(B622)&amp;"' AS TABELA, '"&amp;UPPER(C622)&amp;"' AS TIPOLOGIA_TESTE,'"&amp;D622&amp;"' AS TABELA_LT,'N/A' AS TABELA_SIMUL,'"&amp;F622&amp;"' AS CAMPO, "&amp;"'${ref_date}' AS REF_DATE, CAST(MIN("&amp;F622&amp;") AS STRING) AS VALOR_MIN, CAST(MAX("&amp;F622&amp;") AS STRING) AS VALOR_MAX,'"&amp;MAX('ID1&amp;5'!K:K)+1&amp;"' AS ID_EXEC, CURRENT_TIMESTAMP() AS TIME_EXEC FROM "&amp;MID(I622,1,LEN(I622)-2)&amp;" AND CAST("&amp;F622&amp;"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TABELA_SIMUL,'flg_col' AS CAMPO, '${ref_date}' AS REF_DATE, COUNT(*) AS NUM_REG, SUM(IF(COALESCE(CAST(X.flg_col AS STRING),'')&lt;&gt;COALESCE(CAST(Y.flg_col_SIMUL AS STRING),'') OR (X.flg_col IS NULL AND Y.flg_col_SIMUL IS NOT NULL ) OR (X.flg_col IS NOT NULL AND Y.flg_col_SIMUL IS NULL),1,0)) AS NUM_REG_DIF,'1' AS ID_EXEC, CURRENT_TIMESTAMP() AS TIME_EXEC FROM (SELECT prtctn_id, flg_col FROM BU_LOANTAPE_WORK.LT004_PROTECTION WHERE ref_date='${ref_date}' AND nome_perimetro='Individual Local' AND segmento='ESTR' AND ambito='SRB_MBDT' AND entidade='00100')X INNER JOIN (SELECT prtctn_id AS prtctn_id_SIMUL, flg_col AS flg_col_SIMUL FROM BU_LOANTAPE_WORK.SIMUL_LT004 WHERE ref_date='${ref_date}' AND nome_perimetro='Individual Local' AND segmento='ESTR' AND ambito='PILAR3' AND entidade='00100')Y ON X.PRTCTN_ID=Y.PRTCTN_ID_SIMUL</v>
      </c>
      <c r="M622" s="36" t="str">
        <f t="shared" si="14"/>
        <v>UNION ALL SELECT 'PROTECTION' AS TABELA, 'COERÊNCIA' AS TIPOLOGIA_TESTE,'BU_LOANTAPE_WORK.LT004_PROTECTION' AS TABELA_LT,'BU_LOANTAPE_WORK.SIMUL_LT004' AS TABELA_SIMUL,'flg_col' AS CAMPO, '${ref_date}' AS REF_DATE, COUNT(*) AS NUM_REG, SUM(IF(COALESCE(CAST(X.flg_col AS STRING),'')&lt;&gt;COALESCE(CAST(Y.flg_col_SIMUL AS STRING),'') OR (X.flg_col IS NULL AND Y.flg_col_SIMUL IS NOT NULL ) OR (X.flg_col IS NOT NULL AND Y.flg_col_SIMUL IS NULL),1,0)) AS NUM_REG_DIF,'1' AS ID_EXEC, CURRENT_TIMESTAMP() AS TIME_EXEC FROM (SELECT prtctn_id, flg_col FROM BU_LOANTAPE_WORK.LT004_PROTECTION WHERE ref_date='${ref_date}' AND nome_perimetro='Individual Local' AND segmento='ESTR' AND ambito='SRB_MBDT' AND entidade='00100')X INNER JOIN (SELECT prtctn_id AS prtctn_id_SIMUL, flg_col AS flg_col_SIMUL FROM BU_LOANTAPE_WORK.SIMUL_LT004 WHERE ref_date='${ref_date}' AND nome_perimetro='Individual Local' AND segmento='ESTR' AND ambito='PILAR3' AND entidade='00100')Y ON X.PRTCTN_ID=Y.PRTCTN_ID_SIMUL</v>
      </c>
    </row>
    <row r="623" spans="2:13">
      <c r="B623" s="34" t="s">
        <v>119</v>
      </c>
      <c r="C623" s="34" t="s">
        <v>5</v>
      </c>
      <c r="D623" s="34" t="str">
        <f>+UPPER('0. Instruções'!$D$35&amp;"."&amp;VLOOKUP(B623,'0. Instruções'!$C$27:$D$32,2,FALSE))</f>
        <v>BU_LOANTAPE_WORK.LT004_PROTECTION</v>
      </c>
      <c r="E623" s="34" t="str">
        <f>+UPPER('0. Instruções'!$D$36&amp;"."&amp;VLOOKUP(B623,'0. Instruções'!$C$27:$E$32,3,FALSE))</f>
        <v>BU_LOANTAPE_WORK.SIMUL_LT004</v>
      </c>
      <c r="F623" s="34" t="s">
        <v>678</v>
      </c>
      <c r="G623" s="34"/>
      <c r="H623" s="34"/>
      <c r="I623" s="34" t="str">
        <f>"(SELECT "&amp;VLOOKUP(B623,'0. Instruções'!$C$27:$G$32,4,FALSE)&amp;", "&amp;F623&amp;" FROM "&amp;D623&amp;" WHERE "&amp;'0. Instruções'!$D$42&amp;")X"</f>
        <v>(SELECT prtctn_id, flg_pro FROM BU_LOANTAPE_WORK.LT004_PROTECTION WHERE ref_date='${ref_date}' AND nome_perimetro='Individual Local' AND segmento='ESTR' AND ambito='SRB_MBDT' AND entidade='00100')X</v>
      </c>
      <c r="J623" s="34" t="str">
        <f>"(SELECT "&amp;VLOOKUP(B623,'0. Instruções'!$C$27:$G$32,4,FALSE)&amp;" AS "&amp;VLOOKUP(B623,'0. Instruções'!$C$27:$G$32,4,FALSE)&amp;"_SIMUL, "&amp;F623&amp;" AS "&amp;F623&amp;"_SIMUL FROM "&amp;E623&amp;" WHERE "&amp;'0. Instruções'!$D$43&amp;")Y"</f>
        <v>(SELECT prtctn_id AS prtctn_id_SIMUL, flg_pro AS flg_pro_SIMUL FROM BU_LOANTAPE_WORK.SIMUL_LT004 WHERE ref_date='${ref_date}' AND nome_perimetro='Individual Local' AND segmento='ESTR' AND ambito='PILAR3' AND entidade='00100')Y</v>
      </c>
      <c r="K623" s="35" t="str">
        <f>+UPPER("ON X."&amp;VLOOKUP(B623,'0. Instruções'!$C$27:$G$32,4,FALSE)&amp;"=Y."&amp;VLOOKUP(B623,'0. Instruções'!$C$27:$G$32,4,FALSE)&amp;"_SIMUL")</f>
        <v>ON X.PRTCTN_ID=Y.PRTCTN_ID_SIMUL</v>
      </c>
      <c r="L623" s="35" t="str">
        <f>+IF(C623="Coerência", +IF(LEFT(G623,5)="FLOAT","SELECT '"&amp;UPPER(B623)&amp;"' AS TABELA, '"&amp;UPPER(C623)&amp;"' AS TIPOLOGIA_TESTE,'"&amp;D623&amp;"' AS TABELA_LT,'"&amp;E623&amp;"' AS TABELA_SIMUL,'"&amp;F623&amp;"' AS CAMPO, "&amp;"'${ref_date}' AS REF_DATE, COUNT(*) AS NUM_REG, SUM(IF((ABS(COALESCE(CAST(X."&amp;F623&amp;" AS DECIMAL(18,6)),0)-COALESCE(CAST(Y."&amp;F623&amp;"_SIMUL AS DECIMAL(18,6)),0))&gt;0.000001) OR (X."&amp;F623&amp;" IS NULL AND Y."&amp;F623&amp;"_SIMUL IS NOT NULL ) OR (X."&amp;F623&amp;" IS NOT NULL AND Y."&amp;F623&amp;"_SIMUL IS NULL),1,0)) AS NUM_REG_DIF,'"&amp;MAX('ID1&amp;5'!K:K)+1&amp;"' AS ID_EXEC, CURRENT_TIMESTAMP() AS TIME_EXEC FROM "&amp;I623&amp;" INNER JOIN "&amp;J623&amp;" "&amp;K623,"SELECT '"&amp;UPPER(B623)&amp;"' AS TABELA, '"&amp;UPPER(C623)&amp;"' AS TIPOLOGIA_TESTE,'"&amp;D623&amp;"' AS TABELA_LT,'"&amp;E623&amp;"' AS TABELA_SIMUL,'"&amp;F623&amp;"' AS CAMPO, "&amp;"'${ref_date}' AS REF_DATE, COUNT(*) AS NUM_REG, SUM(IF(COALESCE(CAST(X."&amp;F623&amp;" AS STRING),'')&lt;&gt;COALESCE(CAST(Y."&amp;F623&amp;"_SIMUL AS STRING),'') OR (X."&amp;F623&amp;" IS NULL AND Y."&amp;F623&amp;"_SIMUL IS NOT NULL ) OR (X."&amp;F623&amp;" IS NOT NULL AND Y."&amp;F623&amp;"_SIMUL IS NULL),1,0)) AS NUM_REG_DIF,'"&amp;MAX('ID1&amp;5'!L:L)+1&amp;"' AS ID_EXEC, CURRENT_TIMESTAMP() AS TIME_EXEC FROM "&amp;I623&amp;" INNER JOIN "&amp;J623&amp;" "&amp;K623),
IF(C623="Validade",+IF(G623="Code List","SELECT '"&amp;UPPER(B623)&amp;"' AS TABELA, '"&amp;UPPER(C623)&amp;"' AS TIPOLOGIA_TESTE,'"&amp;D623&amp;"' AS TABELA_LT,'N/A' AS TABELA_SIMUL,'"&amp;F623&amp;"' AS CAMPO, "&amp;"'${ref_date}' AS REF_DATE, COUNT(*) AS NUM_REG, SUM(IF(TRIM(CAST(X."&amp;F623&amp;" AS STRING))='' OR TRIM(CAST(X."&amp;F623&amp;" AS STRING)) IS NULL OR CAST(X."&amp;F623&amp;" AS STRING) NOT "&amp;H623&amp;",1,0)) AS NUM_REG_DIF,'"&amp;MAX('ID1&amp;5'!K:K)+1&amp;"' AS ID_EXEC, CURRENT_TIMESTAMP() AS TIME_EXEC FROM "&amp;I623,"SELECT '"&amp;UPPER(B623)&amp;"' AS TABELA, '"&amp;UPPER(C623)&amp;"' AS TIPOLOGIA_TESTE,'"&amp;D623&amp;"' AS TABELA_LT,'N/A' AS TABELA_SIMUL,'"&amp;F623&amp;"' AS CAMPO, "&amp;"'${ref_date}' AS REF_DATE, COUNT(*) AS NUM_REG, SUM(IF(TRIM(CAST(X."&amp;F623&amp;" AS STRING))='' OR TRIM(CAST(X."&amp;F623&amp;" AS STRING)) IS NULL,1,0)) AS NUM_REG_DIF,'"&amp;MAX('ID1&amp;5'!K:K)+1&amp;"' AS ID_EXEC, CURRENT_TIMESTAMP() AS TIME_EXEC FROM "&amp;I623),
IF(C623="Caracteres Especiais",+"SELECT '"&amp;UPPER(B623)&amp;"' AS TABELA, '"&amp;UPPER(C623)&amp;"' AS TIPOLOGIA_TESTE,'"&amp;D623&amp;"' AS TABELA_LT,'N/A' AS TABELA_SIMUL,'"&amp;F623&amp;"' AS CAMPO, "&amp;"'${ref_date}' AS REF_DATE, COUNT(*) AS NUM_REG, SUM(IF(REGEXP_REPLACE(TRIM(CAST(X."&amp;F623&amp;" AS STRING)),'[^a-zA-Z0-9_\\s]','') &lt;&gt;TRIM(CAST(X."&amp;F623&amp;" AS STRING)),1,0)) AS NUM_REG_DIF,'"&amp;MAX('ID1&amp;5'!K:K)+1&amp;"' AS ID_EXEC, CURRENT_TIMESTAMP() AS TIME_EXEC FROM "&amp;I623,
IF(C623="Missings",+"SELECT '"&amp;UPPER(B623)&amp;"' AS TABELA, '"&amp;UPPER(C623)&amp;"' AS TIPOLOGIA_TESTE,'"&amp;D623&amp;"' AS TABELA_LT,'N/A' AS TABELA_SIMUL,'"&amp;F623&amp;"' AS CAMPO, "&amp;"'${ref_date}' AS REF_DATE, COUNT(*) AS NUM_REG, SUM(IF(TRIM(CAST(X."&amp;F623&amp;" AS STRING)) IN ('0000-00-00','0001-01-01','9999-12-31','MISS','00000','99999999999','99999999999.00','99999999999.000000'),1,0)) AS NUM_REG_DIF,'"&amp;MAX('ID1&amp;5'!K:K)+1&amp;"' AS ID_EXEC, CURRENT_TIMESTAMP() AS TIME_EXEC FROM "&amp;I623,
IF(C623="Not applicable",+"SELECT '"&amp;UPPER(B623)&amp;"' AS TABELA, '"&amp;UPPER(C623)&amp;"' AS TIPOLOGIA_TESTE,'"&amp;D623&amp;"' AS TABELA_LT,'N/A' AS TABELA_SIMUL,'"&amp;F623&amp;"' AS CAMPO, "&amp;"'${ref_date}' AS REF_DATE, COUNT(*) AS NUM_REG, SUM(IF(TRIM(CAST(X."&amp;F623&amp;" AS STRING)) IN ('N/A','11111111111','11111111111.00','11111111111.000000','1111-11-11'),1,0)) AS NUM_REG_DIF,'"&amp;MAX('ID1&amp;5'!K:K)+1&amp;"' AS ID_EXEC, CURRENT_TIMESTAMP() AS TIME_EXEC FROM "&amp;I623,
IF(C623="Valores extremos",+"SELECT '"&amp;UPPER(B623)&amp;"' AS TABELA, '"&amp;UPPER(C623)&amp;"' AS TIPOLOGIA_TESTE,'"&amp;D623&amp;"' AS TABELA_LT,'N/A' AS TABELA_SIMUL,'"&amp;F623&amp;"' AS CAMPO, "&amp;"'${ref_date}' AS REF_DATE, CAST(MIN("&amp;F623&amp;") AS STRING) AS VALOR_MIN, CAST(MAX("&amp;F623&amp;") AS STRING) AS VALOR_MAX,'"&amp;MAX('ID1&amp;5'!K:K)+1&amp;"' AS ID_EXEC, CURRENT_TIMESTAMP() AS TIME_EXEC FROM "&amp;MID(I623,1,LEN(I623)-2)&amp;" AND CAST("&amp;F623&amp;"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TABELA_SIMUL,'flg_pro' AS CAMPO, '${ref_date}' AS REF_DATE, COUNT(*) AS NUM_REG, SUM(IF(COALESCE(CAST(X.flg_pro AS STRING),'')&lt;&gt;COALESCE(CAST(Y.flg_pro_SIMUL AS STRING),'') OR (X.flg_pro IS NULL AND Y.flg_pro_SIMUL IS NOT NULL ) OR (X.flg_pro IS NOT NULL AND Y.flg_pro_SIMUL IS NULL),1,0)) AS NUM_REG_DIF,'1' AS ID_EXEC, CURRENT_TIMESTAMP() AS TIME_EXEC FROM (SELECT prtctn_id, flg_pro FROM BU_LOANTAPE_WORK.LT004_PROTECTION WHERE ref_date='${ref_date}' AND nome_perimetro='Individual Local' AND segmento='ESTR' AND ambito='SRB_MBDT' AND entidade='00100')X INNER JOIN (SELECT prtctn_id AS prtctn_id_SIMUL, flg_pro AS flg_pro_SIMUL FROM BU_LOANTAPE_WORK.SIMUL_LT004 WHERE ref_date='${ref_date}' AND nome_perimetro='Individual Local' AND segmento='ESTR' AND ambito='PILAR3' AND entidade='00100')Y ON X.PRTCTN_ID=Y.PRTCTN_ID_SIMUL</v>
      </c>
      <c r="M623" s="36" t="str">
        <f t="shared" si="14"/>
        <v>UNION ALL SELECT 'PROTECTION' AS TABELA, 'COERÊNCIA' AS TIPOLOGIA_TESTE,'BU_LOANTAPE_WORK.LT004_PROTECTION' AS TABELA_LT,'BU_LOANTAPE_WORK.SIMUL_LT004' AS TABELA_SIMUL,'flg_pro' AS CAMPO, '${ref_date}' AS REF_DATE, COUNT(*) AS NUM_REG, SUM(IF(COALESCE(CAST(X.flg_pro AS STRING),'')&lt;&gt;COALESCE(CAST(Y.flg_pro_SIMUL AS STRING),'') OR (X.flg_pro IS NULL AND Y.flg_pro_SIMUL IS NOT NULL ) OR (X.flg_pro IS NOT NULL AND Y.flg_pro_SIMUL IS NULL),1,0)) AS NUM_REG_DIF,'1' AS ID_EXEC, CURRENT_TIMESTAMP() AS TIME_EXEC FROM (SELECT prtctn_id, flg_pro FROM BU_LOANTAPE_WORK.LT004_PROTECTION WHERE ref_date='${ref_date}' AND nome_perimetro='Individual Local' AND segmento='ESTR' AND ambito='SRB_MBDT' AND entidade='00100')X INNER JOIN (SELECT prtctn_id AS prtctn_id_SIMUL, flg_pro AS flg_pro_SIMUL FROM BU_LOANTAPE_WORK.SIMUL_LT004 WHERE ref_date='${ref_date}' AND nome_perimetro='Individual Local' AND segmento='ESTR' AND ambito='PILAR3' AND entidade='00100')Y ON X.PRTCTN_ID=Y.PRTCTN_ID_SIMUL</v>
      </c>
    </row>
    <row r="624" spans="2:13">
      <c r="B624" s="34" t="s">
        <v>119</v>
      </c>
      <c r="C624" s="34" t="s">
        <v>5</v>
      </c>
      <c r="D624" s="34" t="str">
        <f>+UPPER('0. Instruções'!$D$35&amp;"."&amp;VLOOKUP(B624,'0. Instruções'!$C$27:$D$32,2,FALSE))</f>
        <v>BU_LOANTAPE_WORK.LT004_PROTECTION</v>
      </c>
      <c r="E624" s="34" t="str">
        <f>+UPPER('0. Instruções'!$D$36&amp;"."&amp;VLOOKUP(B624,'0. Instruções'!$C$27:$E$32,3,FALSE))</f>
        <v>BU_LOANTAPE_WORK.SIMUL_LT004</v>
      </c>
      <c r="F624" s="34" t="s">
        <v>1541</v>
      </c>
      <c r="G624" s="34"/>
      <c r="H624" s="34"/>
      <c r="I624" s="34" t="str">
        <f>"(SELECT "&amp;VLOOKUP(B624,'0. Instruções'!$C$27:$G$32,4,FALSE)&amp;", "&amp;F624&amp;" FROM "&amp;D624&amp;" WHERE "&amp;'0. Instruções'!$D$42&amp;")X"</f>
        <v>(SELECT prtctn_id, gross_area FROM BU_LOANTAPE_WORK.LT004_PROTECTION WHERE ref_date='${ref_date}' AND nome_perimetro='Individual Local' AND segmento='ESTR' AND ambito='SRB_MBDT' AND entidade='00100')X</v>
      </c>
      <c r="J624" s="34" t="str">
        <f>"(SELECT "&amp;VLOOKUP(B624,'0. Instruções'!$C$27:$G$32,4,FALSE)&amp;" AS "&amp;VLOOKUP(B624,'0. Instruções'!$C$27:$G$32,4,FALSE)&amp;"_SIMUL, "&amp;F624&amp;" AS "&amp;F624&amp;"_SIMUL FROM "&amp;E624&amp;" WHERE "&amp;'0. Instruções'!$D$43&amp;")Y"</f>
        <v>(SELECT prtctn_id AS prtctn_id_SIMUL, gross_area AS gross_area_SIMUL FROM BU_LOANTAPE_WORK.SIMUL_LT004 WHERE ref_date='${ref_date}' AND nome_perimetro='Individual Local' AND segmento='ESTR' AND ambito='PILAR3' AND entidade='00100')Y</v>
      </c>
      <c r="K624" s="35" t="str">
        <f>+UPPER("ON X."&amp;VLOOKUP(B624,'0. Instruções'!$C$27:$G$32,4,FALSE)&amp;"=Y."&amp;VLOOKUP(B624,'0. Instruções'!$C$27:$G$32,4,FALSE)&amp;"_SIMUL")</f>
        <v>ON X.PRTCTN_ID=Y.PRTCTN_ID_SIMUL</v>
      </c>
      <c r="L624" s="35" t="str">
        <f>+IF(C624="Coerência", +IF(LEFT(G624,5)="FLOAT","SELECT '"&amp;UPPER(B624)&amp;"' AS TABELA, '"&amp;UPPER(C624)&amp;"' AS TIPOLOGIA_TESTE,'"&amp;D624&amp;"' AS TABELA_LT,'"&amp;E624&amp;"' AS TABELA_SIMUL,'"&amp;F624&amp;"' AS CAMPO, "&amp;"'${ref_date}' AS REF_DATE, COUNT(*) AS NUM_REG, SUM(IF((ABS(COALESCE(CAST(X."&amp;F624&amp;" AS DECIMAL(18,6)),0)-COALESCE(CAST(Y."&amp;F624&amp;"_SIMUL AS DECIMAL(18,6)),0))&gt;0.000001) OR (X."&amp;F624&amp;" IS NULL AND Y."&amp;F624&amp;"_SIMUL IS NOT NULL ) OR (X."&amp;F624&amp;" IS NOT NULL AND Y."&amp;F624&amp;"_SIMUL IS NULL),1,0)) AS NUM_REG_DIF,'"&amp;MAX('ID1&amp;5'!K:K)+1&amp;"' AS ID_EXEC, CURRENT_TIMESTAMP() AS TIME_EXEC FROM "&amp;I624&amp;" INNER JOIN "&amp;J624&amp;" "&amp;K624,"SELECT '"&amp;UPPER(B624)&amp;"' AS TABELA, '"&amp;UPPER(C624)&amp;"' AS TIPOLOGIA_TESTE,'"&amp;D624&amp;"' AS TABELA_LT,'"&amp;E624&amp;"' AS TABELA_SIMUL,'"&amp;F624&amp;"' AS CAMPO, "&amp;"'${ref_date}' AS REF_DATE, COUNT(*) AS NUM_REG, SUM(IF(COALESCE(CAST(X."&amp;F624&amp;" AS STRING),'')&lt;&gt;COALESCE(CAST(Y."&amp;F624&amp;"_SIMUL AS STRING),'') OR (X."&amp;F624&amp;" IS NULL AND Y."&amp;F624&amp;"_SIMUL IS NOT NULL ) OR (X."&amp;F624&amp;" IS NOT NULL AND Y."&amp;F624&amp;"_SIMUL IS NULL),1,0)) AS NUM_REG_DIF,'"&amp;MAX('ID1&amp;5'!L:L)+1&amp;"' AS ID_EXEC, CURRENT_TIMESTAMP() AS TIME_EXEC FROM "&amp;I624&amp;" INNER JOIN "&amp;J624&amp;" "&amp;K624),
IF(C624="Validade",+IF(G624="Code List","SELECT '"&amp;UPPER(B624)&amp;"' AS TABELA, '"&amp;UPPER(C624)&amp;"' AS TIPOLOGIA_TESTE,'"&amp;D624&amp;"' AS TABELA_LT,'N/A' AS TABELA_SIMUL,'"&amp;F624&amp;"' AS CAMPO, "&amp;"'${ref_date}' AS REF_DATE, COUNT(*) AS NUM_REG, SUM(IF(TRIM(CAST(X."&amp;F624&amp;" AS STRING))='' OR TRIM(CAST(X."&amp;F624&amp;" AS STRING)) IS NULL OR CAST(X."&amp;F624&amp;" AS STRING) NOT "&amp;H624&amp;",1,0)) AS NUM_REG_DIF,'"&amp;MAX('ID1&amp;5'!K:K)+1&amp;"' AS ID_EXEC, CURRENT_TIMESTAMP() AS TIME_EXEC FROM "&amp;I624,"SELECT '"&amp;UPPER(B624)&amp;"' AS TABELA, '"&amp;UPPER(C624)&amp;"' AS TIPOLOGIA_TESTE,'"&amp;D624&amp;"' AS TABELA_LT,'N/A' AS TABELA_SIMUL,'"&amp;F624&amp;"' AS CAMPO, "&amp;"'${ref_date}' AS REF_DATE, COUNT(*) AS NUM_REG, SUM(IF(TRIM(CAST(X."&amp;F624&amp;" AS STRING))='' OR TRIM(CAST(X."&amp;F624&amp;" AS STRING)) IS NULL,1,0)) AS NUM_REG_DIF,'"&amp;MAX('ID1&amp;5'!K:K)+1&amp;"' AS ID_EXEC, CURRENT_TIMESTAMP() AS TIME_EXEC FROM "&amp;I624),
IF(C624="Caracteres Especiais",+"SELECT '"&amp;UPPER(B624)&amp;"' AS TABELA, '"&amp;UPPER(C624)&amp;"' AS TIPOLOGIA_TESTE,'"&amp;D624&amp;"' AS TABELA_LT,'N/A' AS TABELA_SIMUL,'"&amp;F624&amp;"' AS CAMPO, "&amp;"'${ref_date}' AS REF_DATE, COUNT(*) AS NUM_REG, SUM(IF(REGEXP_REPLACE(TRIM(CAST(X."&amp;F624&amp;" AS STRING)),'[^a-zA-Z0-9_\\s]','') &lt;&gt;TRIM(CAST(X."&amp;F624&amp;" AS STRING)),1,0)) AS NUM_REG_DIF,'"&amp;MAX('ID1&amp;5'!K:K)+1&amp;"' AS ID_EXEC, CURRENT_TIMESTAMP() AS TIME_EXEC FROM "&amp;I624,
IF(C624="Missings",+"SELECT '"&amp;UPPER(B624)&amp;"' AS TABELA, '"&amp;UPPER(C624)&amp;"' AS TIPOLOGIA_TESTE,'"&amp;D624&amp;"' AS TABELA_LT,'N/A' AS TABELA_SIMUL,'"&amp;F624&amp;"' AS CAMPO, "&amp;"'${ref_date}' AS REF_DATE, COUNT(*) AS NUM_REG, SUM(IF(TRIM(CAST(X."&amp;F624&amp;" AS STRING)) IN ('0000-00-00','0001-01-01','9999-12-31','MISS','00000','99999999999','99999999999.00','99999999999.000000'),1,0)) AS NUM_REG_DIF,'"&amp;MAX('ID1&amp;5'!K:K)+1&amp;"' AS ID_EXEC, CURRENT_TIMESTAMP() AS TIME_EXEC FROM "&amp;I624,
IF(C624="Not applicable",+"SELECT '"&amp;UPPER(B624)&amp;"' AS TABELA, '"&amp;UPPER(C624)&amp;"' AS TIPOLOGIA_TESTE,'"&amp;D624&amp;"' AS TABELA_LT,'N/A' AS TABELA_SIMUL,'"&amp;F624&amp;"' AS CAMPO, "&amp;"'${ref_date}' AS REF_DATE, COUNT(*) AS NUM_REG, SUM(IF(TRIM(CAST(X."&amp;F624&amp;" AS STRING)) IN ('N/A','11111111111','11111111111.00','11111111111.000000','1111-11-11'),1,0)) AS NUM_REG_DIF,'"&amp;MAX('ID1&amp;5'!K:K)+1&amp;"' AS ID_EXEC, CURRENT_TIMESTAMP() AS TIME_EXEC FROM "&amp;I624,
IF(C624="Valores extremos",+"SELECT '"&amp;UPPER(B624)&amp;"' AS TABELA, '"&amp;UPPER(C624)&amp;"' AS TIPOLOGIA_TESTE,'"&amp;D624&amp;"' AS TABELA_LT,'N/A' AS TABELA_SIMUL,'"&amp;F624&amp;"' AS CAMPO, "&amp;"'${ref_date}' AS REF_DATE, CAST(MIN("&amp;F624&amp;") AS STRING) AS VALOR_MIN, CAST(MAX("&amp;F624&amp;") AS STRING) AS VALOR_MAX,'"&amp;MAX('ID1&amp;5'!K:K)+1&amp;"' AS ID_EXEC, CURRENT_TIMESTAMP() AS TIME_EXEC FROM "&amp;MID(I624,1,LEN(I624)-2)&amp;" AND CAST("&amp;F624&amp;"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TABELA_SIMUL,'gross_area' AS CAMPO, '${ref_date}' AS REF_DATE, COUNT(*) AS NUM_REG, SUM(IF(COALESCE(CAST(X.gross_area AS STRING),'')&lt;&gt;COALESCE(CAST(Y.gross_area_SIMUL AS STRING),'') OR (X.gross_area IS NULL AND Y.gross_area_SIMUL IS NOT NULL ) OR (X.gross_area IS NOT NULL AND Y.gross_area_SIMUL IS NULL),1,0)) AS NUM_REG_DIF,'1' AS ID_EXEC, CURRENT_TIMESTAMP() AS TIME_EXEC FROM (SELECT prtctn_id, gross_area FROM BU_LOANTAPE_WORK.LT004_PROTECTION WHERE ref_date='${ref_date}' AND nome_perimetro='Individual Local' AND segmento='ESTR' AND ambito='SRB_MBDT' AND entidade='00100')X INNER JOIN (SELECT prtctn_id AS prtctn_id_SIMUL, gross_area AS gross_area_SIMUL FROM BU_LOANTAPE_WORK.SIMUL_LT004 WHERE ref_date='${ref_date}' AND nome_perimetro='Individual Local' AND segmento='ESTR' AND ambito='PILAR3' AND entidade='00100')Y ON X.PRTCTN_ID=Y.PRTCTN_ID_SIMUL</v>
      </c>
      <c r="M624" s="36" t="str">
        <f t="shared" si="14"/>
        <v>UNION ALL SELECT 'PROTECTION' AS TABELA, 'COERÊNCIA' AS TIPOLOGIA_TESTE,'BU_LOANTAPE_WORK.LT004_PROTECTION' AS TABELA_LT,'BU_LOANTAPE_WORK.SIMUL_LT004' AS TABELA_SIMUL,'gross_area' AS CAMPO, '${ref_date}' AS REF_DATE, COUNT(*) AS NUM_REG, SUM(IF(COALESCE(CAST(X.gross_area AS STRING),'')&lt;&gt;COALESCE(CAST(Y.gross_area_SIMUL AS STRING),'') OR (X.gross_area IS NULL AND Y.gross_area_SIMUL IS NOT NULL ) OR (X.gross_area IS NOT NULL AND Y.gross_area_SIMUL IS NULL),1,0)) AS NUM_REG_DIF,'1' AS ID_EXEC, CURRENT_TIMESTAMP() AS TIME_EXEC FROM (SELECT prtctn_id, gross_area FROM BU_LOANTAPE_WORK.LT004_PROTECTION WHERE ref_date='${ref_date}' AND nome_perimetro='Individual Local' AND segmento='ESTR' AND ambito='SRB_MBDT' AND entidade='00100')X INNER JOIN (SELECT prtctn_id AS prtctn_id_SIMUL, gross_area AS gross_area_SIMUL FROM BU_LOANTAPE_WORK.SIMUL_LT004 WHERE ref_date='${ref_date}' AND nome_perimetro='Individual Local' AND segmento='ESTR' AND ambito='PILAR3' AND entidade='00100')Y ON X.PRTCTN_ID=Y.PRTCTN_ID_SIMUL</v>
      </c>
    </row>
    <row r="625" spans="2:13">
      <c r="B625" s="34" t="s">
        <v>119</v>
      </c>
      <c r="C625" s="34" t="s">
        <v>5</v>
      </c>
      <c r="D625" s="34" t="str">
        <f>+UPPER('0. Instruções'!$D$35&amp;"."&amp;VLOOKUP(B625,'0. Instruções'!$C$27:$D$32,2,FALSE))</f>
        <v>BU_LOANTAPE_WORK.LT004_PROTECTION</v>
      </c>
      <c r="E625" s="34" t="str">
        <f>+UPPER('0. Instruções'!$D$36&amp;"."&amp;VLOOKUP(B625,'0. Instruções'!$C$27:$E$32,3,FALSE))</f>
        <v>BU_LOANTAPE_WORK.SIMUL_LT004</v>
      </c>
      <c r="F625" s="34" t="s">
        <v>1542</v>
      </c>
      <c r="G625" s="34"/>
      <c r="H625" s="34"/>
      <c r="I625" s="34" t="str">
        <f>"(SELECT "&amp;VLOOKUP(B625,'0. Instruções'!$C$27:$G$32,4,FALSE)&amp;", "&amp;F625&amp;" FROM "&amp;D625&amp;" WHERE "&amp;'0. Instruções'!$D$42&amp;")X"</f>
        <v>(SELECT prtctn_id, land_area FROM BU_LOANTAPE_WORK.LT004_PROTECTION WHERE ref_date='${ref_date}' AND nome_perimetro='Individual Local' AND segmento='ESTR' AND ambito='SRB_MBDT' AND entidade='00100')X</v>
      </c>
      <c r="J625" s="34" t="str">
        <f>"(SELECT "&amp;VLOOKUP(B625,'0. Instruções'!$C$27:$G$32,4,FALSE)&amp;" AS "&amp;VLOOKUP(B625,'0. Instruções'!$C$27:$G$32,4,FALSE)&amp;"_SIMUL, "&amp;F625&amp;" AS "&amp;F625&amp;"_SIMUL FROM "&amp;E625&amp;" WHERE "&amp;'0. Instruções'!$D$43&amp;")Y"</f>
        <v>(SELECT prtctn_id AS prtctn_id_SIMUL, land_area AS land_area_SIMUL FROM BU_LOANTAPE_WORK.SIMUL_LT004 WHERE ref_date='${ref_date}' AND nome_perimetro='Individual Local' AND segmento='ESTR' AND ambito='PILAR3' AND entidade='00100')Y</v>
      </c>
      <c r="K625" s="35" t="str">
        <f>+UPPER("ON X."&amp;VLOOKUP(B625,'0. Instruções'!$C$27:$G$32,4,FALSE)&amp;"=Y."&amp;VLOOKUP(B625,'0. Instruções'!$C$27:$G$32,4,FALSE)&amp;"_SIMUL")</f>
        <v>ON X.PRTCTN_ID=Y.PRTCTN_ID_SIMUL</v>
      </c>
      <c r="L625" s="35" t="str">
        <f>+IF(C625="Coerência", +IF(LEFT(G625,5)="FLOAT","SELECT '"&amp;UPPER(B625)&amp;"' AS TABELA, '"&amp;UPPER(C625)&amp;"' AS TIPOLOGIA_TESTE,'"&amp;D625&amp;"' AS TABELA_LT,'"&amp;E625&amp;"' AS TABELA_SIMUL,'"&amp;F625&amp;"' AS CAMPO, "&amp;"'${ref_date}' AS REF_DATE, COUNT(*) AS NUM_REG, SUM(IF((ABS(COALESCE(CAST(X."&amp;F625&amp;" AS DECIMAL(18,6)),0)-COALESCE(CAST(Y."&amp;F625&amp;"_SIMUL AS DECIMAL(18,6)),0))&gt;0.000001) OR (X."&amp;F625&amp;" IS NULL AND Y."&amp;F625&amp;"_SIMUL IS NOT NULL ) OR (X."&amp;F625&amp;" IS NOT NULL AND Y."&amp;F625&amp;"_SIMUL IS NULL),1,0)) AS NUM_REG_DIF,'"&amp;MAX('ID1&amp;5'!K:K)+1&amp;"' AS ID_EXEC, CURRENT_TIMESTAMP() AS TIME_EXEC FROM "&amp;I625&amp;" INNER JOIN "&amp;J625&amp;" "&amp;K625,"SELECT '"&amp;UPPER(B625)&amp;"' AS TABELA, '"&amp;UPPER(C625)&amp;"' AS TIPOLOGIA_TESTE,'"&amp;D625&amp;"' AS TABELA_LT,'"&amp;E625&amp;"' AS TABELA_SIMUL,'"&amp;F625&amp;"' AS CAMPO, "&amp;"'${ref_date}' AS REF_DATE, COUNT(*) AS NUM_REG, SUM(IF(COALESCE(CAST(X."&amp;F625&amp;" AS STRING),'')&lt;&gt;COALESCE(CAST(Y."&amp;F625&amp;"_SIMUL AS STRING),'') OR (X."&amp;F625&amp;" IS NULL AND Y."&amp;F625&amp;"_SIMUL IS NOT NULL ) OR (X."&amp;F625&amp;" IS NOT NULL AND Y."&amp;F625&amp;"_SIMUL IS NULL),1,0)) AS NUM_REG_DIF,'"&amp;MAX('ID1&amp;5'!L:L)+1&amp;"' AS ID_EXEC, CURRENT_TIMESTAMP() AS TIME_EXEC FROM "&amp;I625&amp;" INNER JOIN "&amp;J625&amp;" "&amp;K625),
IF(C625="Validade",+IF(G625="Code List","SELECT '"&amp;UPPER(B625)&amp;"' AS TABELA, '"&amp;UPPER(C625)&amp;"' AS TIPOLOGIA_TESTE,'"&amp;D625&amp;"' AS TABELA_LT,'N/A' AS TABELA_SIMUL,'"&amp;F625&amp;"' AS CAMPO, "&amp;"'${ref_date}' AS REF_DATE, COUNT(*) AS NUM_REG, SUM(IF(TRIM(CAST(X."&amp;F625&amp;" AS STRING))='' OR TRIM(CAST(X."&amp;F625&amp;" AS STRING)) IS NULL OR CAST(X."&amp;F625&amp;" AS STRING) NOT "&amp;H625&amp;",1,0)) AS NUM_REG_DIF,'"&amp;MAX('ID1&amp;5'!K:K)+1&amp;"' AS ID_EXEC, CURRENT_TIMESTAMP() AS TIME_EXEC FROM "&amp;I625,"SELECT '"&amp;UPPER(B625)&amp;"' AS TABELA, '"&amp;UPPER(C625)&amp;"' AS TIPOLOGIA_TESTE,'"&amp;D625&amp;"' AS TABELA_LT,'N/A' AS TABELA_SIMUL,'"&amp;F625&amp;"' AS CAMPO, "&amp;"'${ref_date}' AS REF_DATE, COUNT(*) AS NUM_REG, SUM(IF(TRIM(CAST(X."&amp;F625&amp;" AS STRING))='' OR TRIM(CAST(X."&amp;F625&amp;" AS STRING)) IS NULL,1,0)) AS NUM_REG_DIF,'"&amp;MAX('ID1&amp;5'!K:K)+1&amp;"' AS ID_EXEC, CURRENT_TIMESTAMP() AS TIME_EXEC FROM "&amp;I625),
IF(C625="Caracteres Especiais",+"SELECT '"&amp;UPPER(B625)&amp;"' AS TABELA, '"&amp;UPPER(C625)&amp;"' AS TIPOLOGIA_TESTE,'"&amp;D625&amp;"' AS TABELA_LT,'N/A' AS TABELA_SIMUL,'"&amp;F625&amp;"' AS CAMPO, "&amp;"'${ref_date}' AS REF_DATE, COUNT(*) AS NUM_REG, SUM(IF(REGEXP_REPLACE(TRIM(CAST(X."&amp;F625&amp;" AS STRING)),'[^a-zA-Z0-9_\\s]','') &lt;&gt;TRIM(CAST(X."&amp;F625&amp;" AS STRING)),1,0)) AS NUM_REG_DIF,'"&amp;MAX('ID1&amp;5'!K:K)+1&amp;"' AS ID_EXEC, CURRENT_TIMESTAMP() AS TIME_EXEC FROM "&amp;I625,
IF(C625="Missings",+"SELECT '"&amp;UPPER(B625)&amp;"' AS TABELA, '"&amp;UPPER(C625)&amp;"' AS TIPOLOGIA_TESTE,'"&amp;D625&amp;"' AS TABELA_LT,'N/A' AS TABELA_SIMUL,'"&amp;F625&amp;"' AS CAMPO, "&amp;"'${ref_date}' AS REF_DATE, COUNT(*) AS NUM_REG, SUM(IF(TRIM(CAST(X."&amp;F625&amp;" AS STRING)) IN ('0000-00-00','0001-01-01','9999-12-31','MISS','00000','99999999999','99999999999.00','99999999999.000000'),1,0)) AS NUM_REG_DIF,'"&amp;MAX('ID1&amp;5'!K:K)+1&amp;"' AS ID_EXEC, CURRENT_TIMESTAMP() AS TIME_EXEC FROM "&amp;I625,
IF(C625="Not applicable",+"SELECT '"&amp;UPPER(B625)&amp;"' AS TABELA, '"&amp;UPPER(C625)&amp;"' AS TIPOLOGIA_TESTE,'"&amp;D625&amp;"' AS TABELA_LT,'N/A' AS TABELA_SIMUL,'"&amp;F625&amp;"' AS CAMPO, "&amp;"'${ref_date}' AS REF_DATE, COUNT(*) AS NUM_REG, SUM(IF(TRIM(CAST(X."&amp;F625&amp;" AS STRING)) IN ('N/A','11111111111','11111111111.00','11111111111.000000','1111-11-11'),1,0)) AS NUM_REG_DIF,'"&amp;MAX('ID1&amp;5'!K:K)+1&amp;"' AS ID_EXEC, CURRENT_TIMESTAMP() AS TIME_EXEC FROM "&amp;I625,
IF(C625="Valores extremos",+"SELECT '"&amp;UPPER(B625)&amp;"' AS TABELA, '"&amp;UPPER(C625)&amp;"' AS TIPOLOGIA_TESTE,'"&amp;D625&amp;"' AS TABELA_LT,'N/A' AS TABELA_SIMUL,'"&amp;F625&amp;"' AS CAMPO, "&amp;"'${ref_date}' AS REF_DATE, CAST(MIN("&amp;F625&amp;") AS STRING) AS VALOR_MIN, CAST(MAX("&amp;F625&amp;") AS STRING) AS VALOR_MAX,'"&amp;MAX('ID1&amp;5'!K:K)+1&amp;"' AS ID_EXEC, CURRENT_TIMESTAMP() AS TIME_EXEC FROM "&amp;MID(I625,1,LEN(I625)-2)&amp;" AND CAST("&amp;F625&amp;"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TABELA_SIMUL,'land_area' AS CAMPO, '${ref_date}' AS REF_DATE, COUNT(*) AS NUM_REG, SUM(IF(COALESCE(CAST(X.land_area AS STRING),'')&lt;&gt;COALESCE(CAST(Y.land_area_SIMUL AS STRING),'') OR (X.land_area IS NULL AND Y.land_area_SIMUL IS NOT NULL ) OR (X.land_area IS NOT NULL AND Y.land_area_SIMUL IS NULL),1,0)) AS NUM_REG_DIF,'1' AS ID_EXEC, CURRENT_TIMESTAMP() AS TIME_EXEC FROM (SELECT prtctn_id, land_area FROM BU_LOANTAPE_WORK.LT004_PROTECTION WHERE ref_date='${ref_date}' AND nome_perimetro='Individual Local' AND segmento='ESTR' AND ambito='SRB_MBDT' AND entidade='00100')X INNER JOIN (SELECT prtctn_id AS prtctn_id_SIMUL, land_area AS land_area_SIMUL FROM BU_LOANTAPE_WORK.SIMUL_LT004 WHERE ref_date='${ref_date}' AND nome_perimetro='Individual Local' AND segmento='ESTR' AND ambito='PILAR3' AND entidade='00100')Y ON X.PRTCTN_ID=Y.PRTCTN_ID_SIMUL</v>
      </c>
      <c r="M625" s="36" t="str">
        <f t="shared" ref="M625:M651" si="15">+"UNION ALL "&amp;L625</f>
        <v>UNION ALL SELECT 'PROTECTION' AS TABELA, 'COERÊNCIA' AS TIPOLOGIA_TESTE,'BU_LOANTAPE_WORK.LT004_PROTECTION' AS TABELA_LT,'BU_LOANTAPE_WORK.SIMUL_LT004' AS TABELA_SIMUL,'land_area' AS CAMPO, '${ref_date}' AS REF_DATE, COUNT(*) AS NUM_REG, SUM(IF(COALESCE(CAST(X.land_area AS STRING),'')&lt;&gt;COALESCE(CAST(Y.land_area_SIMUL AS STRING),'') OR (X.land_area IS NULL AND Y.land_area_SIMUL IS NOT NULL ) OR (X.land_area IS NOT NULL AND Y.land_area_SIMUL IS NULL),1,0)) AS NUM_REG_DIF,'1' AS ID_EXEC, CURRENT_TIMESTAMP() AS TIME_EXEC FROM (SELECT prtctn_id, land_area FROM BU_LOANTAPE_WORK.LT004_PROTECTION WHERE ref_date='${ref_date}' AND nome_perimetro='Individual Local' AND segmento='ESTR' AND ambito='SRB_MBDT' AND entidade='00100')X INNER JOIN (SELECT prtctn_id AS prtctn_id_SIMUL, land_area AS land_area_SIMUL FROM BU_LOANTAPE_WORK.SIMUL_LT004 WHERE ref_date='${ref_date}' AND nome_perimetro='Individual Local' AND segmento='ESTR' AND ambito='PILAR3' AND entidade='00100')Y ON X.PRTCTN_ID=Y.PRTCTN_ID_SIMUL</v>
      </c>
    </row>
    <row r="626" spans="2:13">
      <c r="B626" s="34" t="s">
        <v>119</v>
      </c>
      <c r="C626" s="34" t="s">
        <v>5</v>
      </c>
      <c r="D626" s="34" t="str">
        <f>+UPPER('0. Instruções'!$D$35&amp;"."&amp;VLOOKUP(B626,'0. Instruções'!$C$27:$D$32,2,FALSE))</f>
        <v>BU_LOANTAPE_WORK.LT004_PROTECTION</v>
      </c>
      <c r="E626" s="34" t="str">
        <f>+UPPER('0. Instruções'!$D$36&amp;"."&amp;VLOOKUP(B626,'0. Instruções'!$C$27:$E$32,3,FALSE))</f>
        <v>BU_LOANTAPE_WORK.SIMUL_LT004</v>
      </c>
      <c r="F626" s="34" t="s">
        <v>1543</v>
      </c>
      <c r="G626" s="34"/>
      <c r="H626" s="34"/>
      <c r="I626" s="34" t="str">
        <f>"(SELECT "&amp;VLOOKUP(B626,'0. Instruções'!$C$27:$G$32,4,FALSE)&amp;", "&amp;F626&amp;" FROM "&amp;D626&amp;" WHERE "&amp;'0. Instruções'!$D$42&amp;")X"</f>
        <v>(SELECT prtctn_id, lien_position FROM BU_LOANTAPE_WORK.LT004_PROTECTION WHERE ref_date='${ref_date}' AND nome_perimetro='Individual Local' AND segmento='ESTR' AND ambito='SRB_MBDT' AND entidade='00100')X</v>
      </c>
      <c r="J626" s="34" t="str">
        <f>"(SELECT "&amp;VLOOKUP(B626,'0. Instruções'!$C$27:$G$32,4,FALSE)&amp;" AS "&amp;VLOOKUP(B626,'0. Instruções'!$C$27:$G$32,4,FALSE)&amp;"_SIMUL, "&amp;F626&amp;" AS "&amp;F626&amp;"_SIMUL FROM "&amp;E626&amp;" WHERE "&amp;'0. Instruções'!$D$43&amp;")Y"</f>
        <v>(SELECT prtctn_id AS prtctn_id_SIMUL, lien_position AS lien_position_SIMUL FROM BU_LOANTAPE_WORK.SIMUL_LT004 WHERE ref_date='${ref_date}' AND nome_perimetro='Individual Local' AND segmento='ESTR' AND ambito='PILAR3' AND entidade='00100')Y</v>
      </c>
      <c r="K626" s="35" t="str">
        <f>+UPPER("ON X."&amp;VLOOKUP(B626,'0. Instruções'!$C$27:$G$32,4,FALSE)&amp;"=Y."&amp;VLOOKUP(B626,'0. Instruções'!$C$27:$G$32,4,FALSE)&amp;"_SIMUL")</f>
        <v>ON X.PRTCTN_ID=Y.PRTCTN_ID_SIMUL</v>
      </c>
      <c r="L626" s="35" t="str">
        <f>+IF(C626="Coerência", +IF(LEFT(G626,5)="FLOAT","SELECT '"&amp;UPPER(B626)&amp;"' AS TABELA, '"&amp;UPPER(C626)&amp;"' AS TIPOLOGIA_TESTE,'"&amp;D626&amp;"' AS TABELA_LT,'"&amp;E626&amp;"' AS TABELA_SIMUL,'"&amp;F626&amp;"' AS CAMPO, "&amp;"'${ref_date}' AS REF_DATE, COUNT(*) AS NUM_REG, SUM(IF((ABS(COALESCE(CAST(X."&amp;F626&amp;" AS DECIMAL(18,6)),0)-COALESCE(CAST(Y."&amp;F626&amp;"_SIMUL AS DECIMAL(18,6)),0))&gt;0.000001) OR (X."&amp;F626&amp;" IS NULL AND Y."&amp;F626&amp;"_SIMUL IS NOT NULL ) OR (X."&amp;F626&amp;" IS NOT NULL AND Y."&amp;F626&amp;"_SIMUL IS NULL),1,0)) AS NUM_REG_DIF,'"&amp;MAX('ID1&amp;5'!K:K)+1&amp;"' AS ID_EXEC, CURRENT_TIMESTAMP() AS TIME_EXEC FROM "&amp;I626&amp;" INNER JOIN "&amp;J626&amp;" "&amp;K626,"SELECT '"&amp;UPPER(B626)&amp;"' AS TABELA, '"&amp;UPPER(C626)&amp;"' AS TIPOLOGIA_TESTE,'"&amp;D626&amp;"' AS TABELA_LT,'"&amp;E626&amp;"' AS TABELA_SIMUL,'"&amp;F626&amp;"' AS CAMPO, "&amp;"'${ref_date}' AS REF_DATE, COUNT(*) AS NUM_REG, SUM(IF(COALESCE(CAST(X."&amp;F626&amp;" AS STRING),'')&lt;&gt;COALESCE(CAST(Y."&amp;F626&amp;"_SIMUL AS STRING),'') OR (X."&amp;F626&amp;" IS NULL AND Y."&amp;F626&amp;"_SIMUL IS NOT NULL ) OR (X."&amp;F626&amp;" IS NOT NULL AND Y."&amp;F626&amp;"_SIMUL IS NULL),1,0)) AS NUM_REG_DIF,'"&amp;MAX('ID1&amp;5'!L:L)+1&amp;"' AS ID_EXEC, CURRENT_TIMESTAMP() AS TIME_EXEC FROM "&amp;I626&amp;" INNER JOIN "&amp;J626&amp;" "&amp;K626),
IF(C626="Validade",+IF(G626="Code List","SELECT '"&amp;UPPER(B626)&amp;"' AS TABELA, '"&amp;UPPER(C626)&amp;"' AS TIPOLOGIA_TESTE,'"&amp;D626&amp;"' AS TABELA_LT,'N/A' AS TABELA_SIMUL,'"&amp;F626&amp;"' AS CAMPO, "&amp;"'${ref_date}' AS REF_DATE, COUNT(*) AS NUM_REG, SUM(IF(TRIM(CAST(X."&amp;F626&amp;" AS STRING))='' OR TRIM(CAST(X."&amp;F626&amp;" AS STRING)) IS NULL OR CAST(X."&amp;F626&amp;" AS STRING) NOT "&amp;H626&amp;",1,0)) AS NUM_REG_DIF,'"&amp;MAX('ID1&amp;5'!K:K)+1&amp;"' AS ID_EXEC, CURRENT_TIMESTAMP() AS TIME_EXEC FROM "&amp;I626,"SELECT '"&amp;UPPER(B626)&amp;"' AS TABELA, '"&amp;UPPER(C626)&amp;"' AS TIPOLOGIA_TESTE,'"&amp;D626&amp;"' AS TABELA_LT,'N/A' AS TABELA_SIMUL,'"&amp;F626&amp;"' AS CAMPO, "&amp;"'${ref_date}' AS REF_DATE, COUNT(*) AS NUM_REG, SUM(IF(TRIM(CAST(X."&amp;F626&amp;" AS STRING))='' OR TRIM(CAST(X."&amp;F626&amp;" AS STRING)) IS NULL,1,0)) AS NUM_REG_DIF,'"&amp;MAX('ID1&amp;5'!K:K)+1&amp;"' AS ID_EXEC, CURRENT_TIMESTAMP() AS TIME_EXEC FROM "&amp;I626),
IF(C626="Caracteres Especiais",+"SELECT '"&amp;UPPER(B626)&amp;"' AS TABELA, '"&amp;UPPER(C626)&amp;"' AS TIPOLOGIA_TESTE,'"&amp;D626&amp;"' AS TABELA_LT,'N/A' AS TABELA_SIMUL,'"&amp;F626&amp;"' AS CAMPO, "&amp;"'${ref_date}' AS REF_DATE, COUNT(*) AS NUM_REG, SUM(IF(REGEXP_REPLACE(TRIM(CAST(X."&amp;F626&amp;" AS STRING)),'[^a-zA-Z0-9_\\s]','') &lt;&gt;TRIM(CAST(X."&amp;F626&amp;" AS STRING)),1,0)) AS NUM_REG_DIF,'"&amp;MAX('ID1&amp;5'!K:K)+1&amp;"' AS ID_EXEC, CURRENT_TIMESTAMP() AS TIME_EXEC FROM "&amp;I626,
IF(C626="Missings",+"SELECT '"&amp;UPPER(B626)&amp;"' AS TABELA, '"&amp;UPPER(C626)&amp;"' AS TIPOLOGIA_TESTE,'"&amp;D626&amp;"' AS TABELA_LT,'N/A' AS TABELA_SIMUL,'"&amp;F626&amp;"' AS CAMPO, "&amp;"'${ref_date}' AS REF_DATE, COUNT(*) AS NUM_REG, SUM(IF(TRIM(CAST(X."&amp;F626&amp;" AS STRING)) IN ('0000-00-00','0001-01-01','9999-12-31','MISS','00000','99999999999','99999999999.00','99999999999.000000'),1,0)) AS NUM_REG_DIF,'"&amp;MAX('ID1&amp;5'!K:K)+1&amp;"' AS ID_EXEC, CURRENT_TIMESTAMP() AS TIME_EXEC FROM "&amp;I626,
IF(C626="Not applicable",+"SELECT '"&amp;UPPER(B626)&amp;"' AS TABELA, '"&amp;UPPER(C626)&amp;"' AS TIPOLOGIA_TESTE,'"&amp;D626&amp;"' AS TABELA_LT,'N/A' AS TABELA_SIMUL,'"&amp;F626&amp;"' AS CAMPO, "&amp;"'${ref_date}' AS REF_DATE, COUNT(*) AS NUM_REG, SUM(IF(TRIM(CAST(X."&amp;F626&amp;" AS STRING)) IN ('N/A','11111111111','11111111111.00','11111111111.000000','1111-11-11'),1,0)) AS NUM_REG_DIF,'"&amp;MAX('ID1&amp;5'!K:K)+1&amp;"' AS ID_EXEC, CURRENT_TIMESTAMP() AS TIME_EXEC FROM "&amp;I626,
IF(C626="Valores extremos",+"SELECT '"&amp;UPPER(B626)&amp;"' AS TABELA, '"&amp;UPPER(C626)&amp;"' AS TIPOLOGIA_TESTE,'"&amp;D626&amp;"' AS TABELA_LT,'N/A' AS TABELA_SIMUL,'"&amp;F626&amp;"' AS CAMPO, "&amp;"'${ref_date}' AS REF_DATE, CAST(MIN("&amp;F626&amp;") AS STRING) AS VALOR_MIN, CAST(MAX("&amp;F626&amp;") AS STRING) AS VALOR_MAX,'"&amp;MAX('ID1&amp;5'!K:K)+1&amp;"' AS ID_EXEC, CURRENT_TIMESTAMP() AS TIME_EXEC FROM "&amp;MID(I626,1,LEN(I626)-2)&amp;" AND CAST("&amp;F626&amp;"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TABELA_SIMUL,'lien_position' AS CAMPO, '${ref_date}' AS REF_DATE, COUNT(*) AS NUM_REG, SUM(IF(COALESCE(CAST(X.lien_position AS STRING),'')&lt;&gt;COALESCE(CAST(Y.lien_position_SIMUL AS STRING),'') OR (X.lien_position IS NULL AND Y.lien_position_SIMUL IS NOT NULL ) OR (X.lien_position IS NOT NULL AND Y.lien_position_SIMUL IS NULL),1,0)) AS NUM_REG_DIF,'1' AS ID_EXEC, CURRENT_TIMESTAMP() AS TIME_EXEC FROM (SELECT prtctn_id, lien_position FROM BU_LOANTAPE_WORK.LT004_PROTECTION WHERE ref_date='${ref_date}' AND nome_perimetro='Individual Local' AND segmento='ESTR' AND ambito='SRB_MBDT' AND entidade='00100')X INNER JOIN (SELECT prtctn_id AS prtctn_id_SIMUL, lien_position AS lien_position_SIMUL FROM BU_LOANTAPE_WORK.SIMUL_LT004 WHERE ref_date='${ref_date}' AND nome_perimetro='Individual Local' AND segmento='ESTR' AND ambito='PILAR3' AND entidade='00100')Y ON X.PRTCTN_ID=Y.PRTCTN_ID_SIMUL</v>
      </c>
      <c r="M626" s="36" t="str">
        <f t="shared" si="15"/>
        <v>UNION ALL SELECT 'PROTECTION' AS TABELA, 'COERÊNCIA' AS TIPOLOGIA_TESTE,'BU_LOANTAPE_WORK.LT004_PROTECTION' AS TABELA_LT,'BU_LOANTAPE_WORK.SIMUL_LT004' AS TABELA_SIMUL,'lien_position' AS CAMPO, '${ref_date}' AS REF_DATE, COUNT(*) AS NUM_REG, SUM(IF(COALESCE(CAST(X.lien_position AS STRING),'')&lt;&gt;COALESCE(CAST(Y.lien_position_SIMUL AS STRING),'') OR (X.lien_position IS NULL AND Y.lien_position_SIMUL IS NOT NULL ) OR (X.lien_position IS NOT NULL AND Y.lien_position_SIMUL IS NULL),1,0)) AS NUM_REG_DIF,'1' AS ID_EXEC, CURRENT_TIMESTAMP() AS TIME_EXEC FROM (SELECT prtctn_id, lien_position FROM BU_LOANTAPE_WORK.LT004_PROTECTION WHERE ref_date='${ref_date}' AND nome_perimetro='Individual Local' AND segmento='ESTR' AND ambito='SRB_MBDT' AND entidade='00100')X INNER JOIN (SELECT prtctn_id AS prtctn_id_SIMUL, lien_position AS lien_position_SIMUL FROM BU_LOANTAPE_WORK.SIMUL_LT004 WHERE ref_date='${ref_date}' AND nome_perimetro='Individual Local' AND segmento='ESTR' AND ambito='PILAR3' AND entidade='00100')Y ON X.PRTCTN_ID=Y.PRTCTN_ID_SIMUL</v>
      </c>
    </row>
    <row r="627" spans="2:13">
      <c r="B627" s="34" t="s">
        <v>119</v>
      </c>
      <c r="C627" s="34" t="s">
        <v>5</v>
      </c>
      <c r="D627" s="34" t="str">
        <f>+UPPER('0. Instruções'!$D$35&amp;"."&amp;VLOOKUP(B627,'0. Instruções'!$C$27:$D$32,2,FALSE))</f>
        <v>BU_LOANTAPE_WORK.LT004_PROTECTION</v>
      </c>
      <c r="E627" s="34" t="str">
        <f>+UPPER('0. Instruções'!$D$36&amp;"."&amp;VLOOKUP(B627,'0. Instruções'!$C$27:$E$32,3,FALSE))</f>
        <v>BU_LOANTAPE_WORK.SIMUL_LT004</v>
      </c>
      <c r="F627" s="34" t="s">
        <v>1544</v>
      </c>
      <c r="G627" s="34"/>
      <c r="H627" s="34"/>
      <c r="I627" s="34" t="str">
        <f>"(SELECT "&amp;VLOOKUP(B627,'0. Instruções'!$C$27:$G$32,4,FALSE)&amp;", "&amp;F627&amp;" FROM "&amp;D627&amp;" WHERE "&amp;'0. Instruções'!$D$42&amp;")X"</f>
        <v>(SELECT prtctn_id, det_type_ship_collateral FROM BU_LOANTAPE_WORK.LT004_PROTECTION WHERE ref_date='${ref_date}' AND nome_perimetro='Individual Local' AND segmento='ESTR' AND ambito='SRB_MBDT' AND entidade='00100')X</v>
      </c>
      <c r="J627" s="34" t="str">
        <f>"(SELECT "&amp;VLOOKUP(B627,'0. Instruções'!$C$27:$G$32,4,FALSE)&amp;" AS "&amp;VLOOKUP(B627,'0. Instruções'!$C$27:$G$32,4,FALSE)&amp;"_SIMUL, "&amp;F627&amp;" AS "&amp;F627&amp;"_SIMUL FROM "&amp;E627&amp;" WHERE "&amp;'0. Instruções'!$D$43&amp;")Y"</f>
        <v>(SELECT prtctn_id AS prtctn_id_SIMUL, det_type_ship_collateral AS det_type_ship_collateral_SIMUL FROM BU_LOANTAPE_WORK.SIMUL_LT004 WHERE ref_date='${ref_date}' AND nome_perimetro='Individual Local' AND segmento='ESTR' AND ambito='PILAR3' AND entidade='00100')Y</v>
      </c>
      <c r="K627" s="35" t="str">
        <f>+UPPER("ON X."&amp;VLOOKUP(B627,'0. Instruções'!$C$27:$G$32,4,FALSE)&amp;"=Y."&amp;VLOOKUP(B627,'0. Instruções'!$C$27:$G$32,4,FALSE)&amp;"_SIMUL")</f>
        <v>ON X.PRTCTN_ID=Y.PRTCTN_ID_SIMUL</v>
      </c>
      <c r="L627" s="35" t="str">
        <f>+IF(C627="Coerência", +IF(LEFT(G627,5)="FLOAT","SELECT '"&amp;UPPER(B627)&amp;"' AS TABELA, '"&amp;UPPER(C627)&amp;"' AS TIPOLOGIA_TESTE,'"&amp;D627&amp;"' AS TABELA_LT,'"&amp;E627&amp;"' AS TABELA_SIMUL,'"&amp;F627&amp;"' AS CAMPO, "&amp;"'${ref_date}' AS REF_DATE, COUNT(*) AS NUM_REG, SUM(IF((ABS(COALESCE(CAST(X."&amp;F627&amp;" AS DECIMAL(18,6)),0)-COALESCE(CAST(Y."&amp;F627&amp;"_SIMUL AS DECIMAL(18,6)),0))&gt;0.000001) OR (X."&amp;F627&amp;" IS NULL AND Y."&amp;F627&amp;"_SIMUL IS NOT NULL ) OR (X."&amp;F627&amp;" IS NOT NULL AND Y."&amp;F627&amp;"_SIMUL IS NULL),1,0)) AS NUM_REG_DIF,'"&amp;MAX('ID1&amp;5'!K:K)+1&amp;"' AS ID_EXEC, CURRENT_TIMESTAMP() AS TIME_EXEC FROM "&amp;I627&amp;" INNER JOIN "&amp;J627&amp;" "&amp;K627,"SELECT '"&amp;UPPER(B627)&amp;"' AS TABELA, '"&amp;UPPER(C627)&amp;"' AS TIPOLOGIA_TESTE,'"&amp;D627&amp;"' AS TABELA_LT,'"&amp;E627&amp;"' AS TABELA_SIMUL,'"&amp;F627&amp;"' AS CAMPO, "&amp;"'${ref_date}' AS REF_DATE, COUNT(*) AS NUM_REG, SUM(IF(COALESCE(CAST(X."&amp;F627&amp;" AS STRING),'')&lt;&gt;COALESCE(CAST(Y."&amp;F627&amp;"_SIMUL AS STRING),'') OR (X."&amp;F627&amp;" IS NULL AND Y."&amp;F627&amp;"_SIMUL IS NOT NULL ) OR (X."&amp;F627&amp;" IS NOT NULL AND Y."&amp;F627&amp;"_SIMUL IS NULL),1,0)) AS NUM_REG_DIF,'"&amp;MAX('ID1&amp;5'!L:L)+1&amp;"' AS ID_EXEC, CURRENT_TIMESTAMP() AS TIME_EXEC FROM "&amp;I627&amp;" INNER JOIN "&amp;J627&amp;" "&amp;K627),
IF(C627="Validade",+IF(G627="Code List","SELECT '"&amp;UPPER(B627)&amp;"' AS TABELA, '"&amp;UPPER(C627)&amp;"' AS TIPOLOGIA_TESTE,'"&amp;D627&amp;"' AS TABELA_LT,'N/A' AS TABELA_SIMUL,'"&amp;F627&amp;"' AS CAMPO, "&amp;"'${ref_date}' AS REF_DATE, COUNT(*) AS NUM_REG, SUM(IF(TRIM(CAST(X."&amp;F627&amp;" AS STRING))='' OR TRIM(CAST(X."&amp;F627&amp;" AS STRING)) IS NULL OR CAST(X."&amp;F627&amp;" AS STRING) NOT "&amp;H627&amp;",1,0)) AS NUM_REG_DIF,'"&amp;MAX('ID1&amp;5'!K:K)+1&amp;"' AS ID_EXEC, CURRENT_TIMESTAMP() AS TIME_EXEC FROM "&amp;I627,"SELECT '"&amp;UPPER(B627)&amp;"' AS TABELA, '"&amp;UPPER(C627)&amp;"' AS TIPOLOGIA_TESTE,'"&amp;D627&amp;"' AS TABELA_LT,'N/A' AS TABELA_SIMUL,'"&amp;F627&amp;"' AS CAMPO, "&amp;"'${ref_date}' AS REF_DATE, COUNT(*) AS NUM_REG, SUM(IF(TRIM(CAST(X."&amp;F627&amp;" AS STRING))='' OR TRIM(CAST(X."&amp;F627&amp;" AS STRING)) IS NULL,1,0)) AS NUM_REG_DIF,'"&amp;MAX('ID1&amp;5'!K:K)+1&amp;"' AS ID_EXEC, CURRENT_TIMESTAMP() AS TIME_EXEC FROM "&amp;I627),
IF(C627="Caracteres Especiais",+"SELECT '"&amp;UPPER(B627)&amp;"' AS TABELA, '"&amp;UPPER(C627)&amp;"' AS TIPOLOGIA_TESTE,'"&amp;D627&amp;"' AS TABELA_LT,'N/A' AS TABELA_SIMUL,'"&amp;F627&amp;"' AS CAMPO, "&amp;"'${ref_date}' AS REF_DATE, COUNT(*) AS NUM_REG, SUM(IF(REGEXP_REPLACE(TRIM(CAST(X."&amp;F627&amp;" AS STRING)),'[^a-zA-Z0-9_\\s]','') &lt;&gt;TRIM(CAST(X."&amp;F627&amp;" AS STRING)),1,0)) AS NUM_REG_DIF,'"&amp;MAX('ID1&amp;5'!K:K)+1&amp;"' AS ID_EXEC, CURRENT_TIMESTAMP() AS TIME_EXEC FROM "&amp;I627,
IF(C627="Missings",+"SELECT '"&amp;UPPER(B627)&amp;"' AS TABELA, '"&amp;UPPER(C627)&amp;"' AS TIPOLOGIA_TESTE,'"&amp;D627&amp;"' AS TABELA_LT,'N/A' AS TABELA_SIMUL,'"&amp;F627&amp;"' AS CAMPO, "&amp;"'${ref_date}' AS REF_DATE, COUNT(*) AS NUM_REG, SUM(IF(TRIM(CAST(X."&amp;F627&amp;" AS STRING)) IN ('0000-00-00','0001-01-01','9999-12-31','MISS','00000','99999999999','99999999999.00','99999999999.000000'),1,0)) AS NUM_REG_DIF,'"&amp;MAX('ID1&amp;5'!K:K)+1&amp;"' AS ID_EXEC, CURRENT_TIMESTAMP() AS TIME_EXEC FROM "&amp;I627,
IF(C627="Not applicable",+"SELECT '"&amp;UPPER(B627)&amp;"' AS TABELA, '"&amp;UPPER(C627)&amp;"' AS TIPOLOGIA_TESTE,'"&amp;D627&amp;"' AS TABELA_LT,'N/A' AS TABELA_SIMUL,'"&amp;F627&amp;"' AS CAMPO, "&amp;"'${ref_date}' AS REF_DATE, COUNT(*) AS NUM_REG, SUM(IF(TRIM(CAST(X."&amp;F627&amp;" AS STRING)) IN ('N/A','11111111111','11111111111.00','11111111111.000000','1111-11-11'),1,0)) AS NUM_REG_DIF,'"&amp;MAX('ID1&amp;5'!K:K)+1&amp;"' AS ID_EXEC, CURRENT_TIMESTAMP() AS TIME_EXEC FROM "&amp;I627,
IF(C627="Valores extremos",+"SELECT '"&amp;UPPER(B627)&amp;"' AS TABELA, '"&amp;UPPER(C627)&amp;"' AS TIPOLOGIA_TESTE,'"&amp;D627&amp;"' AS TABELA_LT,'N/A' AS TABELA_SIMUL,'"&amp;F627&amp;"' AS CAMPO, "&amp;"'${ref_date}' AS REF_DATE, CAST(MIN("&amp;F627&amp;") AS STRING) AS VALOR_MIN, CAST(MAX("&amp;F627&amp;") AS STRING) AS VALOR_MAX,'"&amp;MAX('ID1&amp;5'!K:K)+1&amp;"' AS ID_EXEC, CURRENT_TIMESTAMP() AS TIME_EXEC FROM "&amp;MID(I627,1,LEN(I627)-2)&amp;" AND CAST("&amp;F627&amp;"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TABELA_SIMUL,'det_type_ship_collateral' AS CAMPO, '${ref_date}' AS REF_DATE, COUNT(*) AS NUM_REG, SUM(IF(COALESCE(CAST(X.det_type_ship_collateral AS STRING),'')&lt;&gt;COALESCE(CAST(Y.det_type_ship_collateral_SIMUL AS STRING),'') OR (X.det_type_ship_collateral IS NULL AND Y.det_type_ship_collateral_SIMUL IS NOT NULL ) OR (X.det_type_ship_collateral IS NOT NULL AND Y.det_type_ship_collateral_SIMUL IS NULL),1,0)) AS NUM_REG_DIF,'1' AS ID_EXEC, CURRENT_TIMESTAMP() AS TIME_EXEC FROM (SELECT prtctn_id, det_type_ship_collateral FROM BU_LOANTAPE_WORK.LT004_PROTECTION WHERE ref_date='${ref_date}' AND nome_perimetro='Individual Local' AND segmento='ESTR' AND ambito='SRB_MBDT' AND entidade='00100')X INNER JOIN (SELECT prtctn_id AS prtctn_id_SIMUL, det_type_ship_collateral AS det_type_ship_collateral_SIMUL FROM BU_LOANTAPE_WORK.SIMUL_LT004 WHERE ref_date='${ref_date}' AND nome_perimetro='Individual Local' AND segmento='ESTR' AND ambito='PILAR3' AND entidade='00100')Y ON X.PRTCTN_ID=Y.PRTCTN_ID_SIMUL</v>
      </c>
      <c r="M627" s="36" t="str">
        <f t="shared" si="15"/>
        <v>UNION ALL SELECT 'PROTECTION' AS TABELA, 'COERÊNCIA' AS TIPOLOGIA_TESTE,'BU_LOANTAPE_WORK.LT004_PROTECTION' AS TABELA_LT,'BU_LOANTAPE_WORK.SIMUL_LT004' AS TABELA_SIMUL,'det_type_ship_collateral' AS CAMPO, '${ref_date}' AS REF_DATE, COUNT(*) AS NUM_REG, SUM(IF(COALESCE(CAST(X.det_type_ship_collateral AS STRING),'')&lt;&gt;COALESCE(CAST(Y.det_type_ship_collateral_SIMUL AS STRING),'') OR (X.det_type_ship_collateral IS NULL AND Y.det_type_ship_collateral_SIMUL IS NOT NULL ) OR (X.det_type_ship_collateral IS NOT NULL AND Y.det_type_ship_collateral_SIMUL IS NULL),1,0)) AS NUM_REG_DIF,'1' AS ID_EXEC, CURRENT_TIMESTAMP() AS TIME_EXEC FROM (SELECT prtctn_id, det_type_ship_collateral FROM BU_LOANTAPE_WORK.LT004_PROTECTION WHERE ref_date='${ref_date}' AND nome_perimetro='Individual Local' AND segmento='ESTR' AND ambito='SRB_MBDT' AND entidade='00100')X INNER JOIN (SELECT prtctn_id AS prtctn_id_SIMUL, det_type_ship_collateral AS det_type_ship_collateral_SIMUL FROM BU_LOANTAPE_WORK.SIMUL_LT004 WHERE ref_date='${ref_date}' AND nome_perimetro='Individual Local' AND segmento='ESTR' AND ambito='PILAR3' AND entidade='00100')Y ON X.PRTCTN_ID=Y.PRTCTN_ID_SIMUL</v>
      </c>
    </row>
    <row r="628" spans="2:13">
      <c r="B628" s="34" t="s">
        <v>119</v>
      </c>
      <c r="C628" s="34" t="s">
        <v>5</v>
      </c>
      <c r="D628" s="34" t="str">
        <f>+UPPER('0. Instruções'!$D$35&amp;"."&amp;VLOOKUP(B628,'0. Instruções'!$C$27:$D$32,2,FALSE))</f>
        <v>BU_LOANTAPE_WORK.LT004_PROTECTION</v>
      </c>
      <c r="E628" s="34" t="str">
        <f>+UPPER('0. Instruções'!$D$36&amp;"."&amp;VLOOKUP(B628,'0. Instruções'!$C$27:$E$32,3,FALSE))</f>
        <v>BU_LOANTAPE_WORK.SIMUL_LT004</v>
      </c>
      <c r="F628" s="34" t="s">
        <v>1545</v>
      </c>
      <c r="G628" s="34"/>
      <c r="H628" s="34"/>
      <c r="I628" s="34" t="str">
        <f>"(SELECT "&amp;VLOOKUP(B628,'0. Instruções'!$C$27:$G$32,4,FALSE)&amp;", "&amp;F628&amp;" FROM "&amp;D628&amp;" WHERE "&amp;'0. Instruções'!$D$42&amp;")X"</f>
        <v>(SELECT prtctn_id, instrument_id FROM BU_LOANTAPE_WORK.LT004_PROTECTION WHERE ref_date='${ref_date}' AND nome_perimetro='Individual Local' AND segmento='ESTR' AND ambito='SRB_MBDT' AND entidade='00100')X</v>
      </c>
      <c r="J628" s="34" t="str">
        <f>"(SELECT "&amp;VLOOKUP(B628,'0. Instruções'!$C$27:$G$32,4,FALSE)&amp;" AS "&amp;VLOOKUP(B628,'0. Instruções'!$C$27:$G$32,4,FALSE)&amp;"_SIMUL, "&amp;F628&amp;" AS "&amp;F628&amp;"_SIMUL FROM "&amp;E628&amp;" WHERE "&amp;'0. Instruções'!$D$43&amp;")Y"</f>
        <v>(SELECT prtctn_id AS prtctn_id_SIMUL, instrument_id AS instrument_id_SIMUL FROM BU_LOANTAPE_WORK.SIMUL_LT004 WHERE ref_date='${ref_date}' AND nome_perimetro='Individual Local' AND segmento='ESTR' AND ambito='PILAR3' AND entidade='00100')Y</v>
      </c>
      <c r="K628" s="35" t="str">
        <f>+UPPER("ON X."&amp;VLOOKUP(B628,'0. Instruções'!$C$27:$G$32,4,FALSE)&amp;"=Y."&amp;VLOOKUP(B628,'0. Instruções'!$C$27:$G$32,4,FALSE)&amp;"_SIMUL")</f>
        <v>ON X.PRTCTN_ID=Y.PRTCTN_ID_SIMUL</v>
      </c>
      <c r="L628" s="35" t="str">
        <f>+IF(C628="Coerência", +IF(LEFT(G628,5)="FLOAT","SELECT '"&amp;UPPER(B628)&amp;"' AS TABELA, '"&amp;UPPER(C628)&amp;"' AS TIPOLOGIA_TESTE,'"&amp;D628&amp;"' AS TABELA_LT,'"&amp;E628&amp;"' AS TABELA_SIMUL,'"&amp;F628&amp;"' AS CAMPO, "&amp;"'${ref_date}' AS REF_DATE, COUNT(*) AS NUM_REG, SUM(IF((ABS(COALESCE(CAST(X."&amp;F628&amp;" AS DECIMAL(18,6)),0)-COALESCE(CAST(Y."&amp;F628&amp;"_SIMUL AS DECIMAL(18,6)),0))&gt;0.000001) OR (X."&amp;F628&amp;" IS NULL AND Y."&amp;F628&amp;"_SIMUL IS NOT NULL ) OR (X."&amp;F628&amp;" IS NOT NULL AND Y."&amp;F628&amp;"_SIMUL IS NULL),1,0)) AS NUM_REG_DIF,'"&amp;MAX('ID1&amp;5'!K:K)+1&amp;"' AS ID_EXEC, CURRENT_TIMESTAMP() AS TIME_EXEC FROM "&amp;I628&amp;" INNER JOIN "&amp;J628&amp;" "&amp;K628,"SELECT '"&amp;UPPER(B628)&amp;"' AS TABELA, '"&amp;UPPER(C628)&amp;"' AS TIPOLOGIA_TESTE,'"&amp;D628&amp;"' AS TABELA_LT,'"&amp;E628&amp;"' AS TABELA_SIMUL,'"&amp;F628&amp;"' AS CAMPO, "&amp;"'${ref_date}' AS REF_DATE, COUNT(*) AS NUM_REG, SUM(IF(COALESCE(CAST(X."&amp;F628&amp;" AS STRING),'')&lt;&gt;COALESCE(CAST(Y."&amp;F628&amp;"_SIMUL AS STRING),'') OR (X."&amp;F628&amp;" IS NULL AND Y."&amp;F628&amp;"_SIMUL IS NOT NULL ) OR (X."&amp;F628&amp;" IS NOT NULL AND Y."&amp;F628&amp;"_SIMUL IS NULL),1,0)) AS NUM_REG_DIF,'"&amp;MAX('ID1&amp;5'!L:L)+1&amp;"' AS ID_EXEC, CURRENT_TIMESTAMP() AS TIME_EXEC FROM "&amp;I628&amp;" INNER JOIN "&amp;J628&amp;" "&amp;K628),
IF(C628="Validade",+IF(G628="Code List","SELECT '"&amp;UPPER(B628)&amp;"' AS TABELA, '"&amp;UPPER(C628)&amp;"' AS TIPOLOGIA_TESTE,'"&amp;D628&amp;"' AS TABELA_LT,'N/A' AS TABELA_SIMUL,'"&amp;F628&amp;"' AS CAMPO, "&amp;"'${ref_date}' AS REF_DATE, COUNT(*) AS NUM_REG, SUM(IF(TRIM(CAST(X."&amp;F628&amp;" AS STRING))='' OR TRIM(CAST(X."&amp;F628&amp;" AS STRING)) IS NULL OR CAST(X."&amp;F628&amp;" AS STRING) NOT "&amp;H628&amp;",1,0)) AS NUM_REG_DIF,'"&amp;MAX('ID1&amp;5'!K:K)+1&amp;"' AS ID_EXEC, CURRENT_TIMESTAMP() AS TIME_EXEC FROM "&amp;I628,"SELECT '"&amp;UPPER(B628)&amp;"' AS TABELA, '"&amp;UPPER(C628)&amp;"' AS TIPOLOGIA_TESTE,'"&amp;D628&amp;"' AS TABELA_LT,'N/A' AS TABELA_SIMUL,'"&amp;F628&amp;"' AS CAMPO, "&amp;"'${ref_date}' AS REF_DATE, COUNT(*) AS NUM_REG, SUM(IF(TRIM(CAST(X."&amp;F628&amp;" AS STRING))='' OR TRIM(CAST(X."&amp;F628&amp;" AS STRING)) IS NULL,1,0)) AS NUM_REG_DIF,'"&amp;MAX('ID1&amp;5'!K:K)+1&amp;"' AS ID_EXEC, CURRENT_TIMESTAMP() AS TIME_EXEC FROM "&amp;I628),
IF(C628="Caracteres Especiais",+"SELECT '"&amp;UPPER(B628)&amp;"' AS TABELA, '"&amp;UPPER(C628)&amp;"' AS TIPOLOGIA_TESTE,'"&amp;D628&amp;"' AS TABELA_LT,'N/A' AS TABELA_SIMUL,'"&amp;F628&amp;"' AS CAMPO, "&amp;"'${ref_date}' AS REF_DATE, COUNT(*) AS NUM_REG, SUM(IF(REGEXP_REPLACE(TRIM(CAST(X."&amp;F628&amp;" AS STRING)),'[^a-zA-Z0-9_\\s]','') &lt;&gt;TRIM(CAST(X."&amp;F628&amp;" AS STRING)),1,0)) AS NUM_REG_DIF,'"&amp;MAX('ID1&amp;5'!K:K)+1&amp;"' AS ID_EXEC, CURRENT_TIMESTAMP() AS TIME_EXEC FROM "&amp;I628,
IF(C628="Missings",+"SELECT '"&amp;UPPER(B628)&amp;"' AS TABELA, '"&amp;UPPER(C628)&amp;"' AS TIPOLOGIA_TESTE,'"&amp;D628&amp;"' AS TABELA_LT,'N/A' AS TABELA_SIMUL,'"&amp;F628&amp;"' AS CAMPO, "&amp;"'${ref_date}' AS REF_DATE, COUNT(*) AS NUM_REG, SUM(IF(TRIM(CAST(X."&amp;F628&amp;" AS STRING)) IN ('0000-00-00','0001-01-01','9999-12-31','MISS','00000','99999999999','99999999999.00','99999999999.000000'),1,0)) AS NUM_REG_DIF,'"&amp;MAX('ID1&amp;5'!K:K)+1&amp;"' AS ID_EXEC, CURRENT_TIMESTAMP() AS TIME_EXEC FROM "&amp;I628,
IF(C628="Not applicable",+"SELECT '"&amp;UPPER(B628)&amp;"' AS TABELA, '"&amp;UPPER(C628)&amp;"' AS TIPOLOGIA_TESTE,'"&amp;D628&amp;"' AS TABELA_LT,'N/A' AS TABELA_SIMUL,'"&amp;F628&amp;"' AS CAMPO, "&amp;"'${ref_date}' AS REF_DATE, COUNT(*) AS NUM_REG, SUM(IF(TRIM(CAST(X."&amp;F628&amp;" AS STRING)) IN ('N/A','11111111111','11111111111.00','11111111111.000000','1111-11-11'),1,0)) AS NUM_REG_DIF,'"&amp;MAX('ID1&amp;5'!K:K)+1&amp;"' AS ID_EXEC, CURRENT_TIMESTAMP() AS TIME_EXEC FROM "&amp;I628,
IF(C628="Valores extremos",+"SELECT '"&amp;UPPER(B628)&amp;"' AS TABELA, '"&amp;UPPER(C628)&amp;"' AS TIPOLOGIA_TESTE,'"&amp;D628&amp;"' AS TABELA_LT,'N/A' AS TABELA_SIMUL,'"&amp;F628&amp;"' AS CAMPO, "&amp;"'${ref_date}' AS REF_DATE, CAST(MIN("&amp;F628&amp;") AS STRING) AS VALOR_MIN, CAST(MAX("&amp;F628&amp;") AS STRING) AS VALOR_MAX,'"&amp;MAX('ID1&amp;5'!K:K)+1&amp;"' AS ID_EXEC, CURRENT_TIMESTAMP() AS TIME_EXEC FROM "&amp;MID(I628,1,LEN(I628)-2)&amp;" AND CAST("&amp;F628&amp;"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TABELA_SIMUL,'instrument_id' AS CAMPO, '${ref_date}' AS REF_DATE, COUNT(*) AS NUM_REG, SUM(IF(COALESCE(CAST(X.instrument_id AS STRING),'')&lt;&gt;COALESCE(CAST(Y.instrument_id_SIMUL AS STRING),'') OR (X.instrument_id IS NULL AND Y.instrument_id_SIMUL IS NOT NULL ) OR (X.instrument_id IS NOT NULL AND Y.instrument_id_SIMUL IS NULL),1,0)) AS NUM_REG_DIF,'1' AS ID_EXEC, CURRENT_TIMESTAMP() AS TIME_EXEC FROM (SELECT prtctn_id, instrument_id FROM BU_LOANTAPE_WORK.LT004_PROTECTION WHERE ref_date='${ref_date}' AND nome_perimetro='Individual Local' AND segmento='ESTR' AND ambito='SRB_MBDT' AND entidade='00100')X INNER JOIN (SELECT prtctn_id AS prtctn_id_SIMUL, instrument_id AS instrument_id_SIMUL FROM BU_LOANTAPE_WORK.SIMUL_LT004 WHERE ref_date='${ref_date}' AND nome_perimetro='Individual Local' AND segmento='ESTR' AND ambito='PILAR3' AND entidade='00100')Y ON X.PRTCTN_ID=Y.PRTCTN_ID_SIMUL</v>
      </c>
      <c r="M628" s="36" t="str">
        <f t="shared" si="15"/>
        <v>UNION ALL SELECT 'PROTECTION' AS TABELA, 'COERÊNCIA' AS TIPOLOGIA_TESTE,'BU_LOANTAPE_WORK.LT004_PROTECTION' AS TABELA_LT,'BU_LOANTAPE_WORK.SIMUL_LT004' AS TABELA_SIMUL,'instrument_id' AS CAMPO, '${ref_date}' AS REF_DATE, COUNT(*) AS NUM_REG, SUM(IF(COALESCE(CAST(X.instrument_id AS STRING),'')&lt;&gt;COALESCE(CAST(Y.instrument_id_SIMUL AS STRING),'') OR (X.instrument_id IS NULL AND Y.instrument_id_SIMUL IS NOT NULL ) OR (X.instrument_id IS NOT NULL AND Y.instrument_id_SIMUL IS NULL),1,0)) AS NUM_REG_DIF,'1' AS ID_EXEC, CURRENT_TIMESTAMP() AS TIME_EXEC FROM (SELECT prtctn_id, instrument_id FROM BU_LOANTAPE_WORK.LT004_PROTECTION WHERE ref_date='${ref_date}' AND nome_perimetro='Individual Local' AND segmento='ESTR' AND ambito='SRB_MBDT' AND entidade='00100')X INNER JOIN (SELECT prtctn_id AS prtctn_id_SIMUL, instrument_id AS instrument_id_SIMUL FROM BU_LOANTAPE_WORK.SIMUL_LT004 WHERE ref_date='${ref_date}' AND nome_perimetro='Individual Local' AND segmento='ESTR' AND ambito='PILAR3' AND entidade='00100')Y ON X.PRTCTN_ID=Y.PRTCTN_ID_SIMUL</v>
      </c>
    </row>
    <row r="629" spans="2:13">
      <c r="B629" s="34" t="s">
        <v>119</v>
      </c>
      <c r="C629" s="34" t="s">
        <v>5</v>
      </c>
      <c r="D629" s="34" t="str">
        <f>+UPPER('0. Instruções'!$D$35&amp;"."&amp;VLOOKUP(B629,'0. Instruções'!$C$27:$D$32,2,FALSE))</f>
        <v>BU_LOANTAPE_WORK.LT004_PROTECTION</v>
      </c>
      <c r="E629" s="34" t="str">
        <f>+UPPER('0. Instruções'!$D$36&amp;"."&amp;VLOOKUP(B629,'0. Instruções'!$C$27:$E$32,3,FALSE))</f>
        <v>BU_LOANTAPE_WORK.SIMUL_LT004</v>
      </c>
      <c r="F629" s="34" t="s">
        <v>1546</v>
      </c>
      <c r="G629" s="34"/>
      <c r="H629" s="34"/>
      <c r="I629" s="34" t="str">
        <f>"(SELECT "&amp;VLOOKUP(B629,'0. Instruções'!$C$27:$G$32,4,FALSE)&amp;", "&amp;F629&amp;" FROM "&amp;D629&amp;" WHERE "&amp;'0. Instruções'!$D$42&amp;")X"</f>
        <v>(SELECT prtctn_id, protection_allocated_value FROM BU_LOANTAPE_WORK.LT004_PROTECTION WHERE ref_date='${ref_date}' AND nome_perimetro='Individual Local' AND segmento='ESTR' AND ambito='SRB_MBDT' AND entidade='00100')X</v>
      </c>
      <c r="J629" s="34" t="str">
        <f>"(SELECT "&amp;VLOOKUP(B629,'0. Instruções'!$C$27:$G$32,4,FALSE)&amp;" AS "&amp;VLOOKUP(B629,'0. Instruções'!$C$27:$G$32,4,FALSE)&amp;"_SIMUL, "&amp;F629&amp;" AS "&amp;F629&amp;"_SIMUL FROM "&amp;E629&amp;" WHERE "&amp;'0. Instruções'!$D$43&amp;")Y"</f>
        <v>(SELECT prtctn_id AS prtctn_id_SIMUL, protection_allocated_value AS protection_allocated_value_SIMUL FROM BU_LOANTAPE_WORK.SIMUL_LT004 WHERE ref_date='${ref_date}' AND nome_perimetro='Individual Local' AND segmento='ESTR' AND ambito='PILAR3' AND entidade='00100')Y</v>
      </c>
      <c r="K629" s="35" t="str">
        <f>+UPPER("ON X."&amp;VLOOKUP(B629,'0. Instruções'!$C$27:$G$32,4,FALSE)&amp;"=Y."&amp;VLOOKUP(B629,'0. Instruções'!$C$27:$G$32,4,FALSE)&amp;"_SIMUL")</f>
        <v>ON X.PRTCTN_ID=Y.PRTCTN_ID_SIMUL</v>
      </c>
      <c r="L629" s="35" t="str">
        <f>+IF(C629="Coerência", +IF(LEFT(G629,5)="FLOAT","SELECT '"&amp;UPPER(B629)&amp;"' AS TABELA, '"&amp;UPPER(C629)&amp;"' AS TIPOLOGIA_TESTE,'"&amp;D629&amp;"' AS TABELA_LT,'"&amp;E629&amp;"' AS TABELA_SIMUL,'"&amp;F629&amp;"' AS CAMPO, "&amp;"'${ref_date}' AS REF_DATE, COUNT(*) AS NUM_REG, SUM(IF((ABS(COALESCE(CAST(X."&amp;F629&amp;" AS DECIMAL(18,6)),0)-COALESCE(CAST(Y."&amp;F629&amp;"_SIMUL AS DECIMAL(18,6)),0))&gt;0.000001) OR (X."&amp;F629&amp;" IS NULL AND Y."&amp;F629&amp;"_SIMUL IS NOT NULL ) OR (X."&amp;F629&amp;" IS NOT NULL AND Y."&amp;F629&amp;"_SIMUL IS NULL),1,0)) AS NUM_REG_DIF,'"&amp;MAX('ID1&amp;5'!K:K)+1&amp;"' AS ID_EXEC, CURRENT_TIMESTAMP() AS TIME_EXEC FROM "&amp;I629&amp;" INNER JOIN "&amp;J629&amp;" "&amp;K629,"SELECT '"&amp;UPPER(B629)&amp;"' AS TABELA, '"&amp;UPPER(C629)&amp;"' AS TIPOLOGIA_TESTE,'"&amp;D629&amp;"' AS TABELA_LT,'"&amp;E629&amp;"' AS TABELA_SIMUL,'"&amp;F629&amp;"' AS CAMPO, "&amp;"'${ref_date}' AS REF_DATE, COUNT(*) AS NUM_REG, SUM(IF(COALESCE(CAST(X."&amp;F629&amp;" AS STRING),'')&lt;&gt;COALESCE(CAST(Y."&amp;F629&amp;"_SIMUL AS STRING),'') OR (X."&amp;F629&amp;" IS NULL AND Y."&amp;F629&amp;"_SIMUL IS NOT NULL ) OR (X."&amp;F629&amp;" IS NOT NULL AND Y."&amp;F629&amp;"_SIMUL IS NULL),1,0)) AS NUM_REG_DIF,'"&amp;MAX('ID1&amp;5'!L:L)+1&amp;"' AS ID_EXEC, CURRENT_TIMESTAMP() AS TIME_EXEC FROM "&amp;I629&amp;" INNER JOIN "&amp;J629&amp;" "&amp;K629),
IF(C629="Validade",+IF(G629="Code List","SELECT '"&amp;UPPER(B629)&amp;"' AS TABELA, '"&amp;UPPER(C629)&amp;"' AS TIPOLOGIA_TESTE,'"&amp;D629&amp;"' AS TABELA_LT,'N/A' AS TABELA_SIMUL,'"&amp;F629&amp;"' AS CAMPO, "&amp;"'${ref_date}' AS REF_DATE, COUNT(*) AS NUM_REG, SUM(IF(TRIM(CAST(X."&amp;F629&amp;" AS STRING))='' OR TRIM(CAST(X."&amp;F629&amp;" AS STRING)) IS NULL OR CAST(X."&amp;F629&amp;" AS STRING) NOT "&amp;H629&amp;",1,0)) AS NUM_REG_DIF,'"&amp;MAX('ID1&amp;5'!K:K)+1&amp;"' AS ID_EXEC, CURRENT_TIMESTAMP() AS TIME_EXEC FROM "&amp;I629,"SELECT '"&amp;UPPER(B629)&amp;"' AS TABELA, '"&amp;UPPER(C629)&amp;"' AS TIPOLOGIA_TESTE,'"&amp;D629&amp;"' AS TABELA_LT,'N/A' AS TABELA_SIMUL,'"&amp;F629&amp;"' AS CAMPO, "&amp;"'${ref_date}' AS REF_DATE, COUNT(*) AS NUM_REG, SUM(IF(TRIM(CAST(X."&amp;F629&amp;" AS STRING))='' OR TRIM(CAST(X."&amp;F629&amp;" AS STRING)) IS NULL,1,0)) AS NUM_REG_DIF,'"&amp;MAX('ID1&amp;5'!K:K)+1&amp;"' AS ID_EXEC, CURRENT_TIMESTAMP() AS TIME_EXEC FROM "&amp;I629),
IF(C629="Caracteres Especiais",+"SELECT '"&amp;UPPER(B629)&amp;"' AS TABELA, '"&amp;UPPER(C629)&amp;"' AS TIPOLOGIA_TESTE,'"&amp;D629&amp;"' AS TABELA_LT,'N/A' AS TABELA_SIMUL,'"&amp;F629&amp;"' AS CAMPO, "&amp;"'${ref_date}' AS REF_DATE, COUNT(*) AS NUM_REG, SUM(IF(REGEXP_REPLACE(TRIM(CAST(X."&amp;F629&amp;" AS STRING)),'[^a-zA-Z0-9_\\s]','') &lt;&gt;TRIM(CAST(X."&amp;F629&amp;" AS STRING)),1,0)) AS NUM_REG_DIF,'"&amp;MAX('ID1&amp;5'!K:K)+1&amp;"' AS ID_EXEC, CURRENT_TIMESTAMP() AS TIME_EXEC FROM "&amp;I629,
IF(C629="Missings",+"SELECT '"&amp;UPPER(B629)&amp;"' AS TABELA, '"&amp;UPPER(C629)&amp;"' AS TIPOLOGIA_TESTE,'"&amp;D629&amp;"' AS TABELA_LT,'N/A' AS TABELA_SIMUL,'"&amp;F629&amp;"' AS CAMPO, "&amp;"'${ref_date}' AS REF_DATE, COUNT(*) AS NUM_REG, SUM(IF(TRIM(CAST(X."&amp;F629&amp;" AS STRING)) IN ('0000-00-00','0001-01-01','9999-12-31','MISS','00000','99999999999','99999999999.00','99999999999.000000'),1,0)) AS NUM_REG_DIF,'"&amp;MAX('ID1&amp;5'!K:K)+1&amp;"' AS ID_EXEC, CURRENT_TIMESTAMP() AS TIME_EXEC FROM "&amp;I629,
IF(C629="Not applicable",+"SELECT '"&amp;UPPER(B629)&amp;"' AS TABELA, '"&amp;UPPER(C629)&amp;"' AS TIPOLOGIA_TESTE,'"&amp;D629&amp;"' AS TABELA_LT,'N/A' AS TABELA_SIMUL,'"&amp;F629&amp;"' AS CAMPO, "&amp;"'${ref_date}' AS REF_DATE, COUNT(*) AS NUM_REG, SUM(IF(TRIM(CAST(X."&amp;F629&amp;" AS STRING)) IN ('N/A','11111111111','11111111111.00','11111111111.000000','1111-11-11'),1,0)) AS NUM_REG_DIF,'"&amp;MAX('ID1&amp;5'!K:K)+1&amp;"' AS ID_EXEC, CURRENT_TIMESTAMP() AS TIME_EXEC FROM "&amp;I629,
IF(C629="Valores extremos",+"SELECT '"&amp;UPPER(B629)&amp;"' AS TABELA, '"&amp;UPPER(C629)&amp;"' AS TIPOLOGIA_TESTE,'"&amp;D629&amp;"' AS TABELA_LT,'N/A' AS TABELA_SIMUL,'"&amp;F629&amp;"' AS CAMPO, "&amp;"'${ref_date}' AS REF_DATE, CAST(MIN("&amp;F629&amp;") AS STRING) AS VALOR_MIN, CAST(MAX("&amp;F629&amp;") AS STRING) AS VALOR_MAX,'"&amp;MAX('ID1&amp;5'!K:K)+1&amp;"' AS ID_EXEC, CURRENT_TIMESTAMP() AS TIME_EXEC FROM "&amp;MID(I629,1,LEN(I629)-2)&amp;" AND CAST("&amp;F629&amp;"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TABELA_SIMUL,'protection_allocated_value' AS CAMPO, '${ref_date}' AS REF_DATE, COUNT(*) AS NUM_REG, SUM(IF(COALESCE(CAST(X.protection_allocated_value AS STRING),'')&lt;&gt;COALESCE(CAST(Y.protection_allocated_value_SIMUL AS STRING),'') OR (X.protection_allocated_value IS NULL AND Y.protection_allocated_value_SIMUL IS NOT NULL ) OR (X.protection_allocated_value IS NOT NULL AND Y.protection_allocated_value_SIMUL IS NULL),1,0)) AS NUM_REG_DIF,'1' AS ID_EXEC, CURRENT_TIMESTAMP() AS TIME_EXEC FROM (SELECT prtctn_id, protection_allocated_value FROM BU_LOANTAPE_WORK.LT004_PROTECTION WHERE ref_date='${ref_date}' AND nome_perimetro='Individual Local' AND segmento='ESTR' AND ambito='SRB_MBDT' AND entidade='00100')X INNER JOIN (SELECT prtctn_id AS prtctn_id_SIMUL, protection_allocated_value AS protection_allocated_value_SIMUL FROM BU_LOANTAPE_WORK.SIMUL_LT004 WHERE ref_date='${ref_date}' AND nome_perimetro='Individual Local' AND segmento='ESTR' AND ambito='PILAR3' AND entidade='00100')Y ON X.PRTCTN_ID=Y.PRTCTN_ID_SIMUL</v>
      </c>
      <c r="M629" s="36" t="str">
        <f t="shared" si="15"/>
        <v>UNION ALL SELECT 'PROTECTION' AS TABELA, 'COERÊNCIA' AS TIPOLOGIA_TESTE,'BU_LOANTAPE_WORK.LT004_PROTECTION' AS TABELA_LT,'BU_LOANTAPE_WORK.SIMUL_LT004' AS TABELA_SIMUL,'protection_allocated_value' AS CAMPO, '${ref_date}' AS REF_DATE, COUNT(*) AS NUM_REG, SUM(IF(COALESCE(CAST(X.protection_allocated_value AS STRING),'')&lt;&gt;COALESCE(CAST(Y.protection_allocated_value_SIMUL AS STRING),'') OR (X.protection_allocated_value IS NULL AND Y.protection_allocated_value_SIMUL IS NOT NULL ) OR (X.protection_allocated_value IS NOT NULL AND Y.protection_allocated_value_SIMUL IS NULL),1,0)) AS NUM_REG_DIF,'1' AS ID_EXEC, CURRENT_TIMESTAMP() AS TIME_EXEC FROM (SELECT prtctn_id, protection_allocated_value FROM BU_LOANTAPE_WORK.LT004_PROTECTION WHERE ref_date='${ref_date}' AND nome_perimetro='Individual Local' AND segmento='ESTR' AND ambito='SRB_MBDT' AND entidade='00100')X INNER JOIN (SELECT prtctn_id AS prtctn_id_SIMUL, protection_allocated_value AS protection_allocated_value_SIMUL FROM BU_LOANTAPE_WORK.SIMUL_LT004 WHERE ref_date='${ref_date}' AND nome_perimetro='Individual Local' AND segmento='ESTR' AND ambito='PILAR3' AND entidade='00100')Y ON X.PRTCTN_ID=Y.PRTCTN_ID_SIMUL</v>
      </c>
    </row>
    <row r="630" spans="2:13">
      <c r="B630" s="34" t="s">
        <v>119</v>
      </c>
      <c r="C630" s="34" t="s">
        <v>5</v>
      </c>
      <c r="D630" s="34" t="str">
        <f>+UPPER('0. Instruções'!$D$35&amp;"."&amp;VLOOKUP(B630,'0. Instruções'!$C$27:$D$32,2,FALSE))</f>
        <v>BU_LOANTAPE_WORK.LT004_PROTECTION</v>
      </c>
      <c r="E630" s="34" t="str">
        <f>+UPPER('0. Instruções'!$D$36&amp;"."&amp;VLOOKUP(B630,'0. Instruções'!$C$27:$E$32,3,FALSE))</f>
        <v>BU_LOANTAPE_WORK.SIMUL_LT004</v>
      </c>
      <c r="F630" s="34" t="s">
        <v>1547</v>
      </c>
      <c r="G630" s="34"/>
      <c r="H630" s="34"/>
      <c r="I630" s="34" t="str">
        <f>"(SELECT "&amp;VLOOKUP(B630,'0. Instruções'!$C$27:$G$32,4,FALSE)&amp;", "&amp;F630&amp;" FROM "&amp;D630&amp;" WHERE "&amp;'0. Instruções'!$D$42&amp;")X"</f>
        <v>(SELECT prtctn_id, thirdparty_claims_protection FROM BU_LOANTAPE_WORK.LT004_PROTECTION WHERE ref_date='${ref_date}' AND nome_perimetro='Individual Local' AND segmento='ESTR' AND ambito='SRB_MBDT' AND entidade='00100')X</v>
      </c>
      <c r="J630" s="34" t="str">
        <f>"(SELECT "&amp;VLOOKUP(B630,'0. Instruções'!$C$27:$G$32,4,FALSE)&amp;" AS "&amp;VLOOKUP(B630,'0. Instruções'!$C$27:$G$32,4,FALSE)&amp;"_SIMUL, "&amp;F630&amp;" AS "&amp;F630&amp;"_SIMUL FROM "&amp;E630&amp;" WHERE "&amp;'0. Instruções'!$D$43&amp;")Y"</f>
        <v>(SELECT prtctn_id AS prtctn_id_SIMUL, thirdparty_claims_protection AS thirdparty_claims_protection_SIMUL FROM BU_LOANTAPE_WORK.SIMUL_LT004 WHERE ref_date='${ref_date}' AND nome_perimetro='Individual Local' AND segmento='ESTR' AND ambito='PILAR3' AND entidade='00100')Y</v>
      </c>
      <c r="K630" s="35" t="str">
        <f>+UPPER("ON X."&amp;VLOOKUP(B630,'0. Instruções'!$C$27:$G$32,4,FALSE)&amp;"=Y."&amp;VLOOKUP(B630,'0. Instruções'!$C$27:$G$32,4,FALSE)&amp;"_SIMUL")</f>
        <v>ON X.PRTCTN_ID=Y.PRTCTN_ID_SIMUL</v>
      </c>
      <c r="L630" s="35" t="str">
        <f>+IF(C630="Coerência", +IF(LEFT(G630,5)="FLOAT","SELECT '"&amp;UPPER(B630)&amp;"' AS TABELA, '"&amp;UPPER(C630)&amp;"' AS TIPOLOGIA_TESTE,'"&amp;D630&amp;"' AS TABELA_LT,'"&amp;E630&amp;"' AS TABELA_SIMUL,'"&amp;F630&amp;"' AS CAMPO, "&amp;"'${ref_date}' AS REF_DATE, COUNT(*) AS NUM_REG, SUM(IF((ABS(COALESCE(CAST(X."&amp;F630&amp;" AS DECIMAL(18,6)),0)-COALESCE(CAST(Y."&amp;F630&amp;"_SIMUL AS DECIMAL(18,6)),0))&gt;0.000001) OR (X."&amp;F630&amp;" IS NULL AND Y."&amp;F630&amp;"_SIMUL IS NOT NULL ) OR (X."&amp;F630&amp;" IS NOT NULL AND Y."&amp;F630&amp;"_SIMUL IS NULL),1,0)) AS NUM_REG_DIF,'"&amp;MAX('ID1&amp;5'!K:K)+1&amp;"' AS ID_EXEC, CURRENT_TIMESTAMP() AS TIME_EXEC FROM "&amp;I630&amp;" INNER JOIN "&amp;J630&amp;" "&amp;K630,"SELECT '"&amp;UPPER(B630)&amp;"' AS TABELA, '"&amp;UPPER(C630)&amp;"' AS TIPOLOGIA_TESTE,'"&amp;D630&amp;"' AS TABELA_LT,'"&amp;E630&amp;"' AS TABELA_SIMUL,'"&amp;F630&amp;"' AS CAMPO, "&amp;"'${ref_date}' AS REF_DATE, COUNT(*) AS NUM_REG, SUM(IF(COALESCE(CAST(X."&amp;F630&amp;" AS STRING),'')&lt;&gt;COALESCE(CAST(Y."&amp;F630&amp;"_SIMUL AS STRING),'') OR (X."&amp;F630&amp;" IS NULL AND Y."&amp;F630&amp;"_SIMUL IS NOT NULL ) OR (X."&amp;F630&amp;" IS NOT NULL AND Y."&amp;F630&amp;"_SIMUL IS NULL),1,0)) AS NUM_REG_DIF,'"&amp;MAX('ID1&amp;5'!L:L)+1&amp;"' AS ID_EXEC, CURRENT_TIMESTAMP() AS TIME_EXEC FROM "&amp;I630&amp;" INNER JOIN "&amp;J630&amp;" "&amp;K630),
IF(C630="Validade",+IF(G630="Code List","SELECT '"&amp;UPPER(B630)&amp;"' AS TABELA, '"&amp;UPPER(C630)&amp;"' AS TIPOLOGIA_TESTE,'"&amp;D630&amp;"' AS TABELA_LT,'N/A' AS TABELA_SIMUL,'"&amp;F630&amp;"' AS CAMPO, "&amp;"'${ref_date}' AS REF_DATE, COUNT(*) AS NUM_REG, SUM(IF(TRIM(CAST(X."&amp;F630&amp;" AS STRING))='' OR TRIM(CAST(X."&amp;F630&amp;" AS STRING)) IS NULL OR CAST(X."&amp;F630&amp;" AS STRING) NOT "&amp;H630&amp;",1,0)) AS NUM_REG_DIF,'"&amp;MAX('ID1&amp;5'!K:K)+1&amp;"' AS ID_EXEC, CURRENT_TIMESTAMP() AS TIME_EXEC FROM "&amp;I630,"SELECT '"&amp;UPPER(B630)&amp;"' AS TABELA, '"&amp;UPPER(C630)&amp;"' AS TIPOLOGIA_TESTE,'"&amp;D630&amp;"' AS TABELA_LT,'N/A' AS TABELA_SIMUL,'"&amp;F630&amp;"' AS CAMPO, "&amp;"'${ref_date}' AS REF_DATE, COUNT(*) AS NUM_REG, SUM(IF(TRIM(CAST(X."&amp;F630&amp;" AS STRING))='' OR TRIM(CAST(X."&amp;F630&amp;" AS STRING)) IS NULL,1,0)) AS NUM_REG_DIF,'"&amp;MAX('ID1&amp;5'!K:K)+1&amp;"' AS ID_EXEC, CURRENT_TIMESTAMP() AS TIME_EXEC FROM "&amp;I630),
IF(C630="Caracteres Especiais",+"SELECT '"&amp;UPPER(B630)&amp;"' AS TABELA, '"&amp;UPPER(C630)&amp;"' AS TIPOLOGIA_TESTE,'"&amp;D630&amp;"' AS TABELA_LT,'N/A' AS TABELA_SIMUL,'"&amp;F630&amp;"' AS CAMPO, "&amp;"'${ref_date}' AS REF_DATE, COUNT(*) AS NUM_REG, SUM(IF(REGEXP_REPLACE(TRIM(CAST(X."&amp;F630&amp;" AS STRING)),'[^a-zA-Z0-9_\\s]','') &lt;&gt;TRIM(CAST(X."&amp;F630&amp;" AS STRING)),1,0)) AS NUM_REG_DIF,'"&amp;MAX('ID1&amp;5'!K:K)+1&amp;"' AS ID_EXEC, CURRENT_TIMESTAMP() AS TIME_EXEC FROM "&amp;I630,
IF(C630="Missings",+"SELECT '"&amp;UPPER(B630)&amp;"' AS TABELA, '"&amp;UPPER(C630)&amp;"' AS TIPOLOGIA_TESTE,'"&amp;D630&amp;"' AS TABELA_LT,'N/A' AS TABELA_SIMUL,'"&amp;F630&amp;"' AS CAMPO, "&amp;"'${ref_date}' AS REF_DATE, COUNT(*) AS NUM_REG, SUM(IF(TRIM(CAST(X."&amp;F630&amp;" AS STRING)) IN ('0000-00-00','0001-01-01','9999-12-31','MISS','00000','99999999999','99999999999.00','99999999999.000000'),1,0)) AS NUM_REG_DIF,'"&amp;MAX('ID1&amp;5'!K:K)+1&amp;"' AS ID_EXEC, CURRENT_TIMESTAMP() AS TIME_EXEC FROM "&amp;I630,
IF(C630="Not applicable",+"SELECT '"&amp;UPPER(B630)&amp;"' AS TABELA, '"&amp;UPPER(C630)&amp;"' AS TIPOLOGIA_TESTE,'"&amp;D630&amp;"' AS TABELA_LT,'N/A' AS TABELA_SIMUL,'"&amp;F630&amp;"' AS CAMPO, "&amp;"'${ref_date}' AS REF_DATE, COUNT(*) AS NUM_REG, SUM(IF(TRIM(CAST(X."&amp;F630&amp;" AS STRING)) IN ('N/A','11111111111','11111111111.00','11111111111.000000','1111-11-11'),1,0)) AS NUM_REG_DIF,'"&amp;MAX('ID1&amp;5'!K:K)+1&amp;"' AS ID_EXEC, CURRENT_TIMESTAMP() AS TIME_EXEC FROM "&amp;I630,
IF(C630="Valores extremos",+"SELECT '"&amp;UPPER(B630)&amp;"' AS TABELA, '"&amp;UPPER(C630)&amp;"' AS TIPOLOGIA_TESTE,'"&amp;D630&amp;"' AS TABELA_LT,'N/A' AS TABELA_SIMUL,'"&amp;F630&amp;"' AS CAMPO, "&amp;"'${ref_date}' AS REF_DATE, CAST(MIN("&amp;F630&amp;") AS STRING) AS VALOR_MIN, CAST(MAX("&amp;F630&amp;") AS STRING) AS VALOR_MAX,'"&amp;MAX('ID1&amp;5'!K:K)+1&amp;"' AS ID_EXEC, CURRENT_TIMESTAMP() AS TIME_EXEC FROM "&amp;MID(I630,1,LEN(I630)-2)&amp;" AND CAST("&amp;F630&amp;"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TABELA_SIMUL,'thirdparty_claims_protection' AS CAMPO, '${ref_date}' AS REF_DATE, COUNT(*) AS NUM_REG, SUM(IF(COALESCE(CAST(X.thirdparty_claims_protection AS STRING),'')&lt;&gt;COALESCE(CAST(Y.thirdparty_claims_protection_SIMUL AS STRING),'') OR (X.thirdparty_claims_protection IS NULL AND Y.thirdparty_claims_protection_SIMUL IS NOT NULL ) OR (X.thirdparty_claims_protection IS NOT NULL AND Y.thirdparty_claims_protection_SIMUL IS NULL),1,0)) AS NUM_REG_DIF,'1' AS ID_EXEC, CURRENT_TIMESTAMP() AS TIME_EXEC FROM (SELECT prtctn_id, thirdparty_claims_protection FROM BU_LOANTAPE_WORK.LT004_PROTECTION WHERE ref_date='${ref_date}' AND nome_perimetro='Individual Local' AND segmento='ESTR' AND ambito='SRB_MBDT' AND entidade='00100')X INNER JOIN (SELECT prtctn_id AS prtctn_id_SIMUL, thirdparty_claims_protection AS thirdparty_claims_protection_SIMUL FROM BU_LOANTAPE_WORK.SIMUL_LT004 WHERE ref_date='${ref_date}' AND nome_perimetro='Individual Local' AND segmento='ESTR' AND ambito='PILAR3' AND entidade='00100')Y ON X.PRTCTN_ID=Y.PRTCTN_ID_SIMUL</v>
      </c>
      <c r="M630" s="36" t="str">
        <f t="shared" si="15"/>
        <v>UNION ALL SELECT 'PROTECTION' AS TABELA, 'COERÊNCIA' AS TIPOLOGIA_TESTE,'BU_LOANTAPE_WORK.LT004_PROTECTION' AS TABELA_LT,'BU_LOANTAPE_WORK.SIMUL_LT004' AS TABELA_SIMUL,'thirdparty_claims_protection' AS CAMPO, '${ref_date}' AS REF_DATE, COUNT(*) AS NUM_REG, SUM(IF(COALESCE(CAST(X.thirdparty_claims_protection AS STRING),'')&lt;&gt;COALESCE(CAST(Y.thirdparty_claims_protection_SIMUL AS STRING),'') OR (X.thirdparty_claims_protection IS NULL AND Y.thirdparty_claims_protection_SIMUL IS NOT NULL ) OR (X.thirdparty_claims_protection IS NOT NULL AND Y.thirdparty_claims_protection_SIMUL IS NULL),1,0)) AS NUM_REG_DIF,'1' AS ID_EXEC, CURRENT_TIMESTAMP() AS TIME_EXEC FROM (SELECT prtctn_id, thirdparty_claims_protection FROM BU_LOANTAPE_WORK.LT004_PROTECTION WHERE ref_date='${ref_date}' AND nome_perimetro='Individual Local' AND segmento='ESTR' AND ambito='SRB_MBDT' AND entidade='00100')X INNER JOIN (SELECT prtctn_id AS prtctn_id_SIMUL, thirdparty_claims_protection AS thirdparty_claims_protection_SIMUL FROM BU_LOANTAPE_WORK.SIMUL_LT004 WHERE ref_date='${ref_date}' AND nome_perimetro='Individual Local' AND segmento='ESTR' AND ambito='PILAR3' AND entidade='00100')Y ON X.PRTCTN_ID=Y.PRTCTN_ID_SIMUL</v>
      </c>
    </row>
    <row r="631" spans="2:13">
      <c r="B631" s="34" t="s">
        <v>119</v>
      </c>
      <c r="C631" s="34" t="s">
        <v>5</v>
      </c>
      <c r="D631" s="34" t="str">
        <f>+UPPER('0. Instruções'!$D$35&amp;"."&amp;VLOOKUP(B631,'0. Instruções'!$C$27:$D$32,2,FALSE))</f>
        <v>BU_LOANTAPE_WORK.LT004_PROTECTION</v>
      </c>
      <c r="E631" s="34" t="str">
        <f>+UPPER('0. Instruções'!$D$36&amp;"."&amp;VLOOKUP(B631,'0. Instruções'!$C$27:$E$32,3,FALSE))</f>
        <v>BU_LOANTAPE_WORK.SIMUL_LT004</v>
      </c>
      <c r="F631" s="34" t="s">
        <v>1548</v>
      </c>
      <c r="G631" s="34"/>
      <c r="H631" s="34"/>
      <c r="I631" s="34" t="str">
        <f>"(SELECT "&amp;VLOOKUP(B631,'0. Instruções'!$C$27:$G$32,4,FALSE)&amp;", "&amp;F631&amp;" FROM "&amp;D631&amp;" WHERE "&amp;'0. Instruções'!$D$42&amp;")X"</f>
        <v>(SELECT prtctn_id, amnt_cvrd_insrnc FROM BU_LOANTAPE_WORK.LT004_PROTECTION WHERE ref_date='${ref_date}' AND nome_perimetro='Individual Local' AND segmento='ESTR' AND ambito='SRB_MBDT' AND entidade='00100')X</v>
      </c>
      <c r="J631" s="34" t="str">
        <f>"(SELECT "&amp;VLOOKUP(B631,'0. Instruções'!$C$27:$G$32,4,FALSE)&amp;" AS "&amp;VLOOKUP(B631,'0. Instruções'!$C$27:$G$32,4,FALSE)&amp;"_SIMUL, "&amp;F631&amp;" AS "&amp;F631&amp;"_SIMUL FROM "&amp;E631&amp;" WHERE "&amp;'0. Instruções'!$D$43&amp;")Y"</f>
        <v>(SELECT prtctn_id AS prtctn_id_SIMUL, amnt_cvrd_insrnc AS amnt_cvrd_insrnc_SIMUL FROM BU_LOANTAPE_WORK.SIMUL_LT004 WHERE ref_date='${ref_date}' AND nome_perimetro='Individual Local' AND segmento='ESTR' AND ambito='PILAR3' AND entidade='00100')Y</v>
      </c>
      <c r="K631" s="35" t="str">
        <f>+UPPER("ON X."&amp;VLOOKUP(B631,'0. Instruções'!$C$27:$G$32,4,FALSE)&amp;"=Y."&amp;VLOOKUP(B631,'0. Instruções'!$C$27:$G$32,4,FALSE)&amp;"_SIMUL")</f>
        <v>ON X.PRTCTN_ID=Y.PRTCTN_ID_SIMUL</v>
      </c>
      <c r="L631" s="35" t="str">
        <f>+IF(C631="Coerência", +IF(LEFT(G631,5)="FLOAT","SELECT '"&amp;UPPER(B631)&amp;"' AS TABELA, '"&amp;UPPER(C631)&amp;"' AS TIPOLOGIA_TESTE,'"&amp;D631&amp;"' AS TABELA_LT,'"&amp;E631&amp;"' AS TABELA_SIMUL,'"&amp;F631&amp;"' AS CAMPO, "&amp;"'${ref_date}' AS REF_DATE, COUNT(*) AS NUM_REG, SUM(IF((ABS(COALESCE(CAST(X."&amp;F631&amp;" AS DECIMAL(18,6)),0)-COALESCE(CAST(Y."&amp;F631&amp;"_SIMUL AS DECIMAL(18,6)),0))&gt;0.000001) OR (X."&amp;F631&amp;" IS NULL AND Y."&amp;F631&amp;"_SIMUL IS NOT NULL ) OR (X."&amp;F631&amp;" IS NOT NULL AND Y."&amp;F631&amp;"_SIMUL IS NULL),1,0)) AS NUM_REG_DIF,'"&amp;MAX('ID1&amp;5'!K:K)+1&amp;"' AS ID_EXEC, CURRENT_TIMESTAMP() AS TIME_EXEC FROM "&amp;I631&amp;" INNER JOIN "&amp;J631&amp;" "&amp;K631,"SELECT '"&amp;UPPER(B631)&amp;"' AS TABELA, '"&amp;UPPER(C631)&amp;"' AS TIPOLOGIA_TESTE,'"&amp;D631&amp;"' AS TABELA_LT,'"&amp;E631&amp;"' AS TABELA_SIMUL,'"&amp;F631&amp;"' AS CAMPO, "&amp;"'${ref_date}' AS REF_DATE, COUNT(*) AS NUM_REG, SUM(IF(COALESCE(CAST(X."&amp;F631&amp;" AS STRING),'')&lt;&gt;COALESCE(CAST(Y."&amp;F631&amp;"_SIMUL AS STRING),'') OR (X."&amp;F631&amp;" IS NULL AND Y."&amp;F631&amp;"_SIMUL IS NOT NULL ) OR (X."&amp;F631&amp;" IS NOT NULL AND Y."&amp;F631&amp;"_SIMUL IS NULL),1,0)) AS NUM_REG_DIF,'"&amp;MAX('ID1&amp;5'!L:L)+1&amp;"' AS ID_EXEC, CURRENT_TIMESTAMP() AS TIME_EXEC FROM "&amp;I631&amp;" INNER JOIN "&amp;J631&amp;" "&amp;K631),
IF(C631="Validade",+IF(G631="Code List","SELECT '"&amp;UPPER(B631)&amp;"' AS TABELA, '"&amp;UPPER(C631)&amp;"' AS TIPOLOGIA_TESTE,'"&amp;D631&amp;"' AS TABELA_LT,'N/A' AS TABELA_SIMUL,'"&amp;F631&amp;"' AS CAMPO, "&amp;"'${ref_date}' AS REF_DATE, COUNT(*) AS NUM_REG, SUM(IF(TRIM(CAST(X."&amp;F631&amp;" AS STRING))='' OR TRIM(CAST(X."&amp;F631&amp;" AS STRING)) IS NULL OR CAST(X."&amp;F631&amp;" AS STRING) NOT "&amp;H631&amp;",1,0)) AS NUM_REG_DIF,'"&amp;MAX('ID1&amp;5'!K:K)+1&amp;"' AS ID_EXEC, CURRENT_TIMESTAMP() AS TIME_EXEC FROM "&amp;I631,"SELECT '"&amp;UPPER(B631)&amp;"' AS TABELA, '"&amp;UPPER(C631)&amp;"' AS TIPOLOGIA_TESTE,'"&amp;D631&amp;"' AS TABELA_LT,'N/A' AS TABELA_SIMUL,'"&amp;F631&amp;"' AS CAMPO, "&amp;"'${ref_date}' AS REF_DATE, COUNT(*) AS NUM_REG, SUM(IF(TRIM(CAST(X."&amp;F631&amp;" AS STRING))='' OR TRIM(CAST(X."&amp;F631&amp;" AS STRING)) IS NULL,1,0)) AS NUM_REG_DIF,'"&amp;MAX('ID1&amp;5'!K:K)+1&amp;"' AS ID_EXEC, CURRENT_TIMESTAMP() AS TIME_EXEC FROM "&amp;I631),
IF(C631="Caracteres Especiais",+"SELECT '"&amp;UPPER(B631)&amp;"' AS TABELA, '"&amp;UPPER(C631)&amp;"' AS TIPOLOGIA_TESTE,'"&amp;D631&amp;"' AS TABELA_LT,'N/A' AS TABELA_SIMUL,'"&amp;F631&amp;"' AS CAMPO, "&amp;"'${ref_date}' AS REF_DATE, COUNT(*) AS NUM_REG, SUM(IF(REGEXP_REPLACE(TRIM(CAST(X."&amp;F631&amp;" AS STRING)),'[^a-zA-Z0-9_\\s]','') &lt;&gt;TRIM(CAST(X."&amp;F631&amp;" AS STRING)),1,0)) AS NUM_REG_DIF,'"&amp;MAX('ID1&amp;5'!K:K)+1&amp;"' AS ID_EXEC, CURRENT_TIMESTAMP() AS TIME_EXEC FROM "&amp;I631,
IF(C631="Missings",+"SELECT '"&amp;UPPER(B631)&amp;"' AS TABELA, '"&amp;UPPER(C631)&amp;"' AS TIPOLOGIA_TESTE,'"&amp;D631&amp;"' AS TABELA_LT,'N/A' AS TABELA_SIMUL,'"&amp;F631&amp;"' AS CAMPO, "&amp;"'${ref_date}' AS REF_DATE, COUNT(*) AS NUM_REG, SUM(IF(TRIM(CAST(X."&amp;F631&amp;" AS STRING)) IN ('0000-00-00','0001-01-01','9999-12-31','MISS','00000','99999999999','99999999999.00','99999999999.000000'),1,0)) AS NUM_REG_DIF,'"&amp;MAX('ID1&amp;5'!K:K)+1&amp;"' AS ID_EXEC, CURRENT_TIMESTAMP() AS TIME_EXEC FROM "&amp;I631,
IF(C631="Not applicable",+"SELECT '"&amp;UPPER(B631)&amp;"' AS TABELA, '"&amp;UPPER(C631)&amp;"' AS TIPOLOGIA_TESTE,'"&amp;D631&amp;"' AS TABELA_LT,'N/A' AS TABELA_SIMUL,'"&amp;F631&amp;"' AS CAMPO, "&amp;"'${ref_date}' AS REF_DATE, COUNT(*) AS NUM_REG, SUM(IF(TRIM(CAST(X."&amp;F631&amp;" AS STRING)) IN ('N/A','11111111111','11111111111.00','11111111111.000000','1111-11-11'),1,0)) AS NUM_REG_DIF,'"&amp;MAX('ID1&amp;5'!K:K)+1&amp;"' AS ID_EXEC, CURRENT_TIMESTAMP() AS TIME_EXEC FROM "&amp;I631,
IF(C631="Valores extremos",+"SELECT '"&amp;UPPER(B631)&amp;"' AS TABELA, '"&amp;UPPER(C631)&amp;"' AS TIPOLOGIA_TESTE,'"&amp;D631&amp;"' AS TABELA_LT,'N/A' AS TABELA_SIMUL,'"&amp;F631&amp;"' AS CAMPO, "&amp;"'${ref_date}' AS REF_DATE, CAST(MIN("&amp;F631&amp;") AS STRING) AS VALOR_MIN, CAST(MAX("&amp;F631&amp;") AS STRING) AS VALOR_MAX,'"&amp;MAX('ID1&amp;5'!K:K)+1&amp;"' AS ID_EXEC, CURRENT_TIMESTAMP() AS TIME_EXEC FROM "&amp;MID(I631,1,LEN(I631)-2)&amp;" AND CAST("&amp;F631&amp;"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TABELA_SIMUL,'amnt_cvrd_insrnc' AS CAMPO, '${ref_date}' AS REF_DATE, COUNT(*) AS NUM_REG, SUM(IF(COALESCE(CAST(X.amnt_cvrd_insrnc AS STRING),'')&lt;&gt;COALESCE(CAST(Y.amnt_cvrd_insrnc_SIMUL AS STRING),'') OR (X.amnt_cvrd_insrnc IS NULL AND Y.amnt_cvrd_insrnc_SIMUL IS NOT NULL ) OR (X.amnt_cvrd_insrnc IS NOT NULL AND Y.amnt_cvrd_insrnc_SIMUL IS NULL),1,0)) AS NUM_REG_DIF,'1' AS ID_EXEC, CURRENT_TIMESTAMP() AS TIME_EXEC FROM (SELECT prtctn_id, amnt_cvrd_insrnc FROM BU_LOANTAPE_WORK.LT004_PROTECTION WHERE ref_date='${ref_date}' AND nome_perimetro='Individual Local' AND segmento='ESTR' AND ambito='SRB_MBDT' AND entidade='00100')X INNER JOIN (SELECT prtctn_id AS prtctn_id_SIMUL, amnt_cvrd_insrnc AS amnt_cvrd_insrnc_SIMUL FROM BU_LOANTAPE_WORK.SIMUL_LT004 WHERE ref_date='${ref_date}' AND nome_perimetro='Individual Local' AND segmento='ESTR' AND ambito='PILAR3' AND entidade='00100')Y ON X.PRTCTN_ID=Y.PRTCTN_ID_SIMUL</v>
      </c>
      <c r="M631" s="36" t="str">
        <f t="shared" si="15"/>
        <v>UNION ALL SELECT 'PROTECTION' AS TABELA, 'COERÊNCIA' AS TIPOLOGIA_TESTE,'BU_LOANTAPE_WORK.LT004_PROTECTION' AS TABELA_LT,'BU_LOANTAPE_WORK.SIMUL_LT004' AS TABELA_SIMUL,'amnt_cvrd_insrnc' AS CAMPO, '${ref_date}' AS REF_DATE, COUNT(*) AS NUM_REG, SUM(IF(COALESCE(CAST(X.amnt_cvrd_insrnc AS STRING),'')&lt;&gt;COALESCE(CAST(Y.amnt_cvrd_insrnc_SIMUL AS STRING),'') OR (X.amnt_cvrd_insrnc IS NULL AND Y.amnt_cvrd_insrnc_SIMUL IS NOT NULL ) OR (X.amnt_cvrd_insrnc IS NOT NULL AND Y.amnt_cvrd_insrnc_SIMUL IS NULL),1,0)) AS NUM_REG_DIF,'1' AS ID_EXEC, CURRENT_TIMESTAMP() AS TIME_EXEC FROM (SELECT prtctn_id, amnt_cvrd_insrnc FROM BU_LOANTAPE_WORK.LT004_PROTECTION WHERE ref_date='${ref_date}' AND nome_perimetro='Individual Local' AND segmento='ESTR' AND ambito='SRB_MBDT' AND entidade='00100')X INNER JOIN (SELECT prtctn_id AS prtctn_id_SIMUL, amnt_cvrd_insrnc AS amnt_cvrd_insrnc_SIMUL FROM BU_LOANTAPE_WORK.SIMUL_LT004 WHERE ref_date='${ref_date}' AND nome_perimetro='Individual Local' AND segmento='ESTR' AND ambito='PILAR3' AND entidade='00100')Y ON X.PRTCTN_ID=Y.PRTCTN_ID_SIMUL</v>
      </c>
    </row>
    <row r="632" spans="2:13">
      <c r="B632" s="34" t="s">
        <v>119</v>
      </c>
      <c r="C632" s="34" t="s">
        <v>5</v>
      </c>
      <c r="D632" s="34" t="str">
        <f>+UPPER('0. Instruções'!$D$35&amp;"."&amp;VLOOKUP(B632,'0. Instruções'!$C$27:$D$32,2,FALSE))</f>
        <v>BU_LOANTAPE_WORK.LT004_PROTECTION</v>
      </c>
      <c r="E632" s="34" t="str">
        <f>+UPPER('0. Instruções'!$D$36&amp;"."&amp;VLOOKUP(B632,'0. Instruções'!$C$27:$E$32,3,FALSE))</f>
        <v>BU_LOANTAPE_WORK.SIMUL_LT004</v>
      </c>
      <c r="F632" s="34" t="s">
        <v>1549</v>
      </c>
      <c r="G632" s="34"/>
      <c r="H632" s="34"/>
      <c r="I632" s="34" t="str">
        <f>"(SELECT "&amp;VLOOKUP(B632,'0. Instruções'!$C$27:$G$32,4,FALSE)&amp;", "&amp;F632&amp;" FROM "&amp;D632&amp;" WHERE "&amp;'0. Instruções'!$D$42&amp;")X"</f>
        <v>(SELECT prtctn_id, bldng_ar FROM BU_LOANTAPE_WORK.LT004_PROTECTION WHERE ref_date='${ref_date}' AND nome_perimetro='Individual Local' AND segmento='ESTR' AND ambito='SRB_MBDT' AND entidade='00100')X</v>
      </c>
      <c r="J632" s="34" t="str">
        <f>"(SELECT "&amp;VLOOKUP(B632,'0. Instruções'!$C$27:$G$32,4,FALSE)&amp;" AS "&amp;VLOOKUP(B632,'0. Instruções'!$C$27:$G$32,4,FALSE)&amp;"_SIMUL, "&amp;F632&amp;" AS "&amp;F632&amp;"_SIMUL FROM "&amp;E632&amp;" WHERE "&amp;'0. Instruções'!$D$43&amp;")Y"</f>
        <v>(SELECT prtctn_id AS prtctn_id_SIMUL, bldng_ar AS bldng_ar_SIMUL FROM BU_LOANTAPE_WORK.SIMUL_LT004 WHERE ref_date='${ref_date}' AND nome_perimetro='Individual Local' AND segmento='ESTR' AND ambito='PILAR3' AND entidade='00100')Y</v>
      </c>
      <c r="K632" s="35" t="str">
        <f>+UPPER("ON X."&amp;VLOOKUP(B632,'0. Instruções'!$C$27:$G$32,4,FALSE)&amp;"=Y."&amp;VLOOKUP(B632,'0. Instruções'!$C$27:$G$32,4,FALSE)&amp;"_SIMUL")</f>
        <v>ON X.PRTCTN_ID=Y.PRTCTN_ID_SIMUL</v>
      </c>
      <c r="L632" s="35" t="str">
        <f>+IF(C632="Coerência", +IF(LEFT(G632,5)="FLOAT","SELECT '"&amp;UPPER(B632)&amp;"' AS TABELA, '"&amp;UPPER(C632)&amp;"' AS TIPOLOGIA_TESTE,'"&amp;D632&amp;"' AS TABELA_LT,'"&amp;E632&amp;"' AS TABELA_SIMUL,'"&amp;F632&amp;"' AS CAMPO, "&amp;"'${ref_date}' AS REF_DATE, COUNT(*) AS NUM_REG, SUM(IF((ABS(COALESCE(CAST(X."&amp;F632&amp;" AS DECIMAL(18,6)),0)-COALESCE(CAST(Y."&amp;F632&amp;"_SIMUL AS DECIMAL(18,6)),0))&gt;0.000001) OR (X."&amp;F632&amp;" IS NULL AND Y."&amp;F632&amp;"_SIMUL IS NOT NULL ) OR (X."&amp;F632&amp;" IS NOT NULL AND Y."&amp;F632&amp;"_SIMUL IS NULL),1,0)) AS NUM_REG_DIF,'"&amp;MAX('ID1&amp;5'!K:K)+1&amp;"' AS ID_EXEC, CURRENT_TIMESTAMP() AS TIME_EXEC FROM "&amp;I632&amp;" INNER JOIN "&amp;J632&amp;" "&amp;K632,"SELECT '"&amp;UPPER(B632)&amp;"' AS TABELA, '"&amp;UPPER(C632)&amp;"' AS TIPOLOGIA_TESTE,'"&amp;D632&amp;"' AS TABELA_LT,'"&amp;E632&amp;"' AS TABELA_SIMUL,'"&amp;F632&amp;"' AS CAMPO, "&amp;"'${ref_date}' AS REF_DATE, COUNT(*) AS NUM_REG, SUM(IF(COALESCE(CAST(X."&amp;F632&amp;" AS STRING),'')&lt;&gt;COALESCE(CAST(Y."&amp;F632&amp;"_SIMUL AS STRING),'') OR (X."&amp;F632&amp;" IS NULL AND Y."&amp;F632&amp;"_SIMUL IS NOT NULL ) OR (X."&amp;F632&amp;" IS NOT NULL AND Y."&amp;F632&amp;"_SIMUL IS NULL),1,0)) AS NUM_REG_DIF,'"&amp;MAX('ID1&amp;5'!L:L)+1&amp;"' AS ID_EXEC, CURRENT_TIMESTAMP() AS TIME_EXEC FROM "&amp;I632&amp;" INNER JOIN "&amp;J632&amp;" "&amp;K632),
IF(C632="Validade",+IF(G632="Code List","SELECT '"&amp;UPPER(B632)&amp;"' AS TABELA, '"&amp;UPPER(C632)&amp;"' AS TIPOLOGIA_TESTE,'"&amp;D632&amp;"' AS TABELA_LT,'N/A' AS TABELA_SIMUL,'"&amp;F632&amp;"' AS CAMPO, "&amp;"'${ref_date}' AS REF_DATE, COUNT(*) AS NUM_REG, SUM(IF(TRIM(CAST(X."&amp;F632&amp;" AS STRING))='' OR TRIM(CAST(X."&amp;F632&amp;" AS STRING)) IS NULL OR CAST(X."&amp;F632&amp;" AS STRING) NOT "&amp;H632&amp;",1,0)) AS NUM_REG_DIF,'"&amp;MAX('ID1&amp;5'!K:K)+1&amp;"' AS ID_EXEC, CURRENT_TIMESTAMP() AS TIME_EXEC FROM "&amp;I632,"SELECT '"&amp;UPPER(B632)&amp;"' AS TABELA, '"&amp;UPPER(C632)&amp;"' AS TIPOLOGIA_TESTE,'"&amp;D632&amp;"' AS TABELA_LT,'N/A' AS TABELA_SIMUL,'"&amp;F632&amp;"' AS CAMPO, "&amp;"'${ref_date}' AS REF_DATE, COUNT(*) AS NUM_REG, SUM(IF(TRIM(CAST(X."&amp;F632&amp;" AS STRING))='' OR TRIM(CAST(X."&amp;F632&amp;" AS STRING)) IS NULL,1,0)) AS NUM_REG_DIF,'"&amp;MAX('ID1&amp;5'!K:K)+1&amp;"' AS ID_EXEC, CURRENT_TIMESTAMP() AS TIME_EXEC FROM "&amp;I632),
IF(C632="Caracteres Especiais",+"SELECT '"&amp;UPPER(B632)&amp;"' AS TABELA, '"&amp;UPPER(C632)&amp;"' AS TIPOLOGIA_TESTE,'"&amp;D632&amp;"' AS TABELA_LT,'N/A' AS TABELA_SIMUL,'"&amp;F632&amp;"' AS CAMPO, "&amp;"'${ref_date}' AS REF_DATE, COUNT(*) AS NUM_REG, SUM(IF(REGEXP_REPLACE(TRIM(CAST(X."&amp;F632&amp;" AS STRING)),'[^a-zA-Z0-9_\\s]','') &lt;&gt;TRIM(CAST(X."&amp;F632&amp;" AS STRING)),1,0)) AS NUM_REG_DIF,'"&amp;MAX('ID1&amp;5'!K:K)+1&amp;"' AS ID_EXEC, CURRENT_TIMESTAMP() AS TIME_EXEC FROM "&amp;I632,
IF(C632="Missings",+"SELECT '"&amp;UPPER(B632)&amp;"' AS TABELA, '"&amp;UPPER(C632)&amp;"' AS TIPOLOGIA_TESTE,'"&amp;D632&amp;"' AS TABELA_LT,'N/A' AS TABELA_SIMUL,'"&amp;F632&amp;"' AS CAMPO, "&amp;"'${ref_date}' AS REF_DATE, COUNT(*) AS NUM_REG, SUM(IF(TRIM(CAST(X."&amp;F632&amp;" AS STRING)) IN ('0000-00-00','0001-01-01','9999-12-31','MISS','00000','99999999999','99999999999.00','99999999999.000000'),1,0)) AS NUM_REG_DIF,'"&amp;MAX('ID1&amp;5'!K:K)+1&amp;"' AS ID_EXEC, CURRENT_TIMESTAMP() AS TIME_EXEC FROM "&amp;I632,
IF(C632="Not applicable",+"SELECT '"&amp;UPPER(B632)&amp;"' AS TABELA, '"&amp;UPPER(C632)&amp;"' AS TIPOLOGIA_TESTE,'"&amp;D632&amp;"' AS TABELA_LT,'N/A' AS TABELA_SIMUL,'"&amp;F632&amp;"' AS CAMPO, "&amp;"'${ref_date}' AS REF_DATE, COUNT(*) AS NUM_REG, SUM(IF(TRIM(CAST(X."&amp;F632&amp;" AS STRING)) IN ('N/A','11111111111','11111111111.00','11111111111.000000','1111-11-11'),1,0)) AS NUM_REG_DIF,'"&amp;MAX('ID1&amp;5'!K:K)+1&amp;"' AS ID_EXEC, CURRENT_TIMESTAMP() AS TIME_EXEC FROM "&amp;I632,
IF(C632="Valores extremos",+"SELECT '"&amp;UPPER(B632)&amp;"' AS TABELA, '"&amp;UPPER(C632)&amp;"' AS TIPOLOGIA_TESTE,'"&amp;D632&amp;"' AS TABELA_LT,'N/A' AS TABELA_SIMUL,'"&amp;F632&amp;"' AS CAMPO, "&amp;"'${ref_date}' AS REF_DATE, CAST(MIN("&amp;F632&amp;") AS STRING) AS VALOR_MIN, CAST(MAX("&amp;F632&amp;") AS STRING) AS VALOR_MAX,'"&amp;MAX('ID1&amp;5'!K:K)+1&amp;"' AS ID_EXEC, CURRENT_TIMESTAMP() AS TIME_EXEC FROM "&amp;MID(I632,1,LEN(I632)-2)&amp;" AND CAST("&amp;F632&amp;"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TABELA_SIMUL,'bldng_ar' AS CAMPO, '${ref_date}' AS REF_DATE, COUNT(*) AS NUM_REG, SUM(IF(COALESCE(CAST(X.bldng_ar AS STRING),'')&lt;&gt;COALESCE(CAST(Y.bldng_ar_SIMUL AS STRING),'') OR (X.bldng_ar IS NULL AND Y.bldng_ar_SIMUL IS NOT NULL ) OR (X.bldng_ar IS NOT NULL AND Y.bldng_ar_SIMUL IS NULL),1,0)) AS NUM_REG_DIF,'1' AS ID_EXEC, CURRENT_TIMESTAMP() AS TIME_EXEC FROM (SELECT prtctn_id, bldng_ar FROM BU_LOANTAPE_WORK.LT004_PROTECTION WHERE ref_date='${ref_date}' AND nome_perimetro='Individual Local' AND segmento='ESTR' AND ambito='SRB_MBDT' AND entidade='00100')X INNER JOIN (SELECT prtctn_id AS prtctn_id_SIMUL, bldng_ar AS bldng_ar_SIMUL FROM BU_LOANTAPE_WORK.SIMUL_LT004 WHERE ref_date='${ref_date}' AND nome_perimetro='Individual Local' AND segmento='ESTR' AND ambito='PILAR3' AND entidade='00100')Y ON X.PRTCTN_ID=Y.PRTCTN_ID_SIMUL</v>
      </c>
      <c r="M632" s="36" t="str">
        <f t="shared" si="15"/>
        <v>UNION ALL SELECT 'PROTECTION' AS TABELA, 'COERÊNCIA' AS TIPOLOGIA_TESTE,'BU_LOANTAPE_WORK.LT004_PROTECTION' AS TABELA_LT,'BU_LOANTAPE_WORK.SIMUL_LT004' AS TABELA_SIMUL,'bldng_ar' AS CAMPO, '${ref_date}' AS REF_DATE, COUNT(*) AS NUM_REG, SUM(IF(COALESCE(CAST(X.bldng_ar AS STRING),'')&lt;&gt;COALESCE(CAST(Y.bldng_ar_SIMUL AS STRING),'') OR (X.bldng_ar IS NULL AND Y.bldng_ar_SIMUL IS NOT NULL ) OR (X.bldng_ar IS NOT NULL AND Y.bldng_ar_SIMUL IS NULL),1,0)) AS NUM_REG_DIF,'1' AS ID_EXEC, CURRENT_TIMESTAMP() AS TIME_EXEC FROM (SELECT prtctn_id, bldng_ar FROM BU_LOANTAPE_WORK.LT004_PROTECTION WHERE ref_date='${ref_date}' AND nome_perimetro='Individual Local' AND segmento='ESTR' AND ambito='SRB_MBDT' AND entidade='00100')X INNER JOIN (SELECT prtctn_id AS prtctn_id_SIMUL, bldng_ar AS bldng_ar_SIMUL FROM BU_LOANTAPE_WORK.SIMUL_LT004 WHERE ref_date='${ref_date}' AND nome_perimetro='Individual Local' AND segmento='ESTR' AND ambito='PILAR3' AND entidade='00100')Y ON X.PRTCTN_ID=Y.PRTCTN_ID_SIMUL</v>
      </c>
    </row>
    <row r="633" spans="2:13">
      <c r="B633" s="34" t="s">
        <v>119</v>
      </c>
      <c r="C633" s="34" t="s">
        <v>5</v>
      </c>
      <c r="D633" s="34" t="str">
        <f>+UPPER('0. Instruções'!$D$35&amp;"."&amp;VLOOKUP(B633,'0. Instruções'!$C$27:$D$32,2,FALSE))</f>
        <v>BU_LOANTAPE_WORK.LT004_PROTECTION</v>
      </c>
      <c r="E633" s="34" t="str">
        <f>+UPPER('0. Instruções'!$D$36&amp;"."&amp;VLOOKUP(B633,'0. Instruções'!$C$27:$E$32,3,FALSE))</f>
        <v>BU_LOANTAPE_WORK.SIMUL_LT004</v>
      </c>
      <c r="F633" s="34" t="s">
        <v>1550</v>
      </c>
      <c r="G633" s="34"/>
      <c r="H633" s="34"/>
      <c r="I633" s="34" t="str">
        <f>"(SELECT "&amp;VLOOKUP(B633,'0. Instruções'!$C$27:$G$32,4,FALSE)&amp;", "&amp;F633&amp;" FROM "&amp;D633&amp;" WHERE "&amp;'0. Instruções'!$D$42&amp;")X"</f>
        <v>(SELECT prtctn_id, dt_mtrty_insrnc FROM BU_LOANTAPE_WORK.LT004_PROTECTION WHERE ref_date='${ref_date}' AND nome_perimetro='Individual Local' AND segmento='ESTR' AND ambito='SRB_MBDT' AND entidade='00100')X</v>
      </c>
      <c r="J633" s="34" t="str">
        <f>"(SELECT "&amp;VLOOKUP(B633,'0. Instruções'!$C$27:$G$32,4,FALSE)&amp;" AS "&amp;VLOOKUP(B633,'0. Instruções'!$C$27:$G$32,4,FALSE)&amp;"_SIMUL, "&amp;F633&amp;" AS "&amp;F633&amp;"_SIMUL FROM "&amp;E633&amp;" WHERE "&amp;'0. Instruções'!$D$43&amp;")Y"</f>
        <v>(SELECT prtctn_id AS prtctn_id_SIMUL, dt_mtrty_insrnc AS dt_mtrty_insrnc_SIMUL FROM BU_LOANTAPE_WORK.SIMUL_LT004 WHERE ref_date='${ref_date}' AND nome_perimetro='Individual Local' AND segmento='ESTR' AND ambito='PILAR3' AND entidade='00100')Y</v>
      </c>
      <c r="K633" s="35" t="str">
        <f>+UPPER("ON X."&amp;VLOOKUP(B633,'0. Instruções'!$C$27:$G$32,4,FALSE)&amp;"=Y."&amp;VLOOKUP(B633,'0. Instruções'!$C$27:$G$32,4,FALSE)&amp;"_SIMUL")</f>
        <v>ON X.PRTCTN_ID=Y.PRTCTN_ID_SIMUL</v>
      </c>
      <c r="L633" s="35" t="str">
        <f>+IF(C633="Coerência", +IF(LEFT(G633,5)="FLOAT","SELECT '"&amp;UPPER(B633)&amp;"' AS TABELA, '"&amp;UPPER(C633)&amp;"' AS TIPOLOGIA_TESTE,'"&amp;D633&amp;"' AS TABELA_LT,'"&amp;E633&amp;"' AS TABELA_SIMUL,'"&amp;F633&amp;"' AS CAMPO, "&amp;"'${ref_date}' AS REF_DATE, COUNT(*) AS NUM_REG, SUM(IF((ABS(COALESCE(CAST(X."&amp;F633&amp;" AS DECIMAL(18,6)),0)-COALESCE(CAST(Y."&amp;F633&amp;"_SIMUL AS DECIMAL(18,6)),0))&gt;0.000001) OR (X."&amp;F633&amp;" IS NULL AND Y."&amp;F633&amp;"_SIMUL IS NOT NULL ) OR (X."&amp;F633&amp;" IS NOT NULL AND Y."&amp;F633&amp;"_SIMUL IS NULL),1,0)) AS NUM_REG_DIF,'"&amp;MAX('ID1&amp;5'!K:K)+1&amp;"' AS ID_EXEC, CURRENT_TIMESTAMP() AS TIME_EXEC FROM "&amp;I633&amp;" INNER JOIN "&amp;J633&amp;" "&amp;K633,"SELECT '"&amp;UPPER(B633)&amp;"' AS TABELA, '"&amp;UPPER(C633)&amp;"' AS TIPOLOGIA_TESTE,'"&amp;D633&amp;"' AS TABELA_LT,'"&amp;E633&amp;"' AS TABELA_SIMUL,'"&amp;F633&amp;"' AS CAMPO, "&amp;"'${ref_date}' AS REF_DATE, COUNT(*) AS NUM_REG, SUM(IF(COALESCE(CAST(X."&amp;F633&amp;" AS STRING),'')&lt;&gt;COALESCE(CAST(Y."&amp;F633&amp;"_SIMUL AS STRING),'') OR (X."&amp;F633&amp;" IS NULL AND Y."&amp;F633&amp;"_SIMUL IS NOT NULL ) OR (X."&amp;F633&amp;" IS NOT NULL AND Y."&amp;F633&amp;"_SIMUL IS NULL),1,0)) AS NUM_REG_DIF,'"&amp;MAX('ID1&amp;5'!L:L)+1&amp;"' AS ID_EXEC, CURRENT_TIMESTAMP() AS TIME_EXEC FROM "&amp;I633&amp;" INNER JOIN "&amp;J633&amp;" "&amp;K633),
IF(C633="Validade",+IF(G633="Code List","SELECT '"&amp;UPPER(B633)&amp;"' AS TABELA, '"&amp;UPPER(C633)&amp;"' AS TIPOLOGIA_TESTE,'"&amp;D633&amp;"' AS TABELA_LT,'N/A' AS TABELA_SIMUL,'"&amp;F633&amp;"' AS CAMPO, "&amp;"'${ref_date}' AS REF_DATE, COUNT(*) AS NUM_REG, SUM(IF(TRIM(CAST(X."&amp;F633&amp;" AS STRING))='' OR TRIM(CAST(X."&amp;F633&amp;" AS STRING)) IS NULL OR CAST(X."&amp;F633&amp;" AS STRING) NOT "&amp;H633&amp;",1,0)) AS NUM_REG_DIF,'"&amp;MAX('ID1&amp;5'!K:K)+1&amp;"' AS ID_EXEC, CURRENT_TIMESTAMP() AS TIME_EXEC FROM "&amp;I633,"SELECT '"&amp;UPPER(B633)&amp;"' AS TABELA, '"&amp;UPPER(C633)&amp;"' AS TIPOLOGIA_TESTE,'"&amp;D633&amp;"' AS TABELA_LT,'N/A' AS TABELA_SIMUL,'"&amp;F633&amp;"' AS CAMPO, "&amp;"'${ref_date}' AS REF_DATE, COUNT(*) AS NUM_REG, SUM(IF(TRIM(CAST(X."&amp;F633&amp;" AS STRING))='' OR TRIM(CAST(X."&amp;F633&amp;" AS STRING)) IS NULL,1,0)) AS NUM_REG_DIF,'"&amp;MAX('ID1&amp;5'!K:K)+1&amp;"' AS ID_EXEC, CURRENT_TIMESTAMP() AS TIME_EXEC FROM "&amp;I633),
IF(C633="Caracteres Especiais",+"SELECT '"&amp;UPPER(B633)&amp;"' AS TABELA, '"&amp;UPPER(C633)&amp;"' AS TIPOLOGIA_TESTE,'"&amp;D633&amp;"' AS TABELA_LT,'N/A' AS TABELA_SIMUL,'"&amp;F633&amp;"' AS CAMPO, "&amp;"'${ref_date}' AS REF_DATE, COUNT(*) AS NUM_REG, SUM(IF(REGEXP_REPLACE(TRIM(CAST(X."&amp;F633&amp;" AS STRING)),'[^a-zA-Z0-9_\\s]','') &lt;&gt;TRIM(CAST(X."&amp;F633&amp;" AS STRING)),1,0)) AS NUM_REG_DIF,'"&amp;MAX('ID1&amp;5'!K:K)+1&amp;"' AS ID_EXEC, CURRENT_TIMESTAMP() AS TIME_EXEC FROM "&amp;I633,
IF(C633="Missings",+"SELECT '"&amp;UPPER(B633)&amp;"' AS TABELA, '"&amp;UPPER(C633)&amp;"' AS TIPOLOGIA_TESTE,'"&amp;D633&amp;"' AS TABELA_LT,'N/A' AS TABELA_SIMUL,'"&amp;F633&amp;"' AS CAMPO, "&amp;"'${ref_date}' AS REF_DATE, COUNT(*) AS NUM_REG, SUM(IF(TRIM(CAST(X."&amp;F633&amp;" AS STRING)) IN ('0000-00-00','0001-01-01','9999-12-31','MISS','00000','99999999999','99999999999.00','99999999999.000000'),1,0)) AS NUM_REG_DIF,'"&amp;MAX('ID1&amp;5'!K:K)+1&amp;"' AS ID_EXEC, CURRENT_TIMESTAMP() AS TIME_EXEC FROM "&amp;I633,
IF(C633="Not applicable",+"SELECT '"&amp;UPPER(B633)&amp;"' AS TABELA, '"&amp;UPPER(C633)&amp;"' AS TIPOLOGIA_TESTE,'"&amp;D633&amp;"' AS TABELA_LT,'N/A' AS TABELA_SIMUL,'"&amp;F633&amp;"' AS CAMPO, "&amp;"'${ref_date}' AS REF_DATE, COUNT(*) AS NUM_REG, SUM(IF(TRIM(CAST(X."&amp;F633&amp;" AS STRING)) IN ('N/A','11111111111','11111111111.00','11111111111.000000','1111-11-11'),1,0)) AS NUM_REG_DIF,'"&amp;MAX('ID1&amp;5'!K:K)+1&amp;"' AS ID_EXEC, CURRENT_TIMESTAMP() AS TIME_EXEC FROM "&amp;I633,
IF(C633="Valores extremos",+"SELECT '"&amp;UPPER(B633)&amp;"' AS TABELA, '"&amp;UPPER(C633)&amp;"' AS TIPOLOGIA_TESTE,'"&amp;D633&amp;"' AS TABELA_LT,'N/A' AS TABELA_SIMUL,'"&amp;F633&amp;"' AS CAMPO, "&amp;"'${ref_date}' AS REF_DATE, CAST(MIN("&amp;F633&amp;") AS STRING) AS VALOR_MIN, CAST(MAX("&amp;F633&amp;") AS STRING) AS VALOR_MAX,'"&amp;MAX('ID1&amp;5'!K:K)+1&amp;"' AS ID_EXEC, CURRENT_TIMESTAMP() AS TIME_EXEC FROM "&amp;MID(I633,1,LEN(I633)-2)&amp;" AND CAST("&amp;F633&amp;"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TABELA_SIMUL,'dt_mtrty_insrnc' AS CAMPO, '${ref_date}' AS REF_DATE, COUNT(*) AS NUM_REG, SUM(IF(COALESCE(CAST(X.dt_mtrty_insrnc AS STRING),'')&lt;&gt;COALESCE(CAST(Y.dt_mtrty_insrnc_SIMUL AS STRING),'') OR (X.dt_mtrty_insrnc IS NULL AND Y.dt_mtrty_insrnc_SIMUL IS NOT NULL ) OR (X.dt_mtrty_insrnc IS NOT NULL AND Y.dt_mtrty_insrnc_SIMUL IS NULL),1,0)) AS NUM_REG_DIF,'1' AS ID_EXEC, CURRENT_TIMESTAMP() AS TIME_EXEC FROM (SELECT prtctn_id, dt_mtrty_insrnc FROM BU_LOANTAPE_WORK.LT004_PROTECTION WHERE ref_date='${ref_date}' AND nome_perimetro='Individual Local' AND segmento='ESTR' AND ambito='SRB_MBDT' AND entidade='00100')X INNER JOIN (SELECT prtctn_id AS prtctn_id_SIMUL, dt_mtrty_insrnc AS dt_mtrty_insrnc_SIMUL FROM BU_LOANTAPE_WORK.SIMUL_LT004 WHERE ref_date='${ref_date}' AND nome_perimetro='Individual Local' AND segmento='ESTR' AND ambito='PILAR3' AND entidade='00100')Y ON X.PRTCTN_ID=Y.PRTCTN_ID_SIMUL</v>
      </c>
      <c r="M633" s="36" t="str">
        <f t="shared" si="15"/>
        <v>UNION ALL SELECT 'PROTECTION' AS TABELA, 'COERÊNCIA' AS TIPOLOGIA_TESTE,'BU_LOANTAPE_WORK.LT004_PROTECTION' AS TABELA_LT,'BU_LOANTAPE_WORK.SIMUL_LT004' AS TABELA_SIMUL,'dt_mtrty_insrnc' AS CAMPO, '${ref_date}' AS REF_DATE, COUNT(*) AS NUM_REG, SUM(IF(COALESCE(CAST(X.dt_mtrty_insrnc AS STRING),'')&lt;&gt;COALESCE(CAST(Y.dt_mtrty_insrnc_SIMUL AS STRING),'') OR (X.dt_mtrty_insrnc IS NULL AND Y.dt_mtrty_insrnc_SIMUL IS NOT NULL ) OR (X.dt_mtrty_insrnc IS NOT NULL AND Y.dt_mtrty_insrnc_SIMUL IS NULL),1,0)) AS NUM_REG_DIF,'1' AS ID_EXEC, CURRENT_TIMESTAMP() AS TIME_EXEC FROM (SELECT prtctn_id, dt_mtrty_insrnc FROM BU_LOANTAPE_WORK.LT004_PROTECTION WHERE ref_date='${ref_date}' AND nome_perimetro='Individual Local' AND segmento='ESTR' AND ambito='SRB_MBDT' AND entidade='00100')X INNER JOIN (SELECT prtctn_id AS prtctn_id_SIMUL, dt_mtrty_insrnc AS dt_mtrty_insrnc_SIMUL FROM BU_LOANTAPE_WORK.SIMUL_LT004 WHERE ref_date='${ref_date}' AND nome_perimetro='Individual Local' AND segmento='ESTR' AND ambito='PILAR3' AND entidade='00100')Y ON X.PRTCTN_ID=Y.PRTCTN_ID_SIMUL</v>
      </c>
    </row>
    <row r="634" spans="2:13">
      <c r="B634" s="34" t="s">
        <v>119</v>
      </c>
      <c r="C634" s="34" t="s">
        <v>5</v>
      </c>
      <c r="D634" s="34" t="str">
        <f>+UPPER('0. Instruções'!$D$35&amp;"."&amp;VLOOKUP(B634,'0. Instruções'!$C$27:$D$32,2,FALSE))</f>
        <v>BU_LOANTAPE_WORK.LT004_PROTECTION</v>
      </c>
      <c r="E634" s="34" t="str">
        <f>+UPPER('0. Instruções'!$D$36&amp;"."&amp;VLOOKUP(B634,'0. Instruções'!$C$27:$E$32,3,FALSE))</f>
        <v>BU_LOANTAPE_WORK.SIMUL_LT004</v>
      </c>
      <c r="F634" s="34" t="s">
        <v>1551</v>
      </c>
      <c r="G634" s="34"/>
      <c r="H634" s="34"/>
      <c r="I634" s="34" t="str">
        <f>"(SELECT "&amp;VLOOKUP(B634,'0. Instruções'!$C$27:$G$32,4,FALSE)&amp;", "&amp;F634&amp;" FROM "&amp;D634&amp;" WHERE "&amp;'0. Instruções'!$D$42&amp;")X"</f>
        <v>(SELECT prtctn_id, dt_rgstrtn FROM BU_LOANTAPE_WORK.LT004_PROTECTION WHERE ref_date='${ref_date}' AND nome_perimetro='Individual Local' AND segmento='ESTR' AND ambito='SRB_MBDT' AND entidade='00100')X</v>
      </c>
      <c r="J634" s="34" t="str">
        <f>"(SELECT "&amp;VLOOKUP(B634,'0. Instruções'!$C$27:$G$32,4,FALSE)&amp;" AS "&amp;VLOOKUP(B634,'0. Instruções'!$C$27:$G$32,4,FALSE)&amp;"_SIMUL, "&amp;F634&amp;" AS "&amp;F634&amp;"_SIMUL FROM "&amp;E634&amp;" WHERE "&amp;'0. Instruções'!$D$43&amp;")Y"</f>
        <v>(SELECT prtctn_id AS prtctn_id_SIMUL, dt_rgstrtn AS dt_rgstrtn_SIMUL FROM BU_LOANTAPE_WORK.SIMUL_LT004 WHERE ref_date='${ref_date}' AND nome_perimetro='Individual Local' AND segmento='ESTR' AND ambito='PILAR3' AND entidade='00100')Y</v>
      </c>
      <c r="K634" s="35" t="str">
        <f>+UPPER("ON X."&amp;VLOOKUP(B634,'0. Instruções'!$C$27:$G$32,4,FALSE)&amp;"=Y."&amp;VLOOKUP(B634,'0. Instruções'!$C$27:$G$32,4,FALSE)&amp;"_SIMUL")</f>
        <v>ON X.PRTCTN_ID=Y.PRTCTN_ID_SIMUL</v>
      </c>
      <c r="L634" s="35" t="str">
        <f>+IF(C634="Coerência", +IF(LEFT(G634,5)="FLOAT","SELECT '"&amp;UPPER(B634)&amp;"' AS TABELA, '"&amp;UPPER(C634)&amp;"' AS TIPOLOGIA_TESTE,'"&amp;D634&amp;"' AS TABELA_LT,'"&amp;E634&amp;"' AS TABELA_SIMUL,'"&amp;F634&amp;"' AS CAMPO, "&amp;"'${ref_date}' AS REF_DATE, COUNT(*) AS NUM_REG, SUM(IF((ABS(COALESCE(CAST(X."&amp;F634&amp;" AS DECIMAL(18,6)),0)-COALESCE(CAST(Y."&amp;F634&amp;"_SIMUL AS DECIMAL(18,6)),0))&gt;0.000001) OR (X."&amp;F634&amp;" IS NULL AND Y."&amp;F634&amp;"_SIMUL IS NOT NULL ) OR (X."&amp;F634&amp;" IS NOT NULL AND Y."&amp;F634&amp;"_SIMUL IS NULL),1,0)) AS NUM_REG_DIF,'"&amp;MAX('ID1&amp;5'!K:K)+1&amp;"' AS ID_EXEC, CURRENT_TIMESTAMP() AS TIME_EXEC FROM "&amp;I634&amp;" INNER JOIN "&amp;J634&amp;" "&amp;K634,"SELECT '"&amp;UPPER(B634)&amp;"' AS TABELA, '"&amp;UPPER(C634)&amp;"' AS TIPOLOGIA_TESTE,'"&amp;D634&amp;"' AS TABELA_LT,'"&amp;E634&amp;"' AS TABELA_SIMUL,'"&amp;F634&amp;"' AS CAMPO, "&amp;"'${ref_date}' AS REF_DATE, COUNT(*) AS NUM_REG, SUM(IF(COALESCE(CAST(X."&amp;F634&amp;" AS STRING),'')&lt;&gt;COALESCE(CAST(Y."&amp;F634&amp;"_SIMUL AS STRING),'') OR (X."&amp;F634&amp;" IS NULL AND Y."&amp;F634&amp;"_SIMUL IS NOT NULL ) OR (X."&amp;F634&amp;" IS NOT NULL AND Y."&amp;F634&amp;"_SIMUL IS NULL),1,0)) AS NUM_REG_DIF,'"&amp;MAX('ID1&amp;5'!L:L)+1&amp;"' AS ID_EXEC, CURRENT_TIMESTAMP() AS TIME_EXEC FROM "&amp;I634&amp;" INNER JOIN "&amp;J634&amp;" "&amp;K634),
IF(C634="Validade",+IF(G634="Code List","SELECT '"&amp;UPPER(B634)&amp;"' AS TABELA, '"&amp;UPPER(C634)&amp;"' AS TIPOLOGIA_TESTE,'"&amp;D634&amp;"' AS TABELA_LT,'N/A' AS TABELA_SIMUL,'"&amp;F634&amp;"' AS CAMPO, "&amp;"'${ref_date}' AS REF_DATE, COUNT(*) AS NUM_REG, SUM(IF(TRIM(CAST(X."&amp;F634&amp;" AS STRING))='' OR TRIM(CAST(X."&amp;F634&amp;" AS STRING)) IS NULL OR CAST(X."&amp;F634&amp;" AS STRING) NOT "&amp;H634&amp;",1,0)) AS NUM_REG_DIF,'"&amp;MAX('ID1&amp;5'!K:K)+1&amp;"' AS ID_EXEC, CURRENT_TIMESTAMP() AS TIME_EXEC FROM "&amp;I634,"SELECT '"&amp;UPPER(B634)&amp;"' AS TABELA, '"&amp;UPPER(C634)&amp;"' AS TIPOLOGIA_TESTE,'"&amp;D634&amp;"' AS TABELA_LT,'N/A' AS TABELA_SIMUL,'"&amp;F634&amp;"' AS CAMPO, "&amp;"'${ref_date}' AS REF_DATE, COUNT(*) AS NUM_REG, SUM(IF(TRIM(CAST(X."&amp;F634&amp;" AS STRING))='' OR TRIM(CAST(X."&amp;F634&amp;" AS STRING)) IS NULL,1,0)) AS NUM_REG_DIF,'"&amp;MAX('ID1&amp;5'!K:K)+1&amp;"' AS ID_EXEC, CURRENT_TIMESTAMP() AS TIME_EXEC FROM "&amp;I634),
IF(C634="Caracteres Especiais",+"SELECT '"&amp;UPPER(B634)&amp;"' AS TABELA, '"&amp;UPPER(C634)&amp;"' AS TIPOLOGIA_TESTE,'"&amp;D634&amp;"' AS TABELA_LT,'N/A' AS TABELA_SIMUL,'"&amp;F634&amp;"' AS CAMPO, "&amp;"'${ref_date}' AS REF_DATE, COUNT(*) AS NUM_REG, SUM(IF(REGEXP_REPLACE(TRIM(CAST(X."&amp;F634&amp;" AS STRING)),'[^a-zA-Z0-9_\\s]','') &lt;&gt;TRIM(CAST(X."&amp;F634&amp;" AS STRING)),1,0)) AS NUM_REG_DIF,'"&amp;MAX('ID1&amp;5'!K:K)+1&amp;"' AS ID_EXEC, CURRENT_TIMESTAMP() AS TIME_EXEC FROM "&amp;I634,
IF(C634="Missings",+"SELECT '"&amp;UPPER(B634)&amp;"' AS TABELA, '"&amp;UPPER(C634)&amp;"' AS TIPOLOGIA_TESTE,'"&amp;D634&amp;"' AS TABELA_LT,'N/A' AS TABELA_SIMUL,'"&amp;F634&amp;"' AS CAMPO, "&amp;"'${ref_date}' AS REF_DATE, COUNT(*) AS NUM_REG, SUM(IF(TRIM(CAST(X."&amp;F634&amp;" AS STRING)) IN ('0000-00-00','0001-01-01','9999-12-31','MISS','00000','99999999999','99999999999.00','99999999999.000000'),1,0)) AS NUM_REG_DIF,'"&amp;MAX('ID1&amp;5'!K:K)+1&amp;"' AS ID_EXEC, CURRENT_TIMESTAMP() AS TIME_EXEC FROM "&amp;I634,
IF(C634="Not applicable",+"SELECT '"&amp;UPPER(B634)&amp;"' AS TABELA, '"&amp;UPPER(C634)&amp;"' AS TIPOLOGIA_TESTE,'"&amp;D634&amp;"' AS TABELA_LT,'N/A' AS TABELA_SIMUL,'"&amp;F634&amp;"' AS CAMPO, "&amp;"'${ref_date}' AS REF_DATE, COUNT(*) AS NUM_REG, SUM(IF(TRIM(CAST(X."&amp;F634&amp;" AS STRING)) IN ('N/A','11111111111','11111111111.00','11111111111.000000','1111-11-11'),1,0)) AS NUM_REG_DIF,'"&amp;MAX('ID1&amp;5'!K:K)+1&amp;"' AS ID_EXEC, CURRENT_TIMESTAMP() AS TIME_EXEC FROM "&amp;I634,
IF(C634="Valores extremos",+"SELECT '"&amp;UPPER(B634)&amp;"' AS TABELA, '"&amp;UPPER(C634)&amp;"' AS TIPOLOGIA_TESTE,'"&amp;D634&amp;"' AS TABELA_LT,'N/A' AS TABELA_SIMUL,'"&amp;F634&amp;"' AS CAMPO, "&amp;"'${ref_date}' AS REF_DATE, CAST(MIN("&amp;F634&amp;") AS STRING) AS VALOR_MIN, CAST(MAX("&amp;F634&amp;") AS STRING) AS VALOR_MAX,'"&amp;MAX('ID1&amp;5'!K:K)+1&amp;"' AS ID_EXEC, CURRENT_TIMESTAMP() AS TIME_EXEC FROM "&amp;MID(I634,1,LEN(I634)-2)&amp;" AND CAST("&amp;F634&amp;"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TABELA_SIMUL,'dt_rgstrtn' AS CAMPO, '${ref_date}' AS REF_DATE, COUNT(*) AS NUM_REG, SUM(IF(COALESCE(CAST(X.dt_rgstrtn AS STRING),'')&lt;&gt;COALESCE(CAST(Y.dt_rgstrtn_SIMUL AS STRING),'') OR (X.dt_rgstrtn IS NULL AND Y.dt_rgstrtn_SIMUL IS NOT NULL ) OR (X.dt_rgstrtn IS NOT NULL AND Y.dt_rgstrtn_SIMUL IS NULL),1,0)) AS NUM_REG_DIF,'1' AS ID_EXEC, CURRENT_TIMESTAMP() AS TIME_EXEC FROM (SELECT prtctn_id, dt_rgstrtn FROM BU_LOANTAPE_WORK.LT004_PROTECTION WHERE ref_date='${ref_date}' AND nome_perimetro='Individual Local' AND segmento='ESTR' AND ambito='SRB_MBDT' AND entidade='00100')X INNER JOIN (SELECT prtctn_id AS prtctn_id_SIMUL, dt_rgstrtn AS dt_rgstrtn_SIMUL FROM BU_LOANTAPE_WORK.SIMUL_LT004 WHERE ref_date='${ref_date}' AND nome_perimetro='Individual Local' AND segmento='ESTR' AND ambito='PILAR3' AND entidade='00100')Y ON X.PRTCTN_ID=Y.PRTCTN_ID_SIMUL</v>
      </c>
      <c r="M634" s="36" t="str">
        <f t="shared" si="15"/>
        <v>UNION ALL SELECT 'PROTECTION' AS TABELA, 'COERÊNCIA' AS TIPOLOGIA_TESTE,'BU_LOANTAPE_WORK.LT004_PROTECTION' AS TABELA_LT,'BU_LOANTAPE_WORK.SIMUL_LT004' AS TABELA_SIMUL,'dt_rgstrtn' AS CAMPO, '${ref_date}' AS REF_DATE, COUNT(*) AS NUM_REG, SUM(IF(COALESCE(CAST(X.dt_rgstrtn AS STRING),'')&lt;&gt;COALESCE(CAST(Y.dt_rgstrtn_SIMUL AS STRING),'') OR (X.dt_rgstrtn IS NULL AND Y.dt_rgstrtn_SIMUL IS NOT NULL ) OR (X.dt_rgstrtn IS NOT NULL AND Y.dt_rgstrtn_SIMUL IS NULL),1,0)) AS NUM_REG_DIF,'1' AS ID_EXEC, CURRENT_TIMESTAMP() AS TIME_EXEC FROM (SELECT prtctn_id, dt_rgstrtn FROM BU_LOANTAPE_WORK.LT004_PROTECTION WHERE ref_date='${ref_date}' AND nome_perimetro='Individual Local' AND segmento='ESTR' AND ambito='SRB_MBDT' AND entidade='00100')X INNER JOIN (SELECT prtctn_id AS prtctn_id_SIMUL, dt_rgstrtn AS dt_rgstrtn_SIMUL FROM BU_LOANTAPE_WORK.SIMUL_LT004 WHERE ref_date='${ref_date}' AND nome_perimetro='Individual Local' AND segmento='ESTR' AND ambito='PILAR3' AND entidade='00100')Y ON X.PRTCTN_ID=Y.PRTCTN_ID_SIMUL</v>
      </c>
    </row>
    <row r="635" spans="2:13">
      <c r="B635" s="34" t="s">
        <v>119</v>
      </c>
      <c r="C635" s="34" t="s">
        <v>5</v>
      </c>
      <c r="D635" s="34" t="str">
        <f>+UPPER('0. Instruções'!$D$35&amp;"."&amp;VLOOKUP(B635,'0. Instruções'!$C$27:$D$32,2,FALSE))</f>
        <v>BU_LOANTAPE_WORK.LT004_PROTECTION</v>
      </c>
      <c r="E635" s="34" t="str">
        <f>+UPPER('0. Instruções'!$D$36&amp;"."&amp;VLOOKUP(B635,'0. Instruções'!$C$27:$E$32,3,FALSE))</f>
        <v>BU_LOANTAPE_WORK.SIMUL_LT004</v>
      </c>
      <c r="F635" s="34" t="s">
        <v>1552</v>
      </c>
      <c r="G635" s="34"/>
      <c r="H635" s="34"/>
      <c r="I635" s="34" t="str">
        <f>"(SELECT "&amp;VLOOKUP(B635,'0. Instruções'!$C$27:$G$32,4,FALSE)&amp;", "&amp;F635&amp;" FROM "&amp;D635&amp;" WHERE "&amp;'0. Instruções'!$D$42&amp;")X"</f>
        <v>(SELECT prtctn_id, epc_emssns_lbl FROM BU_LOANTAPE_WORK.LT004_PROTECTION WHERE ref_date='${ref_date}' AND nome_perimetro='Individual Local' AND segmento='ESTR' AND ambito='SRB_MBDT' AND entidade='00100')X</v>
      </c>
      <c r="J635" s="34" t="str">
        <f>"(SELECT "&amp;VLOOKUP(B635,'0. Instruções'!$C$27:$G$32,4,FALSE)&amp;" AS "&amp;VLOOKUP(B635,'0. Instruções'!$C$27:$G$32,4,FALSE)&amp;"_SIMUL, "&amp;F635&amp;" AS "&amp;F635&amp;"_SIMUL FROM "&amp;E635&amp;" WHERE "&amp;'0. Instruções'!$D$43&amp;")Y"</f>
        <v>(SELECT prtctn_id AS prtctn_id_SIMUL, epc_emssns_lbl AS epc_emssns_lbl_SIMUL FROM BU_LOANTAPE_WORK.SIMUL_LT004 WHERE ref_date='${ref_date}' AND nome_perimetro='Individual Local' AND segmento='ESTR' AND ambito='PILAR3' AND entidade='00100')Y</v>
      </c>
      <c r="K635" s="35" t="str">
        <f>+UPPER("ON X."&amp;VLOOKUP(B635,'0. Instruções'!$C$27:$G$32,4,FALSE)&amp;"=Y."&amp;VLOOKUP(B635,'0. Instruções'!$C$27:$G$32,4,FALSE)&amp;"_SIMUL")</f>
        <v>ON X.PRTCTN_ID=Y.PRTCTN_ID_SIMUL</v>
      </c>
      <c r="L635" s="35" t="str">
        <f>+IF(C635="Coerência", +IF(LEFT(G635,5)="FLOAT","SELECT '"&amp;UPPER(B635)&amp;"' AS TABELA, '"&amp;UPPER(C635)&amp;"' AS TIPOLOGIA_TESTE,'"&amp;D635&amp;"' AS TABELA_LT,'"&amp;E635&amp;"' AS TABELA_SIMUL,'"&amp;F635&amp;"' AS CAMPO, "&amp;"'${ref_date}' AS REF_DATE, COUNT(*) AS NUM_REG, SUM(IF((ABS(COALESCE(CAST(X."&amp;F635&amp;" AS DECIMAL(18,6)),0)-COALESCE(CAST(Y."&amp;F635&amp;"_SIMUL AS DECIMAL(18,6)),0))&gt;0.000001) OR (X."&amp;F635&amp;" IS NULL AND Y."&amp;F635&amp;"_SIMUL IS NOT NULL ) OR (X."&amp;F635&amp;" IS NOT NULL AND Y."&amp;F635&amp;"_SIMUL IS NULL),1,0)) AS NUM_REG_DIF,'"&amp;MAX('ID1&amp;5'!K:K)+1&amp;"' AS ID_EXEC, CURRENT_TIMESTAMP() AS TIME_EXEC FROM "&amp;I635&amp;" INNER JOIN "&amp;J635&amp;" "&amp;K635,"SELECT '"&amp;UPPER(B635)&amp;"' AS TABELA, '"&amp;UPPER(C635)&amp;"' AS TIPOLOGIA_TESTE,'"&amp;D635&amp;"' AS TABELA_LT,'"&amp;E635&amp;"' AS TABELA_SIMUL,'"&amp;F635&amp;"' AS CAMPO, "&amp;"'${ref_date}' AS REF_DATE, COUNT(*) AS NUM_REG, SUM(IF(COALESCE(CAST(X."&amp;F635&amp;" AS STRING),'')&lt;&gt;COALESCE(CAST(Y."&amp;F635&amp;"_SIMUL AS STRING),'') OR (X."&amp;F635&amp;" IS NULL AND Y."&amp;F635&amp;"_SIMUL IS NOT NULL ) OR (X."&amp;F635&amp;" IS NOT NULL AND Y."&amp;F635&amp;"_SIMUL IS NULL),1,0)) AS NUM_REG_DIF,'"&amp;MAX('ID1&amp;5'!L:L)+1&amp;"' AS ID_EXEC, CURRENT_TIMESTAMP() AS TIME_EXEC FROM "&amp;I635&amp;" INNER JOIN "&amp;J635&amp;" "&amp;K635),
IF(C635="Validade",+IF(G635="Code List","SELECT '"&amp;UPPER(B635)&amp;"' AS TABELA, '"&amp;UPPER(C635)&amp;"' AS TIPOLOGIA_TESTE,'"&amp;D635&amp;"' AS TABELA_LT,'N/A' AS TABELA_SIMUL,'"&amp;F635&amp;"' AS CAMPO, "&amp;"'${ref_date}' AS REF_DATE, COUNT(*) AS NUM_REG, SUM(IF(TRIM(CAST(X."&amp;F635&amp;" AS STRING))='' OR TRIM(CAST(X."&amp;F635&amp;" AS STRING)) IS NULL OR CAST(X."&amp;F635&amp;" AS STRING) NOT "&amp;H635&amp;",1,0)) AS NUM_REG_DIF,'"&amp;MAX('ID1&amp;5'!K:K)+1&amp;"' AS ID_EXEC, CURRENT_TIMESTAMP() AS TIME_EXEC FROM "&amp;I635,"SELECT '"&amp;UPPER(B635)&amp;"' AS TABELA, '"&amp;UPPER(C635)&amp;"' AS TIPOLOGIA_TESTE,'"&amp;D635&amp;"' AS TABELA_LT,'N/A' AS TABELA_SIMUL,'"&amp;F635&amp;"' AS CAMPO, "&amp;"'${ref_date}' AS REF_DATE, COUNT(*) AS NUM_REG, SUM(IF(TRIM(CAST(X."&amp;F635&amp;" AS STRING))='' OR TRIM(CAST(X."&amp;F635&amp;" AS STRING)) IS NULL,1,0)) AS NUM_REG_DIF,'"&amp;MAX('ID1&amp;5'!K:K)+1&amp;"' AS ID_EXEC, CURRENT_TIMESTAMP() AS TIME_EXEC FROM "&amp;I635),
IF(C635="Caracteres Especiais",+"SELECT '"&amp;UPPER(B635)&amp;"' AS TABELA, '"&amp;UPPER(C635)&amp;"' AS TIPOLOGIA_TESTE,'"&amp;D635&amp;"' AS TABELA_LT,'N/A' AS TABELA_SIMUL,'"&amp;F635&amp;"' AS CAMPO, "&amp;"'${ref_date}' AS REF_DATE, COUNT(*) AS NUM_REG, SUM(IF(REGEXP_REPLACE(TRIM(CAST(X."&amp;F635&amp;" AS STRING)),'[^a-zA-Z0-9_\\s]','') &lt;&gt;TRIM(CAST(X."&amp;F635&amp;" AS STRING)),1,0)) AS NUM_REG_DIF,'"&amp;MAX('ID1&amp;5'!K:K)+1&amp;"' AS ID_EXEC, CURRENT_TIMESTAMP() AS TIME_EXEC FROM "&amp;I635,
IF(C635="Missings",+"SELECT '"&amp;UPPER(B635)&amp;"' AS TABELA, '"&amp;UPPER(C635)&amp;"' AS TIPOLOGIA_TESTE,'"&amp;D635&amp;"' AS TABELA_LT,'N/A' AS TABELA_SIMUL,'"&amp;F635&amp;"' AS CAMPO, "&amp;"'${ref_date}' AS REF_DATE, COUNT(*) AS NUM_REG, SUM(IF(TRIM(CAST(X."&amp;F635&amp;" AS STRING)) IN ('0000-00-00','0001-01-01','9999-12-31','MISS','00000','99999999999','99999999999.00','99999999999.000000'),1,0)) AS NUM_REG_DIF,'"&amp;MAX('ID1&amp;5'!K:K)+1&amp;"' AS ID_EXEC, CURRENT_TIMESTAMP() AS TIME_EXEC FROM "&amp;I635,
IF(C635="Not applicable",+"SELECT '"&amp;UPPER(B635)&amp;"' AS TABELA, '"&amp;UPPER(C635)&amp;"' AS TIPOLOGIA_TESTE,'"&amp;D635&amp;"' AS TABELA_LT,'N/A' AS TABELA_SIMUL,'"&amp;F635&amp;"' AS CAMPO, "&amp;"'${ref_date}' AS REF_DATE, COUNT(*) AS NUM_REG, SUM(IF(TRIM(CAST(X."&amp;F635&amp;" AS STRING)) IN ('N/A','11111111111','11111111111.00','11111111111.000000','1111-11-11'),1,0)) AS NUM_REG_DIF,'"&amp;MAX('ID1&amp;5'!K:K)+1&amp;"' AS ID_EXEC, CURRENT_TIMESTAMP() AS TIME_EXEC FROM "&amp;I635,
IF(C635="Valores extremos",+"SELECT '"&amp;UPPER(B635)&amp;"' AS TABELA, '"&amp;UPPER(C635)&amp;"' AS TIPOLOGIA_TESTE,'"&amp;D635&amp;"' AS TABELA_LT,'N/A' AS TABELA_SIMUL,'"&amp;F635&amp;"' AS CAMPO, "&amp;"'${ref_date}' AS REF_DATE, CAST(MIN("&amp;F635&amp;") AS STRING) AS VALOR_MIN, CAST(MAX("&amp;F635&amp;") AS STRING) AS VALOR_MAX,'"&amp;MAX('ID1&amp;5'!K:K)+1&amp;"' AS ID_EXEC, CURRENT_TIMESTAMP() AS TIME_EXEC FROM "&amp;MID(I635,1,LEN(I635)-2)&amp;" AND CAST("&amp;F635&amp;"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TABELA_SIMUL,'epc_emssns_lbl' AS CAMPO, '${ref_date}' AS REF_DATE, COUNT(*) AS NUM_REG, SUM(IF(COALESCE(CAST(X.epc_emssns_lbl AS STRING),'')&lt;&gt;COALESCE(CAST(Y.epc_emssns_lbl_SIMUL AS STRING),'') OR (X.epc_emssns_lbl IS NULL AND Y.epc_emssns_lbl_SIMUL IS NOT NULL ) OR (X.epc_emssns_lbl IS NOT NULL AND Y.epc_emssns_lbl_SIMUL IS NULL),1,0)) AS NUM_REG_DIF,'1' AS ID_EXEC, CURRENT_TIMESTAMP() AS TIME_EXEC FROM (SELECT prtctn_id, epc_emssns_lbl FROM BU_LOANTAPE_WORK.LT004_PROTECTION WHERE ref_date='${ref_date}' AND nome_perimetro='Individual Local' AND segmento='ESTR' AND ambito='SRB_MBDT' AND entidade='00100')X INNER JOIN (SELECT prtctn_id AS prtctn_id_SIMUL, epc_emssns_lbl AS epc_emssns_lbl_SIMUL FROM BU_LOANTAPE_WORK.SIMUL_LT004 WHERE ref_date='${ref_date}' AND nome_perimetro='Individual Local' AND segmento='ESTR' AND ambito='PILAR3' AND entidade='00100')Y ON X.PRTCTN_ID=Y.PRTCTN_ID_SIMUL</v>
      </c>
      <c r="M635" s="36" t="str">
        <f t="shared" si="15"/>
        <v>UNION ALL SELECT 'PROTECTION' AS TABELA, 'COERÊNCIA' AS TIPOLOGIA_TESTE,'BU_LOANTAPE_WORK.LT004_PROTECTION' AS TABELA_LT,'BU_LOANTAPE_WORK.SIMUL_LT004' AS TABELA_SIMUL,'epc_emssns_lbl' AS CAMPO, '${ref_date}' AS REF_DATE, COUNT(*) AS NUM_REG, SUM(IF(COALESCE(CAST(X.epc_emssns_lbl AS STRING),'')&lt;&gt;COALESCE(CAST(Y.epc_emssns_lbl_SIMUL AS STRING),'') OR (X.epc_emssns_lbl IS NULL AND Y.epc_emssns_lbl_SIMUL IS NOT NULL ) OR (X.epc_emssns_lbl IS NOT NULL AND Y.epc_emssns_lbl_SIMUL IS NULL),1,0)) AS NUM_REG_DIF,'1' AS ID_EXEC, CURRENT_TIMESTAMP() AS TIME_EXEC FROM (SELECT prtctn_id, epc_emssns_lbl FROM BU_LOANTAPE_WORK.LT004_PROTECTION WHERE ref_date='${ref_date}' AND nome_perimetro='Individual Local' AND segmento='ESTR' AND ambito='SRB_MBDT' AND entidade='00100')X INNER JOIN (SELECT prtctn_id AS prtctn_id_SIMUL, epc_emssns_lbl AS epc_emssns_lbl_SIMUL FROM BU_LOANTAPE_WORK.SIMUL_LT004 WHERE ref_date='${ref_date}' AND nome_perimetro='Individual Local' AND segmento='ESTR' AND ambito='PILAR3' AND entidade='00100')Y ON X.PRTCTN_ID=Y.PRTCTN_ID_SIMUL</v>
      </c>
    </row>
    <row r="636" spans="2:13">
      <c r="B636" s="34" t="s">
        <v>119</v>
      </c>
      <c r="C636" s="34" t="s">
        <v>5</v>
      </c>
      <c r="D636" s="34" t="str">
        <f>+UPPER('0. Instruções'!$D$35&amp;"."&amp;VLOOKUP(B636,'0. Instruções'!$C$27:$D$32,2,FALSE))</f>
        <v>BU_LOANTAPE_WORK.LT004_PROTECTION</v>
      </c>
      <c r="E636" s="34" t="str">
        <f>+UPPER('0. Instruções'!$D$36&amp;"."&amp;VLOOKUP(B636,'0. Instruções'!$C$27:$E$32,3,FALSE))</f>
        <v>BU_LOANTAPE_WORK.SIMUL_LT004</v>
      </c>
      <c r="F636" s="34" t="s">
        <v>1553</v>
      </c>
      <c r="G636" s="34"/>
      <c r="H636" s="34"/>
      <c r="I636" s="34" t="str">
        <f>"(SELECT "&amp;VLOOKUP(B636,'0. Instruções'!$C$27:$G$32,4,FALSE)&amp;", "&amp;F636&amp;" FROM "&amp;D636&amp;" WHERE "&amp;'0. Instruções'!$D$42&amp;")X"</f>
        <v>(SELECT prtctn_id, epc_emssns_scr FROM BU_LOANTAPE_WORK.LT004_PROTECTION WHERE ref_date='${ref_date}' AND nome_perimetro='Individual Local' AND segmento='ESTR' AND ambito='SRB_MBDT' AND entidade='00100')X</v>
      </c>
      <c r="J636" s="34" t="str">
        <f>"(SELECT "&amp;VLOOKUP(B636,'0. Instruções'!$C$27:$G$32,4,FALSE)&amp;" AS "&amp;VLOOKUP(B636,'0. Instruções'!$C$27:$G$32,4,FALSE)&amp;"_SIMUL, "&amp;F636&amp;" AS "&amp;F636&amp;"_SIMUL FROM "&amp;E636&amp;" WHERE "&amp;'0. Instruções'!$D$43&amp;")Y"</f>
        <v>(SELECT prtctn_id AS prtctn_id_SIMUL, epc_emssns_scr AS epc_emssns_scr_SIMUL FROM BU_LOANTAPE_WORK.SIMUL_LT004 WHERE ref_date='${ref_date}' AND nome_perimetro='Individual Local' AND segmento='ESTR' AND ambito='PILAR3' AND entidade='00100')Y</v>
      </c>
      <c r="K636" s="35" t="str">
        <f>+UPPER("ON X."&amp;VLOOKUP(B636,'0. Instruções'!$C$27:$G$32,4,FALSE)&amp;"=Y."&amp;VLOOKUP(B636,'0. Instruções'!$C$27:$G$32,4,FALSE)&amp;"_SIMUL")</f>
        <v>ON X.PRTCTN_ID=Y.PRTCTN_ID_SIMUL</v>
      </c>
      <c r="L636" s="35" t="str">
        <f>+IF(C636="Coerência", +IF(LEFT(G636,5)="FLOAT","SELECT '"&amp;UPPER(B636)&amp;"' AS TABELA, '"&amp;UPPER(C636)&amp;"' AS TIPOLOGIA_TESTE,'"&amp;D636&amp;"' AS TABELA_LT,'"&amp;E636&amp;"' AS TABELA_SIMUL,'"&amp;F636&amp;"' AS CAMPO, "&amp;"'${ref_date}' AS REF_DATE, COUNT(*) AS NUM_REG, SUM(IF((ABS(COALESCE(CAST(X."&amp;F636&amp;" AS DECIMAL(18,6)),0)-COALESCE(CAST(Y."&amp;F636&amp;"_SIMUL AS DECIMAL(18,6)),0))&gt;0.000001) OR (X."&amp;F636&amp;" IS NULL AND Y."&amp;F636&amp;"_SIMUL IS NOT NULL ) OR (X."&amp;F636&amp;" IS NOT NULL AND Y."&amp;F636&amp;"_SIMUL IS NULL),1,0)) AS NUM_REG_DIF,'"&amp;MAX('ID1&amp;5'!K:K)+1&amp;"' AS ID_EXEC, CURRENT_TIMESTAMP() AS TIME_EXEC FROM "&amp;I636&amp;" INNER JOIN "&amp;J636&amp;" "&amp;K636,"SELECT '"&amp;UPPER(B636)&amp;"' AS TABELA, '"&amp;UPPER(C636)&amp;"' AS TIPOLOGIA_TESTE,'"&amp;D636&amp;"' AS TABELA_LT,'"&amp;E636&amp;"' AS TABELA_SIMUL,'"&amp;F636&amp;"' AS CAMPO, "&amp;"'${ref_date}' AS REF_DATE, COUNT(*) AS NUM_REG, SUM(IF(COALESCE(CAST(X."&amp;F636&amp;" AS STRING),'')&lt;&gt;COALESCE(CAST(Y."&amp;F636&amp;"_SIMUL AS STRING),'') OR (X."&amp;F636&amp;" IS NULL AND Y."&amp;F636&amp;"_SIMUL IS NOT NULL ) OR (X."&amp;F636&amp;" IS NOT NULL AND Y."&amp;F636&amp;"_SIMUL IS NULL),1,0)) AS NUM_REG_DIF,'"&amp;MAX('ID1&amp;5'!L:L)+1&amp;"' AS ID_EXEC, CURRENT_TIMESTAMP() AS TIME_EXEC FROM "&amp;I636&amp;" INNER JOIN "&amp;J636&amp;" "&amp;K636),
IF(C636="Validade",+IF(G636="Code List","SELECT '"&amp;UPPER(B636)&amp;"' AS TABELA, '"&amp;UPPER(C636)&amp;"' AS TIPOLOGIA_TESTE,'"&amp;D636&amp;"' AS TABELA_LT,'N/A' AS TABELA_SIMUL,'"&amp;F636&amp;"' AS CAMPO, "&amp;"'${ref_date}' AS REF_DATE, COUNT(*) AS NUM_REG, SUM(IF(TRIM(CAST(X."&amp;F636&amp;" AS STRING))='' OR TRIM(CAST(X."&amp;F636&amp;" AS STRING)) IS NULL OR CAST(X."&amp;F636&amp;" AS STRING) NOT "&amp;H636&amp;",1,0)) AS NUM_REG_DIF,'"&amp;MAX('ID1&amp;5'!K:K)+1&amp;"' AS ID_EXEC, CURRENT_TIMESTAMP() AS TIME_EXEC FROM "&amp;I636,"SELECT '"&amp;UPPER(B636)&amp;"' AS TABELA, '"&amp;UPPER(C636)&amp;"' AS TIPOLOGIA_TESTE,'"&amp;D636&amp;"' AS TABELA_LT,'N/A' AS TABELA_SIMUL,'"&amp;F636&amp;"' AS CAMPO, "&amp;"'${ref_date}' AS REF_DATE, COUNT(*) AS NUM_REG, SUM(IF(TRIM(CAST(X."&amp;F636&amp;" AS STRING))='' OR TRIM(CAST(X."&amp;F636&amp;" AS STRING)) IS NULL,1,0)) AS NUM_REG_DIF,'"&amp;MAX('ID1&amp;5'!K:K)+1&amp;"' AS ID_EXEC, CURRENT_TIMESTAMP() AS TIME_EXEC FROM "&amp;I636),
IF(C636="Caracteres Especiais",+"SELECT '"&amp;UPPER(B636)&amp;"' AS TABELA, '"&amp;UPPER(C636)&amp;"' AS TIPOLOGIA_TESTE,'"&amp;D636&amp;"' AS TABELA_LT,'N/A' AS TABELA_SIMUL,'"&amp;F636&amp;"' AS CAMPO, "&amp;"'${ref_date}' AS REF_DATE, COUNT(*) AS NUM_REG, SUM(IF(REGEXP_REPLACE(TRIM(CAST(X."&amp;F636&amp;" AS STRING)),'[^a-zA-Z0-9_\\s]','') &lt;&gt;TRIM(CAST(X."&amp;F636&amp;" AS STRING)),1,0)) AS NUM_REG_DIF,'"&amp;MAX('ID1&amp;5'!K:K)+1&amp;"' AS ID_EXEC, CURRENT_TIMESTAMP() AS TIME_EXEC FROM "&amp;I636,
IF(C636="Missings",+"SELECT '"&amp;UPPER(B636)&amp;"' AS TABELA, '"&amp;UPPER(C636)&amp;"' AS TIPOLOGIA_TESTE,'"&amp;D636&amp;"' AS TABELA_LT,'N/A' AS TABELA_SIMUL,'"&amp;F636&amp;"' AS CAMPO, "&amp;"'${ref_date}' AS REF_DATE, COUNT(*) AS NUM_REG, SUM(IF(TRIM(CAST(X."&amp;F636&amp;" AS STRING)) IN ('0000-00-00','0001-01-01','9999-12-31','MISS','00000','99999999999','99999999999.00','99999999999.000000'),1,0)) AS NUM_REG_DIF,'"&amp;MAX('ID1&amp;5'!K:K)+1&amp;"' AS ID_EXEC, CURRENT_TIMESTAMP() AS TIME_EXEC FROM "&amp;I636,
IF(C636="Not applicable",+"SELECT '"&amp;UPPER(B636)&amp;"' AS TABELA, '"&amp;UPPER(C636)&amp;"' AS TIPOLOGIA_TESTE,'"&amp;D636&amp;"' AS TABELA_LT,'N/A' AS TABELA_SIMUL,'"&amp;F636&amp;"' AS CAMPO, "&amp;"'${ref_date}' AS REF_DATE, COUNT(*) AS NUM_REG, SUM(IF(TRIM(CAST(X."&amp;F636&amp;" AS STRING)) IN ('N/A','11111111111','11111111111.00','11111111111.000000','1111-11-11'),1,0)) AS NUM_REG_DIF,'"&amp;MAX('ID1&amp;5'!K:K)+1&amp;"' AS ID_EXEC, CURRENT_TIMESTAMP() AS TIME_EXEC FROM "&amp;I636,
IF(C636="Valores extremos",+"SELECT '"&amp;UPPER(B636)&amp;"' AS TABELA, '"&amp;UPPER(C636)&amp;"' AS TIPOLOGIA_TESTE,'"&amp;D636&amp;"' AS TABELA_LT,'N/A' AS TABELA_SIMUL,'"&amp;F636&amp;"' AS CAMPO, "&amp;"'${ref_date}' AS REF_DATE, CAST(MIN("&amp;F636&amp;") AS STRING) AS VALOR_MIN, CAST(MAX("&amp;F636&amp;") AS STRING) AS VALOR_MAX,'"&amp;MAX('ID1&amp;5'!K:K)+1&amp;"' AS ID_EXEC, CURRENT_TIMESTAMP() AS TIME_EXEC FROM "&amp;MID(I636,1,LEN(I636)-2)&amp;" AND CAST("&amp;F636&amp;"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TABELA_SIMUL,'epc_emssns_scr' AS CAMPO, '${ref_date}' AS REF_DATE, COUNT(*) AS NUM_REG, SUM(IF(COALESCE(CAST(X.epc_emssns_scr AS STRING),'')&lt;&gt;COALESCE(CAST(Y.epc_emssns_scr_SIMUL AS STRING),'') OR (X.epc_emssns_scr IS NULL AND Y.epc_emssns_scr_SIMUL IS NOT NULL ) OR (X.epc_emssns_scr IS NOT NULL AND Y.epc_emssns_scr_SIMUL IS NULL),1,0)) AS NUM_REG_DIF,'1' AS ID_EXEC, CURRENT_TIMESTAMP() AS TIME_EXEC FROM (SELECT prtctn_id, epc_emssns_scr FROM BU_LOANTAPE_WORK.LT004_PROTECTION WHERE ref_date='${ref_date}' AND nome_perimetro='Individual Local' AND segmento='ESTR' AND ambito='SRB_MBDT' AND entidade='00100')X INNER JOIN (SELECT prtctn_id AS prtctn_id_SIMUL, epc_emssns_scr AS epc_emssns_scr_SIMUL FROM BU_LOANTAPE_WORK.SIMUL_LT004 WHERE ref_date='${ref_date}' AND nome_perimetro='Individual Local' AND segmento='ESTR' AND ambito='PILAR3' AND entidade='00100')Y ON X.PRTCTN_ID=Y.PRTCTN_ID_SIMUL</v>
      </c>
      <c r="M636" s="36" t="str">
        <f t="shared" si="15"/>
        <v>UNION ALL SELECT 'PROTECTION' AS TABELA, 'COERÊNCIA' AS TIPOLOGIA_TESTE,'BU_LOANTAPE_WORK.LT004_PROTECTION' AS TABELA_LT,'BU_LOANTAPE_WORK.SIMUL_LT004' AS TABELA_SIMUL,'epc_emssns_scr' AS CAMPO, '${ref_date}' AS REF_DATE, COUNT(*) AS NUM_REG, SUM(IF(COALESCE(CAST(X.epc_emssns_scr AS STRING),'')&lt;&gt;COALESCE(CAST(Y.epc_emssns_scr_SIMUL AS STRING),'') OR (X.epc_emssns_scr IS NULL AND Y.epc_emssns_scr_SIMUL IS NOT NULL ) OR (X.epc_emssns_scr IS NOT NULL AND Y.epc_emssns_scr_SIMUL IS NULL),1,0)) AS NUM_REG_DIF,'1' AS ID_EXEC, CURRENT_TIMESTAMP() AS TIME_EXEC FROM (SELECT prtctn_id, epc_emssns_scr FROM BU_LOANTAPE_WORK.LT004_PROTECTION WHERE ref_date='${ref_date}' AND nome_perimetro='Individual Local' AND segmento='ESTR' AND ambito='SRB_MBDT' AND entidade='00100')X INNER JOIN (SELECT prtctn_id AS prtctn_id_SIMUL, epc_emssns_scr AS epc_emssns_scr_SIMUL FROM BU_LOANTAPE_WORK.SIMUL_LT004 WHERE ref_date='${ref_date}' AND nome_perimetro='Individual Local' AND segmento='ESTR' AND ambito='PILAR3' AND entidade='00100')Y ON X.PRTCTN_ID=Y.PRTCTN_ID_SIMUL</v>
      </c>
    </row>
    <row r="637" spans="2:13">
      <c r="B637" s="34" t="s">
        <v>119</v>
      </c>
      <c r="C637" s="34" t="s">
        <v>5</v>
      </c>
      <c r="D637" s="34" t="str">
        <f>+UPPER('0. Instruções'!$D$35&amp;"."&amp;VLOOKUP(B637,'0. Instruções'!$C$27:$D$32,2,FALSE))</f>
        <v>BU_LOANTAPE_WORK.LT004_PROTECTION</v>
      </c>
      <c r="E637" s="34" t="str">
        <f>+UPPER('0. Instruções'!$D$36&amp;"."&amp;VLOOKUP(B637,'0. Instruções'!$C$27:$E$32,3,FALSE))</f>
        <v>BU_LOANTAPE_WORK.SIMUL_LT004</v>
      </c>
      <c r="F637" s="34" t="s">
        <v>1554</v>
      </c>
      <c r="G637" s="34"/>
      <c r="H637" s="34"/>
      <c r="I637" s="34" t="str">
        <f>"(SELECT "&amp;VLOOKUP(B637,'0. Instruções'!$C$27:$G$32,4,FALSE)&amp;", "&amp;F637&amp;" FROM "&amp;D637&amp;" WHERE "&amp;'0. Instruções'!$D$42&amp;")X"</f>
        <v>(SELECT prtctn_id, flg_frst_hm FROM BU_LOANTAPE_WORK.LT004_PROTECTION WHERE ref_date='${ref_date}' AND nome_perimetro='Individual Local' AND segmento='ESTR' AND ambito='SRB_MBDT' AND entidade='00100')X</v>
      </c>
      <c r="J637" s="34" t="str">
        <f>"(SELECT "&amp;VLOOKUP(B637,'0. Instruções'!$C$27:$G$32,4,FALSE)&amp;" AS "&amp;VLOOKUP(B637,'0. Instruções'!$C$27:$G$32,4,FALSE)&amp;"_SIMUL, "&amp;F637&amp;" AS "&amp;F637&amp;"_SIMUL FROM "&amp;E637&amp;" WHERE "&amp;'0. Instruções'!$D$43&amp;")Y"</f>
        <v>(SELECT prtctn_id AS prtctn_id_SIMUL, flg_frst_hm AS flg_frst_hm_SIMUL FROM BU_LOANTAPE_WORK.SIMUL_LT004 WHERE ref_date='${ref_date}' AND nome_perimetro='Individual Local' AND segmento='ESTR' AND ambito='PILAR3' AND entidade='00100')Y</v>
      </c>
      <c r="K637" s="35" t="str">
        <f>+UPPER("ON X."&amp;VLOOKUP(B637,'0. Instruções'!$C$27:$G$32,4,FALSE)&amp;"=Y."&amp;VLOOKUP(B637,'0. Instruções'!$C$27:$G$32,4,FALSE)&amp;"_SIMUL")</f>
        <v>ON X.PRTCTN_ID=Y.PRTCTN_ID_SIMUL</v>
      </c>
      <c r="L637" s="35" t="str">
        <f>+IF(C637="Coerência", +IF(LEFT(G637,5)="FLOAT","SELECT '"&amp;UPPER(B637)&amp;"' AS TABELA, '"&amp;UPPER(C637)&amp;"' AS TIPOLOGIA_TESTE,'"&amp;D637&amp;"' AS TABELA_LT,'"&amp;E637&amp;"' AS TABELA_SIMUL,'"&amp;F637&amp;"' AS CAMPO, "&amp;"'${ref_date}' AS REF_DATE, COUNT(*) AS NUM_REG, SUM(IF((ABS(COALESCE(CAST(X."&amp;F637&amp;" AS DECIMAL(18,6)),0)-COALESCE(CAST(Y."&amp;F637&amp;"_SIMUL AS DECIMAL(18,6)),0))&gt;0.000001) OR (X."&amp;F637&amp;" IS NULL AND Y."&amp;F637&amp;"_SIMUL IS NOT NULL ) OR (X."&amp;F637&amp;" IS NOT NULL AND Y."&amp;F637&amp;"_SIMUL IS NULL),1,0)) AS NUM_REG_DIF,'"&amp;MAX('ID1&amp;5'!K:K)+1&amp;"' AS ID_EXEC, CURRENT_TIMESTAMP() AS TIME_EXEC FROM "&amp;I637&amp;" INNER JOIN "&amp;J637&amp;" "&amp;K637,"SELECT '"&amp;UPPER(B637)&amp;"' AS TABELA, '"&amp;UPPER(C637)&amp;"' AS TIPOLOGIA_TESTE,'"&amp;D637&amp;"' AS TABELA_LT,'"&amp;E637&amp;"' AS TABELA_SIMUL,'"&amp;F637&amp;"' AS CAMPO, "&amp;"'${ref_date}' AS REF_DATE, COUNT(*) AS NUM_REG, SUM(IF(COALESCE(CAST(X."&amp;F637&amp;" AS STRING),'')&lt;&gt;COALESCE(CAST(Y."&amp;F637&amp;"_SIMUL AS STRING),'') OR (X."&amp;F637&amp;" IS NULL AND Y."&amp;F637&amp;"_SIMUL IS NOT NULL ) OR (X."&amp;F637&amp;" IS NOT NULL AND Y."&amp;F637&amp;"_SIMUL IS NULL),1,0)) AS NUM_REG_DIF,'"&amp;MAX('ID1&amp;5'!L:L)+1&amp;"' AS ID_EXEC, CURRENT_TIMESTAMP() AS TIME_EXEC FROM "&amp;I637&amp;" INNER JOIN "&amp;J637&amp;" "&amp;K637),
IF(C637="Validade",+IF(G637="Code List","SELECT '"&amp;UPPER(B637)&amp;"' AS TABELA, '"&amp;UPPER(C637)&amp;"' AS TIPOLOGIA_TESTE,'"&amp;D637&amp;"' AS TABELA_LT,'N/A' AS TABELA_SIMUL,'"&amp;F637&amp;"' AS CAMPO, "&amp;"'${ref_date}' AS REF_DATE, COUNT(*) AS NUM_REG, SUM(IF(TRIM(CAST(X."&amp;F637&amp;" AS STRING))='' OR TRIM(CAST(X."&amp;F637&amp;" AS STRING)) IS NULL OR CAST(X."&amp;F637&amp;" AS STRING) NOT "&amp;H637&amp;",1,0)) AS NUM_REG_DIF,'"&amp;MAX('ID1&amp;5'!K:K)+1&amp;"' AS ID_EXEC, CURRENT_TIMESTAMP() AS TIME_EXEC FROM "&amp;I637,"SELECT '"&amp;UPPER(B637)&amp;"' AS TABELA, '"&amp;UPPER(C637)&amp;"' AS TIPOLOGIA_TESTE,'"&amp;D637&amp;"' AS TABELA_LT,'N/A' AS TABELA_SIMUL,'"&amp;F637&amp;"' AS CAMPO, "&amp;"'${ref_date}' AS REF_DATE, COUNT(*) AS NUM_REG, SUM(IF(TRIM(CAST(X."&amp;F637&amp;" AS STRING))='' OR TRIM(CAST(X."&amp;F637&amp;" AS STRING)) IS NULL,1,0)) AS NUM_REG_DIF,'"&amp;MAX('ID1&amp;5'!K:K)+1&amp;"' AS ID_EXEC, CURRENT_TIMESTAMP() AS TIME_EXEC FROM "&amp;I637),
IF(C637="Caracteres Especiais",+"SELECT '"&amp;UPPER(B637)&amp;"' AS TABELA, '"&amp;UPPER(C637)&amp;"' AS TIPOLOGIA_TESTE,'"&amp;D637&amp;"' AS TABELA_LT,'N/A' AS TABELA_SIMUL,'"&amp;F637&amp;"' AS CAMPO, "&amp;"'${ref_date}' AS REF_DATE, COUNT(*) AS NUM_REG, SUM(IF(REGEXP_REPLACE(TRIM(CAST(X."&amp;F637&amp;" AS STRING)),'[^a-zA-Z0-9_\\s]','') &lt;&gt;TRIM(CAST(X."&amp;F637&amp;" AS STRING)),1,0)) AS NUM_REG_DIF,'"&amp;MAX('ID1&amp;5'!K:K)+1&amp;"' AS ID_EXEC, CURRENT_TIMESTAMP() AS TIME_EXEC FROM "&amp;I637,
IF(C637="Missings",+"SELECT '"&amp;UPPER(B637)&amp;"' AS TABELA, '"&amp;UPPER(C637)&amp;"' AS TIPOLOGIA_TESTE,'"&amp;D637&amp;"' AS TABELA_LT,'N/A' AS TABELA_SIMUL,'"&amp;F637&amp;"' AS CAMPO, "&amp;"'${ref_date}' AS REF_DATE, COUNT(*) AS NUM_REG, SUM(IF(TRIM(CAST(X."&amp;F637&amp;" AS STRING)) IN ('0000-00-00','0001-01-01','9999-12-31','MISS','00000','99999999999','99999999999.00','99999999999.000000'),1,0)) AS NUM_REG_DIF,'"&amp;MAX('ID1&amp;5'!K:K)+1&amp;"' AS ID_EXEC, CURRENT_TIMESTAMP() AS TIME_EXEC FROM "&amp;I637,
IF(C637="Not applicable",+"SELECT '"&amp;UPPER(B637)&amp;"' AS TABELA, '"&amp;UPPER(C637)&amp;"' AS TIPOLOGIA_TESTE,'"&amp;D637&amp;"' AS TABELA_LT,'N/A' AS TABELA_SIMUL,'"&amp;F637&amp;"' AS CAMPO, "&amp;"'${ref_date}' AS REF_DATE, COUNT(*) AS NUM_REG, SUM(IF(TRIM(CAST(X."&amp;F637&amp;" AS STRING)) IN ('N/A','11111111111','11111111111.00','11111111111.000000','1111-11-11'),1,0)) AS NUM_REG_DIF,'"&amp;MAX('ID1&amp;5'!K:K)+1&amp;"' AS ID_EXEC, CURRENT_TIMESTAMP() AS TIME_EXEC FROM "&amp;I637,
IF(C637="Valores extremos",+"SELECT '"&amp;UPPER(B637)&amp;"' AS TABELA, '"&amp;UPPER(C637)&amp;"' AS TIPOLOGIA_TESTE,'"&amp;D637&amp;"' AS TABELA_LT,'N/A' AS TABELA_SIMUL,'"&amp;F637&amp;"' AS CAMPO, "&amp;"'${ref_date}' AS REF_DATE, CAST(MIN("&amp;F637&amp;") AS STRING) AS VALOR_MIN, CAST(MAX("&amp;F637&amp;") AS STRING) AS VALOR_MAX,'"&amp;MAX('ID1&amp;5'!K:K)+1&amp;"' AS ID_EXEC, CURRENT_TIMESTAMP() AS TIME_EXEC FROM "&amp;MID(I637,1,LEN(I637)-2)&amp;" AND CAST("&amp;F637&amp;"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TABELA_SIMUL,'flg_frst_hm' AS CAMPO, '${ref_date}' AS REF_DATE, COUNT(*) AS NUM_REG, SUM(IF(COALESCE(CAST(X.flg_frst_hm AS STRING),'')&lt;&gt;COALESCE(CAST(Y.flg_frst_hm_SIMUL AS STRING),'') OR (X.flg_frst_hm IS NULL AND Y.flg_frst_hm_SIMUL IS NOT NULL ) OR (X.flg_frst_hm IS NOT NULL AND Y.flg_frst_hm_SIMUL IS NULL),1,0)) AS NUM_REG_DIF,'1' AS ID_EXEC, CURRENT_TIMESTAMP() AS TIME_EXEC FROM (SELECT prtctn_id, flg_frst_hm FROM BU_LOANTAPE_WORK.LT004_PROTECTION WHERE ref_date='${ref_date}' AND nome_perimetro='Individual Local' AND segmento='ESTR' AND ambito='SRB_MBDT' AND entidade='00100')X INNER JOIN (SELECT prtctn_id AS prtctn_id_SIMUL, flg_frst_hm AS flg_frst_hm_SIMUL FROM BU_LOANTAPE_WORK.SIMUL_LT004 WHERE ref_date='${ref_date}' AND nome_perimetro='Individual Local' AND segmento='ESTR' AND ambito='PILAR3' AND entidade='00100')Y ON X.PRTCTN_ID=Y.PRTCTN_ID_SIMUL</v>
      </c>
      <c r="M637" s="36" t="str">
        <f t="shared" si="15"/>
        <v>UNION ALL SELECT 'PROTECTION' AS TABELA, 'COERÊNCIA' AS TIPOLOGIA_TESTE,'BU_LOANTAPE_WORK.LT004_PROTECTION' AS TABELA_LT,'BU_LOANTAPE_WORK.SIMUL_LT004' AS TABELA_SIMUL,'flg_frst_hm' AS CAMPO, '${ref_date}' AS REF_DATE, COUNT(*) AS NUM_REG, SUM(IF(COALESCE(CAST(X.flg_frst_hm AS STRING),'')&lt;&gt;COALESCE(CAST(Y.flg_frst_hm_SIMUL AS STRING),'') OR (X.flg_frst_hm IS NULL AND Y.flg_frst_hm_SIMUL IS NOT NULL ) OR (X.flg_frst_hm IS NOT NULL AND Y.flg_frst_hm_SIMUL IS NULL),1,0)) AS NUM_REG_DIF,'1' AS ID_EXEC, CURRENT_TIMESTAMP() AS TIME_EXEC FROM (SELECT prtctn_id, flg_frst_hm FROM BU_LOANTAPE_WORK.LT004_PROTECTION WHERE ref_date='${ref_date}' AND nome_perimetro='Individual Local' AND segmento='ESTR' AND ambito='SRB_MBDT' AND entidade='00100')X INNER JOIN (SELECT prtctn_id AS prtctn_id_SIMUL, flg_frst_hm AS flg_frst_hm_SIMUL FROM BU_LOANTAPE_WORK.SIMUL_LT004 WHERE ref_date='${ref_date}' AND nome_perimetro='Individual Local' AND segmento='ESTR' AND ambito='PILAR3' AND entidade='00100')Y ON X.PRTCTN_ID=Y.PRTCTN_ID_SIMUL</v>
      </c>
    </row>
    <row r="638" spans="2:13">
      <c r="B638" s="34" t="s">
        <v>119</v>
      </c>
      <c r="C638" s="34" t="s">
        <v>5</v>
      </c>
      <c r="D638" s="34" t="str">
        <f>+UPPER('0. Instruções'!$D$35&amp;"."&amp;VLOOKUP(B638,'0. Instruções'!$C$27:$D$32,2,FALSE))</f>
        <v>BU_LOANTAPE_WORK.LT004_PROTECTION</v>
      </c>
      <c r="E638" s="34" t="str">
        <f>+UPPER('0. Instruções'!$D$36&amp;"."&amp;VLOOKUP(B638,'0. Instruções'!$C$27:$E$32,3,FALSE))</f>
        <v>BU_LOANTAPE_WORK.SIMUL_LT004</v>
      </c>
      <c r="F638" s="34" t="s">
        <v>1555</v>
      </c>
      <c r="G638" s="34"/>
      <c r="H638" s="34"/>
      <c r="I638" s="34" t="str">
        <f>"(SELECT "&amp;VLOOKUP(B638,'0. Instruções'!$C$27:$G$32,4,FALSE)&amp;", "&amp;F638&amp;" FROM "&amp;D638&amp;" WHERE "&amp;'0. Instruções'!$D$42&amp;")X"</f>
        <v>(SELECT prtctn_id, insrnc_id FROM BU_LOANTAPE_WORK.LT004_PROTECTION WHERE ref_date='${ref_date}' AND nome_perimetro='Individual Local' AND segmento='ESTR' AND ambito='SRB_MBDT' AND entidade='00100')X</v>
      </c>
      <c r="J638" s="34" t="str">
        <f>"(SELECT "&amp;VLOOKUP(B638,'0. Instruções'!$C$27:$G$32,4,FALSE)&amp;" AS "&amp;VLOOKUP(B638,'0. Instruções'!$C$27:$G$32,4,FALSE)&amp;"_SIMUL, "&amp;F638&amp;" AS "&amp;F638&amp;"_SIMUL FROM "&amp;E638&amp;" WHERE "&amp;'0. Instruções'!$D$43&amp;")Y"</f>
        <v>(SELECT prtctn_id AS prtctn_id_SIMUL, insrnc_id AS insrnc_id_SIMUL FROM BU_LOANTAPE_WORK.SIMUL_LT004 WHERE ref_date='${ref_date}' AND nome_perimetro='Individual Local' AND segmento='ESTR' AND ambito='PILAR3' AND entidade='00100')Y</v>
      </c>
      <c r="K638" s="35" t="str">
        <f>+UPPER("ON X."&amp;VLOOKUP(B638,'0. Instruções'!$C$27:$G$32,4,FALSE)&amp;"=Y."&amp;VLOOKUP(B638,'0. Instruções'!$C$27:$G$32,4,FALSE)&amp;"_SIMUL")</f>
        <v>ON X.PRTCTN_ID=Y.PRTCTN_ID_SIMUL</v>
      </c>
      <c r="L638" s="35" t="str">
        <f>+IF(C638="Coerência", +IF(LEFT(G638,5)="FLOAT","SELECT '"&amp;UPPER(B638)&amp;"' AS TABELA, '"&amp;UPPER(C638)&amp;"' AS TIPOLOGIA_TESTE,'"&amp;D638&amp;"' AS TABELA_LT,'"&amp;E638&amp;"' AS TABELA_SIMUL,'"&amp;F638&amp;"' AS CAMPO, "&amp;"'${ref_date}' AS REF_DATE, COUNT(*) AS NUM_REG, SUM(IF((ABS(COALESCE(CAST(X."&amp;F638&amp;" AS DECIMAL(18,6)),0)-COALESCE(CAST(Y."&amp;F638&amp;"_SIMUL AS DECIMAL(18,6)),0))&gt;0.000001) OR (X."&amp;F638&amp;" IS NULL AND Y."&amp;F638&amp;"_SIMUL IS NOT NULL ) OR (X."&amp;F638&amp;" IS NOT NULL AND Y."&amp;F638&amp;"_SIMUL IS NULL),1,0)) AS NUM_REG_DIF,'"&amp;MAX('ID1&amp;5'!K:K)+1&amp;"' AS ID_EXEC, CURRENT_TIMESTAMP() AS TIME_EXEC FROM "&amp;I638&amp;" INNER JOIN "&amp;J638&amp;" "&amp;K638,"SELECT '"&amp;UPPER(B638)&amp;"' AS TABELA, '"&amp;UPPER(C638)&amp;"' AS TIPOLOGIA_TESTE,'"&amp;D638&amp;"' AS TABELA_LT,'"&amp;E638&amp;"' AS TABELA_SIMUL,'"&amp;F638&amp;"' AS CAMPO, "&amp;"'${ref_date}' AS REF_DATE, COUNT(*) AS NUM_REG, SUM(IF(COALESCE(CAST(X."&amp;F638&amp;" AS STRING),'')&lt;&gt;COALESCE(CAST(Y."&amp;F638&amp;"_SIMUL AS STRING),'') OR (X."&amp;F638&amp;" IS NULL AND Y."&amp;F638&amp;"_SIMUL IS NOT NULL ) OR (X."&amp;F638&amp;" IS NOT NULL AND Y."&amp;F638&amp;"_SIMUL IS NULL),1,0)) AS NUM_REG_DIF,'"&amp;MAX('ID1&amp;5'!L:L)+1&amp;"' AS ID_EXEC, CURRENT_TIMESTAMP() AS TIME_EXEC FROM "&amp;I638&amp;" INNER JOIN "&amp;J638&amp;" "&amp;K638),
IF(C638="Validade",+IF(G638="Code List","SELECT '"&amp;UPPER(B638)&amp;"' AS TABELA, '"&amp;UPPER(C638)&amp;"' AS TIPOLOGIA_TESTE,'"&amp;D638&amp;"' AS TABELA_LT,'N/A' AS TABELA_SIMUL,'"&amp;F638&amp;"' AS CAMPO, "&amp;"'${ref_date}' AS REF_DATE, COUNT(*) AS NUM_REG, SUM(IF(TRIM(CAST(X."&amp;F638&amp;" AS STRING))='' OR TRIM(CAST(X."&amp;F638&amp;" AS STRING)) IS NULL OR CAST(X."&amp;F638&amp;" AS STRING) NOT "&amp;H638&amp;",1,0)) AS NUM_REG_DIF,'"&amp;MAX('ID1&amp;5'!K:K)+1&amp;"' AS ID_EXEC, CURRENT_TIMESTAMP() AS TIME_EXEC FROM "&amp;I638,"SELECT '"&amp;UPPER(B638)&amp;"' AS TABELA, '"&amp;UPPER(C638)&amp;"' AS TIPOLOGIA_TESTE,'"&amp;D638&amp;"' AS TABELA_LT,'N/A' AS TABELA_SIMUL,'"&amp;F638&amp;"' AS CAMPO, "&amp;"'${ref_date}' AS REF_DATE, COUNT(*) AS NUM_REG, SUM(IF(TRIM(CAST(X."&amp;F638&amp;" AS STRING))='' OR TRIM(CAST(X."&amp;F638&amp;" AS STRING)) IS NULL,1,0)) AS NUM_REG_DIF,'"&amp;MAX('ID1&amp;5'!K:K)+1&amp;"' AS ID_EXEC, CURRENT_TIMESTAMP() AS TIME_EXEC FROM "&amp;I638),
IF(C638="Caracteres Especiais",+"SELECT '"&amp;UPPER(B638)&amp;"' AS TABELA, '"&amp;UPPER(C638)&amp;"' AS TIPOLOGIA_TESTE,'"&amp;D638&amp;"' AS TABELA_LT,'N/A' AS TABELA_SIMUL,'"&amp;F638&amp;"' AS CAMPO, "&amp;"'${ref_date}' AS REF_DATE, COUNT(*) AS NUM_REG, SUM(IF(REGEXP_REPLACE(TRIM(CAST(X."&amp;F638&amp;" AS STRING)),'[^a-zA-Z0-9_\\s]','') &lt;&gt;TRIM(CAST(X."&amp;F638&amp;" AS STRING)),1,0)) AS NUM_REG_DIF,'"&amp;MAX('ID1&amp;5'!K:K)+1&amp;"' AS ID_EXEC, CURRENT_TIMESTAMP() AS TIME_EXEC FROM "&amp;I638,
IF(C638="Missings",+"SELECT '"&amp;UPPER(B638)&amp;"' AS TABELA, '"&amp;UPPER(C638)&amp;"' AS TIPOLOGIA_TESTE,'"&amp;D638&amp;"' AS TABELA_LT,'N/A' AS TABELA_SIMUL,'"&amp;F638&amp;"' AS CAMPO, "&amp;"'${ref_date}' AS REF_DATE, COUNT(*) AS NUM_REG, SUM(IF(TRIM(CAST(X."&amp;F638&amp;" AS STRING)) IN ('0000-00-00','0001-01-01','9999-12-31','MISS','00000','99999999999','99999999999.00','99999999999.000000'),1,0)) AS NUM_REG_DIF,'"&amp;MAX('ID1&amp;5'!K:K)+1&amp;"' AS ID_EXEC, CURRENT_TIMESTAMP() AS TIME_EXEC FROM "&amp;I638,
IF(C638="Not applicable",+"SELECT '"&amp;UPPER(B638)&amp;"' AS TABELA, '"&amp;UPPER(C638)&amp;"' AS TIPOLOGIA_TESTE,'"&amp;D638&amp;"' AS TABELA_LT,'N/A' AS TABELA_SIMUL,'"&amp;F638&amp;"' AS CAMPO, "&amp;"'${ref_date}' AS REF_DATE, COUNT(*) AS NUM_REG, SUM(IF(TRIM(CAST(X."&amp;F638&amp;" AS STRING)) IN ('N/A','11111111111','11111111111.00','11111111111.000000','1111-11-11'),1,0)) AS NUM_REG_DIF,'"&amp;MAX('ID1&amp;5'!K:K)+1&amp;"' AS ID_EXEC, CURRENT_TIMESTAMP() AS TIME_EXEC FROM "&amp;I638,
IF(C638="Valores extremos",+"SELECT '"&amp;UPPER(B638)&amp;"' AS TABELA, '"&amp;UPPER(C638)&amp;"' AS TIPOLOGIA_TESTE,'"&amp;D638&amp;"' AS TABELA_LT,'N/A' AS TABELA_SIMUL,'"&amp;F638&amp;"' AS CAMPO, "&amp;"'${ref_date}' AS REF_DATE, CAST(MIN("&amp;F638&amp;") AS STRING) AS VALOR_MIN, CAST(MAX("&amp;F638&amp;") AS STRING) AS VALOR_MAX,'"&amp;MAX('ID1&amp;5'!K:K)+1&amp;"' AS ID_EXEC, CURRENT_TIMESTAMP() AS TIME_EXEC FROM "&amp;MID(I638,1,LEN(I638)-2)&amp;" AND CAST("&amp;F638&amp;"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TABELA_SIMUL,'insrnc_id' AS CAMPO, '${ref_date}' AS REF_DATE, COUNT(*) AS NUM_REG, SUM(IF(COALESCE(CAST(X.insrnc_id AS STRING),'')&lt;&gt;COALESCE(CAST(Y.insrnc_id_SIMUL AS STRING),'') OR (X.insrnc_id IS NULL AND Y.insrnc_id_SIMUL IS NOT NULL ) OR (X.insrnc_id IS NOT NULL AND Y.insrnc_id_SIMUL IS NULL),1,0)) AS NUM_REG_DIF,'1' AS ID_EXEC, CURRENT_TIMESTAMP() AS TIME_EXEC FROM (SELECT prtctn_id, insrnc_id FROM BU_LOANTAPE_WORK.LT004_PROTECTION WHERE ref_date='${ref_date}' AND nome_perimetro='Individual Local' AND segmento='ESTR' AND ambito='SRB_MBDT' AND entidade='00100')X INNER JOIN (SELECT prtctn_id AS prtctn_id_SIMUL, insrnc_id AS insrnc_id_SIMUL FROM BU_LOANTAPE_WORK.SIMUL_LT004 WHERE ref_date='${ref_date}' AND nome_perimetro='Individual Local' AND segmento='ESTR' AND ambito='PILAR3' AND entidade='00100')Y ON X.PRTCTN_ID=Y.PRTCTN_ID_SIMUL</v>
      </c>
      <c r="M638" s="36" t="str">
        <f t="shared" si="15"/>
        <v>UNION ALL SELECT 'PROTECTION' AS TABELA, 'COERÊNCIA' AS TIPOLOGIA_TESTE,'BU_LOANTAPE_WORK.LT004_PROTECTION' AS TABELA_LT,'BU_LOANTAPE_WORK.SIMUL_LT004' AS TABELA_SIMUL,'insrnc_id' AS CAMPO, '${ref_date}' AS REF_DATE, COUNT(*) AS NUM_REG, SUM(IF(COALESCE(CAST(X.insrnc_id AS STRING),'')&lt;&gt;COALESCE(CAST(Y.insrnc_id_SIMUL AS STRING),'') OR (X.insrnc_id IS NULL AND Y.insrnc_id_SIMUL IS NOT NULL ) OR (X.insrnc_id IS NOT NULL AND Y.insrnc_id_SIMUL IS NULL),1,0)) AS NUM_REG_DIF,'1' AS ID_EXEC, CURRENT_TIMESTAMP() AS TIME_EXEC FROM (SELECT prtctn_id, insrnc_id FROM BU_LOANTAPE_WORK.LT004_PROTECTION WHERE ref_date='${ref_date}' AND nome_perimetro='Individual Local' AND segmento='ESTR' AND ambito='SRB_MBDT' AND entidade='00100')X INNER JOIN (SELECT prtctn_id AS prtctn_id_SIMUL, insrnc_id AS insrnc_id_SIMUL FROM BU_LOANTAPE_WORK.SIMUL_LT004 WHERE ref_date='${ref_date}' AND nome_perimetro='Individual Local' AND segmento='ESTR' AND ambito='PILAR3' AND entidade='00100')Y ON X.PRTCTN_ID=Y.PRTCTN_ID_SIMUL</v>
      </c>
    </row>
    <row r="639" spans="2:13">
      <c r="B639" s="34" t="s">
        <v>119</v>
      </c>
      <c r="C639" s="34" t="s">
        <v>5</v>
      </c>
      <c r="D639" s="34" t="str">
        <f>+UPPER('0. Instruções'!$D$35&amp;"."&amp;VLOOKUP(B639,'0. Instruções'!$C$27:$D$32,2,FALSE))</f>
        <v>BU_LOANTAPE_WORK.LT004_PROTECTION</v>
      </c>
      <c r="E639" s="34" t="str">
        <f>+UPPER('0. Instruções'!$D$36&amp;"."&amp;VLOOKUP(B639,'0. Instruções'!$C$27:$E$32,3,FALSE))</f>
        <v>BU_LOANTAPE_WORK.SIMUL_LT004</v>
      </c>
      <c r="F639" s="34" t="s">
        <v>1556</v>
      </c>
      <c r="G639" s="34"/>
      <c r="H639" s="34"/>
      <c r="I639" s="34" t="str">
        <f>"(SELECT "&amp;VLOOKUP(B639,'0. Instruções'!$C$27:$G$32,4,FALSE)&amp;", "&amp;F639&amp;" FROM "&amp;D639&amp;" WHERE "&amp;'0. Instruções'!$D$42&amp;")X"</f>
        <v>(SELECT prtctn_id, prmry_enrgy_dmnd_nn_rnwbl FROM BU_LOANTAPE_WORK.LT004_PROTECTION WHERE ref_date='${ref_date}' AND nome_perimetro='Individual Local' AND segmento='ESTR' AND ambito='SRB_MBDT' AND entidade='00100')X</v>
      </c>
      <c r="J639" s="34" t="str">
        <f>"(SELECT "&amp;VLOOKUP(B639,'0. Instruções'!$C$27:$G$32,4,FALSE)&amp;" AS "&amp;VLOOKUP(B639,'0. Instruções'!$C$27:$G$32,4,FALSE)&amp;"_SIMUL, "&amp;F639&amp;" AS "&amp;F639&amp;"_SIMUL FROM "&amp;E639&amp;" WHERE "&amp;'0. Instruções'!$D$43&amp;")Y"</f>
        <v>(SELECT prtctn_id AS prtctn_id_SIMUL, prmry_enrgy_dmnd_nn_rnwbl AS prmry_enrgy_dmnd_nn_rnwbl_SIMUL FROM BU_LOANTAPE_WORK.SIMUL_LT004 WHERE ref_date='${ref_date}' AND nome_perimetro='Individual Local' AND segmento='ESTR' AND ambito='PILAR3' AND entidade='00100')Y</v>
      </c>
      <c r="K639" s="35" t="str">
        <f>+UPPER("ON X."&amp;VLOOKUP(B639,'0. Instruções'!$C$27:$G$32,4,FALSE)&amp;"=Y."&amp;VLOOKUP(B639,'0. Instruções'!$C$27:$G$32,4,FALSE)&amp;"_SIMUL")</f>
        <v>ON X.PRTCTN_ID=Y.PRTCTN_ID_SIMUL</v>
      </c>
      <c r="L639" s="35" t="str">
        <f>+IF(C639="Coerência", +IF(LEFT(G639,5)="FLOAT","SELECT '"&amp;UPPER(B639)&amp;"' AS TABELA, '"&amp;UPPER(C639)&amp;"' AS TIPOLOGIA_TESTE,'"&amp;D639&amp;"' AS TABELA_LT,'"&amp;E639&amp;"' AS TABELA_SIMUL,'"&amp;F639&amp;"' AS CAMPO, "&amp;"'${ref_date}' AS REF_DATE, COUNT(*) AS NUM_REG, SUM(IF((ABS(COALESCE(CAST(X."&amp;F639&amp;" AS DECIMAL(18,6)),0)-COALESCE(CAST(Y."&amp;F639&amp;"_SIMUL AS DECIMAL(18,6)),0))&gt;0.000001) OR (X."&amp;F639&amp;" IS NULL AND Y."&amp;F639&amp;"_SIMUL IS NOT NULL ) OR (X."&amp;F639&amp;" IS NOT NULL AND Y."&amp;F639&amp;"_SIMUL IS NULL),1,0)) AS NUM_REG_DIF,'"&amp;MAX('ID1&amp;5'!K:K)+1&amp;"' AS ID_EXEC, CURRENT_TIMESTAMP() AS TIME_EXEC FROM "&amp;I639&amp;" INNER JOIN "&amp;J639&amp;" "&amp;K639,"SELECT '"&amp;UPPER(B639)&amp;"' AS TABELA, '"&amp;UPPER(C639)&amp;"' AS TIPOLOGIA_TESTE,'"&amp;D639&amp;"' AS TABELA_LT,'"&amp;E639&amp;"' AS TABELA_SIMUL,'"&amp;F639&amp;"' AS CAMPO, "&amp;"'${ref_date}' AS REF_DATE, COUNT(*) AS NUM_REG, SUM(IF(COALESCE(CAST(X."&amp;F639&amp;" AS STRING),'')&lt;&gt;COALESCE(CAST(Y."&amp;F639&amp;"_SIMUL AS STRING),'') OR (X."&amp;F639&amp;" IS NULL AND Y."&amp;F639&amp;"_SIMUL IS NOT NULL ) OR (X."&amp;F639&amp;" IS NOT NULL AND Y."&amp;F639&amp;"_SIMUL IS NULL),1,0)) AS NUM_REG_DIF,'"&amp;MAX('ID1&amp;5'!L:L)+1&amp;"' AS ID_EXEC, CURRENT_TIMESTAMP() AS TIME_EXEC FROM "&amp;I639&amp;" INNER JOIN "&amp;J639&amp;" "&amp;K639),
IF(C639="Validade",+IF(G639="Code List","SELECT '"&amp;UPPER(B639)&amp;"' AS TABELA, '"&amp;UPPER(C639)&amp;"' AS TIPOLOGIA_TESTE,'"&amp;D639&amp;"' AS TABELA_LT,'N/A' AS TABELA_SIMUL,'"&amp;F639&amp;"' AS CAMPO, "&amp;"'${ref_date}' AS REF_DATE, COUNT(*) AS NUM_REG, SUM(IF(TRIM(CAST(X."&amp;F639&amp;" AS STRING))='' OR TRIM(CAST(X."&amp;F639&amp;" AS STRING)) IS NULL OR CAST(X."&amp;F639&amp;" AS STRING) NOT "&amp;H639&amp;",1,0)) AS NUM_REG_DIF,'"&amp;MAX('ID1&amp;5'!K:K)+1&amp;"' AS ID_EXEC, CURRENT_TIMESTAMP() AS TIME_EXEC FROM "&amp;I639,"SELECT '"&amp;UPPER(B639)&amp;"' AS TABELA, '"&amp;UPPER(C639)&amp;"' AS TIPOLOGIA_TESTE,'"&amp;D639&amp;"' AS TABELA_LT,'N/A' AS TABELA_SIMUL,'"&amp;F639&amp;"' AS CAMPO, "&amp;"'${ref_date}' AS REF_DATE, COUNT(*) AS NUM_REG, SUM(IF(TRIM(CAST(X."&amp;F639&amp;" AS STRING))='' OR TRIM(CAST(X."&amp;F639&amp;" AS STRING)) IS NULL,1,0)) AS NUM_REG_DIF,'"&amp;MAX('ID1&amp;5'!K:K)+1&amp;"' AS ID_EXEC, CURRENT_TIMESTAMP() AS TIME_EXEC FROM "&amp;I639),
IF(C639="Caracteres Especiais",+"SELECT '"&amp;UPPER(B639)&amp;"' AS TABELA, '"&amp;UPPER(C639)&amp;"' AS TIPOLOGIA_TESTE,'"&amp;D639&amp;"' AS TABELA_LT,'N/A' AS TABELA_SIMUL,'"&amp;F639&amp;"' AS CAMPO, "&amp;"'${ref_date}' AS REF_DATE, COUNT(*) AS NUM_REG, SUM(IF(REGEXP_REPLACE(TRIM(CAST(X."&amp;F639&amp;" AS STRING)),'[^a-zA-Z0-9_\\s]','') &lt;&gt;TRIM(CAST(X."&amp;F639&amp;" AS STRING)),1,0)) AS NUM_REG_DIF,'"&amp;MAX('ID1&amp;5'!K:K)+1&amp;"' AS ID_EXEC, CURRENT_TIMESTAMP() AS TIME_EXEC FROM "&amp;I639,
IF(C639="Missings",+"SELECT '"&amp;UPPER(B639)&amp;"' AS TABELA, '"&amp;UPPER(C639)&amp;"' AS TIPOLOGIA_TESTE,'"&amp;D639&amp;"' AS TABELA_LT,'N/A' AS TABELA_SIMUL,'"&amp;F639&amp;"' AS CAMPO, "&amp;"'${ref_date}' AS REF_DATE, COUNT(*) AS NUM_REG, SUM(IF(TRIM(CAST(X."&amp;F639&amp;" AS STRING)) IN ('0000-00-00','0001-01-01','9999-12-31','MISS','00000','99999999999','99999999999.00','99999999999.000000'),1,0)) AS NUM_REG_DIF,'"&amp;MAX('ID1&amp;5'!K:K)+1&amp;"' AS ID_EXEC, CURRENT_TIMESTAMP() AS TIME_EXEC FROM "&amp;I639,
IF(C639="Not applicable",+"SELECT '"&amp;UPPER(B639)&amp;"' AS TABELA, '"&amp;UPPER(C639)&amp;"' AS TIPOLOGIA_TESTE,'"&amp;D639&amp;"' AS TABELA_LT,'N/A' AS TABELA_SIMUL,'"&amp;F639&amp;"' AS CAMPO, "&amp;"'${ref_date}' AS REF_DATE, COUNT(*) AS NUM_REG, SUM(IF(TRIM(CAST(X."&amp;F639&amp;" AS STRING)) IN ('N/A','11111111111','11111111111.00','11111111111.000000','1111-11-11'),1,0)) AS NUM_REG_DIF,'"&amp;MAX('ID1&amp;5'!K:K)+1&amp;"' AS ID_EXEC, CURRENT_TIMESTAMP() AS TIME_EXEC FROM "&amp;I639,
IF(C639="Valores extremos",+"SELECT '"&amp;UPPER(B639)&amp;"' AS TABELA, '"&amp;UPPER(C639)&amp;"' AS TIPOLOGIA_TESTE,'"&amp;D639&amp;"' AS TABELA_LT,'N/A' AS TABELA_SIMUL,'"&amp;F639&amp;"' AS CAMPO, "&amp;"'${ref_date}' AS REF_DATE, CAST(MIN("&amp;F639&amp;") AS STRING) AS VALOR_MIN, CAST(MAX("&amp;F639&amp;") AS STRING) AS VALOR_MAX,'"&amp;MAX('ID1&amp;5'!K:K)+1&amp;"' AS ID_EXEC, CURRENT_TIMESTAMP() AS TIME_EXEC FROM "&amp;MID(I639,1,LEN(I639)-2)&amp;" AND CAST("&amp;F639&amp;"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TABELA_SIMUL,'prmry_enrgy_dmnd_nn_rnwbl' AS CAMPO, '${ref_date}' AS REF_DATE, COUNT(*) AS NUM_REG, SUM(IF(COALESCE(CAST(X.prmry_enrgy_dmnd_nn_rnwbl AS STRING),'')&lt;&gt;COALESCE(CAST(Y.prmry_enrgy_dmnd_nn_rnwbl_SIMUL AS STRING),'') OR (X.prmry_enrgy_dmnd_nn_rnwbl IS NULL AND Y.prmry_enrgy_dmnd_nn_rnwbl_SIMUL IS NOT NULL ) OR (X.prmry_enrgy_dmnd_nn_rnwbl IS NOT NULL AND Y.prmry_enrgy_dmnd_nn_rnwbl_SIMUL IS NULL),1,0)) AS NUM_REG_DIF,'1' AS ID_EXEC, CURRENT_TIMESTAMP() AS TIME_EXEC FROM (SELECT prtctn_id, prmry_enrgy_dmnd_nn_rnwbl FROM BU_LOANTAPE_WORK.LT004_PROTECTION WHERE ref_date='${ref_date}' AND nome_perimetro='Individual Local' AND segmento='ESTR' AND ambito='SRB_MBDT' AND entidade='00100')X INNER JOIN (SELECT prtctn_id AS prtctn_id_SIMUL, prmry_enrgy_dmnd_nn_rnwbl AS prmry_enrgy_dmnd_nn_rnwbl_SIMUL FROM BU_LOANTAPE_WORK.SIMUL_LT004 WHERE ref_date='${ref_date}' AND nome_perimetro='Individual Local' AND segmento='ESTR' AND ambito='PILAR3' AND entidade='00100')Y ON X.PRTCTN_ID=Y.PRTCTN_ID_SIMUL</v>
      </c>
      <c r="M639" s="36" t="str">
        <f t="shared" si="15"/>
        <v>UNION ALL SELECT 'PROTECTION' AS TABELA, 'COERÊNCIA' AS TIPOLOGIA_TESTE,'BU_LOANTAPE_WORK.LT004_PROTECTION' AS TABELA_LT,'BU_LOANTAPE_WORK.SIMUL_LT004' AS TABELA_SIMUL,'prmry_enrgy_dmnd_nn_rnwbl' AS CAMPO, '${ref_date}' AS REF_DATE, COUNT(*) AS NUM_REG, SUM(IF(COALESCE(CAST(X.prmry_enrgy_dmnd_nn_rnwbl AS STRING),'')&lt;&gt;COALESCE(CAST(Y.prmry_enrgy_dmnd_nn_rnwbl_SIMUL AS STRING),'') OR (X.prmry_enrgy_dmnd_nn_rnwbl IS NULL AND Y.prmry_enrgy_dmnd_nn_rnwbl_SIMUL IS NOT NULL ) OR (X.prmry_enrgy_dmnd_nn_rnwbl IS NOT NULL AND Y.prmry_enrgy_dmnd_nn_rnwbl_SIMUL IS NULL),1,0)) AS NUM_REG_DIF,'1' AS ID_EXEC, CURRENT_TIMESTAMP() AS TIME_EXEC FROM (SELECT prtctn_id, prmry_enrgy_dmnd_nn_rnwbl FROM BU_LOANTAPE_WORK.LT004_PROTECTION WHERE ref_date='${ref_date}' AND nome_perimetro='Individual Local' AND segmento='ESTR' AND ambito='SRB_MBDT' AND entidade='00100')X INNER JOIN (SELECT prtctn_id AS prtctn_id_SIMUL, prmry_enrgy_dmnd_nn_rnwbl AS prmry_enrgy_dmnd_nn_rnwbl_SIMUL FROM BU_LOANTAPE_WORK.SIMUL_LT004 WHERE ref_date='${ref_date}' AND nome_perimetro='Individual Local' AND segmento='ESTR' AND ambito='PILAR3' AND entidade='00100')Y ON X.PRTCTN_ID=Y.PRTCTN_ID_SIMUL</v>
      </c>
    </row>
    <row r="640" spans="2:13">
      <c r="B640" s="34" t="s">
        <v>119</v>
      </c>
      <c r="C640" s="34" t="s">
        <v>5</v>
      </c>
      <c r="D640" s="34" t="str">
        <f>+UPPER('0. Instruções'!$D$35&amp;"."&amp;VLOOKUP(B640,'0. Instruções'!$C$27:$D$32,2,FALSE))</f>
        <v>BU_LOANTAPE_WORK.LT004_PROTECTION</v>
      </c>
      <c r="E640" s="34" t="str">
        <f>+UPPER('0. Instruções'!$D$36&amp;"."&amp;VLOOKUP(B640,'0. Instruções'!$C$27:$E$32,3,FALSE))</f>
        <v>BU_LOANTAPE_WORK.SIMUL_LT004</v>
      </c>
      <c r="F640" s="34" t="s">
        <v>1557</v>
      </c>
      <c r="G640" s="34"/>
      <c r="H640" s="34"/>
      <c r="I640" s="34" t="str">
        <f>"(SELECT "&amp;VLOOKUP(B640,'0. Instruções'!$C$27:$G$32,4,FALSE)&amp;", "&amp;F640&amp;" FROM "&amp;D640&amp;" WHERE "&amp;'0. Instruções'!$D$42&amp;")X"</f>
        <v>(SELECT prtctn_id, prmry_enrgy_dmnd_rfrnc_vl FROM BU_LOANTAPE_WORK.LT004_PROTECTION WHERE ref_date='${ref_date}' AND nome_perimetro='Individual Local' AND segmento='ESTR' AND ambito='SRB_MBDT' AND entidade='00100')X</v>
      </c>
      <c r="J640" s="34" t="str">
        <f>"(SELECT "&amp;VLOOKUP(B640,'0. Instruções'!$C$27:$G$32,4,FALSE)&amp;" AS "&amp;VLOOKUP(B640,'0. Instruções'!$C$27:$G$32,4,FALSE)&amp;"_SIMUL, "&amp;F640&amp;" AS "&amp;F640&amp;"_SIMUL FROM "&amp;E640&amp;" WHERE "&amp;'0. Instruções'!$D$43&amp;")Y"</f>
        <v>(SELECT prtctn_id AS prtctn_id_SIMUL, prmry_enrgy_dmnd_rfrnc_vl AS prmry_enrgy_dmnd_rfrnc_vl_SIMUL FROM BU_LOANTAPE_WORK.SIMUL_LT004 WHERE ref_date='${ref_date}' AND nome_perimetro='Individual Local' AND segmento='ESTR' AND ambito='PILAR3' AND entidade='00100')Y</v>
      </c>
      <c r="K640" s="35" t="str">
        <f>+UPPER("ON X."&amp;VLOOKUP(B640,'0. Instruções'!$C$27:$G$32,4,FALSE)&amp;"=Y."&amp;VLOOKUP(B640,'0. Instruções'!$C$27:$G$32,4,FALSE)&amp;"_SIMUL")</f>
        <v>ON X.PRTCTN_ID=Y.PRTCTN_ID_SIMUL</v>
      </c>
      <c r="L640" s="35" t="str">
        <f>+IF(C640="Coerência", +IF(LEFT(G640,5)="FLOAT","SELECT '"&amp;UPPER(B640)&amp;"' AS TABELA, '"&amp;UPPER(C640)&amp;"' AS TIPOLOGIA_TESTE,'"&amp;D640&amp;"' AS TABELA_LT,'"&amp;E640&amp;"' AS TABELA_SIMUL,'"&amp;F640&amp;"' AS CAMPO, "&amp;"'${ref_date}' AS REF_DATE, COUNT(*) AS NUM_REG, SUM(IF((ABS(COALESCE(CAST(X."&amp;F640&amp;" AS DECIMAL(18,6)),0)-COALESCE(CAST(Y."&amp;F640&amp;"_SIMUL AS DECIMAL(18,6)),0))&gt;0.000001) OR (X."&amp;F640&amp;" IS NULL AND Y."&amp;F640&amp;"_SIMUL IS NOT NULL ) OR (X."&amp;F640&amp;" IS NOT NULL AND Y."&amp;F640&amp;"_SIMUL IS NULL),1,0)) AS NUM_REG_DIF,'"&amp;MAX('ID1&amp;5'!K:K)+1&amp;"' AS ID_EXEC, CURRENT_TIMESTAMP() AS TIME_EXEC FROM "&amp;I640&amp;" INNER JOIN "&amp;J640&amp;" "&amp;K640,"SELECT '"&amp;UPPER(B640)&amp;"' AS TABELA, '"&amp;UPPER(C640)&amp;"' AS TIPOLOGIA_TESTE,'"&amp;D640&amp;"' AS TABELA_LT,'"&amp;E640&amp;"' AS TABELA_SIMUL,'"&amp;F640&amp;"' AS CAMPO, "&amp;"'${ref_date}' AS REF_DATE, COUNT(*) AS NUM_REG, SUM(IF(COALESCE(CAST(X."&amp;F640&amp;" AS STRING),'')&lt;&gt;COALESCE(CAST(Y."&amp;F640&amp;"_SIMUL AS STRING),'') OR (X."&amp;F640&amp;" IS NULL AND Y."&amp;F640&amp;"_SIMUL IS NOT NULL ) OR (X."&amp;F640&amp;" IS NOT NULL AND Y."&amp;F640&amp;"_SIMUL IS NULL),1,0)) AS NUM_REG_DIF,'"&amp;MAX('ID1&amp;5'!L:L)+1&amp;"' AS ID_EXEC, CURRENT_TIMESTAMP() AS TIME_EXEC FROM "&amp;I640&amp;" INNER JOIN "&amp;J640&amp;" "&amp;K640),
IF(C640="Validade",+IF(G640="Code List","SELECT '"&amp;UPPER(B640)&amp;"' AS TABELA, '"&amp;UPPER(C640)&amp;"' AS TIPOLOGIA_TESTE,'"&amp;D640&amp;"' AS TABELA_LT,'N/A' AS TABELA_SIMUL,'"&amp;F640&amp;"' AS CAMPO, "&amp;"'${ref_date}' AS REF_DATE, COUNT(*) AS NUM_REG, SUM(IF(TRIM(CAST(X."&amp;F640&amp;" AS STRING))='' OR TRIM(CAST(X."&amp;F640&amp;" AS STRING)) IS NULL OR CAST(X."&amp;F640&amp;" AS STRING) NOT "&amp;H640&amp;",1,0)) AS NUM_REG_DIF,'"&amp;MAX('ID1&amp;5'!K:K)+1&amp;"' AS ID_EXEC, CURRENT_TIMESTAMP() AS TIME_EXEC FROM "&amp;I640,"SELECT '"&amp;UPPER(B640)&amp;"' AS TABELA, '"&amp;UPPER(C640)&amp;"' AS TIPOLOGIA_TESTE,'"&amp;D640&amp;"' AS TABELA_LT,'N/A' AS TABELA_SIMUL,'"&amp;F640&amp;"' AS CAMPO, "&amp;"'${ref_date}' AS REF_DATE, COUNT(*) AS NUM_REG, SUM(IF(TRIM(CAST(X."&amp;F640&amp;" AS STRING))='' OR TRIM(CAST(X."&amp;F640&amp;" AS STRING)) IS NULL,1,0)) AS NUM_REG_DIF,'"&amp;MAX('ID1&amp;5'!K:K)+1&amp;"' AS ID_EXEC, CURRENT_TIMESTAMP() AS TIME_EXEC FROM "&amp;I640),
IF(C640="Caracteres Especiais",+"SELECT '"&amp;UPPER(B640)&amp;"' AS TABELA, '"&amp;UPPER(C640)&amp;"' AS TIPOLOGIA_TESTE,'"&amp;D640&amp;"' AS TABELA_LT,'N/A' AS TABELA_SIMUL,'"&amp;F640&amp;"' AS CAMPO, "&amp;"'${ref_date}' AS REF_DATE, COUNT(*) AS NUM_REG, SUM(IF(REGEXP_REPLACE(TRIM(CAST(X."&amp;F640&amp;" AS STRING)),'[^a-zA-Z0-9_\\s]','') &lt;&gt;TRIM(CAST(X."&amp;F640&amp;" AS STRING)),1,0)) AS NUM_REG_DIF,'"&amp;MAX('ID1&amp;5'!K:K)+1&amp;"' AS ID_EXEC, CURRENT_TIMESTAMP() AS TIME_EXEC FROM "&amp;I640,
IF(C640="Missings",+"SELECT '"&amp;UPPER(B640)&amp;"' AS TABELA, '"&amp;UPPER(C640)&amp;"' AS TIPOLOGIA_TESTE,'"&amp;D640&amp;"' AS TABELA_LT,'N/A' AS TABELA_SIMUL,'"&amp;F640&amp;"' AS CAMPO, "&amp;"'${ref_date}' AS REF_DATE, COUNT(*) AS NUM_REG, SUM(IF(TRIM(CAST(X."&amp;F640&amp;" AS STRING)) IN ('0000-00-00','0001-01-01','9999-12-31','MISS','00000','99999999999','99999999999.00','99999999999.000000'),1,0)) AS NUM_REG_DIF,'"&amp;MAX('ID1&amp;5'!K:K)+1&amp;"' AS ID_EXEC, CURRENT_TIMESTAMP() AS TIME_EXEC FROM "&amp;I640,
IF(C640="Not applicable",+"SELECT '"&amp;UPPER(B640)&amp;"' AS TABELA, '"&amp;UPPER(C640)&amp;"' AS TIPOLOGIA_TESTE,'"&amp;D640&amp;"' AS TABELA_LT,'N/A' AS TABELA_SIMUL,'"&amp;F640&amp;"' AS CAMPO, "&amp;"'${ref_date}' AS REF_DATE, COUNT(*) AS NUM_REG, SUM(IF(TRIM(CAST(X."&amp;F640&amp;" AS STRING)) IN ('N/A','11111111111','11111111111.00','11111111111.000000','1111-11-11'),1,0)) AS NUM_REG_DIF,'"&amp;MAX('ID1&amp;5'!K:K)+1&amp;"' AS ID_EXEC, CURRENT_TIMESTAMP() AS TIME_EXEC FROM "&amp;I640,
IF(C640="Valores extremos",+"SELECT '"&amp;UPPER(B640)&amp;"' AS TABELA, '"&amp;UPPER(C640)&amp;"' AS TIPOLOGIA_TESTE,'"&amp;D640&amp;"' AS TABELA_LT,'N/A' AS TABELA_SIMUL,'"&amp;F640&amp;"' AS CAMPO, "&amp;"'${ref_date}' AS REF_DATE, CAST(MIN("&amp;F640&amp;") AS STRING) AS VALOR_MIN, CAST(MAX("&amp;F640&amp;") AS STRING) AS VALOR_MAX,'"&amp;MAX('ID1&amp;5'!K:K)+1&amp;"' AS ID_EXEC, CURRENT_TIMESTAMP() AS TIME_EXEC FROM "&amp;MID(I640,1,LEN(I640)-2)&amp;" AND CAST("&amp;F640&amp;"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TABELA_SIMUL,'prmry_enrgy_dmnd_rfrnc_vl' AS CAMPO, '${ref_date}' AS REF_DATE, COUNT(*) AS NUM_REG, SUM(IF(COALESCE(CAST(X.prmry_enrgy_dmnd_rfrnc_vl AS STRING),'')&lt;&gt;COALESCE(CAST(Y.prmry_enrgy_dmnd_rfrnc_vl_SIMUL AS STRING),'') OR (X.prmry_enrgy_dmnd_rfrnc_vl IS NULL AND Y.prmry_enrgy_dmnd_rfrnc_vl_SIMUL IS NOT NULL ) OR (X.prmry_enrgy_dmnd_rfrnc_vl IS NOT NULL AND Y.prmry_enrgy_dmnd_rfrnc_vl_SIMUL IS NULL),1,0)) AS NUM_REG_DIF,'1' AS ID_EXEC, CURRENT_TIMESTAMP() AS TIME_EXEC FROM (SELECT prtctn_id, prmry_enrgy_dmnd_rfrnc_vl FROM BU_LOANTAPE_WORK.LT004_PROTECTION WHERE ref_date='${ref_date}' AND nome_perimetro='Individual Local' AND segmento='ESTR' AND ambito='SRB_MBDT' AND entidade='00100')X INNER JOIN (SELECT prtctn_id AS prtctn_id_SIMUL, prmry_enrgy_dmnd_rfrnc_vl AS prmry_enrgy_dmnd_rfrnc_vl_SIMUL FROM BU_LOANTAPE_WORK.SIMUL_LT004 WHERE ref_date='${ref_date}' AND nome_perimetro='Individual Local' AND segmento='ESTR' AND ambito='PILAR3' AND entidade='00100')Y ON X.PRTCTN_ID=Y.PRTCTN_ID_SIMUL</v>
      </c>
      <c r="M640" s="36" t="str">
        <f t="shared" si="15"/>
        <v>UNION ALL SELECT 'PROTECTION' AS TABELA, 'COERÊNCIA' AS TIPOLOGIA_TESTE,'BU_LOANTAPE_WORK.LT004_PROTECTION' AS TABELA_LT,'BU_LOANTAPE_WORK.SIMUL_LT004' AS TABELA_SIMUL,'prmry_enrgy_dmnd_rfrnc_vl' AS CAMPO, '${ref_date}' AS REF_DATE, COUNT(*) AS NUM_REG, SUM(IF(COALESCE(CAST(X.prmry_enrgy_dmnd_rfrnc_vl AS STRING),'')&lt;&gt;COALESCE(CAST(Y.prmry_enrgy_dmnd_rfrnc_vl_SIMUL AS STRING),'') OR (X.prmry_enrgy_dmnd_rfrnc_vl IS NULL AND Y.prmry_enrgy_dmnd_rfrnc_vl_SIMUL IS NOT NULL ) OR (X.prmry_enrgy_dmnd_rfrnc_vl IS NOT NULL AND Y.prmry_enrgy_dmnd_rfrnc_vl_SIMUL IS NULL),1,0)) AS NUM_REG_DIF,'1' AS ID_EXEC, CURRENT_TIMESTAMP() AS TIME_EXEC FROM (SELECT prtctn_id, prmry_enrgy_dmnd_rfrnc_vl FROM BU_LOANTAPE_WORK.LT004_PROTECTION WHERE ref_date='${ref_date}' AND nome_perimetro='Individual Local' AND segmento='ESTR' AND ambito='SRB_MBDT' AND entidade='00100')X INNER JOIN (SELECT prtctn_id AS prtctn_id_SIMUL, prmry_enrgy_dmnd_rfrnc_vl AS prmry_enrgy_dmnd_rfrnc_vl_SIMUL FROM BU_LOANTAPE_WORK.SIMUL_LT004 WHERE ref_date='${ref_date}' AND nome_perimetro='Individual Local' AND segmento='ESTR' AND ambito='PILAR3' AND entidade='00100')Y ON X.PRTCTN_ID=Y.PRTCTN_ID_SIMUL</v>
      </c>
    </row>
    <row r="641" spans="2:13">
      <c r="B641" s="34" t="s">
        <v>119</v>
      </c>
      <c r="C641" s="34" t="s">
        <v>5</v>
      </c>
      <c r="D641" s="34" t="str">
        <f>+UPPER('0. Instruções'!$D$35&amp;"."&amp;VLOOKUP(B641,'0. Instruções'!$C$27:$D$32,2,FALSE))</f>
        <v>BU_LOANTAPE_WORK.LT004_PROTECTION</v>
      </c>
      <c r="E641" s="34" t="str">
        <f>+UPPER('0. Instruções'!$D$36&amp;"."&amp;VLOOKUP(B641,'0. Instruções'!$C$27:$E$32,3,FALSE))</f>
        <v>BU_LOANTAPE_WORK.SIMUL_LT004</v>
      </c>
      <c r="F641" s="34" t="s">
        <v>1558</v>
      </c>
      <c r="G641" s="34"/>
      <c r="H641" s="34"/>
      <c r="I641" s="34" t="str">
        <f>"(SELECT "&amp;VLOOKUP(B641,'0. Instruções'!$C$27:$G$32,4,FALSE)&amp;", "&amp;F641&amp;" FROM "&amp;D641&amp;" WHERE "&amp;'0. Instruções'!$D$42&amp;")X"</f>
        <v>(SELECT prtctn_id, prmry_enrgy_dmnd_ttl FROM BU_LOANTAPE_WORK.LT004_PROTECTION WHERE ref_date='${ref_date}' AND nome_perimetro='Individual Local' AND segmento='ESTR' AND ambito='SRB_MBDT' AND entidade='00100')X</v>
      </c>
      <c r="J641" s="34" t="str">
        <f>"(SELECT "&amp;VLOOKUP(B641,'0. Instruções'!$C$27:$G$32,4,FALSE)&amp;" AS "&amp;VLOOKUP(B641,'0. Instruções'!$C$27:$G$32,4,FALSE)&amp;"_SIMUL, "&amp;F641&amp;" AS "&amp;F641&amp;"_SIMUL FROM "&amp;E641&amp;" WHERE "&amp;'0. Instruções'!$D$43&amp;")Y"</f>
        <v>(SELECT prtctn_id AS prtctn_id_SIMUL, prmry_enrgy_dmnd_ttl AS prmry_enrgy_dmnd_ttl_SIMUL FROM BU_LOANTAPE_WORK.SIMUL_LT004 WHERE ref_date='${ref_date}' AND nome_perimetro='Individual Local' AND segmento='ESTR' AND ambito='PILAR3' AND entidade='00100')Y</v>
      </c>
      <c r="K641" s="35" t="str">
        <f>+UPPER("ON X."&amp;VLOOKUP(B641,'0. Instruções'!$C$27:$G$32,4,FALSE)&amp;"=Y."&amp;VLOOKUP(B641,'0. Instruções'!$C$27:$G$32,4,FALSE)&amp;"_SIMUL")</f>
        <v>ON X.PRTCTN_ID=Y.PRTCTN_ID_SIMUL</v>
      </c>
      <c r="L641" s="35" t="str">
        <f>+IF(C641="Coerência", +IF(LEFT(G641,5)="FLOAT","SELECT '"&amp;UPPER(B641)&amp;"' AS TABELA, '"&amp;UPPER(C641)&amp;"' AS TIPOLOGIA_TESTE,'"&amp;D641&amp;"' AS TABELA_LT,'"&amp;E641&amp;"' AS TABELA_SIMUL,'"&amp;F641&amp;"' AS CAMPO, "&amp;"'${ref_date}' AS REF_DATE, COUNT(*) AS NUM_REG, SUM(IF((ABS(COALESCE(CAST(X."&amp;F641&amp;" AS DECIMAL(18,6)),0)-COALESCE(CAST(Y."&amp;F641&amp;"_SIMUL AS DECIMAL(18,6)),0))&gt;0.000001) OR (X."&amp;F641&amp;" IS NULL AND Y."&amp;F641&amp;"_SIMUL IS NOT NULL ) OR (X."&amp;F641&amp;" IS NOT NULL AND Y."&amp;F641&amp;"_SIMUL IS NULL),1,0)) AS NUM_REG_DIF,'"&amp;MAX('ID1&amp;5'!K:K)+1&amp;"' AS ID_EXEC, CURRENT_TIMESTAMP() AS TIME_EXEC FROM "&amp;I641&amp;" INNER JOIN "&amp;J641&amp;" "&amp;K641,"SELECT '"&amp;UPPER(B641)&amp;"' AS TABELA, '"&amp;UPPER(C641)&amp;"' AS TIPOLOGIA_TESTE,'"&amp;D641&amp;"' AS TABELA_LT,'"&amp;E641&amp;"' AS TABELA_SIMUL,'"&amp;F641&amp;"' AS CAMPO, "&amp;"'${ref_date}' AS REF_DATE, COUNT(*) AS NUM_REG, SUM(IF(COALESCE(CAST(X."&amp;F641&amp;" AS STRING),'')&lt;&gt;COALESCE(CAST(Y."&amp;F641&amp;"_SIMUL AS STRING),'') OR (X."&amp;F641&amp;" IS NULL AND Y."&amp;F641&amp;"_SIMUL IS NOT NULL ) OR (X."&amp;F641&amp;" IS NOT NULL AND Y."&amp;F641&amp;"_SIMUL IS NULL),1,0)) AS NUM_REG_DIF,'"&amp;MAX('ID1&amp;5'!L:L)+1&amp;"' AS ID_EXEC, CURRENT_TIMESTAMP() AS TIME_EXEC FROM "&amp;I641&amp;" INNER JOIN "&amp;J641&amp;" "&amp;K641),
IF(C641="Validade",+IF(G641="Code List","SELECT '"&amp;UPPER(B641)&amp;"' AS TABELA, '"&amp;UPPER(C641)&amp;"' AS TIPOLOGIA_TESTE,'"&amp;D641&amp;"' AS TABELA_LT,'N/A' AS TABELA_SIMUL,'"&amp;F641&amp;"' AS CAMPO, "&amp;"'${ref_date}' AS REF_DATE, COUNT(*) AS NUM_REG, SUM(IF(TRIM(CAST(X."&amp;F641&amp;" AS STRING))='' OR TRIM(CAST(X."&amp;F641&amp;" AS STRING)) IS NULL OR CAST(X."&amp;F641&amp;" AS STRING) NOT "&amp;H641&amp;",1,0)) AS NUM_REG_DIF,'"&amp;MAX('ID1&amp;5'!K:K)+1&amp;"' AS ID_EXEC, CURRENT_TIMESTAMP() AS TIME_EXEC FROM "&amp;I641,"SELECT '"&amp;UPPER(B641)&amp;"' AS TABELA, '"&amp;UPPER(C641)&amp;"' AS TIPOLOGIA_TESTE,'"&amp;D641&amp;"' AS TABELA_LT,'N/A' AS TABELA_SIMUL,'"&amp;F641&amp;"' AS CAMPO, "&amp;"'${ref_date}' AS REF_DATE, COUNT(*) AS NUM_REG, SUM(IF(TRIM(CAST(X."&amp;F641&amp;" AS STRING))='' OR TRIM(CAST(X."&amp;F641&amp;" AS STRING)) IS NULL,1,0)) AS NUM_REG_DIF,'"&amp;MAX('ID1&amp;5'!K:K)+1&amp;"' AS ID_EXEC, CURRENT_TIMESTAMP() AS TIME_EXEC FROM "&amp;I641),
IF(C641="Caracteres Especiais",+"SELECT '"&amp;UPPER(B641)&amp;"' AS TABELA, '"&amp;UPPER(C641)&amp;"' AS TIPOLOGIA_TESTE,'"&amp;D641&amp;"' AS TABELA_LT,'N/A' AS TABELA_SIMUL,'"&amp;F641&amp;"' AS CAMPO, "&amp;"'${ref_date}' AS REF_DATE, COUNT(*) AS NUM_REG, SUM(IF(REGEXP_REPLACE(TRIM(CAST(X."&amp;F641&amp;" AS STRING)),'[^a-zA-Z0-9_\\s]','') &lt;&gt;TRIM(CAST(X."&amp;F641&amp;" AS STRING)),1,0)) AS NUM_REG_DIF,'"&amp;MAX('ID1&amp;5'!K:K)+1&amp;"' AS ID_EXEC, CURRENT_TIMESTAMP() AS TIME_EXEC FROM "&amp;I641,
IF(C641="Missings",+"SELECT '"&amp;UPPER(B641)&amp;"' AS TABELA, '"&amp;UPPER(C641)&amp;"' AS TIPOLOGIA_TESTE,'"&amp;D641&amp;"' AS TABELA_LT,'N/A' AS TABELA_SIMUL,'"&amp;F641&amp;"' AS CAMPO, "&amp;"'${ref_date}' AS REF_DATE, COUNT(*) AS NUM_REG, SUM(IF(TRIM(CAST(X."&amp;F641&amp;" AS STRING)) IN ('0000-00-00','0001-01-01','9999-12-31','MISS','00000','99999999999','99999999999.00','99999999999.000000'),1,0)) AS NUM_REG_DIF,'"&amp;MAX('ID1&amp;5'!K:K)+1&amp;"' AS ID_EXEC, CURRENT_TIMESTAMP() AS TIME_EXEC FROM "&amp;I641,
IF(C641="Not applicable",+"SELECT '"&amp;UPPER(B641)&amp;"' AS TABELA, '"&amp;UPPER(C641)&amp;"' AS TIPOLOGIA_TESTE,'"&amp;D641&amp;"' AS TABELA_LT,'N/A' AS TABELA_SIMUL,'"&amp;F641&amp;"' AS CAMPO, "&amp;"'${ref_date}' AS REF_DATE, COUNT(*) AS NUM_REG, SUM(IF(TRIM(CAST(X."&amp;F641&amp;" AS STRING)) IN ('N/A','11111111111','11111111111.00','11111111111.000000','1111-11-11'),1,0)) AS NUM_REG_DIF,'"&amp;MAX('ID1&amp;5'!K:K)+1&amp;"' AS ID_EXEC, CURRENT_TIMESTAMP() AS TIME_EXEC FROM "&amp;I641,
IF(C641="Valores extremos",+"SELECT '"&amp;UPPER(B641)&amp;"' AS TABELA, '"&amp;UPPER(C641)&amp;"' AS TIPOLOGIA_TESTE,'"&amp;D641&amp;"' AS TABELA_LT,'N/A' AS TABELA_SIMUL,'"&amp;F641&amp;"' AS CAMPO, "&amp;"'${ref_date}' AS REF_DATE, CAST(MIN("&amp;F641&amp;") AS STRING) AS VALOR_MIN, CAST(MAX("&amp;F641&amp;") AS STRING) AS VALOR_MAX,'"&amp;MAX('ID1&amp;5'!K:K)+1&amp;"' AS ID_EXEC, CURRENT_TIMESTAMP() AS TIME_EXEC FROM "&amp;MID(I641,1,LEN(I641)-2)&amp;" AND CAST("&amp;F641&amp;"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TABELA_SIMUL,'prmry_enrgy_dmnd_ttl' AS CAMPO, '${ref_date}' AS REF_DATE, COUNT(*) AS NUM_REG, SUM(IF(COALESCE(CAST(X.prmry_enrgy_dmnd_ttl AS STRING),'')&lt;&gt;COALESCE(CAST(Y.prmry_enrgy_dmnd_ttl_SIMUL AS STRING),'') OR (X.prmry_enrgy_dmnd_ttl IS NULL AND Y.prmry_enrgy_dmnd_ttl_SIMUL IS NOT NULL ) OR (X.prmry_enrgy_dmnd_ttl IS NOT NULL AND Y.prmry_enrgy_dmnd_ttl_SIMUL IS NULL),1,0)) AS NUM_REG_DIF,'1' AS ID_EXEC, CURRENT_TIMESTAMP() AS TIME_EXEC FROM (SELECT prtctn_id, prmry_enrgy_dmnd_ttl FROM BU_LOANTAPE_WORK.LT004_PROTECTION WHERE ref_date='${ref_date}' AND nome_perimetro='Individual Local' AND segmento='ESTR' AND ambito='SRB_MBDT' AND entidade='00100')X INNER JOIN (SELECT prtctn_id AS prtctn_id_SIMUL, prmry_enrgy_dmnd_ttl AS prmry_enrgy_dmnd_ttl_SIMUL FROM BU_LOANTAPE_WORK.SIMUL_LT004 WHERE ref_date='${ref_date}' AND nome_perimetro='Individual Local' AND segmento='ESTR' AND ambito='PILAR3' AND entidade='00100')Y ON X.PRTCTN_ID=Y.PRTCTN_ID_SIMUL</v>
      </c>
      <c r="M641" s="36" t="str">
        <f t="shared" si="15"/>
        <v>UNION ALL SELECT 'PROTECTION' AS TABELA, 'COERÊNCIA' AS TIPOLOGIA_TESTE,'BU_LOANTAPE_WORK.LT004_PROTECTION' AS TABELA_LT,'BU_LOANTAPE_WORK.SIMUL_LT004' AS TABELA_SIMUL,'prmry_enrgy_dmnd_ttl' AS CAMPO, '${ref_date}' AS REF_DATE, COUNT(*) AS NUM_REG, SUM(IF(COALESCE(CAST(X.prmry_enrgy_dmnd_ttl AS STRING),'')&lt;&gt;COALESCE(CAST(Y.prmry_enrgy_dmnd_ttl_SIMUL AS STRING),'') OR (X.prmry_enrgy_dmnd_ttl IS NULL AND Y.prmry_enrgy_dmnd_ttl_SIMUL IS NOT NULL ) OR (X.prmry_enrgy_dmnd_ttl IS NOT NULL AND Y.prmry_enrgy_dmnd_ttl_SIMUL IS NULL),1,0)) AS NUM_REG_DIF,'1' AS ID_EXEC, CURRENT_TIMESTAMP() AS TIME_EXEC FROM (SELECT prtctn_id, prmry_enrgy_dmnd_ttl FROM BU_LOANTAPE_WORK.LT004_PROTECTION WHERE ref_date='${ref_date}' AND nome_perimetro='Individual Local' AND segmento='ESTR' AND ambito='SRB_MBDT' AND entidade='00100')X INNER JOIN (SELECT prtctn_id AS prtctn_id_SIMUL, prmry_enrgy_dmnd_ttl AS prmry_enrgy_dmnd_ttl_SIMUL FROM BU_LOANTAPE_WORK.SIMUL_LT004 WHERE ref_date='${ref_date}' AND nome_perimetro='Individual Local' AND segmento='ESTR' AND ambito='PILAR3' AND entidade='00100')Y ON X.PRTCTN_ID=Y.PRTCTN_ID_SIMUL</v>
      </c>
    </row>
    <row r="642" spans="2:13">
      <c r="B642" s="34" t="s">
        <v>119</v>
      </c>
      <c r="C642" s="34" t="s">
        <v>5</v>
      </c>
      <c r="D642" s="34" t="str">
        <f>+UPPER('0. Instruções'!$D$35&amp;"."&amp;VLOOKUP(B642,'0. Instruções'!$C$27:$D$32,2,FALSE))</f>
        <v>BU_LOANTAPE_WORK.LT004_PROTECTION</v>
      </c>
      <c r="E642" s="34" t="str">
        <f>+UPPER('0. Instruções'!$D$36&amp;"."&amp;VLOOKUP(B642,'0. Instruções'!$C$27:$E$32,3,FALSE))</f>
        <v>BU_LOANTAPE_WORK.SIMUL_LT004</v>
      </c>
      <c r="F642" s="34" t="s">
        <v>1559</v>
      </c>
      <c r="G642" s="34"/>
      <c r="H642" s="34"/>
      <c r="I642" s="34" t="str">
        <f>"(SELECT "&amp;VLOOKUP(B642,'0. Instruções'!$C$27:$G$32,4,FALSE)&amp;", "&amp;F642&amp;" FROM "&amp;D642&amp;" WHERE "&amp;'0. Instruções'!$D$42&amp;")X"</f>
        <v>(SELECT prtctn_id, rl_estt_clmt_zn FROM BU_LOANTAPE_WORK.LT004_PROTECTION WHERE ref_date='${ref_date}' AND nome_perimetro='Individual Local' AND segmento='ESTR' AND ambito='SRB_MBDT' AND entidade='00100')X</v>
      </c>
      <c r="J642" s="34" t="str">
        <f>"(SELECT "&amp;VLOOKUP(B642,'0. Instruções'!$C$27:$G$32,4,FALSE)&amp;" AS "&amp;VLOOKUP(B642,'0. Instruções'!$C$27:$G$32,4,FALSE)&amp;"_SIMUL, "&amp;F642&amp;" AS "&amp;F642&amp;"_SIMUL FROM "&amp;E642&amp;" WHERE "&amp;'0. Instruções'!$D$43&amp;")Y"</f>
        <v>(SELECT prtctn_id AS prtctn_id_SIMUL, rl_estt_clmt_zn AS rl_estt_clmt_zn_SIMUL FROM BU_LOANTAPE_WORK.SIMUL_LT004 WHERE ref_date='${ref_date}' AND nome_perimetro='Individual Local' AND segmento='ESTR' AND ambito='PILAR3' AND entidade='00100')Y</v>
      </c>
      <c r="K642" s="35" t="str">
        <f>+UPPER("ON X."&amp;VLOOKUP(B642,'0. Instruções'!$C$27:$G$32,4,FALSE)&amp;"=Y."&amp;VLOOKUP(B642,'0. Instruções'!$C$27:$G$32,4,FALSE)&amp;"_SIMUL")</f>
        <v>ON X.PRTCTN_ID=Y.PRTCTN_ID_SIMUL</v>
      </c>
      <c r="L642" s="35" t="str">
        <f>+IF(C642="Coerência", +IF(LEFT(G642,5)="FLOAT","SELECT '"&amp;UPPER(B642)&amp;"' AS TABELA, '"&amp;UPPER(C642)&amp;"' AS TIPOLOGIA_TESTE,'"&amp;D642&amp;"' AS TABELA_LT,'"&amp;E642&amp;"' AS TABELA_SIMUL,'"&amp;F642&amp;"' AS CAMPO, "&amp;"'${ref_date}' AS REF_DATE, COUNT(*) AS NUM_REG, SUM(IF((ABS(COALESCE(CAST(X."&amp;F642&amp;" AS DECIMAL(18,6)),0)-COALESCE(CAST(Y."&amp;F642&amp;"_SIMUL AS DECIMAL(18,6)),0))&gt;0.000001) OR (X."&amp;F642&amp;" IS NULL AND Y."&amp;F642&amp;"_SIMUL IS NOT NULL ) OR (X."&amp;F642&amp;" IS NOT NULL AND Y."&amp;F642&amp;"_SIMUL IS NULL),1,0)) AS NUM_REG_DIF,'"&amp;MAX('ID1&amp;5'!K:K)+1&amp;"' AS ID_EXEC, CURRENT_TIMESTAMP() AS TIME_EXEC FROM "&amp;I642&amp;" INNER JOIN "&amp;J642&amp;" "&amp;K642,"SELECT '"&amp;UPPER(B642)&amp;"' AS TABELA, '"&amp;UPPER(C642)&amp;"' AS TIPOLOGIA_TESTE,'"&amp;D642&amp;"' AS TABELA_LT,'"&amp;E642&amp;"' AS TABELA_SIMUL,'"&amp;F642&amp;"' AS CAMPO, "&amp;"'${ref_date}' AS REF_DATE, COUNT(*) AS NUM_REG, SUM(IF(COALESCE(CAST(X."&amp;F642&amp;" AS STRING),'')&lt;&gt;COALESCE(CAST(Y."&amp;F642&amp;"_SIMUL AS STRING),'') OR (X."&amp;F642&amp;" IS NULL AND Y."&amp;F642&amp;"_SIMUL IS NOT NULL ) OR (X."&amp;F642&amp;" IS NOT NULL AND Y."&amp;F642&amp;"_SIMUL IS NULL),1,0)) AS NUM_REG_DIF,'"&amp;MAX('ID1&amp;5'!L:L)+1&amp;"' AS ID_EXEC, CURRENT_TIMESTAMP() AS TIME_EXEC FROM "&amp;I642&amp;" INNER JOIN "&amp;J642&amp;" "&amp;K642),
IF(C642="Validade",+IF(G642="Code List","SELECT '"&amp;UPPER(B642)&amp;"' AS TABELA, '"&amp;UPPER(C642)&amp;"' AS TIPOLOGIA_TESTE,'"&amp;D642&amp;"' AS TABELA_LT,'N/A' AS TABELA_SIMUL,'"&amp;F642&amp;"' AS CAMPO, "&amp;"'${ref_date}' AS REF_DATE, COUNT(*) AS NUM_REG, SUM(IF(TRIM(CAST(X."&amp;F642&amp;" AS STRING))='' OR TRIM(CAST(X."&amp;F642&amp;" AS STRING)) IS NULL OR CAST(X."&amp;F642&amp;" AS STRING) NOT "&amp;H642&amp;",1,0)) AS NUM_REG_DIF,'"&amp;MAX('ID1&amp;5'!K:K)+1&amp;"' AS ID_EXEC, CURRENT_TIMESTAMP() AS TIME_EXEC FROM "&amp;I642,"SELECT '"&amp;UPPER(B642)&amp;"' AS TABELA, '"&amp;UPPER(C642)&amp;"' AS TIPOLOGIA_TESTE,'"&amp;D642&amp;"' AS TABELA_LT,'N/A' AS TABELA_SIMUL,'"&amp;F642&amp;"' AS CAMPO, "&amp;"'${ref_date}' AS REF_DATE, COUNT(*) AS NUM_REG, SUM(IF(TRIM(CAST(X."&amp;F642&amp;" AS STRING))='' OR TRIM(CAST(X."&amp;F642&amp;" AS STRING)) IS NULL,1,0)) AS NUM_REG_DIF,'"&amp;MAX('ID1&amp;5'!K:K)+1&amp;"' AS ID_EXEC, CURRENT_TIMESTAMP() AS TIME_EXEC FROM "&amp;I642),
IF(C642="Caracteres Especiais",+"SELECT '"&amp;UPPER(B642)&amp;"' AS TABELA, '"&amp;UPPER(C642)&amp;"' AS TIPOLOGIA_TESTE,'"&amp;D642&amp;"' AS TABELA_LT,'N/A' AS TABELA_SIMUL,'"&amp;F642&amp;"' AS CAMPO, "&amp;"'${ref_date}' AS REF_DATE, COUNT(*) AS NUM_REG, SUM(IF(REGEXP_REPLACE(TRIM(CAST(X."&amp;F642&amp;" AS STRING)),'[^a-zA-Z0-9_\\s]','') &lt;&gt;TRIM(CAST(X."&amp;F642&amp;" AS STRING)),1,0)) AS NUM_REG_DIF,'"&amp;MAX('ID1&amp;5'!K:K)+1&amp;"' AS ID_EXEC, CURRENT_TIMESTAMP() AS TIME_EXEC FROM "&amp;I642,
IF(C642="Missings",+"SELECT '"&amp;UPPER(B642)&amp;"' AS TABELA, '"&amp;UPPER(C642)&amp;"' AS TIPOLOGIA_TESTE,'"&amp;D642&amp;"' AS TABELA_LT,'N/A' AS TABELA_SIMUL,'"&amp;F642&amp;"' AS CAMPO, "&amp;"'${ref_date}' AS REF_DATE, COUNT(*) AS NUM_REG, SUM(IF(TRIM(CAST(X."&amp;F642&amp;" AS STRING)) IN ('0000-00-00','0001-01-01','9999-12-31','MISS','00000','99999999999','99999999999.00','99999999999.000000'),1,0)) AS NUM_REG_DIF,'"&amp;MAX('ID1&amp;5'!K:K)+1&amp;"' AS ID_EXEC, CURRENT_TIMESTAMP() AS TIME_EXEC FROM "&amp;I642,
IF(C642="Not applicable",+"SELECT '"&amp;UPPER(B642)&amp;"' AS TABELA, '"&amp;UPPER(C642)&amp;"' AS TIPOLOGIA_TESTE,'"&amp;D642&amp;"' AS TABELA_LT,'N/A' AS TABELA_SIMUL,'"&amp;F642&amp;"' AS CAMPO, "&amp;"'${ref_date}' AS REF_DATE, COUNT(*) AS NUM_REG, SUM(IF(TRIM(CAST(X."&amp;F642&amp;" AS STRING)) IN ('N/A','11111111111','11111111111.00','11111111111.000000','1111-11-11'),1,0)) AS NUM_REG_DIF,'"&amp;MAX('ID1&amp;5'!K:K)+1&amp;"' AS ID_EXEC, CURRENT_TIMESTAMP() AS TIME_EXEC FROM "&amp;I642,
IF(C642="Valores extremos",+"SELECT '"&amp;UPPER(B642)&amp;"' AS TABELA, '"&amp;UPPER(C642)&amp;"' AS TIPOLOGIA_TESTE,'"&amp;D642&amp;"' AS TABELA_LT,'N/A' AS TABELA_SIMUL,'"&amp;F642&amp;"' AS CAMPO, "&amp;"'${ref_date}' AS REF_DATE, CAST(MIN("&amp;F642&amp;") AS STRING) AS VALOR_MIN, CAST(MAX("&amp;F642&amp;") AS STRING) AS VALOR_MAX,'"&amp;MAX('ID1&amp;5'!K:K)+1&amp;"' AS ID_EXEC, CURRENT_TIMESTAMP() AS TIME_EXEC FROM "&amp;MID(I642,1,LEN(I642)-2)&amp;" AND CAST("&amp;F642&amp;"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TABELA_SIMUL,'rl_estt_clmt_zn' AS CAMPO, '${ref_date}' AS REF_DATE, COUNT(*) AS NUM_REG, SUM(IF(COALESCE(CAST(X.rl_estt_clmt_zn AS STRING),'')&lt;&gt;COALESCE(CAST(Y.rl_estt_clmt_zn_SIMUL AS STRING),'') OR (X.rl_estt_clmt_zn IS NULL AND Y.rl_estt_clmt_zn_SIMUL IS NOT NULL ) OR (X.rl_estt_clmt_zn IS NOT NULL AND Y.rl_estt_clmt_zn_SIMUL IS NULL),1,0)) AS NUM_REG_DIF,'1' AS ID_EXEC, CURRENT_TIMESTAMP() AS TIME_EXEC FROM (SELECT prtctn_id, rl_estt_clmt_zn FROM BU_LOANTAPE_WORK.LT004_PROTECTION WHERE ref_date='${ref_date}' AND nome_perimetro='Individual Local' AND segmento='ESTR' AND ambito='SRB_MBDT' AND entidade='00100')X INNER JOIN (SELECT prtctn_id AS prtctn_id_SIMUL, rl_estt_clmt_zn AS rl_estt_clmt_zn_SIMUL FROM BU_LOANTAPE_WORK.SIMUL_LT004 WHERE ref_date='${ref_date}' AND nome_perimetro='Individual Local' AND segmento='ESTR' AND ambito='PILAR3' AND entidade='00100')Y ON X.PRTCTN_ID=Y.PRTCTN_ID_SIMUL</v>
      </c>
      <c r="M642" s="36" t="str">
        <f t="shared" si="15"/>
        <v>UNION ALL SELECT 'PROTECTION' AS TABELA, 'COERÊNCIA' AS TIPOLOGIA_TESTE,'BU_LOANTAPE_WORK.LT004_PROTECTION' AS TABELA_LT,'BU_LOANTAPE_WORK.SIMUL_LT004' AS TABELA_SIMUL,'rl_estt_clmt_zn' AS CAMPO, '${ref_date}' AS REF_DATE, COUNT(*) AS NUM_REG, SUM(IF(COALESCE(CAST(X.rl_estt_clmt_zn AS STRING),'')&lt;&gt;COALESCE(CAST(Y.rl_estt_clmt_zn_SIMUL AS STRING),'') OR (X.rl_estt_clmt_zn IS NULL AND Y.rl_estt_clmt_zn_SIMUL IS NOT NULL ) OR (X.rl_estt_clmt_zn IS NOT NULL AND Y.rl_estt_clmt_zn_SIMUL IS NULL),1,0)) AS NUM_REG_DIF,'1' AS ID_EXEC, CURRENT_TIMESTAMP() AS TIME_EXEC FROM (SELECT prtctn_id, rl_estt_clmt_zn FROM BU_LOANTAPE_WORK.LT004_PROTECTION WHERE ref_date='${ref_date}' AND nome_perimetro='Individual Local' AND segmento='ESTR' AND ambito='SRB_MBDT' AND entidade='00100')X INNER JOIN (SELECT prtctn_id AS prtctn_id_SIMUL, rl_estt_clmt_zn AS rl_estt_clmt_zn_SIMUL FROM BU_LOANTAPE_WORK.SIMUL_LT004 WHERE ref_date='${ref_date}' AND nome_perimetro='Individual Local' AND segmento='ESTR' AND ambito='PILAR3' AND entidade='00100')Y ON X.PRTCTN_ID=Y.PRTCTN_ID_SIMUL</v>
      </c>
    </row>
    <row r="643" spans="2:13">
      <c r="B643" s="34" t="s">
        <v>119</v>
      </c>
      <c r="C643" s="34" t="s">
        <v>5</v>
      </c>
      <c r="D643" s="34" t="str">
        <f>+UPPER('0. Instruções'!$D$35&amp;"."&amp;VLOOKUP(B643,'0. Instruções'!$C$27:$D$32,2,FALSE))</f>
        <v>BU_LOANTAPE_WORK.LT004_PROTECTION</v>
      </c>
      <c r="E643" s="34" t="str">
        <f>+UPPER('0. Instruções'!$D$36&amp;"."&amp;VLOOKUP(B643,'0. Instruções'!$C$27:$E$32,3,FALSE))</f>
        <v>BU_LOANTAPE_WORK.SIMUL_LT004</v>
      </c>
      <c r="F643" s="34" t="s">
        <v>1560</v>
      </c>
      <c r="G643" s="34"/>
      <c r="H643" s="34"/>
      <c r="I643" s="34" t="str">
        <f>"(SELECT "&amp;VLOOKUP(B643,'0. Instruções'!$C$27:$G$32,4,FALSE)&amp;", "&amp;F643&amp;" FROM "&amp;D643&amp;" WHERE "&amp;'0. Instruções'!$D$42&amp;")X"</f>
        <v>(SELECT prtctn_id, rl_estt_crtfctn FROM BU_LOANTAPE_WORK.LT004_PROTECTION WHERE ref_date='${ref_date}' AND nome_perimetro='Individual Local' AND segmento='ESTR' AND ambito='SRB_MBDT' AND entidade='00100')X</v>
      </c>
      <c r="J643" s="34" t="str">
        <f>"(SELECT "&amp;VLOOKUP(B643,'0. Instruções'!$C$27:$G$32,4,FALSE)&amp;" AS "&amp;VLOOKUP(B643,'0. Instruções'!$C$27:$G$32,4,FALSE)&amp;"_SIMUL, "&amp;F643&amp;" AS "&amp;F643&amp;"_SIMUL FROM "&amp;E643&amp;" WHERE "&amp;'0. Instruções'!$D$43&amp;")Y"</f>
        <v>(SELECT prtctn_id AS prtctn_id_SIMUL, rl_estt_crtfctn AS rl_estt_crtfctn_SIMUL FROM BU_LOANTAPE_WORK.SIMUL_LT004 WHERE ref_date='${ref_date}' AND nome_perimetro='Individual Local' AND segmento='ESTR' AND ambito='PILAR3' AND entidade='00100')Y</v>
      </c>
      <c r="K643" s="35" t="str">
        <f>+UPPER("ON X."&amp;VLOOKUP(B643,'0. Instruções'!$C$27:$G$32,4,FALSE)&amp;"=Y."&amp;VLOOKUP(B643,'0. Instruções'!$C$27:$G$32,4,FALSE)&amp;"_SIMUL")</f>
        <v>ON X.PRTCTN_ID=Y.PRTCTN_ID_SIMUL</v>
      </c>
      <c r="L643" s="35" t="str">
        <f>+IF(C643="Coerência", +IF(LEFT(G643,5)="FLOAT","SELECT '"&amp;UPPER(B643)&amp;"' AS TABELA, '"&amp;UPPER(C643)&amp;"' AS TIPOLOGIA_TESTE,'"&amp;D643&amp;"' AS TABELA_LT,'"&amp;E643&amp;"' AS TABELA_SIMUL,'"&amp;F643&amp;"' AS CAMPO, "&amp;"'${ref_date}' AS REF_DATE, COUNT(*) AS NUM_REG, SUM(IF((ABS(COALESCE(CAST(X."&amp;F643&amp;" AS DECIMAL(18,6)),0)-COALESCE(CAST(Y."&amp;F643&amp;"_SIMUL AS DECIMAL(18,6)),0))&gt;0.000001) OR (X."&amp;F643&amp;" IS NULL AND Y."&amp;F643&amp;"_SIMUL IS NOT NULL ) OR (X."&amp;F643&amp;" IS NOT NULL AND Y."&amp;F643&amp;"_SIMUL IS NULL),1,0)) AS NUM_REG_DIF,'"&amp;MAX('ID1&amp;5'!K:K)+1&amp;"' AS ID_EXEC, CURRENT_TIMESTAMP() AS TIME_EXEC FROM "&amp;I643&amp;" INNER JOIN "&amp;J643&amp;" "&amp;K643,"SELECT '"&amp;UPPER(B643)&amp;"' AS TABELA, '"&amp;UPPER(C643)&amp;"' AS TIPOLOGIA_TESTE,'"&amp;D643&amp;"' AS TABELA_LT,'"&amp;E643&amp;"' AS TABELA_SIMUL,'"&amp;F643&amp;"' AS CAMPO, "&amp;"'${ref_date}' AS REF_DATE, COUNT(*) AS NUM_REG, SUM(IF(COALESCE(CAST(X."&amp;F643&amp;" AS STRING),'')&lt;&gt;COALESCE(CAST(Y."&amp;F643&amp;"_SIMUL AS STRING),'') OR (X."&amp;F643&amp;" IS NULL AND Y."&amp;F643&amp;"_SIMUL IS NOT NULL ) OR (X."&amp;F643&amp;" IS NOT NULL AND Y."&amp;F643&amp;"_SIMUL IS NULL),1,0)) AS NUM_REG_DIF,'"&amp;MAX('ID1&amp;5'!L:L)+1&amp;"' AS ID_EXEC, CURRENT_TIMESTAMP() AS TIME_EXEC FROM "&amp;I643&amp;" INNER JOIN "&amp;J643&amp;" "&amp;K643),
IF(C643="Validade",+IF(G643="Code List","SELECT '"&amp;UPPER(B643)&amp;"' AS TABELA, '"&amp;UPPER(C643)&amp;"' AS TIPOLOGIA_TESTE,'"&amp;D643&amp;"' AS TABELA_LT,'N/A' AS TABELA_SIMUL,'"&amp;F643&amp;"' AS CAMPO, "&amp;"'${ref_date}' AS REF_DATE, COUNT(*) AS NUM_REG, SUM(IF(TRIM(CAST(X."&amp;F643&amp;" AS STRING))='' OR TRIM(CAST(X."&amp;F643&amp;" AS STRING)) IS NULL OR CAST(X."&amp;F643&amp;" AS STRING) NOT "&amp;H643&amp;",1,0)) AS NUM_REG_DIF,'"&amp;MAX('ID1&amp;5'!K:K)+1&amp;"' AS ID_EXEC, CURRENT_TIMESTAMP() AS TIME_EXEC FROM "&amp;I643,"SELECT '"&amp;UPPER(B643)&amp;"' AS TABELA, '"&amp;UPPER(C643)&amp;"' AS TIPOLOGIA_TESTE,'"&amp;D643&amp;"' AS TABELA_LT,'N/A' AS TABELA_SIMUL,'"&amp;F643&amp;"' AS CAMPO, "&amp;"'${ref_date}' AS REF_DATE, COUNT(*) AS NUM_REG, SUM(IF(TRIM(CAST(X."&amp;F643&amp;" AS STRING))='' OR TRIM(CAST(X."&amp;F643&amp;" AS STRING)) IS NULL,1,0)) AS NUM_REG_DIF,'"&amp;MAX('ID1&amp;5'!K:K)+1&amp;"' AS ID_EXEC, CURRENT_TIMESTAMP() AS TIME_EXEC FROM "&amp;I643),
IF(C643="Caracteres Especiais",+"SELECT '"&amp;UPPER(B643)&amp;"' AS TABELA, '"&amp;UPPER(C643)&amp;"' AS TIPOLOGIA_TESTE,'"&amp;D643&amp;"' AS TABELA_LT,'N/A' AS TABELA_SIMUL,'"&amp;F643&amp;"' AS CAMPO, "&amp;"'${ref_date}' AS REF_DATE, COUNT(*) AS NUM_REG, SUM(IF(REGEXP_REPLACE(TRIM(CAST(X."&amp;F643&amp;" AS STRING)),'[^a-zA-Z0-9_\\s]','') &lt;&gt;TRIM(CAST(X."&amp;F643&amp;" AS STRING)),1,0)) AS NUM_REG_DIF,'"&amp;MAX('ID1&amp;5'!K:K)+1&amp;"' AS ID_EXEC, CURRENT_TIMESTAMP() AS TIME_EXEC FROM "&amp;I643,
IF(C643="Missings",+"SELECT '"&amp;UPPER(B643)&amp;"' AS TABELA, '"&amp;UPPER(C643)&amp;"' AS TIPOLOGIA_TESTE,'"&amp;D643&amp;"' AS TABELA_LT,'N/A' AS TABELA_SIMUL,'"&amp;F643&amp;"' AS CAMPO, "&amp;"'${ref_date}' AS REF_DATE, COUNT(*) AS NUM_REG, SUM(IF(TRIM(CAST(X."&amp;F643&amp;" AS STRING)) IN ('0000-00-00','0001-01-01','9999-12-31','MISS','00000','99999999999','99999999999.00','99999999999.000000'),1,0)) AS NUM_REG_DIF,'"&amp;MAX('ID1&amp;5'!K:K)+1&amp;"' AS ID_EXEC, CURRENT_TIMESTAMP() AS TIME_EXEC FROM "&amp;I643,
IF(C643="Not applicable",+"SELECT '"&amp;UPPER(B643)&amp;"' AS TABELA, '"&amp;UPPER(C643)&amp;"' AS TIPOLOGIA_TESTE,'"&amp;D643&amp;"' AS TABELA_LT,'N/A' AS TABELA_SIMUL,'"&amp;F643&amp;"' AS CAMPO, "&amp;"'${ref_date}' AS REF_DATE, COUNT(*) AS NUM_REG, SUM(IF(TRIM(CAST(X."&amp;F643&amp;" AS STRING)) IN ('N/A','11111111111','11111111111.00','11111111111.000000','1111-11-11'),1,0)) AS NUM_REG_DIF,'"&amp;MAX('ID1&amp;5'!K:K)+1&amp;"' AS ID_EXEC, CURRENT_TIMESTAMP() AS TIME_EXEC FROM "&amp;I643,
IF(C643="Valores extremos",+"SELECT '"&amp;UPPER(B643)&amp;"' AS TABELA, '"&amp;UPPER(C643)&amp;"' AS TIPOLOGIA_TESTE,'"&amp;D643&amp;"' AS TABELA_LT,'N/A' AS TABELA_SIMUL,'"&amp;F643&amp;"' AS CAMPO, "&amp;"'${ref_date}' AS REF_DATE, CAST(MIN("&amp;F643&amp;") AS STRING) AS VALOR_MIN, CAST(MAX("&amp;F643&amp;") AS STRING) AS VALOR_MAX,'"&amp;MAX('ID1&amp;5'!K:K)+1&amp;"' AS ID_EXEC, CURRENT_TIMESTAMP() AS TIME_EXEC FROM "&amp;MID(I643,1,LEN(I643)-2)&amp;" AND CAST("&amp;F643&amp;"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TABELA_SIMUL,'rl_estt_crtfctn' AS CAMPO, '${ref_date}' AS REF_DATE, COUNT(*) AS NUM_REG, SUM(IF(COALESCE(CAST(X.rl_estt_crtfctn AS STRING),'')&lt;&gt;COALESCE(CAST(Y.rl_estt_crtfctn_SIMUL AS STRING),'') OR (X.rl_estt_crtfctn IS NULL AND Y.rl_estt_crtfctn_SIMUL IS NOT NULL ) OR (X.rl_estt_crtfctn IS NOT NULL AND Y.rl_estt_crtfctn_SIMUL IS NULL),1,0)) AS NUM_REG_DIF,'1' AS ID_EXEC, CURRENT_TIMESTAMP() AS TIME_EXEC FROM (SELECT prtctn_id, rl_estt_crtfctn FROM BU_LOANTAPE_WORK.LT004_PROTECTION WHERE ref_date='${ref_date}' AND nome_perimetro='Individual Local' AND segmento='ESTR' AND ambito='SRB_MBDT' AND entidade='00100')X INNER JOIN (SELECT prtctn_id AS prtctn_id_SIMUL, rl_estt_crtfctn AS rl_estt_crtfctn_SIMUL FROM BU_LOANTAPE_WORK.SIMUL_LT004 WHERE ref_date='${ref_date}' AND nome_perimetro='Individual Local' AND segmento='ESTR' AND ambito='PILAR3' AND entidade='00100')Y ON X.PRTCTN_ID=Y.PRTCTN_ID_SIMUL</v>
      </c>
      <c r="M643" s="36" t="str">
        <f t="shared" si="15"/>
        <v>UNION ALL SELECT 'PROTECTION' AS TABELA, 'COERÊNCIA' AS TIPOLOGIA_TESTE,'BU_LOANTAPE_WORK.LT004_PROTECTION' AS TABELA_LT,'BU_LOANTAPE_WORK.SIMUL_LT004' AS TABELA_SIMUL,'rl_estt_crtfctn' AS CAMPO, '${ref_date}' AS REF_DATE, COUNT(*) AS NUM_REG, SUM(IF(COALESCE(CAST(X.rl_estt_crtfctn AS STRING),'')&lt;&gt;COALESCE(CAST(Y.rl_estt_crtfctn_SIMUL AS STRING),'') OR (X.rl_estt_crtfctn IS NULL AND Y.rl_estt_crtfctn_SIMUL IS NOT NULL ) OR (X.rl_estt_crtfctn IS NOT NULL AND Y.rl_estt_crtfctn_SIMUL IS NULL),1,0)) AS NUM_REG_DIF,'1' AS ID_EXEC, CURRENT_TIMESTAMP() AS TIME_EXEC FROM (SELECT prtctn_id, rl_estt_crtfctn FROM BU_LOANTAPE_WORK.LT004_PROTECTION WHERE ref_date='${ref_date}' AND nome_perimetro='Individual Local' AND segmento='ESTR' AND ambito='SRB_MBDT' AND entidade='00100')X INNER JOIN (SELECT prtctn_id AS prtctn_id_SIMUL, rl_estt_crtfctn AS rl_estt_crtfctn_SIMUL FROM BU_LOANTAPE_WORK.SIMUL_LT004 WHERE ref_date='${ref_date}' AND nome_perimetro='Individual Local' AND segmento='ESTR' AND ambito='PILAR3' AND entidade='00100')Y ON X.PRTCTN_ID=Y.PRTCTN_ID_SIMUL</v>
      </c>
    </row>
    <row r="644" spans="2:13">
      <c r="B644" s="34" t="s">
        <v>119</v>
      </c>
      <c r="C644" s="34" t="s">
        <v>5</v>
      </c>
      <c r="D644" s="34" t="str">
        <f>+UPPER('0. Instruções'!$D$35&amp;"."&amp;VLOOKUP(B644,'0. Instruções'!$C$27:$D$32,2,FALSE))</f>
        <v>BU_LOANTAPE_WORK.LT004_PROTECTION</v>
      </c>
      <c r="E644" s="34" t="str">
        <f>+UPPER('0. Instruções'!$D$36&amp;"."&amp;VLOOKUP(B644,'0. Instruções'!$C$27:$E$32,3,FALSE))</f>
        <v>BU_LOANTAPE_WORK.SIMUL_LT004</v>
      </c>
      <c r="F644" s="34" t="s">
        <v>1561</v>
      </c>
      <c r="G644" s="34"/>
      <c r="H644" s="34"/>
      <c r="I644" s="34" t="str">
        <f>"(SELECT "&amp;VLOOKUP(B644,'0. Instruções'!$C$27:$G$32,4,FALSE)&amp;", "&amp;F644&amp;" FROM "&amp;D644&amp;" WHERE "&amp;'0. Instruções'!$D$42&amp;")X"</f>
        <v>(SELECT prtctn_id, typ_emssns_lbl FROM BU_LOANTAPE_WORK.LT004_PROTECTION WHERE ref_date='${ref_date}' AND nome_perimetro='Individual Local' AND segmento='ESTR' AND ambito='SRB_MBDT' AND entidade='00100')X</v>
      </c>
      <c r="J644" s="34" t="str">
        <f>"(SELECT "&amp;VLOOKUP(B644,'0. Instruções'!$C$27:$G$32,4,FALSE)&amp;" AS "&amp;VLOOKUP(B644,'0. Instruções'!$C$27:$G$32,4,FALSE)&amp;"_SIMUL, "&amp;F644&amp;" AS "&amp;F644&amp;"_SIMUL FROM "&amp;E644&amp;" WHERE "&amp;'0. Instruções'!$D$43&amp;")Y"</f>
        <v>(SELECT prtctn_id AS prtctn_id_SIMUL, typ_emssns_lbl AS typ_emssns_lbl_SIMUL FROM BU_LOANTAPE_WORK.SIMUL_LT004 WHERE ref_date='${ref_date}' AND nome_perimetro='Individual Local' AND segmento='ESTR' AND ambito='PILAR3' AND entidade='00100')Y</v>
      </c>
      <c r="K644" s="35" t="str">
        <f>+UPPER("ON X."&amp;VLOOKUP(B644,'0. Instruções'!$C$27:$G$32,4,FALSE)&amp;"=Y."&amp;VLOOKUP(B644,'0. Instruções'!$C$27:$G$32,4,FALSE)&amp;"_SIMUL")</f>
        <v>ON X.PRTCTN_ID=Y.PRTCTN_ID_SIMUL</v>
      </c>
      <c r="L644" s="35" t="str">
        <f>+IF(C644="Coerência", +IF(LEFT(G644,5)="FLOAT","SELECT '"&amp;UPPER(B644)&amp;"' AS TABELA, '"&amp;UPPER(C644)&amp;"' AS TIPOLOGIA_TESTE,'"&amp;D644&amp;"' AS TABELA_LT,'"&amp;E644&amp;"' AS TABELA_SIMUL,'"&amp;F644&amp;"' AS CAMPO, "&amp;"'${ref_date}' AS REF_DATE, COUNT(*) AS NUM_REG, SUM(IF((ABS(COALESCE(CAST(X."&amp;F644&amp;" AS DECIMAL(18,6)),0)-COALESCE(CAST(Y."&amp;F644&amp;"_SIMUL AS DECIMAL(18,6)),0))&gt;0.000001) OR (X."&amp;F644&amp;" IS NULL AND Y."&amp;F644&amp;"_SIMUL IS NOT NULL ) OR (X."&amp;F644&amp;" IS NOT NULL AND Y."&amp;F644&amp;"_SIMUL IS NULL),1,0)) AS NUM_REG_DIF,'"&amp;MAX('ID1&amp;5'!K:K)+1&amp;"' AS ID_EXEC, CURRENT_TIMESTAMP() AS TIME_EXEC FROM "&amp;I644&amp;" INNER JOIN "&amp;J644&amp;" "&amp;K644,"SELECT '"&amp;UPPER(B644)&amp;"' AS TABELA, '"&amp;UPPER(C644)&amp;"' AS TIPOLOGIA_TESTE,'"&amp;D644&amp;"' AS TABELA_LT,'"&amp;E644&amp;"' AS TABELA_SIMUL,'"&amp;F644&amp;"' AS CAMPO, "&amp;"'${ref_date}' AS REF_DATE, COUNT(*) AS NUM_REG, SUM(IF(COALESCE(CAST(X."&amp;F644&amp;" AS STRING),'')&lt;&gt;COALESCE(CAST(Y."&amp;F644&amp;"_SIMUL AS STRING),'') OR (X."&amp;F644&amp;" IS NULL AND Y."&amp;F644&amp;"_SIMUL IS NOT NULL ) OR (X."&amp;F644&amp;" IS NOT NULL AND Y."&amp;F644&amp;"_SIMUL IS NULL),1,0)) AS NUM_REG_DIF,'"&amp;MAX('ID1&amp;5'!L:L)+1&amp;"' AS ID_EXEC, CURRENT_TIMESTAMP() AS TIME_EXEC FROM "&amp;I644&amp;" INNER JOIN "&amp;J644&amp;" "&amp;K644),
IF(C644="Validade",+IF(G644="Code List","SELECT '"&amp;UPPER(B644)&amp;"' AS TABELA, '"&amp;UPPER(C644)&amp;"' AS TIPOLOGIA_TESTE,'"&amp;D644&amp;"' AS TABELA_LT,'N/A' AS TABELA_SIMUL,'"&amp;F644&amp;"' AS CAMPO, "&amp;"'${ref_date}' AS REF_DATE, COUNT(*) AS NUM_REG, SUM(IF(TRIM(CAST(X."&amp;F644&amp;" AS STRING))='' OR TRIM(CAST(X."&amp;F644&amp;" AS STRING)) IS NULL OR CAST(X."&amp;F644&amp;" AS STRING) NOT "&amp;H644&amp;",1,0)) AS NUM_REG_DIF,'"&amp;MAX('ID1&amp;5'!K:K)+1&amp;"' AS ID_EXEC, CURRENT_TIMESTAMP() AS TIME_EXEC FROM "&amp;I644,"SELECT '"&amp;UPPER(B644)&amp;"' AS TABELA, '"&amp;UPPER(C644)&amp;"' AS TIPOLOGIA_TESTE,'"&amp;D644&amp;"' AS TABELA_LT,'N/A' AS TABELA_SIMUL,'"&amp;F644&amp;"' AS CAMPO, "&amp;"'${ref_date}' AS REF_DATE, COUNT(*) AS NUM_REG, SUM(IF(TRIM(CAST(X."&amp;F644&amp;" AS STRING))='' OR TRIM(CAST(X."&amp;F644&amp;" AS STRING)) IS NULL,1,0)) AS NUM_REG_DIF,'"&amp;MAX('ID1&amp;5'!K:K)+1&amp;"' AS ID_EXEC, CURRENT_TIMESTAMP() AS TIME_EXEC FROM "&amp;I644),
IF(C644="Caracteres Especiais",+"SELECT '"&amp;UPPER(B644)&amp;"' AS TABELA, '"&amp;UPPER(C644)&amp;"' AS TIPOLOGIA_TESTE,'"&amp;D644&amp;"' AS TABELA_LT,'N/A' AS TABELA_SIMUL,'"&amp;F644&amp;"' AS CAMPO, "&amp;"'${ref_date}' AS REF_DATE, COUNT(*) AS NUM_REG, SUM(IF(REGEXP_REPLACE(TRIM(CAST(X."&amp;F644&amp;" AS STRING)),'[^a-zA-Z0-9_\\s]','') &lt;&gt;TRIM(CAST(X."&amp;F644&amp;" AS STRING)),1,0)) AS NUM_REG_DIF,'"&amp;MAX('ID1&amp;5'!K:K)+1&amp;"' AS ID_EXEC, CURRENT_TIMESTAMP() AS TIME_EXEC FROM "&amp;I644,
IF(C644="Missings",+"SELECT '"&amp;UPPER(B644)&amp;"' AS TABELA, '"&amp;UPPER(C644)&amp;"' AS TIPOLOGIA_TESTE,'"&amp;D644&amp;"' AS TABELA_LT,'N/A' AS TABELA_SIMUL,'"&amp;F644&amp;"' AS CAMPO, "&amp;"'${ref_date}' AS REF_DATE, COUNT(*) AS NUM_REG, SUM(IF(TRIM(CAST(X."&amp;F644&amp;" AS STRING)) IN ('0000-00-00','0001-01-01','9999-12-31','MISS','00000','99999999999','99999999999.00','99999999999.000000'),1,0)) AS NUM_REG_DIF,'"&amp;MAX('ID1&amp;5'!K:K)+1&amp;"' AS ID_EXEC, CURRENT_TIMESTAMP() AS TIME_EXEC FROM "&amp;I644,
IF(C644="Not applicable",+"SELECT '"&amp;UPPER(B644)&amp;"' AS TABELA, '"&amp;UPPER(C644)&amp;"' AS TIPOLOGIA_TESTE,'"&amp;D644&amp;"' AS TABELA_LT,'N/A' AS TABELA_SIMUL,'"&amp;F644&amp;"' AS CAMPO, "&amp;"'${ref_date}' AS REF_DATE, COUNT(*) AS NUM_REG, SUM(IF(TRIM(CAST(X."&amp;F644&amp;" AS STRING)) IN ('N/A','11111111111','11111111111.00','11111111111.000000','1111-11-11'),1,0)) AS NUM_REG_DIF,'"&amp;MAX('ID1&amp;5'!K:K)+1&amp;"' AS ID_EXEC, CURRENT_TIMESTAMP() AS TIME_EXEC FROM "&amp;I644,
IF(C644="Valores extremos",+"SELECT '"&amp;UPPER(B644)&amp;"' AS TABELA, '"&amp;UPPER(C644)&amp;"' AS TIPOLOGIA_TESTE,'"&amp;D644&amp;"' AS TABELA_LT,'N/A' AS TABELA_SIMUL,'"&amp;F644&amp;"' AS CAMPO, "&amp;"'${ref_date}' AS REF_DATE, CAST(MIN("&amp;F644&amp;") AS STRING) AS VALOR_MIN, CAST(MAX("&amp;F644&amp;") AS STRING) AS VALOR_MAX,'"&amp;MAX('ID1&amp;5'!K:K)+1&amp;"' AS ID_EXEC, CURRENT_TIMESTAMP() AS TIME_EXEC FROM "&amp;MID(I644,1,LEN(I644)-2)&amp;" AND CAST("&amp;F644&amp;"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TABELA_SIMUL,'typ_emssns_lbl' AS CAMPO, '${ref_date}' AS REF_DATE, COUNT(*) AS NUM_REG, SUM(IF(COALESCE(CAST(X.typ_emssns_lbl AS STRING),'')&lt;&gt;COALESCE(CAST(Y.typ_emssns_lbl_SIMUL AS STRING),'') OR (X.typ_emssns_lbl IS NULL AND Y.typ_emssns_lbl_SIMUL IS NOT NULL ) OR (X.typ_emssns_lbl IS NOT NULL AND Y.typ_emssns_lbl_SIMUL IS NULL),1,0)) AS NUM_REG_DIF,'1' AS ID_EXEC, CURRENT_TIMESTAMP() AS TIME_EXEC FROM (SELECT prtctn_id, typ_emssns_lbl FROM BU_LOANTAPE_WORK.LT004_PROTECTION WHERE ref_date='${ref_date}' AND nome_perimetro='Individual Local' AND segmento='ESTR' AND ambito='SRB_MBDT' AND entidade='00100')X INNER JOIN (SELECT prtctn_id AS prtctn_id_SIMUL, typ_emssns_lbl AS typ_emssns_lbl_SIMUL FROM BU_LOANTAPE_WORK.SIMUL_LT004 WHERE ref_date='${ref_date}' AND nome_perimetro='Individual Local' AND segmento='ESTR' AND ambito='PILAR3' AND entidade='00100')Y ON X.PRTCTN_ID=Y.PRTCTN_ID_SIMUL</v>
      </c>
      <c r="M644" s="36" t="str">
        <f t="shared" si="15"/>
        <v>UNION ALL SELECT 'PROTECTION' AS TABELA, 'COERÊNCIA' AS TIPOLOGIA_TESTE,'BU_LOANTAPE_WORK.LT004_PROTECTION' AS TABELA_LT,'BU_LOANTAPE_WORK.SIMUL_LT004' AS TABELA_SIMUL,'typ_emssns_lbl' AS CAMPO, '${ref_date}' AS REF_DATE, COUNT(*) AS NUM_REG, SUM(IF(COALESCE(CAST(X.typ_emssns_lbl AS STRING),'')&lt;&gt;COALESCE(CAST(Y.typ_emssns_lbl_SIMUL AS STRING),'') OR (X.typ_emssns_lbl IS NULL AND Y.typ_emssns_lbl_SIMUL IS NOT NULL ) OR (X.typ_emssns_lbl IS NOT NULL AND Y.typ_emssns_lbl_SIMUL IS NULL),1,0)) AS NUM_REG_DIF,'1' AS ID_EXEC, CURRENT_TIMESTAMP() AS TIME_EXEC FROM (SELECT prtctn_id, typ_emssns_lbl FROM BU_LOANTAPE_WORK.LT004_PROTECTION WHERE ref_date='${ref_date}' AND nome_perimetro='Individual Local' AND segmento='ESTR' AND ambito='SRB_MBDT' AND entidade='00100')X INNER JOIN (SELECT prtctn_id AS prtctn_id_SIMUL, typ_emssns_lbl AS typ_emssns_lbl_SIMUL FROM BU_LOANTAPE_WORK.SIMUL_LT004 WHERE ref_date='${ref_date}' AND nome_perimetro='Individual Local' AND segmento='ESTR' AND ambito='PILAR3' AND entidade='00100')Y ON X.PRTCTN_ID=Y.PRTCTN_ID_SIMUL</v>
      </c>
    </row>
    <row r="645" spans="2:13">
      <c r="B645" s="34" t="s">
        <v>119</v>
      </c>
      <c r="C645" s="34" t="s">
        <v>5</v>
      </c>
      <c r="D645" s="34" t="str">
        <f>+UPPER('0. Instruções'!$D$35&amp;"."&amp;VLOOKUP(B645,'0. Instruções'!$C$27:$D$32,2,FALSE))</f>
        <v>BU_LOANTAPE_WORK.LT004_PROTECTION</v>
      </c>
      <c r="E645" s="34" t="str">
        <f>+UPPER('0. Instruções'!$D$36&amp;"."&amp;VLOOKUP(B645,'0. Instruções'!$C$27:$E$32,3,FALSE))</f>
        <v>BU_LOANTAPE_WORK.SIMUL_LT004</v>
      </c>
      <c r="F645" s="34" t="s">
        <v>1562</v>
      </c>
      <c r="G645" s="34"/>
      <c r="H645" s="34"/>
      <c r="I645" s="34" t="str">
        <f>"(SELECT "&amp;VLOOKUP(B645,'0. Instruções'!$C$27:$G$32,4,FALSE)&amp;", "&amp;F645&amp;" FROM "&amp;D645&amp;" WHERE "&amp;'0. Instruções'!$D$42&amp;")X"</f>
        <v>(SELECT prtctn_id, typ_emssns_scr FROM BU_LOANTAPE_WORK.LT004_PROTECTION WHERE ref_date='${ref_date}' AND nome_perimetro='Individual Local' AND segmento='ESTR' AND ambito='SRB_MBDT' AND entidade='00100')X</v>
      </c>
      <c r="J645" s="34" t="str">
        <f>"(SELECT "&amp;VLOOKUP(B645,'0. Instruções'!$C$27:$G$32,4,FALSE)&amp;" AS "&amp;VLOOKUP(B645,'0. Instruções'!$C$27:$G$32,4,FALSE)&amp;"_SIMUL, "&amp;F645&amp;" AS "&amp;F645&amp;"_SIMUL FROM "&amp;E645&amp;" WHERE "&amp;'0. Instruções'!$D$43&amp;")Y"</f>
        <v>(SELECT prtctn_id AS prtctn_id_SIMUL, typ_emssns_scr AS typ_emssns_scr_SIMUL FROM BU_LOANTAPE_WORK.SIMUL_LT004 WHERE ref_date='${ref_date}' AND nome_perimetro='Individual Local' AND segmento='ESTR' AND ambito='PILAR3' AND entidade='00100')Y</v>
      </c>
      <c r="K645" s="35" t="str">
        <f>+UPPER("ON X."&amp;VLOOKUP(B645,'0. Instruções'!$C$27:$G$32,4,FALSE)&amp;"=Y."&amp;VLOOKUP(B645,'0. Instruções'!$C$27:$G$32,4,FALSE)&amp;"_SIMUL")</f>
        <v>ON X.PRTCTN_ID=Y.PRTCTN_ID_SIMUL</v>
      </c>
      <c r="L645" s="35" t="str">
        <f>+IF(C645="Coerência", +IF(LEFT(G645,5)="FLOAT","SELECT '"&amp;UPPER(B645)&amp;"' AS TABELA, '"&amp;UPPER(C645)&amp;"' AS TIPOLOGIA_TESTE,'"&amp;D645&amp;"' AS TABELA_LT,'"&amp;E645&amp;"' AS TABELA_SIMUL,'"&amp;F645&amp;"' AS CAMPO, "&amp;"'${ref_date}' AS REF_DATE, COUNT(*) AS NUM_REG, SUM(IF((ABS(COALESCE(CAST(X."&amp;F645&amp;" AS DECIMAL(18,6)),0)-COALESCE(CAST(Y."&amp;F645&amp;"_SIMUL AS DECIMAL(18,6)),0))&gt;0.000001) OR (X."&amp;F645&amp;" IS NULL AND Y."&amp;F645&amp;"_SIMUL IS NOT NULL ) OR (X."&amp;F645&amp;" IS NOT NULL AND Y."&amp;F645&amp;"_SIMUL IS NULL),1,0)) AS NUM_REG_DIF,'"&amp;MAX('ID1&amp;5'!K:K)+1&amp;"' AS ID_EXEC, CURRENT_TIMESTAMP() AS TIME_EXEC FROM "&amp;I645&amp;" INNER JOIN "&amp;J645&amp;" "&amp;K645,"SELECT '"&amp;UPPER(B645)&amp;"' AS TABELA, '"&amp;UPPER(C645)&amp;"' AS TIPOLOGIA_TESTE,'"&amp;D645&amp;"' AS TABELA_LT,'"&amp;E645&amp;"' AS TABELA_SIMUL,'"&amp;F645&amp;"' AS CAMPO, "&amp;"'${ref_date}' AS REF_DATE, COUNT(*) AS NUM_REG, SUM(IF(COALESCE(CAST(X."&amp;F645&amp;" AS STRING),'')&lt;&gt;COALESCE(CAST(Y."&amp;F645&amp;"_SIMUL AS STRING),'') OR (X."&amp;F645&amp;" IS NULL AND Y."&amp;F645&amp;"_SIMUL IS NOT NULL ) OR (X."&amp;F645&amp;" IS NOT NULL AND Y."&amp;F645&amp;"_SIMUL IS NULL),1,0)) AS NUM_REG_DIF,'"&amp;MAX('ID1&amp;5'!L:L)+1&amp;"' AS ID_EXEC, CURRENT_TIMESTAMP() AS TIME_EXEC FROM "&amp;I645&amp;" INNER JOIN "&amp;J645&amp;" "&amp;K645),
IF(C645="Validade",+IF(G645="Code List","SELECT '"&amp;UPPER(B645)&amp;"' AS TABELA, '"&amp;UPPER(C645)&amp;"' AS TIPOLOGIA_TESTE,'"&amp;D645&amp;"' AS TABELA_LT,'N/A' AS TABELA_SIMUL,'"&amp;F645&amp;"' AS CAMPO, "&amp;"'${ref_date}' AS REF_DATE, COUNT(*) AS NUM_REG, SUM(IF(TRIM(CAST(X."&amp;F645&amp;" AS STRING))='' OR TRIM(CAST(X."&amp;F645&amp;" AS STRING)) IS NULL OR CAST(X."&amp;F645&amp;" AS STRING) NOT "&amp;H645&amp;",1,0)) AS NUM_REG_DIF,'"&amp;MAX('ID1&amp;5'!K:K)+1&amp;"' AS ID_EXEC, CURRENT_TIMESTAMP() AS TIME_EXEC FROM "&amp;I645,"SELECT '"&amp;UPPER(B645)&amp;"' AS TABELA, '"&amp;UPPER(C645)&amp;"' AS TIPOLOGIA_TESTE,'"&amp;D645&amp;"' AS TABELA_LT,'N/A' AS TABELA_SIMUL,'"&amp;F645&amp;"' AS CAMPO, "&amp;"'${ref_date}' AS REF_DATE, COUNT(*) AS NUM_REG, SUM(IF(TRIM(CAST(X."&amp;F645&amp;" AS STRING))='' OR TRIM(CAST(X."&amp;F645&amp;" AS STRING)) IS NULL,1,0)) AS NUM_REG_DIF,'"&amp;MAX('ID1&amp;5'!K:K)+1&amp;"' AS ID_EXEC, CURRENT_TIMESTAMP() AS TIME_EXEC FROM "&amp;I645),
IF(C645="Caracteres Especiais",+"SELECT '"&amp;UPPER(B645)&amp;"' AS TABELA, '"&amp;UPPER(C645)&amp;"' AS TIPOLOGIA_TESTE,'"&amp;D645&amp;"' AS TABELA_LT,'N/A' AS TABELA_SIMUL,'"&amp;F645&amp;"' AS CAMPO, "&amp;"'${ref_date}' AS REF_DATE, COUNT(*) AS NUM_REG, SUM(IF(REGEXP_REPLACE(TRIM(CAST(X."&amp;F645&amp;" AS STRING)),'[^a-zA-Z0-9_\\s]','') &lt;&gt;TRIM(CAST(X."&amp;F645&amp;" AS STRING)),1,0)) AS NUM_REG_DIF,'"&amp;MAX('ID1&amp;5'!K:K)+1&amp;"' AS ID_EXEC, CURRENT_TIMESTAMP() AS TIME_EXEC FROM "&amp;I645,
IF(C645="Missings",+"SELECT '"&amp;UPPER(B645)&amp;"' AS TABELA, '"&amp;UPPER(C645)&amp;"' AS TIPOLOGIA_TESTE,'"&amp;D645&amp;"' AS TABELA_LT,'N/A' AS TABELA_SIMUL,'"&amp;F645&amp;"' AS CAMPO, "&amp;"'${ref_date}' AS REF_DATE, COUNT(*) AS NUM_REG, SUM(IF(TRIM(CAST(X."&amp;F645&amp;" AS STRING)) IN ('0000-00-00','0001-01-01','9999-12-31','MISS','00000','99999999999','99999999999.00','99999999999.000000'),1,0)) AS NUM_REG_DIF,'"&amp;MAX('ID1&amp;5'!K:K)+1&amp;"' AS ID_EXEC, CURRENT_TIMESTAMP() AS TIME_EXEC FROM "&amp;I645,
IF(C645="Not applicable",+"SELECT '"&amp;UPPER(B645)&amp;"' AS TABELA, '"&amp;UPPER(C645)&amp;"' AS TIPOLOGIA_TESTE,'"&amp;D645&amp;"' AS TABELA_LT,'N/A' AS TABELA_SIMUL,'"&amp;F645&amp;"' AS CAMPO, "&amp;"'${ref_date}' AS REF_DATE, COUNT(*) AS NUM_REG, SUM(IF(TRIM(CAST(X."&amp;F645&amp;" AS STRING)) IN ('N/A','11111111111','11111111111.00','11111111111.000000','1111-11-11'),1,0)) AS NUM_REG_DIF,'"&amp;MAX('ID1&amp;5'!K:K)+1&amp;"' AS ID_EXEC, CURRENT_TIMESTAMP() AS TIME_EXEC FROM "&amp;I645,
IF(C645="Valores extremos",+"SELECT '"&amp;UPPER(B645)&amp;"' AS TABELA, '"&amp;UPPER(C645)&amp;"' AS TIPOLOGIA_TESTE,'"&amp;D645&amp;"' AS TABELA_LT,'N/A' AS TABELA_SIMUL,'"&amp;F645&amp;"' AS CAMPO, "&amp;"'${ref_date}' AS REF_DATE, CAST(MIN("&amp;F645&amp;") AS STRING) AS VALOR_MIN, CAST(MAX("&amp;F645&amp;") AS STRING) AS VALOR_MAX,'"&amp;MAX('ID1&amp;5'!K:K)+1&amp;"' AS ID_EXEC, CURRENT_TIMESTAMP() AS TIME_EXEC FROM "&amp;MID(I645,1,LEN(I645)-2)&amp;" AND CAST("&amp;F645&amp;"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TABELA_SIMUL,'typ_emssns_scr' AS CAMPO, '${ref_date}' AS REF_DATE, COUNT(*) AS NUM_REG, SUM(IF(COALESCE(CAST(X.typ_emssns_scr AS STRING),'')&lt;&gt;COALESCE(CAST(Y.typ_emssns_scr_SIMUL AS STRING),'') OR (X.typ_emssns_scr IS NULL AND Y.typ_emssns_scr_SIMUL IS NOT NULL ) OR (X.typ_emssns_scr IS NOT NULL AND Y.typ_emssns_scr_SIMUL IS NULL),1,0)) AS NUM_REG_DIF,'1' AS ID_EXEC, CURRENT_TIMESTAMP() AS TIME_EXEC FROM (SELECT prtctn_id, typ_emssns_scr FROM BU_LOANTAPE_WORK.LT004_PROTECTION WHERE ref_date='${ref_date}' AND nome_perimetro='Individual Local' AND segmento='ESTR' AND ambito='SRB_MBDT' AND entidade='00100')X INNER JOIN (SELECT prtctn_id AS prtctn_id_SIMUL, typ_emssns_scr AS typ_emssns_scr_SIMUL FROM BU_LOANTAPE_WORK.SIMUL_LT004 WHERE ref_date='${ref_date}' AND nome_perimetro='Individual Local' AND segmento='ESTR' AND ambito='PILAR3' AND entidade='00100')Y ON X.PRTCTN_ID=Y.PRTCTN_ID_SIMUL</v>
      </c>
      <c r="M645" s="36" t="str">
        <f t="shared" si="15"/>
        <v>UNION ALL SELECT 'PROTECTION' AS TABELA, 'COERÊNCIA' AS TIPOLOGIA_TESTE,'BU_LOANTAPE_WORK.LT004_PROTECTION' AS TABELA_LT,'BU_LOANTAPE_WORK.SIMUL_LT004' AS TABELA_SIMUL,'typ_emssns_scr' AS CAMPO, '${ref_date}' AS REF_DATE, COUNT(*) AS NUM_REG, SUM(IF(COALESCE(CAST(X.typ_emssns_scr AS STRING),'')&lt;&gt;COALESCE(CAST(Y.typ_emssns_scr_SIMUL AS STRING),'') OR (X.typ_emssns_scr IS NULL AND Y.typ_emssns_scr_SIMUL IS NOT NULL ) OR (X.typ_emssns_scr IS NOT NULL AND Y.typ_emssns_scr_SIMUL IS NULL),1,0)) AS NUM_REG_DIF,'1' AS ID_EXEC, CURRENT_TIMESTAMP() AS TIME_EXEC FROM (SELECT prtctn_id, typ_emssns_scr FROM BU_LOANTAPE_WORK.LT004_PROTECTION WHERE ref_date='${ref_date}' AND nome_perimetro='Individual Local' AND segmento='ESTR' AND ambito='SRB_MBDT' AND entidade='00100')X INNER JOIN (SELECT prtctn_id AS prtctn_id_SIMUL, typ_emssns_scr AS typ_emssns_scr_SIMUL FROM BU_LOANTAPE_WORK.SIMUL_LT004 WHERE ref_date='${ref_date}' AND nome_perimetro='Individual Local' AND segmento='ESTR' AND ambito='PILAR3' AND entidade='00100')Y ON X.PRTCTN_ID=Y.PRTCTN_ID_SIMUL</v>
      </c>
    </row>
    <row r="646" spans="2:13">
      <c r="B646" s="34" t="s">
        <v>119</v>
      </c>
      <c r="C646" s="34" t="s">
        <v>5</v>
      </c>
      <c r="D646" s="34" t="str">
        <f>+UPPER('0. Instruções'!$D$35&amp;"."&amp;VLOOKUP(B646,'0. Instruções'!$C$27:$D$32,2,FALSE))</f>
        <v>BU_LOANTAPE_WORK.LT004_PROTECTION</v>
      </c>
      <c r="E646" s="34" t="str">
        <f>+UPPER('0. Instruções'!$D$36&amp;"."&amp;VLOOKUP(B646,'0. Instruções'!$C$27:$E$32,3,FALSE))</f>
        <v>BU_LOANTAPE_WORK.SIMUL_LT004</v>
      </c>
      <c r="F646" s="34" t="s">
        <v>1563</v>
      </c>
      <c r="G646" s="34"/>
      <c r="H646" s="34"/>
      <c r="I646" s="34" t="str">
        <f>"(SELECT "&amp;VLOOKUP(B646,'0. Instruções'!$C$27:$G$32,4,FALSE)&amp;", "&amp;F646&amp;" FROM "&amp;D646&amp;" WHERE "&amp;'0. Instruções'!$D$42&amp;")X"</f>
        <v>(SELECT prtctn_id, typ_hzrds_insrd FROM BU_LOANTAPE_WORK.LT004_PROTECTION WHERE ref_date='${ref_date}' AND nome_perimetro='Individual Local' AND segmento='ESTR' AND ambito='SRB_MBDT' AND entidade='00100')X</v>
      </c>
      <c r="J646" s="34" t="str">
        <f>"(SELECT "&amp;VLOOKUP(B646,'0. Instruções'!$C$27:$G$32,4,FALSE)&amp;" AS "&amp;VLOOKUP(B646,'0. Instruções'!$C$27:$G$32,4,FALSE)&amp;"_SIMUL, "&amp;F646&amp;" AS "&amp;F646&amp;"_SIMUL FROM "&amp;E646&amp;" WHERE "&amp;'0. Instruções'!$D$43&amp;")Y"</f>
        <v>(SELECT prtctn_id AS prtctn_id_SIMUL, typ_hzrds_insrd AS typ_hzrds_insrd_SIMUL FROM BU_LOANTAPE_WORK.SIMUL_LT004 WHERE ref_date='${ref_date}' AND nome_perimetro='Individual Local' AND segmento='ESTR' AND ambito='PILAR3' AND entidade='00100')Y</v>
      </c>
      <c r="K646" s="35" t="str">
        <f>+UPPER("ON X."&amp;VLOOKUP(B646,'0. Instruções'!$C$27:$G$32,4,FALSE)&amp;"=Y."&amp;VLOOKUP(B646,'0. Instruções'!$C$27:$G$32,4,FALSE)&amp;"_SIMUL")</f>
        <v>ON X.PRTCTN_ID=Y.PRTCTN_ID_SIMUL</v>
      </c>
      <c r="L646" s="35" t="str">
        <f>+IF(C646="Coerência", +IF(LEFT(G646,5)="FLOAT","SELECT '"&amp;UPPER(B646)&amp;"' AS TABELA, '"&amp;UPPER(C646)&amp;"' AS TIPOLOGIA_TESTE,'"&amp;D646&amp;"' AS TABELA_LT,'"&amp;E646&amp;"' AS TABELA_SIMUL,'"&amp;F646&amp;"' AS CAMPO, "&amp;"'${ref_date}' AS REF_DATE, COUNT(*) AS NUM_REG, SUM(IF((ABS(COALESCE(CAST(X."&amp;F646&amp;" AS DECIMAL(18,6)),0)-COALESCE(CAST(Y."&amp;F646&amp;"_SIMUL AS DECIMAL(18,6)),0))&gt;0.000001) OR (X."&amp;F646&amp;" IS NULL AND Y."&amp;F646&amp;"_SIMUL IS NOT NULL ) OR (X."&amp;F646&amp;" IS NOT NULL AND Y."&amp;F646&amp;"_SIMUL IS NULL),1,0)) AS NUM_REG_DIF,'"&amp;MAX('ID1&amp;5'!K:K)+1&amp;"' AS ID_EXEC, CURRENT_TIMESTAMP() AS TIME_EXEC FROM "&amp;I646&amp;" INNER JOIN "&amp;J646&amp;" "&amp;K646,"SELECT '"&amp;UPPER(B646)&amp;"' AS TABELA, '"&amp;UPPER(C646)&amp;"' AS TIPOLOGIA_TESTE,'"&amp;D646&amp;"' AS TABELA_LT,'"&amp;E646&amp;"' AS TABELA_SIMUL,'"&amp;F646&amp;"' AS CAMPO, "&amp;"'${ref_date}' AS REF_DATE, COUNT(*) AS NUM_REG, SUM(IF(COALESCE(CAST(X."&amp;F646&amp;" AS STRING),'')&lt;&gt;COALESCE(CAST(Y."&amp;F646&amp;"_SIMUL AS STRING),'') OR (X."&amp;F646&amp;" IS NULL AND Y."&amp;F646&amp;"_SIMUL IS NOT NULL ) OR (X."&amp;F646&amp;" IS NOT NULL AND Y."&amp;F646&amp;"_SIMUL IS NULL),1,0)) AS NUM_REG_DIF,'"&amp;MAX('ID1&amp;5'!L:L)+1&amp;"' AS ID_EXEC, CURRENT_TIMESTAMP() AS TIME_EXEC FROM "&amp;I646&amp;" INNER JOIN "&amp;J646&amp;" "&amp;K646),
IF(C646="Validade",+IF(G646="Code List","SELECT '"&amp;UPPER(B646)&amp;"' AS TABELA, '"&amp;UPPER(C646)&amp;"' AS TIPOLOGIA_TESTE,'"&amp;D646&amp;"' AS TABELA_LT,'N/A' AS TABELA_SIMUL,'"&amp;F646&amp;"' AS CAMPO, "&amp;"'${ref_date}' AS REF_DATE, COUNT(*) AS NUM_REG, SUM(IF(TRIM(CAST(X."&amp;F646&amp;" AS STRING))='' OR TRIM(CAST(X."&amp;F646&amp;" AS STRING)) IS NULL OR CAST(X."&amp;F646&amp;" AS STRING) NOT "&amp;H646&amp;",1,0)) AS NUM_REG_DIF,'"&amp;MAX('ID1&amp;5'!K:K)+1&amp;"' AS ID_EXEC, CURRENT_TIMESTAMP() AS TIME_EXEC FROM "&amp;I646,"SELECT '"&amp;UPPER(B646)&amp;"' AS TABELA, '"&amp;UPPER(C646)&amp;"' AS TIPOLOGIA_TESTE,'"&amp;D646&amp;"' AS TABELA_LT,'N/A' AS TABELA_SIMUL,'"&amp;F646&amp;"' AS CAMPO, "&amp;"'${ref_date}' AS REF_DATE, COUNT(*) AS NUM_REG, SUM(IF(TRIM(CAST(X."&amp;F646&amp;" AS STRING))='' OR TRIM(CAST(X."&amp;F646&amp;" AS STRING)) IS NULL,1,0)) AS NUM_REG_DIF,'"&amp;MAX('ID1&amp;5'!K:K)+1&amp;"' AS ID_EXEC, CURRENT_TIMESTAMP() AS TIME_EXEC FROM "&amp;I646),
IF(C646="Caracteres Especiais",+"SELECT '"&amp;UPPER(B646)&amp;"' AS TABELA, '"&amp;UPPER(C646)&amp;"' AS TIPOLOGIA_TESTE,'"&amp;D646&amp;"' AS TABELA_LT,'N/A' AS TABELA_SIMUL,'"&amp;F646&amp;"' AS CAMPO, "&amp;"'${ref_date}' AS REF_DATE, COUNT(*) AS NUM_REG, SUM(IF(REGEXP_REPLACE(TRIM(CAST(X."&amp;F646&amp;" AS STRING)),'[^a-zA-Z0-9_\\s]','') &lt;&gt;TRIM(CAST(X."&amp;F646&amp;" AS STRING)),1,0)) AS NUM_REG_DIF,'"&amp;MAX('ID1&amp;5'!K:K)+1&amp;"' AS ID_EXEC, CURRENT_TIMESTAMP() AS TIME_EXEC FROM "&amp;I646,
IF(C646="Missings",+"SELECT '"&amp;UPPER(B646)&amp;"' AS TABELA, '"&amp;UPPER(C646)&amp;"' AS TIPOLOGIA_TESTE,'"&amp;D646&amp;"' AS TABELA_LT,'N/A' AS TABELA_SIMUL,'"&amp;F646&amp;"' AS CAMPO, "&amp;"'${ref_date}' AS REF_DATE, COUNT(*) AS NUM_REG, SUM(IF(TRIM(CAST(X."&amp;F646&amp;" AS STRING)) IN ('0000-00-00','0001-01-01','9999-12-31','MISS','00000','99999999999','99999999999.00','99999999999.000000'),1,0)) AS NUM_REG_DIF,'"&amp;MAX('ID1&amp;5'!K:K)+1&amp;"' AS ID_EXEC, CURRENT_TIMESTAMP() AS TIME_EXEC FROM "&amp;I646,
IF(C646="Not applicable",+"SELECT '"&amp;UPPER(B646)&amp;"' AS TABELA, '"&amp;UPPER(C646)&amp;"' AS TIPOLOGIA_TESTE,'"&amp;D646&amp;"' AS TABELA_LT,'N/A' AS TABELA_SIMUL,'"&amp;F646&amp;"' AS CAMPO, "&amp;"'${ref_date}' AS REF_DATE, COUNT(*) AS NUM_REG, SUM(IF(TRIM(CAST(X."&amp;F646&amp;" AS STRING)) IN ('N/A','11111111111','11111111111.00','11111111111.000000','1111-11-11'),1,0)) AS NUM_REG_DIF,'"&amp;MAX('ID1&amp;5'!K:K)+1&amp;"' AS ID_EXEC, CURRENT_TIMESTAMP() AS TIME_EXEC FROM "&amp;I646,
IF(C646="Valores extremos",+"SELECT '"&amp;UPPER(B646)&amp;"' AS TABELA, '"&amp;UPPER(C646)&amp;"' AS TIPOLOGIA_TESTE,'"&amp;D646&amp;"' AS TABELA_LT,'N/A' AS TABELA_SIMUL,'"&amp;F646&amp;"' AS CAMPO, "&amp;"'${ref_date}' AS REF_DATE, CAST(MIN("&amp;F646&amp;") AS STRING) AS VALOR_MIN, CAST(MAX("&amp;F646&amp;") AS STRING) AS VALOR_MAX,'"&amp;MAX('ID1&amp;5'!K:K)+1&amp;"' AS ID_EXEC, CURRENT_TIMESTAMP() AS TIME_EXEC FROM "&amp;MID(I646,1,LEN(I646)-2)&amp;" AND CAST("&amp;F646&amp;"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TABELA_SIMUL,'typ_hzrds_insrd' AS CAMPO, '${ref_date}' AS REF_DATE, COUNT(*) AS NUM_REG, SUM(IF(COALESCE(CAST(X.typ_hzrds_insrd AS STRING),'')&lt;&gt;COALESCE(CAST(Y.typ_hzrds_insrd_SIMUL AS STRING),'') OR (X.typ_hzrds_insrd IS NULL AND Y.typ_hzrds_insrd_SIMUL IS NOT NULL ) OR (X.typ_hzrds_insrd IS NOT NULL AND Y.typ_hzrds_insrd_SIMUL IS NULL),1,0)) AS NUM_REG_DIF,'1' AS ID_EXEC, CURRENT_TIMESTAMP() AS TIME_EXEC FROM (SELECT prtctn_id, typ_hzrds_insrd FROM BU_LOANTAPE_WORK.LT004_PROTECTION WHERE ref_date='${ref_date}' AND nome_perimetro='Individual Local' AND segmento='ESTR' AND ambito='SRB_MBDT' AND entidade='00100')X INNER JOIN (SELECT prtctn_id AS prtctn_id_SIMUL, typ_hzrds_insrd AS typ_hzrds_insrd_SIMUL FROM BU_LOANTAPE_WORK.SIMUL_LT004 WHERE ref_date='${ref_date}' AND nome_perimetro='Individual Local' AND segmento='ESTR' AND ambito='PILAR3' AND entidade='00100')Y ON X.PRTCTN_ID=Y.PRTCTN_ID_SIMUL</v>
      </c>
      <c r="M646" s="36" t="str">
        <f t="shared" si="15"/>
        <v>UNION ALL SELECT 'PROTECTION' AS TABELA, 'COERÊNCIA' AS TIPOLOGIA_TESTE,'BU_LOANTAPE_WORK.LT004_PROTECTION' AS TABELA_LT,'BU_LOANTAPE_WORK.SIMUL_LT004' AS TABELA_SIMUL,'typ_hzrds_insrd' AS CAMPO, '${ref_date}' AS REF_DATE, COUNT(*) AS NUM_REG, SUM(IF(COALESCE(CAST(X.typ_hzrds_insrd AS STRING),'')&lt;&gt;COALESCE(CAST(Y.typ_hzrds_insrd_SIMUL AS STRING),'') OR (X.typ_hzrds_insrd IS NULL AND Y.typ_hzrds_insrd_SIMUL IS NOT NULL ) OR (X.typ_hzrds_insrd IS NOT NULL AND Y.typ_hzrds_insrd_SIMUL IS NULL),1,0)) AS NUM_REG_DIF,'1' AS ID_EXEC, CURRENT_TIMESTAMP() AS TIME_EXEC FROM (SELECT prtctn_id, typ_hzrds_insrd FROM BU_LOANTAPE_WORK.LT004_PROTECTION WHERE ref_date='${ref_date}' AND nome_perimetro='Individual Local' AND segmento='ESTR' AND ambito='SRB_MBDT' AND entidade='00100')X INNER JOIN (SELECT prtctn_id AS prtctn_id_SIMUL, typ_hzrds_insrd AS typ_hzrds_insrd_SIMUL FROM BU_LOANTAPE_WORK.SIMUL_LT004 WHERE ref_date='${ref_date}' AND nome_perimetro='Individual Local' AND segmento='ESTR' AND ambito='PILAR3' AND entidade='00100')Y ON X.PRTCTN_ID=Y.PRTCTN_ID_SIMUL</v>
      </c>
    </row>
    <row r="647" spans="2:13">
      <c r="B647" s="34" t="s">
        <v>119</v>
      </c>
      <c r="C647" s="34" t="s">
        <v>5</v>
      </c>
      <c r="D647" s="34" t="str">
        <f>+UPPER('0. Instruções'!$D$35&amp;"."&amp;VLOOKUP(B647,'0. Instruções'!$C$27:$D$32,2,FALSE))</f>
        <v>BU_LOANTAPE_WORK.LT004_PROTECTION</v>
      </c>
      <c r="E647" s="34" t="str">
        <f>+UPPER('0. Instruções'!$D$36&amp;"."&amp;VLOOKUP(B647,'0. Instruções'!$C$27:$E$32,3,FALSE))</f>
        <v>BU_LOANTAPE_WORK.SIMUL_LT004</v>
      </c>
      <c r="F647" s="34" t="s">
        <v>1564</v>
      </c>
      <c r="G647" s="34"/>
      <c r="H647" s="34"/>
      <c r="I647" s="34" t="str">
        <f>"(SELECT "&amp;VLOOKUP(B647,'0. Instruções'!$C$27:$G$32,4,FALSE)&amp;", "&amp;F647&amp;" FROM "&amp;D647&amp;" WHERE "&amp;'0. Instruções'!$D$42&amp;")X"</f>
        <v>(SELECT prtctn_id, typ_vhcl FROM BU_LOANTAPE_WORK.LT004_PROTECTION WHERE ref_date='${ref_date}' AND nome_perimetro='Individual Local' AND segmento='ESTR' AND ambito='SRB_MBDT' AND entidade='00100')X</v>
      </c>
      <c r="J647" s="34" t="str">
        <f>"(SELECT "&amp;VLOOKUP(B647,'0. Instruções'!$C$27:$G$32,4,FALSE)&amp;" AS "&amp;VLOOKUP(B647,'0. Instruções'!$C$27:$G$32,4,FALSE)&amp;"_SIMUL, "&amp;F647&amp;" AS "&amp;F647&amp;"_SIMUL FROM "&amp;E647&amp;" WHERE "&amp;'0. Instruções'!$D$43&amp;")Y"</f>
        <v>(SELECT prtctn_id AS prtctn_id_SIMUL, typ_vhcl AS typ_vhcl_SIMUL FROM BU_LOANTAPE_WORK.SIMUL_LT004 WHERE ref_date='${ref_date}' AND nome_perimetro='Individual Local' AND segmento='ESTR' AND ambito='PILAR3' AND entidade='00100')Y</v>
      </c>
      <c r="K647" s="35" t="str">
        <f>+UPPER("ON X."&amp;VLOOKUP(B647,'0. Instruções'!$C$27:$G$32,4,FALSE)&amp;"=Y."&amp;VLOOKUP(B647,'0. Instruções'!$C$27:$G$32,4,FALSE)&amp;"_SIMUL")</f>
        <v>ON X.PRTCTN_ID=Y.PRTCTN_ID_SIMUL</v>
      </c>
      <c r="L647" s="35" t="str">
        <f>+IF(C647="Coerência", +IF(LEFT(G647,5)="FLOAT","SELECT '"&amp;UPPER(B647)&amp;"' AS TABELA, '"&amp;UPPER(C647)&amp;"' AS TIPOLOGIA_TESTE,'"&amp;D647&amp;"' AS TABELA_LT,'"&amp;E647&amp;"' AS TABELA_SIMUL,'"&amp;F647&amp;"' AS CAMPO, "&amp;"'${ref_date}' AS REF_DATE, COUNT(*) AS NUM_REG, SUM(IF((ABS(COALESCE(CAST(X."&amp;F647&amp;" AS DECIMAL(18,6)),0)-COALESCE(CAST(Y."&amp;F647&amp;"_SIMUL AS DECIMAL(18,6)),0))&gt;0.000001) OR (X."&amp;F647&amp;" IS NULL AND Y."&amp;F647&amp;"_SIMUL IS NOT NULL ) OR (X."&amp;F647&amp;" IS NOT NULL AND Y."&amp;F647&amp;"_SIMUL IS NULL),1,0)) AS NUM_REG_DIF,'"&amp;MAX('ID1&amp;5'!K:K)+1&amp;"' AS ID_EXEC, CURRENT_TIMESTAMP() AS TIME_EXEC FROM "&amp;I647&amp;" INNER JOIN "&amp;J647&amp;" "&amp;K647,"SELECT '"&amp;UPPER(B647)&amp;"' AS TABELA, '"&amp;UPPER(C647)&amp;"' AS TIPOLOGIA_TESTE,'"&amp;D647&amp;"' AS TABELA_LT,'"&amp;E647&amp;"' AS TABELA_SIMUL,'"&amp;F647&amp;"' AS CAMPO, "&amp;"'${ref_date}' AS REF_DATE, COUNT(*) AS NUM_REG, SUM(IF(COALESCE(CAST(X."&amp;F647&amp;" AS STRING),'')&lt;&gt;COALESCE(CAST(Y."&amp;F647&amp;"_SIMUL AS STRING),'') OR (X."&amp;F647&amp;" IS NULL AND Y."&amp;F647&amp;"_SIMUL IS NOT NULL ) OR (X."&amp;F647&amp;" IS NOT NULL AND Y."&amp;F647&amp;"_SIMUL IS NULL),1,0)) AS NUM_REG_DIF,'"&amp;MAX('ID1&amp;5'!L:L)+1&amp;"' AS ID_EXEC, CURRENT_TIMESTAMP() AS TIME_EXEC FROM "&amp;I647&amp;" INNER JOIN "&amp;J647&amp;" "&amp;K647),
IF(C647="Validade",+IF(G647="Code List","SELECT '"&amp;UPPER(B647)&amp;"' AS TABELA, '"&amp;UPPER(C647)&amp;"' AS TIPOLOGIA_TESTE,'"&amp;D647&amp;"' AS TABELA_LT,'N/A' AS TABELA_SIMUL,'"&amp;F647&amp;"' AS CAMPO, "&amp;"'${ref_date}' AS REF_DATE, COUNT(*) AS NUM_REG, SUM(IF(TRIM(CAST(X."&amp;F647&amp;" AS STRING))='' OR TRIM(CAST(X."&amp;F647&amp;" AS STRING)) IS NULL OR CAST(X."&amp;F647&amp;" AS STRING) NOT "&amp;H647&amp;",1,0)) AS NUM_REG_DIF,'"&amp;MAX('ID1&amp;5'!K:K)+1&amp;"' AS ID_EXEC, CURRENT_TIMESTAMP() AS TIME_EXEC FROM "&amp;I647,"SELECT '"&amp;UPPER(B647)&amp;"' AS TABELA, '"&amp;UPPER(C647)&amp;"' AS TIPOLOGIA_TESTE,'"&amp;D647&amp;"' AS TABELA_LT,'N/A' AS TABELA_SIMUL,'"&amp;F647&amp;"' AS CAMPO, "&amp;"'${ref_date}' AS REF_DATE, COUNT(*) AS NUM_REG, SUM(IF(TRIM(CAST(X."&amp;F647&amp;" AS STRING))='' OR TRIM(CAST(X."&amp;F647&amp;" AS STRING)) IS NULL,1,0)) AS NUM_REG_DIF,'"&amp;MAX('ID1&amp;5'!K:K)+1&amp;"' AS ID_EXEC, CURRENT_TIMESTAMP() AS TIME_EXEC FROM "&amp;I647),
IF(C647="Caracteres Especiais",+"SELECT '"&amp;UPPER(B647)&amp;"' AS TABELA, '"&amp;UPPER(C647)&amp;"' AS TIPOLOGIA_TESTE,'"&amp;D647&amp;"' AS TABELA_LT,'N/A' AS TABELA_SIMUL,'"&amp;F647&amp;"' AS CAMPO, "&amp;"'${ref_date}' AS REF_DATE, COUNT(*) AS NUM_REG, SUM(IF(REGEXP_REPLACE(TRIM(CAST(X."&amp;F647&amp;" AS STRING)),'[^a-zA-Z0-9_\\s]','') &lt;&gt;TRIM(CAST(X."&amp;F647&amp;" AS STRING)),1,0)) AS NUM_REG_DIF,'"&amp;MAX('ID1&amp;5'!K:K)+1&amp;"' AS ID_EXEC, CURRENT_TIMESTAMP() AS TIME_EXEC FROM "&amp;I647,
IF(C647="Missings",+"SELECT '"&amp;UPPER(B647)&amp;"' AS TABELA, '"&amp;UPPER(C647)&amp;"' AS TIPOLOGIA_TESTE,'"&amp;D647&amp;"' AS TABELA_LT,'N/A' AS TABELA_SIMUL,'"&amp;F647&amp;"' AS CAMPO, "&amp;"'${ref_date}' AS REF_DATE, COUNT(*) AS NUM_REG, SUM(IF(TRIM(CAST(X."&amp;F647&amp;" AS STRING)) IN ('0000-00-00','0001-01-01','9999-12-31','MISS','00000','99999999999','99999999999.00','99999999999.000000'),1,0)) AS NUM_REG_DIF,'"&amp;MAX('ID1&amp;5'!K:K)+1&amp;"' AS ID_EXEC, CURRENT_TIMESTAMP() AS TIME_EXEC FROM "&amp;I647,
IF(C647="Not applicable",+"SELECT '"&amp;UPPER(B647)&amp;"' AS TABELA, '"&amp;UPPER(C647)&amp;"' AS TIPOLOGIA_TESTE,'"&amp;D647&amp;"' AS TABELA_LT,'N/A' AS TABELA_SIMUL,'"&amp;F647&amp;"' AS CAMPO, "&amp;"'${ref_date}' AS REF_DATE, COUNT(*) AS NUM_REG, SUM(IF(TRIM(CAST(X."&amp;F647&amp;" AS STRING)) IN ('N/A','11111111111','11111111111.00','11111111111.000000','1111-11-11'),1,0)) AS NUM_REG_DIF,'"&amp;MAX('ID1&amp;5'!K:K)+1&amp;"' AS ID_EXEC, CURRENT_TIMESTAMP() AS TIME_EXEC FROM "&amp;I647,
IF(C647="Valores extremos",+"SELECT '"&amp;UPPER(B647)&amp;"' AS TABELA, '"&amp;UPPER(C647)&amp;"' AS TIPOLOGIA_TESTE,'"&amp;D647&amp;"' AS TABELA_LT,'N/A' AS TABELA_SIMUL,'"&amp;F647&amp;"' AS CAMPO, "&amp;"'${ref_date}' AS REF_DATE, CAST(MIN("&amp;F647&amp;") AS STRING) AS VALOR_MIN, CAST(MAX("&amp;F647&amp;") AS STRING) AS VALOR_MAX,'"&amp;MAX('ID1&amp;5'!K:K)+1&amp;"' AS ID_EXEC, CURRENT_TIMESTAMP() AS TIME_EXEC FROM "&amp;MID(I647,1,LEN(I647)-2)&amp;" AND CAST("&amp;F647&amp;"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TABELA_SIMUL,'typ_vhcl' AS CAMPO, '${ref_date}' AS REF_DATE, COUNT(*) AS NUM_REG, SUM(IF(COALESCE(CAST(X.typ_vhcl AS STRING),'')&lt;&gt;COALESCE(CAST(Y.typ_vhcl_SIMUL AS STRING),'') OR (X.typ_vhcl IS NULL AND Y.typ_vhcl_SIMUL IS NOT NULL ) OR (X.typ_vhcl IS NOT NULL AND Y.typ_vhcl_SIMUL IS NULL),1,0)) AS NUM_REG_DIF,'1' AS ID_EXEC, CURRENT_TIMESTAMP() AS TIME_EXEC FROM (SELECT prtctn_id, typ_vhcl FROM BU_LOANTAPE_WORK.LT004_PROTECTION WHERE ref_date='${ref_date}' AND nome_perimetro='Individual Local' AND segmento='ESTR' AND ambito='SRB_MBDT' AND entidade='00100')X INNER JOIN (SELECT prtctn_id AS prtctn_id_SIMUL, typ_vhcl AS typ_vhcl_SIMUL FROM BU_LOANTAPE_WORK.SIMUL_LT004 WHERE ref_date='${ref_date}' AND nome_perimetro='Individual Local' AND segmento='ESTR' AND ambito='PILAR3' AND entidade='00100')Y ON X.PRTCTN_ID=Y.PRTCTN_ID_SIMUL</v>
      </c>
      <c r="M647" s="36" t="str">
        <f t="shared" si="15"/>
        <v>UNION ALL SELECT 'PROTECTION' AS TABELA, 'COERÊNCIA' AS TIPOLOGIA_TESTE,'BU_LOANTAPE_WORK.LT004_PROTECTION' AS TABELA_LT,'BU_LOANTAPE_WORK.SIMUL_LT004' AS TABELA_SIMUL,'typ_vhcl' AS CAMPO, '${ref_date}' AS REF_DATE, COUNT(*) AS NUM_REG, SUM(IF(COALESCE(CAST(X.typ_vhcl AS STRING),'')&lt;&gt;COALESCE(CAST(Y.typ_vhcl_SIMUL AS STRING),'') OR (X.typ_vhcl IS NULL AND Y.typ_vhcl_SIMUL IS NOT NULL ) OR (X.typ_vhcl IS NOT NULL AND Y.typ_vhcl_SIMUL IS NULL),1,0)) AS NUM_REG_DIF,'1' AS ID_EXEC, CURRENT_TIMESTAMP() AS TIME_EXEC FROM (SELECT prtctn_id, typ_vhcl FROM BU_LOANTAPE_WORK.LT004_PROTECTION WHERE ref_date='${ref_date}' AND nome_perimetro='Individual Local' AND segmento='ESTR' AND ambito='SRB_MBDT' AND entidade='00100')X INNER JOIN (SELECT prtctn_id AS prtctn_id_SIMUL, typ_vhcl AS typ_vhcl_SIMUL FROM BU_LOANTAPE_WORK.SIMUL_LT004 WHERE ref_date='${ref_date}' AND nome_perimetro='Individual Local' AND segmento='ESTR' AND ambito='PILAR3' AND entidade='00100')Y ON X.PRTCTN_ID=Y.PRTCTN_ID_SIMUL</v>
      </c>
    </row>
    <row r="648" spans="2:13">
      <c r="B648" s="34" t="s">
        <v>119</v>
      </c>
      <c r="C648" s="34" t="s">
        <v>5</v>
      </c>
      <c r="D648" s="34" t="str">
        <f>+UPPER('0. Instruções'!$D$35&amp;"."&amp;VLOOKUP(B648,'0. Instruções'!$C$27:$D$32,2,FALSE))</f>
        <v>BU_LOANTAPE_WORK.LT004_PROTECTION</v>
      </c>
      <c r="E648" s="34" t="str">
        <f>+UPPER('0. Instruções'!$D$36&amp;"."&amp;VLOOKUP(B648,'0. Instruções'!$C$27:$E$32,3,FALSE))</f>
        <v>BU_LOANTAPE_WORK.SIMUL_LT004</v>
      </c>
      <c r="F648" s="34" t="s">
        <v>1565</v>
      </c>
      <c r="G648" s="34"/>
      <c r="H648" s="34"/>
      <c r="I648" s="34" t="str">
        <f>"(SELECT "&amp;VLOOKUP(B648,'0. Instruções'!$C$27:$G$32,4,FALSE)&amp;", "&amp;F648&amp;" FROM "&amp;D648&amp;" WHERE "&amp;'0. Instruções'!$D$42&amp;")X"</f>
        <v>(SELECT prtctn_id, vhcl_emssns_lbl FROM BU_LOANTAPE_WORK.LT004_PROTECTION WHERE ref_date='${ref_date}' AND nome_perimetro='Individual Local' AND segmento='ESTR' AND ambito='SRB_MBDT' AND entidade='00100')X</v>
      </c>
      <c r="J648" s="34" t="str">
        <f>"(SELECT "&amp;VLOOKUP(B648,'0. Instruções'!$C$27:$G$32,4,FALSE)&amp;" AS "&amp;VLOOKUP(B648,'0. Instruções'!$C$27:$G$32,4,FALSE)&amp;"_SIMUL, "&amp;F648&amp;" AS "&amp;F648&amp;"_SIMUL FROM "&amp;E648&amp;" WHERE "&amp;'0. Instruções'!$D$43&amp;")Y"</f>
        <v>(SELECT prtctn_id AS prtctn_id_SIMUL, vhcl_emssns_lbl AS vhcl_emssns_lbl_SIMUL FROM BU_LOANTAPE_WORK.SIMUL_LT004 WHERE ref_date='${ref_date}' AND nome_perimetro='Individual Local' AND segmento='ESTR' AND ambito='PILAR3' AND entidade='00100')Y</v>
      </c>
      <c r="K648" s="35" t="str">
        <f>+UPPER("ON X."&amp;VLOOKUP(B648,'0. Instruções'!$C$27:$G$32,4,FALSE)&amp;"=Y."&amp;VLOOKUP(B648,'0. Instruções'!$C$27:$G$32,4,FALSE)&amp;"_SIMUL")</f>
        <v>ON X.PRTCTN_ID=Y.PRTCTN_ID_SIMUL</v>
      </c>
      <c r="L648" s="35" t="str">
        <f>+IF(C648="Coerência", +IF(LEFT(G648,5)="FLOAT","SELECT '"&amp;UPPER(B648)&amp;"' AS TABELA, '"&amp;UPPER(C648)&amp;"' AS TIPOLOGIA_TESTE,'"&amp;D648&amp;"' AS TABELA_LT,'"&amp;E648&amp;"' AS TABELA_SIMUL,'"&amp;F648&amp;"' AS CAMPO, "&amp;"'${ref_date}' AS REF_DATE, COUNT(*) AS NUM_REG, SUM(IF((ABS(COALESCE(CAST(X."&amp;F648&amp;" AS DECIMAL(18,6)),0)-COALESCE(CAST(Y."&amp;F648&amp;"_SIMUL AS DECIMAL(18,6)),0))&gt;0.000001) OR (X."&amp;F648&amp;" IS NULL AND Y."&amp;F648&amp;"_SIMUL IS NOT NULL ) OR (X."&amp;F648&amp;" IS NOT NULL AND Y."&amp;F648&amp;"_SIMUL IS NULL),1,0)) AS NUM_REG_DIF,'"&amp;MAX('ID1&amp;5'!K:K)+1&amp;"' AS ID_EXEC, CURRENT_TIMESTAMP() AS TIME_EXEC FROM "&amp;I648&amp;" INNER JOIN "&amp;J648&amp;" "&amp;K648,"SELECT '"&amp;UPPER(B648)&amp;"' AS TABELA, '"&amp;UPPER(C648)&amp;"' AS TIPOLOGIA_TESTE,'"&amp;D648&amp;"' AS TABELA_LT,'"&amp;E648&amp;"' AS TABELA_SIMUL,'"&amp;F648&amp;"' AS CAMPO, "&amp;"'${ref_date}' AS REF_DATE, COUNT(*) AS NUM_REG, SUM(IF(COALESCE(CAST(X."&amp;F648&amp;" AS STRING),'')&lt;&gt;COALESCE(CAST(Y."&amp;F648&amp;"_SIMUL AS STRING),'') OR (X."&amp;F648&amp;" IS NULL AND Y."&amp;F648&amp;"_SIMUL IS NOT NULL ) OR (X."&amp;F648&amp;" IS NOT NULL AND Y."&amp;F648&amp;"_SIMUL IS NULL),1,0)) AS NUM_REG_DIF,'"&amp;MAX('ID1&amp;5'!L:L)+1&amp;"' AS ID_EXEC, CURRENT_TIMESTAMP() AS TIME_EXEC FROM "&amp;I648&amp;" INNER JOIN "&amp;J648&amp;" "&amp;K648),
IF(C648="Validade",+IF(G648="Code List","SELECT '"&amp;UPPER(B648)&amp;"' AS TABELA, '"&amp;UPPER(C648)&amp;"' AS TIPOLOGIA_TESTE,'"&amp;D648&amp;"' AS TABELA_LT,'N/A' AS TABELA_SIMUL,'"&amp;F648&amp;"' AS CAMPO, "&amp;"'${ref_date}' AS REF_DATE, COUNT(*) AS NUM_REG, SUM(IF(TRIM(CAST(X."&amp;F648&amp;" AS STRING))='' OR TRIM(CAST(X."&amp;F648&amp;" AS STRING)) IS NULL OR CAST(X."&amp;F648&amp;" AS STRING) NOT "&amp;H648&amp;",1,0)) AS NUM_REG_DIF,'"&amp;MAX('ID1&amp;5'!K:K)+1&amp;"' AS ID_EXEC, CURRENT_TIMESTAMP() AS TIME_EXEC FROM "&amp;I648,"SELECT '"&amp;UPPER(B648)&amp;"' AS TABELA, '"&amp;UPPER(C648)&amp;"' AS TIPOLOGIA_TESTE,'"&amp;D648&amp;"' AS TABELA_LT,'N/A' AS TABELA_SIMUL,'"&amp;F648&amp;"' AS CAMPO, "&amp;"'${ref_date}' AS REF_DATE, COUNT(*) AS NUM_REG, SUM(IF(TRIM(CAST(X."&amp;F648&amp;" AS STRING))='' OR TRIM(CAST(X."&amp;F648&amp;" AS STRING)) IS NULL,1,0)) AS NUM_REG_DIF,'"&amp;MAX('ID1&amp;5'!K:K)+1&amp;"' AS ID_EXEC, CURRENT_TIMESTAMP() AS TIME_EXEC FROM "&amp;I648),
IF(C648="Caracteres Especiais",+"SELECT '"&amp;UPPER(B648)&amp;"' AS TABELA, '"&amp;UPPER(C648)&amp;"' AS TIPOLOGIA_TESTE,'"&amp;D648&amp;"' AS TABELA_LT,'N/A' AS TABELA_SIMUL,'"&amp;F648&amp;"' AS CAMPO, "&amp;"'${ref_date}' AS REF_DATE, COUNT(*) AS NUM_REG, SUM(IF(REGEXP_REPLACE(TRIM(CAST(X."&amp;F648&amp;" AS STRING)),'[^a-zA-Z0-9_\\s]','') &lt;&gt;TRIM(CAST(X."&amp;F648&amp;" AS STRING)),1,0)) AS NUM_REG_DIF,'"&amp;MAX('ID1&amp;5'!K:K)+1&amp;"' AS ID_EXEC, CURRENT_TIMESTAMP() AS TIME_EXEC FROM "&amp;I648,
IF(C648="Missings",+"SELECT '"&amp;UPPER(B648)&amp;"' AS TABELA, '"&amp;UPPER(C648)&amp;"' AS TIPOLOGIA_TESTE,'"&amp;D648&amp;"' AS TABELA_LT,'N/A' AS TABELA_SIMUL,'"&amp;F648&amp;"' AS CAMPO, "&amp;"'${ref_date}' AS REF_DATE, COUNT(*) AS NUM_REG, SUM(IF(TRIM(CAST(X."&amp;F648&amp;" AS STRING)) IN ('0000-00-00','0001-01-01','9999-12-31','MISS','00000','99999999999','99999999999.00','99999999999.000000'),1,0)) AS NUM_REG_DIF,'"&amp;MAX('ID1&amp;5'!K:K)+1&amp;"' AS ID_EXEC, CURRENT_TIMESTAMP() AS TIME_EXEC FROM "&amp;I648,
IF(C648="Not applicable",+"SELECT '"&amp;UPPER(B648)&amp;"' AS TABELA, '"&amp;UPPER(C648)&amp;"' AS TIPOLOGIA_TESTE,'"&amp;D648&amp;"' AS TABELA_LT,'N/A' AS TABELA_SIMUL,'"&amp;F648&amp;"' AS CAMPO, "&amp;"'${ref_date}' AS REF_DATE, COUNT(*) AS NUM_REG, SUM(IF(TRIM(CAST(X."&amp;F648&amp;" AS STRING)) IN ('N/A','11111111111','11111111111.00','11111111111.000000','1111-11-11'),1,0)) AS NUM_REG_DIF,'"&amp;MAX('ID1&amp;5'!K:K)+1&amp;"' AS ID_EXEC, CURRENT_TIMESTAMP() AS TIME_EXEC FROM "&amp;I648,
IF(C648="Valores extremos",+"SELECT '"&amp;UPPER(B648)&amp;"' AS TABELA, '"&amp;UPPER(C648)&amp;"' AS TIPOLOGIA_TESTE,'"&amp;D648&amp;"' AS TABELA_LT,'N/A' AS TABELA_SIMUL,'"&amp;F648&amp;"' AS CAMPO, "&amp;"'${ref_date}' AS REF_DATE, CAST(MIN("&amp;F648&amp;") AS STRING) AS VALOR_MIN, CAST(MAX("&amp;F648&amp;") AS STRING) AS VALOR_MAX,'"&amp;MAX('ID1&amp;5'!K:K)+1&amp;"' AS ID_EXEC, CURRENT_TIMESTAMP() AS TIME_EXEC FROM "&amp;MID(I648,1,LEN(I648)-2)&amp;" AND CAST("&amp;F648&amp;"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TABELA_SIMUL,'vhcl_emssns_lbl' AS CAMPO, '${ref_date}' AS REF_DATE, COUNT(*) AS NUM_REG, SUM(IF(COALESCE(CAST(X.vhcl_emssns_lbl AS STRING),'')&lt;&gt;COALESCE(CAST(Y.vhcl_emssns_lbl_SIMUL AS STRING),'') OR (X.vhcl_emssns_lbl IS NULL AND Y.vhcl_emssns_lbl_SIMUL IS NOT NULL ) OR (X.vhcl_emssns_lbl IS NOT NULL AND Y.vhcl_emssns_lbl_SIMUL IS NULL),1,0)) AS NUM_REG_DIF,'1' AS ID_EXEC, CURRENT_TIMESTAMP() AS TIME_EXEC FROM (SELECT prtctn_id, vhcl_emssns_lbl FROM BU_LOANTAPE_WORK.LT004_PROTECTION WHERE ref_date='${ref_date}' AND nome_perimetro='Individual Local' AND segmento='ESTR' AND ambito='SRB_MBDT' AND entidade='00100')X INNER JOIN (SELECT prtctn_id AS prtctn_id_SIMUL, vhcl_emssns_lbl AS vhcl_emssns_lbl_SIMUL FROM BU_LOANTAPE_WORK.SIMUL_LT004 WHERE ref_date='${ref_date}' AND nome_perimetro='Individual Local' AND segmento='ESTR' AND ambito='PILAR3' AND entidade='00100')Y ON X.PRTCTN_ID=Y.PRTCTN_ID_SIMUL</v>
      </c>
      <c r="M648" s="36" t="str">
        <f t="shared" si="15"/>
        <v>UNION ALL SELECT 'PROTECTION' AS TABELA, 'COERÊNCIA' AS TIPOLOGIA_TESTE,'BU_LOANTAPE_WORK.LT004_PROTECTION' AS TABELA_LT,'BU_LOANTAPE_WORK.SIMUL_LT004' AS TABELA_SIMUL,'vhcl_emssns_lbl' AS CAMPO, '${ref_date}' AS REF_DATE, COUNT(*) AS NUM_REG, SUM(IF(COALESCE(CAST(X.vhcl_emssns_lbl AS STRING),'')&lt;&gt;COALESCE(CAST(Y.vhcl_emssns_lbl_SIMUL AS STRING),'') OR (X.vhcl_emssns_lbl IS NULL AND Y.vhcl_emssns_lbl_SIMUL IS NOT NULL ) OR (X.vhcl_emssns_lbl IS NOT NULL AND Y.vhcl_emssns_lbl_SIMUL IS NULL),1,0)) AS NUM_REG_DIF,'1' AS ID_EXEC, CURRENT_TIMESTAMP() AS TIME_EXEC FROM (SELECT prtctn_id, vhcl_emssns_lbl FROM BU_LOANTAPE_WORK.LT004_PROTECTION WHERE ref_date='${ref_date}' AND nome_perimetro='Individual Local' AND segmento='ESTR' AND ambito='SRB_MBDT' AND entidade='00100')X INNER JOIN (SELECT prtctn_id AS prtctn_id_SIMUL, vhcl_emssns_lbl AS vhcl_emssns_lbl_SIMUL FROM BU_LOANTAPE_WORK.SIMUL_LT004 WHERE ref_date='${ref_date}' AND nome_perimetro='Individual Local' AND segmento='ESTR' AND ambito='PILAR3' AND entidade='00100')Y ON X.PRTCTN_ID=Y.PRTCTN_ID_SIMUL</v>
      </c>
    </row>
    <row r="649" spans="2:13">
      <c r="B649" s="34" t="s">
        <v>119</v>
      </c>
      <c r="C649" s="34" t="s">
        <v>5</v>
      </c>
      <c r="D649" s="34" t="str">
        <f>+UPPER('0. Instruções'!$D$35&amp;"."&amp;VLOOKUP(B649,'0. Instruções'!$C$27:$D$32,2,FALSE))</f>
        <v>BU_LOANTAPE_WORK.LT004_PROTECTION</v>
      </c>
      <c r="E649" s="34" t="str">
        <f>+UPPER('0. Instruções'!$D$36&amp;"."&amp;VLOOKUP(B649,'0. Instruções'!$C$27:$E$32,3,FALSE))</f>
        <v>BU_LOANTAPE_WORK.SIMUL_LT004</v>
      </c>
      <c r="F649" s="34" t="s">
        <v>1566</v>
      </c>
      <c r="G649" s="34"/>
      <c r="H649" s="34"/>
      <c r="I649" s="34" t="str">
        <f>"(SELECT "&amp;VLOOKUP(B649,'0. Instruções'!$C$27:$G$32,4,FALSE)&amp;", "&amp;F649&amp;" FROM "&amp;D649&amp;" WHERE "&amp;'0. Instruções'!$D$42&amp;")X"</f>
        <v>(SELECT prtctn_id, vhcl_emssns_scr FROM BU_LOANTAPE_WORK.LT004_PROTECTION WHERE ref_date='${ref_date}' AND nome_perimetro='Individual Local' AND segmento='ESTR' AND ambito='SRB_MBDT' AND entidade='00100')X</v>
      </c>
      <c r="J649" s="34" t="str">
        <f>"(SELECT "&amp;VLOOKUP(B649,'0. Instruções'!$C$27:$G$32,4,FALSE)&amp;" AS "&amp;VLOOKUP(B649,'0. Instruções'!$C$27:$G$32,4,FALSE)&amp;"_SIMUL, "&amp;F649&amp;" AS "&amp;F649&amp;"_SIMUL FROM "&amp;E649&amp;" WHERE "&amp;'0. Instruções'!$D$43&amp;")Y"</f>
        <v>(SELECT prtctn_id AS prtctn_id_SIMUL, vhcl_emssns_scr AS vhcl_emssns_scr_SIMUL FROM BU_LOANTAPE_WORK.SIMUL_LT004 WHERE ref_date='${ref_date}' AND nome_perimetro='Individual Local' AND segmento='ESTR' AND ambito='PILAR3' AND entidade='00100')Y</v>
      </c>
      <c r="K649" s="35" t="str">
        <f>+UPPER("ON X."&amp;VLOOKUP(B649,'0. Instruções'!$C$27:$G$32,4,FALSE)&amp;"=Y."&amp;VLOOKUP(B649,'0. Instruções'!$C$27:$G$32,4,FALSE)&amp;"_SIMUL")</f>
        <v>ON X.PRTCTN_ID=Y.PRTCTN_ID_SIMUL</v>
      </c>
      <c r="L649" s="35" t="str">
        <f>+IF(C649="Coerência", +IF(LEFT(G649,5)="FLOAT","SELECT '"&amp;UPPER(B649)&amp;"' AS TABELA, '"&amp;UPPER(C649)&amp;"' AS TIPOLOGIA_TESTE,'"&amp;D649&amp;"' AS TABELA_LT,'"&amp;E649&amp;"' AS TABELA_SIMUL,'"&amp;F649&amp;"' AS CAMPO, "&amp;"'${ref_date}' AS REF_DATE, COUNT(*) AS NUM_REG, SUM(IF((ABS(COALESCE(CAST(X."&amp;F649&amp;" AS DECIMAL(18,6)),0)-COALESCE(CAST(Y."&amp;F649&amp;"_SIMUL AS DECIMAL(18,6)),0))&gt;0.000001) OR (X."&amp;F649&amp;" IS NULL AND Y."&amp;F649&amp;"_SIMUL IS NOT NULL ) OR (X."&amp;F649&amp;" IS NOT NULL AND Y."&amp;F649&amp;"_SIMUL IS NULL),1,0)) AS NUM_REG_DIF,'"&amp;MAX('ID1&amp;5'!K:K)+1&amp;"' AS ID_EXEC, CURRENT_TIMESTAMP() AS TIME_EXEC FROM "&amp;I649&amp;" INNER JOIN "&amp;J649&amp;" "&amp;K649,"SELECT '"&amp;UPPER(B649)&amp;"' AS TABELA, '"&amp;UPPER(C649)&amp;"' AS TIPOLOGIA_TESTE,'"&amp;D649&amp;"' AS TABELA_LT,'"&amp;E649&amp;"' AS TABELA_SIMUL,'"&amp;F649&amp;"' AS CAMPO, "&amp;"'${ref_date}' AS REF_DATE, COUNT(*) AS NUM_REG, SUM(IF(COALESCE(CAST(X."&amp;F649&amp;" AS STRING),'')&lt;&gt;COALESCE(CAST(Y."&amp;F649&amp;"_SIMUL AS STRING),'') OR (X."&amp;F649&amp;" IS NULL AND Y."&amp;F649&amp;"_SIMUL IS NOT NULL ) OR (X."&amp;F649&amp;" IS NOT NULL AND Y."&amp;F649&amp;"_SIMUL IS NULL),1,0)) AS NUM_REG_DIF,'"&amp;MAX('ID1&amp;5'!L:L)+1&amp;"' AS ID_EXEC, CURRENT_TIMESTAMP() AS TIME_EXEC FROM "&amp;I649&amp;" INNER JOIN "&amp;J649&amp;" "&amp;K649),
IF(C649="Validade",+IF(G649="Code List","SELECT '"&amp;UPPER(B649)&amp;"' AS TABELA, '"&amp;UPPER(C649)&amp;"' AS TIPOLOGIA_TESTE,'"&amp;D649&amp;"' AS TABELA_LT,'N/A' AS TABELA_SIMUL,'"&amp;F649&amp;"' AS CAMPO, "&amp;"'${ref_date}' AS REF_DATE, COUNT(*) AS NUM_REG, SUM(IF(TRIM(CAST(X."&amp;F649&amp;" AS STRING))='' OR TRIM(CAST(X."&amp;F649&amp;" AS STRING)) IS NULL OR CAST(X."&amp;F649&amp;" AS STRING) NOT "&amp;H649&amp;",1,0)) AS NUM_REG_DIF,'"&amp;MAX('ID1&amp;5'!K:K)+1&amp;"' AS ID_EXEC, CURRENT_TIMESTAMP() AS TIME_EXEC FROM "&amp;I649,"SELECT '"&amp;UPPER(B649)&amp;"' AS TABELA, '"&amp;UPPER(C649)&amp;"' AS TIPOLOGIA_TESTE,'"&amp;D649&amp;"' AS TABELA_LT,'N/A' AS TABELA_SIMUL,'"&amp;F649&amp;"' AS CAMPO, "&amp;"'${ref_date}' AS REF_DATE, COUNT(*) AS NUM_REG, SUM(IF(TRIM(CAST(X."&amp;F649&amp;" AS STRING))='' OR TRIM(CAST(X."&amp;F649&amp;" AS STRING)) IS NULL,1,0)) AS NUM_REG_DIF,'"&amp;MAX('ID1&amp;5'!K:K)+1&amp;"' AS ID_EXEC, CURRENT_TIMESTAMP() AS TIME_EXEC FROM "&amp;I649),
IF(C649="Caracteres Especiais",+"SELECT '"&amp;UPPER(B649)&amp;"' AS TABELA, '"&amp;UPPER(C649)&amp;"' AS TIPOLOGIA_TESTE,'"&amp;D649&amp;"' AS TABELA_LT,'N/A' AS TABELA_SIMUL,'"&amp;F649&amp;"' AS CAMPO, "&amp;"'${ref_date}' AS REF_DATE, COUNT(*) AS NUM_REG, SUM(IF(REGEXP_REPLACE(TRIM(CAST(X."&amp;F649&amp;" AS STRING)),'[^a-zA-Z0-9_\\s]','') &lt;&gt;TRIM(CAST(X."&amp;F649&amp;" AS STRING)),1,0)) AS NUM_REG_DIF,'"&amp;MAX('ID1&amp;5'!K:K)+1&amp;"' AS ID_EXEC, CURRENT_TIMESTAMP() AS TIME_EXEC FROM "&amp;I649,
IF(C649="Missings",+"SELECT '"&amp;UPPER(B649)&amp;"' AS TABELA, '"&amp;UPPER(C649)&amp;"' AS TIPOLOGIA_TESTE,'"&amp;D649&amp;"' AS TABELA_LT,'N/A' AS TABELA_SIMUL,'"&amp;F649&amp;"' AS CAMPO, "&amp;"'${ref_date}' AS REF_DATE, COUNT(*) AS NUM_REG, SUM(IF(TRIM(CAST(X."&amp;F649&amp;" AS STRING)) IN ('0000-00-00','0001-01-01','9999-12-31','MISS','00000','99999999999','99999999999.00','99999999999.000000'),1,0)) AS NUM_REG_DIF,'"&amp;MAX('ID1&amp;5'!K:K)+1&amp;"' AS ID_EXEC, CURRENT_TIMESTAMP() AS TIME_EXEC FROM "&amp;I649,
IF(C649="Not applicable",+"SELECT '"&amp;UPPER(B649)&amp;"' AS TABELA, '"&amp;UPPER(C649)&amp;"' AS TIPOLOGIA_TESTE,'"&amp;D649&amp;"' AS TABELA_LT,'N/A' AS TABELA_SIMUL,'"&amp;F649&amp;"' AS CAMPO, "&amp;"'${ref_date}' AS REF_DATE, COUNT(*) AS NUM_REG, SUM(IF(TRIM(CAST(X."&amp;F649&amp;" AS STRING)) IN ('N/A','11111111111','11111111111.00','11111111111.000000','1111-11-11'),1,0)) AS NUM_REG_DIF,'"&amp;MAX('ID1&amp;5'!K:K)+1&amp;"' AS ID_EXEC, CURRENT_TIMESTAMP() AS TIME_EXEC FROM "&amp;I649,
IF(C649="Valores extremos",+"SELECT '"&amp;UPPER(B649)&amp;"' AS TABELA, '"&amp;UPPER(C649)&amp;"' AS TIPOLOGIA_TESTE,'"&amp;D649&amp;"' AS TABELA_LT,'N/A' AS TABELA_SIMUL,'"&amp;F649&amp;"' AS CAMPO, "&amp;"'${ref_date}' AS REF_DATE, CAST(MIN("&amp;F649&amp;") AS STRING) AS VALOR_MIN, CAST(MAX("&amp;F649&amp;") AS STRING) AS VALOR_MAX,'"&amp;MAX('ID1&amp;5'!K:K)+1&amp;"' AS ID_EXEC, CURRENT_TIMESTAMP() AS TIME_EXEC FROM "&amp;MID(I649,1,LEN(I649)-2)&amp;" AND CAST("&amp;F649&amp;"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TABELA_SIMUL,'vhcl_emssns_scr' AS CAMPO, '${ref_date}' AS REF_DATE, COUNT(*) AS NUM_REG, SUM(IF(COALESCE(CAST(X.vhcl_emssns_scr AS STRING),'')&lt;&gt;COALESCE(CAST(Y.vhcl_emssns_scr_SIMUL AS STRING),'') OR (X.vhcl_emssns_scr IS NULL AND Y.vhcl_emssns_scr_SIMUL IS NOT NULL ) OR (X.vhcl_emssns_scr IS NOT NULL AND Y.vhcl_emssns_scr_SIMUL IS NULL),1,0)) AS NUM_REG_DIF,'1' AS ID_EXEC, CURRENT_TIMESTAMP() AS TIME_EXEC FROM (SELECT prtctn_id, vhcl_emssns_scr FROM BU_LOANTAPE_WORK.LT004_PROTECTION WHERE ref_date='${ref_date}' AND nome_perimetro='Individual Local' AND segmento='ESTR' AND ambito='SRB_MBDT' AND entidade='00100')X INNER JOIN (SELECT prtctn_id AS prtctn_id_SIMUL, vhcl_emssns_scr AS vhcl_emssns_scr_SIMUL FROM BU_LOANTAPE_WORK.SIMUL_LT004 WHERE ref_date='${ref_date}' AND nome_perimetro='Individual Local' AND segmento='ESTR' AND ambito='PILAR3' AND entidade='00100')Y ON X.PRTCTN_ID=Y.PRTCTN_ID_SIMUL</v>
      </c>
      <c r="M649" s="36" t="str">
        <f t="shared" si="15"/>
        <v>UNION ALL SELECT 'PROTECTION' AS TABELA, 'COERÊNCIA' AS TIPOLOGIA_TESTE,'BU_LOANTAPE_WORK.LT004_PROTECTION' AS TABELA_LT,'BU_LOANTAPE_WORK.SIMUL_LT004' AS TABELA_SIMUL,'vhcl_emssns_scr' AS CAMPO, '${ref_date}' AS REF_DATE, COUNT(*) AS NUM_REG, SUM(IF(COALESCE(CAST(X.vhcl_emssns_scr AS STRING),'')&lt;&gt;COALESCE(CAST(Y.vhcl_emssns_scr_SIMUL AS STRING),'') OR (X.vhcl_emssns_scr IS NULL AND Y.vhcl_emssns_scr_SIMUL IS NOT NULL ) OR (X.vhcl_emssns_scr IS NOT NULL AND Y.vhcl_emssns_scr_SIMUL IS NULL),1,0)) AS NUM_REG_DIF,'1' AS ID_EXEC, CURRENT_TIMESTAMP() AS TIME_EXEC FROM (SELECT prtctn_id, vhcl_emssns_scr FROM BU_LOANTAPE_WORK.LT004_PROTECTION WHERE ref_date='${ref_date}' AND nome_perimetro='Individual Local' AND segmento='ESTR' AND ambito='SRB_MBDT' AND entidade='00100')X INNER JOIN (SELECT prtctn_id AS prtctn_id_SIMUL, vhcl_emssns_scr AS vhcl_emssns_scr_SIMUL FROM BU_LOANTAPE_WORK.SIMUL_LT004 WHERE ref_date='${ref_date}' AND nome_perimetro='Individual Local' AND segmento='ESTR' AND ambito='PILAR3' AND entidade='00100')Y ON X.PRTCTN_ID=Y.PRTCTN_ID_SIMUL</v>
      </c>
    </row>
    <row r="650" spans="2:13">
      <c r="B650" s="34" t="s">
        <v>119</v>
      </c>
      <c r="C650" s="34" t="s">
        <v>5</v>
      </c>
      <c r="D650" s="34" t="str">
        <f>+UPPER('0. Instruções'!$D$35&amp;"."&amp;VLOOKUP(B650,'0. Instruções'!$C$27:$D$32,2,FALSE))</f>
        <v>BU_LOANTAPE_WORK.LT004_PROTECTION</v>
      </c>
      <c r="E650" s="34" t="str">
        <f>+UPPER('0. Instruções'!$D$36&amp;"."&amp;VLOOKUP(B650,'0. Instruções'!$C$27:$E$32,3,FALSE))</f>
        <v>BU_LOANTAPE_WORK.SIMUL_LT004</v>
      </c>
      <c r="F650" s="34" t="s">
        <v>1567</v>
      </c>
      <c r="G650" s="34"/>
      <c r="H650" s="34"/>
      <c r="I650" s="34" t="str">
        <f>"(SELECT "&amp;VLOOKUP(B650,'0. Instruções'!$C$27:$G$32,4,FALSE)&amp;", "&amp;F650&amp;" FROM "&amp;D650&amp;" WHERE "&amp;'0. Instruções'!$D$42&amp;")X"</f>
        <v>(SELECT prtctn_id, flg_elctrc_vhcl FROM BU_LOANTAPE_WORK.LT004_PROTECTION WHERE ref_date='${ref_date}' AND nome_perimetro='Individual Local' AND segmento='ESTR' AND ambito='SRB_MBDT' AND entidade='00100')X</v>
      </c>
      <c r="J650" s="34" t="str">
        <f>"(SELECT "&amp;VLOOKUP(B650,'0. Instruções'!$C$27:$G$32,4,FALSE)&amp;" AS "&amp;VLOOKUP(B650,'0. Instruções'!$C$27:$G$32,4,FALSE)&amp;"_SIMUL, "&amp;F650&amp;" AS "&amp;F650&amp;"_SIMUL FROM "&amp;E650&amp;" WHERE "&amp;'0. Instruções'!$D$43&amp;")Y"</f>
        <v>(SELECT prtctn_id AS prtctn_id_SIMUL, flg_elctrc_vhcl AS flg_elctrc_vhcl_SIMUL FROM BU_LOANTAPE_WORK.SIMUL_LT004 WHERE ref_date='${ref_date}' AND nome_perimetro='Individual Local' AND segmento='ESTR' AND ambito='PILAR3' AND entidade='00100')Y</v>
      </c>
      <c r="K650" s="35" t="str">
        <f>+UPPER("ON X."&amp;VLOOKUP(B650,'0. Instruções'!$C$27:$G$32,4,FALSE)&amp;"=Y."&amp;VLOOKUP(B650,'0. Instruções'!$C$27:$G$32,4,FALSE)&amp;"_SIMUL")</f>
        <v>ON X.PRTCTN_ID=Y.PRTCTN_ID_SIMUL</v>
      </c>
      <c r="L650" s="35" t="str">
        <f>+IF(C650="Coerência", +IF(LEFT(G650,5)="FLOAT","SELECT '"&amp;UPPER(B650)&amp;"' AS TABELA, '"&amp;UPPER(C650)&amp;"' AS TIPOLOGIA_TESTE,'"&amp;D650&amp;"' AS TABELA_LT,'"&amp;E650&amp;"' AS TABELA_SIMUL,'"&amp;F650&amp;"' AS CAMPO, "&amp;"'${ref_date}' AS REF_DATE, COUNT(*) AS NUM_REG, SUM(IF((ABS(COALESCE(CAST(X."&amp;F650&amp;" AS DECIMAL(18,6)),0)-COALESCE(CAST(Y."&amp;F650&amp;"_SIMUL AS DECIMAL(18,6)),0))&gt;0.000001) OR (X."&amp;F650&amp;" IS NULL AND Y."&amp;F650&amp;"_SIMUL IS NOT NULL ) OR (X."&amp;F650&amp;" IS NOT NULL AND Y."&amp;F650&amp;"_SIMUL IS NULL),1,0)) AS NUM_REG_DIF,'"&amp;MAX('ID1&amp;5'!K:K)+1&amp;"' AS ID_EXEC, CURRENT_TIMESTAMP() AS TIME_EXEC FROM "&amp;I650&amp;" INNER JOIN "&amp;J650&amp;" "&amp;K650,"SELECT '"&amp;UPPER(B650)&amp;"' AS TABELA, '"&amp;UPPER(C650)&amp;"' AS TIPOLOGIA_TESTE,'"&amp;D650&amp;"' AS TABELA_LT,'"&amp;E650&amp;"' AS TABELA_SIMUL,'"&amp;F650&amp;"' AS CAMPO, "&amp;"'${ref_date}' AS REF_DATE, COUNT(*) AS NUM_REG, SUM(IF(COALESCE(CAST(X."&amp;F650&amp;" AS STRING),'')&lt;&gt;COALESCE(CAST(Y."&amp;F650&amp;"_SIMUL AS STRING),'') OR (X."&amp;F650&amp;" IS NULL AND Y."&amp;F650&amp;"_SIMUL IS NOT NULL ) OR (X."&amp;F650&amp;" IS NOT NULL AND Y."&amp;F650&amp;"_SIMUL IS NULL),1,0)) AS NUM_REG_DIF,'"&amp;MAX('ID1&amp;5'!L:L)+1&amp;"' AS ID_EXEC, CURRENT_TIMESTAMP() AS TIME_EXEC FROM "&amp;I650&amp;" INNER JOIN "&amp;J650&amp;" "&amp;K650),
IF(C650="Validade",+IF(G650="Code List","SELECT '"&amp;UPPER(B650)&amp;"' AS TABELA, '"&amp;UPPER(C650)&amp;"' AS TIPOLOGIA_TESTE,'"&amp;D650&amp;"' AS TABELA_LT,'N/A' AS TABELA_SIMUL,'"&amp;F650&amp;"' AS CAMPO, "&amp;"'${ref_date}' AS REF_DATE, COUNT(*) AS NUM_REG, SUM(IF(TRIM(CAST(X."&amp;F650&amp;" AS STRING))='' OR TRIM(CAST(X."&amp;F650&amp;" AS STRING)) IS NULL OR CAST(X."&amp;F650&amp;" AS STRING) NOT "&amp;H650&amp;",1,0)) AS NUM_REG_DIF,'"&amp;MAX('ID1&amp;5'!K:K)+1&amp;"' AS ID_EXEC, CURRENT_TIMESTAMP() AS TIME_EXEC FROM "&amp;I650,"SELECT '"&amp;UPPER(B650)&amp;"' AS TABELA, '"&amp;UPPER(C650)&amp;"' AS TIPOLOGIA_TESTE,'"&amp;D650&amp;"' AS TABELA_LT,'N/A' AS TABELA_SIMUL,'"&amp;F650&amp;"' AS CAMPO, "&amp;"'${ref_date}' AS REF_DATE, COUNT(*) AS NUM_REG, SUM(IF(TRIM(CAST(X."&amp;F650&amp;" AS STRING))='' OR TRIM(CAST(X."&amp;F650&amp;" AS STRING)) IS NULL,1,0)) AS NUM_REG_DIF,'"&amp;MAX('ID1&amp;5'!K:K)+1&amp;"' AS ID_EXEC, CURRENT_TIMESTAMP() AS TIME_EXEC FROM "&amp;I650),
IF(C650="Caracteres Especiais",+"SELECT '"&amp;UPPER(B650)&amp;"' AS TABELA, '"&amp;UPPER(C650)&amp;"' AS TIPOLOGIA_TESTE,'"&amp;D650&amp;"' AS TABELA_LT,'N/A' AS TABELA_SIMUL,'"&amp;F650&amp;"' AS CAMPO, "&amp;"'${ref_date}' AS REF_DATE, COUNT(*) AS NUM_REG, SUM(IF(REGEXP_REPLACE(TRIM(CAST(X."&amp;F650&amp;" AS STRING)),'[^a-zA-Z0-9_\\s]','') &lt;&gt;TRIM(CAST(X."&amp;F650&amp;" AS STRING)),1,0)) AS NUM_REG_DIF,'"&amp;MAX('ID1&amp;5'!K:K)+1&amp;"' AS ID_EXEC, CURRENT_TIMESTAMP() AS TIME_EXEC FROM "&amp;I650,
IF(C650="Missings",+"SELECT '"&amp;UPPER(B650)&amp;"' AS TABELA, '"&amp;UPPER(C650)&amp;"' AS TIPOLOGIA_TESTE,'"&amp;D650&amp;"' AS TABELA_LT,'N/A' AS TABELA_SIMUL,'"&amp;F650&amp;"' AS CAMPO, "&amp;"'${ref_date}' AS REF_DATE, COUNT(*) AS NUM_REG, SUM(IF(TRIM(CAST(X."&amp;F650&amp;" AS STRING)) IN ('0000-00-00','0001-01-01','9999-12-31','MISS','00000','99999999999','99999999999.00','99999999999.000000'),1,0)) AS NUM_REG_DIF,'"&amp;MAX('ID1&amp;5'!K:K)+1&amp;"' AS ID_EXEC, CURRENT_TIMESTAMP() AS TIME_EXEC FROM "&amp;I650,
IF(C650="Not applicable",+"SELECT '"&amp;UPPER(B650)&amp;"' AS TABELA, '"&amp;UPPER(C650)&amp;"' AS TIPOLOGIA_TESTE,'"&amp;D650&amp;"' AS TABELA_LT,'N/A' AS TABELA_SIMUL,'"&amp;F650&amp;"' AS CAMPO, "&amp;"'${ref_date}' AS REF_DATE, COUNT(*) AS NUM_REG, SUM(IF(TRIM(CAST(X."&amp;F650&amp;" AS STRING)) IN ('N/A','11111111111','11111111111.00','11111111111.000000','1111-11-11'),1,0)) AS NUM_REG_DIF,'"&amp;MAX('ID1&amp;5'!K:K)+1&amp;"' AS ID_EXEC, CURRENT_TIMESTAMP() AS TIME_EXEC FROM "&amp;I650,
IF(C650="Valores extremos",+"SELECT '"&amp;UPPER(B650)&amp;"' AS TABELA, '"&amp;UPPER(C650)&amp;"' AS TIPOLOGIA_TESTE,'"&amp;D650&amp;"' AS TABELA_LT,'N/A' AS TABELA_SIMUL,'"&amp;F650&amp;"' AS CAMPO, "&amp;"'${ref_date}' AS REF_DATE, CAST(MIN("&amp;F650&amp;") AS STRING) AS VALOR_MIN, CAST(MAX("&amp;F650&amp;") AS STRING) AS VALOR_MAX,'"&amp;MAX('ID1&amp;5'!K:K)+1&amp;"' AS ID_EXEC, CURRENT_TIMESTAMP() AS TIME_EXEC FROM "&amp;MID(I650,1,LEN(I650)-2)&amp;" AND CAST("&amp;F650&amp;"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TABELA_SIMUL,'flg_elctrc_vhcl' AS CAMPO, '${ref_date}' AS REF_DATE, COUNT(*) AS NUM_REG, SUM(IF(COALESCE(CAST(X.flg_elctrc_vhcl AS STRING),'')&lt;&gt;COALESCE(CAST(Y.flg_elctrc_vhcl_SIMUL AS STRING),'') OR (X.flg_elctrc_vhcl IS NULL AND Y.flg_elctrc_vhcl_SIMUL IS NOT NULL ) OR (X.flg_elctrc_vhcl IS NOT NULL AND Y.flg_elctrc_vhcl_SIMUL IS NULL),1,0)) AS NUM_REG_DIF,'1' AS ID_EXEC, CURRENT_TIMESTAMP() AS TIME_EXEC FROM (SELECT prtctn_id, flg_elctrc_vhcl FROM BU_LOANTAPE_WORK.LT004_PROTECTION WHERE ref_date='${ref_date}' AND nome_perimetro='Individual Local' AND segmento='ESTR' AND ambito='SRB_MBDT' AND entidade='00100')X INNER JOIN (SELECT prtctn_id AS prtctn_id_SIMUL, flg_elctrc_vhcl AS flg_elctrc_vhcl_SIMUL FROM BU_LOANTAPE_WORK.SIMUL_LT004 WHERE ref_date='${ref_date}' AND nome_perimetro='Individual Local' AND segmento='ESTR' AND ambito='PILAR3' AND entidade='00100')Y ON X.PRTCTN_ID=Y.PRTCTN_ID_SIMUL</v>
      </c>
      <c r="M650" s="36" t="str">
        <f t="shared" si="15"/>
        <v>UNION ALL SELECT 'PROTECTION' AS TABELA, 'COERÊNCIA' AS TIPOLOGIA_TESTE,'BU_LOANTAPE_WORK.LT004_PROTECTION' AS TABELA_LT,'BU_LOANTAPE_WORK.SIMUL_LT004' AS TABELA_SIMUL,'flg_elctrc_vhcl' AS CAMPO, '${ref_date}' AS REF_DATE, COUNT(*) AS NUM_REG, SUM(IF(COALESCE(CAST(X.flg_elctrc_vhcl AS STRING),'')&lt;&gt;COALESCE(CAST(Y.flg_elctrc_vhcl_SIMUL AS STRING),'') OR (X.flg_elctrc_vhcl IS NULL AND Y.flg_elctrc_vhcl_SIMUL IS NOT NULL ) OR (X.flg_elctrc_vhcl IS NOT NULL AND Y.flg_elctrc_vhcl_SIMUL IS NULL),1,0)) AS NUM_REG_DIF,'1' AS ID_EXEC, CURRENT_TIMESTAMP() AS TIME_EXEC FROM (SELECT prtctn_id, flg_elctrc_vhcl FROM BU_LOANTAPE_WORK.LT004_PROTECTION WHERE ref_date='${ref_date}' AND nome_perimetro='Individual Local' AND segmento='ESTR' AND ambito='SRB_MBDT' AND entidade='00100')X INNER JOIN (SELECT prtctn_id AS prtctn_id_SIMUL, flg_elctrc_vhcl AS flg_elctrc_vhcl_SIMUL FROM BU_LOANTAPE_WORK.SIMUL_LT004 WHERE ref_date='${ref_date}' AND nome_perimetro='Individual Local' AND segmento='ESTR' AND ambito='PILAR3' AND entidade='00100')Y ON X.PRTCTN_ID=Y.PRTCTN_ID_SIMUL</v>
      </c>
    </row>
    <row r="651" spans="2:13">
      <c r="B651" s="34" t="s">
        <v>119</v>
      </c>
      <c r="C651" s="34" t="s">
        <v>5</v>
      </c>
      <c r="D651" s="34" t="str">
        <f>+UPPER('0. Instruções'!$D$35&amp;"."&amp;VLOOKUP(B651,'0. Instruções'!$C$27:$D$32,2,FALSE))</f>
        <v>BU_LOANTAPE_WORK.LT004_PROTECTION</v>
      </c>
      <c r="E651" s="34" t="str">
        <f>+UPPER('0. Instruções'!$D$36&amp;"."&amp;VLOOKUP(B651,'0. Instruções'!$C$27:$E$32,3,FALSE))</f>
        <v>BU_LOANTAPE_WORK.SIMUL_LT004</v>
      </c>
      <c r="F651" s="34" t="s">
        <v>1568</v>
      </c>
      <c r="G651" s="34"/>
      <c r="H651" s="34"/>
      <c r="I651" s="34" t="str">
        <f>"(SELECT "&amp;VLOOKUP(B651,'0. Instruções'!$C$27:$G$32,4,FALSE)&amp;", "&amp;F651&amp;" FROM "&amp;D651&amp;" WHERE "&amp;'0. Instruções'!$D$42&amp;")X"</f>
        <v>(SELECT prtctn_id, flg_scrd FROM BU_LOANTAPE_WORK.LT004_PROTECTION WHERE ref_date='${ref_date}' AND nome_perimetro='Individual Local' AND segmento='ESTR' AND ambito='SRB_MBDT' AND entidade='00100')X</v>
      </c>
      <c r="J651" s="34" t="str">
        <f>"(SELECT "&amp;VLOOKUP(B651,'0. Instruções'!$C$27:$G$32,4,FALSE)&amp;" AS "&amp;VLOOKUP(B651,'0. Instruções'!$C$27:$G$32,4,FALSE)&amp;"_SIMUL, "&amp;F651&amp;" AS "&amp;F651&amp;"_SIMUL FROM "&amp;E651&amp;" WHERE "&amp;'0. Instruções'!$D$43&amp;")Y"</f>
        <v>(SELECT prtctn_id AS prtctn_id_SIMUL, flg_scrd AS flg_scrd_SIMUL FROM BU_LOANTAPE_WORK.SIMUL_LT004 WHERE ref_date='${ref_date}' AND nome_perimetro='Individual Local' AND segmento='ESTR' AND ambito='PILAR3' AND entidade='00100')Y</v>
      </c>
      <c r="K651" s="35" t="str">
        <f>+UPPER("ON X."&amp;VLOOKUP(B651,'0. Instruções'!$C$27:$G$32,4,FALSE)&amp;"=Y."&amp;VLOOKUP(B651,'0. Instruções'!$C$27:$G$32,4,FALSE)&amp;"_SIMUL")</f>
        <v>ON X.PRTCTN_ID=Y.PRTCTN_ID_SIMUL</v>
      </c>
      <c r="L651" s="35" t="str">
        <f>+IF(C651="Coerência", +IF(LEFT(G651,5)="FLOAT","SELECT '"&amp;UPPER(B651)&amp;"' AS TABELA, '"&amp;UPPER(C651)&amp;"' AS TIPOLOGIA_TESTE,'"&amp;D651&amp;"' AS TABELA_LT,'"&amp;E651&amp;"' AS TABELA_SIMUL,'"&amp;F651&amp;"' AS CAMPO, "&amp;"'${ref_date}' AS REF_DATE, COUNT(*) AS NUM_REG, SUM(IF((ABS(COALESCE(CAST(X."&amp;F651&amp;" AS DECIMAL(18,6)),0)-COALESCE(CAST(Y."&amp;F651&amp;"_SIMUL AS DECIMAL(18,6)),0))&gt;0.000001) OR (X."&amp;F651&amp;" IS NULL AND Y."&amp;F651&amp;"_SIMUL IS NOT NULL ) OR (X."&amp;F651&amp;" IS NOT NULL AND Y."&amp;F651&amp;"_SIMUL IS NULL),1,0)) AS NUM_REG_DIF,'"&amp;MAX('ID1&amp;5'!K:K)+1&amp;"' AS ID_EXEC, CURRENT_TIMESTAMP() AS TIME_EXEC FROM "&amp;I651&amp;" INNER JOIN "&amp;J651&amp;" "&amp;K651,"SELECT '"&amp;UPPER(B651)&amp;"' AS TABELA, '"&amp;UPPER(C651)&amp;"' AS TIPOLOGIA_TESTE,'"&amp;D651&amp;"' AS TABELA_LT,'"&amp;E651&amp;"' AS TABELA_SIMUL,'"&amp;F651&amp;"' AS CAMPO, "&amp;"'${ref_date}' AS REF_DATE, COUNT(*) AS NUM_REG, SUM(IF(COALESCE(CAST(X."&amp;F651&amp;" AS STRING),'')&lt;&gt;COALESCE(CAST(Y."&amp;F651&amp;"_SIMUL AS STRING),'') OR (X."&amp;F651&amp;" IS NULL AND Y."&amp;F651&amp;"_SIMUL IS NOT NULL ) OR (X."&amp;F651&amp;" IS NOT NULL AND Y."&amp;F651&amp;"_SIMUL IS NULL),1,0)) AS NUM_REG_DIF,'"&amp;MAX('ID1&amp;5'!L:L)+1&amp;"' AS ID_EXEC, CURRENT_TIMESTAMP() AS TIME_EXEC FROM "&amp;I651&amp;" INNER JOIN "&amp;J651&amp;" "&amp;K651),
IF(C651="Validade",+IF(G651="Code List","SELECT '"&amp;UPPER(B651)&amp;"' AS TABELA, '"&amp;UPPER(C651)&amp;"' AS TIPOLOGIA_TESTE,'"&amp;D651&amp;"' AS TABELA_LT,'N/A' AS TABELA_SIMUL,'"&amp;F651&amp;"' AS CAMPO, "&amp;"'${ref_date}' AS REF_DATE, COUNT(*) AS NUM_REG, SUM(IF(TRIM(CAST(X."&amp;F651&amp;" AS STRING))='' OR TRIM(CAST(X."&amp;F651&amp;" AS STRING)) IS NULL OR CAST(X."&amp;F651&amp;" AS STRING) NOT "&amp;H651&amp;",1,0)) AS NUM_REG_DIF,'"&amp;MAX('ID1&amp;5'!K:K)+1&amp;"' AS ID_EXEC, CURRENT_TIMESTAMP() AS TIME_EXEC FROM "&amp;I651,"SELECT '"&amp;UPPER(B651)&amp;"' AS TABELA, '"&amp;UPPER(C651)&amp;"' AS TIPOLOGIA_TESTE,'"&amp;D651&amp;"' AS TABELA_LT,'N/A' AS TABELA_SIMUL,'"&amp;F651&amp;"' AS CAMPO, "&amp;"'${ref_date}' AS REF_DATE, COUNT(*) AS NUM_REG, SUM(IF(TRIM(CAST(X."&amp;F651&amp;" AS STRING))='' OR TRIM(CAST(X."&amp;F651&amp;" AS STRING)) IS NULL,1,0)) AS NUM_REG_DIF,'"&amp;MAX('ID1&amp;5'!K:K)+1&amp;"' AS ID_EXEC, CURRENT_TIMESTAMP() AS TIME_EXEC FROM "&amp;I651),
IF(C651="Caracteres Especiais",+"SELECT '"&amp;UPPER(B651)&amp;"' AS TABELA, '"&amp;UPPER(C651)&amp;"' AS TIPOLOGIA_TESTE,'"&amp;D651&amp;"' AS TABELA_LT,'N/A' AS TABELA_SIMUL,'"&amp;F651&amp;"' AS CAMPO, "&amp;"'${ref_date}' AS REF_DATE, COUNT(*) AS NUM_REG, SUM(IF(REGEXP_REPLACE(TRIM(CAST(X."&amp;F651&amp;" AS STRING)),'[^a-zA-Z0-9_\\s]','') &lt;&gt;TRIM(CAST(X."&amp;F651&amp;" AS STRING)),1,0)) AS NUM_REG_DIF,'"&amp;MAX('ID1&amp;5'!K:K)+1&amp;"' AS ID_EXEC, CURRENT_TIMESTAMP() AS TIME_EXEC FROM "&amp;I651,
IF(C651="Missings",+"SELECT '"&amp;UPPER(B651)&amp;"' AS TABELA, '"&amp;UPPER(C651)&amp;"' AS TIPOLOGIA_TESTE,'"&amp;D651&amp;"' AS TABELA_LT,'N/A' AS TABELA_SIMUL,'"&amp;F651&amp;"' AS CAMPO, "&amp;"'${ref_date}' AS REF_DATE, COUNT(*) AS NUM_REG, SUM(IF(TRIM(CAST(X."&amp;F651&amp;" AS STRING)) IN ('0000-00-00','0001-01-01','9999-12-31','MISS','00000','99999999999','99999999999.00','99999999999.000000'),1,0)) AS NUM_REG_DIF,'"&amp;MAX('ID1&amp;5'!K:K)+1&amp;"' AS ID_EXEC, CURRENT_TIMESTAMP() AS TIME_EXEC FROM "&amp;I651,
IF(C651="Not applicable",+"SELECT '"&amp;UPPER(B651)&amp;"' AS TABELA, '"&amp;UPPER(C651)&amp;"' AS TIPOLOGIA_TESTE,'"&amp;D651&amp;"' AS TABELA_LT,'N/A' AS TABELA_SIMUL,'"&amp;F651&amp;"' AS CAMPO, "&amp;"'${ref_date}' AS REF_DATE, COUNT(*) AS NUM_REG, SUM(IF(TRIM(CAST(X."&amp;F651&amp;" AS STRING)) IN ('N/A','11111111111','11111111111.00','11111111111.000000','1111-11-11'),1,0)) AS NUM_REG_DIF,'"&amp;MAX('ID1&amp;5'!K:K)+1&amp;"' AS ID_EXEC, CURRENT_TIMESTAMP() AS TIME_EXEC FROM "&amp;I651,
IF(C651="Valores extremos",+"SELECT '"&amp;UPPER(B651)&amp;"' AS TABELA, '"&amp;UPPER(C651)&amp;"' AS TIPOLOGIA_TESTE,'"&amp;D651&amp;"' AS TABELA_LT,'N/A' AS TABELA_SIMUL,'"&amp;F651&amp;"' AS CAMPO, "&amp;"'${ref_date}' AS REF_DATE, CAST(MIN("&amp;F651&amp;") AS STRING) AS VALOR_MIN, CAST(MAX("&amp;F651&amp;") AS STRING) AS VALOR_MAX,'"&amp;MAX('ID1&amp;5'!K:K)+1&amp;"' AS ID_EXEC, CURRENT_TIMESTAMP() AS TIME_EXEC FROM "&amp;MID(I651,1,LEN(I651)-2)&amp;" AND CAST("&amp;F651&amp;"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TABELA_LT,'BU_LOANTAPE_WORK.SIMUL_LT004' AS TABELA_SIMUL,'flg_scrd' AS CAMPO, '${ref_date}' AS REF_DATE, COUNT(*) AS NUM_REG, SUM(IF(COALESCE(CAST(X.flg_scrd AS STRING),'')&lt;&gt;COALESCE(CAST(Y.flg_scrd_SIMUL AS STRING),'') OR (X.flg_scrd IS NULL AND Y.flg_scrd_SIMUL IS NOT NULL ) OR (X.flg_scrd IS NOT NULL AND Y.flg_scrd_SIMUL IS NULL),1,0)) AS NUM_REG_DIF,'1' AS ID_EXEC, CURRENT_TIMESTAMP() AS TIME_EXEC FROM (SELECT prtctn_id, flg_scrd FROM BU_LOANTAPE_WORK.LT004_PROTECTION WHERE ref_date='${ref_date}' AND nome_perimetro='Individual Local' AND segmento='ESTR' AND ambito='SRB_MBDT' AND entidade='00100')X INNER JOIN (SELECT prtctn_id AS prtctn_id_SIMUL, flg_scrd AS flg_scrd_SIMUL FROM BU_LOANTAPE_WORK.SIMUL_LT004 WHERE ref_date='${ref_date}' AND nome_perimetro='Individual Local' AND segmento='ESTR' AND ambito='PILAR3' AND entidade='00100')Y ON X.PRTCTN_ID=Y.PRTCTN_ID_SIMUL</v>
      </c>
      <c r="M651" s="36" t="str">
        <f t="shared" si="15"/>
        <v>UNION ALL SELECT 'PROTECTION' AS TABELA, 'COERÊNCIA' AS TIPOLOGIA_TESTE,'BU_LOANTAPE_WORK.LT004_PROTECTION' AS TABELA_LT,'BU_LOANTAPE_WORK.SIMUL_LT004' AS TABELA_SIMUL,'flg_scrd' AS CAMPO, '${ref_date}' AS REF_DATE, COUNT(*) AS NUM_REG, SUM(IF(COALESCE(CAST(X.flg_scrd AS STRING),'')&lt;&gt;COALESCE(CAST(Y.flg_scrd_SIMUL AS STRING),'') OR (X.flg_scrd IS NULL AND Y.flg_scrd_SIMUL IS NOT NULL ) OR (X.flg_scrd IS NOT NULL AND Y.flg_scrd_SIMUL IS NULL),1,0)) AS NUM_REG_DIF,'1' AS ID_EXEC, CURRENT_TIMESTAMP() AS TIME_EXEC FROM (SELECT prtctn_id, flg_scrd FROM BU_LOANTAPE_WORK.LT004_PROTECTION WHERE ref_date='${ref_date}' AND nome_perimetro='Individual Local' AND segmento='ESTR' AND ambito='SRB_MBDT' AND entidade='00100')X INNER JOIN (SELECT prtctn_id AS prtctn_id_SIMUL, flg_scrd AS flg_scrd_SIMUL FROM BU_LOANTAPE_WORK.SIMUL_LT004 WHERE ref_date='${ref_date}' AND nome_perimetro='Individual Local' AND segmento='ESTR' AND ambito='PILAR3' AND entidade='00100')Y ON X.PRTCTN_ID=Y.PRTCTN_ID_SIMUL</v>
      </c>
    </row>
    <row r="652" spans="2:13">
      <c r="B652" s="34" t="s">
        <v>310</v>
      </c>
      <c r="C652" s="34" t="s">
        <v>5</v>
      </c>
      <c r="D652" s="34" t="str">
        <f>+UPPER('0. Instruções'!$D$35&amp;"."&amp;VLOOKUP(B652,'0. Instruções'!$C$27:$D$32,2,FALSE))</f>
        <v>BU_LOANTAPE_WORK.LT005_INSTR_ENT</v>
      </c>
      <c r="E652" s="34" t="str">
        <f>+UPPER('0. Instruções'!$D$36&amp;"."&amp;VLOOKUP(B652,'0. Instruções'!$C$27:$E$32,3,FALSE))</f>
        <v>BU_LOANTAPE_WORK.SIMUL_LT005_INSTR_ENT</v>
      </c>
      <c r="F652" s="34" t="s">
        <v>25</v>
      </c>
      <c r="G652" s="34"/>
      <c r="H652" s="34"/>
      <c r="I652" s="34" t="str">
        <f>"(SELECT "&amp;VLOOKUP(B652,'0. Instruções'!$C$27:$G$32,4,FALSE)&amp;", "&amp;F652&amp;" FROM "&amp;D652&amp;" WHERE "&amp;'0. Instruções'!$D$42&amp;")X"</f>
        <v>(SELECT instrmnt_id, entty_id FROM BU_LOANTAPE_WORK.LT005_INSTR_ENT WHERE ref_date='${ref_date}' AND nome_perimetro='Individual Local' AND segmento='ESTR' AND ambito='SRB_MBDT' AND entidade='00100')X</v>
      </c>
      <c r="J652" s="34" t="str">
        <f>"(SELECT "&amp;VLOOKUP(B652,'0. Instruções'!$C$27:$G$32,4,FALSE)&amp;" AS "&amp;VLOOKUP(B652,'0. Instruções'!$C$27:$G$32,4,FALSE)&amp;"_SIMUL, "&amp;F652&amp;" AS "&amp;F652&amp;"_SIMUL FROM "&amp;E652&amp;" WHERE "&amp;'0. Instruções'!$D$43&amp;")Y"</f>
        <v>(SELECT instrmnt_id AS instrmnt_id_SIMUL, entty_id AS entty_id_SIMUL FROM BU_LOANTAPE_WORK.SIMUL_LT005_INSTR_ENT WHERE ref_date='${ref_date}' AND nome_perimetro='Individual Local' AND segmento='ESTR' AND ambito='PILAR3' AND entidade='00100')Y</v>
      </c>
      <c r="K652" s="35" t="str">
        <f>+UPPER("ON X."&amp;VLOOKUP(B652,'0. Instruções'!$C$27:$G$32,4,FALSE)&amp;"=Y."&amp;VLOOKUP(B652,'0. Instruções'!$C$27:$G$32,4,FALSE)&amp;"_SIMUL")</f>
        <v>ON X.INSTRMNT_ID=Y.INSTRMNT_ID_SIMUL</v>
      </c>
      <c r="L652" s="35" t="str">
        <f>+IF(C652="Coerência", +IF(LEFT(G652,5)="FLOAT","SELECT '"&amp;UPPER(B652)&amp;"' AS TABELA, '"&amp;UPPER(C652)&amp;"' AS TIPOLOGIA_TESTE,'"&amp;D652&amp;"' AS TABELA_LT,'"&amp;E652&amp;"' AS TABELA_SIMUL,'"&amp;F652&amp;"' AS CAMPO, "&amp;"'${ref_date}' AS REF_DATE, COUNT(*) AS NUM_REG, SUM(IF((ABS(COALESCE(CAST(X."&amp;F652&amp;" AS DECIMAL(18,6)),0)-COALESCE(CAST(Y."&amp;F652&amp;"_SIMUL AS DECIMAL(18,6)),0))&gt;0.000001) OR (X."&amp;F652&amp;" IS NULL AND Y."&amp;F652&amp;"_SIMUL IS NOT NULL ) OR (X."&amp;F652&amp;" IS NOT NULL AND Y."&amp;F652&amp;"_SIMUL IS NULL),1,0)) AS NUM_REG_DIF,'"&amp;MAX('ID1&amp;5'!K:K)+1&amp;"' AS ID_EXEC, CURRENT_TIMESTAMP() AS TIME_EXEC FROM "&amp;I652&amp;" INNER JOIN "&amp;J652&amp;" "&amp;K652,"SELECT '"&amp;UPPER(B652)&amp;"' AS TABELA, '"&amp;UPPER(C652)&amp;"' AS TIPOLOGIA_TESTE,'"&amp;D652&amp;"' AS TABELA_LT,'"&amp;E652&amp;"' AS TABELA_SIMUL,'"&amp;F652&amp;"' AS CAMPO, "&amp;"'${ref_date}' AS REF_DATE, COUNT(*) AS NUM_REG, SUM(IF(COALESCE(CAST(X."&amp;F652&amp;" AS STRING),'')&lt;&gt;COALESCE(CAST(Y."&amp;F652&amp;"_SIMUL AS STRING),'') OR (X."&amp;F652&amp;" IS NULL AND Y."&amp;F652&amp;"_SIMUL IS NOT NULL ) OR (X."&amp;F652&amp;" IS NOT NULL AND Y."&amp;F652&amp;"_SIMUL IS NULL),1,0)) AS NUM_REG_DIF,'"&amp;MAX('ID1&amp;5'!L:L)+1&amp;"' AS ID_EXEC, CURRENT_TIMESTAMP() AS TIME_EXEC FROM "&amp;I652&amp;" INNER JOIN "&amp;J652&amp;" "&amp;K652),
IF(C652="Validade",+IF(G652="Code List","SELECT '"&amp;UPPER(B652)&amp;"' AS TABELA, '"&amp;UPPER(C652)&amp;"' AS TIPOLOGIA_TESTE,'"&amp;D652&amp;"' AS TABELA_LT,'N/A' AS TABELA_SIMUL,'"&amp;F652&amp;"' AS CAMPO, "&amp;"'${ref_date}' AS REF_DATE, COUNT(*) AS NUM_REG, SUM(IF(TRIM(CAST(X."&amp;F652&amp;" AS STRING))='' OR TRIM(CAST(X."&amp;F652&amp;" AS STRING)) IS NULL OR CAST(X."&amp;F652&amp;" AS STRING) NOT "&amp;H652&amp;",1,0)) AS NUM_REG_DIF,'"&amp;MAX('ID1&amp;5'!K:K)+1&amp;"' AS ID_EXEC, CURRENT_TIMESTAMP() AS TIME_EXEC FROM "&amp;I652,"SELECT '"&amp;UPPER(B652)&amp;"' AS TABELA, '"&amp;UPPER(C652)&amp;"' AS TIPOLOGIA_TESTE,'"&amp;D652&amp;"' AS TABELA_LT,'N/A' AS TABELA_SIMUL,'"&amp;F652&amp;"' AS CAMPO, "&amp;"'${ref_date}' AS REF_DATE, COUNT(*) AS NUM_REG, SUM(IF(TRIM(CAST(X."&amp;F652&amp;" AS STRING))='' OR TRIM(CAST(X."&amp;F652&amp;" AS STRING)) IS NULL,1,0)) AS NUM_REG_DIF,'"&amp;MAX('ID1&amp;5'!K:K)+1&amp;"' AS ID_EXEC, CURRENT_TIMESTAMP() AS TIME_EXEC FROM "&amp;I652),
IF(C652="Caracteres Especiais",+"SELECT '"&amp;UPPER(B652)&amp;"' AS TABELA, '"&amp;UPPER(C652)&amp;"' AS TIPOLOGIA_TESTE,'"&amp;D652&amp;"' AS TABELA_LT,'N/A' AS TABELA_SIMUL,'"&amp;F652&amp;"' AS CAMPO, "&amp;"'${ref_date}' AS REF_DATE, COUNT(*) AS NUM_REG, SUM(IF(REGEXP_REPLACE(TRIM(CAST(X."&amp;F652&amp;" AS STRING)),'[^a-zA-Z0-9_\\s]','') &lt;&gt;TRIM(CAST(X."&amp;F652&amp;" AS STRING)),1,0)) AS NUM_REG_DIF,'"&amp;MAX('ID1&amp;5'!K:K)+1&amp;"' AS ID_EXEC, CURRENT_TIMESTAMP() AS TIME_EXEC FROM "&amp;I652,
IF(C652="Missings",+"SELECT '"&amp;UPPER(B652)&amp;"' AS TABELA, '"&amp;UPPER(C652)&amp;"' AS TIPOLOGIA_TESTE,'"&amp;D652&amp;"' AS TABELA_LT,'N/A' AS TABELA_SIMUL,'"&amp;F652&amp;"' AS CAMPO, "&amp;"'${ref_date}' AS REF_DATE, COUNT(*) AS NUM_REG, SUM(IF(TRIM(CAST(X."&amp;F652&amp;" AS STRING)) IN ('0000-00-00','0001-01-01','9999-12-31','MISS','00000','99999999999','99999999999.00','99999999999.000000'),1,0)) AS NUM_REG_DIF,'"&amp;MAX('ID1&amp;5'!K:K)+1&amp;"' AS ID_EXEC, CURRENT_TIMESTAMP() AS TIME_EXEC FROM "&amp;I652,
IF(C652="Not applicable",+"SELECT '"&amp;UPPER(B652)&amp;"' AS TABELA, '"&amp;UPPER(C652)&amp;"' AS TIPOLOGIA_TESTE,'"&amp;D652&amp;"' AS TABELA_LT,'N/A' AS TABELA_SIMUL,'"&amp;F652&amp;"' AS CAMPO, "&amp;"'${ref_date}' AS REF_DATE, COUNT(*) AS NUM_REG, SUM(IF(TRIM(CAST(X."&amp;F652&amp;" AS STRING)) IN ('N/A','11111111111','11111111111.00','11111111111.000000','1111-11-11'),1,0)) AS NUM_REG_DIF,'"&amp;MAX('ID1&amp;5'!K:K)+1&amp;"' AS ID_EXEC, CURRENT_TIMESTAMP() AS TIME_EXEC FROM "&amp;I652,
IF(C652="Valores extremos",+"SELECT '"&amp;UPPER(B652)&amp;"' AS TABELA, '"&amp;UPPER(C652)&amp;"' AS TIPOLOGIA_TESTE,'"&amp;D652&amp;"' AS TABELA_LT,'N/A' AS TABELA_SIMUL,'"&amp;F652&amp;"' AS CAMPO, "&amp;"'${ref_date}' AS REF_DATE, CAST(MIN("&amp;F652&amp;") AS STRING) AS VALOR_MIN, CAST(MAX("&amp;F652&amp;") AS STRING) AS VALOR_MAX,'"&amp;MAX('ID1&amp;5'!K:K)+1&amp;"' AS ID_EXEC, CURRENT_TIMESTAMP() AS TIME_EXEC FROM "&amp;MID(I652,1,LEN(I652)-2)&amp;" AND CAST("&amp;F652&amp;"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TIPOLOGIA_TESTE,'BU_LOANTAPE_WORK.LT005_INSTR_ENT' AS TABELA_LT,'BU_LOANTAPE_WORK.SIMUL_LT005_INSTR_ENT' AS TABELA_SIMUL,'entty_id' AS CAMPO, '${ref_date}' AS REF_DATE, COUNT(*) AS NUM_REG, SUM(IF(COALESCE(CAST(X.entty_id AS STRING),'')&lt;&gt;COALESCE(CAST(Y.entty_id_SIMUL AS STRING),'') OR (X.entty_id IS NULL AND Y.entty_id_SIMUL IS NOT NULL ) OR (X.entty_id IS NOT NULL AND Y.entty_id_SIMUL IS NULL),1,0)) AS NUM_REG_DIF,'1' AS ID_EXEC, CURRENT_TIMESTAMP() AS TIME_EXEC FROM (SELECT instrmnt_id, entty_id FROM BU_LOANTAPE_WORK.LT005_INSTR_ENT WHERE ref_date='${ref_date}' AND nome_perimetro='Individual Local' AND segmento='ESTR' AND ambito='SRB_MBDT' AND entidade='00100')X INNER JOIN (SELECT instrmnt_id AS instrmnt_id_SIMUL, entty_id AS entty_id_SIMUL FROM BU_LOANTAPE_WORK.SIMUL_LT005_INSTR_ENT WHERE ref_date='${ref_date}' AND nome_perimetro='Individual Local' AND segmento='ESTR' AND ambito='PILAR3' AND entidade='00100')Y ON X.INSTRMNT_ID=Y.INSTRMNT_ID_SIMUL</v>
      </c>
      <c r="M652" s="36" t="str">
        <f t="shared" ref="M652" si="16">+"UNION ALL "&amp;L652</f>
        <v>UNION ALL SELECT 'INSTR_ENTITY' AS TABELA, 'COERÊNCIA' AS TIPOLOGIA_TESTE,'BU_LOANTAPE_WORK.LT005_INSTR_ENT' AS TABELA_LT,'BU_LOANTAPE_WORK.SIMUL_LT005_INSTR_ENT' AS TABELA_SIMUL,'entty_id' AS CAMPO, '${ref_date}' AS REF_DATE, COUNT(*) AS NUM_REG, SUM(IF(COALESCE(CAST(X.entty_id AS STRING),'')&lt;&gt;COALESCE(CAST(Y.entty_id_SIMUL AS STRING),'') OR (X.entty_id IS NULL AND Y.entty_id_SIMUL IS NOT NULL ) OR (X.entty_id IS NOT NULL AND Y.entty_id_SIMUL IS NULL),1,0)) AS NUM_REG_DIF,'1' AS ID_EXEC, CURRENT_TIMESTAMP() AS TIME_EXEC FROM (SELECT instrmnt_id, entty_id FROM BU_LOANTAPE_WORK.LT005_INSTR_ENT WHERE ref_date='${ref_date}' AND nome_perimetro='Individual Local' AND segmento='ESTR' AND ambito='SRB_MBDT' AND entidade='00100')X INNER JOIN (SELECT instrmnt_id AS instrmnt_id_SIMUL, entty_id AS entty_id_SIMUL FROM BU_LOANTAPE_WORK.SIMUL_LT005_INSTR_ENT WHERE ref_date='${ref_date}' AND nome_perimetro='Individual Local' AND segmento='ESTR' AND ambito='PILAR3' AND entidade='00100')Y ON X.INSTRMNT_ID=Y.INSTRMNT_ID_SIMUL</v>
      </c>
    </row>
    <row r="653" spans="2:13">
      <c r="B653" s="34" t="s">
        <v>310</v>
      </c>
      <c r="C653" s="34" t="s">
        <v>5</v>
      </c>
      <c r="D653" s="34" t="str">
        <f>+UPPER('0. Instruções'!$D$35&amp;"."&amp;VLOOKUP(B653,'0. Instruções'!$C$27:$D$32,2,FALSE))</f>
        <v>BU_LOANTAPE_WORK.LT005_INSTR_ENT</v>
      </c>
      <c r="E653" s="34" t="str">
        <f>+UPPER('0. Instruções'!$D$36&amp;"."&amp;VLOOKUP(B653,'0. Instruções'!$C$27:$E$32,3,FALSE))</f>
        <v>BU_LOANTAPE_WORK.SIMUL_LT005_INSTR_ENT</v>
      </c>
      <c r="F653" s="34" t="s">
        <v>27</v>
      </c>
      <c r="G653" s="34"/>
      <c r="H653" s="34"/>
      <c r="I653" s="34" t="str">
        <f>"(SELECT "&amp;VLOOKUP(B653,'0. Instruções'!$C$27:$G$32,4,FALSE)&amp;", "&amp;F653&amp;" FROM "&amp;D653&amp;" WHERE "&amp;'0. Instruções'!$D$42&amp;")X"</f>
        <v>(SELECT instrmnt_id, instrmnt_id FROM BU_LOANTAPE_WORK.LT005_INSTR_ENT WHERE ref_date='${ref_date}' AND nome_perimetro='Individual Local' AND segmento='ESTR' AND ambito='SRB_MBDT' AND entidade='00100')X</v>
      </c>
      <c r="J653" s="34" t="str">
        <f>"(SELECT "&amp;VLOOKUP(B653,'0. Instruções'!$C$27:$G$32,4,FALSE)&amp;" AS "&amp;VLOOKUP(B653,'0. Instruções'!$C$27:$G$32,4,FALSE)&amp;"_SIMUL, "&amp;F653&amp;" AS "&amp;F653&amp;"_SIMUL FROM "&amp;E653&amp;" WHERE "&amp;'0. Instruções'!$D$43&amp;")Y"</f>
        <v>(SELECT instrmnt_id AS instrmnt_id_SIMUL, instrmnt_id AS instrmnt_id_SIMUL FROM BU_LOANTAPE_WORK.SIMUL_LT005_INSTR_ENT WHERE ref_date='${ref_date}' AND nome_perimetro='Individual Local' AND segmento='ESTR' AND ambito='PILAR3' AND entidade='00100')Y</v>
      </c>
      <c r="K653" s="35" t="str">
        <f>+UPPER("ON X."&amp;VLOOKUP(B653,'0. Instruções'!$C$27:$G$32,4,FALSE)&amp;"=Y."&amp;VLOOKUP(B653,'0. Instruções'!$C$27:$G$32,4,FALSE)&amp;"_SIMUL")</f>
        <v>ON X.INSTRMNT_ID=Y.INSTRMNT_ID_SIMUL</v>
      </c>
      <c r="L653" s="35" t="str">
        <f>+IF(C653="Coerência", +IF(LEFT(G653,5)="FLOAT","SELECT '"&amp;UPPER(B653)&amp;"' AS TABELA, '"&amp;UPPER(C653)&amp;"' AS TIPOLOGIA_TESTE,'"&amp;D653&amp;"' AS TABELA_LT,'"&amp;E653&amp;"' AS TABELA_SIMUL,'"&amp;F653&amp;"' AS CAMPO, "&amp;"'${ref_date}' AS REF_DATE, COUNT(*) AS NUM_REG, SUM(IF((ABS(COALESCE(CAST(X."&amp;F653&amp;" AS DECIMAL(18,6)),0)-COALESCE(CAST(Y."&amp;F653&amp;"_SIMUL AS DECIMAL(18,6)),0))&gt;0.000001) OR (X."&amp;F653&amp;" IS NULL AND Y."&amp;F653&amp;"_SIMUL IS NOT NULL ) OR (X."&amp;F653&amp;" IS NOT NULL AND Y."&amp;F653&amp;"_SIMUL IS NULL),1,0)) AS NUM_REG_DIF,'"&amp;MAX('ID1&amp;5'!K:K)+1&amp;"' AS ID_EXEC, CURRENT_TIMESTAMP() AS TIME_EXEC FROM "&amp;I653&amp;" INNER JOIN "&amp;J653&amp;" "&amp;K653,"SELECT '"&amp;UPPER(B653)&amp;"' AS TABELA, '"&amp;UPPER(C653)&amp;"' AS TIPOLOGIA_TESTE,'"&amp;D653&amp;"' AS TABELA_LT,'"&amp;E653&amp;"' AS TABELA_SIMUL,'"&amp;F653&amp;"' AS CAMPO, "&amp;"'${ref_date}' AS REF_DATE, COUNT(*) AS NUM_REG, SUM(IF(COALESCE(CAST(X."&amp;F653&amp;" AS STRING),'')&lt;&gt;COALESCE(CAST(Y."&amp;F653&amp;"_SIMUL AS STRING),'') OR (X."&amp;F653&amp;" IS NULL AND Y."&amp;F653&amp;"_SIMUL IS NOT NULL ) OR (X."&amp;F653&amp;" IS NOT NULL AND Y."&amp;F653&amp;"_SIMUL IS NULL),1,0)) AS NUM_REG_DIF,'"&amp;MAX('ID1&amp;5'!L:L)+1&amp;"' AS ID_EXEC, CURRENT_TIMESTAMP() AS TIME_EXEC FROM "&amp;I653&amp;" INNER JOIN "&amp;J653&amp;" "&amp;K653),
IF(C653="Validade",+IF(G653="Code List","SELECT '"&amp;UPPER(B653)&amp;"' AS TABELA, '"&amp;UPPER(C653)&amp;"' AS TIPOLOGIA_TESTE,'"&amp;D653&amp;"' AS TABELA_LT,'N/A' AS TABELA_SIMUL,'"&amp;F653&amp;"' AS CAMPO, "&amp;"'${ref_date}' AS REF_DATE, COUNT(*) AS NUM_REG, SUM(IF(TRIM(CAST(X."&amp;F653&amp;" AS STRING))='' OR TRIM(CAST(X."&amp;F653&amp;" AS STRING)) IS NULL OR CAST(X."&amp;F653&amp;" AS STRING) NOT "&amp;H653&amp;",1,0)) AS NUM_REG_DIF,'"&amp;MAX('ID1&amp;5'!K:K)+1&amp;"' AS ID_EXEC, CURRENT_TIMESTAMP() AS TIME_EXEC FROM "&amp;I653,"SELECT '"&amp;UPPER(B653)&amp;"' AS TABELA, '"&amp;UPPER(C653)&amp;"' AS TIPOLOGIA_TESTE,'"&amp;D653&amp;"' AS TABELA_LT,'N/A' AS TABELA_SIMUL,'"&amp;F653&amp;"' AS CAMPO, "&amp;"'${ref_date}' AS REF_DATE, COUNT(*) AS NUM_REG, SUM(IF(TRIM(CAST(X."&amp;F653&amp;" AS STRING))='' OR TRIM(CAST(X."&amp;F653&amp;" AS STRING)) IS NULL,1,0)) AS NUM_REG_DIF,'"&amp;MAX('ID1&amp;5'!K:K)+1&amp;"' AS ID_EXEC, CURRENT_TIMESTAMP() AS TIME_EXEC FROM "&amp;I653),
IF(C653="Caracteres Especiais",+"SELECT '"&amp;UPPER(B653)&amp;"' AS TABELA, '"&amp;UPPER(C653)&amp;"' AS TIPOLOGIA_TESTE,'"&amp;D653&amp;"' AS TABELA_LT,'N/A' AS TABELA_SIMUL,'"&amp;F653&amp;"' AS CAMPO, "&amp;"'${ref_date}' AS REF_DATE, COUNT(*) AS NUM_REG, SUM(IF(REGEXP_REPLACE(TRIM(CAST(X."&amp;F653&amp;" AS STRING)),'[^a-zA-Z0-9_\\s]','') &lt;&gt;TRIM(CAST(X."&amp;F653&amp;" AS STRING)),1,0)) AS NUM_REG_DIF,'"&amp;MAX('ID1&amp;5'!K:K)+1&amp;"' AS ID_EXEC, CURRENT_TIMESTAMP() AS TIME_EXEC FROM "&amp;I653,
IF(C653="Missings",+"SELECT '"&amp;UPPER(B653)&amp;"' AS TABELA, '"&amp;UPPER(C653)&amp;"' AS TIPOLOGIA_TESTE,'"&amp;D653&amp;"' AS TABELA_LT,'N/A' AS TABELA_SIMUL,'"&amp;F653&amp;"' AS CAMPO, "&amp;"'${ref_date}' AS REF_DATE, COUNT(*) AS NUM_REG, SUM(IF(TRIM(CAST(X."&amp;F653&amp;" AS STRING)) IN ('0000-00-00','0001-01-01','9999-12-31','MISS','00000','99999999999','99999999999.00','99999999999.000000'),1,0)) AS NUM_REG_DIF,'"&amp;MAX('ID1&amp;5'!K:K)+1&amp;"' AS ID_EXEC, CURRENT_TIMESTAMP() AS TIME_EXEC FROM "&amp;I653,
IF(C653="Not applicable",+"SELECT '"&amp;UPPER(B653)&amp;"' AS TABELA, '"&amp;UPPER(C653)&amp;"' AS TIPOLOGIA_TESTE,'"&amp;D653&amp;"' AS TABELA_LT,'N/A' AS TABELA_SIMUL,'"&amp;F653&amp;"' AS CAMPO, "&amp;"'${ref_date}' AS REF_DATE, COUNT(*) AS NUM_REG, SUM(IF(TRIM(CAST(X."&amp;F653&amp;" AS STRING)) IN ('N/A','11111111111','11111111111.00','11111111111.000000','1111-11-11'),1,0)) AS NUM_REG_DIF,'"&amp;MAX('ID1&amp;5'!K:K)+1&amp;"' AS ID_EXEC, CURRENT_TIMESTAMP() AS TIME_EXEC FROM "&amp;I653,
IF(C653="Valores extremos",+"SELECT '"&amp;UPPER(B653)&amp;"' AS TABELA, '"&amp;UPPER(C653)&amp;"' AS TIPOLOGIA_TESTE,'"&amp;D653&amp;"' AS TABELA_LT,'N/A' AS TABELA_SIMUL,'"&amp;F653&amp;"' AS CAMPO, "&amp;"'${ref_date}' AS REF_DATE, CAST(MIN("&amp;F653&amp;") AS STRING) AS VALOR_MIN, CAST(MAX("&amp;F653&amp;") AS STRING) AS VALOR_MAX,'"&amp;MAX('ID1&amp;5'!K:K)+1&amp;"' AS ID_EXEC, CURRENT_TIMESTAMP() AS TIME_EXEC FROM "&amp;MID(I653,1,LEN(I653)-2)&amp;" AND CAST("&amp;F653&amp;"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TIPOLOGIA_TESTE,'BU_LOANTAPE_WORK.LT005_INSTR_ENT' AS TABELA_LT,'BU_LOANTAPE_WORK.SIMUL_LT005_INSTR_ENT' AS TABELA_SIMUL,'instrmnt_id' AS CAMPO, '${ref_date}' AS REF_DATE, COUNT(*) AS NUM_REG, SUM(IF(COALESCE(CAST(X.instrmnt_id AS STRING),'')&lt;&gt;COALESCE(CAST(Y.instrmnt_id_SIMUL AS STRING),'') OR (X.instrmnt_id IS NULL AND Y.instrmnt_id_SIMUL IS NOT NULL ) OR (X.instrmnt_id IS NOT NULL AND Y.instrmnt_id_SIMUL IS NULL),1,0)) AS NUM_REG_DIF,'1' AS ID_EXEC, CURRENT_TIMESTAMP() AS TIME_EXEC FROM (SELECT instrmnt_id, instrmnt_id FROM BU_LOANTAPE_WORK.LT005_INSTR_ENT WHERE ref_date='${ref_date}' AND nome_perimetro='Individual Local' AND segmento='ESTR' AND ambito='SRB_MBDT' AND entidade='00100')X INNER JOIN (SELECT instrmnt_id AS instrmnt_id_SIMUL, instrmnt_id AS instrmnt_id_SIMUL FROM BU_LOANTAPE_WORK.SIMUL_LT005_INSTR_ENT WHERE ref_date='${ref_date}' AND nome_perimetro='Individual Local' AND segmento='ESTR' AND ambito='PILAR3' AND entidade='00100')Y ON X.INSTRMNT_ID=Y.INSTRMNT_ID_SIMUL</v>
      </c>
      <c r="M653" s="36" t="str">
        <f t="shared" ref="M653:M668" si="17">+"UNION ALL "&amp;L653</f>
        <v>UNION ALL SELECT 'INSTR_ENTITY' AS TABELA, 'COERÊNCIA' AS TIPOLOGIA_TESTE,'BU_LOANTAPE_WORK.LT005_INSTR_ENT' AS TABELA_LT,'BU_LOANTAPE_WORK.SIMUL_LT005_INSTR_ENT' AS TABELA_SIMUL,'instrmnt_id' AS CAMPO, '${ref_date}' AS REF_DATE, COUNT(*) AS NUM_REG, SUM(IF(COALESCE(CAST(X.instrmnt_id AS STRING),'')&lt;&gt;COALESCE(CAST(Y.instrmnt_id_SIMUL AS STRING),'') OR (X.instrmnt_id IS NULL AND Y.instrmnt_id_SIMUL IS NOT NULL ) OR (X.instrmnt_id IS NOT NULL AND Y.instrmnt_id_SIMUL IS NULL),1,0)) AS NUM_REG_DIF,'1' AS ID_EXEC, CURRENT_TIMESTAMP() AS TIME_EXEC FROM (SELECT instrmnt_id, instrmnt_id FROM BU_LOANTAPE_WORK.LT005_INSTR_ENT WHERE ref_date='${ref_date}' AND nome_perimetro='Individual Local' AND segmento='ESTR' AND ambito='SRB_MBDT' AND entidade='00100')X INNER JOIN (SELECT instrmnt_id AS instrmnt_id_SIMUL, instrmnt_id AS instrmnt_id_SIMUL FROM BU_LOANTAPE_WORK.SIMUL_LT005_INSTR_ENT WHERE ref_date='${ref_date}' AND nome_perimetro='Individual Local' AND segmento='ESTR' AND ambito='PILAR3' AND entidade='00100')Y ON X.INSTRMNT_ID=Y.INSTRMNT_ID_SIMUL</v>
      </c>
    </row>
    <row r="654" spans="2:13">
      <c r="B654" s="34" t="s">
        <v>310</v>
      </c>
      <c r="C654" s="34" t="s">
        <v>5</v>
      </c>
      <c r="D654" s="34" t="str">
        <f>+UPPER('0. Instruções'!$D$35&amp;"."&amp;VLOOKUP(B654,'0. Instruções'!$C$27:$D$32,2,FALSE))</f>
        <v>BU_LOANTAPE_WORK.LT005_INSTR_ENT</v>
      </c>
      <c r="E654" s="34" t="str">
        <f>+UPPER('0. Instruções'!$D$36&amp;"."&amp;VLOOKUP(B654,'0. Instruções'!$C$27:$E$32,3,FALSE))</f>
        <v>BU_LOANTAPE_WORK.SIMUL_LT005_INSTR_ENT</v>
      </c>
      <c r="F654" s="34" t="s">
        <v>1569</v>
      </c>
      <c r="G654" s="34"/>
      <c r="H654" s="34"/>
      <c r="I654" s="34" t="str">
        <f>"(SELECT "&amp;VLOOKUP(B654,'0. Instruções'!$C$27:$G$32,4,FALSE)&amp;", "&amp;F654&amp;" FROM "&amp;D654&amp;" WHERE "&amp;'0. Instruções'!$D$42&amp;")X"</f>
        <v>(SELECT instrmnt_id, jnt_lblty_amnt FROM BU_LOANTAPE_WORK.LT005_INSTR_ENT WHERE ref_date='${ref_date}' AND nome_perimetro='Individual Local' AND segmento='ESTR' AND ambito='SRB_MBDT' AND entidade='00100')X</v>
      </c>
      <c r="J654" s="34" t="str">
        <f>"(SELECT "&amp;VLOOKUP(B654,'0. Instruções'!$C$27:$G$32,4,FALSE)&amp;" AS "&amp;VLOOKUP(B654,'0. Instruções'!$C$27:$G$32,4,FALSE)&amp;"_SIMUL, "&amp;F654&amp;" AS "&amp;F654&amp;"_SIMUL FROM "&amp;E654&amp;" WHERE "&amp;'0. Instruções'!$D$43&amp;")Y"</f>
        <v>(SELECT instrmnt_id AS instrmnt_id_SIMUL, jnt_lblty_amnt AS jnt_lblty_amnt_SIMUL FROM BU_LOANTAPE_WORK.SIMUL_LT005_INSTR_ENT WHERE ref_date='${ref_date}' AND nome_perimetro='Individual Local' AND segmento='ESTR' AND ambito='PILAR3' AND entidade='00100')Y</v>
      </c>
      <c r="K654" s="35" t="str">
        <f>+UPPER("ON X."&amp;VLOOKUP(B654,'0. Instruções'!$C$27:$G$32,4,FALSE)&amp;"=Y."&amp;VLOOKUP(B654,'0. Instruções'!$C$27:$G$32,4,FALSE)&amp;"_SIMUL")</f>
        <v>ON X.INSTRMNT_ID=Y.INSTRMNT_ID_SIMUL</v>
      </c>
      <c r="L654" s="35" t="str">
        <f>+IF(C654="Coerência", +IF(LEFT(G654,5)="FLOAT","SELECT '"&amp;UPPER(B654)&amp;"' AS TABELA, '"&amp;UPPER(C654)&amp;"' AS TIPOLOGIA_TESTE,'"&amp;D654&amp;"' AS TABELA_LT,'"&amp;E654&amp;"' AS TABELA_SIMUL,'"&amp;F654&amp;"' AS CAMPO, "&amp;"'${ref_date}' AS REF_DATE, COUNT(*) AS NUM_REG, SUM(IF((ABS(COALESCE(CAST(X."&amp;F654&amp;" AS DECIMAL(18,6)),0)-COALESCE(CAST(Y."&amp;F654&amp;"_SIMUL AS DECIMAL(18,6)),0))&gt;0.000001) OR (X."&amp;F654&amp;" IS NULL AND Y."&amp;F654&amp;"_SIMUL IS NOT NULL ) OR (X."&amp;F654&amp;" IS NOT NULL AND Y."&amp;F654&amp;"_SIMUL IS NULL),1,0)) AS NUM_REG_DIF,'"&amp;MAX('ID1&amp;5'!K:K)+1&amp;"' AS ID_EXEC, CURRENT_TIMESTAMP() AS TIME_EXEC FROM "&amp;I654&amp;" INNER JOIN "&amp;J654&amp;" "&amp;K654,"SELECT '"&amp;UPPER(B654)&amp;"' AS TABELA, '"&amp;UPPER(C654)&amp;"' AS TIPOLOGIA_TESTE,'"&amp;D654&amp;"' AS TABELA_LT,'"&amp;E654&amp;"' AS TABELA_SIMUL,'"&amp;F654&amp;"' AS CAMPO, "&amp;"'${ref_date}' AS REF_DATE, COUNT(*) AS NUM_REG, SUM(IF(COALESCE(CAST(X."&amp;F654&amp;" AS STRING),'')&lt;&gt;COALESCE(CAST(Y."&amp;F654&amp;"_SIMUL AS STRING),'') OR (X."&amp;F654&amp;" IS NULL AND Y."&amp;F654&amp;"_SIMUL IS NOT NULL ) OR (X."&amp;F654&amp;" IS NOT NULL AND Y."&amp;F654&amp;"_SIMUL IS NULL),1,0)) AS NUM_REG_DIF,'"&amp;MAX('ID1&amp;5'!L:L)+1&amp;"' AS ID_EXEC, CURRENT_TIMESTAMP() AS TIME_EXEC FROM "&amp;I654&amp;" INNER JOIN "&amp;J654&amp;" "&amp;K654),
IF(C654="Validade",+IF(G654="Code List","SELECT '"&amp;UPPER(B654)&amp;"' AS TABELA, '"&amp;UPPER(C654)&amp;"' AS TIPOLOGIA_TESTE,'"&amp;D654&amp;"' AS TABELA_LT,'N/A' AS TABELA_SIMUL,'"&amp;F654&amp;"' AS CAMPO, "&amp;"'${ref_date}' AS REF_DATE, COUNT(*) AS NUM_REG, SUM(IF(TRIM(CAST(X."&amp;F654&amp;" AS STRING))='' OR TRIM(CAST(X."&amp;F654&amp;" AS STRING)) IS NULL OR CAST(X."&amp;F654&amp;" AS STRING) NOT "&amp;H654&amp;",1,0)) AS NUM_REG_DIF,'"&amp;MAX('ID1&amp;5'!K:K)+1&amp;"' AS ID_EXEC, CURRENT_TIMESTAMP() AS TIME_EXEC FROM "&amp;I654,"SELECT '"&amp;UPPER(B654)&amp;"' AS TABELA, '"&amp;UPPER(C654)&amp;"' AS TIPOLOGIA_TESTE,'"&amp;D654&amp;"' AS TABELA_LT,'N/A' AS TABELA_SIMUL,'"&amp;F654&amp;"' AS CAMPO, "&amp;"'${ref_date}' AS REF_DATE, COUNT(*) AS NUM_REG, SUM(IF(TRIM(CAST(X."&amp;F654&amp;" AS STRING))='' OR TRIM(CAST(X."&amp;F654&amp;" AS STRING)) IS NULL,1,0)) AS NUM_REG_DIF,'"&amp;MAX('ID1&amp;5'!K:K)+1&amp;"' AS ID_EXEC, CURRENT_TIMESTAMP() AS TIME_EXEC FROM "&amp;I654),
IF(C654="Caracteres Especiais",+"SELECT '"&amp;UPPER(B654)&amp;"' AS TABELA, '"&amp;UPPER(C654)&amp;"' AS TIPOLOGIA_TESTE,'"&amp;D654&amp;"' AS TABELA_LT,'N/A' AS TABELA_SIMUL,'"&amp;F654&amp;"' AS CAMPO, "&amp;"'${ref_date}' AS REF_DATE, COUNT(*) AS NUM_REG, SUM(IF(REGEXP_REPLACE(TRIM(CAST(X."&amp;F654&amp;" AS STRING)),'[^a-zA-Z0-9_\\s]','') &lt;&gt;TRIM(CAST(X."&amp;F654&amp;" AS STRING)),1,0)) AS NUM_REG_DIF,'"&amp;MAX('ID1&amp;5'!K:K)+1&amp;"' AS ID_EXEC, CURRENT_TIMESTAMP() AS TIME_EXEC FROM "&amp;I654,
IF(C654="Missings",+"SELECT '"&amp;UPPER(B654)&amp;"' AS TABELA, '"&amp;UPPER(C654)&amp;"' AS TIPOLOGIA_TESTE,'"&amp;D654&amp;"' AS TABELA_LT,'N/A' AS TABELA_SIMUL,'"&amp;F654&amp;"' AS CAMPO, "&amp;"'${ref_date}' AS REF_DATE, COUNT(*) AS NUM_REG, SUM(IF(TRIM(CAST(X."&amp;F654&amp;" AS STRING)) IN ('0000-00-00','0001-01-01','9999-12-31','MISS','00000','99999999999','99999999999.00','99999999999.000000'),1,0)) AS NUM_REG_DIF,'"&amp;MAX('ID1&amp;5'!K:K)+1&amp;"' AS ID_EXEC, CURRENT_TIMESTAMP() AS TIME_EXEC FROM "&amp;I654,
IF(C654="Not applicable",+"SELECT '"&amp;UPPER(B654)&amp;"' AS TABELA, '"&amp;UPPER(C654)&amp;"' AS TIPOLOGIA_TESTE,'"&amp;D654&amp;"' AS TABELA_LT,'N/A' AS TABELA_SIMUL,'"&amp;F654&amp;"' AS CAMPO, "&amp;"'${ref_date}' AS REF_DATE, COUNT(*) AS NUM_REG, SUM(IF(TRIM(CAST(X."&amp;F654&amp;" AS STRING)) IN ('N/A','11111111111','11111111111.00','11111111111.000000','1111-11-11'),1,0)) AS NUM_REG_DIF,'"&amp;MAX('ID1&amp;5'!K:K)+1&amp;"' AS ID_EXEC, CURRENT_TIMESTAMP() AS TIME_EXEC FROM "&amp;I654,
IF(C654="Valores extremos",+"SELECT '"&amp;UPPER(B654)&amp;"' AS TABELA, '"&amp;UPPER(C654)&amp;"' AS TIPOLOGIA_TESTE,'"&amp;D654&amp;"' AS TABELA_LT,'N/A' AS TABELA_SIMUL,'"&amp;F654&amp;"' AS CAMPO, "&amp;"'${ref_date}' AS REF_DATE, CAST(MIN("&amp;F654&amp;") AS STRING) AS VALOR_MIN, CAST(MAX("&amp;F654&amp;") AS STRING) AS VALOR_MAX,'"&amp;MAX('ID1&amp;5'!K:K)+1&amp;"' AS ID_EXEC, CURRENT_TIMESTAMP() AS TIME_EXEC FROM "&amp;MID(I654,1,LEN(I654)-2)&amp;" AND CAST("&amp;F654&amp;"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TIPOLOGIA_TESTE,'BU_LOANTAPE_WORK.LT005_INSTR_ENT' AS TABELA_LT,'BU_LOANTAPE_WORK.SIMUL_LT005_INSTR_ENT' AS TABELA_SIMUL,'jnt_lblty_amnt' AS CAMPO, '${ref_date}' AS REF_DATE, COUNT(*) AS NUM_REG, SUM(IF(COALESCE(CAST(X.jnt_lblty_amnt AS STRING),'')&lt;&gt;COALESCE(CAST(Y.jnt_lblty_amnt_SIMUL AS STRING),'') OR (X.jnt_lblty_amnt IS NULL AND Y.jnt_lblty_amnt_SIMUL IS NOT NULL ) OR (X.jnt_lblty_amnt IS NOT NULL AND Y.jnt_lblty_amnt_SIMUL IS NULL),1,0)) AS NUM_REG_DIF,'1' AS ID_EXEC, CURRENT_TIMESTAMP() AS TIME_EXEC FROM (SELECT instrmnt_id, jnt_lblty_amnt FROM BU_LOANTAPE_WORK.LT005_INSTR_ENT WHERE ref_date='${ref_date}' AND nome_perimetro='Individual Local' AND segmento='ESTR' AND ambito='SRB_MBDT' AND entidade='00100')X INNER JOIN (SELECT instrmnt_id AS instrmnt_id_SIMUL, jnt_lblty_amnt AS jnt_lblty_amnt_SIMUL FROM BU_LOANTAPE_WORK.SIMUL_LT005_INSTR_ENT WHERE ref_date='${ref_date}' AND nome_perimetro='Individual Local' AND segmento='ESTR' AND ambito='PILAR3' AND entidade='00100')Y ON X.INSTRMNT_ID=Y.INSTRMNT_ID_SIMUL</v>
      </c>
      <c r="M654" s="36" t="str">
        <f t="shared" si="17"/>
        <v>UNION ALL SELECT 'INSTR_ENTITY' AS TABELA, 'COERÊNCIA' AS TIPOLOGIA_TESTE,'BU_LOANTAPE_WORK.LT005_INSTR_ENT' AS TABELA_LT,'BU_LOANTAPE_WORK.SIMUL_LT005_INSTR_ENT' AS TABELA_SIMUL,'jnt_lblty_amnt' AS CAMPO, '${ref_date}' AS REF_DATE, COUNT(*) AS NUM_REG, SUM(IF(COALESCE(CAST(X.jnt_lblty_amnt AS STRING),'')&lt;&gt;COALESCE(CAST(Y.jnt_lblty_amnt_SIMUL AS STRING),'') OR (X.jnt_lblty_amnt IS NULL AND Y.jnt_lblty_amnt_SIMUL IS NOT NULL ) OR (X.jnt_lblty_amnt IS NOT NULL AND Y.jnt_lblty_amnt_SIMUL IS NULL),1,0)) AS NUM_REG_DIF,'1' AS ID_EXEC, CURRENT_TIMESTAMP() AS TIME_EXEC FROM (SELECT instrmnt_id, jnt_lblty_amnt FROM BU_LOANTAPE_WORK.LT005_INSTR_ENT WHERE ref_date='${ref_date}' AND nome_perimetro='Individual Local' AND segmento='ESTR' AND ambito='SRB_MBDT' AND entidade='00100')X INNER JOIN (SELECT instrmnt_id AS instrmnt_id_SIMUL, jnt_lblty_amnt AS jnt_lblty_amnt_SIMUL FROM BU_LOANTAPE_WORK.SIMUL_LT005_INSTR_ENT WHERE ref_date='${ref_date}' AND nome_perimetro='Individual Local' AND segmento='ESTR' AND ambito='PILAR3' AND entidade='00100')Y ON X.INSTRMNT_ID=Y.INSTRMNT_ID_SIMUL</v>
      </c>
    </row>
    <row r="655" spans="2:13">
      <c r="B655" s="34" t="s">
        <v>310</v>
      </c>
      <c r="C655" s="34" t="s">
        <v>5</v>
      </c>
      <c r="D655" s="34" t="str">
        <f>+UPPER('0. Instruções'!$D$35&amp;"."&amp;VLOOKUP(B655,'0. Instruções'!$C$27:$D$32,2,FALSE))</f>
        <v>BU_LOANTAPE_WORK.LT005_INSTR_ENT</v>
      </c>
      <c r="E655" s="34" t="str">
        <f>+UPPER('0. Instruções'!$D$36&amp;"."&amp;VLOOKUP(B655,'0. Instruções'!$C$27:$E$32,3,FALSE))</f>
        <v>BU_LOANTAPE_WORK.SIMUL_LT005_INSTR_ENT</v>
      </c>
      <c r="F655" s="34" t="s">
        <v>1245</v>
      </c>
      <c r="G655" s="34"/>
      <c r="H655" s="34"/>
      <c r="I655" s="34" t="str">
        <f>"(SELECT "&amp;VLOOKUP(B655,'0. Instruções'!$C$27:$G$32,4,FALSE)&amp;", "&amp;F655&amp;" FROM "&amp;D655&amp;" WHERE "&amp;'0. Instruções'!$D$42&amp;")X"</f>
        <v>(SELECT instrmnt_id, add_fld01 FROM BU_LOANTAPE_WORK.LT005_INSTR_ENT WHERE ref_date='${ref_date}' AND nome_perimetro='Individual Local' AND segmento='ESTR' AND ambito='SRB_MBDT' AND entidade='00100')X</v>
      </c>
      <c r="J655" s="34" t="str">
        <f>"(SELECT "&amp;VLOOKUP(B655,'0. Instruções'!$C$27:$G$32,4,FALSE)&amp;" AS "&amp;VLOOKUP(B655,'0. Instruções'!$C$27:$G$32,4,FALSE)&amp;"_SIMUL, "&amp;F655&amp;" AS "&amp;F655&amp;"_SIMUL FROM "&amp;E655&amp;" WHERE "&amp;'0. Instruções'!$D$43&amp;")Y"</f>
        <v>(SELECT instrmnt_id AS instrmnt_id_SIMUL, add_fld01 AS add_fld01_SIMUL FROM BU_LOANTAPE_WORK.SIMUL_LT005_INSTR_ENT WHERE ref_date='${ref_date}' AND nome_perimetro='Individual Local' AND segmento='ESTR' AND ambito='PILAR3' AND entidade='00100')Y</v>
      </c>
      <c r="K655" s="35" t="str">
        <f>+UPPER("ON X."&amp;VLOOKUP(B655,'0. Instruções'!$C$27:$G$32,4,FALSE)&amp;"=Y."&amp;VLOOKUP(B655,'0. Instruções'!$C$27:$G$32,4,FALSE)&amp;"_SIMUL")</f>
        <v>ON X.INSTRMNT_ID=Y.INSTRMNT_ID_SIMUL</v>
      </c>
      <c r="L655" s="35" t="str">
        <f>+IF(C655="Coerência", +IF(LEFT(G655,5)="FLOAT","SELECT '"&amp;UPPER(B655)&amp;"' AS TABELA, '"&amp;UPPER(C655)&amp;"' AS TIPOLOGIA_TESTE,'"&amp;D655&amp;"' AS TABELA_LT,'"&amp;E655&amp;"' AS TABELA_SIMUL,'"&amp;F655&amp;"' AS CAMPO, "&amp;"'${ref_date}' AS REF_DATE, COUNT(*) AS NUM_REG, SUM(IF((ABS(COALESCE(CAST(X."&amp;F655&amp;" AS DECIMAL(18,6)),0)-COALESCE(CAST(Y."&amp;F655&amp;"_SIMUL AS DECIMAL(18,6)),0))&gt;0.000001) OR (X."&amp;F655&amp;" IS NULL AND Y."&amp;F655&amp;"_SIMUL IS NOT NULL ) OR (X."&amp;F655&amp;" IS NOT NULL AND Y."&amp;F655&amp;"_SIMUL IS NULL),1,0)) AS NUM_REG_DIF,'"&amp;MAX('ID1&amp;5'!K:K)+1&amp;"' AS ID_EXEC, CURRENT_TIMESTAMP() AS TIME_EXEC FROM "&amp;I655&amp;" INNER JOIN "&amp;J655&amp;" "&amp;K655,"SELECT '"&amp;UPPER(B655)&amp;"' AS TABELA, '"&amp;UPPER(C655)&amp;"' AS TIPOLOGIA_TESTE,'"&amp;D655&amp;"' AS TABELA_LT,'"&amp;E655&amp;"' AS TABELA_SIMUL,'"&amp;F655&amp;"' AS CAMPO, "&amp;"'${ref_date}' AS REF_DATE, COUNT(*) AS NUM_REG, SUM(IF(COALESCE(CAST(X."&amp;F655&amp;" AS STRING),'')&lt;&gt;COALESCE(CAST(Y."&amp;F655&amp;"_SIMUL AS STRING),'') OR (X."&amp;F655&amp;" IS NULL AND Y."&amp;F655&amp;"_SIMUL IS NOT NULL ) OR (X."&amp;F655&amp;" IS NOT NULL AND Y."&amp;F655&amp;"_SIMUL IS NULL),1,0)) AS NUM_REG_DIF,'"&amp;MAX('ID1&amp;5'!L:L)+1&amp;"' AS ID_EXEC, CURRENT_TIMESTAMP() AS TIME_EXEC FROM "&amp;I655&amp;" INNER JOIN "&amp;J655&amp;" "&amp;K655),
IF(C655="Validade",+IF(G655="Code List","SELECT '"&amp;UPPER(B655)&amp;"' AS TABELA, '"&amp;UPPER(C655)&amp;"' AS TIPOLOGIA_TESTE,'"&amp;D655&amp;"' AS TABELA_LT,'N/A' AS TABELA_SIMUL,'"&amp;F655&amp;"' AS CAMPO, "&amp;"'${ref_date}' AS REF_DATE, COUNT(*) AS NUM_REG, SUM(IF(TRIM(CAST(X."&amp;F655&amp;" AS STRING))='' OR TRIM(CAST(X."&amp;F655&amp;" AS STRING)) IS NULL OR CAST(X."&amp;F655&amp;" AS STRING) NOT "&amp;H655&amp;",1,0)) AS NUM_REG_DIF,'"&amp;MAX('ID1&amp;5'!K:K)+1&amp;"' AS ID_EXEC, CURRENT_TIMESTAMP() AS TIME_EXEC FROM "&amp;I655,"SELECT '"&amp;UPPER(B655)&amp;"' AS TABELA, '"&amp;UPPER(C655)&amp;"' AS TIPOLOGIA_TESTE,'"&amp;D655&amp;"' AS TABELA_LT,'N/A' AS TABELA_SIMUL,'"&amp;F655&amp;"' AS CAMPO, "&amp;"'${ref_date}' AS REF_DATE, COUNT(*) AS NUM_REG, SUM(IF(TRIM(CAST(X."&amp;F655&amp;" AS STRING))='' OR TRIM(CAST(X."&amp;F655&amp;" AS STRING)) IS NULL,1,0)) AS NUM_REG_DIF,'"&amp;MAX('ID1&amp;5'!K:K)+1&amp;"' AS ID_EXEC, CURRENT_TIMESTAMP() AS TIME_EXEC FROM "&amp;I655),
IF(C655="Caracteres Especiais",+"SELECT '"&amp;UPPER(B655)&amp;"' AS TABELA, '"&amp;UPPER(C655)&amp;"' AS TIPOLOGIA_TESTE,'"&amp;D655&amp;"' AS TABELA_LT,'N/A' AS TABELA_SIMUL,'"&amp;F655&amp;"' AS CAMPO, "&amp;"'${ref_date}' AS REF_DATE, COUNT(*) AS NUM_REG, SUM(IF(REGEXP_REPLACE(TRIM(CAST(X."&amp;F655&amp;" AS STRING)),'[^a-zA-Z0-9_\\s]','') &lt;&gt;TRIM(CAST(X."&amp;F655&amp;" AS STRING)),1,0)) AS NUM_REG_DIF,'"&amp;MAX('ID1&amp;5'!K:K)+1&amp;"' AS ID_EXEC, CURRENT_TIMESTAMP() AS TIME_EXEC FROM "&amp;I655,
IF(C655="Missings",+"SELECT '"&amp;UPPER(B655)&amp;"' AS TABELA, '"&amp;UPPER(C655)&amp;"' AS TIPOLOGIA_TESTE,'"&amp;D655&amp;"' AS TABELA_LT,'N/A' AS TABELA_SIMUL,'"&amp;F655&amp;"' AS CAMPO, "&amp;"'${ref_date}' AS REF_DATE, COUNT(*) AS NUM_REG, SUM(IF(TRIM(CAST(X."&amp;F655&amp;" AS STRING)) IN ('0000-00-00','0001-01-01','9999-12-31','MISS','00000','99999999999','99999999999.00','99999999999.000000'),1,0)) AS NUM_REG_DIF,'"&amp;MAX('ID1&amp;5'!K:K)+1&amp;"' AS ID_EXEC, CURRENT_TIMESTAMP() AS TIME_EXEC FROM "&amp;I655,
IF(C655="Not applicable",+"SELECT '"&amp;UPPER(B655)&amp;"' AS TABELA, '"&amp;UPPER(C655)&amp;"' AS TIPOLOGIA_TESTE,'"&amp;D655&amp;"' AS TABELA_LT,'N/A' AS TABELA_SIMUL,'"&amp;F655&amp;"' AS CAMPO, "&amp;"'${ref_date}' AS REF_DATE, COUNT(*) AS NUM_REG, SUM(IF(TRIM(CAST(X."&amp;F655&amp;" AS STRING)) IN ('N/A','11111111111','11111111111.00','11111111111.000000','1111-11-11'),1,0)) AS NUM_REG_DIF,'"&amp;MAX('ID1&amp;5'!K:K)+1&amp;"' AS ID_EXEC, CURRENT_TIMESTAMP() AS TIME_EXEC FROM "&amp;I655,
IF(C655="Valores extremos",+"SELECT '"&amp;UPPER(B655)&amp;"' AS TABELA, '"&amp;UPPER(C655)&amp;"' AS TIPOLOGIA_TESTE,'"&amp;D655&amp;"' AS TABELA_LT,'N/A' AS TABELA_SIMUL,'"&amp;F655&amp;"' AS CAMPO, "&amp;"'${ref_date}' AS REF_DATE, CAST(MIN("&amp;F655&amp;") AS STRING) AS VALOR_MIN, CAST(MAX("&amp;F655&amp;") AS STRING) AS VALOR_MAX,'"&amp;MAX('ID1&amp;5'!K:K)+1&amp;"' AS ID_EXEC, CURRENT_TIMESTAMP() AS TIME_EXEC FROM "&amp;MID(I655,1,LEN(I655)-2)&amp;" AND CAST("&amp;F655&amp;"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TIPOLOGIA_TESTE,'BU_LOANTAPE_WORK.LT005_INSTR_ENT' AS TABELA_LT,'BU_LOANTAPE_WORK.SIMUL_LT005_INSTR_ENT' AS TABELA_SIMUL,'add_fld01' AS CAMPO, '${ref_date}' AS REF_DATE, COUNT(*) AS NUM_REG, SUM(IF(COALESCE(CAST(X.add_fld01 AS STRING),'')&lt;&gt;COALESCE(CAST(Y.add_fld01_SIMUL AS STRING),'') OR (X.add_fld01 IS NULL AND Y.add_fld01_SIMUL IS NOT NULL ) OR (X.add_fld01 IS NOT NULL AND Y.add_fld01_SIMUL IS NULL),1,0)) AS NUM_REG_DIF,'1' AS ID_EXEC, CURRENT_TIMESTAMP() AS TIME_EXEC FROM (SELECT instrmnt_id, add_fld01 FROM BU_LOANTAPE_WORK.LT005_INSTR_ENT WHERE ref_date='${ref_date}' AND nome_perimetro='Individual Local' AND segmento='ESTR' AND ambito='SRB_MBDT' AND entidade='00100')X INNER JOIN (SELECT instrmnt_id AS instrmnt_id_SIMUL, add_fld01 AS add_fld01_SIMUL FROM BU_LOANTAPE_WORK.SIMUL_LT005_INSTR_ENT WHERE ref_date='${ref_date}' AND nome_perimetro='Individual Local' AND segmento='ESTR' AND ambito='PILAR3' AND entidade='00100')Y ON X.INSTRMNT_ID=Y.INSTRMNT_ID_SIMUL</v>
      </c>
      <c r="M655" s="36" t="str">
        <f t="shared" si="17"/>
        <v>UNION ALL SELECT 'INSTR_ENTITY' AS TABELA, 'COERÊNCIA' AS TIPOLOGIA_TESTE,'BU_LOANTAPE_WORK.LT005_INSTR_ENT' AS TABELA_LT,'BU_LOANTAPE_WORK.SIMUL_LT005_INSTR_ENT' AS TABELA_SIMUL,'add_fld01' AS CAMPO, '${ref_date}' AS REF_DATE, COUNT(*) AS NUM_REG, SUM(IF(COALESCE(CAST(X.add_fld01 AS STRING),'')&lt;&gt;COALESCE(CAST(Y.add_fld01_SIMUL AS STRING),'') OR (X.add_fld01 IS NULL AND Y.add_fld01_SIMUL IS NOT NULL ) OR (X.add_fld01 IS NOT NULL AND Y.add_fld01_SIMUL IS NULL),1,0)) AS NUM_REG_DIF,'1' AS ID_EXEC, CURRENT_TIMESTAMP() AS TIME_EXEC FROM (SELECT instrmnt_id, add_fld01 FROM BU_LOANTAPE_WORK.LT005_INSTR_ENT WHERE ref_date='${ref_date}' AND nome_perimetro='Individual Local' AND segmento='ESTR' AND ambito='SRB_MBDT' AND entidade='00100')X INNER JOIN (SELECT instrmnt_id AS instrmnt_id_SIMUL, add_fld01 AS add_fld01_SIMUL FROM BU_LOANTAPE_WORK.SIMUL_LT005_INSTR_ENT WHERE ref_date='${ref_date}' AND nome_perimetro='Individual Local' AND segmento='ESTR' AND ambito='PILAR3' AND entidade='00100')Y ON X.INSTRMNT_ID=Y.INSTRMNT_ID_SIMUL</v>
      </c>
    </row>
    <row r="656" spans="2:13">
      <c r="B656" s="34" t="s">
        <v>310</v>
      </c>
      <c r="C656" s="34" t="s">
        <v>5</v>
      </c>
      <c r="D656" s="34" t="str">
        <f>+UPPER('0. Instruções'!$D$35&amp;"."&amp;VLOOKUP(B656,'0. Instruções'!$C$27:$D$32,2,FALSE))</f>
        <v>BU_LOANTAPE_WORK.LT005_INSTR_ENT</v>
      </c>
      <c r="E656" s="34" t="str">
        <f>+UPPER('0. Instruções'!$D$36&amp;"."&amp;VLOOKUP(B656,'0. Instruções'!$C$27:$E$32,3,FALSE))</f>
        <v>BU_LOANTAPE_WORK.SIMUL_LT005_INSTR_ENT</v>
      </c>
      <c r="F656" s="34" t="s">
        <v>1246</v>
      </c>
      <c r="G656" s="34"/>
      <c r="H656" s="34"/>
      <c r="I656" s="34" t="str">
        <f>"(SELECT "&amp;VLOOKUP(B656,'0. Instruções'!$C$27:$G$32,4,FALSE)&amp;", "&amp;F656&amp;" FROM "&amp;D656&amp;" WHERE "&amp;'0. Instruções'!$D$42&amp;")X"</f>
        <v>(SELECT instrmnt_id, add_fld02 FROM BU_LOANTAPE_WORK.LT005_INSTR_ENT WHERE ref_date='${ref_date}' AND nome_perimetro='Individual Local' AND segmento='ESTR' AND ambito='SRB_MBDT' AND entidade='00100')X</v>
      </c>
      <c r="J656" s="34" t="str">
        <f>"(SELECT "&amp;VLOOKUP(B656,'0. Instruções'!$C$27:$G$32,4,FALSE)&amp;" AS "&amp;VLOOKUP(B656,'0. Instruções'!$C$27:$G$32,4,FALSE)&amp;"_SIMUL, "&amp;F656&amp;" AS "&amp;F656&amp;"_SIMUL FROM "&amp;E656&amp;" WHERE "&amp;'0. Instruções'!$D$43&amp;")Y"</f>
        <v>(SELECT instrmnt_id AS instrmnt_id_SIMUL, add_fld02 AS add_fld02_SIMUL FROM BU_LOANTAPE_WORK.SIMUL_LT005_INSTR_ENT WHERE ref_date='${ref_date}' AND nome_perimetro='Individual Local' AND segmento='ESTR' AND ambito='PILAR3' AND entidade='00100')Y</v>
      </c>
      <c r="K656" s="35" t="str">
        <f>+UPPER("ON X."&amp;VLOOKUP(B656,'0. Instruções'!$C$27:$G$32,4,FALSE)&amp;"=Y."&amp;VLOOKUP(B656,'0. Instruções'!$C$27:$G$32,4,FALSE)&amp;"_SIMUL")</f>
        <v>ON X.INSTRMNT_ID=Y.INSTRMNT_ID_SIMUL</v>
      </c>
      <c r="L656" s="35" t="str">
        <f>+IF(C656="Coerência", +IF(LEFT(G656,5)="FLOAT","SELECT '"&amp;UPPER(B656)&amp;"' AS TABELA, '"&amp;UPPER(C656)&amp;"' AS TIPOLOGIA_TESTE,'"&amp;D656&amp;"' AS TABELA_LT,'"&amp;E656&amp;"' AS TABELA_SIMUL,'"&amp;F656&amp;"' AS CAMPO, "&amp;"'${ref_date}' AS REF_DATE, COUNT(*) AS NUM_REG, SUM(IF((ABS(COALESCE(CAST(X."&amp;F656&amp;" AS DECIMAL(18,6)),0)-COALESCE(CAST(Y."&amp;F656&amp;"_SIMUL AS DECIMAL(18,6)),0))&gt;0.000001) OR (X."&amp;F656&amp;" IS NULL AND Y."&amp;F656&amp;"_SIMUL IS NOT NULL ) OR (X."&amp;F656&amp;" IS NOT NULL AND Y."&amp;F656&amp;"_SIMUL IS NULL),1,0)) AS NUM_REG_DIF,'"&amp;MAX('ID1&amp;5'!K:K)+1&amp;"' AS ID_EXEC, CURRENT_TIMESTAMP() AS TIME_EXEC FROM "&amp;I656&amp;" INNER JOIN "&amp;J656&amp;" "&amp;K656,"SELECT '"&amp;UPPER(B656)&amp;"' AS TABELA, '"&amp;UPPER(C656)&amp;"' AS TIPOLOGIA_TESTE,'"&amp;D656&amp;"' AS TABELA_LT,'"&amp;E656&amp;"' AS TABELA_SIMUL,'"&amp;F656&amp;"' AS CAMPO, "&amp;"'${ref_date}' AS REF_DATE, COUNT(*) AS NUM_REG, SUM(IF(COALESCE(CAST(X."&amp;F656&amp;" AS STRING),'')&lt;&gt;COALESCE(CAST(Y."&amp;F656&amp;"_SIMUL AS STRING),'') OR (X."&amp;F656&amp;" IS NULL AND Y."&amp;F656&amp;"_SIMUL IS NOT NULL ) OR (X."&amp;F656&amp;" IS NOT NULL AND Y."&amp;F656&amp;"_SIMUL IS NULL),1,0)) AS NUM_REG_DIF,'"&amp;MAX('ID1&amp;5'!L:L)+1&amp;"' AS ID_EXEC, CURRENT_TIMESTAMP() AS TIME_EXEC FROM "&amp;I656&amp;" INNER JOIN "&amp;J656&amp;" "&amp;K656),
IF(C656="Validade",+IF(G656="Code List","SELECT '"&amp;UPPER(B656)&amp;"' AS TABELA, '"&amp;UPPER(C656)&amp;"' AS TIPOLOGIA_TESTE,'"&amp;D656&amp;"' AS TABELA_LT,'N/A' AS TABELA_SIMUL,'"&amp;F656&amp;"' AS CAMPO, "&amp;"'${ref_date}' AS REF_DATE, COUNT(*) AS NUM_REG, SUM(IF(TRIM(CAST(X."&amp;F656&amp;" AS STRING))='' OR TRIM(CAST(X."&amp;F656&amp;" AS STRING)) IS NULL OR CAST(X."&amp;F656&amp;" AS STRING) NOT "&amp;H656&amp;",1,0)) AS NUM_REG_DIF,'"&amp;MAX('ID1&amp;5'!K:K)+1&amp;"' AS ID_EXEC, CURRENT_TIMESTAMP() AS TIME_EXEC FROM "&amp;I656,"SELECT '"&amp;UPPER(B656)&amp;"' AS TABELA, '"&amp;UPPER(C656)&amp;"' AS TIPOLOGIA_TESTE,'"&amp;D656&amp;"' AS TABELA_LT,'N/A' AS TABELA_SIMUL,'"&amp;F656&amp;"' AS CAMPO, "&amp;"'${ref_date}' AS REF_DATE, COUNT(*) AS NUM_REG, SUM(IF(TRIM(CAST(X."&amp;F656&amp;" AS STRING))='' OR TRIM(CAST(X."&amp;F656&amp;" AS STRING)) IS NULL,1,0)) AS NUM_REG_DIF,'"&amp;MAX('ID1&amp;5'!K:K)+1&amp;"' AS ID_EXEC, CURRENT_TIMESTAMP() AS TIME_EXEC FROM "&amp;I656),
IF(C656="Caracteres Especiais",+"SELECT '"&amp;UPPER(B656)&amp;"' AS TABELA, '"&amp;UPPER(C656)&amp;"' AS TIPOLOGIA_TESTE,'"&amp;D656&amp;"' AS TABELA_LT,'N/A' AS TABELA_SIMUL,'"&amp;F656&amp;"' AS CAMPO, "&amp;"'${ref_date}' AS REF_DATE, COUNT(*) AS NUM_REG, SUM(IF(REGEXP_REPLACE(TRIM(CAST(X."&amp;F656&amp;" AS STRING)),'[^a-zA-Z0-9_\\s]','') &lt;&gt;TRIM(CAST(X."&amp;F656&amp;" AS STRING)),1,0)) AS NUM_REG_DIF,'"&amp;MAX('ID1&amp;5'!K:K)+1&amp;"' AS ID_EXEC, CURRENT_TIMESTAMP() AS TIME_EXEC FROM "&amp;I656,
IF(C656="Missings",+"SELECT '"&amp;UPPER(B656)&amp;"' AS TABELA, '"&amp;UPPER(C656)&amp;"' AS TIPOLOGIA_TESTE,'"&amp;D656&amp;"' AS TABELA_LT,'N/A' AS TABELA_SIMUL,'"&amp;F656&amp;"' AS CAMPO, "&amp;"'${ref_date}' AS REF_DATE, COUNT(*) AS NUM_REG, SUM(IF(TRIM(CAST(X."&amp;F656&amp;" AS STRING)) IN ('0000-00-00','0001-01-01','9999-12-31','MISS','00000','99999999999','99999999999.00','99999999999.000000'),1,0)) AS NUM_REG_DIF,'"&amp;MAX('ID1&amp;5'!K:K)+1&amp;"' AS ID_EXEC, CURRENT_TIMESTAMP() AS TIME_EXEC FROM "&amp;I656,
IF(C656="Not applicable",+"SELECT '"&amp;UPPER(B656)&amp;"' AS TABELA, '"&amp;UPPER(C656)&amp;"' AS TIPOLOGIA_TESTE,'"&amp;D656&amp;"' AS TABELA_LT,'N/A' AS TABELA_SIMUL,'"&amp;F656&amp;"' AS CAMPO, "&amp;"'${ref_date}' AS REF_DATE, COUNT(*) AS NUM_REG, SUM(IF(TRIM(CAST(X."&amp;F656&amp;" AS STRING)) IN ('N/A','11111111111','11111111111.00','11111111111.000000','1111-11-11'),1,0)) AS NUM_REG_DIF,'"&amp;MAX('ID1&amp;5'!K:K)+1&amp;"' AS ID_EXEC, CURRENT_TIMESTAMP() AS TIME_EXEC FROM "&amp;I656,
IF(C656="Valores extremos",+"SELECT '"&amp;UPPER(B656)&amp;"' AS TABELA, '"&amp;UPPER(C656)&amp;"' AS TIPOLOGIA_TESTE,'"&amp;D656&amp;"' AS TABELA_LT,'N/A' AS TABELA_SIMUL,'"&amp;F656&amp;"' AS CAMPO, "&amp;"'${ref_date}' AS REF_DATE, CAST(MIN("&amp;F656&amp;") AS STRING) AS VALOR_MIN, CAST(MAX("&amp;F656&amp;") AS STRING) AS VALOR_MAX,'"&amp;MAX('ID1&amp;5'!K:K)+1&amp;"' AS ID_EXEC, CURRENT_TIMESTAMP() AS TIME_EXEC FROM "&amp;MID(I656,1,LEN(I656)-2)&amp;" AND CAST("&amp;F656&amp;"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TIPOLOGIA_TESTE,'BU_LOANTAPE_WORK.LT005_INSTR_ENT' AS TABELA_LT,'BU_LOANTAPE_WORK.SIMUL_LT005_INSTR_ENT' AS TABELA_SIMUL,'add_fld02' AS CAMPO, '${ref_date}' AS REF_DATE, COUNT(*) AS NUM_REG, SUM(IF(COALESCE(CAST(X.add_fld02 AS STRING),'')&lt;&gt;COALESCE(CAST(Y.add_fld02_SIMUL AS STRING),'') OR (X.add_fld02 IS NULL AND Y.add_fld02_SIMUL IS NOT NULL ) OR (X.add_fld02 IS NOT NULL AND Y.add_fld02_SIMUL IS NULL),1,0)) AS NUM_REG_DIF,'1' AS ID_EXEC, CURRENT_TIMESTAMP() AS TIME_EXEC FROM (SELECT instrmnt_id, add_fld02 FROM BU_LOANTAPE_WORK.LT005_INSTR_ENT WHERE ref_date='${ref_date}' AND nome_perimetro='Individual Local' AND segmento='ESTR' AND ambito='SRB_MBDT' AND entidade='00100')X INNER JOIN (SELECT instrmnt_id AS instrmnt_id_SIMUL, add_fld02 AS add_fld02_SIMUL FROM BU_LOANTAPE_WORK.SIMUL_LT005_INSTR_ENT WHERE ref_date='${ref_date}' AND nome_perimetro='Individual Local' AND segmento='ESTR' AND ambito='PILAR3' AND entidade='00100')Y ON X.INSTRMNT_ID=Y.INSTRMNT_ID_SIMUL</v>
      </c>
      <c r="M656" s="36" t="str">
        <f t="shared" si="17"/>
        <v>UNION ALL SELECT 'INSTR_ENTITY' AS TABELA, 'COERÊNCIA' AS TIPOLOGIA_TESTE,'BU_LOANTAPE_WORK.LT005_INSTR_ENT' AS TABELA_LT,'BU_LOANTAPE_WORK.SIMUL_LT005_INSTR_ENT' AS TABELA_SIMUL,'add_fld02' AS CAMPO, '${ref_date}' AS REF_DATE, COUNT(*) AS NUM_REG, SUM(IF(COALESCE(CAST(X.add_fld02 AS STRING),'')&lt;&gt;COALESCE(CAST(Y.add_fld02_SIMUL AS STRING),'') OR (X.add_fld02 IS NULL AND Y.add_fld02_SIMUL IS NOT NULL ) OR (X.add_fld02 IS NOT NULL AND Y.add_fld02_SIMUL IS NULL),1,0)) AS NUM_REG_DIF,'1' AS ID_EXEC, CURRENT_TIMESTAMP() AS TIME_EXEC FROM (SELECT instrmnt_id, add_fld02 FROM BU_LOANTAPE_WORK.LT005_INSTR_ENT WHERE ref_date='${ref_date}' AND nome_perimetro='Individual Local' AND segmento='ESTR' AND ambito='SRB_MBDT' AND entidade='00100')X INNER JOIN (SELECT instrmnt_id AS instrmnt_id_SIMUL, add_fld02 AS add_fld02_SIMUL FROM BU_LOANTAPE_WORK.SIMUL_LT005_INSTR_ENT WHERE ref_date='${ref_date}' AND nome_perimetro='Individual Local' AND segmento='ESTR' AND ambito='PILAR3' AND entidade='00100')Y ON X.INSTRMNT_ID=Y.INSTRMNT_ID_SIMUL</v>
      </c>
    </row>
    <row r="657" spans="2:13">
      <c r="B657" s="34" t="s">
        <v>310</v>
      </c>
      <c r="C657" s="34" t="s">
        <v>5</v>
      </c>
      <c r="D657" s="34" t="str">
        <f>+UPPER('0. Instruções'!$D$35&amp;"."&amp;VLOOKUP(B657,'0. Instruções'!$C$27:$D$32,2,FALSE))</f>
        <v>BU_LOANTAPE_WORK.LT005_INSTR_ENT</v>
      </c>
      <c r="E657" s="34" t="str">
        <f>+UPPER('0. Instruções'!$D$36&amp;"."&amp;VLOOKUP(B657,'0. Instruções'!$C$27:$E$32,3,FALSE))</f>
        <v>BU_LOANTAPE_WORK.SIMUL_LT005_INSTR_ENT</v>
      </c>
      <c r="F657" s="34" t="s">
        <v>1247</v>
      </c>
      <c r="G657" s="34"/>
      <c r="H657" s="34"/>
      <c r="I657" s="34" t="str">
        <f>"(SELECT "&amp;VLOOKUP(B657,'0. Instruções'!$C$27:$G$32,4,FALSE)&amp;", "&amp;F657&amp;" FROM "&amp;D657&amp;" WHERE "&amp;'0. Instruções'!$D$42&amp;")X"</f>
        <v>(SELECT instrmnt_id, add_fld03 FROM BU_LOANTAPE_WORK.LT005_INSTR_ENT WHERE ref_date='${ref_date}' AND nome_perimetro='Individual Local' AND segmento='ESTR' AND ambito='SRB_MBDT' AND entidade='00100')X</v>
      </c>
      <c r="J657" s="34" t="str">
        <f>"(SELECT "&amp;VLOOKUP(B657,'0. Instruções'!$C$27:$G$32,4,FALSE)&amp;" AS "&amp;VLOOKUP(B657,'0. Instruções'!$C$27:$G$32,4,FALSE)&amp;"_SIMUL, "&amp;F657&amp;" AS "&amp;F657&amp;"_SIMUL FROM "&amp;E657&amp;" WHERE "&amp;'0. Instruções'!$D$43&amp;")Y"</f>
        <v>(SELECT instrmnt_id AS instrmnt_id_SIMUL, add_fld03 AS add_fld03_SIMUL FROM BU_LOANTAPE_WORK.SIMUL_LT005_INSTR_ENT WHERE ref_date='${ref_date}' AND nome_perimetro='Individual Local' AND segmento='ESTR' AND ambito='PILAR3' AND entidade='00100')Y</v>
      </c>
      <c r="K657" s="35" t="str">
        <f>+UPPER("ON X."&amp;VLOOKUP(B657,'0. Instruções'!$C$27:$G$32,4,FALSE)&amp;"=Y."&amp;VLOOKUP(B657,'0. Instruções'!$C$27:$G$32,4,FALSE)&amp;"_SIMUL")</f>
        <v>ON X.INSTRMNT_ID=Y.INSTRMNT_ID_SIMUL</v>
      </c>
      <c r="L657" s="35" t="str">
        <f>+IF(C657="Coerência", +IF(LEFT(G657,5)="FLOAT","SELECT '"&amp;UPPER(B657)&amp;"' AS TABELA, '"&amp;UPPER(C657)&amp;"' AS TIPOLOGIA_TESTE,'"&amp;D657&amp;"' AS TABELA_LT,'"&amp;E657&amp;"' AS TABELA_SIMUL,'"&amp;F657&amp;"' AS CAMPO, "&amp;"'${ref_date}' AS REF_DATE, COUNT(*) AS NUM_REG, SUM(IF((ABS(COALESCE(CAST(X."&amp;F657&amp;" AS DECIMAL(18,6)),0)-COALESCE(CAST(Y."&amp;F657&amp;"_SIMUL AS DECIMAL(18,6)),0))&gt;0.000001) OR (X."&amp;F657&amp;" IS NULL AND Y."&amp;F657&amp;"_SIMUL IS NOT NULL ) OR (X."&amp;F657&amp;" IS NOT NULL AND Y."&amp;F657&amp;"_SIMUL IS NULL),1,0)) AS NUM_REG_DIF,'"&amp;MAX('ID1&amp;5'!K:K)+1&amp;"' AS ID_EXEC, CURRENT_TIMESTAMP() AS TIME_EXEC FROM "&amp;I657&amp;" INNER JOIN "&amp;J657&amp;" "&amp;K657,"SELECT '"&amp;UPPER(B657)&amp;"' AS TABELA, '"&amp;UPPER(C657)&amp;"' AS TIPOLOGIA_TESTE,'"&amp;D657&amp;"' AS TABELA_LT,'"&amp;E657&amp;"' AS TABELA_SIMUL,'"&amp;F657&amp;"' AS CAMPO, "&amp;"'${ref_date}' AS REF_DATE, COUNT(*) AS NUM_REG, SUM(IF(COALESCE(CAST(X."&amp;F657&amp;" AS STRING),'')&lt;&gt;COALESCE(CAST(Y."&amp;F657&amp;"_SIMUL AS STRING),'') OR (X."&amp;F657&amp;" IS NULL AND Y."&amp;F657&amp;"_SIMUL IS NOT NULL ) OR (X."&amp;F657&amp;" IS NOT NULL AND Y."&amp;F657&amp;"_SIMUL IS NULL),1,0)) AS NUM_REG_DIF,'"&amp;MAX('ID1&amp;5'!L:L)+1&amp;"' AS ID_EXEC, CURRENT_TIMESTAMP() AS TIME_EXEC FROM "&amp;I657&amp;" INNER JOIN "&amp;J657&amp;" "&amp;K657),
IF(C657="Validade",+IF(G657="Code List","SELECT '"&amp;UPPER(B657)&amp;"' AS TABELA, '"&amp;UPPER(C657)&amp;"' AS TIPOLOGIA_TESTE,'"&amp;D657&amp;"' AS TABELA_LT,'N/A' AS TABELA_SIMUL,'"&amp;F657&amp;"' AS CAMPO, "&amp;"'${ref_date}' AS REF_DATE, COUNT(*) AS NUM_REG, SUM(IF(TRIM(CAST(X."&amp;F657&amp;" AS STRING))='' OR TRIM(CAST(X."&amp;F657&amp;" AS STRING)) IS NULL OR CAST(X."&amp;F657&amp;" AS STRING) NOT "&amp;H657&amp;",1,0)) AS NUM_REG_DIF,'"&amp;MAX('ID1&amp;5'!K:K)+1&amp;"' AS ID_EXEC, CURRENT_TIMESTAMP() AS TIME_EXEC FROM "&amp;I657,"SELECT '"&amp;UPPER(B657)&amp;"' AS TABELA, '"&amp;UPPER(C657)&amp;"' AS TIPOLOGIA_TESTE,'"&amp;D657&amp;"' AS TABELA_LT,'N/A' AS TABELA_SIMUL,'"&amp;F657&amp;"' AS CAMPO, "&amp;"'${ref_date}' AS REF_DATE, COUNT(*) AS NUM_REG, SUM(IF(TRIM(CAST(X."&amp;F657&amp;" AS STRING))='' OR TRIM(CAST(X."&amp;F657&amp;" AS STRING)) IS NULL,1,0)) AS NUM_REG_DIF,'"&amp;MAX('ID1&amp;5'!K:K)+1&amp;"' AS ID_EXEC, CURRENT_TIMESTAMP() AS TIME_EXEC FROM "&amp;I657),
IF(C657="Caracteres Especiais",+"SELECT '"&amp;UPPER(B657)&amp;"' AS TABELA, '"&amp;UPPER(C657)&amp;"' AS TIPOLOGIA_TESTE,'"&amp;D657&amp;"' AS TABELA_LT,'N/A' AS TABELA_SIMUL,'"&amp;F657&amp;"' AS CAMPO, "&amp;"'${ref_date}' AS REF_DATE, COUNT(*) AS NUM_REG, SUM(IF(REGEXP_REPLACE(TRIM(CAST(X."&amp;F657&amp;" AS STRING)),'[^a-zA-Z0-9_\\s]','') &lt;&gt;TRIM(CAST(X."&amp;F657&amp;" AS STRING)),1,0)) AS NUM_REG_DIF,'"&amp;MAX('ID1&amp;5'!K:K)+1&amp;"' AS ID_EXEC, CURRENT_TIMESTAMP() AS TIME_EXEC FROM "&amp;I657,
IF(C657="Missings",+"SELECT '"&amp;UPPER(B657)&amp;"' AS TABELA, '"&amp;UPPER(C657)&amp;"' AS TIPOLOGIA_TESTE,'"&amp;D657&amp;"' AS TABELA_LT,'N/A' AS TABELA_SIMUL,'"&amp;F657&amp;"' AS CAMPO, "&amp;"'${ref_date}' AS REF_DATE, COUNT(*) AS NUM_REG, SUM(IF(TRIM(CAST(X."&amp;F657&amp;" AS STRING)) IN ('0000-00-00','0001-01-01','9999-12-31','MISS','00000','99999999999','99999999999.00','99999999999.000000'),1,0)) AS NUM_REG_DIF,'"&amp;MAX('ID1&amp;5'!K:K)+1&amp;"' AS ID_EXEC, CURRENT_TIMESTAMP() AS TIME_EXEC FROM "&amp;I657,
IF(C657="Not applicable",+"SELECT '"&amp;UPPER(B657)&amp;"' AS TABELA, '"&amp;UPPER(C657)&amp;"' AS TIPOLOGIA_TESTE,'"&amp;D657&amp;"' AS TABELA_LT,'N/A' AS TABELA_SIMUL,'"&amp;F657&amp;"' AS CAMPO, "&amp;"'${ref_date}' AS REF_DATE, COUNT(*) AS NUM_REG, SUM(IF(TRIM(CAST(X."&amp;F657&amp;" AS STRING)) IN ('N/A','11111111111','11111111111.00','11111111111.000000','1111-11-11'),1,0)) AS NUM_REG_DIF,'"&amp;MAX('ID1&amp;5'!K:K)+1&amp;"' AS ID_EXEC, CURRENT_TIMESTAMP() AS TIME_EXEC FROM "&amp;I657,
IF(C657="Valores extremos",+"SELECT '"&amp;UPPER(B657)&amp;"' AS TABELA, '"&amp;UPPER(C657)&amp;"' AS TIPOLOGIA_TESTE,'"&amp;D657&amp;"' AS TABELA_LT,'N/A' AS TABELA_SIMUL,'"&amp;F657&amp;"' AS CAMPO, "&amp;"'${ref_date}' AS REF_DATE, CAST(MIN("&amp;F657&amp;") AS STRING) AS VALOR_MIN, CAST(MAX("&amp;F657&amp;") AS STRING) AS VALOR_MAX,'"&amp;MAX('ID1&amp;5'!K:K)+1&amp;"' AS ID_EXEC, CURRENT_TIMESTAMP() AS TIME_EXEC FROM "&amp;MID(I657,1,LEN(I657)-2)&amp;" AND CAST("&amp;F657&amp;"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TIPOLOGIA_TESTE,'BU_LOANTAPE_WORK.LT005_INSTR_ENT' AS TABELA_LT,'BU_LOANTAPE_WORK.SIMUL_LT005_INSTR_ENT' AS TABELA_SIMUL,'add_fld03' AS CAMPO, '${ref_date}' AS REF_DATE, COUNT(*) AS NUM_REG, SUM(IF(COALESCE(CAST(X.add_fld03 AS STRING),'')&lt;&gt;COALESCE(CAST(Y.add_fld03_SIMUL AS STRING),'') OR (X.add_fld03 IS NULL AND Y.add_fld03_SIMUL IS NOT NULL ) OR (X.add_fld03 IS NOT NULL AND Y.add_fld03_SIMUL IS NULL),1,0)) AS NUM_REG_DIF,'1' AS ID_EXEC, CURRENT_TIMESTAMP() AS TIME_EXEC FROM (SELECT instrmnt_id, add_fld03 FROM BU_LOANTAPE_WORK.LT005_INSTR_ENT WHERE ref_date='${ref_date}' AND nome_perimetro='Individual Local' AND segmento='ESTR' AND ambito='SRB_MBDT' AND entidade='00100')X INNER JOIN (SELECT instrmnt_id AS instrmnt_id_SIMUL, add_fld03 AS add_fld03_SIMUL FROM BU_LOANTAPE_WORK.SIMUL_LT005_INSTR_ENT WHERE ref_date='${ref_date}' AND nome_perimetro='Individual Local' AND segmento='ESTR' AND ambito='PILAR3' AND entidade='00100')Y ON X.INSTRMNT_ID=Y.INSTRMNT_ID_SIMUL</v>
      </c>
      <c r="M657" s="36" t="str">
        <f t="shared" si="17"/>
        <v>UNION ALL SELECT 'INSTR_ENTITY' AS TABELA, 'COERÊNCIA' AS TIPOLOGIA_TESTE,'BU_LOANTAPE_WORK.LT005_INSTR_ENT' AS TABELA_LT,'BU_LOANTAPE_WORK.SIMUL_LT005_INSTR_ENT' AS TABELA_SIMUL,'add_fld03' AS CAMPO, '${ref_date}' AS REF_DATE, COUNT(*) AS NUM_REG, SUM(IF(COALESCE(CAST(X.add_fld03 AS STRING),'')&lt;&gt;COALESCE(CAST(Y.add_fld03_SIMUL AS STRING),'') OR (X.add_fld03 IS NULL AND Y.add_fld03_SIMUL IS NOT NULL ) OR (X.add_fld03 IS NOT NULL AND Y.add_fld03_SIMUL IS NULL),1,0)) AS NUM_REG_DIF,'1' AS ID_EXEC, CURRENT_TIMESTAMP() AS TIME_EXEC FROM (SELECT instrmnt_id, add_fld03 FROM BU_LOANTAPE_WORK.LT005_INSTR_ENT WHERE ref_date='${ref_date}' AND nome_perimetro='Individual Local' AND segmento='ESTR' AND ambito='SRB_MBDT' AND entidade='00100')X INNER JOIN (SELECT instrmnt_id AS instrmnt_id_SIMUL, add_fld03 AS add_fld03_SIMUL FROM BU_LOANTAPE_WORK.SIMUL_LT005_INSTR_ENT WHERE ref_date='${ref_date}' AND nome_perimetro='Individual Local' AND segmento='ESTR' AND ambito='PILAR3' AND entidade='00100')Y ON X.INSTRMNT_ID=Y.INSTRMNT_ID_SIMUL</v>
      </c>
    </row>
    <row r="658" spans="2:13">
      <c r="B658" s="34" t="s">
        <v>310</v>
      </c>
      <c r="C658" s="34" t="s">
        <v>5</v>
      </c>
      <c r="D658" s="34" t="str">
        <f>+UPPER('0. Instruções'!$D$35&amp;"."&amp;VLOOKUP(B658,'0. Instruções'!$C$27:$D$32,2,FALSE))</f>
        <v>BU_LOANTAPE_WORK.LT005_INSTR_ENT</v>
      </c>
      <c r="E658" s="34" t="str">
        <f>+UPPER('0. Instruções'!$D$36&amp;"."&amp;VLOOKUP(B658,'0. Instruções'!$C$27:$E$32,3,FALSE))</f>
        <v>BU_LOANTAPE_WORK.SIMUL_LT005_INSTR_ENT</v>
      </c>
      <c r="F658" s="34" t="s">
        <v>1248</v>
      </c>
      <c r="G658" s="34"/>
      <c r="H658" s="34"/>
      <c r="I658" s="34" t="str">
        <f>"(SELECT "&amp;VLOOKUP(B658,'0. Instruções'!$C$27:$G$32,4,FALSE)&amp;", "&amp;F658&amp;" FROM "&amp;D658&amp;" WHERE "&amp;'0. Instruções'!$D$42&amp;")X"</f>
        <v>(SELECT instrmnt_id, add_fld04 FROM BU_LOANTAPE_WORK.LT005_INSTR_ENT WHERE ref_date='${ref_date}' AND nome_perimetro='Individual Local' AND segmento='ESTR' AND ambito='SRB_MBDT' AND entidade='00100')X</v>
      </c>
      <c r="J658" s="34" t="str">
        <f>"(SELECT "&amp;VLOOKUP(B658,'0. Instruções'!$C$27:$G$32,4,FALSE)&amp;" AS "&amp;VLOOKUP(B658,'0. Instruções'!$C$27:$G$32,4,FALSE)&amp;"_SIMUL, "&amp;F658&amp;" AS "&amp;F658&amp;"_SIMUL FROM "&amp;E658&amp;" WHERE "&amp;'0. Instruções'!$D$43&amp;")Y"</f>
        <v>(SELECT instrmnt_id AS instrmnt_id_SIMUL, add_fld04 AS add_fld04_SIMUL FROM BU_LOANTAPE_WORK.SIMUL_LT005_INSTR_ENT WHERE ref_date='${ref_date}' AND nome_perimetro='Individual Local' AND segmento='ESTR' AND ambito='PILAR3' AND entidade='00100')Y</v>
      </c>
      <c r="K658" s="35" t="str">
        <f>+UPPER("ON X."&amp;VLOOKUP(B658,'0. Instruções'!$C$27:$G$32,4,FALSE)&amp;"=Y."&amp;VLOOKUP(B658,'0. Instruções'!$C$27:$G$32,4,FALSE)&amp;"_SIMUL")</f>
        <v>ON X.INSTRMNT_ID=Y.INSTRMNT_ID_SIMUL</v>
      </c>
      <c r="L658" s="35" t="str">
        <f>+IF(C658="Coerência", +IF(LEFT(G658,5)="FLOAT","SELECT '"&amp;UPPER(B658)&amp;"' AS TABELA, '"&amp;UPPER(C658)&amp;"' AS TIPOLOGIA_TESTE,'"&amp;D658&amp;"' AS TABELA_LT,'"&amp;E658&amp;"' AS TABELA_SIMUL,'"&amp;F658&amp;"' AS CAMPO, "&amp;"'${ref_date}' AS REF_DATE, COUNT(*) AS NUM_REG, SUM(IF((ABS(COALESCE(CAST(X."&amp;F658&amp;" AS DECIMAL(18,6)),0)-COALESCE(CAST(Y."&amp;F658&amp;"_SIMUL AS DECIMAL(18,6)),0))&gt;0.000001) OR (X."&amp;F658&amp;" IS NULL AND Y."&amp;F658&amp;"_SIMUL IS NOT NULL ) OR (X."&amp;F658&amp;" IS NOT NULL AND Y."&amp;F658&amp;"_SIMUL IS NULL),1,0)) AS NUM_REG_DIF,'"&amp;MAX('ID1&amp;5'!K:K)+1&amp;"' AS ID_EXEC, CURRENT_TIMESTAMP() AS TIME_EXEC FROM "&amp;I658&amp;" INNER JOIN "&amp;J658&amp;" "&amp;K658,"SELECT '"&amp;UPPER(B658)&amp;"' AS TABELA, '"&amp;UPPER(C658)&amp;"' AS TIPOLOGIA_TESTE,'"&amp;D658&amp;"' AS TABELA_LT,'"&amp;E658&amp;"' AS TABELA_SIMUL,'"&amp;F658&amp;"' AS CAMPO, "&amp;"'${ref_date}' AS REF_DATE, COUNT(*) AS NUM_REG, SUM(IF(COALESCE(CAST(X."&amp;F658&amp;" AS STRING),'')&lt;&gt;COALESCE(CAST(Y."&amp;F658&amp;"_SIMUL AS STRING),'') OR (X."&amp;F658&amp;" IS NULL AND Y."&amp;F658&amp;"_SIMUL IS NOT NULL ) OR (X."&amp;F658&amp;" IS NOT NULL AND Y."&amp;F658&amp;"_SIMUL IS NULL),1,0)) AS NUM_REG_DIF,'"&amp;MAX('ID1&amp;5'!L:L)+1&amp;"' AS ID_EXEC, CURRENT_TIMESTAMP() AS TIME_EXEC FROM "&amp;I658&amp;" INNER JOIN "&amp;J658&amp;" "&amp;K658),
IF(C658="Validade",+IF(G658="Code List","SELECT '"&amp;UPPER(B658)&amp;"' AS TABELA, '"&amp;UPPER(C658)&amp;"' AS TIPOLOGIA_TESTE,'"&amp;D658&amp;"' AS TABELA_LT,'N/A' AS TABELA_SIMUL,'"&amp;F658&amp;"' AS CAMPO, "&amp;"'${ref_date}' AS REF_DATE, COUNT(*) AS NUM_REG, SUM(IF(TRIM(CAST(X."&amp;F658&amp;" AS STRING))='' OR TRIM(CAST(X."&amp;F658&amp;" AS STRING)) IS NULL OR CAST(X."&amp;F658&amp;" AS STRING) NOT "&amp;H658&amp;",1,0)) AS NUM_REG_DIF,'"&amp;MAX('ID1&amp;5'!K:K)+1&amp;"' AS ID_EXEC, CURRENT_TIMESTAMP() AS TIME_EXEC FROM "&amp;I658,"SELECT '"&amp;UPPER(B658)&amp;"' AS TABELA, '"&amp;UPPER(C658)&amp;"' AS TIPOLOGIA_TESTE,'"&amp;D658&amp;"' AS TABELA_LT,'N/A' AS TABELA_SIMUL,'"&amp;F658&amp;"' AS CAMPO, "&amp;"'${ref_date}' AS REF_DATE, COUNT(*) AS NUM_REG, SUM(IF(TRIM(CAST(X."&amp;F658&amp;" AS STRING))='' OR TRIM(CAST(X."&amp;F658&amp;" AS STRING)) IS NULL,1,0)) AS NUM_REG_DIF,'"&amp;MAX('ID1&amp;5'!K:K)+1&amp;"' AS ID_EXEC, CURRENT_TIMESTAMP() AS TIME_EXEC FROM "&amp;I658),
IF(C658="Caracteres Especiais",+"SELECT '"&amp;UPPER(B658)&amp;"' AS TABELA, '"&amp;UPPER(C658)&amp;"' AS TIPOLOGIA_TESTE,'"&amp;D658&amp;"' AS TABELA_LT,'N/A' AS TABELA_SIMUL,'"&amp;F658&amp;"' AS CAMPO, "&amp;"'${ref_date}' AS REF_DATE, COUNT(*) AS NUM_REG, SUM(IF(REGEXP_REPLACE(TRIM(CAST(X."&amp;F658&amp;" AS STRING)),'[^a-zA-Z0-9_\\s]','') &lt;&gt;TRIM(CAST(X."&amp;F658&amp;" AS STRING)),1,0)) AS NUM_REG_DIF,'"&amp;MAX('ID1&amp;5'!K:K)+1&amp;"' AS ID_EXEC, CURRENT_TIMESTAMP() AS TIME_EXEC FROM "&amp;I658,
IF(C658="Missings",+"SELECT '"&amp;UPPER(B658)&amp;"' AS TABELA, '"&amp;UPPER(C658)&amp;"' AS TIPOLOGIA_TESTE,'"&amp;D658&amp;"' AS TABELA_LT,'N/A' AS TABELA_SIMUL,'"&amp;F658&amp;"' AS CAMPO, "&amp;"'${ref_date}' AS REF_DATE, COUNT(*) AS NUM_REG, SUM(IF(TRIM(CAST(X."&amp;F658&amp;" AS STRING)) IN ('0000-00-00','0001-01-01','9999-12-31','MISS','00000','99999999999','99999999999.00','99999999999.000000'),1,0)) AS NUM_REG_DIF,'"&amp;MAX('ID1&amp;5'!K:K)+1&amp;"' AS ID_EXEC, CURRENT_TIMESTAMP() AS TIME_EXEC FROM "&amp;I658,
IF(C658="Not applicable",+"SELECT '"&amp;UPPER(B658)&amp;"' AS TABELA, '"&amp;UPPER(C658)&amp;"' AS TIPOLOGIA_TESTE,'"&amp;D658&amp;"' AS TABELA_LT,'N/A' AS TABELA_SIMUL,'"&amp;F658&amp;"' AS CAMPO, "&amp;"'${ref_date}' AS REF_DATE, COUNT(*) AS NUM_REG, SUM(IF(TRIM(CAST(X."&amp;F658&amp;" AS STRING)) IN ('N/A','11111111111','11111111111.00','11111111111.000000','1111-11-11'),1,0)) AS NUM_REG_DIF,'"&amp;MAX('ID1&amp;5'!K:K)+1&amp;"' AS ID_EXEC, CURRENT_TIMESTAMP() AS TIME_EXEC FROM "&amp;I658,
IF(C658="Valores extremos",+"SELECT '"&amp;UPPER(B658)&amp;"' AS TABELA, '"&amp;UPPER(C658)&amp;"' AS TIPOLOGIA_TESTE,'"&amp;D658&amp;"' AS TABELA_LT,'N/A' AS TABELA_SIMUL,'"&amp;F658&amp;"' AS CAMPO, "&amp;"'${ref_date}' AS REF_DATE, CAST(MIN("&amp;F658&amp;") AS STRING) AS VALOR_MIN, CAST(MAX("&amp;F658&amp;") AS STRING) AS VALOR_MAX,'"&amp;MAX('ID1&amp;5'!K:K)+1&amp;"' AS ID_EXEC, CURRENT_TIMESTAMP() AS TIME_EXEC FROM "&amp;MID(I658,1,LEN(I658)-2)&amp;" AND CAST("&amp;F658&amp;"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TIPOLOGIA_TESTE,'BU_LOANTAPE_WORK.LT005_INSTR_ENT' AS TABELA_LT,'BU_LOANTAPE_WORK.SIMUL_LT005_INSTR_ENT' AS TABELA_SIMUL,'add_fld04' AS CAMPO, '${ref_date}' AS REF_DATE, COUNT(*) AS NUM_REG, SUM(IF(COALESCE(CAST(X.add_fld04 AS STRING),'')&lt;&gt;COALESCE(CAST(Y.add_fld04_SIMUL AS STRING),'') OR (X.add_fld04 IS NULL AND Y.add_fld04_SIMUL IS NOT NULL ) OR (X.add_fld04 IS NOT NULL AND Y.add_fld04_SIMUL IS NULL),1,0)) AS NUM_REG_DIF,'1' AS ID_EXEC, CURRENT_TIMESTAMP() AS TIME_EXEC FROM (SELECT instrmnt_id, add_fld04 FROM BU_LOANTAPE_WORK.LT005_INSTR_ENT WHERE ref_date='${ref_date}' AND nome_perimetro='Individual Local' AND segmento='ESTR' AND ambito='SRB_MBDT' AND entidade='00100')X INNER JOIN (SELECT instrmnt_id AS instrmnt_id_SIMUL, add_fld04 AS add_fld04_SIMUL FROM BU_LOANTAPE_WORK.SIMUL_LT005_INSTR_ENT WHERE ref_date='${ref_date}' AND nome_perimetro='Individual Local' AND segmento='ESTR' AND ambito='PILAR3' AND entidade='00100')Y ON X.INSTRMNT_ID=Y.INSTRMNT_ID_SIMUL</v>
      </c>
      <c r="M658" s="36" t="str">
        <f t="shared" si="17"/>
        <v>UNION ALL SELECT 'INSTR_ENTITY' AS TABELA, 'COERÊNCIA' AS TIPOLOGIA_TESTE,'BU_LOANTAPE_WORK.LT005_INSTR_ENT' AS TABELA_LT,'BU_LOANTAPE_WORK.SIMUL_LT005_INSTR_ENT' AS TABELA_SIMUL,'add_fld04' AS CAMPO, '${ref_date}' AS REF_DATE, COUNT(*) AS NUM_REG, SUM(IF(COALESCE(CAST(X.add_fld04 AS STRING),'')&lt;&gt;COALESCE(CAST(Y.add_fld04_SIMUL AS STRING),'') OR (X.add_fld04 IS NULL AND Y.add_fld04_SIMUL IS NOT NULL ) OR (X.add_fld04 IS NOT NULL AND Y.add_fld04_SIMUL IS NULL),1,0)) AS NUM_REG_DIF,'1' AS ID_EXEC, CURRENT_TIMESTAMP() AS TIME_EXEC FROM (SELECT instrmnt_id, add_fld04 FROM BU_LOANTAPE_WORK.LT005_INSTR_ENT WHERE ref_date='${ref_date}' AND nome_perimetro='Individual Local' AND segmento='ESTR' AND ambito='SRB_MBDT' AND entidade='00100')X INNER JOIN (SELECT instrmnt_id AS instrmnt_id_SIMUL, add_fld04 AS add_fld04_SIMUL FROM BU_LOANTAPE_WORK.SIMUL_LT005_INSTR_ENT WHERE ref_date='${ref_date}' AND nome_perimetro='Individual Local' AND segmento='ESTR' AND ambito='PILAR3' AND entidade='00100')Y ON X.INSTRMNT_ID=Y.INSTRMNT_ID_SIMUL</v>
      </c>
    </row>
    <row r="659" spans="2:13">
      <c r="B659" s="34" t="s">
        <v>310</v>
      </c>
      <c r="C659" s="34" t="s">
        <v>5</v>
      </c>
      <c r="D659" s="34" t="str">
        <f>+UPPER('0. Instruções'!$D$35&amp;"."&amp;VLOOKUP(B659,'0. Instruções'!$C$27:$D$32,2,FALSE))</f>
        <v>BU_LOANTAPE_WORK.LT005_INSTR_ENT</v>
      </c>
      <c r="E659" s="34" t="str">
        <f>+UPPER('0. Instruções'!$D$36&amp;"."&amp;VLOOKUP(B659,'0. Instruções'!$C$27:$E$32,3,FALSE))</f>
        <v>BU_LOANTAPE_WORK.SIMUL_LT005_INSTR_ENT</v>
      </c>
      <c r="F659" s="34" t="s">
        <v>1249</v>
      </c>
      <c r="G659" s="34"/>
      <c r="H659" s="34"/>
      <c r="I659" s="34" t="str">
        <f>"(SELECT "&amp;VLOOKUP(B659,'0. Instruções'!$C$27:$G$32,4,FALSE)&amp;", "&amp;F659&amp;" FROM "&amp;D659&amp;" WHERE "&amp;'0. Instruções'!$D$42&amp;")X"</f>
        <v>(SELECT instrmnt_id, add_fld05 FROM BU_LOANTAPE_WORK.LT005_INSTR_ENT WHERE ref_date='${ref_date}' AND nome_perimetro='Individual Local' AND segmento='ESTR' AND ambito='SRB_MBDT' AND entidade='00100')X</v>
      </c>
      <c r="J659" s="34" t="str">
        <f>"(SELECT "&amp;VLOOKUP(B659,'0. Instruções'!$C$27:$G$32,4,FALSE)&amp;" AS "&amp;VLOOKUP(B659,'0. Instruções'!$C$27:$G$32,4,FALSE)&amp;"_SIMUL, "&amp;F659&amp;" AS "&amp;F659&amp;"_SIMUL FROM "&amp;E659&amp;" WHERE "&amp;'0. Instruções'!$D$43&amp;")Y"</f>
        <v>(SELECT instrmnt_id AS instrmnt_id_SIMUL, add_fld05 AS add_fld05_SIMUL FROM BU_LOANTAPE_WORK.SIMUL_LT005_INSTR_ENT WHERE ref_date='${ref_date}' AND nome_perimetro='Individual Local' AND segmento='ESTR' AND ambito='PILAR3' AND entidade='00100')Y</v>
      </c>
      <c r="K659" s="35" t="str">
        <f>+UPPER("ON X."&amp;VLOOKUP(B659,'0. Instruções'!$C$27:$G$32,4,FALSE)&amp;"=Y."&amp;VLOOKUP(B659,'0. Instruções'!$C$27:$G$32,4,FALSE)&amp;"_SIMUL")</f>
        <v>ON X.INSTRMNT_ID=Y.INSTRMNT_ID_SIMUL</v>
      </c>
      <c r="L659" s="35" t="str">
        <f>+IF(C659="Coerência", +IF(LEFT(G659,5)="FLOAT","SELECT '"&amp;UPPER(B659)&amp;"' AS TABELA, '"&amp;UPPER(C659)&amp;"' AS TIPOLOGIA_TESTE,'"&amp;D659&amp;"' AS TABELA_LT,'"&amp;E659&amp;"' AS TABELA_SIMUL,'"&amp;F659&amp;"' AS CAMPO, "&amp;"'${ref_date}' AS REF_DATE, COUNT(*) AS NUM_REG, SUM(IF((ABS(COALESCE(CAST(X."&amp;F659&amp;" AS DECIMAL(18,6)),0)-COALESCE(CAST(Y."&amp;F659&amp;"_SIMUL AS DECIMAL(18,6)),0))&gt;0.000001) OR (X."&amp;F659&amp;" IS NULL AND Y."&amp;F659&amp;"_SIMUL IS NOT NULL ) OR (X."&amp;F659&amp;" IS NOT NULL AND Y."&amp;F659&amp;"_SIMUL IS NULL),1,0)) AS NUM_REG_DIF,'"&amp;MAX('ID1&amp;5'!K:K)+1&amp;"' AS ID_EXEC, CURRENT_TIMESTAMP() AS TIME_EXEC FROM "&amp;I659&amp;" INNER JOIN "&amp;J659&amp;" "&amp;K659,"SELECT '"&amp;UPPER(B659)&amp;"' AS TABELA, '"&amp;UPPER(C659)&amp;"' AS TIPOLOGIA_TESTE,'"&amp;D659&amp;"' AS TABELA_LT,'"&amp;E659&amp;"' AS TABELA_SIMUL,'"&amp;F659&amp;"' AS CAMPO, "&amp;"'${ref_date}' AS REF_DATE, COUNT(*) AS NUM_REG, SUM(IF(COALESCE(CAST(X."&amp;F659&amp;" AS STRING),'')&lt;&gt;COALESCE(CAST(Y."&amp;F659&amp;"_SIMUL AS STRING),'') OR (X."&amp;F659&amp;" IS NULL AND Y."&amp;F659&amp;"_SIMUL IS NOT NULL ) OR (X."&amp;F659&amp;" IS NOT NULL AND Y."&amp;F659&amp;"_SIMUL IS NULL),1,0)) AS NUM_REG_DIF,'"&amp;MAX('ID1&amp;5'!L:L)+1&amp;"' AS ID_EXEC, CURRENT_TIMESTAMP() AS TIME_EXEC FROM "&amp;I659&amp;" INNER JOIN "&amp;J659&amp;" "&amp;K659),
IF(C659="Validade",+IF(G659="Code List","SELECT '"&amp;UPPER(B659)&amp;"' AS TABELA, '"&amp;UPPER(C659)&amp;"' AS TIPOLOGIA_TESTE,'"&amp;D659&amp;"' AS TABELA_LT,'N/A' AS TABELA_SIMUL,'"&amp;F659&amp;"' AS CAMPO, "&amp;"'${ref_date}' AS REF_DATE, COUNT(*) AS NUM_REG, SUM(IF(TRIM(CAST(X."&amp;F659&amp;" AS STRING))='' OR TRIM(CAST(X."&amp;F659&amp;" AS STRING)) IS NULL OR CAST(X."&amp;F659&amp;" AS STRING) NOT "&amp;H659&amp;",1,0)) AS NUM_REG_DIF,'"&amp;MAX('ID1&amp;5'!K:K)+1&amp;"' AS ID_EXEC, CURRENT_TIMESTAMP() AS TIME_EXEC FROM "&amp;I659,"SELECT '"&amp;UPPER(B659)&amp;"' AS TABELA, '"&amp;UPPER(C659)&amp;"' AS TIPOLOGIA_TESTE,'"&amp;D659&amp;"' AS TABELA_LT,'N/A' AS TABELA_SIMUL,'"&amp;F659&amp;"' AS CAMPO, "&amp;"'${ref_date}' AS REF_DATE, COUNT(*) AS NUM_REG, SUM(IF(TRIM(CAST(X."&amp;F659&amp;" AS STRING))='' OR TRIM(CAST(X."&amp;F659&amp;" AS STRING)) IS NULL,1,0)) AS NUM_REG_DIF,'"&amp;MAX('ID1&amp;5'!K:K)+1&amp;"' AS ID_EXEC, CURRENT_TIMESTAMP() AS TIME_EXEC FROM "&amp;I659),
IF(C659="Caracteres Especiais",+"SELECT '"&amp;UPPER(B659)&amp;"' AS TABELA, '"&amp;UPPER(C659)&amp;"' AS TIPOLOGIA_TESTE,'"&amp;D659&amp;"' AS TABELA_LT,'N/A' AS TABELA_SIMUL,'"&amp;F659&amp;"' AS CAMPO, "&amp;"'${ref_date}' AS REF_DATE, COUNT(*) AS NUM_REG, SUM(IF(REGEXP_REPLACE(TRIM(CAST(X."&amp;F659&amp;" AS STRING)),'[^a-zA-Z0-9_\\s]','') &lt;&gt;TRIM(CAST(X."&amp;F659&amp;" AS STRING)),1,0)) AS NUM_REG_DIF,'"&amp;MAX('ID1&amp;5'!K:K)+1&amp;"' AS ID_EXEC, CURRENT_TIMESTAMP() AS TIME_EXEC FROM "&amp;I659,
IF(C659="Missings",+"SELECT '"&amp;UPPER(B659)&amp;"' AS TABELA, '"&amp;UPPER(C659)&amp;"' AS TIPOLOGIA_TESTE,'"&amp;D659&amp;"' AS TABELA_LT,'N/A' AS TABELA_SIMUL,'"&amp;F659&amp;"' AS CAMPO, "&amp;"'${ref_date}' AS REF_DATE, COUNT(*) AS NUM_REG, SUM(IF(TRIM(CAST(X."&amp;F659&amp;" AS STRING)) IN ('0000-00-00','0001-01-01','9999-12-31','MISS','00000','99999999999','99999999999.00','99999999999.000000'),1,0)) AS NUM_REG_DIF,'"&amp;MAX('ID1&amp;5'!K:K)+1&amp;"' AS ID_EXEC, CURRENT_TIMESTAMP() AS TIME_EXEC FROM "&amp;I659,
IF(C659="Not applicable",+"SELECT '"&amp;UPPER(B659)&amp;"' AS TABELA, '"&amp;UPPER(C659)&amp;"' AS TIPOLOGIA_TESTE,'"&amp;D659&amp;"' AS TABELA_LT,'N/A' AS TABELA_SIMUL,'"&amp;F659&amp;"' AS CAMPO, "&amp;"'${ref_date}' AS REF_DATE, COUNT(*) AS NUM_REG, SUM(IF(TRIM(CAST(X."&amp;F659&amp;" AS STRING)) IN ('N/A','11111111111','11111111111.00','11111111111.000000','1111-11-11'),1,0)) AS NUM_REG_DIF,'"&amp;MAX('ID1&amp;5'!K:K)+1&amp;"' AS ID_EXEC, CURRENT_TIMESTAMP() AS TIME_EXEC FROM "&amp;I659,
IF(C659="Valores extremos",+"SELECT '"&amp;UPPER(B659)&amp;"' AS TABELA, '"&amp;UPPER(C659)&amp;"' AS TIPOLOGIA_TESTE,'"&amp;D659&amp;"' AS TABELA_LT,'N/A' AS TABELA_SIMUL,'"&amp;F659&amp;"' AS CAMPO, "&amp;"'${ref_date}' AS REF_DATE, CAST(MIN("&amp;F659&amp;") AS STRING) AS VALOR_MIN, CAST(MAX("&amp;F659&amp;") AS STRING) AS VALOR_MAX,'"&amp;MAX('ID1&amp;5'!K:K)+1&amp;"' AS ID_EXEC, CURRENT_TIMESTAMP() AS TIME_EXEC FROM "&amp;MID(I659,1,LEN(I659)-2)&amp;" AND CAST("&amp;F659&amp;"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TIPOLOGIA_TESTE,'BU_LOANTAPE_WORK.LT005_INSTR_ENT' AS TABELA_LT,'BU_LOANTAPE_WORK.SIMUL_LT005_INSTR_ENT' AS TABELA_SIMUL,'add_fld05' AS CAMPO, '${ref_date}' AS REF_DATE, COUNT(*) AS NUM_REG, SUM(IF(COALESCE(CAST(X.add_fld05 AS STRING),'')&lt;&gt;COALESCE(CAST(Y.add_fld05_SIMUL AS STRING),'') OR (X.add_fld05 IS NULL AND Y.add_fld05_SIMUL IS NOT NULL ) OR (X.add_fld05 IS NOT NULL AND Y.add_fld05_SIMUL IS NULL),1,0)) AS NUM_REG_DIF,'1' AS ID_EXEC, CURRENT_TIMESTAMP() AS TIME_EXEC FROM (SELECT instrmnt_id, add_fld05 FROM BU_LOANTAPE_WORK.LT005_INSTR_ENT WHERE ref_date='${ref_date}' AND nome_perimetro='Individual Local' AND segmento='ESTR' AND ambito='SRB_MBDT' AND entidade='00100')X INNER JOIN (SELECT instrmnt_id AS instrmnt_id_SIMUL, add_fld05 AS add_fld05_SIMUL FROM BU_LOANTAPE_WORK.SIMUL_LT005_INSTR_ENT WHERE ref_date='${ref_date}' AND nome_perimetro='Individual Local' AND segmento='ESTR' AND ambito='PILAR3' AND entidade='00100')Y ON X.INSTRMNT_ID=Y.INSTRMNT_ID_SIMUL</v>
      </c>
      <c r="M659" s="36" t="str">
        <f t="shared" si="17"/>
        <v>UNION ALL SELECT 'INSTR_ENTITY' AS TABELA, 'COERÊNCIA' AS TIPOLOGIA_TESTE,'BU_LOANTAPE_WORK.LT005_INSTR_ENT' AS TABELA_LT,'BU_LOANTAPE_WORK.SIMUL_LT005_INSTR_ENT' AS TABELA_SIMUL,'add_fld05' AS CAMPO, '${ref_date}' AS REF_DATE, COUNT(*) AS NUM_REG, SUM(IF(COALESCE(CAST(X.add_fld05 AS STRING),'')&lt;&gt;COALESCE(CAST(Y.add_fld05_SIMUL AS STRING),'') OR (X.add_fld05 IS NULL AND Y.add_fld05_SIMUL IS NOT NULL ) OR (X.add_fld05 IS NOT NULL AND Y.add_fld05_SIMUL IS NULL),1,0)) AS NUM_REG_DIF,'1' AS ID_EXEC, CURRENT_TIMESTAMP() AS TIME_EXEC FROM (SELECT instrmnt_id, add_fld05 FROM BU_LOANTAPE_WORK.LT005_INSTR_ENT WHERE ref_date='${ref_date}' AND nome_perimetro='Individual Local' AND segmento='ESTR' AND ambito='SRB_MBDT' AND entidade='00100')X INNER JOIN (SELECT instrmnt_id AS instrmnt_id_SIMUL, add_fld05 AS add_fld05_SIMUL FROM BU_LOANTAPE_WORK.SIMUL_LT005_INSTR_ENT WHERE ref_date='${ref_date}' AND nome_perimetro='Individual Local' AND segmento='ESTR' AND ambito='PILAR3' AND entidade='00100')Y ON X.INSTRMNT_ID=Y.INSTRMNT_ID_SIMUL</v>
      </c>
    </row>
    <row r="660" spans="2:13">
      <c r="B660" s="34" t="s">
        <v>310</v>
      </c>
      <c r="C660" s="34" t="s">
        <v>5</v>
      </c>
      <c r="D660" s="34" t="str">
        <f>+UPPER('0. Instruções'!$D$35&amp;"."&amp;VLOOKUP(B660,'0. Instruções'!$C$27:$D$32,2,FALSE))</f>
        <v>BU_LOANTAPE_WORK.LT005_INSTR_ENT</v>
      </c>
      <c r="E660" s="34" t="str">
        <f>+UPPER('0. Instruções'!$D$36&amp;"."&amp;VLOOKUP(B660,'0. Instruções'!$C$27:$E$32,3,FALSE))</f>
        <v>BU_LOANTAPE_WORK.SIMUL_LT005_INSTR_ENT</v>
      </c>
      <c r="F660" s="34" t="s">
        <v>656</v>
      </c>
      <c r="G660" s="34"/>
      <c r="H660" s="34"/>
      <c r="I660" s="34" t="str">
        <f>"(SELECT "&amp;VLOOKUP(B660,'0. Instruções'!$C$27:$G$32,4,FALSE)&amp;", "&amp;F660&amp;" FROM "&amp;D660&amp;" WHERE "&amp;'0. Instruções'!$D$42&amp;")X"</f>
        <v>(SELECT instrmnt_id, cod_soc FROM BU_LOANTAPE_WORK.LT005_INSTR_ENT WHERE ref_date='${ref_date}' AND nome_perimetro='Individual Local' AND segmento='ESTR' AND ambito='SRB_MBDT' AND entidade='00100')X</v>
      </c>
      <c r="J660" s="34" t="str">
        <f>"(SELECT "&amp;VLOOKUP(B660,'0. Instruções'!$C$27:$G$32,4,FALSE)&amp;" AS "&amp;VLOOKUP(B660,'0. Instruções'!$C$27:$G$32,4,FALSE)&amp;"_SIMUL, "&amp;F660&amp;" AS "&amp;F660&amp;"_SIMUL FROM "&amp;E660&amp;" WHERE "&amp;'0. Instruções'!$D$43&amp;")Y"</f>
        <v>(SELECT instrmnt_id AS instrmnt_id_SIMUL, cod_soc AS cod_soc_SIMUL FROM BU_LOANTAPE_WORK.SIMUL_LT005_INSTR_ENT WHERE ref_date='${ref_date}' AND nome_perimetro='Individual Local' AND segmento='ESTR' AND ambito='PILAR3' AND entidade='00100')Y</v>
      </c>
      <c r="K660" s="35" t="str">
        <f>+UPPER("ON X."&amp;VLOOKUP(B660,'0. Instruções'!$C$27:$G$32,4,FALSE)&amp;"=Y."&amp;VLOOKUP(B660,'0. Instruções'!$C$27:$G$32,4,FALSE)&amp;"_SIMUL")</f>
        <v>ON X.INSTRMNT_ID=Y.INSTRMNT_ID_SIMUL</v>
      </c>
      <c r="L660" s="35" t="str">
        <f>+IF(C660="Coerência", +IF(LEFT(G660,5)="FLOAT","SELECT '"&amp;UPPER(B660)&amp;"' AS TABELA, '"&amp;UPPER(C660)&amp;"' AS TIPOLOGIA_TESTE,'"&amp;D660&amp;"' AS TABELA_LT,'"&amp;E660&amp;"' AS TABELA_SIMUL,'"&amp;F660&amp;"' AS CAMPO, "&amp;"'${ref_date}' AS REF_DATE, COUNT(*) AS NUM_REG, SUM(IF((ABS(COALESCE(CAST(X."&amp;F660&amp;" AS DECIMAL(18,6)),0)-COALESCE(CAST(Y."&amp;F660&amp;"_SIMUL AS DECIMAL(18,6)),0))&gt;0.000001) OR (X."&amp;F660&amp;" IS NULL AND Y."&amp;F660&amp;"_SIMUL IS NOT NULL ) OR (X."&amp;F660&amp;" IS NOT NULL AND Y."&amp;F660&amp;"_SIMUL IS NULL),1,0)) AS NUM_REG_DIF,'"&amp;MAX('ID1&amp;5'!K:K)+1&amp;"' AS ID_EXEC, CURRENT_TIMESTAMP() AS TIME_EXEC FROM "&amp;I660&amp;" INNER JOIN "&amp;J660&amp;" "&amp;K660,"SELECT '"&amp;UPPER(B660)&amp;"' AS TABELA, '"&amp;UPPER(C660)&amp;"' AS TIPOLOGIA_TESTE,'"&amp;D660&amp;"' AS TABELA_LT,'"&amp;E660&amp;"' AS TABELA_SIMUL,'"&amp;F660&amp;"' AS CAMPO, "&amp;"'${ref_date}' AS REF_DATE, COUNT(*) AS NUM_REG, SUM(IF(COALESCE(CAST(X."&amp;F660&amp;" AS STRING),'')&lt;&gt;COALESCE(CAST(Y."&amp;F660&amp;"_SIMUL AS STRING),'') OR (X."&amp;F660&amp;" IS NULL AND Y."&amp;F660&amp;"_SIMUL IS NOT NULL ) OR (X."&amp;F660&amp;" IS NOT NULL AND Y."&amp;F660&amp;"_SIMUL IS NULL),1,0)) AS NUM_REG_DIF,'"&amp;MAX('ID1&amp;5'!L:L)+1&amp;"' AS ID_EXEC, CURRENT_TIMESTAMP() AS TIME_EXEC FROM "&amp;I660&amp;" INNER JOIN "&amp;J660&amp;" "&amp;K660),
IF(C660="Validade",+IF(G660="Code List","SELECT '"&amp;UPPER(B660)&amp;"' AS TABELA, '"&amp;UPPER(C660)&amp;"' AS TIPOLOGIA_TESTE,'"&amp;D660&amp;"' AS TABELA_LT,'N/A' AS TABELA_SIMUL,'"&amp;F660&amp;"' AS CAMPO, "&amp;"'${ref_date}' AS REF_DATE, COUNT(*) AS NUM_REG, SUM(IF(TRIM(CAST(X."&amp;F660&amp;" AS STRING))='' OR TRIM(CAST(X."&amp;F660&amp;" AS STRING)) IS NULL OR CAST(X."&amp;F660&amp;" AS STRING) NOT "&amp;H660&amp;",1,0)) AS NUM_REG_DIF,'"&amp;MAX('ID1&amp;5'!K:K)+1&amp;"' AS ID_EXEC, CURRENT_TIMESTAMP() AS TIME_EXEC FROM "&amp;I660,"SELECT '"&amp;UPPER(B660)&amp;"' AS TABELA, '"&amp;UPPER(C660)&amp;"' AS TIPOLOGIA_TESTE,'"&amp;D660&amp;"' AS TABELA_LT,'N/A' AS TABELA_SIMUL,'"&amp;F660&amp;"' AS CAMPO, "&amp;"'${ref_date}' AS REF_DATE, COUNT(*) AS NUM_REG, SUM(IF(TRIM(CAST(X."&amp;F660&amp;" AS STRING))='' OR TRIM(CAST(X."&amp;F660&amp;" AS STRING)) IS NULL,1,0)) AS NUM_REG_DIF,'"&amp;MAX('ID1&amp;5'!K:K)+1&amp;"' AS ID_EXEC, CURRENT_TIMESTAMP() AS TIME_EXEC FROM "&amp;I660),
IF(C660="Caracteres Especiais",+"SELECT '"&amp;UPPER(B660)&amp;"' AS TABELA, '"&amp;UPPER(C660)&amp;"' AS TIPOLOGIA_TESTE,'"&amp;D660&amp;"' AS TABELA_LT,'N/A' AS TABELA_SIMUL,'"&amp;F660&amp;"' AS CAMPO, "&amp;"'${ref_date}' AS REF_DATE, COUNT(*) AS NUM_REG, SUM(IF(REGEXP_REPLACE(TRIM(CAST(X."&amp;F660&amp;" AS STRING)),'[^a-zA-Z0-9_\\s]','') &lt;&gt;TRIM(CAST(X."&amp;F660&amp;" AS STRING)),1,0)) AS NUM_REG_DIF,'"&amp;MAX('ID1&amp;5'!K:K)+1&amp;"' AS ID_EXEC, CURRENT_TIMESTAMP() AS TIME_EXEC FROM "&amp;I660,
IF(C660="Missings",+"SELECT '"&amp;UPPER(B660)&amp;"' AS TABELA, '"&amp;UPPER(C660)&amp;"' AS TIPOLOGIA_TESTE,'"&amp;D660&amp;"' AS TABELA_LT,'N/A' AS TABELA_SIMUL,'"&amp;F660&amp;"' AS CAMPO, "&amp;"'${ref_date}' AS REF_DATE, COUNT(*) AS NUM_REG, SUM(IF(TRIM(CAST(X."&amp;F660&amp;" AS STRING)) IN ('0000-00-00','0001-01-01','9999-12-31','MISS','00000','99999999999','99999999999.00','99999999999.000000'),1,0)) AS NUM_REG_DIF,'"&amp;MAX('ID1&amp;5'!K:K)+1&amp;"' AS ID_EXEC, CURRENT_TIMESTAMP() AS TIME_EXEC FROM "&amp;I660,
IF(C660="Not applicable",+"SELECT '"&amp;UPPER(B660)&amp;"' AS TABELA, '"&amp;UPPER(C660)&amp;"' AS TIPOLOGIA_TESTE,'"&amp;D660&amp;"' AS TABELA_LT,'N/A' AS TABELA_SIMUL,'"&amp;F660&amp;"' AS CAMPO, "&amp;"'${ref_date}' AS REF_DATE, COUNT(*) AS NUM_REG, SUM(IF(TRIM(CAST(X."&amp;F660&amp;" AS STRING)) IN ('N/A','11111111111','11111111111.00','11111111111.000000','1111-11-11'),1,0)) AS NUM_REG_DIF,'"&amp;MAX('ID1&amp;5'!K:K)+1&amp;"' AS ID_EXEC, CURRENT_TIMESTAMP() AS TIME_EXEC FROM "&amp;I660,
IF(C660="Valores extremos",+"SELECT '"&amp;UPPER(B660)&amp;"' AS TABELA, '"&amp;UPPER(C660)&amp;"' AS TIPOLOGIA_TESTE,'"&amp;D660&amp;"' AS TABELA_LT,'N/A' AS TABELA_SIMUL,'"&amp;F660&amp;"' AS CAMPO, "&amp;"'${ref_date}' AS REF_DATE, CAST(MIN("&amp;F660&amp;") AS STRING) AS VALOR_MIN, CAST(MAX("&amp;F660&amp;") AS STRING) AS VALOR_MAX,'"&amp;MAX('ID1&amp;5'!K:K)+1&amp;"' AS ID_EXEC, CURRENT_TIMESTAMP() AS TIME_EXEC FROM "&amp;MID(I660,1,LEN(I660)-2)&amp;" AND CAST("&amp;F660&amp;"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TIPOLOGIA_TESTE,'BU_LOANTAPE_WORK.LT005_INSTR_ENT' AS TABELA_LT,'BU_LOANTAPE_WORK.SIMUL_LT005_INSTR_ENT'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BU_LOANTAPE_WORK.LT005_INSTR_ENT WHERE ref_date='${ref_date}' AND nome_perimetro='Individual Local' AND segmento='ESTR' AND ambito='SRB_MBDT' AND entidade='00100')X INNER JOIN (SELECT instrmnt_id AS instrmnt_id_SIMUL, cod_soc AS cod_soc_SIMUL FROM BU_LOANTAPE_WORK.SIMUL_LT005_INSTR_ENT WHERE ref_date='${ref_date}' AND nome_perimetro='Individual Local' AND segmento='ESTR' AND ambito='PILAR3' AND entidade='00100')Y ON X.INSTRMNT_ID=Y.INSTRMNT_ID_SIMUL</v>
      </c>
      <c r="M660" s="36" t="str">
        <f t="shared" si="17"/>
        <v>UNION ALL SELECT 'INSTR_ENTITY' AS TABELA, 'COERÊNCIA' AS TIPOLOGIA_TESTE,'BU_LOANTAPE_WORK.LT005_INSTR_ENT' AS TABELA_LT,'BU_LOANTAPE_WORK.SIMUL_LT005_INSTR_ENT'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BU_LOANTAPE_WORK.LT005_INSTR_ENT WHERE ref_date='${ref_date}' AND nome_perimetro='Individual Local' AND segmento='ESTR' AND ambito='SRB_MBDT' AND entidade='00100')X INNER JOIN (SELECT instrmnt_id AS instrmnt_id_SIMUL, cod_soc AS cod_soc_SIMUL FROM BU_LOANTAPE_WORK.SIMUL_LT005_INSTR_ENT WHERE ref_date='${ref_date}' AND nome_perimetro='Individual Local' AND segmento='ESTR' AND ambito='PILAR3' AND entidade='00100')Y ON X.INSTRMNT_ID=Y.INSTRMNT_ID_SIMUL</v>
      </c>
    </row>
    <row r="661" spans="2:13">
      <c r="B661" s="34" t="s">
        <v>310</v>
      </c>
      <c r="C661" s="34" t="s">
        <v>5</v>
      </c>
      <c r="D661" s="34" t="str">
        <f>+UPPER('0. Instruções'!$D$35&amp;"."&amp;VLOOKUP(B661,'0. Instruções'!$C$27:$D$32,2,FALSE))</f>
        <v>BU_LOANTAPE_WORK.LT005_INSTR_ENT</v>
      </c>
      <c r="E661" s="34" t="str">
        <f>+UPPER('0. Instruções'!$D$36&amp;"."&amp;VLOOKUP(B661,'0. Instruções'!$C$27:$E$32,3,FALSE))</f>
        <v>BU_LOANTAPE_WORK.SIMUL_LT005_INSTR_ENT</v>
      </c>
      <c r="F661" s="34" t="s">
        <v>1570</v>
      </c>
      <c r="G661" s="34"/>
      <c r="H661" s="34"/>
      <c r="I661" s="34" t="str">
        <f>"(SELECT "&amp;VLOOKUP(B661,'0. Instruções'!$C$27:$G$32,4,FALSE)&amp;", "&amp;F661&amp;" FROM "&amp;D661&amp;" WHERE "&amp;'0. Instruções'!$D$42&amp;")X"</f>
        <v>(SELECT instrmnt_id, crelacao_cl_cnt FROM BU_LOANTAPE_WORK.LT005_INSTR_ENT WHERE ref_date='${ref_date}' AND nome_perimetro='Individual Local' AND segmento='ESTR' AND ambito='SRB_MBDT' AND entidade='00100')X</v>
      </c>
      <c r="J661" s="34" t="str">
        <f>"(SELECT "&amp;VLOOKUP(B661,'0. Instruções'!$C$27:$G$32,4,FALSE)&amp;" AS "&amp;VLOOKUP(B661,'0. Instruções'!$C$27:$G$32,4,FALSE)&amp;"_SIMUL, "&amp;F661&amp;" AS "&amp;F661&amp;"_SIMUL FROM "&amp;E661&amp;" WHERE "&amp;'0. Instruções'!$D$43&amp;")Y"</f>
        <v>(SELECT instrmnt_id AS instrmnt_id_SIMUL, crelacao_cl_cnt AS crelacao_cl_cnt_SIMUL FROM BU_LOANTAPE_WORK.SIMUL_LT005_INSTR_ENT WHERE ref_date='${ref_date}' AND nome_perimetro='Individual Local' AND segmento='ESTR' AND ambito='PILAR3' AND entidade='00100')Y</v>
      </c>
      <c r="K661" s="35" t="str">
        <f>+UPPER("ON X."&amp;VLOOKUP(B661,'0. Instruções'!$C$27:$G$32,4,FALSE)&amp;"=Y."&amp;VLOOKUP(B661,'0. Instruções'!$C$27:$G$32,4,FALSE)&amp;"_SIMUL")</f>
        <v>ON X.INSTRMNT_ID=Y.INSTRMNT_ID_SIMUL</v>
      </c>
      <c r="L661" s="35" t="str">
        <f>+IF(C661="Coerência", +IF(LEFT(G661,5)="FLOAT","SELECT '"&amp;UPPER(B661)&amp;"' AS TABELA, '"&amp;UPPER(C661)&amp;"' AS TIPOLOGIA_TESTE,'"&amp;D661&amp;"' AS TABELA_LT,'"&amp;E661&amp;"' AS TABELA_SIMUL,'"&amp;F661&amp;"' AS CAMPO, "&amp;"'${ref_date}' AS REF_DATE, COUNT(*) AS NUM_REG, SUM(IF((ABS(COALESCE(CAST(X."&amp;F661&amp;" AS DECIMAL(18,6)),0)-COALESCE(CAST(Y."&amp;F661&amp;"_SIMUL AS DECIMAL(18,6)),0))&gt;0.000001) OR (X."&amp;F661&amp;" IS NULL AND Y."&amp;F661&amp;"_SIMUL IS NOT NULL ) OR (X."&amp;F661&amp;" IS NOT NULL AND Y."&amp;F661&amp;"_SIMUL IS NULL),1,0)) AS NUM_REG_DIF,'"&amp;MAX('ID1&amp;5'!K:K)+1&amp;"' AS ID_EXEC, CURRENT_TIMESTAMP() AS TIME_EXEC FROM "&amp;I661&amp;" INNER JOIN "&amp;J661&amp;" "&amp;K661,"SELECT '"&amp;UPPER(B661)&amp;"' AS TABELA, '"&amp;UPPER(C661)&amp;"' AS TIPOLOGIA_TESTE,'"&amp;D661&amp;"' AS TABELA_LT,'"&amp;E661&amp;"' AS TABELA_SIMUL,'"&amp;F661&amp;"' AS CAMPO, "&amp;"'${ref_date}' AS REF_DATE, COUNT(*) AS NUM_REG, SUM(IF(COALESCE(CAST(X."&amp;F661&amp;" AS STRING),'')&lt;&gt;COALESCE(CAST(Y."&amp;F661&amp;"_SIMUL AS STRING),'') OR (X."&amp;F661&amp;" IS NULL AND Y."&amp;F661&amp;"_SIMUL IS NOT NULL ) OR (X."&amp;F661&amp;" IS NOT NULL AND Y."&amp;F661&amp;"_SIMUL IS NULL),1,0)) AS NUM_REG_DIF,'"&amp;MAX('ID1&amp;5'!L:L)+1&amp;"' AS ID_EXEC, CURRENT_TIMESTAMP() AS TIME_EXEC FROM "&amp;I661&amp;" INNER JOIN "&amp;J661&amp;" "&amp;K661),
IF(C661="Validade",+IF(G661="Code List","SELECT '"&amp;UPPER(B661)&amp;"' AS TABELA, '"&amp;UPPER(C661)&amp;"' AS TIPOLOGIA_TESTE,'"&amp;D661&amp;"' AS TABELA_LT,'N/A' AS TABELA_SIMUL,'"&amp;F661&amp;"' AS CAMPO, "&amp;"'${ref_date}' AS REF_DATE, COUNT(*) AS NUM_REG, SUM(IF(TRIM(CAST(X."&amp;F661&amp;" AS STRING))='' OR TRIM(CAST(X."&amp;F661&amp;" AS STRING)) IS NULL OR CAST(X."&amp;F661&amp;" AS STRING) NOT "&amp;H661&amp;",1,0)) AS NUM_REG_DIF,'"&amp;MAX('ID1&amp;5'!K:K)+1&amp;"' AS ID_EXEC, CURRENT_TIMESTAMP() AS TIME_EXEC FROM "&amp;I661,"SELECT '"&amp;UPPER(B661)&amp;"' AS TABELA, '"&amp;UPPER(C661)&amp;"' AS TIPOLOGIA_TESTE,'"&amp;D661&amp;"' AS TABELA_LT,'N/A' AS TABELA_SIMUL,'"&amp;F661&amp;"' AS CAMPO, "&amp;"'${ref_date}' AS REF_DATE, COUNT(*) AS NUM_REG, SUM(IF(TRIM(CAST(X."&amp;F661&amp;" AS STRING))='' OR TRIM(CAST(X."&amp;F661&amp;" AS STRING)) IS NULL,1,0)) AS NUM_REG_DIF,'"&amp;MAX('ID1&amp;5'!K:K)+1&amp;"' AS ID_EXEC, CURRENT_TIMESTAMP() AS TIME_EXEC FROM "&amp;I661),
IF(C661="Caracteres Especiais",+"SELECT '"&amp;UPPER(B661)&amp;"' AS TABELA, '"&amp;UPPER(C661)&amp;"' AS TIPOLOGIA_TESTE,'"&amp;D661&amp;"' AS TABELA_LT,'N/A' AS TABELA_SIMUL,'"&amp;F661&amp;"' AS CAMPO, "&amp;"'${ref_date}' AS REF_DATE, COUNT(*) AS NUM_REG, SUM(IF(REGEXP_REPLACE(TRIM(CAST(X."&amp;F661&amp;" AS STRING)),'[^a-zA-Z0-9_\\s]','') &lt;&gt;TRIM(CAST(X."&amp;F661&amp;" AS STRING)),1,0)) AS NUM_REG_DIF,'"&amp;MAX('ID1&amp;5'!K:K)+1&amp;"' AS ID_EXEC, CURRENT_TIMESTAMP() AS TIME_EXEC FROM "&amp;I661,
IF(C661="Missings",+"SELECT '"&amp;UPPER(B661)&amp;"' AS TABELA, '"&amp;UPPER(C661)&amp;"' AS TIPOLOGIA_TESTE,'"&amp;D661&amp;"' AS TABELA_LT,'N/A' AS TABELA_SIMUL,'"&amp;F661&amp;"' AS CAMPO, "&amp;"'${ref_date}' AS REF_DATE, COUNT(*) AS NUM_REG, SUM(IF(TRIM(CAST(X."&amp;F661&amp;" AS STRING)) IN ('0000-00-00','0001-01-01','9999-12-31','MISS','00000','99999999999','99999999999.00','99999999999.000000'),1,0)) AS NUM_REG_DIF,'"&amp;MAX('ID1&amp;5'!K:K)+1&amp;"' AS ID_EXEC, CURRENT_TIMESTAMP() AS TIME_EXEC FROM "&amp;I661,
IF(C661="Not applicable",+"SELECT '"&amp;UPPER(B661)&amp;"' AS TABELA, '"&amp;UPPER(C661)&amp;"' AS TIPOLOGIA_TESTE,'"&amp;D661&amp;"' AS TABELA_LT,'N/A' AS TABELA_SIMUL,'"&amp;F661&amp;"' AS CAMPO, "&amp;"'${ref_date}' AS REF_DATE, COUNT(*) AS NUM_REG, SUM(IF(TRIM(CAST(X."&amp;F661&amp;" AS STRING)) IN ('N/A','11111111111','11111111111.00','11111111111.000000','1111-11-11'),1,0)) AS NUM_REG_DIF,'"&amp;MAX('ID1&amp;5'!K:K)+1&amp;"' AS ID_EXEC, CURRENT_TIMESTAMP() AS TIME_EXEC FROM "&amp;I661,
IF(C661="Valores extremos",+"SELECT '"&amp;UPPER(B661)&amp;"' AS TABELA, '"&amp;UPPER(C661)&amp;"' AS TIPOLOGIA_TESTE,'"&amp;D661&amp;"' AS TABELA_LT,'N/A' AS TABELA_SIMUL,'"&amp;F661&amp;"' AS CAMPO, "&amp;"'${ref_date}' AS REF_DATE, CAST(MIN("&amp;F661&amp;") AS STRING) AS VALOR_MIN, CAST(MAX("&amp;F661&amp;") AS STRING) AS VALOR_MAX,'"&amp;MAX('ID1&amp;5'!K:K)+1&amp;"' AS ID_EXEC, CURRENT_TIMESTAMP() AS TIME_EXEC FROM "&amp;MID(I661,1,LEN(I661)-2)&amp;" AND CAST("&amp;F661&amp;"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TIPOLOGIA_TESTE,'BU_LOANTAPE_WORK.LT005_INSTR_ENT' AS TABELA_LT,'BU_LOANTAPE_WORK.SIMUL_LT005_INSTR_ENT' AS TABELA_SIMUL,'crelacao_cl_cnt' AS CAMPO, '${ref_date}' AS REF_DATE, COUNT(*) AS NUM_REG, SUM(IF(COALESCE(CAST(X.crelacao_cl_cnt AS STRING),'')&lt;&gt;COALESCE(CAST(Y.crelacao_cl_cnt_SIMUL AS STRING),'') OR (X.crelacao_cl_cnt IS NULL AND Y.crelacao_cl_cnt_SIMUL IS NOT NULL ) OR (X.crelacao_cl_cnt IS NOT NULL AND Y.crelacao_cl_cnt_SIMUL IS NULL),1,0)) AS NUM_REG_DIF,'1' AS ID_EXEC, CURRENT_TIMESTAMP() AS TIME_EXEC FROM (SELECT instrmnt_id, crelacao_cl_cnt FROM BU_LOANTAPE_WORK.LT005_INSTR_ENT WHERE ref_date='${ref_date}' AND nome_perimetro='Individual Local' AND segmento='ESTR' AND ambito='SRB_MBDT' AND entidade='00100')X INNER JOIN (SELECT instrmnt_id AS instrmnt_id_SIMUL, crelacao_cl_cnt AS crelacao_cl_cnt_SIMUL FROM BU_LOANTAPE_WORK.SIMUL_LT005_INSTR_ENT WHERE ref_date='${ref_date}' AND nome_perimetro='Individual Local' AND segmento='ESTR' AND ambito='PILAR3' AND entidade='00100')Y ON X.INSTRMNT_ID=Y.INSTRMNT_ID_SIMUL</v>
      </c>
      <c r="M661" s="36" t="str">
        <f t="shared" si="17"/>
        <v>UNION ALL SELECT 'INSTR_ENTITY' AS TABELA, 'COERÊNCIA' AS TIPOLOGIA_TESTE,'BU_LOANTAPE_WORK.LT005_INSTR_ENT' AS TABELA_LT,'BU_LOANTAPE_WORK.SIMUL_LT005_INSTR_ENT' AS TABELA_SIMUL,'crelacao_cl_cnt' AS CAMPO, '${ref_date}' AS REF_DATE, COUNT(*) AS NUM_REG, SUM(IF(COALESCE(CAST(X.crelacao_cl_cnt AS STRING),'')&lt;&gt;COALESCE(CAST(Y.crelacao_cl_cnt_SIMUL AS STRING),'') OR (X.crelacao_cl_cnt IS NULL AND Y.crelacao_cl_cnt_SIMUL IS NOT NULL ) OR (X.crelacao_cl_cnt IS NOT NULL AND Y.crelacao_cl_cnt_SIMUL IS NULL),1,0)) AS NUM_REG_DIF,'1' AS ID_EXEC, CURRENT_TIMESTAMP() AS TIME_EXEC FROM (SELECT instrmnt_id, crelacao_cl_cnt FROM BU_LOANTAPE_WORK.LT005_INSTR_ENT WHERE ref_date='${ref_date}' AND nome_perimetro='Individual Local' AND segmento='ESTR' AND ambito='SRB_MBDT' AND entidade='00100')X INNER JOIN (SELECT instrmnt_id AS instrmnt_id_SIMUL, crelacao_cl_cnt AS crelacao_cl_cnt_SIMUL FROM BU_LOANTAPE_WORK.SIMUL_LT005_INSTR_ENT WHERE ref_date='${ref_date}' AND nome_perimetro='Individual Local' AND segmento='ESTR' AND ambito='PILAR3' AND entidade='00100')Y ON X.INSTRMNT_ID=Y.INSTRMNT_ID_SIMUL</v>
      </c>
    </row>
    <row r="662" spans="2:13">
      <c r="B662" s="34" t="s">
        <v>310</v>
      </c>
      <c r="C662" s="34" t="s">
        <v>5</v>
      </c>
      <c r="D662" s="34" t="str">
        <f>+UPPER('0. Instruções'!$D$35&amp;"."&amp;VLOOKUP(B662,'0. Instruções'!$C$27:$D$32,2,FALSE))</f>
        <v>BU_LOANTAPE_WORK.LT005_INSTR_ENT</v>
      </c>
      <c r="E662" s="34" t="str">
        <f>+UPPER('0. Instruções'!$D$36&amp;"."&amp;VLOOKUP(B662,'0. Instruções'!$C$27:$E$32,3,FALSE))</f>
        <v>BU_LOANTAPE_WORK.SIMUL_LT005_INSTR_ENT</v>
      </c>
      <c r="F662" s="34" t="s">
        <v>1571</v>
      </c>
      <c r="G662" s="34"/>
      <c r="H662" s="34"/>
      <c r="I662" s="34" t="str">
        <f>"(SELECT "&amp;VLOOKUP(B662,'0. Instruções'!$C$27:$G$32,4,FALSE)&amp;", "&amp;F662&amp;" FROM "&amp;D662&amp;" WHERE "&amp;'0. Instruções'!$D$42&amp;")X"</f>
        <v>(SELECT instrmnt_id, csequencia_rel FROM BU_LOANTAPE_WORK.LT005_INSTR_ENT WHERE ref_date='${ref_date}' AND nome_perimetro='Individual Local' AND segmento='ESTR' AND ambito='SRB_MBDT' AND entidade='00100')X</v>
      </c>
      <c r="J662" s="34" t="str">
        <f>"(SELECT "&amp;VLOOKUP(B662,'0. Instruções'!$C$27:$G$32,4,FALSE)&amp;" AS "&amp;VLOOKUP(B662,'0. Instruções'!$C$27:$G$32,4,FALSE)&amp;"_SIMUL, "&amp;F662&amp;" AS "&amp;F662&amp;"_SIMUL FROM "&amp;E662&amp;" WHERE "&amp;'0. Instruções'!$D$43&amp;")Y"</f>
        <v>(SELECT instrmnt_id AS instrmnt_id_SIMUL, csequencia_rel AS csequencia_rel_SIMUL FROM BU_LOANTAPE_WORK.SIMUL_LT005_INSTR_ENT WHERE ref_date='${ref_date}' AND nome_perimetro='Individual Local' AND segmento='ESTR' AND ambito='PILAR3' AND entidade='00100')Y</v>
      </c>
      <c r="K662" s="35" t="str">
        <f>+UPPER("ON X."&amp;VLOOKUP(B662,'0. Instruções'!$C$27:$G$32,4,FALSE)&amp;"=Y."&amp;VLOOKUP(B662,'0. Instruções'!$C$27:$G$32,4,FALSE)&amp;"_SIMUL")</f>
        <v>ON X.INSTRMNT_ID=Y.INSTRMNT_ID_SIMUL</v>
      </c>
      <c r="L662" s="35" t="str">
        <f>+IF(C662="Coerência", +IF(LEFT(G662,5)="FLOAT","SELECT '"&amp;UPPER(B662)&amp;"' AS TABELA, '"&amp;UPPER(C662)&amp;"' AS TIPOLOGIA_TESTE,'"&amp;D662&amp;"' AS TABELA_LT,'"&amp;E662&amp;"' AS TABELA_SIMUL,'"&amp;F662&amp;"' AS CAMPO, "&amp;"'${ref_date}' AS REF_DATE, COUNT(*) AS NUM_REG, SUM(IF((ABS(COALESCE(CAST(X."&amp;F662&amp;" AS DECIMAL(18,6)),0)-COALESCE(CAST(Y."&amp;F662&amp;"_SIMUL AS DECIMAL(18,6)),0))&gt;0.000001) OR (X."&amp;F662&amp;" IS NULL AND Y."&amp;F662&amp;"_SIMUL IS NOT NULL ) OR (X."&amp;F662&amp;" IS NOT NULL AND Y."&amp;F662&amp;"_SIMUL IS NULL),1,0)) AS NUM_REG_DIF,'"&amp;MAX('ID1&amp;5'!K:K)+1&amp;"' AS ID_EXEC, CURRENT_TIMESTAMP() AS TIME_EXEC FROM "&amp;I662&amp;" INNER JOIN "&amp;J662&amp;" "&amp;K662,"SELECT '"&amp;UPPER(B662)&amp;"' AS TABELA, '"&amp;UPPER(C662)&amp;"' AS TIPOLOGIA_TESTE,'"&amp;D662&amp;"' AS TABELA_LT,'"&amp;E662&amp;"' AS TABELA_SIMUL,'"&amp;F662&amp;"' AS CAMPO, "&amp;"'${ref_date}' AS REF_DATE, COUNT(*) AS NUM_REG, SUM(IF(COALESCE(CAST(X."&amp;F662&amp;" AS STRING),'')&lt;&gt;COALESCE(CAST(Y."&amp;F662&amp;"_SIMUL AS STRING),'') OR (X."&amp;F662&amp;" IS NULL AND Y."&amp;F662&amp;"_SIMUL IS NOT NULL ) OR (X."&amp;F662&amp;" IS NOT NULL AND Y."&amp;F662&amp;"_SIMUL IS NULL),1,0)) AS NUM_REG_DIF,'"&amp;MAX('ID1&amp;5'!L:L)+1&amp;"' AS ID_EXEC, CURRENT_TIMESTAMP() AS TIME_EXEC FROM "&amp;I662&amp;" INNER JOIN "&amp;J662&amp;" "&amp;K662),
IF(C662="Validade",+IF(G662="Code List","SELECT '"&amp;UPPER(B662)&amp;"' AS TABELA, '"&amp;UPPER(C662)&amp;"' AS TIPOLOGIA_TESTE,'"&amp;D662&amp;"' AS TABELA_LT,'N/A' AS TABELA_SIMUL,'"&amp;F662&amp;"' AS CAMPO, "&amp;"'${ref_date}' AS REF_DATE, COUNT(*) AS NUM_REG, SUM(IF(TRIM(CAST(X."&amp;F662&amp;" AS STRING))='' OR TRIM(CAST(X."&amp;F662&amp;" AS STRING)) IS NULL OR CAST(X."&amp;F662&amp;" AS STRING) NOT "&amp;H662&amp;",1,0)) AS NUM_REG_DIF,'"&amp;MAX('ID1&amp;5'!K:K)+1&amp;"' AS ID_EXEC, CURRENT_TIMESTAMP() AS TIME_EXEC FROM "&amp;I662,"SELECT '"&amp;UPPER(B662)&amp;"' AS TABELA, '"&amp;UPPER(C662)&amp;"' AS TIPOLOGIA_TESTE,'"&amp;D662&amp;"' AS TABELA_LT,'N/A' AS TABELA_SIMUL,'"&amp;F662&amp;"' AS CAMPO, "&amp;"'${ref_date}' AS REF_DATE, COUNT(*) AS NUM_REG, SUM(IF(TRIM(CAST(X."&amp;F662&amp;" AS STRING))='' OR TRIM(CAST(X."&amp;F662&amp;" AS STRING)) IS NULL,1,0)) AS NUM_REG_DIF,'"&amp;MAX('ID1&amp;5'!K:K)+1&amp;"' AS ID_EXEC, CURRENT_TIMESTAMP() AS TIME_EXEC FROM "&amp;I662),
IF(C662="Caracteres Especiais",+"SELECT '"&amp;UPPER(B662)&amp;"' AS TABELA, '"&amp;UPPER(C662)&amp;"' AS TIPOLOGIA_TESTE,'"&amp;D662&amp;"' AS TABELA_LT,'N/A' AS TABELA_SIMUL,'"&amp;F662&amp;"' AS CAMPO, "&amp;"'${ref_date}' AS REF_DATE, COUNT(*) AS NUM_REG, SUM(IF(REGEXP_REPLACE(TRIM(CAST(X."&amp;F662&amp;" AS STRING)),'[^a-zA-Z0-9_\\s]','') &lt;&gt;TRIM(CAST(X."&amp;F662&amp;" AS STRING)),1,0)) AS NUM_REG_DIF,'"&amp;MAX('ID1&amp;5'!K:K)+1&amp;"' AS ID_EXEC, CURRENT_TIMESTAMP() AS TIME_EXEC FROM "&amp;I662,
IF(C662="Missings",+"SELECT '"&amp;UPPER(B662)&amp;"' AS TABELA, '"&amp;UPPER(C662)&amp;"' AS TIPOLOGIA_TESTE,'"&amp;D662&amp;"' AS TABELA_LT,'N/A' AS TABELA_SIMUL,'"&amp;F662&amp;"' AS CAMPO, "&amp;"'${ref_date}' AS REF_DATE, COUNT(*) AS NUM_REG, SUM(IF(TRIM(CAST(X."&amp;F662&amp;" AS STRING)) IN ('0000-00-00','0001-01-01','9999-12-31','MISS','00000','99999999999','99999999999.00','99999999999.000000'),1,0)) AS NUM_REG_DIF,'"&amp;MAX('ID1&amp;5'!K:K)+1&amp;"' AS ID_EXEC, CURRENT_TIMESTAMP() AS TIME_EXEC FROM "&amp;I662,
IF(C662="Not applicable",+"SELECT '"&amp;UPPER(B662)&amp;"' AS TABELA, '"&amp;UPPER(C662)&amp;"' AS TIPOLOGIA_TESTE,'"&amp;D662&amp;"' AS TABELA_LT,'N/A' AS TABELA_SIMUL,'"&amp;F662&amp;"' AS CAMPO, "&amp;"'${ref_date}' AS REF_DATE, COUNT(*) AS NUM_REG, SUM(IF(TRIM(CAST(X."&amp;F662&amp;" AS STRING)) IN ('N/A','11111111111','11111111111.00','11111111111.000000','1111-11-11'),1,0)) AS NUM_REG_DIF,'"&amp;MAX('ID1&amp;5'!K:K)+1&amp;"' AS ID_EXEC, CURRENT_TIMESTAMP() AS TIME_EXEC FROM "&amp;I662,
IF(C662="Valores extremos",+"SELECT '"&amp;UPPER(B662)&amp;"' AS TABELA, '"&amp;UPPER(C662)&amp;"' AS TIPOLOGIA_TESTE,'"&amp;D662&amp;"' AS TABELA_LT,'N/A' AS TABELA_SIMUL,'"&amp;F662&amp;"' AS CAMPO, "&amp;"'${ref_date}' AS REF_DATE, CAST(MIN("&amp;F662&amp;") AS STRING) AS VALOR_MIN, CAST(MAX("&amp;F662&amp;") AS STRING) AS VALOR_MAX,'"&amp;MAX('ID1&amp;5'!K:K)+1&amp;"' AS ID_EXEC, CURRENT_TIMESTAMP() AS TIME_EXEC FROM "&amp;MID(I662,1,LEN(I662)-2)&amp;" AND CAST("&amp;F662&amp;"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TIPOLOGIA_TESTE,'BU_LOANTAPE_WORK.LT005_INSTR_ENT' AS TABELA_LT,'BU_LOANTAPE_WORK.SIMUL_LT005_INSTR_ENT' AS TABELA_SIMUL,'csequencia_rel' AS CAMPO, '${ref_date}' AS REF_DATE, COUNT(*) AS NUM_REG, SUM(IF(COALESCE(CAST(X.csequencia_rel AS STRING),'')&lt;&gt;COALESCE(CAST(Y.csequencia_rel_SIMUL AS STRING),'') OR (X.csequencia_rel IS NULL AND Y.csequencia_rel_SIMUL IS NOT NULL ) OR (X.csequencia_rel IS NOT NULL AND Y.csequencia_rel_SIMUL IS NULL),1,0)) AS NUM_REG_DIF,'1' AS ID_EXEC, CURRENT_TIMESTAMP() AS TIME_EXEC FROM (SELECT instrmnt_id, csequencia_rel FROM BU_LOANTAPE_WORK.LT005_INSTR_ENT WHERE ref_date='${ref_date}' AND nome_perimetro='Individual Local' AND segmento='ESTR' AND ambito='SRB_MBDT' AND entidade='00100')X INNER JOIN (SELECT instrmnt_id AS instrmnt_id_SIMUL, csequencia_rel AS csequencia_rel_SIMUL FROM BU_LOANTAPE_WORK.SIMUL_LT005_INSTR_ENT WHERE ref_date='${ref_date}' AND nome_perimetro='Individual Local' AND segmento='ESTR' AND ambito='PILAR3' AND entidade='00100')Y ON X.INSTRMNT_ID=Y.INSTRMNT_ID_SIMUL</v>
      </c>
      <c r="M662" s="36" t="str">
        <f t="shared" si="17"/>
        <v>UNION ALL SELECT 'INSTR_ENTITY' AS TABELA, 'COERÊNCIA' AS TIPOLOGIA_TESTE,'BU_LOANTAPE_WORK.LT005_INSTR_ENT' AS TABELA_LT,'BU_LOANTAPE_WORK.SIMUL_LT005_INSTR_ENT' AS TABELA_SIMUL,'csequencia_rel' AS CAMPO, '${ref_date}' AS REF_DATE, COUNT(*) AS NUM_REG, SUM(IF(COALESCE(CAST(X.csequencia_rel AS STRING),'')&lt;&gt;COALESCE(CAST(Y.csequencia_rel_SIMUL AS STRING),'') OR (X.csequencia_rel IS NULL AND Y.csequencia_rel_SIMUL IS NOT NULL ) OR (X.csequencia_rel IS NOT NULL AND Y.csequencia_rel_SIMUL IS NULL),1,0)) AS NUM_REG_DIF,'1' AS ID_EXEC, CURRENT_TIMESTAMP() AS TIME_EXEC FROM (SELECT instrmnt_id, csequencia_rel FROM BU_LOANTAPE_WORK.LT005_INSTR_ENT WHERE ref_date='${ref_date}' AND nome_perimetro='Individual Local' AND segmento='ESTR' AND ambito='SRB_MBDT' AND entidade='00100')X INNER JOIN (SELECT instrmnt_id AS instrmnt_id_SIMUL, csequencia_rel AS csequencia_rel_SIMUL FROM BU_LOANTAPE_WORK.SIMUL_LT005_INSTR_ENT WHERE ref_date='${ref_date}' AND nome_perimetro='Individual Local' AND segmento='ESTR' AND ambito='PILAR3' AND entidade='00100')Y ON X.INSTRMNT_ID=Y.INSTRMNT_ID_SIMUL</v>
      </c>
    </row>
    <row r="663" spans="2:13">
      <c r="B663" s="34" t="s">
        <v>310</v>
      </c>
      <c r="C663" s="34" t="s">
        <v>5</v>
      </c>
      <c r="D663" s="34" t="str">
        <f>+UPPER('0. Instruções'!$D$35&amp;"."&amp;VLOOKUP(B663,'0. Instruções'!$C$27:$D$32,2,FALSE))</f>
        <v>BU_LOANTAPE_WORK.LT005_INSTR_ENT</v>
      </c>
      <c r="E663" s="34" t="str">
        <f>+UPPER('0. Instruções'!$D$36&amp;"."&amp;VLOOKUP(B663,'0. Instruções'!$C$27:$E$32,3,FALSE))</f>
        <v>BU_LOANTAPE_WORK.SIMUL_LT005_INSTR_ENT</v>
      </c>
      <c r="F663" s="34" t="s">
        <v>1572</v>
      </c>
      <c r="G663" s="34"/>
      <c r="H663" s="34"/>
      <c r="I663" s="34" t="str">
        <f>"(SELECT "&amp;VLOOKUP(B663,'0. Instruções'!$C$27:$G$32,4,FALSE)&amp;", "&amp;F663&amp;" FROM "&amp;D663&amp;" WHERE "&amp;'0. Instruções'!$D$42&amp;")X"</f>
        <v>(SELECT instrmnt_id, exporta_rel FROM BU_LOANTAPE_WORK.LT005_INSTR_ENT WHERE ref_date='${ref_date}' AND nome_perimetro='Individual Local' AND segmento='ESTR' AND ambito='SRB_MBDT' AND entidade='00100')X</v>
      </c>
      <c r="J663" s="34" t="str">
        <f>"(SELECT "&amp;VLOOKUP(B663,'0. Instruções'!$C$27:$G$32,4,FALSE)&amp;" AS "&amp;VLOOKUP(B663,'0. Instruções'!$C$27:$G$32,4,FALSE)&amp;"_SIMUL, "&amp;F663&amp;" AS "&amp;F663&amp;"_SIMUL FROM "&amp;E663&amp;" WHERE "&amp;'0. Instruções'!$D$43&amp;")Y"</f>
        <v>(SELECT instrmnt_id AS instrmnt_id_SIMUL, exporta_rel AS exporta_rel_SIMUL FROM BU_LOANTAPE_WORK.SIMUL_LT005_INSTR_ENT WHERE ref_date='${ref_date}' AND nome_perimetro='Individual Local' AND segmento='ESTR' AND ambito='PILAR3' AND entidade='00100')Y</v>
      </c>
      <c r="K663" s="35" t="str">
        <f>+UPPER("ON X."&amp;VLOOKUP(B663,'0. Instruções'!$C$27:$G$32,4,FALSE)&amp;"=Y."&amp;VLOOKUP(B663,'0. Instruções'!$C$27:$G$32,4,FALSE)&amp;"_SIMUL")</f>
        <v>ON X.INSTRMNT_ID=Y.INSTRMNT_ID_SIMUL</v>
      </c>
      <c r="L663" s="35" t="str">
        <f>+IF(C663="Coerência", +IF(LEFT(G663,5)="FLOAT","SELECT '"&amp;UPPER(B663)&amp;"' AS TABELA, '"&amp;UPPER(C663)&amp;"' AS TIPOLOGIA_TESTE,'"&amp;D663&amp;"' AS TABELA_LT,'"&amp;E663&amp;"' AS TABELA_SIMUL,'"&amp;F663&amp;"' AS CAMPO, "&amp;"'${ref_date}' AS REF_DATE, COUNT(*) AS NUM_REG, SUM(IF((ABS(COALESCE(CAST(X."&amp;F663&amp;" AS DECIMAL(18,6)),0)-COALESCE(CAST(Y."&amp;F663&amp;"_SIMUL AS DECIMAL(18,6)),0))&gt;0.000001) OR (X."&amp;F663&amp;" IS NULL AND Y."&amp;F663&amp;"_SIMUL IS NOT NULL ) OR (X."&amp;F663&amp;" IS NOT NULL AND Y."&amp;F663&amp;"_SIMUL IS NULL),1,0)) AS NUM_REG_DIF,'"&amp;MAX('ID1&amp;5'!K:K)+1&amp;"' AS ID_EXEC, CURRENT_TIMESTAMP() AS TIME_EXEC FROM "&amp;I663&amp;" INNER JOIN "&amp;J663&amp;" "&amp;K663,"SELECT '"&amp;UPPER(B663)&amp;"' AS TABELA, '"&amp;UPPER(C663)&amp;"' AS TIPOLOGIA_TESTE,'"&amp;D663&amp;"' AS TABELA_LT,'"&amp;E663&amp;"' AS TABELA_SIMUL,'"&amp;F663&amp;"' AS CAMPO, "&amp;"'${ref_date}' AS REF_DATE, COUNT(*) AS NUM_REG, SUM(IF(COALESCE(CAST(X."&amp;F663&amp;" AS STRING),'')&lt;&gt;COALESCE(CAST(Y."&amp;F663&amp;"_SIMUL AS STRING),'') OR (X."&amp;F663&amp;" IS NULL AND Y."&amp;F663&amp;"_SIMUL IS NOT NULL ) OR (X."&amp;F663&amp;" IS NOT NULL AND Y."&amp;F663&amp;"_SIMUL IS NULL),1,0)) AS NUM_REG_DIF,'"&amp;MAX('ID1&amp;5'!L:L)+1&amp;"' AS ID_EXEC, CURRENT_TIMESTAMP() AS TIME_EXEC FROM "&amp;I663&amp;" INNER JOIN "&amp;J663&amp;" "&amp;K663),
IF(C663="Validade",+IF(G663="Code List","SELECT '"&amp;UPPER(B663)&amp;"' AS TABELA, '"&amp;UPPER(C663)&amp;"' AS TIPOLOGIA_TESTE,'"&amp;D663&amp;"' AS TABELA_LT,'N/A' AS TABELA_SIMUL,'"&amp;F663&amp;"' AS CAMPO, "&amp;"'${ref_date}' AS REF_DATE, COUNT(*) AS NUM_REG, SUM(IF(TRIM(CAST(X."&amp;F663&amp;" AS STRING))='' OR TRIM(CAST(X."&amp;F663&amp;" AS STRING)) IS NULL OR CAST(X."&amp;F663&amp;" AS STRING) NOT "&amp;H663&amp;",1,0)) AS NUM_REG_DIF,'"&amp;MAX('ID1&amp;5'!K:K)+1&amp;"' AS ID_EXEC, CURRENT_TIMESTAMP() AS TIME_EXEC FROM "&amp;I663,"SELECT '"&amp;UPPER(B663)&amp;"' AS TABELA, '"&amp;UPPER(C663)&amp;"' AS TIPOLOGIA_TESTE,'"&amp;D663&amp;"' AS TABELA_LT,'N/A' AS TABELA_SIMUL,'"&amp;F663&amp;"' AS CAMPO, "&amp;"'${ref_date}' AS REF_DATE, COUNT(*) AS NUM_REG, SUM(IF(TRIM(CAST(X."&amp;F663&amp;" AS STRING))='' OR TRIM(CAST(X."&amp;F663&amp;" AS STRING)) IS NULL,1,0)) AS NUM_REG_DIF,'"&amp;MAX('ID1&amp;5'!K:K)+1&amp;"' AS ID_EXEC, CURRENT_TIMESTAMP() AS TIME_EXEC FROM "&amp;I663),
IF(C663="Caracteres Especiais",+"SELECT '"&amp;UPPER(B663)&amp;"' AS TABELA, '"&amp;UPPER(C663)&amp;"' AS TIPOLOGIA_TESTE,'"&amp;D663&amp;"' AS TABELA_LT,'N/A' AS TABELA_SIMUL,'"&amp;F663&amp;"' AS CAMPO, "&amp;"'${ref_date}' AS REF_DATE, COUNT(*) AS NUM_REG, SUM(IF(REGEXP_REPLACE(TRIM(CAST(X."&amp;F663&amp;" AS STRING)),'[^a-zA-Z0-9_\\s]','') &lt;&gt;TRIM(CAST(X."&amp;F663&amp;" AS STRING)),1,0)) AS NUM_REG_DIF,'"&amp;MAX('ID1&amp;5'!K:K)+1&amp;"' AS ID_EXEC, CURRENT_TIMESTAMP() AS TIME_EXEC FROM "&amp;I663,
IF(C663="Missings",+"SELECT '"&amp;UPPER(B663)&amp;"' AS TABELA, '"&amp;UPPER(C663)&amp;"' AS TIPOLOGIA_TESTE,'"&amp;D663&amp;"' AS TABELA_LT,'N/A' AS TABELA_SIMUL,'"&amp;F663&amp;"' AS CAMPO, "&amp;"'${ref_date}' AS REF_DATE, COUNT(*) AS NUM_REG, SUM(IF(TRIM(CAST(X."&amp;F663&amp;" AS STRING)) IN ('0000-00-00','0001-01-01','9999-12-31','MISS','00000','99999999999','99999999999.00','99999999999.000000'),1,0)) AS NUM_REG_DIF,'"&amp;MAX('ID1&amp;5'!K:K)+1&amp;"' AS ID_EXEC, CURRENT_TIMESTAMP() AS TIME_EXEC FROM "&amp;I663,
IF(C663="Not applicable",+"SELECT '"&amp;UPPER(B663)&amp;"' AS TABELA, '"&amp;UPPER(C663)&amp;"' AS TIPOLOGIA_TESTE,'"&amp;D663&amp;"' AS TABELA_LT,'N/A' AS TABELA_SIMUL,'"&amp;F663&amp;"' AS CAMPO, "&amp;"'${ref_date}' AS REF_DATE, COUNT(*) AS NUM_REG, SUM(IF(TRIM(CAST(X."&amp;F663&amp;" AS STRING)) IN ('N/A','11111111111','11111111111.00','11111111111.000000','1111-11-11'),1,0)) AS NUM_REG_DIF,'"&amp;MAX('ID1&amp;5'!K:K)+1&amp;"' AS ID_EXEC, CURRENT_TIMESTAMP() AS TIME_EXEC FROM "&amp;I663,
IF(C663="Valores extremos",+"SELECT '"&amp;UPPER(B663)&amp;"' AS TABELA, '"&amp;UPPER(C663)&amp;"' AS TIPOLOGIA_TESTE,'"&amp;D663&amp;"' AS TABELA_LT,'N/A' AS TABELA_SIMUL,'"&amp;F663&amp;"' AS CAMPO, "&amp;"'${ref_date}' AS REF_DATE, CAST(MIN("&amp;F663&amp;") AS STRING) AS VALOR_MIN, CAST(MAX("&amp;F663&amp;") AS STRING) AS VALOR_MAX,'"&amp;MAX('ID1&amp;5'!K:K)+1&amp;"' AS ID_EXEC, CURRENT_TIMESTAMP() AS TIME_EXEC FROM "&amp;MID(I663,1,LEN(I663)-2)&amp;" AND CAST("&amp;F663&amp;"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TIPOLOGIA_TESTE,'BU_LOANTAPE_WORK.LT005_INSTR_ENT' AS TABELA_LT,'BU_LOANTAPE_WORK.SIMUL_LT005_INSTR_ENT' AS TABELA_SIMUL,'exporta_rel' AS CAMPO, '${ref_date}' AS REF_DATE, COUNT(*) AS NUM_REG, SUM(IF(COALESCE(CAST(X.exporta_rel AS STRING),'')&lt;&gt;COALESCE(CAST(Y.exporta_rel_SIMUL AS STRING),'') OR (X.exporta_rel IS NULL AND Y.exporta_rel_SIMUL IS NOT NULL ) OR (X.exporta_rel IS NOT NULL AND Y.exporta_rel_SIMUL IS NULL),1,0)) AS NUM_REG_DIF,'1' AS ID_EXEC, CURRENT_TIMESTAMP() AS TIME_EXEC FROM (SELECT instrmnt_id, exporta_rel FROM BU_LOANTAPE_WORK.LT005_INSTR_ENT WHERE ref_date='${ref_date}' AND nome_perimetro='Individual Local' AND segmento='ESTR' AND ambito='SRB_MBDT' AND entidade='00100')X INNER JOIN (SELECT instrmnt_id AS instrmnt_id_SIMUL, exporta_rel AS exporta_rel_SIMUL FROM BU_LOANTAPE_WORK.SIMUL_LT005_INSTR_ENT WHERE ref_date='${ref_date}' AND nome_perimetro='Individual Local' AND segmento='ESTR' AND ambito='PILAR3' AND entidade='00100')Y ON X.INSTRMNT_ID=Y.INSTRMNT_ID_SIMUL</v>
      </c>
      <c r="M663" s="36" t="str">
        <f t="shared" si="17"/>
        <v>UNION ALL SELECT 'INSTR_ENTITY' AS TABELA, 'COERÊNCIA' AS TIPOLOGIA_TESTE,'BU_LOANTAPE_WORK.LT005_INSTR_ENT' AS TABELA_LT,'BU_LOANTAPE_WORK.SIMUL_LT005_INSTR_ENT' AS TABELA_SIMUL,'exporta_rel' AS CAMPO, '${ref_date}' AS REF_DATE, COUNT(*) AS NUM_REG, SUM(IF(COALESCE(CAST(X.exporta_rel AS STRING),'')&lt;&gt;COALESCE(CAST(Y.exporta_rel_SIMUL AS STRING),'') OR (X.exporta_rel IS NULL AND Y.exporta_rel_SIMUL IS NOT NULL ) OR (X.exporta_rel IS NOT NULL AND Y.exporta_rel_SIMUL IS NULL),1,0)) AS NUM_REG_DIF,'1' AS ID_EXEC, CURRENT_TIMESTAMP() AS TIME_EXEC FROM (SELECT instrmnt_id, exporta_rel FROM BU_LOANTAPE_WORK.LT005_INSTR_ENT WHERE ref_date='${ref_date}' AND nome_perimetro='Individual Local' AND segmento='ESTR' AND ambito='SRB_MBDT' AND entidade='00100')X INNER JOIN (SELECT instrmnt_id AS instrmnt_id_SIMUL, exporta_rel AS exporta_rel_SIMUL FROM BU_LOANTAPE_WORK.SIMUL_LT005_INSTR_ENT WHERE ref_date='${ref_date}' AND nome_perimetro='Individual Local' AND segmento='ESTR' AND ambito='PILAR3' AND entidade='00100')Y ON X.INSTRMNT_ID=Y.INSTRMNT_ID_SIMUL</v>
      </c>
    </row>
    <row r="664" spans="2:13">
      <c r="B664" s="34" t="s">
        <v>310</v>
      </c>
      <c r="C664" s="34" t="s">
        <v>5</v>
      </c>
      <c r="D664" s="34" t="str">
        <f>+UPPER('0. Instruções'!$D$35&amp;"."&amp;VLOOKUP(B664,'0. Instruções'!$C$27:$D$32,2,FALSE))</f>
        <v>BU_LOANTAPE_WORK.LT005_INSTR_ENT</v>
      </c>
      <c r="E664" s="34" t="str">
        <f>+UPPER('0. Instruções'!$D$36&amp;"."&amp;VLOOKUP(B664,'0. Instruções'!$C$27:$E$32,3,FALSE))</f>
        <v>BU_LOANTAPE_WORK.SIMUL_LT005_INSTR_ENT</v>
      </c>
      <c r="F664" s="34" t="s">
        <v>290</v>
      </c>
      <c r="G664" s="34"/>
      <c r="H664" s="34"/>
      <c r="I664" s="34" t="str">
        <f>"(SELECT "&amp;VLOOKUP(B664,'0. Instruções'!$C$27:$G$32,4,FALSE)&amp;", "&amp;F664&amp;" FROM "&amp;D664&amp;" WHERE "&amp;'0. Instruções'!$D$42&amp;")X"</f>
        <v>(SELECT instrmnt_id, mn_entty_id FROM BU_LOANTAPE_WORK.LT005_INSTR_ENT WHERE ref_date='${ref_date}' AND nome_perimetro='Individual Local' AND segmento='ESTR' AND ambito='SRB_MBDT' AND entidade='00100')X</v>
      </c>
      <c r="J664" s="34" t="str">
        <f>"(SELECT "&amp;VLOOKUP(B664,'0. Instruções'!$C$27:$G$32,4,FALSE)&amp;" AS "&amp;VLOOKUP(B664,'0. Instruções'!$C$27:$G$32,4,FALSE)&amp;"_SIMUL, "&amp;F664&amp;" AS "&amp;F664&amp;"_SIMUL FROM "&amp;E664&amp;" WHERE "&amp;'0. Instruções'!$D$43&amp;")Y"</f>
        <v>(SELECT instrmnt_id AS instrmnt_id_SIMUL, mn_entty_id AS mn_entty_id_SIMUL FROM BU_LOANTAPE_WORK.SIMUL_LT005_INSTR_ENT WHERE ref_date='${ref_date}' AND nome_perimetro='Individual Local' AND segmento='ESTR' AND ambito='PILAR3' AND entidade='00100')Y</v>
      </c>
      <c r="K664" s="35" t="str">
        <f>+UPPER("ON X."&amp;VLOOKUP(B664,'0. Instruções'!$C$27:$G$32,4,FALSE)&amp;"=Y."&amp;VLOOKUP(B664,'0. Instruções'!$C$27:$G$32,4,FALSE)&amp;"_SIMUL")</f>
        <v>ON X.INSTRMNT_ID=Y.INSTRMNT_ID_SIMUL</v>
      </c>
      <c r="L664" s="35" t="str">
        <f>+IF(C664="Coerência", +IF(LEFT(G664,5)="FLOAT","SELECT '"&amp;UPPER(B664)&amp;"' AS TABELA, '"&amp;UPPER(C664)&amp;"' AS TIPOLOGIA_TESTE,'"&amp;D664&amp;"' AS TABELA_LT,'"&amp;E664&amp;"' AS TABELA_SIMUL,'"&amp;F664&amp;"' AS CAMPO, "&amp;"'${ref_date}' AS REF_DATE, COUNT(*) AS NUM_REG, SUM(IF((ABS(COALESCE(CAST(X."&amp;F664&amp;" AS DECIMAL(18,6)),0)-COALESCE(CAST(Y."&amp;F664&amp;"_SIMUL AS DECIMAL(18,6)),0))&gt;0.000001) OR (X."&amp;F664&amp;" IS NULL AND Y."&amp;F664&amp;"_SIMUL IS NOT NULL ) OR (X."&amp;F664&amp;" IS NOT NULL AND Y."&amp;F664&amp;"_SIMUL IS NULL),1,0)) AS NUM_REG_DIF,'"&amp;MAX('ID1&amp;5'!K:K)+1&amp;"' AS ID_EXEC, CURRENT_TIMESTAMP() AS TIME_EXEC FROM "&amp;I664&amp;" INNER JOIN "&amp;J664&amp;" "&amp;K664,"SELECT '"&amp;UPPER(B664)&amp;"' AS TABELA, '"&amp;UPPER(C664)&amp;"' AS TIPOLOGIA_TESTE,'"&amp;D664&amp;"' AS TABELA_LT,'"&amp;E664&amp;"' AS TABELA_SIMUL,'"&amp;F664&amp;"' AS CAMPO, "&amp;"'${ref_date}' AS REF_DATE, COUNT(*) AS NUM_REG, SUM(IF(COALESCE(CAST(X."&amp;F664&amp;" AS STRING),'')&lt;&gt;COALESCE(CAST(Y."&amp;F664&amp;"_SIMUL AS STRING),'') OR (X."&amp;F664&amp;" IS NULL AND Y."&amp;F664&amp;"_SIMUL IS NOT NULL ) OR (X."&amp;F664&amp;" IS NOT NULL AND Y."&amp;F664&amp;"_SIMUL IS NULL),1,0)) AS NUM_REG_DIF,'"&amp;MAX('ID1&amp;5'!L:L)+1&amp;"' AS ID_EXEC, CURRENT_TIMESTAMP() AS TIME_EXEC FROM "&amp;I664&amp;" INNER JOIN "&amp;J664&amp;" "&amp;K664),
IF(C664="Validade",+IF(G664="Code List","SELECT '"&amp;UPPER(B664)&amp;"' AS TABELA, '"&amp;UPPER(C664)&amp;"' AS TIPOLOGIA_TESTE,'"&amp;D664&amp;"' AS TABELA_LT,'N/A' AS TABELA_SIMUL,'"&amp;F664&amp;"' AS CAMPO, "&amp;"'${ref_date}' AS REF_DATE, COUNT(*) AS NUM_REG, SUM(IF(TRIM(CAST(X."&amp;F664&amp;" AS STRING))='' OR TRIM(CAST(X."&amp;F664&amp;" AS STRING)) IS NULL OR CAST(X."&amp;F664&amp;" AS STRING) NOT "&amp;H664&amp;",1,0)) AS NUM_REG_DIF,'"&amp;MAX('ID1&amp;5'!K:K)+1&amp;"' AS ID_EXEC, CURRENT_TIMESTAMP() AS TIME_EXEC FROM "&amp;I664,"SELECT '"&amp;UPPER(B664)&amp;"' AS TABELA, '"&amp;UPPER(C664)&amp;"' AS TIPOLOGIA_TESTE,'"&amp;D664&amp;"' AS TABELA_LT,'N/A' AS TABELA_SIMUL,'"&amp;F664&amp;"' AS CAMPO, "&amp;"'${ref_date}' AS REF_DATE, COUNT(*) AS NUM_REG, SUM(IF(TRIM(CAST(X."&amp;F664&amp;" AS STRING))='' OR TRIM(CAST(X."&amp;F664&amp;" AS STRING)) IS NULL,1,0)) AS NUM_REG_DIF,'"&amp;MAX('ID1&amp;5'!K:K)+1&amp;"' AS ID_EXEC, CURRENT_TIMESTAMP() AS TIME_EXEC FROM "&amp;I664),
IF(C664="Caracteres Especiais",+"SELECT '"&amp;UPPER(B664)&amp;"' AS TABELA, '"&amp;UPPER(C664)&amp;"' AS TIPOLOGIA_TESTE,'"&amp;D664&amp;"' AS TABELA_LT,'N/A' AS TABELA_SIMUL,'"&amp;F664&amp;"' AS CAMPO, "&amp;"'${ref_date}' AS REF_DATE, COUNT(*) AS NUM_REG, SUM(IF(REGEXP_REPLACE(TRIM(CAST(X."&amp;F664&amp;" AS STRING)),'[^a-zA-Z0-9_\\s]','') &lt;&gt;TRIM(CAST(X."&amp;F664&amp;" AS STRING)),1,0)) AS NUM_REG_DIF,'"&amp;MAX('ID1&amp;5'!K:K)+1&amp;"' AS ID_EXEC, CURRENT_TIMESTAMP() AS TIME_EXEC FROM "&amp;I664,
IF(C664="Missings",+"SELECT '"&amp;UPPER(B664)&amp;"' AS TABELA, '"&amp;UPPER(C664)&amp;"' AS TIPOLOGIA_TESTE,'"&amp;D664&amp;"' AS TABELA_LT,'N/A' AS TABELA_SIMUL,'"&amp;F664&amp;"' AS CAMPO, "&amp;"'${ref_date}' AS REF_DATE, COUNT(*) AS NUM_REG, SUM(IF(TRIM(CAST(X."&amp;F664&amp;" AS STRING)) IN ('0000-00-00','0001-01-01','9999-12-31','MISS','00000','99999999999','99999999999.00','99999999999.000000'),1,0)) AS NUM_REG_DIF,'"&amp;MAX('ID1&amp;5'!K:K)+1&amp;"' AS ID_EXEC, CURRENT_TIMESTAMP() AS TIME_EXEC FROM "&amp;I664,
IF(C664="Not applicable",+"SELECT '"&amp;UPPER(B664)&amp;"' AS TABELA, '"&amp;UPPER(C664)&amp;"' AS TIPOLOGIA_TESTE,'"&amp;D664&amp;"' AS TABELA_LT,'N/A' AS TABELA_SIMUL,'"&amp;F664&amp;"' AS CAMPO, "&amp;"'${ref_date}' AS REF_DATE, COUNT(*) AS NUM_REG, SUM(IF(TRIM(CAST(X."&amp;F664&amp;" AS STRING)) IN ('N/A','11111111111','11111111111.00','11111111111.000000','1111-11-11'),1,0)) AS NUM_REG_DIF,'"&amp;MAX('ID1&amp;5'!K:K)+1&amp;"' AS ID_EXEC, CURRENT_TIMESTAMP() AS TIME_EXEC FROM "&amp;I664,
IF(C664="Valores extremos",+"SELECT '"&amp;UPPER(B664)&amp;"' AS TABELA, '"&amp;UPPER(C664)&amp;"' AS TIPOLOGIA_TESTE,'"&amp;D664&amp;"' AS TABELA_LT,'N/A' AS TABELA_SIMUL,'"&amp;F664&amp;"' AS CAMPO, "&amp;"'${ref_date}' AS REF_DATE, CAST(MIN("&amp;F664&amp;") AS STRING) AS VALOR_MIN, CAST(MAX("&amp;F664&amp;") AS STRING) AS VALOR_MAX,'"&amp;MAX('ID1&amp;5'!K:K)+1&amp;"' AS ID_EXEC, CURRENT_TIMESTAMP() AS TIME_EXEC FROM "&amp;MID(I664,1,LEN(I664)-2)&amp;" AND CAST("&amp;F664&amp;"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TIPOLOGIA_TESTE,'BU_LOANTAPE_WORK.LT005_INSTR_ENT' AS TABELA_LT,'BU_LOANTAPE_WORK.SIMUL_LT005_INSTR_ENT' AS TABELA_SIMUL,'mn_entty_id' AS CAMPO, '${ref_date}' AS REF_DATE, COUNT(*) AS NUM_REG, SUM(IF(COALESCE(CAST(X.mn_entty_id AS STRING),'')&lt;&gt;COALESCE(CAST(Y.mn_entty_id_SIMUL AS STRING),'') OR (X.mn_entty_id IS NULL AND Y.mn_entty_id_SIMUL IS NOT NULL ) OR (X.mn_entty_id IS NOT NULL AND Y.mn_entty_id_SIMUL IS NULL),1,0)) AS NUM_REG_DIF,'1' AS ID_EXEC, CURRENT_TIMESTAMP() AS TIME_EXEC FROM (SELECT instrmnt_id, mn_entty_id FROM BU_LOANTAPE_WORK.LT005_INSTR_ENT WHERE ref_date='${ref_date}' AND nome_perimetro='Individual Local' AND segmento='ESTR' AND ambito='SRB_MBDT' AND entidade='00100')X INNER JOIN (SELECT instrmnt_id AS instrmnt_id_SIMUL, mn_entty_id AS mn_entty_id_SIMUL FROM BU_LOANTAPE_WORK.SIMUL_LT005_INSTR_ENT WHERE ref_date='${ref_date}' AND nome_perimetro='Individual Local' AND segmento='ESTR' AND ambito='PILAR3' AND entidade='00100')Y ON X.INSTRMNT_ID=Y.INSTRMNT_ID_SIMUL</v>
      </c>
      <c r="M664" s="36" t="str">
        <f t="shared" si="17"/>
        <v>UNION ALL SELECT 'INSTR_ENTITY' AS TABELA, 'COERÊNCIA' AS TIPOLOGIA_TESTE,'BU_LOANTAPE_WORK.LT005_INSTR_ENT' AS TABELA_LT,'BU_LOANTAPE_WORK.SIMUL_LT005_INSTR_ENT' AS TABELA_SIMUL,'mn_entty_id' AS CAMPO, '${ref_date}' AS REF_DATE, COUNT(*) AS NUM_REG, SUM(IF(COALESCE(CAST(X.mn_entty_id AS STRING),'')&lt;&gt;COALESCE(CAST(Y.mn_entty_id_SIMUL AS STRING),'') OR (X.mn_entty_id IS NULL AND Y.mn_entty_id_SIMUL IS NOT NULL ) OR (X.mn_entty_id IS NOT NULL AND Y.mn_entty_id_SIMUL IS NULL),1,0)) AS NUM_REG_DIF,'1' AS ID_EXEC, CURRENT_TIMESTAMP() AS TIME_EXEC FROM (SELECT instrmnt_id, mn_entty_id FROM BU_LOANTAPE_WORK.LT005_INSTR_ENT WHERE ref_date='${ref_date}' AND nome_perimetro='Individual Local' AND segmento='ESTR' AND ambito='SRB_MBDT' AND entidade='00100')X INNER JOIN (SELECT instrmnt_id AS instrmnt_id_SIMUL, mn_entty_id AS mn_entty_id_SIMUL FROM BU_LOANTAPE_WORK.SIMUL_LT005_INSTR_ENT WHERE ref_date='${ref_date}' AND nome_perimetro='Individual Local' AND segmento='ESTR' AND ambito='PILAR3' AND entidade='00100')Y ON X.INSTRMNT_ID=Y.INSTRMNT_ID_SIMUL</v>
      </c>
    </row>
    <row r="665" spans="2:13">
      <c r="B665" s="34" t="s">
        <v>310</v>
      </c>
      <c r="C665" s="34" t="s">
        <v>5</v>
      </c>
      <c r="D665" s="34" t="str">
        <f>+UPPER('0. Instruções'!$D$35&amp;"."&amp;VLOOKUP(B665,'0. Instruções'!$C$27:$D$32,2,FALSE))</f>
        <v>BU_LOANTAPE_WORK.LT005_INSTR_ENT</v>
      </c>
      <c r="E665" s="34" t="str">
        <f>+UPPER('0. Instruções'!$D$36&amp;"."&amp;VLOOKUP(B665,'0. Instruções'!$C$27:$E$32,3,FALSE))</f>
        <v>BU_LOANTAPE_WORK.SIMUL_LT005_INSTR_ENT</v>
      </c>
      <c r="F665" s="34" t="s">
        <v>1489</v>
      </c>
      <c r="G665" s="34"/>
      <c r="H665" s="34"/>
      <c r="I665" s="34" t="str">
        <f>"(SELECT "&amp;VLOOKUP(B665,'0. Instruções'!$C$27:$G$32,4,FALSE)&amp;", "&amp;F665&amp;" FROM "&amp;D665&amp;" WHERE "&amp;'0. Instruções'!$D$42&amp;")X"</f>
        <v>(SELECT instrmnt_id, counterparty_role FROM BU_LOANTAPE_WORK.LT005_INSTR_ENT WHERE ref_date='${ref_date}' AND nome_perimetro='Individual Local' AND segmento='ESTR' AND ambito='SRB_MBDT' AND entidade='00100')X</v>
      </c>
      <c r="J665" s="34" t="str">
        <f>"(SELECT "&amp;VLOOKUP(B665,'0. Instruções'!$C$27:$G$32,4,FALSE)&amp;" AS "&amp;VLOOKUP(B665,'0. Instruções'!$C$27:$G$32,4,FALSE)&amp;"_SIMUL, "&amp;F665&amp;" AS "&amp;F665&amp;"_SIMUL FROM "&amp;E665&amp;" WHERE "&amp;'0. Instruções'!$D$43&amp;")Y"</f>
        <v>(SELECT instrmnt_id AS instrmnt_id_SIMUL, counterparty_role AS counterparty_role_SIMUL FROM BU_LOANTAPE_WORK.SIMUL_LT005_INSTR_ENT WHERE ref_date='${ref_date}' AND nome_perimetro='Individual Local' AND segmento='ESTR' AND ambito='PILAR3' AND entidade='00100')Y</v>
      </c>
      <c r="K665" s="35" t="str">
        <f>+UPPER("ON X."&amp;VLOOKUP(B665,'0. Instruções'!$C$27:$G$32,4,FALSE)&amp;"=Y."&amp;VLOOKUP(B665,'0. Instruções'!$C$27:$G$32,4,FALSE)&amp;"_SIMUL")</f>
        <v>ON X.INSTRMNT_ID=Y.INSTRMNT_ID_SIMUL</v>
      </c>
      <c r="L665" s="35" t="str">
        <f>+IF(C665="Coerência", +IF(LEFT(G665,5)="FLOAT","SELECT '"&amp;UPPER(B665)&amp;"' AS TABELA, '"&amp;UPPER(C665)&amp;"' AS TIPOLOGIA_TESTE,'"&amp;D665&amp;"' AS TABELA_LT,'"&amp;E665&amp;"' AS TABELA_SIMUL,'"&amp;F665&amp;"' AS CAMPO, "&amp;"'${ref_date}' AS REF_DATE, COUNT(*) AS NUM_REG, SUM(IF((ABS(COALESCE(CAST(X."&amp;F665&amp;" AS DECIMAL(18,6)),0)-COALESCE(CAST(Y."&amp;F665&amp;"_SIMUL AS DECIMAL(18,6)),0))&gt;0.000001) OR (X."&amp;F665&amp;" IS NULL AND Y."&amp;F665&amp;"_SIMUL IS NOT NULL ) OR (X."&amp;F665&amp;" IS NOT NULL AND Y."&amp;F665&amp;"_SIMUL IS NULL),1,0)) AS NUM_REG_DIF,'"&amp;MAX('ID1&amp;5'!K:K)+1&amp;"' AS ID_EXEC, CURRENT_TIMESTAMP() AS TIME_EXEC FROM "&amp;I665&amp;" INNER JOIN "&amp;J665&amp;" "&amp;K665,"SELECT '"&amp;UPPER(B665)&amp;"' AS TABELA, '"&amp;UPPER(C665)&amp;"' AS TIPOLOGIA_TESTE,'"&amp;D665&amp;"' AS TABELA_LT,'"&amp;E665&amp;"' AS TABELA_SIMUL,'"&amp;F665&amp;"' AS CAMPO, "&amp;"'${ref_date}' AS REF_DATE, COUNT(*) AS NUM_REG, SUM(IF(COALESCE(CAST(X."&amp;F665&amp;" AS STRING),'')&lt;&gt;COALESCE(CAST(Y."&amp;F665&amp;"_SIMUL AS STRING),'') OR (X."&amp;F665&amp;" IS NULL AND Y."&amp;F665&amp;"_SIMUL IS NOT NULL ) OR (X."&amp;F665&amp;" IS NOT NULL AND Y."&amp;F665&amp;"_SIMUL IS NULL),1,0)) AS NUM_REG_DIF,'"&amp;MAX('ID1&amp;5'!L:L)+1&amp;"' AS ID_EXEC, CURRENT_TIMESTAMP() AS TIME_EXEC FROM "&amp;I665&amp;" INNER JOIN "&amp;J665&amp;" "&amp;K665),
IF(C665="Validade",+IF(G665="Code List","SELECT '"&amp;UPPER(B665)&amp;"' AS TABELA, '"&amp;UPPER(C665)&amp;"' AS TIPOLOGIA_TESTE,'"&amp;D665&amp;"' AS TABELA_LT,'N/A' AS TABELA_SIMUL,'"&amp;F665&amp;"' AS CAMPO, "&amp;"'${ref_date}' AS REF_DATE, COUNT(*) AS NUM_REG, SUM(IF(TRIM(CAST(X."&amp;F665&amp;" AS STRING))='' OR TRIM(CAST(X."&amp;F665&amp;" AS STRING)) IS NULL OR CAST(X."&amp;F665&amp;" AS STRING) NOT "&amp;H665&amp;",1,0)) AS NUM_REG_DIF,'"&amp;MAX('ID1&amp;5'!K:K)+1&amp;"' AS ID_EXEC, CURRENT_TIMESTAMP() AS TIME_EXEC FROM "&amp;I665,"SELECT '"&amp;UPPER(B665)&amp;"' AS TABELA, '"&amp;UPPER(C665)&amp;"' AS TIPOLOGIA_TESTE,'"&amp;D665&amp;"' AS TABELA_LT,'N/A' AS TABELA_SIMUL,'"&amp;F665&amp;"' AS CAMPO, "&amp;"'${ref_date}' AS REF_DATE, COUNT(*) AS NUM_REG, SUM(IF(TRIM(CAST(X."&amp;F665&amp;" AS STRING))='' OR TRIM(CAST(X."&amp;F665&amp;" AS STRING)) IS NULL,1,0)) AS NUM_REG_DIF,'"&amp;MAX('ID1&amp;5'!K:K)+1&amp;"' AS ID_EXEC, CURRENT_TIMESTAMP() AS TIME_EXEC FROM "&amp;I665),
IF(C665="Caracteres Especiais",+"SELECT '"&amp;UPPER(B665)&amp;"' AS TABELA, '"&amp;UPPER(C665)&amp;"' AS TIPOLOGIA_TESTE,'"&amp;D665&amp;"' AS TABELA_LT,'N/A' AS TABELA_SIMUL,'"&amp;F665&amp;"' AS CAMPO, "&amp;"'${ref_date}' AS REF_DATE, COUNT(*) AS NUM_REG, SUM(IF(REGEXP_REPLACE(TRIM(CAST(X."&amp;F665&amp;" AS STRING)),'[^a-zA-Z0-9_\\s]','') &lt;&gt;TRIM(CAST(X."&amp;F665&amp;" AS STRING)),1,0)) AS NUM_REG_DIF,'"&amp;MAX('ID1&amp;5'!K:K)+1&amp;"' AS ID_EXEC, CURRENT_TIMESTAMP() AS TIME_EXEC FROM "&amp;I665,
IF(C665="Missings",+"SELECT '"&amp;UPPER(B665)&amp;"' AS TABELA, '"&amp;UPPER(C665)&amp;"' AS TIPOLOGIA_TESTE,'"&amp;D665&amp;"' AS TABELA_LT,'N/A' AS TABELA_SIMUL,'"&amp;F665&amp;"' AS CAMPO, "&amp;"'${ref_date}' AS REF_DATE, COUNT(*) AS NUM_REG, SUM(IF(TRIM(CAST(X."&amp;F665&amp;" AS STRING)) IN ('0000-00-00','0001-01-01','9999-12-31','MISS','00000','99999999999','99999999999.00','99999999999.000000'),1,0)) AS NUM_REG_DIF,'"&amp;MAX('ID1&amp;5'!K:K)+1&amp;"' AS ID_EXEC, CURRENT_TIMESTAMP() AS TIME_EXEC FROM "&amp;I665,
IF(C665="Not applicable",+"SELECT '"&amp;UPPER(B665)&amp;"' AS TABELA, '"&amp;UPPER(C665)&amp;"' AS TIPOLOGIA_TESTE,'"&amp;D665&amp;"' AS TABELA_LT,'N/A' AS TABELA_SIMUL,'"&amp;F665&amp;"' AS CAMPO, "&amp;"'${ref_date}' AS REF_DATE, COUNT(*) AS NUM_REG, SUM(IF(TRIM(CAST(X."&amp;F665&amp;" AS STRING)) IN ('N/A','11111111111','11111111111.00','11111111111.000000','1111-11-11'),1,0)) AS NUM_REG_DIF,'"&amp;MAX('ID1&amp;5'!K:K)+1&amp;"' AS ID_EXEC, CURRENT_TIMESTAMP() AS TIME_EXEC FROM "&amp;I665,
IF(C665="Valores extremos",+"SELECT '"&amp;UPPER(B665)&amp;"' AS TABELA, '"&amp;UPPER(C665)&amp;"' AS TIPOLOGIA_TESTE,'"&amp;D665&amp;"' AS TABELA_LT,'N/A' AS TABELA_SIMUL,'"&amp;F665&amp;"' AS CAMPO, "&amp;"'${ref_date}' AS REF_DATE, CAST(MIN("&amp;F665&amp;") AS STRING) AS VALOR_MIN, CAST(MAX("&amp;F665&amp;") AS STRING) AS VALOR_MAX,'"&amp;MAX('ID1&amp;5'!K:K)+1&amp;"' AS ID_EXEC, CURRENT_TIMESTAMP() AS TIME_EXEC FROM "&amp;MID(I665,1,LEN(I665)-2)&amp;" AND CAST("&amp;F665&amp;"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TIPOLOGIA_TESTE,'BU_LOANTAPE_WORK.LT005_INSTR_ENT' AS TABELA_LT,'BU_LOANTAPE_WORK.SIMUL_LT005_INSTR_ENT' AS TABELA_SIMUL,'counterparty_role' AS CAMPO, '${ref_date}' AS REF_DATE, COUNT(*) AS NUM_REG, SUM(IF(COALESCE(CAST(X.counterparty_role AS STRING),'')&lt;&gt;COALESCE(CAST(Y.counterparty_role_SIMUL AS STRING),'') OR (X.counterparty_role IS NULL AND Y.counterparty_role_SIMUL IS NOT NULL ) OR (X.counterparty_role IS NOT NULL AND Y.counterparty_role_SIMUL IS NULL),1,0)) AS NUM_REG_DIF,'1' AS ID_EXEC, CURRENT_TIMESTAMP() AS TIME_EXEC FROM (SELECT instrmnt_id, counterparty_role FROM BU_LOANTAPE_WORK.LT005_INSTR_ENT WHERE ref_date='${ref_date}' AND nome_perimetro='Individual Local' AND segmento='ESTR' AND ambito='SRB_MBDT' AND entidade='00100')X INNER JOIN (SELECT instrmnt_id AS instrmnt_id_SIMUL, counterparty_role AS counterparty_role_SIMUL FROM BU_LOANTAPE_WORK.SIMUL_LT005_INSTR_ENT WHERE ref_date='${ref_date}' AND nome_perimetro='Individual Local' AND segmento='ESTR' AND ambito='PILAR3' AND entidade='00100')Y ON X.INSTRMNT_ID=Y.INSTRMNT_ID_SIMUL</v>
      </c>
      <c r="M665" s="36" t="str">
        <f t="shared" si="17"/>
        <v>UNION ALL SELECT 'INSTR_ENTITY' AS TABELA, 'COERÊNCIA' AS TIPOLOGIA_TESTE,'BU_LOANTAPE_WORK.LT005_INSTR_ENT' AS TABELA_LT,'BU_LOANTAPE_WORK.SIMUL_LT005_INSTR_ENT' AS TABELA_SIMUL,'counterparty_role' AS CAMPO, '${ref_date}' AS REF_DATE, COUNT(*) AS NUM_REG, SUM(IF(COALESCE(CAST(X.counterparty_role AS STRING),'')&lt;&gt;COALESCE(CAST(Y.counterparty_role_SIMUL AS STRING),'') OR (X.counterparty_role IS NULL AND Y.counterparty_role_SIMUL IS NOT NULL ) OR (X.counterparty_role IS NOT NULL AND Y.counterparty_role_SIMUL IS NULL),1,0)) AS NUM_REG_DIF,'1' AS ID_EXEC, CURRENT_TIMESTAMP() AS TIME_EXEC FROM (SELECT instrmnt_id, counterparty_role FROM BU_LOANTAPE_WORK.LT005_INSTR_ENT WHERE ref_date='${ref_date}' AND nome_perimetro='Individual Local' AND segmento='ESTR' AND ambito='SRB_MBDT' AND entidade='00100')X INNER JOIN (SELECT instrmnt_id AS instrmnt_id_SIMUL, counterparty_role AS counterparty_role_SIMUL FROM BU_LOANTAPE_WORK.SIMUL_LT005_INSTR_ENT WHERE ref_date='${ref_date}' AND nome_perimetro='Individual Local' AND segmento='ESTR' AND ambito='PILAR3' AND entidade='00100')Y ON X.INSTRMNT_ID=Y.INSTRMNT_ID_SIMUL</v>
      </c>
    </row>
    <row r="666" spans="2:13">
      <c r="B666" s="34" t="s">
        <v>310</v>
      </c>
      <c r="C666" s="34" t="s">
        <v>5</v>
      </c>
      <c r="D666" s="34" t="str">
        <f>+UPPER('0. Instruções'!$D$35&amp;"."&amp;VLOOKUP(B666,'0. Instruções'!$C$27:$D$32,2,FALSE))</f>
        <v>BU_LOANTAPE_WORK.LT005_INSTR_ENT</v>
      </c>
      <c r="E666" s="34" t="str">
        <f>+UPPER('0. Instruções'!$D$36&amp;"."&amp;VLOOKUP(B666,'0. Instruções'!$C$27:$E$32,3,FALSE))</f>
        <v>BU_LOANTAPE_WORK.SIMUL_LT005_INSTR_ENT</v>
      </c>
      <c r="F666" s="34" t="s">
        <v>1188</v>
      </c>
      <c r="G666" s="34"/>
      <c r="H666" s="34"/>
      <c r="I666" s="34" t="str">
        <f>"(SELECT "&amp;VLOOKUP(B666,'0. Instruções'!$C$27:$G$32,4,FALSE)&amp;", "&amp;F666&amp;" FROM "&amp;D666&amp;" WHERE "&amp;'0. Instruções'!$D$42&amp;")X"</f>
        <v>(SELECT instrmnt_id, accrd_intrst_instrmnt FROM BU_LOANTAPE_WORK.LT005_INSTR_ENT WHERE ref_date='${ref_date}' AND nome_perimetro='Individual Local' AND segmento='ESTR' AND ambito='SRB_MBDT' AND entidade='00100')X</v>
      </c>
      <c r="J666" s="34" t="str">
        <f>"(SELECT "&amp;VLOOKUP(B666,'0. Instruções'!$C$27:$G$32,4,FALSE)&amp;" AS "&amp;VLOOKUP(B666,'0. Instruções'!$C$27:$G$32,4,FALSE)&amp;"_SIMUL, "&amp;F666&amp;" AS "&amp;F666&amp;"_SIMUL FROM "&amp;E666&amp;" WHERE "&amp;'0. Instruções'!$D$43&amp;")Y"</f>
        <v>(SELECT instrmnt_id AS instrmnt_id_SIMUL, accrd_intrst_instrmnt AS accrd_intrst_instrmnt_SIMUL FROM BU_LOANTAPE_WORK.SIMUL_LT005_INSTR_ENT WHERE ref_date='${ref_date}' AND nome_perimetro='Individual Local' AND segmento='ESTR' AND ambito='PILAR3' AND entidade='00100')Y</v>
      </c>
      <c r="K666" s="35" t="str">
        <f>+UPPER("ON X."&amp;VLOOKUP(B666,'0. Instruções'!$C$27:$G$32,4,FALSE)&amp;"=Y."&amp;VLOOKUP(B666,'0. Instruções'!$C$27:$G$32,4,FALSE)&amp;"_SIMUL")</f>
        <v>ON X.INSTRMNT_ID=Y.INSTRMNT_ID_SIMUL</v>
      </c>
      <c r="L666" s="35" t="str">
        <f>+IF(C666="Coerência", +IF(LEFT(G666,5)="FLOAT","SELECT '"&amp;UPPER(B666)&amp;"' AS TABELA, '"&amp;UPPER(C666)&amp;"' AS TIPOLOGIA_TESTE,'"&amp;D666&amp;"' AS TABELA_LT,'"&amp;E666&amp;"' AS TABELA_SIMUL,'"&amp;F666&amp;"' AS CAMPO, "&amp;"'${ref_date}' AS REF_DATE, COUNT(*) AS NUM_REG, SUM(IF((ABS(COALESCE(CAST(X."&amp;F666&amp;" AS DECIMAL(18,6)),0)-COALESCE(CAST(Y."&amp;F666&amp;"_SIMUL AS DECIMAL(18,6)),0))&gt;0.000001) OR (X."&amp;F666&amp;" IS NULL AND Y."&amp;F666&amp;"_SIMUL IS NOT NULL ) OR (X."&amp;F666&amp;" IS NOT NULL AND Y."&amp;F666&amp;"_SIMUL IS NULL),1,0)) AS NUM_REG_DIF,'"&amp;MAX('ID1&amp;5'!K:K)+1&amp;"' AS ID_EXEC, CURRENT_TIMESTAMP() AS TIME_EXEC FROM "&amp;I666&amp;" INNER JOIN "&amp;J666&amp;" "&amp;K666,"SELECT '"&amp;UPPER(B666)&amp;"' AS TABELA, '"&amp;UPPER(C666)&amp;"' AS TIPOLOGIA_TESTE,'"&amp;D666&amp;"' AS TABELA_LT,'"&amp;E666&amp;"' AS TABELA_SIMUL,'"&amp;F666&amp;"' AS CAMPO, "&amp;"'${ref_date}' AS REF_DATE, COUNT(*) AS NUM_REG, SUM(IF(COALESCE(CAST(X."&amp;F666&amp;" AS STRING),'')&lt;&gt;COALESCE(CAST(Y."&amp;F666&amp;"_SIMUL AS STRING),'') OR (X."&amp;F666&amp;" IS NULL AND Y."&amp;F666&amp;"_SIMUL IS NOT NULL ) OR (X."&amp;F666&amp;" IS NOT NULL AND Y."&amp;F666&amp;"_SIMUL IS NULL),1,0)) AS NUM_REG_DIF,'"&amp;MAX('ID1&amp;5'!L:L)+1&amp;"' AS ID_EXEC, CURRENT_TIMESTAMP() AS TIME_EXEC FROM "&amp;I666&amp;" INNER JOIN "&amp;J666&amp;" "&amp;K666),
IF(C666="Validade",+IF(G666="Code List","SELECT '"&amp;UPPER(B666)&amp;"' AS TABELA, '"&amp;UPPER(C666)&amp;"' AS TIPOLOGIA_TESTE,'"&amp;D666&amp;"' AS TABELA_LT,'N/A' AS TABELA_SIMUL,'"&amp;F666&amp;"' AS CAMPO, "&amp;"'${ref_date}' AS REF_DATE, COUNT(*) AS NUM_REG, SUM(IF(TRIM(CAST(X."&amp;F666&amp;" AS STRING))='' OR TRIM(CAST(X."&amp;F666&amp;" AS STRING)) IS NULL OR CAST(X."&amp;F666&amp;" AS STRING) NOT "&amp;H666&amp;",1,0)) AS NUM_REG_DIF,'"&amp;MAX('ID1&amp;5'!K:K)+1&amp;"' AS ID_EXEC, CURRENT_TIMESTAMP() AS TIME_EXEC FROM "&amp;I666,"SELECT '"&amp;UPPER(B666)&amp;"' AS TABELA, '"&amp;UPPER(C666)&amp;"' AS TIPOLOGIA_TESTE,'"&amp;D666&amp;"' AS TABELA_LT,'N/A' AS TABELA_SIMUL,'"&amp;F666&amp;"' AS CAMPO, "&amp;"'${ref_date}' AS REF_DATE, COUNT(*) AS NUM_REG, SUM(IF(TRIM(CAST(X."&amp;F666&amp;" AS STRING))='' OR TRIM(CAST(X."&amp;F666&amp;" AS STRING)) IS NULL,1,0)) AS NUM_REG_DIF,'"&amp;MAX('ID1&amp;5'!K:K)+1&amp;"' AS ID_EXEC, CURRENT_TIMESTAMP() AS TIME_EXEC FROM "&amp;I666),
IF(C666="Caracteres Especiais",+"SELECT '"&amp;UPPER(B666)&amp;"' AS TABELA, '"&amp;UPPER(C666)&amp;"' AS TIPOLOGIA_TESTE,'"&amp;D666&amp;"' AS TABELA_LT,'N/A' AS TABELA_SIMUL,'"&amp;F666&amp;"' AS CAMPO, "&amp;"'${ref_date}' AS REF_DATE, COUNT(*) AS NUM_REG, SUM(IF(REGEXP_REPLACE(TRIM(CAST(X."&amp;F666&amp;" AS STRING)),'[^a-zA-Z0-9_\\s]','') &lt;&gt;TRIM(CAST(X."&amp;F666&amp;" AS STRING)),1,0)) AS NUM_REG_DIF,'"&amp;MAX('ID1&amp;5'!K:K)+1&amp;"' AS ID_EXEC, CURRENT_TIMESTAMP() AS TIME_EXEC FROM "&amp;I666,
IF(C666="Missings",+"SELECT '"&amp;UPPER(B666)&amp;"' AS TABELA, '"&amp;UPPER(C666)&amp;"' AS TIPOLOGIA_TESTE,'"&amp;D666&amp;"' AS TABELA_LT,'N/A' AS TABELA_SIMUL,'"&amp;F666&amp;"' AS CAMPO, "&amp;"'${ref_date}' AS REF_DATE, COUNT(*) AS NUM_REG, SUM(IF(TRIM(CAST(X."&amp;F666&amp;" AS STRING)) IN ('0000-00-00','0001-01-01','9999-12-31','MISS','00000','99999999999','99999999999.00','99999999999.000000'),1,0)) AS NUM_REG_DIF,'"&amp;MAX('ID1&amp;5'!K:K)+1&amp;"' AS ID_EXEC, CURRENT_TIMESTAMP() AS TIME_EXEC FROM "&amp;I666,
IF(C666="Not applicable",+"SELECT '"&amp;UPPER(B666)&amp;"' AS TABELA, '"&amp;UPPER(C666)&amp;"' AS TIPOLOGIA_TESTE,'"&amp;D666&amp;"' AS TABELA_LT,'N/A' AS TABELA_SIMUL,'"&amp;F666&amp;"' AS CAMPO, "&amp;"'${ref_date}' AS REF_DATE, COUNT(*) AS NUM_REG, SUM(IF(TRIM(CAST(X."&amp;F666&amp;" AS STRING)) IN ('N/A','11111111111','11111111111.00','11111111111.000000','1111-11-11'),1,0)) AS NUM_REG_DIF,'"&amp;MAX('ID1&amp;5'!K:K)+1&amp;"' AS ID_EXEC, CURRENT_TIMESTAMP() AS TIME_EXEC FROM "&amp;I666,
IF(C666="Valores extremos",+"SELECT '"&amp;UPPER(B666)&amp;"' AS TABELA, '"&amp;UPPER(C666)&amp;"' AS TIPOLOGIA_TESTE,'"&amp;D666&amp;"' AS TABELA_LT,'N/A' AS TABELA_SIMUL,'"&amp;F666&amp;"' AS CAMPO, "&amp;"'${ref_date}' AS REF_DATE, CAST(MIN("&amp;F666&amp;") AS STRING) AS VALOR_MIN, CAST(MAX("&amp;F666&amp;") AS STRING) AS VALOR_MAX,'"&amp;MAX('ID1&amp;5'!K:K)+1&amp;"' AS ID_EXEC, CURRENT_TIMESTAMP() AS TIME_EXEC FROM "&amp;MID(I666,1,LEN(I666)-2)&amp;" AND CAST("&amp;F666&amp;"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TIPOLOGIA_TESTE,'BU_LOANTAPE_WORK.LT005_INSTR_ENT' AS TABELA_LT,'BU_LOANTAPE_WORK.SIMUL_LT005_INSTR_ENT' AS TABELA_SIMUL,'accrd_intrst_instrmnt' AS CAMPO, '${ref_date}' AS REF_DATE, COUNT(*) AS NUM_REG, SUM(IF(COALESCE(CAST(X.accrd_intrst_instrmnt AS STRING),'')&lt;&gt;COALESCE(CAST(Y.accrd_intrst_instrmnt_SIMUL AS STRING),'') OR (X.accrd_intrst_instrmnt IS NULL AND Y.accrd_intrst_instrmnt_SIMUL IS NOT NULL ) OR (X.accrd_intrst_instrmnt IS NOT NULL AND Y.accrd_intrst_instrmnt_SIMUL IS NULL),1,0)) AS NUM_REG_DIF,'1' AS ID_EXEC, CURRENT_TIMESTAMP() AS TIME_EXEC FROM (SELECT instrmnt_id, accrd_intrst_instrmnt FROM BU_LOANTAPE_WORK.LT005_INSTR_ENT WHERE ref_date='${ref_date}' AND nome_perimetro='Individual Local' AND segmento='ESTR' AND ambito='SRB_MBDT' AND entidade='00100')X INNER JOIN (SELECT instrmnt_id AS instrmnt_id_SIMUL, accrd_intrst_instrmnt AS accrd_intrst_instrmnt_SIMUL FROM BU_LOANTAPE_WORK.SIMUL_LT005_INSTR_ENT WHERE ref_date='${ref_date}' AND nome_perimetro='Individual Local' AND segmento='ESTR' AND ambito='PILAR3' AND entidade='00100')Y ON X.INSTRMNT_ID=Y.INSTRMNT_ID_SIMUL</v>
      </c>
      <c r="M666" s="36" t="str">
        <f t="shared" si="17"/>
        <v>UNION ALL SELECT 'INSTR_ENTITY' AS TABELA, 'COERÊNCIA' AS TIPOLOGIA_TESTE,'BU_LOANTAPE_WORK.LT005_INSTR_ENT' AS TABELA_LT,'BU_LOANTAPE_WORK.SIMUL_LT005_INSTR_ENT' AS TABELA_SIMUL,'accrd_intrst_instrmnt' AS CAMPO, '${ref_date}' AS REF_DATE, COUNT(*) AS NUM_REG, SUM(IF(COALESCE(CAST(X.accrd_intrst_instrmnt AS STRING),'')&lt;&gt;COALESCE(CAST(Y.accrd_intrst_instrmnt_SIMUL AS STRING),'') OR (X.accrd_intrst_instrmnt IS NULL AND Y.accrd_intrst_instrmnt_SIMUL IS NOT NULL ) OR (X.accrd_intrst_instrmnt IS NOT NULL AND Y.accrd_intrst_instrmnt_SIMUL IS NULL),1,0)) AS NUM_REG_DIF,'1' AS ID_EXEC, CURRENT_TIMESTAMP() AS TIME_EXEC FROM (SELECT instrmnt_id, accrd_intrst_instrmnt FROM BU_LOANTAPE_WORK.LT005_INSTR_ENT WHERE ref_date='${ref_date}' AND nome_perimetro='Individual Local' AND segmento='ESTR' AND ambito='SRB_MBDT' AND entidade='00100')X INNER JOIN (SELECT instrmnt_id AS instrmnt_id_SIMUL, accrd_intrst_instrmnt AS accrd_intrst_instrmnt_SIMUL FROM BU_LOANTAPE_WORK.SIMUL_LT005_INSTR_ENT WHERE ref_date='${ref_date}' AND nome_perimetro='Individual Local' AND segmento='ESTR' AND ambito='PILAR3' AND entidade='00100')Y ON X.INSTRMNT_ID=Y.INSTRMNT_ID_SIMUL</v>
      </c>
    </row>
    <row r="667" spans="2:13">
      <c r="B667" s="34" t="s">
        <v>310</v>
      </c>
      <c r="C667" s="34" t="s">
        <v>5</v>
      </c>
      <c r="D667" s="34" t="str">
        <f>+UPPER('0. Instruções'!$D$35&amp;"."&amp;VLOOKUP(B667,'0. Instruções'!$C$27:$D$32,2,FALSE))</f>
        <v>BU_LOANTAPE_WORK.LT005_INSTR_ENT</v>
      </c>
      <c r="E667" s="34" t="str">
        <f>+UPPER('0. Instruções'!$D$36&amp;"."&amp;VLOOKUP(B667,'0. Instruções'!$C$27:$E$32,3,FALSE))</f>
        <v>BU_LOANTAPE_WORK.SIMUL_LT005_INSTR_ENT</v>
      </c>
      <c r="F667" s="34" t="s">
        <v>1573</v>
      </c>
      <c r="G667" s="34"/>
      <c r="H667" s="34"/>
      <c r="I667" s="34" t="str">
        <f>"(SELECT "&amp;VLOOKUP(B667,'0. Instruções'!$C$27:$G$32,4,FALSE)&amp;", "&amp;F667&amp;" FROM "&amp;D667&amp;" WHERE "&amp;'0. Instruções'!$D$42&amp;")X"</f>
        <v>(SELECT instrmnt_id, otstndng_prncpl_amnt FROM BU_LOANTAPE_WORK.LT005_INSTR_ENT WHERE ref_date='${ref_date}' AND nome_perimetro='Individual Local' AND segmento='ESTR' AND ambito='SRB_MBDT' AND entidade='00100')X</v>
      </c>
      <c r="J667" s="34" t="str">
        <f>"(SELECT "&amp;VLOOKUP(B667,'0. Instruções'!$C$27:$G$32,4,FALSE)&amp;" AS "&amp;VLOOKUP(B667,'0. Instruções'!$C$27:$G$32,4,FALSE)&amp;"_SIMUL, "&amp;F667&amp;" AS "&amp;F667&amp;"_SIMUL FROM "&amp;E667&amp;" WHERE "&amp;'0. Instruções'!$D$43&amp;")Y"</f>
        <v>(SELECT instrmnt_id AS instrmnt_id_SIMUL, otstndng_prncpl_amnt AS otstndng_prncpl_amnt_SIMUL FROM BU_LOANTAPE_WORK.SIMUL_LT005_INSTR_ENT WHERE ref_date='${ref_date}' AND nome_perimetro='Individual Local' AND segmento='ESTR' AND ambito='PILAR3' AND entidade='00100')Y</v>
      </c>
      <c r="K667" s="35" t="str">
        <f>+UPPER("ON X."&amp;VLOOKUP(B667,'0. Instruções'!$C$27:$G$32,4,FALSE)&amp;"=Y."&amp;VLOOKUP(B667,'0. Instruções'!$C$27:$G$32,4,FALSE)&amp;"_SIMUL")</f>
        <v>ON X.INSTRMNT_ID=Y.INSTRMNT_ID_SIMUL</v>
      </c>
      <c r="L667" s="35" t="str">
        <f>+IF(C667="Coerência", +IF(LEFT(G667,5)="FLOAT","SELECT '"&amp;UPPER(B667)&amp;"' AS TABELA, '"&amp;UPPER(C667)&amp;"' AS TIPOLOGIA_TESTE,'"&amp;D667&amp;"' AS TABELA_LT,'"&amp;E667&amp;"' AS TABELA_SIMUL,'"&amp;F667&amp;"' AS CAMPO, "&amp;"'${ref_date}' AS REF_DATE, COUNT(*) AS NUM_REG, SUM(IF((ABS(COALESCE(CAST(X."&amp;F667&amp;" AS DECIMAL(18,6)),0)-COALESCE(CAST(Y."&amp;F667&amp;"_SIMUL AS DECIMAL(18,6)),0))&gt;0.000001) OR (X."&amp;F667&amp;" IS NULL AND Y."&amp;F667&amp;"_SIMUL IS NOT NULL ) OR (X."&amp;F667&amp;" IS NOT NULL AND Y."&amp;F667&amp;"_SIMUL IS NULL),1,0)) AS NUM_REG_DIF,'"&amp;MAX('ID1&amp;5'!K:K)+1&amp;"' AS ID_EXEC, CURRENT_TIMESTAMP() AS TIME_EXEC FROM "&amp;I667&amp;" INNER JOIN "&amp;J667&amp;" "&amp;K667,"SELECT '"&amp;UPPER(B667)&amp;"' AS TABELA, '"&amp;UPPER(C667)&amp;"' AS TIPOLOGIA_TESTE,'"&amp;D667&amp;"' AS TABELA_LT,'"&amp;E667&amp;"' AS TABELA_SIMUL,'"&amp;F667&amp;"' AS CAMPO, "&amp;"'${ref_date}' AS REF_DATE, COUNT(*) AS NUM_REG, SUM(IF(COALESCE(CAST(X."&amp;F667&amp;" AS STRING),'')&lt;&gt;COALESCE(CAST(Y."&amp;F667&amp;"_SIMUL AS STRING),'') OR (X."&amp;F667&amp;" IS NULL AND Y."&amp;F667&amp;"_SIMUL IS NOT NULL ) OR (X."&amp;F667&amp;" IS NOT NULL AND Y."&amp;F667&amp;"_SIMUL IS NULL),1,0)) AS NUM_REG_DIF,'"&amp;MAX('ID1&amp;5'!L:L)+1&amp;"' AS ID_EXEC, CURRENT_TIMESTAMP() AS TIME_EXEC FROM "&amp;I667&amp;" INNER JOIN "&amp;J667&amp;" "&amp;K667),
IF(C667="Validade",+IF(G667="Code List","SELECT '"&amp;UPPER(B667)&amp;"' AS TABELA, '"&amp;UPPER(C667)&amp;"' AS TIPOLOGIA_TESTE,'"&amp;D667&amp;"' AS TABELA_LT,'N/A' AS TABELA_SIMUL,'"&amp;F667&amp;"' AS CAMPO, "&amp;"'${ref_date}' AS REF_DATE, COUNT(*) AS NUM_REG, SUM(IF(TRIM(CAST(X."&amp;F667&amp;" AS STRING))='' OR TRIM(CAST(X."&amp;F667&amp;" AS STRING)) IS NULL OR CAST(X."&amp;F667&amp;" AS STRING) NOT "&amp;H667&amp;",1,0)) AS NUM_REG_DIF,'"&amp;MAX('ID1&amp;5'!K:K)+1&amp;"' AS ID_EXEC, CURRENT_TIMESTAMP() AS TIME_EXEC FROM "&amp;I667,"SELECT '"&amp;UPPER(B667)&amp;"' AS TABELA, '"&amp;UPPER(C667)&amp;"' AS TIPOLOGIA_TESTE,'"&amp;D667&amp;"' AS TABELA_LT,'N/A' AS TABELA_SIMUL,'"&amp;F667&amp;"' AS CAMPO, "&amp;"'${ref_date}' AS REF_DATE, COUNT(*) AS NUM_REG, SUM(IF(TRIM(CAST(X."&amp;F667&amp;" AS STRING))='' OR TRIM(CAST(X."&amp;F667&amp;" AS STRING)) IS NULL,1,0)) AS NUM_REG_DIF,'"&amp;MAX('ID1&amp;5'!K:K)+1&amp;"' AS ID_EXEC, CURRENT_TIMESTAMP() AS TIME_EXEC FROM "&amp;I667),
IF(C667="Caracteres Especiais",+"SELECT '"&amp;UPPER(B667)&amp;"' AS TABELA, '"&amp;UPPER(C667)&amp;"' AS TIPOLOGIA_TESTE,'"&amp;D667&amp;"' AS TABELA_LT,'N/A' AS TABELA_SIMUL,'"&amp;F667&amp;"' AS CAMPO, "&amp;"'${ref_date}' AS REF_DATE, COUNT(*) AS NUM_REG, SUM(IF(REGEXP_REPLACE(TRIM(CAST(X."&amp;F667&amp;" AS STRING)),'[^a-zA-Z0-9_\\s]','') &lt;&gt;TRIM(CAST(X."&amp;F667&amp;" AS STRING)),1,0)) AS NUM_REG_DIF,'"&amp;MAX('ID1&amp;5'!K:K)+1&amp;"' AS ID_EXEC, CURRENT_TIMESTAMP() AS TIME_EXEC FROM "&amp;I667,
IF(C667="Missings",+"SELECT '"&amp;UPPER(B667)&amp;"' AS TABELA, '"&amp;UPPER(C667)&amp;"' AS TIPOLOGIA_TESTE,'"&amp;D667&amp;"' AS TABELA_LT,'N/A' AS TABELA_SIMUL,'"&amp;F667&amp;"' AS CAMPO, "&amp;"'${ref_date}' AS REF_DATE, COUNT(*) AS NUM_REG, SUM(IF(TRIM(CAST(X."&amp;F667&amp;" AS STRING)) IN ('0000-00-00','0001-01-01','9999-12-31','MISS','00000','99999999999','99999999999.00','99999999999.000000'),1,0)) AS NUM_REG_DIF,'"&amp;MAX('ID1&amp;5'!K:K)+1&amp;"' AS ID_EXEC, CURRENT_TIMESTAMP() AS TIME_EXEC FROM "&amp;I667,
IF(C667="Not applicable",+"SELECT '"&amp;UPPER(B667)&amp;"' AS TABELA, '"&amp;UPPER(C667)&amp;"' AS TIPOLOGIA_TESTE,'"&amp;D667&amp;"' AS TABELA_LT,'N/A' AS TABELA_SIMUL,'"&amp;F667&amp;"' AS CAMPO, "&amp;"'${ref_date}' AS REF_DATE, COUNT(*) AS NUM_REG, SUM(IF(TRIM(CAST(X."&amp;F667&amp;" AS STRING)) IN ('N/A','11111111111','11111111111.00','11111111111.000000','1111-11-11'),1,0)) AS NUM_REG_DIF,'"&amp;MAX('ID1&amp;5'!K:K)+1&amp;"' AS ID_EXEC, CURRENT_TIMESTAMP() AS TIME_EXEC FROM "&amp;I667,
IF(C667="Valores extremos",+"SELECT '"&amp;UPPER(B667)&amp;"' AS TABELA, '"&amp;UPPER(C667)&amp;"' AS TIPOLOGIA_TESTE,'"&amp;D667&amp;"' AS TABELA_LT,'N/A' AS TABELA_SIMUL,'"&amp;F667&amp;"' AS CAMPO, "&amp;"'${ref_date}' AS REF_DATE, CAST(MIN("&amp;F667&amp;") AS STRING) AS VALOR_MIN, CAST(MAX("&amp;F667&amp;") AS STRING) AS VALOR_MAX,'"&amp;MAX('ID1&amp;5'!K:K)+1&amp;"' AS ID_EXEC, CURRENT_TIMESTAMP() AS TIME_EXEC FROM "&amp;MID(I667,1,LEN(I667)-2)&amp;" AND CAST("&amp;F667&amp;"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TIPOLOGIA_TESTE,'BU_LOANTAPE_WORK.LT005_INSTR_ENT' AS TABELA_LT,'BU_LOANTAPE_WORK.SIMUL_LT005_INSTR_ENT' AS TABELA_SIMUL,'otstndng_prncpl_amnt' AS CAMPO, '${ref_date}' AS REF_DATE, COUNT(*) AS NUM_REG, SUM(IF(COALESCE(CAST(X.otstndng_prncpl_amnt AS STRING),'')&lt;&gt;COALESCE(CAST(Y.otstndng_prncpl_amnt_SIMUL AS STRING),'') OR (X.otstndng_prncpl_amnt IS NULL AND Y.otstndng_prncpl_amnt_SIMUL IS NOT NULL ) OR (X.otstndng_prncpl_amnt IS NOT NULL AND Y.otstndng_prncpl_amnt_SIMUL IS NULL),1,0)) AS NUM_REG_DIF,'1' AS ID_EXEC, CURRENT_TIMESTAMP() AS TIME_EXEC FROM (SELECT instrmnt_id, otstndng_prncpl_amnt FROM BU_LOANTAPE_WORK.LT005_INSTR_ENT WHERE ref_date='${ref_date}' AND nome_perimetro='Individual Local' AND segmento='ESTR' AND ambito='SRB_MBDT' AND entidade='00100')X INNER JOIN (SELECT instrmnt_id AS instrmnt_id_SIMUL, otstndng_prncpl_amnt AS otstndng_prncpl_amnt_SIMUL FROM BU_LOANTAPE_WORK.SIMUL_LT005_INSTR_ENT WHERE ref_date='${ref_date}' AND nome_perimetro='Individual Local' AND segmento='ESTR' AND ambito='PILAR3' AND entidade='00100')Y ON X.INSTRMNT_ID=Y.INSTRMNT_ID_SIMUL</v>
      </c>
      <c r="M667" s="36" t="str">
        <f t="shared" si="17"/>
        <v>UNION ALL SELECT 'INSTR_ENTITY' AS TABELA, 'COERÊNCIA' AS TIPOLOGIA_TESTE,'BU_LOANTAPE_WORK.LT005_INSTR_ENT' AS TABELA_LT,'BU_LOANTAPE_WORK.SIMUL_LT005_INSTR_ENT' AS TABELA_SIMUL,'otstndng_prncpl_amnt' AS CAMPO, '${ref_date}' AS REF_DATE, COUNT(*) AS NUM_REG, SUM(IF(COALESCE(CAST(X.otstndng_prncpl_amnt AS STRING),'')&lt;&gt;COALESCE(CAST(Y.otstndng_prncpl_amnt_SIMUL AS STRING),'') OR (X.otstndng_prncpl_amnt IS NULL AND Y.otstndng_prncpl_amnt_SIMUL IS NOT NULL ) OR (X.otstndng_prncpl_amnt IS NOT NULL AND Y.otstndng_prncpl_amnt_SIMUL IS NULL),1,0)) AS NUM_REG_DIF,'1' AS ID_EXEC, CURRENT_TIMESTAMP() AS TIME_EXEC FROM (SELECT instrmnt_id, otstndng_prncpl_amnt FROM BU_LOANTAPE_WORK.LT005_INSTR_ENT WHERE ref_date='${ref_date}' AND nome_perimetro='Individual Local' AND segmento='ESTR' AND ambito='SRB_MBDT' AND entidade='00100')X INNER JOIN (SELECT instrmnt_id AS instrmnt_id_SIMUL, otstndng_prncpl_amnt AS otstndng_prncpl_amnt_SIMUL FROM BU_LOANTAPE_WORK.SIMUL_LT005_INSTR_ENT WHERE ref_date='${ref_date}' AND nome_perimetro='Individual Local' AND segmento='ESTR' AND ambito='PILAR3' AND entidade='00100')Y ON X.INSTRMNT_ID=Y.INSTRMNT_ID_SIMUL</v>
      </c>
    </row>
    <row r="668" spans="2:13">
      <c r="B668" s="34" t="s">
        <v>310</v>
      </c>
      <c r="C668" s="34" t="s">
        <v>5</v>
      </c>
      <c r="D668" s="34" t="str">
        <f>+UPPER('0. Instruções'!$D$35&amp;"."&amp;VLOOKUP(B668,'0. Instruções'!$C$27:$D$32,2,FALSE))</f>
        <v>BU_LOANTAPE_WORK.LT005_INSTR_ENT</v>
      </c>
      <c r="E668" s="34" t="str">
        <f>+UPPER('0. Instruções'!$D$36&amp;"."&amp;VLOOKUP(B668,'0. Instruções'!$C$27:$E$32,3,FALSE))</f>
        <v>BU_LOANTAPE_WORK.SIMUL_LT005_INSTR_ENT</v>
      </c>
      <c r="F668" s="34" t="s">
        <v>1574</v>
      </c>
      <c r="G668" s="34"/>
      <c r="H668" s="34"/>
      <c r="I668" s="34" t="str">
        <f>"(SELECT "&amp;VLOOKUP(B668,'0. Instruções'!$C$27:$G$32,4,FALSE)&amp;", "&amp;F668&amp;" FROM "&amp;D668&amp;" WHERE "&amp;'0. Instruções'!$D$42&amp;")X"</f>
        <v>(SELECT instrmnt_id, prtn_amnt_rprtng_entty FROM BU_LOANTAPE_WORK.LT005_INSTR_ENT WHERE ref_date='${ref_date}' AND nome_perimetro='Individual Local' AND segmento='ESTR' AND ambito='SRB_MBDT' AND entidade='00100')X</v>
      </c>
      <c r="J668" s="34" t="str">
        <f>"(SELECT "&amp;VLOOKUP(B668,'0. Instruções'!$C$27:$G$32,4,FALSE)&amp;" AS "&amp;VLOOKUP(B668,'0. Instruções'!$C$27:$G$32,4,FALSE)&amp;"_SIMUL, "&amp;F668&amp;" AS "&amp;F668&amp;"_SIMUL FROM "&amp;E668&amp;" WHERE "&amp;'0. Instruções'!$D$43&amp;")Y"</f>
        <v>(SELECT instrmnt_id AS instrmnt_id_SIMUL, prtn_amnt_rprtng_entty AS prtn_amnt_rprtng_entty_SIMUL FROM BU_LOANTAPE_WORK.SIMUL_LT005_INSTR_ENT WHERE ref_date='${ref_date}' AND nome_perimetro='Individual Local' AND segmento='ESTR' AND ambito='PILAR3' AND entidade='00100')Y</v>
      </c>
      <c r="K668" s="35" t="str">
        <f>+UPPER("ON X."&amp;VLOOKUP(B668,'0. Instruções'!$C$27:$G$32,4,FALSE)&amp;"=Y."&amp;VLOOKUP(B668,'0. Instruções'!$C$27:$G$32,4,FALSE)&amp;"_SIMUL")</f>
        <v>ON X.INSTRMNT_ID=Y.INSTRMNT_ID_SIMUL</v>
      </c>
      <c r="L668" s="35" t="str">
        <f>+IF(C668="Coerência", +IF(LEFT(G668,5)="FLOAT","SELECT '"&amp;UPPER(B668)&amp;"' AS TABELA, '"&amp;UPPER(C668)&amp;"' AS TIPOLOGIA_TESTE,'"&amp;D668&amp;"' AS TABELA_LT,'"&amp;E668&amp;"' AS TABELA_SIMUL,'"&amp;F668&amp;"' AS CAMPO, "&amp;"'${ref_date}' AS REF_DATE, COUNT(*) AS NUM_REG, SUM(IF((ABS(COALESCE(CAST(X."&amp;F668&amp;" AS DECIMAL(18,6)),0)-COALESCE(CAST(Y."&amp;F668&amp;"_SIMUL AS DECIMAL(18,6)),0))&gt;0.000001) OR (X."&amp;F668&amp;" IS NULL AND Y."&amp;F668&amp;"_SIMUL IS NOT NULL ) OR (X."&amp;F668&amp;" IS NOT NULL AND Y."&amp;F668&amp;"_SIMUL IS NULL),1,0)) AS NUM_REG_DIF,'"&amp;MAX('ID1&amp;5'!K:K)+1&amp;"' AS ID_EXEC, CURRENT_TIMESTAMP() AS TIME_EXEC FROM "&amp;I668&amp;" INNER JOIN "&amp;J668&amp;" "&amp;K668,"SELECT '"&amp;UPPER(B668)&amp;"' AS TABELA, '"&amp;UPPER(C668)&amp;"' AS TIPOLOGIA_TESTE,'"&amp;D668&amp;"' AS TABELA_LT,'"&amp;E668&amp;"' AS TABELA_SIMUL,'"&amp;F668&amp;"' AS CAMPO, "&amp;"'${ref_date}' AS REF_DATE, COUNT(*) AS NUM_REG, SUM(IF(COALESCE(CAST(X."&amp;F668&amp;" AS STRING),'')&lt;&gt;COALESCE(CAST(Y."&amp;F668&amp;"_SIMUL AS STRING),'') OR (X."&amp;F668&amp;" IS NULL AND Y."&amp;F668&amp;"_SIMUL IS NOT NULL ) OR (X."&amp;F668&amp;" IS NOT NULL AND Y."&amp;F668&amp;"_SIMUL IS NULL),1,0)) AS NUM_REG_DIF,'"&amp;MAX('ID1&amp;5'!L:L)+1&amp;"' AS ID_EXEC, CURRENT_TIMESTAMP() AS TIME_EXEC FROM "&amp;I668&amp;" INNER JOIN "&amp;J668&amp;" "&amp;K668),
IF(C668="Validade",+IF(G668="Code List","SELECT '"&amp;UPPER(B668)&amp;"' AS TABELA, '"&amp;UPPER(C668)&amp;"' AS TIPOLOGIA_TESTE,'"&amp;D668&amp;"' AS TABELA_LT,'N/A' AS TABELA_SIMUL,'"&amp;F668&amp;"' AS CAMPO, "&amp;"'${ref_date}' AS REF_DATE, COUNT(*) AS NUM_REG, SUM(IF(TRIM(CAST(X."&amp;F668&amp;" AS STRING))='' OR TRIM(CAST(X."&amp;F668&amp;" AS STRING)) IS NULL OR CAST(X."&amp;F668&amp;" AS STRING) NOT "&amp;H668&amp;",1,0)) AS NUM_REG_DIF,'"&amp;MAX('ID1&amp;5'!K:K)+1&amp;"' AS ID_EXEC, CURRENT_TIMESTAMP() AS TIME_EXEC FROM "&amp;I668,"SELECT '"&amp;UPPER(B668)&amp;"' AS TABELA, '"&amp;UPPER(C668)&amp;"' AS TIPOLOGIA_TESTE,'"&amp;D668&amp;"' AS TABELA_LT,'N/A' AS TABELA_SIMUL,'"&amp;F668&amp;"' AS CAMPO, "&amp;"'${ref_date}' AS REF_DATE, COUNT(*) AS NUM_REG, SUM(IF(TRIM(CAST(X."&amp;F668&amp;" AS STRING))='' OR TRIM(CAST(X."&amp;F668&amp;" AS STRING)) IS NULL,1,0)) AS NUM_REG_DIF,'"&amp;MAX('ID1&amp;5'!K:K)+1&amp;"' AS ID_EXEC, CURRENT_TIMESTAMP() AS TIME_EXEC FROM "&amp;I668),
IF(C668="Caracteres Especiais",+"SELECT '"&amp;UPPER(B668)&amp;"' AS TABELA, '"&amp;UPPER(C668)&amp;"' AS TIPOLOGIA_TESTE,'"&amp;D668&amp;"' AS TABELA_LT,'N/A' AS TABELA_SIMUL,'"&amp;F668&amp;"' AS CAMPO, "&amp;"'${ref_date}' AS REF_DATE, COUNT(*) AS NUM_REG, SUM(IF(REGEXP_REPLACE(TRIM(CAST(X."&amp;F668&amp;" AS STRING)),'[^a-zA-Z0-9_\\s]','') &lt;&gt;TRIM(CAST(X."&amp;F668&amp;" AS STRING)),1,0)) AS NUM_REG_DIF,'"&amp;MAX('ID1&amp;5'!K:K)+1&amp;"' AS ID_EXEC, CURRENT_TIMESTAMP() AS TIME_EXEC FROM "&amp;I668,
IF(C668="Missings",+"SELECT '"&amp;UPPER(B668)&amp;"' AS TABELA, '"&amp;UPPER(C668)&amp;"' AS TIPOLOGIA_TESTE,'"&amp;D668&amp;"' AS TABELA_LT,'N/A' AS TABELA_SIMUL,'"&amp;F668&amp;"' AS CAMPO, "&amp;"'${ref_date}' AS REF_DATE, COUNT(*) AS NUM_REG, SUM(IF(TRIM(CAST(X."&amp;F668&amp;" AS STRING)) IN ('0000-00-00','0001-01-01','9999-12-31','MISS','00000','99999999999','99999999999.00','99999999999.000000'),1,0)) AS NUM_REG_DIF,'"&amp;MAX('ID1&amp;5'!K:K)+1&amp;"' AS ID_EXEC, CURRENT_TIMESTAMP() AS TIME_EXEC FROM "&amp;I668,
IF(C668="Not applicable",+"SELECT '"&amp;UPPER(B668)&amp;"' AS TABELA, '"&amp;UPPER(C668)&amp;"' AS TIPOLOGIA_TESTE,'"&amp;D668&amp;"' AS TABELA_LT,'N/A' AS TABELA_SIMUL,'"&amp;F668&amp;"' AS CAMPO, "&amp;"'${ref_date}' AS REF_DATE, COUNT(*) AS NUM_REG, SUM(IF(TRIM(CAST(X."&amp;F668&amp;" AS STRING)) IN ('N/A','11111111111','11111111111.00','11111111111.000000','1111-11-11'),1,0)) AS NUM_REG_DIF,'"&amp;MAX('ID1&amp;5'!K:K)+1&amp;"' AS ID_EXEC, CURRENT_TIMESTAMP() AS TIME_EXEC FROM "&amp;I668,
IF(C668="Valores extremos",+"SELECT '"&amp;UPPER(B668)&amp;"' AS TABELA, '"&amp;UPPER(C668)&amp;"' AS TIPOLOGIA_TESTE,'"&amp;D668&amp;"' AS TABELA_LT,'N/A' AS TABELA_SIMUL,'"&amp;F668&amp;"' AS CAMPO, "&amp;"'${ref_date}' AS REF_DATE, CAST(MIN("&amp;F668&amp;") AS STRING) AS VALOR_MIN, CAST(MAX("&amp;F668&amp;") AS STRING) AS VALOR_MAX,'"&amp;MAX('ID1&amp;5'!K:K)+1&amp;"' AS ID_EXEC, CURRENT_TIMESTAMP() AS TIME_EXEC FROM "&amp;MID(I668,1,LEN(I668)-2)&amp;" AND CAST("&amp;F668&amp;"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TIPOLOGIA_TESTE,'BU_LOANTAPE_WORK.LT005_INSTR_ENT' AS TABELA_LT,'BU_LOANTAPE_WORK.SIMUL_LT005_INSTR_ENT' AS TABELA_SIMUL,'prtn_amnt_rprtng_entty' AS CAMPO, '${ref_date}' AS REF_DATE, COUNT(*) AS NUM_REG, SUM(IF(COALESCE(CAST(X.prtn_amnt_rprtng_entty AS STRING),'')&lt;&gt;COALESCE(CAST(Y.prtn_amnt_rprtng_entty_SIMUL AS STRING),'') OR (X.prtn_amnt_rprtng_entty IS NULL AND Y.prtn_amnt_rprtng_entty_SIMUL IS NOT NULL ) OR (X.prtn_amnt_rprtng_entty IS NOT NULL AND Y.prtn_amnt_rprtng_entty_SIMUL IS NULL),1,0)) AS NUM_REG_DIF,'1' AS ID_EXEC, CURRENT_TIMESTAMP() AS TIME_EXEC FROM (SELECT instrmnt_id, prtn_amnt_rprtng_entty FROM BU_LOANTAPE_WORK.LT005_INSTR_ENT WHERE ref_date='${ref_date}' AND nome_perimetro='Individual Local' AND segmento='ESTR' AND ambito='SRB_MBDT' AND entidade='00100')X INNER JOIN (SELECT instrmnt_id AS instrmnt_id_SIMUL, prtn_amnt_rprtng_entty AS prtn_amnt_rprtng_entty_SIMUL FROM BU_LOANTAPE_WORK.SIMUL_LT005_INSTR_ENT WHERE ref_date='${ref_date}' AND nome_perimetro='Individual Local' AND segmento='ESTR' AND ambito='PILAR3' AND entidade='00100')Y ON X.INSTRMNT_ID=Y.INSTRMNT_ID_SIMUL</v>
      </c>
      <c r="M668" s="36" t="str">
        <f t="shared" si="17"/>
        <v>UNION ALL SELECT 'INSTR_ENTITY' AS TABELA, 'COERÊNCIA' AS TIPOLOGIA_TESTE,'BU_LOANTAPE_WORK.LT005_INSTR_ENT' AS TABELA_LT,'BU_LOANTAPE_WORK.SIMUL_LT005_INSTR_ENT' AS TABELA_SIMUL,'prtn_amnt_rprtng_entty' AS CAMPO, '${ref_date}' AS REF_DATE, COUNT(*) AS NUM_REG, SUM(IF(COALESCE(CAST(X.prtn_amnt_rprtng_entty AS STRING),'')&lt;&gt;COALESCE(CAST(Y.prtn_amnt_rprtng_entty_SIMUL AS STRING),'') OR (X.prtn_amnt_rprtng_entty IS NULL AND Y.prtn_amnt_rprtng_entty_SIMUL IS NOT NULL ) OR (X.prtn_amnt_rprtng_entty IS NOT NULL AND Y.prtn_amnt_rprtng_entty_SIMUL IS NULL),1,0)) AS NUM_REG_DIF,'1' AS ID_EXEC, CURRENT_TIMESTAMP() AS TIME_EXEC FROM (SELECT instrmnt_id, prtn_amnt_rprtng_entty FROM BU_LOANTAPE_WORK.LT005_INSTR_ENT WHERE ref_date='${ref_date}' AND nome_perimetro='Individual Local' AND segmento='ESTR' AND ambito='SRB_MBDT' AND entidade='00100')X INNER JOIN (SELECT instrmnt_id AS instrmnt_id_SIMUL, prtn_amnt_rprtng_entty AS prtn_amnt_rprtng_entty_SIMUL FROM BU_LOANTAPE_WORK.SIMUL_LT005_INSTR_ENT WHERE ref_date='${ref_date}' AND nome_perimetro='Individual Local' AND segmento='ESTR' AND ambito='PILAR3' AND entidade='00100')Y ON X.INSTRMNT_ID=Y.INSTRMNT_ID_SIMUL</v>
      </c>
    </row>
    <row r="669" spans="2:13">
      <c r="B669" s="34" t="s">
        <v>311</v>
      </c>
      <c r="C669" s="34" t="s">
        <v>5</v>
      </c>
      <c r="D669" s="34" t="str">
        <f>+UPPER('0. Instruções'!$D$35&amp;"."&amp;VLOOKUP(B669,'0. Instruções'!$C$27:$D$32,2,FALSE))</f>
        <v>BU_LOANTAPE_WORK.LT006_INSTR_PROT</v>
      </c>
      <c r="E669" s="34" t="str">
        <f>+UPPER('0. Instruções'!$D$36&amp;"."&amp;VLOOKUP(B669,'0. Instruções'!$C$27:$E$32,3,FALSE))</f>
        <v>BU_LOANTAPE_WORK.SIMUL_LT006_INSTR_PROT</v>
      </c>
      <c r="F669" s="34" t="s">
        <v>27</v>
      </c>
      <c r="G669" s="34"/>
      <c r="H669" s="34"/>
      <c r="I669" s="34" t="str">
        <f>"(SELECT "&amp;VLOOKUP(B669,'0. Instruções'!$C$27:$G$32,4,FALSE)&amp;", "&amp;F669&amp;" FROM "&amp;D669&amp;" WHERE "&amp;'0. Instruções'!$D$42&amp;")X"</f>
        <v>(SELECT instrmnt_id, instrmnt_id FROM BU_LOANTAPE_WORK.LT006_INSTR_PROT WHERE ref_date='${ref_date}' AND nome_perimetro='Individual Local' AND segmento='ESTR' AND ambito='SRB_MBDT' AND entidade='00100')X</v>
      </c>
      <c r="J669" s="34" t="str">
        <f>"(SELECT "&amp;VLOOKUP(B669,'0. Instruções'!$C$27:$G$32,4,FALSE)&amp;" AS "&amp;VLOOKUP(B669,'0. Instruções'!$C$27:$G$32,4,FALSE)&amp;"_SIMUL, "&amp;F669&amp;" AS "&amp;F669&amp;"_SIMUL FROM "&amp;E669&amp;" WHERE "&amp;'0. Instruções'!$D$43&amp;")Y"</f>
        <v>(SELECT instrmnt_id AS instrmnt_id_SIMUL, instrmnt_id AS instrmnt_id_SIMUL FROM BU_LOANTAPE_WORK.SIMUL_LT006_INSTR_PROT WHERE ref_date='${ref_date}' AND nome_perimetro='Individual Local' AND segmento='ESTR' AND ambito='PILAR3' AND entidade='00100')Y</v>
      </c>
      <c r="K669" s="35" t="str">
        <f>+UPPER("ON X."&amp;VLOOKUP(B669,'0. Instruções'!$C$27:$G$32,4,FALSE)&amp;"=Y."&amp;VLOOKUP(B669,'0. Instruções'!$C$27:$G$32,4,FALSE)&amp;"_SIMUL")</f>
        <v>ON X.INSTRMNT_ID=Y.INSTRMNT_ID_SIMUL</v>
      </c>
      <c r="L669" s="35" t="str">
        <f>+IF(C669="Coerência", +IF(LEFT(G669,5)="FLOAT","SELECT '"&amp;UPPER(B669)&amp;"' AS TABELA, '"&amp;UPPER(C669)&amp;"' AS TIPOLOGIA_TESTE,'"&amp;D669&amp;"' AS TABELA_LT,'"&amp;E669&amp;"' AS TABELA_SIMUL,'"&amp;F669&amp;"' AS CAMPO, "&amp;"'${ref_date}' AS REF_DATE, COUNT(*) AS NUM_REG, SUM(IF((ABS(COALESCE(CAST(X."&amp;F669&amp;" AS DECIMAL(18,6)),0)-COALESCE(CAST(Y."&amp;F669&amp;"_SIMUL AS DECIMAL(18,6)),0))&gt;0.000001) OR (X."&amp;F669&amp;" IS NULL AND Y."&amp;F669&amp;"_SIMUL IS NOT NULL ) OR (X."&amp;F669&amp;" IS NOT NULL AND Y."&amp;F669&amp;"_SIMUL IS NULL),1,0)) AS NUM_REG_DIF,'"&amp;MAX('ID1&amp;5'!K:K)+1&amp;"' AS ID_EXEC, CURRENT_TIMESTAMP() AS TIME_EXEC FROM "&amp;I669&amp;" INNER JOIN "&amp;J669&amp;" "&amp;K669,"SELECT '"&amp;UPPER(B669)&amp;"' AS TABELA, '"&amp;UPPER(C669)&amp;"' AS TIPOLOGIA_TESTE,'"&amp;D669&amp;"' AS TABELA_LT,'"&amp;E669&amp;"' AS TABELA_SIMUL,'"&amp;F669&amp;"' AS CAMPO, "&amp;"'${ref_date}' AS REF_DATE, COUNT(*) AS NUM_REG, SUM(IF(COALESCE(CAST(X."&amp;F669&amp;" AS STRING),'')&lt;&gt;COALESCE(CAST(Y."&amp;F669&amp;"_SIMUL AS STRING),'') OR (X."&amp;F669&amp;" IS NULL AND Y."&amp;F669&amp;"_SIMUL IS NOT NULL ) OR (X."&amp;F669&amp;" IS NOT NULL AND Y."&amp;F669&amp;"_SIMUL IS NULL),1,0)) AS NUM_REG_DIF,'"&amp;MAX('ID1&amp;5'!L:L)+1&amp;"' AS ID_EXEC, CURRENT_TIMESTAMP() AS TIME_EXEC FROM "&amp;I669&amp;" INNER JOIN "&amp;J669&amp;" "&amp;K669),
IF(C669="Validade",+IF(G669="Code List","SELECT '"&amp;UPPER(B669)&amp;"' AS TABELA, '"&amp;UPPER(C669)&amp;"' AS TIPOLOGIA_TESTE,'"&amp;D669&amp;"' AS TABELA_LT,'N/A' AS TABELA_SIMUL,'"&amp;F669&amp;"' AS CAMPO, "&amp;"'${ref_date}' AS REF_DATE, COUNT(*) AS NUM_REG, SUM(IF(TRIM(CAST(X."&amp;F669&amp;" AS STRING))='' OR TRIM(CAST(X."&amp;F669&amp;" AS STRING)) IS NULL OR CAST(X."&amp;F669&amp;" AS STRING) NOT "&amp;H669&amp;",1,0)) AS NUM_REG_DIF,'"&amp;MAX('ID1&amp;5'!K:K)+1&amp;"' AS ID_EXEC, CURRENT_TIMESTAMP() AS TIME_EXEC FROM "&amp;I669,"SELECT '"&amp;UPPER(B669)&amp;"' AS TABELA, '"&amp;UPPER(C669)&amp;"' AS TIPOLOGIA_TESTE,'"&amp;D669&amp;"' AS TABELA_LT,'N/A' AS TABELA_SIMUL,'"&amp;F669&amp;"' AS CAMPO, "&amp;"'${ref_date}' AS REF_DATE, COUNT(*) AS NUM_REG, SUM(IF(TRIM(CAST(X."&amp;F669&amp;" AS STRING))='' OR TRIM(CAST(X."&amp;F669&amp;" AS STRING)) IS NULL,1,0)) AS NUM_REG_DIF,'"&amp;MAX('ID1&amp;5'!K:K)+1&amp;"' AS ID_EXEC, CURRENT_TIMESTAMP() AS TIME_EXEC FROM "&amp;I669),
IF(C669="Caracteres Especiais",+"SELECT '"&amp;UPPER(B669)&amp;"' AS TABELA, '"&amp;UPPER(C669)&amp;"' AS TIPOLOGIA_TESTE,'"&amp;D669&amp;"' AS TABELA_LT,'N/A' AS TABELA_SIMUL,'"&amp;F669&amp;"' AS CAMPO, "&amp;"'${ref_date}' AS REF_DATE, COUNT(*) AS NUM_REG, SUM(IF(REGEXP_REPLACE(TRIM(CAST(X."&amp;F669&amp;" AS STRING)),'[^a-zA-Z0-9_\\s]','') &lt;&gt;TRIM(CAST(X."&amp;F669&amp;" AS STRING)),1,0)) AS NUM_REG_DIF,'"&amp;MAX('ID1&amp;5'!K:K)+1&amp;"' AS ID_EXEC, CURRENT_TIMESTAMP() AS TIME_EXEC FROM "&amp;I669,
IF(C669="Missings",+"SELECT '"&amp;UPPER(B669)&amp;"' AS TABELA, '"&amp;UPPER(C669)&amp;"' AS TIPOLOGIA_TESTE,'"&amp;D669&amp;"' AS TABELA_LT,'N/A' AS TABELA_SIMUL,'"&amp;F669&amp;"' AS CAMPO, "&amp;"'${ref_date}' AS REF_DATE, COUNT(*) AS NUM_REG, SUM(IF(TRIM(CAST(X."&amp;F669&amp;" AS STRING)) IN ('0000-00-00','0001-01-01','9999-12-31','MISS','00000','99999999999','99999999999.00','99999999999.000000'),1,0)) AS NUM_REG_DIF,'"&amp;MAX('ID1&amp;5'!K:K)+1&amp;"' AS ID_EXEC, CURRENT_TIMESTAMP() AS TIME_EXEC FROM "&amp;I669,
IF(C669="Not applicable",+"SELECT '"&amp;UPPER(B669)&amp;"' AS TABELA, '"&amp;UPPER(C669)&amp;"' AS TIPOLOGIA_TESTE,'"&amp;D669&amp;"' AS TABELA_LT,'N/A' AS TABELA_SIMUL,'"&amp;F669&amp;"' AS CAMPO, "&amp;"'${ref_date}' AS REF_DATE, COUNT(*) AS NUM_REG, SUM(IF(TRIM(CAST(X."&amp;F669&amp;" AS STRING)) IN ('N/A','11111111111','11111111111.00','11111111111.000000','1111-11-11'),1,0)) AS NUM_REG_DIF,'"&amp;MAX('ID1&amp;5'!K:K)+1&amp;"' AS ID_EXEC, CURRENT_TIMESTAMP() AS TIME_EXEC FROM "&amp;I669,
IF(C669="Valores extremos",+"SELECT '"&amp;UPPER(B669)&amp;"' AS TABELA, '"&amp;UPPER(C669)&amp;"' AS TIPOLOGIA_TESTE,'"&amp;D669&amp;"' AS TABELA_LT,'N/A' AS TABELA_SIMUL,'"&amp;F669&amp;"' AS CAMPO, "&amp;"'${ref_date}' AS REF_DATE, CAST(MIN("&amp;F669&amp;") AS STRING) AS VALOR_MIN, CAST(MAX("&amp;F669&amp;") AS STRING) AS VALOR_MAX,'"&amp;MAX('ID1&amp;5'!K:K)+1&amp;"' AS ID_EXEC, CURRENT_TIMESTAMP() AS TIME_EXEC FROM "&amp;MID(I669,1,LEN(I669)-2)&amp;" AND CAST("&amp;F669&amp;"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TIPOLOGIA_TESTE,'BU_LOANTAPE_WORK.LT006_INSTR_PROT' AS TABELA_LT,'BU_LOANTAPE_WORK.SIMUL_LT006_INSTR_PROT' AS TABELA_SIMUL,'instrmnt_id' AS CAMPO, '${ref_date}' AS REF_DATE, COUNT(*) AS NUM_REG, SUM(IF(COALESCE(CAST(X.instrmnt_id AS STRING),'')&lt;&gt;COALESCE(CAST(Y.instrmnt_id_SIMUL AS STRING),'') OR (X.instrmnt_id IS NULL AND Y.instrmnt_id_SIMUL IS NOT NULL ) OR (X.instrmnt_id IS NOT NULL AND Y.instrmnt_id_SIMUL IS NULL),1,0)) AS NUM_REG_DIF,'1' AS ID_EXEC, CURRENT_TIMESTAMP() AS TIME_EXEC FROM (SELECT instrmnt_id, instrmnt_id FROM BU_LOANTAPE_WORK.LT006_INSTR_PROT WHERE ref_date='${ref_date}' AND nome_perimetro='Individual Local' AND segmento='ESTR' AND ambito='SRB_MBDT' AND entidade='00100')X INNER JOIN (SELECT instrmnt_id AS instrmnt_id_SIMUL, instrmnt_id AS instrmnt_id_SIMUL FROM BU_LOANTAPE_WORK.SIMUL_LT006_INSTR_PROT WHERE ref_date='${ref_date}' AND nome_perimetro='Individual Local' AND segmento='ESTR' AND ambito='PILAR3' AND entidade='00100')Y ON X.INSTRMNT_ID=Y.INSTRMNT_ID_SIMUL</v>
      </c>
      <c r="M669" s="36" t="str">
        <f t="shared" ref="M669:M680" si="18">+"UNION ALL "&amp;L669</f>
        <v>UNION ALL SELECT 'INSTR_PROTECTION' AS TABELA, 'COERÊNCIA' AS TIPOLOGIA_TESTE,'BU_LOANTAPE_WORK.LT006_INSTR_PROT' AS TABELA_LT,'BU_LOANTAPE_WORK.SIMUL_LT006_INSTR_PROT' AS TABELA_SIMUL,'instrmnt_id' AS CAMPO, '${ref_date}' AS REF_DATE, COUNT(*) AS NUM_REG, SUM(IF(COALESCE(CAST(X.instrmnt_id AS STRING),'')&lt;&gt;COALESCE(CAST(Y.instrmnt_id_SIMUL AS STRING),'') OR (X.instrmnt_id IS NULL AND Y.instrmnt_id_SIMUL IS NOT NULL ) OR (X.instrmnt_id IS NOT NULL AND Y.instrmnt_id_SIMUL IS NULL),1,0)) AS NUM_REG_DIF,'1' AS ID_EXEC, CURRENT_TIMESTAMP() AS TIME_EXEC FROM (SELECT instrmnt_id, instrmnt_id FROM BU_LOANTAPE_WORK.LT006_INSTR_PROT WHERE ref_date='${ref_date}' AND nome_perimetro='Individual Local' AND segmento='ESTR' AND ambito='SRB_MBDT' AND entidade='00100')X INNER JOIN (SELECT instrmnt_id AS instrmnt_id_SIMUL, instrmnt_id AS instrmnt_id_SIMUL FROM BU_LOANTAPE_WORK.SIMUL_LT006_INSTR_PROT WHERE ref_date='${ref_date}' AND nome_perimetro='Individual Local' AND segmento='ESTR' AND ambito='PILAR3' AND entidade='00100')Y ON X.INSTRMNT_ID=Y.INSTRMNT_ID_SIMUL</v>
      </c>
    </row>
    <row r="670" spans="2:13">
      <c r="B670" s="34" t="s">
        <v>311</v>
      </c>
      <c r="C670" s="34" t="s">
        <v>5</v>
      </c>
      <c r="D670" s="34" t="str">
        <f>+UPPER('0. Instruções'!$D$35&amp;"."&amp;VLOOKUP(B670,'0. Instruções'!$C$27:$D$32,2,FALSE))</f>
        <v>BU_LOANTAPE_WORK.LT006_INSTR_PROT</v>
      </c>
      <c r="E670" s="34" t="str">
        <f>+UPPER('0. Instruções'!$D$36&amp;"."&amp;VLOOKUP(B670,'0. Instruções'!$C$27:$E$32,3,FALSE))</f>
        <v>BU_LOANTAPE_WORK.SIMUL_LT006_INSTR_PROT</v>
      </c>
      <c r="F670" s="34" t="s">
        <v>29</v>
      </c>
      <c r="G670" s="34"/>
      <c r="H670" s="34"/>
      <c r="I670" s="34" t="str">
        <f>"(SELECT "&amp;VLOOKUP(B670,'0. Instruções'!$C$27:$G$32,4,FALSE)&amp;", "&amp;F670&amp;" FROM "&amp;D670&amp;" WHERE "&amp;'0. Instruções'!$D$42&amp;")X"</f>
        <v>(SELECT instrmnt_id, prtctn_id FROM BU_LOANTAPE_WORK.LT006_INSTR_PROT WHERE ref_date='${ref_date}' AND nome_perimetro='Individual Local' AND segmento='ESTR' AND ambito='SRB_MBDT' AND entidade='00100')X</v>
      </c>
      <c r="J670" s="34" t="str">
        <f>"(SELECT "&amp;VLOOKUP(B670,'0. Instruções'!$C$27:$G$32,4,FALSE)&amp;" AS "&amp;VLOOKUP(B670,'0. Instruções'!$C$27:$G$32,4,FALSE)&amp;"_SIMUL, "&amp;F670&amp;" AS "&amp;F670&amp;"_SIMUL FROM "&amp;E670&amp;" WHERE "&amp;'0. Instruções'!$D$43&amp;")Y"</f>
        <v>(SELECT instrmnt_id AS instrmnt_id_SIMUL, prtctn_id AS prtctn_id_SIMUL FROM BU_LOANTAPE_WORK.SIMUL_LT006_INSTR_PROT WHERE ref_date='${ref_date}' AND nome_perimetro='Individual Local' AND segmento='ESTR' AND ambito='PILAR3' AND entidade='00100')Y</v>
      </c>
      <c r="K670" s="35" t="str">
        <f>+UPPER("ON X."&amp;VLOOKUP(B670,'0. Instruções'!$C$27:$G$32,4,FALSE)&amp;"=Y."&amp;VLOOKUP(B670,'0. Instruções'!$C$27:$G$32,4,FALSE)&amp;"_SIMUL")</f>
        <v>ON X.INSTRMNT_ID=Y.INSTRMNT_ID_SIMUL</v>
      </c>
      <c r="L670" s="35" t="str">
        <f>+IF(C670="Coerência", +IF(LEFT(G670,5)="FLOAT","SELECT '"&amp;UPPER(B670)&amp;"' AS TABELA, '"&amp;UPPER(C670)&amp;"' AS TIPOLOGIA_TESTE,'"&amp;D670&amp;"' AS TABELA_LT,'"&amp;E670&amp;"' AS TABELA_SIMUL,'"&amp;F670&amp;"' AS CAMPO, "&amp;"'${ref_date}' AS REF_DATE, COUNT(*) AS NUM_REG, SUM(IF((ABS(COALESCE(CAST(X."&amp;F670&amp;" AS DECIMAL(18,6)),0)-COALESCE(CAST(Y."&amp;F670&amp;"_SIMUL AS DECIMAL(18,6)),0))&gt;0.000001) OR (X."&amp;F670&amp;" IS NULL AND Y."&amp;F670&amp;"_SIMUL IS NOT NULL ) OR (X."&amp;F670&amp;" IS NOT NULL AND Y."&amp;F670&amp;"_SIMUL IS NULL),1,0)) AS NUM_REG_DIF,'"&amp;MAX('ID1&amp;5'!K:K)+1&amp;"' AS ID_EXEC, CURRENT_TIMESTAMP() AS TIME_EXEC FROM "&amp;I670&amp;" INNER JOIN "&amp;J670&amp;" "&amp;K670,"SELECT '"&amp;UPPER(B670)&amp;"' AS TABELA, '"&amp;UPPER(C670)&amp;"' AS TIPOLOGIA_TESTE,'"&amp;D670&amp;"' AS TABELA_LT,'"&amp;E670&amp;"' AS TABELA_SIMUL,'"&amp;F670&amp;"' AS CAMPO, "&amp;"'${ref_date}' AS REF_DATE, COUNT(*) AS NUM_REG, SUM(IF(COALESCE(CAST(X."&amp;F670&amp;" AS STRING),'')&lt;&gt;COALESCE(CAST(Y."&amp;F670&amp;"_SIMUL AS STRING),'') OR (X."&amp;F670&amp;" IS NULL AND Y."&amp;F670&amp;"_SIMUL IS NOT NULL ) OR (X."&amp;F670&amp;" IS NOT NULL AND Y."&amp;F670&amp;"_SIMUL IS NULL),1,0)) AS NUM_REG_DIF,'"&amp;MAX('ID1&amp;5'!L:L)+1&amp;"' AS ID_EXEC, CURRENT_TIMESTAMP() AS TIME_EXEC FROM "&amp;I670&amp;" INNER JOIN "&amp;J670&amp;" "&amp;K670),
IF(C670="Validade",+IF(G670="Code List","SELECT '"&amp;UPPER(B670)&amp;"' AS TABELA, '"&amp;UPPER(C670)&amp;"' AS TIPOLOGIA_TESTE,'"&amp;D670&amp;"' AS TABELA_LT,'N/A' AS TABELA_SIMUL,'"&amp;F670&amp;"' AS CAMPO, "&amp;"'${ref_date}' AS REF_DATE, COUNT(*) AS NUM_REG, SUM(IF(TRIM(CAST(X."&amp;F670&amp;" AS STRING))='' OR TRIM(CAST(X."&amp;F670&amp;" AS STRING)) IS NULL OR CAST(X."&amp;F670&amp;" AS STRING) NOT "&amp;H670&amp;",1,0)) AS NUM_REG_DIF,'"&amp;MAX('ID1&amp;5'!K:K)+1&amp;"' AS ID_EXEC, CURRENT_TIMESTAMP() AS TIME_EXEC FROM "&amp;I670,"SELECT '"&amp;UPPER(B670)&amp;"' AS TABELA, '"&amp;UPPER(C670)&amp;"' AS TIPOLOGIA_TESTE,'"&amp;D670&amp;"' AS TABELA_LT,'N/A' AS TABELA_SIMUL,'"&amp;F670&amp;"' AS CAMPO, "&amp;"'${ref_date}' AS REF_DATE, COUNT(*) AS NUM_REG, SUM(IF(TRIM(CAST(X."&amp;F670&amp;" AS STRING))='' OR TRIM(CAST(X."&amp;F670&amp;" AS STRING)) IS NULL,1,0)) AS NUM_REG_DIF,'"&amp;MAX('ID1&amp;5'!K:K)+1&amp;"' AS ID_EXEC, CURRENT_TIMESTAMP() AS TIME_EXEC FROM "&amp;I670),
IF(C670="Caracteres Especiais",+"SELECT '"&amp;UPPER(B670)&amp;"' AS TABELA, '"&amp;UPPER(C670)&amp;"' AS TIPOLOGIA_TESTE,'"&amp;D670&amp;"' AS TABELA_LT,'N/A' AS TABELA_SIMUL,'"&amp;F670&amp;"' AS CAMPO, "&amp;"'${ref_date}' AS REF_DATE, COUNT(*) AS NUM_REG, SUM(IF(REGEXP_REPLACE(TRIM(CAST(X."&amp;F670&amp;" AS STRING)),'[^a-zA-Z0-9_\\s]','') &lt;&gt;TRIM(CAST(X."&amp;F670&amp;" AS STRING)),1,0)) AS NUM_REG_DIF,'"&amp;MAX('ID1&amp;5'!K:K)+1&amp;"' AS ID_EXEC, CURRENT_TIMESTAMP() AS TIME_EXEC FROM "&amp;I670,
IF(C670="Missings",+"SELECT '"&amp;UPPER(B670)&amp;"' AS TABELA, '"&amp;UPPER(C670)&amp;"' AS TIPOLOGIA_TESTE,'"&amp;D670&amp;"' AS TABELA_LT,'N/A' AS TABELA_SIMUL,'"&amp;F670&amp;"' AS CAMPO, "&amp;"'${ref_date}' AS REF_DATE, COUNT(*) AS NUM_REG, SUM(IF(TRIM(CAST(X."&amp;F670&amp;" AS STRING)) IN ('0000-00-00','0001-01-01','9999-12-31','MISS','00000','99999999999','99999999999.00','99999999999.000000'),1,0)) AS NUM_REG_DIF,'"&amp;MAX('ID1&amp;5'!K:K)+1&amp;"' AS ID_EXEC, CURRENT_TIMESTAMP() AS TIME_EXEC FROM "&amp;I670,
IF(C670="Not applicable",+"SELECT '"&amp;UPPER(B670)&amp;"' AS TABELA, '"&amp;UPPER(C670)&amp;"' AS TIPOLOGIA_TESTE,'"&amp;D670&amp;"' AS TABELA_LT,'N/A' AS TABELA_SIMUL,'"&amp;F670&amp;"' AS CAMPO, "&amp;"'${ref_date}' AS REF_DATE, COUNT(*) AS NUM_REG, SUM(IF(TRIM(CAST(X."&amp;F670&amp;" AS STRING)) IN ('N/A','11111111111','11111111111.00','11111111111.000000','1111-11-11'),1,0)) AS NUM_REG_DIF,'"&amp;MAX('ID1&amp;5'!K:K)+1&amp;"' AS ID_EXEC, CURRENT_TIMESTAMP() AS TIME_EXEC FROM "&amp;I670,
IF(C670="Valores extremos",+"SELECT '"&amp;UPPER(B670)&amp;"' AS TABELA, '"&amp;UPPER(C670)&amp;"' AS TIPOLOGIA_TESTE,'"&amp;D670&amp;"' AS TABELA_LT,'N/A' AS TABELA_SIMUL,'"&amp;F670&amp;"' AS CAMPO, "&amp;"'${ref_date}' AS REF_DATE, CAST(MIN("&amp;F670&amp;") AS STRING) AS VALOR_MIN, CAST(MAX("&amp;F670&amp;") AS STRING) AS VALOR_MAX,'"&amp;MAX('ID1&amp;5'!K:K)+1&amp;"' AS ID_EXEC, CURRENT_TIMESTAMP() AS TIME_EXEC FROM "&amp;MID(I670,1,LEN(I670)-2)&amp;" AND CAST("&amp;F670&amp;"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TIPOLOGIA_TESTE,'BU_LOANTAPE_WORK.LT006_INSTR_PROT' AS TABELA_LT,'BU_LOANTAPE_WORK.SIMUL_LT006_INSTR_PROT' AS TABELA_SIMUL,'prtctn_id' AS CAMPO, '${ref_date}' AS REF_DATE, COUNT(*) AS NUM_REG, SUM(IF(COALESCE(CAST(X.prtctn_id AS STRING),'')&lt;&gt;COALESCE(CAST(Y.prtctn_id_SIMUL AS STRING),'') OR (X.prtctn_id IS NULL AND Y.prtctn_id_SIMUL IS NOT NULL ) OR (X.prtctn_id IS NOT NULL AND Y.prtctn_id_SIMUL IS NULL),1,0)) AS NUM_REG_DIF,'1' AS ID_EXEC, CURRENT_TIMESTAMP() AS TIME_EXEC FROM (SELECT instrmnt_id, prtctn_id FROM BU_LOANTAPE_WORK.LT006_INSTR_PROT WHERE ref_date='${ref_date}' AND nome_perimetro='Individual Local' AND segmento='ESTR' AND ambito='SRB_MBDT' AND entidade='00100')X INNER JOIN (SELECT instrmnt_id AS instrmnt_id_SIMUL, prtctn_id AS prtctn_id_SIMUL FROM BU_LOANTAPE_WORK.SIMUL_LT006_INSTR_PROT WHERE ref_date='${ref_date}' AND nome_perimetro='Individual Local' AND segmento='ESTR' AND ambito='PILAR3' AND entidade='00100')Y ON X.INSTRMNT_ID=Y.INSTRMNT_ID_SIMUL</v>
      </c>
      <c r="M670" s="36" t="str">
        <f t="shared" si="18"/>
        <v>UNION ALL SELECT 'INSTR_PROTECTION' AS TABELA, 'COERÊNCIA' AS TIPOLOGIA_TESTE,'BU_LOANTAPE_WORK.LT006_INSTR_PROT' AS TABELA_LT,'BU_LOANTAPE_WORK.SIMUL_LT006_INSTR_PROT' AS TABELA_SIMUL,'prtctn_id' AS CAMPO, '${ref_date}' AS REF_DATE, COUNT(*) AS NUM_REG, SUM(IF(COALESCE(CAST(X.prtctn_id AS STRING),'')&lt;&gt;COALESCE(CAST(Y.prtctn_id_SIMUL AS STRING),'') OR (X.prtctn_id IS NULL AND Y.prtctn_id_SIMUL IS NOT NULL ) OR (X.prtctn_id IS NOT NULL AND Y.prtctn_id_SIMUL IS NULL),1,0)) AS NUM_REG_DIF,'1' AS ID_EXEC, CURRENT_TIMESTAMP() AS TIME_EXEC FROM (SELECT instrmnt_id, prtctn_id FROM BU_LOANTAPE_WORK.LT006_INSTR_PROT WHERE ref_date='${ref_date}' AND nome_perimetro='Individual Local' AND segmento='ESTR' AND ambito='SRB_MBDT' AND entidade='00100')X INNER JOIN (SELECT instrmnt_id AS instrmnt_id_SIMUL, prtctn_id AS prtctn_id_SIMUL FROM BU_LOANTAPE_WORK.SIMUL_LT006_INSTR_PROT WHERE ref_date='${ref_date}' AND nome_perimetro='Individual Local' AND segmento='ESTR' AND ambito='PILAR3' AND entidade='00100')Y ON X.INSTRMNT_ID=Y.INSTRMNT_ID_SIMUL</v>
      </c>
    </row>
    <row r="671" spans="2:13">
      <c r="B671" s="34" t="s">
        <v>311</v>
      </c>
      <c r="C671" s="34" t="s">
        <v>5</v>
      </c>
      <c r="D671" s="34" t="str">
        <f>+UPPER('0. Instruções'!$D$35&amp;"."&amp;VLOOKUP(B671,'0. Instruções'!$C$27:$D$32,2,FALSE))</f>
        <v>BU_LOANTAPE_WORK.LT006_INSTR_PROT</v>
      </c>
      <c r="E671" s="34" t="str">
        <f>+UPPER('0. Instruções'!$D$36&amp;"."&amp;VLOOKUP(B671,'0. Instruções'!$C$27:$E$32,3,FALSE))</f>
        <v>BU_LOANTAPE_WORK.SIMUL_LT006_INSTR_PROT</v>
      </c>
      <c r="F671" s="34" t="s">
        <v>727</v>
      </c>
      <c r="G671" s="34"/>
      <c r="H671" s="34"/>
      <c r="I671" s="34" t="str">
        <f>"(SELECT "&amp;VLOOKUP(B671,'0. Instruções'!$C$27:$G$32,4,FALSE)&amp;", "&amp;F671&amp;" FROM "&amp;D671&amp;" WHERE "&amp;'0. Instruções'!$D$42&amp;")X"</f>
        <v>(SELECT instrmnt_id, prtctn_allctd_vl FROM BU_LOANTAPE_WORK.LT006_INSTR_PROT WHERE ref_date='${ref_date}' AND nome_perimetro='Individual Local' AND segmento='ESTR' AND ambito='SRB_MBDT' AND entidade='00100')X</v>
      </c>
      <c r="J671" s="34" t="str">
        <f>"(SELECT "&amp;VLOOKUP(B671,'0. Instruções'!$C$27:$G$32,4,FALSE)&amp;" AS "&amp;VLOOKUP(B671,'0. Instruções'!$C$27:$G$32,4,FALSE)&amp;"_SIMUL, "&amp;F671&amp;" AS "&amp;F671&amp;"_SIMUL FROM "&amp;E671&amp;" WHERE "&amp;'0. Instruções'!$D$43&amp;")Y"</f>
        <v>(SELECT instrmnt_id AS instrmnt_id_SIMUL, prtctn_allctd_vl AS prtctn_allctd_vl_SIMUL FROM BU_LOANTAPE_WORK.SIMUL_LT006_INSTR_PROT WHERE ref_date='${ref_date}' AND nome_perimetro='Individual Local' AND segmento='ESTR' AND ambito='PILAR3' AND entidade='00100')Y</v>
      </c>
      <c r="K671" s="35" t="str">
        <f>+UPPER("ON X."&amp;VLOOKUP(B671,'0. Instruções'!$C$27:$G$32,4,FALSE)&amp;"=Y."&amp;VLOOKUP(B671,'0. Instruções'!$C$27:$G$32,4,FALSE)&amp;"_SIMUL")</f>
        <v>ON X.INSTRMNT_ID=Y.INSTRMNT_ID_SIMUL</v>
      </c>
      <c r="L671" s="35" t="str">
        <f>+IF(C671="Coerência", +IF(LEFT(G671,5)="FLOAT","SELECT '"&amp;UPPER(B671)&amp;"' AS TABELA, '"&amp;UPPER(C671)&amp;"' AS TIPOLOGIA_TESTE,'"&amp;D671&amp;"' AS TABELA_LT,'"&amp;E671&amp;"' AS TABELA_SIMUL,'"&amp;F671&amp;"' AS CAMPO, "&amp;"'${ref_date}' AS REF_DATE, COUNT(*) AS NUM_REG, SUM(IF((ABS(COALESCE(CAST(X."&amp;F671&amp;" AS DECIMAL(18,6)),0)-COALESCE(CAST(Y."&amp;F671&amp;"_SIMUL AS DECIMAL(18,6)),0))&gt;0.000001) OR (X."&amp;F671&amp;" IS NULL AND Y."&amp;F671&amp;"_SIMUL IS NOT NULL ) OR (X."&amp;F671&amp;" IS NOT NULL AND Y."&amp;F671&amp;"_SIMUL IS NULL),1,0)) AS NUM_REG_DIF,'"&amp;MAX('ID1&amp;5'!K:K)+1&amp;"' AS ID_EXEC, CURRENT_TIMESTAMP() AS TIME_EXEC FROM "&amp;I671&amp;" INNER JOIN "&amp;J671&amp;" "&amp;K671,"SELECT '"&amp;UPPER(B671)&amp;"' AS TABELA, '"&amp;UPPER(C671)&amp;"' AS TIPOLOGIA_TESTE,'"&amp;D671&amp;"' AS TABELA_LT,'"&amp;E671&amp;"' AS TABELA_SIMUL,'"&amp;F671&amp;"' AS CAMPO, "&amp;"'${ref_date}' AS REF_DATE, COUNT(*) AS NUM_REG, SUM(IF(COALESCE(CAST(X."&amp;F671&amp;" AS STRING),'')&lt;&gt;COALESCE(CAST(Y."&amp;F671&amp;"_SIMUL AS STRING),'') OR (X."&amp;F671&amp;" IS NULL AND Y."&amp;F671&amp;"_SIMUL IS NOT NULL ) OR (X."&amp;F671&amp;" IS NOT NULL AND Y."&amp;F671&amp;"_SIMUL IS NULL),1,0)) AS NUM_REG_DIF,'"&amp;MAX('ID1&amp;5'!L:L)+1&amp;"' AS ID_EXEC, CURRENT_TIMESTAMP() AS TIME_EXEC FROM "&amp;I671&amp;" INNER JOIN "&amp;J671&amp;" "&amp;K671),
IF(C671="Validade",+IF(G671="Code List","SELECT '"&amp;UPPER(B671)&amp;"' AS TABELA, '"&amp;UPPER(C671)&amp;"' AS TIPOLOGIA_TESTE,'"&amp;D671&amp;"' AS TABELA_LT,'N/A' AS TABELA_SIMUL,'"&amp;F671&amp;"' AS CAMPO, "&amp;"'${ref_date}' AS REF_DATE, COUNT(*) AS NUM_REG, SUM(IF(TRIM(CAST(X."&amp;F671&amp;" AS STRING))='' OR TRIM(CAST(X."&amp;F671&amp;" AS STRING)) IS NULL OR CAST(X."&amp;F671&amp;" AS STRING) NOT "&amp;H671&amp;",1,0)) AS NUM_REG_DIF,'"&amp;MAX('ID1&amp;5'!K:K)+1&amp;"' AS ID_EXEC, CURRENT_TIMESTAMP() AS TIME_EXEC FROM "&amp;I671,"SELECT '"&amp;UPPER(B671)&amp;"' AS TABELA, '"&amp;UPPER(C671)&amp;"' AS TIPOLOGIA_TESTE,'"&amp;D671&amp;"' AS TABELA_LT,'N/A' AS TABELA_SIMUL,'"&amp;F671&amp;"' AS CAMPO, "&amp;"'${ref_date}' AS REF_DATE, COUNT(*) AS NUM_REG, SUM(IF(TRIM(CAST(X."&amp;F671&amp;" AS STRING))='' OR TRIM(CAST(X."&amp;F671&amp;" AS STRING)) IS NULL,1,0)) AS NUM_REG_DIF,'"&amp;MAX('ID1&amp;5'!K:K)+1&amp;"' AS ID_EXEC, CURRENT_TIMESTAMP() AS TIME_EXEC FROM "&amp;I671),
IF(C671="Caracteres Especiais",+"SELECT '"&amp;UPPER(B671)&amp;"' AS TABELA, '"&amp;UPPER(C671)&amp;"' AS TIPOLOGIA_TESTE,'"&amp;D671&amp;"' AS TABELA_LT,'N/A' AS TABELA_SIMUL,'"&amp;F671&amp;"' AS CAMPO, "&amp;"'${ref_date}' AS REF_DATE, COUNT(*) AS NUM_REG, SUM(IF(REGEXP_REPLACE(TRIM(CAST(X."&amp;F671&amp;" AS STRING)),'[^a-zA-Z0-9_\\s]','') &lt;&gt;TRIM(CAST(X."&amp;F671&amp;" AS STRING)),1,0)) AS NUM_REG_DIF,'"&amp;MAX('ID1&amp;5'!K:K)+1&amp;"' AS ID_EXEC, CURRENT_TIMESTAMP() AS TIME_EXEC FROM "&amp;I671,
IF(C671="Missings",+"SELECT '"&amp;UPPER(B671)&amp;"' AS TABELA, '"&amp;UPPER(C671)&amp;"' AS TIPOLOGIA_TESTE,'"&amp;D671&amp;"' AS TABELA_LT,'N/A' AS TABELA_SIMUL,'"&amp;F671&amp;"' AS CAMPO, "&amp;"'${ref_date}' AS REF_DATE, COUNT(*) AS NUM_REG, SUM(IF(TRIM(CAST(X."&amp;F671&amp;" AS STRING)) IN ('0000-00-00','0001-01-01','9999-12-31','MISS','00000','99999999999','99999999999.00','99999999999.000000'),1,0)) AS NUM_REG_DIF,'"&amp;MAX('ID1&amp;5'!K:K)+1&amp;"' AS ID_EXEC, CURRENT_TIMESTAMP() AS TIME_EXEC FROM "&amp;I671,
IF(C671="Not applicable",+"SELECT '"&amp;UPPER(B671)&amp;"' AS TABELA, '"&amp;UPPER(C671)&amp;"' AS TIPOLOGIA_TESTE,'"&amp;D671&amp;"' AS TABELA_LT,'N/A' AS TABELA_SIMUL,'"&amp;F671&amp;"' AS CAMPO, "&amp;"'${ref_date}' AS REF_DATE, COUNT(*) AS NUM_REG, SUM(IF(TRIM(CAST(X."&amp;F671&amp;" AS STRING)) IN ('N/A','11111111111','11111111111.00','11111111111.000000','1111-11-11'),1,0)) AS NUM_REG_DIF,'"&amp;MAX('ID1&amp;5'!K:K)+1&amp;"' AS ID_EXEC, CURRENT_TIMESTAMP() AS TIME_EXEC FROM "&amp;I671,
IF(C671="Valores extremos",+"SELECT '"&amp;UPPER(B671)&amp;"' AS TABELA, '"&amp;UPPER(C671)&amp;"' AS TIPOLOGIA_TESTE,'"&amp;D671&amp;"' AS TABELA_LT,'N/A' AS TABELA_SIMUL,'"&amp;F671&amp;"' AS CAMPO, "&amp;"'${ref_date}' AS REF_DATE, CAST(MIN("&amp;F671&amp;") AS STRING) AS VALOR_MIN, CAST(MAX("&amp;F671&amp;") AS STRING) AS VALOR_MAX,'"&amp;MAX('ID1&amp;5'!K:K)+1&amp;"' AS ID_EXEC, CURRENT_TIMESTAMP() AS TIME_EXEC FROM "&amp;MID(I671,1,LEN(I671)-2)&amp;" AND CAST("&amp;F671&amp;"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TIPOLOGIA_TESTE,'BU_LOANTAPE_WORK.LT006_INSTR_PROT' AS TABELA_LT,'BU_LOANTAPE_WORK.SIMUL_LT006_INSTR_PROT' AS TABELA_SIMUL,'prtctn_allctd_vl' AS CAMPO, '${ref_date}' AS REF_DATE, COUNT(*) AS NUM_REG, SUM(IF(COALESCE(CAST(X.prtctn_allctd_vl AS STRING),'')&lt;&gt;COALESCE(CAST(Y.prtctn_allctd_vl_SIMUL AS STRING),'') OR (X.prtctn_allctd_vl IS NULL AND Y.prtctn_allctd_vl_SIMUL IS NOT NULL ) OR (X.prtctn_allctd_vl IS NOT NULL AND Y.prtctn_allctd_vl_SIMUL IS NULL),1,0)) AS NUM_REG_DIF,'1' AS ID_EXEC, CURRENT_TIMESTAMP() AS TIME_EXEC FROM (SELECT instrmnt_id, prtctn_allctd_vl FROM BU_LOANTAPE_WORK.LT006_INSTR_PROT WHERE ref_date='${ref_date}' AND nome_perimetro='Individual Local' AND segmento='ESTR' AND ambito='SRB_MBDT' AND entidade='00100')X INNER JOIN (SELECT instrmnt_id AS instrmnt_id_SIMUL, prtctn_allctd_vl AS prtctn_allctd_vl_SIMUL FROM BU_LOANTAPE_WORK.SIMUL_LT006_INSTR_PROT WHERE ref_date='${ref_date}' AND nome_perimetro='Individual Local' AND segmento='ESTR' AND ambito='PILAR3' AND entidade='00100')Y ON X.INSTRMNT_ID=Y.INSTRMNT_ID_SIMUL</v>
      </c>
      <c r="M671" s="36" t="str">
        <f t="shared" si="18"/>
        <v>UNION ALL SELECT 'INSTR_PROTECTION' AS TABELA, 'COERÊNCIA' AS TIPOLOGIA_TESTE,'BU_LOANTAPE_WORK.LT006_INSTR_PROT' AS TABELA_LT,'BU_LOANTAPE_WORK.SIMUL_LT006_INSTR_PROT' AS TABELA_SIMUL,'prtctn_allctd_vl' AS CAMPO, '${ref_date}' AS REF_DATE, COUNT(*) AS NUM_REG, SUM(IF(COALESCE(CAST(X.prtctn_allctd_vl AS STRING),'')&lt;&gt;COALESCE(CAST(Y.prtctn_allctd_vl_SIMUL AS STRING),'') OR (X.prtctn_allctd_vl IS NULL AND Y.prtctn_allctd_vl_SIMUL IS NOT NULL ) OR (X.prtctn_allctd_vl IS NOT NULL AND Y.prtctn_allctd_vl_SIMUL IS NULL),1,0)) AS NUM_REG_DIF,'1' AS ID_EXEC, CURRENT_TIMESTAMP() AS TIME_EXEC FROM (SELECT instrmnt_id, prtctn_allctd_vl FROM BU_LOANTAPE_WORK.LT006_INSTR_PROT WHERE ref_date='${ref_date}' AND nome_perimetro='Individual Local' AND segmento='ESTR' AND ambito='SRB_MBDT' AND entidade='00100')X INNER JOIN (SELECT instrmnt_id AS instrmnt_id_SIMUL, prtctn_allctd_vl AS prtctn_allctd_vl_SIMUL FROM BU_LOANTAPE_WORK.SIMUL_LT006_INSTR_PROT WHERE ref_date='${ref_date}' AND nome_perimetro='Individual Local' AND segmento='ESTR' AND ambito='PILAR3' AND entidade='00100')Y ON X.INSTRMNT_ID=Y.INSTRMNT_ID_SIMUL</v>
      </c>
    </row>
    <row r="672" spans="2:13">
      <c r="B672" s="34" t="s">
        <v>311</v>
      </c>
      <c r="C672" s="34" t="s">
        <v>5</v>
      </c>
      <c r="D672" s="34" t="str">
        <f>+UPPER('0. Instruções'!$D$35&amp;"."&amp;VLOOKUP(B672,'0. Instruções'!$C$27:$D$32,2,FALSE))</f>
        <v>BU_LOANTAPE_WORK.LT006_INSTR_PROT</v>
      </c>
      <c r="E672" s="34" t="str">
        <f>+UPPER('0. Instruções'!$D$36&amp;"."&amp;VLOOKUP(B672,'0. Instruções'!$C$27:$E$32,3,FALSE))</f>
        <v>BU_LOANTAPE_WORK.SIMUL_LT006_INSTR_PROT</v>
      </c>
      <c r="F672" s="34" t="s">
        <v>1575</v>
      </c>
      <c r="G672" s="34"/>
      <c r="H672" s="34"/>
      <c r="I672" s="34" t="str">
        <f>"(SELECT "&amp;VLOOKUP(B672,'0. Instruções'!$C$27:$G$32,4,FALSE)&amp;", "&amp;F672&amp;" FROM "&amp;D672&amp;" WHERE "&amp;'0. Instruções'!$D$42&amp;")X"</f>
        <v>(SELECT instrmnt_id, thrd_prty_prrty_clms FROM BU_LOANTAPE_WORK.LT006_INSTR_PROT WHERE ref_date='${ref_date}' AND nome_perimetro='Individual Local' AND segmento='ESTR' AND ambito='SRB_MBDT' AND entidade='00100')X</v>
      </c>
      <c r="J672" s="34" t="str">
        <f>"(SELECT "&amp;VLOOKUP(B672,'0. Instruções'!$C$27:$G$32,4,FALSE)&amp;" AS "&amp;VLOOKUP(B672,'0. Instruções'!$C$27:$G$32,4,FALSE)&amp;"_SIMUL, "&amp;F672&amp;" AS "&amp;F672&amp;"_SIMUL FROM "&amp;E672&amp;" WHERE "&amp;'0. Instruções'!$D$43&amp;")Y"</f>
        <v>(SELECT instrmnt_id AS instrmnt_id_SIMUL, thrd_prty_prrty_clms AS thrd_prty_prrty_clms_SIMUL FROM BU_LOANTAPE_WORK.SIMUL_LT006_INSTR_PROT WHERE ref_date='${ref_date}' AND nome_perimetro='Individual Local' AND segmento='ESTR' AND ambito='PILAR3' AND entidade='00100')Y</v>
      </c>
      <c r="K672" s="35" t="str">
        <f>+UPPER("ON X."&amp;VLOOKUP(B672,'0. Instruções'!$C$27:$G$32,4,FALSE)&amp;"=Y."&amp;VLOOKUP(B672,'0. Instruções'!$C$27:$G$32,4,FALSE)&amp;"_SIMUL")</f>
        <v>ON X.INSTRMNT_ID=Y.INSTRMNT_ID_SIMUL</v>
      </c>
      <c r="L672" s="35" t="str">
        <f>+IF(C672="Coerência", +IF(LEFT(G672,5)="FLOAT","SELECT '"&amp;UPPER(B672)&amp;"' AS TABELA, '"&amp;UPPER(C672)&amp;"' AS TIPOLOGIA_TESTE,'"&amp;D672&amp;"' AS TABELA_LT,'"&amp;E672&amp;"' AS TABELA_SIMUL,'"&amp;F672&amp;"' AS CAMPO, "&amp;"'${ref_date}' AS REF_DATE, COUNT(*) AS NUM_REG, SUM(IF((ABS(COALESCE(CAST(X."&amp;F672&amp;" AS DECIMAL(18,6)),0)-COALESCE(CAST(Y."&amp;F672&amp;"_SIMUL AS DECIMAL(18,6)),0))&gt;0.000001) OR (X."&amp;F672&amp;" IS NULL AND Y."&amp;F672&amp;"_SIMUL IS NOT NULL ) OR (X."&amp;F672&amp;" IS NOT NULL AND Y."&amp;F672&amp;"_SIMUL IS NULL),1,0)) AS NUM_REG_DIF,'"&amp;MAX('ID1&amp;5'!K:K)+1&amp;"' AS ID_EXEC, CURRENT_TIMESTAMP() AS TIME_EXEC FROM "&amp;I672&amp;" INNER JOIN "&amp;J672&amp;" "&amp;K672,"SELECT '"&amp;UPPER(B672)&amp;"' AS TABELA, '"&amp;UPPER(C672)&amp;"' AS TIPOLOGIA_TESTE,'"&amp;D672&amp;"' AS TABELA_LT,'"&amp;E672&amp;"' AS TABELA_SIMUL,'"&amp;F672&amp;"' AS CAMPO, "&amp;"'${ref_date}' AS REF_DATE, COUNT(*) AS NUM_REG, SUM(IF(COALESCE(CAST(X."&amp;F672&amp;" AS STRING),'')&lt;&gt;COALESCE(CAST(Y."&amp;F672&amp;"_SIMUL AS STRING),'') OR (X."&amp;F672&amp;" IS NULL AND Y."&amp;F672&amp;"_SIMUL IS NOT NULL ) OR (X."&amp;F672&amp;" IS NOT NULL AND Y."&amp;F672&amp;"_SIMUL IS NULL),1,0)) AS NUM_REG_DIF,'"&amp;MAX('ID1&amp;5'!L:L)+1&amp;"' AS ID_EXEC, CURRENT_TIMESTAMP() AS TIME_EXEC FROM "&amp;I672&amp;" INNER JOIN "&amp;J672&amp;" "&amp;K672),
IF(C672="Validade",+IF(G672="Code List","SELECT '"&amp;UPPER(B672)&amp;"' AS TABELA, '"&amp;UPPER(C672)&amp;"' AS TIPOLOGIA_TESTE,'"&amp;D672&amp;"' AS TABELA_LT,'N/A' AS TABELA_SIMUL,'"&amp;F672&amp;"' AS CAMPO, "&amp;"'${ref_date}' AS REF_DATE, COUNT(*) AS NUM_REG, SUM(IF(TRIM(CAST(X."&amp;F672&amp;" AS STRING))='' OR TRIM(CAST(X."&amp;F672&amp;" AS STRING)) IS NULL OR CAST(X."&amp;F672&amp;" AS STRING) NOT "&amp;H672&amp;",1,0)) AS NUM_REG_DIF,'"&amp;MAX('ID1&amp;5'!K:K)+1&amp;"' AS ID_EXEC, CURRENT_TIMESTAMP() AS TIME_EXEC FROM "&amp;I672,"SELECT '"&amp;UPPER(B672)&amp;"' AS TABELA, '"&amp;UPPER(C672)&amp;"' AS TIPOLOGIA_TESTE,'"&amp;D672&amp;"' AS TABELA_LT,'N/A' AS TABELA_SIMUL,'"&amp;F672&amp;"' AS CAMPO, "&amp;"'${ref_date}' AS REF_DATE, COUNT(*) AS NUM_REG, SUM(IF(TRIM(CAST(X."&amp;F672&amp;" AS STRING))='' OR TRIM(CAST(X."&amp;F672&amp;" AS STRING)) IS NULL,1,0)) AS NUM_REG_DIF,'"&amp;MAX('ID1&amp;5'!K:K)+1&amp;"' AS ID_EXEC, CURRENT_TIMESTAMP() AS TIME_EXEC FROM "&amp;I672),
IF(C672="Caracteres Especiais",+"SELECT '"&amp;UPPER(B672)&amp;"' AS TABELA, '"&amp;UPPER(C672)&amp;"' AS TIPOLOGIA_TESTE,'"&amp;D672&amp;"' AS TABELA_LT,'N/A' AS TABELA_SIMUL,'"&amp;F672&amp;"' AS CAMPO, "&amp;"'${ref_date}' AS REF_DATE, COUNT(*) AS NUM_REG, SUM(IF(REGEXP_REPLACE(TRIM(CAST(X."&amp;F672&amp;" AS STRING)),'[^a-zA-Z0-9_\\s]','') &lt;&gt;TRIM(CAST(X."&amp;F672&amp;" AS STRING)),1,0)) AS NUM_REG_DIF,'"&amp;MAX('ID1&amp;5'!K:K)+1&amp;"' AS ID_EXEC, CURRENT_TIMESTAMP() AS TIME_EXEC FROM "&amp;I672,
IF(C672="Missings",+"SELECT '"&amp;UPPER(B672)&amp;"' AS TABELA, '"&amp;UPPER(C672)&amp;"' AS TIPOLOGIA_TESTE,'"&amp;D672&amp;"' AS TABELA_LT,'N/A' AS TABELA_SIMUL,'"&amp;F672&amp;"' AS CAMPO, "&amp;"'${ref_date}' AS REF_DATE, COUNT(*) AS NUM_REG, SUM(IF(TRIM(CAST(X."&amp;F672&amp;" AS STRING)) IN ('0000-00-00','0001-01-01','9999-12-31','MISS','00000','99999999999','99999999999.00','99999999999.000000'),1,0)) AS NUM_REG_DIF,'"&amp;MAX('ID1&amp;5'!K:K)+1&amp;"' AS ID_EXEC, CURRENT_TIMESTAMP() AS TIME_EXEC FROM "&amp;I672,
IF(C672="Not applicable",+"SELECT '"&amp;UPPER(B672)&amp;"' AS TABELA, '"&amp;UPPER(C672)&amp;"' AS TIPOLOGIA_TESTE,'"&amp;D672&amp;"' AS TABELA_LT,'N/A' AS TABELA_SIMUL,'"&amp;F672&amp;"' AS CAMPO, "&amp;"'${ref_date}' AS REF_DATE, COUNT(*) AS NUM_REG, SUM(IF(TRIM(CAST(X."&amp;F672&amp;" AS STRING)) IN ('N/A','11111111111','11111111111.00','11111111111.000000','1111-11-11'),1,0)) AS NUM_REG_DIF,'"&amp;MAX('ID1&amp;5'!K:K)+1&amp;"' AS ID_EXEC, CURRENT_TIMESTAMP() AS TIME_EXEC FROM "&amp;I672,
IF(C672="Valores extremos",+"SELECT '"&amp;UPPER(B672)&amp;"' AS TABELA, '"&amp;UPPER(C672)&amp;"' AS TIPOLOGIA_TESTE,'"&amp;D672&amp;"' AS TABELA_LT,'N/A' AS TABELA_SIMUL,'"&amp;F672&amp;"' AS CAMPO, "&amp;"'${ref_date}' AS REF_DATE, CAST(MIN("&amp;F672&amp;") AS STRING) AS VALOR_MIN, CAST(MAX("&amp;F672&amp;") AS STRING) AS VALOR_MAX,'"&amp;MAX('ID1&amp;5'!K:K)+1&amp;"' AS ID_EXEC, CURRENT_TIMESTAMP() AS TIME_EXEC FROM "&amp;MID(I672,1,LEN(I672)-2)&amp;" AND CAST("&amp;F672&amp;"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TIPOLOGIA_TESTE,'BU_LOANTAPE_WORK.LT006_INSTR_PROT' AS TABELA_LT,'BU_LOANTAPE_WORK.SIMUL_LT006_INSTR_PROT' AS TABELA_SIMUL,'thrd_prty_prrty_clms' AS CAMPO, '${ref_date}' AS REF_DATE, COUNT(*) AS NUM_REG, SUM(IF(COALESCE(CAST(X.thrd_prty_prrty_clms AS STRING),'')&lt;&gt;COALESCE(CAST(Y.thrd_prty_prrty_clms_SIMUL AS STRING),'') OR (X.thrd_prty_prrty_clms IS NULL AND Y.thrd_prty_prrty_clms_SIMUL IS NOT NULL ) OR (X.thrd_prty_prrty_clms IS NOT NULL AND Y.thrd_prty_prrty_clms_SIMUL IS NULL),1,0)) AS NUM_REG_DIF,'1' AS ID_EXEC, CURRENT_TIMESTAMP() AS TIME_EXEC FROM (SELECT instrmnt_id, thrd_prty_prrty_clms FROM BU_LOANTAPE_WORK.LT006_INSTR_PROT WHERE ref_date='${ref_date}' AND nome_perimetro='Individual Local' AND segmento='ESTR' AND ambito='SRB_MBDT' AND entidade='00100')X INNER JOIN (SELECT instrmnt_id AS instrmnt_id_SIMUL, thrd_prty_prrty_clms AS thrd_prty_prrty_clms_SIMUL FROM BU_LOANTAPE_WORK.SIMUL_LT006_INSTR_PROT WHERE ref_date='${ref_date}' AND nome_perimetro='Individual Local' AND segmento='ESTR' AND ambito='PILAR3' AND entidade='00100')Y ON X.INSTRMNT_ID=Y.INSTRMNT_ID_SIMUL</v>
      </c>
      <c r="M672" s="36" t="str">
        <f t="shared" si="18"/>
        <v>UNION ALL SELECT 'INSTR_PROTECTION' AS TABELA, 'COERÊNCIA' AS TIPOLOGIA_TESTE,'BU_LOANTAPE_WORK.LT006_INSTR_PROT' AS TABELA_LT,'BU_LOANTAPE_WORK.SIMUL_LT006_INSTR_PROT' AS TABELA_SIMUL,'thrd_prty_prrty_clms' AS CAMPO, '${ref_date}' AS REF_DATE, COUNT(*) AS NUM_REG, SUM(IF(COALESCE(CAST(X.thrd_prty_prrty_clms AS STRING),'')&lt;&gt;COALESCE(CAST(Y.thrd_prty_prrty_clms_SIMUL AS STRING),'') OR (X.thrd_prty_prrty_clms IS NULL AND Y.thrd_prty_prrty_clms_SIMUL IS NOT NULL ) OR (X.thrd_prty_prrty_clms IS NOT NULL AND Y.thrd_prty_prrty_clms_SIMUL IS NULL),1,0)) AS NUM_REG_DIF,'1' AS ID_EXEC, CURRENT_TIMESTAMP() AS TIME_EXEC FROM (SELECT instrmnt_id, thrd_prty_prrty_clms FROM BU_LOANTAPE_WORK.LT006_INSTR_PROT WHERE ref_date='${ref_date}' AND nome_perimetro='Individual Local' AND segmento='ESTR' AND ambito='SRB_MBDT' AND entidade='00100')X INNER JOIN (SELECT instrmnt_id AS instrmnt_id_SIMUL, thrd_prty_prrty_clms AS thrd_prty_prrty_clms_SIMUL FROM BU_LOANTAPE_WORK.SIMUL_LT006_INSTR_PROT WHERE ref_date='${ref_date}' AND nome_perimetro='Individual Local' AND segmento='ESTR' AND ambito='PILAR3' AND entidade='00100')Y ON X.INSTRMNT_ID=Y.INSTRMNT_ID_SIMUL</v>
      </c>
    </row>
    <row r="673" spans="2:13">
      <c r="B673" s="34" t="s">
        <v>311</v>
      </c>
      <c r="C673" s="34" t="s">
        <v>5</v>
      </c>
      <c r="D673" s="34" t="str">
        <f>+UPPER('0. Instruções'!$D$35&amp;"."&amp;VLOOKUP(B673,'0. Instruções'!$C$27:$D$32,2,FALSE))</f>
        <v>BU_LOANTAPE_WORK.LT006_INSTR_PROT</v>
      </c>
      <c r="E673" s="34" t="str">
        <f>+UPPER('0. Instruções'!$D$36&amp;"."&amp;VLOOKUP(B673,'0. Instruções'!$C$27:$E$32,3,FALSE))</f>
        <v>BU_LOANTAPE_WORK.SIMUL_LT006_INSTR_PROT</v>
      </c>
      <c r="F673" s="34" t="s">
        <v>1576</v>
      </c>
      <c r="G673" s="34"/>
      <c r="H673" s="34"/>
      <c r="I673" s="34" t="str">
        <f>"(SELECT "&amp;VLOOKUP(B673,'0. Instruções'!$C$27:$G$32,4,FALSE)&amp;", "&amp;F673&amp;" FROM "&amp;D673&amp;" WHERE "&amp;'0. Instruções'!$D$42&amp;")X"</f>
        <v>(SELECT instrmnt_id, typ_rltn FROM BU_LOANTAPE_WORK.LT006_INSTR_PROT WHERE ref_date='${ref_date}' AND nome_perimetro='Individual Local' AND segmento='ESTR' AND ambito='SRB_MBDT' AND entidade='00100')X</v>
      </c>
      <c r="J673" s="34" t="str">
        <f>"(SELECT "&amp;VLOOKUP(B673,'0. Instruções'!$C$27:$G$32,4,FALSE)&amp;" AS "&amp;VLOOKUP(B673,'0. Instruções'!$C$27:$G$32,4,FALSE)&amp;"_SIMUL, "&amp;F673&amp;" AS "&amp;F673&amp;"_SIMUL FROM "&amp;E673&amp;" WHERE "&amp;'0. Instruções'!$D$43&amp;")Y"</f>
        <v>(SELECT instrmnt_id AS instrmnt_id_SIMUL, typ_rltn AS typ_rltn_SIMUL FROM BU_LOANTAPE_WORK.SIMUL_LT006_INSTR_PROT WHERE ref_date='${ref_date}' AND nome_perimetro='Individual Local' AND segmento='ESTR' AND ambito='PILAR3' AND entidade='00100')Y</v>
      </c>
      <c r="K673" s="35" t="str">
        <f>+UPPER("ON X."&amp;VLOOKUP(B673,'0. Instruções'!$C$27:$G$32,4,FALSE)&amp;"=Y."&amp;VLOOKUP(B673,'0. Instruções'!$C$27:$G$32,4,FALSE)&amp;"_SIMUL")</f>
        <v>ON X.INSTRMNT_ID=Y.INSTRMNT_ID_SIMUL</v>
      </c>
      <c r="L673" s="35" t="str">
        <f>+IF(C673="Coerência", +IF(LEFT(G673,5)="FLOAT","SELECT '"&amp;UPPER(B673)&amp;"' AS TABELA, '"&amp;UPPER(C673)&amp;"' AS TIPOLOGIA_TESTE,'"&amp;D673&amp;"' AS TABELA_LT,'"&amp;E673&amp;"' AS TABELA_SIMUL,'"&amp;F673&amp;"' AS CAMPO, "&amp;"'${ref_date}' AS REF_DATE, COUNT(*) AS NUM_REG, SUM(IF((ABS(COALESCE(CAST(X."&amp;F673&amp;" AS DECIMAL(18,6)),0)-COALESCE(CAST(Y."&amp;F673&amp;"_SIMUL AS DECIMAL(18,6)),0))&gt;0.000001) OR (X."&amp;F673&amp;" IS NULL AND Y."&amp;F673&amp;"_SIMUL IS NOT NULL ) OR (X."&amp;F673&amp;" IS NOT NULL AND Y."&amp;F673&amp;"_SIMUL IS NULL),1,0)) AS NUM_REG_DIF,'"&amp;MAX('ID1&amp;5'!K:K)+1&amp;"' AS ID_EXEC, CURRENT_TIMESTAMP() AS TIME_EXEC FROM "&amp;I673&amp;" INNER JOIN "&amp;J673&amp;" "&amp;K673,"SELECT '"&amp;UPPER(B673)&amp;"' AS TABELA, '"&amp;UPPER(C673)&amp;"' AS TIPOLOGIA_TESTE,'"&amp;D673&amp;"' AS TABELA_LT,'"&amp;E673&amp;"' AS TABELA_SIMUL,'"&amp;F673&amp;"' AS CAMPO, "&amp;"'${ref_date}' AS REF_DATE, COUNT(*) AS NUM_REG, SUM(IF(COALESCE(CAST(X."&amp;F673&amp;" AS STRING),'')&lt;&gt;COALESCE(CAST(Y."&amp;F673&amp;"_SIMUL AS STRING),'') OR (X."&amp;F673&amp;" IS NULL AND Y."&amp;F673&amp;"_SIMUL IS NOT NULL ) OR (X."&amp;F673&amp;" IS NOT NULL AND Y."&amp;F673&amp;"_SIMUL IS NULL),1,0)) AS NUM_REG_DIF,'"&amp;MAX('ID1&amp;5'!L:L)+1&amp;"' AS ID_EXEC, CURRENT_TIMESTAMP() AS TIME_EXEC FROM "&amp;I673&amp;" INNER JOIN "&amp;J673&amp;" "&amp;K673),
IF(C673="Validade",+IF(G673="Code List","SELECT '"&amp;UPPER(B673)&amp;"' AS TABELA, '"&amp;UPPER(C673)&amp;"' AS TIPOLOGIA_TESTE,'"&amp;D673&amp;"' AS TABELA_LT,'N/A' AS TABELA_SIMUL,'"&amp;F673&amp;"' AS CAMPO, "&amp;"'${ref_date}' AS REF_DATE, COUNT(*) AS NUM_REG, SUM(IF(TRIM(CAST(X."&amp;F673&amp;" AS STRING))='' OR TRIM(CAST(X."&amp;F673&amp;" AS STRING)) IS NULL OR CAST(X."&amp;F673&amp;" AS STRING) NOT "&amp;H673&amp;",1,0)) AS NUM_REG_DIF,'"&amp;MAX('ID1&amp;5'!K:K)+1&amp;"' AS ID_EXEC, CURRENT_TIMESTAMP() AS TIME_EXEC FROM "&amp;I673,"SELECT '"&amp;UPPER(B673)&amp;"' AS TABELA, '"&amp;UPPER(C673)&amp;"' AS TIPOLOGIA_TESTE,'"&amp;D673&amp;"' AS TABELA_LT,'N/A' AS TABELA_SIMUL,'"&amp;F673&amp;"' AS CAMPO, "&amp;"'${ref_date}' AS REF_DATE, COUNT(*) AS NUM_REG, SUM(IF(TRIM(CAST(X."&amp;F673&amp;" AS STRING))='' OR TRIM(CAST(X."&amp;F673&amp;" AS STRING)) IS NULL,1,0)) AS NUM_REG_DIF,'"&amp;MAX('ID1&amp;5'!K:K)+1&amp;"' AS ID_EXEC, CURRENT_TIMESTAMP() AS TIME_EXEC FROM "&amp;I673),
IF(C673="Caracteres Especiais",+"SELECT '"&amp;UPPER(B673)&amp;"' AS TABELA, '"&amp;UPPER(C673)&amp;"' AS TIPOLOGIA_TESTE,'"&amp;D673&amp;"' AS TABELA_LT,'N/A' AS TABELA_SIMUL,'"&amp;F673&amp;"' AS CAMPO, "&amp;"'${ref_date}' AS REF_DATE, COUNT(*) AS NUM_REG, SUM(IF(REGEXP_REPLACE(TRIM(CAST(X."&amp;F673&amp;" AS STRING)),'[^a-zA-Z0-9_\\s]','') &lt;&gt;TRIM(CAST(X."&amp;F673&amp;" AS STRING)),1,0)) AS NUM_REG_DIF,'"&amp;MAX('ID1&amp;5'!K:K)+1&amp;"' AS ID_EXEC, CURRENT_TIMESTAMP() AS TIME_EXEC FROM "&amp;I673,
IF(C673="Missings",+"SELECT '"&amp;UPPER(B673)&amp;"' AS TABELA, '"&amp;UPPER(C673)&amp;"' AS TIPOLOGIA_TESTE,'"&amp;D673&amp;"' AS TABELA_LT,'N/A' AS TABELA_SIMUL,'"&amp;F673&amp;"' AS CAMPO, "&amp;"'${ref_date}' AS REF_DATE, COUNT(*) AS NUM_REG, SUM(IF(TRIM(CAST(X."&amp;F673&amp;" AS STRING)) IN ('0000-00-00','0001-01-01','9999-12-31','MISS','00000','99999999999','99999999999.00','99999999999.000000'),1,0)) AS NUM_REG_DIF,'"&amp;MAX('ID1&amp;5'!K:K)+1&amp;"' AS ID_EXEC, CURRENT_TIMESTAMP() AS TIME_EXEC FROM "&amp;I673,
IF(C673="Not applicable",+"SELECT '"&amp;UPPER(B673)&amp;"' AS TABELA, '"&amp;UPPER(C673)&amp;"' AS TIPOLOGIA_TESTE,'"&amp;D673&amp;"' AS TABELA_LT,'N/A' AS TABELA_SIMUL,'"&amp;F673&amp;"' AS CAMPO, "&amp;"'${ref_date}' AS REF_DATE, COUNT(*) AS NUM_REG, SUM(IF(TRIM(CAST(X."&amp;F673&amp;" AS STRING)) IN ('N/A','11111111111','11111111111.00','11111111111.000000','1111-11-11'),1,0)) AS NUM_REG_DIF,'"&amp;MAX('ID1&amp;5'!K:K)+1&amp;"' AS ID_EXEC, CURRENT_TIMESTAMP() AS TIME_EXEC FROM "&amp;I673,
IF(C673="Valores extremos",+"SELECT '"&amp;UPPER(B673)&amp;"' AS TABELA, '"&amp;UPPER(C673)&amp;"' AS TIPOLOGIA_TESTE,'"&amp;D673&amp;"' AS TABELA_LT,'N/A' AS TABELA_SIMUL,'"&amp;F673&amp;"' AS CAMPO, "&amp;"'${ref_date}' AS REF_DATE, CAST(MIN("&amp;F673&amp;") AS STRING) AS VALOR_MIN, CAST(MAX("&amp;F673&amp;") AS STRING) AS VALOR_MAX,'"&amp;MAX('ID1&amp;5'!K:K)+1&amp;"' AS ID_EXEC, CURRENT_TIMESTAMP() AS TIME_EXEC FROM "&amp;MID(I673,1,LEN(I673)-2)&amp;" AND CAST("&amp;F673&amp;"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TIPOLOGIA_TESTE,'BU_LOANTAPE_WORK.LT006_INSTR_PROT' AS TABELA_LT,'BU_LOANTAPE_WORK.SIMUL_LT006_INSTR_PROT' AS TABELA_SIMUL,'typ_rltn' AS CAMPO, '${ref_date}' AS REF_DATE, COUNT(*) AS NUM_REG, SUM(IF(COALESCE(CAST(X.typ_rltn AS STRING),'')&lt;&gt;COALESCE(CAST(Y.typ_rltn_SIMUL AS STRING),'') OR (X.typ_rltn IS NULL AND Y.typ_rltn_SIMUL IS NOT NULL ) OR (X.typ_rltn IS NOT NULL AND Y.typ_rltn_SIMUL IS NULL),1,0)) AS NUM_REG_DIF,'1' AS ID_EXEC, CURRENT_TIMESTAMP() AS TIME_EXEC FROM (SELECT instrmnt_id, typ_rltn FROM BU_LOANTAPE_WORK.LT006_INSTR_PROT WHERE ref_date='${ref_date}' AND nome_perimetro='Individual Local' AND segmento='ESTR' AND ambito='SRB_MBDT' AND entidade='00100')X INNER JOIN (SELECT instrmnt_id AS instrmnt_id_SIMUL, typ_rltn AS typ_rltn_SIMUL FROM BU_LOANTAPE_WORK.SIMUL_LT006_INSTR_PROT WHERE ref_date='${ref_date}' AND nome_perimetro='Individual Local' AND segmento='ESTR' AND ambito='PILAR3' AND entidade='00100')Y ON X.INSTRMNT_ID=Y.INSTRMNT_ID_SIMUL</v>
      </c>
      <c r="M673" s="36" t="str">
        <f t="shared" si="18"/>
        <v>UNION ALL SELECT 'INSTR_PROTECTION' AS TABELA, 'COERÊNCIA' AS TIPOLOGIA_TESTE,'BU_LOANTAPE_WORK.LT006_INSTR_PROT' AS TABELA_LT,'BU_LOANTAPE_WORK.SIMUL_LT006_INSTR_PROT' AS TABELA_SIMUL,'typ_rltn' AS CAMPO, '${ref_date}' AS REF_DATE, COUNT(*) AS NUM_REG, SUM(IF(COALESCE(CAST(X.typ_rltn AS STRING),'')&lt;&gt;COALESCE(CAST(Y.typ_rltn_SIMUL AS STRING),'') OR (X.typ_rltn IS NULL AND Y.typ_rltn_SIMUL IS NOT NULL ) OR (X.typ_rltn IS NOT NULL AND Y.typ_rltn_SIMUL IS NULL),1,0)) AS NUM_REG_DIF,'1' AS ID_EXEC, CURRENT_TIMESTAMP() AS TIME_EXEC FROM (SELECT instrmnt_id, typ_rltn FROM BU_LOANTAPE_WORK.LT006_INSTR_PROT WHERE ref_date='${ref_date}' AND nome_perimetro='Individual Local' AND segmento='ESTR' AND ambito='SRB_MBDT' AND entidade='00100')X INNER JOIN (SELECT instrmnt_id AS instrmnt_id_SIMUL, typ_rltn AS typ_rltn_SIMUL FROM BU_LOANTAPE_WORK.SIMUL_LT006_INSTR_PROT WHERE ref_date='${ref_date}' AND nome_perimetro='Individual Local' AND segmento='ESTR' AND ambito='PILAR3' AND entidade='00100')Y ON X.INSTRMNT_ID=Y.INSTRMNT_ID_SIMUL</v>
      </c>
    </row>
    <row r="674" spans="2:13">
      <c r="B674" s="34" t="s">
        <v>311</v>
      </c>
      <c r="C674" s="34" t="s">
        <v>5</v>
      </c>
      <c r="D674" s="34" t="str">
        <f>+UPPER('0. Instruções'!$D$35&amp;"."&amp;VLOOKUP(B674,'0. Instruções'!$C$27:$D$32,2,FALSE))</f>
        <v>BU_LOANTAPE_WORK.LT006_INSTR_PROT</v>
      </c>
      <c r="E674" s="34" t="str">
        <f>+UPPER('0. Instruções'!$D$36&amp;"."&amp;VLOOKUP(B674,'0. Instruções'!$C$27:$E$32,3,FALSE))</f>
        <v>BU_LOANTAPE_WORK.SIMUL_LT006_INSTR_PROT</v>
      </c>
      <c r="F674" s="34" t="s">
        <v>1577</v>
      </c>
      <c r="G674" s="34"/>
      <c r="H674" s="34"/>
      <c r="I674" s="34" t="str">
        <f>"(SELECT "&amp;VLOOKUP(B674,'0. Instruções'!$C$27:$G$32,4,FALSE)&amp;", "&amp;F674&amp;" FROM "&amp;D674&amp;" WHERE "&amp;'0. Instruções'!$D$42&amp;")X"</f>
        <v>(SELECT instrmnt_id, grp_spprt FROM BU_LOANTAPE_WORK.LT006_INSTR_PROT WHERE ref_date='${ref_date}' AND nome_perimetro='Individual Local' AND segmento='ESTR' AND ambito='SRB_MBDT' AND entidade='00100')X</v>
      </c>
      <c r="J674" s="34" t="str">
        <f>"(SELECT "&amp;VLOOKUP(B674,'0. Instruções'!$C$27:$G$32,4,FALSE)&amp;" AS "&amp;VLOOKUP(B674,'0. Instruções'!$C$27:$G$32,4,FALSE)&amp;"_SIMUL, "&amp;F674&amp;" AS "&amp;F674&amp;"_SIMUL FROM "&amp;E674&amp;" WHERE "&amp;'0. Instruções'!$D$43&amp;")Y"</f>
        <v>(SELECT instrmnt_id AS instrmnt_id_SIMUL, grp_spprt AS grp_spprt_SIMUL FROM BU_LOANTAPE_WORK.SIMUL_LT006_INSTR_PROT WHERE ref_date='${ref_date}' AND nome_perimetro='Individual Local' AND segmento='ESTR' AND ambito='PILAR3' AND entidade='00100')Y</v>
      </c>
      <c r="K674" s="35" t="str">
        <f>+UPPER("ON X."&amp;VLOOKUP(B674,'0. Instruções'!$C$27:$G$32,4,FALSE)&amp;"=Y."&amp;VLOOKUP(B674,'0. Instruções'!$C$27:$G$32,4,FALSE)&amp;"_SIMUL")</f>
        <v>ON X.INSTRMNT_ID=Y.INSTRMNT_ID_SIMUL</v>
      </c>
      <c r="L674" s="35" t="str">
        <f>+IF(C674="Coerência", +IF(LEFT(G674,5)="FLOAT","SELECT '"&amp;UPPER(B674)&amp;"' AS TABELA, '"&amp;UPPER(C674)&amp;"' AS TIPOLOGIA_TESTE,'"&amp;D674&amp;"' AS TABELA_LT,'"&amp;E674&amp;"' AS TABELA_SIMUL,'"&amp;F674&amp;"' AS CAMPO, "&amp;"'${ref_date}' AS REF_DATE, COUNT(*) AS NUM_REG, SUM(IF((ABS(COALESCE(CAST(X."&amp;F674&amp;" AS DECIMAL(18,6)),0)-COALESCE(CAST(Y."&amp;F674&amp;"_SIMUL AS DECIMAL(18,6)),0))&gt;0.000001) OR (X."&amp;F674&amp;" IS NULL AND Y."&amp;F674&amp;"_SIMUL IS NOT NULL ) OR (X."&amp;F674&amp;" IS NOT NULL AND Y."&amp;F674&amp;"_SIMUL IS NULL),1,0)) AS NUM_REG_DIF,'"&amp;MAX('ID1&amp;5'!K:K)+1&amp;"' AS ID_EXEC, CURRENT_TIMESTAMP() AS TIME_EXEC FROM "&amp;I674&amp;" INNER JOIN "&amp;J674&amp;" "&amp;K674,"SELECT '"&amp;UPPER(B674)&amp;"' AS TABELA, '"&amp;UPPER(C674)&amp;"' AS TIPOLOGIA_TESTE,'"&amp;D674&amp;"' AS TABELA_LT,'"&amp;E674&amp;"' AS TABELA_SIMUL,'"&amp;F674&amp;"' AS CAMPO, "&amp;"'${ref_date}' AS REF_DATE, COUNT(*) AS NUM_REG, SUM(IF(COALESCE(CAST(X."&amp;F674&amp;" AS STRING),'')&lt;&gt;COALESCE(CAST(Y."&amp;F674&amp;"_SIMUL AS STRING),'') OR (X."&amp;F674&amp;" IS NULL AND Y."&amp;F674&amp;"_SIMUL IS NOT NULL ) OR (X."&amp;F674&amp;" IS NOT NULL AND Y."&amp;F674&amp;"_SIMUL IS NULL),1,0)) AS NUM_REG_DIF,'"&amp;MAX('ID1&amp;5'!L:L)+1&amp;"' AS ID_EXEC, CURRENT_TIMESTAMP() AS TIME_EXEC FROM "&amp;I674&amp;" INNER JOIN "&amp;J674&amp;" "&amp;K674),
IF(C674="Validade",+IF(G674="Code List","SELECT '"&amp;UPPER(B674)&amp;"' AS TABELA, '"&amp;UPPER(C674)&amp;"' AS TIPOLOGIA_TESTE,'"&amp;D674&amp;"' AS TABELA_LT,'N/A' AS TABELA_SIMUL,'"&amp;F674&amp;"' AS CAMPO, "&amp;"'${ref_date}' AS REF_DATE, COUNT(*) AS NUM_REG, SUM(IF(TRIM(CAST(X."&amp;F674&amp;" AS STRING))='' OR TRIM(CAST(X."&amp;F674&amp;" AS STRING)) IS NULL OR CAST(X."&amp;F674&amp;" AS STRING) NOT "&amp;H674&amp;",1,0)) AS NUM_REG_DIF,'"&amp;MAX('ID1&amp;5'!K:K)+1&amp;"' AS ID_EXEC, CURRENT_TIMESTAMP() AS TIME_EXEC FROM "&amp;I674,"SELECT '"&amp;UPPER(B674)&amp;"' AS TABELA, '"&amp;UPPER(C674)&amp;"' AS TIPOLOGIA_TESTE,'"&amp;D674&amp;"' AS TABELA_LT,'N/A' AS TABELA_SIMUL,'"&amp;F674&amp;"' AS CAMPO, "&amp;"'${ref_date}' AS REF_DATE, COUNT(*) AS NUM_REG, SUM(IF(TRIM(CAST(X."&amp;F674&amp;" AS STRING))='' OR TRIM(CAST(X."&amp;F674&amp;" AS STRING)) IS NULL,1,0)) AS NUM_REG_DIF,'"&amp;MAX('ID1&amp;5'!K:K)+1&amp;"' AS ID_EXEC, CURRENT_TIMESTAMP() AS TIME_EXEC FROM "&amp;I674),
IF(C674="Caracteres Especiais",+"SELECT '"&amp;UPPER(B674)&amp;"' AS TABELA, '"&amp;UPPER(C674)&amp;"' AS TIPOLOGIA_TESTE,'"&amp;D674&amp;"' AS TABELA_LT,'N/A' AS TABELA_SIMUL,'"&amp;F674&amp;"' AS CAMPO, "&amp;"'${ref_date}' AS REF_DATE, COUNT(*) AS NUM_REG, SUM(IF(REGEXP_REPLACE(TRIM(CAST(X."&amp;F674&amp;" AS STRING)),'[^a-zA-Z0-9_\\s]','') &lt;&gt;TRIM(CAST(X."&amp;F674&amp;" AS STRING)),1,0)) AS NUM_REG_DIF,'"&amp;MAX('ID1&amp;5'!K:K)+1&amp;"' AS ID_EXEC, CURRENT_TIMESTAMP() AS TIME_EXEC FROM "&amp;I674,
IF(C674="Missings",+"SELECT '"&amp;UPPER(B674)&amp;"' AS TABELA, '"&amp;UPPER(C674)&amp;"' AS TIPOLOGIA_TESTE,'"&amp;D674&amp;"' AS TABELA_LT,'N/A' AS TABELA_SIMUL,'"&amp;F674&amp;"' AS CAMPO, "&amp;"'${ref_date}' AS REF_DATE, COUNT(*) AS NUM_REG, SUM(IF(TRIM(CAST(X."&amp;F674&amp;" AS STRING)) IN ('0000-00-00','0001-01-01','9999-12-31','MISS','00000','99999999999','99999999999.00','99999999999.000000'),1,0)) AS NUM_REG_DIF,'"&amp;MAX('ID1&amp;5'!K:K)+1&amp;"' AS ID_EXEC, CURRENT_TIMESTAMP() AS TIME_EXEC FROM "&amp;I674,
IF(C674="Not applicable",+"SELECT '"&amp;UPPER(B674)&amp;"' AS TABELA, '"&amp;UPPER(C674)&amp;"' AS TIPOLOGIA_TESTE,'"&amp;D674&amp;"' AS TABELA_LT,'N/A' AS TABELA_SIMUL,'"&amp;F674&amp;"' AS CAMPO, "&amp;"'${ref_date}' AS REF_DATE, COUNT(*) AS NUM_REG, SUM(IF(TRIM(CAST(X."&amp;F674&amp;" AS STRING)) IN ('N/A','11111111111','11111111111.00','11111111111.000000','1111-11-11'),1,0)) AS NUM_REG_DIF,'"&amp;MAX('ID1&amp;5'!K:K)+1&amp;"' AS ID_EXEC, CURRENT_TIMESTAMP() AS TIME_EXEC FROM "&amp;I674,
IF(C674="Valores extremos",+"SELECT '"&amp;UPPER(B674)&amp;"' AS TABELA, '"&amp;UPPER(C674)&amp;"' AS TIPOLOGIA_TESTE,'"&amp;D674&amp;"' AS TABELA_LT,'N/A' AS TABELA_SIMUL,'"&amp;F674&amp;"' AS CAMPO, "&amp;"'${ref_date}' AS REF_DATE, CAST(MIN("&amp;F674&amp;") AS STRING) AS VALOR_MIN, CAST(MAX("&amp;F674&amp;") AS STRING) AS VALOR_MAX,'"&amp;MAX('ID1&amp;5'!K:K)+1&amp;"' AS ID_EXEC, CURRENT_TIMESTAMP() AS TIME_EXEC FROM "&amp;MID(I674,1,LEN(I674)-2)&amp;" AND CAST("&amp;F674&amp;"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TIPOLOGIA_TESTE,'BU_LOANTAPE_WORK.LT006_INSTR_PROT' AS TABELA_LT,'BU_LOANTAPE_WORK.SIMUL_LT006_INSTR_PROT' AS TABELA_SIMUL,'grp_spprt' AS CAMPO, '${ref_date}' AS REF_DATE, COUNT(*) AS NUM_REG, SUM(IF(COALESCE(CAST(X.grp_spprt AS STRING),'')&lt;&gt;COALESCE(CAST(Y.grp_spprt_SIMUL AS STRING),'') OR (X.grp_spprt IS NULL AND Y.grp_spprt_SIMUL IS NOT NULL ) OR (X.grp_spprt IS NOT NULL AND Y.grp_spprt_SIMUL IS NULL),1,0)) AS NUM_REG_DIF,'1' AS ID_EXEC, CURRENT_TIMESTAMP() AS TIME_EXEC FROM (SELECT instrmnt_id, grp_spprt FROM BU_LOANTAPE_WORK.LT006_INSTR_PROT WHERE ref_date='${ref_date}' AND nome_perimetro='Individual Local' AND segmento='ESTR' AND ambito='SRB_MBDT' AND entidade='00100')X INNER JOIN (SELECT instrmnt_id AS instrmnt_id_SIMUL, grp_spprt AS grp_spprt_SIMUL FROM BU_LOANTAPE_WORK.SIMUL_LT006_INSTR_PROT WHERE ref_date='${ref_date}' AND nome_perimetro='Individual Local' AND segmento='ESTR' AND ambito='PILAR3' AND entidade='00100')Y ON X.INSTRMNT_ID=Y.INSTRMNT_ID_SIMUL</v>
      </c>
      <c r="M674" s="36" t="str">
        <f t="shared" si="18"/>
        <v>UNION ALL SELECT 'INSTR_PROTECTION' AS TABELA, 'COERÊNCIA' AS TIPOLOGIA_TESTE,'BU_LOANTAPE_WORK.LT006_INSTR_PROT' AS TABELA_LT,'BU_LOANTAPE_WORK.SIMUL_LT006_INSTR_PROT' AS TABELA_SIMUL,'grp_spprt' AS CAMPO, '${ref_date}' AS REF_DATE, COUNT(*) AS NUM_REG, SUM(IF(COALESCE(CAST(X.grp_spprt AS STRING),'')&lt;&gt;COALESCE(CAST(Y.grp_spprt_SIMUL AS STRING),'') OR (X.grp_spprt IS NULL AND Y.grp_spprt_SIMUL IS NOT NULL ) OR (X.grp_spprt IS NOT NULL AND Y.grp_spprt_SIMUL IS NULL),1,0)) AS NUM_REG_DIF,'1' AS ID_EXEC, CURRENT_TIMESTAMP() AS TIME_EXEC FROM (SELECT instrmnt_id, grp_spprt FROM BU_LOANTAPE_WORK.LT006_INSTR_PROT WHERE ref_date='${ref_date}' AND nome_perimetro='Individual Local' AND segmento='ESTR' AND ambito='SRB_MBDT' AND entidade='00100')X INNER JOIN (SELECT instrmnt_id AS instrmnt_id_SIMUL, grp_spprt AS grp_spprt_SIMUL FROM BU_LOANTAPE_WORK.SIMUL_LT006_INSTR_PROT WHERE ref_date='${ref_date}' AND nome_perimetro='Individual Local' AND segmento='ESTR' AND ambito='PILAR3' AND entidade='00100')Y ON X.INSTRMNT_ID=Y.INSTRMNT_ID_SIMUL</v>
      </c>
    </row>
    <row r="675" spans="2:13">
      <c r="B675" s="34" t="s">
        <v>311</v>
      </c>
      <c r="C675" s="34" t="s">
        <v>5</v>
      </c>
      <c r="D675" s="34" t="str">
        <f>+UPPER('0. Instruções'!$D$35&amp;"."&amp;VLOOKUP(B675,'0. Instruções'!$C$27:$D$32,2,FALSE))</f>
        <v>BU_LOANTAPE_WORK.LT006_INSTR_PROT</v>
      </c>
      <c r="E675" s="34" t="str">
        <f>+UPPER('0. Instruções'!$D$36&amp;"."&amp;VLOOKUP(B675,'0. Instruções'!$C$27:$E$32,3,FALSE))</f>
        <v>BU_LOANTAPE_WORK.SIMUL_LT006_INSTR_PROT</v>
      </c>
      <c r="F675" s="34" t="s">
        <v>1245</v>
      </c>
      <c r="G675" s="34"/>
      <c r="H675" s="34"/>
      <c r="I675" s="34" t="str">
        <f>"(SELECT "&amp;VLOOKUP(B675,'0. Instruções'!$C$27:$G$32,4,FALSE)&amp;", "&amp;F675&amp;" FROM "&amp;D675&amp;" WHERE "&amp;'0. Instruções'!$D$42&amp;")X"</f>
        <v>(SELECT instrmnt_id, add_fld01 FROM BU_LOANTAPE_WORK.LT006_INSTR_PROT WHERE ref_date='${ref_date}' AND nome_perimetro='Individual Local' AND segmento='ESTR' AND ambito='SRB_MBDT' AND entidade='00100')X</v>
      </c>
      <c r="J675" s="34" t="str">
        <f>"(SELECT "&amp;VLOOKUP(B675,'0. Instruções'!$C$27:$G$32,4,FALSE)&amp;" AS "&amp;VLOOKUP(B675,'0. Instruções'!$C$27:$G$32,4,FALSE)&amp;"_SIMUL, "&amp;F675&amp;" AS "&amp;F675&amp;"_SIMUL FROM "&amp;E675&amp;" WHERE "&amp;'0. Instruções'!$D$43&amp;")Y"</f>
        <v>(SELECT instrmnt_id AS instrmnt_id_SIMUL, add_fld01 AS add_fld01_SIMUL FROM BU_LOANTAPE_WORK.SIMUL_LT006_INSTR_PROT WHERE ref_date='${ref_date}' AND nome_perimetro='Individual Local' AND segmento='ESTR' AND ambito='PILAR3' AND entidade='00100')Y</v>
      </c>
      <c r="K675" s="35" t="str">
        <f>+UPPER("ON X."&amp;VLOOKUP(B675,'0. Instruções'!$C$27:$G$32,4,FALSE)&amp;"=Y."&amp;VLOOKUP(B675,'0. Instruções'!$C$27:$G$32,4,FALSE)&amp;"_SIMUL")</f>
        <v>ON X.INSTRMNT_ID=Y.INSTRMNT_ID_SIMUL</v>
      </c>
      <c r="L675" s="35" t="str">
        <f>+IF(C675="Coerência", +IF(LEFT(G675,5)="FLOAT","SELECT '"&amp;UPPER(B675)&amp;"' AS TABELA, '"&amp;UPPER(C675)&amp;"' AS TIPOLOGIA_TESTE,'"&amp;D675&amp;"' AS TABELA_LT,'"&amp;E675&amp;"' AS TABELA_SIMUL,'"&amp;F675&amp;"' AS CAMPO, "&amp;"'${ref_date}' AS REF_DATE, COUNT(*) AS NUM_REG, SUM(IF((ABS(COALESCE(CAST(X."&amp;F675&amp;" AS DECIMAL(18,6)),0)-COALESCE(CAST(Y."&amp;F675&amp;"_SIMUL AS DECIMAL(18,6)),0))&gt;0.000001) OR (X."&amp;F675&amp;" IS NULL AND Y."&amp;F675&amp;"_SIMUL IS NOT NULL ) OR (X."&amp;F675&amp;" IS NOT NULL AND Y."&amp;F675&amp;"_SIMUL IS NULL),1,0)) AS NUM_REG_DIF,'"&amp;MAX('ID1&amp;5'!K:K)+1&amp;"' AS ID_EXEC, CURRENT_TIMESTAMP() AS TIME_EXEC FROM "&amp;I675&amp;" INNER JOIN "&amp;J675&amp;" "&amp;K675,"SELECT '"&amp;UPPER(B675)&amp;"' AS TABELA, '"&amp;UPPER(C675)&amp;"' AS TIPOLOGIA_TESTE,'"&amp;D675&amp;"' AS TABELA_LT,'"&amp;E675&amp;"' AS TABELA_SIMUL,'"&amp;F675&amp;"' AS CAMPO, "&amp;"'${ref_date}' AS REF_DATE, COUNT(*) AS NUM_REG, SUM(IF(COALESCE(CAST(X."&amp;F675&amp;" AS STRING),'')&lt;&gt;COALESCE(CAST(Y."&amp;F675&amp;"_SIMUL AS STRING),'') OR (X."&amp;F675&amp;" IS NULL AND Y."&amp;F675&amp;"_SIMUL IS NOT NULL ) OR (X."&amp;F675&amp;" IS NOT NULL AND Y."&amp;F675&amp;"_SIMUL IS NULL),1,0)) AS NUM_REG_DIF,'"&amp;MAX('ID1&amp;5'!L:L)+1&amp;"' AS ID_EXEC, CURRENT_TIMESTAMP() AS TIME_EXEC FROM "&amp;I675&amp;" INNER JOIN "&amp;J675&amp;" "&amp;K675),
IF(C675="Validade",+IF(G675="Code List","SELECT '"&amp;UPPER(B675)&amp;"' AS TABELA, '"&amp;UPPER(C675)&amp;"' AS TIPOLOGIA_TESTE,'"&amp;D675&amp;"' AS TABELA_LT,'N/A' AS TABELA_SIMUL,'"&amp;F675&amp;"' AS CAMPO, "&amp;"'${ref_date}' AS REF_DATE, COUNT(*) AS NUM_REG, SUM(IF(TRIM(CAST(X."&amp;F675&amp;" AS STRING))='' OR TRIM(CAST(X."&amp;F675&amp;" AS STRING)) IS NULL OR CAST(X."&amp;F675&amp;" AS STRING) NOT "&amp;H675&amp;",1,0)) AS NUM_REG_DIF,'"&amp;MAX('ID1&amp;5'!K:K)+1&amp;"' AS ID_EXEC, CURRENT_TIMESTAMP() AS TIME_EXEC FROM "&amp;I675,"SELECT '"&amp;UPPER(B675)&amp;"' AS TABELA, '"&amp;UPPER(C675)&amp;"' AS TIPOLOGIA_TESTE,'"&amp;D675&amp;"' AS TABELA_LT,'N/A' AS TABELA_SIMUL,'"&amp;F675&amp;"' AS CAMPO, "&amp;"'${ref_date}' AS REF_DATE, COUNT(*) AS NUM_REG, SUM(IF(TRIM(CAST(X."&amp;F675&amp;" AS STRING))='' OR TRIM(CAST(X."&amp;F675&amp;" AS STRING)) IS NULL,1,0)) AS NUM_REG_DIF,'"&amp;MAX('ID1&amp;5'!K:K)+1&amp;"' AS ID_EXEC, CURRENT_TIMESTAMP() AS TIME_EXEC FROM "&amp;I675),
IF(C675="Caracteres Especiais",+"SELECT '"&amp;UPPER(B675)&amp;"' AS TABELA, '"&amp;UPPER(C675)&amp;"' AS TIPOLOGIA_TESTE,'"&amp;D675&amp;"' AS TABELA_LT,'N/A' AS TABELA_SIMUL,'"&amp;F675&amp;"' AS CAMPO, "&amp;"'${ref_date}' AS REF_DATE, COUNT(*) AS NUM_REG, SUM(IF(REGEXP_REPLACE(TRIM(CAST(X."&amp;F675&amp;" AS STRING)),'[^a-zA-Z0-9_\\s]','') &lt;&gt;TRIM(CAST(X."&amp;F675&amp;" AS STRING)),1,0)) AS NUM_REG_DIF,'"&amp;MAX('ID1&amp;5'!K:K)+1&amp;"' AS ID_EXEC, CURRENT_TIMESTAMP() AS TIME_EXEC FROM "&amp;I675,
IF(C675="Missings",+"SELECT '"&amp;UPPER(B675)&amp;"' AS TABELA, '"&amp;UPPER(C675)&amp;"' AS TIPOLOGIA_TESTE,'"&amp;D675&amp;"' AS TABELA_LT,'N/A' AS TABELA_SIMUL,'"&amp;F675&amp;"' AS CAMPO, "&amp;"'${ref_date}' AS REF_DATE, COUNT(*) AS NUM_REG, SUM(IF(TRIM(CAST(X."&amp;F675&amp;" AS STRING)) IN ('0000-00-00','0001-01-01','9999-12-31','MISS','00000','99999999999','99999999999.00','99999999999.000000'),1,0)) AS NUM_REG_DIF,'"&amp;MAX('ID1&amp;5'!K:K)+1&amp;"' AS ID_EXEC, CURRENT_TIMESTAMP() AS TIME_EXEC FROM "&amp;I675,
IF(C675="Not applicable",+"SELECT '"&amp;UPPER(B675)&amp;"' AS TABELA, '"&amp;UPPER(C675)&amp;"' AS TIPOLOGIA_TESTE,'"&amp;D675&amp;"' AS TABELA_LT,'N/A' AS TABELA_SIMUL,'"&amp;F675&amp;"' AS CAMPO, "&amp;"'${ref_date}' AS REF_DATE, COUNT(*) AS NUM_REG, SUM(IF(TRIM(CAST(X."&amp;F675&amp;" AS STRING)) IN ('N/A','11111111111','11111111111.00','11111111111.000000','1111-11-11'),1,0)) AS NUM_REG_DIF,'"&amp;MAX('ID1&amp;5'!K:K)+1&amp;"' AS ID_EXEC, CURRENT_TIMESTAMP() AS TIME_EXEC FROM "&amp;I675,
IF(C675="Valores extremos",+"SELECT '"&amp;UPPER(B675)&amp;"' AS TABELA, '"&amp;UPPER(C675)&amp;"' AS TIPOLOGIA_TESTE,'"&amp;D675&amp;"' AS TABELA_LT,'N/A' AS TABELA_SIMUL,'"&amp;F675&amp;"' AS CAMPO, "&amp;"'${ref_date}' AS REF_DATE, CAST(MIN("&amp;F675&amp;") AS STRING) AS VALOR_MIN, CAST(MAX("&amp;F675&amp;") AS STRING) AS VALOR_MAX,'"&amp;MAX('ID1&amp;5'!K:K)+1&amp;"' AS ID_EXEC, CURRENT_TIMESTAMP() AS TIME_EXEC FROM "&amp;MID(I675,1,LEN(I675)-2)&amp;" AND CAST("&amp;F675&amp;"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TIPOLOGIA_TESTE,'BU_LOANTAPE_WORK.LT006_INSTR_PROT' AS TABELA_LT,'BU_LOANTAPE_WORK.SIMUL_LT006_INSTR_PROT' AS TABELA_SIMUL,'add_fld01' AS CAMPO, '${ref_date}' AS REF_DATE, COUNT(*) AS NUM_REG, SUM(IF(COALESCE(CAST(X.add_fld01 AS STRING),'')&lt;&gt;COALESCE(CAST(Y.add_fld01_SIMUL AS STRING),'') OR (X.add_fld01 IS NULL AND Y.add_fld01_SIMUL IS NOT NULL ) OR (X.add_fld01 IS NOT NULL AND Y.add_fld01_SIMUL IS NULL),1,0)) AS NUM_REG_DIF,'1' AS ID_EXEC, CURRENT_TIMESTAMP() AS TIME_EXEC FROM (SELECT instrmnt_id, add_fld01 FROM BU_LOANTAPE_WORK.LT006_INSTR_PROT WHERE ref_date='${ref_date}' AND nome_perimetro='Individual Local' AND segmento='ESTR' AND ambito='SRB_MBDT' AND entidade='00100')X INNER JOIN (SELECT instrmnt_id AS instrmnt_id_SIMUL, add_fld01 AS add_fld01_SIMUL FROM BU_LOANTAPE_WORK.SIMUL_LT006_INSTR_PROT WHERE ref_date='${ref_date}' AND nome_perimetro='Individual Local' AND segmento='ESTR' AND ambito='PILAR3' AND entidade='00100')Y ON X.INSTRMNT_ID=Y.INSTRMNT_ID_SIMUL</v>
      </c>
      <c r="M675" s="36" t="str">
        <f t="shared" si="18"/>
        <v>UNION ALL SELECT 'INSTR_PROTECTION' AS TABELA, 'COERÊNCIA' AS TIPOLOGIA_TESTE,'BU_LOANTAPE_WORK.LT006_INSTR_PROT' AS TABELA_LT,'BU_LOANTAPE_WORK.SIMUL_LT006_INSTR_PROT' AS TABELA_SIMUL,'add_fld01' AS CAMPO, '${ref_date}' AS REF_DATE, COUNT(*) AS NUM_REG, SUM(IF(COALESCE(CAST(X.add_fld01 AS STRING),'')&lt;&gt;COALESCE(CAST(Y.add_fld01_SIMUL AS STRING),'') OR (X.add_fld01 IS NULL AND Y.add_fld01_SIMUL IS NOT NULL ) OR (X.add_fld01 IS NOT NULL AND Y.add_fld01_SIMUL IS NULL),1,0)) AS NUM_REG_DIF,'1' AS ID_EXEC, CURRENT_TIMESTAMP() AS TIME_EXEC FROM (SELECT instrmnt_id, add_fld01 FROM BU_LOANTAPE_WORK.LT006_INSTR_PROT WHERE ref_date='${ref_date}' AND nome_perimetro='Individual Local' AND segmento='ESTR' AND ambito='SRB_MBDT' AND entidade='00100')X INNER JOIN (SELECT instrmnt_id AS instrmnt_id_SIMUL, add_fld01 AS add_fld01_SIMUL FROM BU_LOANTAPE_WORK.SIMUL_LT006_INSTR_PROT WHERE ref_date='${ref_date}' AND nome_perimetro='Individual Local' AND segmento='ESTR' AND ambito='PILAR3' AND entidade='00100')Y ON X.INSTRMNT_ID=Y.INSTRMNT_ID_SIMUL</v>
      </c>
    </row>
    <row r="676" spans="2:13">
      <c r="B676" s="34" t="s">
        <v>311</v>
      </c>
      <c r="C676" s="34" t="s">
        <v>5</v>
      </c>
      <c r="D676" s="34" t="str">
        <f>+UPPER('0. Instruções'!$D$35&amp;"."&amp;VLOOKUP(B676,'0. Instruções'!$C$27:$D$32,2,FALSE))</f>
        <v>BU_LOANTAPE_WORK.LT006_INSTR_PROT</v>
      </c>
      <c r="E676" s="34" t="str">
        <f>+UPPER('0. Instruções'!$D$36&amp;"."&amp;VLOOKUP(B676,'0. Instruções'!$C$27:$E$32,3,FALSE))</f>
        <v>BU_LOANTAPE_WORK.SIMUL_LT006_INSTR_PROT</v>
      </c>
      <c r="F676" s="34" t="s">
        <v>1246</v>
      </c>
      <c r="G676" s="34"/>
      <c r="H676" s="34"/>
      <c r="I676" s="34" t="str">
        <f>"(SELECT "&amp;VLOOKUP(B676,'0. Instruções'!$C$27:$G$32,4,FALSE)&amp;", "&amp;F676&amp;" FROM "&amp;D676&amp;" WHERE "&amp;'0. Instruções'!$D$42&amp;")X"</f>
        <v>(SELECT instrmnt_id, add_fld02 FROM BU_LOANTAPE_WORK.LT006_INSTR_PROT WHERE ref_date='${ref_date}' AND nome_perimetro='Individual Local' AND segmento='ESTR' AND ambito='SRB_MBDT' AND entidade='00100')X</v>
      </c>
      <c r="J676" s="34" t="str">
        <f>"(SELECT "&amp;VLOOKUP(B676,'0. Instruções'!$C$27:$G$32,4,FALSE)&amp;" AS "&amp;VLOOKUP(B676,'0. Instruções'!$C$27:$G$32,4,FALSE)&amp;"_SIMUL, "&amp;F676&amp;" AS "&amp;F676&amp;"_SIMUL FROM "&amp;E676&amp;" WHERE "&amp;'0. Instruções'!$D$43&amp;")Y"</f>
        <v>(SELECT instrmnt_id AS instrmnt_id_SIMUL, add_fld02 AS add_fld02_SIMUL FROM BU_LOANTAPE_WORK.SIMUL_LT006_INSTR_PROT WHERE ref_date='${ref_date}' AND nome_perimetro='Individual Local' AND segmento='ESTR' AND ambito='PILAR3' AND entidade='00100')Y</v>
      </c>
      <c r="K676" s="35" t="str">
        <f>+UPPER("ON X."&amp;VLOOKUP(B676,'0. Instruções'!$C$27:$G$32,4,FALSE)&amp;"=Y."&amp;VLOOKUP(B676,'0. Instruções'!$C$27:$G$32,4,FALSE)&amp;"_SIMUL")</f>
        <v>ON X.INSTRMNT_ID=Y.INSTRMNT_ID_SIMUL</v>
      </c>
      <c r="L676" s="35" t="str">
        <f>+IF(C676="Coerência", +IF(LEFT(G676,5)="FLOAT","SELECT '"&amp;UPPER(B676)&amp;"' AS TABELA, '"&amp;UPPER(C676)&amp;"' AS TIPOLOGIA_TESTE,'"&amp;D676&amp;"' AS TABELA_LT,'"&amp;E676&amp;"' AS TABELA_SIMUL,'"&amp;F676&amp;"' AS CAMPO, "&amp;"'${ref_date}' AS REF_DATE, COUNT(*) AS NUM_REG, SUM(IF((ABS(COALESCE(CAST(X."&amp;F676&amp;" AS DECIMAL(18,6)),0)-COALESCE(CAST(Y."&amp;F676&amp;"_SIMUL AS DECIMAL(18,6)),0))&gt;0.000001) OR (X."&amp;F676&amp;" IS NULL AND Y."&amp;F676&amp;"_SIMUL IS NOT NULL ) OR (X."&amp;F676&amp;" IS NOT NULL AND Y."&amp;F676&amp;"_SIMUL IS NULL),1,0)) AS NUM_REG_DIF,'"&amp;MAX('ID1&amp;5'!K:K)+1&amp;"' AS ID_EXEC, CURRENT_TIMESTAMP() AS TIME_EXEC FROM "&amp;I676&amp;" INNER JOIN "&amp;J676&amp;" "&amp;K676,"SELECT '"&amp;UPPER(B676)&amp;"' AS TABELA, '"&amp;UPPER(C676)&amp;"' AS TIPOLOGIA_TESTE,'"&amp;D676&amp;"' AS TABELA_LT,'"&amp;E676&amp;"' AS TABELA_SIMUL,'"&amp;F676&amp;"' AS CAMPO, "&amp;"'${ref_date}' AS REF_DATE, COUNT(*) AS NUM_REG, SUM(IF(COALESCE(CAST(X."&amp;F676&amp;" AS STRING),'')&lt;&gt;COALESCE(CAST(Y."&amp;F676&amp;"_SIMUL AS STRING),'') OR (X."&amp;F676&amp;" IS NULL AND Y."&amp;F676&amp;"_SIMUL IS NOT NULL ) OR (X."&amp;F676&amp;" IS NOT NULL AND Y."&amp;F676&amp;"_SIMUL IS NULL),1,0)) AS NUM_REG_DIF,'"&amp;MAX('ID1&amp;5'!L:L)+1&amp;"' AS ID_EXEC, CURRENT_TIMESTAMP() AS TIME_EXEC FROM "&amp;I676&amp;" INNER JOIN "&amp;J676&amp;" "&amp;K676),
IF(C676="Validade",+IF(G676="Code List","SELECT '"&amp;UPPER(B676)&amp;"' AS TABELA, '"&amp;UPPER(C676)&amp;"' AS TIPOLOGIA_TESTE,'"&amp;D676&amp;"' AS TABELA_LT,'N/A' AS TABELA_SIMUL,'"&amp;F676&amp;"' AS CAMPO, "&amp;"'${ref_date}' AS REF_DATE, COUNT(*) AS NUM_REG, SUM(IF(TRIM(CAST(X."&amp;F676&amp;" AS STRING))='' OR TRIM(CAST(X."&amp;F676&amp;" AS STRING)) IS NULL OR CAST(X."&amp;F676&amp;" AS STRING) NOT "&amp;H676&amp;",1,0)) AS NUM_REG_DIF,'"&amp;MAX('ID1&amp;5'!K:K)+1&amp;"' AS ID_EXEC, CURRENT_TIMESTAMP() AS TIME_EXEC FROM "&amp;I676,"SELECT '"&amp;UPPER(B676)&amp;"' AS TABELA, '"&amp;UPPER(C676)&amp;"' AS TIPOLOGIA_TESTE,'"&amp;D676&amp;"' AS TABELA_LT,'N/A' AS TABELA_SIMUL,'"&amp;F676&amp;"' AS CAMPO, "&amp;"'${ref_date}' AS REF_DATE, COUNT(*) AS NUM_REG, SUM(IF(TRIM(CAST(X."&amp;F676&amp;" AS STRING))='' OR TRIM(CAST(X."&amp;F676&amp;" AS STRING)) IS NULL,1,0)) AS NUM_REG_DIF,'"&amp;MAX('ID1&amp;5'!K:K)+1&amp;"' AS ID_EXEC, CURRENT_TIMESTAMP() AS TIME_EXEC FROM "&amp;I676),
IF(C676="Caracteres Especiais",+"SELECT '"&amp;UPPER(B676)&amp;"' AS TABELA, '"&amp;UPPER(C676)&amp;"' AS TIPOLOGIA_TESTE,'"&amp;D676&amp;"' AS TABELA_LT,'N/A' AS TABELA_SIMUL,'"&amp;F676&amp;"' AS CAMPO, "&amp;"'${ref_date}' AS REF_DATE, COUNT(*) AS NUM_REG, SUM(IF(REGEXP_REPLACE(TRIM(CAST(X."&amp;F676&amp;" AS STRING)),'[^a-zA-Z0-9_\\s]','') &lt;&gt;TRIM(CAST(X."&amp;F676&amp;" AS STRING)),1,0)) AS NUM_REG_DIF,'"&amp;MAX('ID1&amp;5'!K:K)+1&amp;"' AS ID_EXEC, CURRENT_TIMESTAMP() AS TIME_EXEC FROM "&amp;I676,
IF(C676="Missings",+"SELECT '"&amp;UPPER(B676)&amp;"' AS TABELA, '"&amp;UPPER(C676)&amp;"' AS TIPOLOGIA_TESTE,'"&amp;D676&amp;"' AS TABELA_LT,'N/A' AS TABELA_SIMUL,'"&amp;F676&amp;"' AS CAMPO, "&amp;"'${ref_date}' AS REF_DATE, COUNT(*) AS NUM_REG, SUM(IF(TRIM(CAST(X."&amp;F676&amp;" AS STRING)) IN ('0000-00-00','0001-01-01','9999-12-31','MISS','00000','99999999999','99999999999.00','99999999999.000000'),1,0)) AS NUM_REG_DIF,'"&amp;MAX('ID1&amp;5'!K:K)+1&amp;"' AS ID_EXEC, CURRENT_TIMESTAMP() AS TIME_EXEC FROM "&amp;I676,
IF(C676="Not applicable",+"SELECT '"&amp;UPPER(B676)&amp;"' AS TABELA, '"&amp;UPPER(C676)&amp;"' AS TIPOLOGIA_TESTE,'"&amp;D676&amp;"' AS TABELA_LT,'N/A' AS TABELA_SIMUL,'"&amp;F676&amp;"' AS CAMPO, "&amp;"'${ref_date}' AS REF_DATE, COUNT(*) AS NUM_REG, SUM(IF(TRIM(CAST(X."&amp;F676&amp;" AS STRING)) IN ('N/A','11111111111','11111111111.00','11111111111.000000','1111-11-11'),1,0)) AS NUM_REG_DIF,'"&amp;MAX('ID1&amp;5'!K:K)+1&amp;"' AS ID_EXEC, CURRENT_TIMESTAMP() AS TIME_EXEC FROM "&amp;I676,
IF(C676="Valores extremos",+"SELECT '"&amp;UPPER(B676)&amp;"' AS TABELA, '"&amp;UPPER(C676)&amp;"' AS TIPOLOGIA_TESTE,'"&amp;D676&amp;"' AS TABELA_LT,'N/A' AS TABELA_SIMUL,'"&amp;F676&amp;"' AS CAMPO, "&amp;"'${ref_date}' AS REF_DATE, CAST(MIN("&amp;F676&amp;") AS STRING) AS VALOR_MIN, CAST(MAX("&amp;F676&amp;") AS STRING) AS VALOR_MAX,'"&amp;MAX('ID1&amp;5'!K:K)+1&amp;"' AS ID_EXEC, CURRENT_TIMESTAMP() AS TIME_EXEC FROM "&amp;MID(I676,1,LEN(I676)-2)&amp;" AND CAST("&amp;F676&amp;"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TIPOLOGIA_TESTE,'BU_LOANTAPE_WORK.LT006_INSTR_PROT' AS TABELA_LT,'BU_LOANTAPE_WORK.SIMUL_LT006_INSTR_PROT' AS TABELA_SIMUL,'add_fld02' AS CAMPO, '${ref_date}' AS REF_DATE, COUNT(*) AS NUM_REG, SUM(IF(COALESCE(CAST(X.add_fld02 AS STRING),'')&lt;&gt;COALESCE(CAST(Y.add_fld02_SIMUL AS STRING),'') OR (X.add_fld02 IS NULL AND Y.add_fld02_SIMUL IS NOT NULL ) OR (X.add_fld02 IS NOT NULL AND Y.add_fld02_SIMUL IS NULL),1,0)) AS NUM_REG_DIF,'1' AS ID_EXEC, CURRENT_TIMESTAMP() AS TIME_EXEC FROM (SELECT instrmnt_id, add_fld02 FROM BU_LOANTAPE_WORK.LT006_INSTR_PROT WHERE ref_date='${ref_date}' AND nome_perimetro='Individual Local' AND segmento='ESTR' AND ambito='SRB_MBDT' AND entidade='00100')X INNER JOIN (SELECT instrmnt_id AS instrmnt_id_SIMUL, add_fld02 AS add_fld02_SIMUL FROM BU_LOANTAPE_WORK.SIMUL_LT006_INSTR_PROT WHERE ref_date='${ref_date}' AND nome_perimetro='Individual Local' AND segmento='ESTR' AND ambito='PILAR3' AND entidade='00100')Y ON X.INSTRMNT_ID=Y.INSTRMNT_ID_SIMUL</v>
      </c>
      <c r="M676" s="36" t="str">
        <f t="shared" si="18"/>
        <v>UNION ALL SELECT 'INSTR_PROTECTION' AS TABELA, 'COERÊNCIA' AS TIPOLOGIA_TESTE,'BU_LOANTAPE_WORK.LT006_INSTR_PROT' AS TABELA_LT,'BU_LOANTAPE_WORK.SIMUL_LT006_INSTR_PROT' AS TABELA_SIMUL,'add_fld02' AS CAMPO, '${ref_date}' AS REF_DATE, COUNT(*) AS NUM_REG, SUM(IF(COALESCE(CAST(X.add_fld02 AS STRING),'')&lt;&gt;COALESCE(CAST(Y.add_fld02_SIMUL AS STRING),'') OR (X.add_fld02 IS NULL AND Y.add_fld02_SIMUL IS NOT NULL ) OR (X.add_fld02 IS NOT NULL AND Y.add_fld02_SIMUL IS NULL),1,0)) AS NUM_REG_DIF,'1' AS ID_EXEC, CURRENT_TIMESTAMP() AS TIME_EXEC FROM (SELECT instrmnt_id, add_fld02 FROM BU_LOANTAPE_WORK.LT006_INSTR_PROT WHERE ref_date='${ref_date}' AND nome_perimetro='Individual Local' AND segmento='ESTR' AND ambito='SRB_MBDT' AND entidade='00100')X INNER JOIN (SELECT instrmnt_id AS instrmnt_id_SIMUL, add_fld02 AS add_fld02_SIMUL FROM BU_LOANTAPE_WORK.SIMUL_LT006_INSTR_PROT WHERE ref_date='${ref_date}' AND nome_perimetro='Individual Local' AND segmento='ESTR' AND ambito='PILAR3' AND entidade='00100')Y ON X.INSTRMNT_ID=Y.INSTRMNT_ID_SIMUL</v>
      </c>
    </row>
    <row r="677" spans="2:13">
      <c r="B677" s="34" t="s">
        <v>311</v>
      </c>
      <c r="C677" s="34" t="s">
        <v>5</v>
      </c>
      <c r="D677" s="34" t="str">
        <f>+UPPER('0. Instruções'!$D$35&amp;"."&amp;VLOOKUP(B677,'0. Instruções'!$C$27:$D$32,2,FALSE))</f>
        <v>BU_LOANTAPE_WORK.LT006_INSTR_PROT</v>
      </c>
      <c r="E677" s="34" t="str">
        <f>+UPPER('0. Instruções'!$D$36&amp;"."&amp;VLOOKUP(B677,'0. Instruções'!$C$27:$E$32,3,FALSE))</f>
        <v>BU_LOANTAPE_WORK.SIMUL_LT006_INSTR_PROT</v>
      </c>
      <c r="F677" s="34" t="s">
        <v>1247</v>
      </c>
      <c r="G677" s="34"/>
      <c r="H677" s="34"/>
      <c r="I677" s="34" t="str">
        <f>"(SELECT "&amp;VLOOKUP(B677,'0. Instruções'!$C$27:$G$32,4,FALSE)&amp;", "&amp;F677&amp;" FROM "&amp;D677&amp;" WHERE "&amp;'0. Instruções'!$D$42&amp;")X"</f>
        <v>(SELECT instrmnt_id, add_fld03 FROM BU_LOANTAPE_WORK.LT006_INSTR_PROT WHERE ref_date='${ref_date}' AND nome_perimetro='Individual Local' AND segmento='ESTR' AND ambito='SRB_MBDT' AND entidade='00100')X</v>
      </c>
      <c r="J677" s="34" t="str">
        <f>"(SELECT "&amp;VLOOKUP(B677,'0. Instruções'!$C$27:$G$32,4,FALSE)&amp;" AS "&amp;VLOOKUP(B677,'0. Instruções'!$C$27:$G$32,4,FALSE)&amp;"_SIMUL, "&amp;F677&amp;" AS "&amp;F677&amp;"_SIMUL FROM "&amp;E677&amp;" WHERE "&amp;'0. Instruções'!$D$43&amp;")Y"</f>
        <v>(SELECT instrmnt_id AS instrmnt_id_SIMUL, add_fld03 AS add_fld03_SIMUL FROM BU_LOANTAPE_WORK.SIMUL_LT006_INSTR_PROT WHERE ref_date='${ref_date}' AND nome_perimetro='Individual Local' AND segmento='ESTR' AND ambito='PILAR3' AND entidade='00100')Y</v>
      </c>
      <c r="K677" s="35" t="str">
        <f>+UPPER("ON X."&amp;VLOOKUP(B677,'0. Instruções'!$C$27:$G$32,4,FALSE)&amp;"=Y."&amp;VLOOKUP(B677,'0. Instruções'!$C$27:$G$32,4,FALSE)&amp;"_SIMUL")</f>
        <v>ON X.INSTRMNT_ID=Y.INSTRMNT_ID_SIMUL</v>
      </c>
      <c r="L677" s="35" t="str">
        <f>+IF(C677="Coerência", +IF(LEFT(G677,5)="FLOAT","SELECT '"&amp;UPPER(B677)&amp;"' AS TABELA, '"&amp;UPPER(C677)&amp;"' AS TIPOLOGIA_TESTE,'"&amp;D677&amp;"' AS TABELA_LT,'"&amp;E677&amp;"' AS TABELA_SIMUL,'"&amp;F677&amp;"' AS CAMPO, "&amp;"'${ref_date}' AS REF_DATE, COUNT(*) AS NUM_REG, SUM(IF((ABS(COALESCE(CAST(X."&amp;F677&amp;" AS DECIMAL(18,6)),0)-COALESCE(CAST(Y."&amp;F677&amp;"_SIMUL AS DECIMAL(18,6)),0))&gt;0.000001) OR (X."&amp;F677&amp;" IS NULL AND Y."&amp;F677&amp;"_SIMUL IS NOT NULL ) OR (X."&amp;F677&amp;" IS NOT NULL AND Y."&amp;F677&amp;"_SIMUL IS NULL),1,0)) AS NUM_REG_DIF,'"&amp;MAX('ID1&amp;5'!K:K)+1&amp;"' AS ID_EXEC, CURRENT_TIMESTAMP() AS TIME_EXEC FROM "&amp;I677&amp;" INNER JOIN "&amp;J677&amp;" "&amp;K677,"SELECT '"&amp;UPPER(B677)&amp;"' AS TABELA, '"&amp;UPPER(C677)&amp;"' AS TIPOLOGIA_TESTE,'"&amp;D677&amp;"' AS TABELA_LT,'"&amp;E677&amp;"' AS TABELA_SIMUL,'"&amp;F677&amp;"' AS CAMPO, "&amp;"'${ref_date}' AS REF_DATE, COUNT(*) AS NUM_REG, SUM(IF(COALESCE(CAST(X."&amp;F677&amp;" AS STRING),'')&lt;&gt;COALESCE(CAST(Y."&amp;F677&amp;"_SIMUL AS STRING),'') OR (X."&amp;F677&amp;" IS NULL AND Y."&amp;F677&amp;"_SIMUL IS NOT NULL ) OR (X."&amp;F677&amp;" IS NOT NULL AND Y."&amp;F677&amp;"_SIMUL IS NULL),1,0)) AS NUM_REG_DIF,'"&amp;MAX('ID1&amp;5'!L:L)+1&amp;"' AS ID_EXEC, CURRENT_TIMESTAMP() AS TIME_EXEC FROM "&amp;I677&amp;" INNER JOIN "&amp;J677&amp;" "&amp;K677),
IF(C677="Validade",+IF(G677="Code List","SELECT '"&amp;UPPER(B677)&amp;"' AS TABELA, '"&amp;UPPER(C677)&amp;"' AS TIPOLOGIA_TESTE,'"&amp;D677&amp;"' AS TABELA_LT,'N/A' AS TABELA_SIMUL,'"&amp;F677&amp;"' AS CAMPO, "&amp;"'${ref_date}' AS REF_DATE, COUNT(*) AS NUM_REG, SUM(IF(TRIM(CAST(X."&amp;F677&amp;" AS STRING))='' OR TRIM(CAST(X."&amp;F677&amp;" AS STRING)) IS NULL OR CAST(X."&amp;F677&amp;" AS STRING) NOT "&amp;H677&amp;",1,0)) AS NUM_REG_DIF,'"&amp;MAX('ID1&amp;5'!K:K)+1&amp;"' AS ID_EXEC, CURRENT_TIMESTAMP() AS TIME_EXEC FROM "&amp;I677,"SELECT '"&amp;UPPER(B677)&amp;"' AS TABELA, '"&amp;UPPER(C677)&amp;"' AS TIPOLOGIA_TESTE,'"&amp;D677&amp;"' AS TABELA_LT,'N/A' AS TABELA_SIMUL,'"&amp;F677&amp;"' AS CAMPO, "&amp;"'${ref_date}' AS REF_DATE, COUNT(*) AS NUM_REG, SUM(IF(TRIM(CAST(X."&amp;F677&amp;" AS STRING))='' OR TRIM(CAST(X."&amp;F677&amp;" AS STRING)) IS NULL,1,0)) AS NUM_REG_DIF,'"&amp;MAX('ID1&amp;5'!K:K)+1&amp;"' AS ID_EXEC, CURRENT_TIMESTAMP() AS TIME_EXEC FROM "&amp;I677),
IF(C677="Caracteres Especiais",+"SELECT '"&amp;UPPER(B677)&amp;"' AS TABELA, '"&amp;UPPER(C677)&amp;"' AS TIPOLOGIA_TESTE,'"&amp;D677&amp;"' AS TABELA_LT,'N/A' AS TABELA_SIMUL,'"&amp;F677&amp;"' AS CAMPO, "&amp;"'${ref_date}' AS REF_DATE, COUNT(*) AS NUM_REG, SUM(IF(REGEXP_REPLACE(TRIM(CAST(X."&amp;F677&amp;" AS STRING)),'[^a-zA-Z0-9_\\s]','') &lt;&gt;TRIM(CAST(X."&amp;F677&amp;" AS STRING)),1,0)) AS NUM_REG_DIF,'"&amp;MAX('ID1&amp;5'!K:K)+1&amp;"' AS ID_EXEC, CURRENT_TIMESTAMP() AS TIME_EXEC FROM "&amp;I677,
IF(C677="Missings",+"SELECT '"&amp;UPPER(B677)&amp;"' AS TABELA, '"&amp;UPPER(C677)&amp;"' AS TIPOLOGIA_TESTE,'"&amp;D677&amp;"' AS TABELA_LT,'N/A' AS TABELA_SIMUL,'"&amp;F677&amp;"' AS CAMPO, "&amp;"'${ref_date}' AS REF_DATE, COUNT(*) AS NUM_REG, SUM(IF(TRIM(CAST(X."&amp;F677&amp;" AS STRING)) IN ('0000-00-00','0001-01-01','9999-12-31','MISS','00000','99999999999','99999999999.00','99999999999.000000'),1,0)) AS NUM_REG_DIF,'"&amp;MAX('ID1&amp;5'!K:K)+1&amp;"' AS ID_EXEC, CURRENT_TIMESTAMP() AS TIME_EXEC FROM "&amp;I677,
IF(C677="Not applicable",+"SELECT '"&amp;UPPER(B677)&amp;"' AS TABELA, '"&amp;UPPER(C677)&amp;"' AS TIPOLOGIA_TESTE,'"&amp;D677&amp;"' AS TABELA_LT,'N/A' AS TABELA_SIMUL,'"&amp;F677&amp;"' AS CAMPO, "&amp;"'${ref_date}' AS REF_DATE, COUNT(*) AS NUM_REG, SUM(IF(TRIM(CAST(X."&amp;F677&amp;" AS STRING)) IN ('N/A','11111111111','11111111111.00','11111111111.000000','1111-11-11'),1,0)) AS NUM_REG_DIF,'"&amp;MAX('ID1&amp;5'!K:K)+1&amp;"' AS ID_EXEC, CURRENT_TIMESTAMP() AS TIME_EXEC FROM "&amp;I677,
IF(C677="Valores extremos",+"SELECT '"&amp;UPPER(B677)&amp;"' AS TABELA, '"&amp;UPPER(C677)&amp;"' AS TIPOLOGIA_TESTE,'"&amp;D677&amp;"' AS TABELA_LT,'N/A' AS TABELA_SIMUL,'"&amp;F677&amp;"' AS CAMPO, "&amp;"'${ref_date}' AS REF_DATE, CAST(MIN("&amp;F677&amp;") AS STRING) AS VALOR_MIN, CAST(MAX("&amp;F677&amp;") AS STRING) AS VALOR_MAX,'"&amp;MAX('ID1&amp;5'!K:K)+1&amp;"' AS ID_EXEC, CURRENT_TIMESTAMP() AS TIME_EXEC FROM "&amp;MID(I677,1,LEN(I677)-2)&amp;" AND CAST("&amp;F677&amp;"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TIPOLOGIA_TESTE,'BU_LOANTAPE_WORK.LT006_INSTR_PROT' AS TABELA_LT,'BU_LOANTAPE_WORK.SIMUL_LT006_INSTR_PROT' AS TABELA_SIMUL,'add_fld03' AS CAMPO, '${ref_date}' AS REF_DATE, COUNT(*) AS NUM_REG, SUM(IF(COALESCE(CAST(X.add_fld03 AS STRING),'')&lt;&gt;COALESCE(CAST(Y.add_fld03_SIMUL AS STRING),'') OR (X.add_fld03 IS NULL AND Y.add_fld03_SIMUL IS NOT NULL ) OR (X.add_fld03 IS NOT NULL AND Y.add_fld03_SIMUL IS NULL),1,0)) AS NUM_REG_DIF,'1' AS ID_EXEC, CURRENT_TIMESTAMP() AS TIME_EXEC FROM (SELECT instrmnt_id, add_fld03 FROM BU_LOANTAPE_WORK.LT006_INSTR_PROT WHERE ref_date='${ref_date}' AND nome_perimetro='Individual Local' AND segmento='ESTR' AND ambito='SRB_MBDT' AND entidade='00100')X INNER JOIN (SELECT instrmnt_id AS instrmnt_id_SIMUL, add_fld03 AS add_fld03_SIMUL FROM BU_LOANTAPE_WORK.SIMUL_LT006_INSTR_PROT WHERE ref_date='${ref_date}' AND nome_perimetro='Individual Local' AND segmento='ESTR' AND ambito='PILAR3' AND entidade='00100')Y ON X.INSTRMNT_ID=Y.INSTRMNT_ID_SIMUL</v>
      </c>
      <c r="M677" s="36" t="str">
        <f t="shared" si="18"/>
        <v>UNION ALL SELECT 'INSTR_PROTECTION' AS TABELA, 'COERÊNCIA' AS TIPOLOGIA_TESTE,'BU_LOANTAPE_WORK.LT006_INSTR_PROT' AS TABELA_LT,'BU_LOANTAPE_WORK.SIMUL_LT006_INSTR_PROT' AS TABELA_SIMUL,'add_fld03' AS CAMPO, '${ref_date}' AS REF_DATE, COUNT(*) AS NUM_REG, SUM(IF(COALESCE(CAST(X.add_fld03 AS STRING),'')&lt;&gt;COALESCE(CAST(Y.add_fld03_SIMUL AS STRING),'') OR (X.add_fld03 IS NULL AND Y.add_fld03_SIMUL IS NOT NULL ) OR (X.add_fld03 IS NOT NULL AND Y.add_fld03_SIMUL IS NULL),1,0)) AS NUM_REG_DIF,'1' AS ID_EXEC, CURRENT_TIMESTAMP() AS TIME_EXEC FROM (SELECT instrmnt_id, add_fld03 FROM BU_LOANTAPE_WORK.LT006_INSTR_PROT WHERE ref_date='${ref_date}' AND nome_perimetro='Individual Local' AND segmento='ESTR' AND ambito='SRB_MBDT' AND entidade='00100')X INNER JOIN (SELECT instrmnt_id AS instrmnt_id_SIMUL, add_fld03 AS add_fld03_SIMUL FROM BU_LOANTAPE_WORK.SIMUL_LT006_INSTR_PROT WHERE ref_date='${ref_date}' AND nome_perimetro='Individual Local' AND segmento='ESTR' AND ambito='PILAR3' AND entidade='00100')Y ON X.INSTRMNT_ID=Y.INSTRMNT_ID_SIMUL</v>
      </c>
    </row>
    <row r="678" spans="2:13">
      <c r="B678" s="34" t="s">
        <v>311</v>
      </c>
      <c r="C678" s="34" t="s">
        <v>5</v>
      </c>
      <c r="D678" s="34" t="str">
        <f>+UPPER('0. Instruções'!$D$35&amp;"."&amp;VLOOKUP(B678,'0. Instruções'!$C$27:$D$32,2,FALSE))</f>
        <v>BU_LOANTAPE_WORK.LT006_INSTR_PROT</v>
      </c>
      <c r="E678" s="34" t="str">
        <f>+UPPER('0. Instruções'!$D$36&amp;"."&amp;VLOOKUP(B678,'0. Instruções'!$C$27:$E$32,3,FALSE))</f>
        <v>BU_LOANTAPE_WORK.SIMUL_LT006_INSTR_PROT</v>
      </c>
      <c r="F678" s="34" t="s">
        <v>1248</v>
      </c>
      <c r="G678" s="34"/>
      <c r="H678" s="34"/>
      <c r="I678" s="34" t="str">
        <f>"(SELECT "&amp;VLOOKUP(B678,'0. Instruções'!$C$27:$G$32,4,FALSE)&amp;", "&amp;F678&amp;" FROM "&amp;D678&amp;" WHERE "&amp;'0. Instruções'!$D$42&amp;")X"</f>
        <v>(SELECT instrmnt_id, add_fld04 FROM BU_LOANTAPE_WORK.LT006_INSTR_PROT WHERE ref_date='${ref_date}' AND nome_perimetro='Individual Local' AND segmento='ESTR' AND ambito='SRB_MBDT' AND entidade='00100')X</v>
      </c>
      <c r="J678" s="34" t="str">
        <f>"(SELECT "&amp;VLOOKUP(B678,'0. Instruções'!$C$27:$G$32,4,FALSE)&amp;" AS "&amp;VLOOKUP(B678,'0. Instruções'!$C$27:$G$32,4,FALSE)&amp;"_SIMUL, "&amp;F678&amp;" AS "&amp;F678&amp;"_SIMUL FROM "&amp;E678&amp;" WHERE "&amp;'0. Instruções'!$D$43&amp;")Y"</f>
        <v>(SELECT instrmnt_id AS instrmnt_id_SIMUL, add_fld04 AS add_fld04_SIMUL FROM BU_LOANTAPE_WORK.SIMUL_LT006_INSTR_PROT WHERE ref_date='${ref_date}' AND nome_perimetro='Individual Local' AND segmento='ESTR' AND ambito='PILAR3' AND entidade='00100')Y</v>
      </c>
      <c r="K678" s="35" t="str">
        <f>+UPPER("ON X."&amp;VLOOKUP(B678,'0. Instruções'!$C$27:$G$32,4,FALSE)&amp;"=Y."&amp;VLOOKUP(B678,'0. Instruções'!$C$27:$G$32,4,FALSE)&amp;"_SIMUL")</f>
        <v>ON X.INSTRMNT_ID=Y.INSTRMNT_ID_SIMUL</v>
      </c>
      <c r="L678" s="35" t="str">
        <f>+IF(C678="Coerência", +IF(LEFT(G678,5)="FLOAT","SELECT '"&amp;UPPER(B678)&amp;"' AS TABELA, '"&amp;UPPER(C678)&amp;"' AS TIPOLOGIA_TESTE,'"&amp;D678&amp;"' AS TABELA_LT,'"&amp;E678&amp;"' AS TABELA_SIMUL,'"&amp;F678&amp;"' AS CAMPO, "&amp;"'${ref_date}' AS REF_DATE, COUNT(*) AS NUM_REG, SUM(IF((ABS(COALESCE(CAST(X."&amp;F678&amp;" AS DECIMAL(18,6)),0)-COALESCE(CAST(Y."&amp;F678&amp;"_SIMUL AS DECIMAL(18,6)),0))&gt;0.000001) OR (X."&amp;F678&amp;" IS NULL AND Y."&amp;F678&amp;"_SIMUL IS NOT NULL ) OR (X."&amp;F678&amp;" IS NOT NULL AND Y."&amp;F678&amp;"_SIMUL IS NULL),1,0)) AS NUM_REG_DIF,'"&amp;MAX('ID1&amp;5'!K:K)+1&amp;"' AS ID_EXEC, CURRENT_TIMESTAMP() AS TIME_EXEC FROM "&amp;I678&amp;" INNER JOIN "&amp;J678&amp;" "&amp;K678,"SELECT '"&amp;UPPER(B678)&amp;"' AS TABELA, '"&amp;UPPER(C678)&amp;"' AS TIPOLOGIA_TESTE,'"&amp;D678&amp;"' AS TABELA_LT,'"&amp;E678&amp;"' AS TABELA_SIMUL,'"&amp;F678&amp;"' AS CAMPO, "&amp;"'${ref_date}' AS REF_DATE, COUNT(*) AS NUM_REG, SUM(IF(COALESCE(CAST(X."&amp;F678&amp;" AS STRING),'')&lt;&gt;COALESCE(CAST(Y."&amp;F678&amp;"_SIMUL AS STRING),'') OR (X."&amp;F678&amp;" IS NULL AND Y."&amp;F678&amp;"_SIMUL IS NOT NULL ) OR (X."&amp;F678&amp;" IS NOT NULL AND Y."&amp;F678&amp;"_SIMUL IS NULL),1,0)) AS NUM_REG_DIF,'"&amp;MAX('ID1&amp;5'!L:L)+1&amp;"' AS ID_EXEC, CURRENT_TIMESTAMP() AS TIME_EXEC FROM "&amp;I678&amp;" INNER JOIN "&amp;J678&amp;" "&amp;K678),
IF(C678="Validade",+IF(G678="Code List","SELECT '"&amp;UPPER(B678)&amp;"' AS TABELA, '"&amp;UPPER(C678)&amp;"' AS TIPOLOGIA_TESTE,'"&amp;D678&amp;"' AS TABELA_LT,'N/A' AS TABELA_SIMUL,'"&amp;F678&amp;"' AS CAMPO, "&amp;"'${ref_date}' AS REF_DATE, COUNT(*) AS NUM_REG, SUM(IF(TRIM(CAST(X."&amp;F678&amp;" AS STRING))='' OR TRIM(CAST(X."&amp;F678&amp;" AS STRING)) IS NULL OR CAST(X."&amp;F678&amp;" AS STRING) NOT "&amp;H678&amp;",1,0)) AS NUM_REG_DIF,'"&amp;MAX('ID1&amp;5'!K:K)+1&amp;"' AS ID_EXEC, CURRENT_TIMESTAMP() AS TIME_EXEC FROM "&amp;I678,"SELECT '"&amp;UPPER(B678)&amp;"' AS TABELA, '"&amp;UPPER(C678)&amp;"' AS TIPOLOGIA_TESTE,'"&amp;D678&amp;"' AS TABELA_LT,'N/A' AS TABELA_SIMUL,'"&amp;F678&amp;"' AS CAMPO, "&amp;"'${ref_date}' AS REF_DATE, COUNT(*) AS NUM_REG, SUM(IF(TRIM(CAST(X."&amp;F678&amp;" AS STRING))='' OR TRIM(CAST(X."&amp;F678&amp;" AS STRING)) IS NULL,1,0)) AS NUM_REG_DIF,'"&amp;MAX('ID1&amp;5'!K:K)+1&amp;"' AS ID_EXEC, CURRENT_TIMESTAMP() AS TIME_EXEC FROM "&amp;I678),
IF(C678="Caracteres Especiais",+"SELECT '"&amp;UPPER(B678)&amp;"' AS TABELA, '"&amp;UPPER(C678)&amp;"' AS TIPOLOGIA_TESTE,'"&amp;D678&amp;"' AS TABELA_LT,'N/A' AS TABELA_SIMUL,'"&amp;F678&amp;"' AS CAMPO, "&amp;"'${ref_date}' AS REF_DATE, COUNT(*) AS NUM_REG, SUM(IF(REGEXP_REPLACE(TRIM(CAST(X."&amp;F678&amp;" AS STRING)),'[^a-zA-Z0-9_\\s]','') &lt;&gt;TRIM(CAST(X."&amp;F678&amp;" AS STRING)),1,0)) AS NUM_REG_DIF,'"&amp;MAX('ID1&amp;5'!K:K)+1&amp;"' AS ID_EXEC, CURRENT_TIMESTAMP() AS TIME_EXEC FROM "&amp;I678,
IF(C678="Missings",+"SELECT '"&amp;UPPER(B678)&amp;"' AS TABELA, '"&amp;UPPER(C678)&amp;"' AS TIPOLOGIA_TESTE,'"&amp;D678&amp;"' AS TABELA_LT,'N/A' AS TABELA_SIMUL,'"&amp;F678&amp;"' AS CAMPO, "&amp;"'${ref_date}' AS REF_DATE, COUNT(*) AS NUM_REG, SUM(IF(TRIM(CAST(X."&amp;F678&amp;" AS STRING)) IN ('0000-00-00','0001-01-01','9999-12-31','MISS','00000','99999999999','99999999999.00','99999999999.000000'),1,0)) AS NUM_REG_DIF,'"&amp;MAX('ID1&amp;5'!K:K)+1&amp;"' AS ID_EXEC, CURRENT_TIMESTAMP() AS TIME_EXEC FROM "&amp;I678,
IF(C678="Not applicable",+"SELECT '"&amp;UPPER(B678)&amp;"' AS TABELA, '"&amp;UPPER(C678)&amp;"' AS TIPOLOGIA_TESTE,'"&amp;D678&amp;"' AS TABELA_LT,'N/A' AS TABELA_SIMUL,'"&amp;F678&amp;"' AS CAMPO, "&amp;"'${ref_date}' AS REF_DATE, COUNT(*) AS NUM_REG, SUM(IF(TRIM(CAST(X."&amp;F678&amp;" AS STRING)) IN ('N/A','11111111111','11111111111.00','11111111111.000000','1111-11-11'),1,0)) AS NUM_REG_DIF,'"&amp;MAX('ID1&amp;5'!K:K)+1&amp;"' AS ID_EXEC, CURRENT_TIMESTAMP() AS TIME_EXEC FROM "&amp;I678,
IF(C678="Valores extremos",+"SELECT '"&amp;UPPER(B678)&amp;"' AS TABELA, '"&amp;UPPER(C678)&amp;"' AS TIPOLOGIA_TESTE,'"&amp;D678&amp;"' AS TABELA_LT,'N/A' AS TABELA_SIMUL,'"&amp;F678&amp;"' AS CAMPO, "&amp;"'${ref_date}' AS REF_DATE, CAST(MIN("&amp;F678&amp;") AS STRING) AS VALOR_MIN, CAST(MAX("&amp;F678&amp;") AS STRING) AS VALOR_MAX,'"&amp;MAX('ID1&amp;5'!K:K)+1&amp;"' AS ID_EXEC, CURRENT_TIMESTAMP() AS TIME_EXEC FROM "&amp;MID(I678,1,LEN(I678)-2)&amp;" AND CAST("&amp;F678&amp;"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TIPOLOGIA_TESTE,'BU_LOANTAPE_WORK.LT006_INSTR_PROT' AS TABELA_LT,'BU_LOANTAPE_WORK.SIMUL_LT006_INSTR_PROT' AS TABELA_SIMUL,'add_fld04' AS CAMPO, '${ref_date}' AS REF_DATE, COUNT(*) AS NUM_REG, SUM(IF(COALESCE(CAST(X.add_fld04 AS STRING),'')&lt;&gt;COALESCE(CAST(Y.add_fld04_SIMUL AS STRING),'') OR (X.add_fld04 IS NULL AND Y.add_fld04_SIMUL IS NOT NULL ) OR (X.add_fld04 IS NOT NULL AND Y.add_fld04_SIMUL IS NULL),1,0)) AS NUM_REG_DIF,'1' AS ID_EXEC, CURRENT_TIMESTAMP() AS TIME_EXEC FROM (SELECT instrmnt_id, add_fld04 FROM BU_LOANTAPE_WORK.LT006_INSTR_PROT WHERE ref_date='${ref_date}' AND nome_perimetro='Individual Local' AND segmento='ESTR' AND ambito='SRB_MBDT' AND entidade='00100')X INNER JOIN (SELECT instrmnt_id AS instrmnt_id_SIMUL, add_fld04 AS add_fld04_SIMUL FROM BU_LOANTAPE_WORK.SIMUL_LT006_INSTR_PROT WHERE ref_date='${ref_date}' AND nome_perimetro='Individual Local' AND segmento='ESTR' AND ambito='PILAR3' AND entidade='00100')Y ON X.INSTRMNT_ID=Y.INSTRMNT_ID_SIMUL</v>
      </c>
      <c r="M678" s="36" t="str">
        <f t="shared" si="18"/>
        <v>UNION ALL SELECT 'INSTR_PROTECTION' AS TABELA, 'COERÊNCIA' AS TIPOLOGIA_TESTE,'BU_LOANTAPE_WORK.LT006_INSTR_PROT' AS TABELA_LT,'BU_LOANTAPE_WORK.SIMUL_LT006_INSTR_PROT' AS TABELA_SIMUL,'add_fld04' AS CAMPO, '${ref_date}' AS REF_DATE, COUNT(*) AS NUM_REG, SUM(IF(COALESCE(CAST(X.add_fld04 AS STRING),'')&lt;&gt;COALESCE(CAST(Y.add_fld04_SIMUL AS STRING),'') OR (X.add_fld04 IS NULL AND Y.add_fld04_SIMUL IS NOT NULL ) OR (X.add_fld04 IS NOT NULL AND Y.add_fld04_SIMUL IS NULL),1,0)) AS NUM_REG_DIF,'1' AS ID_EXEC, CURRENT_TIMESTAMP() AS TIME_EXEC FROM (SELECT instrmnt_id, add_fld04 FROM BU_LOANTAPE_WORK.LT006_INSTR_PROT WHERE ref_date='${ref_date}' AND nome_perimetro='Individual Local' AND segmento='ESTR' AND ambito='SRB_MBDT' AND entidade='00100')X INNER JOIN (SELECT instrmnt_id AS instrmnt_id_SIMUL, add_fld04 AS add_fld04_SIMUL FROM BU_LOANTAPE_WORK.SIMUL_LT006_INSTR_PROT WHERE ref_date='${ref_date}' AND nome_perimetro='Individual Local' AND segmento='ESTR' AND ambito='PILAR3' AND entidade='00100')Y ON X.INSTRMNT_ID=Y.INSTRMNT_ID_SIMUL</v>
      </c>
    </row>
    <row r="679" spans="2:13">
      <c r="B679" s="34" t="s">
        <v>311</v>
      </c>
      <c r="C679" s="34" t="s">
        <v>5</v>
      </c>
      <c r="D679" s="34" t="str">
        <f>+UPPER('0. Instruções'!$D$35&amp;"."&amp;VLOOKUP(B679,'0. Instruções'!$C$27:$D$32,2,FALSE))</f>
        <v>BU_LOANTAPE_WORK.LT006_INSTR_PROT</v>
      </c>
      <c r="E679" s="34" t="str">
        <f>+UPPER('0. Instruções'!$D$36&amp;"."&amp;VLOOKUP(B679,'0. Instruções'!$C$27:$E$32,3,FALSE))</f>
        <v>BU_LOANTAPE_WORK.SIMUL_LT006_INSTR_PROT</v>
      </c>
      <c r="F679" s="34" t="s">
        <v>1249</v>
      </c>
      <c r="G679" s="34"/>
      <c r="H679" s="34"/>
      <c r="I679" s="34" t="str">
        <f>"(SELECT "&amp;VLOOKUP(B679,'0. Instruções'!$C$27:$G$32,4,FALSE)&amp;", "&amp;F679&amp;" FROM "&amp;D679&amp;" WHERE "&amp;'0. Instruções'!$D$42&amp;")X"</f>
        <v>(SELECT instrmnt_id, add_fld05 FROM BU_LOANTAPE_WORK.LT006_INSTR_PROT WHERE ref_date='${ref_date}' AND nome_perimetro='Individual Local' AND segmento='ESTR' AND ambito='SRB_MBDT' AND entidade='00100')X</v>
      </c>
      <c r="J679" s="34" t="str">
        <f>"(SELECT "&amp;VLOOKUP(B679,'0. Instruções'!$C$27:$G$32,4,FALSE)&amp;" AS "&amp;VLOOKUP(B679,'0. Instruções'!$C$27:$G$32,4,FALSE)&amp;"_SIMUL, "&amp;F679&amp;" AS "&amp;F679&amp;"_SIMUL FROM "&amp;E679&amp;" WHERE "&amp;'0. Instruções'!$D$43&amp;")Y"</f>
        <v>(SELECT instrmnt_id AS instrmnt_id_SIMUL, add_fld05 AS add_fld05_SIMUL FROM BU_LOANTAPE_WORK.SIMUL_LT006_INSTR_PROT WHERE ref_date='${ref_date}' AND nome_perimetro='Individual Local' AND segmento='ESTR' AND ambito='PILAR3' AND entidade='00100')Y</v>
      </c>
      <c r="K679" s="35" t="str">
        <f>+UPPER("ON X."&amp;VLOOKUP(B679,'0. Instruções'!$C$27:$G$32,4,FALSE)&amp;"=Y."&amp;VLOOKUP(B679,'0. Instruções'!$C$27:$G$32,4,FALSE)&amp;"_SIMUL")</f>
        <v>ON X.INSTRMNT_ID=Y.INSTRMNT_ID_SIMUL</v>
      </c>
      <c r="L679" s="35" t="str">
        <f>+IF(C679="Coerência", +IF(LEFT(G679,5)="FLOAT","SELECT '"&amp;UPPER(B679)&amp;"' AS TABELA, '"&amp;UPPER(C679)&amp;"' AS TIPOLOGIA_TESTE,'"&amp;D679&amp;"' AS TABELA_LT,'"&amp;E679&amp;"' AS TABELA_SIMUL,'"&amp;F679&amp;"' AS CAMPO, "&amp;"'${ref_date}' AS REF_DATE, COUNT(*) AS NUM_REG, SUM(IF((ABS(COALESCE(CAST(X."&amp;F679&amp;" AS DECIMAL(18,6)),0)-COALESCE(CAST(Y."&amp;F679&amp;"_SIMUL AS DECIMAL(18,6)),0))&gt;0.000001) OR (X."&amp;F679&amp;" IS NULL AND Y."&amp;F679&amp;"_SIMUL IS NOT NULL ) OR (X."&amp;F679&amp;" IS NOT NULL AND Y."&amp;F679&amp;"_SIMUL IS NULL),1,0)) AS NUM_REG_DIF,'"&amp;MAX('ID1&amp;5'!K:K)+1&amp;"' AS ID_EXEC, CURRENT_TIMESTAMP() AS TIME_EXEC FROM "&amp;I679&amp;" INNER JOIN "&amp;J679&amp;" "&amp;K679,"SELECT '"&amp;UPPER(B679)&amp;"' AS TABELA, '"&amp;UPPER(C679)&amp;"' AS TIPOLOGIA_TESTE,'"&amp;D679&amp;"' AS TABELA_LT,'"&amp;E679&amp;"' AS TABELA_SIMUL,'"&amp;F679&amp;"' AS CAMPO, "&amp;"'${ref_date}' AS REF_DATE, COUNT(*) AS NUM_REG, SUM(IF(COALESCE(CAST(X."&amp;F679&amp;" AS STRING),'')&lt;&gt;COALESCE(CAST(Y."&amp;F679&amp;"_SIMUL AS STRING),'') OR (X."&amp;F679&amp;" IS NULL AND Y."&amp;F679&amp;"_SIMUL IS NOT NULL ) OR (X."&amp;F679&amp;" IS NOT NULL AND Y."&amp;F679&amp;"_SIMUL IS NULL),1,0)) AS NUM_REG_DIF,'"&amp;MAX('ID1&amp;5'!L:L)+1&amp;"' AS ID_EXEC, CURRENT_TIMESTAMP() AS TIME_EXEC FROM "&amp;I679&amp;" INNER JOIN "&amp;J679&amp;" "&amp;K679),
IF(C679="Validade",+IF(G679="Code List","SELECT '"&amp;UPPER(B679)&amp;"' AS TABELA, '"&amp;UPPER(C679)&amp;"' AS TIPOLOGIA_TESTE,'"&amp;D679&amp;"' AS TABELA_LT,'N/A' AS TABELA_SIMUL,'"&amp;F679&amp;"' AS CAMPO, "&amp;"'${ref_date}' AS REF_DATE, COUNT(*) AS NUM_REG, SUM(IF(TRIM(CAST(X."&amp;F679&amp;" AS STRING))='' OR TRIM(CAST(X."&amp;F679&amp;" AS STRING)) IS NULL OR CAST(X."&amp;F679&amp;" AS STRING) NOT "&amp;H679&amp;",1,0)) AS NUM_REG_DIF,'"&amp;MAX('ID1&amp;5'!K:K)+1&amp;"' AS ID_EXEC, CURRENT_TIMESTAMP() AS TIME_EXEC FROM "&amp;I679,"SELECT '"&amp;UPPER(B679)&amp;"' AS TABELA, '"&amp;UPPER(C679)&amp;"' AS TIPOLOGIA_TESTE,'"&amp;D679&amp;"' AS TABELA_LT,'N/A' AS TABELA_SIMUL,'"&amp;F679&amp;"' AS CAMPO, "&amp;"'${ref_date}' AS REF_DATE, COUNT(*) AS NUM_REG, SUM(IF(TRIM(CAST(X."&amp;F679&amp;" AS STRING))='' OR TRIM(CAST(X."&amp;F679&amp;" AS STRING)) IS NULL,1,0)) AS NUM_REG_DIF,'"&amp;MAX('ID1&amp;5'!K:K)+1&amp;"' AS ID_EXEC, CURRENT_TIMESTAMP() AS TIME_EXEC FROM "&amp;I679),
IF(C679="Caracteres Especiais",+"SELECT '"&amp;UPPER(B679)&amp;"' AS TABELA, '"&amp;UPPER(C679)&amp;"' AS TIPOLOGIA_TESTE,'"&amp;D679&amp;"' AS TABELA_LT,'N/A' AS TABELA_SIMUL,'"&amp;F679&amp;"' AS CAMPO, "&amp;"'${ref_date}' AS REF_DATE, COUNT(*) AS NUM_REG, SUM(IF(REGEXP_REPLACE(TRIM(CAST(X."&amp;F679&amp;" AS STRING)),'[^a-zA-Z0-9_\\s]','') &lt;&gt;TRIM(CAST(X."&amp;F679&amp;" AS STRING)),1,0)) AS NUM_REG_DIF,'"&amp;MAX('ID1&amp;5'!K:K)+1&amp;"' AS ID_EXEC, CURRENT_TIMESTAMP() AS TIME_EXEC FROM "&amp;I679,
IF(C679="Missings",+"SELECT '"&amp;UPPER(B679)&amp;"' AS TABELA, '"&amp;UPPER(C679)&amp;"' AS TIPOLOGIA_TESTE,'"&amp;D679&amp;"' AS TABELA_LT,'N/A' AS TABELA_SIMUL,'"&amp;F679&amp;"' AS CAMPO, "&amp;"'${ref_date}' AS REF_DATE, COUNT(*) AS NUM_REG, SUM(IF(TRIM(CAST(X."&amp;F679&amp;" AS STRING)) IN ('0000-00-00','0001-01-01','9999-12-31','MISS','00000','99999999999','99999999999.00','99999999999.000000'),1,0)) AS NUM_REG_DIF,'"&amp;MAX('ID1&amp;5'!K:K)+1&amp;"' AS ID_EXEC, CURRENT_TIMESTAMP() AS TIME_EXEC FROM "&amp;I679,
IF(C679="Not applicable",+"SELECT '"&amp;UPPER(B679)&amp;"' AS TABELA, '"&amp;UPPER(C679)&amp;"' AS TIPOLOGIA_TESTE,'"&amp;D679&amp;"' AS TABELA_LT,'N/A' AS TABELA_SIMUL,'"&amp;F679&amp;"' AS CAMPO, "&amp;"'${ref_date}' AS REF_DATE, COUNT(*) AS NUM_REG, SUM(IF(TRIM(CAST(X."&amp;F679&amp;" AS STRING)) IN ('N/A','11111111111','11111111111.00','11111111111.000000','1111-11-11'),1,0)) AS NUM_REG_DIF,'"&amp;MAX('ID1&amp;5'!K:K)+1&amp;"' AS ID_EXEC, CURRENT_TIMESTAMP() AS TIME_EXEC FROM "&amp;I679,
IF(C679="Valores extremos",+"SELECT '"&amp;UPPER(B679)&amp;"' AS TABELA, '"&amp;UPPER(C679)&amp;"' AS TIPOLOGIA_TESTE,'"&amp;D679&amp;"' AS TABELA_LT,'N/A' AS TABELA_SIMUL,'"&amp;F679&amp;"' AS CAMPO, "&amp;"'${ref_date}' AS REF_DATE, CAST(MIN("&amp;F679&amp;") AS STRING) AS VALOR_MIN, CAST(MAX("&amp;F679&amp;") AS STRING) AS VALOR_MAX,'"&amp;MAX('ID1&amp;5'!K:K)+1&amp;"' AS ID_EXEC, CURRENT_TIMESTAMP() AS TIME_EXEC FROM "&amp;MID(I679,1,LEN(I679)-2)&amp;" AND CAST("&amp;F679&amp;"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TIPOLOGIA_TESTE,'BU_LOANTAPE_WORK.LT006_INSTR_PROT' AS TABELA_LT,'BU_LOANTAPE_WORK.SIMUL_LT006_INSTR_PROT' AS TABELA_SIMUL,'add_fld05' AS CAMPO, '${ref_date}' AS REF_DATE, COUNT(*) AS NUM_REG, SUM(IF(COALESCE(CAST(X.add_fld05 AS STRING),'')&lt;&gt;COALESCE(CAST(Y.add_fld05_SIMUL AS STRING),'') OR (X.add_fld05 IS NULL AND Y.add_fld05_SIMUL IS NOT NULL ) OR (X.add_fld05 IS NOT NULL AND Y.add_fld05_SIMUL IS NULL),1,0)) AS NUM_REG_DIF,'1' AS ID_EXEC, CURRENT_TIMESTAMP() AS TIME_EXEC FROM (SELECT instrmnt_id, add_fld05 FROM BU_LOANTAPE_WORK.LT006_INSTR_PROT WHERE ref_date='${ref_date}' AND nome_perimetro='Individual Local' AND segmento='ESTR' AND ambito='SRB_MBDT' AND entidade='00100')X INNER JOIN (SELECT instrmnt_id AS instrmnt_id_SIMUL, add_fld05 AS add_fld05_SIMUL FROM BU_LOANTAPE_WORK.SIMUL_LT006_INSTR_PROT WHERE ref_date='${ref_date}' AND nome_perimetro='Individual Local' AND segmento='ESTR' AND ambito='PILAR3' AND entidade='00100')Y ON X.INSTRMNT_ID=Y.INSTRMNT_ID_SIMUL</v>
      </c>
      <c r="M679" s="36" t="str">
        <f t="shared" si="18"/>
        <v>UNION ALL SELECT 'INSTR_PROTECTION' AS TABELA, 'COERÊNCIA' AS TIPOLOGIA_TESTE,'BU_LOANTAPE_WORK.LT006_INSTR_PROT' AS TABELA_LT,'BU_LOANTAPE_WORK.SIMUL_LT006_INSTR_PROT' AS TABELA_SIMUL,'add_fld05' AS CAMPO, '${ref_date}' AS REF_DATE, COUNT(*) AS NUM_REG, SUM(IF(COALESCE(CAST(X.add_fld05 AS STRING),'')&lt;&gt;COALESCE(CAST(Y.add_fld05_SIMUL AS STRING),'') OR (X.add_fld05 IS NULL AND Y.add_fld05_SIMUL IS NOT NULL ) OR (X.add_fld05 IS NOT NULL AND Y.add_fld05_SIMUL IS NULL),1,0)) AS NUM_REG_DIF,'1' AS ID_EXEC, CURRENT_TIMESTAMP() AS TIME_EXEC FROM (SELECT instrmnt_id, add_fld05 FROM BU_LOANTAPE_WORK.LT006_INSTR_PROT WHERE ref_date='${ref_date}' AND nome_perimetro='Individual Local' AND segmento='ESTR' AND ambito='SRB_MBDT' AND entidade='00100')X INNER JOIN (SELECT instrmnt_id AS instrmnt_id_SIMUL, add_fld05 AS add_fld05_SIMUL FROM BU_LOANTAPE_WORK.SIMUL_LT006_INSTR_PROT WHERE ref_date='${ref_date}' AND nome_perimetro='Individual Local' AND segmento='ESTR' AND ambito='PILAR3' AND entidade='00100')Y ON X.INSTRMNT_ID=Y.INSTRMNT_ID_SIMUL</v>
      </c>
    </row>
    <row r="680" spans="2:13">
      <c r="B680" s="34" t="s">
        <v>311</v>
      </c>
      <c r="C680" s="34" t="s">
        <v>5</v>
      </c>
      <c r="D680" s="34" t="str">
        <f>+UPPER('0. Instruções'!$D$35&amp;"."&amp;VLOOKUP(B680,'0. Instruções'!$C$27:$D$32,2,FALSE))</f>
        <v>BU_LOANTAPE_WORK.LT006_INSTR_PROT</v>
      </c>
      <c r="E680" s="34" t="str">
        <f>+UPPER('0. Instruções'!$D$36&amp;"."&amp;VLOOKUP(B680,'0. Instruções'!$C$27:$E$32,3,FALSE))</f>
        <v>BU_LOANTAPE_WORK.SIMUL_LT006_INSTR_PROT</v>
      </c>
      <c r="F680" s="34" t="s">
        <v>656</v>
      </c>
      <c r="G680" s="34"/>
      <c r="H680" s="34"/>
      <c r="I680" s="34" t="str">
        <f>"(SELECT "&amp;VLOOKUP(B680,'0. Instruções'!$C$27:$G$32,4,FALSE)&amp;", "&amp;F680&amp;" FROM "&amp;D680&amp;" WHERE "&amp;'0. Instruções'!$D$42&amp;")X"</f>
        <v>(SELECT instrmnt_id, cod_soc FROM BU_LOANTAPE_WORK.LT006_INSTR_PROT WHERE ref_date='${ref_date}' AND nome_perimetro='Individual Local' AND segmento='ESTR' AND ambito='SRB_MBDT' AND entidade='00100')X</v>
      </c>
      <c r="J680" s="34" t="str">
        <f>"(SELECT "&amp;VLOOKUP(B680,'0. Instruções'!$C$27:$G$32,4,FALSE)&amp;" AS "&amp;VLOOKUP(B680,'0. Instruções'!$C$27:$G$32,4,FALSE)&amp;"_SIMUL, "&amp;F680&amp;" AS "&amp;F680&amp;"_SIMUL FROM "&amp;E680&amp;" WHERE "&amp;'0. Instruções'!$D$43&amp;")Y"</f>
        <v>(SELECT instrmnt_id AS instrmnt_id_SIMUL, cod_soc AS cod_soc_SIMUL FROM BU_LOANTAPE_WORK.SIMUL_LT006_INSTR_PROT WHERE ref_date='${ref_date}' AND nome_perimetro='Individual Local' AND segmento='ESTR' AND ambito='PILAR3' AND entidade='00100')Y</v>
      </c>
      <c r="K680" s="35" t="str">
        <f>+UPPER("ON X."&amp;VLOOKUP(B680,'0. Instruções'!$C$27:$G$32,4,FALSE)&amp;"=Y."&amp;VLOOKUP(B680,'0. Instruções'!$C$27:$G$32,4,FALSE)&amp;"_SIMUL")</f>
        <v>ON X.INSTRMNT_ID=Y.INSTRMNT_ID_SIMUL</v>
      </c>
      <c r="L680" s="35" t="str">
        <f>+IF(C680="Coerência", +IF(LEFT(G680,5)="FLOAT","SELECT '"&amp;UPPER(B680)&amp;"' AS TABELA, '"&amp;UPPER(C680)&amp;"' AS TIPOLOGIA_TESTE,'"&amp;D680&amp;"' AS TABELA_LT,'"&amp;E680&amp;"' AS TABELA_SIMUL,'"&amp;F680&amp;"' AS CAMPO, "&amp;"'${ref_date}' AS REF_DATE, COUNT(*) AS NUM_REG, SUM(IF((ABS(COALESCE(CAST(X."&amp;F680&amp;" AS DECIMAL(18,6)),0)-COALESCE(CAST(Y."&amp;F680&amp;"_SIMUL AS DECIMAL(18,6)),0))&gt;0.000001) OR (X."&amp;F680&amp;" IS NULL AND Y."&amp;F680&amp;"_SIMUL IS NOT NULL ) OR (X."&amp;F680&amp;" IS NOT NULL AND Y."&amp;F680&amp;"_SIMUL IS NULL),1,0)) AS NUM_REG_DIF,'"&amp;MAX('ID1&amp;5'!K:K)+1&amp;"' AS ID_EXEC, CURRENT_TIMESTAMP() AS TIME_EXEC FROM "&amp;I680&amp;" INNER JOIN "&amp;J680&amp;" "&amp;K680,"SELECT '"&amp;UPPER(B680)&amp;"' AS TABELA, '"&amp;UPPER(C680)&amp;"' AS TIPOLOGIA_TESTE,'"&amp;D680&amp;"' AS TABELA_LT,'"&amp;E680&amp;"' AS TABELA_SIMUL,'"&amp;F680&amp;"' AS CAMPO, "&amp;"'${ref_date}' AS REF_DATE, COUNT(*) AS NUM_REG, SUM(IF(COALESCE(CAST(X."&amp;F680&amp;" AS STRING),'')&lt;&gt;COALESCE(CAST(Y."&amp;F680&amp;"_SIMUL AS STRING),'') OR (X."&amp;F680&amp;" IS NULL AND Y."&amp;F680&amp;"_SIMUL IS NOT NULL ) OR (X."&amp;F680&amp;" IS NOT NULL AND Y."&amp;F680&amp;"_SIMUL IS NULL),1,0)) AS NUM_REG_DIF,'"&amp;MAX('ID1&amp;5'!L:L)+1&amp;"' AS ID_EXEC, CURRENT_TIMESTAMP() AS TIME_EXEC FROM "&amp;I680&amp;" INNER JOIN "&amp;J680&amp;" "&amp;K680),
IF(C680="Validade",+IF(G680="Code List","SELECT '"&amp;UPPER(B680)&amp;"' AS TABELA, '"&amp;UPPER(C680)&amp;"' AS TIPOLOGIA_TESTE,'"&amp;D680&amp;"' AS TABELA_LT,'N/A' AS TABELA_SIMUL,'"&amp;F680&amp;"' AS CAMPO, "&amp;"'${ref_date}' AS REF_DATE, COUNT(*) AS NUM_REG, SUM(IF(TRIM(CAST(X."&amp;F680&amp;" AS STRING))='' OR TRIM(CAST(X."&amp;F680&amp;" AS STRING)) IS NULL OR CAST(X."&amp;F680&amp;" AS STRING) NOT "&amp;H680&amp;",1,0)) AS NUM_REG_DIF,'"&amp;MAX('ID1&amp;5'!K:K)+1&amp;"' AS ID_EXEC, CURRENT_TIMESTAMP() AS TIME_EXEC FROM "&amp;I680,"SELECT '"&amp;UPPER(B680)&amp;"' AS TABELA, '"&amp;UPPER(C680)&amp;"' AS TIPOLOGIA_TESTE,'"&amp;D680&amp;"' AS TABELA_LT,'N/A' AS TABELA_SIMUL,'"&amp;F680&amp;"' AS CAMPO, "&amp;"'${ref_date}' AS REF_DATE, COUNT(*) AS NUM_REG, SUM(IF(TRIM(CAST(X."&amp;F680&amp;" AS STRING))='' OR TRIM(CAST(X."&amp;F680&amp;" AS STRING)) IS NULL,1,0)) AS NUM_REG_DIF,'"&amp;MAX('ID1&amp;5'!K:K)+1&amp;"' AS ID_EXEC, CURRENT_TIMESTAMP() AS TIME_EXEC FROM "&amp;I680),
IF(C680="Caracteres Especiais",+"SELECT '"&amp;UPPER(B680)&amp;"' AS TABELA, '"&amp;UPPER(C680)&amp;"' AS TIPOLOGIA_TESTE,'"&amp;D680&amp;"' AS TABELA_LT,'N/A' AS TABELA_SIMUL,'"&amp;F680&amp;"' AS CAMPO, "&amp;"'${ref_date}' AS REF_DATE, COUNT(*) AS NUM_REG, SUM(IF(REGEXP_REPLACE(TRIM(CAST(X."&amp;F680&amp;" AS STRING)),'[^a-zA-Z0-9_\\s]','') &lt;&gt;TRIM(CAST(X."&amp;F680&amp;" AS STRING)),1,0)) AS NUM_REG_DIF,'"&amp;MAX('ID1&amp;5'!K:K)+1&amp;"' AS ID_EXEC, CURRENT_TIMESTAMP() AS TIME_EXEC FROM "&amp;I680,
IF(C680="Missings",+"SELECT '"&amp;UPPER(B680)&amp;"' AS TABELA, '"&amp;UPPER(C680)&amp;"' AS TIPOLOGIA_TESTE,'"&amp;D680&amp;"' AS TABELA_LT,'N/A' AS TABELA_SIMUL,'"&amp;F680&amp;"' AS CAMPO, "&amp;"'${ref_date}' AS REF_DATE, COUNT(*) AS NUM_REG, SUM(IF(TRIM(CAST(X."&amp;F680&amp;" AS STRING)) IN ('0000-00-00','0001-01-01','9999-12-31','MISS','00000','99999999999','99999999999.00','99999999999.000000'),1,0)) AS NUM_REG_DIF,'"&amp;MAX('ID1&amp;5'!K:K)+1&amp;"' AS ID_EXEC, CURRENT_TIMESTAMP() AS TIME_EXEC FROM "&amp;I680,
IF(C680="Not applicable",+"SELECT '"&amp;UPPER(B680)&amp;"' AS TABELA, '"&amp;UPPER(C680)&amp;"' AS TIPOLOGIA_TESTE,'"&amp;D680&amp;"' AS TABELA_LT,'N/A' AS TABELA_SIMUL,'"&amp;F680&amp;"' AS CAMPO, "&amp;"'${ref_date}' AS REF_DATE, COUNT(*) AS NUM_REG, SUM(IF(TRIM(CAST(X."&amp;F680&amp;" AS STRING)) IN ('N/A','11111111111','11111111111.00','11111111111.000000','1111-11-11'),1,0)) AS NUM_REG_DIF,'"&amp;MAX('ID1&amp;5'!K:K)+1&amp;"' AS ID_EXEC, CURRENT_TIMESTAMP() AS TIME_EXEC FROM "&amp;I680,
IF(C680="Valores extremos",+"SELECT '"&amp;UPPER(B680)&amp;"' AS TABELA, '"&amp;UPPER(C680)&amp;"' AS TIPOLOGIA_TESTE,'"&amp;D680&amp;"' AS TABELA_LT,'N/A' AS TABELA_SIMUL,'"&amp;F680&amp;"' AS CAMPO, "&amp;"'${ref_date}' AS REF_DATE, CAST(MIN("&amp;F680&amp;") AS STRING) AS VALOR_MIN, CAST(MAX("&amp;F680&amp;") AS STRING) AS VALOR_MAX,'"&amp;MAX('ID1&amp;5'!K:K)+1&amp;"' AS ID_EXEC, CURRENT_TIMESTAMP() AS TIME_EXEC FROM "&amp;MID(I680,1,LEN(I680)-2)&amp;" AND CAST("&amp;F680&amp;"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TIPOLOGIA_TESTE,'BU_LOANTAPE_WORK.LT006_INSTR_PROT' AS TABELA_LT,'BU_LOANTAPE_WORK.SIMUL_LT006_INSTR_PROT'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BU_LOANTAPE_WORK.LT006_INSTR_PROT WHERE ref_date='${ref_date}' AND nome_perimetro='Individual Local' AND segmento='ESTR' AND ambito='SRB_MBDT' AND entidade='00100')X INNER JOIN (SELECT instrmnt_id AS instrmnt_id_SIMUL, cod_soc AS cod_soc_SIMUL FROM BU_LOANTAPE_WORK.SIMUL_LT006_INSTR_PROT WHERE ref_date='${ref_date}' AND nome_perimetro='Individual Local' AND segmento='ESTR' AND ambito='PILAR3' AND entidade='00100')Y ON X.INSTRMNT_ID=Y.INSTRMNT_ID_SIMUL</v>
      </c>
      <c r="M680" s="36" t="str">
        <f t="shared" si="18"/>
        <v>UNION ALL SELECT 'INSTR_PROTECTION' AS TABELA, 'COERÊNCIA' AS TIPOLOGIA_TESTE,'BU_LOANTAPE_WORK.LT006_INSTR_PROT' AS TABELA_LT,'BU_LOANTAPE_WORK.SIMUL_LT006_INSTR_PROT'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BU_LOANTAPE_WORK.LT006_INSTR_PROT WHERE ref_date='${ref_date}' AND nome_perimetro='Individual Local' AND segmento='ESTR' AND ambito='SRB_MBDT' AND entidade='00100')X INNER JOIN (SELECT instrmnt_id AS instrmnt_id_SIMUL, cod_soc AS cod_soc_SIMUL FROM BU_LOANTAPE_WORK.SIMUL_LT006_INSTR_PROT WHERE ref_date='${ref_date}' AND nome_perimetro='Individual Local' AND segmento='ESTR' AND ambito='PILAR3' AND entidade='00100')Y ON X.INSTRMNT_ID=Y.INSTRMNT_ID_SIMUL</v>
      </c>
    </row>
    <row r="681" spans="2:13"/>
    <row r="682" spans="2:13"/>
    <row r="683" spans="2:13"/>
    <row r="684" spans="2:13"/>
    <row r="685" spans="2:13"/>
    <row r="686" spans="2:13"/>
    <row r="687" spans="2:13"/>
    <row r="688" spans="2:13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 spans="6:6"/>
    <row r="770" spans="6:6"/>
    <row r="771" spans="6:6"/>
    <row r="772" spans="6:6"/>
    <row r="773" spans="6:6"/>
    <row r="774" spans="6:6"/>
    <row r="775" spans="6:6"/>
    <row r="776" spans="6:6"/>
    <row r="777" spans="6:6"/>
    <row r="778" spans="6:6"/>
    <row r="779" spans="6:6"/>
    <row r="780" spans="6:6"/>
    <row r="781" spans="6:6" hidden="1">
      <c r="F781" s="2" t="s">
        <v>1565</v>
      </c>
    </row>
    <row r="782" spans="6:6" hidden="1">
      <c r="F782" s="2" t="s">
        <v>1566</v>
      </c>
    </row>
    <row r="783" spans="6:6" hidden="1">
      <c r="F783" s="2" t="s">
        <v>1567</v>
      </c>
    </row>
    <row r="784" spans="6:6" hidden="1">
      <c r="F784" s="2" t="s">
        <v>1568</v>
      </c>
    </row>
  </sheetData>
  <autoFilter ref="B8:M680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D24" sqref="D24"/>
    </sheetView>
  </sheetViews>
  <sheetFormatPr defaultRowHeight="14.5"/>
  <sheetData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048559"/>
  <sheetViews>
    <sheetView showGridLines="0" zoomScaleNormal="100" workbookViewId="0">
      <selection activeCell="C9" sqref="C9"/>
    </sheetView>
  </sheetViews>
  <sheetFormatPr defaultColWidth="0" defaultRowHeight="14"/>
  <cols>
    <col min="1" max="2" width="2" style="2" customWidth="1"/>
    <col min="3" max="12" width="28.36328125" style="2" customWidth="1"/>
    <col min="13" max="13" width="3.6328125" style="2" customWidth="1"/>
    <col min="14" max="14" width="13.90625" style="2" hidden="1" customWidth="1"/>
    <col min="15" max="15" width="12.08984375" style="2" hidden="1" customWidth="1"/>
    <col min="16" max="38" width="0" style="2" hidden="1" customWidth="1"/>
    <col min="39" max="16384" width="9.08984375" style="2" hidden="1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4.5" thickBot="1">
      <c r="A6" s="30"/>
      <c r="B6" s="30"/>
      <c r="C6" s="31" t="s">
        <v>70</v>
      </c>
      <c r="D6" s="31"/>
      <c r="E6" s="32"/>
      <c r="F6" s="32"/>
      <c r="G6" s="32"/>
      <c r="H6" s="32"/>
      <c r="I6" s="32"/>
      <c r="J6" s="32"/>
      <c r="K6" s="32"/>
      <c r="L6" s="32"/>
      <c r="M6" s="3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8" spans="1:30">
      <c r="B8" s="61"/>
      <c r="C8" s="18" t="s">
        <v>0</v>
      </c>
      <c r="D8" s="18" t="s">
        <v>3</v>
      </c>
      <c r="E8" s="18" t="s">
        <v>47</v>
      </c>
      <c r="F8" s="18" t="s">
        <v>2</v>
      </c>
      <c r="G8" s="18" t="s">
        <v>6</v>
      </c>
      <c r="H8" s="18" t="s">
        <v>42</v>
      </c>
      <c r="I8" s="18" t="s">
        <v>46</v>
      </c>
      <c r="J8" s="18" t="s">
        <v>43</v>
      </c>
      <c r="K8" s="18" t="s">
        <v>45</v>
      </c>
      <c r="L8" s="18" t="s">
        <v>44</v>
      </c>
      <c r="M8" s="4"/>
      <c r="N8" s="4"/>
    </row>
    <row r="9" spans="1:30">
      <c r="A9" s="60" t="str">
        <f>+C9&amp;G9&amp;H9&amp;D9</f>
        <v/>
      </c>
      <c r="B9" s="60" t="str">
        <f>+C9&amp;G9&amp;H9&amp;D9&amp;K9</f>
        <v/>
      </c>
      <c r="C9" s="17"/>
      <c r="D9" s="17"/>
      <c r="E9" s="17"/>
      <c r="F9" s="17"/>
      <c r="G9" s="17"/>
      <c r="H9" s="23"/>
      <c r="I9" s="17"/>
      <c r="J9" s="17"/>
      <c r="K9" s="17"/>
      <c r="L9" s="17"/>
      <c r="M9" s="4"/>
      <c r="N9" s="16"/>
    </row>
    <row r="10" spans="1:30">
      <c r="A10" s="60" t="str">
        <f t="shared" ref="A10:A19" si="0">+C10&amp;G10&amp;H10&amp;D10</f>
        <v/>
      </c>
      <c r="B10" s="60" t="str">
        <f t="shared" ref="B10:B19" si="1">+C10&amp;G10&amp;H10&amp;D10&amp;K10</f>
        <v/>
      </c>
      <c r="C10" s="17"/>
      <c r="D10" s="17"/>
      <c r="E10" s="17"/>
      <c r="F10" s="17"/>
      <c r="G10" s="17"/>
      <c r="H10" s="23"/>
      <c r="I10" s="17"/>
      <c r="J10" s="17"/>
      <c r="K10" s="17"/>
      <c r="L10" s="17"/>
      <c r="M10" s="4"/>
    </row>
    <row r="11" spans="1:30">
      <c r="A11" s="60" t="str">
        <f t="shared" si="0"/>
        <v/>
      </c>
      <c r="B11" s="60" t="str">
        <f t="shared" si="1"/>
        <v/>
      </c>
      <c r="C11" s="17"/>
      <c r="D11" s="17"/>
      <c r="E11" s="17"/>
      <c r="F11" s="17"/>
      <c r="G11" s="17"/>
      <c r="H11" s="23"/>
      <c r="I11" s="17"/>
      <c r="J11" s="17"/>
      <c r="K11" s="17"/>
      <c r="L11" s="17"/>
      <c r="M11" s="4"/>
    </row>
    <row r="12" spans="1:30">
      <c r="A12" s="60" t="str">
        <f t="shared" si="0"/>
        <v/>
      </c>
      <c r="B12" s="60" t="str">
        <f t="shared" si="1"/>
        <v/>
      </c>
      <c r="C12" s="17"/>
      <c r="D12" s="17"/>
      <c r="E12" s="17"/>
      <c r="F12" s="17"/>
      <c r="G12" s="17"/>
      <c r="H12" s="23"/>
      <c r="I12" s="17"/>
      <c r="J12" s="17"/>
      <c r="K12" s="17"/>
      <c r="L12" s="17"/>
      <c r="M12" s="4"/>
    </row>
    <row r="13" spans="1:30">
      <c r="A13" s="60" t="str">
        <f t="shared" si="0"/>
        <v/>
      </c>
      <c r="B13" s="60" t="str">
        <f t="shared" si="1"/>
        <v/>
      </c>
      <c r="C13" s="17"/>
      <c r="D13" s="17"/>
      <c r="E13" s="17"/>
      <c r="F13" s="17"/>
      <c r="G13" s="17"/>
      <c r="H13" s="23"/>
      <c r="I13" s="17"/>
      <c r="J13" s="17"/>
      <c r="K13" s="17"/>
      <c r="L13" s="17"/>
      <c r="M13" s="4"/>
    </row>
    <row r="14" spans="1:30">
      <c r="A14" s="60" t="str">
        <f t="shared" ref="A14" si="2">+C14&amp;G14&amp;H14&amp;D14</f>
        <v/>
      </c>
      <c r="B14" s="60" t="str">
        <f t="shared" ref="B14" si="3">+C14&amp;G14&amp;H14&amp;D14&amp;K14</f>
        <v/>
      </c>
      <c r="C14" s="17"/>
      <c r="D14" s="17"/>
      <c r="E14" s="17"/>
      <c r="F14" s="17"/>
      <c r="G14" s="17"/>
      <c r="H14" s="23"/>
      <c r="I14" s="17"/>
      <c r="J14" s="17"/>
      <c r="K14" s="17"/>
      <c r="L14" s="17"/>
      <c r="M14" s="4"/>
    </row>
    <row r="15" spans="1:30">
      <c r="A15" s="60" t="str">
        <f t="shared" si="0"/>
        <v/>
      </c>
      <c r="B15" s="60" t="str">
        <f t="shared" si="1"/>
        <v/>
      </c>
      <c r="C15" s="17"/>
      <c r="D15" s="17"/>
      <c r="E15" s="17"/>
      <c r="F15" s="17"/>
      <c r="G15" s="17"/>
      <c r="H15" s="23"/>
      <c r="I15" s="17"/>
      <c r="J15" s="17"/>
      <c r="K15" s="17"/>
      <c r="L15" s="17"/>
    </row>
    <row r="16" spans="1:30">
      <c r="A16" s="60" t="str">
        <f t="shared" si="0"/>
        <v/>
      </c>
      <c r="B16" s="60" t="str">
        <f t="shared" si="1"/>
        <v/>
      </c>
      <c r="C16" s="17"/>
      <c r="D16" s="17"/>
      <c r="E16" s="17"/>
      <c r="F16" s="17"/>
      <c r="G16" s="17"/>
      <c r="H16" s="23"/>
      <c r="I16" s="17"/>
      <c r="J16" s="17"/>
      <c r="K16" s="17"/>
      <c r="L16" s="17"/>
    </row>
    <row r="17" spans="1:12">
      <c r="A17" s="60" t="str">
        <f t="shared" si="0"/>
        <v/>
      </c>
      <c r="B17" s="60" t="str">
        <f t="shared" si="1"/>
        <v/>
      </c>
      <c r="C17" s="17"/>
      <c r="D17" s="17"/>
      <c r="E17" s="17"/>
      <c r="F17" s="17"/>
      <c r="G17" s="17"/>
      <c r="H17" s="23"/>
      <c r="I17" s="17"/>
      <c r="J17" s="17"/>
      <c r="K17" s="17"/>
      <c r="L17" s="17"/>
    </row>
    <row r="18" spans="1:12">
      <c r="A18" s="60" t="str">
        <f t="shared" si="0"/>
        <v/>
      </c>
      <c r="B18" s="60" t="str">
        <f t="shared" si="1"/>
        <v/>
      </c>
      <c r="C18" s="17"/>
      <c r="D18" s="17"/>
      <c r="E18" s="17"/>
      <c r="F18" s="17"/>
      <c r="G18" s="17"/>
      <c r="H18" s="23"/>
      <c r="I18" s="17"/>
      <c r="J18" s="17"/>
      <c r="K18" s="17"/>
      <c r="L18" s="17"/>
    </row>
    <row r="19" spans="1:12">
      <c r="A19" s="60" t="str">
        <f t="shared" si="0"/>
        <v/>
      </c>
      <c r="B19" s="60" t="str">
        <f t="shared" si="1"/>
        <v/>
      </c>
      <c r="C19" s="17"/>
      <c r="D19" s="17"/>
      <c r="E19" s="17"/>
      <c r="F19" s="17"/>
      <c r="G19" s="17"/>
      <c r="H19" s="23"/>
      <c r="I19" s="17"/>
      <c r="J19" s="17"/>
      <c r="K19" s="17"/>
      <c r="L19" s="17"/>
    </row>
    <row r="20" spans="1:12">
      <c r="A20" s="60" t="str">
        <f t="shared" ref="A20:A62" si="4">+C20&amp;G20&amp;H20&amp;D20</f>
        <v/>
      </c>
      <c r="B20" s="60" t="str">
        <f t="shared" ref="B20:B62" si="5">+C20&amp;G20&amp;H20&amp;D20&amp;K20</f>
        <v/>
      </c>
      <c r="C20" s="17"/>
      <c r="D20" s="17"/>
      <c r="E20" s="17"/>
      <c r="F20" s="17"/>
      <c r="G20" s="17"/>
      <c r="H20" s="23"/>
      <c r="I20" s="17"/>
      <c r="J20" s="17"/>
      <c r="K20" s="17"/>
      <c r="L20" s="17"/>
    </row>
    <row r="21" spans="1:12">
      <c r="A21" s="60" t="str">
        <f t="shared" si="4"/>
        <v/>
      </c>
      <c r="B21" s="60" t="str">
        <f t="shared" si="5"/>
        <v/>
      </c>
      <c r="C21" s="17"/>
      <c r="D21" s="17"/>
      <c r="E21" s="17"/>
      <c r="F21" s="17"/>
      <c r="G21" s="17"/>
      <c r="H21" s="23"/>
      <c r="I21" s="17"/>
      <c r="J21" s="17"/>
      <c r="K21" s="17"/>
      <c r="L21" s="17"/>
    </row>
    <row r="22" spans="1:12">
      <c r="A22" s="60" t="str">
        <f t="shared" si="4"/>
        <v/>
      </c>
      <c r="B22" s="60" t="str">
        <f t="shared" si="5"/>
        <v/>
      </c>
      <c r="C22" s="17"/>
      <c r="D22" s="17"/>
      <c r="E22" s="17"/>
      <c r="F22" s="17"/>
      <c r="G22" s="17"/>
      <c r="H22" s="23"/>
      <c r="I22" s="17"/>
      <c r="J22" s="17"/>
      <c r="K22" s="17"/>
      <c r="L22" s="17"/>
    </row>
    <row r="23" spans="1:12">
      <c r="A23" s="60" t="str">
        <f t="shared" si="4"/>
        <v/>
      </c>
      <c r="B23" s="60" t="str">
        <f t="shared" si="5"/>
        <v/>
      </c>
      <c r="C23" s="17"/>
      <c r="D23" s="17"/>
      <c r="E23" s="17"/>
      <c r="F23" s="17"/>
      <c r="G23" s="17"/>
      <c r="H23" s="23"/>
      <c r="I23" s="17"/>
      <c r="J23" s="17"/>
      <c r="K23" s="17"/>
      <c r="L23" s="17"/>
    </row>
    <row r="24" spans="1:12">
      <c r="A24" s="60" t="str">
        <f t="shared" si="4"/>
        <v/>
      </c>
      <c r="B24" s="60" t="str">
        <f t="shared" si="5"/>
        <v/>
      </c>
      <c r="C24" s="17"/>
      <c r="D24" s="17"/>
      <c r="E24" s="17"/>
      <c r="F24" s="17"/>
      <c r="G24" s="17"/>
      <c r="H24" s="23"/>
      <c r="I24" s="17"/>
      <c r="J24" s="17"/>
      <c r="K24" s="17"/>
      <c r="L24" s="17"/>
    </row>
    <row r="25" spans="1:12">
      <c r="A25" s="60" t="str">
        <f t="shared" si="4"/>
        <v/>
      </c>
      <c r="B25" s="60" t="str">
        <f t="shared" si="5"/>
        <v/>
      </c>
      <c r="C25" s="17"/>
      <c r="D25" s="17"/>
      <c r="E25" s="17"/>
      <c r="F25" s="17"/>
      <c r="G25" s="17"/>
      <c r="H25" s="23"/>
      <c r="I25" s="17"/>
      <c r="J25" s="17"/>
      <c r="K25" s="17"/>
      <c r="L25" s="17"/>
    </row>
    <row r="26" spans="1:12">
      <c r="A26" s="60" t="str">
        <f t="shared" si="4"/>
        <v/>
      </c>
      <c r="B26" s="60" t="str">
        <f t="shared" si="5"/>
        <v/>
      </c>
      <c r="C26" s="17"/>
      <c r="D26" s="17"/>
      <c r="E26" s="17"/>
      <c r="F26" s="17"/>
      <c r="G26" s="17"/>
      <c r="H26" s="23"/>
      <c r="I26" s="17"/>
      <c r="J26" s="17"/>
      <c r="K26" s="17"/>
      <c r="L26" s="17"/>
    </row>
    <row r="27" spans="1:12">
      <c r="A27" s="60" t="str">
        <f t="shared" si="4"/>
        <v/>
      </c>
      <c r="B27" s="60" t="str">
        <f t="shared" si="5"/>
        <v/>
      </c>
      <c r="C27" s="17"/>
      <c r="D27" s="17"/>
      <c r="E27" s="17"/>
      <c r="F27" s="17"/>
      <c r="G27" s="17"/>
      <c r="H27" s="23"/>
      <c r="I27" s="17"/>
      <c r="J27" s="17"/>
      <c r="K27" s="17"/>
      <c r="L27" s="17"/>
    </row>
    <row r="28" spans="1:12">
      <c r="A28" s="60" t="str">
        <f t="shared" si="4"/>
        <v/>
      </c>
      <c r="B28" s="60" t="str">
        <f t="shared" si="5"/>
        <v/>
      </c>
      <c r="C28" s="17"/>
      <c r="D28" s="17"/>
      <c r="E28" s="17"/>
      <c r="F28" s="17"/>
      <c r="G28" s="17"/>
      <c r="H28" s="23"/>
      <c r="I28" s="17"/>
      <c r="J28" s="17"/>
      <c r="K28" s="17"/>
      <c r="L28" s="17"/>
    </row>
    <row r="29" spans="1:12">
      <c r="A29" s="60" t="str">
        <f t="shared" si="4"/>
        <v/>
      </c>
      <c r="B29" s="60" t="str">
        <f t="shared" si="5"/>
        <v/>
      </c>
      <c r="C29" s="17"/>
      <c r="D29" s="17"/>
      <c r="E29" s="17"/>
      <c r="F29" s="17"/>
      <c r="G29" s="17"/>
      <c r="H29" s="23"/>
      <c r="I29" s="17"/>
      <c r="J29" s="17"/>
      <c r="K29" s="17"/>
      <c r="L29" s="17"/>
    </row>
    <row r="30" spans="1:12">
      <c r="A30" s="60" t="str">
        <f t="shared" si="4"/>
        <v/>
      </c>
      <c r="B30" s="60" t="str">
        <f t="shared" si="5"/>
        <v/>
      </c>
      <c r="C30" s="17"/>
      <c r="D30" s="17"/>
      <c r="E30" s="17"/>
      <c r="F30" s="17"/>
      <c r="G30" s="17"/>
      <c r="H30" s="23"/>
      <c r="I30" s="17"/>
      <c r="J30" s="17"/>
      <c r="K30" s="17"/>
      <c r="L30" s="17"/>
    </row>
    <row r="31" spans="1:12">
      <c r="A31" s="60" t="str">
        <f t="shared" si="4"/>
        <v/>
      </c>
      <c r="B31" s="60" t="str">
        <f t="shared" si="5"/>
        <v/>
      </c>
      <c r="C31" s="17"/>
      <c r="D31" s="17"/>
      <c r="E31" s="17"/>
      <c r="F31" s="17"/>
      <c r="G31" s="17"/>
      <c r="H31" s="23"/>
      <c r="I31" s="17"/>
      <c r="J31" s="17"/>
      <c r="K31" s="17"/>
      <c r="L31" s="17"/>
    </row>
    <row r="32" spans="1:12">
      <c r="A32" s="60" t="str">
        <f t="shared" si="4"/>
        <v/>
      </c>
      <c r="B32" s="60" t="str">
        <f t="shared" si="5"/>
        <v/>
      </c>
      <c r="C32" s="17"/>
      <c r="D32" s="17"/>
      <c r="E32" s="17"/>
      <c r="F32" s="17"/>
      <c r="G32" s="17"/>
      <c r="H32" s="23"/>
      <c r="I32" s="17"/>
      <c r="J32" s="17"/>
      <c r="K32" s="17"/>
      <c r="L32" s="17"/>
    </row>
    <row r="33" spans="1:12">
      <c r="A33" s="60" t="str">
        <f t="shared" si="4"/>
        <v/>
      </c>
      <c r="B33" s="60" t="str">
        <f t="shared" si="5"/>
        <v/>
      </c>
      <c r="C33" s="17"/>
      <c r="D33" s="17"/>
      <c r="E33" s="17"/>
      <c r="F33" s="17"/>
      <c r="G33" s="17"/>
      <c r="H33" s="23"/>
      <c r="I33" s="17"/>
      <c r="J33" s="17"/>
      <c r="K33" s="17"/>
      <c r="L33" s="17"/>
    </row>
    <row r="34" spans="1:12">
      <c r="A34" s="60" t="str">
        <f t="shared" si="4"/>
        <v/>
      </c>
      <c r="B34" s="60" t="str">
        <f t="shared" si="5"/>
        <v/>
      </c>
      <c r="C34" s="17"/>
      <c r="D34" s="17"/>
      <c r="E34" s="17"/>
      <c r="F34" s="17"/>
      <c r="G34" s="17"/>
      <c r="H34" s="23"/>
      <c r="I34" s="17"/>
      <c r="J34" s="17"/>
      <c r="K34" s="17"/>
      <c r="L34" s="17"/>
    </row>
    <row r="35" spans="1:12">
      <c r="A35" s="60" t="str">
        <f t="shared" si="4"/>
        <v/>
      </c>
      <c r="B35" s="60" t="str">
        <f t="shared" si="5"/>
        <v/>
      </c>
      <c r="C35" s="17"/>
      <c r="D35" s="17"/>
      <c r="E35" s="17"/>
      <c r="F35" s="17"/>
      <c r="G35" s="17"/>
      <c r="H35" s="23"/>
      <c r="I35" s="17"/>
      <c r="J35" s="17"/>
      <c r="K35" s="17"/>
      <c r="L35" s="17"/>
    </row>
    <row r="36" spans="1:12">
      <c r="A36" s="60" t="str">
        <f t="shared" si="4"/>
        <v/>
      </c>
      <c r="B36" s="60" t="str">
        <f t="shared" si="5"/>
        <v/>
      </c>
      <c r="C36" s="17"/>
      <c r="D36" s="17"/>
      <c r="E36" s="17"/>
      <c r="F36" s="17"/>
      <c r="G36" s="17"/>
      <c r="H36" s="23"/>
      <c r="I36" s="17"/>
      <c r="J36" s="17"/>
      <c r="K36" s="17"/>
      <c r="L36" s="17"/>
    </row>
    <row r="37" spans="1:12">
      <c r="A37" s="60" t="str">
        <f t="shared" si="4"/>
        <v/>
      </c>
      <c r="B37" s="60" t="str">
        <f t="shared" si="5"/>
        <v/>
      </c>
      <c r="C37" s="17"/>
      <c r="D37" s="17"/>
      <c r="E37" s="17"/>
      <c r="F37" s="17"/>
      <c r="G37" s="17"/>
      <c r="H37" s="23"/>
      <c r="I37" s="17"/>
      <c r="J37" s="17"/>
      <c r="K37" s="17"/>
      <c r="L37" s="17"/>
    </row>
    <row r="38" spans="1:12">
      <c r="A38" s="60" t="str">
        <f t="shared" si="4"/>
        <v/>
      </c>
      <c r="B38" s="60" t="str">
        <f t="shared" si="5"/>
        <v/>
      </c>
      <c r="C38" s="17"/>
      <c r="D38" s="17"/>
      <c r="E38" s="17"/>
      <c r="F38" s="17"/>
      <c r="G38" s="17"/>
      <c r="H38" s="23"/>
      <c r="I38" s="17"/>
      <c r="J38" s="17"/>
      <c r="K38" s="17"/>
      <c r="L38" s="17"/>
    </row>
    <row r="39" spans="1:12">
      <c r="A39" s="60" t="str">
        <f t="shared" si="4"/>
        <v/>
      </c>
      <c r="B39" s="60" t="str">
        <f t="shared" si="5"/>
        <v/>
      </c>
      <c r="C39" s="17"/>
      <c r="D39" s="17"/>
      <c r="E39" s="17"/>
      <c r="F39" s="17"/>
      <c r="G39" s="17"/>
      <c r="H39" s="23"/>
      <c r="I39" s="17"/>
      <c r="J39" s="17"/>
      <c r="K39" s="17"/>
      <c r="L39" s="17"/>
    </row>
    <row r="40" spans="1:12">
      <c r="A40" s="60" t="str">
        <f t="shared" si="4"/>
        <v/>
      </c>
      <c r="B40" s="60" t="str">
        <f t="shared" si="5"/>
        <v/>
      </c>
      <c r="C40" s="17"/>
      <c r="D40" s="17"/>
      <c r="E40" s="17"/>
      <c r="F40" s="17"/>
      <c r="G40" s="17"/>
      <c r="H40" s="23"/>
      <c r="I40" s="17"/>
      <c r="J40" s="17"/>
      <c r="K40" s="17"/>
      <c r="L40" s="17"/>
    </row>
    <row r="41" spans="1:12">
      <c r="A41" s="60" t="str">
        <f t="shared" si="4"/>
        <v/>
      </c>
      <c r="B41" s="60" t="str">
        <f t="shared" si="5"/>
        <v/>
      </c>
      <c r="C41" s="17"/>
      <c r="D41" s="17"/>
      <c r="E41" s="17"/>
      <c r="F41" s="17"/>
      <c r="G41" s="17"/>
      <c r="H41" s="23"/>
      <c r="I41" s="17"/>
      <c r="J41" s="17"/>
      <c r="K41" s="17"/>
      <c r="L41" s="17"/>
    </row>
    <row r="42" spans="1:12">
      <c r="A42" s="60" t="str">
        <f t="shared" si="4"/>
        <v/>
      </c>
      <c r="B42" s="60" t="str">
        <f t="shared" si="5"/>
        <v/>
      </c>
      <c r="C42" s="17"/>
      <c r="D42" s="17"/>
      <c r="E42" s="17"/>
      <c r="F42" s="17"/>
      <c r="G42" s="17"/>
      <c r="H42" s="23"/>
      <c r="I42" s="17"/>
      <c r="J42" s="17"/>
      <c r="K42" s="17"/>
      <c r="L42" s="17"/>
    </row>
    <row r="43" spans="1:12">
      <c r="A43" s="60" t="str">
        <f t="shared" si="4"/>
        <v/>
      </c>
      <c r="B43" s="60" t="str">
        <f t="shared" si="5"/>
        <v/>
      </c>
      <c r="C43" s="17"/>
      <c r="D43" s="17"/>
      <c r="E43" s="17"/>
      <c r="F43" s="17"/>
      <c r="G43" s="17"/>
      <c r="H43" s="23"/>
      <c r="I43" s="17"/>
      <c r="J43" s="17"/>
      <c r="K43" s="17"/>
      <c r="L43" s="17"/>
    </row>
    <row r="44" spans="1:12">
      <c r="A44" s="60" t="str">
        <f t="shared" si="4"/>
        <v/>
      </c>
      <c r="B44" s="60" t="str">
        <f t="shared" si="5"/>
        <v/>
      </c>
      <c r="C44" s="17"/>
      <c r="D44" s="17"/>
      <c r="E44" s="17"/>
      <c r="F44" s="17"/>
      <c r="G44" s="17"/>
      <c r="H44" s="23"/>
      <c r="I44" s="17"/>
      <c r="J44" s="17"/>
      <c r="K44" s="17"/>
      <c r="L44" s="17"/>
    </row>
    <row r="45" spans="1:12">
      <c r="A45" s="60" t="str">
        <f t="shared" si="4"/>
        <v/>
      </c>
      <c r="B45" s="60" t="str">
        <f t="shared" si="5"/>
        <v/>
      </c>
      <c r="C45" s="17"/>
      <c r="D45" s="17"/>
      <c r="E45" s="17"/>
      <c r="F45" s="17"/>
      <c r="G45" s="17"/>
      <c r="H45" s="23"/>
      <c r="I45" s="17"/>
      <c r="J45" s="17"/>
      <c r="K45" s="17"/>
      <c r="L45" s="17"/>
    </row>
    <row r="46" spans="1:12">
      <c r="A46" s="60" t="str">
        <f t="shared" si="4"/>
        <v/>
      </c>
      <c r="B46" s="60" t="str">
        <f t="shared" si="5"/>
        <v/>
      </c>
      <c r="C46" s="17"/>
      <c r="D46" s="17"/>
      <c r="E46" s="17"/>
      <c r="F46" s="17"/>
      <c r="G46" s="17"/>
      <c r="H46" s="23"/>
      <c r="I46" s="17"/>
      <c r="J46" s="17"/>
      <c r="K46" s="17"/>
      <c r="L46" s="17"/>
    </row>
    <row r="47" spans="1:12">
      <c r="A47" s="60" t="str">
        <f t="shared" si="4"/>
        <v/>
      </c>
      <c r="B47" s="60" t="str">
        <f t="shared" si="5"/>
        <v/>
      </c>
      <c r="C47" s="17"/>
      <c r="D47" s="17"/>
      <c r="E47" s="17"/>
      <c r="F47" s="17"/>
      <c r="G47" s="17"/>
      <c r="H47" s="23"/>
      <c r="I47" s="17"/>
      <c r="J47" s="17"/>
      <c r="K47" s="17"/>
      <c r="L47" s="17"/>
    </row>
    <row r="48" spans="1:12">
      <c r="A48" s="60" t="str">
        <f t="shared" si="4"/>
        <v/>
      </c>
      <c r="B48" s="60" t="str">
        <f t="shared" si="5"/>
        <v/>
      </c>
      <c r="C48" s="17"/>
      <c r="D48" s="17"/>
      <c r="E48" s="17"/>
      <c r="F48" s="17"/>
      <c r="G48" s="17"/>
      <c r="H48" s="23"/>
      <c r="I48" s="17"/>
      <c r="J48" s="17"/>
      <c r="K48" s="17"/>
      <c r="L48" s="17"/>
    </row>
    <row r="49" spans="1:12">
      <c r="A49" s="60" t="str">
        <f t="shared" si="4"/>
        <v/>
      </c>
      <c r="B49" s="60" t="str">
        <f t="shared" si="5"/>
        <v/>
      </c>
      <c r="C49" s="17"/>
      <c r="D49" s="17"/>
      <c r="E49" s="17"/>
      <c r="F49" s="17"/>
      <c r="G49" s="17"/>
      <c r="H49" s="23"/>
      <c r="I49" s="17"/>
      <c r="J49" s="17"/>
      <c r="K49" s="17"/>
      <c r="L49" s="17"/>
    </row>
    <row r="50" spans="1:12">
      <c r="A50" s="60" t="str">
        <f t="shared" si="4"/>
        <v/>
      </c>
      <c r="B50" s="60" t="str">
        <f t="shared" si="5"/>
        <v/>
      </c>
      <c r="C50" s="17"/>
      <c r="D50" s="17"/>
      <c r="E50" s="17"/>
      <c r="F50" s="17"/>
      <c r="G50" s="17"/>
      <c r="H50" s="23"/>
      <c r="I50" s="17"/>
      <c r="J50" s="17"/>
      <c r="K50" s="17"/>
      <c r="L50" s="17"/>
    </row>
    <row r="51" spans="1:12">
      <c r="A51" s="60" t="str">
        <f t="shared" si="4"/>
        <v/>
      </c>
      <c r="B51" s="60" t="str">
        <f t="shared" si="5"/>
        <v/>
      </c>
      <c r="C51" s="17"/>
      <c r="D51" s="17"/>
      <c r="E51" s="17"/>
      <c r="F51" s="17"/>
      <c r="G51" s="17"/>
      <c r="H51" s="23"/>
      <c r="I51" s="17"/>
      <c r="J51" s="17"/>
      <c r="K51" s="17"/>
      <c r="L51" s="17"/>
    </row>
    <row r="52" spans="1:12">
      <c r="A52" s="60" t="str">
        <f t="shared" si="4"/>
        <v/>
      </c>
      <c r="B52" s="60" t="str">
        <f t="shared" si="5"/>
        <v/>
      </c>
      <c r="C52" s="17"/>
      <c r="D52" s="17"/>
      <c r="E52" s="17"/>
      <c r="F52" s="17"/>
      <c r="G52" s="17"/>
      <c r="H52" s="23"/>
      <c r="I52" s="17"/>
      <c r="J52" s="17"/>
      <c r="K52" s="17"/>
      <c r="L52" s="17"/>
    </row>
    <row r="53" spans="1:12">
      <c r="A53" s="60" t="str">
        <f t="shared" si="4"/>
        <v/>
      </c>
      <c r="B53" s="60" t="str">
        <f t="shared" si="5"/>
        <v/>
      </c>
      <c r="C53" s="17"/>
      <c r="D53" s="17"/>
      <c r="E53" s="17"/>
      <c r="F53" s="17"/>
      <c r="G53" s="17"/>
      <c r="H53" s="23"/>
      <c r="I53" s="17"/>
      <c r="J53" s="17"/>
      <c r="K53" s="17"/>
      <c r="L53" s="17"/>
    </row>
    <row r="54" spans="1:12">
      <c r="A54" s="60" t="str">
        <f t="shared" si="4"/>
        <v/>
      </c>
      <c r="B54" s="60" t="str">
        <f t="shared" si="5"/>
        <v/>
      </c>
      <c r="C54" s="17"/>
      <c r="D54" s="17"/>
      <c r="E54" s="17"/>
      <c r="F54" s="17"/>
      <c r="G54" s="17"/>
      <c r="H54" s="23"/>
      <c r="I54" s="17"/>
      <c r="J54" s="17"/>
      <c r="K54" s="17"/>
      <c r="L54" s="17"/>
    </row>
    <row r="55" spans="1:12">
      <c r="A55" s="60" t="str">
        <f t="shared" si="4"/>
        <v/>
      </c>
      <c r="B55" s="60" t="str">
        <f t="shared" si="5"/>
        <v/>
      </c>
      <c r="C55" s="17"/>
      <c r="D55" s="17"/>
      <c r="E55" s="17"/>
      <c r="F55" s="17"/>
      <c r="G55" s="17"/>
      <c r="H55" s="23"/>
      <c r="I55" s="17"/>
      <c r="J55" s="17"/>
      <c r="K55" s="17"/>
      <c r="L55" s="17"/>
    </row>
    <row r="56" spans="1:12">
      <c r="A56" s="60" t="str">
        <f t="shared" si="4"/>
        <v/>
      </c>
      <c r="B56" s="60" t="str">
        <f t="shared" si="5"/>
        <v/>
      </c>
      <c r="C56" s="17"/>
      <c r="D56" s="17"/>
      <c r="E56" s="17"/>
      <c r="F56" s="17"/>
      <c r="G56" s="17"/>
      <c r="H56" s="23"/>
      <c r="I56" s="17"/>
      <c r="J56" s="17"/>
      <c r="K56" s="17"/>
      <c r="L56" s="17"/>
    </row>
    <row r="57" spans="1:12">
      <c r="A57" s="60" t="str">
        <f t="shared" si="4"/>
        <v/>
      </c>
      <c r="B57" s="60" t="str">
        <f t="shared" si="5"/>
        <v/>
      </c>
      <c r="C57" s="17"/>
      <c r="D57" s="17"/>
      <c r="E57" s="17"/>
      <c r="F57" s="17"/>
      <c r="G57" s="17"/>
      <c r="H57" s="23"/>
      <c r="I57" s="17"/>
      <c r="J57" s="17"/>
      <c r="K57" s="17"/>
      <c r="L57" s="17"/>
    </row>
    <row r="58" spans="1:12">
      <c r="A58" s="60" t="str">
        <f t="shared" si="4"/>
        <v/>
      </c>
      <c r="B58" s="60" t="str">
        <f t="shared" si="5"/>
        <v/>
      </c>
      <c r="C58" s="17"/>
      <c r="D58" s="17"/>
      <c r="E58" s="17"/>
      <c r="F58" s="17"/>
      <c r="G58" s="17"/>
      <c r="H58" s="23"/>
      <c r="I58" s="17"/>
      <c r="J58" s="17"/>
      <c r="K58" s="17"/>
      <c r="L58" s="17"/>
    </row>
    <row r="59" spans="1:12">
      <c r="A59" s="60" t="str">
        <f t="shared" si="4"/>
        <v/>
      </c>
      <c r="B59" s="60" t="str">
        <f t="shared" si="5"/>
        <v/>
      </c>
      <c r="C59" s="17"/>
      <c r="D59" s="17"/>
      <c r="E59" s="17"/>
      <c r="F59" s="17"/>
      <c r="G59" s="17"/>
      <c r="H59" s="23"/>
      <c r="I59" s="17"/>
      <c r="J59" s="17"/>
      <c r="K59" s="17"/>
      <c r="L59" s="17"/>
    </row>
    <row r="60" spans="1:12">
      <c r="A60" s="60" t="str">
        <f t="shared" si="4"/>
        <v/>
      </c>
      <c r="B60" s="60" t="str">
        <f t="shared" si="5"/>
        <v/>
      </c>
      <c r="C60" s="17"/>
      <c r="D60" s="17"/>
      <c r="E60" s="17"/>
      <c r="F60" s="17"/>
      <c r="G60" s="17"/>
      <c r="H60" s="23"/>
      <c r="I60" s="17"/>
      <c r="J60" s="17"/>
      <c r="K60" s="17"/>
      <c r="L60" s="17"/>
    </row>
    <row r="61" spans="1:12">
      <c r="A61" s="60" t="str">
        <f t="shared" si="4"/>
        <v/>
      </c>
      <c r="B61" s="60" t="str">
        <f t="shared" si="5"/>
        <v/>
      </c>
      <c r="C61" s="17"/>
      <c r="D61" s="17"/>
      <c r="E61" s="17"/>
      <c r="F61" s="17"/>
      <c r="G61" s="17"/>
      <c r="H61" s="23"/>
      <c r="I61" s="17"/>
      <c r="J61" s="17"/>
      <c r="K61" s="17"/>
      <c r="L61" s="17"/>
    </row>
    <row r="62" spans="1:12">
      <c r="A62" s="60" t="str">
        <f t="shared" si="4"/>
        <v/>
      </c>
      <c r="B62" s="60" t="str">
        <f t="shared" si="5"/>
        <v/>
      </c>
      <c r="C62" s="17"/>
      <c r="D62" s="17"/>
      <c r="E62" s="17"/>
      <c r="F62" s="17"/>
      <c r="G62" s="17"/>
      <c r="H62" s="23"/>
      <c r="I62" s="17"/>
      <c r="J62" s="17"/>
      <c r="K62" s="17"/>
      <c r="L62" s="17"/>
    </row>
    <row r="63" spans="1:12">
      <c r="A63" s="60" t="str">
        <f t="shared" ref="A63:A126" si="6">+C63&amp;G63&amp;H63&amp;D63</f>
        <v/>
      </c>
      <c r="B63" s="60" t="str">
        <f t="shared" ref="B63:B126" si="7">+C63&amp;G63&amp;H63&amp;D63&amp;K63</f>
        <v/>
      </c>
      <c r="C63" s="17"/>
      <c r="D63" s="17"/>
      <c r="E63" s="17"/>
      <c r="F63" s="17"/>
      <c r="G63" s="17"/>
      <c r="H63" s="23"/>
      <c r="I63" s="17"/>
      <c r="J63" s="17"/>
      <c r="K63" s="17"/>
      <c r="L63" s="17"/>
    </row>
    <row r="64" spans="1:12">
      <c r="A64" s="60" t="str">
        <f t="shared" si="6"/>
        <v/>
      </c>
      <c r="B64" s="60" t="str">
        <f t="shared" si="7"/>
        <v/>
      </c>
      <c r="C64" s="17"/>
      <c r="D64" s="17"/>
      <c r="E64" s="17"/>
      <c r="F64" s="17"/>
      <c r="G64" s="17"/>
      <c r="H64" s="23"/>
      <c r="I64" s="17"/>
      <c r="J64" s="17"/>
      <c r="K64" s="17"/>
      <c r="L64" s="17"/>
    </row>
    <row r="65" spans="1:12">
      <c r="A65" s="60" t="str">
        <f t="shared" si="6"/>
        <v/>
      </c>
      <c r="B65" s="60" t="str">
        <f t="shared" si="7"/>
        <v/>
      </c>
      <c r="C65" s="17"/>
      <c r="D65" s="17"/>
      <c r="E65" s="17"/>
      <c r="F65" s="17"/>
      <c r="G65" s="17"/>
      <c r="H65" s="23"/>
      <c r="I65" s="17"/>
      <c r="J65" s="17"/>
      <c r="K65" s="17"/>
      <c r="L65" s="17"/>
    </row>
    <row r="66" spans="1:12">
      <c r="A66" s="60" t="str">
        <f t="shared" si="6"/>
        <v/>
      </c>
      <c r="B66" s="60" t="str">
        <f t="shared" si="7"/>
        <v/>
      </c>
      <c r="C66" s="17"/>
      <c r="D66" s="17"/>
      <c r="E66" s="17"/>
      <c r="F66" s="17"/>
      <c r="G66" s="17"/>
      <c r="H66" s="23"/>
      <c r="I66" s="17"/>
      <c r="J66" s="17"/>
      <c r="K66" s="17"/>
      <c r="L66" s="17"/>
    </row>
    <row r="67" spans="1:12">
      <c r="A67" s="60" t="str">
        <f t="shared" si="6"/>
        <v/>
      </c>
      <c r="B67" s="60" t="str">
        <f t="shared" si="7"/>
        <v/>
      </c>
      <c r="C67" s="17"/>
      <c r="D67" s="17"/>
      <c r="E67" s="17"/>
      <c r="F67" s="17"/>
      <c r="G67" s="17"/>
      <c r="H67" s="23"/>
      <c r="I67" s="17"/>
      <c r="J67" s="17"/>
      <c r="K67" s="17"/>
      <c r="L67" s="17"/>
    </row>
    <row r="68" spans="1:12">
      <c r="A68" s="60" t="str">
        <f t="shared" si="6"/>
        <v/>
      </c>
      <c r="B68" s="60" t="str">
        <f t="shared" si="7"/>
        <v/>
      </c>
      <c r="C68" s="17"/>
      <c r="D68" s="17"/>
      <c r="E68" s="17"/>
      <c r="F68" s="17"/>
      <c r="G68" s="17"/>
      <c r="H68" s="23"/>
      <c r="I68" s="17"/>
      <c r="J68" s="17"/>
      <c r="K68" s="17"/>
      <c r="L68" s="17"/>
    </row>
    <row r="69" spans="1:12">
      <c r="A69" s="60" t="str">
        <f t="shared" si="6"/>
        <v/>
      </c>
      <c r="B69" s="60" t="str">
        <f t="shared" si="7"/>
        <v/>
      </c>
      <c r="C69" s="17"/>
      <c r="D69" s="17"/>
      <c r="E69" s="17"/>
      <c r="F69" s="17"/>
      <c r="G69" s="17"/>
      <c r="H69" s="23"/>
      <c r="I69" s="17"/>
      <c r="J69" s="17"/>
      <c r="K69" s="17"/>
      <c r="L69" s="17"/>
    </row>
    <row r="70" spans="1:12">
      <c r="A70" s="60" t="str">
        <f t="shared" si="6"/>
        <v/>
      </c>
      <c r="B70" s="60" t="str">
        <f t="shared" si="7"/>
        <v/>
      </c>
      <c r="C70" s="17"/>
      <c r="D70" s="17"/>
      <c r="E70" s="17"/>
      <c r="F70" s="17"/>
      <c r="G70" s="17"/>
      <c r="H70" s="23"/>
      <c r="I70" s="17"/>
      <c r="J70" s="17"/>
      <c r="K70" s="17"/>
      <c r="L70" s="17"/>
    </row>
    <row r="71" spans="1:12">
      <c r="A71" s="60" t="str">
        <f t="shared" si="6"/>
        <v/>
      </c>
      <c r="B71" s="60" t="str">
        <f t="shared" si="7"/>
        <v/>
      </c>
      <c r="C71" s="17"/>
      <c r="D71" s="17"/>
      <c r="E71" s="17"/>
      <c r="F71" s="17"/>
      <c r="G71" s="17"/>
      <c r="H71" s="23"/>
      <c r="I71" s="17"/>
      <c r="J71" s="17"/>
      <c r="K71" s="17"/>
      <c r="L71" s="17"/>
    </row>
    <row r="72" spans="1:12">
      <c r="A72" s="60" t="str">
        <f t="shared" si="6"/>
        <v/>
      </c>
      <c r="B72" s="60" t="str">
        <f t="shared" si="7"/>
        <v/>
      </c>
      <c r="C72" s="17"/>
      <c r="D72" s="17"/>
      <c r="E72" s="17"/>
      <c r="F72" s="17"/>
      <c r="G72" s="17"/>
      <c r="H72" s="23"/>
      <c r="I72" s="17"/>
      <c r="J72" s="17"/>
      <c r="K72" s="17"/>
      <c r="L72" s="17"/>
    </row>
    <row r="73" spans="1:12">
      <c r="A73" s="60" t="str">
        <f t="shared" si="6"/>
        <v/>
      </c>
      <c r="B73" s="60" t="str">
        <f t="shared" si="7"/>
        <v/>
      </c>
      <c r="C73" s="17"/>
      <c r="D73" s="17"/>
      <c r="E73" s="17"/>
      <c r="F73" s="17"/>
      <c r="G73" s="17"/>
      <c r="H73" s="23"/>
      <c r="I73" s="17"/>
      <c r="J73" s="17"/>
      <c r="K73" s="17"/>
      <c r="L73" s="17"/>
    </row>
    <row r="74" spans="1:12">
      <c r="A74" s="60" t="str">
        <f t="shared" si="6"/>
        <v/>
      </c>
      <c r="B74" s="60" t="str">
        <f t="shared" si="7"/>
        <v/>
      </c>
      <c r="C74" s="17"/>
      <c r="D74" s="17"/>
      <c r="E74" s="17"/>
      <c r="F74" s="17"/>
      <c r="G74" s="17"/>
      <c r="H74" s="23"/>
      <c r="I74" s="17"/>
      <c r="J74" s="17"/>
      <c r="K74" s="17"/>
      <c r="L74" s="17"/>
    </row>
    <row r="75" spans="1:12">
      <c r="A75" s="60" t="str">
        <f t="shared" si="6"/>
        <v/>
      </c>
      <c r="B75" s="60" t="str">
        <f t="shared" si="7"/>
        <v/>
      </c>
      <c r="C75" s="17"/>
      <c r="D75" s="17"/>
      <c r="E75" s="17"/>
      <c r="F75" s="17"/>
      <c r="G75" s="17"/>
      <c r="H75" s="23"/>
      <c r="I75" s="17"/>
      <c r="J75" s="17"/>
      <c r="K75" s="17"/>
      <c r="L75" s="17"/>
    </row>
    <row r="76" spans="1:12">
      <c r="A76" s="60" t="str">
        <f t="shared" si="6"/>
        <v/>
      </c>
      <c r="B76" s="60" t="str">
        <f t="shared" si="7"/>
        <v/>
      </c>
      <c r="C76" s="17"/>
      <c r="D76" s="17"/>
      <c r="E76" s="17"/>
      <c r="F76" s="17"/>
      <c r="G76" s="17"/>
      <c r="H76" s="23"/>
      <c r="I76" s="17"/>
      <c r="J76" s="17"/>
      <c r="K76" s="17"/>
      <c r="L76" s="17"/>
    </row>
    <row r="77" spans="1:12">
      <c r="A77" s="60" t="str">
        <f t="shared" si="6"/>
        <v/>
      </c>
      <c r="B77" s="60" t="str">
        <f t="shared" si="7"/>
        <v/>
      </c>
      <c r="C77" s="17"/>
      <c r="D77" s="17"/>
      <c r="E77" s="17"/>
      <c r="F77" s="17"/>
      <c r="G77" s="17"/>
      <c r="H77" s="23"/>
      <c r="I77" s="17"/>
      <c r="J77" s="17"/>
      <c r="K77" s="17"/>
      <c r="L77" s="17"/>
    </row>
    <row r="78" spans="1:12">
      <c r="A78" s="60" t="str">
        <f t="shared" si="6"/>
        <v/>
      </c>
      <c r="B78" s="60" t="str">
        <f t="shared" si="7"/>
        <v/>
      </c>
      <c r="C78" s="17"/>
      <c r="D78" s="17"/>
      <c r="E78" s="17"/>
      <c r="F78" s="17"/>
      <c r="G78" s="17"/>
      <c r="H78" s="23"/>
      <c r="I78" s="17"/>
      <c r="J78" s="17"/>
      <c r="K78" s="17"/>
      <c r="L78" s="17"/>
    </row>
    <row r="79" spans="1:12">
      <c r="A79" s="60" t="str">
        <f t="shared" si="6"/>
        <v/>
      </c>
      <c r="B79" s="60" t="str">
        <f t="shared" si="7"/>
        <v/>
      </c>
      <c r="C79" s="17"/>
      <c r="D79" s="17"/>
      <c r="E79" s="17"/>
      <c r="F79" s="17"/>
      <c r="G79" s="17"/>
      <c r="H79" s="23"/>
      <c r="I79" s="17"/>
      <c r="J79" s="17"/>
      <c r="K79" s="17"/>
      <c r="L79" s="17"/>
    </row>
    <row r="80" spans="1:12">
      <c r="A80" s="60" t="str">
        <f t="shared" si="6"/>
        <v/>
      </c>
      <c r="B80" s="60" t="str">
        <f t="shared" si="7"/>
        <v/>
      </c>
      <c r="C80" s="17"/>
      <c r="D80" s="17"/>
      <c r="E80" s="17"/>
      <c r="F80" s="17"/>
      <c r="G80" s="17"/>
      <c r="H80" s="23"/>
      <c r="I80" s="17"/>
      <c r="J80" s="17"/>
      <c r="K80" s="17"/>
      <c r="L80" s="17"/>
    </row>
    <row r="81" spans="1:12">
      <c r="A81" s="60" t="str">
        <f t="shared" si="6"/>
        <v/>
      </c>
      <c r="B81" s="60" t="str">
        <f t="shared" si="7"/>
        <v/>
      </c>
      <c r="C81" s="17"/>
      <c r="D81" s="17"/>
      <c r="E81" s="17"/>
      <c r="F81" s="17"/>
      <c r="G81" s="17"/>
      <c r="H81" s="23"/>
      <c r="I81" s="17"/>
      <c r="J81" s="17"/>
      <c r="K81" s="17"/>
      <c r="L81" s="17"/>
    </row>
    <row r="82" spans="1:12">
      <c r="A82" s="60" t="str">
        <f t="shared" si="6"/>
        <v/>
      </c>
      <c r="B82" s="60" t="str">
        <f t="shared" si="7"/>
        <v/>
      </c>
      <c r="C82" s="17"/>
      <c r="D82" s="17"/>
      <c r="E82" s="17"/>
      <c r="F82" s="17"/>
      <c r="G82" s="17"/>
      <c r="H82" s="23"/>
      <c r="I82" s="17"/>
      <c r="J82" s="17"/>
      <c r="K82" s="17"/>
      <c r="L82" s="17"/>
    </row>
    <row r="83" spans="1:12">
      <c r="A83" s="60" t="str">
        <f t="shared" si="6"/>
        <v/>
      </c>
      <c r="B83" s="60" t="str">
        <f t="shared" si="7"/>
        <v/>
      </c>
      <c r="C83" s="17"/>
      <c r="D83" s="17"/>
      <c r="E83" s="17"/>
      <c r="F83" s="17"/>
      <c r="G83" s="17"/>
      <c r="H83" s="23"/>
      <c r="I83" s="17"/>
      <c r="J83" s="17"/>
      <c r="K83" s="17"/>
      <c r="L83" s="17"/>
    </row>
    <row r="84" spans="1:12">
      <c r="A84" s="60" t="str">
        <f t="shared" si="6"/>
        <v/>
      </c>
      <c r="B84" s="60" t="str">
        <f t="shared" si="7"/>
        <v/>
      </c>
      <c r="C84" s="17"/>
      <c r="D84" s="17"/>
      <c r="E84" s="17"/>
      <c r="F84" s="17"/>
      <c r="G84" s="17"/>
      <c r="H84" s="23"/>
      <c r="I84" s="17"/>
      <c r="J84" s="17"/>
      <c r="K84" s="17"/>
      <c r="L84" s="17"/>
    </row>
    <row r="85" spans="1:12">
      <c r="A85" s="60" t="str">
        <f t="shared" si="6"/>
        <v/>
      </c>
      <c r="B85" s="60" t="str">
        <f t="shared" si="7"/>
        <v/>
      </c>
      <c r="C85" s="17"/>
      <c r="D85" s="17"/>
      <c r="E85" s="17"/>
      <c r="F85" s="17"/>
      <c r="G85" s="17"/>
      <c r="H85" s="23"/>
      <c r="I85" s="17"/>
      <c r="J85" s="17"/>
      <c r="K85" s="17"/>
      <c r="L85" s="17"/>
    </row>
    <row r="86" spans="1:12">
      <c r="A86" s="60" t="str">
        <f t="shared" si="6"/>
        <v/>
      </c>
      <c r="B86" s="60" t="str">
        <f t="shared" si="7"/>
        <v/>
      </c>
      <c r="C86" s="17"/>
      <c r="D86" s="17"/>
      <c r="E86" s="17"/>
      <c r="F86" s="17"/>
      <c r="G86" s="17"/>
      <c r="H86" s="23"/>
      <c r="I86" s="17"/>
      <c r="J86" s="17"/>
      <c r="K86" s="17"/>
      <c r="L86" s="17"/>
    </row>
    <row r="87" spans="1:12">
      <c r="A87" s="60" t="str">
        <f t="shared" si="6"/>
        <v/>
      </c>
      <c r="B87" s="60" t="str">
        <f t="shared" si="7"/>
        <v/>
      </c>
      <c r="C87" s="17"/>
      <c r="D87" s="17"/>
      <c r="E87" s="17"/>
      <c r="F87" s="17"/>
      <c r="G87" s="17"/>
      <c r="H87" s="23"/>
      <c r="I87" s="17"/>
      <c r="J87" s="17"/>
      <c r="K87" s="17"/>
      <c r="L87" s="17"/>
    </row>
    <row r="88" spans="1:12">
      <c r="A88" s="60" t="str">
        <f t="shared" si="6"/>
        <v/>
      </c>
      <c r="B88" s="60" t="str">
        <f t="shared" si="7"/>
        <v/>
      </c>
      <c r="C88" s="17"/>
      <c r="D88" s="17"/>
      <c r="E88" s="17"/>
      <c r="F88" s="17"/>
      <c r="G88" s="17"/>
      <c r="H88" s="23"/>
      <c r="I88" s="17"/>
      <c r="J88" s="17"/>
      <c r="K88" s="17"/>
      <c r="L88" s="17"/>
    </row>
    <row r="89" spans="1:12">
      <c r="A89" s="60" t="str">
        <f t="shared" si="6"/>
        <v/>
      </c>
      <c r="B89" s="60" t="str">
        <f t="shared" si="7"/>
        <v/>
      </c>
      <c r="C89" s="17"/>
      <c r="D89" s="17"/>
      <c r="E89" s="17"/>
      <c r="F89" s="17"/>
      <c r="G89" s="17"/>
      <c r="H89" s="23"/>
      <c r="I89" s="17"/>
      <c r="J89" s="17"/>
      <c r="K89" s="17"/>
      <c r="L89" s="17"/>
    </row>
    <row r="90" spans="1:12">
      <c r="A90" s="60" t="str">
        <f t="shared" si="6"/>
        <v/>
      </c>
      <c r="B90" s="60" t="str">
        <f t="shared" si="7"/>
        <v/>
      </c>
      <c r="C90" s="17"/>
      <c r="D90" s="17"/>
      <c r="E90" s="17"/>
      <c r="F90" s="17"/>
      <c r="G90" s="17"/>
      <c r="H90" s="23"/>
      <c r="I90" s="17"/>
      <c r="J90" s="17"/>
      <c r="K90" s="17"/>
      <c r="L90" s="17"/>
    </row>
    <row r="91" spans="1:12">
      <c r="A91" s="60" t="str">
        <f t="shared" si="6"/>
        <v/>
      </c>
      <c r="B91" s="60" t="str">
        <f t="shared" si="7"/>
        <v/>
      </c>
      <c r="C91" s="17"/>
      <c r="D91" s="17"/>
      <c r="E91" s="17"/>
      <c r="F91" s="17"/>
      <c r="G91" s="17"/>
      <c r="H91" s="23"/>
      <c r="I91" s="17"/>
      <c r="J91" s="17"/>
      <c r="K91" s="17"/>
      <c r="L91" s="17"/>
    </row>
    <row r="92" spans="1:12">
      <c r="A92" s="60" t="str">
        <f t="shared" si="6"/>
        <v/>
      </c>
      <c r="B92" s="60" t="str">
        <f t="shared" si="7"/>
        <v/>
      </c>
      <c r="C92" s="17"/>
      <c r="D92" s="17"/>
      <c r="E92" s="17"/>
      <c r="F92" s="17"/>
      <c r="G92" s="17"/>
      <c r="H92" s="23"/>
      <c r="I92" s="17"/>
      <c r="J92" s="17"/>
      <c r="K92" s="17"/>
      <c r="L92" s="17"/>
    </row>
    <row r="93" spans="1:12">
      <c r="A93" s="60" t="str">
        <f t="shared" si="6"/>
        <v/>
      </c>
      <c r="B93" s="60" t="str">
        <f t="shared" si="7"/>
        <v/>
      </c>
      <c r="C93" s="17"/>
      <c r="D93" s="17"/>
      <c r="E93" s="17"/>
      <c r="F93" s="17"/>
      <c r="G93" s="17"/>
      <c r="H93" s="23"/>
      <c r="I93" s="17"/>
      <c r="J93" s="17"/>
      <c r="K93" s="17"/>
      <c r="L93" s="17"/>
    </row>
    <row r="94" spans="1:12">
      <c r="A94" s="60" t="str">
        <f t="shared" si="6"/>
        <v/>
      </c>
      <c r="B94" s="60" t="str">
        <f t="shared" si="7"/>
        <v/>
      </c>
      <c r="C94" s="17"/>
      <c r="D94" s="17"/>
      <c r="E94" s="17"/>
      <c r="F94" s="17"/>
      <c r="G94" s="17"/>
      <c r="H94" s="23"/>
      <c r="I94" s="17"/>
      <c r="J94" s="17"/>
      <c r="K94" s="17"/>
      <c r="L94" s="17"/>
    </row>
    <row r="95" spans="1:12">
      <c r="A95" s="60" t="str">
        <f t="shared" si="6"/>
        <v/>
      </c>
      <c r="B95" s="60" t="str">
        <f t="shared" si="7"/>
        <v/>
      </c>
      <c r="C95" s="17"/>
      <c r="D95" s="17"/>
      <c r="E95" s="17"/>
      <c r="F95" s="17"/>
      <c r="G95" s="17"/>
      <c r="H95" s="23"/>
      <c r="I95" s="17"/>
      <c r="J95" s="17"/>
      <c r="K95" s="17"/>
      <c r="L95" s="17"/>
    </row>
    <row r="96" spans="1:12">
      <c r="A96" s="60" t="str">
        <f t="shared" si="6"/>
        <v/>
      </c>
      <c r="B96" s="60" t="str">
        <f t="shared" si="7"/>
        <v/>
      </c>
      <c r="C96" s="17"/>
      <c r="D96" s="17"/>
      <c r="E96" s="17"/>
      <c r="F96" s="17"/>
      <c r="G96" s="17"/>
      <c r="H96" s="23"/>
      <c r="I96" s="17"/>
      <c r="J96" s="17"/>
      <c r="K96" s="17"/>
      <c r="L96" s="17"/>
    </row>
    <row r="97" spans="1:12">
      <c r="A97" s="60" t="str">
        <f t="shared" si="6"/>
        <v/>
      </c>
      <c r="B97" s="60" t="str">
        <f t="shared" si="7"/>
        <v/>
      </c>
      <c r="C97" s="17"/>
      <c r="D97" s="17"/>
      <c r="E97" s="17"/>
      <c r="F97" s="17"/>
      <c r="G97" s="17"/>
      <c r="H97" s="23"/>
      <c r="I97" s="17"/>
      <c r="J97" s="17"/>
      <c r="K97" s="17"/>
      <c r="L97" s="17"/>
    </row>
    <row r="98" spans="1:12">
      <c r="A98" s="60" t="str">
        <f t="shared" si="6"/>
        <v/>
      </c>
      <c r="B98" s="60" t="str">
        <f t="shared" si="7"/>
        <v/>
      </c>
      <c r="C98" s="17"/>
      <c r="D98" s="17"/>
      <c r="E98" s="17"/>
      <c r="F98" s="17"/>
      <c r="G98" s="17"/>
      <c r="H98" s="23"/>
      <c r="I98" s="17"/>
      <c r="J98" s="17"/>
      <c r="K98" s="17"/>
      <c r="L98" s="17"/>
    </row>
    <row r="99" spans="1:12">
      <c r="A99" s="60" t="str">
        <f t="shared" si="6"/>
        <v/>
      </c>
      <c r="B99" s="60" t="str">
        <f t="shared" si="7"/>
        <v/>
      </c>
      <c r="C99" s="17"/>
      <c r="D99" s="17"/>
      <c r="E99" s="17"/>
      <c r="F99" s="17"/>
      <c r="G99" s="17"/>
      <c r="H99" s="23"/>
      <c r="I99" s="17"/>
      <c r="J99" s="17"/>
      <c r="K99" s="17"/>
      <c r="L99" s="17"/>
    </row>
    <row r="100" spans="1:12">
      <c r="A100" s="60" t="str">
        <f t="shared" si="6"/>
        <v/>
      </c>
      <c r="B100" s="60" t="str">
        <f t="shared" si="7"/>
        <v/>
      </c>
      <c r="C100" s="17"/>
      <c r="D100" s="17"/>
      <c r="E100" s="17"/>
      <c r="F100" s="17"/>
      <c r="G100" s="17"/>
      <c r="H100" s="23"/>
      <c r="I100" s="17"/>
      <c r="J100" s="17"/>
      <c r="K100" s="17"/>
      <c r="L100" s="17"/>
    </row>
    <row r="101" spans="1:12">
      <c r="A101" s="60" t="str">
        <f t="shared" si="6"/>
        <v/>
      </c>
      <c r="B101" s="60" t="str">
        <f t="shared" si="7"/>
        <v/>
      </c>
      <c r="C101" s="17"/>
      <c r="D101" s="17"/>
      <c r="E101" s="17"/>
      <c r="F101" s="17"/>
      <c r="G101" s="17"/>
      <c r="H101" s="23"/>
      <c r="I101" s="17"/>
      <c r="J101" s="17"/>
      <c r="K101" s="17"/>
      <c r="L101" s="17"/>
    </row>
    <row r="102" spans="1:12">
      <c r="A102" s="60" t="str">
        <f t="shared" si="6"/>
        <v/>
      </c>
      <c r="B102" s="60" t="str">
        <f t="shared" si="7"/>
        <v/>
      </c>
      <c r="C102" s="17"/>
      <c r="D102" s="17"/>
      <c r="E102" s="17"/>
      <c r="F102" s="17"/>
      <c r="G102" s="17"/>
      <c r="H102" s="23"/>
      <c r="I102" s="17"/>
      <c r="J102" s="17"/>
      <c r="K102" s="17"/>
      <c r="L102" s="17"/>
    </row>
    <row r="103" spans="1:12">
      <c r="A103" s="60" t="str">
        <f t="shared" si="6"/>
        <v/>
      </c>
      <c r="B103" s="60" t="str">
        <f t="shared" si="7"/>
        <v/>
      </c>
      <c r="C103" s="17"/>
      <c r="D103" s="17"/>
      <c r="E103" s="17"/>
      <c r="F103" s="17"/>
      <c r="G103" s="17"/>
      <c r="H103" s="23"/>
      <c r="I103" s="17"/>
      <c r="J103" s="17"/>
      <c r="K103" s="17"/>
      <c r="L103" s="17"/>
    </row>
    <row r="104" spans="1:12">
      <c r="A104" s="60" t="str">
        <f t="shared" si="6"/>
        <v/>
      </c>
      <c r="B104" s="60" t="str">
        <f t="shared" si="7"/>
        <v/>
      </c>
      <c r="C104" s="17"/>
      <c r="D104" s="17"/>
      <c r="E104" s="17"/>
      <c r="F104" s="17"/>
      <c r="G104" s="17"/>
      <c r="H104" s="23"/>
      <c r="I104" s="17"/>
      <c r="J104" s="17"/>
      <c r="K104" s="17"/>
      <c r="L104" s="17"/>
    </row>
    <row r="105" spans="1:12">
      <c r="A105" s="60" t="str">
        <f t="shared" si="6"/>
        <v/>
      </c>
      <c r="B105" s="60" t="str">
        <f t="shared" si="7"/>
        <v/>
      </c>
      <c r="C105" s="17"/>
      <c r="D105" s="17"/>
      <c r="E105" s="17"/>
      <c r="F105" s="17"/>
      <c r="G105" s="17"/>
      <c r="H105" s="23"/>
      <c r="I105" s="17"/>
      <c r="J105" s="17"/>
      <c r="K105" s="17"/>
      <c r="L105" s="17"/>
    </row>
    <row r="106" spans="1:12">
      <c r="A106" s="60" t="str">
        <f t="shared" si="6"/>
        <v/>
      </c>
      <c r="B106" s="60" t="str">
        <f t="shared" si="7"/>
        <v/>
      </c>
      <c r="C106" s="17"/>
      <c r="D106" s="17"/>
      <c r="E106" s="17"/>
      <c r="F106" s="17"/>
      <c r="G106" s="17"/>
      <c r="H106" s="23"/>
      <c r="I106" s="17"/>
      <c r="J106" s="17"/>
      <c r="K106" s="17"/>
      <c r="L106" s="17"/>
    </row>
    <row r="107" spans="1:12">
      <c r="A107" s="60" t="str">
        <f t="shared" si="6"/>
        <v/>
      </c>
      <c r="B107" s="60" t="str">
        <f t="shared" si="7"/>
        <v/>
      </c>
      <c r="C107" s="17"/>
      <c r="D107" s="17"/>
      <c r="E107" s="17"/>
      <c r="F107" s="17"/>
      <c r="G107" s="17"/>
      <c r="H107" s="23"/>
      <c r="I107" s="17"/>
      <c r="J107" s="17"/>
      <c r="K107" s="17"/>
      <c r="L107" s="17"/>
    </row>
    <row r="108" spans="1:12">
      <c r="A108" s="60" t="str">
        <f t="shared" si="6"/>
        <v/>
      </c>
      <c r="B108" s="60" t="str">
        <f t="shared" si="7"/>
        <v/>
      </c>
      <c r="C108" s="17"/>
      <c r="D108" s="17"/>
      <c r="E108" s="17"/>
      <c r="F108" s="17"/>
      <c r="G108" s="17"/>
      <c r="H108" s="23"/>
      <c r="I108" s="17"/>
      <c r="J108" s="17"/>
      <c r="K108" s="17"/>
      <c r="L108" s="17"/>
    </row>
    <row r="109" spans="1:12">
      <c r="A109" s="60" t="str">
        <f t="shared" si="6"/>
        <v/>
      </c>
      <c r="B109" s="60" t="str">
        <f t="shared" si="7"/>
        <v/>
      </c>
      <c r="C109" s="17"/>
      <c r="D109" s="17"/>
      <c r="E109" s="17"/>
      <c r="F109" s="17"/>
      <c r="G109" s="17"/>
      <c r="H109" s="23"/>
      <c r="I109" s="17"/>
      <c r="J109" s="17"/>
      <c r="K109" s="17"/>
      <c r="L109" s="17"/>
    </row>
    <row r="110" spans="1:12">
      <c r="A110" s="60" t="str">
        <f t="shared" si="6"/>
        <v/>
      </c>
      <c r="B110" s="60" t="str">
        <f t="shared" si="7"/>
        <v/>
      </c>
      <c r="C110" s="17"/>
      <c r="D110" s="17"/>
      <c r="E110" s="17"/>
      <c r="F110" s="17"/>
      <c r="G110" s="17"/>
      <c r="H110" s="23"/>
      <c r="I110" s="17"/>
      <c r="J110" s="17"/>
      <c r="K110" s="17"/>
      <c r="L110" s="17"/>
    </row>
    <row r="111" spans="1:12">
      <c r="A111" s="60" t="str">
        <f t="shared" si="6"/>
        <v/>
      </c>
      <c r="B111" s="60" t="str">
        <f t="shared" si="7"/>
        <v/>
      </c>
      <c r="C111" s="17"/>
      <c r="D111" s="17"/>
      <c r="E111" s="17"/>
      <c r="F111" s="17"/>
      <c r="G111" s="17"/>
      <c r="H111" s="23"/>
      <c r="I111" s="17"/>
      <c r="J111" s="17"/>
      <c r="K111" s="17"/>
      <c r="L111" s="17"/>
    </row>
    <row r="112" spans="1:12">
      <c r="A112" s="60" t="str">
        <f t="shared" si="6"/>
        <v/>
      </c>
      <c r="B112" s="60" t="str">
        <f t="shared" si="7"/>
        <v/>
      </c>
      <c r="C112" s="17"/>
      <c r="D112" s="17"/>
      <c r="E112" s="17"/>
      <c r="F112" s="17"/>
      <c r="G112" s="17"/>
      <c r="H112" s="23"/>
      <c r="I112" s="17"/>
      <c r="J112" s="17"/>
      <c r="K112" s="17"/>
      <c r="L112" s="17"/>
    </row>
    <row r="113" spans="1:12">
      <c r="A113" s="60" t="str">
        <f t="shared" si="6"/>
        <v/>
      </c>
      <c r="B113" s="60" t="str">
        <f t="shared" si="7"/>
        <v/>
      </c>
      <c r="C113" s="17"/>
      <c r="D113" s="17"/>
      <c r="E113" s="17"/>
      <c r="F113" s="17"/>
      <c r="G113" s="17"/>
      <c r="H113" s="23"/>
      <c r="I113" s="17"/>
      <c r="J113" s="17"/>
      <c r="K113" s="17"/>
      <c r="L113" s="17"/>
    </row>
    <row r="114" spans="1:12">
      <c r="A114" s="60" t="str">
        <f t="shared" si="6"/>
        <v/>
      </c>
      <c r="B114" s="60" t="str">
        <f t="shared" si="7"/>
        <v/>
      </c>
      <c r="C114" s="17"/>
      <c r="D114" s="17"/>
      <c r="E114" s="17"/>
      <c r="F114" s="17"/>
      <c r="G114" s="17"/>
      <c r="H114" s="23"/>
      <c r="I114" s="17"/>
      <c r="J114" s="17"/>
      <c r="K114" s="17"/>
      <c r="L114" s="17"/>
    </row>
    <row r="115" spans="1:12">
      <c r="A115" s="60" t="str">
        <f t="shared" si="6"/>
        <v/>
      </c>
      <c r="B115" s="60" t="str">
        <f t="shared" si="7"/>
        <v/>
      </c>
      <c r="C115" s="17"/>
      <c r="D115" s="17"/>
      <c r="E115" s="17"/>
      <c r="F115" s="17"/>
      <c r="G115" s="17"/>
      <c r="H115" s="23"/>
      <c r="I115" s="17"/>
      <c r="J115" s="17"/>
      <c r="K115" s="17"/>
      <c r="L115" s="17"/>
    </row>
    <row r="116" spans="1:12">
      <c r="A116" s="60" t="str">
        <f t="shared" si="6"/>
        <v/>
      </c>
      <c r="B116" s="60" t="str">
        <f t="shared" si="7"/>
        <v/>
      </c>
      <c r="C116" s="17"/>
      <c r="D116" s="17"/>
      <c r="E116" s="17"/>
      <c r="F116" s="17"/>
      <c r="G116" s="17"/>
      <c r="H116" s="23"/>
      <c r="I116" s="17"/>
      <c r="J116" s="17"/>
      <c r="K116" s="17"/>
      <c r="L116" s="17"/>
    </row>
    <row r="117" spans="1:12">
      <c r="A117" s="60" t="str">
        <f t="shared" si="6"/>
        <v/>
      </c>
      <c r="B117" s="60" t="str">
        <f t="shared" si="7"/>
        <v/>
      </c>
      <c r="C117" s="17"/>
      <c r="D117" s="17"/>
      <c r="E117" s="17"/>
      <c r="F117" s="17"/>
      <c r="G117" s="17"/>
      <c r="H117" s="23"/>
      <c r="I117" s="17"/>
      <c r="J117" s="17"/>
      <c r="K117" s="17"/>
      <c r="L117" s="17"/>
    </row>
    <row r="118" spans="1:12">
      <c r="A118" s="60" t="str">
        <f t="shared" si="6"/>
        <v/>
      </c>
      <c r="B118" s="60" t="str">
        <f t="shared" si="7"/>
        <v/>
      </c>
      <c r="C118" s="17"/>
      <c r="D118" s="17"/>
      <c r="E118" s="17"/>
      <c r="F118" s="17"/>
      <c r="G118" s="17"/>
      <c r="H118" s="23"/>
      <c r="I118" s="17"/>
      <c r="J118" s="17"/>
      <c r="K118" s="17"/>
      <c r="L118" s="17"/>
    </row>
    <row r="119" spans="1:12">
      <c r="A119" s="60" t="str">
        <f t="shared" si="6"/>
        <v/>
      </c>
      <c r="B119" s="60" t="str">
        <f t="shared" si="7"/>
        <v/>
      </c>
      <c r="C119" s="17"/>
      <c r="D119" s="17"/>
      <c r="E119" s="17"/>
      <c r="F119" s="17"/>
      <c r="G119" s="17"/>
      <c r="H119" s="23"/>
      <c r="I119" s="17"/>
      <c r="J119" s="17"/>
      <c r="K119" s="17"/>
      <c r="L119" s="17"/>
    </row>
    <row r="120" spans="1:12">
      <c r="A120" s="60" t="str">
        <f t="shared" si="6"/>
        <v/>
      </c>
      <c r="B120" s="60" t="str">
        <f t="shared" si="7"/>
        <v/>
      </c>
      <c r="C120" s="17"/>
      <c r="D120" s="17"/>
      <c r="E120" s="17"/>
      <c r="F120" s="17"/>
      <c r="G120" s="17"/>
      <c r="H120" s="23"/>
      <c r="I120" s="17"/>
      <c r="J120" s="17"/>
      <c r="K120" s="17"/>
      <c r="L120" s="17"/>
    </row>
    <row r="121" spans="1:12">
      <c r="A121" s="60" t="str">
        <f t="shared" si="6"/>
        <v/>
      </c>
      <c r="B121" s="60" t="str">
        <f t="shared" si="7"/>
        <v/>
      </c>
      <c r="C121" s="17"/>
      <c r="D121" s="17"/>
      <c r="E121" s="17"/>
      <c r="F121" s="17"/>
      <c r="G121" s="17"/>
      <c r="H121" s="23"/>
      <c r="I121" s="17"/>
      <c r="J121" s="17"/>
      <c r="K121" s="17"/>
      <c r="L121" s="17"/>
    </row>
    <row r="122" spans="1:12">
      <c r="A122" s="60" t="str">
        <f t="shared" si="6"/>
        <v/>
      </c>
      <c r="B122" s="60" t="str">
        <f t="shared" si="7"/>
        <v/>
      </c>
      <c r="C122" s="17"/>
      <c r="D122" s="17"/>
      <c r="E122" s="17"/>
      <c r="F122" s="17"/>
      <c r="G122" s="17"/>
      <c r="H122" s="23"/>
      <c r="I122" s="17"/>
      <c r="J122" s="17"/>
      <c r="K122" s="17"/>
      <c r="L122" s="17"/>
    </row>
    <row r="123" spans="1:12">
      <c r="A123" s="60" t="str">
        <f t="shared" si="6"/>
        <v/>
      </c>
      <c r="B123" s="60" t="str">
        <f t="shared" si="7"/>
        <v/>
      </c>
      <c r="C123" s="17"/>
      <c r="D123" s="17"/>
      <c r="E123" s="17"/>
      <c r="F123" s="17"/>
      <c r="G123" s="17"/>
      <c r="H123" s="23"/>
      <c r="I123" s="17"/>
      <c r="J123" s="17"/>
      <c r="K123" s="17"/>
      <c r="L123" s="17"/>
    </row>
    <row r="124" spans="1:12">
      <c r="A124" s="60" t="str">
        <f t="shared" si="6"/>
        <v/>
      </c>
      <c r="B124" s="60" t="str">
        <f t="shared" si="7"/>
        <v/>
      </c>
      <c r="C124" s="17"/>
      <c r="D124" s="17"/>
      <c r="E124" s="17"/>
      <c r="F124" s="17"/>
      <c r="G124" s="17"/>
      <c r="H124" s="23"/>
      <c r="I124" s="17"/>
      <c r="J124" s="17"/>
      <c r="K124" s="17"/>
      <c r="L124" s="17"/>
    </row>
    <row r="125" spans="1:12">
      <c r="A125" s="60" t="str">
        <f t="shared" si="6"/>
        <v/>
      </c>
      <c r="B125" s="60" t="str">
        <f t="shared" si="7"/>
        <v/>
      </c>
      <c r="C125" s="17"/>
      <c r="D125" s="17"/>
      <c r="E125" s="17"/>
      <c r="F125" s="17"/>
      <c r="G125" s="17"/>
      <c r="H125" s="23"/>
      <c r="I125" s="17"/>
      <c r="J125" s="17"/>
      <c r="K125" s="17"/>
      <c r="L125" s="17"/>
    </row>
    <row r="126" spans="1:12">
      <c r="A126" s="60" t="str">
        <f t="shared" si="6"/>
        <v/>
      </c>
      <c r="B126" s="60" t="str">
        <f t="shared" si="7"/>
        <v/>
      </c>
      <c r="C126" s="17"/>
      <c r="D126" s="17"/>
      <c r="E126" s="17"/>
      <c r="F126" s="17"/>
      <c r="G126" s="17"/>
      <c r="H126" s="23"/>
      <c r="I126" s="17"/>
      <c r="J126" s="17"/>
      <c r="K126" s="17"/>
      <c r="L126" s="17"/>
    </row>
    <row r="127" spans="1:12">
      <c r="A127" s="60" t="str">
        <f t="shared" ref="A127:A190" si="8">+C127&amp;G127&amp;H127&amp;D127</f>
        <v/>
      </c>
      <c r="B127" s="60" t="str">
        <f t="shared" ref="B127:B190" si="9">+C127&amp;G127&amp;H127&amp;D127&amp;K127</f>
        <v/>
      </c>
      <c r="C127" s="17"/>
      <c r="D127" s="17"/>
      <c r="E127" s="17"/>
      <c r="F127" s="17"/>
      <c r="G127" s="17"/>
      <c r="H127" s="23"/>
      <c r="I127" s="17"/>
      <c r="J127" s="17"/>
      <c r="K127" s="17"/>
      <c r="L127" s="17"/>
    </row>
    <row r="128" spans="1:12">
      <c r="A128" s="60" t="str">
        <f t="shared" si="8"/>
        <v/>
      </c>
      <c r="B128" s="60" t="str">
        <f t="shared" si="9"/>
        <v/>
      </c>
      <c r="C128" s="17"/>
      <c r="D128" s="17"/>
      <c r="E128" s="17"/>
      <c r="F128" s="17"/>
      <c r="G128" s="17"/>
      <c r="H128" s="23"/>
      <c r="I128" s="17"/>
      <c r="J128" s="17"/>
      <c r="K128" s="17"/>
      <c r="L128" s="17"/>
    </row>
    <row r="129" spans="1:12">
      <c r="A129" s="60" t="str">
        <f t="shared" si="8"/>
        <v/>
      </c>
      <c r="B129" s="60" t="str">
        <f t="shared" si="9"/>
        <v/>
      </c>
      <c r="C129" s="17"/>
      <c r="D129" s="17"/>
      <c r="E129" s="17"/>
      <c r="F129" s="17"/>
      <c r="G129" s="17"/>
      <c r="H129" s="23"/>
      <c r="I129" s="17"/>
      <c r="J129" s="17"/>
      <c r="K129" s="17"/>
      <c r="L129" s="17"/>
    </row>
    <row r="130" spans="1:12">
      <c r="A130" s="60" t="str">
        <f t="shared" si="8"/>
        <v/>
      </c>
      <c r="B130" s="60" t="str">
        <f t="shared" si="9"/>
        <v/>
      </c>
      <c r="C130" s="17"/>
      <c r="D130" s="17"/>
      <c r="E130" s="17"/>
      <c r="F130" s="17"/>
      <c r="G130" s="17"/>
      <c r="H130" s="23"/>
      <c r="I130" s="17"/>
      <c r="J130" s="17"/>
      <c r="K130" s="17"/>
      <c r="L130" s="17"/>
    </row>
    <row r="131" spans="1:12">
      <c r="A131" s="60" t="str">
        <f t="shared" si="8"/>
        <v/>
      </c>
      <c r="B131" s="60" t="str">
        <f t="shared" si="9"/>
        <v/>
      </c>
      <c r="C131" s="17"/>
      <c r="D131" s="17"/>
      <c r="E131" s="17"/>
      <c r="F131" s="17"/>
      <c r="G131" s="17"/>
      <c r="H131" s="23"/>
      <c r="I131" s="17"/>
      <c r="J131" s="17"/>
      <c r="K131" s="17"/>
      <c r="L131" s="17"/>
    </row>
    <row r="132" spans="1:12">
      <c r="A132" s="60" t="str">
        <f t="shared" si="8"/>
        <v/>
      </c>
      <c r="B132" s="60" t="str">
        <f t="shared" si="9"/>
        <v/>
      </c>
      <c r="C132" s="17"/>
      <c r="D132" s="17"/>
      <c r="E132" s="17"/>
      <c r="F132" s="17"/>
      <c r="G132" s="17"/>
      <c r="H132" s="23"/>
      <c r="I132" s="17"/>
      <c r="J132" s="17"/>
      <c r="K132" s="17"/>
      <c r="L132" s="17"/>
    </row>
    <row r="133" spans="1:12">
      <c r="A133" s="60" t="str">
        <f t="shared" si="8"/>
        <v/>
      </c>
      <c r="B133" s="60" t="str">
        <f t="shared" si="9"/>
        <v/>
      </c>
      <c r="C133" s="17"/>
      <c r="D133" s="17"/>
      <c r="E133" s="17"/>
      <c r="F133" s="17"/>
      <c r="G133" s="17"/>
      <c r="H133" s="23"/>
      <c r="I133" s="17"/>
      <c r="J133" s="17"/>
      <c r="K133" s="17"/>
      <c r="L133" s="17"/>
    </row>
    <row r="134" spans="1:12">
      <c r="A134" s="60" t="str">
        <f t="shared" si="8"/>
        <v/>
      </c>
      <c r="B134" s="60" t="str">
        <f t="shared" si="9"/>
        <v/>
      </c>
      <c r="C134" s="17"/>
      <c r="D134" s="17"/>
      <c r="E134" s="17"/>
      <c r="F134" s="17"/>
      <c r="G134" s="17"/>
      <c r="H134" s="23"/>
      <c r="I134" s="17"/>
      <c r="J134" s="17"/>
      <c r="K134" s="17"/>
      <c r="L134" s="17"/>
    </row>
    <row r="135" spans="1:12">
      <c r="A135" s="60" t="str">
        <f t="shared" si="8"/>
        <v/>
      </c>
      <c r="B135" s="60" t="str">
        <f t="shared" si="9"/>
        <v/>
      </c>
      <c r="C135" s="17"/>
      <c r="D135" s="17"/>
      <c r="E135" s="17"/>
      <c r="F135" s="17"/>
      <c r="G135" s="17"/>
      <c r="H135" s="23"/>
      <c r="I135" s="17"/>
      <c r="J135" s="17"/>
      <c r="K135" s="17"/>
      <c r="L135" s="17"/>
    </row>
    <row r="136" spans="1:12">
      <c r="A136" s="60" t="str">
        <f t="shared" si="8"/>
        <v/>
      </c>
      <c r="B136" s="60" t="str">
        <f t="shared" si="9"/>
        <v/>
      </c>
      <c r="C136" s="17"/>
      <c r="D136" s="17"/>
      <c r="E136" s="17"/>
      <c r="F136" s="17"/>
      <c r="G136" s="17"/>
      <c r="H136" s="23"/>
      <c r="I136" s="17"/>
      <c r="J136" s="17"/>
      <c r="K136" s="17"/>
      <c r="L136" s="17"/>
    </row>
    <row r="137" spans="1:12">
      <c r="A137" s="60" t="str">
        <f t="shared" si="8"/>
        <v/>
      </c>
      <c r="B137" s="60" t="str">
        <f t="shared" si="9"/>
        <v/>
      </c>
      <c r="C137" s="17"/>
      <c r="D137" s="17"/>
      <c r="E137" s="17"/>
      <c r="F137" s="17"/>
      <c r="G137" s="17"/>
      <c r="H137" s="23"/>
      <c r="I137" s="17"/>
      <c r="J137" s="17"/>
      <c r="K137" s="17"/>
      <c r="L137" s="17"/>
    </row>
    <row r="138" spans="1:12">
      <c r="A138" s="60" t="str">
        <f t="shared" si="8"/>
        <v/>
      </c>
      <c r="B138" s="60" t="str">
        <f t="shared" si="9"/>
        <v/>
      </c>
      <c r="C138" s="17"/>
      <c r="D138" s="17"/>
      <c r="E138" s="17"/>
      <c r="F138" s="17"/>
      <c r="G138" s="17"/>
      <c r="H138" s="23"/>
      <c r="I138" s="17"/>
      <c r="J138" s="17"/>
      <c r="K138" s="17"/>
      <c r="L138" s="17"/>
    </row>
    <row r="139" spans="1:12">
      <c r="A139" s="60" t="str">
        <f t="shared" si="8"/>
        <v/>
      </c>
      <c r="B139" s="60" t="str">
        <f t="shared" si="9"/>
        <v/>
      </c>
      <c r="C139" s="17"/>
      <c r="D139" s="17"/>
      <c r="E139" s="17"/>
      <c r="F139" s="17"/>
      <c r="G139" s="17"/>
      <c r="H139" s="23"/>
      <c r="I139" s="17"/>
      <c r="J139" s="17"/>
      <c r="K139" s="17"/>
      <c r="L139" s="17"/>
    </row>
    <row r="140" spans="1:12">
      <c r="A140" s="60" t="str">
        <f t="shared" si="8"/>
        <v/>
      </c>
      <c r="B140" s="60" t="str">
        <f t="shared" si="9"/>
        <v/>
      </c>
      <c r="C140" s="17"/>
      <c r="D140" s="17"/>
      <c r="E140" s="17"/>
      <c r="F140" s="17"/>
      <c r="G140" s="17"/>
      <c r="H140" s="23"/>
      <c r="I140" s="17"/>
      <c r="J140" s="17"/>
      <c r="K140" s="17"/>
      <c r="L140" s="17"/>
    </row>
    <row r="141" spans="1:12">
      <c r="A141" s="60" t="str">
        <f t="shared" si="8"/>
        <v/>
      </c>
      <c r="B141" s="60" t="str">
        <f t="shared" si="9"/>
        <v/>
      </c>
      <c r="C141" s="17"/>
      <c r="D141" s="17"/>
      <c r="E141" s="17"/>
      <c r="F141" s="17"/>
      <c r="G141" s="17"/>
      <c r="H141" s="23"/>
      <c r="I141" s="17"/>
      <c r="J141" s="17"/>
      <c r="K141" s="17"/>
      <c r="L141" s="17"/>
    </row>
    <row r="142" spans="1:12">
      <c r="A142" s="60" t="str">
        <f t="shared" si="8"/>
        <v/>
      </c>
      <c r="B142" s="60" t="str">
        <f t="shared" si="9"/>
        <v/>
      </c>
      <c r="C142" s="17"/>
      <c r="D142" s="17"/>
      <c r="E142" s="17"/>
      <c r="F142" s="17"/>
      <c r="G142" s="17"/>
      <c r="H142" s="23"/>
      <c r="I142" s="17"/>
      <c r="J142" s="17"/>
      <c r="K142" s="17"/>
      <c r="L142" s="17"/>
    </row>
    <row r="143" spans="1:12">
      <c r="A143" s="60" t="str">
        <f t="shared" si="8"/>
        <v/>
      </c>
      <c r="B143" s="60" t="str">
        <f t="shared" si="9"/>
        <v/>
      </c>
      <c r="C143" s="17"/>
      <c r="D143" s="17"/>
      <c r="E143" s="17"/>
      <c r="F143" s="17"/>
      <c r="G143" s="17"/>
      <c r="H143" s="23"/>
      <c r="I143" s="17"/>
      <c r="J143" s="17"/>
      <c r="K143" s="17"/>
      <c r="L143" s="17"/>
    </row>
    <row r="144" spans="1:12">
      <c r="A144" s="60" t="str">
        <f t="shared" si="8"/>
        <v/>
      </c>
      <c r="B144" s="60" t="str">
        <f t="shared" si="9"/>
        <v/>
      </c>
      <c r="C144" s="17"/>
      <c r="D144" s="17"/>
      <c r="E144" s="17"/>
      <c r="F144" s="17"/>
      <c r="G144" s="17"/>
      <c r="H144" s="23"/>
      <c r="I144" s="17"/>
      <c r="J144" s="17"/>
      <c r="K144" s="17"/>
      <c r="L144" s="17"/>
    </row>
    <row r="145" spans="1:12">
      <c r="A145" s="60" t="str">
        <f t="shared" si="8"/>
        <v/>
      </c>
      <c r="B145" s="60" t="str">
        <f t="shared" si="9"/>
        <v/>
      </c>
      <c r="C145" s="17"/>
      <c r="D145" s="17"/>
      <c r="E145" s="17"/>
      <c r="F145" s="17"/>
      <c r="G145" s="17"/>
      <c r="H145" s="23"/>
      <c r="I145" s="17"/>
      <c r="J145" s="17"/>
      <c r="K145" s="17"/>
      <c r="L145" s="17"/>
    </row>
    <row r="146" spans="1:12">
      <c r="A146" s="60" t="str">
        <f t="shared" si="8"/>
        <v/>
      </c>
      <c r="B146" s="60" t="str">
        <f t="shared" si="9"/>
        <v/>
      </c>
      <c r="C146" s="17"/>
      <c r="D146" s="17"/>
      <c r="E146" s="17"/>
      <c r="F146" s="17"/>
      <c r="G146" s="17"/>
      <c r="H146" s="23"/>
      <c r="I146" s="17"/>
      <c r="J146" s="17"/>
      <c r="K146" s="17"/>
      <c r="L146" s="17"/>
    </row>
    <row r="147" spans="1:12">
      <c r="A147" s="60" t="str">
        <f t="shared" si="8"/>
        <v/>
      </c>
      <c r="B147" s="60" t="str">
        <f t="shared" si="9"/>
        <v/>
      </c>
      <c r="C147" s="17"/>
      <c r="D147" s="17"/>
      <c r="E147" s="17"/>
      <c r="F147" s="17"/>
      <c r="G147" s="17"/>
      <c r="H147" s="23"/>
      <c r="I147" s="17"/>
      <c r="J147" s="17"/>
      <c r="K147" s="17"/>
      <c r="L147" s="17"/>
    </row>
    <row r="148" spans="1:12">
      <c r="A148" s="60" t="str">
        <f t="shared" si="8"/>
        <v/>
      </c>
      <c r="B148" s="60" t="str">
        <f t="shared" si="9"/>
        <v/>
      </c>
      <c r="C148" s="17"/>
      <c r="D148" s="17"/>
      <c r="E148" s="17"/>
      <c r="F148" s="17"/>
      <c r="G148" s="17"/>
      <c r="H148" s="23"/>
      <c r="I148" s="17"/>
      <c r="J148" s="17"/>
      <c r="K148" s="17"/>
      <c r="L148" s="17"/>
    </row>
    <row r="149" spans="1:12">
      <c r="A149" s="60" t="str">
        <f t="shared" si="8"/>
        <v/>
      </c>
      <c r="B149" s="60" t="str">
        <f t="shared" si="9"/>
        <v/>
      </c>
      <c r="C149" s="17"/>
      <c r="D149" s="17"/>
      <c r="E149" s="17"/>
      <c r="F149" s="17"/>
      <c r="G149" s="17"/>
      <c r="H149" s="23"/>
      <c r="I149" s="17"/>
      <c r="J149" s="17"/>
      <c r="K149" s="17"/>
      <c r="L149" s="17"/>
    </row>
    <row r="150" spans="1:12">
      <c r="A150" s="60" t="str">
        <f t="shared" si="8"/>
        <v/>
      </c>
      <c r="B150" s="60" t="str">
        <f t="shared" si="9"/>
        <v/>
      </c>
      <c r="C150" s="17"/>
      <c r="D150" s="17"/>
      <c r="E150" s="17"/>
      <c r="F150" s="17"/>
      <c r="G150" s="17"/>
      <c r="H150" s="23"/>
      <c r="I150" s="17"/>
      <c r="J150" s="17"/>
      <c r="K150" s="17"/>
      <c r="L150" s="17"/>
    </row>
    <row r="151" spans="1:12">
      <c r="A151" s="60" t="str">
        <f t="shared" si="8"/>
        <v/>
      </c>
      <c r="B151" s="60" t="str">
        <f t="shared" si="9"/>
        <v/>
      </c>
      <c r="C151" s="17"/>
      <c r="D151" s="17"/>
      <c r="E151" s="17"/>
      <c r="F151" s="17"/>
      <c r="G151" s="17"/>
      <c r="H151" s="23"/>
      <c r="I151" s="17"/>
      <c r="J151" s="17"/>
      <c r="K151" s="17"/>
      <c r="L151" s="17"/>
    </row>
    <row r="152" spans="1:12">
      <c r="A152" s="60" t="str">
        <f t="shared" si="8"/>
        <v/>
      </c>
      <c r="B152" s="60" t="str">
        <f t="shared" si="9"/>
        <v/>
      </c>
      <c r="C152" s="17"/>
      <c r="D152" s="17"/>
      <c r="E152" s="17"/>
      <c r="F152" s="17"/>
      <c r="G152" s="17"/>
      <c r="H152" s="23"/>
      <c r="I152" s="17"/>
      <c r="J152" s="17"/>
      <c r="K152" s="17"/>
      <c r="L152" s="17"/>
    </row>
    <row r="153" spans="1:12">
      <c r="A153" s="60" t="str">
        <f t="shared" si="8"/>
        <v/>
      </c>
      <c r="B153" s="60" t="str">
        <f t="shared" si="9"/>
        <v/>
      </c>
      <c r="C153" s="17"/>
      <c r="D153" s="17"/>
      <c r="E153" s="17"/>
      <c r="F153" s="17"/>
      <c r="G153" s="17"/>
      <c r="H153" s="23"/>
      <c r="I153" s="17"/>
      <c r="J153" s="17"/>
      <c r="K153" s="17"/>
      <c r="L153" s="17"/>
    </row>
    <row r="154" spans="1:12">
      <c r="A154" s="60" t="str">
        <f t="shared" si="8"/>
        <v/>
      </c>
      <c r="B154" s="60" t="str">
        <f t="shared" si="9"/>
        <v/>
      </c>
      <c r="C154" s="17"/>
      <c r="D154" s="17"/>
      <c r="E154" s="17"/>
      <c r="F154" s="17"/>
      <c r="G154" s="17"/>
      <c r="H154" s="23"/>
      <c r="I154" s="17"/>
      <c r="J154" s="17"/>
      <c r="K154" s="17"/>
      <c r="L154" s="17"/>
    </row>
    <row r="155" spans="1:12">
      <c r="A155" s="60" t="str">
        <f t="shared" si="8"/>
        <v/>
      </c>
      <c r="B155" s="60" t="str">
        <f t="shared" si="9"/>
        <v/>
      </c>
      <c r="C155" s="17"/>
      <c r="D155" s="17"/>
      <c r="E155" s="17"/>
      <c r="F155" s="17"/>
      <c r="G155" s="17"/>
      <c r="H155" s="23"/>
      <c r="I155" s="17"/>
      <c r="J155" s="17"/>
      <c r="K155" s="17"/>
      <c r="L155" s="17"/>
    </row>
    <row r="156" spans="1:12">
      <c r="A156" s="60" t="str">
        <f t="shared" si="8"/>
        <v/>
      </c>
      <c r="B156" s="60" t="str">
        <f t="shared" si="9"/>
        <v/>
      </c>
      <c r="C156" s="17"/>
      <c r="D156" s="17"/>
      <c r="E156" s="17"/>
      <c r="F156" s="17"/>
      <c r="G156" s="17"/>
      <c r="H156" s="23"/>
      <c r="I156" s="17"/>
      <c r="J156" s="17"/>
      <c r="K156" s="17"/>
      <c r="L156" s="17"/>
    </row>
    <row r="157" spans="1:12">
      <c r="A157" s="60" t="str">
        <f t="shared" si="8"/>
        <v/>
      </c>
      <c r="B157" s="60" t="str">
        <f t="shared" si="9"/>
        <v/>
      </c>
      <c r="C157" s="17"/>
      <c r="D157" s="17"/>
      <c r="E157" s="17"/>
      <c r="F157" s="17"/>
      <c r="G157" s="17"/>
      <c r="H157" s="23"/>
      <c r="I157" s="17"/>
      <c r="J157" s="17"/>
      <c r="K157" s="17"/>
      <c r="L157" s="17"/>
    </row>
    <row r="158" spans="1:12">
      <c r="A158" s="60" t="str">
        <f t="shared" si="8"/>
        <v/>
      </c>
      <c r="B158" s="60" t="str">
        <f t="shared" si="9"/>
        <v/>
      </c>
      <c r="C158" s="17"/>
      <c r="D158" s="17"/>
      <c r="E158" s="17"/>
      <c r="F158" s="17"/>
      <c r="G158" s="17"/>
      <c r="H158" s="23"/>
      <c r="I158" s="17"/>
      <c r="J158" s="17"/>
      <c r="K158" s="17"/>
      <c r="L158" s="17"/>
    </row>
    <row r="159" spans="1:12">
      <c r="A159" s="60" t="str">
        <f t="shared" si="8"/>
        <v/>
      </c>
      <c r="B159" s="60" t="str">
        <f t="shared" si="9"/>
        <v/>
      </c>
      <c r="C159" s="17"/>
      <c r="D159" s="17"/>
      <c r="E159" s="17"/>
      <c r="F159" s="17"/>
      <c r="G159" s="17"/>
      <c r="H159" s="23"/>
      <c r="I159" s="17"/>
      <c r="J159" s="17"/>
      <c r="K159" s="17"/>
      <c r="L159" s="17"/>
    </row>
    <row r="160" spans="1:12">
      <c r="A160" s="60" t="str">
        <f t="shared" si="8"/>
        <v/>
      </c>
      <c r="B160" s="60" t="str">
        <f t="shared" si="9"/>
        <v/>
      </c>
      <c r="C160" s="17"/>
      <c r="D160" s="17"/>
      <c r="E160" s="17"/>
      <c r="F160" s="17"/>
      <c r="G160" s="17"/>
      <c r="H160" s="23"/>
      <c r="I160" s="17"/>
      <c r="J160" s="17"/>
      <c r="K160" s="17"/>
      <c r="L160" s="17"/>
    </row>
    <row r="161" spans="1:12">
      <c r="A161" s="60" t="str">
        <f t="shared" si="8"/>
        <v/>
      </c>
      <c r="B161" s="60" t="str">
        <f t="shared" si="9"/>
        <v/>
      </c>
      <c r="C161" s="17"/>
      <c r="D161" s="17"/>
      <c r="E161" s="17"/>
      <c r="F161" s="17"/>
      <c r="G161" s="17"/>
      <c r="H161" s="23"/>
      <c r="I161" s="17"/>
      <c r="J161" s="17"/>
      <c r="K161" s="17"/>
      <c r="L161" s="17"/>
    </row>
    <row r="162" spans="1:12">
      <c r="A162" s="60" t="str">
        <f t="shared" si="8"/>
        <v/>
      </c>
      <c r="B162" s="60" t="str">
        <f t="shared" si="9"/>
        <v/>
      </c>
      <c r="C162" s="17"/>
      <c r="D162" s="17"/>
      <c r="E162" s="17"/>
      <c r="F162" s="17"/>
      <c r="G162" s="17"/>
      <c r="H162" s="23"/>
      <c r="I162" s="17"/>
      <c r="J162" s="17"/>
      <c r="K162" s="17"/>
      <c r="L162" s="17"/>
    </row>
    <row r="163" spans="1:12">
      <c r="A163" s="60" t="str">
        <f t="shared" si="8"/>
        <v/>
      </c>
      <c r="B163" s="60" t="str">
        <f t="shared" si="9"/>
        <v/>
      </c>
      <c r="C163" s="17"/>
      <c r="D163" s="17"/>
      <c r="E163" s="17"/>
      <c r="F163" s="17"/>
      <c r="G163" s="17"/>
      <c r="H163" s="23"/>
      <c r="I163" s="17"/>
      <c r="J163" s="17"/>
      <c r="K163" s="17"/>
      <c r="L163" s="17"/>
    </row>
    <row r="164" spans="1:12">
      <c r="A164" s="60" t="str">
        <f t="shared" si="8"/>
        <v/>
      </c>
      <c r="B164" s="60" t="str">
        <f t="shared" si="9"/>
        <v/>
      </c>
      <c r="C164" s="17"/>
      <c r="D164" s="17"/>
      <c r="E164" s="17"/>
      <c r="F164" s="17"/>
      <c r="G164" s="17"/>
      <c r="H164" s="23"/>
      <c r="I164" s="17"/>
      <c r="J164" s="17"/>
      <c r="K164" s="17"/>
      <c r="L164" s="17"/>
    </row>
    <row r="165" spans="1:12">
      <c r="A165" s="60" t="str">
        <f t="shared" si="8"/>
        <v/>
      </c>
      <c r="B165" s="60" t="str">
        <f t="shared" si="9"/>
        <v/>
      </c>
      <c r="C165" s="17"/>
      <c r="D165" s="17"/>
      <c r="E165" s="17"/>
      <c r="F165" s="17"/>
      <c r="G165" s="17"/>
      <c r="H165" s="23"/>
      <c r="I165" s="17"/>
      <c r="J165" s="17"/>
      <c r="K165" s="17"/>
      <c r="L165" s="17"/>
    </row>
    <row r="166" spans="1:12">
      <c r="A166" s="60" t="str">
        <f t="shared" si="8"/>
        <v/>
      </c>
      <c r="B166" s="60" t="str">
        <f t="shared" si="9"/>
        <v/>
      </c>
      <c r="C166" s="17"/>
      <c r="D166" s="17"/>
      <c r="E166" s="17"/>
      <c r="F166" s="17"/>
      <c r="G166" s="17"/>
      <c r="H166" s="23"/>
      <c r="I166" s="17"/>
      <c r="J166" s="17"/>
      <c r="K166" s="17"/>
      <c r="L166" s="17"/>
    </row>
    <row r="167" spans="1:12">
      <c r="A167" s="60" t="str">
        <f t="shared" si="8"/>
        <v/>
      </c>
      <c r="B167" s="60" t="str">
        <f t="shared" si="9"/>
        <v/>
      </c>
      <c r="C167" s="17"/>
      <c r="D167" s="17"/>
      <c r="E167" s="17"/>
      <c r="F167" s="17"/>
      <c r="G167" s="17"/>
      <c r="H167" s="23"/>
      <c r="I167" s="17"/>
      <c r="J167" s="17"/>
      <c r="K167" s="17"/>
      <c r="L167" s="17"/>
    </row>
    <row r="168" spans="1:12">
      <c r="A168" s="60" t="str">
        <f t="shared" si="8"/>
        <v/>
      </c>
      <c r="B168" s="60" t="str">
        <f t="shared" si="9"/>
        <v/>
      </c>
      <c r="C168" s="17"/>
      <c r="D168" s="17"/>
      <c r="E168" s="17"/>
      <c r="F168" s="17"/>
      <c r="G168" s="17"/>
      <c r="H168" s="23"/>
      <c r="I168" s="17"/>
      <c r="J168" s="17"/>
      <c r="K168" s="17"/>
      <c r="L168" s="17"/>
    </row>
    <row r="169" spans="1:12">
      <c r="A169" s="60" t="str">
        <f t="shared" si="8"/>
        <v/>
      </c>
      <c r="B169" s="60" t="str">
        <f t="shared" si="9"/>
        <v/>
      </c>
      <c r="C169" s="17"/>
      <c r="D169" s="17"/>
      <c r="E169" s="17"/>
      <c r="F169" s="17"/>
      <c r="G169" s="17"/>
      <c r="H169" s="23"/>
      <c r="I169" s="17"/>
      <c r="J169" s="17"/>
      <c r="K169" s="17"/>
      <c r="L169" s="17"/>
    </row>
    <row r="170" spans="1:12">
      <c r="A170" s="60" t="str">
        <f t="shared" si="8"/>
        <v/>
      </c>
      <c r="B170" s="60" t="str">
        <f t="shared" si="9"/>
        <v/>
      </c>
      <c r="C170" s="17"/>
      <c r="D170" s="17"/>
      <c r="E170" s="17"/>
      <c r="F170" s="17"/>
      <c r="G170" s="17"/>
      <c r="H170" s="23"/>
      <c r="I170" s="17"/>
      <c r="J170" s="17"/>
      <c r="K170" s="17"/>
      <c r="L170" s="17"/>
    </row>
    <row r="171" spans="1:12">
      <c r="A171" s="60" t="str">
        <f t="shared" si="8"/>
        <v/>
      </c>
      <c r="B171" s="60" t="str">
        <f t="shared" si="9"/>
        <v/>
      </c>
      <c r="C171" s="17"/>
      <c r="D171" s="17"/>
      <c r="E171" s="17"/>
      <c r="F171" s="17"/>
      <c r="G171" s="17"/>
      <c r="H171" s="23"/>
      <c r="I171" s="17"/>
      <c r="J171" s="17"/>
      <c r="K171" s="17"/>
      <c r="L171" s="17"/>
    </row>
    <row r="172" spans="1:12">
      <c r="A172" s="60" t="str">
        <f t="shared" si="8"/>
        <v/>
      </c>
      <c r="B172" s="60" t="str">
        <f t="shared" si="9"/>
        <v/>
      </c>
      <c r="C172" s="17"/>
      <c r="D172" s="17"/>
      <c r="E172" s="17"/>
      <c r="F172" s="17"/>
      <c r="G172" s="17"/>
      <c r="H172" s="23"/>
      <c r="I172" s="17"/>
      <c r="J172" s="17"/>
      <c r="K172" s="17"/>
      <c r="L172" s="17"/>
    </row>
    <row r="173" spans="1:12">
      <c r="A173" s="60" t="str">
        <f t="shared" si="8"/>
        <v/>
      </c>
      <c r="B173" s="60" t="str">
        <f t="shared" si="9"/>
        <v/>
      </c>
      <c r="C173" s="17"/>
      <c r="D173" s="17"/>
      <c r="E173" s="17"/>
      <c r="F173" s="17"/>
      <c r="G173" s="17"/>
      <c r="H173" s="23"/>
      <c r="I173" s="17"/>
      <c r="J173" s="17"/>
      <c r="K173" s="17"/>
      <c r="L173" s="17"/>
    </row>
    <row r="174" spans="1:12">
      <c r="A174" s="60" t="str">
        <f t="shared" si="8"/>
        <v/>
      </c>
      <c r="B174" s="60" t="str">
        <f t="shared" si="9"/>
        <v/>
      </c>
      <c r="C174" s="17"/>
      <c r="D174" s="17"/>
      <c r="E174" s="17"/>
      <c r="F174" s="17"/>
      <c r="G174" s="17"/>
      <c r="H174" s="23"/>
      <c r="I174" s="17"/>
      <c r="J174" s="17"/>
      <c r="K174" s="17"/>
      <c r="L174" s="17"/>
    </row>
    <row r="175" spans="1:12">
      <c r="A175" s="60" t="str">
        <f t="shared" si="8"/>
        <v/>
      </c>
      <c r="B175" s="60" t="str">
        <f t="shared" si="9"/>
        <v/>
      </c>
      <c r="C175" s="17"/>
      <c r="D175" s="17"/>
      <c r="E175" s="17"/>
      <c r="F175" s="17"/>
      <c r="G175" s="17"/>
      <c r="H175" s="23"/>
      <c r="I175" s="17"/>
      <c r="J175" s="17"/>
      <c r="K175" s="17"/>
      <c r="L175" s="17"/>
    </row>
    <row r="176" spans="1:12">
      <c r="A176" s="60" t="str">
        <f t="shared" si="8"/>
        <v/>
      </c>
      <c r="B176" s="60" t="str">
        <f t="shared" si="9"/>
        <v/>
      </c>
      <c r="C176" s="17"/>
      <c r="D176" s="17"/>
      <c r="E176" s="17"/>
      <c r="F176" s="17"/>
      <c r="G176" s="17"/>
      <c r="H176" s="23"/>
      <c r="I176" s="17"/>
      <c r="J176" s="17"/>
      <c r="K176" s="17"/>
      <c r="L176" s="17"/>
    </row>
    <row r="177" spans="1:12">
      <c r="A177" s="60" t="str">
        <f t="shared" si="8"/>
        <v/>
      </c>
      <c r="B177" s="60" t="str">
        <f t="shared" si="9"/>
        <v/>
      </c>
      <c r="C177" s="17"/>
      <c r="D177" s="17"/>
      <c r="E177" s="17"/>
      <c r="F177" s="17"/>
      <c r="G177" s="17"/>
      <c r="H177" s="23"/>
      <c r="I177" s="17"/>
      <c r="J177" s="17"/>
      <c r="K177" s="17"/>
      <c r="L177" s="17"/>
    </row>
    <row r="178" spans="1:12">
      <c r="A178" s="60" t="str">
        <f t="shared" si="8"/>
        <v/>
      </c>
      <c r="B178" s="60" t="str">
        <f t="shared" si="9"/>
        <v/>
      </c>
      <c r="C178" s="17"/>
      <c r="D178" s="17"/>
      <c r="E178" s="17"/>
      <c r="F178" s="17"/>
      <c r="G178" s="17"/>
      <c r="H178" s="23"/>
      <c r="I178" s="17"/>
      <c r="J178" s="17"/>
      <c r="K178" s="17"/>
      <c r="L178" s="17"/>
    </row>
    <row r="179" spans="1:12">
      <c r="A179" s="60" t="str">
        <f t="shared" si="8"/>
        <v/>
      </c>
      <c r="B179" s="60" t="str">
        <f t="shared" si="9"/>
        <v/>
      </c>
      <c r="C179" s="17"/>
      <c r="D179" s="17"/>
      <c r="E179" s="17"/>
      <c r="F179" s="17"/>
      <c r="G179" s="17"/>
      <c r="H179" s="23"/>
      <c r="I179" s="17"/>
      <c r="J179" s="17"/>
      <c r="K179" s="17"/>
      <c r="L179" s="17"/>
    </row>
    <row r="180" spans="1:12">
      <c r="A180" s="60" t="str">
        <f t="shared" si="8"/>
        <v/>
      </c>
      <c r="B180" s="60" t="str">
        <f t="shared" si="9"/>
        <v/>
      </c>
      <c r="C180" s="17"/>
      <c r="D180" s="17"/>
      <c r="E180" s="17"/>
      <c r="F180" s="17"/>
      <c r="G180" s="17"/>
      <c r="H180" s="23"/>
      <c r="I180" s="17"/>
      <c r="J180" s="17"/>
      <c r="K180" s="17"/>
      <c r="L180" s="17"/>
    </row>
    <row r="181" spans="1:12">
      <c r="A181" s="60" t="str">
        <f t="shared" si="8"/>
        <v/>
      </c>
      <c r="B181" s="60" t="str">
        <f t="shared" si="9"/>
        <v/>
      </c>
      <c r="C181" s="17"/>
      <c r="D181" s="17"/>
      <c r="E181" s="17"/>
      <c r="F181" s="17"/>
      <c r="G181" s="17"/>
      <c r="H181" s="23"/>
      <c r="I181" s="17"/>
      <c r="J181" s="17"/>
      <c r="K181" s="17"/>
      <c r="L181" s="17"/>
    </row>
    <row r="182" spans="1:12">
      <c r="A182" s="60" t="str">
        <f t="shared" si="8"/>
        <v/>
      </c>
      <c r="B182" s="60" t="str">
        <f t="shared" si="9"/>
        <v/>
      </c>
      <c r="C182" s="17"/>
      <c r="D182" s="17"/>
      <c r="E182" s="17"/>
      <c r="F182" s="17"/>
      <c r="G182" s="17"/>
      <c r="H182" s="23"/>
      <c r="I182" s="17"/>
      <c r="J182" s="17"/>
      <c r="K182" s="17"/>
      <c r="L182" s="17"/>
    </row>
    <row r="183" spans="1:12">
      <c r="A183" s="60" t="str">
        <f t="shared" si="8"/>
        <v/>
      </c>
      <c r="B183" s="60" t="str">
        <f t="shared" si="9"/>
        <v/>
      </c>
      <c r="C183" s="17"/>
      <c r="D183" s="17"/>
      <c r="E183" s="17"/>
      <c r="F183" s="17"/>
      <c r="G183" s="17"/>
      <c r="H183" s="23"/>
      <c r="I183" s="17"/>
      <c r="J183" s="17"/>
      <c r="K183" s="17"/>
      <c r="L183" s="17"/>
    </row>
    <row r="184" spans="1:12">
      <c r="A184" s="60" t="str">
        <f t="shared" si="8"/>
        <v/>
      </c>
      <c r="B184" s="60" t="str">
        <f t="shared" si="9"/>
        <v/>
      </c>
      <c r="C184" s="17"/>
      <c r="D184" s="17"/>
      <c r="E184" s="17"/>
      <c r="F184" s="17"/>
      <c r="G184" s="17"/>
      <c r="H184" s="23"/>
      <c r="I184" s="17"/>
      <c r="J184" s="17"/>
      <c r="K184" s="17"/>
      <c r="L184" s="17"/>
    </row>
    <row r="185" spans="1:12">
      <c r="A185" s="60" t="str">
        <f t="shared" si="8"/>
        <v/>
      </c>
      <c r="B185" s="60" t="str">
        <f t="shared" si="9"/>
        <v/>
      </c>
      <c r="C185" s="17"/>
      <c r="D185" s="17"/>
      <c r="E185" s="17"/>
      <c r="F185" s="17"/>
      <c r="G185" s="17"/>
      <c r="H185" s="23"/>
      <c r="I185" s="17"/>
      <c r="J185" s="17"/>
      <c r="K185" s="17"/>
      <c r="L185" s="17"/>
    </row>
    <row r="186" spans="1:12">
      <c r="A186" s="60" t="str">
        <f t="shared" si="8"/>
        <v/>
      </c>
      <c r="B186" s="60" t="str">
        <f t="shared" si="9"/>
        <v/>
      </c>
      <c r="C186" s="17"/>
      <c r="D186" s="17"/>
      <c r="E186" s="17"/>
      <c r="F186" s="17"/>
      <c r="G186" s="17"/>
      <c r="H186" s="23"/>
      <c r="I186" s="17"/>
      <c r="J186" s="17"/>
      <c r="K186" s="17"/>
      <c r="L186" s="17"/>
    </row>
    <row r="187" spans="1:12">
      <c r="A187" s="60" t="str">
        <f t="shared" si="8"/>
        <v/>
      </c>
      <c r="B187" s="60" t="str">
        <f t="shared" si="9"/>
        <v/>
      </c>
      <c r="C187" s="17"/>
      <c r="D187" s="17"/>
      <c r="E187" s="17"/>
      <c r="F187" s="17"/>
      <c r="G187" s="17"/>
      <c r="H187" s="23"/>
      <c r="I187" s="17"/>
      <c r="J187" s="17"/>
      <c r="K187" s="17"/>
      <c r="L187" s="17"/>
    </row>
    <row r="188" spans="1:12">
      <c r="A188" s="60" t="str">
        <f t="shared" si="8"/>
        <v/>
      </c>
      <c r="B188" s="60" t="str">
        <f t="shared" si="9"/>
        <v/>
      </c>
      <c r="C188" s="17"/>
      <c r="D188" s="17"/>
      <c r="E188" s="17"/>
      <c r="F188" s="17"/>
      <c r="G188" s="17"/>
      <c r="H188" s="23"/>
      <c r="I188" s="17"/>
      <c r="J188" s="17"/>
      <c r="K188" s="17"/>
      <c r="L188" s="17"/>
    </row>
    <row r="189" spans="1:12">
      <c r="A189" s="60" t="str">
        <f t="shared" si="8"/>
        <v/>
      </c>
      <c r="B189" s="60" t="str">
        <f t="shared" si="9"/>
        <v/>
      </c>
      <c r="C189" s="17"/>
      <c r="D189" s="17"/>
      <c r="E189" s="17"/>
      <c r="F189" s="17"/>
      <c r="G189" s="17"/>
      <c r="H189" s="23"/>
      <c r="I189" s="17"/>
      <c r="J189" s="17"/>
      <c r="K189" s="17"/>
      <c r="L189" s="17"/>
    </row>
    <row r="190" spans="1:12">
      <c r="A190" s="60" t="str">
        <f t="shared" si="8"/>
        <v/>
      </c>
      <c r="B190" s="60" t="str">
        <f t="shared" si="9"/>
        <v/>
      </c>
      <c r="C190" s="17"/>
      <c r="D190" s="17"/>
      <c r="E190" s="17"/>
      <c r="F190" s="17"/>
      <c r="G190" s="17"/>
      <c r="H190" s="23"/>
      <c r="I190" s="17"/>
      <c r="J190" s="17"/>
      <c r="K190" s="17"/>
      <c r="L190" s="17"/>
    </row>
    <row r="191" spans="1:12">
      <c r="A191" s="60" t="str">
        <f t="shared" ref="A191:A228" si="10">+C191&amp;G191&amp;H191&amp;D191</f>
        <v/>
      </c>
      <c r="B191" s="60" t="str">
        <f t="shared" ref="B191:B228" si="11">+C191&amp;G191&amp;H191&amp;D191&amp;K191</f>
        <v/>
      </c>
      <c r="C191" s="17"/>
      <c r="D191" s="17"/>
      <c r="E191" s="17"/>
      <c r="F191" s="17"/>
      <c r="G191" s="17"/>
      <c r="H191" s="23"/>
      <c r="I191" s="17"/>
      <c r="J191" s="17"/>
      <c r="K191" s="17"/>
      <c r="L191" s="17"/>
    </row>
    <row r="192" spans="1:12">
      <c r="A192" s="60" t="str">
        <f t="shared" si="10"/>
        <v/>
      </c>
      <c r="B192" s="60" t="str">
        <f t="shared" si="11"/>
        <v/>
      </c>
      <c r="C192" s="17"/>
      <c r="D192" s="17"/>
      <c r="E192" s="17"/>
      <c r="F192" s="17"/>
      <c r="G192" s="17"/>
      <c r="H192" s="23"/>
      <c r="I192" s="17"/>
      <c r="J192" s="17"/>
      <c r="K192" s="17"/>
      <c r="L192" s="17"/>
    </row>
    <row r="193" spans="1:12">
      <c r="A193" s="60" t="str">
        <f t="shared" si="10"/>
        <v/>
      </c>
      <c r="B193" s="60" t="str">
        <f t="shared" si="11"/>
        <v/>
      </c>
      <c r="C193" s="17"/>
      <c r="D193" s="17"/>
      <c r="E193" s="17"/>
      <c r="F193" s="17"/>
      <c r="G193" s="17"/>
      <c r="H193" s="23"/>
      <c r="I193" s="17"/>
      <c r="J193" s="17"/>
      <c r="K193" s="17"/>
      <c r="L193" s="17"/>
    </row>
    <row r="194" spans="1:12">
      <c r="A194" s="60" t="str">
        <f t="shared" si="10"/>
        <v/>
      </c>
      <c r="B194" s="60" t="str">
        <f t="shared" si="11"/>
        <v/>
      </c>
      <c r="C194" s="17"/>
      <c r="D194" s="17"/>
      <c r="E194" s="17"/>
      <c r="F194" s="17"/>
      <c r="G194" s="17"/>
      <c r="H194" s="23"/>
      <c r="I194" s="17"/>
      <c r="J194" s="17"/>
      <c r="K194" s="17"/>
      <c r="L194" s="17"/>
    </row>
    <row r="195" spans="1:12">
      <c r="A195" s="60" t="str">
        <f t="shared" si="10"/>
        <v/>
      </c>
      <c r="B195" s="60" t="str">
        <f t="shared" si="11"/>
        <v/>
      </c>
      <c r="C195" s="17"/>
      <c r="D195" s="17"/>
      <c r="E195" s="17"/>
      <c r="F195" s="17"/>
      <c r="G195" s="17"/>
      <c r="H195" s="23"/>
      <c r="I195" s="17"/>
      <c r="J195" s="17"/>
      <c r="K195" s="17"/>
      <c r="L195" s="17"/>
    </row>
    <row r="196" spans="1:12">
      <c r="A196" s="60" t="str">
        <f t="shared" si="10"/>
        <v/>
      </c>
      <c r="B196" s="60" t="str">
        <f t="shared" si="11"/>
        <v/>
      </c>
      <c r="C196" s="17"/>
      <c r="D196" s="17"/>
      <c r="E196" s="17"/>
      <c r="F196" s="17"/>
      <c r="G196" s="17"/>
      <c r="H196" s="23"/>
      <c r="I196" s="17"/>
      <c r="J196" s="17"/>
      <c r="K196" s="17"/>
      <c r="L196" s="17"/>
    </row>
    <row r="197" spans="1:12">
      <c r="A197" s="60" t="str">
        <f t="shared" si="10"/>
        <v/>
      </c>
      <c r="B197" s="60" t="str">
        <f t="shared" si="11"/>
        <v/>
      </c>
      <c r="C197" s="17"/>
      <c r="D197" s="17"/>
      <c r="E197" s="17"/>
      <c r="F197" s="17"/>
      <c r="G197" s="17"/>
      <c r="H197" s="23"/>
      <c r="I197" s="17"/>
      <c r="J197" s="17"/>
      <c r="K197" s="17"/>
      <c r="L197" s="17"/>
    </row>
    <row r="198" spans="1:12">
      <c r="A198" s="60" t="str">
        <f t="shared" si="10"/>
        <v/>
      </c>
      <c r="B198" s="60" t="str">
        <f t="shared" si="11"/>
        <v/>
      </c>
      <c r="C198" s="17"/>
      <c r="D198" s="17"/>
      <c r="E198" s="17"/>
      <c r="F198" s="17"/>
      <c r="G198" s="17"/>
      <c r="H198" s="23"/>
      <c r="I198" s="17"/>
      <c r="J198" s="17"/>
      <c r="K198" s="17"/>
      <c r="L198" s="17"/>
    </row>
    <row r="199" spans="1:12">
      <c r="A199" s="60" t="str">
        <f t="shared" si="10"/>
        <v/>
      </c>
      <c r="B199" s="60" t="str">
        <f t="shared" si="11"/>
        <v/>
      </c>
      <c r="C199" s="17"/>
      <c r="D199" s="17"/>
      <c r="E199" s="17"/>
      <c r="F199" s="17"/>
      <c r="G199" s="17"/>
      <c r="H199" s="23"/>
      <c r="I199" s="17"/>
      <c r="J199" s="17"/>
      <c r="K199" s="17"/>
      <c r="L199" s="17"/>
    </row>
    <row r="200" spans="1:12">
      <c r="A200" s="60" t="str">
        <f t="shared" si="10"/>
        <v/>
      </c>
      <c r="B200" s="60" t="str">
        <f t="shared" si="11"/>
        <v/>
      </c>
      <c r="C200" s="17"/>
      <c r="D200" s="17"/>
      <c r="E200" s="17"/>
      <c r="F200" s="17"/>
      <c r="G200" s="17"/>
      <c r="H200" s="23"/>
      <c r="I200" s="17"/>
      <c r="J200" s="17"/>
      <c r="K200" s="17"/>
      <c r="L200" s="17"/>
    </row>
    <row r="201" spans="1:12">
      <c r="A201" s="60" t="str">
        <f t="shared" si="10"/>
        <v/>
      </c>
      <c r="B201" s="60" t="str">
        <f t="shared" si="11"/>
        <v/>
      </c>
      <c r="C201" s="17"/>
      <c r="D201" s="17"/>
      <c r="E201" s="17"/>
      <c r="F201" s="17"/>
      <c r="G201" s="17"/>
      <c r="H201" s="23"/>
      <c r="I201" s="17"/>
      <c r="J201" s="17"/>
      <c r="K201" s="17"/>
      <c r="L201" s="17"/>
    </row>
    <row r="202" spans="1:12">
      <c r="A202" s="60" t="str">
        <f t="shared" si="10"/>
        <v/>
      </c>
      <c r="B202" s="60" t="str">
        <f t="shared" si="11"/>
        <v/>
      </c>
      <c r="C202" s="17"/>
      <c r="D202" s="17"/>
      <c r="E202" s="17"/>
      <c r="F202" s="17"/>
      <c r="G202" s="17"/>
      <c r="H202" s="23"/>
      <c r="I202" s="17"/>
      <c r="J202" s="17"/>
      <c r="K202" s="17"/>
      <c r="L202" s="17"/>
    </row>
    <row r="203" spans="1:12">
      <c r="A203" s="60" t="str">
        <f t="shared" si="10"/>
        <v/>
      </c>
      <c r="B203" s="60" t="str">
        <f t="shared" si="11"/>
        <v/>
      </c>
      <c r="C203" s="17"/>
      <c r="D203" s="17"/>
      <c r="E203" s="17"/>
      <c r="F203" s="17"/>
      <c r="G203" s="17"/>
      <c r="H203" s="23"/>
      <c r="I203" s="17"/>
      <c r="J203" s="17"/>
      <c r="K203" s="17"/>
      <c r="L203" s="17"/>
    </row>
    <row r="204" spans="1:12">
      <c r="A204" s="60" t="str">
        <f t="shared" si="10"/>
        <v/>
      </c>
      <c r="B204" s="60" t="str">
        <f t="shared" si="11"/>
        <v/>
      </c>
      <c r="C204" s="17"/>
      <c r="D204" s="17"/>
      <c r="E204" s="17"/>
      <c r="F204" s="17"/>
      <c r="G204" s="17"/>
      <c r="H204" s="23"/>
      <c r="I204" s="17"/>
      <c r="J204" s="17"/>
      <c r="K204" s="17"/>
      <c r="L204" s="17"/>
    </row>
    <row r="205" spans="1:12">
      <c r="A205" s="60" t="str">
        <f t="shared" si="10"/>
        <v/>
      </c>
      <c r="B205" s="60" t="str">
        <f t="shared" si="11"/>
        <v/>
      </c>
      <c r="C205" s="17"/>
      <c r="D205" s="17"/>
      <c r="E205" s="17"/>
      <c r="F205" s="17"/>
      <c r="G205" s="17"/>
      <c r="H205" s="23"/>
      <c r="I205" s="17"/>
      <c r="J205" s="17"/>
      <c r="K205" s="17"/>
      <c r="L205" s="17"/>
    </row>
    <row r="206" spans="1:12">
      <c r="A206" s="60" t="str">
        <f t="shared" si="10"/>
        <v/>
      </c>
      <c r="B206" s="60" t="str">
        <f t="shared" si="11"/>
        <v/>
      </c>
      <c r="C206" s="17"/>
      <c r="D206" s="17"/>
      <c r="E206" s="17"/>
      <c r="F206" s="17"/>
      <c r="G206" s="17"/>
      <c r="H206" s="23"/>
      <c r="I206" s="17"/>
      <c r="J206" s="17"/>
      <c r="K206" s="17"/>
      <c r="L206" s="17"/>
    </row>
    <row r="207" spans="1:12">
      <c r="A207" s="60" t="str">
        <f t="shared" si="10"/>
        <v/>
      </c>
      <c r="B207" s="60" t="str">
        <f t="shared" si="11"/>
        <v/>
      </c>
      <c r="C207" s="17"/>
      <c r="D207" s="17"/>
      <c r="E207" s="17"/>
      <c r="F207" s="17"/>
      <c r="G207" s="17"/>
      <c r="H207" s="23"/>
      <c r="I207" s="17"/>
      <c r="J207" s="17"/>
      <c r="K207" s="17"/>
      <c r="L207" s="17"/>
    </row>
    <row r="208" spans="1:12">
      <c r="A208" s="60" t="str">
        <f t="shared" si="10"/>
        <v/>
      </c>
      <c r="B208" s="60" t="str">
        <f t="shared" si="11"/>
        <v/>
      </c>
      <c r="C208" s="17"/>
      <c r="D208" s="17"/>
      <c r="E208" s="17"/>
      <c r="F208" s="17"/>
      <c r="G208" s="17"/>
      <c r="H208" s="23"/>
      <c r="I208" s="17"/>
      <c r="J208" s="17"/>
      <c r="K208" s="17"/>
      <c r="L208" s="17"/>
    </row>
    <row r="209" spans="1:12">
      <c r="A209" s="60" t="str">
        <f t="shared" si="10"/>
        <v/>
      </c>
      <c r="B209" s="60" t="str">
        <f t="shared" si="11"/>
        <v/>
      </c>
      <c r="C209" s="17"/>
      <c r="D209" s="17"/>
      <c r="E209" s="17"/>
      <c r="F209" s="17"/>
      <c r="G209" s="17"/>
      <c r="H209" s="23"/>
      <c r="I209" s="17"/>
      <c r="J209" s="17"/>
      <c r="K209" s="17"/>
      <c r="L209" s="17"/>
    </row>
    <row r="210" spans="1:12">
      <c r="A210" s="60" t="str">
        <f t="shared" si="10"/>
        <v/>
      </c>
      <c r="B210" s="60" t="str">
        <f t="shared" si="11"/>
        <v/>
      </c>
      <c r="C210" s="17"/>
      <c r="D210" s="17"/>
      <c r="E210" s="17"/>
      <c r="F210" s="17"/>
      <c r="G210" s="17"/>
      <c r="H210" s="23"/>
      <c r="I210" s="17"/>
      <c r="J210" s="17"/>
      <c r="K210" s="17"/>
      <c r="L210" s="17"/>
    </row>
    <row r="211" spans="1:12">
      <c r="A211" s="60" t="str">
        <f t="shared" si="10"/>
        <v/>
      </c>
      <c r="B211" s="60" t="str">
        <f t="shared" si="11"/>
        <v/>
      </c>
      <c r="C211" s="17"/>
      <c r="D211" s="17"/>
      <c r="E211" s="17"/>
      <c r="F211" s="17"/>
      <c r="G211" s="17"/>
      <c r="H211" s="23"/>
      <c r="I211" s="17"/>
      <c r="J211" s="17"/>
      <c r="K211" s="17"/>
      <c r="L211" s="17"/>
    </row>
    <row r="212" spans="1:12">
      <c r="A212" s="60" t="str">
        <f t="shared" si="10"/>
        <v/>
      </c>
      <c r="B212" s="60" t="str">
        <f t="shared" si="11"/>
        <v/>
      </c>
      <c r="C212" s="17"/>
      <c r="D212" s="17"/>
      <c r="E212" s="17"/>
      <c r="F212" s="17"/>
      <c r="G212" s="17"/>
      <c r="H212" s="23"/>
      <c r="I212" s="17"/>
      <c r="J212" s="17"/>
      <c r="K212" s="17"/>
      <c r="L212" s="17"/>
    </row>
    <row r="213" spans="1:12">
      <c r="A213" s="60" t="str">
        <f t="shared" si="10"/>
        <v/>
      </c>
      <c r="B213" s="60" t="str">
        <f t="shared" si="11"/>
        <v/>
      </c>
      <c r="C213" s="17"/>
      <c r="D213" s="17"/>
      <c r="E213" s="17"/>
      <c r="F213" s="17"/>
      <c r="G213" s="17"/>
      <c r="H213" s="23"/>
      <c r="I213" s="17"/>
      <c r="J213" s="17"/>
      <c r="K213" s="17"/>
      <c r="L213" s="17"/>
    </row>
    <row r="214" spans="1:12">
      <c r="A214" s="60" t="str">
        <f t="shared" si="10"/>
        <v/>
      </c>
      <c r="B214" s="60" t="str">
        <f t="shared" si="11"/>
        <v/>
      </c>
      <c r="C214" s="17"/>
      <c r="D214" s="17"/>
      <c r="E214" s="17"/>
      <c r="F214" s="17"/>
      <c r="G214" s="17"/>
      <c r="H214" s="23"/>
      <c r="I214" s="17"/>
      <c r="J214" s="17"/>
      <c r="K214" s="17"/>
      <c r="L214" s="17"/>
    </row>
    <row r="215" spans="1:12">
      <c r="A215" s="60" t="str">
        <f t="shared" si="10"/>
        <v/>
      </c>
      <c r="B215" s="60" t="str">
        <f t="shared" si="11"/>
        <v/>
      </c>
      <c r="C215" s="17"/>
      <c r="D215" s="17"/>
      <c r="E215" s="17"/>
      <c r="F215" s="17"/>
      <c r="G215" s="17"/>
      <c r="H215" s="23"/>
      <c r="I215" s="17"/>
      <c r="J215" s="17"/>
      <c r="K215" s="17"/>
      <c r="L215" s="17"/>
    </row>
    <row r="216" spans="1:12">
      <c r="A216" s="60" t="str">
        <f t="shared" si="10"/>
        <v/>
      </c>
      <c r="B216" s="60" t="str">
        <f t="shared" si="11"/>
        <v/>
      </c>
      <c r="C216" s="17"/>
      <c r="D216" s="17"/>
      <c r="E216" s="17"/>
      <c r="F216" s="17"/>
      <c r="G216" s="17"/>
      <c r="H216" s="23"/>
      <c r="I216" s="17"/>
      <c r="J216" s="17"/>
      <c r="K216" s="17"/>
      <c r="L216" s="17"/>
    </row>
    <row r="217" spans="1:12">
      <c r="A217" s="60" t="str">
        <f t="shared" si="10"/>
        <v/>
      </c>
      <c r="B217" s="60" t="str">
        <f t="shared" si="11"/>
        <v/>
      </c>
      <c r="C217" s="17"/>
      <c r="D217" s="17"/>
      <c r="E217" s="17"/>
      <c r="F217" s="17"/>
      <c r="G217" s="17"/>
      <c r="H217" s="23"/>
      <c r="I217" s="17"/>
      <c r="J217" s="17"/>
      <c r="K217" s="17"/>
      <c r="L217" s="17"/>
    </row>
    <row r="218" spans="1:12">
      <c r="A218" s="60" t="str">
        <f t="shared" si="10"/>
        <v/>
      </c>
      <c r="B218" s="60" t="str">
        <f t="shared" si="11"/>
        <v/>
      </c>
      <c r="C218" s="17"/>
      <c r="D218" s="17"/>
      <c r="E218" s="17"/>
      <c r="F218" s="17"/>
      <c r="G218" s="17"/>
      <c r="H218" s="23"/>
      <c r="I218" s="17"/>
      <c r="J218" s="17"/>
      <c r="K218" s="17"/>
      <c r="L218" s="17"/>
    </row>
    <row r="219" spans="1:12">
      <c r="A219" s="60" t="str">
        <f t="shared" si="10"/>
        <v/>
      </c>
      <c r="B219" s="60" t="str">
        <f t="shared" si="11"/>
        <v/>
      </c>
      <c r="C219" s="17"/>
      <c r="D219" s="17"/>
      <c r="E219" s="17"/>
      <c r="F219" s="17"/>
      <c r="G219" s="17"/>
      <c r="H219" s="23"/>
      <c r="I219" s="17"/>
      <c r="J219" s="17"/>
      <c r="K219" s="17"/>
      <c r="L219" s="17"/>
    </row>
    <row r="220" spans="1:12">
      <c r="A220" s="60" t="str">
        <f t="shared" si="10"/>
        <v/>
      </c>
      <c r="B220" s="60" t="str">
        <f t="shared" si="11"/>
        <v/>
      </c>
      <c r="C220" s="17"/>
      <c r="D220" s="17"/>
      <c r="E220" s="17"/>
      <c r="F220" s="17"/>
      <c r="G220" s="17"/>
      <c r="H220" s="23"/>
      <c r="I220" s="17"/>
      <c r="J220" s="17"/>
      <c r="K220" s="17"/>
      <c r="L220" s="17"/>
    </row>
    <row r="221" spans="1:12">
      <c r="A221" s="60" t="str">
        <f t="shared" si="10"/>
        <v/>
      </c>
      <c r="B221" s="60" t="str">
        <f t="shared" si="11"/>
        <v/>
      </c>
      <c r="C221" s="17"/>
      <c r="D221" s="17"/>
      <c r="E221" s="17"/>
      <c r="F221" s="17"/>
      <c r="G221" s="17"/>
      <c r="H221" s="23"/>
      <c r="I221" s="17"/>
      <c r="J221" s="17"/>
      <c r="K221" s="17"/>
      <c r="L221" s="17"/>
    </row>
    <row r="222" spans="1:12">
      <c r="A222" s="60" t="str">
        <f t="shared" si="10"/>
        <v/>
      </c>
      <c r="B222" s="60" t="str">
        <f t="shared" si="11"/>
        <v/>
      </c>
      <c r="C222" s="17"/>
      <c r="D222" s="17"/>
      <c r="E222" s="17"/>
      <c r="F222" s="17"/>
      <c r="G222" s="17"/>
      <c r="H222" s="23"/>
      <c r="I222" s="17"/>
      <c r="J222" s="17"/>
      <c r="K222" s="17"/>
      <c r="L222" s="17"/>
    </row>
    <row r="223" spans="1:12">
      <c r="A223" s="60" t="str">
        <f t="shared" si="10"/>
        <v/>
      </c>
      <c r="B223" s="60" t="str">
        <f t="shared" si="11"/>
        <v/>
      </c>
      <c r="C223" s="17"/>
      <c r="D223" s="17"/>
      <c r="E223" s="17"/>
      <c r="F223" s="17"/>
      <c r="G223" s="17"/>
      <c r="H223" s="23"/>
      <c r="I223" s="17"/>
      <c r="J223" s="17"/>
      <c r="K223" s="17"/>
      <c r="L223" s="17"/>
    </row>
    <row r="224" spans="1:12">
      <c r="A224" s="60" t="str">
        <f t="shared" si="10"/>
        <v/>
      </c>
      <c r="B224" s="60" t="str">
        <f t="shared" si="11"/>
        <v/>
      </c>
      <c r="C224" s="17"/>
      <c r="D224" s="17"/>
      <c r="E224" s="17"/>
      <c r="F224" s="17"/>
      <c r="G224" s="17"/>
      <c r="H224" s="23"/>
      <c r="I224" s="17"/>
      <c r="J224" s="17"/>
      <c r="K224" s="17"/>
      <c r="L224" s="17"/>
    </row>
    <row r="225" spans="1:12">
      <c r="A225" s="60" t="str">
        <f t="shared" si="10"/>
        <v/>
      </c>
      <c r="B225" s="60" t="str">
        <f t="shared" si="11"/>
        <v/>
      </c>
      <c r="C225" s="17"/>
      <c r="D225" s="17"/>
      <c r="E225" s="17"/>
      <c r="F225" s="17"/>
      <c r="G225" s="17"/>
      <c r="H225" s="23"/>
      <c r="I225" s="17"/>
      <c r="J225" s="17"/>
      <c r="K225" s="17"/>
      <c r="L225" s="17"/>
    </row>
    <row r="226" spans="1:12">
      <c r="A226" s="60" t="str">
        <f t="shared" si="10"/>
        <v/>
      </c>
      <c r="B226" s="60" t="str">
        <f t="shared" si="11"/>
        <v/>
      </c>
      <c r="C226" s="17"/>
      <c r="D226" s="17"/>
      <c r="E226" s="17"/>
      <c r="F226" s="17"/>
      <c r="G226" s="17"/>
      <c r="H226" s="23"/>
      <c r="I226" s="17"/>
      <c r="J226" s="17"/>
      <c r="K226" s="17"/>
      <c r="L226" s="17"/>
    </row>
    <row r="227" spans="1:12">
      <c r="A227" s="60" t="str">
        <f t="shared" si="10"/>
        <v/>
      </c>
      <c r="B227" s="60" t="str">
        <f t="shared" si="11"/>
        <v/>
      </c>
      <c r="C227" s="17"/>
      <c r="D227" s="17"/>
      <c r="E227" s="17"/>
      <c r="F227" s="17"/>
      <c r="G227" s="17"/>
      <c r="H227" s="23"/>
      <c r="I227" s="17"/>
      <c r="J227" s="17"/>
      <c r="K227" s="17"/>
      <c r="L227" s="17"/>
    </row>
    <row r="228" spans="1:12">
      <c r="A228" s="60" t="str">
        <f t="shared" si="10"/>
        <v/>
      </c>
      <c r="B228" s="60" t="str">
        <f t="shared" si="11"/>
        <v/>
      </c>
      <c r="C228" s="17"/>
      <c r="D228" s="17"/>
      <c r="E228" s="17"/>
      <c r="F228" s="17"/>
      <c r="G228" s="17"/>
      <c r="H228" s="23"/>
      <c r="I228" s="17"/>
      <c r="J228" s="17"/>
      <c r="K228" s="17"/>
      <c r="L228" s="17"/>
    </row>
    <row r="1048559" spans="8:8">
      <c r="H1048559" s="2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321"/>
  <sheetViews>
    <sheetView showGridLines="0" zoomScaleNormal="100" workbookViewId="0"/>
  </sheetViews>
  <sheetFormatPr defaultColWidth="0" defaultRowHeight="0" customHeight="1" zeroHeight="1"/>
  <cols>
    <col min="1" max="2" width="2" style="2" customWidth="1"/>
    <col min="3" max="12" width="28.36328125" style="2" customWidth="1"/>
    <col min="13" max="13" width="3.6328125" style="2" customWidth="1"/>
    <col min="14" max="14" width="13.90625" style="2" hidden="1" customWidth="1"/>
    <col min="15" max="15" width="12.08984375" style="2" hidden="1" customWidth="1"/>
    <col min="16" max="40" width="0" style="2" hidden="1" customWidth="1"/>
    <col min="41" max="16384" width="9.08984375" style="2" hidden="1"/>
  </cols>
  <sheetData>
    <row r="1" spans="1:30" ht="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4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4.5" thickBot="1">
      <c r="A6" s="30"/>
      <c r="B6" s="30"/>
      <c r="C6" s="31" t="s">
        <v>71</v>
      </c>
      <c r="D6" s="31"/>
      <c r="E6" s="32"/>
      <c r="F6" s="32"/>
      <c r="G6" s="32"/>
      <c r="H6" s="32"/>
      <c r="I6" s="32"/>
      <c r="J6" s="32"/>
      <c r="K6" s="32"/>
      <c r="L6" s="32"/>
      <c r="M6" s="3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4"/>
    <row r="8" spans="1:30" ht="14">
      <c r="C8" s="18" t="s">
        <v>0</v>
      </c>
      <c r="D8" s="18" t="s">
        <v>3</v>
      </c>
      <c r="E8" s="18" t="s">
        <v>47</v>
      </c>
      <c r="F8" s="18" t="s">
        <v>2</v>
      </c>
      <c r="G8" s="18" t="s">
        <v>6</v>
      </c>
      <c r="H8" s="18" t="s">
        <v>42</v>
      </c>
      <c r="I8" s="18" t="s">
        <v>50</v>
      </c>
      <c r="J8" s="18" t="s">
        <v>51</v>
      </c>
      <c r="K8" s="18" t="s">
        <v>45</v>
      </c>
      <c r="L8" s="18" t="s">
        <v>44</v>
      </c>
      <c r="M8" s="4"/>
      <c r="N8" s="4"/>
    </row>
    <row r="9" spans="1:30" ht="14">
      <c r="A9" s="60" t="str">
        <f t="shared" ref="A9:A68" si="0">+C9&amp;G9&amp;H9</f>
        <v/>
      </c>
      <c r="B9" s="60"/>
      <c r="C9" s="17"/>
      <c r="D9" s="17"/>
      <c r="E9" s="17"/>
      <c r="F9" s="17"/>
      <c r="G9" s="17"/>
      <c r="H9" s="23"/>
      <c r="I9" s="17"/>
      <c r="J9" s="17"/>
      <c r="K9" s="17"/>
      <c r="L9" s="17"/>
      <c r="M9" s="5"/>
    </row>
    <row r="10" spans="1:30" ht="14">
      <c r="A10" s="60" t="str">
        <f t="shared" si="0"/>
        <v/>
      </c>
      <c r="B10" s="60"/>
      <c r="C10" s="17"/>
      <c r="D10" s="17"/>
      <c r="E10" s="17"/>
      <c r="F10" s="17"/>
      <c r="G10" s="17"/>
      <c r="H10" s="23"/>
      <c r="I10" s="17"/>
      <c r="J10" s="17"/>
      <c r="K10" s="17"/>
      <c r="L10" s="17"/>
      <c r="M10" s="5"/>
    </row>
    <row r="11" spans="1:30" ht="14">
      <c r="A11" s="60" t="str">
        <f t="shared" ref="A11" si="1">+C11&amp;G11&amp;H11</f>
        <v/>
      </c>
      <c r="B11" s="60"/>
      <c r="C11" s="17"/>
      <c r="D11" s="17"/>
      <c r="E11" s="17"/>
      <c r="F11" s="17"/>
      <c r="G11" s="17"/>
      <c r="H11" s="23"/>
      <c r="I11" s="17"/>
      <c r="J11" s="17"/>
      <c r="K11" s="17"/>
      <c r="L11" s="17"/>
      <c r="M11" s="5"/>
    </row>
    <row r="12" spans="1:30" ht="14">
      <c r="A12" s="60" t="str">
        <f t="shared" si="0"/>
        <v/>
      </c>
      <c r="B12" s="60"/>
      <c r="C12" s="17"/>
      <c r="D12" s="17"/>
      <c r="E12" s="17"/>
      <c r="F12" s="17"/>
      <c r="G12" s="17"/>
      <c r="H12" s="23"/>
      <c r="I12" s="17"/>
      <c r="J12" s="17"/>
      <c r="K12" s="17"/>
      <c r="L12" s="17"/>
      <c r="M12" s="5"/>
    </row>
    <row r="13" spans="1:30" ht="14">
      <c r="A13" s="60" t="str">
        <f t="shared" si="0"/>
        <v/>
      </c>
      <c r="B13" s="60"/>
      <c r="C13" s="17"/>
      <c r="D13" s="17"/>
      <c r="E13" s="17"/>
      <c r="F13" s="17"/>
      <c r="G13" s="17"/>
      <c r="H13" s="23"/>
      <c r="I13" s="17"/>
      <c r="J13" s="17"/>
      <c r="K13" s="17"/>
      <c r="L13" s="17"/>
      <c r="M13" s="5"/>
    </row>
    <row r="14" spans="1:30" ht="14">
      <c r="A14" s="60" t="str">
        <f t="shared" si="0"/>
        <v/>
      </c>
      <c r="B14" s="60"/>
      <c r="C14" s="17"/>
      <c r="D14" s="17"/>
      <c r="E14" s="17"/>
      <c r="F14" s="17"/>
      <c r="G14" s="17"/>
      <c r="H14" s="23"/>
      <c r="I14" s="17"/>
      <c r="J14" s="17"/>
      <c r="K14" s="17"/>
      <c r="L14" s="17"/>
      <c r="M14" s="5"/>
    </row>
    <row r="15" spans="1:30" s="17" customFormat="1" ht="14">
      <c r="A15" s="60" t="str">
        <f t="shared" si="0"/>
        <v/>
      </c>
      <c r="B15" s="60"/>
      <c r="H15" s="23"/>
      <c r="M15" s="5"/>
    </row>
    <row r="16" spans="1:30" ht="14">
      <c r="A16" s="60" t="str">
        <f t="shared" si="0"/>
        <v/>
      </c>
      <c r="B16" s="60"/>
      <c r="C16" s="17"/>
      <c r="D16" s="17"/>
      <c r="E16" s="17"/>
      <c r="F16" s="17"/>
      <c r="G16" s="17"/>
      <c r="H16" s="23"/>
      <c r="I16" s="17"/>
      <c r="J16" s="17"/>
      <c r="K16" s="17"/>
      <c r="L16" s="23"/>
      <c r="M16" s="5"/>
    </row>
    <row r="17" spans="1:13" ht="14">
      <c r="A17" s="60" t="str">
        <f t="shared" si="0"/>
        <v/>
      </c>
      <c r="B17" s="60"/>
      <c r="C17" s="17"/>
      <c r="D17" s="17"/>
      <c r="E17" s="17"/>
      <c r="F17" s="17"/>
      <c r="G17" s="17"/>
      <c r="H17" s="23"/>
      <c r="I17" s="17"/>
      <c r="J17" s="17"/>
      <c r="K17" s="17"/>
      <c r="L17" s="23"/>
      <c r="M17" s="5"/>
    </row>
    <row r="18" spans="1:13" ht="14">
      <c r="A18" s="60" t="str">
        <f t="shared" si="0"/>
        <v/>
      </c>
      <c r="B18" s="60"/>
      <c r="C18" s="17"/>
      <c r="D18" s="17"/>
      <c r="E18" s="17"/>
      <c r="F18" s="17"/>
      <c r="G18" s="17"/>
      <c r="H18" s="23"/>
      <c r="I18" s="17"/>
      <c r="J18" s="17"/>
      <c r="K18" s="17"/>
      <c r="L18" s="23"/>
      <c r="M18" s="5"/>
    </row>
    <row r="19" spans="1:13" ht="14">
      <c r="A19" s="60" t="str">
        <f t="shared" si="0"/>
        <v/>
      </c>
      <c r="B19" s="60"/>
      <c r="C19" s="17"/>
      <c r="D19" s="17"/>
      <c r="E19" s="17"/>
      <c r="F19" s="17"/>
      <c r="G19" s="17"/>
      <c r="H19" s="23"/>
      <c r="I19" s="17"/>
      <c r="J19" s="17"/>
      <c r="K19" s="17"/>
      <c r="L19" s="23"/>
      <c r="M19" s="5"/>
    </row>
    <row r="20" spans="1:13" ht="14">
      <c r="A20" s="60" t="str">
        <f t="shared" si="0"/>
        <v/>
      </c>
      <c r="B20" s="60"/>
      <c r="C20" s="17"/>
      <c r="D20" s="17"/>
      <c r="E20" s="17"/>
      <c r="F20" s="17"/>
      <c r="G20" s="17"/>
      <c r="H20" s="23"/>
      <c r="I20" s="17"/>
      <c r="J20" s="17"/>
      <c r="K20" s="17"/>
      <c r="L20" s="23"/>
      <c r="M20" s="5"/>
    </row>
    <row r="21" spans="1:13" ht="14">
      <c r="A21" s="60" t="str">
        <f t="shared" si="0"/>
        <v/>
      </c>
      <c r="B21" s="60"/>
      <c r="C21" s="17"/>
      <c r="D21" s="17"/>
      <c r="E21" s="17"/>
      <c r="F21" s="17"/>
      <c r="G21" s="17"/>
      <c r="H21" s="23"/>
      <c r="I21" s="17"/>
      <c r="J21" s="17"/>
      <c r="K21" s="17"/>
      <c r="L21" s="23"/>
      <c r="M21" s="5"/>
    </row>
    <row r="22" spans="1:13" ht="14">
      <c r="A22" s="60" t="str">
        <f t="shared" si="0"/>
        <v/>
      </c>
      <c r="B22" s="60"/>
      <c r="C22" s="17"/>
      <c r="D22" s="17"/>
      <c r="E22" s="17"/>
      <c r="F22" s="17"/>
      <c r="G22" s="17"/>
      <c r="H22" s="23"/>
      <c r="I22" s="17"/>
      <c r="J22" s="17"/>
      <c r="K22" s="17"/>
      <c r="L22" s="23"/>
      <c r="M22" s="5"/>
    </row>
    <row r="23" spans="1:13" ht="14">
      <c r="A23" s="60" t="str">
        <f t="shared" si="0"/>
        <v/>
      </c>
      <c r="B23" s="60"/>
      <c r="C23" s="17"/>
      <c r="D23" s="17"/>
      <c r="E23" s="17"/>
      <c r="F23" s="17"/>
      <c r="G23" s="17"/>
      <c r="H23" s="23"/>
      <c r="I23" s="17"/>
      <c r="J23" s="17"/>
      <c r="K23" s="17"/>
      <c r="L23" s="23"/>
      <c r="M23" s="5"/>
    </row>
    <row r="24" spans="1:13" ht="14">
      <c r="A24" s="60" t="str">
        <f t="shared" si="0"/>
        <v/>
      </c>
      <c r="B24" s="60"/>
      <c r="C24" s="17"/>
      <c r="D24" s="17"/>
      <c r="E24" s="17"/>
      <c r="F24" s="17"/>
      <c r="G24" s="17"/>
      <c r="H24" s="23"/>
      <c r="I24" s="17"/>
      <c r="J24" s="17"/>
      <c r="K24" s="17"/>
      <c r="L24" s="23"/>
      <c r="M24" s="5"/>
    </row>
    <row r="25" spans="1:13" ht="14">
      <c r="A25" s="60" t="str">
        <f t="shared" si="0"/>
        <v/>
      </c>
      <c r="B25" s="60"/>
      <c r="C25" s="17"/>
      <c r="D25" s="17"/>
      <c r="E25" s="17"/>
      <c r="F25" s="17"/>
      <c r="G25" s="17"/>
      <c r="H25" s="23"/>
      <c r="I25" s="17"/>
      <c r="J25" s="17"/>
      <c r="K25" s="17"/>
      <c r="L25" s="23"/>
      <c r="M25" s="5"/>
    </row>
    <row r="26" spans="1:13" ht="14">
      <c r="A26" s="60" t="str">
        <f t="shared" si="0"/>
        <v/>
      </c>
      <c r="B26" s="60"/>
      <c r="C26" s="17"/>
      <c r="D26" s="17"/>
      <c r="E26" s="17"/>
      <c r="F26" s="17"/>
      <c r="G26" s="17"/>
      <c r="H26" s="23"/>
      <c r="I26" s="17"/>
      <c r="J26" s="17"/>
      <c r="K26" s="17"/>
      <c r="L26" s="23"/>
      <c r="M26" s="5"/>
    </row>
    <row r="27" spans="1:13" ht="14">
      <c r="A27" s="60" t="str">
        <f t="shared" si="0"/>
        <v/>
      </c>
      <c r="B27" s="60"/>
      <c r="C27" s="17"/>
      <c r="D27" s="17"/>
      <c r="E27" s="17"/>
      <c r="F27" s="17"/>
      <c r="G27" s="17"/>
      <c r="H27" s="23"/>
      <c r="I27" s="17"/>
      <c r="J27" s="17"/>
      <c r="K27" s="17"/>
      <c r="L27" s="23"/>
      <c r="M27" s="5"/>
    </row>
    <row r="28" spans="1:13" ht="14">
      <c r="A28" s="60" t="str">
        <f t="shared" si="0"/>
        <v/>
      </c>
      <c r="B28" s="60"/>
      <c r="C28" s="17"/>
      <c r="D28" s="17"/>
      <c r="E28" s="17"/>
      <c r="F28" s="17"/>
      <c r="G28" s="17"/>
      <c r="H28" s="23"/>
      <c r="I28" s="17"/>
      <c r="J28" s="17"/>
      <c r="K28" s="17"/>
      <c r="L28" s="23"/>
      <c r="M28" s="5"/>
    </row>
    <row r="29" spans="1:13" ht="14">
      <c r="A29" s="60" t="str">
        <f t="shared" si="0"/>
        <v/>
      </c>
      <c r="B29" s="60"/>
      <c r="C29" s="17"/>
      <c r="D29" s="17"/>
      <c r="E29" s="17"/>
      <c r="F29" s="17"/>
      <c r="G29" s="17"/>
      <c r="H29" s="23"/>
      <c r="I29" s="17"/>
      <c r="J29" s="17"/>
      <c r="K29" s="17"/>
      <c r="L29" s="23"/>
      <c r="M29" s="5"/>
    </row>
    <row r="30" spans="1:13" ht="14">
      <c r="A30" s="60" t="str">
        <f t="shared" si="0"/>
        <v/>
      </c>
      <c r="B30" s="60"/>
      <c r="C30" s="17"/>
      <c r="D30" s="17"/>
      <c r="E30" s="17"/>
      <c r="F30" s="17"/>
      <c r="G30" s="17"/>
      <c r="H30" s="23"/>
      <c r="I30" s="17"/>
      <c r="J30" s="17"/>
      <c r="K30" s="17"/>
      <c r="L30" s="23"/>
      <c r="M30" s="5"/>
    </row>
    <row r="31" spans="1:13" ht="14">
      <c r="A31" s="60" t="str">
        <f t="shared" si="0"/>
        <v/>
      </c>
      <c r="B31" s="60"/>
      <c r="C31" s="17"/>
      <c r="D31" s="17"/>
      <c r="E31" s="17"/>
      <c r="F31" s="17"/>
      <c r="G31" s="17"/>
      <c r="H31" s="23"/>
      <c r="I31" s="17"/>
      <c r="J31" s="17"/>
      <c r="K31" s="17"/>
      <c r="L31" s="23"/>
      <c r="M31" s="5"/>
    </row>
    <row r="32" spans="1:13" ht="14">
      <c r="A32" s="60" t="str">
        <f t="shared" si="0"/>
        <v/>
      </c>
      <c r="B32" s="60"/>
      <c r="C32" s="17"/>
      <c r="D32" s="17"/>
      <c r="E32" s="17"/>
      <c r="F32" s="17"/>
      <c r="G32" s="17"/>
      <c r="H32" s="23"/>
      <c r="I32" s="17"/>
      <c r="J32" s="17"/>
      <c r="K32" s="17"/>
      <c r="L32" s="23"/>
      <c r="M32" s="5"/>
    </row>
    <row r="33" spans="1:13" ht="14">
      <c r="A33" s="60" t="str">
        <f t="shared" si="0"/>
        <v/>
      </c>
      <c r="B33" s="60"/>
      <c r="C33" s="17"/>
      <c r="D33" s="17"/>
      <c r="E33" s="17"/>
      <c r="F33" s="17"/>
      <c r="G33" s="17"/>
      <c r="H33" s="23"/>
      <c r="I33" s="17"/>
      <c r="J33" s="17"/>
      <c r="K33" s="17"/>
      <c r="L33" s="17"/>
      <c r="M33" s="5"/>
    </row>
    <row r="34" spans="1:13" ht="14">
      <c r="A34" s="60" t="str">
        <f t="shared" si="0"/>
        <v/>
      </c>
      <c r="B34" s="60"/>
      <c r="C34" s="17"/>
      <c r="D34" s="17"/>
      <c r="E34" s="17"/>
      <c r="F34" s="17"/>
      <c r="G34" s="17"/>
      <c r="H34" s="23"/>
      <c r="I34" s="17"/>
      <c r="J34" s="17"/>
      <c r="K34" s="17"/>
      <c r="L34" s="17"/>
      <c r="M34" s="5"/>
    </row>
    <row r="35" spans="1:13" ht="14">
      <c r="A35" s="60" t="str">
        <f t="shared" si="0"/>
        <v/>
      </c>
      <c r="B35" s="60"/>
      <c r="C35" s="17"/>
      <c r="D35" s="17"/>
      <c r="E35" s="17"/>
      <c r="F35" s="17"/>
      <c r="G35" s="17"/>
      <c r="H35" s="23"/>
      <c r="I35" s="17"/>
      <c r="J35" s="17"/>
      <c r="K35" s="17"/>
      <c r="L35" s="17"/>
      <c r="M35" s="5"/>
    </row>
    <row r="36" spans="1:13" ht="14">
      <c r="A36" s="60" t="str">
        <f t="shared" si="0"/>
        <v/>
      </c>
      <c r="B36" s="60"/>
      <c r="C36" s="17"/>
      <c r="D36" s="17"/>
      <c r="E36" s="17"/>
      <c r="F36" s="17"/>
      <c r="G36" s="17"/>
      <c r="H36" s="23"/>
      <c r="I36" s="17"/>
      <c r="J36" s="17"/>
      <c r="K36" s="17"/>
      <c r="L36" s="17"/>
      <c r="M36" s="5"/>
    </row>
    <row r="37" spans="1:13" ht="14">
      <c r="A37" s="60" t="str">
        <f t="shared" si="0"/>
        <v/>
      </c>
      <c r="B37" s="60"/>
      <c r="C37" s="17"/>
      <c r="D37" s="17"/>
      <c r="E37" s="17"/>
      <c r="F37" s="17"/>
      <c r="G37" s="17"/>
      <c r="H37" s="23"/>
      <c r="I37" s="17"/>
      <c r="J37" s="17"/>
      <c r="K37" s="17"/>
      <c r="L37" s="17"/>
      <c r="M37" s="5"/>
    </row>
    <row r="38" spans="1:13" ht="14">
      <c r="A38" s="60" t="str">
        <f t="shared" si="0"/>
        <v/>
      </c>
      <c r="B38" s="60"/>
      <c r="C38" s="17"/>
      <c r="D38" s="17"/>
      <c r="E38" s="17"/>
      <c r="F38" s="17"/>
      <c r="G38" s="17"/>
      <c r="H38" s="23"/>
      <c r="I38" s="17"/>
      <c r="J38" s="17"/>
      <c r="K38" s="17"/>
      <c r="L38" s="17"/>
      <c r="M38" s="5"/>
    </row>
    <row r="39" spans="1:13" ht="14">
      <c r="A39" s="60" t="str">
        <f t="shared" si="0"/>
        <v/>
      </c>
      <c r="B39" s="60"/>
      <c r="C39" s="17"/>
      <c r="D39" s="17"/>
      <c r="E39" s="17"/>
      <c r="F39" s="17"/>
      <c r="G39" s="17"/>
      <c r="H39" s="23"/>
      <c r="I39" s="17"/>
      <c r="J39" s="17"/>
      <c r="K39" s="17"/>
      <c r="L39" s="17"/>
      <c r="M39" s="5"/>
    </row>
    <row r="40" spans="1:13" ht="14">
      <c r="A40" s="60" t="str">
        <f t="shared" si="0"/>
        <v/>
      </c>
      <c r="B40" s="60"/>
      <c r="C40" s="17"/>
      <c r="D40" s="17"/>
      <c r="E40" s="17"/>
      <c r="F40" s="17"/>
      <c r="G40" s="17"/>
      <c r="H40" s="23"/>
      <c r="I40" s="17"/>
      <c r="J40" s="17"/>
      <c r="K40" s="17"/>
      <c r="L40" s="17"/>
      <c r="M40" s="5"/>
    </row>
    <row r="41" spans="1:13" ht="14">
      <c r="A41" s="60" t="str">
        <f t="shared" si="0"/>
        <v/>
      </c>
      <c r="B41" s="60"/>
      <c r="C41" s="17"/>
      <c r="D41" s="17"/>
      <c r="E41" s="17"/>
      <c r="F41" s="17"/>
      <c r="G41" s="17"/>
      <c r="H41" s="23"/>
      <c r="I41" s="17"/>
      <c r="J41" s="17"/>
      <c r="K41" s="17"/>
      <c r="L41" s="17"/>
      <c r="M41" s="5"/>
    </row>
    <row r="42" spans="1:13" ht="14">
      <c r="A42" s="60" t="str">
        <f t="shared" si="0"/>
        <v/>
      </c>
      <c r="B42" s="60"/>
      <c r="C42" s="17"/>
      <c r="D42" s="17"/>
      <c r="E42" s="17"/>
      <c r="F42" s="17"/>
      <c r="G42" s="17"/>
      <c r="H42" s="23"/>
      <c r="I42" s="17"/>
      <c r="J42" s="17"/>
      <c r="K42" s="17"/>
      <c r="L42" s="17"/>
      <c r="M42" s="5"/>
    </row>
    <row r="43" spans="1:13" ht="14">
      <c r="A43" s="60" t="str">
        <f t="shared" si="0"/>
        <v/>
      </c>
      <c r="B43" s="60"/>
      <c r="C43" s="17"/>
      <c r="D43" s="17"/>
      <c r="E43" s="17"/>
      <c r="F43" s="17"/>
      <c r="G43" s="17"/>
      <c r="H43" s="23"/>
      <c r="I43" s="17"/>
      <c r="J43" s="17"/>
      <c r="K43" s="17"/>
      <c r="L43" s="17"/>
      <c r="M43" s="5"/>
    </row>
    <row r="44" spans="1:13" ht="14">
      <c r="A44" s="60" t="str">
        <f t="shared" si="0"/>
        <v/>
      </c>
      <c r="B44" s="60"/>
      <c r="C44" s="17"/>
      <c r="D44" s="17"/>
      <c r="E44" s="17"/>
      <c r="F44" s="17"/>
      <c r="G44" s="17"/>
      <c r="H44" s="23"/>
      <c r="I44" s="17"/>
      <c r="J44" s="17"/>
      <c r="K44" s="17"/>
      <c r="L44" s="17"/>
      <c r="M44" s="5"/>
    </row>
    <row r="45" spans="1:13" ht="14">
      <c r="A45" s="60" t="str">
        <f t="shared" si="0"/>
        <v/>
      </c>
      <c r="B45" s="60"/>
      <c r="C45" s="17"/>
      <c r="D45" s="17"/>
      <c r="E45" s="17"/>
      <c r="F45" s="17"/>
      <c r="G45" s="17"/>
      <c r="H45" s="23"/>
      <c r="I45" s="17"/>
      <c r="J45" s="17"/>
      <c r="K45" s="17"/>
      <c r="L45" s="17"/>
      <c r="M45" s="5"/>
    </row>
    <row r="46" spans="1:13" ht="14">
      <c r="A46" s="60" t="str">
        <f t="shared" si="0"/>
        <v/>
      </c>
      <c r="B46" s="60"/>
      <c r="C46" s="17"/>
      <c r="D46" s="17"/>
      <c r="E46" s="17"/>
      <c r="F46" s="17"/>
      <c r="G46" s="17"/>
      <c r="H46" s="23"/>
      <c r="I46" s="17"/>
      <c r="J46" s="17"/>
      <c r="K46" s="17"/>
      <c r="L46" s="17"/>
      <c r="M46" s="5"/>
    </row>
    <row r="47" spans="1:13" ht="14">
      <c r="A47" s="60" t="str">
        <f t="shared" si="0"/>
        <v/>
      </c>
      <c r="B47" s="60"/>
      <c r="C47" s="17"/>
      <c r="D47" s="17"/>
      <c r="E47" s="17"/>
      <c r="F47" s="17"/>
      <c r="G47" s="17"/>
      <c r="H47" s="23"/>
      <c r="I47" s="17"/>
      <c r="J47" s="17"/>
      <c r="K47" s="17"/>
      <c r="L47" s="17"/>
      <c r="M47" s="5"/>
    </row>
    <row r="48" spans="1:13" ht="14">
      <c r="A48" s="60" t="str">
        <f t="shared" si="0"/>
        <v/>
      </c>
      <c r="B48" s="60"/>
      <c r="C48" s="17"/>
      <c r="D48" s="17"/>
      <c r="E48" s="17"/>
      <c r="F48" s="17"/>
      <c r="G48" s="17"/>
      <c r="H48" s="23"/>
      <c r="I48" s="17"/>
      <c r="J48" s="17"/>
      <c r="K48" s="17"/>
      <c r="L48" s="17"/>
      <c r="M48" s="5"/>
    </row>
    <row r="49" spans="1:13" ht="14">
      <c r="A49" s="60" t="str">
        <f t="shared" si="0"/>
        <v/>
      </c>
      <c r="B49" s="60"/>
      <c r="C49" s="17"/>
      <c r="D49" s="17"/>
      <c r="E49" s="17"/>
      <c r="F49" s="17"/>
      <c r="G49" s="17"/>
      <c r="H49" s="23"/>
      <c r="I49" s="17"/>
      <c r="J49" s="17"/>
      <c r="K49" s="17"/>
      <c r="L49" s="17"/>
      <c r="M49" s="5"/>
    </row>
    <row r="50" spans="1:13" ht="14">
      <c r="A50" s="60" t="str">
        <f t="shared" si="0"/>
        <v/>
      </c>
      <c r="B50" s="60"/>
      <c r="C50" s="17"/>
      <c r="D50" s="17"/>
      <c r="E50" s="17"/>
      <c r="F50" s="17"/>
      <c r="G50" s="17"/>
      <c r="H50" s="23"/>
      <c r="I50" s="17"/>
      <c r="J50" s="17"/>
      <c r="K50" s="17"/>
      <c r="L50" s="23"/>
      <c r="M50" s="5"/>
    </row>
    <row r="51" spans="1:13" ht="14">
      <c r="A51" s="60" t="str">
        <f t="shared" si="0"/>
        <v/>
      </c>
      <c r="B51" s="60"/>
      <c r="C51" s="17"/>
      <c r="D51" s="17"/>
      <c r="E51" s="17"/>
      <c r="F51" s="17"/>
      <c r="G51" s="17"/>
      <c r="H51" s="23"/>
      <c r="I51" s="17"/>
      <c r="J51" s="17"/>
      <c r="K51" s="17"/>
      <c r="L51" s="23"/>
      <c r="M51" s="5"/>
    </row>
    <row r="52" spans="1:13" ht="14">
      <c r="A52" s="60" t="str">
        <f t="shared" si="0"/>
        <v/>
      </c>
      <c r="B52" s="60"/>
      <c r="C52" s="17"/>
      <c r="D52" s="17"/>
      <c r="E52" s="17"/>
      <c r="F52" s="17"/>
      <c r="G52" s="17"/>
      <c r="H52" s="23"/>
      <c r="I52" s="17"/>
      <c r="J52" s="17"/>
      <c r="K52" s="17"/>
      <c r="L52" s="23"/>
      <c r="M52" s="5"/>
    </row>
    <row r="53" spans="1:13" ht="14">
      <c r="A53" s="60" t="str">
        <f t="shared" si="0"/>
        <v/>
      </c>
      <c r="B53" s="60"/>
      <c r="C53" s="17"/>
      <c r="D53" s="17"/>
      <c r="E53" s="17"/>
      <c r="F53" s="17"/>
      <c r="G53" s="17"/>
      <c r="H53" s="23"/>
      <c r="I53" s="17"/>
      <c r="J53" s="17"/>
      <c r="K53" s="17"/>
      <c r="L53" s="23"/>
      <c r="M53" s="5"/>
    </row>
    <row r="54" spans="1:13" ht="14">
      <c r="A54" s="60" t="str">
        <f t="shared" si="0"/>
        <v/>
      </c>
      <c r="B54" s="60"/>
      <c r="C54" s="17"/>
      <c r="D54" s="17"/>
      <c r="E54" s="17"/>
      <c r="F54" s="17"/>
      <c r="G54" s="17"/>
      <c r="H54" s="23"/>
      <c r="I54" s="17"/>
      <c r="J54" s="17"/>
      <c r="K54" s="17"/>
      <c r="L54" s="23"/>
      <c r="M54" s="5"/>
    </row>
    <row r="55" spans="1:13" ht="14">
      <c r="A55" s="60" t="str">
        <f t="shared" si="0"/>
        <v/>
      </c>
      <c r="B55" s="60"/>
      <c r="C55" s="17"/>
      <c r="D55" s="17"/>
      <c r="E55" s="17"/>
      <c r="F55" s="17"/>
      <c r="G55" s="17"/>
      <c r="H55" s="23"/>
      <c r="I55" s="17"/>
      <c r="J55" s="17"/>
      <c r="K55" s="17"/>
      <c r="L55" s="23"/>
      <c r="M55" s="5"/>
    </row>
    <row r="56" spans="1:13" ht="14">
      <c r="A56" s="60" t="str">
        <f t="shared" si="0"/>
        <v/>
      </c>
      <c r="B56" s="60"/>
      <c r="C56" s="17"/>
      <c r="D56" s="17"/>
      <c r="E56" s="17"/>
      <c r="F56" s="17"/>
      <c r="G56" s="17"/>
      <c r="H56" s="23"/>
      <c r="I56" s="17"/>
      <c r="J56" s="17"/>
      <c r="K56" s="17"/>
      <c r="L56" s="23"/>
      <c r="M56" s="5"/>
    </row>
    <row r="57" spans="1:13" ht="14">
      <c r="A57" s="60" t="str">
        <f t="shared" si="0"/>
        <v/>
      </c>
      <c r="B57" s="60"/>
      <c r="C57" s="17"/>
      <c r="D57" s="17"/>
      <c r="E57" s="17"/>
      <c r="F57" s="17"/>
      <c r="G57" s="17"/>
      <c r="H57" s="23"/>
      <c r="I57" s="17"/>
      <c r="J57" s="17"/>
      <c r="K57" s="17"/>
      <c r="L57" s="23"/>
      <c r="M57" s="5"/>
    </row>
    <row r="58" spans="1:13" ht="14">
      <c r="A58" s="60" t="str">
        <f t="shared" si="0"/>
        <v/>
      </c>
      <c r="B58" s="60"/>
      <c r="C58" s="17"/>
      <c r="D58" s="17"/>
      <c r="E58" s="17"/>
      <c r="F58" s="17"/>
      <c r="G58" s="17"/>
      <c r="H58" s="23"/>
      <c r="I58" s="17"/>
      <c r="J58" s="17"/>
      <c r="K58" s="17"/>
      <c r="L58" s="23"/>
      <c r="M58" s="5"/>
    </row>
    <row r="59" spans="1:13" ht="14">
      <c r="A59" s="60" t="str">
        <f t="shared" si="0"/>
        <v/>
      </c>
      <c r="B59" s="60"/>
      <c r="C59" s="17"/>
      <c r="D59" s="17"/>
      <c r="E59" s="17"/>
      <c r="F59" s="17"/>
      <c r="G59" s="17"/>
      <c r="H59" s="23"/>
      <c r="I59" s="17"/>
      <c r="J59" s="17"/>
      <c r="K59" s="17"/>
      <c r="L59" s="23"/>
      <c r="M59" s="5"/>
    </row>
    <row r="60" spans="1:13" ht="14">
      <c r="A60" s="60" t="str">
        <f t="shared" si="0"/>
        <v/>
      </c>
      <c r="B60" s="60"/>
      <c r="C60" s="17"/>
      <c r="D60" s="17"/>
      <c r="E60" s="17"/>
      <c r="F60" s="17"/>
      <c r="G60" s="17"/>
      <c r="H60" s="23"/>
      <c r="I60" s="17"/>
      <c r="J60" s="17"/>
      <c r="K60" s="17"/>
      <c r="L60" s="23"/>
      <c r="M60" s="5"/>
    </row>
    <row r="61" spans="1:13" ht="14">
      <c r="A61" s="60" t="str">
        <f t="shared" si="0"/>
        <v/>
      </c>
      <c r="B61" s="60"/>
      <c r="C61" s="17"/>
      <c r="D61" s="17"/>
      <c r="E61" s="17"/>
      <c r="F61" s="17"/>
      <c r="G61" s="17"/>
      <c r="H61" s="23"/>
      <c r="I61" s="17"/>
      <c r="J61" s="17"/>
      <c r="K61" s="17"/>
      <c r="L61" s="23"/>
      <c r="M61" s="5"/>
    </row>
    <row r="62" spans="1:13" ht="14">
      <c r="A62" s="60" t="str">
        <f t="shared" si="0"/>
        <v/>
      </c>
      <c r="B62" s="60"/>
      <c r="C62" s="17"/>
      <c r="D62" s="17"/>
      <c r="E62" s="17"/>
      <c r="F62" s="17"/>
      <c r="G62" s="17"/>
      <c r="H62" s="23"/>
      <c r="I62" s="17"/>
      <c r="J62" s="17"/>
      <c r="K62" s="17"/>
      <c r="L62" s="23"/>
      <c r="M62" s="5"/>
    </row>
    <row r="63" spans="1:13" ht="14">
      <c r="A63" s="60" t="str">
        <f t="shared" si="0"/>
        <v/>
      </c>
      <c r="B63" s="60"/>
      <c r="C63" s="17"/>
      <c r="D63" s="17"/>
      <c r="E63" s="17"/>
      <c r="F63" s="17"/>
      <c r="G63" s="17"/>
      <c r="H63" s="23"/>
      <c r="I63" s="17"/>
      <c r="J63" s="17"/>
      <c r="K63" s="17"/>
      <c r="L63" s="23"/>
      <c r="M63" s="5"/>
    </row>
    <row r="64" spans="1:13" ht="14">
      <c r="A64" s="60" t="str">
        <f t="shared" si="0"/>
        <v/>
      </c>
      <c r="B64" s="60"/>
      <c r="C64" s="17"/>
      <c r="D64" s="17"/>
      <c r="E64" s="17"/>
      <c r="F64" s="17"/>
      <c r="G64" s="17"/>
      <c r="H64" s="23"/>
      <c r="I64" s="17"/>
      <c r="J64" s="17"/>
      <c r="K64" s="17"/>
      <c r="L64" s="23"/>
      <c r="M64" s="5"/>
    </row>
    <row r="65" spans="1:13" ht="14">
      <c r="A65" s="60" t="str">
        <f t="shared" si="0"/>
        <v/>
      </c>
      <c r="B65" s="60"/>
      <c r="C65" s="17"/>
      <c r="D65" s="17"/>
      <c r="E65" s="17"/>
      <c r="F65" s="17"/>
      <c r="G65" s="17"/>
      <c r="H65" s="23"/>
      <c r="I65" s="17"/>
      <c r="J65" s="17"/>
      <c r="K65" s="17"/>
      <c r="L65" s="23"/>
      <c r="M65" s="5"/>
    </row>
    <row r="66" spans="1:13" ht="14">
      <c r="A66" s="60" t="str">
        <f t="shared" si="0"/>
        <v/>
      </c>
      <c r="B66" s="60"/>
      <c r="C66" s="17"/>
      <c r="D66" s="17"/>
      <c r="E66" s="17"/>
      <c r="F66" s="17"/>
      <c r="G66" s="17"/>
      <c r="H66" s="23"/>
      <c r="I66" s="17"/>
      <c r="J66" s="17"/>
      <c r="K66" s="17"/>
      <c r="L66" s="23"/>
      <c r="M66" s="5"/>
    </row>
    <row r="67" spans="1:13" ht="14">
      <c r="A67" s="60" t="str">
        <f t="shared" si="0"/>
        <v/>
      </c>
      <c r="B67" s="60"/>
      <c r="C67" s="17"/>
      <c r="D67" s="17"/>
      <c r="E67" s="17"/>
      <c r="F67" s="17"/>
      <c r="G67" s="17"/>
      <c r="H67" s="23"/>
      <c r="I67" s="17"/>
      <c r="J67" s="17"/>
      <c r="K67" s="17"/>
      <c r="L67" s="23"/>
      <c r="M67" s="5"/>
    </row>
    <row r="68" spans="1:13" ht="14">
      <c r="A68" s="60" t="str">
        <f t="shared" si="0"/>
        <v/>
      </c>
      <c r="B68" s="60"/>
      <c r="C68" s="17"/>
      <c r="D68" s="17"/>
      <c r="E68" s="17"/>
      <c r="F68" s="17"/>
      <c r="G68" s="17"/>
      <c r="H68" s="23"/>
      <c r="I68" s="17"/>
      <c r="J68" s="17"/>
      <c r="K68" s="17"/>
      <c r="L68" s="23"/>
      <c r="M68" s="5"/>
    </row>
    <row r="69" spans="1:13" ht="14">
      <c r="A69" s="60" t="str">
        <f t="shared" ref="A69:A96" si="2">+C69&amp;G69&amp;H69</f>
        <v/>
      </c>
      <c r="B69" s="60"/>
      <c r="C69" s="17"/>
      <c r="D69" s="17"/>
      <c r="E69" s="17"/>
      <c r="F69" s="17"/>
      <c r="G69" s="17"/>
      <c r="H69" s="23"/>
      <c r="I69" s="17"/>
      <c r="J69" s="17"/>
      <c r="K69" s="17"/>
      <c r="L69" s="23"/>
      <c r="M69" s="5"/>
    </row>
    <row r="70" spans="1:13" ht="14">
      <c r="A70" s="60" t="str">
        <f t="shared" si="2"/>
        <v/>
      </c>
      <c r="B70" s="60"/>
      <c r="C70" s="17"/>
      <c r="D70" s="17"/>
      <c r="E70" s="17"/>
      <c r="F70" s="17"/>
      <c r="G70" s="17"/>
      <c r="H70" s="23"/>
      <c r="I70" s="17"/>
      <c r="J70" s="17"/>
      <c r="K70" s="17"/>
      <c r="L70" s="23"/>
      <c r="M70" s="5"/>
    </row>
    <row r="71" spans="1:13" ht="14">
      <c r="A71" s="60" t="str">
        <f t="shared" si="2"/>
        <v/>
      </c>
      <c r="B71" s="60"/>
      <c r="C71" s="17"/>
      <c r="D71" s="17"/>
      <c r="E71" s="17"/>
      <c r="F71" s="17"/>
      <c r="G71" s="17"/>
      <c r="H71" s="23"/>
      <c r="I71" s="17"/>
      <c r="J71" s="17"/>
      <c r="K71" s="17"/>
      <c r="L71" s="23"/>
      <c r="M71" s="5"/>
    </row>
    <row r="72" spans="1:13" ht="14">
      <c r="A72" s="60" t="str">
        <f t="shared" si="2"/>
        <v/>
      </c>
      <c r="B72" s="60"/>
      <c r="C72" s="17"/>
      <c r="D72" s="17"/>
      <c r="E72" s="17"/>
      <c r="F72" s="17"/>
      <c r="G72" s="17"/>
      <c r="H72" s="23"/>
      <c r="I72" s="17"/>
      <c r="J72" s="17"/>
      <c r="K72" s="17"/>
      <c r="L72" s="23"/>
      <c r="M72" s="5"/>
    </row>
    <row r="73" spans="1:13" ht="14">
      <c r="A73" s="60" t="str">
        <f t="shared" si="2"/>
        <v/>
      </c>
      <c r="B73" s="60"/>
      <c r="C73" s="17"/>
      <c r="D73" s="17"/>
      <c r="E73" s="17"/>
      <c r="F73" s="17"/>
      <c r="G73" s="17"/>
      <c r="H73" s="23"/>
      <c r="I73" s="17"/>
      <c r="J73" s="17"/>
      <c r="K73" s="17"/>
      <c r="L73" s="23"/>
      <c r="M73" s="5"/>
    </row>
    <row r="74" spans="1:13" ht="14">
      <c r="A74" s="60" t="str">
        <f t="shared" si="2"/>
        <v/>
      </c>
      <c r="B74" s="60"/>
      <c r="C74" s="17"/>
      <c r="D74" s="17"/>
      <c r="E74" s="17"/>
      <c r="F74" s="17"/>
      <c r="G74" s="17"/>
      <c r="H74" s="23"/>
      <c r="I74" s="17"/>
      <c r="J74" s="17"/>
      <c r="K74" s="17"/>
      <c r="L74" s="23"/>
      <c r="M74" s="5"/>
    </row>
    <row r="75" spans="1:13" ht="14">
      <c r="A75" s="60" t="str">
        <f t="shared" si="2"/>
        <v/>
      </c>
      <c r="B75" s="60"/>
      <c r="C75" s="17"/>
      <c r="D75" s="17"/>
      <c r="E75" s="17"/>
      <c r="F75" s="17"/>
      <c r="G75" s="17"/>
      <c r="H75" s="23"/>
      <c r="I75" s="17"/>
      <c r="J75" s="17"/>
      <c r="K75" s="17"/>
      <c r="L75" s="23"/>
      <c r="M75" s="5"/>
    </row>
    <row r="76" spans="1:13" ht="14">
      <c r="A76" s="60" t="str">
        <f t="shared" si="2"/>
        <v/>
      </c>
      <c r="B76" s="60"/>
      <c r="C76" s="17"/>
      <c r="D76" s="17"/>
      <c r="E76" s="17"/>
      <c r="F76" s="17"/>
      <c r="G76" s="17"/>
      <c r="H76" s="23"/>
      <c r="I76" s="17"/>
      <c r="J76" s="17"/>
      <c r="K76" s="17"/>
      <c r="L76" s="23"/>
      <c r="M76" s="5"/>
    </row>
    <row r="77" spans="1:13" ht="14">
      <c r="A77" s="60" t="str">
        <f t="shared" si="2"/>
        <v/>
      </c>
      <c r="B77" s="60"/>
      <c r="C77" s="17"/>
      <c r="D77" s="17"/>
      <c r="E77" s="17"/>
      <c r="F77" s="17"/>
      <c r="G77" s="17"/>
      <c r="H77" s="23"/>
      <c r="I77" s="17"/>
      <c r="J77" s="17"/>
      <c r="K77" s="17"/>
      <c r="L77" s="23"/>
      <c r="M77" s="5"/>
    </row>
    <row r="78" spans="1:13" ht="14">
      <c r="A78" s="60" t="str">
        <f t="shared" si="2"/>
        <v/>
      </c>
      <c r="B78" s="60"/>
      <c r="C78" s="17"/>
      <c r="D78" s="17"/>
      <c r="E78" s="17"/>
      <c r="F78" s="17"/>
      <c r="G78" s="17"/>
      <c r="H78" s="23"/>
      <c r="I78" s="17"/>
      <c r="J78" s="17"/>
      <c r="K78" s="17"/>
      <c r="L78" s="23"/>
      <c r="M78" s="5"/>
    </row>
    <row r="79" spans="1:13" ht="14">
      <c r="A79" s="60" t="str">
        <f t="shared" si="2"/>
        <v/>
      </c>
      <c r="B79" s="60"/>
      <c r="C79" s="17"/>
      <c r="D79" s="17"/>
      <c r="E79" s="17"/>
      <c r="F79" s="17"/>
      <c r="G79" s="17"/>
      <c r="H79" s="23"/>
      <c r="I79" s="17"/>
      <c r="J79" s="17"/>
      <c r="K79" s="17"/>
      <c r="L79" s="23"/>
      <c r="M79" s="5"/>
    </row>
    <row r="80" spans="1:13" ht="14">
      <c r="A80" s="60" t="str">
        <f t="shared" si="2"/>
        <v/>
      </c>
      <c r="B80" s="60"/>
      <c r="C80" s="17"/>
      <c r="D80" s="17"/>
      <c r="E80" s="17"/>
      <c r="F80" s="17"/>
      <c r="G80" s="17"/>
      <c r="H80" s="23"/>
      <c r="I80" s="17"/>
      <c r="J80" s="17"/>
      <c r="K80" s="17"/>
      <c r="L80" s="23"/>
      <c r="M80" s="5"/>
    </row>
    <row r="81" spans="1:13" ht="14">
      <c r="A81" s="60" t="str">
        <f t="shared" si="2"/>
        <v/>
      </c>
      <c r="B81" s="60"/>
      <c r="C81" s="17"/>
      <c r="D81" s="17"/>
      <c r="E81" s="17"/>
      <c r="F81" s="17"/>
      <c r="G81" s="17"/>
      <c r="H81" s="23"/>
      <c r="I81" s="17"/>
      <c r="J81" s="17"/>
      <c r="K81" s="17"/>
      <c r="L81" s="23"/>
      <c r="M81" s="5"/>
    </row>
    <row r="82" spans="1:13" ht="14">
      <c r="A82" s="60" t="str">
        <f t="shared" si="2"/>
        <v/>
      </c>
      <c r="B82" s="60"/>
      <c r="C82" s="17"/>
      <c r="D82" s="17"/>
      <c r="E82" s="17"/>
      <c r="F82" s="17"/>
      <c r="G82" s="17"/>
      <c r="H82" s="23"/>
      <c r="I82" s="17"/>
      <c r="J82" s="17"/>
      <c r="K82" s="17"/>
      <c r="L82" s="23"/>
      <c r="M82" s="5"/>
    </row>
    <row r="83" spans="1:13" ht="14">
      <c r="A83" s="60" t="str">
        <f t="shared" si="2"/>
        <v/>
      </c>
      <c r="B83" s="60"/>
      <c r="C83" s="17"/>
      <c r="D83" s="17"/>
      <c r="E83" s="17"/>
      <c r="F83" s="17"/>
      <c r="G83" s="17"/>
      <c r="H83" s="23"/>
      <c r="I83" s="17"/>
      <c r="J83" s="17"/>
      <c r="K83" s="17"/>
      <c r="L83" s="23"/>
      <c r="M83" s="5"/>
    </row>
    <row r="84" spans="1:13" ht="14">
      <c r="A84" s="60" t="str">
        <f t="shared" si="2"/>
        <v/>
      </c>
      <c r="B84" s="60"/>
      <c r="C84" s="17"/>
      <c r="D84" s="17"/>
      <c r="E84" s="17"/>
      <c r="F84" s="17"/>
      <c r="G84" s="17"/>
      <c r="H84" s="23"/>
      <c r="I84" s="17"/>
      <c r="J84" s="17"/>
      <c r="K84" s="17"/>
      <c r="L84" s="23"/>
      <c r="M84" s="5"/>
    </row>
    <row r="85" spans="1:13" ht="14">
      <c r="A85" s="60" t="str">
        <f t="shared" si="2"/>
        <v/>
      </c>
      <c r="B85" s="60"/>
      <c r="C85" s="17"/>
      <c r="D85" s="17"/>
      <c r="E85" s="17"/>
      <c r="F85" s="17"/>
      <c r="G85" s="17"/>
      <c r="H85" s="23"/>
      <c r="I85" s="17"/>
      <c r="J85" s="17"/>
      <c r="K85" s="17"/>
      <c r="L85" s="23"/>
      <c r="M85" s="5"/>
    </row>
    <row r="86" spans="1:13" ht="14">
      <c r="A86" s="60" t="str">
        <f t="shared" si="2"/>
        <v/>
      </c>
      <c r="B86" s="60"/>
      <c r="C86" s="17"/>
      <c r="D86" s="17"/>
      <c r="E86" s="17"/>
      <c r="F86" s="17"/>
      <c r="G86" s="17"/>
      <c r="H86" s="23"/>
      <c r="I86" s="17"/>
      <c r="J86" s="17"/>
      <c r="K86" s="17"/>
      <c r="L86" s="23"/>
      <c r="M86" s="5"/>
    </row>
    <row r="87" spans="1:13" ht="14">
      <c r="A87" s="60" t="str">
        <f t="shared" si="2"/>
        <v/>
      </c>
      <c r="B87" s="60"/>
      <c r="C87" s="17"/>
      <c r="D87" s="17"/>
      <c r="E87" s="17"/>
      <c r="F87" s="17"/>
      <c r="G87" s="17"/>
      <c r="H87" s="23"/>
      <c r="I87" s="17"/>
      <c r="J87" s="17"/>
      <c r="K87" s="17"/>
      <c r="L87" s="23"/>
      <c r="M87" s="5"/>
    </row>
    <row r="88" spans="1:13" ht="14">
      <c r="A88" s="60" t="str">
        <f t="shared" si="2"/>
        <v/>
      </c>
      <c r="B88" s="60"/>
      <c r="C88" s="17"/>
      <c r="D88" s="17"/>
      <c r="E88" s="17"/>
      <c r="F88" s="17"/>
      <c r="G88" s="17"/>
      <c r="H88" s="23"/>
      <c r="I88" s="17"/>
      <c r="J88" s="17"/>
      <c r="K88" s="17"/>
      <c r="L88" s="23"/>
      <c r="M88" s="5"/>
    </row>
    <row r="89" spans="1:13" ht="14">
      <c r="A89" s="60" t="str">
        <f t="shared" si="2"/>
        <v/>
      </c>
      <c r="B89" s="60"/>
      <c r="C89" s="17"/>
      <c r="D89" s="17"/>
      <c r="E89" s="17"/>
      <c r="F89" s="17"/>
      <c r="G89" s="17"/>
      <c r="H89" s="23"/>
      <c r="I89" s="17"/>
      <c r="J89" s="17"/>
      <c r="K89" s="17"/>
      <c r="L89" s="23"/>
      <c r="M89" s="5"/>
    </row>
    <row r="90" spans="1:13" ht="14">
      <c r="A90" s="60" t="str">
        <f t="shared" si="2"/>
        <v/>
      </c>
      <c r="B90" s="60"/>
      <c r="C90" s="17"/>
      <c r="D90" s="17"/>
      <c r="E90" s="17"/>
      <c r="F90" s="17"/>
      <c r="G90" s="17"/>
      <c r="H90" s="23"/>
      <c r="I90" s="17"/>
      <c r="J90" s="17"/>
      <c r="K90" s="17"/>
      <c r="L90" s="23"/>
      <c r="M90" s="5"/>
    </row>
    <row r="91" spans="1:13" ht="14">
      <c r="A91" s="60" t="str">
        <f t="shared" si="2"/>
        <v/>
      </c>
      <c r="B91" s="60"/>
      <c r="C91" s="17"/>
      <c r="D91" s="17"/>
      <c r="E91" s="17"/>
      <c r="F91" s="17"/>
      <c r="G91" s="17"/>
      <c r="H91" s="23"/>
      <c r="I91" s="17"/>
      <c r="J91" s="17"/>
      <c r="K91" s="17"/>
      <c r="L91" s="23"/>
      <c r="M91" s="5"/>
    </row>
    <row r="92" spans="1:13" ht="14">
      <c r="A92" s="60" t="str">
        <f t="shared" si="2"/>
        <v/>
      </c>
      <c r="B92" s="60"/>
      <c r="C92" s="17"/>
      <c r="D92" s="17"/>
      <c r="E92" s="17"/>
      <c r="F92" s="17"/>
      <c r="G92" s="17"/>
      <c r="H92" s="23"/>
      <c r="I92" s="17"/>
      <c r="J92" s="17"/>
      <c r="K92" s="17"/>
      <c r="L92" s="23"/>
      <c r="M92" s="5"/>
    </row>
    <row r="93" spans="1:13" ht="14">
      <c r="A93" s="60" t="str">
        <f t="shared" si="2"/>
        <v/>
      </c>
      <c r="B93" s="60"/>
      <c r="C93" s="17"/>
      <c r="D93" s="17"/>
      <c r="E93" s="17"/>
      <c r="F93" s="17"/>
      <c r="G93" s="17"/>
      <c r="H93" s="23"/>
      <c r="I93" s="17"/>
      <c r="J93" s="17"/>
      <c r="K93" s="17"/>
      <c r="L93" s="23"/>
      <c r="M93" s="5"/>
    </row>
    <row r="94" spans="1:13" ht="14">
      <c r="A94" s="60" t="str">
        <f t="shared" si="2"/>
        <v/>
      </c>
      <c r="B94" s="60"/>
      <c r="C94" s="17"/>
      <c r="D94" s="17"/>
      <c r="E94" s="17"/>
      <c r="F94" s="17"/>
      <c r="G94" s="17"/>
      <c r="H94" s="23"/>
      <c r="I94" s="17"/>
      <c r="J94" s="17"/>
      <c r="K94" s="17"/>
      <c r="L94" s="23"/>
      <c r="M94" s="5"/>
    </row>
    <row r="95" spans="1:13" ht="14">
      <c r="A95" s="60" t="str">
        <f t="shared" si="2"/>
        <v/>
      </c>
      <c r="B95" s="60"/>
      <c r="C95" s="17"/>
      <c r="D95" s="17"/>
      <c r="E95" s="17"/>
      <c r="F95" s="17"/>
      <c r="G95" s="17"/>
      <c r="H95" s="23"/>
      <c r="I95" s="17"/>
      <c r="J95" s="17"/>
      <c r="K95" s="17"/>
      <c r="L95" s="23"/>
      <c r="M95" s="5"/>
    </row>
    <row r="96" spans="1:13" ht="14">
      <c r="A96" s="60" t="str">
        <f t="shared" si="2"/>
        <v/>
      </c>
      <c r="B96" s="60"/>
      <c r="C96" s="17"/>
      <c r="D96" s="17"/>
      <c r="E96" s="17"/>
      <c r="F96" s="17"/>
      <c r="G96" s="17"/>
      <c r="H96" s="23"/>
      <c r="I96" s="17"/>
      <c r="J96" s="17"/>
      <c r="K96" s="17"/>
      <c r="L96" s="23"/>
      <c r="M96" s="5"/>
    </row>
    <row r="97" spans="1:13" ht="14">
      <c r="A97" s="60" t="str">
        <f t="shared" ref="A97:A100" si="3">+C97&amp;G97&amp;H97</f>
        <v/>
      </c>
      <c r="B97" s="60"/>
      <c r="C97" s="17"/>
      <c r="D97" s="17"/>
      <c r="E97" s="17"/>
      <c r="F97" s="17"/>
      <c r="G97" s="17"/>
      <c r="H97" s="23"/>
      <c r="I97" s="17"/>
      <c r="J97" s="17"/>
      <c r="K97" s="17"/>
      <c r="L97" s="23"/>
      <c r="M97" s="5"/>
    </row>
    <row r="98" spans="1:13" ht="14">
      <c r="A98" s="60" t="str">
        <f t="shared" si="3"/>
        <v/>
      </c>
      <c r="B98" s="60"/>
      <c r="C98" s="17"/>
      <c r="D98" s="17"/>
      <c r="E98" s="17"/>
      <c r="F98" s="17"/>
      <c r="G98" s="17"/>
      <c r="H98" s="23"/>
      <c r="I98" s="17"/>
      <c r="J98" s="17"/>
      <c r="K98" s="17"/>
      <c r="L98" s="23"/>
      <c r="M98" s="5"/>
    </row>
    <row r="99" spans="1:13" ht="14">
      <c r="A99" s="60" t="str">
        <f t="shared" si="3"/>
        <v/>
      </c>
      <c r="B99" s="60"/>
      <c r="C99" s="17"/>
      <c r="D99" s="17"/>
      <c r="E99" s="17"/>
      <c r="F99" s="17"/>
      <c r="G99" s="17"/>
      <c r="H99" s="23"/>
      <c r="I99" s="17"/>
      <c r="J99" s="17"/>
      <c r="K99" s="17"/>
      <c r="L99" s="23"/>
      <c r="M99" s="5"/>
    </row>
    <row r="100" spans="1:13" ht="14">
      <c r="A100" s="60" t="str">
        <f t="shared" si="3"/>
        <v/>
      </c>
      <c r="B100" s="60"/>
      <c r="C100" s="17"/>
      <c r="D100" s="17"/>
      <c r="E100" s="17"/>
      <c r="F100" s="17"/>
      <c r="G100" s="17"/>
      <c r="H100" s="23"/>
      <c r="I100" s="17"/>
      <c r="J100" s="17"/>
      <c r="K100" s="17"/>
      <c r="L100" s="23"/>
      <c r="M100" s="5"/>
    </row>
    <row r="101" spans="1:13" ht="14">
      <c r="M101" s="5"/>
    </row>
    <row r="102" spans="1:13" ht="14" hidden="1"/>
    <row r="103" spans="1:13" ht="14" hidden="1"/>
    <row r="104" spans="1:13" ht="14" hidden="1"/>
    <row r="105" spans="1:13" ht="14" hidden="1"/>
    <row r="106" spans="1:13" ht="14" hidden="1"/>
    <row r="107" spans="1:13" ht="14" hidden="1"/>
    <row r="108" spans="1:13" ht="14" hidden="1"/>
    <row r="109" spans="1:13" ht="14" hidden="1"/>
    <row r="110" spans="1:13" ht="14" hidden="1"/>
    <row r="111" spans="1:13" ht="14" hidden="1"/>
    <row r="112" spans="1:13" ht="14" hidden="1"/>
    <row r="113" ht="14" hidden="1"/>
    <row r="114" ht="14" hidden="1"/>
    <row r="115" ht="14" hidden="1"/>
    <row r="116" ht="14" hidden="1"/>
    <row r="117" ht="14" hidden="1"/>
    <row r="118" ht="14" hidden="1"/>
    <row r="119" ht="14" hidden="1"/>
    <row r="120" ht="14" hidden="1"/>
    <row r="121" ht="14" hidden="1"/>
    <row r="122" ht="14" hidden="1"/>
    <row r="123" ht="14" hidden="1"/>
    <row r="124" ht="14" hidden="1"/>
    <row r="125" ht="14" hidden="1"/>
    <row r="126" ht="14" hidden="1"/>
    <row r="127" ht="14" hidden="1"/>
    <row r="128" ht="14" hidden="1"/>
    <row r="129" ht="14" hidden="1"/>
    <row r="130" ht="14" hidden="1"/>
    <row r="131" ht="14" hidden="1"/>
    <row r="132" ht="14" hidden="1"/>
    <row r="133" ht="14" hidden="1"/>
    <row r="134" ht="14" hidden="1"/>
    <row r="135" ht="14" hidden="1"/>
    <row r="136" ht="14" hidden="1"/>
    <row r="137" ht="14" hidden="1"/>
    <row r="138" ht="14" hidden="1"/>
    <row r="139" ht="14" hidden="1"/>
    <row r="140" ht="14" hidden="1"/>
    <row r="141" ht="14" hidden="1"/>
    <row r="142" ht="14" hidden="1"/>
    <row r="143" ht="14" hidden="1"/>
    <row r="144" ht="14" hidden="1"/>
    <row r="145" ht="14" hidden="1"/>
    <row r="146" ht="14" hidden="1"/>
    <row r="147" ht="14" hidden="1"/>
    <row r="148" ht="14" hidden="1"/>
    <row r="149" ht="14" hidden="1"/>
    <row r="150" ht="14" hidden="1"/>
    <row r="151" ht="14" hidden="1"/>
    <row r="152" ht="14" hidden="1"/>
    <row r="153" ht="14" hidden="1"/>
    <row r="154" ht="14" hidden="1"/>
    <row r="155" ht="14" hidden="1"/>
    <row r="156" ht="14" hidden="1"/>
    <row r="157" ht="14" hidden="1"/>
    <row r="158" ht="14" hidden="1"/>
    <row r="159" ht="14" hidden="1"/>
    <row r="160" ht="14" hidden="1"/>
    <row r="161" ht="14" hidden="1"/>
    <row r="162" ht="14" hidden="1"/>
    <row r="163" ht="14" hidden="1"/>
    <row r="164" ht="14" hidden="1"/>
    <row r="165" ht="14" hidden="1"/>
    <row r="166" ht="14" hidden="1"/>
    <row r="167" ht="14" hidden="1"/>
    <row r="168" ht="14" hidden="1"/>
    <row r="169" ht="14" hidden="1"/>
    <row r="170" ht="14" hidden="1"/>
    <row r="171" ht="14" hidden="1"/>
    <row r="172" ht="14" hidden="1"/>
    <row r="173" ht="14" hidden="1"/>
    <row r="174" ht="14" hidden="1"/>
    <row r="175" ht="14" hidden="1"/>
    <row r="176" ht="14" hidden="1"/>
    <row r="177" ht="14" hidden="1"/>
    <row r="178" ht="14" hidden="1"/>
    <row r="179" ht="14" hidden="1"/>
    <row r="180" ht="14" hidden="1"/>
    <row r="181" ht="14" hidden="1"/>
    <row r="182" ht="14" hidden="1"/>
    <row r="183" ht="14" hidden="1"/>
    <row r="184" ht="14" hidden="1"/>
    <row r="185" ht="14" hidden="1"/>
    <row r="186" ht="14" hidden="1"/>
    <row r="187" ht="14" hidden="1"/>
    <row r="188" ht="14" hidden="1"/>
    <row r="189" ht="14" hidden="1"/>
    <row r="190" ht="14" hidden="1"/>
    <row r="191" ht="14" hidden="1"/>
    <row r="192" ht="14" hidden="1"/>
    <row r="193" ht="14" hidden="1"/>
    <row r="194" ht="14" hidden="1"/>
    <row r="195" ht="14" hidden="1"/>
    <row r="196" ht="14" hidden="1"/>
    <row r="197" ht="14" hidden="1"/>
    <row r="198" ht="14" hidden="1"/>
    <row r="199" ht="14" hidden="1"/>
    <row r="200" ht="14" hidden="1"/>
    <row r="201" ht="14" hidden="1"/>
    <row r="202" ht="14" hidden="1"/>
    <row r="203" ht="14" hidden="1"/>
    <row r="204" ht="14" hidden="1"/>
    <row r="205" ht="14" hidden="1"/>
    <row r="206" ht="14" hidden="1"/>
    <row r="207" ht="14" hidden="1"/>
    <row r="208" ht="14" hidden="1"/>
    <row r="209" ht="14" hidden="1"/>
    <row r="210" ht="14" hidden="1"/>
    <row r="211" ht="14" hidden="1"/>
    <row r="212" ht="14" hidden="1"/>
    <row r="213" ht="14" hidden="1"/>
    <row r="214" ht="14" hidden="1"/>
    <row r="215" ht="14" hidden="1"/>
    <row r="216" ht="14" hidden="1"/>
    <row r="217" ht="14" hidden="1"/>
    <row r="218" ht="14" hidden="1"/>
    <row r="219" ht="14" hidden="1"/>
    <row r="220" ht="14" hidden="1"/>
    <row r="221" ht="14" hidden="1"/>
    <row r="222" ht="14" hidden="1"/>
    <row r="223" ht="14" hidden="1"/>
    <row r="224" ht="14" hidden="1"/>
    <row r="225" ht="14" hidden="1"/>
    <row r="226" ht="14" hidden="1"/>
    <row r="227" ht="14" hidden="1"/>
    <row r="228" ht="14" hidden="1"/>
    <row r="229" ht="14" hidden="1"/>
    <row r="230" ht="14" hidden="1"/>
    <row r="231" ht="14" hidden="1"/>
    <row r="232" ht="14" hidden="1"/>
    <row r="233" ht="14" hidden="1"/>
    <row r="234" ht="14" hidden="1"/>
    <row r="235" ht="14" hidden="1"/>
    <row r="236" ht="14" hidden="1"/>
    <row r="237" ht="14" hidden="1"/>
    <row r="238" ht="14" hidden="1"/>
    <row r="239" ht="14" hidden="1"/>
    <row r="240" ht="14" hidden="1"/>
    <row r="241" ht="14" hidden="1"/>
    <row r="242" ht="14" hidden="1"/>
    <row r="243" ht="14" hidden="1"/>
    <row r="244" ht="14" hidden="1"/>
    <row r="245" ht="14" hidden="1"/>
    <row r="246" ht="14" hidden="1"/>
    <row r="247" ht="14" hidden="1"/>
    <row r="248" ht="14" hidden="1"/>
    <row r="249" ht="14" hidden="1"/>
    <row r="250" ht="14" hidden="1"/>
    <row r="251" ht="14" hidden="1"/>
    <row r="252" ht="14" hidden="1"/>
    <row r="253" ht="14" hidden="1"/>
    <row r="254" ht="14" hidden="1"/>
    <row r="255" ht="14" hidden="1"/>
    <row r="256" ht="14" hidden="1"/>
    <row r="257" ht="14" hidden="1"/>
    <row r="258" ht="14" hidden="1"/>
    <row r="259" ht="14" hidden="1"/>
    <row r="260" ht="14" hidden="1"/>
    <row r="261" ht="14" hidden="1"/>
    <row r="262" ht="14" hidden="1"/>
    <row r="263" ht="14" hidden="1"/>
    <row r="264" ht="14" hidden="1"/>
    <row r="265" ht="14" hidden="1"/>
    <row r="266" ht="14" hidden="1"/>
    <row r="267" ht="14" hidden="1"/>
    <row r="268" ht="14" hidden="1"/>
    <row r="269" ht="14" hidden="1"/>
    <row r="270" ht="14" hidden="1"/>
    <row r="271" ht="14" hidden="1"/>
    <row r="272" ht="14" hidden="1"/>
    <row r="273" ht="14" hidden="1"/>
    <row r="274" ht="14" hidden="1"/>
    <row r="275" ht="14" hidden="1"/>
    <row r="276" ht="14" hidden="1"/>
    <row r="277" ht="14" hidden="1"/>
    <row r="278" ht="14" hidden="1"/>
    <row r="279" ht="14" hidden="1"/>
    <row r="280" ht="14" hidden="1"/>
    <row r="281" ht="14" hidden="1"/>
    <row r="282" ht="14" hidden="1"/>
    <row r="283" ht="14" hidden="1"/>
    <row r="284" ht="14" hidden="1"/>
    <row r="285" ht="14" hidden="1"/>
    <row r="286" ht="14" hidden="1"/>
    <row r="287" ht="14" hidden="1"/>
    <row r="288" ht="14" hidden="1"/>
    <row r="289" ht="14" hidden="1"/>
    <row r="290" ht="14" hidden="1"/>
    <row r="291" ht="14" hidden="1"/>
    <row r="292" ht="14" hidden="1"/>
    <row r="293" ht="14" hidden="1"/>
    <row r="294" ht="14" hidden="1"/>
    <row r="295" ht="14" hidden="1"/>
    <row r="296" ht="14" hidden="1"/>
    <row r="297" ht="14" hidden="1"/>
    <row r="298" ht="14" hidden="1"/>
    <row r="299" ht="14" hidden="1"/>
    <row r="300" ht="14" hidden="1"/>
    <row r="301" ht="14" hidden="1"/>
    <row r="302" ht="14" hidden="1"/>
    <row r="303" ht="14" hidden="1"/>
    <row r="304" ht="14" hidden="1"/>
    <row r="305" ht="14" hidden="1"/>
    <row r="306" ht="14" hidden="1"/>
    <row r="307" ht="14" hidden="1"/>
    <row r="308" ht="14" hidden="1"/>
    <row r="309" ht="14" hidden="1"/>
    <row r="310" ht="14" hidden="1"/>
    <row r="311" ht="14" hidden="1"/>
    <row r="312" ht="14" hidden="1"/>
    <row r="313" ht="14" hidden="1"/>
    <row r="314" ht="14" hidden="1"/>
    <row r="315" ht="14" hidden="1"/>
    <row r="316" ht="14" hidden="1"/>
    <row r="317" ht="14" hidden="1"/>
    <row r="318" ht="14" hidden="1"/>
    <row r="319" ht="14" hidden="1"/>
    <row r="320" ht="14" hidden="1"/>
    <row r="321" ht="14" hidden="1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workbookViewId="0">
      <selection activeCell="I13" sqref="I13"/>
    </sheetView>
  </sheetViews>
  <sheetFormatPr defaultRowHeight="14.5"/>
  <sheetData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M159"/>
  <sheetViews>
    <sheetView showGridLines="0" zoomScale="90" zoomScaleNormal="90" workbookViewId="0">
      <selection activeCell="D9" sqref="D9"/>
    </sheetView>
  </sheetViews>
  <sheetFormatPr defaultColWidth="9.08984375" defaultRowHeight="14" zeroHeight="1"/>
  <cols>
    <col min="1" max="1" width="3.6328125" style="2" customWidth="1"/>
    <col min="2" max="2" width="16.1796875" style="2" customWidth="1"/>
    <col min="3" max="3" width="25.81640625" style="2" customWidth="1"/>
    <col min="4" max="4" width="126.6328125" style="2" customWidth="1"/>
    <col min="5" max="119" width="5.6328125" style="2" customWidth="1"/>
    <col min="120" max="16384" width="9.08984375" style="2"/>
  </cols>
  <sheetData>
    <row r="1" spans="1:1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</row>
    <row r="2" spans="1:1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spans="1:1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</row>
    <row r="4" spans="1:12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</row>
    <row r="5" spans="1:120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</row>
    <row r="6" spans="1:120" ht="14.5" thickBot="1">
      <c r="A6" s="30"/>
      <c r="B6" s="31" t="s">
        <v>141</v>
      </c>
      <c r="C6" s="31"/>
      <c r="D6" s="31"/>
      <c r="E6" s="31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</row>
    <row r="7" spans="1:120"/>
    <row r="8" spans="1:120">
      <c r="B8" s="73" t="s">
        <v>142</v>
      </c>
      <c r="C8" s="73" t="s">
        <v>48</v>
      </c>
      <c r="D8" s="73" t="s">
        <v>61</v>
      </c>
      <c r="E8" s="74" t="s">
        <v>143</v>
      </c>
      <c r="F8" s="74" t="s">
        <v>147</v>
      </c>
      <c r="G8" s="74" t="s">
        <v>148</v>
      </c>
      <c r="H8" s="74" t="s">
        <v>149</v>
      </c>
      <c r="I8" s="74" t="s">
        <v>150</v>
      </c>
      <c r="J8" s="74" t="s">
        <v>151</v>
      </c>
      <c r="K8" s="74" t="s">
        <v>152</v>
      </c>
      <c r="L8" s="74" t="s">
        <v>153</v>
      </c>
      <c r="M8" s="74" t="s">
        <v>154</v>
      </c>
      <c r="N8" s="74" t="s">
        <v>143</v>
      </c>
      <c r="O8" s="74" t="s">
        <v>155</v>
      </c>
      <c r="P8" s="74" t="s">
        <v>143</v>
      </c>
      <c r="Q8" s="74" t="s">
        <v>156</v>
      </c>
      <c r="R8" s="74" t="s">
        <v>157</v>
      </c>
      <c r="S8" s="74" t="s">
        <v>143</v>
      </c>
      <c r="T8" s="74" t="s">
        <v>158</v>
      </c>
      <c r="U8" s="74" t="s">
        <v>159</v>
      </c>
      <c r="V8" s="74" t="s">
        <v>160</v>
      </c>
      <c r="W8" s="74" t="s">
        <v>161</v>
      </c>
      <c r="X8" s="74" t="s">
        <v>162</v>
      </c>
      <c r="Y8" s="74" t="s">
        <v>163</v>
      </c>
      <c r="Z8" s="74" t="s">
        <v>164</v>
      </c>
      <c r="AA8" s="74" t="s">
        <v>160</v>
      </c>
      <c r="AB8" s="74" t="s">
        <v>156</v>
      </c>
      <c r="AC8" s="74" t="s">
        <v>165</v>
      </c>
      <c r="AD8" s="74" t="s">
        <v>166</v>
      </c>
      <c r="AE8" s="74" t="s">
        <v>167</v>
      </c>
      <c r="AF8" s="74" t="s">
        <v>168</v>
      </c>
      <c r="AG8" s="74" t="s">
        <v>169</v>
      </c>
      <c r="AH8" s="74" t="s">
        <v>170</v>
      </c>
      <c r="AI8" s="74" t="s">
        <v>171</v>
      </c>
      <c r="AJ8" s="74" t="s">
        <v>172</v>
      </c>
      <c r="AK8" s="74" t="s">
        <v>173</v>
      </c>
      <c r="AL8" s="74" t="s">
        <v>174</v>
      </c>
      <c r="AM8" s="74" t="s">
        <v>175</v>
      </c>
      <c r="AN8" s="74" t="s">
        <v>176</v>
      </c>
      <c r="AO8" s="74" t="s">
        <v>177</v>
      </c>
      <c r="AP8" s="74" t="s">
        <v>178</v>
      </c>
      <c r="AQ8" s="74" t="s">
        <v>179</v>
      </c>
      <c r="AR8" s="74" t="s">
        <v>180</v>
      </c>
      <c r="AS8" s="74" t="s">
        <v>181</v>
      </c>
      <c r="AT8" s="74" t="s">
        <v>182</v>
      </c>
      <c r="AU8" s="74" t="s">
        <v>162</v>
      </c>
      <c r="AV8" s="74" t="s">
        <v>163</v>
      </c>
      <c r="AW8" s="74" t="s">
        <v>164</v>
      </c>
      <c r="AX8" s="74" t="s">
        <v>160</v>
      </c>
      <c r="AY8" s="74" t="s">
        <v>156</v>
      </c>
      <c r="AZ8" s="74" t="s">
        <v>165</v>
      </c>
      <c r="BA8" s="74" t="s">
        <v>166</v>
      </c>
      <c r="BB8" s="74" t="s">
        <v>167</v>
      </c>
      <c r="BC8" s="74" t="s">
        <v>168</v>
      </c>
      <c r="BD8" s="74" t="s">
        <v>169</v>
      </c>
      <c r="BE8" s="74" t="s">
        <v>170</v>
      </c>
      <c r="BF8" s="74" t="s">
        <v>171</v>
      </c>
      <c r="BG8" s="74" t="s">
        <v>172</v>
      </c>
      <c r="BH8" s="74" t="s">
        <v>173</v>
      </c>
      <c r="BI8" s="74" t="s">
        <v>174</v>
      </c>
      <c r="BJ8" s="74" t="s">
        <v>175</v>
      </c>
      <c r="BK8" s="74" t="s">
        <v>176</v>
      </c>
      <c r="BL8" s="74" t="s">
        <v>177</v>
      </c>
      <c r="BM8" s="74" t="s">
        <v>178</v>
      </c>
      <c r="BN8" s="74" t="s">
        <v>179</v>
      </c>
      <c r="BO8" s="74" t="s">
        <v>180</v>
      </c>
      <c r="BP8" s="74" t="s">
        <v>181</v>
      </c>
      <c r="BQ8" s="74" t="s">
        <v>182</v>
      </c>
      <c r="BR8" s="74" t="s">
        <v>162</v>
      </c>
      <c r="BS8" s="74" t="s">
        <v>163</v>
      </c>
      <c r="BT8" s="74" t="s">
        <v>164</v>
      </c>
      <c r="BU8" s="74" t="s">
        <v>160</v>
      </c>
      <c r="BV8" s="74" t="s">
        <v>156</v>
      </c>
      <c r="BW8" s="74" t="s">
        <v>165</v>
      </c>
      <c r="BX8" s="74" t="s">
        <v>166</v>
      </c>
      <c r="BY8" s="74" t="s">
        <v>167</v>
      </c>
      <c r="BZ8" s="74" t="s">
        <v>168</v>
      </c>
      <c r="CA8" s="74" t="s">
        <v>169</v>
      </c>
      <c r="CB8" s="74" t="s">
        <v>170</v>
      </c>
      <c r="CC8" s="74" t="s">
        <v>171</v>
      </c>
      <c r="CD8" s="74" t="s">
        <v>172</v>
      </c>
      <c r="CE8" s="74" t="s">
        <v>173</v>
      </c>
      <c r="CF8" s="74" t="s">
        <v>174</v>
      </c>
      <c r="CG8" s="74" t="s">
        <v>175</v>
      </c>
      <c r="CH8" s="74" t="s">
        <v>176</v>
      </c>
      <c r="CI8" s="74" t="s">
        <v>177</v>
      </c>
      <c r="CJ8" s="74" t="s">
        <v>178</v>
      </c>
      <c r="CK8" s="74" t="s">
        <v>179</v>
      </c>
      <c r="CL8" s="74" t="s">
        <v>180</v>
      </c>
      <c r="CM8" s="74" t="s">
        <v>181</v>
      </c>
      <c r="CN8" s="74" t="s">
        <v>182</v>
      </c>
      <c r="CO8" s="74" t="s">
        <v>162</v>
      </c>
      <c r="CP8" s="74" t="s">
        <v>163</v>
      </c>
      <c r="CQ8" s="74" t="s">
        <v>164</v>
      </c>
      <c r="CR8" s="74" t="s">
        <v>160</v>
      </c>
      <c r="CS8" s="74" t="s">
        <v>156</v>
      </c>
      <c r="CT8" s="74" t="s">
        <v>165</v>
      </c>
      <c r="CU8" s="74" t="s">
        <v>166</v>
      </c>
      <c r="CV8" s="74" t="s">
        <v>167</v>
      </c>
      <c r="CW8" s="74" t="s">
        <v>168</v>
      </c>
      <c r="CX8" s="74" t="s">
        <v>169</v>
      </c>
      <c r="CY8" s="74" t="s">
        <v>170</v>
      </c>
      <c r="CZ8" s="74" t="s">
        <v>171</v>
      </c>
      <c r="DA8" s="74" t="s">
        <v>172</v>
      </c>
      <c r="DB8" s="74" t="s">
        <v>173</v>
      </c>
      <c r="DC8" s="74" t="s">
        <v>174</v>
      </c>
      <c r="DD8" s="74" t="s">
        <v>175</v>
      </c>
      <c r="DE8" s="74" t="s">
        <v>176</v>
      </c>
      <c r="DF8" s="74" t="s">
        <v>177</v>
      </c>
      <c r="DG8" s="74" t="s">
        <v>178</v>
      </c>
      <c r="DH8" s="74" t="s">
        <v>179</v>
      </c>
      <c r="DI8" s="74" t="s">
        <v>180</v>
      </c>
      <c r="DJ8" s="74" t="s">
        <v>181</v>
      </c>
      <c r="DK8" s="74" t="s">
        <v>182</v>
      </c>
      <c r="DL8" s="74" t="s">
        <v>143</v>
      </c>
      <c r="DM8" s="74" t="s">
        <v>183</v>
      </c>
      <c r="DN8" s="74" t="s">
        <v>184</v>
      </c>
      <c r="DO8" s="74" t="s">
        <v>182</v>
      </c>
      <c r="DP8" s="80"/>
    </row>
    <row r="9" spans="1:120">
      <c r="A9" s="60"/>
      <c r="B9" s="27" t="s">
        <v>185</v>
      </c>
      <c r="C9" s="81" t="s">
        <v>186</v>
      </c>
      <c r="D9" s="75" t="s">
        <v>187</v>
      </c>
      <c r="E9" s="75" t="s">
        <v>188</v>
      </c>
      <c r="F9" s="75" t="s">
        <v>189</v>
      </c>
      <c r="G9" s="75" t="s">
        <v>189</v>
      </c>
      <c r="H9" s="75" t="s">
        <v>189</v>
      </c>
      <c r="I9" s="75" t="s">
        <v>189</v>
      </c>
      <c r="J9" s="75" t="s">
        <v>189</v>
      </c>
      <c r="K9" s="75" t="s">
        <v>189</v>
      </c>
      <c r="L9" s="75" t="s">
        <v>189</v>
      </c>
      <c r="M9" s="75" t="s">
        <v>189</v>
      </c>
      <c r="N9" s="75" t="s">
        <v>188</v>
      </c>
      <c r="O9" s="75" t="s">
        <v>190</v>
      </c>
      <c r="P9" s="75" t="s">
        <v>188</v>
      </c>
      <c r="Q9" s="75" t="s">
        <v>191</v>
      </c>
      <c r="R9" s="75" t="s">
        <v>192</v>
      </c>
      <c r="S9" s="75" t="s">
        <v>188</v>
      </c>
      <c r="T9" s="75" t="s">
        <v>193</v>
      </c>
      <c r="U9" s="75" t="s">
        <v>194</v>
      </c>
      <c r="V9" s="75" t="s">
        <v>195</v>
      </c>
      <c r="W9" s="75" t="s">
        <v>196</v>
      </c>
      <c r="X9" s="75" t="s">
        <v>189</v>
      </c>
      <c r="Y9" s="75" t="s">
        <v>189</v>
      </c>
      <c r="Z9" s="75" t="s">
        <v>189</v>
      </c>
      <c r="AA9" s="75" t="s">
        <v>189</v>
      </c>
      <c r="AB9" s="75" t="s">
        <v>189</v>
      </c>
      <c r="AC9" s="75" t="s">
        <v>189</v>
      </c>
      <c r="AD9" s="75" t="s">
        <v>189</v>
      </c>
      <c r="AE9" s="75" t="s">
        <v>189</v>
      </c>
      <c r="AF9" s="75" t="s">
        <v>189</v>
      </c>
      <c r="AG9" s="75" t="s">
        <v>189</v>
      </c>
      <c r="AH9" s="75" t="s">
        <v>189</v>
      </c>
      <c r="AI9" s="75" t="s">
        <v>189</v>
      </c>
      <c r="AJ9" s="75" t="s">
        <v>189</v>
      </c>
      <c r="AK9" s="75" t="s">
        <v>189</v>
      </c>
      <c r="AL9" s="75" t="s">
        <v>189</v>
      </c>
      <c r="AM9" s="75" t="s">
        <v>189</v>
      </c>
      <c r="AN9" s="75" t="s">
        <v>189</v>
      </c>
      <c r="AO9" s="75" t="s">
        <v>189</v>
      </c>
      <c r="AP9" s="75" t="s">
        <v>189</v>
      </c>
      <c r="AQ9" s="75" t="s">
        <v>189</v>
      </c>
      <c r="AR9" s="75" t="s">
        <v>189</v>
      </c>
      <c r="AS9" s="75" t="s">
        <v>189</v>
      </c>
      <c r="AT9" s="75" t="s">
        <v>189</v>
      </c>
      <c r="AU9" s="75" t="s">
        <v>189</v>
      </c>
      <c r="AV9" s="75" t="s">
        <v>189</v>
      </c>
      <c r="AW9" s="75" t="s">
        <v>189</v>
      </c>
      <c r="AX9" s="75" t="s">
        <v>189</v>
      </c>
      <c r="AY9" s="75" t="s">
        <v>189</v>
      </c>
      <c r="AZ9" s="75" t="s">
        <v>189</v>
      </c>
      <c r="BA9" s="75" t="s">
        <v>189</v>
      </c>
      <c r="BB9" s="75" t="s">
        <v>189</v>
      </c>
      <c r="BC9" s="75" t="s">
        <v>189</v>
      </c>
      <c r="BD9" s="75" t="s">
        <v>189</v>
      </c>
      <c r="BE9" s="75" t="s">
        <v>189</v>
      </c>
      <c r="BF9" s="75" t="s">
        <v>189</v>
      </c>
      <c r="BG9" s="75" t="s">
        <v>189</v>
      </c>
      <c r="BH9" s="75" t="s">
        <v>189</v>
      </c>
      <c r="BI9" s="75" t="s">
        <v>189</v>
      </c>
      <c r="BJ9" s="75" t="s">
        <v>189</v>
      </c>
      <c r="BK9" s="75" t="s">
        <v>189</v>
      </c>
      <c r="BL9" s="75" t="s">
        <v>189</v>
      </c>
      <c r="BM9" s="75" t="s">
        <v>189</v>
      </c>
      <c r="BN9" s="75" t="s">
        <v>189</v>
      </c>
      <c r="BO9" s="75" t="s">
        <v>189</v>
      </c>
      <c r="BP9" s="75" t="s">
        <v>189</v>
      </c>
      <c r="BQ9" s="75" t="s">
        <v>189</v>
      </c>
      <c r="BR9" s="75" t="s">
        <v>189</v>
      </c>
      <c r="BS9" s="75" t="s">
        <v>189</v>
      </c>
      <c r="BT9" s="75" t="s">
        <v>189</v>
      </c>
      <c r="BU9" s="75" t="s">
        <v>189</v>
      </c>
      <c r="BV9" s="75" t="s">
        <v>189</v>
      </c>
      <c r="BW9" s="75" t="s">
        <v>189</v>
      </c>
      <c r="BX9" s="75" t="s">
        <v>189</v>
      </c>
      <c r="BY9" s="75" t="s">
        <v>189</v>
      </c>
      <c r="BZ9" s="75" t="s">
        <v>189</v>
      </c>
      <c r="CA9" s="75" t="s">
        <v>189</v>
      </c>
      <c r="CB9" s="75" t="s">
        <v>189</v>
      </c>
      <c r="CC9" s="75" t="s">
        <v>189</v>
      </c>
      <c r="CD9" s="75" t="s">
        <v>189</v>
      </c>
      <c r="CE9" s="75" t="s">
        <v>189</v>
      </c>
      <c r="CF9" s="75" t="s">
        <v>189</v>
      </c>
      <c r="CG9" s="75" t="s">
        <v>189</v>
      </c>
      <c r="CH9" s="75" t="s">
        <v>189</v>
      </c>
      <c r="CI9" s="75" t="s">
        <v>189</v>
      </c>
      <c r="CJ9" s="75" t="s">
        <v>189</v>
      </c>
      <c r="CK9" s="75" t="s">
        <v>189</v>
      </c>
      <c r="CL9" s="75" t="s">
        <v>189</v>
      </c>
      <c r="CM9" s="75" t="s">
        <v>189</v>
      </c>
      <c r="CN9" s="75" t="s">
        <v>189</v>
      </c>
      <c r="CO9" s="75" t="s">
        <v>189</v>
      </c>
      <c r="CP9" s="75" t="s">
        <v>189</v>
      </c>
      <c r="CQ9" s="75" t="s">
        <v>189</v>
      </c>
      <c r="CR9" s="75" t="s">
        <v>189</v>
      </c>
      <c r="CS9" s="75" t="s">
        <v>189</v>
      </c>
      <c r="CT9" s="75" t="s">
        <v>189</v>
      </c>
      <c r="CU9" s="75" t="s">
        <v>189</v>
      </c>
      <c r="CV9" s="75" t="s">
        <v>189</v>
      </c>
      <c r="CW9" s="75" t="s">
        <v>189</v>
      </c>
      <c r="CX9" s="75" t="s">
        <v>189</v>
      </c>
      <c r="CY9" s="75" t="s">
        <v>189</v>
      </c>
      <c r="CZ9" s="75" t="s">
        <v>189</v>
      </c>
      <c r="DA9" s="75" t="s">
        <v>189</v>
      </c>
      <c r="DB9" s="75" t="s">
        <v>189</v>
      </c>
      <c r="DC9" s="75" t="s">
        <v>189</v>
      </c>
      <c r="DD9" s="75" t="s">
        <v>189</v>
      </c>
      <c r="DE9" s="75" t="s">
        <v>189</v>
      </c>
      <c r="DF9" s="75" t="s">
        <v>189</v>
      </c>
      <c r="DG9" s="75" t="s">
        <v>189</v>
      </c>
      <c r="DH9" s="75" t="s">
        <v>189</v>
      </c>
      <c r="DI9" s="75" t="s">
        <v>189</v>
      </c>
      <c r="DJ9" s="75" t="s">
        <v>189</v>
      </c>
      <c r="DK9" s="75" t="s">
        <v>189</v>
      </c>
      <c r="DL9" s="75" t="s">
        <v>188</v>
      </c>
      <c r="DM9" s="75" t="s">
        <v>197</v>
      </c>
      <c r="DN9" s="75" t="s">
        <v>145</v>
      </c>
      <c r="DO9" s="75" t="s">
        <v>145</v>
      </c>
      <c r="DP9" s="80"/>
    </row>
    <row r="10" spans="1:120">
      <c r="A10" s="60"/>
      <c r="B10" s="27" t="s">
        <v>185</v>
      </c>
      <c r="C10" s="81" t="s">
        <v>186</v>
      </c>
      <c r="D10" s="75" t="s">
        <v>187</v>
      </c>
      <c r="E10" s="75" t="s">
        <v>198</v>
      </c>
      <c r="F10" s="75" t="s">
        <v>189</v>
      </c>
      <c r="G10" s="75" t="s">
        <v>189</v>
      </c>
      <c r="H10" s="75" t="s">
        <v>189</v>
      </c>
      <c r="I10" s="75" t="s">
        <v>189</v>
      </c>
      <c r="J10" s="75" t="s">
        <v>189</v>
      </c>
      <c r="K10" s="75" t="s">
        <v>189</v>
      </c>
      <c r="L10" s="75" t="s">
        <v>189</v>
      </c>
      <c r="M10" s="75" t="s">
        <v>189</v>
      </c>
      <c r="N10" s="75" t="s">
        <v>198</v>
      </c>
      <c r="O10" s="75" t="s">
        <v>199</v>
      </c>
      <c r="P10" s="75" t="s">
        <v>198</v>
      </c>
      <c r="Q10" s="75" t="s">
        <v>191</v>
      </c>
      <c r="R10" s="75" t="s">
        <v>192</v>
      </c>
      <c r="S10" s="75" t="s">
        <v>198</v>
      </c>
      <c r="T10" s="75" t="s">
        <v>193</v>
      </c>
      <c r="U10" s="75" t="s">
        <v>194</v>
      </c>
      <c r="V10" s="75" t="s">
        <v>195</v>
      </c>
      <c r="W10" s="75" t="s">
        <v>196</v>
      </c>
      <c r="X10" s="75" t="s">
        <v>189</v>
      </c>
      <c r="Y10" s="75" t="s">
        <v>189</v>
      </c>
      <c r="Z10" s="75" t="s">
        <v>189</v>
      </c>
      <c r="AA10" s="75" t="s">
        <v>189</v>
      </c>
      <c r="AB10" s="75" t="s">
        <v>189</v>
      </c>
      <c r="AC10" s="75" t="s">
        <v>189</v>
      </c>
      <c r="AD10" s="75" t="s">
        <v>189</v>
      </c>
      <c r="AE10" s="75" t="s">
        <v>189</v>
      </c>
      <c r="AF10" s="75" t="s">
        <v>189</v>
      </c>
      <c r="AG10" s="75" t="s">
        <v>189</v>
      </c>
      <c r="AH10" s="75" t="s">
        <v>189</v>
      </c>
      <c r="AI10" s="75" t="s">
        <v>189</v>
      </c>
      <c r="AJ10" s="75" t="s">
        <v>189</v>
      </c>
      <c r="AK10" s="75" t="s">
        <v>189</v>
      </c>
      <c r="AL10" s="75" t="s">
        <v>189</v>
      </c>
      <c r="AM10" s="75" t="s">
        <v>189</v>
      </c>
      <c r="AN10" s="75" t="s">
        <v>189</v>
      </c>
      <c r="AO10" s="75" t="s">
        <v>189</v>
      </c>
      <c r="AP10" s="75" t="s">
        <v>189</v>
      </c>
      <c r="AQ10" s="75" t="s">
        <v>189</v>
      </c>
      <c r="AR10" s="75" t="s">
        <v>189</v>
      </c>
      <c r="AS10" s="75" t="s">
        <v>189</v>
      </c>
      <c r="AT10" s="75" t="s">
        <v>189</v>
      </c>
      <c r="AU10" s="75" t="s">
        <v>189</v>
      </c>
      <c r="AV10" s="75" t="s">
        <v>189</v>
      </c>
      <c r="AW10" s="75" t="s">
        <v>189</v>
      </c>
      <c r="AX10" s="75" t="s">
        <v>189</v>
      </c>
      <c r="AY10" s="75" t="s">
        <v>189</v>
      </c>
      <c r="AZ10" s="75" t="s">
        <v>189</v>
      </c>
      <c r="BA10" s="75" t="s">
        <v>189</v>
      </c>
      <c r="BB10" s="75" t="s">
        <v>189</v>
      </c>
      <c r="BC10" s="75" t="s">
        <v>189</v>
      </c>
      <c r="BD10" s="75" t="s">
        <v>189</v>
      </c>
      <c r="BE10" s="75" t="s">
        <v>189</v>
      </c>
      <c r="BF10" s="75" t="s">
        <v>189</v>
      </c>
      <c r="BG10" s="75" t="s">
        <v>189</v>
      </c>
      <c r="BH10" s="75" t="s">
        <v>189</v>
      </c>
      <c r="BI10" s="75" t="s">
        <v>189</v>
      </c>
      <c r="BJ10" s="75" t="s">
        <v>189</v>
      </c>
      <c r="BK10" s="75" t="s">
        <v>189</v>
      </c>
      <c r="BL10" s="75" t="s">
        <v>189</v>
      </c>
      <c r="BM10" s="75" t="s">
        <v>189</v>
      </c>
      <c r="BN10" s="75" t="s">
        <v>189</v>
      </c>
      <c r="BO10" s="75" t="s">
        <v>189</v>
      </c>
      <c r="BP10" s="75" t="s">
        <v>189</v>
      </c>
      <c r="BQ10" s="75" t="s">
        <v>189</v>
      </c>
      <c r="BR10" s="75" t="s">
        <v>189</v>
      </c>
      <c r="BS10" s="75" t="s">
        <v>189</v>
      </c>
      <c r="BT10" s="75" t="s">
        <v>189</v>
      </c>
      <c r="BU10" s="75" t="s">
        <v>189</v>
      </c>
      <c r="BV10" s="75" t="s">
        <v>189</v>
      </c>
      <c r="BW10" s="75" t="s">
        <v>189</v>
      </c>
      <c r="BX10" s="75" t="s">
        <v>189</v>
      </c>
      <c r="BY10" s="75" t="s">
        <v>189</v>
      </c>
      <c r="BZ10" s="75" t="s">
        <v>189</v>
      </c>
      <c r="CA10" s="75" t="s">
        <v>189</v>
      </c>
      <c r="CB10" s="75" t="s">
        <v>189</v>
      </c>
      <c r="CC10" s="75" t="s">
        <v>189</v>
      </c>
      <c r="CD10" s="75" t="s">
        <v>189</v>
      </c>
      <c r="CE10" s="75" t="s">
        <v>189</v>
      </c>
      <c r="CF10" s="75" t="s">
        <v>189</v>
      </c>
      <c r="CG10" s="75" t="s">
        <v>189</v>
      </c>
      <c r="CH10" s="75" t="s">
        <v>189</v>
      </c>
      <c r="CI10" s="75" t="s">
        <v>189</v>
      </c>
      <c r="CJ10" s="75" t="s">
        <v>189</v>
      </c>
      <c r="CK10" s="75" t="s">
        <v>189</v>
      </c>
      <c r="CL10" s="75" t="s">
        <v>189</v>
      </c>
      <c r="CM10" s="75" t="s">
        <v>189</v>
      </c>
      <c r="CN10" s="75" t="s">
        <v>189</v>
      </c>
      <c r="CO10" s="75" t="s">
        <v>189</v>
      </c>
      <c r="CP10" s="75" t="s">
        <v>189</v>
      </c>
      <c r="CQ10" s="75" t="s">
        <v>189</v>
      </c>
      <c r="CR10" s="75" t="s">
        <v>189</v>
      </c>
      <c r="CS10" s="75" t="s">
        <v>189</v>
      </c>
      <c r="CT10" s="75" t="s">
        <v>189</v>
      </c>
      <c r="CU10" s="75" t="s">
        <v>189</v>
      </c>
      <c r="CV10" s="75" t="s">
        <v>189</v>
      </c>
      <c r="CW10" s="75" t="s">
        <v>189</v>
      </c>
      <c r="CX10" s="75" t="s">
        <v>189</v>
      </c>
      <c r="CY10" s="75" t="s">
        <v>189</v>
      </c>
      <c r="CZ10" s="75" t="s">
        <v>189</v>
      </c>
      <c r="DA10" s="75" t="s">
        <v>189</v>
      </c>
      <c r="DB10" s="75" t="s">
        <v>189</v>
      </c>
      <c r="DC10" s="75" t="s">
        <v>189</v>
      </c>
      <c r="DD10" s="75" t="s">
        <v>189</v>
      </c>
      <c r="DE10" s="75" t="s">
        <v>189</v>
      </c>
      <c r="DF10" s="75" t="s">
        <v>189</v>
      </c>
      <c r="DG10" s="75" t="s">
        <v>189</v>
      </c>
      <c r="DH10" s="75" t="s">
        <v>189</v>
      </c>
      <c r="DI10" s="75" t="s">
        <v>189</v>
      </c>
      <c r="DJ10" s="75" t="s">
        <v>189</v>
      </c>
      <c r="DK10" s="75" t="s">
        <v>189</v>
      </c>
      <c r="DL10" s="75" t="s">
        <v>198</v>
      </c>
      <c r="DM10" s="75" t="s">
        <v>200</v>
      </c>
      <c r="DN10" s="75" t="s">
        <v>145</v>
      </c>
      <c r="DO10" s="75" t="s">
        <v>145</v>
      </c>
      <c r="DP10" s="80"/>
    </row>
    <row r="11" spans="1:120">
      <c r="A11" s="60"/>
      <c r="B11" s="27" t="s">
        <v>185</v>
      </c>
      <c r="C11" s="81" t="s">
        <v>186</v>
      </c>
      <c r="D11" s="75" t="s">
        <v>187</v>
      </c>
      <c r="E11" s="75" t="s">
        <v>201</v>
      </c>
      <c r="F11" s="75" t="s">
        <v>189</v>
      </c>
      <c r="G11" s="75" t="s">
        <v>189</v>
      </c>
      <c r="H11" s="75" t="s">
        <v>189</v>
      </c>
      <c r="I11" s="75" t="s">
        <v>189</v>
      </c>
      <c r="J11" s="75" t="s">
        <v>189</v>
      </c>
      <c r="K11" s="75" t="s">
        <v>189</v>
      </c>
      <c r="L11" s="75" t="s">
        <v>189</v>
      </c>
      <c r="M11" s="75" t="s">
        <v>189</v>
      </c>
      <c r="N11" s="75" t="s">
        <v>201</v>
      </c>
      <c r="O11" s="75" t="s">
        <v>202</v>
      </c>
      <c r="P11" s="75" t="s">
        <v>201</v>
      </c>
      <c r="Q11" s="75" t="s">
        <v>191</v>
      </c>
      <c r="R11" s="75" t="s">
        <v>192</v>
      </c>
      <c r="S11" s="75" t="s">
        <v>201</v>
      </c>
      <c r="T11" s="75" t="s">
        <v>193</v>
      </c>
      <c r="U11" s="75" t="s">
        <v>194</v>
      </c>
      <c r="V11" s="75" t="s">
        <v>195</v>
      </c>
      <c r="W11" s="75" t="s">
        <v>196</v>
      </c>
      <c r="X11" s="75" t="s">
        <v>189</v>
      </c>
      <c r="Y11" s="75" t="s">
        <v>189</v>
      </c>
      <c r="Z11" s="75" t="s">
        <v>189</v>
      </c>
      <c r="AA11" s="75" t="s">
        <v>189</v>
      </c>
      <c r="AB11" s="75" t="s">
        <v>189</v>
      </c>
      <c r="AC11" s="75" t="s">
        <v>189</v>
      </c>
      <c r="AD11" s="75" t="s">
        <v>189</v>
      </c>
      <c r="AE11" s="75" t="s">
        <v>189</v>
      </c>
      <c r="AF11" s="75" t="s">
        <v>189</v>
      </c>
      <c r="AG11" s="75" t="s">
        <v>189</v>
      </c>
      <c r="AH11" s="75" t="s">
        <v>189</v>
      </c>
      <c r="AI11" s="75" t="s">
        <v>189</v>
      </c>
      <c r="AJ11" s="75" t="s">
        <v>189</v>
      </c>
      <c r="AK11" s="75" t="s">
        <v>189</v>
      </c>
      <c r="AL11" s="75" t="s">
        <v>189</v>
      </c>
      <c r="AM11" s="75" t="s">
        <v>189</v>
      </c>
      <c r="AN11" s="75" t="s">
        <v>189</v>
      </c>
      <c r="AO11" s="75" t="s">
        <v>189</v>
      </c>
      <c r="AP11" s="75" t="s">
        <v>189</v>
      </c>
      <c r="AQ11" s="75" t="s">
        <v>189</v>
      </c>
      <c r="AR11" s="75" t="s">
        <v>189</v>
      </c>
      <c r="AS11" s="75" t="s">
        <v>189</v>
      </c>
      <c r="AT11" s="75" t="s">
        <v>189</v>
      </c>
      <c r="AU11" s="75" t="s">
        <v>189</v>
      </c>
      <c r="AV11" s="75" t="s">
        <v>189</v>
      </c>
      <c r="AW11" s="75" t="s">
        <v>189</v>
      </c>
      <c r="AX11" s="75" t="s">
        <v>189</v>
      </c>
      <c r="AY11" s="75" t="s">
        <v>189</v>
      </c>
      <c r="AZ11" s="75" t="s">
        <v>189</v>
      </c>
      <c r="BA11" s="75" t="s">
        <v>189</v>
      </c>
      <c r="BB11" s="75" t="s">
        <v>189</v>
      </c>
      <c r="BC11" s="75" t="s">
        <v>189</v>
      </c>
      <c r="BD11" s="75" t="s">
        <v>189</v>
      </c>
      <c r="BE11" s="75" t="s">
        <v>189</v>
      </c>
      <c r="BF11" s="75" t="s">
        <v>189</v>
      </c>
      <c r="BG11" s="75" t="s">
        <v>189</v>
      </c>
      <c r="BH11" s="75" t="s">
        <v>189</v>
      </c>
      <c r="BI11" s="75" t="s">
        <v>189</v>
      </c>
      <c r="BJ11" s="75" t="s">
        <v>189</v>
      </c>
      <c r="BK11" s="75" t="s">
        <v>189</v>
      </c>
      <c r="BL11" s="75" t="s">
        <v>189</v>
      </c>
      <c r="BM11" s="75" t="s">
        <v>189</v>
      </c>
      <c r="BN11" s="75" t="s">
        <v>189</v>
      </c>
      <c r="BO11" s="75" t="s">
        <v>189</v>
      </c>
      <c r="BP11" s="75" t="s">
        <v>189</v>
      </c>
      <c r="BQ11" s="75" t="s">
        <v>189</v>
      </c>
      <c r="BR11" s="75" t="s">
        <v>189</v>
      </c>
      <c r="BS11" s="75" t="s">
        <v>189</v>
      </c>
      <c r="BT11" s="75" t="s">
        <v>189</v>
      </c>
      <c r="BU11" s="75" t="s">
        <v>189</v>
      </c>
      <c r="BV11" s="75" t="s">
        <v>189</v>
      </c>
      <c r="BW11" s="75" t="s">
        <v>189</v>
      </c>
      <c r="BX11" s="75" t="s">
        <v>189</v>
      </c>
      <c r="BY11" s="75" t="s">
        <v>189</v>
      </c>
      <c r="BZ11" s="75" t="s">
        <v>189</v>
      </c>
      <c r="CA11" s="75" t="s">
        <v>189</v>
      </c>
      <c r="CB11" s="75" t="s">
        <v>189</v>
      </c>
      <c r="CC11" s="75" t="s">
        <v>189</v>
      </c>
      <c r="CD11" s="75" t="s">
        <v>189</v>
      </c>
      <c r="CE11" s="75" t="s">
        <v>189</v>
      </c>
      <c r="CF11" s="75" t="s">
        <v>189</v>
      </c>
      <c r="CG11" s="75" t="s">
        <v>189</v>
      </c>
      <c r="CH11" s="75" t="s">
        <v>189</v>
      </c>
      <c r="CI11" s="75" t="s">
        <v>189</v>
      </c>
      <c r="CJ11" s="75" t="s">
        <v>189</v>
      </c>
      <c r="CK11" s="75" t="s">
        <v>189</v>
      </c>
      <c r="CL11" s="75" t="s">
        <v>189</v>
      </c>
      <c r="CM11" s="75" t="s">
        <v>189</v>
      </c>
      <c r="CN11" s="75" t="s">
        <v>189</v>
      </c>
      <c r="CO11" s="75" t="s">
        <v>189</v>
      </c>
      <c r="CP11" s="75" t="s">
        <v>189</v>
      </c>
      <c r="CQ11" s="75" t="s">
        <v>189</v>
      </c>
      <c r="CR11" s="75" t="s">
        <v>189</v>
      </c>
      <c r="CS11" s="75" t="s">
        <v>189</v>
      </c>
      <c r="CT11" s="75" t="s">
        <v>189</v>
      </c>
      <c r="CU11" s="75" t="s">
        <v>189</v>
      </c>
      <c r="CV11" s="75" t="s">
        <v>189</v>
      </c>
      <c r="CW11" s="75" t="s">
        <v>189</v>
      </c>
      <c r="CX11" s="75" t="s">
        <v>189</v>
      </c>
      <c r="CY11" s="75" t="s">
        <v>189</v>
      </c>
      <c r="CZ11" s="75" t="s">
        <v>189</v>
      </c>
      <c r="DA11" s="75" t="s">
        <v>189</v>
      </c>
      <c r="DB11" s="75" t="s">
        <v>189</v>
      </c>
      <c r="DC11" s="75" t="s">
        <v>189</v>
      </c>
      <c r="DD11" s="75" t="s">
        <v>189</v>
      </c>
      <c r="DE11" s="75" t="s">
        <v>189</v>
      </c>
      <c r="DF11" s="75" t="s">
        <v>189</v>
      </c>
      <c r="DG11" s="75" t="s">
        <v>189</v>
      </c>
      <c r="DH11" s="75" t="s">
        <v>189</v>
      </c>
      <c r="DI11" s="75" t="s">
        <v>189</v>
      </c>
      <c r="DJ11" s="75" t="s">
        <v>189</v>
      </c>
      <c r="DK11" s="75" t="s">
        <v>189</v>
      </c>
      <c r="DL11" s="75" t="s">
        <v>201</v>
      </c>
      <c r="DM11" s="75" t="s">
        <v>203</v>
      </c>
      <c r="DN11" s="75" t="s">
        <v>145</v>
      </c>
      <c r="DO11" s="75" t="s">
        <v>145</v>
      </c>
      <c r="DP11" s="80"/>
    </row>
    <row r="12" spans="1:120">
      <c r="A12" s="60"/>
      <c r="B12" s="27" t="s">
        <v>185</v>
      </c>
      <c r="C12" s="81" t="s">
        <v>186</v>
      </c>
      <c r="D12" s="75" t="s">
        <v>187</v>
      </c>
      <c r="E12" s="75" t="s">
        <v>204</v>
      </c>
      <c r="F12" s="75" t="s">
        <v>189</v>
      </c>
      <c r="G12" s="75" t="s">
        <v>189</v>
      </c>
      <c r="H12" s="75" t="s">
        <v>189</v>
      </c>
      <c r="I12" s="75" t="s">
        <v>189</v>
      </c>
      <c r="J12" s="75" t="s">
        <v>189</v>
      </c>
      <c r="K12" s="75" t="s">
        <v>189</v>
      </c>
      <c r="L12" s="75" t="s">
        <v>189</v>
      </c>
      <c r="M12" s="75" t="s">
        <v>189</v>
      </c>
      <c r="N12" s="75" t="s">
        <v>204</v>
      </c>
      <c r="O12" s="75" t="s">
        <v>205</v>
      </c>
      <c r="P12" s="75" t="s">
        <v>204</v>
      </c>
      <c r="Q12" s="75" t="s">
        <v>191</v>
      </c>
      <c r="R12" s="75" t="s">
        <v>192</v>
      </c>
      <c r="S12" s="75" t="s">
        <v>204</v>
      </c>
      <c r="T12" s="75" t="s">
        <v>193</v>
      </c>
      <c r="U12" s="75" t="s">
        <v>194</v>
      </c>
      <c r="V12" s="75" t="s">
        <v>195</v>
      </c>
      <c r="W12" s="75" t="s">
        <v>196</v>
      </c>
      <c r="X12" s="75" t="s">
        <v>189</v>
      </c>
      <c r="Y12" s="75" t="s">
        <v>189</v>
      </c>
      <c r="Z12" s="75" t="s">
        <v>189</v>
      </c>
      <c r="AA12" s="75" t="s">
        <v>189</v>
      </c>
      <c r="AB12" s="75" t="s">
        <v>189</v>
      </c>
      <c r="AC12" s="75" t="s">
        <v>189</v>
      </c>
      <c r="AD12" s="75" t="s">
        <v>189</v>
      </c>
      <c r="AE12" s="75" t="s">
        <v>189</v>
      </c>
      <c r="AF12" s="75" t="s">
        <v>189</v>
      </c>
      <c r="AG12" s="75" t="s">
        <v>189</v>
      </c>
      <c r="AH12" s="75" t="s">
        <v>189</v>
      </c>
      <c r="AI12" s="75" t="s">
        <v>189</v>
      </c>
      <c r="AJ12" s="75" t="s">
        <v>189</v>
      </c>
      <c r="AK12" s="75" t="s">
        <v>189</v>
      </c>
      <c r="AL12" s="75" t="s">
        <v>189</v>
      </c>
      <c r="AM12" s="75" t="s">
        <v>189</v>
      </c>
      <c r="AN12" s="75" t="s">
        <v>189</v>
      </c>
      <c r="AO12" s="75" t="s">
        <v>189</v>
      </c>
      <c r="AP12" s="75" t="s">
        <v>189</v>
      </c>
      <c r="AQ12" s="75" t="s">
        <v>189</v>
      </c>
      <c r="AR12" s="75" t="s">
        <v>189</v>
      </c>
      <c r="AS12" s="75" t="s">
        <v>189</v>
      </c>
      <c r="AT12" s="75" t="s">
        <v>189</v>
      </c>
      <c r="AU12" s="75" t="s">
        <v>189</v>
      </c>
      <c r="AV12" s="75" t="s">
        <v>189</v>
      </c>
      <c r="AW12" s="75" t="s">
        <v>189</v>
      </c>
      <c r="AX12" s="75" t="s">
        <v>189</v>
      </c>
      <c r="AY12" s="75" t="s">
        <v>189</v>
      </c>
      <c r="AZ12" s="75" t="s">
        <v>189</v>
      </c>
      <c r="BA12" s="75" t="s">
        <v>189</v>
      </c>
      <c r="BB12" s="75" t="s">
        <v>189</v>
      </c>
      <c r="BC12" s="75" t="s">
        <v>189</v>
      </c>
      <c r="BD12" s="75" t="s">
        <v>189</v>
      </c>
      <c r="BE12" s="75" t="s">
        <v>189</v>
      </c>
      <c r="BF12" s="75" t="s">
        <v>189</v>
      </c>
      <c r="BG12" s="75" t="s">
        <v>189</v>
      </c>
      <c r="BH12" s="75" t="s">
        <v>189</v>
      </c>
      <c r="BI12" s="75" t="s">
        <v>189</v>
      </c>
      <c r="BJ12" s="75" t="s">
        <v>189</v>
      </c>
      <c r="BK12" s="75" t="s">
        <v>189</v>
      </c>
      <c r="BL12" s="75" t="s">
        <v>189</v>
      </c>
      <c r="BM12" s="75" t="s">
        <v>189</v>
      </c>
      <c r="BN12" s="75" t="s">
        <v>189</v>
      </c>
      <c r="BO12" s="75" t="s">
        <v>189</v>
      </c>
      <c r="BP12" s="75" t="s">
        <v>189</v>
      </c>
      <c r="BQ12" s="75" t="s">
        <v>189</v>
      </c>
      <c r="BR12" s="75" t="s">
        <v>189</v>
      </c>
      <c r="BS12" s="75" t="s">
        <v>189</v>
      </c>
      <c r="BT12" s="75" t="s">
        <v>189</v>
      </c>
      <c r="BU12" s="75" t="s">
        <v>189</v>
      </c>
      <c r="BV12" s="75" t="s">
        <v>189</v>
      </c>
      <c r="BW12" s="75" t="s">
        <v>189</v>
      </c>
      <c r="BX12" s="75" t="s">
        <v>189</v>
      </c>
      <c r="BY12" s="75" t="s">
        <v>189</v>
      </c>
      <c r="BZ12" s="75" t="s">
        <v>189</v>
      </c>
      <c r="CA12" s="75" t="s">
        <v>189</v>
      </c>
      <c r="CB12" s="75" t="s">
        <v>189</v>
      </c>
      <c r="CC12" s="75" t="s">
        <v>189</v>
      </c>
      <c r="CD12" s="75" t="s">
        <v>189</v>
      </c>
      <c r="CE12" s="75" t="s">
        <v>189</v>
      </c>
      <c r="CF12" s="75" t="s">
        <v>189</v>
      </c>
      <c r="CG12" s="75" t="s">
        <v>189</v>
      </c>
      <c r="CH12" s="75" t="s">
        <v>189</v>
      </c>
      <c r="CI12" s="75" t="s">
        <v>189</v>
      </c>
      <c r="CJ12" s="75" t="s">
        <v>189</v>
      </c>
      <c r="CK12" s="75" t="s">
        <v>189</v>
      </c>
      <c r="CL12" s="75" t="s">
        <v>189</v>
      </c>
      <c r="CM12" s="75" t="s">
        <v>189</v>
      </c>
      <c r="CN12" s="75" t="s">
        <v>189</v>
      </c>
      <c r="CO12" s="75" t="s">
        <v>189</v>
      </c>
      <c r="CP12" s="75" t="s">
        <v>189</v>
      </c>
      <c r="CQ12" s="75" t="s">
        <v>189</v>
      </c>
      <c r="CR12" s="75" t="s">
        <v>189</v>
      </c>
      <c r="CS12" s="75" t="s">
        <v>189</v>
      </c>
      <c r="CT12" s="75" t="s">
        <v>189</v>
      </c>
      <c r="CU12" s="75" t="s">
        <v>189</v>
      </c>
      <c r="CV12" s="75" t="s">
        <v>189</v>
      </c>
      <c r="CW12" s="75" t="s">
        <v>189</v>
      </c>
      <c r="CX12" s="75" t="s">
        <v>189</v>
      </c>
      <c r="CY12" s="75" t="s">
        <v>189</v>
      </c>
      <c r="CZ12" s="75" t="s">
        <v>189</v>
      </c>
      <c r="DA12" s="75" t="s">
        <v>189</v>
      </c>
      <c r="DB12" s="75" t="s">
        <v>189</v>
      </c>
      <c r="DC12" s="75" t="s">
        <v>189</v>
      </c>
      <c r="DD12" s="75" t="s">
        <v>189</v>
      </c>
      <c r="DE12" s="75" t="s">
        <v>189</v>
      </c>
      <c r="DF12" s="75" t="s">
        <v>189</v>
      </c>
      <c r="DG12" s="75" t="s">
        <v>189</v>
      </c>
      <c r="DH12" s="75" t="s">
        <v>189</v>
      </c>
      <c r="DI12" s="75" t="s">
        <v>189</v>
      </c>
      <c r="DJ12" s="75" t="s">
        <v>189</v>
      </c>
      <c r="DK12" s="75" t="s">
        <v>189</v>
      </c>
      <c r="DL12" s="75" t="s">
        <v>204</v>
      </c>
      <c r="DM12" s="75" t="s">
        <v>206</v>
      </c>
      <c r="DN12" s="75" t="s">
        <v>145</v>
      </c>
      <c r="DO12" s="75" t="s">
        <v>145</v>
      </c>
      <c r="DP12" s="80"/>
    </row>
    <row r="13" spans="1:120">
      <c r="A13" s="60"/>
      <c r="B13" s="27" t="s">
        <v>185</v>
      </c>
      <c r="C13" s="81" t="s">
        <v>186</v>
      </c>
      <c r="D13" s="75" t="s">
        <v>187</v>
      </c>
      <c r="E13" s="75" t="s">
        <v>207</v>
      </c>
      <c r="F13" s="75" t="s">
        <v>189</v>
      </c>
      <c r="G13" s="75" t="s">
        <v>189</v>
      </c>
      <c r="H13" s="75" t="s">
        <v>189</v>
      </c>
      <c r="I13" s="75" t="s">
        <v>189</v>
      </c>
      <c r="J13" s="75" t="s">
        <v>189</v>
      </c>
      <c r="K13" s="75" t="s">
        <v>189</v>
      </c>
      <c r="L13" s="75" t="s">
        <v>189</v>
      </c>
      <c r="M13" s="75" t="s">
        <v>189</v>
      </c>
      <c r="N13" s="75" t="s">
        <v>207</v>
      </c>
      <c r="O13" s="75" t="s">
        <v>205</v>
      </c>
      <c r="P13" s="75" t="s">
        <v>207</v>
      </c>
      <c r="Q13" s="75" t="s">
        <v>191</v>
      </c>
      <c r="R13" s="75" t="s">
        <v>192</v>
      </c>
      <c r="S13" s="75" t="s">
        <v>207</v>
      </c>
      <c r="T13" s="75" t="s">
        <v>193</v>
      </c>
      <c r="U13" s="75" t="s">
        <v>194</v>
      </c>
      <c r="V13" s="75" t="s">
        <v>195</v>
      </c>
      <c r="W13" s="75" t="s">
        <v>196</v>
      </c>
      <c r="X13" s="75" t="s">
        <v>189</v>
      </c>
      <c r="Y13" s="75" t="s">
        <v>189</v>
      </c>
      <c r="Z13" s="75" t="s">
        <v>189</v>
      </c>
      <c r="AA13" s="75" t="s">
        <v>189</v>
      </c>
      <c r="AB13" s="75" t="s">
        <v>189</v>
      </c>
      <c r="AC13" s="75" t="s">
        <v>189</v>
      </c>
      <c r="AD13" s="75" t="s">
        <v>189</v>
      </c>
      <c r="AE13" s="75" t="s">
        <v>189</v>
      </c>
      <c r="AF13" s="75" t="s">
        <v>189</v>
      </c>
      <c r="AG13" s="75" t="s">
        <v>189</v>
      </c>
      <c r="AH13" s="75" t="s">
        <v>189</v>
      </c>
      <c r="AI13" s="75" t="s">
        <v>189</v>
      </c>
      <c r="AJ13" s="75" t="s">
        <v>189</v>
      </c>
      <c r="AK13" s="75" t="s">
        <v>189</v>
      </c>
      <c r="AL13" s="75" t="s">
        <v>189</v>
      </c>
      <c r="AM13" s="75" t="s">
        <v>189</v>
      </c>
      <c r="AN13" s="75" t="s">
        <v>189</v>
      </c>
      <c r="AO13" s="75" t="s">
        <v>189</v>
      </c>
      <c r="AP13" s="75" t="s">
        <v>189</v>
      </c>
      <c r="AQ13" s="75" t="s">
        <v>189</v>
      </c>
      <c r="AR13" s="75" t="s">
        <v>189</v>
      </c>
      <c r="AS13" s="75" t="s">
        <v>189</v>
      </c>
      <c r="AT13" s="75" t="s">
        <v>189</v>
      </c>
      <c r="AU13" s="75" t="s">
        <v>189</v>
      </c>
      <c r="AV13" s="75" t="s">
        <v>189</v>
      </c>
      <c r="AW13" s="75" t="s">
        <v>189</v>
      </c>
      <c r="AX13" s="75" t="s">
        <v>189</v>
      </c>
      <c r="AY13" s="75" t="s">
        <v>189</v>
      </c>
      <c r="AZ13" s="75" t="s">
        <v>189</v>
      </c>
      <c r="BA13" s="75" t="s">
        <v>189</v>
      </c>
      <c r="BB13" s="75" t="s">
        <v>189</v>
      </c>
      <c r="BC13" s="75" t="s">
        <v>189</v>
      </c>
      <c r="BD13" s="75" t="s">
        <v>189</v>
      </c>
      <c r="BE13" s="75" t="s">
        <v>189</v>
      </c>
      <c r="BF13" s="75" t="s">
        <v>189</v>
      </c>
      <c r="BG13" s="75" t="s">
        <v>189</v>
      </c>
      <c r="BH13" s="75" t="s">
        <v>189</v>
      </c>
      <c r="BI13" s="75" t="s">
        <v>189</v>
      </c>
      <c r="BJ13" s="75" t="s">
        <v>189</v>
      </c>
      <c r="BK13" s="75" t="s">
        <v>189</v>
      </c>
      <c r="BL13" s="75" t="s">
        <v>189</v>
      </c>
      <c r="BM13" s="75" t="s">
        <v>189</v>
      </c>
      <c r="BN13" s="75" t="s">
        <v>189</v>
      </c>
      <c r="BO13" s="75" t="s">
        <v>189</v>
      </c>
      <c r="BP13" s="75" t="s">
        <v>189</v>
      </c>
      <c r="BQ13" s="75" t="s">
        <v>189</v>
      </c>
      <c r="BR13" s="75" t="s">
        <v>189</v>
      </c>
      <c r="BS13" s="75" t="s">
        <v>189</v>
      </c>
      <c r="BT13" s="75" t="s">
        <v>189</v>
      </c>
      <c r="BU13" s="75" t="s">
        <v>189</v>
      </c>
      <c r="BV13" s="75" t="s">
        <v>189</v>
      </c>
      <c r="BW13" s="75" t="s">
        <v>189</v>
      </c>
      <c r="BX13" s="75" t="s">
        <v>189</v>
      </c>
      <c r="BY13" s="75" t="s">
        <v>189</v>
      </c>
      <c r="BZ13" s="75" t="s">
        <v>189</v>
      </c>
      <c r="CA13" s="75" t="s">
        <v>189</v>
      </c>
      <c r="CB13" s="75" t="s">
        <v>189</v>
      </c>
      <c r="CC13" s="75" t="s">
        <v>189</v>
      </c>
      <c r="CD13" s="75" t="s">
        <v>189</v>
      </c>
      <c r="CE13" s="75" t="s">
        <v>189</v>
      </c>
      <c r="CF13" s="75" t="s">
        <v>189</v>
      </c>
      <c r="CG13" s="75" t="s">
        <v>189</v>
      </c>
      <c r="CH13" s="75" t="s">
        <v>189</v>
      </c>
      <c r="CI13" s="75" t="s">
        <v>189</v>
      </c>
      <c r="CJ13" s="75" t="s">
        <v>189</v>
      </c>
      <c r="CK13" s="75" t="s">
        <v>189</v>
      </c>
      <c r="CL13" s="75" t="s">
        <v>189</v>
      </c>
      <c r="CM13" s="75" t="s">
        <v>189</v>
      </c>
      <c r="CN13" s="75" t="s">
        <v>189</v>
      </c>
      <c r="CO13" s="75" t="s">
        <v>189</v>
      </c>
      <c r="CP13" s="75" t="s">
        <v>189</v>
      </c>
      <c r="CQ13" s="75" t="s">
        <v>189</v>
      </c>
      <c r="CR13" s="75" t="s">
        <v>189</v>
      </c>
      <c r="CS13" s="75" t="s">
        <v>189</v>
      </c>
      <c r="CT13" s="75" t="s">
        <v>189</v>
      </c>
      <c r="CU13" s="75" t="s">
        <v>189</v>
      </c>
      <c r="CV13" s="75" t="s">
        <v>189</v>
      </c>
      <c r="CW13" s="75" t="s">
        <v>189</v>
      </c>
      <c r="CX13" s="75" t="s">
        <v>189</v>
      </c>
      <c r="CY13" s="75" t="s">
        <v>189</v>
      </c>
      <c r="CZ13" s="75" t="s">
        <v>189</v>
      </c>
      <c r="DA13" s="75" t="s">
        <v>189</v>
      </c>
      <c r="DB13" s="75" t="s">
        <v>189</v>
      </c>
      <c r="DC13" s="75" t="s">
        <v>189</v>
      </c>
      <c r="DD13" s="75" t="s">
        <v>189</v>
      </c>
      <c r="DE13" s="75" t="s">
        <v>189</v>
      </c>
      <c r="DF13" s="75" t="s">
        <v>189</v>
      </c>
      <c r="DG13" s="75" t="s">
        <v>189</v>
      </c>
      <c r="DH13" s="75" t="s">
        <v>189</v>
      </c>
      <c r="DI13" s="75" t="s">
        <v>189</v>
      </c>
      <c r="DJ13" s="75" t="s">
        <v>189</v>
      </c>
      <c r="DK13" s="75" t="s">
        <v>189</v>
      </c>
      <c r="DL13" s="75" t="s">
        <v>207</v>
      </c>
      <c r="DM13" s="75" t="s">
        <v>208</v>
      </c>
      <c r="DN13" s="75" t="s">
        <v>145</v>
      </c>
      <c r="DO13" s="75" t="s">
        <v>145</v>
      </c>
      <c r="DP13" s="80"/>
    </row>
    <row r="14" spans="1:120">
      <c r="A14" s="60"/>
      <c r="B14" s="27" t="s">
        <v>185</v>
      </c>
      <c r="C14" s="81" t="s">
        <v>186</v>
      </c>
      <c r="D14" s="75" t="s">
        <v>187</v>
      </c>
      <c r="E14" s="75" t="s">
        <v>209</v>
      </c>
      <c r="F14" s="75" t="s">
        <v>189</v>
      </c>
      <c r="G14" s="75" t="s">
        <v>189</v>
      </c>
      <c r="H14" s="75" t="s">
        <v>189</v>
      </c>
      <c r="I14" s="75" t="s">
        <v>189</v>
      </c>
      <c r="J14" s="75" t="s">
        <v>189</v>
      </c>
      <c r="K14" s="75" t="s">
        <v>189</v>
      </c>
      <c r="L14" s="75" t="s">
        <v>189</v>
      </c>
      <c r="M14" s="75" t="s">
        <v>189</v>
      </c>
      <c r="N14" s="75" t="s">
        <v>209</v>
      </c>
      <c r="O14" s="75" t="s">
        <v>205</v>
      </c>
      <c r="P14" s="75" t="s">
        <v>209</v>
      </c>
      <c r="Q14" s="75" t="s">
        <v>191</v>
      </c>
      <c r="R14" s="75" t="s">
        <v>192</v>
      </c>
      <c r="S14" s="75" t="s">
        <v>209</v>
      </c>
      <c r="T14" s="75" t="s">
        <v>193</v>
      </c>
      <c r="U14" s="75" t="s">
        <v>194</v>
      </c>
      <c r="V14" s="75" t="s">
        <v>195</v>
      </c>
      <c r="W14" s="75" t="s">
        <v>196</v>
      </c>
      <c r="X14" s="75" t="s">
        <v>189</v>
      </c>
      <c r="Y14" s="75" t="s">
        <v>189</v>
      </c>
      <c r="Z14" s="75" t="s">
        <v>189</v>
      </c>
      <c r="AA14" s="75" t="s">
        <v>189</v>
      </c>
      <c r="AB14" s="75" t="s">
        <v>189</v>
      </c>
      <c r="AC14" s="75" t="s">
        <v>189</v>
      </c>
      <c r="AD14" s="75" t="s">
        <v>189</v>
      </c>
      <c r="AE14" s="75" t="s">
        <v>189</v>
      </c>
      <c r="AF14" s="75" t="s">
        <v>189</v>
      </c>
      <c r="AG14" s="75" t="s">
        <v>189</v>
      </c>
      <c r="AH14" s="75" t="s">
        <v>189</v>
      </c>
      <c r="AI14" s="75" t="s">
        <v>189</v>
      </c>
      <c r="AJ14" s="75" t="s">
        <v>189</v>
      </c>
      <c r="AK14" s="75" t="s">
        <v>189</v>
      </c>
      <c r="AL14" s="75" t="s">
        <v>189</v>
      </c>
      <c r="AM14" s="75" t="s">
        <v>189</v>
      </c>
      <c r="AN14" s="75" t="s">
        <v>189</v>
      </c>
      <c r="AO14" s="75" t="s">
        <v>189</v>
      </c>
      <c r="AP14" s="75" t="s">
        <v>189</v>
      </c>
      <c r="AQ14" s="75" t="s">
        <v>189</v>
      </c>
      <c r="AR14" s="75" t="s">
        <v>189</v>
      </c>
      <c r="AS14" s="75" t="s">
        <v>189</v>
      </c>
      <c r="AT14" s="75" t="s">
        <v>189</v>
      </c>
      <c r="AU14" s="75" t="s">
        <v>189</v>
      </c>
      <c r="AV14" s="75" t="s">
        <v>189</v>
      </c>
      <c r="AW14" s="75" t="s">
        <v>189</v>
      </c>
      <c r="AX14" s="75" t="s">
        <v>189</v>
      </c>
      <c r="AY14" s="75" t="s">
        <v>189</v>
      </c>
      <c r="AZ14" s="75" t="s">
        <v>189</v>
      </c>
      <c r="BA14" s="75" t="s">
        <v>189</v>
      </c>
      <c r="BB14" s="75" t="s">
        <v>189</v>
      </c>
      <c r="BC14" s="75" t="s">
        <v>189</v>
      </c>
      <c r="BD14" s="75" t="s">
        <v>189</v>
      </c>
      <c r="BE14" s="75" t="s">
        <v>189</v>
      </c>
      <c r="BF14" s="75" t="s">
        <v>189</v>
      </c>
      <c r="BG14" s="75" t="s">
        <v>189</v>
      </c>
      <c r="BH14" s="75" t="s">
        <v>189</v>
      </c>
      <c r="BI14" s="75" t="s">
        <v>189</v>
      </c>
      <c r="BJ14" s="75" t="s">
        <v>189</v>
      </c>
      <c r="BK14" s="75" t="s">
        <v>189</v>
      </c>
      <c r="BL14" s="75" t="s">
        <v>189</v>
      </c>
      <c r="BM14" s="75" t="s">
        <v>189</v>
      </c>
      <c r="BN14" s="75" t="s">
        <v>189</v>
      </c>
      <c r="BO14" s="75" t="s">
        <v>189</v>
      </c>
      <c r="BP14" s="75" t="s">
        <v>189</v>
      </c>
      <c r="BQ14" s="75" t="s">
        <v>189</v>
      </c>
      <c r="BR14" s="75" t="s">
        <v>189</v>
      </c>
      <c r="BS14" s="75" t="s">
        <v>189</v>
      </c>
      <c r="BT14" s="75" t="s">
        <v>189</v>
      </c>
      <c r="BU14" s="75" t="s">
        <v>189</v>
      </c>
      <c r="BV14" s="75" t="s">
        <v>189</v>
      </c>
      <c r="BW14" s="75" t="s">
        <v>189</v>
      </c>
      <c r="BX14" s="75" t="s">
        <v>189</v>
      </c>
      <c r="BY14" s="75" t="s">
        <v>189</v>
      </c>
      <c r="BZ14" s="75" t="s">
        <v>189</v>
      </c>
      <c r="CA14" s="75" t="s">
        <v>189</v>
      </c>
      <c r="CB14" s="75" t="s">
        <v>189</v>
      </c>
      <c r="CC14" s="75" t="s">
        <v>189</v>
      </c>
      <c r="CD14" s="75" t="s">
        <v>189</v>
      </c>
      <c r="CE14" s="75" t="s">
        <v>189</v>
      </c>
      <c r="CF14" s="75" t="s">
        <v>189</v>
      </c>
      <c r="CG14" s="75" t="s">
        <v>189</v>
      </c>
      <c r="CH14" s="75" t="s">
        <v>189</v>
      </c>
      <c r="CI14" s="75" t="s">
        <v>189</v>
      </c>
      <c r="CJ14" s="75" t="s">
        <v>189</v>
      </c>
      <c r="CK14" s="75" t="s">
        <v>189</v>
      </c>
      <c r="CL14" s="75" t="s">
        <v>189</v>
      </c>
      <c r="CM14" s="75" t="s">
        <v>189</v>
      </c>
      <c r="CN14" s="75" t="s">
        <v>189</v>
      </c>
      <c r="CO14" s="75" t="s">
        <v>189</v>
      </c>
      <c r="CP14" s="75" t="s">
        <v>189</v>
      </c>
      <c r="CQ14" s="75" t="s">
        <v>189</v>
      </c>
      <c r="CR14" s="75" t="s">
        <v>189</v>
      </c>
      <c r="CS14" s="75" t="s">
        <v>189</v>
      </c>
      <c r="CT14" s="75" t="s">
        <v>189</v>
      </c>
      <c r="CU14" s="75" t="s">
        <v>189</v>
      </c>
      <c r="CV14" s="75" t="s">
        <v>189</v>
      </c>
      <c r="CW14" s="75" t="s">
        <v>189</v>
      </c>
      <c r="CX14" s="75" t="s">
        <v>189</v>
      </c>
      <c r="CY14" s="75" t="s">
        <v>189</v>
      </c>
      <c r="CZ14" s="75" t="s">
        <v>189</v>
      </c>
      <c r="DA14" s="75" t="s">
        <v>189</v>
      </c>
      <c r="DB14" s="75" t="s">
        <v>189</v>
      </c>
      <c r="DC14" s="75" t="s">
        <v>189</v>
      </c>
      <c r="DD14" s="75" t="s">
        <v>189</v>
      </c>
      <c r="DE14" s="75" t="s">
        <v>189</v>
      </c>
      <c r="DF14" s="75" t="s">
        <v>189</v>
      </c>
      <c r="DG14" s="75" t="s">
        <v>189</v>
      </c>
      <c r="DH14" s="75" t="s">
        <v>189</v>
      </c>
      <c r="DI14" s="75" t="s">
        <v>189</v>
      </c>
      <c r="DJ14" s="75" t="s">
        <v>189</v>
      </c>
      <c r="DK14" s="75" t="s">
        <v>189</v>
      </c>
      <c r="DL14" s="75" t="s">
        <v>209</v>
      </c>
      <c r="DM14" s="75" t="s">
        <v>210</v>
      </c>
      <c r="DN14" s="75" t="s">
        <v>145</v>
      </c>
      <c r="DO14" s="75" t="s">
        <v>145</v>
      </c>
      <c r="DP14" s="80"/>
    </row>
    <row r="15" spans="1:120">
      <c r="A15" s="60"/>
      <c r="B15" s="27" t="s">
        <v>185</v>
      </c>
      <c r="C15" s="81" t="s">
        <v>186</v>
      </c>
      <c r="D15" s="75" t="s">
        <v>187</v>
      </c>
      <c r="E15" s="75" t="s">
        <v>211</v>
      </c>
      <c r="F15" s="75" t="s">
        <v>189</v>
      </c>
      <c r="G15" s="75" t="s">
        <v>189</v>
      </c>
      <c r="H15" s="75" t="s">
        <v>189</v>
      </c>
      <c r="I15" s="75" t="s">
        <v>189</v>
      </c>
      <c r="J15" s="75" t="s">
        <v>189</v>
      </c>
      <c r="K15" s="75" t="s">
        <v>189</v>
      </c>
      <c r="L15" s="75" t="s">
        <v>189</v>
      </c>
      <c r="M15" s="75" t="s">
        <v>189</v>
      </c>
      <c r="N15" s="75" t="s">
        <v>211</v>
      </c>
      <c r="O15" s="75" t="s">
        <v>212</v>
      </c>
      <c r="P15" s="75" t="s">
        <v>211</v>
      </c>
      <c r="Q15" s="75" t="s">
        <v>191</v>
      </c>
      <c r="R15" s="75" t="s">
        <v>192</v>
      </c>
      <c r="S15" s="75" t="s">
        <v>211</v>
      </c>
      <c r="T15" s="75" t="s">
        <v>193</v>
      </c>
      <c r="U15" s="75" t="s">
        <v>194</v>
      </c>
      <c r="V15" s="75" t="s">
        <v>195</v>
      </c>
      <c r="W15" s="75" t="s">
        <v>196</v>
      </c>
      <c r="X15" s="75" t="s">
        <v>189</v>
      </c>
      <c r="Y15" s="75" t="s">
        <v>189</v>
      </c>
      <c r="Z15" s="75" t="s">
        <v>189</v>
      </c>
      <c r="AA15" s="75" t="s">
        <v>189</v>
      </c>
      <c r="AB15" s="75" t="s">
        <v>189</v>
      </c>
      <c r="AC15" s="75" t="s">
        <v>189</v>
      </c>
      <c r="AD15" s="75" t="s">
        <v>189</v>
      </c>
      <c r="AE15" s="75" t="s">
        <v>189</v>
      </c>
      <c r="AF15" s="75" t="s">
        <v>189</v>
      </c>
      <c r="AG15" s="75" t="s">
        <v>189</v>
      </c>
      <c r="AH15" s="75" t="s">
        <v>189</v>
      </c>
      <c r="AI15" s="75" t="s">
        <v>189</v>
      </c>
      <c r="AJ15" s="75" t="s">
        <v>189</v>
      </c>
      <c r="AK15" s="75" t="s">
        <v>189</v>
      </c>
      <c r="AL15" s="75" t="s">
        <v>189</v>
      </c>
      <c r="AM15" s="75" t="s">
        <v>189</v>
      </c>
      <c r="AN15" s="75" t="s">
        <v>189</v>
      </c>
      <c r="AO15" s="75" t="s">
        <v>189</v>
      </c>
      <c r="AP15" s="75" t="s">
        <v>189</v>
      </c>
      <c r="AQ15" s="75" t="s">
        <v>189</v>
      </c>
      <c r="AR15" s="75" t="s">
        <v>189</v>
      </c>
      <c r="AS15" s="75" t="s">
        <v>189</v>
      </c>
      <c r="AT15" s="75" t="s">
        <v>189</v>
      </c>
      <c r="AU15" s="75" t="s">
        <v>189</v>
      </c>
      <c r="AV15" s="75" t="s">
        <v>189</v>
      </c>
      <c r="AW15" s="75" t="s">
        <v>189</v>
      </c>
      <c r="AX15" s="75" t="s">
        <v>189</v>
      </c>
      <c r="AY15" s="75" t="s">
        <v>189</v>
      </c>
      <c r="AZ15" s="75" t="s">
        <v>189</v>
      </c>
      <c r="BA15" s="75" t="s">
        <v>189</v>
      </c>
      <c r="BB15" s="75" t="s">
        <v>189</v>
      </c>
      <c r="BC15" s="75" t="s">
        <v>189</v>
      </c>
      <c r="BD15" s="75" t="s">
        <v>189</v>
      </c>
      <c r="BE15" s="75" t="s">
        <v>189</v>
      </c>
      <c r="BF15" s="75" t="s">
        <v>189</v>
      </c>
      <c r="BG15" s="75" t="s">
        <v>189</v>
      </c>
      <c r="BH15" s="75" t="s">
        <v>189</v>
      </c>
      <c r="BI15" s="75" t="s">
        <v>189</v>
      </c>
      <c r="BJ15" s="75" t="s">
        <v>189</v>
      </c>
      <c r="BK15" s="75" t="s">
        <v>189</v>
      </c>
      <c r="BL15" s="75" t="s">
        <v>189</v>
      </c>
      <c r="BM15" s="75" t="s">
        <v>189</v>
      </c>
      <c r="BN15" s="75" t="s">
        <v>189</v>
      </c>
      <c r="BO15" s="75" t="s">
        <v>189</v>
      </c>
      <c r="BP15" s="75" t="s">
        <v>189</v>
      </c>
      <c r="BQ15" s="75" t="s">
        <v>189</v>
      </c>
      <c r="BR15" s="75" t="s">
        <v>189</v>
      </c>
      <c r="BS15" s="75" t="s">
        <v>189</v>
      </c>
      <c r="BT15" s="75" t="s">
        <v>189</v>
      </c>
      <c r="BU15" s="75" t="s">
        <v>189</v>
      </c>
      <c r="BV15" s="75" t="s">
        <v>189</v>
      </c>
      <c r="BW15" s="75" t="s">
        <v>189</v>
      </c>
      <c r="BX15" s="75" t="s">
        <v>189</v>
      </c>
      <c r="BY15" s="75" t="s">
        <v>189</v>
      </c>
      <c r="BZ15" s="75" t="s">
        <v>189</v>
      </c>
      <c r="CA15" s="75" t="s">
        <v>189</v>
      </c>
      <c r="CB15" s="75" t="s">
        <v>189</v>
      </c>
      <c r="CC15" s="75" t="s">
        <v>189</v>
      </c>
      <c r="CD15" s="75" t="s">
        <v>189</v>
      </c>
      <c r="CE15" s="75" t="s">
        <v>189</v>
      </c>
      <c r="CF15" s="75" t="s">
        <v>189</v>
      </c>
      <c r="CG15" s="75" t="s">
        <v>189</v>
      </c>
      <c r="CH15" s="75" t="s">
        <v>189</v>
      </c>
      <c r="CI15" s="75" t="s">
        <v>189</v>
      </c>
      <c r="CJ15" s="75" t="s">
        <v>189</v>
      </c>
      <c r="CK15" s="75" t="s">
        <v>189</v>
      </c>
      <c r="CL15" s="75" t="s">
        <v>189</v>
      </c>
      <c r="CM15" s="75" t="s">
        <v>189</v>
      </c>
      <c r="CN15" s="75" t="s">
        <v>189</v>
      </c>
      <c r="CO15" s="75" t="s">
        <v>189</v>
      </c>
      <c r="CP15" s="75" t="s">
        <v>189</v>
      </c>
      <c r="CQ15" s="75" t="s">
        <v>189</v>
      </c>
      <c r="CR15" s="75" t="s">
        <v>189</v>
      </c>
      <c r="CS15" s="75" t="s">
        <v>189</v>
      </c>
      <c r="CT15" s="75" t="s">
        <v>189</v>
      </c>
      <c r="CU15" s="75" t="s">
        <v>189</v>
      </c>
      <c r="CV15" s="75" t="s">
        <v>189</v>
      </c>
      <c r="CW15" s="75" t="s">
        <v>189</v>
      </c>
      <c r="CX15" s="75" t="s">
        <v>189</v>
      </c>
      <c r="CY15" s="75" t="s">
        <v>189</v>
      </c>
      <c r="CZ15" s="75" t="s">
        <v>189</v>
      </c>
      <c r="DA15" s="75" t="s">
        <v>189</v>
      </c>
      <c r="DB15" s="75" t="s">
        <v>189</v>
      </c>
      <c r="DC15" s="75" t="s">
        <v>189</v>
      </c>
      <c r="DD15" s="75" t="s">
        <v>189</v>
      </c>
      <c r="DE15" s="75" t="s">
        <v>189</v>
      </c>
      <c r="DF15" s="75" t="s">
        <v>189</v>
      </c>
      <c r="DG15" s="75" t="s">
        <v>189</v>
      </c>
      <c r="DH15" s="75" t="s">
        <v>189</v>
      </c>
      <c r="DI15" s="75" t="s">
        <v>189</v>
      </c>
      <c r="DJ15" s="75" t="s">
        <v>189</v>
      </c>
      <c r="DK15" s="75" t="s">
        <v>189</v>
      </c>
      <c r="DL15" s="75" t="s">
        <v>211</v>
      </c>
      <c r="DM15" s="75" t="s">
        <v>213</v>
      </c>
      <c r="DN15" s="75" t="s">
        <v>145</v>
      </c>
      <c r="DO15" s="75" t="s">
        <v>145</v>
      </c>
      <c r="DP15" s="80"/>
    </row>
    <row r="16" spans="1:120">
      <c r="A16" s="60"/>
      <c r="B16" s="27" t="s">
        <v>185</v>
      </c>
      <c r="C16" s="81" t="s">
        <v>186</v>
      </c>
      <c r="D16" s="75" t="s">
        <v>187</v>
      </c>
      <c r="E16" s="75" t="s">
        <v>214</v>
      </c>
      <c r="F16" s="75" t="s">
        <v>189</v>
      </c>
      <c r="G16" s="75" t="s">
        <v>189</v>
      </c>
      <c r="H16" s="75" t="s">
        <v>189</v>
      </c>
      <c r="I16" s="75" t="s">
        <v>189</v>
      </c>
      <c r="J16" s="75" t="s">
        <v>189</v>
      </c>
      <c r="K16" s="75" t="s">
        <v>189</v>
      </c>
      <c r="L16" s="75" t="s">
        <v>189</v>
      </c>
      <c r="M16" s="75" t="s">
        <v>189</v>
      </c>
      <c r="N16" s="75" t="s">
        <v>214</v>
      </c>
      <c r="O16" s="75" t="s">
        <v>215</v>
      </c>
      <c r="P16" s="75" t="s">
        <v>214</v>
      </c>
      <c r="Q16" s="75" t="s">
        <v>191</v>
      </c>
      <c r="R16" s="75" t="s">
        <v>192</v>
      </c>
      <c r="S16" s="75" t="s">
        <v>214</v>
      </c>
      <c r="T16" s="75" t="s">
        <v>193</v>
      </c>
      <c r="U16" s="75" t="s">
        <v>194</v>
      </c>
      <c r="V16" s="75" t="s">
        <v>195</v>
      </c>
      <c r="W16" s="75" t="s">
        <v>196</v>
      </c>
      <c r="X16" s="75" t="s">
        <v>189</v>
      </c>
      <c r="Y16" s="75" t="s">
        <v>189</v>
      </c>
      <c r="Z16" s="75" t="s">
        <v>189</v>
      </c>
      <c r="AA16" s="75" t="s">
        <v>189</v>
      </c>
      <c r="AB16" s="75" t="s">
        <v>189</v>
      </c>
      <c r="AC16" s="75" t="s">
        <v>189</v>
      </c>
      <c r="AD16" s="75" t="s">
        <v>189</v>
      </c>
      <c r="AE16" s="75" t="s">
        <v>189</v>
      </c>
      <c r="AF16" s="75" t="s">
        <v>189</v>
      </c>
      <c r="AG16" s="75" t="s">
        <v>189</v>
      </c>
      <c r="AH16" s="75" t="s">
        <v>189</v>
      </c>
      <c r="AI16" s="75" t="s">
        <v>189</v>
      </c>
      <c r="AJ16" s="75" t="s">
        <v>189</v>
      </c>
      <c r="AK16" s="75" t="s">
        <v>189</v>
      </c>
      <c r="AL16" s="75" t="s">
        <v>189</v>
      </c>
      <c r="AM16" s="75" t="s">
        <v>189</v>
      </c>
      <c r="AN16" s="75" t="s">
        <v>189</v>
      </c>
      <c r="AO16" s="75" t="s">
        <v>189</v>
      </c>
      <c r="AP16" s="75" t="s">
        <v>189</v>
      </c>
      <c r="AQ16" s="75" t="s">
        <v>189</v>
      </c>
      <c r="AR16" s="75" t="s">
        <v>189</v>
      </c>
      <c r="AS16" s="75" t="s">
        <v>189</v>
      </c>
      <c r="AT16" s="75" t="s">
        <v>189</v>
      </c>
      <c r="AU16" s="75" t="s">
        <v>189</v>
      </c>
      <c r="AV16" s="75" t="s">
        <v>189</v>
      </c>
      <c r="AW16" s="75" t="s">
        <v>189</v>
      </c>
      <c r="AX16" s="75" t="s">
        <v>189</v>
      </c>
      <c r="AY16" s="75" t="s">
        <v>189</v>
      </c>
      <c r="AZ16" s="75" t="s">
        <v>189</v>
      </c>
      <c r="BA16" s="75" t="s">
        <v>189</v>
      </c>
      <c r="BB16" s="75" t="s">
        <v>189</v>
      </c>
      <c r="BC16" s="75" t="s">
        <v>189</v>
      </c>
      <c r="BD16" s="75" t="s">
        <v>189</v>
      </c>
      <c r="BE16" s="75" t="s">
        <v>189</v>
      </c>
      <c r="BF16" s="75" t="s">
        <v>189</v>
      </c>
      <c r="BG16" s="75" t="s">
        <v>189</v>
      </c>
      <c r="BH16" s="75" t="s">
        <v>189</v>
      </c>
      <c r="BI16" s="75" t="s">
        <v>189</v>
      </c>
      <c r="BJ16" s="75" t="s">
        <v>189</v>
      </c>
      <c r="BK16" s="75" t="s">
        <v>189</v>
      </c>
      <c r="BL16" s="75" t="s">
        <v>189</v>
      </c>
      <c r="BM16" s="75" t="s">
        <v>189</v>
      </c>
      <c r="BN16" s="75" t="s">
        <v>189</v>
      </c>
      <c r="BO16" s="75" t="s">
        <v>189</v>
      </c>
      <c r="BP16" s="75" t="s">
        <v>189</v>
      </c>
      <c r="BQ16" s="75" t="s">
        <v>189</v>
      </c>
      <c r="BR16" s="75" t="s">
        <v>189</v>
      </c>
      <c r="BS16" s="75" t="s">
        <v>189</v>
      </c>
      <c r="BT16" s="75" t="s">
        <v>189</v>
      </c>
      <c r="BU16" s="75" t="s">
        <v>189</v>
      </c>
      <c r="BV16" s="75" t="s">
        <v>189</v>
      </c>
      <c r="BW16" s="75" t="s">
        <v>189</v>
      </c>
      <c r="BX16" s="75" t="s">
        <v>189</v>
      </c>
      <c r="BY16" s="75" t="s">
        <v>189</v>
      </c>
      <c r="BZ16" s="75" t="s">
        <v>189</v>
      </c>
      <c r="CA16" s="75" t="s">
        <v>189</v>
      </c>
      <c r="CB16" s="75" t="s">
        <v>189</v>
      </c>
      <c r="CC16" s="75" t="s">
        <v>189</v>
      </c>
      <c r="CD16" s="75" t="s">
        <v>189</v>
      </c>
      <c r="CE16" s="75" t="s">
        <v>189</v>
      </c>
      <c r="CF16" s="75" t="s">
        <v>189</v>
      </c>
      <c r="CG16" s="75" t="s">
        <v>189</v>
      </c>
      <c r="CH16" s="75" t="s">
        <v>189</v>
      </c>
      <c r="CI16" s="75" t="s">
        <v>189</v>
      </c>
      <c r="CJ16" s="75" t="s">
        <v>189</v>
      </c>
      <c r="CK16" s="75" t="s">
        <v>189</v>
      </c>
      <c r="CL16" s="75" t="s">
        <v>189</v>
      </c>
      <c r="CM16" s="75" t="s">
        <v>189</v>
      </c>
      <c r="CN16" s="75" t="s">
        <v>189</v>
      </c>
      <c r="CO16" s="75" t="s">
        <v>189</v>
      </c>
      <c r="CP16" s="75" t="s">
        <v>189</v>
      </c>
      <c r="CQ16" s="75" t="s">
        <v>189</v>
      </c>
      <c r="CR16" s="75" t="s">
        <v>189</v>
      </c>
      <c r="CS16" s="75" t="s">
        <v>189</v>
      </c>
      <c r="CT16" s="75" t="s">
        <v>189</v>
      </c>
      <c r="CU16" s="75" t="s">
        <v>189</v>
      </c>
      <c r="CV16" s="75" t="s">
        <v>189</v>
      </c>
      <c r="CW16" s="75" t="s">
        <v>189</v>
      </c>
      <c r="CX16" s="75" t="s">
        <v>189</v>
      </c>
      <c r="CY16" s="75" t="s">
        <v>189</v>
      </c>
      <c r="CZ16" s="75" t="s">
        <v>189</v>
      </c>
      <c r="DA16" s="75" t="s">
        <v>189</v>
      </c>
      <c r="DB16" s="75" t="s">
        <v>189</v>
      </c>
      <c r="DC16" s="75" t="s">
        <v>189</v>
      </c>
      <c r="DD16" s="75" t="s">
        <v>189</v>
      </c>
      <c r="DE16" s="75" t="s">
        <v>189</v>
      </c>
      <c r="DF16" s="75" t="s">
        <v>189</v>
      </c>
      <c r="DG16" s="75" t="s">
        <v>189</v>
      </c>
      <c r="DH16" s="75" t="s">
        <v>189</v>
      </c>
      <c r="DI16" s="75" t="s">
        <v>189</v>
      </c>
      <c r="DJ16" s="75" t="s">
        <v>189</v>
      </c>
      <c r="DK16" s="75" t="s">
        <v>189</v>
      </c>
      <c r="DL16" s="75" t="s">
        <v>214</v>
      </c>
      <c r="DM16" s="75" t="s">
        <v>216</v>
      </c>
      <c r="DN16" s="75" t="s">
        <v>145</v>
      </c>
      <c r="DO16" s="75" t="s">
        <v>145</v>
      </c>
      <c r="DP16" s="80"/>
    </row>
    <row r="17" spans="1:143">
      <c r="A17" s="60"/>
      <c r="B17" s="27" t="s">
        <v>185</v>
      </c>
      <c r="C17" s="81" t="s">
        <v>186</v>
      </c>
      <c r="D17" s="75" t="s">
        <v>187</v>
      </c>
      <c r="E17" s="75" t="s">
        <v>217</v>
      </c>
      <c r="F17" s="75" t="s">
        <v>189</v>
      </c>
      <c r="G17" s="75" t="s">
        <v>189</v>
      </c>
      <c r="H17" s="75" t="s">
        <v>189</v>
      </c>
      <c r="I17" s="75" t="s">
        <v>189</v>
      </c>
      <c r="J17" s="75" t="s">
        <v>189</v>
      </c>
      <c r="K17" s="75" t="s">
        <v>189</v>
      </c>
      <c r="L17" s="75" t="s">
        <v>189</v>
      </c>
      <c r="M17" s="75" t="s">
        <v>189</v>
      </c>
      <c r="N17" s="75" t="s">
        <v>217</v>
      </c>
      <c r="O17" s="75" t="s">
        <v>218</v>
      </c>
      <c r="P17" s="75" t="s">
        <v>217</v>
      </c>
      <c r="Q17" s="75" t="s">
        <v>191</v>
      </c>
      <c r="R17" s="75" t="s">
        <v>192</v>
      </c>
      <c r="S17" s="75" t="s">
        <v>217</v>
      </c>
      <c r="T17" s="75" t="s">
        <v>193</v>
      </c>
      <c r="U17" s="75" t="s">
        <v>194</v>
      </c>
      <c r="V17" s="75" t="s">
        <v>195</v>
      </c>
      <c r="W17" s="75" t="s">
        <v>196</v>
      </c>
      <c r="X17" s="75" t="s">
        <v>189</v>
      </c>
      <c r="Y17" s="75" t="s">
        <v>189</v>
      </c>
      <c r="Z17" s="75" t="s">
        <v>189</v>
      </c>
      <c r="AA17" s="75" t="s">
        <v>189</v>
      </c>
      <c r="AB17" s="75" t="s">
        <v>189</v>
      </c>
      <c r="AC17" s="75" t="s">
        <v>189</v>
      </c>
      <c r="AD17" s="75" t="s">
        <v>189</v>
      </c>
      <c r="AE17" s="75" t="s">
        <v>189</v>
      </c>
      <c r="AF17" s="75" t="s">
        <v>189</v>
      </c>
      <c r="AG17" s="75" t="s">
        <v>189</v>
      </c>
      <c r="AH17" s="75" t="s">
        <v>189</v>
      </c>
      <c r="AI17" s="75" t="s">
        <v>189</v>
      </c>
      <c r="AJ17" s="75" t="s">
        <v>189</v>
      </c>
      <c r="AK17" s="75" t="s">
        <v>189</v>
      </c>
      <c r="AL17" s="75" t="s">
        <v>189</v>
      </c>
      <c r="AM17" s="75" t="s">
        <v>189</v>
      </c>
      <c r="AN17" s="75" t="s">
        <v>189</v>
      </c>
      <c r="AO17" s="75" t="s">
        <v>189</v>
      </c>
      <c r="AP17" s="75" t="s">
        <v>189</v>
      </c>
      <c r="AQ17" s="75" t="s">
        <v>189</v>
      </c>
      <c r="AR17" s="75" t="s">
        <v>189</v>
      </c>
      <c r="AS17" s="75" t="s">
        <v>189</v>
      </c>
      <c r="AT17" s="75" t="s">
        <v>189</v>
      </c>
      <c r="AU17" s="75" t="s">
        <v>189</v>
      </c>
      <c r="AV17" s="75" t="s">
        <v>189</v>
      </c>
      <c r="AW17" s="75" t="s">
        <v>189</v>
      </c>
      <c r="AX17" s="75" t="s">
        <v>189</v>
      </c>
      <c r="AY17" s="75" t="s">
        <v>189</v>
      </c>
      <c r="AZ17" s="75" t="s">
        <v>189</v>
      </c>
      <c r="BA17" s="75" t="s">
        <v>189</v>
      </c>
      <c r="BB17" s="75" t="s">
        <v>189</v>
      </c>
      <c r="BC17" s="75" t="s">
        <v>189</v>
      </c>
      <c r="BD17" s="75" t="s">
        <v>189</v>
      </c>
      <c r="BE17" s="75" t="s">
        <v>189</v>
      </c>
      <c r="BF17" s="75" t="s">
        <v>189</v>
      </c>
      <c r="BG17" s="75" t="s">
        <v>189</v>
      </c>
      <c r="BH17" s="75" t="s">
        <v>189</v>
      </c>
      <c r="BI17" s="75" t="s">
        <v>189</v>
      </c>
      <c r="BJ17" s="75" t="s">
        <v>189</v>
      </c>
      <c r="BK17" s="75" t="s">
        <v>189</v>
      </c>
      <c r="BL17" s="75" t="s">
        <v>189</v>
      </c>
      <c r="BM17" s="75" t="s">
        <v>189</v>
      </c>
      <c r="BN17" s="75" t="s">
        <v>189</v>
      </c>
      <c r="BO17" s="75" t="s">
        <v>189</v>
      </c>
      <c r="BP17" s="75" t="s">
        <v>189</v>
      </c>
      <c r="BQ17" s="75" t="s">
        <v>189</v>
      </c>
      <c r="BR17" s="75" t="s">
        <v>189</v>
      </c>
      <c r="BS17" s="75" t="s">
        <v>189</v>
      </c>
      <c r="BT17" s="75" t="s">
        <v>189</v>
      </c>
      <c r="BU17" s="75" t="s">
        <v>189</v>
      </c>
      <c r="BV17" s="75" t="s">
        <v>189</v>
      </c>
      <c r="BW17" s="75" t="s">
        <v>189</v>
      </c>
      <c r="BX17" s="75" t="s">
        <v>189</v>
      </c>
      <c r="BY17" s="75" t="s">
        <v>189</v>
      </c>
      <c r="BZ17" s="75" t="s">
        <v>189</v>
      </c>
      <c r="CA17" s="75" t="s">
        <v>189</v>
      </c>
      <c r="CB17" s="75" t="s">
        <v>189</v>
      </c>
      <c r="CC17" s="75" t="s">
        <v>189</v>
      </c>
      <c r="CD17" s="75" t="s">
        <v>189</v>
      </c>
      <c r="CE17" s="75" t="s">
        <v>189</v>
      </c>
      <c r="CF17" s="75" t="s">
        <v>189</v>
      </c>
      <c r="CG17" s="75" t="s">
        <v>189</v>
      </c>
      <c r="CH17" s="75" t="s">
        <v>189</v>
      </c>
      <c r="CI17" s="75" t="s">
        <v>189</v>
      </c>
      <c r="CJ17" s="75" t="s">
        <v>189</v>
      </c>
      <c r="CK17" s="75" t="s">
        <v>189</v>
      </c>
      <c r="CL17" s="75" t="s">
        <v>189</v>
      </c>
      <c r="CM17" s="75" t="s">
        <v>189</v>
      </c>
      <c r="CN17" s="75" t="s">
        <v>189</v>
      </c>
      <c r="CO17" s="75" t="s">
        <v>189</v>
      </c>
      <c r="CP17" s="75" t="s">
        <v>189</v>
      </c>
      <c r="CQ17" s="75" t="s">
        <v>189</v>
      </c>
      <c r="CR17" s="75" t="s">
        <v>189</v>
      </c>
      <c r="CS17" s="75" t="s">
        <v>189</v>
      </c>
      <c r="CT17" s="75" t="s">
        <v>189</v>
      </c>
      <c r="CU17" s="75" t="s">
        <v>189</v>
      </c>
      <c r="CV17" s="75" t="s">
        <v>189</v>
      </c>
      <c r="CW17" s="75" t="s">
        <v>189</v>
      </c>
      <c r="CX17" s="75" t="s">
        <v>189</v>
      </c>
      <c r="CY17" s="75" t="s">
        <v>189</v>
      </c>
      <c r="CZ17" s="75" t="s">
        <v>189</v>
      </c>
      <c r="DA17" s="75" t="s">
        <v>189</v>
      </c>
      <c r="DB17" s="75" t="s">
        <v>189</v>
      </c>
      <c r="DC17" s="75" t="s">
        <v>189</v>
      </c>
      <c r="DD17" s="75" t="s">
        <v>189</v>
      </c>
      <c r="DE17" s="75" t="s">
        <v>189</v>
      </c>
      <c r="DF17" s="75" t="s">
        <v>189</v>
      </c>
      <c r="DG17" s="75" t="s">
        <v>189</v>
      </c>
      <c r="DH17" s="75" t="s">
        <v>189</v>
      </c>
      <c r="DI17" s="75" t="s">
        <v>189</v>
      </c>
      <c r="DJ17" s="75" t="s">
        <v>189</v>
      </c>
      <c r="DK17" s="75" t="s">
        <v>189</v>
      </c>
      <c r="DL17" s="75" t="s">
        <v>217</v>
      </c>
      <c r="DM17" s="75" t="s">
        <v>219</v>
      </c>
      <c r="DN17" s="75" t="s">
        <v>145</v>
      </c>
      <c r="DO17" s="75" t="s">
        <v>145</v>
      </c>
      <c r="DP17" s="80"/>
    </row>
    <row r="18" spans="1:143">
      <c r="A18" s="60"/>
      <c r="B18" s="27" t="s">
        <v>185</v>
      </c>
      <c r="C18" s="81" t="s">
        <v>186</v>
      </c>
      <c r="D18" s="75" t="s">
        <v>187</v>
      </c>
      <c r="E18" s="75" t="s">
        <v>220</v>
      </c>
      <c r="F18" s="75" t="s">
        <v>189</v>
      </c>
      <c r="G18" s="75" t="s">
        <v>189</v>
      </c>
      <c r="H18" s="75" t="s">
        <v>189</v>
      </c>
      <c r="I18" s="75" t="s">
        <v>189</v>
      </c>
      <c r="J18" s="75" t="s">
        <v>189</v>
      </c>
      <c r="K18" s="75" t="s">
        <v>189</v>
      </c>
      <c r="L18" s="75" t="s">
        <v>189</v>
      </c>
      <c r="M18" s="75" t="s">
        <v>189</v>
      </c>
      <c r="N18" s="75" t="s">
        <v>220</v>
      </c>
      <c r="O18" s="75" t="s">
        <v>221</v>
      </c>
      <c r="P18" s="75" t="s">
        <v>220</v>
      </c>
      <c r="Q18" s="75" t="s">
        <v>191</v>
      </c>
      <c r="R18" s="75" t="s">
        <v>192</v>
      </c>
      <c r="S18" s="75" t="s">
        <v>220</v>
      </c>
      <c r="T18" s="75" t="s">
        <v>193</v>
      </c>
      <c r="U18" s="75" t="s">
        <v>194</v>
      </c>
      <c r="V18" s="75" t="s">
        <v>195</v>
      </c>
      <c r="W18" s="75" t="s">
        <v>196</v>
      </c>
      <c r="X18" s="75" t="s">
        <v>189</v>
      </c>
      <c r="Y18" s="75" t="s">
        <v>189</v>
      </c>
      <c r="Z18" s="75" t="s">
        <v>189</v>
      </c>
      <c r="AA18" s="75" t="s">
        <v>189</v>
      </c>
      <c r="AB18" s="75" t="s">
        <v>189</v>
      </c>
      <c r="AC18" s="75" t="s">
        <v>189</v>
      </c>
      <c r="AD18" s="75" t="s">
        <v>189</v>
      </c>
      <c r="AE18" s="75" t="s">
        <v>189</v>
      </c>
      <c r="AF18" s="75" t="s">
        <v>189</v>
      </c>
      <c r="AG18" s="75" t="s">
        <v>189</v>
      </c>
      <c r="AH18" s="75" t="s">
        <v>189</v>
      </c>
      <c r="AI18" s="75" t="s">
        <v>189</v>
      </c>
      <c r="AJ18" s="75" t="s">
        <v>189</v>
      </c>
      <c r="AK18" s="75" t="s">
        <v>189</v>
      </c>
      <c r="AL18" s="75" t="s">
        <v>189</v>
      </c>
      <c r="AM18" s="75" t="s">
        <v>189</v>
      </c>
      <c r="AN18" s="75" t="s">
        <v>189</v>
      </c>
      <c r="AO18" s="75" t="s">
        <v>189</v>
      </c>
      <c r="AP18" s="75" t="s">
        <v>189</v>
      </c>
      <c r="AQ18" s="75" t="s">
        <v>189</v>
      </c>
      <c r="AR18" s="75" t="s">
        <v>189</v>
      </c>
      <c r="AS18" s="75" t="s">
        <v>189</v>
      </c>
      <c r="AT18" s="75" t="s">
        <v>189</v>
      </c>
      <c r="AU18" s="75" t="s">
        <v>189</v>
      </c>
      <c r="AV18" s="75" t="s">
        <v>189</v>
      </c>
      <c r="AW18" s="75" t="s">
        <v>189</v>
      </c>
      <c r="AX18" s="75" t="s">
        <v>189</v>
      </c>
      <c r="AY18" s="75" t="s">
        <v>189</v>
      </c>
      <c r="AZ18" s="75" t="s">
        <v>189</v>
      </c>
      <c r="BA18" s="75" t="s">
        <v>189</v>
      </c>
      <c r="BB18" s="75" t="s">
        <v>189</v>
      </c>
      <c r="BC18" s="75" t="s">
        <v>189</v>
      </c>
      <c r="BD18" s="75" t="s">
        <v>189</v>
      </c>
      <c r="BE18" s="75" t="s">
        <v>189</v>
      </c>
      <c r="BF18" s="75" t="s">
        <v>189</v>
      </c>
      <c r="BG18" s="75" t="s">
        <v>189</v>
      </c>
      <c r="BH18" s="75" t="s">
        <v>189</v>
      </c>
      <c r="BI18" s="75" t="s">
        <v>189</v>
      </c>
      <c r="BJ18" s="75" t="s">
        <v>189</v>
      </c>
      <c r="BK18" s="75" t="s">
        <v>189</v>
      </c>
      <c r="BL18" s="75" t="s">
        <v>189</v>
      </c>
      <c r="BM18" s="75" t="s">
        <v>189</v>
      </c>
      <c r="BN18" s="75" t="s">
        <v>189</v>
      </c>
      <c r="BO18" s="75" t="s">
        <v>189</v>
      </c>
      <c r="BP18" s="75" t="s">
        <v>189</v>
      </c>
      <c r="BQ18" s="75" t="s">
        <v>189</v>
      </c>
      <c r="BR18" s="75" t="s">
        <v>189</v>
      </c>
      <c r="BS18" s="75" t="s">
        <v>189</v>
      </c>
      <c r="BT18" s="75" t="s">
        <v>189</v>
      </c>
      <c r="BU18" s="75" t="s">
        <v>189</v>
      </c>
      <c r="BV18" s="75" t="s">
        <v>189</v>
      </c>
      <c r="BW18" s="75" t="s">
        <v>189</v>
      </c>
      <c r="BX18" s="75" t="s">
        <v>189</v>
      </c>
      <c r="BY18" s="75" t="s">
        <v>189</v>
      </c>
      <c r="BZ18" s="75" t="s">
        <v>189</v>
      </c>
      <c r="CA18" s="75" t="s">
        <v>189</v>
      </c>
      <c r="CB18" s="75" t="s">
        <v>189</v>
      </c>
      <c r="CC18" s="75" t="s">
        <v>189</v>
      </c>
      <c r="CD18" s="75" t="s">
        <v>189</v>
      </c>
      <c r="CE18" s="75" t="s">
        <v>189</v>
      </c>
      <c r="CF18" s="75" t="s">
        <v>189</v>
      </c>
      <c r="CG18" s="75" t="s">
        <v>189</v>
      </c>
      <c r="CH18" s="75" t="s">
        <v>189</v>
      </c>
      <c r="CI18" s="75" t="s">
        <v>189</v>
      </c>
      <c r="CJ18" s="75" t="s">
        <v>189</v>
      </c>
      <c r="CK18" s="75" t="s">
        <v>189</v>
      </c>
      <c r="CL18" s="75" t="s">
        <v>189</v>
      </c>
      <c r="CM18" s="75" t="s">
        <v>189</v>
      </c>
      <c r="CN18" s="75" t="s">
        <v>189</v>
      </c>
      <c r="CO18" s="75" t="s">
        <v>189</v>
      </c>
      <c r="CP18" s="75" t="s">
        <v>189</v>
      </c>
      <c r="CQ18" s="75" t="s">
        <v>189</v>
      </c>
      <c r="CR18" s="75" t="s">
        <v>189</v>
      </c>
      <c r="CS18" s="75" t="s">
        <v>189</v>
      </c>
      <c r="CT18" s="75" t="s">
        <v>189</v>
      </c>
      <c r="CU18" s="75" t="s">
        <v>189</v>
      </c>
      <c r="CV18" s="75" t="s">
        <v>189</v>
      </c>
      <c r="CW18" s="75" t="s">
        <v>189</v>
      </c>
      <c r="CX18" s="75" t="s">
        <v>189</v>
      </c>
      <c r="CY18" s="75" t="s">
        <v>189</v>
      </c>
      <c r="CZ18" s="75" t="s">
        <v>189</v>
      </c>
      <c r="DA18" s="75" t="s">
        <v>189</v>
      </c>
      <c r="DB18" s="75" t="s">
        <v>189</v>
      </c>
      <c r="DC18" s="75" t="s">
        <v>189</v>
      </c>
      <c r="DD18" s="75" t="s">
        <v>189</v>
      </c>
      <c r="DE18" s="75" t="s">
        <v>189</v>
      </c>
      <c r="DF18" s="75" t="s">
        <v>189</v>
      </c>
      <c r="DG18" s="75" t="s">
        <v>189</v>
      </c>
      <c r="DH18" s="75" t="s">
        <v>189</v>
      </c>
      <c r="DI18" s="75" t="s">
        <v>189</v>
      </c>
      <c r="DJ18" s="75" t="s">
        <v>189</v>
      </c>
      <c r="DK18" s="75" t="s">
        <v>189</v>
      </c>
      <c r="DL18" s="75" t="s">
        <v>220</v>
      </c>
      <c r="DM18" s="75" t="s">
        <v>222</v>
      </c>
      <c r="DN18" s="75" t="s">
        <v>145</v>
      </c>
      <c r="DO18" s="75" t="s">
        <v>145</v>
      </c>
      <c r="DP18" s="80"/>
    </row>
    <row r="19" spans="1:143">
      <c r="A19" s="60"/>
      <c r="B19" s="27" t="s">
        <v>185</v>
      </c>
      <c r="C19" s="81" t="s">
        <v>186</v>
      </c>
      <c r="D19" s="75" t="s">
        <v>187</v>
      </c>
      <c r="E19" s="75" t="s">
        <v>223</v>
      </c>
      <c r="F19" s="75" t="s">
        <v>189</v>
      </c>
      <c r="G19" s="75" t="s">
        <v>189</v>
      </c>
      <c r="H19" s="75" t="s">
        <v>189</v>
      </c>
      <c r="I19" s="75" t="s">
        <v>189</v>
      </c>
      <c r="J19" s="75" t="s">
        <v>189</v>
      </c>
      <c r="K19" s="75" t="s">
        <v>189</v>
      </c>
      <c r="L19" s="75" t="s">
        <v>189</v>
      </c>
      <c r="M19" s="75" t="s">
        <v>189</v>
      </c>
      <c r="N19" s="75" t="s">
        <v>223</v>
      </c>
      <c r="O19" s="75" t="s">
        <v>224</v>
      </c>
      <c r="P19" s="75" t="s">
        <v>223</v>
      </c>
      <c r="Q19" s="75" t="s">
        <v>191</v>
      </c>
      <c r="R19" s="75" t="s">
        <v>192</v>
      </c>
      <c r="S19" s="75" t="s">
        <v>223</v>
      </c>
      <c r="T19" s="75" t="s">
        <v>193</v>
      </c>
      <c r="U19" s="75" t="s">
        <v>194</v>
      </c>
      <c r="V19" s="75" t="s">
        <v>195</v>
      </c>
      <c r="W19" s="75" t="s">
        <v>196</v>
      </c>
      <c r="X19" s="75" t="s">
        <v>189</v>
      </c>
      <c r="Y19" s="75" t="s">
        <v>189</v>
      </c>
      <c r="Z19" s="75" t="s">
        <v>189</v>
      </c>
      <c r="AA19" s="75" t="s">
        <v>189</v>
      </c>
      <c r="AB19" s="75" t="s">
        <v>189</v>
      </c>
      <c r="AC19" s="75" t="s">
        <v>189</v>
      </c>
      <c r="AD19" s="75" t="s">
        <v>189</v>
      </c>
      <c r="AE19" s="75" t="s">
        <v>189</v>
      </c>
      <c r="AF19" s="75" t="s">
        <v>189</v>
      </c>
      <c r="AG19" s="75" t="s">
        <v>189</v>
      </c>
      <c r="AH19" s="75" t="s">
        <v>189</v>
      </c>
      <c r="AI19" s="75" t="s">
        <v>189</v>
      </c>
      <c r="AJ19" s="75" t="s">
        <v>189</v>
      </c>
      <c r="AK19" s="75" t="s">
        <v>189</v>
      </c>
      <c r="AL19" s="75" t="s">
        <v>189</v>
      </c>
      <c r="AM19" s="75" t="s">
        <v>189</v>
      </c>
      <c r="AN19" s="75" t="s">
        <v>189</v>
      </c>
      <c r="AO19" s="75" t="s">
        <v>189</v>
      </c>
      <c r="AP19" s="75" t="s">
        <v>189</v>
      </c>
      <c r="AQ19" s="75" t="s">
        <v>189</v>
      </c>
      <c r="AR19" s="75" t="s">
        <v>189</v>
      </c>
      <c r="AS19" s="75" t="s">
        <v>189</v>
      </c>
      <c r="AT19" s="75" t="s">
        <v>189</v>
      </c>
      <c r="AU19" s="75" t="s">
        <v>189</v>
      </c>
      <c r="AV19" s="75" t="s">
        <v>189</v>
      </c>
      <c r="AW19" s="75" t="s">
        <v>189</v>
      </c>
      <c r="AX19" s="75" t="s">
        <v>189</v>
      </c>
      <c r="AY19" s="75" t="s">
        <v>189</v>
      </c>
      <c r="AZ19" s="75" t="s">
        <v>189</v>
      </c>
      <c r="BA19" s="75" t="s">
        <v>189</v>
      </c>
      <c r="BB19" s="75" t="s">
        <v>189</v>
      </c>
      <c r="BC19" s="75" t="s">
        <v>189</v>
      </c>
      <c r="BD19" s="75" t="s">
        <v>189</v>
      </c>
      <c r="BE19" s="75" t="s">
        <v>189</v>
      </c>
      <c r="BF19" s="75" t="s">
        <v>189</v>
      </c>
      <c r="BG19" s="75" t="s">
        <v>189</v>
      </c>
      <c r="BH19" s="75" t="s">
        <v>189</v>
      </c>
      <c r="BI19" s="75" t="s">
        <v>189</v>
      </c>
      <c r="BJ19" s="75" t="s">
        <v>189</v>
      </c>
      <c r="BK19" s="75" t="s">
        <v>189</v>
      </c>
      <c r="BL19" s="75" t="s">
        <v>189</v>
      </c>
      <c r="BM19" s="75" t="s">
        <v>189</v>
      </c>
      <c r="BN19" s="75" t="s">
        <v>189</v>
      </c>
      <c r="BO19" s="75" t="s">
        <v>189</v>
      </c>
      <c r="BP19" s="75" t="s">
        <v>189</v>
      </c>
      <c r="BQ19" s="75" t="s">
        <v>189</v>
      </c>
      <c r="BR19" s="75" t="s">
        <v>189</v>
      </c>
      <c r="BS19" s="75" t="s">
        <v>189</v>
      </c>
      <c r="BT19" s="75" t="s">
        <v>189</v>
      </c>
      <c r="BU19" s="75" t="s">
        <v>189</v>
      </c>
      <c r="BV19" s="75" t="s">
        <v>189</v>
      </c>
      <c r="BW19" s="75" t="s">
        <v>189</v>
      </c>
      <c r="BX19" s="75" t="s">
        <v>189</v>
      </c>
      <c r="BY19" s="75" t="s">
        <v>189</v>
      </c>
      <c r="BZ19" s="75" t="s">
        <v>189</v>
      </c>
      <c r="CA19" s="75" t="s">
        <v>189</v>
      </c>
      <c r="CB19" s="75" t="s">
        <v>189</v>
      </c>
      <c r="CC19" s="75" t="s">
        <v>189</v>
      </c>
      <c r="CD19" s="75" t="s">
        <v>189</v>
      </c>
      <c r="CE19" s="75" t="s">
        <v>189</v>
      </c>
      <c r="CF19" s="75" t="s">
        <v>189</v>
      </c>
      <c r="CG19" s="75" t="s">
        <v>189</v>
      </c>
      <c r="CH19" s="75" t="s">
        <v>189</v>
      </c>
      <c r="CI19" s="75" t="s">
        <v>189</v>
      </c>
      <c r="CJ19" s="75" t="s">
        <v>189</v>
      </c>
      <c r="CK19" s="75" t="s">
        <v>189</v>
      </c>
      <c r="CL19" s="75" t="s">
        <v>189</v>
      </c>
      <c r="CM19" s="75" t="s">
        <v>189</v>
      </c>
      <c r="CN19" s="75" t="s">
        <v>189</v>
      </c>
      <c r="CO19" s="75" t="s">
        <v>189</v>
      </c>
      <c r="CP19" s="75" t="s">
        <v>189</v>
      </c>
      <c r="CQ19" s="75" t="s">
        <v>189</v>
      </c>
      <c r="CR19" s="75" t="s">
        <v>189</v>
      </c>
      <c r="CS19" s="75" t="s">
        <v>189</v>
      </c>
      <c r="CT19" s="75" t="s">
        <v>189</v>
      </c>
      <c r="CU19" s="75" t="s">
        <v>189</v>
      </c>
      <c r="CV19" s="75" t="s">
        <v>189</v>
      </c>
      <c r="CW19" s="75" t="s">
        <v>189</v>
      </c>
      <c r="CX19" s="75" t="s">
        <v>189</v>
      </c>
      <c r="CY19" s="75" t="s">
        <v>189</v>
      </c>
      <c r="CZ19" s="75" t="s">
        <v>189</v>
      </c>
      <c r="DA19" s="75" t="s">
        <v>189</v>
      </c>
      <c r="DB19" s="75" t="s">
        <v>189</v>
      </c>
      <c r="DC19" s="75" t="s">
        <v>189</v>
      </c>
      <c r="DD19" s="75" t="s">
        <v>189</v>
      </c>
      <c r="DE19" s="75" t="s">
        <v>189</v>
      </c>
      <c r="DF19" s="75" t="s">
        <v>189</v>
      </c>
      <c r="DG19" s="75" t="s">
        <v>189</v>
      </c>
      <c r="DH19" s="75" t="s">
        <v>189</v>
      </c>
      <c r="DI19" s="75" t="s">
        <v>189</v>
      </c>
      <c r="DJ19" s="75" t="s">
        <v>189</v>
      </c>
      <c r="DK19" s="75" t="s">
        <v>189</v>
      </c>
      <c r="DL19" s="75" t="s">
        <v>223</v>
      </c>
      <c r="DM19" s="75" t="s">
        <v>225</v>
      </c>
      <c r="DN19" s="75" t="s">
        <v>145</v>
      </c>
      <c r="DO19" s="75" t="s">
        <v>145</v>
      </c>
      <c r="DP19" s="80"/>
    </row>
    <row r="20" spans="1:143">
      <c r="A20" s="60"/>
      <c r="B20" s="27" t="s">
        <v>185</v>
      </c>
      <c r="C20" s="81" t="s">
        <v>186</v>
      </c>
      <c r="D20" s="75" t="s">
        <v>187</v>
      </c>
      <c r="E20" s="75" t="s">
        <v>226</v>
      </c>
      <c r="F20" s="75" t="s">
        <v>189</v>
      </c>
      <c r="G20" s="75" t="s">
        <v>189</v>
      </c>
      <c r="H20" s="75" t="s">
        <v>189</v>
      </c>
      <c r="I20" s="75" t="s">
        <v>189</v>
      </c>
      <c r="J20" s="75" t="s">
        <v>189</v>
      </c>
      <c r="K20" s="75" t="s">
        <v>189</v>
      </c>
      <c r="L20" s="75" t="s">
        <v>189</v>
      </c>
      <c r="M20" s="75" t="s">
        <v>189</v>
      </c>
      <c r="N20" s="75" t="s">
        <v>226</v>
      </c>
      <c r="O20" s="75" t="s">
        <v>227</v>
      </c>
      <c r="P20" s="75" t="s">
        <v>226</v>
      </c>
      <c r="Q20" s="75" t="s">
        <v>191</v>
      </c>
      <c r="R20" s="75" t="s">
        <v>192</v>
      </c>
      <c r="S20" s="75" t="s">
        <v>226</v>
      </c>
      <c r="T20" s="75" t="s">
        <v>193</v>
      </c>
      <c r="U20" s="75" t="s">
        <v>194</v>
      </c>
      <c r="V20" s="75" t="s">
        <v>195</v>
      </c>
      <c r="W20" s="75" t="s">
        <v>196</v>
      </c>
      <c r="X20" s="75" t="s">
        <v>189</v>
      </c>
      <c r="Y20" s="75" t="s">
        <v>189</v>
      </c>
      <c r="Z20" s="75" t="s">
        <v>189</v>
      </c>
      <c r="AA20" s="75" t="s">
        <v>189</v>
      </c>
      <c r="AB20" s="75" t="s">
        <v>189</v>
      </c>
      <c r="AC20" s="75" t="s">
        <v>189</v>
      </c>
      <c r="AD20" s="75" t="s">
        <v>189</v>
      </c>
      <c r="AE20" s="75" t="s">
        <v>189</v>
      </c>
      <c r="AF20" s="75" t="s">
        <v>189</v>
      </c>
      <c r="AG20" s="75" t="s">
        <v>189</v>
      </c>
      <c r="AH20" s="75" t="s">
        <v>189</v>
      </c>
      <c r="AI20" s="75" t="s">
        <v>189</v>
      </c>
      <c r="AJ20" s="75" t="s">
        <v>189</v>
      </c>
      <c r="AK20" s="75" t="s">
        <v>189</v>
      </c>
      <c r="AL20" s="75" t="s">
        <v>189</v>
      </c>
      <c r="AM20" s="75" t="s">
        <v>189</v>
      </c>
      <c r="AN20" s="75" t="s">
        <v>189</v>
      </c>
      <c r="AO20" s="75" t="s">
        <v>189</v>
      </c>
      <c r="AP20" s="75" t="s">
        <v>189</v>
      </c>
      <c r="AQ20" s="75" t="s">
        <v>189</v>
      </c>
      <c r="AR20" s="75" t="s">
        <v>189</v>
      </c>
      <c r="AS20" s="75" t="s">
        <v>189</v>
      </c>
      <c r="AT20" s="75" t="s">
        <v>189</v>
      </c>
      <c r="AU20" s="75" t="s">
        <v>189</v>
      </c>
      <c r="AV20" s="75" t="s">
        <v>189</v>
      </c>
      <c r="AW20" s="75" t="s">
        <v>189</v>
      </c>
      <c r="AX20" s="75" t="s">
        <v>189</v>
      </c>
      <c r="AY20" s="75" t="s">
        <v>189</v>
      </c>
      <c r="AZ20" s="75" t="s">
        <v>189</v>
      </c>
      <c r="BA20" s="75" t="s">
        <v>189</v>
      </c>
      <c r="BB20" s="75" t="s">
        <v>189</v>
      </c>
      <c r="BC20" s="75" t="s">
        <v>189</v>
      </c>
      <c r="BD20" s="75" t="s">
        <v>189</v>
      </c>
      <c r="BE20" s="75" t="s">
        <v>189</v>
      </c>
      <c r="BF20" s="75" t="s">
        <v>189</v>
      </c>
      <c r="BG20" s="75" t="s">
        <v>189</v>
      </c>
      <c r="BH20" s="75" t="s">
        <v>189</v>
      </c>
      <c r="BI20" s="75" t="s">
        <v>189</v>
      </c>
      <c r="BJ20" s="75" t="s">
        <v>189</v>
      </c>
      <c r="BK20" s="75" t="s">
        <v>189</v>
      </c>
      <c r="BL20" s="75" t="s">
        <v>189</v>
      </c>
      <c r="BM20" s="75" t="s">
        <v>189</v>
      </c>
      <c r="BN20" s="75" t="s">
        <v>189</v>
      </c>
      <c r="BO20" s="75" t="s">
        <v>189</v>
      </c>
      <c r="BP20" s="75" t="s">
        <v>189</v>
      </c>
      <c r="BQ20" s="75" t="s">
        <v>189</v>
      </c>
      <c r="BR20" s="75" t="s">
        <v>189</v>
      </c>
      <c r="BS20" s="75" t="s">
        <v>189</v>
      </c>
      <c r="BT20" s="75" t="s">
        <v>189</v>
      </c>
      <c r="BU20" s="75" t="s">
        <v>189</v>
      </c>
      <c r="BV20" s="75" t="s">
        <v>189</v>
      </c>
      <c r="BW20" s="75" t="s">
        <v>189</v>
      </c>
      <c r="BX20" s="75" t="s">
        <v>189</v>
      </c>
      <c r="BY20" s="75" t="s">
        <v>189</v>
      </c>
      <c r="BZ20" s="75" t="s">
        <v>189</v>
      </c>
      <c r="CA20" s="75" t="s">
        <v>189</v>
      </c>
      <c r="CB20" s="75" t="s">
        <v>189</v>
      </c>
      <c r="CC20" s="75" t="s">
        <v>189</v>
      </c>
      <c r="CD20" s="75" t="s">
        <v>189</v>
      </c>
      <c r="CE20" s="75" t="s">
        <v>189</v>
      </c>
      <c r="CF20" s="75" t="s">
        <v>189</v>
      </c>
      <c r="CG20" s="75" t="s">
        <v>189</v>
      </c>
      <c r="CH20" s="75" t="s">
        <v>189</v>
      </c>
      <c r="CI20" s="75" t="s">
        <v>189</v>
      </c>
      <c r="CJ20" s="75" t="s">
        <v>189</v>
      </c>
      <c r="CK20" s="75" t="s">
        <v>189</v>
      </c>
      <c r="CL20" s="75" t="s">
        <v>189</v>
      </c>
      <c r="CM20" s="75" t="s">
        <v>189</v>
      </c>
      <c r="CN20" s="75" t="s">
        <v>189</v>
      </c>
      <c r="CO20" s="75" t="s">
        <v>189</v>
      </c>
      <c r="CP20" s="75" t="s">
        <v>189</v>
      </c>
      <c r="CQ20" s="75" t="s">
        <v>189</v>
      </c>
      <c r="CR20" s="75" t="s">
        <v>189</v>
      </c>
      <c r="CS20" s="75" t="s">
        <v>189</v>
      </c>
      <c r="CT20" s="75" t="s">
        <v>189</v>
      </c>
      <c r="CU20" s="75" t="s">
        <v>189</v>
      </c>
      <c r="CV20" s="75" t="s">
        <v>189</v>
      </c>
      <c r="CW20" s="75" t="s">
        <v>189</v>
      </c>
      <c r="CX20" s="75" t="s">
        <v>189</v>
      </c>
      <c r="CY20" s="75" t="s">
        <v>189</v>
      </c>
      <c r="CZ20" s="75" t="s">
        <v>189</v>
      </c>
      <c r="DA20" s="75" t="s">
        <v>189</v>
      </c>
      <c r="DB20" s="75" t="s">
        <v>189</v>
      </c>
      <c r="DC20" s="75" t="s">
        <v>189</v>
      </c>
      <c r="DD20" s="75" t="s">
        <v>189</v>
      </c>
      <c r="DE20" s="75" t="s">
        <v>189</v>
      </c>
      <c r="DF20" s="75" t="s">
        <v>189</v>
      </c>
      <c r="DG20" s="75" t="s">
        <v>189</v>
      </c>
      <c r="DH20" s="75" t="s">
        <v>189</v>
      </c>
      <c r="DI20" s="75" t="s">
        <v>189</v>
      </c>
      <c r="DJ20" s="75" t="s">
        <v>189</v>
      </c>
      <c r="DK20" s="75" t="s">
        <v>189</v>
      </c>
      <c r="DL20" s="75" t="s">
        <v>226</v>
      </c>
      <c r="DM20" s="75" t="s">
        <v>228</v>
      </c>
      <c r="DN20" s="75" t="s">
        <v>145</v>
      </c>
      <c r="DO20" s="75" t="s">
        <v>145</v>
      </c>
      <c r="DP20" s="80"/>
    </row>
    <row r="21" spans="1:143">
      <c r="A21" s="60"/>
      <c r="B21" s="27" t="s">
        <v>185</v>
      </c>
      <c r="C21" s="81" t="s">
        <v>186</v>
      </c>
      <c r="D21" s="75" t="s">
        <v>187</v>
      </c>
      <c r="E21" s="75" t="s">
        <v>229</v>
      </c>
      <c r="F21" s="75" t="s">
        <v>189</v>
      </c>
      <c r="G21" s="75" t="s">
        <v>189</v>
      </c>
      <c r="H21" s="75" t="s">
        <v>189</v>
      </c>
      <c r="I21" s="75" t="s">
        <v>189</v>
      </c>
      <c r="J21" s="75" t="s">
        <v>189</v>
      </c>
      <c r="K21" s="75" t="s">
        <v>189</v>
      </c>
      <c r="L21" s="75" t="s">
        <v>189</v>
      </c>
      <c r="M21" s="75" t="s">
        <v>189</v>
      </c>
      <c r="N21" s="75" t="s">
        <v>229</v>
      </c>
      <c r="O21" s="75" t="s">
        <v>230</v>
      </c>
      <c r="P21" s="75" t="s">
        <v>229</v>
      </c>
      <c r="Q21" s="75" t="s">
        <v>191</v>
      </c>
      <c r="R21" s="75" t="s">
        <v>192</v>
      </c>
      <c r="S21" s="75" t="s">
        <v>229</v>
      </c>
      <c r="T21" s="75" t="s">
        <v>193</v>
      </c>
      <c r="U21" s="75" t="s">
        <v>194</v>
      </c>
      <c r="V21" s="75" t="s">
        <v>195</v>
      </c>
      <c r="W21" s="75" t="s">
        <v>196</v>
      </c>
      <c r="X21" s="75" t="s">
        <v>189</v>
      </c>
      <c r="Y21" s="75" t="s">
        <v>189</v>
      </c>
      <c r="Z21" s="75" t="s">
        <v>189</v>
      </c>
      <c r="AA21" s="75" t="s">
        <v>189</v>
      </c>
      <c r="AB21" s="75" t="s">
        <v>189</v>
      </c>
      <c r="AC21" s="75" t="s">
        <v>189</v>
      </c>
      <c r="AD21" s="75" t="s">
        <v>189</v>
      </c>
      <c r="AE21" s="75" t="s">
        <v>189</v>
      </c>
      <c r="AF21" s="75" t="s">
        <v>189</v>
      </c>
      <c r="AG21" s="75" t="s">
        <v>189</v>
      </c>
      <c r="AH21" s="75" t="s">
        <v>189</v>
      </c>
      <c r="AI21" s="75" t="s">
        <v>189</v>
      </c>
      <c r="AJ21" s="75" t="s">
        <v>189</v>
      </c>
      <c r="AK21" s="75" t="s">
        <v>189</v>
      </c>
      <c r="AL21" s="75" t="s">
        <v>189</v>
      </c>
      <c r="AM21" s="75" t="s">
        <v>189</v>
      </c>
      <c r="AN21" s="75" t="s">
        <v>189</v>
      </c>
      <c r="AO21" s="75" t="s">
        <v>189</v>
      </c>
      <c r="AP21" s="75" t="s">
        <v>189</v>
      </c>
      <c r="AQ21" s="75" t="s">
        <v>189</v>
      </c>
      <c r="AR21" s="75" t="s">
        <v>189</v>
      </c>
      <c r="AS21" s="75" t="s">
        <v>189</v>
      </c>
      <c r="AT21" s="75" t="s">
        <v>189</v>
      </c>
      <c r="AU21" s="75" t="s">
        <v>189</v>
      </c>
      <c r="AV21" s="75" t="s">
        <v>189</v>
      </c>
      <c r="AW21" s="75" t="s">
        <v>189</v>
      </c>
      <c r="AX21" s="75" t="s">
        <v>189</v>
      </c>
      <c r="AY21" s="75" t="s">
        <v>189</v>
      </c>
      <c r="AZ21" s="75" t="s">
        <v>189</v>
      </c>
      <c r="BA21" s="75" t="s">
        <v>189</v>
      </c>
      <c r="BB21" s="75" t="s">
        <v>189</v>
      </c>
      <c r="BC21" s="75" t="s">
        <v>189</v>
      </c>
      <c r="BD21" s="75" t="s">
        <v>189</v>
      </c>
      <c r="BE21" s="75" t="s">
        <v>189</v>
      </c>
      <c r="BF21" s="75" t="s">
        <v>189</v>
      </c>
      <c r="BG21" s="75" t="s">
        <v>189</v>
      </c>
      <c r="BH21" s="75" t="s">
        <v>189</v>
      </c>
      <c r="BI21" s="75" t="s">
        <v>189</v>
      </c>
      <c r="BJ21" s="75" t="s">
        <v>189</v>
      </c>
      <c r="BK21" s="75" t="s">
        <v>189</v>
      </c>
      <c r="BL21" s="75" t="s">
        <v>189</v>
      </c>
      <c r="BM21" s="75" t="s">
        <v>189</v>
      </c>
      <c r="BN21" s="75" t="s">
        <v>189</v>
      </c>
      <c r="BO21" s="75" t="s">
        <v>189</v>
      </c>
      <c r="BP21" s="75" t="s">
        <v>189</v>
      </c>
      <c r="BQ21" s="75" t="s">
        <v>189</v>
      </c>
      <c r="BR21" s="75" t="s">
        <v>189</v>
      </c>
      <c r="BS21" s="75" t="s">
        <v>189</v>
      </c>
      <c r="BT21" s="75" t="s">
        <v>189</v>
      </c>
      <c r="BU21" s="75" t="s">
        <v>189</v>
      </c>
      <c r="BV21" s="75" t="s">
        <v>189</v>
      </c>
      <c r="BW21" s="75" t="s">
        <v>189</v>
      </c>
      <c r="BX21" s="75" t="s">
        <v>189</v>
      </c>
      <c r="BY21" s="75" t="s">
        <v>189</v>
      </c>
      <c r="BZ21" s="75" t="s">
        <v>189</v>
      </c>
      <c r="CA21" s="75" t="s">
        <v>189</v>
      </c>
      <c r="CB21" s="75" t="s">
        <v>189</v>
      </c>
      <c r="CC21" s="75" t="s">
        <v>189</v>
      </c>
      <c r="CD21" s="75" t="s">
        <v>189</v>
      </c>
      <c r="CE21" s="75" t="s">
        <v>189</v>
      </c>
      <c r="CF21" s="75" t="s">
        <v>189</v>
      </c>
      <c r="CG21" s="75" t="s">
        <v>189</v>
      </c>
      <c r="CH21" s="75" t="s">
        <v>189</v>
      </c>
      <c r="CI21" s="75" t="s">
        <v>189</v>
      </c>
      <c r="CJ21" s="75" t="s">
        <v>189</v>
      </c>
      <c r="CK21" s="75" t="s">
        <v>189</v>
      </c>
      <c r="CL21" s="75" t="s">
        <v>189</v>
      </c>
      <c r="CM21" s="75" t="s">
        <v>189</v>
      </c>
      <c r="CN21" s="75" t="s">
        <v>189</v>
      </c>
      <c r="CO21" s="75" t="s">
        <v>189</v>
      </c>
      <c r="CP21" s="75" t="s">
        <v>189</v>
      </c>
      <c r="CQ21" s="75" t="s">
        <v>189</v>
      </c>
      <c r="CR21" s="75" t="s">
        <v>189</v>
      </c>
      <c r="CS21" s="75" t="s">
        <v>189</v>
      </c>
      <c r="CT21" s="75" t="s">
        <v>189</v>
      </c>
      <c r="CU21" s="75" t="s">
        <v>189</v>
      </c>
      <c r="CV21" s="75" t="s">
        <v>189</v>
      </c>
      <c r="CW21" s="75" t="s">
        <v>189</v>
      </c>
      <c r="CX21" s="75" t="s">
        <v>189</v>
      </c>
      <c r="CY21" s="75" t="s">
        <v>189</v>
      </c>
      <c r="CZ21" s="75" t="s">
        <v>189</v>
      </c>
      <c r="DA21" s="75" t="s">
        <v>189</v>
      </c>
      <c r="DB21" s="75" t="s">
        <v>189</v>
      </c>
      <c r="DC21" s="75" t="s">
        <v>189</v>
      </c>
      <c r="DD21" s="75" t="s">
        <v>189</v>
      </c>
      <c r="DE21" s="75" t="s">
        <v>189</v>
      </c>
      <c r="DF21" s="75" t="s">
        <v>189</v>
      </c>
      <c r="DG21" s="75" t="s">
        <v>189</v>
      </c>
      <c r="DH21" s="75" t="s">
        <v>189</v>
      </c>
      <c r="DI21" s="75" t="s">
        <v>189</v>
      </c>
      <c r="DJ21" s="75" t="s">
        <v>189</v>
      </c>
      <c r="DK21" s="75" t="s">
        <v>189</v>
      </c>
      <c r="DL21" s="75" t="s">
        <v>229</v>
      </c>
      <c r="DM21" s="75" t="s">
        <v>231</v>
      </c>
      <c r="DN21" s="75" t="s">
        <v>145</v>
      </c>
      <c r="DO21" s="75" t="s">
        <v>145</v>
      </c>
      <c r="DP21" s="80"/>
    </row>
    <row r="22" spans="1:143">
      <c r="A22" s="60"/>
      <c r="B22" s="27" t="s">
        <v>185</v>
      </c>
      <c r="C22" s="81" t="s">
        <v>186</v>
      </c>
      <c r="D22" s="75" t="s">
        <v>187</v>
      </c>
      <c r="E22" s="75" t="s">
        <v>232</v>
      </c>
      <c r="F22" s="75" t="s">
        <v>189</v>
      </c>
      <c r="G22" s="75" t="s">
        <v>189</v>
      </c>
      <c r="H22" s="75" t="s">
        <v>189</v>
      </c>
      <c r="I22" s="75" t="s">
        <v>189</v>
      </c>
      <c r="J22" s="75" t="s">
        <v>189</v>
      </c>
      <c r="K22" s="75" t="s">
        <v>189</v>
      </c>
      <c r="L22" s="75" t="s">
        <v>189</v>
      </c>
      <c r="M22" s="75" t="s">
        <v>189</v>
      </c>
      <c r="N22" s="75" t="s">
        <v>232</v>
      </c>
      <c r="O22" s="75" t="s">
        <v>233</v>
      </c>
      <c r="P22" s="75" t="s">
        <v>232</v>
      </c>
      <c r="Q22" s="75" t="s">
        <v>191</v>
      </c>
      <c r="R22" s="75" t="s">
        <v>192</v>
      </c>
      <c r="S22" s="75" t="s">
        <v>232</v>
      </c>
      <c r="T22" s="75" t="s">
        <v>193</v>
      </c>
      <c r="U22" s="75" t="s">
        <v>194</v>
      </c>
      <c r="V22" s="75" t="s">
        <v>195</v>
      </c>
      <c r="W22" s="75" t="s">
        <v>196</v>
      </c>
      <c r="X22" s="75" t="s">
        <v>189</v>
      </c>
      <c r="Y22" s="75" t="s">
        <v>189</v>
      </c>
      <c r="Z22" s="75" t="s">
        <v>189</v>
      </c>
      <c r="AA22" s="75" t="s">
        <v>189</v>
      </c>
      <c r="AB22" s="75" t="s">
        <v>189</v>
      </c>
      <c r="AC22" s="75" t="s">
        <v>189</v>
      </c>
      <c r="AD22" s="75" t="s">
        <v>189</v>
      </c>
      <c r="AE22" s="75" t="s">
        <v>189</v>
      </c>
      <c r="AF22" s="75" t="s">
        <v>189</v>
      </c>
      <c r="AG22" s="75" t="s">
        <v>189</v>
      </c>
      <c r="AH22" s="75" t="s">
        <v>189</v>
      </c>
      <c r="AI22" s="75" t="s">
        <v>189</v>
      </c>
      <c r="AJ22" s="75" t="s">
        <v>189</v>
      </c>
      <c r="AK22" s="75" t="s">
        <v>189</v>
      </c>
      <c r="AL22" s="75" t="s">
        <v>189</v>
      </c>
      <c r="AM22" s="75" t="s">
        <v>189</v>
      </c>
      <c r="AN22" s="75" t="s">
        <v>189</v>
      </c>
      <c r="AO22" s="75" t="s">
        <v>189</v>
      </c>
      <c r="AP22" s="75" t="s">
        <v>189</v>
      </c>
      <c r="AQ22" s="75" t="s">
        <v>189</v>
      </c>
      <c r="AR22" s="75" t="s">
        <v>189</v>
      </c>
      <c r="AS22" s="75" t="s">
        <v>189</v>
      </c>
      <c r="AT22" s="75" t="s">
        <v>189</v>
      </c>
      <c r="AU22" s="75" t="s">
        <v>189</v>
      </c>
      <c r="AV22" s="75" t="s">
        <v>189</v>
      </c>
      <c r="AW22" s="75" t="s">
        <v>189</v>
      </c>
      <c r="AX22" s="75" t="s">
        <v>189</v>
      </c>
      <c r="AY22" s="75" t="s">
        <v>189</v>
      </c>
      <c r="AZ22" s="75" t="s">
        <v>189</v>
      </c>
      <c r="BA22" s="75" t="s">
        <v>189</v>
      </c>
      <c r="BB22" s="75" t="s">
        <v>189</v>
      </c>
      <c r="BC22" s="75" t="s">
        <v>189</v>
      </c>
      <c r="BD22" s="75" t="s">
        <v>189</v>
      </c>
      <c r="BE22" s="75" t="s">
        <v>189</v>
      </c>
      <c r="BF22" s="75" t="s">
        <v>189</v>
      </c>
      <c r="BG22" s="75" t="s">
        <v>189</v>
      </c>
      <c r="BH22" s="75" t="s">
        <v>189</v>
      </c>
      <c r="BI22" s="75" t="s">
        <v>189</v>
      </c>
      <c r="BJ22" s="75" t="s">
        <v>189</v>
      </c>
      <c r="BK22" s="75" t="s">
        <v>189</v>
      </c>
      <c r="BL22" s="75" t="s">
        <v>189</v>
      </c>
      <c r="BM22" s="75" t="s">
        <v>189</v>
      </c>
      <c r="BN22" s="75" t="s">
        <v>189</v>
      </c>
      <c r="BO22" s="75" t="s">
        <v>189</v>
      </c>
      <c r="BP22" s="75" t="s">
        <v>189</v>
      </c>
      <c r="BQ22" s="75" t="s">
        <v>189</v>
      </c>
      <c r="BR22" s="75" t="s">
        <v>189</v>
      </c>
      <c r="BS22" s="75" t="s">
        <v>189</v>
      </c>
      <c r="BT22" s="75" t="s">
        <v>189</v>
      </c>
      <c r="BU22" s="75" t="s">
        <v>189</v>
      </c>
      <c r="BV22" s="75" t="s">
        <v>189</v>
      </c>
      <c r="BW22" s="75" t="s">
        <v>189</v>
      </c>
      <c r="BX22" s="75" t="s">
        <v>189</v>
      </c>
      <c r="BY22" s="75" t="s">
        <v>189</v>
      </c>
      <c r="BZ22" s="75" t="s">
        <v>189</v>
      </c>
      <c r="CA22" s="75" t="s">
        <v>189</v>
      </c>
      <c r="CB22" s="75" t="s">
        <v>189</v>
      </c>
      <c r="CC22" s="75" t="s">
        <v>189</v>
      </c>
      <c r="CD22" s="75" t="s">
        <v>189</v>
      </c>
      <c r="CE22" s="75" t="s">
        <v>189</v>
      </c>
      <c r="CF22" s="75" t="s">
        <v>189</v>
      </c>
      <c r="CG22" s="75" t="s">
        <v>189</v>
      </c>
      <c r="CH22" s="75" t="s">
        <v>189</v>
      </c>
      <c r="CI22" s="75" t="s">
        <v>189</v>
      </c>
      <c r="CJ22" s="75" t="s">
        <v>189</v>
      </c>
      <c r="CK22" s="75" t="s">
        <v>189</v>
      </c>
      <c r="CL22" s="75" t="s">
        <v>189</v>
      </c>
      <c r="CM22" s="75" t="s">
        <v>189</v>
      </c>
      <c r="CN22" s="75" t="s">
        <v>189</v>
      </c>
      <c r="CO22" s="75" t="s">
        <v>189</v>
      </c>
      <c r="CP22" s="75" t="s">
        <v>189</v>
      </c>
      <c r="CQ22" s="75" t="s">
        <v>189</v>
      </c>
      <c r="CR22" s="75" t="s">
        <v>189</v>
      </c>
      <c r="CS22" s="75" t="s">
        <v>189</v>
      </c>
      <c r="CT22" s="75" t="s">
        <v>189</v>
      </c>
      <c r="CU22" s="75" t="s">
        <v>189</v>
      </c>
      <c r="CV22" s="75" t="s">
        <v>189</v>
      </c>
      <c r="CW22" s="75" t="s">
        <v>189</v>
      </c>
      <c r="CX22" s="75" t="s">
        <v>189</v>
      </c>
      <c r="CY22" s="75" t="s">
        <v>189</v>
      </c>
      <c r="CZ22" s="75" t="s">
        <v>189</v>
      </c>
      <c r="DA22" s="75" t="s">
        <v>189</v>
      </c>
      <c r="DB22" s="75" t="s">
        <v>189</v>
      </c>
      <c r="DC22" s="75" t="s">
        <v>189</v>
      </c>
      <c r="DD22" s="75" t="s">
        <v>189</v>
      </c>
      <c r="DE22" s="75" t="s">
        <v>189</v>
      </c>
      <c r="DF22" s="75" t="s">
        <v>189</v>
      </c>
      <c r="DG22" s="75" t="s">
        <v>189</v>
      </c>
      <c r="DH22" s="75" t="s">
        <v>189</v>
      </c>
      <c r="DI22" s="75" t="s">
        <v>189</v>
      </c>
      <c r="DJ22" s="75" t="s">
        <v>189</v>
      </c>
      <c r="DK22" s="75" t="s">
        <v>189</v>
      </c>
      <c r="DL22" s="75" t="s">
        <v>232</v>
      </c>
      <c r="DM22" s="75" t="s">
        <v>234</v>
      </c>
      <c r="DN22" s="75" t="s">
        <v>145</v>
      </c>
      <c r="DO22" s="75" t="s">
        <v>145</v>
      </c>
      <c r="DP22" s="80"/>
    </row>
    <row r="23" spans="1:143">
      <c r="A23" s="60"/>
      <c r="B23" s="27" t="s">
        <v>185</v>
      </c>
      <c r="C23" s="81" t="s">
        <v>186</v>
      </c>
      <c r="D23" s="75" t="s">
        <v>187</v>
      </c>
      <c r="E23" s="75" t="s">
        <v>235</v>
      </c>
      <c r="F23" s="75" t="s">
        <v>189</v>
      </c>
      <c r="G23" s="75" t="s">
        <v>189</v>
      </c>
      <c r="H23" s="75" t="s">
        <v>189</v>
      </c>
      <c r="I23" s="75" t="s">
        <v>189</v>
      </c>
      <c r="J23" s="75" t="s">
        <v>189</v>
      </c>
      <c r="K23" s="75" t="s">
        <v>189</v>
      </c>
      <c r="L23" s="75" t="s">
        <v>189</v>
      </c>
      <c r="M23" s="75" t="s">
        <v>189</v>
      </c>
      <c r="N23" s="75" t="s">
        <v>235</v>
      </c>
      <c r="O23" s="75" t="s">
        <v>199</v>
      </c>
      <c r="P23" s="75" t="s">
        <v>235</v>
      </c>
      <c r="Q23" s="75" t="s">
        <v>191</v>
      </c>
      <c r="R23" s="75" t="s">
        <v>192</v>
      </c>
      <c r="S23" s="75" t="s">
        <v>235</v>
      </c>
      <c r="T23" s="75" t="s">
        <v>193</v>
      </c>
      <c r="U23" s="75" t="s">
        <v>194</v>
      </c>
      <c r="V23" s="75" t="s">
        <v>195</v>
      </c>
      <c r="W23" s="75" t="s">
        <v>196</v>
      </c>
      <c r="X23" s="75" t="s">
        <v>189</v>
      </c>
      <c r="Y23" s="75" t="s">
        <v>189</v>
      </c>
      <c r="Z23" s="75" t="s">
        <v>189</v>
      </c>
      <c r="AA23" s="75" t="s">
        <v>189</v>
      </c>
      <c r="AB23" s="75" t="s">
        <v>189</v>
      </c>
      <c r="AC23" s="75" t="s">
        <v>189</v>
      </c>
      <c r="AD23" s="75" t="s">
        <v>189</v>
      </c>
      <c r="AE23" s="75" t="s">
        <v>189</v>
      </c>
      <c r="AF23" s="75" t="s">
        <v>189</v>
      </c>
      <c r="AG23" s="75" t="s">
        <v>189</v>
      </c>
      <c r="AH23" s="75" t="s">
        <v>189</v>
      </c>
      <c r="AI23" s="75" t="s">
        <v>189</v>
      </c>
      <c r="AJ23" s="75" t="s">
        <v>189</v>
      </c>
      <c r="AK23" s="75" t="s">
        <v>189</v>
      </c>
      <c r="AL23" s="75" t="s">
        <v>189</v>
      </c>
      <c r="AM23" s="75" t="s">
        <v>189</v>
      </c>
      <c r="AN23" s="75" t="s">
        <v>189</v>
      </c>
      <c r="AO23" s="75" t="s">
        <v>189</v>
      </c>
      <c r="AP23" s="75" t="s">
        <v>189</v>
      </c>
      <c r="AQ23" s="75" t="s">
        <v>189</v>
      </c>
      <c r="AR23" s="75" t="s">
        <v>189</v>
      </c>
      <c r="AS23" s="75" t="s">
        <v>189</v>
      </c>
      <c r="AT23" s="75" t="s">
        <v>189</v>
      </c>
      <c r="AU23" s="75" t="s">
        <v>189</v>
      </c>
      <c r="AV23" s="75" t="s">
        <v>189</v>
      </c>
      <c r="AW23" s="75" t="s">
        <v>189</v>
      </c>
      <c r="AX23" s="75" t="s">
        <v>189</v>
      </c>
      <c r="AY23" s="75" t="s">
        <v>189</v>
      </c>
      <c r="AZ23" s="75" t="s">
        <v>189</v>
      </c>
      <c r="BA23" s="75" t="s">
        <v>189</v>
      </c>
      <c r="BB23" s="75" t="s">
        <v>189</v>
      </c>
      <c r="BC23" s="75" t="s">
        <v>189</v>
      </c>
      <c r="BD23" s="75" t="s">
        <v>189</v>
      </c>
      <c r="BE23" s="75" t="s">
        <v>189</v>
      </c>
      <c r="BF23" s="75" t="s">
        <v>189</v>
      </c>
      <c r="BG23" s="75" t="s">
        <v>189</v>
      </c>
      <c r="BH23" s="75" t="s">
        <v>189</v>
      </c>
      <c r="BI23" s="75" t="s">
        <v>189</v>
      </c>
      <c r="BJ23" s="75" t="s">
        <v>189</v>
      </c>
      <c r="BK23" s="75" t="s">
        <v>189</v>
      </c>
      <c r="BL23" s="75" t="s">
        <v>189</v>
      </c>
      <c r="BM23" s="75" t="s">
        <v>189</v>
      </c>
      <c r="BN23" s="75" t="s">
        <v>189</v>
      </c>
      <c r="BO23" s="75" t="s">
        <v>189</v>
      </c>
      <c r="BP23" s="75" t="s">
        <v>189</v>
      </c>
      <c r="BQ23" s="75" t="s">
        <v>189</v>
      </c>
      <c r="BR23" s="75" t="s">
        <v>189</v>
      </c>
      <c r="BS23" s="75" t="s">
        <v>189</v>
      </c>
      <c r="BT23" s="75" t="s">
        <v>189</v>
      </c>
      <c r="BU23" s="75" t="s">
        <v>189</v>
      </c>
      <c r="BV23" s="75" t="s">
        <v>189</v>
      </c>
      <c r="BW23" s="75" t="s">
        <v>189</v>
      </c>
      <c r="BX23" s="75" t="s">
        <v>189</v>
      </c>
      <c r="BY23" s="75" t="s">
        <v>189</v>
      </c>
      <c r="BZ23" s="75" t="s">
        <v>189</v>
      </c>
      <c r="CA23" s="75" t="s">
        <v>189</v>
      </c>
      <c r="CB23" s="75" t="s">
        <v>189</v>
      </c>
      <c r="CC23" s="75" t="s">
        <v>189</v>
      </c>
      <c r="CD23" s="75" t="s">
        <v>189</v>
      </c>
      <c r="CE23" s="75" t="s">
        <v>189</v>
      </c>
      <c r="CF23" s="75" t="s">
        <v>189</v>
      </c>
      <c r="CG23" s="75" t="s">
        <v>189</v>
      </c>
      <c r="CH23" s="75" t="s">
        <v>189</v>
      </c>
      <c r="CI23" s="75" t="s">
        <v>189</v>
      </c>
      <c r="CJ23" s="75" t="s">
        <v>189</v>
      </c>
      <c r="CK23" s="75" t="s">
        <v>189</v>
      </c>
      <c r="CL23" s="75" t="s">
        <v>189</v>
      </c>
      <c r="CM23" s="75" t="s">
        <v>189</v>
      </c>
      <c r="CN23" s="75" t="s">
        <v>189</v>
      </c>
      <c r="CO23" s="75" t="s">
        <v>189</v>
      </c>
      <c r="CP23" s="75" t="s">
        <v>189</v>
      </c>
      <c r="CQ23" s="75" t="s">
        <v>189</v>
      </c>
      <c r="CR23" s="75" t="s">
        <v>189</v>
      </c>
      <c r="CS23" s="75" t="s">
        <v>189</v>
      </c>
      <c r="CT23" s="75" t="s">
        <v>189</v>
      </c>
      <c r="CU23" s="75" t="s">
        <v>189</v>
      </c>
      <c r="CV23" s="75" t="s">
        <v>189</v>
      </c>
      <c r="CW23" s="75" t="s">
        <v>189</v>
      </c>
      <c r="CX23" s="75" t="s">
        <v>189</v>
      </c>
      <c r="CY23" s="75" t="s">
        <v>189</v>
      </c>
      <c r="CZ23" s="75" t="s">
        <v>189</v>
      </c>
      <c r="DA23" s="75" t="s">
        <v>189</v>
      </c>
      <c r="DB23" s="75" t="s">
        <v>189</v>
      </c>
      <c r="DC23" s="75" t="s">
        <v>189</v>
      </c>
      <c r="DD23" s="75" t="s">
        <v>189</v>
      </c>
      <c r="DE23" s="75" t="s">
        <v>189</v>
      </c>
      <c r="DF23" s="75" t="s">
        <v>189</v>
      </c>
      <c r="DG23" s="75" t="s">
        <v>189</v>
      </c>
      <c r="DH23" s="75" t="s">
        <v>189</v>
      </c>
      <c r="DI23" s="75" t="s">
        <v>189</v>
      </c>
      <c r="DJ23" s="75" t="s">
        <v>189</v>
      </c>
      <c r="DK23" s="75" t="s">
        <v>189</v>
      </c>
      <c r="DL23" s="75" t="s">
        <v>235</v>
      </c>
      <c r="DM23" s="75" t="s">
        <v>236</v>
      </c>
      <c r="DN23" s="75" t="s">
        <v>145</v>
      </c>
      <c r="DO23" s="75" t="s">
        <v>145</v>
      </c>
      <c r="DP23" s="80"/>
    </row>
    <row r="24" spans="1:143">
      <c r="A24" s="60"/>
      <c r="B24" s="27" t="s">
        <v>185</v>
      </c>
      <c r="C24" s="81" t="s">
        <v>186</v>
      </c>
      <c r="D24" s="75" t="s">
        <v>187</v>
      </c>
      <c r="E24" s="75" t="s">
        <v>237</v>
      </c>
      <c r="F24" s="75" t="s">
        <v>189</v>
      </c>
      <c r="G24" s="75" t="s">
        <v>189</v>
      </c>
      <c r="H24" s="75" t="s">
        <v>189</v>
      </c>
      <c r="I24" s="75" t="s">
        <v>189</v>
      </c>
      <c r="J24" s="75" t="s">
        <v>189</v>
      </c>
      <c r="K24" s="75" t="s">
        <v>189</v>
      </c>
      <c r="L24" s="75" t="s">
        <v>189</v>
      </c>
      <c r="M24" s="75" t="s">
        <v>189</v>
      </c>
      <c r="N24" s="75" t="s">
        <v>237</v>
      </c>
      <c r="O24" s="75" t="s">
        <v>238</v>
      </c>
      <c r="P24" s="75" t="s">
        <v>237</v>
      </c>
      <c r="Q24" s="75" t="s">
        <v>191</v>
      </c>
      <c r="R24" s="75" t="s">
        <v>192</v>
      </c>
      <c r="S24" s="75" t="s">
        <v>237</v>
      </c>
      <c r="T24" s="75" t="s">
        <v>193</v>
      </c>
      <c r="U24" s="75" t="s">
        <v>194</v>
      </c>
      <c r="V24" s="75" t="s">
        <v>195</v>
      </c>
      <c r="W24" s="75" t="s">
        <v>196</v>
      </c>
      <c r="X24" s="75" t="s">
        <v>189</v>
      </c>
      <c r="Y24" s="75" t="s">
        <v>189</v>
      </c>
      <c r="Z24" s="75" t="s">
        <v>189</v>
      </c>
      <c r="AA24" s="75" t="s">
        <v>189</v>
      </c>
      <c r="AB24" s="75" t="s">
        <v>189</v>
      </c>
      <c r="AC24" s="75" t="s">
        <v>189</v>
      </c>
      <c r="AD24" s="75" t="s">
        <v>189</v>
      </c>
      <c r="AE24" s="75" t="s">
        <v>189</v>
      </c>
      <c r="AF24" s="75" t="s">
        <v>189</v>
      </c>
      <c r="AG24" s="75" t="s">
        <v>189</v>
      </c>
      <c r="AH24" s="75" t="s">
        <v>189</v>
      </c>
      <c r="AI24" s="75" t="s">
        <v>189</v>
      </c>
      <c r="AJ24" s="75" t="s">
        <v>189</v>
      </c>
      <c r="AK24" s="75" t="s">
        <v>189</v>
      </c>
      <c r="AL24" s="75" t="s">
        <v>189</v>
      </c>
      <c r="AM24" s="75" t="s">
        <v>189</v>
      </c>
      <c r="AN24" s="75" t="s">
        <v>189</v>
      </c>
      <c r="AO24" s="75" t="s">
        <v>189</v>
      </c>
      <c r="AP24" s="75" t="s">
        <v>189</v>
      </c>
      <c r="AQ24" s="75" t="s">
        <v>189</v>
      </c>
      <c r="AR24" s="75" t="s">
        <v>189</v>
      </c>
      <c r="AS24" s="75" t="s">
        <v>189</v>
      </c>
      <c r="AT24" s="75" t="s">
        <v>189</v>
      </c>
      <c r="AU24" s="75" t="s">
        <v>189</v>
      </c>
      <c r="AV24" s="75" t="s">
        <v>189</v>
      </c>
      <c r="AW24" s="75" t="s">
        <v>189</v>
      </c>
      <c r="AX24" s="75" t="s">
        <v>189</v>
      </c>
      <c r="AY24" s="75" t="s">
        <v>189</v>
      </c>
      <c r="AZ24" s="75" t="s">
        <v>189</v>
      </c>
      <c r="BA24" s="75" t="s">
        <v>189</v>
      </c>
      <c r="BB24" s="75" t="s">
        <v>189</v>
      </c>
      <c r="BC24" s="75" t="s">
        <v>189</v>
      </c>
      <c r="BD24" s="75" t="s">
        <v>189</v>
      </c>
      <c r="BE24" s="75" t="s">
        <v>189</v>
      </c>
      <c r="BF24" s="75" t="s">
        <v>189</v>
      </c>
      <c r="BG24" s="75" t="s">
        <v>189</v>
      </c>
      <c r="BH24" s="75" t="s">
        <v>189</v>
      </c>
      <c r="BI24" s="75" t="s">
        <v>189</v>
      </c>
      <c r="BJ24" s="75" t="s">
        <v>189</v>
      </c>
      <c r="BK24" s="75" t="s">
        <v>189</v>
      </c>
      <c r="BL24" s="75" t="s">
        <v>189</v>
      </c>
      <c r="BM24" s="75" t="s">
        <v>189</v>
      </c>
      <c r="BN24" s="75" t="s">
        <v>189</v>
      </c>
      <c r="BO24" s="75" t="s">
        <v>189</v>
      </c>
      <c r="BP24" s="75" t="s">
        <v>189</v>
      </c>
      <c r="BQ24" s="75" t="s">
        <v>189</v>
      </c>
      <c r="BR24" s="75" t="s">
        <v>189</v>
      </c>
      <c r="BS24" s="75" t="s">
        <v>189</v>
      </c>
      <c r="BT24" s="75" t="s">
        <v>189</v>
      </c>
      <c r="BU24" s="75" t="s">
        <v>189</v>
      </c>
      <c r="BV24" s="75" t="s">
        <v>189</v>
      </c>
      <c r="BW24" s="75" t="s">
        <v>189</v>
      </c>
      <c r="BX24" s="75" t="s">
        <v>189</v>
      </c>
      <c r="BY24" s="75" t="s">
        <v>189</v>
      </c>
      <c r="BZ24" s="75" t="s">
        <v>189</v>
      </c>
      <c r="CA24" s="75" t="s">
        <v>189</v>
      </c>
      <c r="CB24" s="75" t="s">
        <v>189</v>
      </c>
      <c r="CC24" s="75" t="s">
        <v>189</v>
      </c>
      <c r="CD24" s="75" t="s">
        <v>189</v>
      </c>
      <c r="CE24" s="75" t="s">
        <v>189</v>
      </c>
      <c r="CF24" s="75" t="s">
        <v>189</v>
      </c>
      <c r="CG24" s="75" t="s">
        <v>189</v>
      </c>
      <c r="CH24" s="75" t="s">
        <v>189</v>
      </c>
      <c r="CI24" s="75" t="s">
        <v>189</v>
      </c>
      <c r="CJ24" s="75" t="s">
        <v>189</v>
      </c>
      <c r="CK24" s="75" t="s">
        <v>189</v>
      </c>
      <c r="CL24" s="75" t="s">
        <v>189</v>
      </c>
      <c r="CM24" s="75" t="s">
        <v>189</v>
      </c>
      <c r="CN24" s="75" t="s">
        <v>189</v>
      </c>
      <c r="CO24" s="75" t="s">
        <v>189</v>
      </c>
      <c r="CP24" s="75" t="s">
        <v>189</v>
      </c>
      <c r="CQ24" s="75" t="s">
        <v>189</v>
      </c>
      <c r="CR24" s="75" t="s">
        <v>189</v>
      </c>
      <c r="CS24" s="75" t="s">
        <v>189</v>
      </c>
      <c r="CT24" s="75" t="s">
        <v>189</v>
      </c>
      <c r="CU24" s="75" t="s">
        <v>189</v>
      </c>
      <c r="CV24" s="75" t="s">
        <v>189</v>
      </c>
      <c r="CW24" s="75" t="s">
        <v>189</v>
      </c>
      <c r="CX24" s="75" t="s">
        <v>189</v>
      </c>
      <c r="CY24" s="75" t="s">
        <v>189</v>
      </c>
      <c r="CZ24" s="75" t="s">
        <v>189</v>
      </c>
      <c r="DA24" s="75" t="s">
        <v>189</v>
      </c>
      <c r="DB24" s="75" t="s">
        <v>189</v>
      </c>
      <c r="DC24" s="75" t="s">
        <v>189</v>
      </c>
      <c r="DD24" s="75" t="s">
        <v>189</v>
      </c>
      <c r="DE24" s="75" t="s">
        <v>189</v>
      </c>
      <c r="DF24" s="75" t="s">
        <v>189</v>
      </c>
      <c r="DG24" s="75" t="s">
        <v>189</v>
      </c>
      <c r="DH24" s="75" t="s">
        <v>189</v>
      </c>
      <c r="DI24" s="75" t="s">
        <v>189</v>
      </c>
      <c r="DJ24" s="75" t="s">
        <v>189</v>
      </c>
      <c r="DK24" s="75" t="s">
        <v>189</v>
      </c>
      <c r="DL24" s="75" t="s">
        <v>237</v>
      </c>
      <c r="DM24" s="75" t="s">
        <v>239</v>
      </c>
      <c r="DN24" s="75" t="s">
        <v>145</v>
      </c>
      <c r="DO24" s="75" t="s">
        <v>145</v>
      </c>
      <c r="DP24" s="80"/>
    </row>
    <row r="25" spans="1:143">
      <c r="A25" s="60"/>
      <c r="B25" s="27" t="s">
        <v>185</v>
      </c>
      <c r="C25" s="81" t="s">
        <v>186</v>
      </c>
      <c r="D25" s="75" t="s">
        <v>240</v>
      </c>
      <c r="E25" s="75" t="s">
        <v>241</v>
      </c>
      <c r="F25" s="75" t="s">
        <v>189</v>
      </c>
      <c r="G25" s="75" t="s">
        <v>189</v>
      </c>
      <c r="H25" s="75" t="s">
        <v>189</v>
      </c>
      <c r="I25" s="75" t="s">
        <v>189</v>
      </c>
      <c r="J25" s="75" t="s">
        <v>189</v>
      </c>
      <c r="K25" s="75" t="s">
        <v>189</v>
      </c>
      <c r="L25" s="75" t="s">
        <v>189</v>
      </c>
      <c r="M25" s="75" t="s">
        <v>189</v>
      </c>
      <c r="N25" s="75" t="s">
        <v>241</v>
      </c>
      <c r="O25" s="75" t="s">
        <v>242</v>
      </c>
      <c r="P25" s="75" t="s">
        <v>241</v>
      </c>
      <c r="Q25" s="75" t="s">
        <v>191</v>
      </c>
      <c r="R25" s="75" t="s">
        <v>192</v>
      </c>
      <c r="S25" s="75" t="s">
        <v>241</v>
      </c>
      <c r="T25" s="75" t="s">
        <v>243</v>
      </c>
      <c r="U25" s="75" t="s">
        <v>244</v>
      </c>
      <c r="V25" s="75" t="s">
        <v>245</v>
      </c>
      <c r="W25" s="75" t="s">
        <v>196</v>
      </c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/>
      <c r="DA25" s="75"/>
      <c r="DB25" s="75"/>
      <c r="DC25" s="75"/>
      <c r="DD25" s="75"/>
      <c r="DE25" s="75"/>
      <c r="DF25" s="75"/>
      <c r="DG25" s="75"/>
      <c r="DH25" s="75"/>
      <c r="DI25" s="75"/>
      <c r="DJ25" s="75"/>
      <c r="DK25" s="75"/>
      <c r="DL25" s="75"/>
      <c r="DM25" s="75"/>
      <c r="DN25" s="75"/>
      <c r="DO25" s="75"/>
      <c r="DP25" s="80"/>
      <c r="DQ25" s="80"/>
      <c r="DR25" s="80"/>
      <c r="DS25" s="80"/>
      <c r="DT25" s="80"/>
      <c r="DU25" s="80"/>
      <c r="DV25" s="80"/>
      <c r="DW25" s="80"/>
      <c r="DX25" s="80"/>
      <c r="DY25" s="80"/>
      <c r="DZ25" s="80"/>
      <c r="EA25" s="80"/>
      <c r="EB25" s="80"/>
      <c r="EC25" s="80"/>
      <c r="ED25" s="80"/>
      <c r="EE25" s="80"/>
      <c r="EF25" s="80"/>
      <c r="EG25" s="80"/>
      <c r="EH25" s="80"/>
      <c r="EI25" s="80"/>
      <c r="EJ25" s="80"/>
      <c r="EK25" s="80"/>
      <c r="EL25" s="80"/>
      <c r="EM25" s="80"/>
    </row>
    <row r="26" spans="1:143">
      <c r="A26" s="60"/>
      <c r="B26" s="27" t="s">
        <v>185</v>
      </c>
      <c r="C26" s="81" t="s">
        <v>186</v>
      </c>
      <c r="D26" s="75" t="s">
        <v>240</v>
      </c>
      <c r="E26" s="75" t="s">
        <v>246</v>
      </c>
      <c r="F26" s="75" t="s">
        <v>189</v>
      </c>
      <c r="G26" s="75" t="s">
        <v>189</v>
      </c>
      <c r="H26" s="75" t="s">
        <v>189</v>
      </c>
      <c r="I26" s="75" t="s">
        <v>189</v>
      </c>
      <c r="J26" s="75" t="s">
        <v>189</v>
      </c>
      <c r="K26" s="75" t="s">
        <v>189</v>
      </c>
      <c r="L26" s="75" t="s">
        <v>189</v>
      </c>
      <c r="M26" s="75" t="s">
        <v>189</v>
      </c>
      <c r="N26" s="75" t="s">
        <v>246</v>
      </c>
      <c r="O26" s="75" t="s">
        <v>247</v>
      </c>
      <c r="P26" s="75" t="s">
        <v>246</v>
      </c>
      <c r="Q26" s="75" t="s">
        <v>191</v>
      </c>
      <c r="R26" s="75" t="s">
        <v>192</v>
      </c>
      <c r="S26" s="75" t="s">
        <v>246</v>
      </c>
      <c r="T26" s="75" t="s">
        <v>243</v>
      </c>
      <c r="U26" s="75" t="s">
        <v>244</v>
      </c>
      <c r="V26" s="75" t="s">
        <v>245</v>
      </c>
      <c r="W26" s="75" t="s">
        <v>196</v>
      </c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5"/>
      <c r="DC26" s="75"/>
      <c r="DD26" s="75"/>
      <c r="DE26" s="75"/>
      <c r="DF26" s="75"/>
      <c r="DG26" s="75"/>
      <c r="DH26" s="75"/>
      <c r="DI26" s="75"/>
      <c r="DJ26" s="75"/>
      <c r="DK26" s="75"/>
      <c r="DL26" s="75"/>
      <c r="DM26" s="75"/>
      <c r="DN26" s="75"/>
      <c r="DO26" s="75"/>
      <c r="DP26" s="80"/>
      <c r="DQ26" s="80"/>
      <c r="DR26" s="80"/>
      <c r="DS26" s="80"/>
      <c r="DT26" s="80"/>
      <c r="DU26" s="80"/>
      <c r="DV26" s="80"/>
      <c r="DW26" s="80"/>
      <c r="DX26" s="80"/>
      <c r="DY26" s="80"/>
      <c r="DZ26" s="80"/>
      <c r="EA26" s="80"/>
      <c r="EB26" s="80"/>
      <c r="EC26" s="80"/>
      <c r="ED26" s="80"/>
      <c r="EE26" s="80"/>
      <c r="EF26" s="80"/>
      <c r="EG26" s="80"/>
      <c r="EH26" s="80"/>
      <c r="EI26" s="80"/>
      <c r="EJ26" s="80"/>
      <c r="EK26" s="80"/>
      <c r="EL26" s="80"/>
      <c r="EM26" s="80"/>
    </row>
    <row r="27" spans="1:143">
      <c r="A27" s="60"/>
      <c r="B27" s="27" t="s">
        <v>185</v>
      </c>
      <c r="C27" s="81" t="s">
        <v>186</v>
      </c>
      <c r="D27" s="75" t="s">
        <v>240</v>
      </c>
      <c r="E27" s="75" t="s">
        <v>248</v>
      </c>
      <c r="F27" s="75" t="s">
        <v>189</v>
      </c>
      <c r="G27" s="75" t="s">
        <v>189</v>
      </c>
      <c r="H27" s="75" t="s">
        <v>189</v>
      </c>
      <c r="I27" s="75" t="s">
        <v>189</v>
      </c>
      <c r="J27" s="75" t="s">
        <v>189</v>
      </c>
      <c r="K27" s="75" t="s">
        <v>189</v>
      </c>
      <c r="L27" s="75" t="s">
        <v>189</v>
      </c>
      <c r="M27" s="75" t="s">
        <v>189</v>
      </c>
      <c r="N27" s="75" t="s">
        <v>248</v>
      </c>
      <c r="O27" s="75" t="s">
        <v>249</v>
      </c>
      <c r="P27" s="75" t="s">
        <v>248</v>
      </c>
      <c r="Q27" s="75" t="s">
        <v>191</v>
      </c>
      <c r="R27" s="75" t="s">
        <v>192</v>
      </c>
      <c r="S27" s="75" t="s">
        <v>248</v>
      </c>
      <c r="T27" s="75" t="s">
        <v>250</v>
      </c>
      <c r="U27" s="75" t="s">
        <v>251</v>
      </c>
      <c r="V27" s="75" t="s">
        <v>252</v>
      </c>
      <c r="W27" s="75" t="s">
        <v>196</v>
      </c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75"/>
      <c r="DN27" s="75"/>
      <c r="DO27" s="75"/>
      <c r="DP27" s="80"/>
      <c r="DQ27" s="80"/>
      <c r="DR27" s="80"/>
      <c r="DS27" s="80"/>
      <c r="DT27" s="80"/>
      <c r="DU27" s="80"/>
      <c r="DV27" s="80"/>
      <c r="DW27" s="80"/>
      <c r="DX27" s="80"/>
      <c r="DY27" s="80"/>
      <c r="DZ27" s="80"/>
      <c r="EA27" s="80"/>
      <c r="EB27" s="80"/>
      <c r="EC27" s="80"/>
      <c r="ED27" s="80"/>
      <c r="EE27" s="80"/>
      <c r="EF27" s="80"/>
      <c r="EG27" s="80"/>
      <c r="EH27" s="80"/>
      <c r="EI27" s="80"/>
      <c r="EJ27" s="80"/>
      <c r="EK27" s="80"/>
      <c r="EL27" s="80"/>
      <c r="EM27" s="80"/>
    </row>
    <row r="28" spans="1:143">
      <c r="A28" s="60"/>
      <c r="B28" s="27" t="s">
        <v>185</v>
      </c>
      <c r="C28" s="81" t="s">
        <v>186</v>
      </c>
      <c r="D28" s="75" t="s">
        <v>240</v>
      </c>
      <c r="E28" s="75" t="s">
        <v>253</v>
      </c>
      <c r="F28" s="75" t="s">
        <v>189</v>
      </c>
      <c r="G28" s="75" t="s">
        <v>189</v>
      </c>
      <c r="H28" s="75" t="s">
        <v>189</v>
      </c>
      <c r="I28" s="75" t="s">
        <v>189</v>
      </c>
      <c r="J28" s="75" t="s">
        <v>189</v>
      </c>
      <c r="K28" s="75" t="s">
        <v>189</v>
      </c>
      <c r="L28" s="75" t="s">
        <v>189</v>
      </c>
      <c r="M28" s="75" t="s">
        <v>189</v>
      </c>
      <c r="N28" s="75" t="s">
        <v>253</v>
      </c>
      <c r="O28" s="75" t="s">
        <v>254</v>
      </c>
      <c r="P28" s="75" t="s">
        <v>253</v>
      </c>
      <c r="Q28" s="75" t="s">
        <v>191</v>
      </c>
      <c r="R28" s="75" t="s">
        <v>192</v>
      </c>
      <c r="S28" s="75">
        <v>3.1003215729439999E+31</v>
      </c>
      <c r="T28" s="75">
        <v>4</v>
      </c>
      <c r="U28" s="75" t="s">
        <v>255</v>
      </c>
      <c r="V28" s="75" t="s">
        <v>256</v>
      </c>
      <c r="W28" s="75" t="s">
        <v>196</v>
      </c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75"/>
      <c r="DE28" s="75"/>
      <c r="DF28" s="75"/>
      <c r="DG28" s="75"/>
      <c r="DH28" s="75"/>
      <c r="DI28" s="75"/>
      <c r="DJ28" s="75"/>
      <c r="DK28" s="75"/>
      <c r="DL28" s="75"/>
      <c r="DM28" s="75"/>
      <c r="DN28" s="75"/>
      <c r="DO28" s="75"/>
    </row>
    <row r="29" spans="1:143">
      <c r="A29" s="60"/>
      <c r="B29" s="60"/>
      <c r="C29" s="60"/>
      <c r="D29" s="60"/>
    </row>
    <row r="30" spans="1:143">
      <c r="A30" s="60"/>
      <c r="B30" s="73" t="s">
        <v>142</v>
      </c>
      <c r="C30" s="73" t="s">
        <v>48</v>
      </c>
      <c r="D30" s="73" t="s">
        <v>61</v>
      </c>
      <c r="E30" s="74" t="s">
        <v>143</v>
      </c>
      <c r="F30" s="74" t="s">
        <v>147</v>
      </c>
      <c r="G30" s="74" t="s">
        <v>148</v>
      </c>
      <c r="H30" s="74" t="s">
        <v>150</v>
      </c>
      <c r="I30" s="74" t="s">
        <v>151</v>
      </c>
      <c r="J30" s="74" t="s">
        <v>257</v>
      </c>
      <c r="K30" s="74" t="s">
        <v>258</v>
      </c>
      <c r="L30" s="74" t="s">
        <v>148</v>
      </c>
      <c r="M30" s="74" t="s">
        <v>150</v>
      </c>
      <c r="N30" s="74" t="s">
        <v>151</v>
      </c>
    </row>
    <row r="31" spans="1:143">
      <c r="A31" s="60"/>
      <c r="B31" s="76" t="s">
        <v>144</v>
      </c>
      <c r="C31" s="77" t="s">
        <v>259</v>
      </c>
      <c r="D31" s="75" t="s">
        <v>260</v>
      </c>
      <c r="E31" s="75" t="s">
        <v>261</v>
      </c>
      <c r="F31" s="75" t="s">
        <v>189</v>
      </c>
      <c r="G31" s="75" t="s">
        <v>262</v>
      </c>
      <c r="H31" s="75" t="s">
        <v>189</v>
      </c>
      <c r="I31" s="75" t="s">
        <v>263</v>
      </c>
      <c r="J31" s="75" t="s">
        <v>261</v>
      </c>
      <c r="K31" s="75" t="s">
        <v>262</v>
      </c>
      <c r="L31" s="75" t="s">
        <v>262</v>
      </c>
      <c r="M31" s="75" t="s">
        <v>189</v>
      </c>
      <c r="N31" s="75" t="s">
        <v>264</v>
      </c>
    </row>
    <row r="32" spans="1:143">
      <c r="A32" s="60"/>
      <c r="B32" s="76" t="s">
        <v>144</v>
      </c>
      <c r="C32" s="77" t="s">
        <v>259</v>
      </c>
      <c r="D32" s="75" t="s">
        <v>265</v>
      </c>
      <c r="E32" s="75" t="s">
        <v>266</v>
      </c>
      <c r="F32" s="75" t="s">
        <v>267</v>
      </c>
      <c r="G32" s="75" t="s">
        <v>267</v>
      </c>
      <c r="H32" s="75" t="s">
        <v>268</v>
      </c>
      <c r="I32" s="75" t="s">
        <v>269</v>
      </c>
      <c r="J32" s="75" t="s">
        <v>266</v>
      </c>
      <c r="K32" s="75" t="s">
        <v>262</v>
      </c>
      <c r="L32" s="75" t="s">
        <v>262</v>
      </c>
      <c r="M32" s="75" t="s">
        <v>270</v>
      </c>
      <c r="N32" s="75" t="s">
        <v>271</v>
      </c>
    </row>
    <row r="33" spans="1:14">
      <c r="A33" s="60"/>
      <c r="B33" s="76" t="s">
        <v>144</v>
      </c>
      <c r="C33" s="77" t="s">
        <v>259</v>
      </c>
      <c r="D33" s="75" t="s">
        <v>272</v>
      </c>
      <c r="E33" s="75" t="s">
        <v>273</v>
      </c>
      <c r="F33" s="75" t="s">
        <v>189</v>
      </c>
      <c r="G33" s="75" t="s">
        <v>189</v>
      </c>
      <c r="H33" s="75" t="s">
        <v>189</v>
      </c>
      <c r="I33" s="75" t="s">
        <v>189</v>
      </c>
      <c r="J33" s="75" t="s">
        <v>273</v>
      </c>
      <c r="K33" s="75" t="s">
        <v>267</v>
      </c>
      <c r="L33" s="75" t="s">
        <v>267</v>
      </c>
      <c r="M33" s="75" t="s">
        <v>274</v>
      </c>
      <c r="N33" s="75" t="s">
        <v>275</v>
      </c>
    </row>
    <row r="34" spans="1:14">
      <c r="A34" s="60"/>
      <c r="B34" s="60"/>
      <c r="C34" s="60"/>
      <c r="D34" s="60"/>
    </row>
    <row r="35" spans="1:14" hidden="1">
      <c r="A35" s="60"/>
      <c r="B35" s="60"/>
      <c r="C35" s="60"/>
      <c r="D35" s="60"/>
    </row>
    <row r="36" spans="1:14" hidden="1">
      <c r="A36" s="60"/>
      <c r="B36" s="60"/>
      <c r="C36" s="60"/>
      <c r="D36" s="60"/>
    </row>
    <row r="37" spans="1:14" hidden="1">
      <c r="A37" s="60"/>
      <c r="B37" s="60"/>
      <c r="C37" s="60"/>
      <c r="D37" s="60"/>
    </row>
    <row r="38" spans="1:14" hidden="1">
      <c r="A38" s="60"/>
      <c r="B38" s="60"/>
      <c r="C38" s="60"/>
      <c r="D38" s="60"/>
    </row>
    <row r="39" spans="1:14" hidden="1">
      <c r="A39" s="60"/>
      <c r="B39" s="60"/>
      <c r="C39" s="60"/>
      <c r="D39" s="60"/>
    </row>
    <row r="40" spans="1:14" hidden="1">
      <c r="A40" s="60"/>
      <c r="B40" s="60"/>
      <c r="C40" s="60"/>
      <c r="D40" s="60"/>
    </row>
    <row r="41" spans="1:14" hidden="1">
      <c r="A41" s="60"/>
      <c r="B41" s="60"/>
      <c r="C41" s="60"/>
      <c r="D41" s="60"/>
    </row>
    <row r="42" spans="1:14" hidden="1">
      <c r="A42" s="60"/>
      <c r="B42" s="60"/>
      <c r="C42" s="60"/>
      <c r="D42" s="60"/>
    </row>
    <row r="43" spans="1:14" hidden="1">
      <c r="A43" s="60"/>
      <c r="B43" s="60"/>
      <c r="C43" s="60"/>
      <c r="D43" s="60"/>
    </row>
    <row r="44" spans="1:14" hidden="1">
      <c r="A44" s="60"/>
      <c r="B44" s="60"/>
      <c r="C44" s="60"/>
      <c r="D44" s="60"/>
    </row>
    <row r="45" spans="1:14" hidden="1">
      <c r="A45" s="60"/>
      <c r="B45" s="60"/>
      <c r="C45" s="60"/>
      <c r="D45" s="60"/>
    </row>
    <row r="46" spans="1:14" hidden="1">
      <c r="A46" s="60"/>
      <c r="B46" s="60"/>
      <c r="C46" s="60"/>
      <c r="D46" s="60"/>
    </row>
    <row r="47" spans="1:14" hidden="1">
      <c r="A47" s="60"/>
      <c r="B47" s="60"/>
      <c r="C47" s="60"/>
      <c r="D47" s="60"/>
    </row>
    <row r="48" spans="1:14" hidden="1">
      <c r="A48" s="60"/>
      <c r="B48" s="60"/>
      <c r="C48" s="60"/>
      <c r="D48" s="60"/>
    </row>
    <row r="49" spans="1:4" hidden="1">
      <c r="A49" s="60"/>
      <c r="B49" s="60"/>
      <c r="C49" s="60"/>
      <c r="D49" s="60"/>
    </row>
    <row r="50" spans="1:4" hidden="1">
      <c r="A50" s="60"/>
      <c r="B50" s="60"/>
      <c r="C50" s="60"/>
      <c r="D50" s="60"/>
    </row>
    <row r="51" spans="1:4" hidden="1">
      <c r="A51" s="60"/>
      <c r="B51" s="60"/>
      <c r="C51" s="60"/>
      <c r="D51" s="60"/>
    </row>
    <row r="52" spans="1:4" hidden="1">
      <c r="A52" s="60"/>
      <c r="B52" s="60"/>
      <c r="C52" s="60"/>
      <c r="D52" s="60"/>
    </row>
    <row r="53" spans="1:4" hidden="1">
      <c r="A53" s="60"/>
      <c r="B53" s="60"/>
      <c r="C53" s="60"/>
      <c r="D53" s="60"/>
    </row>
    <row r="54" spans="1:4" hidden="1">
      <c r="A54" s="60"/>
      <c r="B54" s="60"/>
      <c r="C54" s="60"/>
      <c r="D54" s="60"/>
    </row>
    <row r="55" spans="1:4" hidden="1">
      <c r="A55" s="60"/>
      <c r="B55" s="60"/>
      <c r="C55" s="60"/>
      <c r="D55" s="60"/>
    </row>
    <row r="56" spans="1:4" hidden="1">
      <c r="A56" s="60"/>
      <c r="B56" s="60"/>
      <c r="C56" s="60"/>
      <c r="D56" s="60"/>
    </row>
    <row r="57" spans="1:4" hidden="1">
      <c r="A57" s="60"/>
      <c r="B57" s="60"/>
      <c r="C57" s="60"/>
      <c r="D57" s="60"/>
    </row>
    <row r="58" spans="1:4" hidden="1">
      <c r="A58" s="60"/>
      <c r="B58" s="60"/>
      <c r="C58" s="60"/>
      <c r="D58" s="60"/>
    </row>
    <row r="59" spans="1:4" hidden="1">
      <c r="A59" s="60"/>
      <c r="B59" s="60"/>
      <c r="C59" s="60"/>
      <c r="D59" s="60"/>
    </row>
    <row r="60" spans="1:4" hidden="1">
      <c r="A60" s="60"/>
      <c r="B60" s="60"/>
      <c r="C60" s="60"/>
      <c r="D60" s="60"/>
    </row>
    <row r="61" spans="1:4" hidden="1">
      <c r="A61" s="60"/>
      <c r="B61" s="60"/>
      <c r="C61" s="60"/>
      <c r="D61" s="60"/>
    </row>
    <row r="62" spans="1:4" hidden="1">
      <c r="A62" s="60"/>
      <c r="B62" s="60"/>
      <c r="C62" s="60"/>
      <c r="D62" s="60"/>
    </row>
    <row r="63" spans="1:4" hidden="1">
      <c r="A63" s="60"/>
      <c r="B63" s="60"/>
      <c r="C63" s="60"/>
      <c r="D63" s="60"/>
    </row>
    <row r="64" spans="1:4" hidden="1">
      <c r="A64" s="60"/>
      <c r="B64" s="60"/>
      <c r="C64" s="60"/>
      <c r="D64" s="60"/>
    </row>
    <row r="65" spans="1:4" hidden="1">
      <c r="A65" s="60"/>
      <c r="B65" s="60"/>
      <c r="C65" s="60"/>
      <c r="D65" s="60"/>
    </row>
    <row r="66" spans="1:4" hidden="1">
      <c r="A66" s="60"/>
      <c r="B66" s="60"/>
      <c r="C66" s="60"/>
      <c r="D66" s="60"/>
    </row>
    <row r="67" spans="1:4" hidden="1">
      <c r="A67" s="60"/>
      <c r="B67" s="60"/>
      <c r="C67" s="60"/>
      <c r="D67" s="60"/>
    </row>
    <row r="68" spans="1:4" hidden="1">
      <c r="A68" s="60"/>
      <c r="B68" s="60"/>
      <c r="C68" s="60"/>
      <c r="D68" s="60"/>
    </row>
    <row r="69" spans="1:4" hidden="1">
      <c r="A69" s="60"/>
      <c r="B69" s="60"/>
      <c r="C69" s="60"/>
      <c r="D69" s="60"/>
    </row>
    <row r="70" spans="1:4" hidden="1">
      <c r="A70" s="60"/>
      <c r="B70" s="60"/>
      <c r="C70" s="60"/>
      <c r="D70" s="60"/>
    </row>
    <row r="71" spans="1:4" hidden="1">
      <c r="A71" s="60"/>
      <c r="B71" s="60"/>
      <c r="C71" s="60"/>
      <c r="D71" s="60"/>
    </row>
    <row r="72" spans="1:4" hidden="1">
      <c r="A72" s="60"/>
      <c r="B72" s="60"/>
      <c r="C72" s="60"/>
      <c r="D72" s="60"/>
    </row>
    <row r="73" spans="1:4" hidden="1">
      <c r="A73" s="60"/>
      <c r="B73" s="60"/>
      <c r="C73" s="60"/>
      <c r="D73" s="60"/>
    </row>
    <row r="74" spans="1:4" hidden="1">
      <c r="A74" s="60"/>
      <c r="B74" s="60"/>
      <c r="C74" s="60"/>
      <c r="D74" s="60"/>
    </row>
    <row r="75" spans="1:4" hidden="1">
      <c r="A75" s="60"/>
      <c r="B75" s="60"/>
      <c r="C75" s="60"/>
      <c r="D75" s="60"/>
    </row>
    <row r="76" spans="1:4" hidden="1">
      <c r="A76" s="60"/>
      <c r="B76" s="60"/>
      <c r="C76" s="60"/>
      <c r="D76" s="60"/>
    </row>
    <row r="77" spans="1:4" hidden="1">
      <c r="A77" s="60"/>
      <c r="B77" s="60"/>
      <c r="C77" s="60"/>
      <c r="D77" s="60"/>
    </row>
    <row r="78" spans="1:4" hidden="1">
      <c r="A78" s="60"/>
      <c r="B78" s="60"/>
      <c r="C78" s="60"/>
      <c r="D78" s="60"/>
    </row>
    <row r="79" spans="1:4" hidden="1">
      <c r="A79" s="60"/>
      <c r="B79" s="60"/>
      <c r="C79" s="60"/>
      <c r="D79" s="60"/>
    </row>
    <row r="80" spans="1:4" hidden="1">
      <c r="A80" s="60"/>
      <c r="B80" s="60"/>
      <c r="C80" s="60"/>
      <c r="D80" s="60"/>
    </row>
    <row r="81" spans="1:4" hidden="1">
      <c r="A81" s="60"/>
      <c r="B81" s="60"/>
      <c r="C81" s="60"/>
      <c r="D81" s="60"/>
    </row>
    <row r="82" spans="1:4" hidden="1">
      <c r="A82" s="60"/>
      <c r="B82" s="60"/>
      <c r="C82" s="60"/>
      <c r="D82" s="60"/>
    </row>
    <row r="83" spans="1:4" hidden="1">
      <c r="A83" s="60"/>
      <c r="B83" s="60"/>
      <c r="C83" s="60"/>
      <c r="D83" s="60"/>
    </row>
    <row r="84" spans="1:4" hidden="1">
      <c r="A84" s="60"/>
      <c r="B84" s="60"/>
      <c r="C84" s="60"/>
      <c r="D84" s="60"/>
    </row>
    <row r="85" spans="1:4" hidden="1">
      <c r="A85" s="60"/>
      <c r="B85" s="60"/>
      <c r="C85" s="60"/>
      <c r="D85" s="60"/>
    </row>
    <row r="86" spans="1:4" hidden="1">
      <c r="A86" s="60"/>
      <c r="B86" s="60"/>
      <c r="C86" s="60"/>
      <c r="D86" s="60"/>
    </row>
    <row r="87" spans="1:4" hidden="1">
      <c r="A87" s="60"/>
      <c r="B87" s="60"/>
      <c r="C87" s="60"/>
      <c r="D87" s="60"/>
    </row>
    <row r="88" spans="1:4" hidden="1">
      <c r="A88" s="60"/>
      <c r="B88" s="60"/>
      <c r="C88" s="60"/>
      <c r="D88" s="60"/>
    </row>
    <row r="89" spans="1:4" hidden="1">
      <c r="A89" s="60"/>
      <c r="B89" s="60"/>
      <c r="C89" s="60"/>
      <c r="D89" s="60"/>
    </row>
    <row r="90" spans="1:4" hidden="1">
      <c r="A90" s="60"/>
      <c r="B90" s="60"/>
      <c r="C90" s="60"/>
      <c r="D90" s="60"/>
    </row>
    <row r="91" spans="1:4" hidden="1">
      <c r="A91" s="60"/>
      <c r="B91" s="60"/>
      <c r="C91" s="60"/>
      <c r="D91" s="60"/>
    </row>
    <row r="92" spans="1:4" hidden="1">
      <c r="A92" s="60"/>
      <c r="B92" s="60"/>
      <c r="C92" s="60"/>
      <c r="D92" s="60"/>
    </row>
    <row r="93" spans="1:4" hidden="1">
      <c r="A93" s="60"/>
      <c r="B93" s="60"/>
      <c r="C93" s="60"/>
      <c r="D93" s="60"/>
    </row>
    <row r="94" spans="1:4" hidden="1">
      <c r="A94" s="60"/>
      <c r="B94" s="60"/>
      <c r="C94" s="60"/>
      <c r="D94" s="60"/>
    </row>
    <row r="95" spans="1:4" hidden="1">
      <c r="A95" s="60"/>
      <c r="B95" s="60"/>
      <c r="C95" s="60"/>
      <c r="D95" s="60"/>
    </row>
    <row r="96" spans="1:4" hidden="1">
      <c r="A96" s="60"/>
      <c r="B96" s="60"/>
      <c r="C96" s="60"/>
      <c r="D96" s="60"/>
    </row>
    <row r="97" spans="1:4" hidden="1">
      <c r="A97" s="60"/>
      <c r="B97" s="60"/>
      <c r="C97" s="60"/>
      <c r="D97" s="60"/>
    </row>
    <row r="98" spans="1:4" hidden="1">
      <c r="A98" s="60"/>
      <c r="B98" s="60"/>
      <c r="C98" s="60"/>
      <c r="D98" s="60"/>
    </row>
    <row r="99" spans="1:4" hidden="1">
      <c r="A99" s="60"/>
      <c r="B99" s="60"/>
      <c r="C99" s="60"/>
      <c r="D99" s="60"/>
    </row>
    <row r="100" spans="1:4" hidden="1">
      <c r="A100" s="60"/>
      <c r="B100" s="60"/>
      <c r="C100" s="60"/>
      <c r="D100" s="60"/>
    </row>
    <row r="101" spans="1:4" hidden="1">
      <c r="A101" s="60"/>
      <c r="B101" s="60"/>
      <c r="C101" s="60"/>
      <c r="D101" s="60"/>
    </row>
    <row r="102" spans="1:4" hidden="1">
      <c r="A102" s="60"/>
      <c r="B102" s="60"/>
      <c r="C102" s="60"/>
      <c r="D102" s="60"/>
    </row>
    <row r="103" spans="1:4" hidden="1">
      <c r="A103" s="60"/>
      <c r="B103" s="60"/>
      <c r="C103" s="60"/>
      <c r="D103" s="60"/>
    </row>
    <row r="104" spans="1:4" hidden="1">
      <c r="A104" s="60"/>
      <c r="B104" s="60"/>
      <c r="C104" s="60"/>
      <c r="D104" s="60"/>
    </row>
    <row r="105" spans="1:4" hidden="1">
      <c r="A105" s="60"/>
      <c r="B105" s="60"/>
      <c r="C105" s="60"/>
      <c r="D105" s="60"/>
    </row>
    <row r="106" spans="1:4" hidden="1">
      <c r="A106" s="60"/>
      <c r="B106" s="60"/>
      <c r="C106" s="60"/>
      <c r="D106" s="60"/>
    </row>
    <row r="107" spans="1:4" hidden="1">
      <c r="A107" s="60"/>
      <c r="B107" s="60"/>
      <c r="C107" s="60"/>
      <c r="D107" s="60"/>
    </row>
    <row r="108" spans="1:4" hidden="1">
      <c r="A108" s="60"/>
      <c r="B108" s="60"/>
      <c r="C108" s="60"/>
      <c r="D108" s="60"/>
    </row>
    <row r="109" spans="1:4" hidden="1">
      <c r="A109" s="60"/>
      <c r="B109" s="60"/>
      <c r="C109" s="60"/>
      <c r="D109" s="60"/>
    </row>
    <row r="110" spans="1:4" hidden="1">
      <c r="A110" s="60"/>
      <c r="B110" s="60"/>
      <c r="C110" s="60"/>
      <c r="D110" s="60"/>
    </row>
    <row r="111" spans="1:4" hidden="1">
      <c r="A111" s="60"/>
      <c r="B111" s="60"/>
      <c r="C111" s="60"/>
      <c r="D111" s="60"/>
    </row>
    <row r="112" spans="1:4" hidden="1">
      <c r="A112" s="60"/>
      <c r="B112" s="60"/>
      <c r="C112" s="60"/>
      <c r="D112" s="60"/>
    </row>
    <row r="113" spans="1:4" hidden="1">
      <c r="A113" s="60"/>
      <c r="B113" s="60"/>
      <c r="C113" s="60"/>
      <c r="D113" s="60"/>
    </row>
    <row r="114" spans="1:4" hidden="1">
      <c r="A114" s="60"/>
      <c r="B114" s="60"/>
      <c r="C114" s="60"/>
      <c r="D114" s="60"/>
    </row>
    <row r="115" spans="1:4" hidden="1">
      <c r="A115" s="60"/>
      <c r="B115" s="60"/>
      <c r="C115" s="60"/>
      <c r="D115" s="60"/>
    </row>
    <row r="116" spans="1:4" hidden="1">
      <c r="A116" s="60"/>
      <c r="B116" s="60"/>
      <c r="C116" s="60"/>
      <c r="D116" s="60"/>
    </row>
    <row r="117" spans="1:4" hidden="1">
      <c r="A117" s="60"/>
      <c r="B117" s="60"/>
      <c r="C117" s="60"/>
      <c r="D117" s="60"/>
    </row>
    <row r="118" spans="1:4" hidden="1">
      <c r="A118" s="60"/>
      <c r="B118" s="60"/>
      <c r="C118" s="60"/>
      <c r="D118" s="60"/>
    </row>
    <row r="119" spans="1:4" hidden="1">
      <c r="A119" s="60"/>
      <c r="B119" s="60"/>
      <c r="C119" s="60"/>
      <c r="D119" s="60"/>
    </row>
    <row r="120" spans="1:4" hidden="1">
      <c r="A120" s="60"/>
      <c r="B120" s="60"/>
      <c r="C120" s="60"/>
      <c r="D120" s="60"/>
    </row>
    <row r="121" spans="1:4" hidden="1">
      <c r="A121" s="60"/>
      <c r="B121" s="60"/>
      <c r="C121" s="60"/>
      <c r="D121" s="60"/>
    </row>
    <row r="122" spans="1:4" hidden="1">
      <c r="A122" s="60"/>
      <c r="B122" s="60"/>
      <c r="C122" s="60"/>
      <c r="D122" s="60"/>
    </row>
    <row r="123" spans="1:4" hidden="1">
      <c r="A123" s="60"/>
      <c r="B123" s="60"/>
      <c r="C123" s="60"/>
      <c r="D123" s="60"/>
    </row>
    <row r="124" spans="1:4" hidden="1">
      <c r="A124" s="60"/>
      <c r="B124" s="60"/>
      <c r="C124" s="60"/>
      <c r="D124" s="60"/>
    </row>
    <row r="125" spans="1:4" hidden="1">
      <c r="A125" s="60"/>
      <c r="B125" s="60"/>
      <c r="C125" s="60"/>
      <c r="D125" s="60"/>
    </row>
    <row r="126" spans="1:4" hidden="1">
      <c r="A126" s="60"/>
      <c r="B126" s="60"/>
      <c r="C126" s="60"/>
      <c r="D126" s="60"/>
    </row>
    <row r="127" spans="1:4" hidden="1">
      <c r="A127" s="60"/>
      <c r="B127" s="60"/>
      <c r="C127" s="60"/>
      <c r="D127" s="60"/>
    </row>
    <row r="128" spans="1:4" hidden="1">
      <c r="A128" s="60"/>
      <c r="B128" s="60"/>
      <c r="C128" s="60"/>
      <c r="D128" s="60"/>
    </row>
    <row r="129" spans="1:4" hidden="1">
      <c r="A129" s="60"/>
      <c r="B129" s="60"/>
      <c r="C129" s="60"/>
      <c r="D129" s="60"/>
    </row>
    <row r="130" spans="1:4" hidden="1">
      <c r="A130" s="60"/>
      <c r="B130" s="60"/>
      <c r="C130" s="60"/>
      <c r="D130" s="60"/>
    </row>
    <row r="131" spans="1:4" hidden="1">
      <c r="A131" s="60"/>
      <c r="B131" s="60"/>
      <c r="C131" s="60"/>
      <c r="D131" s="60"/>
    </row>
    <row r="132" spans="1:4" hidden="1">
      <c r="A132" s="60"/>
      <c r="B132" s="60"/>
      <c r="C132" s="60"/>
      <c r="D132" s="60"/>
    </row>
    <row r="133" spans="1:4" hidden="1">
      <c r="A133" s="60"/>
      <c r="B133" s="60"/>
      <c r="C133" s="60"/>
      <c r="D133" s="60"/>
    </row>
    <row r="134" spans="1:4" hidden="1">
      <c r="A134" s="60"/>
      <c r="B134" s="60"/>
      <c r="C134" s="60"/>
      <c r="D134" s="60"/>
    </row>
    <row r="135" spans="1:4" hidden="1">
      <c r="A135" s="60"/>
      <c r="B135" s="60"/>
      <c r="C135" s="60"/>
      <c r="D135" s="60"/>
    </row>
    <row r="136" spans="1:4" hidden="1">
      <c r="A136" s="60"/>
      <c r="B136" s="60"/>
      <c r="C136" s="60"/>
      <c r="D136" s="60"/>
    </row>
    <row r="137" spans="1:4" hidden="1">
      <c r="A137" s="60"/>
      <c r="B137" s="60"/>
      <c r="C137" s="60"/>
      <c r="D137" s="60"/>
    </row>
    <row r="138" spans="1:4" hidden="1">
      <c r="A138" s="60"/>
      <c r="B138" s="60"/>
      <c r="C138" s="60"/>
      <c r="D138" s="60"/>
    </row>
    <row r="139" spans="1:4" hidden="1">
      <c r="A139" s="60"/>
      <c r="B139" s="60"/>
      <c r="C139" s="60"/>
      <c r="D139" s="60"/>
    </row>
    <row r="140" spans="1:4" hidden="1">
      <c r="A140" s="60"/>
      <c r="B140" s="60"/>
      <c r="C140" s="60"/>
      <c r="D140" s="60"/>
    </row>
    <row r="141" spans="1:4" hidden="1">
      <c r="A141" s="60"/>
      <c r="B141" s="60"/>
      <c r="C141" s="60"/>
      <c r="D141" s="60"/>
    </row>
    <row r="142" spans="1:4" hidden="1">
      <c r="A142" s="60"/>
      <c r="B142" s="60"/>
      <c r="C142" s="60"/>
      <c r="D142" s="60"/>
    </row>
    <row r="143" spans="1:4" hidden="1">
      <c r="A143" s="60"/>
      <c r="B143" s="60"/>
      <c r="C143" s="60"/>
      <c r="D143" s="60"/>
    </row>
    <row r="144" spans="1:4" hidden="1">
      <c r="A144" s="60"/>
      <c r="B144" s="60"/>
      <c r="C144" s="60"/>
      <c r="D144" s="60"/>
    </row>
    <row r="145" spans="1:4" hidden="1">
      <c r="A145" s="60"/>
      <c r="B145" s="60"/>
      <c r="C145" s="60"/>
      <c r="D145" s="60"/>
    </row>
    <row r="146" spans="1:4" hidden="1">
      <c r="A146" s="60"/>
      <c r="B146" s="60"/>
      <c r="C146" s="60"/>
      <c r="D146" s="60"/>
    </row>
    <row r="147" spans="1:4" hidden="1">
      <c r="A147" s="60"/>
      <c r="B147" s="60"/>
      <c r="C147" s="60"/>
      <c r="D147" s="60"/>
    </row>
    <row r="148" spans="1:4" hidden="1">
      <c r="A148" s="60"/>
      <c r="B148" s="60"/>
      <c r="C148" s="60"/>
      <c r="D148" s="60"/>
    </row>
    <row r="149" spans="1:4" hidden="1">
      <c r="A149" s="60"/>
      <c r="B149" s="60"/>
      <c r="C149" s="60"/>
      <c r="D149" s="60"/>
    </row>
    <row r="150" spans="1:4" hidden="1">
      <c r="A150" s="60"/>
      <c r="B150" s="60"/>
      <c r="C150" s="60"/>
      <c r="D150" s="60"/>
    </row>
    <row r="151" spans="1:4" hidden="1">
      <c r="A151" s="60"/>
      <c r="B151" s="60"/>
      <c r="C151" s="60"/>
      <c r="D151" s="60"/>
    </row>
    <row r="152" spans="1:4" hidden="1">
      <c r="A152" s="60"/>
      <c r="B152" s="60"/>
      <c r="C152" s="60"/>
      <c r="D152" s="60"/>
    </row>
    <row r="153" spans="1:4" hidden="1">
      <c r="A153" s="60"/>
      <c r="B153" s="60"/>
      <c r="C153" s="60"/>
      <c r="D153" s="60"/>
    </row>
    <row r="154" spans="1:4" hidden="1">
      <c r="A154" s="60"/>
      <c r="B154" s="60"/>
      <c r="C154" s="60"/>
      <c r="D154" s="60"/>
    </row>
    <row r="155" spans="1:4" hidden="1">
      <c r="A155" s="60"/>
      <c r="B155" s="60"/>
      <c r="C155" s="60"/>
      <c r="D155" s="60"/>
    </row>
    <row r="156" spans="1:4" hidden="1">
      <c r="A156" s="60"/>
      <c r="B156" s="60"/>
      <c r="C156" s="60"/>
      <c r="D156" s="60"/>
    </row>
    <row r="157" spans="1:4" hidden="1">
      <c r="A157" s="60"/>
      <c r="B157" s="60"/>
      <c r="C157" s="60"/>
      <c r="D157" s="60"/>
    </row>
    <row r="158" spans="1:4" hidden="1">
      <c r="A158" s="60"/>
      <c r="B158" s="60"/>
      <c r="C158" s="60"/>
      <c r="D158" s="60"/>
    </row>
    <row r="159" spans="1:4" hidden="1">
      <c r="A159" s="60"/>
      <c r="B159" s="60"/>
      <c r="C159" s="60"/>
      <c r="D159" s="60"/>
    </row>
  </sheetData>
  <conditionalFormatting sqref="B9:C9">
    <cfRule type="cellIs" dxfId="11" priority="9" operator="equal">
      <formula>"Por iniciar"</formula>
    </cfRule>
    <cfRule type="cellIs" dxfId="10" priority="10" operator="equal">
      <formula>"EM TESTES"</formula>
    </cfRule>
    <cfRule type="cellIs" dxfId="9" priority="11" operator="equal">
      <formula>"NOK"</formula>
    </cfRule>
    <cfRule type="cellIs" dxfId="8" priority="12" operator="equal">
      <formula>"OK"</formula>
    </cfRule>
  </conditionalFormatting>
  <conditionalFormatting sqref="B31:C33">
    <cfRule type="cellIs" dxfId="7" priority="1" operator="equal">
      <formula>"Por iniciar"</formula>
    </cfRule>
    <cfRule type="cellIs" dxfId="6" priority="2" operator="equal">
      <formula>"EM TESTES"</formula>
    </cfRule>
    <cfRule type="cellIs" dxfId="5" priority="3" operator="equal">
      <formula>"NOK"</formula>
    </cfRule>
    <cfRule type="cellIs" dxfId="4" priority="4" operator="equal">
      <formula>"OK"</formula>
    </cfRule>
  </conditionalFormatting>
  <conditionalFormatting sqref="B10:D28">
    <cfRule type="cellIs" dxfId="3" priority="5" operator="equal">
      <formula>"Por iniciar"</formula>
    </cfRule>
    <cfRule type="cellIs" dxfId="2" priority="6" operator="equal">
      <formula>"EM TESTES"</formula>
    </cfRule>
    <cfRule type="cellIs" dxfId="1" priority="7" operator="equal">
      <formula>"NOK"</formula>
    </cfRule>
    <cfRule type="cellIs" dxfId="0" priority="8" operator="equal">
      <formula>"OK"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18"/>
  <sheetViews>
    <sheetView showGridLines="0" workbookViewId="0">
      <selection activeCell="D11" sqref="D11"/>
    </sheetView>
  </sheetViews>
  <sheetFormatPr defaultRowHeight="14.5"/>
  <cols>
    <col min="1" max="1" width="3.6328125" customWidth="1"/>
    <col min="2" max="2" width="18.6328125" bestFit="1" customWidth="1"/>
    <col min="3" max="3" width="18.1796875" bestFit="1" customWidth="1"/>
    <col min="4" max="4" width="28.453125" bestFit="1" customWidth="1"/>
    <col min="5" max="5" width="9.90625" bestFit="1" customWidth="1"/>
    <col min="6" max="6" width="11" bestFit="1" customWidth="1"/>
  </cols>
  <sheetData>
    <row r="2" spans="2:7">
      <c r="B2" t="s">
        <v>279</v>
      </c>
      <c r="C2" t="s">
        <v>280</v>
      </c>
      <c r="D2" t="s">
        <v>281</v>
      </c>
      <c r="E2" t="s">
        <v>178</v>
      </c>
      <c r="F2" t="s">
        <v>282</v>
      </c>
    </row>
    <row r="3" spans="2:7">
      <c r="B3" t="s">
        <v>283</v>
      </c>
      <c r="C3" t="s">
        <v>284</v>
      </c>
      <c r="D3" t="s">
        <v>285</v>
      </c>
      <c r="E3" s="87">
        <v>45657</v>
      </c>
      <c r="F3">
        <v>16511</v>
      </c>
      <c r="G3" t="s">
        <v>286</v>
      </c>
    </row>
    <row r="4" spans="2:7">
      <c r="B4" t="s">
        <v>283</v>
      </c>
      <c r="C4" t="s">
        <v>284</v>
      </c>
      <c r="D4" t="s">
        <v>287</v>
      </c>
      <c r="E4" s="87">
        <v>45657</v>
      </c>
      <c r="F4">
        <v>51078</v>
      </c>
      <c r="G4" t="s">
        <v>288</v>
      </c>
    </row>
    <row r="5" spans="2:7">
      <c r="B5" t="s">
        <v>283</v>
      </c>
      <c r="C5" t="s">
        <v>289</v>
      </c>
      <c r="D5" t="s">
        <v>290</v>
      </c>
      <c r="E5" s="87">
        <v>45657</v>
      </c>
      <c r="F5">
        <v>482441</v>
      </c>
      <c r="G5" t="s">
        <v>291</v>
      </c>
    </row>
    <row r="6" spans="2:7">
      <c r="B6" t="s">
        <v>283</v>
      </c>
      <c r="C6" t="s">
        <v>292</v>
      </c>
      <c r="D6" t="s">
        <v>293</v>
      </c>
      <c r="E6" s="87">
        <v>45657</v>
      </c>
      <c r="F6">
        <v>994709</v>
      </c>
      <c r="G6" t="s">
        <v>294</v>
      </c>
    </row>
    <row r="7" spans="2:7">
      <c r="B7" t="s">
        <v>283</v>
      </c>
      <c r="C7" t="s">
        <v>292</v>
      </c>
      <c r="D7" t="s">
        <v>295</v>
      </c>
      <c r="E7" s="87">
        <v>45657</v>
      </c>
      <c r="F7">
        <v>994709</v>
      </c>
      <c r="G7" t="s">
        <v>294</v>
      </c>
    </row>
    <row r="8" spans="2:7">
      <c r="B8" t="s">
        <v>283</v>
      </c>
      <c r="C8" t="s">
        <v>292</v>
      </c>
      <c r="D8" t="s">
        <v>296</v>
      </c>
      <c r="E8" s="87">
        <v>45657</v>
      </c>
      <c r="F8">
        <v>994709</v>
      </c>
      <c r="G8" t="s">
        <v>294</v>
      </c>
    </row>
    <row r="9" spans="2:7">
      <c r="B9" t="s">
        <v>283</v>
      </c>
      <c r="C9" t="s">
        <v>292</v>
      </c>
      <c r="D9" t="s">
        <v>297</v>
      </c>
      <c r="E9" s="87">
        <v>45657</v>
      </c>
      <c r="F9">
        <v>1178229</v>
      </c>
      <c r="G9" t="s">
        <v>294</v>
      </c>
    </row>
    <row r="10" spans="2:7">
      <c r="B10" t="s">
        <v>283</v>
      </c>
      <c r="C10" t="s">
        <v>292</v>
      </c>
      <c r="D10" t="s">
        <v>298</v>
      </c>
      <c r="E10" s="87">
        <v>45657</v>
      </c>
      <c r="F10">
        <v>1878</v>
      </c>
      <c r="G10" t="s">
        <v>294</v>
      </c>
    </row>
    <row r="11" spans="2:7">
      <c r="B11" t="s">
        <v>283</v>
      </c>
      <c r="C11" t="s">
        <v>292</v>
      </c>
      <c r="D11" t="s">
        <v>299</v>
      </c>
      <c r="E11" s="87">
        <v>45657</v>
      </c>
      <c r="F11">
        <v>181475</v>
      </c>
      <c r="G11" t="s">
        <v>294</v>
      </c>
    </row>
    <row r="12" spans="2:7">
      <c r="B12" t="s">
        <v>283</v>
      </c>
      <c r="C12" t="s">
        <v>292</v>
      </c>
      <c r="D12" t="s">
        <v>300</v>
      </c>
      <c r="E12" s="87">
        <v>45657</v>
      </c>
      <c r="F12">
        <v>81757</v>
      </c>
      <c r="G12" t="s">
        <v>294</v>
      </c>
    </row>
    <row r="13" spans="2:7">
      <c r="B13" t="s">
        <v>283</v>
      </c>
      <c r="C13" t="s">
        <v>292</v>
      </c>
      <c r="D13" t="s">
        <v>301</v>
      </c>
      <c r="E13" s="87">
        <v>45657</v>
      </c>
      <c r="F13">
        <v>129958</v>
      </c>
      <c r="G13" t="s">
        <v>294</v>
      </c>
    </row>
    <row r="14" spans="2:7">
      <c r="B14" t="s">
        <v>283</v>
      </c>
      <c r="C14" t="s">
        <v>292</v>
      </c>
      <c r="D14" t="s">
        <v>302</v>
      </c>
      <c r="E14" s="87">
        <v>45657</v>
      </c>
      <c r="F14">
        <v>176</v>
      </c>
      <c r="G14" t="s">
        <v>303</v>
      </c>
    </row>
    <row r="15" spans="2:7">
      <c r="B15" t="s">
        <v>283</v>
      </c>
      <c r="C15" t="s">
        <v>292</v>
      </c>
      <c r="D15" t="s">
        <v>304</v>
      </c>
      <c r="E15" s="87">
        <v>45657</v>
      </c>
      <c r="F15">
        <v>598</v>
      </c>
      <c r="G15" t="s">
        <v>294</v>
      </c>
    </row>
    <row r="16" spans="2:7">
      <c r="B16" t="s">
        <v>283</v>
      </c>
      <c r="C16" t="s">
        <v>292</v>
      </c>
      <c r="D16" t="s">
        <v>305</v>
      </c>
      <c r="E16" s="87">
        <v>45657</v>
      </c>
      <c r="F16">
        <v>982874</v>
      </c>
      <c r="G16" t="s">
        <v>294</v>
      </c>
    </row>
    <row r="17" spans="2:7">
      <c r="B17" t="s">
        <v>283</v>
      </c>
      <c r="C17" t="s">
        <v>292</v>
      </c>
      <c r="D17" t="s">
        <v>306</v>
      </c>
      <c r="E17" s="87">
        <v>45657</v>
      </c>
      <c r="F17">
        <v>2090803</v>
      </c>
      <c r="G17" t="s">
        <v>294</v>
      </c>
    </row>
    <row r="18" spans="2:7">
      <c r="B18" t="s">
        <v>283</v>
      </c>
      <c r="C18" t="s">
        <v>292</v>
      </c>
      <c r="D18" t="s">
        <v>307</v>
      </c>
      <c r="E18" s="87">
        <v>45657</v>
      </c>
      <c r="F18">
        <v>1</v>
      </c>
      <c r="G18" t="s">
        <v>308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N68"/>
  <sheetViews>
    <sheetView showGridLines="0" topLeftCell="F1" workbookViewId="0"/>
  </sheetViews>
  <sheetFormatPr defaultRowHeight="14.5"/>
  <cols>
    <col min="1" max="1" width="3.6328125" style="98" customWidth="1"/>
    <col min="2" max="2" width="19.6328125" bestFit="1" customWidth="1"/>
    <col min="3" max="3" width="35" bestFit="1" customWidth="1"/>
    <col min="4" max="4" width="3.6328125" style="98" customWidth="1"/>
    <col min="5" max="5" width="19.6328125" bestFit="1" customWidth="1"/>
    <col min="6" max="6" width="35" bestFit="1" customWidth="1"/>
    <col min="7" max="7" width="3.6328125" style="98" customWidth="1"/>
    <col min="8" max="8" width="19.6328125" bestFit="1" customWidth="1"/>
    <col min="9" max="9" width="35" bestFit="1" customWidth="1"/>
    <col min="10" max="10" width="3.6328125" style="98" customWidth="1"/>
    <col min="11" max="11" width="19.6328125" bestFit="1" customWidth="1"/>
    <col min="12" max="12" width="35" bestFit="1" customWidth="1"/>
    <col min="13" max="13" width="47" bestFit="1" customWidth="1"/>
  </cols>
  <sheetData>
    <row r="2" spans="2:14">
      <c r="B2" s="97" t="s">
        <v>1075</v>
      </c>
      <c r="E2" s="97" t="s">
        <v>1076</v>
      </c>
      <c r="H2" s="97" t="s">
        <v>1077</v>
      </c>
    </row>
    <row r="3" spans="2:14">
      <c r="B3" s="97"/>
      <c r="E3" s="97"/>
      <c r="H3" s="97"/>
    </row>
    <row r="4" spans="2:14">
      <c r="B4" s="88" t="s">
        <v>0</v>
      </c>
      <c r="C4" s="88" t="s">
        <v>6</v>
      </c>
      <c r="E4" s="88" t="s">
        <v>0</v>
      </c>
      <c r="F4" s="88" t="s">
        <v>6</v>
      </c>
      <c r="H4" s="88" t="s">
        <v>0</v>
      </c>
      <c r="I4" s="88" t="s">
        <v>6</v>
      </c>
      <c r="K4" s="88" t="s">
        <v>0</v>
      </c>
      <c r="L4" s="88" t="s">
        <v>6</v>
      </c>
      <c r="M4" s="88" t="s">
        <v>1078</v>
      </c>
    </row>
    <row r="5" spans="2:14">
      <c r="B5" t="s">
        <v>118</v>
      </c>
      <c r="C5" t="s">
        <v>100</v>
      </c>
      <c r="E5" t="s">
        <v>118</v>
      </c>
      <c r="F5" t="s">
        <v>100</v>
      </c>
      <c r="H5" t="s">
        <v>118</v>
      </c>
      <c r="I5" t="s">
        <v>100</v>
      </c>
      <c r="J5" s="99" t="str">
        <f>+K5&amp;L5</f>
        <v>ENTITYCOD_SOC</v>
      </c>
      <c r="K5" t="s">
        <v>118</v>
      </c>
      <c r="L5" t="s">
        <v>100</v>
      </c>
      <c r="M5" t="e">
        <f>+VLOOKUP(J5,'2. Script '!A:A,1,FALSE)</f>
        <v>#N/A</v>
      </c>
      <c r="N5">
        <f>+VLOOKUP(J5,ANL_CAMPOS_PDS!E:K,7,FALSE)</f>
        <v>0</v>
      </c>
    </row>
    <row r="6" spans="2:14">
      <c r="B6" t="s">
        <v>118</v>
      </c>
      <c r="C6" t="s">
        <v>104</v>
      </c>
      <c r="E6" t="s">
        <v>118</v>
      </c>
      <c r="F6" t="s">
        <v>104</v>
      </c>
      <c r="H6" t="s">
        <v>118</v>
      </c>
      <c r="I6" t="s">
        <v>104</v>
      </c>
      <c r="J6" s="99" t="str">
        <f t="shared" ref="J6:J68" si="0">+K6&amp;L6</f>
        <v>ENTITYCNTRY</v>
      </c>
      <c r="K6" t="s">
        <v>118</v>
      </c>
      <c r="L6" t="s">
        <v>104</v>
      </c>
      <c r="M6" t="e">
        <f>+VLOOKUP(J6,'2. Script '!A:A,1,FALSE)</f>
        <v>#N/A</v>
      </c>
      <c r="N6">
        <f>+VLOOKUP(J6,ANL_CAMPOS_PDS!E:K,7,FALSE)</f>
        <v>0</v>
      </c>
    </row>
    <row r="7" spans="2:14">
      <c r="B7" t="s">
        <v>118</v>
      </c>
      <c r="C7" t="s">
        <v>586</v>
      </c>
      <c r="E7" t="s">
        <v>118</v>
      </c>
      <c r="F7" t="s">
        <v>586</v>
      </c>
      <c r="H7" t="s">
        <v>118</v>
      </c>
      <c r="I7" t="s">
        <v>586</v>
      </c>
      <c r="J7" s="99" t="str">
        <f t="shared" si="0"/>
        <v>ENTITYDT_RFRNC</v>
      </c>
      <c r="K7" t="s">
        <v>118</v>
      </c>
      <c r="L7" t="s">
        <v>586</v>
      </c>
      <c r="M7" t="e">
        <f>+VLOOKUP(J7,'2. Script '!A:A,1,FALSE)</f>
        <v>#N/A</v>
      </c>
      <c r="N7">
        <f>+VLOOKUP(J7,ANL_CAMPOS_PDS!E:K,7,FALSE)</f>
        <v>0</v>
      </c>
    </row>
    <row r="8" spans="2:14">
      <c r="B8" t="s">
        <v>118</v>
      </c>
      <c r="C8" t="s">
        <v>587</v>
      </c>
      <c r="E8" t="s">
        <v>118</v>
      </c>
      <c r="F8" t="s">
        <v>587</v>
      </c>
      <c r="H8" t="s">
        <v>118</v>
      </c>
      <c r="I8" t="s">
        <v>587</v>
      </c>
      <c r="J8" s="99" t="str">
        <f t="shared" si="0"/>
        <v>ENTITYENTTY_ID</v>
      </c>
      <c r="K8" t="s">
        <v>118</v>
      </c>
      <c r="L8" t="s">
        <v>587</v>
      </c>
      <c r="M8" t="e">
        <f>+VLOOKUP(J8,'2. Script '!A:A,1,FALSE)</f>
        <v>#N/A</v>
      </c>
      <c r="N8">
        <f>+VLOOKUP(J8,ANL_CAMPOS_PDS!E:K,7,FALSE)</f>
        <v>0</v>
      </c>
    </row>
    <row r="9" spans="2:14">
      <c r="B9" t="s">
        <v>118</v>
      </c>
      <c r="C9" t="s">
        <v>105</v>
      </c>
      <c r="E9" t="s">
        <v>118</v>
      </c>
      <c r="F9" t="s">
        <v>105</v>
      </c>
      <c r="H9" t="s">
        <v>118</v>
      </c>
      <c r="I9" t="s">
        <v>105</v>
      </c>
      <c r="J9" s="99" t="str">
        <f t="shared" si="0"/>
        <v>ENTITYLEI</v>
      </c>
      <c r="K9" t="s">
        <v>118</v>
      </c>
      <c r="L9" t="s">
        <v>105</v>
      </c>
      <c r="M9" t="e">
        <f>+VLOOKUP(J9,'2. Script '!A:A,1,FALSE)</f>
        <v>#N/A</v>
      </c>
      <c r="N9">
        <f>+VLOOKUP(J9,ANL_CAMPOS_PDS!E:K,7,FALSE)</f>
        <v>0</v>
      </c>
    </row>
    <row r="10" spans="2:14">
      <c r="B10" t="s">
        <v>118</v>
      </c>
      <c r="C10" t="s">
        <v>106</v>
      </c>
      <c r="E10" t="s">
        <v>118</v>
      </c>
      <c r="F10" t="s">
        <v>323</v>
      </c>
      <c r="H10" t="s">
        <v>118</v>
      </c>
      <c r="I10" t="s">
        <v>323</v>
      </c>
      <c r="J10" s="99" t="str">
        <f t="shared" si="0"/>
        <v>ENTITYECNMC_ACTVTY</v>
      </c>
      <c r="K10" t="s">
        <v>118</v>
      </c>
      <c r="L10" t="s">
        <v>106</v>
      </c>
      <c r="M10" t="e">
        <f>+VLOOKUP(J10,'2. Script '!A:A,1,FALSE)</f>
        <v>#N/A</v>
      </c>
      <c r="N10">
        <f>+VLOOKUP(J10,ANL_CAMPOS_PDS!E:K,7,FALSE)</f>
        <v>0</v>
      </c>
    </row>
    <row r="11" spans="2:14">
      <c r="B11" t="s">
        <v>118</v>
      </c>
      <c r="C11" t="s">
        <v>107</v>
      </c>
      <c r="E11" t="s">
        <v>118</v>
      </c>
      <c r="F11" t="s">
        <v>106</v>
      </c>
      <c r="H11" t="s">
        <v>118</v>
      </c>
      <c r="I11" t="s">
        <v>106</v>
      </c>
      <c r="J11" s="99" t="str">
        <f t="shared" si="0"/>
        <v>ENTITYGRP_EQTY</v>
      </c>
      <c r="K11" t="s">
        <v>118</v>
      </c>
      <c r="L11" t="s">
        <v>107</v>
      </c>
      <c r="M11" t="e">
        <f>+VLOOKUP(J11,'2. Script '!A:A,1,FALSE)</f>
        <v>#N/A</v>
      </c>
      <c r="N11">
        <f>+VLOOKUP(J11,ANL_CAMPOS_PDS!E:K,7,FALSE)</f>
        <v>0</v>
      </c>
    </row>
    <row r="12" spans="2:14">
      <c r="B12" t="s">
        <v>118</v>
      </c>
      <c r="C12" t="s">
        <v>108</v>
      </c>
      <c r="E12" t="s">
        <v>118</v>
      </c>
      <c r="F12" t="s">
        <v>107</v>
      </c>
      <c r="H12" t="s">
        <v>118</v>
      </c>
      <c r="I12" t="s">
        <v>107</v>
      </c>
      <c r="J12" s="99" t="str">
        <f t="shared" si="0"/>
        <v>ENTITYANNL_TRNVR_LE</v>
      </c>
      <c r="K12" t="s">
        <v>118</v>
      </c>
      <c r="L12" t="s">
        <v>108</v>
      </c>
      <c r="M12" t="e">
        <f>+VLOOKUP(J12,'2. Script '!A:A,1,FALSE)</f>
        <v>#N/A</v>
      </c>
      <c r="N12">
        <f>+VLOOKUP(J12,ANL_CAMPOS_PDS!E:K,7,FALSE)</f>
        <v>0</v>
      </c>
    </row>
    <row r="13" spans="2:14">
      <c r="B13" t="s">
        <v>118</v>
      </c>
      <c r="C13" t="s">
        <v>109</v>
      </c>
      <c r="E13" t="s">
        <v>118</v>
      </c>
      <c r="F13" t="s">
        <v>108</v>
      </c>
      <c r="H13" t="s">
        <v>118</v>
      </c>
      <c r="I13" t="s">
        <v>108</v>
      </c>
      <c r="J13" s="99" t="str">
        <f t="shared" si="0"/>
        <v>ENTITYEQTY</v>
      </c>
      <c r="K13" t="s">
        <v>118</v>
      </c>
      <c r="L13" t="s">
        <v>109</v>
      </c>
      <c r="M13" t="e">
        <f>+VLOOKUP(J13,'2. Script '!A:A,1,FALSE)</f>
        <v>#N/A</v>
      </c>
      <c r="N13">
        <f>+VLOOKUP(J13,ANL_CAMPOS_PDS!E:K,7,FALSE)</f>
        <v>0</v>
      </c>
    </row>
    <row r="14" spans="2:14">
      <c r="B14" t="s">
        <v>118</v>
      </c>
      <c r="C14" t="s">
        <v>110</v>
      </c>
      <c r="E14" t="s">
        <v>118</v>
      </c>
      <c r="F14" t="s">
        <v>109</v>
      </c>
      <c r="H14" t="s">
        <v>118</v>
      </c>
      <c r="I14" t="s">
        <v>109</v>
      </c>
      <c r="J14" s="99" t="str">
        <f t="shared" si="0"/>
        <v>ENTITYGRP_TTL_DBT</v>
      </c>
      <c r="K14" t="s">
        <v>118</v>
      </c>
      <c r="L14" t="s">
        <v>110</v>
      </c>
      <c r="M14" t="e">
        <f>+VLOOKUP(J14,'2. Script '!A:A,1,FALSE)</f>
        <v>#N/A</v>
      </c>
      <c r="N14">
        <f>+VLOOKUP(J14,ANL_CAMPOS_PDS!E:K,7,FALSE)</f>
        <v>0</v>
      </c>
    </row>
    <row r="15" spans="2:14">
      <c r="B15" t="s">
        <v>118</v>
      </c>
      <c r="C15" t="s">
        <v>111</v>
      </c>
      <c r="E15" t="s">
        <v>118</v>
      </c>
      <c r="F15" t="s">
        <v>110</v>
      </c>
      <c r="H15" t="s">
        <v>118</v>
      </c>
      <c r="I15" t="s">
        <v>110</v>
      </c>
      <c r="J15" s="99" t="str">
        <f t="shared" si="0"/>
        <v>ENTITYTTL_DBT</v>
      </c>
      <c r="K15" t="s">
        <v>118</v>
      </c>
      <c r="L15" t="s">
        <v>111</v>
      </c>
      <c r="M15" t="e">
        <f>+VLOOKUP(J15,'2. Script '!A:A,1,FALSE)</f>
        <v>#N/A</v>
      </c>
      <c r="N15">
        <f>+VLOOKUP(J15,ANL_CAMPOS_PDS!E:K,7,FALSE)</f>
        <v>0</v>
      </c>
    </row>
    <row r="16" spans="2:14">
      <c r="B16" t="s">
        <v>310</v>
      </c>
      <c r="C16" t="s">
        <v>100</v>
      </c>
      <c r="E16" t="s">
        <v>118</v>
      </c>
      <c r="F16" t="s">
        <v>111</v>
      </c>
      <c r="H16" t="s">
        <v>118</v>
      </c>
      <c r="I16" t="s">
        <v>111</v>
      </c>
      <c r="J16" s="99" t="str">
        <f t="shared" si="0"/>
        <v>INSTR_ENTITYCOD_SOC</v>
      </c>
      <c r="K16" t="s">
        <v>310</v>
      </c>
      <c r="L16" t="s">
        <v>100</v>
      </c>
      <c r="M16" t="e">
        <f>+VLOOKUP(J16,'2. Script '!A:A,1,FALSE)</f>
        <v>#N/A</v>
      </c>
      <c r="N16">
        <f>+VLOOKUP(J16,ANL_CAMPOS_PDS!E:K,7,FALSE)</f>
        <v>0</v>
      </c>
    </row>
    <row r="17" spans="2:14">
      <c r="B17" t="s">
        <v>310</v>
      </c>
      <c r="C17" t="s">
        <v>586</v>
      </c>
      <c r="E17" t="s">
        <v>118</v>
      </c>
      <c r="F17" t="s">
        <v>392</v>
      </c>
      <c r="H17" t="s">
        <v>118</v>
      </c>
      <c r="I17" t="s">
        <v>391</v>
      </c>
      <c r="J17" s="99" t="str">
        <f t="shared" si="0"/>
        <v>INSTR_ENTITYDT_RFRNC</v>
      </c>
      <c r="K17" t="s">
        <v>310</v>
      </c>
      <c r="L17" t="s">
        <v>586</v>
      </c>
      <c r="M17" t="e">
        <f>+VLOOKUP(J17,'2. Script '!A:A,1,FALSE)</f>
        <v>#N/A</v>
      </c>
      <c r="N17">
        <f>+VLOOKUP(J17,ANL_CAMPOS_PDS!E:K,7,FALSE)</f>
        <v>0</v>
      </c>
    </row>
    <row r="18" spans="2:14">
      <c r="B18" t="s">
        <v>310</v>
      </c>
      <c r="C18" t="s">
        <v>587</v>
      </c>
      <c r="E18" t="s">
        <v>310</v>
      </c>
      <c r="F18" t="s">
        <v>100</v>
      </c>
      <c r="H18" t="s">
        <v>118</v>
      </c>
      <c r="I18" t="s">
        <v>392</v>
      </c>
      <c r="J18" s="99" t="str">
        <f t="shared" si="0"/>
        <v>INSTR_ENTITYENTTY_ID</v>
      </c>
      <c r="K18" t="s">
        <v>310</v>
      </c>
      <c r="L18" t="s">
        <v>587</v>
      </c>
      <c r="M18" t="e">
        <f>+VLOOKUP(J18,'2. Script '!A:A,1,FALSE)</f>
        <v>#N/A</v>
      </c>
      <c r="N18">
        <f>+VLOOKUP(J18,ANL_CAMPOS_PDS!E:K,7,FALSE)</f>
        <v>0</v>
      </c>
    </row>
    <row r="19" spans="2:14">
      <c r="B19" t="s">
        <v>310</v>
      </c>
      <c r="C19" t="s">
        <v>588</v>
      </c>
      <c r="E19" t="s">
        <v>310</v>
      </c>
      <c r="F19" t="s">
        <v>586</v>
      </c>
      <c r="H19" t="s">
        <v>310</v>
      </c>
      <c r="I19" t="s">
        <v>100</v>
      </c>
      <c r="J19" s="99" t="str">
        <f t="shared" si="0"/>
        <v>INSTR_ENTITYINSTRMNT_ID</v>
      </c>
      <c r="K19" t="s">
        <v>310</v>
      </c>
      <c r="L19" t="s">
        <v>588</v>
      </c>
      <c r="M19" t="e">
        <f>+VLOOKUP(J19,'2. Script '!A:A,1,FALSE)</f>
        <v>#N/A</v>
      </c>
      <c r="N19">
        <f>+VLOOKUP(J19,ANL_CAMPOS_PDS!E:K,7,FALSE)</f>
        <v>0</v>
      </c>
    </row>
    <row r="20" spans="2:14">
      <c r="B20" t="s">
        <v>310</v>
      </c>
      <c r="C20" t="s">
        <v>399</v>
      </c>
      <c r="E20" t="s">
        <v>310</v>
      </c>
      <c r="F20" t="s">
        <v>587</v>
      </c>
      <c r="H20" t="s">
        <v>310</v>
      </c>
      <c r="I20" t="s">
        <v>586</v>
      </c>
      <c r="J20" s="99" t="str">
        <f t="shared" si="0"/>
        <v>INSTR_ENTITYMN_ENTTY_ID</v>
      </c>
      <c r="K20" t="s">
        <v>310</v>
      </c>
      <c r="L20" t="s">
        <v>399</v>
      </c>
      <c r="M20" t="e">
        <f>+VLOOKUP(J20,'2. Script '!A:A,1,FALSE)</f>
        <v>#N/A</v>
      </c>
      <c r="N20">
        <f>+VLOOKUP(J20,ANL_CAMPOS_PDS!E:K,7,FALSE)</f>
        <v>0</v>
      </c>
    </row>
    <row r="21" spans="2:14">
      <c r="B21" t="s">
        <v>117</v>
      </c>
      <c r="C21" t="s">
        <v>92</v>
      </c>
      <c r="E21" t="s">
        <v>310</v>
      </c>
      <c r="F21" t="s">
        <v>588</v>
      </c>
      <c r="H21" t="s">
        <v>310</v>
      </c>
      <c r="I21" t="s">
        <v>587</v>
      </c>
      <c r="J21" s="99" t="str">
        <f t="shared" si="0"/>
        <v>INSTRUMENTACCMLTD_CHNGS_FV_CR_INSTRMNT</v>
      </c>
      <c r="K21" t="s">
        <v>117</v>
      </c>
      <c r="L21" t="s">
        <v>92</v>
      </c>
      <c r="M21" t="e">
        <f>+VLOOKUP(J21,'2. Script '!A:A,1,FALSE)</f>
        <v>#N/A</v>
      </c>
      <c r="N21">
        <f>+VLOOKUP(J21,ANL_CAMPOS_PDS!E:K,7,FALSE)</f>
        <v>0</v>
      </c>
    </row>
    <row r="22" spans="2:14">
      <c r="B22" t="s">
        <v>117</v>
      </c>
      <c r="C22" t="s">
        <v>95</v>
      </c>
      <c r="E22" t="s">
        <v>310</v>
      </c>
      <c r="F22" t="s">
        <v>399</v>
      </c>
      <c r="H22" t="s">
        <v>310</v>
      </c>
      <c r="I22" t="s">
        <v>588</v>
      </c>
      <c r="J22" s="99" t="str">
        <f t="shared" si="0"/>
        <v>INSTRUMENTACCMLTD_IMPRMNT_INSTRMNT</v>
      </c>
      <c r="K22" t="s">
        <v>117</v>
      </c>
      <c r="L22" t="s">
        <v>95</v>
      </c>
      <c r="M22" t="e">
        <f>+VLOOKUP(J22,'2. Script '!A:A,1,FALSE)</f>
        <v>#N/A</v>
      </c>
      <c r="N22">
        <f>+VLOOKUP(J22,ANL_CAMPOS_PDS!E:K,7,FALSE)</f>
        <v>0</v>
      </c>
    </row>
    <row r="23" spans="2:14">
      <c r="B23" t="s">
        <v>117</v>
      </c>
      <c r="C23" t="s">
        <v>93</v>
      </c>
      <c r="E23" t="s">
        <v>117</v>
      </c>
      <c r="F23" t="s">
        <v>100</v>
      </c>
      <c r="H23" t="s">
        <v>310</v>
      </c>
      <c r="I23" t="s">
        <v>399</v>
      </c>
      <c r="J23" s="99" t="str">
        <f t="shared" si="0"/>
        <v>INSTRUMENTACCNTNG_CLSSFCTN</v>
      </c>
      <c r="K23" t="s">
        <v>117</v>
      </c>
      <c r="L23" t="s">
        <v>93</v>
      </c>
      <c r="M23" t="e">
        <f>+VLOOKUP(J23,'2. Script '!A:A,1,FALSE)</f>
        <v>#N/A</v>
      </c>
      <c r="N23">
        <f>+VLOOKUP(J23,ANL_CAMPOS_PDS!E:K,7,FALSE)</f>
        <v>0</v>
      </c>
    </row>
    <row r="24" spans="2:14">
      <c r="B24" t="s">
        <v>117</v>
      </c>
      <c r="C24" t="s">
        <v>85</v>
      </c>
      <c r="E24" t="s">
        <v>117</v>
      </c>
      <c r="F24" t="s">
        <v>99</v>
      </c>
      <c r="H24" t="s">
        <v>117</v>
      </c>
      <c r="I24" t="s">
        <v>100</v>
      </c>
      <c r="J24" s="99" t="str">
        <f t="shared" si="0"/>
        <v>INSTRUMENTDT_INCPTN</v>
      </c>
      <c r="K24" t="s">
        <v>117</v>
      </c>
      <c r="L24" t="s">
        <v>85</v>
      </c>
      <c r="M24" t="e">
        <f>+VLOOKUP(J24,'2. Script '!A:A,1,FALSE)</f>
        <v>#N/A</v>
      </c>
      <c r="N24">
        <f>+VLOOKUP(J24,ANL_CAMPOS_PDS!E:K,7,FALSE)</f>
        <v>0</v>
      </c>
    </row>
    <row r="25" spans="2:14">
      <c r="B25" t="s">
        <v>117</v>
      </c>
      <c r="C25" t="s">
        <v>89</v>
      </c>
      <c r="E25" t="s">
        <v>117</v>
      </c>
      <c r="F25" t="s">
        <v>586</v>
      </c>
      <c r="H25" t="s">
        <v>117</v>
      </c>
      <c r="I25" t="s">
        <v>99</v>
      </c>
      <c r="J25" s="99" t="str">
        <f t="shared" si="0"/>
        <v>INSTRUMENTPRJCT_FNNC_LN</v>
      </c>
      <c r="K25" t="s">
        <v>117</v>
      </c>
      <c r="L25" t="s">
        <v>89</v>
      </c>
      <c r="M25" t="e">
        <f>+VLOOKUP(J25,'2. Script '!A:A,1,FALSE)</f>
        <v>#N/A</v>
      </c>
      <c r="N25">
        <f>+VLOOKUP(J25,ANL_CAMPOS_PDS!E:K,7,FALSE)</f>
        <v>0</v>
      </c>
    </row>
    <row r="26" spans="2:14">
      <c r="B26" t="s">
        <v>117</v>
      </c>
      <c r="C26" t="s">
        <v>100</v>
      </c>
      <c r="E26" t="s">
        <v>117</v>
      </c>
      <c r="F26" t="s">
        <v>588</v>
      </c>
      <c r="H26" t="s">
        <v>117</v>
      </c>
      <c r="I26" t="s">
        <v>586</v>
      </c>
      <c r="J26" s="99" t="str">
        <f t="shared" si="0"/>
        <v>INSTRUMENTCOD_SOC</v>
      </c>
      <c r="K26" t="s">
        <v>117</v>
      </c>
      <c r="L26" t="s">
        <v>100</v>
      </c>
      <c r="M26" t="e">
        <f>+VLOOKUP(J26,'2. Script '!A:A,1,FALSE)</f>
        <v>#N/A</v>
      </c>
      <c r="N26">
        <f>+VLOOKUP(J26,ANL_CAMPOS_PDS!E:K,7,FALSE)</f>
        <v>0</v>
      </c>
    </row>
    <row r="27" spans="2:14">
      <c r="B27" t="s">
        <v>117</v>
      </c>
      <c r="C27" t="s">
        <v>94</v>
      </c>
      <c r="E27" t="s">
        <v>117</v>
      </c>
      <c r="F27" t="s">
        <v>85</v>
      </c>
      <c r="H27" t="s">
        <v>117</v>
      </c>
      <c r="I27" t="s">
        <v>588</v>
      </c>
      <c r="J27" s="99" t="str">
        <f t="shared" si="0"/>
        <v>INSTRUMENTDT_LGL_FNL_MTRTY</v>
      </c>
      <c r="K27" t="s">
        <v>117</v>
      </c>
      <c r="L27" t="s">
        <v>94</v>
      </c>
      <c r="M27" t="e">
        <f>+VLOOKUP(J27,'2. Script '!A:A,1,FALSE)</f>
        <v>#N/A</v>
      </c>
      <c r="N27">
        <f>+VLOOKUP(J27,ANL_CAMPOS_PDS!E:K,7,FALSE)</f>
        <v>0</v>
      </c>
    </row>
    <row r="28" spans="2:14">
      <c r="B28" t="s">
        <v>117</v>
      </c>
      <c r="C28" t="s">
        <v>86</v>
      </c>
      <c r="E28" t="s">
        <v>117</v>
      </c>
      <c r="F28" t="s">
        <v>86</v>
      </c>
      <c r="H28" t="s">
        <v>117</v>
      </c>
      <c r="I28" t="s">
        <v>85</v>
      </c>
      <c r="J28" s="99" t="str">
        <f t="shared" si="0"/>
        <v>INSTRUMENTDFLT_STTS_INSTRMNT</v>
      </c>
      <c r="K28" t="s">
        <v>117</v>
      </c>
      <c r="L28" t="s">
        <v>86</v>
      </c>
      <c r="M28" t="e">
        <f>+VLOOKUP(J28,'2. Script '!A:A,1,FALSE)</f>
        <v>#N/A</v>
      </c>
      <c r="N28">
        <f>+VLOOKUP(J28,ANL_CAMPOS_PDS!E:K,7,FALSE)</f>
        <v>0</v>
      </c>
    </row>
    <row r="29" spans="2:14">
      <c r="B29" t="s">
        <v>117</v>
      </c>
      <c r="C29" t="s">
        <v>586</v>
      </c>
      <c r="E29" t="s">
        <v>117</v>
      </c>
      <c r="F29" t="s">
        <v>419</v>
      </c>
      <c r="H29" t="s">
        <v>117</v>
      </c>
      <c r="I29" t="s">
        <v>86</v>
      </c>
      <c r="J29" s="99" t="str">
        <f t="shared" si="0"/>
        <v>INSTRUMENTDT_RFRNC</v>
      </c>
      <c r="K29" t="s">
        <v>117</v>
      </c>
      <c r="L29" t="s">
        <v>586</v>
      </c>
      <c r="M29" t="e">
        <f>+VLOOKUP(J29,'2. Script '!A:A,1,FALSE)</f>
        <v>#N/A</v>
      </c>
      <c r="N29">
        <f>+VLOOKUP(J29,ANL_CAMPOS_PDS!E:K,7,FALSE)</f>
        <v>0</v>
      </c>
    </row>
    <row r="30" spans="2:14">
      <c r="B30" t="s">
        <v>117</v>
      </c>
      <c r="C30" t="s">
        <v>96</v>
      </c>
      <c r="E30" t="s">
        <v>117</v>
      </c>
      <c r="F30" t="s">
        <v>87</v>
      </c>
      <c r="H30" t="s">
        <v>117</v>
      </c>
      <c r="I30" t="s">
        <v>419</v>
      </c>
      <c r="J30" s="99" t="str">
        <f t="shared" si="0"/>
        <v>INSTRUMENTISSR_CNTRY</v>
      </c>
      <c r="K30" t="s">
        <v>117</v>
      </c>
      <c r="L30" t="s">
        <v>96</v>
      </c>
      <c r="M30" t="e">
        <f>+VLOOKUP(J30,'2. Script '!A:A,1,FALSE)</f>
        <v>#N/A</v>
      </c>
      <c r="N30">
        <f>+VLOOKUP(J30,ANL_CAMPOS_PDS!E:K,7,FALSE)</f>
        <v>0</v>
      </c>
    </row>
    <row r="31" spans="2:14">
      <c r="B31" t="s">
        <v>117</v>
      </c>
      <c r="C31" t="s">
        <v>97</v>
      </c>
      <c r="E31" t="s">
        <v>117</v>
      </c>
      <c r="F31" t="s">
        <v>88</v>
      </c>
      <c r="H31" t="s">
        <v>117</v>
      </c>
      <c r="I31" t="s">
        <v>87</v>
      </c>
      <c r="J31" s="99" t="str">
        <f t="shared" si="0"/>
        <v>INSTRUMENTISSR_NACE_SCTR</v>
      </c>
      <c r="K31" t="s">
        <v>117</v>
      </c>
      <c r="L31" t="s">
        <v>97</v>
      </c>
      <c r="M31" t="e">
        <f>+VLOOKUP(J31,'2. Script '!A:A,1,FALSE)</f>
        <v>#N/A</v>
      </c>
      <c r="N31">
        <f>+VLOOKUP(J31,ANL_CAMPOS_PDS!E:K,7,FALSE)</f>
        <v>0</v>
      </c>
    </row>
    <row r="32" spans="2:14">
      <c r="B32" t="s">
        <v>117</v>
      </c>
      <c r="C32" t="s">
        <v>98</v>
      </c>
      <c r="E32" t="s">
        <v>117</v>
      </c>
      <c r="F32" t="s">
        <v>89</v>
      </c>
      <c r="H32" t="s">
        <v>117</v>
      </c>
      <c r="I32" t="s">
        <v>88</v>
      </c>
      <c r="J32" s="99" t="str">
        <f t="shared" si="0"/>
        <v>INSTRUMENTPRMRY_ASST_CLSSF</v>
      </c>
      <c r="K32" t="s">
        <v>117</v>
      </c>
      <c r="L32" t="s">
        <v>98</v>
      </c>
      <c r="M32" t="e">
        <f>+VLOOKUP(J32,'2. Script '!A:A,1,FALSE)</f>
        <v>#N/A</v>
      </c>
      <c r="N32">
        <f>+VLOOKUP(J32,ANL_CAMPOS_PDS!E:K,7,FALSE)</f>
        <v>0</v>
      </c>
    </row>
    <row r="33" spans="2:14">
      <c r="B33" t="s">
        <v>117</v>
      </c>
      <c r="C33" t="s">
        <v>91</v>
      </c>
      <c r="E33" t="s">
        <v>117</v>
      </c>
      <c r="F33" t="s">
        <v>90</v>
      </c>
      <c r="H33" t="s">
        <v>117</v>
      </c>
      <c r="I33" t="s">
        <v>89</v>
      </c>
      <c r="J33" s="99" t="str">
        <f t="shared" si="0"/>
        <v>INSTRUMENTGRSS_CRRYNG_AMNT_INSTRMNT</v>
      </c>
      <c r="K33" t="s">
        <v>117</v>
      </c>
      <c r="L33" t="s">
        <v>91</v>
      </c>
      <c r="M33" t="e">
        <f>+VLOOKUP(J33,'2. Script '!A:A,1,FALSE)</f>
        <v>#N/A</v>
      </c>
      <c r="N33">
        <f>+VLOOKUP(J33,ANL_CAMPOS_PDS!E:K,7,FALSE)</f>
        <v>0</v>
      </c>
    </row>
    <row r="34" spans="2:14">
      <c r="B34" t="s">
        <v>117</v>
      </c>
      <c r="C34" t="s">
        <v>102</v>
      </c>
      <c r="E34" t="s">
        <v>117</v>
      </c>
      <c r="F34" t="s">
        <v>91</v>
      </c>
      <c r="H34" t="s">
        <v>117</v>
      </c>
      <c r="I34" t="s">
        <v>90</v>
      </c>
      <c r="J34" s="99" t="str">
        <f t="shared" si="0"/>
        <v>INSTRUMENTIDCMB</v>
      </c>
      <c r="K34" t="s">
        <v>117</v>
      </c>
      <c r="L34" t="s">
        <v>102</v>
      </c>
      <c r="M34" t="e">
        <f>+VLOOKUP(J34,'2. Script '!A:A,1,FALSE)</f>
        <v>#N/A</v>
      </c>
      <c r="N34">
        <f>+VLOOKUP(J34,ANL_CAMPOS_PDS!E:K,7,FALSE)</f>
        <v>0</v>
      </c>
    </row>
    <row r="35" spans="2:14">
      <c r="B35" t="s">
        <v>117</v>
      </c>
      <c r="C35" t="s">
        <v>87</v>
      </c>
      <c r="E35" t="s">
        <v>117</v>
      </c>
      <c r="F35" t="s">
        <v>92</v>
      </c>
      <c r="H35" t="s">
        <v>117</v>
      </c>
      <c r="I35" t="s">
        <v>91</v>
      </c>
      <c r="J35" s="99" t="str">
        <f t="shared" si="0"/>
        <v>INSTRUMENTIMPRMNT_STTS</v>
      </c>
      <c r="K35" t="s">
        <v>117</v>
      </c>
      <c r="L35" t="s">
        <v>87</v>
      </c>
      <c r="M35" t="e">
        <f>+VLOOKUP(J35,'2. Script '!A:A,1,FALSE)</f>
        <v>#N/A</v>
      </c>
      <c r="N35">
        <f>+VLOOKUP(J35,ANL_CAMPOS_PDS!E:K,7,FALSE)</f>
        <v>0</v>
      </c>
    </row>
    <row r="36" spans="2:14">
      <c r="B36" t="s">
        <v>117</v>
      </c>
      <c r="C36" t="s">
        <v>588</v>
      </c>
      <c r="E36" t="s">
        <v>117</v>
      </c>
      <c r="F36" t="s">
        <v>93</v>
      </c>
      <c r="H36" t="s">
        <v>117</v>
      </c>
      <c r="I36" t="s">
        <v>92</v>
      </c>
      <c r="J36" s="99" t="str">
        <f t="shared" si="0"/>
        <v>INSTRUMENTINSTRMNT_ID</v>
      </c>
      <c r="K36" t="s">
        <v>117</v>
      </c>
      <c r="L36" t="s">
        <v>588</v>
      </c>
      <c r="M36" t="e">
        <f>+VLOOKUP(J36,'2. Script '!A:A,1,FALSE)</f>
        <v>#N/A</v>
      </c>
      <c r="N36">
        <f>+VLOOKUP(J36,ANL_CAMPOS_PDS!E:K,7,FALSE)</f>
        <v>0</v>
      </c>
    </row>
    <row r="37" spans="2:14">
      <c r="B37" t="s">
        <v>117</v>
      </c>
      <c r="C37" t="s">
        <v>101</v>
      </c>
      <c r="E37" t="s">
        <v>117</v>
      </c>
      <c r="F37" t="s">
        <v>94</v>
      </c>
      <c r="H37" t="s">
        <v>117</v>
      </c>
      <c r="I37" t="s">
        <v>93</v>
      </c>
      <c r="J37" s="99" t="str">
        <f t="shared" si="0"/>
        <v>INSTRUMENTLCL_INSTMRNT_ID</v>
      </c>
      <c r="K37" t="s">
        <v>117</v>
      </c>
      <c r="L37" t="s">
        <v>101</v>
      </c>
      <c r="M37" t="e">
        <f>+VLOOKUP(J37,'2. Script '!A:A,1,FALSE)</f>
        <v>#N/A</v>
      </c>
      <c r="N37">
        <f>+VLOOKUP(J37,ANL_CAMPOS_PDS!E:K,7,FALSE)</f>
        <v>0</v>
      </c>
    </row>
    <row r="38" spans="2:14">
      <c r="B38" t="s">
        <v>117</v>
      </c>
      <c r="C38" t="s">
        <v>88</v>
      </c>
      <c r="E38" t="s">
        <v>117</v>
      </c>
      <c r="F38" t="s">
        <v>446</v>
      </c>
      <c r="H38" t="s">
        <v>117</v>
      </c>
      <c r="I38" t="s">
        <v>94</v>
      </c>
      <c r="J38" s="99" t="str">
        <f t="shared" si="0"/>
        <v>INSTRUMENTPRFRMNG_STTS</v>
      </c>
      <c r="K38" t="s">
        <v>117</v>
      </c>
      <c r="L38" t="s">
        <v>88</v>
      </c>
      <c r="M38" t="e">
        <f>+VLOOKUP(J38,'2. Script '!A:A,1,FALSE)</f>
        <v>#N/A</v>
      </c>
      <c r="N38">
        <f>+VLOOKUP(J38,ANL_CAMPOS_PDS!E:K,7,FALSE)</f>
        <v>0</v>
      </c>
    </row>
    <row r="39" spans="2:14">
      <c r="B39" t="s">
        <v>117</v>
      </c>
      <c r="C39" t="s">
        <v>99</v>
      </c>
      <c r="E39" t="s">
        <v>117</v>
      </c>
      <c r="F39" t="s">
        <v>95</v>
      </c>
      <c r="H39" t="s">
        <v>117</v>
      </c>
      <c r="I39" t="s">
        <v>445</v>
      </c>
      <c r="J39" s="99" t="str">
        <f t="shared" si="0"/>
        <v>INSTRUMENTSUBPORTFOLIO_ID</v>
      </c>
      <c r="K39" t="s">
        <v>117</v>
      </c>
      <c r="L39" t="s">
        <v>99</v>
      </c>
      <c r="M39" t="e">
        <f>+VLOOKUP(J39,'2. Script '!A:A,1,FALSE)</f>
        <v>#N/A</v>
      </c>
      <c r="N39">
        <f>+VLOOKUP(J39,ANL_CAMPOS_PDS!E:K,7,FALSE)</f>
        <v>0</v>
      </c>
    </row>
    <row r="40" spans="2:14">
      <c r="B40" t="s">
        <v>117</v>
      </c>
      <c r="C40" t="s">
        <v>90</v>
      </c>
      <c r="E40" t="s">
        <v>117</v>
      </c>
      <c r="F40" t="s">
        <v>479</v>
      </c>
      <c r="H40" t="s">
        <v>117</v>
      </c>
      <c r="I40" t="s">
        <v>458</v>
      </c>
      <c r="J40" s="99" t="str">
        <f t="shared" si="0"/>
        <v>INSTRUMENTTYP_INSTRMNT</v>
      </c>
      <c r="K40" t="s">
        <v>117</v>
      </c>
      <c r="L40" t="s">
        <v>90</v>
      </c>
      <c r="M40" t="e">
        <f>+VLOOKUP(J40,'2. Script '!A:A,1,FALSE)</f>
        <v>#N/A</v>
      </c>
      <c r="N40">
        <f>+VLOOKUP(J40,ANL_CAMPOS_PDS!E:K,7,FALSE)</f>
        <v>0</v>
      </c>
    </row>
    <row r="41" spans="2:14">
      <c r="B41" t="s">
        <v>311</v>
      </c>
      <c r="C41" t="s">
        <v>100</v>
      </c>
      <c r="E41" t="s">
        <v>117</v>
      </c>
      <c r="F41" t="s">
        <v>480</v>
      </c>
      <c r="H41" t="s">
        <v>117</v>
      </c>
      <c r="I41" t="s">
        <v>95</v>
      </c>
      <c r="J41" s="99" t="str">
        <f t="shared" si="0"/>
        <v>INSTR_PROTECTIONCOD_SOC</v>
      </c>
      <c r="K41" t="s">
        <v>311</v>
      </c>
      <c r="L41" t="s">
        <v>100</v>
      </c>
      <c r="M41" t="e">
        <f>+VLOOKUP(J41,'2. Script '!A:A,1,FALSE)</f>
        <v>#N/A</v>
      </c>
      <c r="N41">
        <f>+VLOOKUP(J41,ANL_CAMPOS_PDS!E:K,7,FALSE)</f>
        <v>0</v>
      </c>
    </row>
    <row r="42" spans="2:14">
      <c r="B42" t="s">
        <v>311</v>
      </c>
      <c r="C42" t="s">
        <v>586</v>
      </c>
      <c r="E42" t="s">
        <v>117</v>
      </c>
      <c r="F42" t="s">
        <v>488</v>
      </c>
      <c r="H42" t="s">
        <v>117</v>
      </c>
      <c r="I42" t="s">
        <v>479</v>
      </c>
      <c r="J42" s="99" t="str">
        <f t="shared" si="0"/>
        <v>INSTR_PROTECTIONDT_RFRNC</v>
      </c>
      <c r="K42" t="s">
        <v>311</v>
      </c>
      <c r="L42" t="s">
        <v>586</v>
      </c>
      <c r="M42" t="e">
        <f>+VLOOKUP(J42,'2. Script '!A:A,1,FALSE)</f>
        <v>#N/A</v>
      </c>
      <c r="N42">
        <f>+VLOOKUP(J42,ANL_CAMPOS_PDS!E:K,7,FALSE)</f>
        <v>0</v>
      </c>
    </row>
    <row r="43" spans="2:14">
      <c r="B43" t="s">
        <v>311</v>
      </c>
      <c r="C43" t="s">
        <v>588</v>
      </c>
      <c r="E43" t="s">
        <v>117</v>
      </c>
      <c r="F43" t="s">
        <v>490</v>
      </c>
      <c r="H43" t="s">
        <v>117</v>
      </c>
      <c r="I43" t="s">
        <v>480</v>
      </c>
      <c r="J43" s="99" t="str">
        <f t="shared" si="0"/>
        <v>INSTR_PROTECTIONINSTRMNT_ID</v>
      </c>
      <c r="K43" t="s">
        <v>311</v>
      </c>
      <c r="L43" t="s">
        <v>588</v>
      </c>
      <c r="M43" t="e">
        <f>+VLOOKUP(J43,'2. Script '!A:A,1,FALSE)</f>
        <v>#N/A</v>
      </c>
      <c r="N43">
        <f>+VLOOKUP(J43,ANL_CAMPOS_PDS!E:K,7,FALSE)</f>
        <v>0</v>
      </c>
    </row>
    <row r="44" spans="2:14">
      <c r="B44" t="s">
        <v>311</v>
      </c>
      <c r="C44" t="s">
        <v>589</v>
      </c>
      <c r="E44" t="s">
        <v>117</v>
      </c>
      <c r="F44" t="s">
        <v>96</v>
      </c>
      <c r="H44" t="s">
        <v>117</v>
      </c>
      <c r="I44" t="s">
        <v>489</v>
      </c>
      <c r="J44" s="99" t="str">
        <f t="shared" si="0"/>
        <v>INSTR_PROTECTIONPRTCTN_ID</v>
      </c>
      <c r="K44" t="s">
        <v>311</v>
      </c>
      <c r="L44" t="s">
        <v>589</v>
      </c>
      <c r="M44" t="e">
        <f>+VLOOKUP(J44,'2. Script '!A:A,1,FALSE)</f>
        <v>#N/A</v>
      </c>
      <c r="N44">
        <f>+VLOOKUP(J44,ANL_CAMPOS_PDS!E:K,7,FALSE)</f>
        <v>0</v>
      </c>
    </row>
    <row r="45" spans="2:14">
      <c r="B45" t="s">
        <v>311</v>
      </c>
      <c r="C45" t="s">
        <v>551</v>
      </c>
      <c r="E45" t="s">
        <v>117</v>
      </c>
      <c r="F45" t="s">
        <v>97</v>
      </c>
      <c r="H45" t="s">
        <v>117</v>
      </c>
      <c r="I45" t="s">
        <v>490</v>
      </c>
      <c r="J45" s="99" t="str">
        <f t="shared" si="0"/>
        <v>INSTR_PROTECTIONPRTCTN_ALLCTD_VL</v>
      </c>
      <c r="K45" t="s">
        <v>311</v>
      </c>
      <c r="L45" t="s">
        <v>551</v>
      </c>
      <c r="M45" t="e">
        <f>+VLOOKUP(J45,'2. Script '!A:A,1,FALSE)</f>
        <v>#N/A</v>
      </c>
      <c r="N45" t="str">
        <f>+VLOOKUP(J45,ANL_CAMPOS_PDS!E:K,7,FALSE)</f>
        <v>Package 2</v>
      </c>
    </row>
    <row r="46" spans="2:14">
      <c r="B46" t="s">
        <v>119</v>
      </c>
      <c r="C46" t="s">
        <v>100</v>
      </c>
      <c r="E46" t="s">
        <v>117</v>
      </c>
      <c r="F46" t="s">
        <v>98</v>
      </c>
      <c r="H46" t="s">
        <v>117</v>
      </c>
      <c r="I46" t="s">
        <v>96</v>
      </c>
      <c r="J46" s="99" t="str">
        <f t="shared" si="0"/>
        <v>PROTECTIONCOD_SOC</v>
      </c>
      <c r="K46" t="s">
        <v>119</v>
      </c>
      <c r="L46" t="s">
        <v>100</v>
      </c>
      <c r="M46" t="e">
        <f>+VLOOKUP(J46,'2. Script '!A:A,1,FALSE)</f>
        <v>#N/A</v>
      </c>
      <c r="N46">
        <f>+VLOOKUP(J46,ANL_CAMPOS_PDS!E:K,7,FALSE)</f>
        <v>0</v>
      </c>
    </row>
    <row r="47" spans="2:14">
      <c r="B47" t="s">
        <v>119</v>
      </c>
      <c r="C47" t="s">
        <v>586</v>
      </c>
      <c r="E47" t="s">
        <v>117</v>
      </c>
      <c r="F47" t="s">
        <v>101</v>
      </c>
      <c r="H47" t="s">
        <v>117</v>
      </c>
      <c r="I47" t="s">
        <v>97</v>
      </c>
      <c r="J47" s="99" t="str">
        <f t="shared" si="0"/>
        <v>PROTECTIONDT_RFRNC</v>
      </c>
      <c r="K47" t="s">
        <v>119</v>
      </c>
      <c r="L47" t="s">
        <v>586</v>
      </c>
      <c r="M47" t="e">
        <f>+VLOOKUP(J47,'2. Script '!A:A,1,FALSE)</f>
        <v>#N/A</v>
      </c>
      <c r="N47">
        <f>+VLOOKUP(J47,ANL_CAMPOS_PDS!E:K,7,FALSE)</f>
        <v>0</v>
      </c>
    </row>
    <row r="48" spans="2:14">
      <c r="B48" t="s">
        <v>119</v>
      </c>
      <c r="C48" t="s">
        <v>589</v>
      </c>
      <c r="E48" t="s">
        <v>117</v>
      </c>
      <c r="F48" t="s">
        <v>102</v>
      </c>
      <c r="H48" t="s">
        <v>117</v>
      </c>
      <c r="I48" t="s">
        <v>98</v>
      </c>
      <c r="J48" s="99" t="str">
        <f t="shared" si="0"/>
        <v>PROTECTIONPRTCTN_ID</v>
      </c>
      <c r="K48" t="s">
        <v>119</v>
      </c>
      <c r="L48" t="s">
        <v>589</v>
      </c>
      <c r="M48" t="e">
        <f>+VLOOKUP(J48,'2. Script '!A:A,1,FALSE)</f>
        <v>#N/A</v>
      </c>
      <c r="N48">
        <f>+VLOOKUP(J48,ANL_CAMPOS_PDS!E:K,7,FALSE)</f>
        <v>0</v>
      </c>
    </row>
    <row r="49" spans="2:14">
      <c r="B49" t="s">
        <v>119</v>
      </c>
      <c r="C49" t="s">
        <v>112</v>
      </c>
      <c r="E49" t="s">
        <v>117</v>
      </c>
      <c r="F49" t="s">
        <v>550</v>
      </c>
      <c r="H49" t="s">
        <v>117</v>
      </c>
      <c r="I49" t="s">
        <v>101</v>
      </c>
      <c r="J49" s="99" t="str">
        <f t="shared" si="0"/>
        <v>PROTECTIONRL_ESTT_CLLTRL_LCTN</v>
      </c>
      <c r="K49" t="s">
        <v>119</v>
      </c>
      <c r="L49" t="s">
        <v>112</v>
      </c>
      <c r="M49" t="e">
        <f>+VLOOKUP(J49,'2. Script '!A:A,1,FALSE)</f>
        <v>#N/A</v>
      </c>
      <c r="N49">
        <f>+VLOOKUP(J49,ANL_CAMPOS_PDS!E:K,7,FALSE)</f>
        <v>0</v>
      </c>
    </row>
    <row r="50" spans="2:14">
      <c r="B50" t="s">
        <v>119</v>
      </c>
      <c r="C50" t="s">
        <v>113</v>
      </c>
      <c r="E50" t="s">
        <v>311</v>
      </c>
      <c r="F50" t="s">
        <v>100</v>
      </c>
      <c r="H50" t="s">
        <v>117</v>
      </c>
      <c r="I50" t="s">
        <v>102</v>
      </c>
      <c r="J50" s="99" t="str">
        <f t="shared" si="0"/>
        <v>PROTECTIONRL_ESTT_PST_CD</v>
      </c>
      <c r="K50" t="s">
        <v>119</v>
      </c>
      <c r="L50" t="s">
        <v>113</v>
      </c>
      <c r="M50" t="e">
        <f>+VLOOKUP(J50,'2. Script '!A:A,1,FALSE)</f>
        <v>#N/A</v>
      </c>
      <c r="N50">
        <f>+VLOOKUP(J50,ANL_CAMPOS_PDS!E:K,7,FALSE)</f>
        <v>0</v>
      </c>
    </row>
    <row r="51" spans="2:14">
      <c r="B51" t="s">
        <v>119</v>
      </c>
      <c r="C51" t="s">
        <v>114</v>
      </c>
      <c r="E51" t="s">
        <v>311</v>
      </c>
      <c r="F51" t="s">
        <v>586</v>
      </c>
      <c r="H51" t="s">
        <v>117</v>
      </c>
      <c r="I51" t="s">
        <v>550</v>
      </c>
      <c r="J51" s="99" t="str">
        <f t="shared" si="0"/>
        <v>PROTECTIONTYP_PRTCTN</v>
      </c>
      <c r="K51" t="s">
        <v>119</v>
      </c>
      <c r="L51" t="s">
        <v>114</v>
      </c>
      <c r="M51" t="e">
        <f>+VLOOKUP(J51,'2. Script '!A:A,1,FALSE)</f>
        <v>#N/A</v>
      </c>
      <c r="N51">
        <f>+VLOOKUP(J51,ANL_CAMPOS_PDS!E:K,7,FALSE)</f>
        <v>0</v>
      </c>
    </row>
    <row r="52" spans="2:14">
      <c r="B52" t="s">
        <v>119</v>
      </c>
      <c r="C52" t="s">
        <v>115</v>
      </c>
      <c r="E52" t="s">
        <v>311</v>
      </c>
      <c r="F52" t="s">
        <v>588</v>
      </c>
      <c r="H52" t="s">
        <v>311</v>
      </c>
      <c r="I52" t="s">
        <v>100</v>
      </c>
      <c r="J52" s="99" t="str">
        <f t="shared" si="0"/>
        <v>PROTECTIONORGNL_PRTCTN_VL</v>
      </c>
      <c r="K52" t="s">
        <v>119</v>
      </c>
      <c r="L52" t="s">
        <v>115</v>
      </c>
      <c r="M52" t="e">
        <f>+VLOOKUP(J52,'2. Script '!A:A,1,FALSE)</f>
        <v>#N/A</v>
      </c>
      <c r="N52">
        <f>+VLOOKUP(J52,ANL_CAMPOS_PDS!E:K,7,FALSE)</f>
        <v>0</v>
      </c>
    </row>
    <row r="53" spans="2:14">
      <c r="B53" t="s">
        <v>119</v>
      </c>
      <c r="C53" t="s">
        <v>116</v>
      </c>
      <c r="E53" t="s">
        <v>311</v>
      </c>
      <c r="F53" t="s">
        <v>589</v>
      </c>
      <c r="H53" t="s">
        <v>311</v>
      </c>
      <c r="I53" t="s">
        <v>586</v>
      </c>
      <c r="J53" s="99" t="str">
        <f t="shared" si="0"/>
        <v>PROTECTIONPRTCTN_VL</v>
      </c>
      <c r="K53" t="s">
        <v>119</v>
      </c>
      <c r="L53" t="s">
        <v>116</v>
      </c>
      <c r="M53" t="e">
        <f>+VLOOKUP(J53,'2. Script '!A:A,1,FALSE)</f>
        <v>#N/A</v>
      </c>
      <c r="N53">
        <f>+VLOOKUP(J53,ANL_CAMPOS_PDS!E:K,7,FALSE)</f>
        <v>0</v>
      </c>
    </row>
    <row r="54" spans="2:14">
      <c r="E54" t="s">
        <v>311</v>
      </c>
      <c r="F54" t="s">
        <v>551</v>
      </c>
      <c r="H54" t="s">
        <v>311</v>
      </c>
      <c r="I54" t="s">
        <v>588</v>
      </c>
      <c r="J54" s="99" t="str">
        <f t="shared" si="0"/>
        <v>ENTITYENTTY_NM</v>
      </c>
      <c r="K54" t="s">
        <v>118</v>
      </c>
      <c r="L54" t="s">
        <v>323</v>
      </c>
      <c r="M54" t="e">
        <f>+VLOOKUP(J54,'2. Script '!A:A,1,FALSE)</f>
        <v>#N/A</v>
      </c>
      <c r="N54" t="str">
        <f>+VLOOKUP(J54,ANL_CAMPOS_PDS!E:K,7,FALSE)</f>
        <v>Package 3</v>
      </c>
    </row>
    <row r="55" spans="2:14">
      <c r="E55" t="s">
        <v>119</v>
      </c>
      <c r="F55" t="s">
        <v>100</v>
      </c>
      <c r="H55" t="s">
        <v>311</v>
      </c>
      <c r="I55" t="s">
        <v>589</v>
      </c>
      <c r="J55" s="99" t="str">
        <f t="shared" si="0"/>
        <v>ENTITYEC_GRP_NM</v>
      </c>
      <c r="K55" t="s">
        <v>118</v>
      </c>
      <c r="L55" t="s">
        <v>392</v>
      </c>
      <c r="M55" t="e">
        <f>+VLOOKUP(J55,'2. Script '!A:A,1,FALSE)</f>
        <v>#N/A</v>
      </c>
      <c r="N55" t="str">
        <f>+VLOOKUP(J55,ANL_CAMPOS_PDS!E:K,7,FALSE)</f>
        <v>Package 4</v>
      </c>
    </row>
    <row r="56" spans="2:14">
      <c r="E56" t="s">
        <v>119</v>
      </c>
      <c r="F56" t="s">
        <v>586</v>
      </c>
      <c r="H56" t="s">
        <v>311</v>
      </c>
      <c r="I56" t="s">
        <v>551</v>
      </c>
      <c r="J56" s="99" t="str">
        <f t="shared" si="0"/>
        <v>INSTRUMENTFRBRNC_STTS_INSTRMNT</v>
      </c>
      <c r="K56" t="s">
        <v>117</v>
      </c>
      <c r="L56" t="s">
        <v>419</v>
      </c>
      <c r="M56" t="e">
        <f>+VLOOKUP(J56,'2. Script '!A:A,1,FALSE)</f>
        <v>#N/A</v>
      </c>
      <c r="N56" t="str">
        <f>+VLOOKUP(J56,ANL_CAMPOS_PDS!E:K,7,FALSE)</f>
        <v>Package 2</v>
      </c>
    </row>
    <row r="57" spans="2:14">
      <c r="E57" t="s">
        <v>119</v>
      </c>
      <c r="F57" t="s">
        <v>589</v>
      </c>
      <c r="H57" t="s">
        <v>119</v>
      </c>
      <c r="I57" t="s">
        <v>100</v>
      </c>
      <c r="J57" s="99" t="str">
        <f t="shared" si="0"/>
        <v>INSTRUMENTIFRS9_BHVRL_MTRTY</v>
      </c>
      <c r="K57" t="s">
        <v>117</v>
      </c>
      <c r="L57" t="s">
        <v>446</v>
      </c>
      <c r="M57" t="e">
        <f>+VLOOKUP(J57,'2. Script '!A:A,1,FALSE)</f>
        <v>#N/A</v>
      </c>
      <c r="N57" t="e">
        <f>+VLOOKUP(J57,ANL_CAMPOS_PDS!E:K,7,FALSE)</f>
        <v>#N/A</v>
      </c>
    </row>
    <row r="58" spans="2:14">
      <c r="E58" t="s">
        <v>119</v>
      </c>
      <c r="F58" t="s">
        <v>112</v>
      </c>
      <c r="H58" t="s">
        <v>119</v>
      </c>
      <c r="I58" t="s">
        <v>586</v>
      </c>
      <c r="J58" s="99" t="str">
        <f t="shared" si="0"/>
        <v>INSTRUMENTLTV</v>
      </c>
      <c r="K58" t="s">
        <v>117</v>
      </c>
      <c r="L58" t="s">
        <v>479</v>
      </c>
      <c r="M58" t="e">
        <f>+VLOOKUP(J58,'2. Script '!A:A,1,FALSE)</f>
        <v>#N/A</v>
      </c>
      <c r="N58" t="str">
        <f>+VLOOKUP(J58,ANL_CAMPOS_PDS!E:K,7,FALSE)</f>
        <v>Package 3</v>
      </c>
    </row>
    <row r="59" spans="2:14">
      <c r="E59" t="s">
        <v>119</v>
      </c>
      <c r="F59" t="s">
        <v>113</v>
      </c>
      <c r="H59" t="s">
        <v>119</v>
      </c>
      <c r="I59" t="s">
        <v>589</v>
      </c>
      <c r="J59" s="99" t="str">
        <f t="shared" si="0"/>
        <v>INSTRUMENTLTV_INCPTN</v>
      </c>
      <c r="K59" t="s">
        <v>117</v>
      </c>
      <c r="L59" t="s">
        <v>480</v>
      </c>
      <c r="M59" t="e">
        <f>+VLOOKUP(J59,'2. Script '!A:A,1,FALSE)</f>
        <v>#N/A</v>
      </c>
      <c r="N59" t="str">
        <f>+VLOOKUP(J59,ANL_CAMPOS_PDS!E:K,7,FALSE)</f>
        <v>Package 3</v>
      </c>
    </row>
    <row r="60" spans="2:14">
      <c r="E60" t="s">
        <v>119</v>
      </c>
      <c r="F60" t="s">
        <v>114</v>
      </c>
      <c r="H60" t="s">
        <v>119</v>
      </c>
      <c r="I60" t="s">
        <v>112</v>
      </c>
      <c r="J60" s="99" t="str">
        <f t="shared" si="0"/>
        <v>INSTRUMENTANNLSD_AGRD_RT</v>
      </c>
      <c r="K60" t="s">
        <v>117</v>
      </c>
      <c r="L60" t="s">
        <v>488</v>
      </c>
      <c r="M60" t="e">
        <f>+VLOOKUP(J60,'2. Script '!A:A,1,FALSE)</f>
        <v>#N/A</v>
      </c>
      <c r="N60" t="e">
        <f>+VLOOKUP(J60,ANL_CAMPOS_PDS!E:K,7,FALSE)</f>
        <v>#N/A</v>
      </c>
    </row>
    <row r="61" spans="2:14">
      <c r="E61" t="s">
        <v>119</v>
      </c>
      <c r="F61" t="s">
        <v>115</v>
      </c>
      <c r="H61" t="s">
        <v>119</v>
      </c>
      <c r="I61" t="s">
        <v>113</v>
      </c>
      <c r="J61" s="99" t="str">
        <f t="shared" si="0"/>
        <v>INSTRUMENTEIR_INCPTN</v>
      </c>
      <c r="K61" t="s">
        <v>117</v>
      </c>
      <c r="L61" t="s">
        <v>490</v>
      </c>
      <c r="M61" t="e">
        <f>+VLOOKUP(J61,'2. Script '!A:A,1,FALSE)</f>
        <v>#N/A</v>
      </c>
      <c r="N61" t="str">
        <f>+VLOOKUP(J61,ANL_CAMPOS_PDS!E:K,7,FALSE)</f>
        <v>Package 3</v>
      </c>
    </row>
    <row r="62" spans="2:14">
      <c r="E62" t="s">
        <v>119</v>
      </c>
      <c r="F62" t="s">
        <v>116</v>
      </c>
      <c r="H62" t="s">
        <v>119</v>
      </c>
      <c r="I62" t="s">
        <v>114</v>
      </c>
      <c r="J62" s="99" t="str">
        <f t="shared" si="0"/>
        <v>INSTRUMENTTYP_OFF_BLNC_PRDCT</v>
      </c>
      <c r="K62" t="s">
        <v>117</v>
      </c>
      <c r="L62" t="s">
        <v>550</v>
      </c>
      <c r="M62" t="e">
        <f>+VLOOKUP(J62,'2. Script '!A:A,1,FALSE)</f>
        <v>#N/A</v>
      </c>
      <c r="N62" t="str">
        <f>+VLOOKUP(J62,ANL_CAMPOS_PDS!E:K,7,FALSE)</f>
        <v>Package 4 --&gt; Não está especificado no LT - não conseguimos testar</v>
      </c>
    </row>
    <row r="63" spans="2:14">
      <c r="E63" t="s">
        <v>119</v>
      </c>
      <c r="F63" t="s">
        <v>583</v>
      </c>
      <c r="H63" t="s">
        <v>119</v>
      </c>
      <c r="I63" t="s">
        <v>115</v>
      </c>
      <c r="J63" s="99" t="str">
        <f t="shared" si="0"/>
        <v>PROTECTIONYR_CNSTRCTN</v>
      </c>
      <c r="K63" t="s">
        <v>119</v>
      </c>
      <c r="L63" t="s">
        <v>583</v>
      </c>
      <c r="M63" t="e">
        <f>+VLOOKUP(J63,'2. Script '!A:A,1,FALSE)</f>
        <v>#N/A</v>
      </c>
      <c r="N63" t="str">
        <f>+VLOOKUP(J63,ANL_CAMPOS_PDS!E:K,7,FALSE)</f>
        <v>Package 3</v>
      </c>
    </row>
    <row r="64" spans="2:14">
      <c r="E64" t="s">
        <v>312</v>
      </c>
      <c r="F64" t="s">
        <v>584</v>
      </c>
      <c r="H64" t="s">
        <v>119</v>
      </c>
      <c r="I64" t="s">
        <v>116</v>
      </c>
      <c r="J64" s="99" t="str">
        <f t="shared" si="0"/>
        <v>INSTR_ACTIVITYPRCNTG_ACTVTY</v>
      </c>
      <c r="K64" t="s">
        <v>312</v>
      </c>
      <c r="L64" t="s">
        <v>584</v>
      </c>
      <c r="M64" t="e">
        <f>+VLOOKUP(J64,'2. Script '!A:A,1,FALSE)</f>
        <v>#N/A</v>
      </c>
      <c r="N64" t="str">
        <f>+VLOOKUP(J64,ANL_CAMPOS_PDS!E:K,7,FALSE)</f>
        <v>Package 5</v>
      </c>
    </row>
    <row r="65" spans="8:14">
      <c r="H65" t="s">
        <v>119</v>
      </c>
      <c r="I65" t="s">
        <v>583</v>
      </c>
      <c r="J65" s="99" t="str">
        <f t="shared" si="0"/>
        <v>ENTITYEC_GRP_ID</v>
      </c>
      <c r="K65" t="s">
        <v>118</v>
      </c>
      <c r="L65" t="s">
        <v>391</v>
      </c>
      <c r="M65" t="e">
        <f>+VLOOKUP(J65,'2. Script '!A:A,1,FALSE)</f>
        <v>#N/A</v>
      </c>
      <c r="N65" t="str">
        <f>+VLOOKUP(J65,ANL_CAMPOS_PDS!E:K,7,FALSE)</f>
        <v>Package 4</v>
      </c>
    </row>
    <row r="66" spans="8:14">
      <c r="J66" s="99" t="str">
        <f t="shared" si="0"/>
        <v>INSTRUMENTDT_ORGNL_MTRTY</v>
      </c>
      <c r="K66" t="s">
        <v>117</v>
      </c>
      <c r="L66" t="s">
        <v>445</v>
      </c>
      <c r="M66" t="e">
        <f>+VLOOKUP(J66,'2. Script '!A:A,1,FALSE)</f>
        <v>#N/A</v>
      </c>
      <c r="N66" t="str">
        <f>+VLOOKUP(J66,ANL_CAMPOS_PDS!E:K,7,FALSE)</f>
        <v>Package 3</v>
      </c>
    </row>
    <row r="67" spans="8:14">
      <c r="J67" s="99" t="str">
        <f t="shared" si="0"/>
        <v>INSTRUMENTRWA</v>
      </c>
      <c r="K67" t="s">
        <v>117</v>
      </c>
      <c r="L67" t="s">
        <v>458</v>
      </c>
      <c r="M67" t="e">
        <f>+VLOOKUP(J67,'2. Script '!A:A,1,FALSE)</f>
        <v>#N/A</v>
      </c>
      <c r="N67" t="str">
        <f>+VLOOKUP(J67,ANL_CAMPOS_PDS!E:K,7,FALSE)</f>
        <v>Package 3</v>
      </c>
    </row>
    <row r="68" spans="8:14">
      <c r="J68" s="99" t="str">
        <f t="shared" si="0"/>
        <v>INSTRUMENTEIR</v>
      </c>
      <c r="K68" t="s">
        <v>117</v>
      </c>
      <c r="L68" t="s">
        <v>489</v>
      </c>
      <c r="M68" t="e">
        <f>+VLOOKUP(J68,'2. Script '!A:A,1,FALSE)</f>
        <v>#N/A</v>
      </c>
      <c r="N68" t="str">
        <f>+VLOOKUP(J68,ANL_CAMPOS_PDS!E:K,7,FALSE)</f>
        <v>Package 3</v>
      </c>
    </row>
  </sheetData>
  <autoFilter ref="K4:N68" xr:uid="{00000000-0009-0000-0000-000009000000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M324"/>
  <sheetViews>
    <sheetView showGridLines="0" workbookViewId="0">
      <selection activeCell="B1" sqref="B1"/>
    </sheetView>
  </sheetViews>
  <sheetFormatPr defaultRowHeight="14.5"/>
  <cols>
    <col min="1" max="1" width="3.6328125" customWidth="1"/>
    <col min="2" max="5" width="13.36328125" customWidth="1"/>
    <col min="6" max="6" width="6.08984375" customWidth="1"/>
    <col min="7" max="7" width="15.90625" bestFit="1" customWidth="1"/>
    <col min="8" max="8" width="29.81640625" bestFit="1" customWidth="1"/>
    <col min="9" max="10" width="34.6328125" bestFit="1" customWidth="1"/>
    <col min="11" max="11" width="28.453125" bestFit="1" customWidth="1"/>
  </cols>
  <sheetData>
    <row r="2" spans="2:13">
      <c r="B2" s="91" t="s">
        <v>1073</v>
      </c>
      <c r="C2" s="91" t="s">
        <v>1073</v>
      </c>
      <c r="D2" s="91" t="s">
        <v>1073</v>
      </c>
      <c r="E2" s="91"/>
      <c r="F2" s="89" t="s">
        <v>749</v>
      </c>
      <c r="G2" s="88" t="s">
        <v>48</v>
      </c>
      <c r="H2" s="88" t="s">
        <v>49</v>
      </c>
      <c r="I2" s="88" t="s">
        <v>679</v>
      </c>
      <c r="J2" s="88" t="s">
        <v>680</v>
      </c>
      <c r="K2" s="88" t="s">
        <v>681</v>
      </c>
      <c r="L2" s="88" t="s">
        <v>750</v>
      </c>
      <c r="M2" s="88" t="s">
        <v>1073</v>
      </c>
    </row>
    <row r="3" spans="2:13">
      <c r="B3" s="92" t="s">
        <v>117</v>
      </c>
      <c r="C3" s="92" t="s">
        <v>92</v>
      </c>
      <c r="D3" s="92" t="s">
        <v>779</v>
      </c>
      <c r="E3" s="92" t="str">
        <f>+F3&amp;H3</f>
        <v>ENTITYnace_esg</v>
      </c>
      <c r="F3" s="90" t="s">
        <v>118</v>
      </c>
      <c r="G3" t="s">
        <v>24</v>
      </c>
      <c r="H3" t="s">
        <v>590</v>
      </c>
      <c r="I3" t="s">
        <v>682</v>
      </c>
      <c r="J3" t="s">
        <v>682</v>
      </c>
      <c r="L3" t="str">
        <f>+IF(IFERROR(VLOOKUP(CONCATENATE(F3,H3),'2. Script '!A:A,1,FALSE),"#")=CONCATENATE(F3,H3),"Y","N")</f>
        <v>N</v>
      </c>
      <c r="M3" t="str">
        <f t="shared" ref="M3:M34" si="0">+IF(IFERROR(VLOOKUP(CONCATENATE(F3,H3),D:D,1,FALSE),"#")=CONCATENATE(F3,H3),"Y","N")</f>
        <v>N</v>
      </c>
    </row>
    <row r="4" spans="2:13">
      <c r="B4" s="92" t="s">
        <v>117</v>
      </c>
      <c r="C4" s="92" t="s">
        <v>95</v>
      </c>
      <c r="D4" s="92" t="s">
        <v>782</v>
      </c>
      <c r="E4" s="92" t="str">
        <f t="shared" ref="E4:E67" si="1">+F4&amp;H4</f>
        <v>ENTITYtxnmy_elgbl_capex_ccm</v>
      </c>
      <c r="F4" s="90" t="s">
        <v>118</v>
      </c>
      <c r="G4" t="s">
        <v>24</v>
      </c>
      <c r="H4" t="s">
        <v>591</v>
      </c>
      <c r="I4" t="s">
        <v>683</v>
      </c>
      <c r="J4" t="s">
        <v>683</v>
      </c>
      <c r="L4" t="str">
        <f>+IF(IFERROR(VLOOKUP(CONCATENATE(F4,H4),'2. Script '!A:A,1,FALSE),"#")=CONCATENATE(F4,H4),"Y","N")</f>
        <v>N</v>
      </c>
      <c r="M4" t="str">
        <f t="shared" si="0"/>
        <v>N</v>
      </c>
    </row>
    <row r="5" spans="2:13">
      <c r="B5" s="92" t="s">
        <v>117</v>
      </c>
      <c r="C5" s="92" t="s">
        <v>461</v>
      </c>
      <c r="D5" s="92" t="s">
        <v>805</v>
      </c>
      <c r="E5" s="92" t="str">
        <f t="shared" si="1"/>
        <v>ENTITYtxnmy_elgbl_trnvr_ccm</v>
      </c>
      <c r="F5" s="90" t="s">
        <v>118</v>
      </c>
      <c r="G5" t="s">
        <v>24</v>
      </c>
      <c r="H5" t="s">
        <v>592</v>
      </c>
      <c r="I5" t="s">
        <v>683</v>
      </c>
      <c r="J5" t="s">
        <v>683</v>
      </c>
      <c r="L5" t="str">
        <f>+IF(IFERROR(VLOOKUP(CONCATENATE(F5,H5),'2. Script '!A:A,1,FALSE),"#")=CONCATENATE(F5,H5),"Y","N")</f>
        <v>N</v>
      </c>
      <c r="M5" t="str">
        <f t="shared" si="0"/>
        <v>N</v>
      </c>
    </row>
    <row r="6" spans="2:13">
      <c r="B6" s="92" t="s">
        <v>117</v>
      </c>
      <c r="C6" s="92" t="s">
        <v>462</v>
      </c>
      <c r="D6" s="92" t="s">
        <v>806</v>
      </c>
      <c r="E6" s="92" t="str">
        <f t="shared" si="1"/>
        <v>ENTITYtxnmy_elgbl_capex_cca</v>
      </c>
      <c r="F6" s="90" t="s">
        <v>118</v>
      </c>
      <c r="G6" t="s">
        <v>24</v>
      </c>
      <c r="H6" t="s">
        <v>593</v>
      </c>
      <c r="I6" t="s">
        <v>683</v>
      </c>
      <c r="J6" t="s">
        <v>683</v>
      </c>
      <c r="L6" t="str">
        <f>+IF(IFERROR(VLOOKUP(CONCATENATE(F6,H6),'2. Script '!A:A,1,FALSE),"#")=CONCATENATE(F6,H6),"Y","N")</f>
        <v>N</v>
      </c>
      <c r="M6" t="str">
        <f t="shared" si="0"/>
        <v>N</v>
      </c>
    </row>
    <row r="7" spans="2:13">
      <c r="B7" s="92" t="s">
        <v>117</v>
      </c>
      <c r="C7" s="92" t="s">
        <v>93</v>
      </c>
      <c r="D7" s="92" t="s">
        <v>780</v>
      </c>
      <c r="E7" s="92" t="str">
        <f t="shared" si="1"/>
        <v>ENTITYtxnmy_elgbl_trnvr_cca</v>
      </c>
      <c r="F7" s="90" t="s">
        <v>118</v>
      </c>
      <c r="G7" t="s">
        <v>24</v>
      </c>
      <c r="H7" t="s">
        <v>594</v>
      </c>
      <c r="I7" t="s">
        <v>683</v>
      </c>
      <c r="J7" t="s">
        <v>683</v>
      </c>
      <c r="L7" t="str">
        <f>+IF(IFERROR(VLOOKUP(CONCATENATE(F7,H7),'2. Script '!A:A,1,FALSE),"#")=CONCATENATE(F7,H7),"Y","N")</f>
        <v>N</v>
      </c>
      <c r="M7" t="str">
        <f t="shared" si="0"/>
        <v>N</v>
      </c>
    </row>
    <row r="8" spans="2:13">
      <c r="B8" s="92" t="s">
        <v>117</v>
      </c>
      <c r="C8" s="92" t="s">
        <v>438</v>
      </c>
      <c r="D8" s="92" t="s">
        <v>807</v>
      </c>
      <c r="E8" s="92" t="str">
        <f t="shared" si="1"/>
        <v>ENTITYenblng_capex_ccm</v>
      </c>
      <c r="F8" s="90" t="s">
        <v>118</v>
      </c>
      <c r="G8" t="s">
        <v>24</v>
      </c>
      <c r="H8" t="s">
        <v>595</v>
      </c>
      <c r="I8" t="s">
        <v>683</v>
      </c>
      <c r="J8" t="s">
        <v>683</v>
      </c>
      <c r="L8" t="str">
        <f>+IF(IFERROR(VLOOKUP(CONCATENATE(F8,H8),'2. Script '!A:A,1,FALSE),"#")=CONCATENATE(F8,H8),"Y","N")</f>
        <v>N</v>
      </c>
      <c r="M8" t="str">
        <f t="shared" si="0"/>
        <v>N</v>
      </c>
    </row>
    <row r="9" spans="2:13">
      <c r="B9" s="92" t="s">
        <v>117</v>
      </c>
      <c r="C9" s="92" t="s">
        <v>439</v>
      </c>
      <c r="D9" s="92" t="s">
        <v>808</v>
      </c>
      <c r="E9" s="92" t="str">
        <f t="shared" si="1"/>
        <v>ENTITYenblng_capex_cca</v>
      </c>
      <c r="F9" s="90" t="s">
        <v>118</v>
      </c>
      <c r="G9" t="s">
        <v>24</v>
      </c>
      <c r="H9" t="s">
        <v>596</v>
      </c>
      <c r="I9" t="s">
        <v>683</v>
      </c>
      <c r="J9" t="s">
        <v>683</v>
      </c>
      <c r="L9" t="str">
        <f>+IF(IFERROR(VLOOKUP(CONCATENATE(F9,H9),'2. Script '!A:A,1,FALSE),"#")=CONCATENATE(F9,H9),"Y","N")</f>
        <v>N</v>
      </c>
      <c r="M9" t="str">
        <f t="shared" si="0"/>
        <v>N</v>
      </c>
    </row>
    <row r="10" spans="2:13">
      <c r="B10" s="92" t="s">
        <v>117</v>
      </c>
      <c r="C10" s="92" t="s">
        <v>488</v>
      </c>
      <c r="D10" s="92" t="s">
        <v>785</v>
      </c>
      <c r="E10" s="92" t="str">
        <f t="shared" si="1"/>
        <v>ENTITYtrnstnl_capex</v>
      </c>
      <c r="F10" s="90" t="s">
        <v>118</v>
      </c>
      <c r="G10" t="s">
        <v>24</v>
      </c>
      <c r="H10" t="s">
        <v>597</v>
      </c>
      <c r="I10" t="s">
        <v>683</v>
      </c>
      <c r="J10" t="s">
        <v>683</v>
      </c>
      <c r="L10" t="str">
        <f>+IF(IFERROR(VLOOKUP(CONCATENATE(F10,H10),'2. Script '!A:A,1,FALSE),"#")=CONCATENATE(F10,H10),"Y","N")</f>
        <v>N</v>
      </c>
      <c r="M10" t="str">
        <f t="shared" si="0"/>
        <v>N</v>
      </c>
    </row>
    <row r="11" spans="2:13">
      <c r="B11" s="92" t="s">
        <v>117</v>
      </c>
      <c r="C11" s="92" t="s">
        <v>463</v>
      </c>
      <c r="D11" s="92" t="s">
        <v>809</v>
      </c>
      <c r="E11" s="92" t="str">
        <f t="shared" si="1"/>
        <v>ENTITYpure_capex_ccm</v>
      </c>
      <c r="F11" s="90" t="s">
        <v>118</v>
      </c>
      <c r="G11" t="s">
        <v>24</v>
      </c>
      <c r="H11" t="s">
        <v>598</v>
      </c>
      <c r="I11" t="s">
        <v>683</v>
      </c>
      <c r="J11" t="s">
        <v>683</v>
      </c>
      <c r="L11" t="str">
        <f>+IF(IFERROR(VLOOKUP(CONCATENATE(F11,H11),'2. Script '!A:A,1,FALSE),"#")=CONCATENATE(F11,H11),"Y","N")</f>
        <v>N</v>
      </c>
      <c r="M11" t="str">
        <f t="shared" si="0"/>
        <v>N</v>
      </c>
    </row>
    <row r="12" spans="2:13">
      <c r="B12" s="92" t="s">
        <v>117</v>
      </c>
      <c r="C12" s="92" t="s">
        <v>464</v>
      </c>
      <c r="D12" s="92" t="s">
        <v>810</v>
      </c>
      <c r="E12" s="92" t="str">
        <f t="shared" si="1"/>
        <v>ENTITYpure_capex_cca</v>
      </c>
      <c r="F12" s="90" t="s">
        <v>118</v>
      </c>
      <c r="G12" t="s">
        <v>24</v>
      </c>
      <c r="H12" t="s">
        <v>599</v>
      </c>
      <c r="I12" t="s">
        <v>683</v>
      </c>
      <c r="J12" t="s">
        <v>683</v>
      </c>
      <c r="L12" t="str">
        <f>+IF(IFERROR(VLOOKUP(CONCATENATE(F12,H12),'2. Script '!A:A,1,FALSE),"#")=CONCATENATE(F12,H12),"Y","N")</f>
        <v>N</v>
      </c>
      <c r="M12" t="str">
        <f t="shared" si="0"/>
        <v>N</v>
      </c>
    </row>
    <row r="13" spans="2:13">
      <c r="B13" s="92" t="s">
        <v>117</v>
      </c>
      <c r="C13" s="92" t="s">
        <v>516</v>
      </c>
      <c r="D13" s="92" t="s">
        <v>811</v>
      </c>
      <c r="E13" s="92" t="str">
        <f t="shared" si="1"/>
        <v>ENTITYenblng_trnvr_ccm</v>
      </c>
      <c r="F13" s="90" t="s">
        <v>118</v>
      </c>
      <c r="G13" t="s">
        <v>24</v>
      </c>
      <c r="H13" t="s">
        <v>600</v>
      </c>
      <c r="I13" t="s">
        <v>683</v>
      </c>
      <c r="J13" t="s">
        <v>683</v>
      </c>
      <c r="L13" t="str">
        <f>+IF(IFERROR(VLOOKUP(CONCATENATE(F13,H13),'2. Script '!A:A,1,FALSE),"#")=CONCATENATE(F13,H13),"Y","N")</f>
        <v>N</v>
      </c>
      <c r="M13" t="str">
        <f t="shared" si="0"/>
        <v>N</v>
      </c>
    </row>
    <row r="14" spans="2:13">
      <c r="B14" s="92" t="s">
        <v>117</v>
      </c>
      <c r="C14" s="92" t="s">
        <v>409</v>
      </c>
      <c r="D14" s="92" t="s">
        <v>812</v>
      </c>
      <c r="E14" s="92" t="str">
        <f t="shared" si="1"/>
        <v>ENTITYenblng_trnvr_cca</v>
      </c>
      <c r="F14" s="90" t="s">
        <v>118</v>
      </c>
      <c r="G14" t="s">
        <v>24</v>
      </c>
      <c r="H14" t="s">
        <v>601</v>
      </c>
      <c r="I14" t="s">
        <v>683</v>
      </c>
      <c r="J14" t="s">
        <v>683</v>
      </c>
      <c r="L14" t="str">
        <f>+IF(IFERROR(VLOOKUP(CONCATENATE(F14,H14),'2. Script '!A:A,1,FALSE),"#")=CONCATENATE(F14,H14),"Y","N")</f>
        <v>N</v>
      </c>
      <c r="M14" t="str">
        <f t="shared" si="0"/>
        <v>N</v>
      </c>
    </row>
    <row r="15" spans="2:13">
      <c r="B15" s="92" t="s">
        <v>117</v>
      </c>
      <c r="C15" s="92" t="s">
        <v>440</v>
      </c>
      <c r="D15" s="92" t="s">
        <v>813</v>
      </c>
      <c r="E15" s="92" t="str">
        <f t="shared" si="1"/>
        <v>ENTITYtrnstnl_trnvr</v>
      </c>
      <c r="F15" s="90" t="s">
        <v>118</v>
      </c>
      <c r="G15" t="s">
        <v>24</v>
      </c>
      <c r="H15" t="s">
        <v>602</v>
      </c>
      <c r="I15" t="s">
        <v>683</v>
      </c>
      <c r="J15" t="s">
        <v>683</v>
      </c>
      <c r="L15" t="str">
        <f>+IF(IFERROR(VLOOKUP(CONCATENATE(F15,H15),'2. Script '!A:A,1,FALSE),"#")=CONCATENATE(F15,H15),"Y","N")</f>
        <v>N</v>
      </c>
      <c r="M15" t="str">
        <f t="shared" si="0"/>
        <v>N</v>
      </c>
    </row>
    <row r="16" spans="2:13">
      <c r="B16" s="92" t="s">
        <v>117</v>
      </c>
      <c r="C16" s="92" t="s">
        <v>410</v>
      </c>
      <c r="D16" s="92" t="s">
        <v>814</v>
      </c>
      <c r="E16" s="92" t="str">
        <f t="shared" si="1"/>
        <v>ENTITYpure_trnvr_ccm</v>
      </c>
      <c r="F16" s="90" t="s">
        <v>118</v>
      </c>
      <c r="G16" t="s">
        <v>24</v>
      </c>
      <c r="H16" t="s">
        <v>603</v>
      </c>
      <c r="I16" t="s">
        <v>683</v>
      </c>
      <c r="J16" t="s">
        <v>683</v>
      </c>
      <c r="L16" t="str">
        <f>+IF(IFERROR(VLOOKUP(CONCATENATE(F16,H16),'2. Script '!A:A,1,FALSE),"#")=CONCATENATE(F16,H16),"Y","N")</f>
        <v>N</v>
      </c>
      <c r="M16" t="str">
        <f t="shared" si="0"/>
        <v>N</v>
      </c>
    </row>
    <row r="17" spans="2:13">
      <c r="B17" s="92" t="s">
        <v>117</v>
      </c>
      <c r="C17" s="92" t="s">
        <v>465</v>
      </c>
      <c r="D17" s="92" t="s">
        <v>815</v>
      </c>
      <c r="E17" s="92" t="str">
        <f t="shared" si="1"/>
        <v>ENTITYpure_trnvr_cca</v>
      </c>
      <c r="F17" s="90" t="s">
        <v>118</v>
      </c>
      <c r="G17" t="s">
        <v>24</v>
      </c>
      <c r="H17" t="s">
        <v>604</v>
      </c>
      <c r="I17" t="s">
        <v>683</v>
      </c>
      <c r="J17" t="s">
        <v>683</v>
      </c>
      <c r="L17" t="str">
        <f>+IF(IFERROR(VLOOKUP(CONCATENATE(F17,H17),'2. Script '!A:A,1,FALSE),"#")=CONCATENATE(F17,H17),"Y","N")</f>
        <v>N</v>
      </c>
      <c r="M17" t="str">
        <f t="shared" si="0"/>
        <v>N</v>
      </c>
    </row>
    <row r="18" spans="2:13">
      <c r="B18" s="92" t="s">
        <v>117</v>
      </c>
      <c r="C18" s="92" t="s">
        <v>441</v>
      </c>
      <c r="D18" s="92" t="s">
        <v>816</v>
      </c>
      <c r="E18" s="92" t="str">
        <f t="shared" si="1"/>
        <v>ENTITYflg_nfrd_applcblty</v>
      </c>
      <c r="F18" s="90" t="s">
        <v>118</v>
      </c>
      <c r="G18" t="s">
        <v>24</v>
      </c>
      <c r="H18" t="s">
        <v>605</v>
      </c>
      <c r="I18" t="s">
        <v>683</v>
      </c>
      <c r="J18" t="s">
        <v>683</v>
      </c>
      <c r="L18" t="str">
        <f>+IF(IFERROR(VLOOKUP(CONCATENATE(F18,H18),'2. Script '!A:A,1,FALSE),"#")=CONCATENATE(F18,H18),"Y","N")</f>
        <v>N</v>
      </c>
      <c r="M18" t="str">
        <f t="shared" si="0"/>
        <v>N</v>
      </c>
    </row>
    <row r="19" spans="2:13">
      <c r="B19" s="92" t="s">
        <v>117</v>
      </c>
      <c r="C19" s="92" t="s">
        <v>442</v>
      </c>
      <c r="D19" s="92" t="s">
        <v>817</v>
      </c>
      <c r="E19" s="92" t="str">
        <f t="shared" si="1"/>
        <v>ENTITYcntrprty_emssns_scp1</v>
      </c>
      <c r="F19" s="90" t="s">
        <v>118</v>
      </c>
      <c r="G19" t="s">
        <v>24</v>
      </c>
      <c r="H19" t="s">
        <v>606</v>
      </c>
      <c r="I19" t="s">
        <v>683</v>
      </c>
      <c r="J19" t="s">
        <v>683</v>
      </c>
      <c r="L19" t="str">
        <f>+IF(IFERROR(VLOOKUP(CONCATENATE(F19,H19),'2. Script '!A:A,1,FALSE),"#")=CONCATENATE(F19,H19),"Y","N")</f>
        <v>N</v>
      </c>
      <c r="M19" t="str">
        <f t="shared" si="0"/>
        <v>N</v>
      </c>
    </row>
    <row r="20" spans="2:13">
      <c r="B20" s="92" t="s">
        <v>117</v>
      </c>
      <c r="C20" s="92" t="s">
        <v>507</v>
      </c>
      <c r="D20" s="92" t="s">
        <v>818</v>
      </c>
      <c r="E20" s="92" t="str">
        <f t="shared" si="1"/>
        <v>ENTITYcntrprty_emssns_scp2</v>
      </c>
      <c r="F20" s="90" t="s">
        <v>118</v>
      </c>
      <c r="G20" t="s">
        <v>24</v>
      </c>
      <c r="H20" t="s">
        <v>607</v>
      </c>
      <c r="I20" t="s">
        <v>683</v>
      </c>
      <c r="J20" t="s">
        <v>683</v>
      </c>
      <c r="L20" t="str">
        <f>+IF(IFERROR(VLOOKUP(CONCATENATE(F20,H20),'2. Script '!A:A,1,FALSE),"#")=CONCATENATE(F20,H20),"Y","N")</f>
        <v>N</v>
      </c>
      <c r="M20" t="str">
        <f t="shared" si="0"/>
        <v>N</v>
      </c>
    </row>
    <row r="21" spans="2:13">
      <c r="B21" s="92" t="s">
        <v>117</v>
      </c>
      <c r="C21" s="92" t="s">
        <v>403</v>
      </c>
      <c r="D21" s="92" t="s">
        <v>819</v>
      </c>
      <c r="E21" s="92" t="str">
        <f t="shared" si="1"/>
        <v>ENTITYcntrprty_emssns_scp3</v>
      </c>
      <c r="F21" s="90" t="s">
        <v>118</v>
      </c>
      <c r="G21" t="s">
        <v>24</v>
      </c>
      <c r="H21" t="s">
        <v>608</v>
      </c>
      <c r="I21" t="s">
        <v>683</v>
      </c>
      <c r="J21" t="s">
        <v>683</v>
      </c>
      <c r="L21" t="str">
        <f>+IF(IFERROR(VLOOKUP(CONCATENATE(F21,H21),'2. Script '!A:A,1,FALSE),"#")=CONCATENATE(F21,H21),"Y","N")</f>
        <v>N</v>
      </c>
      <c r="M21" t="str">
        <f t="shared" si="0"/>
        <v>N</v>
      </c>
    </row>
    <row r="22" spans="2:13">
      <c r="B22" s="92" t="s">
        <v>117</v>
      </c>
      <c r="C22" s="92" t="s">
        <v>404</v>
      </c>
      <c r="D22" s="92" t="s">
        <v>820</v>
      </c>
      <c r="E22" s="92" t="str">
        <f t="shared" si="1"/>
        <v>ENTITYflg_excldd_eu_prs_algnd_bnchmrk</v>
      </c>
      <c r="F22" s="90" t="s">
        <v>118</v>
      </c>
      <c r="G22" t="s">
        <v>24</v>
      </c>
      <c r="H22" t="s">
        <v>609</v>
      </c>
      <c r="I22" t="s">
        <v>683</v>
      </c>
      <c r="J22" t="s">
        <v>683</v>
      </c>
      <c r="L22" t="str">
        <f>+IF(IFERROR(VLOOKUP(CONCATENATE(F22,H22),'2. Script '!A:A,1,FALSE),"#")=CONCATENATE(F22,H22),"Y","N")</f>
        <v>N</v>
      </c>
      <c r="M22" t="str">
        <f t="shared" si="0"/>
        <v>N</v>
      </c>
    </row>
    <row r="23" spans="2:13">
      <c r="B23" s="92" t="s">
        <v>117</v>
      </c>
      <c r="C23" s="92" t="s">
        <v>544</v>
      </c>
      <c r="D23" s="92" t="s">
        <v>821</v>
      </c>
      <c r="E23" s="92" t="str">
        <f t="shared" si="1"/>
        <v>ENTITYflg_act_physcl_rsk</v>
      </c>
      <c r="F23" s="90" t="s">
        <v>118</v>
      </c>
      <c r="G23" t="s">
        <v>24</v>
      </c>
      <c r="H23" t="s">
        <v>610</v>
      </c>
      <c r="I23" t="s">
        <v>682</v>
      </c>
      <c r="J23" t="s">
        <v>682</v>
      </c>
      <c r="L23" t="str">
        <f>+IF(IFERROR(VLOOKUP(CONCATENATE(F23,H23),'2. Script '!A:A,1,FALSE),"#")=CONCATENATE(F23,H23),"Y","N")</f>
        <v>N</v>
      </c>
      <c r="M23" t="str">
        <f t="shared" si="0"/>
        <v>N</v>
      </c>
    </row>
    <row r="24" spans="2:13">
      <c r="B24" s="92" t="s">
        <v>117</v>
      </c>
      <c r="C24" s="92" t="s">
        <v>100</v>
      </c>
      <c r="D24" s="92" t="s">
        <v>769</v>
      </c>
      <c r="E24" s="92" t="str">
        <f t="shared" si="1"/>
        <v>ENTITYflg_chrnc_physcl_rsk</v>
      </c>
      <c r="F24" s="90" t="s">
        <v>118</v>
      </c>
      <c r="G24" t="s">
        <v>24</v>
      </c>
      <c r="H24" t="s">
        <v>611</v>
      </c>
      <c r="I24" t="s">
        <v>682</v>
      </c>
      <c r="J24" t="s">
        <v>682</v>
      </c>
      <c r="L24" t="str">
        <f>+IF(IFERROR(VLOOKUP(CONCATENATE(F24,H24),'2. Script '!A:A,1,FALSE),"#")=CONCATENATE(F24,H24),"Y","N")</f>
        <v>N</v>
      </c>
      <c r="M24" t="str">
        <f t="shared" si="0"/>
        <v>N</v>
      </c>
    </row>
    <row r="25" spans="2:13">
      <c r="B25" s="92" t="s">
        <v>117</v>
      </c>
      <c r="C25" s="92" t="s">
        <v>545</v>
      </c>
      <c r="D25" s="92" t="s">
        <v>822</v>
      </c>
      <c r="E25" s="92" t="str">
        <f t="shared" si="1"/>
        <v>ENTITYpst_cd</v>
      </c>
      <c r="F25" s="90" t="s">
        <v>118</v>
      </c>
      <c r="G25" t="s">
        <v>24</v>
      </c>
      <c r="H25" s="93" t="s">
        <v>612</v>
      </c>
      <c r="I25" t="s">
        <v>683</v>
      </c>
      <c r="J25" t="s">
        <v>683</v>
      </c>
      <c r="L25" t="str">
        <f>+IF(IFERROR(VLOOKUP(CONCATENATE(F25,H25),'2. Script '!A:A,1,FALSE),"#")=CONCATENATE(F25,H25),"Y","N")</f>
        <v>N</v>
      </c>
      <c r="M25" t="str">
        <f t="shared" si="0"/>
        <v>N</v>
      </c>
    </row>
    <row r="26" spans="2:13">
      <c r="B26" s="92" t="s">
        <v>117</v>
      </c>
      <c r="C26" s="92" t="s">
        <v>517</v>
      </c>
      <c r="D26" s="92" t="s">
        <v>823</v>
      </c>
      <c r="E26" s="92" t="str">
        <f t="shared" si="1"/>
        <v>ENTITYesg_sbsctr</v>
      </c>
      <c r="F26" s="90" t="s">
        <v>118</v>
      </c>
      <c r="G26" t="s">
        <v>24</v>
      </c>
      <c r="H26" t="s">
        <v>684</v>
      </c>
      <c r="I26" t="s">
        <v>682</v>
      </c>
      <c r="J26" t="s">
        <v>682</v>
      </c>
      <c r="K26" t="s">
        <v>685</v>
      </c>
      <c r="L26" t="str">
        <f>+IF(IFERROR(VLOOKUP(CONCATENATE(F26,H26),'2. Script '!A:A,1,FALSE),"#")=CONCATENATE(F26,H26),"Y","N")</f>
        <v>N</v>
      </c>
      <c r="M26" t="str">
        <f t="shared" si="0"/>
        <v>N</v>
      </c>
    </row>
    <row r="27" spans="2:13">
      <c r="B27" s="92" t="s">
        <v>117</v>
      </c>
      <c r="C27" s="92" t="s">
        <v>585</v>
      </c>
      <c r="D27" s="92" t="s">
        <v>824</v>
      </c>
      <c r="E27" s="92" t="str">
        <f t="shared" si="1"/>
        <v>ENTITYttl_lblty</v>
      </c>
      <c r="F27" s="90" t="s">
        <v>118</v>
      </c>
      <c r="G27" t="s">
        <v>24</v>
      </c>
      <c r="H27" s="93" t="s">
        <v>613</v>
      </c>
      <c r="I27" t="s">
        <v>683</v>
      </c>
      <c r="J27" t="s">
        <v>683</v>
      </c>
      <c r="L27" t="str">
        <f>+IF(IFERROR(VLOOKUP(CONCATENATE(F27,H27),'2. Script '!A:A,1,FALSE),"#")=CONCATENATE(F27,H27),"Y","N")</f>
        <v>N</v>
      </c>
      <c r="M27" t="str">
        <f t="shared" si="0"/>
        <v>N</v>
      </c>
    </row>
    <row r="28" spans="2:13">
      <c r="B28" s="92" t="s">
        <v>117</v>
      </c>
      <c r="C28" s="92" t="s">
        <v>400</v>
      </c>
      <c r="D28" s="92" t="s">
        <v>825</v>
      </c>
      <c r="E28" s="92" t="str">
        <f t="shared" si="1"/>
        <v>ENTITYisin</v>
      </c>
      <c r="F28" s="90" t="s">
        <v>118</v>
      </c>
      <c r="G28" t="s">
        <v>24</v>
      </c>
      <c r="H28" s="93" t="s">
        <v>614</v>
      </c>
      <c r="I28" t="s">
        <v>683</v>
      </c>
      <c r="J28" t="s">
        <v>683</v>
      </c>
      <c r="L28" t="str">
        <f>+IF(IFERROR(VLOOKUP(CONCATENATE(F28,H28),'2. Script '!A:A,1,FALSE),"#")=CONCATENATE(F28,H28),"Y","N")</f>
        <v>N</v>
      </c>
      <c r="M28" t="str">
        <f t="shared" si="0"/>
        <v>N</v>
      </c>
    </row>
    <row r="29" spans="2:13">
      <c r="B29" s="92" t="s">
        <v>117</v>
      </c>
      <c r="C29" s="92" t="s">
        <v>542</v>
      </c>
      <c r="D29" s="92" t="s">
        <v>826</v>
      </c>
      <c r="E29" s="92" t="str">
        <f t="shared" si="1"/>
        <v>ENTITYgrp_annl_trnvr_le</v>
      </c>
      <c r="F29" s="90" t="s">
        <v>118</v>
      </c>
      <c r="G29" t="s">
        <v>24</v>
      </c>
      <c r="H29" s="93" t="s">
        <v>615</v>
      </c>
      <c r="I29" t="s">
        <v>683</v>
      </c>
      <c r="J29" t="s">
        <v>683</v>
      </c>
      <c r="L29" t="str">
        <f>+IF(IFERROR(VLOOKUP(CONCATENATE(F29,H29),'2. Script '!A:A,1,FALSE),"#")=CONCATENATE(F29,H29),"Y","N")</f>
        <v>N</v>
      </c>
      <c r="M29" t="str">
        <f t="shared" si="0"/>
        <v>N</v>
      </c>
    </row>
    <row r="30" spans="2:13">
      <c r="B30" s="92" t="s">
        <v>117</v>
      </c>
      <c r="C30" s="92" t="s">
        <v>405</v>
      </c>
      <c r="D30" s="92" t="s">
        <v>827</v>
      </c>
      <c r="E30" s="92" t="str">
        <f t="shared" si="1"/>
        <v>ENTITYgrp_ttl_lblty</v>
      </c>
      <c r="F30" s="90" t="s">
        <v>118</v>
      </c>
      <c r="G30" t="s">
        <v>24</v>
      </c>
      <c r="H30" s="93" t="s">
        <v>616</v>
      </c>
      <c r="I30" t="s">
        <v>683</v>
      </c>
      <c r="J30" t="s">
        <v>683</v>
      </c>
      <c r="L30" t="str">
        <f>+IF(IFERROR(VLOOKUP(CONCATENATE(F30,H30),'2. Script '!A:A,1,FALSE),"#")=CONCATENATE(F30,H30),"Y","N")</f>
        <v>N</v>
      </c>
      <c r="M30" t="str">
        <f t="shared" si="0"/>
        <v>N</v>
      </c>
    </row>
    <row r="31" spans="2:13">
      <c r="B31" s="92" t="s">
        <v>117</v>
      </c>
      <c r="C31" s="92" t="s">
        <v>443</v>
      </c>
      <c r="D31" s="92" t="s">
        <v>828</v>
      </c>
      <c r="E31" s="92" t="str">
        <f t="shared" si="1"/>
        <v>ENTITYflg_grp_nfrd_applcblty</v>
      </c>
      <c r="F31" s="90" t="s">
        <v>118</v>
      </c>
      <c r="G31" t="s">
        <v>24</v>
      </c>
      <c r="H31" t="s">
        <v>617</v>
      </c>
      <c r="I31" t="s">
        <v>683</v>
      </c>
      <c r="J31" t="s">
        <v>683</v>
      </c>
      <c r="L31" t="str">
        <f>+IF(IFERROR(VLOOKUP(CONCATENATE(F31,H31),'2. Script '!A:A,1,FALSE),"#")=CONCATENATE(F31,H31),"Y","N")</f>
        <v>N</v>
      </c>
      <c r="M31" t="str">
        <f t="shared" si="0"/>
        <v>N</v>
      </c>
    </row>
    <row r="32" spans="2:13">
      <c r="B32" s="92" t="s">
        <v>117</v>
      </c>
      <c r="C32" s="92" t="s">
        <v>411</v>
      </c>
      <c r="D32" s="92" t="s">
        <v>829</v>
      </c>
      <c r="E32" s="92" t="str">
        <f t="shared" si="1"/>
        <v>ENTITYgrp_emssns_scp1</v>
      </c>
      <c r="F32" s="90" t="s">
        <v>118</v>
      </c>
      <c r="G32" t="s">
        <v>24</v>
      </c>
      <c r="H32" t="s">
        <v>618</v>
      </c>
      <c r="I32" t="s">
        <v>683</v>
      </c>
      <c r="J32" t="s">
        <v>683</v>
      </c>
      <c r="L32" t="str">
        <f>+IF(IFERROR(VLOOKUP(CONCATENATE(F32,H32),'2. Script '!A:A,1,FALSE),"#")=CONCATENATE(F32,H32),"Y","N")</f>
        <v>N</v>
      </c>
      <c r="M32" t="str">
        <f t="shared" si="0"/>
        <v>N</v>
      </c>
    </row>
    <row r="33" spans="2:13">
      <c r="B33" s="92" t="s">
        <v>117</v>
      </c>
      <c r="C33" s="92" t="s">
        <v>412</v>
      </c>
      <c r="D33" s="92" t="s">
        <v>830</v>
      </c>
      <c r="E33" s="92" t="str">
        <f t="shared" si="1"/>
        <v>ENTITYgrp_emssns_scp2</v>
      </c>
      <c r="F33" s="90" t="s">
        <v>118</v>
      </c>
      <c r="G33" t="s">
        <v>24</v>
      </c>
      <c r="H33" t="s">
        <v>619</v>
      </c>
      <c r="I33" t="s">
        <v>683</v>
      </c>
      <c r="J33" t="s">
        <v>683</v>
      </c>
      <c r="L33" t="str">
        <f>+IF(IFERROR(VLOOKUP(CONCATENATE(F33,H33),'2. Script '!A:A,1,FALSE),"#")=CONCATENATE(F33,H33),"Y","N")</f>
        <v>N</v>
      </c>
      <c r="M33" t="str">
        <f t="shared" si="0"/>
        <v>N</v>
      </c>
    </row>
    <row r="34" spans="2:13">
      <c r="B34" s="92" t="s">
        <v>117</v>
      </c>
      <c r="C34" s="92" t="s">
        <v>413</v>
      </c>
      <c r="D34" s="92" t="s">
        <v>831</v>
      </c>
      <c r="E34" s="92" t="str">
        <f t="shared" si="1"/>
        <v>ENTITYgrp_emssns_scp3</v>
      </c>
      <c r="F34" s="90" t="s">
        <v>118</v>
      </c>
      <c r="G34" t="s">
        <v>24</v>
      </c>
      <c r="H34" t="s">
        <v>620</v>
      </c>
      <c r="I34" t="s">
        <v>683</v>
      </c>
      <c r="J34" t="s">
        <v>683</v>
      </c>
      <c r="L34" t="str">
        <f>+IF(IFERROR(VLOOKUP(CONCATENATE(F34,H34),'2. Script '!A:A,1,FALSE),"#")=CONCATENATE(F34,H34),"Y","N")</f>
        <v>N</v>
      </c>
      <c r="M34" t="str">
        <f t="shared" si="0"/>
        <v>N</v>
      </c>
    </row>
    <row r="35" spans="2:13">
      <c r="B35" s="92" t="s">
        <v>117</v>
      </c>
      <c r="C35" s="92" t="s">
        <v>444</v>
      </c>
      <c r="D35" s="92" t="s">
        <v>832</v>
      </c>
      <c r="E35" s="92" t="str">
        <f t="shared" si="1"/>
        <v>PROTECTIONtyp_ep_scr</v>
      </c>
      <c r="F35" s="90" t="s">
        <v>119</v>
      </c>
      <c r="G35" t="s">
        <v>30</v>
      </c>
      <c r="H35" t="s">
        <v>621</v>
      </c>
      <c r="I35" t="s">
        <v>683</v>
      </c>
      <c r="J35" t="s">
        <v>683</v>
      </c>
      <c r="L35" t="str">
        <f>+IF(IFERROR(VLOOKUP(CONCATENATE(F35,H35),'2. Script '!A:A,1,FALSE),"#")=CONCATENATE(F35,H35),"Y","N")</f>
        <v>N</v>
      </c>
      <c r="M35" t="str">
        <f t="shared" ref="M35:M66" si="2">+IF(IFERROR(VLOOKUP(CONCATENATE(F35,H35),D:D,1,FALSE),"#")=CONCATENATE(F35,H35),"Y","N")</f>
        <v>N</v>
      </c>
    </row>
    <row r="36" spans="2:13">
      <c r="B36" s="92" t="s">
        <v>117</v>
      </c>
      <c r="C36" s="92" t="s">
        <v>86</v>
      </c>
      <c r="D36" s="92" t="s">
        <v>772</v>
      </c>
      <c r="E36" s="92" t="str">
        <f t="shared" si="1"/>
        <v>PROTECTIONep_scr</v>
      </c>
      <c r="F36" s="90" t="s">
        <v>119</v>
      </c>
      <c r="G36" t="s">
        <v>30</v>
      </c>
      <c r="H36" t="s">
        <v>622</v>
      </c>
      <c r="I36" t="s">
        <v>683</v>
      </c>
      <c r="J36" t="s">
        <v>683</v>
      </c>
      <c r="L36" t="str">
        <f>+IF(IFERROR(VLOOKUP(CONCATENATE(F36,H36),'2. Script '!A:A,1,FALSE),"#")=CONCATENATE(F36,H36),"Y","N")</f>
        <v>N</v>
      </c>
      <c r="M36" t="str">
        <f t="shared" si="2"/>
        <v>N</v>
      </c>
    </row>
    <row r="37" spans="2:13">
      <c r="B37" s="92" t="s">
        <v>117</v>
      </c>
      <c r="C37" s="92" t="s">
        <v>466</v>
      </c>
      <c r="D37" s="92" t="s">
        <v>833</v>
      </c>
      <c r="E37" s="92" t="str">
        <f t="shared" si="1"/>
        <v>PROTECTIONtyp_epc_lbl</v>
      </c>
      <c r="F37" s="90" t="s">
        <v>119</v>
      </c>
      <c r="G37" t="s">
        <v>30</v>
      </c>
      <c r="H37" t="s">
        <v>623</v>
      </c>
      <c r="I37" t="s">
        <v>683</v>
      </c>
      <c r="J37" t="s">
        <v>683</v>
      </c>
      <c r="L37" t="str">
        <f>+IF(IFERROR(VLOOKUP(CONCATENATE(F37,H37),'2. Script '!A:A,1,FALSE),"#")=CONCATENATE(F37,H37),"Y","N")</f>
        <v>N</v>
      </c>
      <c r="M37" t="str">
        <f t="shared" si="2"/>
        <v>N</v>
      </c>
    </row>
    <row r="38" spans="2:13">
      <c r="B38" s="92" t="s">
        <v>117</v>
      </c>
      <c r="C38" s="92" t="s">
        <v>467</v>
      </c>
      <c r="D38" s="92" t="s">
        <v>834</v>
      </c>
      <c r="E38" s="92" t="str">
        <f t="shared" si="1"/>
        <v>PROTECTIONepc_lbl</v>
      </c>
      <c r="F38" s="90" t="s">
        <v>119</v>
      </c>
      <c r="G38" t="s">
        <v>30</v>
      </c>
      <c r="H38" t="s">
        <v>624</v>
      </c>
      <c r="I38" t="s">
        <v>683</v>
      </c>
      <c r="J38" t="s">
        <v>683</v>
      </c>
      <c r="L38" t="str">
        <f>+IF(IFERROR(VLOOKUP(CONCATENATE(F38,H38),'2. Script '!A:A,1,FALSE),"#")=CONCATENATE(F38,H38),"Y","N")</f>
        <v>N</v>
      </c>
      <c r="M38" t="str">
        <f t="shared" si="2"/>
        <v>N</v>
      </c>
    </row>
    <row r="39" spans="2:13">
      <c r="B39" s="92" t="s">
        <v>117</v>
      </c>
      <c r="C39" s="92" t="s">
        <v>468</v>
      </c>
      <c r="D39" s="92" t="s">
        <v>835</v>
      </c>
      <c r="E39" s="92" t="str">
        <f t="shared" si="1"/>
        <v>PROTECTIONemssns_scp1_prtctn</v>
      </c>
      <c r="F39" s="90" t="s">
        <v>119</v>
      </c>
      <c r="G39" t="s">
        <v>30</v>
      </c>
      <c r="H39" t="s">
        <v>625</v>
      </c>
      <c r="I39" t="s">
        <v>683</v>
      </c>
      <c r="J39" t="s">
        <v>683</v>
      </c>
      <c r="L39" t="str">
        <f>+IF(IFERROR(VLOOKUP(CONCATENATE(F39,H39),'2. Script '!A:A,1,FALSE),"#")=CONCATENATE(F39,H39),"Y","N")</f>
        <v>N</v>
      </c>
      <c r="M39" t="str">
        <f t="shared" si="2"/>
        <v>N</v>
      </c>
    </row>
    <row r="40" spans="2:13">
      <c r="B40" s="92" t="s">
        <v>117</v>
      </c>
      <c r="C40" s="92" t="s">
        <v>469</v>
      </c>
      <c r="D40" s="92" t="s">
        <v>836</v>
      </c>
      <c r="E40" s="92" t="str">
        <f t="shared" si="1"/>
        <v>PROTECTIONemssns_scp2_prtctn</v>
      </c>
      <c r="F40" s="90" t="s">
        <v>119</v>
      </c>
      <c r="G40" t="s">
        <v>30</v>
      </c>
      <c r="H40" t="s">
        <v>626</v>
      </c>
      <c r="I40" t="s">
        <v>683</v>
      </c>
      <c r="J40" t="s">
        <v>683</v>
      </c>
      <c r="L40" t="str">
        <f>+IF(IFERROR(VLOOKUP(CONCATENATE(F40,H40),'2. Script '!A:A,1,FALSE),"#")=CONCATENATE(F40,H40),"Y","N")</f>
        <v>N</v>
      </c>
      <c r="M40" t="str">
        <f t="shared" si="2"/>
        <v>N</v>
      </c>
    </row>
    <row r="41" spans="2:13">
      <c r="B41" s="92" t="s">
        <v>117</v>
      </c>
      <c r="C41" s="92" t="s">
        <v>470</v>
      </c>
      <c r="D41" s="92" t="s">
        <v>837</v>
      </c>
      <c r="E41" s="92" t="str">
        <f t="shared" si="1"/>
        <v>PROTECTIONemssns_scp3_prtctn</v>
      </c>
      <c r="F41" s="90" t="s">
        <v>119</v>
      </c>
      <c r="G41" t="s">
        <v>30</v>
      </c>
      <c r="H41" t="s">
        <v>627</v>
      </c>
      <c r="I41" t="s">
        <v>683</v>
      </c>
      <c r="J41" t="s">
        <v>683</v>
      </c>
      <c r="L41" t="str">
        <f>+IF(IFERROR(VLOOKUP(CONCATENATE(F41,H41),'2. Script '!A:A,1,FALSE),"#")=CONCATENATE(F41,H41),"Y","N")</f>
        <v>N</v>
      </c>
      <c r="M41" t="str">
        <f t="shared" si="2"/>
        <v>N</v>
      </c>
    </row>
    <row r="42" spans="2:13">
      <c r="B42" s="92" t="s">
        <v>117</v>
      </c>
      <c r="C42" s="92" t="s">
        <v>471</v>
      </c>
      <c r="D42" s="92" t="s">
        <v>838</v>
      </c>
      <c r="E42" s="92" t="str">
        <f t="shared" si="1"/>
        <v>PROTECTIONmthd_usd_prtctn_scp_1</v>
      </c>
      <c r="F42" s="90" t="s">
        <v>119</v>
      </c>
      <c r="G42" t="s">
        <v>30</v>
      </c>
      <c r="H42" t="s">
        <v>628</v>
      </c>
      <c r="I42" t="s">
        <v>683</v>
      </c>
      <c r="J42" t="s">
        <v>683</v>
      </c>
      <c r="L42" t="str">
        <f>+IF(IFERROR(VLOOKUP(CONCATENATE(F42,H42),'2. Script '!A:A,1,FALSE),"#")=CONCATENATE(F42,H42),"Y","N")</f>
        <v>N</v>
      </c>
      <c r="M42" t="str">
        <f t="shared" si="2"/>
        <v>N</v>
      </c>
    </row>
    <row r="43" spans="2:13">
      <c r="B43" s="92" t="s">
        <v>117</v>
      </c>
      <c r="C43" s="92" t="s">
        <v>472</v>
      </c>
      <c r="D43" s="92" t="s">
        <v>839</v>
      </c>
      <c r="E43" s="92" t="str">
        <f t="shared" si="1"/>
        <v>PROTECTIONmthd_usd_prtctn_scp_2</v>
      </c>
      <c r="F43" s="90" t="s">
        <v>119</v>
      </c>
      <c r="G43" t="s">
        <v>30</v>
      </c>
      <c r="H43" t="s">
        <v>629</v>
      </c>
      <c r="I43" t="s">
        <v>683</v>
      </c>
      <c r="J43" t="s">
        <v>683</v>
      </c>
      <c r="L43" t="str">
        <f>+IF(IFERROR(VLOOKUP(CONCATENATE(F43,H43),'2. Script '!A:A,1,FALSE),"#")=CONCATENATE(F43,H43),"Y","N")</f>
        <v>N</v>
      </c>
      <c r="M43" t="str">
        <f t="shared" si="2"/>
        <v>N</v>
      </c>
    </row>
    <row r="44" spans="2:13">
      <c r="B44" s="92" t="s">
        <v>117</v>
      </c>
      <c r="C44" s="92" t="s">
        <v>473</v>
      </c>
      <c r="D44" s="92" t="s">
        <v>840</v>
      </c>
      <c r="E44" s="92" t="str">
        <f t="shared" si="1"/>
        <v>PROTECTIONmthd_usd_prtctn_scp_3</v>
      </c>
      <c r="F44" s="90" t="s">
        <v>119</v>
      </c>
      <c r="G44" t="s">
        <v>30</v>
      </c>
      <c r="H44" t="s">
        <v>630</v>
      </c>
      <c r="I44" t="s">
        <v>683</v>
      </c>
      <c r="J44" t="s">
        <v>683</v>
      </c>
      <c r="L44" t="str">
        <f>+IF(IFERROR(VLOOKUP(CONCATENATE(F44,H44),'2. Script '!A:A,1,FALSE),"#")=CONCATENATE(F44,H44),"Y","N")</f>
        <v>N</v>
      </c>
      <c r="M44" t="str">
        <f t="shared" si="2"/>
        <v>N</v>
      </c>
    </row>
    <row r="45" spans="2:13">
      <c r="B45" s="92" t="s">
        <v>117</v>
      </c>
      <c r="C45" s="92" t="s">
        <v>547</v>
      </c>
      <c r="D45" s="92" t="s">
        <v>841</v>
      </c>
      <c r="E45" s="92" t="str">
        <f t="shared" si="1"/>
        <v>PROTECTIONflg_act_physcl_rsk</v>
      </c>
      <c r="F45" s="90" t="s">
        <v>119</v>
      </c>
      <c r="G45" t="s">
        <v>30</v>
      </c>
      <c r="H45" t="s">
        <v>610</v>
      </c>
      <c r="I45" t="s">
        <v>682</v>
      </c>
      <c r="J45" t="s">
        <v>682</v>
      </c>
      <c r="L45" t="str">
        <f>+IF(IFERROR(VLOOKUP(CONCATENATE(F45,H45),'2. Script '!A:A,1,FALSE),"#")=CONCATENATE(F45,H45),"Y","N")</f>
        <v>N</v>
      </c>
      <c r="M45" t="str">
        <f t="shared" si="2"/>
        <v>N</v>
      </c>
    </row>
    <row r="46" spans="2:13">
      <c r="B46" s="92" t="s">
        <v>117</v>
      </c>
      <c r="C46" s="92" t="s">
        <v>502</v>
      </c>
      <c r="D46" s="92" t="s">
        <v>842</v>
      </c>
      <c r="E46" s="92" t="str">
        <f t="shared" si="1"/>
        <v>PROTECTIONflg_chrnc_physcl_rsk</v>
      </c>
      <c r="F46" s="90" t="s">
        <v>119</v>
      </c>
      <c r="G46" t="s">
        <v>30</v>
      </c>
      <c r="H46" t="s">
        <v>611</v>
      </c>
      <c r="I46" t="s">
        <v>682</v>
      </c>
      <c r="J46" t="s">
        <v>682</v>
      </c>
      <c r="L46" t="str">
        <f>+IF(IFERROR(VLOOKUP(CONCATENATE(F46,H46),'2. Script '!A:A,1,FALSE),"#")=CONCATENATE(F46,H46),"Y","N")</f>
        <v>N</v>
      </c>
      <c r="M46" t="str">
        <f t="shared" si="2"/>
        <v>N</v>
      </c>
    </row>
    <row r="47" spans="2:13">
      <c r="B47" s="92" t="s">
        <v>117</v>
      </c>
      <c r="C47" s="92" t="s">
        <v>503</v>
      </c>
      <c r="D47" s="92" t="s">
        <v>843</v>
      </c>
      <c r="E47" s="92" t="str">
        <f t="shared" si="1"/>
        <v>INSTRUMENTrsk_mtgtd_cct</v>
      </c>
      <c r="F47" s="90" t="s">
        <v>117</v>
      </c>
      <c r="G47" t="s">
        <v>23</v>
      </c>
      <c r="H47" t="s">
        <v>631</v>
      </c>
      <c r="I47" t="s">
        <v>683</v>
      </c>
      <c r="J47" t="s">
        <v>683</v>
      </c>
      <c r="L47" t="str">
        <f>+IF(IFERROR(VLOOKUP(CONCATENATE(F47,H47),'2. Script '!A:A,1,FALSE),"#")=CONCATENATE(F47,H47),"Y","N")</f>
        <v>N</v>
      </c>
      <c r="M47" t="str">
        <f t="shared" si="2"/>
        <v>N</v>
      </c>
    </row>
    <row r="48" spans="2:13">
      <c r="B48" s="92" t="s">
        <v>117</v>
      </c>
      <c r="C48" s="92" t="s">
        <v>414</v>
      </c>
      <c r="D48" s="92" t="s">
        <v>844</v>
      </c>
      <c r="E48" s="92" t="str">
        <f t="shared" si="1"/>
        <v>INSTRUMENTrsk_mtgtd_ccp</v>
      </c>
      <c r="F48" s="90" t="s">
        <v>117</v>
      </c>
      <c r="G48" t="s">
        <v>23</v>
      </c>
      <c r="H48" t="s">
        <v>632</v>
      </c>
      <c r="I48" t="s">
        <v>682</v>
      </c>
      <c r="J48" t="s">
        <v>682</v>
      </c>
      <c r="L48" t="str">
        <f>+IF(IFERROR(VLOOKUP(CONCATENATE(F48,H48),'2. Script '!A:A,1,FALSE),"#")=CONCATENATE(F48,H48),"Y","N")</f>
        <v>N</v>
      </c>
      <c r="M48" t="str">
        <f t="shared" si="2"/>
        <v>N</v>
      </c>
    </row>
    <row r="49" spans="2:13">
      <c r="B49" s="92" t="s">
        <v>117</v>
      </c>
      <c r="C49" s="92" t="s">
        <v>415</v>
      </c>
      <c r="D49" s="92" t="s">
        <v>845</v>
      </c>
      <c r="E49" s="92" t="str">
        <f t="shared" si="1"/>
        <v>INSTR_ACTIVITYenvrnmntl_objctv</v>
      </c>
      <c r="F49" s="90" t="s">
        <v>312</v>
      </c>
      <c r="G49" t="s">
        <v>146</v>
      </c>
      <c r="H49" t="s">
        <v>633</v>
      </c>
      <c r="I49" t="s">
        <v>683</v>
      </c>
      <c r="J49" t="s">
        <v>683</v>
      </c>
      <c r="L49" t="str">
        <f>+IF(IFERROR(VLOOKUP(CONCATENATE(F49,H49),'2. Script '!A:A,1,FALSE),"#")=CONCATENATE(F49,H49),"Y","N")</f>
        <v>N</v>
      </c>
      <c r="M49" t="str">
        <f t="shared" si="2"/>
        <v>N</v>
      </c>
    </row>
    <row r="50" spans="2:13">
      <c r="B50" s="92" t="s">
        <v>117</v>
      </c>
      <c r="C50" s="92" t="s">
        <v>511</v>
      </c>
      <c r="D50" s="92" t="s">
        <v>846</v>
      </c>
      <c r="E50" s="92" t="str">
        <f t="shared" si="1"/>
        <v>INSTR_ACTIVITYtyp_actvty</v>
      </c>
      <c r="F50" s="90" t="s">
        <v>312</v>
      </c>
      <c r="G50" t="s">
        <v>146</v>
      </c>
      <c r="H50" t="s">
        <v>634</v>
      </c>
      <c r="I50" t="s">
        <v>683</v>
      </c>
      <c r="J50" t="s">
        <v>683</v>
      </c>
      <c r="L50" t="str">
        <f>+IF(IFERROR(VLOOKUP(CONCATENATE(F50,H50),'2. Script '!A:A,1,FALSE),"#")=CONCATENATE(F50,H50),"Y","N")</f>
        <v>N</v>
      </c>
      <c r="M50" t="str">
        <f t="shared" si="2"/>
        <v>N</v>
      </c>
    </row>
    <row r="51" spans="2:13">
      <c r="B51" s="92" t="s">
        <v>117</v>
      </c>
      <c r="C51" s="92" t="s">
        <v>416</v>
      </c>
      <c r="D51" s="92" t="s">
        <v>847</v>
      </c>
      <c r="E51" s="92" t="str">
        <f t="shared" si="1"/>
        <v>INSTRUMENTlns_clltrlzd_clssfctn</v>
      </c>
      <c r="F51" s="90" t="s">
        <v>117</v>
      </c>
      <c r="G51" t="s">
        <v>23</v>
      </c>
      <c r="H51" t="s">
        <v>635</v>
      </c>
      <c r="I51" t="s">
        <v>683</v>
      </c>
      <c r="J51" t="s">
        <v>683</v>
      </c>
      <c r="L51" t="str">
        <f>+IF(IFERROR(VLOOKUP(CONCATENATE(F51,H51),'2. Script '!A:A,1,FALSE),"#")=CONCATENATE(F51,H51),"Y","N")</f>
        <v>N</v>
      </c>
      <c r="M51" t="str">
        <f t="shared" si="2"/>
        <v>N</v>
      </c>
    </row>
    <row r="52" spans="2:13">
      <c r="B52" s="92" t="s">
        <v>117</v>
      </c>
      <c r="C52" s="92" t="s">
        <v>512</v>
      </c>
      <c r="D52" s="92" t="s">
        <v>848</v>
      </c>
      <c r="E52" s="92" t="str">
        <f t="shared" si="1"/>
        <v>INSTRUMENTmthd_usd_instrmnt_scp_1</v>
      </c>
      <c r="F52" s="90" t="s">
        <v>117</v>
      </c>
      <c r="G52" t="s">
        <v>23</v>
      </c>
      <c r="H52" t="s">
        <v>636</v>
      </c>
      <c r="I52" t="s">
        <v>682</v>
      </c>
      <c r="J52" t="s">
        <v>682</v>
      </c>
      <c r="L52" t="str">
        <f>+IF(IFERROR(VLOOKUP(CONCATENATE(F52,H52),'2. Script '!A:A,1,FALSE),"#")=CONCATENATE(F52,H52),"Y","N")</f>
        <v>N</v>
      </c>
      <c r="M52" t="str">
        <f t="shared" si="2"/>
        <v>N</v>
      </c>
    </row>
    <row r="53" spans="2:13">
      <c r="B53" s="92" t="s">
        <v>117</v>
      </c>
      <c r="C53" s="92" t="s">
        <v>417</v>
      </c>
      <c r="D53" s="92" t="s">
        <v>849</v>
      </c>
      <c r="E53" s="92" t="str">
        <f t="shared" si="1"/>
        <v>INSTRUMENTmthd_usd_instrmnt_scp_2</v>
      </c>
      <c r="F53" s="90" t="s">
        <v>117</v>
      </c>
      <c r="G53" t="s">
        <v>23</v>
      </c>
      <c r="H53" t="s">
        <v>637</v>
      </c>
      <c r="I53" t="s">
        <v>682</v>
      </c>
      <c r="J53" t="s">
        <v>682</v>
      </c>
      <c r="L53" t="str">
        <f>+IF(IFERROR(VLOOKUP(CONCATENATE(F53,H53),'2. Script '!A:A,1,FALSE),"#")=CONCATENATE(F53,H53),"Y","N")</f>
        <v>N</v>
      </c>
      <c r="M53" t="str">
        <f t="shared" si="2"/>
        <v>N</v>
      </c>
    </row>
    <row r="54" spans="2:13">
      <c r="B54" s="92" t="s">
        <v>117</v>
      </c>
      <c r="C54" s="92" t="s">
        <v>509</v>
      </c>
      <c r="D54" s="92" t="s">
        <v>850</v>
      </c>
      <c r="E54" s="92" t="str">
        <f t="shared" si="1"/>
        <v>INSTRUMENTmthd_usd_instrmnt_scp_3</v>
      </c>
      <c r="F54" s="90" t="s">
        <v>117</v>
      </c>
      <c r="G54" t="s">
        <v>23</v>
      </c>
      <c r="H54" t="s">
        <v>638</v>
      </c>
      <c r="I54" t="s">
        <v>682</v>
      </c>
      <c r="J54" t="s">
        <v>682</v>
      </c>
      <c r="L54" t="str">
        <f>+IF(IFERROR(VLOOKUP(CONCATENATE(F54,H54),'2. Script '!A:A,1,FALSE),"#")=CONCATENATE(F54,H54),"Y","N")</f>
        <v>N</v>
      </c>
      <c r="M54" t="str">
        <f t="shared" si="2"/>
        <v>N</v>
      </c>
    </row>
    <row r="55" spans="2:13">
      <c r="B55" s="92" t="s">
        <v>117</v>
      </c>
      <c r="C55" s="92" t="s">
        <v>418</v>
      </c>
      <c r="D55" s="92" t="s">
        <v>851</v>
      </c>
      <c r="E55" s="92" t="str">
        <f t="shared" si="1"/>
        <v>INSTRUMENTsstnbl_ctgry_txnmy</v>
      </c>
      <c r="F55" s="90" t="s">
        <v>117</v>
      </c>
      <c r="G55" t="s">
        <v>23</v>
      </c>
      <c r="H55" t="s">
        <v>639</v>
      </c>
      <c r="I55" t="s">
        <v>683</v>
      </c>
      <c r="J55" t="s">
        <v>683</v>
      </c>
      <c r="L55" t="str">
        <f>+IF(IFERROR(VLOOKUP(CONCATENATE(F55,H55),'2. Script '!A:A,1,FALSE),"#")=CONCATENATE(F55,H55),"Y","N")</f>
        <v>N</v>
      </c>
      <c r="M55" t="str">
        <f t="shared" si="2"/>
        <v>N</v>
      </c>
    </row>
    <row r="56" spans="2:13">
      <c r="B56" s="92" t="s">
        <v>117</v>
      </c>
      <c r="C56" s="92" t="s">
        <v>508</v>
      </c>
      <c r="D56" s="92" t="s">
        <v>852</v>
      </c>
      <c r="E56" s="92" t="str">
        <f t="shared" si="1"/>
        <v>INSTRUMENTdt_rfrnc</v>
      </c>
      <c r="F56" s="90" t="s">
        <v>117</v>
      </c>
      <c r="G56" t="s">
        <v>23</v>
      </c>
      <c r="H56" t="s">
        <v>640</v>
      </c>
      <c r="I56" t="s">
        <v>683</v>
      </c>
      <c r="J56" t="s">
        <v>683</v>
      </c>
      <c r="L56" t="str">
        <f>+IF(IFERROR(VLOOKUP(CONCATENATE(F56,H56),'2. Script '!A:A,1,FALSE),"#")=CONCATENATE(F56,H56),"Y","N")</f>
        <v>N</v>
      </c>
      <c r="M56" t="str">
        <f t="shared" si="2"/>
        <v>N</v>
      </c>
    </row>
    <row r="57" spans="2:13">
      <c r="B57" s="92" t="s">
        <v>117</v>
      </c>
      <c r="C57" s="92" t="s">
        <v>419</v>
      </c>
      <c r="D57" s="92" t="s">
        <v>773</v>
      </c>
      <c r="E57" s="92" t="str">
        <f t="shared" si="1"/>
        <v>INSTRUMENTinstrmnt_id</v>
      </c>
      <c r="F57" s="90" t="s">
        <v>117</v>
      </c>
      <c r="G57" t="s">
        <v>23</v>
      </c>
      <c r="H57" t="s">
        <v>27</v>
      </c>
      <c r="I57" t="s">
        <v>683</v>
      </c>
      <c r="J57" t="s">
        <v>683</v>
      </c>
      <c r="L57" t="str">
        <f>+IF(IFERROR(VLOOKUP(CONCATENATE(F57,H57),'2. Script '!A:A,1,FALSE),"#")=CONCATENATE(F57,H57),"Y","N")</f>
        <v>N</v>
      </c>
      <c r="M57" t="str">
        <f t="shared" si="2"/>
        <v>Y</v>
      </c>
    </row>
    <row r="58" spans="2:13">
      <c r="B58" s="92" t="s">
        <v>117</v>
      </c>
      <c r="C58" s="92" t="s">
        <v>506</v>
      </c>
      <c r="D58" s="92" t="s">
        <v>853</v>
      </c>
      <c r="E58" s="92" t="str">
        <f t="shared" si="1"/>
        <v>INSTRUMENTdt_incptn</v>
      </c>
      <c r="F58" s="90" t="s">
        <v>117</v>
      </c>
      <c r="G58" t="s">
        <v>23</v>
      </c>
      <c r="H58" t="s">
        <v>641</v>
      </c>
      <c r="I58" t="s">
        <v>683</v>
      </c>
      <c r="J58" t="s">
        <v>683</v>
      </c>
      <c r="L58" t="str">
        <f>+IF(IFERROR(VLOOKUP(CONCATENATE(F58,H58),'2. Script '!A:A,1,FALSE),"#")=CONCATENATE(F58,H58),"Y","N")</f>
        <v>N</v>
      </c>
      <c r="M58" t="str">
        <f t="shared" si="2"/>
        <v>N</v>
      </c>
    </row>
    <row r="59" spans="2:13">
      <c r="B59" s="92" t="s">
        <v>117</v>
      </c>
      <c r="C59" s="92" t="s">
        <v>518</v>
      </c>
      <c r="D59" s="92" t="s">
        <v>854</v>
      </c>
      <c r="E59" s="92" t="str">
        <f t="shared" si="1"/>
        <v>INSTRUMENTdflt_stts_instrmnt</v>
      </c>
      <c r="F59" s="90" t="s">
        <v>117</v>
      </c>
      <c r="G59" t="s">
        <v>23</v>
      </c>
      <c r="H59" t="s">
        <v>642</v>
      </c>
      <c r="I59" t="s">
        <v>683</v>
      </c>
      <c r="J59" t="s">
        <v>683</v>
      </c>
      <c r="L59" t="str">
        <f>+IF(IFERROR(VLOOKUP(CONCATENATE(F59,H59),'2. Script '!A:A,1,FALSE),"#")=CONCATENATE(F59,H59),"Y","N")</f>
        <v>N</v>
      </c>
      <c r="M59" t="str">
        <f t="shared" si="2"/>
        <v>Y</v>
      </c>
    </row>
    <row r="60" spans="2:13">
      <c r="B60" s="92" t="s">
        <v>117</v>
      </c>
      <c r="C60" s="92" t="s">
        <v>519</v>
      </c>
      <c r="D60" s="92" t="s">
        <v>855</v>
      </c>
      <c r="E60" s="92" t="str">
        <f t="shared" si="1"/>
        <v>INSTRUMENTimprmnt_stts</v>
      </c>
      <c r="F60" s="90" t="s">
        <v>117</v>
      </c>
      <c r="G60" t="s">
        <v>23</v>
      </c>
      <c r="H60" t="s">
        <v>643</v>
      </c>
      <c r="I60" t="s">
        <v>683</v>
      </c>
      <c r="J60" t="s">
        <v>683</v>
      </c>
      <c r="L60" t="str">
        <f>+IF(IFERROR(VLOOKUP(CONCATENATE(F60,H60),'2. Script '!A:A,1,FALSE),"#")=CONCATENATE(F60,H60),"Y","N")</f>
        <v>N</v>
      </c>
      <c r="M60" t="str">
        <f t="shared" si="2"/>
        <v>Y</v>
      </c>
    </row>
    <row r="61" spans="2:13">
      <c r="B61" s="92" t="s">
        <v>117</v>
      </c>
      <c r="C61" s="92" t="s">
        <v>91</v>
      </c>
      <c r="D61" s="92" t="s">
        <v>778</v>
      </c>
      <c r="E61" s="92" t="str">
        <f t="shared" si="1"/>
        <v>INSTRUMENTprfrmng_stts</v>
      </c>
      <c r="F61" s="90" t="s">
        <v>117</v>
      </c>
      <c r="G61" t="s">
        <v>23</v>
      </c>
      <c r="H61" t="s">
        <v>644</v>
      </c>
      <c r="I61" t="s">
        <v>683</v>
      </c>
      <c r="J61" t="s">
        <v>683</v>
      </c>
      <c r="L61" t="str">
        <f>+IF(IFERROR(VLOOKUP(CONCATENATE(F61,H61),'2. Script '!A:A,1,FALSE),"#")=CONCATENATE(F61,H61),"Y","N")</f>
        <v>N</v>
      </c>
      <c r="M61" t="str">
        <f t="shared" si="2"/>
        <v>Y</v>
      </c>
    </row>
    <row r="62" spans="2:13">
      <c r="B62" s="92" t="s">
        <v>117</v>
      </c>
      <c r="C62" s="92" t="s">
        <v>520</v>
      </c>
      <c r="D62" s="92" t="s">
        <v>856</v>
      </c>
      <c r="E62" s="92" t="str">
        <f t="shared" si="1"/>
        <v>INSTRUMENTprjct_fnnc_ln</v>
      </c>
      <c r="F62" s="90" t="s">
        <v>117</v>
      </c>
      <c r="G62" t="s">
        <v>23</v>
      </c>
      <c r="H62" t="s">
        <v>645</v>
      </c>
      <c r="I62" t="s">
        <v>683</v>
      </c>
      <c r="J62" t="s">
        <v>683</v>
      </c>
      <c r="L62" t="str">
        <f>+IF(IFERROR(VLOOKUP(CONCATENATE(F62,H62),'2. Script '!A:A,1,FALSE),"#")=CONCATENATE(F62,H62),"Y","N")</f>
        <v>N</v>
      </c>
      <c r="M62" t="str">
        <f t="shared" si="2"/>
        <v>Y</v>
      </c>
    </row>
    <row r="63" spans="2:13">
      <c r="B63" s="92" t="s">
        <v>117</v>
      </c>
      <c r="C63" s="92" t="s">
        <v>102</v>
      </c>
      <c r="D63" s="92" t="s">
        <v>790</v>
      </c>
      <c r="E63" s="92" t="str">
        <f t="shared" si="1"/>
        <v>INSTRUMENTtyp_instrmnt</v>
      </c>
      <c r="F63" s="90" t="s">
        <v>117</v>
      </c>
      <c r="G63" t="s">
        <v>23</v>
      </c>
      <c r="H63" t="s">
        <v>646</v>
      </c>
      <c r="I63" t="s">
        <v>683</v>
      </c>
      <c r="J63" t="s">
        <v>683</v>
      </c>
      <c r="L63" t="str">
        <f>+IF(IFERROR(VLOOKUP(CONCATENATE(F63,H63),'2. Script '!A:A,1,FALSE),"#")=CONCATENATE(F63,H63),"Y","N")</f>
        <v>N</v>
      </c>
      <c r="M63" t="str">
        <f t="shared" si="2"/>
        <v>Y</v>
      </c>
    </row>
    <row r="64" spans="2:13">
      <c r="B64" s="92" t="s">
        <v>117</v>
      </c>
      <c r="C64" s="92" t="s">
        <v>446</v>
      </c>
      <c r="D64" s="92" t="s">
        <v>781</v>
      </c>
      <c r="E64" s="92" t="str">
        <f t="shared" si="1"/>
        <v>INSTRUMENTgrss_crryng_amnt_instrmnt</v>
      </c>
      <c r="F64" s="90" t="s">
        <v>117</v>
      </c>
      <c r="G64" t="s">
        <v>23</v>
      </c>
      <c r="H64" t="s">
        <v>647</v>
      </c>
      <c r="I64" t="s">
        <v>683</v>
      </c>
      <c r="J64" t="s">
        <v>683</v>
      </c>
      <c r="L64" t="str">
        <f>+IF(IFERROR(VLOOKUP(CONCATENATE(F64,H64),'2. Script '!A:A,1,FALSE),"#")=CONCATENATE(F64,H64),"Y","N")</f>
        <v>N</v>
      </c>
      <c r="M64" t="str">
        <f t="shared" si="2"/>
        <v>Y</v>
      </c>
    </row>
    <row r="65" spans="2:13">
      <c r="B65" s="92" t="s">
        <v>117</v>
      </c>
      <c r="C65" s="92" t="s">
        <v>448</v>
      </c>
      <c r="D65" s="92" t="s">
        <v>857</v>
      </c>
      <c r="E65" s="92" t="str">
        <f t="shared" si="1"/>
        <v>INSTRUMENTaccmltd_chngs_fv_cr_instrmnt</v>
      </c>
      <c r="F65" s="90" t="s">
        <v>117</v>
      </c>
      <c r="G65" t="s">
        <v>23</v>
      </c>
      <c r="H65" t="s">
        <v>648</v>
      </c>
      <c r="I65" t="s">
        <v>683</v>
      </c>
      <c r="J65" t="s">
        <v>683</v>
      </c>
      <c r="L65" t="str">
        <f>+IF(IFERROR(VLOOKUP(CONCATENATE(F65,H65),'2. Script '!A:A,1,FALSE),"#")=CONCATENATE(F65,H65),"Y","N")</f>
        <v>N</v>
      </c>
      <c r="M65" t="str">
        <f t="shared" si="2"/>
        <v>Y</v>
      </c>
    </row>
    <row r="66" spans="2:13">
      <c r="B66" s="92" t="s">
        <v>117</v>
      </c>
      <c r="C66" s="92" t="s">
        <v>449</v>
      </c>
      <c r="D66" s="92" t="s">
        <v>858</v>
      </c>
      <c r="E66" s="92" t="str">
        <f t="shared" si="1"/>
        <v>INSTRUMENTaccntng_clssfctn</v>
      </c>
      <c r="F66" s="90" t="s">
        <v>117</v>
      </c>
      <c r="G66" t="s">
        <v>23</v>
      </c>
      <c r="H66" t="s">
        <v>649</v>
      </c>
      <c r="I66" t="s">
        <v>683</v>
      </c>
      <c r="J66" t="s">
        <v>683</v>
      </c>
      <c r="L66" t="str">
        <f>+IF(IFERROR(VLOOKUP(CONCATENATE(F66,H66),'2. Script '!A:A,1,FALSE),"#")=CONCATENATE(F66,H66),"Y","N")</f>
        <v>N</v>
      </c>
      <c r="M66" t="str">
        <f t="shared" si="2"/>
        <v>Y</v>
      </c>
    </row>
    <row r="67" spans="2:13">
      <c r="B67" s="92" t="s">
        <v>117</v>
      </c>
      <c r="C67" s="92" t="s">
        <v>477</v>
      </c>
      <c r="D67" s="92" t="s">
        <v>859</v>
      </c>
      <c r="E67" s="92" t="str">
        <f t="shared" si="1"/>
        <v>INSTRUMENTdt_lgl_fnl_mtrty</v>
      </c>
      <c r="F67" s="90" t="s">
        <v>117</v>
      </c>
      <c r="G67" t="s">
        <v>23</v>
      </c>
      <c r="H67" t="s">
        <v>650</v>
      </c>
      <c r="I67" t="s">
        <v>683</v>
      </c>
      <c r="J67" t="s">
        <v>683</v>
      </c>
      <c r="L67" t="str">
        <f>+IF(IFERROR(VLOOKUP(CONCATENATE(F67,H67),'2. Script '!A:A,1,FALSE),"#")=CONCATENATE(F67,H67),"Y","N")</f>
        <v>N</v>
      </c>
      <c r="M67" t="str">
        <f t="shared" ref="M67:M98" si="3">+IF(IFERROR(VLOOKUP(CONCATENATE(F67,H67),D:D,1,FALSE),"#")=CONCATENATE(F67,H67),"Y","N")</f>
        <v>N</v>
      </c>
    </row>
    <row r="68" spans="2:13">
      <c r="B68" s="92" t="s">
        <v>117</v>
      </c>
      <c r="C68" s="92" t="s">
        <v>474</v>
      </c>
      <c r="D68" s="92" t="s">
        <v>860</v>
      </c>
      <c r="E68" s="92" t="str">
        <f t="shared" ref="E68:E131" si="4">+F68&amp;H68</f>
        <v>INSTRUMENTaccmltd_imprmnt_instrmnt</v>
      </c>
      <c r="F68" s="90" t="s">
        <v>117</v>
      </c>
      <c r="G68" t="s">
        <v>23</v>
      </c>
      <c r="H68" t="s">
        <v>651</v>
      </c>
      <c r="I68" t="s">
        <v>683</v>
      </c>
      <c r="J68" t="s">
        <v>683</v>
      </c>
      <c r="L68" t="str">
        <f>+IF(IFERROR(VLOOKUP(CONCATENATE(F68,H68),'2. Script '!A:A,1,FALSE),"#")=CONCATENATE(F68,H68),"Y","N")</f>
        <v>N</v>
      </c>
      <c r="M68" t="str">
        <f t="shared" si="3"/>
        <v>Y</v>
      </c>
    </row>
    <row r="69" spans="2:13">
      <c r="B69" s="92" t="s">
        <v>117</v>
      </c>
      <c r="C69" s="92" t="s">
        <v>475</v>
      </c>
      <c r="D69" s="92" t="s">
        <v>861</v>
      </c>
      <c r="E69" s="92" t="str">
        <f t="shared" si="4"/>
        <v>INSTRUMENTissr_cntry</v>
      </c>
      <c r="F69" s="90" t="s">
        <v>117</v>
      </c>
      <c r="G69" t="s">
        <v>23</v>
      </c>
      <c r="H69" t="s">
        <v>652</v>
      </c>
      <c r="I69" t="s">
        <v>683</v>
      </c>
      <c r="J69" t="s">
        <v>683</v>
      </c>
      <c r="L69" t="str">
        <f>+IF(IFERROR(VLOOKUP(CONCATENATE(F69,H69),'2. Script '!A:A,1,FALSE),"#")=CONCATENATE(F69,H69),"Y","N")</f>
        <v>N</v>
      </c>
      <c r="M69" t="str">
        <f t="shared" si="3"/>
        <v>Y</v>
      </c>
    </row>
    <row r="70" spans="2:13">
      <c r="B70" s="92" t="s">
        <v>117</v>
      </c>
      <c r="C70" s="92" t="s">
        <v>87</v>
      </c>
      <c r="D70" s="92" t="s">
        <v>774</v>
      </c>
      <c r="E70" s="92" t="str">
        <f t="shared" si="4"/>
        <v>INSTRUMENTissr_nace_sctr</v>
      </c>
      <c r="F70" s="90" t="s">
        <v>117</v>
      </c>
      <c r="G70" t="s">
        <v>23</v>
      </c>
      <c r="H70" t="s">
        <v>653</v>
      </c>
      <c r="I70" t="s">
        <v>683</v>
      </c>
      <c r="J70" t="s">
        <v>683</v>
      </c>
      <c r="L70" t="str">
        <f>+IF(IFERROR(VLOOKUP(CONCATENATE(F70,H70),'2. Script '!A:A,1,FALSE),"#")=CONCATENATE(F70,H70),"Y","N")</f>
        <v>N</v>
      </c>
      <c r="M70" t="str">
        <f t="shared" si="3"/>
        <v>Y</v>
      </c>
    </row>
    <row r="71" spans="2:13">
      <c r="B71" s="92" t="s">
        <v>117</v>
      </c>
      <c r="C71" s="92" t="s">
        <v>420</v>
      </c>
      <c r="D71" s="92" t="s">
        <v>862</v>
      </c>
      <c r="E71" s="92" t="str">
        <f t="shared" si="4"/>
        <v>INSTRUMENTprmry_asst_clssf</v>
      </c>
      <c r="F71" s="90" t="s">
        <v>117</v>
      </c>
      <c r="G71" t="s">
        <v>23</v>
      </c>
      <c r="H71" t="s">
        <v>654</v>
      </c>
      <c r="I71" t="s">
        <v>683</v>
      </c>
      <c r="J71" t="s">
        <v>683</v>
      </c>
      <c r="L71" t="str">
        <f>+IF(IFERROR(VLOOKUP(CONCATENATE(F71,H71),'2. Script '!A:A,1,FALSE),"#")=CONCATENATE(F71,H71),"Y","N")</f>
        <v>N</v>
      </c>
      <c r="M71" t="str">
        <f t="shared" si="3"/>
        <v>Y</v>
      </c>
    </row>
    <row r="72" spans="2:13">
      <c r="B72" s="92" t="s">
        <v>117</v>
      </c>
      <c r="C72" s="92" t="s">
        <v>450</v>
      </c>
      <c r="D72" s="92" t="s">
        <v>863</v>
      </c>
      <c r="E72" s="92" t="str">
        <f t="shared" si="4"/>
        <v>INSTRUMENTsubportfolio_id</v>
      </c>
      <c r="F72" s="90" t="s">
        <v>117</v>
      </c>
      <c r="G72" t="s">
        <v>23</v>
      </c>
      <c r="H72" t="s">
        <v>655</v>
      </c>
      <c r="I72" t="s">
        <v>683</v>
      </c>
      <c r="J72" t="s">
        <v>683</v>
      </c>
      <c r="L72" t="str">
        <f>+IF(IFERROR(VLOOKUP(CONCATENATE(F72,H72),'2. Script '!A:A,1,FALSE),"#")=CONCATENATE(F72,H72),"Y","N")</f>
        <v>N</v>
      </c>
      <c r="M72" t="str">
        <f t="shared" si="3"/>
        <v>Y</v>
      </c>
    </row>
    <row r="73" spans="2:13">
      <c r="B73" s="92" t="s">
        <v>117</v>
      </c>
      <c r="C73" s="92" t="s">
        <v>521</v>
      </c>
      <c r="D73" s="92" t="s">
        <v>864</v>
      </c>
      <c r="E73" s="92" t="str">
        <f t="shared" si="4"/>
        <v>INSTRUMENTcod_soc</v>
      </c>
      <c r="F73" s="90" t="s">
        <v>117</v>
      </c>
      <c r="G73" t="s">
        <v>23</v>
      </c>
      <c r="H73" t="s">
        <v>656</v>
      </c>
      <c r="I73" t="s">
        <v>683</v>
      </c>
      <c r="J73" t="s">
        <v>683</v>
      </c>
      <c r="L73" t="str">
        <f>+IF(IFERROR(VLOOKUP(CONCATENATE(F73,H73),'2. Script '!A:A,1,FALSE),"#")=CONCATENATE(F73,H73),"Y","N")</f>
        <v>N</v>
      </c>
      <c r="M73" t="str">
        <f t="shared" si="3"/>
        <v>Y</v>
      </c>
    </row>
    <row r="74" spans="2:13">
      <c r="B74" s="92" t="s">
        <v>117</v>
      </c>
      <c r="C74" s="92" t="s">
        <v>522</v>
      </c>
      <c r="D74" s="92" t="s">
        <v>865</v>
      </c>
      <c r="E74" s="92" t="str">
        <f t="shared" si="4"/>
        <v>INSTRUMENTlcl_instmrnt_id</v>
      </c>
      <c r="F74" s="90" t="s">
        <v>117</v>
      </c>
      <c r="G74" t="s">
        <v>23</v>
      </c>
      <c r="H74" t="s">
        <v>657</v>
      </c>
      <c r="I74" t="s">
        <v>683</v>
      </c>
      <c r="J74" t="s">
        <v>683</v>
      </c>
      <c r="L74" t="str">
        <f>+IF(IFERROR(VLOOKUP(CONCATENATE(F74,H74),'2. Script '!A:A,1,FALSE),"#")=CONCATENATE(F74,H74),"Y","N")</f>
        <v>N</v>
      </c>
      <c r="M74" t="str">
        <f t="shared" si="3"/>
        <v>Y</v>
      </c>
    </row>
    <row r="75" spans="2:13">
      <c r="B75" s="92" t="s">
        <v>117</v>
      </c>
      <c r="C75" s="92" t="s">
        <v>588</v>
      </c>
      <c r="D75" s="92" t="s">
        <v>771</v>
      </c>
      <c r="E75" s="92" t="str">
        <f t="shared" si="4"/>
        <v>INSTR_ACTIVITYsstnbl_indctr</v>
      </c>
      <c r="F75" s="90" t="s">
        <v>312</v>
      </c>
      <c r="G75" t="s">
        <v>146</v>
      </c>
      <c r="H75" t="s">
        <v>686</v>
      </c>
      <c r="I75" t="s">
        <v>687</v>
      </c>
      <c r="J75" t="s">
        <v>687</v>
      </c>
      <c r="K75" t="s">
        <v>688</v>
      </c>
      <c r="L75" t="str">
        <f>+IF(IFERROR(VLOOKUP(CONCATENATE(F75,H75),'2. Script '!A:A,1,FALSE),"#")=CONCATENATE(F75,H75),"Y","N")</f>
        <v>N</v>
      </c>
      <c r="M75" t="str">
        <f t="shared" si="3"/>
        <v>N</v>
      </c>
    </row>
    <row r="76" spans="2:13">
      <c r="B76" s="92" t="s">
        <v>117</v>
      </c>
      <c r="C76" s="92" t="s">
        <v>345</v>
      </c>
      <c r="D76" s="92" t="s">
        <v>866</v>
      </c>
      <c r="E76" s="92" t="str">
        <f t="shared" si="4"/>
        <v>INSTR_ACTIVITYCOD_SOC</v>
      </c>
      <c r="F76" s="90" t="s">
        <v>312</v>
      </c>
      <c r="G76" t="s">
        <v>146</v>
      </c>
      <c r="H76" t="s">
        <v>100</v>
      </c>
      <c r="I76" t="s">
        <v>689</v>
      </c>
      <c r="J76" t="s">
        <v>690</v>
      </c>
      <c r="K76" t="s">
        <v>691</v>
      </c>
      <c r="L76" t="str">
        <f>+IF(IFERROR(VLOOKUP(CONCATENATE(F76,H76),'2. Script '!A:A,1,FALSE),"#")=CONCATENATE(F76,H76),"Y","N")</f>
        <v>N</v>
      </c>
      <c r="M76" t="str">
        <f t="shared" si="3"/>
        <v>N</v>
      </c>
    </row>
    <row r="77" spans="2:13">
      <c r="B77" s="92" t="s">
        <v>117</v>
      </c>
      <c r="C77" s="92" t="s">
        <v>421</v>
      </c>
      <c r="D77" s="92" t="s">
        <v>867</v>
      </c>
      <c r="E77" s="92" t="str">
        <f t="shared" si="4"/>
        <v>INSTR_ACTIVITYDT_RFRNC</v>
      </c>
      <c r="F77" s="90" t="s">
        <v>312</v>
      </c>
      <c r="G77" t="s">
        <v>146</v>
      </c>
      <c r="H77" t="s">
        <v>586</v>
      </c>
      <c r="I77" t="s">
        <v>689</v>
      </c>
      <c r="J77" t="s">
        <v>689</v>
      </c>
      <c r="K77" t="s">
        <v>692</v>
      </c>
      <c r="L77" t="str">
        <f>+IF(IFERROR(VLOOKUP(CONCATENATE(F77,H77),'2. Script '!A:A,1,FALSE),"#")=CONCATENATE(F77,H77),"Y","N")</f>
        <v>N</v>
      </c>
      <c r="M77" t="str">
        <f t="shared" si="3"/>
        <v>N</v>
      </c>
    </row>
    <row r="78" spans="2:13">
      <c r="B78" s="92" t="s">
        <v>117</v>
      </c>
      <c r="C78" s="92" t="s">
        <v>321</v>
      </c>
      <c r="D78" s="92" t="s">
        <v>868</v>
      </c>
      <c r="E78" s="92" t="str">
        <f t="shared" si="4"/>
        <v>INSTR_ACTIVITYINSTRMNT_ID</v>
      </c>
      <c r="F78" s="90" t="s">
        <v>312</v>
      </c>
      <c r="G78" t="s">
        <v>146</v>
      </c>
      <c r="H78" t="s">
        <v>588</v>
      </c>
      <c r="I78" t="s">
        <v>689</v>
      </c>
      <c r="J78" t="s">
        <v>690</v>
      </c>
      <c r="K78" t="s">
        <v>691</v>
      </c>
      <c r="L78" t="str">
        <f>+IF(IFERROR(VLOOKUP(CONCATENATE(F78,H78),'2. Script '!A:A,1,FALSE),"#")=CONCATENATE(F78,H78),"Y","N")</f>
        <v>N</v>
      </c>
      <c r="M78" t="str">
        <f t="shared" si="3"/>
        <v>N</v>
      </c>
    </row>
    <row r="79" spans="2:13">
      <c r="B79" s="92" t="s">
        <v>117</v>
      </c>
      <c r="C79" s="92" t="s">
        <v>540</v>
      </c>
      <c r="D79" s="92" t="s">
        <v>869</v>
      </c>
      <c r="E79" s="92" t="str">
        <f t="shared" si="4"/>
        <v>INSTR_ACTIVITYPRCNTG_ACTVTY</v>
      </c>
      <c r="F79" s="90" t="s">
        <v>312</v>
      </c>
      <c r="G79" t="s">
        <v>146</v>
      </c>
      <c r="H79" t="s">
        <v>584</v>
      </c>
      <c r="I79" t="s">
        <v>690</v>
      </c>
      <c r="J79" t="s">
        <v>690</v>
      </c>
      <c r="K79" t="s">
        <v>688</v>
      </c>
      <c r="L79" t="str">
        <f>+IF(IFERROR(VLOOKUP(CONCATENATE(F79,H79),'2. Script '!A:A,1,FALSE),"#")=CONCATENATE(F79,H79),"Y","N")</f>
        <v>N</v>
      </c>
      <c r="M79" t="str">
        <f t="shared" si="3"/>
        <v>N</v>
      </c>
    </row>
    <row r="80" spans="2:13">
      <c r="B80" s="92" t="s">
        <v>117</v>
      </c>
      <c r="C80" s="92" t="s">
        <v>541</v>
      </c>
      <c r="D80" s="92" t="s">
        <v>870</v>
      </c>
      <c r="E80" s="92" t="str">
        <f t="shared" si="4"/>
        <v>INSTR_ACTIVITYFLG_SBSTNTL_CNTRBTN</v>
      </c>
      <c r="F80" s="90" t="s">
        <v>312</v>
      </c>
      <c r="G80" t="s">
        <v>146</v>
      </c>
      <c r="H80" t="s">
        <v>693</v>
      </c>
      <c r="I80" t="s">
        <v>690</v>
      </c>
      <c r="J80" t="s">
        <v>690</v>
      </c>
      <c r="K80" t="s">
        <v>688</v>
      </c>
      <c r="L80" t="str">
        <f>+IF(IFERROR(VLOOKUP(CONCATENATE(F80,H80),'2. Script '!A:A,1,FALSE),"#")=CONCATENATE(F80,H80),"Y","N")</f>
        <v>N</v>
      </c>
      <c r="M80" t="str">
        <f t="shared" si="3"/>
        <v>N</v>
      </c>
    </row>
    <row r="81" spans="2:13">
      <c r="B81" s="92" t="s">
        <v>117</v>
      </c>
      <c r="C81" s="92" t="s">
        <v>539</v>
      </c>
      <c r="D81" s="92" t="s">
        <v>871</v>
      </c>
      <c r="E81" s="92" t="str">
        <f t="shared" si="4"/>
        <v>INSTR_ACTIVITYFLG_DNSH_CMPLNC</v>
      </c>
      <c r="F81" s="90" t="s">
        <v>312</v>
      </c>
      <c r="G81" t="s">
        <v>146</v>
      </c>
      <c r="H81" t="s">
        <v>694</v>
      </c>
      <c r="I81" t="s">
        <v>689</v>
      </c>
      <c r="J81" t="s">
        <v>689</v>
      </c>
      <c r="K81" t="s">
        <v>685</v>
      </c>
      <c r="L81" t="str">
        <f>+IF(IFERROR(VLOOKUP(CONCATENATE(F81,H81),'2. Script '!A:A,1,FALSE),"#")=CONCATENATE(F81,H81),"Y","N")</f>
        <v>N</v>
      </c>
      <c r="M81" t="str">
        <f t="shared" si="3"/>
        <v>N</v>
      </c>
    </row>
    <row r="82" spans="2:13">
      <c r="B82" s="92" t="s">
        <v>117</v>
      </c>
      <c r="C82" s="92" t="s">
        <v>322</v>
      </c>
      <c r="D82" s="92" t="s">
        <v>872</v>
      </c>
      <c r="E82" s="92" t="str">
        <f t="shared" si="4"/>
        <v>INSTR_ACTIVITYDNSH_DTL</v>
      </c>
      <c r="F82" s="90" t="s">
        <v>312</v>
      </c>
      <c r="G82" t="s">
        <v>146</v>
      </c>
      <c r="H82" t="s">
        <v>695</v>
      </c>
      <c r="I82" t="s">
        <v>689</v>
      </c>
      <c r="J82" t="s">
        <v>689</v>
      </c>
      <c r="K82" t="s">
        <v>685</v>
      </c>
      <c r="L82" t="str">
        <f>+IF(IFERROR(VLOOKUP(CONCATENATE(F82,H82),'2. Script '!A:A,1,FALSE),"#")=CONCATENATE(F82,H82),"Y","N")</f>
        <v>N</v>
      </c>
      <c r="M82" t="str">
        <f t="shared" si="3"/>
        <v>N</v>
      </c>
    </row>
    <row r="83" spans="2:13">
      <c r="B83" s="92" t="s">
        <v>117</v>
      </c>
      <c r="C83" s="92" t="s">
        <v>491</v>
      </c>
      <c r="D83" s="92" t="s">
        <v>873</v>
      </c>
      <c r="E83" s="92" t="str">
        <f t="shared" si="4"/>
        <v>INSTR_ACTIVITYsstnbl_ctgry</v>
      </c>
      <c r="F83" s="90" t="s">
        <v>312</v>
      </c>
      <c r="G83" t="s">
        <v>146</v>
      </c>
      <c r="H83" t="s">
        <v>696</v>
      </c>
      <c r="I83" t="s">
        <v>687</v>
      </c>
      <c r="J83" t="s">
        <v>687</v>
      </c>
      <c r="K83" t="s">
        <v>688</v>
      </c>
      <c r="L83" t="str">
        <f>+IF(IFERROR(VLOOKUP(CONCATENATE(F83,H83),'2. Script '!A:A,1,FALSE),"#")=CONCATENATE(F83,H83),"Y","N")</f>
        <v>N</v>
      </c>
      <c r="M83" t="str">
        <f t="shared" si="3"/>
        <v>N</v>
      </c>
    </row>
    <row r="84" spans="2:13">
      <c r="B84" s="92" t="s">
        <v>117</v>
      </c>
      <c r="C84" s="92" t="s">
        <v>103</v>
      </c>
      <c r="D84" s="92" t="s">
        <v>874</v>
      </c>
      <c r="E84" s="92" t="str">
        <f t="shared" si="4"/>
        <v>INSTRUMENTgrss_intrst_incm</v>
      </c>
      <c r="F84" s="90" t="s">
        <v>117</v>
      </c>
      <c r="G84" t="s">
        <v>23</v>
      </c>
      <c r="H84" t="s">
        <v>658</v>
      </c>
      <c r="I84" t="s">
        <v>697</v>
      </c>
      <c r="J84" t="s">
        <v>697</v>
      </c>
      <c r="L84" t="str">
        <f>+IF(IFERROR(VLOOKUP(CONCATENATE(F84,H84),'2. Script '!A:A,1,FALSE),"#")=CONCATENATE(F84,H84),"Y","N")</f>
        <v>N</v>
      </c>
      <c r="M84" t="str">
        <f t="shared" si="3"/>
        <v>N</v>
      </c>
    </row>
    <row r="85" spans="2:13">
      <c r="B85" s="92" t="s">
        <v>117</v>
      </c>
      <c r="C85" s="92" t="s">
        <v>543</v>
      </c>
      <c r="D85" s="92" t="s">
        <v>875</v>
      </c>
      <c r="E85" s="92" t="str">
        <f t="shared" si="4"/>
        <v>INSTRUMENTgrss_cmmssn_incm</v>
      </c>
      <c r="F85" s="90" t="s">
        <v>117</v>
      </c>
      <c r="G85" t="s">
        <v>23</v>
      </c>
      <c r="H85" t="s">
        <v>659</v>
      </c>
      <c r="I85" t="s">
        <v>697</v>
      </c>
      <c r="J85" t="s">
        <v>697</v>
      </c>
      <c r="L85" t="str">
        <f>+IF(IFERROR(VLOOKUP(CONCATENATE(F85,H85),'2. Script '!A:A,1,FALSE),"#")=CONCATENATE(F85,H85),"Y","N")</f>
        <v>N</v>
      </c>
      <c r="M85" t="str">
        <f t="shared" si="3"/>
        <v>N</v>
      </c>
    </row>
    <row r="86" spans="2:13">
      <c r="B86" s="92" t="s">
        <v>117</v>
      </c>
      <c r="C86" s="92" t="s">
        <v>96</v>
      </c>
      <c r="D86" s="92" t="s">
        <v>786</v>
      </c>
      <c r="E86" s="92" t="str">
        <f t="shared" si="4"/>
        <v>INSTRUMENTgrss_cmmssn_incm_off_blnc</v>
      </c>
      <c r="F86" s="90" t="s">
        <v>117</v>
      </c>
      <c r="G86" t="s">
        <v>23</v>
      </c>
      <c r="H86" t="s">
        <v>660</v>
      </c>
      <c r="I86" t="s">
        <v>697</v>
      </c>
      <c r="J86" t="s">
        <v>697</v>
      </c>
      <c r="L86" t="str">
        <f>+IF(IFERROR(VLOOKUP(CONCATENATE(F86,H86),'2. Script '!A:A,1,FALSE),"#")=CONCATENATE(F86,H86),"Y","N")</f>
        <v>N</v>
      </c>
      <c r="M86" t="str">
        <f t="shared" si="3"/>
        <v>N</v>
      </c>
    </row>
    <row r="87" spans="2:13">
      <c r="B87" s="92" t="s">
        <v>117</v>
      </c>
      <c r="C87" s="92" t="s">
        <v>523</v>
      </c>
      <c r="D87" s="92" t="s">
        <v>876</v>
      </c>
      <c r="E87" s="92" t="str">
        <f t="shared" si="4"/>
        <v>INSTRUMENTidcmb</v>
      </c>
      <c r="F87" s="90" t="s">
        <v>117</v>
      </c>
      <c r="G87" t="s">
        <v>23</v>
      </c>
      <c r="H87" t="s">
        <v>661</v>
      </c>
      <c r="I87" t="s">
        <v>683</v>
      </c>
      <c r="J87" t="s">
        <v>683</v>
      </c>
      <c r="L87" t="str">
        <f>+IF(IFERROR(VLOOKUP(CONCATENATE(F87,H87),'2. Script '!A:A,1,FALSE),"#")=CONCATENATE(F87,H87),"Y","N")</f>
        <v>N</v>
      </c>
      <c r="M87" t="str">
        <f t="shared" si="3"/>
        <v>Y</v>
      </c>
    </row>
    <row r="88" spans="2:13">
      <c r="B88" s="92" t="s">
        <v>117</v>
      </c>
      <c r="C88" s="92" t="s">
        <v>524</v>
      </c>
      <c r="D88" s="92" t="s">
        <v>877</v>
      </c>
      <c r="E88" s="92" t="str">
        <f t="shared" si="4"/>
        <v>INSTRUMENTFRBRNC_STTS_INSTRMNT</v>
      </c>
      <c r="F88" s="90" t="s">
        <v>117</v>
      </c>
      <c r="G88" t="s">
        <v>23</v>
      </c>
      <c r="H88" t="s">
        <v>419</v>
      </c>
      <c r="I88" t="s">
        <v>689</v>
      </c>
      <c r="J88" t="s">
        <v>689</v>
      </c>
      <c r="K88" t="s">
        <v>685</v>
      </c>
      <c r="L88" t="str">
        <f>+IF(IFERROR(VLOOKUP(CONCATENATE(F88,H88),'2. Script '!A:A,1,FALSE),"#")=CONCATENATE(F88,H88),"Y","N")</f>
        <v>N</v>
      </c>
      <c r="M88" t="str">
        <f t="shared" si="3"/>
        <v>Y</v>
      </c>
    </row>
    <row r="89" spans="2:13">
      <c r="B89" s="92" t="s">
        <v>117</v>
      </c>
      <c r="C89" s="92" t="s">
        <v>525</v>
      </c>
      <c r="D89" s="92" t="s">
        <v>878</v>
      </c>
      <c r="E89" s="92" t="str">
        <f t="shared" si="4"/>
        <v>INSTRUMENTINTRNL_SGMNT</v>
      </c>
      <c r="F89" s="90" t="s">
        <v>117</v>
      </c>
      <c r="G89" t="s">
        <v>23</v>
      </c>
      <c r="H89" t="s">
        <v>321</v>
      </c>
      <c r="I89" t="s">
        <v>689</v>
      </c>
      <c r="J89" t="s">
        <v>689</v>
      </c>
      <c r="K89" t="s">
        <v>692</v>
      </c>
      <c r="L89" t="str">
        <f>+IF(IFERROR(VLOOKUP(CONCATENATE(F89,H89),'2. Script '!A:A,1,FALSE),"#")=CONCATENATE(F89,H89),"Y","N")</f>
        <v>N</v>
      </c>
      <c r="M89" t="str">
        <f t="shared" si="3"/>
        <v>Y</v>
      </c>
    </row>
    <row r="90" spans="2:13">
      <c r="B90" s="92" t="s">
        <v>117</v>
      </c>
      <c r="C90" s="92" t="s">
        <v>97</v>
      </c>
      <c r="D90" s="92" t="s">
        <v>787</v>
      </c>
      <c r="E90" s="92" t="str">
        <f t="shared" si="4"/>
        <v>INSTRUMENTDT_ORGNL_MTRTY</v>
      </c>
      <c r="F90" s="90" t="s">
        <v>117</v>
      </c>
      <c r="G90" t="s">
        <v>23</v>
      </c>
      <c r="H90" t="s">
        <v>445</v>
      </c>
      <c r="I90" t="s">
        <v>689</v>
      </c>
      <c r="J90" t="s">
        <v>689</v>
      </c>
      <c r="K90" t="s">
        <v>692</v>
      </c>
      <c r="L90" t="str">
        <f>+IF(IFERROR(VLOOKUP(CONCATENATE(F90,H90),'2. Script '!A:A,1,FALSE),"#")=CONCATENATE(F90,H90),"Y","N")</f>
        <v>N</v>
      </c>
      <c r="M90" t="str">
        <f t="shared" si="3"/>
        <v>N</v>
      </c>
    </row>
    <row r="91" spans="2:13">
      <c r="B91" s="92" t="s">
        <v>117</v>
      </c>
      <c r="C91" s="92" t="s">
        <v>526</v>
      </c>
      <c r="D91" s="92" t="s">
        <v>879</v>
      </c>
      <c r="E91" s="92" t="str">
        <f t="shared" si="4"/>
        <v>INSTRUMENTEAD</v>
      </c>
      <c r="F91" s="90" t="s">
        <v>117</v>
      </c>
      <c r="G91" t="s">
        <v>23</v>
      </c>
      <c r="H91" t="s">
        <v>447</v>
      </c>
      <c r="I91" t="s">
        <v>689</v>
      </c>
      <c r="J91" t="s">
        <v>689</v>
      </c>
      <c r="K91" t="s">
        <v>692</v>
      </c>
      <c r="L91" t="str">
        <f>+IF(IFERROR(VLOOKUP(CONCATENATE(F91,H91),'2. Script '!A:A,1,FALSE),"#")=CONCATENATE(F91,H91),"Y","N")</f>
        <v>N</v>
      </c>
      <c r="M91" t="str">
        <f t="shared" si="3"/>
        <v>N</v>
      </c>
    </row>
    <row r="92" spans="2:13">
      <c r="B92" s="92" t="s">
        <v>117</v>
      </c>
      <c r="C92" s="92" t="s">
        <v>527</v>
      </c>
      <c r="D92" s="92" t="s">
        <v>880</v>
      </c>
      <c r="E92" s="92" t="str">
        <f t="shared" si="4"/>
        <v>INSTRUMENTOFF_BLNC_SHT_AMNT_INSTRMNT</v>
      </c>
      <c r="F92" s="90" t="s">
        <v>117</v>
      </c>
      <c r="G92" t="s">
        <v>23</v>
      </c>
      <c r="H92" t="s">
        <v>451</v>
      </c>
      <c r="I92" t="s">
        <v>689</v>
      </c>
      <c r="J92" t="s">
        <v>690</v>
      </c>
      <c r="K92" t="s">
        <v>691</v>
      </c>
      <c r="L92" t="str">
        <f>+IF(IFERROR(VLOOKUP(CONCATENATE(F92,H92),'2. Script '!A:A,1,FALSE),"#")=CONCATENATE(F92,H92),"Y","N")</f>
        <v>N</v>
      </c>
      <c r="M92" t="str">
        <f t="shared" si="3"/>
        <v>Y</v>
      </c>
    </row>
    <row r="93" spans="2:13">
      <c r="B93" s="92" t="s">
        <v>117</v>
      </c>
      <c r="C93" s="92" t="s">
        <v>528</v>
      </c>
      <c r="D93" s="92" t="s">
        <v>881</v>
      </c>
      <c r="E93" s="92" t="str">
        <f t="shared" si="4"/>
        <v>INSTRUMENTRWA</v>
      </c>
      <c r="F93" s="90" t="s">
        <v>117</v>
      </c>
      <c r="G93" t="s">
        <v>23</v>
      </c>
      <c r="H93" t="s">
        <v>458</v>
      </c>
      <c r="I93" t="s">
        <v>689</v>
      </c>
      <c r="J93" t="s">
        <v>689</v>
      </c>
      <c r="K93" t="s">
        <v>692</v>
      </c>
      <c r="L93" t="str">
        <f>+IF(IFERROR(VLOOKUP(CONCATENATE(F93,H93),'2. Script '!A:A,1,FALSE),"#")=CONCATENATE(F93,H93),"Y","N")</f>
        <v>N</v>
      </c>
      <c r="M93" t="str">
        <f t="shared" si="3"/>
        <v>Y</v>
      </c>
    </row>
    <row r="94" spans="2:13">
      <c r="B94" s="92" t="s">
        <v>117</v>
      </c>
      <c r="C94" s="92" t="s">
        <v>101</v>
      </c>
      <c r="D94" s="92" t="s">
        <v>789</v>
      </c>
      <c r="E94" s="92" t="str">
        <f t="shared" si="4"/>
        <v>INSTRUMENTLTV</v>
      </c>
      <c r="F94" s="90" t="s">
        <v>117</v>
      </c>
      <c r="G94" t="s">
        <v>23</v>
      </c>
      <c r="H94" t="s">
        <v>479</v>
      </c>
      <c r="I94" t="s">
        <v>689</v>
      </c>
      <c r="J94" t="s">
        <v>689</v>
      </c>
      <c r="K94" t="s">
        <v>692</v>
      </c>
      <c r="L94" t="str">
        <f>+IF(IFERROR(VLOOKUP(CONCATENATE(F94,H94),'2. Script '!A:A,1,FALSE),"#")=CONCATENATE(F94,H94),"Y","N")</f>
        <v>N</v>
      </c>
      <c r="M94" t="str">
        <f t="shared" si="3"/>
        <v>Y</v>
      </c>
    </row>
    <row r="95" spans="2:13">
      <c r="B95" s="92" t="s">
        <v>117</v>
      </c>
      <c r="C95" s="92" t="s">
        <v>529</v>
      </c>
      <c r="D95" s="92" t="s">
        <v>882</v>
      </c>
      <c r="E95" s="92" t="str">
        <f t="shared" si="4"/>
        <v>INSTRUMENTLTV_INCPTN</v>
      </c>
      <c r="F95" s="90" t="s">
        <v>117</v>
      </c>
      <c r="G95" t="s">
        <v>23</v>
      </c>
      <c r="H95" t="s">
        <v>480</v>
      </c>
      <c r="I95" t="s">
        <v>689</v>
      </c>
      <c r="J95" t="s">
        <v>689</v>
      </c>
      <c r="K95" t="s">
        <v>692</v>
      </c>
      <c r="L95" t="str">
        <f>+IF(IFERROR(VLOOKUP(CONCATENATE(F95,H95),'2. Script '!A:A,1,FALSE),"#")=CONCATENATE(F95,H95),"Y","N")</f>
        <v>N</v>
      </c>
      <c r="M95" t="str">
        <f t="shared" si="3"/>
        <v>Y</v>
      </c>
    </row>
    <row r="96" spans="2:13">
      <c r="B96" s="92" t="s">
        <v>117</v>
      </c>
      <c r="C96" s="92" t="s">
        <v>422</v>
      </c>
      <c r="D96" s="92" t="s">
        <v>883</v>
      </c>
      <c r="E96" s="92" t="str">
        <f t="shared" si="4"/>
        <v>INSTRUMENTEIR</v>
      </c>
      <c r="F96" s="90" t="s">
        <v>117</v>
      </c>
      <c r="G96" t="s">
        <v>23</v>
      </c>
      <c r="H96" t="s">
        <v>489</v>
      </c>
      <c r="I96" t="s">
        <v>689</v>
      </c>
      <c r="J96" t="s">
        <v>689</v>
      </c>
      <c r="K96" t="s">
        <v>692</v>
      </c>
      <c r="L96" t="str">
        <f>+IF(IFERROR(VLOOKUP(CONCATENATE(F96,H96),'2. Script '!A:A,1,FALSE),"#")=CONCATENATE(F96,H96),"Y","N")</f>
        <v>N</v>
      </c>
      <c r="M96" t="str">
        <f t="shared" si="3"/>
        <v>N</v>
      </c>
    </row>
    <row r="97" spans="2:13">
      <c r="B97" s="92" t="s">
        <v>117</v>
      </c>
      <c r="C97" s="92" t="s">
        <v>478</v>
      </c>
      <c r="D97" s="92" t="s">
        <v>884</v>
      </c>
      <c r="E97" s="92" t="str">
        <f t="shared" si="4"/>
        <v>INSTRUMENTEIR_INCPTN</v>
      </c>
      <c r="F97" s="90" t="s">
        <v>117</v>
      </c>
      <c r="G97" t="s">
        <v>23</v>
      </c>
      <c r="H97" t="s">
        <v>490</v>
      </c>
      <c r="I97" t="s">
        <v>689</v>
      </c>
      <c r="J97" t="s">
        <v>689</v>
      </c>
      <c r="K97" t="s">
        <v>692</v>
      </c>
      <c r="L97" t="str">
        <f>+IF(IFERROR(VLOOKUP(CONCATENATE(F97,H97),'2. Script '!A:A,1,FALSE),"#")=CONCATENATE(F97,H97),"Y","N")</f>
        <v>N</v>
      </c>
      <c r="M97" t="str">
        <f t="shared" si="3"/>
        <v>N</v>
      </c>
    </row>
    <row r="98" spans="2:13">
      <c r="B98" s="92" t="s">
        <v>117</v>
      </c>
      <c r="C98" s="92" t="s">
        <v>423</v>
      </c>
      <c r="D98" s="92" t="s">
        <v>885</v>
      </c>
      <c r="E98" s="92" t="str">
        <f t="shared" si="4"/>
        <v>INSTRUMENTINTRNL_SGMNT_CAT_MSTA</v>
      </c>
      <c r="F98" s="90" t="s">
        <v>117</v>
      </c>
      <c r="G98" t="s">
        <v>23</v>
      </c>
      <c r="H98" t="s">
        <v>540</v>
      </c>
      <c r="I98" t="s">
        <v>689</v>
      </c>
      <c r="J98" t="s">
        <v>689</v>
      </c>
      <c r="K98" t="s">
        <v>692</v>
      </c>
      <c r="L98" t="str">
        <f>+IF(IFERROR(VLOOKUP(CONCATENATE(F98,H98),'2. Script '!A:A,1,FALSE),"#")=CONCATENATE(F98,H98),"Y","N")</f>
        <v>N</v>
      </c>
      <c r="M98" t="str">
        <f t="shared" si="3"/>
        <v>Y</v>
      </c>
    </row>
    <row r="99" spans="2:13">
      <c r="B99" s="92" t="s">
        <v>117</v>
      </c>
      <c r="C99" s="92" t="s">
        <v>424</v>
      </c>
      <c r="D99" s="92" t="s">
        <v>886</v>
      </c>
      <c r="E99" s="92" t="str">
        <f t="shared" si="4"/>
        <v>INSTRUMENTINTRNL_SGMNT_CATGSUB</v>
      </c>
      <c r="F99" s="90" t="s">
        <v>117</v>
      </c>
      <c r="G99" t="s">
        <v>23</v>
      </c>
      <c r="H99" t="s">
        <v>541</v>
      </c>
      <c r="I99" t="s">
        <v>689</v>
      </c>
      <c r="J99" t="s">
        <v>689</v>
      </c>
      <c r="K99" t="s">
        <v>692</v>
      </c>
      <c r="L99" t="str">
        <f>+IF(IFERROR(VLOOKUP(CONCATENATE(F99,H99),'2. Script '!A:A,1,FALSE),"#")=CONCATENATE(F99,H99),"Y","N")</f>
        <v>N</v>
      </c>
      <c r="M99" t="str">
        <f t="shared" ref="M99:M130" si="5">+IF(IFERROR(VLOOKUP(CONCATENATE(F99,H99),D:D,1,FALSE),"#")=CONCATENATE(F99,H99),"Y","N")</f>
        <v>Y</v>
      </c>
    </row>
    <row r="100" spans="2:13">
      <c r="B100" s="92" t="s">
        <v>117</v>
      </c>
      <c r="C100" s="92" t="s">
        <v>546</v>
      </c>
      <c r="D100" s="92" t="s">
        <v>887</v>
      </c>
      <c r="E100" s="92" t="str">
        <f t="shared" si="4"/>
        <v>INSTRUMENTNW_BSNSS</v>
      </c>
      <c r="F100" s="90" t="s">
        <v>117</v>
      </c>
      <c r="G100" t="s">
        <v>23</v>
      </c>
      <c r="H100" t="s">
        <v>698</v>
      </c>
      <c r="I100" t="s">
        <v>690</v>
      </c>
      <c r="J100" t="s">
        <v>690</v>
      </c>
      <c r="K100" t="s">
        <v>688</v>
      </c>
      <c r="L100" t="str">
        <f>+IF(IFERROR(VLOOKUP(CONCATENATE(F100,H100),'2. Script '!A:A,1,FALSE),"#")=CONCATENATE(F100,H100),"Y","N")</f>
        <v>N</v>
      </c>
      <c r="M100" t="str">
        <f t="shared" si="5"/>
        <v>N</v>
      </c>
    </row>
    <row r="101" spans="2:13">
      <c r="B101" s="92" t="s">
        <v>117</v>
      </c>
      <c r="C101" s="92" t="s">
        <v>548</v>
      </c>
      <c r="D101" s="92" t="s">
        <v>888</v>
      </c>
      <c r="E101" s="92" t="str">
        <f t="shared" si="4"/>
        <v>INSTRUMENTCNCLLD_INSTRMNT_STTS</v>
      </c>
      <c r="F101" s="90" t="s">
        <v>117</v>
      </c>
      <c r="G101" t="s">
        <v>23</v>
      </c>
      <c r="H101" t="s">
        <v>699</v>
      </c>
      <c r="I101" t="s">
        <v>690</v>
      </c>
      <c r="J101" t="s">
        <v>690</v>
      </c>
      <c r="K101" t="s">
        <v>688</v>
      </c>
      <c r="L101" t="str">
        <f>+IF(IFERROR(VLOOKUP(CONCATENATE(F101,H101),'2. Script '!A:A,1,FALSE),"#")=CONCATENATE(F101,H101),"Y","N")</f>
        <v>N</v>
      </c>
      <c r="M101" t="str">
        <f t="shared" si="5"/>
        <v>N</v>
      </c>
    </row>
    <row r="102" spans="2:13">
      <c r="B102" s="92" t="s">
        <v>117</v>
      </c>
      <c r="C102" s="92" t="s">
        <v>479</v>
      </c>
      <c r="D102" s="92" t="s">
        <v>783</v>
      </c>
      <c r="E102" s="92" t="str">
        <f t="shared" si="4"/>
        <v>INSTRUMENTTYP_OFF_BLNC_PRDCT</v>
      </c>
      <c r="F102" s="90" t="s">
        <v>117</v>
      </c>
      <c r="G102" t="s">
        <v>23</v>
      </c>
      <c r="H102" t="s">
        <v>550</v>
      </c>
      <c r="I102" t="s">
        <v>689</v>
      </c>
      <c r="J102" t="s">
        <v>690</v>
      </c>
      <c r="K102" t="s">
        <v>700</v>
      </c>
      <c r="L102" t="str">
        <f>+IF(IFERROR(VLOOKUP(CONCATENATE(F102,H102),'2. Script '!A:A,1,FALSE),"#")=CONCATENATE(F102,H102),"Y","N")</f>
        <v>N</v>
      </c>
      <c r="M102" t="str">
        <f t="shared" si="5"/>
        <v>N</v>
      </c>
    </row>
    <row r="103" spans="2:13">
      <c r="B103" s="92" t="s">
        <v>117</v>
      </c>
      <c r="C103" s="92" t="s">
        <v>480</v>
      </c>
      <c r="D103" s="92" t="s">
        <v>784</v>
      </c>
      <c r="E103" s="92" t="str">
        <f t="shared" si="4"/>
        <v>INSTRUMENTFLG_MNMM_SFGRDS</v>
      </c>
      <c r="F103" s="90" t="s">
        <v>117</v>
      </c>
      <c r="G103" t="s">
        <v>23</v>
      </c>
      <c r="H103" t="s">
        <v>701</v>
      </c>
      <c r="I103" t="s">
        <v>689</v>
      </c>
      <c r="J103" t="s">
        <v>689</v>
      </c>
      <c r="K103" t="s">
        <v>685</v>
      </c>
      <c r="L103" t="str">
        <f>+IF(IFERROR(VLOOKUP(CONCATENATE(F103,H103),'2. Script '!A:A,1,FALSE),"#")=CONCATENATE(F103,H103),"Y","N")</f>
        <v>N</v>
      </c>
      <c r="M103" t="str">
        <f t="shared" si="5"/>
        <v>N</v>
      </c>
    </row>
    <row r="104" spans="2:13">
      <c r="B104" s="92" t="s">
        <v>117</v>
      </c>
      <c r="C104" s="92" t="s">
        <v>481</v>
      </c>
      <c r="D104" s="92" t="s">
        <v>889</v>
      </c>
      <c r="E104" s="92" t="str">
        <f t="shared" si="4"/>
        <v>ENTITYcntry</v>
      </c>
      <c r="F104" s="90" t="s">
        <v>118</v>
      </c>
      <c r="G104" t="s">
        <v>24</v>
      </c>
      <c r="H104" t="s">
        <v>662</v>
      </c>
      <c r="I104" t="s">
        <v>683</v>
      </c>
      <c r="J104" t="s">
        <v>683</v>
      </c>
      <c r="L104" t="str">
        <f>+IF(IFERROR(VLOOKUP(CONCATENATE(F104,H104),'2. Script '!A:A,1,FALSE),"#")=CONCATENATE(F104,H104),"Y","N")</f>
        <v>N</v>
      </c>
      <c r="M104" t="str">
        <f t="shared" si="5"/>
        <v>Y</v>
      </c>
    </row>
    <row r="105" spans="2:13">
      <c r="B105" s="92" t="s">
        <v>117</v>
      </c>
      <c r="C105" s="92" t="s">
        <v>538</v>
      </c>
      <c r="D105" s="92" t="s">
        <v>890</v>
      </c>
      <c r="E105" s="92" t="str">
        <f t="shared" si="4"/>
        <v>ENTITYdt_rfrnc</v>
      </c>
      <c r="F105" s="90" t="s">
        <v>118</v>
      </c>
      <c r="G105" t="s">
        <v>24</v>
      </c>
      <c r="H105" t="s">
        <v>640</v>
      </c>
      <c r="I105" t="s">
        <v>683</v>
      </c>
      <c r="J105" t="s">
        <v>683</v>
      </c>
      <c r="L105" t="str">
        <f>+IF(IFERROR(VLOOKUP(CONCATENATE(F105,H105),'2. Script '!A:A,1,FALSE),"#")=CONCATENATE(F105,H105),"Y","N")</f>
        <v>N</v>
      </c>
      <c r="M105" t="str">
        <f t="shared" si="5"/>
        <v>Y</v>
      </c>
    </row>
    <row r="106" spans="2:13">
      <c r="B106" s="92" t="s">
        <v>117</v>
      </c>
      <c r="C106" s="92" t="s">
        <v>510</v>
      </c>
      <c r="D106" s="92" t="s">
        <v>891</v>
      </c>
      <c r="E106" s="92" t="str">
        <f t="shared" si="4"/>
        <v>ENTITYentty_id</v>
      </c>
      <c r="F106" s="90" t="s">
        <v>118</v>
      </c>
      <c r="G106" t="s">
        <v>24</v>
      </c>
      <c r="H106" t="s">
        <v>25</v>
      </c>
      <c r="I106" t="s">
        <v>683</v>
      </c>
      <c r="J106" t="s">
        <v>683</v>
      </c>
      <c r="L106" t="str">
        <f>+IF(IFERROR(VLOOKUP(CONCATENATE(F106,H106),'2. Script '!A:A,1,FALSE),"#")=CONCATENATE(F106,H106),"Y","N")</f>
        <v>N</v>
      </c>
      <c r="M106" t="str">
        <f t="shared" si="5"/>
        <v>Y</v>
      </c>
    </row>
    <row r="107" spans="2:13">
      <c r="B107" s="92" t="s">
        <v>117</v>
      </c>
      <c r="C107" s="92" t="s">
        <v>504</v>
      </c>
      <c r="D107" s="92" t="s">
        <v>892</v>
      </c>
      <c r="E107" s="92" t="str">
        <f t="shared" si="4"/>
        <v>ENTITYlei</v>
      </c>
      <c r="F107" s="90" t="s">
        <v>118</v>
      </c>
      <c r="G107" t="s">
        <v>24</v>
      </c>
      <c r="H107" t="s">
        <v>663</v>
      </c>
      <c r="I107" t="s">
        <v>683</v>
      </c>
      <c r="J107" t="s">
        <v>683</v>
      </c>
      <c r="L107" t="str">
        <f>+IF(IFERROR(VLOOKUP(CONCATENATE(F107,H107),'2. Script '!A:A,1,FALSE),"#")=CONCATENATE(F107,H107),"Y","N")</f>
        <v>N</v>
      </c>
      <c r="M107" t="str">
        <f t="shared" si="5"/>
        <v>Y</v>
      </c>
    </row>
    <row r="108" spans="2:13">
      <c r="B108" s="92" t="s">
        <v>117</v>
      </c>
      <c r="C108" s="92" t="s">
        <v>476</v>
      </c>
      <c r="D108" s="92" t="s">
        <v>893</v>
      </c>
      <c r="E108" s="92" t="str">
        <f t="shared" si="4"/>
        <v>ENTITYecnmc_actvty</v>
      </c>
      <c r="F108" s="90" t="s">
        <v>118</v>
      </c>
      <c r="G108" t="s">
        <v>24</v>
      </c>
      <c r="H108" t="s">
        <v>664</v>
      </c>
      <c r="I108" t="s">
        <v>683</v>
      </c>
      <c r="J108" t="s">
        <v>683</v>
      </c>
      <c r="L108" t="str">
        <f>+IF(IFERROR(VLOOKUP(CONCATENATE(F108,H108),'2. Script '!A:A,1,FALSE),"#")=CONCATENATE(F108,H108),"Y","N")</f>
        <v>N</v>
      </c>
      <c r="M108" t="str">
        <f t="shared" si="5"/>
        <v>Y</v>
      </c>
    </row>
    <row r="109" spans="2:13">
      <c r="B109" s="92" t="s">
        <v>117</v>
      </c>
      <c r="C109" s="92" t="s">
        <v>406</v>
      </c>
      <c r="D109" s="92" t="s">
        <v>894</v>
      </c>
      <c r="E109" s="92" t="str">
        <f t="shared" si="4"/>
        <v>ENTITYgrp_eqty</v>
      </c>
      <c r="F109" s="90" t="s">
        <v>118</v>
      </c>
      <c r="G109" t="s">
        <v>24</v>
      </c>
      <c r="H109" t="s">
        <v>665</v>
      </c>
      <c r="I109" t="s">
        <v>683</v>
      </c>
      <c r="J109" t="s">
        <v>683</v>
      </c>
      <c r="L109" t="str">
        <f>+IF(IFERROR(VLOOKUP(CONCATENATE(F109,H109),'2. Script '!A:A,1,FALSE),"#")=CONCATENATE(F109,H109),"Y","N")</f>
        <v>N</v>
      </c>
      <c r="M109" t="str">
        <f t="shared" si="5"/>
        <v>Y</v>
      </c>
    </row>
    <row r="110" spans="2:13">
      <c r="B110" s="92" t="s">
        <v>117</v>
      </c>
      <c r="C110" s="92" t="s">
        <v>407</v>
      </c>
      <c r="D110" s="92" t="s">
        <v>895</v>
      </c>
      <c r="E110" s="92" t="str">
        <f t="shared" si="4"/>
        <v>ENTITYannl_trnvr_le</v>
      </c>
      <c r="F110" s="90" t="s">
        <v>118</v>
      </c>
      <c r="G110" t="s">
        <v>24</v>
      </c>
      <c r="H110" t="s">
        <v>666</v>
      </c>
      <c r="I110" t="s">
        <v>683</v>
      </c>
      <c r="J110" t="s">
        <v>683</v>
      </c>
      <c r="L110" t="str">
        <f>+IF(IFERROR(VLOOKUP(CONCATENATE(F110,H110),'2. Script '!A:A,1,FALSE),"#")=CONCATENATE(F110,H110),"Y","N")</f>
        <v>N</v>
      </c>
      <c r="M110" t="str">
        <f t="shared" si="5"/>
        <v>Y</v>
      </c>
    </row>
    <row r="111" spans="2:13">
      <c r="B111" s="92" t="s">
        <v>117</v>
      </c>
      <c r="C111" s="92" t="s">
        <v>451</v>
      </c>
      <c r="D111" s="92" t="s">
        <v>896</v>
      </c>
      <c r="E111" s="92" t="str">
        <f t="shared" si="4"/>
        <v>ENTITYeqty</v>
      </c>
      <c r="F111" s="90" t="s">
        <v>118</v>
      </c>
      <c r="G111" t="s">
        <v>24</v>
      </c>
      <c r="H111" t="s">
        <v>667</v>
      </c>
      <c r="I111" t="s">
        <v>683</v>
      </c>
      <c r="J111" t="s">
        <v>683</v>
      </c>
      <c r="L111" t="str">
        <f>+IF(IFERROR(VLOOKUP(CONCATENATE(F111,H111),'2. Script '!A:A,1,FALSE),"#")=CONCATENATE(F111,H111),"Y","N")</f>
        <v>N</v>
      </c>
      <c r="M111" t="str">
        <f t="shared" si="5"/>
        <v>Y</v>
      </c>
    </row>
    <row r="112" spans="2:13">
      <c r="B112" s="92" t="s">
        <v>117</v>
      </c>
      <c r="C112" s="92" t="s">
        <v>452</v>
      </c>
      <c r="D112" s="92" t="s">
        <v>897</v>
      </c>
      <c r="E112" s="92" t="str">
        <f t="shared" si="4"/>
        <v>ENTITYgrp_ttl_dbt</v>
      </c>
      <c r="F112" s="90" t="s">
        <v>118</v>
      </c>
      <c r="G112" t="s">
        <v>24</v>
      </c>
      <c r="H112" t="s">
        <v>668</v>
      </c>
      <c r="I112" t="s">
        <v>683</v>
      </c>
      <c r="J112" t="s">
        <v>683</v>
      </c>
      <c r="L112" t="str">
        <f>+IF(IFERROR(VLOOKUP(CONCATENATE(F112,H112),'2. Script '!A:A,1,FALSE),"#")=CONCATENATE(F112,H112),"Y","N")</f>
        <v>N</v>
      </c>
      <c r="M112" t="str">
        <f t="shared" si="5"/>
        <v>Y</v>
      </c>
    </row>
    <row r="113" spans="2:13">
      <c r="B113" s="92" t="s">
        <v>117</v>
      </c>
      <c r="C113" s="92" t="s">
        <v>453</v>
      </c>
      <c r="D113" s="92" t="s">
        <v>898</v>
      </c>
      <c r="E113" s="92" t="str">
        <f t="shared" si="4"/>
        <v>ENTITYttl_dbt</v>
      </c>
      <c r="F113" s="90" t="s">
        <v>118</v>
      </c>
      <c r="G113" t="s">
        <v>24</v>
      </c>
      <c r="H113" t="s">
        <v>669</v>
      </c>
      <c r="I113" t="s">
        <v>683</v>
      </c>
      <c r="J113" t="s">
        <v>683</v>
      </c>
      <c r="L113" t="str">
        <f>+IF(IFERROR(VLOOKUP(CONCATENATE(F113,H113),'2. Script '!A:A,1,FALSE),"#")=CONCATENATE(F113,H113),"Y","N")</f>
        <v>N</v>
      </c>
      <c r="M113" t="str">
        <f t="shared" si="5"/>
        <v>Y</v>
      </c>
    </row>
    <row r="114" spans="2:13">
      <c r="B114" s="92" t="s">
        <v>117</v>
      </c>
      <c r="C114" s="92" t="s">
        <v>454</v>
      </c>
      <c r="D114" s="92" t="s">
        <v>899</v>
      </c>
      <c r="E114" s="92" t="str">
        <f t="shared" si="4"/>
        <v>ENTITYcod_soc</v>
      </c>
      <c r="F114" s="90" t="s">
        <v>118</v>
      </c>
      <c r="G114" t="s">
        <v>24</v>
      </c>
      <c r="H114" t="s">
        <v>656</v>
      </c>
      <c r="I114" t="s">
        <v>683</v>
      </c>
      <c r="J114" t="s">
        <v>683</v>
      </c>
      <c r="L114" t="str">
        <f>+IF(IFERROR(VLOOKUP(CONCATENATE(F114,H114),'2. Script '!A:A,1,FALSE),"#")=CONCATENATE(F114,H114),"Y","N")</f>
        <v>N</v>
      </c>
      <c r="M114" t="str">
        <f t="shared" si="5"/>
        <v>Y</v>
      </c>
    </row>
    <row r="115" spans="2:13">
      <c r="B115" s="92" t="s">
        <v>117</v>
      </c>
      <c r="C115" s="92" t="s">
        <v>514</v>
      </c>
      <c r="D115" s="92" t="s">
        <v>900</v>
      </c>
      <c r="E115" s="92" t="str">
        <f t="shared" si="4"/>
        <v>ENTITYentty_nm</v>
      </c>
      <c r="F115" s="90" t="s">
        <v>118</v>
      </c>
      <c r="G115" t="s">
        <v>24</v>
      </c>
      <c r="H115" t="s">
        <v>702</v>
      </c>
      <c r="I115" t="s">
        <v>689</v>
      </c>
      <c r="J115" t="s">
        <v>689</v>
      </c>
      <c r="K115" t="s">
        <v>692</v>
      </c>
      <c r="L115" t="str">
        <f>+IF(IFERROR(VLOOKUP(CONCATENATE(F115,H115),'2. Script '!A:A,1,FALSE),"#")=CONCATENATE(F115,H115),"Y","N")</f>
        <v>N</v>
      </c>
      <c r="M115" t="str">
        <f t="shared" si="5"/>
        <v>Y</v>
      </c>
    </row>
    <row r="116" spans="2:13">
      <c r="B116" s="92" t="s">
        <v>117</v>
      </c>
      <c r="C116" s="92" t="s">
        <v>482</v>
      </c>
      <c r="D116" s="92" t="s">
        <v>901</v>
      </c>
      <c r="E116" s="92" t="str">
        <f t="shared" si="4"/>
        <v>ENTITYec_grp_id</v>
      </c>
      <c r="F116" s="90" t="s">
        <v>118</v>
      </c>
      <c r="G116" t="s">
        <v>24</v>
      </c>
      <c r="H116" t="s">
        <v>703</v>
      </c>
      <c r="I116" t="s">
        <v>689</v>
      </c>
      <c r="J116" t="s">
        <v>690</v>
      </c>
      <c r="K116" t="s">
        <v>691</v>
      </c>
      <c r="L116" t="str">
        <f>+IF(IFERROR(VLOOKUP(CONCATENATE(F116,H116),'2. Script '!A:A,1,FALSE),"#")=CONCATENATE(F116,H116),"Y","N")</f>
        <v>N</v>
      </c>
      <c r="M116" t="str">
        <f t="shared" si="5"/>
        <v>Y</v>
      </c>
    </row>
    <row r="117" spans="2:13">
      <c r="B117" s="92" t="s">
        <v>117</v>
      </c>
      <c r="C117" s="92" t="s">
        <v>383</v>
      </c>
      <c r="D117" s="92" t="s">
        <v>902</v>
      </c>
      <c r="E117" s="92" t="str">
        <f t="shared" si="4"/>
        <v>ENTITYec_grp_nm</v>
      </c>
      <c r="F117" s="90" t="s">
        <v>118</v>
      </c>
      <c r="G117" t="s">
        <v>24</v>
      </c>
      <c r="H117" t="s">
        <v>704</v>
      </c>
      <c r="I117" t="s">
        <v>689</v>
      </c>
      <c r="J117" t="s">
        <v>690</v>
      </c>
      <c r="K117" t="s">
        <v>691</v>
      </c>
      <c r="L117" t="str">
        <f>+IF(IFERROR(VLOOKUP(CONCATENATE(F117,H117),'2. Script '!A:A,1,FALSE),"#")=CONCATENATE(F117,H117),"Y","N")</f>
        <v>N</v>
      </c>
      <c r="M117" t="str">
        <f t="shared" si="5"/>
        <v>Y</v>
      </c>
    </row>
    <row r="118" spans="2:13">
      <c r="B118" s="92" t="s">
        <v>117</v>
      </c>
      <c r="C118" s="92" t="s">
        <v>390</v>
      </c>
      <c r="D118" s="92" t="s">
        <v>903</v>
      </c>
      <c r="E118" s="92" t="str">
        <f t="shared" si="4"/>
        <v>ENTITYgrp_ecnmc_actvty</v>
      </c>
      <c r="F118" s="90" t="s">
        <v>118</v>
      </c>
      <c r="G118" t="s">
        <v>24</v>
      </c>
      <c r="H118" t="s">
        <v>705</v>
      </c>
      <c r="I118" t="s">
        <v>690</v>
      </c>
      <c r="J118" t="s">
        <v>690</v>
      </c>
      <c r="K118" t="s">
        <v>688</v>
      </c>
      <c r="L118" t="str">
        <f>+IF(IFERROR(VLOOKUP(CONCATENATE(F118,H118),'2. Script '!A:A,1,FALSE),"#")=CONCATENATE(F118,H118),"Y","N")</f>
        <v>N</v>
      </c>
      <c r="M118" t="str">
        <f t="shared" si="5"/>
        <v>N</v>
      </c>
    </row>
    <row r="119" spans="2:13">
      <c r="B119" s="92" t="s">
        <v>117</v>
      </c>
      <c r="C119" s="92" t="s">
        <v>483</v>
      </c>
      <c r="D119" s="92" t="s">
        <v>904</v>
      </c>
      <c r="E119" s="92" t="str">
        <f t="shared" si="4"/>
        <v>ENTITYtxnmy_elgbl_capex_w</v>
      </c>
      <c r="F119" s="90" t="s">
        <v>118</v>
      </c>
      <c r="G119" t="s">
        <v>24</v>
      </c>
      <c r="H119" t="s">
        <v>706</v>
      </c>
      <c r="I119" t="s">
        <v>689</v>
      </c>
      <c r="J119" t="s">
        <v>689</v>
      </c>
      <c r="K119" t="s">
        <v>707</v>
      </c>
      <c r="L119" t="str">
        <f>+IF(IFERROR(VLOOKUP(CONCATENATE(F119,H119),'2. Script '!A:A,1,FALSE),"#")=CONCATENATE(F119,H119),"Y","N")</f>
        <v>N</v>
      </c>
      <c r="M119" t="str">
        <f t="shared" si="5"/>
        <v>N</v>
      </c>
    </row>
    <row r="120" spans="2:13">
      <c r="B120" s="92" t="s">
        <v>117</v>
      </c>
      <c r="C120" s="92" t="s">
        <v>384</v>
      </c>
      <c r="D120" s="92" t="s">
        <v>905</v>
      </c>
      <c r="E120" s="92" t="str">
        <f t="shared" si="4"/>
        <v>ENTITYtxnmy_elgbl_trnvr_w</v>
      </c>
      <c r="F120" s="90" t="s">
        <v>118</v>
      </c>
      <c r="G120" t="s">
        <v>24</v>
      </c>
      <c r="H120" t="s">
        <v>708</v>
      </c>
      <c r="I120" t="s">
        <v>689</v>
      </c>
      <c r="J120" t="s">
        <v>689</v>
      </c>
      <c r="K120" t="s">
        <v>707</v>
      </c>
      <c r="L120" t="str">
        <f>+IF(IFERROR(VLOOKUP(CONCATENATE(F120,H120),'2. Script '!A:A,1,FALSE),"#")=CONCATENATE(F120,H120),"Y","N")</f>
        <v>N</v>
      </c>
      <c r="M120" t="str">
        <f t="shared" si="5"/>
        <v>N</v>
      </c>
    </row>
    <row r="121" spans="2:13">
      <c r="B121" s="92" t="s">
        <v>117</v>
      </c>
      <c r="C121" s="92" t="s">
        <v>385</v>
      </c>
      <c r="D121" s="92" t="s">
        <v>906</v>
      </c>
      <c r="E121" s="92" t="str">
        <f t="shared" si="4"/>
        <v>ENTITYtxnmy_elgbl_capex_p</v>
      </c>
      <c r="F121" s="90" t="s">
        <v>118</v>
      </c>
      <c r="G121" t="s">
        <v>24</v>
      </c>
      <c r="H121" t="s">
        <v>709</v>
      </c>
      <c r="I121" t="s">
        <v>689</v>
      </c>
      <c r="J121" t="s">
        <v>689</v>
      </c>
      <c r="K121" t="s">
        <v>707</v>
      </c>
      <c r="L121" t="str">
        <f>+IF(IFERROR(VLOOKUP(CONCATENATE(F121,H121),'2. Script '!A:A,1,FALSE),"#")=CONCATENATE(F121,H121),"Y","N")</f>
        <v>N</v>
      </c>
      <c r="M121" t="str">
        <f t="shared" si="5"/>
        <v>N</v>
      </c>
    </row>
    <row r="122" spans="2:13">
      <c r="B122" s="92" t="s">
        <v>117</v>
      </c>
      <c r="C122" s="92" t="s">
        <v>484</v>
      </c>
      <c r="D122" s="92" t="s">
        <v>907</v>
      </c>
      <c r="E122" s="92" t="str">
        <f t="shared" si="4"/>
        <v>ENTITYtxnmy_elgbl_trnvr_p</v>
      </c>
      <c r="F122" s="90" t="s">
        <v>118</v>
      </c>
      <c r="G122" t="s">
        <v>24</v>
      </c>
      <c r="H122" t="s">
        <v>710</v>
      </c>
      <c r="I122" t="s">
        <v>689</v>
      </c>
      <c r="J122" t="s">
        <v>689</v>
      </c>
      <c r="K122" t="s">
        <v>707</v>
      </c>
      <c r="L122" t="str">
        <f>+IF(IFERROR(VLOOKUP(CONCATENATE(F122,H122),'2. Script '!A:A,1,FALSE),"#")=CONCATENATE(F122,H122),"Y","N")</f>
        <v>N</v>
      </c>
      <c r="M122" t="str">
        <f t="shared" si="5"/>
        <v>N</v>
      </c>
    </row>
    <row r="123" spans="2:13">
      <c r="B123" s="92" t="s">
        <v>117</v>
      </c>
      <c r="C123" s="92" t="s">
        <v>485</v>
      </c>
      <c r="D123" s="92" t="s">
        <v>908</v>
      </c>
      <c r="E123" s="92" t="str">
        <f t="shared" si="4"/>
        <v>ENTITYtxnmy_elgbl_capex_b</v>
      </c>
      <c r="F123" s="90" t="s">
        <v>118</v>
      </c>
      <c r="G123" t="s">
        <v>24</v>
      </c>
      <c r="H123" t="s">
        <v>711</v>
      </c>
      <c r="I123" t="s">
        <v>689</v>
      </c>
      <c r="J123" t="s">
        <v>689</v>
      </c>
      <c r="K123" t="s">
        <v>707</v>
      </c>
      <c r="L123" t="str">
        <f>+IF(IFERROR(VLOOKUP(CONCATENATE(F123,H123),'2. Script '!A:A,1,FALSE),"#")=CONCATENATE(F123,H123),"Y","N")</f>
        <v>N</v>
      </c>
      <c r="M123" t="str">
        <f t="shared" si="5"/>
        <v>N</v>
      </c>
    </row>
    <row r="124" spans="2:13">
      <c r="B124" s="92" t="s">
        <v>117</v>
      </c>
      <c r="C124" s="92" t="s">
        <v>486</v>
      </c>
      <c r="D124" s="92" t="s">
        <v>909</v>
      </c>
      <c r="E124" s="92" t="str">
        <f t="shared" si="4"/>
        <v>ENTITYtxnmy_elgbl_trnvr_b</v>
      </c>
      <c r="F124" s="90" t="s">
        <v>118</v>
      </c>
      <c r="G124" t="s">
        <v>24</v>
      </c>
      <c r="H124" t="s">
        <v>712</v>
      </c>
      <c r="I124" t="s">
        <v>689</v>
      </c>
      <c r="J124" t="s">
        <v>689</v>
      </c>
      <c r="K124" t="s">
        <v>707</v>
      </c>
      <c r="L124" t="str">
        <f>+IF(IFERROR(VLOOKUP(CONCATENATE(F124,H124),'2. Script '!A:A,1,FALSE),"#")=CONCATENATE(F124,H124),"Y","N")</f>
        <v>N</v>
      </c>
      <c r="M124" t="str">
        <f t="shared" si="5"/>
        <v>N</v>
      </c>
    </row>
    <row r="125" spans="2:13">
      <c r="B125" s="92" t="s">
        <v>117</v>
      </c>
      <c r="C125" s="92" t="s">
        <v>515</v>
      </c>
      <c r="D125" s="92" t="s">
        <v>910</v>
      </c>
      <c r="E125" s="92" t="str">
        <f t="shared" si="4"/>
        <v>ENTITYtxnmy_elgbl_capex_ce</v>
      </c>
      <c r="F125" s="90" t="s">
        <v>118</v>
      </c>
      <c r="G125" t="s">
        <v>24</v>
      </c>
      <c r="H125" t="s">
        <v>713</v>
      </c>
      <c r="I125" t="s">
        <v>689</v>
      </c>
      <c r="J125" t="s">
        <v>689</v>
      </c>
      <c r="K125" t="s">
        <v>707</v>
      </c>
      <c r="L125" t="str">
        <f>+IF(IFERROR(VLOOKUP(CONCATENATE(F125,H125),'2. Script '!A:A,1,FALSE),"#")=CONCATENATE(F125,H125),"Y","N")</f>
        <v>N</v>
      </c>
      <c r="M125" t="str">
        <f t="shared" si="5"/>
        <v>N</v>
      </c>
    </row>
    <row r="126" spans="2:13">
      <c r="B126" s="92" t="s">
        <v>117</v>
      </c>
      <c r="C126" s="92" t="s">
        <v>425</v>
      </c>
      <c r="D126" s="92" t="s">
        <v>911</v>
      </c>
      <c r="E126" s="92" t="str">
        <f t="shared" si="4"/>
        <v>ENTITYtxnmy_elgbl_trnvr_ce</v>
      </c>
      <c r="F126" s="90" t="s">
        <v>118</v>
      </c>
      <c r="G126" t="s">
        <v>24</v>
      </c>
      <c r="H126" t="s">
        <v>714</v>
      </c>
      <c r="I126" t="s">
        <v>689</v>
      </c>
      <c r="J126" t="s">
        <v>689</v>
      </c>
      <c r="K126" t="s">
        <v>707</v>
      </c>
      <c r="L126" t="str">
        <f>+IF(IFERROR(VLOOKUP(CONCATENATE(F126,H126),'2. Script '!A:A,1,FALSE),"#")=CONCATENATE(F126,H126),"Y","N")</f>
        <v>N</v>
      </c>
      <c r="M126" t="str">
        <f t="shared" si="5"/>
        <v>N</v>
      </c>
    </row>
    <row r="127" spans="2:13">
      <c r="B127" s="92" t="s">
        <v>117</v>
      </c>
      <c r="C127" s="92" t="s">
        <v>530</v>
      </c>
      <c r="D127" s="92" t="s">
        <v>912</v>
      </c>
      <c r="E127" s="92" t="str">
        <f t="shared" si="4"/>
        <v>ENTITYpure_capex_p</v>
      </c>
      <c r="F127" s="90" t="s">
        <v>118</v>
      </c>
      <c r="G127" t="s">
        <v>24</v>
      </c>
      <c r="H127" t="s">
        <v>715</v>
      </c>
      <c r="I127" t="s">
        <v>689</v>
      </c>
      <c r="J127" t="s">
        <v>689</v>
      </c>
      <c r="K127" t="s">
        <v>707</v>
      </c>
      <c r="L127" t="str">
        <f>+IF(IFERROR(VLOOKUP(CONCATENATE(F127,H127),'2. Script '!A:A,1,FALSE),"#")=CONCATENATE(F127,H127),"Y","N")</f>
        <v>N</v>
      </c>
      <c r="M127" t="str">
        <f t="shared" si="5"/>
        <v>N</v>
      </c>
    </row>
    <row r="128" spans="2:13">
      <c r="B128" s="92" t="s">
        <v>117</v>
      </c>
      <c r="C128" s="92" t="s">
        <v>408</v>
      </c>
      <c r="D128" s="92" t="s">
        <v>913</v>
      </c>
      <c r="E128" s="92" t="str">
        <f t="shared" si="4"/>
        <v>ENTITYpure_trnvr_p</v>
      </c>
      <c r="F128" s="90" t="s">
        <v>118</v>
      </c>
      <c r="G128" t="s">
        <v>24</v>
      </c>
      <c r="H128" t="s">
        <v>716</v>
      </c>
      <c r="I128" t="s">
        <v>689</v>
      </c>
      <c r="J128" t="s">
        <v>689</v>
      </c>
      <c r="K128" t="s">
        <v>707</v>
      </c>
      <c r="L128" t="str">
        <f>+IF(IFERROR(VLOOKUP(CONCATENATE(F128,H128),'2. Script '!A:A,1,FALSE),"#")=CONCATENATE(F128,H128),"Y","N")</f>
        <v>N</v>
      </c>
      <c r="M128" t="str">
        <f t="shared" si="5"/>
        <v>N</v>
      </c>
    </row>
    <row r="129" spans="2:13">
      <c r="B129" s="92" t="s">
        <v>117</v>
      </c>
      <c r="C129" s="92" t="s">
        <v>531</v>
      </c>
      <c r="D129" s="92" t="s">
        <v>914</v>
      </c>
      <c r="E129" s="92" t="str">
        <f t="shared" si="4"/>
        <v>ENTITYpure_capex_b</v>
      </c>
      <c r="F129" s="90" t="s">
        <v>118</v>
      </c>
      <c r="G129" t="s">
        <v>24</v>
      </c>
      <c r="H129" t="s">
        <v>717</v>
      </c>
      <c r="I129" t="s">
        <v>689</v>
      </c>
      <c r="J129" t="s">
        <v>689</v>
      </c>
      <c r="K129" t="s">
        <v>707</v>
      </c>
      <c r="L129" t="str">
        <f>+IF(IFERROR(VLOOKUP(CONCATENATE(F129,H129),'2. Script '!A:A,1,FALSE),"#")=CONCATENATE(F129,H129),"Y","N")</f>
        <v>N</v>
      </c>
      <c r="M129" t="str">
        <f t="shared" si="5"/>
        <v>N</v>
      </c>
    </row>
    <row r="130" spans="2:13">
      <c r="B130" s="92" t="s">
        <v>117</v>
      </c>
      <c r="C130" s="92" t="s">
        <v>88</v>
      </c>
      <c r="D130" s="92" t="s">
        <v>775</v>
      </c>
      <c r="E130" s="92" t="str">
        <f t="shared" si="4"/>
        <v>ENTITYpure_trnvr_b</v>
      </c>
      <c r="F130" s="90" t="s">
        <v>118</v>
      </c>
      <c r="G130" t="s">
        <v>24</v>
      </c>
      <c r="H130" t="s">
        <v>718</v>
      </c>
      <c r="I130" t="s">
        <v>689</v>
      </c>
      <c r="J130" t="s">
        <v>689</v>
      </c>
      <c r="K130" t="s">
        <v>707</v>
      </c>
      <c r="L130" t="str">
        <f>+IF(IFERROR(VLOOKUP(CONCATENATE(F130,H130),'2. Script '!A:A,1,FALSE),"#")=CONCATENATE(F130,H130),"Y","N")</f>
        <v>N</v>
      </c>
      <c r="M130" t="str">
        <f t="shared" si="5"/>
        <v>N</v>
      </c>
    </row>
    <row r="131" spans="2:13">
      <c r="B131" s="92" t="s">
        <v>117</v>
      </c>
      <c r="C131" s="92" t="s">
        <v>426</v>
      </c>
      <c r="D131" s="92" t="s">
        <v>915</v>
      </c>
      <c r="E131" s="92" t="str">
        <f t="shared" si="4"/>
        <v>ENTITYpure_capex_w</v>
      </c>
      <c r="F131" s="90" t="s">
        <v>118</v>
      </c>
      <c r="G131" t="s">
        <v>24</v>
      </c>
      <c r="H131" t="s">
        <v>719</v>
      </c>
      <c r="I131" t="s">
        <v>689</v>
      </c>
      <c r="J131" t="s">
        <v>689</v>
      </c>
      <c r="K131" t="s">
        <v>707</v>
      </c>
      <c r="L131" t="str">
        <f>+IF(IFERROR(VLOOKUP(CONCATENATE(F131,H131),'2. Script '!A:A,1,FALSE),"#")=CONCATENATE(F131,H131),"Y","N")</f>
        <v>N</v>
      </c>
      <c r="M131" t="str">
        <f t="shared" ref="M131:M162" si="6">+IF(IFERROR(VLOOKUP(CONCATENATE(F131,H131),D:D,1,FALSE),"#")=CONCATENATE(F131,H131),"Y","N")</f>
        <v>N</v>
      </c>
    </row>
    <row r="132" spans="2:13">
      <c r="B132" s="92" t="s">
        <v>117</v>
      </c>
      <c r="C132" s="92" t="s">
        <v>89</v>
      </c>
      <c r="D132" s="92" t="s">
        <v>776</v>
      </c>
      <c r="E132" s="92" t="str">
        <f t="shared" ref="E132:E184" si="7">+F132&amp;H132</f>
        <v>ENTITYpure_trnvr_w</v>
      </c>
      <c r="F132" s="90" t="s">
        <v>118</v>
      </c>
      <c r="G132" t="s">
        <v>24</v>
      </c>
      <c r="H132" t="s">
        <v>720</v>
      </c>
      <c r="I132" t="s">
        <v>689</v>
      </c>
      <c r="J132" t="s">
        <v>689</v>
      </c>
      <c r="K132" t="s">
        <v>707</v>
      </c>
      <c r="L132" t="str">
        <f>+IF(IFERROR(VLOOKUP(CONCATENATE(F132,H132),'2. Script '!A:A,1,FALSE),"#")=CONCATENATE(F132,H132),"Y","N")</f>
        <v>N</v>
      </c>
      <c r="M132" t="str">
        <f t="shared" si="6"/>
        <v>N</v>
      </c>
    </row>
    <row r="133" spans="2:13">
      <c r="B133" s="92" t="s">
        <v>117</v>
      </c>
      <c r="C133" s="92" t="s">
        <v>98</v>
      </c>
      <c r="D133" s="92" t="s">
        <v>788</v>
      </c>
      <c r="E133" s="92" t="str">
        <f t="shared" si="7"/>
        <v>ENTITYpure_capex_ce</v>
      </c>
      <c r="F133" s="90" t="s">
        <v>118</v>
      </c>
      <c r="G133" t="s">
        <v>24</v>
      </c>
      <c r="H133" t="s">
        <v>721</v>
      </c>
      <c r="I133" t="s">
        <v>689</v>
      </c>
      <c r="J133" t="s">
        <v>689</v>
      </c>
      <c r="K133" t="s">
        <v>707</v>
      </c>
      <c r="L133" t="str">
        <f>+IF(IFERROR(VLOOKUP(CONCATENATE(F133,H133),'2. Script '!A:A,1,FALSE),"#")=CONCATENATE(F133,H133),"Y","N")</f>
        <v>N</v>
      </c>
      <c r="M133" t="str">
        <f t="shared" si="6"/>
        <v>N</v>
      </c>
    </row>
    <row r="134" spans="2:13">
      <c r="B134" s="92" t="s">
        <v>117</v>
      </c>
      <c r="C134" s="92" t="s">
        <v>427</v>
      </c>
      <c r="D134" s="92" t="s">
        <v>916</v>
      </c>
      <c r="E134" s="92" t="str">
        <f t="shared" si="7"/>
        <v>ENTITYpure_trnvr_ce</v>
      </c>
      <c r="F134" s="90" t="s">
        <v>118</v>
      </c>
      <c r="G134" t="s">
        <v>24</v>
      </c>
      <c r="H134" t="s">
        <v>722</v>
      </c>
      <c r="I134" t="s">
        <v>689</v>
      </c>
      <c r="J134" t="s">
        <v>689</v>
      </c>
      <c r="K134" t="s">
        <v>707</v>
      </c>
      <c r="L134" t="str">
        <f>+IF(IFERROR(VLOOKUP(CONCATENATE(F134,H134),'2. Script '!A:A,1,FALSE),"#")=CONCATENATE(F134,H134),"Y","N")</f>
        <v>N</v>
      </c>
      <c r="M134" t="str">
        <f t="shared" si="6"/>
        <v>N</v>
      </c>
    </row>
    <row r="135" spans="2:13">
      <c r="B135" s="92" t="s">
        <v>117</v>
      </c>
      <c r="C135" s="92" t="s">
        <v>532</v>
      </c>
      <c r="D135" s="92" t="s">
        <v>917</v>
      </c>
      <c r="E135" s="92" t="str">
        <f t="shared" si="7"/>
        <v>ENTITYenblng_capex_w</v>
      </c>
      <c r="F135" s="90" t="s">
        <v>118</v>
      </c>
      <c r="G135" t="s">
        <v>24</v>
      </c>
      <c r="H135" t="s">
        <v>723</v>
      </c>
      <c r="I135" t="s">
        <v>689</v>
      </c>
      <c r="J135" t="s">
        <v>689</v>
      </c>
      <c r="K135" t="s">
        <v>707</v>
      </c>
      <c r="L135" t="str">
        <f>+IF(IFERROR(VLOOKUP(CONCATENATE(F135,H135),'2. Script '!A:A,1,FALSE),"#")=CONCATENATE(F135,H135),"Y","N")</f>
        <v>N</v>
      </c>
      <c r="M135" t="str">
        <f t="shared" si="6"/>
        <v>N</v>
      </c>
    </row>
    <row r="136" spans="2:13">
      <c r="B136" s="92" t="s">
        <v>117</v>
      </c>
      <c r="C136" s="92" t="s">
        <v>455</v>
      </c>
      <c r="D136" s="92" t="s">
        <v>918</v>
      </c>
      <c r="E136" s="92" t="str">
        <f t="shared" si="7"/>
        <v>ENTITYenblng_trnvr_w</v>
      </c>
      <c r="F136" s="90" t="s">
        <v>118</v>
      </c>
      <c r="G136" t="s">
        <v>24</v>
      </c>
      <c r="H136" t="s">
        <v>724</v>
      </c>
      <c r="I136" t="s">
        <v>689</v>
      </c>
      <c r="J136" t="s">
        <v>689</v>
      </c>
      <c r="K136" t="s">
        <v>707</v>
      </c>
      <c r="L136" t="str">
        <f>+IF(IFERROR(VLOOKUP(CONCATENATE(F136,H136),'2. Script '!A:A,1,FALSE),"#")=CONCATENATE(F136,H136),"Y","N")</f>
        <v>N</v>
      </c>
      <c r="M136" t="str">
        <f t="shared" si="6"/>
        <v>N</v>
      </c>
    </row>
    <row r="137" spans="2:13">
      <c r="B137" s="92" t="s">
        <v>117</v>
      </c>
      <c r="C137" s="92" t="s">
        <v>456</v>
      </c>
      <c r="D137" s="92" t="s">
        <v>919</v>
      </c>
      <c r="E137" s="92" t="str">
        <f t="shared" si="7"/>
        <v>ENTITYenblng_capex_ce</v>
      </c>
      <c r="F137" s="90" t="s">
        <v>118</v>
      </c>
      <c r="G137" t="s">
        <v>24</v>
      </c>
      <c r="H137" t="s">
        <v>725</v>
      </c>
      <c r="I137" t="s">
        <v>689</v>
      </c>
      <c r="J137" t="s">
        <v>689</v>
      </c>
      <c r="K137" t="s">
        <v>707</v>
      </c>
      <c r="L137" t="str">
        <f>+IF(IFERROR(VLOOKUP(CONCATENATE(F137,H137),'2. Script '!A:A,1,FALSE),"#")=CONCATENATE(F137,H137),"Y","N")</f>
        <v>N</v>
      </c>
      <c r="M137" t="str">
        <f t="shared" si="6"/>
        <v>N</v>
      </c>
    </row>
    <row r="138" spans="2:13">
      <c r="B138" s="92" t="s">
        <v>117</v>
      </c>
      <c r="C138" s="92" t="s">
        <v>428</v>
      </c>
      <c r="D138" s="92" t="s">
        <v>920</v>
      </c>
      <c r="E138" s="92" t="str">
        <f t="shared" si="7"/>
        <v>ENTITYenblng_trnvr_ce</v>
      </c>
      <c r="F138" s="90" t="s">
        <v>118</v>
      </c>
      <c r="G138" t="s">
        <v>24</v>
      </c>
      <c r="H138" t="s">
        <v>726</v>
      </c>
      <c r="I138" t="s">
        <v>689</v>
      </c>
      <c r="J138" t="s">
        <v>689</v>
      </c>
      <c r="K138" t="s">
        <v>707</v>
      </c>
      <c r="L138" t="str">
        <f>+IF(IFERROR(VLOOKUP(CONCATENATE(F138,H138),'2. Script '!A:A,1,FALSE),"#")=CONCATENATE(F138,H138),"Y","N")</f>
        <v>N</v>
      </c>
      <c r="M138" t="str">
        <f t="shared" si="6"/>
        <v>N</v>
      </c>
    </row>
    <row r="139" spans="2:13">
      <c r="B139" s="92" t="s">
        <v>117</v>
      </c>
      <c r="C139" s="92" t="s">
        <v>429</v>
      </c>
      <c r="D139" s="92" t="s">
        <v>921</v>
      </c>
      <c r="E139" s="92" t="str">
        <f t="shared" si="7"/>
        <v>PROTECTIONdt_rfrnc</v>
      </c>
      <c r="F139" s="90" t="s">
        <v>119</v>
      </c>
      <c r="G139" t="s">
        <v>30</v>
      </c>
      <c r="H139" t="s">
        <v>640</v>
      </c>
      <c r="I139" t="s">
        <v>683</v>
      </c>
      <c r="J139" t="s">
        <v>683</v>
      </c>
      <c r="L139" t="str">
        <f>+IF(IFERROR(VLOOKUP(CONCATENATE(F139,H139),'2. Script '!A:A,1,FALSE),"#")=CONCATENATE(F139,H139),"Y","N")</f>
        <v>N</v>
      </c>
      <c r="M139" t="str">
        <f t="shared" si="6"/>
        <v>Y</v>
      </c>
    </row>
    <row r="140" spans="2:13">
      <c r="B140" s="92" t="s">
        <v>117</v>
      </c>
      <c r="C140" s="92" t="s">
        <v>492</v>
      </c>
      <c r="D140" s="92" t="s">
        <v>922</v>
      </c>
      <c r="E140" s="92" t="str">
        <f t="shared" si="7"/>
        <v>PROTECTIONprtctn_id</v>
      </c>
      <c r="F140" s="90" t="s">
        <v>119</v>
      </c>
      <c r="G140" t="s">
        <v>30</v>
      </c>
      <c r="H140" t="s">
        <v>29</v>
      </c>
      <c r="I140" t="s">
        <v>683</v>
      </c>
      <c r="J140" t="s">
        <v>683</v>
      </c>
      <c r="L140" t="str">
        <f>+IF(IFERROR(VLOOKUP(CONCATENATE(F140,H140),'2. Script '!A:A,1,FALSE),"#")=CONCATENATE(F140,H140),"Y","N")</f>
        <v>N</v>
      </c>
      <c r="M140" t="str">
        <f t="shared" si="6"/>
        <v>Y</v>
      </c>
    </row>
    <row r="141" spans="2:13">
      <c r="B141" s="92" t="s">
        <v>117</v>
      </c>
      <c r="C141" s="92" t="s">
        <v>493</v>
      </c>
      <c r="D141" s="92" t="s">
        <v>923</v>
      </c>
      <c r="E141" s="92" t="str">
        <f t="shared" si="7"/>
        <v>PROTECTIONrl_estt_clltrl_lctn</v>
      </c>
      <c r="F141" s="90" t="s">
        <v>119</v>
      </c>
      <c r="G141" t="s">
        <v>30</v>
      </c>
      <c r="H141" t="s">
        <v>670</v>
      </c>
      <c r="I141" t="s">
        <v>683</v>
      </c>
      <c r="J141" t="s">
        <v>683</v>
      </c>
      <c r="L141" t="str">
        <f>+IF(IFERROR(VLOOKUP(CONCATENATE(F141,H141),'2. Script '!A:A,1,FALSE),"#")=CONCATENATE(F141,H141),"Y","N")</f>
        <v>N</v>
      </c>
      <c r="M141" t="str">
        <f t="shared" si="6"/>
        <v>Y</v>
      </c>
    </row>
    <row r="142" spans="2:13">
      <c r="B142" s="92" t="s">
        <v>117</v>
      </c>
      <c r="C142" s="92" t="s">
        <v>494</v>
      </c>
      <c r="D142" s="92" t="s">
        <v>924</v>
      </c>
      <c r="E142" s="92" t="str">
        <f t="shared" si="7"/>
        <v>PROTECTIONrl_estt_pst_cd</v>
      </c>
      <c r="F142" s="90" t="s">
        <v>119</v>
      </c>
      <c r="G142" t="s">
        <v>30</v>
      </c>
      <c r="H142" t="s">
        <v>671</v>
      </c>
      <c r="I142" t="s">
        <v>683</v>
      </c>
      <c r="J142" t="s">
        <v>683</v>
      </c>
      <c r="L142" t="str">
        <f>+IF(IFERROR(VLOOKUP(CONCATENATE(F142,H142),'2. Script '!A:A,1,FALSE),"#")=CONCATENATE(F142,H142),"Y","N")</f>
        <v>N</v>
      </c>
      <c r="M142" t="str">
        <f t="shared" si="6"/>
        <v>Y</v>
      </c>
    </row>
    <row r="143" spans="2:13">
      <c r="B143" s="92" t="s">
        <v>117</v>
      </c>
      <c r="C143" s="92" t="s">
        <v>495</v>
      </c>
      <c r="D143" s="92" t="s">
        <v>925</v>
      </c>
      <c r="E143" s="92" t="str">
        <f t="shared" si="7"/>
        <v>PROTECTIONtyp_prtctn</v>
      </c>
      <c r="F143" s="90" t="s">
        <v>119</v>
      </c>
      <c r="G143" t="s">
        <v>30</v>
      </c>
      <c r="H143" t="s">
        <v>672</v>
      </c>
      <c r="I143" t="s">
        <v>683</v>
      </c>
      <c r="J143" t="s">
        <v>683</v>
      </c>
      <c r="L143" t="str">
        <f>+IF(IFERROR(VLOOKUP(CONCATENATE(F143,H143),'2. Script '!A:A,1,FALSE),"#")=CONCATENATE(F143,H143),"Y","N")</f>
        <v>N</v>
      </c>
      <c r="M143" t="str">
        <f t="shared" si="6"/>
        <v>Y</v>
      </c>
    </row>
    <row r="144" spans="2:13">
      <c r="B144" s="92" t="s">
        <v>117</v>
      </c>
      <c r="C144" s="92" t="s">
        <v>430</v>
      </c>
      <c r="D144" s="92" t="s">
        <v>926</v>
      </c>
      <c r="E144" s="92" t="str">
        <f t="shared" si="7"/>
        <v>PROTECTIONorgnl_prtctn_vl</v>
      </c>
      <c r="F144" s="90" t="s">
        <v>119</v>
      </c>
      <c r="G144" t="s">
        <v>30</v>
      </c>
      <c r="H144" t="s">
        <v>673</v>
      </c>
      <c r="I144" t="s">
        <v>683</v>
      </c>
      <c r="J144" t="s">
        <v>683</v>
      </c>
      <c r="L144" t="str">
        <f>+IF(IFERROR(VLOOKUP(CONCATENATE(F144,H144),'2. Script '!A:A,1,FALSE),"#")=CONCATENATE(F144,H144),"Y","N")</f>
        <v>N</v>
      </c>
      <c r="M144" t="str">
        <f t="shared" si="6"/>
        <v>Y</v>
      </c>
    </row>
    <row r="145" spans="2:13">
      <c r="B145" s="92" t="s">
        <v>117</v>
      </c>
      <c r="C145" s="92" t="s">
        <v>549</v>
      </c>
      <c r="D145" s="92" t="s">
        <v>927</v>
      </c>
      <c r="E145" s="92" t="str">
        <f t="shared" si="7"/>
        <v>PROTECTIONprtctn_vl</v>
      </c>
      <c r="F145" s="90" t="s">
        <v>119</v>
      </c>
      <c r="G145" t="s">
        <v>30</v>
      </c>
      <c r="H145" t="s">
        <v>674</v>
      </c>
      <c r="I145" t="s">
        <v>683</v>
      </c>
      <c r="J145" t="s">
        <v>683</v>
      </c>
      <c r="L145" t="str">
        <f>+IF(IFERROR(VLOOKUP(CONCATENATE(F145,H145),'2. Script '!A:A,1,FALSE),"#")=CONCATENATE(F145,H145),"Y","N")</f>
        <v>N</v>
      </c>
      <c r="M145" t="str">
        <f t="shared" si="6"/>
        <v>Y</v>
      </c>
    </row>
    <row r="146" spans="2:13">
      <c r="B146" s="92" t="s">
        <v>117</v>
      </c>
      <c r="C146" s="92" t="s">
        <v>402</v>
      </c>
      <c r="D146" s="92" t="s">
        <v>928</v>
      </c>
      <c r="E146" s="92" t="str">
        <f t="shared" si="7"/>
        <v>PROTECTIONcod_soc</v>
      </c>
      <c r="F146" s="90" t="s">
        <v>119</v>
      </c>
      <c r="G146" t="s">
        <v>30</v>
      </c>
      <c r="H146" t="s">
        <v>656</v>
      </c>
      <c r="I146" t="s">
        <v>683</v>
      </c>
      <c r="J146" t="s">
        <v>683</v>
      </c>
      <c r="L146" t="str">
        <f>+IF(IFERROR(VLOOKUP(CONCATENATE(F146,H146),'2. Script '!A:A,1,FALSE),"#")=CONCATENATE(F146,H146),"Y","N")</f>
        <v>N</v>
      </c>
      <c r="M146" t="str">
        <f t="shared" si="6"/>
        <v>Y</v>
      </c>
    </row>
    <row r="147" spans="2:13">
      <c r="B147" s="92" t="s">
        <v>117</v>
      </c>
      <c r="C147" s="92" t="s">
        <v>350</v>
      </c>
      <c r="D147" s="92" t="s">
        <v>929</v>
      </c>
      <c r="E147" s="92" t="str">
        <f t="shared" si="7"/>
        <v>INSTR_ENTITYdt_rfrnc</v>
      </c>
      <c r="F147" s="90" t="s">
        <v>310</v>
      </c>
      <c r="G147" t="s">
        <v>26</v>
      </c>
      <c r="H147" t="s">
        <v>640</v>
      </c>
      <c r="I147" t="s">
        <v>683</v>
      </c>
      <c r="J147" t="s">
        <v>683</v>
      </c>
      <c r="L147" t="str">
        <f>+IF(IFERROR(VLOOKUP(CONCATENATE(F147,H147),'2. Script '!A:A,1,FALSE),"#")=CONCATENATE(F147,H147),"Y","N")</f>
        <v>N</v>
      </c>
      <c r="M147" t="str">
        <f t="shared" si="6"/>
        <v>Y</v>
      </c>
    </row>
    <row r="148" spans="2:13">
      <c r="B148" s="92" t="s">
        <v>117</v>
      </c>
      <c r="C148" s="92" t="s">
        <v>351</v>
      </c>
      <c r="D148" s="92" t="s">
        <v>930</v>
      </c>
      <c r="E148" s="92" t="str">
        <f t="shared" si="7"/>
        <v>INSTR_ENTITYentty_id</v>
      </c>
      <c r="F148" s="90" t="s">
        <v>310</v>
      </c>
      <c r="G148" t="s">
        <v>26</v>
      </c>
      <c r="H148" t="s">
        <v>25</v>
      </c>
      <c r="I148" t="s">
        <v>683</v>
      </c>
      <c r="J148" t="s">
        <v>683</v>
      </c>
      <c r="L148" t="str">
        <f>+IF(IFERROR(VLOOKUP(CONCATENATE(F148,H148),'2. Script '!A:A,1,FALSE),"#")=CONCATENATE(F148,H148),"Y","N")</f>
        <v>N</v>
      </c>
      <c r="M148" t="str">
        <f t="shared" si="6"/>
        <v>Y</v>
      </c>
    </row>
    <row r="149" spans="2:13">
      <c r="B149" s="92" t="s">
        <v>117</v>
      </c>
      <c r="C149" s="92" t="s">
        <v>457</v>
      </c>
      <c r="D149" s="92" t="s">
        <v>931</v>
      </c>
      <c r="E149" s="92" t="str">
        <f t="shared" si="7"/>
        <v>INSTR_ENTITYinstrmnt_id</v>
      </c>
      <c r="F149" s="90" t="s">
        <v>310</v>
      </c>
      <c r="G149" t="s">
        <v>26</v>
      </c>
      <c r="H149" t="s">
        <v>27</v>
      </c>
      <c r="I149" t="s">
        <v>683</v>
      </c>
      <c r="J149" t="s">
        <v>683</v>
      </c>
      <c r="L149" t="str">
        <f>+IF(IFERROR(VLOOKUP(CONCATENATE(F149,H149),'2. Script '!A:A,1,FALSE),"#")=CONCATENATE(F149,H149),"Y","N")</f>
        <v>N</v>
      </c>
      <c r="M149" t="str">
        <f t="shared" si="6"/>
        <v>Y</v>
      </c>
    </row>
    <row r="150" spans="2:13">
      <c r="B150" s="92" t="s">
        <v>117</v>
      </c>
      <c r="C150" s="92" t="s">
        <v>458</v>
      </c>
      <c r="D150" s="92" t="s">
        <v>932</v>
      </c>
      <c r="E150" s="92" t="str">
        <f t="shared" si="7"/>
        <v>INSTR_ENTITYcod_soc</v>
      </c>
      <c r="F150" s="90" t="s">
        <v>310</v>
      </c>
      <c r="G150" t="s">
        <v>26</v>
      </c>
      <c r="H150" t="s">
        <v>656</v>
      </c>
      <c r="I150" t="s">
        <v>683</v>
      </c>
      <c r="J150" t="s">
        <v>683</v>
      </c>
      <c r="L150" t="str">
        <f>+IF(IFERROR(VLOOKUP(CONCATENATE(F150,H150),'2. Script '!A:A,1,FALSE),"#")=CONCATENATE(F150,H150),"Y","N")</f>
        <v>N</v>
      </c>
      <c r="M150" t="str">
        <f t="shared" si="6"/>
        <v>Y</v>
      </c>
    </row>
    <row r="151" spans="2:13">
      <c r="B151" s="92" t="s">
        <v>117</v>
      </c>
      <c r="C151" s="92" t="s">
        <v>459</v>
      </c>
      <c r="D151" s="92" t="s">
        <v>933</v>
      </c>
      <c r="E151" s="92" t="str">
        <f t="shared" si="7"/>
        <v>INSTR_ENTITYmn_entty_id</v>
      </c>
      <c r="F151" s="90" t="s">
        <v>310</v>
      </c>
      <c r="G151" t="s">
        <v>26</v>
      </c>
      <c r="H151" t="s">
        <v>290</v>
      </c>
      <c r="I151" t="s">
        <v>683</v>
      </c>
      <c r="J151" t="s">
        <v>683</v>
      </c>
      <c r="L151" t="str">
        <f>+IF(IFERROR(VLOOKUP(CONCATENATE(F151,H151),'2. Script '!A:A,1,FALSE),"#")=CONCATENATE(F151,H151),"Y","N")</f>
        <v>N</v>
      </c>
      <c r="M151" t="str">
        <f t="shared" si="6"/>
        <v>Y</v>
      </c>
    </row>
    <row r="152" spans="2:13">
      <c r="B152" s="92" t="s">
        <v>117</v>
      </c>
      <c r="C152" s="92" t="s">
        <v>513</v>
      </c>
      <c r="D152" s="92" t="s">
        <v>934</v>
      </c>
      <c r="E152" s="92" t="str">
        <f t="shared" si="7"/>
        <v>INSTR_PROTECTIONdt_rfrnc</v>
      </c>
      <c r="F152" s="90" t="s">
        <v>311</v>
      </c>
      <c r="G152" t="s">
        <v>28</v>
      </c>
      <c r="H152" t="s">
        <v>640</v>
      </c>
      <c r="I152" t="s">
        <v>683</v>
      </c>
      <c r="J152" t="s">
        <v>683</v>
      </c>
      <c r="L152" t="str">
        <f>+IF(IFERROR(VLOOKUP(CONCATENATE(F152,H152),'2. Script '!A:A,1,FALSE),"#")=CONCATENATE(F152,H152),"Y","N")</f>
        <v>N</v>
      </c>
      <c r="M152" t="str">
        <f t="shared" si="6"/>
        <v>Y</v>
      </c>
    </row>
    <row r="153" spans="2:13">
      <c r="B153" s="92" t="s">
        <v>117</v>
      </c>
      <c r="C153" s="92" t="s">
        <v>487</v>
      </c>
      <c r="D153" s="92" t="s">
        <v>935</v>
      </c>
      <c r="E153" s="92" t="str">
        <f t="shared" si="7"/>
        <v>INSTR_PROTECTIONinstrmnt_id</v>
      </c>
      <c r="F153" s="90" t="s">
        <v>311</v>
      </c>
      <c r="G153" t="s">
        <v>28</v>
      </c>
      <c r="H153" t="s">
        <v>27</v>
      </c>
      <c r="I153" t="s">
        <v>683</v>
      </c>
      <c r="J153" t="s">
        <v>683</v>
      </c>
      <c r="L153" t="str">
        <f>+IF(IFERROR(VLOOKUP(CONCATENATE(F153,H153),'2. Script '!A:A,1,FALSE),"#")=CONCATENATE(F153,H153),"Y","N")</f>
        <v>N</v>
      </c>
      <c r="M153" t="str">
        <f t="shared" si="6"/>
        <v>Y</v>
      </c>
    </row>
    <row r="154" spans="2:13">
      <c r="B154" s="92" t="s">
        <v>117</v>
      </c>
      <c r="C154" s="92" t="s">
        <v>401</v>
      </c>
      <c r="D154" s="92" t="s">
        <v>936</v>
      </c>
      <c r="E154" s="92" t="str">
        <f t="shared" si="7"/>
        <v>INSTR_PROTECTIONprtctn_id</v>
      </c>
      <c r="F154" s="90" t="s">
        <v>311</v>
      </c>
      <c r="G154" t="s">
        <v>28</v>
      </c>
      <c r="H154" t="s">
        <v>29</v>
      </c>
      <c r="I154" t="s">
        <v>683</v>
      </c>
      <c r="J154" t="s">
        <v>683</v>
      </c>
      <c r="L154" t="str">
        <f>+IF(IFERROR(VLOOKUP(CONCATENATE(F154,H154),'2. Script '!A:A,1,FALSE),"#")=CONCATENATE(F154,H154),"Y","N")</f>
        <v>N</v>
      </c>
      <c r="M154" t="str">
        <f t="shared" si="6"/>
        <v>Y</v>
      </c>
    </row>
    <row r="155" spans="2:13">
      <c r="B155" s="92" t="s">
        <v>117</v>
      </c>
      <c r="C155" s="92" t="s">
        <v>431</v>
      </c>
      <c r="D155" s="92" t="s">
        <v>937</v>
      </c>
      <c r="E155" s="92" t="str">
        <f t="shared" si="7"/>
        <v>INSTR_PROTECTIONprtctn_allctd_vl</v>
      </c>
      <c r="F155" s="90" t="s">
        <v>311</v>
      </c>
      <c r="G155" t="s">
        <v>28</v>
      </c>
      <c r="H155" t="s">
        <v>727</v>
      </c>
      <c r="I155" t="s">
        <v>689</v>
      </c>
      <c r="J155" t="s">
        <v>689</v>
      </c>
      <c r="K155" t="s">
        <v>685</v>
      </c>
      <c r="L155" t="str">
        <f>+IF(IFERROR(VLOOKUP(CONCATENATE(F155,H155),'2. Script '!A:A,1,FALSE),"#")=CONCATENATE(F155,H155),"Y","N")</f>
        <v>N</v>
      </c>
      <c r="M155" t="str">
        <f t="shared" si="6"/>
        <v>Y</v>
      </c>
    </row>
    <row r="156" spans="2:13">
      <c r="B156" s="92" t="s">
        <v>117</v>
      </c>
      <c r="C156" s="92" t="s">
        <v>460</v>
      </c>
      <c r="D156" s="92" t="s">
        <v>938</v>
      </c>
      <c r="E156" s="92" t="str">
        <f t="shared" si="7"/>
        <v>INSTR_PROTECTIONTYP_RLTN</v>
      </c>
      <c r="F156" s="90" t="s">
        <v>311</v>
      </c>
      <c r="G156" t="s">
        <v>28</v>
      </c>
      <c r="H156" t="s">
        <v>728</v>
      </c>
      <c r="I156" t="s">
        <v>690</v>
      </c>
      <c r="J156" t="s">
        <v>690</v>
      </c>
      <c r="K156" t="s">
        <v>688</v>
      </c>
      <c r="L156" t="str">
        <f>+IF(IFERROR(VLOOKUP(CONCATENATE(F156,H156),'2. Script '!A:A,1,FALSE),"#")=CONCATENATE(F156,H156),"Y","N")</f>
        <v>N</v>
      </c>
      <c r="M156" t="str">
        <f t="shared" si="6"/>
        <v>N</v>
      </c>
    </row>
    <row r="157" spans="2:13">
      <c r="B157" s="92" t="s">
        <v>117</v>
      </c>
      <c r="C157" s="92" t="s">
        <v>533</v>
      </c>
      <c r="D157" s="92" t="s">
        <v>939</v>
      </c>
      <c r="E157" s="92" t="str">
        <f t="shared" si="7"/>
        <v>INSTR_PROTECTIONcod_soc</v>
      </c>
      <c r="F157" s="90" t="s">
        <v>311</v>
      </c>
      <c r="G157" t="s">
        <v>28</v>
      </c>
      <c r="H157" t="s">
        <v>656</v>
      </c>
      <c r="I157" t="s">
        <v>683</v>
      </c>
      <c r="J157" t="s">
        <v>683</v>
      </c>
      <c r="L157" t="str">
        <f>+IF(IFERROR(VLOOKUP(CONCATENATE(F157,H157),'2. Script '!A:A,1,FALSE),"#")=CONCATENATE(F157,H157),"Y","N")</f>
        <v>N</v>
      </c>
      <c r="M157" t="str">
        <f t="shared" si="6"/>
        <v>Y</v>
      </c>
    </row>
    <row r="158" spans="2:13">
      <c r="B158" s="92" t="s">
        <v>117</v>
      </c>
      <c r="C158" s="92" t="s">
        <v>534</v>
      </c>
      <c r="D158" s="92" t="s">
        <v>940</v>
      </c>
      <c r="E158" s="92" t="str">
        <f t="shared" si="7"/>
        <v>PROTECTIONflg_fin</v>
      </c>
      <c r="F158" s="90" t="s">
        <v>119</v>
      </c>
      <c r="G158" t="s">
        <v>30</v>
      </c>
      <c r="H158" t="s">
        <v>675</v>
      </c>
      <c r="I158" t="s">
        <v>729</v>
      </c>
      <c r="J158" t="s">
        <v>729</v>
      </c>
      <c r="L158" t="str">
        <f>+IF(IFERROR(VLOOKUP(CONCATENATE(F158,H158),'2. Script '!A:A,1,FALSE),"#")=CONCATENATE(F158,H158),"Y","N")</f>
        <v>N</v>
      </c>
      <c r="M158" t="str">
        <f t="shared" si="6"/>
        <v>N</v>
      </c>
    </row>
    <row r="159" spans="2:13">
      <c r="B159" s="92" t="s">
        <v>117</v>
      </c>
      <c r="C159" s="92" t="s">
        <v>432</v>
      </c>
      <c r="D159" s="92" t="s">
        <v>941</v>
      </c>
      <c r="E159" s="92" t="str">
        <f t="shared" si="7"/>
        <v>PROTECTIONflg_exec</v>
      </c>
      <c r="F159" s="90" t="s">
        <v>119</v>
      </c>
      <c r="G159" t="s">
        <v>30</v>
      </c>
      <c r="H159" t="s">
        <v>676</v>
      </c>
      <c r="I159" t="s">
        <v>729</v>
      </c>
      <c r="J159" t="s">
        <v>729</v>
      </c>
      <c r="L159" t="str">
        <f>+IF(IFERROR(VLOOKUP(CONCATENATE(F159,H159),'2. Script '!A:A,1,FALSE),"#")=CONCATENATE(F159,H159),"Y","N")</f>
        <v>N</v>
      </c>
      <c r="M159" t="str">
        <f t="shared" si="6"/>
        <v>N</v>
      </c>
    </row>
    <row r="160" spans="2:13">
      <c r="B160" s="92" t="s">
        <v>117</v>
      </c>
      <c r="C160" s="92" t="s">
        <v>99</v>
      </c>
      <c r="D160" s="92" t="s">
        <v>770</v>
      </c>
      <c r="E160" s="92" t="str">
        <f t="shared" si="7"/>
        <v>PROTECTIONRL_ESTT_ADDRSS</v>
      </c>
      <c r="F160" s="90" t="s">
        <v>119</v>
      </c>
      <c r="G160" t="s">
        <v>30</v>
      </c>
      <c r="H160" t="s">
        <v>556</v>
      </c>
      <c r="I160" t="s">
        <v>689</v>
      </c>
      <c r="J160" t="s">
        <v>690</v>
      </c>
      <c r="K160" t="s">
        <v>691</v>
      </c>
      <c r="L160" t="str">
        <f>+IF(IFERROR(VLOOKUP(CONCATENATE(F160,H160),'2. Script '!A:A,1,FALSE),"#")=CONCATENATE(F160,H160),"Y","N")</f>
        <v>N</v>
      </c>
      <c r="M160" t="str">
        <f t="shared" si="6"/>
        <v>Y</v>
      </c>
    </row>
    <row r="161" spans="2:13">
      <c r="B161" s="92" t="s">
        <v>117</v>
      </c>
      <c r="C161" s="92" t="s">
        <v>496</v>
      </c>
      <c r="D161" s="92" t="s">
        <v>942</v>
      </c>
      <c r="E161" s="92" t="str">
        <f t="shared" si="7"/>
        <v>PROTECTIONRL_ESTT_CLLTRL_LCTN_INT</v>
      </c>
      <c r="F161" s="90" t="s">
        <v>119</v>
      </c>
      <c r="G161" t="s">
        <v>30</v>
      </c>
      <c r="H161" t="s">
        <v>557</v>
      </c>
      <c r="I161" t="s">
        <v>690</v>
      </c>
      <c r="J161" t="s">
        <v>690</v>
      </c>
      <c r="K161" t="s">
        <v>688</v>
      </c>
      <c r="L161" t="str">
        <f>+IF(IFERROR(VLOOKUP(CONCATENATE(F161,H161),'2. Script '!A:A,1,FALSE),"#")=CONCATENATE(F161,H161),"Y","N")</f>
        <v>N</v>
      </c>
      <c r="M161" t="str">
        <f t="shared" si="6"/>
        <v>Y</v>
      </c>
    </row>
    <row r="162" spans="2:13">
      <c r="B162" s="92" t="s">
        <v>117</v>
      </c>
      <c r="C162" s="92" t="s">
        <v>497</v>
      </c>
      <c r="D162" s="92" t="s">
        <v>943</v>
      </c>
      <c r="E162" s="92" t="str">
        <f t="shared" si="7"/>
        <v>PROTECTIONRL_ESTT_CTY</v>
      </c>
      <c r="F162" s="90" t="s">
        <v>119</v>
      </c>
      <c r="G162" t="s">
        <v>30</v>
      </c>
      <c r="H162" t="s">
        <v>558</v>
      </c>
      <c r="I162" t="s">
        <v>689</v>
      </c>
      <c r="J162" t="s">
        <v>689</v>
      </c>
      <c r="K162" t="s">
        <v>692</v>
      </c>
      <c r="L162" t="str">
        <f>+IF(IFERROR(VLOOKUP(CONCATENATE(F162,H162),'2. Script '!A:A,1,FALSE),"#")=CONCATENATE(F162,H162),"Y","N")</f>
        <v>N</v>
      </c>
      <c r="M162" t="str">
        <f t="shared" si="6"/>
        <v>Y</v>
      </c>
    </row>
    <row r="163" spans="2:13">
      <c r="B163" s="92" t="s">
        <v>117</v>
      </c>
      <c r="C163" s="92" t="s">
        <v>498</v>
      </c>
      <c r="D163" s="92" t="s">
        <v>944</v>
      </c>
      <c r="E163" s="92" t="str">
        <f t="shared" si="7"/>
        <v>PROTECTIONTYP_EMSSNS_LBL</v>
      </c>
      <c r="F163" s="90" t="s">
        <v>119</v>
      </c>
      <c r="G163" t="s">
        <v>30</v>
      </c>
      <c r="H163" t="s">
        <v>730</v>
      </c>
      <c r="I163" t="s">
        <v>689</v>
      </c>
      <c r="J163" t="s">
        <v>689</v>
      </c>
      <c r="K163" t="s">
        <v>685</v>
      </c>
      <c r="L163" t="str">
        <f>+IF(IFERROR(VLOOKUP(CONCATENATE(F163,H163),'2. Script '!A:A,1,FALSE),"#")=CONCATENATE(F163,H163),"Y","N")</f>
        <v>N</v>
      </c>
      <c r="M163" t="str">
        <f t="shared" ref="M163:M184" si="8">+IF(IFERROR(VLOOKUP(CONCATENATE(F163,H163),D:D,1,FALSE),"#")=CONCATENATE(F163,H163),"Y","N")</f>
        <v>N</v>
      </c>
    </row>
    <row r="164" spans="2:13">
      <c r="B164" s="92" t="s">
        <v>117</v>
      </c>
      <c r="C164" s="92" t="s">
        <v>499</v>
      </c>
      <c r="D164" s="92" t="s">
        <v>945</v>
      </c>
      <c r="E164" s="92" t="str">
        <f t="shared" si="7"/>
        <v>PROTECTIONEPC_EMSSNS_LBL</v>
      </c>
      <c r="F164" s="90" t="s">
        <v>119</v>
      </c>
      <c r="G164" t="s">
        <v>30</v>
      </c>
      <c r="H164" t="s">
        <v>731</v>
      </c>
      <c r="I164" t="s">
        <v>687</v>
      </c>
      <c r="J164" t="s">
        <v>690</v>
      </c>
      <c r="K164" t="s">
        <v>691</v>
      </c>
      <c r="L164" t="str">
        <f>+IF(IFERROR(VLOOKUP(CONCATENATE(F164,H164),'2. Script '!A:A,1,FALSE),"#")=CONCATENATE(F164,H164),"Y","N")</f>
        <v>N</v>
      </c>
      <c r="M164" t="str">
        <f t="shared" si="8"/>
        <v>N</v>
      </c>
    </row>
    <row r="165" spans="2:13">
      <c r="B165" s="92" t="s">
        <v>117</v>
      </c>
      <c r="C165" s="92" t="s">
        <v>500</v>
      </c>
      <c r="D165" s="92" t="s">
        <v>946</v>
      </c>
      <c r="E165" s="92" t="str">
        <f t="shared" si="7"/>
        <v>PROTECTIONVHCL_EMSSNS_LBL</v>
      </c>
      <c r="F165" s="90" t="s">
        <v>119</v>
      </c>
      <c r="G165" t="s">
        <v>30</v>
      </c>
      <c r="H165" t="s">
        <v>732</v>
      </c>
      <c r="I165" t="s">
        <v>689</v>
      </c>
      <c r="J165" t="s">
        <v>689</v>
      </c>
      <c r="K165" t="s">
        <v>685</v>
      </c>
      <c r="L165" t="str">
        <f>+IF(IFERROR(VLOOKUP(CONCATENATE(F165,H165),'2. Script '!A:A,1,FALSE),"#")=CONCATENATE(F165,H165),"Y","N")</f>
        <v>N</v>
      </c>
      <c r="M165" t="str">
        <f t="shared" si="8"/>
        <v>N</v>
      </c>
    </row>
    <row r="166" spans="2:13">
      <c r="B166" s="92" t="s">
        <v>117</v>
      </c>
      <c r="C166" s="92" t="s">
        <v>501</v>
      </c>
      <c r="D166" s="92" t="s">
        <v>947</v>
      </c>
      <c r="E166" s="92" t="str">
        <f t="shared" si="7"/>
        <v>PROTECTIONTYP_EMSSNS_SCR</v>
      </c>
      <c r="F166" s="90" t="s">
        <v>119</v>
      </c>
      <c r="G166" t="s">
        <v>30</v>
      </c>
      <c r="H166" t="s">
        <v>733</v>
      </c>
      <c r="I166" t="s">
        <v>687</v>
      </c>
      <c r="J166" t="s">
        <v>690</v>
      </c>
      <c r="K166" t="s">
        <v>691</v>
      </c>
      <c r="L166" t="str">
        <f>+IF(IFERROR(VLOOKUP(CONCATENATE(F166,H166),'2. Script '!A:A,1,FALSE),"#")=CONCATENATE(F166,H166),"Y","N")</f>
        <v>N</v>
      </c>
      <c r="M166" t="str">
        <f t="shared" si="8"/>
        <v>N</v>
      </c>
    </row>
    <row r="167" spans="2:13">
      <c r="B167" s="92" t="s">
        <v>117</v>
      </c>
      <c r="C167" s="92" t="s">
        <v>433</v>
      </c>
      <c r="D167" s="92" t="s">
        <v>948</v>
      </c>
      <c r="E167" s="92" t="str">
        <f t="shared" si="7"/>
        <v>PROTECTIONEPC_EMSSNS_SCR</v>
      </c>
      <c r="F167" s="90" t="s">
        <v>119</v>
      </c>
      <c r="G167" t="s">
        <v>30</v>
      </c>
      <c r="H167" t="s">
        <v>734</v>
      </c>
      <c r="I167" t="s">
        <v>687</v>
      </c>
      <c r="J167" t="s">
        <v>690</v>
      </c>
      <c r="K167" t="s">
        <v>691</v>
      </c>
      <c r="L167" t="str">
        <f>+IF(IFERROR(VLOOKUP(CONCATENATE(F167,H167),'2. Script '!A:A,1,FALSE),"#")=CONCATENATE(F167,H167),"Y","N")</f>
        <v>N</v>
      </c>
      <c r="M167" t="str">
        <f t="shared" si="8"/>
        <v>N</v>
      </c>
    </row>
    <row r="168" spans="2:13">
      <c r="B168" s="92" t="s">
        <v>117</v>
      </c>
      <c r="C168" s="92" t="s">
        <v>434</v>
      </c>
      <c r="D168" s="92" t="s">
        <v>949</v>
      </c>
      <c r="E168" s="92" t="str">
        <f t="shared" si="7"/>
        <v>PROTECTIONVHCL_EMSSNS_SCR</v>
      </c>
      <c r="F168" s="90" t="s">
        <v>119</v>
      </c>
      <c r="G168" t="s">
        <v>30</v>
      </c>
      <c r="H168" t="s">
        <v>735</v>
      </c>
      <c r="I168" t="s">
        <v>689</v>
      </c>
      <c r="J168" t="s">
        <v>689</v>
      </c>
      <c r="K168" t="s">
        <v>685</v>
      </c>
      <c r="L168" t="str">
        <f>+IF(IFERROR(VLOOKUP(CONCATENATE(F168,H168),'2. Script '!A:A,1,FALSE),"#")=CONCATENATE(F168,H168),"Y","N")</f>
        <v>N</v>
      </c>
      <c r="M168" t="str">
        <f t="shared" si="8"/>
        <v>N</v>
      </c>
    </row>
    <row r="169" spans="2:13">
      <c r="B169" s="92" t="s">
        <v>117</v>
      </c>
      <c r="C169" s="92" t="s">
        <v>505</v>
      </c>
      <c r="D169" s="92" t="s">
        <v>950</v>
      </c>
      <c r="E169" s="92" t="str">
        <f t="shared" si="7"/>
        <v>PROTECTIONINSRNC_ID</v>
      </c>
      <c r="F169" s="90" t="s">
        <v>119</v>
      </c>
      <c r="G169" t="s">
        <v>30</v>
      </c>
      <c r="H169" t="s">
        <v>736</v>
      </c>
      <c r="I169" t="s">
        <v>689</v>
      </c>
      <c r="J169" t="s">
        <v>689</v>
      </c>
      <c r="K169" t="s">
        <v>685</v>
      </c>
      <c r="L169" t="str">
        <f>+IF(IFERROR(VLOOKUP(CONCATENATE(F169,H169),'2. Script '!A:A,1,FALSE),"#")=CONCATENATE(F169,H169),"Y","N")</f>
        <v>N</v>
      </c>
      <c r="M169" t="str">
        <f t="shared" si="8"/>
        <v>N</v>
      </c>
    </row>
    <row r="170" spans="2:13">
      <c r="B170" s="92" t="s">
        <v>117</v>
      </c>
      <c r="C170" s="92" t="s">
        <v>437</v>
      </c>
      <c r="D170" s="92" t="s">
        <v>951</v>
      </c>
      <c r="E170" s="92" t="str">
        <f t="shared" si="7"/>
        <v>PROTECTIONTYP_HZRDS_INSRD</v>
      </c>
      <c r="F170" s="90" t="s">
        <v>119</v>
      </c>
      <c r="G170" t="s">
        <v>30</v>
      </c>
      <c r="H170" t="s">
        <v>737</v>
      </c>
      <c r="I170" t="s">
        <v>689</v>
      </c>
      <c r="J170" t="s">
        <v>689</v>
      </c>
      <c r="K170" t="s">
        <v>685</v>
      </c>
      <c r="L170" t="str">
        <f>+IF(IFERROR(VLOOKUP(CONCATENATE(F170,H170),'2. Script '!A:A,1,FALSE),"#")=CONCATENATE(F170,H170),"Y","N")</f>
        <v>N</v>
      </c>
      <c r="M170" t="str">
        <f t="shared" si="8"/>
        <v>N</v>
      </c>
    </row>
    <row r="171" spans="2:13">
      <c r="B171" s="92" t="s">
        <v>117</v>
      </c>
      <c r="C171" s="92" t="s">
        <v>90</v>
      </c>
      <c r="D171" s="92" t="s">
        <v>777</v>
      </c>
      <c r="E171" s="92" t="str">
        <f t="shared" si="7"/>
        <v>PROTECTIONAMNT_CVRD_INSRNC</v>
      </c>
      <c r="F171" s="90" t="s">
        <v>119</v>
      </c>
      <c r="G171" t="s">
        <v>30</v>
      </c>
      <c r="H171" t="s">
        <v>738</v>
      </c>
      <c r="I171" t="s">
        <v>689</v>
      </c>
      <c r="J171" t="s">
        <v>689</v>
      </c>
      <c r="K171" t="s">
        <v>685</v>
      </c>
      <c r="L171" t="str">
        <f>+IF(IFERROR(VLOOKUP(CONCATENATE(F171,H171),'2. Script '!A:A,1,FALSE),"#")=CONCATENATE(F171,H171),"Y","N")</f>
        <v>N</v>
      </c>
      <c r="M171" t="str">
        <f t="shared" si="8"/>
        <v>N</v>
      </c>
    </row>
    <row r="172" spans="2:13">
      <c r="B172" s="92" t="s">
        <v>117</v>
      </c>
      <c r="C172" s="92" t="s">
        <v>435</v>
      </c>
      <c r="D172" s="92" t="s">
        <v>952</v>
      </c>
      <c r="E172" s="92" t="str">
        <f t="shared" si="7"/>
        <v>PROTECTIONDT_MTRTY_INSRNC</v>
      </c>
      <c r="F172" s="90" t="s">
        <v>119</v>
      </c>
      <c r="G172" t="s">
        <v>30</v>
      </c>
      <c r="H172" t="s">
        <v>739</v>
      </c>
      <c r="I172" t="s">
        <v>689</v>
      </c>
      <c r="J172" t="s">
        <v>689</v>
      </c>
      <c r="K172" t="s">
        <v>685</v>
      </c>
      <c r="L172" t="str">
        <f>+IF(IFERROR(VLOOKUP(CONCATENATE(F172,H172),'2. Script '!A:A,1,FALSE),"#")=CONCATENATE(F172,H172),"Y","N")</f>
        <v>N</v>
      </c>
      <c r="M172" t="str">
        <f t="shared" si="8"/>
        <v>N</v>
      </c>
    </row>
    <row r="173" spans="2:13">
      <c r="B173" s="92" t="s">
        <v>117</v>
      </c>
      <c r="C173" s="92" t="s">
        <v>436</v>
      </c>
      <c r="D173" s="92" t="s">
        <v>953</v>
      </c>
      <c r="E173" s="92" t="str">
        <f t="shared" si="7"/>
        <v>PROTECTIONFLG_FRST_HM</v>
      </c>
      <c r="F173" s="90" t="s">
        <v>119</v>
      </c>
      <c r="G173" t="s">
        <v>30</v>
      </c>
      <c r="H173" t="s">
        <v>740</v>
      </c>
      <c r="I173" t="s">
        <v>689</v>
      </c>
      <c r="J173" t="s">
        <v>689</v>
      </c>
      <c r="K173" t="s">
        <v>685</v>
      </c>
      <c r="L173" t="str">
        <f>+IF(IFERROR(VLOOKUP(CONCATENATE(F173,H173),'2. Script '!A:A,1,FALSE),"#")=CONCATENATE(F173,H173),"Y","N")</f>
        <v>N</v>
      </c>
      <c r="M173" t="str">
        <f t="shared" si="8"/>
        <v>N</v>
      </c>
    </row>
    <row r="174" spans="2:13">
      <c r="B174" s="92" t="s">
        <v>117</v>
      </c>
      <c r="C174" s="92" t="s">
        <v>535</v>
      </c>
      <c r="D174" s="92" t="s">
        <v>954</v>
      </c>
      <c r="E174" s="92" t="str">
        <f t="shared" si="7"/>
        <v>PROTECTIONYR_CNSTRCTN</v>
      </c>
      <c r="F174" s="90" t="s">
        <v>119</v>
      </c>
      <c r="G174" t="s">
        <v>30</v>
      </c>
      <c r="H174" t="s">
        <v>583</v>
      </c>
      <c r="I174" t="s">
        <v>689</v>
      </c>
      <c r="J174" t="s">
        <v>689</v>
      </c>
      <c r="K174" t="s">
        <v>692</v>
      </c>
      <c r="L174" t="str">
        <f>+IF(IFERROR(VLOOKUP(CONCATENATE(F174,H174),'2. Script '!A:A,1,FALSE),"#")=CONCATENATE(F174,H174),"Y","N")</f>
        <v>N</v>
      </c>
      <c r="M174" t="str">
        <f t="shared" si="8"/>
        <v>Y</v>
      </c>
    </row>
    <row r="175" spans="2:13">
      <c r="B175" s="92" t="s">
        <v>117</v>
      </c>
      <c r="C175" s="92" t="s">
        <v>536</v>
      </c>
      <c r="D175" s="92" t="s">
        <v>955</v>
      </c>
      <c r="E175" s="92" t="str">
        <f t="shared" si="7"/>
        <v>PROTECTIONBLDNG_AR</v>
      </c>
      <c r="F175" s="90" t="s">
        <v>119</v>
      </c>
      <c r="G175" t="s">
        <v>30</v>
      </c>
      <c r="H175" t="s">
        <v>741</v>
      </c>
      <c r="I175" t="s">
        <v>689</v>
      </c>
      <c r="J175" t="s">
        <v>689</v>
      </c>
      <c r="K175" t="s">
        <v>692</v>
      </c>
      <c r="L175" t="str">
        <f>+IF(IFERROR(VLOOKUP(CONCATENATE(F175,H175),'2. Script '!A:A,1,FALSE),"#")=CONCATENATE(F175,H175),"Y","N")</f>
        <v>N</v>
      </c>
      <c r="M175" t="str">
        <f t="shared" si="8"/>
        <v>N</v>
      </c>
    </row>
    <row r="176" spans="2:13">
      <c r="B176" s="92" t="s">
        <v>117</v>
      </c>
      <c r="C176" s="92" t="s">
        <v>537</v>
      </c>
      <c r="D176" s="92" t="s">
        <v>956</v>
      </c>
      <c r="E176" s="92" t="str">
        <f t="shared" si="7"/>
        <v>PROTECTIONRL_ESTT_CRTFCTN</v>
      </c>
      <c r="F176" s="90" t="s">
        <v>119</v>
      </c>
      <c r="G176" t="s">
        <v>30</v>
      </c>
      <c r="H176" t="s">
        <v>742</v>
      </c>
      <c r="I176" t="s">
        <v>689</v>
      </c>
      <c r="J176" t="s">
        <v>689</v>
      </c>
      <c r="K176" t="s">
        <v>685</v>
      </c>
      <c r="L176" t="str">
        <f>+IF(IFERROR(VLOOKUP(CONCATENATE(F176,H176),'2. Script '!A:A,1,FALSE),"#")=CONCATENATE(F176,H176),"Y","N")</f>
        <v>N</v>
      </c>
      <c r="M176" t="str">
        <f t="shared" si="8"/>
        <v>N</v>
      </c>
    </row>
    <row r="177" spans="2:13">
      <c r="B177" s="92" t="s">
        <v>118</v>
      </c>
      <c r="C177" s="92" t="s">
        <v>325</v>
      </c>
      <c r="D177" s="92" t="s">
        <v>957</v>
      </c>
      <c r="E177" s="92" t="str">
        <f t="shared" si="7"/>
        <v>PROTECTIONTYP_VHCL</v>
      </c>
      <c r="F177" s="90" t="s">
        <v>119</v>
      </c>
      <c r="G177" t="s">
        <v>30</v>
      </c>
      <c r="H177" t="s">
        <v>743</v>
      </c>
      <c r="I177" t="s">
        <v>687</v>
      </c>
      <c r="J177" t="s">
        <v>690</v>
      </c>
      <c r="K177" t="s">
        <v>691</v>
      </c>
      <c r="L177" t="str">
        <f>+IF(IFERROR(VLOOKUP(CONCATENATE(F177,H177),'2. Script '!A:A,1,FALSE),"#")=CONCATENATE(F177,H177),"Y","N")</f>
        <v>N</v>
      </c>
      <c r="M177" t="str">
        <f t="shared" si="8"/>
        <v>N</v>
      </c>
    </row>
    <row r="178" spans="2:13">
      <c r="B178" s="92" t="s">
        <v>118</v>
      </c>
      <c r="C178" s="92" t="s">
        <v>108</v>
      </c>
      <c r="D178" s="92" t="s">
        <v>759</v>
      </c>
      <c r="E178" s="92" t="str">
        <f t="shared" si="7"/>
        <v>PROTECTIONDT_RGSTRTN</v>
      </c>
      <c r="F178" s="90" t="s">
        <v>119</v>
      </c>
      <c r="G178" t="s">
        <v>30</v>
      </c>
      <c r="H178" t="s">
        <v>744</v>
      </c>
      <c r="I178" t="s">
        <v>689</v>
      </c>
      <c r="J178" t="s">
        <v>689</v>
      </c>
      <c r="K178" t="s">
        <v>685</v>
      </c>
      <c r="L178" t="str">
        <f>+IF(IFERROR(VLOOKUP(CONCATENATE(F178,H178),'2. Script '!A:A,1,FALSE),"#")=CONCATENATE(F178,H178),"Y","N")</f>
        <v>N</v>
      </c>
      <c r="M178" t="str">
        <f t="shared" si="8"/>
        <v>N</v>
      </c>
    </row>
    <row r="179" spans="2:13">
      <c r="B179" s="92" t="s">
        <v>118</v>
      </c>
      <c r="C179" s="92" t="s">
        <v>387</v>
      </c>
      <c r="D179" s="92" t="s">
        <v>958</v>
      </c>
      <c r="E179" s="92" t="str">
        <f t="shared" si="7"/>
        <v>PROTECTIONPRMRY_ENRGY_DMND_NN_RNWBL</v>
      </c>
      <c r="F179" s="90" t="s">
        <v>119</v>
      </c>
      <c r="G179" t="s">
        <v>30</v>
      </c>
      <c r="H179" t="s">
        <v>745</v>
      </c>
      <c r="I179" t="s">
        <v>689</v>
      </c>
      <c r="J179" t="s">
        <v>689</v>
      </c>
      <c r="K179" t="s">
        <v>692</v>
      </c>
      <c r="L179" t="str">
        <f>+IF(IFERROR(VLOOKUP(CONCATENATE(F179,H179),'2. Script '!A:A,1,FALSE),"#")=CONCATENATE(F179,H179),"Y","N")</f>
        <v>N</v>
      </c>
      <c r="M179" t="str">
        <f t="shared" si="8"/>
        <v>N</v>
      </c>
    </row>
    <row r="180" spans="2:13">
      <c r="B180" s="92" t="s">
        <v>118</v>
      </c>
      <c r="C180" s="92" t="s">
        <v>356</v>
      </c>
      <c r="D180" s="92" t="s">
        <v>959</v>
      </c>
      <c r="E180" s="92" t="str">
        <f t="shared" si="7"/>
        <v>PROTECTIONPRMRY_ENRGY_DMND_TTL</v>
      </c>
      <c r="F180" s="90" t="s">
        <v>119</v>
      </c>
      <c r="G180" t="s">
        <v>30</v>
      </c>
      <c r="H180" t="s">
        <v>746</v>
      </c>
      <c r="I180" t="s">
        <v>689</v>
      </c>
      <c r="J180" t="s">
        <v>690</v>
      </c>
      <c r="K180" t="s">
        <v>691</v>
      </c>
      <c r="L180" t="str">
        <f>+IF(IFERROR(VLOOKUP(CONCATENATE(F180,H180),'2. Script '!A:A,1,FALSE),"#")=CONCATENATE(F180,H180),"Y","N")</f>
        <v>N</v>
      </c>
      <c r="M180" t="str">
        <f t="shared" si="8"/>
        <v>N</v>
      </c>
    </row>
    <row r="181" spans="2:13">
      <c r="B181" s="92" t="s">
        <v>118</v>
      </c>
      <c r="C181" s="92" t="s">
        <v>388</v>
      </c>
      <c r="D181" s="92" t="s">
        <v>960</v>
      </c>
      <c r="E181" s="92" t="str">
        <f t="shared" si="7"/>
        <v>PROTECTIONPRMRY_ENRGY_DMND_RFRNC_VL</v>
      </c>
      <c r="F181" s="90" t="s">
        <v>119</v>
      </c>
      <c r="G181" t="s">
        <v>30</v>
      </c>
      <c r="H181" t="s">
        <v>747</v>
      </c>
      <c r="I181" t="s">
        <v>689</v>
      </c>
      <c r="J181" t="s">
        <v>690</v>
      </c>
      <c r="K181" t="s">
        <v>691</v>
      </c>
      <c r="L181" t="str">
        <f>+IF(IFERROR(VLOOKUP(CONCATENATE(F181,H181),'2. Script '!A:A,1,FALSE),"#")=CONCATENATE(F181,H181),"Y","N")</f>
        <v>N</v>
      </c>
      <c r="M181" t="str">
        <f t="shared" si="8"/>
        <v>N</v>
      </c>
    </row>
    <row r="182" spans="2:13">
      <c r="B182" s="92" t="s">
        <v>118</v>
      </c>
      <c r="C182" s="92" t="s">
        <v>357</v>
      </c>
      <c r="D182" s="92" t="s">
        <v>961</v>
      </c>
      <c r="E182" s="92" t="str">
        <f t="shared" si="7"/>
        <v>PROTECTIONRL_ESTT_CLMT_ZN</v>
      </c>
      <c r="F182" s="90" t="s">
        <v>119</v>
      </c>
      <c r="G182" t="s">
        <v>30</v>
      </c>
      <c r="H182" t="s">
        <v>748</v>
      </c>
      <c r="I182" t="s">
        <v>689</v>
      </c>
      <c r="J182" t="s">
        <v>690</v>
      </c>
      <c r="K182" t="s">
        <v>691</v>
      </c>
      <c r="L182" t="str">
        <f>+IF(IFERROR(VLOOKUP(CONCATENATE(F182,H182),'2. Script '!A:A,1,FALSE),"#")=CONCATENATE(F182,H182),"Y","N")</f>
        <v>N</v>
      </c>
      <c r="M182" t="str">
        <f t="shared" si="8"/>
        <v>N</v>
      </c>
    </row>
    <row r="183" spans="2:13">
      <c r="B183" s="92" t="s">
        <v>118</v>
      </c>
      <c r="C183" s="92" t="s">
        <v>358</v>
      </c>
      <c r="D183" s="92" t="s">
        <v>962</v>
      </c>
      <c r="E183" s="92" t="str">
        <f t="shared" si="7"/>
        <v>PROTECTIONflg_col</v>
      </c>
      <c r="F183" s="90" t="s">
        <v>119</v>
      </c>
      <c r="G183" t="s">
        <v>30</v>
      </c>
      <c r="H183" t="s">
        <v>677</v>
      </c>
      <c r="I183" t="s">
        <v>729</v>
      </c>
      <c r="J183" t="s">
        <v>729</v>
      </c>
      <c r="L183" t="str">
        <f>+IF(IFERROR(VLOOKUP(CONCATENATE(F183,H183),'2. Script '!A:A,1,FALSE),"#")=CONCATENATE(F183,H183),"Y","N")</f>
        <v>N</v>
      </c>
      <c r="M183" t="str">
        <f t="shared" si="8"/>
        <v>N</v>
      </c>
    </row>
    <row r="184" spans="2:13">
      <c r="B184" s="92" t="s">
        <v>118</v>
      </c>
      <c r="C184" s="92" t="s">
        <v>359</v>
      </c>
      <c r="D184" s="92" t="s">
        <v>963</v>
      </c>
      <c r="E184" s="92" t="str">
        <f t="shared" si="7"/>
        <v>PROTECTIONflg_pro</v>
      </c>
      <c r="F184" s="90" t="s">
        <v>119</v>
      </c>
      <c r="G184" t="s">
        <v>30</v>
      </c>
      <c r="H184" t="s">
        <v>678</v>
      </c>
      <c r="I184" t="s">
        <v>729</v>
      </c>
      <c r="J184" t="s">
        <v>729</v>
      </c>
      <c r="L184" t="str">
        <f>+IF(IFERROR(VLOOKUP(CONCATENATE(F184,H184),'2. Script '!A:A,1,FALSE),"#")=CONCATENATE(F184,H184),"Y","N")</f>
        <v>N</v>
      </c>
      <c r="M184" t="str">
        <f t="shared" si="8"/>
        <v>N</v>
      </c>
    </row>
    <row r="185" spans="2:13">
      <c r="B185" s="92" t="s">
        <v>118</v>
      </c>
      <c r="C185" s="92" t="s">
        <v>104</v>
      </c>
      <c r="D185" s="92" t="s">
        <v>752</v>
      </c>
      <c r="E185" s="92"/>
    </row>
    <row r="186" spans="2:13">
      <c r="B186" s="92" t="s">
        <v>118</v>
      </c>
      <c r="C186" s="92" t="s">
        <v>100</v>
      </c>
      <c r="D186" s="92" t="s">
        <v>751</v>
      </c>
      <c r="E186" s="92"/>
    </row>
    <row r="187" spans="2:13">
      <c r="B187" s="92" t="s">
        <v>118</v>
      </c>
      <c r="C187" s="92" t="s">
        <v>326</v>
      </c>
      <c r="D187" s="92" t="s">
        <v>964</v>
      </c>
      <c r="E187" s="92"/>
    </row>
    <row r="188" spans="2:13">
      <c r="B188" s="92" t="s">
        <v>118</v>
      </c>
      <c r="C188" s="92" t="s">
        <v>360</v>
      </c>
      <c r="D188" s="92" t="s">
        <v>965</v>
      </c>
      <c r="E188" s="92"/>
    </row>
    <row r="189" spans="2:13">
      <c r="B189" s="92" t="s">
        <v>118</v>
      </c>
      <c r="C189" s="92" t="s">
        <v>361</v>
      </c>
      <c r="D189" s="92" t="s">
        <v>966</v>
      </c>
      <c r="E189" s="92"/>
    </row>
    <row r="190" spans="2:13">
      <c r="B190" s="92" t="s">
        <v>118</v>
      </c>
      <c r="C190" s="92" t="s">
        <v>379</v>
      </c>
      <c r="D190" s="92" t="s">
        <v>967</v>
      </c>
      <c r="E190" s="92"/>
    </row>
    <row r="191" spans="2:13">
      <c r="B191" s="92" t="s">
        <v>118</v>
      </c>
      <c r="C191" s="92" t="s">
        <v>380</v>
      </c>
      <c r="D191" s="92" t="s">
        <v>968</v>
      </c>
      <c r="E191" s="92"/>
    </row>
    <row r="192" spans="2:13">
      <c r="B192" s="92" t="s">
        <v>118</v>
      </c>
      <c r="C192" s="92" t="s">
        <v>381</v>
      </c>
      <c r="D192" s="92" t="s">
        <v>969</v>
      </c>
      <c r="E192" s="92"/>
    </row>
    <row r="193" spans="2:5">
      <c r="B193" s="92" t="s">
        <v>118</v>
      </c>
      <c r="C193" s="92" t="s">
        <v>382</v>
      </c>
      <c r="D193" s="92" t="s">
        <v>970</v>
      </c>
      <c r="E193" s="92"/>
    </row>
    <row r="194" spans="2:5">
      <c r="B194" s="92" t="s">
        <v>118</v>
      </c>
      <c r="C194" s="92" t="s">
        <v>327</v>
      </c>
      <c r="D194" s="92" t="s">
        <v>971</v>
      </c>
      <c r="E194" s="92"/>
    </row>
    <row r="195" spans="2:5">
      <c r="B195" s="92" t="s">
        <v>118</v>
      </c>
      <c r="C195" s="92" t="s">
        <v>328</v>
      </c>
      <c r="D195" s="92" t="s">
        <v>972</v>
      </c>
      <c r="E195" s="92"/>
    </row>
    <row r="196" spans="2:5">
      <c r="B196" s="92" t="s">
        <v>118</v>
      </c>
      <c r="C196" s="92" t="s">
        <v>313</v>
      </c>
      <c r="D196" s="92" t="s">
        <v>973</v>
      </c>
      <c r="E196" s="92"/>
    </row>
    <row r="197" spans="2:5">
      <c r="B197" s="92" t="s">
        <v>118</v>
      </c>
      <c r="C197" s="92" t="s">
        <v>314</v>
      </c>
      <c r="D197" s="92" t="s">
        <v>974</v>
      </c>
      <c r="E197" s="92"/>
    </row>
    <row r="198" spans="2:5">
      <c r="B198" s="92" t="s">
        <v>118</v>
      </c>
      <c r="C198" s="92" t="s">
        <v>329</v>
      </c>
      <c r="D198" s="92" t="s">
        <v>975</v>
      </c>
      <c r="E198" s="92"/>
    </row>
    <row r="199" spans="2:5">
      <c r="B199" s="92" t="s">
        <v>118</v>
      </c>
      <c r="C199" s="92" t="s">
        <v>315</v>
      </c>
      <c r="D199" s="92" t="s">
        <v>976</v>
      </c>
      <c r="E199" s="92"/>
    </row>
    <row r="200" spans="2:5">
      <c r="B200" s="92" t="s">
        <v>118</v>
      </c>
      <c r="C200" s="92" t="s">
        <v>316</v>
      </c>
      <c r="D200" s="92" t="s">
        <v>977</v>
      </c>
      <c r="E200" s="92"/>
    </row>
    <row r="201" spans="2:5">
      <c r="B201" s="92" t="s">
        <v>118</v>
      </c>
      <c r="C201" s="92" t="s">
        <v>330</v>
      </c>
      <c r="D201" s="92" t="s">
        <v>978</v>
      </c>
      <c r="E201" s="92"/>
    </row>
    <row r="202" spans="2:5">
      <c r="B202" s="92" t="s">
        <v>118</v>
      </c>
      <c r="C202" s="92" t="s">
        <v>317</v>
      </c>
      <c r="D202" s="92" t="s">
        <v>979</v>
      </c>
      <c r="E202" s="92"/>
    </row>
    <row r="203" spans="2:5">
      <c r="B203" s="92" t="s">
        <v>118</v>
      </c>
      <c r="C203" s="92" t="s">
        <v>318</v>
      </c>
      <c r="D203" s="92" t="s">
        <v>980</v>
      </c>
      <c r="E203" s="92"/>
    </row>
    <row r="204" spans="2:5">
      <c r="B204" s="92" t="s">
        <v>118</v>
      </c>
      <c r="C204" s="92" t="s">
        <v>586</v>
      </c>
      <c r="D204" s="92" t="s">
        <v>753</v>
      </c>
      <c r="E204" s="92"/>
    </row>
    <row r="205" spans="2:5">
      <c r="B205" s="92" t="s">
        <v>118</v>
      </c>
      <c r="C205" s="92" t="s">
        <v>362</v>
      </c>
      <c r="D205" s="92" t="s">
        <v>981</v>
      </c>
      <c r="E205" s="92"/>
    </row>
    <row r="206" spans="2:5">
      <c r="B206" s="92" t="s">
        <v>118</v>
      </c>
      <c r="C206" s="92" t="s">
        <v>363</v>
      </c>
      <c r="D206" s="92" t="s">
        <v>982</v>
      </c>
      <c r="E206" s="92"/>
    </row>
    <row r="207" spans="2:5">
      <c r="B207" s="92" t="s">
        <v>118</v>
      </c>
      <c r="C207" s="92" t="s">
        <v>391</v>
      </c>
      <c r="D207" s="92" t="s">
        <v>983</v>
      </c>
      <c r="E207" s="92"/>
    </row>
    <row r="208" spans="2:5">
      <c r="B208" s="92" t="s">
        <v>118</v>
      </c>
      <c r="C208" s="92" t="s">
        <v>392</v>
      </c>
      <c r="D208" s="92" t="s">
        <v>763</v>
      </c>
      <c r="E208" s="92"/>
    </row>
    <row r="209" spans="2:5">
      <c r="B209" s="92" t="s">
        <v>118</v>
      </c>
      <c r="C209" s="92" t="s">
        <v>106</v>
      </c>
      <c r="D209" s="92" t="s">
        <v>757</v>
      </c>
      <c r="E209" s="92"/>
    </row>
    <row r="210" spans="2:5">
      <c r="B210" s="92" t="s">
        <v>118</v>
      </c>
      <c r="C210" s="92" t="s">
        <v>332</v>
      </c>
      <c r="D210" s="92" t="s">
        <v>984</v>
      </c>
      <c r="E210" s="92"/>
    </row>
    <row r="211" spans="2:5">
      <c r="B211" s="92" t="s">
        <v>118</v>
      </c>
      <c r="C211" s="92" t="s">
        <v>331</v>
      </c>
      <c r="D211" s="92" t="s">
        <v>985</v>
      </c>
      <c r="E211" s="92"/>
    </row>
    <row r="212" spans="2:5">
      <c r="B212" s="92" t="s">
        <v>118</v>
      </c>
      <c r="C212" s="92" t="s">
        <v>333</v>
      </c>
      <c r="D212" s="92" t="s">
        <v>986</v>
      </c>
      <c r="E212" s="92"/>
    </row>
    <row r="213" spans="2:5">
      <c r="B213" s="92" t="s">
        <v>118</v>
      </c>
      <c r="C213" s="92" t="s">
        <v>587</v>
      </c>
      <c r="D213" s="92" t="s">
        <v>754</v>
      </c>
      <c r="E213" s="92"/>
    </row>
    <row r="214" spans="2:5">
      <c r="B214" s="92" t="s">
        <v>118</v>
      </c>
      <c r="C214" s="92" t="s">
        <v>323</v>
      </c>
      <c r="D214" s="92" t="s">
        <v>756</v>
      </c>
      <c r="E214" s="92"/>
    </row>
    <row r="215" spans="2:5">
      <c r="B215" s="92" t="s">
        <v>118</v>
      </c>
      <c r="C215" s="92" t="s">
        <v>109</v>
      </c>
      <c r="D215" s="92" t="s">
        <v>760</v>
      </c>
      <c r="E215" s="92"/>
    </row>
    <row r="216" spans="2:5">
      <c r="B216" s="92" t="s">
        <v>118</v>
      </c>
      <c r="C216" s="92" t="s">
        <v>364</v>
      </c>
      <c r="D216" s="92" t="s">
        <v>987</v>
      </c>
      <c r="E216" s="92"/>
    </row>
    <row r="217" spans="2:5">
      <c r="B217" s="92" t="s">
        <v>118</v>
      </c>
      <c r="C217" s="92" t="s">
        <v>334</v>
      </c>
      <c r="D217" s="92" t="s">
        <v>988</v>
      </c>
      <c r="E217" s="92"/>
    </row>
    <row r="218" spans="2:5">
      <c r="B218" s="92" t="s">
        <v>118</v>
      </c>
      <c r="C218" s="92" t="s">
        <v>324</v>
      </c>
      <c r="D218" s="92" t="s">
        <v>989</v>
      </c>
      <c r="E218" s="92"/>
    </row>
    <row r="219" spans="2:5">
      <c r="B219" s="92" t="s">
        <v>118</v>
      </c>
      <c r="C219" s="92" t="s">
        <v>335</v>
      </c>
      <c r="D219" s="92" t="s">
        <v>990</v>
      </c>
      <c r="E219" s="92"/>
    </row>
    <row r="220" spans="2:5">
      <c r="B220" s="92" t="s">
        <v>118</v>
      </c>
      <c r="C220" s="92" t="s">
        <v>336</v>
      </c>
      <c r="D220" s="92" t="s">
        <v>991</v>
      </c>
      <c r="E220" s="92"/>
    </row>
    <row r="221" spans="2:5">
      <c r="B221" s="92" t="s">
        <v>118</v>
      </c>
      <c r="C221" s="92" t="s">
        <v>337</v>
      </c>
      <c r="D221" s="92" t="s">
        <v>992</v>
      </c>
      <c r="E221" s="92"/>
    </row>
    <row r="222" spans="2:5">
      <c r="B222" s="92" t="s">
        <v>118</v>
      </c>
      <c r="C222" s="92" t="s">
        <v>338</v>
      </c>
      <c r="D222" s="92" t="s">
        <v>993</v>
      </c>
      <c r="E222" s="92"/>
    </row>
    <row r="223" spans="2:5">
      <c r="B223" s="92" t="s">
        <v>118</v>
      </c>
      <c r="C223" s="92" t="s">
        <v>339</v>
      </c>
      <c r="D223" s="92" t="s">
        <v>994</v>
      </c>
      <c r="E223" s="92"/>
    </row>
    <row r="224" spans="2:5">
      <c r="B224" s="92" t="s">
        <v>118</v>
      </c>
      <c r="C224" s="92" t="s">
        <v>340</v>
      </c>
      <c r="D224" s="92" t="s">
        <v>995</v>
      </c>
      <c r="E224" s="92"/>
    </row>
    <row r="225" spans="2:5">
      <c r="B225" s="92" t="s">
        <v>118</v>
      </c>
      <c r="C225" s="92" t="s">
        <v>341</v>
      </c>
      <c r="D225" s="92" t="s">
        <v>996</v>
      </c>
      <c r="E225" s="92"/>
    </row>
    <row r="226" spans="2:5">
      <c r="B226" s="92" t="s">
        <v>118</v>
      </c>
      <c r="C226" s="92" t="s">
        <v>342</v>
      </c>
      <c r="D226" s="92" t="s">
        <v>997</v>
      </c>
      <c r="E226" s="92"/>
    </row>
    <row r="227" spans="2:5">
      <c r="B227" s="92" t="s">
        <v>118</v>
      </c>
      <c r="C227" s="92" t="s">
        <v>343</v>
      </c>
      <c r="D227" s="92" t="s">
        <v>998</v>
      </c>
      <c r="E227" s="92"/>
    </row>
    <row r="228" spans="2:5">
      <c r="B228" s="92" t="s">
        <v>118</v>
      </c>
      <c r="C228" s="92" t="s">
        <v>394</v>
      </c>
      <c r="D228" s="92" t="s">
        <v>999</v>
      </c>
      <c r="E228" s="92"/>
    </row>
    <row r="229" spans="2:5">
      <c r="B229" s="92" t="s">
        <v>118</v>
      </c>
      <c r="C229" s="92" t="s">
        <v>395</v>
      </c>
      <c r="D229" s="92" t="s">
        <v>1000</v>
      </c>
      <c r="E229" s="92"/>
    </row>
    <row r="230" spans="2:5">
      <c r="B230" s="92" t="s">
        <v>118</v>
      </c>
      <c r="C230" s="92" t="s">
        <v>396</v>
      </c>
      <c r="D230" s="92" t="s">
        <v>1001</v>
      </c>
      <c r="E230" s="92"/>
    </row>
    <row r="231" spans="2:5">
      <c r="B231" s="92" t="s">
        <v>118</v>
      </c>
      <c r="C231" s="92" t="s">
        <v>397</v>
      </c>
      <c r="D231" s="92" t="s">
        <v>1002</v>
      </c>
      <c r="E231" s="92"/>
    </row>
    <row r="232" spans="2:5">
      <c r="B232" s="92" t="s">
        <v>118</v>
      </c>
      <c r="C232" s="92" t="s">
        <v>319</v>
      </c>
      <c r="D232" s="92" t="s">
        <v>1003</v>
      </c>
      <c r="E232" s="92"/>
    </row>
    <row r="233" spans="2:5">
      <c r="B233" s="92" t="s">
        <v>118</v>
      </c>
      <c r="C233" s="92" t="s">
        <v>320</v>
      </c>
      <c r="D233" s="92" t="s">
        <v>1004</v>
      </c>
      <c r="E233" s="92"/>
    </row>
    <row r="234" spans="2:5">
      <c r="B234" s="92" t="s">
        <v>118</v>
      </c>
      <c r="C234" s="92" t="s">
        <v>365</v>
      </c>
      <c r="D234" s="92" t="s">
        <v>1005</v>
      </c>
      <c r="E234" s="92"/>
    </row>
    <row r="235" spans="2:5">
      <c r="B235" s="92" t="s">
        <v>118</v>
      </c>
      <c r="C235" s="92" t="s">
        <v>366</v>
      </c>
      <c r="D235" s="92" t="s">
        <v>1006</v>
      </c>
      <c r="E235" s="92"/>
    </row>
    <row r="236" spans="2:5">
      <c r="B236" s="92" t="s">
        <v>118</v>
      </c>
      <c r="C236" s="92" t="s">
        <v>354</v>
      </c>
      <c r="D236" s="92" t="s">
        <v>1007</v>
      </c>
      <c r="E236" s="92"/>
    </row>
    <row r="237" spans="2:5">
      <c r="B237" s="92" t="s">
        <v>118</v>
      </c>
      <c r="C237" s="92" t="s">
        <v>107</v>
      </c>
      <c r="D237" s="92" t="s">
        <v>758</v>
      </c>
      <c r="E237" s="92"/>
    </row>
    <row r="238" spans="2:5">
      <c r="B238" s="92" t="s">
        <v>118</v>
      </c>
      <c r="C238" s="92" t="s">
        <v>355</v>
      </c>
      <c r="D238" s="92" t="s">
        <v>1008</v>
      </c>
      <c r="E238" s="92"/>
    </row>
    <row r="239" spans="2:5">
      <c r="B239" s="92" t="s">
        <v>118</v>
      </c>
      <c r="C239" s="92" t="s">
        <v>110</v>
      </c>
      <c r="D239" s="92" t="s">
        <v>761</v>
      </c>
      <c r="E239" s="92"/>
    </row>
    <row r="240" spans="2:5">
      <c r="B240" s="92" t="s">
        <v>118</v>
      </c>
      <c r="C240" s="92" t="s">
        <v>344</v>
      </c>
      <c r="D240" s="92" t="s">
        <v>1009</v>
      </c>
      <c r="E240" s="92"/>
    </row>
    <row r="241" spans="2:5">
      <c r="B241" s="92" t="s">
        <v>118</v>
      </c>
      <c r="C241" s="92" t="s">
        <v>345</v>
      </c>
      <c r="D241" s="92" t="s">
        <v>1010</v>
      </c>
      <c r="E241" s="92"/>
    </row>
    <row r="242" spans="2:5">
      <c r="B242" s="92" t="s">
        <v>118</v>
      </c>
      <c r="C242" s="92" t="s">
        <v>346</v>
      </c>
      <c r="D242" s="92" t="s">
        <v>1011</v>
      </c>
      <c r="E242" s="92"/>
    </row>
    <row r="243" spans="2:5">
      <c r="B243" s="92" t="s">
        <v>118</v>
      </c>
      <c r="C243" s="92" t="s">
        <v>321</v>
      </c>
      <c r="D243" s="92" t="s">
        <v>1012</v>
      </c>
      <c r="E243" s="92"/>
    </row>
    <row r="244" spans="2:5">
      <c r="B244" s="92" t="s">
        <v>118</v>
      </c>
      <c r="C244" s="92" t="s">
        <v>322</v>
      </c>
      <c r="D244" s="92" t="s">
        <v>1013</v>
      </c>
      <c r="E244" s="92"/>
    </row>
    <row r="245" spans="2:5">
      <c r="B245" s="92" t="s">
        <v>118</v>
      </c>
      <c r="C245" s="92" t="s">
        <v>105</v>
      </c>
      <c r="D245" s="92" t="s">
        <v>755</v>
      </c>
      <c r="E245" s="92"/>
    </row>
    <row r="246" spans="2:5">
      <c r="B246" s="92" t="s">
        <v>118</v>
      </c>
      <c r="C246" s="92" t="s">
        <v>347</v>
      </c>
      <c r="D246" s="92" t="s">
        <v>1014</v>
      </c>
      <c r="E246" s="92"/>
    </row>
    <row r="247" spans="2:5">
      <c r="B247" s="92" t="s">
        <v>118</v>
      </c>
      <c r="C247" s="92" t="s">
        <v>367</v>
      </c>
      <c r="D247" s="92" t="s">
        <v>1015</v>
      </c>
      <c r="E247" s="92"/>
    </row>
    <row r="248" spans="2:5">
      <c r="B248" s="92" t="s">
        <v>118</v>
      </c>
      <c r="C248" s="92" t="s">
        <v>368</v>
      </c>
      <c r="D248" s="92" t="s">
        <v>1016</v>
      </c>
      <c r="E248" s="92"/>
    </row>
    <row r="249" spans="2:5">
      <c r="B249" s="92" t="s">
        <v>118</v>
      </c>
      <c r="C249" s="92" t="s">
        <v>369</v>
      </c>
      <c r="D249" s="92" t="s">
        <v>1017</v>
      </c>
      <c r="E249" s="92"/>
    </row>
    <row r="250" spans="2:5">
      <c r="B250" s="92" t="s">
        <v>118</v>
      </c>
      <c r="C250" s="92" t="s">
        <v>370</v>
      </c>
      <c r="D250" s="92" t="s">
        <v>1018</v>
      </c>
      <c r="E250" s="92"/>
    </row>
    <row r="251" spans="2:5">
      <c r="B251" s="92" t="s">
        <v>118</v>
      </c>
      <c r="C251" s="92" t="s">
        <v>371</v>
      </c>
      <c r="D251" s="92" t="s">
        <v>1019</v>
      </c>
      <c r="E251" s="92"/>
    </row>
    <row r="252" spans="2:5">
      <c r="B252" s="92" t="s">
        <v>118</v>
      </c>
      <c r="C252" s="92" t="s">
        <v>372</v>
      </c>
      <c r="D252" s="92" t="s">
        <v>1020</v>
      </c>
      <c r="E252" s="92"/>
    </row>
    <row r="253" spans="2:5">
      <c r="B253" s="92" t="s">
        <v>118</v>
      </c>
      <c r="C253" s="92" t="s">
        <v>373</v>
      </c>
      <c r="D253" s="92" t="s">
        <v>1021</v>
      </c>
      <c r="E253" s="92"/>
    </row>
    <row r="254" spans="2:5">
      <c r="B254" s="92" t="s">
        <v>118</v>
      </c>
      <c r="C254" s="92" t="s">
        <v>374</v>
      </c>
      <c r="D254" s="92" t="s">
        <v>1022</v>
      </c>
      <c r="E254" s="92"/>
    </row>
    <row r="255" spans="2:5">
      <c r="B255" s="92" t="s">
        <v>118</v>
      </c>
      <c r="C255" s="92" t="s">
        <v>389</v>
      </c>
      <c r="D255" s="92" t="s">
        <v>1023</v>
      </c>
      <c r="E255" s="92"/>
    </row>
    <row r="256" spans="2:5">
      <c r="B256" s="92" t="s">
        <v>118</v>
      </c>
      <c r="C256" s="92" t="s">
        <v>348</v>
      </c>
      <c r="D256" s="92" t="s">
        <v>1024</v>
      </c>
      <c r="E256" s="92"/>
    </row>
    <row r="257" spans="2:5">
      <c r="B257" s="92" t="s">
        <v>118</v>
      </c>
      <c r="C257" s="92" t="s">
        <v>383</v>
      </c>
      <c r="D257" s="92" t="s">
        <v>1025</v>
      </c>
      <c r="E257" s="92"/>
    </row>
    <row r="258" spans="2:5">
      <c r="B258" s="92" t="s">
        <v>118</v>
      </c>
      <c r="C258" s="92" t="s">
        <v>390</v>
      </c>
      <c r="D258" s="92" t="s">
        <v>1026</v>
      </c>
      <c r="E258" s="92"/>
    </row>
    <row r="259" spans="2:5">
      <c r="B259" s="92" t="s">
        <v>118</v>
      </c>
      <c r="C259" s="92" t="s">
        <v>384</v>
      </c>
      <c r="D259" s="92" t="s">
        <v>1027</v>
      </c>
      <c r="E259" s="92"/>
    </row>
    <row r="260" spans="2:5">
      <c r="B260" s="92" t="s">
        <v>118</v>
      </c>
      <c r="C260" s="92" t="s">
        <v>385</v>
      </c>
      <c r="D260" s="92" t="s">
        <v>1028</v>
      </c>
      <c r="E260" s="92"/>
    </row>
    <row r="261" spans="2:5">
      <c r="B261" s="92" t="s">
        <v>118</v>
      </c>
      <c r="C261" s="92" t="s">
        <v>349</v>
      </c>
      <c r="D261" s="92" t="s">
        <v>1029</v>
      </c>
      <c r="E261" s="92"/>
    </row>
    <row r="262" spans="2:5">
      <c r="B262" s="92" t="s">
        <v>118</v>
      </c>
      <c r="C262" s="92" t="s">
        <v>393</v>
      </c>
      <c r="D262" s="92" t="s">
        <v>1030</v>
      </c>
      <c r="E262" s="92"/>
    </row>
    <row r="263" spans="2:5">
      <c r="B263" s="92" t="s">
        <v>118</v>
      </c>
      <c r="C263" s="92" t="s">
        <v>350</v>
      </c>
      <c r="D263" s="92" t="s">
        <v>1031</v>
      </c>
      <c r="E263" s="92"/>
    </row>
    <row r="264" spans="2:5">
      <c r="B264" s="92" t="s">
        <v>118</v>
      </c>
      <c r="C264" s="92" t="s">
        <v>351</v>
      </c>
      <c r="D264" s="92" t="s">
        <v>1032</v>
      </c>
      <c r="E264" s="92"/>
    </row>
    <row r="265" spans="2:5">
      <c r="B265" s="92" t="s">
        <v>118</v>
      </c>
      <c r="C265" s="92" t="s">
        <v>353</v>
      </c>
      <c r="D265" s="92" t="s">
        <v>1033</v>
      </c>
      <c r="E265" s="92"/>
    </row>
    <row r="266" spans="2:5">
      <c r="B266" s="92" t="s">
        <v>118</v>
      </c>
      <c r="C266" s="92" t="s">
        <v>386</v>
      </c>
      <c r="D266" s="92" t="s">
        <v>1034</v>
      </c>
      <c r="E266" s="92"/>
    </row>
    <row r="267" spans="2:5">
      <c r="B267" s="92" t="s">
        <v>118</v>
      </c>
      <c r="C267" s="92" t="s">
        <v>111</v>
      </c>
      <c r="D267" s="92" t="s">
        <v>762</v>
      </c>
      <c r="E267" s="92"/>
    </row>
    <row r="268" spans="2:5">
      <c r="B268" s="92" t="s">
        <v>118</v>
      </c>
      <c r="C268" s="92" t="s">
        <v>375</v>
      </c>
      <c r="D268" s="92" t="s">
        <v>1035</v>
      </c>
      <c r="E268" s="92"/>
    </row>
    <row r="269" spans="2:5">
      <c r="B269" s="92" t="s">
        <v>118</v>
      </c>
      <c r="C269" s="92" t="s">
        <v>376</v>
      </c>
      <c r="D269" s="92" t="s">
        <v>1036</v>
      </c>
      <c r="E269" s="92"/>
    </row>
    <row r="270" spans="2:5">
      <c r="B270" s="92" t="s">
        <v>118</v>
      </c>
      <c r="C270" s="92" t="s">
        <v>377</v>
      </c>
      <c r="D270" s="92" t="s">
        <v>1037</v>
      </c>
      <c r="E270" s="92"/>
    </row>
    <row r="271" spans="2:5">
      <c r="B271" s="92" t="s">
        <v>118</v>
      </c>
      <c r="C271" s="92" t="s">
        <v>378</v>
      </c>
      <c r="D271" s="92" t="s">
        <v>1038</v>
      </c>
      <c r="E271" s="92"/>
    </row>
    <row r="272" spans="2:5">
      <c r="B272" s="92" t="s">
        <v>118</v>
      </c>
      <c r="C272" s="92" t="s">
        <v>352</v>
      </c>
      <c r="D272" s="92" t="s">
        <v>1039</v>
      </c>
      <c r="E272" s="92"/>
    </row>
    <row r="273" spans="2:5">
      <c r="B273" s="92" t="s">
        <v>119</v>
      </c>
      <c r="C273" s="92" t="s">
        <v>563</v>
      </c>
      <c r="D273" s="92" t="s">
        <v>1040</v>
      </c>
      <c r="E273" s="92"/>
    </row>
    <row r="274" spans="2:5">
      <c r="B274" s="92" t="s">
        <v>119</v>
      </c>
      <c r="C274" s="92" t="s">
        <v>564</v>
      </c>
      <c r="D274" s="92" t="s">
        <v>1041</v>
      </c>
      <c r="E274" s="92"/>
    </row>
    <row r="275" spans="2:5">
      <c r="B275" s="92" t="s">
        <v>119</v>
      </c>
      <c r="C275" s="92" t="s">
        <v>573</v>
      </c>
      <c r="D275" s="92" t="s">
        <v>1042</v>
      </c>
      <c r="E275" s="92"/>
    </row>
    <row r="276" spans="2:5">
      <c r="B276" s="92" t="s">
        <v>119</v>
      </c>
      <c r="C276" s="92" t="s">
        <v>100</v>
      </c>
      <c r="D276" s="92" t="s">
        <v>796</v>
      </c>
      <c r="E276" s="92"/>
    </row>
    <row r="277" spans="2:5">
      <c r="B277" s="92" t="s">
        <v>119</v>
      </c>
      <c r="C277" s="92" t="s">
        <v>579</v>
      </c>
      <c r="D277" s="92" t="s">
        <v>1043</v>
      </c>
      <c r="E277" s="92"/>
    </row>
    <row r="278" spans="2:5">
      <c r="B278" s="92" t="s">
        <v>119</v>
      </c>
      <c r="C278" s="92" t="s">
        <v>580</v>
      </c>
      <c r="D278" s="92" t="s">
        <v>1044</v>
      </c>
      <c r="E278" s="92"/>
    </row>
    <row r="279" spans="2:5">
      <c r="B279" s="92" t="s">
        <v>119</v>
      </c>
      <c r="C279" s="92" t="s">
        <v>581</v>
      </c>
      <c r="D279" s="92" t="s">
        <v>1045</v>
      </c>
      <c r="E279" s="92"/>
    </row>
    <row r="280" spans="2:5">
      <c r="B280" s="92" t="s">
        <v>119</v>
      </c>
      <c r="C280" s="92" t="s">
        <v>571</v>
      </c>
      <c r="D280" s="92" t="s">
        <v>1046</v>
      </c>
      <c r="E280" s="92"/>
    </row>
    <row r="281" spans="2:5">
      <c r="B281" s="92" t="s">
        <v>119</v>
      </c>
      <c r="C281" s="92" t="s">
        <v>574</v>
      </c>
      <c r="D281" s="92" t="s">
        <v>1047</v>
      </c>
      <c r="E281" s="92"/>
    </row>
    <row r="282" spans="2:5">
      <c r="B282" s="92" t="s">
        <v>119</v>
      </c>
      <c r="C282" s="92" t="s">
        <v>575</v>
      </c>
      <c r="D282" s="92" t="s">
        <v>1048</v>
      </c>
      <c r="E282" s="92"/>
    </row>
    <row r="283" spans="2:5">
      <c r="B283" s="92" t="s">
        <v>119</v>
      </c>
      <c r="C283" s="92" t="s">
        <v>565</v>
      </c>
      <c r="D283" s="92" t="s">
        <v>1049</v>
      </c>
      <c r="E283" s="92"/>
    </row>
    <row r="284" spans="2:5">
      <c r="B284" s="92" t="s">
        <v>119</v>
      </c>
      <c r="C284" s="92" t="s">
        <v>553</v>
      </c>
      <c r="D284" s="92" t="s">
        <v>1050</v>
      </c>
      <c r="E284" s="92"/>
    </row>
    <row r="285" spans="2:5">
      <c r="B285" s="92" t="s">
        <v>119</v>
      </c>
      <c r="C285" s="92" t="s">
        <v>566</v>
      </c>
      <c r="D285" s="92" t="s">
        <v>1051</v>
      </c>
      <c r="E285" s="92"/>
    </row>
    <row r="286" spans="2:5">
      <c r="B286" s="92" t="s">
        <v>119</v>
      </c>
      <c r="C286" s="92" t="s">
        <v>567</v>
      </c>
      <c r="D286" s="92" t="s">
        <v>1052</v>
      </c>
      <c r="E286" s="92"/>
    </row>
    <row r="287" spans="2:5">
      <c r="B287" s="92" t="s">
        <v>119</v>
      </c>
      <c r="C287" s="92" t="s">
        <v>586</v>
      </c>
      <c r="D287" s="92" t="s">
        <v>797</v>
      </c>
      <c r="E287" s="92"/>
    </row>
    <row r="288" spans="2:5">
      <c r="B288" s="92" t="s">
        <v>119</v>
      </c>
      <c r="C288" s="92" t="s">
        <v>576</v>
      </c>
      <c r="D288" s="92" t="s">
        <v>1053</v>
      </c>
      <c r="E288" s="92"/>
    </row>
    <row r="289" spans="2:5">
      <c r="B289" s="92" t="s">
        <v>119</v>
      </c>
      <c r="C289" s="92" t="s">
        <v>559</v>
      </c>
      <c r="D289" s="92" t="s">
        <v>1054</v>
      </c>
      <c r="E289" s="92"/>
    </row>
    <row r="290" spans="2:5">
      <c r="B290" s="92" t="s">
        <v>119</v>
      </c>
      <c r="C290" s="92" t="s">
        <v>577</v>
      </c>
      <c r="D290" s="92" t="s">
        <v>1055</v>
      </c>
      <c r="E290" s="92"/>
    </row>
    <row r="291" spans="2:5">
      <c r="B291" s="92" t="s">
        <v>119</v>
      </c>
      <c r="C291" s="92" t="s">
        <v>554</v>
      </c>
      <c r="D291" s="92" t="s">
        <v>1056</v>
      </c>
      <c r="E291" s="92"/>
    </row>
    <row r="292" spans="2:5">
      <c r="B292" s="92" t="s">
        <v>119</v>
      </c>
      <c r="C292" s="92" t="s">
        <v>115</v>
      </c>
      <c r="D292" s="92" t="s">
        <v>802</v>
      </c>
      <c r="E292" s="92"/>
    </row>
    <row r="293" spans="2:5">
      <c r="B293" s="92" t="s">
        <v>119</v>
      </c>
      <c r="C293" s="92" t="s">
        <v>578</v>
      </c>
      <c r="D293" s="92" t="s">
        <v>1057</v>
      </c>
      <c r="E293" s="92"/>
    </row>
    <row r="294" spans="2:5">
      <c r="B294" s="92" t="s">
        <v>119</v>
      </c>
      <c r="C294" s="92" t="s">
        <v>560</v>
      </c>
      <c r="D294" s="92" t="s">
        <v>1058</v>
      </c>
      <c r="E294" s="92"/>
    </row>
    <row r="295" spans="2:5">
      <c r="B295" s="92" t="s">
        <v>119</v>
      </c>
      <c r="C295" s="92" t="s">
        <v>568</v>
      </c>
      <c r="D295" s="92" t="s">
        <v>1059</v>
      </c>
      <c r="E295" s="92"/>
    </row>
    <row r="296" spans="2:5">
      <c r="B296" s="92" t="s">
        <v>119</v>
      </c>
      <c r="C296" s="92" t="s">
        <v>589</v>
      </c>
      <c r="D296" s="92" t="s">
        <v>798</v>
      </c>
      <c r="E296" s="92"/>
    </row>
    <row r="297" spans="2:5">
      <c r="B297" s="92" t="s">
        <v>119</v>
      </c>
      <c r="C297" s="92" t="s">
        <v>555</v>
      </c>
      <c r="D297" s="92" t="s">
        <v>1060</v>
      </c>
      <c r="E297" s="92"/>
    </row>
    <row r="298" spans="2:5">
      <c r="B298" s="92" t="s">
        <v>119</v>
      </c>
      <c r="C298" s="92" t="s">
        <v>582</v>
      </c>
      <c r="D298" s="92" t="s">
        <v>1061</v>
      </c>
      <c r="E298" s="92"/>
    </row>
    <row r="299" spans="2:5">
      <c r="B299" s="92" t="s">
        <v>119</v>
      </c>
      <c r="C299" s="92" t="s">
        <v>116</v>
      </c>
      <c r="D299" s="92" t="s">
        <v>803</v>
      </c>
      <c r="E299" s="92"/>
    </row>
    <row r="300" spans="2:5">
      <c r="B300" s="92" t="s">
        <v>119</v>
      </c>
      <c r="C300" s="92" t="s">
        <v>569</v>
      </c>
      <c r="D300" s="92" t="s">
        <v>1062</v>
      </c>
      <c r="E300" s="92"/>
    </row>
    <row r="301" spans="2:5">
      <c r="B301" s="92" t="s">
        <v>119</v>
      </c>
      <c r="C301" s="92" t="s">
        <v>572</v>
      </c>
      <c r="D301" s="92" t="s">
        <v>1063</v>
      </c>
      <c r="E301" s="92"/>
    </row>
    <row r="302" spans="2:5">
      <c r="B302" s="92" t="s">
        <v>119</v>
      </c>
      <c r="C302" s="92" t="s">
        <v>570</v>
      </c>
      <c r="D302" s="92" t="s">
        <v>1064</v>
      </c>
      <c r="E302" s="92"/>
    </row>
    <row r="303" spans="2:5">
      <c r="B303" s="92" t="s">
        <v>119</v>
      </c>
      <c r="C303" s="92" t="s">
        <v>556</v>
      </c>
      <c r="D303" s="92" t="s">
        <v>1065</v>
      </c>
      <c r="E303" s="92"/>
    </row>
    <row r="304" spans="2:5">
      <c r="B304" s="92" t="s">
        <v>119</v>
      </c>
      <c r="C304" s="92" t="s">
        <v>112</v>
      </c>
      <c r="D304" s="92" t="s">
        <v>799</v>
      </c>
      <c r="E304" s="92"/>
    </row>
    <row r="305" spans="2:5">
      <c r="B305" s="92" t="s">
        <v>119</v>
      </c>
      <c r="C305" s="92" t="s">
        <v>557</v>
      </c>
      <c r="D305" s="92" t="s">
        <v>1066</v>
      </c>
      <c r="E305" s="92"/>
    </row>
    <row r="306" spans="2:5">
      <c r="B306" s="92" t="s">
        <v>119</v>
      </c>
      <c r="C306" s="92" t="s">
        <v>558</v>
      </c>
      <c r="D306" s="92" t="s">
        <v>1067</v>
      </c>
      <c r="E306" s="92"/>
    </row>
    <row r="307" spans="2:5">
      <c r="B307" s="92" t="s">
        <v>119</v>
      </c>
      <c r="C307" s="92" t="s">
        <v>113</v>
      </c>
      <c r="D307" s="92" t="s">
        <v>800</v>
      </c>
      <c r="E307" s="92"/>
    </row>
    <row r="308" spans="2:5">
      <c r="B308" s="92" t="s">
        <v>119</v>
      </c>
      <c r="C308" s="92" t="s">
        <v>386</v>
      </c>
      <c r="D308" s="92" t="s">
        <v>1068</v>
      </c>
      <c r="E308" s="92"/>
    </row>
    <row r="309" spans="2:5">
      <c r="B309" s="92" t="s">
        <v>119</v>
      </c>
      <c r="C309" s="92" t="s">
        <v>114</v>
      </c>
      <c r="D309" s="92" t="s">
        <v>801</v>
      </c>
      <c r="E309" s="92"/>
    </row>
    <row r="310" spans="2:5">
      <c r="B310" s="92" t="s">
        <v>119</v>
      </c>
      <c r="C310" s="92" t="s">
        <v>561</v>
      </c>
      <c r="D310" s="92" t="s">
        <v>1069</v>
      </c>
      <c r="E310" s="92"/>
    </row>
    <row r="311" spans="2:5">
      <c r="B311" s="92" t="s">
        <v>119</v>
      </c>
      <c r="C311" s="92" t="s">
        <v>562</v>
      </c>
      <c r="D311" s="92" t="s">
        <v>1070</v>
      </c>
      <c r="E311" s="92"/>
    </row>
    <row r="312" spans="2:5">
      <c r="B312" s="92" t="s">
        <v>119</v>
      </c>
      <c r="C312" s="92" t="s">
        <v>583</v>
      </c>
      <c r="D312" s="92" t="s">
        <v>804</v>
      </c>
      <c r="E312" s="92"/>
    </row>
    <row r="313" spans="2:5">
      <c r="B313" s="92" t="s">
        <v>310</v>
      </c>
      <c r="C313" s="92" t="s">
        <v>586</v>
      </c>
      <c r="D313" s="92" t="s">
        <v>765</v>
      </c>
      <c r="E313" s="92"/>
    </row>
    <row r="314" spans="2:5">
      <c r="B314" s="92" t="s">
        <v>310</v>
      </c>
      <c r="C314" s="92" t="s">
        <v>587</v>
      </c>
      <c r="D314" s="92" t="s">
        <v>766</v>
      </c>
      <c r="E314" s="92"/>
    </row>
    <row r="315" spans="2:5">
      <c r="B315" s="92" t="s">
        <v>310</v>
      </c>
      <c r="C315" s="92" t="s">
        <v>588</v>
      </c>
      <c r="D315" s="92" t="s">
        <v>767</v>
      </c>
      <c r="E315" s="92"/>
    </row>
    <row r="316" spans="2:5">
      <c r="B316" s="92" t="s">
        <v>310</v>
      </c>
      <c r="C316" s="92" t="s">
        <v>398</v>
      </c>
      <c r="D316" s="92" t="s">
        <v>1071</v>
      </c>
      <c r="E316" s="92"/>
    </row>
    <row r="317" spans="2:5">
      <c r="B317" s="92" t="s">
        <v>310</v>
      </c>
      <c r="C317" s="92" t="s">
        <v>100</v>
      </c>
      <c r="D317" s="92" t="s">
        <v>764</v>
      </c>
      <c r="E317" s="92"/>
    </row>
    <row r="318" spans="2:5">
      <c r="B318" s="92" t="s">
        <v>310</v>
      </c>
      <c r="C318" s="92" t="s">
        <v>399</v>
      </c>
      <c r="D318" s="92" t="s">
        <v>768</v>
      </c>
      <c r="E318" s="92"/>
    </row>
    <row r="319" spans="2:5">
      <c r="B319" s="92" t="s">
        <v>311</v>
      </c>
      <c r="C319" s="92" t="s">
        <v>586</v>
      </c>
      <c r="D319" s="92" t="s">
        <v>792</v>
      </c>
      <c r="E319" s="92"/>
    </row>
    <row r="320" spans="2:5">
      <c r="B320" s="92" t="s">
        <v>311</v>
      </c>
      <c r="C320" s="92" t="s">
        <v>588</v>
      </c>
      <c r="D320" s="92" t="s">
        <v>793</v>
      </c>
      <c r="E320" s="92"/>
    </row>
    <row r="321" spans="2:5">
      <c r="B321" s="92" t="s">
        <v>311</v>
      </c>
      <c r="C321" s="92" t="s">
        <v>589</v>
      </c>
      <c r="D321" s="92" t="s">
        <v>794</v>
      </c>
      <c r="E321" s="92"/>
    </row>
    <row r="322" spans="2:5">
      <c r="B322" s="92" t="s">
        <v>311</v>
      </c>
      <c r="C322" s="92" t="s">
        <v>551</v>
      </c>
      <c r="D322" s="92" t="s">
        <v>795</v>
      </c>
      <c r="E322" s="92"/>
    </row>
    <row r="323" spans="2:5">
      <c r="B323" s="92" t="s">
        <v>311</v>
      </c>
      <c r="C323" s="92" t="s">
        <v>552</v>
      </c>
      <c r="D323" s="92" t="s">
        <v>1072</v>
      </c>
      <c r="E323" s="92"/>
    </row>
    <row r="324" spans="2:5">
      <c r="B324" s="92" t="s">
        <v>311</v>
      </c>
      <c r="C324" s="92" t="s">
        <v>100</v>
      </c>
      <c r="D324" s="92" t="s">
        <v>791</v>
      </c>
      <c r="E324" s="92"/>
    </row>
  </sheetData>
  <autoFilter ref="B2:M324" xr:uid="{00000000-0009-0000-0000-00000A000000}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CC5E4D-7438-4E8E-972E-676578E9C1F9}"/>
</file>

<file path=customXml/itemProps2.xml><?xml version="1.0" encoding="utf-8"?>
<ds:datastoreItem xmlns:ds="http://schemas.openxmlformats.org/officeDocument/2006/customXml" ds:itemID="{92245C61-0587-4AF4-B06E-A266858205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FCF67E-18A3-44F3-A5B4-709C46479FC7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0683c779-04fc-4b63-89c9-6c25ffa1c0a4"/>
    <ds:schemaRef ds:uri="http://schemas.openxmlformats.org/package/2006/metadata/core-properties"/>
    <ds:schemaRef ds:uri="6ea7b29d-57ec-408d-9ea9-cf73b04f66d5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0. Instruções</vt:lpstr>
      <vt:lpstr>1. Status</vt:lpstr>
      <vt:lpstr>2. Script </vt:lpstr>
      <vt:lpstr>3. Resultados &gt;&gt;</vt:lpstr>
      <vt:lpstr>ID1&amp;5</vt:lpstr>
      <vt:lpstr>ID6&amp;7</vt:lpstr>
      <vt:lpstr>4. Incidências &gt;&gt; </vt:lpstr>
      <vt:lpstr>ID1</vt:lpstr>
      <vt:lpstr>Input_GF</vt:lpstr>
      <vt:lpstr>Campos</vt:lpstr>
      <vt:lpstr>ANL_CAMPOS_PDS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Nuno Miguel Rocha Ferreira</cp:lastModifiedBy>
  <dcterms:created xsi:type="dcterms:W3CDTF">2024-10-18T20:46:00Z</dcterms:created>
  <dcterms:modified xsi:type="dcterms:W3CDTF">2026-01-15T15:35:03Z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2024-10-19T00:47:24Z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5e8aba04-4250-4b89-bbc0-81f0c39a1635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